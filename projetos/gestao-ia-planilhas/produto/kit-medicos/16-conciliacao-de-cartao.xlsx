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Vendas" sheetId="4" state="visible" r:id="rId4"/>
  </sheets>
  <definedNames>
    <definedName name="_xlnm._FilterDatabase" localSheetId="3" hidden="1">'Vendas'!$A$4:$R$2004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;[Red]-&quot;R$&quot; #,##0"/>
    <numFmt numFmtId="167" formatCode="0.0%"/>
    <numFmt numFmtId="168" formatCode="&quot;R$&quot; #,##0.00;[Red]-&quot;R$&quot; #,##0.00"/>
  </numFmts>
  <fonts count="18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BE4E4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5" fillId="0" borderId="0" pivotButton="0" quotePrefix="0" xfId="0"/>
    <xf numFmtId="0" fontId="14" fillId="0" borderId="0" pivotButton="0" quotePrefix="0" xfId="0"/>
    <xf numFmtId="0" fontId="16" fillId="0" borderId="0" applyAlignment="1" pivotButton="0" quotePrefix="0" xfId="0">
      <alignment vertical="top"/>
    </xf>
    <xf numFmtId="0" fontId="17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11" fillId="6" borderId="0" applyAlignment="1" pivotButton="0" quotePrefix="0" xfId="0">
      <alignment horizontal="center"/>
    </xf>
    <xf numFmtId="0" fontId="0" fillId="6" borderId="0" pivotButton="0" quotePrefix="0" xfId="0"/>
    <xf numFmtId="0" fontId="8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168" fontId="10" fillId="5" borderId="0" applyAlignment="1" pivotButton="0" quotePrefix="0" xfId="0">
      <alignment horizontal="center"/>
    </xf>
    <xf numFmtId="10" fontId="10" fillId="5" borderId="0" applyAlignment="1" pivotButton="0" quotePrefix="0" xfId="0">
      <alignment horizontal="center"/>
    </xf>
    <xf numFmtId="166" fontId="12" fillId="6" borderId="0" applyAlignment="1" pivotButton="0" quotePrefix="0" xfId="0">
      <alignment horizontal="center"/>
    </xf>
    <xf numFmtId="166" fontId="1" fillId="7" borderId="0" applyAlignment="1" pivotButton="0" quotePrefix="0" xfId="0">
      <alignment horizontal="center"/>
    </xf>
    <xf numFmtId="166" fontId="10" fillId="5" borderId="0" applyAlignment="1" pivotButton="0" quotePrefix="0" xfId="0">
      <alignment horizontal="center"/>
    </xf>
    <xf numFmtId="0" fontId="6" fillId="0" borderId="0" pivotButton="0" quotePrefix="0" xfId="0"/>
    <xf numFmtId="0" fontId="13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4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168" fontId="3" fillId="0" borderId="1" pivotButton="0" quotePrefix="0" xfId="0"/>
    <xf numFmtId="0" fontId="6" fillId="0" borderId="0" applyAlignment="1" pivotButton="0" quotePrefix="0" xfId="0">
      <alignment horizontal="left" vertical="top" wrapText="1"/>
    </xf>
    <xf numFmtId="165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1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0" pivotButton="0" quotePrefix="0" xfId="0"/>
    <xf numFmtId="165" fontId="4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10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6">
    <dxf>
      <font>
        <name val="Arial"/>
        <color rgb="00B0A6C4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3E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Líquido × taxas por tipo (R$)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'Painel'!F10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'Painel'!$F$11:$F$14</f>
            </numRef>
          </val>
        </ser>
        <ser>
          <idx val="1"/>
          <order val="1"/>
          <tx>
            <strRef>
              <f>'Painel'!D10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'Painel'!$A$11:$A$14</f>
            </numRef>
          </cat>
          <val>
            <numRef>
              <f>'Painel'!$D$11:$D$14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8</row>
      <rowOff>0</rowOff>
    </from>
    <ext cx="468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Conciliação de cartão e taxas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Cada pagamento no cartão ou no Pix com a taxa da operadora, o valor líquido e o dia em que cai na conta. Mostra quanto as taxas comem no mês (e a quantas consultas equivalem), o que ainda vai cair, o que já deveria ter caído e não foi conferido, e o dia a dia para bater com o extrato.</t>
        </is>
      </c>
    </row>
    <row r="5" ht="46" customHeight="1">
      <c r="A5" s="3" t="inlineStr">
        <is>
          <t>Passo 1</t>
        </is>
      </c>
      <c r="B5" s="4" t="inlineStr">
        <is>
          <t>Em Config, digite as taxas e os prazos da sua operadora (contrato da maquininha ou extrato), se antecipa o crédito e o preço da consulta particular (só para a comparação).</t>
        </is>
      </c>
    </row>
    <row r="6" ht="46" customHeight="1">
      <c r="A6" s="3" t="inlineStr">
        <is>
          <t>Passo 2</t>
        </is>
      </c>
      <c r="B6" s="4" t="inlineStr">
        <is>
          <t>Em Vendas, uma linha por pagamento: data, paciente, procedimento, tipo, parcelas e valor bruto (copie da Agenda da 01, filtrando os particulares pagos com Pix ou cartão). A cada quinzena, escreva em "Parcelas já conferidas" quantas parcelas daquela venda você já achou no extrato: 1 para Pix, débito e crédito à vista; no parcelado vá somando conforme cada parcela cai. Assim a venda volta para "A conferir" quando a parcela seguinte vencer, em vez de ficar conferida para sempre depois da primeira.</t>
        </is>
      </c>
    </row>
    <row r="7" ht="46" customHeight="1">
      <c r="A7" s="3" t="inlineStr">
        <is>
          <t>Passo 3</t>
        </is>
      </c>
      <c r="B7" s="4" t="inlineStr">
        <is>
          <t>Em Painel, escolha o mês em Config: vendas, taxas, líquido, por tipo, dia a dia e a lista "Falta conferir". No fechamento do mês, lance o total de taxas como saída "Taxas de cartão" no caixa (09).</t>
        </is>
      </c>
    </row>
    <row r="8" ht="46" customHeight="1">
      <c r="A8" s="3" t="inlineStr">
        <is>
          <t>Rotina</t>
        </is>
      </c>
      <c r="B8" s="4" t="inlineStr">
        <is>
          <t>É uma planilha QUINZENAL, fora dos 30 minutos semanais da planilha 03: a cada 15 dias, 10 minutos para conferir o extrato da operadora contra "Cai na conta neste dia" e marcar as conferidas. No fechamento do mês, lance o total de taxas no caixa (09). Uma vez por semestre: comparar a taxa média com outra operadora.</t>
        </is>
      </c>
    </row>
    <row r="9" ht="46" customHeight="1">
      <c r="A9" s="3" t="inlineStr">
        <is>
          <t>Limite e como estender</t>
        </is>
      </c>
      <c r="B9" s="4" t="inlineStr">
        <is>
          <t>A aba Vendas tem 2.000 linhas (5 a 2004): mais de um ano com cerca de 100 pagamentos por mês. Perto do fim, desproteja a aba, copie a última linha para baixo e ajuste o número final nas fórmulas do Painel, ou comece um arquivo por ano.</t>
        </is>
      </c>
    </row>
    <row r="10" ht="46" customHeight="1">
      <c r="A10" s="3" t="inlineStr">
        <is>
          <t>Ligação com as outras planilhas</t>
        </is>
      </c>
      <c r="B10" s="4" t="inlineStr">
        <is>
          <t>O caixa (09) registra o bruto na data em que cai na conta, usando as datas desta planilha; a taxa do mês é a saída do fim do mês em que o dinheiro caiu. Por isso a taxa desta tela (vendas de agosto) e a do caixa (recebimentos de agosto) são números diferentes de propósito. O resultado mensal (18) mostra as taxas como despesa variável. No exemplo o Painel está em agosto (mês fechado); setembro está em andamento.</t>
        </is>
      </c>
    </row>
    <row r="11" ht="46" customHeight="1">
      <c r="A11" s="3" t="inlineStr">
        <is>
          <t>Com a IA</t>
        </is>
      </c>
      <c r="B11" s="4" t="inlineStr">
        <is>
          <t>Copie "Por tipo de pagamento" e use o prompt "Caixa 09 · A taxa da maquininha está comendo a margem?" da biblioteca do kit para decidir entre absorver a taxa, oferecer desconto no Pix ou trocar de operadora.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 e gráficos funcionam.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a data de referência em Config por =HOJE(): daí em diante ela acompanha o dia.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3" customWidth="1" min="4" max="4"/>
    <col width="13" customWidth="1" min="5" max="5"/>
    <col width="13" customWidth="1" min="6" max="6"/>
    <col width="16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 t="str">
        <f>Config!$B$4&amp;" · Conciliação de cartão e taxas · "&amp;Config!$B$6&amp;" de "&amp;Config!$B$5</f>
        <v>Clínica Vida Plena (exemplo fictício) · Conciliação de cartão e taxas · Agosto de 2026</v>
      </c>
    </row>
    <row r="2">
      <c r="A2" s="6" t="inlineStr">
        <is>
          <t>Nada para digitar aqui. Escolha o mês em Config; tudo vem de Vendas. Taxas por mês da venda; a receber por previsão na conta.</t>
        </is>
      </c>
    </row>
    <row r="3"/>
    <row r="4">
      <c r="A4" s="7" t="inlineStr">
        <is>
          <t>Vendas no mês (bruto)</t>
        </is>
      </c>
      <c r="B4" s="8" t="n"/>
      <c r="C4" s="9" t="inlineStr">
        <is>
          <t>Taxas no mês</t>
        </is>
      </c>
      <c r="D4" s="10" t="n"/>
      <c r="E4" s="9" t="inlineStr">
        <is>
          <t>Taxa média</t>
        </is>
      </c>
      <c r="F4" s="10" t="n"/>
      <c r="G4" s="11" t="inlineStr">
        <is>
          <t>Líquido no mês</t>
        </is>
      </c>
      <c r="H4" s="12" t="n"/>
      <c r="I4" s="13" t="inlineStr">
        <is>
          <t>Ainda vai cair (todas as vendas)</t>
        </is>
      </c>
      <c r="J4" s="14" t="n"/>
      <c r="K4" s="9" t="inlineStr">
        <is>
          <t>A conferir</t>
        </is>
      </c>
      <c r="L4" s="10" t="n"/>
    </row>
    <row r="5" ht="30" customHeight="1">
      <c r="A5" s="15">
        <f>SUMIFS(Vendas!$F$5:$F$2004,Vendas!$P$5:$P$2004,Config!$B$7,Vendas!$Q$5:$Q$2004,Config!$B$5)</f>
        <v>31820</v>
      </c>
      <c r="B5" s="8" t="n"/>
      <c r="C5" s="16">
        <f>SUMIFS(Vendas!$I$5:$I$2004,Vendas!$P$5:$P$2004,Config!$B$7,Vendas!$Q$5:$Q$2004,Config!$B$5)</f>
        <v>484.12</v>
      </c>
      <c r="D5" s="10" t="n"/>
      <c r="E5" s="17">
        <f>IF(A5=0,"",C5/A5)</f>
        <v>0.0152143306096794</v>
      </c>
      <c r="F5" s="10" t="n"/>
      <c r="G5" s="18">
        <f>A5-C5</f>
        <v>31335.88</v>
      </c>
      <c r="H5" s="12" t="n"/>
      <c r="I5" s="19">
        <f>SUM(Vendas!$O$5:$O$2004)</f>
        <v>12388.26</v>
      </c>
      <c r="J5" s="14" t="n"/>
      <c r="K5" s="20">
        <f>SUM(Vendas!$T$5:$T$2004)</f>
        <v>5652.71</v>
      </c>
      <c r="L5" s="10" t="n"/>
    </row>
    <row r="6"/>
    <row r="7">
      <c r="A7" s="21" t="str">
        <f>"As taxas do mês equivalem a "&amp;FIXED(IF(Config!$B$9=0,0,C5/Config!$B$9),1)&amp;" consultas particulares. Lance este total no caixa (09) como saída 'Taxas de cartão' no fim do mês."</f>
        <v>As taxas do mês equivalem a 1,3 consultas particulares. Lance este total no caixa (09) como saída 'Taxas de cartão' no fim do mês.</v>
      </c>
    </row>
    <row r="8"/>
    <row r="9">
      <c r="A9" s="22" t="inlineStr">
        <is>
          <t>Por tipo de pagamento no mês</t>
        </is>
      </c>
    </row>
    <row r="10" ht="26" customHeight="1">
      <c r="A10" s="23" t="inlineStr">
        <is>
          <t>Tipo</t>
        </is>
      </c>
      <c r="B10" s="23" t="inlineStr">
        <is>
          <t>Vendas</t>
        </is>
      </c>
      <c r="C10" s="23" t="inlineStr">
        <is>
          <t>Bruto (R$)</t>
        </is>
      </c>
      <c r="D10" s="23" t="inlineStr">
        <is>
          <t>Taxas (R$)</t>
        </is>
      </c>
      <c r="E10" s="23" t="inlineStr">
        <is>
          <t>Taxa média</t>
        </is>
      </c>
      <c r="F10" s="23" t="inlineStr">
        <is>
          <t>Líquido (R$)</t>
        </is>
      </c>
      <c r="G10" s="23" t="inlineStr">
        <is>
          <t>% do bruto</t>
        </is>
      </c>
      <c r="H10" s="23" t="inlineStr">
        <is>
          <t>Barra</t>
        </is>
      </c>
      <c r="I10" s="24" t="n"/>
      <c r="J10" s="25" t="n"/>
    </row>
    <row r="11">
      <c r="A11" s="26" t="inlineStr">
        <is>
          <t>Pix</t>
        </is>
      </c>
      <c r="B11" s="27">
        <f>COUNTIFS(Vendas!$D$5:$D$2004,"Pix",Vendas!$P$5:$P$2004,Config!$B$7,Vendas!$Q$5:$Q$2004,Config!$B$5)</f>
        <v>37</v>
      </c>
      <c r="C11" s="28">
        <f>SUMIFS(Vendas!$F$5:$F$2004,Vendas!$D$5:$D$2004,"Pix",Vendas!$P$5:$P$2004,Config!$B$7,Vendas!$Q$5:$Q$2004,Config!$B$5)</f>
        <v>13380</v>
      </c>
      <c r="D11" s="29">
        <f>SUMIFS(Vendas!$I$5:$I$2004,Vendas!$D$5:$D$2004,"Pix",Vendas!$P$5:$P$2004,Config!$B$7,Vendas!$Q$5:$Q$2004,Config!$B$5)</f>
        <v>0</v>
      </c>
      <c r="E11" s="30">
        <f>IF(C11=0,"",D11/C11)</f>
        <v>0</v>
      </c>
      <c r="F11" s="28">
        <f>C11-D11</f>
        <v>13380</v>
      </c>
      <c r="G11" s="31">
        <f>IF($A$5=0,"",C11/$A$5)</f>
        <v>0.42049025769956</v>
      </c>
      <c r="H11" s="32" t="str">
        <f>IF(G11="","",REPT("█",ROUND(G11*30,0)))</f>
        <v>█████████████</v>
      </c>
      <c r="I11" s="24" t="n"/>
      <c r="J11" s="25" t="n"/>
    </row>
    <row r="12">
      <c r="A12" s="26" t="inlineStr">
        <is>
          <t>Cartão de débito</t>
        </is>
      </c>
      <c r="B12" s="27">
        <f>COUNTIFS(Vendas!$D$5:$D$2004,"Cartão de débito",Vendas!$P$5:$P$2004,Config!$B$7,Vendas!$Q$5:$Q$2004,Config!$B$5)</f>
        <v>22</v>
      </c>
      <c r="C12" s="28">
        <f>SUMIFS(Vendas!$F$5:$F$2004,Vendas!$D$5:$D$2004,"Cartão de débito",Vendas!$P$5:$P$2004,Config!$B$7,Vendas!$Q$5:$Q$2004,Config!$B$5)</f>
        <v>8090</v>
      </c>
      <c r="D12" s="29">
        <f>SUMIFS(Vendas!$I$5:$I$2004,Vendas!$D$5:$D$2004,"Cartão de débito",Vendas!$P$5:$P$2004,Config!$B$7,Vendas!$Q$5:$Q$2004,Config!$B$5)</f>
        <v>121.35</v>
      </c>
      <c r="E12" s="30">
        <f>IF(C12=0,"",D12/C12)</f>
        <v>0.015</v>
      </c>
      <c r="F12" s="28">
        <f>C12-D12</f>
        <v>7968.65</v>
      </c>
      <c r="G12" s="31">
        <f>IF($A$5=0,"",C12/$A$5)</f>
        <v>0.254242614707731</v>
      </c>
      <c r="H12" s="32" t="str">
        <f>IF(G12="","",REPT("█",ROUND(G12*30,0)))</f>
        <v>████████</v>
      </c>
      <c r="I12" s="24" t="n"/>
      <c r="J12" s="25" t="n"/>
    </row>
    <row r="13">
      <c r="A13" s="26" t="inlineStr">
        <is>
          <t>Cartão de crédito à vista</t>
        </is>
      </c>
      <c r="B13" s="27">
        <f>COUNTIFS(Vendas!$D$5:$D$2004,"Cartão de crédito",Vendas!$P$5:$P$2004,Config!$B$7,Vendas!$Q$5:$Q$2004,Config!$B$5)-COUNTIFS(Vendas!$D$5:$D$2004,"Cartão de crédito",Vendas!$E$5:$E$2004,"&gt;1",Vendas!$P$5:$P$2004,Config!$B$7,Vendas!$Q$5:$Q$2004,Config!$B$5)</f>
        <v>16</v>
      </c>
      <c r="C13" s="28">
        <f>SUMIFS(Vendas!$F$5:$F$2004,Vendas!$D$5:$D$2004,"Cartão de crédito",Vendas!$P$5:$P$2004,Config!$B$7,Vendas!$Q$5:$Q$2004,Config!$B$5)-SUMIFS(Vendas!$F$5:$F$2004,Vendas!$D$5:$D$2004,"Cartão de crédito",Vendas!$E$5:$E$2004,"&gt;1",Vendas!$P$5:$P$2004,Config!$B$7,Vendas!$Q$5:$Q$2004,Config!$B$5)</f>
        <v>5840</v>
      </c>
      <c r="D13" s="29">
        <f>SUMIFS(Vendas!$I$5:$I$2004,Vendas!$D$5:$D$2004,"Cartão de crédito",Vendas!$P$5:$P$2004,Config!$B$7,Vendas!$Q$5:$Q$2004,Config!$B$5)-SUMIFS(Vendas!$I$5:$I$2004,Vendas!$D$5:$D$2004,"Cartão de crédito",Vendas!$E$5:$E$2004,"&gt;1",Vendas!$P$5:$P$2004,Config!$B$7,Vendas!$Q$5:$Q$2004,Config!$B$5)</f>
        <v>186.88</v>
      </c>
      <c r="E13" s="30">
        <f>IF(C13=0,"",D13/C13)</f>
        <v>0.032</v>
      </c>
      <c r="F13" s="28">
        <f>C13-D13</f>
        <v>5653.12</v>
      </c>
      <c r="G13" s="31">
        <f>IF($A$5=0,"",C13/$A$5)</f>
        <v>0.183532369578881</v>
      </c>
      <c r="H13" s="32" t="str">
        <f>IF(G13="","",REPT("█",ROUND(G13*30,0)))</f>
        <v>██████</v>
      </c>
      <c r="I13" s="24" t="n"/>
      <c r="J13" s="25" t="n"/>
    </row>
    <row r="14">
      <c r="A14" s="26" t="inlineStr">
        <is>
          <t>Cartão de crédito parcelado</t>
        </is>
      </c>
      <c r="B14" s="27">
        <f>COUNTIFS(Vendas!$D$5:$D$2004,"Cartão de crédito",Vendas!$E$5:$E$2004,"&gt;1",Vendas!$P$5:$P$2004,Config!$B$7,Vendas!$Q$5:$Q$2004,Config!$B$5)</f>
        <v>12</v>
      </c>
      <c r="C14" s="28">
        <f>SUMIFS(Vendas!$F$5:$F$2004,Vendas!$D$5:$D$2004,"Cartão de crédito",Vendas!$E$5:$E$2004,"&gt;1",Vendas!$P$5:$P$2004,Config!$B$7,Vendas!$Q$5:$Q$2004,Config!$B$5)</f>
        <v>4510</v>
      </c>
      <c r="D14" s="29">
        <f>SUMIFS(Vendas!$I$5:$I$2004,Vendas!$D$5:$D$2004,"Cartão de crédito",Vendas!$E$5:$E$2004,"&gt;1",Vendas!$P$5:$P$2004,Config!$B$7,Vendas!$Q$5:$Q$2004,Config!$B$5)</f>
        <v>175.89</v>
      </c>
      <c r="E14" s="30">
        <f>IF(C14=0,"",D14/C14)</f>
        <v>0.039</v>
      </c>
      <c r="F14" s="28">
        <f>C14-D14</f>
        <v>4334.11</v>
      </c>
      <c r="G14" s="31">
        <f>IF($A$5=0,"",C14/$A$5)</f>
        <v>0.141734758013828</v>
      </c>
      <c r="H14" s="32" t="str">
        <f>IF(G14="","",REPT("█",ROUND(G14*30,0)))</f>
        <v>████</v>
      </c>
      <c r="I14" s="24" t="n"/>
      <c r="J14" s="25" t="n"/>
    </row>
    <row r="15">
      <c r="A15" s="33" t="inlineStr">
        <is>
          <t>Total</t>
        </is>
      </c>
      <c r="B15" s="33">
        <f>SUM(B11:B14)</f>
        <v>87</v>
      </c>
      <c r="C15" s="34">
        <f>SUM(C11:C14)</f>
        <v>31820</v>
      </c>
      <c r="D15" s="35">
        <f>SUM(D11:D14)</f>
        <v>484.12</v>
      </c>
      <c r="F15" s="34">
        <f>SUM(F11:F14)</f>
        <v>31335.88</v>
      </c>
    </row>
    <row r="16">
      <c r="A16" s="36" t="inlineStr">
        <is>
          <t>Parcelado custa mais e demora mais. Se o parcelado pesa, vale oferecer desconto no Pix em vez de absorver a taxa; a decisão é da clínica.</t>
        </is>
      </c>
    </row>
    <row r="17"/>
    <row r="18">
      <c r="A18" s="22" t="inlineStr">
        <is>
          <t>Dia a dia do mês: vendas, taxas e previsão de crédito</t>
        </is>
      </c>
    </row>
    <row r="19" ht="32" customHeight="1">
      <c r="A19" s="23" t="inlineStr">
        <is>
          <t>Dia</t>
        </is>
      </c>
      <c r="B19" s="23" t="inlineStr">
        <is>
          <t>Data</t>
        </is>
      </c>
      <c r="C19" s="23" t="inlineStr">
        <is>
          <t>Vendas</t>
        </is>
      </c>
      <c r="D19" s="23" t="inlineStr">
        <is>
          <t>Bruto (R$)</t>
        </is>
      </c>
      <c r="E19" s="23" t="inlineStr">
        <is>
          <t>Taxas (R$)</t>
        </is>
      </c>
      <c r="F19" s="23" t="inlineStr">
        <is>
          <t>Líquido (R$)</t>
        </is>
      </c>
      <c r="G19" s="23" t="inlineStr">
        <is>
          <t>Cai na conta neste dia (R$)</t>
        </is>
      </c>
      <c r="H19" s="23" t="inlineStr">
        <is>
          <t>Conferido?</t>
        </is>
      </c>
    </row>
    <row r="20">
      <c r="A20" s="27" t="n">
        <v>1</v>
      </c>
      <c r="B20" s="37">
        <f>IF(1&gt;DAY(DATE(Config!$B$5,Config!$B$7+1,0)),"",DATE(Config!$B$5,Config!$B$7,1))</f>
        <v>46235.0</v>
      </c>
      <c r="C20" s="27">
        <f>IF(B20="","",COUNTIFS(Vendas!$A$5:$A$2004,B20))</f>
        <v>0</v>
      </c>
      <c r="D20" s="28">
        <f>IF(B20="","",SUMIFS(Vendas!$F$5:$F$2004,Vendas!$A$5:$A$2004,B20))</f>
        <v>0</v>
      </c>
      <c r="E20" s="29">
        <f>IF(B20="","",SUMIFS(Vendas!$I$5:$I$2004,Vendas!$A$5:$A$2004,B20))</f>
        <v>0</v>
      </c>
      <c r="F20" s="28">
        <f>IF(B20="","",D20-E20)</f>
        <v>0</v>
      </c>
      <c r="G20" s="28">
        <f>IF(B20="","",SUMPRODUCT((Vendas!$U$5:$U$2004&gt;0)*(Vendas!$U$5:$U$2004&lt;=B20)*(MOD(B20-Vendas!$U$5:$U$2004,30)=0)*((B20-Vendas!$U$5:$U$2004)/30&lt;Vendas!$V$5:$V$2004)*Vendas!$W$5:$W$2004))</f>
        <v>1886.245</v>
      </c>
      <c r="H20" s="27" t="str">
        <f>IF(OR(B20="",G20=0),"",IF(COUNTIFS(Vendas!$L$5:$L$2004,B20,Vendas!$R$5:$R$2004,"A conferir")&gt;0,"Falta conferir",IF(B20&gt;Config!$B$8,"A cair","Conferido")))</f>
        <v>Conferido</v>
      </c>
    </row>
    <row r="21">
      <c r="A21" s="27" t="n">
        <v>2</v>
      </c>
      <c r="B21" s="37">
        <f>IF(2&gt;DAY(DATE(Config!$B$5,Config!$B$7+1,0)),"",DATE(Config!$B$5,Config!$B$7,2))</f>
        <v>46236.0</v>
      </c>
      <c r="C21" s="27">
        <f>IF(B21="","",COUNTIFS(Vendas!$A$5:$A$2004,B21))</f>
        <v>0</v>
      </c>
      <c r="D21" s="28">
        <f>IF(B21="","",SUMIFS(Vendas!$F$5:$F$2004,Vendas!$A$5:$A$2004,B21))</f>
        <v>0</v>
      </c>
      <c r="E21" s="29">
        <f>IF(B21="","",SUMIFS(Vendas!$I$5:$I$2004,Vendas!$A$5:$A$2004,B21))</f>
        <v>0</v>
      </c>
      <c r="F21" s="28">
        <f>IF(B21="","",D21-E21)</f>
        <v>0</v>
      </c>
      <c r="G21" s="28">
        <f>IF(B21="","",SUMPRODUCT((Vendas!$U$5:$U$2004&gt;0)*(Vendas!$U$5:$U$2004&lt;=B21)*(MOD(B21-Vendas!$U$5:$U$2004,30)=0)*((B21-Vendas!$U$5:$U$2004)/30&lt;Vendas!$V$5:$V$2004)*Vendas!$W$5:$W$2004))</f>
        <v>0</v>
      </c>
      <c r="H21" s="27">
        <f>IF(OR(B21="",G21=0),"",IF(COUNTIFS(Vendas!$L$5:$L$2004,B21,Vendas!$R$5:$R$2004,"A conferir")&gt;0,"Falta conferir",IF(B21&gt;Config!$B$8,"A cair","Conferido")))</f>
        <v/>
      </c>
    </row>
    <row r="22">
      <c r="A22" s="27" t="n">
        <v>3</v>
      </c>
      <c r="B22" s="37">
        <f>IF(3&gt;DAY(DATE(Config!$B$5,Config!$B$7+1,0)),"",DATE(Config!$B$5,Config!$B$7,3))</f>
        <v>46237.0</v>
      </c>
      <c r="C22" s="27">
        <f>IF(B22="","",COUNTIFS(Vendas!$A$5:$A$2004,B22))</f>
        <v>2</v>
      </c>
      <c r="D22" s="28">
        <f>IF(B22="","",SUMIFS(Vendas!$F$5:$F$2004,Vendas!$A$5:$A$2004,B22))</f>
        <v>680</v>
      </c>
      <c r="E22" s="29">
        <f>IF(B22="","",SUMIFS(Vendas!$I$5:$I$2004,Vendas!$A$5:$A$2004,B22))</f>
        <v>16.66</v>
      </c>
      <c r="F22" s="28">
        <f>IF(B22="","",D22-E22)</f>
        <v>663.34</v>
      </c>
      <c r="G22" s="28">
        <f>IF(B22="","",SUMPRODUCT((Vendas!$U$5:$U$2004&gt;0)*(Vendas!$U$5:$U$2004&lt;=B22)*(MOD(B22-Vendas!$U$5:$U$2004,30)=0)*((B22-Vendas!$U$5:$U$2004)/30&lt;Vendas!$V$5:$V$2004)*Vendas!$W$5:$W$2004))</f>
        <v>0</v>
      </c>
      <c r="H22" s="27">
        <f>IF(OR(B22="",G22=0),"",IF(COUNTIFS(Vendas!$L$5:$L$2004,B22,Vendas!$R$5:$R$2004,"A conferir")&gt;0,"Falta conferir",IF(B22&gt;Config!$B$8,"A cair","Conferido")))</f>
        <v/>
      </c>
    </row>
    <row r="23">
      <c r="A23" s="27" t="n">
        <v>4</v>
      </c>
      <c r="B23" s="37">
        <f>IF(4&gt;DAY(DATE(Config!$B$5,Config!$B$7+1,0)),"",DATE(Config!$B$5,Config!$B$7,4))</f>
        <v>46238.0</v>
      </c>
      <c r="C23" s="27">
        <f>IF(B23="","",COUNTIFS(Vendas!$A$5:$A$2004,B23))</f>
        <v>8</v>
      </c>
      <c r="D23" s="28">
        <f>IF(B23="","",SUMIFS(Vendas!$F$5:$F$2004,Vendas!$A$5:$A$2004,B23))</f>
        <v>3060</v>
      </c>
      <c r="E23" s="29">
        <f>IF(B23="","",SUMIFS(Vendas!$I$5:$I$2004,Vendas!$A$5:$A$2004,B23))</f>
        <v>47.42</v>
      </c>
      <c r="F23" s="28">
        <f>IF(B23="","",D23-E23)</f>
        <v>3012.58</v>
      </c>
      <c r="G23" s="28">
        <f>IF(B23="","",SUMPRODUCT((Vendas!$U$5:$U$2004&gt;0)*(Vendas!$U$5:$U$2004&lt;=B23)*(MOD(B23-Vendas!$U$5:$U$2004,30)=0)*((B23-Vendas!$U$5:$U$2004)/30&lt;Vendas!$V$5:$V$2004)*Vendas!$W$5:$W$2004))</f>
        <v>1055.5</v>
      </c>
      <c r="H23" s="27" t="str">
        <f>IF(OR(B23="",G23=0),"",IF(COUNTIFS(Vendas!$L$5:$L$2004,B23,Vendas!$R$5:$R$2004,"A conferir")&gt;0,"Falta conferir",IF(B23&gt;Config!$B$8,"A cair","Conferido")))</f>
        <v>Conferido</v>
      </c>
    </row>
    <row r="24">
      <c r="A24" s="27" t="n">
        <v>5</v>
      </c>
      <c r="B24" s="37">
        <f>IF(5&gt;DAY(DATE(Config!$B$5,Config!$B$7+1,0)),"",DATE(Config!$B$5,Config!$B$7,5))</f>
        <v>46239.0</v>
      </c>
      <c r="C24" s="27">
        <f>IF(B24="","",COUNTIFS(Vendas!$A$5:$A$2004,B24))</f>
        <v>3</v>
      </c>
      <c r="D24" s="28">
        <f>IF(B24="","",SUMIFS(Vendas!$F$5:$F$2004,Vendas!$A$5:$A$2004,B24))</f>
        <v>1140</v>
      </c>
      <c r="E24" s="29">
        <f>IF(B24="","",SUMIFS(Vendas!$I$5:$I$2004,Vendas!$A$5:$A$2004,B24))</f>
        <v>20.52</v>
      </c>
      <c r="F24" s="28">
        <f>IF(B24="","",D24-E24)</f>
        <v>1119.48</v>
      </c>
      <c r="G24" s="28">
        <f>IF(B24="","",SUMPRODUCT((Vendas!$U$5:$U$2004&gt;0)*(Vendas!$U$5:$U$2004&lt;=B24)*(MOD(B24-Vendas!$U$5:$U$2004,30)=0)*((B24-Vendas!$U$5:$U$2004)/30&lt;Vendas!$V$5:$V$2004)*Vendas!$W$5:$W$2004))</f>
        <v>2447.33</v>
      </c>
      <c r="H24" s="27" t="str">
        <f>IF(OR(B24="",G24=0),"",IF(COUNTIFS(Vendas!$L$5:$L$2004,B24,Vendas!$R$5:$R$2004,"A conferir")&gt;0,"Falta conferir",IF(B24&gt;Config!$B$8,"A cair","Conferido")))</f>
        <v>Conferido</v>
      </c>
    </row>
    <row r="25">
      <c r="A25" s="27" t="n">
        <v>6</v>
      </c>
      <c r="B25" s="37">
        <f>IF(6&gt;DAY(DATE(Config!$B$5,Config!$B$7+1,0)),"",DATE(Config!$B$5,Config!$B$7,6))</f>
        <v>46240.0</v>
      </c>
      <c r="C25" s="27">
        <f>IF(B25="","",COUNTIFS(Vendas!$A$5:$A$2004,B25))</f>
        <v>5</v>
      </c>
      <c r="D25" s="28">
        <f>IF(B25="","",SUMIFS(Vendas!$F$5:$F$2004,Vendas!$A$5:$A$2004,B25))</f>
        <v>2010</v>
      </c>
      <c r="E25" s="29">
        <f>IF(B25="","",SUMIFS(Vendas!$I$5:$I$2004,Vendas!$A$5:$A$2004,B25))</f>
        <v>36.12</v>
      </c>
      <c r="F25" s="28">
        <f>IF(B25="","",D25-E25)</f>
        <v>1973.88</v>
      </c>
      <c r="G25" s="28">
        <f>IF(B25="","",SUMPRODUCT((Vendas!$U$5:$U$2004&gt;0)*(Vendas!$U$5:$U$2004&lt;=B25)*(MOD(B25-Vendas!$U$5:$U$2004,30)=0)*((B25-Vendas!$U$5:$U$2004)/30&lt;Vendas!$V$5:$V$2004)*Vendas!$W$5:$W$2004))</f>
        <v>1959.98</v>
      </c>
      <c r="H25" s="27" t="str">
        <f>IF(OR(B25="",G25=0),"",IF(COUNTIFS(Vendas!$L$5:$L$2004,B25,Vendas!$R$5:$R$2004,"A conferir")&gt;0,"Falta conferir",IF(B25&gt;Config!$B$8,"A cair","Conferido")))</f>
        <v>Conferido</v>
      </c>
    </row>
    <row r="26">
      <c r="A26" s="27" t="n">
        <v>7</v>
      </c>
      <c r="B26" s="37">
        <f>IF(7&gt;DAY(DATE(Config!$B$5,Config!$B$7+1,0)),"",DATE(Config!$B$5,Config!$B$7,7))</f>
        <v>46241.0</v>
      </c>
      <c r="C26" s="27">
        <f>IF(B26="","",COUNTIFS(Vendas!$A$5:$A$2004,B26))</f>
        <v>2</v>
      </c>
      <c r="D26" s="28">
        <f>IF(B26="","",SUMIFS(Vendas!$F$5:$F$2004,Vendas!$A$5:$A$2004,B26))</f>
        <v>510</v>
      </c>
      <c r="E26" s="29">
        <f>IF(B26="","",SUMIFS(Vendas!$I$5:$I$2004,Vendas!$A$5:$A$2004,B26))</f>
        <v>12.16</v>
      </c>
      <c r="F26" s="28">
        <f>IF(B26="","",D26-E26)</f>
        <v>497.84</v>
      </c>
      <c r="G26" s="28">
        <f>IF(B26="","",SUMPRODUCT((Vendas!$U$5:$U$2004&gt;0)*(Vendas!$U$5:$U$2004&lt;=B26)*(MOD(B26-Vendas!$U$5:$U$2004,30)=0)*((B26-Vendas!$U$5:$U$2004)/30&lt;Vendas!$V$5:$V$2004)*Vendas!$W$5:$W$2004))</f>
        <v>872.14</v>
      </c>
      <c r="H26" s="27" t="str">
        <f>IF(OR(B26="",G26=0),"",IF(COUNTIFS(Vendas!$L$5:$L$2004,B26,Vendas!$R$5:$R$2004,"A conferir")&gt;0,"Falta conferir",IF(B26&gt;Config!$B$8,"A cair","Conferido")))</f>
        <v>Conferido</v>
      </c>
    </row>
    <row r="27">
      <c r="A27" s="27" t="n">
        <v>8</v>
      </c>
      <c r="B27" s="37">
        <f>IF(8&gt;DAY(DATE(Config!$B$5,Config!$B$7+1,0)),"",DATE(Config!$B$5,Config!$B$7,8))</f>
        <v>46242.0</v>
      </c>
      <c r="C27" s="27">
        <f>IF(B27="","",COUNTIFS(Vendas!$A$5:$A$2004,B27))</f>
        <v>0</v>
      </c>
      <c r="D27" s="28">
        <f>IF(B27="","",SUMIFS(Vendas!$F$5:$F$2004,Vendas!$A$5:$A$2004,B27))</f>
        <v>0</v>
      </c>
      <c r="E27" s="29">
        <f>IF(B27="","",SUMIFS(Vendas!$I$5:$I$2004,Vendas!$A$5:$A$2004,B27))</f>
        <v>0</v>
      </c>
      <c r="F27" s="28">
        <f>IF(B27="","",D27-E27)</f>
        <v>0</v>
      </c>
      <c r="G27" s="28">
        <f>IF(B27="","",SUMPRODUCT((Vendas!$U$5:$U$2004&gt;0)*(Vendas!$U$5:$U$2004&lt;=B27)*(MOD(B27-Vendas!$U$5:$U$2004,30)=0)*((B27-Vendas!$U$5:$U$2004)/30&lt;Vendas!$V$5:$V$2004)*Vendas!$W$5:$W$2004))</f>
        <v>1623.51</v>
      </c>
      <c r="H27" s="27" t="str">
        <f>IF(OR(B27="",G27=0),"",IF(COUNTIFS(Vendas!$L$5:$L$2004,B27,Vendas!$R$5:$R$2004,"A conferir")&gt;0,"Falta conferir",IF(B27&gt;Config!$B$8,"A cair","Conferido")))</f>
        <v>Conferido</v>
      </c>
    </row>
    <row r="28">
      <c r="A28" s="27" t="n">
        <v>9</v>
      </c>
      <c r="B28" s="37">
        <f>IF(9&gt;DAY(DATE(Config!$B$5,Config!$B$7+1,0)),"",DATE(Config!$B$5,Config!$B$7,9))</f>
        <v>46243.0</v>
      </c>
      <c r="C28" s="27">
        <f>IF(B28="","",COUNTIFS(Vendas!$A$5:$A$2004,B28))</f>
        <v>0</v>
      </c>
      <c r="D28" s="28">
        <f>IF(B28="","",SUMIFS(Vendas!$F$5:$F$2004,Vendas!$A$5:$A$2004,B28))</f>
        <v>0</v>
      </c>
      <c r="E28" s="29">
        <f>IF(B28="","",SUMIFS(Vendas!$I$5:$I$2004,Vendas!$A$5:$A$2004,B28))</f>
        <v>0</v>
      </c>
      <c r="F28" s="28">
        <f>IF(B28="","",D28-E28)</f>
        <v>0</v>
      </c>
      <c r="G28" s="28">
        <f>IF(B28="","",SUMPRODUCT((Vendas!$U$5:$U$2004&gt;0)*(Vendas!$U$5:$U$2004&lt;=B28)*(MOD(B28-Vendas!$U$5:$U$2004,30)=0)*((B28-Vendas!$U$5:$U$2004)/30&lt;Vendas!$V$5:$V$2004)*Vendas!$W$5:$W$2004))</f>
        <v>0</v>
      </c>
      <c r="H28" s="27">
        <f>IF(OR(B28="",G28=0),"",IF(COUNTIFS(Vendas!$L$5:$L$2004,B28,Vendas!$R$5:$R$2004,"A conferir")&gt;0,"Falta conferir",IF(B28&gt;Config!$B$8,"A cair","Conferido")))</f>
        <v/>
      </c>
    </row>
    <row r="29">
      <c r="A29" s="27" t="n">
        <v>10</v>
      </c>
      <c r="B29" s="37">
        <f>IF(10&gt;DAY(DATE(Config!$B$5,Config!$B$7+1,0)),"",DATE(Config!$B$5,Config!$B$7,10))</f>
        <v>46244.0</v>
      </c>
      <c r="C29" s="27">
        <f>IF(B29="","",COUNTIFS(Vendas!$A$5:$A$2004,B29))</f>
        <v>3</v>
      </c>
      <c r="D29" s="28">
        <f>IF(B29="","",SUMIFS(Vendas!$F$5:$F$2004,Vendas!$A$5:$A$2004,B29))</f>
        <v>860</v>
      </c>
      <c r="E29" s="29">
        <f>IF(B29="","",SUMIFS(Vendas!$I$5:$I$2004,Vendas!$A$5:$A$2004,B29))</f>
        <v>17.41</v>
      </c>
      <c r="F29" s="28">
        <f>IF(B29="","",D29-E29)</f>
        <v>842.59</v>
      </c>
      <c r="G29" s="28">
        <f>IF(B29="","",SUMPRODUCT((Vendas!$U$5:$U$2004&gt;0)*(Vendas!$U$5:$U$2004&lt;=B29)*(MOD(B29-Vendas!$U$5:$U$2004,30)=0)*((B29-Vendas!$U$5:$U$2004)/30&lt;Vendas!$V$5:$V$2004)*Vendas!$W$5:$W$2004))</f>
        <v>130</v>
      </c>
      <c r="H29" s="27" t="str">
        <f>IF(OR(B29="",G29=0),"",IF(COUNTIFS(Vendas!$L$5:$L$2004,B29,Vendas!$R$5:$R$2004,"A conferir")&gt;0,"Falta conferir",IF(B29&gt;Config!$B$8,"A cair","Conferido")))</f>
        <v>Conferido</v>
      </c>
    </row>
    <row r="30">
      <c r="A30" s="27" t="n">
        <v>11</v>
      </c>
      <c r="B30" s="37">
        <f>IF(11&gt;DAY(DATE(Config!$B$5,Config!$B$7+1,0)),"",DATE(Config!$B$5,Config!$B$7,11))</f>
        <v>46245.0</v>
      </c>
      <c r="C30" s="27">
        <f>IF(B30="","",COUNTIFS(Vendas!$A$5:$A$2004,B30))</f>
        <v>7</v>
      </c>
      <c r="D30" s="28">
        <f>IF(B30="","",SUMIFS(Vendas!$F$5:$F$2004,Vendas!$A$5:$A$2004,B30))</f>
        <v>2490</v>
      </c>
      <c r="E30" s="29">
        <f>IF(B30="","",SUMIFS(Vendas!$I$5:$I$2004,Vendas!$A$5:$A$2004,B30))</f>
        <v>45.03</v>
      </c>
      <c r="F30" s="28">
        <f>IF(B30="","",D30-E30)</f>
        <v>2444.97</v>
      </c>
      <c r="G30" s="28">
        <f>IF(B30="","",SUMPRODUCT((Vendas!$U$5:$U$2004&gt;0)*(Vendas!$U$5:$U$2004&lt;=B30)*(MOD(B30-Vendas!$U$5:$U$2004,30)=0)*((B30-Vendas!$U$5:$U$2004)/30&lt;Vendas!$V$5:$V$2004)*Vendas!$W$5:$W$2004))</f>
        <v>1540.975</v>
      </c>
      <c r="H30" s="27" t="str">
        <f>IF(OR(B30="",G30=0),"",IF(COUNTIFS(Vendas!$L$5:$L$2004,B30,Vendas!$R$5:$R$2004,"A conferir")&gt;0,"Falta conferir",IF(B30&gt;Config!$B$8,"A cair","Conferido")))</f>
        <v>Conferido</v>
      </c>
    </row>
    <row r="31">
      <c r="A31" s="27" t="n">
        <v>12</v>
      </c>
      <c r="B31" s="37">
        <f>IF(12&gt;DAY(DATE(Config!$B$5,Config!$B$7+1,0)),"",DATE(Config!$B$5,Config!$B$7,12))</f>
        <v>46246.0</v>
      </c>
      <c r="C31" s="27">
        <f>IF(B31="","",COUNTIFS(Vendas!$A$5:$A$2004,B31))</f>
        <v>4</v>
      </c>
      <c r="D31" s="28">
        <f>IF(B31="","",SUMIFS(Vendas!$F$5:$F$2004,Vendas!$A$5:$A$2004,B31))</f>
        <v>1520</v>
      </c>
      <c r="E31" s="29">
        <f>IF(B31="","",SUMIFS(Vendas!$I$5:$I$2004,Vendas!$A$5:$A$2004,B31))</f>
        <v>24.32</v>
      </c>
      <c r="F31" s="28">
        <f>IF(B31="","",D31-E31)</f>
        <v>1495.68</v>
      </c>
      <c r="G31" s="28">
        <f>IF(B31="","",SUMPRODUCT((Vendas!$U$5:$U$2004&gt;0)*(Vendas!$U$5:$U$2004&lt;=B31)*(MOD(B31-Vendas!$U$5:$U$2004,30)=0)*((B31-Vendas!$U$5:$U$2004)/30&lt;Vendas!$V$5:$V$2004)*Vendas!$W$5:$W$2004))</f>
        <v>1413.18</v>
      </c>
      <c r="H31" s="27" t="str">
        <f>IF(OR(B31="",G31=0),"",IF(COUNTIFS(Vendas!$L$5:$L$2004,B31,Vendas!$R$5:$R$2004,"A conferir")&gt;0,"Falta conferir",IF(B31&gt;Config!$B$8,"A cair","Conferido")))</f>
        <v>Falta conferir</v>
      </c>
    </row>
    <row r="32">
      <c r="A32" s="27" t="n">
        <v>13</v>
      </c>
      <c r="B32" s="37">
        <f>IF(13&gt;DAY(DATE(Config!$B$5,Config!$B$7+1,0)),"",DATE(Config!$B$5,Config!$B$7,13))</f>
        <v>46247.0</v>
      </c>
      <c r="C32" s="27">
        <f>IF(B32="","",COUNTIFS(Vendas!$A$5:$A$2004,B32))</f>
        <v>8</v>
      </c>
      <c r="D32" s="28">
        <f>IF(B32="","",SUMIFS(Vendas!$F$5:$F$2004,Vendas!$A$5:$A$2004,B32))</f>
        <v>3120</v>
      </c>
      <c r="E32" s="29">
        <f>IF(B32="","",SUMIFS(Vendas!$I$5:$I$2004,Vendas!$A$5:$A$2004,B32))</f>
        <v>24.16</v>
      </c>
      <c r="F32" s="28">
        <f>IF(B32="","",D32-E32)</f>
        <v>3095.84</v>
      </c>
      <c r="G32" s="28">
        <f>IF(B32="","",SUMPRODUCT((Vendas!$U$5:$U$2004&gt;0)*(Vendas!$U$5:$U$2004&lt;=B32)*(MOD(B32-Vendas!$U$5:$U$2004,30)=0)*((B32-Vendas!$U$5:$U$2004)/30&lt;Vendas!$V$5:$V$2004)*Vendas!$W$5:$W$2004))</f>
        <v>3551.38</v>
      </c>
      <c r="H32" s="27" t="str">
        <f>IF(OR(B32="",G32=0),"",IF(COUNTIFS(Vendas!$L$5:$L$2004,B32,Vendas!$R$5:$R$2004,"A conferir")&gt;0,"Falta conferir",IF(B32&gt;Config!$B$8,"A cair","Conferido")))</f>
        <v>Falta conferir</v>
      </c>
    </row>
    <row r="33">
      <c r="A33" s="27" t="n">
        <v>14</v>
      </c>
      <c r="B33" s="37">
        <f>IF(14&gt;DAY(DATE(Config!$B$5,Config!$B$7+1,0)),"",DATE(Config!$B$5,Config!$B$7,14))</f>
        <v>46248.0</v>
      </c>
      <c r="C33" s="27">
        <f>IF(B33="","",COUNTIFS(Vendas!$A$5:$A$2004,B33))</f>
        <v>0</v>
      </c>
      <c r="D33" s="28">
        <f>IF(B33="","",SUMIFS(Vendas!$F$5:$F$2004,Vendas!$A$5:$A$2004,B33))</f>
        <v>0</v>
      </c>
      <c r="E33" s="29">
        <f>IF(B33="","",SUMIFS(Vendas!$I$5:$I$2004,Vendas!$A$5:$A$2004,B33))</f>
        <v>0</v>
      </c>
      <c r="F33" s="28">
        <f>IF(B33="","",D33-E33)</f>
        <v>0</v>
      </c>
      <c r="G33" s="28">
        <f>IF(B33="","",SUMPRODUCT((Vendas!$U$5:$U$2004&gt;0)*(Vendas!$U$5:$U$2004&lt;=B33)*(MOD(B33-Vendas!$U$5:$U$2004,30)=0)*((B33-Vendas!$U$5:$U$2004)/30&lt;Vendas!$V$5:$V$2004)*Vendas!$W$5:$W$2004))</f>
        <v>1155.84</v>
      </c>
      <c r="H33" s="27" t="str">
        <f>IF(OR(B33="",G33=0),"",IF(COUNTIFS(Vendas!$L$5:$L$2004,B33,Vendas!$R$5:$R$2004,"A conferir")&gt;0,"Falta conferir",IF(B33&gt;Config!$B$8,"A cair","Conferido")))</f>
        <v>Conferido</v>
      </c>
    </row>
    <row r="34">
      <c r="A34" s="27" t="n">
        <v>15</v>
      </c>
      <c r="B34" s="37">
        <f>IF(15&gt;DAY(DATE(Config!$B$5,Config!$B$7+1,0)),"",DATE(Config!$B$5,Config!$B$7,15))</f>
        <v>46249.0</v>
      </c>
      <c r="C34" s="27">
        <f>IF(B34="","",COUNTIFS(Vendas!$A$5:$A$2004,B34))</f>
        <v>0</v>
      </c>
      <c r="D34" s="28">
        <f>IF(B34="","",SUMIFS(Vendas!$F$5:$F$2004,Vendas!$A$5:$A$2004,B34))</f>
        <v>0</v>
      </c>
      <c r="E34" s="29">
        <f>IF(B34="","",SUMIFS(Vendas!$I$5:$I$2004,Vendas!$A$5:$A$2004,B34))</f>
        <v>0</v>
      </c>
      <c r="F34" s="28">
        <f>IF(B34="","",D34-E34)</f>
        <v>0</v>
      </c>
      <c r="G34" s="28">
        <f>IF(B34="","",SUMPRODUCT((Vendas!$U$5:$U$2004&gt;0)*(Vendas!$U$5:$U$2004&lt;=B34)*(MOD(B34-Vendas!$U$5:$U$2004,30)=0)*((B34-Vendas!$U$5:$U$2004)/30&lt;Vendas!$V$5:$V$2004)*Vendas!$W$5:$W$2004))</f>
        <v>1122.88</v>
      </c>
      <c r="H34" s="27" t="str">
        <f>IF(OR(B34="",G34=0),"",IF(COUNTIFS(Vendas!$L$5:$L$2004,B34,Vendas!$R$5:$R$2004,"A conferir")&gt;0,"Falta conferir",IF(B34&gt;Config!$B$8,"A cair","Conferido")))</f>
        <v>Conferido</v>
      </c>
    </row>
    <row r="35">
      <c r="A35" s="27" t="n">
        <v>16</v>
      </c>
      <c r="B35" s="37">
        <f>IF(16&gt;DAY(DATE(Config!$B$5,Config!$B$7+1,0)),"",DATE(Config!$B$5,Config!$B$7,16))</f>
        <v>46250.0</v>
      </c>
      <c r="C35" s="27">
        <f>IF(B35="","",COUNTIFS(Vendas!$A$5:$A$2004,B35))</f>
        <v>0</v>
      </c>
      <c r="D35" s="28">
        <f>IF(B35="","",SUMIFS(Vendas!$F$5:$F$2004,Vendas!$A$5:$A$2004,B35))</f>
        <v>0</v>
      </c>
      <c r="E35" s="29">
        <f>IF(B35="","",SUMIFS(Vendas!$I$5:$I$2004,Vendas!$A$5:$A$2004,B35))</f>
        <v>0</v>
      </c>
      <c r="F35" s="28">
        <f>IF(B35="","",D35-E35)</f>
        <v>0</v>
      </c>
      <c r="G35" s="28">
        <f>IF(B35="","",SUMPRODUCT((Vendas!$U$5:$U$2004&gt;0)*(Vendas!$U$5:$U$2004&lt;=B35)*(MOD(B35-Vendas!$U$5:$U$2004,30)=0)*((B35-Vendas!$U$5:$U$2004)/30&lt;Vendas!$V$5:$V$2004)*Vendas!$W$5:$W$2004))</f>
        <v>367.84</v>
      </c>
      <c r="H35" s="27" t="str">
        <f>IF(OR(B35="",G35=0),"",IF(COUNTIFS(Vendas!$L$5:$L$2004,B35,Vendas!$R$5:$R$2004,"A conferir")&gt;0,"Falta conferir",IF(B35&gt;Config!$B$8,"A cair","Conferido")))</f>
        <v>Conferido</v>
      </c>
    </row>
    <row r="36">
      <c r="A36" s="27" t="n">
        <v>17</v>
      </c>
      <c r="B36" s="37">
        <f>IF(17&gt;DAY(DATE(Config!$B$5,Config!$B$7+1,0)),"",DATE(Config!$B$5,Config!$B$7,17))</f>
        <v>46251.0</v>
      </c>
      <c r="C36" s="27">
        <f>IF(B36="","",COUNTIFS(Vendas!$A$5:$A$2004,B36))</f>
        <v>3</v>
      </c>
      <c r="D36" s="28">
        <f>IF(B36="","",SUMIFS(Vendas!$F$5:$F$2004,Vendas!$A$5:$A$2004,B36))</f>
        <v>1060</v>
      </c>
      <c r="E36" s="29">
        <f>IF(B36="","",SUMIFS(Vendas!$I$5:$I$2004,Vendas!$A$5:$A$2004,B36))</f>
        <v>17.4</v>
      </c>
      <c r="F36" s="28">
        <f>IF(B36="","",D36-E36)</f>
        <v>1042.6</v>
      </c>
      <c r="G36" s="28">
        <f>IF(B36="","",SUMPRODUCT((Vendas!$U$5:$U$2004&gt;0)*(Vendas!$U$5:$U$2004&lt;=B36)*(MOD(B36-Vendas!$U$5:$U$2004,30)=0)*((B36-Vendas!$U$5:$U$2004)/30&lt;Vendas!$V$5:$V$2004)*Vendas!$W$5:$W$2004))</f>
        <v>380</v>
      </c>
      <c r="H36" s="27" t="str">
        <f>IF(OR(B36="",G36=0),"",IF(COUNTIFS(Vendas!$L$5:$L$2004,B36,Vendas!$R$5:$R$2004,"A conferir")&gt;0,"Falta conferir",IF(B36&gt;Config!$B$8,"A cair","Conferido")))</f>
        <v>Conferido</v>
      </c>
    </row>
    <row r="37">
      <c r="A37" s="27" t="n">
        <v>18</v>
      </c>
      <c r="B37" s="37">
        <f>IF(18&gt;DAY(DATE(Config!$B$5,Config!$B$7+1,0)),"",DATE(Config!$B$5,Config!$B$7,18))</f>
        <v>46252.0</v>
      </c>
      <c r="C37" s="27">
        <f>IF(B37="","",COUNTIFS(Vendas!$A$5:$A$2004,B37))</f>
        <v>4</v>
      </c>
      <c r="D37" s="28">
        <f>IF(B37="","",SUMIFS(Vendas!$F$5:$F$2004,Vendas!$A$5:$A$2004,B37))</f>
        <v>1540</v>
      </c>
      <c r="E37" s="29">
        <f>IF(B37="","",SUMIFS(Vendas!$I$5:$I$2004,Vendas!$A$5:$A$2004,B37))</f>
        <v>20.52</v>
      </c>
      <c r="F37" s="28">
        <f>IF(B37="","",D37-E37)</f>
        <v>1519.48</v>
      </c>
      <c r="G37" s="28">
        <f>IF(B37="","",SUMPRODUCT((Vendas!$U$5:$U$2004&gt;0)*(Vendas!$U$5:$U$2004&lt;=B37)*(MOD(B37-Vendas!$U$5:$U$2004,30)=0)*((B37-Vendas!$U$5:$U$2004)/30&lt;Vendas!$V$5:$V$2004)*Vendas!$W$5:$W$2004))</f>
        <v>1154.3</v>
      </c>
      <c r="H37" s="27" t="str">
        <f>IF(OR(B37="",G37=0),"",IF(COUNTIFS(Vendas!$L$5:$L$2004,B37,Vendas!$R$5:$R$2004,"A conferir")&gt;0,"Falta conferir",IF(B37&gt;Config!$B$8,"A cair","Conferido")))</f>
        <v>Conferido</v>
      </c>
    </row>
    <row r="38">
      <c r="A38" s="27" t="n">
        <v>19</v>
      </c>
      <c r="B38" s="37">
        <f>IF(19&gt;DAY(DATE(Config!$B$5,Config!$B$7+1,0)),"",DATE(Config!$B$5,Config!$B$7,19))</f>
        <v>46253.0</v>
      </c>
      <c r="C38" s="27">
        <f>IF(B38="","",COUNTIFS(Vendas!$A$5:$A$2004,B38))</f>
        <v>2</v>
      </c>
      <c r="D38" s="28">
        <f>IF(B38="","",SUMIFS(Vendas!$F$5:$F$2004,Vendas!$A$5:$A$2004,B38))</f>
        <v>760</v>
      </c>
      <c r="E38" s="29">
        <f>IF(B38="","",SUMIFS(Vendas!$I$5:$I$2004,Vendas!$A$5:$A$2004,B38))</f>
        <v>5.7</v>
      </c>
      <c r="F38" s="28">
        <f>IF(B38="","",D38-E38)</f>
        <v>754.3</v>
      </c>
      <c r="G38" s="28">
        <f>IF(B38="","",SUMPRODUCT((Vendas!$U$5:$U$2004&gt;0)*(Vendas!$U$5:$U$2004&lt;=B38)*(MOD(B38-Vendas!$U$5:$U$2004,30)=0)*((B38-Vendas!$U$5:$U$2004)/30&lt;Vendas!$V$5:$V$2004)*Vendas!$W$5:$W$2004))</f>
        <v>1489.98</v>
      </c>
      <c r="H38" s="27" t="str">
        <f>IF(OR(B38="",G38=0),"",IF(COUNTIFS(Vendas!$L$5:$L$2004,B38,Vendas!$R$5:$R$2004,"A conferir")&gt;0,"Falta conferir",IF(B38&gt;Config!$B$8,"A cair","Conferido")))</f>
        <v>Conferido</v>
      </c>
    </row>
    <row r="39">
      <c r="A39" s="27" t="n">
        <v>20</v>
      </c>
      <c r="B39" s="37">
        <f>IF(20&gt;DAY(DATE(Config!$B$5,Config!$B$7+1,0)),"",DATE(Config!$B$5,Config!$B$7,20))</f>
        <v>46254.0</v>
      </c>
      <c r="C39" s="27">
        <f>IF(B39="","",COUNTIFS(Vendas!$A$5:$A$2004,B39))</f>
        <v>9</v>
      </c>
      <c r="D39" s="28">
        <f>IF(B39="","",SUMIFS(Vendas!$F$5:$F$2004,Vendas!$A$5:$A$2004,B39))</f>
        <v>3370</v>
      </c>
      <c r="E39" s="29">
        <f>IF(B39="","",SUMIFS(Vendas!$I$5:$I$2004,Vendas!$A$5:$A$2004,B39))</f>
        <v>34.4</v>
      </c>
      <c r="F39" s="28">
        <f>IF(B39="","",D39-E39)</f>
        <v>3335.6</v>
      </c>
      <c r="G39" s="28">
        <f>IF(B39="","",SUMPRODUCT((Vendas!$U$5:$U$2004&gt;0)*(Vendas!$U$5:$U$2004&lt;=B39)*(MOD(B39-Vendas!$U$5:$U$2004,30)=0)*((B39-Vendas!$U$5:$U$2004)/30&lt;Vendas!$V$5:$V$2004)*Vendas!$W$5:$W$2004))</f>
        <v>3481.93</v>
      </c>
      <c r="H39" s="27" t="str">
        <f>IF(OR(B39="",G39=0),"",IF(COUNTIFS(Vendas!$L$5:$L$2004,B39,Vendas!$R$5:$R$2004,"A conferir")&gt;0,"Falta conferir",IF(B39&gt;Config!$B$8,"A cair","Conferido")))</f>
        <v>Conferido</v>
      </c>
    </row>
    <row r="40">
      <c r="A40" s="27" t="n">
        <v>21</v>
      </c>
      <c r="B40" s="37">
        <f>IF(21&gt;DAY(DATE(Config!$B$5,Config!$B$7+1,0)),"",DATE(Config!$B$5,Config!$B$7,21))</f>
        <v>46255.0</v>
      </c>
      <c r="C40" s="27">
        <f>IF(B40="","",COUNTIFS(Vendas!$A$5:$A$2004,B40))</f>
        <v>0</v>
      </c>
      <c r="D40" s="28">
        <f>IF(B40="","",SUMIFS(Vendas!$F$5:$F$2004,Vendas!$A$5:$A$2004,B40))</f>
        <v>0</v>
      </c>
      <c r="E40" s="29">
        <f>IF(B40="","",SUMIFS(Vendas!$I$5:$I$2004,Vendas!$A$5:$A$2004,B40))</f>
        <v>0</v>
      </c>
      <c r="F40" s="28">
        <f>IF(B40="","",D40-E40)</f>
        <v>0</v>
      </c>
      <c r="G40" s="28">
        <f>IF(B40="","",SUMPRODUCT((Vendas!$U$5:$U$2004&gt;0)*(Vendas!$U$5:$U$2004&lt;=B40)*(MOD(B40-Vendas!$U$5:$U$2004,30)=0)*((B40-Vendas!$U$5:$U$2004)/30&lt;Vendas!$V$5:$V$2004)*Vendas!$W$5:$W$2004))</f>
        <v>1129.68</v>
      </c>
      <c r="H40" s="27" t="str">
        <f>IF(OR(B40="",G40=0),"",IF(COUNTIFS(Vendas!$L$5:$L$2004,B40,Vendas!$R$5:$R$2004,"A conferir")&gt;0,"Falta conferir",IF(B40&gt;Config!$B$8,"A cair","Conferido")))</f>
        <v>Conferido</v>
      </c>
    </row>
    <row r="41">
      <c r="A41" s="27" t="n">
        <v>22</v>
      </c>
      <c r="B41" s="37">
        <f>IF(22&gt;DAY(DATE(Config!$B$5,Config!$B$7+1,0)),"",DATE(Config!$B$5,Config!$B$7,22))</f>
        <v>46256.0</v>
      </c>
      <c r="C41" s="27">
        <f>IF(B41="","",COUNTIFS(Vendas!$A$5:$A$2004,B41))</f>
        <v>0</v>
      </c>
      <c r="D41" s="28">
        <f>IF(B41="","",SUMIFS(Vendas!$F$5:$F$2004,Vendas!$A$5:$A$2004,B41))</f>
        <v>0</v>
      </c>
      <c r="E41" s="29">
        <f>IF(B41="","",SUMIFS(Vendas!$I$5:$I$2004,Vendas!$A$5:$A$2004,B41))</f>
        <v>0</v>
      </c>
      <c r="F41" s="28">
        <f>IF(B41="","",D41-E41)</f>
        <v>0</v>
      </c>
      <c r="G41" s="28">
        <f>IF(B41="","",SUMPRODUCT((Vendas!$U$5:$U$2004&gt;0)*(Vendas!$U$5:$U$2004&lt;=B41)*(MOD(B41-Vendas!$U$5:$U$2004,30)=0)*((B41-Vendas!$U$5:$U$2004)/30&lt;Vendas!$V$5:$V$2004)*Vendas!$W$5:$W$2004))</f>
        <v>1485.26</v>
      </c>
      <c r="H41" s="27" t="str">
        <f>IF(OR(B41="",G41=0),"",IF(COUNTIFS(Vendas!$L$5:$L$2004,B41,Vendas!$R$5:$R$2004,"A conferir")&gt;0,"Falta conferir",IF(B41&gt;Config!$B$8,"A cair","Conferido")))</f>
        <v>Conferido</v>
      </c>
    </row>
    <row r="42">
      <c r="A42" s="27" t="n">
        <v>23</v>
      </c>
      <c r="B42" s="37">
        <f>IF(23&gt;DAY(DATE(Config!$B$5,Config!$B$7+1,0)),"",DATE(Config!$B$5,Config!$B$7,23))</f>
        <v>46257.0</v>
      </c>
      <c r="C42" s="27">
        <f>IF(B42="","",COUNTIFS(Vendas!$A$5:$A$2004,B42))</f>
        <v>0</v>
      </c>
      <c r="D42" s="28">
        <f>IF(B42="","",SUMIFS(Vendas!$F$5:$F$2004,Vendas!$A$5:$A$2004,B42))</f>
        <v>0</v>
      </c>
      <c r="E42" s="29">
        <f>IF(B42="","",SUMIFS(Vendas!$I$5:$I$2004,Vendas!$A$5:$A$2004,B42))</f>
        <v>0</v>
      </c>
      <c r="F42" s="28">
        <f>IF(B42="","",D42-E42)</f>
        <v>0</v>
      </c>
      <c r="G42" s="28">
        <f>IF(B42="","",SUMPRODUCT((Vendas!$U$5:$U$2004&gt;0)*(Vendas!$U$5:$U$2004&lt;=B42)*(MOD(B42-Vendas!$U$5:$U$2004,30)=0)*((B42-Vendas!$U$5:$U$2004)/30&lt;Vendas!$V$5:$V$2004)*Vendas!$W$5:$W$2004))</f>
        <v>0</v>
      </c>
      <c r="H42" s="27">
        <f>IF(OR(B42="",G42=0),"",IF(COUNTIFS(Vendas!$L$5:$L$2004,B42,Vendas!$R$5:$R$2004,"A conferir")&gt;0,"Falta conferir",IF(B42&gt;Config!$B$8,"A cair","Conferido")))</f>
        <v/>
      </c>
    </row>
    <row r="43">
      <c r="A43" s="27" t="n">
        <v>24</v>
      </c>
      <c r="B43" s="37">
        <f>IF(24&gt;DAY(DATE(Config!$B$5,Config!$B$7+1,0)),"",DATE(Config!$B$5,Config!$B$7,24))</f>
        <v>46258.0</v>
      </c>
      <c r="C43" s="27">
        <f>IF(B43="","",COUNTIFS(Vendas!$A$5:$A$2004,B43))</f>
        <v>7</v>
      </c>
      <c r="D43" s="28">
        <f>IF(B43="","",SUMIFS(Vendas!$F$5:$F$2004,Vendas!$A$5:$A$2004,B43))</f>
        <v>2410</v>
      </c>
      <c r="E43" s="29">
        <f>IF(B43="","",SUMIFS(Vendas!$I$5:$I$2004,Vendas!$A$5:$A$2004,B43))</f>
        <v>36.84</v>
      </c>
      <c r="F43" s="28">
        <f>IF(B43="","",D43-E43)</f>
        <v>2373.16</v>
      </c>
      <c r="G43" s="28">
        <f>IF(B43="","",SUMPRODUCT((Vendas!$U$5:$U$2004&gt;0)*(Vendas!$U$5:$U$2004&lt;=B43)*(MOD(B43-Vendas!$U$5:$U$2004,30)=0)*((B43-Vendas!$U$5:$U$2004)/30&lt;Vendas!$V$5:$V$2004)*Vendas!$W$5:$W$2004))</f>
        <v>1140</v>
      </c>
      <c r="H43" s="27" t="str">
        <f>IF(OR(B43="",G43=0),"",IF(COUNTIFS(Vendas!$L$5:$L$2004,B43,Vendas!$R$5:$R$2004,"A conferir")&gt;0,"Falta conferir",IF(B43&gt;Config!$B$8,"A cair","Conferido")))</f>
        <v>Conferido</v>
      </c>
    </row>
    <row r="44">
      <c r="A44" s="27" t="n">
        <v>25</v>
      </c>
      <c r="B44" s="37">
        <f>IF(25&gt;DAY(DATE(Config!$B$5,Config!$B$7+1,0)),"",DATE(Config!$B$5,Config!$B$7,25))</f>
        <v>46259.0</v>
      </c>
      <c r="C44" s="27">
        <f>IF(B44="","",COUNTIFS(Vendas!$A$5:$A$2004,B44))</f>
        <v>8</v>
      </c>
      <c r="D44" s="28">
        <f>IF(B44="","",SUMIFS(Vendas!$F$5:$F$2004,Vendas!$A$5:$A$2004,B44))</f>
        <v>3020</v>
      </c>
      <c r="E44" s="29">
        <f>IF(B44="","",SUMIFS(Vendas!$I$5:$I$2004,Vendas!$A$5:$A$2004,B44))</f>
        <v>76.09</v>
      </c>
      <c r="F44" s="28">
        <f>IF(B44="","",D44-E44)</f>
        <v>2943.91</v>
      </c>
      <c r="G44" s="28">
        <f>IF(B44="","",SUMPRODUCT((Vendas!$U$5:$U$2004&gt;0)*(Vendas!$U$5:$U$2004&lt;=B44)*(MOD(B44-Vendas!$U$5:$U$2004,30)=0)*((B44-Vendas!$U$5:$U$2004)/30&lt;Vendas!$V$5:$V$2004)*Vendas!$W$5:$W$2004))</f>
        <v>1134.3</v>
      </c>
      <c r="H44" s="27" t="str">
        <f>IF(OR(B44="",G44=0),"",IF(COUNTIFS(Vendas!$L$5:$L$2004,B44,Vendas!$R$5:$R$2004,"A conferir")&gt;0,"Falta conferir",IF(B44&gt;Config!$B$8,"A cair","Conferido")))</f>
        <v>Conferido</v>
      </c>
    </row>
    <row r="45">
      <c r="A45" s="27" t="n">
        <v>26</v>
      </c>
      <c r="B45" s="37">
        <f>IF(26&gt;DAY(DATE(Config!$B$5,Config!$B$7+1,0)),"",DATE(Config!$B$5,Config!$B$7,26))</f>
        <v>46260.0</v>
      </c>
      <c r="C45" s="27">
        <f>IF(B45="","",COUNTIFS(Vendas!$A$5:$A$2004,B45))</f>
        <v>3</v>
      </c>
      <c r="D45" s="28">
        <f>IF(B45="","",SUMIFS(Vendas!$F$5:$F$2004,Vendas!$A$5:$A$2004,B45))</f>
        <v>1140</v>
      </c>
      <c r="E45" s="29">
        <f>IF(B45="","",SUMIFS(Vendas!$I$5:$I$2004,Vendas!$A$5:$A$2004,B45))</f>
        <v>5.7</v>
      </c>
      <c r="F45" s="28">
        <f>IF(B45="","",D45-E45)</f>
        <v>1134.3</v>
      </c>
      <c r="G45" s="28">
        <f>IF(B45="","",SUMPRODUCT((Vendas!$U$5:$U$2004&gt;0)*(Vendas!$U$5:$U$2004&lt;=B45)*(MOD(B45-Vendas!$U$5:$U$2004,30)=0)*((B45-Vendas!$U$5:$U$2004)/30&lt;Vendas!$V$5:$V$2004)*Vendas!$W$5:$W$2004))</f>
        <v>1521.84</v>
      </c>
      <c r="H45" s="27" t="str">
        <f>IF(OR(B45="",G45=0),"",IF(COUNTIFS(Vendas!$L$5:$L$2004,B45,Vendas!$R$5:$R$2004,"A conferir")&gt;0,"Falta conferir",IF(B45&gt;Config!$B$8,"A cair","Conferido")))</f>
        <v>Conferido</v>
      </c>
    </row>
    <row r="46">
      <c r="A46" s="27" t="n">
        <v>27</v>
      </c>
      <c r="B46" s="37">
        <f>IF(27&gt;DAY(DATE(Config!$B$5,Config!$B$7+1,0)),"",DATE(Config!$B$5,Config!$B$7,27))</f>
        <v>46261.0</v>
      </c>
      <c r="C46" s="27">
        <f>IF(B46="","",COUNTIFS(Vendas!$A$5:$A$2004,B46))</f>
        <v>6</v>
      </c>
      <c r="D46" s="28">
        <f>IF(B46="","",SUMIFS(Vendas!$F$5:$F$2004,Vendas!$A$5:$A$2004,B46))</f>
        <v>2240</v>
      </c>
      <c r="E46" s="29">
        <f>IF(B46="","",SUMIFS(Vendas!$I$5:$I$2004,Vendas!$A$5:$A$2004,B46))</f>
        <v>36.02</v>
      </c>
      <c r="F46" s="28">
        <f>IF(B46="","",D46-E46)</f>
        <v>2203.98</v>
      </c>
      <c r="G46" s="28">
        <f>IF(B46="","",SUMPRODUCT((Vendas!$U$5:$U$2004&gt;0)*(Vendas!$U$5:$U$2004&lt;=B46)*(MOD(B46-Vendas!$U$5:$U$2004,30)=0)*((B46-Vendas!$U$5:$U$2004)/30&lt;Vendas!$V$5:$V$2004)*Vendas!$W$5:$W$2004))</f>
        <v>2069.94</v>
      </c>
      <c r="H46" s="27" t="str">
        <f>IF(OR(B46="",G46=0),"",IF(COUNTIFS(Vendas!$L$5:$L$2004,B46,Vendas!$R$5:$R$2004,"A conferir")&gt;0,"Falta conferir",IF(B46&gt;Config!$B$8,"A cair","Conferido")))</f>
        <v>Conferido</v>
      </c>
    </row>
    <row r="47">
      <c r="A47" s="27" t="n">
        <v>28</v>
      </c>
      <c r="B47" s="37">
        <f>IF(28&gt;DAY(DATE(Config!$B$5,Config!$B$7+1,0)),"",DATE(Config!$B$5,Config!$B$7,28))</f>
        <v>46262.0</v>
      </c>
      <c r="C47" s="27">
        <f>IF(B47="","",COUNTIFS(Vendas!$A$5:$A$2004,B47))</f>
        <v>0</v>
      </c>
      <c r="D47" s="28">
        <f>IF(B47="","",SUMIFS(Vendas!$F$5:$F$2004,Vendas!$A$5:$A$2004,B47))</f>
        <v>0</v>
      </c>
      <c r="E47" s="29">
        <f>IF(B47="","",SUMIFS(Vendas!$I$5:$I$2004,Vendas!$A$5:$A$2004,B47))</f>
        <v>0</v>
      </c>
      <c r="F47" s="28">
        <f>IF(B47="","",D47-E47)</f>
        <v>0</v>
      </c>
      <c r="G47" s="28">
        <f>IF(B47="","",SUMPRODUCT((Vendas!$U$5:$U$2004&gt;0)*(Vendas!$U$5:$U$2004&lt;=B47)*(MOD(B47-Vendas!$U$5:$U$2004,30)=0)*((B47-Vendas!$U$5:$U$2004)/30&lt;Vendas!$V$5:$V$2004)*Vendas!$W$5:$W$2004))</f>
        <v>950.89</v>
      </c>
      <c r="H47" s="27" t="str">
        <f>IF(OR(B47="",G47=0),"",IF(COUNTIFS(Vendas!$L$5:$L$2004,B47,Vendas!$R$5:$R$2004,"A conferir")&gt;0,"Falta conferir",IF(B47&gt;Config!$B$8,"A cair","Conferido")))</f>
        <v>Conferido</v>
      </c>
    </row>
    <row r="48">
      <c r="A48" s="27" t="n">
        <v>29</v>
      </c>
      <c r="B48" s="37">
        <f>IF(29&gt;DAY(DATE(Config!$B$5,Config!$B$7+1,0)),"",DATE(Config!$B$5,Config!$B$7,29))</f>
        <v>46263.0</v>
      </c>
      <c r="C48" s="27">
        <f>IF(B48="","",COUNTIFS(Vendas!$A$5:$A$2004,B48))</f>
        <v>0</v>
      </c>
      <c r="D48" s="28">
        <f>IF(B48="","",SUMIFS(Vendas!$F$5:$F$2004,Vendas!$A$5:$A$2004,B48))</f>
        <v>0</v>
      </c>
      <c r="E48" s="29">
        <f>IF(B48="","",SUMIFS(Vendas!$I$5:$I$2004,Vendas!$A$5:$A$2004,B48))</f>
        <v>0</v>
      </c>
      <c r="F48" s="28">
        <f>IF(B48="","",D48-E48)</f>
        <v>0</v>
      </c>
      <c r="G48" s="28">
        <f>IF(B48="","",SUMPRODUCT((Vendas!$U$5:$U$2004&gt;0)*(Vendas!$U$5:$U$2004&lt;=B48)*(MOD(B48-Vendas!$U$5:$U$2004,30)=0)*((B48-Vendas!$U$5:$U$2004)/30&lt;Vendas!$V$5:$V$2004)*Vendas!$W$5:$W$2004))</f>
        <v>761.99</v>
      </c>
      <c r="H48" s="27" t="str">
        <f>IF(OR(B48="",G48=0),"",IF(COUNTIFS(Vendas!$L$5:$L$2004,B48,Vendas!$R$5:$R$2004,"A conferir")&gt;0,"Falta conferir",IF(B48&gt;Config!$B$8,"A cair","Conferido")))</f>
        <v>Conferido</v>
      </c>
    </row>
    <row r="49">
      <c r="A49" s="27" t="n">
        <v>30</v>
      </c>
      <c r="B49" s="37">
        <f>IF(30&gt;DAY(DATE(Config!$B$5,Config!$B$7+1,0)),"",DATE(Config!$B$5,Config!$B$7,30))</f>
        <v>46264.0</v>
      </c>
      <c r="C49" s="27">
        <f>IF(B49="","",COUNTIFS(Vendas!$A$5:$A$2004,B49))</f>
        <v>0</v>
      </c>
      <c r="D49" s="28">
        <f>IF(B49="","",SUMIFS(Vendas!$F$5:$F$2004,Vendas!$A$5:$A$2004,B49))</f>
        <v>0</v>
      </c>
      <c r="E49" s="29">
        <f>IF(B49="","",SUMIFS(Vendas!$I$5:$I$2004,Vendas!$A$5:$A$2004,B49))</f>
        <v>0</v>
      </c>
      <c r="F49" s="28">
        <f>IF(B49="","",D49-E49)</f>
        <v>0</v>
      </c>
      <c r="G49" s="28">
        <f>IF(B49="","",SUMPRODUCT((Vendas!$U$5:$U$2004&gt;0)*(Vendas!$U$5:$U$2004&lt;=B49)*(MOD(B49-Vendas!$U$5:$U$2004,30)=0)*((B49-Vendas!$U$5:$U$2004)/30&lt;Vendas!$V$5:$V$2004)*Vendas!$W$5:$W$2004))</f>
        <v>929.28</v>
      </c>
      <c r="H49" s="27" t="str">
        <f>IF(OR(B49="",G49=0),"",IF(COUNTIFS(Vendas!$L$5:$L$2004,B49,Vendas!$R$5:$R$2004,"A conferir")&gt;0,"Falta conferir",IF(B49&gt;Config!$B$8,"A cair","Conferido")))</f>
        <v>Conferido</v>
      </c>
    </row>
    <row r="50">
      <c r="A50" s="27" t="n">
        <v>31</v>
      </c>
      <c r="B50" s="37">
        <f>IF(31&gt;DAY(DATE(Config!$B$5,Config!$B$7+1,0)),"",DATE(Config!$B$5,Config!$B$7,31))</f>
        <v>46265.0</v>
      </c>
      <c r="C50" s="27">
        <f>IF(B50="","",COUNTIFS(Vendas!$A$5:$A$2004,B50))</f>
        <v>3</v>
      </c>
      <c r="D50" s="28">
        <f>IF(B50="","",SUMIFS(Vendas!$F$5:$F$2004,Vendas!$A$5:$A$2004,B50))</f>
        <v>890</v>
      </c>
      <c r="E50" s="29">
        <f>IF(B50="","",SUMIFS(Vendas!$I$5:$I$2004,Vendas!$A$5:$A$2004,B50))</f>
        <v>7.65</v>
      </c>
      <c r="F50" s="28">
        <f>IF(B50="","",D50-E50)</f>
        <v>882.35</v>
      </c>
      <c r="G50" s="28">
        <f>IF(B50="","",SUMPRODUCT((Vendas!$U$5:$U$2004&gt;0)*(Vendas!$U$5:$U$2004&lt;=B50)*(MOD(B50-Vendas!$U$5:$U$2004,30)=0)*((B50-Vendas!$U$5:$U$2004)/30&lt;Vendas!$V$5:$V$2004)*Vendas!$W$5:$W$2004))</f>
        <v>572.2</v>
      </c>
      <c r="H50" s="27" t="str">
        <f>IF(OR(B50="",G50=0),"",IF(COUNTIFS(Vendas!$L$5:$L$2004,B50,Vendas!$R$5:$R$2004,"A conferir")&gt;0,"Falta conferir",IF(B50&gt;Config!$B$8,"A cair","Conferido")))</f>
        <v>Conferido</v>
      </c>
    </row>
    <row r="51" ht="28" customHeight="1">
      <c r="A51" s="38" t="inlineStr">
        <is>
          <t>"Cai na conta neste dia" soma as parcelas que caem nesse dia (inclusive as de vendas de meses anteriores e as parcelas 2, 3… de vendas parceladas): é o número para bater com o extrato da conta. Uma venda em 2× aparece metade num dia e metade 30 dias depois.</t>
        </is>
      </c>
    </row>
    <row r="52"/>
    <row r="53"/>
    <row r="54">
      <c r="A54" s="22" t="inlineStr">
        <is>
          <t>Falta conferir no extrato (previsão vencida)</t>
        </is>
      </c>
    </row>
    <row r="55" ht="32" customHeight="1">
      <c r="A55" s="23" t="inlineStr">
        <is>
          <t>#</t>
        </is>
      </c>
      <c r="B55" s="23" t="inlineStr">
        <is>
          <t>Data da venda</t>
        </is>
      </c>
      <c r="C55" s="23" t="inlineStr">
        <is>
          <t>Paciente</t>
        </is>
      </c>
      <c r="D55" s="23" t="inlineStr">
        <is>
          <t>Procedimento</t>
        </is>
      </c>
      <c r="E55" s="23" t="inlineStr">
        <is>
          <t>Tipo</t>
        </is>
      </c>
      <c r="F55" s="23" t="inlineStr">
        <is>
          <t>Parcelas</t>
        </is>
      </c>
      <c r="G55" s="23" t="inlineStr">
        <is>
          <t>Bruto (R$)</t>
        </is>
      </c>
      <c r="H55" s="23" t="inlineStr">
        <is>
          <t>Líquido já previsto (R$)</t>
        </is>
      </c>
      <c r="I55" s="23" t="inlineStr">
        <is>
          <t>1ª parcela caía em</t>
        </is>
      </c>
      <c r="J55" s="23" t="inlineStr">
        <is>
          <t>Dias desde a previsão</t>
        </is>
      </c>
    </row>
    <row r="56">
      <c r="A56" s="27" t="n">
        <v>1</v>
      </c>
      <c r="B56" s="37">
        <f>IFERROR(IF(LARGE(Vendas!$S$5:$S$2004,1)&gt;0,INDEX(Vendas!$A$5:$A$2004,MATCH(LARGE(Vendas!$S$5:$S$2004,1),Vendas!$S$5:$S$2004,0)),""),"")</f>
        <v>46216.0</v>
      </c>
      <c r="C56" s="26" t="str">
        <f>IFERROR(IF(LARGE(Vendas!$S$5:$S$2004,1)&gt;0,INDEX(Vendas!$B$5:$B$2004,MATCH(LARGE(Vendas!$S$5:$S$2004,1),Vendas!$S$5:$S$2004,0)),""),"")</f>
        <v>Henrique Ribeiro</v>
      </c>
      <c r="D56" s="26" t="str">
        <f>IFERROR(IF(LARGE(Vendas!$S$5:$S$2004,1)&gt;0,INDEX(Vendas!$C$5:$C$2004,MATCH(LARGE(Vendas!$S$5:$S$2004,1),Vendas!$S$5:$S$2004,0)),""),"")</f>
        <v>Consulta</v>
      </c>
      <c r="E56" s="27" t="str">
        <f>IFERROR(IF(LARGE(Vendas!$S$5:$S$2004,1)&gt;0,INDEX(Vendas!$D$5:$D$2004,MATCH(LARGE(Vendas!$S$5:$S$2004,1),Vendas!$S$5:$S$2004,0)),""),"")</f>
        <v>Cartão de crédito</v>
      </c>
      <c r="F56" s="27">
        <f>IFERROR(IF(LARGE(Vendas!$S$5:$S$2004,1)&gt;0,INDEX(Vendas!$E$5:$E$2004,MATCH(LARGE(Vendas!$S$5:$S$2004,1),Vendas!$S$5:$S$2004,0)),""),"")</f>
        <v>2</v>
      </c>
      <c r="G56" s="28">
        <f>IFERROR(IF(LARGE(Vendas!$S$5:$S$2004,1)&gt;0,INDEX(Vendas!$F$5:$F$2004,MATCH(LARGE(Vendas!$S$5:$S$2004,1),Vendas!$S$5:$S$2004,0)),""),"")</f>
        <v>380</v>
      </c>
      <c r="H56" s="29">
        <f>IFERROR(IF(LARGE(Vendas!$S$5:$S$2004,1)&gt;0,INDEX(Vendas!$N$5:$N$2004,MATCH(LARGE(Vendas!$S$5:$S$2004,1),Vendas!$S$5:$S$2004,0)),""),"")</f>
        <v>365.18</v>
      </c>
      <c r="I56" s="37">
        <f>IFERROR(IF(LARGE(Vendas!$S$5:$S$2004,1)&gt;0,INDEX(Vendas!$L$5:$L$2004,MATCH(LARGE(Vendas!$S$5:$S$2004,1),Vendas!$S$5:$S$2004,0)),""),"")</f>
        <v>46246.0</v>
      </c>
      <c r="J56" s="39">
        <f>IF(I56="","",Config!$B$8-I56)</f>
        <v>33</v>
      </c>
    </row>
    <row r="57">
      <c r="A57" s="27" t="n">
        <v>2</v>
      </c>
      <c r="B57" s="37">
        <f>IFERROR(IF(LARGE(Vendas!$S$5:$S$2004,2)&gt;0,INDEX(Vendas!$A$5:$A$2004,MATCH(LARGE(Vendas!$S$5:$S$2004,2),Vendas!$S$5:$S$2004,0)),""),"")</f>
        <v>46217.0</v>
      </c>
      <c r="C57" s="26" t="str">
        <f>IFERROR(IF(LARGE(Vendas!$S$5:$S$2004,2)&gt;0,INDEX(Vendas!$B$5:$B$2004,MATCH(LARGE(Vendas!$S$5:$S$2004,2),Vendas!$S$5:$S$2004,0)),""),"")</f>
        <v>Mariana Reis</v>
      </c>
      <c r="D57" s="26" t="str">
        <f>IFERROR(IF(LARGE(Vendas!$S$5:$S$2004,2)&gt;0,INDEX(Vendas!$C$5:$C$2004,MATCH(LARGE(Vendas!$S$5:$S$2004,2),Vendas!$S$5:$S$2004,0)),""),"")</f>
        <v>Avaliação endócrina</v>
      </c>
      <c r="E57" s="27" t="str">
        <f>IFERROR(IF(LARGE(Vendas!$S$5:$S$2004,2)&gt;0,INDEX(Vendas!$D$5:$D$2004,MATCH(LARGE(Vendas!$S$5:$S$2004,2),Vendas!$S$5:$S$2004,0)),""),"")</f>
        <v>Cartão de crédito</v>
      </c>
      <c r="F57" s="27">
        <f>IFERROR(IF(LARGE(Vendas!$S$5:$S$2004,2)&gt;0,INDEX(Vendas!$E$5:$E$2004,MATCH(LARGE(Vendas!$S$5:$S$2004,2),Vendas!$S$5:$S$2004,0)),""),"")</f>
        <v>2</v>
      </c>
      <c r="G57" s="28">
        <f>IFERROR(IF(LARGE(Vendas!$S$5:$S$2004,2)&gt;0,INDEX(Vendas!$F$5:$F$2004,MATCH(LARGE(Vendas!$S$5:$S$2004,2),Vendas!$S$5:$S$2004,0)),""),"")</f>
        <v>400</v>
      </c>
      <c r="H57" s="29">
        <f>IFERROR(IF(LARGE(Vendas!$S$5:$S$2004,2)&gt;0,INDEX(Vendas!$N$5:$N$2004,MATCH(LARGE(Vendas!$S$5:$S$2004,2),Vendas!$S$5:$S$2004,0)),""),"")</f>
        <v>384.4</v>
      </c>
      <c r="I57" s="37">
        <f>IFERROR(IF(LARGE(Vendas!$S$5:$S$2004,2)&gt;0,INDEX(Vendas!$L$5:$L$2004,MATCH(LARGE(Vendas!$S$5:$S$2004,2),Vendas!$S$5:$S$2004,0)),""),"")</f>
        <v>46247.0</v>
      </c>
      <c r="J57" s="39">
        <f>IF(I57="","",Config!$B$8-I57)</f>
        <v>32</v>
      </c>
    </row>
    <row r="58">
      <c r="A58" s="27" t="n">
        <v>3</v>
      </c>
      <c r="B58" s="37">
        <f>IFERROR(IF(LARGE(Vendas!$S$5:$S$2004,3)&gt;0,INDEX(Vendas!$A$5:$A$2004,MATCH(LARGE(Vendas!$S$5:$S$2004,3),Vendas!$S$5:$S$2004,0)),""),"")</f>
        <v>46217.0</v>
      </c>
      <c r="C58" s="26" t="str">
        <f>IFERROR(IF(LARGE(Vendas!$S$5:$S$2004,3)&gt;0,INDEX(Vendas!$B$5:$B$2004,MATCH(LARGE(Vendas!$S$5:$S$2004,3),Vendas!$S$5:$S$2004,0)),""),"")</f>
        <v>Thiago Melo</v>
      </c>
      <c r="D58" s="26" t="str">
        <f>IFERROR(IF(LARGE(Vendas!$S$5:$S$2004,3)&gt;0,INDEX(Vendas!$C$5:$C$2004,MATCH(LARGE(Vendas!$S$5:$S$2004,3),Vendas!$S$5:$S$2004,0)),""),"")</f>
        <v>Avaliação endócrina</v>
      </c>
      <c r="E58" s="27" t="str">
        <f>IFERROR(IF(LARGE(Vendas!$S$5:$S$2004,3)&gt;0,INDEX(Vendas!$D$5:$D$2004,MATCH(LARGE(Vendas!$S$5:$S$2004,3),Vendas!$S$5:$S$2004,0)),""),"")</f>
        <v>Cartão de crédito</v>
      </c>
      <c r="F58" s="27">
        <f>IFERROR(IF(LARGE(Vendas!$S$5:$S$2004,3)&gt;0,INDEX(Vendas!$E$5:$E$2004,MATCH(LARGE(Vendas!$S$5:$S$2004,3),Vendas!$S$5:$S$2004,0)),""),"")</f>
        <v>2</v>
      </c>
      <c r="G58" s="28">
        <f>IFERROR(IF(LARGE(Vendas!$S$5:$S$2004,3)&gt;0,INDEX(Vendas!$F$5:$F$2004,MATCH(LARGE(Vendas!$S$5:$S$2004,3),Vendas!$S$5:$S$2004,0)),""),"")</f>
        <v>400</v>
      </c>
      <c r="H58" s="29">
        <f>IFERROR(IF(LARGE(Vendas!$S$5:$S$2004,3)&gt;0,INDEX(Vendas!$N$5:$N$2004,MATCH(LARGE(Vendas!$S$5:$S$2004,3),Vendas!$S$5:$S$2004,0)),""),"")</f>
        <v>384.4</v>
      </c>
      <c r="I58" s="37">
        <f>IFERROR(IF(LARGE(Vendas!$S$5:$S$2004,3)&gt;0,INDEX(Vendas!$L$5:$L$2004,MATCH(LARGE(Vendas!$S$5:$S$2004,3),Vendas!$S$5:$S$2004,0)),""),"")</f>
        <v>46247.0</v>
      </c>
      <c r="J58" s="39">
        <f>IF(I58="","",Config!$B$8-I58)</f>
        <v>32</v>
      </c>
    </row>
    <row r="59">
      <c r="A59" s="27" t="n">
        <v>4</v>
      </c>
      <c r="B59" s="37">
        <f>IFERROR(IF(LARGE(Vendas!$S$5:$S$2004,4)&gt;0,INDEX(Vendas!$A$5:$A$2004,MATCH(LARGE(Vendas!$S$5:$S$2004,4),Vendas!$S$5:$S$2004,0)),""),"")</f>
        <v>46217.0</v>
      </c>
      <c r="C59" s="26" t="str">
        <f>IFERROR(IF(LARGE(Vendas!$S$5:$S$2004,4)&gt;0,INDEX(Vendas!$B$5:$B$2004,MATCH(LARGE(Vendas!$S$5:$S$2004,4),Vendas!$S$5:$S$2004,0)),""),"")</f>
        <v>Marcelo Ferreira</v>
      </c>
      <c r="D59" s="26" t="str">
        <f>IFERROR(IF(LARGE(Vendas!$S$5:$S$2004,4)&gt;0,INDEX(Vendas!$C$5:$C$2004,MATCH(LARGE(Vendas!$S$5:$S$2004,4),Vendas!$S$5:$S$2004,0)),""),"")</f>
        <v>Consulta</v>
      </c>
      <c r="E59" s="27" t="str">
        <f>IFERROR(IF(LARGE(Vendas!$S$5:$S$2004,4)&gt;0,INDEX(Vendas!$D$5:$D$2004,MATCH(LARGE(Vendas!$S$5:$S$2004,4),Vendas!$S$5:$S$2004,0)),""),"")</f>
        <v>Cartão de crédito</v>
      </c>
      <c r="F59" s="27">
        <f>IFERROR(IF(LARGE(Vendas!$S$5:$S$2004,4)&gt;0,INDEX(Vendas!$E$5:$E$2004,MATCH(LARGE(Vendas!$S$5:$S$2004,4),Vendas!$S$5:$S$2004,0)),""),"")</f>
        <v>2</v>
      </c>
      <c r="G59" s="28">
        <f>IFERROR(IF(LARGE(Vendas!$S$5:$S$2004,4)&gt;0,INDEX(Vendas!$F$5:$F$2004,MATCH(LARGE(Vendas!$S$5:$S$2004,4),Vendas!$S$5:$S$2004,0)),""),"")</f>
        <v>380</v>
      </c>
      <c r="H59" s="29">
        <f>IFERROR(IF(LARGE(Vendas!$S$5:$S$2004,4)&gt;0,INDEX(Vendas!$N$5:$N$2004,MATCH(LARGE(Vendas!$S$5:$S$2004,4),Vendas!$S$5:$S$2004,0)),""),"")</f>
        <v>365.18</v>
      </c>
      <c r="I59" s="37">
        <f>IFERROR(IF(LARGE(Vendas!$S$5:$S$2004,4)&gt;0,INDEX(Vendas!$L$5:$L$2004,MATCH(LARGE(Vendas!$S$5:$S$2004,4),Vendas!$S$5:$S$2004,0)),""),"")</f>
        <v>46247.0</v>
      </c>
      <c r="J59" s="39">
        <f>IF(I59="","",Config!$B$8-I59)</f>
        <v>32</v>
      </c>
    </row>
    <row r="60">
      <c r="A60" s="27" t="n">
        <v>5</v>
      </c>
      <c r="B60" s="37">
        <f>IFERROR(IF(LARGE(Vendas!$S$5:$S$2004,5)&gt;0,INDEX(Vendas!$A$5:$A$2004,MATCH(LARGE(Vendas!$S$5:$S$2004,5),Vendas!$S$5:$S$2004,0)),""),"")</f>
        <v>46217.0</v>
      </c>
      <c r="C60" s="26" t="str">
        <f>IFERROR(IF(LARGE(Vendas!$S$5:$S$2004,5)&gt;0,INDEX(Vendas!$B$5:$B$2004,MATCH(LARGE(Vendas!$S$5:$S$2004,5),Vendas!$S$5:$S$2004,0)),""),"")</f>
        <v>Helena Moreira</v>
      </c>
      <c r="D60" s="26" t="str">
        <f>IFERROR(IF(LARGE(Vendas!$S$5:$S$2004,5)&gt;0,INDEX(Vendas!$C$5:$C$2004,MATCH(LARGE(Vendas!$S$5:$S$2004,5),Vendas!$S$5:$S$2004,0)),""),"")</f>
        <v>MAPA</v>
      </c>
      <c r="E60" s="27" t="str">
        <f>IFERROR(IF(LARGE(Vendas!$S$5:$S$2004,5)&gt;0,INDEX(Vendas!$D$5:$D$2004,MATCH(LARGE(Vendas!$S$5:$S$2004,5),Vendas!$S$5:$S$2004,0)),""),"")</f>
        <v>Cartão de crédito</v>
      </c>
      <c r="F60" s="27">
        <f>IFERROR(IF(LARGE(Vendas!$S$5:$S$2004,5)&gt;0,INDEX(Vendas!$E$5:$E$2004,MATCH(LARGE(Vendas!$S$5:$S$2004,5),Vendas!$S$5:$S$2004,0)),""),"")</f>
        <v>2</v>
      </c>
      <c r="G60" s="28">
        <f>IFERROR(IF(LARGE(Vendas!$S$5:$S$2004,5)&gt;0,INDEX(Vendas!$F$5:$F$2004,MATCH(LARGE(Vendas!$S$5:$S$2004,5),Vendas!$S$5:$S$2004,0)),""),"")</f>
        <v>300</v>
      </c>
      <c r="H60" s="29">
        <f>IFERROR(IF(LARGE(Vendas!$S$5:$S$2004,5)&gt;0,INDEX(Vendas!$N$5:$N$2004,MATCH(LARGE(Vendas!$S$5:$S$2004,5),Vendas!$S$5:$S$2004,0)),""),"")</f>
        <v>288.3</v>
      </c>
      <c r="I60" s="37">
        <f>IFERROR(IF(LARGE(Vendas!$S$5:$S$2004,5)&gt;0,INDEX(Vendas!$L$5:$L$2004,MATCH(LARGE(Vendas!$S$5:$S$2004,5),Vendas!$S$5:$S$2004,0)),""),"")</f>
        <v>46247.0</v>
      </c>
      <c r="J60" s="39">
        <f>IF(I60="","",Config!$B$8-I60)</f>
        <v>32</v>
      </c>
    </row>
    <row r="61">
      <c r="A61" s="27" t="n">
        <v>6</v>
      </c>
      <c r="B61" s="37">
        <f>IFERROR(IF(LARGE(Vendas!$S$5:$S$2004,6)&gt;0,INDEX(Vendas!$A$5:$A$2004,MATCH(LARGE(Vendas!$S$5:$S$2004,6),Vendas!$S$5:$S$2004,0)),""),"")</f>
        <v>46275.0</v>
      </c>
      <c r="C61" s="26" t="str">
        <f>IFERROR(IF(LARGE(Vendas!$S$5:$S$2004,6)&gt;0,INDEX(Vendas!$B$5:$B$2004,MATCH(LARGE(Vendas!$S$5:$S$2004,6),Vendas!$S$5:$S$2004,0)),""),"")</f>
        <v>Mônica Almeida</v>
      </c>
      <c r="D61" s="26" t="str">
        <f>IFERROR(IF(LARGE(Vendas!$S$5:$S$2004,6)&gt;0,INDEX(Vendas!$C$5:$C$2004,MATCH(LARGE(Vendas!$S$5:$S$2004,6),Vendas!$S$5:$S$2004,0)),""),"")</f>
        <v>Avaliação endócrina</v>
      </c>
      <c r="E61" s="27" t="str">
        <f>IFERROR(IF(LARGE(Vendas!$S$5:$S$2004,6)&gt;0,INDEX(Vendas!$D$5:$D$2004,MATCH(LARGE(Vendas!$S$5:$S$2004,6),Vendas!$S$5:$S$2004,0)),""),"")</f>
        <v>Pix</v>
      </c>
      <c r="F61" s="27">
        <f>IFERROR(IF(LARGE(Vendas!$S$5:$S$2004,6)&gt;0,INDEX(Vendas!$E$5:$E$2004,MATCH(LARGE(Vendas!$S$5:$S$2004,6),Vendas!$S$5:$S$2004,0)),""),"")</f>
        <v>0</v>
      </c>
      <c r="G61" s="28">
        <f>IFERROR(IF(LARGE(Vendas!$S$5:$S$2004,6)&gt;0,INDEX(Vendas!$F$5:$F$2004,MATCH(LARGE(Vendas!$S$5:$S$2004,6),Vendas!$S$5:$S$2004,0)),""),"")</f>
        <v>400</v>
      </c>
      <c r="H61" s="29">
        <f>IFERROR(IF(LARGE(Vendas!$S$5:$S$2004,6)&gt;0,INDEX(Vendas!$N$5:$N$2004,MATCH(LARGE(Vendas!$S$5:$S$2004,6),Vendas!$S$5:$S$2004,0)),""),"")</f>
        <v>400</v>
      </c>
      <c r="I61" s="37">
        <f>IFERROR(IF(LARGE(Vendas!$S$5:$S$2004,6)&gt;0,INDEX(Vendas!$L$5:$L$2004,MATCH(LARGE(Vendas!$S$5:$S$2004,6),Vendas!$S$5:$S$2004,0)),""),"")</f>
        <v>46275.0</v>
      </c>
      <c r="J61" s="39">
        <f>IF(I61="","",Config!$B$8-I61)</f>
        <v>4</v>
      </c>
    </row>
    <row r="62">
      <c r="A62" s="27" t="n">
        <v>7</v>
      </c>
      <c r="B62" s="37">
        <f>IFERROR(IF(LARGE(Vendas!$S$5:$S$2004,7)&gt;0,INDEX(Vendas!$A$5:$A$2004,MATCH(LARGE(Vendas!$S$5:$S$2004,7),Vendas!$S$5:$S$2004,0)),""),"")</f>
        <v>46245.0</v>
      </c>
      <c r="C62" s="26" t="str">
        <f>IFERROR(IF(LARGE(Vendas!$S$5:$S$2004,7)&gt;0,INDEX(Vendas!$B$5:$B$2004,MATCH(LARGE(Vendas!$S$5:$S$2004,7),Vendas!$S$5:$S$2004,0)),""),"")</f>
        <v>Beatriz Monteiro</v>
      </c>
      <c r="D62" s="26" t="str">
        <f>IFERROR(IF(LARGE(Vendas!$S$5:$S$2004,7)&gt;0,INDEX(Vendas!$C$5:$C$2004,MATCH(LARGE(Vendas!$S$5:$S$2004,7),Vendas!$S$5:$S$2004,0)),""),"")</f>
        <v>Avaliação endócrina</v>
      </c>
      <c r="E62" s="27" t="str">
        <f>IFERROR(IF(LARGE(Vendas!$S$5:$S$2004,7)&gt;0,INDEX(Vendas!$D$5:$D$2004,MATCH(LARGE(Vendas!$S$5:$S$2004,7),Vendas!$S$5:$S$2004,0)),""),"")</f>
        <v>Cartão de crédito</v>
      </c>
      <c r="F62" s="27">
        <f>IFERROR(IF(LARGE(Vendas!$S$5:$S$2004,7)&gt;0,INDEX(Vendas!$E$5:$E$2004,MATCH(LARGE(Vendas!$S$5:$S$2004,7),Vendas!$S$5:$S$2004,0)),""),"")</f>
        <v>0</v>
      </c>
      <c r="G62" s="28">
        <f>IFERROR(IF(LARGE(Vendas!$S$5:$S$2004,7)&gt;0,INDEX(Vendas!$F$5:$F$2004,MATCH(LARGE(Vendas!$S$5:$S$2004,7),Vendas!$S$5:$S$2004,0)),""),"")</f>
        <v>400</v>
      </c>
      <c r="H62" s="29">
        <f>IFERROR(IF(LARGE(Vendas!$S$5:$S$2004,7)&gt;0,INDEX(Vendas!$N$5:$N$2004,MATCH(LARGE(Vendas!$S$5:$S$2004,7),Vendas!$S$5:$S$2004,0)),""),"")</f>
        <v>387.2</v>
      </c>
      <c r="I62" s="37">
        <f>IFERROR(IF(LARGE(Vendas!$S$5:$S$2004,7)&gt;0,INDEX(Vendas!$L$5:$L$2004,MATCH(LARGE(Vendas!$S$5:$S$2004,7),Vendas!$S$5:$S$2004,0)),""),"")</f>
        <v>46275.0</v>
      </c>
      <c r="J62" s="39">
        <f>IF(I62="","",Config!$B$8-I62)</f>
        <v>4</v>
      </c>
    </row>
    <row r="63">
      <c r="A63" s="27" t="n">
        <v>8</v>
      </c>
      <c r="B63" s="37">
        <f>IFERROR(IF(LARGE(Vendas!$S$5:$S$2004,8)&gt;0,INDEX(Vendas!$A$5:$A$2004,MATCH(LARGE(Vendas!$S$5:$S$2004,8),Vendas!$S$5:$S$2004,0)),""),"")</f>
        <v>46275.0</v>
      </c>
      <c r="C63" s="26" t="str">
        <f>IFERROR(IF(LARGE(Vendas!$S$5:$S$2004,8)&gt;0,INDEX(Vendas!$B$5:$B$2004,MATCH(LARGE(Vendas!$S$5:$S$2004,8),Vendas!$S$5:$S$2004,0)),""),"")</f>
        <v>Regina Macedo</v>
      </c>
      <c r="D63" s="26" t="str">
        <f>IFERROR(IF(LARGE(Vendas!$S$5:$S$2004,8)&gt;0,INDEX(Vendas!$C$5:$C$2004,MATCH(LARGE(Vendas!$S$5:$S$2004,8),Vendas!$S$5:$S$2004,0)),""),"")</f>
        <v>Consulta</v>
      </c>
      <c r="E63" s="27" t="str">
        <f>IFERROR(IF(LARGE(Vendas!$S$5:$S$2004,8)&gt;0,INDEX(Vendas!$D$5:$D$2004,MATCH(LARGE(Vendas!$S$5:$S$2004,8),Vendas!$S$5:$S$2004,0)),""),"")</f>
        <v>Pix</v>
      </c>
      <c r="F63" s="27">
        <f>IFERROR(IF(LARGE(Vendas!$S$5:$S$2004,8)&gt;0,INDEX(Vendas!$E$5:$E$2004,MATCH(LARGE(Vendas!$S$5:$S$2004,8),Vendas!$S$5:$S$2004,0)),""),"")</f>
        <v>0</v>
      </c>
      <c r="G63" s="28">
        <f>IFERROR(IF(LARGE(Vendas!$S$5:$S$2004,8)&gt;0,INDEX(Vendas!$F$5:$F$2004,MATCH(LARGE(Vendas!$S$5:$S$2004,8),Vendas!$S$5:$S$2004,0)),""),"")</f>
        <v>380</v>
      </c>
      <c r="H63" s="29">
        <f>IFERROR(IF(LARGE(Vendas!$S$5:$S$2004,8)&gt;0,INDEX(Vendas!$N$5:$N$2004,MATCH(LARGE(Vendas!$S$5:$S$2004,8),Vendas!$S$5:$S$2004,0)),""),"")</f>
        <v>380</v>
      </c>
      <c r="I63" s="37">
        <f>IFERROR(IF(LARGE(Vendas!$S$5:$S$2004,8)&gt;0,INDEX(Vendas!$L$5:$L$2004,MATCH(LARGE(Vendas!$S$5:$S$2004,8),Vendas!$S$5:$S$2004,0)),""),"")</f>
        <v>46275.0</v>
      </c>
      <c r="J63" s="39">
        <f>IF(I63="","",Config!$B$8-I63)</f>
        <v>4</v>
      </c>
    </row>
    <row r="64">
      <c r="A64" s="27" t="n">
        <v>9</v>
      </c>
      <c r="B64" s="37">
        <f>IFERROR(IF(LARGE(Vendas!$S$5:$S$2004,9)&gt;0,INDEX(Vendas!$A$5:$A$2004,MATCH(LARGE(Vendas!$S$5:$S$2004,9),Vendas!$S$5:$S$2004,0)),""),"")</f>
        <v>46274.0</v>
      </c>
      <c r="C64" s="26" t="str">
        <f>IFERROR(IF(LARGE(Vendas!$S$5:$S$2004,9)&gt;0,INDEX(Vendas!$B$5:$B$2004,MATCH(LARGE(Vendas!$S$5:$S$2004,9),Vendas!$S$5:$S$2004,0)),""),"")</f>
        <v>Cláudia Santos</v>
      </c>
      <c r="D64" s="26" t="str">
        <f>IFERROR(IF(LARGE(Vendas!$S$5:$S$2004,9)&gt;0,INDEX(Vendas!$C$5:$C$2004,MATCH(LARGE(Vendas!$S$5:$S$2004,9),Vendas!$S$5:$S$2004,0)),""),"")</f>
        <v>Consulta</v>
      </c>
      <c r="E64" s="27" t="str">
        <f>IFERROR(IF(LARGE(Vendas!$S$5:$S$2004,9)&gt;0,INDEX(Vendas!$D$5:$D$2004,MATCH(LARGE(Vendas!$S$5:$S$2004,9),Vendas!$S$5:$S$2004,0)),""),"")</f>
        <v>Cartão de débito</v>
      </c>
      <c r="F64" s="27">
        <f>IFERROR(IF(LARGE(Vendas!$S$5:$S$2004,9)&gt;0,INDEX(Vendas!$E$5:$E$2004,MATCH(LARGE(Vendas!$S$5:$S$2004,9),Vendas!$S$5:$S$2004,0)),""),"")</f>
        <v>0</v>
      </c>
      <c r="G64" s="28">
        <f>IFERROR(IF(LARGE(Vendas!$S$5:$S$2004,9)&gt;0,INDEX(Vendas!$F$5:$F$2004,MATCH(LARGE(Vendas!$S$5:$S$2004,9),Vendas!$S$5:$S$2004,0)),""),"")</f>
        <v>380</v>
      </c>
      <c r="H64" s="29">
        <f>IFERROR(IF(LARGE(Vendas!$S$5:$S$2004,9)&gt;0,INDEX(Vendas!$N$5:$N$2004,MATCH(LARGE(Vendas!$S$5:$S$2004,9),Vendas!$S$5:$S$2004,0)),""),"")</f>
        <v>374.3</v>
      </c>
      <c r="I64" s="37">
        <f>IFERROR(IF(LARGE(Vendas!$S$5:$S$2004,9)&gt;0,INDEX(Vendas!$L$5:$L$2004,MATCH(LARGE(Vendas!$S$5:$S$2004,9),Vendas!$S$5:$S$2004,0)),""),"")</f>
        <v>46275.0</v>
      </c>
      <c r="J64" s="39">
        <f>IF(I64="","",Config!$B$8-I64)</f>
        <v>4</v>
      </c>
    </row>
    <row r="65">
      <c r="A65" s="27" t="n">
        <v>10</v>
      </c>
      <c r="B65" s="37">
        <f>IFERROR(IF(LARGE(Vendas!$S$5:$S$2004,10)&gt;0,INDEX(Vendas!$A$5:$A$2004,MATCH(LARGE(Vendas!$S$5:$S$2004,10),Vendas!$S$5:$S$2004,0)),""),"")</f>
        <v>46245.0</v>
      </c>
      <c r="C65" s="26" t="str">
        <f>IFERROR(IF(LARGE(Vendas!$S$5:$S$2004,10)&gt;0,INDEX(Vendas!$B$5:$B$2004,MATCH(LARGE(Vendas!$S$5:$S$2004,10),Vendas!$S$5:$S$2004,0)),""),"")</f>
        <v>Gustavo Ferreira</v>
      </c>
      <c r="D65" s="26" t="str">
        <f>IFERROR(IF(LARGE(Vendas!$S$5:$S$2004,10)&gt;0,INDEX(Vendas!$C$5:$C$2004,MATCH(LARGE(Vendas!$S$5:$S$2004,10),Vendas!$S$5:$S$2004,0)),""),"")</f>
        <v>Consulta</v>
      </c>
      <c r="E65" s="27" t="str">
        <f>IFERROR(IF(LARGE(Vendas!$S$5:$S$2004,10)&gt;0,INDEX(Vendas!$D$5:$D$2004,MATCH(LARGE(Vendas!$S$5:$S$2004,10),Vendas!$S$5:$S$2004,0)),""),"")</f>
        <v>Cartão de crédito</v>
      </c>
      <c r="F65" s="27">
        <f>IFERROR(IF(LARGE(Vendas!$S$5:$S$2004,10)&gt;0,INDEX(Vendas!$E$5:$E$2004,MATCH(LARGE(Vendas!$S$5:$S$2004,10),Vendas!$S$5:$S$2004,0)),""),"")</f>
        <v>0</v>
      </c>
      <c r="G65" s="28">
        <f>IFERROR(IF(LARGE(Vendas!$S$5:$S$2004,10)&gt;0,INDEX(Vendas!$F$5:$F$2004,MATCH(LARGE(Vendas!$S$5:$S$2004,10),Vendas!$S$5:$S$2004,0)),""),"")</f>
        <v>380</v>
      </c>
      <c r="H65" s="29">
        <f>IFERROR(IF(LARGE(Vendas!$S$5:$S$2004,10)&gt;0,INDEX(Vendas!$N$5:$N$2004,MATCH(LARGE(Vendas!$S$5:$S$2004,10),Vendas!$S$5:$S$2004,0)),""),"")</f>
        <v>367.84</v>
      </c>
      <c r="I65" s="37">
        <f>IFERROR(IF(LARGE(Vendas!$S$5:$S$2004,10)&gt;0,INDEX(Vendas!$L$5:$L$2004,MATCH(LARGE(Vendas!$S$5:$S$2004,10),Vendas!$S$5:$S$2004,0)),""),"")</f>
        <v>46275.0</v>
      </c>
      <c r="J65" s="39">
        <f>IF(I65="","",Config!$B$8-I65)</f>
        <v>4</v>
      </c>
    </row>
    <row r="66">
      <c r="A66" s="21" t="inlineStr">
        <is>
          <t>Venda que não caiu na conta na data prevista: confira o extrato da operadora (estorno, chargeback, erro de bandeira) antes de cobrar o paciente. A planilha aponta; a conferência é sua.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6">
    <mergeCell ref="A7:L7"/>
    <mergeCell ref="C5:D5"/>
    <mergeCell ref="E5:F5"/>
    <mergeCell ref="K5:L5"/>
    <mergeCell ref="A66:L66"/>
    <mergeCell ref="H11:J11"/>
    <mergeCell ref="C4:D4"/>
    <mergeCell ref="A2:L2"/>
    <mergeCell ref="E4:F4"/>
    <mergeCell ref="A9:J9"/>
    <mergeCell ref="H13:J13"/>
    <mergeCell ref="H12:J12"/>
    <mergeCell ref="H14:J14"/>
    <mergeCell ref="A5:B5"/>
    <mergeCell ref="G5:H5"/>
    <mergeCell ref="I5:J5"/>
    <mergeCell ref="A16:J16"/>
    <mergeCell ref="A54:J54"/>
    <mergeCell ref="A4:B4"/>
    <mergeCell ref="G4:H4"/>
    <mergeCell ref="I4:J4"/>
    <mergeCell ref="H10:J10"/>
    <mergeCell ref="A51:L51"/>
    <mergeCell ref="A18:J18"/>
    <mergeCell ref="A1:L1"/>
    <mergeCell ref="K4:L4"/>
  </mergeCells>
  <conditionalFormatting sqref="A20:H50">
    <cfRule type="expression" priority="1" dxfId="0">
      <formula>$C20=0</formula>
    </cfRule>
  </conditionalFormatting>
  <conditionalFormatting sqref="H20:H50">
    <cfRule type="expression" priority="2" dxfId="1">
      <formula>H20="Falta conferir"</formula>
    </cfRule>
    <cfRule type="expression" priority="3" dxfId="2">
      <formula>H20="Conferido"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70" customWidth="1" min="4" max="4"/>
    <col width="3" customWidth="1" min="5" max="5"/>
    <col width="3" customWidth="1" min="6" max="6"/>
    <col width="3" customWidth="1" min="7" max="7"/>
    <col width="12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Taxas e prazos da sua operadora (o contrato da maquininha diz; confira no extrato).</t>
        </is>
      </c>
    </row>
    <row r="4">
      <c r="A4" s="40" t="inlineStr">
        <is>
          <t>Clínica</t>
        </is>
      </c>
      <c r="B4" s="41" t="inlineStr">
        <is>
          <t>Clínica Vida Plena (exemplo fictício)</t>
        </is>
      </c>
      <c r="H4" s="40" t="inlineStr">
        <is>
          <t>Meses</t>
        </is>
      </c>
    </row>
    <row r="5">
      <c r="A5" s="40" t="inlineStr">
        <is>
          <t>Ano do painel</t>
        </is>
      </c>
      <c r="B5" s="42" t="n">
        <v>2026</v>
      </c>
      <c r="H5" s="43" t="inlineStr">
        <is>
          <t>Janeiro</t>
        </is>
      </c>
    </row>
    <row r="6">
      <c r="A6" s="40" t="inlineStr">
        <is>
          <t>Mês do painel</t>
        </is>
      </c>
      <c r="B6" s="42" t="inlineStr">
        <is>
          <t>Agosto</t>
        </is>
      </c>
      <c r="H6" s="43" t="inlineStr">
        <is>
          <t>Fevereiro</t>
        </is>
      </c>
    </row>
    <row r="7">
      <c r="A7" s="40" t="inlineStr">
        <is>
          <t>Número do mês</t>
        </is>
      </c>
      <c r="B7" s="27">
        <f>MATCH(B6,$H$5:$H$16,0)</f>
        <v>8</v>
      </c>
      <c r="H7" s="43" t="inlineStr">
        <is>
          <t>Março</t>
        </is>
      </c>
    </row>
    <row r="8">
      <c r="A8" s="40" t="inlineStr">
        <is>
          <t>Data de referência (hoje)</t>
        </is>
      </c>
      <c r="B8" s="44" t="n">
        <v>46279</v>
      </c>
      <c r="H8" s="43" t="inlineStr">
        <is>
          <t>Abril</t>
        </is>
      </c>
    </row>
    <row r="9">
      <c r="A9" s="40" t="inlineStr">
        <is>
          <t>Preço da consulta particular (para a comparação)</t>
        </is>
      </c>
      <c r="B9" s="45" t="n">
        <v>380</v>
      </c>
      <c r="H9" s="43" t="inlineStr">
        <is>
          <t>Maio</t>
        </is>
      </c>
    </row>
    <row r="10">
      <c r="H10" s="43" t="inlineStr">
        <is>
          <t>Junho</t>
        </is>
      </c>
    </row>
    <row r="11" ht="30" customHeight="1">
      <c r="A11" s="23" t="inlineStr">
        <is>
          <t>Tipo</t>
        </is>
      </c>
      <c r="B11" s="23" t="inlineStr">
        <is>
          <t>Taxa (%)</t>
        </is>
      </c>
      <c r="C11" s="23" t="inlineStr">
        <is>
          <t>Cai na conta em (dias)</t>
        </is>
      </c>
      <c r="D11" s="23" t="inlineStr">
        <is>
          <t>Observação</t>
        </is>
      </c>
      <c r="H11" s="43" t="inlineStr">
        <is>
          <t>Julho</t>
        </is>
      </c>
    </row>
    <row r="12">
      <c r="A12" s="26" t="inlineStr">
        <is>
          <t>Pix</t>
        </is>
      </c>
      <c r="B12" s="46" t="n">
        <v>0</v>
      </c>
      <c r="C12" s="47" t="n">
        <v>0</v>
      </c>
      <c r="D12" s="21" t="inlineStr">
        <is>
          <t>Pix na conta PJ: no exemplo, sem taxa (alguns bancos cobram por recebimento).</t>
        </is>
      </c>
      <c r="H12" s="43" t="inlineStr">
        <is>
          <t>Agosto</t>
        </is>
      </c>
    </row>
    <row r="13">
      <c r="A13" s="26" t="inlineStr">
        <is>
          <t>Cartão de débito</t>
        </is>
      </c>
      <c r="B13" s="46" t="n">
        <v>0.015</v>
      </c>
      <c r="C13" s="47" t="n">
        <v>1</v>
      </c>
      <c r="D13" s="21" t="inlineStr">
        <is>
          <t>Débito costuma cair no dia útil seguinte.</t>
        </is>
      </c>
      <c r="H13" s="43" t="inlineStr">
        <is>
          <t>Setembro</t>
        </is>
      </c>
    </row>
    <row r="14">
      <c r="A14" s="26" t="inlineStr">
        <is>
          <t>Cartão de crédito</t>
        </is>
      </c>
      <c r="B14" s="46" t="n">
        <v>0.032</v>
      </c>
      <c r="C14" s="47" t="n">
        <v>30</v>
      </c>
      <c r="D14" s="21" t="inlineStr">
        <is>
          <t>Crédito à vista cai em 30 dias.</t>
        </is>
      </c>
      <c r="H14" s="43" t="inlineStr">
        <is>
          <t>Outubro</t>
        </is>
      </c>
    </row>
    <row r="15">
      <c r="A15" s="26" t="inlineStr">
        <is>
          <t>Cartão de crédito parcelado</t>
        </is>
      </c>
      <c r="B15" s="46" t="n">
        <v>0.039</v>
      </c>
      <c r="C15" s="47" t="n">
        <v>30</v>
      </c>
      <c r="D15" s="21" t="inlineStr">
        <is>
          <t>Parcelado: cada parcela cai 30 dias depois da anterior; a taxa é maior.</t>
        </is>
      </c>
      <c r="H15" s="43" t="inlineStr">
        <is>
          <t>Novembro</t>
        </is>
      </c>
    </row>
    <row r="16">
      <c r="H16" s="43" t="inlineStr">
        <is>
          <t>Dezembro</t>
        </is>
      </c>
    </row>
    <row r="17">
      <c r="A17" s="40" t="inlineStr">
        <is>
          <t>Antecipar o crédito? (Sim/Não)</t>
        </is>
      </c>
      <c r="B17" s="42" t="inlineStr">
        <is>
          <t>Não</t>
        </is>
      </c>
      <c r="D17" s="21" t="inlineStr">
        <is>
          <t>Com antecipação, o crédito cai em 1 dia e a operadora cobra a taxa de antecipação sobre o valor pelo prazo antecipado. No exemplo, a clínica não antecipa.</t>
        </is>
      </c>
    </row>
    <row r="18">
      <c r="A18" s="40" t="inlineStr">
        <is>
          <t>Taxa de antecipação (% ao mês)</t>
        </is>
      </c>
      <c r="B18" s="48" t="n">
        <v>0.018</v>
      </c>
    </row>
    <row r="20">
      <c r="A20" s="21" t="inlineStr">
        <is>
          <t>As taxas do exemplo são ilustrativas. Pegue as suas no contrato da maquininha ou no extrato da operadora; elas mudam por bandeira e por volume.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dataValidations count="2">
    <dataValidation sqref="B6" showDropDown="0" showInputMessage="0" showErrorMessage="1" allowBlank="0" type="list">
      <formula1>=Config!$H$5:$H$16</formula1>
    </dataValidation>
    <dataValidation sqref="B17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7" customWidth="1" min="4" max="4"/>
    <col width="9" customWidth="1" min="5" max="5"/>
    <col width="13" customWidth="1" min="6" max="6"/>
    <col width="12" customWidth="1" min="7" max="7"/>
    <col width="9" customWidth="1" min="8" max="8"/>
    <col width="11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  <col width="13" customWidth="1" min="15" max="15"/>
    <col width="6" customWidth="1" min="16" max="16"/>
    <col width="6" customWidth="1" min="17" max="17"/>
    <col width="16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</cols>
  <sheetData>
    <row r="1" ht="28" customHeight="1">
      <c r="A1" s="5" t="inlineStr">
        <is>
          <t>Vendas no cartão e no Pix</t>
        </is>
      </c>
    </row>
    <row r="2">
      <c r="A2" s="6" t="inlineStr">
        <is>
          <t>Uma linha por pagamento (copie da Agenda da planilha 01: atendimentos particulares realizados com Pix ou cartão). Amarelo: data, paciente, procedimento, tipo, parcelas, valor bruto e a conferência no extrato.</t>
        </is>
      </c>
    </row>
    <row r="4" ht="44" customHeight="1">
      <c r="A4" s="23" t="inlineStr">
        <is>
          <t>Data da venda</t>
        </is>
      </c>
      <c r="B4" s="23" t="inlineStr">
        <is>
          <t>Paciente</t>
        </is>
      </c>
      <c r="C4" s="23" t="inlineStr">
        <is>
          <t>Procedimento</t>
        </is>
      </c>
      <c r="D4" s="23" t="inlineStr">
        <is>
          <t>Tipo</t>
        </is>
      </c>
      <c r="E4" s="23" t="inlineStr">
        <is>
          <t>Parcelas</t>
        </is>
      </c>
      <c r="F4" s="23" t="inlineStr">
        <is>
          <t>Valor bruto (R$)</t>
        </is>
      </c>
      <c r="G4" s="23" t="inlineStr">
        <is>
          <t>Parcelas já conferidas</t>
        </is>
      </c>
      <c r="H4" s="23" t="inlineStr">
        <is>
          <t>Taxa (%)</t>
        </is>
      </c>
      <c r="I4" s="23" t="inlineStr">
        <is>
          <t>Taxa (R$)</t>
        </is>
      </c>
      <c r="J4" s="23" t="inlineStr">
        <is>
          <t>Valor líquido (R$)</t>
        </is>
      </c>
      <c r="K4" s="23" t="inlineStr">
        <is>
          <t>Líquido por parcela (R$)</t>
        </is>
      </c>
      <c r="L4" s="23" t="inlineStr">
        <is>
          <t>1ª parcela cai em</t>
        </is>
      </c>
      <c r="M4" s="23" t="inlineStr">
        <is>
          <t>Última parcela cai em</t>
        </is>
      </c>
      <c r="N4" s="23" t="inlineStr">
        <is>
          <t>Já previsto até hoje (R$)</t>
        </is>
      </c>
      <c r="O4" s="23" t="inlineStr">
        <is>
          <t>Ainda vai cair (R$)</t>
        </is>
      </c>
      <c r="P4" s="23" t="inlineStr">
        <is>
          <t>Mês</t>
        </is>
      </c>
      <c r="Q4" s="23" t="inlineStr">
        <is>
          <t>Ano</t>
        </is>
      </c>
      <c r="R4" s="23" t="inlineStr">
        <is>
          <t>Situação</t>
        </is>
      </c>
    </row>
    <row r="5">
      <c r="A5" s="49" t="n">
        <v>46174</v>
      </c>
      <c r="B5" s="41" t="inlineStr">
        <is>
          <t>Cláudia Santos</t>
        </is>
      </c>
      <c r="C5" s="41" t="inlineStr">
        <is>
          <t>MAPA</t>
        </is>
      </c>
      <c r="D5" s="42" t="inlineStr">
        <is>
          <t>Pix</t>
        </is>
      </c>
      <c r="E5" s="42" t="n"/>
      <c r="F5" s="50" t="n">
        <v>300</v>
      </c>
      <c r="G5" s="42" t="n">
        <v>1</v>
      </c>
      <c r="H5" s="30">
        <f>IF(D5="","",IFERROR(INDEX(Config!$B$12:$B$15,MATCH(IF(AND(D5="Cartão de crédito",N(E5)&gt;1),"Cartão de crédito parcelado",D5),Config!$A$12:$A$15,0)),0)+IF(AND(Config!$B$17="Sim",LEFT(D5,17)="Cartão de crédito"),Config!$B$18*IFERROR(INDEX(Config!$C$12:$C$15,MATCH(IF(AND(D5="Cartão de crédito",N(E5)&gt;1),"Cartão de crédito parcelado",D5),Config!$A$12:$A$15,0)),0)/30*MAX(1,N(E5)),0))</f>
        <v>0</v>
      </c>
      <c r="I5" s="29">
        <f>IF(OR(D5="",F5=""),"",ROUND(F5*H5,2))</f>
        <v>0</v>
      </c>
      <c r="J5" s="29">
        <f>IF(I5="","",F5-I5)</f>
        <v>300</v>
      </c>
      <c r="K5" s="29">
        <f>IF(J5="","",J5/MAX(1,N(E5)))</f>
        <v>300</v>
      </c>
      <c r="L5" s="37">
        <f>IF(OR(D5="",A5=""),"",A5+IF(AND(Config!$B$17="Sim",LEFT(D5,17)="Cartão de crédito"),1,IFERROR(INDEX(Config!$C$12:$C$15,MATCH(IF(AND(D5="Cartão de crédito",N(E5)&gt;1),"Cartão de crédito parcelado",D5),Config!$A$12:$A$15,0)),0)))</f>
        <v>46174.0</v>
      </c>
      <c r="M5" s="37">
        <f>IF(L5="","",IF(AND(Config!$B$17="Sim",LEFT(D5,17)="Cartão de crédito"),L5,L5+30*(MAX(1,N(E5))-1)))</f>
        <v>46174.0</v>
      </c>
      <c r="N5" s="29">
        <f>IF(OR(L5="",K5=""),"",K5*MIN(MAX(1,N(E5)),MAX(0,INT((Config!$B$8-L5)/30)+1)))</f>
        <v>300</v>
      </c>
      <c r="O5" s="29">
        <f>IF(J5="","",J5-N(N5))</f>
        <v>0</v>
      </c>
      <c r="P5" s="27">
        <f>IF(A5="","",MONTH(A5))</f>
        <v>6</v>
      </c>
      <c r="Q5" s="27">
        <f>IF(A5="","",YEAR(A5))</f>
        <v>2026</v>
      </c>
      <c r="R5" s="27" t="str">
        <f>IF(L5="","",IF(L5&gt;Config!$B$8,"A cair",IF(N(G5)&gt;=MIN(MAX(1,N(E5)),MAX(0,INT((Config!$B$8-L5)/30)+1)),IF(N(G5)&gt;=MAX(1,N(E5)),"Conferido","Conferido até aqui"),"A conferir")))</f>
        <v>Conferido</v>
      </c>
      <c r="S5" s="51">
        <f>IF(R5="A conferir",(Config!$B$8-L5)*1000+N(F5)/1000+ROW()/100000,0)</f>
        <v>0</v>
      </c>
      <c r="T5" s="51">
        <f>IF(R5="A conferir",N(N5),0)</f>
        <v>0</v>
      </c>
      <c r="U5" s="51">
        <f>IF(L5="",0,L5)</f>
        <v>46174.0</v>
      </c>
      <c r="V5" s="51">
        <f>IF(L5="",0,MAX(1,N(E5)))</f>
        <v>1</v>
      </c>
      <c r="W5" s="51">
        <f>IF(K5="",0,K5)</f>
        <v>300</v>
      </c>
    </row>
    <row r="6">
      <c r="A6" s="49" t="n">
        <v>46175</v>
      </c>
      <c r="B6" s="41" t="inlineStr">
        <is>
          <t>Otávio Nascimento</t>
        </is>
      </c>
      <c r="C6" s="41" t="inlineStr">
        <is>
          <t>Consulta</t>
        </is>
      </c>
      <c r="D6" s="42" t="inlineStr">
        <is>
          <t>Cartão de crédito</t>
        </is>
      </c>
      <c r="E6" s="42" t="n"/>
      <c r="F6" s="50" t="n">
        <v>380</v>
      </c>
      <c r="G6" s="42" t="n">
        <v>1</v>
      </c>
      <c r="H6" s="30">
        <f>IF(D6="","",IFERROR(INDEX(Config!$B$12:$B$15,MATCH(IF(AND(D6="Cartão de crédito",N(E6)&gt;1),"Cartão de crédito parcelado",D6),Config!$A$12:$A$15,0)),0)+IF(AND(Config!$B$17="Sim",LEFT(D6,17)="Cartão de crédito"),Config!$B$18*IFERROR(INDEX(Config!$C$12:$C$15,MATCH(IF(AND(D6="Cartão de crédito",N(E6)&gt;1),"Cartão de crédito parcelado",D6),Config!$A$12:$A$15,0)),0)/30*MAX(1,N(E6)),0))</f>
        <v>0.032</v>
      </c>
      <c r="I6" s="29">
        <f>IF(OR(D6="",F6=""),"",ROUND(F6*H6,2))</f>
        <v>12.16</v>
      </c>
      <c r="J6" s="29">
        <f>IF(I6="","",F6-I6)</f>
        <v>367.84</v>
      </c>
      <c r="K6" s="29">
        <f>IF(J6="","",J6/MAX(1,N(E6)))</f>
        <v>367.84</v>
      </c>
      <c r="L6" s="37">
        <f>IF(OR(D6="",A6=""),"",A6+IF(AND(Config!$B$17="Sim",LEFT(D6,17)="Cartão de crédito"),1,IFERROR(INDEX(Config!$C$12:$C$15,MATCH(IF(AND(D6="Cartão de crédito",N(E6)&gt;1),"Cartão de crédito parcelado",D6),Config!$A$12:$A$15,0)),0)))</f>
        <v>46205.0</v>
      </c>
      <c r="M6" s="37">
        <f>IF(L6="","",IF(AND(Config!$B$17="Sim",LEFT(D6,17)="Cartão de crédito"),L6,L6+30*(MAX(1,N(E6))-1)))</f>
        <v>46205.0</v>
      </c>
      <c r="N6" s="29">
        <f>IF(OR(L6="",K6=""),"",K6*MIN(MAX(1,N(E6)),MAX(0,INT((Config!$B$8-L6)/30)+1)))</f>
        <v>367.84</v>
      </c>
      <c r="O6" s="29">
        <f>IF(J6="","",J6-N(N6))</f>
        <v>0</v>
      </c>
      <c r="P6" s="27">
        <f>IF(A6="","",MONTH(A6))</f>
        <v>6</v>
      </c>
      <c r="Q6" s="27">
        <f>IF(A6="","",YEAR(A6))</f>
        <v>2026</v>
      </c>
      <c r="R6" s="27" t="str">
        <f>IF(L6="","",IF(L6&gt;Config!$B$8,"A cair",IF(N(G6)&gt;=MIN(MAX(1,N(E6)),MAX(0,INT((Config!$B$8-L6)/30)+1)),IF(N(G6)&gt;=MAX(1,N(E6)),"Conferido","Conferido até aqui"),"A conferir")))</f>
        <v>Conferido</v>
      </c>
      <c r="S6" s="51">
        <f>IF(R6="A conferir",(Config!$B$8-L6)*1000+N(F6)/1000+ROW()/100000,0)</f>
        <v>0</v>
      </c>
      <c r="T6" s="51">
        <f>IF(R6="A conferir",N(N6),0)</f>
        <v>0</v>
      </c>
      <c r="U6" s="51">
        <f>IF(L6="",0,L6)</f>
        <v>46205.0</v>
      </c>
      <c r="V6" s="51">
        <f>IF(L6="",0,MAX(1,N(E6)))</f>
        <v>1</v>
      </c>
      <c r="W6" s="51">
        <f>IF(K6="",0,K6)</f>
        <v>367.84</v>
      </c>
    </row>
    <row r="7">
      <c r="A7" s="49" t="n">
        <v>46175</v>
      </c>
      <c r="B7" s="41" t="inlineStr">
        <is>
          <t>Leandro Oliveira</t>
        </is>
      </c>
      <c r="C7" s="41" t="inlineStr">
        <is>
          <t>Consulta</t>
        </is>
      </c>
      <c r="D7" s="42" t="inlineStr">
        <is>
          <t>Pix</t>
        </is>
      </c>
      <c r="E7" s="42" t="n"/>
      <c r="F7" s="50" t="n">
        <v>380</v>
      </c>
      <c r="G7" s="42" t="n">
        <v>1</v>
      </c>
      <c r="H7" s="30">
        <f>IF(D7="","",IFERROR(INDEX(Config!$B$12:$B$15,MATCH(IF(AND(D7="Cartão de crédito",N(E7)&gt;1),"Cartão de crédito parcelado",D7),Config!$A$12:$A$15,0)),0)+IF(AND(Config!$B$17="Sim",LEFT(D7,17)="Cartão de crédito"),Config!$B$18*IFERROR(INDEX(Config!$C$12:$C$15,MATCH(IF(AND(D7="Cartão de crédito",N(E7)&gt;1),"Cartão de crédito parcelado",D7),Config!$A$12:$A$15,0)),0)/30*MAX(1,N(E7)),0))</f>
        <v>0</v>
      </c>
      <c r="I7" s="29">
        <f>IF(OR(D7="",F7=""),"",ROUND(F7*H7,2))</f>
        <v>0</v>
      </c>
      <c r="J7" s="29">
        <f>IF(I7="","",F7-I7)</f>
        <v>380</v>
      </c>
      <c r="K7" s="29">
        <f>IF(J7="","",J7/MAX(1,N(E7)))</f>
        <v>380</v>
      </c>
      <c r="L7" s="37">
        <f>IF(OR(D7="",A7=""),"",A7+IF(AND(Config!$B$17="Sim",LEFT(D7,17)="Cartão de crédito"),1,IFERROR(INDEX(Config!$C$12:$C$15,MATCH(IF(AND(D7="Cartão de crédito",N(E7)&gt;1),"Cartão de crédito parcelado",D7),Config!$A$12:$A$15,0)),0)))</f>
        <v>46175.0</v>
      </c>
      <c r="M7" s="37">
        <f>IF(L7="","",IF(AND(Config!$B$17="Sim",LEFT(D7,17)="Cartão de crédito"),L7,L7+30*(MAX(1,N(E7))-1)))</f>
        <v>46175.0</v>
      </c>
      <c r="N7" s="29">
        <f>IF(OR(L7="",K7=""),"",K7*MIN(MAX(1,N(E7)),MAX(0,INT((Config!$B$8-L7)/30)+1)))</f>
        <v>380</v>
      </c>
      <c r="O7" s="29">
        <f>IF(J7="","",J7-N(N7))</f>
        <v>0</v>
      </c>
      <c r="P7" s="27">
        <f>IF(A7="","",MONTH(A7))</f>
        <v>6</v>
      </c>
      <c r="Q7" s="27">
        <f>IF(A7="","",YEAR(A7))</f>
        <v>2026</v>
      </c>
      <c r="R7" s="27" t="str">
        <f>IF(L7="","",IF(L7&gt;Config!$B$8,"A cair",IF(N(G7)&gt;=MIN(MAX(1,N(E7)),MAX(0,INT((Config!$B$8-L7)/30)+1)),IF(N(G7)&gt;=MAX(1,N(E7)),"Conferido","Conferido até aqui"),"A conferir")))</f>
        <v>Conferido</v>
      </c>
      <c r="S7" s="51">
        <f>IF(R7="A conferir",(Config!$B$8-L7)*1000+N(F7)/1000+ROW()/100000,0)</f>
        <v>0</v>
      </c>
      <c r="T7" s="51">
        <f>IF(R7="A conferir",N(N7),0)</f>
        <v>0</v>
      </c>
      <c r="U7" s="51">
        <f>IF(L7="",0,L7)</f>
        <v>46175.0</v>
      </c>
      <c r="V7" s="51">
        <f>IF(L7="",0,MAX(1,N(E7)))</f>
        <v>1</v>
      </c>
      <c r="W7" s="51">
        <f>IF(K7="",0,K7)</f>
        <v>380</v>
      </c>
    </row>
    <row r="8">
      <c r="A8" s="49" t="n">
        <v>46175</v>
      </c>
      <c r="B8" s="41" t="inlineStr">
        <is>
          <t>Cláudia Costa</t>
        </is>
      </c>
      <c r="C8" s="41" t="inlineStr">
        <is>
          <t>Consulta</t>
        </is>
      </c>
      <c r="D8" s="42" t="inlineStr">
        <is>
          <t>Pix</t>
        </is>
      </c>
      <c r="E8" s="42" t="n"/>
      <c r="F8" s="50" t="n">
        <v>380</v>
      </c>
      <c r="G8" s="42" t="n">
        <v>1</v>
      </c>
      <c r="H8" s="30">
        <f>IF(D8="","",IFERROR(INDEX(Config!$B$12:$B$15,MATCH(IF(AND(D8="Cartão de crédito",N(E8)&gt;1),"Cartão de crédito parcelado",D8),Config!$A$12:$A$15,0)),0)+IF(AND(Config!$B$17="Sim",LEFT(D8,17)="Cartão de crédito"),Config!$B$18*IFERROR(INDEX(Config!$C$12:$C$15,MATCH(IF(AND(D8="Cartão de crédito",N(E8)&gt;1),"Cartão de crédito parcelado",D8),Config!$A$12:$A$15,0)),0)/30*MAX(1,N(E8)),0))</f>
        <v>0</v>
      </c>
      <c r="I8" s="29">
        <f>IF(OR(D8="",F8=""),"",ROUND(F8*H8,2))</f>
        <v>0</v>
      </c>
      <c r="J8" s="29">
        <f>IF(I8="","",F8-I8)</f>
        <v>380</v>
      </c>
      <c r="K8" s="29">
        <f>IF(J8="","",J8/MAX(1,N(E8)))</f>
        <v>380</v>
      </c>
      <c r="L8" s="37">
        <f>IF(OR(D8="",A8=""),"",A8+IF(AND(Config!$B$17="Sim",LEFT(D8,17)="Cartão de crédito"),1,IFERROR(INDEX(Config!$C$12:$C$15,MATCH(IF(AND(D8="Cartão de crédito",N(E8)&gt;1),"Cartão de crédito parcelado",D8),Config!$A$12:$A$15,0)),0)))</f>
        <v>46175.0</v>
      </c>
      <c r="M8" s="37">
        <f>IF(L8="","",IF(AND(Config!$B$17="Sim",LEFT(D8,17)="Cartão de crédito"),L8,L8+30*(MAX(1,N(E8))-1)))</f>
        <v>46175.0</v>
      </c>
      <c r="N8" s="29">
        <f>IF(OR(L8="",K8=""),"",K8*MIN(MAX(1,N(E8)),MAX(0,INT((Config!$B$8-L8)/30)+1)))</f>
        <v>380</v>
      </c>
      <c r="O8" s="29">
        <f>IF(J8="","",J8-N(N8))</f>
        <v>0</v>
      </c>
      <c r="P8" s="27">
        <f>IF(A8="","",MONTH(A8))</f>
        <v>6</v>
      </c>
      <c r="Q8" s="27">
        <f>IF(A8="","",YEAR(A8))</f>
        <v>2026</v>
      </c>
      <c r="R8" s="27" t="str">
        <f>IF(L8="","",IF(L8&gt;Config!$B$8,"A cair",IF(N(G8)&gt;=MIN(MAX(1,N(E8)),MAX(0,INT((Config!$B$8-L8)/30)+1)),IF(N(G8)&gt;=MAX(1,N(E8)),"Conferido","Conferido até aqui"),"A conferir")))</f>
        <v>Conferido</v>
      </c>
      <c r="S8" s="51">
        <f>IF(R8="A conferir",(Config!$B$8-L8)*1000+N(F8)/1000+ROW()/100000,0)</f>
        <v>0</v>
      </c>
      <c r="T8" s="51">
        <f>IF(R8="A conferir",N(N8),0)</f>
        <v>0</v>
      </c>
      <c r="U8" s="51">
        <f>IF(L8="",0,L8)</f>
        <v>46175.0</v>
      </c>
      <c r="V8" s="51">
        <f>IF(L8="",0,MAX(1,N(E8)))</f>
        <v>1</v>
      </c>
      <c r="W8" s="51">
        <f>IF(K8="",0,K8)</f>
        <v>380</v>
      </c>
    </row>
    <row r="9">
      <c r="A9" s="49" t="n">
        <v>46175</v>
      </c>
      <c r="B9" s="41" t="inlineStr">
        <is>
          <t>Eduardo Pereira</t>
        </is>
      </c>
      <c r="C9" s="41" t="inlineStr">
        <is>
          <t>Avaliação endócrina</t>
        </is>
      </c>
      <c r="D9" s="42" t="inlineStr">
        <is>
          <t>Pix</t>
        </is>
      </c>
      <c r="E9" s="42" t="n"/>
      <c r="F9" s="50" t="n">
        <v>400</v>
      </c>
      <c r="G9" s="42" t="n">
        <v>1</v>
      </c>
      <c r="H9" s="30">
        <f>IF(D9="","",IFERROR(INDEX(Config!$B$12:$B$15,MATCH(IF(AND(D9="Cartão de crédito",N(E9)&gt;1),"Cartão de crédito parcelado",D9),Config!$A$12:$A$15,0)),0)+IF(AND(Config!$B$17="Sim",LEFT(D9,17)="Cartão de crédito"),Config!$B$18*IFERROR(INDEX(Config!$C$12:$C$15,MATCH(IF(AND(D9="Cartão de crédito",N(E9)&gt;1),"Cartão de crédito parcelado",D9),Config!$A$12:$A$15,0)),0)/30*MAX(1,N(E9)),0))</f>
        <v>0</v>
      </c>
      <c r="I9" s="29">
        <f>IF(OR(D9="",F9=""),"",ROUND(F9*H9,2))</f>
        <v>0</v>
      </c>
      <c r="J9" s="29">
        <f>IF(I9="","",F9-I9)</f>
        <v>400</v>
      </c>
      <c r="K9" s="29">
        <f>IF(J9="","",J9/MAX(1,N(E9)))</f>
        <v>400</v>
      </c>
      <c r="L9" s="37">
        <f>IF(OR(D9="",A9=""),"",A9+IF(AND(Config!$B$17="Sim",LEFT(D9,17)="Cartão de crédito"),1,IFERROR(INDEX(Config!$C$12:$C$15,MATCH(IF(AND(D9="Cartão de crédito",N(E9)&gt;1),"Cartão de crédito parcelado",D9),Config!$A$12:$A$15,0)),0)))</f>
        <v>46175.0</v>
      </c>
      <c r="M9" s="37">
        <f>IF(L9="","",IF(AND(Config!$B$17="Sim",LEFT(D9,17)="Cartão de crédito"),L9,L9+30*(MAX(1,N(E9))-1)))</f>
        <v>46175.0</v>
      </c>
      <c r="N9" s="29">
        <f>IF(OR(L9="",K9=""),"",K9*MIN(MAX(1,N(E9)),MAX(0,INT((Config!$B$8-L9)/30)+1)))</f>
        <v>400</v>
      </c>
      <c r="O9" s="29">
        <f>IF(J9="","",J9-N(N9))</f>
        <v>0</v>
      </c>
      <c r="P9" s="27">
        <f>IF(A9="","",MONTH(A9))</f>
        <v>6</v>
      </c>
      <c r="Q9" s="27">
        <f>IF(A9="","",YEAR(A9))</f>
        <v>2026</v>
      </c>
      <c r="R9" s="27" t="str">
        <f>IF(L9="","",IF(L9&gt;Config!$B$8,"A cair",IF(N(G9)&gt;=MIN(MAX(1,N(E9)),MAX(0,INT((Config!$B$8-L9)/30)+1)),IF(N(G9)&gt;=MAX(1,N(E9)),"Conferido","Conferido até aqui"),"A conferir")))</f>
        <v>Conferido</v>
      </c>
      <c r="S9" s="51">
        <f>IF(R9="A conferir",(Config!$B$8-L9)*1000+N(F9)/1000+ROW()/100000,0)</f>
        <v>0</v>
      </c>
      <c r="T9" s="51">
        <f>IF(R9="A conferir",N(N9),0)</f>
        <v>0</v>
      </c>
      <c r="U9" s="51">
        <f>IF(L9="",0,L9)</f>
        <v>46175.0</v>
      </c>
      <c r="V9" s="51">
        <f>IF(L9="",0,MAX(1,N(E9)))</f>
        <v>1</v>
      </c>
      <c r="W9" s="51">
        <f>IF(K9="",0,K9)</f>
        <v>400</v>
      </c>
    </row>
    <row r="10">
      <c r="A10" s="49" t="n">
        <v>46175</v>
      </c>
      <c r="B10" s="41" t="inlineStr">
        <is>
          <t>Rafael Pereira</t>
        </is>
      </c>
      <c r="C10" s="41" t="inlineStr">
        <is>
          <t>Avaliação endócrina</t>
        </is>
      </c>
      <c r="D10" s="42" t="inlineStr">
        <is>
          <t>Pix</t>
        </is>
      </c>
      <c r="E10" s="42" t="n"/>
      <c r="F10" s="50" t="n">
        <v>400</v>
      </c>
      <c r="G10" s="42" t="n">
        <v>1</v>
      </c>
      <c r="H10" s="30">
        <f>IF(D10="","",IFERROR(INDEX(Config!$B$12:$B$15,MATCH(IF(AND(D10="Cartão de crédito",N(E10)&gt;1),"Cartão de crédito parcelado",D10),Config!$A$12:$A$15,0)),0)+IF(AND(Config!$B$17="Sim",LEFT(D10,17)="Cartão de crédito"),Config!$B$18*IFERROR(INDEX(Config!$C$12:$C$15,MATCH(IF(AND(D10="Cartão de crédito",N(E10)&gt;1),"Cartão de crédito parcelado",D10),Config!$A$12:$A$15,0)),0)/30*MAX(1,N(E10)),0))</f>
        <v>0</v>
      </c>
      <c r="I10" s="29">
        <f>IF(OR(D10="",F10=""),"",ROUND(F10*H10,2))</f>
        <v>0</v>
      </c>
      <c r="J10" s="29">
        <f>IF(I10="","",F10-I10)</f>
        <v>400</v>
      </c>
      <c r="K10" s="29">
        <f>IF(J10="","",J10/MAX(1,N(E10)))</f>
        <v>400</v>
      </c>
      <c r="L10" s="37">
        <f>IF(OR(D10="",A10=""),"",A10+IF(AND(Config!$B$17="Sim",LEFT(D10,17)="Cartão de crédito"),1,IFERROR(INDEX(Config!$C$12:$C$15,MATCH(IF(AND(D10="Cartão de crédito",N(E10)&gt;1),"Cartão de crédito parcelado",D10),Config!$A$12:$A$15,0)),0)))</f>
        <v>46175.0</v>
      </c>
      <c r="M10" s="37">
        <f>IF(L10="","",IF(AND(Config!$B$17="Sim",LEFT(D10,17)="Cartão de crédito"),L10,L10+30*(MAX(1,N(E10))-1)))</f>
        <v>46175.0</v>
      </c>
      <c r="N10" s="29">
        <f>IF(OR(L10="",K10=""),"",K10*MIN(MAX(1,N(E10)),MAX(0,INT((Config!$B$8-L10)/30)+1)))</f>
        <v>400</v>
      </c>
      <c r="O10" s="29">
        <f>IF(J10="","",J10-N(N10))</f>
        <v>0</v>
      </c>
      <c r="P10" s="27">
        <f>IF(A10="","",MONTH(A10))</f>
        <v>6</v>
      </c>
      <c r="Q10" s="27">
        <f>IF(A10="","",YEAR(A10))</f>
        <v>2026</v>
      </c>
      <c r="R10" s="27" t="str">
        <f>IF(L10="","",IF(L10&gt;Config!$B$8,"A cair",IF(N(G10)&gt;=MIN(MAX(1,N(E10)),MAX(0,INT((Config!$B$8-L10)/30)+1)),IF(N(G10)&gt;=MAX(1,N(E10)),"Conferido","Conferido até aqui"),"A conferir")))</f>
        <v>Conferido</v>
      </c>
      <c r="S10" s="51">
        <f>IF(R10="A conferir",(Config!$B$8-L10)*1000+N(F10)/1000+ROW()/100000,0)</f>
        <v>0</v>
      </c>
      <c r="T10" s="51">
        <f>IF(R10="A conferir",N(N10),0)</f>
        <v>0</v>
      </c>
      <c r="U10" s="51">
        <f>IF(L10="",0,L10)</f>
        <v>46175.0</v>
      </c>
      <c r="V10" s="51">
        <f>IF(L10="",0,MAX(1,N(E10)))</f>
        <v>1</v>
      </c>
      <c r="W10" s="51">
        <f>IF(K10="",0,K10)</f>
        <v>400</v>
      </c>
    </row>
    <row r="11">
      <c r="A11" s="49" t="n">
        <v>46175</v>
      </c>
      <c r="B11" s="41" t="inlineStr">
        <is>
          <t>Elaine Cardoso</t>
        </is>
      </c>
      <c r="C11" s="41" t="inlineStr">
        <is>
          <t>Teste ergométrico</t>
        </is>
      </c>
      <c r="D11" s="42" t="inlineStr">
        <is>
          <t>Cartão de crédito</t>
        </is>
      </c>
      <c r="E11" s="42" t="n">
        <v>2</v>
      </c>
      <c r="F11" s="50" t="n">
        <v>450</v>
      </c>
      <c r="G11" s="42" t="n">
        <v>2</v>
      </c>
      <c r="H11" s="30">
        <f>IF(D11="","",IFERROR(INDEX(Config!$B$12:$B$15,MATCH(IF(AND(D11="Cartão de crédito",N(E11)&gt;1),"Cartão de crédito parcelado",D11),Config!$A$12:$A$15,0)),0)+IF(AND(Config!$B$17="Sim",LEFT(D11,17)="Cartão de crédito"),Config!$B$18*IFERROR(INDEX(Config!$C$12:$C$15,MATCH(IF(AND(D11="Cartão de crédito",N(E11)&gt;1),"Cartão de crédito parcelado",D11),Config!$A$12:$A$15,0)),0)/30*MAX(1,N(E11)),0))</f>
        <v>0.039</v>
      </c>
      <c r="I11" s="29">
        <f>IF(OR(D11="",F11=""),"",ROUND(F11*H11,2))</f>
        <v>17.55</v>
      </c>
      <c r="J11" s="29">
        <f>IF(I11="","",F11-I11)</f>
        <v>432.45</v>
      </c>
      <c r="K11" s="29">
        <f>IF(J11="","",J11/MAX(1,N(E11)))</f>
        <v>216.225</v>
      </c>
      <c r="L11" s="37">
        <f>IF(OR(D11="",A11=""),"",A11+IF(AND(Config!$B$17="Sim",LEFT(D11,17)="Cartão de crédito"),1,IFERROR(INDEX(Config!$C$12:$C$15,MATCH(IF(AND(D11="Cartão de crédito",N(E11)&gt;1),"Cartão de crédito parcelado",D11),Config!$A$12:$A$15,0)),0)))</f>
        <v>46205.0</v>
      </c>
      <c r="M11" s="37">
        <f>IF(L11="","",IF(AND(Config!$B$17="Sim",LEFT(D11,17)="Cartão de crédito"),L11,L11+30*(MAX(1,N(E11))-1)))</f>
        <v>46235.0</v>
      </c>
      <c r="N11" s="29">
        <f>IF(OR(L11="",K11=""),"",K11*MIN(MAX(1,N(E11)),MAX(0,INT((Config!$B$8-L11)/30)+1)))</f>
        <v>432.45</v>
      </c>
      <c r="O11" s="29">
        <f>IF(J11="","",J11-N(N11))</f>
        <v>0</v>
      </c>
      <c r="P11" s="27">
        <f>IF(A11="","",MONTH(A11))</f>
        <v>6</v>
      </c>
      <c r="Q11" s="27">
        <f>IF(A11="","",YEAR(A11))</f>
        <v>2026</v>
      </c>
      <c r="R11" s="27" t="str">
        <f>IF(L11="","",IF(L11&gt;Config!$B$8,"A cair",IF(N(G11)&gt;=MIN(MAX(1,N(E11)),MAX(0,INT((Config!$B$8-L11)/30)+1)),IF(N(G11)&gt;=MAX(1,N(E11)),"Conferido","Conferido até aqui"),"A conferir")))</f>
        <v>Conferido</v>
      </c>
      <c r="S11" s="51">
        <f>IF(R11="A conferir",(Config!$B$8-L11)*1000+N(F11)/1000+ROW()/100000,0)</f>
        <v>0</v>
      </c>
      <c r="T11" s="51">
        <f>IF(R11="A conferir",N(N11),0)</f>
        <v>0</v>
      </c>
      <c r="U11" s="51">
        <f>IF(L11="",0,L11)</f>
        <v>46205.0</v>
      </c>
      <c r="V11" s="51">
        <f>IF(L11="",0,MAX(1,N(E11)))</f>
        <v>2</v>
      </c>
      <c r="W11" s="51">
        <f>IF(K11="",0,K11)</f>
        <v>216.225</v>
      </c>
    </row>
    <row r="12">
      <c r="A12" s="49" t="n">
        <v>46176</v>
      </c>
      <c r="B12" s="41" t="inlineStr">
        <is>
          <t>Lucas Lopes</t>
        </is>
      </c>
      <c r="C12" s="41" t="inlineStr">
        <is>
          <t>Consulta</t>
        </is>
      </c>
      <c r="D12" s="42" t="inlineStr">
        <is>
          <t>Cartão de crédito</t>
        </is>
      </c>
      <c r="E12" s="42" t="n"/>
      <c r="F12" s="50" t="n">
        <v>380</v>
      </c>
      <c r="G12" s="42" t="n">
        <v>1</v>
      </c>
      <c r="H12" s="30">
        <f>IF(D12="","",IFERROR(INDEX(Config!$B$12:$B$15,MATCH(IF(AND(D12="Cartão de crédito",N(E12)&gt;1),"Cartão de crédito parcelado",D12),Config!$A$12:$A$15,0)),0)+IF(AND(Config!$B$17="Sim",LEFT(D12,17)="Cartão de crédito"),Config!$B$18*IFERROR(INDEX(Config!$C$12:$C$15,MATCH(IF(AND(D12="Cartão de crédito",N(E12)&gt;1),"Cartão de crédito parcelado",D12),Config!$A$12:$A$15,0)),0)/30*MAX(1,N(E12)),0))</f>
        <v>0.032</v>
      </c>
      <c r="I12" s="29">
        <f>IF(OR(D12="",F12=""),"",ROUND(F12*H12,2))</f>
        <v>12.16</v>
      </c>
      <c r="J12" s="29">
        <f>IF(I12="","",F12-I12)</f>
        <v>367.84</v>
      </c>
      <c r="K12" s="29">
        <f>IF(J12="","",J12/MAX(1,N(E12)))</f>
        <v>367.84</v>
      </c>
      <c r="L12" s="37">
        <f>IF(OR(D12="",A12=""),"",A12+IF(AND(Config!$B$17="Sim",LEFT(D12,17)="Cartão de crédito"),1,IFERROR(INDEX(Config!$C$12:$C$15,MATCH(IF(AND(D12="Cartão de crédito",N(E12)&gt;1),"Cartão de crédito parcelado",D12),Config!$A$12:$A$15,0)),0)))</f>
        <v>46206.0</v>
      </c>
      <c r="M12" s="37">
        <f>IF(L12="","",IF(AND(Config!$B$17="Sim",LEFT(D12,17)="Cartão de crédito"),L12,L12+30*(MAX(1,N(E12))-1)))</f>
        <v>46206.0</v>
      </c>
      <c r="N12" s="29">
        <f>IF(OR(L12="",K12=""),"",K12*MIN(MAX(1,N(E12)),MAX(0,INT((Config!$B$8-L12)/30)+1)))</f>
        <v>367.84</v>
      </c>
      <c r="O12" s="29">
        <f>IF(J12="","",J12-N(N12))</f>
        <v>0</v>
      </c>
      <c r="P12" s="27">
        <f>IF(A12="","",MONTH(A12))</f>
        <v>6</v>
      </c>
      <c r="Q12" s="27">
        <f>IF(A12="","",YEAR(A12))</f>
        <v>2026</v>
      </c>
      <c r="R12" s="27" t="str">
        <f>IF(L12="","",IF(L12&gt;Config!$B$8,"A cair",IF(N(G12)&gt;=MIN(MAX(1,N(E12)),MAX(0,INT((Config!$B$8-L12)/30)+1)),IF(N(G12)&gt;=MAX(1,N(E12)),"Conferido","Conferido até aqui"),"A conferir")))</f>
        <v>Conferido</v>
      </c>
      <c r="S12" s="51">
        <f>IF(R12="A conferir",(Config!$B$8-L12)*1000+N(F12)/1000+ROW()/100000,0)</f>
        <v>0</v>
      </c>
      <c r="T12" s="51">
        <f>IF(R12="A conferir",N(N12),0)</f>
        <v>0</v>
      </c>
      <c r="U12" s="51">
        <f>IF(L12="",0,L12)</f>
        <v>46206.0</v>
      </c>
      <c r="V12" s="51">
        <f>IF(L12="",0,MAX(1,N(E12)))</f>
        <v>1</v>
      </c>
      <c r="W12" s="51">
        <f>IF(K12="",0,K12)</f>
        <v>367.84</v>
      </c>
    </row>
    <row r="13">
      <c r="A13" s="49" t="n">
        <v>46176</v>
      </c>
      <c r="B13" s="41" t="inlineStr">
        <is>
          <t>Helena Moreira</t>
        </is>
      </c>
      <c r="C13" s="41" t="inlineStr">
        <is>
          <t>Consulta</t>
        </is>
      </c>
      <c r="D13" s="42" t="inlineStr">
        <is>
          <t>Pix</t>
        </is>
      </c>
      <c r="E13" s="42" t="n"/>
      <c r="F13" s="50" t="n">
        <v>380</v>
      </c>
      <c r="G13" s="42" t="n">
        <v>1</v>
      </c>
      <c r="H13" s="30">
        <f>IF(D13="","",IFERROR(INDEX(Config!$B$12:$B$15,MATCH(IF(AND(D13="Cartão de crédito",N(E13)&gt;1),"Cartão de crédito parcelado",D13),Config!$A$12:$A$15,0)),0)+IF(AND(Config!$B$17="Sim",LEFT(D13,17)="Cartão de crédito"),Config!$B$18*IFERROR(INDEX(Config!$C$12:$C$15,MATCH(IF(AND(D13="Cartão de crédito",N(E13)&gt;1),"Cartão de crédito parcelado",D13),Config!$A$12:$A$15,0)),0)/30*MAX(1,N(E13)),0))</f>
        <v>0</v>
      </c>
      <c r="I13" s="29">
        <f>IF(OR(D13="",F13=""),"",ROUND(F13*H13,2))</f>
        <v>0</v>
      </c>
      <c r="J13" s="29">
        <f>IF(I13="","",F13-I13)</f>
        <v>380</v>
      </c>
      <c r="K13" s="29">
        <f>IF(J13="","",J13/MAX(1,N(E13)))</f>
        <v>380</v>
      </c>
      <c r="L13" s="37">
        <f>IF(OR(D13="",A13=""),"",A13+IF(AND(Config!$B$17="Sim",LEFT(D13,17)="Cartão de crédito"),1,IFERROR(INDEX(Config!$C$12:$C$15,MATCH(IF(AND(D13="Cartão de crédito",N(E13)&gt;1),"Cartão de crédito parcelado",D13),Config!$A$12:$A$15,0)),0)))</f>
        <v>46176.0</v>
      </c>
      <c r="M13" s="37">
        <f>IF(L13="","",IF(AND(Config!$B$17="Sim",LEFT(D13,17)="Cartão de crédito"),L13,L13+30*(MAX(1,N(E13))-1)))</f>
        <v>46176.0</v>
      </c>
      <c r="N13" s="29">
        <f>IF(OR(L13="",K13=""),"",K13*MIN(MAX(1,N(E13)),MAX(0,INT((Config!$B$8-L13)/30)+1)))</f>
        <v>380</v>
      </c>
      <c r="O13" s="29">
        <f>IF(J13="","",J13-N(N13))</f>
        <v>0</v>
      </c>
      <c r="P13" s="27">
        <f>IF(A13="","",MONTH(A13))</f>
        <v>6</v>
      </c>
      <c r="Q13" s="27">
        <f>IF(A13="","",YEAR(A13))</f>
        <v>2026</v>
      </c>
      <c r="R13" s="27" t="str">
        <f>IF(L13="","",IF(L13&gt;Config!$B$8,"A cair",IF(N(G13)&gt;=MIN(MAX(1,N(E13)),MAX(0,INT((Config!$B$8-L13)/30)+1)),IF(N(G13)&gt;=MAX(1,N(E13)),"Conferido","Conferido até aqui"),"A conferir")))</f>
        <v>Conferido</v>
      </c>
      <c r="S13" s="51">
        <f>IF(R13="A conferir",(Config!$B$8-L13)*1000+N(F13)/1000+ROW()/100000,0)</f>
        <v>0</v>
      </c>
      <c r="T13" s="51">
        <f>IF(R13="A conferir",N(N13),0)</f>
        <v>0</v>
      </c>
      <c r="U13" s="51">
        <f>IF(L13="",0,L13)</f>
        <v>46176.0</v>
      </c>
      <c r="V13" s="51">
        <f>IF(L13="",0,MAX(1,N(E13)))</f>
        <v>1</v>
      </c>
      <c r="W13" s="51">
        <f>IF(K13="",0,K13)</f>
        <v>380</v>
      </c>
    </row>
    <row r="14">
      <c r="A14" s="49" t="n">
        <v>46181</v>
      </c>
      <c r="B14" s="41" t="inlineStr">
        <is>
          <t>Mônica Martins</t>
        </is>
      </c>
      <c r="C14" s="41" t="inlineStr">
        <is>
          <t>Consulta</t>
        </is>
      </c>
      <c r="D14" s="42" t="inlineStr">
        <is>
          <t>Cartão de débito</t>
        </is>
      </c>
      <c r="E14" s="42" t="n"/>
      <c r="F14" s="50" t="n">
        <v>380</v>
      </c>
      <c r="G14" s="42" t="n">
        <v>1</v>
      </c>
      <c r="H14" s="30">
        <f>IF(D14="","",IFERROR(INDEX(Config!$B$12:$B$15,MATCH(IF(AND(D14="Cartão de crédito",N(E14)&gt;1),"Cartão de crédito parcelado",D14),Config!$A$12:$A$15,0)),0)+IF(AND(Config!$B$17="Sim",LEFT(D14,17)="Cartão de crédito"),Config!$B$18*IFERROR(INDEX(Config!$C$12:$C$15,MATCH(IF(AND(D14="Cartão de crédito",N(E14)&gt;1),"Cartão de crédito parcelado",D14),Config!$A$12:$A$15,0)),0)/30*MAX(1,N(E14)),0))</f>
        <v>0.015</v>
      </c>
      <c r="I14" s="29">
        <f>IF(OR(D14="",F14=""),"",ROUND(F14*H14,2))</f>
        <v>5.7</v>
      </c>
      <c r="J14" s="29">
        <f>IF(I14="","",F14-I14)</f>
        <v>374.3</v>
      </c>
      <c r="K14" s="29">
        <f>IF(J14="","",J14/MAX(1,N(E14)))</f>
        <v>374.3</v>
      </c>
      <c r="L14" s="37">
        <f>IF(OR(D14="",A14=""),"",A14+IF(AND(Config!$B$17="Sim",LEFT(D14,17)="Cartão de crédito"),1,IFERROR(INDEX(Config!$C$12:$C$15,MATCH(IF(AND(D14="Cartão de crédito",N(E14)&gt;1),"Cartão de crédito parcelado",D14),Config!$A$12:$A$15,0)),0)))</f>
        <v>46182.0</v>
      </c>
      <c r="M14" s="37">
        <f>IF(L14="","",IF(AND(Config!$B$17="Sim",LEFT(D14,17)="Cartão de crédito"),L14,L14+30*(MAX(1,N(E14))-1)))</f>
        <v>46182.0</v>
      </c>
      <c r="N14" s="29">
        <f>IF(OR(L14="",K14=""),"",K14*MIN(MAX(1,N(E14)),MAX(0,INT((Config!$B$8-L14)/30)+1)))</f>
        <v>374.3</v>
      </c>
      <c r="O14" s="29">
        <f>IF(J14="","",J14-N(N14))</f>
        <v>0</v>
      </c>
      <c r="P14" s="27">
        <f>IF(A14="","",MONTH(A14))</f>
        <v>6</v>
      </c>
      <c r="Q14" s="27">
        <f>IF(A14="","",YEAR(A14))</f>
        <v>2026</v>
      </c>
      <c r="R14" s="27" t="str">
        <f>IF(L14="","",IF(L14&gt;Config!$B$8,"A cair",IF(N(G14)&gt;=MIN(MAX(1,N(E14)),MAX(0,INT((Config!$B$8-L14)/30)+1)),IF(N(G14)&gt;=MAX(1,N(E14)),"Conferido","Conferido até aqui"),"A conferir")))</f>
        <v>Conferido</v>
      </c>
      <c r="S14" s="51">
        <f>IF(R14="A conferir",(Config!$B$8-L14)*1000+N(F14)/1000+ROW()/100000,0)</f>
        <v>0</v>
      </c>
      <c r="T14" s="51">
        <f>IF(R14="A conferir",N(N14),0)</f>
        <v>0</v>
      </c>
      <c r="U14" s="51">
        <f>IF(L14="",0,L14)</f>
        <v>46182.0</v>
      </c>
      <c r="V14" s="51">
        <f>IF(L14="",0,MAX(1,N(E14)))</f>
        <v>1</v>
      </c>
      <c r="W14" s="51">
        <f>IF(K14="",0,K14)</f>
        <v>374.3</v>
      </c>
    </row>
    <row r="15">
      <c r="A15" s="49" t="n">
        <v>46181</v>
      </c>
      <c r="B15" s="41" t="inlineStr">
        <is>
          <t>Mariana Nascimento</t>
        </is>
      </c>
      <c r="C15" s="41" t="inlineStr">
        <is>
          <t>Consulta</t>
        </is>
      </c>
      <c r="D15" s="42" t="inlineStr">
        <is>
          <t>Pix</t>
        </is>
      </c>
      <c r="E15" s="42" t="n"/>
      <c r="F15" s="50" t="n">
        <v>380</v>
      </c>
      <c r="G15" s="42" t="n">
        <v>1</v>
      </c>
      <c r="H15" s="30">
        <f>IF(D15="","",IFERROR(INDEX(Config!$B$12:$B$15,MATCH(IF(AND(D15="Cartão de crédito",N(E15)&gt;1),"Cartão de crédito parcelado",D15),Config!$A$12:$A$15,0)),0)+IF(AND(Config!$B$17="Sim",LEFT(D15,17)="Cartão de crédito"),Config!$B$18*IFERROR(INDEX(Config!$C$12:$C$15,MATCH(IF(AND(D15="Cartão de crédito",N(E15)&gt;1),"Cartão de crédito parcelado",D15),Config!$A$12:$A$15,0)),0)/30*MAX(1,N(E15)),0))</f>
        <v>0</v>
      </c>
      <c r="I15" s="29">
        <f>IF(OR(D15="",F15=""),"",ROUND(F15*H15,2))</f>
        <v>0</v>
      </c>
      <c r="J15" s="29">
        <f>IF(I15="","",F15-I15)</f>
        <v>380</v>
      </c>
      <c r="K15" s="29">
        <f>IF(J15="","",J15/MAX(1,N(E15)))</f>
        <v>380</v>
      </c>
      <c r="L15" s="37">
        <f>IF(OR(D15="",A15=""),"",A15+IF(AND(Config!$B$17="Sim",LEFT(D15,17)="Cartão de crédito"),1,IFERROR(INDEX(Config!$C$12:$C$15,MATCH(IF(AND(D15="Cartão de crédito",N(E15)&gt;1),"Cartão de crédito parcelado",D15),Config!$A$12:$A$15,0)),0)))</f>
        <v>46181.0</v>
      </c>
      <c r="M15" s="37">
        <f>IF(L15="","",IF(AND(Config!$B$17="Sim",LEFT(D15,17)="Cartão de crédito"),L15,L15+30*(MAX(1,N(E15))-1)))</f>
        <v>46181.0</v>
      </c>
      <c r="N15" s="29">
        <f>IF(OR(L15="",K15=""),"",K15*MIN(MAX(1,N(E15)),MAX(0,INT((Config!$B$8-L15)/30)+1)))</f>
        <v>380</v>
      </c>
      <c r="O15" s="29">
        <f>IF(J15="","",J15-N(N15))</f>
        <v>0</v>
      </c>
      <c r="P15" s="27">
        <f>IF(A15="","",MONTH(A15))</f>
        <v>6</v>
      </c>
      <c r="Q15" s="27">
        <f>IF(A15="","",YEAR(A15))</f>
        <v>2026</v>
      </c>
      <c r="R15" s="27" t="str">
        <f>IF(L15="","",IF(L15&gt;Config!$B$8,"A cair",IF(N(G15)&gt;=MIN(MAX(1,N(E15)),MAX(0,INT((Config!$B$8-L15)/30)+1)),IF(N(G15)&gt;=MAX(1,N(E15)),"Conferido","Conferido até aqui"),"A conferir")))</f>
        <v>Conferido</v>
      </c>
      <c r="S15" s="51">
        <f>IF(R15="A conferir",(Config!$B$8-L15)*1000+N(F15)/1000+ROW()/100000,0)</f>
        <v>0</v>
      </c>
      <c r="T15" s="51">
        <f>IF(R15="A conferir",N(N15),0)</f>
        <v>0</v>
      </c>
      <c r="U15" s="51">
        <f>IF(L15="",0,L15)</f>
        <v>46181.0</v>
      </c>
      <c r="V15" s="51">
        <f>IF(L15="",0,MAX(1,N(E15)))</f>
        <v>1</v>
      </c>
      <c r="W15" s="51">
        <f>IF(K15="",0,K15)</f>
        <v>380</v>
      </c>
    </row>
    <row r="16">
      <c r="A16" s="49" t="n">
        <v>46181</v>
      </c>
      <c r="B16" s="41" t="inlineStr">
        <is>
          <t>Rodrigo Moreira</t>
        </is>
      </c>
      <c r="C16" s="41" t="inlineStr">
        <is>
          <t>ECG</t>
        </is>
      </c>
      <c r="D16" s="42" t="inlineStr">
        <is>
          <t>Cartão de crédito</t>
        </is>
      </c>
      <c r="E16" s="42" t="n"/>
      <c r="F16" s="50" t="n">
        <v>130</v>
      </c>
      <c r="G16" s="42" t="n">
        <v>1</v>
      </c>
      <c r="H16" s="30">
        <f>IF(D16="","",IFERROR(INDEX(Config!$B$12:$B$15,MATCH(IF(AND(D16="Cartão de crédito",N(E16)&gt;1),"Cartão de crédito parcelado",D16),Config!$A$12:$A$15,0)),0)+IF(AND(Config!$B$17="Sim",LEFT(D16,17)="Cartão de crédito"),Config!$B$18*IFERROR(INDEX(Config!$C$12:$C$15,MATCH(IF(AND(D16="Cartão de crédito",N(E16)&gt;1),"Cartão de crédito parcelado",D16),Config!$A$12:$A$15,0)),0)/30*MAX(1,N(E16)),0))</f>
        <v>0.032</v>
      </c>
      <c r="I16" s="29">
        <f>IF(OR(D16="",F16=""),"",ROUND(F16*H16,2))</f>
        <v>4.16</v>
      </c>
      <c r="J16" s="29">
        <f>IF(I16="","",F16-I16)</f>
        <v>125.84</v>
      </c>
      <c r="K16" s="29">
        <f>IF(J16="","",J16/MAX(1,N(E16)))</f>
        <v>125.84</v>
      </c>
      <c r="L16" s="37">
        <f>IF(OR(D16="",A16=""),"",A16+IF(AND(Config!$B$17="Sim",LEFT(D16,17)="Cartão de crédito"),1,IFERROR(INDEX(Config!$C$12:$C$15,MATCH(IF(AND(D16="Cartão de crédito",N(E16)&gt;1),"Cartão de crédito parcelado",D16),Config!$A$12:$A$15,0)),0)))</f>
        <v>46211.0</v>
      </c>
      <c r="M16" s="37">
        <f>IF(L16="","",IF(AND(Config!$B$17="Sim",LEFT(D16,17)="Cartão de crédito"),L16,L16+30*(MAX(1,N(E16))-1)))</f>
        <v>46211.0</v>
      </c>
      <c r="N16" s="29">
        <f>IF(OR(L16="",K16=""),"",K16*MIN(MAX(1,N(E16)),MAX(0,INT((Config!$B$8-L16)/30)+1)))</f>
        <v>125.84</v>
      </c>
      <c r="O16" s="29">
        <f>IF(J16="","",J16-N(N16))</f>
        <v>0</v>
      </c>
      <c r="P16" s="27">
        <f>IF(A16="","",MONTH(A16))</f>
        <v>6</v>
      </c>
      <c r="Q16" s="27">
        <f>IF(A16="","",YEAR(A16))</f>
        <v>2026</v>
      </c>
      <c r="R16" s="27" t="str">
        <f>IF(L16="","",IF(L16&gt;Config!$B$8,"A cair",IF(N(G16)&gt;=MIN(MAX(1,N(E16)),MAX(0,INT((Config!$B$8-L16)/30)+1)),IF(N(G16)&gt;=MAX(1,N(E16)),"Conferido","Conferido até aqui"),"A conferir")))</f>
        <v>Conferido</v>
      </c>
      <c r="S16" s="51">
        <f>IF(R16="A conferir",(Config!$B$8-L16)*1000+N(F16)/1000+ROW()/100000,0)</f>
        <v>0</v>
      </c>
      <c r="T16" s="51">
        <f>IF(R16="A conferir",N(N16),0)</f>
        <v>0</v>
      </c>
      <c r="U16" s="51">
        <f>IF(L16="",0,L16)</f>
        <v>46211.0</v>
      </c>
      <c r="V16" s="51">
        <f>IF(L16="",0,MAX(1,N(E16)))</f>
        <v>1</v>
      </c>
      <c r="W16" s="51">
        <f>IF(K16="",0,K16)</f>
        <v>125.84</v>
      </c>
    </row>
    <row r="17">
      <c r="A17" s="49" t="n">
        <v>46181</v>
      </c>
      <c r="B17" s="41" t="inlineStr">
        <is>
          <t>Wagner Santos</t>
        </is>
      </c>
      <c r="C17" s="41" t="inlineStr">
        <is>
          <t>ECG</t>
        </is>
      </c>
      <c r="D17" s="42" t="inlineStr">
        <is>
          <t>Cartão de crédito</t>
        </is>
      </c>
      <c r="E17" s="42" t="n"/>
      <c r="F17" s="50" t="n">
        <v>130</v>
      </c>
      <c r="G17" s="42" t="n">
        <v>1</v>
      </c>
      <c r="H17" s="30">
        <f>IF(D17="","",IFERROR(INDEX(Config!$B$12:$B$15,MATCH(IF(AND(D17="Cartão de crédito",N(E17)&gt;1),"Cartão de crédito parcelado",D17),Config!$A$12:$A$15,0)),0)+IF(AND(Config!$B$17="Sim",LEFT(D17,17)="Cartão de crédito"),Config!$B$18*IFERROR(INDEX(Config!$C$12:$C$15,MATCH(IF(AND(D17="Cartão de crédito",N(E17)&gt;1),"Cartão de crédito parcelado",D17),Config!$A$12:$A$15,0)),0)/30*MAX(1,N(E17)),0))</f>
        <v>0.032</v>
      </c>
      <c r="I17" s="29">
        <f>IF(OR(D17="",F17=""),"",ROUND(F17*H17,2))</f>
        <v>4.16</v>
      </c>
      <c r="J17" s="29">
        <f>IF(I17="","",F17-I17)</f>
        <v>125.84</v>
      </c>
      <c r="K17" s="29">
        <f>IF(J17="","",J17/MAX(1,N(E17)))</f>
        <v>125.84</v>
      </c>
      <c r="L17" s="37">
        <f>IF(OR(D17="",A17=""),"",A17+IF(AND(Config!$B$17="Sim",LEFT(D17,17)="Cartão de crédito"),1,IFERROR(INDEX(Config!$C$12:$C$15,MATCH(IF(AND(D17="Cartão de crédito",N(E17)&gt;1),"Cartão de crédito parcelado",D17),Config!$A$12:$A$15,0)),0)))</f>
        <v>46211.0</v>
      </c>
      <c r="M17" s="37">
        <f>IF(L17="","",IF(AND(Config!$B$17="Sim",LEFT(D17,17)="Cartão de crédito"),L17,L17+30*(MAX(1,N(E17))-1)))</f>
        <v>46211.0</v>
      </c>
      <c r="N17" s="29">
        <f>IF(OR(L17="",K17=""),"",K17*MIN(MAX(1,N(E17)),MAX(0,INT((Config!$B$8-L17)/30)+1)))</f>
        <v>125.84</v>
      </c>
      <c r="O17" s="29">
        <f>IF(J17="","",J17-N(N17))</f>
        <v>0</v>
      </c>
      <c r="P17" s="27">
        <f>IF(A17="","",MONTH(A17))</f>
        <v>6</v>
      </c>
      <c r="Q17" s="27">
        <f>IF(A17="","",YEAR(A17))</f>
        <v>2026</v>
      </c>
      <c r="R17" s="27" t="str">
        <f>IF(L17="","",IF(L17&gt;Config!$B$8,"A cair",IF(N(G17)&gt;=MIN(MAX(1,N(E17)),MAX(0,INT((Config!$B$8-L17)/30)+1)),IF(N(G17)&gt;=MAX(1,N(E17)),"Conferido","Conferido até aqui"),"A conferir")))</f>
        <v>Conferido</v>
      </c>
      <c r="S17" s="51">
        <f>IF(R17="A conferir",(Config!$B$8-L17)*1000+N(F17)/1000+ROW()/100000,0)</f>
        <v>0</v>
      </c>
      <c r="T17" s="51">
        <f>IF(R17="A conferir",N(N17),0)</f>
        <v>0</v>
      </c>
      <c r="U17" s="51">
        <f>IF(L17="",0,L17)</f>
        <v>46211.0</v>
      </c>
      <c r="V17" s="51">
        <f>IF(L17="",0,MAX(1,N(E17)))</f>
        <v>1</v>
      </c>
      <c r="W17" s="51">
        <f>IF(K17="",0,K17)</f>
        <v>125.84</v>
      </c>
    </row>
    <row r="18">
      <c r="A18" s="49" t="n">
        <v>46182</v>
      </c>
      <c r="B18" s="41" t="inlineStr">
        <is>
          <t>Regina Macedo</t>
        </is>
      </c>
      <c r="C18" s="41" t="inlineStr">
        <is>
          <t>Consulta</t>
        </is>
      </c>
      <c r="D18" s="42" t="inlineStr">
        <is>
          <t>Cartão de crédito</t>
        </is>
      </c>
      <c r="E18" s="42" t="n"/>
      <c r="F18" s="50" t="n">
        <v>380</v>
      </c>
      <c r="G18" s="42" t="n">
        <v>1</v>
      </c>
      <c r="H18" s="30">
        <f>IF(D18="","",IFERROR(INDEX(Config!$B$12:$B$15,MATCH(IF(AND(D18="Cartão de crédito",N(E18)&gt;1),"Cartão de crédito parcelado",D18),Config!$A$12:$A$15,0)),0)+IF(AND(Config!$B$17="Sim",LEFT(D18,17)="Cartão de crédito"),Config!$B$18*IFERROR(INDEX(Config!$C$12:$C$15,MATCH(IF(AND(D18="Cartão de crédito",N(E18)&gt;1),"Cartão de crédito parcelado",D18),Config!$A$12:$A$15,0)),0)/30*MAX(1,N(E18)),0))</f>
        <v>0.032</v>
      </c>
      <c r="I18" s="29">
        <f>IF(OR(D18="",F18=""),"",ROUND(F18*H18,2))</f>
        <v>12.16</v>
      </c>
      <c r="J18" s="29">
        <f>IF(I18="","",F18-I18)</f>
        <v>367.84</v>
      </c>
      <c r="K18" s="29">
        <f>IF(J18="","",J18/MAX(1,N(E18)))</f>
        <v>367.84</v>
      </c>
      <c r="L18" s="37">
        <f>IF(OR(D18="",A18=""),"",A18+IF(AND(Config!$B$17="Sim",LEFT(D18,17)="Cartão de crédito"),1,IFERROR(INDEX(Config!$C$12:$C$15,MATCH(IF(AND(D18="Cartão de crédito",N(E18)&gt;1),"Cartão de crédito parcelado",D18),Config!$A$12:$A$15,0)),0)))</f>
        <v>46212.0</v>
      </c>
      <c r="M18" s="37">
        <f>IF(L18="","",IF(AND(Config!$B$17="Sim",LEFT(D18,17)="Cartão de crédito"),L18,L18+30*(MAX(1,N(E18))-1)))</f>
        <v>46212.0</v>
      </c>
      <c r="N18" s="29">
        <f>IF(OR(L18="",K18=""),"",K18*MIN(MAX(1,N(E18)),MAX(0,INT((Config!$B$8-L18)/30)+1)))</f>
        <v>367.84</v>
      </c>
      <c r="O18" s="29">
        <f>IF(J18="","",J18-N(N18))</f>
        <v>0</v>
      </c>
      <c r="P18" s="27">
        <f>IF(A18="","",MONTH(A18))</f>
        <v>6</v>
      </c>
      <c r="Q18" s="27">
        <f>IF(A18="","",YEAR(A18))</f>
        <v>2026</v>
      </c>
      <c r="R18" s="27" t="str">
        <f>IF(L18="","",IF(L18&gt;Config!$B$8,"A cair",IF(N(G18)&gt;=MIN(MAX(1,N(E18)),MAX(0,INT((Config!$B$8-L18)/30)+1)),IF(N(G18)&gt;=MAX(1,N(E18)),"Conferido","Conferido até aqui"),"A conferir")))</f>
        <v>Conferido</v>
      </c>
      <c r="S18" s="51">
        <f>IF(R18="A conferir",(Config!$B$8-L18)*1000+N(F18)/1000+ROW()/100000,0)</f>
        <v>0</v>
      </c>
      <c r="T18" s="51">
        <f>IF(R18="A conferir",N(N18),0)</f>
        <v>0</v>
      </c>
      <c r="U18" s="51">
        <f>IF(L18="",0,L18)</f>
        <v>46212.0</v>
      </c>
      <c r="V18" s="51">
        <f>IF(L18="",0,MAX(1,N(E18)))</f>
        <v>1</v>
      </c>
      <c r="W18" s="51">
        <f>IF(K18="",0,K18)</f>
        <v>367.84</v>
      </c>
    </row>
    <row r="19">
      <c r="A19" s="49" t="n">
        <v>46182</v>
      </c>
      <c r="B19" s="41" t="inlineStr">
        <is>
          <t>Cláudia Santos</t>
        </is>
      </c>
      <c r="C19" s="41" t="inlineStr">
        <is>
          <t>Consulta</t>
        </is>
      </c>
      <c r="D19" s="42" t="inlineStr">
        <is>
          <t>Cartão de crédito</t>
        </is>
      </c>
      <c r="E19" s="42" t="n">
        <v>2</v>
      </c>
      <c r="F19" s="50" t="n">
        <v>380</v>
      </c>
      <c r="G19" s="42" t="n">
        <v>2</v>
      </c>
      <c r="H19" s="30">
        <f>IF(D19="","",IFERROR(INDEX(Config!$B$12:$B$15,MATCH(IF(AND(D19="Cartão de crédito",N(E19)&gt;1),"Cartão de crédito parcelado",D19),Config!$A$12:$A$15,0)),0)+IF(AND(Config!$B$17="Sim",LEFT(D19,17)="Cartão de crédito"),Config!$B$18*IFERROR(INDEX(Config!$C$12:$C$15,MATCH(IF(AND(D19="Cartão de crédito",N(E19)&gt;1),"Cartão de crédito parcelado",D19),Config!$A$12:$A$15,0)),0)/30*MAX(1,N(E19)),0))</f>
        <v>0.039</v>
      </c>
      <c r="I19" s="29">
        <f>IF(OR(D19="",F19=""),"",ROUND(F19*H19,2))</f>
        <v>14.82</v>
      </c>
      <c r="J19" s="29">
        <f>IF(I19="","",F19-I19)</f>
        <v>365.18</v>
      </c>
      <c r="K19" s="29">
        <f>IF(J19="","",J19/MAX(1,N(E19)))</f>
        <v>182.59</v>
      </c>
      <c r="L19" s="37">
        <f>IF(OR(D19="",A19=""),"",A19+IF(AND(Config!$B$17="Sim",LEFT(D19,17)="Cartão de crédito"),1,IFERROR(INDEX(Config!$C$12:$C$15,MATCH(IF(AND(D19="Cartão de crédito",N(E19)&gt;1),"Cartão de crédito parcelado",D19),Config!$A$12:$A$15,0)),0)))</f>
        <v>46212.0</v>
      </c>
      <c r="M19" s="37">
        <f>IF(L19="","",IF(AND(Config!$B$17="Sim",LEFT(D19,17)="Cartão de crédito"),L19,L19+30*(MAX(1,N(E19))-1)))</f>
        <v>46242.0</v>
      </c>
      <c r="N19" s="29">
        <f>IF(OR(L19="",K19=""),"",K19*MIN(MAX(1,N(E19)),MAX(0,INT((Config!$B$8-L19)/30)+1)))</f>
        <v>365.18</v>
      </c>
      <c r="O19" s="29">
        <f>IF(J19="","",J19-N(N19))</f>
        <v>0</v>
      </c>
      <c r="P19" s="27">
        <f>IF(A19="","",MONTH(A19))</f>
        <v>6</v>
      </c>
      <c r="Q19" s="27">
        <f>IF(A19="","",YEAR(A19))</f>
        <v>2026</v>
      </c>
      <c r="R19" s="27" t="str">
        <f>IF(L19="","",IF(L19&gt;Config!$B$8,"A cair",IF(N(G19)&gt;=MIN(MAX(1,N(E19)),MAX(0,INT((Config!$B$8-L19)/30)+1)),IF(N(G19)&gt;=MAX(1,N(E19)),"Conferido","Conferido até aqui"),"A conferir")))</f>
        <v>Conferido</v>
      </c>
      <c r="S19" s="51">
        <f>IF(R19="A conferir",(Config!$B$8-L19)*1000+N(F19)/1000+ROW()/100000,0)</f>
        <v>0</v>
      </c>
      <c r="T19" s="51">
        <f>IF(R19="A conferir",N(N19),0)</f>
        <v>0</v>
      </c>
      <c r="U19" s="51">
        <f>IF(L19="",0,L19)</f>
        <v>46212.0</v>
      </c>
      <c r="V19" s="51">
        <f>IF(L19="",0,MAX(1,N(E19)))</f>
        <v>2</v>
      </c>
      <c r="W19" s="51">
        <f>IF(K19="",0,K19)</f>
        <v>182.59</v>
      </c>
    </row>
    <row r="20">
      <c r="A20" s="49" t="n">
        <v>46182</v>
      </c>
      <c r="B20" s="41" t="inlineStr">
        <is>
          <t>Camila Dias</t>
        </is>
      </c>
      <c r="C20" s="41" t="inlineStr">
        <is>
          <t>Avaliação endócrina</t>
        </is>
      </c>
      <c r="D20" s="42" t="inlineStr">
        <is>
          <t>Pix</t>
        </is>
      </c>
      <c r="E20" s="42" t="n"/>
      <c r="F20" s="50" t="n">
        <v>400</v>
      </c>
      <c r="G20" s="42" t="n">
        <v>1</v>
      </c>
      <c r="H20" s="30">
        <f>IF(D20="","",IFERROR(INDEX(Config!$B$12:$B$15,MATCH(IF(AND(D20="Cartão de crédito",N(E20)&gt;1),"Cartão de crédito parcelado",D20),Config!$A$12:$A$15,0)),0)+IF(AND(Config!$B$17="Sim",LEFT(D20,17)="Cartão de crédito"),Config!$B$18*IFERROR(INDEX(Config!$C$12:$C$15,MATCH(IF(AND(D20="Cartão de crédito",N(E20)&gt;1),"Cartão de crédito parcelado",D20),Config!$A$12:$A$15,0)),0)/30*MAX(1,N(E20)),0))</f>
        <v>0</v>
      </c>
      <c r="I20" s="29">
        <f>IF(OR(D20="",F20=""),"",ROUND(F20*H20,2))</f>
        <v>0</v>
      </c>
      <c r="J20" s="29">
        <f>IF(I20="","",F20-I20)</f>
        <v>400</v>
      </c>
      <c r="K20" s="29">
        <f>IF(J20="","",J20/MAX(1,N(E20)))</f>
        <v>400</v>
      </c>
      <c r="L20" s="37">
        <f>IF(OR(D20="",A20=""),"",A20+IF(AND(Config!$B$17="Sim",LEFT(D20,17)="Cartão de crédito"),1,IFERROR(INDEX(Config!$C$12:$C$15,MATCH(IF(AND(D20="Cartão de crédito",N(E20)&gt;1),"Cartão de crédito parcelado",D20),Config!$A$12:$A$15,0)),0)))</f>
        <v>46182.0</v>
      </c>
      <c r="M20" s="37">
        <f>IF(L20="","",IF(AND(Config!$B$17="Sim",LEFT(D20,17)="Cartão de crédito"),L20,L20+30*(MAX(1,N(E20))-1)))</f>
        <v>46182.0</v>
      </c>
      <c r="N20" s="29">
        <f>IF(OR(L20="",K20=""),"",K20*MIN(MAX(1,N(E20)),MAX(0,INT((Config!$B$8-L20)/30)+1)))</f>
        <v>400</v>
      </c>
      <c r="O20" s="29">
        <f>IF(J20="","",J20-N(N20))</f>
        <v>0</v>
      </c>
      <c r="P20" s="27">
        <f>IF(A20="","",MONTH(A20))</f>
        <v>6</v>
      </c>
      <c r="Q20" s="27">
        <f>IF(A20="","",YEAR(A20))</f>
        <v>2026</v>
      </c>
      <c r="R20" s="27" t="str">
        <f>IF(L20="","",IF(L20&gt;Config!$B$8,"A cair",IF(N(G20)&gt;=MIN(MAX(1,N(E20)),MAX(0,INT((Config!$B$8-L20)/30)+1)),IF(N(G20)&gt;=MAX(1,N(E20)),"Conferido","Conferido até aqui"),"A conferir")))</f>
        <v>Conferido</v>
      </c>
      <c r="S20" s="51">
        <f>IF(R20="A conferir",(Config!$B$8-L20)*1000+N(F20)/1000+ROW()/100000,0)</f>
        <v>0</v>
      </c>
      <c r="T20" s="51">
        <f>IF(R20="A conferir",N(N20),0)</f>
        <v>0</v>
      </c>
      <c r="U20" s="51">
        <f>IF(L20="",0,L20)</f>
        <v>46182.0</v>
      </c>
      <c r="V20" s="51">
        <f>IF(L20="",0,MAX(1,N(E20)))</f>
        <v>1</v>
      </c>
      <c r="W20" s="51">
        <f>IF(K20="",0,K20)</f>
        <v>400</v>
      </c>
    </row>
    <row r="21">
      <c r="A21" s="49" t="n">
        <v>46182</v>
      </c>
      <c r="B21" s="41" t="inlineStr">
        <is>
          <t>Mariana Gomes</t>
        </is>
      </c>
      <c r="C21" s="41" t="inlineStr">
        <is>
          <t>Avaliação endócrina</t>
        </is>
      </c>
      <c r="D21" s="42" t="inlineStr">
        <is>
          <t>Cartão de crédito</t>
        </is>
      </c>
      <c r="E21" s="42" t="n">
        <v>2</v>
      </c>
      <c r="F21" s="50" t="n">
        <v>400</v>
      </c>
      <c r="G21" s="42" t="n">
        <v>2</v>
      </c>
      <c r="H21" s="30">
        <f>IF(D21="","",IFERROR(INDEX(Config!$B$12:$B$15,MATCH(IF(AND(D21="Cartão de crédito",N(E21)&gt;1),"Cartão de crédito parcelado",D21),Config!$A$12:$A$15,0)),0)+IF(AND(Config!$B$17="Sim",LEFT(D21,17)="Cartão de crédito"),Config!$B$18*IFERROR(INDEX(Config!$C$12:$C$15,MATCH(IF(AND(D21="Cartão de crédito",N(E21)&gt;1),"Cartão de crédito parcelado",D21),Config!$A$12:$A$15,0)),0)/30*MAX(1,N(E21)),0))</f>
        <v>0.039</v>
      </c>
      <c r="I21" s="29">
        <f>IF(OR(D21="",F21=""),"",ROUND(F21*H21,2))</f>
        <v>15.6</v>
      </c>
      <c r="J21" s="29">
        <f>IF(I21="","",F21-I21)</f>
        <v>384.4</v>
      </c>
      <c r="K21" s="29">
        <f>IF(J21="","",J21/MAX(1,N(E21)))</f>
        <v>192.2</v>
      </c>
      <c r="L21" s="37">
        <f>IF(OR(D21="",A21=""),"",A21+IF(AND(Config!$B$17="Sim",LEFT(D21,17)="Cartão de crédito"),1,IFERROR(INDEX(Config!$C$12:$C$15,MATCH(IF(AND(D21="Cartão de crédito",N(E21)&gt;1),"Cartão de crédito parcelado",D21),Config!$A$12:$A$15,0)),0)))</f>
        <v>46212.0</v>
      </c>
      <c r="M21" s="37">
        <f>IF(L21="","",IF(AND(Config!$B$17="Sim",LEFT(D21,17)="Cartão de crédito"),L21,L21+30*(MAX(1,N(E21))-1)))</f>
        <v>46242.0</v>
      </c>
      <c r="N21" s="29">
        <f>IF(OR(L21="",K21=""),"",K21*MIN(MAX(1,N(E21)),MAX(0,INT((Config!$B$8-L21)/30)+1)))</f>
        <v>384.4</v>
      </c>
      <c r="O21" s="29">
        <f>IF(J21="","",J21-N(N21))</f>
        <v>0</v>
      </c>
      <c r="P21" s="27">
        <f>IF(A21="","",MONTH(A21))</f>
        <v>6</v>
      </c>
      <c r="Q21" s="27">
        <f>IF(A21="","",YEAR(A21))</f>
        <v>2026</v>
      </c>
      <c r="R21" s="27" t="str">
        <f>IF(L21="","",IF(L21&gt;Config!$B$8,"A cair",IF(N(G21)&gt;=MIN(MAX(1,N(E21)),MAX(0,INT((Config!$B$8-L21)/30)+1)),IF(N(G21)&gt;=MAX(1,N(E21)),"Conferido","Conferido até aqui"),"A conferir")))</f>
        <v>Conferido</v>
      </c>
      <c r="S21" s="51">
        <f>IF(R21="A conferir",(Config!$B$8-L21)*1000+N(F21)/1000+ROW()/100000,0)</f>
        <v>0</v>
      </c>
      <c r="T21" s="51">
        <f>IF(R21="A conferir",N(N21),0)</f>
        <v>0</v>
      </c>
      <c r="U21" s="51">
        <f>IF(L21="",0,L21)</f>
        <v>46212.0</v>
      </c>
      <c r="V21" s="51">
        <f>IF(L21="",0,MAX(1,N(E21)))</f>
        <v>2</v>
      </c>
      <c r="W21" s="51">
        <f>IF(K21="",0,K21)</f>
        <v>192.2</v>
      </c>
    </row>
    <row r="22">
      <c r="A22" s="49" t="n">
        <v>46182</v>
      </c>
      <c r="B22" s="41" t="inlineStr">
        <is>
          <t>Cláudia Melo</t>
        </is>
      </c>
      <c r="C22" s="41" t="inlineStr">
        <is>
          <t>Avaliação endócrina</t>
        </is>
      </c>
      <c r="D22" s="42" t="inlineStr">
        <is>
          <t>Cartão de crédito</t>
        </is>
      </c>
      <c r="E22" s="42" t="n"/>
      <c r="F22" s="50" t="n">
        <v>400</v>
      </c>
      <c r="G22" s="42" t="n">
        <v>1</v>
      </c>
      <c r="H22" s="30">
        <f>IF(D22="","",IFERROR(INDEX(Config!$B$12:$B$15,MATCH(IF(AND(D22="Cartão de crédito",N(E22)&gt;1),"Cartão de crédito parcelado",D22),Config!$A$12:$A$15,0)),0)+IF(AND(Config!$B$17="Sim",LEFT(D22,17)="Cartão de crédito"),Config!$B$18*IFERROR(INDEX(Config!$C$12:$C$15,MATCH(IF(AND(D22="Cartão de crédito",N(E22)&gt;1),"Cartão de crédito parcelado",D22),Config!$A$12:$A$15,0)),0)/30*MAX(1,N(E22)),0))</f>
        <v>0.032</v>
      </c>
      <c r="I22" s="29">
        <f>IF(OR(D22="",F22=""),"",ROUND(F22*H22,2))</f>
        <v>12.8</v>
      </c>
      <c r="J22" s="29">
        <f>IF(I22="","",F22-I22)</f>
        <v>387.2</v>
      </c>
      <c r="K22" s="29">
        <f>IF(J22="","",J22/MAX(1,N(E22)))</f>
        <v>387.2</v>
      </c>
      <c r="L22" s="37">
        <f>IF(OR(D22="",A22=""),"",A22+IF(AND(Config!$B$17="Sim",LEFT(D22,17)="Cartão de crédito"),1,IFERROR(INDEX(Config!$C$12:$C$15,MATCH(IF(AND(D22="Cartão de crédito",N(E22)&gt;1),"Cartão de crédito parcelado",D22),Config!$A$12:$A$15,0)),0)))</f>
        <v>46212.0</v>
      </c>
      <c r="M22" s="37">
        <f>IF(L22="","",IF(AND(Config!$B$17="Sim",LEFT(D22,17)="Cartão de crédito"),L22,L22+30*(MAX(1,N(E22))-1)))</f>
        <v>46212.0</v>
      </c>
      <c r="N22" s="29">
        <f>IF(OR(L22="",K22=""),"",K22*MIN(MAX(1,N(E22)),MAX(0,INT((Config!$B$8-L22)/30)+1)))</f>
        <v>387.2</v>
      </c>
      <c r="O22" s="29">
        <f>IF(J22="","",J22-N(N22))</f>
        <v>0</v>
      </c>
      <c r="P22" s="27">
        <f>IF(A22="","",MONTH(A22))</f>
        <v>6</v>
      </c>
      <c r="Q22" s="27">
        <f>IF(A22="","",YEAR(A22))</f>
        <v>2026</v>
      </c>
      <c r="R22" s="27" t="str">
        <f>IF(L22="","",IF(L22&gt;Config!$B$8,"A cair",IF(N(G22)&gt;=MIN(MAX(1,N(E22)),MAX(0,INT((Config!$B$8-L22)/30)+1)),IF(N(G22)&gt;=MAX(1,N(E22)),"Conferido","Conferido até aqui"),"A conferir")))</f>
        <v>Conferido</v>
      </c>
      <c r="S22" s="51">
        <f>IF(R22="A conferir",(Config!$B$8-L22)*1000+N(F22)/1000+ROW()/100000,0)</f>
        <v>0</v>
      </c>
      <c r="T22" s="51">
        <f>IF(R22="A conferir",N(N22),0)</f>
        <v>0</v>
      </c>
      <c r="U22" s="51">
        <f>IF(L22="",0,L22)</f>
        <v>46212.0</v>
      </c>
      <c r="V22" s="51">
        <f>IF(L22="",0,MAX(1,N(E22)))</f>
        <v>1</v>
      </c>
      <c r="W22" s="51">
        <f>IF(K22="",0,K22)</f>
        <v>387.2</v>
      </c>
    </row>
    <row r="23">
      <c r="A23" s="49" t="n">
        <v>46182</v>
      </c>
      <c r="B23" s="41" t="inlineStr">
        <is>
          <t>Natália Martins</t>
        </is>
      </c>
      <c r="C23" s="41" t="inlineStr">
        <is>
          <t>Consulta</t>
        </is>
      </c>
      <c r="D23" s="42" t="inlineStr">
        <is>
          <t>Pix</t>
        </is>
      </c>
      <c r="E23" s="42" t="n"/>
      <c r="F23" s="50" t="n">
        <v>380</v>
      </c>
      <c r="G23" s="42" t="n">
        <v>1</v>
      </c>
      <c r="H23" s="30">
        <f>IF(D23="","",IFERROR(INDEX(Config!$B$12:$B$15,MATCH(IF(AND(D23="Cartão de crédito",N(E23)&gt;1),"Cartão de crédito parcelado",D23),Config!$A$12:$A$15,0)),0)+IF(AND(Config!$B$17="Sim",LEFT(D23,17)="Cartão de crédito"),Config!$B$18*IFERROR(INDEX(Config!$C$12:$C$15,MATCH(IF(AND(D23="Cartão de crédito",N(E23)&gt;1),"Cartão de crédito parcelado",D23),Config!$A$12:$A$15,0)),0)/30*MAX(1,N(E23)),0))</f>
        <v>0</v>
      </c>
      <c r="I23" s="29">
        <f>IF(OR(D23="",F23=""),"",ROUND(F23*H23,2))</f>
        <v>0</v>
      </c>
      <c r="J23" s="29">
        <f>IF(I23="","",F23-I23)</f>
        <v>380</v>
      </c>
      <c r="K23" s="29">
        <f>IF(J23="","",J23/MAX(1,N(E23)))</f>
        <v>380</v>
      </c>
      <c r="L23" s="37">
        <f>IF(OR(D23="",A23=""),"",A23+IF(AND(Config!$B$17="Sim",LEFT(D23,17)="Cartão de crédito"),1,IFERROR(INDEX(Config!$C$12:$C$15,MATCH(IF(AND(D23="Cartão de crédito",N(E23)&gt;1),"Cartão de crédito parcelado",D23),Config!$A$12:$A$15,0)),0)))</f>
        <v>46182.0</v>
      </c>
      <c r="M23" s="37">
        <f>IF(L23="","",IF(AND(Config!$B$17="Sim",LEFT(D23,17)="Cartão de crédito"),L23,L23+30*(MAX(1,N(E23))-1)))</f>
        <v>46182.0</v>
      </c>
      <c r="N23" s="29">
        <f>IF(OR(L23="",K23=""),"",K23*MIN(MAX(1,N(E23)),MAX(0,INT((Config!$B$8-L23)/30)+1)))</f>
        <v>380</v>
      </c>
      <c r="O23" s="29">
        <f>IF(J23="","",J23-N(N23))</f>
        <v>0</v>
      </c>
      <c r="P23" s="27">
        <f>IF(A23="","",MONTH(A23))</f>
        <v>6</v>
      </c>
      <c r="Q23" s="27">
        <f>IF(A23="","",YEAR(A23))</f>
        <v>2026</v>
      </c>
      <c r="R23" s="27" t="str">
        <f>IF(L23="","",IF(L23&gt;Config!$B$8,"A cair",IF(N(G23)&gt;=MIN(MAX(1,N(E23)),MAX(0,INT((Config!$B$8-L23)/30)+1)),IF(N(G23)&gt;=MAX(1,N(E23)),"Conferido","Conferido até aqui"),"A conferir")))</f>
        <v>Conferido</v>
      </c>
      <c r="S23" s="51">
        <f>IF(R23="A conferir",(Config!$B$8-L23)*1000+N(F23)/1000+ROW()/100000,0)</f>
        <v>0</v>
      </c>
      <c r="T23" s="51">
        <f>IF(R23="A conferir",N(N23),0)</f>
        <v>0</v>
      </c>
      <c r="U23" s="51">
        <f>IF(L23="",0,L23)</f>
        <v>46182.0</v>
      </c>
      <c r="V23" s="51">
        <f>IF(L23="",0,MAX(1,N(E23)))</f>
        <v>1</v>
      </c>
      <c r="W23" s="51">
        <f>IF(K23="",0,K23)</f>
        <v>380</v>
      </c>
    </row>
    <row r="24">
      <c r="A24" s="49" t="n">
        <v>46182</v>
      </c>
      <c r="B24" s="41" t="inlineStr">
        <is>
          <t>Marcelo Santos</t>
        </is>
      </c>
      <c r="C24" s="41" t="inlineStr">
        <is>
          <t>ECG</t>
        </is>
      </c>
      <c r="D24" s="42" t="inlineStr">
        <is>
          <t>Pix</t>
        </is>
      </c>
      <c r="E24" s="42" t="n"/>
      <c r="F24" s="50" t="n">
        <v>130</v>
      </c>
      <c r="G24" s="42" t="n">
        <v>1</v>
      </c>
      <c r="H24" s="30">
        <f>IF(D24="","",IFERROR(INDEX(Config!$B$12:$B$15,MATCH(IF(AND(D24="Cartão de crédito",N(E24)&gt;1),"Cartão de crédito parcelado",D24),Config!$A$12:$A$15,0)),0)+IF(AND(Config!$B$17="Sim",LEFT(D24,17)="Cartão de crédito"),Config!$B$18*IFERROR(INDEX(Config!$C$12:$C$15,MATCH(IF(AND(D24="Cartão de crédito",N(E24)&gt;1),"Cartão de crédito parcelado",D24),Config!$A$12:$A$15,0)),0)/30*MAX(1,N(E24)),0))</f>
        <v>0</v>
      </c>
      <c r="I24" s="29">
        <f>IF(OR(D24="",F24=""),"",ROUND(F24*H24,2))</f>
        <v>0</v>
      </c>
      <c r="J24" s="29">
        <f>IF(I24="","",F24-I24)</f>
        <v>130</v>
      </c>
      <c r="K24" s="29">
        <f>IF(J24="","",J24/MAX(1,N(E24)))</f>
        <v>130</v>
      </c>
      <c r="L24" s="37">
        <f>IF(OR(D24="",A24=""),"",A24+IF(AND(Config!$B$17="Sim",LEFT(D24,17)="Cartão de crédito"),1,IFERROR(INDEX(Config!$C$12:$C$15,MATCH(IF(AND(D24="Cartão de crédito",N(E24)&gt;1),"Cartão de crédito parcelado",D24),Config!$A$12:$A$15,0)),0)))</f>
        <v>46182.0</v>
      </c>
      <c r="M24" s="37">
        <f>IF(L24="","",IF(AND(Config!$B$17="Sim",LEFT(D24,17)="Cartão de crédito"),L24,L24+30*(MAX(1,N(E24))-1)))</f>
        <v>46182.0</v>
      </c>
      <c r="N24" s="29">
        <f>IF(OR(L24="",K24=""),"",K24*MIN(MAX(1,N(E24)),MAX(0,INT((Config!$B$8-L24)/30)+1)))</f>
        <v>130</v>
      </c>
      <c r="O24" s="29">
        <f>IF(J24="","",J24-N(N24))</f>
        <v>0</v>
      </c>
      <c r="P24" s="27">
        <f>IF(A24="","",MONTH(A24))</f>
        <v>6</v>
      </c>
      <c r="Q24" s="27">
        <f>IF(A24="","",YEAR(A24))</f>
        <v>2026</v>
      </c>
      <c r="R24" s="27" t="str">
        <f>IF(L24="","",IF(L24&gt;Config!$B$8,"A cair",IF(N(G24)&gt;=MIN(MAX(1,N(E24)),MAX(0,INT((Config!$B$8-L24)/30)+1)),IF(N(G24)&gt;=MAX(1,N(E24)),"Conferido","Conferido até aqui"),"A conferir")))</f>
        <v>Conferido</v>
      </c>
      <c r="S24" s="51">
        <f>IF(R24="A conferir",(Config!$B$8-L24)*1000+N(F24)/1000+ROW()/100000,0)</f>
        <v>0</v>
      </c>
      <c r="T24" s="51">
        <f>IF(R24="A conferir",N(N24),0)</f>
        <v>0</v>
      </c>
      <c r="U24" s="51">
        <f>IF(L24="",0,L24)</f>
        <v>46182.0</v>
      </c>
      <c r="V24" s="51">
        <f>IF(L24="",0,MAX(1,N(E24)))</f>
        <v>1</v>
      </c>
      <c r="W24" s="51">
        <f>IF(K24="",0,K24)</f>
        <v>130</v>
      </c>
    </row>
    <row r="25">
      <c r="A25" s="49" t="n">
        <v>46183</v>
      </c>
      <c r="B25" s="41" t="inlineStr">
        <is>
          <t>Lucas Lopes</t>
        </is>
      </c>
      <c r="C25" s="41" t="inlineStr">
        <is>
          <t>Consulta</t>
        </is>
      </c>
      <c r="D25" s="42" t="inlineStr">
        <is>
          <t>Pix</t>
        </is>
      </c>
      <c r="E25" s="42" t="n"/>
      <c r="F25" s="50" t="n">
        <v>380</v>
      </c>
      <c r="G25" s="42" t="n">
        <v>1</v>
      </c>
      <c r="H25" s="30">
        <f>IF(D25="","",IFERROR(INDEX(Config!$B$12:$B$15,MATCH(IF(AND(D25="Cartão de crédito",N(E25)&gt;1),"Cartão de crédito parcelado",D25),Config!$A$12:$A$15,0)),0)+IF(AND(Config!$B$17="Sim",LEFT(D25,17)="Cartão de crédito"),Config!$B$18*IFERROR(INDEX(Config!$C$12:$C$15,MATCH(IF(AND(D25="Cartão de crédito",N(E25)&gt;1),"Cartão de crédito parcelado",D25),Config!$A$12:$A$15,0)),0)/30*MAX(1,N(E25)),0))</f>
        <v>0</v>
      </c>
      <c r="I25" s="29">
        <f>IF(OR(D25="",F25=""),"",ROUND(F25*H25,2))</f>
        <v>0</v>
      </c>
      <c r="J25" s="29">
        <f>IF(I25="","",F25-I25)</f>
        <v>380</v>
      </c>
      <c r="K25" s="29">
        <f>IF(J25="","",J25/MAX(1,N(E25)))</f>
        <v>380</v>
      </c>
      <c r="L25" s="37">
        <f>IF(OR(D25="",A25=""),"",A25+IF(AND(Config!$B$17="Sim",LEFT(D25,17)="Cartão de crédito"),1,IFERROR(INDEX(Config!$C$12:$C$15,MATCH(IF(AND(D25="Cartão de crédito",N(E25)&gt;1),"Cartão de crédito parcelado",D25),Config!$A$12:$A$15,0)),0)))</f>
        <v>46183.0</v>
      </c>
      <c r="M25" s="37">
        <f>IF(L25="","",IF(AND(Config!$B$17="Sim",LEFT(D25,17)="Cartão de crédito"),L25,L25+30*(MAX(1,N(E25))-1)))</f>
        <v>46183.0</v>
      </c>
      <c r="N25" s="29">
        <f>IF(OR(L25="",K25=""),"",K25*MIN(MAX(1,N(E25)),MAX(0,INT((Config!$B$8-L25)/30)+1)))</f>
        <v>380</v>
      </c>
      <c r="O25" s="29">
        <f>IF(J25="","",J25-N(N25))</f>
        <v>0</v>
      </c>
      <c r="P25" s="27">
        <f>IF(A25="","",MONTH(A25))</f>
        <v>6</v>
      </c>
      <c r="Q25" s="27">
        <f>IF(A25="","",YEAR(A25))</f>
        <v>2026</v>
      </c>
      <c r="R25" s="27" t="str">
        <f>IF(L25="","",IF(L25&gt;Config!$B$8,"A cair",IF(N(G25)&gt;=MIN(MAX(1,N(E25)),MAX(0,INT((Config!$B$8-L25)/30)+1)),IF(N(G25)&gt;=MAX(1,N(E25)),"Conferido","Conferido até aqui"),"A conferir")))</f>
        <v>Conferido</v>
      </c>
      <c r="S25" s="51">
        <f>IF(R25="A conferir",(Config!$B$8-L25)*1000+N(F25)/1000+ROW()/100000,0)</f>
        <v>0</v>
      </c>
      <c r="T25" s="51">
        <f>IF(R25="A conferir",N(N25),0)</f>
        <v>0</v>
      </c>
      <c r="U25" s="51">
        <f>IF(L25="",0,L25)</f>
        <v>46183.0</v>
      </c>
      <c r="V25" s="51">
        <f>IF(L25="",0,MAX(1,N(E25)))</f>
        <v>1</v>
      </c>
      <c r="W25" s="51">
        <f>IF(K25="",0,K25)</f>
        <v>380</v>
      </c>
    </row>
    <row r="26">
      <c r="A26" s="49" t="n">
        <v>46184</v>
      </c>
      <c r="B26" s="41" t="inlineStr">
        <is>
          <t>Elaine Cardoso</t>
        </is>
      </c>
      <c r="C26" s="41" t="inlineStr">
        <is>
          <t>Consulta</t>
        </is>
      </c>
      <c r="D26" s="42" t="inlineStr">
        <is>
          <t>Pix</t>
        </is>
      </c>
      <c r="E26" s="42" t="n"/>
      <c r="F26" s="50" t="n">
        <v>380</v>
      </c>
      <c r="G26" s="42" t="n">
        <v>1</v>
      </c>
      <c r="H26" s="30">
        <f>IF(D26="","",IFERROR(INDEX(Config!$B$12:$B$15,MATCH(IF(AND(D26="Cartão de crédito",N(E26)&gt;1),"Cartão de crédito parcelado",D26),Config!$A$12:$A$15,0)),0)+IF(AND(Config!$B$17="Sim",LEFT(D26,17)="Cartão de crédito"),Config!$B$18*IFERROR(INDEX(Config!$C$12:$C$15,MATCH(IF(AND(D26="Cartão de crédito",N(E26)&gt;1),"Cartão de crédito parcelado",D26),Config!$A$12:$A$15,0)),0)/30*MAX(1,N(E26)),0))</f>
        <v>0</v>
      </c>
      <c r="I26" s="29">
        <f>IF(OR(D26="",F26=""),"",ROUND(F26*H26,2))</f>
        <v>0</v>
      </c>
      <c r="J26" s="29">
        <f>IF(I26="","",F26-I26)</f>
        <v>380</v>
      </c>
      <c r="K26" s="29">
        <f>IF(J26="","",J26/MAX(1,N(E26)))</f>
        <v>380</v>
      </c>
      <c r="L26" s="37">
        <f>IF(OR(D26="",A26=""),"",A26+IF(AND(Config!$B$17="Sim",LEFT(D26,17)="Cartão de crédito"),1,IFERROR(INDEX(Config!$C$12:$C$15,MATCH(IF(AND(D26="Cartão de crédito",N(E26)&gt;1),"Cartão de crédito parcelado",D26),Config!$A$12:$A$15,0)),0)))</f>
        <v>46184.0</v>
      </c>
      <c r="M26" s="37">
        <f>IF(L26="","",IF(AND(Config!$B$17="Sim",LEFT(D26,17)="Cartão de crédito"),L26,L26+30*(MAX(1,N(E26))-1)))</f>
        <v>46184.0</v>
      </c>
      <c r="N26" s="29">
        <f>IF(OR(L26="",K26=""),"",K26*MIN(MAX(1,N(E26)),MAX(0,INT((Config!$B$8-L26)/30)+1)))</f>
        <v>380</v>
      </c>
      <c r="O26" s="29">
        <f>IF(J26="","",J26-N(N26))</f>
        <v>0</v>
      </c>
      <c r="P26" s="27">
        <f>IF(A26="","",MONTH(A26))</f>
        <v>6</v>
      </c>
      <c r="Q26" s="27">
        <f>IF(A26="","",YEAR(A26))</f>
        <v>2026</v>
      </c>
      <c r="R26" s="27" t="str">
        <f>IF(L26="","",IF(L26&gt;Config!$B$8,"A cair",IF(N(G26)&gt;=MIN(MAX(1,N(E26)),MAX(0,INT((Config!$B$8-L26)/30)+1)),IF(N(G26)&gt;=MAX(1,N(E26)),"Conferido","Conferido até aqui"),"A conferir")))</f>
        <v>Conferido</v>
      </c>
      <c r="S26" s="51">
        <f>IF(R26="A conferir",(Config!$B$8-L26)*1000+N(F26)/1000+ROW()/100000,0)</f>
        <v>0</v>
      </c>
      <c r="T26" s="51">
        <f>IF(R26="A conferir",N(N26),0)</f>
        <v>0</v>
      </c>
      <c r="U26" s="51">
        <f>IF(L26="",0,L26)</f>
        <v>46184.0</v>
      </c>
      <c r="V26" s="51">
        <f>IF(L26="",0,MAX(1,N(E26)))</f>
        <v>1</v>
      </c>
      <c r="W26" s="51">
        <f>IF(K26="",0,K26)</f>
        <v>380</v>
      </c>
    </row>
    <row r="27">
      <c r="A27" s="49" t="n">
        <v>46184</v>
      </c>
      <c r="B27" s="41" t="inlineStr">
        <is>
          <t>Wagner Santos</t>
        </is>
      </c>
      <c r="C27" s="41" t="inlineStr">
        <is>
          <t>Consulta</t>
        </is>
      </c>
      <c r="D27" s="42" t="inlineStr">
        <is>
          <t>Pix</t>
        </is>
      </c>
      <c r="E27" s="42" t="n"/>
      <c r="F27" s="50" t="n">
        <v>380</v>
      </c>
      <c r="G27" s="42" t="n">
        <v>1</v>
      </c>
      <c r="H27" s="30">
        <f>IF(D27="","",IFERROR(INDEX(Config!$B$12:$B$15,MATCH(IF(AND(D27="Cartão de crédito",N(E27)&gt;1),"Cartão de crédito parcelado",D27),Config!$A$12:$A$15,0)),0)+IF(AND(Config!$B$17="Sim",LEFT(D27,17)="Cartão de crédito"),Config!$B$18*IFERROR(INDEX(Config!$C$12:$C$15,MATCH(IF(AND(D27="Cartão de crédito",N(E27)&gt;1),"Cartão de crédito parcelado",D27),Config!$A$12:$A$15,0)),0)/30*MAX(1,N(E27)),0))</f>
        <v>0</v>
      </c>
      <c r="I27" s="29">
        <f>IF(OR(D27="",F27=""),"",ROUND(F27*H27,2))</f>
        <v>0</v>
      </c>
      <c r="J27" s="29">
        <f>IF(I27="","",F27-I27)</f>
        <v>380</v>
      </c>
      <c r="K27" s="29">
        <f>IF(J27="","",J27/MAX(1,N(E27)))</f>
        <v>380</v>
      </c>
      <c r="L27" s="37">
        <f>IF(OR(D27="",A27=""),"",A27+IF(AND(Config!$B$17="Sim",LEFT(D27,17)="Cartão de crédito"),1,IFERROR(INDEX(Config!$C$12:$C$15,MATCH(IF(AND(D27="Cartão de crédito",N(E27)&gt;1),"Cartão de crédito parcelado",D27),Config!$A$12:$A$15,0)),0)))</f>
        <v>46184.0</v>
      </c>
      <c r="M27" s="37">
        <f>IF(L27="","",IF(AND(Config!$B$17="Sim",LEFT(D27,17)="Cartão de crédito"),L27,L27+30*(MAX(1,N(E27))-1)))</f>
        <v>46184.0</v>
      </c>
      <c r="N27" s="29">
        <f>IF(OR(L27="",K27=""),"",K27*MIN(MAX(1,N(E27)),MAX(0,INT((Config!$B$8-L27)/30)+1)))</f>
        <v>380</v>
      </c>
      <c r="O27" s="29">
        <f>IF(J27="","",J27-N(N27))</f>
        <v>0</v>
      </c>
      <c r="P27" s="27">
        <f>IF(A27="","",MONTH(A27))</f>
        <v>6</v>
      </c>
      <c r="Q27" s="27">
        <f>IF(A27="","",YEAR(A27))</f>
        <v>2026</v>
      </c>
      <c r="R27" s="27" t="str">
        <f>IF(L27="","",IF(L27&gt;Config!$B$8,"A cair",IF(N(G27)&gt;=MIN(MAX(1,N(E27)),MAX(0,INT((Config!$B$8-L27)/30)+1)),IF(N(G27)&gt;=MAX(1,N(E27)),"Conferido","Conferido até aqui"),"A conferir")))</f>
        <v>Conferido</v>
      </c>
      <c r="S27" s="51">
        <f>IF(R27="A conferir",(Config!$B$8-L27)*1000+N(F27)/1000+ROW()/100000,0)</f>
        <v>0</v>
      </c>
      <c r="T27" s="51">
        <f>IF(R27="A conferir",N(N27),0)</f>
        <v>0</v>
      </c>
      <c r="U27" s="51">
        <f>IF(L27="",0,L27)</f>
        <v>46184.0</v>
      </c>
      <c r="V27" s="51">
        <f>IF(L27="",0,MAX(1,N(E27)))</f>
        <v>1</v>
      </c>
      <c r="W27" s="51">
        <f>IF(K27="",0,K27)</f>
        <v>380</v>
      </c>
    </row>
    <row r="28">
      <c r="A28" s="49" t="n">
        <v>46184</v>
      </c>
      <c r="B28" s="41" t="inlineStr">
        <is>
          <t>Roberta Lima</t>
        </is>
      </c>
      <c r="C28" s="41" t="inlineStr">
        <is>
          <t>Avaliação endócrina</t>
        </is>
      </c>
      <c r="D28" s="42" t="inlineStr">
        <is>
          <t>Pix</t>
        </is>
      </c>
      <c r="E28" s="42" t="n"/>
      <c r="F28" s="50" t="n">
        <v>400</v>
      </c>
      <c r="G28" s="42" t="n">
        <v>1</v>
      </c>
      <c r="H28" s="30">
        <f>IF(D28="","",IFERROR(INDEX(Config!$B$12:$B$15,MATCH(IF(AND(D28="Cartão de crédito",N(E28)&gt;1),"Cartão de crédito parcelado",D28),Config!$A$12:$A$15,0)),0)+IF(AND(Config!$B$17="Sim",LEFT(D28,17)="Cartão de crédito"),Config!$B$18*IFERROR(INDEX(Config!$C$12:$C$15,MATCH(IF(AND(D28="Cartão de crédito",N(E28)&gt;1),"Cartão de crédito parcelado",D28),Config!$A$12:$A$15,0)),0)/30*MAX(1,N(E28)),0))</f>
        <v>0</v>
      </c>
      <c r="I28" s="29">
        <f>IF(OR(D28="",F28=""),"",ROUND(F28*H28,2))</f>
        <v>0</v>
      </c>
      <c r="J28" s="29">
        <f>IF(I28="","",F28-I28)</f>
        <v>400</v>
      </c>
      <c r="K28" s="29">
        <f>IF(J28="","",J28/MAX(1,N(E28)))</f>
        <v>400</v>
      </c>
      <c r="L28" s="37">
        <f>IF(OR(D28="",A28=""),"",A28+IF(AND(Config!$B$17="Sim",LEFT(D28,17)="Cartão de crédito"),1,IFERROR(INDEX(Config!$C$12:$C$15,MATCH(IF(AND(D28="Cartão de crédito",N(E28)&gt;1),"Cartão de crédito parcelado",D28),Config!$A$12:$A$15,0)),0)))</f>
        <v>46184.0</v>
      </c>
      <c r="M28" s="37">
        <f>IF(L28="","",IF(AND(Config!$B$17="Sim",LEFT(D28,17)="Cartão de crédito"),L28,L28+30*(MAX(1,N(E28))-1)))</f>
        <v>46184.0</v>
      </c>
      <c r="N28" s="29">
        <f>IF(OR(L28="",K28=""),"",K28*MIN(MAX(1,N(E28)),MAX(0,INT((Config!$B$8-L28)/30)+1)))</f>
        <v>400</v>
      </c>
      <c r="O28" s="29">
        <f>IF(J28="","",J28-N(N28))</f>
        <v>0</v>
      </c>
      <c r="P28" s="27">
        <f>IF(A28="","",MONTH(A28))</f>
        <v>6</v>
      </c>
      <c r="Q28" s="27">
        <f>IF(A28="","",YEAR(A28))</f>
        <v>2026</v>
      </c>
      <c r="R28" s="27" t="str">
        <f>IF(L28="","",IF(L28&gt;Config!$B$8,"A cair",IF(N(G28)&gt;=MIN(MAX(1,N(E28)),MAX(0,INT((Config!$B$8-L28)/30)+1)),IF(N(G28)&gt;=MAX(1,N(E28)),"Conferido","Conferido até aqui"),"A conferir")))</f>
        <v>Conferido</v>
      </c>
      <c r="S28" s="51">
        <f>IF(R28="A conferir",(Config!$B$8-L28)*1000+N(F28)/1000+ROW()/100000,0)</f>
        <v>0</v>
      </c>
      <c r="T28" s="51">
        <f>IF(R28="A conferir",N(N28),0)</f>
        <v>0</v>
      </c>
      <c r="U28" s="51">
        <f>IF(L28="",0,L28)</f>
        <v>46184.0</v>
      </c>
      <c r="V28" s="51">
        <f>IF(L28="",0,MAX(1,N(E28)))</f>
        <v>1</v>
      </c>
      <c r="W28" s="51">
        <f>IF(K28="",0,K28)</f>
        <v>400</v>
      </c>
    </row>
    <row r="29">
      <c r="A29" s="49" t="n">
        <v>46184</v>
      </c>
      <c r="B29" s="41" t="inlineStr">
        <is>
          <t>Thiago Melo</t>
        </is>
      </c>
      <c r="C29" s="41" t="inlineStr">
        <is>
          <t>Avaliação endócrina</t>
        </is>
      </c>
      <c r="D29" s="42" t="inlineStr">
        <is>
          <t>Pix</t>
        </is>
      </c>
      <c r="E29" s="42" t="n"/>
      <c r="F29" s="50" t="n">
        <v>400</v>
      </c>
      <c r="G29" s="42" t="n">
        <v>1</v>
      </c>
      <c r="H29" s="30">
        <f>IF(D29="","",IFERROR(INDEX(Config!$B$12:$B$15,MATCH(IF(AND(D29="Cartão de crédito",N(E29)&gt;1),"Cartão de crédito parcelado",D29),Config!$A$12:$A$15,0)),0)+IF(AND(Config!$B$17="Sim",LEFT(D29,17)="Cartão de crédito"),Config!$B$18*IFERROR(INDEX(Config!$C$12:$C$15,MATCH(IF(AND(D29="Cartão de crédito",N(E29)&gt;1),"Cartão de crédito parcelado",D29),Config!$A$12:$A$15,0)),0)/30*MAX(1,N(E29)),0))</f>
        <v>0</v>
      </c>
      <c r="I29" s="29">
        <f>IF(OR(D29="",F29=""),"",ROUND(F29*H29,2))</f>
        <v>0</v>
      </c>
      <c r="J29" s="29">
        <f>IF(I29="","",F29-I29)</f>
        <v>400</v>
      </c>
      <c r="K29" s="29">
        <f>IF(J29="","",J29/MAX(1,N(E29)))</f>
        <v>400</v>
      </c>
      <c r="L29" s="37">
        <f>IF(OR(D29="",A29=""),"",A29+IF(AND(Config!$B$17="Sim",LEFT(D29,17)="Cartão de crédito"),1,IFERROR(INDEX(Config!$C$12:$C$15,MATCH(IF(AND(D29="Cartão de crédito",N(E29)&gt;1),"Cartão de crédito parcelado",D29),Config!$A$12:$A$15,0)),0)))</f>
        <v>46184.0</v>
      </c>
      <c r="M29" s="37">
        <f>IF(L29="","",IF(AND(Config!$B$17="Sim",LEFT(D29,17)="Cartão de crédito"),L29,L29+30*(MAX(1,N(E29))-1)))</f>
        <v>46184.0</v>
      </c>
      <c r="N29" s="29">
        <f>IF(OR(L29="",K29=""),"",K29*MIN(MAX(1,N(E29)),MAX(0,INT((Config!$B$8-L29)/30)+1)))</f>
        <v>400</v>
      </c>
      <c r="O29" s="29">
        <f>IF(J29="","",J29-N(N29))</f>
        <v>0</v>
      </c>
      <c r="P29" s="27">
        <f>IF(A29="","",MONTH(A29))</f>
        <v>6</v>
      </c>
      <c r="Q29" s="27">
        <f>IF(A29="","",YEAR(A29))</f>
        <v>2026</v>
      </c>
      <c r="R29" s="27" t="str">
        <f>IF(L29="","",IF(L29&gt;Config!$B$8,"A cair",IF(N(G29)&gt;=MIN(MAX(1,N(E29)),MAX(0,INT((Config!$B$8-L29)/30)+1)),IF(N(G29)&gt;=MAX(1,N(E29)),"Conferido","Conferido até aqui"),"A conferir")))</f>
        <v>Conferido</v>
      </c>
      <c r="S29" s="51">
        <f>IF(R29="A conferir",(Config!$B$8-L29)*1000+N(F29)/1000+ROW()/100000,0)</f>
        <v>0</v>
      </c>
      <c r="T29" s="51">
        <f>IF(R29="A conferir",N(N29),0)</f>
        <v>0</v>
      </c>
      <c r="U29" s="51">
        <f>IF(L29="",0,L29)</f>
        <v>46184.0</v>
      </c>
      <c r="V29" s="51">
        <f>IF(L29="",0,MAX(1,N(E29)))</f>
        <v>1</v>
      </c>
      <c r="W29" s="51">
        <f>IF(K29="",0,K29)</f>
        <v>400</v>
      </c>
    </row>
    <row r="30">
      <c r="A30" s="49" t="n">
        <v>46185</v>
      </c>
      <c r="B30" s="41" t="inlineStr">
        <is>
          <t>Gisele Xavier</t>
        </is>
      </c>
      <c r="C30" s="41" t="inlineStr">
        <is>
          <t>ECG</t>
        </is>
      </c>
      <c r="D30" s="42" t="inlineStr">
        <is>
          <t>Cartão de crédito</t>
        </is>
      </c>
      <c r="E30" s="42" t="n"/>
      <c r="F30" s="50" t="n">
        <v>130</v>
      </c>
      <c r="G30" s="42" t="n">
        <v>1</v>
      </c>
      <c r="H30" s="30">
        <f>IF(D30="","",IFERROR(INDEX(Config!$B$12:$B$15,MATCH(IF(AND(D30="Cartão de crédito",N(E30)&gt;1),"Cartão de crédito parcelado",D30),Config!$A$12:$A$15,0)),0)+IF(AND(Config!$B$17="Sim",LEFT(D30,17)="Cartão de crédito"),Config!$B$18*IFERROR(INDEX(Config!$C$12:$C$15,MATCH(IF(AND(D30="Cartão de crédito",N(E30)&gt;1),"Cartão de crédito parcelado",D30),Config!$A$12:$A$15,0)),0)/30*MAX(1,N(E30)),0))</f>
        <v>0.032</v>
      </c>
      <c r="I30" s="29">
        <f>IF(OR(D30="",F30=""),"",ROUND(F30*H30,2))</f>
        <v>4.16</v>
      </c>
      <c r="J30" s="29">
        <f>IF(I30="","",F30-I30)</f>
        <v>125.84</v>
      </c>
      <c r="K30" s="29">
        <f>IF(J30="","",J30/MAX(1,N(E30)))</f>
        <v>125.84</v>
      </c>
      <c r="L30" s="37">
        <f>IF(OR(D30="",A30=""),"",A30+IF(AND(Config!$B$17="Sim",LEFT(D30,17)="Cartão de crédito"),1,IFERROR(INDEX(Config!$C$12:$C$15,MATCH(IF(AND(D30="Cartão de crédito",N(E30)&gt;1),"Cartão de crédito parcelado",D30),Config!$A$12:$A$15,0)),0)))</f>
        <v>46215.0</v>
      </c>
      <c r="M30" s="37">
        <f>IF(L30="","",IF(AND(Config!$B$17="Sim",LEFT(D30,17)="Cartão de crédito"),L30,L30+30*(MAX(1,N(E30))-1)))</f>
        <v>46215.0</v>
      </c>
      <c r="N30" s="29">
        <f>IF(OR(L30="",K30=""),"",K30*MIN(MAX(1,N(E30)),MAX(0,INT((Config!$B$8-L30)/30)+1)))</f>
        <v>125.84</v>
      </c>
      <c r="O30" s="29">
        <f>IF(J30="","",J30-N(N30))</f>
        <v>0</v>
      </c>
      <c r="P30" s="27">
        <f>IF(A30="","",MONTH(A30))</f>
        <v>6</v>
      </c>
      <c r="Q30" s="27">
        <f>IF(A30="","",YEAR(A30))</f>
        <v>2026</v>
      </c>
      <c r="R30" s="27" t="str">
        <f>IF(L30="","",IF(L30&gt;Config!$B$8,"A cair",IF(N(G30)&gt;=MIN(MAX(1,N(E30)),MAX(0,INT((Config!$B$8-L30)/30)+1)),IF(N(G30)&gt;=MAX(1,N(E30)),"Conferido","Conferido até aqui"),"A conferir")))</f>
        <v>Conferido</v>
      </c>
      <c r="S30" s="51">
        <f>IF(R30="A conferir",(Config!$B$8-L30)*1000+N(F30)/1000+ROW()/100000,0)</f>
        <v>0</v>
      </c>
      <c r="T30" s="51">
        <f>IF(R30="A conferir",N(N30),0)</f>
        <v>0</v>
      </c>
      <c r="U30" s="51">
        <f>IF(L30="",0,L30)</f>
        <v>46215.0</v>
      </c>
      <c r="V30" s="51">
        <f>IF(L30="",0,MAX(1,N(E30)))</f>
        <v>1</v>
      </c>
      <c r="W30" s="51">
        <f>IF(K30="",0,K30)</f>
        <v>125.84</v>
      </c>
    </row>
    <row r="31">
      <c r="A31" s="49" t="n">
        <v>46185</v>
      </c>
      <c r="B31" s="41" t="inlineStr">
        <is>
          <t>Mariana Nascimento</t>
        </is>
      </c>
      <c r="C31" s="41" t="inlineStr">
        <is>
          <t>Teste ergométrico</t>
        </is>
      </c>
      <c r="D31" s="42" t="inlineStr">
        <is>
          <t>Cartão de crédito</t>
        </is>
      </c>
      <c r="E31" s="42" t="n">
        <v>2</v>
      </c>
      <c r="F31" s="50" t="n">
        <v>450</v>
      </c>
      <c r="G31" s="42" t="n">
        <v>2</v>
      </c>
      <c r="H31" s="30">
        <f>IF(D31="","",IFERROR(INDEX(Config!$B$12:$B$15,MATCH(IF(AND(D31="Cartão de crédito",N(E31)&gt;1),"Cartão de crédito parcelado",D31),Config!$A$12:$A$15,0)),0)+IF(AND(Config!$B$17="Sim",LEFT(D31,17)="Cartão de crédito"),Config!$B$18*IFERROR(INDEX(Config!$C$12:$C$15,MATCH(IF(AND(D31="Cartão de crédito",N(E31)&gt;1),"Cartão de crédito parcelado",D31),Config!$A$12:$A$15,0)),0)/30*MAX(1,N(E31)),0))</f>
        <v>0.039</v>
      </c>
      <c r="I31" s="29">
        <f>IF(OR(D31="",F31=""),"",ROUND(F31*H31,2))</f>
        <v>17.55</v>
      </c>
      <c r="J31" s="29">
        <f>IF(I31="","",F31-I31)</f>
        <v>432.45</v>
      </c>
      <c r="K31" s="29">
        <f>IF(J31="","",J31/MAX(1,N(E31)))</f>
        <v>216.225</v>
      </c>
      <c r="L31" s="37">
        <f>IF(OR(D31="",A31=""),"",A31+IF(AND(Config!$B$17="Sim",LEFT(D31,17)="Cartão de crédito"),1,IFERROR(INDEX(Config!$C$12:$C$15,MATCH(IF(AND(D31="Cartão de crédito",N(E31)&gt;1),"Cartão de crédito parcelado",D31),Config!$A$12:$A$15,0)),0)))</f>
        <v>46215.0</v>
      </c>
      <c r="M31" s="37">
        <f>IF(L31="","",IF(AND(Config!$B$17="Sim",LEFT(D31,17)="Cartão de crédito"),L31,L31+30*(MAX(1,N(E31))-1)))</f>
        <v>46245.0</v>
      </c>
      <c r="N31" s="29">
        <f>IF(OR(L31="",K31=""),"",K31*MIN(MAX(1,N(E31)),MAX(0,INT((Config!$B$8-L31)/30)+1)))</f>
        <v>432.45</v>
      </c>
      <c r="O31" s="29">
        <f>IF(J31="","",J31-N(N31))</f>
        <v>0</v>
      </c>
      <c r="P31" s="27">
        <f>IF(A31="","",MONTH(A31))</f>
        <v>6</v>
      </c>
      <c r="Q31" s="27">
        <f>IF(A31="","",YEAR(A31))</f>
        <v>2026</v>
      </c>
      <c r="R31" s="27" t="str">
        <f>IF(L31="","",IF(L31&gt;Config!$B$8,"A cair",IF(N(G31)&gt;=MIN(MAX(1,N(E31)),MAX(0,INT((Config!$B$8-L31)/30)+1)),IF(N(G31)&gt;=MAX(1,N(E31)),"Conferido","Conferido até aqui"),"A conferir")))</f>
        <v>Conferido</v>
      </c>
      <c r="S31" s="51">
        <f>IF(R31="A conferir",(Config!$B$8-L31)*1000+N(F31)/1000+ROW()/100000,0)</f>
        <v>0</v>
      </c>
      <c r="T31" s="51">
        <f>IF(R31="A conferir",N(N31),0)</f>
        <v>0</v>
      </c>
      <c r="U31" s="51">
        <f>IF(L31="",0,L31)</f>
        <v>46215.0</v>
      </c>
      <c r="V31" s="51">
        <f>IF(L31="",0,MAX(1,N(E31)))</f>
        <v>2</v>
      </c>
      <c r="W31" s="51">
        <f>IF(K31="",0,K31)</f>
        <v>216.225</v>
      </c>
    </row>
    <row r="32">
      <c r="A32" s="49" t="n">
        <v>46188</v>
      </c>
      <c r="B32" s="41" t="inlineStr">
        <is>
          <t>Mariana Nascimento</t>
        </is>
      </c>
      <c r="C32" s="41" t="inlineStr">
        <is>
          <t>Consulta</t>
        </is>
      </c>
      <c r="D32" s="42" t="inlineStr">
        <is>
          <t>Pix</t>
        </is>
      </c>
      <c r="E32" s="42" t="n"/>
      <c r="F32" s="50" t="n">
        <v>380</v>
      </c>
      <c r="G32" s="42" t="n">
        <v>1</v>
      </c>
      <c r="H32" s="30">
        <f>IF(D32="","",IFERROR(INDEX(Config!$B$12:$B$15,MATCH(IF(AND(D32="Cartão de crédito",N(E32)&gt;1),"Cartão de crédito parcelado",D32),Config!$A$12:$A$15,0)),0)+IF(AND(Config!$B$17="Sim",LEFT(D32,17)="Cartão de crédito"),Config!$B$18*IFERROR(INDEX(Config!$C$12:$C$15,MATCH(IF(AND(D32="Cartão de crédito",N(E32)&gt;1),"Cartão de crédito parcelado",D32),Config!$A$12:$A$15,0)),0)/30*MAX(1,N(E32)),0))</f>
        <v>0</v>
      </c>
      <c r="I32" s="29">
        <f>IF(OR(D32="",F32=""),"",ROUND(F32*H32,2))</f>
        <v>0</v>
      </c>
      <c r="J32" s="29">
        <f>IF(I32="","",F32-I32)</f>
        <v>380</v>
      </c>
      <c r="K32" s="29">
        <f>IF(J32="","",J32/MAX(1,N(E32)))</f>
        <v>380</v>
      </c>
      <c r="L32" s="37">
        <f>IF(OR(D32="",A32=""),"",A32+IF(AND(Config!$B$17="Sim",LEFT(D32,17)="Cartão de crédito"),1,IFERROR(INDEX(Config!$C$12:$C$15,MATCH(IF(AND(D32="Cartão de crédito",N(E32)&gt;1),"Cartão de crédito parcelado",D32),Config!$A$12:$A$15,0)),0)))</f>
        <v>46188.0</v>
      </c>
      <c r="M32" s="37">
        <f>IF(L32="","",IF(AND(Config!$B$17="Sim",LEFT(D32,17)="Cartão de crédito"),L32,L32+30*(MAX(1,N(E32))-1)))</f>
        <v>46188.0</v>
      </c>
      <c r="N32" s="29">
        <f>IF(OR(L32="",K32=""),"",K32*MIN(MAX(1,N(E32)),MAX(0,INT((Config!$B$8-L32)/30)+1)))</f>
        <v>380</v>
      </c>
      <c r="O32" s="29">
        <f>IF(J32="","",J32-N(N32))</f>
        <v>0</v>
      </c>
      <c r="P32" s="27">
        <f>IF(A32="","",MONTH(A32))</f>
        <v>6</v>
      </c>
      <c r="Q32" s="27">
        <f>IF(A32="","",YEAR(A32))</f>
        <v>2026</v>
      </c>
      <c r="R32" s="27" t="str">
        <f>IF(L32="","",IF(L32&gt;Config!$B$8,"A cair",IF(N(G32)&gt;=MIN(MAX(1,N(E32)),MAX(0,INT((Config!$B$8-L32)/30)+1)),IF(N(G32)&gt;=MAX(1,N(E32)),"Conferido","Conferido até aqui"),"A conferir")))</f>
        <v>Conferido</v>
      </c>
      <c r="S32" s="51">
        <f>IF(R32="A conferir",(Config!$B$8-L32)*1000+N(F32)/1000+ROW()/100000,0)</f>
        <v>0</v>
      </c>
      <c r="T32" s="51">
        <f>IF(R32="A conferir",N(N32),0)</f>
        <v>0</v>
      </c>
      <c r="U32" s="51">
        <f>IF(L32="",0,L32)</f>
        <v>46188.0</v>
      </c>
      <c r="V32" s="51">
        <f>IF(L32="",0,MAX(1,N(E32)))</f>
        <v>1</v>
      </c>
      <c r="W32" s="51">
        <f>IF(K32="",0,K32)</f>
        <v>380</v>
      </c>
    </row>
    <row r="33">
      <c r="A33" s="49" t="n">
        <v>46188</v>
      </c>
      <c r="B33" s="41" t="inlineStr">
        <is>
          <t>Ana Costa</t>
        </is>
      </c>
      <c r="C33" s="41" t="inlineStr">
        <is>
          <t>Consulta</t>
        </is>
      </c>
      <c r="D33" s="42" t="inlineStr">
        <is>
          <t>Cartão de débito</t>
        </is>
      </c>
      <c r="E33" s="42" t="n"/>
      <c r="F33" s="50" t="n">
        <v>380</v>
      </c>
      <c r="G33" s="42" t="n">
        <v>1</v>
      </c>
      <c r="H33" s="30">
        <f>IF(D33="","",IFERROR(INDEX(Config!$B$12:$B$15,MATCH(IF(AND(D33="Cartão de crédito",N(E33)&gt;1),"Cartão de crédito parcelado",D33),Config!$A$12:$A$15,0)),0)+IF(AND(Config!$B$17="Sim",LEFT(D33,17)="Cartão de crédito"),Config!$B$18*IFERROR(INDEX(Config!$C$12:$C$15,MATCH(IF(AND(D33="Cartão de crédito",N(E33)&gt;1),"Cartão de crédito parcelado",D33),Config!$A$12:$A$15,0)),0)/30*MAX(1,N(E33)),0))</f>
        <v>0.015</v>
      </c>
      <c r="I33" s="29">
        <f>IF(OR(D33="",F33=""),"",ROUND(F33*H33,2))</f>
        <v>5.7</v>
      </c>
      <c r="J33" s="29">
        <f>IF(I33="","",F33-I33)</f>
        <v>374.3</v>
      </c>
      <c r="K33" s="29">
        <f>IF(J33="","",J33/MAX(1,N(E33)))</f>
        <v>374.3</v>
      </c>
      <c r="L33" s="37">
        <f>IF(OR(D33="",A33=""),"",A33+IF(AND(Config!$B$17="Sim",LEFT(D33,17)="Cartão de crédito"),1,IFERROR(INDEX(Config!$C$12:$C$15,MATCH(IF(AND(D33="Cartão de crédito",N(E33)&gt;1),"Cartão de crédito parcelado",D33),Config!$A$12:$A$15,0)),0)))</f>
        <v>46189.0</v>
      </c>
      <c r="M33" s="37">
        <f>IF(L33="","",IF(AND(Config!$B$17="Sim",LEFT(D33,17)="Cartão de crédito"),L33,L33+30*(MAX(1,N(E33))-1)))</f>
        <v>46189.0</v>
      </c>
      <c r="N33" s="29">
        <f>IF(OR(L33="",K33=""),"",K33*MIN(MAX(1,N(E33)),MAX(0,INT((Config!$B$8-L33)/30)+1)))</f>
        <v>374.3</v>
      </c>
      <c r="O33" s="29">
        <f>IF(J33="","",J33-N(N33))</f>
        <v>0</v>
      </c>
      <c r="P33" s="27">
        <f>IF(A33="","",MONTH(A33))</f>
        <v>6</v>
      </c>
      <c r="Q33" s="27">
        <f>IF(A33="","",YEAR(A33))</f>
        <v>2026</v>
      </c>
      <c r="R33" s="27" t="str">
        <f>IF(L33="","",IF(L33&gt;Config!$B$8,"A cair",IF(N(G33)&gt;=MIN(MAX(1,N(E33)),MAX(0,INT((Config!$B$8-L33)/30)+1)),IF(N(G33)&gt;=MAX(1,N(E33)),"Conferido","Conferido até aqui"),"A conferir")))</f>
        <v>Conferido</v>
      </c>
      <c r="S33" s="51">
        <f>IF(R33="A conferir",(Config!$B$8-L33)*1000+N(F33)/1000+ROW()/100000,0)</f>
        <v>0</v>
      </c>
      <c r="T33" s="51">
        <f>IF(R33="A conferir",N(N33),0)</f>
        <v>0</v>
      </c>
      <c r="U33" s="51">
        <f>IF(L33="",0,L33)</f>
        <v>46189.0</v>
      </c>
      <c r="V33" s="51">
        <f>IF(L33="",0,MAX(1,N(E33)))</f>
        <v>1</v>
      </c>
      <c r="W33" s="51">
        <f>IF(K33="",0,K33)</f>
        <v>374.3</v>
      </c>
    </row>
    <row r="34">
      <c r="A34" s="49" t="n">
        <v>46188</v>
      </c>
      <c r="B34" s="41" t="inlineStr">
        <is>
          <t>Leandro Oliveira</t>
        </is>
      </c>
      <c r="C34" s="41" t="inlineStr">
        <is>
          <t>Consulta</t>
        </is>
      </c>
      <c r="D34" s="42" t="inlineStr">
        <is>
          <t>Cartão de crédito</t>
        </is>
      </c>
      <c r="E34" s="42" t="n"/>
      <c r="F34" s="50" t="n">
        <v>380</v>
      </c>
      <c r="G34" s="42" t="n">
        <v>1</v>
      </c>
      <c r="H34" s="30">
        <f>IF(D34="","",IFERROR(INDEX(Config!$B$12:$B$15,MATCH(IF(AND(D34="Cartão de crédito",N(E34)&gt;1),"Cartão de crédito parcelado",D34),Config!$A$12:$A$15,0)),0)+IF(AND(Config!$B$17="Sim",LEFT(D34,17)="Cartão de crédito"),Config!$B$18*IFERROR(INDEX(Config!$C$12:$C$15,MATCH(IF(AND(D34="Cartão de crédito",N(E34)&gt;1),"Cartão de crédito parcelado",D34),Config!$A$12:$A$15,0)),0)/30*MAX(1,N(E34)),0))</f>
        <v>0.032</v>
      </c>
      <c r="I34" s="29">
        <f>IF(OR(D34="",F34=""),"",ROUND(F34*H34,2))</f>
        <v>12.16</v>
      </c>
      <c r="J34" s="29">
        <f>IF(I34="","",F34-I34)</f>
        <v>367.84</v>
      </c>
      <c r="K34" s="29">
        <f>IF(J34="","",J34/MAX(1,N(E34)))</f>
        <v>367.84</v>
      </c>
      <c r="L34" s="37">
        <f>IF(OR(D34="",A34=""),"",A34+IF(AND(Config!$B$17="Sim",LEFT(D34,17)="Cartão de crédito"),1,IFERROR(INDEX(Config!$C$12:$C$15,MATCH(IF(AND(D34="Cartão de crédito",N(E34)&gt;1),"Cartão de crédito parcelado",D34),Config!$A$12:$A$15,0)),0)))</f>
        <v>46218.0</v>
      </c>
      <c r="M34" s="37">
        <f>IF(L34="","",IF(AND(Config!$B$17="Sim",LEFT(D34,17)="Cartão de crédito"),L34,L34+30*(MAX(1,N(E34))-1)))</f>
        <v>46218.0</v>
      </c>
      <c r="N34" s="29">
        <f>IF(OR(L34="",K34=""),"",K34*MIN(MAX(1,N(E34)),MAX(0,INT((Config!$B$8-L34)/30)+1)))</f>
        <v>367.84</v>
      </c>
      <c r="O34" s="29">
        <f>IF(J34="","",J34-N(N34))</f>
        <v>0</v>
      </c>
      <c r="P34" s="27">
        <f>IF(A34="","",MONTH(A34))</f>
        <v>6</v>
      </c>
      <c r="Q34" s="27">
        <f>IF(A34="","",YEAR(A34))</f>
        <v>2026</v>
      </c>
      <c r="R34" s="27" t="str">
        <f>IF(L34="","",IF(L34&gt;Config!$B$8,"A cair",IF(N(G34)&gt;=MIN(MAX(1,N(E34)),MAX(0,INT((Config!$B$8-L34)/30)+1)),IF(N(G34)&gt;=MAX(1,N(E34)),"Conferido","Conferido até aqui"),"A conferir")))</f>
        <v>Conferido</v>
      </c>
      <c r="S34" s="51">
        <f>IF(R34="A conferir",(Config!$B$8-L34)*1000+N(F34)/1000+ROW()/100000,0)</f>
        <v>0</v>
      </c>
      <c r="T34" s="51">
        <f>IF(R34="A conferir",N(N34),0)</f>
        <v>0</v>
      </c>
      <c r="U34" s="51">
        <f>IF(L34="",0,L34)</f>
        <v>46218.0</v>
      </c>
      <c r="V34" s="51">
        <f>IF(L34="",0,MAX(1,N(E34)))</f>
        <v>1</v>
      </c>
      <c r="W34" s="51">
        <f>IF(K34="",0,K34)</f>
        <v>367.84</v>
      </c>
    </row>
    <row r="35">
      <c r="A35" s="49" t="n">
        <v>46188</v>
      </c>
      <c r="B35" s="41" t="inlineStr">
        <is>
          <t>Lucas Cardoso</t>
        </is>
      </c>
      <c r="C35" s="41" t="inlineStr">
        <is>
          <t>Consulta</t>
        </is>
      </c>
      <c r="D35" s="42" t="inlineStr">
        <is>
          <t>Cartão de crédito</t>
        </is>
      </c>
      <c r="E35" s="42" t="n"/>
      <c r="F35" s="50" t="n">
        <v>380</v>
      </c>
      <c r="G35" s="42" t="n">
        <v>1</v>
      </c>
      <c r="H35" s="30">
        <f>IF(D35="","",IFERROR(INDEX(Config!$B$12:$B$15,MATCH(IF(AND(D35="Cartão de crédito",N(E35)&gt;1),"Cartão de crédito parcelado",D35),Config!$A$12:$A$15,0)),0)+IF(AND(Config!$B$17="Sim",LEFT(D35,17)="Cartão de crédito"),Config!$B$18*IFERROR(INDEX(Config!$C$12:$C$15,MATCH(IF(AND(D35="Cartão de crédito",N(E35)&gt;1),"Cartão de crédito parcelado",D35),Config!$A$12:$A$15,0)),0)/30*MAX(1,N(E35)),0))</f>
        <v>0.032</v>
      </c>
      <c r="I35" s="29">
        <f>IF(OR(D35="",F35=""),"",ROUND(F35*H35,2))</f>
        <v>12.16</v>
      </c>
      <c r="J35" s="29">
        <f>IF(I35="","",F35-I35)</f>
        <v>367.84</v>
      </c>
      <c r="K35" s="29">
        <f>IF(J35="","",J35/MAX(1,N(E35)))</f>
        <v>367.84</v>
      </c>
      <c r="L35" s="37">
        <f>IF(OR(D35="",A35=""),"",A35+IF(AND(Config!$B$17="Sim",LEFT(D35,17)="Cartão de crédito"),1,IFERROR(INDEX(Config!$C$12:$C$15,MATCH(IF(AND(D35="Cartão de crédito",N(E35)&gt;1),"Cartão de crédito parcelado",D35),Config!$A$12:$A$15,0)),0)))</f>
        <v>46218.0</v>
      </c>
      <c r="M35" s="37">
        <f>IF(L35="","",IF(AND(Config!$B$17="Sim",LEFT(D35,17)="Cartão de crédito"),L35,L35+30*(MAX(1,N(E35))-1)))</f>
        <v>46218.0</v>
      </c>
      <c r="N35" s="29">
        <f>IF(OR(L35="",K35=""),"",K35*MIN(MAX(1,N(E35)),MAX(0,INT((Config!$B$8-L35)/30)+1)))</f>
        <v>367.84</v>
      </c>
      <c r="O35" s="29">
        <f>IF(J35="","",J35-N(N35))</f>
        <v>0</v>
      </c>
      <c r="P35" s="27">
        <f>IF(A35="","",MONTH(A35))</f>
        <v>6</v>
      </c>
      <c r="Q35" s="27">
        <f>IF(A35="","",YEAR(A35))</f>
        <v>2026</v>
      </c>
      <c r="R35" s="27" t="str">
        <f>IF(L35="","",IF(L35&gt;Config!$B$8,"A cair",IF(N(G35)&gt;=MIN(MAX(1,N(E35)),MAX(0,INT((Config!$B$8-L35)/30)+1)),IF(N(G35)&gt;=MAX(1,N(E35)),"Conferido","Conferido até aqui"),"A conferir")))</f>
        <v>Conferido</v>
      </c>
      <c r="S35" s="51">
        <f>IF(R35="A conferir",(Config!$B$8-L35)*1000+N(F35)/1000+ROW()/100000,0)</f>
        <v>0</v>
      </c>
      <c r="T35" s="51">
        <f>IF(R35="A conferir",N(N35),0)</f>
        <v>0</v>
      </c>
      <c r="U35" s="51">
        <f>IF(L35="",0,L35)</f>
        <v>46218.0</v>
      </c>
      <c r="V35" s="51">
        <f>IF(L35="",0,MAX(1,N(E35)))</f>
        <v>1</v>
      </c>
      <c r="W35" s="51">
        <f>IF(K35="",0,K35)</f>
        <v>367.84</v>
      </c>
    </row>
    <row r="36">
      <c r="A36" s="49" t="n">
        <v>46189</v>
      </c>
      <c r="B36" s="41" t="inlineStr">
        <is>
          <t>Mônica Martins</t>
        </is>
      </c>
      <c r="C36" s="41" t="inlineStr">
        <is>
          <t>Consulta</t>
        </is>
      </c>
      <c r="D36" s="42" t="inlineStr">
        <is>
          <t>Pix</t>
        </is>
      </c>
      <c r="E36" s="42" t="n"/>
      <c r="F36" s="50" t="n">
        <v>380</v>
      </c>
      <c r="G36" s="42" t="n">
        <v>1</v>
      </c>
      <c r="H36" s="30">
        <f>IF(D36="","",IFERROR(INDEX(Config!$B$12:$B$15,MATCH(IF(AND(D36="Cartão de crédito",N(E36)&gt;1),"Cartão de crédito parcelado",D36),Config!$A$12:$A$15,0)),0)+IF(AND(Config!$B$17="Sim",LEFT(D36,17)="Cartão de crédito"),Config!$B$18*IFERROR(INDEX(Config!$C$12:$C$15,MATCH(IF(AND(D36="Cartão de crédito",N(E36)&gt;1),"Cartão de crédito parcelado",D36),Config!$A$12:$A$15,0)),0)/30*MAX(1,N(E36)),0))</f>
        <v>0</v>
      </c>
      <c r="I36" s="29">
        <f>IF(OR(D36="",F36=""),"",ROUND(F36*H36,2))</f>
        <v>0</v>
      </c>
      <c r="J36" s="29">
        <f>IF(I36="","",F36-I36)</f>
        <v>380</v>
      </c>
      <c r="K36" s="29">
        <f>IF(J36="","",J36/MAX(1,N(E36)))</f>
        <v>380</v>
      </c>
      <c r="L36" s="37">
        <f>IF(OR(D36="",A36=""),"",A36+IF(AND(Config!$B$17="Sim",LEFT(D36,17)="Cartão de crédito"),1,IFERROR(INDEX(Config!$C$12:$C$15,MATCH(IF(AND(D36="Cartão de crédito",N(E36)&gt;1),"Cartão de crédito parcelado",D36),Config!$A$12:$A$15,0)),0)))</f>
        <v>46189.0</v>
      </c>
      <c r="M36" s="37">
        <f>IF(L36="","",IF(AND(Config!$B$17="Sim",LEFT(D36,17)="Cartão de crédito"),L36,L36+30*(MAX(1,N(E36))-1)))</f>
        <v>46189.0</v>
      </c>
      <c r="N36" s="29">
        <f>IF(OR(L36="",K36=""),"",K36*MIN(MAX(1,N(E36)),MAX(0,INT((Config!$B$8-L36)/30)+1)))</f>
        <v>380</v>
      </c>
      <c r="O36" s="29">
        <f>IF(J36="","",J36-N(N36))</f>
        <v>0</v>
      </c>
      <c r="P36" s="27">
        <f>IF(A36="","",MONTH(A36))</f>
        <v>6</v>
      </c>
      <c r="Q36" s="27">
        <f>IF(A36="","",YEAR(A36))</f>
        <v>2026</v>
      </c>
      <c r="R36" s="27" t="str">
        <f>IF(L36="","",IF(L36&gt;Config!$B$8,"A cair",IF(N(G36)&gt;=MIN(MAX(1,N(E36)),MAX(0,INT((Config!$B$8-L36)/30)+1)),IF(N(G36)&gt;=MAX(1,N(E36)),"Conferido","Conferido até aqui"),"A conferir")))</f>
        <v>Conferido</v>
      </c>
      <c r="S36" s="51">
        <f>IF(R36="A conferir",(Config!$B$8-L36)*1000+N(F36)/1000+ROW()/100000,0)</f>
        <v>0</v>
      </c>
      <c r="T36" s="51">
        <f>IF(R36="A conferir",N(N36),0)</f>
        <v>0</v>
      </c>
      <c r="U36" s="51">
        <f>IF(L36="",0,L36)</f>
        <v>46189.0</v>
      </c>
      <c r="V36" s="51">
        <f>IF(L36="",0,MAX(1,N(E36)))</f>
        <v>1</v>
      </c>
      <c r="W36" s="51">
        <f>IF(K36="",0,K36)</f>
        <v>380</v>
      </c>
    </row>
    <row r="37">
      <c r="A37" s="49" t="n">
        <v>46189</v>
      </c>
      <c r="B37" s="41" t="inlineStr">
        <is>
          <t>Fábio Correia</t>
        </is>
      </c>
      <c r="C37" s="41" t="inlineStr">
        <is>
          <t>ECG</t>
        </is>
      </c>
      <c r="D37" s="42" t="inlineStr">
        <is>
          <t>Cartão de crédito</t>
        </is>
      </c>
      <c r="E37" s="42" t="n"/>
      <c r="F37" s="50" t="n">
        <v>130</v>
      </c>
      <c r="G37" s="42" t="n">
        <v>1</v>
      </c>
      <c r="H37" s="30">
        <f>IF(D37="","",IFERROR(INDEX(Config!$B$12:$B$15,MATCH(IF(AND(D37="Cartão de crédito",N(E37)&gt;1),"Cartão de crédito parcelado",D37),Config!$A$12:$A$15,0)),0)+IF(AND(Config!$B$17="Sim",LEFT(D37,17)="Cartão de crédito"),Config!$B$18*IFERROR(INDEX(Config!$C$12:$C$15,MATCH(IF(AND(D37="Cartão de crédito",N(E37)&gt;1),"Cartão de crédito parcelado",D37),Config!$A$12:$A$15,0)),0)/30*MAX(1,N(E37)),0))</f>
        <v>0.032</v>
      </c>
      <c r="I37" s="29">
        <f>IF(OR(D37="",F37=""),"",ROUND(F37*H37,2))</f>
        <v>4.16</v>
      </c>
      <c r="J37" s="29">
        <f>IF(I37="","",F37-I37)</f>
        <v>125.84</v>
      </c>
      <c r="K37" s="29">
        <f>IF(J37="","",J37/MAX(1,N(E37)))</f>
        <v>125.84</v>
      </c>
      <c r="L37" s="37">
        <f>IF(OR(D37="",A37=""),"",A37+IF(AND(Config!$B$17="Sim",LEFT(D37,17)="Cartão de crédito"),1,IFERROR(INDEX(Config!$C$12:$C$15,MATCH(IF(AND(D37="Cartão de crédito",N(E37)&gt;1),"Cartão de crédito parcelado",D37),Config!$A$12:$A$15,0)),0)))</f>
        <v>46219.0</v>
      </c>
      <c r="M37" s="37">
        <f>IF(L37="","",IF(AND(Config!$B$17="Sim",LEFT(D37,17)="Cartão de crédito"),L37,L37+30*(MAX(1,N(E37))-1)))</f>
        <v>46219.0</v>
      </c>
      <c r="N37" s="29">
        <f>IF(OR(L37="",K37=""),"",K37*MIN(MAX(1,N(E37)),MAX(0,INT((Config!$B$8-L37)/30)+1)))</f>
        <v>125.84</v>
      </c>
      <c r="O37" s="29">
        <f>IF(J37="","",J37-N(N37))</f>
        <v>0</v>
      </c>
      <c r="P37" s="27">
        <f>IF(A37="","",MONTH(A37))</f>
        <v>6</v>
      </c>
      <c r="Q37" s="27">
        <f>IF(A37="","",YEAR(A37))</f>
        <v>2026</v>
      </c>
      <c r="R37" s="27" t="str">
        <f>IF(L37="","",IF(L37&gt;Config!$B$8,"A cair",IF(N(G37)&gt;=MIN(MAX(1,N(E37)),MAX(0,INT((Config!$B$8-L37)/30)+1)),IF(N(G37)&gt;=MAX(1,N(E37)),"Conferido","Conferido até aqui"),"A conferir")))</f>
        <v>Conferido</v>
      </c>
      <c r="S37" s="51">
        <f>IF(R37="A conferir",(Config!$B$8-L37)*1000+N(F37)/1000+ROW()/100000,0)</f>
        <v>0</v>
      </c>
      <c r="T37" s="51">
        <f>IF(R37="A conferir",N(N37),0)</f>
        <v>0</v>
      </c>
      <c r="U37" s="51">
        <f>IF(L37="",0,L37)</f>
        <v>46219.0</v>
      </c>
      <c r="V37" s="51">
        <f>IF(L37="",0,MAX(1,N(E37)))</f>
        <v>1</v>
      </c>
      <c r="W37" s="51">
        <f>IF(K37="",0,K37)</f>
        <v>125.84</v>
      </c>
    </row>
    <row r="38">
      <c r="A38" s="49" t="n">
        <v>46189</v>
      </c>
      <c r="B38" s="41" t="inlineStr">
        <is>
          <t>Gabriel Reis</t>
        </is>
      </c>
      <c r="C38" s="41" t="inlineStr">
        <is>
          <t>Avaliação endócrina</t>
        </is>
      </c>
      <c r="D38" s="42" t="inlineStr">
        <is>
          <t>Pix</t>
        </is>
      </c>
      <c r="E38" s="42" t="n"/>
      <c r="F38" s="50" t="n">
        <v>400</v>
      </c>
      <c r="G38" s="42" t="n">
        <v>1</v>
      </c>
      <c r="H38" s="30">
        <f>IF(D38="","",IFERROR(INDEX(Config!$B$12:$B$15,MATCH(IF(AND(D38="Cartão de crédito",N(E38)&gt;1),"Cartão de crédito parcelado",D38),Config!$A$12:$A$15,0)),0)+IF(AND(Config!$B$17="Sim",LEFT(D38,17)="Cartão de crédito"),Config!$B$18*IFERROR(INDEX(Config!$C$12:$C$15,MATCH(IF(AND(D38="Cartão de crédito",N(E38)&gt;1),"Cartão de crédito parcelado",D38),Config!$A$12:$A$15,0)),0)/30*MAX(1,N(E38)),0))</f>
        <v>0</v>
      </c>
      <c r="I38" s="29">
        <f>IF(OR(D38="",F38=""),"",ROUND(F38*H38,2))</f>
        <v>0</v>
      </c>
      <c r="J38" s="29">
        <f>IF(I38="","",F38-I38)</f>
        <v>400</v>
      </c>
      <c r="K38" s="29">
        <f>IF(J38="","",J38/MAX(1,N(E38)))</f>
        <v>400</v>
      </c>
      <c r="L38" s="37">
        <f>IF(OR(D38="",A38=""),"",A38+IF(AND(Config!$B$17="Sim",LEFT(D38,17)="Cartão de crédito"),1,IFERROR(INDEX(Config!$C$12:$C$15,MATCH(IF(AND(D38="Cartão de crédito",N(E38)&gt;1),"Cartão de crédito parcelado",D38),Config!$A$12:$A$15,0)),0)))</f>
        <v>46189.0</v>
      </c>
      <c r="M38" s="37">
        <f>IF(L38="","",IF(AND(Config!$B$17="Sim",LEFT(D38,17)="Cartão de crédito"),L38,L38+30*(MAX(1,N(E38))-1)))</f>
        <v>46189.0</v>
      </c>
      <c r="N38" s="29">
        <f>IF(OR(L38="",K38=""),"",K38*MIN(MAX(1,N(E38)),MAX(0,INT((Config!$B$8-L38)/30)+1)))</f>
        <v>400</v>
      </c>
      <c r="O38" s="29">
        <f>IF(J38="","",J38-N(N38))</f>
        <v>0</v>
      </c>
      <c r="P38" s="27">
        <f>IF(A38="","",MONTH(A38))</f>
        <v>6</v>
      </c>
      <c r="Q38" s="27">
        <f>IF(A38="","",YEAR(A38))</f>
        <v>2026</v>
      </c>
      <c r="R38" s="27" t="str">
        <f>IF(L38="","",IF(L38&gt;Config!$B$8,"A cair",IF(N(G38)&gt;=MIN(MAX(1,N(E38)),MAX(0,INT((Config!$B$8-L38)/30)+1)),IF(N(G38)&gt;=MAX(1,N(E38)),"Conferido","Conferido até aqui"),"A conferir")))</f>
        <v>Conferido</v>
      </c>
      <c r="S38" s="51">
        <f>IF(R38="A conferir",(Config!$B$8-L38)*1000+N(F38)/1000+ROW()/100000,0)</f>
        <v>0</v>
      </c>
      <c r="T38" s="51">
        <f>IF(R38="A conferir",N(N38),0)</f>
        <v>0</v>
      </c>
      <c r="U38" s="51">
        <f>IF(L38="",0,L38)</f>
        <v>46189.0</v>
      </c>
      <c r="V38" s="51">
        <f>IF(L38="",0,MAX(1,N(E38)))</f>
        <v>1</v>
      </c>
      <c r="W38" s="51">
        <f>IF(K38="",0,K38)</f>
        <v>400</v>
      </c>
    </row>
    <row r="39">
      <c r="A39" s="49" t="n">
        <v>46189</v>
      </c>
      <c r="B39" s="41" t="inlineStr">
        <is>
          <t>Márcia Duarte</t>
        </is>
      </c>
      <c r="C39" s="41" t="inlineStr">
        <is>
          <t>Avaliação endócrina</t>
        </is>
      </c>
      <c r="D39" s="42" t="inlineStr">
        <is>
          <t>Pix</t>
        </is>
      </c>
      <c r="E39" s="42" t="n"/>
      <c r="F39" s="50" t="n">
        <v>400</v>
      </c>
      <c r="G39" s="42" t="n">
        <v>1</v>
      </c>
      <c r="H39" s="30">
        <f>IF(D39="","",IFERROR(INDEX(Config!$B$12:$B$15,MATCH(IF(AND(D39="Cartão de crédito",N(E39)&gt;1),"Cartão de crédito parcelado",D39),Config!$A$12:$A$15,0)),0)+IF(AND(Config!$B$17="Sim",LEFT(D39,17)="Cartão de crédito"),Config!$B$18*IFERROR(INDEX(Config!$C$12:$C$15,MATCH(IF(AND(D39="Cartão de crédito",N(E39)&gt;1),"Cartão de crédito parcelado",D39),Config!$A$12:$A$15,0)),0)/30*MAX(1,N(E39)),0))</f>
        <v>0</v>
      </c>
      <c r="I39" s="29">
        <f>IF(OR(D39="",F39=""),"",ROUND(F39*H39,2))</f>
        <v>0</v>
      </c>
      <c r="J39" s="29">
        <f>IF(I39="","",F39-I39)</f>
        <v>400</v>
      </c>
      <c r="K39" s="29">
        <f>IF(J39="","",J39/MAX(1,N(E39)))</f>
        <v>400</v>
      </c>
      <c r="L39" s="37">
        <f>IF(OR(D39="",A39=""),"",A39+IF(AND(Config!$B$17="Sim",LEFT(D39,17)="Cartão de crédito"),1,IFERROR(INDEX(Config!$C$12:$C$15,MATCH(IF(AND(D39="Cartão de crédito",N(E39)&gt;1),"Cartão de crédito parcelado",D39),Config!$A$12:$A$15,0)),0)))</f>
        <v>46189.0</v>
      </c>
      <c r="M39" s="37">
        <f>IF(L39="","",IF(AND(Config!$B$17="Sim",LEFT(D39,17)="Cartão de crédito"),L39,L39+30*(MAX(1,N(E39))-1)))</f>
        <v>46189.0</v>
      </c>
      <c r="N39" s="29">
        <f>IF(OR(L39="",K39=""),"",K39*MIN(MAX(1,N(E39)),MAX(0,INT((Config!$B$8-L39)/30)+1)))</f>
        <v>400</v>
      </c>
      <c r="O39" s="29">
        <f>IF(J39="","",J39-N(N39))</f>
        <v>0</v>
      </c>
      <c r="P39" s="27">
        <f>IF(A39="","",MONTH(A39))</f>
        <v>6</v>
      </c>
      <c r="Q39" s="27">
        <f>IF(A39="","",YEAR(A39))</f>
        <v>2026</v>
      </c>
      <c r="R39" s="27" t="str">
        <f>IF(L39="","",IF(L39&gt;Config!$B$8,"A cair",IF(N(G39)&gt;=MIN(MAX(1,N(E39)),MAX(0,INT((Config!$B$8-L39)/30)+1)),IF(N(G39)&gt;=MAX(1,N(E39)),"Conferido","Conferido até aqui"),"A conferir")))</f>
        <v>Conferido</v>
      </c>
      <c r="S39" s="51">
        <f>IF(R39="A conferir",(Config!$B$8-L39)*1000+N(F39)/1000+ROW()/100000,0)</f>
        <v>0</v>
      </c>
      <c r="T39" s="51">
        <f>IF(R39="A conferir",N(N39),0)</f>
        <v>0</v>
      </c>
      <c r="U39" s="51">
        <f>IF(L39="",0,L39)</f>
        <v>46189.0</v>
      </c>
      <c r="V39" s="51">
        <f>IF(L39="",0,MAX(1,N(E39)))</f>
        <v>1</v>
      </c>
      <c r="W39" s="51">
        <f>IF(K39="",0,K39)</f>
        <v>400</v>
      </c>
    </row>
    <row r="40">
      <c r="A40" s="49" t="n">
        <v>46190</v>
      </c>
      <c r="B40" s="41" t="inlineStr">
        <is>
          <t>Cláudia Santos</t>
        </is>
      </c>
      <c r="C40" s="41" t="inlineStr">
        <is>
          <t>Consulta</t>
        </is>
      </c>
      <c r="D40" s="42" t="inlineStr">
        <is>
          <t>Pix</t>
        </is>
      </c>
      <c r="E40" s="42" t="n"/>
      <c r="F40" s="50" t="n">
        <v>380</v>
      </c>
      <c r="G40" s="42" t="n">
        <v>1</v>
      </c>
      <c r="H40" s="30">
        <f>IF(D40="","",IFERROR(INDEX(Config!$B$12:$B$15,MATCH(IF(AND(D40="Cartão de crédito",N(E40)&gt;1),"Cartão de crédito parcelado",D40),Config!$A$12:$A$15,0)),0)+IF(AND(Config!$B$17="Sim",LEFT(D40,17)="Cartão de crédito"),Config!$B$18*IFERROR(INDEX(Config!$C$12:$C$15,MATCH(IF(AND(D40="Cartão de crédito",N(E40)&gt;1),"Cartão de crédito parcelado",D40),Config!$A$12:$A$15,0)),0)/30*MAX(1,N(E40)),0))</f>
        <v>0</v>
      </c>
      <c r="I40" s="29">
        <f>IF(OR(D40="",F40=""),"",ROUND(F40*H40,2))</f>
        <v>0</v>
      </c>
      <c r="J40" s="29">
        <f>IF(I40="","",F40-I40)</f>
        <v>380</v>
      </c>
      <c r="K40" s="29">
        <f>IF(J40="","",J40/MAX(1,N(E40)))</f>
        <v>380</v>
      </c>
      <c r="L40" s="37">
        <f>IF(OR(D40="",A40=""),"",A40+IF(AND(Config!$B$17="Sim",LEFT(D40,17)="Cartão de crédito"),1,IFERROR(INDEX(Config!$C$12:$C$15,MATCH(IF(AND(D40="Cartão de crédito",N(E40)&gt;1),"Cartão de crédito parcelado",D40),Config!$A$12:$A$15,0)),0)))</f>
        <v>46190.0</v>
      </c>
      <c r="M40" s="37">
        <f>IF(L40="","",IF(AND(Config!$B$17="Sim",LEFT(D40,17)="Cartão de crédito"),L40,L40+30*(MAX(1,N(E40))-1)))</f>
        <v>46190.0</v>
      </c>
      <c r="N40" s="29">
        <f>IF(OR(L40="",K40=""),"",K40*MIN(MAX(1,N(E40)),MAX(0,INT((Config!$B$8-L40)/30)+1)))</f>
        <v>380</v>
      </c>
      <c r="O40" s="29">
        <f>IF(J40="","",J40-N(N40))</f>
        <v>0</v>
      </c>
      <c r="P40" s="27">
        <f>IF(A40="","",MONTH(A40))</f>
        <v>6</v>
      </c>
      <c r="Q40" s="27">
        <f>IF(A40="","",YEAR(A40))</f>
        <v>2026</v>
      </c>
      <c r="R40" s="27" t="str">
        <f>IF(L40="","",IF(L40&gt;Config!$B$8,"A cair",IF(N(G40)&gt;=MIN(MAX(1,N(E40)),MAX(0,INT((Config!$B$8-L40)/30)+1)),IF(N(G40)&gt;=MAX(1,N(E40)),"Conferido","Conferido até aqui"),"A conferir")))</f>
        <v>Conferido</v>
      </c>
      <c r="S40" s="51">
        <f>IF(R40="A conferir",(Config!$B$8-L40)*1000+N(F40)/1000+ROW()/100000,0)</f>
        <v>0</v>
      </c>
      <c r="T40" s="51">
        <f>IF(R40="A conferir",N(N40),0)</f>
        <v>0</v>
      </c>
      <c r="U40" s="51">
        <f>IF(L40="",0,L40)</f>
        <v>46190.0</v>
      </c>
      <c r="V40" s="51">
        <f>IF(L40="",0,MAX(1,N(E40)))</f>
        <v>1</v>
      </c>
      <c r="W40" s="51">
        <f>IF(K40="",0,K40)</f>
        <v>380</v>
      </c>
    </row>
    <row r="41">
      <c r="A41" s="49" t="n">
        <v>46190</v>
      </c>
      <c r="B41" s="41" t="inlineStr">
        <is>
          <t>Helena Moreira</t>
        </is>
      </c>
      <c r="C41" s="41" t="inlineStr">
        <is>
          <t>Consulta</t>
        </is>
      </c>
      <c r="D41" s="42" t="inlineStr">
        <is>
          <t>Cartão de débito</t>
        </is>
      </c>
      <c r="E41" s="42" t="n"/>
      <c r="F41" s="50" t="n">
        <v>380</v>
      </c>
      <c r="G41" s="42" t="n">
        <v>1</v>
      </c>
      <c r="H41" s="30">
        <f>IF(D41="","",IFERROR(INDEX(Config!$B$12:$B$15,MATCH(IF(AND(D41="Cartão de crédito",N(E41)&gt;1),"Cartão de crédito parcelado",D41),Config!$A$12:$A$15,0)),0)+IF(AND(Config!$B$17="Sim",LEFT(D41,17)="Cartão de crédito"),Config!$B$18*IFERROR(INDEX(Config!$C$12:$C$15,MATCH(IF(AND(D41="Cartão de crédito",N(E41)&gt;1),"Cartão de crédito parcelado",D41),Config!$A$12:$A$15,0)),0)/30*MAX(1,N(E41)),0))</f>
        <v>0.015</v>
      </c>
      <c r="I41" s="29">
        <f>IF(OR(D41="",F41=""),"",ROUND(F41*H41,2))</f>
        <v>5.7</v>
      </c>
      <c r="J41" s="29">
        <f>IF(I41="","",F41-I41)</f>
        <v>374.3</v>
      </c>
      <c r="K41" s="29">
        <f>IF(J41="","",J41/MAX(1,N(E41)))</f>
        <v>374.3</v>
      </c>
      <c r="L41" s="37">
        <f>IF(OR(D41="",A41=""),"",A41+IF(AND(Config!$B$17="Sim",LEFT(D41,17)="Cartão de crédito"),1,IFERROR(INDEX(Config!$C$12:$C$15,MATCH(IF(AND(D41="Cartão de crédito",N(E41)&gt;1),"Cartão de crédito parcelado",D41),Config!$A$12:$A$15,0)),0)))</f>
        <v>46191.0</v>
      </c>
      <c r="M41" s="37">
        <f>IF(L41="","",IF(AND(Config!$B$17="Sim",LEFT(D41,17)="Cartão de crédito"),L41,L41+30*(MAX(1,N(E41))-1)))</f>
        <v>46191.0</v>
      </c>
      <c r="N41" s="29">
        <f>IF(OR(L41="",K41=""),"",K41*MIN(MAX(1,N(E41)),MAX(0,INT((Config!$B$8-L41)/30)+1)))</f>
        <v>374.3</v>
      </c>
      <c r="O41" s="29">
        <f>IF(J41="","",J41-N(N41))</f>
        <v>0</v>
      </c>
      <c r="P41" s="27">
        <f>IF(A41="","",MONTH(A41))</f>
        <v>6</v>
      </c>
      <c r="Q41" s="27">
        <f>IF(A41="","",YEAR(A41))</f>
        <v>2026</v>
      </c>
      <c r="R41" s="27" t="str">
        <f>IF(L41="","",IF(L41&gt;Config!$B$8,"A cair",IF(N(G41)&gt;=MIN(MAX(1,N(E41)),MAX(0,INT((Config!$B$8-L41)/30)+1)),IF(N(G41)&gt;=MAX(1,N(E41)),"Conferido","Conferido até aqui"),"A conferir")))</f>
        <v>Conferido</v>
      </c>
      <c r="S41" s="51">
        <f>IF(R41="A conferir",(Config!$B$8-L41)*1000+N(F41)/1000+ROW()/100000,0)</f>
        <v>0</v>
      </c>
      <c r="T41" s="51">
        <f>IF(R41="A conferir",N(N41),0)</f>
        <v>0</v>
      </c>
      <c r="U41" s="51">
        <f>IF(L41="",0,L41)</f>
        <v>46191.0</v>
      </c>
      <c r="V41" s="51">
        <f>IF(L41="",0,MAX(1,N(E41)))</f>
        <v>1</v>
      </c>
      <c r="W41" s="51">
        <f>IF(K41="",0,K41)</f>
        <v>374.3</v>
      </c>
    </row>
    <row r="42">
      <c r="A42" s="49" t="n">
        <v>46190</v>
      </c>
      <c r="B42" s="41" t="inlineStr">
        <is>
          <t>Regina Macedo</t>
        </is>
      </c>
      <c r="C42" s="41" t="inlineStr">
        <is>
          <t>Consulta</t>
        </is>
      </c>
      <c r="D42" s="42" t="inlineStr">
        <is>
          <t>Pix</t>
        </is>
      </c>
      <c r="E42" s="42" t="n"/>
      <c r="F42" s="50" t="n">
        <v>380</v>
      </c>
      <c r="G42" s="42" t="n">
        <v>1</v>
      </c>
      <c r="H42" s="30">
        <f>IF(D42="","",IFERROR(INDEX(Config!$B$12:$B$15,MATCH(IF(AND(D42="Cartão de crédito",N(E42)&gt;1),"Cartão de crédito parcelado",D42),Config!$A$12:$A$15,0)),0)+IF(AND(Config!$B$17="Sim",LEFT(D42,17)="Cartão de crédito"),Config!$B$18*IFERROR(INDEX(Config!$C$12:$C$15,MATCH(IF(AND(D42="Cartão de crédito",N(E42)&gt;1),"Cartão de crédito parcelado",D42),Config!$A$12:$A$15,0)),0)/30*MAX(1,N(E42)),0))</f>
        <v>0</v>
      </c>
      <c r="I42" s="29">
        <f>IF(OR(D42="",F42=""),"",ROUND(F42*H42,2))</f>
        <v>0</v>
      </c>
      <c r="J42" s="29">
        <f>IF(I42="","",F42-I42)</f>
        <v>380</v>
      </c>
      <c r="K42" s="29">
        <f>IF(J42="","",J42/MAX(1,N(E42)))</f>
        <v>380</v>
      </c>
      <c r="L42" s="37">
        <f>IF(OR(D42="",A42=""),"",A42+IF(AND(Config!$B$17="Sim",LEFT(D42,17)="Cartão de crédito"),1,IFERROR(INDEX(Config!$C$12:$C$15,MATCH(IF(AND(D42="Cartão de crédito",N(E42)&gt;1),"Cartão de crédito parcelado",D42),Config!$A$12:$A$15,0)),0)))</f>
        <v>46190.0</v>
      </c>
      <c r="M42" s="37">
        <f>IF(L42="","",IF(AND(Config!$B$17="Sim",LEFT(D42,17)="Cartão de crédito"),L42,L42+30*(MAX(1,N(E42))-1)))</f>
        <v>46190.0</v>
      </c>
      <c r="N42" s="29">
        <f>IF(OR(L42="",K42=""),"",K42*MIN(MAX(1,N(E42)),MAX(0,INT((Config!$B$8-L42)/30)+1)))</f>
        <v>380</v>
      </c>
      <c r="O42" s="29">
        <f>IF(J42="","",J42-N(N42))</f>
        <v>0</v>
      </c>
      <c r="P42" s="27">
        <f>IF(A42="","",MONTH(A42))</f>
        <v>6</v>
      </c>
      <c r="Q42" s="27">
        <f>IF(A42="","",YEAR(A42))</f>
        <v>2026</v>
      </c>
      <c r="R42" s="27" t="str">
        <f>IF(L42="","",IF(L42&gt;Config!$B$8,"A cair",IF(N(G42)&gt;=MIN(MAX(1,N(E42)),MAX(0,INT((Config!$B$8-L42)/30)+1)),IF(N(G42)&gt;=MAX(1,N(E42)),"Conferido","Conferido até aqui"),"A conferir")))</f>
        <v>Conferido</v>
      </c>
      <c r="S42" s="51">
        <f>IF(R42="A conferir",(Config!$B$8-L42)*1000+N(F42)/1000+ROW()/100000,0)</f>
        <v>0</v>
      </c>
      <c r="T42" s="51">
        <f>IF(R42="A conferir",N(N42),0)</f>
        <v>0</v>
      </c>
      <c r="U42" s="51">
        <f>IF(L42="",0,L42)</f>
        <v>46190.0</v>
      </c>
      <c r="V42" s="51">
        <f>IF(L42="",0,MAX(1,N(E42)))</f>
        <v>1</v>
      </c>
      <c r="W42" s="51">
        <f>IF(K42="",0,K42)</f>
        <v>380</v>
      </c>
    </row>
    <row r="43">
      <c r="A43" s="49" t="n">
        <v>46191</v>
      </c>
      <c r="B43" s="41" t="inlineStr">
        <is>
          <t>Roberta Lima</t>
        </is>
      </c>
      <c r="C43" s="41" t="inlineStr">
        <is>
          <t>Avaliação endócrina</t>
        </is>
      </c>
      <c r="D43" s="42" t="inlineStr">
        <is>
          <t>Pix</t>
        </is>
      </c>
      <c r="E43" s="42" t="n"/>
      <c r="F43" s="50" t="n">
        <v>400</v>
      </c>
      <c r="G43" s="42" t="n">
        <v>1</v>
      </c>
      <c r="H43" s="30">
        <f>IF(D43="","",IFERROR(INDEX(Config!$B$12:$B$15,MATCH(IF(AND(D43="Cartão de crédito",N(E43)&gt;1),"Cartão de crédito parcelado",D43),Config!$A$12:$A$15,0)),0)+IF(AND(Config!$B$17="Sim",LEFT(D43,17)="Cartão de crédito"),Config!$B$18*IFERROR(INDEX(Config!$C$12:$C$15,MATCH(IF(AND(D43="Cartão de crédito",N(E43)&gt;1),"Cartão de crédito parcelado",D43),Config!$A$12:$A$15,0)),0)/30*MAX(1,N(E43)),0))</f>
        <v>0</v>
      </c>
      <c r="I43" s="29">
        <f>IF(OR(D43="",F43=""),"",ROUND(F43*H43,2))</f>
        <v>0</v>
      </c>
      <c r="J43" s="29">
        <f>IF(I43="","",F43-I43)</f>
        <v>400</v>
      </c>
      <c r="K43" s="29">
        <f>IF(J43="","",J43/MAX(1,N(E43)))</f>
        <v>400</v>
      </c>
      <c r="L43" s="37">
        <f>IF(OR(D43="",A43=""),"",A43+IF(AND(Config!$B$17="Sim",LEFT(D43,17)="Cartão de crédito"),1,IFERROR(INDEX(Config!$C$12:$C$15,MATCH(IF(AND(D43="Cartão de crédito",N(E43)&gt;1),"Cartão de crédito parcelado",D43),Config!$A$12:$A$15,0)),0)))</f>
        <v>46191.0</v>
      </c>
      <c r="M43" s="37">
        <f>IF(L43="","",IF(AND(Config!$B$17="Sim",LEFT(D43,17)="Cartão de crédito"),L43,L43+30*(MAX(1,N(E43))-1)))</f>
        <v>46191.0</v>
      </c>
      <c r="N43" s="29">
        <f>IF(OR(L43="",K43=""),"",K43*MIN(MAX(1,N(E43)),MAX(0,INT((Config!$B$8-L43)/30)+1)))</f>
        <v>400</v>
      </c>
      <c r="O43" s="29">
        <f>IF(J43="","",J43-N(N43))</f>
        <v>0</v>
      </c>
      <c r="P43" s="27">
        <f>IF(A43="","",MONTH(A43))</f>
        <v>6</v>
      </c>
      <c r="Q43" s="27">
        <f>IF(A43="","",YEAR(A43))</f>
        <v>2026</v>
      </c>
      <c r="R43" s="27" t="str">
        <f>IF(L43="","",IF(L43&gt;Config!$B$8,"A cair",IF(N(G43)&gt;=MIN(MAX(1,N(E43)),MAX(0,INT((Config!$B$8-L43)/30)+1)),IF(N(G43)&gt;=MAX(1,N(E43)),"Conferido","Conferido até aqui"),"A conferir")))</f>
        <v>Conferido</v>
      </c>
      <c r="S43" s="51">
        <f>IF(R43="A conferir",(Config!$B$8-L43)*1000+N(F43)/1000+ROW()/100000,0)</f>
        <v>0</v>
      </c>
      <c r="T43" s="51">
        <f>IF(R43="A conferir",N(N43),0)</f>
        <v>0</v>
      </c>
      <c r="U43" s="51">
        <f>IF(L43="",0,L43)</f>
        <v>46191.0</v>
      </c>
      <c r="V43" s="51">
        <f>IF(L43="",0,MAX(1,N(E43)))</f>
        <v>1</v>
      </c>
      <c r="W43" s="51">
        <f>IF(K43="",0,K43)</f>
        <v>400</v>
      </c>
    </row>
    <row r="44">
      <c r="A44" s="49" t="n">
        <v>46191</v>
      </c>
      <c r="B44" s="41" t="inlineStr">
        <is>
          <t>Cláudia Melo</t>
        </is>
      </c>
      <c r="C44" s="41" t="inlineStr">
        <is>
          <t>Avaliação endócrina</t>
        </is>
      </c>
      <c r="D44" s="42" t="inlineStr">
        <is>
          <t>Pix</t>
        </is>
      </c>
      <c r="E44" s="42" t="n"/>
      <c r="F44" s="50" t="n">
        <v>400</v>
      </c>
      <c r="G44" s="42" t="n">
        <v>1</v>
      </c>
      <c r="H44" s="30">
        <f>IF(D44="","",IFERROR(INDEX(Config!$B$12:$B$15,MATCH(IF(AND(D44="Cartão de crédito",N(E44)&gt;1),"Cartão de crédito parcelado",D44),Config!$A$12:$A$15,0)),0)+IF(AND(Config!$B$17="Sim",LEFT(D44,17)="Cartão de crédito"),Config!$B$18*IFERROR(INDEX(Config!$C$12:$C$15,MATCH(IF(AND(D44="Cartão de crédito",N(E44)&gt;1),"Cartão de crédito parcelado",D44),Config!$A$12:$A$15,0)),0)/30*MAX(1,N(E44)),0))</f>
        <v>0</v>
      </c>
      <c r="I44" s="29">
        <f>IF(OR(D44="",F44=""),"",ROUND(F44*H44,2))</f>
        <v>0</v>
      </c>
      <c r="J44" s="29">
        <f>IF(I44="","",F44-I44)</f>
        <v>400</v>
      </c>
      <c r="K44" s="29">
        <f>IF(J44="","",J44/MAX(1,N(E44)))</f>
        <v>400</v>
      </c>
      <c r="L44" s="37">
        <f>IF(OR(D44="",A44=""),"",A44+IF(AND(Config!$B$17="Sim",LEFT(D44,17)="Cartão de crédito"),1,IFERROR(INDEX(Config!$C$12:$C$15,MATCH(IF(AND(D44="Cartão de crédito",N(E44)&gt;1),"Cartão de crédito parcelado",D44),Config!$A$12:$A$15,0)),0)))</f>
        <v>46191.0</v>
      </c>
      <c r="M44" s="37">
        <f>IF(L44="","",IF(AND(Config!$B$17="Sim",LEFT(D44,17)="Cartão de crédito"),L44,L44+30*(MAX(1,N(E44))-1)))</f>
        <v>46191.0</v>
      </c>
      <c r="N44" s="29">
        <f>IF(OR(L44="",K44=""),"",K44*MIN(MAX(1,N(E44)),MAX(0,INT((Config!$B$8-L44)/30)+1)))</f>
        <v>400</v>
      </c>
      <c r="O44" s="29">
        <f>IF(J44="","",J44-N(N44))</f>
        <v>0</v>
      </c>
      <c r="P44" s="27">
        <f>IF(A44="","",MONTH(A44))</f>
        <v>6</v>
      </c>
      <c r="Q44" s="27">
        <f>IF(A44="","",YEAR(A44))</f>
        <v>2026</v>
      </c>
      <c r="R44" s="27" t="str">
        <f>IF(L44="","",IF(L44&gt;Config!$B$8,"A cair",IF(N(G44)&gt;=MIN(MAX(1,N(E44)),MAX(0,INT((Config!$B$8-L44)/30)+1)),IF(N(G44)&gt;=MAX(1,N(E44)),"Conferido","Conferido até aqui"),"A conferir")))</f>
        <v>Conferido</v>
      </c>
      <c r="S44" s="51">
        <f>IF(R44="A conferir",(Config!$B$8-L44)*1000+N(F44)/1000+ROW()/100000,0)</f>
        <v>0</v>
      </c>
      <c r="T44" s="51">
        <f>IF(R44="A conferir",N(N44),0)</f>
        <v>0</v>
      </c>
      <c r="U44" s="51">
        <f>IF(L44="",0,L44)</f>
        <v>46191.0</v>
      </c>
      <c r="V44" s="51">
        <f>IF(L44="",0,MAX(1,N(E44)))</f>
        <v>1</v>
      </c>
      <c r="W44" s="51">
        <f>IF(K44="",0,K44)</f>
        <v>400</v>
      </c>
    </row>
    <row r="45">
      <c r="A45" s="49" t="n">
        <v>46191</v>
      </c>
      <c r="B45" s="41" t="inlineStr">
        <is>
          <t>Camila Dias</t>
        </is>
      </c>
      <c r="C45" s="41" t="inlineStr">
        <is>
          <t>Avaliação endócrina</t>
        </is>
      </c>
      <c r="D45" s="42" t="inlineStr">
        <is>
          <t>Cartão de débito</t>
        </is>
      </c>
      <c r="E45" s="42" t="n"/>
      <c r="F45" s="50" t="n">
        <v>400</v>
      </c>
      <c r="G45" s="42" t="n">
        <v>1</v>
      </c>
      <c r="H45" s="30">
        <f>IF(D45="","",IFERROR(INDEX(Config!$B$12:$B$15,MATCH(IF(AND(D45="Cartão de crédito",N(E45)&gt;1),"Cartão de crédito parcelado",D45),Config!$A$12:$A$15,0)),0)+IF(AND(Config!$B$17="Sim",LEFT(D45,17)="Cartão de crédito"),Config!$B$18*IFERROR(INDEX(Config!$C$12:$C$15,MATCH(IF(AND(D45="Cartão de crédito",N(E45)&gt;1),"Cartão de crédito parcelado",D45),Config!$A$12:$A$15,0)),0)/30*MAX(1,N(E45)),0))</f>
        <v>0.015</v>
      </c>
      <c r="I45" s="29">
        <f>IF(OR(D45="",F45=""),"",ROUND(F45*H45,2))</f>
        <v>6</v>
      </c>
      <c r="J45" s="29">
        <f>IF(I45="","",F45-I45)</f>
        <v>394</v>
      </c>
      <c r="K45" s="29">
        <f>IF(J45="","",J45/MAX(1,N(E45)))</f>
        <v>394</v>
      </c>
      <c r="L45" s="37">
        <f>IF(OR(D45="",A45=""),"",A45+IF(AND(Config!$B$17="Sim",LEFT(D45,17)="Cartão de crédito"),1,IFERROR(INDEX(Config!$C$12:$C$15,MATCH(IF(AND(D45="Cartão de crédito",N(E45)&gt;1),"Cartão de crédito parcelado",D45),Config!$A$12:$A$15,0)),0)))</f>
        <v>46192.0</v>
      </c>
      <c r="M45" s="37">
        <f>IF(L45="","",IF(AND(Config!$B$17="Sim",LEFT(D45,17)="Cartão de crédito"),L45,L45+30*(MAX(1,N(E45))-1)))</f>
        <v>46192.0</v>
      </c>
      <c r="N45" s="29">
        <f>IF(OR(L45="",K45=""),"",K45*MIN(MAX(1,N(E45)),MAX(0,INT((Config!$B$8-L45)/30)+1)))</f>
        <v>394</v>
      </c>
      <c r="O45" s="29">
        <f>IF(J45="","",J45-N(N45))</f>
        <v>0</v>
      </c>
      <c r="P45" s="27">
        <f>IF(A45="","",MONTH(A45))</f>
        <v>6</v>
      </c>
      <c r="Q45" s="27">
        <f>IF(A45="","",YEAR(A45))</f>
        <v>2026</v>
      </c>
      <c r="R45" s="27" t="str">
        <f>IF(L45="","",IF(L45&gt;Config!$B$8,"A cair",IF(N(G45)&gt;=MIN(MAX(1,N(E45)),MAX(0,INT((Config!$B$8-L45)/30)+1)),IF(N(G45)&gt;=MAX(1,N(E45)),"Conferido","Conferido até aqui"),"A conferir")))</f>
        <v>Conferido</v>
      </c>
      <c r="S45" s="51">
        <f>IF(R45="A conferir",(Config!$B$8-L45)*1000+N(F45)/1000+ROW()/100000,0)</f>
        <v>0</v>
      </c>
      <c r="T45" s="51">
        <f>IF(R45="A conferir",N(N45),0)</f>
        <v>0</v>
      </c>
      <c r="U45" s="51">
        <f>IF(L45="",0,L45)</f>
        <v>46192.0</v>
      </c>
      <c r="V45" s="51">
        <f>IF(L45="",0,MAX(1,N(E45)))</f>
        <v>1</v>
      </c>
      <c r="W45" s="51">
        <f>IF(K45="",0,K45)</f>
        <v>394</v>
      </c>
    </row>
    <row r="46">
      <c r="A46" s="49" t="n">
        <v>46191</v>
      </c>
      <c r="B46" s="41" t="inlineStr">
        <is>
          <t>Thiago Melo</t>
        </is>
      </c>
      <c r="C46" s="41" t="inlineStr">
        <is>
          <t>Avaliação endócrina</t>
        </is>
      </c>
      <c r="D46" s="42" t="inlineStr">
        <is>
          <t>Cartão de débito</t>
        </is>
      </c>
      <c r="E46" s="42" t="n"/>
      <c r="F46" s="50" t="n">
        <v>400</v>
      </c>
      <c r="G46" s="42" t="n">
        <v>1</v>
      </c>
      <c r="H46" s="30">
        <f>IF(D46="","",IFERROR(INDEX(Config!$B$12:$B$15,MATCH(IF(AND(D46="Cartão de crédito",N(E46)&gt;1),"Cartão de crédito parcelado",D46),Config!$A$12:$A$15,0)),0)+IF(AND(Config!$B$17="Sim",LEFT(D46,17)="Cartão de crédito"),Config!$B$18*IFERROR(INDEX(Config!$C$12:$C$15,MATCH(IF(AND(D46="Cartão de crédito",N(E46)&gt;1),"Cartão de crédito parcelado",D46),Config!$A$12:$A$15,0)),0)/30*MAX(1,N(E46)),0))</f>
        <v>0.015</v>
      </c>
      <c r="I46" s="29">
        <f>IF(OR(D46="",F46=""),"",ROUND(F46*H46,2))</f>
        <v>6</v>
      </c>
      <c r="J46" s="29">
        <f>IF(I46="","",F46-I46)</f>
        <v>394</v>
      </c>
      <c r="K46" s="29">
        <f>IF(J46="","",J46/MAX(1,N(E46)))</f>
        <v>394</v>
      </c>
      <c r="L46" s="37">
        <f>IF(OR(D46="",A46=""),"",A46+IF(AND(Config!$B$17="Sim",LEFT(D46,17)="Cartão de crédito"),1,IFERROR(INDEX(Config!$C$12:$C$15,MATCH(IF(AND(D46="Cartão de crédito",N(E46)&gt;1),"Cartão de crédito parcelado",D46),Config!$A$12:$A$15,0)),0)))</f>
        <v>46192.0</v>
      </c>
      <c r="M46" s="37">
        <f>IF(L46="","",IF(AND(Config!$B$17="Sim",LEFT(D46,17)="Cartão de crédito"),L46,L46+30*(MAX(1,N(E46))-1)))</f>
        <v>46192.0</v>
      </c>
      <c r="N46" s="29">
        <f>IF(OR(L46="",K46=""),"",K46*MIN(MAX(1,N(E46)),MAX(0,INT((Config!$B$8-L46)/30)+1)))</f>
        <v>394</v>
      </c>
      <c r="O46" s="29">
        <f>IF(J46="","",J46-N(N46))</f>
        <v>0</v>
      </c>
      <c r="P46" s="27">
        <f>IF(A46="","",MONTH(A46))</f>
        <v>6</v>
      </c>
      <c r="Q46" s="27">
        <f>IF(A46="","",YEAR(A46))</f>
        <v>2026</v>
      </c>
      <c r="R46" s="27" t="str">
        <f>IF(L46="","",IF(L46&gt;Config!$B$8,"A cair",IF(N(G46)&gt;=MIN(MAX(1,N(E46)),MAX(0,INT((Config!$B$8-L46)/30)+1)),IF(N(G46)&gt;=MAX(1,N(E46)),"Conferido","Conferido até aqui"),"A conferir")))</f>
        <v>Conferido</v>
      </c>
      <c r="S46" s="51">
        <f>IF(R46="A conferir",(Config!$B$8-L46)*1000+N(F46)/1000+ROW()/100000,0)</f>
        <v>0</v>
      </c>
      <c r="T46" s="51">
        <f>IF(R46="A conferir",N(N46),0)</f>
        <v>0</v>
      </c>
      <c r="U46" s="51">
        <f>IF(L46="",0,L46)</f>
        <v>46192.0</v>
      </c>
      <c r="V46" s="51">
        <f>IF(L46="",0,MAX(1,N(E46)))</f>
        <v>1</v>
      </c>
      <c r="W46" s="51">
        <f>IF(K46="",0,K46)</f>
        <v>394</v>
      </c>
    </row>
    <row r="47">
      <c r="A47" s="49" t="n">
        <v>46192</v>
      </c>
      <c r="B47" s="41" t="inlineStr">
        <is>
          <t>Marcelo Ferreira</t>
        </is>
      </c>
      <c r="C47" s="41" t="inlineStr">
        <is>
          <t>Teste ergométrico</t>
        </is>
      </c>
      <c r="D47" s="42" t="inlineStr">
        <is>
          <t>Pix</t>
        </is>
      </c>
      <c r="E47" s="42" t="n"/>
      <c r="F47" s="50" t="n">
        <v>450</v>
      </c>
      <c r="G47" s="42" t="n">
        <v>1</v>
      </c>
      <c r="H47" s="30">
        <f>IF(D47="","",IFERROR(INDEX(Config!$B$12:$B$15,MATCH(IF(AND(D47="Cartão de crédito",N(E47)&gt;1),"Cartão de crédito parcelado",D47),Config!$A$12:$A$15,0)),0)+IF(AND(Config!$B$17="Sim",LEFT(D47,17)="Cartão de crédito"),Config!$B$18*IFERROR(INDEX(Config!$C$12:$C$15,MATCH(IF(AND(D47="Cartão de crédito",N(E47)&gt;1),"Cartão de crédito parcelado",D47),Config!$A$12:$A$15,0)),0)/30*MAX(1,N(E47)),0))</f>
        <v>0</v>
      </c>
      <c r="I47" s="29">
        <f>IF(OR(D47="",F47=""),"",ROUND(F47*H47,2))</f>
        <v>0</v>
      </c>
      <c r="J47" s="29">
        <f>IF(I47="","",F47-I47)</f>
        <v>450</v>
      </c>
      <c r="K47" s="29">
        <f>IF(J47="","",J47/MAX(1,N(E47)))</f>
        <v>450</v>
      </c>
      <c r="L47" s="37">
        <f>IF(OR(D47="",A47=""),"",A47+IF(AND(Config!$B$17="Sim",LEFT(D47,17)="Cartão de crédito"),1,IFERROR(INDEX(Config!$C$12:$C$15,MATCH(IF(AND(D47="Cartão de crédito",N(E47)&gt;1),"Cartão de crédito parcelado",D47),Config!$A$12:$A$15,0)),0)))</f>
        <v>46192.0</v>
      </c>
      <c r="M47" s="37">
        <f>IF(L47="","",IF(AND(Config!$B$17="Sim",LEFT(D47,17)="Cartão de crédito"),L47,L47+30*(MAX(1,N(E47))-1)))</f>
        <v>46192.0</v>
      </c>
      <c r="N47" s="29">
        <f>IF(OR(L47="",K47=""),"",K47*MIN(MAX(1,N(E47)),MAX(0,INT((Config!$B$8-L47)/30)+1)))</f>
        <v>450</v>
      </c>
      <c r="O47" s="29">
        <f>IF(J47="","",J47-N(N47))</f>
        <v>0</v>
      </c>
      <c r="P47" s="27">
        <f>IF(A47="","",MONTH(A47))</f>
        <v>6</v>
      </c>
      <c r="Q47" s="27">
        <f>IF(A47="","",YEAR(A47))</f>
        <v>2026</v>
      </c>
      <c r="R47" s="27" t="str">
        <f>IF(L47="","",IF(L47&gt;Config!$B$8,"A cair",IF(N(G47)&gt;=MIN(MAX(1,N(E47)),MAX(0,INT((Config!$B$8-L47)/30)+1)),IF(N(G47)&gt;=MAX(1,N(E47)),"Conferido","Conferido até aqui"),"A conferir")))</f>
        <v>Conferido</v>
      </c>
      <c r="S47" s="51">
        <f>IF(R47="A conferir",(Config!$B$8-L47)*1000+N(F47)/1000+ROW()/100000,0)</f>
        <v>0</v>
      </c>
      <c r="T47" s="51">
        <f>IF(R47="A conferir",N(N47),0)</f>
        <v>0</v>
      </c>
      <c r="U47" s="51">
        <f>IF(L47="",0,L47)</f>
        <v>46192.0</v>
      </c>
      <c r="V47" s="51">
        <f>IF(L47="",0,MAX(1,N(E47)))</f>
        <v>1</v>
      </c>
      <c r="W47" s="51">
        <f>IF(K47="",0,K47)</f>
        <v>450</v>
      </c>
    </row>
    <row r="48">
      <c r="A48" s="49" t="n">
        <v>46192</v>
      </c>
      <c r="B48" s="41" t="inlineStr">
        <is>
          <t>Regina Macedo</t>
        </is>
      </c>
      <c r="C48" s="41" t="inlineStr">
        <is>
          <t>MAPA</t>
        </is>
      </c>
      <c r="D48" s="42" t="inlineStr">
        <is>
          <t>Cartão de crédito</t>
        </is>
      </c>
      <c r="E48" s="42" t="n"/>
      <c r="F48" s="50" t="n">
        <v>300</v>
      </c>
      <c r="G48" s="42" t="n">
        <v>1</v>
      </c>
      <c r="H48" s="30">
        <f>IF(D48="","",IFERROR(INDEX(Config!$B$12:$B$15,MATCH(IF(AND(D48="Cartão de crédito",N(E48)&gt;1),"Cartão de crédito parcelado",D48),Config!$A$12:$A$15,0)),0)+IF(AND(Config!$B$17="Sim",LEFT(D48,17)="Cartão de crédito"),Config!$B$18*IFERROR(INDEX(Config!$C$12:$C$15,MATCH(IF(AND(D48="Cartão de crédito",N(E48)&gt;1),"Cartão de crédito parcelado",D48),Config!$A$12:$A$15,0)),0)/30*MAX(1,N(E48)),0))</f>
        <v>0.032</v>
      </c>
      <c r="I48" s="29">
        <f>IF(OR(D48="",F48=""),"",ROUND(F48*H48,2))</f>
        <v>9.6</v>
      </c>
      <c r="J48" s="29">
        <f>IF(I48="","",F48-I48)</f>
        <v>290.4</v>
      </c>
      <c r="K48" s="29">
        <f>IF(J48="","",J48/MAX(1,N(E48)))</f>
        <v>290.4</v>
      </c>
      <c r="L48" s="37">
        <f>IF(OR(D48="",A48=""),"",A48+IF(AND(Config!$B$17="Sim",LEFT(D48,17)="Cartão de crédito"),1,IFERROR(INDEX(Config!$C$12:$C$15,MATCH(IF(AND(D48="Cartão de crédito",N(E48)&gt;1),"Cartão de crédito parcelado",D48),Config!$A$12:$A$15,0)),0)))</f>
        <v>46222.0</v>
      </c>
      <c r="M48" s="37">
        <f>IF(L48="","",IF(AND(Config!$B$17="Sim",LEFT(D48,17)="Cartão de crédito"),L48,L48+30*(MAX(1,N(E48))-1)))</f>
        <v>46222.0</v>
      </c>
      <c r="N48" s="29">
        <f>IF(OR(L48="",K48=""),"",K48*MIN(MAX(1,N(E48)),MAX(0,INT((Config!$B$8-L48)/30)+1)))</f>
        <v>290.4</v>
      </c>
      <c r="O48" s="29">
        <f>IF(J48="","",J48-N(N48))</f>
        <v>0</v>
      </c>
      <c r="P48" s="27">
        <f>IF(A48="","",MONTH(A48))</f>
        <v>6</v>
      </c>
      <c r="Q48" s="27">
        <f>IF(A48="","",YEAR(A48))</f>
        <v>2026</v>
      </c>
      <c r="R48" s="27" t="str">
        <f>IF(L48="","",IF(L48&gt;Config!$B$8,"A cair",IF(N(G48)&gt;=MIN(MAX(1,N(E48)),MAX(0,INT((Config!$B$8-L48)/30)+1)),IF(N(G48)&gt;=MAX(1,N(E48)),"Conferido","Conferido até aqui"),"A conferir")))</f>
        <v>Conferido</v>
      </c>
      <c r="S48" s="51">
        <f>IF(R48="A conferir",(Config!$B$8-L48)*1000+N(F48)/1000+ROW()/100000,0)</f>
        <v>0</v>
      </c>
      <c r="T48" s="51">
        <f>IF(R48="A conferir",N(N48),0)</f>
        <v>0</v>
      </c>
      <c r="U48" s="51">
        <f>IF(L48="",0,L48)</f>
        <v>46222.0</v>
      </c>
      <c r="V48" s="51">
        <f>IF(L48="",0,MAX(1,N(E48)))</f>
        <v>1</v>
      </c>
      <c r="W48" s="51">
        <f>IF(K48="",0,K48)</f>
        <v>290.4</v>
      </c>
    </row>
    <row r="49">
      <c r="A49" s="49" t="n">
        <v>46192</v>
      </c>
      <c r="B49" s="41" t="inlineStr">
        <is>
          <t>Wagner Costa</t>
        </is>
      </c>
      <c r="C49" s="41" t="inlineStr">
        <is>
          <t>Consulta</t>
        </is>
      </c>
      <c r="D49" s="42" t="inlineStr">
        <is>
          <t>Cartão de débito</t>
        </is>
      </c>
      <c r="E49" s="42" t="n"/>
      <c r="F49" s="50" t="n">
        <v>380</v>
      </c>
      <c r="G49" s="42" t="n">
        <v>1</v>
      </c>
      <c r="H49" s="30">
        <f>IF(D49="","",IFERROR(INDEX(Config!$B$12:$B$15,MATCH(IF(AND(D49="Cartão de crédito",N(E49)&gt;1),"Cartão de crédito parcelado",D49),Config!$A$12:$A$15,0)),0)+IF(AND(Config!$B$17="Sim",LEFT(D49,17)="Cartão de crédito"),Config!$B$18*IFERROR(INDEX(Config!$C$12:$C$15,MATCH(IF(AND(D49="Cartão de crédito",N(E49)&gt;1),"Cartão de crédito parcelado",D49),Config!$A$12:$A$15,0)),0)/30*MAX(1,N(E49)),0))</f>
        <v>0.015</v>
      </c>
      <c r="I49" s="29">
        <f>IF(OR(D49="",F49=""),"",ROUND(F49*H49,2))</f>
        <v>5.7</v>
      </c>
      <c r="J49" s="29">
        <f>IF(I49="","",F49-I49)</f>
        <v>374.3</v>
      </c>
      <c r="K49" s="29">
        <f>IF(J49="","",J49/MAX(1,N(E49)))</f>
        <v>374.3</v>
      </c>
      <c r="L49" s="37">
        <f>IF(OR(D49="",A49=""),"",A49+IF(AND(Config!$B$17="Sim",LEFT(D49,17)="Cartão de crédito"),1,IFERROR(INDEX(Config!$C$12:$C$15,MATCH(IF(AND(D49="Cartão de crédito",N(E49)&gt;1),"Cartão de crédito parcelado",D49),Config!$A$12:$A$15,0)),0)))</f>
        <v>46193.0</v>
      </c>
      <c r="M49" s="37">
        <f>IF(L49="","",IF(AND(Config!$B$17="Sim",LEFT(D49,17)="Cartão de crédito"),L49,L49+30*(MAX(1,N(E49))-1)))</f>
        <v>46193.0</v>
      </c>
      <c r="N49" s="29">
        <f>IF(OR(L49="",K49=""),"",K49*MIN(MAX(1,N(E49)),MAX(0,INT((Config!$B$8-L49)/30)+1)))</f>
        <v>374.3</v>
      </c>
      <c r="O49" s="29">
        <f>IF(J49="","",J49-N(N49))</f>
        <v>0</v>
      </c>
      <c r="P49" s="27">
        <f>IF(A49="","",MONTH(A49))</f>
        <v>6</v>
      </c>
      <c r="Q49" s="27">
        <f>IF(A49="","",YEAR(A49))</f>
        <v>2026</v>
      </c>
      <c r="R49" s="27" t="str">
        <f>IF(L49="","",IF(L49&gt;Config!$B$8,"A cair",IF(N(G49)&gt;=MIN(MAX(1,N(E49)),MAX(0,INT((Config!$B$8-L49)/30)+1)),IF(N(G49)&gt;=MAX(1,N(E49)),"Conferido","Conferido até aqui"),"A conferir")))</f>
        <v>Conferido</v>
      </c>
      <c r="S49" s="51">
        <f>IF(R49="A conferir",(Config!$B$8-L49)*1000+N(F49)/1000+ROW()/100000,0)</f>
        <v>0</v>
      </c>
      <c r="T49" s="51">
        <f>IF(R49="A conferir",N(N49),0)</f>
        <v>0</v>
      </c>
      <c r="U49" s="51">
        <f>IF(L49="",0,L49)</f>
        <v>46193.0</v>
      </c>
      <c r="V49" s="51">
        <f>IF(L49="",0,MAX(1,N(E49)))</f>
        <v>1</v>
      </c>
      <c r="W49" s="51">
        <f>IF(K49="",0,K49)</f>
        <v>374.3</v>
      </c>
    </row>
    <row r="50">
      <c r="A50" s="49" t="n">
        <v>46195</v>
      </c>
      <c r="B50" s="41" t="inlineStr">
        <is>
          <t>Regina Teixeira</t>
        </is>
      </c>
      <c r="C50" s="41" t="inlineStr">
        <is>
          <t>Consulta</t>
        </is>
      </c>
      <c r="D50" s="42" t="inlineStr">
        <is>
          <t>Cartão de débito</t>
        </is>
      </c>
      <c r="E50" s="42" t="n"/>
      <c r="F50" s="50" t="n">
        <v>380</v>
      </c>
      <c r="G50" s="42" t="n">
        <v>1</v>
      </c>
      <c r="H50" s="30">
        <f>IF(D50="","",IFERROR(INDEX(Config!$B$12:$B$15,MATCH(IF(AND(D50="Cartão de crédito",N(E50)&gt;1),"Cartão de crédito parcelado",D50),Config!$A$12:$A$15,0)),0)+IF(AND(Config!$B$17="Sim",LEFT(D50,17)="Cartão de crédito"),Config!$B$18*IFERROR(INDEX(Config!$C$12:$C$15,MATCH(IF(AND(D50="Cartão de crédito",N(E50)&gt;1),"Cartão de crédito parcelado",D50),Config!$A$12:$A$15,0)),0)/30*MAX(1,N(E50)),0))</f>
        <v>0.015</v>
      </c>
      <c r="I50" s="29">
        <f>IF(OR(D50="",F50=""),"",ROUND(F50*H50,2))</f>
        <v>5.7</v>
      </c>
      <c r="J50" s="29">
        <f>IF(I50="","",F50-I50)</f>
        <v>374.3</v>
      </c>
      <c r="K50" s="29">
        <f>IF(J50="","",J50/MAX(1,N(E50)))</f>
        <v>374.3</v>
      </c>
      <c r="L50" s="37">
        <f>IF(OR(D50="",A50=""),"",A50+IF(AND(Config!$B$17="Sim",LEFT(D50,17)="Cartão de crédito"),1,IFERROR(INDEX(Config!$C$12:$C$15,MATCH(IF(AND(D50="Cartão de crédito",N(E50)&gt;1),"Cartão de crédito parcelado",D50),Config!$A$12:$A$15,0)),0)))</f>
        <v>46196.0</v>
      </c>
      <c r="M50" s="37">
        <f>IF(L50="","",IF(AND(Config!$B$17="Sim",LEFT(D50,17)="Cartão de crédito"),L50,L50+30*(MAX(1,N(E50))-1)))</f>
        <v>46196.0</v>
      </c>
      <c r="N50" s="29">
        <f>IF(OR(L50="",K50=""),"",K50*MIN(MAX(1,N(E50)),MAX(0,INT((Config!$B$8-L50)/30)+1)))</f>
        <v>374.3</v>
      </c>
      <c r="O50" s="29">
        <f>IF(J50="","",J50-N(N50))</f>
        <v>0</v>
      </c>
      <c r="P50" s="27">
        <f>IF(A50="","",MONTH(A50))</f>
        <v>6</v>
      </c>
      <c r="Q50" s="27">
        <f>IF(A50="","",YEAR(A50))</f>
        <v>2026</v>
      </c>
      <c r="R50" s="27" t="str">
        <f>IF(L50="","",IF(L50&gt;Config!$B$8,"A cair",IF(N(G50)&gt;=MIN(MAX(1,N(E50)),MAX(0,INT((Config!$B$8-L50)/30)+1)),IF(N(G50)&gt;=MAX(1,N(E50)),"Conferido","Conferido até aqui"),"A conferir")))</f>
        <v>Conferido</v>
      </c>
      <c r="S50" s="51">
        <f>IF(R50="A conferir",(Config!$B$8-L50)*1000+N(F50)/1000+ROW()/100000,0)</f>
        <v>0</v>
      </c>
      <c r="T50" s="51">
        <f>IF(R50="A conferir",N(N50),0)</f>
        <v>0</v>
      </c>
      <c r="U50" s="51">
        <f>IF(L50="",0,L50)</f>
        <v>46196.0</v>
      </c>
      <c r="V50" s="51">
        <f>IF(L50="",0,MAX(1,N(E50)))</f>
        <v>1</v>
      </c>
      <c r="W50" s="51">
        <f>IF(K50="",0,K50)</f>
        <v>374.3</v>
      </c>
    </row>
    <row r="51">
      <c r="A51" s="49" t="n">
        <v>46195</v>
      </c>
      <c r="B51" s="41" t="inlineStr">
        <is>
          <t>Rafael Dias</t>
        </is>
      </c>
      <c r="C51" s="41" t="inlineStr">
        <is>
          <t>Teste ergométrico</t>
        </is>
      </c>
      <c r="D51" s="42" t="inlineStr">
        <is>
          <t>Pix</t>
        </is>
      </c>
      <c r="E51" s="42" t="n"/>
      <c r="F51" s="50" t="n">
        <v>450</v>
      </c>
      <c r="G51" s="42" t="n">
        <v>1</v>
      </c>
      <c r="H51" s="30">
        <f>IF(D51="","",IFERROR(INDEX(Config!$B$12:$B$15,MATCH(IF(AND(D51="Cartão de crédito",N(E51)&gt;1),"Cartão de crédito parcelado",D51),Config!$A$12:$A$15,0)),0)+IF(AND(Config!$B$17="Sim",LEFT(D51,17)="Cartão de crédito"),Config!$B$18*IFERROR(INDEX(Config!$C$12:$C$15,MATCH(IF(AND(D51="Cartão de crédito",N(E51)&gt;1),"Cartão de crédito parcelado",D51),Config!$A$12:$A$15,0)),0)/30*MAX(1,N(E51)),0))</f>
        <v>0</v>
      </c>
      <c r="I51" s="29">
        <f>IF(OR(D51="",F51=""),"",ROUND(F51*H51,2))</f>
        <v>0</v>
      </c>
      <c r="J51" s="29">
        <f>IF(I51="","",F51-I51)</f>
        <v>450</v>
      </c>
      <c r="K51" s="29">
        <f>IF(J51="","",J51/MAX(1,N(E51)))</f>
        <v>450</v>
      </c>
      <c r="L51" s="37">
        <f>IF(OR(D51="",A51=""),"",A51+IF(AND(Config!$B$17="Sim",LEFT(D51,17)="Cartão de crédito"),1,IFERROR(INDEX(Config!$C$12:$C$15,MATCH(IF(AND(D51="Cartão de crédito",N(E51)&gt;1),"Cartão de crédito parcelado",D51),Config!$A$12:$A$15,0)),0)))</f>
        <v>46195.0</v>
      </c>
      <c r="M51" s="37">
        <f>IF(L51="","",IF(AND(Config!$B$17="Sim",LEFT(D51,17)="Cartão de crédito"),L51,L51+30*(MAX(1,N(E51))-1)))</f>
        <v>46195.0</v>
      </c>
      <c r="N51" s="29">
        <f>IF(OR(L51="",K51=""),"",K51*MIN(MAX(1,N(E51)),MAX(0,INT((Config!$B$8-L51)/30)+1)))</f>
        <v>450</v>
      </c>
      <c r="O51" s="29">
        <f>IF(J51="","",J51-N(N51))</f>
        <v>0</v>
      </c>
      <c r="P51" s="27">
        <f>IF(A51="","",MONTH(A51))</f>
        <v>6</v>
      </c>
      <c r="Q51" s="27">
        <f>IF(A51="","",YEAR(A51))</f>
        <v>2026</v>
      </c>
      <c r="R51" s="27" t="str">
        <f>IF(L51="","",IF(L51&gt;Config!$B$8,"A cair",IF(N(G51)&gt;=MIN(MAX(1,N(E51)),MAX(0,INT((Config!$B$8-L51)/30)+1)),IF(N(G51)&gt;=MAX(1,N(E51)),"Conferido","Conferido até aqui"),"A conferir")))</f>
        <v>Conferido</v>
      </c>
      <c r="S51" s="51">
        <f>IF(R51="A conferir",(Config!$B$8-L51)*1000+N(F51)/1000+ROW()/100000,0)</f>
        <v>0</v>
      </c>
      <c r="T51" s="51">
        <f>IF(R51="A conferir",N(N51),0)</f>
        <v>0</v>
      </c>
      <c r="U51" s="51">
        <f>IF(L51="",0,L51)</f>
        <v>46195.0</v>
      </c>
      <c r="V51" s="51">
        <f>IF(L51="",0,MAX(1,N(E51)))</f>
        <v>1</v>
      </c>
      <c r="W51" s="51">
        <f>IF(K51="",0,K51)</f>
        <v>450</v>
      </c>
    </row>
    <row r="52">
      <c r="A52" s="49" t="n">
        <v>46195</v>
      </c>
      <c r="B52" s="41" t="inlineStr">
        <is>
          <t>Cláudia Costa</t>
        </is>
      </c>
      <c r="C52" s="41" t="inlineStr">
        <is>
          <t>Teste ergométrico</t>
        </is>
      </c>
      <c r="D52" s="42" t="inlineStr">
        <is>
          <t>Pix</t>
        </is>
      </c>
      <c r="E52" s="42" t="n"/>
      <c r="F52" s="50" t="n">
        <v>450</v>
      </c>
      <c r="G52" s="42" t="n">
        <v>1</v>
      </c>
      <c r="H52" s="30">
        <f>IF(D52="","",IFERROR(INDEX(Config!$B$12:$B$15,MATCH(IF(AND(D52="Cartão de crédito",N(E52)&gt;1),"Cartão de crédito parcelado",D52),Config!$A$12:$A$15,0)),0)+IF(AND(Config!$B$17="Sim",LEFT(D52,17)="Cartão de crédito"),Config!$B$18*IFERROR(INDEX(Config!$C$12:$C$15,MATCH(IF(AND(D52="Cartão de crédito",N(E52)&gt;1),"Cartão de crédito parcelado",D52),Config!$A$12:$A$15,0)),0)/30*MAX(1,N(E52)),0))</f>
        <v>0</v>
      </c>
      <c r="I52" s="29">
        <f>IF(OR(D52="",F52=""),"",ROUND(F52*H52,2))</f>
        <v>0</v>
      </c>
      <c r="J52" s="29">
        <f>IF(I52="","",F52-I52)</f>
        <v>450</v>
      </c>
      <c r="K52" s="29">
        <f>IF(J52="","",J52/MAX(1,N(E52)))</f>
        <v>450</v>
      </c>
      <c r="L52" s="37">
        <f>IF(OR(D52="",A52=""),"",A52+IF(AND(Config!$B$17="Sim",LEFT(D52,17)="Cartão de crédito"),1,IFERROR(INDEX(Config!$C$12:$C$15,MATCH(IF(AND(D52="Cartão de crédito",N(E52)&gt;1),"Cartão de crédito parcelado",D52),Config!$A$12:$A$15,0)),0)))</f>
        <v>46195.0</v>
      </c>
      <c r="M52" s="37">
        <f>IF(L52="","",IF(AND(Config!$B$17="Sim",LEFT(D52,17)="Cartão de crédito"),L52,L52+30*(MAX(1,N(E52))-1)))</f>
        <v>46195.0</v>
      </c>
      <c r="N52" s="29">
        <f>IF(OR(L52="",K52=""),"",K52*MIN(MAX(1,N(E52)),MAX(0,INT((Config!$B$8-L52)/30)+1)))</f>
        <v>450</v>
      </c>
      <c r="O52" s="29">
        <f>IF(J52="","",J52-N(N52))</f>
        <v>0</v>
      </c>
      <c r="P52" s="27">
        <f>IF(A52="","",MONTH(A52))</f>
        <v>6</v>
      </c>
      <c r="Q52" s="27">
        <f>IF(A52="","",YEAR(A52))</f>
        <v>2026</v>
      </c>
      <c r="R52" s="27" t="str">
        <f>IF(L52="","",IF(L52&gt;Config!$B$8,"A cair",IF(N(G52)&gt;=MIN(MAX(1,N(E52)),MAX(0,INT((Config!$B$8-L52)/30)+1)),IF(N(G52)&gt;=MAX(1,N(E52)),"Conferido","Conferido até aqui"),"A conferir")))</f>
        <v>Conferido</v>
      </c>
      <c r="S52" s="51">
        <f>IF(R52="A conferir",(Config!$B$8-L52)*1000+N(F52)/1000+ROW()/100000,0)</f>
        <v>0</v>
      </c>
      <c r="T52" s="51">
        <f>IF(R52="A conferir",N(N52),0)</f>
        <v>0</v>
      </c>
      <c r="U52" s="51">
        <f>IF(L52="",0,L52)</f>
        <v>46195.0</v>
      </c>
      <c r="V52" s="51">
        <f>IF(L52="",0,MAX(1,N(E52)))</f>
        <v>1</v>
      </c>
      <c r="W52" s="51">
        <f>IF(K52="",0,K52)</f>
        <v>450</v>
      </c>
    </row>
    <row r="53">
      <c r="A53" s="49" t="n">
        <v>46196</v>
      </c>
      <c r="B53" s="41" t="inlineStr">
        <is>
          <t>Wagner Santos</t>
        </is>
      </c>
      <c r="C53" s="41" t="inlineStr">
        <is>
          <t>Consulta</t>
        </is>
      </c>
      <c r="D53" s="42" t="inlineStr">
        <is>
          <t>Cartão de crédito</t>
        </is>
      </c>
      <c r="E53" s="42" t="n">
        <v>2</v>
      </c>
      <c r="F53" s="50" t="n">
        <v>380</v>
      </c>
      <c r="G53" s="42" t="n">
        <v>2</v>
      </c>
      <c r="H53" s="30">
        <f>IF(D53="","",IFERROR(INDEX(Config!$B$12:$B$15,MATCH(IF(AND(D53="Cartão de crédito",N(E53)&gt;1),"Cartão de crédito parcelado",D53),Config!$A$12:$A$15,0)),0)+IF(AND(Config!$B$17="Sim",LEFT(D53,17)="Cartão de crédito"),Config!$B$18*IFERROR(INDEX(Config!$C$12:$C$15,MATCH(IF(AND(D53="Cartão de crédito",N(E53)&gt;1),"Cartão de crédito parcelado",D53),Config!$A$12:$A$15,0)),0)/30*MAX(1,N(E53)),0))</f>
        <v>0.039</v>
      </c>
      <c r="I53" s="29">
        <f>IF(OR(D53="",F53=""),"",ROUND(F53*H53,2))</f>
        <v>14.82</v>
      </c>
      <c r="J53" s="29">
        <f>IF(I53="","",F53-I53)</f>
        <v>365.18</v>
      </c>
      <c r="K53" s="29">
        <f>IF(J53="","",J53/MAX(1,N(E53)))</f>
        <v>182.59</v>
      </c>
      <c r="L53" s="37">
        <f>IF(OR(D53="",A53=""),"",A53+IF(AND(Config!$B$17="Sim",LEFT(D53,17)="Cartão de crédito"),1,IFERROR(INDEX(Config!$C$12:$C$15,MATCH(IF(AND(D53="Cartão de crédito",N(E53)&gt;1),"Cartão de crédito parcelado",D53),Config!$A$12:$A$15,0)),0)))</f>
        <v>46226.0</v>
      </c>
      <c r="M53" s="37">
        <f>IF(L53="","",IF(AND(Config!$B$17="Sim",LEFT(D53,17)="Cartão de crédito"),L53,L53+30*(MAX(1,N(E53))-1)))</f>
        <v>46256.0</v>
      </c>
      <c r="N53" s="29">
        <f>IF(OR(L53="",K53=""),"",K53*MIN(MAX(1,N(E53)),MAX(0,INT((Config!$B$8-L53)/30)+1)))</f>
        <v>365.18</v>
      </c>
      <c r="O53" s="29">
        <f>IF(J53="","",J53-N(N53))</f>
        <v>0</v>
      </c>
      <c r="P53" s="27">
        <f>IF(A53="","",MONTH(A53))</f>
        <v>6</v>
      </c>
      <c r="Q53" s="27">
        <f>IF(A53="","",YEAR(A53))</f>
        <v>2026</v>
      </c>
      <c r="R53" s="27" t="str">
        <f>IF(L53="","",IF(L53&gt;Config!$B$8,"A cair",IF(N(G53)&gt;=MIN(MAX(1,N(E53)),MAX(0,INT((Config!$B$8-L53)/30)+1)),IF(N(G53)&gt;=MAX(1,N(E53)),"Conferido","Conferido até aqui"),"A conferir")))</f>
        <v>Conferido</v>
      </c>
      <c r="S53" s="51">
        <f>IF(R53="A conferir",(Config!$B$8-L53)*1000+N(F53)/1000+ROW()/100000,0)</f>
        <v>0</v>
      </c>
      <c r="T53" s="51">
        <f>IF(R53="A conferir",N(N53),0)</f>
        <v>0</v>
      </c>
      <c r="U53" s="51">
        <f>IF(L53="",0,L53)</f>
        <v>46226.0</v>
      </c>
      <c r="V53" s="51">
        <f>IF(L53="",0,MAX(1,N(E53)))</f>
        <v>2</v>
      </c>
      <c r="W53" s="51">
        <f>IF(K53="",0,K53)</f>
        <v>182.59</v>
      </c>
    </row>
    <row r="54">
      <c r="A54" s="49" t="n">
        <v>46196</v>
      </c>
      <c r="B54" s="41" t="inlineStr">
        <is>
          <t>Gabriel Reis</t>
        </is>
      </c>
      <c r="C54" s="41" t="inlineStr">
        <is>
          <t>Avaliação endócrina</t>
        </is>
      </c>
      <c r="D54" s="42" t="inlineStr">
        <is>
          <t>Cartão de crédito</t>
        </is>
      </c>
      <c r="E54" s="42" t="n">
        <v>2</v>
      </c>
      <c r="F54" s="50" t="n">
        <v>400</v>
      </c>
      <c r="G54" s="42" t="n">
        <v>2</v>
      </c>
      <c r="H54" s="30">
        <f>IF(D54="","",IFERROR(INDEX(Config!$B$12:$B$15,MATCH(IF(AND(D54="Cartão de crédito",N(E54)&gt;1),"Cartão de crédito parcelado",D54),Config!$A$12:$A$15,0)),0)+IF(AND(Config!$B$17="Sim",LEFT(D54,17)="Cartão de crédito"),Config!$B$18*IFERROR(INDEX(Config!$C$12:$C$15,MATCH(IF(AND(D54="Cartão de crédito",N(E54)&gt;1),"Cartão de crédito parcelado",D54),Config!$A$12:$A$15,0)),0)/30*MAX(1,N(E54)),0))</f>
        <v>0.039</v>
      </c>
      <c r="I54" s="29">
        <f>IF(OR(D54="",F54=""),"",ROUND(F54*H54,2))</f>
        <v>15.6</v>
      </c>
      <c r="J54" s="29">
        <f>IF(I54="","",F54-I54)</f>
        <v>384.4</v>
      </c>
      <c r="K54" s="29">
        <f>IF(J54="","",J54/MAX(1,N(E54)))</f>
        <v>192.2</v>
      </c>
      <c r="L54" s="37">
        <f>IF(OR(D54="",A54=""),"",A54+IF(AND(Config!$B$17="Sim",LEFT(D54,17)="Cartão de crédito"),1,IFERROR(INDEX(Config!$C$12:$C$15,MATCH(IF(AND(D54="Cartão de crédito",N(E54)&gt;1),"Cartão de crédito parcelado",D54),Config!$A$12:$A$15,0)),0)))</f>
        <v>46226.0</v>
      </c>
      <c r="M54" s="37">
        <f>IF(L54="","",IF(AND(Config!$B$17="Sim",LEFT(D54,17)="Cartão de crédito"),L54,L54+30*(MAX(1,N(E54))-1)))</f>
        <v>46256.0</v>
      </c>
      <c r="N54" s="29">
        <f>IF(OR(L54="",K54=""),"",K54*MIN(MAX(1,N(E54)),MAX(0,INT((Config!$B$8-L54)/30)+1)))</f>
        <v>384.4</v>
      </c>
      <c r="O54" s="29">
        <f>IF(J54="","",J54-N(N54))</f>
        <v>0</v>
      </c>
      <c r="P54" s="27">
        <f>IF(A54="","",MONTH(A54))</f>
        <v>6</v>
      </c>
      <c r="Q54" s="27">
        <f>IF(A54="","",YEAR(A54))</f>
        <v>2026</v>
      </c>
      <c r="R54" s="27" t="str">
        <f>IF(L54="","",IF(L54&gt;Config!$B$8,"A cair",IF(N(G54)&gt;=MIN(MAX(1,N(E54)),MAX(0,INT((Config!$B$8-L54)/30)+1)),IF(N(G54)&gt;=MAX(1,N(E54)),"Conferido","Conferido até aqui"),"A conferir")))</f>
        <v>Conferido</v>
      </c>
      <c r="S54" s="51">
        <f>IF(R54="A conferir",(Config!$B$8-L54)*1000+N(F54)/1000+ROW()/100000,0)</f>
        <v>0</v>
      </c>
      <c r="T54" s="51">
        <f>IF(R54="A conferir",N(N54),0)</f>
        <v>0</v>
      </c>
      <c r="U54" s="51">
        <f>IF(L54="",0,L54)</f>
        <v>46226.0</v>
      </c>
      <c r="V54" s="51">
        <f>IF(L54="",0,MAX(1,N(E54)))</f>
        <v>2</v>
      </c>
      <c r="W54" s="51">
        <f>IF(K54="",0,K54)</f>
        <v>192.2</v>
      </c>
    </row>
    <row r="55">
      <c r="A55" s="49" t="n">
        <v>46196</v>
      </c>
      <c r="B55" s="41" t="inlineStr">
        <is>
          <t>Eduardo Lima</t>
        </is>
      </c>
      <c r="C55" s="41" t="inlineStr">
        <is>
          <t>Teste ergométrico</t>
        </is>
      </c>
      <c r="D55" s="42" t="inlineStr">
        <is>
          <t>Pix</t>
        </is>
      </c>
      <c r="E55" s="42" t="n"/>
      <c r="F55" s="50" t="n">
        <v>450</v>
      </c>
      <c r="G55" s="42" t="n">
        <v>1</v>
      </c>
      <c r="H55" s="30">
        <f>IF(D55="","",IFERROR(INDEX(Config!$B$12:$B$15,MATCH(IF(AND(D55="Cartão de crédito",N(E55)&gt;1),"Cartão de crédito parcelado",D55),Config!$A$12:$A$15,0)),0)+IF(AND(Config!$B$17="Sim",LEFT(D55,17)="Cartão de crédito"),Config!$B$18*IFERROR(INDEX(Config!$C$12:$C$15,MATCH(IF(AND(D55="Cartão de crédito",N(E55)&gt;1),"Cartão de crédito parcelado",D55),Config!$A$12:$A$15,0)),0)/30*MAX(1,N(E55)),0))</f>
        <v>0</v>
      </c>
      <c r="I55" s="29">
        <f>IF(OR(D55="",F55=""),"",ROUND(F55*H55,2))</f>
        <v>0</v>
      </c>
      <c r="J55" s="29">
        <f>IF(I55="","",F55-I55)</f>
        <v>450</v>
      </c>
      <c r="K55" s="29">
        <f>IF(J55="","",J55/MAX(1,N(E55)))</f>
        <v>450</v>
      </c>
      <c r="L55" s="37">
        <f>IF(OR(D55="",A55=""),"",A55+IF(AND(Config!$B$17="Sim",LEFT(D55,17)="Cartão de crédito"),1,IFERROR(INDEX(Config!$C$12:$C$15,MATCH(IF(AND(D55="Cartão de crédito",N(E55)&gt;1),"Cartão de crédito parcelado",D55),Config!$A$12:$A$15,0)),0)))</f>
        <v>46196.0</v>
      </c>
      <c r="M55" s="37">
        <f>IF(L55="","",IF(AND(Config!$B$17="Sim",LEFT(D55,17)="Cartão de crédito"),L55,L55+30*(MAX(1,N(E55))-1)))</f>
        <v>46196.0</v>
      </c>
      <c r="N55" s="29">
        <f>IF(OR(L55="",K55=""),"",K55*MIN(MAX(1,N(E55)),MAX(0,INT((Config!$B$8-L55)/30)+1)))</f>
        <v>450</v>
      </c>
      <c r="O55" s="29">
        <f>IF(J55="","",J55-N(N55))</f>
        <v>0</v>
      </c>
      <c r="P55" s="27">
        <f>IF(A55="","",MONTH(A55))</f>
        <v>6</v>
      </c>
      <c r="Q55" s="27">
        <f>IF(A55="","",YEAR(A55))</f>
        <v>2026</v>
      </c>
      <c r="R55" s="27" t="str">
        <f>IF(L55="","",IF(L55&gt;Config!$B$8,"A cair",IF(N(G55)&gt;=MIN(MAX(1,N(E55)),MAX(0,INT((Config!$B$8-L55)/30)+1)),IF(N(G55)&gt;=MAX(1,N(E55)),"Conferido","Conferido até aqui"),"A conferir")))</f>
        <v>Conferido</v>
      </c>
      <c r="S55" s="51">
        <f>IF(R55="A conferir",(Config!$B$8-L55)*1000+N(F55)/1000+ROW()/100000,0)</f>
        <v>0</v>
      </c>
      <c r="T55" s="51">
        <f>IF(R55="A conferir",N(N55),0)</f>
        <v>0</v>
      </c>
      <c r="U55" s="51">
        <f>IF(L55="",0,L55)</f>
        <v>46196.0</v>
      </c>
      <c r="V55" s="51">
        <f>IF(L55="",0,MAX(1,N(E55)))</f>
        <v>1</v>
      </c>
      <c r="W55" s="51">
        <f>IF(K55="",0,K55)</f>
        <v>450</v>
      </c>
    </row>
    <row r="56">
      <c r="A56" s="49" t="n">
        <v>46196</v>
      </c>
      <c r="B56" s="41" t="inlineStr">
        <is>
          <t>Rafael Barros</t>
        </is>
      </c>
      <c r="C56" s="41" t="inlineStr">
        <is>
          <t>Consulta</t>
        </is>
      </c>
      <c r="D56" s="42" t="inlineStr">
        <is>
          <t>Cartão de débito</t>
        </is>
      </c>
      <c r="E56" s="42" t="n"/>
      <c r="F56" s="50" t="n">
        <v>380</v>
      </c>
      <c r="G56" s="42" t="n">
        <v>1</v>
      </c>
      <c r="H56" s="30">
        <f>IF(D56="","",IFERROR(INDEX(Config!$B$12:$B$15,MATCH(IF(AND(D56="Cartão de crédito",N(E56)&gt;1),"Cartão de crédito parcelado",D56),Config!$A$12:$A$15,0)),0)+IF(AND(Config!$B$17="Sim",LEFT(D56,17)="Cartão de crédito"),Config!$B$18*IFERROR(INDEX(Config!$C$12:$C$15,MATCH(IF(AND(D56="Cartão de crédito",N(E56)&gt;1),"Cartão de crédito parcelado",D56),Config!$A$12:$A$15,0)),0)/30*MAX(1,N(E56)),0))</f>
        <v>0.015</v>
      </c>
      <c r="I56" s="29">
        <f>IF(OR(D56="",F56=""),"",ROUND(F56*H56,2))</f>
        <v>5.7</v>
      </c>
      <c r="J56" s="29">
        <f>IF(I56="","",F56-I56)</f>
        <v>374.3</v>
      </c>
      <c r="K56" s="29">
        <f>IF(J56="","",J56/MAX(1,N(E56)))</f>
        <v>374.3</v>
      </c>
      <c r="L56" s="37">
        <f>IF(OR(D56="",A56=""),"",A56+IF(AND(Config!$B$17="Sim",LEFT(D56,17)="Cartão de crédito"),1,IFERROR(INDEX(Config!$C$12:$C$15,MATCH(IF(AND(D56="Cartão de crédito",N(E56)&gt;1),"Cartão de crédito parcelado",D56),Config!$A$12:$A$15,0)),0)))</f>
        <v>46197.0</v>
      </c>
      <c r="M56" s="37">
        <f>IF(L56="","",IF(AND(Config!$B$17="Sim",LEFT(D56,17)="Cartão de crédito"),L56,L56+30*(MAX(1,N(E56))-1)))</f>
        <v>46197.0</v>
      </c>
      <c r="N56" s="29">
        <f>IF(OR(L56="",K56=""),"",K56*MIN(MAX(1,N(E56)),MAX(0,INT((Config!$B$8-L56)/30)+1)))</f>
        <v>374.3</v>
      </c>
      <c r="O56" s="29">
        <f>IF(J56="","",J56-N(N56))</f>
        <v>0</v>
      </c>
      <c r="P56" s="27">
        <f>IF(A56="","",MONTH(A56))</f>
        <v>6</v>
      </c>
      <c r="Q56" s="27">
        <f>IF(A56="","",YEAR(A56))</f>
        <v>2026</v>
      </c>
      <c r="R56" s="27" t="str">
        <f>IF(L56="","",IF(L56&gt;Config!$B$8,"A cair",IF(N(G56)&gt;=MIN(MAX(1,N(E56)),MAX(0,INT((Config!$B$8-L56)/30)+1)),IF(N(G56)&gt;=MAX(1,N(E56)),"Conferido","Conferido até aqui"),"A conferir")))</f>
        <v>Conferido</v>
      </c>
      <c r="S56" s="51">
        <f>IF(R56="A conferir",(Config!$B$8-L56)*1000+N(F56)/1000+ROW()/100000,0)</f>
        <v>0</v>
      </c>
      <c r="T56" s="51">
        <f>IF(R56="A conferir",N(N56),0)</f>
        <v>0</v>
      </c>
      <c r="U56" s="51">
        <f>IF(L56="",0,L56)</f>
        <v>46197.0</v>
      </c>
      <c r="V56" s="51">
        <f>IF(L56="",0,MAX(1,N(E56)))</f>
        <v>1</v>
      </c>
      <c r="W56" s="51">
        <f>IF(K56="",0,K56)</f>
        <v>374.3</v>
      </c>
    </row>
    <row r="57">
      <c r="A57" s="49" t="n">
        <v>46196</v>
      </c>
      <c r="B57" s="41" t="inlineStr">
        <is>
          <t>Regina Duarte</t>
        </is>
      </c>
      <c r="C57" s="41" t="inlineStr">
        <is>
          <t>Holter</t>
        </is>
      </c>
      <c r="D57" s="42" t="inlineStr">
        <is>
          <t>Pix</t>
        </is>
      </c>
      <c r="E57" s="42" t="n"/>
      <c r="F57" s="50" t="n">
        <v>350</v>
      </c>
      <c r="G57" s="42" t="n">
        <v>1</v>
      </c>
      <c r="H57" s="30">
        <f>IF(D57="","",IFERROR(INDEX(Config!$B$12:$B$15,MATCH(IF(AND(D57="Cartão de crédito",N(E57)&gt;1),"Cartão de crédito parcelado",D57),Config!$A$12:$A$15,0)),0)+IF(AND(Config!$B$17="Sim",LEFT(D57,17)="Cartão de crédito"),Config!$B$18*IFERROR(INDEX(Config!$C$12:$C$15,MATCH(IF(AND(D57="Cartão de crédito",N(E57)&gt;1),"Cartão de crédito parcelado",D57),Config!$A$12:$A$15,0)),0)/30*MAX(1,N(E57)),0))</f>
        <v>0</v>
      </c>
      <c r="I57" s="29">
        <f>IF(OR(D57="",F57=""),"",ROUND(F57*H57,2))</f>
        <v>0</v>
      </c>
      <c r="J57" s="29">
        <f>IF(I57="","",F57-I57)</f>
        <v>350</v>
      </c>
      <c r="K57" s="29">
        <f>IF(J57="","",J57/MAX(1,N(E57)))</f>
        <v>350</v>
      </c>
      <c r="L57" s="37">
        <f>IF(OR(D57="",A57=""),"",A57+IF(AND(Config!$B$17="Sim",LEFT(D57,17)="Cartão de crédito"),1,IFERROR(INDEX(Config!$C$12:$C$15,MATCH(IF(AND(D57="Cartão de crédito",N(E57)&gt;1),"Cartão de crédito parcelado",D57),Config!$A$12:$A$15,0)),0)))</f>
        <v>46196.0</v>
      </c>
      <c r="M57" s="37">
        <f>IF(L57="","",IF(AND(Config!$B$17="Sim",LEFT(D57,17)="Cartão de crédito"),L57,L57+30*(MAX(1,N(E57))-1)))</f>
        <v>46196.0</v>
      </c>
      <c r="N57" s="29">
        <f>IF(OR(L57="",K57=""),"",K57*MIN(MAX(1,N(E57)),MAX(0,INT((Config!$B$8-L57)/30)+1)))</f>
        <v>350</v>
      </c>
      <c r="O57" s="29">
        <f>IF(J57="","",J57-N(N57))</f>
        <v>0</v>
      </c>
      <c r="P57" s="27">
        <f>IF(A57="","",MONTH(A57))</f>
        <v>6</v>
      </c>
      <c r="Q57" s="27">
        <f>IF(A57="","",YEAR(A57))</f>
        <v>2026</v>
      </c>
      <c r="R57" s="27" t="str">
        <f>IF(L57="","",IF(L57&gt;Config!$B$8,"A cair",IF(N(G57)&gt;=MIN(MAX(1,N(E57)),MAX(0,INT((Config!$B$8-L57)/30)+1)),IF(N(G57)&gt;=MAX(1,N(E57)),"Conferido","Conferido até aqui"),"A conferir")))</f>
        <v>Conferido</v>
      </c>
      <c r="S57" s="51">
        <f>IF(R57="A conferir",(Config!$B$8-L57)*1000+N(F57)/1000+ROW()/100000,0)</f>
        <v>0</v>
      </c>
      <c r="T57" s="51">
        <f>IF(R57="A conferir",N(N57),0)</f>
        <v>0</v>
      </c>
      <c r="U57" s="51">
        <f>IF(L57="",0,L57)</f>
        <v>46196.0</v>
      </c>
      <c r="V57" s="51">
        <f>IF(L57="",0,MAX(1,N(E57)))</f>
        <v>1</v>
      </c>
      <c r="W57" s="51">
        <f>IF(K57="",0,K57)</f>
        <v>350</v>
      </c>
    </row>
    <row r="58">
      <c r="A58" s="49" t="n">
        <v>46196</v>
      </c>
      <c r="B58" s="41" t="inlineStr">
        <is>
          <t>Beatriz Monteiro</t>
        </is>
      </c>
      <c r="C58" s="41" t="inlineStr">
        <is>
          <t>Avaliação endócrina</t>
        </is>
      </c>
      <c r="D58" s="42" t="inlineStr">
        <is>
          <t>Pix</t>
        </is>
      </c>
      <c r="E58" s="42" t="n"/>
      <c r="F58" s="50" t="n">
        <v>400</v>
      </c>
      <c r="G58" s="42" t="n">
        <v>1</v>
      </c>
      <c r="H58" s="30">
        <f>IF(D58="","",IFERROR(INDEX(Config!$B$12:$B$15,MATCH(IF(AND(D58="Cartão de crédito",N(E58)&gt;1),"Cartão de crédito parcelado",D58),Config!$A$12:$A$15,0)),0)+IF(AND(Config!$B$17="Sim",LEFT(D58,17)="Cartão de crédito"),Config!$B$18*IFERROR(INDEX(Config!$C$12:$C$15,MATCH(IF(AND(D58="Cartão de crédito",N(E58)&gt;1),"Cartão de crédito parcelado",D58),Config!$A$12:$A$15,0)),0)/30*MAX(1,N(E58)),0))</f>
        <v>0</v>
      </c>
      <c r="I58" s="29">
        <f>IF(OR(D58="",F58=""),"",ROUND(F58*H58,2))</f>
        <v>0</v>
      </c>
      <c r="J58" s="29">
        <f>IF(I58="","",F58-I58)</f>
        <v>400</v>
      </c>
      <c r="K58" s="29">
        <f>IF(J58="","",J58/MAX(1,N(E58)))</f>
        <v>400</v>
      </c>
      <c r="L58" s="37">
        <f>IF(OR(D58="",A58=""),"",A58+IF(AND(Config!$B$17="Sim",LEFT(D58,17)="Cartão de crédito"),1,IFERROR(INDEX(Config!$C$12:$C$15,MATCH(IF(AND(D58="Cartão de crédito",N(E58)&gt;1),"Cartão de crédito parcelado",D58),Config!$A$12:$A$15,0)),0)))</f>
        <v>46196.0</v>
      </c>
      <c r="M58" s="37">
        <f>IF(L58="","",IF(AND(Config!$B$17="Sim",LEFT(D58,17)="Cartão de crédito"),L58,L58+30*(MAX(1,N(E58))-1)))</f>
        <v>46196.0</v>
      </c>
      <c r="N58" s="29">
        <f>IF(OR(L58="",K58=""),"",K58*MIN(MAX(1,N(E58)),MAX(0,INT((Config!$B$8-L58)/30)+1)))</f>
        <v>400</v>
      </c>
      <c r="O58" s="29">
        <f>IF(J58="","",J58-N(N58))</f>
        <v>0</v>
      </c>
      <c r="P58" s="27">
        <f>IF(A58="","",MONTH(A58))</f>
        <v>6</v>
      </c>
      <c r="Q58" s="27">
        <f>IF(A58="","",YEAR(A58))</f>
        <v>2026</v>
      </c>
      <c r="R58" s="27" t="str">
        <f>IF(L58="","",IF(L58&gt;Config!$B$8,"A cair",IF(N(G58)&gt;=MIN(MAX(1,N(E58)),MAX(0,INT((Config!$B$8-L58)/30)+1)),IF(N(G58)&gt;=MAX(1,N(E58)),"Conferido","Conferido até aqui"),"A conferir")))</f>
        <v>Conferido</v>
      </c>
      <c r="S58" s="51">
        <f>IF(R58="A conferir",(Config!$B$8-L58)*1000+N(F58)/1000+ROW()/100000,0)</f>
        <v>0</v>
      </c>
      <c r="T58" s="51">
        <f>IF(R58="A conferir",N(N58),0)</f>
        <v>0</v>
      </c>
      <c r="U58" s="51">
        <f>IF(L58="",0,L58)</f>
        <v>46196.0</v>
      </c>
      <c r="V58" s="51">
        <f>IF(L58="",0,MAX(1,N(E58)))</f>
        <v>1</v>
      </c>
      <c r="W58" s="51">
        <f>IF(K58="",0,K58)</f>
        <v>400</v>
      </c>
    </row>
    <row r="59">
      <c r="A59" s="49" t="n">
        <v>46197</v>
      </c>
      <c r="B59" s="41" t="inlineStr">
        <is>
          <t>Mônica Martins</t>
        </is>
      </c>
      <c r="C59" s="41" t="inlineStr">
        <is>
          <t>Consulta</t>
        </is>
      </c>
      <c r="D59" s="42" t="inlineStr">
        <is>
          <t>Cartão de crédito</t>
        </is>
      </c>
      <c r="E59" s="42" t="n"/>
      <c r="F59" s="50" t="n">
        <v>380</v>
      </c>
      <c r="G59" s="42" t="n">
        <v>1</v>
      </c>
      <c r="H59" s="30">
        <f>IF(D59="","",IFERROR(INDEX(Config!$B$12:$B$15,MATCH(IF(AND(D59="Cartão de crédito",N(E59)&gt;1),"Cartão de crédito parcelado",D59),Config!$A$12:$A$15,0)),0)+IF(AND(Config!$B$17="Sim",LEFT(D59,17)="Cartão de crédito"),Config!$B$18*IFERROR(INDEX(Config!$C$12:$C$15,MATCH(IF(AND(D59="Cartão de crédito",N(E59)&gt;1),"Cartão de crédito parcelado",D59),Config!$A$12:$A$15,0)),0)/30*MAX(1,N(E59)),0))</f>
        <v>0.032</v>
      </c>
      <c r="I59" s="29">
        <f>IF(OR(D59="",F59=""),"",ROUND(F59*H59,2))</f>
        <v>12.16</v>
      </c>
      <c r="J59" s="29">
        <f>IF(I59="","",F59-I59)</f>
        <v>367.84</v>
      </c>
      <c r="K59" s="29">
        <f>IF(J59="","",J59/MAX(1,N(E59)))</f>
        <v>367.84</v>
      </c>
      <c r="L59" s="37">
        <f>IF(OR(D59="",A59=""),"",A59+IF(AND(Config!$B$17="Sim",LEFT(D59,17)="Cartão de crédito"),1,IFERROR(INDEX(Config!$C$12:$C$15,MATCH(IF(AND(D59="Cartão de crédito",N(E59)&gt;1),"Cartão de crédito parcelado",D59),Config!$A$12:$A$15,0)),0)))</f>
        <v>46227.0</v>
      </c>
      <c r="M59" s="37">
        <f>IF(L59="","",IF(AND(Config!$B$17="Sim",LEFT(D59,17)="Cartão de crédito"),L59,L59+30*(MAX(1,N(E59))-1)))</f>
        <v>46227.0</v>
      </c>
      <c r="N59" s="29">
        <f>IF(OR(L59="",K59=""),"",K59*MIN(MAX(1,N(E59)),MAX(0,INT((Config!$B$8-L59)/30)+1)))</f>
        <v>367.84</v>
      </c>
      <c r="O59" s="29">
        <f>IF(J59="","",J59-N(N59))</f>
        <v>0</v>
      </c>
      <c r="P59" s="27">
        <f>IF(A59="","",MONTH(A59))</f>
        <v>6</v>
      </c>
      <c r="Q59" s="27">
        <f>IF(A59="","",YEAR(A59))</f>
        <v>2026</v>
      </c>
      <c r="R59" s="27" t="str">
        <f>IF(L59="","",IF(L59&gt;Config!$B$8,"A cair",IF(N(G59)&gt;=MIN(MAX(1,N(E59)),MAX(0,INT((Config!$B$8-L59)/30)+1)),IF(N(G59)&gt;=MAX(1,N(E59)),"Conferido","Conferido até aqui"),"A conferir")))</f>
        <v>Conferido</v>
      </c>
      <c r="S59" s="51">
        <f>IF(R59="A conferir",(Config!$B$8-L59)*1000+N(F59)/1000+ROW()/100000,0)</f>
        <v>0</v>
      </c>
      <c r="T59" s="51">
        <f>IF(R59="A conferir",N(N59),0)</f>
        <v>0</v>
      </c>
      <c r="U59" s="51">
        <f>IF(L59="",0,L59)</f>
        <v>46227.0</v>
      </c>
      <c r="V59" s="51">
        <f>IF(L59="",0,MAX(1,N(E59)))</f>
        <v>1</v>
      </c>
      <c r="W59" s="51">
        <f>IF(K59="",0,K59)</f>
        <v>367.84</v>
      </c>
    </row>
    <row r="60">
      <c r="A60" s="49" t="n">
        <v>46197</v>
      </c>
      <c r="B60" s="41" t="inlineStr">
        <is>
          <t>Cláudia Santos</t>
        </is>
      </c>
      <c r="C60" s="41" t="inlineStr">
        <is>
          <t>Consulta</t>
        </is>
      </c>
      <c r="D60" s="42" t="inlineStr">
        <is>
          <t>Cartão de crédito</t>
        </is>
      </c>
      <c r="E60" s="42" t="n"/>
      <c r="F60" s="50" t="n">
        <v>380</v>
      </c>
      <c r="G60" s="42" t="n">
        <v>1</v>
      </c>
      <c r="H60" s="30">
        <f>IF(D60="","",IFERROR(INDEX(Config!$B$12:$B$15,MATCH(IF(AND(D60="Cartão de crédito",N(E60)&gt;1),"Cartão de crédito parcelado",D60),Config!$A$12:$A$15,0)),0)+IF(AND(Config!$B$17="Sim",LEFT(D60,17)="Cartão de crédito"),Config!$B$18*IFERROR(INDEX(Config!$C$12:$C$15,MATCH(IF(AND(D60="Cartão de crédito",N(E60)&gt;1),"Cartão de crédito parcelado",D60),Config!$A$12:$A$15,0)),0)/30*MAX(1,N(E60)),0))</f>
        <v>0.032</v>
      </c>
      <c r="I60" s="29">
        <f>IF(OR(D60="",F60=""),"",ROUND(F60*H60,2))</f>
        <v>12.16</v>
      </c>
      <c r="J60" s="29">
        <f>IF(I60="","",F60-I60)</f>
        <v>367.84</v>
      </c>
      <c r="K60" s="29">
        <f>IF(J60="","",J60/MAX(1,N(E60)))</f>
        <v>367.84</v>
      </c>
      <c r="L60" s="37">
        <f>IF(OR(D60="",A60=""),"",A60+IF(AND(Config!$B$17="Sim",LEFT(D60,17)="Cartão de crédito"),1,IFERROR(INDEX(Config!$C$12:$C$15,MATCH(IF(AND(D60="Cartão de crédito",N(E60)&gt;1),"Cartão de crédito parcelado",D60),Config!$A$12:$A$15,0)),0)))</f>
        <v>46227.0</v>
      </c>
      <c r="M60" s="37">
        <f>IF(L60="","",IF(AND(Config!$B$17="Sim",LEFT(D60,17)="Cartão de crédito"),L60,L60+30*(MAX(1,N(E60))-1)))</f>
        <v>46227.0</v>
      </c>
      <c r="N60" s="29">
        <f>IF(OR(L60="",K60=""),"",K60*MIN(MAX(1,N(E60)),MAX(0,INT((Config!$B$8-L60)/30)+1)))</f>
        <v>367.84</v>
      </c>
      <c r="O60" s="29">
        <f>IF(J60="","",J60-N(N60))</f>
        <v>0</v>
      </c>
      <c r="P60" s="27">
        <f>IF(A60="","",MONTH(A60))</f>
        <v>6</v>
      </c>
      <c r="Q60" s="27">
        <f>IF(A60="","",YEAR(A60))</f>
        <v>2026</v>
      </c>
      <c r="R60" s="27" t="str">
        <f>IF(L60="","",IF(L60&gt;Config!$B$8,"A cair",IF(N(G60)&gt;=MIN(MAX(1,N(E60)),MAX(0,INT((Config!$B$8-L60)/30)+1)),IF(N(G60)&gt;=MAX(1,N(E60)),"Conferido","Conferido até aqui"),"A conferir")))</f>
        <v>Conferido</v>
      </c>
      <c r="S60" s="51">
        <f>IF(R60="A conferir",(Config!$B$8-L60)*1000+N(F60)/1000+ROW()/100000,0)</f>
        <v>0</v>
      </c>
      <c r="T60" s="51">
        <f>IF(R60="A conferir",N(N60),0)</f>
        <v>0</v>
      </c>
      <c r="U60" s="51">
        <f>IF(L60="",0,L60)</f>
        <v>46227.0</v>
      </c>
      <c r="V60" s="51">
        <f>IF(L60="",0,MAX(1,N(E60)))</f>
        <v>1</v>
      </c>
      <c r="W60" s="51">
        <f>IF(K60="",0,K60)</f>
        <v>367.84</v>
      </c>
    </row>
    <row r="61">
      <c r="A61" s="49" t="n">
        <v>46198</v>
      </c>
      <c r="B61" s="41" t="inlineStr">
        <is>
          <t>Gustavo Ferreira</t>
        </is>
      </c>
      <c r="C61" s="41" t="inlineStr">
        <is>
          <t>Consulta</t>
        </is>
      </c>
      <c r="D61" s="42" t="inlineStr">
        <is>
          <t>Pix</t>
        </is>
      </c>
      <c r="E61" s="42" t="n"/>
      <c r="F61" s="50" t="n">
        <v>380</v>
      </c>
      <c r="G61" s="42" t="n">
        <v>1</v>
      </c>
      <c r="H61" s="30">
        <f>IF(D61="","",IFERROR(INDEX(Config!$B$12:$B$15,MATCH(IF(AND(D61="Cartão de crédito",N(E61)&gt;1),"Cartão de crédito parcelado",D61),Config!$A$12:$A$15,0)),0)+IF(AND(Config!$B$17="Sim",LEFT(D61,17)="Cartão de crédito"),Config!$B$18*IFERROR(INDEX(Config!$C$12:$C$15,MATCH(IF(AND(D61="Cartão de crédito",N(E61)&gt;1),"Cartão de crédito parcelado",D61),Config!$A$12:$A$15,0)),0)/30*MAX(1,N(E61)),0))</f>
        <v>0</v>
      </c>
      <c r="I61" s="29">
        <f>IF(OR(D61="",F61=""),"",ROUND(F61*H61,2))</f>
        <v>0</v>
      </c>
      <c r="J61" s="29">
        <f>IF(I61="","",F61-I61)</f>
        <v>380</v>
      </c>
      <c r="K61" s="29">
        <f>IF(J61="","",J61/MAX(1,N(E61)))</f>
        <v>380</v>
      </c>
      <c r="L61" s="37">
        <f>IF(OR(D61="",A61=""),"",A61+IF(AND(Config!$B$17="Sim",LEFT(D61,17)="Cartão de crédito"),1,IFERROR(INDEX(Config!$C$12:$C$15,MATCH(IF(AND(D61="Cartão de crédito",N(E61)&gt;1),"Cartão de crédito parcelado",D61),Config!$A$12:$A$15,0)),0)))</f>
        <v>46198.0</v>
      </c>
      <c r="M61" s="37">
        <f>IF(L61="","",IF(AND(Config!$B$17="Sim",LEFT(D61,17)="Cartão de crédito"),L61,L61+30*(MAX(1,N(E61))-1)))</f>
        <v>46198.0</v>
      </c>
      <c r="N61" s="29">
        <f>IF(OR(L61="",K61=""),"",K61*MIN(MAX(1,N(E61)),MAX(0,INT((Config!$B$8-L61)/30)+1)))</f>
        <v>380</v>
      </c>
      <c r="O61" s="29">
        <f>IF(J61="","",J61-N(N61))</f>
        <v>0</v>
      </c>
      <c r="P61" s="27">
        <f>IF(A61="","",MONTH(A61))</f>
        <v>6</v>
      </c>
      <c r="Q61" s="27">
        <f>IF(A61="","",YEAR(A61))</f>
        <v>2026</v>
      </c>
      <c r="R61" s="27" t="str">
        <f>IF(L61="","",IF(L61&gt;Config!$B$8,"A cair",IF(N(G61)&gt;=MIN(MAX(1,N(E61)),MAX(0,INT((Config!$B$8-L61)/30)+1)),IF(N(G61)&gt;=MAX(1,N(E61)),"Conferido","Conferido até aqui"),"A conferir")))</f>
        <v>Conferido</v>
      </c>
      <c r="S61" s="51">
        <f>IF(R61="A conferir",(Config!$B$8-L61)*1000+N(F61)/1000+ROW()/100000,0)</f>
        <v>0</v>
      </c>
      <c r="T61" s="51">
        <f>IF(R61="A conferir",N(N61),0)</f>
        <v>0</v>
      </c>
      <c r="U61" s="51">
        <f>IF(L61="",0,L61)</f>
        <v>46198.0</v>
      </c>
      <c r="V61" s="51">
        <f>IF(L61="",0,MAX(1,N(E61)))</f>
        <v>1</v>
      </c>
      <c r="W61" s="51">
        <f>IF(K61="",0,K61)</f>
        <v>380</v>
      </c>
    </row>
    <row r="62">
      <c r="A62" s="49" t="n">
        <v>46198</v>
      </c>
      <c r="B62" s="41" t="inlineStr">
        <is>
          <t>Otávio Cardoso</t>
        </is>
      </c>
      <c r="C62" s="41" t="inlineStr">
        <is>
          <t>Consulta</t>
        </is>
      </c>
      <c r="D62" s="42" t="inlineStr">
        <is>
          <t>Pix</t>
        </is>
      </c>
      <c r="E62" s="42" t="n"/>
      <c r="F62" s="50" t="n">
        <v>380</v>
      </c>
      <c r="G62" s="42" t="n">
        <v>1</v>
      </c>
      <c r="H62" s="30">
        <f>IF(D62="","",IFERROR(INDEX(Config!$B$12:$B$15,MATCH(IF(AND(D62="Cartão de crédito",N(E62)&gt;1),"Cartão de crédito parcelado",D62),Config!$A$12:$A$15,0)),0)+IF(AND(Config!$B$17="Sim",LEFT(D62,17)="Cartão de crédito"),Config!$B$18*IFERROR(INDEX(Config!$C$12:$C$15,MATCH(IF(AND(D62="Cartão de crédito",N(E62)&gt;1),"Cartão de crédito parcelado",D62),Config!$A$12:$A$15,0)),0)/30*MAX(1,N(E62)),0))</f>
        <v>0</v>
      </c>
      <c r="I62" s="29">
        <f>IF(OR(D62="",F62=""),"",ROUND(F62*H62,2))</f>
        <v>0</v>
      </c>
      <c r="J62" s="29">
        <f>IF(I62="","",F62-I62)</f>
        <v>380</v>
      </c>
      <c r="K62" s="29">
        <f>IF(J62="","",J62/MAX(1,N(E62)))</f>
        <v>380</v>
      </c>
      <c r="L62" s="37">
        <f>IF(OR(D62="",A62=""),"",A62+IF(AND(Config!$B$17="Sim",LEFT(D62,17)="Cartão de crédito"),1,IFERROR(INDEX(Config!$C$12:$C$15,MATCH(IF(AND(D62="Cartão de crédito",N(E62)&gt;1),"Cartão de crédito parcelado",D62),Config!$A$12:$A$15,0)),0)))</f>
        <v>46198.0</v>
      </c>
      <c r="M62" s="37">
        <f>IF(L62="","",IF(AND(Config!$B$17="Sim",LEFT(D62,17)="Cartão de crédito"),L62,L62+30*(MAX(1,N(E62))-1)))</f>
        <v>46198.0</v>
      </c>
      <c r="N62" s="29">
        <f>IF(OR(L62="",K62=""),"",K62*MIN(MAX(1,N(E62)),MAX(0,INT((Config!$B$8-L62)/30)+1)))</f>
        <v>380</v>
      </c>
      <c r="O62" s="29">
        <f>IF(J62="","",J62-N(N62))</f>
        <v>0</v>
      </c>
      <c r="P62" s="27">
        <f>IF(A62="","",MONTH(A62))</f>
        <v>6</v>
      </c>
      <c r="Q62" s="27">
        <f>IF(A62="","",YEAR(A62))</f>
        <v>2026</v>
      </c>
      <c r="R62" s="27" t="str">
        <f>IF(L62="","",IF(L62&gt;Config!$B$8,"A cair",IF(N(G62)&gt;=MIN(MAX(1,N(E62)),MAX(0,INT((Config!$B$8-L62)/30)+1)),IF(N(G62)&gt;=MAX(1,N(E62)),"Conferido","Conferido até aqui"),"A conferir")))</f>
        <v>Conferido</v>
      </c>
      <c r="S62" s="51">
        <f>IF(R62="A conferir",(Config!$B$8-L62)*1000+N(F62)/1000+ROW()/100000,0)</f>
        <v>0</v>
      </c>
      <c r="T62" s="51">
        <f>IF(R62="A conferir",N(N62),0)</f>
        <v>0</v>
      </c>
      <c r="U62" s="51">
        <f>IF(L62="",0,L62)</f>
        <v>46198.0</v>
      </c>
      <c r="V62" s="51">
        <f>IF(L62="",0,MAX(1,N(E62)))</f>
        <v>1</v>
      </c>
      <c r="W62" s="51">
        <f>IF(K62="",0,K62)</f>
        <v>380</v>
      </c>
    </row>
    <row r="63">
      <c r="A63" s="49" t="n">
        <v>46198</v>
      </c>
      <c r="B63" s="41" t="inlineStr">
        <is>
          <t>Leandro Oliveira</t>
        </is>
      </c>
      <c r="C63" s="41" t="inlineStr">
        <is>
          <t>Consulta</t>
        </is>
      </c>
      <c r="D63" s="42" t="inlineStr">
        <is>
          <t>Pix</t>
        </is>
      </c>
      <c r="E63" s="42" t="n"/>
      <c r="F63" s="50" t="n">
        <v>380</v>
      </c>
      <c r="G63" s="42" t="n">
        <v>1</v>
      </c>
      <c r="H63" s="30">
        <f>IF(D63="","",IFERROR(INDEX(Config!$B$12:$B$15,MATCH(IF(AND(D63="Cartão de crédito",N(E63)&gt;1),"Cartão de crédito parcelado",D63),Config!$A$12:$A$15,0)),0)+IF(AND(Config!$B$17="Sim",LEFT(D63,17)="Cartão de crédito"),Config!$B$18*IFERROR(INDEX(Config!$C$12:$C$15,MATCH(IF(AND(D63="Cartão de crédito",N(E63)&gt;1),"Cartão de crédito parcelado",D63),Config!$A$12:$A$15,0)),0)/30*MAX(1,N(E63)),0))</f>
        <v>0</v>
      </c>
      <c r="I63" s="29">
        <f>IF(OR(D63="",F63=""),"",ROUND(F63*H63,2))</f>
        <v>0</v>
      </c>
      <c r="J63" s="29">
        <f>IF(I63="","",F63-I63)</f>
        <v>380</v>
      </c>
      <c r="K63" s="29">
        <f>IF(J63="","",J63/MAX(1,N(E63)))</f>
        <v>380</v>
      </c>
      <c r="L63" s="37">
        <f>IF(OR(D63="",A63=""),"",A63+IF(AND(Config!$B$17="Sim",LEFT(D63,17)="Cartão de crédito"),1,IFERROR(INDEX(Config!$C$12:$C$15,MATCH(IF(AND(D63="Cartão de crédito",N(E63)&gt;1),"Cartão de crédito parcelado",D63),Config!$A$12:$A$15,0)),0)))</f>
        <v>46198.0</v>
      </c>
      <c r="M63" s="37">
        <f>IF(L63="","",IF(AND(Config!$B$17="Sim",LEFT(D63,17)="Cartão de crédito"),L63,L63+30*(MAX(1,N(E63))-1)))</f>
        <v>46198.0</v>
      </c>
      <c r="N63" s="29">
        <f>IF(OR(L63="",K63=""),"",K63*MIN(MAX(1,N(E63)),MAX(0,INT((Config!$B$8-L63)/30)+1)))</f>
        <v>380</v>
      </c>
      <c r="O63" s="29">
        <f>IF(J63="","",J63-N(N63))</f>
        <v>0</v>
      </c>
      <c r="P63" s="27">
        <f>IF(A63="","",MONTH(A63))</f>
        <v>6</v>
      </c>
      <c r="Q63" s="27">
        <f>IF(A63="","",YEAR(A63))</f>
        <v>2026</v>
      </c>
      <c r="R63" s="27" t="str">
        <f>IF(L63="","",IF(L63&gt;Config!$B$8,"A cair",IF(N(G63)&gt;=MIN(MAX(1,N(E63)),MAX(0,INT((Config!$B$8-L63)/30)+1)),IF(N(G63)&gt;=MAX(1,N(E63)),"Conferido","Conferido até aqui"),"A conferir")))</f>
        <v>Conferido</v>
      </c>
      <c r="S63" s="51">
        <f>IF(R63="A conferir",(Config!$B$8-L63)*1000+N(F63)/1000+ROW()/100000,0)</f>
        <v>0</v>
      </c>
      <c r="T63" s="51">
        <f>IF(R63="A conferir",N(N63),0)</f>
        <v>0</v>
      </c>
      <c r="U63" s="51">
        <f>IF(L63="",0,L63)</f>
        <v>46198.0</v>
      </c>
      <c r="V63" s="51">
        <f>IF(L63="",0,MAX(1,N(E63)))</f>
        <v>1</v>
      </c>
      <c r="W63" s="51">
        <f>IF(K63="",0,K63)</f>
        <v>380</v>
      </c>
    </row>
    <row r="64">
      <c r="A64" s="49" t="n">
        <v>46198</v>
      </c>
      <c r="B64" s="41" t="inlineStr">
        <is>
          <t>Helena Moreira</t>
        </is>
      </c>
      <c r="C64" s="41" t="inlineStr">
        <is>
          <t>Consulta</t>
        </is>
      </c>
      <c r="D64" s="42" t="inlineStr">
        <is>
          <t>Pix</t>
        </is>
      </c>
      <c r="E64" s="42" t="n"/>
      <c r="F64" s="50" t="n">
        <v>380</v>
      </c>
      <c r="G64" s="42" t="n">
        <v>1</v>
      </c>
      <c r="H64" s="30">
        <f>IF(D64="","",IFERROR(INDEX(Config!$B$12:$B$15,MATCH(IF(AND(D64="Cartão de crédito",N(E64)&gt;1),"Cartão de crédito parcelado",D64),Config!$A$12:$A$15,0)),0)+IF(AND(Config!$B$17="Sim",LEFT(D64,17)="Cartão de crédito"),Config!$B$18*IFERROR(INDEX(Config!$C$12:$C$15,MATCH(IF(AND(D64="Cartão de crédito",N(E64)&gt;1),"Cartão de crédito parcelado",D64),Config!$A$12:$A$15,0)),0)/30*MAX(1,N(E64)),0))</f>
        <v>0</v>
      </c>
      <c r="I64" s="29">
        <f>IF(OR(D64="",F64=""),"",ROUND(F64*H64,2))</f>
        <v>0</v>
      </c>
      <c r="J64" s="29">
        <f>IF(I64="","",F64-I64)</f>
        <v>380</v>
      </c>
      <c r="K64" s="29">
        <f>IF(J64="","",J64/MAX(1,N(E64)))</f>
        <v>380</v>
      </c>
      <c r="L64" s="37">
        <f>IF(OR(D64="",A64=""),"",A64+IF(AND(Config!$B$17="Sim",LEFT(D64,17)="Cartão de crédito"),1,IFERROR(INDEX(Config!$C$12:$C$15,MATCH(IF(AND(D64="Cartão de crédito",N(E64)&gt;1),"Cartão de crédito parcelado",D64),Config!$A$12:$A$15,0)),0)))</f>
        <v>46198.0</v>
      </c>
      <c r="M64" s="37">
        <f>IF(L64="","",IF(AND(Config!$B$17="Sim",LEFT(D64,17)="Cartão de crédito"),L64,L64+30*(MAX(1,N(E64))-1)))</f>
        <v>46198.0</v>
      </c>
      <c r="N64" s="29">
        <f>IF(OR(L64="",K64=""),"",K64*MIN(MAX(1,N(E64)),MAX(0,INT((Config!$B$8-L64)/30)+1)))</f>
        <v>380</v>
      </c>
      <c r="O64" s="29">
        <f>IF(J64="","",J64-N(N64))</f>
        <v>0</v>
      </c>
      <c r="P64" s="27">
        <f>IF(A64="","",MONTH(A64))</f>
        <v>6</v>
      </c>
      <c r="Q64" s="27">
        <f>IF(A64="","",YEAR(A64))</f>
        <v>2026</v>
      </c>
      <c r="R64" s="27" t="str">
        <f>IF(L64="","",IF(L64&gt;Config!$B$8,"A cair",IF(N(G64)&gt;=MIN(MAX(1,N(E64)),MAX(0,INT((Config!$B$8-L64)/30)+1)),IF(N(G64)&gt;=MAX(1,N(E64)),"Conferido","Conferido até aqui"),"A conferir")))</f>
        <v>Conferido</v>
      </c>
      <c r="S64" s="51">
        <f>IF(R64="A conferir",(Config!$B$8-L64)*1000+N(F64)/1000+ROW()/100000,0)</f>
        <v>0</v>
      </c>
      <c r="T64" s="51">
        <f>IF(R64="A conferir",N(N64),0)</f>
        <v>0</v>
      </c>
      <c r="U64" s="51">
        <f>IF(L64="",0,L64)</f>
        <v>46198.0</v>
      </c>
      <c r="V64" s="51">
        <f>IF(L64="",0,MAX(1,N(E64)))</f>
        <v>1</v>
      </c>
      <c r="W64" s="51">
        <f>IF(K64="",0,K64)</f>
        <v>380</v>
      </c>
    </row>
    <row r="65">
      <c r="A65" s="49" t="n">
        <v>46198</v>
      </c>
      <c r="B65" s="41" t="inlineStr">
        <is>
          <t>Mariana Nascimento</t>
        </is>
      </c>
      <c r="C65" s="41" t="inlineStr">
        <is>
          <t>Consulta</t>
        </is>
      </c>
      <c r="D65" s="42" t="inlineStr">
        <is>
          <t>Pix</t>
        </is>
      </c>
      <c r="E65" s="42" t="n"/>
      <c r="F65" s="50" t="n">
        <v>380</v>
      </c>
      <c r="G65" s="42" t="n">
        <v>1</v>
      </c>
      <c r="H65" s="30">
        <f>IF(D65="","",IFERROR(INDEX(Config!$B$12:$B$15,MATCH(IF(AND(D65="Cartão de crédito",N(E65)&gt;1),"Cartão de crédito parcelado",D65),Config!$A$12:$A$15,0)),0)+IF(AND(Config!$B$17="Sim",LEFT(D65,17)="Cartão de crédito"),Config!$B$18*IFERROR(INDEX(Config!$C$12:$C$15,MATCH(IF(AND(D65="Cartão de crédito",N(E65)&gt;1),"Cartão de crédito parcelado",D65),Config!$A$12:$A$15,0)),0)/30*MAX(1,N(E65)),0))</f>
        <v>0</v>
      </c>
      <c r="I65" s="29">
        <f>IF(OR(D65="",F65=""),"",ROUND(F65*H65,2))</f>
        <v>0</v>
      </c>
      <c r="J65" s="29">
        <f>IF(I65="","",F65-I65)</f>
        <v>380</v>
      </c>
      <c r="K65" s="29">
        <f>IF(J65="","",J65/MAX(1,N(E65)))</f>
        <v>380</v>
      </c>
      <c r="L65" s="37">
        <f>IF(OR(D65="",A65=""),"",A65+IF(AND(Config!$B$17="Sim",LEFT(D65,17)="Cartão de crédito"),1,IFERROR(INDEX(Config!$C$12:$C$15,MATCH(IF(AND(D65="Cartão de crédito",N(E65)&gt;1),"Cartão de crédito parcelado",D65),Config!$A$12:$A$15,0)),0)))</f>
        <v>46198.0</v>
      </c>
      <c r="M65" s="37">
        <f>IF(L65="","",IF(AND(Config!$B$17="Sim",LEFT(D65,17)="Cartão de crédito"),L65,L65+30*(MAX(1,N(E65))-1)))</f>
        <v>46198.0</v>
      </c>
      <c r="N65" s="29">
        <f>IF(OR(L65="",K65=""),"",K65*MIN(MAX(1,N(E65)),MAX(0,INT((Config!$B$8-L65)/30)+1)))</f>
        <v>380</v>
      </c>
      <c r="O65" s="29">
        <f>IF(J65="","",J65-N(N65))</f>
        <v>0</v>
      </c>
      <c r="P65" s="27">
        <f>IF(A65="","",MONTH(A65))</f>
        <v>6</v>
      </c>
      <c r="Q65" s="27">
        <f>IF(A65="","",YEAR(A65))</f>
        <v>2026</v>
      </c>
      <c r="R65" s="27" t="str">
        <f>IF(L65="","",IF(L65&gt;Config!$B$8,"A cair",IF(N(G65)&gt;=MIN(MAX(1,N(E65)),MAX(0,INT((Config!$B$8-L65)/30)+1)),IF(N(G65)&gt;=MAX(1,N(E65)),"Conferido","Conferido até aqui"),"A conferir")))</f>
        <v>Conferido</v>
      </c>
      <c r="S65" s="51">
        <f>IF(R65="A conferir",(Config!$B$8-L65)*1000+N(F65)/1000+ROW()/100000,0)</f>
        <v>0</v>
      </c>
      <c r="T65" s="51">
        <f>IF(R65="A conferir",N(N65),0)</f>
        <v>0</v>
      </c>
      <c r="U65" s="51">
        <f>IF(L65="",0,L65)</f>
        <v>46198.0</v>
      </c>
      <c r="V65" s="51">
        <f>IF(L65="",0,MAX(1,N(E65)))</f>
        <v>1</v>
      </c>
      <c r="W65" s="51">
        <f>IF(K65="",0,K65)</f>
        <v>380</v>
      </c>
    </row>
    <row r="66">
      <c r="A66" s="49" t="n">
        <v>46198</v>
      </c>
      <c r="B66" s="41" t="inlineStr">
        <is>
          <t>Fábio Ferreira</t>
        </is>
      </c>
      <c r="C66" s="41" t="inlineStr">
        <is>
          <t>Avaliação endócrina</t>
        </is>
      </c>
      <c r="D66" s="42" t="inlineStr">
        <is>
          <t>Pix</t>
        </is>
      </c>
      <c r="E66" s="42" t="n"/>
      <c r="F66" s="50" t="n">
        <v>400</v>
      </c>
      <c r="G66" s="42" t="n">
        <v>1</v>
      </c>
      <c r="H66" s="30">
        <f>IF(D66="","",IFERROR(INDEX(Config!$B$12:$B$15,MATCH(IF(AND(D66="Cartão de crédito",N(E66)&gt;1),"Cartão de crédito parcelado",D66),Config!$A$12:$A$15,0)),0)+IF(AND(Config!$B$17="Sim",LEFT(D66,17)="Cartão de crédito"),Config!$B$18*IFERROR(INDEX(Config!$C$12:$C$15,MATCH(IF(AND(D66="Cartão de crédito",N(E66)&gt;1),"Cartão de crédito parcelado",D66),Config!$A$12:$A$15,0)),0)/30*MAX(1,N(E66)),0))</f>
        <v>0</v>
      </c>
      <c r="I66" s="29">
        <f>IF(OR(D66="",F66=""),"",ROUND(F66*H66,2))</f>
        <v>0</v>
      </c>
      <c r="J66" s="29">
        <f>IF(I66="","",F66-I66)</f>
        <v>400</v>
      </c>
      <c r="K66" s="29">
        <f>IF(J66="","",J66/MAX(1,N(E66)))</f>
        <v>400</v>
      </c>
      <c r="L66" s="37">
        <f>IF(OR(D66="",A66=""),"",A66+IF(AND(Config!$B$17="Sim",LEFT(D66,17)="Cartão de crédito"),1,IFERROR(INDEX(Config!$C$12:$C$15,MATCH(IF(AND(D66="Cartão de crédito",N(E66)&gt;1),"Cartão de crédito parcelado",D66),Config!$A$12:$A$15,0)),0)))</f>
        <v>46198.0</v>
      </c>
      <c r="M66" s="37">
        <f>IF(L66="","",IF(AND(Config!$B$17="Sim",LEFT(D66,17)="Cartão de crédito"),L66,L66+30*(MAX(1,N(E66))-1)))</f>
        <v>46198.0</v>
      </c>
      <c r="N66" s="29">
        <f>IF(OR(L66="",K66=""),"",K66*MIN(MAX(1,N(E66)),MAX(0,INT((Config!$B$8-L66)/30)+1)))</f>
        <v>400</v>
      </c>
      <c r="O66" s="29">
        <f>IF(J66="","",J66-N(N66))</f>
        <v>0</v>
      </c>
      <c r="P66" s="27">
        <f>IF(A66="","",MONTH(A66))</f>
        <v>6</v>
      </c>
      <c r="Q66" s="27">
        <f>IF(A66="","",YEAR(A66))</f>
        <v>2026</v>
      </c>
      <c r="R66" s="27" t="str">
        <f>IF(L66="","",IF(L66&gt;Config!$B$8,"A cair",IF(N(G66)&gt;=MIN(MAX(1,N(E66)),MAX(0,INT((Config!$B$8-L66)/30)+1)),IF(N(G66)&gt;=MAX(1,N(E66)),"Conferido","Conferido até aqui"),"A conferir")))</f>
        <v>Conferido</v>
      </c>
      <c r="S66" s="51">
        <f>IF(R66="A conferir",(Config!$B$8-L66)*1000+N(F66)/1000+ROW()/100000,0)</f>
        <v>0</v>
      </c>
      <c r="T66" s="51">
        <f>IF(R66="A conferir",N(N66),0)</f>
        <v>0</v>
      </c>
      <c r="U66" s="51">
        <f>IF(L66="",0,L66)</f>
        <v>46198.0</v>
      </c>
      <c r="V66" s="51">
        <f>IF(L66="",0,MAX(1,N(E66)))</f>
        <v>1</v>
      </c>
      <c r="W66" s="51">
        <f>IF(K66="",0,K66)</f>
        <v>400</v>
      </c>
    </row>
    <row r="67">
      <c r="A67" s="49" t="n">
        <v>46198</v>
      </c>
      <c r="B67" s="41" t="inlineStr">
        <is>
          <t>Gabriel Fernandes</t>
        </is>
      </c>
      <c r="C67" s="41" t="inlineStr">
        <is>
          <t>Consulta</t>
        </is>
      </c>
      <c r="D67" s="42" t="inlineStr">
        <is>
          <t>Pix</t>
        </is>
      </c>
      <c r="E67" s="42" t="n"/>
      <c r="F67" s="50" t="n">
        <v>380</v>
      </c>
      <c r="G67" s="42" t="n">
        <v>1</v>
      </c>
      <c r="H67" s="30">
        <f>IF(D67="","",IFERROR(INDEX(Config!$B$12:$B$15,MATCH(IF(AND(D67="Cartão de crédito",N(E67)&gt;1),"Cartão de crédito parcelado",D67),Config!$A$12:$A$15,0)),0)+IF(AND(Config!$B$17="Sim",LEFT(D67,17)="Cartão de crédito"),Config!$B$18*IFERROR(INDEX(Config!$C$12:$C$15,MATCH(IF(AND(D67="Cartão de crédito",N(E67)&gt;1),"Cartão de crédito parcelado",D67),Config!$A$12:$A$15,0)),0)/30*MAX(1,N(E67)),0))</f>
        <v>0</v>
      </c>
      <c r="I67" s="29">
        <f>IF(OR(D67="",F67=""),"",ROUND(F67*H67,2))</f>
        <v>0</v>
      </c>
      <c r="J67" s="29">
        <f>IF(I67="","",F67-I67)</f>
        <v>380</v>
      </c>
      <c r="K67" s="29">
        <f>IF(J67="","",J67/MAX(1,N(E67)))</f>
        <v>380</v>
      </c>
      <c r="L67" s="37">
        <f>IF(OR(D67="",A67=""),"",A67+IF(AND(Config!$B$17="Sim",LEFT(D67,17)="Cartão de crédito"),1,IFERROR(INDEX(Config!$C$12:$C$15,MATCH(IF(AND(D67="Cartão de crédito",N(E67)&gt;1),"Cartão de crédito parcelado",D67),Config!$A$12:$A$15,0)),0)))</f>
        <v>46198.0</v>
      </c>
      <c r="M67" s="37">
        <f>IF(L67="","",IF(AND(Config!$B$17="Sim",LEFT(D67,17)="Cartão de crédito"),L67,L67+30*(MAX(1,N(E67))-1)))</f>
        <v>46198.0</v>
      </c>
      <c r="N67" s="29">
        <f>IF(OR(L67="",K67=""),"",K67*MIN(MAX(1,N(E67)),MAX(0,INT((Config!$B$8-L67)/30)+1)))</f>
        <v>380</v>
      </c>
      <c r="O67" s="29">
        <f>IF(J67="","",J67-N(N67))</f>
        <v>0</v>
      </c>
      <c r="P67" s="27">
        <f>IF(A67="","",MONTH(A67))</f>
        <v>6</v>
      </c>
      <c r="Q67" s="27">
        <f>IF(A67="","",YEAR(A67))</f>
        <v>2026</v>
      </c>
      <c r="R67" s="27" t="str">
        <f>IF(L67="","",IF(L67&gt;Config!$B$8,"A cair",IF(N(G67)&gt;=MIN(MAX(1,N(E67)),MAX(0,INT((Config!$B$8-L67)/30)+1)),IF(N(G67)&gt;=MAX(1,N(E67)),"Conferido","Conferido até aqui"),"A conferir")))</f>
        <v>Conferido</v>
      </c>
      <c r="S67" s="51">
        <f>IF(R67="A conferir",(Config!$B$8-L67)*1000+N(F67)/1000+ROW()/100000,0)</f>
        <v>0</v>
      </c>
      <c r="T67" s="51">
        <f>IF(R67="A conferir",N(N67),0)</f>
        <v>0</v>
      </c>
      <c r="U67" s="51">
        <f>IF(L67="",0,L67)</f>
        <v>46198.0</v>
      </c>
      <c r="V67" s="51">
        <f>IF(L67="",0,MAX(1,N(E67)))</f>
        <v>1</v>
      </c>
      <c r="W67" s="51">
        <f>IF(K67="",0,K67)</f>
        <v>380</v>
      </c>
    </row>
    <row r="68">
      <c r="A68" s="49" t="n">
        <v>46199</v>
      </c>
      <c r="B68" s="41" t="inlineStr">
        <is>
          <t>Marcelo Ferreira</t>
        </is>
      </c>
      <c r="C68" s="41" t="inlineStr">
        <is>
          <t>Consulta</t>
        </is>
      </c>
      <c r="D68" s="42" t="inlineStr">
        <is>
          <t>Cartão de débito</t>
        </is>
      </c>
      <c r="E68" s="42" t="n"/>
      <c r="F68" s="50" t="n">
        <v>380</v>
      </c>
      <c r="G68" s="42" t="n">
        <v>1</v>
      </c>
      <c r="H68" s="30">
        <f>IF(D68="","",IFERROR(INDEX(Config!$B$12:$B$15,MATCH(IF(AND(D68="Cartão de crédito",N(E68)&gt;1),"Cartão de crédito parcelado",D68),Config!$A$12:$A$15,0)),0)+IF(AND(Config!$B$17="Sim",LEFT(D68,17)="Cartão de crédito"),Config!$B$18*IFERROR(INDEX(Config!$C$12:$C$15,MATCH(IF(AND(D68="Cartão de crédito",N(E68)&gt;1),"Cartão de crédito parcelado",D68),Config!$A$12:$A$15,0)),0)/30*MAX(1,N(E68)),0))</f>
        <v>0.015</v>
      </c>
      <c r="I68" s="29">
        <f>IF(OR(D68="",F68=""),"",ROUND(F68*H68,2))</f>
        <v>5.7</v>
      </c>
      <c r="J68" s="29">
        <f>IF(I68="","",F68-I68)</f>
        <v>374.3</v>
      </c>
      <c r="K68" s="29">
        <f>IF(J68="","",J68/MAX(1,N(E68)))</f>
        <v>374.3</v>
      </c>
      <c r="L68" s="37">
        <f>IF(OR(D68="",A68=""),"",A68+IF(AND(Config!$B$17="Sim",LEFT(D68,17)="Cartão de crédito"),1,IFERROR(INDEX(Config!$C$12:$C$15,MATCH(IF(AND(D68="Cartão de crédito",N(E68)&gt;1),"Cartão de crédito parcelado",D68),Config!$A$12:$A$15,0)),0)))</f>
        <v>46200.0</v>
      </c>
      <c r="M68" s="37">
        <f>IF(L68="","",IF(AND(Config!$B$17="Sim",LEFT(D68,17)="Cartão de crédito"),L68,L68+30*(MAX(1,N(E68))-1)))</f>
        <v>46200.0</v>
      </c>
      <c r="N68" s="29">
        <f>IF(OR(L68="",K68=""),"",K68*MIN(MAX(1,N(E68)),MAX(0,INT((Config!$B$8-L68)/30)+1)))</f>
        <v>374.3</v>
      </c>
      <c r="O68" s="29">
        <f>IF(J68="","",J68-N(N68))</f>
        <v>0</v>
      </c>
      <c r="P68" s="27">
        <f>IF(A68="","",MONTH(A68))</f>
        <v>6</v>
      </c>
      <c r="Q68" s="27">
        <f>IF(A68="","",YEAR(A68))</f>
        <v>2026</v>
      </c>
      <c r="R68" s="27" t="str">
        <f>IF(L68="","",IF(L68&gt;Config!$B$8,"A cair",IF(N(G68)&gt;=MIN(MAX(1,N(E68)),MAX(0,INT((Config!$B$8-L68)/30)+1)),IF(N(G68)&gt;=MAX(1,N(E68)),"Conferido","Conferido até aqui"),"A conferir")))</f>
        <v>Conferido</v>
      </c>
      <c r="S68" s="51">
        <f>IF(R68="A conferir",(Config!$B$8-L68)*1000+N(F68)/1000+ROW()/100000,0)</f>
        <v>0</v>
      </c>
      <c r="T68" s="51">
        <f>IF(R68="A conferir",N(N68),0)</f>
        <v>0</v>
      </c>
      <c r="U68" s="51">
        <f>IF(L68="",0,L68)</f>
        <v>46200.0</v>
      </c>
      <c r="V68" s="51">
        <f>IF(L68="",0,MAX(1,N(E68)))</f>
        <v>1</v>
      </c>
      <c r="W68" s="51">
        <f>IF(K68="",0,K68)</f>
        <v>374.3</v>
      </c>
    </row>
    <row r="69">
      <c r="A69" s="49" t="n">
        <v>46199</v>
      </c>
      <c r="B69" s="41" t="inlineStr">
        <is>
          <t>Mariana Nascimento</t>
        </is>
      </c>
      <c r="C69" s="41" t="inlineStr">
        <is>
          <t>MAPA</t>
        </is>
      </c>
      <c r="D69" s="42" t="inlineStr">
        <is>
          <t>Pix</t>
        </is>
      </c>
      <c r="E69" s="42" t="n"/>
      <c r="F69" s="50" t="n">
        <v>300</v>
      </c>
      <c r="G69" s="42" t="n">
        <v>1</v>
      </c>
      <c r="H69" s="30">
        <f>IF(D69="","",IFERROR(INDEX(Config!$B$12:$B$15,MATCH(IF(AND(D69="Cartão de crédito",N(E69)&gt;1),"Cartão de crédito parcelado",D69),Config!$A$12:$A$15,0)),0)+IF(AND(Config!$B$17="Sim",LEFT(D69,17)="Cartão de crédito"),Config!$B$18*IFERROR(INDEX(Config!$C$12:$C$15,MATCH(IF(AND(D69="Cartão de crédito",N(E69)&gt;1),"Cartão de crédito parcelado",D69),Config!$A$12:$A$15,0)),0)/30*MAX(1,N(E69)),0))</f>
        <v>0</v>
      </c>
      <c r="I69" s="29">
        <f>IF(OR(D69="",F69=""),"",ROUND(F69*H69,2))</f>
        <v>0</v>
      </c>
      <c r="J69" s="29">
        <f>IF(I69="","",F69-I69)</f>
        <v>300</v>
      </c>
      <c r="K69" s="29">
        <f>IF(J69="","",J69/MAX(1,N(E69)))</f>
        <v>300</v>
      </c>
      <c r="L69" s="37">
        <f>IF(OR(D69="",A69=""),"",A69+IF(AND(Config!$B$17="Sim",LEFT(D69,17)="Cartão de crédito"),1,IFERROR(INDEX(Config!$C$12:$C$15,MATCH(IF(AND(D69="Cartão de crédito",N(E69)&gt;1),"Cartão de crédito parcelado",D69),Config!$A$12:$A$15,0)),0)))</f>
        <v>46199.0</v>
      </c>
      <c r="M69" s="37">
        <f>IF(L69="","",IF(AND(Config!$B$17="Sim",LEFT(D69,17)="Cartão de crédito"),L69,L69+30*(MAX(1,N(E69))-1)))</f>
        <v>46199.0</v>
      </c>
      <c r="N69" s="29">
        <f>IF(OR(L69="",K69=""),"",K69*MIN(MAX(1,N(E69)),MAX(0,INT((Config!$B$8-L69)/30)+1)))</f>
        <v>300</v>
      </c>
      <c r="O69" s="29">
        <f>IF(J69="","",J69-N(N69))</f>
        <v>0</v>
      </c>
      <c r="P69" s="27">
        <f>IF(A69="","",MONTH(A69))</f>
        <v>6</v>
      </c>
      <c r="Q69" s="27">
        <f>IF(A69="","",YEAR(A69))</f>
        <v>2026</v>
      </c>
      <c r="R69" s="27" t="str">
        <f>IF(L69="","",IF(L69&gt;Config!$B$8,"A cair",IF(N(G69)&gt;=MIN(MAX(1,N(E69)),MAX(0,INT((Config!$B$8-L69)/30)+1)),IF(N(G69)&gt;=MAX(1,N(E69)),"Conferido","Conferido até aqui"),"A conferir")))</f>
        <v>Conferido</v>
      </c>
      <c r="S69" s="51">
        <f>IF(R69="A conferir",(Config!$B$8-L69)*1000+N(F69)/1000+ROW()/100000,0)</f>
        <v>0</v>
      </c>
      <c r="T69" s="51">
        <f>IF(R69="A conferir",N(N69),0)</f>
        <v>0</v>
      </c>
      <c r="U69" s="51">
        <f>IF(L69="",0,L69)</f>
        <v>46199.0</v>
      </c>
      <c r="V69" s="51">
        <f>IF(L69="",0,MAX(1,N(E69)))</f>
        <v>1</v>
      </c>
      <c r="W69" s="51">
        <f>IF(K69="",0,K69)</f>
        <v>300</v>
      </c>
    </row>
    <row r="70">
      <c r="A70" s="49" t="n">
        <v>46202</v>
      </c>
      <c r="B70" s="41" t="inlineStr">
        <is>
          <t>Roberta Araújo</t>
        </is>
      </c>
      <c r="C70" s="41" t="inlineStr">
        <is>
          <t>Consulta</t>
        </is>
      </c>
      <c r="D70" s="42" t="inlineStr">
        <is>
          <t>Cartão de débito</t>
        </is>
      </c>
      <c r="E70" s="42" t="n"/>
      <c r="F70" s="50" t="n">
        <v>380</v>
      </c>
      <c r="G70" s="42" t="n">
        <v>1</v>
      </c>
      <c r="H70" s="30">
        <f>IF(D70="","",IFERROR(INDEX(Config!$B$12:$B$15,MATCH(IF(AND(D70="Cartão de crédito",N(E70)&gt;1),"Cartão de crédito parcelado",D70),Config!$A$12:$A$15,0)),0)+IF(AND(Config!$B$17="Sim",LEFT(D70,17)="Cartão de crédito"),Config!$B$18*IFERROR(INDEX(Config!$C$12:$C$15,MATCH(IF(AND(D70="Cartão de crédito",N(E70)&gt;1),"Cartão de crédito parcelado",D70),Config!$A$12:$A$15,0)),0)/30*MAX(1,N(E70)),0))</f>
        <v>0.015</v>
      </c>
      <c r="I70" s="29">
        <f>IF(OR(D70="",F70=""),"",ROUND(F70*H70,2))</f>
        <v>5.7</v>
      </c>
      <c r="J70" s="29">
        <f>IF(I70="","",F70-I70)</f>
        <v>374.3</v>
      </c>
      <c r="K70" s="29">
        <f>IF(J70="","",J70/MAX(1,N(E70)))</f>
        <v>374.3</v>
      </c>
      <c r="L70" s="37">
        <f>IF(OR(D70="",A70=""),"",A70+IF(AND(Config!$B$17="Sim",LEFT(D70,17)="Cartão de crédito"),1,IFERROR(INDEX(Config!$C$12:$C$15,MATCH(IF(AND(D70="Cartão de crédito",N(E70)&gt;1),"Cartão de crédito parcelado",D70),Config!$A$12:$A$15,0)),0)))</f>
        <v>46203.0</v>
      </c>
      <c r="M70" s="37">
        <f>IF(L70="","",IF(AND(Config!$B$17="Sim",LEFT(D70,17)="Cartão de crédito"),L70,L70+30*(MAX(1,N(E70))-1)))</f>
        <v>46203.0</v>
      </c>
      <c r="N70" s="29">
        <f>IF(OR(L70="",K70=""),"",K70*MIN(MAX(1,N(E70)),MAX(0,INT((Config!$B$8-L70)/30)+1)))</f>
        <v>374.3</v>
      </c>
      <c r="O70" s="29">
        <f>IF(J70="","",J70-N(N70))</f>
        <v>0</v>
      </c>
      <c r="P70" s="27">
        <f>IF(A70="","",MONTH(A70))</f>
        <v>6</v>
      </c>
      <c r="Q70" s="27">
        <f>IF(A70="","",YEAR(A70))</f>
        <v>2026</v>
      </c>
      <c r="R70" s="27" t="str">
        <f>IF(L70="","",IF(L70&gt;Config!$B$8,"A cair",IF(N(G70)&gt;=MIN(MAX(1,N(E70)),MAX(0,INT((Config!$B$8-L70)/30)+1)),IF(N(G70)&gt;=MAX(1,N(E70)),"Conferido","Conferido até aqui"),"A conferir")))</f>
        <v>Conferido</v>
      </c>
      <c r="S70" s="51">
        <f>IF(R70="A conferir",(Config!$B$8-L70)*1000+N(F70)/1000+ROW()/100000,0)</f>
        <v>0</v>
      </c>
      <c r="T70" s="51">
        <f>IF(R70="A conferir",N(N70),0)</f>
        <v>0</v>
      </c>
      <c r="U70" s="51">
        <f>IF(L70="",0,L70)</f>
        <v>46203.0</v>
      </c>
      <c r="V70" s="51">
        <f>IF(L70="",0,MAX(1,N(E70)))</f>
        <v>1</v>
      </c>
      <c r="W70" s="51">
        <f>IF(K70="",0,K70)</f>
        <v>374.3</v>
      </c>
    </row>
    <row r="71">
      <c r="A71" s="49" t="n">
        <v>46202</v>
      </c>
      <c r="B71" s="41" t="inlineStr">
        <is>
          <t>Otávio Nascimento</t>
        </is>
      </c>
      <c r="C71" s="41" t="inlineStr">
        <is>
          <t>Consulta</t>
        </is>
      </c>
      <c r="D71" s="42" t="inlineStr">
        <is>
          <t>Cartão de crédito</t>
        </is>
      </c>
      <c r="E71" s="42" t="n">
        <v>2</v>
      </c>
      <c r="F71" s="50" t="n">
        <v>380</v>
      </c>
      <c r="G71" s="42" t="n">
        <v>2</v>
      </c>
      <c r="H71" s="30">
        <f>IF(D71="","",IFERROR(INDEX(Config!$B$12:$B$15,MATCH(IF(AND(D71="Cartão de crédito",N(E71)&gt;1),"Cartão de crédito parcelado",D71),Config!$A$12:$A$15,0)),0)+IF(AND(Config!$B$17="Sim",LEFT(D71,17)="Cartão de crédito"),Config!$B$18*IFERROR(INDEX(Config!$C$12:$C$15,MATCH(IF(AND(D71="Cartão de crédito",N(E71)&gt;1),"Cartão de crédito parcelado",D71),Config!$A$12:$A$15,0)),0)/30*MAX(1,N(E71)),0))</f>
        <v>0.039</v>
      </c>
      <c r="I71" s="29">
        <f>IF(OR(D71="",F71=""),"",ROUND(F71*H71,2))</f>
        <v>14.82</v>
      </c>
      <c r="J71" s="29">
        <f>IF(I71="","",F71-I71)</f>
        <v>365.18</v>
      </c>
      <c r="K71" s="29">
        <f>IF(J71="","",J71/MAX(1,N(E71)))</f>
        <v>182.59</v>
      </c>
      <c r="L71" s="37">
        <f>IF(OR(D71="",A71=""),"",A71+IF(AND(Config!$B$17="Sim",LEFT(D71,17)="Cartão de crédito"),1,IFERROR(INDEX(Config!$C$12:$C$15,MATCH(IF(AND(D71="Cartão de crédito",N(E71)&gt;1),"Cartão de crédito parcelado",D71),Config!$A$12:$A$15,0)),0)))</f>
        <v>46232.0</v>
      </c>
      <c r="M71" s="37">
        <f>IF(L71="","",IF(AND(Config!$B$17="Sim",LEFT(D71,17)="Cartão de crédito"),L71,L71+30*(MAX(1,N(E71))-1)))</f>
        <v>46262.0</v>
      </c>
      <c r="N71" s="29">
        <f>IF(OR(L71="",K71=""),"",K71*MIN(MAX(1,N(E71)),MAX(0,INT((Config!$B$8-L71)/30)+1)))</f>
        <v>365.18</v>
      </c>
      <c r="O71" s="29">
        <f>IF(J71="","",J71-N(N71))</f>
        <v>0</v>
      </c>
      <c r="P71" s="27">
        <f>IF(A71="","",MONTH(A71))</f>
        <v>6</v>
      </c>
      <c r="Q71" s="27">
        <f>IF(A71="","",YEAR(A71))</f>
        <v>2026</v>
      </c>
      <c r="R71" s="27" t="str">
        <f>IF(L71="","",IF(L71&gt;Config!$B$8,"A cair",IF(N(G71)&gt;=MIN(MAX(1,N(E71)),MAX(0,INT((Config!$B$8-L71)/30)+1)),IF(N(G71)&gt;=MAX(1,N(E71)),"Conferido","Conferido até aqui"),"A conferir")))</f>
        <v>Conferido</v>
      </c>
      <c r="S71" s="51">
        <f>IF(R71="A conferir",(Config!$B$8-L71)*1000+N(F71)/1000+ROW()/100000,0)</f>
        <v>0</v>
      </c>
      <c r="T71" s="51">
        <f>IF(R71="A conferir",N(N71),0)</f>
        <v>0</v>
      </c>
      <c r="U71" s="51">
        <f>IF(L71="",0,L71)</f>
        <v>46232.0</v>
      </c>
      <c r="V71" s="51">
        <f>IF(L71="",0,MAX(1,N(E71)))</f>
        <v>2</v>
      </c>
      <c r="W71" s="51">
        <f>IF(K71="",0,K71)</f>
        <v>182.59</v>
      </c>
    </row>
    <row r="72">
      <c r="A72" s="49" t="n">
        <v>46202</v>
      </c>
      <c r="B72" s="41" t="inlineStr">
        <is>
          <t>Roberta Araújo</t>
        </is>
      </c>
      <c r="C72" s="41" t="inlineStr">
        <is>
          <t>MAPA</t>
        </is>
      </c>
      <c r="D72" s="42" t="inlineStr">
        <is>
          <t>Pix</t>
        </is>
      </c>
      <c r="E72" s="42" t="n"/>
      <c r="F72" s="50" t="n">
        <v>300</v>
      </c>
      <c r="G72" s="42" t="n">
        <v>1</v>
      </c>
      <c r="H72" s="30">
        <f>IF(D72="","",IFERROR(INDEX(Config!$B$12:$B$15,MATCH(IF(AND(D72="Cartão de crédito",N(E72)&gt;1),"Cartão de crédito parcelado",D72),Config!$A$12:$A$15,0)),0)+IF(AND(Config!$B$17="Sim",LEFT(D72,17)="Cartão de crédito"),Config!$B$18*IFERROR(INDEX(Config!$C$12:$C$15,MATCH(IF(AND(D72="Cartão de crédito",N(E72)&gt;1),"Cartão de crédito parcelado",D72),Config!$A$12:$A$15,0)),0)/30*MAX(1,N(E72)),0))</f>
        <v>0</v>
      </c>
      <c r="I72" s="29">
        <f>IF(OR(D72="",F72=""),"",ROUND(F72*H72,2))</f>
        <v>0</v>
      </c>
      <c r="J72" s="29">
        <f>IF(I72="","",F72-I72)</f>
        <v>300</v>
      </c>
      <c r="K72" s="29">
        <f>IF(J72="","",J72/MAX(1,N(E72)))</f>
        <v>300</v>
      </c>
      <c r="L72" s="37">
        <f>IF(OR(D72="",A72=""),"",A72+IF(AND(Config!$B$17="Sim",LEFT(D72,17)="Cartão de crédito"),1,IFERROR(INDEX(Config!$C$12:$C$15,MATCH(IF(AND(D72="Cartão de crédito",N(E72)&gt;1),"Cartão de crédito parcelado",D72),Config!$A$12:$A$15,0)),0)))</f>
        <v>46202.0</v>
      </c>
      <c r="M72" s="37">
        <f>IF(L72="","",IF(AND(Config!$B$17="Sim",LEFT(D72,17)="Cartão de crédito"),L72,L72+30*(MAX(1,N(E72))-1)))</f>
        <v>46202.0</v>
      </c>
      <c r="N72" s="29">
        <f>IF(OR(L72="",K72=""),"",K72*MIN(MAX(1,N(E72)),MAX(0,INT((Config!$B$8-L72)/30)+1)))</f>
        <v>300</v>
      </c>
      <c r="O72" s="29">
        <f>IF(J72="","",J72-N(N72))</f>
        <v>0</v>
      </c>
      <c r="P72" s="27">
        <f>IF(A72="","",MONTH(A72))</f>
        <v>6</v>
      </c>
      <c r="Q72" s="27">
        <f>IF(A72="","",YEAR(A72))</f>
        <v>2026</v>
      </c>
      <c r="R72" s="27" t="str">
        <f>IF(L72="","",IF(L72&gt;Config!$B$8,"A cair",IF(N(G72)&gt;=MIN(MAX(1,N(E72)),MAX(0,INT((Config!$B$8-L72)/30)+1)),IF(N(G72)&gt;=MAX(1,N(E72)),"Conferido","Conferido até aqui"),"A conferir")))</f>
        <v>Conferido</v>
      </c>
      <c r="S72" s="51">
        <f>IF(R72="A conferir",(Config!$B$8-L72)*1000+N(F72)/1000+ROW()/100000,0)</f>
        <v>0</v>
      </c>
      <c r="T72" s="51">
        <f>IF(R72="A conferir",N(N72),0)</f>
        <v>0</v>
      </c>
      <c r="U72" s="51">
        <f>IF(L72="",0,L72)</f>
        <v>46202.0</v>
      </c>
      <c r="V72" s="51">
        <f>IF(L72="",0,MAX(1,N(E72)))</f>
        <v>1</v>
      </c>
      <c r="W72" s="51">
        <f>IF(K72="",0,K72)</f>
        <v>300</v>
      </c>
    </row>
    <row r="73">
      <c r="A73" s="49" t="n">
        <v>46202</v>
      </c>
      <c r="B73" s="41" t="inlineStr">
        <is>
          <t>Gisele Xavier</t>
        </is>
      </c>
      <c r="C73" s="41" t="inlineStr">
        <is>
          <t>ECG</t>
        </is>
      </c>
      <c r="D73" s="42" t="inlineStr">
        <is>
          <t>Cartão de débito</t>
        </is>
      </c>
      <c r="E73" s="42" t="n"/>
      <c r="F73" s="50" t="n">
        <v>130</v>
      </c>
      <c r="G73" s="42" t="n">
        <v>1</v>
      </c>
      <c r="H73" s="30">
        <f>IF(D73="","",IFERROR(INDEX(Config!$B$12:$B$15,MATCH(IF(AND(D73="Cartão de crédito",N(E73)&gt;1),"Cartão de crédito parcelado",D73),Config!$A$12:$A$15,0)),0)+IF(AND(Config!$B$17="Sim",LEFT(D73,17)="Cartão de crédito"),Config!$B$18*IFERROR(INDEX(Config!$C$12:$C$15,MATCH(IF(AND(D73="Cartão de crédito",N(E73)&gt;1),"Cartão de crédito parcelado",D73),Config!$A$12:$A$15,0)),0)/30*MAX(1,N(E73)),0))</f>
        <v>0.015</v>
      </c>
      <c r="I73" s="29">
        <f>IF(OR(D73="",F73=""),"",ROUND(F73*H73,2))</f>
        <v>1.95</v>
      </c>
      <c r="J73" s="29">
        <f>IF(I73="","",F73-I73)</f>
        <v>128.05</v>
      </c>
      <c r="K73" s="29">
        <f>IF(J73="","",J73/MAX(1,N(E73)))</f>
        <v>128.05</v>
      </c>
      <c r="L73" s="37">
        <f>IF(OR(D73="",A73=""),"",A73+IF(AND(Config!$B$17="Sim",LEFT(D73,17)="Cartão de crédito"),1,IFERROR(INDEX(Config!$C$12:$C$15,MATCH(IF(AND(D73="Cartão de crédito",N(E73)&gt;1),"Cartão de crédito parcelado",D73),Config!$A$12:$A$15,0)),0)))</f>
        <v>46203.0</v>
      </c>
      <c r="M73" s="37">
        <f>IF(L73="","",IF(AND(Config!$B$17="Sim",LEFT(D73,17)="Cartão de crédito"),L73,L73+30*(MAX(1,N(E73))-1)))</f>
        <v>46203.0</v>
      </c>
      <c r="N73" s="29">
        <f>IF(OR(L73="",K73=""),"",K73*MIN(MAX(1,N(E73)),MAX(0,INT((Config!$B$8-L73)/30)+1)))</f>
        <v>128.05</v>
      </c>
      <c r="O73" s="29">
        <f>IF(J73="","",J73-N(N73))</f>
        <v>0</v>
      </c>
      <c r="P73" s="27">
        <f>IF(A73="","",MONTH(A73))</f>
        <v>6</v>
      </c>
      <c r="Q73" s="27">
        <f>IF(A73="","",YEAR(A73))</f>
        <v>2026</v>
      </c>
      <c r="R73" s="27" t="str">
        <f>IF(L73="","",IF(L73&gt;Config!$B$8,"A cair",IF(N(G73)&gt;=MIN(MAX(1,N(E73)),MAX(0,INT((Config!$B$8-L73)/30)+1)),IF(N(G73)&gt;=MAX(1,N(E73)),"Conferido","Conferido até aqui"),"A conferir")))</f>
        <v>Conferido</v>
      </c>
      <c r="S73" s="51">
        <f>IF(R73="A conferir",(Config!$B$8-L73)*1000+N(F73)/1000+ROW()/100000,0)</f>
        <v>0</v>
      </c>
      <c r="T73" s="51">
        <f>IF(R73="A conferir",N(N73),0)</f>
        <v>0</v>
      </c>
      <c r="U73" s="51">
        <f>IF(L73="",0,L73)</f>
        <v>46203.0</v>
      </c>
      <c r="V73" s="51">
        <f>IF(L73="",0,MAX(1,N(E73)))</f>
        <v>1</v>
      </c>
      <c r="W73" s="51">
        <f>IF(K73="",0,K73)</f>
        <v>128.05</v>
      </c>
    </row>
    <row r="74">
      <c r="A74" s="49" t="n">
        <v>46203</v>
      </c>
      <c r="B74" s="41" t="inlineStr">
        <is>
          <t>Gisele Ribeiro</t>
        </is>
      </c>
      <c r="C74" s="41" t="inlineStr">
        <is>
          <t>Consulta</t>
        </is>
      </c>
      <c r="D74" s="42" t="inlineStr">
        <is>
          <t>Cartão de crédito</t>
        </is>
      </c>
      <c r="E74" s="42" t="n"/>
      <c r="F74" s="50" t="n">
        <v>380</v>
      </c>
      <c r="G74" s="42" t="n">
        <v>1</v>
      </c>
      <c r="H74" s="30">
        <f>IF(D74="","",IFERROR(INDEX(Config!$B$12:$B$15,MATCH(IF(AND(D74="Cartão de crédito",N(E74)&gt;1),"Cartão de crédito parcelado",D74),Config!$A$12:$A$15,0)),0)+IF(AND(Config!$B$17="Sim",LEFT(D74,17)="Cartão de crédito"),Config!$B$18*IFERROR(INDEX(Config!$C$12:$C$15,MATCH(IF(AND(D74="Cartão de crédito",N(E74)&gt;1),"Cartão de crédito parcelado",D74),Config!$A$12:$A$15,0)),0)/30*MAX(1,N(E74)),0))</f>
        <v>0.032</v>
      </c>
      <c r="I74" s="29">
        <f>IF(OR(D74="",F74=""),"",ROUND(F74*H74,2))</f>
        <v>12.16</v>
      </c>
      <c r="J74" s="29">
        <f>IF(I74="","",F74-I74)</f>
        <v>367.84</v>
      </c>
      <c r="K74" s="29">
        <f>IF(J74="","",J74/MAX(1,N(E74)))</f>
        <v>367.84</v>
      </c>
      <c r="L74" s="37">
        <f>IF(OR(D74="",A74=""),"",A74+IF(AND(Config!$B$17="Sim",LEFT(D74,17)="Cartão de crédito"),1,IFERROR(INDEX(Config!$C$12:$C$15,MATCH(IF(AND(D74="Cartão de crédito",N(E74)&gt;1),"Cartão de crédito parcelado",D74),Config!$A$12:$A$15,0)),0)))</f>
        <v>46233.0</v>
      </c>
      <c r="M74" s="37">
        <f>IF(L74="","",IF(AND(Config!$B$17="Sim",LEFT(D74,17)="Cartão de crédito"),L74,L74+30*(MAX(1,N(E74))-1)))</f>
        <v>46233.0</v>
      </c>
      <c r="N74" s="29">
        <f>IF(OR(L74="",K74=""),"",K74*MIN(MAX(1,N(E74)),MAX(0,INT((Config!$B$8-L74)/30)+1)))</f>
        <v>367.84</v>
      </c>
      <c r="O74" s="29">
        <f>IF(J74="","",J74-N(N74))</f>
        <v>0</v>
      </c>
      <c r="P74" s="27">
        <f>IF(A74="","",MONTH(A74))</f>
        <v>6</v>
      </c>
      <c r="Q74" s="27">
        <f>IF(A74="","",YEAR(A74))</f>
        <v>2026</v>
      </c>
      <c r="R74" s="27" t="str">
        <f>IF(L74="","",IF(L74&gt;Config!$B$8,"A cair",IF(N(G74)&gt;=MIN(MAX(1,N(E74)),MAX(0,INT((Config!$B$8-L74)/30)+1)),IF(N(G74)&gt;=MAX(1,N(E74)),"Conferido","Conferido até aqui"),"A conferir")))</f>
        <v>Conferido</v>
      </c>
      <c r="S74" s="51">
        <f>IF(R74="A conferir",(Config!$B$8-L74)*1000+N(F74)/1000+ROW()/100000,0)</f>
        <v>0</v>
      </c>
      <c r="T74" s="51">
        <f>IF(R74="A conferir",N(N74),0)</f>
        <v>0</v>
      </c>
      <c r="U74" s="51">
        <f>IF(L74="",0,L74)</f>
        <v>46233.0</v>
      </c>
      <c r="V74" s="51">
        <f>IF(L74="",0,MAX(1,N(E74)))</f>
        <v>1</v>
      </c>
      <c r="W74" s="51">
        <f>IF(K74="",0,K74)</f>
        <v>367.84</v>
      </c>
    </row>
    <row r="75">
      <c r="A75" s="49" t="n">
        <v>46203</v>
      </c>
      <c r="B75" s="41" t="inlineStr">
        <is>
          <t>Marcelo Santos</t>
        </is>
      </c>
      <c r="C75" s="41" t="inlineStr">
        <is>
          <t>Consulta</t>
        </is>
      </c>
      <c r="D75" s="42" t="inlineStr">
        <is>
          <t>Cartão de crédito</t>
        </is>
      </c>
      <c r="E75" s="42" t="n"/>
      <c r="F75" s="50" t="n">
        <v>380</v>
      </c>
      <c r="G75" s="42" t="n">
        <v>1</v>
      </c>
      <c r="H75" s="30">
        <f>IF(D75="","",IFERROR(INDEX(Config!$B$12:$B$15,MATCH(IF(AND(D75="Cartão de crédito",N(E75)&gt;1),"Cartão de crédito parcelado",D75),Config!$A$12:$A$15,0)),0)+IF(AND(Config!$B$17="Sim",LEFT(D75,17)="Cartão de crédito"),Config!$B$18*IFERROR(INDEX(Config!$C$12:$C$15,MATCH(IF(AND(D75="Cartão de crédito",N(E75)&gt;1),"Cartão de crédito parcelado",D75),Config!$A$12:$A$15,0)),0)/30*MAX(1,N(E75)),0))</f>
        <v>0.032</v>
      </c>
      <c r="I75" s="29">
        <f>IF(OR(D75="",F75=""),"",ROUND(F75*H75,2))</f>
        <v>12.16</v>
      </c>
      <c r="J75" s="29">
        <f>IF(I75="","",F75-I75)</f>
        <v>367.84</v>
      </c>
      <c r="K75" s="29">
        <f>IF(J75="","",J75/MAX(1,N(E75)))</f>
        <v>367.84</v>
      </c>
      <c r="L75" s="37">
        <f>IF(OR(D75="",A75=""),"",A75+IF(AND(Config!$B$17="Sim",LEFT(D75,17)="Cartão de crédito"),1,IFERROR(INDEX(Config!$C$12:$C$15,MATCH(IF(AND(D75="Cartão de crédito",N(E75)&gt;1),"Cartão de crédito parcelado",D75),Config!$A$12:$A$15,0)),0)))</f>
        <v>46233.0</v>
      </c>
      <c r="M75" s="37">
        <f>IF(L75="","",IF(AND(Config!$B$17="Sim",LEFT(D75,17)="Cartão de crédito"),L75,L75+30*(MAX(1,N(E75))-1)))</f>
        <v>46233.0</v>
      </c>
      <c r="N75" s="29">
        <f>IF(OR(L75="",K75=""),"",K75*MIN(MAX(1,N(E75)),MAX(0,INT((Config!$B$8-L75)/30)+1)))</f>
        <v>367.84</v>
      </c>
      <c r="O75" s="29">
        <f>IF(J75="","",J75-N(N75))</f>
        <v>0</v>
      </c>
      <c r="P75" s="27">
        <f>IF(A75="","",MONTH(A75))</f>
        <v>6</v>
      </c>
      <c r="Q75" s="27">
        <f>IF(A75="","",YEAR(A75))</f>
        <v>2026</v>
      </c>
      <c r="R75" s="27" t="str">
        <f>IF(L75="","",IF(L75&gt;Config!$B$8,"A cair",IF(N(G75)&gt;=MIN(MAX(1,N(E75)),MAX(0,INT((Config!$B$8-L75)/30)+1)),IF(N(G75)&gt;=MAX(1,N(E75)),"Conferido","Conferido até aqui"),"A conferir")))</f>
        <v>Conferido</v>
      </c>
      <c r="S75" s="51">
        <f>IF(R75="A conferir",(Config!$B$8-L75)*1000+N(F75)/1000+ROW()/100000,0)</f>
        <v>0</v>
      </c>
      <c r="T75" s="51">
        <f>IF(R75="A conferir",N(N75),0)</f>
        <v>0</v>
      </c>
      <c r="U75" s="51">
        <f>IF(L75="",0,L75)</f>
        <v>46233.0</v>
      </c>
      <c r="V75" s="51">
        <f>IF(L75="",0,MAX(1,N(E75)))</f>
        <v>1</v>
      </c>
      <c r="W75" s="51">
        <f>IF(K75="",0,K75)</f>
        <v>367.84</v>
      </c>
    </row>
    <row r="76">
      <c r="A76" s="49" t="n">
        <v>46203</v>
      </c>
      <c r="B76" s="41" t="inlineStr">
        <is>
          <t>Elaine Cardoso</t>
        </is>
      </c>
      <c r="C76" s="41" t="inlineStr">
        <is>
          <t>Consulta</t>
        </is>
      </c>
      <c r="D76" s="42" t="inlineStr">
        <is>
          <t>Cartão de débito</t>
        </is>
      </c>
      <c r="E76" s="42" t="n"/>
      <c r="F76" s="50" t="n">
        <v>380</v>
      </c>
      <c r="G76" s="42" t="n">
        <v>1</v>
      </c>
      <c r="H76" s="30">
        <f>IF(D76="","",IFERROR(INDEX(Config!$B$12:$B$15,MATCH(IF(AND(D76="Cartão de crédito",N(E76)&gt;1),"Cartão de crédito parcelado",D76),Config!$A$12:$A$15,0)),0)+IF(AND(Config!$B$17="Sim",LEFT(D76,17)="Cartão de crédito"),Config!$B$18*IFERROR(INDEX(Config!$C$12:$C$15,MATCH(IF(AND(D76="Cartão de crédito",N(E76)&gt;1),"Cartão de crédito parcelado",D76),Config!$A$12:$A$15,0)),0)/30*MAX(1,N(E76)),0))</f>
        <v>0.015</v>
      </c>
      <c r="I76" s="29">
        <f>IF(OR(D76="",F76=""),"",ROUND(F76*H76,2))</f>
        <v>5.7</v>
      </c>
      <c r="J76" s="29">
        <f>IF(I76="","",F76-I76)</f>
        <v>374.3</v>
      </c>
      <c r="K76" s="29">
        <f>IF(J76="","",J76/MAX(1,N(E76)))</f>
        <v>374.3</v>
      </c>
      <c r="L76" s="37">
        <f>IF(OR(D76="",A76=""),"",A76+IF(AND(Config!$B$17="Sim",LEFT(D76,17)="Cartão de crédito"),1,IFERROR(INDEX(Config!$C$12:$C$15,MATCH(IF(AND(D76="Cartão de crédito",N(E76)&gt;1),"Cartão de crédito parcelado",D76),Config!$A$12:$A$15,0)),0)))</f>
        <v>46204.0</v>
      </c>
      <c r="M76" s="37">
        <f>IF(L76="","",IF(AND(Config!$B$17="Sim",LEFT(D76,17)="Cartão de crédito"),L76,L76+30*(MAX(1,N(E76))-1)))</f>
        <v>46204.0</v>
      </c>
      <c r="N76" s="29">
        <f>IF(OR(L76="",K76=""),"",K76*MIN(MAX(1,N(E76)),MAX(0,INT((Config!$B$8-L76)/30)+1)))</f>
        <v>374.3</v>
      </c>
      <c r="O76" s="29">
        <f>IF(J76="","",J76-N(N76))</f>
        <v>0</v>
      </c>
      <c r="P76" s="27">
        <f>IF(A76="","",MONTH(A76))</f>
        <v>6</v>
      </c>
      <c r="Q76" s="27">
        <f>IF(A76="","",YEAR(A76))</f>
        <v>2026</v>
      </c>
      <c r="R76" s="27" t="str">
        <f>IF(L76="","",IF(L76&gt;Config!$B$8,"A cair",IF(N(G76)&gt;=MIN(MAX(1,N(E76)),MAX(0,INT((Config!$B$8-L76)/30)+1)),IF(N(G76)&gt;=MAX(1,N(E76)),"Conferido","Conferido até aqui"),"A conferir")))</f>
        <v>Conferido</v>
      </c>
      <c r="S76" s="51">
        <f>IF(R76="A conferir",(Config!$B$8-L76)*1000+N(F76)/1000+ROW()/100000,0)</f>
        <v>0</v>
      </c>
      <c r="T76" s="51">
        <f>IF(R76="A conferir",N(N76),0)</f>
        <v>0</v>
      </c>
      <c r="U76" s="51">
        <f>IF(L76="",0,L76)</f>
        <v>46204.0</v>
      </c>
      <c r="V76" s="51">
        <f>IF(L76="",0,MAX(1,N(E76)))</f>
        <v>1</v>
      </c>
      <c r="W76" s="51">
        <f>IF(K76="",0,K76)</f>
        <v>374.3</v>
      </c>
    </row>
    <row r="77">
      <c r="A77" s="49" t="n">
        <v>46203</v>
      </c>
      <c r="B77" s="41" t="inlineStr">
        <is>
          <t>Regina Macedo</t>
        </is>
      </c>
      <c r="C77" s="41" t="inlineStr">
        <is>
          <t>Consulta</t>
        </is>
      </c>
      <c r="D77" s="42" t="inlineStr">
        <is>
          <t>Cartão de crédito</t>
        </is>
      </c>
      <c r="E77" s="42" t="n">
        <v>2</v>
      </c>
      <c r="F77" s="50" t="n">
        <v>380</v>
      </c>
      <c r="G77" s="42" t="n">
        <v>2</v>
      </c>
      <c r="H77" s="30">
        <f>IF(D77="","",IFERROR(INDEX(Config!$B$12:$B$15,MATCH(IF(AND(D77="Cartão de crédito",N(E77)&gt;1),"Cartão de crédito parcelado",D77),Config!$A$12:$A$15,0)),0)+IF(AND(Config!$B$17="Sim",LEFT(D77,17)="Cartão de crédito"),Config!$B$18*IFERROR(INDEX(Config!$C$12:$C$15,MATCH(IF(AND(D77="Cartão de crédito",N(E77)&gt;1),"Cartão de crédito parcelado",D77),Config!$A$12:$A$15,0)),0)/30*MAX(1,N(E77)),0))</f>
        <v>0.039</v>
      </c>
      <c r="I77" s="29">
        <f>IF(OR(D77="",F77=""),"",ROUND(F77*H77,2))</f>
        <v>14.82</v>
      </c>
      <c r="J77" s="29">
        <f>IF(I77="","",F77-I77)</f>
        <v>365.18</v>
      </c>
      <c r="K77" s="29">
        <f>IF(J77="","",J77/MAX(1,N(E77)))</f>
        <v>182.59</v>
      </c>
      <c r="L77" s="37">
        <f>IF(OR(D77="",A77=""),"",A77+IF(AND(Config!$B$17="Sim",LEFT(D77,17)="Cartão de crédito"),1,IFERROR(INDEX(Config!$C$12:$C$15,MATCH(IF(AND(D77="Cartão de crédito",N(E77)&gt;1),"Cartão de crédito parcelado",D77),Config!$A$12:$A$15,0)),0)))</f>
        <v>46233.0</v>
      </c>
      <c r="M77" s="37">
        <f>IF(L77="","",IF(AND(Config!$B$17="Sim",LEFT(D77,17)="Cartão de crédito"),L77,L77+30*(MAX(1,N(E77))-1)))</f>
        <v>46263.0</v>
      </c>
      <c r="N77" s="29">
        <f>IF(OR(L77="",K77=""),"",K77*MIN(MAX(1,N(E77)),MAX(0,INT((Config!$B$8-L77)/30)+1)))</f>
        <v>365.18</v>
      </c>
      <c r="O77" s="29">
        <f>IF(J77="","",J77-N(N77))</f>
        <v>0</v>
      </c>
      <c r="P77" s="27">
        <f>IF(A77="","",MONTH(A77))</f>
        <v>6</v>
      </c>
      <c r="Q77" s="27">
        <f>IF(A77="","",YEAR(A77))</f>
        <v>2026</v>
      </c>
      <c r="R77" s="27" t="str">
        <f>IF(L77="","",IF(L77&gt;Config!$B$8,"A cair",IF(N(G77)&gt;=MIN(MAX(1,N(E77)),MAX(0,INT((Config!$B$8-L77)/30)+1)),IF(N(G77)&gt;=MAX(1,N(E77)),"Conferido","Conferido até aqui"),"A conferir")))</f>
        <v>Conferido</v>
      </c>
      <c r="S77" s="51">
        <f>IF(R77="A conferir",(Config!$B$8-L77)*1000+N(F77)/1000+ROW()/100000,0)</f>
        <v>0</v>
      </c>
      <c r="T77" s="51">
        <f>IF(R77="A conferir",N(N77),0)</f>
        <v>0</v>
      </c>
      <c r="U77" s="51">
        <f>IF(L77="",0,L77)</f>
        <v>46233.0</v>
      </c>
      <c r="V77" s="51">
        <f>IF(L77="",0,MAX(1,N(E77)))</f>
        <v>2</v>
      </c>
      <c r="W77" s="51">
        <f>IF(K77="",0,K77)</f>
        <v>182.59</v>
      </c>
    </row>
    <row r="78">
      <c r="A78" s="49" t="n">
        <v>46203</v>
      </c>
      <c r="B78" s="41" t="inlineStr">
        <is>
          <t>Fábio Correia</t>
        </is>
      </c>
      <c r="C78" s="41" t="inlineStr">
        <is>
          <t>Consulta</t>
        </is>
      </c>
      <c r="D78" s="42" t="inlineStr">
        <is>
          <t>Pix</t>
        </is>
      </c>
      <c r="E78" s="42" t="n"/>
      <c r="F78" s="50" t="n">
        <v>380</v>
      </c>
      <c r="G78" s="42" t="n">
        <v>1</v>
      </c>
      <c r="H78" s="30">
        <f>IF(D78="","",IFERROR(INDEX(Config!$B$12:$B$15,MATCH(IF(AND(D78="Cartão de crédito",N(E78)&gt;1),"Cartão de crédito parcelado",D78),Config!$A$12:$A$15,0)),0)+IF(AND(Config!$B$17="Sim",LEFT(D78,17)="Cartão de crédito"),Config!$B$18*IFERROR(INDEX(Config!$C$12:$C$15,MATCH(IF(AND(D78="Cartão de crédito",N(E78)&gt;1),"Cartão de crédito parcelado",D78),Config!$A$12:$A$15,0)),0)/30*MAX(1,N(E78)),0))</f>
        <v>0</v>
      </c>
      <c r="I78" s="29">
        <f>IF(OR(D78="",F78=""),"",ROUND(F78*H78,2))</f>
        <v>0</v>
      </c>
      <c r="J78" s="29">
        <f>IF(I78="","",F78-I78)</f>
        <v>380</v>
      </c>
      <c r="K78" s="29">
        <f>IF(J78="","",J78/MAX(1,N(E78)))</f>
        <v>380</v>
      </c>
      <c r="L78" s="37">
        <f>IF(OR(D78="",A78=""),"",A78+IF(AND(Config!$B$17="Sim",LEFT(D78,17)="Cartão de crédito"),1,IFERROR(INDEX(Config!$C$12:$C$15,MATCH(IF(AND(D78="Cartão de crédito",N(E78)&gt;1),"Cartão de crédito parcelado",D78),Config!$A$12:$A$15,0)),0)))</f>
        <v>46203.0</v>
      </c>
      <c r="M78" s="37">
        <f>IF(L78="","",IF(AND(Config!$B$17="Sim",LEFT(D78,17)="Cartão de crédito"),L78,L78+30*(MAX(1,N(E78))-1)))</f>
        <v>46203.0</v>
      </c>
      <c r="N78" s="29">
        <f>IF(OR(L78="",K78=""),"",K78*MIN(MAX(1,N(E78)),MAX(0,INT((Config!$B$8-L78)/30)+1)))</f>
        <v>380</v>
      </c>
      <c r="O78" s="29">
        <f>IF(J78="","",J78-N(N78))</f>
        <v>0</v>
      </c>
      <c r="P78" s="27">
        <f>IF(A78="","",MONTH(A78))</f>
        <v>6</v>
      </c>
      <c r="Q78" s="27">
        <f>IF(A78="","",YEAR(A78))</f>
        <v>2026</v>
      </c>
      <c r="R78" s="27" t="str">
        <f>IF(L78="","",IF(L78&gt;Config!$B$8,"A cair",IF(N(G78)&gt;=MIN(MAX(1,N(E78)),MAX(0,INT((Config!$B$8-L78)/30)+1)),IF(N(G78)&gt;=MAX(1,N(E78)),"Conferido","Conferido até aqui"),"A conferir")))</f>
        <v>Conferido</v>
      </c>
      <c r="S78" s="51">
        <f>IF(R78="A conferir",(Config!$B$8-L78)*1000+N(F78)/1000+ROW()/100000,0)</f>
        <v>0</v>
      </c>
      <c r="T78" s="51">
        <f>IF(R78="A conferir",N(N78),0)</f>
        <v>0</v>
      </c>
      <c r="U78" s="51">
        <f>IF(L78="",0,L78)</f>
        <v>46203.0</v>
      </c>
      <c r="V78" s="51">
        <f>IF(L78="",0,MAX(1,N(E78)))</f>
        <v>1</v>
      </c>
      <c r="W78" s="51">
        <f>IF(K78="",0,K78)</f>
        <v>380</v>
      </c>
    </row>
    <row r="79">
      <c r="A79" s="49" t="n">
        <v>46203</v>
      </c>
      <c r="B79" s="41" t="inlineStr">
        <is>
          <t>Eduardo Pereira</t>
        </is>
      </c>
      <c r="C79" s="41" t="inlineStr">
        <is>
          <t>Avaliação endócrina</t>
        </is>
      </c>
      <c r="D79" s="42" t="inlineStr">
        <is>
          <t>Cartão de crédito</t>
        </is>
      </c>
      <c r="E79" s="42" t="n">
        <v>2</v>
      </c>
      <c r="F79" s="50" t="n">
        <v>400</v>
      </c>
      <c r="G79" s="42" t="n">
        <v>2</v>
      </c>
      <c r="H79" s="30">
        <f>IF(D79="","",IFERROR(INDEX(Config!$B$12:$B$15,MATCH(IF(AND(D79="Cartão de crédito",N(E79)&gt;1),"Cartão de crédito parcelado",D79),Config!$A$12:$A$15,0)),0)+IF(AND(Config!$B$17="Sim",LEFT(D79,17)="Cartão de crédito"),Config!$B$18*IFERROR(INDEX(Config!$C$12:$C$15,MATCH(IF(AND(D79="Cartão de crédito",N(E79)&gt;1),"Cartão de crédito parcelado",D79),Config!$A$12:$A$15,0)),0)/30*MAX(1,N(E79)),0))</f>
        <v>0.039</v>
      </c>
      <c r="I79" s="29">
        <f>IF(OR(D79="",F79=""),"",ROUND(F79*H79,2))</f>
        <v>15.6</v>
      </c>
      <c r="J79" s="29">
        <f>IF(I79="","",F79-I79)</f>
        <v>384.4</v>
      </c>
      <c r="K79" s="29">
        <f>IF(J79="","",J79/MAX(1,N(E79)))</f>
        <v>192.2</v>
      </c>
      <c r="L79" s="37">
        <f>IF(OR(D79="",A79=""),"",A79+IF(AND(Config!$B$17="Sim",LEFT(D79,17)="Cartão de crédito"),1,IFERROR(INDEX(Config!$C$12:$C$15,MATCH(IF(AND(D79="Cartão de crédito",N(E79)&gt;1),"Cartão de crédito parcelado",D79),Config!$A$12:$A$15,0)),0)))</f>
        <v>46233.0</v>
      </c>
      <c r="M79" s="37">
        <f>IF(L79="","",IF(AND(Config!$B$17="Sim",LEFT(D79,17)="Cartão de crédito"),L79,L79+30*(MAX(1,N(E79))-1)))</f>
        <v>46263.0</v>
      </c>
      <c r="N79" s="29">
        <f>IF(OR(L79="",K79=""),"",K79*MIN(MAX(1,N(E79)),MAX(0,INT((Config!$B$8-L79)/30)+1)))</f>
        <v>384.4</v>
      </c>
      <c r="O79" s="29">
        <f>IF(J79="","",J79-N(N79))</f>
        <v>0</v>
      </c>
      <c r="P79" s="27">
        <f>IF(A79="","",MONTH(A79))</f>
        <v>6</v>
      </c>
      <c r="Q79" s="27">
        <f>IF(A79="","",YEAR(A79))</f>
        <v>2026</v>
      </c>
      <c r="R79" s="27" t="str">
        <f>IF(L79="","",IF(L79&gt;Config!$B$8,"A cair",IF(N(G79)&gt;=MIN(MAX(1,N(E79)),MAX(0,INT((Config!$B$8-L79)/30)+1)),IF(N(G79)&gt;=MAX(1,N(E79)),"Conferido","Conferido até aqui"),"A conferir")))</f>
        <v>Conferido</v>
      </c>
      <c r="S79" s="51">
        <f>IF(R79="A conferir",(Config!$B$8-L79)*1000+N(F79)/1000+ROW()/100000,0)</f>
        <v>0</v>
      </c>
      <c r="T79" s="51">
        <f>IF(R79="A conferir",N(N79),0)</f>
        <v>0</v>
      </c>
      <c r="U79" s="51">
        <f>IF(L79="",0,L79)</f>
        <v>46233.0</v>
      </c>
      <c r="V79" s="51">
        <f>IF(L79="",0,MAX(1,N(E79)))</f>
        <v>2</v>
      </c>
      <c r="W79" s="51">
        <f>IF(K79="",0,K79)</f>
        <v>192.2</v>
      </c>
    </row>
    <row r="80">
      <c r="A80" s="49" t="n">
        <v>46204</v>
      </c>
      <c r="B80" s="41" t="inlineStr">
        <is>
          <t>Cláudia Santos</t>
        </is>
      </c>
      <c r="C80" s="41" t="inlineStr">
        <is>
          <t>Consulta</t>
        </is>
      </c>
      <c r="D80" s="42" t="inlineStr">
        <is>
          <t>Pix</t>
        </is>
      </c>
      <c r="E80" s="42" t="n"/>
      <c r="F80" s="50" t="n">
        <v>380</v>
      </c>
      <c r="G80" s="42" t="n">
        <v>1</v>
      </c>
      <c r="H80" s="30">
        <f>IF(D80="","",IFERROR(INDEX(Config!$B$12:$B$15,MATCH(IF(AND(D80="Cartão de crédito",N(E80)&gt;1),"Cartão de crédito parcelado",D80),Config!$A$12:$A$15,0)),0)+IF(AND(Config!$B$17="Sim",LEFT(D80,17)="Cartão de crédito"),Config!$B$18*IFERROR(INDEX(Config!$C$12:$C$15,MATCH(IF(AND(D80="Cartão de crédito",N(E80)&gt;1),"Cartão de crédito parcelado",D80),Config!$A$12:$A$15,0)),0)/30*MAX(1,N(E80)),0))</f>
        <v>0</v>
      </c>
      <c r="I80" s="29">
        <f>IF(OR(D80="",F80=""),"",ROUND(F80*H80,2))</f>
        <v>0</v>
      </c>
      <c r="J80" s="29">
        <f>IF(I80="","",F80-I80)</f>
        <v>380</v>
      </c>
      <c r="K80" s="29">
        <f>IF(J80="","",J80/MAX(1,N(E80)))</f>
        <v>380</v>
      </c>
      <c r="L80" s="37">
        <f>IF(OR(D80="",A80=""),"",A80+IF(AND(Config!$B$17="Sim",LEFT(D80,17)="Cartão de crédito"),1,IFERROR(INDEX(Config!$C$12:$C$15,MATCH(IF(AND(D80="Cartão de crédito",N(E80)&gt;1),"Cartão de crédito parcelado",D80),Config!$A$12:$A$15,0)),0)))</f>
        <v>46204.0</v>
      </c>
      <c r="M80" s="37">
        <f>IF(L80="","",IF(AND(Config!$B$17="Sim",LEFT(D80,17)="Cartão de crédito"),L80,L80+30*(MAX(1,N(E80))-1)))</f>
        <v>46204.0</v>
      </c>
      <c r="N80" s="29">
        <f>IF(OR(L80="",K80=""),"",K80*MIN(MAX(1,N(E80)),MAX(0,INT((Config!$B$8-L80)/30)+1)))</f>
        <v>380</v>
      </c>
      <c r="O80" s="29">
        <f>IF(J80="","",J80-N(N80))</f>
        <v>0</v>
      </c>
      <c r="P80" s="27">
        <f>IF(A80="","",MONTH(A80))</f>
        <v>7</v>
      </c>
      <c r="Q80" s="27">
        <f>IF(A80="","",YEAR(A80))</f>
        <v>2026</v>
      </c>
      <c r="R80" s="27" t="str">
        <f>IF(L80="","",IF(L80&gt;Config!$B$8,"A cair",IF(N(G80)&gt;=MIN(MAX(1,N(E80)),MAX(0,INT((Config!$B$8-L80)/30)+1)),IF(N(G80)&gt;=MAX(1,N(E80)),"Conferido","Conferido até aqui"),"A conferir")))</f>
        <v>Conferido</v>
      </c>
      <c r="S80" s="51">
        <f>IF(R80="A conferir",(Config!$B$8-L80)*1000+N(F80)/1000+ROW()/100000,0)</f>
        <v>0</v>
      </c>
      <c r="T80" s="51">
        <f>IF(R80="A conferir",N(N80),0)</f>
        <v>0</v>
      </c>
      <c r="U80" s="51">
        <f>IF(L80="",0,L80)</f>
        <v>46204.0</v>
      </c>
      <c r="V80" s="51">
        <f>IF(L80="",0,MAX(1,N(E80)))</f>
        <v>1</v>
      </c>
      <c r="W80" s="51">
        <f>IF(K80="",0,K80)</f>
        <v>380</v>
      </c>
    </row>
    <row r="81">
      <c r="A81" s="49" t="n">
        <v>46204</v>
      </c>
      <c r="B81" s="41" t="inlineStr">
        <is>
          <t>Lucas Lopes</t>
        </is>
      </c>
      <c r="C81" s="41" t="inlineStr">
        <is>
          <t>Consulta</t>
        </is>
      </c>
      <c r="D81" s="42" t="inlineStr">
        <is>
          <t>Cartão de débito</t>
        </is>
      </c>
      <c r="E81" s="42" t="n"/>
      <c r="F81" s="50" t="n">
        <v>380</v>
      </c>
      <c r="G81" s="42" t="n">
        <v>1</v>
      </c>
      <c r="H81" s="30">
        <f>IF(D81="","",IFERROR(INDEX(Config!$B$12:$B$15,MATCH(IF(AND(D81="Cartão de crédito",N(E81)&gt;1),"Cartão de crédito parcelado",D81),Config!$A$12:$A$15,0)),0)+IF(AND(Config!$B$17="Sim",LEFT(D81,17)="Cartão de crédito"),Config!$B$18*IFERROR(INDEX(Config!$C$12:$C$15,MATCH(IF(AND(D81="Cartão de crédito",N(E81)&gt;1),"Cartão de crédito parcelado",D81),Config!$A$12:$A$15,0)),0)/30*MAX(1,N(E81)),0))</f>
        <v>0.015</v>
      </c>
      <c r="I81" s="29">
        <f>IF(OR(D81="",F81=""),"",ROUND(F81*H81,2))</f>
        <v>5.7</v>
      </c>
      <c r="J81" s="29">
        <f>IF(I81="","",F81-I81)</f>
        <v>374.3</v>
      </c>
      <c r="K81" s="29">
        <f>IF(J81="","",J81/MAX(1,N(E81)))</f>
        <v>374.3</v>
      </c>
      <c r="L81" s="37">
        <f>IF(OR(D81="",A81=""),"",A81+IF(AND(Config!$B$17="Sim",LEFT(D81,17)="Cartão de crédito"),1,IFERROR(INDEX(Config!$C$12:$C$15,MATCH(IF(AND(D81="Cartão de crédito",N(E81)&gt;1),"Cartão de crédito parcelado",D81),Config!$A$12:$A$15,0)),0)))</f>
        <v>46205.0</v>
      </c>
      <c r="M81" s="37">
        <f>IF(L81="","",IF(AND(Config!$B$17="Sim",LEFT(D81,17)="Cartão de crédito"),L81,L81+30*(MAX(1,N(E81))-1)))</f>
        <v>46205.0</v>
      </c>
      <c r="N81" s="29">
        <f>IF(OR(L81="",K81=""),"",K81*MIN(MAX(1,N(E81)),MAX(0,INT((Config!$B$8-L81)/30)+1)))</f>
        <v>374.3</v>
      </c>
      <c r="O81" s="29">
        <f>IF(J81="","",J81-N(N81))</f>
        <v>0</v>
      </c>
      <c r="P81" s="27">
        <f>IF(A81="","",MONTH(A81))</f>
        <v>7</v>
      </c>
      <c r="Q81" s="27">
        <f>IF(A81="","",YEAR(A81))</f>
        <v>2026</v>
      </c>
      <c r="R81" s="27" t="str">
        <f>IF(L81="","",IF(L81&gt;Config!$B$8,"A cair",IF(N(G81)&gt;=MIN(MAX(1,N(E81)),MAX(0,INT((Config!$B$8-L81)/30)+1)),IF(N(G81)&gt;=MAX(1,N(E81)),"Conferido","Conferido até aqui"),"A conferir")))</f>
        <v>Conferido</v>
      </c>
      <c r="S81" s="51">
        <f>IF(R81="A conferir",(Config!$B$8-L81)*1000+N(F81)/1000+ROW()/100000,0)</f>
        <v>0</v>
      </c>
      <c r="T81" s="51">
        <f>IF(R81="A conferir",N(N81),0)</f>
        <v>0</v>
      </c>
      <c r="U81" s="51">
        <f>IF(L81="",0,L81)</f>
        <v>46205.0</v>
      </c>
      <c r="V81" s="51">
        <f>IF(L81="",0,MAX(1,N(E81)))</f>
        <v>1</v>
      </c>
      <c r="W81" s="51">
        <f>IF(K81="",0,K81)</f>
        <v>374.3</v>
      </c>
    </row>
    <row r="82">
      <c r="A82" s="49" t="n">
        <v>46204</v>
      </c>
      <c r="B82" s="41" t="inlineStr">
        <is>
          <t>Mônica Martins</t>
        </is>
      </c>
      <c r="C82" s="41" t="inlineStr">
        <is>
          <t>Consulta</t>
        </is>
      </c>
      <c r="D82" s="42" t="inlineStr">
        <is>
          <t>Pix</t>
        </is>
      </c>
      <c r="E82" s="42" t="n"/>
      <c r="F82" s="50" t="n">
        <v>380</v>
      </c>
      <c r="G82" s="42" t="n">
        <v>1</v>
      </c>
      <c r="H82" s="30">
        <f>IF(D82="","",IFERROR(INDEX(Config!$B$12:$B$15,MATCH(IF(AND(D82="Cartão de crédito",N(E82)&gt;1),"Cartão de crédito parcelado",D82),Config!$A$12:$A$15,0)),0)+IF(AND(Config!$B$17="Sim",LEFT(D82,17)="Cartão de crédito"),Config!$B$18*IFERROR(INDEX(Config!$C$12:$C$15,MATCH(IF(AND(D82="Cartão de crédito",N(E82)&gt;1),"Cartão de crédito parcelado",D82),Config!$A$12:$A$15,0)),0)/30*MAX(1,N(E82)),0))</f>
        <v>0</v>
      </c>
      <c r="I82" s="29">
        <f>IF(OR(D82="",F82=""),"",ROUND(F82*H82,2))</f>
        <v>0</v>
      </c>
      <c r="J82" s="29">
        <f>IF(I82="","",F82-I82)</f>
        <v>380</v>
      </c>
      <c r="K82" s="29">
        <f>IF(J82="","",J82/MAX(1,N(E82)))</f>
        <v>380</v>
      </c>
      <c r="L82" s="37">
        <f>IF(OR(D82="",A82=""),"",A82+IF(AND(Config!$B$17="Sim",LEFT(D82,17)="Cartão de crédito"),1,IFERROR(INDEX(Config!$C$12:$C$15,MATCH(IF(AND(D82="Cartão de crédito",N(E82)&gt;1),"Cartão de crédito parcelado",D82),Config!$A$12:$A$15,0)),0)))</f>
        <v>46204.0</v>
      </c>
      <c r="M82" s="37">
        <f>IF(L82="","",IF(AND(Config!$B$17="Sim",LEFT(D82,17)="Cartão de crédito"),L82,L82+30*(MAX(1,N(E82))-1)))</f>
        <v>46204.0</v>
      </c>
      <c r="N82" s="29">
        <f>IF(OR(L82="",K82=""),"",K82*MIN(MAX(1,N(E82)),MAX(0,INT((Config!$B$8-L82)/30)+1)))</f>
        <v>380</v>
      </c>
      <c r="O82" s="29">
        <f>IF(J82="","",J82-N(N82))</f>
        <v>0</v>
      </c>
      <c r="P82" s="27">
        <f>IF(A82="","",MONTH(A82))</f>
        <v>7</v>
      </c>
      <c r="Q82" s="27">
        <f>IF(A82="","",YEAR(A82))</f>
        <v>2026</v>
      </c>
      <c r="R82" s="27" t="str">
        <f>IF(L82="","",IF(L82&gt;Config!$B$8,"A cair",IF(N(G82)&gt;=MIN(MAX(1,N(E82)),MAX(0,INT((Config!$B$8-L82)/30)+1)),IF(N(G82)&gt;=MAX(1,N(E82)),"Conferido","Conferido até aqui"),"A conferir")))</f>
        <v>Conferido</v>
      </c>
      <c r="S82" s="51">
        <f>IF(R82="A conferir",(Config!$B$8-L82)*1000+N(F82)/1000+ROW()/100000,0)</f>
        <v>0</v>
      </c>
      <c r="T82" s="51">
        <f>IF(R82="A conferir",N(N82),0)</f>
        <v>0</v>
      </c>
      <c r="U82" s="51">
        <f>IF(L82="",0,L82)</f>
        <v>46204.0</v>
      </c>
      <c r="V82" s="51">
        <f>IF(L82="",0,MAX(1,N(E82)))</f>
        <v>1</v>
      </c>
      <c r="W82" s="51">
        <f>IF(K82="",0,K82)</f>
        <v>380</v>
      </c>
    </row>
    <row r="83">
      <c r="A83" s="49" t="n">
        <v>46205</v>
      </c>
      <c r="B83" s="41" t="inlineStr">
        <is>
          <t>Débora Ramos</t>
        </is>
      </c>
      <c r="C83" s="41" t="inlineStr">
        <is>
          <t>Consulta</t>
        </is>
      </c>
      <c r="D83" s="42" t="inlineStr">
        <is>
          <t>Cartão de crédito</t>
        </is>
      </c>
      <c r="E83" s="42" t="n"/>
      <c r="F83" s="50" t="n">
        <v>380</v>
      </c>
      <c r="G83" s="42" t="n">
        <v>1</v>
      </c>
      <c r="H83" s="30">
        <f>IF(D83="","",IFERROR(INDEX(Config!$B$12:$B$15,MATCH(IF(AND(D83="Cartão de crédito",N(E83)&gt;1),"Cartão de crédito parcelado",D83),Config!$A$12:$A$15,0)),0)+IF(AND(Config!$B$17="Sim",LEFT(D83,17)="Cartão de crédito"),Config!$B$18*IFERROR(INDEX(Config!$C$12:$C$15,MATCH(IF(AND(D83="Cartão de crédito",N(E83)&gt;1),"Cartão de crédito parcelado",D83),Config!$A$12:$A$15,0)),0)/30*MAX(1,N(E83)),0))</f>
        <v>0.032</v>
      </c>
      <c r="I83" s="29">
        <f>IF(OR(D83="",F83=""),"",ROUND(F83*H83,2))</f>
        <v>12.16</v>
      </c>
      <c r="J83" s="29">
        <f>IF(I83="","",F83-I83)</f>
        <v>367.84</v>
      </c>
      <c r="K83" s="29">
        <f>IF(J83="","",J83/MAX(1,N(E83)))</f>
        <v>367.84</v>
      </c>
      <c r="L83" s="37">
        <f>IF(OR(D83="",A83=""),"",A83+IF(AND(Config!$B$17="Sim",LEFT(D83,17)="Cartão de crédito"),1,IFERROR(INDEX(Config!$C$12:$C$15,MATCH(IF(AND(D83="Cartão de crédito",N(E83)&gt;1),"Cartão de crédito parcelado",D83),Config!$A$12:$A$15,0)),0)))</f>
        <v>46235.0</v>
      </c>
      <c r="M83" s="37">
        <f>IF(L83="","",IF(AND(Config!$B$17="Sim",LEFT(D83,17)="Cartão de crédito"),L83,L83+30*(MAX(1,N(E83))-1)))</f>
        <v>46235.0</v>
      </c>
      <c r="N83" s="29">
        <f>IF(OR(L83="",K83=""),"",K83*MIN(MAX(1,N(E83)),MAX(0,INT((Config!$B$8-L83)/30)+1)))</f>
        <v>367.84</v>
      </c>
      <c r="O83" s="29">
        <f>IF(J83="","",J83-N(N83))</f>
        <v>0</v>
      </c>
      <c r="P83" s="27">
        <f>IF(A83="","",MONTH(A83))</f>
        <v>7</v>
      </c>
      <c r="Q83" s="27">
        <f>IF(A83="","",YEAR(A83))</f>
        <v>2026</v>
      </c>
      <c r="R83" s="27" t="str">
        <f>IF(L83="","",IF(L83&gt;Config!$B$8,"A cair",IF(N(G83)&gt;=MIN(MAX(1,N(E83)),MAX(0,INT((Config!$B$8-L83)/30)+1)),IF(N(G83)&gt;=MAX(1,N(E83)),"Conferido","Conferido até aqui"),"A conferir")))</f>
        <v>Conferido</v>
      </c>
      <c r="S83" s="51">
        <f>IF(R83="A conferir",(Config!$B$8-L83)*1000+N(F83)/1000+ROW()/100000,0)</f>
        <v>0</v>
      </c>
      <c r="T83" s="51">
        <f>IF(R83="A conferir",N(N83),0)</f>
        <v>0</v>
      </c>
      <c r="U83" s="51">
        <f>IF(L83="",0,L83)</f>
        <v>46235.0</v>
      </c>
      <c r="V83" s="51">
        <f>IF(L83="",0,MAX(1,N(E83)))</f>
        <v>1</v>
      </c>
      <c r="W83" s="51">
        <f>IF(K83="",0,K83)</f>
        <v>367.84</v>
      </c>
    </row>
    <row r="84">
      <c r="A84" s="49" t="n">
        <v>46205</v>
      </c>
      <c r="B84" s="41" t="inlineStr">
        <is>
          <t>Mariana Nascimento</t>
        </is>
      </c>
      <c r="C84" s="41" t="inlineStr">
        <is>
          <t>Consulta</t>
        </is>
      </c>
      <c r="D84" s="42" t="inlineStr">
        <is>
          <t>Cartão de crédito</t>
        </is>
      </c>
      <c r="E84" s="42" t="n"/>
      <c r="F84" s="50" t="n">
        <v>380</v>
      </c>
      <c r="G84" s="42" t="n">
        <v>1</v>
      </c>
      <c r="H84" s="30">
        <f>IF(D84="","",IFERROR(INDEX(Config!$B$12:$B$15,MATCH(IF(AND(D84="Cartão de crédito",N(E84)&gt;1),"Cartão de crédito parcelado",D84),Config!$A$12:$A$15,0)),0)+IF(AND(Config!$B$17="Sim",LEFT(D84,17)="Cartão de crédito"),Config!$B$18*IFERROR(INDEX(Config!$C$12:$C$15,MATCH(IF(AND(D84="Cartão de crédito",N(E84)&gt;1),"Cartão de crédito parcelado",D84),Config!$A$12:$A$15,0)),0)/30*MAX(1,N(E84)),0))</f>
        <v>0.032</v>
      </c>
      <c r="I84" s="29">
        <f>IF(OR(D84="",F84=""),"",ROUND(F84*H84,2))</f>
        <v>12.16</v>
      </c>
      <c r="J84" s="29">
        <f>IF(I84="","",F84-I84)</f>
        <v>367.84</v>
      </c>
      <c r="K84" s="29">
        <f>IF(J84="","",J84/MAX(1,N(E84)))</f>
        <v>367.84</v>
      </c>
      <c r="L84" s="37">
        <f>IF(OR(D84="",A84=""),"",A84+IF(AND(Config!$B$17="Sim",LEFT(D84,17)="Cartão de crédito"),1,IFERROR(INDEX(Config!$C$12:$C$15,MATCH(IF(AND(D84="Cartão de crédito",N(E84)&gt;1),"Cartão de crédito parcelado",D84),Config!$A$12:$A$15,0)),0)))</f>
        <v>46235.0</v>
      </c>
      <c r="M84" s="37">
        <f>IF(L84="","",IF(AND(Config!$B$17="Sim",LEFT(D84,17)="Cartão de crédito"),L84,L84+30*(MAX(1,N(E84))-1)))</f>
        <v>46235.0</v>
      </c>
      <c r="N84" s="29">
        <f>IF(OR(L84="",K84=""),"",K84*MIN(MAX(1,N(E84)),MAX(0,INT((Config!$B$8-L84)/30)+1)))</f>
        <v>367.84</v>
      </c>
      <c r="O84" s="29">
        <f>IF(J84="","",J84-N(N84))</f>
        <v>0</v>
      </c>
      <c r="P84" s="27">
        <f>IF(A84="","",MONTH(A84))</f>
        <v>7</v>
      </c>
      <c r="Q84" s="27">
        <f>IF(A84="","",YEAR(A84))</f>
        <v>2026</v>
      </c>
      <c r="R84" s="27" t="str">
        <f>IF(L84="","",IF(L84&gt;Config!$B$8,"A cair",IF(N(G84)&gt;=MIN(MAX(1,N(E84)),MAX(0,INT((Config!$B$8-L84)/30)+1)),IF(N(G84)&gt;=MAX(1,N(E84)),"Conferido","Conferido até aqui"),"A conferir")))</f>
        <v>Conferido</v>
      </c>
      <c r="S84" s="51">
        <f>IF(R84="A conferir",(Config!$B$8-L84)*1000+N(F84)/1000+ROW()/100000,0)</f>
        <v>0</v>
      </c>
      <c r="T84" s="51">
        <f>IF(R84="A conferir",N(N84),0)</f>
        <v>0</v>
      </c>
      <c r="U84" s="51">
        <f>IF(L84="",0,L84)</f>
        <v>46235.0</v>
      </c>
      <c r="V84" s="51">
        <f>IF(L84="",0,MAX(1,N(E84)))</f>
        <v>1</v>
      </c>
      <c r="W84" s="51">
        <f>IF(K84="",0,K84)</f>
        <v>367.84</v>
      </c>
    </row>
    <row r="85">
      <c r="A85" s="49" t="n">
        <v>46205</v>
      </c>
      <c r="B85" s="41" t="inlineStr">
        <is>
          <t>Helena Moreira</t>
        </is>
      </c>
      <c r="C85" s="41" t="inlineStr">
        <is>
          <t>Consulta</t>
        </is>
      </c>
      <c r="D85" s="42" t="inlineStr">
        <is>
          <t>Cartão de crédito</t>
        </is>
      </c>
      <c r="E85" s="42" t="n"/>
      <c r="F85" s="50" t="n">
        <v>380</v>
      </c>
      <c r="G85" s="42" t="n">
        <v>1</v>
      </c>
      <c r="H85" s="30">
        <f>IF(D85="","",IFERROR(INDEX(Config!$B$12:$B$15,MATCH(IF(AND(D85="Cartão de crédito",N(E85)&gt;1),"Cartão de crédito parcelado",D85),Config!$A$12:$A$15,0)),0)+IF(AND(Config!$B$17="Sim",LEFT(D85,17)="Cartão de crédito"),Config!$B$18*IFERROR(INDEX(Config!$C$12:$C$15,MATCH(IF(AND(D85="Cartão de crédito",N(E85)&gt;1),"Cartão de crédito parcelado",D85),Config!$A$12:$A$15,0)),0)/30*MAX(1,N(E85)),0))</f>
        <v>0.032</v>
      </c>
      <c r="I85" s="29">
        <f>IF(OR(D85="",F85=""),"",ROUND(F85*H85,2))</f>
        <v>12.16</v>
      </c>
      <c r="J85" s="29">
        <f>IF(I85="","",F85-I85)</f>
        <v>367.84</v>
      </c>
      <c r="K85" s="29">
        <f>IF(J85="","",J85/MAX(1,N(E85)))</f>
        <v>367.84</v>
      </c>
      <c r="L85" s="37">
        <f>IF(OR(D85="",A85=""),"",A85+IF(AND(Config!$B$17="Sim",LEFT(D85,17)="Cartão de crédito"),1,IFERROR(INDEX(Config!$C$12:$C$15,MATCH(IF(AND(D85="Cartão de crédito",N(E85)&gt;1),"Cartão de crédito parcelado",D85),Config!$A$12:$A$15,0)),0)))</f>
        <v>46235.0</v>
      </c>
      <c r="M85" s="37">
        <f>IF(L85="","",IF(AND(Config!$B$17="Sim",LEFT(D85,17)="Cartão de crédito"),L85,L85+30*(MAX(1,N(E85))-1)))</f>
        <v>46235.0</v>
      </c>
      <c r="N85" s="29">
        <f>IF(OR(L85="",K85=""),"",K85*MIN(MAX(1,N(E85)),MAX(0,INT((Config!$B$8-L85)/30)+1)))</f>
        <v>367.84</v>
      </c>
      <c r="O85" s="29">
        <f>IF(J85="","",J85-N(N85))</f>
        <v>0</v>
      </c>
      <c r="P85" s="27">
        <f>IF(A85="","",MONTH(A85))</f>
        <v>7</v>
      </c>
      <c r="Q85" s="27">
        <f>IF(A85="","",YEAR(A85))</f>
        <v>2026</v>
      </c>
      <c r="R85" s="27" t="str">
        <f>IF(L85="","",IF(L85&gt;Config!$B$8,"A cair",IF(N(G85)&gt;=MIN(MAX(1,N(E85)),MAX(0,INT((Config!$B$8-L85)/30)+1)),IF(N(G85)&gt;=MAX(1,N(E85)),"Conferido","Conferido até aqui"),"A conferir")))</f>
        <v>Conferido</v>
      </c>
      <c r="S85" s="51">
        <f>IF(R85="A conferir",(Config!$B$8-L85)*1000+N(F85)/1000+ROW()/100000,0)</f>
        <v>0</v>
      </c>
      <c r="T85" s="51">
        <f>IF(R85="A conferir",N(N85),0)</f>
        <v>0</v>
      </c>
      <c r="U85" s="51">
        <f>IF(L85="",0,L85)</f>
        <v>46235.0</v>
      </c>
      <c r="V85" s="51">
        <f>IF(L85="",0,MAX(1,N(E85)))</f>
        <v>1</v>
      </c>
      <c r="W85" s="51">
        <f>IF(K85="",0,K85)</f>
        <v>367.84</v>
      </c>
    </row>
    <row r="86">
      <c r="A86" s="49" t="n">
        <v>46205</v>
      </c>
      <c r="B86" s="41" t="inlineStr">
        <is>
          <t>Gabriel Oliveira</t>
        </is>
      </c>
      <c r="C86" s="41" t="inlineStr">
        <is>
          <t>ECG</t>
        </is>
      </c>
      <c r="D86" s="42" t="inlineStr">
        <is>
          <t>Pix</t>
        </is>
      </c>
      <c r="E86" s="42" t="n"/>
      <c r="F86" s="50" t="n">
        <v>130</v>
      </c>
      <c r="G86" s="42" t="n">
        <v>1</v>
      </c>
      <c r="H86" s="30">
        <f>IF(D86="","",IFERROR(INDEX(Config!$B$12:$B$15,MATCH(IF(AND(D86="Cartão de crédito",N(E86)&gt;1),"Cartão de crédito parcelado",D86),Config!$A$12:$A$15,0)),0)+IF(AND(Config!$B$17="Sim",LEFT(D86,17)="Cartão de crédito"),Config!$B$18*IFERROR(INDEX(Config!$C$12:$C$15,MATCH(IF(AND(D86="Cartão de crédito",N(E86)&gt;1),"Cartão de crédito parcelado",D86),Config!$A$12:$A$15,0)),0)/30*MAX(1,N(E86)),0))</f>
        <v>0</v>
      </c>
      <c r="I86" s="29">
        <f>IF(OR(D86="",F86=""),"",ROUND(F86*H86,2))</f>
        <v>0</v>
      </c>
      <c r="J86" s="29">
        <f>IF(I86="","",F86-I86)</f>
        <v>130</v>
      </c>
      <c r="K86" s="29">
        <f>IF(J86="","",J86/MAX(1,N(E86)))</f>
        <v>130</v>
      </c>
      <c r="L86" s="37">
        <f>IF(OR(D86="",A86=""),"",A86+IF(AND(Config!$B$17="Sim",LEFT(D86,17)="Cartão de crédito"),1,IFERROR(INDEX(Config!$C$12:$C$15,MATCH(IF(AND(D86="Cartão de crédito",N(E86)&gt;1),"Cartão de crédito parcelado",D86),Config!$A$12:$A$15,0)),0)))</f>
        <v>46205.0</v>
      </c>
      <c r="M86" s="37">
        <f>IF(L86="","",IF(AND(Config!$B$17="Sim",LEFT(D86,17)="Cartão de crédito"),L86,L86+30*(MAX(1,N(E86))-1)))</f>
        <v>46205.0</v>
      </c>
      <c r="N86" s="29">
        <f>IF(OR(L86="",K86=""),"",K86*MIN(MAX(1,N(E86)),MAX(0,INT((Config!$B$8-L86)/30)+1)))</f>
        <v>130</v>
      </c>
      <c r="O86" s="29">
        <f>IF(J86="","",J86-N(N86))</f>
        <v>0</v>
      </c>
      <c r="P86" s="27">
        <f>IF(A86="","",MONTH(A86))</f>
        <v>7</v>
      </c>
      <c r="Q86" s="27">
        <f>IF(A86="","",YEAR(A86))</f>
        <v>2026</v>
      </c>
      <c r="R86" s="27" t="str">
        <f>IF(L86="","",IF(L86&gt;Config!$B$8,"A cair",IF(N(G86)&gt;=MIN(MAX(1,N(E86)),MAX(0,INT((Config!$B$8-L86)/30)+1)),IF(N(G86)&gt;=MAX(1,N(E86)),"Conferido","Conferido até aqui"),"A conferir")))</f>
        <v>Conferido</v>
      </c>
      <c r="S86" s="51">
        <f>IF(R86="A conferir",(Config!$B$8-L86)*1000+N(F86)/1000+ROW()/100000,0)</f>
        <v>0</v>
      </c>
      <c r="T86" s="51">
        <f>IF(R86="A conferir",N(N86),0)</f>
        <v>0</v>
      </c>
      <c r="U86" s="51">
        <f>IF(L86="",0,L86)</f>
        <v>46205.0</v>
      </c>
      <c r="V86" s="51">
        <f>IF(L86="",0,MAX(1,N(E86)))</f>
        <v>1</v>
      </c>
      <c r="W86" s="51">
        <f>IF(K86="",0,K86)</f>
        <v>130</v>
      </c>
    </row>
    <row r="87">
      <c r="A87" s="49" t="n">
        <v>46205</v>
      </c>
      <c r="B87" s="41" t="inlineStr">
        <is>
          <t>Beatriz Monteiro</t>
        </is>
      </c>
      <c r="C87" s="41" t="inlineStr">
        <is>
          <t>Avaliação endócrina</t>
        </is>
      </c>
      <c r="D87" s="42" t="inlineStr">
        <is>
          <t>Cartão de crédito</t>
        </is>
      </c>
      <c r="E87" s="42" t="n">
        <v>2</v>
      </c>
      <c r="F87" s="50" t="n">
        <v>400</v>
      </c>
      <c r="G87" s="42" t="n">
        <v>2</v>
      </c>
      <c r="H87" s="30">
        <f>IF(D87="","",IFERROR(INDEX(Config!$B$12:$B$15,MATCH(IF(AND(D87="Cartão de crédito",N(E87)&gt;1),"Cartão de crédito parcelado",D87),Config!$A$12:$A$15,0)),0)+IF(AND(Config!$B$17="Sim",LEFT(D87,17)="Cartão de crédito"),Config!$B$18*IFERROR(INDEX(Config!$C$12:$C$15,MATCH(IF(AND(D87="Cartão de crédito",N(E87)&gt;1),"Cartão de crédito parcelado",D87),Config!$A$12:$A$15,0)),0)/30*MAX(1,N(E87)),0))</f>
        <v>0.039</v>
      </c>
      <c r="I87" s="29">
        <f>IF(OR(D87="",F87=""),"",ROUND(F87*H87,2))</f>
        <v>15.6</v>
      </c>
      <c r="J87" s="29">
        <f>IF(I87="","",F87-I87)</f>
        <v>384.4</v>
      </c>
      <c r="K87" s="29">
        <f>IF(J87="","",J87/MAX(1,N(E87)))</f>
        <v>192.2</v>
      </c>
      <c r="L87" s="37">
        <f>IF(OR(D87="",A87=""),"",A87+IF(AND(Config!$B$17="Sim",LEFT(D87,17)="Cartão de crédito"),1,IFERROR(INDEX(Config!$C$12:$C$15,MATCH(IF(AND(D87="Cartão de crédito",N(E87)&gt;1),"Cartão de crédito parcelado",D87),Config!$A$12:$A$15,0)),0)))</f>
        <v>46235.0</v>
      </c>
      <c r="M87" s="37">
        <f>IF(L87="","",IF(AND(Config!$B$17="Sim",LEFT(D87,17)="Cartão de crédito"),L87,L87+30*(MAX(1,N(E87))-1)))</f>
        <v>46265.0</v>
      </c>
      <c r="N87" s="29">
        <f>IF(OR(L87="",K87=""),"",K87*MIN(MAX(1,N(E87)),MAX(0,INT((Config!$B$8-L87)/30)+1)))</f>
        <v>384.4</v>
      </c>
      <c r="O87" s="29">
        <f>IF(J87="","",J87-N(N87))</f>
        <v>0</v>
      </c>
      <c r="P87" s="27">
        <f>IF(A87="","",MONTH(A87))</f>
        <v>7</v>
      </c>
      <c r="Q87" s="27">
        <f>IF(A87="","",YEAR(A87))</f>
        <v>2026</v>
      </c>
      <c r="R87" s="27" t="str">
        <f>IF(L87="","",IF(L87&gt;Config!$B$8,"A cair",IF(N(G87)&gt;=MIN(MAX(1,N(E87)),MAX(0,INT((Config!$B$8-L87)/30)+1)),IF(N(G87)&gt;=MAX(1,N(E87)),"Conferido","Conferido até aqui"),"A conferir")))</f>
        <v>Conferido</v>
      </c>
      <c r="S87" s="51">
        <f>IF(R87="A conferir",(Config!$B$8-L87)*1000+N(F87)/1000+ROW()/100000,0)</f>
        <v>0</v>
      </c>
      <c r="T87" s="51">
        <f>IF(R87="A conferir",N(N87),0)</f>
        <v>0</v>
      </c>
      <c r="U87" s="51">
        <f>IF(L87="",0,L87)</f>
        <v>46235.0</v>
      </c>
      <c r="V87" s="51">
        <f>IF(L87="",0,MAX(1,N(E87)))</f>
        <v>2</v>
      </c>
      <c r="W87" s="51">
        <f>IF(K87="",0,K87)</f>
        <v>192.2</v>
      </c>
    </row>
    <row r="88">
      <c r="A88" s="49" t="n">
        <v>46206</v>
      </c>
      <c r="B88" s="41" t="inlineStr">
        <is>
          <t>Renato Dias</t>
        </is>
      </c>
      <c r="C88" s="41" t="inlineStr">
        <is>
          <t>ECG</t>
        </is>
      </c>
      <c r="D88" s="42" t="inlineStr">
        <is>
          <t>Pix</t>
        </is>
      </c>
      <c r="E88" s="42" t="n"/>
      <c r="F88" s="50" t="n">
        <v>130</v>
      </c>
      <c r="G88" s="42" t="n">
        <v>1</v>
      </c>
      <c r="H88" s="30">
        <f>IF(D88="","",IFERROR(INDEX(Config!$B$12:$B$15,MATCH(IF(AND(D88="Cartão de crédito",N(E88)&gt;1),"Cartão de crédito parcelado",D88),Config!$A$12:$A$15,0)),0)+IF(AND(Config!$B$17="Sim",LEFT(D88,17)="Cartão de crédito"),Config!$B$18*IFERROR(INDEX(Config!$C$12:$C$15,MATCH(IF(AND(D88="Cartão de crédito",N(E88)&gt;1),"Cartão de crédito parcelado",D88),Config!$A$12:$A$15,0)),0)/30*MAX(1,N(E88)),0))</f>
        <v>0</v>
      </c>
      <c r="I88" s="29">
        <f>IF(OR(D88="",F88=""),"",ROUND(F88*H88,2))</f>
        <v>0</v>
      </c>
      <c r="J88" s="29">
        <f>IF(I88="","",F88-I88)</f>
        <v>130</v>
      </c>
      <c r="K88" s="29">
        <f>IF(J88="","",J88/MAX(1,N(E88)))</f>
        <v>130</v>
      </c>
      <c r="L88" s="37">
        <f>IF(OR(D88="",A88=""),"",A88+IF(AND(Config!$B$17="Sim",LEFT(D88,17)="Cartão de crédito"),1,IFERROR(INDEX(Config!$C$12:$C$15,MATCH(IF(AND(D88="Cartão de crédito",N(E88)&gt;1),"Cartão de crédito parcelado",D88),Config!$A$12:$A$15,0)),0)))</f>
        <v>46206.0</v>
      </c>
      <c r="M88" s="37">
        <f>IF(L88="","",IF(AND(Config!$B$17="Sim",LEFT(D88,17)="Cartão de crédito"),L88,L88+30*(MAX(1,N(E88))-1)))</f>
        <v>46206.0</v>
      </c>
      <c r="N88" s="29">
        <f>IF(OR(L88="",K88=""),"",K88*MIN(MAX(1,N(E88)),MAX(0,INT((Config!$B$8-L88)/30)+1)))</f>
        <v>130</v>
      </c>
      <c r="O88" s="29">
        <f>IF(J88="","",J88-N(N88))</f>
        <v>0</v>
      </c>
      <c r="P88" s="27">
        <f>IF(A88="","",MONTH(A88))</f>
        <v>7</v>
      </c>
      <c r="Q88" s="27">
        <f>IF(A88="","",YEAR(A88))</f>
        <v>2026</v>
      </c>
      <c r="R88" s="27" t="str">
        <f>IF(L88="","",IF(L88&gt;Config!$B$8,"A cair",IF(N(G88)&gt;=MIN(MAX(1,N(E88)),MAX(0,INT((Config!$B$8-L88)/30)+1)),IF(N(G88)&gt;=MAX(1,N(E88)),"Conferido","Conferido até aqui"),"A conferir")))</f>
        <v>Conferido</v>
      </c>
      <c r="S88" s="51">
        <f>IF(R88="A conferir",(Config!$B$8-L88)*1000+N(F88)/1000+ROW()/100000,0)</f>
        <v>0</v>
      </c>
      <c r="T88" s="51">
        <f>IF(R88="A conferir",N(N88),0)</f>
        <v>0</v>
      </c>
      <c r="U88" s="51">
        <f>IF(L88="",0,L88)</f>
        <v>46206.0</v>
      </c>
      <c r="V88" s="51">
        <f>IF(L88="",0,MAX(1,N(E88)))</f>
        <v>1</v>
      </c>
      <c r="W88" s="51">
        <f>IF(K88="",0,K88)</f>
        <v>130</v>
      </c>
    </row>
    <row r="89">
      <c r="A89" s="49" t="n">
        <v>46206</v>
      </c>
      <c r="B89" s="41" t="inlineStr">
        <is>
          <t>Wagner Costa</t>
        </is>
      </c>
      <c r="C89" s="41" t="inlineStr">
        <is>
          <t>Consulta</t>
        </is>
      </c>
      <c r="D89" s="42" t="inlineStr">
        <is>
          <t>Pix</t>
        </is>
      </c>
      <c r="E89" s="42" t="n"/>
      <c r="F89" s="50" t="n">
        <v>380</v>
      </c>
      <c r="G89" s="42" t="n">
        <v>1</v>
      </c>
      <c r="H89" s="30">
        <f>IF(D89="","",IFERROR(INDEX(Config!$B$12:$B$15,MATCH(IF(AND(D89="Cartão de crédito",N(E89)&gt;1),"Cartão de crédito parcelado",D89),Config!$A$12:$A$15,0)),0)+IF(AND(Config!$B$17="Sim",LEFT(D89,17)="Cartão de crédito"),Config!$B$18*IFERROR(INDEX(Config!$C$12:$C$15,MATCH(IF(AND(D89="Cartão de crédito",N(E89)&gt;1),"Cartão de crédito parcelado",D89),Config!$A$12:$A$15,0)),0)/30*MAX(1,N(E89)),0))</f>
        <v>0</v>
      </c>
      <c r="I89" s="29">
        <f>IF(OR(D89="",F89=""),"",ROUND(F89*H89,2))</f>
        <v>0</v>
      </c>
      <c r="J89" s="29">
        <f>IF(I89="","",F89-I89)</f>
        <v>380</v>
      </c>
      <c r="K89" s="29">
        <f>IF(J89="","",J89/MAX(1,N(E89)))</f>
        <v>380</v>
      </c>
      <c r="L89" s="37">
        <f>IF(OR(D89="",A89=""),"",A89+IF(AND(Config!$B$17="Sim",LEFT(D89,17)="Cartão de crédito"),1,IFERROR(INDEX(Config!$C$12:$C$15,MATCH(IF(AND(D89="Cartão de crédito",N(E89)&gt;1),"Cartão de crédito parcelado",D89),Config!$A$12:$A$15,0)),0)))</f>
        <v>46206.0</v>
      </c>
      <c r="M89" s="37">
        <f>IF(L89="","",IF(AND(Config!$B$17="Sim",LEFT(D89,17)="Cartão de crédito"),L89,L89+30*(MAX(1,N(E89))-1)))</f>
        <v>46206.0</v>
      </c>
      <c r="N89" s="29">
        <f>IF(OR(L89="",K89=""),"",K89*MIN(MAX(1,N(E89)),MAX(0,INT((Config!$B$8-L89)/30)+1)))</f>
        <v>380</v>
      </c>
      <c r="O89" s="29">
        <f>IF(J89="","",J89-N(N89))</f>
        <v>0</v>
      </c>
      <c r="P89" s="27">
        <f>IF(A89="","",MONTH(A89))</f>
        <v>7</v>
      </c>
      <c r="Q89" s="27">
        <f>IF(A89="","",YEAR(A89))</f>
        <v>2026</v>
      </c>
      <c r="R89" s="27" t="str">
        <f>IF(L89="","",IF(L89&gt;Config!$B$8,"A cair",IF(N(G89)&gt;=MIN(MAX(1,N(E89)),MAX(0,INT((Config!$B$8-L89)/30)+1)),IF(N(G89)&gt;=MAX(1,N(E89)),"Conferido","Conferido até aqui"),"A conferir")))</f>
        <v>Conferido</v>
      </c>
      <c r="S89" s="51">
        <f>IF(R89="A conferir",(Config!$B$8-L89)*1000+N(F89)/1000+ROW()/100000,0)</f>
        <v>0</v>
      </c>
      <c r="T89" s="51">
        <f>IF(R89="A conferir",N(N89),0)</f>
        <v>0</v>
      </c>
      <c r="U89" s="51">
        <f>IF(L89="",0,L89)</f>
        <v>46206.0</v>
      </c>
      <c r="V89" s="51">
        <f>IF(L89="",0,MAX(1,N(E89)))</f>
        <v>1</v>
      </c>
      <c r="W89" s="51">
        <f>IF(K89="",0,K89)</f>
        <v>380</v>
      </c>
    </row>
    <row r="90">
      <c r="A90" s="49" t="n">
        <v>46209</v>
      </c>
      <c r="B90" s="41" t="inlineStr">
        <is>
          <t>Wagner Lima</t>
        </is>
      </c>
      <c r="C90" s="41" t="inlineStr">
        <is>
          <t>Consulta</t>
        </is>
      </c>
      <c r="D90" s="42" t="inlineStr">
        <is>
          <t>Cartão de crédito</t>
        </is>
      </c>
      <c r="E90" s="42" t="n">
        <v>2</v>
      </c>
      <c r="F90" s="50" t="n">
        <v>380</v>
      </c>
      <c r="G90" s="42" t="n">
        <v>2</v>
      </c>
      <c r="H90" s="30">
        <f>IF(D90="","",IFERROR(INDEX(Config!$B$12:$B$15,MATCH(IF(AND(D90="Cartão de crédito",N(E90)&gt;1),"Cartão de crédito parcelado",D90),Config!$A$12:$A$15,0)),0)+IF(AND(Config!$B$17="Sim",LEFT(D90,17)="Cartão de crédito"),Config!$B$18*IFERROR(INDEX(Config!$C$12:$C$15,MATCH(IF(AND(D90="Cartão de crédito",N(E90)&gt;1),"Cartão de crédito parcelado",D90),Config!$A$12:$A$15,0)),0)/30*MAX(1,N(E90)),0))</f>
        <v>0.039</v>
      </c>
      <c r="I90" s="29">
        <f>IF(OR(D90="",F90=""),"",ROUND(F90*H90,2))</f>
        <v>14.82</v>
      </c>
      <c r="J90" s="29">
        <f>IF(I90="","",F90-I90)</f>
        <v>365.18</v>
      </c>
      <c r="K90" s="29">
        <f>IF(J90="","",J90/MAX(1,N(E90)))</f>
        <v>182.59</v>
      </c>
      <c r="L90" s="37">
        <f>IF(OR(D90="",A90=""),"",A90+IF(AND(Config!$B$17="Sim",LEFT(D90,17)="Cartão de crédito"),1,IFERROR(INDEX(Config!$C$12:$C$15,MATCH(IF(AND(D90="Cartão de crédito",N(E90)&gt;1),"Cartão de crédito parcelado",D90),Config!$A$12:$A$15,0)),0)))</f>
        <v>46239.0</v>
      </c>
      <c r="M90" s="37">
        <f>IF(L90="","",IF(AND(Config!$B$17="Sim",LEFT(D90,17)="Cartão de crédito"),L90,L90+30*(MAX(1,N(E90))-1)))</f>
        <v>46269.0</v>
      </c>
      <c r="N90" s="29">
        <f>IF(OR(L90="",K90=""),"",K90*MIN(MAX(1,N(E90)),MAX(0,INT((Config!$B$8-L90)/30)+1)))</f>
        <v>365.18</v>
      </c>
      <c r="O90" s="29">
        <f>IF(J90="","",J90-N(N90))</f>
        <v>0</v>
      </c>
      <c r="P90" s="27">
        <f>IF(A90="","",MONTH(A90))</f>
        <v>7</v>
      </c>
      <c r="Q90" s="27">
        <f>IF(A90="","",YEAR(A90))</f>
        <v>2026</v>
      </c>
      <c r="R90" s="27" t="str">
        <f>IF(L90="","",IF(L90&gt;Config!$B$8,"A cair",IF(N(G90)&gt;=MIN(MAX(1,N(E90)),MAX(0,INT((Config!$B$8-L90)/30)+1)),IF(N(G90)&gt;=MAX(1,N(E90)),"Conferido","Conferido até aqui"),"A conferir")))</f>
        <v>Conferido</v>
      </c>
      <c r="S90" s="51">
        <f>IF(R90="A conferir",(Config!$B$8-L90)*1000+N(F90)/1000+ROW()/100000,0)</f>
        <v>0</v>
      </c>
      <c r="T90" s="51">
        <f>IF(R90="A conferir",N(N90),0)</f>
        <v>0</v>
      </c>
      <c r="U90" s="51">
        <f>IF(L90="",0,L90)</f>
        <v>46239.0</v>
      </c>
      <c r="V90" s="51">
        <f>IF(L90="",0,MAX(1,N(E90)))</f>
        <v>2</v>
      </c>
      <c r="W90" s="51">
        <f>IF(K90="",0,K90)</f>
        <v>182.59</v>
      </c>
    </row>
    <row r="91">
      <c r="A91" s="49" t="n">
        <v>46209</v>
      </c>
      <c r="B91" s="41" t="inlineStr">
        <is>
          <t>Paulo Reis</t>
        </is>
      </c>
      <c r="C91" s="41" t="inlineStr">
        <is>
          <t>Consulta</t>
        </is>
      </c>
      <c r="D91" s="42" t="inlineStr">
        <is>
          <t>Cartão de crédito</t>
        </is>
      </c>
      <c r="E91" s="42" t="n"/>
      <c r="F91" s="50" t="n">
        <v>380</v>
      </c>
      <c r="G91" s="42" t="n">
        <v>1</v>
      </c>
      <c r="H91" s="30">
        <f>IF(D91="","",IFERROR(INDEX(Config!$B$12:$B$15,MATCH(IF(AND(D91="Cartão de crédito",N(E91)&gt;1),"Cartão de crédito parcelado",D91),Config!$A$12:$A$15,0)),0)+IF(AND(Config!$B$17="Sim",LEFT(D91,17)="Cartão de crédito"),Config!$B$18*IFERROR(INDEX(Config!$C$12:$C$15,MATCH(IF(AND(D91="Cartão de crédito",N(E91)&gt;1),"Cartão de crédito parcelado",D91),Config!$A$12:$A$15,0)),0)/30*MAX(1,N(E91)),0))</f>
        <v>0.032</v>
      </c>
      <c r="I91" s="29">
        <f>IF(OR(D91="",F91=""),"",ROUND(F91*H91,2))</f>
        <v>12.16</v>
      </c>
      <c r="J91" s="29">
        <f>IF(I91="","",F91-I91)</f>
        <v>367.84</v>
      </c>
      <c r="K91" s="29">
        <f>IF(J91="","",J91/MAX(1,N(E91)))</f>
        <v>367.84</v>
      </c>
      <c r="L91" s="37">
        <f>IF(OR(D91="",A91=""),"",A91+IF(AND(Config!$B$17="Sim",LEFT(D91,17)="Cartão de crédito"),1,IFERROR(INDEX(Config!$C$12:$C$15,MATCH(IF(AND(D91="Cartão de crédito",N(E91)&gt;1),"Cartão de crédito parcelado",D91),Config!$A$12:$A$15,0)),0)))</f>
        <v>46239.0</v>
      </c>
      <c r="M91" s="37">
        <f>IF(L91="","",IF(AND(Config!$B$17="Sim",LEFT(D91,17)="Cartão de crédito"),L91,L91+30*(MAX(1,N(E91))-1)))</f>
        <v>46239.0</v>
      </c>
      <c r="N91" s="29">
        <f>IF(OR(L91="",K91=""),"",K91*MIN(MAX(1,N(E91)),MAX(0,INT((Config!$B$8-L91)/30)+1)))</f>
        <v>367.84</v>
      </c>
      <c r="O91" s="29">
        <f>IF(J91="","",J91-N(N91))</f>
        <v>0</v>
      </c>
      <c r="P91" s="27">
        <f>IF(A91="","",MONTH(A91))</f>
        <v>7</v>
      </c>
      <c r="Q91" s="27">
        <f>IF(A91="","",YEAR(A91))</f>
        <v>2026</v>
      </c>
      <c r="R91" s="27" t="str">
        <f>IF(L91="","",IF(L91&gt;Config!$B$8,"A cair",IF(N(G91)&gt;=MIN(MAX(1,N(E91)),MAX(0,INT((Config!$B$8-L91)/30)+1)),IF(N(G91)&gt;=MAX(1,N(E91)),"Conferido","Conferido até aqui"),"A conferir")))</f>
        <v>Conferido</v>
      </c>
      <c r="S91" s="51">
        <f>IF(R91="A conferir",(Config!$B$8-L91)*1000+N(F91)/1000+ROW()/100000,0)</f>
        <v>0</v>
      </c>
      <c r="T91" s="51">
        <f>IF(R91="A conferir",N(N91),0)</f>
        <v>0</v>
      </c>
      <c r="U91" s="51">
        <f>IF(L91="",0,L91)</f>
        <v>46239.0</v>
      </c>
      <c r="V91" s="51">
        <f>IF(L91="",0,MAX(1,N(E91)))</f>
        <v>1</v>
      </c>
      <c r="W91" s="51">
        <f>IF(K91="",0,K91)</f>
        <v>367.84</v>
      </c>
    </row>
    <row r="92">
      <c r="A92" s="49" t="n">
        <v>46210</v>
      </c>
      <c r="B92" s="41" t="inlineStr">
        <is>
          <t>Marcelo Santos</t>
        </is>
      </c>
      <c r="C92" s="41" t="inlineStr">
        <is>
          <t>Consulta</t>
        </is>
      </c>
      <c r="D92" s="42" t="inlineStr">
        <is>
          <t>Pix</t>
        </is>
      </c>
      <c r="E92" s="42" t="n"/>
      <c r="F92" s="50" t="n">
        <v>380</v>
      </c>
      <c r="G92" s="42" t="n">
        <v>1</v>
      </c>
      <c r="H92" s="30">
        <f>IF(D92="","",IFERROR(INDEX(Config!$B$12:$B$15,MATCH(IF(AND(D92="Cartão de crédito",N(E92)&gt;1),"Cartão de crédito parcelado",D92),Config!$A$12:$A$15,0)),0)+IF(AND(Config!$B$17="Sim",LEFT(D92,17)="Cartão de crédito"),Config!$B$18*IFERROR(INDEX(Config!$C$12:$C$15,MATCH(IF(AND(D92="Cartão de crédito",N(E92)&gt;1),"Cartão de crédito parcelado",D92),Config!$A$12:$A$15,0)),0)/30*MAX(1,N(E92)),0))</f>
        <v>0</v>
      </c>
      <c r="I92" s="29">
        <f>IF(OR(D92="",F92=""),"",ROUND(F92*H92,2))</f>
        <v>0</v>
      </c>
      <c r="J92" s="29">
        <f>IF(I92="","",F92-I92)</f>
        <v>380</v>
      </c>
      <c r="K92" s="29">
        <f>IF(J92="","",J92/MAX(1,N(E92)))</f>
        <v>380</v>
      </c>
      <c r="L92" s="37">
        <f>IF(OR(D92="",A92=""),"",A92+IF(AND(Config!$B$17="Sim",LEFT(D92,17)="Cartão de crédito"),1,IFERROR(INDEX(Config!$C$12:$C$15,MATCH(IF(AND(D92="Cartão de crédito",N(E92)&gt;1),"Cartão de crédito parcelado",D92),Config!$A$12:$A$15,0)),0)))</f>
        <v>46210.0</v>
      </c>
      <c r="M92" s="37">
        <f>IF(L92="","",IF(AND(Config!$B$17="Sim",LEFT(D92,17)="Cartão de crédito"),L92,L92+30*(MAX(1,N(E92))-1)))</f>
        <v>46210.0</v>
      </c>
      <c r="N92" s="29">
        <f>IF(OR(L92="",K92=""),"",K92*MIN(MAX(1,N(E92)),MAX(0,INT((Config!$B$8-L92)/30)+1)))</f>
        <v>380</v>
      </c>
      <c r="O92" s="29">
        <f>IF(J92="","",J92-N(N92))</f>
        <v>0</v>
      </c>
      <c r="P92" s="27">
        <f>IF(A92="","",MONTH(A92))</f>
        <v>7</v>
      </c>
      <c r="Q92" s="27">
        <f>IF(A92="","",YEAR(A92))</f>
        <v>2026</v>
      </c>
      <c r="R92" s="27" t="str">
        <f>IF(L92="","",IF(L92&gt;Config!$B$8,"A cair",IF(N(G92)&gt;=MIN(MAX(1,N(E92)),MAX(0,INT((Config!$B$8-L92)/30)+1)),IF(N(G92)&gt;=MAX(1,N(E92)),"Conferido","Conferido até aqui"),"A conferir")))</f>
        <v>Conferido</v>
      </c>
      <c r="S92" s="51">
        <f>IF(R92="A conferir",(Config!$B$8-L92)*1000+N(F92)/1000+ROW()/100000,0)</f>
        <v>0</v>
      </c>
      <c r="T92" s="51">
        <f>IF(R92="A conferir",N(N92),0)</f>
        <v>0</v>
      </c>
      <c r="U92" s="51">
        <f>IF(L92="",0,L92)</f>
        <v>46210.0</v>
      </c>
      <c r="V92" s="51">
        <f>IF(L92="",0,MAX(1,N(E92)))</f>
        <v>1</v>
      </c>
      <c r="W92" s="51">
        <f>IF(K92="",0,K92)</f>
        <v>380</v>
      </c>
    </row>
    <row r="93">
      <c r="A93" s="49" t="n">
        <v>46210</v>
      </c>
      <c r="B93" s="41" t="inlineStr">
        <is>
          <t>Regina Teixeira</t>
        </is>
      </c>
      <c r="C93" s="41" t="inlineStr">
        <is>
          <t>Consulta</t>
        </is>
      </c>
      <c r="D93" s="42" t="inlineStr">
        <is>
          <t>Pix</t>
        </is>
      </c>
      <c r="E93" s="42" t="n"/>
      <c r="F93" s="50" t="n">
        <v>380</v>
      </c>
      <c r="G93" s="42" t="n">
        <v>1</v>
      </c>
      <c r="H93" s="30">
        <f>IF(D93="","",IFERROR(INDEX(Config!$B$12:$B$15,MATCH(IF(AND(D93="Cartão de crédito",N(E93)&gt;1),"Cartão de crédito parcelado",D93),Config!$A$12:$A$15,0)),0)+IF(AND(Config!$B$17="Sim",LEFT(D93,17)="Cartão de crédito"),Config!$B$18*IFERROR(INDEX(Config!$C$12:$C$15,MATCH(IF(AND(D93="Cartão de crédito",N(E93)&gt;1),"Cartão de crédito parcelado",D93),Config!$A$12:$A$15,0)),0)/30*MAX(1,N(E93)),0))</f>
        <v>0</v>
      </c>
      <c r="I93" s="29">
        <f>IF(OR(D93="",F93=""),"",ROUND(F93*H93,2))</f>
        <v>0</v>
      </c>
      <c r="J93" s="29">
        <f>IF(I93="","",F93-I93)</f>
        <v>380</v>
      </c>
      <c r="K93" s="29">
        <f>IF(J93="","",J93/MAX(1,N(E93)))</f>
        <v>380</v>
      </c>
      <c r="L93" s="37">
        <f>IF(OR(D93="",A93=""),"",A93+IF(AND(Config!$B$17="Sim",LEFT(D93,17)="Cartão de crédito"),1,IFERROR(INDEX(Config!$C$12:$C$15,MATCH(IF(AND(D93="Cartão de crédito",N(E93)&gt;1),"Cartão de crédito parcelado",D93),Config!$A$12:$A$15,0)),0)))</f>
        <v>46210.0</v>
      </c>
      <c r="M93" s="37">
        <f>IF(L93="","",IF(AND(Config!$B$17="Sim",LEFT(D93,17)="Cartão de crédito"),L93,L93+30*(MAX(1,N(E93))-1)))</f>
        <v>46210.0</v>
      </c>
      <c r="N93" s="29">
        <f>IF(OR(L93="",K93=""),"",K93*MIN(MAX(1,N(E93)),MAX(0,INT((Config!$B$8-L93)/30)+1)))</f>
        <v>380</v>
      </c>
      <c r="O93" s="29">
        <f>IF(J93="","",J93-N(N93))</f>
        <v>0</v>
      </c>
      <c r="P93" s="27">
        <f>IF(A93="","",MONTH(A93))</f>
        <v>7</v>
      </c>
      <c r="Q93" s="27">
        <f>IF(A93="","",YEAR(A93))</f>
        <v>2026</v>
      </c>
      <c r="R93" s="27" t="str">
        <f>IF(L93="","",IF(L93&gt;Config!$B$8,"A cair",IF(N(G93)&gt;=MIN(MAX(1,N(E93)),MAX(0,INT((Config!$B$8-L93)/30)+1)),IF(N(G93)&gt;=MAX(1,N(E93)),"Conferido","Conferido até aqui"),"A conferir")))</f>
        <v>Conferido</v>
      </c>
      <c r="S93" s="51">
        <f>IF(R93="A conferir",(Config!$B$8-L93)*1000+N(F93)/1000+ROW()/100000,0)</f>
        <v>0</v>
      </c>
      <c r="T93" s="51">
        <f>IF(R93="A conferir",N(N93),0)</f>
        <v>0</v>
      </c>
      <c r="U93" s="51">
        <f>IF(L93="",0,L93)</f>
        <v>46210.0</v>
      </c>
      <c r="V93" s="51">
        <f>IF(L93="",0,MAX(1,N(E93)))</f>
        <v>1</v>
      </c>
      <c r="W93" s="51">
        <f>IF(K93="",0,K93)</f>
        <v>380</v>
      </c>
    </row>
    <row r="94">
      <c r="A94" s="49" t="n">
        <v>46210</v>
      </c>
      <c r="B94" s="41" t="inlineStr">
        <is>
          <t>Gisele Ribeiro</t>
        </is>
      </c>
      <c r="C94" s="41" t="inlineStr">
        <is>
          <t>Consulta</t>
        </is>
      </c>
      <c r="D94" s="42" t="inlineStr">
        <is>
          <t>Pix</t>
        </is>
      </c>
      <c r="E94" s="42" t="n"/>
      <c r="F94" s="50" t="n">
        <v>380</v>
      </c>
      <c r="G94" s="42" t="n">
        <v>1</v>
      </c>
      <c r="H94" s="30">
        <f>IF(D94="","",IFERROR(INDEX(Config!$B$12:$B$15,MATCH(IF(AND(D94="Cartão de crédito",N(E94)&gt;1),"Cartão de crédito parcelado",D94),Config!$A$12:$A$15,0)),0)+IF(AND(Config!$B$17="Sim",LEFT(D94,17)="Cartão de crédito"),Config!$B$18*IFERROR(INDEX(Config!$C$12:$C$15,MATCH(IF(AND(D94="Cartão de crédito",N(E94)&gt;1),"Cartão de crédito parcelado",D94),Config!$A$12:$A$15,0)),0)/30*MAX(1,N(E94)),0))</f>
        <v>0</v>
      </c>
      <c r="I94" s="29">
        <f>IF(OR(D94="",F94=""),"",ROUND(F94*H94,2))</f>
        <v>0</v>
      </c>
      <c r="J94" s="29">
        <f>IF(I94="","",F94-I94)</f>
        <v>380</v>
      </c>
      <c r="K94" s="29">
        <f>IF(J94="","",J94/MAX(1,N(E94)))</f>
        <v>380</v>
      </c>
      <c r="L94" s="37">
        <f>IF(OR(D94="",A94=""),"",A94+IF(AND(Config!$B$17="Sim",LEFT(D94,17)="Cartão de crédito"),1,IFERROR(INDEX(Config!$C$12:$C$15,MATCH(IF(AND(D94="Cartão de crédito",N(E94)&gt;1),"Cartão de crédito parcelado",D94),Config!$A$12:$A$15,0)),0)))</f>
        <v>46210.0</v>
      </c>
      <c r="M94" s="37">
        <f>IF(L94="","",IF(AND(Config!$B$17="Sim",LEFT(D94,17)="Cartão de crédito"),L94,L94+30*(MAX(1,N(E94))-1)))</f>
        <v>46210.0</v>
      </c>
      <c r="N94" s="29">
        <f>IF(OR(L94="",K94=""),"",K94*MIN(MAX(1,N(E94)),MAX(0,INT((Config!$B$8-L94)/30)+1)))</f>
        <v>380</v>
      </c>
      <c r="O94" s="29">
        <f>IF(J94="","",J94-N(N94))</f>
        <v>0</v>
      </c>
      <c r="P94" s="27">
        <f>IF(A94="","",MONTH(A94))</f>
        <v>7</v>
      </c>
      <c r="Q94" s="27">
        <f>IF(A94="","",YEAR(A94))</f>
        <v>2026</v>
      </c>
      <c r="R94" s="27" t="str">
        <f>IF(L94="","",IF(L94&gt;Config!$B$8,"A cair",IF(N(G94)&gt;=MIN(MAX(1,N(E94)),MAX(0,INT((Config!$B$8-L94)/30)+1)),IF(N(G94)&gt;=MAX(1,N(E94)),"Conferido","Conferido até aqui"),"A conferir")))</f>
        <v>Conferido</v>
      </c>
      <c r="S94" s="51">
        <f>IF(R94="A conferir",(Config!$B$8-L94)*1000+N(F94)/1000+ROW()/100000,0)</f>
        <v>0</v>
      </c>
      <c r="T94" s="51">
        <f>IF(R94="A conferir",N(N94),0)</f>
        <v>0</v>
      </c>
      <c r="U94" s="51">
        <f>IF(L94="",0,L94)</f>
        <v>46210.0</v>
      </c>
      <c r="V94" s="51">
        <f>IF(L94="",0,MAX(1,N(E94)))</f>
        <v>1</v>
      </c>
      <c r="W94" s="51">
        <f>IF(K94="",0,K94)</f>
        <v>380</v>
      </c>
    </row>
    <row r="95">
      <c r="A95" s="49" t="n">
        <v>46210</v>
      </c>
      <c r="B95" s="41" t="inlineStr">
        <is>
          <t>Beatriz Reis</t>
        </is>
      </c>
      <c r="C95" s="41" t="inlineStr">
        <is>
          <t>Avaliação endócrina</t>
        </is>
      </c>
      <c r="D95" s="42" t="inlineStr">
        <is>
          <t>Pix</t>
        </is>
      </c>
      <c r="E95" s="42" t="n"/>
      <c r="F95" s="50" t="n">
        <v>400</v>
      </c>
      <c r="G95" s="42" t="n">
        <v>1</v>
      </c>
      <c r="H95" s="30">
        <f>IF(D95="","",IFERROR(INDEX(Config!$B$12:$B$15,MATCH(IF(AND(D95="Cartão de crédito",N(E95)&gt;1),"Cartão de crédito parcelado",D95),Config!$A$12:$A$15,0)),0)+IF(AND(Config!$B$17="Sim",LEFT(D95,17)="Cartão de crédito"),Config!$B$18*IFERROR(INDEX(Config!$C$12:$C$15,MATCH(IF(AND(D95="Cartão de crédito",N(E95)&gt;1),"Cartão de crédito parcelado",D95),Config!$A$12:$A$15,0)),0)/30*MAX(1,N(E95)),0))</f>
        <v>0</v>
      </c>
      <c r="I95" s="29">
        <f>IF(OR(D95="",F95=""),"",ROUND(F95*H95,2))</f>
        <v>0</v>
      </c>
      <c r="J95" s="29">
        <f>IF(I95="","",F95-I95)</f>
        <v>400</v>
      </c>
      <c r="K95" s="29">
        <f>IF(J95="","",J95/MAX(1,N(E95)))</f>
        <v>400</v>
      </c>
      <c r="L95" s="37">
        <f>IF(OR(D95="",A95=""),"",A95+IF(AND(Config!$B$17="Sim",LEFT(D95,17)="Cartão de crédito"),1,IFERROR(INDEX(Config!$C$12:$C$15,MATCH(IF(AND(D95="Cartão de crédito",N(E95)&gt;1),"Cartão de crédito parcelado",D95),Config!$A$12:$A$15,0)),0)))</f>
        <v>46210.0</v>
      </c>
      <c r="M95" s="37">
        <f>IF(L95="","",IF(AND(Config!$B$17="Sim",LEFT(D95,17)="Cartão de crédito"),L95,L95+30*(MAX(1,N(E95))-1)))</f>
        <v>46210.0</v>
      </c>
      <c r="N95" s="29">
        <f>IF(OR(L95="",K95=""),"",K95*MIN(MAX(1,N(E95)),MAX(0,INT((Config!$B$8-L95)/30)+1)))</f>
        <v>400</v>
      </c>
      <c r="O95" s="29">
        <f>IF(J95="","",J95-N(N95))</f>
        <v>0</v>
      </c>
      <c r="P95" s="27">
        <f>IF(A95="","",MONTH(A95))</f>
        <v>7</v>
      </c>
      <c r="Q95" s="27">
        <f>IF(A95="","",YEAR(A95))</f>
        <v>2026</v>
      </c>
      <c r="R95" s="27" t="str">
        <f>IF(L95="","",IF(L95&gt;Config!$B$8,"A cair",IF(N(G95)&gt;=MIN(MAX(1,N(E95)),MAX(0,INT((Config!$B$8-L95)/30)+1)),IF(N(G95)&gt;=MAX(1,N(E95)),"Conferido","Conferido até aqui"),"A conferir")))</f>
        <v>Conferido</v>
      </c>
      <c r="S95" s="51">
        <f>IF(R95="A conferir",(Config!$B$8-L95)*1000+N(F95)/1000+ROW()/100000,0)</f>
        <v>0</v>
      </c>
      <c r="T95" s="51">
        <f>IF(R95="A conferir",N(N95),0)</f>
        <v>0</v>
      </c>
      <c r="U95" s="51">
        <f>IF(L95="",0,L95)</f>
        <v>46210.0</v>
      </c>
      <c r="V95" s="51">
        <f>IF(L95="",0,MAX(1,N(E95)))</f>
        <v>1</v>
      </c>
      <c r="W95" s="51">
        <f>IF(K95="",0,K95)</f>
        <v>400</v>
      </c>
    </row>
    <row r="96">
      <c r="A96" s="49" t="n">
        <v>46210</v>
      </c>
      <c r="B96" s="41" t="inlineStr">
        <is>
          <t>Marcelo Ferreira</t>
        </is>
      </c>
      <c r="C96" s="41" t="inlineStr">
        <is>
          <t>Consulta</t>
        </is>
      </c>
      <c r="D96" s="42" t="inlineStr">
        <is>
          <t>Cartão de crédito</t>
        </is>
      </c>
      <c r="E96" s="42" t="n"/>
      <c r="F96" s="50" t="n">
        <v>380</v>
      </c>
      <c r="G96" s="42" t="n">
        <v>1</v>
      </c>
      <c r="H96" s="30">
        <f>IF(D96="","",IFERROR(INDEX(Config!$B$12:$B$15,MATCH(IF(AND(D96="Cartão de crédito",N(E96)&gt;1),"Cartão de crédito parcelado",D96),Config!$A$12:$A$15,0)),0)+IF(AND(Config!$B$17="Sim",LEFT(D96,17)="Cartão de crédito"),Config!$B$18*IFERROR(INDEX(Config!$C$12:$C$15,MATCH(IF(AND(D96="Cartão de crédito",N(E96)&gt;1),"Cartão de crédito parcelado",D96),Config!$A$12:$A$15,0)),0)/30*MAX(1,N(E96)),0))</f>
        <v>0.032</v>
      </c>
      <c r="I96" s="29">
        <f>IF(OR(D96="",F96=""),"",ROUND(F96*H96,2))</f>
        <v>12.16</v>
      </c>
      <c r="J96" s="29">
        <f>IF(I96="","",F96-I96)</f>
        <v>367.84</v>
      </c>
      <c r="K96" s="29">
        <f>IF(J96="","",J96/MAX(1,N(E96)))</f>
        <v>367.84</v>
      </c>
      <c r="L96" s="37">
        <f>IF(OR(D96="",A96=""),"",A96+IF(AND(Config!$B$17="Sim",LEFT(D96,17)="Cartão de crédito"),1,IFERROR(INDEX(Config!$C$12:$C$15,MATCH(IF(AND(D96="Cartão de crédito",N(E96)&gt;1),"Cartão de crédito parcelado",D96),Config!$A$12:$A$15,0)),0)))</f>
        <v>46240.0</v>
      </c>
      <c r="M96" s="37">
        <f>IF(L96="","",IF(AND(Config!$B$17="Sim",LEFT(D96,17)="Cartão de crédito"),L96,L96+30*(MAX(1,N(E96))-1)))</f>
        <v>46240.0</v>
      </c>
      <c r="N96" s="29">
        <f>IF(OR(L96="",K96=""),"",K96*MIN(MAX(1,N(E96)),MAX(0,INT((Config!$B$8-L96)/30)+1)))</f>
        <v>367.84</v>
      </c>
      <c r="O96" s="29">
        <f>IF(J96="","",J96-N(N96))</f>
        <v>0</v>
      </c>
      <c r="P96" s="27">
        <f>IF(A96="","",MONTH(A96))</f>
        <v>7</v>
      </c>
      <c r="Q96" s="27">
        <f>IF(A96="","",YEAR(A96))</f>
        <v>2026</v>
      </c>
      <c r="R96" s="27" t="str">
        <f>IF(L96="","",IF(L96&gt;Config!$B$8,"A cair",IF(N(G96)&gt;=MIN(MAX(1,N(E96)),MAX(0,INT((Config!$B$8-L96)/30)+1)),IF(N(G96)&gt;=MAX(1,N(E96)),"Conferido","Conferido até aqui"),"A conferir")))</f>
        <v>Conferido</v>
      </c>
      <c r="S96" s="51">
        <f>IF(R96="A conferir",(Config!$B$8-L96)*1000+N(F96)/1000+ROW()/100000,0)</f>
        <v>0</v>
      </c>
      <c r="T96" s="51">
        <f>IF(R96="A conferir",N(N96),0)</f>
        <v>0</v>
      </c>
      <c r="U96" s="51">
        <f>IF(L96="",0,L96)</f>
        <v>46240.0</v>
      </c>
      <c r="V96" s="51">
        <f>IF(L96="",0,MAX(1,N(E96)))</f>
        <v>1</v>
      </c>
      <c r="W96" s="51">
        <f>IF(K96="",0,K96)</f>
        <v>367.84</v>
      </c>
    </row>
    <row r="97">
      <c r="A97" s="49" t="n">
        <v>46210</v>
      </c>
      <c r="B97" s="41" t="inlineStr">
        <is>
          <t>Lucas Cardoso</t>
        </is>
      </c>
      <c r="C97" s="41" t="inlineStr">
        <is>
          <t>Consulta</t>
        </is>
      </c>
      <c r="D97" s="42" t="inlineStr">
        <is>
          <t>Cartão de crédito</t>
        </is>
      </c>
      <c r="E97" s="42" t="n"/>
      <c r="F97" s="50" t="n">
        <v>380</v>
      </c>
      <c r="G97" s="42" t="n">
        <v>1</v>
      </c>
      <c r="H97" s="30">
        <f>IF(D97="","",IFERROR(INDEX(Config!$B$12:$B$15,MATCH(IF(AND(D97="Cartão de crédito",N(E97)&gt;1),"Cartão de crédito parcelado",D97),Config!$A$12:$A$15,0)),0)+IF(AND(Config!$B$17="Sim",LEFT(D97,17)="Cartão de crédito"),Config!$B$18*IFERROR(INDEX(Config!$C$12:$C$15,MATCH(IF(AND(D97="Cartão de crédito",N(E97)&gt;1),"Cartão de crédito parcelado",D97),Config!$A$12:$A$15,0)),0)/30*MAX(1,N(E97)),0))</f>
        <v>0.032</v>
      </c>
      <c r="I97" s="29">
        <f>IF(OR(D97="",F97=""),"",ROUND(F97*H97,2))</f>
        <v>12.16</v>
      </c>
      <c r="J97" s="29">
        <f>IF(I97="","",F97-I97)</f>
        <v>367.84</v>
      </c>
      <c r="K97" s="29">
        <f>IF(J97="","",J97/MAX(1,N(E97)))</f>
        <v>367.84</v>
      </c>
      <c r="L97" s="37">
        <f>IF(OR(D97="",A97=""),"",A97+IF(AND(Config!$B$17="Sim",LEFT(D97,17)="Cartão de crédito"),1,IFERROR(INDEX(Config!$C$12:$C$15,MATCH(IF(AND(D97="Cartão de crédito",N(E97)&gt;1),"Cartão de crédito parcelado",D97),Config!$A$12:$A$15,0)),0)))</f>
        <v>46240.0</v>
      </c>
      <c r="M97" s="37">
        <f>IF(L97="","",IF(AND(Config!$B$17="Sim",LEFT(D97,17)="Cartão de crédito"),L97,L97+30*(MAX(1,N(E97))-1)))</f>
        <v>46240.0</v>
      </c>
      <c r="N97" s="29">
        <f>IF(OR(L97="",K97=""),"",K97*MIN(MAX(1,N(E97)),MAX(0,INT((Config!$B$8-L97)/30)+1)))</f>
        <v>367.84</v>
      </c>
      <c r="O97" s="29">
        <f>IF(J97="","",J97-N(N97))</f>
        <v>0</v>
      </c>
      <c r="P97" s="27">
        <f>IF(A97="","",MONTH(A97))</f>
        <v>7</v>
      </c>
      <c r="Q97" s="27">
        <f>IF(A97="","",YEAR(A97))</f>
        <v>2026</v>
      </c>
      <c r="R97" s="27" t="str">
        <f>IF(L97="","",IF(L97&gt;Config!$B$8,"A cair",IF(N(G97)&gt;=MIN(MAX(1,N(E97)),MAX(0,INT((Config!$B$8-L97)/30)+1)),IF(N(G97)&gt;=MAX(1,N(E97)),"Conferido","Conferido até aqui"),"A conferir")))</f>
        <v>Conferido</v>
      </c>
      <c r="S97" s="51">
        <f>IF(R97="A conferir",(Config!$B$8-L97)*1000+N(F97)/1000+ROW()/100000,0)</f>
        <v>0</v>
      </c>
      <c r="T97" s="51">
        <f>IF(R97="A conferir",N(N97),0)</f>
        <v>0</v>
      </c>
      <c r="U97" s="51">
        <f>IF(L97="",0,L97)</f>
        <v>46240.0</v>
      </c>
      <c r="V97" s="51">
        <f>IF(L97="",0,MAX(1,N(E97)))</f>
        <v>1</v>
      </c>
      <c r="W97" s="51">
        <f>IF(K97="",0,K97)</f>
        <v>367.84</v>
      </c>
    </row>
    <row r="98">
      <c r="A98" s="49" t="n">
        <v>46211</v>
      </c>
      <c r="B98" s="41" t="inlineStr">
        <is>
          <t>Cláudia Santos</t>
        </is>
      </c>
      <c r="C98" s="41" t="inlineStr">
        <is>
          <t>Consulta</t>
        </is>
      </c>
      <c r="D98" s="42" t="inlineStr">
        <is>
          <t>Pix</t>
        </is>
      </c>
      <c r="E98" s="42" t="n"/>
      <c r="F98" s="50" t="n">
        <v>380</v>
      </c>
      <c r="G98" s="42" t="n">
        <v>1</v>
      </c>
      <c r="H98" s="30">
        <f>IF(D98="","",IFERROR(INDEX(Config!$B$12:$B$15,MATCH(IF(AND(D98="Cartão de crédito",N(E98)&gt;1),"Cartão de crédito parcelado",D98),Config!$A$12:$A$15,0)),0)+IF(AND(Config!$B$17="Sim",LEFT(D98,17)="Cartão de crédito"),Config!$B$18*IFERROR(INDEX(Config!$C$12:$C$15,MATCH(IF(AND(D98="Cartão de crédito",N(E98)&gt;1),"Cartão de crédito parcelado",D98),Config!$A$12:$A$15,0)),0)/30*MAX(1,N(E98)),0))</f>
        <v>0</v>
      </c>
      <c r="I98" s="29">
        <f>IF(OR(D98="",F98=""),"",ROUND(F98*H98,2))</f>
        <v>0</v>
      </c>
      <c r="J98" s="29">
        <f>IF(I98="","",F98-I98)</f>
        <v>380</v>
      </c>
      <c r="K98" s="29">
        <f>IF(J98="","",J98/MAX(1,N(E98)))</f>
        <v>380</v>
      </c>
      <c r="L98" s="37">
        <f>IF(OR(D98="",A98=""),"",A98+IF(AND(Config!$B$17="Sim",LEFT(D98,17)="Cartão de crédito"),1,IFERROR(INDEX(Config!$C$12:$C$15,MATCH(IF(AND(D98="Cartão de crédito",N(E98)&gt;1),"Cartão de crédito parcelado",D98),Config!$A$12:$A$15,0)),0)))</f>
        <v>46211.0</v>
      </c>
      <c r="M98" s="37">
        <f>IF(L98="","",IF(AND(Config!$B$17="Sim",LEFT(D98,17)="Cartão de crédito"),L98,L98+30*(MAX(1,N(E98))-1)))</f>
        <v>46211.0</v>
      </c>
      <c r="N98" s="29">
        <f>IF(OR(L98="",K98=""),"",K98*MIN(MAX(1,N(E98)),MAX(0,INT((Config!$B$8-L98)/30)+1)))</f>
        <v>380</v>
      </c>
      <c r="O98" s="29">
        <f>IF(J98="","",J98-N(N98))</f>
        <v>0</v>
      </c>
      <c r="P98" s="27">
        <f>IF(A98="","",MONTH(A98))</f>
        <v>7</v>
      </c>
      <c r="Q98" s="27">
        <f>IF(A98="","",YEAR(A98))</f>
        <v>2026</v>
      </c>
      <c r="R98" s="27" t="str">
        <f>IF(L98="","",IF(L98&gt;Config!$B$8,"A cair",IF(N(G98)&gt;=MIN(MAX(1,N(E98)),MAX(0,INT((Config!$B$8-L98)/30)+1)),IF(N(G98)&gt;=MAX(1,N(E98)),"Conferido","Conferido até aqui"),"A conferir")))</f>
        <v>Conferido</v>
      </c>
      <c r="S98" s="51">
        <f>IF(R98="A conferir",(Config!$B$8-L98)*1000+N(F98)/1000+ROW()/100000,0)</f>
        <v>0</v>
      </c>
      <c r="T98" s="51">
        <f>IF(R98="A conferir",N(N98),0)</f>
        <v>0</v>
      </c>
      <c r="U98" s="51">
        <f>IF(L98="",0,L98)</f>
        <v>46211.0</v>
      </c>
      <c r="V98" s="51">
        <f>IF(L98="",0,MAX(1,N(E98)))</f>
        <v>1</v>
      </c>
      <c r="W98" s="51">
        <f>IF(K98="",0,K98)</f>
        <v>380</v>
      </c>
    </row>
    <row r="99">
      <c r="A99" s="49" t="n">
        <v>46211</v>
      </c>
      <c r="B99" s="41" t="inlineStr">
        <is>
          <t>Otávio Nascimento</t>
        </is>
      </c>
      <c r="C99" s="41" t="inlineStr">
        <is>
          <t>Consulta</t>
        </is>
      </c>
      <c r="D99" s="42" t="inlineStr">
        <is>
          <t>Cartão de crédito</t>
        </is>
      </c>
      <c r="E99" s="42" t="n"/>
      <c r="F99" s="50" t="n">
        <v>380</v>
      </c>
      <c r="G99" s="42" t="n">
        <v>1</v>
      </c>
      <c r="H99" s="30">
        <f>IF(D99="","",IFERROR(INDEX(Config!$B$12:$B$15,MATCH(IF(AND(D99="Cartão de crédito",N(E99)&gt;1),"Cartão de crédito parcelado",D99),Config!$A$12:$A$15,0)),0)+IF(AND(Config!$B$17="Sim",LEFT(D99,17)="Cartão de crédito"),Config!$B$18*IFERROR(INDEX(Config!$C$12:$C$15,MATCH(IF(AND(D99="Cartão de crédito",N(E99)&gt;1),"Cartão de crédito parcelado",D99),Config!$A$12:$A$15,0)),0)/30*MAX(1,N(E99)),0))</f>
        <v>0.032</v>
      </c>
      <c r="I99" s="29">
        <f>IF(OR(D99="",F99=""),"",ROUND(F99*H99,2))</f>
        <v>12.16</v>
      </c>
      <c r="J99" s="29">
        <f>IF(I99="","",F99-I99)</f>
        <v>367.84</v>
      </c>
      <c r="K99" s="29">
        <f>IF(J99="","",J99/MAX(1,N(E99)))</f>
        <v>367.84</v>
      </c>
      <c r="L99" s="37">
        <f>IF(OR(D99="",A99=""),"",A99+IF(AND(Config!$B$17="Sim",LEFT(D99,17)="Cartão de crédito"),1,IFERROR(INDEX(Config!$C$12:$C$15,MATCH(IF(AND(D99="Cartão de crédito",N(E99)&gt;1),"Cartão de crédito parcelado",D99),Config!$A$12:$A$15,0)),0)))</f>
        <v>46241.0</v>
      </c>
      <c r="M99" s="37">
        <f>IF(L99="","",IF(AND(Config!$B$17="Sim",LEFT(D99,17)="Cartão de crédito"),L99,L99+30*(MAX(1,N(E99))-1)))</f>
        <v>46241.0</v>
      </c>
      <c r="N99" s="29">
        <f>IF(OR(L99="",K99=""),"",K99*MIN(MAX(1,N(E99)),MAX(0,INT((Config!$B$8-L99)/30)+1)))</f>
        <v>367.84</v>
      </c>
      <c r="O99" s="29">
        <f>IF(J99="","",J99-N(N99))</f>
        <v>0</v>
      </c>
      <c r="P99" s="27">
        <f>IF(A99="","",MONTH(A99))</f>
        <v>7</v>
      </c>
      <c r="Q99" s="27">
        <f>IF(A99="","",YEAR(A99))</f>
        <v>2026</v>
      </c>
      <c r="R99" s="27" t="str">
        <f>IF(L99="","",IF(L99&gt;Config!$B$8,"A cair",IF(N(G99)&gt;=MIN(MAX(1,N(E99)),MAX(0,INT((Config!$B$8-L99)/30)+1)),IF(N(G99)&gt;=MAX(1,N(E99)),"Conferido","Conferido até aqui"),"A conferir")))</f>
        <v>Conferido</v>
      </c>
      <c r="S99" s="51">
        <f>IF(R99="A conferir",(Config!$B$8-L99)*1000+N(F99)/1000+ROW()/100000,0)</f>
        <v>0</v>
      </c>
      <c r="T99" s="51">
        <f>IF(R99="A conferir",N(N99),0)</f>
        <v>0</v>
      </c>
      <c r="U99" s="51">
        <f>IF(L99="",0,L99)</f>
        <v>46241.0</v>
      </c>
      <c r="V99" s="51">
        <f>IF(L99="",0,MAX(1,N(E99)))</f>
        <v>1</v>
      </c>
      <c r="W99" s="51">
        <f>IF(K99="",0,K99)</f>
        <v>367.84</v>
      </c>
    </row>
    <row r="100">
      <c r="A100" s="49" t="n">
        <v>46212</v>
      </c>
      <c r="B100" s="41" t="inlineStr">
        <is>
          <t>Elaine Cardoso</t>
        </is>
      </c>
      <c r="C100" s="41" t="inlineStr">
        <is>
          <t>Consulta</t>
        </is>
      </c>
      <c r="D100" s="42" t="inlineStr">
        <is>
          <t>Cartão de crédito</t>
        </is>
      </c>
      <c r="E100" s="42" t="n"/>
      <c r="F100" s="50" t="n">
        <v>380</v>
      </c>
      <c r="G100" s="42" t="n">
        <v>1</v>
      </c>
      <c r="H100" s="30">
        <f>IF(D100="","",IFERROR(INDEX(Config!$B$12:$B$15,MATCH(IF(AND(D100="Cartão de crédito",N(E100)&gt;1),"Cartão de crédito parcelado",D100),Config!$A$12:$A$15,0)),0)+IF(AND(Config!$B$17="Sim",LEFT(D100,17)="Cartão de crédito"),Config!$B$18*IFERROR(INDEX(Config!$C$12:$C$15,MATCH(IF(AND(D100="Cartão de crédito",N(E100)&gt;1),"Cartão de crédito parcelado",D100),Config!$A$12:$A$15,0)),0)/30*MAX(1,N(E100)),0))</f>
        <v>0.032</v>
      </c>
      <c r="I100" s="29">
        <f>IF(OR(D100="",F100=""),"",ROUND(F100*H100,2))</f>
        <v>12.16</v>
      </c>
      <c r="J100" s="29">
        <f>IF(I100="","",F100-I100)</f>
        <v>367.84</v>
      </c>
      <c r="K100" s="29">
        <f>IF(J100="","",J100/MAX(1,N(E100)))</f>
        <v>367.84</v>
      </c>
      <c r="L100" s="37">
        <f>IF(OR(D100="",A100=""),"",A100+IF(AND(Config!$B$17="Sim",LEFT(D100,17)="Cartão de crédito"),1,IFERROR(INDEX(Config!$C$12:$C$15,MATCH(IF(AND(D100="Cartão de crédito",N(E100)&gt;1),"Cartão de crédito parcelado",D100),Config!$A$12:$A$15,0)),0)))</f>
        <v>46242.0</v>
      </c>
      <c r="M100" s="37">
        <f>IF(L100="","",IF(AND(Config!$B$17="Sim",LEFT(D100,17)="Cartão de crédito"),L100,L100+30*(MAX(1,N(E100))-1)))</f>
        <v>46242.0</v>
      </c>
      <c r="N100" s="29">
        <f>IF(OR(L100="",K100=""),"",K100*MIN(MAX(1,N(E100)),MAX(0,INT((Config!$B$8-L100)/30)+1)))</f>
        <v>367.84</v>
      </c>
      <c r="O100" s="29">
        <f>IF(J100="","",J100-N(N100))</f>
        <v>0</v>
      </c>
      <c r="P100" s="27">
        <f>IF(A100="","",MONTH(A100))</f>
        <v>7</v>
      </c>
      <c r="Q100" s="27">
        <f>IF(A100="","",YEAR(A100))</f>
        <v>2026</v>
      </c>
      <c r="R100" s="27" t="str">
        <f>IF(L100="","",IF(L100&gt;Config!$B$8,"A cair",IF(N(G100)&gt;=MIN(MAX(1,N(E100)),MAX(0,INT((Config!$B$8-L100)/30)+1)),IF(N(G100)&gt;=MAX(1,N(E100)),"Conferido","Conferido até aqui"),"A conferir")))</f>
        <v>Conferido</v>
      </c>
      <c r="S100" s="51">
        <f>IF(R100="A conferir",(Config!$B$8-L100)*1000+N(F100)/1000+ROW()/100000,0)</f>
        <v>0</v>
      </c>
      <c r="T100" s="51">
        <f>IF(R100="A conferir",N(N100),0)</f>
        <v>0</v>
      </c>
      <c r="U100" s="51">
        <f>IF(L100="",0,L100)</f>
        <v>46242.0</v>
      </c>
      <c r="V100" s="51">
        <f>IF(L100="",0,MAX(1,N(E100)))</f>
        <v>1</v>
      </c>
      <c r="W100" s="51">
        <f>IF(K100="",0,K100)</f>
        <v>367.84</v>
      </c>
    </row>
    <row r="101">
      <c r="A101" s="49" t="n">
        <v>46212</v>
      </c>
      <c r="B101" s="41" t="inlineStr">
        <is>
          <t>Roberta Araújo</t>
        </is>
      </c>
      <c r="C101" s="41" t="inlineStr">
        <is>
          <t>Consulta</t>
        </is>
      </c>
      <c r="D101" s="42" t="inlineStr">
        <is>
          <t>Pix</t>
        </is>
      </c>
      <c r="E101" s="42" t="n"/>
      <c r="F101" s="50" t="n">
        <v>380</v>
      </c>
      <c r="G101" s="42" t="n">
        <v>1</v>
      </c>
      <c r="H101" s="30">
        <f>IF(D101="","",IFERROR(INDEX(Config!$B$12:$B$15,MATCH(IF(AND(D101="Cartão de crédito",N(E101)&gt;1),"Cartão de crédito parcelado",D101),Config!$A$12:$A$15,0)),0)+IF(AND(Config!$B$17="Sim",LEFT(D101,17)="Cartão de crédito"),Config!$B$18*IFERROR(INDEX(Config!$C$12:$C$15,MATCH(IF(AND(D101="Cartão de crédito",N(E101)&gt;1),"Cartão de crédito parcelado",D101),Config!$A$12:$A$15,0)),0)/30*MAX(1,N(E101)),0))</f>
        <v>0</v>
      </c>
      <c r="I101" s="29">
        <f>IF(OR(D101="",F101=""),"",ROUND(F101*H101,2))</f>
        <v>0</v>
      </c>
      <c r="J101" s="29">
        <f>IF(I101="","",F101-I101)</f>
        <v>380</v>
      </c>
      <c r="K101" s="29">
        <f>IF(J101="","",J101/MAX(1,N(E101)))</f>
        <v>380</v>
      </c>
      <c r="L101" s="37">
        <f>IF(OR(D101="",A101=""),"",A101+IF(AND(Config!$B$17="Sim",LEFT(D101,17)="Cartão de crédito"),1,IFERROR(INDEX(Config!$C$12:$C$15,MATCH(IF(AND(D101="Cartão de crédito",N(E101)&gt;1),"Cartão de crédito parcelado",D101),Config!$A$12:$A$15,0)),0)))</f>
        <v>46212.0</v>
      </c>
      <c r="M101" s="37">
        <f>IF(L101="","",IF(AND(Config!$B$17="Sim",LEFT(D101,17)="Cartão de crédito"),L101,L101+30*(MAX(1,N(E101))-1)))</f>
        <v>46212.0</v>
      </c>
      <c r="N101" s="29">
        <f>IF(OR(L101="",K101=""),"",K101*MIN(MAX(1,N(E101)),MAX(0,INT((Config!$B$8-L101)/30)+1)))</f>
        <v>380</v>
      </c>
      <c r="O101" s="29">
        <f>IF(J101="","",J101-N(N101))</f>
        <v>0</v>
      </c>
      <c r="P101" s="27">
        <f>IF(A101="","",MONTH(A101))</f>
        <v>7</v>
      </c>
      <c r="Q101" s="27">
        <f>IF(A101="","",YEAR(A101))</f>
        <v>2026</v>
      </c>
      <c r="R101" s="27" t="str">
        <f>IF(L101="","",IF(L101&gt;Config!$B$8,"A cair",IF(N(G101)&gt;=MIN(MAX(1,N(E101)),MAX(0,INT((Config!$B$8-L101)/30)+1)),IF(N(G101)&gt;=MAX(1,N(E101)),"Conferido","Conferido até aqui"),"A conferir")))</f>
        <v>Conferido</v>
      </c>
      <c r="S101" s="51">
        <f>IF(R101="A conferir",(Config!$B$8-L101)*1000+N(F101)/1000+ROW()/100000,0)</f>
        <v>0</v>
      </c>
      <c r="T101" s="51">
        <f>IF(R101="A conferir",N(N101),0)</f>
        <v>0</v>
      </c>
      <c r="U101" s="51">
        <f>IF(L101="",0,L101)</f>
        <v>46212.0</v>
      </c>
      <c r="V101" s="51">
        <f>IF(L101="",0,MAX(1,N(E101)))</f>
        <v>1</v>
      </c>
      <c r="W101" s="51">
        <f>IF(K101="",0,K101)</f>
        <v>380</v>
      </c>
    </row>
    <row r="102">
      <c r="A102" s="49" t="n">
        <v>46212</v>
      </c>
      <c r="B102" s="41" t="inlineStr">
        <is>
          <t>Fábio Gomes</t>
        </is>
      </c>
      <c r="C102" s="41" t="inlineStr">
        <is>
          <t>Avaliação endócrina</t>
        </is>
      </c>
      <c r="D102" s="42" t="inlineStr">
        <is>
          <t>Cartão de crédito</t>
        </is>
      </c>
      <c r="E102" s="42" t="n"/>
      <c r="F102" s="50" t="n">
        <v>400</v>
      </c>
      <c r="G102" s="42" t="n">
        <v>1</v>
      </c>
      <c r="H102" s="30">
        <f>IF(D102="","",IFERROR(INDEX(Config!$B$12:$B$15,MATCH(IF(AND(D102="Cartão de crédito",N(E102)&gt;1),"Cartão de crédito parcelado",D102),Config!$A$12:$A$15,0)),0)+IF(AND(Config!$B$17="Sim",LEFT(D102,17)="Cartão de crédito"),Config!$B$18*IFERROR(INDEX(Config!$C$12:$C$15,MATCH(IF(AND(D102="Cartão de crédito",N(E102)&gt;1),"Cartão de crédito parcelado",D102),Config!$A$12:$A$15,0)),0)/30*MAX(1,N(E102)),0))</f>
        <v>0.032</v>
      </c>
      <c r="I102" s="29">
        <f>IF(OR(D102="",F102=""),"",ROUND(F102*H102,2))</f>
        <v>12.8</v>
      </c>
      <c r="J102" s="29">
        <f>IF(I102="","",F102-I102)</f>
        <v>387.2</v>
      </c>
      <c r="K102" s="29">
        <f>IF(J102="","",J102/MAX(1,N(E102)))</f>
        <v>387.2</v>
      </c>
      <c r="L102" s="37">
        <f>IF(OR(D102="",A102=""),"",A102+IF(AND(Config!$B$17="Sim",LEFT(D102,17)="Cartão de crédito"),1,IFERROR(INDEX(Config!$C$12:$C$15,MATCH(IF(AND(D102="Cartão de crédito",N(E102)&gt;1),"Cartão de crédito parcelado",D102),Config!$A$12:$A$15,0)),0)))</f>
        <v>46242.0</v>
      </c>
      <c r="M102" s="37">
        <f>IF(L102="","",IF(AND(Config!$B$17="Sim",LEFT(D102,17)="Cartão de crédito"),L102,L102+30*(MAX(1,N(E102))-1)))</f>
        <v>46242.0</v>
      </c>
      <c r="N102" s="29">
        <f>IF(OR(L102="",K102=""),"",K102*MIN(MAX(1,N(E102)),MAX(0,INT((Config!$B$8-L102)/30)+1)))</f>
        <v>387.2</v>
      </c>
      <c r="O102" s="29">
        <f>IF(J102="","",J102-N(N102))</f>
        <v>0</v>
      </c>
      <c r="P102" s="27">
        <f>IF(A102="","",MONTH(A102))</f>
        <v>7</v>
      </c>
      <c r="Q102" s="27">
        <f>IF(A102="","",YEAR(A102))</f>
        <v>2026</v>
      </c>
      <c r="R102" s="27" t="str">
        <f>IF(L102="","",IF(L102&gt;Config!$B$8,"A cair",IF(N(G102)&gt;=MIN(MAX(1,N(E102)),MAX(0,INT((Config!$B$8-L102)/30)+1)),IF(N(G102)&gt;=MAX(1,N(E102)),"Conferido","Conferido até aqui"),"A conferir")))</f>
        <v>Conferido</v>
      </c>
      <c r="S102" s="51">
        <f>IF(R102="A conferir",(Config!$B$8-L102)*1000+N(F102)/1000+ROW()/100000,0)</f>
        <v>0</v>
      </c>
      <c r="T102" s="51">
        <f>IF(R102="A conferir",N(N102),0)</f>
        <v>0</v>
      </c>
      <c r="U102" s="51">
        <f>IF(L102="",0,L102)</f>
        <v>46242.0</v>
      </c>
      <c r="V102" s="51">
        <f>IF(L102="",0,MAX(1,N(E102)))</f>
        <v>1</v>
      </c>
      <c r="W102" s="51">
        <f>IF(K102="",0,K102)</f>
        <v>387.2</v>
      </c>
    </row>
    <row r="103">
      <c r="A103" s="49" t="n">
        <v>46212</v>
      </c>
      <c r="B103" s="41" t="inlineStr">
        <is>
          <t>Rafael Pereira</t>
        </is>
      </c>
      <c r="C103" s="41" t="inlineStr">
        <is>
          <t>Avaliação endócrina</t>
        </is>
      </c>
      <c r="D103" s="42" t="inlineStr">
        <is>
          <t>Pix</t>
        </is>
      </c>
      <c r="E103" s="42" t="n"/>
      <c r="F103" s="50" t="n">
        <v>400</v>
      </c>
      <c r="G103" s="42" t="n">
        <v>1</v>
      </c>
      <c r="H103" s="30">
        <f>IF(D103="","",IFERROR(INDEX(Config!$B$12:$B$15,MATCH(IF(AND(D103="Cartão de crédito",N(E103)&gt;1),"Cartão de crédito parcelado",D103),Config!$A$12:$A$15,0)),0)+IF(AND(Config!$B$17="Sim",LEFT(D103,17)="Cartão de crédito"),Config!$B$18*IFERROR(INDEX(Config!$C$12:$C$15,MATCH(IF(AND(D103="Cartão de crédito",N(E103)&gt;1),"Cartão de crédito parcelado",D103),Config!$A$12:$A$15,0)),0)/30*MAX(1,N(E103)),0))</f>
        <v>0</v>
      </c>
      <c r="I103" s="29">
        <f>IF(OR(D103="",F103=""),"",ROUND(F103*H103,2))</f>
        <v>0</v>
      </c>
      <c r="J103" s="29">
        <f>IF(I103="","",F103-I103)</f>
        <v>400</v>
      </c>
      <c r="K103" s="29">
        <f>IF(J103="","",J103/MAX(1,N(E103)))</f>
        <v>400</v>
      </c>
      <c r="L103" s="37">
        <f>IF(OR(D103="",A103=""),"",A103+IF(AND(Config!$B$17="Sim",LEFT(D103,17)="Cartão de crédito"),1,IFERROR(INDEX(Config!$C$12:$C$15,MATCH(IF(AND(D103="Cartão de crédito",N(E103)&gt;1),"Cartão de crédito parcelado",D103),Config!$A$12:$A$15,0)),0)))</f>
        <v>46212.0</v>
      </c>
      <c r="M103" s="37">
        <f>IF(L103="","",IF(AND(Config!$B$17="Sim",LEFT(D103,17)="Cartão de crédito"),L103,L103+30*(MAX(1,N(E103))-1)))</f>
        <v>46212.0</v>
      </c>
      <c r="N103" s="29">
        <f>IF(OR(L103="",K103=""),"",K103*MIN(MAX(1,N(E103)),MAX(0,INT((Config!$B$8-L103)/30)+1)))</f>
        <v>400</v>
      </c>
      <c r="O103" s="29">
        <f>IF(J103="","",J103-N(N103))</f>
        <v>0</v>
      </c>
      <c r="P103" s="27">
        <f>IF(A103="","",MONTH(A103))</f>
        <v>7</v>
      </c>
      <c r="Q103" s="27">
        <f>IF(A103="","",YEAR(A103))</f>
        <v>2026</v>
      </c>
      <c r="R103" s="27" t="str">
        <f>IF(L103="","",IF(L103&gt;Config!$B$8,"A cair",IF(N(G103)&gt;=MIN(MAX(1,N(E103)),MAX(0,INT((Config!$B$8-L103)/30)+1)),IF(N(G103)&gt;=MAX(1,N(E103)),"Conferido","Conferido até aqui"),"A conferir")))</f>
        <v>Conferido</v>
      </c>
      <c r="S103" s="51">
        <f>IF(R103="A conferir",(Config!$B$8-L103)*1000+N(F103)/1000+ROW()/100000,0)</f>
        <v>0</v>
      </c>
      <c r="T103" s="51">
        <f>IF(R103="A conferir",N(N103),0)</f>
        <v>0</v>
      </c>
      <c r="U103" s="51">
        <f>IF(L103="",0,L103)</f>
        <v>46212.0</v>
      </c>
      <c r="V103" s="51">
        <f>IF(L103="",0,MAX(1,N(E103)))</f>
        <v>1</v>
      </c>
      <c r="W103" s="51">
        <f>IF(K103="",0,K103)</f>
        <v>400</v>
      </c>
    </row>
    <row r="104">
      <c r="A104" s="49" t="n">
        <v>46212</v>
      </c>
      <c r="B104" s="41" t="inlineStr">
        <is>
          <t>Larissa Costa</t>
        </is>
      </c>
      <c r="C104" s="41" t="inlineStr">
        <is>
          <t>ECG</t>
        </is>
      </c>
      <c r="D104" s="42" t="inlineStr">
        <is>
          <t>Cartão de crédito</t>
        </is>
      </c>
      <c r="E104" s="42" t="n"/>
      <c r="F104" s="50" t="n">
        <v>130</v>
      </c>
      <c r="G104" s="42" t="n">
        <v>1</v>
      </c>
      <c r="H104" s="30">
        <f>IF(D104="","",IFERROR(INDEX(Config!$B$12:$B$15,MATCH(IF(AND(D104="Cartão de crédito",N(E104)&gt;1),"Cartão de crédito parcelado",D104),Config!$A$12:$A$15,0)),0)+IF(AND(Config!$B$17="Sim",LEFT(D104,17)="Cartão de crédito"),Config!$B$18*IFERROR(INDEX(Config!$C$12:$C$15,MATCH(IF(AND(D104="Cartão de crédito",N(E104)&gt;1),"Cartão de crédito parcelado",D104),Config!$A$12:$A$15,0)),0)/30*MAX(1,N(E104)),0))</f>
        <v>0.032</v>
      </c>
      <c r="I104" s="29">
        <f>IF(OR(D104="",F104=""),"",ROUND(F104*H104,2))</f>
        <v>4.16</v>
      </c>
      <c r="J104" s="29">
        <f>IF(I104="","",F104-I104)</f>
        <v>125.84</v>
      </c>
      <c r="K104" s="29">
        <f>IF(J104="","",J104/MAX(1,N(E104)))</f>
        <v>125.84</v>
      </c>
      <c r="L104" s="37">
        <f>IF(OR(D104="",A104=""),"",A104+IF(AND(Config!$B$17="Sim",LEFT(D104,17)="Cartão de crédito"),1,IFERROR(INDEX(Config!$C$12:$C$15,MATCH(IF(AND(D104="Cartão de crédito",N(E104)&gt;1),"Cartão de crédito parcelado",D104),Config!$A$12:$A$15,0)),0)))</f>
        <v>46242.0</v>
      </c>
      <c r="M104" s="37">
        <f>IF(L104="","",IF(AND(Config!$B$17="Sim",LEFT(D104,17)="Cartão de crédito"),L104,L104+30*(MAX(1,N(E104))-1)))</f>
        <v>46242.0</v>
      </c>
      <c r="N104" s="29">
        <f>IF(OR(L104="",K104=""),"",K104*MIN(MAX(1,N(E104)),MAX(0,INT((Config!$B$8-L104)/30)+1)))</f>
        <v>125.84</v>
      </c>
      <c r="O104" s="29">
        <f>IF(J104="","",J104-N(N104))</f>
        <v>0</v>
      </c>
      <c r="P104" s="27">
        <f>IF(A104="","",MONTH(A104))</f>
        <v>7</v>
      </c>
      <c r="Q104" s="27">
        <f>IF(A104="","",YEAR(A104))</f>
        <v>2026</v>
      </c>
      <c r="R104" s="27" t="str">
        <f>IF(L104="","",IF(L104&gt;Config!$B$8,"A cair",IF(N(G104)&gt;=MIN(MAX(1,N(E104)),MAX(0,INT((Config!$B$8-L104)/30)+1)),IF(N(G104)&gt;=MAX(1,N(E104)),"Conferido","Conferido até aqui"),"A conferir")))</f>
        <v>Conferido</v>
      </c>
      <c r="S104" s="51">
        <f>IF(R104="A conferir",(Config!$B$8-L104)*1000+N(F104)/1000+ROW()/100000,0)</f>
        <v>0</v>
      </c>
      <c r="T104" s="51">
        <f>IF(R104="A conferir",N(N104),0)</f>
        <v>0</v>
      </c>
      <c r="U104" s="51">
        <f>IF(L104="",0,L104)</f>
        <v>46242.0</v>
      </c>
      <c r="V104" s="51">
        <f>IF(L104="",0,MAX(1,N(E104)))</f>
        <v>1</v>
      </c>
      <c r="W104" s="51">
        <f>IF(K104="",0,K104)</f>
        <v>125.84</v>
      </c>
    </row>
    <row r="105">
      <c r="A105" s="49" t="n">
        <v>46212</v>
      </c>
      <c r="B105" s="41" t="inlineStr">
        <is>
          <t>Fábio Correia</t>
        </is>
      </c>
      <c r="C105" s="41" t="inlineStr">
        <is>
          <t>Consulta</t>
        </is>
      </c>
      <c r="D105" s="42" t="inlineStr">
        <is>
          <t>Cartão de crédito</t>
        </is>
      </c>
      <c r="E105" s="42" t="n"/>
      <c r="F105" s="50" t="n">
        <v>380</v>
      </c>
      <c r="G105" s="42" t="n">
        <v>1</v>
      </c>
      <c r="H105" s="30">
        <f>IF(D105="","",IFERROR(INDEX(Config!$B$12:$B$15,MATCH(IF(AND(D105="Cartão de crédito",N(E105)&gt;1),"Cartão de crédito parcelado",D105),Config!$A$12:$A$15,0)),0)+IF(AND(Config!$B$17="Sim",LEFT(D105,17)="Cartão de crédito"),Config!$B$18*IFERROR(INDEX(Config!$C$12:$C$15,MATCH(IF(AND(D105="Cartão de crédito",N(E105)&gt;1),"Cartão de crédito parcelado",D105),Config!$A$12:$A$15,0)),0)/30*MAX(1,N(E105)),0))</f>
        <v>0.032</v>
      </c>
      <c r="I105" s="29">
        <f>IF(OR(D105="",F105=""),"",ROUND(F105*H105,2))</f>
        <v>12.16</v>
      </c>
      <c r="J105" s="29">
        <f>IF(I105="","",F105-I105)</f>
        <v>367.84</v>
      </c>
      <c r="K105" s="29">
        <f>IF(J105="","",J105/MAX(1,N(E105)))</f>
        <v>367.84</v>
      </c>
      <c r="L105" s="37">
        <f>IF(OR(D105="",A105=""),"",A105+IF(AND(Config!$B$17="Sim",LEFT(D105,17)="Cartão de crédito"),1,IFERROR(INDEX(Config!$C$12:$C$15,MATCH(IF(AND(D105="Cartão de crédito",N(E105)&gt;1),"Cartão de crédito parcelado",D105),Config!$A$12:$A$15,0)),0)))</f>
        <v>46242.0</v>
      </c>
      <c r="M105" s="37">
        <f>IF(L105="","",IF(AND(Config!$B$17="Sim",LEFT(D105,17)="Cartão de crédito"),L105,L105+30*(MAX(1,N(E105))-1)))</f>
        <v>46242.0</v>
      </c>
      <c r="N105" s="29">
        <f>IF(OR(L105="",K105=""),"",K105*MIN(MAX(1,N(E105)),MAX(0,INT((Config!$B$8-L105)/30)+1)))</f>
        <v>367.84</v>
      </c>
      <c r="O105" s="29">
        <f>IF(J105="","",J105-N(N105))</f>
        <v>0</v>
      </c>
      <c r="P105" s="27">
        <f>IF(A105="","",MONTH(A105))</f>
        <v>7</v>
      </c>
      <c r="Q105" s="27">
        <f>IF(A105="","",YEAR(A105))</f>
        <v>2026</v>
      </c>
      <c r="R105" s="27" t="str">
        <f>IF(L105="","",IF(L105&gt;Config!$B$8,"A cair",IF(N(G105)&gt;=MIN(MAX(1,N(E105)),MAX(0,INT((Config!$B$8-L105)/30)+1)),IF(N(G105)&gt;=MAX(1,N(E105)),"Conferido","Conferido até aqui"),"A conferir")))</f>
        <v>Conferido</v>
      </c>
      <c r="S105" s="51">
        <f>IF(R105="A conferir",(Config!$B$8-L105)*1000+N(F105)/1000+ROW()/100000,0)</f>
        <v>0</v>
      </c>
      <c r="T105" s="51">
        <f>IF(R105="A conferir",N(N105),0)</f>
        <v>0</v>
      </c>
      <c r="U105" s="51">
        <f>IF(L105="",0,L105)</f>
        <v>46242.0</v>
      </c>
      <c r="V105" s="51">
        <f>IF(L105="",0,MAX(1,N(E105)))</f>
        <v>1</v>
      </c>
      <c r="W105" s="51">
        <f>IF(K105="",0,K105)</f>
        <v>367.84</v>
      </c>
    </row>
    <row r="106">
      <c r="A106" s="49" t="n">
        <v>46212</v>
      </c>
      <c r="B106" s="41" t="inlineStr">
        <is>
          <t>Gustavo Ferreira</t>
        </is>
      </c>
      <c r="C106" s="41" t="inlineStr">
        <is>
          <t>Holter</t>
        </is>
      </c>
      <c r="D106" s="42" t="inlineStr">
        <is>
          <t>Pix</t>
        </is>
      </c>
      <c r="E106" s="42" t="n"/>
      <c r="F106" s="50" t="n">
        <v>350</v>
      </c>
      <c r="G106" s="42" t="n">
        <v>1</v>
      </c>
      <c r="H106" s="30">
        <f>IF(D106="","",IFERROR(INDEX(Config!$B$12:$B$15,MATCH(IF(AND(D106="Cartão de crédito",N(E106)&gt;1),"Cartão de crédito parcelado",D106),Config!$A$12:$A$15,0)),0)+IF(AND(Config!$B$17="Sim",LEFT(D106,17)="Cartão de crédito"),Config!$B$18*IFERROR(INDEX(Config!$C$12:$C$15,MATCH(IF(AND(D106="Cartão de crédito",N(E106)&gt;1),"Cartão de crédito parcelado",D106),Config!$A$12:$A$15,0)),0)/30*MAX(1,N(E106)),0))</f>
        <v>0</v>
      </c>
      <c r="I106" s="29">
        <f>IF(OR(D106="",F106=""),"",ROUND(F106*H106,2))</f>
        <v>0</v>
      </c>
      <c r="J106" s="29">
        <f>IF(I106="","",F106-I106)</f>
        <v>350</v>
      </c>
      <c r="K106" s="29">
        <f>IF(J106="","",J106/MAX(1,N(E106)))</f>
        <v>350</v>
      </c>
      <c r="L106" s="37">
        <f>IF(OR(D106="",A106=""),"",A106+IF(AND(Config!$B$17="Sim",LEFT(D106,17)="Cartão de crédito"),1,IFERROR(INDEX(Config!$C$12:$C$15,MATCH(IF(AND(D106="Cartão de crédito",N(E106)&gt;1),"Cartão de crédito parcelado",D106),Config!$A$12:$A$15,0)),0)))</f>
        <v>46212.0</v>
      </c>
      <c r="M106" s="37">
        <f>IF(L106="","",IF(AND(Config!$B$17="Sim",LEFT(D106,17)="Cartão de crédito"),L106,L106+30*(MAX(1,N(E106))-1)))</f>
        <v>46212.0</v>
      </c>
      <c r="N106" s="29">
        <f>IF(OR(L106="",K106=""),"",K106*MIN(MAX(1,N(E106)),MAX(0,INT((Config!$B$8-L106)/30)+1)))</f>
        <v>350</v>
      </c>
      <c r="O106" s="29">
        <f>IF(J106="","",J106-N(N106))</f>
        <v>0</v>
      </c>
      <c r="P106" s="27">
        <f>IF(A106="","",MONTH(A106))</f>
        <v>7</v>
      </c>
      <c r="Q106" s="27">
        <f>IF(A106="","",YEAR(A106))</f>
        <v>2026</v>
      </c>
      <c r="R106" s="27" t="str">
        <f>IF(L106="","",IF(L106&gt;Config!$B$8,"A cair",IF(N(G106)&gt;=MIN(MAX(1,N(E106)),MAX(0,INT((Config!$B$8-L106)/30)+1)),IF(N(G106)&gt;=MAX(1,N(E106)),"Conferido","Conferido até aqui"),"A conferir")))</f>
        <v>Conferido</v>
      </c>
      <c r="S106" s="51">
        <f>IF(R106="A conferir",(Config!$B$8-L106)*1000+N(F106)/1000+ROW()/100000,0)</f>
        <v>0</v>
      </c>
      <c r="T106" s="51">
        <f>IF(R106="A conferir",N(N106),0)</f>
        <v>0</v>
      </c>
      <c r="U106" s="51">
        <f>IF(L106="",0,L106)</f>
        <v>46212.0</v>
      </c>
      <c r="V106" s="51">
        <f>IF(L106="",0,MAX(1,N(E106)))</f>
        <v>1</v>
      </c>
      <c r="W106" s="51">
        <f>IF(K106="",0,K106)</f>
        <v>350</v>
      </c>
    </row>
    <row r="107">
      <c r="A107" s="49" t="n">
        <v>46213</v>
      </c>
      <c r="B107" s="41" t="inlineStr">
        <is>
          <t>Wagner Costa</t>
        </is>
      </c>
      <c r="C107" s="41" t="inlineStr">
        <is>
          <t>Consulta</t>
        </is>
      </c>
      <c r="D107" s="42" t="inlineStr">
        <is>
          <t>Cartão de débito</t>
        </is>
      </c>
      <c r="E107" s="42" t="n"/>
      <c r="F107" s="50" t="n">
        <v>380</v>
      </c>
      <c r="G107" s="42" t="n">
        <v>1</v>
      </c>
      <c r="H107" s="30">
        <f>IF(D107="","",IFERROR(INDEX(Config!$B$12:$B$15,MATCH(IF(AND(D107="Cartão de crédito",N(E107)&gt;1),"Cartão de crédito parcelado",D107),Config!$A$12:$A$15,0)),0)+IF(AND(Config!$B$17="Sim",LEFT(D107,17)="Cartão de crédito"),Config!$B$18*IFERROR(INDEX(Config!$C$12:$C$15,MATCH(IF(AND(D107="Cartão de crédito",N(E107)&gt;1),"Cartão de crédito parcelado",D107),Config!$A$12:$A$15,0)),0)/30*MAX(1,N(E107)),0))</f>
        <v>0.015</v>
      </c>
      <c r="I107" s="29">
        <f>IF(OR(D107="",F107=""),"",ROUND(F107*H107,2))</f>
        <v>5.7</v>
      </c>
      <c r="J107" s="29">
        <f>IF(I107="","",F107-I107)</f>
        <v>374.3</v>
      </c>
      <c r="K107" s="29">
        <f>IF(J107="","",J107/MAX(1,N(E107)))</f>
        <v>374.3</v>
      </c>
      <c r="L107" s="37">
        <f>IF(OR(D107="",A107=""),"",A107+IF(AND(Config!$B$17="Sim",LEFT(D107,17)="Cartão de crédito"),1,IFERROR(INDEX(Config!$C$12:$C$15,MATCH(IF(AND(D107="Cartão de crédito",N(E107)&gt;1),"Cartão de crédito parcelado",D107),Config!$A$12:$A$15,0)),0)))</f>
        <v>46214.0</v>
      </c>
      <c r="M107" s="37">
        <f>IF(L107="","",IF(AND(Config!$B$17="Sim",LEFT(D107,17)="Cartão de crédito"),L107,L107+30*(MAX(1,N(E107))-1)))</f>
        <v>46214.0</v>
      </c>
      <c r="N107" s="29">
        <f>IF(OR(L107="",K107=""),"",K107*MIN(MAX(1,N(E107)),MAX(0,INT((Config!$B$8-L107)/30)+1)))</f>
        <v>374.3</v>
      </c>
      <c r="O107" s="29">
        <f>IF(J107="","",J107-N(N107))</f>
        <v>0</v>
      </c>
      <c r="P107" s="27">
        <f>IF(A107="","",MONTH(A107))</f>
        <v>7</v>
      </c>
      <c r="Q107" s="27">
        <f>IF(A107="","",YEAR(A107))</f>
        <v>2026</v>
      </c>
      <c r="R107" s="27" t="str">
        <f>IF(L107="","",IF(L107&gt;Config!$B$8,"A cair",IF(N(G107)&gt;=MIN(MAX(1,N(E107)),MAX(0,INT((Config!$B$8-L107)/30)+1)),IF(N(G107)&gt;=MAX(1,N(E107)),"Conferido","Conferido até aqui"),"A conferir")))</f>
        <v>Conferido</v>
      </c>
      <c r="S107" s="51">
        <f>IF(R107="A conferir",(Config!$B$8-L107)*1000+N(F107)/1000+ROW()/100000,0)</f>
        <v>0</v>
      </c>
      <c r="T107" s="51">
        <f>IF(R107="A conferir",N(N107),0)</f>
        <v>0</v>
      </c>
      <c r="U107" s="51">
        <f>IF(L107="",0,L107)</f>
        <v>46214.0</v>
      </c>
      <c r="V107" s="51">
        <f>IF(L107="",0,MAX(1,N(E107)))</f>
        <v>1</v>
      </c>
      <c r="W107" s="51">
        <f>IF(K107="",0,K107)</f>
        <v>374.3</v>
      </c>
    </row>
    <row r="108">
      <c r="A108" s="49" t="n">
        <v>46216</v>
      </c>
      <c r="B108" s="41" t="inlineStr">
        <is>
          <t>Ana Costa</t>
        </is>
      </c>
      <c r="C108" s="41" t="inlineStr">
        <is>
          <t>Consulta</t>
        </is>
      </c>
      <c r="D108" s="42" t="inlineStr">
        <is>
          <t>Cartão de débito</t>
        </is>
      </c>
      <c r="E108" s="42" t="n"/>
      <c r="F108" s="50" t="n">
        <v>380</v>
      </c>
      <c r="G108" s="42" t="n">
        <v>1</v>
      </c>
      <c r="H108" s="30">
        <f>IF(D108="","",IFERROR(INDEX(Config!$B$12:$B$15,MATCH(IF(AND(D108="Cartão de crédito",N(E108)&gt;1),"Cartão de crédito parcelado",D108),Config!$A$12:$A$15,0)),0)+IF(AND(Config!$B$17="Sim",LEFT(D108,17)="Cartão de crédito"),Config!$B$18*IFERROR(INDEX(Config!$C$12:$C$15,MATCH(IF(AND(D108="Cartão de crédito",N(E108)&gt;1),"Cartão de crédito parcelado",D108),Config!$A$12:$A$15,0)),0)/30*MAX(1,N(E108)),0))</f>
        <v>0.015</v>
      </c>
      <c r="I108" s="29">
        <f>IF(OR(D108="",F108=""),"",ROUND(F108*H108,2))</f>
        <v>5.7</v>
      </c>
      <c r="J108" s="29">
        <f>IF(I108="","",F108-I108)</f>
        <v>374.3</v>
      </c>
      <c r="K108" s="29">
        <f>IF(J108="","",J108/MAX(1,N(E108)))</f>
        <v>374.3</v>
      </c>
      <c r="L108" s="37">
        <f>IF(OR(D108="",A108=""),"",A108+IF(AND(Config!$B$17="Sim",LEFT(D108,17)="Cartão de crédito"),1,IFERROR(INDEX(Config!$C$12:$C$15,MATCH(IF(AND(D108="Cartão de crédito",N(E108)&gt;1),"Cartão de crédito parcelado",D108),Config!$A$12:$A$15,0)),0)))</f>
        <v>46217.0</v>
      </c>
      <c r="M108" s="37">
        <f>IF(L108="","",IF(AND(Config!$B$17="Sim",LEFT(D108,17)="Cartão de crédito"),L108,L108+30*(MAX(1,N(E108))-1)))</f>
        <v>46217.0</v>
      </c>
      <c r="N108" s="29">
        <f>IF(OR(L108="",K108=""),"",K108*MIN(MAX(1,N(E108)),MAX(0,INT((Config!$B$8-L108)/30)+1)))</f>
        <v>374.3</v>
      </c>
      <c r="O108" s="29">
        <f>IF(J108="","",J108-N(N108))</f>
        <v>0</v>
      </c>
      <c r="P108" s="27">
        <f>IF(A108="","",MONTH(A108))</f>
        <v>7</v>
      </c>
      <c r="Q108" s="27">
        <f>IF(A108="","",YEAR(A108))</f>
        <v>2026</v>
      </c>
      <c r="R108" s="27" t="str">
        <f>IF(L108="","",IF(L108&gt;Config!$B$8,"A cair",IF(N(G108)&gt;=MIN(MAX(1,N(E108)),MAX(0,INT((Config!$B$8-L108)/30)+1)),IF(N(G108)&gt;=MAX(1,N(E108)),"Conferido","Conferido até aqui"),"A conferir")))</f>
        <v>Conferido</v>
      </c>
      <c r="S108" s="51">
        <f>IF(R108="A conferir",(Config!$B$8-L108)*1000+N(F108)/1000+ROW()/100000,0)</f>
        <v>0</v>
      </c>
      <c r="T108" s="51">
        <f>IF(R108="A conferir",N(N108),0)</f>
        <v>0</v>
      </c>
      <c r="U108" s="51">
        <f>IF(L108="",0,L108)</f>
        <v>46217.0</v>
      </c>
      <c r="V108" s="51">
        <f>IF(L108="",0,MAX(1,N(E108)))</f>
        <v>1</v>
      </c>
      <c r="W108" s="51">
        <f>IF(K108="",0,K108)</f>
        <v>374.3</v>
      </c>
    </row>
    <row r="109">
      <c r="A109" s="49" t="n">
        <v>46216</v>
      </c>
      <c r="B109" s="41" t="inlineStr">
        <is>
          <t>Débora Ramos</t>
        </is>
      </c>
      <c r="C109" s="41" t="inlineStr">
        <is>
          <t>Consulta</t>
        </is>
      </c>
      <c r="D109" s="42" t="inlineStr">
        <is>
          <t>Cartão de débito</t>
        </is>
      </c>
      <c r="E109" s="42" t="n"/>
      <c r="F109" s="50" t="n">
        <v>380</v>
      </c>
      <c r="G109" s="42" t="n">
        <v>1</v>
      </c>
      <c r="H109" s="30">
        <f>IF(D109="","",IFERROR(INDEX(Config!$B$12:$B$15,MATCH(IF(AND(D109="Cartão de crédito",N(E109)&gt;1),"Cartão de crédito parcelado",D109),Config!$A$12:$A$15,0)),0)+IF(AND(Config!$B$17="Sim",LEFT(D109,17)="Cartão de crédito"),Config!$B$18*IFERROR(INDEX(Config!$C$12:$C$15,MATCH(IF(AND(D109="Cartão de crédito",N(E109)&gt;1),"Cartão de crédito parcelado",D109),Config!$A$12:$A$15,0)),0)/30*MAX(1,N(E109)),0))</f>
        <v>0.015</v>
      </c>
      <c r="I109" s="29">
        <f>IF(OR(D109="",F109=""),"",ROUND(F109*H109,2))</f>
        <v>5.7</v>
      </c>
      <c r="J109" s="29">
        <f>IF(I109="","",F109-I109)</f>
        <v>374.3</v>
      </c>
      <c r="K109" s="29">
        <f>IF(J109="","",J109/MAX(1,N(E109)))</f>
        <v>374.3</v>
      </c>
      <c r="L109" s="37">
        <f>IF(OR(D109="",A109=""),"",A109+IF(AND(Config!$B$17="Sim",LEFT(D109,17)="Cartão de crédito"),1,IFERROR(INDEX(Config!$C$12:$C$15,MATCH(IF(AND(D109="Cartão de crédito",N(E109)&gt;1),"Cartão de crédito parcelado",D109),Config!$A$12:$A$15,0)),0)))</f>
        <v>46217.0</v>
      </c>
      <c r="M109" s="37">
        <f>IF(L109="","",IF(AND(Config!$B$17="Sim",LEFT(D109,17)="Cartão de crédito"),L109,L109+30*(MAX(1,N(E109))-1)))</f>
        <v>46217.0</v>
      </c>
      <c r="N109" s="29">
        <f>IF(OR(L109="",K109=""),"",K109*MIN(MAX(1,N(E109)),MAX(0,INT((Config!$B$8-L109)/30)+1)))</f>
        <v>374.3</v>
      </c>
      <c r="O109" s="29">
        <f>IF(J109="","",J109-N(N109))</f>
        <v>0</v>
      </c>
      <c r="P109" s="27">
        <f>IF(A109="","",MONTH(A109))</f>
        <v>7</v>
      </c>
      <c r="Q109" s="27">
        <f>IF(A109="","",YEAR(A109))</f>
        <v>2026</v>
      </c>
      <c r="R109" s="27" t="str">
        <f>IF(L109="","",IF(L109&gt;Config!$B$8,"A cair",IF(N(G109)&gt;=MIN(MAX(1,N(E109)),MAX(0,INT((Config!$B$8-L109)/30)+1)),IF(N(G109)&gt;=MAX(1,N(E109)),"Conferido","Conferido até aqui"),"A conferir")))</f>
        <v>Conferido</v>
      </c>
      <c r="S109" s="51">
        <f>IF(R109="A conferir",(Config!$B$8-L109)*1000+N(F109)/1000+ROW()/100000,0)</f>
        <v>0</v>
      </c>
      <c r="T109" s="51">
        <f>IF(R109="A conferir",N(N109),0)</f>
        <v>0</v>
      </c>
      <c r="U109" s="51">
        <f>IF(L109="",0,L109)</f>
        <v>46217.0</v>
      </c>
      <c r="V109" s="51">
        <f>IF(L109="",0,MAX(1,N(E109)))</f>
        <v>1</v>
      </c>
      <c r="W109" s="51">
        <f>IF(K109="",0,K109)</f>
        <v>374.3</v>
      </c>
    </row>
    <row r="110">
      <c r="A110" s="49" t="n">
        <v>46216</v>
      </c>
      <c r="B110" s="41" t="inlineStr">
        <is>
          <t>Helena Moreira</t>
        </is>
      </c>
      <c r="C110" s="41" t="inlineStr">
        <is>
          <t>Consulta</t>
        </is>
      </c>
      <c r="D110" s="42" t="inlineStr">
        <is>
          <t>Pix</t>
        </is>
      </c>
      <c r="E110" s="42" t="n"/>
      <c r="F110" s="50" t="n">
        <v>380</v>
      </c>
      <c r="G110" s="42" t="n">
        <v>1</v>
      </c>
      <c r="H110" s="30">
        <f>IF(D110="","",IFERROR(INDEX(Config!$B$12:$B$15,MATCH(IF(AND(D110="Cartão de crédito",N(E110)&gt;1),"Cartão de crédito parcelado",D110),Config!$A$12:$A$15,0)),0)+IF(AND(Config!$B$17="Sim",LEFT(D110,17)="Cartão de crédito"),Config!$B$18*IFERROR(INDEX(Config!$C$12:$C$15,MATCH(IF(AND(D110="Cartão de crédito",N(E110)&gt;1),"Cartão de crédito parcelado",D110),Config!$A$12:$A$15,0)),0)/30*MAX(1,N(E110)),0))</f>
        <v>0</v>
      </c>
      <c r="I110" s="29">
        <f>IF(OR(D110="",F110=""),"",ROUND(F110*H110,2))</f>
        <v>0</v>
      </c>
      <c r="J110" s="29">
        <f>IF(I110="","",F110-I110)</f>
        <v>380</v>
      </c>
      <c r="K110" s="29">
        <f>IF(J110="","",J110/MAX(1,N(E110)))</f>
        <v>380</v>
      </c>
      <c r="L110" s="37">
        <f>IF(OR(D110="",A110=""),"",A110+IF(AND(Config!$B$17="Sim",LEFT(D110,17)="Cartão de crédito"),1,IFERROR(INDEX(Config!$C$12:$C$15,MATCH(IF(AND(D110="Cartão de crédito",N(E110)&gt;1),"Cartão de crédito parcelado",D110),Config!$A$12:$A$15,0)),0)))</f>
        <v>46216.0</v>
      </c>
      <c r="M110" s="37">
        <f>IF(L110="","",IF(AND(Config!$B$17="Sim",LEFT(D110,17)="Cartão de crédito"),L110,L110+30*(MAX(1,N(E110))-1)))</f>
        <v>46216.0</v>
      </c>
      <c r="N110" s="29">
        <f>IF(OR(L110="",K110=""),"",K110*MIN(MAX(1,N(E110)),MAX(0,INT((Config!$B$8-L110)/30)+1)))</f>
        <v>380</v>
      </c>
      <c r="O110" s="29">
        <f>IF(J110="","",J110-N(N110))</f>
        <v>0</v>
      </c>
      <c r="P110" s="27">
        <f>IF(A110="","",MONTH(A110))</f>
        <v>7</v>
      </c>
      <c r="Q110" s="27">
        <f>IF(A110="","",YEAR(A110))</f>
        <v>2026</v>
      </c>
      <c r="R110" s="27" t="str">
        <f>IF(L110="","",IF(L110&gt;Config!$B$8,"A cair",IF(N(G110)&gt;=MIN(MAX(1,N(E110)),MAX(0,INT((Config!$B$8-L110)/30)+1)),IF(N(G110)&gt;=MAX(1,N(E110)),"Conferido","Conferido até aqui"),"A conferir")))</f>
        <v>Conferido</v>
      </c>
      <c r="S110" s="51">
        <f>IF(R110="A conferir",(Config!$B$8-L110)*1000+N(F110)/1000+ROW()/100000,0)</f>
        <v>0</v>
      </c>
      <c r="T110" s="51">
        <f>IF(R110="A conferir",N(N110),0)</f>
        <v>0</v>
      </c>
      <c r="U110" s="51">
        <f>IF(L110="",0,L110)</f>
        <v>46216.0</v>
      </c>
      <c r="V110" s="51">
        <f>IF(L110="",0,MAX(1,N(E110)))</f>
        <v>1</v>
      </c>
      <c r="W110" s="51">
        <f>IF(K110="",0,K110)</f>
        <v>380</v>
      </c>
    </row>
    <row r="111">
      <c r="A111" s="49" t="n">
        <v>46216</v>
      </c>
      <c r="B111" s="41" t="inlineStr">
        <is>
          <t>Gisele Ribeiro</t>
        </is>
      </c>
      <c r="C111" s="41" t="inlineStr">
        <is>
          <t>ECG</t>
        </is>
      </c>
      <c r="D111" s="42" t="inlineStr">
        <is>
          <t>Cartão de crédito</t>
        </is>
      </c>
      <c r="E111" s="42" t="n"/>
      <c r="F111" s="50" t="n">
        <v>130</v>
      </c>
      <c r="G111" s="42" t="n">
        <v>1</v>
      </c>
      <c r="H111" s="30">
        <f>IF(D111="","",IFERROR(INDEX(Config!$B$12:$B$15,MATCH(IF(AND(D111="Cartão de crédito",N(E111)&gt;1),"Cartão de crédito parcelado",D111),Config!$A$12:$A$15,0)),0)+IF(AND(Config!$B$17="Sim",LEFT(D111,17)="Cartão de crédito"),Config!$B$18*IFERROR(INDEX(Config!$C$12:$C$15,MATCH(IF(AND(D111="Cartão de crédito",N(E111)&gt;1),"Cartão de crédito parcelado",D111),Config!$A$12:$A$15,0)),0)/30*MAX(1,N(E111)),0))</f>
        <v>0.032</v>
      </c>
      <c r="I111" s="29">
        <f>IF(OR(D111="",F111=""),"",ROUND(F111*H111,2))</f>
        <v>4.16</v>
      </c>
      <c r="J111" s="29">
        <f>IF(I111="","",F111-I111)</f>
        <v>125.84</v>
      </c>
      <c r="K111" s="29">
        <f>IF(J111="","",J111/MAX(1,N(E111)))</f>
        <v>125.84</v>
      </c>
      <c r="L111" s="37">
        <f>IF(OR(D111="",A111=""),"",A111+IF(AND(Config!$B$17="Sim",LEFT(D111,17)="Cartão de crédito"),1,IFERROR(INDEX(Config!$C$12:$C$15,MATCH(IF(AND(D111="Cartão de crédito",N(E111)&gt;1),"Cartão de crédito parcelado",D111),Config!$A$12:$A$15,0)),0)))</f>
        <v>46246.0</v>
      </c>
      <c r="M111" s="37">
        <f>IF(L111="","",IF(AND(Config!$B$17="Sim",LEFT(D111,17)="Cartão de crédito"),L111,L111+30*(MAX(1,N(E111))-1)))</f>
        <v>46246.0</v>
      </c>
      <c r="N111" s="29">
        <f>IF(OR(L111="",K111=""),"",K111*MIN(MAX(1,N(E111)),MAX(0,INT((Config!$B$8-L111)/30)+1)))</f>
        <v>125.84</v>
      </c>
      <c r="O111" s="29">
        <f>IF(J111="","",J111-N(N111))</f>
        <v>0</v>
      </c>
      <c r="P111" s="27">
        <f>IF(A111="","",MONTH(A111))</f>
        <v>7</v>
      </c>
      <c r="Q111" s="27">
        <f>IF(A111="","",YEAR(A111))</f>
        <v>2026</v>
      </c>
      <c r="R111" s="27" t="str">
        <f>IF(L111="","",IF(L111&gt;Config!$B$8,"A cair",IF(N(G111)&gt;=MIN(MAX(1,N(E111)),MAX(0,INT((Config!$B$8-L111)/30)+1)),IF(N(G111)&gt;=MAX(1,N(E111)),"Conferido","Conferido até aqui"),"A conferir")))</f>
        <v>Conferido</v>
      </c>
      <c r="S111" s="51">
        <f>IF(R111="A conferir",(Config!$B$8-L111)*1000+N(F111)/1000+ROW()/100000,0)</f>
        <v>0</v>
      </c>
      <c r="T111" s="51">
        <f>IF(R111="A conferir",N(N111),0)</f>
        <v>0</v>
      </c>
      <c r="U111" s="51">
        <f>IF(L111="",0,L111)</f>
        <v>46246.0</v>
      </c>
      <c r="V111" s="51">
        <f>IF(L111="",0,MAX(1,N(E111)))</f>
        <v>1</v>
      </c>
      <c r="W111" s="51">
        <f>IF(K111="",0,K111)</f>
        <v>125.84</v>
      </c>
    </row>
    <row r="112">
      <c r="A112" s="49" t="n">
        <v>46216</v>
      </c>
      <c r="B112" s="41" t="inlineStr">
        <is>
          <t>Henrique Ribeiro</t>
        </is>
      </c>
      <c r="C112" s="41" t="inlineStr">
        <is>
          <t>Consulta</t>
        </is>
      </c>
      <c r="D112" s="42" t="inlineStr">
        <is>
          <t>Cartão de crédito</t>
        </is>
      </c>
      <c r="E112" s="42" t="n">
        <v>2</v>
      </c>
      <c r="F112" s="50" t="n">
        <v>380</v>
      </c>
      <c r="G112" s="42" t="n">
        <v>1</v>
      </c>
      <c r="H112" s="30">
        <f>IF(D112="","",IFERROR(INDEX(Config!$B$12:$B$15,MATCH(IF(AND(D112="Cartão de crédito",N(E112)&gt;1),"Cartão de crédito parcelado",D112),Config!$A$12:$A$15,0)),0)+IF(AND(Config!$B$17="Sim",LEFT(D112,17)="Cartão de crédito"),Config!$B$18*IFERROR(INDEX(Config!$C$12:$C$15,MATCH(IF(AND(D112="Cartão de crédito",N(E112)&gt;1),"Cartão de crédito parcelado",D112),Config!$A$12:$A$15,0)),0)/30*MAX(1,N(E112)),0))</f>
        <v>0.039</v>
      </c>
      <c r="I112" s="29">
        <f>IF(OR(D112="",F112=""),"",ROUND(F112*H112,2))</f>
        <v>14.82</v>
      </c>
      <c r="J112" s="29">
        <f>IF(I112="","",F112-I112)</f>
        <v>365.18</v>
      </c>
      <c r="K112" s="29">
        <f>IF(J112="","",J112/MAX(1,N(E112)))</f>
        <v>182.59</v>
      </c>
      <c r="L112" s="37">
        <f>IF(OR(D112="",A112=""),"",A112+IF(AND(Config!$B$17="Sim",LEFT(D112,17)="Cartão de crédito"),1,IFERROR(INDEX(Config!$C$12:$C$15,MATCH(IF(AND(D112="Cartão de crédito",N(E112)&gt;1),"Cartão de crédito parcelado",D112),Config!$A$12:$A$15,0)),0)))</f>
        <v>46246.0</v>
      </c>
      <c r="M112" s="37">
        <f>IF(L112="","",IF(AND(Config!$B$17="Sim",LEFT(D112,17)="Cartão de crédito"),L112,L112+30*(MAX(1,N(E112))-1)))</f>
        <v>46276.0</v>
      </c>
      <c r="N112" s="29">
        <f>IF(OR(L112="",K112=""),"",K112*MIN(MAX(1,N(E112)),MAX(0,INT((Config!$B$8-L112)/30)+1)))</f>
        <v>365.18</v>
      </c>
      <c r="O112" s="29">
        <f>IF(J112="","",J112-N(N112))</f>
        <v>0</v>
      </c>
      <c r="P112" s="27">
        <f>IF(A112="","",MONTH(A112))</f>
        <v>7</v>
      </c>
      <c r="Q112" s="27">
        <f>IF(A112="","",YEAR(A112))</f>
        <v>2026</v>
      </c>
      <c r="R112" s="27" t="str">
        <f>IF(L112="","",IF(L112&gt;Config!$B$8,"A cair",IF(N(G112)&gt;=MIN(MAX(1,N(E112)),MAX(0,INT((Config!$B$8-L112)/30)+1)),IF(N(G112)&gt;=MAX(1,N(E112)),"Conferido","Conferido até aqui"),"A conferir")))</f>
        <v>A conferir</v>
      </c>
      <c r="S112" s="51">
        <f>IF(R112="A conferir",(Config!$B$8-L112)*1000+N(F112)/1000+ROW()/100000,0)</f>
        <v>33000.38112</v>
      </c>
      <c r="T112" s="51">
        <f>IF(R112="A conferir",N(N112),0)</f>
        <v>365.18</v>
      </c>
      <c r="U112" s="51">
        <f>IF(L112="",0,L112)</f>
        <v>46246.0</v>
      </c>
      <c r="V112" s="51">
        <f>IF(L112="",0,MAX(1,N(E112)))</f>
        <v>2</v>
      </c>
      <c r="W112" s="51">
        <f>IF(K112="",0,K112)</f>
        <v>182.59</v>
      </c>
    </row>
    <row r="113">
      <c r="A113" s="49" t="n">
        <v>46216</v>
      </c>
      <c r="B113" s="41" t="inlineStr">
        <is>
          <t>Gabriel Oliveira</t>
        </is>
      </c>
      <c r="C113" s="41" t="inlineStr">
        <is>
          <t>Consulta</t>
        </is>
      </c>
      <c r="D113" s="42" t="inlineStr">
        <is>
          <t>Pix</t>
        </is>
      </c>
      <c r="E113" s="42" t="n"/>
      <c r="F113" s="50" t="n">
        <v>380</v>
      </c>
      <c r="G113" s="42" t="n">
        <v>1</v>
      </c>
      <c r="H113" s="30">
        <f>IF(D113="","",IFERROR(INDEX(Config!$B$12:$B$15,MATCH(IF(AND(D113="Cartão de crédito",N(E113)&gt;1),"Cartão de crédito parcelado",D113),Config!$A$12:$A$15,0)),0)+IF(AND(Config!$B$17="Sim",LEFT(D113,17)="Cartão de crédito"),Config!$B$18*IFERROR(INDEX(Config!$C$12:$C$15,MATCH(IF(AND(D113="Cartão de crédito",N(E113)&gt;1),"Cartão de crédito parcelado",D113),Config!$A$12:$A$15,0)),0)/30*MAX(1,N(E113)),0))</f>
        <v>0</v>
      </c>
      <c r="I113" s="29">
        <f>IF(OR(D113="",F113=""),"",ROUND(F113*H113,2))</f>
        <v>0</v>
      </c>
      <c r="J113" s="29">
        <f>IF(I113="","",F113-I113)</f>
        <v>380</v>
      </c>
      <c r="K113" s="29">
        <f>IF(J113="","",J113/MAX(1,N(E113)))</f>
        <v>380</v>
      </c>
      <c r="L113" s="37">
        <f>IF(OR(D113="",A113=""),"",A113+IF(AND(Config!$B$17="Sim",LEFT(D113,17)="Cartão de crédito"),1,IFERROR(INDEX(Config!$C$12:$C$15,MATCH(IF(AND(D113="Cartão de crédito",N(E113)&gt;1),"Cartão de crédito parcelado",D113),Config!$A$12:$A$15,0)),0)))</f>
        <v>46216.0</v>
      </c>
      <c r="M113" s="37">
        <f>IF(L113="","",IF(AND(Config!$B$17="Sim",LEFT(D113,17)="Cartão de crédito"),L113,L113+30*(MAX(1,N(E113))-1)))</f>
        <v>46216.0</v>
      </c>
      <c r="N113" s="29">
        <f>IF(OR(L113="",K113=""),"",K113*MIN(MAX(1,N(E113)),MAX(0,INT((Config!$B$8-L113)/30)+1)))</f>
        <v>380</v>
      </c>
      <c r="O113" s="29">
        <f>IF(J113="","",J113-N(N113))</f>
        <v>0</v>
      </c>
      <c r="P113" s="27">
        <f>IF(A113="","",MONTH(A113))</f>
        <v>7</v>
      </c>
      <c r="Q113" s="27">
        <f>IF(A113="","",YEAR(A113))</f>
        <v>2026</v>
      </c>
      <c r="R113" s="27" t="str">
        <f>IF(L113="","",IF(L113&gt;Config!$B$8,"A cair",IF(N(G113)&gt;=MIN(MAX(1,N(E113)),MAX(0,INT((Config!$B$8-L113)/30)+1)),IF(N(G113)&gt;=MAX(1,N(E113)),"Conferido","Conferido até aqui"),"A conferir")))</f>
        <v>Conferido</v>
      </c>
      <c r="S113" s="51">
        <f>IF(R113="A conferir",(Config!$B$8-L113)*1000+N(F113)/1000+ROW()/100000,0)</f>
        <v>0</v>
      </c>
      <c r="T113" s="51">
        <f>IF(R113="A conferir",N(N113),0)</f>
        <v>0</v>
      </c>
      <c r="U113" s="51">
        <f>IF(L113="",0,L113)</f>
        <v>46216.0</v>
      </c>
      <c r="V113" s="51">
        <f>IF(L113="",0,MAX(1,N(E113)))</f>
        <v>1</v>
      </c>
      <c r="W113" s="51">
        <f>IF(K113="",0,K113)</f>
        <v>380</v>
      </c>
    </row>
    <row r="114">
      <c r="A114" s="49" t="n">
        <v>46217</v>
      </c>
      <c r="B114" s="41" t="inlineStr">
        <is>
          <t>Regina Teixeira</t>
        </is>
      </c>
      <c r="C114" s="41" t="inlineStr">
        <is>
          <t>Consulta</t>
        </is>
      </c>
      <c r="D114" s="42" t="inlineStr">
        <is>
          <t>Pix</t>
        </is>
      </c>
      <c r="E114" s="42" t="n"/>
      <c r="F114" s="50" t="n">
        <v>380</v>
      </c>
      <c r="G114" s="42" t="n">
        <v>1</v>
      </c>
      <c r="H114" s="30">
        <f>IF(D114="","",IFERROR(INDEX(Config!$B$12:$B$15,MATCH(IF(AND(D114="Cartão de crédito",N(E114)&gt;1),"Cartão de crédito parcelado",D114),Config!$A$12:$A$15,0)),0)+IF(AND(Config!$B$17="Sim",LEFT(D114,17)="Cartão de crédito"),Config!$B$18*IFERROR(INDEX(Config!$C$12:$C$15,MATCH(IF(AND(D114="Cartão de crédito",N(E114)&gt;1),"Cartão de crédito parcelado",D114),Config!$A$12:$A$15,0)),0)/30*MAX(1,N(E114)),0))</f>
        <v>0</v>
      </c>
      <c r="I114" s="29">
        <f>IF(OR(D114="",F114=""),"",ROUND(F114*H114,2))</f>
        <v>0</v>
      </c>
      <c r="J114" s="29">
        <f>IF(I114="","",F114-I114)</f>
        <v>380</v>
      </c>
      <c r="K114" s="29">
        <f>IF(J114="","",J114/MAX(1,N(E114)))</f>
        <v>380</v>
      </c>
      <c r="L114" s="37">
        <f>IF(OR(D114="",A114=""),"",A114+IF(AND(Config!$B$17="Sim",LEFT(D114,17)="Cartão de crédito"),1,IFERROR(INDEX(Config!$C$12:$C$15,MATCH(IF(AND(D114="Cartão de crédito",N(E114)&gt;1),"Cartão de crédito parcelado",D114),Config!$A$12:$A$15,0)),0)))</f>
        <v>46217.0</v>
      </c>
      <c r="M114" s="37">
        <f>IF(L114="","",IF(AND(Config!$B$17="Sim",LEFT(D114,17)="Cartão de crédito"),L114,L114+30*(MAX(1,N(E114))-1)))</f>
        <v>46217.0</v>
      </c>
      <c r="N114" s="29">
        <f>IF(OR(L114="",K114=""),"",K114*MIN(MAX(1,N(E114)),MAX(0,INT((Config!$B$8-L114)/30)+1)))</f>
        <v>380</v>
      </c>
      <c r="O114" s="29">
        <f>IF(J114="","",J114-N(N114))</f>
        <v>0</v>
      </c>
      <c r="P114" s="27">
        <f>IF(A114="","",MONTH(A114))</f>
        <v>7</v>
      </c>
      <c r="Q114" s="27">
        <f>IF(A114="","",YEAR(A114))</f>
        <v>2026</v>
      </c>
      <c r="R114" s="27" t="str">
        <f>IF(L114="","",IF(L114&gt;Config!$B$8,"A cair",IF(N(G114)&gt;=MIN(MAX(1,N(E114)),MAX(0,INT((Config!$B$8-L114)/30)+1)),IF(N(G114)&gt;=MAX(1,N(E114)),"Conferido","Conferido até aqui"),"A conferir")))</f>
        <v>Conferido</v>
      </c>
      <c r="S114" s="51">
        <f>IF(R114="A conferir",(Config!$B$8-L114)*1000+N(F114)/1000+ROW()/100000,0)</f>
        <v>0</v>
      </c>
      <c r="T114" s="51">
        <f>IF(R114="A conferir",N(N114),0)</f>
        <v>0</v>
      </c>
      <c r="U114" s="51">
        <f>IF(L114="",0,L114)</f>
        <v>46217.0</v>
      </c>
      <c r="V114" s="51">
        <f>IF(L114="",0,MAX(1,N(E114)))</f>
        <v>1</v>
      </c>
      <c r="W114" s="51">
        <f>IF(K114="",0,K114)</f>
        <v>380</v>
      </c>
    </row>
    <row r="115">
      <c r="A115" s="49" t="n">
        <v>46217</v>
      </c>
      <c r="B115" s="41" t="inlineStr">
        <is>
          <t>Priscila Reis</t>
        </is>
      </c>
      <c r="C115" s="41" t="inlineStr">
        <is>
          <t>Avaliação endócrina</t>
        </is>
      </c>
      <c r="D115" s="42" t="inlineStr">
        <is>
          <t>Pix</t>
        </is>
      </c>
      <c r="E115" s="42" t="n"/>
      <c r="F115" s="50" t="n">
        <v>400</v>
      </c>
      <c r="G115" s="42" t="n">
        <v>1</v>
      </c>
      <c r="H115" s="30">
        <f>IF(D115="","",IFERROR(INDEX(Config!$B$12:$B$15,MATCH(IF(AND(D115="Cartão de crédito",N(E115)&gt;1),"Cartão de crédito parcelado",D115),Config!$A$12:$A$15,0)),0)+IF(AND(Config!$B$17="Sim",LEFT(D115,17)="Cartão de crédito"),Config!$B$18*IFERROR(INDEX(Config!$C$12:$C$15,MATCH(IF(AND(D115="Cartão de crédito",N(E115)&gt;1),"Cartão de crédito parcelado",D115),Config!$A$12:$A$15,0)),0)/30*MAX(1,N(E115)),0))</f>
        <v>0</v>
      </c>
      <c r="I115" s="29">
        <f>IF(OR(D115="",F115=""),"",ROUND(F115*H115,2))</f>
        <v>0</v>
      </c>
      <c r="J115" s="29">
        <f>IF(I115="","",F115-I115)</f>
        <v>400</v>
      </c>
      <c r="K115" s="29">
        <f>IF(J115="","",J115/MAX(1,N(E115)))</f>
        <v>400</v>
      </c>
      <c r="L115" s="37">
        <f>IF(OR(D115="",A115=""),"",A115+IF(AND(Config!$B$17="Sim",LEFT(D115,17)="Cartão de crédito"),1,IFERROR(INDEX(Config!$C$12:$C$15,MATCH(IF(AND(D115="Cartão de crédito",N(E115)&gt;1),"Cartão de crédito parcelado",D115),Config!$A$12:$A$15,0)),0)))</f>
        <v>46217.0</v>
      </c>
      <c r="M115" s="37">
        <f>IF(L115="","",IF(AND(Config!$B$17="Sim",LEFT(D115,17)="Cartão de crédito"),L115,L115+30*(MAX(1,N(E115))-1)))</f>
        <v>46217.0</v>
      </c>
      <c r="N115" s="29">
        <f>IF(OR(L115="",K115=""),"",K115*MIN(MAX(1,N(E115)),MAX(0,INT((Config!$B$8-L115)/30)+1)))</f>
        <v>400</v>
      </c>
      <c r="O115" s="29">
        <f>IF(J115="","",J115-N(N115))</f>
        <v>0</v>
      </c>
      <c r="P115" s="27">
        <f>IF(A115="","",MONTH(A115))</f>
        <v>7</v>
      </c>
      <c r="Q115" s="27">
        <f>IF(A115="","",YEAR(A115))</f>
        <v>2026</v>
      </c>
      <c r="R115" s="27" t="str">
        <f>IF(L115="","",IF(L115&gt;Config!$B$8,"A cair",IF(N(G115)&gt;=MIN(MAX(1,N(E115)),MAX(0,INT((Config!$B$8-L115)/30)+1)),IF(N(G115)&gt;=MAX(1,N(E115)),"Conferido","Conferido até aqui"),"A conferir")))</f>
        <v>Conferido</v>
      </c>
      <c r="S115" s="51">
        <f>IF(R115="A conferir",(Config!$B$8-L115)*1000+N(F115)/1000+ROW()/100000,0)</f>
        <v>0</v>
      </c>
      <c r="T115" s="51">
        <f>IF(R115="A conferir",N(N115),0)</f>
        <v>0</v>
      </c>
      <c r="U115" s="51">
        <f>IF(L115="",0,L115)</f>
        <v>46217.0</v>
      </c>
      <c r="V115" s="51">
        <f>IF(L115="",0,MAX(1,N(E115)))</f>
        <v>1</v>
      </c>
      <c r="W115" s="51">
        <f>IF(K115="",0,K115)</f>
        <v>400</v>
      </c>
    </row>
    <row r="116">
      <c r="A116" s="49" t="n">
        <v>46217</v>
      </c>
      <c r="B116" s="41" t="inlineStr">
        <is>
          <t>Cláudia Melo</t>
        </is>
      </c>
      <c r="C116" s="41" t="inlineStr">
        <is>
          <t>Avaliação endócrina</t>
        </is>
      </c>
      <c r="D116" s="42" t="inlineStr">
        <is>
          <t>Cartão de crédito</t>
        </is>
      </c>
      <c r="E116" s="42" t="n"/>
      <c r="F116" s="50" t="n">
        <v>400</v>
      </c>
      <c r="G116" s="42" t="n">
        <v>1</v>
      </c>
      <c r="H116" s="30">
        <f>IF(D116="","",IFERROR(INDEX(Config!$B$12:$B$15,MATCH(IF(AND(D116="Cartão de crédito",N(E116)&gt;1),"Cartão de crédito parcelado",D116),Config!$A$12:$A$15,0)),0)+IF(AND(Config!$B$17="Sim",LEFT(D116,17)="Cartão de crédito"),Config!$B$18*IFERROR(INDEX(Config!$C$12:$C$15,MATCH(IF(AND(D116="Cartão de crédito",N(E116)&gt;1),"Cartão de crédito parcelado",D116),Config!$A$12:$A$15,0)),0)/30*MAX(1,N(E116)),0))</f>
        <v>0.032</v>
      </c>
      <c r="I116" s="29">
        <f>IF(OR(D116="",F116=""),"",ROUND(F116*H116,2))</f>
        <v>12.8</v>
      </c>
      <c r="J116" s="29">
        <f>IF(I116="","",F116-I116)</f>
        <v>387.2</v>
      </c>
      <c r="K116" s="29">
        <f>IF(J116="","",J116/MAX(1,N(E116)))</f>
        <v>387.2</v>
      </c>
      <c r="L116" s="37">
        <f>IF(OR(D116="",A116=""),"",A116+IF(AND(Config!$B$17="Sim",LEFT(D116,17)="Cartão de crédito"),1,IFERROR(INDEX(Config!$C$12:$C$15,MATCH(IF(AND(D116="Cartão de crédito",N(E116)&gt;1),"Cartão de crédito parcelado",D116),Config!$A$12:$A$15,0)),0)))</f>
        <v>46247.0</v>
      </c>
      <c r="M116" s="37">
        <f>IF(L116="","",IF(AND(Config!$B$17="Sim",LEFT(D116,17)="Cartão de crédito"),L116,L116+30*(MAX(1,N(E116))-1)))</f>
        <v>46247.0</v>
      </c>
      <c r="N116" s="29">
        <f>IF(OR(L116="",K116=""),"",K116*MIN(MAX(1,N(E116)),MAX(0,INT((Config!$B$8-L116)/30)+1)))</f>
        <v>387.2</v>
      </c>
      <c r="O116" s="29">
        <f>IF(J116="","",J116-N(N116))</f>
        <v>0</v>
      </c>
      <c r="P116" s="27">
        <f>IF(A116="","",MONTH(A116))</f>
        <v>7</v>
      </c>
      <c r="Q116" s="27">
        <f>IF(A116="","",YEAR(A116))</f>
        <v>2026</v>
      </c>
      <c r="R116" s="27" t="str">
        <f>IF(L116="","",IF(L116&gt;Config!$B$8,"A cair",IF(N(G116)&gt;=MIN(MAX(1,N(E116)),MAX(0,INT((Config!$B$8-L116)/30)+1)),IF(N(G116)&gt;=MAX(1,N(E116)),"Conferido","Conferido até aqui"),"A conferir")))</f>
        <v>Conferido</v>
      </c>
      <c r="S116" s="51">
        <f>IF(R116="A conferir",(Config!$B$8-L116)*1000+N(F116)/1000+ROW()/100000,0)</f>
        <v>0</v>
      </c>
      <c r="T116" s="51">
        <f>IF(R116="A conferir",N(N116),0)</f>
        <v>0</v>
      </c>
      <c r="U116" s="51">
        <f>IF(L116="",0,L116)</f>
        <v>46247.0</v>
      </c>
      <c r="V116" s="51">
        <f>IF(L116="",0,MAX(1,N(E116)))</f>
        <v>1</v>
      </c>
      <c r="W116" s="51">
        <f>IF(K116="",0,K116)</f>
        <v>387.2</v>
      </c>
    </row>
    <row r="117">
      <c r="A117" s="49" t="n">
        <v>46217</v>
      </c>
      <c r="B117" s="41" t="inlineStr">
        <is>
          <t>Rafael Dias</t>
        </is>
      </c>
      <c r="C117" s="41" t="inlineStr">
        <is>
          <t>ECG</t>
        </is>
      </c>
      <c r="D117" s="42" t="inlineStr">
        <is>
          <t>Cartão de crédito</t>
        </is>
      </c>
      <c r="E117" s="42" t="n"/>
      <c r="F117" s="50" t="n">
        <v>130</v>
      </c>
      <c r="G117" s="42" t="n">
        <v>1</v>
      </c>
      <c r="H117" s="30">
        <f>IF(D117="","",IFERROR(INDEX(Config!$B$12:$B$15,MATCH(IF(AND(D117="Cartão de crédito",N(E117)&gt;1),"Cartão de crédito parcelado",D117),Config!$A$12:$A$15,0)),0)+IF(AND(Config!$B$17="Sim",LEFT(D117,17)="Cartão de crédito"),Config!$B$18*IFERROR(INDEX(Config!$C$12:$C$15,MATCH(IF(AND(D117="Cartão de crédito",N(E117)&gt;1),"Cartão de crédito parcelado",D117),Config!$A$12:$A$15,0)),0)/30*MAX(1,N(E117)),0))</f>
        <v>0.032</v>
      </c>
      <c r="I117" s="29">
        <f>IF(OR(D117="",F117=""),"",ROUND(F117*H117,2))</f>
        <v>4.16</v>
      </c>
      <c r="J117" s="29">
        <f>IF(I117="","",F117-I117)</f>
        <v>125.84</v>
      </c>
      <c r="K117" s="29">
        <f>IF(J117="","",J117/MAX(1,N(E117)))</f>
        <v>125.84</v>
      </c>
      <c r="L117" s="37">
        <f>IF(OR(D117="",A117=""),"",A117+IF(AND(Config!$B$17="Sim",LEFT(D117,17)="Cartão de crédito"),1,IFERROR(INDEX(Config!$C$12:$C$15,MATCH(IF(AND(D117="Cartão de crédito",N(E117)&gt;1),"Cartão de crédito parcelado",D117),Config!$A$12:$A$15,0)),0)))</f>
        <v>46247.0</v>
      </c>
      <c r="M117" s="37">
        <f>IF(L117="","",IF(AND(Config!$B$17="Sim",LEFT(D117,17)="Cartão de crédito"),L117,L117+30*(MAX(1,N(E117))-1)))</f>
        <v>46247.0</v>
      </c>
      <c r="N117" s="29">
        <f>IF(OR(L117="",K117=""),"",K117*MIN(MAX(1,N(E117)),MAX(0,INT((Config!$B$8-L117)/30)+1)))</f>
        <v>125.84</v>
      </c>
      <c r="O117" s="29">
        <f>IF(J117="","",J117-N(N117))</f>
        <v>0</v>
      </c>
      <c r="P117" s="27">
        <f>IF(A117="","",MONTH(A117))</f>
        <v>7</v>
      </c>
      <c r="Q117" s="27">
        <f>IF(A117="","",YEAR(A117))</f>
        <v>2026</v>
      </c>
      <c r="R117" s="27" t="str">
        <f>IF(L117="","",IF(L117&gt;Config!$B$8,"A cair",IF(N(G117)&gt;=MIN(MAX(1,N(E117)),MAX(0,INT((Config!$B$8-L117)/30)+1)),IF(N(G117)&gt;=MAX(1,N(E117)),"Conferido","Conferido até aqui"),"A conferir")))</f>
        <v>Conferido</v>
      </c>
      <c r="S117" s="51">
        <f>IF(R117="A conferir",(Config!$B$8-L117)*1000+N(F117)/1000+ROW()/100000,0)</f>
        <v>0</v>
      </c>
      <c r="T117" s="51">
        <f>IF(R117="A conferir",N(N117),0)</f>
        <v>0</v>
      </c>
      <c r="U117" s="51">
        <f>IF(L117="",0,L117)</f>
        <v>46247.0</v>
      </c>
      <c r="V117" s="51">
        <f>IF(L117="",0,MAX(1,N(E117)))</f>
        <v>1</v>
      </c>
      <c r="W117" s="51">
        <f>IF(K117="",0,K117)</f>
        <v>125.84</v>
      </c>
    </row>
    <row r="118">
      <c r="A118" s="49" t="n">
        <v>46217</v>
      </c>
      <c r="B118" s="41" t="inlineStr">
        <is>
          <t>Mônica Martins</t>
        </is>
      </c>
      <c r="C118" s="41" t="inlineStr">
        <is>
          <t>ECG</t>
        </is>
      </c>
      <c r="D118" s="42" t="inlineStr">
        <is>
          <t>Pix</t>
        </is>
      </c>
      <c r="E118" s="42" t="n"/>
      <c r="F118" s="50" t="n">
        <v>130</v>
      </c>
      <c r="G118" s="42" t="n">
        <v>1</v>
      </c>
      <c r="H118" s="30">
        <f>IF(D118="","",IFERROR(INDEX(Config!$B$12:$B$15,MATCH(IF(AND(D118="Cartão de crédito",N(E118)&gt;1),"Cartão de crédito parcelado",D118),Config!$A$12:$A$15,0)),0)+IF(AND(Config!$B$17="Sim",LEFT(D118,17)="Cartão de crédito"),Config!$B$18*IFERROR(INDEX(Config!$C$12:$C$15,MATCH(IF(AND(D118="Cartão de crédito",N(E118)&gt;1),"Cartão de crédito parcelado",D118),Config!$A$12:$A$15,0)),0)/30*MAX(1,N(E118)),0))</f>
        <v>0</v>
      </c>
      <c r="I118" s="29">
        <f>IF(OR(D118="",F118=""),"",ROUND(F118*H118,2))</f>
        <v>0</v>
      </c>
      <c r="J118" s="29">
        <f>IF(I118="","",F118-I118)</f>
        <v>130</v>
      </c>
      <c r="K118" s="29">
        <f>IF(J118="","",J118/MAX(1,N(E118)))</f>
        <v>130</v>
      </c>
      <c r="L118" s="37">
        <f>IF(OR(D118="",A118=""),"",A118+IF(AND(Config!$B$17="Sim",LEFT(D118,17)="Cartão de crédito"),1,IFERROR(INDEX(Config!$C$12:$C$15,MATCH(IF(AND(D118="Cartão de crédito",N(E118)&gt;1),"Cartão de crédito parcelado",D118),Config!$A$12:$A$15,0)),0)))</f>
        <v>46217.0</v>
      </c>
      <c r="M118" s="37">
        <f>IF(L118="","",IF(AND(Config!$B$17="Sim",LEFT(D118,17)="Cartão de crédito"),L118,L118+30*(MAX(1,N(E118))-1)))</f>
        <v>46217.0</v>
      </c>
      <c r="N118" s="29">
        <f>IF(OR(L118="",K118=""),"",K118*MIN(MAX(1,N(E118)),MAX(0,INT((Config!$B$8-L118)/30)+1)))</f>
        <v>130</v>
      </c>
      <c r="O118" s="29">
        <f>IF(J118="","",J118-N(N118))</f>
        <v>0</v>
      </c>
      <c r="P118" s="27">
        <f>IF(A118="","",MONTH(A118))</f>
        <v>7</v>
      </c>
      <c r="Q118" s="27">
        <f>IF(A118="","",YEAR(A118))</f>
        <v>2026</v>
      </c>
      <c r="R118" s="27" t="str">
        <f>IF(L118="","",IF(L118&gt;Config!$B$8,"A cair",IF(N(G118)&gt;=MIN(MAX(1,N(E118)),MAX(0,INT((Config!$B$8-L118)/30)+1)),IF(N(G118)&gt;=MAX(1,N(E118)),"Conferido","Conferido até aqui"),"A conferir")))</f>
        <v>Conferido</v>
      </c>
      <c r="S118" s="51">
        <f>IF(R118="A conferir",(Config!$B$8-L118)*1000+N(F118)/1000+ROW()/100000,0)</f>
        <v>0</v>
      </c>
      <c r="T118" s="51">
        <f>IF(R118="A conferir",N(N118),0)</f>
        <v>0</v>
      </c>
      <c r="U118" s="51">
        <f>IF(L118="",0,L118)</f>
        <v>46217.0</v>
      </c>
      <c r="V118" s="51">
        <f>IF(L118="",0,MAX(1,N(E118)))</f>
        <v>1</v>
      </c>
      <c r="W118" s="51">
        <f>IF(K118="",0,K118)</f>
        <v>130</v>
      </c>
    </row>
    <row r="119">
      <c r="A119" s="49" t="n">
        <v>46217</v>
      </c>
      <c r="B119" s="41" t="inlineStr">
        <is>
          <t>Marcelo Ferreira</t>
        </is>
      </c>
      <c r="C119" s="41" t="inlineStr">
        <is>
          <t>Consulta</t>
        </is>
      </c>
      <c r="D119" s="42" t="inlineStr">
        <is>
          <t>Cartão de crédito</t>
        </is>
      </c>
      <c r="E119" s="42" t="n">
        <v>2</v>
      </c>
      <c r="F119" s="50" t="n">
        <v>380</v>
      </c>
      <c r="G119" s="42" t="n">
        <v>1</v>
      </c>
      <c r="H119" s="30">
        <f>IF(D119="","",IFERROR(INDEX(Config!$B$12:$B$15,MATCH(IF(AND(D119="Cartão de crédito",N(E119)&gt;1),"Cartão de crédito parcelado",D119),Config!$A$12:$A$15,0)),0)+IF(AND(Config!$B$17="Sim",LEFT(D119,17)="Cartão de crédito"),Config!$B$18*IFERROR(INDEX(Config!$C$12:$C$15,MATCH(IF(AND(D119="Cartão de crédito",N(E119)&gt;1),"Cartão de crédito parcelado",D119),Config!$A$12:$A$15,0)),0)/30*MAX(1,N(E119)),0))</f>
        <v>0.039</v>
      </c>
      <c r="I119" s="29">
        <f>IF(OR(D119="",F119=""),"",ROUND(F119*H119,2))</f>
        <v>14.82</v>
      </c>
      <c r="J119" s="29">
        <f>IF(I119="","",F119-I119)</f>
        <v>365.18</v>
      </c>
      <c r="K119" s="29">
        <f>IF(J119="","",J119/MAX(1,N(E119)))</f>
        <v>182.59</v>
      </c>
      <c r="L119" s="37">
        <f>IF(OR(D119="",A119=""),"",A119+IF(AND(Config!$B$17="Sim",LEFT(D119,17)="Cartão de crédito"),1,IFERROR(INDEX(Config!$C$12:$C$15,MATCH(IF(AND(D119="Cartão de crédito",N(E119)&gt;1),"Cartão de crédito parcelado",D119),Config!$A$12:$A$15,0)),0)))</f>
        <v>46247.0</v>
      </c>
      <c r="M119" s="37">
        <f>IF(L119="","",IF(AND(Config!$B$17="Sim",LEFT(D119,17)="Cartão de crédito"),L119,L119+30*(MAX(1,N(E119))-1)))</f>
        <v>46277.0</v>
      </c>
      <c r="N119" s="29">
        <f>IF(OR(L119="",K119=""),"",K119*MIN(MAX(1,N(E119)),MAX(0,INT((Config!$B$8-L119)/30)+1)))</f>
        <v>365.18</v>
      </c>
      <c r="O119" s="29">
        <f>IF(J119="","",J119-N(N119))</f>
        <v>0</v>
      </c>
      <c r="P119" s="27">
        <f>IF(A119="","",MONTH(A119))</f>
        <v>7</v>
      </c>
      <c r="Q119" s="27">
        <f>IF(A119="","",YEAR(A119))</f>
        <v>2026</v>
      </c>
      <c r="R119" s="27" t="str">
        <f>IF(L119="","",IF(L119&gt;Config!$B$8,"A cair",IF(N(G119)&gt;=MIN(MAX(1,N(E119)),MAX(0,INT((Config!$B$8-L119)/30)+1)),IF(N(G119)&gt;=MAX(1,N(E119)),"Conferido","Conferido até aqui"),"A conferir")))</f>
        <v>A conferir</v>
      </c>
      <c r="S119" s="51">
        <f>IF(R119="A conferir",(Config!$B$8-L119)*1000+N(F119)/1000+ROW()/100000,0)</f>
        <v>32000.38119</v>
      </c>
      <c r="T119" s="51">
        <f>IF(R119="A conferir",N(N119),0)</f>
        <v>365.18</v>
      </c>
      <c r="U119" s="51">
        <f>IF(L119="",0,L119)</f>
        <v>46247.0</v>
      </c>
      <c r="V119" s="51">
        <f>IF(L119="",0,MAX(1,N(E119)))</f>
        <v>2</v>
      </c>
      <c r="W119" s="51">
        <f>IF(K119="",0,K119)</f>
        <v>182.59</v>
      </c>
    </row>
    <row r="120">
      <c r="A120" s="49" t="n">
        <v>46217</v>
      </c>
      <c r="B120" s="41" t="inlineStr">
        <is>
          <t>Roberta Lima</t>
        </is>
      </c>
      <c r="C120" s="41" t="inlineStr">
        <is>
          <t>Avaliação endócrina</t>
        </is>
      </c>
      <c r="D120" s="42" t="inlineStr">
        <is>
          <t>Cartão de crédito</t>
        </is>
      </c>
      <c r="E120" s="42" t="n"/>
      <c r="F120" s="50" t="n">
        <v>400</v>
      </c>
      <c r="G120" s="42" t="n">
        <v>1</v>
      </c>
      <c r="H120" s="30">
        <f>IF(D120="","",IFERROR(INDEX(Config!$B$12:$B$15,MATCH(IF(AND(D120="Cartão de crédito",N(E120)&gt;1),"Cartão de crédito parcelado",D120),Config!$A$12:$A$15,0)),0)+IF(AND(Config!$B$17="Sim",LEFT(D120,17)="Cartão de crédito"),Config!$B$18*IFERROR(INDEX(Config!$C$12:$C$15,MATCH(IF(AND(D120="Cartão de crédito",N(E120)&gt;1),"Cartão de crédito parcelado",D120),Config!$A$12:$A$15,0)),0)/30*MAX(1,N(E120)),0))</f>
        <v>0.032</v>
      </c>
      <c r="I120" s="29">
        <f>IF(OR(D120="",F120=""),"",ROUND(F120*H120,2))</f>
        <v>12.8</v>
      </c>
      <c r="J120" s="29">
        <f>IF(I120="","",F120-I120)</f>
        <v>387.2</v>
      </c>
      <c r="K120" s="29">
        <f>IF(J120="","",J120/MAX(1,N(E120)))</f>
        <v>387.2</v>
      </c>
      <c r="L120" s="37">
        <f>IF(OR(D120="",A120=""),"",A120+IF(AND(Config!$B$17="Sim",LEFT(D120,17)="Cartão de crédito"),1,IFERROR(INDEX(Config!$C$12:$C$15,MATCH(IF(AND(D120="Cartão de crédito",N(E120)&gt;1),"Cartão de crédito parcelado",D120),Config!$A$12:$A$15,0)),0)))</f>
        <v>46247.0</v>
      </c>
      <c r="M120" s="37">
        <f>IF(L120="","",IF(AND(Config!$B$17="Sim",LEFT(D120,17)="Cartão de crédito"),L120,L120+30*(MAX(1,N(E120))-1)))</f>
        <v>46247.0</v>
      </c>
      <c r="N120" s="29">
        <f>IF(OR(L120="",K120=""),"",K120*MIN(MAX(1,N(E120)),MAX(0,INT((Config!$B$8-L120)/30)+1)))</f>
        <v>387.2</v>
      </c>
      <c r="O120" s="29">
        <f>IF(J120="","",J120-N(N120))</f>
        <v>0</v>
      </c>
      <c r="P120" s="27">
        <f>IF(A120="","",MONTH(A120))</f>
        <v>7</v>
      </c>
      <c r="Q120" s="27">
        <f>IF(A120="","",YEAR(A120))</f>
        <v>2026</v>
      </c>
      <c r="R120" s="27" t="str">
        <f>IF(L120="","",IF(L120&gt;Config!$B$8,"A cair",IF(N(G120)&gt;=MIN(MAX(1,N(E120)),MAX(0,INT((Config!$B$8-L120)/30)+1)),IF(N(G120)&gt;=MAX(1,N(E120)),"Conferido","Conferido até aqui"),"A conferir")))</f>
        <v>Conferido</v>
      </c>
      <c r="S120" s="51">
        <f>IF(R120="A conferir",(Config!$B$8-L120)*1000+N(F120)/1000+ROW()/100000,0)</f>
        <v>0</v>
      </c>
      <c r="T120" s="51">
        <f>IF(R120="A conferir",N(N120),0)</f>
        <v>0</v>
      </c>
      <c r="U120" s="51">
        <f>IF(L120="",0,L120)</f>
        <v>46247.0</v>
      </c>
      <c r="V120" s="51">
        <f>IF(L120="",0,MAX(1,N(E120)))</f>
        <v>1</v>
      </c>
      <c r="W120" s="51">
        <f>IF(K120="",0,K120)</f>
        <v>387.2</v>
      </c>
    </row>
    <row r="121">
      <c r="A121" s="49" t="n">
        <v>46217</v>
      </c>
      <c r="B121" s="41" t="inlineStr">
        <is>
          <t>Thiago Melo</t>
        </is>
      </c>
      <c r="C121" s="41" t="inlineStr">
        <is>
          <t>Avaliação endócrina</t>
        </is>
      </c>
      <c r="D121" s="42" t="inlineStr">
        <is>
          <t>Cartão de crédito</t>
        </is>
      </c>
      <c r="E121" s="42" t="n">
        <v>2</v>
      </c>
      <c r="F121" s="50" t="n">
        <v>400</v>
      </c>
      <c r="G121" s="42" t="n">
        <v>1</v>
      </c>
      <c r="H121" s="30">
        <f>IF(D121="","",IFERROR(INDEX(Config!$B$12:$B$15,MATCH(IF(AND(D121="Cartão de crédito",N(E121)&gt;1),"Cartão de crédito parcelado",D121),Config!$A$12:$A$15,0)),0)+IF(AND(Config!$B$17="Sim",LEFT(D121,17)="Cartão de crédito"),Config!$B$18*IFERROR(INDEX(Config!$C$12:$C$15,MATCH(IF(AND(D121="Cartão de crédito",N(E121)&gt;1),"Cartão de crédito parcelado",D121),Config!$A$12:$A$15,0)),0)/30*MAX(1,N(E121)),0))</f>
        <v>0.039</v>
      </c>
      <c r="I121" s="29">
        <f>IF(OR(D121="",F121=""),"",ROUND(F121*H121,2))</f>
        <v>15.6</v>
      </c>
      <c r="J121" s="29">
        <f>IF(I121="","",F121-I121)</f>
        <v>384.4</v>
      </c>
      <c r="K121" s="29">
        <f>IF(J121="","",J121/MAX(1,N(E121)))</f>
        <v>192.2</v>
      </c>
      <c r="L121" s="37">
        <f>IF(OR(D121="",A121=""),"",A121+IF(AND(Config!$B$17="Sim",LEFT(D121,17)="Cartão de crédito"),1,IFERROR(INDEX(Config!$C$12:$C$15,MATCH(IF(AND(D121="Cartão de crédito",N(E121)&gt;1),"Cartão de crédito parcelado",D121),Config!$A$12:$A$15,0)),0)))</f>
        <v>46247.0</v>
      </c>
      <c r="M121" s="37">
        <f>IF(L121="","",IF(AND(Config!$B$17="Sim",LEFT(D121,17)="Cartão de crédito"),L121,L121+30*(MAX(1,N(E121))-1)))</f>
        <v>46277.0</v>
      </c>
      <c r="N121" s="29">
        <f>IF(OR(L121="",K121=""),"",K121*MIN(MAX(1,N(E121)),MAX(0,INT((Config!$B$8-L121)/30)+1)))</f>
        <v>384.4</v>
      </c>
      <c r="O121" s="29">
        <f>IF(J121="","",J121-N(N121))</f>
        <v>0</v>
      </c>
      <c r="P121" s="27">
        <f>IF(A121="","",MONTH(A121))</f>
        <v>7</v>
      </c>
      <c r="Q121" s="27">
        <f>IF(A121="","",YEAR(A121))</f>
        <v>2026</v>
      </c>
      <c r="R121" s="27" t="str">
        <f>IF(L121="","",IF(L121&gt;Config!$B$8,"A cair",IF(N(G121)&gt;=MIN(MAX(1,N(E121)),MAX(0,INT((Config!$B$8-L121)/30)+1)),IF(N(G121)&gt;=MAX(1,N(E121)),"Conferido","Conferido até aqui"),"A conferir")))</f>
        <v>A conferir</v>
      </c>
      <c r="S121" s="51">
        <f>IF(R121="A conferir",(Config!$B$8-L121)*1000+N(F121)/1000+ROW()/100000,0)</f>
        <v>32000.40121</v>
      </c>
      <c r="T121" s="51">
        <f>IF(R121="A conferir",N(N121),0)</f>
        <v>384.4</v>
      </c>
      <c r="U121" s="51">
        <f>IF(L121="",0,L121)</f>
        <v>46247.0</v>
      </c>
      <c r="V121" s="51">
        <f>IF(L121="",0,MAX(1,N(E121)))</f>
        <v>2</v>
      </c>
      <c r="W121" s="51">
        <f>IF(K121="",0,K121)</f>
        <v>192.2</v>
      </c>
    </row>
    <row r="122">
      <c r="A122" s="49" t="n">
        <v>46217</v>
      </c>
      <c r="B122" s="41" t="inlineStr">
        <is>
          <t>Rafael Barros</t>
        </is>
      </c>
      <c r="C122" s="41" t="inlineStr">
        <is>
          <t>Consulta</t>
        </is>
      </c>
      <c r="D122" s="42" t="inlineStr">
        <is>
          <t>Pix</t>
        </is>
      </c>
      <c r="E122" s="42" t="n"/>
      <c r="F122" s="50" t="n">
        <v>380</v>
      </c>
      <c r="G122" s="42" t="n">
        <v>1</v>
      </c>
      <c r="H122" s="30">
        <f>IF(D122="","",IFERROR(INDEX(Config!$B$12:$B$15,MATCH(IF(AND(D122="Cartão de crédito",N(E122)&gt;1),"Cartão de crédito parcelado",D122),Config!$A$12:$A$15,0)),0)+IF(AND(Config!$B$17="Sim",LEFT(D122,17)="Cartão de crédito"),Config!$B$18*IFERROR(INDEX(Config!$C$12:$C$15,MATCH(IF(AND(D122="Cartão de crédito",N(E122)&gt;1),"Cartão de crédito parcelado",D122),Config!$A$12:$A$15,0)),0)/30*MAX(1,N(E122)),0))</f>
        <v>0</v>
      </c>
      <c r="I122" s="29">
        <f>IF(OR(D122="",F122=""),"",ROUND(F122*H122,2))</f>
        <v>0</v>
      </c>
      <c r="J122" s="29">
        <f>IF(I122="","",F122-I122)</f>
        <v>380</v>
      </c>
      <c r="K122" s="29">
        <f>IF(J122="","",J122/MAX(1,N(E122)))</f>
        <v>380</v>
      </c>
      <c r="L122" s="37">
        <f>IF(OR(D122="",A122=""),"",A122+IF(AND(Config!$B$17="Sim",LEFT(D122,17)="Cartão de crédito"),1,IFERROR(INDEX(Config!$C$12:$C$15,MATCH(IF(AND(D122="Cartão de crédito",N(E122)&gt;1),"Cartão de crédito parcelado",D122),Config!$A$12:$A$15,0)),0)))</f>
        <v>46217.0</v>
      </c>
      <c r="M122" s="37">
        <f>IF(L122="","",IF(AND(Config!$B$17="Sim",LEFT(D122,17)="Cartão de crédito"),L122,L122+30*(MAX(1,N(E122))-1)))</f>
        <v>46217.0</v>
      </c>
      <c r="N122" s="29">
        <f>IF(OR(L122="",K122=""),"",K122*MIN(MAX(1,N(E122)),MAX(0,INT((Config!$B$8-L122)/30)+1)))</f>
        <v>380</v>
      </c>
      <c r="O122" s="29">
        <f>IF(J122="","",J122-N(N122))</f>
        <v>0</v>
      </c>
      <c r="P122" s="27">
        <f>IF(A122="","",MONTH(A122))</f>
        <v>7</v>
      </c>
      <c r="Q122" s="27">
        <f>IF(A122="","",YEAR(A122))</f>
        <v>2026</v>
      </c>
      <c r="R122" s="27" t="str">
        <f>IF(L122="","",IF(L122&gt;Config!$B$8,"A cair",IF(N(G122)&gt;=MIN(MAX(1,N(E122)),MAX(0,INT((Config!$B$8-L122)/30)+1)),IF(N(G122)&gt;=MAX(1,N(E122)),"Conferido","Conferido até aqui"),"A conferir")))</f>
        <v>Conferido</v>
      </c>
      <c r="S122" s="51">
        <f>IF(R122="A conferir",(Config!$B$8-L122)*1000+N(F122)/1000+ROW()/100000,0)</f>
        <v>0</v>
      </c>
      <c r="T122" s="51">
        <f>IF(R122="A conferir",N(N122),0)</f>
        <v>0</v>
      </c>
      <c r="U122" s="51">
        <f>IF(L122="",0,L122)</f>
        <v>46217.0</v>
      </c>
      <c r="V122" s="51">
        <f>IF(L122="",0,MAX(1,N(E122)))</f>
        <v>1</v>
      </c>
      <c r="W122" s="51">
        <f>IF(K122="",0,K122)</f>
        <v>380</v>
      </c>
    </row>
    <row r="123">
      <c r="A123" s="49" t="n">
        <v>46217</v>
      </c>
      <c r="B123" s="41" t="inlineStr">
        <is>
          <t>Mariana Reis</t>
        </is>
      </c>
      <c r="C123" s="41" t="inlineStr">
        <is>
          <t>Avaliação endócrina</t>
        </is>
      </c>
      <c r="D123" s="42" t="inlineStr">
        <is>
          <t>Cartão de crédito</t>
        </is>
      </c>
      <c r="E123" s="42" t="n">
        <v>2</v>
      </c>
      <c r="F123" s="50" t="n">
        <v>400</v>
      </c>
      <c r="G123" s="42" t="n">
        <v>1</v>
      </c>
      <c r="H123" s="30">
        <f>IF(D123="","",IFERROR(INDEX(Config!$B$12:$B$15,MATCH(IF(AND(D123="Cartão de crédito",N(E123)&gt;1),"Cartão de crédito parcelado",D123),Config!$A$12:$A$15,0)),0)+IF(AND(Config!$B$17="Sim",LEFT(D123,17)="Cartão de crédito"),Config!$B$18*IFERROR(INDEX(Config!$C$12:$C$15,MATCH(IF(AND(D123="Cartão de crédito",N(E123)&gt;1),"Cartão de crédito parcelado",D123),Config!$A$12:$A$15,0)),0)/30*MAX(1,N(E123)),0))</f>
        <v>0.039</v>
      </c>
      <c r="I123" s="29">
        <f>IF(OR(D123="",F123=""),"",ROUND(F123*H123,2))</f>
        <v>15.6</v>
      </c>
      <c r="J123" s="29">
        <f>IF(I123="","",F123-I123)</f>
        <v>384.4</v>
      </c>
      <c r="K123" s="29">
        <f>IF(J123="","",J123/MAX(1,N(E123)))</f>
        <v>192.2</v>
      </c>
      <c r="L123" s="37">
        <f>IF(OR(D123="",A123=""),"",A123+IF(AND(Config!$B$17="Sim",LEFT(D123,17)="Cartão de crédito"),1,IFERROR(INDEX(Config!$C$12:$C$15,MATCH(IF(AND(D123="Cartão de crédito",N(E123)&gt;1),"Cartão de crédito parcelado",D123),Config!$A$12:$A$15,0)),0)))</f>
        <v>46247.0</v>
      </c>
      <c r="M123" s="37">
        <f>IF(L123="","",IF(AND(Config!$B$17="Sim",LEFT(D123,17)="Cartão de crédito"),L123,L123+30*(MAX(1,N(E123))-1)))</f>
        <v>46277.0</v>
      </c>
      <c r="N123" s="29">
        <f>IF(OR(L123="",K123=""),"",K123*MIN(MAX(1,N(E123)),MAX(0,INT((Config!$B$8-L123)/30)+1)))</f>
        <v>384.4</v>
      </c>
      <c r="O123" s="29">
        <f>IF(J123="","",J123-N(N123))</f>
        <v>0</v>
      </c>
      <c r="P123" s="27">
        <f>IF(A123="","",MONTH(A123))</f>
        <v>7</v>
      </c>
      <c r="Q123" s="27">
        <f>IF(A123="","",YEAR(A123))</f>
        <v>2026</v>
      </c>
      <c r="R123" s="27" t="str">
        <f>IF(L123="","",IF(L123&gt;Config!$B$8,"A cair",IF(N(G123)&gt;=MIN(MAX(1,N(E123)),MAX(0,INT((Config!$B$8-L123)/30)+1)),IF(N(G123)&gt;=MAX(1,N(E123)),"Conferido","Conferido até aqui"),"A conferir")))</f>
        <v>A conferir</v>
      </c>
      <c r="S123" s="51">
        <f>IF(R123="A conferir",(Config!$B$8-L123)*1000+N(F123)/1000+ROW()/100000,0)</f>
        <v>32000.40123</v>
      </c>
      <c r="T123" s="51">
        <f>IF(R123="A conferir",N(N123),0)</f>
        <v>384.4</v>
      </c>
      <c r="U123" s="51">
        <f>IF(L123="",0,L123)</f>
        <v>46247.0</v>
      </c>
      <c r="V123" s="51">
        <f>IF(L123="",0,MAX(1,N(E123)))</f>
        <v>2</v>
      </c>
      <c r="W123" s="51">
        <f>IF(K123="",0,K123)</f>
        <v>192.2</v>
      </c>
    </row>
    <row r="124">
      <c r="A124" s="49" t="n">
        <v>46217</v>
      </c>
      <c r="B124" s="41" t="inlineStr">
        <is>
          <t>Helena Moreira</t>
        </is>
      </c>
      <c r="C124" s="41" t="inlineStr">
        <is>
          <t>MAPA</t>
        </is>
      </c>
      <c r="D124" s="42" t="inlineStr">
        <is>
          <t>Cartão de crédito</t>
        </is>
      </c>
      <c r="E124" s="42" t="n">
        <v>2</v>
      </c>
      <c r="F124" s="50" t="n">
        <v>300</v>
      </c>
      <c r="G124" s="42" t="n">
        <v>1</v>
      </c>
      <c r="H124" s="30">
        <f>IF(D124="","",IFERROR(INDEX(Config!$B$12:$B$15,MATCH(IF(AND(D124="Cartão de crédito",N(E124)&gt;1),"Cartão de crédito parcelado",D124),Config!$A$12:$A$15,0)),0)+IF(AND(Config!$B$17="Sim",LEFT(D124,17)="Cartão de crédito"),Config!$B$18*IFERROR(INDEX(Config!$C$12:$C$15,MATCH(IF(AND(D124="Cartão de crédito",N(E124)&gt;1),"Cartão de crédito parcelado",D124),Config!$A$12:$A$15,0)),0)/30*MAX(1,N(E124)),0))</f>
        <v>0.039</v>
      </c>
      <c r="I124" s="29">
        <f>IF(OR(D124="",F124=""),"",ROUND(F124*H124,2))</f>
        <v>11.7</v>
      </c>
      <c r="J124" s="29">
        <f>IF(I124="","",F124-I124)</f>
        <v>288.3</v>
      </c>
      <c r="K124" s="29">
        <f>IF(J124="","",J124/MAX(1,N(E124)))</f>
        <v>144.15</v>
      </c>
      <c r="L124" s="37">
        <f>IF(OR(D124="",A124=""),"",A124+IF(AND(Config!$B$17="Sim",LEFT(D124,17)="Cartão de crédito"),1,IFERROR(INDEX(Config!$C$12:$C$15,MATCH(IF(AND(D124="Cartão de crédito",N(E124)&gt;1),"Cartão de crédito parcelado",D124),Config!$A$12:$A$15,0)),0)))</f>
        <v>46247.0</v>
      </c>
      <c r="M124" s="37">
        <f>IF(L124="","",IF(AND(Config!$B$17="Sim",LEFT(D124,17)="Cartão de crédito"),L124,L124+30*(MAX(1,N(E124))-1)))</f>
        <v>46277.0</v>
      </c>
      <c r="N124" s="29">
        <f>IF(OR(L124="",K124=""),"",K124*MIN(MAX(1,N(E124)),MAX(0,INT((Config!$B$8-L124)/30)+1)))</f>
        <v>288.3</v>
      </c>
      <c r="O124" s="29">
        <f>IF(J124="","",J124-N(N124))</f>
        <v>0</v>
      </c>
      <c r="P124" s="27">
        <f>IF(A124="","",MONTH(A124))</f>
        <v>7</v>
      </c>
      <c r="Q124" s="27">
        <f>IF(A124="","",YEAR(A124))</f>
        <v>2026</v>
      </c>
      <c r="R124" s="27" t="str">
        <f>IF(L124="","",IF(L124&gt;Config!$B$8,"A cair",IF(N(G124)&gt;=MIN(MAX(1,N(E124)),MAX(0,INT((Config!$B$8-L124)/30)+1)),IF(N(G124)&gt;=MAX(1,N(E124)),"Conferido","Conferido até aqui"),"A conferir")))</f>
        <v>A conferir</v>
      </c>
      <c r="S124" s="51">
        <f>IF(R124="A conferir",(Config!$B$8-L124)*1000+N(F124)/1000+ROW()/100000,0)</f>
        <v>32000.30124</v>
      </c>
      <c r="T124" s="51">
        <f>IF(R124="A conferir",N(N124),0)</f>
        <v>288.3</v>
      </c>
      <c r="U124" s="51">
        <f>IF(L124="",0,L124)</f>
        <v>46247.0</v>
      </c>
      <c r="V124" s="51">
        <f>IF(L124="",0,MAX(1,N(E124)))</f>
        <v>2</v>
      </c>
      <c r="W124" s="51">
        <f>IF(K124="",0,K124)</f>
        <v>144.15</v>
      </c>
    </row>
    <row r="125">
      <c r="A125" s="49" t="n">
        <v>46218</v>
      </c>
      <c r="B125" s="41" t="inlineStr">
        <is>
          <t>Marcelo Santos</t>
        </is>
      </c>
      <c r="C125" s="41" t="inlineStr">
        <is>
          <t>Consulta</t>
        </is>
      </c>
      <c r="D125" s="42" t="inlineStr">
        <is>
          <t>Cartão de crédito</t>
        </is>
      </c>
      <c r="E125" s="42" t="n"/>
      <c r="F125" s="50" t="n">
        <v>380</v>
      </c>
      <c r="G125" s="42" t="n">
        <v>1</v>
      </c>
      <c r="H125" s="30">
        <f>IF(D125="","",IFERROR(INDEX(Config!$B$12:$B$15,MATCH(IF(AND(D125="Cartão de crédito",N(E125)&gt;1),"Cartão de crédito parcelado",D125),Config!$A$12:$A$15,0)),0)+IF(AND(Config!$B$17="Sim",LEFT(D125,17)="Cartão de crédito"),Config!$B$18*IFERROR(INDEX(Config!$C$12:$C$15,MATCH(IF(AND(D125="Cartão de crédito",N(E125)&gt;1),"Cartão de crédito parcelado",D125),Config!$A$12:$A$15,0)),0)/30*MAX(1,N(E125)),0))</f>
        <v>0.032</v>
      </c>
      <c r="I125" s="29">
        <f>IF(OR(D125="",F125=""),"",ROUND(F125*H125,2))</f>
        <v>12.16</v>
      </c>
      <c r="J125" s="29">
        <f>IF(I125="","",F125-I125)</f>
        <v>367.84</v>
      </c>
      <c r="K125" s="29">
        <f>IF(J125="","",J125/MAX(1,N(E125)))</f>
        <v>367.84</v>
      </c>
      <c r="L125" s="37">
        <f>IF(OR(D125="",A125=""),"",A125+IF(AND(Config!$B$17="Sim",LEFT(D125,17)="Cartão de crédito"),1,IFERROR(INDEX(Config!$C$12:$C$15,MATCH(IF(AND(D125="Cartão de crédito",N(E125)&gt;1),"Cartão de crédito parcelado",D125),Config!$A$12:$A$15,0)),0)))</f>
        <v>46248.0</v>
      </c>
      <c r="M125" s="37">
        <f>IF(L125="","",IF(AND(Config!$B$17="Sim",LEFT(D125,17)="Cartão de crédito"),L125,L125+30*(MAX(1,N(E125))-1)))</f>
        <v>46248.0</v>
      </c>
      <c r="N125" s="29">
        <f>IF(OR(L125="",K125=""),"",K125*MIN(MAX(1,N(E125)),MAX(0,INT((Config!$B$8-L125)/30)+1)))</f>
        <v>367.84</v>
      </c>
      <c r="O125" s="29">
        <f>IF(J125="","",J125-N(N125))</f>
        <v>0</v>
      </c>
      <c r="P125" s="27">
        <f>IF(A125="","",MONTH(A125))</f>
        <v>7</v>
      </c>
      <c r="Q125" s="27">
        <f>IF(A125="","",YEAR(A125))</f>
        <v>2026</v>
      </c>
      <c r="R125" s="27" t="str">
        <f>IF(L125="","",IF(L125&gt;Config!$B$8,"A cair",IF(N(G125)&gt;=MIN(MAX(1,N(E125)),MAX(0,INT((Config!$B$8-L125)/30)+1)),IF(N(G125)&gt;=MAX(1,N(E125)),"Conferido","Conferido até aqui"),"A conferir")))</f>
        <v>Conferido</v>
      </c>
      <c r="S125" s="51">
        <f>IF(R125="A conferir",(Config!$B$8-L125)*1000+N(F125)/1000+ROW()/100000,0)</f>
        <v>0</v>
      </c>
      <c r="T125" s="51">
        <f>IF(R125="A conferir",N(N125),0)</f>
        <v>0</v>
      </c>
      <c r="U125" s="51">
        <f>IF(L125="",0,L125)</f>
        <v>46248.0</v>
      </c>
      <c r="V125" s="51">
        <f>IF(L125="",0,MAX(1,N(E125)))</f>
        <v>1</v>
      </c>
      <c r="W125" s="51">
        <f>IF(K125="",0,K125)</f>
        <v>367.84</v>
      </c>
    </row>
    <row r="126">
      <c r="A126" s="49" t="n">
        <v>46218</v>
      </c>
      <c r="B126" s="41" t="inlineStr">
        <is>
          <t>Gustavo Ferreira</t>
        </is>
      </c>
      <c r="C126" s="41" t="inlineStr">
        <is>
          <t>Consulta</t>
        </is>
      </c>
      <c r="D126" s="42" t="inlineStr">
        <is>
          <t>Cartão de débito</t>
        </is>
      </c>
      <c r="E126" s="42" t="n"/>
      <c r="F126" s="50" t="n">
        <v>380</v>
      </c>
      <c r="G126" s="42" t="n">
        <v>1</v>
      </c>
      <c r="H126" s="30">
        <f>IF(D126="","",IFERROR(INDEX(Config!$B$12:$B$15,MATCH(IF(AND(D126="Cartão de crédito",N(E126)&gt;1),"Cartão de crédito parcelado",D126),Config!$A$12:$A$15,0)),0)+IF(AND(Config!$B$17="Sim",LEFT(D126,17)="Cartão de crédito"),Config!$B$18*IFERROR(INDEX(Config!$C$12:$C$15,MATCH(IF(AND(D126="Cartão de crédito",N(E126)&gt;1),"Cartão de crédito parcelado",D126),Config!$A$12:$A$15,0)),0)/30*MAX(1,N(E126)),0))</f>
        <v>0.015</v>
      </c>
      <c r="I126" s="29">
        <f>IF(OR(D126="",F126=""),"",ROUND(F126*H126,2))</f>
        <v>5.7</v>
      </c>
      <c r="J126" s="29">
        <f>IF(I126="","",F126-I126)</f>
        <v>374.3</v>
      </c>
      <c r="K126" s="29">
        <f>IF(J126="","",J126/MAX(1,N(E126)))</f>
        <v>374.3</v>
      </c>
      <c r="L126" s="37">
        <f>IF(OR(D126="",A126=""),"",A126+IF(AND(Config!$B$17="Sim",LEFT(D126,17)="Cartão de crédito"),1,IFERROR(INDEX(Config!$C$12:$C$15,MATCH(IF(AND(D126="Cartão de crédito",N(E126)&gt;1),"Cartão de crédito parcelado",D126),Config!$A$12:$A$15,0)),0)))</f>
        <v>46219.0</v>
      </c>
      <c r="M126" s="37">
        <f>IF(L126="","",IF(AND(Config!$B$17="Sim",LEFT(D126,17)="Cartão de crédito"),L126,L126+30*(MAX(1,N(E126))-1)))</f>
        <v>46219.0</v>
      </c>
      <c r="N126" s="29">
        <f>IF(OR(L126="",K126=""),"",K126*MIN(MAX(1,N(E126)),MAX(0,INT((Config!$B$8-L126)/30)+1)))</f>
        <v>374.3</v>
      </c>
      <c r="O126" s="29">
        <f>IF(J126="","",J126-N(N126))</f>
        <v>0</v>
      </c>
      <c r="P126" s="27">
        <f>IF(A126="","",MONTH(A126))</f>
        <v>7</v>
      </c>
      <c r="Q126" s="27">
        <f>IF(A126="","",YEAR(A126))</f>
        <v>2026</v>
      </c>
      <c r="R126" s="27" t="str">
        <f>IF(L126="","",IF(L126&gt;Config!$B$8,"A cair",IF(N(G126)&gt;=MIN(MAX(1,N(E126)),MAX(0,INT((Config!$B$8-L126)/30)+1)),IF(N(G126)&gt;=MAX(1,N(E126)),"Conferido","Conferido até aqui"),"A conferir")))</f>
        <v>Conferido</v>
      </c>
      <c r="S126" s="51">
        <f>IF(R126="A conferir",(Config!$B$8-L126)*1000+N(F126)/1000+ROW()/100000,0)</f>
        <v>0</v>
      </c>
      <c r="T126" s="51">
        <f>IF(R126="A conferir",N(N126),0)</f>
        <v>0</v>
      </c>
      <c r="U126" s="51">
        <f>IF(L126="",0,L126)</f>
        <v>46219.0</v>
      </c>
      <c r="V126" s="51">
        <f>IF(L126="",0,MAX(1,N(E126)))</f>
        <v>1</v>
      </c>
      <c r="W126" s="51">
        <f>IF(K126="",0,K126)</f>
        <v>374.3</v>
      </c>
    </row>
    <row r="127">
      <c r="A127" s="49" t="n">
        <v>46219</v>
      </c>
      <c r="B127" s="41" t="inlineStr">
        <is>
          <t>Otávio Cardoso</t>
        </is>
      </c>
      <c r="C127" s="41" t="inlineStr">
        <is>
          <t>Consulta</t>
        </is>
      </c>
      <c r="D127" s="42" t="inlineStr">
        <is>
          <t>Cartão de crédito</t>
        </is>
      </c>
      <c r="E127" s="42" t="n"/>
      <c r="F127" s="50" t="n">
        <v>380</v>
      </c>
      <c r="G127" s="42" t="n">
        <v>1</v>
      </c>
      <c r="H127" s="30">
        <f>IF(D127="","",IFERROR(INDEX(Config!$B$12:$B$15,MATCH(IF(AND(D127="Cartão de crédito",N(E127)&gt;1),"Cartão de crédito parcelado",D127),Config!$A$12:$A$15,0)),0)+IF(AND(Config!$B$17="Sim",LEFT(D127,17)="Cartão de crédito"),Config!$B$18*IFERROR(INDEX(Config!$C$12:$C$15,MATCH(IF(AND(D127="Cartão de crédito",N(E127)&gt;1),"Cartão de crédito parcelado",D127),Config!$A$12:$A$15,0)),0)/30*MAX(1,N(E127)),0))</f>
        <v>0.032</v>
      </c>
      <c r="I127" s="29">
        <f>IF(OR(D127="",F127=""),"",ROUND(F127*H127,2))</f>
        <v>12.16</v>
      </c>
      <c r="J127" s="29">
        <f>IF(I127="","",F127-I127)</f>
        <v>367.84</v>
      </c>
      <c r="K127" s="29">
        <f>IF(J127="","",J127/MAX(1,N(E127)))</f>
        <v>367.84</v>
      </c>
      <c r="L127" s="37">
        <f>IF(OR(D127="",A127=""),"",A127+IF(AND(Config!$B$17="Sim",LEFT(D127,17)="Cartão de crédito"),1,IFERROR(INDEX(Config!$C$12:$C$15,MATCH(IF(AND(D127="Cartão de crédito",N(E127)&gt;1),"Cartão de crédito parcelado",D127),Config!$A$12:$A$15,0)),0)))</f>
        <v>46249.0</v>
      </c>
      <c r="M127" s="37">
        <f>IF(L127="","",IF(AND(Config!$B$17="Sim",LEFT(D127,17)="Cartão de crédito"),L127,L127+30*(MAX(1,N(E127))-1)))</f>
        <v>46249.0</v>
      </c>
      <c r="N127" s="29">
        <f>IF(OR(L127="",K127=""),"",K127*MIN(MAX(1,N(E127)),MAX(0,INT((Config!$B$8-L127)/30)+1)))</f>
        <v>367.84</v>
      </c>
      <c r="O127" s="29">
        <f>IF(J127="","",J127-N(N127))</f>
        <v>0</v>
      </c>
      <c r="P127" s="27">
        <f>IF(A127="","",MONTH(A127))</f>
        <v>7</v>
      </c>
      <c r="Q127" s="27">
        <f>IF(A127="","",YEAR(A127))</f>
        <v>2026</v>
      </c>
      <c r="R127" s="27" t="str">
        <f>IF(L127="","",IF(L127&gt;Config!$B$8,"A cair",IF(N(G127)&gt;=MIN(MAX(1,N(E127)),MAX(0,INT((Config!$B$8-L127)/30)+1)),IF(N(G127)&gt;=MAX(1,N(E127)),"Conferido","Conferido até aqui"),"A conferir")))</f>
        <v>Conferido</v>
      </c>
      <c r="S127" s="51">
        <f>IF(R127="A conferir",(Config!$B$8-L127)*1000+N(F127)/1000+ROW()/100000,0)</f>
        <v>0</v>
      </c>
      <c r="T127" s="51">
        <f>IF(R127="A conferir",N(N127),0)</f>
        <v>0</v>
      </c>
      <c r="U127" s="51">
        <f>IF(L127="",0,L127)</f>
        <v>46249.0</v>
      </c>
      <c r="V127" s="51">
        <f>IF(L127="",0,MAX(1,N(E127)))</f>
        <v>1</v>
      </c>
      <c r="W127" s="51">
        <f>IF(K127="",0,K127)</f>
        <v>367.84</v>
      </c>
    </row>
    <row r="128">
      <c r="A128" s="49" t="n">
        <v>46219</v>
      </c>
      <c r="B128" s="41" t="inlineStr">
        <is>
          <t>Gisele Ribeiro</t>
        </is>
      </c>
      <c r="C128" s="41" t="inlineStr">
        <is>
          <t>Consulta</t>
        </is>
      </c>
      <c r="D128" s="42" t="inlineStr">
        <is>
          <t>Cartão de débito</t>
        </is>
      </c>
      <c r="E128" s="42" t="n"/>
      <c r="F128" s="50" t="n">
        <v>380</v>
      </c>
      <c r="G128" s="42" t="n">
        <v>1</v>
      </c>
      <c r="H128" s="30">
        <f>IF(D128="","",IFERROR(INDEX(Config!$B$12:$B$15,MATCH(IF(AND(D128="Cartão de crédito",N(E128)&gt;1),"Cartão de crédito parcelado",D128),Config!$A$12:$A$15,0)),0)+IF(AND(Config!$B$17="Sim",LEFT(D128,17)="Cartão de crédito"),Config!$B$18*IFERROR(INDEX(Config!$C$12:$C$15,MATCH(IF(AND(D128="Cartão de crédito",N(E128)&gt;1),"Cartão de crédito parcelado",D128),Config!$A$12:$A$15,0)),0)/30*MAX(1,N(E128)),0))</f>
        <v>0.015</v>
      </c>
      <c r="I128" s="29">
        <f>IF(OR(D128="",F128=""),"",ROUND(F128*H128,2))</f>
        <v>5.7</v>
      </c>
      <c r="J128" s="29">
        <f>IF(I128="","",F128-I128)</f>
        <v>374.3</v>
      </c>
      <c r="K128" s="29">
        <f>IF(J128="","",J128/MAX(1,N(E128)))</f>
        <v>374.3</v>
      </c>
      <c r="L128" s="37">
        <f>IF(OR(D128="",A128=""),"",A128+IF(AND(Config!$B$17="Sim",LEFT(D128,17)="Cartão de crédito"),1,IFERROR(INDEX(Config!$C$12:$C$15,MATCH(IF(AND(D128="Cartão de crédito",N(E128)&gt;1),"Cartão de crédito parcelado",D128),Config!$A$12:$A$15,0)),0)))</f>
        <v>46220.0</v>
      </c>
      <c r="M128" s="37">
        <f>IF(L128="","",IF(AND(Config!$B$17="Sim",LEFT(D128,17)="Cartão de crédito"),L128,L128+30*(MAX(1,N(E128))-1)))</f>
        <v>46220.0</v>
      </c>
      <c r="N128" s="29">
        <f>IF(OR(L128="",K128=""),"",K128*MIN(MAX(1,N(E128)),MAX(0,INT((Config!$B$8-L128)/30)+1)))</f>
        <v>374.3</v>
      </c>
      <c r="O128" s="29">
        <f>IF(J128="","",J128-N(N128))</f>
        <v>0</v>
      </c>
      <c r="P128" s="27">
        <f>IF(A128="","",MONTH(A128))</f>
        <v>7</v>
      </c>
      <c r="Q128" s="27">
        <f>IF(A128="","",YEAR(A128))</f>
        <v>2026</v>
      </c>
      <c r="R128" s="27" t="str">
        <f>IF(L128="","",IF(L128&gt;Config!$B$8,"A cair",IF(N(G128)&gt;=MIN(MAX(1,N(E128)),MAX(0,INT((Config!$B$8-L128)/30)+1)),IF(N(G128)&gt;=MAX(1,N(E128)),"Conferido","Conferido até aqui"),"A conferir")))</f>
        <v>Conferido</v>
      </c>
      <c r="S128" s="51">
        <f>IF(R128="A conferir",(Config!$B$8-L128)*1000+N(F128)/1000+ROW()/100000,0)</f>
        <v>0</v>
      </c>
      <c r="T128" s="51">
        <f>IF(R128="A conferir",N(N128),0)</f>
        <v>0</v>
      </c>
      <c r="U128" s="51">
        <f>IF(L128="",0,L128)</f>
        <v>46220.0</v>
      </c>
      <c r="V128" s="51">
        <f>IF(L128="",0,MAX(1,N(E128)))</f>
        <v>1</v>
      </c>
      <c r="W128" s="51">
        <f>IF(K128="",0,K128)</f>
        <v>374.3</v>
      </c>
    </row>
    <row r="129">
      <c r="A129" s="49" t="n">
        <v>46219</v>
      </c>
      <c r="B129" s="41" t="inlineStr">
        <is>
          <t>Wagner Santos</t>
        </is>
      </c>
      <c r="C129" s="41" t="inlineStr">
        <is>
          <t>Consulta</t>
        </is>
      </c>
      <c r="D129" s="42" t="inlineStr">
        <is>
          <t>Pix</t>
        </is>
      </c>
      <c r="E129" s="42" t="n"/>
      <c r="F129" s="50" t="n">
        <v>380</v>
      </c>
      <c r="G129" s="42" t="n">
        <v>1</v>
      </c>
      <c r="H129" s="30">
        <f>IF(D129="","",IFERROR(INDEX(Config!$B$12:$B$15,MATCH(IF(AND(D129="Cartão de crédito",N(E129)&gt;1),"Cartão de crédito parcelado",D129),Config!$A$12:$A$15,0)),0)+IF(AND(Config!$B$17="Sim",LEFT(D129,17)="Cartão de crédito"),Config!$B$18*IFERROR(INDEX(Config!$C$12:$C$15,MATCH(IF(AND(D129="Cartão de crédito",N(E129)&gt;1),"Cartão de crédito parcelado",D129),Config!$A$12:$A$15,0)),0)/30*MAX(1,N(E129)),0))</f>
        <v>0</v>
      </c>
      <c r="I129" s="29">
        <f>IF(OR(D129="",F129=""),"",ROUND(F129*H129,2))</f>
        <v>0</v>
      </c>
      <c r="J129" s="29">
        <f>IF(I129="","",F129-I129)</f>
        <v>380</v>
      </c>
      <c r="K129" s="29">
        <f>IF(J129="","",J129/MAX(1,N(E129)))</f>
        <v>380</v>
      </c>
      <c r="L129" s="37">
        <f>IF(OR(D129="",A129=""),"",A129+IF(AND(Config!$B$17="Sim",LEFT(D129,17)="Cartão de crédito"),1,IFERROR(INDEX(Config!$C$12:$C$15,MATCH(IF(AND(D129="Cartão de crédito",N(E129)&gt;1),"Cartão de crédito parcelado",D129),Config!$A$12:$A$15,0)),0)))</f>
        <v>46219.0</v>
      </c>
      <c r="M129" s="37">
        <f>IF(L129="","",IF(AND(Config!$B$17="Sim",LEFT(D129,17)="Cartão de crédito"),L129,L129+30*(MAX(1,N(E129))-1)))</f>
        <v>46219.0</v>
      </c>
      <c r="N129" s="29">
        <f>IF(OR(L129="",K129=""),"",K129*MIN(MAX(1,N(E129)),MAX(0,INT((Config!$B$8-L129)/30)+1)))</f>
        <v>380</v>
      </c>
      <c r="O129" s="29">
        <f>IF(J129="","",J129-N(N129))</f>
        <v>0</v>
      </c>
      <c r="P129" s="27">
        <f>IF(A129="","",MONTH(A129))</f>
        <v>7</v>
      </c>
      <c r="Q129" s="27">
        <f>IF(A129="","",YEAR(A129))</f>
        <v>2026</v>
      </c>
      <c r="R129" s="27" t="str">
        <f>IF(L129="","",IF(L129&gt;Config!$B$8,"A cair",IF(N(G129)&gt;=MIN(MAX(1,N(E129)),MAX(0,INT((Config!$B$8-L129)/30)+1)),IF(N(G129)&gt;=MAX(1,N(E129)),"Conferido","Conferido até aqui"),"A conferir")))</f>
        <v>Conferido</v>
      </c>
      <c r="S129" s="51">
        <f>IF(R129="A conferir",(Config!$B$8-L129)*1000+N(F129)/1000+ROW()/100000,0)</f>
        <v>0</v>
      </c>
      <c r="T129" s="51">
        <f>IF(R129="A conferir",N(N129),0)</f>
        <v>0</v>
      </c>
      <c r="U129" s="51">
        <f>IF(L129="",0,L129)</f>
        <v>46219.0</v>
      </c>
      <c r="V129" s="51">
        <f>IF(L129="",0,MAX(1,N(E129)))</f>
        <v>1</v>
      </c>
      <c r="W129" s="51">
        <f>IF(K129="",0,K129)</f>
        <v>380</v>
      </c>
    </row>
    <row r="130">
      <c r="A130" s="49" t="n">
        <v>46219</v>
      </c>
      <c r="B130" s="41" t="inlineStr">
        <is>
          <t>Elaine Cardoso</t>
        </is>
      </c>
      <c r="C130" s="41" t="inlineStr">
        <is>
          <t>Consulta</t>
        </is>
      </c>
      <c r="D130" s="42" t="inlineStr">
        <is>
          <t>Cartão de crédito</t>
        </is>
      </c>
      <c r="E130" s="42" t="n"/>
      <c r="F130" s="50" t="n">
        <v>380</v>
      </c>
      <c r="G130" s="42" t="n">
        <v>1</v>
      </c>
      <c r="H130" s="30">
        <f>IF(D130="","",IFERROR(INDEX(Config!$B$12:$B$15,MATCH(IF(AND(D130="Cartão de crédito",N(E130)&gt;1),"Cartão de crédito parcelado",D130),Config!$A$12:$A$15,0)),0)+IF(AND(Config!$B$17="Sim",LEFT(D130,17)="Cartão de crédito"),Config!$B$18*IFERROR(INDEX(Config!$C$12:$C$15,MATCH(IF(AND(D130="Cartão de crédito",N(E130)&gt;1),"Cartão de crédito parcelado",D130),Config!$A$12:$A$15,0)),0)/30*MAX(1,N(E130)),0))</f>
        <v>0.032</v>
      </c>
      <c r="I130" s="29">
        <f>IF(OR(D130="",F130=""),"",ROUND(F130*H130,2))</f>
        <v>12.16</v>
      </c>
      <c r="J130" s="29">
        <f>IF(I130="","",F130-I130)</f>
        <v>367.84</v>
      </c>
      <c r="K130" s="29">
        <f>IF(J130="","",J130/MAX(1,N(E130)))</f>
        <v>367.84</v>
      </c>
      <c r="L130" s="37">
        <f>IF(OR(D130="",A130=""),"",A130+IF(AND(Config!$B$17="Sim",LEFT(D130,17)="Cartão de crédito"),1,IFERROR(INDEX(Config!$C$12:$C$15,MATCH(IF(AND(D130="Cartão de crédito",N(E130)&gt;1),"Cartão de crédito parcelado",D130),Config!$A$12:$A$15,0)),0)))</f>
        <v>46249.0</v>
      </c>
      <c r="M130" s="37">
        <f>IF(L130="","",IF(AND(Config!$B$17="Sim",LEFT(D130,17)="Cartão de crédito"),L130,L130+30*(MAX(1,N(E130))-1)))</f>
        <v>46249.0</v>
      </c>
      <c r="N130" s="29">
        <f>IF(OR(L130="",K130=""),"",K130*MIN(MAX(1,N(E130)),MAX(0,INT((Config!$B$8-L130)/30)+1)))</f>
        <v>367.84</v>
      </c>
      <c r="O130" s="29">
        <f>IF(J130="","",J130-N(N130))</f>
        <v>0</v>
      </c>
      <c r="P130" s="27">
        <f>IF(A130="","",MONTH(A130))</f>
        <v>7</v>
      </c>
      <c r="Q130" s="27">
        <f>IF(A130="","",YEAR(A130))</f>
        <v>2026</v>
      </c>
      <c r="R130" s="27" t="str">
        <f>IF(L130="","",IF(L130&gt;Config!$B$8,"A cair",IF(N(G130)&gt;=MIN(MAX(1,N(E130)),MAX(0,INT((Config!$B$8-L130)/30)+1)),IF(N(G130)&gt;=MAX(1,N(E130)),"Conferido","Conferido até aqui"),"A conferir")))</f>
        <v>Conferido</v>
      </c>
      <c r="S130" s="51">
        <f>IF(R130="A conferir",(Config!$B$8-L130)*1000+N(F130)/1000+ROW()/100000,0)</f>
        <v>0</v>
      </c>
      <c r="T130" s="51">
        <f>IF(R130="A conferir",N(N130),0)</f>
        <v>0</v>
      </c>
      <c r="U130" s="51">
        <f>IF(L130="",0,L130)</f>
        <v>46249.0</v>
      </c>
      <c r="V130" s="51">
        <f>IF(L130="",0,MAX(1,N(E130)))</f>
        <v>1</v>
      </c>
      <c r="W130" s="51">
        <f>IF(K130="",0,K130)</f>
        <v>367.84</v>
      </c>
    </row>
    <row r="131">
      <c r="A131" s="49" t="n">
        <v>46219</v>
      </c>
      <c r="B131" s="41" t="inlineStr">
        <is>
          <t>Sérgio Martins</t>
        </is>
      </c>
      <c r="C131" s="41" t="inlineStr">
        <is>
          <t>ECG</t>
        </is>
      </c>
      <c r="D131" s="42" t="inlineStr">
        <is>
          <t>Cartão de débito</t>
        </is>
      </c>
      <c r="E131" s="42" t="n"/>
      <c r="F131" s="50" t="n">
        <v>130</v>
      </c>
      <c r="G131" s="42" t="n">
        <v>1</v>
      </c>
      <c r="H131" s="30">
        <f>IF(D131="","",IFERROR(INDEX(Config!$B$12:$B$15,MATCH(IF(AND(D131="Cartão de crédito",N(E131)&gt;1),"Cartão de crédito parcelado",D131),Config!$A$12:$A$15,0)),0)+IF(AND(Config!$B$17="Sim",LEFT(D131,17)="Cartão de crédito"),Config!$B$18*IFERROR(INDEX(Config!$C$12:$C$15,MATCH(IF(AND(D131="Cartão de crédito",N(E131)&gt;1),"Cartão de crédito parcelado",D131),Config!$A$12:$A$15,0)),0)/30*MAX(1,N(E131)),0))</f>
        <v>0.015</v>
      </c>
      <c r="I131" s="29">
        <f>IF(OR(D131="",F131=""),"",ROUND(F131*H131,2))</f>
        <v>1.95</v>
      </c>
      <c r="J131" s="29">
        <f>IF(I131="","",F131-I131)</f>
        <v>128.05</v>
      </c>
      <c r="K131" s="29">
        <f>IF(J131="","",J131/MAX(1,N(E131)))</f>
        <v>128.05</v>
      </c>
      <c r="L131" s="37">
        <f>IF(OR(D131="",A131=""),"",A131+IF(AND(Config!$B$17="Sim",LEFT(D131,17)="Cartão de crédito"),1,IFERROR(INDEX(Config!$C$12:$C$15,MATCH(IF(AND(D131="Cartão de crédito",N(E131)&gt;1),"Cartão de crédito parcelado",D131),Config!$A$12:$A$15,0)),0)))</f>
        <v>46220.0</v>
      </c>
      <c r="M131" s="37">
        <f>IF(L131="","",IF(AND(Config!$B$17="Sim",LEFT(D131,17)="Cartão de crédito"),L131,L131+30*(MAX(1,N(E131))-1)))</f>
        <v>46220.0</v>
      </c>
      <c r="N131" s="29">
        <f>IF(OR(L131="",K131=""),"",K131*MIN(MAX(1,N(E131)),MAX(0,INT((Config!$B$8-L131)/30)+1)))</f>
        <v>128.05</v>
      </c>
      <c r="O131" s="29">
        <f>IF(J131="","",J131-N(N131))</f>
        <v>0</v>
      </c>
      <c r="P131" s="27">
        <f>IF(A131="","",MONTH(A131))</f>
        <v>7</v>
      </c>
      <c r="Q131" s="27">
        <f>IF(A131="","",YEAR(A131))</f>
        <v>2026</v>
      </c>
      <c r="R131" s="27" t="str">
        <f>IF(L131="","",IF(L131&gt;Config!$B$8,"A cair",IF(N(G131)&gt;=MIN(MAX(1,N(E131)),MAX(0,INT((Config!$B$8-L131)/30)+1)),IF(N(G131)&gt;=MAX(1,N(E131)),"Conferido","Conferido até aqui"),"A conferir")))</f>
        <v>Conferido</v>
      </c>
      <c r="S131" s="51">
        <f>IF(R131="A conferir",(Config!$B$8-L131)*1000+N(F131)/1000+ROW()/100000,0)</f>
        <v>0</v>
      </c>
      <c r="T131" s="51">
        <f>IF(R131="A conferir",N(N131),0)</f>
        <v>0</v>
      </c>
      <c r="U131" s="51">
        <f>IF(L131="",0,L131)</f>
        <v>46220.0</v>
      </c>
      <c r="V131" s="51">
        <f>IF(L131="",0,MAX(1,N(E131)))</f>
        <v>1</v>
      </c>
      <c r="W131" s="51">
        <f>IF(K131="",0,K131)</f>
        <v>128.05</v>
      </c>
    </row>
    <row r="132">
      <c r="A132" s="49" t="n">
        <v>46219</v>
      </c>
      <c r="B132" s="41" t="inlineStr">
        <is>
          <t>Gisele Xavier</t>
        </is>
      </c>
      <c r="C132" s="41" t="inlineStr">
        <is>
          <t>ECG</t>
        </is>
      </c>
      <c r="D132" s="42" t="inlineStr">
        <is>
          <t>Pix</t>
        </is>
      </c>
      <c r="E132" s="42" t="n"/>
      <c r="F132" s="50" t="n">
        <v>130</v>
      </c>
      <c r="G132" s="42" t="n">
        <v>1</v>
      </c>
      <c r="H132" s="30">
        <f>IF(D132="","",IFERROR(INDEX(Config!$B$12:$B$15,MATCH(IF(AND(D132="Cartão de crédito",N(E132)&gt;1),"Cartão de crédito parcelado",D132),Config!$A$12:$A$15,0)),0)+IF(AND(Config!$B$17="Sim",LEFT(D132,17)="Cartão de crédito"),Config!$B$18*IFERROR(INDEX(Config!$C$12:$C$15,MATCH(IF(AND(D132="Cartão de crédito",N(E132)&gt;1),"Cartão de crédito parcelado",D132),Config!$A$12:$A$15,0)),0)/30*MAX(1,N(E132)),0))</f>
        <v>0</v>
      </c>
      <c r="I132" s="29">
        <f>IF(OR(D132="",F132=""),"",ROUND(F132*H132,2))</f>
        <v>0</v>
      </c>
      <c r="J132" s="29">
        <f>IF(I132="","",F132-I132)</f>
        <v>130</v>
      </c>
      <c r="K132" s="29">
        <f>IF(J132="","",J132/MAX(1,N(E132)))</f>
        <v>130</v>
      </c>
      <c r="L132" s="37">
        <f>IF(OR(D132="",A132=""),"",A132+IF(AND(Config!$B$17="Sim",LEFT(D132,17)="Cartão de crédito"),1,IFERROR(INDEX(Config!$C$12:$C$15,MATCH(IF(AND(D132="Cartão de crédito",N(E132)&gt;1),"Cartão de crédito parcelado",D132),Config!$A$12:$A$15,0)),0)))</f>
        <v>46219.0</v>
      </c>
      <c r="M132" s="37">
        <f>IF(L132="","",IF(AND(Config!$B$17="Sim",LEFT(D132,17)="Cartão de crédito"),L132,L132+30*(MAX(1,N(E132))-1)))</f>
        <v>46219.0</v>
      </c>
      <c r="N132" s="29">
        <f>IF(OR(L132="",K132=""),"",K132*MIN(MAX(1,N(E132)),MAX(0,INT((Config!$B$8-L132)/30)+1)))</f>
        <v>130</v>
      </c>
      <c r="O132" s="29">
        <f>IF(J132="","",J132-N(N132))</f>
        <v>0</v>
      </c>
      <c r="P132" s="27">
        <f>IF(A132="","",MONTH(A132))</f>
        <v>7</v>
      </c>
      <c r="Q132" s="27">
        <f>IF(A132="","",YEAR(A132))</f>
        <v>2026</v>
      </c>
      <c r="R132" s="27" t="str">
        <f>IF(L132="","",IF(L132&gt;Config!$B$8,"A cair",IF(N(G132)&gt;=MIN(MAX(1,N(E132)),MAX(0,INT((Config!$B$8-L132)/30)+1)),IF(N(G132)&gt;=MAX(1,N(E132)),"Conferido","Conferido até aqui"),"A conferir")))</f>
        <v>Conferido</v>
      </c>
      <c r="S132" s="51">
        <f>IF(R132="A conferir",(Config!$B$8-L132)*1000+N(F132)/1000+ROW()/100000,0)</f>
        <v>0</v>
      </c>
      <c r="T132" s="51">
        <f>IF(R132="A conferir",N(N132),0)</f>
        <v>0</v>
      </c>
      <c r="U132" s="51">
        <f>IF(L132="",0,L132)</f>
        <v>46219.0</v>
      </c>
      <c r="V132" s="51">
        <f>IF(L132="",0,MAX(1,N(E132)))</f>
        <v>1</v>
      </c>
      <c r="W132" s="51">
        <f>IF(K132="",0,K132)</f>
        <v>130</v>
      </c>
    </row>
    <row r="133">
      <c r="A133" s="49" t="n">
        <v>46219</v>
      </c>
      <c r="B133" s="41" t="inlineStr">
        <is>
          <t>Márcia Duarte</t>
        </is>
      </c>
      <c r="C133" s="41" t="inlineStr">
        <is>
          <t>Avaliação endócrina</t>
        </is>
      </c>
      <c r="D133" s="42" t="inlineStr">
        <is>
          <t>Cartão de crédito</t>
        </is>
      </c>
      <c r="E133" s="42" t="n"/>
      <c r="F133" s="50" t="n">
        <v>400</v>
      </c>
      <c r="G133" s="42" t="n">
        <v>1</v>
      </c>
      <c r="H133" s="30">
        <f>IF(D133="","",IFERROR(INDEX(Config!$B$12:$B$15,MATCH(IF(AND(D133="Cartão de crédito",N(E133)&gt;1),"Cartão de crédito parcelado",D133),Config!$A$12:$A$15,0)),0)+IF(AND(Config!$B$17="Sim",LEFT(D133,17)="Cartão de crédito"),Config!$B$18*IFERROR(INDEX(Config!$C$12:$C$15,MATCH(IF(AND(D133="Cartão de crédito",N(E133)&gt;1),"Cartão de crédito parcelado",D133),Config!$A$12:$A$15,0)),0)/30*MAX(1,N(E133)),0))</f>
        <v>0.032</v>
      </c>
      <c r="I133" s="29">
        <f>IF(OR(D133="",F133=""),"",ROUND(F133*H133,2))</f>
        <v>12.8</v>
      </c>
      <c r="J133" s="29">
        <f>IF(I133="","",F133-I133)</f>
        <v>387.2</v>
      </c>
      <c r="K133" s="29">
        <f>IF(J133="","",J133/MAX(1,N(E133)))</f>
        <v>387.2</v>
      </c>
      <c r="L133" s="37">
        <f>IF(OR(D133="",A133=""),"",A133+IF(AND(Config!$B$17="Sim",LEFT(D133,17)="Cartão de crédito"),1,IFERROR(INDEX(Config!$C$12:$C$15,MATCH(IF(AND(D133="Cartão de crédito",N(E133)&gt;1),"Cartão de crédito parcelado",D133),Config!$A$12:$A$15,0)),0)))</f>
        <v>46249.0</v>
      </c>
      <c r="M133" s="37">
        <f>IF(L133="","",IF(AND(Config!$B$17="Sim",LEFT(D133,17)="Cartão de crédito"),L133,L133+30*(MAX(1,N(E133))-1)))</f>
        <v>46249.0</v>
      </c>
      <c r="N133" s="29">
        <f>IF(OR(L133="",K133=""),"",K133*MIN(MAX(1,N(E133)),MAX(0,INT((Config!$B$8-L133)/30)+1)))</f>
        <v>387.2</v>
      </c>
      <c r="O133" s="29">
        <f>IF(J133="","",J133-N(N133))</f>
        <v>0</v>
      </c>
      <c r="P133" s="27">
        <f>IF(A133="","",MONTH(A133))</f>
        <v>7</v>
      </c>
      <c r="Q133" s="27">
        <f>IF(A133="","",YEAR(A133))</f>
        <v>2026</v>
      </c>
      <c r="R133" s="27" t="str">
        <f>IF(L133="","",IF(L133&gt;Config!$B$8,"A cair",IF(N(G133)&gt;=MIN(MAX(1,N(E133)),MAX(0,INT((Config!$B$8-L133)/30)+1)),IF(N(G133)&gt;=MAX(1,N(E133)),"Conferido","Conferido até aqui"),"A conferir")))</f>
        <v>Conferido</v>
      </c>
      <c r="S133" s="51">
        <f>IF(R133="A conferir",(Config!$B$8-L133)*1000+N(F133)/1000+ROW()/100000,0)</f>
        <v>0</v>
      </c>
      <c r="T133" s="51">
        <f>IF(R133="A conferir",N(N133),0)</f>
        <v>0</v>
      </c>
      <c r="U133" s="51">
        <f>IF(L133="",0,L133)</f>
        <v>46249.0</v>
      </c>
      <c r="V133" s="51">
        <f>IF(L133="",0,MAX(1,N(E133)))</f>
        <v>1</v>
      </c>
      <c r="W133" s="51">
        <f>IF(K133="",0,K133)</f>
        <v>387.2</v>
      </c>
    </row>
    <row r="134">
      <c r="A134" s="49" t="n">
        <v>46220</v>
      </c>
      <c r="B134" s="41" t="inlineStr">
        <is>
          <t>Lucas Cardoso</t>
        </is>
      </c>
      <c r="C134" s="41" t="inlineStr">
        <is>
          <t>Consulta</t>
        </is>
      </c>
      <c r="D134" s="42" t="inlineStr">
        <is>
          <t>Cartão de crédito</t>
        </is>
      </c>
      <c r="E134" s="42" t="n"/>
      <c r="F134" s="50" t="n">
        <v>380</v>
      </c>
      <c r="G134" s="42" t="n">
        <v>1</v>
      </c>
      <c r="H134" s="30">
        <f>IF(D134="","",IFERROR(INDEX(Config!$B$12:$B$15,MATCH(IF(AND(D134="Cartão de crédito",N(E134)&gt;1),"Cartão de crédito parcelado",D134),Config!$A$12:$A$15,0)),0)+IF(AND(Config!$B$17="Sim",LEFT(D134,17)="Cartão de crédito"),Config!$B$18*IFERROR(INDEX(Config!$C$12:$C$15,MATCH(IF(AND(D134="Cartão de crédito",N(E134)&gt;1),"Cartão de crédito parcelado",D134),Config!$A$12:$A$15,0)),0)/30*MAX(1,N(E134)),0))</f>
        <v>0.032</v>
      </c>
      <c r="I134" s="29">
        <f>IF(OR(D134="",F134=""),"",ROUND(F134*H134,2))</f>
        <v>12.16</v>
      </c>
      <c r="J134" s="29">
        <f>IF(I134="","",F134-I134)</f>
        <v>367.84</v>
      </c>
      <c r="K134" s="29">
        <f>IF(J134="","",J134/MAX(1,N(E134)))</f>
        <v>367.84</v>
      </c>
      <c r="L134" s="37">
        <f>IF(OR(D134="",A134=""),"",A134+IF(AND(Config!$B$17="Sim",LEFT(D134,17)="Cartão de crédito"),1,IFERROR(INDEX(Config!$C$12:$C$15,MATCH(IF(AND(D134="Cartão de crédito",N(E134)&gt;1),"Cartão de crédito parcelado",D134),Config!$A$12:$A$15,0)),0)))</f>
        <v>46250.0</v>
      </c>
      <c r="M134" s="37">
        <f>IF(L134="","",IF(AND(Config!$B$17="Sim",LEFT(D134,17)="Cartão de crédito"),L134,L134+30*(MAX(1,N(E134))-1)))</f>
        <v>46250.0</v>
      </c>
      <c r="N134" s="29">
        <f>IF(OR(L134="",K134=""),"",K134*MIN(MAX(1,N(E134)),MAX(0,INT((Config!$B$8-L134)/30)+1)))</f>
        <v>367.84</v>
      </c>
      <c r="O134" s="29">
        <f>IF(J134="","",J134-N(N134))</f>
        <v>0</v>
      </c>
      <c r="P134" s="27">
        <f>IF(A134="","",MONTH(A134))</f>
        <v>7</v>
      </c>
      <c r="Q134" s="27">
        <f>IF(A134="","",YEAR(A134))</f>
        <v>2026</v>
      </c>
      <c r="R134" s="27" t="str">
        <f>IF(L134="","",IF(L134&gt;Config!$B$8,"A cair",IF(N(G134)&gt;=MIN(MAX(1,N(E134)),MAX(0,INT((Config!$B$8-L134)/30)+1)),IF(N(G134)&gt;=MAX(1,N(E134)),"Conferido","Conferido até aqui"),"A conferir")))</f>
        <v>Conferido</v>
      </c>
      <c r="S134" s="51">
        <f>IF(R134="A conferir",(Config!$B$8-L134)*1000+N(F134)/1000+ROW()/100000,0)</f>
        <v>0</v>
      </c>
      <c r="T134" s="51">
        <f>IF(R134="A conferir",N(N134),0)</f>
        <v>0</v>
      </c>
      <c r="U134" s="51">
        <f>IF(L134="",0,L134)</f>
        <v>46250.0</v>
      </c>
      <c r="V134" s="51">
        <f>IF(L134="",0,MAX(1,N(E134)))</f>
        <v>1</v>
      </c>
      <c r="W134" s="51">
        <f>IF(K134="",0,K134)</f>
        <v>367.84</v>
      </c>
    </row>
    <row r="135">
      <c r="A135" s="49" t="n">
        <v>46223</v>
      </c>
      <c r="B135" s="41" t="inlineStr">
        <is>
          <t>Marcelo Moreira</t>
        </is>
      </c>
      <c r="C135" s="41" t="inlineStr">
        <is>
          <t>Consulta</t>
        </is>
      </c>
      <c r="D135" s="42" t="inlineStr">
        <is>
          <t>Cartão de débito</t>
        </is>
      </c>
      <c r="E135" s="42" t="n"/>
      <c r="F135" s="50" t="n">
        <v>380</v>
      </c>
      <c r="G135" s="42" t="n">
        <v>1</v>
      </c>
      <c r="H135" s="30">
        <f>IF(D135="","",IFERROR(INDEX(Config!$B$12:$B$15,MATCH(IF(AND(D135="Cartão de crédito",N(E135)&gt;1),"Cartão de crédito parcelado",D135),Config!$A$12:$A$15,0)),0)+IF(AND(Config!$B$17="Sim",LEFT(D135,17)="Cartão de crédito"),Config!$B$18*IFERROR(INDEX(Config!$C$12:$C$15,MATCH(IF(AND(D135="Cartão de crédito",N(E135)&gt;1),"Cartão de crédito parcelado",D135),Config!$A$12:$A$15,0)),0)/30*MAX(1,N(E135)),0))</f>
        <v>0.015</v>
      </c>
      <c r="I135" s="29">
        <f>IF(OR(D135="",F135=""),"",ROUND(F135*H135,2))</f>
        <v>5.7</v>
      </c>
      <c r="J135" s="29">
        <f>IF(I135="","",F135-I135)</f>
        <v>374.3</v>
      </c>
      <c r="K135" s="29">
        <f>IF(J135="","",J135/MAX(1,N(E135)))</f>
        <v>374.3</v>
      </c>
      <c r="L135" s="37">
        <f>IF(OR(D135="",A135=""),"",A135+IF(AND(Config!$B$17="Sim",LEFT(D135,17)="Cartão de crédito"),1,IFERROR(INDEX(Config!$C$12:$C$15,MATCH(IF(AND(D135="Cartão de crédito",N(E135)&gt;1),"Cartão de crédito parcelado",D135),Config!$A$12:$A$15,0)),0)))</f>
        <v>46224.0</v>
      </c>
      <c r="M135" s="37">
        <f>IF(L135="","",IF(AND(Config!$B$17="Sim",LEFT(D135,17)="Cartão de crédito"),L135,L135+30*(MAX(1,N(E135))-1)))</f>
        <v>46224.0</v>
      </c>
      <c r="N135" s="29">
        <f>IF(OR(L135="",K135=""),"",K135*MIN(MAX(1,N(E135)),MAX(0,INT((Config!$B$8-L135)/30)+1)))</f>
        <v>374.3</v>
      </c>
      <c r="O135" s="29">
        <f>IF(J135="","",J135-N(N135))</f>
        <v>0</v>
      </c>
      <c r="P135" s="27">
        <f>IF(A135="","",MONTH(A135))</f>
        <v>7</v>
      </c>
      <c r="Q135" s="27">
        <f>IF(A135="","",YEAR(A135))</f>
        <v>2026</v>
      </c>
      <c r="R135" s="27" t="str">
        <f>IF(L135="","",IF(L135&gt;Config!$B$8,"A cair",IF(N(G135)&gt;=MIN(MAX(1,N(E135)),MAX(0,INT((Config!$B$8-L135)/30)+1)),IF(N(G135)&gt;=MAX(1,N(E135)),"Conferido","Conferido até aqui"),"A conferir")))</f>
        <v>Conferido</v>
      </c>
      <c r="S135" s="51">
        <f>IF(R135="A conferir",(Config!$B$8-L135)*1000+N(F135)/1000+ROW()/100000,0)</f>
        <v>0</v>
      </c>
      <c r="T135" s="51">
        <f>IF(R135="A conferir",N(N135),0)</f>
        <v>0</v>
      </c>
      <c r="U135" s="51">
        <f>IF(L135="",0,L135)</f>
        <v>46224.0</v>
      </c>
      <c r="V135" s="51">
        <f>IF(L135="",0,MAX(1,N(E135)))</f>
        <v>1</v>
      </c>
      <c r="W135" s="51">
        <f>IF(K135="",0,K135)</f>
        <v>374.3</v>
      </c>
    </row>
    <row r="136">
      <c r="A136" s="49" t="n">
        <v>46223</v>
      </c>
      <c r="B136" s="41" t="inlineStr">
        <is>
          <t>Eduardo Lima</t>
        </is>
      </c>
      <c r="C136" s="41" t="inlineStr">
        <is>
          <t>Consulta</t>
        </is>
      </c>
      <c r="D136" s="42" t="inlineStr">
        <is>
          <t>Cartão de crédito</t>
        </is>
      </c>
      <c r="E136" s="42" t="n"/>
      <c r="F136" s="50" t="n">
        <v>380</v>
      </c>
      <c r="G136" s="42" t="n">
        <v>1</v>
      </c>
      <c r="H136" s="30">
        <f>IF(D136="","",IFERROR(INDEX(Config!$B$12:$B$15,MATCH(IF(AND(D136="Cartão de crédito",N(E136)&gt;1),"Cartão de crédito parcelado",D136),Config!$A$12:$A$15,0)),0)+IF(AND(Config!$B$17="Sim",LEFT(D136,17)="Cartão de crédito"),Config!$B$18*IFERROR(INDEX(Config!$C$12:$C$15,MATCH(IF(AND(D136="Cartão de crédito",N(E136)&gt;1),"Cartão de crédito parcelado",D136),Config!$A$12:$A$15,0)),0)/30*MAX(1,N(E136)),0))</f>
        <v>0.032</v>
      </c>
      <c r="I136" s="29">
        <f>IF(OR(D136="",F136=""),"",ROUND(F136*H136,2))</f>
        <v>12.16</v>
      </c>
      <c r="J136" s="29">
        <f>IF(I136="","",F136-I136)</f>
        <v>367.84</v>
      </c>
      <c r="K136" s="29">
        <f>IF(J136="","",J136/MAX(1,N(E136)))</f>
        <v>367.84</v>
      </c>
      <c r="L136" s="37">
        <f>IF(OR(D136="",A136=""),"",A136+IF(AND(Config!$B$17="Sim",LEFT(D136,17)="Cartão de crédito"),1,IFERROR(INDEX(Config!$C$12:$C$15,MATCH(IF(AND(D136="Cartão de crédito",N(E136)&gt;1),"Cartão de crédito parcelado",D136),Config!$A$12:$A$15,0)),0)))</f>
        <v>46253.0</v>
      </c>
      <c r="M136" s="37">
        <f>IF(L136="","",IF(AND(Config!$B$17="Sim",LEFT(D136,17)="Cartão de crédito"),L136,L136+30*(MAX(1,N(E136))-1)))</f>
        <v>46253.0</v>
      </c>
      <c r="N136" s="29">
        <f>IF(OR(L136="",K136=""),"",K136*MIN(MAX(1,N(E136)),MAX(0,INT((Config!$B$8-L136)/30)+1)))</f>
        <v>367.84</v>
      </c>
      <c r="O136" s="29">
        <f>IF(J136="","",J136-N(N136))</f>
        <v>0</v>
      </c>
      <c r="P136" s="27">
        <f>IF(A136="","",MONTH(A136))</f>
        <v>7</v>
      </c>
      <c r="Q136" s="27">
        <f>IF(A136="","",YEAR(A136))</f>
        <v>2026</v>
      </c>
      <c r="R136" s="27" t="str">
        <f>IF(L136="","",IF(L136&gt;Config!$B$8,"A cair",IF(N(G136)&gt;=MIN(MAX(1,N(E136)),MAX(0,INT((Config!$B$8-L136)/30)+1)),IF(N(G136)&gt;=MAX(1,N(E136)),"Conferido","Conferido até aqui"),"A conferir")))</f>
        <v>Conferido</v>
      </c>
      <c r="S136" s="51">
        <f>IF(R136="A conferir",(Config!$B$8-L136)*1000+N(F136)/1000+ROW()/100000,0)</f>
        <v>0</v>
      </c>
      <c r="T136" s="51">
        <f>IF(R136="A conferir",N(N136),0)</f>
        <v>0</v>
      </c>
      <c r="U136" s="51">
        <f>IF(L136="",0,L136)</f>
        <v>46253.0</v>
      </c>
      <c r="V136" s="51">
        <f>IF(L136="",0,MAX(1,N(E136)))</f>
        <v>1</v>
      </c>
      <c r="W136" s="51">
        <f>IF(K136="",0,K136)</f>
        <v>367.84</v>
      </c>
    </row>
    <row r="137">
      <c r="A137" s="49" t="n">
        <v>46223</v>
      </c>
      <c r="B137" s="41" t="inlineStr">
        <is>
          <t>Rafael Dias</t>
        </is>
      </c>
      <c r="C137" s="41" t="inlineStr">
        <is>
          <t>Consulta</t>
        </is>
      </c>
      <c r="D137" s="42" t="inlineStr">
        <is>
          <t>Pix</t>
        </is>
      </c>
      <c r="E137" s="42" t="n"/>
      <c r="F137" s="50" t="n">
        <v>380</v>
      </c>
      <c r="G137" s="42" t="n">
        <v>1</v>
      </c>
      <c r="H137" s="30">
        <f>IF(D137="","",IFERROR(INDEX(Config!$B$12:$B$15,MATCH(IF(AND(D137="Cartão de crédito",N(E137)&gt;1),"Cartão de crédito parcelado",D137),Config!$A$12:$A$15,0)),0)+IF(AND(Config!$B$17="Sim",LEFT(D137,17)="Cartão de crédito"),Config!$B$18*IFERROR(INDEX(Config!$C$12:$C$15,MATCH(IF(AND(D137="Cartão de crédito",N(E137)&gt;1),"Cartão de crédito parcelado",D137),Config!$A$12:$A$15,0)),0)/30*MAX(1,N(E137)),0))</f>
        <v>0</v>
      </c>
      <c r="I137" s="29">
        <f>IF(OR(D137="",F137=""),"",ROUND(F137*H137,2))</f>
        <v>0</v>
      </c>
      <c r="J137" s="29">
        <f>IF(I137="","",F137-I137)</f>
        <v>380</v>
      </c>
      <c r="K137" s="29">
        <f>IF(J137="","",J137/MAX(1,N(E137)))</f>
        <v>380</v>
      </c>
      <c r="L137" s="37">
        <f>IF(OR(D137="",A137=""),"",A137+IF(AND(Config!$B$17="Sim",LEFT(D137,17)="Cartão de crédito"),1,IFERROR(INDEX(Config!$C$12:$C$15,MATCH(IF(AND(D137="Cartão de crédito",N(E137)&gt;1),"Cartão de crédito parcelado",D137),Config!$A$12:$A$15,0)),0)))</f>
        <v>46223.0</v>
      </c>
      <c r="M137" s="37">
        <f>IF(L137="","",IF(AND(Config!$B$17="Sim",LEFT(D137,17)="Cartão de crédito"),L137,L137+30*(MAX(1,N(E137))-1)))</f>
        <v>46223.0</v>
      </c>
      <c r="N137" s="29">
        <f>IF(OR(L137="",K137=""),"",K137*MIN(MAX(1,N(E137)),MAX(0,INT((Config!$B$8-L137)/30)+1)))</f>
        <v>380</v>
      </c>
      <c r="O137" s="29">
        <f>IF(J137="","",J137-N(N137))</f>
        <v>0</v>
      </c>
      <c r="P137" s="27">
        <f>IF(A137="","",MONTH(A137))</f>
        <v>7</v>
      </c>
      <c r="Q137" s="27">
        <f>IF(A137="","",YEAR(A137))</f>
        <v>2026</v>
      </c>
      <c r="R137" s="27" t="str">
        <f>IF(L137="","",IF(L137&gt;Config!$B$8,"A cair",IF(N(G137)&gt;=MIN(MAX(1,N(E137)),MAX(0,INT((Config!$B$8-L137)/30)+1)),IF(N(G137)&gt;=MAX(1,N(E137)),"Conferido","Conferido até aqui"),"A conferir")))</f>
        <v>Conferido</v>
      </c>
      <c r="S137" s="51">
        <f>IF(R137="A conferir",(Config!$B$8-L137)*1000+N(F137)/1000+ROW()/100000,0)</f>
        <v>0</v>
      </c>
      <c r="T137" s="51">
        <f>IF(R137="A conferir",N(N137),0)</f>
        <v>0</v>
      </c>
      <c r="U137" s="51">
        <f>IF(L137="",0,L137)</f>
        <v>46223.0</v>
      </c>
      <c r="V137" s="51">
        <f>IF(L137="",0,MAX(1,N(E137)))</f>
        <v>1</v>
      </c>
      <c r="W137" s="51">
        <f>IF(K137="",0,K137)</f>
        <v>380</v>
      </c>
    </row>
    <row r="138">
      <c r="A138" s="49" t="n">
        <v>46223</v>
      </c>
      <c r="B138" s="41" t="inlineStr">
        <is>
          <t>Débora Ramos</t>
        </is>
      </c>
      <c r="C138" s="41" t="inlineStr">
        <is>
          <t>Teste ergométrico</t>
        </is>
      </c>
      <c r="D138" s="42" t="inlineStr">
        <is>
          <t>Pix</t>
        </is>
      </c>
      <c r="E138" s="42" t="n"/>
      <c r="F138" s="50" t="n">
        <v>450</v>
      </c>
      <c r="G138" s="42" t="n">
        <v>1</v>
      </c>
      <c r="H138" s="30">
        <f>IF(D138="","",IFERROR(INDEX(Config!$B$12:$B$15,MATCH(IF(AND(D138="Cartão de crédito",N(E138)&gt;1),"Cartão de crédito parcelado",D138),Config!$A$12:$A$15,0)),0)+IF(AND(Config!$B$17="Sim",LEFT(D138,17)="Cartão de crédito"),Config!$B$18*IFERROR(INDEX(Config!$C$12:$C$15,MATCH(IF(AND(D138="Cartão de crédito",N(E138)&gt;1),"Cartão de crédito parcelado",D138),Config!$A$12:$A$15,0)),0)/30*MAX(1,N(E138)),0))</f>
        <v>0</v>
      </c>
      <c r="I138" s="29">
        <f>IF(OR(D138="",F138=""),"",ROUND(F138*H138,2))</f>
        <v>0</v>
      </c>
      <c r="J138" s="29">
        <f>IF(I138="","",F138-I138)</f>
        <v>450</v>
      </c>
      <c r="K138" s="29">
        <f>IF(J138="","",J138/MAX(1,N(E138)))</f>
        <v>450</v>
      </c>
      <c r="L138" s="37">
        <f>IF(OR(D138="",A138=""),"",A138+IF(AND(Config!$B$17="Sim",LEFT(D138,17)="Cartão de crédito"),1,IFERROR(INDEX(Config!$C$12:$C$15,MATCH(IF(AND(D138="Cartão de crédito",N(E138)&gt;1),"Cartão de crédito parcelado",D138),Config!$A$12:$A$15,0)),0)))</f>
        <v>46223.0</v>
      </c>
      <c r="M138" s="37">
        <f>IF(L138="","",IF(AND(Config!$B$17="Sim",LEFT(D138,17)="Cartão de crédito"),L138,L138+30*(MAX(1,N(E138))-1)))</f>
        <v>46223.0</v>
      </c>
      <c r="N138" s="29">
        <f>IF(OR(L138="",K138=""),"",K138*MIN(MAX(1,N(E138)),MAX(0,INT((Config!$B$8-L138)/30)+1)))</f>
        <v>450</v>
      </c>
      <c r="O138" s="29">
        <f>IF(J138="","",J138-N(N138))</f>
        <v>0</v>
      </c>
      <c r="P138" s="27">
        <f>IF(A138="","",MONTH(A138))</f>
        <v>7</v>
      </c>
      <c r="Q138" s="27">
        <f>IF(A138="","",YEAR(A138))</f>
        <v>2026</v>
      </c>
      <c r="R138" s="27" t="str">
        <f>IF(L138="","",IF(L138&gt;Config!$B$8,"A cair",IF(N(G138)&gt;=MIN(MAX(1,N(E138)),MAX(0,INT((Config!$B$8-L138)/30)+1)),IF(N(G138)&gt;=MAX(1,N(E138)),"Conferido","Conferido até aqui"),"A conferir")))</f>
        <v>Conferido</v>
      </c>
      <c r="S138" s="51">
        <f>IF(R138="A conferir",(Config!$B$8-L138)*1000+N(F138)/1000+ROW()/100000,0)</f>
        <v>0</v>
      </c>
      <c r="T138" s="51">
        <f>IF(R138="A conferir",N(N138),0)</f>
        <v>0</v>
      </c>
      <c r="U138" s="51">
        <f>IF(L138="",0,L138)</f>
        <v>46223.0</v>
      </c>
      <c r="V138" s="51">
        <f>IF(L138="",0,MAX(1,N(E138)))</f>
        <v>1</v>
      </c>
      <c r="W138" s="51">
        <f>IF(K138="",0,K138)</f>
        <v>450</v>
      </c>
    </row>
    <row r="139">
      <c r="A139" s="49" t="n">
        <v>46223</v>
      </c>
      <c r="B139" s="41" t="inlineStr">
        <is>
          <t>Fábio Correia</t>
        </is>
      </c>
      <c r="C139" s="41" t="inlineStr">
        <is>
          <t>Consulta</t>
        </is>
      </c>
      <c r="D139" s="42" t="inlineStr">
        <is>
          <t>Cartão de crédito</t>
        </is>
      </c>
      <c r="E139" s="42" t="n"/>
      <c r="F139" s="50" t="n">
        <v>380</v>
      </c>
      <c r="G139" s="42" t="n">
        <v>1</v>
      </c>
      <c r="H139" s="30">
        <f>IF(D139="","",IFERROR(INDEX(Config!$B$12:$B$15,MATCH(IF(AND(D139="Cartão de crédito",N(E139)&gt;1),"Cartão de crédito parcelado",D139),Config!$A$12:$A$15,0)),0)+IF(AND(Config!$B$17="Sim",LEFT(D139,17)="Cartão de crédito"),Config!$B$18*IFERROR(INDEX(Config!$C$12:$C$15,MATCH(IF(AND(D139="Cartão de crédito",N(E139)&gt;1),"Cartão de crédito parcelado",D139),Config!$A$12:$A$15,0)),0)/30*MAX(1,N(E139)),0))</f>
        <v>0.032</v>
      </c>
      <c r="I139" s="29">
        <f>IF(OR(D139="",F139=""),"",ROUND(F139*H139,2))</f>
        <v>12.16</v>
      </c>
      <c r="J139" s="29">
        <f>IF(I139="","",F139-I139)</f>
        <v>367.84</v>
      </c>
      <c r="K139" s="29">
        <f>IF(J139="","",J139/MAX(1,N(E139)))</f>
        <v>367.84</v>
      </c>
      <c r="L139" s="37">
        <f>IF(OR(D139="",A139=""),"",A139+IF(AND(Config!$B$17="Sim",LEFT(D139,17)="Cartão de crédito"),1,IFERROR(INDEX(Config!$C$12:$C$15,MATCH(IF(AND(D139="Cartão de crédito",N(E139)&gt;1),"Cartão de crédito parcelado",D139),Config!$A$12:$A$15,0)),0)))</f>
        <v>46253.0</v>
      </c>
      <c r="M139" s="37">
        <f>IF(L139="","",IF(AND(Config!$B$17="Sim",LEFT(D139,17)="Cartão de crédito"),L139,L139+30*(MAX(1,N(E139))-1)))</f>
        <v>46253.0</v>
      </c>
      <c r="N139" s="29">
        <f>IF(OR(L139="",K139=""),"",K139*MIN(MAX(1,N(E139)),MAX(0,INT((Config!$B$8-L139)/30)+1)))</f>
        <v>367.84</v>
      </c>
      <c r="O139" s="29">
        <f>IF(J139="","",J139-N(N139))</f>
        <v>0</v>
      </c>
      <c r="P139" s="27">
        <f>IF(A139="","",MONTH(A139))</f>
        <v>7</v>
      </c>
      <c r="Q139" s="27">
        <f>IF(A139="","",YEAR(A139))</f>
        <v>2026</v>
      </c>
      <c r="R139" s="27" t="str">
        <f>IF(L139="","",IF(L139&gt;Config!$B$8,"A cair",IF(N(G139)&gt;=MIN(MAX(1,N(E139)),MAX(0,INT((Config!$B$8-L139)/30)+1)),IF(N(G139)&gt;=MAX(1,N(E139)),"Conferido","Conferido até aqui"),"A conferir")))</f>
        <v>Conferido</v>
      </c>
      <c r="S139" s="51">
        <f>IF(R139="A conferir",(Config!$B$8-L139)*1000+N(F139)/1000+ROW()/100000,0)</f>
        <v>0</v>
      </c>
      <c r="T139" s="51">
        <f>IF(R139="A conferir",N(N139),0)</f>
        <v>0</v>
      </c>
      <c r="U139" s="51">
        <f>IF(L139="",0,L139)</f>
        <v>46253.0</v>
      </c>
      <c r="V139" s="51">
        <f>IF(L139="",0,MAX(1,N(E139)))</f>
        <v>1</v>
      </c>
      <c r="W139" s="51">
        <f>IF(K139="",0,K139)</f>
        <v>367.84</v>
      </c>
    </row>
    <row r="140">
      <c r="A140" s="49" t="n">
        <v>46224</v>
      </c>
      <c r="B140" s="41" t="inlineStr">
        <is>
          <t>Regina Teixeira</t>
        </is>
      </c>
      <c r="C140" s="41" t="inlineStr">
        <is>
          <t>Consulta</t>
        </is>
      </c>
      <c r="D140" s="42" t="inlineStr">
        <is>
          <t>Cartão de crédito</t>
        </is>
      </c>
      <c r="E140" s="42" t="n">
        <v>2</v>
      </c>
      <c r="F140" s="50" t="n">
        <v>380</v>
      </c>
      <c r="G140" s="42" t="n">
        <v>1</v>
      </c>
      <c r="H140" s="30">
        <f>IF(D140="","",IFERROR(INDEX(Config!$B$12:$B$15,MATCH(IF(AND(D140="Cartão de crédito",N(E140)&gt;1),"Cartão de crédito parcelado",D140),Config!$A$12:$A$15,0)),0)+IF(AND(Config!$B$17="Sim",LEFT(D140,17)="Cartão de crédito"),Config!$B$18*IFERROR(INDEX(Config!$C$12:$C$15,MATCH(IF(AND(D140="Cartão de crédito",N(E140)&gt;1),"Cartão de crédito parcelado",D140),Config!$A$12:$A$15,0)),0)/30*MAX(1,N(E140)),0))</f>
        <v>0.039</v>
      </c>
      <c r="I140" s="29">
        <f>IF(OR(D140="",F140=""),"",ROUND(F140*H140,2))</f>
        <v>14.82</v>
      </c>
      <c r="J140" s="29">
        <f>IF(I140="","",F140-I140)</f>
        <v>365.18</v>
      </c>
      <c r="K140" s="29">
        <f>IF(J140="","",J140/MAX(1,N(E140)))</f>
        <v>182.59</v>
      </c>
      <c r="L140" s="37">
        <f>IF(OR(D140="",A140=""),"",A140+IF(AND(Config!$B$17="Sim",LEFT(D140,17)="Cartão de crédito"),1,IFERROR(INDEX(Config!$C$12:$C$15,MATCH(IF(AND(D140="Cartão de crédito",N(E140)&gt;1),"Cartão de crédito parcelado",D140),Config!$A$12:$A$15,0)),0)))</f>
        <v>46254.0</v>
      </c>
      <c r="M140" s="37">
        <f>IF(L140="","",IF(AND(Config!$B$17="Sim",LEFT(D140,17)="Cartão de crédito"),L140,L140+30*(MAX(1,N(E140))-1)))</f>
        <v>46284.0</v>
      </c>
      <c r="N140" s="29">
        <f>IF(OR(L140="",K140=""),"",K140*MIN(MAX(1,N(E140)),MAX(0,INT((Config!$B$8-L140)/30)+1)))</f>
        <v>182.59</v>
      </c>
      <c r="O140" s="29">
        <f>IF(J140="","",J140-N(N140))</f>
        <v>182.59</v>
      </c>
      <c r="P140" s="27">
        <f>IF(A140="","",MONTH(A140))</f>
        <v>7</v>
      </c>
      <c r="Q140" s="27">
        <f>IF(A140="","",YEAR(A140))</f>
        <v>2026</v>
      </c>
      <c r="R140" s="27" t="str">
        <f>IF(L140="","",IF(L140&gt;Config!$B$8,"A cair",IF(N(G140)&gt;=MIN(MAX(1,N(E140)),MAX(0,INT((Config!$B$8-L140)/30)+1)),IF(N(G140)&gt;=MAX(1,N(E140)),"Conferido","Conferido até aqui"),"A conferir")))</f>
        <v>Conferido até aqui</v>
      </c>
      <c r="S140" s="51">
        <f>IF(R140="A conferir",(Config!$B$8-L140)*1000+N(F140)/1000+ROW()/100000,0)</f>
        <v>0</v>
      </c>
      <c r="T140" s="51">
        <f>IF(R140="A conferir",N(N140),0)</f>
        <v>0</v>
      </c>
      <c r="U140" s="51">
        <f>IF(L140="",0,L140)</f>
        <v>46254.0</v>
      </c>
      <c r="V140" s="51">
        <f>IF(L140="",0,MAX(1,N(E140)))</f>
        <v>2</v>
      </c>
      <c r="W140" s="51">
        <f>IF(K140="",0,K140)</f>
        <v>182.59</v>
      </c>
    </row>
    <row r="141">
      <c r="A141" s="49" t="n">
        <v>46224</v>
      </c>
      <c r="B141" s="41" t="inlineStr">
        <is>
          <t>Lucas Lopes</t>
        </is>
      </c>
      <c r="C141" s="41" t="inlineStr">
        <is>
          <t>Consulta</t>
        </is>
      </c>
      <c r="D141" s="42" t="inlineStr">
        <is>
          <t>Pix</t>
        </is>
      </c>
      <c r="E141" s="42" t="n"/>
      <c r="F141" s="50" t="n">
        <v>380</v>
      </c>
      <c r="G141" s="42" t="n">
        <v>1</v>
      </c>
      <c r="H141" s="30">
        <f>IF(D141="","",IFERROR(INDEX(Config!$B$12:$B$15,MATCH(IF(AND(D141="Cartão de crédito",N(E141)&gt;1),"Cartão de crédito parcelado",D141),Config!$A$12:$A$15,0)),0)+IF(AND(Config!$B$17="Sim",LEFT(D141,17)="Cartão de crédito"),Config!$B$18*IFERROR(INDEX(Config!$C$12:$C$15,MATCH(IF(AND(D141="Cartão de crédito",N(E141)&gt;1),"Cartão de crédito parcelado",D141),Config!$A$12:$A$15,0)),0)/30*MAX(1,N(E141)),0))</f>
        <v>0</v>
      </c>
      <c r="I141" s="29">
        <f>IF(OR(D141="",F141=""),"",ROUND(F141*H141,2))</f>
        <v>0</v>
      </c>
      <c r="J141" s="29">
        <f>IF(I141="","",F141-I141)</f>
        <v>380</v>
      </c>
      <c r="K141" s="29">
        <f>IF(J141="","",J141/MAX(1,N(E141)))</f>
        <v>380</v>
      </c>
      <c r="L141" s="37">
        <f>IF(OR(D141="",A141=""),"",A141+IF(AND(Config!$B$17="Sim",LEFT(D141,17)="Cartão de crédito"),1,IFERROR(INDEX(Config!$C$12:$C$15,MATCH(IF(AND(D141="Cartão de crédito",N(E141)&gt;1),"Cartão de crédito parcelado",D141),Config!$A$12:$A$15,0)),0)))</f>
        <v>46224.0</v>
      </c>
      <c r="M141" s="37">
        <f>IF(L141="","",IF(AND(Config!$B$17="Sim",LEFT(D141,17)="Cartão de crédito"),L141,L141+30*(MAX(1,N(E141))-1)))</f>
        <v>46224.0</v>
      </c>
      <c r="N141" s="29">
        <f>IF(OR(L141="",K141=""),"",K141*MIN(MAX(1,N(E141)),MAX(0,INT((Config!$B$8-L141)/30)+1)))</f>
        <v>380</v>
      </c>
      <c r="O141" s="29">
        <f>IF(J141="","",J141-N(N141))</f>
        <v>0</v>
      </c>
      <c r="P141" s="27">
        <f>IF(A141="","",MONTH(A141))</f>
        <v>7</v>
      </c>
      <c r="Q141" s="27">
        <f>IF(A141="","",YEAR(A141))</f>
        <v>2026</v>
      </c>
      <c r="R141" s="27" t="str">
        <f>IF(L141="","",IF(L141&gt;Config!$B$8,"A cair",IF(N(G141)&gt;=MIN(MAX(1,N(E141)),MAX(0,INT((Config!$B$8-L141)/30)+1)),IF(N(G141)&gt;=MAX(1,N(E141)),"Conferido","Conferido até aqui"),"A conferir")))</f>
        <v>Conferido</v>
      </c>
      <c r="S141" s="51">
        <f>IF(R141="A conferir",(Config!$B$8-L141)*1000+N(F141)/1000+ROW()/100000,0)</f>
        <v>0</v>
      </c>
      <c r="T141" s="51">
        <f>IF(R141="A conferir",N(N141),0)</f>
        <v>0</v>
      </c>
      <c r="U141" s="51">
        <f>IF(L141="",0,L141)</f>
        <v>46224.0</v>
      </c>
      <c r="V141" s="51">
        <f>IF(L141="",0,MAX(1,N(E141)))</f>
        <v>1</v>
      </c>
      <c r="W141" s="51">
        <f>IF(K141="",0,K141)</f>
        <v>380</v>
      </c>
    </row>
    <row r="142">
      <c r="A142" s="49" t="n">
        <v>46224</v>
      </c>
      <c r="B142" s="41" t="inlineStr">
        <is>
          <t>Otávio Nascimento</t>
        </is>
      </c>
      <c r="C142" s="41" t="inlineStr">
        <is>
          <t>Consulta</t>
        </is>
      </c>
      <c r="D142" s="42" t="inlineStr">
        <is>
          <t>Cartão de crédito</t>
        </is>
      </c>
      <c r="E142" s="42" t="n"/>
      <c r="F142" s="50" t="n">
        <v>380</v>
      </c>
      <c r="G142" s="42" t="n">
        <v>1</v>
      </c>
      <c r="H142" s="30">
        <f>IF(D142="","",IFERROR(INDEX(Config!$B$12:$B$15,MATCH(IF(AND(D142="Cartão de crédito",N(E142)&gt;1),"Cartão de crédito parcelado",D142),Config!$A$12:$A$15,0)),0)+IF(AND(Config!$B$17="Sim",LEFT(D142,17)="Cartão de crédito"),Config!$B$18*IFERROR(INDEX(Config!$C$12:$C$15,MATCH(IF(AND(D142="Cartão de crédito",N(E142)&gt;1),"Cartão de crédito parcelado",D142),Config!$A$12:$A$15,0)),0)/30*MAX(1,N(E142)),0))</f>
        <v>0.032</v>
      </c>
      <c r="I142" s="29">
        <f>IF(OR(D142="",F142=""),"",ROUND(F142*H142,2))</f>
        <v>12.16</v>
      </c>
      <c r="J142" s="29">
        <f>IF(I142="","",F142-I142)</f>
        <v>367.84</v>
      </c>
      <c r="K142" s="29">
        <f>IF(J142="","",J142/MAX(1,N(E142)))</f>
        <v>367.84</v>
      </c>
      <c r="L142" s="37">
        <f>IF(OR(D142="",A142=""),"",A142+IF(AND(Config!$B$17="Sim",LEFT(D142,17)="Cartão de crédito"),1,IFERROR(INDEX(Config!$C$12:$C$15,MATCH(IF(AND(D142="Cartão de crédito",N(E142)&gt;1),"Cartão de crédito parcelado",D142),Config!$A$12:$A$15,0)),0)))</f>
        <v>46254.0</v>
      </c>
      <c r="M142" s="37">
        <f>IF(L142="","",IF(AND(Config!$B$17="Sim",LEFT(D142,17)="Cartão de crédito"),L142,L142+30*(MAX(1,N(E142))-1)))</f>
        <v>46254.0</v>
      </c>
      <c r="N142" s="29">
        <f>IF(OR(L142="",K142=""),"",K142*MIN(MAX(1,N(E142)),MAX(0,INT((Config!$B$8-L142)/30)+1)))</f>
        <v>367.84</v>
      </c>
      <c r="O142" s="29">
        <f>IF(J142="","",J142-N(N142))</f>
        <v>0</v>
      </c>
      <c r="P142" s="27">
        <f>IF(A142="","",MONTH(A142))</f>
        <v>7</v>
      </c>
      <c r="Q142" s="27">
        <f>IF(A142="","",YEAR(A142))</f>
        <v>2026</v>
      </c>
      <c r="R142" s="27" t="str">
        <f>IF(L142="","",IF(L142&gt;Config!$B$8,"A cair",IF(N(G142)&gt;=MIN(MAX(1,N(E142)),MAX(0,INT((Config!$B$8-L142)/30)+1)),IF(N(G142)&gt;=MAX(1,N(E142)),"Conferido","Conferido até aqui"),"A conferir")))</f>
        <v>Conferido</v>
      </c>
      <c r="S142" s="51">
        <f>IF(R142="A conferir",(Config!$B$8-L142)*1000+N(F142)/1000+ROW()/100000,0)</f>
        <v>0</v>
      </c>
      <c r="T142" s="51">
        <f>IF(R142="A conferir",N(N142),0)</f>
        <v>0</v>
      </c>
      <c r="U142" s="51">
        <f>IF(L142="",0,L142)</f>
        <v>46254.0</v>
      </c>
      <c r="V142" s="51">
        <f>IF(L142="",0,MAX(1,N(E142)))</f>
        <v>1</v>
      </c>
      <c r="W142" s="51">
        <f>IF(K142="",0,K142)</f>
        <v>367.84</v>
      </c>
    </row>
    <row r="143">
      <c r="A143" s="49" t="n">
        <v>46224</v>
      </c>
      <c r="B143" s="41" t="inlineStr">
        <is>
          <t>Carlos Freitas</t>
        </is>
      </c>
      <c r="C143" s="41" t="inlineStr">
        <is>
          <t>Avaliação endócrina</t>
        </is>
      </c>
      <c r="D143" s="42" t="inlineStr">
        <is>
          <t>Pix</t>
        </is>
      </c>
      <c r="E143" s="42" t="n"/>
      <c r="F143" s="50" t="n">
        <v>400</v>
      </c>
      <c r="G143" s="42" t="n">
        <v>1</v>
      </c>
      <c r="H143" s="30">
        <f>IF(D143="","",IFERROR(INDEX(Config!$B$12:$B$15,MATCH(IF(AND(D143="Cartão de crédito",N(E143)&gt;1),"Cartão de crédito parcelado",D143),Config!$A$12:$A$15,0)),0)+IF(AND(Config!$B$17="Sim",LEFT(D143,17)="Cartão de crédito"),Config!$B$18*IFERROR(INDEX(Config!$C$12:$C$15,MATCH(IF(AND(D143="Cartão de crédito",N(E143)&gt;1),"Cartão de crédito parcelado",D143),Config!$A$12:$A$15,0)),0)/30*MAX(1,N(E143)),0))</f>
        <v>0</v>
      </c>
      <c r="I143" s="29">
        <f>IF(OR(D143="",F143=""),"",ROUND(F143*H143,2))</f>
        <v>0</v>
      </c>
      <c r="J143" s="29">
        <f>IF(I143="","",F143-I143)</f>
        <v>400</v>
      </c>
      <c r="K143" s="29">
        <f>IF(J143="","",J143/MAX(1,N(E143)))</f>
        <v>400</v>
      </c>
      <c r="L143" s="37">
        <f>IF(OR(D143="",A143=""),"",A143+IF(AND(Config!$B$17="Sim",LEFT(D143,17)="Cartão de crédito"),1,IFERROR(INDEX(Config!$C$12:$C$15,MATCH(IF(AND(D143="Cartão de crédito",N(E143)&gt;1),"Cartão de crédito parcelado",D143),Config!$A$12:$A$15,0)),0)))</f>
        <v>46224.0</v>
      </c>
      <c r="M143" s="37">
        <f>IF(L143="","",IF(AND(Config!$B$17="Sim",LEFT(D143,17)="Cartão de crédito"),L143,L143+30*(MAX(1,N(E143))-1)))</f>
        <v>46224.0</v>
      </c>
      <c r="N143" s="29">
        <f>IF(OR(L143="",K143=""),"",K143*MIN(MAX(1,N(E143)),MAX(0,INT((Config!$B$8-L143)/30)+1)))</f>
        <v>400</v>
      </c>
      <c r="O143" s="29">
        <f>IF(J143="","",J143-N(N143))</f>
        <v>0</v>
      </c>
      <c r="P143" s="27">
        <f>IF(A143="","",MONTH(A143))</f>
        <v>7</v>
      </c>
      <c r="Q143" s="27">
        <f>IF(A143="","",YEAR(A143))</f>
        <v>2026</v>
      </c>
      <c r="R143" s="27" t="str">
        <f>IF(L143="","",IF(L143&gt;Config!$B$8,"A cair",IF(N(G143)&gt;=MIN(MAX(1,N(E143)),MAX(0,INT((Config!$B$8-L143)/30)+1)),IF(N(G143)&gt;=MAX(1,N(E143)),"Conferido","Conferido até aqui"),"A conferir")))</f>
        <v>Conferido</v>
      </c>
      <c r="S143" s="51">
        <f>IF(R143="A conferir",(Config!$B$8-L143)*1000+N(F143)/1000+ROW()/100000,0)</f>
        <v>0</v>
      </c>
      <c r="T143" s="51">
        <f>IF(R143="A conferir",N(N143),0)</f>
        <v>0</v>
      </c>
      <c r="U143" s="51">
        <f>IF(L143="",0,L143)</f>
        <v>46224.0</v>
      </c>
      <c r="V143" s="51">
        <f>IF(L143="",0,MAX(1,N(E143)))</f>
        <v>1</v>
      </c>
      <c r="W143" s="51">
        <f>IF(K143="",0,K143)</f>
        <v>400</v>
      </c>
    </row>
    <row r="144">
      <c r="A144" s="49" t="n">
        <v>46224</v>
      </c>
      <c r="B144" s="41" t="inlineStr">
        <is>
          <t>Isabela Xavier</t>
        </is>
      </c>
      <c r="C144" s="41" t="inlineStr">
        <is>
          <t>Avaliação endócrina</t>
        </is>
      </c>
      <c r="D144" s="42" t="inlineStr">
        <is>
          <t>Cartão de crédito</t>
        </is>
      </c>
      <c r="E144" s="42" t="n"/>
      <c r="F144" s="50" t="n">
        <v>400</v>
      </c>
      <c r="G144" s="42" t="n">
        <v>1</v>
      </c>
      <c r="H144" s="30">
        <f>IF(D144="","",IFERROR(INDEX(Config!$B$12:$B$15,MATCH(IF(AND(D144="Cartão de crédito",N(E144)&gt;1),"Cartão de crédito parcelado",D144),Config!$A$12:$A$15,0)),0)+IF(AND(Config!$B$17="Sim",LEFT(D144,17)="Cartão de crédito"),Config!$B$18*IFERROR(INDEX(Config!$C$12:$C$15,MATCH(IF(AND(D144="Cartão de crédito",N(E144)&gt;1),"Cartão de crédito parcelado",D144),Config!$A$12:$A$15,0)),0)/30*MAX(1,N(E144)),0))</f>
        <v>0.032</v>
      </c>
      <c r="I144" s="29">
        <f>IF(OR(D144="",F144=""),"",ROUND(F144*H144,2))</f>
        <v>12.8</v>
      </c>
      <c r="J144" s="29">
        <f>IF(I144="","",F144-I144)</f>
        <v>387.2</v>
      </c>
      <c r="K144" s="29">
        <f>IF(J144="","",J144/MAX(1,N(E144)))</f>
        <v>387.2</v>
      </c>
      <c r="L144" s="37">
        <f>IF(OR(D144="",A144=""),"",A144+IF(AND(Config!$B$17="Sim",LEFT(D144,17)="Cartão de crédito"),1,IFERROR(INDEX(Config!$C$12:$C$15,MATCH(IF(AND(D144="Cartão de crédito",N(E144)&gt;1),"Cartão de crédito parcelado",D144),Config!$A$12:$A$15,0)),0)))</f>
        <v>46254.0</v>
      </c>
      <c r="M144" s="37">
        <f>IF(L144="","",IF(AND(Config!$B$17="Sim",LEFT(D144,17)="Cartão de crédito"),L144,L144+30*(MAX(1,N(E144))-1)))</f>
        <v>46254.0</v>
      </c>
      <c r="N144" s="29">
        <f>IF(OR(L144="",K144=""),"",K144*MIN(MAX(1,N(E144)),MAX(0,INT((Config!$B$8-L144)/30)+1)))</f>
        <v>387.2</v>
      </c>
      <c r="O144" s="29">
        <f>IF(J144="","",J144-N(N144))</f>
        <v>0</v>
      </c>
      <c r="P144" s="27">
        <f>IF(A144="","",MONTH(A144))</f>
        <v>7</v>
      </c>
      <c r="Q144" s="27">
        <f>IF(A144="","",YEAR(A144))</f>
        <v>2026</v>
      </c>
      <c r="R144" s="27" t="str">
        <f>IF(L144="","",IF(L144&gt;Config!$B$8,"A cair",IF(N(G144)&gt;=MIN(MAX(1,N(E144)),MAX(0,INT((Config!$B$8-L144)/30)+1)),IF(N(G144)&gt;=MAX(1,N(E144)),"Conferido","Conferido até aqui"),"A conferir")))</f>
        <v>Conferido</v>
      </c>
      <c r="S144" s="51">
        <f>IF(R144="A conferir",(Config!$B$8-L144)*1000+N(F144)/1000+ROW()/100000,0)</f>
        <v>0</v>
      </c>
      <c r="T144" s="51">
        <f>IF(R144="A conferir",N(N144),0)</f>
        <v>0</v>
      </c>
      <c r="U144" s="51">
        <f>IF(L144="",0,L144)</f>
        <v>46254.0</v>
      </c>
      <c r="V144" s="51">
        <f>IF(L144="",0,MAX(1,N(E144)))</f>
        <v>1</v>
      </c>
      <c r="W144" s="51">
        <f>IF(K144="",0,K144)</f>
        <v>387.2</v>
      </c>
    </row>
    <row r="145">
      <c r="A145" s="49" t="n">
        <v>46224</v>
      </c>
      <c r="B145" s="41" t="inlineStr">
        <is>
          <t>Regina Macedo</t>
        </is>
      </c>
      <c r="C145" s="41" t="inlineStr">
        <is>
          <t>ECG</t>
        </is>
      </c>
      <c r="D145" s="42" t="inlineStr">
        <is>
          <t>Pix</t>
        </is>
      </c>
      <c r="E145" s="42" t="n"/>
      <c r="F145" s="50" t="n">
        <v>130</v>
      </c>
      <c r="G145" s="42" t="n">
        <v>1</v>
      </c>
      <c r="H145" s="30">
        <f>IF(D145="","",IFERROR(INDEX(Config!$B$12:$B$15,MATCH(IF(AND(D145="Cartão de crédito",N(E145)&gt;1),"Cartão de crédito parcelado",D145),Config!$A$12:$A$15,0)),0)+IF(AND(Config!$B$17="Sim",LEFT(D145,17)="Cartão de crédito"),Config!$B$18*IFERROR(INDEX(Config!$C$12:$C$15,MATCH(IF(AND(D145="Cartão de crédito",N(E145)&gt;1),"Cartão de crédito parcelado",D145),Config!$A$12:$A$15,0)),0)/30*MAX(1,N(E145)),0))</f>
        <v>0</v>
      </c>
      <c r="I145" s="29">
        <f>IF(OR(D145="",F145=""),"",ROUND(F145*H145,2))</f>
        <v>0</v>
      </c>
      <c r="J145" s="29">
        <f>IF(I145="","",F145-I145)</f>
        <v>130</v>
      </c>
      <c r="K145" s="29">
        <f>IF(J145="","",J145/MAX(1,N(E145)))</f>
        <v>130</v>
      </c>
      <c r="L145" s="37">
        <f>IF(OR(D145="",A145=""),"",A145+IF(AND(Config!$B$17="Sim",LEFT(D145,17)="Cartão de crédito"),1,IFERROR(INDEX(Config!$C$12:$C$15,MATCH(IF(AND(D145="Cartão de crédito",N(E145)&gt;1),"Cartão de crédito parcelado",D145),Config!$A$12:$A$15,0)),0)))</f>
        <v>46224.0</v>
      </c>
      <c r="M145" s="37">
        <f>IF(L145="","",IF(AND(Config!$B$17="Sim",LEFT(D145,17)="Cartão de crédito"),L145,L145+30*(MAX(1,N(E145))-1)))</f>
        <v>46224.0</v>
      </c>
      <c r="N145" s="29">
        <f>IF(OR(L145="",K145=""),"",K145*MIN(MAX(1,N(E145)),MAX(0,INT((Config!$B$8-L145)/30)+1)))</f>
        <v>130</v>
      </c>
      <c r="O145" s="29">
        <f>IF(J145="","",J145-N(N145))</f>
        <v>0</v>
      </c>
      <c r="P145" s="27">
        <f>IF(A145="","",MONTH(A145))</f>
        <v>7</v>
      </c>
      <c r="Q145" s="27">
        <f>IF(A145="","",YEAR(A145))</f>
        <v>2026</v>
      </c>
      <c r="R145" s="27" t="str">
        <f>IF(L145="","",IF(L145&gt;Config!$B$8,"A cair",IF(N(G145)&gt;=MIN(MAX(1,N(E145)),MAX(0,INT((Config!$B$8-L145)/30)+1)),IF(N(G145)&gt;=MAX(1,N(E145)),"Conferido","Conferido até aqui"),"A conferir")))</f>
        <v>Conferido</v>
      </c>
      <c r="S145" s="51">
        <f>IF(R145="A conferir",(Config!$B$8-L145)*1000+N(F145)/1000+ROW()/100000,0)</f>
        <v>0</v>
      </c>
      <c r="T145" s="51">
        <f>IF(R145="A conferir",N(N145),0)</f>
        <v>0</v>
      </c>
      <c r="U145" s="51">
        <f>IF(L145="",0,L145)</f>
        <v>46224.0</v>
      </c>
      <c r="V145" s="51">
        <f>IF(L145="",0,MAX(1,N(E145)))</f>
        <v>1</v>
      </c>
      <c r="W145" s="51">
        <f>IF(K145="",0,K145)</f>
        <v>130</v>
      </c>
    </row>
    <row r="146">
      <c r="A146" s="49" t="n">
        <v>46225</v>
      </c>
      <c r="B146" s="41" t="inlineStr">
        <is>
          <t>Ana Costa</t>
        </is>
      </c>
      <c r="C146" s="41" t="inlineStr">
        <is>
          <t>Consulta</t>
        </is>
      </c>
      <c r="D146" s="42" t="inlineStr">
        <is>
          <t>Pix</t>
        </is>
      </c>
      <c r="E146" s="42" t="n"/>
      <c r="F146" s="50" t="n">
        <v>380</v>
      </c>
      <c r="G146" s="42" t="n">
        <v>1</v>
      </c>
      <c r="H146" s="30">
        <f>IF(D146="","",IFERROR(INDEX(Config!$B$12:$B$15,MATCH(IF(AND(D146="Cartão de crédito",N(E146)&gt;1),"Cartão de crédito parcelado",D146),Config!$A$12:$A$15,0)),0)+IF(AND(Config!$B$17="Sim",LEFT(D146,17)="Cartão de crédito"),Config!$B$18*IFERROR(INDEX(Config!$C$12:$C$15,MATCH(IF(AND(D146="Cartão de crédito",N(E146)&gt;1),"Cartão de crédito parcelado",D146),Config!$A$12:$A$15,0)),0)/30*MAX(1,N(E146)),0))</f>
        <v>0</v>
      </c>
      <c r="I146" s="29">
        <f>IF(OR(D146="",F146=""),"",ROUND(F146*H146,2))</f>
        <v>0</v>
      </c>
      <c r="J146" s="29">
        <f>IF(I146="","",F146-I146)</f>
        <v>380</v>
      </c>
      <c r="K146" s="29">
        <f>IF(J146="","",J146/MAX(1,N(E146)))</f>
        <v>380</v>
      </c>
      <c r="L146" s="37">
        <f>IF(OR(D146="",A146=""),"",A146+IF(AND(Config!$B$17="Sim",LEFT(D146,17)="Cartão de crédito"),1,IFERROR(INDEX(Config!$C$12:$C$15,MATCH(IF(AND(D146="Cartão de crédito",N(E146)&gt;1),"Cartão de crédito parcelado",D146),Config!$A$12:$A$15,0)),0)))</f>
        <v>46225.0</v>
      </c>
      <c r="M146" s="37">
        <f>IF(L146="","",IF(AND(Config!$B$17="Sim",LEFT(D146,17)="Cartão de crédito"),L146,L146+30*(MAX(1,N(E146))-1)))</f>
        <v>46225.0</v>
      </c>
      <c r="N146" s="29">
        <f>IF(OR(L146="",K146=""),"",K146*MIN(MAX(1,N(E146)),MAX(0,INT((Config!$B$8-L146)/30)+1)))</f>
        <v>380</v>
      </c>
      <c r="O146" s="29">
        <f>IF(J146="","",J146-N(N146))</f>
        <v>0</v>
      </c>
      <c r="P146" s="27">
        <f>IF(A146="","",MONTH(A146))</f>
        <v>7</v>
      </c>
      <c r="Q146" s="27">
        <f>IF(A146="","",YEAR(A146))</f>
        <v>2026</v>
      </c>
      <c r="R146" s="27" t="str">
        <f>IF(L146="","",IF(L146&gt;Config!$B$8,"A cair",IF(N(G146)&gt;=MIN(MAX(1,N(E146)),MAX(0,INT((Config!$B$8-L146)/30)+1)),IF(N(G146)&gt;=MAX(1,N(E146)),"Conferido","Conferido até aqui"),"A conferir")))</f>
        <v>Conferido</v>
      </c>
      <c r="S146" s="51">
        <f>IF(R146="A conferir",(Config!$B$8-L146)*1000+N(F146)/1000+ROW()/100000,0)</f>
        <v>0</v>
      </c>
      <c r="T146" s="51">
        <f>IF(R146="A conferir",N(N146),0)</f>
        <v>0</v>
      </c>
      <c r="U146" s="51">
        <f>IF(L146="",0,L146)</f>
        <v>46225.0</v>
      </c>
      <c r="V146" s="51">
        <f>IF(L146="",0,MAX(1,N(E146)))</f>
        <v>1</v>
      </c>
      <c r="W146" s="51">
        <f>IF(K146="",0,K146)</f>
        <v>380</v>
      </c>
    </row>
    <row r="147">
      <c r="A147" s="49" t="n">
        <v>46225</v>
      </c>
      <c r="B147" s="41" t="inlineStr">
        <is>
          <t>Rodrigo Moreira</t>
        </is>
      </c>
      <c r="C147" s="41" t="inlineStr">
        <is>
          <t>Consulta</t>
        </is>
      </c>
      <c r="D147" s="42" t="inlineStr">
        <is>
          <t>Pix</t>
        </is>
      </c>
      <c r="E147" s="42" t="n"/>
      <c r="F147" s="50" t="n">
        <v>380</v>
      </c>
      <c r="G147" s="42" t="n">
        <v>1</v>
      </c>
      <c r="H147" s="30">
        <f>IF(D147="","",IFERROR(INDEX(Config!$B$12:$B$15,MATCH(IF(AND(D147="Cartão de crédito",N(E147)&gt;1),"Cartão de crédito parcelado",D147),Config!$A$12:$A$15,0)),0)+IF(AND(Config!$B$17="Sim",LEFT(D147,17)="Cartão de crédito"),Config!$B$18*IFERROR(INDEX(Config!$C$12:$C$15,MATCH(IF(AND(D147="Cartão de crédito",N(E147)&gt;1),"Cartão de crédito parcelado",D147),Config!$A$12:$A$15,0)),0)/30*MAX(1,N(E147)),0))</f>
        <v>0</v>
      </c>
      <c r="I147" s="29">
        <f>IF(OR(D147="",F147=""),"",ROUND(F147*H147,2))</f>
        <v>0</v>
      </c>
      <c r="J147" s="29">
        <f>IF(I147="","",F147-I147)</f>
        <v>380</v>
      </c>
      <c r="K147" s="29">
        <f>IF(J147="","",J147/MAX(1,N(E147)))</f>
        <v>380</v>
      </c>
      <c r="L147" s="37">
        <f>IF(OR(D147="",A147=""),"",A147+IF(AND(Config!$B$17="Sim",LEFT(D147,17)="Cartão de crédito"),1,IFERROR(INDEX(Config!$C$12:$C$15,MATCH(IF(AND(D147="Cartão de crédito",N(E147)&gt;1),"Cartão de crédito parcelado",D147),Config!$A$12:$A$15,0)),0)))</f>
        <v>46225.0</v>
      </c>
      <c r="M147" s="37">
        <f>IF(L147="","",IF(AND(Config!$B$17="Sim",LEFT(D147,17)="Cartão de crédito"),L147,L147+30*(MAX(1,N(E147))-1)))</f>
        <v>46225.0</v>
      </c>
      <c r="N147" s="29">
        <f>IF(OR(L147="",K147=""),"",K147*MIN(MAX(1,N(E147)),MAX(0,INT((Config!$B$8-L147)/30)+1)))</f>
        <v>380</v>
      </c>
      <c r="O147" s="29">
        <f>IF(J147="","",J147-N(N147))</f>
        <v>0</v>
      </c>
      <c r="P147" s="27">
        <f>IF(A147="","",MONTH(A147))</f>
        <v>7</v>
      </c>
      <c r="Q147" s="27">
        <f>IF(A147="","",YEAR(A147))</f>
        <v>2026</v>
      </c>
      <c r="R147" s="27" t="str">
        <f>IF(L147="","",IF(L147&gt;Config!$B$8,"A cair",IF(N(G147)&gt;=MIN(MAX(1,N(E147)),MAX(0,INT((Config!$B$8-L147)/30)+1)),IF(N(G147)&gt;=MAX(1,N(E147)),"Conferido","Conferido até aqui"),"A conferir")))</f>
        <v>Conferido</v>
      </c>
      <c r="S147" s="51">
        <f>IF(R147="A conferir",(Config!$B$8-L147)*1000+N(F147)/1000+ROW()/100000,0)</f>
        <v>0</v>
      </c>
      <c r="T147" s="51">
        <f>IF(R147="A conferir",N(N147),0)</f>
        <v>0</v>
      </c>
      <c r="U147" s="51">
        <f>IF(L147="",0,L147)</f>
        <v>46225.0</v>
      </c>
      <c r="V147" s="51">
        <f>IF(L147="",0,MAX(1,N(E147)))</f>
        <v>1</v>
      </c>
      <c r="W147" s="51">
        <f>IF(K147="",0,K147)</f>
        <v>380</v>
      </c>
    </row>
    <row r="148">
      <c r="A148" s="49" t="n">
        <v>46225</v>
      </c>
      <c r="B148" s="41" t="inlineStr">
        <is>
          <t>Roberta Araújo</t>
        </is>
      </c>
      <c r="C148" s="41" t="inlineStr">
        <is>
          <t>Consulta</t>
        </is>
      </c>
      <c r="D148" s="42" t="inlineStr">
        <is>
          <t>Pix</t>
        </is>
      </c>
      <c r="E148" s="42" t="n"/>
      <c r="F148" s="50" t="n">
        <v>380</v>
      </c>
      <c r="G148" s="42" t="n">
        <v>1</v>
      </c>
      <c r="H148" s="30">
        <f>IF(D148="","",IFERROR(INDEX(Config!$B$12:$B$15,MATCH(IF(AND(D148="Cartão de crédito",N(E148)&gt;1),"Cartão de crédito parcelado",D148),Config!$A$12:$A$15,0)),0)+IF(AND(Config!$B$17="Sim",LEFT(D148,17)="Cartão de crédito"),Config!$B$18*IFERROR(INDEX(Config!$C$12:$C$15,MATCH(IF(AND(D148="Cartão de crédito",N(E148)&gt;1),"Cartão de crédito parcelado",D148),Config!$A$12:$A$15,0)),0)/30*MAX(1,N(E148)),0))</f>
        <v>0</v>
      </c>
      <c r="I148" s="29">
        <f>IF(OR(D148="",F148=""),"",ROUND(F148*H148,2))</f>
        <v>0</v>
      </c>
      <c r="J148" s="29">
        <f>IF(I148="","",F148-I148)</f>
        <v>380</v>
      </c>
      <c r="K148" s="29">
        <f>IF(J148="","",J148/MAX(1,N(E148)))</f>
        <v>380</v>
      </c>
      <c r="L148" s="37">
        <f>IF(OR(D148="",A148=""),"",A148+IF(AND(Config!$B$17="Sim",LEFT(D148,17)="Cartão de crédito"),1,IFERROR(INDEX(Config!$C$12:$C$15,MATCH(IF(AND(D148="Cartão de crédito",N(E148)&gt;1),"Cartão de crédito parcelado",D148),Config!$A$12:$A$15,0)),0)))</f>
        <v>46225.0</v>
      </c>
      <c r="M148" s="37">
        <f>IF(L148="","",IF(AND(Config!$B$17="Sim",LEFT(D148,17)="Cartão de crédito"),L148,L148+30*(MAX(1,N(E148))-1)))</f>
        <v>46225.0</v>
      </c>
      <c r="N148" s="29">
        <f>IF(OR(L148="",K148=""),"",K148*MIN(MAX(1,N(E148)),MAX(0,INT((Config!$B$8-L148)/30)+1)))</f>
        <v>380</v>
      </c>
      <c r="O148" s="29">
        <f>IF(J148="","",J148-N(N148))</f>
        <v>0</v>
      </c>
      <c r="P148" s="27">
        <f>IF(A148="","",MONTH(A148))</f>
        <v>7</v>
      </c>
      <c r="Q148" s="27">
        <f>IF(A148="","",YEAR(A148))</f>
        <v>2026</v>
      </c>
      <c r="R148" s="27" t="str">
        <f>IF(L148="","",IF(L148&gt;Config!$B$8,"A cair",IF(N(G148)&gt;=MIN(MAX(1,N(E148)),MAX(0,INT((Config!$B$8-L148)/30)+1)),IF(N(G148)&gt;=MAX(1,N(E148)),"Conferido","Conferido até aqui"),"A conferir")))</f>
        <v>Conferido</v>
      </c>
      <c r="S148" s="51">
        <f>IF(R148="A conferir",(Config!$B$8-L148)*1000+N(F148)/1000+ROW()/100000,0)</f>
        <v>0</v>
      </c>
      <c r="T148" s="51">
        <f>IF(R148="A conferir",N(N148),0)</f>
        <v>0</v>
      </c>
      <c r="U148" s="51">
        <f>IF(L148="",0,L148)</f>
        <v>46225.0</v>
      </c>
      <c r="V148" s="51">
        <f>IF(L148="",0,MAX(1,N(E148)))</f>
        <v>1</v>
      </c>
      <c r="W148" s="51">
        <f>IF(K148="",0,K148)</f>
        <v>380</v>
      </c>
    </row>
    <row r="149">
      <c r="A149" s="49" t="n">
        <v>46225</v>
      </c>
      <c r="B149" s="41" t="inlineStr">
        <is>
          <t>Marcelo Santos</t>
        </is>
      </c>
      <c r="C149" s="41" t="inlineStr">
        <is>
          <t>Consulta</t>
        </is>
      </c>
      <c r="D149" s="42" t="inlineStr">
        <is>
          <t>Cartão de crédito</t>
        </is>
      </c>
      <c r="E149" s="42" t="n"/>
      <c r="F149" s="50" t="n">
        <v>380</v>
      </c>
      <c r="G149" s="42" t="n">
        <v>1</v>
      </c>
      <c r="H149" s="30">
        <f>IF(D149="","",IFERROR(INDEX(Config!$B$12:$B$15,MATCH(IF(AND(D149="Cartão de crédito",N(E149)&gt;1),"Cartão de crédito parcelado",D149),Config!$A$12:$A$15,0)),0)+IF(AND(Config!$B$17="Sim",LEFT(D149,17)="Cartão de crédito"),Config!$B$18*IFERROR(INDEX(Config!$C$12:$C$15,MATCH(IF(AND(D149="Cartão de crédito",N(E149)&gt;1),"Cartão de crédito parcelado",D149),Config!$A$12:$A$15,0)),0)/30*MAX(1,N(E149)),0))</f>
        <v>0.032</v>
      </c>
      <c r="I149" s="29">
        <f>IF(OR(D149="",F149=""),"",ROUND(F149*H149,2))</f>
        <v>12.16</v>
      </c>
      <c r="J149" s="29">
        <f>IF(I149="","",F149-I149)</f>
        <v>367.84</v>
      </c>
      <c r="K149" s="29">
        <f>IF(J149="","",J149/MAX(1,N(E149)))</f>
        <v>367.84</v>
      </c>
      <c r="L149" s="37">
        <f>IF(OR(D149="",A149=""),"",A149+IF(AND(Config!$B$17="Sim",LEFT(D149,17)="Cartão de crédito"),1,IFERROR(INDEX(Config!$C$12:$C$15,MATCH(IF(AND(D149="Cartão de crédito",N(E149)&gt;1),"Cartão de crédito parcelado",D149),Config!$A$12:$A$15,0)),0)))</f>
        <v>46255.0</v>
      </c>
      <c r="M149" s="37">
        <f>IF(L149="","",IF(AND(Config!$B$17="Sim",LEFT(D149,17)="Cartão de crédito"),L149,L149+30*(MAX(1,N(E149))-1)))</f>
        <v>46255.0</v>
      </c>
      <c r="N149" s="29">
        <f>IF(OR(L149="",K149=""),"",K149*MIN(MAX(1,N(E149)),MAX(0,INT((Config!$B$8-L149)/30)+1)))</f>
        <v>367.84</v>
      </c>
      <c r="O149" s="29">
        <f>IF(J149="","",J149-N(N149))</f>
        <v>0</v>
      </c>
      <c r="P149" s="27">
        <f>IF(A149="","",MONTH(A149))</f>
        <v>7</v>
      </c>
      <c r="Q149" s="27">
        <f>IF(A149="","",YEAR(A149))</f>
        <v>2026</v>
      </c>
      <c r="R149" s="27" t="str">
        <f>IF(L149="","",IF(L149&gt;Config!$B$8,"A cair",IF(N(G149)&gt;=MIN(MAX(1,N(E149)),MAX(0,INT((Config!$B$8-L149)/30)+1)),IF(N(G149)&gt;=MAX(1,N(E149)),"Conferido","Conferido até aqui"),"A conferir")))</f>
        <v>Conferido</v>
      </c>
      <c r="S149" s="51">
        <f>IF(R149="A conferir",(Config!$B$8-L149)*1000+N(F149)/1000+ROW()/100000,0)</f>
        <v>0</v>
      </c>
      <c r="T149" s="51">
        <f>IF(R149="A conferir",N(N149),0)</f>
        <v>0</v>
      </c>
      <c r="U149" s="51">
        <f>IF(L149="",0,L149)</f>
        <v>46255.0</v>
      </c>
      <c r="V149" s="51">
        <f>IF(L149="",0,MAX(1,N(E149)))</f>
        <v>1</v>
      </c>
      <c r="W149" s="51">
        <f>IF(K149="",0,K149)</f>
        <v>367.84</v>
      </c>
    </row>
    <row r="150">
      <c r="A150" s="49" t="n">
        <v>46225</v>
      </c>
      <c r="B150" s="41" t="inlineStr">
        <is>
          <t>Mônica Martins</t>
        </is>
      </c>
      <c r="C150" s="41" t="inlineStr">
        <is>
          <t>Consulta</t>
        </is>
      </c>
      <c r="D150" s="42" t="inlineStr">
        <is>
          <t>Cartão de crédito</t>
        </is>
      </c>
      <c r="E150" s="42" t="n"/>
      <c r="F150" s="50" t="n">
        <v>380</v>
      </c>
      <c r="G150" s="42" t="n">
        <v>1</v>
      </c>
      <c r="H150" s="30">
        <f>IF(D150="","",IFERROR(INDEX(Config!$B$12:$B$15,MATCH(IF(AND(D150="Cartão de crédito",N(E150)&gt;1),"Cartão de crédito parcelado",D150),Config!$A$12:$A$15,0)),0)+IF(AND(Config!$B$17="Sim",LEFT(D150,17)="Cartão de crédito"),Config!$B$18*IFERROR(INDEX(Config!$C$12:$C$15,MATCH(IF(AND(D150="Cartão de crédito",N(E150)&gt;1),"Cartão de crédito parcelado",D150),Config!$A$12:$A$15,0)),0)/30*MAX(1,N(E150)),0))</f>
        <v>0.032</v>
      </c>
      <c r="I150" s="29">
        <f>IF(OR(D150="",F150=""),"",ROUND(F150*H150,2))</f>
        <v>12.16</v>
      </c>
      <c r="J150" s="29">
        <f>IF(I150="","",F150-I150)</f>
        <v>367.84</v>
      </c>
      <c r="K150" s="29">
        <f>IF(J150="","",J150/MAX(1,N(E150)))</f>
        <v>367.84</v>
      </c>
      <c r="L150" s="37">
        <f>IF(OR(D150="",A150=""),"",A150+IF(AND(Config!$B$17="Sim",LEFT(D150,17)="Cartão de crédito"),1,IFERROR(INDEX(Config!$C$12:$C$15,MATCH(IF(AND(D150="Cartão de crédito",N(E150)&gt;1),"Cartão de crédito parcelado",D150),Config!$A$12:$A$15,0)),0)))</f>
        <v>46255.0</v>
      </c>
      <c r="M150" s="37">
        <f>IF(L150="","",IF(AND(Config!$B$17="Sim",LEFT(D150,17)="Cartão de crédito"),L150,L150+30*(MAX(1,N(E150))-1)))</f>
        <v>46255.0</v>
      </c>
      <c r="N150" s="29">
        <f>IF(OR(L150="",K150=""),"",K150*MIN(MAX(1,N(E150)),MAX(0,INT((Config!$B$8-L150)/30)+1)))</f>
        <v>367.84</v>
      </c>
      <c r="O150" s="29">
        <f>IF(J150="","",J150-N(N150))</f>
        <v>0</v>
      </c>
      <c r="P150" s="27">
        <f>IF(A150="","",MONTH(A150))</f>
        <v>7</v>
      </c>
      <c r="Q150" s="27">
        <f>IF(A150="","",YEAR(A150))</f>
        <v>2026</v>
      </c>
      <c r="R150" s="27" t="str">
        <f>IF(L150="","",IF(L150&gt;Config!$B$8,"A cair",IF(N(G150)&gt;=MIN(MAX(1,N(E150)),MAX(0,INT((Config!$B$8-L150)/30)+1)),IF(N(G150)&gt;=MAX(1,N(E150)),"Conferido","Conferido até aqui"),"A conferir")))</f>
        <v>Conferido</v>
      </c>
      <c r="S150" s="51">
        <f>IF(R150="A conferir",(Config!$B$8-L150)*1000+N(F150)/1000+ROW()/100000,0)</f>
        <v>0</v>
      </c>
      <c r="T150" s="51">
        <f>IF(R150="A conferir",N(N150),0)</f>
        <v>0</v>
      </c>
      <c r="U150" s="51">
        <f>IF(L150="",0,L150)</f>
        <v>46255.0</v>
      </c>
      <c r="V150" s="51">
        <f>IF(L150="",0,MAX(1,N(E150)))</f>
        <v>1</v>
      </c>
      <c r="W150" s="51">
        <f>IF(K150="",0,K150)</f>
        <v>367.84</v>
      </c>
    </row>
    <row r="151">
      <c r="A151" s="49" t="n">
        <v>46225</v>
      </c>
      <c r="B151" s="41" t="inlineStr">
        <is>
          <t>Débora Ramos</t>
        </is>
      </c>
      <c r="C151" s="41" t="inlineStr">
        <is>
          <t>Consulta</t>
        </is>
      </c>
      <c r="D151" s="42" t="inlineStr">
        <is>
          <t>Pix</t>
        </is>
      </c>
      <c r="E151" s="42" t="n"/>
      <c r="F151" s="50" t="n">
        <v>380</v>
      </c>
      <c r="G151" s="42" t="n">
        <v>1</v>
      </c>
      <c r="H151" s="30">
        <f>IF(D151="","",IFERROR(INDEX(Config!$B$12:$B$15,MATCH(IF(AND(D151="Cartão de crédito",N(E151)&gt;1),"Cartão de crédito parcelado",D151),Config!$A$12:$A$15,0)),0)+IF(AND(Config!$B$17="Sim",LEFT(D151,17)="Cartão de crédito"),Config!$B$18*IFERROR(INDEX(Config!$C$12:$C$15,MATCH(IF(AND(D151="Cartão de crédito",N(E151)&gt;1),"Cartão de crédito parcelado",D151),Config!$A$12:$A$15,0)),0)/30*MAX(1,N(E151)),0))</f>
        <v>0</v>
      </c>
      <c r="I151" s="29">
        <f>IF(OR(D151="",F151=""),"",ROUND(F151*H151,2))</f>
        <v>0</v>
      </c>
      <c r="J151" s="29">
        <f>IF(I151="","",F151-I151)</f>
        <v>380</v>
      </c>
      <c r="K151" s="29">
        <f>IF(J151="","",J151/MAX(1,N(E151)))</f>
        <v>380</v>
      </c>
      <c r="L151" s="37">
        <f>IF(OR(D151="",A151=""),"",A151+IF(AND(Config!$B$17="Sim",LEFT(D151,17)="Cartão de crédito"),1,IFERROR(INDEX(Config!$C$12:$C$15,MATCH(IF(AND(D151="Cartão de crédito",N(E151)&gt;1),"Cartão de crédito parcelado",D151),Config!$A$12:$A$15,0)),0)))</f>
        <v>46225.0</v>
      </c>
      <c r="M151" s="37">
        <f>IF(L151="","",IF(AND(Config!$B$17="Sim",LEFT(D151,17)="Cartão de crédito"),L151,L151+30*(MAX(1,N(E151))-1)))</f>
        <v>46225.0</v>
      </c>
      <c r="N151" s="29">
        <f>IF(OR(L151="",K151=""),"",K151*MIN(MAX(1,N(E151)),MAX(0,INT((Config!$B$8-L151)/30)+1)))</f>
        <v>380</v>
      </c>
      <c r="O151" s="29">
        <f>IF(J151="","",J151-N(N151))</f>
        <v>0</v>
      </c>
      <c r="P151" s="27">
        <f>IF(A151="","",MONTH(A151))</f>
        <v>7</v>
      </c>
      <c r="Q151" s="27">
        <f>IF(A151="","",YEAR(A151))</f>
        <v>2026</v>
      </c>
      <c r="R151" s="27" t="str">
        <f>IF(L151="","",IF(L151&gt;Config!$B$8,"A cair",IF(N(G151)&gt;=MIN(MAX(1,N(E151)),MAX(0,INT((Config!$B$8-L151)/30)+1)),IF(N(G151)&gt;=MAX(1,N(E151)),"Conferido","Conferido até aqui"),"A conferir")))</f>
        <v>Conferido</v>
      </c>
      <c r="S151" s="51">
        <f>IF(R151="A conferir",(Config!$B$8-L151)*1000+N(F151)/1000+ROW()/100000,0)</f>
        <v>0</v>
      </c>
      <c r="T151" s="51">
        <f>IF(R151="A conferir",N(N151),0)</f>
        <v>0</v>
      </c>
      <c r="U151" s="51">
        <f>IF(L151="",0,L151)</f>
        <v>46225.0</v>
      </c>
      <c r="V151" s="51">
        <f>IF(L151="",0,MAX(1,N(E151)))</f>
        <v>1</v>
      </c>
      <c r="W151" s="51">
        <f>IF(K151="",0,K151)</f>
        <v>380</v>
      </c>
    </row>
    <row r="152">
      <c r="A152" s="49" t="n">
        <v>46226</v>
      </c>
      <c r="B152" s="41" t="inlineStr">
        <is>
          <t>Mariana Nascimento</t>
        </is>
      </c>
      <c r="C152" s="41" t="inlineStr">
        <is>
          <t>Consulta</t>
        </is>
      </c>
      <c r="D152" s="42" t="inlineStr">
        <is>
          <t>Cartão de débito</t>
        </is>
      </c>
      <c r="E152" s="42" t="n"/>
      <c r="F152" s="50" t="n">
        <v>380</v>
      </c>
      <c r="G152" s="42" t="n">
        <v>1</v>
      </c>
      <c r="H152" s="30">
        <f>IF(D152="","",IFERROR(INDEX(Config!$B$12:$B$15,MATCH(IF(AND(D152="Cartão de crédito",N(E152)&gt;1),"Cartão de crédito parcelado",D152),Config!$A$12:$A$15,0)),0)+IF(AND(Config!$B$17="Sim",LEFT(D152,17)="Cartão de crédito"),Config!$B$18*IFERROR(INDEX(Config!$C$12:$C$15,MATCH(IF(AND(D152="Cartão de crédito",N(E152)&gt;1),"Cartão de crédito parcelado",D152),Config!$A$12:$A$15,0)),0)/30*MAX(1,N(E152)),0))</f>
        <v>0.015</v>
      </c>
      <c r="I152" s="29">
        <f>IF(OR(D152="",F152=""),"",ROUND(F152*H152,2))</f>
        <v>5.7</v>
      </c>
      <c r="J152" s="29">
        <f>IF(I152="","",F152-I152)</f>
        <v>374.3</v>
      </c>
      <c r="K152" s="29">
        <f>IF(J152="","",J152/MAX(1,N(E152)))</f>
        <v>374.3</v>
      </c>
      <c r="L152" s="37">
        <f>IF(OR(D152="",A152=""),"",A152+IF(AND(Config!$B$17="Sim",LEFT(D152,17)="Cartão de crédito"),1,IFERROR(INDEX(Config!$C$12:$C$15,MATCH(IF(AND(D152="Cartão de crédito",N(E152)&gt;1),"Cartão de crédito parcelado",D152),Config!$A$12:$A$15,0)),0)))</f>
        <v>46227.0</v>
      </c>
      <c r="M152" s="37">
        <f>IF(L152="","",IF(AND(Config!$B$17="Sim",LEFT(D152,17)="Cartão de crédito"),L152,L152+30*(MAX(1,N(E152))-1)))</f>
        <v>46227.0</v>
      </c>
      <c r="N152" s="29">
        <f>IF(OR(L152="",K152=""),"",K152*MIN(MAX(1,N(E152)),MAX(0,INT((Config!$B$8-L152)/30)+1)))</f>
        <v>374.3</v>
      </c>
      <c r="O152" s="29">
        <f>IF(J152="","",J152-N(N152))</f>
        <v>0</v>
      </c>
      <c r="P152" s="27">
        <f>IF(A152="","",MONTH(A152))</f>
        <v>7</v>
      </c>
      <c r="Q152" s="27">
        <f>IF(A152="","",YEAR(A152))</f>
        <v>2026</v>
      </c>
      <c r="R152" s="27" t="str">
        <f>IF(L152="","",IF(L152&gt;Config!$B$8,"A cair",IF(N(G152)&gt;=MIN(MAX(1,N(E152)),MAX(0,INT((Config!$B$8-L152)/30)+1)),IF(N(G152)&gt;=MAX(1,N(E152)),"Conferido","Conferido até aqui"),"A conferir")))</f>
        <v>Conferido</v>
      </c>
      <c r="S152" s="51">
        <f>IF(R152="A conferir",(Config!$B$8-L152)*1000+N(F152)/1000+ROW()/100000,0)</f>
        <v>0</v>
      </c>
      <c r="T152" s="51">
        <f>IF(R152="A conferir",N(N152),0)</f>
        <v>0</v>
      </c>
      <c r="U152" s="51">
        <f>IF(L152="",0,L152)</f>
        <v>46227.0</v>
      </c>
      <c r="V152" s="51">
        <f>IF(L152="",0,MAX(1,N(E152)))</f>
        <v>1</v>
      </c>
      <c r="W152" s="51">
        <f>IF(K152="",0,K152)</f>
        <v>374.3</v>
      </c>
    </row>
    <row r="153">
      <c r="A153" s="49" t="n">
        <v>46226</v>
      </c>
      <c r="B153" s="41" t="inlineStr">
        <is>
          <t>Elaine Cardoso</t>
        </is>
      </c>
      <c r="C153" s="41" t="inlineStr">
        <is>
          <t>Consulta</t>
        </is>
      </c>
      <c r="D153" s="42" t="inlineStr">
        <is>
          <t>Pix</t>
        </is>
      </c>
      <c r="E153" s="42" t="n"/>
      <c r="F153" s="50" t="n">
        <v>380</v>
      </c>
      <c r="G153" s="42" t="n">
        <v>1</v>
      </c>
      <c r="H153" s="30">
        <f>IF(D153="","",IFERROR(INDEX(Config!$B$12:$B$15,MATCH(IF(AND(D153="Cartão de crédito",N(E153)&gt;1),"Cartão de crédito parcelado",D153),Config!$A$12:$A$15,0)),0)+IF(AND(Config!$B$17="Sim",LEFT(D153,17)="Cartão de crédito"),Config!$B$18*IFERROR(INDEX(Config!$C$12:$C$15,MATCH(IF(AND(D153="Cartão de crédito",N(E153)&gt;1),"Cartão de crédito parcelado",D153),Config!$A$12:$A$15,0)),0)/30*MAX(1,N(E153)),0))</f>
        <v>0</v>
      </c>
      <c r="I153" s="29">
        <f>IF(OR(D153="",F153=""),"",ROUND(F153*H153,2))</f>
        <v>0</v>
      </c>
      <c r="J153" s="29">
        <f>IF(I153="","",F153-I153)</f>
        <v>380</v>
      </c>
      <c r="K153" s="29">
        <f>IF(J153="","",J153/MAX(1,N(E153)))</f>
        <v>380</v>
      </c>
      <c r="L153" s="37">
        <f>IF(OR(D153="",A153=""),"",A153+IF(AND(Config!$B$17="Sim",LEFT(D153,17)="Cartão de crédito"),1,IFERROR(INDEX(Config!$C$12:$C$15,MATCH(IF(AND(D153="Cartão de crédito",N(E153)&gt;1),"Cartão de crédito parcelado",D153),Config!$A$12:$A$15,0)),0)))</f>
        <v>46226.0</v>
      </c>
      <c r="M153" s="37">
        <f>IF(L153="","",IF(AND(Config!$B$17="Sim",LEFT(D153,17)="Cartão de crédito"),L153,L153+30*(MAX(1,N(E153))-1)))</f>
        <v>46226.0</v>
      </c>
      <c r="N153" s="29">
        <f>IF(OR(L153="",K153=""),"",K153*MIN(MAX(1,N(E153)),MAX(0,INT((Config!$B$8-L153)/30)+1)))</f>
        <v>380</v>
      </c>
      <c r="O153" s="29">
        <f>IF(J153="","",J153-N(N153))</f>
        <v>0</v>
      </c>
      <c r="P153" s="27">
        <f>IF(A153="","",MONTH(A153))</f>
        <v>7</v>
      </c>
      <c r="Q153" s="27">
        <f>IF(A153="","",YEAR(A153))</f>
        <v>2026</v>
      </c>
      <c r="R153" s="27" t="str">
        <f>IF(L153="","",IF(L153&gt;Config!$B$8,"A cair",IF(N(G153)&gt;=MIN(MAX(1,N(E153)),MAX(0,INT((Config!$B$8-L153)/30)+1)),IF(N(G153)&gt;=MAX(1,N(E153)),"Conferido","Conferido até aqui"),"A conferir")))</f>
        <v>Conferido</v>
      </c>
      <c r="S153" s="51">
        <f>IF(R153="A conferir",(Config!$B$8-L153)*1000+N(F153)/1000+ROW()/100000,0)</f>
        <v>0</v>
      </c>
      <c r="T153" s="51">
        <f>IF(R153="A conferir",N(N153),0)</f>
        <v>0</v>
      </c>
      <c r="U153" s="51">
        <f>IF(L153="",0,L153)</f>
        <v>46226.0</v>
      </c>
      <c r="V153" s="51">
        <f>IF(L153="",0,MAX(1,N(E153)))</f>
        <v>1</v>
      </c>
      <c r="W153" s="51">
        <f>IF(K153="",0,K153)</f>
        <v>380</v>
      </c>
    </row>
    <row r="154">
      <c r="A154" s="49" t="n">
        <v>46226</v>
      </c>
      <c r="B154" s="41" t="inlineStr">
        <is>
          <t>Otávio Cardoso</t>
        </is>
      </c>
      <c r="C154" s="41" t="inlineStr">
        <is>
          <t>Consulta</t>
        </is>
      </c>
      <c r="D154" s="42" t="inlineStr">
        <is>
          <t>Cartão de crédito</t>
        </is>
      </c>
      <c r="E154" s="42" t="n">
        <v>2</v>
      </c>
      <c r="F154" s="50" t="n">
        <v>380</v>
      </c>
      <c r="G154" s="42" t="n">
        <v>1</v>
      </c>
      <c r="H154" s="30">
        <f>IF(D154="","",IFERROR(INDEX(Config!$B$12:$B$15,MATCH(IF(AND(D154="Cartão de crédito",N(E154)&gt;1),"Cartão de crédito parcelado",D154),Config!$A$12:$A$15,0)),0)+IF(AND(Config!$B$17="Sim",LEFT(D154,17)="Cartão de crédito"),Config!$B$18*IFERROR(INDEX(Config!$C$12:$C$15,MATCH(IF(AND(D154="Cartão de crédito",N(E154)&gt;1),"Cartão de crédito parcelado",D154),Config!$A$12:$A$15,0)),0)/30*MAX(1,N(E154)),0))</f>
        <v>0.039</v>
      </c>
      <c r="I154" s="29">
        <f>IF(OR(D154="",F154=""),"",ROUND(F154*H154,2))</f>
        <v>14.82</v>
      </c>
      <c r="J154" s="29">
        <f>IF(I154="","",F154-I154)</f>
        <v>365.18</v>
      </c>
      <c r="K154" s="29">
        <f>IF(J154="","",J154/MAX(1,N(E154)))</f>
        <v>182.59</v>
      </c>
      <c r="L154" s="37">
        <f>IF(OR(D154="",A154=""),"",A154+IF(AND(Config!$B$17="Sim",LEFT(D154,17)="Cartão de crédito"),1,IFERROR(INDEX(Config!$C$12:$C$15,MATCH(IF(AND(D154="Cartão de crédito",N(E154)&gt;1),"Cartão de crédito parcelado",D154),Config!$A$12:$A$15,0)),0)))</f>
        <v>46256.0</v>
      </c>
      <c r="M154" s="37">
        <f>IF(L154="","",IF(AND(Config!$B$17="Sim",LEFT(D154,17)="Cartão de crédito"),L154,L154+30*(MAX(1,N(E154))-1)))</f>
        <v>46286.0</v>
      </c>
      <c r="N154" s="29">
        <f>IF(OR(L154="",K154=""),"",K154*MIN(MAX(1,N(E154)),MAX(0,INT((Config!$B$8-L154)/30)+1)))</f>
        <v>182.59</v>
      </c>
      <c r="O154" s="29">
        <f>IF(J154="","",J154-N(N154))</f>
        <v>182.59</v>
      </c>
      <c r="P154" s="27">
        <f>IF(A154="","",MONTH(A154))</f>
        <v>7</v>
      </c>
      <c r="Q154" s="27">
        <f>IF(A154="","",YEAR(A154))</f>
        <v>2026</v>
      </c>
      <c r="R154" s="27" t="str">
        <f>IF(L154="","",IF(L154&gt;Config!$B$8,"A cair",IF(N(G154)&gt;=MIN(MAX(1,N(E154)),MAX(0,INT((Config!$B$8-L154)/30)+1)),IF(N(G154)&gt;=MAX(1,N(E154)),"Conferido","Conferido até aqui"),"A conferir")))</f>
        <v>Conferido até aqui</v>
      </c>
      <c r="S154" s="51">
        <f>IF(R154="A conferir",(Config!$B$8-L154)*1000+N(F154)/1000+ROW()/100000,0)</f>
        <v>0</v>
      </c>
      <c r="T154" s="51">
        <f>IF(R154="A conferir",N(N154),0)</f>
        <v>0</v>
      </c>
      <c r="U154" s="51">
        <f>IF(L154="",0,L154)</f>
        <v>46256.0</v>
      </c>
      <c r="V154" s="51">
        <f>IF(L154="",0,MAX(1,N(E154)))</f>
        <v>2</v>
      </c>
      <c r="W154" s="51">
        <f>IF(K154="",0,K154)</f>
        <v>182.59</v>
      </c>
    </row>
    <row r="155">
      <c r="A155" s="49" t="n">
        <v>46226</v>
      </c>
      <c r="B155" s="41" t="inlineStr">
        <is>
          <t>Helena Moreira</t>
        </is>
      </c>
      <c r="C155" s="41" t="inlineStr">
        <is>
          <t>Consulta</t>
        </is>
      </c>
      <c r="D155" s="42" t="inlineStr">
        <is>
          <t>Cartão de crédito</t>
        </is>
      </c>
      <c r="E155" s="42" t="n"/>
      <c r="F155" s="50" t="n">
        <v>380</v>
      </c>
      <c r="G155" s="42" t="n">
        <v>1</v>
      </c>
      <c r="H155" s="30">
        <f>IF(D155="","",IFERROR(INDEX(Config!$B$12:$B$15,MATCH(IF(AND(D155="Cartão de crédito",N(E155)&gt;1),"Cartão de crédito parcelado",D155),Config!$A$12:$A$15,0)),0)+IF(AND(Config!$B$17="Sim",LEFT(D155,17)="Cartão de crédito"),Config!$B$18*IFERROR(INDEX(Config!$C$12:$C$15,MATCH(IF(AND(D155="Cartão de crédito",N(E155)&gt;1),"Cartão de crédito parcelado",D155),Config!$A$12:$A$15,0)),0)/30*MAX(1,N(E155)),0))</f>
        <v>0.032</v>
      </c>
      <c r="I155" s="29">
        <f>IF(OR(D155="",F155=""),"",ROUND(F155*H155,2))</f>
        <v>12.16</v>
      </c>
      <c r="J155" s="29">
        <f>IF(I155="","",F155-I155)</f>
        <v>367.84</v>
      </c>
      <c r="K155" s="29">
        <f>IF(J155="","",J155/MAX(1,N(E155)))</f>
        <v>367.84</v>
      </c>
      <c r="L155" s="37">
        <f>IF(OR(D155="",A155=""),"",A155+IF(AND(Config!$B$17="Sim",LEFT(D155,17)="Cartão de crédito"),1,IFERROR(INDEX(Config!$C$12:$C$15,MATCH(IF(AND(D155="Cartão de crédito",N(E155)&gt;1),"Cartão de crédito parcelado",D155),Config!$A$12:$A$15,0)),0)))</f>
        <v>46256.0</v>
      </c>
      <c r="M155" s="37">
        <f>IF(L155="","",IF(AND(Config!$B$17="Sim",LEFT(D155,17)="Cartão de crédito"),L155,L155+30*(MAX(1,N(E155))-1)))</f>
        <v>46256.0</v>
      </c>
      <c r="N155" s="29">
        <f>IF(OR(L155="",K155=""),"",K155*MIN(MAX(1,N(E155)),MAX(0,INT((Config!$B$8-L155)/30)+1)))</f>
        <v>367.84</v>
      </c>
      <c r="O155" s="29">
        <f>IF(J155="","",J155-N(N155))</f>
        <v>0</v>
      </c>
      <c r="P155" s="27">
        <f>IF(A155="","",MONTH(A155))</f>
        <v>7</v>
      </c>
      <c r="Q155" s="27">
        <f>IF(A155="","",YEAR(A155))</f>
        <v>2026</v>
      </c>
      <c r="R155" s="27" t="str">
        <f>IF(L155="","",IF(L155&gt;Config!$B$8,"A cair",IF(N(G155)&gt;=MIN(MAX(1,N(E155)),MAX(0,INT((Config!$B$8-L155)/30)+1)),IF(N(G155)&gt;=MAX(1,N(E155)),"Conferido","Conferido até aqui"),"A conferir")))</f>
        <v>Conferido</v>
      </c>
      <c r="S155" s="51">
        <f>IF(R155="A conferir",(Config!$B$8-L155)*1000+N(F155)/1000+ROW()/100000,0)</f>
        <v>0</v>
      </c>
      <c r="T155" s="51">
        <f>IF(R155="A conferir",N(N155),0)</f>
        <v>0</v>
      </c>
      <c r="U155" s="51">
        <f>IF(L155="",0,L155)</f>
        <v>46256.0</v>
      </c>
      <c r="V155" s="51">
        <f>IF(L155="",0,MAX(1,N(E155)))</f>
        <v>1</v>
      </c>
      <c r="W155" s="51">
        <f>IF(K155="",0,K155)</f>
        <v>367.84</v>
      </c>
    </row>
    <row r="156">
      <c r="A156" s="49" t="n">
        <v>46226</v>
      </c>
      <c r="B156" s="41" t="inlineStr">
        <is>
          <t>Mariana Reis</t>
        </is>
      </c>
      <c r="C156" s="41" t="inlineStr">
        <is>
          <t>Avaliação endócrina</t>
        </is>
      </c>
      <c r="D156" s="42" t="inlineStr">
        <is>
          <t>Pix</t>
        </is>
      </c>
      <c r="E156" s="42" t="n"/>
      <c r="F156" s="50" t="n">
        <v>400</v>
      </c>
      <c r="G156" s="42" t="n">
        <v>1</v>
      </c>
      <c r="H156" s="30">
        <f>IF(D156="","",IFERROR(INDEX(Config!$B$12:$B$15,MATCH(IF(AND(D156="Cartão de crédito",N(E156)&gt;1),"Cartão de crédito parcelado",D156),Config!$A$12:$A$15,0)),0)+IF(AND(Config!$B$17="Sim",LEFT(D156,17)="Cartão de crédito"),Config!$B$18*IFERROR(INDEX(Config!$C$12:$C$15,MATCH(IF(AND(D156="Cartão de crédito",N(E156)&gt;1),"Cartão de crédito parcelado",D156),Config!$A$12:$A$15,0)),0)/30*MAX(1,N(E156)),0))</f>
        <v>0</v>
      </c>
      <c r="I156" s="29">
        <f>IF(OR(D156="",F156=""),"",ROUND(F156*H156,2))</f>
        <v>0</v>
      </c>
      <c r="J156" s="29">
        <f>IF(I156="","",F156-I156)</f>
        <v>400</v>
      </c>
      <c r="K156" s="29">
        <f>IF(J156="","",J156/MAX(1,N(E156)))</f>
        <v>400</v>
      </c>
      <c r="L156" s="37">
        <f>IF(OR(D156="",A156=""),"",A156+IF(AND(Config!$B$17="Sim",LEFT(D156,17)="Cartão de crédito"),1,IFERROR(INDEX(Config!$C$12:$C$15,MATCH(IF(AND(D156="Cartão de crédito",N(E156)&gt;1),"Cartão de crédito parcelado",D156),Config!$A$12:$A$15,0)),0)))</f>
        <v>46226.0</v>
      </c>
      <c r="M156" s="37">
        <f>IF(L156="","",IF(AND(Config!$B$17="Sim",LEFT(D156,17)="Cartão de crédito"),L156,L156+30*(MAX(1,N(E156))-1)))</f>
        <v>46226.0</v>
      </c>
      <c r="N156" s="29">
        <f>IF(OR(L156="",K156=""),"",K156*MIN(MAX(1,N(E156)),MAX(0,INT((Config!$B$8-L156)/30)+1)))</f>
        <v>400</v>
      </c>
      <c r="O156" s="29">
        <f>IF(J156="","",J156-N(N156))</f>
        <v>0</v>
      </c>
      <c r="P156" s="27">
        <f>IF(A156="","",MONTH(A156))</f>
        <v>7</v>
      </c>
      <c r="Q156" s="27">
        <f>IF(A156="","",YEAR(A156))</f>
        <v>2026</v>
      </c>
      <c r="R156" s="27" t="str">
        <f>IF(L156="","",IF(L156&gt;Config!$B$8,"A cair",IF(N(G156)&gt;=MIN(MAX(1,N(E156)),MAX(0,INT((Config!$B$8-L156)/30)+1)),IF(N(G156)&gt;=MAX(1,N(E156)),"Conferido","Conferido até aqui"),"A conferir")))</f>
        <v>Conferido</v>
      </c>
      <c r="S156" s="51">
        <f>IF(R156="A conferir",(Config!$B$8-L156)*1000+N(F156)/1000+ROW()/100000,0)</f>
        <v>0</v>
      </c>
      <c r="T156" s="51">
        <f>IF(R156="A conferir",N(N156),0)</f>
        <v>0</v>
      </c>
      <c r="U156" s="51">
        <f>IF(L156="",0,L156)</f>
        <v>46226.0</v>
      </c>
      <c r="V156" s="51">
        <f>IF(L156="",0,MAX(1,N(E156)))</f>
        <v>1</v>
      </c>
      <c r="W156" s="51">
        <f>IF(K156="",0,K156)</f>
        <v>400</v>
      </c>
    </row>
    <row r="157">
      <c r="A157" s="49" t="n">
        <v>46226</v>
      </c>
      <c r="B157" s="41" t="inlineStr">
        <is>
          <t>Paulo Reis</t>
        </is>
      </c>
      <c r="C157" s="41" t="inlineStr">
        <is>
          <t>Consulta</t>
        </is>
      </c>
      <c r="D157" s="42" t="inlineStr">
        <is>
          <t>Cartão de crédito</t>
        </is>
      </c>
      <c r="E157" s="42" t="n"/>
      <c r="F157" s="50" t="n">
        <v>380</v>
      </c>
      <c r="G157" s="42" t="n">
        <v>1</v>
      </c>
      <c r="H157" s="30">
        <f>IF(D157="","",IFERROR(INDEX(Config!$B$12:$B$15,MATCH(IF(AND(D157="Cartão de crédito",N(E157)&gt;1),"Cartão de crédito parcelado",D157),Config!$A$12:$A$15,0)),0)+IF(AND(Config!$B$17="Sim",LEFT(D157,17)="Cartão de crédito"),Config!$B$18*IFERROR(INDEX(Config!$C$12:$C$15,MATCH(IF(AND(D157="Cartão de crédito",N(E157)&gt;1),"Cartão de crédito parcelado",D157),Config!$A$12:$A$15,0)),0)/30*MAX(1,N(E157)),0))</f>
        <v>0.032</v>
      </c>
      <c r="I157" s="29">
        <f>IF(OR(D157="",F157=""),"",ROUND(F157*H157,2))</f>
        <v>12.16</v>
      </c>
      <c r="J157" s="29">
        <f>IF(I157="","",F157-I157)</f>
        <v>367.84</v>
      </c>
      <c r="K157" s="29">
        <f>IF(J157="","",J157/MAX(1,N(E157)))</f>
        <v>367.84</v>
      </c>
      <c r="L157" s="37">
        <f>IF(OR(D157="",A157=""),"",A157+IF(AND(Config!$B$17="Sim",LEFT(D157,17)="Cartão de crédito"),1,IFERROR(INDEX(Config!$C$12:$C$15,MATCH(IF(AND(D157="Cartão de crédito",N(E157)&gt;1),"Cartão de crédito parcelado",D157),Config!$A$12:$A$15,0)),0)))</f>
        <v>46256.0</v>
      </c>
      <c r="M157" s="37">
        <f>IF(L157="","",IF(AND(Config!$B$17="Sim",LEFT(D157,17)="Cartão de crédito"),L157,L157+30*(MAX(1,N(E157))-1)))</f>
        <v>46256.0</v>
      </c>
      <c r="N157" s="29">
        <f>IF(OR(L157="",K157=""),"",K157*MIN(MAX(1,N(E157)),MAX(0,INT((Config!$B$8-L157)/30)+1)))</f>
        <v>367.84</v>
      </c>
      <c r="O157" s="29">
        <f>IF(J157="","",J157-N(N157))</f>
        <v>0</v>
      </c>
      <c r="P157" s="27">
        <f>IF(A157="","",MONTH(A157))</f>
        <v>7</v>
      </c>
      <c r="Q157" s="27">
        <f>IF(A157="","",YEAR(A157))</f>
        <v>2026</v>
      </c>
      <c r="R157" s="27" t="str">
        <f>IF(L157="","",IF(L157&gt;Config!$B$8,"A cair",IF(N(G157)&gt;=MIN(MAX(1,N(E157)),MAX(0,INT((Config!$B$8-L157)/30)+1)),IF(N(G157)&gt;=MAX(1,N(E157)),"Conferido","Conferido até aqui"),"A conferir")))</f>
        <v>Conferido</v>
      </c>
      <c r="S157" s="51">
        <f>IF(R157="A conferir",(Config!$B$8-L157)*1000+N(F157)/1000+ROW()/100000,0)</f>
        <v>0</v>
      </c>
      <c r="T157" s="51">
        <f>IF(R157="A conferir",N(N157),0)</f>
        <v>0</v>
      </c>
      <c r="U157" s="51">
        <f>IF(L157="",0,L157)</f>
        <v>46256.0</v>
      </c>
      <c r="V157" s="51">
        <f>IF(L157="",0,MAX(1,N(E157)))</f>
        <v>1</v>
      </c>
      <c r="W157" s="51">
        <f>IF(K157="",0,K157)</f>
        <v>367.84</v>
      </c>
    </row>
    <row r="158">
      <c r="A158" s="49" t="n">
        <v>46226</v>
      </c>
      <c r="B158" s="41" t="inlineStr">
        <is>
          <t>Márcia Duarte</t>
        </is>
      </c>
      <c r="C158" s="41" t="inlineStr">
        <is>
          <t>Avaliação endócrina</t>
        </is>
      </c>
      <c r="D158" s="42" t="inlineStr">
        <is>
          <t>Pix</t>
        </is>
      </c>
      <c r="E158" s="42" t="n"/>
      <c r="F158" s="50" t="n">
        <v>400</v>
      </c>
      <c r="G158" s="42" t="n">
        <v>1</v>
      </c>
      <c r="H158" s="30">
        <f>IF(D158="","",IFERROR(INDEX(Config!$B$12:$B$15,MATCH(IF(AND(D158="Cartão de crédito",N(E158)&gt;1),"Cartão de crédito parcelado",D158),Config!$A$12:$A$15,0)),0)+IF(AND(Config!$B$17="Sim",LEFT(D158,17)="Cartão de crédito"),Config!$B$18*IFERROR(INDEX(Config!$C$12:$C$15,MATCH(IF(AND(D158="Cartão de crédito",N(E158)&gt;1),"Cartão de crédito parcelado",D158),Config!$A$12:$A$15,0)),0)/30*MAX(1,N(E158)),0))</f>
        <v>0</v>
      </c>
      <c r="I158" s="29">
        <f>IF(OR(D158="",F158=""),"",ROUND(F158*H158,2))</f>
        <v>0</v>
      </c>
      <c r="J158" s="29">
        <f>IF(I158="","",F158-I158)</f>
        <v>400</v>
      </c>
      <c r="K158" s="29">
        <f>IF(J158="","",J158/MAX(1,N(E158)))</f>
        <v>400</v>
      </c>
      <c r="L158" s="37">
        <f>IF(OR(D158="",A158=""),"",A158+IF(AND(Config!$B$17="Sim",LEFT(D158,17)="Cartão de crédito"),1,IFERROR(INDEX(Config!$C$12:$C$15,MATCH(IF(AND(D158="Cartão de crédito",N(E158)&gt;1),"Cartão de crédito parcelado",D158),Config!$A$12:$A$15,0)),0)))</f>
        <v>46226.0</v>
      </c>
      <c r="M158" s="37">
        <f>IF(L158="","",IF(AND(Config!$B$17="Sim",LEFT(D158,17)="Cartão de crédito"),L158,L158+30*(MAX(1,N(E158))-1)))</f>
        <v>46226.0</v>
      </c>
      <c r="N158" s="29">
        <f>IF(OR(L158="",K158=""),"",K158*MIN(MAX(1,N(E158)),MAX(0,INT((Config!$B$8-L158)/30)+1)))</f>
        <v>400</v>
      </c>
      <c r="O158" s="29">
        <f>IF(J158="","",J158-N(N158))</f>
        <v>0</v>
      </c>
      <c r="P158" s="27">
        <f>IF(A158="","",MONTH(A158))</f>
        <v>7</v>
      </c>
      <c r="Q158" s="27">
        <f>IF(A158="","",YEAR(A158))</f>
        <v>2026</v>
      </c>
      <c r="R158" s="27" t="str">
        <f>IF(L158="","",IF(L158&gt;Config!$B$8,"A cair",IF(N(G158)&gt;=MIN(MAX(1,N(E158)),MAX(0,INT((Config!$B$8-L158)/30)+1)),IF(N(G158)&gt;=MAX(1,N(E158)),"Conferido","Conferido até aqui"),"A conferir")))</f>
        <v>Conferido</v>
      </c>
      <c r="S158" s="51">
        <f>IF(R158="A conferir",(Config!$B$8-L158)*1000+N(F158)/1000+ROW()/100000,0)</f>
        <v>0</v>
      </c>
      <c r="T158" s="51">
        <f>IF(R158="A conferir",N(N158),0)</f>
        <v>0</v>
      </c>
      <c r="U158" s="51">
        <f>IF(L158="",0,L158)</f>
        <v>46226.0</v>
      </c>
      <c r="V158" s="51">
        <f>IF(L158="",0,MAX(1,N(E158)))</f>
        <v>1</v>
      </c>
      <c r="W158" s="51">
        <f>IF(K158="",0,K158)</f>
        <v>400</v>
      </c>
    </row>
    <row r="159">
      <c r="A159" s="49" t="n">
        <v>46226</v>
      </c>
      <c r="B159" s="41" t="inlineStr">
        <is>
          <t>Priscila Reis</t>
        </is>
      </c>
      <c r="C159" s="41" t="inlineStr">
        <is>
          <t>Avaliação endócrina</t>
        </is>
      </c>
      <c r="D159" s="42" t="inlineStr">
        <is>
          <t>Cartão de crédito</t>
        </is>
      </c>
      <c r="E159" s="42" t="n">
        <v>2</v>
      </c>
      <c r="F159" s="50" t="n">
        <v>400</v>
      </c>
      <c r="G159" s="42" t="n">
        <v>1</v>
      </c>
      <c r="H159" s="30">
        <f>IF(D159="","",IFERROR(INDEX(Config!$B$12:$B$15,MATCH(IF(AND(D159="Cartão de crédito",N(E159)&gt;1),"Cartão de crédito parcelado",D159),Config!$A$12:$A$15,0)),0)+IF(AND(Config!$B$17="Sim",LEFT(D159,17)="Cartão de crédito"),Config!$B$18*IFERROR(INDEX(Config!$C$12:$C$15,MATCH(IF(AND(D159="Cartão de crédito",N(E159)&gt;1),"Cartão de crédito parcelado",D159),Config!$A$12:$A$15,0)),0)/30*MAX(1,N(E159)),0))</f>
        <v>0.039</v>
      </c>
      <c r="I159" s="29">
        <f>IF(OR(D159="",F159=""),"",ROUND(F159*H159,2))</f>
        <v>15.6</v>
      </c>
      <c r="J159" s="29">
        <f>IF(I159="","",F159-I159)</f>
        <v>384.4</v>
      </c>
      <c r="K159" s="29">
        <f>IF(J159="","",J159/MAX(1,N(E159)))</f>
        <v>192.2</v>
      </c>
      <c r="L159" s="37">
        <f>IF(OR(D159="",A159=""),"",A159+IF(AND(Config!$B$17="Sim",LEFT(D159,17)="Cartão de crédito"),1,IFERROR(INDEX(Config!$C$12:$C$15,MATCH(IF(AND(D159="Cartão de crédito",N(E159)&gt;1),"Cartão de crédito parcelado",D159),Config!$A$12:$A$15,0)),0)))</f>
        <v>46256.0</v>
      </c>
      <c r="M159" s="37">
        <f>IF(L159="","",IF(AND(Config!$B$17="Sim",LEFT(D159,17)="Cartão de crédito"),L159,L159+30*(MAX(1,N(E159))-1)))</f>
        <v>46286.0</v>
      </c>
      <c r="N159" s="29">
        <f>IF(OR(L159="",K159=""),"",K159*MIN(MAX(1,N(E159)),MAX(0,INT((Config!$B$8-L159)/30)+1)))</f>
        <v>192.2</v>
      </c>
      <c r="O159" s="29">
        <f>IF(J159="","",J159-N(N159))</f>
        <v>192.2</v>
      </c>
      <c r="P159" s="27">
        <f>IF(A159="","",MONTH(A159))</f>
        <v>7</v>
      </c>
      <c r="Q159" s="27">
        <f>IF(A159="","",YEAR(A159))</f>
        <v>2026</v>
      </c>
      <c r="R159" s="27" t="str">
        <f>IF(L159="","",IF(L159&gt;Config!$B$8,"A cair",IF(N(G159)&gt;=MIN(MAX(1,N(E159)),MAX(0,INT((Config!$B$8-L159)/30)+1)),IF(N(G159)&gt;=MAX(1,N(E159)),"Conferido","Conferido até aqui"),"A conferir")))</f>
        <v>Conferido até aqui</v>
      </c>
      <c r="S159" s="51">
        <f>IF(R159="A conferir",(Config!$B$8-L159)*1000+N(F159)/1000+ROW()/100000,0)</f>
        <v>0</v>
      </c>
      <c r="T159" s="51">
        <f>IF(R159="A conferir",N(N159),0)</f>
        <v>0</v>
      </c>
      <c r="U159" s="51">
        <f>IF(L159="",0,L159)</f>
        <v>46256.0</v>
      </c>
      <c r="V159" s="51">
        <f>IF(L159="",0,MAX(1,N(E159)))</f>
        <v>2</v>
      </c>
      <c r="W159" s="51">
        <f>IF(K159="",0,K159)</f>
        <v>192.2</v>
      </c>
    </row>
    <row r="160">
      <c r="A160" s="49" t="n">
        <v>46227</v>
      </c>
      <c r="B160" s="41" t="inlineStr">
        <is>
          <t>Ana Costa</t>
        </is>
      </c>
      <c r="C160" s="41" t="inlineStr">
        <is>
          <t>ECG</t>
        </is>
      </c>
      <c r="D160" s="42" t="inlineStr">
        <is>
          <t>Pix</t>
        </is>
      </c>
      <c r="E160" s="42" t="n"/>
      <c r="F160" s="50" t="n">
        <v>130</v>
      </c>
      <c r="G160" s="42" t="n">
        <v>1</v>
      </c>
      <c r="H160" s="30">
        <f>IF(D160="","",IFERROR(INDEX(Config!$B$12:$B$15,MATCH(IF(AND(D160="Cartão de crédito",N(E160)&gt;1),"Cartão de crédito parcelado",D160),Config!$A$12:$A$15,0)),0)+IF(AND(Config!$B$17="Sim",LEFT(D160,17)="Cartão de crédito"),Config!$B$18*IFERROR(INDEX(Config!$C$12:$C$15,MATCH(IF(AND(D160="Cartão de crédito",N(E160)&gt;1),"Cartão de crédito parcelado",D160),Config!$A$12:$A$15,0)),0)/30*MAX(1,N(E160)),0))</f>
        <v>0</v>
      </c>
      <c r="I160" s="29">
        <f>IF(OR(D160="",F160=""),"",ROUND(F160*H160,2))</f>
        <v>0</v>
      </c>
      <c r="J160" s="29">
        <f>IF(I160="","",F160-I160)</f>
        <v>130</v>
      </c>
      <c r="K160" s="29">
        <f>IF(J160="","",J160/MAX(1,N(E160)))</f>
        <v>130</v>
      </c>
      <c r="L160" s="37">
        <f>IF(OR(D160="",A160=""),"",A160+IF(AND(Config!$B$17="Sim",LEFT(D160,17)="Cartão de crédito"),1,IFERROR(INDEX(Config!$C$12:$C$15,MATCH(IF(AND(D160="Cartão de crédito",N(E160)&gt;1),"Cartão de crédito parcelado",D160),Config!$A$12:$A$15,0)),0)))</f>
        <v>46227.0</v>
      </c>
      <c r="M160" s="37">
        <f>IF(L160="","",IF(AND(Config!$B$17="Sim",LEFT(D160,17)="Cartão de crédito"),L160,L160+30*(MAX(1,N(E160))-1)))</f>
        <v>46227.0</v>
      </c>
      <c r="N160" s="29">
        <f>IF(OR(L160="",K160=""),"",K160*MIN(MAX(1,N(E160)),MAX(0,INT((Config!$B$8-L160)/30)+1)))</f>
        <v>130</v>
      </c>
      <c r="O160" s="29">
        <f>IF(J160="","",J160-N(N160))</f>
        <v>0</v>
      </c>
      <c r="P160" s="27">
        <f>IF(A160="","",MONTH(A160))</f>
        <v>7</v>
      </c>
      <c r="Q160" s="27">
        <f>IF(A160="","",YEAR(A160))</f>
        <v>2026</v>
      </c>
      <c r="R160" s="27" t="str">
        <f>IF(L160="","",IF(L160&gt;Config!$B$8,"A cair",IF(N(G160)&gt;=MIN(MAX(1,N(E160)),MAX(0,INT((Config!$B$8-L160)/30)+1)),IF(N(G160)&gt;=MAX(1,N(E160)),"Conferido","Conferido até aqui"),"A conferir")))</f>
        <v>Conferido</v>
      </c>
      <c r="S160" s="51">
        <f>IF(R160="A conferir",(Config!$B$8-L160)*1000+N(F160)/1000+ROW()/100000,0)</f>
        <v>0</v>
      </c>
      <c r="T160" s="51">
        <f>IF(R160="A conferir",N(N160),0)</f>
        <v>0</v>
      </c>
      <c r="U160" s="51">
        <f>IF(L160="",0,L160)</f>
        <v>46227.0</v>
      </c>
      <c r="V160" s="51">
        <f>IF(L160="",0,MAX(1,N(E160)))</f>
        <v>1</v>
      </c>
      <c r="W160" s="51">
        <f>IF(K160="",0,K160)</f>
        <v>130</v>
      </c>
    </row>
    <row r="161">
      <c r="A161" s="49" t="n">
        <v>46230</v>
      </c>
      <c r="B161" s="41" t="inlineStr">
        <is>
          <t>Eduardo Lima</t>
        </is>
      </c>
      <c r="C161" s="41" t="inlineStr">
        <is>
          <t>Consulta</t>
        </is>
      </c>
      <c r="D161" s="42" t="inlineStr">
        <is>
          <t>Cartão de crédito</t>
        </is>
      </c>
      <c r="E161" s="42" t="n"/>
      <c r="F161" s="50" t="n">
        <v>380</v>
      </c>
      <c r="G161" s="42" t="n">
        <v>1</v>
      </c>
      <c r="H161" s="30">
        <f>IF(D161="","",IFERROR(INDEX(Config!$B$12:$B$15,MATCH(IF(AND(D161="Cartão de crédito",N(E161)&gt;1),"Cartão de crédito parcelado",D161),Config!$A$12:$A$15,0)),0)+IF(AND(Config!$B$17="Sim",LEFT(D161,17)="Cartão de crédito"),Config!$B$18*IFERROR(INDEX(Config!$C$12:$C$15,MATCH(IF(AND(D161="Cartão de crédito",N(E161)&gt;1),"Cartão de crédito parcelado",D161),Config!$A$12:$A$15,0)),0)/30*MAX(1,N(E161)),0))</f>
        <v>0.032</v>
      </c>
      <c r="I161" s="29">
        <f>IF(OR(D161="",F161=""),"",ROUND(F161*H161,2))</f>
        <v>12.16</v>
      </c>
      <c r="J161" s="29">
        <f>IF(I161="","",F161-I161)</f>
        <v>367.84</v>
      </c>
      <c r="K161" s="29">
        <f>IF(J161="","",J161/MAX(1,N(E161)))</f>
        <v>367.84</v>
      </c>
      <c r="L161" s="37">
        <f>IF(OR(D161="",A161=""),"",A161+IF(AND(Config!$B$17="Sim",LEFT(D161,17)="Cartão de crédito"),1,IFERROR(INDEX(Config!$C$12:$C$15,MATCH(IF(AND(D161="Cartão de crédito",N(E161)&gt;1),"Cartão de crédito parcelado",D161),Config!$A$12:$A$15,0)),0)))</f>
        <v>46260.0</v>
      </c>
      <c r="M161" s="37">
        <f>IF(L161="","",IF(AND(Config!$B$17="Sim",LEFT(D161,17)="Cartão de crédito"),L161,L161+30*(MAX(1,N(E161))-1)))</f>
        <v>46260.0</v>
      </c>
      <c r="N161" s="29">
        <f>IF(OR(L161="",K161=""),"",K161*MIN(MAX(1,N(E161)),MAX(0,INT((Config!$B$8-L161)/30)+1)))</f>
        <v>367.84</v>
      </c>
      <c r="O161" s="29">
        <f>IF(J161="","",J161-N(N161))</f>
        <v>0</v>
      </c>
      <c r="P161" s="27">
        <f>IF(A161="","",MONTH(A161))</f>
        <v>7</v>
      </c>
      <c r="Q161" s="27">
        <f>IF(A161="","",YEAR(A161))</f>
        <v>2026</v>
      </c>
      <c r="R161" s="27" t="str">
        <f>IF(L161="","",IF(L161&gt;Config!$B$8,"A cair",IF(N(G161)&gt;=MIN(MAX(1,N(E161)),MAX(0,INT((Config!$B$8-L161)/30)+1)),IF(N(G161)&gt;=MAX(1,N(E161)),"Conferido","Conferido até aqui"),"A conferir")))</f>
        <v>Conferido</v>
      </c>
      <c r="S161" s="51">
        <f>IF(R161="A conferir",(Config!$B$8-L161)*1000+N(F161)/1000+ROW()/100000,0)</f>
        <v>0</v>
      </c>
      <c r="T161" s="51">
        <f>IF(R161="A conferir",N(N161),0)</f>
        <v>0</v>
      </c>
      <c r="U161" s="51">
        <f>IF(L161="",0,L161)</f>
        <v>46260.0</v>
      </c>
      <c r="V161" s="51">
        <f>IF(L161="",0,MAX(1,N(E161)))</f>
        <v>1</v>
      </c>
      <c r="W161" s="51">
        <f>IF(K161="",0,K161)</f>
        <v>367.84</v>
      </c>
    </row>
    <row r="162">
      <c r="A162" s="49" t="n">
        <v>46230</v>
      </c>
      <c r="B162" s="41" t="inlineStr">
        <is>
          <t>Débora Moreira</t>
        </is>
      </c>
      <c r="C162" s="41" t="inlineStr">
        <is>
          <t>Consulta</t>
        </is>
      </c>
      <c r="D162" s="42" t="inlineStr">
        <is>
          <t>Pix</t>
        </is>
      </c>
      <c r="E162" s="42" t="n"/>
      <c r="F162" s="50" t="n">
        <v>380</v>
      </c>
      <c r="G162" s="42" t="n">
        <v>1</v>
      </c>
      <c r="H162" s="30">
        <f>IF(D162="","",IFERROR(INDEX(Config!$B$12:$B$15,MATCH(IF(AND(D162="Cartão de crédito",N(E162)&gt;1),"Cartão de crédito parcelado",D162),Config!$A$12:$A$15,0)),0)+IF(AND(Config!$B$17="Sim",LEFT(D162,17)="Cartão de crédito"),Config!$B$18*IFERROR(INDEX(Config!$C$12:$C$15,MATCH(IF(AND(D162="Cartão de crédito",N(E162)&gt;1),"Cartão de crédito parcelado",D162),Config!$A$12:$A$15,0)),0)/30*MAX(1,N(E162)),0))</f>
        <v>0</v>
      </c>
      <c r="I162" s="29">
        <f>IF(OR(D162="",F162=""),"",ROUND(F162*H162,2))</f>
        <v>0</v>
      </c>
      <c r="J162" s="29">
        <f>IF(I162="","",F162-I162)</f>
        <v>380</v>
      </c>
      <c r="K162" s="29">
        <f>IF(J162="","",J162/MAX(1,N(E162)))</f>
        <v>380</v>
      </c>
      <c r="L162" s="37">
        <f>IF(OR(D162="",A162=""),"",A162+IF(AND(Config!$B$17="Sim",LEFT(D162,17)="Cartão de crédito"),1,IFERROR(INDEX(Config!$C$12:$C$15,MATCH(IF(AND(D162="Cartão de crédito",N(E162)&gt;1),"Cartão de crédito parcelado",D162),Config!$A$12:$A$15,0)),0)))</f>
        <v>46230.0</v>
      </c>
      <c r="M162" s="37">
        <f>IF(L162="","",IF(AND(Config!$B$17="Sim",LEFT(D162,17)="Cartão de crédito"),L162,L162+30*(MAX(1,N(E162))-1)))</f>
        <v>46230.0</v>
      </c>
      <c r="N162" s="29">
        <f>IF(OR(L162="",K162=""),"",K162*MIN(MAX(1,N(E162)),MAX(0,INT((Config!$B$8-L162)/30)+1)))</f>
        <v>380</v>
      </c>
      <c r="O162" s="29">
        <f>IF(J162="","",J162-N(N162))</f>
        <v>0</v>
      </c>
      <c r="P162" s="27">
        <f>IF(A162="","",MONTH(A162))</f>
        <v>7</v>
      </c>
      <c r="Q162" s="27">
        <f>IF(A162="","",YEAR(A162))</f>
        <v>2026</v>
      </c>
      <c r="R162" s="27" t="str">
        <f>IF(L162="","",IF(L162&gt;Config!$B$8,"A cair",IF(N(G162)&gt;=MIN(MAX(1,N(E162)),MAX(0,INT((Config!$B$8-L162)/30)+1)),IF(N(G162)&gt;=MAX(1,N(E162)),"Conferido","Conferido até aqui"),"A conferir")))</f>
        <v>Conferido</v>
      </c>
      <c r="S162" s="51">
        <f>IF(R162="A conferir",(Config!$B$8-L162)*1000+N(F162)/1000+ROW()/100000,0)</f>
        <v>0</v>
      </c>
      <c r="T162" s="51">
        <f>IF(R162="A conferir",N(N162),0)</f>
        <v>0</v>
      </c>
      <c r="U162" s="51">
        <f>IF(L162="",0,L162)</f>
        <v>46230.0</v>
      </c>
      <c r="V162" s="51">
        <f>IF(L162="",0,MAX(1,N(E162)))</f>
        <v>1</v>
      </c>
      <c r="W162" s="51">
        <f>IF(K162="",0,K162)</f>
        <v>380</v>
      </c>
    </row>
    <row r="163">
      <c r="A163" s="49" t="n">
        <v>46231</v>
      </c>
      <c r="B163" s="41" t="inlineStr">
        <is>
          <t>Gisele Ribeiro</t>
        </is>
      </c>
      <c r="C163" s="41" t="inlineStr">
        <is>
          <t>Consulta</t>
        </is>
      </c>
      <c r="D163" s="42" t="inlineStr">
        <is>
          <t>Cartão de débito</t>
        </is>
      </c>
      <c r="E163" s="42" t="n"/>
      <c r="F163" s="50" t="n">
        <v>380</v>
      </c>
      <c r="G163" s="42" t="n">
        <v>1</v>
      </c>
      <c r="H163" s="30">
        <f>IF(D163="","",IFERROR(INDEX(Config!$B$12:$B$15,MATCH(IF(AND(D163="Cartão de crédito",N(E163)&gt;1),"Cartão de crédito parcelado",D163),Config!$A$12:$A$15,0)),0)+IF(AND(Config!$B$17="Sim",LEFT(D163,17)="Cartão de crédito"),Config!$B$18*IFERROR(INDEX(Config!$C$12:$C$15,MATCH(IF(AND(D163="Cartão de crédito",N(E163)&gt;1),"Cartão de crédito parcelado",D163),Config!$A$12:$A$15,0)),0)/30*MAX(1,N(E163)),0))</f>
        <v>0.015</v>
      </c>
      <c r="I163" s="29">
        <f>IF(OR(D163="",F163=""),"",ROUND(F163*H163,2))</f>
        <v>5.7</v>
      </c>
      <c r="J163" s="29">
        <f>IF(I163="","",F163-I163)</f>
        <v>374.3</v>
      </c>
      <c r="K163" s="29">
        <f>IF(J163="","",J163/MAX(1,N(E163)))</f>
        <v>374.3</v>
      </c>
      <c r="L163" s="37">
        <f>IF(OR(D163="",A163=""),"",A163+IF(AND(Config!$B$17="Sim",LEFT(D163,17)="Cartão de crédito"),1,IFERROR(INDEX(Config!$C$12:$C$15,MATCH(IF(AND(D163="Cartão de crédito",N(E163)&gt;1),"Cartão de crédito parcelado",D163),Config!$A$12:$A$15,0)),0)))</f>
        <v>46232.0</v>
      </c>
      <c r="M163" s="37">
        <f>IF(L163="","",IF(AND(Config!$B$17="Sim",LEFT(D163,17)="Cartão de crédito"),L163,L163+30*(MAX(1,N(E163))-1)))</f>
        <v>46232.0</v>
      </c>
      <c r="N163" s="29">
        <f>IF(OR(L163="",K163=""),"",K163*MIN(MAX(1,N(E163)),MAX(0,INT((Config!$B$8-L163)/30)+1)))</f>
        <v>374.3</v>
      </c>
      <c r="O163" s="29">
        <f>IF(J163="","",J163-N(N163))</f>
        <v>0</v>
      </c>
      <c r="P163" s="27">
        <f>IF(A163="","",MONTH(A163))</f>
        <v>7</v>
      </c>
      <c r="Q163" s="27">
        <f>IF(A163="","",YEAR(A163))</f>
        <v>2026</v>
      </c>
      <c r="R163" s="27" t="str">
        <f>IF(L163="","",IF(L163&gt;Config!$B$8,"A cair",IF(N(G163)&gt;=MIN(MAX(1,N(E163)),MAX(0,INT((Config!$B$8-L163)/30)+1)),IF(N(G163)&gt;=MAX(1,N(E163)),"Conferido","Conferido até aqui"),"A conferir")))</f>
        <v>Conferido</v>
      </c>
      <c r="S163" s="51">
        <f>IF(R163="A conferir",(Config!$B$8-L163)*1000+N(F163)/1000+ROW()/100000,0)</f>
        <v>0</v>
      </c>
      <c r="T163" s="51">
        <f>IF(R163="A conferir",N(N163),0)</f>
        <v>0</v>
      </c>
      <c r="U163" s="51">
        <f>IF(L163="",0,L163)</f>
        <v>46232.0</v>
      </c>
      <c r="V163" s="51">
        <f>IF(L163="",0,MAX(1,N(E163)))</f>
        <v>1</v>
      </c>
      <c r="W163" s="51">
        <f>IF(K163="",0,K163)</f>
        <v>374.3</v>
      </c>
    </row>
    <row r="164">
      <c r="A164" s="49" t="n">
        <v>46231</v>
      </c>
      <c r="B164" s="41" t="inlineStr">
        <is>
          <t>Wagner Santos</t>
        </is>
      </c>
      <c r="C164" s="41" t="inlineStr">
        <is>
          <t>Consulta</t>
        </is>
      </c>
      <c r="D164" s="42" t="inlineStr">
        <is>
          <t>Cartão de crédito</t>
        </is>
      </c>
      <c r="E164" s="42" t="n"/>
      <c r="F164" s="50" t="n">
        <v>380</v>
      </c>
      <c r="G164" s="42" t="n">
        <v>1</v>
      </c>
      <c r="H164" s="30">
        <f>IF(D164="","",IFERROR(INDEX(Config!$B$12:$B$15,MATCH(IF(AND(D164="Cartão de crédito",N(E164)&gt;1),"Cartão de crédito parcelado",D164),Config!$A$12:$A$15,0)),0)+IF(AND(Config!$B$17="Sim",LEFT(D164,17)="Cartão de crédito"),Config!$B$18*IFERROR(INDEX(Config!$C$12:$C$15,MATCH(IF(AND(D164="Cartão de crédito",N(E164)&gt;1),"Cartão de crédito parcelado",D164),Config!$A$12:$A$15,0)),0)/30*MAX(1,N(E164)),0))</f>
        <v>0.032</v>
      </c>
      <c r="I164" s="29">
        <f>IF(OR(D164="",F164=""),"",ROUND(F164*H164,2))</f>
        <v>12.16</v>
      </c>
      <c r="J164" s="29">
        <f>IF(I164="","",F164-I164)</f>
        <v>367.84</v>
      </c>
      <c r="K164" s="29">
        <f>IF(J164="","",J164/MAX(1,N(E164)))</f>
        <v>367.84</v>
      </c>
      <c r="L164" s="37">
        <f>IF(OR(D164="",A164=""),"",A164+IF(AND(Config!$B$17="Sim",LEFT(D164,17)="Cartão de crédito"),1,IFERROR(INDEX(Config!$C$12:$C$15,MATCH(IF(AND(D164="Cartão de crédito",N(E164)&gt;1),"Cartão de crédito parcelado",D164),Config!$A$12:$A$15,0)),0)))</f>
        <v>46261.0</v>
      </c>
      <c r="M164" s="37">
        <f>IF(L164="","",IF(AND(Config!$B$17="Sim",LEFT(D164,17)="Cartão de crédito"),L164,L164+30*(MAX(1,N(E164))-1)))</f>
        <v>46261.0</v>
      </c>
      <c r="N164" s="29">
        <f>IF(OR(L164="",K164=""),"",K164*MIN(MAX(1,N(E164)),MAX(0,INT((Config!$B$8-L164)/30)+1)))</f>
        <v>367.84</v>
      </c>
      <c r="O164" s="29">
        <f>IF(J164="","",J164-N(N164))</f>
        <v>0</v>
      </c>
      <c r="P164" s="27">
        <f>IF(A164="","",MONTH(A164))</f>
        <v>7</v>
      </c>
      <c r="Q164" s="27">
        <f>IF(A164="","",YEAR(A164))</f>
        <v>2026</v>
      </c>
      <c r="R164" s="27" t="str">
        <f>IF(L164="","",IF(L164&gt;Config!$B$8,"A cair",IF(N(G164)&gt;=MIN(MAX(1,N(E164)),MAX(0,INT((Config!$B$8-L164)/30)+1)),IF(N(G164)&gt;=MAX(1,N(E164)),"Conferido","Conferido até aqui"),"A conferir")))</f>
        <v>Conferido</v>
      </c>
      <c r="S164" s="51">
        <f>IF(R164="A conferir",(Config!$B$8-L164)*1000+N(F164)/1000+ROW()/100000,0)</f>
        <v>0</v>
      </c>
      <c r="T164" s="51">
        <f>IF(R164="A conferir",N(N164),0)</f>
        <v>0</v>
      </c>
      <c r="U164" s="51">
        <f>IF(L164="",0,L164)</f>
        <v>46261.0</v>
      </c>
      <c r="V164" s="51">
        <f>IF(L164="",0,MAX(1,N(E164)))</f>
        <v>1</v>
      </c>
      <c r="W164" s="51">
        <f>IF(K164="",0,K164)</f>
        <v>367.84</v>
      </c>
    </row>
    <row r="165">
      <c r="A165" s="49" t="n">
        <v>46231</v>
      </c>
      <c r="B165" s="41" t="inlineStr">
        <is>
          <t>Carlos Freitas</t>
        </is>
      </c>
      <c r="C165" s="41" t="inlineStr">
        <is>
          <t>Avaliação endócrina</t>
        </is>
      </c>
      <c r="D165" s="42" t="inlineStr">
        <is>
          <t>Cartão de crédito</t>
        </is>
      </c>
      <c r="E165" s="42" t="n">
        <v>2</v>
      </c>
      <c r="F165" s="50" t="n">
        <v>400</v>
      </c>
      <c r="G165" s="42" t="n">
        <v>1</v>
      </c>
      <c r="H165" s="30">
        <f>IF(D165="","",IFERROR(INDEX(Config!$B$12:$B$15,MATCH(IF(AND(D165="Cartão de crédito",N(E165)&gt;1),"Cartão de crédito parcelado",D165),Config!$A$12:$A$15,0)),0)+IF(AND(Config!$B$17="Sim",LEFT(D165,17)="Cartão de crédito"),Config!$B$18*IFERROR(INDEX(Config!$C$12:$C$15,MATCH(IF(AND(D165="Cartão de crédito",N(E165)&gt;1),"Cartão de crédito parcelado",D165),Config!$A$12:$A$15,0)),0)/30*MAX(1,N(E165)),0))</f>
        <v>0.039</v>
      </c>
      <c r="I165" s="29">
        <f>IF(OR(D165="",F165=""),"",ROUND(F165*H165,2))</f>
        <v>15.6</v>
      </c>
      <c r="J165" s="29">
        <f>IF(I165="","",F165-I165)</f>
        <v>384.4</v>
      </c>
      <c r="K165" s="29">
        <f>IF(J165="","",J165/MAX(1,N(E165)))</f>
        <v>192.2</v>
      </c>
      <c r="L165" s="37">
        <f>IF(OR(D165="",A165=""),"",A165+IF(AND(Config!$B$17="Sim",LEFT(D165,17)="Cartão de crédito"),1,IFERROR(INDEX(Config!$C$12:$C$15,MATCH(IF(AND(D165="Cartão de crédito",N(E165)&gt;1),"Cartão de crédito parcelado",D165),Config!$A$12:$A$15,0)),0)))</f>
        <v>46261.0</v>
      </c>
      <c r="M165" s="37">
        <f>IF(L165="","",IF(AND(Config!$B$17="Sim",LEFT(D165,17)="Cartão de crédito"),L165,L165+30*(MAX(1,N(E165))-1)))</f>
        <v>46291.0</v>
      </c>
      <c r="N165" s="29">
        <f>IF(OR(L165="",K165=""),"",K165*MIN(MAX(1,N(E165)),MAX(0,INT((Config!$B$8-L165)/30)+1)))</f>
        <v>192.2</v>
      </c>
      <c r="O165" s="29">
        <f>IF(J165="","",J165-N(N165))</f>
        <v>192.2</v>
      </c>
      <c r="P165" s="27">
        <f>IF(A165="","",MONTH(A165))</f>
        <v>7</v>
      </c>
      <c r="Q165" s="27">
        <f>IF(A165="","",YEAR(A165))</f>
        <v>2026</v>
      </c>
      <c r="R165" s="27" t="str">
        <f>IF(L165="","",IF(L165&gt;Config!$B$8,"A cair",IF(N(G165)&gt;=MIN(MAX(1,N(E165)),MAX(0,INT((Config!$B$8-L165)/30)+1)),IF(N(G165)&gt;=MAX(1,N(E165)),"Conferido","Conferido até aqui"),"A conferir")))</f>
        <v>Conferido até aqui</v>
      </c>
      <c r="S165" s="51">
        <f>IF(R165="A conferir",(Config!$B$8-L165)*1000+N(F165)/1000+ROW()/100000,0)</f>
        <v>0</v>
      </c>
      <c r="T165" s="51">
        <f>IF(R165="A conferir",N(N165),0)</f>
        <v>0</v>
      </c>
      <c r="U165" s="51">
        <f>IF(L165="",0,L165)</f>
        <v>46261.0</v>
      </c>
      <c r="V165" s="51">
        <f>IF(L165="",0,MAX(1,N(E165)))</f>
        <v>2</v>
      </c>
      <c r="W165" s="51">
        <f>IF(K165="",0,K165)</f>
        <v>192.2</v>
      </c>
    </row>
    <row r="166">
      <c r="A166" s="49" t="n">
        <v>46231</v>
      </c>
      <c r="B166" s="41" t="inlineStr">
        <is>
          <t>Cláudia Melo</t>
        </is>
      </c>
      <c r="C166" s="41" t="inlineStr">
        <is>
          <t>Avaliação endócrina</t>
        </is>
      </c>
      <c r="D166" s="42" t="inlineStr">
        <is>
          <t>Pix</t>
        </is>
      </c>
      <c r="E166" s="42" t="n"/>
      <c r="F166" s="50" t="n">
        <v>400</v>
      </c>
      <c r="G166" s="42" t="n">
        <v>1</v>
      </c>
      <c r="H166" s="30">
        <f>IF(D166="","",IFERROR(INDEX(Config!$B$12:$B$15,MATCH(IF(AND(D166="Cartão de crédito",N(E166)&gt;1),"Cartão de crédito parcelado",D166),Config!$A$12:$A$15,0)),0)+IF(AND(Config!$B$17="Sim",LEFT(D166,17)="Cartão de crédito"),Config!$B$18*IFERROR(INDEX(Config!$C$12:$C$15,MATCH(IF(AND(D166="Cartão de crédito",N(E166)&gt;1),"Cartão de crédito parcelado",D166),Config!$A$12:$A$15,0)),0)/30*MAX(1,N(E166)),0))</f>
        <v>0</v>
      </c>
      <c r="I166" s="29">
        <f>IF(OR(D166="",F166=""),"",ROUND(F166*H166,2))</f>
        <v>0</v>
      </c>
      <c r="J166" s="29">
        <f>IF(I166="","",F166-I166)</f>
        <v>400</v>
      </c>
      <c r="K166" s="29">
        <f>IF(J166="","",J166/MAX(1,N(E166)))</f>
        <v>400</v>
      </c>
      <c r="L166" s="37">
        <f>IF(OR(D166="",A166=""),"",A166+IF(AND(Config!$B$17="Sim",LEFT(D166,17)="Cartão de crédito"),1,IFERROR(INDEX(Config!$C$12:$C$15,MATCH(IF(AND(D166="Cartão de crédito",N(E166)&gt;1),"Cartão de crédito parcelado",D166),Config!$A$12:$A$15,0)),0)))</f>
        <v>46231.0</v>
      </c>
      <c r="M166" s="37">
        <f>IF(L166="","",IF(AND(Config!$B$17="Sim",LEFT(D166,17)="Cartão de crédito"),L166,L166+30*(MAX(1,N(E166))-1)))</f>
        <v>46231.0</v>
      </c>
      <c r="N166" s="29">
        <f>IF(OR(L166="",K166=""),"",K166*MIN(MAX(1,N(E166)),MAX(0,INT((Config!$B$8-L166)/30)+1)))</f>
        <v>400</v>
      </c>
      <c r="O166" s="29">
        <f>IF(J166="","",J166-N(N166))</f>
        <v>0</v>
      </c>
      <c r="P166" s="27">
        <f>IF(A166="","",MONTH(A166))</f>
        <v>7</v>
      </c>
      <c r="Q166" s="27">
        <f>IF(A166="","",YEAR(A166))</f>
        <v>2026</v>
      </c>
      <c r="R166" s="27" t="str">
        <f>IF(L166="","",IF(L166&gt;Config!$B$8,"A cair",IF(N(G166)&gt;=MIN(MAX(1,N(E166)),MAX(0,INT((Config!$B$8-L166)/30)+1)),IF(N(G166)&gt;=MAX(1,N(E166)),"Conferido","Conferido até aqui"),"A conferir")))</f>
        <v>Conferido</v>
      </c>
      <c r="S166" s="51">
        <f>IF(R166="A conferir",(Config!$B$8-L166)*1000+N(F166)/1000+ROW()/100000,0)</f>
        <v>0</v>
      </c>
      <c r="T166" s="51">
        <f>IF(R166="A conferir",N(N166),0)</f>
        <v>0</v>
      </c>
      <c r="U166" s="51">
        <f>IF(L166="",0,L166)</f>
        <v>46231.0</v>
      </c>
      <c r="V166" s="51">
        <f>IF(L166="",0,MAX(1,N(E166)))</f>
        <v>1</v>
      </c>
      <c r="W166" s="51">
        <f>IF(K166="",0,K166)</f>
        <v>400</v>
      </c>
    </row>
    <row r="167">
      <c r="A167" s="49" t="n">
        <v>46231</v>
      </c>
      <c r="B167" s="41" t="inlineStr">
        <is>
          <t>Marcelo Ferreira</t>
        </is>
      </c>
      <c r="C167" s="41" t="inlineStr">
        <is>
          <t>Consulta</t>
        </is>
      </c>
      <c r="D167" s="42" t="inlineStr">
        <is>
          <t>Cartão de débito</t>
        </is>
      </c>
      <c r="E167" s="42" t="n"/>
      <c r="F167" s="50" t="n">
        <v>380</v>
      </c>
      <c r="G167" s="42" t="n">
        <v>1</v>
      </c>
      <c r="H167" s="30">
        <f>IF(D167="","",IFERROR(INDEX(Config!$B$12:$B$15,MATCH(IF(AND(D167="Cartão de crédito",N(E167)&gt;1),"Cartão de crédito parcelado",D167),Config!$A$12:$A$15,0)),0)+IF(AND(Config!$B$17="Sim",LEFT(D167,17)="Cartão de crédito"),Config!$B$18*IFERROR(INDEX(Config!$C$12:$C$15,MATCH(IF(AND(D167="Cartão de crédito",N(E167)&gt;1),"Cartão de crédito parcelado",D167),Config!$A$12:$A$15,0)),0)/30*MAX(1,N(E167)),0))</f>
        <v>0.015</v>
      </c>
      <c r="I167" s="29">
        <f>IF(OR(D167="",F167=""),"",ROUND(F167*H167,2))</f>
        <v>5.7</v>
      </c>
      <c r="J167" s="29">
        <f>IF(I167="","",F167-I167)</f>
        <v>374.3</v>
      </c>
      <c r="K167" s="29">
        <f>IF(J167="","",J167/MAX(1,N(E167)))</f>
        <v>374.3</v>
      </c>
      <c r="L167" s="37">
        <f>IF(OR(D167="",A167=""),"",A167+IF(AND(Config!$B$17="Sim",LEFT(D167,17)="Cartão de crédito"),1,IFERROR(INDEX(Config!$C$12:$C$15,MATCH(IF(AND(D167="Cartão de crédito",N(E167)&gt;1),"Cartão de crédito parcelado",D167),Config!$A$12:$A$15,0)),0)))</f>
        <v>46232.0</v>
      </c>
      <c r="M167" s="37">
        <f>IF(L167="","",IF(AND(Config!$B$17="Sim",LEFT(D167,17)="Cartão de crédito"),L167,L167+30*(MAX(1,N(E167))-1)))</f>
        <v>46232.0</v>
      </c>
      <c r="N167" s="29">
        <f>IF(OR(L167="",K167=""),"",K167*MIN(MAX(1,N(E167)),MAX(0,INT((Config!$B$8-L167)/30)+1)))</f>
        <v>374.3</v>
      </c>
      <c r="O167" s="29">
        <f>IF(J167="","",J167-N(N167))</f>
        <v>0</v>
      </c>
      <c r="P167" s="27">
        <f>IF(A167="","",MONTH(A167))</f>
        <v>7</v>
      </c>
      <c r="Q167" s="27">
        <f>IF(A167="","",YEAR(A167))</f>
        <v>2026</v>
      </c>
      <c r="R167" s="27" t="str">
        <f>IF(L167="","",IF(L167&gt;Config!$B$8,"A cair",IF(N(G167)&gt;=MIN(MAX(1,N(E167)),MAX(0,INT((Config!$B$8-L167)/30)+1)),IF(N(G167)&gt;=MAX(1,N(E167)),"Conferido","Conferido até aqui"),"A conferir")))</f>
        <v>Conferido</v>
      </c>
      <c r="S167" s="51">
        <f>IF(R167="A conferir",(Config!$B$8-L167)*1000+N(F167)/1000+ROW()/100000,0)</f>
        <v>0</v>
      </c>
      <c r="T167" s="51">
        <f>IF(R167="A conferir",N(N167),0)</f>
        <v>0</v>
      </c>
      <c r="U167" s="51">
        <f>IF(L167="",0,L167)</f>
        <v>46232.0</v>
      </c>
      <c r="V167" s="51">
        <f>IF(L167="",0,MAX(1,N(E167)))</f>
        <v>1</v>
      </c>
      <c r="W167" s="51">
        <f>IF(K167="",0,K167)</f>
        <v>374.3</v>
      </c>
    </row>
    <row r="168">
      <c r="A168" s="49" t="n">
        <v>46231</v>
      </c>
      <c r="B168" s="41" t="inlineStr">
        <is>
          <t>Fernanda Freitas</t>
        </is>
      </c>
      <c r="C168" s="41" t="inlineStr">
        <is>
          <t>Teste ergométrico</t>
        </is>
      </c>
      <c r="D168" s="42" t="inlineStr">
        <is>
          <t>Cartão de crédito</t>
        </is>
      </c>
      <c r="E168" s="42" t="n"/>
      <c r="F168" s="50" t="n">
        <v>450</v>
      </c>
      <c r="G168" s="42" t="n">
        <v>1</v>
      </c>
      <c r="H168" s="30">
        <f>IF(D168="","",IFERROR(INDEX(Config!$B$12:$B$15,MATCH(IF(AND(D168="Cartão de crédito",N(E168)&gt;1),"Cartão de crédito parcelado",D168),Config!$A$12:$A$15,0)),0)+IF(AND(Config!$B$17="Sim",LEFT(D168,17)="Cartão de crédito"),Config!$B$18*IFERROR(INDEX(Config!$C$12:$C$15,MATCH(IF(AND(D168="Cartão de crédito",N(E168)&gt;1),"Cartão de crédito parcelado",D168),Config!$A$12:$A$15,0)),0)/30*MAX(1,N(E168)),0))</f>
        <v>0.032</v>
      </c>
      <c r="I168" s="29">
        <f>IF(OR(D168="",F168=""),"",ROUND(F168*H168,2))</f>
        <v>14.4</v>
      </c>
      <c r="J168" s="29">
        <f>IF(I168="","",F168-I168)</f>
        <v>435.6</v>
      </c>
      <c r="K168" s="29">
        <f>IF(J168="","",J168/MAX(1,N(E168)))</f>
        <v>435.6</v>
      </c>
      <c r="L168" s="37">
        <f>IF(OR(D168="",A168=""),"",A168+IF(AND(Config!$B$17="Sim",LEFT(D168,17)="Cartão de crédito"),1,IFERROR(INDEX(Config!$C$12:$C$15,MATCH(IF(AND(D168="Cartão de crédito",N(E168)&gt;1),"Cartão de crédito parcelado",D168),Config!$A$12:$A$15,0)),0)))</f>
        <v>46261.0</v>
      </c>
      <c r="M168" s="37">
        <f>IF(L168="","",IF(AND(Config!$B$17="Sim",LEFT(D168,17)="Cartão de crédito"),L168,L168+30*(MAX(1,N(E168))-1)))</f>
        <v>46261.0</v>
      </c>
      <c r="N168" s="29">
        <f>IF(OR(L168="",K168=""),"",K168*MIN(MAX(1,N(E168)),MAX(0,INT((Config!$B$8-L168)/30)+1)))</f>
        <v>435.6</v>
      </c>
      <c r="O168" s="29">
        <f>IF(J168="","",J168-N(N168))</f>
        <v>0</v>
      </c>
      <c r="P168" s="27">
        <f>IF(A168="","",MONTH(A168))</f>
        <v>7</v>
      </c>
      <c r="Q168" s="27">
        <f>IF(A168="","",YEAR(A168))</f>
        <v>2026</v>
      </c>
      <c r="R168" s="27" t="str">
        <f>IF(L168="","",IF(L168&gt;Config!$B$8,"A cair",IF(N(G168)&gt;=MIN(MAX(1,N(E168)),MAX(0,INT((Config!$B$8-L168)/30)+1)),IF(N(G168)&gt;=MAX(1,N(E168)),"Conferido","Conferido até aqui"),"A conferir")))</f>
        <v>Conferido</v>
      </c>
      <c r="S168" s="51">
        <f>IF(R168="A conferir",(Config!$B$8-L168)*1000+N(F168)/1000+ROW()/100000,0)</f>
        <v>0</v>
      </c>
      <c r="T168" s="51">
        <f>IF(R168="A conferir",N(N168),0)</f>
        <v>0</v>
      </c>
      <c r="U168" s="51">
        <f>IF(L168="",0,L168)</f>
        <v>46261.0</v>
      </c>
      <c r="V168" s="51">
        <f>IF(L168="",0,MAX(1,N(E168)))</f>
        <v>1</v>
      </c>
      <c r="W168" s="51">
        <f>IF(K168="",0,K168)</f>
        <v>435.6</v>
      </c>
    </row>
    <row r="169">
      <c r="A169" s="49" t="n">
        <v>46232</v>
      </c>
      <c r="B169" s="41" t="inlineStr">
        <is>
          <t>Gisele Xavier</t>
        </is>
      </c>
      <c r="C169" s="41" t="inlineStr">
        <is>
          <t>Consulta</t>
        </is>
      </c>
      <c r="D169" s="42" t="inlineStr">
        <is>
          <t>Pix</t>
        </is>
      </c>
      <c r="E169" s="42" t="n"/>
      <c r="F169" s="50" t="n">
        <v>380</v>
      </c>
      <c r="G169" s="42" t="n">
        <v>1</v>
      </c>
      <c r="H169" s="30">
        <f>IF(D169="","",IFERROR(INDEX(Config!$B$12:$B$15,MATCH(IF(AND(D169="Cartão de crédito",N(E169)&gt;1),"Cartão de crédito parcelado",D169),Config!$A$12:$A$15,0)),0)+IF(AND(Config!$B$17="Sim",LEFT(D169,17)="Cartão de crédito"),Config!$B$18*IFERROR(INDEX(Config!$C$12:$C$15,MATCH(IF(AND(D169="Cartão de crédito",N(E169)&gt;1),"Cartão de crédito parcelado",D169),Config!$A$12:$A$15,0)),0)/30*MAX(1,N(E169)),0))</f>
        <v>0</v>
      </c>
      <c r="I169" s="29">
        <f>IF(OR(D169="",F169=""),"",ROUND(F169*H169,2))</f>
        <v>0</v>
      </c>
      <c r="J169" s="29">
        <f>IF(I169="","",F169-I169)</f>
        <v>380</v>
      </c>
      <c r="K169" s="29">
        <f>IF(J169="","",J169/MAX(1,N(E169)))</f>
        <v>380</v>
      </c>
      <c r="L169" s="37">
        <f>IF(OR(D169="",A169=""),"",A169+IF(AND(Config!$B$17="Sim",LEFT(D169,17)="Cartão de crédito"),1,IFERROR(INDEX(Config!$C$12:$C$15,MATCH(IF(AND(D169="Cartão de crédito",N(E169)&gt;1),"Cartão de crédito parcelado",D169),Config!$A$12:$A$15,0)),0)))</f>
        <v>46232.0</v>
      </c>
      <c r="M169" s="37">
        <f>IF(L169="","",IF(AND(Config!$B$17="Sim",LEFT(D169,17)="Cartão de crédito"),L169,L169+30*(MAX(1,N(E169))-1)))</f>
        <v>46232.0</v>
      </c>
      <c r="N169" s="29">
        <f>IF(OR(L169="",K169=""),"",K169*MIN(MAX(1,N(E169)),MAX(0,INT((Config!$B$8-L169)/30)+1)))</f>
        <v>380</v>
      </c>
      <c r="O169" s="29">
        <f>IF(J169="","",J169-N(N169))</f>
        <v>0</v>
      </c>
      <c r="P169" s="27">
        <f>IF(A169="","",MONTH(A169))</f>
        <v>7</v>
      </c>
      <c r="Q169" s="27">
        <f>IF(A169="","",YEAR(A169))</f>
        <v>2026</v>
      </c>
      <c r="R169" s="27" t="str">
        <f>IF(L169="","",IF(L169&gt;Config!$B$8,"A cair",IF(N(G169)&gt;=MIN(MAX(1,N(E169)),MAX(0,INT((Config!$B$8-L169)/30)+1)),IF(N(G169)&gt;=MAX(1,N(E169)),"Conferido","Conferido até aqui"),"A conferir")))</f>
        <v>Conferido</v>
      </c>
      <c r="S169" s="51">
        <f>IF(R169="A conferir",(Config!$B$8-L169)*1000+N(F169)/1000+ROW()/100000,0)</f>
        <v>0</v>
      </c>
      <c r="T169" s="51">
        <f>IF(R169="A conferir",N(N169),0)</f>
        <v>0</v>
      </c>
      <c r="U169" s="51">
        <f>IF(L169="",0,L169)</f>
        <v>46232.0</v>
      </c>
      <c r="V169" s="51">
        <f>IF(L169="",0,MAX(1,N(E169)))</f>
        <v>1</v>
      </c>
      <c r="W169" s="51">
        <f>IF(K169="",0,K169)</f>
        <v>380</v>
      </c>
    </row>
    <row r="170">
      <c r="A170" s="49" t="n">
        <v>46232</v>
      </c>
      <c r="B170" s="41" t="inlineStr">
        <is>
          <t>Cláudia Santos</t>
        </is>
      </c>
      <c r="C170" s="41" t="inlineStr">
        <is>
          <t>Consulta</t>
        </is>
      </c>
      <c r="D170" s="42" t="inlineStr">
        <is>
          <t>Pix</t>
        </is>
      </c>
      <c r="E170" s="42" t="n"/>
      <c r="F170" s="50" t="n">
        <v>380</v>
      </c>
      <c r="G170" s="42" t="n">
        <v>1</v>
      </c>
      <c r="H170" s="30">
        <f>IF(D170="","",IFERROR(INDEX(Config!$B$12:$B$15,MATCH(IF(AND(D170="Cartão de crédito",N(E170)&gt;1),"Cartão de crédito parcelado",D170),Config!$A$12:$A$15,0)),0)+IF(AND(Config!$B$17="Sim",LEFT(D170,17)="Cartão de crédito"),Config!$B$18*IFERROR(INDEX(Config!$C$12:$C$15,MATCH(IF(AND(D170="Cartão de crédito",N(E170)&gt;1),"Cartão de crédito parcelado",D170),Config!$A$12:$A$15,0)),0)/30*MAX(1,N(E170)),0))</f>
        <v>0</v>
      </c>
      <c r="I170" s="29">
        <f>IF(OR(D170="",F170=""),"",ROUND(F170*H170,2))</f>
        <v>0</v>
      </c>
      <c r="J170" s="29">
        <f>IF(I170="","",F170-I170)</f>
        <v>380</v>
      </c>
      <c r="K170" s="29">
        <f>IF(J170="","",J170/MAX(1,N(E170)))</f>
        <v>380</v>
      </c>
      <c r="L170" s="37">
        <f>IF(OR(D170="",A170=""),"",A170+IF(AND(Config!$B$17="Sim",LEFT(D170,17)="Cartão de crédito"),1,IFERROR(INDEX(Config!$C$12:$C$15,MATCH(IF(AND(D170="Cartão de crédito",N(E170)&gt;1),"Cartão de crédito parcelado",D170),Config!$A$12:$A$15,0)),0)))</f>
        <v>46232.0</v>
      </c>
      <c r="M170" s="37">
        <f>IF(L170="","",IF(AND(Config!$B$17="Sim",LEFT(D170,17)="Cartão de crédito"),L170,L170+30*(MAX(1,N(E170))-1)))</f>
        <v>46232.0</v>
      </c>
      <c r="N170" s="29">
        <f>IF(OR(L170="",K170=""),"",K170*MIN(MAX(1,N(E170)),MAX(0,INT((Config!$B$8-L170)/30)+1)))</f>
        <v>380</v>
      </c>
      <c r="O170" s="29">
        <f>IF(J170="","",J170-N(N170))</f>
        <v>0</v>
      </c>
      <c r="P170" s="27">
        <f>IF(A170="","",MONTH(A170))</f>
        <v>7</v>
      </c>
      <c r="Q170" s="27">
        <f>IF(A170="","",YEAR(A170))</f>
        <v>2026</v>
      </c>
      <c r="R170" s="27" t="str">
        <f>IF(L170="","",IF(L170&gt;Config!$B$8,"A cair",IF(N(G170)&gt;=MIN(MAX(1,N(E170)),MAX(0,INT((Config!$B$8-L170)/30)+1)),IF(N(G170)&gt;=MAX(1,N(E170)),"Conferido","Conferido até aqui"),"A conferir")))</f>
        <v>Conferido</v>
      </c>
      <c r="S170" s="51">
        <f>IF(R170="A conferir",(Config!$B$8-L170)*1000+N(F170)/1000+ROW()/100000,0)</f>
        <v>0</v>
      </c>
      <c r="T170" s="51">
        <f>IF(R170="A conferir",N(N170),0)</f>
        <v>0</v>
      </c>
      <c r="U170" s="51">
        <f>IF(L170="",0,L170)</f>
        <v>46232.0</v>
      </c>
      <c r="V170" s="51">
        <f>IF(L170="",0,MAX(1,N(E170)))</f>
        <v>1</v>
      </c>
      <c r="W170" s="51">
        <f>IF(K170="",0,K170)</f>
        <v>380</v>
      </c>
    </row>
    <row r="171">
      <c r="A171" s="49" t="n">
        <v>46232</v>
      </c>
      <c r="B171" s="41" t="inlineStr">
        <is>
          <t>Gustavo Ferreira</t>
        </is>
      </c>
      <c r="C171" s="41" t="inlineStr">
        <is>
          <t>Consulta</t>
        </is>
      </c>
      <c r="D171" s="42" t="inlineStr">
        <is>
          <t>Cartão de débito</t>
        </is>
      </c>
      <c r="E171" s="42" t="n"/>
      <c r="F171" s="50" t="n">
        <v>380</v>
      </c>
      <c r="G171" s="42" t="n">
        <v>1</v>
      </c>
      <c r="H171" s="30">
        <f>IF(D171="","",IFERROR(INDEX(Config!$B$12:$B$15,MATCH(IF(AND(D171="Cartão de crédito",N(E171)&gt;1),"Cartão de crédito parcelado",D171),Config!$A$12:$A$15,0)),0)+IF(AND(Config!$B$17="Sim",LEFT(D171,17)="Cartão de crédito"),Config!$B$18*IFERROR(INDEX(Config!$C$12:$C$15,MATCH(IF(AND(D171="Cartão de crédito",N(E171)&gt;1),"Cartão de crédito parcelado",D171),Config!$A$12:$A$15,0)),0)/30*MAX(1,N(E171)),0))</f>
        <v>0.015</v>
      </c>
      <c r="I171" s="29">
        <f>IF(OR(D171="",F171=""),"",ROUND(F171*H171,2))</f>
        <v>5.7</v>
      </c>
      <c r="J171" s="29">
        <f>IF(I171="","",F171-I171)</f>
        <v>374.3</v>
      </c>
      <c r="K171" s="29">
        <f>IF(J171="","",J171/MAX(1,N(E171)))</f>
        <v>374.3</v>
      </c>
      <c r="L171" s="37">
        <f>IF(OR(D171="",A171=""),"",A171+IF(AND(Config!$B$17="Sim",LEFT(D171,17)="Cartão de crédito"),1,IFERROR(INDEX(Config!$C$12:$C$15,MATCH(IF(AND(D171="Cartão de crédito",N(E171)&gt;1),"Cartão de crédito parcelado",D171),Config!$A$12:$A$15,0)),0)))</f>
        <v>46233.0</v>
      </c>
      <c r="M171" s="37">
        <f>IF(L171="","",IF(AND(Config!$B$17="Sim",LEFT(D171,17)="Cartão de crédito"),L171,L171+30*(MAX(1,N(E171))-1)))</f>
        <v>46233.0</v>
      </c>
      <c r="N171" s="29">
        <f>IF(OR(L171="",K171=""),"",K171*MIN(MAX(1,N(E171)),MAX(0,INT((Config!$B$8-L171)/30)+1)))</f>
        <v>374.3</v>
      </c>
      <c r="O171" s="29">
        <f>IF(J171="","",J171-N(N171))</f>
        <v>0</v>
      </c>
      <c r="P171" s="27">
        <f>IF(A171="","",MONTH(A171))</f>
        <v>7</v>
      </c>
      <c r="Q171" s="27">
        <f>IF(A171="","",YEAR(A171))</f>
        <v>2026</v>
      </c>
      <c r="R171" s="27" t="str">
        <f>IF(L171="","",IF(L171&gt;Config!$B$8,"A cair",IF(N(G171)&gt;=MIN(MAX(1,N(E171)),MAX(0,INT((Config!$B$8-L171)/30)+1)),IF(N(G171)&gt;=MAX(1,N(E171)),"Conferido","Conferido até aqui"),"A conferir")))</f>
        <v>Conferido</v>
      </c>
      <c r="S171" s="51">
        <f>IF(R171="A conferir",(Config!$B$8-L171)*1000+N(F171)/1000+ROW()/100000,0)</f>
        <v>0</v>
      </c>
      <c r="T171" s="51">
        <f>IF(R171="A conferir",N(N171),0)</f>
        <v>0</v>
      </c>
      <c r="U171" s="51">
        <f>IF(L171="",0,L171)</f>
        <v>46233.0</v>
      </c>
      <c r="V171" s="51">
        <f>IF(L171="",0,MAX(1,N(E171)))</f>
        <v>1</v>
      </c>
      <c r="W171" s="51">
        <f>IF(K171="",0,K171)</f>
        <v>374.3</v>
      </c>
    </row>
    <row r="172">
      <c r="A172" s="49" t="n">
        <v>46232</v>
      </c>
      <c r="B172" s="41" t="inlineStr">
        <is>
          <t>Rafael Dias</t>
        </is>
      </c>
      <c r="C172" s="41" t="inlineStr">
        <is>
          <t>Consulta</t>
        </is>
      </c>
      <c r="D172" s="42" t="inlineStr">
        <is>
          <t>Cartão de débito</t>
        </is>
      </c>
      <c r="E172" s="42" t="n"/>
      <c r="F172" s="50" t="n">
        <v>380</v>
      </c>
      <c r="G172" s="42" t="n">
        <v>1</v>
      </c>
      <c r="H172" s="30">
        <f>IF(D172="","",IFERROR(INDEX(Config!$B$12:$B$15,MATCH(IF(AND(D172="Cartão de crédito",N(E172)&gt;1),"Cartão de crédito parcelado",D172),Config!$A$12:$A$15,0)),0)+IF(AND(Config!$B$17="Sim",LEFT(D172,17)="Cartão de crédito"),Config!$B$18*IFERROR(INDEX(Config!$C$12:$C$15,MATCH(IF(AND(D172="Cartão de crédito",N(E172)&gt;1),"Cartão de crédito parcelado",D172),Config!$A$12:$A$15,0)),0)/30*MAX(1,N(E172)),0))</f>
        <v>0.015</v>
      </c>
      <c r="I172" s="29">
        <f>IF(OR(D172="",F172=""),"",ROUND(F172*H172,2))</f>
        <v>5.7</v>
      </c>
      <c r="J172" s="29">
        <f>IF(I172="","",F172-I172)</f>
        <v>374.3</v>
      </c>
      <c r="K172" s="29">
        <f>IF(J172="","",J172/MAX(1,N(E172)))</f>
        <v>374.3</v>
      </c>
      <c r="L172" s="37">
        <f>IF(OR(D172="",A172=""),"",A172+IF(AND(Config!$B$17="Sim",LEFT(D172,17)="Cartão de crédito"),1,IFERROR(INDEX(Config!$C$12:$C$15,MATCH(IF(AND(D172="Cartão de crédito",N(E172)&gt;1),"Cartão de crédito parcelado",D172),Config!$A$12:$A$15,0)),0)))</f>
        <v>46233.0</v>
      </c>
      <c r="M172" s="37">
        <f>IF(L172="","",IF(AND(Config!$B$17="Sim",LEFT(D172,17)="Cartão de crédito"),L172,L172+30*(MAX(1,N(E172))-1)))</f>
        <v>46233.0</v>
      </c>
      <c r="N172" s="29">
        <f>IF(OR(L172="",K172=""),"",K172*MIN(MAX(1,N(E172)),MAX(0,INT((Config!$B$8-L172)/30)+1)))</f>
        <v>374.3</v>
      </c>
      <c r="O172" s="29">
        <f>IF(J172="","",J172-N(N172))</f>
        <v>0</v>
      </c>
      <c r="P172" s="27">
        <f>IF(A172="","",MONTH(A172))</f>
        <v>7</v>
      </c>
      <c r="Q172" s="27">
        <f>IF(A172="","",YEAR(A172))</f>
        <v>2026</v>
      </c>
      <c r="R172" s="27" t="str">
        <f>IF(L172="","",IF(L172&gt;Config!$B$8,"A cair",IF(N(G172)&gt;=MIN(MAX(1,N(E172)),MAX(0,INT((Config!$B$8-L172)/30)+1)),IF(N(G172)&gt;=MAX(1,N(E172)),"Conferido","Conferido até aqui"),"A conferir")))</f>
        <v>Conferido</v>
      </c>
      <c r="S172" s="51">
        <f>IF(R172="A conferir",(Config!$B$8-L172)*1000+N(F172)/1000+ROW()/100000,0)</f>
        <v>0</v>
      </c>
      <c r="T172" s="51">
        <f>IF(R172="A conferir",N(N172),0)</f>
        <v>0</v>
      </c>
      <c r="U172" s="51">
        <f>IF(L172="",0,L172)</f>
        <v>46233.0</v>
      </c>
      <c r="V172" s="51">
        <f>IF(L172="",0,MAX(1,N(E172)))</f>
        <v>1</v>
      </c>
      <c r="W172" s="51">
        <f>IF(K172="",0,K172)</f>
        <v>374.3</v>
      </c>
    </row>
    <row r="173">
      <c r="A173" s="49" t="n">
        <v>46233</v>
      </c>
      <c r="B173" s="41" t="inlineStr">
        <is>
          <t>Regina Macedo</t>
        </is>
      </c>
      <c r="C173" s="41" t="inlineStr">
        <is>
          <t>Consulta</t>
        </is>
      </c>
      <c r="D173" s="42" t="inlineStr">
        <is>
          <t>Pix</t>
        </is>
      </c>
      <c r="E173" s="42" t="n"/>
      <c r="F173" s="50" t="n">
        <v>380</v>
      </c>
      <c r="G173" s="42" t="n">
        <v>1</v>
      </c>
      <c r="H173" s="30">
        <f>IF(D173="","",IFERROR(INDEX(Config!$B$12:$B$15,MATCH(IF(AND(D173="Cartão de crédito",N(E173)&gt;1),"Cartão de crédito parcelado",D173),Config!$A$12:$A$15,0)),0)+IF(AND(Config!$B$17="Sim",LEFT(D173,17)="Cartão de crédito"),Config!$B$18*IFERROR(INDEX(Config!$C$12:$C$15,MATCH(IF(AND(D173="Cartão de crédito",N(E173)&gt;1),"Cartão de crédito parcelado",D173),Config!$A$12:$A$15,0)),0)/30*MAX(1,N(E173)),0))</f>
        <v>0</v>
      </c>
      <c r="I173" s="29">
        <f>IF(OR(D173="",F173=""),"",ROUND(F173*H173,2))</f>
        <v>0</v>
      </c>
      <c r="J173" s="29">
        <f>IF(I173="","",F173-I173)</f>
        <v>380</v>
      </c>
      <c r="K173" s="29">
        <f>IF(J173="","",J173/MAX(1,N(E173)))</f>
        <v>380</v>
      </c>
      <c r="L173" s="37">
        <f>IF(OR(D173="",A173=""),"",A173+IF(AND(Config!$B$17="Sim",LEFT(D173,17)="Cartão de crédito"),1,IFERROR(INDEX(Config!$C$12:$C$15,MATCH(IF(AND(D173="Cartão de crédito",N(E173)&gt;1),"Cartão de crédito parcelado",D173),Config!$A$12:$A$15,0)),0)))</f>
        <v>46233.0</v>
      </c>
      <c r="M173" s="37">
        <f>IF(L173="","",IF(AND(Config!$B$17="Sim",LEFT(D173,17)="Cartão de crédito"),L173,L173+30*(MAX(1,N(E173))-1)))</f>
        <v>46233.0</v>
      </c>
      <c r="N173" s="29">
        <f>IF(OR(L173="",K173=""),"",K173*MIN(MAX(1,N(E173)),MAX(0,INT((Config!$B$8-L173)/30)+1)))</f>
        <v>380</v>
      </c>
      <c r="O173" s="29">
        <f>IF(J173="","",J173-N(N173))</f>
        <v>0</v>
      </c>
      <c r="P173" s="27">
        <f>IF(A173="","",MONTH(A173))</f>
        <v>7</v>
      </c>
      <c r="Q173" s="27">
        <f>IF(A173="","",YEAR(A173))</f>
        <v>2026</v>
      </c>
      <c r="R173" s="27" t="str">
        <f>IF(L173="","",IF(L173&gt;Config!$B$8,"A cair",IF(N(G173)&gt;=MIN(MAX(1,N(E173)),MAX(0,INT((Config!$B$8-L173)/30)+1)),IF(N(G173)&gt;=MAX(1,N(E173)),"Conferido","Conferido até aqui"),"A conferir")))</f>
        <v>Conferido</v>
      </c>
      <c r="S173" s="51">
        <f>IF(R173="A conferir",(Config!$B$8-L173)*1000+N(F173)/1000+ROW()/100000,0)</f>
        <v>0</v>
      </c>
      <c r="T173" s="51">
        <f>IF(R173="A conferir",N(N173),0)</f>
        <v>0</v>
      </c>
      <c r="U173" s="51">
        <f>IF(L173="",0,L173)</f>
        <v>46233.0</v>
      </c>
      <c r="V173" s="51">
        <f>IF(L173="",0,MAX(1,N(E173)))</f>
        <v>1</v>
      </c>
      <c r="W173" s="51">
        <f>IF(K173="",0,K173)</f>
        <v>380</v>
      </c>
    </row>
    <row r="174">
      <c r="A174" s="49" t="n">
        <v>46233</v>
      </c>
      <c r="B174" s="41" t="inlineStr">
        <is>
          <t>Roberta Araújo</t>
        </is>
      </c>
      <c r="C174" s="41" t="inlineStr">
        <is>
          <t>Consulta</t>
        </is>
      </c>
      <c r="D174" s="42" t="inlineStr">
        <is>
          <t>Pix</t>
        </is>
      </c>
      <c r="E174" s="42" t="n"/>
      <c r="F174" s="50" t="n">
        <v>380</v>
      </c>
      <c r="G174" s="42" t="n">
        <v>1</v>
      </c>
      <c r="H174" s="30">
        <f>IF(D174="","",IFERROR(INDEX(Config!$B$12:$B$15,MATCH(IF(AND(D174="Cartão de crédito",N(E174)&gt;1),"Cartão de crédito parcelado",D174),Config!$A$12:$A$15,0)),0)+IF(AND(Config!$B$17="Sim",LEFT(D174,17)="Cartão de crédito"),Config!$B$18*IFERROR(INDEX(Config!$C$12:$C$15,MATCH(IF(AND(D174="Cartão de crédito",N(E174)&gt;1),"Cartão de crédito parcelado",D174),Config!$A$12:$A$15,0)),0)/30*MAX(1,N(E174)),0))</f>
        <v>0</v>
      </c>
      <c r="I174" s="29">
        <f>IF(OR(D174="",F174=""),"",ROUND(F174*H174,2))</f>
        <v>0</v>
      </c>
      <c r="J174" s="29">
        <f>IF(I174="","",F174-I174)</f>
        <v>380</v>
      </c>
      <c r="K174" s="29">
        <f>IF(J174="","",J174/MAX(1,N(E174)))</f>
        <v>380</v>
      </c>
      <c r="L174" s="37">
        <f>IF(OR(D174="",A174=""),"",A174+IF(AND(Config!$B$17="Sim",LEFT(D174,17)="Cartão de crédito"),1,IFERROR(INDEX(Config!$C$12:$C$15,MATCH(IF(AND(D174="Cartão de crédito",N(E174)&gt;1),"Cartão de crédito parcelado",D174),Config!$A$12:$A$15,0)),0)))</f>
        <v>46233.0</v>
      </c>
      <c r="M174" s="37">
        <f>IF(L174="","",IF(AND(Config!$B$17="Sim",LEFT(D174,17)="Cartão de crédito"),L174,L174+30*(MAX(1,N(E174))-1)))</f>
        <v>46233.0</v>
      </c>
      <c r="N174" s="29">
        <f>IF(OR(L174="",K174=""),"",K174*MIN(MAX(1,N(E174)),MAX(0,INT((Config!$B$8-L174)/30)+1)))</f>
        <v>380</v>
      </c>
      <c r="O174" s="29">
        <f>IF(J174="","",J174-N(N174))</f>
        <v>0</v>
      </c>
      <c r="P174" s="27">
        <f>IF(A174="","",MONTH(A174))</f>
        <v>7</v>
      </c>
      <c r="Q174" s="27">
        <f>IF(A174="","",YEAR(A174))</f>
        <v>2026</v>
      </c>
      <c r="R174" s="27" t="str">
        <f>IF(L174="","",IF(L174&gt;Config!$B$8,"A cair",IF(N(G174)&gt;=MIN(MAX(1,N(E174)),MAX(0,INT((Config!$B$8-L174)/30)+1)),IF(N(G174)&gt;=MAX(1,N(E174)),"Conferido","Conferido até aqui"),"A conferir")))</f>
        <v>Conferido</v>
      </c>
      <c r="S174" s="51">
        <f>IF(R174="A conferir",(Config!$B$8-L174)*1000+N(F174)/1000+ROW()/100000,0)</f>
        <v>0</v>
      </c>
      <c r="T174" s="51">
        <f>IF(R174="A conferir",N(N174),0)</f>
        <v>0</v>
      </c>
      <c r="U174" s="51">
        <f>IF(L174="",0,L174)</f>
        <v>46233.0</v>
      </c>
      <c r="V174" s="51">
        <f>IF(L174="",0,MAX(1,N(E174)))</f>
        <v>1</v>
      </c>
      <c r="W174" s="51">
        <f>IF(K174="",0,K174)</f>
        <v>380</v>
      </c>
    </row>
    <row r="175">
      <c r="A175" s="49" t="n">
        <v>46233</v>
      </c>
      <c r="B175" s="41" t="inlineStr">
        <is>
          <t>Patrícia Dias</t>
        </is>
      </c>
      <c r="C175" s="41" t="inlineStr">
        <is>
          <t>Avaliação endócrina</t>
        </is>
      </c>
      <c r="D175" s="42" t="inlineStr">
        <is>
          <t>Cartão de crédito</t>
        </is>
      </c>
      <c r="E175" s="42" t="n"/>
      <c r="F175" s="50" t="n">
        <v>400</v>
      </c>
      <c r="G175" s="42" t="n">
        <v>1</v>
      </c>
      <c r="H175" s="30">
        <f>IF(D175="","",IFERROR(INDEX(Config!$B$12:$B$15,MATCH(IF(AND(D175="Cartão de crédito",N(E175)&gt;1),"Cartão de crédito parcelado",D175),Config!$A$12:$A$15,0)),0)+IF(AND(Config!$B$17="Sim",LEFT(D175,17)="Cartão de crédito"),Config!$B$18*IFERROR(INDEX(Config!$C$12:$C$15,MATCH(IF(AND(D175="Cartão de crédito",N(E175)&gt;1),"Cartão de crédito parcelado",D175),Config!$A$12:$A$15,0)),0)/30*MAX(1,N(E175)),0))</f>
        <v>0.032</v>
      </c>
      <c r="I175" s="29">
        <f>IF(OR(D175="",F175=""),"",ROUND(F175*H175,2))</f>
        <v>12.8</v>
      </c>
      <c r="J175" s="29">
        <f>IF(I175="","",F175-I175)</f>
        <v>387.2</v>
      </c>
      <c r="K175" s="29">
        <f>IF(J175="","",J175/MAX(1,N(E175)))</f>
        <v>387.2</v>
      </c>
      <c r="L175" s="37">
        <f>IF(OR(D175="",A175=""),"",A175+IF(AND(Config!$B$17="Sim",LEFT(D175,17)="Cartão de crédito"),1,IFERROR(INDEX(Config!$C$12:$C$15,MATCH(IF(AND(D175="Cartão de crédito",N(E175)&gt;1),"Cartão de crédito parcelado",D175),Config!$A$12:$A$15,0)),0)))</f>
        <v>46263.0</v>
      </c>
      <c r="M175" s="37">
        <f>IF(L175="","",IF(AND(Config!$B$17="Sim",LEFT(D175,17)="Cartão de crédito"),L175,L175+30*(MAX(1,N(E175))-1)))</f>
        <v>46263.0</v>
      </c>
      <c r="N175" s="29">
        <f>IF(OR(L175="",K175=""),"",K175*MIN(MAX(1,N(E175)),MAX(0,INT((Config!$B$8-L175)/30)+1)))</f>
        <v>387.2</v>
      </c>
      <c r="O175" s="29">
        <f>IF(J175="","",J175-N(N175))</f>
        <v>0</v>
      </c>
      <c r="P175" s="27">
        <f>IF(A175="","",MONTH(A175))</f>
        <v>7</v>
      </c>
      <c r="Q175" s="27">
        <f>IF(A175="","",YEAR(A175))</f>
        <v>2026</v>
      </c>
      <c r="R175" s="27" t="str">
        <f>IF(L175="","",IF(L175&gt;Config!$B$8,"A cair",IF(N(G175)&gt;=MIN(MAX(1,N(E175)),MAX(0,INT((Config!$B$8-L175)/30)+1)),IF(N(G175)&gt;=MAX(1,N(E175)),"Conferido","Conferido até aqui"),"A conferir")))</f>
        <v>Conferido</v>
      </c>
      <c r="S175" s="51">
        <f>IF(R175="A conferir",(Config!$B$8-L175)*1000+N(F175)/1000+ROW()/100000,0)</f>
        <v>0</v>
      </c>
      <c r="T175" s="51">
        <f>IF(R175="A conferir",N(N175),0)</f>
        <v>0</v>
      </c>
      <c r="U175" s="51">
        <f>IF(L175="",0,L175)</f>
        <v>46263.0</v>
      </c>
      <c r="V175" s="51">
        <f>IF(L175="",0,MAX(1,N(E175)))</f>
        <v>1</v>
      </c>
      <c r="W175" s="51">
        <f>IF(K175="",0,K175)</f>
        <v>387.2</v>
      </c>
    </row>
    <row r="176">
      <c r="A176" s="49" t="n">
        <v>46234</v>
      </c>
      <c r="B176" s="41" t="inlineStr">
        <is>
          <t>Fábio Machado</t>
        </is>
      </c>
      <c r="C176" s="41" t="inlineStr">
        <is>
          <t>Consulta</t>
        </is>
      </c>
      <c r="D176" s="42" t="inlineStr">
        <is>
          <t>Cartão de crédito</t>
        </is>
      </c>
      <c r="E176" s="42" t="n"/>
      <c r="F176" s="50" t="n">
        <v>380</v>
      </c>
      <c r="G176" s="42" t="n">
        <v>1</v>
      </c>
      <c r="H176" s="30">
        <f>IF(D176="","",IFERROR(INDEX(Config!$B$12:$B$15,MATCH(IF(AND(D176="Cartão de crédito",N(E176)&gt;1),"Cartão de crédito parcelado",D176),Config!$A$12:$A$15,0)),0)+IF(AND(Config!$B$17="Sim",LEFT(D176,17)="Cartão de crédito"),Config!$B$18*IFERROR(INDEX(Config!$C$12:$C$15,MATCH(IF(AND(D176="Cartão de crédito",N(E176)&gt;1),"Cartão de crédito parcelado",D176),Config!$A$12:$A$15,0)),0)/30*MAX(1,N(E176)),0))</f>
        <v>0.032</v>
      </c>
      <c r="I176" s="29">
        <f>IF(OR(D176="",F176=""),"",ROUND(F176*H176,2))</f>
        <v>12.16</v>
      </c>
      <c r="J176" s="29">
        <f>IF(I176="","",F176-I176)</f>
        <v>367.84</v>
      </c>
      <c r="K176" s="29">
        <f>IF(J176="","",J176/MAX(1,N(E176)))</f>
        <v>367.84</v>
      </c>
      <c r="L176" s="37">
        <f>IF(OR(D176="",A176=""),"",A176+IF(AND(Config!$B$17="Sim",LEFT(D176,17)="Cartão de crédito"),1,IFERROR(INDEX(Config!$C$12:$C$15,MATCH(IF(AND(D176="Cartão de crédito",N(E176)&gt;1),"Cartão de crédito parcelado",D176),Config!$A$12:$A$15,0)),0)))</f>
        <v>46264.0</v>
      </c>
      <c r="M176" s="37">
        <f>IF(L176="","",IF(AND(Config!$B$17="Sim",LEFT(D176,17)="Cartão de crédito"),L176,L176+30*(MAX(1,N(E176))-1)))</f>
        <v>46264.0</v>
      </c>
      <c r="N176" s="29">
        <f>IF(OR(L176="",K176=""),"",K176*MIN(MAX(1,N(E176)),MAX(0,INT((Config!$B$8-L176)/30)+1)))</f>
        <v>367.84</v>
      </c>
      <c r="O176" s="29">
        <f>IF(J176="","",J176-N(N176))</f>
        <v>0</v>
      </c>
      <c r="P176" s="27">
        <f>IF(A176="","",MONTH(A176))</f>
        <v>7</v>
      </c>
      <c r="Q176" s="27">
        <f>IF(A176="","",YEAR(A176))</f>
        <v>2026</v>
      </c>
      <c r="R176" s="27" t="str">
        <f>IF(L176="","",IF(L176&gt;Config!$B$8,"A cair",IF(N(G176)&gt;=MIN(MAX(1,N(E176)),MAX(0,INT((Config!$B$8-L176)/30)+1)),IF(N(G176)&gt;=MAX(1,N(E176)),"Conferido","Conferido até aqui"),"A conferir")))</f>
        <v>Conferido</v>
      </c>
      <c r="S176" s="51">
        <f>IF(R176="A conferir",(Config!$B$8-L176)*1000+N(F176)/1000+ROW()/100000,0)</f>
        <v>0</v>
      </c>
      <c r="T176" s="51">
        <f>IF(R176="A conferir",N(N176),0)</f>
        <v>0</v>
      </c>
      <c r="U176" s="51">
        <f>IF(L176="",0,L176)</f>
        <v>46264.0</v>
      </c>
      <c r="V176" s="51">
        <f>IF(L176="",0,MAX(1,N(E176)))</f>
        <v>1</v>
      </c>
      <c r="W176" s="51">
        <f>IF(K176="",0,K176)</f>
        <v>367.84</v>
      </c>
    </row>
    <row r="177">
      <c r="A177" s="49" t="n">
        <v>46234</v>
      </c>
      <c r="B177" s="41" t="inlineStr">
        <is>
          <t>Fábio Machado</t>
        </is>
      </c>
      <c r="C177" s="41" t="inlineStr">
        <is>
          <t>ECG</t>
        </is>
      </c>
      <c r="D177" s="42" t="inlineStr">
        <is>
          <t>Cartão de crédito</t>
        </is>
      </c>
      <c r="E177" s="42" t="n"/>
      <c r="F177" s="50" t="n">
        <v>130</v>
      </c>
      <c r="G177" s="42" t="n">
        <v>1</v>
      </c>
      <c r="H177" s="30">
        <f>IF(D177="","",IFERROR(INDEX(Config!$B$12:$B$15,MATCH(IF(AND(D177="Cartão de crédito",N(E177)&gt;1),"Cartão de crédito parcelado",D177),Config!$A$12:$A$15,0)),0)+IF(AND(Config!$B$17="Sim",LEFT(D177,17)="Cartão de crédito"),Config!$B$18*IFERROR(INDEX(Config!$C$12:$C$15,MATCH(IF(AND(D177="Cartão de crédito",N(E177)&gt;1),"Cartão de crédito parcelado",D177),Config!$A$12:$A$15,0)),0)/30*MAX(1,N(E177)),0))</f>
        <v>0.032</v>
      </c>
      <c r="I177" s="29">
        <f>IF(OR(D177="",F177=""),"",ROUND(F177*H177,2))</f>
        <v>4.16</v>
      </c>
      <c r="J177" s="29">
        <f>IF(I177="","",F177-I177)</f>
        <v>125.84</v>
      </c>
      <c r="K177" s="29">
        <f>IF(J177="","",J177/MAX(1,N(E177)))</f>
        <v>125.84</v>
      </c>
      <c r="L177" s="37">
        <f>IF(OR(D177="",A177=""),"",A177+IF(AND(Config!$B$17="Sim",LEFT(D177,17)="Cartão de crédito"),1,IFERROR(INDEX(Config!$C$12:$C$15,MATCH(IF(AND(D177="Cartão de crédito",N(E177)&gt;1),"Cartão de crédito parcelado",D177),Config!$A$12:$A$15,0)),0)))</f>
        <v>46264.0</v>
      </c>
      <c r="M177" s="37">
        <f>IF(L177="","",IF(AND(Config!$B$17="Sim",LEFT(D177,17)="Cartão de crédito"),L177,L177+30*(MAX(1,N(E177))-1)))</f>
        <v>46264.0</v>
      </c>
      <c r="N177" s="29">
        <f>IF(OR(L177="",K177=""),"",K177*MIN(MAX(1,N(E177)),MAX(0,INT((Config!$B$8-L177)/30)+1)))</f>
        <v>125.84</v>
      </c>
      <c r="O177" s="29">
        <f>IF(J177="","",J177-N(N177))</f>
        <v>0</v>
      </c>
      <c r="P177" s="27">
        <f>IF(A177="","",MONTH(A177))</f>
        <v>7</v>
      </c>
      <c r="Q177" s="27">
        <f>IF(A177="","",YEAR(A177))</f>
        <v>2026</v>
      </c>
      <c r="R177" s="27" t="str">
        <f>IF(L177="","",IF(L177&gt;Config!$B$8,"A cair",IF(N(G177)&gt;=MIN(MAX(1,N(E177)),MAX(0,INT((Config!$B$8-L177)/30)+1)),IF(N(G177)&gt;=MAX(1,N(E177)),"Conferido","Conferido até aqui"),"A conferir")))</f>
        <v>Conferido</v>
      </c>
      <c r="S177" s="51">
        <f>IF(R177="A conferir",(Config!$B$8-L177)*1000+N(F177)/1000+ROW()/100000,0)</f>
        <v>0</v>
      </c>
      <c r="T177" s="51">
        <f>IF(R177="A conferir",N(N177),0)</f>
        <v>0</v>
      </c>
      <c r="U177" s="51">
        <f>IF(L177="",0,L177)</f>
        <v>46264.0</v>
      </c>
      <c r="V177" s="51">
        <f>IF(L177="",0,MAX(1,N(E177)))</f>
        <v>1</v>
      </c>
      <c r="W177" s="51">
        <f>IF(K177="",0,K177)</f>
        <v>125.84</v>
      </c>
    </row>
    <row r="178">
      <c r="A178" s="49" t="n">
        <v>46234</v>
      </c>
      <c r="B178" s="41" t="inlineStr">
        <is>
          <t>Fábio Machado</t>
        </is>
      </c>
      <c r="C178" s="41" t="inlineStr">
        <is>
          <t>Teste ergométrico</t>
        </is>
      </c>
      <c r="D178" s="42" t="inlineStr">
        <is>
          <t>Cartão de crédito</t>
        </is>
      </c>
      <c r="E178" s="42" t="n"/>
      <c r="F178" s="50" t="n">
        <v>450</v>
      </c>
      <c r="G178" s="42" t="n">
        <v>1</v>
      </c>
      <c r="H178" s="30">
        <f>IF(D178="","",IFERROR(INDEX(Config!$B$12:$B$15,MATCH(IF(AND(D178="Cartão de crédito",N(E178)&gt;1),"Cartão de crédito parcelado",D178),Config!$A$12:$A$15,0)),0)+IF(AND(Config!$B$17="Sim",LEFT(D178,17)="Cartão de crédito"),Config!$B$18*IFERROR(INDEX(Config!$C$12:$C$15,MATCH(IF(AND(D178="Cartão de crédito",N(E178)&gt;1),"Cartão de crédito parcelado",D178),Config!$A$12:$A$15,0)),0)/30*MAX(1,N(E178)),0))</f>
        <v>0.032</v>
      </c>
      <c r="I178" s="29">
        <f>IF(OR(D178="",F178=""),"",ROUND(F178*H178,2))</f>
        <v>14.4</v>
      </c>
      <c r="J178" s="29">
        <f>IF(I178="","",F178-I178)</f>
        <v>435.6</v>
      </c>
      <c r="K178" s="29">
        <f>IF(J178="","",J178/MAX(1,N(E178)))</f>
        <v>435.6</v>
      </c>
      <c r="L178" s="37">
        <f>IF(OR(D178="",A178=""),"",A178+IF(AND(Config!$B$17="Sim",LEFT(D178,17)="Cartão de crédito"),1,IFERROR(INDEX(Config!$C$12:$C$15,MATCH(IF(AND(D178="Cartão de crédito",N(E178)&gt;1),"Cartão de crédito parcelado",D178),Config!$A$12:$A$15,0)),0)))</f>
        <v>46264.0</v>
      </c>
      <c r="M178" s="37">
        <f>IF(L178="","",IF(AND(Config!$B$17="Sim",LEFT(D178,17)="Cartão de crédito"),L178,L178+30*(MAX(1,N(E178))-1)))</f>
        <v>46264.0</v>
      </c>
      <c r="N178" s="29">
        <f>IF(OR(L178="",K178=""),"",K178*MIN(MAX(1,N(E178)),MAX(0,INT((Config!$B$8-L178)/30)+1)))</f>
        <v>435.6</v>
      </c>
      <c r="O178" s="29">
        <f>IF(J178="","",J178-N(N178))</f>
        <v>0</v>
      </c>
      <c r="P178" s="27">
        <f>IF(A178="","",MONTH(A178))</f>
        <v>7</v>
      </c>
      <c r="Q178" s="27">
        <f>IF(A178="","",YEAR(A178))</f>
        <v>2026</v>
      </c>
      <c r="R178" s="27" t="str">
        <f>IF(L178="","",IF(L178&gt;Config!$B$8,"A cair",IF(N(G178)&gt;=MIN(MAX(1,N(E178)),MAX(0,INT((Config!$B$8-L178)/30)+1)),IF(N(G178)&gt;=MAX(1,N(E178)),"Conferido","Conferido até aqui"),"A conferir")))</f>
        <v>Conferido</v>
      </c>
      <c r="S178" s="51">
        <f>IF(R178="A conferir",(Config!$B$8-L178)*1000+N(F178)/1000+ROW()/100000,0)</f>
        <v>0</v>
      </c>
      <c r="T178" s="51">
        <f>IF(R178="A conferir",N(N178),0)</f>
        <v>0</v>
      </c>
      <c r="U178" s="51">
        <f>IF(L178="",0,L178)</f>
        <v>46264.0</v>
      </c>
      <c r="V178" s="51">
        <f>IF(L178="",0,MAX(1,N(E178)))</f>
        <v>1</v>
      </c>
      <c r="W178" s="51">
        <f>IF(K178="",0,K178)</f>
        <v>435.6</v>
      </c>
    </row>
    <row r="179">
      <c r="A179" s="49" t="n">
        <v>46234</v>
      </c>
      <c r="B179" s="41" t="inlineStr">
        <is>
          <t>Henrique Ribeiro</t>
        </is>
      </c>
      <c r="C179" s="41" t="inlineStr">
        <is>
          <t>Consulta</t>
        </is>
      </c>
      <c r="D179" s="42" t="inlineStr">
        <is>
          <t>Cartão de débito</t>
        </is>
      </c>
      <c r="E179" s="42" t="n"/>
      <c r="F179" s="50" t="n">
        <v>380</v>
      </c>
      <c r="G179" s="42" t="n">
        <v>1</v>
      </c>
      <c r="H179" s="30">
        <f>IF(D179="","",IFERROR(INDEX(Config!$B$12:$B$15,MATCH(IF(AND(D179="Cartão de crédito",N(E179)&gt;1),"Cartão de crédito parcelado",D179),Config!$A$12:$A$15,0)),0)+IF(AND(Config!$B$17="Sim",LEFT(D179,17)="Cartão de crédito"),Config!$B$18*IFERROR(INDEX(Config!$C$12:$C$15,MATCH(IF(AND(D179="Cartão de crédito",N(E179)&gt;1),"Cartão de crédito parcelado",D179),Config!$A$12:$A$15,0)),0)/30*MAX(1,N(E179)),0))</f>
        <v>0.015</v>
      </c>
      <c r="I179" s="29">
        <f>IF(OR(D179="",F179=""),"",ROUND(F179*H179,2))</f>
        <v>5.7</v>
      </c>
      <c r="J179" s="29">
        <f>IF(I179="","",F179-I179)</f>
        <v>374.3</v>
      </c>
      <c r="K179" s="29">
        <f>IF(J179="","",J179/MAX(1,N(E179)))</f>
        <v>374.3</v>
      </c>
      <c r="L179" s="37">
        <f>IF(OR(D179="",A179=""),"",A179+IF(AND(Config!$B$17="Sim",LEFT(D179,17)="Cartão de crédito"),1,IFERROR(INDEX(Config!$C$12:$C$15,MATCH(IF(AND(D179="Cartão de crédito",N(E179)&gt;1),"Cartão de crédito parcelado",D179),Config!$A$12:$A$15,0)),0)))</f>
        <v>46235.0</v>
      </c>
      <c r="M179" s="37">
        <f>IF(L179="","",IF(AND(Config!$B$17="Sim",LEFT(D179,17)="Cartão de crédito"),L179,L179+30*(MAX(1,N(E179))-1)))</f>
        <v>46235.0</v>
      </c>
      <c r="N179" s="29">
        <f>IF(OR(L179="",K179=""),"",K179*MIN(MAX(1,N(E179)),MAX(0,INT((Config!$B$8-L179)/30)+1)))</f>
        <v>374.3</v>
      </c>
      <c r="O179" s="29">
        <f>IF(J179="","",J179-N(N179))</f>
        <v>0</v>
      </c>
      <c r="P179" s="27">
        <f>IF(A179="","",MONTH(A179))</f>
        <v>7</v>
      </c>
      <c r="Q179" s="27">
        <f>IF(A179="","",YEAR(A179))</f>
        <v>2026</v>
      </c>
      <c r="R179" s="27" t="str">
        <f>IF(L179="","",IF(L179&gt;Config!$B$8,"A cair",IF(N(G179)&gt;=MIN(MAX(1,N(E179)),MAX(0,INT((Config!$B$8-L179)/30)+1)),IF(N(G179)&gt;=MAX(1,N(E179)),"Conferido","Conferido até aqui"),"A conferir")))</f>
        <v>Conferido</v>
      </c>
      <c r="S179" s="51">
        <f>IF(R179="A conferir",(Config!$B$8-L179)*1000+N(F179)/1000+ROW()/100000,0)</f>
        <v>0</v>
      </c>
      <c r="T179" s="51">
        <f>IF(R179="A conferir",N(N179),0)</f>
        <v>0</v>
      </c>
      <c r="U179" s="51">
        <f>IF(L179="",0,L179)</f>
        <v>46235.0</v>
      </c>
      <c r="V179" s="51">
        <f>IF(L179="",0,MAX(1,N(E179)))</f>
        <v>1</v>
      </c>
      <c r="W179" s="51">
        <f>IF(K179="",0,K179)</f>
        <v>374.3</v>
      </c>
    </row>
    <row r="180">
      <c r="A180" s="49" t="n">
        <v>46237</v>
      </c>
      <c r="B180" s="41" t="inlineStr">
        <is>
          <t>Mônica Martins</t>
        </is>
      </c>
      <c r="C180" s="41" t="inlineStr">
        <is>
          <t>Consulta</t>
        </is>
      </c>
      <c r="D180" s="42" t="inlineStr">
        <is>
          <t>Cartão de crédito</t>
        </is>
      </c>
      <c r="E180" s="42" t="n"/>
      <c r="F180" s="50" t="n">
        <v>380</v>
      </c>
      <c r="G180" s="42" t="n">
        <v>1</v>
      </c>
      <c r="H180" s="30">
        <f>IF(D180="","",IFERROR(INDEX(Config!$B$12:$B$15,MATCH(IF(AND(D180="Cartão de crédito",N(E180)&gt;1),"Cartão de crédito parcelado",D180),Config!$A$12:$A$15,0)),0)+IF(AND(Config!$B$17="Sim",LEFT(D180,17)="Cartão de crédito"),Config!$B$18*IFERROR(INDEX(Config!$C$12:$C$15,MATCH(IF(AND(D180="Cartão de crédito",N(E180)&gt;1),"Cartão de crédito parcelado",D180),Config!$A$12:$A$15,0)),0)/30*MAX(1,N(E180)),0))</f>
        <v>0.032</v>
      </c>
      <c r="I180" s="29">
        <f>IF(OR(D180="",F180=""),"",ROUND(F180*H180,2))</f>
        <v>12.16</v>
      </c>
      <c r="J180" s="29">
        <f>IF(I180="","",F180-I180)</f>
        <v>367.84</v>
      </c>
      <c r="K180" s="29">
        <f>IF(J180="","",J180/MAX(1,N(E180)))</f>
        <v>367.84</v>
      </c>
      <c r="L180" s="37">
        <f>IF(OR(D180="",A180=""),"",A180+IF(AND(Config!$B$17="Sim",LEFT(D180,17)="Cartão de crédito"),1,IFERROR(INDEX(Config!$C$12:$C$15,MATCH(IF(AND(D180="Cartão de crédito",N(E180)&gt;1),"Cartão de crédito parcelado",D180),Config!$A$12:$A$15,0)),0)))</f>
        <v>46267.0</v>
      </c>
      <c r="M180" s="37">
        <f>IF(L180="","",IF(AND(Config!$B$17="Sim",LEFT(D180,17)="Cartão de crédito"),L180,L180+30*(MAX(1,N(E180))-1)))</f>
        <v>46267.0</v>
      </c>
      <c r="N180" s="29">
        <f>IF(OR(L180="",K180=""),"",K180*MIN(MAX(1,N(E180)),MAX(0,INT((Config!$B$8-L180)/30)+1)))</f>
        <v>367.84</v>
      </c>
      <c r="O180" s="29">
        <f>IF(J180="","",J180-N(N180))</f>
        <v>0</v>
      </c>
      <c r="P180" s="27">
        <f>IF(A180="","",MONTH(A180))</f>
        <v>8</v>
      </c>
      <c r="Q180" s="27">
        <f>IF(A180="","",YEAR(A180))</f>
        <v>2026</v>
      </c>
      <c r="R180" s="27" t="str">
        <f>IF(L180="","",IF(L180&gt;Config!$B$8,"A cair",IF(N(G180)&gt;=MIN(MAX(1,N(E180)),MAX(0,INT((Config!$B$8-L180)/30)+1)),IF(N(G180)&gt;=MAX(1,N(E180)),"Conferido","Conferido até aqui"),"A conferir")))</f>
        <v>Conferido</v>
      </c>
      <c r="S180" s="51">
        <f>IF(R180="A conferir",(Config!$B$8-L180)*1000+N(F180)/1000+ROW()/100000,0)</f>
        <v>0</v>
      </c>
      <c r="T180" s="51">
        <f>IF(R180="A conferir",N(N180),0)</f>
        <v>0</v>
      </c>
      <c r="U180" s="51">
        <f>IF(L180="",0,L180)</f>
        <v>46267.0</v>
      </c>
      <c r="V180" s="51">
        <f>IF(L180="",0,MAX(1,N(E180)))</f>
        <v>1</v>
      </c>
      <c r="W180" s="51">
        <f>IF(K180="",0,K180)</f>
        <v>367.84</v>
      </c>
    </row>
    <row r="181">
      <c r="A181" s="49" t="n">
        <v>46237</v>
      </c>
      <c r="B181" s="41" t="inlineStr">
        <is>
          <t>Wagner Santos</t>
        </is>
      </c>
      <c r="C181" s="41" t="inlineStr">
        <is>
          <t>MAPA</t>
        </is>
      </c>
      <c r="D181" s="42" t="inlineStr">
        <is>
          <t>Cartão de débito</t>
        </is>
      </c>
      <c r="E181" s="42" t="n"/>
      <c r="F181" s="50" t="n">
        <v>300</v>
      </c>
      <c r="G181" s="42" t="n">
        <v>1</v>
      </c>
      <c r="H181" s="30">
        <f>IF(D181="","",IFERROR(INDEX(Config!$B$12:$B$15,MATCH(IF(AND(D181="Cartão de crédito",N(E181)&gt;1),"Cartão de crédito parcelado",D181),Config!$A$12:$A$15,0)),0)+IF(AND(Config!$B$17="Sim",LEFT(D181,17)="Cartão de crédito"),Config!$B$18*IFERROR(INDEX(Config!$C$12:$C$15,MATCH(IF(AND(D181="Cartão de crédito",N(E181)&gt;1),"Cartão de crédito parcelado",D181),Config!$A$12:$A$15,0)),0)/30*MAX(1,N(E181)),0))</f>
        <v>0.015</v>
      </c>
      <c r="I181" s="29">
        <f>IF(OR(D181="",F181=""),"",ROUND(F181*H181,2))</f>
        <v>4.5</v>
      </c>
      <c r="J181" s="29">
        <f>IF(I181="","",F181-I181)</f>
        <v>295.5</v>
      </c>
      <c r="K181" s="29">
        <f>IF(J181="","",J181/MAX(1,N(E181)))</f>
        <v>295.5</v>
      </c>
      <c r="L181" s="37">
        <f>IF(OR(D181="",A181=""),"",A181+IF(AND(Config!$B$17="Sim",LEFT(D181,17)="Cartão de crédito"),1,IFERROR(INDEX(Config!$C$12:$C$15,MATCH(IF(AND(D181="Cartão de crédito",N(E181)&gt;1),"Cartão de crédito parcelado",D181),Config!$A$12:$A$15,0)),0)))</f>
        <v>46238.0</v>
      </c>
      <c r="M181" s="37">
        <f>IF(L181="","",IF(AND(Config!$B$17="Sim",LEFT(D181,17)="Cartão de crédito"),L181,L181+30*(MAX(1,N(E181))-1)))</f>
        <v>46238.0</v>
      </c>
      <c r="N181" s="29">
        <f>IF(OR(L181="",K181=""),"",K181*MIN(MAX(1,N(E181)),MAX(0,INT((Config!$B$8-L181)/30)+1)))</f>
        <v>295.5</v>
      </c>
      <c r="O181" s="29">
        <f>IF(J181="","",J181-N(N181))</f>
        <v>0</v>
      </c>
      <c r="P181" s="27">
        <f>IF(A181="","",MONTH(A181))</f>
        <v>8</v>
      </c>
      <c r="Q181" s="27">
        <f>IF(A181="","",YEAR(A181))</f>
        <v>2026</v>
      </c>
      <c r="R181" s="27" t="str">
        <f>IF(L181="","",IF(L181&gt;Config!$B$8,"A cair",IF(N(G181)&gt;=MIN(MAX(1,N(E181)),MAX(0,INT((Config!$B$8-L181)/30)+1)),IF(N(G181)&gt;=MAX(1,N(E181)),"Conferido","Conferido até aqui"),"A conferir")))</f>
        <v>Conferido</v>
      </c>
      <c r="S181" s="51">
        <f>IF(R181="A conferir",(Config!$B$8-L181)*1000+N(F181)/1000+ROW()/100000,0)</f>
        <v>0</v>
      </c>
      <c r="T181" s="51">
        <f>IF(R181="A conferir",N(N181),0)</f>
        <v>0</v>
      </c>
      <c r="U181" s="51">
        <f>IF(L181="",0,L181)</f>
        <v>46238.0</v>
      </c>
      <c r="V181" s="51">
        <f>IF(L181="",0,MAX(1,N(E181)))</f>
        <v>1</v>
      </c>
      <c r="W181" s="51">
        <f>IF(K181="",0,K181)</f>
        <v>295.5</v>
      </c>
    </row>
    <row r="182">
      <c r="A182" s="49" t="n">
        <v>46238</v>
      </c>
      <c r="B182" s="41" t="inlineStr">
        <is>
          <t>Helena Moreira</t>
        </is>
      </c>
      <c r="C182" s="41" t="inlineStr">
        <is>
          <t>Consulta</t>
        </is>
      </c>
      <c r="D182" s="42" t="inlineStr">
        <is>
          <t>Cartão de crédito</t>
        </is>
      </c>
      <c r="E182" s="42" t="n"/>
      <c r="F182" s="50" t="n">
        <v>380</v>
      </c>
      <c r="G182" s="42" t="n">
        <v>1</v>
      </c>
      <c r="H182" s="30">
        <f>IF(D182="","",IFERROR(INDEX(Config!$B$12:$B$15,MATCH(IF(AND(D182="Cartão de crédito",N(E182)&gt;1),"Cartão de crédito parcelado",D182),Config!$A$12:$A$15,0)),0)+IF(AND(Config!$B$17="Sim",LEFT(D182,17)="Cartão de crédito"),Config!$B$18*IFERROR(INDEX(Config!$C$12:$C$15,MATCH(IF(AND(D182="Cartão de crédito",N(E182)&gt;1),"Cartão de crédito parcelado",D182),Config!$A$12:$A$15,0)),0)/30*MAX(1,N(E182)),0))</f>
        <v>0.032</v>
      </c>
      <c r="I182" s="29">
        <f>IF(OR(D182="",F182=""),"",ROUND(F182*H182,2))</f>
        <v>12.16</v>
      </c>
      <c r="J182" s="29">
        <f>IF(I182="","",F182-I182)</f>
        <v>367.84</v>
      </c>
      <c r="K182" s="29">
        <f>IF(J182="","",J182/MAX(1,N(E182)))</f>
        <v>367.84</v>
      </c>
      <c r="L182" s="37">
        <f>IF(OR(D182="",A182=""),"",A182+IF(AND(Config!$B$17="Sim",LEFT(D182,17)="Cartão de crédito"),1,IFERROR(INDEX(Config!$C$12:$C$15,MATCH(IF(AND(D182="Cartão de crédito",N(E182)&gt;1),"Cartão de crédito parcelado",D182),Config!$A$12:$A$15,0)),0)))</f>
        <v>46268.0</v>
      </c>
      <c r="M182" s="37">
        <f>IF(L182="","",IF(AND(Config!$B$17="Sim",LEFT(D182,17)="Cartão de crédito"),L182,L182+30*(MAX(1,N(E182))-1)))</f>
        <v>46268.0</v>
      </c>
      <c r="N182" s="29">
        <f>IF(OR(L182="",K182=""),"",K182*MIN(MAX(1,N(E182)),MAX(0,INT((Config!$B$8-L182)/30)+1)))</f>
        <v>367.84</v>
      </c>
      <c r="O182" s="29">
        <f>IF(J182="","",J182-N(N182))</f>
        <v>0</v>
      </c>
      <c r="P182" s="27">
        <f>IF(A182="","",MONTH(A182))</f>
        <v>8</v>
      </c>
      <c r="Q182" s="27">
        <f>IF(A182="","",YEAR(A182))</f>
        <v>2026</v>
      </c>
      <c r="R182" s="27" t="str">
        <f>IF(L182="","",IF(L182&gt;Config!$B$8,"A cair",IF(N(G182)&gt;=MIN(MAX(1,N(E182)),MAX(0,INT((Config!$B$8-L182)/30)+1)),IF(N(G182)&gt;=MAX(1,N(E182)),"Conferido","Conferido até aqui"),"A conferir")))</f>
        <v>Conferido</v>
      </c>
      <c r="S182" s="51">
        <f>IF(R182="A conferir",(Config!$B$8-L182)*1000+N(F182)/1000+ROW()/100000,0)</f>
        <v>0</v>
      </c>
      <c r="T182" s="51">
        <f>IF(R182="A conferir",N(N182),0)</f>
        <v>0</v>
      </c>
      <c r="U182" s="51">
        <f>IF(L182="",0,L182)</f>
        <v>46268.0</v>
      </c>
      <c r="V182" s="51">
        <f>IF(L182="",0,MAX(1,N(E182)))</f>
        <v>1</v>
      </c>
      <c r="W182" s="51">
        <f>IF(K182="",0,K182)</f>
        <v>367.84</v>
      </c>
    </row>
    <row r="183">
      <c r="A183" s="49" t="n">
        <v>46238</v>
      </c>
      <c r="B183" s="41" t="inlineStr">
        <is>
          <t>Fernanda Freitas</t>
        </is>
      </c>
      <c r="C183" s="41" t="inlineStr">
        <is>
          <t>Consulta</t>
        </is>
      </c>
      <c r="D183" s="42" t="inlineStr">
        <is>
          <t>Cartão de débito</t>
        </is>
      </c>
      <c r="E183" s="42" t="n"/>
      <c r="F183" s="50" t="n">
        <v>380</v>
      </c>
      <c r="G183" s="42" t="n">
        <v>1</v>
      </c>
      <c r="H183" s="30">
        <f>IF(D183="","",IFERROR(INDEX(Config!$B$12:$B$15,MATCH(IF(AND(D183="Cartão de crédito",N(E183)&gt;1),"Cartão de crédito parcelado",D183),Config!$A$12:$A$15,0)),0)+IF(AND(Config!$B$17="Sim",LEFT(D183,17)="Cartão de crédito"),Config!$B$18*IFERROR(INDEX(Config!$C$12:$C$15,MATCH(IF(AND(D183="Cartão de crédito",N(E183)&gt;1),"Cartão de crédito parcelado",D183),Config!$A$12:$A$15,0)),0)/30*MAX(1,N(E183)),0))</f>
        <v>0.015</v>
      </c>
      <c r="I183" s="29">
        <f>IF(OR(D183="",F183=""),"",ROUND(F183*H183,2))</f>
        <v>5.7</v>
      </c>
      <c r="J183" s="29">
        <f>IF(I183="","",F183-I183)</f>
        <v>374.3</v>
      </c>
      <c r="K183" s="29">
        <f>IF(J183="","",J183/MAX(1,N(E183)))</f>
        <v>374.3</v>
      </c>
      <c r="L183" s="37">
        <f>IF(OR(D183="",A183=""),"",A183+IF(AND(Config!$B$17="Sim",LEFT(D183,17)="Cartão de crédito"),1,IFERROR(INDEX(Config!$C$12:$C$15,MATCH(IF(AND(D183="Cartão de crédito",N(E183)&gt;1),"Cartão de crédito parcelado",D183),Config!$A$12:$A$15,0)),0)))</f>
        <v>46239.0</v>
      </c>
      <c r="M183" s="37">
        <f>IF(L183="","",IF(AND(Config!$B$17="Sim",LEFT(D183,17)="Cartão de crédito"),L183,L183+30*(MAX(1,N(E183))-1)))</f>
        <v>46239.0</v>
      </c>
      <c r="N183" s="29">
        <f>IF(OR(L183="",K183=""),"",K183*MIN(MAX(1,N(E183)),MAX(0,INT((Config!$B$8-L183)/30)+1)))</f>
        <v>374.3</v>
      </c>
      <c r="O183" s="29">
        <f>IF(J183="","",J183-N(N183))</f>
        <v>0</v>
      </c>
      <c r="P183" s="27">
        <f>IF(A183="","",MONTH(A183))</f>
        <v>8</v>
      </c>
      <c r="Q183" s="27">
        <f>IF(A183="","",YEAR(A183))</f>
        <v>2026</v>
      </c>
      <c r="R183" s="27" t="str">
        <f>IF(L183="","",IF(L183&gt;Config!$B$8,"A cair",IF(N(G183)&gt;=MIN(MAX(1,N(E183)),MAX(0,INT((Config!$B$8-L183)/30)+1)),IF(N(G183)&gt;=MAX(1,N(E183)),"Conferido","Conferido até aqui"),"A conferir")))</f>
        <v>Conferido</v>
      </c>
      <c r="S183" s="51">
        <f>IF(R183="A conferir",(Config!$B$8-L183)*1000+N(F183)/1000+ROW()/100000,0)</f>
        <v>0</v>
      </c>
      <c r="T183" s="51">
        <f>IF(R183="A conferir",N(N183),0)</f>
        <v>0</v>
      </c>
      <c r="U183" s="51">
        <f>IF(L183="",0,L183)</f>
        <v>46239.0</v>
      </c>
      <c r="V183" s="51">
        <f>IF(L183="",0,MAX(1,N(E183)))</f>
        <v>1</v>
      </c>
      <c r="W183" s="51">
        <f>IF(K183="",0,K183)</f>
        <v>374.3</v>
      </c>
    </row>
    <row r="184">
      <c r="A184" s="49" t="n">
        <v>46238</v>
      </c>
      <c r="B184" s="41" t="inlineStr">
        <is>
          <t>Ana Costa</t>
        </is>
      </c>
      <c r="C184" s="41" t="inlineStr">
        <is>
          <t>Consulta</t>
        </is>
      </c>
      <c r="D184" s="42" t="inlineStr">
        <is>
          <t>Pix</t>
        </is>
      </c>
      <c r="E184" s="42" t="n"/>
      <c r="F184" s="50" t="n">
        <v>380</v>
      </c>
      <c r="G184" s="42" t="n">
        <v>1</v>
      </c>
      <c r="H184" s="30">
        <f>IF(D184="","",IFERROR(INDEX(Config!$B$12:$B$15,MATCH(IF(AND(D184="Cartão de crédito",N(E184)&gt;1),"Cartão de crédito parcelado",D184),Config!$A$12:$A$15,0)),0)+IF(AND(Config!$B$17="Sim",LEFT(D184,17)="Cartão de crédito"),Config!$B$18*IFERROR(INDEX(Config!$C$12:$C$15,MATCH(IF(AND(D184="Cartão de crédito",N(E184)&gt;1),"Cartão de crédito parcelado",D184),Config!$A$12:$A$15,0)),0)/30*MAX(1,N(E184)),0))</f>
        <v>0</v>
      </c>
      <c r="I184" s="29">
        <f>IF(OR(D184="",F184=""),"",ROUND(F184*H184,2))</f>
        <v>0</v>
      </c>
      <c r="J184" s="29">
        <f>IF(I184="","",F184-I184)</f>
        <v>380</v>
      </c>
      <c r="K184" s="29">
        <f>IF(J184="","",J184/MAX(1,N(E184)))</f>
        <v>380</v>
      </c>
      <c r="L184" s="37">
        <f>IF(OR(D184="",A184=""),"",A184+IF(AND(Config!$B$17="Sim",LEFT(D184,17)="Cartão de crédito"),1,IFERROR(INDEX(Config!$C$12:$C$15,MATCH(IF(AND(D184="Cartão de crédito",N(E184)&gt;1),"Cartão de crédito parcelado",D184),Config!$A$12:$A$15,0)),0)))</f>
        <v>46238.0</v>
      </c>
      <c r="M184" s="37">
        <f>IF(L184="","",IF(AND(Config!$B$17="Sim",LEFT(D184,17)="Cartão de crédito"),L184,L184+30*(MAX(1,N(E184))-1)))</f>
        <v>46238.0</v>
      </c>
      <c r="N184" s="29">
        <f>IF(OR(L184="",K184=""),"",K184*MIN(MAX(1,N(E184)),MAX(0,INT((Config!$B$8-L184)/30)+1)))</f>
        <v>380</v>
      </c>
      <c r="O184" s="29">
        <f>IF(J184="","",J184-N(N184))</f>
        <v>0</v>
      </c>
      <c r="P184" s="27">
        <f>IF(A184="","",MONTH(A184))</f>
        <v>8</v>
      </c>
      <c r="Q184" s="27">
        <f>IF(A184="","",YEAR(A184))</f>
        <v>2026</v>
      </c>
      <c r="R184" s="27" t="str">
        <f>IF(L184="","",IF(L184&gt;Config!$B$8,"A cair",IF(N(G184)&gt;=MIN(MAX(1,N(E184)),MAX(0,INT((Config!$B$8-L184)/30)+1)),IF(N(G184)&gt;=MAX(1,N(E184)),"Conferido","Conferido até aqui"),"A conferir")))</f>
        <v>Conferido</v>
      </c>
      <c r="S184" s="51">
        <f>IF(R184="A conferir",(Config!$B$8-L184)*1000+N(F184)/1000+ROW()/100000,0)</f>
        <v>0</v>
      </c>
      <c r="T184" s="51">
        <f>IF(R184="A conferir",N(N184),0)</f>
        <v>0</v>
      </c>
      <c r="U184" s="51">
        <f>IF(L184="",0,L184)</f>
        <v>46238.0</v>
      </c>
      <c r="V184" s="51">
        <f>IF(L184="",0,MAX(1,N(E184)))</f>
        <v>1</v>
      </c>
      <c r="W184" s="51">
        <f>IF(K184="",0,K184)</f>
        <v>380</v>
      </c>
    </row>
    <row r="185">
      <c r="A185" s="49" t="n">
        <v>46238</v>
      </c>
      <c r="B185" s="41" t="inlineStr">
        <is>
          <t>Eduardo Lima</t>
        </is>
      </c>
      <c r="C185" s="41" t="inlineStr">
        <is>
          <t>Consulta</t>
        </is>
      </c>
      <c r="D185" s="42" t="inlineStr">
        <is>
          <t>Pix</t>
        </is>
      </c>
      <c r="E185" s="42" t="n"/>
      <c r="F185" s="50" t="n">
        <v>380</v>
      </c>
      <c r="G185" s="42" t="n">
        <v>1</v>
      </c>
      <c r="H185" s="30">
        <f>IF(D185="","",IFERROR(INDEX(Config!$B$12:$B$15,MATCH(IF(AND(D185="Cartão de crédito",N(E185)&gt;1),"Cartão de crédito parcelado",D185),Config!$A$12:$A$15,0)),0)+IF(AND(Config!$B$17="Sim",LEFT(D185,17)="Cartão de crédito"),Config!$B$18*IFERROR(INDEX(Config!$C$12:$C$15,MATCH(IF(AND(D185="Cartão de crédito",N(E185)&gt;1),"Cartão de crédito parcelado",D185),Config!$A$12:$A$15,0)),0)/30*MAX(1,N(E185)),0))</f>
        <v>0</v>
      </c>
      <c r="I185" s="29">
        <f>IF(OR(D185="",F185=""),"",ROUND(F185*H185,2))</f>
        <v>0</v>
      </c>
      <c r="J185" s="29">
        <f>IF(I185="","",F185-I185)</f>
        <v>380</v>
      </c>
      <c r="K185" s="29">
        <f>IF(J185="","",J185/MAX(1,N(E185)))</f>
        <v>380</v>
      </c>
      <c r="L185" s="37">
        <f>IF(OR(D185="",A185=""),"",A185+IF(AND(Config!$B$17="Sim",LEFT(D185,17)="Cartão de crédito"),1,IFERROR(INDEX(Config!$C$12:$C$15,MATCH(IF(AND(D185="Cartão de crédito",N(E185)&gt;1),"Cartão de crédito parcelado",D185),Config!$A$12:$A$15,0)),0)))</f>
        <v>46238.0</v>
      </c>
      <c r="M185" s="37">
        <f>IF(L185="","",IF(AND(Config!$B$17="Sim",LEFT(D185,17)="Cartão de crédito"),L185,L185+30*(MAX(1,N(E185))-1)))</f>
        <v>46238.0</v>
      </c>
      <c r="N185" s="29">
        <f>IF(OR(L185="",K185=""),"",K185*MIN(MAX(1,N(E185)),MAX(0,INT((Config!$B$8-L185)/30)+1)))</f>
        <v>380</v>
      </c>
      <c r="O185" s="29">
        <f>IF(J185="","",J185-N(N185))</f>
        <v>0</v>
      </c>
      <c r="P185" s="27">
        <f>IF(A185="","",MONTH(A185))</f>
        <v>8</v>
      </c>
      <c r="Q185" s="27">
        <f>IF(A185="","",YEAR(A185))</f>
        <v>2026</v>
      </c>
      <c r="R185" s="27" t="str">
        <f>IF(L185="","",IF(L185&gt;Config!$B$8,"A cair",IF(N(G185)&gt;=MIN(MAX(1,N(E185)),MAX(0,INT((Config!$B$8-L185)/30)+1)),IF(N(G185)&gt;=MAX(1,N(E185)),"Conferido","Conferido até aqui"),"A conferir")))</f>
        <v>Conferido</v>
      </c>
      <c r="S185" s="51">
        <f>IF(R185="A conferir",(Config!$B$8-L185)*1000+N(F185)/1000+ROW()/100000,0)</f>
        <v>0</v>
      </c>
      <c r="T185" s="51">
        <f>IF(R185="A conferir",N(N185),0)</f>
        <v>0</v>
      </c>
      <c r="U185" s="51">
        <f>IF(L185="",0,L185)</f>
        <v>46238.0</v>
      </c>
      <c r="V185" s="51">
        <f>IF(L185="",0,MAX(1,N(E185)))</f>
        <v>1</v>
      </c>
      <c r="W185" s="51">
        <f>IF(K185="",0,K185)</f>
        <v>380</v>
      </c>
    </row>
    <row r="186">
      <c r="A186" s="49" t="n">
        <v>46238</v>
      </c>
      <c r="B186" s="41" t="inlineStr">
        <is>
          <t>Wagner Lima</t>
        </is>
      </c>
      <c r="C186" s="41" t="inlineStr">
        <is>
          <t>Consulta</t>
        </is>
      </c>
      <c r="D186" s="42" t="inlineStr">
        <is>
          <t>Cartão de débito</t>
        </is>
      </c>
      <c r="E186" s="42" t="n"/>
      <c r="F186" s="50" t="n">
        <v>380</v>
      </c>
      <c r="G186" s="42" t="n">
        <v>1</v>
      </c>
      <c r="H186" s="30">
        <f>IF(D186="","",IFERROR(INDEX(Config!$B$12:$B$15,MATCH(IF(AND(D186="Cartão de crédito",N(E186)&gt;1),"Cartão de crédito parcelado",D186),Config!$A$12:$A$15,0)),0)+IF(AND(Config!$B$17="Sim",LEFT(D186,17)="Cartão de crédito"),Config!$B$18*IFERROR(INDEX(Config!$C$12:$C$15,MATCH(IF(AND(D186="Cartão de crédito",N(E186)&gt;1),"Cartão de crédito parcelado",D186),Config!$A$12:$A$15,0)),0)/30*MAX(1,N(E186)),0))</f>
        <v>0.015</v>
      </c>
      <c r="I186" s="29">
        <f>IF(OR(D186="",F186=""),"",ROUND(F186*H186,2))</f>
        <v>5.7</v>
      </c>
      <c r="J186" s="29">
        <f>IF(I186="","",F186-I186)</f>
        <v>374.3</v>
      </c>
      <c r="K186" s="29">
        <f>IF(J186="","",J186/MAX(1,N(E186)))</f>
        <v>374.3</v>
      </c>
      <c r="L186" s="37">
        <f>IF(OR(D186="",A186=""),"",A186+IF(AND(Config!$B$17="Sim",LEFT(D186,17)="Cartão de crédito"),1,IFERROR(INDEX(Config!$C$12:$C$15,MATCH(IF(AND(D186="Cartão de crédito",N(E186)&gt;1),"Cartão de crédito parcelado",D186),Config!$A$12:$A$15,0)),0)))</f>
        <v>46239.0</v>
      </c>
      <c r="M186" s="37">
        <f>IF(L186="","",IF(AND(Config!$B$17="Sim",LEFT(D186,17)="Cartão de crédito"),L186,L186+30*(MAX(1,N(E186))-1)))</f>
        <v>46239.0</v>
      </c>
      <c r="N186" s="29">
        <f>IF(OR(L186="",K186=""),"",K186*MIN(MAX(1,N(E186)),MAX(0,INT((Config!$B$8-L186)/30)+1)))</f>
        <v>374.3</v>
      </c>
      <c r="O186" s="29">
        <f>IF(J186="","",J186-N(N186))</f>
        <v>0</v>
      </c>
      <c r="P186" s="27">
        <f>IF(A186="","",MONTH(A186))</f>
        <v>8</v>
      </c>
      <c r="Q186" s="27">
        <f>IF(A186="","",YEAR(A186))</f>
        <v>2026</v>
      </c>
      <c r="R186" s="27" t="str">
        <f>IF(L186="","",IF(L186&gt;Config!$B$8,"A cair",IF(N(G186)&gt;=MIN(MAX(1,N(E186)),MAX(0,INT((Config!$B$8-L186)/30)+1)),IF(N(G186)&gt;=MAX(1,N(E186)),"Conferido","Conferido até aqui"),"A conferir")))</f>
        <v>Conferido</v>
      </c>
      <c r="S186" s="51">
        <f>IF(R186="A conferir",(Config!$B$8-L186)*1000+N(F186)/1000+ROW()/100000,0)</f>
        <v>0</v>
      </c>
      <c r="T186" s="51">
        <f>IF(R186="A conferir",N(N186),0)</f>
        <v>0</v>
      </c>
      <c r="U186" s="51">
        <f>IF(L186="",0,L186)</f>
        <v>46239.0</v>
      </c>
      <c r="V186" s="51">
        <f>IF(L186="",0,MAX(1,N(E186)))</f>
        <v>1</v>
      </c>
      <c r="W186" s="51">
        <f>IF(K186="",0,K186)</f>
        <v>374.3</v>
      </c>
    </row>
    <row r="187">
      <c r="A187" s="49" t="n">
        <v>46238</v>
      </c>
      <c r="B187" s="41" t="inlineStr">
        <is>
          <t>Gustavo Pinto</t>
        </is>
      </c>
      <c r="C187" s="41" t="inlineStr">
        <is>
          <t>Consulta</t>
        </is>
      </c>
      <c r="D187" s="42" t="inlineStr">
        <is>
          <t>Cartão de crédito</t>
        </is>
      </c>
      <c r="E187" s="42" t="n"/>
      <c r="F187" s="50" t="n">
        <v>380</v>
      </c>
      <c r="G187" s="42" t="n">
        <v>1</v>
      </c>
      <c r="H187" s="30">
        <f>IF(D187="","",IFERROR(INDEX(Config!$B$12:$B$15,MATCH(IF(AND(D187="Cartão de crédito",N(E187)&gt;1),"Cartão de crédito parcelado",D187),Config!$A$12:$A$15,0)),0)+IF(AND(Config!$B$17="Sim",LEFT(D187,17)="Cartão de crédito"),Config!$B$18*IFERROR(INDEX(Config!$C$12:$C$15,MATCH(IF(AND(D187="Cartão de crédito",N(E187)&gt;1),"Cartão de crédito parcelado",D187),Config!$A$12:$A$15,0)),0)/30*MAX(1,N(E187)),0))</f>
        <v>0.032</v>
      </c>
      <c r="I187" s="29">
        <f>IF(OR(D187="",F187=""),"",ROUND(F187*H187,2))</f>
        <v>12.16</v>
      </c>
      <c r="J187" s="29">
        <f>IF(I187="","",F187-I187)</f>
        <v>367.84</v>
      </c>
      <c r="K187" s="29">
        <f>IF(J187="","",J187/MAX(1,N(E187)))</f>
        <v>367.84</v>
      </c>
      <c r="L187" s="37">
        <f>IF(OR(D187="",A187=""),"",A187+IF(AND(Config!$B$17="Sim",LEFT(D187,17)="Cartão de crédito"),1,IFERROR(INDEX(Config!$C$12:$C$15,MATCH(IF(AND(D187="Cartão de crédito",N(E187)&gt;1),"Cartão de crédito parcelado",D187),Config!$A$12:$A$15,0)),0)))</f>
        <v>46268.0</v>
      </c>
      <c r="M187" s="37">
        <f>IF(L187="","",IF(AND(Config!$B$17="Sim",LEFT(D187,17)="Cartão de crédito"),L187,L187+30*(MAX(1,N(E187))-1)))</f>
        <v>46268.0</v>
      </c>
      <c r="N187" s="29">
        <f>IF(OR(L187="",K187=""),"",K187*MIN(MAX(1,N(E187)),MAX(0,INT((Config!$B$8-L187)/30)+1)))</f>
        <v>367.84</v>
      </c>
      <c r="O187" s="29">
        <f>IF(J187="","",J187-N(N187))</f>
        <v>0</v>
      </c>
      <c r="P187" s="27">
        <f>IF(A187="","",MONTH(A187))</f>
        <v>8</v>
      </c>
      <c r="Q187" s="27">
        <f>IF(A187="","",YEAR(A187))</f>
        <v>2026</v>
      </c>
      <c r="R187" s="27" t="str">
        <f>IF(L187="","",IF(L187&gt;Config!$B$8,"A cair",IF(N(G187)&gt;=MIN(MAX(1,N(E187)),MAX(0,INT((Config!$B$8-L187)/30)+1)),IF(N(G187)&gt;=MAX(1,N(E187)),"Conferido","Conferido até aqui"),"A conferir")))</f>
        <v>Conferido</v>
      </c>
      <c r="S187" s="51">
        <f>IF(R187="A conferir",(Config!$B$8-L187)*1000+N(F187)/1000+ROW()/100000,0)</f>
        <v>0</v>
      </c>
      <c r="T187" s="51">
        <f>IF(R187="A conferir",N(N187),0)</f>
        <v>0</v>
      </c>
      <c r="U187" s="51">
        <f>IF(L187="",0,L187)</f>
        <v>46268.0</v>
      </c>
      <c r="V187" s="51">
        <f>IF(L187="",0,MAX(1,N(E187)))</f>
        <v>1</v>
      </c>
      <c r="W187" s="51">
        <f>IF(K187="",0,K187)</f>
        <v>367.84</v>
      </c>
    </row>
    <row r="188">
      <c r="A188" s="49" t="n">
        <v>46238</v>
      </c>
      <c r="B188" s="41" t="inlineStr">
        <is>
          <t>Rafael Pereira</t>
        </is>
      </c>
      <c r="C188" s="41" t="inlineStr">
        <is>
          <t>Avaliação endócrina</t>
        </is>
      </c>
      <c r="D188" s="42" t="inlineStr">
        <is>
          <t>Cartão de débito</t>
        </is>
      </c>
      <c r="E188" s="42" t="n"/>
      <c r="F188" s="50" t="n">
        <v>400</v>
      </c>
      <c r="G188" s="42" t="n">
        <v>1</v>
      </c>
      <c r="H188" s="30">
        <f>IF(D188="","",IFERROR(INDEX(Config!$B$12:$B$15,MATCH(IF(AND(D188="Cartão de crédito",N(E188)&gt;1),"Cartão de crédito parcelado",D188),Config!$A$12:$A$15,0)),0)+IF(AND(Config!$B$17="Sim",LEFT(D188,17)="Cartão de crédito"),Config!$B$18*IFERROR(INDEX(Config!$C$12:$C$15,MATCH(IF(AND(D188="Cartão de crédito",N(E188)&gt;1),"Cartão de crédito parcelado",D188),Config!$A$12:$A$15,0)),0)/30*MAX(1,N(E188)),0))</f>
        <v>0.015</v>
      </c>
      <c r="I188" s="29">
        <f>IF(OR(D188="",F188=""),"",ROUND(F188*H188,2))</f>
        <v>6</v>
      </c>
      <c r="J188" s="29">
        <f>IF(I188="","",F188-I188)</f>
        <v>394</v>
      </c>
      <c r="K188" s="29">
        <f>IF(J188="","",J188/MAX(1,N(E188)))</f>
        <v>394</v>
      </c>
      <c r="L188" s="37">
        <f>IF(OR(D188="",A188=""),"",A188+IF(AND(Config!$B$17="Sim",LEFT(D188,17)="Cartão de crédito"),1,IFERROR(INDEX(Config!$C$12:$C$15,MATCH(IF(AND(D188="Cartão de crédito",N(E188)&gt;1),"Cartão de crédito parcelado",D188),Config!$A$12:$A$15,0)),0)))</f>
        <v>46239.0</v>
      </c>
      <c r="M188" s="37">
        <f>IF(L188="","",IF(AND(Config!$B$17="Sim",LEFT(D188,17)="Cartão de crédito"),L188,L188+30*(MAX(1,N(E188))-1)))</f>
        <v>46239.0</v>
      </c>
      <c r="N188" s="29">
        <f>IF(OR(L188="",K188=""),"",K188*MIN(MAX(1,N(E188)),MAX(0,INT((Config!$B$8-L188)/30)+1)))</f>
        <v>394</v>
      </c>
      <c r="O188" s="29">
        <f>IF(J188="","",J188-N(N188))</f>
        <v>0</v>
      </c>
      <c r="P188" s="27">
        <f>IF(A188="","",MONTH(A188))</f>
        <v>8</v>
      </c>
      <c r="Q188" s="27">
        <f>IF(A188="","",YEAR(A188))</f>
        <v>2026</v>
      </c>
      <c r="R188" s="27" t="str">
        <f>IF(L188="","",IF(L188&gt;Config!$B$8,"A cair",IF(N(G188)&gt;=MIN(MAX(1,N(E188)),MAX(0,INT((Config!$B$8-L188)/30)+1)),IF(N(G188)&gt;=MAX(1,N(E188)),"Conferido","Conferido até aqui"),"A conferir")))</f>
        <v>Conferido</v>
      </c>
      <c r="S188" s="51">
        <f>IF(R188="A conferir",(Config!$B$8-L188)*1000+N(F188)/1000+ROW()/100000,0)</f>
        <v>0</v>
      </c>
      <c r="T188" s="51">
        <f>IF(R188="A conferir",N(N188),0)</f>
        <v>0</v>
      </c>
      <c r="U188" s="51">
        <f>IF(L188="",0,L188)</f>
        <v>46239.0</v>
      </c>
      <c r="V188" s="51">
        <f>IF(L188="",0,MAX(1,N(E188)))</f>
        <v>1</v>
      </c>
      <c r="W188" s="51">
        <f>IF(K188="",0,K188)</f>
        <v>394</v>
      </c>
    </row>
    <row r="189">
      <c r="A189" s="49" t="n">
        <v>46238</v>
      </c>
      <c r="B189" s="41" t="inlineStr">
        <is>
          <t>Viviane Teixeira</t>
        </is>
      </c>
      <c r="C189" s="41" t="inlineStr">
        <is>
          <t>Consulta</t>
        </is>
      </c>
      <c r="D189" s="42" t="inlineStr">
        <is>
          <t>Cartão de débito</t>
        </is>
      </c>
      <c r="E189" s="42" t="n"/>
      <c r="F189" s="50" t="n">
        <v>380</v>
      </c>
      <c r="G189" s="42" t="n">
        <v>1</v>
      </c>
      <c r="H189" s="30">
        <f>IF(D189="","",IFERROR(INDEX(Config!$B$12:$B$15,MATCH(IF(AND(D189="Cartão de crédito",N(E189)&gt;1),"Cartão de crédito parcelado",D189),Config!$A$12:$A$15,0)),0)+IF(AND(Config!$B$17="Sim",LEFT(D189,17)="Cartão de crédito"),Config!$B$18*IFERROR(INDEX(Config!$C$12:$C$15,MATCH(IF(AND(D189="Cartão de crédito",N(E189)&gt;1),"Cartão de crédito parcelado",D189),Config!$A$12:$A$15,0)),0)/30*MAX(1,N(E189)),0))</f>
        <v>0.015</v>
      </c>
      <c r="I189" s="29">
        <f>IF(OR(D189="",F189=""),"",ROUND(F189*H189,2))</f>
        <v>5.7</v>
      </c>
      <c r="J189" s="29">
        <f>IF(I189="","",F189-I189)</f>
        <v>374.3</v>
      </c>
      <c r="K189" s="29">
        <f>IF(J189="","",J189/MAX(1,N(E189)))</f>
        <v>374.3</v>
      </c>
      <c r="L189" s="37">
        <f>IF(OR(D189="",A189=""),"",A189+IF(AND(Config!$B$17="Sim",LEFT(D189,17)="Cartão de crédito"),1,IFERROR(INDEX(Config!$C$12:$C$15,MATCH(IF(AND(D189="Cartão de crédito",N(E189)&gt;1),"Cartão de crédito parcelado",D189),Config!$A$12:$A$15,0)),0)))</f>
        <v>46239.0</v>
      </c>
      <c r="M189" s="37">
        <f>IF(L189="","",IF(AND(Config!$B$17="Sim",LEFT(D189,17)="Cartão de crédito"),L189,L189+30*(MAX(1,N(E189))-1)))</f>
        <v>46239.0</v>
      </c>
      <c r="N189" s="29">
        <f>IF(OR(L189="",K189=""),"",K189*MIN(MAX(1,N(E189)),MAX(0,INT((Config!$B$8-L189)/30)+1)))</f>
        <v>374.3</v>
      </c>
      <c r="O189" s="29">
        <f>IF(J189="","",J189-N(N189))</f>
        <v>0</v>
      </c>
      <c r="P189" s="27">
        <f>IF(A189="","",MONTH(A189))</f>
        <v>8</v>
      </c>
      <c r="Q189" s="27">
        <f>IF(A189="","",YEAR(A189))</f>
        <v>2026</v>
      </c>
      <c r="R189" s="27" t="str">
        <f>IF(L189="","",IF(L189&gt;Config!$B$8,"A cair",IF(N(G189)&gt;=MIN(MAX(1,N(E189)),MAX(0,INT((Config!$B$8-L189)/30)+1)),IF(N(G189)&gt;=MAX(1,N(E189)),"Conferido","Conferido até aqui"),"A conferir")))</f>
        <v>Conferido</v>
      </c>
      <c r="S189" s="51">
        <f>IF(R189="A conferir",(Config!$B$8-L189)*1000+N(F189)/1000+ROW()/100000,0)</f>
        <v>0</v>
      </c>
      <c r="T189" s="51">
        <f>IF(R189="A conferir",N(N189),0)</f>
        <v>0</v>
      </c>
      <c r="U189" s="51">
        <f>IF(L189="",0,L189)</f>
        <v>46239.0</v>
      </c>
      <c r="V189" s="51">
        <f>IF(L189="",0,MAX(1,N(E189)))</f>
        <v>1</v>
      </c>
      <c r="W189" s="51">
        <f>IF(K189="",0,K189)</f>
        <v>374.3</v>
      </c>
    </row>
    <row r="190">
      <c r="A190" s="49" t="n">
        <v>46239</v>
      </c>
      <c r="B190" s="41" t="inlineStr">
        <is>
          <t>Regina Duarte</t>
        </is>
      </c>
      <c r="C190" s="41" t="inlineStr">
        <is>
          <t>Consulta</t>
        </is>
      </c>
      <c r="D190" s="42" t="inlineStr">
        <is>
          <t>Cartão de crédito</t>
        </is>
      </c>
      <c r="E190" s="42" t="n">
        <v>2</v>
      </c>
      <c r="F190" s="50" t="n">
        <v>380</v>
      </c>
      <c r="G190" s="42" t="n">
        <v>1</v>
      </c>
      <c r="H190" s="30">
        <f>IF(D190="","",IFERROR(INDEX(Config!$B$12:$B$15,MATCH(IF(AND(D190="Cartão de crédito",N(E190)&gt;1),"Cartão de crédito parcelado",D190),Config!$A$12:$A$15,0)),0)+IF(AND(Config!$B$17="Sim",LEFT(D190,17)="Cartão de crédito"),Config!$B$18*IFERROR(INDEX(Config!$C$12:$C$15,MATCH(IF(AND(D190="Cartão de crédito",N(E190)&gt;1),"Cartão de crédito parcelado",D190),Config!$A$12:$A$15,0)),0)/30*MAX(1,N(E190)),0))</f>
        <v>0.039</v>
      </c>
      <c r="I190" s="29">
        <f>IF(OR(D190="",F190=""),"",ROUND(F190*H190,2))</f>
        <v>14.82</v>
      </c>
      <c r="J190" s="29">
        <f>IF(I190="","",F190-I190)</f>
        <v>365.18</v>
      </c>
      <c r="K190" s="29">
        <f>IF(J190="","",J190/MAX(1,N(E190)))</f>
        <v>182.59</v>
      </c>
      <c r="L190" s="37">
        <f>IF(OR(D190="",A190=""),"",A190+IF(AND(Config!$B$17="Sim",LEFT(D190,17)="Cartão de crédito"),1,IFERROR(INDEX(Config!$C$12:$C$15,MATCH(IF(AND(D190="Cartão de crédito",N(E190)&gt;1),"Cartão de crédito parcelado",D190),Config!$A$12:$A$15,0)),0)))</f>
        <v>46269.0</v>
      </c>
      <c r="M190" s="37">
        <f>IF(L190="","",IF(AND(Config!$B$17="Sim",LEFT(D190,17)="Cartão de crédito"),L190,L190+30*(MAX(1,N(E190))-1)))</f>
        <v>46299.0</v>
      </c>
      <c r="N190" s="29">
        <f>IF(OR(L190="",K190=""),"",K190*MIN(MAX(1,N(E190)),MAX(0,INT((Config!$B$8-L190)/30)+1)))</f>
        <v>182.59</v>
      </c>
      <c r="O190" s="29">
        <f>IF(J190="","",J190-N(N190))</f>
        <v>182.59</v>
      </c>
      <c r="P190" s="27">
        <f>IF(A190="","",MONTH(A190))</f>
        <v>8</v>
      </c>
      <c r="Q190" s="27">
        <f>IF(A190="","",YEAR(A190))</f>
        <v>2026</v>
      </c>
      <c r="R190" s="27" t="str">
        <f>IF(L190="","",IF(L190&gt;Config!$B$8,"A cair",IF(N(G190)&gt;=MIN(MAX(1,N(E190)),MAX(0,INT((Config!$B$8-L190)/30)+1)),IF(N(G190)&gt;=MAX(1,N(E190)),"Conferido","Conferido até aqui"),"A conferir")))</f>
        <v>Conferido até aqui</v>
      </c>
      <c r="S190" s="51">
        <f>IF(R190="A conferir",(Config!$B$8-L190)*1000+N(F190)/1000+ROW()/100000,0)</f>
        <v>0</v>
      </c>
      <c r="T190" s="51">
        <f>IF(R190="A conferir",N(N190),0)</f>
        <v>0</v>
      </c>
      <c r="U190" s="51">
        <f>IF(L190="",0,L190)</f>
        <v>46269.0</v>
      </c>
      <c r="V190" s="51">
        <f>IF(L190="",0,MAX(1,N(E190)))</f>
        <v>2</v>
      </c>
      <c r="W190" s="51">
        <f>IF(K190="",0,K190)</f>
        <v>182.59</v>
      </c>
    </row>
    <row r="191">
      <c r="A191" s="49" t="n">
        <v>46239</v>
      </c>
      <c r="B191" s="41" t="inlineStr">
        <is>
          <t>Marcelo Santos</t>
        </is>
      </c>
      <c r="C191" s="41" t="inlineStr">
        <is>
          <t>Consulta</t>
        </is>
      </c>
      <c r="D191" s="42" t="inlineStr">
        <is>
          <t>Pix</t>
        </is>
      </c>
      <c r="E191" s="42" t="n"/>
      <c r="F191" s="50" t="n">
        <v>380</v>
      </c>
      <c r="G191" s="42" t="n">
        <v>1</v>
      </c>
      <c r="H191" s="30">
        <f>IF(D191="","",IFERROR(INDEX(Config!$B$12:$B$15,MATCH(IF(AND(D191="Cartão de crédito",N(E191)&gt;1),"Cartão de crédito parcelado",D191),Config!$A$12:$A$15,0)),0)+IF(AND(Config!$B$17="Sim",LEFT(D191,17)="Cartão de crédito"),Config!$B$18*IFERROR(INDEX(Config!$C$12:$C$15,MATCH(IF(AND(D191="Cartão de crédito",N(E191)&gt;1),"Cartão de crédito parcelado",D191),Config!$A$12:$A$15,0)),0)/30*MAX(1,N(E191)),0))</f>
        <v>0</v>
      </c>
      <c r="I191" s="29">
        <f>IF(OR(D191="",F191=""),"",ROUND(F191*H191,2))</f>
        <v>0</v>
      </c>
      <c r="J191" s="29">
        <f>IF(I191="","",F191-I191)</f>
        <v>380</v>
      </c>
      <c r="K191" s="29">
        <f>IF(J191="","",J191/MAX(1,N(E191)))</f>
        <v>380</v>
      </c>
      <c r="L191" s="37">
        <f>IF(OR(D191="",A191=""),"",A191+IF(AND(Config!$B$17="Sim",LEFT(D191,17)="Cartão de crédito"),1,IFERROR(INDEX(Config!$C$12:$C$15,MATCH(IF(AND(D191="Cartão de crédito",N(E191)&gt;1),"Cartão de crédito parcelado",D191),Config!$A$12:$A$15,0)),0)))</f>
        <v>46239.0</v>
      </c>
      <c r="M191" s="37">
        <f>IF(L191="","",IF(AND(Config!$B$17="Sim",LEFT(D191,17)="Cartão de crédito"),L191,L191+30*(MAX(1,N(E191))-1)))</f>
        <v>46239.0</v>
      </c>
      <c r="N191" s="29">
        <f>IF(OR(L191="",K191=""),"",K191*MIN(MAX(1,N(E191)),MAX(0,INT((Config!$B$8-L191)/30)+1)))</f>
        <v>380</v>
      </c>
      <c r="O191" s="29">
        <f>IF(J191="","",J191-N(N191))</f>
        <v>0</v>
      </c>
      <c r="P191" s="27">
        <f>IF(A191="","",MONTH(A191))</f>
        <v>8</v>
      </c>
      <c r="Q191" s="27">
        <f>IF(A191="","",YEAR(A191))</f>
        <v>2026</v>
      </c>
      <c r="R191" s="27" t="str">
        <f>IF(L191="","",IF(L191&gt;Config!$B$8,"A cair",IF(N(G191)&gt;=MIN(MAX(1,N(E191)),MAX(0,INT((Config!$B$8-L191)/30)+1)),IF(N(G191)&gt;=MAX(1,N(E191)),"Conferido","Conferido até aqui"),"A conferir")))</f>
        <v>Conferido</v>
      </c>
      <c r="S191" s="51">
        <f>IF(R191="A conferir",(Config!$B$8-L191)*1000+N(F191)/1000+ROW()/100000,0)</f>
        <v>0</v>
      </c>
      <c r="T191" s="51">
        <f>IF(R191="A conferir",N(N191),0)</f>
        <v>0</v>
      </c>
      <c r="U191" s="51">
        <f>IF(L191="",0,L191)</f>
        <v>46239.0</v>
      </c>
      <c r="V191" s="51">
        <f>IF(L191="",0,MAX(1,N(E191)))</f>
        <v>1</v>
      </c>
      <c r="W191" s="51">
        <f>IF(K191="",0,K191)</f>
        <v>380</v>
      </c>
    </row>
    <row r="192">
      <c r="A192" s="49" t="n">
        <v>46239</v>
      </c>
      <c r="B192" s="41" t="inlineStr">
        <is>
          <t>Rodrigo Moreira</t>
        </is>
      </c>
      <c r="C192" s="41" t="inlineStr">
        <is>
          <t>Consulta</t>
        </is>
      </c>
      <c r="D192" s="42" t="inlineStr">
        <is>
          <t>Cartão de débito</t>
        </is>
      </c>
      <c r="E192" s="42" t="n"/>
      <c r="F192" s="50" t="n">
        <v>380</v>
      </c>
      <c r="G192" s="42" t="n">
        <v>1</v>
      </c>
      <c r="H192" s="30">
        <f>IF(D192="","",IFERROR(INDEX(Config!$B$12:$B$15,MATCH(IF(AND(D192="Cartão de crédito",N(E192)&gt;1),"Cartão de crédito parcelado",D192),Config!$A$12:$A$15,0)),0)+IF(AND(Config!$B$17="Sim",LEFT(D192,17)="Cartão de crédito"),Config!$B$18*IFERROR(INDEX(Config!$C$12:$C$15,MATCH(IF(AND(D192="Cartão de crédito",N(E192)&gt;1),"Cartão de crédito parcelado",D192),Config!$A$12:$A$15,0)),0)/30*MAX(1,N(E192)),0))</f>
        <v>0.015</v>
      </c>
      <c r="I192" s="29">
        <f>IF(OR(D192="",F192=""),"",ROUND(F192*H192,2))</f>
        <v>5.7</v>
      </c>
      <c r="J192" s="29">
        <f>IF(I192="","",F192-I192)</f>
        <v>374.3</v>
      </c>
      <c r="K192" s="29">
        <f>IF(J192="","",J192/MAX(1,N(E192)))</f>
        <v>374.3</v>
      </c>
      <c r="L192" s="37">
        <f>IF(OR(D192="",A192=""),"",A192+IF(AND(Config!$B$17="Sim",LEFT(D192,17)="Cartão de crédito"),1,IFERROR(INDEX(Config!$C$12:$C$15,MATCH(IF(AND(D192="Cartão de crédito",N(E192)&gt;1),"Cartão de crédito parcelado",D192),Config!$A$12:$A$15,0)),0)))</f>
        <v>46240.0</v>
      </c>
      <c r="M192" s="37">
        <f>IF(L192="","",IF(AND(Config!$B$17="Sim",LEFT(D192,17)="Cartão de crédito"),L192,L192+30*(MAX(1,N(E192))-1)))</f>
        <v>46240.0</v>
      </c>
      <c r="N192" s="29">
        <f>IF(OR(L192="",K192=""),"",K192*MIN(MAX(1,N(E192)),MAX(0,INT((Config!$B$8-L192)/30)+1)))</f>
        <v>374.3</v>
      </c>
      <c r="O192" s="29">
        <f>IF(J192="","",J192-N(N192))</f>
        <v>0</v>
      </c>
      <c r="P192" s="27">
        <f>IF(A192="","",MONTH(A192))</f>
        <v>8</v>
      </c>
      <c r="Q192" s="27">
        <f>IF(A192="","",YEAR(A192))</f>
        <v>2026</v>
      </c>
      <c r="R192" s="27" t="str">
        <f>IF(L192="","",IF(L192&gt;Config!$B$8,"A cair",IF(N(G192)&gt;=MIN(MAX(1,N(E192)),MAX(0,INT((Config!$B$8-L192)/30)+1)),IF(N(G192)&gt;=MAX(1,N(E192)),"Conferido","Conferido até aqui"),"A conferir")))</f>
        <v>Conferido</v>
      </c>
      <c r="S192" s="51">
        <f>IF(R192="A conferir",(Config!$B$8-L192)*1000+N(F192)/1000+ROW()/100000,0)</f>
        <v>0</v>
      </c>
      <c r="T192" s="51">
        <f>IF(R192="A conferir",N(N192),0)</f>
        <v>0</v>
      </c>
      <c r="U192" s="51">
        <f>IF(L192="",0,L192)</f>
        <v>46240.0</v>
      </c>
      <c r="V192" s="51">
        <f>IF(L192="",0,MAX(1,N(E192)))</f>
        <v>1</v>
      </c>
      <c r="W192" s="51">
        <f>IF(K192="",0,K192)</f>
        <v>374.3</v>
      </c>
    </row>
    <row r="193">
      <c r="A193" s="49" t="n">
        <v>46240</v>
      </c>
      <c r="B193" s="41" t="inlineStr">
        <is>
          <t>Elaine Cardoso</t>
        </is>
      </c>
      <c r="C193" s="41" t="inlineStr">
        <is>
          <t>Consulta</t>
        </is>
      </c>
      <c r="D193" s="42" t="inlineStr">
        <is>
          <t>Cartão de crédito</t>
        </is>
      </c>
      <c r="E193" s="42" t="n">
        <v>2</v>
      </c>
      <c r="F193" s="50" t="n">
        <v>380</v>
      </c>
      <c r="G193" s="42" t="n">
        <v>1</v>
      </c>
      <c r="H193" s="30">
        <f>IF(D193="","",IFERROR(INDEX(Config!$B$12:$B$15,MATCH(IF(AND(D193="Cartão de crédito",N(E193)&gt;1),"Cartão de crédito parcelado",D193),Config!$A$12:$A$15,0)),0)+IF(AND(Config!$B$17="Sim",LEFT(D193,17)="Cartão de crédito"),Config!$B$18*IFERROR(INDEX(Config!$C$12:$C$15,MATCH(IF(AND(D193="Cartão de crédito",N(E193)&gt;1),"Cartão de crédito parcelado",D193),Config!$A$12:$A$15,0)),0)/30*MAX(1,N(E193)),0))</f>
        <v>0.039</v>
      </c>
      <c r="I193" s="29">
        <f>IF(OR(D193="",F193=""),"",ROUND(F193*H193,2))</f>
        <v>14.82</v>
      </c>
      <c r="J193" s="29">
        <f>IF(I193="","",F193-I193)</f>
        <v>365.18</v>
      </c>
      <c r="K193" s="29">
        <f>IF(J193="","",J193/MAX(1,N(E193)))</f>
        <v>182.59</v>
      </c>
      <c r="L193" s="37">
        <f>IF(OR(D193="",A193=""),"",A193+IF(AND(Config!$B$17="Sim",LEFT(D193,17)="Cartão de crédito"),1,IFERROR(INDEX(Config!$C$12:$C$15,MATCH(IF(AND(D193="Cartão de crédito",N(E193)&gt;1),"Cartão de crédito parcelado",D193),Config!$A$12:$A$15,0)),0)))</f>
        <v>46270.0</v>
      </c>
      <c r="M193" s="37">
        <f>IF(L193="","",IF(AND(Config!$B$17="Sim",LEFT(D193,17)="Cartão de crédito"),L193,L193+30*(MAX(1,N(E193))-1)))</f>
        <v>46300.0</v>
      </c>
      <c r="N193" s="29">
        <f>IF(OR(L193="",K193=""),"",K193*MIN(MAX(1,N(E193)),MAX(0,INT((Config!$B$8-L193)/30)+1)))</f>
        <v>182.59</v>
      </c>
      <c r="O193" s="29">
        <f>IF(J193="","",J193-N(N193))</f>
        <v>182.59</v>
      </c>
      <c r="P193" s="27">
        <f>IF(A193="","",MONTH(A193))</f>
        <v>8</v>
      </c>
      <c r="Q193" s="27">
        <f>IF(A193="","",YEAR(A193))</f>
        <v>2026</v>
      </c>
      <c r="R193" s="27" t="str">
        <f>IF(L193="","",IF(L193&gt;Config!$B$8,"A cair",IF(N(G193)&gt;=MIN(MAX(1,N(E193)),MAX(0,INT((Config!$B$8-L193)/30)+1)),IF(N(G193)&gt;=MAX(1,N(E193)),"Conferido","Conferido até aqui"),"A conferir")))</f>
        <v>Conferido até aqui</v>
      </c>
      <c r="S193" s="51">
        <f>IF(R193="A conferir",(Config!$B$8-L193)*1000+N(F193)/1000+ROW()/100000,0)</f>
        <v>0</v>
      </c>
      <c r="T193" s="51">
        <f>IF(R193="A conferir",N(N193),0)</f>
        <v>0</v>
      </c>
      <c r="U193" s="51">
        <f>IF(L193="",0,L193)</f>
        <v>46270.0</v>
      </c>
      <c r="V193" s="51">
        <f>IF(L193="",0,MAX(1,N(E193)))</f>
        <v>2</v>
      </c>
      <c r="W193" s="51">
        <f>IF(K193="",0,K193)</f>
        <v>182.59</v>
      </c>
    </row>
    <row r="194">
      <c r="A194" s="49" t="n">
        <v>46240</v>
      </c>
      <c r="B194" s="41" t="inlineStr">
        <is>
          <t>Patrícia Fernandes</t>
        </is>
      </c>
      <c r="C194" s="41" t="inlineStr">
        <is>
          <t>Consulta</t>
        </is>
      </c>
      <c r="D194" s="42" t="inlineStr">
        <is>
          <t>Cartão de débito</t>
        </is>
      </c>
      <c r="E194" s="42" t="n"/>
      <c r="F194" s="50" t="n">
        <v>380</v>
      </c>
      <c r="G194" s="42" t="n">
        <v>1</v>
      </c>
      <c r="H194" s="30">
        <f>IF(D194="","",IFERROR(INDEX(Config!$B$12:$B$15,MATCH(IF(AND(D194="Cartão de crédito",N(E194)&gt;1),"Cartão de crédito parcelado",D194),Config!$A$12:$A$15,0)),0)+IF(AND(Config!$B$17="Sim",LEFT(D194,17)="Cartão de crédito"),Config!$B$18*IFERROR(INDEX(Config!$C$12:$C$15,MATCH(IF(AND(D194="Cartão de crédito",N(E194)&gt;1),"Cartão de crédito parcelado",D194),Config!$A$12:$A$15,0)),0)/30*MAX(1,N(E194)),0))</f>
        <v>0.015</v>
      </c>
      <c r="I194" s="29">
        <f>IF(OR(D194="",F194=""),"",ROUND(F194*H194,2))</f>
        <v>5.7</v>
      </c>
      <c r="J194" s="29">
        <f>IF(I194="","",F194-I194)</f>
        <v>374.3</v>
      </c>
      <c r="K194" s="29">
        <f>IF(J194="","",J194/MAX(1,N(E194)))</f>
        <v>374.3</v>
      </c>
      <c r="L194" s="37">
        <f>IF(OR(D194="",A194=""),"",A194+IF(AND(Config!$B$17="Sim",LEFT(D194,17)="Cartão de crédito"),1,IFERROR(INDEX(Config!$C$12:$C$15,MATCH(IF(AND(D194="Cartão de crédito",N(E194)&gt;1),"Cartão de crédito parcelado",D194),Config!$A$12:$A$15,0)),0)))</f>
        <v>46241.0</v>
      </c>
      <c r="M194" s="37">
        <f>IF(L194="","",IF(AND(Config!$B$17="Sim",LEFT(D194,17)="Cartão de crédito"),L194,L194+30*(MAX(1,N(E194))-1)))</f>
        <v>46241.0</v>
      </c>
      <c r="N194" s="29">
        <f>IF(OR(L194="",K194=""),"",K194*MIN(MAX(1,N(E194)),MAX(0,INT((Config!$B$8-L194)/30)+1)))</f>
        <v>374.3</v>
      </c>
      <c r="O194" s="29">
        <f>IF(J194="","",J194-N(N194))</f>
        <v>0</v>
      </c>
      <c r="P194" s="27">
        <f>IF(A194="","",MONTH(A194))</f>
        <v>8</v>
      </c>
      <c r="Q194" s="27">
        <f>IF(A194="","",YEAR(A194))</f>
        <v>2026</v>
      </c>
      <c r="R194" s="27" t="str">
        <f>IF(L194="","",IF(L194&gt;Config!$B$8,"A cair",IF(N(G194)&gt;=MIN(MAX(1,N(E194)),MAX(0,INT((Config!$B$8-L194)/30)+1)),IF(N(G194)&gt;=MAX(1,N(E194)),"Conferido","Conferido até aqui"),"A conferir")))</f>
        <v>Conferido</v>
      </c>
      <c r="S194" s="51">
        <f>IF(R194="A conferir",(Config!$B$8-L194)*1000+N(F194)/1000+ROW()/100000,0)</f>
        <v>0</v>
      </c>
      <c r="T194" s="51">
        <f>IF(R194="A conferir",N(N194),0)</f>
        <v>0</v>
      </c>
      <c r="U194" s="51">
        <f>IF(L194="",0,L194)</f>
        <v>46241.0</v>
      </c>
      <c r="V194" s="51">
        <f>IF(L194="",0,MAX(1,N(E194)))</f>
        <v>1</v>
      </c>
      <c r="W194" s="51">
        <f>IF(K194="",0,K194)</f>
        <v>374.3</v>
      </c>
    </row>
    <row r="195">
      <c r="A195" s="49" t="n">
        <v>46240</v>
      </c>
      <c r="B195" s="41" t="inlineStr">
        <is>
          <t>Fábio Ferreira</t>
        </is>
      </c>
      <c r="C195" s="41" t="inlineStr">
        <is>
          <t>Avaliação endócrina</t>
        </is>
      </c>
      <c r="D195" s="42" t="inlineStr">
        <is>
          <t>Cartão de crédito</t>
        </is>
      </c>
      <c r="E195" s="42" t="n">
        <v>2</v>
      </c>
      <c r="F195" s="50" t="n">
        <v>400</v>
      </c>
      <c r="G195" s="42" t="n">
        <v>1</v>
      </c>
      <c r="H195" s="30">
        <f>IF(D195="","",IFERROR(INDEX(Config!$B$12:$B$15,MATCH(IF(AND(D195="Cartão de crédito",N(E195)&gt;1),"Cartão de crédito parcelado",D195),Config!$A$12:$A$15,0)),0)+IF(AND(Config!$B$17="Sim",LEFT(D195,17)="Cartão de crédito"),Config!$B$18*IFERROR(INDEX(Config!$C$12:$C$15,MATCH(IF(AND(D195="Cartão de crédito",N(E195)&gt;1),"Cartão de crédito parcelado",D195),Config!$A$12:$A$15,0)),0)/30*MAX(1,N(E195)),0))</f>
        <v>0.039</v>
      </c>
      <c r="I195" s="29">
        <f>IF(OR(D195="",F195=""),"",ROUND(F195*H195,2))</f>
        <v>15.6</v>
      </c>
      <c r="J195" s="29">
        <f>IF(I195="","",F195-I195)</f>
        <v>384.4</v>
      </c>
      <c r="K195" s="29">
        <f>IF(J195="","",J195/MAX(1,N(E195)))</f>
        <v>192.2</v>
      </c>
      <c r="L195" s="37">
        <f>IF(OR(D195="",A195=""),"",A195+IF(AND(Config!$B$17="Sim",LEFT(D195,17)="Cartão de crédito"),1,IFERROR(INDEX(Config!$C$12:$C$15,MATCH(IF(AND(D195="Cartão de crédito",N(E195)&gt;1),"Cartão de crédito parcelado",D195),Config!$A$12:$A$15,0)),0)))</f>
        <v>46270.0</v>
      </c>
      <c r="M195" s="37">
        <f>IF(L195="","",IF(AND(Config!$B$17="Sim",LEFT(D195,17)="Cartão de crédito"),L195,L195+30*(MAX(1,N(E195))-1)))</f>
        <v>46300.0</v>
      </c>
      <c r="N195" s="29">
        <f>IF(OR(L195="",K195=""),"",K195*MIN(MAX(1,N(E195)),MAX(0,INT((Config!$B$8-L195)/30)+1)))</f>
        <v>192.2</v>
      </c>
      <c r="O195" s="29">
        <f>IF(J195="","",J195-N(N195))</f>
        <v>192.2</v>
      </c>
      <c r="P195" s="27">
        <f>IF(A195="","",MONTH(A195))</f>
        <v>8</v>
      </c>
      <c r="Q195" s="27">
        <f>IF(A195="","",YEAR(A195))</f>
        <v>2026</v>
      </c>
      <c r="R195" s="27" t="str">
        <f>IF(L195="","",IF(L195&gt;Config!$B$8,"A cair",IF(N(G195)&gt;=MIN(MAX(1,N(E195)),MAX(0,INT((Config!$B$8-L195)/30)+1)),IF(N(G195)&gt;=MAX(1,N(E195)),"Conferido","Conferido até aqui"),"A conferir")))</f>
        <v>Conferido até aqui</v>
      </c>
      <c r="S195" s="51">
        <f>IF(R195="A conferir",(Config!$B$8-L195)*1000+N(F195)/1000+ROW()/100000,0)</f>
        <v>0</v>
      </c>
      <c r="T195" s="51">
        <f>IF(R195="A conferir",N(N195),0)</f>
        <v>0</v>
      </c>
      <c r="U195" s="51">
        <f>IF(L195="",0,L195)</f>
        <v>46270.0</v>
      </c>
      <c r="V195" s="51">
        <f>IF(L195="",0,MAX(1,N(E195)))</f>
        <v>2</v>
      </c>
      <c r="W195" s="51">
        <f>IF(K195="",0,K195)</f>
        <v>192.2</v>
      </c>
    </row>
    <row r="196">
      <c r="A196" s="49" t="n">
        <v>46240</v>
      </c>
      <c r="B196" s="41" t="inlineStr">
        <is>
          <t>Cláudia Melo</t>
        </is>
      </c>
      <c r="C196" s="41" t="inlineStr">
        <is>
          <t>Avaliação endócrina</t>
        </is>
      </c>
      <c r="D196" s="42" t="inlineStr">
        <is>
          <t>Pix</t>
        </is>
      </c>
      <c r="E196" s="42" t="n"/>
      <c r="F196" s="50" t="n">
        <v>400</v>
      </c>
      <c r="G196" s="42" t="n">
        <v>1</v>
      </c>
      <c r="H196" s="30">
        <f>IF(D196="","",IFERROR(INDEX(Config!$B$12:$B$15,MATCH(IF(AND(D196="Cartão de crédito",N(E196)&gt;1),"Cartão de crédito parcelado",D196),Config!$A$12:$A$15,0)),0)+IF(AND(Config!$B$17="Sim",LEFT(D196,17)="Cartão de crédito"),Config!$B$18*IFERROR(INDEX(Config!$C$12:$C$15,MATCH(IF(AND(D196="Cartão de crédito",N(E196)&gt;1),"Cartão de crédito parcelado",D196),Config!$A$12:$A$15,0)),0)/30*MAX(1,N(E196)),0))</f>
        <v>0</v>
      </c>
      <c r="I196" s="29">
        <f>IF(OR(D196="",F196=""),"",ROUND(F196*H196,2))</f>
        <v>0</v>
      </c>
      <c r="J196" s="29">
        <f>IF(I196="","",F196-I196)</f>
        <v>400</v>
      </c>
      <c r="K196" s="29">
        <f>IF(J196="","",J196/MAX(1,N(E196)))</f>
        <v>400</v>
      </c>
      <c r="L196" s="37">
        <f>IF(OR(D196="",A196=""),"",A196+IF(AND(Config!$B$17="Sim",LEFT(D196,17)="Cartão de crédito"),1,IFERROR(INDEX(Config!$C$12:$C$15,MATCH(IF(AND(D196="Cartão de crédito",N(E196)&gt;1),"Cartão de crédito parcelado",D196),Config!$A$12:$A$15,0)),0)))</f>
        <v>46240.0</v>
      </c>
      <c r="M196" s="37">
        <f>IF(L196="","",IF(AND(Config!$B$17="Sim",LEFT(D196,17)="Cartão de crédito"),L196,L196+30*(MAX(1,N(E196))-1)))</f>
        <v>46240.0</v>
      </c>
      <c r="N196" s="29">
        <f>IF(OR(L196="",K196=""),"",K196*MIN(MAX(1,N(E196)),MAX(0,INT((Config!$B$8-L196)/30)+1)))</f>
        <v>400</v>
      </c>
      <c r="O196" s="29">
        <f>IF(J196="","",J196-N(N196))</f>
        <v>0</v>
      </c>
      <c r="P196" s="27">
        <f>IF(A196="","",MONTH(A196))</f>
        <v>8</v>
      </c>
      <c r="Q196" s="27">
        <f>IF(A196="","",YEAR(A196))</f>
        <v>2026</v>
      </c>
      <c r="R196" s="27" t="str">
        <f>IF(L196="","",IF(L196&gt;Config!$B$8,"A cair",IF(N(G196)&gt;=MIN(MAX(1,N(E196)),MAX(0,INT((Config!$B$8-L196)/30)+1)),IF(N(G196)&gt;=MAX(1,N(E196)),"Conferido","Conferido até aqui"),"A conferir")))</f>
        <v>Conferido</v>
      </c>
      <c r="S196" s="51">
        <f>IF(R196="A conferir",(Config!$B$8-L196)*1000+N(F196)/1000+ROW()/100000,0)</f>
        <v>0</v>
      </c>
      <c r="T196" s="51">
        <f>IF(R196="A conferir",N(N196),0)</f>
        <v>0</v>
      </c>
      <c r="U196" s="51">
        <f>IF(L196="",0,L196)</f>
        <v>46240.0</v>
      </c>
      <c r="V196" s="51">
        <f>IF(L196="",0,MAX(1,N(E196)))</f>
        <v>1</v>
      </c>
      <c r="W196" s="51">
        <f>IF(K196="",0,K196)</f>
        <v>400</v>
      </c>
    </row>
    <row r="197">
      <c r="A197" s="49" t="n">
        <v>46240</v>
      </c>
      <c r="B197" s="41" t="inlineStr">
        <is>
          <t>Otávio Cardoso</t>
        </is>
      </c>
      <c r="C197" s="41" t="inlineStr">
        <is>
          <t>Teste ergométrico</t>
        </is>
      </c>
      <c r="D197" s="42" t="inlineStr">
        <is>
          <t>Pix</t>
        </is>
      </c>
      <c r="E197" s="42" t="n"/>
      <c r="F197" s="50" t="n">
        <v>450</v>
      </c>
      <c r="G197" s="42" t="n">
        <v>1</v>
      </c>
      <c r="H197" s="30">
        <f>IF(D197="","",IFERROR(INDEX(Config!$B$12:$B$15,MATCH(IF(AND(D197="Cartão de crédito",N(E197)&gt;1),"Cartão de crédito parcelado",D197),Config!$A$12:$A$15,0)),0)+IF(AND(Config!$B$17="Sim",LEFT(D197,17)="Cartão de crédito"),Config!$B$18*IFERROR(INDEX(Config!$C$12:$C$15,MATCH(IF(AND(D197="Cartão de crédito",N(E197)&gt;1),"Cartão de crédito parcelado",D197),Config!$A$12:$A$15,0)),0)/30*MAX(1,N(E197)),0))</f>
        <v>0</v>
      </c>
      <c r="I197" s="29">
        <f>IF(OR(D197="",F197=""),"",ROUND(F197*H197,2))</f>
        <v>0</v>
      </c>
      <c r="J197" s="29">
        <f>IF(I197="","",F197-I197)</f>
        <v>450</v>
      </c>
      <c r="K197" s="29">
        <f>IF(J197="","",J197/MAX(1,N(E197)))</f>
        <v>450</v>
      </c>
      <c r="L197" s="37">
        <f>IF(OR(D197="",A197=""),"",A197+IF(AND(Config!$B$17="Sim",LEFT(D197,17)="Cartão de crédito"),1,IFERROR(INDEX(Config!$C$12:$C$15,MATCH(IF(AND(D197="Cartão de crédito",N(E197)&gt;1),"Cartão de crédito parcelado",D197),Config!$A$12:$A$15,0)),0)))</f>
        <v>46240.0</v>
      </c>
      <c r="M197" s="37">
        <f>IF(L197="","",IF(AND(Config!$B$17="Sim",LEFT(D197,17)="Cartão de crédito"),L197,L197+30*(MAX(1,N(E197))-1)))</f>
        <v>46240.0</v>
      </c>
      <c r="N197" s="29">
        <f>IF(OR(L197="",K197=""),"",K197*MIN(MAX(1,N(E197)),MAX(0,INT((Config!$B$8-L197)/30)+1)))</f>
        <v>450</v>
      </c>
      <c r="O197" s="29">
        <f>IF(J197="","",J197-N(N197))</f>
        <v>0</v>
      </c>
      <c r="P197" s="27">
        <f>IF(A197="","",MONTH(A197))</f>
        <v>8</v>
      </c>
      <c r="Q197" s="27">
        <f>IF(A197="","",YEAR(A197))</f>
        <v>2026</v>
      </c>
      <c r="R197" s="27" t="str">
        <f>IF(L197="","",IF(L197&gt;Config!$B$8,"A cair",IF(N(G197)&gt;=MIN(MAX(1,N(E197)),MAX(0,INT((Config!$B$8-L197)/30)+1)),IF(N(G197)&gt;=MAX(1,N(E197)),"Conferido","Conferido até aqui"),"A conferir")))</f>
        <v>Conferido</v>
      </c>
      <c r="S197" s="51">
        <f>IF(R197="A conferir",(Config!$B$8-L197)*1000+N(F197)/1000+ROW()/100000,0)</f>
        <v>0</v>
      </c>
      <c r="T197" s="51">
        <f>IF(R197="A conferir",N(N197),0)</f>
        <v>0</v>
      </c>
      <c r="U197" s="51">
        <f>IF(L197="",0,L197)</f>
        <v>46240.0</v>
      </c>
      <c r="V197" s="51">
        <f>IF(L197="",0,MAX(1,N(E197)))</f>
        <v>1</v>
      </c>
      <c r="W197" s="51">
        <f>IF(K197="",0,K197)</f>
        <v>450</v>
      </c>
    </row>
    <row r="198">
      <c r="A198" s="49" t="n">
        <v>46241</v>
      </c>
      <c r="B198" s="41" t="inlineStr">
        <is>
          <t>Cláudia Costa</t>
        </is>
      </c>
      <c r="C198" s="41" t="inlineStr">
        <is>
          <t>ECG</t>
        </is>
      </c>
      <c r="D198" s="42" t="inlineStr">
        <is>
          <t>Pix</t>
        </is>
      </c>
      <c r="E198" s="42" t="n"/>
      <c r="F198" s="50" t="n">
        <v>130</v>
      </c>
      <c r="G198" s="42" t="n">
        <v>1</v>
      </c>
      <c r="H198" s="30">
        <f>IF(D198="","",IFERROR(INDEX(Config!$B$12:$B$15,MATCH(IF(AND(D198="Cartão de crédito",N(E198)&gt;1),"Cartão de crédito parcelado",D198),Config!$A$12:$A$15,0)),0)+IF(AND(Config!$B$17="Sim",LEFT(D198,17)="Cartão de crédito"),Config!$B$18*IFERROR(INDEX(Config!$C$12:$C$15,MATCH(IF(AND(D198="Cartão de crédito",N(E198)&gt;1),"Cartão de crédito parcelado",D198),Config!$A$12:$A$15,0)),0)/30*MAX(1,N(E198)),0))</f>
        <v>0</v>
      </c>
      <c r="I198" s="29">
        <f>IF(OR(D198="",F198=""),"",ROUND(F198*H198,2))</f>
        <v>0</v>
      </c>
      <c r="J198" s="29">
        <f>IF(I198="","",F198-I198)</f>
        <v>130</v>
      </c>
      <c r="K198" s="29">
        <f>IF(J198="","",J198/MAX(1,N(E198)))</f>
        <v>130</v>
      </c>
      <c r="L198" s="37">
        <f>IF(OR(D198="",A198=""),"",A198+IF(AND(Config!$B$17="Sim",LEFT(D198,17)="Cartão de crédito"),1,IFERROR(INDEX(Config!$C$12:$C$15,MATCH(IF(AND(D198="Cartão de crédito",N(E198)&gt;1),"Cartão de crédito parcelado",D198),Config!$A$12:$A$15,0)),0)))</f>
        <v>46241.0</v>
      </c>
      <c r="M198" s="37">
        <f>IF(L198="","",IF(AND(Config!$B$17="Sim",LEFT(D198,17)="Cartão de crédito"),L198,L198+30*(MAX(1,N(E198))-1)))</f>
        <v>46241.0</v>
      </c>
      <c r="N198" s="29">
        <f>IF(OR(L198="",K198=""),"",K198*MIN(MAX(1,N(E198)),MAX(0,INT((Config!$B$8-L198)/30)+1)))</f>
        <v>130</v>
      </c>
      <c r="O198" s="29">
        <f>IF(J198="","",J198-N(N198))</f>
        <v>0</v>
      </c>
      <c r="P198" s="27">
        <f>IF(A198="","",MONTH(A198))</f>
        <v>8</v>
      </c>
      <c r="Q198" s="27">
        <f>IF(A198="","",YEAR(A198))</f>
        <v>2026</v>
      </c>
      <c r="R198" s="27" t="str">
        <f>IF(L198="","",IF(L198&gt;Config!$B$8,"A cair",IF(N(G198)&gt;=MIN(MAX(1,N(E198)),MAX(0,INT((Config!$B$8-L198)/30)+1)),IF(N(G198)&gt;=MAX(1,N(E198)),"Conferido","Conferido até aqui"),"A conferir")))</f>
        <v>Conferido</v>
      </c>
      <c r="S198" s="51">
        <f>IF(R198="A conferir",(Config!$B$8-L198)*1000+N(F198)/1000+ROW()/100000,0)</f>
        <v>0</v>
      </c>
      <c r="T198" s="51">
        <f>IF(R198="A conferir",N(N198),0)</f>
        <v>0</v>
      </c>
      <c r="U198" s="51">
        <f>IF(L198="",0,L198)</f>
        <v>46241.0</v>
      </c>
      <c r="V198" s="51">
        <f>IF(L198="",0,MAX(1,N(E198)))</f>
        <v>1</v>
      </c>
      <c r="W198" s="51">
        <f>IF(K198="",0,K198)</f>
        <v>130</v>
      </c>
    </row>
    <row r="199">
      <c r="A199" s="49" t="n">
        <v>46241</v>
      </c>
      <c r="B199" s="41" t="inlineStr">
        <is>
          <t>Wagner Costa</t>
        </is>
      </c>
      <c r="C199" s="41" t="inlineStr">
        <is>
          <t>Consulta</t>
        </is>
      </c>
      <c r="D199" s="42" t="inlineStr">
        <is>
          <t>Cartão de crédito</t>
        </is>
      </c>
      <c r="E199" s="42" t="n"/>
      <c r="F199" s="50" t="n">
        <v>380</v>
      </c>
      <c r="G199" s="42" t="n">
        <v>1</v>
      </c>
      <c r="H199" s="30">
        <f>IF(D199="","",IFERROR(INDEX(Config!$B$12:$B$15,MATCH(IF(AND(D199="Cartão de crédito",N(E199)&gt;1),"Cartão de crédito parcelado",D199),Config!$A$12:$A$15,0)),0)+IF(AND(Config!$B$17="Sim",LEFT(D199,17)="Cartão de crédito"),Config!$B$18*IFERROR(INDEX(Config!$C$12:$C$15,MATCH(IF(AND(D199="Cartão de crédito",N(E199)&gt;1),"Cartão de crédito parcelado",D199),Config!$A$12:$A$15,0)),0)/30*MAX(1,N(E199)),0))</f>
        <v>0.032</v>
      </c>
      <c r="I199" s="29">
        <f>IF(OR(D199="",F199=""),"",ROUND(F199*H199,2))</f>
        <v>12.16</v>
      </c>
      <c r="J199" s="29">
        <f>IF(I199="","",F199-I199)</f>
        <v>367.84</v>
      </c>
      <c r="K199" s="29">
        <f>IF(J199="","",J199/MAX(1,N(E199)))</f>
        <v>367.84</v>
      </c>
      <c r="L199" s="37">
        <f>IF(OR(D199="",A199=""),"",A199+IF(AND(Config!$B$17="Sim",LEFT(D199,17)="Cartão de crédito"),1,IFERROR(INDEX(Config!$C$12:$C$15,MATCH(IF(AND(D199="Cartão de crédito",N(E199)&gt;1),"Cartão de crédito parcelado",D199),Config!$A$12:$A$15,0)),0)))</f>
        <v>46271.0</v>
      </c>
      <c r="M199" s="37">
        <f>IF(L199="","",IF(AND(Config!$B$17="Sim",LEFT(D199,17)="Cartão de crédito"),L199,L199+30*(MAX(1,N(E199))-1)))</f>
        <v>46271.0</v>
      </c>
      <c r="N199" s="29">
        <f>IF(OR(L199="",K199=""),"",K199*MIN(MAX(1,N(E199)),MAX(0,INT((Config!$B$8-L199)/30)+1)))</f>
        <v>367.84</v>
      </c>
      <c r="O199" s="29">
        <f>IF(J199="","",J199-N(N199))</f>
        <v>0</v>
      </c>
      <c r="P199" s="27">
        <f>IF(A199="","",MONTH(A199))</f>
        <v>8</v>
      </c>
      <c r="Q199" s="27">
        <f>IF(A199="","",YEAR(A199))</f>
        <v>2026</v>
      </c>
      <c r="R199" s="27" t="str">
        <f>IF(L199="","",IF(L199&gt;Config!$B$8,"A cair",IF(N(G199)&gt;=MIN(MAX(1,N(E199)),MAX(0,INT((Config!$B$8-L199)/30)+1)),IF(N(G199)&gt;=MAX(1,N(E199)),"Conferido","Conferido até aqui"),"A conferir")))</f>
        <v>Conferido</v>
      </c>
      <c r="S199" s="51">
        <f>IF(R199="A conferir",(Config!$B$8-L199)*1000+N(F199)/1000+ROW()/100000,0)</f>
        <v>0</v>
      </c>
      <c r="T199" s="51">
        <f>IF(R199="A conferir",N(N199),0)</f>
        <v>0</v>
      </c>
      <c r="U199" s="51">
        <f>IF(L199="",0,L199)</f>
        <v>46271.0</v>
      </c>
      <c r="V199" s="51">
        <f>IF(L199="",0,MAX(1,N(E199)))</f>
        <v>1</v>
      </c>
      <c r="W199" s="51">
        <f>IF(K199="",0,K199)</f>
        <v>367.84</v>
      </c>
    </row>
    <row r="200">
      <c r="A200" s="49" t="n">
        <v>46244</v>
      </c>
      <c r="B200" s="41" t="inlineStr">
        <is>
          <t>Marcelo Moreira</t>
        </is>
      </c>
      <c r="C200" s="41" t="inlineStr">
        <is>
          <t>Holter</t>
        </is>
      </c>
      <c r="D200" s="42" t="inlineStr">
        <is>
          <t>Cartão de débito</t>
        </is>
      </c>
      <c r="E200" s="42" t="n"/>
      <c r="F200" s="50" t="n">
        <v>350</v>
      </c>
      <c r="G200" s="42" t="n">
        <v>1</v>
      </c>
      <c r="H200" s="30">
        <f>IF(D200="","",IFERROR(INDEX(Config!$B$12:$B$15,MATCH(IF(AND(D200="Cartão de crédito",N(E200)&gt;1),"Cartão de crédito parcelado",D200),Config!$A$12:$A$15,0)),0)+IF(AND(Config!$B$17="Sim",LEFT(D200,17)="Cartão de crédito"),Config!$B$18*IFERROR(INDEX(Config!$C$12:$C$15,MATCH(IF(AND(D200="Cartão de crédito",N(E200)&gt;1),"Cartão de crédito parcelado",D200),Config!$A$12:$A$15,0)),0)/30*MAX(1,N(E200)),0))</f>
        <v>0.015</v>
      </c>
      <c r="I200" s="29">
        <f>IF(OR(D200="",F200=""),"",ROUND(F200*H200,2))</f>
        <v>5.25</v>
      </c>
      <c r="J200" s="29">
        <f>IF(I200="","",F200-I200)</f>
        <v>344.75</v>
      </c>
      <c r="K200" s="29">
        <f>IF(J200="","",J200/MAX(1,N(E200)))</f>
        <v>344.75</v>
      </c>
      <c r="L200" s="37">
        <f>IF(OR(D200="",A200=""),"",A200+IF(AND(Config!$B$17="Sim",LEFT(D200,17)="Cartão de crédito"),1,IFERROR(INDEX(Config!$C$12:$C$15,MATCH(IF(AND(D200="Cartão de crédito",N(E200)&gt;1),"Cartão de crédito parcelado",D200),Config!$A$12:$A$15,0)),0)))</f>
        <v>46245.0</v>
      </c>
      <c r="M200" s="37">
        <f>IF(L200="","",IF(AND(Config!$B$17="Sim",LEFT(D200,17)="Cartão de crédito"),L200,L200+30*(MAX(1,N(E200))-1)))</f>
        <v>46245.0</v>
      </c>
      <c r="N200" s="29">
        <f>IF(OR(L200="",K200=""),"",K200*MIN(MAX(1,N(E200)),MAX(0,INT((Config!$B$8-L200)/30)+1)))</f>
        <v>344.75</v>
      </c>
      <c r="O200" s="29">
        <f>IF(J200="","",J200-N(N200))</f>
        <v>0</v>
      </c>
      <c r="P200" s="27">
        <f>IF(A200="","",MONTH(A200))</f>
        <v>8</v>
      </c>
      <c r="Q200" s="27">
        <f>IF(A200="","",YEAR(A200))</f>
        <v>2026</v>
      </c>
      <c r="R200" s="27" t="str">
        <f>IF(L200="","",IF(L200&gt;Config!$B$8,"A cair",IF(N(G200)&gt;=MIN(MAX(1,N(E200)),MAX(0,INT((Config!$B$8-L200)/30)+1)),IF(N(G200)&gt;=MAX(1,N(E200)),"Conferido","Conferido até aqui"),"A conferir")))</f>
        <v>Conferido</v>
      </c>
      <c r="S200" s="51">
        <f>IF(R200="A conferir",(Config!$B$8-L200)*1000+N(F200)/1000+ROW()/100000,0)</f>
        <v>0</v>
      </c>
      <c r="T200" s="51">
        <f>IF(R200="A conferir",N(N200),0)</f>
        <v>0</v>
      </c>
      <c r="U200" s="51">
        <f>IF(L200="",0,L200)</f>
        <v>46245.0</v>
      </c>
      <c r="V200" s="51">
        <f>IF(L200="",0,MAX(1,N(E200)))</f>
        <v>1</v>
      </c>
      <c r="W200" s="51">
        <f>IF(K200="",0,K200)</f>
        <v>344.75</v>
      </c>
    </row>
    <row r="201">
      <c r="A201" s="49" t="n">
        <v>46244</v>
      </c>
      <c r="B201" s="41" t="inlineStr">
        <is>
          <t>Marcelo Santos</t>
        </is>
      </c>
      <c r="C201" s="41" t="inlineStr">
        <is>
          <t>ECG</t>
        </is>
      </c>
      <c r="D201" s="42" t="inlineStr">
        <is>
          <t>Pix</t>
        </is>
      </c>
      <c r="E201" s="42" t="n"/>
      <c r="F201" s="50" t="n">
        <v>130</v>
      </c>
      <c r="G201" s="42" t="n">
        <v>1</v>
      </c>
      <c r="H201" s="30">
        <f>IF(D201="","",IFERROR(INDEX(Config!$B$12:$B$15,MATCH(IF(AND(D201="Cartão de crédito",N(E201)&gt;1),"Cartão de crédito parcelado",D201),Config!$A$12:$A$15,0)),0)+IF(AND(Config!$B$17="Sim",LEFT(D201,17)="Cartão de crédito"),Config!$B$18*IFERROR(INDEX(Config!$C$12:$C$15,MATCH(IF(AND(D201="Cartão de crédito",N(E201)&gt;1),"Cartão de crédito parcelado",D201),Config!$A$12:$A$15,0)),0)/30*MAX(1,N(E201)),0))</f>
        <v>0</v>
      </c>
      <c r="I201" s="29">
        <f>IF(OR(D201="",F201=""),"",ROUND(F201*H201,2))</f>
        <v>0</v>
      </c>
      <c r="J201" s="29">
        <f>IF(I201="","",F201-I201)</f>
        <v>130</v>
      </c>
      <c r="K201" s="29">
        <f>IF(J201="","",J201/MAX(1,N(E201)))</f>
        <v>130</v>
      </c>
      <c r="L201" s="37">
        <f>IF(OR(D201="",A201=""),"",A201+IF(AND(Config!$B$17="Sim",LEFT(D201,17)="Cartão de crédito"),1,IFERROR(INDEX(Config!$C$12:$C$15,MATCH(IF(AND(D201="Cartão de crédito",N(E201)&gt;1),"Cartão de crédito parcelado",D201),Config!$A$12:$A$15,0)),0)))</f>
        <v>46244.0</v>
      </c>
      <c r="M201" s="37">
        <f>IF(L201="","",IF(AND(Config!$B$17="Sim",LEFT(D201,17)="Cartão de crédito"),L201,L201+30*(MAX(1,N(E201))-1)))</f>
        <v>46244.0</v>
      </c>
      <c r="N201" s="29">
        <f>IF(OR(L201="",K201=""),"",K201*MIN(MAX(1,N(E201)),MAX(0,INT((Config!$B$8-L201)/30)+1)))</f>
        <v>130</v>
      </c>
      <c r="O201" s="29">
        <f>IF(J201="","",J201-N(N201))</f>
        <v>0</v>
      </c>
      <c r="P201" s="27">
        <f>IF(A201="","",MONTH(A201))</f>
        <v>8</v>
      </c>
      <c r="Q201" s="27">
        <f>IF(A201="","",YEAR(A201))</f>
        <v>2026</v>
      </c>
      <c r="R201" s="27" t="str">
        <f>IF(L201="","",IF(L201&gt;Config!$B$8,"A cair",IF(N(G201)&gt;=MIN(MAX(1,N(E201)),MAX(0,INT((Config!$B$8-L201)/30)+1)),IF(N(G201)&gt;=MAX(1,N(E201)),"Conferido","Conferido até aqui"),"A conferir")))</f>
        <v>Conferido</v>
      </c>
      <c r="S201" s="51">
        <f>IF(R201="A conferir",(Config!$B$8-L201)*1000+N(F201)/1000+ROW()/100000,0)</f>
        <v>0</v>
      </c>
      <c r="T201" s="51">
        <f>IF(R201="A conferir",N(N201),0)</f>
        <v>0</v>
      </c>
      <c r="U201" s="51">
        <f>IF(L201="",0,L201)</f>
        <v>46244.0</v>
      </c>
      <c r="V201" s="51">
        <f>IF(L201="",0,MAX(1,N(E201)))</f>
        <v>1</v>
      </c>
      <c r="W201" s="51">
        <f>IF(K201="",0,K201)</f>
        <v>130</v>
      </c>
    </row>
    <row r="202">
      <c r="A202" s="49" t="n">
        <v>46244</v>
      </c>
      <c r="B202" s="41" t="inlineStr">
        <is>
          <t>Rafael Correia</t>
        </is>
      </c>
      <c r="C202" s="41" t="inlineStr">
        <is>
          <t>Consulta</t>
        </is>
      </c>
      <c r="D202" s="42" t="inlineStr">
        <is>
          <t>Cartão de crédito</t>
        </is>
      </c>
      <c r="E202" s="42" t="n"/>
      <c r="F202" s="50" t="n">
        <v>380</v>
      </c>
      <c r="G202" s="42" t="n">
        <v>1</v>
      </c>
      <c r="H202" s="30">
        <f>IF(D202="","",IFERROR(INDEX(Config!$B$12:$B$15,MATCH(IF(AND(D202="Cartão de crédito",N(E202)&gt;1),"Cartão de crédito parcelado",D202),Config!$A$12:$A$15,0)),0)+IF(AND(Config!$B$17="Sim",LEFT(D202,17)="Cartão de crédito"),Config!$B$18*IFERROR(INDEX(Config!$C$12:$C$15,MATCH(IF(AND(D202="Cartão de crédito",N(E202)&gt;1),"Cartão de crédito parcelado",D202),Config!$A$12:$A$15,0)),0)/30*MAX(1,N(E202)),0))</f>
        <v>0.032</v>
      </c>
      <c r="I202" s="29">
        <f>IF(OR(D202="",F202=""),"",ROUND(F202*H202,2))</f>
        <v>12.16</v>
      </c>
      <c r="J202" s="29">
        <f>IF(I202="","",F202-I202)</f>
        <v>367.84</v>
      </c>
      <c r="K202" s="29">
        <f>IF(J202="","",J202/MAX(1,N(E202)))</f>
        <v>367.84</v>
      </c>
      <c r="L202" s="37">
        <f>IF(OR(D202="",A202=""),"",A202+IF(AND(Config!$B$17="Sim",LEFT(D202,17)="Cartão de crédito"),1,IFERROR(INDEX(Config!$C$12:$C$15,MATCH(IF(AND(D202="Cartão de crédito",N(E202)&gt;1),"Cartão de crédito parcelado",D202),Config!$A$12:$A$15,0)),0)))</f>
        <v>46274.0</v>
      </c>
      <c r="M202" s="37">
        <f>IF(L202="","",IF(AND(Config!$B$17="Sim",LEFT(D202,17)="Cartão de crédito"),L202,L202+30*(MAX(1,N(E202))-1)))</f>
        <v>46274.0</v>
      </c>
      <c r="N202" s="29">
        <f>IF(OR(L202="",K202=""),"",K202*MIN(MAX(1,N(E202)),MAX(0,INT((Config!$B$8-L202)/30)+1)))</f>
        <v>367.84</v>
      </c>
      <c r="O202" s="29">
        <f>IF(J202="","",J202-N(N202))</f>
        <v>0</v>
      </c>
      <c r="P202" s="27">
        <f>IF(A202="","",MONTH(A202))</f>
        <v>8</v>
      </c>
      <c r="Q202" s="27">
        <f>IF(A202="","",YEAR(A202))</f>
        <v>2026</v>
      </c>
      <c r="R202" s="27" t="str">
        <f>IF(L202="","",IF(L202&gt;Config!$B$8,"A cair",IF(N(G202)&gt;=MIN(MAX(1,N(E202)),MAX(0,INT((Config!$B$8-L202)/30)+1)),IF(N(G202)&gt;=MAX(1,N(E202)),"Conferido","Conferido até aqui"),"A conferir")))</f>
        <v>Conferido</v>
      </c>
      <c r="S202" s="51">
        <f>IF(R202="A conferir",(Config!$B$8-L202)*1000+N(F202)/1000+ROW()/100000,0)</f>
        <v>0</v>
      </c>
      <c r="T202" s="51">
        <f>IF(R202="A conferir",N(N202),0)</f>
        <v>0</v>
      </c>
      <c r="U202" s="51">
        <f>IF(L202="",0,L202)</f>
        <v>46274.0</v>
      </c>
      <c r="V202" s="51">
        <f>IF(L202="",0,MAX(1,N(E202)))</f>
        <v>1</v>
      </c>
      <c r="W202" s="51">
        <f>IF(K202="",0,K202)</f>
        <v>367.84</v>
      </c>
    </row>
    <row r="203">
      <c r="A203" s="49" t="n">
        <v>46245</v>
      </c>
      <c r="B203" s="41" t="inlineStr">
        <is>
          <t>Ana Costa</t>
        </is>
      </c>
      <c r="C203" s="41" t="inlineStr">
        <is>
          <t>Consulta</t>
        </is>
      </c>
      <c r="D203" s="42" t="inlineStr">
        <is>
          <t>Cartão de crédito</t>
        </is>
      </c>
      <c r="E203" s="42" t="n">
        <v>2</v>
      </c>
      <c r="F203" s="50" t="n">
        <v>380</v>
      </c>
      <c r="G203" s="42" t="n"/>
      <c r="H203" s="30">
        <f>IF(D203="","",IFERROR(INDEX(Config!$B$12:$B$15,MATCH(IF(AND(D203="Cartão de crédito",N(E203)&gt;1),"Cartão de crédito parcelado",D203),Config!$A$12:$A$15,0)),0)+IF(AND(Config!$B$17="Sim",LEFT(D203,17)="Cartão de crédito"),Config!$B$18*IFERROR(INDEX(Config!$C$12:$C$15,MATCH(IF(AND(D203="Cartão de crédito",N(E203)&gt;1),"Cartão de crédito parcelado",D203),Config!$A$12:$A$15,0)),0)/30*MAX(1,N(E203)),0))</f>
        <v>0.039</v>
      </c>
      <c r="I203" s="29">
        <f>IF(OR(D203="",F203=""),"",ROUND(F203*H203,2))</f>
        <v>14.82</v>
      </c>
      <c r="J203" s="29">
        <f>IF(I203="","",F203-I203)</f>
        <v>365.18</v>
      </c>
      <c r="K203" s="29">
        <f>IF(J203="","",J203/MAX(1,N(E203)))</f>
        <v>182.59</v>
      </c>
      <c r="L203" s="37">
        <f>IF(OR(D203="",A203=""),"",A203+IF(AND(Config!$B$17="Sim",LEFT(D203,17)="Cartão de crédito"),1,IFERROR(INDEX(Config!$C$12:$C$15,MATCH(IF(AND(D203="Cartão de crédito",N(E203)&gt;1),"Cartão de crédito parcelado",D203),Config!$A$12:$A$15,0)),0)))</f>
        <v>46275.0</v>
      </c>
      <c r="M203" s="37">
        <f>IF(L203="","",IF(AND(Config!$B$17="Sim",LEFT(D203,17)="Cartão de crédito"),L203,L203+30*(MAX(1,N(E203))-1)))</f>
        <v>46305.0</v>
      </c>
      <c r="N203" s="29">
        <f>IF(OR(L203="",K203=""),"",K203*MIN(MAX(1,N(E203)),MAX(0,INT((Config!$B$8-L203)/30)+1)))</f>
        <v>182.59</v>
      </c>
      <c r="O203" s="29">
        <f>IF(J203="","",J203-N(N203))</f>
        <v>182.59</v>
      </c>
      <c r="P203" s="27">
        <f>IF(A203="","",MONTH(A203))</f>
        <v>8</v>
      </c>
      <c r="Q203" s="27">
        <f>IF(A203="","",YEAR(A203))</f>
        <v>2026</v>
      </c>
      <c r="R203" s="27" t="str">
        <f>IF(L203="","",IF(L203&gt;Config!$B$8,"A cair",IF(N(G203)&gt;=MIN(MAX(1,N(E203)),MAX(0,INT((Config!$B$8-L203)/30)+1)),IF(N(G203)&gt;=MAX(1,N(E203)),"Conferido","Conferido até aqui"),"A conferir")))</f>
        <v>A conferir</v>
      </c>
      <c r="S203" s="51">
        <f>IF(R203="A conferir",(Config!$B$8-L203)*1000+N(F203)/1000+ROW()/100000,0)</f>
        <v>4000.38203</v>
      </c>
      <c r="T203" s="51">
        <f>IF(R203="A conferir",N(N203),0)</f>
        <v>182.59</v>
      </c>
      <c r="U203" s="51">
        <f>IF(L203="",0,L203)</f>
        <v>46275.0</v>
      </c>
      <c r="V203" s="51">
        <f>IF(L203="",0,MAX(1,N(E203)))</f>
        <v>2</v>
      </c>
      <c r="W203" s="51">
        <f>IF(K203="",0,K203)</f>
        <v>182.59</v>
      </c>
    </row>
    <row r="204">
      <c r="A204" s="49" t="n">
        <v>46245</v>
      </c>
      <c r="B204" s="41" t="inlineStr">
        <is>
          <t>Gustavo Ferreira</t>
        </is>
      </c>
      <c r="C204" s="41" t="inlineStr">
        <is>
          <t>Consulta</t>
        </is>
      </c>
      <c r="D204" s="42" t="inlineStr">
        <is>
          <t>Cartão de crédito</t>
        </is>
      </c>
      <c r="E204" s="42" t="n"/>
      <c r="F204" s="50" t="n">
        <v>380</v>
      </c>
      <c r="G204" s="42" t="n"/>
      <c r="H204" s="30">
        <f>IF(D204="","",IFERROR(INDEX(Config!$B$12:$B$15,MATCH(IF(AND(D204="Cartão de crédito",N(E204)&gt;1),"Cartão de crédito parcelado",D204),Config!$A$12:$A$15,0)),0)+IF(AND(Config!$B$17="Sim",LEFT(D204,17)="Cartão de crédito"),Config!$B$18*IFERROR(INDEX(Config!$C$12:$C$15,MATCH(IF(AND(D204="Cartão de crédito",N(E204)&gt;1),"Cartão de crédito parcelado",D204),Config!$A$12:$A$15,0)),0)/30*MAX(1,N(E204)),0))</f>
        <v>0.032</v>
      </c>
      <c r="I204" s="29">
        <f>IF(OR(D204="",F204=""),"",ROUND(F204*H204,2))</f>
        <v>12.16</v>
      </c>
      <c r="J204" s="29">
        <f>IF(I204="","",F204-I204)</f>
        <v>367.84</v>
      </c>
      <c r="K204" s="29">
        <f>IF(J204="","",J204/MAX(1,N(E204)))</f>
        <v>367.84</v>
      </c>
      <c r="L204" s="37">
        <f>IF(OR(D204="",A204=""),"",A204+IF(AND(Config!$B$17="Sim",LEFT(D204,17)="Cartão de crédito"),1,IFERROR(INDEX(Config!$C$12:$C$15,MATCH(IF(AND(D204="Cartão de crédito",N(E204)&gt;1),"Cartão de crédito parcelado",D204),Config!$A$12:$A$15,0)),0)))</f>
        <v>46275.0</v>
      </c>
      <c r="M204" s="37">
        <f>IF(L204="","",IF(AND(Config!$B$17="Sim",LEFT(D204,17)="Cartão de crédito"),L204,L204+30*(MAX(1,N(E204))-1)))</f>
        <v>46275.0</v>
      </c>
      <c r="N204" s="29">
        <f>IF(OR(L204="",K204=""),"",K204*MIN(MAX(1,N(E204)),MAX(0,INT((Config!$B$8-L204)/30)+1)))</f>
        <v>367.84</v>
      </c>
      <c r="O204" s="29">
        <f>IF(J204="","",J204-N(N204))</f>
        <v>0</v>
      </c>
      <c r="P204" s="27">
        <f>IF(A204="","",MONTH(A204))</f>
        <v>8</v>
      </c>
      <c r="Q204" s="27">
        <f>IF(A204="","",YEAR(A204))</f>
        <v>2026</v>
      </c>
      <c r="R204" s="27" t="str">
        <f>IF(L204="","",IF(L204&gt;Config!$B$8,"A cair",IF(N(G204)&gt;=MIN(MAX(1,N(E204)),MAX(0,INT((Config!$B$8-L204)/30)+1)),IF(N(G204)&gt;=MAX(1,N(E204)),"Conferido","Conferido até aqui"),"A conferir")))</f>
        <v>A conferir</v>
      </c>
      <c r="S204" s="51">
        <f>IF(R204="A conferir",(Config!$B$8-L204)*1000+N(F204)/1000+ROW()/100000,0)</f>
        <v>4000.38204</v>
      </c>
      <c r="T204" s="51">
        <f>IF(R204="A conferir",N(N204),0)</f>
        <v>367.84</v>
      </c>
      <c r="U204" s="51">
        <f>IF(L204="",0,L204)</f>
        <v>46275.0</v>
      </c>
      <c r="V204" s="51">
        <f>IF(L204="",0,MAX(1,N(E204)))</f>
        <v>1</v>
      </c>
      <c r="W204" s="51">
        <f>IF(K204="",0,K204)</f>
        <v>367.84</v>
      </c>
    </row>
    <row r="205">
      <c r="A205" s="49" t="n">
        <v>46245</v>
      </c>
      <c r="B205" s="41" t="inlineStr">
        <is>
          <t>Larissa Costa</t>
        </is>
      </c>
      <c r="C205" s="41" t="inlineStr">
        <is>
          <t>Holter</t>
        </is>
      </c>
      <c r="D205" s="42" t="inlineStr">
        <is>
          <t>Cartão de débito</t>
        </is>
      </c>
      <c r="E205" s="42" t="n"/>
      <c r="F205" s="50" t="n">
        <v>350</v>
      </c>
      <c r="G205" s="42" t="n">
        <v>1</v>
      </c>
      <c r="H205" s="30">
        <f>IF(D205="","",IFERROR(INDEX(Config!$B$12:$B$15,MATCH(IF(AND(D205="Cartão de crédito",N(E205)&gt;1),"Cartão de crédito parcelado",D205),Config!$A$12:$A$15,0)),0)+IF(AND(Config!$B$17="Sim",LEFT(D205,17)="Cartão de crédito"),Config!$B$18*IFERROR(INDEX(Config!$C$12:$C$15,MATCH(IF(AND(D205="Cartão de crédito",N(E205)&gt;1),"Cartão de crédito parcelado",D205),Config!$A$12:$A$15,0)),0)/30*MAX(1,N(E205)),0))</f>
        <v>0.015</v>
      </c>
      <c r="I205" s="29">
        <f>IF(OR(D205="",F205=""),"",ROUND(F205*H205,2))</f>
        <v>5.25</v>
      </c>
      <c r="J205" s="29">
        <f>IF(I205="","",F205-I205)</f>
        <v>344.75</v>
      </c>
      <c r="K205" s="29">
        <f>IF(J205="","",J205/MAX(1,N(E205)))</f>
        <v>344.75</v>
      </c>
      <c r="L205" s="37">
        <f>IF(OR(D205="",A205=""),"",A205+IF(AND(Config!$B$17="Sim",LEFT(D205,17)="Cartão de crédito"),1,IFERROR(INDEX(Config!$C$12:$C$15,MATCH(IF(AND(D205="Cartão de crédito",N(E205)&gt;1),"Cartão de crédito parcelado",D205),Config!$A$12:$A$15,0)),0)))</f>
        <v>46246.0</v>
      </c>
      <c r="M205" s="37">
        <f>IF(L205="","",IF(AND(Config!$B$17="Sim",LEFT(D205,17)="Cartão de crédito"),L205,L205+30*(MAX(1,N(E205))-1)))</f>
        <v>46246.0</v>
      </c>
      <c r="N205" s="29">
        <f>IF(OR(L205="",K205=""),"",K205*MIN(MAX(1,N(E205)),MAX(0,INT((Config!$B$8-L205)/30)+1)))</f>
        <v>344.75</v>
      </c>
      <c r="O205" s="29">
        <f>IF(J205="","",J205-N(N205))</f>
        <v>0</v>
      </c>
      <c r="P205" s="27">
        <f>IF(A205="","",MONTH(A205))</f>
        <v>8</v>
      </c>
      <c r="Q205" s="27">
        <f>IF(A205="","",YEAR(A205))</f>
        <v>2026</v>
      </c>
      <c r="R205" s="27" t="str">
        <f>IF(L205="","",IF(L205&gt;Config!$B$8,"A cair",IF(N(G205)&gt;=MIN(MAX(1,N(E205)),MAX(0,INT((Config!$B$8-L205)/30)+1)),IF(N(G205)&gt;=MAX(1,N(E205)),"Conferido","Conferido até aqui"),"A conferir")))</f>
        <v>Conferido</v>
      </c>
      <c r="S205" s="51">
        <f>IF(R205="A conferir",(Config!$B$8-L205)*1000+N(F205)/1000+ROW()/100000,0)</f>
        <v>0</v>
      </c>
      <c r="T205" s="51">
        <f>IF(R205="A conferir",N(N205),0)</f>
        <v>0</v>
      </c>
      <c r="U205" s="51">
        <f>IF(L205="",0,L205)</f>
        <v>46246.0</v>
      </c>
      <c r="V205" s="51">
        <f>IF(L205="",0,MAX(1,N(E205)))</f>
        <v>1</v>
      </c>
      <c r="W205" s="51">
        <f>IF(K205="",0,K205)</f>
        <v>344.75</v>
      </c>
    </row>
    <row r="206">
      <c r="A206" s="49" t="n">
        <v>46245</v>
      </c>
      <c r="B206" s="41" t="inlineStr">
        <is>
          <t>Regina Duarte</t>
        </is>
      </c>
      <c r="C206" s="41" t="inlineStr">
        <is>
          <t>Teste ergométrico</t>
        </is>
      </c>
      <c r="D206" s="42" t="inlineStr">
        <is>
          <t>Pix</t>
        </is>
      </c>
      <c r="E206" s="42" t="n"/>
      <c r="F206" s="50" t="n">
        <v>450</v>
      </c>
      <c r="G206" s="42" t="n">
        <v>1</v>
      </c>
      <c r="H206" s="30">
        <f>IF(D206="","",IFERROR(INDEX(Config!$B$12:$B$15,MATCH(IF(AND(D206="Cartão de crédito",N(E206)&gt;1),"Cartão de crédito parcelado",D206),Config!$A$12:$A$15,0)),0)+IF(AND(Config!$B$17="Sim",LEFT(D206,17)="Cartão de crédito"),Config!$B$18*IFERROR(INDEX(Config!$C$12:$C$15,MATCH(IF(AND(D206="Cartão de crédito",N(E206)&gt;1),"Cartão de crédito parcelado",D206),Config!$A$12:$A$15,0)),0)/30*MAX(1,N(E206)),0))</f>
        <v>0</v>
      </c>
      <c r="I206" s="29">
        <f>IF(OR(D206="",F206=""),"",ROUND(F206*H206,2))</f>
        <v>0</v>
      </c>
      <c r="J206" s="29">
        <f>IF(I206="","",F206-I206)</f>
        <v>450</v>
      </c>
      <c r="K206" s="29">
        <f>IF(J206="","",J206/MAX(1,N(E206)))</f>
        <v>450</v>
      </c>
      <c r="L206" s="37">
        <f>IF(OR(D206="",A206=""),"",A206+IF(AND(Config!$B$17="Sim",LEFT(D206,17)="Cartão de crédito"),1,IFERROR(INDEX(Config!$C$12:$C$15,MATCH(IF(AND(D206="Cartão de crédito",N(E206)&gt;1),"Cartão de crédito parcelado",D206),Config!$A$12:$A$15,0)),0)))</f>
        <v>46245.0</v>
      </c>
      <c r="M206" s="37">
        <f>IF(L206="","",IF(AND(Config!$B$17="Sim",LEFT(D206,17)="Cartão de crédito"),L206,L206+30*(MAX(1,N(E206))-1)))</f>
        <v>46245.0</v>
      </c>
      <c r="N206" s="29">
        <f>IF(OR(L206="",K206=""),"",K206*MIN(MAX(1,N(E206)),MAX(0,INT((Config!$B$8-L206)/30)+1)))</f>
        <v>450</v>
      </c>
      <c r="O206" s="29">
        <f>IF(J206="","",J206-N(N206))</f>
        <v>0</v>
      </c>
      <c r="P206" s="27">
        <f>IF(A206="","",MONTH(A206))</f>
        <v>8</v>
      </c>
      <c r="Q206" s="27">
        <f>IF(A206="","",YEAR(A206))</f>
        <v>2026</v>
      </c>
      <c r="R206" s="27" t="str">
        <f>IF(L206="","",IF(L206&gt;Config!$B$8,"A cair",IF(N(G206)&gt;=MIN(MAX(1,N(E206)),MAX(0,INT((Config!$B$8-L206)/30)+1)),IF(N(G206)&gt;=MAX(1,N(E206)),"Conferido","Conferido até aqui"),"A conferir")))</f>
        <v>Conferido</v>
      </c>
      <c r="S206" s="51">
        <f>IF(R206="A conferir",(Config!$B$8-L206)*1000+N(F206)/1000+ROW()/100000,0)</f>
        <v>0</v>
      </c>
      <c r="T206" s="51">
        <f>IF(R206="A conferir",N(N206),0)</f>
        <v>0</v>
      </c>
      <c r="U206" s="51">
        <f>IF(L206="",0,L206)</f>
        <v>46245.0</v>
      </c>
      <c r="V206" s="51">
        <f>IF(L206="",0,MAX(1,N(E206)))</f>
        <v>1</v>
      </c>
      <c r="W206" s="51">
        <f>IF(K206="",0,K206)</f>
        <v>450</v>
      </c>
    </row>
    <row r="207">
      <c r="A207" s="49" t="n">
        <v>46245</v>
      </c>
      <c r="B207" s="41" t="inlineStr">
        <is>
          <t>Beatriz Monteiro</t>
        </is>
      </c>
      <c r="C207" s="41" t="inlineStr">
        <is>
          <t>Avaliação endócrina</t>
        </is>
      </c>
      <c r="D207" s="42" t="inlineStr">
        <is>
          <t>Cartão de crédito</t>
        </is>
      </c>
      <c r="E207" s="42" t="n"/>
      <c r="F207" s="50" t="n">
        <v>400</v>
      </c>
      <c r="G207" s="42" t="n"/>
      <c r="H207" s="30">
        <f>IF(D207="","",IFERROR(INDEX(Config!$B$12:$B$15,MATCH(IF(AND(D207="Cartão de crédito",N(E207)&gt;1),"Cartão de crédito parcelado",D207),Config!$A$12:$A$15,0)),0)+IF(AND(Config!$B$17="Sim",LEFT(D207,17)="Cartão de crédito"),Config!$B$18*IFERROR(INDEX(Config!$C$12:$C$15,MATCH(IF(AND(D207="Cartão de crédito",N(E207)&gt;1),"Cartão de crédito parcelado",D207),Config!$A$12:$A$15,0)),0)/30*MAX(1,N(E207)),0))</f>
        <v>0.032</v>
      </c>
      <c r="I207" s="29">
        <f>IF(OR(D207="",F207=""),"",ROUND(F207*H207,2))</f>
        <v>12.8</v>
      </c>
      <c r="J207" s="29">
        <f>IF(I207="","",F207-I207)</f>
        <v>387.2</v>
      </c>
      <c r="K207" s="29">
        <f>IF(J207="","",J207/MAX(1,N(E207)))</f>
        <v>387.2</v>
      </c>
      <c r="L207" s="37">
        <f>IF(OR(D207="",A207=""),"",A207+IF(AND(Config!$B$17="Sim",LEFT(D207,17)="Cartão de crédito"),1,IFERROR(INDEX(Config!$C$12:$C$15,MATCH(IF(AND(D207="Cartão de crédito",N(E207)&gt;1),"Cartão de crédito parcelado",D207),Config!$A$12:$A$15,0)),0)))</f>
        <v>46275.0</v>
      </c>
      <c r="M207" s="37">
        <f>IF(L207="","",IF(AND(Config!$B$17="Sim",LEFT(D207,17)="Cartão de crédito"),L207,L207+30*(MAX(1,N(E207))-1)))</f>
        <v>46275.0</v>
      </c>
      <c r="N207" s="29">
        <f>IF(OR(L207="",K207=""),"",K207*MIN(MAX(1,N(E207)),MAX(0,INT((Config!$B$8-L207)/30)+1)))</f>
        <v>387.2</v>
      </c>
      <c r="O207" s="29">
        <f>IF(J207="","",J207-N(N207))</f>
        <v>0</v>
      </c>
      <c r="P207" s="27">
        <f>IF(A207="","",MONTH(A207))</f>
        <v>8</v>
      </c>
      <c r="Q207" s="27">
        <f>IF(A207="","",YEAR(A207))</f>
        <v>2026</v>
      </c>
      <c r="R207" s="27" t="str">
        <f>IF(L207="","",IF(L207&gt;Config!$B$8,"A cair",IF(N(G207)&gt;=MIN(MAX(1,N(E207)),MAX(0,INT((Config!$B$8-L207)/30)+1)),IF(N(G207)&gt;=MAX(1,N(E207)),"Conferido","Conferido até aqui"),"A conferir")))</f>
        <v>A conferir</v>
      </c>
      <c r="S207" s="51">
        <f>IF(R207="A conferir",(Config!$B$8-L207)*1000+N(F207)/1000+ROW()/100000,0)</f>
        <v>4000.40207</v>
      </c>
      <c r="T207" s="51">
        <f>IF(R207="A conferir",N(N207),0)</f>
        <v>387.2</v>
      </c>
      <c r="U207" s="51">
        <f>IF(L207="",0,L207)</f>
        <v>46275.0</v>
      </c>
      <c r="V207" s="51">
        <f>IF(L207="",0,MAX(1,N(E207)))</f>
        <v>1</v>
      </c>
      <c r="W207" s="51">
        <f>IF(K207="",0,K207)</f>
        <v>387.2</v>
      </c>
    </row>
    <row r="208">
      <c r="A208" s="49" t="n">
        <v>46245</v>
      </c>
      <c r="B208" s="41" t="inlineStr">
        <is>
          <t>Gustavo Carvalho</t>
        </is>
      </c>
      <c r="C208" s="41" t="inlineStr">
        <is>
          <t>Avaliação endócrina</t>
        </is>
      </c>
      <c r="D208" s="42" t="inlineStr">
        <is>
          <t>Pix</t>
        </is>
      </c>
      <c r="E208" s="42" t="n"/>
      <c r="F208" s="50" t="n">
        <v>400</v>
      </c>
      <c r="G208" s="42" t="n">
        <v>1</v>
      </c>
      <c r="H208" s="30">
        <f>IF(D208="","",IFERROR(INDEX(Config!$B$12:$B$15,MATCH(IF(AND(D208="Cartão de crédito",N(E208)&gt;1),"Cartão de crédito parcelado",D208),Config!$A$12:$A$15,0)),0)+IF(AND(Config!$B$17="Sim",LEFT(D208,17)="Cartão de crédito"),Config!$B$18*IFERROR(INDEX(Config!$C$12:$C$15,MATCH(IF(AND(D208="Cartão de crédito",N(E208)&gt;1),"Cartão de crédito parcelado",D208),Config!$A$12:$A$15,0)),0)/30*MAX(1,N(E208)),0))</f>
        <v>0</v>
      </c>
      <c r="I208" s="29">
        <f>IF(OR(D208="",F208=""),"",ROUND(F208*H208,2))</f>
        <v>0</v>
      </c>
      <c r="J208" s="29">
        <f>IF(I208="","",F208-I208)</f>
        <v>400</v>
      </c>
      <c r="K208" s="29">
        <f>IF(J208="","",J208/MAX(1,N(E208)))</f>
        <v>400</v>
      </c>
      <c r="L208" s="37">
        <f>IF(OR(D208="",A208=""),"",A208+IF(AND(Config!$B$17="Sim",LEFT(D208,17)="Cartão de crédito"),1,IFERROR(INDEX(Config!$C$12:$C$15,MATCH(IF(AND(D208="Cartão de crédito",N(E208)&gt;1),"Cartão de crédito parcelado",D208),Config!$A$12:$A$15,0)),0)))</f>
        <v>46245.0</v>
      </c>
      <c r="M208" s="37">
        <f>IF(L208="","",IF(AND(Config!$B$17="Sim",LEFT(D208,17)="Cartão de crédito"),L208,L208+30*(MAX(1,N(E208))-1)))</f>
        <v>46245.0</v>
      </c>
      <c r="N208" s="29">
        <f>IF(OR(L208="",K208=""),"",K208*MIN(MAX(1,N(E208)),MAX(0,INT((Config!$B$8-L208)/30)+1)))</f>
        <v>400</v>
      </c>
      <c r="O208" s="29">
        <f>IF(J208="","",J208-N(N208))</f>
        <v>0</v>
      </c>
      <c r="P208" s="27">
        <f>IF(A208="","",MONTH(A208))</f>
        <v>8</v>
      </c>
      <c r="Q208" s="27">
        <f>IF(A208="","",YEAR(A208))</f>
        <v>2026</v>
      </c>
      <c r="R208" s="27" t="str">
        <f>IF(L208="","",IF(L208&gt;Config!$B$8,"A cair",IF(N(G208)&gt;=MIN(MAX(1,N(E208)),MAX(0,INT((Config!$B$8-L208)/30)+1)),IF(N(G208)&gt;=MAX(1,N(E208)),"Conferido","Conferido até aqui"),"A conferir")))</f>
        <v>Conferido</v>
      </c>
      <c r="S208" s="51">
        <f>IF(R208="A conferir",(Config!$B$8-L208)*1000+N(F208)/1000+ROW()/100000,0)</f>
        <v>0</v>
      </c>
      <c r="T208" s="51">
        <f>IF(R208="A conferir",N(N208),0)</f>
        <v>0</v>
      </c>
      <c r="U208" s="51">
        <f>IF(L208="",0,L208)</f>
        <v>46245.0</v>
      </c>
      <c r="V208" s="51">
        <f>IF(L208="",0,MAX(1,N(E208)))</f>
        <v>1</v>
      </c>
      <c r="W208" s="51">
        <f>IF(K208="",0,K208)</f>
        <v>400</v>
      </c>
    </row>
    <row r="209">
      <c r="A209" s="49" t="n">
        <v>46245</v>
      </c>
      <c r="B209" s="41" t="inlineStr">
        <is>
          <t>Gisele Ribeiro</t>
        </is>
      </c>
      <c r="C209" s="41" t="inlineStr">
        <is>
          <t>ECG</t>
        </is>
      </c>
      <c r="D209" s="42" t="inlineStr">
        <is>
          <t>Pix</t>
        </is>
      </c>
      <c r="E209" s="42" t="n"/>
      <c r="F209" s="50" t="n">
        <v>130</v>
      </c>
      <c r="G209" s="42" t="n">
        <v>1</v>
      </c>
      <c r="H209" s="30">
        <f>IF(D209="","",IFERROR(INDEX(Config!$B$12:$B$15,MATCH(IF(AND(D209="Cartão de crédito",N(E209)&gt;1),"Cartão de crédito parcelado",D209),Config!$A$12:$A$15,0)),0)+IF(AND(Config!$B$17="Sim",LEFT(D209,17)="Cartão de crédito"),Config!$B$18*IFERROR(INDEX(Config!$C$12:$C$15,MATCH(IF(AND(D209="Cartão de crédito",N(E209)&gt;1),"Cartão de crédito parcelado",D209),Config!$A$12:$A$15,0)),0)/30*MAX(1,N(E209)),0))</f>
        <v>0</v>
      </c>
      <c r="I209" s="29">
        <f>IF(OR(D209="",F209=""),"",ROUND(F209*H209,2))</f>
        <v>0</v>
      </c>
      <c r="J209" s="29">
        <f>IF(I209="","",F209-I209)</f>
        <v>130</v>
      </c>
      <c r="K209" s="29">
        <f>IF(J209="","",J209/MAX(1,N(E209)))</f>
        <v>130</v>
      </c>
      <c r="L209" s="37">
        <f>IF(OR(D209="",A209=""),"",A209+IF(AND(Config!$B$17="Sim",LEFT(D209,17)="Cartão de crédito"),1,IFERROR(INDEX(Config!$C$12:$C$15,MATCH(IF(AND(D209="Cartão de crédito",N(E209)&gt;1),"Cartão de crédito parcelado",D209),Config!$A$12:$A$15,0)),0)))</f>
        <v>46245.0</v>
      </c>
      <c r="M209" s="37">
        <f>IF(L209="","",IF(AND(Config!$B$17="Sim",LEFT(D209,17)="Cartão de crédito"),L209,L209+30*(MAX(1,N(E209))-1)))</f>
        <v>46245.0</v>
      </c>
      <c r="N209" s="29">
        <f>IF(OR(L209="",K209=""),"",K209*MIN(MAX(1,N(E209)),MAX(0,INT((Config!$B$8-L209)/30)+1)))</f>
        <v>130</v>
      </c>
      <c r="O209" s="29">
        <f>IF(J209="","",J209-N(N209))</f>
        <v>0</v>
      </c>
      <c r="P209" s="27">
        <f>IF(A209="","",MONTH(A209))</f>
        <v>8</v>
      </c>
      <c r="Q209" s="27">
        <f>IF(A209="","",YEAR(A209))</f>
        <v>2026</v>
      </c>
      <c r="R209" s="27" t="str">
        <f>IF(L209="","",IF(L209&gt;Config!$B$8,"A cair",IF(N(G209)&gt;=MIN(MAX(1,N(E209)),MAX(0,INT((Config!$B$8-L209)/30)+1)),IF(N(G209)&gt;=MAX(1,N(E209)),"Conferido","Conferido até aqui"),"A conferir")))</f>
        <v>Conferido</v>
      </c>
      <c r="S209" s="51">
        <f>IF(R209="A conferir",(Config!$B$8-L209)*1000+N(F209)/1000+ROW()/100000,0)</f>
        <v>0</v>
      </c>
      <c r="T209" s="51">
        <f>IF(R209="A conferir",N(N209),0)</f>
        <v>0</v>
      </c>
      <c r="U209" s="51">
        <f>IF(L209="",0,L209)</f>
        <v>46245.0</v>
      </c>
      <c r="V209" s="51">
        <f>IF(L209="",0,MAX(1,N(E209)))</f>
        <v>1</v>
      </c>
      <c r="W209" s="51">
        <f>IF(K209="",0,K209)</f>
        <v>130</v>
      </c>
    </row>
    <row r="210">
      <c r="A210" s="49" t="n">
        <v>46246</v>
      </c>
      <c r="B210" s="41" t="inlineStr">
        <is>
          <t>Cláudia Santos</t>
        </is>
      </c>
      <c r="C210" s="41" t="inlineStr">
        <is>
          <t>Consulta</t>
        </is>
      </c>
      <c r="D210" s="42" t="inlineStr">
        <is>
          <t>Pix</t>
        </is>
      </c>
      <c r="E210" s="42" t="n"/>
      <c r="F210" s="50" t="n">
        <v>380</v>
      </c>
      <c r="G210" s="42" t="n">
        <v>1</v>
      </c>
      <c r="H210" s="30">
        <f>IF(D210="","",IFERROR(INDEX(Config!$B$12:$B$15,MATCH(IF(AND(D210="Cartão de crédito",N(E210)&gt;1),"Cartão de crédito parcelado",D210),Config!$A$12:$A$15,0)),0)+IF(AND(Config!$B$17="Sim",LEFT(D210,17)="Cartão de crédito"),Config!$B$18*IFERROR(INDEX(Config!$C$12:$C$15,MATCH(IF(AND(D210="Cartão de crédito",N(E210)&gt;1),"Cartão de crédito parcelado",D210),Config!$A$12:$A$15,0)),0)/30*MAX(1,N(E210)),0))</f>
        <v>0</v>
      </c>
      <c r="I210" s="29">
        <f>IF(OR(D210="",F210=""),"",ROUND(F210*H210,2))</f>
        <v>0</v>
      </c>
      <c r="J210" s="29">
        <f>IF(I210="","",F210-I210)</f>
        <v>380</v>
      </c>
      <c r="K210" s="29">
        <f>IF(J210="","",J210/MAX(1,N(E210)))</f>
        <v>380</v>
      </c>
      <c r="L210" s="37">
        <f>IF(OR(D210="",A210=""),"",A210+IF(AND(Config!$B$17="Sim",LEFT(D210,17)="Cartão de crédito"),1,IFERROR(INDEX(Config!$C$12:$C$15,MATCH(IF(AND(D210="Cartão de crédito",N(E210)&gt;1),"Cartão de crédito parcelado",D210),Config!$A$12:$A$15,0)),0)))</f>
        <v>46246.0</v>
      </c>
      <c r="M210" s="37">
        <f>IF(L210="","",IF(AND(Config!$B$17="Sim",LEFT(D210,17)="Cartão de crédito"),L210,L210+30*(MAX(1,N(E210))-1)))</f>
        <v>46246.0</v>
      </c>
      <c r="N210" s="29">
        <f>IF(OR(L210="",K210=""),"",K210*MIN(MAX(1,N(E210)),MAX(0,INT((Config!$B$8-L210)/30)+1)))</f>
        <v>380</v>
      </c>
      <c r="O210" s="29">
        <f>IF(J210="","",J210-N(N210))</f>
        <v>0</v>
      </c>
      <c r="P210" s="27">
        <f>IF(A210="","",MONTH(A210))</f>
        <v>8</v>
      </c>
      <c r="Q210" s="27">
        <f>IF(A210="","",YEAR(A210))</f>
        <v>2026</v>
      </c>
      <c r="R210" s="27" t="str">
        <f>IF(L210="","",IF(L210&gt;Config!$B$8,"A cair",IF(N(G210)&gt;=MIN(MAX(1,N(E210)),MAX(0,INT((Config!$B$8-L210)/30)+1)),IF(N(G210)&gt;=MAX(1,N(E210)),"Conferido","Conferido até aqui"),"A conferir")))</f>
        <v>Conferido</v>
      </c>
      <c r="S210" s="51">
        <f>IF(R210="A conferir",(Config!$B$8-L210)*1000+N(F210)/1000+ROW()/100000,0)</f>
        <v>0</v>
      </c>
      <c r="T210" s="51">
        <f>IF(R210="A conferir",N(N210),0)</f>
        <v>0</v>
      </c>
      <c r="U210" s="51">
        <f>IF(L210="",0,L210)</f>
        <v>46246.0</v>
      </c>
      <c r="V210" s="51">
        <f>IF(L210="",0,MAX(1,N(E210)))</f>
        <v>1</v>
      </c>
      <c r="W210" s="51">
        <f>IF(K210="",0,K210)</f>
        <v>380</v>
      </c>
    </row>
    <row r="211">
      <c r="A211" s="49" t="n">
        <v>46246</v>
      </c>
      <c r="B211" s="41" t="inlineStr">
        <is>
          <t>Gisele Xavier</t>
        </is>
      </c>
      <c r="C211" s="41" t="inlineStr">
        <is>
          <t>Consulta</t>
        </is>
      </c>
      <c r="D211" s="42" t="inlineStr">
        <is>
          <t>Pix</t>
        </is>
      </c>
      <c r="E211" s="42" t="n"/>
      <c r="F211" s="50" t="n">
        <v>380</v>
      </c>
      <c r="G211" s="42" t="n">
        <v>1</v>
      </c>
      <c r="H211" s="30">
        <f>IF(D211="","",IFERROR(INDEX(Config!$B$12:$B$15,MATCH(IF(AND(D211="Cartão de crédito",N(E211)&gt;1),"Cartão de crédito parcelado",D211),Config!$A$12:$A$15,0)),0)+IF(AND(Config!$B$17="Sim",LEFT(D211,17)="Cartão de crédito"),Config!$B$18*IFERROR(INDEX(Config!$C$12:$C$15,MATCH(IF(AND(D211="Cartão de crédito",N(E211)&gt;1),"Cartão de crédito parcelado",D211),Config!$A$12:$A$15,0)),0)/30*MAX(1,N(E211)),0))</f>
        <v>0</v>
      </c>
      <c r="I211" s="29">
        <f>IF(OR(D211="",F211=""),"",ROUND(F211*H211,2))</f>
        <v>0</v>
      </c>
      <c r="J211" s="29">
        <f>IF(I211="","",F211-I211)</f>
        <v>380</v>
      </c>
      <c r="K211" s="29">
        <f>IF(J211="","",J211/MAX(1,N(E211)))</f>
        <v>380</v>
      </c>
      <c r="L211" s="37">
        <f>IF(OR(D211="",A211=""),"",A211+IF(AND(Config!$B$17="Sim",LEFT(D211,17)="Cartão de crédito"),1,IFERROR(INDEX(Config!$C$12:$C$15,MATCH(IF(AND(D211="Cartão de crédito",N(E211)&gt;1),"Cartão de crédito parcelado",D211),Config!$A$12:$A$15,0)),0)))</f>
        <v>46246.0</v>
      </c>
      <c r="M211" s="37">
        <f>IF(L211="","",IF(AND(Config!$B$17="Sim",LEFT(D211,17)="Cartão de crédito"),L211,L211+30*(MAX(1,N(E211))-1)))</f>
        <v>46246.0</v>
      </c>
      <c r="N211" s="29">
        <f>IF(OR(L211="",K211=""),"",K211*MIN(MAX(1,N(E211)),MAX(0,INT((Config!$B$8-L211)/30)+1)))</f>
        <v>380</v>
      </c>
      <c r="O211" s="29">
        <f>IF(J211="","",J211-N(N211))</f>
        <v>0</v>
      </c>
      <c r="P211" s="27">
        <f>IF(A211="","",MONTH(A211))</f>
        <v>8</v>
      </c>
      <c r="Q211" s="27">
        <f>IF(A211="","",YEAR(A211))</f>
        <v>2026</v>
      </c>
      <c r="R211" s="27" t="str">
        <f>IF(L211="","",IF(L211&gt;Config!$B$8,"A cair",IF(N(G211)&gt;=MIN(MAX(1,N(E211)),MAX(0,INT((Config!$B$8-L211)/30)+1)),IF(N(G211)&gt;=MAX(1,N(E211)),"Conferido","Conferido até aqui"),"A conferir")))</f>
        <v>Conferido</v>
      </c>
      <c r="S211" s="51">
        <f>IF(R211="A conferir",(Config!$B$8-L211)*1000+N(F211)/1000+ROW()/100000,0)</f>
        <v>0</v>
      </c>
      <c r="T211" s="51">
        <f>IF(R211="A conferir",N(N211),0)</f>
        <v>0</v>
      </c>
      <c r="U211" s="51">
        <f>IF(L211="",0,L211)</f>
        <v>46246.0</v>
      </c>
      <c r="V211" s="51">
        <f>IF(L211="",0,MAX(1,N(E211)))</f>
        <v>1</v>
      </c>
      <c r="W211" s="51">
        <f>IF(K211="",0,K211)</f>
        <v>380</v>
      </c>
    </row>
    <row r="212">
      <c r="A212" s="49" t="n">
        <v>46246</v>
      </c>
      <c r="B212" s="41" t="inlineStr">
        <is>
          <t>Wagner Lima</t>
        </is>
      </c>
      <c r="C212" s="41" t="inlineStr">
        <is>
          <t>Consulta</t>
        </is>
      </c>
      <c r="D212" s="42" t="inlineStr">
        <is>
          <t>Cartão de crédito</t>
        </is>
      </c>
      <c r="E212" s="42" t="n"/>
      <c r="F212" s="50" t="n">
        <v>380</v>
      </c>
      <c r="G212" s="42" t="n"/>
      <c r="H212" s="30">
        <f>IF(D212="","",IFERROR(INDEX(Config!$B$12:$B$15,MATCH(IF(AND(D212="Cartão de crédito",N(E212)&gt;1),"Cartão de crédito parcelado",D212),Config!$A$12:$A$15,0)),0)+IF(AND(Config!$B$17="Sim",LEFT(D212,17)="Cartão de crédito"),Config!$B$18*IFERROR(INDEX(Config!$C$12:$C$15,MATCH(IF(AND(D212="Cartão de crédito",N(E212)&gt;1),"Cartão de crédito parcelado",D212),Config!$A$12:$A$15,0)),0)/30*MAX(1,N(E212)),0))</f>
        <v>0.032</v>
      </c>
      <c r="I212" s="29">
        <f>IF(OR(D212="",F212=""),"",ROUND(F212*H212,2))</f>
        <v>12.16</v>
      </c>
      <c r="J212" s="29">
        <f>IF(I212="","",F212-I212)</f>
        <v>367.84</v>
      </c>
      <c r="K212" s="29">
        <f>IF(J212="","",J212/MAX(1,N(E212)))</f>
        <v>367.84</v>
      </c>
      <c r="L212" s="37">
        <f>IF(OR(D212="",A212=""),"",A212+IF(AND(Config!$B$17="Sim",LEFT(D212,17)="Cartão de crédito"),1,IFERROR(INDEX(Config!$C$12:$C$15,MATCH(IF(AND(D212="Cartão de crédito",N(E212)&gt;1),"Cartão de crédito parcelado",D212),Config!$A$12:$A$15,0)),0)))</f>
        <v>46276.0</v>
      </c>
      <c r="M212" s="37">
        <f>IF(L212="","",IF(AND(Config!$B$17="Sim",LEFT(D212,17)="Cartão de crédito"),L212,L212+30*(MAX(1,N(E212))-1)))</f>
        <v>46276.0</v>
      </c>
      <c r="N212" s="29">
        <f>IF(OR(L212="",K212=""),"",K212*MIN(MAX(1,N(E212)),MAX(0,INT((Config!$B$8-L212)/30)+1)))</f>
        <v>367.84</v>
      </c>
      <c r="O212" s="29">
        <f>IF(J212="","",J212-N(N212))</f>
        <v>0</v>
      </c>
      <c r="P212" s="27">
        <f>IF(A212="","",MONTH(A212))</f>
        <v>8</v>
      </c>
      <c r="Q212" s="27">
        <f>IF(A212="","",YEAR(A212))</f>
        <v>2026</v>
      </c>
      <c r="R212" s="27" t="str">
        <f>IF(L212="","",IF(L212&gt;Config!$B$8,"A cair",IF(N(G212)&gt;=MIN(MAX(1,N(E212)),MAX(0,INT((Config!$B$8-L212)/30)+1)),IF(N(G212)&gt;=MAX(1,N(E212)),"Conferido","Conferido até aqui"),"A conferir")))</f>
        <v>A conferir</v>
      </c>
      <c r="S212" s="51">
        <f>IF(R212="A conferir",(Config!$B$8-L212)*1000+N(F212)/1000+ROW()/100000,0)</f>
        <v>3000.38212</v>
      </c>
      <c r="T212" s="51">
        <f>IF(R212="A conferir",N(N212),0)</f>
        <v>367.84</v>
      </c>
      <c r="U212" s="51">
        <f>IF(L212="",0,L212)</f>
        <v>46276.0</v>
      </c>
      <c r="V212" s="51">
        <f>IF(L212="",0,MAX(1,N(E212)))</f>
        <v>1</v>
      </c>
      <c r="W212" s="51">
        <f>IF(K212="",0,K212)</f>
        <v>367.84</v>
      </c>
    </row>
    <row r="213">
      <c r="A213" s="49" t="n">
        <v>46246</v>
      </c>
      <c r="B213" s="41" t="inlineStr">
        <is>
          <t>Otávio Nascimento</t>
        </is>
      </c>
      <c r="C213" s="41" t="inlineStr">
        <is>
          <t>Consulta</t>
        </is>
      </c>
      <c r="D213" s="42" t="inlineStr">
        <is>
          <t>Cartão de crédito</t>
        </is>
      </c>
      <c r="E213" s="42" t="n"/>
      <c r="F213" s="50" t="n">
        <v>380</v>
      </c>
      <c r="G213" s="42" t="n"/>
      <c r="H213" s="30">
        <f>IF(D213="","",IFERROR(INDEX(Config!$B$12:$B$15,MATCH(IF(AND(D213="Cartão de crédito",N(E213)&gt;1),"Cartão de crédito parcelado",D213),Config!$A$12:$A$15,0)),0)+IF(AND(Config!$B$17="Sim",LEFT(D213,17)="Cartão de crédito"),Config!$B$18*IFERROR(INDEX(Config!$C$12:$C$15,MATCH(IF(AND(D213="Cartão de crédito",N(E213)&gt;1),"Cartão de crédito parcelado",D213),Config!$A$12:$A$15,0)),0)/30*MAX(1,N(E213)),0))</f>
        <v>0.032</v>
      </c>
      <c r="I213" s="29">
        <f>IF(OR(D213="",F213=""),"",ROUND(F213*H213,2))</f>
        <v>12.16</v>
      </c>
      <c r="J213" s="29">
        <f>IF(I213="","",F213-I213)</f>
        <v>367.84</v>
      </c>
      <c r="K213" s="29">
        <f>IF(J213="","",J213/MAX(1,N(E213)))</f>
        <v>367.84</v>
      </c>
      <c r="L213" s="37">
        <f>IF(OR(D213="",A213=""),"",A213+IF(AND(Config!$B$17="Sim",LEFT(D213,17)="Cartão de crédito"),1,IFERROR(INDEX(Config!$C$12:$C$15,MATCH(IF(AND(D213="Cartão de crédito",N(E213)&gt;1),"Cartão de crédito parcelado",D213),Config!$A$12:$A$15,0)),0)))</f>
        <v>46276.0</v>
      </c>
      <c r="M213" s="37">
        <f>IF(L213="","",IF(AND(Config!$B$17="Sim",LEFT(D213,17)="Cartão de crédito"),L213,L213+30*(MAX(1,N(E213))-1)))</f>
        <v>46276.0</v>
      </c>
      <c r="N213" s="29">
        <f>IF(OR(L213="",K213=""),"",K213*MIN(MAX(1,N(E213)),MAX(0,INT((Config!$B$8-L213)/30)+1)))</f>
        <v>367.84</v>
      </c>
      <c r="O213" s="29">
        <f>IF(J213="","",J213-N(N213))</f>
        <v>0</v>
      </c>
      <c r="P213" s="27">
        <f>IF(A213="","",MONTH(A213))</f>
        <v>8</v>
      </c>
      <c r="Q213" s="27">
        <f>IF(A213="","",YEAR(A213))</f>
        <v>2026</v>
      </c>
      <c r="R213" s="27" t="str">
        <f>IF(L213="","",IF(L213&gt;Config!$B$8,"A cair",IF(N(G213)&gt;=MIN(MAX(1,N(E213)),MAX(0,INT((Config!$B$8-L213)/30)+1)),IF(N(G213)&gt;=MAX(1,N(E213)),"Conferido","Conferido até aqui"),"A conferir")))</f>
        <v>A conferir</v>
      </c>
      <c r="S213" s="51">
        <f>IF(R213="A conferir",(Config!$B$8-L213)*1000+N(F213)/1000+ROW()/100000,0)</f>
        <v>3000.38213</v>
      </c>
      <c r="T213" s="51">
        <f>IF(R213="A conferir",N(N213),0)</f>
        <v>367.84</v>
      </c>
      <c r="U213" s="51">
        <f>IF(L213="",0,L213)</f>
        <v>46276.0</v>
      </c>
      <c r="V213" s="51">
        <f>IF(L213="",0,MAX(1,N(E213)))</f>
        <v>1</v>
      </c>
      <c r="W213" s="51">
        <f>IF(K213="",0,K213)</f>
        <v>367.84</v>
      </c>
    </row>
    <row r="214">
      <c r="A214" s="49" t="n">
        <v>46247</v>
      </c>
      <c r="B214" s="41" t="inlineStr">
        <is>
          <t>Eduardo Lima</t>
        </is>
      </c>
      <c r="C214" s="41" t="inlineStr">
        <is>
          <t>Consulta</t>
        </is>
      </c>
      <c r="D214" s="42" t="inlineStr">
        <is>
          <t>Cartão de crédito</t>
        </is>
      </c>
      <c r="E214" s="42" t="n"/>
      <c r="F214" s="50" t="n">
        <v>380</v>
      </c>
      <c r="G214" s="42" t="n"/>
      <c r="H214" s="30">
        <f>IF(D214="","",IFERROR(INDEX(Config!$B$12:$B$15,MATCH(IF(AND(D214="Cartão de crédito",N(E214)&gt;1),"Cartão de crédito parcelado",D214),Config!$A$12:$A$15,0)),0)+IF(AND(Config!$B$17="Sim",LEFT(D214,17)="Cartão de crédito"),Config!$B$18*IFERROR(INDEX(Config!$C$12:$C$15,MATCH(IF(AND(D214="Cartão de crédito",N(E214)&gt;1),"Cartão de crédito parcelado",D214),Config!$A$12:$A$15,0)),0)/30*MAX(1,N(E214)),0))</f>
        <v>0.032</v>
      </c>
      <c r="I214" s="29">
        <f>IF(OR(D214="",F214=""),"",ROUND(F214*H214,2))</f>
        <v>12.16</v>
      </c>
      <c r="J214" s="29">
        <f>IF(I214="","",F214-I214)</f>
        <v>367.84</v>
      </c>
      <c r="K214" s="29">
        <f>IF(J214="","",J214/MAX(1,N(E214)))</f>
        <v>367.84</v>
      </c>
      <c r="L214" s="37">
        <f>IF(OR(D214="",A214=""),"",A214+IF(AND(Config!$B$17="Sim",LEFT(D214,17)="Cartão de crédito"),1,IFERROR(INDEX(Config!$C$12:$C$15,MATCH(IF(AND(D214="Cartão de crédito",N(E214)&gt;1),"Cartão de crédito parcelado",D214),Config!$A$12:$A$15,0)),0)))</f>
        <v>46277.0</v>
      </c>
      <c r="M214" s="37">
        <f>IF(L214="","",IF(AND(Config!$B$17="Sim",LEFT(D214,17)="Cartão de crédito"),L214,L214+30*(MAX(1,N(E214))-1)))</f>
        <v>46277.0</v>
      </c>
      <c r="N214" s="29">
        <f>IF(OR(L214="",K214=""),"",K214*MIN(MAX(1,N(E214)),MAX(0,INT((Config!$B$8-L214)/30)+1)))</f>
        <v>367.84</v>
      </c>
      <c r="O214" s="29">
        <f>IF(J214="","",J214-N(N214))</f>
        <v>0</v>
      </c>
      <c r="P214" s="27">
        <f>IF(A214="","",MONTH(A214))</f>
        <v>8</v>
      </c>
      <c r="Q214" s="27">
        <f>IF(A214="","",YEAR(A214))</f>
        <v>2026</v>
      </c>
      <c r="R214" s="27" t="str">
        <f>IF(L214="","",IF(L214&gt;Config!$B$8,"A cair",IF(N(G214)&gt;=MIN(MAX(1,N(E214)),MAX(0,INT((Config!$B$8-L214)/30)+1)),IF(N(G214)&gt;=MAX(1,N(E214)),"Conferido","Conferido até aqui"),"A conferir")))</f>
        <v>A conferir</v>
      </c>
      <c r="S214" s="51">
        <f>IF(R214="A conferir",(Config!$B$8-L214)*1000+N(F214)/1000+ROW()/100000,0)</f>
        <v>2000.38214</v>
      </c>
      <c r="T214" s="51">
        <f>IF(R214="A conferir",N(N214),0)</f>
        <v>367.84</v>
      </c>
      <c r="U214" s="51">
        <f>IF(L214="",0,L214)</f>
        <v>46277.0</v>
      </c>
      <c r="V214" s="51">
        <f>IF(L214="",0,MAX(1,N(E214)))</f>
        <v>1</v>
      </c>
      <c r="W214" s="51">
        <f>IF(K214="",0,K214)</f>
        <v>367.84</v>
      </c>
    </row>
    <row r="215">
      <c r="A215" s="49" t="n">
        <v>46247</v>
      </c>
      <c r="B215" s="41" t="inlineStr">
        <is>
          <t>Regina Macedo</t>
        </is>
      </c>
      <c r="C215" s="41" t="inlineStr">
        <is>
          <t>Consulta</t>
        </is>
      </c>
      <c r="D215" s="42" t="inlineStr">
        <is>
          <t>Pix</t>
        </is>
      </c>
      <c r="E215" s="42" t="n"/>
      <c r="F215" s="50" t="n">
        <v>380</v>
      </c>
      <c r="G215" s="42" t="n">
        <v>1</v>
      </c>
      <c r="H215" s="30">
        <f>IF(D215="","",IFERROR(INDEX(Config!$B$12:$B$15,MATCH(IF(AND(D215="Cartão de crédito",N(E215)&gt;1),"Cartão de crédito parcelado",D215),Config!$A$12:$A$15,0)),0)+IF(AND(Config!$B$17="Sim",LEFT(D215,17)="Cartão de crédito"),Config!$B$18*IFERROR(INDEX(Config!$C$12:$C$15,MATCH(IF(AND(D215="Cartão de crédito",N(E215)&gt;1),"Cartão de crédito parcelado",D215),Config!$A$12:$A$15,0)),0)/30*MAX(1,N(E215)),0))</f>
        <v>0</v>
      </c>
      <c r="I215" s="29">
        <f>IF(OR(D215="",F215=""),"",ROUND(F215*H215,2))</f>
        <v>0</v>
      </c>
      <c r="J215" s="29">
        <f>IF(I215="","",F215-I215)</f>
        <v>380</v>
      </c>
      <c r="K215" s="29">
        <f>IF(J215="","",J215/MAX(1,N(E215)))</f>
        <v>380</v>
      </c>
      <c r="L215" s="37">
        <f>IF(OR(D215="",A215=""),"",A215+IF(AND(Config!$B$17="Sim",LEFT(D215,17)="Cartão de crédito"),1,IFERROR(INDEX(Config!$C$12:$C$15,MATCH(IF(AND(D215="Cartão de crédito",N(E215)&gt;1),"Cartão de crédito parcelado",D215),Config!$A$12:$A$15,0)),0)))</f>
        <v>46247.0</v>
      </c>
      <c r="M215" s="37">
        <f>IF(L215="","",IF(AND(Config!$B$17="Sim",LEFT(D215,17)="Cartão de crédito"),L215,L215+30*(MAX(1,N(E215))-1)))</f>
        <v>46247.0</v>
      </c>
      <c r="N215" s="29">
        <f>IF(OR(L215="",K215=""),"",K215*MIN(MAX(1,N(E215)),MAX(0,INT((Config!$B$8-L215)/30)+1)))</f>
        <v>380</v>
      </c>
      <c r="O215" s="29">
        <f>IF(J215="","",J215-N(N215))</f>
        <v>0</v>
      </c>
      <c r="P215" s="27">
        <f>IF(A215="","",MONTH(A215))</f>
        <v>8</v>
      </c>
      <c r="Q215" s="27">
        <f>IF(A215="","",YEAR(A215))</f>
        <v>2026</v>
      </c>
      <c r="R215" s="27" t="str">
        <f>IF(L215="","",IF(L215&gt;Config!$B$8,"A cair",IF(N(G215)&gt;=MIN(MAX(1,N(E215)),MAX(0,INT((Config!$B$8-L215)/30)+1)),IF(N(G215)&gt;=MAX(1,N(E215)),"Conferido","Conferido até aqui"),"A conferir")))</f>
        <v>Conferido</v>
      </c>
      <c r="S215" s="51">
        <f>IF(R215="A conferir",(Config!$B$8-L215)*1000+N(F215)/1000+ROW()/100000,0)</f>
        <v>0</v>
      </c>
      <c r="T215" s="51">
        <f>IF(R215="A conferir",N(N215),0)</f>
        <v>0</v>
      </c>
      <c r="U215" s="51">
        <f>IF(L215="",0,L215)</f>
        <v>46247.0</v>
      </c>
      <c r="V215" s="51">
        <f>IF(L215="",0,MAX(1,N(E215)))</f>
        <v>1</v>
      </c>
      <c r="W215" s="51">
        <f>IF(K215="",0,K215)</f>
        <v>380</v>
      </c>
    </row>
    <row r="216">
      <c r="A216" s="49" t="n">
        <v>46247</v>
      </c>
      <c r="B216" s="41" t="inlineStr">
        <is>
          <t>Rafael Pereira</t>
        </is>
      </c>
      <c r="C216" s="41" t="inlineStr">
        <is>
          <t>Avaliação endócrina</t>
        </is>
      </c>
      <c r="D216" s="42" t="inlineStr">
        <is>
          <t>Pix</t>
        </is>
      </c>
      <c r="E216" s="42" t="n"/>
      <c r="F216" s="50" t="n">
        <v>400</v>
      </c>
      <c r="G216" s="42" t="n">
        <v>1</v>
      </c>
      <c r="H216" s="30">
        <f>IF(D216="","",IFERROR(INDEX(Config!$B$12:$B$15,MATCH(IF(AND(D216="Cartão de crédito",N(E216)&gt;1),"Cartão de crédito parcelado",D216),Config!$A$12:$A$15,0)),0)+IF(AND(Config!$B$17="Sim",LEFT(D216,17)="Cartão de crédito"),Config!$B$18*IFERROR(INDEX(Config!$C$12:$C$15,MATCH(IF(AND(D216="Cartão de crédito",N(E216)&gt;1),"Cartão de crédito parcelado",D216),Config!$A$12:$A$15,0)),0)/30*MAX(1,N(E216)),0))</f>
        <v>0</v>
      </c>
      <c r="I216" s="29">
        <f>IF(OR(D216="",F216=""),"",ROUND(F216*H216,2))</f>
        <v>0</v>
      </c>
      <c r="J216" s="29">
        <f>IF(I216="","",F216-I216)</f>
        <v>400</v>
      </c>
      <c r="K216" s="29">
        <f>IF(J216="","",J216/MAX(1,N(E216)))</f>
        <v>400</v>
      </c>
      <c r="L216" s="37">
        <f>IF(OR(D216="",A216=""),"",A216+IF(AND(Config!$B$17="Sim",LEFT(D216,17)="Cartão de crédito"),1,IFERROR(INDEX(Config!$C$12:$C$15,MATCH(IF(AND(D216="Cartão de crédito",N(E216)&gt;1),"Cartão de crédito parcelado",D216),Config!$A$12:$A$15,0)),0)))</f>
        <v>46247.0</v>
      </c>
      <c r="M216" s="37">
        <f>IF(L216="","",IF(AND(Config!$B$17="Sim",LEFT(D216,17)="Cartão de crédito"),L216,L216+30*(MAX(1,N(E216))-1)))</f>
        <v>46247.0</v>
      </c>
      <c r="N216" s="29">
        <f>IF(OR(L216="",K216=""),"",K216*MIN(MAX(1,N(E216)),MAX(0,INT((Config!$B$8-L216)/30)+1)))</f>
        <v>400</v>
      </c>
      <c r="O216" s="29">
        <f>IF(J216="","",J216-N(N216))</f>
        <v>0</v>
      </c>
      <c r="P216" s="27">
        <f>IF(A216="","",MONTH(A216))</f>
        <v>8</v>
      </c>
      <c r="Q216" s="27">
        <f>IF(A216="","",YEAR(A216))</f>
        <v>2026</v>
      </c>
      <c r="R216" s="27" t="str">
        <f>IF(L216="","",IF(L216&gt;Config!$B$8,"A cair",IF(N(G216)&gt;=MIN(MAX(1,N(E216)),MAX(0,INT((Config!$B$8-L216)/30)+1)),IF(N(G216)&gt;=MAX(1,N(E216)),"Conferido","Conferido até aqui"),"A conferir")))</f>
        <v>Conferido</v>
      </c>
      <c r="S216" s="51">
        <f>IF(R216="A conferir",(Config!$B$8-L216)*1000+N(F216)/1000+ROW()/100000,0)</f>
        <v>0</v>
      </c>
      <c r="T216" s="51">
        <f>IF(R216="A conferir",N(N216),0)</f>
        <v>0</v>
      </c>
      <c r="U216" s="51">
        <f>IF(L216="",0,L216)</f>
        <v>46247.0</v>
      </c>
      <c r="V216" s="51">
        <f>IF(L216="",0,MAX(1,N(E216)))</f>
        <v>1</v>
      </c>
      <c r="W216" s="51">
        <f>IF(K216="",0,K216)</f>
        <v>400</v>
      </c>
    </row>
    <row r="217">
      <c r="A217" s="49" t="n">
        <v>46247</v>
      </c>
      <c r="B217" s="41" t="inlineStr">
        <is>
          <t>Camila Freitas</t>
        </is>
      </c>
      <c r="C217" s="41" t="inlineStr">
        <is>
          <t>Consulta</t>
        </is>
      </c>
      <c r="D217" s="42" t="inlineStr">
        <is>
          <t>Pix</t>
        </is>
      </c>
      <c r="E217" s="42" t="n"/>
      <c r="F217" s="50" t="n">
        <v>380</v>
      </c>
      <c r="G217" s="42" t="n">
        <v>1</v>
      </c>
      <c r="H217" s="30">
        <f>IF(D217="","",IFERROR(INDEX(Config!$B$12:$B$15,MATCH(IF(AND(D217="Cartão de crédito",N(E217)&gt;1),"Cartão de crédito parcelado",D217),Config!$A$12:$A$15,0)),0)+IF(AND(Config!$B$17="Sim",LEFT(D217,17)="Cartão de crédito"),Config!$B$18*IFERROR(INDEX(Config!$C$12:$C$15,MATCH(IF(AND(D217="Cartão de crédito",N(E217)&gt;1),"Cartão de crédito parcelado",D217),Config!$A$12:$A$15,0)),0)/30*MAX(1,N(E217)),0))</f>
        <v>0</v>
      </c>
      <c r="I217" s="29">
        <f>IF(OR(D217="",F217=""),"",ROUND(F217*H217,2))</f>
        <v>0</v>
      </c>
      <c r="J217" s="29">
        <f>IF(I217="","",F217-I217)</f>
        <v>380</v>
      </c>
      <c r="K217" s="29">
        <f>IF(J217="","",J217/MAX(1,N(E217)))</f>
        <v>380</v>
      </c>
      <c r="L217" s="37">
        <f>IF(OR(D217="",A217=""),"",A217+IF(AND(Config!$B$17="Sim",LEFT(D217,17)="Cartão de crédito"),1,IFERROR(INDEX(Config!$C$12:$C$15,MATCH(IF(AND(D217="Cartão de crédito",N(E217)&gt;1),"Cartão de crédito parcelado",D217),Config!$A$12:$A$15,0)),0)))</f>
        <v>46247.0</v>
      </c>
      <c r="M217" s="37">
        <f>IF(L217="","",IF(AND(Config!$B$17="Sim",LEFT(D217,17)="Cartão de crédito"),L217,L217+30*(MAX(1,N(E217))-1)))</f>
        <v>46247.0</v>
      </c>
      <c r="N217" s="29">
        <f>IF(OR(L217="",K217=""),"",K217*MIN(MAX(1,N(E217)),MAX(0,INT((Config!$B$8-L217)/30)+1)))</f>
        <v>380</v>
      </c>
      <c r="O217" s="29">
        <f>IF(J217="","",J217-N(N217))</f>
        <v>0</v>
      </c>
      <c r="P217" s="27">
        <f>IF(A217="","",MONTH(A217))</f>
        <v>8</v>
      </c>
      <c r="Q217" s="27">
        <f>IF(A217="","",YEAR(A217))</f>
        <v>2026</v>
      </c>
      <c r="R217" s="27" t="str">
        <f>IF(L217="","",IF(L217&gt;Config!$B$8,"A cair",IF(N(G217)&gt;=MIN(MAX(1,N(E217)),MAX(0,INT((Config!$B$8-L217)/30)+1)),IF(N(G217)&gt;=MAX(1,N(E217)),"Conferido","Conferido até aqui"),"A conferir")))</f>
        <v>Conferido</v>
      </c>
      <c r="S217" s="51">
        <f>IF(R217="A conferir",(Config!$B$8-L217)*1000+N(F217)/1000+ROW()/100000,0)</f>
        <v>0</v>
      </c>
      <c r="T217" s="51">
        <f>IF(R217="A conferir",N(N217),0)</f>
        <v>0</v>
      </c>
      <c r="U217" s="51">
        <f>IF(L217="",0,L217)</f>
        <v>46247.0</v>
      </c>
      <c r="V217" s="51">
        <f>IF(L217="",0,MAX(1,N(E217)))</f>
        <v>1</v>
      </c>
      <c r="W217" s="51">
        <f>IF(K217="",0,K217)</f>
        <v>380</v>
      </c>
    </row>
    <row r="218">
      <c r="A218" s="49" t="n">
        <v>46247</v>
      </c>
      <c r="B218" s="41" t="inlineStr">
        <is>
          <t>Cláudia Melo</t>
        </is>
      </c>
      <c r="C218" s="41" t="inlineStr">
        <is>
          <t>Avaliação endócrina</t>
        </is>
      </c>
      <c r="D218" s="42" t="inlineStr">
        <is>
          <t>Cartão de débito</t>
        </is>
      </c>
      <c r="E218" s="42" t="n"/>
      <c r="F218" s="50" t="n">
        <v>400</v>
      </c>
      <c r="G218" s="42" t="n">
        <v>1</v>
      </c>
      <c r="H218" s="30">
        <f>IF(D218="","",IFERROR(INDEX(Config!$B$12:$B$15,MATCH(IF(AND(D218="Cartão de crédito",N(E218)&gt;1),"Cartão de crédito parcelado",D218),Config!$A$12:$A$15,0)),0)+IF(AND(Config!$B$17="Sim",LEFT(D218,17)="Cartão de crédito"),Config!$B$18*IFERROR(INDEX(Config!$C$12:$C$15,MATCH(IF(AND(D218="Cartão de crédito",N(E218)&gt;1),"Cartão de crédito parcelado",D218),Config!$A$12:$A$15,0)),0)/30*MAX(1,N(E218)),0))</f>
        <v>0.015</v>
      </c>
      <c r="I218" s="29">
        <f>IF(OR(D218="",F218=""),"",ROUND(F218*H218,2))</f>
        <v>6</v>
      </c>
      <c r="J218" s="29">
        <f>IF(I218="","",F218-I218)</f>
        <v>394</v>
      </c>
      <c r="K218" s="29">
        <f>IF(J218="","",J218/MAX(1,N(E218)))</f>
        <v>394</v>
      </c>
      <c r="L218" s="37">
        <f>IF(OR(D218="",A218=""),"",A218+IF(AND(Config!$B$17="Sim",LEFT(D218,17)="Cartão de crédito"),1,IFERROR(INDEX(Config!$C$12:$C$15,MATCH(IF(AND(D218="Cartão de crédito",N(E218)&gt;1),"Cartão de crédito parcelado",D218),Config!$A$12:$A$15,0)),0)))</f>
        <v>46248.0</v>
      </c>
      <c r="M218" s="37">
        <f>IF(L218="","",IF(AND(Config!$B$17="Sim",LEFT(D218,17)="Cartão de crédito"),L218,L218+30*(MAX(1,N(E218))-1)))</f>
        <v>46248.0</v>
      </c>
      <c r="N218" s="29">
        <f>IF(OR(L218="",K218=""),"",K218*MIN(MAX(1,N(E218)),MAX(0,INT((Config!$B$8-L218)/30)+1)))</f>
        <v>394</v>
      </c>
      <c r="O218" s="29">
        <f>IF(J218="","",J218-N(N218))</f>
        <v>0</v>
      </c>
      <c r="P218" s="27">
        <f>IF(A218="","",MONTH(A218))</f>
        <v>8</v>
      </c>
      <c r="Q218" s="27">
        <f>IF(A218="","",YEAR(A218))</f>
        <v>2026</v>
      </c>
      <c r="R218" s="27" t="str">
        <f>IF(L218="","",IF(L218&gt;Config!$B$8,"A cair",IF(N(G218)&gt;=MIN(MAX(1,N(E218)),MAX(0,INT((Config!$B$8-L218)/30)+1)),IF(N(G218)&gt;=MAX(1,N(E218)),"Conferido","Conferido até aqui"),"A conferir")))</f>
        <v>Conferido</v>
      </c>
      <c r="S218" s="51">
        <f>IF(R218="A conferir",(Config!$B$8-L218)*1000+N(F218)/1000+ROW()/100000,0)</f>
        <v>0</v>
      </c>
      <c r="T218" s="51">
        <f>IF(R218="A conferir",N(N218),0)</f>
        <v>0</v>
      </c>
      <c r="U218" s="51">
        <f>IF(L218="",0,L218)</f>
        <v>46248.0</v>
      </c>
      <c r="V218" s="51">
        <f>IF(L218="",0,MAX(1,N(E218)))</f>
        <v>1</v>
      </c>
      <c r="W218" s="51">
        <f>IF(K218="",0,K218)</f>
        <v>394</v>
      </c>
    </row>
    <row r="219">
      <c r="A219" s="49" t="n">
        <v>46247</v>
      </c>
      <c r="B219" s="41" t="inlineStr">
        <is>
          <t>Débora Moreira</t>
        </is>
      </c>
      <c r="C219" s="41" t="inlineStr">
        <is>
          <t>Consulta</t>
        </is>
      </c>
      <c r="D219" s="42" t="inlineStr">
        <is>
          <t>Pix</t>
        </is>
      </c>
      <c r="E219" s="42" t="n"/>
      <c r="F219" s="50" t="n">
        <v>380</v>
      </c>
      <c r="G219" s="42" t="n">
        <v>1</v>
      </c>
      <c r="H219" s="30">
        <f>IF(D219="","",IFERROR(INDEX(Config!$B$12:$B$15,MATCH(IF(AND(D219="Cartão de crédito",N(E219)&gt;1),"Cartão de crédito parcelado",D219),Config!$A$12:$A$15,0)),0)+IF(AND(Config!$B$17="Sim",LEFT(D219,17)="Cartão de crédito"),Config!$B$18*IFERROR(INDEX(Config!$C$12:$C$15,MATCH(IF(AND(D219="Cartão de crédito",N(E219)&gt;1),"Cartão de crédito parcelado",D219),Config!$A$12:$A$15,0)),0)/30*MAX(1,N(E219)),0))</f>
        <v>0</v>
      </c>
      <c r="I219" s="29">
        <f>IF(OR(D219="",F219=""),"",ROUND(F219*H219,2))</f>
        <v>0</v>
      </c>
      <c r="J219" s="29">
        <f>IF(I219="","",F219-I219)</f>
        <v>380</v>
      </c>
      <c r="K219" s="29">
        <f>IF(J219="","",J219/MAX(1,N(E219)))</f>
        <v>380</v>
      </c>
      <c r="L219" s="37">
        <f>IF(OR(D219="",A219=""),"",A219+IF(AND(Config!$B$17="Sim",LEFT(D219,17)="Cartão de crédito"),1,IFERROR(INDEX(Config!$C$12:$C$15,MATCH(IF(AND(D219="Cartão de crédito",N(E219)&gt;1),"Cartão de crédito parcelado",D219),Config!$A$12:$A$15,0)),0)))</f>
        <v>46247.0</v>
      </c>
      <c r="M219" s="37">
        <f>IF(L219="","",IF(AND(Config!$B$17="Sim",LEFT(D219,17)="Cartão de crédito"),L219,L219+30*(MAX(1,N(E219))-1)))</f>
        <v>46247.0</v>
      </c>
      <c r="N219" s="29">
        <f>IF(OR(L219="",K219=""),"",K219*MIN(MAX(1,N(E219)),MAX(0,INT((Config!$B$8-L219)/30)+1)))</f>
        <v>380</v>
      </c>
      <c r="O219" s="29">
        <f>IF(J219="","",J219-N(N219))</f>
        <v>0</v>
      </c>
      <c r="P219" s="27">
        <f>IF(A219="","",MONTH(A219))</f>
        <v>8</v>
      </c>
      <c r="Q219" s="27">
        <f>IF(A219="","",YEAR(A219))</f>
        <v>2026</v>
      </c>
      <c r="R219" s="27" t="str">
        <f>IF(L219="","",IF(L219&gt;Config!$B$8,"A cair",IF(N(G219)&gt;=MIN(MAX(1,N(E219)),MAX(0,INT((Config!$B$8-L219)/30)+1)),IF(N(G219)&gt;=MAX(1,N(E219)),"Conferido","Conferido até aqui"),"A conferir")))</f>
        <v>Conferido</v>
      </c>
      <c r="S219" s="51">
        <f>IF(R219="A conferir",(Config!$B$8-L219)*1000+N(F219)/1000+ROW()/100000,0)</f>
        <v>0</v>
      </c>
      <c r="T219" s="51">
        <f>IF(R219="A conferir",N(N219),0)</f>
        <v>0</v>
      </c>
      <c r="U219" s="51">
        <f>IF(L219="",0,L219)</f>
        <v>46247.0</v>
      </c>
      <c r="V219" s="51">
        <f>IF(L219="",0,MAX(1,N(E219)))</f>
        <v>1</v>
      </c>
      <c r="W219" s="51">
        <f>IF(K219="",0,K219)</f>
        <v>380</v>
      </c>
    </row>
    <row r="220">
      <c r="A220" s="49" t="n">
        <v>46247</v>
      </c>
      <c r="B220" s="41" t="inlineStr">
        <is>
          <t>Isabela Xavier</t>
        </is>
      </c>
      <c r="C220" s="41" t="inlineStr">
        <is>
          <t>Avaliação endócrina</t>
        </is>
      </c>
      <c r="D220" s="42" t="inlineStr">
        <is>
          <t>Cartão de débito</t>
        </is>
      </c>
      <c r="E220" s="42" t="n"/>
      <c r="F220" s="50" t="n">
        <v>400</v>
      </c>
      <c r="G220" s="42" t="n">
        <v>1</v>
      </c>
      <c r="H220" s="30">
        <f>IF(D220="","",IFERROR(INDEX(Config!$B$12:$B$15,MATCH(IF(AND(D220="Cartão de crédito",N(E220)&gt;1),"Cartão de crédito parcelado",D220),Config!$A$12:$A$15,0)),0)+IF(AND(Config!$B$17="Sim",LEFT(D220,17)="Cartão de crédito"),Config!$B$18*IFERROR(INDEX(Config!$C$12:$C$15,MATCH(IF(AND(D220="Cartão de crédito",N(E220)&gt;1),"Cartão de crédito parcelado",D220),Config!$A$12:$A$15,0)),0)/30*MAX(1,N(E220)),0))</f>
        <v>0.015</v>
      </c>
      <c r="I220" s="29">
        <f>IF(OR(D220="",F220=""),"",ROUND(F220*H220,2))</f>
        <v>6</v>
      </c>
      <c r="J220" s="29">
        <f>IF(I220="","",F220-I220)</f>
        <v>394</v>
      </c>
      <c r="K220" s="29">
        <f>IF(J220="","",J220/MAX(1,N(E220)))</f>
        <v>394</v>
      </c>
      <c r="L220" s="37">
        <f>IF(OR(D220="",A220=""),"",A220+IF(AND(Config!$B$17="Sim",LEFT(D220,17)="Cartão de crédito"),1,IFERROR(INDEX(Config!$C$12:$C$15,MATCH(IF(AND(D220="Cartão de crédito",N(E220)&gt;1),"Cartão de crédito parcelado",D220),Config!$A$12:$A$15,0)),0)))</f>
        <v>46248.0</v>
      </c>
      <c r="M220" s="37">
        <f>IF(L220="","",IF(AND(Config!$B$17="Sim",LEFT(D220,17)="Cartão de crédito"),L220,L220+30*(MAX(1,N(E220))-1)))</f>
        <v>46248.0</v>
      </c>
      <c r="N220" s="29">
        <f>IF(OR(L220="",K220=""),"",K220*MIN(MAX(1,N(E220)),MAX(0,INT((Config!$B$8-L220)/30)+1)))</f>
        <v>394</v>
      </c>
      <c r="O220" s="29">
        <f>IF(J220="","",J220-N(N220))</f>
        <v>0</v>
      </c>
      <c r="P220" s="27">
        <f>IF(A220="","",MONTH(A220))</f>
        <v>8</v>
      </c>
      <c r="Q220" s="27">
        <f>IF(A220="","",YEAR(A220))</f>
        <v>2026</v>
      </c>
      <c r="R220" s="27" t="str">
        <f>IF(L220="","",IF(L220&gt;Config!$B$8,"A cair",IF(N(G220)&gt;=MIN(MAX(1,N(E220)),MAX(0,INT((Config!$B$8-L220)/30)+1)),IF(N(G220)&gt;=MAX(1,N(E220)),"Conferido","Conferido até aqui"),"A conferir")))</f>
        <v>Conferido</v>
      </c>
      <c r="S220" s="51">
        <f>IF(R220="A conferir",(Config!$B$8-L220)*1000+N(F220)/1000+ROW()/100000,0)</f>
        <v>0</v>
      </c>
      <c r="T220" s="51">
        <f>IF(R220="A conferir",N(N220),0)</f>
        <v>0</v>
      </c>
      <c r="U220" s="51">
        <f>IF(L220="",0,L220)</f>
        <v>46248.0</v>
      </c>
      <c r="V220" s="51">
        <f>IF(L220="",0,MAX(1,N(E220)))</f>
        <v>1</v>
      </c>
      <c r="W220" s="51">
        <f>IF(K220="",0,K220)</f>
        <v>394</v>
      </c>
    </row>
    <row r="221">
      <c r="A221" s="49" t="n">
        <v>46247</v>
      </c>
      <c r="B221" s="41" t="inlineStr">
        <is>
          <t>Priscila Reis</t>
        </is>
      </c>
      <c r="C221" s="41" t="inlineStr">
        <is>
          <t>Avaliação endócrina</t>
        </is>
      </c>
      <c r="D221" s="42" t="inlineStr">
        <is>
          <t>Pix</t>
        </is>
      </c>
      <c r="E221" s="42" t="n"/>
      <c r="F221" s="50" t="n">
        <v>400</v>
      </c>
      <c r="G221" s="42" t="n">
        <v>1</v>
      </c>
      <c r="H221" s="30">
        <f>IF(D221="","",IFERROR(INDEX(Config!$B$12:$B$15,MATCH(IF(AND(D221="Cartão de crédito",N(E221)&gt;1),"Cartão de crédito parcelado",D221),Config!$A$12:$A$15,0)),0)+IF(AND(Config!$B$17="Sim",LEFT(D221,17)="Cartão de crédito"),Config!$B$18*IFERROR(INDEX(Config!$C$12:$C$15,MATCH(IF(AND(D221="Cartão de crédito",N(E221)&gt;1),"Cartão de crédito parcelado",D221),Config!$A$12:$A$15,0)),0)/30*MAX(1,N(E221)),0))</f>
        <v>0</v>
      </c>
      <c r="I221" s="29">
        <f>IF(OR(D221="",F221=""),"",ROUND(F221*H221,2))</f>
        <v>0</v>
      </c>
      <c r="J221" s="29">
        <f>IF(I221="","",F221-I221)</f>
        <v>400</v>
      </c>
      <c r="K221" s="29">
        <f>IF(J221="","",J221/MAX(1,N(E221)))</f>
        <v>400</v>
      </c>
      <c r="L221" s="37">
        <f>IF(OR(D221="",A221=""),"",A221+IF(AND(Config!$B$17="Sim",LEFT(D221,17)="Cartão de crédito"),1,IFERROR(INDEX(Config!$C$12:$C$15,MATCH(IF(AND(D221="Cartão de crédito",N(E221)&gt;1),"Cartão de crédito parcelado",D221),Config!$A$12:$A$15,0)),0)))</f>
        <v>46247.0</v>
      </c>
      <c r="M221" s="37">
        <f>IF(L221="","",IF(AND(Config!$B$17="Sim",LEFT(D221,17)="Cartão de crédito"),L221,L221+30*(MAX(1,N(E221))-1)))</f>
        <v>46247.0</v>
      </c>
      <c r="N221" s="29">
        <f>IF(OR(L221="",K221=""),"",K221*MIN(MAX(1,N(E221)),MAX(0,INT((Config!$B$8-L221)/30)+1)))</f>
        <v>400</v>
      </c>
      <c r="O221" s="29">
        <f>IF(J221="","",J221-N(N221))</f>
        <v>0</v>
      </c>
      <c r="P221" s="27">
        <f>IF(A221="","",MONTH(A221))</f>
        <v>8</v>
      </c>
      <c r="Q221" s="27">
        <f>IF(A221="","",YEAR(A221))</f>
        <v>2026</v>
      </c>
      <c r="R221" s="27" t="str">
        <f>IF(L221="","",IF(L221&gt;Config!$B$8,"A cair",IF(N(G221)&gt;=MIN(MAX(1,N(E221)),MAX(0,INT((Config!$B$8-L221)/30)+1)),IF(N(G221)&gt;=MAX(1,N(E221)),"Conferido","Conferido até aqui"),"A conferir")))</f>
        <v>Conferido</v>
      </c>
      <c r="S221" s="51">
        <f>IF(R221="A conferir",(Config!$B$8-L221)*1000+N(F221)/1000+ROW()/100000,0)</f>
        <v>0</v>
      </c>
      <c r="T221" s="51">
        <f>IF(R221="A conferir",N(N221),0)</f>
        <v>0</v>
      </c>
      <c r="U221" s="51">
        <f>IF(L221="",0,L221)</f>
        <v>46247.0</v>
      </c>
      <c r="V221" s="51">
        <f>IF(L221="",0,MAX(1,N(E221)))</f>
        <v>1</v>
      </c>
      <c r="W221" s="51">
        <f>IF(K221="",0,K221)</f>
        <v>400</v>
      </c>
    </row>
    <row r="222">
      <c r="A222" s="49" t="n">
        <v>46251</v>
      </c>
      <c r="B222" s="41" t="inlineStr">
        <is>
          <t>Regina Duarte</t>
        </is>
      </c>
      <c r="C222" s="41" t="inlineStr">
        <is>
          <t>Consulta</t>
        </is>
      </c>
      <c r="D222" s="42" t="inlineStr">
        <is>
          <t>Cartão de débito</t>
        </is>
      </c>
      <c r="E222" s="42" t="n"/>
      <c r="F222" s="50" t="n">
        <v>380</v>
      </c>
      <c r="G222" s="42" t="n">
        <v>1</v>
      </c>
      <c r="H222" s="30">
        <f>IF(D222="","",IFERROR(INDEX(Config!$B$12:$B$15,MATCH(IF(AND(D222="Cartão de crédito",N(E222)&gt;1),"Cartão de crédito parcelado",D222),Config!$A$12:$A$15,0)),0)+IF(AND(Config!$B$17="Sim",LEFT(D222,17)="Cartão de crédito"),Config!$B$18*IFERROR(INDEX(Config!$C$12:$C$15,MATCH(IF(AND(D222="Cartão de crédito",N(E222)&gt;1),"Cartão de crédito parcelado",D222),Config!$A$12:$A$15,0)),0)/30*MAX(1,N(E222)),0))</f>
        <v>0.015</v>
      </c>
      <c r="I222" s="29">
        <f>IF(OR(D222="",F222=""),"",ROUND(F222*H222,2))</f>
        <v>5.7</v>
      </c>
      <c r="J222" s="29">
        <f>IF(I222="","",F222-I222)</f>
        <v>374.3</v>
      </c>
      <c r="K222" s="29">
        <f>IF(J222="","",J222/MAX(1,N(E222)))</f>
        <v>374.3</v>
      </c>
      <c r="L222" s="37">
        <f>IF(OR(D222="",A222=""),"",A222+IF(AND(Config!$B$17="Sim",LEFT(D222,17)="Cartão de crédito"),1,IFERROR(INDEX(Config!$C$12:$C$15,MATCH(IF(AND(D222="Cartão de crédito",N(E222)&gt;1),"Cartão de crédito parcelado",D222),Config!$A$12:$A$15,0)),0)))</f>
        <v>46252.0</v>
      </c>
      <c r="M222" s="37">
        <f>IF(L222="","",IF(AND(Config!$B$17="Sim",LEFT(D222,17)="Cartão de crédito"),L222,L222+30*(MAX(1,N(E222))-1)))</f>
        <v>46252.0</v>
      </c>
      <c r="N222" s="29">
        <f>IF(OR(L222="",K222=""),"",K222*MIN(MAX(1,N(E222)),MAX(0,INT((Config!$B$8-L222)/30)+1)))</f>
        <v>374.3</v>
      </c>
      <c r="O222" s="29">
        <f>IF(J222="","",J222-N(N222))</f>
        <v>0</v>
      </c>
      <c r="P222" s="27">
        <f>IF(A222="","",MONTH(A222))</f>
        <v>8</v>
      </c>
      <c r="Q222" s="27">
        <f>IF(A222="","",YEAR(A222))</f>
        <v>2026</v>
      </c>
      <c r="R222" s="27" t="str">
        <f>IF(L222="","",IF(L222&gt;Config!$B$8,"A cair",IF(N(G222)&gt;=MIN(MAX(1,N(E222)),MAX(0,INT((Config!$B$8-L222)/30)+1)),IF(N(G222)&gt;=MAX(1,N(E222)),"Conferido","Conferido até aqui"),"A conferir")))</f>
        <v>Conferido</v>
      </c>
      <c r="S222" s="51">
        <f>IF(R222="A conferir",(Config!$B$8-L222)*1000+N(F222)/1000+ROW()/100000,0)</f>
        <v>0</v>
      </c>
      <c r="T222" s="51">
        <f>IF(R222="A conferir",N(N222),0)</f>
        <v>0</v>
      </c>
      <c r="U222" s="51">
        <f>IF(L222="",0,L222)</f>
        <v>46252.0</v>
      </c>
      <c r="V222" s="51">
        <f>IF(L222="",0,MAX(1,N(E222)))</f>
        <v>1</v>
      </c>
      <c r="W222" s="51">
        <f>IF(K222="",0,K222)</f>
        <v>374.3</v>
      </c>
    </row>
    <row r="223">
      <c r="A223" s="49" t="n">
        <v>46251</v>
      </c>
      <c r="B223" s="41" t="inlineStr">
        <is>
          <t>Helena Moreira</t>
        </is>
      </c>
      <c r="C223" s="41" t="inlineStr">
        <is>
          <t>MAPA</t>
        </is>
      </c>
      <c r="D223" s="42" t="inlineStr">
        <is>
          <t>Cartão de crédito</t>
        </is>
      </c>
      <c r="E223" s="42" t="n">
        <v>2</v>
      </c>
      <c r="F223" s="50" t="n">
        <v>300</v>
      </c>
      <c r="G223" s="42" t="n"/>
      <c r="H223" s="30">
        <f>IF(D223="","",IFERROR(INDEX(Config!$B$12:$B$15,MATCH(IF(AND(D223="Cartão de crédito",N(E223)&gt;1),"Cartão de crédito parcelado",D223),Config!$A$12:$A$15,0)),0)+IF(AND(Config!$B$17="Sim",LEFT(D223,17)="Cartão de crédito"),Config!$B$18*IFERROR(INDEX(Config!$C$12:$C$15,MATCH(IF(AND(D223="Cartão de crédito",N(E223)&gt;1),"Cartão de crédito parcelado",D223),Config!$A$12:$A$15,0)),0)/30*MAX(1,N(E223)),0))</f>
        <v>0.039</v>
      </c>
      <c r="I223" s="29">
        <f>IF(OR(D223="",F223=""),"",ROUND(F223*H223,2))</f>
        <v>11.7</v>
      </c>
      <c r="J223" s="29">
        <f>IF(I223="","",F223-I223)</f>
        <v>288.3</v>
      </c>
      <c r="K223" s="29">
        <f>IF(J223="","",J223/MAX(1,N(E223)))</f>
        <v>144.15</v>
      </c>
      <c r="L223" s="37">
        <f>IF(OR(D223="",A223=""),"",A223+IF(AND(Config!$B$17="Sim",LEFT(D223,17)="Cartão de crédito"),1,IFERROR(INDEX(Config!$C$12:$C$15,MATCH(IF(AND(D223="Cartão de crédito",N(E223)&gt;1),"Cartão de crédito parcelado",D223),Config!$A$12:$A$15,0)),0)))</f>
        <v>46281.0</v>
      </c>
      <c r="M223" s="37">
        <f>IF(L223="","",IF(AND(Config!$B$17="Sim",LEFT(D223,17)="Cartão de crédito"),L223,L223+30*(MAX(1,N(E223))-1)))</f>
        <v>46311.0</v>
      </c>
      <c r="N223" s="29">
        <f>IF(OR(L223="",K223=""),"",K223*MIN(MAX(1,N(E223)),MAX(0,INT((Config!$B$8-L223)/30)+1)))</f>
        <v>0</v>
      </c>
      <c r="O223" s="29">
        <f>IF(J223="","",J223-N(N223))</f>
        <v>288.3</v>
      </c>
      <c r="P223" s="27">
        <f>IF(A223="","",MONTH(A223))</f>
        <v>8</v>
      </c>
      <c r="Q223" s="27">
        <f>IF(A223="","",YEAR(A223))</f>
        <v>2026</v>
      </c>
      <c r="R223" s="27" t="str">
        <f>IF(L223="","",IF(L223&gt;Config!$B$8,"A cair",IF(N(G223)&gt;=MIN(MAX(1,N(E223)),MAX(0,INT((Config!$B$8-L223)/30)+1)),IF(N(G223)&gt;=MAX(1,N(E223)),"Conferido","Conferido até aqui"),"A conferir")))</f>
        <v>A cair</v>
      </c>
      <c r="S223" s="51">
        <f>IF(R223="A conferir",(Config!$B$8-L223)*1000+N(F223)/1000+ROW()/100000,0)</f>
        <v>0</v>
      </c>
      <c r="T223" s="51">
        <f>IF(R223="A conferir",N(N223),0)</f>
        <v>0</v>
      </c>
      <c r="U223" s="51">
        <f>IF(L223="",0,L223)</f>
        <v>46281.0</v>
      </c>
      <c r="V223" s="51">
        <f>IF(L223="",0,MAX(1,N(E223)))</f>
        <v>2</v>
      </c>
      <c r="W223" s="51">
        <f>IF(K223="",0,K223)</f>
        <v>144.15</v>
      </c>
    </row>
    <row r="224">
      <c r="A224" s="49" t="n">
        <v>46251</v>
      </c>
      <c r="B224" s="41" t="inlineStr">
        <is>
          <t>Marcelo Ferreira</t>
        </is>
      </c>
      <c r="C224" s="41" t="inlineStr">
        <is>
          <t>Consulta</t>
        </is>
      </c>
      <c r="D224" s="42" t="inlineStr">
        <is>
          <t>Pix</t>
        </is>
      </c>
      <c r="E224" s="42" t="n"/>
      <c r="F224" s="50" t="n">
        <v>380</v>
      </c>
      <c r="G224" s="42" t="n">
        <v>1</v>
      </c>
      <c r="H224" s="30">
        <f>IF(D224="","",IFERROR(INDEX(Config!$B$12:$B$15,MATCH(IF(AND(D224="Cartão de crédito",N(E224)&gt;1),"Cartão de crédito parcelado",D224),Config!$A$12:$A$15,0)),0)+IF(AND(Config!$B$17="Sim",LEFT(D224,17)="Cartão de crédito"),Config!$B$18*IFERROR(INDEX(Config!$C$12:$C$15,MATCH(IF(AND(D224="Cartão de crédito",N(E224)&gt;1),"Cartão de crédito parcelado",D224),Config!$A$12:$A$15,0)),0)/30*MAX(1,N(E224)),0))</f>
        <v>0</v>
      </c>
      <c r="I224" s="29">
        <f>IF(OR(D224="",F224=""),"",ROUND(F224*H224,2))</f>
        <v>0</v>
      </c>
      <c r="J224" s="29">
        <f>IF(I224="","",F224-I224)</f>
        <v>380</v>
      </c>
      <c r="K224" s="29">
        <f>IF(J224="","",J224/MAX(1,N(E224)))</f>
        <v>380</v>
      </c>
      <c r="L224" s="37">
        <f>IF(OR(D224="",A224=""),"",A224+IF(AND(Config!$B$17="Sim",LEFT(D224,17)="Cartão de crédito"),1,IFERROR(INDEX(Config!$C$12:$C$15,MATCH(IF(AND(D224="Cartão de crédito",N(E224)&gt;1),"Cartão de crédito parcelado",D224),Config!$A$12:$A$15,0)),0)))</f>
        <v>46251.0</v>
      </c>
      <c r="M224" s="37">
        <f>IF(L224="","",IF(AND(Config!$B$17="Sim",LEFT(D224,17)="Cartão de crédito"),L224,L224+30*(MAX(1,N(E224))-1)))</f>
        <v>46251.0</v>
      </c>
      <c r="N224" s="29">
        <f>IF(OR(L224="",K224=""),"",K224*MIN(MAX(1,N(E224)),MAX(0,INT((Config!$B$8-L224)/30)+1)))</f>
        <v>380</v>
      </c>
      <c r="O224" s="29">
        <f>IF(J224="","",J224-N(N224))</f>
        <v>0</v>
      </c>
      <c r="P224" s="27">
        <f>IF(A224="","",MONTH(A224))</f>
        <v>8</v>
      </c>
      <c r="Q224" s="27">
        <f>IF(A224="","",YEAR(A224))</f>
        <v>2026</v>
      </c>
      <c r="R224" s="27" t="str">
        <f>IF(L224="","",IF(L224&gt;Config!$B$8,"A cair",IF(N(G224)&gt;=MIN(MAX(1,N(E224)),MAX(0,INT((Config!$B$8-L224)/30)+1)),IF(N(G224)&gt;=MAX(1,N(E224)),"Conferido","Conferido até aqui"),"A conferir")))</f>
        <v>Conferido</v>
      </c>
      <c r="S224" s="51">
        <f>IF(R224="A conferir",(Config!$B$8-L224)*1000+N(F224)/1000+ROW()/100000,0)</f>
        <v>0</v>
      </c>
      <c r="T224" s="51">
        <f>IF(R224="A conferir",N(N224),0)</f>
        <v>0</v>
      </c>
      <c r="U224" s="51">
        <f>IF(L224="",0,L224)</f>
        <v>46251.0</v>
      </c>
      <c r="V224" s="51">
        <f>IF(L224="",0,MAX(1,N(E224)))</f>
        <v>1</v>
      </c>
      <c r="W224" s="51">
        <f>IF(K224="",0,K224)</f>
        <v>380</v>
      </c>
    </row>
    <row r="225">
      <c r="A225" s="49" t="n">
        <v>46252</v>
      </c>
      <c r="B225" s="41" t="inlineStr">
        <is>
          <t>Sérgio Martins</t>
        </is>
      </c>
      <c r="C225" s="41" t="inlineStr">
        <is>
          <t>Consulta</t>
        </is>
      </c>
      <c r="D225" s="42" t="inlineStr">
        <is>
          <t>Cartão de débito</t>
        </is>
      </c>
      <c r="E225" s="42" t="n"/>
      <c r="F225" s="50" t="n">
        <v>380</v>
      </c>
      <c r="G225" s="42" t="n">
        <v>1</v>
      </c>
      <c r="H225" s="30">
        <f>IF(D225="","",IFERROR(INDEX(Config!$B$12:$B$15,MATCH(IF(AND(D225="Cartão de crédito",N(E225)&gt;1),"Cartão de crédito parcelado",D225),Config!$A$12:$A$15,0)),0)+IF(AND(Config!$B$17="Sim",LEFT(D225,17)="Cartão de crédito"),Config!$B$18*IFERROR(INDEX(Config!$C$12:$C$15,MATCH(IF(AND(D225="Cartão de crédito",N(E225)&gt;1),"Cartão de crédito parcelado",D225),Config!$A$12:$A$15,0)),0)/30*MAX(1,N(E225)),0))</f>
        <v>0.015</v>
      </c>
      <c r="I225" s="29">
        <f>IF(OR(D225="",F225=""),"",ROUND(F225*H225,2))</f>
        <v>5.7</v>
      </c>
      <c r="J225" s="29">
        <f>IF(I225="","",F225-I225)</f>
        <v>374.3</v>
      </c>
      <c r="K225" s="29">
        <f>IF(J225="","",J225/MAX(1,N(E225)))</f>
        <v>374.3</v>
      </c>
      <c r="L225" s="37">
        <f>IF(OR(D225="",A225=""),"",A225+IF(AND(Config!$B$17="Sim",LEFT(D225,17)="Cartão de crédito"),1,IFERROR(INDEX(Config!$C$12:$C$15,MATCH(IF(AND(D225="Cartão de crédito",N(E225)&gt;1),"Cartão de crédito parcelado",D225),Config!$A$12:$A$15,0)),0)))</f>
        <v>46253.0</v>
      </c>
      <c r="M225" s="37">
        <f>IF(L225="","",IF(AND(Config!$B$17="Sim",LEFT(D225,17)="Cartão de crédito"),L225,L225+30*(MAX(1,N(E225))-1)))</f>
        <v>46253.0</v>
      </c>
      <c r="N225" s="29">
        <f>IF(OR(L225="",K225=""),"",K225*MIN(MAX(1,N(E225)),MAX(0,INT((Config!$B$8-L225)/30)+1)))</f>
        <v>374.3</v>
      </c>
      <c r="O225" s="29">
        <f>IF(J225="","",J225-N(N225))</f>
        <v>0</v>
      </c>
      <c r="P225" s="27">
        <f>IF(A225="","",MONTH(A225))</f>
        <v>8</v>
      </c>
      <c r="Q225" s="27">
        <f>IF(A225="","",YEAR(A225))</f>
        <v>2026</v>
      </c>
      <c r="R225" s="27" t="str">
        <f>IF(L225="","",IF(L225&gt;Config!$B$8,"A cair",IF(N(G225)&gt;=MIN(MAX(1,N(E225)),MAX(0,INT((Config!$B$8-L225)/30)+1)),IF(N(G225)&gt;=MAX(1,N(E225)),"Conferido","Conferido até aqui"),"A conferir")))</f>
        <v>Conferido</v>
      </c>
      <c r="S225" s="51">
        <f>IF(R225="A conferir",(Config!$B$8-L225)*1000+N(F225)/1000+ROW()/100000,0)</f>
        <v>0</v>
      </c>
      <c r="T225" s="51">
        <f>IF(R225="A conferir",N(N225),0)</f>
        <v>0</v>
      </c>
      <c r="U225" s="51">
        <f>IF(L225="",0,L225)</f>
        <v>46253.0</v>
      </c>
      <c r="V225" s="51">
        <f>IF(L225="",0,MAX(1,N(E225)))</f>
        <v>1</v>
      </c>
      <c r="W225" s="51">
        <f>IF(K225="",0,K225)</f>
        <v>374.3</v>
      </c>
    </row>
    <row r="226">
      <c r="A226" s="49" t="n">
        <v>46252</v>
      </c>
      <c r="B226" s="41" t="inlineStr">
        <is>
          <t>Rodrigo Moreira</t>
        </is>
      </c>
      <c r="C226" s="41" t="inlineStr">
        <is>
          <t>Consulta</t>
        </is>
      </c>
      <c r="D226" s="42" t="inlineStr">
        <is>
          <t>Cartão de crédito</t>
        </is>
      </c>
      <c r="E226" s="42" t="n">
        <v>2</v>
      </c>
      <c r="F226" s="50" t="n">
        <v>380</v>
      </c>
      <c r="G226" s="42" t="n"/>
      <c r="H226" s="30">
        <f>IF(D226="","",IFERROR(INDEX(Config!$B$12:$B$15,MATCH(IF(AND(D226="Cartão de crédito",N(E226)&gt;1),"Cartão de crédito parcelado",D226),Config!$A$12:$A$15,0)),0)+IF(AND(Config!$B$17="Sim",LEFT(D226,17)="Cartão de crédito"),Config!$B$18*IFERROR(INDEX(Config!$C$12:$C$15,MATCH(IF(AND(D226="Cartão de crédito",N(E226)&gt;1),"Cartão de crédito parcelado",D226),Config!$A$12:$A$15,0)),0)/30*MAX(1,N(E226)),0))</f>
        <v>0.039</v>
      </c>
      <c r="I226" s="29">
        <f>IF(OR(D226="",F226=""),"",ROUND(F226*H226,2))</f>
        <v>14.82</v>
      </c>
      <c r="J226" s="29">
        <f>IF(I226="","",F226-I226)</f>
        <v>365.18</v>
      </c>
      <c r="K226" s="29">
        <f>IF(J226="","",J226/MAX(1,N(E226)))</f>
        <v>182.59</v>
      </c>
      <c r="L226" s="37">
        <f>IF(OR(D226="",A226=""),"",A226+IF(AND(Config!$B$17="Sim",LEFT(D226,17)="Cartão de crédito"),1,IFERROR(INDEX(Config!$C$12:$C$15,MATCH(IF(AND(D226="Cartão de crédito",N(E226)&gt;1),"Cartão de crédito parcelado",D226),Config!$A$12:$A$15,0)),0)))</f>
        <v>46282.0</v>
      </c>
      <c r="M226" s="37">
        <f>IF(L226="","",IF(AND(Config!$B$17="Sim",LEFT(D226,17)="Cartão de crédito"),L226,L226+30*(MAX(1,N(E226))-1)))</f>
        <v>46312.0</v>
      </c>
      <c r="N226" s="29">
        <f>IF(OR(L226="",K226=""),"",K226*MIN(MAX(1,N(E226)),MAX(0,INT((Config!$B$8-L226)/30)+1)))</f>
        <v>0</v>
      </c>
      <c r="O226" s="29">
        <f>IF(J226="","",J226-N(N226))</f>
        <v>365.18</v>
      </c>
      <c r="P226" s="27">
        <f>IF(A226="","",MONTH(A226))</f>
        <v>8</v>
      </c>
      <c r="Q226" s="27">
        <f>IF(A226="","",YEAR(A226))</f>
        <v>2026</v>
      </c>
      <c r="R226" s="27" t="str">
        <f>IF(L226="","",IF(L226&gt;Config!$B$8,"A cair",IF(N(G226)&gt;=MIN(MAX(1,N(E226)),MAX(0,INT((Config!$B$8-L226)/30)+1)),IF(N(G226)&gt;=MAX(1,N(E226)),"Conferido","Conferido até aqui"),"A conferir")))</f>
        <v>A cair</v>
      </c>
      <c r="S226" s="51">
        <f>IF(R226="A conferir",(Config!$B$8-L226)*1000+N(F226)/1000+ROW()/100000,0)</f>
        <v>0</v>
      </c>
      <c r="T226" s="51">
        <f>IF(R226="A conferir",N(N226),0)</f>
        <v>0</v>
      </c>
      <c r="U226" s="51">
        <f>IF(L226="",0,L226)</f>
        <v>46282.0</v>
      </c>
      <c r="V226" s="51">
        <f>IF(L226="",0,MAX(1,N(E226)))</f>
        <v>2</v>
      </c>
      <c r="W226" s="51">
        <f>IF(K226="",0,K226)</f>
        <v>182.59</v>
      </c>
    </row>
    <row r="227">
      <c r="A227" s="49" t="n">
        <v>46252</v>
      </c>
      <c r="B227" s="41" t="inlineStr">
        <is>
          <t>Mariana Reis</t>
        </is>
      </c>
      <c r="C227" s="41" t="inlineStr">
        <is>
          <t>Avaliação endócrina</t>
        </is>
      </c>
      <c r="D227" s="42" t="inlineStr">
        <is>
          <t>Pix</t>
        </is>
      </c>
      <c r="E227" s="42" t="n"/>
      <c r="F227" s="50" t="n">
        <v>400</v>
      </c>
      <c r="G227" s="42" t="n">
        <v>1</v>
      </c>
      <c r="H227" s="30">
        <f>IF(D227="","",IFERROR(INDEX(Config!$B$12:$B$15,MATCH(IF(AND(D227="Cartão de crédito",N(E227)&gt;1),"Cartão de crédito parcelado",D227),Config!$A$12:$A$15,0)),0)+IF(AND(Config!$B$17="Sim",LEFT(D227,17)="Cartão de crédito"),Config!$B$18*IFERROR(INDEX(Config!$C$12:$C$15,MATCH(IF(AND(D227="Cartão de crédito",N(E227)&gt;1),"Cartão de crédito parcelado",D227),Config!$A$12:$A$15,0)),0)/30*MAX(1,N(E227)),0))</f>
        <v>0</v>
      </c>
      <c r="I227" s="29">
        <f>IF(OR(D227="",F227=""),"",ROUND(F227*H227,2))</f>
        <v>0</v>
      </c>
      <c r="J227" s="29">
        <f>IF(I227="","",F227-I227)</f>
        <v>400</v>
      </c>
      <c r="K227" s="29">
        <f>IF(J227="","",J227/MAX(1,N(E227)))</f>
        <v>400</v>
      </c>
      <c r="L227" s="37">
        <f>IF(OR(D227="",A227=""),"",A227+IF(AND(Config!$B$17="Sim",LEFT(D227,17)="Cartão de crédito"),1,IFERROR(INDEX(Config!$C$12:$C$15,MATCH(IF(AND(D227="Cartão de crédito",N(E227)&gt;1),"Cartão de crédito parcelado",D227),Config!$A$12:$A$15,0)),0)))</f>
        <v>46252.0</v>
      </c>
      <c r="M227" s="37">
        <f>IF(L227="","",IF(AND(Config!$B$17="Sim",LEFT(D227,17)="Cartão de crédito"),L227,L227+30*(MAX(1,N(E227))-1)))</f>
        <v>46252.0</v>
      </c>
      <c r="N227" s="29">
        <f>IF(OR(L227="",K227=""),"",K227*MIN(MAX(1,N(E227)),MAX(0,INT((Config!$B$8-L227)/30)+1)))</f>
        <v>400</v>
      </c>
      <c r="O227" s="29">
        <f>IF(J227="","",J227-N(N227))</f>
        <v>0</v>
      </c>
      <c r="P227" s="27">
        <f>IF(A227="","",MONTH(A227))</f>
        <v>8</v>
      </c>
      <c r="Q227" s="27">
        <f>IF(A227="","",YEAR(A227))</f>
        <v>2026</v>
      </c>
      <c r="R227" s="27" t="str">
        <f>IF(L227="","",IF(L227&gt;Config!$B$8,"A cair",IF(N(G227)&gt;=MIN(MAX(1,N(E227)),MAX(0,INT((Config!$B$8-L227)/30)+1)),IF(N(G227)&gt;=MAX(1,N(E227)),"Conferido","Conferido até aqui"),"A conferir")))</f>
        <v>Conferido</v>
      </c>
      <c r="S227" s="51">
        <f>IF(R227="A conferir",(Config!$B$8-L227)*1000+N(F227)/1000+ROW()/100000,0)</f>
        <v>0</v>
      </c>
      <c r="T227" s="51">
        <f>IF(R227="A conferir",N(N227),0)</f>
        <v>0</v>
      </c>
      <c r="U227" s="51">
        <f>IF(L227="",0,L227)</f>
        <v>46252.0</v>
      </c>
      <c r="V227" s="51">
        <f>IF(L227="",0,MAX(1,N(E227)))</f>
        <v>1</v>
      </c>
      <c r="W227" s="51">
        <f>IF(K227="",0,K227)</f>
        <v>400</v>
      </c>
    </row>
    <row r="228">
      <c r="A228" s="49" t="n">
        <v>46252</v>
      </c>
      <c r="B228" s="41" t="inlineStr">
        <is>
          <t>Fábio Correia</t>
        </is>
      </c>
      <c r="C228" s="41" t="inlineStr">
        <is>
          <t>Consulta</t>
        </is>
      </c>
      <c r="D228" s="42" t="inlineStr">
        <is>
          <t>Pix</t>
        </is>
      </c>
      <c r="E228" s="42" t="n"/>
      <c r="F228" s="50" t="n">
        <v>380</v>
      </c>
      <c r="G228" s="42" t="n">
        <v>1</v>
      </c>
      <c r="H228" s="30">
        <f>IF(D228="","",IFERROR(INDEX(Config!$B$12:$B$15,MATCH(IF(AND(D228="Cartão de crédito",N(E228)&gt;1),"Cartão de crédito parcelado",D228),Config!$A$12:$A$15,0)),0)+IF(AND(Config!$B$17="Sim",LEFT(D228,17)="Cartão de crédito"),Config!$B$18*IFERROR(INDEX(Config!$C$12:$C$15,MATCH(IF(AND(D228="Cartão de crédito",N(E228)&gt;1),"Cartão de crédito parcelado",D228),Config!$A$12:$A$15,0)),0)/30*MAX(1,N(E228)),0))</f>
        <v>0</v>
      </c>
      <c r="I228" s="29">
        <f>IF(OR(D228="",F228=""),"",ROUND(F228*H228,2))</f>
        <v>0</v>
      </c>
      <c r="J228" s="29">
        <f>IF(I228="","",F228-I228)</f>
        <v>380</v>
      </c>
      <c r="K228" s="29">
        <f>IF(J228="","",J228/MAX(1,N(E228)))</f>
        <v>380</v>
      </c>
      <c r="L228" s="37">
        <f>IF(OR(D228="",A228=""),"",A228+IF(AND(Config!$B$17="Sim",LEFT(D228,17)="Cartão de crédito"),1,IFERROR(INDEX(Config!$C$12:$C$15,MATCH(IF(AND(D228="Cartão de crédito",N(E228)&gt;1),"Cartão de crédito parcelado",D228),Config!$A$12:$A$15,0)),0)))</f>
        <v>46252.0</v>
      </c>
      <c r="M228" s="37">
        <f>IF(L228="","",IF(AND(Config!$B$17="Sim",LEFT(D228,17)="Cartão de crédito"),L228,L228+30*(MAX(1,N(E228))-1)))</f>
        <v>46252.0</v>
      </c>
      <c r="N228" s="29">
        <f>IF(OR(L228="",K228=""),"",K228*MIN(MAX(1,N(E228)),MAX(0,INT((Config!$B$8-L228)/30)+1)))</f>
        <v>380</v>
      </c>
      <c r="O228" s="29">
        <f>IF(J228="","",J228-N(N228))</f>
        <v>0</v>
      </c>
      <c r="P228" s="27">
        <f>IF(A228="","",MONTH(A228))</f>
        <v>8</v>
      </c>
      <c r="Q228" s="27">
        <f>IF(A228="","",YEAR(A228))</f>
        <v>2026</v>
      </c>
      <c r="R228" s="27" t="str">
        <f>IF(L228="","",IF(L228&gt;Config!$B$8,"A cair",IF(N(G228)&gt;=MIN(MAX(1,N(E228)),MAX(0,INT((Config!$B$8-L228)/30)+1)),IF(N(G228)&gt;=MAX(1,N(E228)),"Conferido","Conferido até aqui"),"A conferir")))</f>
        <v>Conferido</v>
      </c>
      <c r="S228" s="51">
        <f>IF(R228="A conferir",(Config!$B$8-L228)*1000+N(F228)/1000+ROW()/100000,0)</f>
        <v>0</v>
      </c>
      <c r="T228" s="51">
        <f>IF(R228="A conferir",N(N228),0)</f>
        <v>0</v>
      </c>
      <c r="U228" s="51">
        <f>IF(L228="",0,L228)</f>
        <v>46252.0</v>
      </c>
      <c r="V228" s="51">
        <f>IF(L228="",0,MAX(1,N(E228)))</f>
        <v>1</v>
      </c>
      <c r="W228" s="51">
        <f>IF(K228="",0,K228)</f>
        <v>380</v>
      </c>
    </row>
    <row r="229">
      <c r="A229" s="49" t="n">
        <v>46253</v>
      </c>
      <c r="B229" s="41" t="inlineStr">
        <is>
          <t>Marcelo Santos</t>
        </is>
      </c>
      <c r="C229" s="41" t="inlineStr">
        <is>
          <t>Consulta</t>
        </is>
      </c>
      <c r="D229" s="42" t="inlineStr">
        <is>
          <t>Pix</t>
        </is>
      </c>
      <c r="E229" s="42" t="n"/>
      <c r="F229" s="50" t="n">
        <v>380</v>
      </c>
      <c r="G229" s="42" t="n">
        <v>1</v>
      </c>
      <c r="H229" s="30">
        <f>IF(D229="","",IFERROR(INDEX(Config!$B$12:$B$15,MATCH(IF(AND(D229="Cartão de crédito",N(E229)&gt;1),"Cartão de crédito parcelado",D229),Config!$A$12:$A$15,0)),0)+IF(AND(Config!$B$17="Sim",LEFT(D229,17)="Cartão de crédito"),Config!$B$18*IFERROR(INDEX(Config!$C$12:$C$15,MATCH(IF(AND(D229="Cartão de crédito",N(E229)&gt;1),"Cartão de crédito parcelado",D229),Config!$A$12:$A$15,0)),0)/30*MAX(1,N(E229)),0))</f>
        <v>0</v>
      </c>
      <c r="I229" s="29">
        <f>IF(OR(D229="",F229=""),"",ROUND(F229*H229,2))</f>
        <v>0</v>
      </c>
      <c r="J229" s="29">
        <f>IF(I229="","",F229-I229)</f>
        <v>380</v>
      </c>
      <c r="K229" s="29">
        <f>IF(J229="","",J229/MAX(1,N(E229)))</f>
        <v>380</v>
      </c>
      <c r="L229" s="37">
        <f>IF(OR(D229="",A229=""),"",A229+IF(AND(Config!$B$17="Sim",LEFT(D229,17)="Cartão de crédito"),1,IFERROR(INDEX(Config!$C$12:$C$15,MATCH(IF(AND(D229="Cartão de crédito",N(E229)&gt;1),"Cartão de crédito parcelado",D229),Config!$A$12:$A$15,0)),0)))</f>
        <v>46253.0</v>
      </c>
      <c r="M229" s="37">
        <f>IF(L229="","",IF(AND(Config!$B$17="Sim",LEFT(D229,17)="Cartão de crédito"),L229,L229+30*(MAX(1,N(E229))-1)))</f>
        <v>46253.0</v>
      </c>
      <c r="N229" s="29">
        <f>IF(OR(L229="",K229=""),"",K229*MIN(MAX(1,N(E229)),MAX(0,INT((Config!$B$8-L229)/30)+1)))</f>
        <v>380</v>
      </c>
      <c r="O229" s="29">
        <f>IF(J229="","",J229-N(N229))</f>
        <v>0</v>
      </c>
      <c r="P229" s="27">
        <f>IF(A229="","",MONTH(A229))</f>
        <v>8</v>
      </c>
      <c r="Q229" s="27">
        <f>IF(A229="","",YEAR(A229))</f>
        <v>2026</v>
      </c>
      <c r="R229" s="27" t="str">
        <f>IF(L229="","",IF(L229&gt;Config!$B$8,"A cair",IF(N(G229)&gt;=MIN(MAX(1,N(E229)),MAX(0,INT((Config!$B$8-L229)/30)+1)),IF(N(G229)&gt;=MAX(1,N(E229)),"Conferido","Conferido até aqui"),"A conferir")))</f>
        <v>Conferido</v>
      </c>
      <c r="S229" s="51">
        <f>IF(R229="A conferir",(Config!$B$8-L229)*1000+N(F229)/1000+ROW()/100000,0)</f>
        <v>0</v>
      </c>
      <c r="T229" s="51">
        <f>IF(R229="A conferir",N(N229),0)</f>
        <v>0</v>
      </c>
      <c r="U229" s="51">
        <f>IF(L229="",0,L229)</f>
        <v>46253.0</v>
      </c>
      <c r="V229" s="51">
        <f>IF(L229="",0,MAX(1,N(E229)))</f>
        <v>1</v>
      </c>
      <c r="W229" s="51">
        <f>IF(K229="",0,K229)</f>
        <v>380</v>
      </c>
    </row>
    <row r="230">
      <c r="A230" s="49" t="n">
        <v>46253</v>
      </c>
      <c r="B230" s="41" t="inlineStr">
        <is>
          <t>Gisele Xavier</t>
        </is>
      </c>
      <c r="C230" s="41" t="inlineStr">
        <is>
          <t>Consulta</t>
        </is>
      </c>
      <c r="D230" s="42" t="inlineStr">
        <is>
          <t>Cartão de débito</t>
        </is>
      </c>
      <c r="E230" s="42" t="n"/>
      <c r="F230" s="50" t="n">
        <v>380</v>
      </c>
      <c r="G230" s="42" t="n">
        <v>1</v>
      </c>
      <c r="H230" s="30">
        <f>IF(D230="","",IFERROR(INDEX(Config!$B$12:$B$15,MATCH(IF(AND(D230="Cartão de crédito",N(E230)&gt;1),"Cartão de crédito parcelado",D230),Config!$A$12:$A$15,0)),0)+IF(AND(Config!$B$17="Sim",LEFT(D230,17)="Cartão de crédito"),Config!$B$18*IFERROR(INDEX(Config!$C$12:$C$15,MATCH(IF(AND(D230="Cartão de crédito",N(E230)&gt;1),"Cartão de crédito parcelado",D230),Config!$A$12:$A$15,0)),0)/30*MAX(1,N(E230)),0))</f>
        <v>0.015</v>
      </c>
      <c r="I230" s="29">
        <f>IF(OR(D230="",F230=""),"",ROUND(F230*H230,2))</f>
        <v>5.7</v>
      </c>
      <c r="J230" s="29">
        <f>IF(I230="","",F230-I230)</f>
        <v>374.3</v>
      </c>
      <c r="K230" s="29">
        <f>IF(J230="","",J230/MAX(1,N(E230)))</f>
        <v>374.3</v>
      </c>
      <c r="L230" s="37">
        <f>IF(OR(D230="",A230=""),"",A230+IF(AND(Config!$B$17="Sim",LEFT(D230,17)="Cartão de crédito"),1,IFERROR(INDEX(Config!$C$12:$C$15,MATCH(IF(AND(D230="Cartão de crédito",N(E230)&gt;1),"Cartão de crédito parcelado",D230),Config!$A$12:$A$15,0)),0)))</f>
        <v>46254.0</v>
      </c>
      <c r="M230" s="37">
        <f>IF(L230="","",IF(AND(Config!$B$17="Sim",LEFT(D230,17)="Cartão de crédito"),L230,L230+30*(MAX(1,N(E230))-1)))</f>
        <v>46254.0</v>
      </c>
      <c r="N230" s="29">
        <f>IF(OR(L230="",K230=""),"",K230*MIN(MAX(1,N(E230)),MAX(0,INT((Config!$B$8-L230)/30)+1)))</f>
        <v>374.3</v>
      </c>
      <c r="O230" s="29">
        <f>IF(J230="","",J230-N(N230))</f>
        <v>0</v>
      </c>
      <c r="P230" s="27">
        <f>IF(A230="","",MONTH(A230))</f>
        <v>8</v>
      </c>
      <c r="Q230" s="27">
        <f>IF(A230="","",YEAR(A230))</f>
        <v>2026</v>
      </c>
      <c r="R230" s="27" t="str">
        <f>IF(L230="","",IF(L230&gt;Config!$B$8,"A cair",IF(N(G230)&gt;=MIN(MAX(1,N(E230)),MAX(0,INT((Config!$B$8-L230)/30)+1)),IF(N(G230)&gt;=MAX(1,N(E230)),"Conferido","Conferido até aqui"),"A conferir")))</f>
        <v>Conferido</v>
      </c>
      <c r="S230" s="51">
        <f>IF(R230="A conferir",(Config!$B$8-L230)*1000+N(F230)/1000+ROW()/100000,0)</f>
        <v>0</v>
      </c>
      <c r="T230" s="51">
        <f>IF(R230="A conferir",N(N230),0)</f>
        <v>0</v>
      </c>
      <c r="U230" s="51">
        <f>IF(L230="",0,L230)</f>
        <v>46254.0</v>
      </c>
      <c r="V230" s="51">
        <f>IF(L230="",0,MAX(1,N(E230)))</f>
        <v>1</v>
      </c>
      <c r="W230" s="51">
        <f>IF(K230="",0,K230)</f>
        <v>374.3</v>
      </c>
    </row>
    <row r="231">
      <c r="A231" s="49" t="n">
        <v>46254</v>
      </c>
      <c r="B231" s="41" t="inlineStr">
        <is>
          <t>Regina Macedo</t>
        </is>
      </c>
      <c r="C231" s="41" t="inlineStr">
        <is>
          <t>Consulta</t>
        </is>
      </c>
      <c r="D231" s="42" t="inlineStr">
        <is>
          <t>Pix</t>
        </is>
      </c>
      <c r="E231" s="42" t="n"/>
      <c r="F231" s="50" t="n">
        <v>380</v>
      </c>
      <c r="G231" s="42" t="n">
        <v>1</v>
      </c>
      <c r="H231" s="30">
        <f>IF(D231="","",IFERROR(INDEX(Config!$B$12:$B$15,MATCH(IF(AND(D231="Cartão de crédito",N(E231)&gt;1),"Cartão de crédito parcelado",D231),Config!$A$12:$A$15,0)),0)+IF(AND(Config!$B$17="Sim",LEFT(D231,17)="Cartão de crédito"),Config!$B$18*IFERROR(INDEX(Config!$C$12:$C$15,MATCH(IF(AND(D231="Cartão de crédito",N(E231)&gt;1),"Cartão de crédito parcelado",D231),Config!$A$12:$A$15,0)),0)/30*MAX(1,N(E231)),0))</f>
        <v>0</v>
      </c>
      <c r="I231" s="29">
        <f>IF(OR(D231="",F231=""),"",ROUND(F231*H231,2))</f>
        <v>0</v>
      </c>
      <c r="J231" s="29">
        <f>IF(I231="","",F231-I231)</f>
        <v>380</v>
      </c>
      <c r="K231" s="29">
        <f>IF(J231="","",J231/MAX(1,N(E231)))</f>
        <v>380</v>
      </c>
      <c r="L231" s="37">
        <f>IF(OR(D231="",A231=""),"",A231+IF(AND(Config!$B$17="Sim",LEFT(D231,17)="Cartão de crédito"),1,IFERROR(INDEX(Config!$C$12:$C$15,MATCH(IF(AND(D231="Cartão de crédito",N(E231)&gt;1),"Cartão de crédito parcelado",D231),Config!$A$12:$A$15,0)),0)))</f>
        <v>46254.0</v>
      </c>
      <c r="M231" s="37">
        <f>IF(L231="","",IF(AND(Config!$B$17="Sim",LEFT(D231,17)="Cartão de crédito"),L231,L231+30*(MAX(1,N(E231))-1)))</f>
        <v>46254.0</v>
      </c>
      <c r="N231" s="29">
        <f>IF(OR(L231="",K231=""),"",K231*MIN(MAX(1,N(E231)),MAX(0,INT((Config!$B$8-L231)/30)+1)))</f>
        <v>380</v>
      </c>
      <c r="O231" s="29">
        <f>IF(J231="","",J231-N(N231))</f>
        <v>0</v>
      </c>
      <c r="P231" s="27">
        <f>IF(A231="","",MONTH(A231))</f>
        <v>8</v>
      </c>
      <c r="Q231" s="27">
        <f>IF(A231="","",YEAR(A231))</f>
        <v>2026</v>
      </c>
      <c r="R231" s="27" t="str">
        <f>IF(L231="","",IF(L231&gt;Config!$B$8,"A cair",IF(N(G231)&gt;=MIN(MAX(1,N(E231)),MAX(0,INT((Config!$B$8-L231)/30)+1)),IF(N(G231)&gt;=MAX(1,N(E231)),"Conferido","Conferido até aqui"),"A conferir")))</f>
        <v>Conferido</v>
      </c>
      <c r="S231" s="51">
        <f>IF(R231="A conferir",(Config!$B$8-L231)*1000+N(F231)/1000+ROW()/100000,0)</f>
        <v>0</v>
      </c>
      <c r="T231" s="51">
        <f>IF(R231="A conferir",N(N231),0)</f>
        <v>0</v>
      </c>
      <c r="U231" s="51">
        <f>IF(L231="",0,L231)</f>
        <v>46254.0</v>
      </c>
      <c r="V231" s="51">
        <f>IF(L231="",0,MAX(1,N(E231)))</f>
        <v>1</v>
      </c>
      <c r="W231" s="51">
        <f>IF(K231="",0,K231)</f>
        <v>380</v>
      </c>
    </row>
    <row r="232">
      <c r="A232" s="49" t="n">
        <v>46254</v>
      </c>
      <c r="B232" s="41" t="inlineStr">
        <is>
          <t>Viviane Ribeiro</t>
        </is>
      </c>
      <c r="C232" s="41" t="inlineStr">
        <is>
          <t>Teste ergométrico</t>
        </is>
      </c>
      <c r="D232" s="42" t="inlineStr">
        <is>
          <t>Pix</t>
        </is>
      </c>
      <c r="E232" s="42" t="n"/>
      <c r="F232" s="50" t="n">
        <v>450</v>
      </c>
      <c r="G232" s="42" t="n">
        <v>1</v>
      </c>
      <c r="H232" s="30">
        <f>IF(D232="","",IFERROR(INDEX(Config!$B$12:$B$15,MATCH(IF(AND(D232="Cartão de crédito",N(E232)&gt;1),"Cartão de crédito parcelado",D232),Config!$A$12:$A$15,0)),0)+IF(AND(Config!$B$17="Sim",LEFT(D232,17)="Cartão de crédito"),Config!$B$18*IFERROR(INDEX(Config!$C$12:$C$15,MATCH(IF(AND(D232="Cartão de crédito",N(E232)&gt;1),"Cartão de crédito parcelado",D232),Config!$A$12:$A$15,0)),0)/30*MAX(1,N(E232)),0))</f>
        <v>0</v>
      </c>
      <c r="I232" s="29">
        <f>IF(OR(D232="",F232=""),"",ROUND(F232*H232,2))</f>
        <v>0</v>
      </c>
      <c r="J232" s="29">
        <f>IF(I232="","",F232-I232)</f>
        <v>450</v>
      </c>
      <c r="K232" s="29">
        <f>IF(J232="","",J232/MAX(1,N(E232)))</f>
        <v>450</v>
      </c>
      <c r="L232" s="37">
        <f>IF(OR(D232="",A232=""),"",A232+IF(AND(Config!$B$17="Sim",LEFT(D232,17)="Cartão de crédito"),1,IFERROR(INDEX(Config!$C$12:$C$15,MATCH(IF(AND(D232="Cartão de crédito",N(E232)&gt;1),"Cartão de crédito parcelado",D232),Config!$A$12:$A$15,0)),0)))</f>
        <v>46254.0</v>
      </c>
      <c r="M232" s="37">
        <f>IF(L232="","",IF(AND(Config!$B$17="Sim",LEFT(D232,17)="Cartão de crédito"),L232,L232+30*(MAX(1,N(E232))-1)))</f>
        <v>46254.0</v>
      </c>
      <c r="N232" s="29">
        <f>IF(OR(L232="",K232=""),"",K232*MIN(MAX(1,N(E232)),MAX(0,INT((Config!$B$8-L232)/30)+1)))</f>
        <v>450</v>
      </c>
      <c r="O232" s="29">
        <f>IF(J232="","",J232-N(N232))</f>
        <v>0</v>
      </c>
      <c r="P232" s="27">
        <f>IF(A232="","",MONTH(A232))</f>
        <v>8</v>
      </c>
      <c r="Q232" s="27">
        <f>IF(A232="","",YEAR(A232))</f>
        <v>2026</v>
      </c>
      <c r="R232" s="27" t="str">
        <f>IF(L232="","",IF(L232&gt;Config!$B$8,"A cair",IF(N(G232)&gt;=MIN(MAX(1,N(E232)),MAX(0,INT((Config!$B$8-L232)/30)+1)),IF(N(G232)&gt;=MAX(1,N(E232)),"Conferido","Conferido até aqui"),"A conferir")))</f>
        <v>Conferido</v>
      </c>
      <c r="S232" s="51">
        <f>IF(R232="A conferir",(Config!$B$8-L232)*1000+N(F232)/1000+ROW()/100000,0)</f>
        <v>0</v>
      </c>
      <c r="T232" s="51">
        <f>IF(R232="A conferir",N(N232),0)</f>
        <v>0</v>
      </c>
      <c r="U232" s="51">
        <f>IF(L232="",0,L232)</f>
        <v>46254.0</v>
      </c>
      <c r="V232" s="51">
        <f>IF(L232="",0,MAX(1,N(E232)))</f>
        <v>1</v>
      </c>
      <c r="W232" s="51">
        <f>IF(K232="",0,K232)</f>
        <v>450</v>
      </c>
    </row>
    <row r="233">
      <c r="A233" s="49" t="n">
        <v>46254</v>
      </c>
      <c r="B233" s="41" t="inlineStr">
        <is>
          <t>Patrícia Dias</t>
        </is>
      </c>
      <c r="C233" s="41" t="inlineStr">
        <is>
          <t>Avaliação endócrina</t>
        </is>
      </c>
      <c r="D233" s="42" t="inlineStr">
        <is>
          <t>Cartão de crédito</t>
        </is>
      </c>
      <c r="E233" s="42" t="n">
        <v>2</v>
      </c>
      <c r="F233" s="50" t="n">
        <v>400</v>
      </c>
      <c r="G233" s="42" t="n"/>
      <c r="H233" s="30">
        <f>IF(D233="","",IFERROR(INDEX(Config!$B$12:$B$15,MATCH(IF(AND(D233="Cartão de crédito",N(E233)&gt;1),"Cartão de crédito parcelado",D233),Config!$A$12:$A$15,0)),0)+IF(AND(Config!$B$17="Sim",LEFT(D233,17)="Cartão de crédito"),Config!$B$18*IFERROR(INDEX(Config!$C$12:$C$15,MATCH(IF(AND(D233="Cartão de crédito",N(E233)&gt;1),"Cartão de crédito parcelado",D233),Config!$A$12:$A$15,0)),0)/30*MAX(1,N(E233)),0))</f>
        <v>0.039</v>
      </c>
      <c r="I233" s="29">
        <f>IF(OR(D233="",F233=""),"",ROUND(F233*H233,2))</f>
        <v>15.6</v>
      </c>
      <c r="J233" s="29">
        <f>IF(I233="","",F233-I233)</f>
        <v>384.4</v>
      </c>
      <c r="K233" s="29">
        <f>IF(J233="","",J233/MAX(1,N(E233)))</f>
        <v>192.2</v>
      </c>
      <c r="L233" s="37">
        <f>IF(OR(D233="",A233=""),"",A233+IF(AND(Config!$B$17="Sim",LEFT(D233,17)="Cartão de crédito"),1,IFERROR(INDEX(Config!$C$12:$C$15,MATCH(IF(AND(D233="Cartão de crédito",N(E233)&gt;1),"Cartão de crédito parcelado",D233),Config!$A$12:$A$15,0)),0)))</f>
        <v>46284.0</v>
      </c>
      <c r="M233" s="37">
        <f>IF(L233="","",IF(AND(Config!$B$17="Sim",LEFT(D233,17)="Cartão de crédito"),L233,L233+30*(MAX(1,N(E233))-1)))</f>
        <v>46314.0</v>
      </c>
      <c r="N233" s="29">
        <f>IF(OR(L233="",K233=""),"",K233*MIN(MAX(1,N(E233)),MAX(0,INT((Config!$B$8-L233)/30)+1)))</f>
        <v>0</v>
      </c>
      <c r="O233" s="29">
        <f>IF(J233="","",J233-N(N233))</f>
        <v>384.4</v>
      </c>
      <c r="P233" s="27">
        <f>IF(A233="","",MONTH(A233))</f>
        <v>8</v>
      </c>
      <c r="Q233" s="27">
        <f>IF(A233="","",YEAR(A233))</f>
        <v>2026</v>
      </c>
      <c r="R233" s="27" t="str">
        <f>IF(L233="","",IF(L233&gt;Config!$B$8,"A cair",IF(N(G233)&gt;=MIN(MAX(1,N(E233)),MAX(0,INT((Config!$B$8-L233)/30)+1)),IF(N(G233)&gt;=MAX(1,N(E233)),"Conferido","Conferido até aqui"),"A conferir")))</f>
        <v>A cair</v>
      </c>
      <c r="S233" s="51">
        <f>IF(R233="A conferir",(Config!$B$8-L233)*1000+N(F233)/1000+ROW()/100000,0)</f>
        <v>0</v>
      </c>
      <c r="T233" s="51">
        <f>IF(R233="A conferir",N(N233),0)</f>
        <v>0</v>
      </c>
      <c r="U233" s="51">
        <f>IF(L233="",0,L233)</f>
        <v>46284.0</v>
      </c>
      <c r="V233" s="51">
        <f>IF(L233="",0,MAX(1,N(E233)))</f>
        <v>2</v>
      </c>
      <c r="W233" s="51">
        <f>IF(K233="",0,K233)</f>
        <v>192.2</v>
      </c>
    </row>
    <row r="234">
      <c r="A234" s="49" t="n">
        <v>46254</v>
      </c>
      <c r="B234" s="41" t="inlineStr">
        <is>
          <t>Wagner Costa</t>
        </is>
      </c>
      <c r="C234" s="41" t="inlineStr">
        <is>
          <t>Consulta</t>
        </is>
      </c>
      <c r="D234" s="42" t="inlineStr">
        <is>
          <t>Pix</t>
        </is>
      </c>
      <c r="E234" s="42" t="n"/>
      <c r="F234" s="50" t="n">
        <v>380</v>
      </c>
      <c r="G234" s="42" t="n">
        <v>1</v>
      </c>
      <c r="H234" s="30">
        <f>IF(D234="","",IFERROR(INDEX(Config!$B$12:$B$15,MATCH(IF(AND(D234="Cartão de crédito",N(E234)&gt;1),"Cartão de crédito parcelado",D234),Config!$A$12:$A$15,0)),0)+IF(AND(Config!$B$17="Sim",LEFT(D234,17)="Cartão de crédito"),Config!$B$18*IFERROR(INDEX(Config!$C$12:$C$15,MATCH(IF(AND(D234="Cartão de crédito",N(E234)&gt;1),"Cartão de crédito parcelado",D234),Config!$A$12:$A$15,0)),0)/30*MAX(1,N(E234)),0))</f>
        <v>0</v>
      </c>
      <c r="I234" s="29">
        <f>IF(OR(D234="",F234=""),"",ROUND(F234*H234,2))</f>
        <v>0</v>
      </c>
      <c r="J234" s="29">
        <f>IF(I234="","",F234-I234)</f>
        <v>380</v>
      </c>
      <c r="K234" s="29">
        <f>IF(J234="","",J234/MAX(1,N(E234)))</f>
        <v>380</v>
      </c>
      <c r="L234" s="37">
        <f>IF(OR(D234="",A234=""),"",A234+IF(AND(Config!$B$17="Sim",LEFT(D234,17)="Cartão de crédito"),1,IFERROR(INDEX(Config!$C$12:$C$15,MATCH(IF(AND(D234="Cartão de crédito",N(E234)&gt;1),"Cartão de crédito parcelado",D234),Config!$A$12:$A$15,0)),0)))</f>
        <v>46254.0</v>
      </c>
      <c r="M234" s="37">
        <f>IF(L234="","",IF(AND(Config!$B$17="Sim",LEFT(D234,17)="Cartão de crédito"),L234,L234+30*(MAX(1,N(E234))-1)))</f>
        <v>46254.0</v>
      </c>
      <c r="N234" s="29">
        <f>IF(OR(L234="",K234=""),"",K234*MIN(MAX(1,N(E234)),MAX(0,INT((Config!$B$8-L234)/30)+1)))</f>
        <v>380</v>
      </c>
      <c r="O234" s="29">
        <f>IF(J234="","",J234-N(N234))</f>
        <v>0</v>
      </c>
      <c r="P234" s="27">
        <f>IF(A234="","",MONTH(A234))</f>
        <v>8</v>
      </c>
      <c r="Q234" s="27">
        <f>IF(A234="","",YEAR(A234))</f>
        <v>2026</v>
      </c>
      <c r="R234" s="27" t="str">
        <f>IF(L234="","",IF(L234&gt;Config!$B$8,"A cair",IF(N(G234)&gt;=MIN(MAX(1,N(E234)),MAX(0,INT((Config!$B$8-L234)/30)+1)),IF(N(G234)&gt;=MAX(1,N(E234)),"Conferido","Conferido até aqui"),"A conferir")))</f>
        <v>Conferido</v>
      </c>
      <c r="S234" s="51">
        <f>IF(R234="A conferir",(Config!$B$8-L234)*1000+N(F234)/1000+ROW()/100000,0)</f>
        <v>0</v>
      </c>
      <c r="T234" s="51">
        <f>IF(R234="A conferir",N(N234),0)</f>
        <v>0</v>
      </c>
      <c r="U234" s="51">
        <f>IF(L234="",0,L234)</f>
        <v>46254.0</v>
      </c>
      <c r="V234" s="51">
        <f>IF(L234="",0,MAX(1,N(E234)))</f>
        <v>1</v>
      </c>
      <c r="W234" s="51">
        <f>IF(K234="",0,K234)</f>
        <v>380</v>
      </c>
    </row>
    <row r="235">
      <c r="A235" s="49" t="n">
        <v>46254</v>
      </c>
      <c r="B235" s="41" t="inlineStr">
        <is>
          <t>Regina Teixeira</t>
        </is>
      </c>
      <c r="C235" s="41" t="inlineStr">
        <is>
          <t>Consulta</t>
        </is>
      </c>
      <c r="D235" s="42" t="inlineStr">
        <is>
          <t>Pix</t>
        </is>
      </c>
      <c r="E235" s="42" t="n"/>
      <c r="F235" s="50" t="n">
        <v>380</v>
      </c>
      <c r="G235" s="42" t="n">
        <v>1</v>
      </c>
      <c r="H235" s="30">
        <f>IF(D235="","",IFERROR(INDEX(Config!$B$12:$B$15,MATCH(IF(AND(D235="Cartão de crédito",N(E235)&gt;1),"Cartão de crédito parcelado",D235),Config!$A$12:$A$15,0)),0)+IF(AND(Config!$B$17="Sim",LEFT(D235,17)="Cartão de crédito"),Config!$B$18*IFERROR(INDEX(Config!$C$12:$C$15,MATCH(IF(AND(D235="Cartão de crédito",N(E235)&gt;1),"Cartão de crédito parcelado",D235),Config!$A$12:$A$15,0)),0)/30*MAX(1,N(E235)),0))</f>
        <v>0</v>
      </c>
      <c r="I235" s="29">
        <f>IF(OR(D235="",F235=""),"",ROUND(F235*H235,2))</f>
        <v>0</v>
      </c>
      <c r="J235" s="29">
        <f>IF(I235="","",F235-I235)</f>
        <v>380</v>
      </c>
      <c r="K235" s="29">
        <f>IF(J235="","",J235/MAX(1,N(E235)))</f>
        <v>380</v>
      </c>
      <c r="L235" s="37">
        <f>IF(OR(D235="",A235=""),"",A235+IF(AND(Config!$B$17="Sim",LEFT(D235,17)="Cartão de crédito"),1,IFERROR(INDEX(Config!$C$12:$C$15,MATCH(IF(AND(D235="Cartão de crédito",N(E235)&gt;1),"Cartão de crédito parcelado",D235),Config!$A$12:$A$15,0)),0)))</f>
        <v>46254.0</v>
      </c>
      <c r="M235" s="37">
        <f>IF(L235="","",IF(AND(Config!$B$17="Sim",LEFT(D235,17)="Cartão de crédito"),L235,L235+30*(MAX(1,N(E235))-1)))</f>
        <v>46254.0</v>
      </c>
      <c r="N235" s="29">
        <f>IF(OR(L235="",K235=""),"",K235*MIN(MAX(1,N(E235)),MAX(0,INT((Config!$B$8-L235)/30)+1)))</f>
        <v>380</v>
      </c>
      <c r="O235" s="29">
        <f>IF(J235="","",J235-N(N235))</f>
        <v>0</v>
      </c>
      <c r="P235" s="27">
        <f>IF(A235="","",MONTH(A235))</f>
        <v>8</v>
      </c>
      <c r="Q235" s="27">
        <f>IF(A235="","",YEAR(A235))</f>
        <v>2026</v>
      </c>
      <c r="R235" s="27" t="str">
        <f>IF(L235="","",IF(L235&gt;Config!$B$8,"A cair",IF(N(G235)&gt;=MIN(MAX(1,N(E235)),MAX(0,INT((Config!$B$8-L235)/30)+1)),IF(N(G235)&gt;=MAX(1,N(E235)),"Conferido","Conferido até aqui"),"A conferir")))</f>
        <v>Conferido</v>
      </c>
      <c r="S235" s="51">
        <f>IF(R235="A conferir",(Config!$B$8-L235)*1000+N(F235)/1000+ROW()/100000,0)</f>
        <v>0</v>
      </c>
      <c r="T235" s="51">
        <f>IF(R235="A conferir",N(N235),0)</f>
        <v>0</v>
      </c>
      <c r="U235" s="51">
        <f>IF(L235="",0,L235)</f>
        <v>46254.0</v>
      </c>
      <c r="V235" s="51">
        <f>IF(L235="",0,MAX(1,N(E235)))</f>
        <v>1</v>
      </c>
      <c r="W235" s="51">
        <f>IF(K235="",0,K235)</f>
        <v>380</v>
      </c>
    </row>
    <row r="236">
      <c r="A236" s="49" t="n">
        <v>46254</v>
      </c>
      <c r="B236" s="41" t="inlineStr">
        <is>
          <t>Beatriz Monteiro</t>
        </is>
      </c>
      <c r="C236" s="41" t="inlineStr">
        <is>
          <t>Avaliação endócrina</t>
        </is>
      </c>
      <c r="D236" s="42" t="inlineStr">
        <is>
          <t>Cartão de débito</t>
        </is>
      </c>
      <c r="E236" s="42" t="n"/>
      <c r="F236" s="50" t="n">
        <v>400</v>
      </c>
      <c r="G236" s="42" t="n">
        <v>1</v>
      </c>
      <c r="H236" s="30">
        <f>IF(D236="","",IFERROR(INDEX(Config!$B$12:$B$15,MATCH(IF(AND(D236="Cartão de crédito",N(E236)&gt;1),"Cartão de crédito parcelado",D236),Config!$A$12:$A$15,0)),0)+IF(AND(Config!$B$17="Sim",LEFT(D236,17)="Cartão de crédito"),Config!$B$18*IFERROR(INDEX(Config!$C$12:$C$15,MATCH(IF(AND(D236="Cartão de crédito",N(E236)&gt;1),"Cartão de crédito parcelado",D236),Config!$A$12:$A$15,0)),0)/30*MAX(1,N(E236)),0))</f>
        <v>0.015</v>
      </c>
      <c r="I236" s="29">
        <f>IF(OR(D236="",F236=""),"",ROUND(F236*H236,2))</f>
        <v>6</v>
      </c>
      <c r="J236" s="29">
        <f>IF(I236="","",F236-I236)</f>
        <v>394</v>
      </c>
      <c r="K236" s="29">
        <f>IF(J236="","",J236/MAX(1,N(E236)))</f>
        <v>394</v>
      </c>
      <c r="L236" s="37">
        <f>IF(OR(D236="",A236=""),"",A236+IF(AND(Config!$B$17="Sim",LEFT(D236,17)="Cartão de crédito"),1,IFERROR(INDEX(Config!$C$12:$C$15,MATCH(IF(AND(D236="Cartão de crédito",N(E236)&gt;1),"Cartão de crédito parcelado",D236),Config!$A$12:$A$15,0)),0)))</f>
        <v>46255.0</v>
      </c>
      <c r="M236" s="37">
        <f>IF(L236="","",IF(AND(Config!$B$17="Sim",LEFT(D236,17)="Cartão de crédito"),L236,L236+30*(MAX(1,N(E236))-1)))</f>
        <v>46255.0</v>
      </c>
      <c r="N236" s="29">
        <f>IF(OR(L236="",K236=""),"",K236*MIN(MAX(1,N(E236)),MAX(0,INT((Config!$B$8-L236)/30)+1)))</f>
        <v>394</v>
      </c>
      <c r="O236" s="29">
        <f>IF(J236="","",J236-N(N236))</f>
        <v>0</v>
      </c>
      <c r="P236" s="27">
        <f>IF(A236="","",MONTH(A236))</f>
        <v>8</v>
      </c>
      <c r="Q236" s="27">
        <f>IF(A236="","",YEAR(A236))</f>
        <v>2026</v>
      </c>
      <c r="R236" s="27" t="str">
        <f>IF(L236="","",IF(L236&gt;Config!$B$8,"A cair",IF(N(G236)&gt;=MIN(MAX(1,N(E236)),MAX(0,INT((Config!$B$8-L236)/30)+1)),IF(N(G236)&gt;=MAX(1,N(E236)),"Conferido","Conferido até aqui"),"A conferir")))</f>
        <v>Conferido</v>
      </c>
      <c r="S236" s="51">
        <f>IF(R236="A conferir",(Config!$B$8-L236)*1000+N(F236)/1000+ROW()/100000,0)</f>
        <v>0</v>
      </c>
      <c r="T236" s="51">
        <f>IF(R236="A conferir",N(N236),0)</f>
        <v>0</v>
      </c>
      <c r="U236" s="51">
        <f>IF(L236="",0,L236)</f>
        <v>46255.0</v>
      </c>
      <c r="V236" s="51">
        <f>IF(L236="",0,MAX(1,N(E236)))</f>
        <v>1</v>
      </c>
      <c r="W236" s="51">
        <f>IF(K236="",0,K236)</f>
        <v>394</v>
      </c>
    </row>
    <row r="237">
      <c r="A237" s="49" t="n">
        <v>46254</v>
      </c>
      <c r="B237" s="41" t="inlineStr">
        <is>
          <t>Regina Teixeira</t>
        </is>
      </c>
      <c r="C237" s="41" t="inlineStr">
        <is>
          <t>ECG</t>
        </is>
      </c>
      <c r="D237" s="42" t="inlineStr">
        <is>
          <t>Pix</t>
        </is>
      </c>
      <c r="E237" s="42" t="n"/>
      <c r="F237" s="50" t="n">
        <v>130</v>
      </c>
      <c r="G237" s="42" t="n">
        <v>1</v>
      </c>
      <c r="H237" s="30">
        <f>IF(D237="","",IFERROR(INDEX(Config!$B$12:$B$15,MATCH(IF(AND(D237="Cartão de crédito",N(E237)&gt;1),"Cartão de crédito parcelado",D237),Config!$A$12:$A$15,0)),0)+IF(AND(Config!$B$17="Sim",LEFT(D237,17)="Cartão de crédito"),Config!$B$18*IFERROR(INDEX(Config!$C$12:$C$15,MATCH(IF(AND(D237="Cartão de crédito",N(E237)&gt;1),"Cartão de crédito parcelado",D237),Config!$A$12:$A$15,0)),0)/30*MAX(1,N(E237)),0))</f>
        <v>0</v>
      </c>
      <c r="I237" s="29">
        <f>IF(OR(D237="",F237=""),"",ROUND(F237*H237,2))</f>
        <v>0</v>
      </c>
      <c r="J237" s="29">
        <f>IF(I237="","",F237-I237)</f>
        <v>130</v>
      </c>
      <c r="K237" s="29">
        <f>IF(J237="","",J237/MAX(1,N(E237)))</f>
        <v>130</v>
      </c>
      <c r="L237" s="37">
        <f>IF(OR(D237="",A237=""),"",A237+IF(AND(Config!$B$17="Sim",LEFT(D237,17)="Cartão de crédito"),1,IFERROR(INDEX(Config!$C$12:$C$15,MATCH(IF(AND(D237="Cartão de crédito",N(E237)&gt;1),"Cartão de crédito parcelado",D237),Config!$A$12:$A$15,0)),0)))</f>
        <v>46254.0</v>
      </c>
      <c r="M237" s="37">
        <f>IF(L237="","",IF(AND(Config!$B$17="Sim",LEFT(D237,17)="Cartão de crédito"),L237,L237+30*(MAX(1,N(E237))-1)))</f>
        <v>46254.0</v>
      </c>
      <c r="N237" s="29">
        <f>IF(OR(L237="",K237=""),"",K237*MIN(MAX(1,N(E237)),MAX(0,INT((Config!$B$8-L237)/30)+1)))</f>
        <v>130</v>
      </c>
      <c r="O237" s="29">
        <f>IF(J237="","",J237-N(N237))</f>
        <v>0</v>
      </c>
      <c r="P237" s="27">
        <f>IF(A237="","",MONTH(A237))</f>
        <v>8</v>
      </c>
      <c r="Q237" s="27">
        <f>IF(A237="","",YEAR(A237))</f>
        <v>2026</v>
      </c>
      <c r="R237" s="27" t="str">
        <f>IF(L237="","",IF(L237&gt;Config!$B$8,"A cair",IF(N(G237)&gt;=MIN(MAX(1,N(E237)),MAX(0,INT((Config!$B$8-L237)/30)+1)),IF(N(G237)&gt;=MAX(1,N(E237)),"Conferido","Conferido até aqui"),"A conferir")))</f>
        <v>Conferido</v>
      </c>
      <c r="S237" s="51">
        <f>IF(R237="A conferir",(Config!$B$8-L237)*1000+N(F237)/1000+ROW()/100000,0)</f>
        <v>0</v>
      </c>
      <c r="T237" s="51">
        <f>IF(R237="A conferir",N(N237),0)</f>
        <v>0</v>
      </c>
      <c r="U237" s="51">
        <f>IF(L237="",0,L237)</f>
        <v>46254.0</v>
      </c>
      <c r="V237" s="51">
        <f>IF(L237="",0,MAX(1,N(E237)))</f>
        <v>1</v>
      </c>
      <c r="W237" s="51">
        <f>IF(K237="",0,K237)</f>
        <v>130</v>
      </c>
    </row>
    <row r="238">
      <c r="A238" s="49" t="n">
        <v>46254</v>
      </c>
      <c r="B238" s="41" t="inlineStr">
        <is>
          <t>Isabela Xavier</t>
        </is>
      </c>
      <c r="C238" s="41" t="inlineStr">
        <is>
          <t>Avaliação endócrina</t>
        </is>
      </c>
      <c r="D238" s="42" t="inlineStr">
        <is>
          <t>Cartão de crédito</t>
        </is>
      </c>
      <c r="E238" s="42" t="n"/>
      <c r="F238" s="50" t="n">
        <v>400</v>
      </c>
      <c r="G238" s="42" t="n"/>
      <c r="H238" s="30">
        <f>IF(D238="","",IFERROR(INDEX(Config!$B$12:$B$15,MATCH(IF(AND(D238="Cartão de crédito",N(E238)&gt;1),"Cartão de crédito parcelado",D238),Config!$A$12:$A$15,0)),0)+IF(AND(Config!$B$17="Sim",LEFT(D238,17)="Cartão de crédito"),Config!$B$18*IFERROR(INDEX(Config!$C$12:$C$15,MATCH(IF(AND(D238="Cartão de crédito",N(E238)&gt;1),"Cartão de crédito parcelado",D238),Config!$A$12:$A$15,0)),0)/30*MAX(1,N(E238)),0))</f>
        <v>0.032</v>
      </c>
      <c r="I238" s="29">
        <f>IF(OR(D238="",F238=""),"",ROUND(F238*H238,2))</f>
        <v>12.8</v>
      </c>
      <c r="J238" s="29">
        <f>IF(I238="","",F238-I238)</f>
        <v>387.2</v>
      </c>
      <c r="K238" s="29">
        <f>IF(J238="","",J238/MAX(1,N(E238)))</f>
        <v>387.2</v>
      </c>
      <c r="L238" s="37">
        <f>IF(OR(D238="",A238=""),"",A238+IF(AND(Config!$B$17="Sim",LEFT(D238,17)="Cartão de crédito"),1,IFERROR(INDEX(Config!$C$12:$C$15,MATCH(IF(AND(D238="Cartão de crédito",N(E238)&gt;1),"Cartão de crédito parcelado",D238),Config!$A$12:$A$15,0)),0)))</f>
        <v>46284.0</v>
      </c>
      <c r="M238" s="37">
        <f>IF(L238="","",IF(AND(Config!$B$17="Sim",LEFT(D238,17)="Cartão de crédito"),L238,L238+30*(MAX(1,N(E238))-1)))</f>
        <v>46284.0</v>
      </c>
      <c r="N238" s="29">
        <f>IF(OR(L238="",K238=""),"",K238*MIN(MAX(1,N(E238)),MAX(0,INT((Config!$B$8-L238)/30)+1)))</f>
        <v>0</v>
      </c>
      <c r="O238" s="29">
        <f>IF(J238="","",J238-N(N238))</f>
        <v>387.2</v>
      </c>
      <c r="P238" s="27">
        <f>IF(A238="","",MONTH(A238))</f>
        <v>8</v>
      </c>
      <c r="Q238" s="27">
        <f>IF(A238="","",YEAR(A238))</f>
        <v>2026</v>
      </c>
      <c r="R238" s="27" t="str">
        <f>IF(L238="","",IF(L238&gt;Config!$B$8,"A cair",IF(N(G238)&gt;=MIN(MAX(1,N(E238)),MAX(0,INT((Config!$B$8-L238)/30)+1)),IF(N(G238)&gt;=MAX(1,N(E238)),"Conferido","Conferido até aqui"),"A conferir")))</f>
        <v>A cair</v>
      </c>
      <c r="S238" s="51">
        <f>IF(R238="A conferir",(Config!$B$8-L238)*1000+N(F238)/1000+ROW()/100000,0)</f>
        <v>0</v>
      </c>
      <c r="T238" s="51">
        <f>IF(R238="A conferir",N(N238),0)</f>
        <v>0</v>
      </c>
      <c r="U238" s="51">
        <f>IF(L238="",0,L238)</f>
        <v>46284.0</v>
      </c>
      <c r="V238" s="51">
        <f>IF(L238="",0,MAX(1,N(E238)))</f>
        <v>1</v>
      </c>
      <c r="W238" s="51">
        <f>IF(K238="",0,K238)</f>
        <v>387.2</v>
      </c>
    </row>
    <row r="239">
      <c r="A239" s="49" t="n">
        <v>46254</v>
      </c>
      <c r="B239" s="41" t="inlineStr">
        <is>
          <t>Regina Teixeira</t>
        </is>
      </c>
      <c r="C239" s="41" t="inlineStr">
        <is>
          <t>Teste ergométrico</t>
        </is>
      </c>
      <c r="D239" s="42" t="inlineStr">
        <is>
          <t>Pix</t>
        </is>
      </c>
      <c r="E239" s="42" t="n"/>
      <c r="F239" s="50" t="n">
        <v>450</v>
      </c>
      <c r="G239" s="42" t="n">
        <v>1</v>
      </c>
      <c r="H239" s="30">
        <f>IF(D239="","",IFERROR(INDEX(Config!$B$12:$B$15,MATCH(IF(AND(D239="Cartão de crédito",N(E239)&gt;1),"Cartão de crédito parcelado",D239),Config!$A$12:$A$15,0)),0)+IF(AND(Config!$B$17="Sim",LEFT(D239,17)="Cartão de crédito"),Config!$B$18*IFERROR(INDEX(Config!$C$12:$C$15,MATCH(IF(AND(D239="Cartão de crédito",N(E239)&gt;1),"Cartão de crédito parcelado",D239),Config!$A$12:$A$15,0)),0)/30*MAX(1,N(E239)),0))</f>
        <v>0</v>
      </c>
      <c r="I239" s="29">
        <f>IF(OR(D239="",F239=""),"",ROUND(F239*H239,2))</f>
        <v>0</v>
      </c>
      <c r="J239" s="29">
        <f>IF(I239="","",F239-I239)</f>
        <v>450</v>
      </c>
      <c r="K239" s="29">
        <f>IF(J239="","",J239/MAX(1,N(E239)))</f>
        <v>450</v>
      </c>
      <c r="L239" s="37">
        <f>IF(OR(D239="",A239=""),"",A239+IF(AND(Config!$B$17="Sim",LEFT(D239,17)="Cartão de crédito"),1,IFERROR(INDEX(Config!$C$12:$C$15,MATCH(IF(AND(D239="Cartão de crédito",N(E239)&gt;1),"Cartão de crédito parcelado",D239),Config!$A$12:$A$15,0)),0)))</f>
        <v>46254.0</v>
      </c>
      <c r="M239" s="37">
        <f>IF(L239="","",IF(AND(Config!$B$17="Sim",LEFT(D239,17)="Cartão de crédito"),L239,L239+30*(MAX(1,N(E239))-1)))</f>
        <v>46254.0</v>
      </c>
      <c r="N239" s="29">
        <f>IF(OR(L239="",K239=""),"",K239*MIN(MAX(1,N(E239)),MAX(0,INT((Config!$B$8-L239)/30)+1)))</f>
        <v>450</v>
      </c>
      <c r="O239" s="29">
        <f>IF(J239="","",J239-N(N239))</f>
        <v>0</v>
      </c>
      <c r="P239" s="27">
        <f>IF(A239="","",MONTH(A239))</f>
        <v>8</v>
      </c>
      <c r="Q239" s="27">
        <f>IF(A239="","",YEAR(A239))</f>
        <v>2026</v>
      </c>
      <c r="R239" s="27" t="str">
        <f>IF(L239="","",IF(L239&gt;Config!$B$8,"A cair",IF(N(G239)&gt;=MIN(MAX(1,N(E239)),MAX(0,INT((Config!$B$8-L239)/30)+1)),IF(N(G239)&gt;=MAX(1,N(E239)),"Conferido","Conferido até aqui"),"A conferir")))</f>
        <v>Conferido</v>
      </c>
      <c r="S239" s="51">
        <f>IF(R239="A conferir",(Config!$B$8-L239)*1000+N(F239)/1000+ROW()/100000,0)</f>
        <v>0</v>
      </c>
      <c r="T239" s="51">
        <f>IF(R239="A conferir",N(N239),0)</f>
        <v>0</v>
      </c>
      <c r="U239" s="51">
        <f>IF(L239="",0,L239)</f>
        <v>46254.0</v>
      </c>
      <c r="V239" s="51">
        <f>IF(L239="",0,MAX(1,N(E239)))</f>
        <v>1</v>
      </c>
      <c r="W239" s="51">
        <f>IF(K239="",0,K239)</f>
        <v>450</v>
      </c>
    </row>
    <row r="240">
      <c r="A240" s="49" t="n">
        <v>46258</v>
      </c>
      <c r="B240" s="41" t="inlineStr">
        <is>
          <t>Wagner Lima</t>
        </is>
      </c>
      <c r="C240" s="41" t="inlineStr">
        <is>
          <t>Consulta</t>
        </is>
      </c>
      <c r="D240" s="42" t="inlineStr">
        <is>
          <t>Cartão de débito</t>
        </is>
      </c>
      <c r="E240" s="42" t="n"/>
      <c r="F240" s="50" t="n">
        <v>380</v>
      </c>
      <c r="G240" s="42" t="n">
        <v>1</v>
      </c>
      <c r="H240" s="30">
        <f>IF(D240="","",IFERROR(INDEX(Config!$B$12:$B$15,MATCH(IF(AND(D240="Cartão de crédito",N(E240)&gt;1),"Cartão de crédito parcelado",D240),Config!$A$12:$A$15,0)),0)+IF(AND(Config!$B$17="Sim",LEFT(D240,17)="Cartão de crédito"),Config!$B$18*IFERROR(INDEX(Config!$C$12:$C$15,MATCH(IF(AND(D240="Cartão de crédito",N(E240)&gt;1),"Cartão de crédito parcelado",D240),Config!$A$12:$A$15,0)),0)/30*MAX(1,N(E240)),0))</f>
        <v>0.015</v>
      </c>
      <c r="I240" s="29">
        <f>IF(OR(D240="",F240=""),"",ROUND(F240*H240,2))</f>
        <v>5.7</v>
      </c>
      <c r="J240" s="29">
        <f>IF(I240="","",F240-I240)</f>
        <v>374.3</v>
      </c>
      <c r="K240" s="29">
        <f>IF(J240="","",J240/MAX(1,N(E240)))</f>
        <v>374.3</v>
      </c>
      <c r="L240" s="37">
        <f>IF(OR(D240="",A240=""),"",A240+IF(AND(Config!$B$17="Sim",LEFT(D240,17)="Cartão de crédito"),1,IFERROR(INDEX(Config!$C$12:$C$15,MATCH(IF(AND(D240="Cartão de crédito",N(E240)&gt;1),"Cartão de crédito parcelado",D240),Config!$A$12:$A$15,0)),0)))</f>
        <v>46259.0</v>
      </c>
      <c r="M240" s="37">
        <f>IF(L240="","",IF(AND(Config!$B$17="Sim",LEFT(D240,17)="Cartão de crédito"),L240,L240+30*(MAX(1,N(E240))-1)))</f>
        <v>46259.0</v>
      </c>
      <c r="N240" s="29">
        <f>IF(OR(L240="",K240=""),"",K240*MIN(MAX(1,N(E240)),MAX(0,INT((Config!$B$8-L240)/30)+1)))</f>
        <v>374.3</v>
      </c>
      <c r="O240" s="29">
        <f>IF(J240="","",J240-N(N240))</f>
        <v>0</v>
      </c>
      <c r="P240" s="27">
        <f>IF(A240="","",MONTH(A240))</f>
        <v>8</v>
      </c>
      <c r="Q240" s="27">
        <f>IF(A240="","",YEAR(A240))</f>
        <v>2026</v>
      </c>
      <c r="R240" s="27" t="str">
        <f>IF(L240="","",IF(L240&gt;Config!$B$8,"A cair",IF(N(G240)&gt;=MIN(MAX(1,N(E240)),MAX(0,INT((Config!$B$8-L240)/30)+1)),IF(N(G240)&gt;=MAX(1,N(E240)),"Conferido","Conferido até aqui"),"A conferir")))</f>
        <v>Conferido</v>
      </c>
      <c r="S240" s="51">
        <f>IF(R240="A conferir",(Config!$B$8-L240)*1000+N(F240)/1000+ROW()/100000,0)</f>
        <v>0</v>
      </c>
      <c r="T240" s="51">
        <f>IF(R240="A conferir",N(N240),0)</f>
        <v>0</v>
      </c>
      <c r="U240" s="51">
        <f>IF(L240="",0,L240)</f>
        <v>46259.0</v>
      </c>
      <c r="V240" s="51">
        <f>IF(L240="",0,MAX(1,N(E240)))</f>
        <v>1</v>
      </c>
      <c r="W240" s="51">
        <f>IF(K240="",0,K240)</f>
        <v>374.3</v>
      </c>
    </row>
    <row r="241">
      <c r="A241" s="49" t="n">
        <v>46258</v>
      </c>
      <c r="B241" s="41" t="inlineStr">
        <is>
          <t>Renato Dias</t>
        </is>
      </c>
      <c r="C241" s="41" t="inlineStr">
        <is>
          <t>Consulta</t>
        </is>
      </c>
      <c r="D241" s="42" t="inlineStr">
        <is>
          <t>Pix</t>
        </is>
      </c>
      <c r="E241" s="42" t="n"/>
      <c r="F241" s="50" t="n">
        <v>380</v>
      </c>
      <c r="G241" s="42" t="n">
        <v>1</v>
      </c>
      <c r="H241" s="30">
        <f>IF(D241="","",IFERROR(INDEX(Config!$B$12:$B$15,MATCH(IF(AND(D241="Cartão de crédito",N(E241)&gt;1),"Cartão de crédito parcelado",D241),Config!$A$12:$A$15,0)),0)+IF(AND(Config!$B$17="Sim",LEFT(D241,17)="Cartão de crédito"),Config!$B$18*IFERROR(INDEX(Config!$C$12:$C$15,MATCH(IF(AND(D241="Cartão de crédito",N(E241)&gt;1),"Cartão de crédito parcelado",D241),Config!$A$12:$A$15,0)),0)/30*MAX(1,N(E241)),0))</f>
        <v>0</v>
      </c>
      <c r="I241" s="29">
        <f>IF(OR(D241="",F241=""),"",ROUND(F241*H241,2))</f>
        <v>0</v>
      </c>
      <c r="J241" s="29">
        <f>IF(I241="","",F241-I241)</f>
        <v>380</v>
      </c>
      <c r="K241" s="29">
        <f>IF(J241="","",J241/MAX(1,N(E241)))</f>
        <v>380</v>
      </c>
      <c r="L241" s="37">
        <f>IF(OR(D241="",A241=""),"",A241+IF(AND(Config!$B$17="Sim",LEFT(D241,17)="Cartão de crédito"),1,IFERROR(INDEX(Config!$C$12:$C$15,MATCH(IF(AND(D241="Cartão de crédito",N(E241)&gt;1),"Cartão de crédito parcelado",D241),Config!$A$12:$A$15,0)),0)))</f>
        <v>46258.0</v>
      </c>
      <c r="M241" s="37">
        <f>IF(L241="","",IF(AND(Config!$B$17="Sim",LEFT(D241,17)="Cartão de crédito"),L241,L241+30*(MAX(1,N(E241))-1)))</f>
        <v>46258.0</v>
      </c>
      <c r="N241" s="29">
        <f>IF(OR(L241="",K241=""),"",K241*MIN(MAX(1,N(E241)),MAX(0,INT((Config!$B$8-L241)/30)+1)))</f>
        <v>380</v>
      </c>
      <c r="O241" s="29">
        <f>IF(J241="","",J241-N(N241))</f>
        <v>0</v>
      </c>
      <c r="P241" s="27">
        <f>IF(A241="","",MONTH(A241))</f>
        <v>8</v>
      </c>
      <c r="Q241" s="27">
        <f>IF(A241="","",YEAR(A241))</f>
        <v>2026</v>
      </c>
      <c r="R241" s="27" t="str">
        <f>IF(L241="","",IF(L241&gt;Config!$B$8,"A cair",IF(N(G241)&gt;=MIN(MAX(1,N(E241)),MAX(0,INT((Config!$B$8-L241)/30)+1)),IF(N(G241)&gt;=MAX(1,N(E241)),"Conferido","Conferido até aqui"),"A conferir")))</f>
        <v>Conferido</v>
      </c>
      <c r="S241" s="51">
        <f>IF(R241="A conferir",(Config!$B$8-L241)*1000+N(F241)/1000+ROW()/100000,0)</f>
        <v>0</v>
      </c>
      <c r="T241" s="51">
        <f>IF(R241="A conferir",N(N241),0)</f>
        <v>0</v>
      </c>
      <c r="U241" s="51">
        <f>IF(L241="",0,L241)</f>
        <v>46258.0</v>
      </c>
      <c r="V241" s="51">
        <f>IF(L241="",0,MAX(1,N(E241)))</f>
        <v>1</v>
      </c>
      <c r="W241" s="51">
        <f>IF(K241="",0,K241)</f>
        <v>380</v>
      </c>
    </row>
    <row r="242">
      <c r="A242" s="49" t="n">
        <v>46258</v>
      </c>
      <c r="B242" s="41" t="inlineStr">
        <is>
          <t>Mariana Nascimento</t>
        </is>
      </c>
      <c r="C242" s="41" t="inlineStr">
        <is>
          <t>Consulta</t>
        </is>
      </c>
      <c r="D242" s="42" t="inlineStr">
        <is>
          <t>Cartão de crédito</t>
        </is>
      </c>
      <c r="E242" s="42" t="n">
        <v>2</v>
      </c>
      <c r="F242" s="50" t="n">
        <v>380</v>
      </c>
      <c r="G242" s="42" t="n"/>
      <c r="H242" s="30">
        <f>IF(D242="","",IFERROR(INDEX(Config!$B$12:$B$15,MATCH(IF(AND(D242="Cartão de crédito",N(E242)&gt;1),"Cartão de crédito parcelado",D242),Config!$A$12:$A$15,0)),0)+IF(AND(Config!$B$17="Sim",LEFT(D242,17)="Cartão de crédito"),Config!$B$18*IFERROR(INDEX(Config!$C$12:$C$15,MATCH(IF(AND(D242="Cartão de crédito",N(E242)&gt;1),"Cartão de crédito parcelado",D242),Config!$A$12:$A$15,0)),0)/30*MAX(1,N(E242)),0))</f>
        <v>0.039</v>
      </c>
      <c r="I242" s="29">
        <f>IF(OR(D242="",F242=""),"",ROUND(F242*H242,2))</f>
        <v>14.82</v>
      </c>
      <c r="J242" s="29">
        <f>IF(I242="","",F242-I242)</f>
        <v>365.18</v>
      </c>
      <c r="K242" s="29">
        <f>IF(J242="","",J242/MAX(1,N(E242)))</f>
        <v>182.59</v>
      </c>
      <c r="L242" s="37">
        <f>IF(OR(D242="",A242=""),"",A242+IF(AND(Config!$B$17="Sim",LEFT(D242,17)="Cartão de crédito"),1,IFERROR(INDEX(Config!$C$12:$C$15,MATCH(IF(AND(D242="Cartão de crédito",N(E242)&gt;1),"Cartão de crédito parcelado",D242),Config!$A$12:$A$15,0)),0)))</f>
        <v>46288.0</v>
      </c>
      <c r="M242" s="37">
        <f>IF(L242="","",IF(AND(Config!$B$17="Sim",LEFT(D242,17)="Cartão de crédito"),L242,L242+30*(MAX(1,N(E242))-1)))</f>
        <v>46318.0</v>
      </c>
      <c r="N242" s="29">
        <f>IF(OR(L242="",K242=""),"",K242*MIN(MAX(1,N(E242)),MAX(0,INT((Config!$B$8-L242)/30)+1)))</f>
        <v>0</v>
      </c>
      <c r="O242" s="29">
        <f>IF(J242="","",J242-N(N242))</f>
        <v>365.18</v>
      </c>
      <c r="P242" s="27">
        <f>IF(A242="","",MONTH(A242))</f>
        <v>8</v>
      </c>
      <c r="Q242" s="27">
        <f>IF(A242="","",YEAR(A242))</f>
        <v>2026</v>
      </c>
      <c r="R242" s="27" t="str">
        <f>IF(L242="","",IF(L242&gt;Config!$B$8,"A cair",IF(N(G242)&gt;=MIN(MAX(1,N(E242)),MAX(0,INT((Config!$B$8-L242)/30)+1)),IF(N(G242)&gt;=MAX(1,N(E242)),"Conferido","Conferido até aqui"),"A conferir")))</f>
        <v>A cair</v>
      </c>
      <c r="S242" s="51">
        <f>IF(R242="A conferir",(Config!$B$8-L242)*1000+N(F242)/1000+ROW()/100000,0)</f>
        <v>0</v>
      </c>
      <c r="T242" s="51">
        <f>IF(R242="A conferir",N(N242),0)</f>
        <v>0</v>
      </c>
      <c r="U242" s="51">
        <f>IF(L242="",0,L242)</f>
        <v>46288.0</v>
      </c>
      <c r="V242" s="51">
        <f>IF(L242="",0,MAX(1,N(E242)))</f>
        <v>2</v>
      </c>
      <c r="W242" s="51">
        <f>IF(K242="",0,K242)</f>
        <v>182.59</v>
      </c>
    </row>
    <row r="243">
      <c r="A243" s="49" t="n">
        <v>46258</v>
      </c>
      <c r="B243" s="41" t="inlineStr">
        <is>
          <t>Ana Costa</t>
        </is>
      </c>
      <c r="C243" s="41" t="inlineStr">
        <is>
          <t>Consulta</t>
        </is>
      </c>
      <c r="D243" s="42" t="inlineStr">
        <is>
          <t>Cartão de crédito</t>
        </is>
      </c>
      <c r="E243" s="42" t="n"/>
      <c r="F243" s="50" t="n">
        <v>380</v>
      </c>
      <c r="G243" s="42" t="n"/>
      <c r="H243" s="30">
        <f>IF(D243="","",IFERROR(INDEX(Config!$B$12:$B$15,MATCH(IF(AND(D243="Cartão de crédito",N(E243)&gt;1),"Cartão de crédito parcelado",D243),Config!$A$12:$A$15,0)),0)+IF(AND(Config!$B$17="Sim",LEFT(D243,17)="Cartão de crédito"),Config!$B$18*IFERROR(INDEX(Config!$C$12:$C$15,MATCH(IF(AND(D243="Cartão de crédito",N(E243)&gt;1),"Cartão de crédito parcelado",D243),Config!$A$12:$A$15,0)),0)/30*MAX(1,N(E243)),0))</f>
        <v>0.032</v>
      </c>
      <c r="I243" s="29">
        <f>IF(OR(D243="",F243=""),"",ROUND(F243*H243,2))</f>
        <v>12.16</v>
      </c>
      <c r="J243" s="29">
        <f>IF(I243="","",F243-I243)</f>
        <v>367.84</v>
      </c>
      <c r="K243" s="29">
        <f>IF(J243="","",J243/MAX(1,N(E243)))</f>
        <v>367.84</v>
      </c>
      <c r="L243" s="37">
        <f>IF(OR(D243="",A243=""),"",A243+IF(AND(Config!$B$17="Sim",LEFT(D243,17)="Cartão de crédito"),1,IFERROR(INDEX(Config!$C$12:$C$15,MATCH(IF(AND(D243="Cartão de crédito",N(E243)&gt;1),"Cartão de crédito parcelado",D243),Config!$A$12:$A$15,0)),0)))</f>
        <v>46288.0</v>
      </c>
      <c r="M243" s="37">
        <f>IF(L243="","",IF(AND(Config!$B$17="Sim",LEFT(D243,17)="Cartão de crédito"),L243,L243+30*(MAX(1,N(E243))-1)))</f>
        <v>46288.0</v>
      </c>
      <c r="N243" s="29">
        <f>IF(OR(L243="",K243=""),"",K243*MIN(MAX(1,N(E243)),MAX(0,INT((Config!$B$8-L243)/30)+1)))</f>
        <v>0</v>
      </c>
      <c r="O243" s="29">
        <f>IF(J243="","",J243-N(N243))</f>
        <v>367.84</v>
      </c>
      <c r="P243" s="27">
        <f>IF(A243="","",MONTH(A243))</f>
        <v>8</v>
      </c>
      <c r="Q243" s="27">
        <f>IF(A243="","",YEAR(A243))</f>
        <v>2026</v>
      </c>
      <c r="R243" s="27" t="str">
        <f>IF(L243="","",IF(L243&gt;Config!$B$8,"A cair",IF(N(G243)&gt;=MIN(MAX(1,N(E243)),MAX(0,INT((Config!$B$8-L243)/30)+1)),IF(N(G243)&gt;=MAX(1,N(E243)),"Conferido","Conferido até aqui"),"A conferir")))</f>
        <v>A cair</v>
      </c>
      <c r="S243" s="51">
        <f>IF(R243="A conferir",(Config!$B$8-L243)*1000+N(F243)/1000+ROW()/100000,0)</f>
        <v>0</v>
      </c>
      <c r="T243" s="51">
        <f>IF(R243="A conferir",N(N243),0)</f>
        <v>0</v>
      </c>
      <c r="U243" s="51">
        <f>IF(L243="",0,L243)</f>
        <v>46288.0</v>
      </c>
      <c r="V243" s="51">
        <f>IF(L243="",0,MAX(1,N(E243)))</f>
        <v>1</v>
      </c>
      <c r="W243" s="51">
        <f>IF(K243="",0,K243)</f>
        <v>367.84</v>
      </c>
    </row>
    <row r="244">
      <c r="A244" s="49" t="n">
        <v>46258</v>
      </c>
      <c r="B244" s="41" t="inlineStr">
        <is>
          <t>Carlos Fernandes</t>
        </is>
      </c>
      <c r="C244" s="41" t="inlineStr">
        <is>
          <t>ECG</t>
        </is>
      </c>
      <c r="D244" s="42" t="inlineStr">
        <is>
          <t>Cartão de crédito</t>
        </is>
      </c>
      <c r="E244" s="42" t="n"/>
      <c r="F244" s="50" t="n">
        <v>130</v>
      </c>
      <c r="G244" s="42" t="n"/>
      <c r="H244" s="30">
        <f>IF(D244="","",IFERROR(INDEX(Config!$B$12:$B$15,MATCH(IF(AND(D244="Cartão de crédito",N(E244)&gt;1),"Cartão de crédito parcelado",D244),Config!$A$12:$A$15,0)),0)+IF(AND(Config!$B$17="Sim",LEFT(D244,17)="Cartão de crédito"),Config!$B$18*IFERROR(INDEX(Config!$C$12:$C$15,MATCH(IF(AND(D244="Cartão de crédito",N(E244)&gt;1),"Cartão de crédito parcelado",D244),Config!$A$12:$A$15,0)),0)/30*MAX(1,N(E244)),0))</f>
        <v>0.032</v>
      </c>
      <c r="I244" s="29">
        <f>IF(OR(D244="",F244=""),"",ROUND(F244*H244,2))</f>
        <v>4.16</v>
      </c>
      <c r="J244" s="29">
        <f>IF(I244="","",F244-I244)</f>
        <v>125.84</v>
      </c>
      <c r="K244" s="29">
        <f>IF(J244="","",J244/MAX(1,N(E244)))</f>
        <v>125.84</v>
      </c>
      <c r="L244" s="37">
        <f>IF(OR(D244="",A244=""),"",A244+IF(AND(Config!$B$17="Sim",LEFT(D244,17)="Cartão de crédito"),1,IFERROR(INDEX(Config!$C$12:$C$15,MATCH(IF(AND(D244="Cartão de crédito",N(E244)&gt;1),"Cartão de crédito parcelado",D244),Config!$A$12:$A$15,0)),0)))</f>
        <v>46288.0</v>
      </c>
      <c r="M244" s="37">
        <f>IF(L244="","",IF(AND(Config!$B$17="Sim",LEFT(D244,17)="Cartão de crédito"),L244,L244+30*(MAX(1,N(E244))-1)))</f>
        <v>46288.0</v>
      </c>
      <c r="N244" s="29">
        <f>IF(OR(L244="",K244=""),"",K244*MIN(MAX(1,N(E244)),MAX(0,INT((Config!$B$8-L244)/30)+1)))</f>
        <v>0</v>
      </c>
      <c r="O244" s="29">
        <f>IF(J244="","",J244-N(N244))</f>
        <v>125.84</v>
      </c>
      <c r="P244" s="27">
        <f>IF(A244="","",MONTH(A244))</f>
        <v>8</v>
      </c>
      <c r="Q244" s="27">
        <f>IF(A244="","",YEAR(A244))</f>
        <v>2026</v>
      </c>
      <c r="R244" s="27" t="str">
        <f>IF(L244="","",IF(L244&gt;Config!$B$8,"A cair",IF(N(G244)&gt;=MIN(MAX(1,N(E244)),MAX(0,INT((Config!$B$8-L244)/30)+1)),IF(N(G244)&gt;=MAX(1,N(E244)),"Conferido","Conferido até aqui"),"A conferir")))</f>
        <v>A cair</v>
      </c>
      <c r="S244" s="51">
        <f>IF(R244="A conferir",(Config!$B$8-L244)*1000+N(F244)/1000+ROW()/100000,0)</f>
        <v>0</v>
      </c>
      <c r="T244" s="51">
        <f>IF(R244="A conferir",N(N244),0)</f>
        <v>0</v>
      </c>
      <c r="U244" s="51">
        <f>IF(L244="",0,L244)</f>
        <v>46288.0</v>
      </c>
      <c r="V244" s="51">
        <f>IF(L244="",0,MAX(1,N(E244)))</f>
        <v>1</v>
      </c>
      <c r="W244" s="51">
        <f>IF(K244="",0,K244)</f>
        <v>125.84</v>
      </c>
    </row>
    <row r="245">
      <c r="A245" s="49" t="n">
        <v>46258</v>
      </c>
      <c r="B245" s="41" t="inlineStr">
        <is>
          <t>Camila Freitas</t>
        </is>
      </c>
      <c r="C245" s="41" t="inlineStr">
        <is>
          <t>Consulta</t>
        </is>
      </c>
      <c r="D245" s="42" t="inlineStr">
        <is>
          <t>Pix</t>
        </is>
      </c>
      <c r="E245" s="42" t="n"/>
      <c r="F245" s="50" t="n">
        <v>380</v>
      </c>
      <c r="G245" s="42" t="n">
        <v>1</v>
      </c>
      <c r="H245" s="30">
        <f>IF(D245="","",IFERROR(INDEX(Config!$B$12:$B$15,MATCH(IF(AND(D245="Cartão de crédito",N(E245)&gt;1),"Cartão de crédito parcelado",D245),Config!$A$12:$A$15,0)),0)+IF(AND(Config!$B$17="Sim",LEFT(D245,17)="Cartão de crédito"),Config!$B$18*IFERROR(INDEX(Config!$C$12:$C$15,MATCH(IF(AND(D245="Cartão de crédito",N(E245)&gt;1),"Cartão de crédito parcelado",D245),Config!$A$12:$A$15,0)),0)/30*MAX(1,N(E245)),0))</f>
        <v>0</v>
      </c>
      <c r="I245" s="29">
        <f>IF(OR(D245="",F245=""),"",ROUND(F245*H245,2))</f>
        <v>0</v>
      </c>
      <c r="J245" s="29">
        <f>IF(I245="","",F245-I245)</f>
        <v>380</v>
      </c>
      <c r="K245" s="29">
        <f>IF(J245="","",J245/MAX(1,N(E245)))</f>
        <v>380</v>
      </c>
      <c r="L245" s="37">
        <f>IF(OR(D245="",A245=""),"",A245+IF(AND(Config!$B$17="Sim",LEFT(D245,17)="Cartão de crédito"),1,IFERROR(INDEX(Config!$C$12:$C$15,MATCH(IF(AND(D245="Cartão de crédito",N(E245)&gt;1),"Cartão de crédito parcelado",D245),Config!$A$12:$A$15,0)),0)))</f>
        <v>46258.0</v>
      </c>
      <c r="M245" s="37">
        <f>IF(L245="","",IF(AND(Config!$B$17="Sim",LEFT(D245,17)="Cartão de crédito"),L245,L245+30*(MAX(1,N(E245))-1)))</f>
        <v>46258.0</v>
      </c>
      <c r="N245" s="29">
        <f>IF(OR(L245="",K245=""),"",K245*MIN(MAX(1,N(E245)),MAX(0,INT((Config!$B$8-L245)/30)+1)))</f>
        <v>380</v>
      </c>
      <c r="O245" s="29">
        <f>IF(J245="","",J245-N(N245))</f>
        <v>0</v>
      </c>
      <c r="P245" s="27">
        <f>IF(A245="","",MONTH(A245))</f>
        <v>8</v>
      </c>
      <c r="Q245" s="27">
        <f>IF(A245="","",YEAR(A245))</f>
        <v>2026</v>
      </c>
      <c r="R245" s="27" t="str">
        <f>IF(L245="","",IF(L245&gt;Config!$B$8,"A cair",IF(N(G245)&gt;=MIN(MAX(1,N(E245)),MAX(0,INT((Config!$B$8-L245)/30)+1)),IF(N(G245)&gt;=MAX(1,N(E245)),"Conferido","Conferido até aqui"),"A conferir")))</f>
        <v>Conferido</v>
      </c>
      <c r="S245" s="51">
        <f>IF(R245="A conferir",(Config!$B$8-L245)*1000+N(F245)/1000+ROW()/100000,0)</f>
        <v>0</v>
      </c>
      <c r="T245" s="51">
        <f>IF(R245="A conferir",N(N245),0)</f>
        <v>0</v>
      </c>
      <c r="U245" s="51">
        <f>IF(L245="",0,L245)</f>
        <v>46258.0</v>
      </c>
      <c r="V245" s="51">
        <f>IF(L245="",0,MAX(1,N(E245)))</f>
        <v>1</v>
      </c>
      <c r="W245" s="51">
        <f>IF(K245="",0,K245)</f>
        <v>380</v>
      </c>
    </row>
    <row r="246">
      <c r="A246" s="49" t="n">
        <v>46258</v>
      </c>
      <c r="B246" s="41" t="inlineStr">
        <is>
          <t>Gabriel Oliveira</t>
        </is>
      </c>
      <c r="C246" s="41" t="inlineStr">
        <is>
          <t>Consulta</t>
        </is>
      </c>
      <c r="D246" s="42" t="inlineStr">
        <is>
          <t>Pix</t>
        </is>
      </c>
      <c r="E246" s="42" t="n"/>
      <c r="F246" s="50" t="n">
        <v>380</v>
      </c>
      <c r="G246" s="42" t="n">
        <v>1</v>
      </c>
      <c r="H246" s="30">
        <f>IF(D246="","",IFERROR(INDEX(Config!$B$12:$B$15,MATCH(IF(AND(D246="Cartão de crédito",N(E246)&gt;1),"Cartão de crédito parcelado",D246),Config!$A$12:$A$15,0)),0)+IF(AND(Config!$B$17="Sim",LEFT(D246,17)="Cartão de crédito"),Config!$B$18*IFERROR(INDEX(Config!$C$12:$C$15,MATCH(IF(AND(D246="Cartão de crédito",N(E246)&gt;1),"Cartão de crédito parcelado",D246),Config!$A$12:$A$15,0)),0)/30*MAX(1,N(E246)),0))</f>
        <v>0</v>
      </c>
      <c r="I246" s="29">
        <f>IF(OR(D246="",F246=""),"",ROUND(F246*H246,2))</f>
        <v>0</v>
      </c>
      <c r="J246" s="29">
        <f>IF(I246="","",F246-I246)</f>
        <v>380</v>
      </c>
      <c r="K246" s="29">
        <f>IF(J246="","",J246/MAX(1,N(E246)))</f>
        <v>380</v>
      </c>
      <c r="L246" s="37">
        <f>IF(OR(D246="",A246=""),"",A246+IF(AND(Config!$B$17="Sim",LEFT(D246,17)="Cartão de crédito"),1,IFERROR(INDEX(Config!$C$12:$C$15,MATCH(IF(AND(D246="Cartão de crédito",N(E246)&gt;1),"Cartão de crédito parcelado",D246),Config!$A$12:$A$15,0)),0)))</f>
        <v>46258.0</v>
      </c>
      <c r="M246" s="37">
        <f>IF(L246="","",IF(AND(Config!$B$17="Sim",LEFT(D246,17)="Cartão de crédito"),L246,L246+30*(MAX(1,N(E246))-1)))</f>
        <v>46258.0</v>
      </c>
      <c r="N246" s="29">
        <f>IF(OR(L246="",K246=""),"",K246*MIN(MAX(1,N(E246)),MAX(0,INT((Config!$B$8-L246)/30)+1)))</f>
        <v>380</v>
      </c>
      <c r="O246" s="29">
        <f>IF(J246="","",J246-N(N246))</f>
        <v>0</v>
      </c>
      <c r="P246" s="27">
        <f>IF(A246="","",MONTH(A246))</f>
        <v>8</v>
      </c>
      <c r="Q246" s="27">
        <f>IF(A246="","",YEAR(A246))</f>
        <v>2026</v>
      </c>
      <c r="R246" s="27" t="str">
        <f>IF(L246="","",IF(L246&gt;Config!$B$8,"A cair",IF(N(G246)&gt;=MIN(MAX(1,N(E246)),MAX(0,INT((Config!$B$8-L246)/30)+1)),IF(N(G246)&gt;=MAX(1,N(E246)),"Conferido","Conferido até aqui"),"A conferir")))</f>
        <v>Conferido</v>
      </c>
      <c r="S246" s="51">
        <f>IF(R246="A conferir",(Config!$B$8-L246)*1000+N(F246)/1000+ROW()/100000,0)</f>
        <v>0</v>
      </c>
      <c r="T246" s="51">
        <f>IF(R246="A conferir",N(N246),0)</f>
        <v>0</v>
      </c>
      <c r="U246" s="51">
        <f>IF(L246="",0,L246)</f>
        <v>46258.0</v>
      </c>
      <c r="V246" s="51">
        <f>IF(L246="",0,MAX(1,N(E246)))</f>
        <v>1</v>
      </c>
      <c r="W246" s="51">
        <f>IF(K246="",0,K246)</f>
        <v>380</v>
      </c>
    </row>
    <row r="247">
      <c r="A247" s="49" t="n">
        <v>46259</v>
      </c>
      <c r="B247" s="41" t="inlineStr">
        <is>
          <t>Larissa Costa</t>
        </is>
      </c>
      <c r="C247" s="41" t="inlineStr">
        <is>
          <t>Consulta</t>
        </is>
      </c>
      <c r="D247" s="42" t="inlineStr">
        <is>
          <t>Pix</t>
        </is>
      </c>
      <c r="E247" s="42" t="n"/>
      <c r="F247" s="50" t="n">
        <v>380</v>
      </c>
      <c r="G247" s="42" t="n">
        <v>1</v>
      </c>
      <c r="H247" s="30">
        <f>IF(D247="","",IFERROR(INDEX(Config!$B$12:$B$15,MATCH(IF(AND(D247="Cartão de crédito",N(E247)&gt;1),"Cartão de crédito parcelado",D247),Config!$A$12:$A$15,0)),0)+IF(AND(Config!$B$17="Sim",LEFT(D247,17)="Cartão de crédito"),Config!$B$18*IFERROR(INDEX(Config!$C$12:$C$15,MATCH(IF(AND(D247="Cartão de crédito",N(E247)&gt;1),"Cartão de crédito parcelado",D247),Config!$A$12:$A$15,0)),0)/30*MAX(1,N(E247)),0))</f>
        <v>0</v>
      </c>
      <c r="I247" s="29">
        <f>IF(OR(D247="",F247=""),"",ROUND(F247*H247,2))</f>
        <v>0</v>
      </c>
      <c r="J247" s="29">
        <f>IF(I247="","",F247-I247)</f>
        <v>380</v>
      </c>
      <c r="K247" s="29">
        <f>IF(J247="","",J247/MAX(1,N(E247)))</f>
        <v>380</v>
      </c>
      <c r="L247" s="37">
        <f>IF(OR(D247="",A247=""),"",A247+IF(AND(Config!$B$17="Sim",LEFT(D247,17)="Cartão de crédito"),1,IFERROR(INDEX(Config!$C$12:$C$15,MATCH(IF(AND(D247="Cartão de crédito",N(E247)&gt;1),"Cartão de crédito parcelado",D247),Config!$A$12:$A$15,0)),0)))</f>
        <v>46259.0</v>
      </c>
      <c r="M247" s="37">
        <f>IF(L247="","",IF(AND(Config!$B$17="Sim",LEFT(D247,17)="Cartão de crédito"),L247,L247+30*(MAX(1,N(E247))-1)))</f>
        <v>46259.0</v>
      </c>
      <c r="N247" s="29">
        <f>IF(OR(L247="",K247=""),"",K247*MIN(MAX(1,N(E247)),MAX(0,INT((Config!$B$8-L247)/30)+1)))</f>
        <v>380</v>
      </c>
      <c r="O247" s="29">
        <f>IF(J247="","",J247-N(N247))</f>
        <v>0</v>
      </c>
      <c r="P247" s="27">
        <f>IF(A247="","",MONTH(A247))</f>
        <v>8</v>
      </c>
      <c r="Q247" s="27">
        <f>IF(A247="","",YEAR(A247))</f>
        <v>2026</v>
      </c>
      <c r="R247" s="27" t="str">
        <f>IF(L247="","",IF(L247&gt;Config!$B$8,"A cair",IF(N(G247)&gt;=MIN(MAX(1,N(E247)),MAX(0,INT((Config!$B$8-L247)/30)+1)),IF(N(G247)&gt;=MAX(1,N(E247)),"Conferido","Conferido até aqui"),"A conferir")))</f>
        <v>Conferido</v>
      </c>
      <c r="S247" s="51">
        <f>IF(R247="A conferir",(Config!$B$8-L247)*1000+N(F247)/1000+ROW()/100000,0)</f>
        <v>0</v>
      </c>
      <c r="T247" s="51">
        <f>IF(R247="A conferir",N(N247),0)</f>
        <v>0</v>
      </c>
      <c r="U247" s="51">
        <f>IF(L247="",0,L247)</f>
        <v>46259.0</v>
      </c>
      <c r="V247" s="51">
        <f>IF(L247="",0,MAX(1,N(E247)))</f>
        <v>1</v>
      </c>
      <c r="W247" s="51">
        <f>IF(K247="",0,K247)</f>
        <v>380</v>
      </c>
    </row>
    <row r="248">
      <c r="A248" s="49" t="n">
        <v>46259</v>
      </c>
      <c r="B248" s="41" t="inlineStr">
        <is>
          <t>Otávio Nascimento</t>
        </is>
      </c>
      <c r="C248" s="41" t="inlineStr">
        <is>
          <t>Consulta</t>
        </is>
      </c>
      <c r="D248" s="42" t="inlineStr">
        <is>
          <t>Cartão de crédito</t>
        </is>
      </c>
      <c r="E248" s="42" t="n">
        <v>2</v>
      </c>
      <c r="F248" s="50" t="n">
        <v>380</v>
      </c>
      <c r="G248" s="42" t="n"/>
      <c r="H248" s="30">
        <f>IF(D248="","",IFERROR(INDEX(Config!$B$12:$B$15,MATCH(IF(AND(D248="Cartão de crédito",N(E248)&gt;1),"Cartão de crédito parcelado",D248),Config!$A$12:$A$15,0)),0)+IF(AND(Config!$B$17="Sim",LEFT(D248,17)="Cartão de crédito"),Config!$B$18*IFERROR(INDEX(Config!$C$12:$C$15,MATCH(IF(AND(D248="Cartão de crédito",N(E248)&gt;1),"Cartão de crédito parcelado",D248),Config!$A$12:$A$15,0)),0)/30*MAX(1,N(E248)),0))</f>
        <v>0.039</v>
      </c>
      <c r="I248" s="29">
        <f>IF(OR(D248="",F248=""),"",ROUND(F248*H248,2))</f>
        <v>14.82</v>
      </c>
      <c r="J248" s="29">
        <f>IF(I248="","",F248-I248)</f>
        <v>365.18</v>
      </c>
      <c r="K248" s="29">
        <f>IF(J248="","",J248/MAX(1,N(E248)))</f>
        <v>182.59</v>
      </c>
      <c r="L248" s="37">
        <f>IF(OR(D248="",A248=""),"",A248+IF(AND(Config!$B$17="Sim",LEFT(D248,17)="Cartão de crédito"),1,IFERROR(INDEX(Config!$C$12:$C$15,MATCH(IF(AND(D248="Cartão de crédito",N(E248)&gt;1),"Cartão de crédito parcelado",D248),Config!$A$12:$A$15,0)),0)))</f>
        <v>46289.0</v>
      </c>
      <c r="M248" s="37">
        <f>IF(L248="","",IF(AND(Config!$B$17="Sim",LEFT(D248,17)="Cartão de crédito"),L248,L248+30*(MAX(1,N(E248))-1)))</f>
        <v>46319.0</v>
      </c>
      <c r="N248" s="29">
        <f>IF(OR(L248="",K248=""),"",K248*MIN(MAX(1,N(E248)),MAX(0,INT((Config!$B$8-L248)/30)+1)))</f>
        <v>0</v>
      </c>
      <c r="O248" s="29">
        <f>IF(J248="","",J248-N(N248))</f>
        <v>365.18</v>
      </c>
      <c r="P248" s="27">
        <f>IF(A248="","",MONTH(A248))</f>
        <v>8</v>
      </c>
      <c r="Q248" s="27">
        <f>IF(A248="","",YEAR(A248))</f>
        <v>2026</v>
      </c>
      <c r="R248" s="27" t="str">
        <f>IF(L248="","",IF(L248&gt;Config!$B$8,"A cair",IF(N(G248)&gt;=MIN(MAX(1,N(E248)),MAX(0,INT((Config!$B$8-L248)/30)+1)),IF(N(G248)&gt;=MAX(1,N(E248)),"Conferido","Conferido até aqui"),"A conferir")))</f>
        <v>A cair</v>
      </c>
      <c r="S248" s="51">
        <f>IF(R248="A conferir",(Config!$B$8-L248)*1000+N(F248)/1000+ROW()/100000,0)</f>
        <v>0</v>
      </c>
      <c r="T248" s="51">
        <f>IF(R248="A conferir",N(N248),0)</f>
        <v>0</v>
      </c>
      <c r="U248" s="51">
        <f>IF(L248="",0,L248)</f>
        <v>46289.0</v>
      </c>
      <c r="V248" s="51">
        <f>IF(L248="",0,MAX(1,N(E248)))</f>
        <v>2</v>
      </c>
      <c r="W248" s="51">
        <f>IF(K248="",0,K248)</f>
        <v>182.59</v>
      </c>
    </row>
    <row r="249">
      <c r="A249" s="49" t="n">
        <v>46259</v>
      </c>
      <c r="B249" s="41" t="inlineStr">
        <is>
          <t>Mônica Almeida</t>
        </is>
      </c>
      <c r="C249" s="41" t="inlineStr">
        <is>
          <t>Avaliação endócrina</t>
        </is>
      </c>
      <c r="D249" s="42" t="inlineStr">
        <is>
          <t>Cartão de crédito</t>
        </is>
      </c>
      <c r="E249" s="42" t="n">
        <v>2</v>
      </c>
      <c r="F249" s="50" t="n">
        <v>400</v>
      </c>
      <c r="G249" s="42" t="n"/>
      <c r="H249" s="30">
        <f>IF(D249="","",IFERROR(INDEX(Config!$B$12:$B$15,MATCH(IF(AND(D249="Cartão de crédito",N(E249)&gt;1),"Cartão de crédito parcelado",D249),Config!$A$12:$A$15,0)),0)+IF(AND(Config!$B$17="Sim",LEFT(D249,17)="Cartão de crédito"),Config!$B$18*IFERROR(INDEX(Config!$C$12:$C$15,MATCH(IF(AND(D249="Cartão de crédito",N(E249)&gt;1),"Cartão de crédito parcelado",D249),Config!$A$12:$A$15,0)),0)/30*MAX(1,N(E249)),0))</f>
        <v>0.039</v>
      </c>
      <c r="I249" s="29">
        <f>IF(OR(D249="",F249=""),"",ROUND(F249*H249,2))</f>
        <v>15.6</v>
      </c>
      <c r="J249" s="29">
        <f>IF(I249="","",F249-I249)</f>
        <v>384.4</v>
      </c>
      <c r="K249" s="29">
        <f>IF(J249="","",J249/MAX(1,N(E249)))</f>
        <v>192.2</v>
      </c>
      <c r="L249" s="37">
        <f>IF(OR(D249="",A249=""),"",A249+IF(AND(Config!$B$17="Sim",LEFT(D249,17)="Cartão de crédito"),1,IFERROR(INDEX(Config!$C$12:$C$15,MATCH(IF(AND(D249="Cartão de crédito",N(E249)&gt;1),"Cartão de crédito parcelado",D249),Config!$A$12:$A$15,0)),0)))</f>
        <v>46289.0</v>
      </c>
      <c r="M249" s="37">
        <f>IF(L249="","",IF(AND(Config!$B$17="Sim",LEFT(D249,17)="Cartão de crédito"),L249,L249+30*(MAX(1,N(E249))-1)))</f>
        <v>46319.0</v>
      </c>
      <c r="N249" s="29">
        <f>IF(OR(L249="",K249=""),"",K249*MIN(MAX(1,N(E249)),MAX(0,INT((Config!$B$8-L249)/30)+1)))</f>
        <v>0</v>
      </c>
      <c r="O249" s="29">
        <f>IF(J249="","",J249-N(N249))</f>
        <v>384.4</v>
      </c>
      <c r="P249" s="27">
        <f>IF(A249="","",MONTH(A249))</f>
        <v>8</v>
      </c>
      <c r="Q249" s="27">
        <f>IF(A249="","",YEAR(A249))</f>
        <v>2026</v>
      </c>
      <c r="R249" s="27" t="str">
        <f>IF(L249="","",IF(L249&gt;Config!$B$8,"A cair",IF(N(G249)&gt;=MIN(MAX(1,N(E249)),MAX(0,INT((Config!$B$8-L249)/30)+1)),IF(N(G249)&gt;=MAX(1,N(E249)),"Conferido","Conferido até aqui"),"A conferir")))</f>
        <v>A cair</v>
      </c>
      <c r="S249" s="51">
        <f>IF(R249="A conferir",(Config!$B$8-L249)*1000+N(F249)/1000+ROW()/100000,0)</f>
        <v>0</v>
      </c>
      <c r="T249" s="51">
        <f>IF(R249="A conferir",N(N249),0)</f>
        <v>0</v>
      </c>
      <c r="U249" s="51">
        <f>IF(L249="",0,L249)</f>
        <v>46289.0</v>
      </c>
      <c r="V249" s="51">
        <f>IF(L249="",0,MAX(1,N(E249)))</f>
        <v>2</v>
      </c>
      <c r="W249" s="51">
        <f>IF(K249="",0,K249)</f>
        <v>192.2</v>
      </c>
    </row>
    <row r="250">
      <c r="A250" s="49" t="n">
        <v>46259</v>
      </c>
      <c r="B250" s="41" t="inlineStr">
        <is>
          <t>Lucas Cardoso</t>
        </is>
      </c>
      <c r="C250" s="41" t="inlineStr">
        <is>
          <t>Consulta</t>
        </is>
      </c>
      <c r="D250" s="42" t="inlineStr">
        <is>
          <t>Pix</t>
        </is>
      </c>
      <c r="E250" s="42" t="n"/>
      <c r="F250" s="50" t="n">
        <v>380</v>
      </c>
      <c r="G250" s="42" t="n">
        <v>1</v>
      </c>
      <c r="H250" s="30">
        <f>IF(D250="","",IFERROR(INDEX(Config!$B$12:$B$15,MATCH(IF(AND(D250="Cartão de crédito",N(E250)&gt;1),"Cartão de crédito parcelado",D250),Config!$A$12:$A$15,0)),0)+IF(AND(Config!$B$17="Sim",LEFT(D250,17)="Cartão de crédito"),Config!$B$18*IFERROR(INDEX(Config!$C$12:$C$15,MATCH(IF(AND(D250="Cartão de crédito",N(E250)&gt;1),"Cartão de crédito parcelado",D250),Config!$A$12:$A$15,0)),0)/30*MAX(1,N(E250)),0))</f>
        <v>0</v>
      </c>
      <c r="I250" s="29">
        <f>IF(OR(D250="",F250=""),"",ROUND(F250*H250,2))</f>
        <v>0</v>
      </c>
      <c r="J250" s="29">
        <f>IF(I250="","",F250-I250)</f>
        <v>380</v>
      </c>
      <c r="K250" s="29">
        <f>IF(J250="","",J250/MAX(1,N(E250)))</f>
        <v>380</v>
      </c>
      <c r="L250" s="37">
        <f>IF(OR(D250="",A250=""),"",A250+IF(AND(Config!$B$17="Sim",LEFT(D250,17)="Cartão de crédito"),1,IFERROR(INDEX(Config!$C$12:$C$15,MATCH(IF(AND(D250="Cartão de crédito",N(E250)&gt;1),"Cartão de crédito parcelado",D250),Config!$A$12:$A$15,0)),0)))</f>
        <v>46259.0</v>
      </c>
      <c r="M250" s="37">
        <f>IF(L250="","",IF(AND(Config!$B$17="Sim",LEFT(D250,17)="Cartão de crédito"),L250,L250+30*(MAX(1,N(E250))-1)))</f>
        <v>46259.0</v>
      </c>
      <c r="N250" s="29">
        <f>IF(OR(L250="",K250=""),"",K250*MIN(MAX(1,N(E250)),MAX(0,INT((Config!$B$8-L250)/30)+1)))</f>
        <v>380</v>
      </c>
      <c r="O250" s="29">
        <f>IF(J250="","",J250-N(N250))</f>
        <v>0</v>
      </c>
      <c r="P250" s="27">
        <f>IF(A250="","",MONTH(A250))</f>
        <v>8</v>
      </c>
      <c r="Q250" s="27">
        <f>IF(A250="","",YEAR(A250))</f>
        <v>2026</v>
      </c>
      <c r="R250" s="27" t="str">
        <f>IF(L250="","",IF(L250&gt;Config!$B$8,"A cair",IF(N(G250)&gt;=MIN(MAX(1,N(E250)),MAX(0,INT((Config!$B$8-L250)/30)+1)),IF(N(G250)&gt;=MAX(1,N(E250)),"Conferido","Conferido até aqui"),"A conferir")))</f>
        <v>Conferido</v>
      </c>
      <c r="S250" s="51">
        <f>IF(R250="A conferir",(Config!$B$8-L250)*1000+N(F250)/1000+ROW()/100000,0)</f>
        <v>0</v>
      </c>
      <c r="T250" s="51">
        <f>IF(R250="A conferir",N(N250),0)</f>
        <v>0</v>
      </c>
      <c r="U250" s="51">
        <f>IF(L250="",0,L250)</f>
        <v>46259.0</v>
      </c>
      <c r="V250" s="51">
        <f>IF(L250="",0,MAX(1,N(E250)))</f>
        <v>1</v>
      </c>
      <c r="W250" s="51">
        <f>IF(K250="",0,K250)</f>
        <v>380</v>
      </c>
    </row>
    <row r="251">
      <c r="A251" s="49" t="n">
        <v>46259</v>
      </c>
      <c r="B251" s="41" t="inlineStr">
        <is>
          <t>Roberta Araújo</t>
        </is>
      </c>
      <c r="C251" s="41" t="inlineStr">
        <is>
          <t>Holter</t>
        </is>
      </c>
      <c r="D251" s="42" t="inlineStr">
        <is>
          <t>Cartão de crédito</t>
        </is>
      </c>
      <c r="E251" s="42" t="n"/>
      <c r="F251" s="50" t="n">
        <v>350</v>
      </c>
      <c r="G251" s="42" t="n"/>
      <c r="H251" s="30">
        <f>IF(D251="","",IFERROR(INDEX(Config!$B$12:$B$15,MATCH(IF(AND(D251="Cartão de crédito",N(E251)&gt;1),"Cartão de crédito parcelado",D251),Config!$A$12:$A$15,0)),0)+IF(AND(Config!$B$17="Sim",LEFT(D251,17)="Cartão de crédito"),Config!$B$18*IFERROR(INDEX(Config!$C$12:$C$15,MATCH(IF(AND(D251="Cartão de crédito",N(E251)&gt;1),"Cartão de crédito parcelado",D251),Config!$A$12:$A$15,0)),0)/30*MAX(1,N(E251)),0))</f>
        <v>0.032</v>
      </c>
      <c r="I251" s="29">
        <f>IF(OR(D251="",F251=""),"",ROUND(F251*H251,2))</f>
        <v>11.2</v>
      </c>
      <c r="J251" s="29">
        <f>IF(I251="","",F251-I251)</f>
        <v>338.8</v>
      </c>
      <c r="K251" s="29">
        <f>IF(J251="","",J251/MAX(1,N(E251)))</f>
        <v>338.8</v>
      </c>
      <c r="L251" s="37">
        <f>IF(OR(D251="",A251=""),"",A251+IF(AND(Config!$B$17="Sim",LEFT(D251,17)="Cartão de crédito"),1,IFERROR(INDEX(Config!$C$12:$C$15,MATCH(IF(AND(D251="Cartão de crédito",N(E251)&gt;1),"Cartão de crédito parcelado",D251),Config!$A$12:$A$15,0)),0)))</f>
        <v>46289.0</v>
      </c>
      <c r="M251" s="37">
        <f>IF(L251="","",IF(AND(Config!$B$17="Sim",LEFT(D251,17)="Cartão de crédito"),L251,L251+30*(MAX(1,N(E251))-1)))</f>
        <v>46289.0</v>
      </c>
      <c r="N251" s="29">
        <f>IF(OR(L251="",K251=""),"",K251*MIN(MAX(1,N(E251)),MAX(0,INT((Config!$B$8-L251)/30)+1)))</f>
        <v>0</v>
      </c>
      <c r="O251" s="29">
        <f>IF(J251="","",J251-N(N251))</f>
        <v>338.8</v>
      </c>
      <c r="P251" s="27">
        <f>IF(A251="","",MONTH(A251))</f>
        <v>8</v>
      </c>
      <c r="Q251" s="27">
        <f>IF(A251="","",YEAR(A251))</f>
        <v>2026</v>
      </c>
      <c r="R251" s="27" t="str">
        <f>IF(L251="","",IF(L251&gt;Config!$B$8,"A cair",IF(N(G251)&gt;=MIN(MAX(1,N(E251)),MAX(0,INT((Config!$B$8-L251)/30)+1)),IF(N(G251)&gt;=MAX(1,N(E251)),"Conferido","Conferido até aqui"),"A conferir")))</f>
        <v>A cair</v>
      </c>
      <c r="S251" s="51">
        <f>IF(R251="A conferir",(Config!$B$8-L251)*1000+N(F251)/1000+ROW()/100000,0)</f>
        <v>0</v>
      </c>
      <c r="T251" s="51">
        <f>IF(R251="A conferir",N(N251),0)</f>
        <v>0</v>
      </c>
      <c r="U251" s="51">
        <f>IF(L251="",0,L251)</f>
        <v>46289.0</v>
      </c>
      <c r="V251" s="51">
        <f>IF(L251="",0,MAX(1,N(E251)))</f>
        <v>1</v>
      </c>
      <c r="W251" s="51">
        <f>IF(K251="",0,K251)</f>
        <v>338.8</v>
      </c>
    </row>
    <row r="252">
      <c r="A252" s="49" t="n">
        <v>46259</v>
      </c>
      <c r="B252" s="41" t="inlineStr">
        <is>
          <t>Rafael Barros</t>
        </is>
      </c>
      <c r="C252" s="41" t="inlineStr">
        <is>
          <t>Consulta</t>
        </is>
      </c>
      <c r="D252" s="42" t="inlineStr">
        <is>
          <t>Cartão de crédito</t>
        </is>
      </c>
      <c r="E252" s="42" t="n">
        <v>2</v>
      </c>
      <c r="F252" s="50" t="n">
        <v>380</v>
      </c>
      <c r="G252" s="42" t="n"/>
      <c r="H252" s="30">
        <f>IF(D252="","",IFERROR(INDEX(Config!$B$12:$B$15,MATCH(IF(AND(D252="Cartão de crédito",N(E252)&gt;1),"Cartão de crédito parcelado",D252),Config!$A$12:$A$15,0)),0)+IF(AND(Config!$B$17="Sim",LEFT(D252,17)="Cartão de crédito"),Config!$B$18*IFERROR(INDEX(Config!$C$12:$C$15,MATCH(IF(AND(D252="Cartão de crédito",N(E252)&gt;1),"Cartão de crédito parcelado",D252),Config!$A$12:$A$15,0)),0)/30*MAX(1,N(E252)),0))</f>
        <v>0.039</v>
      </c>
      <c r="I252" s="29">
        <f>IF(OR(D252="",F252=""),"",ROUND(F252*H252,2))</f>
        <v>14.82</v>
      </c>
      <c r="J252" s="29">
        <f>IF(I252="","",F252-I252)</f>
        <v>365.18</v>
      </c>
      <c r="K252" s="29">
        <f>IF(J252="","",J252/MAX(1,N(E252)))</f>
        <v>182.59</v>
      </c>
      <c r="L252" s="37">
        <f>IF(OR(D252="",A252=""),"",A252+IF(AND(Config!$B$17="Sim",LEFT(D252,17)="Cartão de crédito"),1,IFERROR(INDEX(Config!$C$12:$C$15,MATCH(IF(AND(D252="Cartão de crédito",N(E252)&gt;1),"Cartão de crédito parcelado",D252),Config!$A$12:$A$15,0)),0)))</f>
        <v>46289.0</v>
      </c>
      <c r="M252" s="37">
        <f>IF(L252="","",IF(AND(Config!$B$17="Sim",LEFT(D252,17)="Cartão de crédito"),L252,L252+30*(MAX(1,N(E252))-1)))</f>
        <v>46319.0</v>
      </c>
      <c r="N252" s="29">
        <f>IF(OR(L252="",K252=""),"",K252*MIN(MAX(1,N(E252)),MAX(0,INT((Config!$B$8-L252)/30)+1)))</f>
        <v>0</v>
      </c>
      <c r="O252" s="29">
        <f>IF(J252="","",J252-N(N252))</f>
        <v>365.18</v>
      </c>
      <c r="P252" s="27">
        <f>IF(A252="","",MONTH(A252))</f>
        <v>8</v>
      </c>
      <c r="Q252" s="27">
        <f>IF(A252="","",YEAR(A252))</f>
        <v>2026</v>
      </c>
      <c r="R252" s="27" t="str">
        <f>IF(L252="","",IF(L252&gt;Config!$B$8,"A cair",IF(N(G252)&gt;=MIN(MAX(1,N(E252)),MAX(0,INT((Config!$B$8-L252)/30)+1)),IF(N(G252)&gt;=MAX(1,N(E252)),"Conferido","Conferido até aqui"),"A conferir")))</f>
        <v>A cair</v>
      </c>
      <c r="S252" s="51">
        <f>IF(R252="A conferir",(Config!$B$8-L252)*1000+N(F252)/1000+ROW()/100000,0)</f>
        <v>0</v>
      </c>
      <c r="T252" s="51">
        <f>IF(R252="A conferir",N(N252),0)</f>
        <v>0</v>
      </c>
      <c r="U252" s="51">
        <f>IF(L252="",0,L252)</f>
        <v>46289.0</v>
      </c>
      <c r="V252" s="51">
        <f>IF(L252="",0,MAX(1,N(E252)))</f>
        <v>2</v>
      </c>
      <c r="W252" s="51">
        <f>IF(K252="",0,K252)</f>
        <v>182.59</v>
      </c>
    </row>
    <row r="253">
      <c r="A253" s="49" t="n">
        <v>46259</v>
      </c>
      <c r="B253" s="41" t="inlineStr">
        <is>
          <t>Cláudia Melo</t>
        </is>
      </c>
      <c r="C253" s="41" t="inlineStr">
        <is>
          <t>Avaliação endócrina</t>
        </is>
      </c>
      <c r="D253" s="42" t="inlineStr">
        <is>
          <t>Cartão de débito</t>
        </is>
      </c>
      <c r="E253" s="42" t="n"/>
      <c r="F253" s="50" t="n">
        <v>400</v>
      </c>
      <c r="G253" s="42" t="n">
        <v>1</v>
      </c>
      <c r="H253" s="30">
        <f>IF(D253="","",IFERROR(INDEX(Config!$B$12:$B$15,MATCH(IF(AND(D253="Cartão de crédito",N(E253)&gt;1),"Cartão de crédito parcelado",D253),Config!$A$12:$A$15,0)),0)+IF(AND(Config!$B$17="Sim",LEFT(D253,17)="Cartão de crédito"),Config!$B$18*IFERROR(INDEX(Config!$C$12:$C$15,MATCH(IF(AND(D253="Cartão de crédito",N(E253)&gt;1),"Cartão de crédito parcelado",D253),Config!$A$12:$A$15,0)),0)/30*MAX(1,N(E253)),0))</f>
        <v>0.015</v>
      </c>
      <c r="I253" s="29">
        <f>IF(OR(D253="",F253=""),"",ROUND(F253*H253,2))</f>
        <v>6</v>
      </c>
      <c r="J253" s="29">
        <f>IF(I253="","",F253-I253)</f>
        <v>394</v>
      </c>
      <c r="K253" s="29">
        <f>IF(J253="","",J253/MAX(1,N(E253)))</f>
        <v>394</v>
      </c>
      <c r="L253" s="37">
        <f>IF(OR(D253="",A253=""),"",A253+IF(AND(Config!$B$17="Sim",LEFT(D253,17)="Cartão de crédito"),1,IFERROR(INDEX(Config!$C$12:$C$15,MATCH(IF(AND(D253="Cartão de crédito",N(E253)&gt;1),"Cartão de crédito parcelado",D253),Config!$A$12:$A$15,0)),0)))</f>
        <v>46260.0</v>
      </c>
      <c r="M253" s="37">
        <f>IF(L253="","",IF(AND(Config!$B$17="Sim",LEFT(D253,17)="Cartão de crédito"),L253,L253+30*(MAX(1,N(E253))-1)))</f>
        <v>46260.0</v>
      </c>
      <c r="N253" s="29">
        <f>IF(OR(L253="",K253=""),"",K253*MIN(MAX(1,N(E253)),MAX(0,INT((Config!$B$8-L253)/30)+1)))</f>
        <v>394</v>
      </c>
      <c r="O253" s="29">
        <f>IF(J253="","",J253-N(N253))</f>
        <v>0</v>
      </c>
      <c r="P253" s="27">
        <f>IF(A253="","",MONTH(A253))</f>
        <v>8</v>
      </c>
      <c r="Q253" s="27">
        <f>IF(A253="","",YEAR(A253))</f>
        <v>2026</v>
      </c>
      <c r="R253" s="27" t="str">
        <f>IF(L253="","",IF(L253&gt;Config!$B$8,"A cair",IF(N(G253)&gt;=MIN(MAX(1,N(E253)),MAX(0,INT((Config!$B$8-L253)/30)+1)),IF(N(G253)&gt;=MAX(1,N(E253)),"Conferido","Conferido até aqui"),"A conferir")))</f>
        <v>Conferido</v>
      </c>
      <c r="S253" s="51">
        <f>IF(R253="A conferir",(Config!$B$8-L253)*1000+N(F253)/1000+ROW()/100000,0)</f>
        <v>0</v>
      </c>
      <c r="T253" s="51">
        <f>IF(R253="A conferir",N(N253),0)</f>
        <v>0</v>
      </c>
      <c r="U253" s="51">
        <f>IF(L253="",0,L253)</f>
        <v>46260.0</v>
      </c>
      <c r="V253" s="51">
        <f>IF(L253="",0,MAX(1,N(E253)))</f>
        <v>1</v>
      </c>
      <c r="W253" s="51">
        <f>IF(K253="",0,K253)</f>
        <v>394</v>
      </c>
    </row>
    <row r="254">
      <c r="A254" s="49" t="n">
        <v>46259</v>
      </c>
      <c r="B254" s="41" t="inlineStr">
        <is>
          <t>Paulo Reis</t>
        </is>
      </c>
      <c r="C254" s="41" t="inlineStr">
        <is>
          <t>Holter</t>
        </is>
      </c>
      <c r="D254" s="42" t="inlineStr">
        <is>
          <t>Cartão de crédito</t>
        </is>
      </c>
      <c r="E254" s="42" t="n">
        <v>2</v>
      </c>
      <c r="F254" s="50" t="n">
        <v>350</v>
      </c>
      <c r="G254" s="42" t="n"/>
      <c r="H254" s="30">
        <f>IF(D254="","",IFERROR(INDEX(Config!$B$12:$B$15,MATCH(IF(AND(D254="Cartão de crédito",N(E254)&gt;1),"Cartão de crédito parcelado",D254),Config!$A$12:$A$15,0)),0)+IF(AND(Config!$B$17="Sim",LEFT(D254,17)="Cartão de crédito"),Config!$B$18*IFERROR(INDEX(Config!$C$12:$C$15,MATCH(IF(AND(D254="Cartão de crédito",N(E254)&gt;1),"Cartão de crédito parcelado",D254),Config!$A$12:$A$15,0)),0)/30*MAX(1,N(E254)),0))</f>
        <v>0.039</v>
      </c>
      <c r="I254" s="29">
        <f>IF(OR(D254="",F254=""),"",ROUND(F254*H254,2))</f>
        <v>13.65</v>
      </c>
      <c r="J254" s="29">
        <f>IF(I254="","",F254-I254)</f>
        <v>336.35</v>
      </c>
      <c r="K254" s="29">
        <f>IF(J254="","",J254/MAX(1,N(E254)))</f>
        <v>168.175</v>
      </c>
      <c r="L254" s="37">
        <f>IF(OR(D254="",A254=""),"",A254+IF(AND(Config!$B$17="Sim",LEFT(D254,17)="Cartão de crédito"),1,IFERROR(INDEX(Config!$C$12:$C$15,MATCH(IF(AND(D254="Cartão de crédito",N(E254)&gt;1),"Cartão de crédito parcelado",D254),Config!$A$12:$A$15,0)),0)))</f>
        <v>46289.0</v>
      </c>
      <c r="M254" s="37">
        <f>IF(L254="","",IF(AND(Config!$B$17="Sim",LEFT(D254,17)="Cartão de crédito"),L254,L254+30*(MAX(1,N(E254))-1)))</f>
        <v>46319.0</v>
      </c>
      <c r="N254" s="29">
        <f>IF(OR(L254="",K254=""),"",K254*MIN(MAX(1,N(E254)),MAX(0,INT((Config!$B$8-L254)/30)+1)))</f>
        <v>0</v>
      </c>
      <c r="O254" s="29">
        <f>IF(J254="","",J254-N(N254))</f>
        <v>336.35</v>
      </c>
      <c r="P254" s="27">
        <f>IF(A254="","",MONTH(A254))</f>
        <v>8</v>
      </c>
      <c r="Q254" s="27">
        <f>IF(A254="","",YEAR(A254))</f>
        <v>2026</v>
      </c>
      <c r="R254" s="27" t="str">
        <f>IF(L254="","",IF(L254&gt;Config!$B$8,"A cair",IF(N(G254)&gt;=MIN(MAX(1,N(E254)),MAX(0,INT((Config!$B$8-L254)/30)+1)),IF(N(G254)&gt;=MAX(1,N(E254)),"Conferido","Conferido até aqui"),"A conferir")))</f>
        <v>A cair</v>
      </c>
      <c r="S254" s="51">
        <f>IF(R254="A conferir",(Config!$B$8-L254)*1000+N(F254)/1000+ROW()/100000,0)</f>
        <v>0</v>
      </c>
      <c r="T254" s="51">
        <f>IF(R254="A conferir",N(N254),0)</f>
        <v>0</v>
      </c>
      <c r="U254" s="51">
        <f>IF(L254="",0,L254)</f>
        <v>46289.0</v>
      </c>
      <c r="V254" s="51">
        <f>IF(L254="",0,MAX(1,N(E254)))</f>
        <v>2</v>
      </c>
      <c r="W254" s="51">
        <f>IF(K254="",0,K254)</f>
        <v>168.175</v>
      </c>
    </row>
    <row r="255">
      <c r="A255" s="49" t="n">
        <v>46260</v>
      </c>
      <c r="B255" s="41" t="inlineStr">
        <is>
          <t>Helena Moreira</t>
        </is>
      </c>
      <c r="C255" s="41" t="inlineStr">
        <is>
          <t>Consulta</t>
        </is>
      </c>
      <c r="D255" s="42" t="inlineStr">
        <is>
          <t>Cartão de débito</t>
        </is>
      </c>
      <c r="E255" s="42" t="n"/>
      <c r="F255" s="50" t="n">
        <v>380</v>
      </c>
      <c r="G255" s="42" t="n">
        <v>1</v>
      </c>
      <c r="H255" s="30">
        <f>IF(D255="","",IFERROR(INDEX(Config!$B$12:$B$15,MATCH(IF(AND(D255="Cartão de crédito",N(E255)&gt;1),"Cartão de crédito parcelado",D255),Config!$A$12:$A$15,0)),0)+IF(AND(Config!$B$17="Sim",LEFT(D255,17)="Cartão de crédito"),Config!$B$18*IFERROR(INDEX(Config!$C$12:$C$15,MATCH(IF(AND(D255="Cartão de crédito",N(E255)&gt;1),"Cartão de crédito parcelado",D255),Config!$A$12:$A$15,0)),0)/30*MAX(1,N(E255)),0))</f>
        <v>0.015</v>
      </c>
      <c r="I255" s="29">
        <f>IF(OR(D255="",F255=""),"",ROUND(F255*H255,2))</f>
        <v>5.7</v>
      </c>
      <c r="J255" s="29">
        <f>IF(I255="","",F255-I255)</f>
        <v>374.3</v>
      </c>
      <c r="K255" s="29">
        <f>IF(J255="","",J255/MAX(1,N(E255)))</f>
        <v>374.3</v>
      </c>
      <c r="L255" s="37">
        <f>IF(OR(D255="",A255=""),"",A255+IF(AND(Config!$B$17="Sim",LEFT(D255,17)="Cartão de crédito"),1,IFERROR(INDEX(Config!$C$12:$C$15,MATCH(IF(AND(D255="Cartão de crédito",N(E255)&gt;1),"Cartão de crédito parcelado",D255),Config!$A$12:$A$15,0)),0)))</f>
        <v>46261.0</v>
      </c>
      <c r="M255" s="37">
        <f>IF(L255="","",IF(AND(Config!$B$17="Sim",LEFT(D255,17)="Cartão de crédito"),L255,L255+30*(MAX(1,N(E255))-1)))</f>
        <v>46261.0</v>
      </c>
      <c r="N255" s="29">
        <f>IF(OR(L255="",K255=""),"",K255*MIN(MAX(1,N(E255)),MAX(0,INT((Config!$B$8-L255)/30)+1)))</f>
        <v>374.3</v>
      </c>
      <c r="O255" s="29">
        <f>IF(J255="","",J255-N(N255))</f>
        <v>0</v>
      </c>
      <c r="P255" s="27">
        <f>IF(A255="","",MONTH(A255))</f>
        <v>8</v>
      </c>
      <c r="Q255" s="27">
        <f>IF(A255="","",YEAR(A255))</f>
        <v>2026</v>
      </c>
      <c r="R255" s="27" t="str">
        <f>IF(L255="","",IF(L255&gt;Config!$B$8,"A cair",IF(N(G255)&gt;=MIN(MAX(1,N(E255)),MAX(0,INT((Config!$B$8-L255)/30)+1)),IF(N(G255)&gt;=MAX(1,N(E255)),"Conferido","Conferido até aqui"),"A conferir")))</f>
        <v>Conferido</v>
      </c>
      <c r="S255" s="51">
        <f>IF(R255="A conferir",(Config!$B$8-L255)*1000+N(F255)/1000+ROW()/100000,0)</f>
        <v>0</v>
      </c>
      <c r="T255" s="51">
        <f>IF(R255="A conferir",N(N255),0)</f>
        <v>0</v>
      </c>
      <c r="U255" s="51">
        <f>IF(L255="",0,L255)</f>
        <v>46261.0</v>
      </c>
      <c r="V255" s="51">
        <f>IF(L255="",0,MAX(1,N(E255)))</f>
        <v>1</v>
      </c>
      <c r="W255" s="51">
        <f>IF(K255="",0,K255)</f>
        <v>374.3</v>
      </c>
    </row>
    <row r="256">
      <c r="A256" s="49" t="n">
        <v>46260</v>
      </c>
      <c r="B256" s="41" t="inlineStr">
        <is>
          <t>Rodrigo Moreira</t>
        </is>
      </c>
      <c r="C256" s="41" t="inlineStr">
        <is>
          <t>Consulta</t>
        </is>
      </c>
      <c r="D256" s="42" t="inlineStr">
        <is>
          <t>Pix</t>
        </is>
      </c>
      <c r="E256" s="42" t="n"/>
      <c r="F256" s="50" t="n">
        <v>380</v>
      </c>
      <c r="G256" s="42" t="n">
        <v>1</v>
      </c>
      <c r="H256" s="30">
        <f>IF(D256="","",IFERROR(INDEX(Config!$B$12:$B$15,MATCH(IF(AND(D256="Cartão de crédito",N(E256)&gt;1),"Cartão de crédito parcelado",D256),Config!$A$12:$A$15,0)),0)+IF(AND(Config!$B$17="Sim",LEFT(D256,17)="Cartão de crédito"),Config!$B$18*IFERROR(INDEX(Config!$C$12:$C$15,MATCH(IF(AND(D256="Cartão de crédito",N(E256)&gt;1),"Cartão de crédito parcelado",D256),Config!$A$12:$A$15,0)),0)/30*MAX(1,N(E256)),0))</f>
        <v>0</v>
      </c>
      <c r="I256" s="29">
        <f>IF(OR(D256="",F256=""),"",ROUND(F256*H256,2))</f>
        <v>0</v>
      </c>
      <c r="J256" s="29">
        <f>IF(I256="","",F256-I256)</f>
        <v>380</v>
      </c>
      <c r="K256" s="29">
        <f>IF(J256="","",J256/MAX(1,N(E256)))</f>
        <v>380</v>
      </c>
      <c r="L256" s="37">
        <f>IF(OR(D256="",A256=""),"",A256+IF(AND(Config!$B$17="Sim",LEFT(D256,17)="Cartão de crédito"),1,IFERROR(INDEX(Config!$C$12:$C$15,MATCH(IF(AND(D256="Cartão de crédito",N(E256)&gt;1),"Cartão de crédito parcelado",D256),Config!$A$12:$A$15,0)),0)))</f>
        <v>46260.0</v>
      </c>
      <c r="M256" s="37">
        <f>IF(L256="","",IF(AND(Config!$B$17="Sim",LEFT(D256,17)="Cartão de crédito"),L256,L256+30*(MAX(1,N(E256))-1)))</f>
        <v>46260.0</v>
      </c>
      <c r="N256" s="29">
        <f>IF(OR(L256="",K256=""),"",K256*MIN(MAX(1,N(E256)),MAX(0,INT((Config!$B$8-L256)/30)+1)))</f>
        <v>380</v>
      </c>
      <c r="O256" s="29">
        <f>IF(J256="","",J256-N(N256))</f>
        <v>0</v>
      </c>
      <c r="P256" s="27">
        <f>IF(A256="","",MONTH(A256))</f>
        <v>8</v>
      </c>
      <c r="Q256" s="27">
        <f>IF(A256="","",YEAR(A256))</f>
        <v>2026</v>
      </c>
      <c r="R256" s="27" t="str">
        <f>IF(L256="","",IF(L256&gt;Config!$B$8,"A cair",IF(N(G256)&gt;=MIN(MAX(1,N(E256)),MAX(0,INT((Config!$B$8-L256)/30)+1)),IF(N(G256)&gt;=MAX(1,N(E256)),"Conferido","Conferido até aqui"),"A conferir")))</f>
        <v>Conferido</v>
      </c>
      <c r="S256" s="51">
        <f>IF(R256="A conferir",(Config!$B$8-L256)*1000+N(F256)/1000+ROW()/100000,0)</f>
        <v>0</v>
      </c>
      <c r="T256" s="51">
        <f>IF(R256="A conferir",N(N256),0)</f>
        <v>0</v>
      </c>
      <c r="U256" s="51">
        <f>IF(L256="",0,L256)</f>
        <v>46260.0</v>
      </c>
      <c r="V256" s="51">
        <f>IF(L256="",0,MAX(1,N(E256)))</f>
        <v>1</v>
      </c>
      <c r="W256" s="51">
        <f>IF(K256="",0,K256)</f>
        <v>380</v>
      </c>
    </row>
    <row r="257">
      <c r="A257" s="49" t="n">
        <v>46260</v>
      </c>
      <c r="B257" s="41" t="inlineStr">
        <is>
          <t>Rafael Dias</t>
        </is>
      </c>
      <c r="C257" s="41" t="inlineStr">
        <is>
          <t>Consulta</t>
        </is>
      </c>
      <c r="D257" s="42" t="inlineStr">
        <is>
          <t>Pix</t>
        </is>
      </c>
      <c r="E257" s="42" t="n"/>
      <c r="F257" s="50" t="n">
        <v>380</v>
      </c>
      <c r="G257" s="42" t="n">
        <v>1</v>
      </c>
      <c r="H257" s="30">
        <f>IF(D257="","",IFERROR(INDEX(Config!$B$12:$B$15,MATCH(IF(AND(D257="Cartão de crédito",N(E257)&gt;1),"Cartão de crédito parcelado",D257),Config!$A$12:$A$15,0)),0)+IF(AND(Config!$B$17="Sim",LEFT(D257,17)="Cartão de crédito"),Config!$B$18*IFERROR(INDEX(Config!$C$12:$C$15,MATCH(IF(AND(D257="Cartão de crédito",N(E257)&gt;1),"Cartão de crédito parcelado",D257),Config!$A$12:$A$15,0)),0)/30*MAX(1,N(E257)),0))</f>
        <v>0</v>
      </c>
      <c r="I257" s="29">
        <f>IF(OR(D257="",F257=""),"",ROUND(F257*H257,2))</f>
        <v>0</v>
      </c>
      <c r="J257" s="29">
        <f>IF(I257="","",F257-I257)</f>
        <v>380</v>
      </c>
      <c r="K257" s="29">
        <f>IF(J257="","",J257/MAX(1,N(E257)))</f>
        <v>380</v>
      </c>
      <c r="L257" s="37">
        <f>IF(OR(D257="",A257=""),"",A257+IF(AND(Config!$B$17="Sim",LEFT(D257,17)="Cartão de crédito"),1,IFERROR(INDEX(Config!$C$12:$C$15,MATCH(IF(AND(D257="Cartão de crédito",N(E257)&gt;1),"Cartão de crédito parcelado",D257),Config!$A$12:$A$15,0)),0)))</f>
        <v>46260.0</v>
      </c>
      <c r="M257" s="37">
        <f>IF(L257="","",IF(AND(Config!$B$17="Sim",LEFT(D257,17)="Cartão de crédito"),L257,L257+30*(MAX(1,N(E257))-1)))</f>
        <v>46260.0</v>
      </c>
      <c r="N257" s="29">
        <f>IF(OR(L257="",K257=""),"",K257*MIN(MAX(1,N(E257)),MAX(0,INT((Config!$B$8-L257)/30)+1)))</f>
        <v>380</v>
      </c>
      <c r="O257" s="29">
        <f>IF(J257="","",J257-N(N257))</f>
        <v>0</v>
      </c>
      <c r="P257" s="27">
        <f>IF(A257="","",MONTH(A257))</f>
        <v>8</v>
      </c>
      <c r="Q257" s="27">
        <f>IF(A257="","",YEAR(A257))</f>
        <v>2026</v>
      </c>
      <c r="R257" s="27" t="str">
        <f>IF(L257="","",IF(L257&gt;Config!$B$8,"A cair",IF(N(G257)&gt;=MIN(MAX(1,N(E257)),MAX(0,INT((Config!$B$8-L257)/30)+1)),IF(N(G257)&gt;=MAX(1,N(E257)),"Conferido","Conferido até aqui"),"A conferir")))</f>
        <v>Conferido</v>
      </c>
      <c r="S257" s="51">
        <f>IF(R257="A conferir",(Config!$B$8-L257)*1000+N(F257)/1000+ROW()/100000,0)</f>
        <v>0</v>
      </c>
      <c r="T257" s="51">
        <f>IF(R257="A conferir",N(N257),0)</f>
        <v>0</v>
      </c>
      <c r="U257" s="51">
        <f>IF(L257="",0,L257)</f>
        <v>46260.0</v>
      </c>
      <c r="V257" s="51">
        <f>IF(L257="",0,MAX(1,N(E257)))</f>
        <v>1</v>
      </c>
      <c r="W257" s="51">
        <f>IF(K257="",0,K257)</f>
        <v>380</v>
      </c>
    </row>
    <row r="258">
      <c r="A258" s="49" t="n">
        <v>46261</v>
      </c>
      <c r="B258" s="41" t="inlineStr">
        <is>
          <t>Regina Duarte</t>
        </is>
      </c>
      <c r="C258" s="41" t="inlineStr">
        <is>
          <t>Consulta</t>
        </is>
      </c>
      <c r="D258" s="42" t="inlineStr">
        <is>
          <t>Cartão de débito</t>
        </is>
      </c>
      <c r="E258" s="42" t="n"/>
      <c r="F258" s="50" t="n">
        <v>380</v>
      </c>
      <c r="G258" s="42" t="n">
        <v>1</v>
      </c>
      <c r="H258" s="30">
        <f>IF(D258="","",IFERROR(INDEX(Config!$B$12:$B$15,MATCH(IF(AND(D258="Cartão de crédito",N(E258)&gt;1),"Cartão de crédito parcelado",D258),Config!$A$12:$A$15,0)),0)+IF(AND(Config!$B$17="Sim",LEFT(D258,17)="Cartão de crédito"),Config!$B$18*IFERROR(INDEX(Config!$C$12:$C$15,MATCH(IF(AND(D258="Cartão de crédito",N(E258)&gt;1),"Cartão de crédito parcelado",D258),Config!$A$12:$A$15,0)),0)/30*MAX(1,N(E258)),0))</f>
        <v>0.015</v>
      </c>
      <c r="I258" s="29">
        <f>IF(OR(D258="",F258=""),"",ROUND(F258*H258,2))</f>
        <v>5.7</v>
      </c>
      <c r="J258" s="29">
        <f>IF(I258="","",F258-I258)</f>
        <v>374.3</v>
      </c>
      <c r="K258" s="29">
        <f>IF(J258="","",J258/MAX(1,N(E258)))</f>
        <v>374.3</v>
      </c>
      <c r="L258" s="37">
        <f>IF(OR(D258="",A258=""),"",A258+IF(AND(Config!$B$17="Sim",LEFT(D258,17)="Cartão de crédito"),1,IFERROR(INDEX(Config!$C$12:$C$15,MATCH(IF(AND(D258="Cartão de crédito",N(E258)&gt;1),"Cartão de crédito parcelado",D258),Config!$A$12:$A$15,0)),0)))</f>
        <v>46262.0</v>
      </c>
      <c r="M258" s="37">
        <f>IF(L258="","",IF(AND(Config!$B$17="Sim",LEFT(D258,17)="Cartão de crédito"),L258,L258+30*(MAX(1,N(E258))-1)))</f>
        <v>46262.0</v>
      </c>
      <c r="N258" s="29">
        <f>IF(OR(L258="",K258=""),"",K258*MIN(MAX(1,N(E258)),MAX(0,INT((Config!$B$8-L258)/30)+1)))</f>
        <v>374.3</v>
      </c>
      <c r="O258" s="29">
        <f>IF(J258="","",J258-N(N258))</f>
        <v>0</v>
      </c>
      <c r="P258" s="27">
        <f>IF(A258="","",MONTH(A258))</f>
        <v>8</v>
      </c>
      <c r="Q258" s="27">
        <f>IF(A258="","",YEAR(A258))</f>
        <v>2026</v>
      </c>
      <c r="R258" s="27" t="str">
        <f>IF(L258="","",IF(L258&gt;Config!$B$8,"A cair",IF(N(G258)&gt;=MIN(MAX(1,N(E258)),MAX(0,INT((Config!$B$8-L258)/30)+1)),IF(N(G258)&gt;=MAX(1,N(E258)),"Conferido","Conferido até aqui"),"A conferir")))</f>
        <v>Conferido</v>
      </c>
      <c r="S258" s="51">
        <f>IF(R258="A conferir",(Config!$B$8-L258)*1000+N(F258)/1000+ROW()/100000,0)</f>
        <v>0</v>
      </c>
      <c r="T258" s="51">
        <f>IF(R258="A conferir",N(N258),0)</f>
        <v>0</v>
      </c>
      <c r="U258" s="51">
        <f>IF(L258="",0,L258)</f>
        <v>46262.0</v>
      </c>
      <c r="V258" s="51">
        <f>IF(L258="",0,MAX(1,N(E258)))</f>
        <v>1</v>
      </c>
      <c r="W258" s="51">
        <f>IF(K258="",0,K258)</f>
        <v>374.3</v>
      </c>
    </row>
    <row r="259">
      <c r="A259" s="49" t="n">
        <v>46261</v>
      </c>
      <c r="B259" s="41" t="inlineStr">
        <is>
          <t>Gisele Xavier</t>
        </is>
      </c>
      <c r="C259" s="41" t="inlineStr">
        <is>
          <t>Consulta</t>
        </is>
      </c>
      <c r="D259" s="42" t="inlineStr">
        <is>
          <t>Cartão de crédito</t>
        </is>
      </c>
      <c r="E259" s="42" t="n"/>
      <c r="F259" s="50" t="n">
        <v>380</v>
      </c>
      <c r="G259" s="42" t="n"/>
      <c r="H259" s="30">
        <f>IF(D259="","",IFERROR(INDEX(Config!$B$12:$B$15,MATCH(IF(AND(D259="Cartão de crédito",N(E259)&gt;1),"Cartão de crédito parcelado",D259),Config!$A$12:$A$15,0)),0)+IF(AND(Config!$B$17="Sim",LEFT(D259,17)="Cartão de crédito"),Config!$B$18*IFERROR(INDEX(Config!$C$12:$C$15,MATCH(IF(AND(D259="Cartão de crédito",N(E259)&gt;1),"Cartão de crédito parcelado",D259),Config!$A$12:$A$15,0)),0)/30*MAX(1,N(E259)),0))</f>
        <v>0.032</v>
      </c>
      <c r="I259" s="29">
        <f>IF(OR(D259="",F259=""),"",ROUND(F259*H259,2))</f>
        <v>12.16</v>
      </c>
      <c r="J259" s="29">
        <f>IF(I259="","",F259-I259)</f>
        <v>367.84</v>
      </c>
      <c r="K259" s="29">
        <f>IF(J259="","",J259/MAX(1,N(E259)))</f>
        <v>367.84</v>
      </c>
      <c r="L259" s="37">
        <f>IF(OR(D259="",A259=""),"",A259+IF(AND(Config!$B$17="Sim",LEFT(D259,17)="Cartão de crédito"),1,IFERROR(INDEX(Config!$C$12:$C$15,MATCH(IF(AND(D259="Cartão de crédito",N(E259)&gt;1),"Cartão de crédito parcelado",D259),Config!$A$12:$A$15,0)),0)))</f>
        <v>46291.0</v>
      </c>
      <c r="M259" s="37">
        <f>IF(L259="","",IF(AND(Config!$B$17="Sim",LEFT(D259,17)="Cartão de crédito"),L259,L259+30*(MAX(1,N(E259))-1)))</f>
        <v>46291.0</v>
      </c>
      <c r="N259" s="29">
        <f>IF(OR(L259="",K259=""),"",K259*MIN(MAX(1,N(E259)),MAX(0,INT((Config!$B$8-L259)/30)+1)))</f>
        <v>0</v>
      </c>
      <c r="O259" s="29">
        <f>IF(J259="","",J259-N(N259))</f>
        <v>367.84</v>
      </c>
      <c r="P259" s="27">
        <f>IF(A259="","",MONTH(A259))</f>
        <v>8</v>
      </c>
      <c r="Q259" s="27">
        <f>IF(A259="","",YEAR(A259))</f>
        <v>2026</v>
      </c>
      <c r="R259" s="27" t="str">
        <f>IF(L259="","",IF(L259&gt;Config!$B$8,"A cair",IF(N(G259)&gt;=MIN(MAX(1,N(E259)),MAX(0,INT((Config!$B$8-L259)/30)+1)),IF(N(G259)&gt;=MAX(1,N(E259)),"Conferido","Conferido até aqui"),"A conferir")))</f>
        <v>A cair</v>
      </c>
      <c r="S259" s="51">
        <f>IF(R259="A conferir",(Config!$B$8-L259)*1000+N(F259)/1000+ROW()/100000,0)</f>
        <v>0</v>
      </c>
      <c r="T259" s="51">
        <f>IF(R259="A conferir",N(N259),0)</f>
        <v>0</v>
      </c>
      <c r="U259" s="51">
        <f>IF(L259="",0,L259)</f>
        <v>46291.0</v>
      </c>
      <c r="V259" s="51">
        <f>IF(L259="",0,MAX(1,N(E259)))</f>
        <v>1</v>
      </c>
      <c r="W259" s="51">
        <f>IF(K259="",0,K259)</f>
        <v>367.84</v>
      </c>
    </row>
    <row r="260">
      <c r="A260" s="49" t="n">
        <v>46261</v>
      </c>
      <c r="B260" s="41" t="inlineStr">
        <is>
          <t>Marcelo Santos</t>
        </is>
      </c>
      <c r="C260" s="41" t="inlineStr">
        <is>
          <t>Consulta</t>
        </is>
      </c>
      <c r="D260" s="42" t="inlineStr">
        <is>
          <t>Cartão de crédito</t>
        </is>
      </c>
      <c r="E260" s="42" t="n"/>
      <c r="F260" s="50" t="n">
        <v>380</v>
      </c>
      <c r="G260" s="42" t="n"/>
      <c r="H260" s="30">
        <f>IF(D260="","",IFERROR(INDEX(Config!$B$12:$B$15,MATCH(IF(AND(D260="Cartão de crédito",N(E260)&gt;1),"Cartão de crédito parcelado",D260),Config!$A$12:$A$15,0)),0)+IF(AND(Config!$B$17="Sim",LEFT(D260,17)="Cartão de crédito"),Config!$B$18*IFERROR(INDEX(Config!$C$12:$C$15,MATCH(IF(AND(D260="Cartão de crédito",N(E260)&gt;1),"Cartão de crédito parcelado",D260),Config!$A$12:$A$15,0)),0)/30*MAX(1,N(E260)),0))</f>
        <v>0.032</v>
      </c>
      <c r="I260" s="29">
        <f>IF(OR(D260="",F260=""),"",ROUND(F260*H260,2))</f>
        <v>12.16</v>
      </c>
      <c r="J260" s="29">
        <f>IF(I260="","",F260-I260)</f>
        <v>367.84</v>
      </c>
      <c r="K260" s="29">
        <f>IF(J260="","",J260/MAX(1,N(E260)))</f>
        <v>367.84</v>
      </c>
      <c r="L260" s="37">
        <f>IF(OR(D260="",A260=""),"",A260+IF(AND(Config!$B$17="Sim",LEFT(D260,17)="Cartão de crédito"),1,IFERROR(INDEX(Config!$C$12:$C$15,MATCH(IF(AND(D260="Cartão de crédito",N(E260)&gt;1),"Cartão de crédito parcelado",D260),Config!$A$12:$A$15,0)),0)))</f>
        <v>46291.0</v>
      </c>
      <c r="M260" s="37">
        <f>IF(L260="","",IF(AND(Config!$B$17="Sim",LEFT(D260,17)="Cartão de crédito"),L260,L260+30*(MAX(1,N(E260))-1)))</f>
        <v>46291.0</v>
      </c>
      <c r="N260" s="29">
        <f>IF(OR(L260="",K260=""),"",K260*MIN(MAX(1,N(E260)),MAX(0,INT((Config!$B$8-L260)/30)+1)))</f>
        <v>0</v>
      </c>
      <c r="O260" s="29">
        <f>IF(J260="","",J260-N(N260))</f>
        <v>367.84</v>
      </c>
      <c r="P260" s="27">
        <f>IF(A260="","",MONTH(A260))</f>
        <v>8</v>
      </c>
      <c r="Q260" s="27">
        <f>IF(A260="","",YEAR(A260))</f>
        <v>2026</v>
      </c>
      <c r="R260" s="27" t="str">
        <f>IF(L260="","",IF(L260&gt;Config!$B$8,"A cair",IF(N(G260)&gt;=MIN(MAX(1,N(E260)),MAX(0,INT((Config!$B$8-L260)/30)+1)),IF(N(G260)&gt;=MAX(1,N(E260)),"Conferido","Conferido até aqui"),"A conferir")))</f>
        <v>A cair</v>
      </c>
      <c r="S260" s="51">
        <f>IF(R260="A conferir",(Config!$B$8-L260)*1000+N(F260)/1000+ROW()/100000,0)</f>
        <v>0</v>
      </c>
      <c r="T260" s="51">
        <f>IF(R260="A conferir",N(N260),0)</f>
        <v>0</v>
      </c>
      <c r="U260" s="51">
        <f>IF(L260="",0,L260)</f>
        <v>46291.0</v>
      </c>
      <c r="V260" s="51">
        <f>IF(L260="",0,MAX(1,N(E260)))</f>
        <v>1</v>
      </c>
      <c r="W260" s="51">
        <f>IF(K260="",0,K260)</f>
        <v>367.84</v>
      </c>
    </row>
    <row r="261">
      <c r="A261" s="49" t="n">
        <v>46261</v>
      </c>
      <c r="B261" s="41" t="inlineStr">
        <is>
          <t>Priscila Reis</t>
        </is>
      </c>
      <c r="C261" s="41" t="inlineStr">
        <is>
          <t>Avaliação endócrina</t>
        </is>
      </c>
      <c r="D261" s="42" t="inlineStr">
        <is>
          <t>Cartão de débito</t>
        </is>
      </c>
      <c r="E261" s="42" t="n"/>
      <c r="F261" s="50" t="n">
        <v>400</v>
      </c>
      <c r="G261" s="42" t="n">
        <v>1</v>
      </c>
      <c r="H261" s="30">
        <f>IF(D261="","",IFERROR(INDEX(Config!$B$12:$B$15,MATCH(IF(AND(D261="Cartão de crédito",N(E261)&gt;1),"Cartão de crédito parcelado",D261),Config!$A$12:$A$15,0)),0)+IF(AND(Config!$B$17="Sim",LEFT(D261,17)="Cartão de crédito"),Config!$B$18*IFERROR(INDEX(Config!$C$12:$C$15,MATCH(IF(AND(D261="Cartão de crédito",N(E261)&gt;1),"Cartão de crédito parcelado",D261),Config!$A$12:$A$15,0)),0)/30*MAX(1,N(E261)),0))</f>
        <v>0.015</v>
      </c>
      <c r="I261" s="29">
        <f>IF(OR(D261="",F261=""),"",ROUND(F261*H261,2))</f>
        <v>6</v>
      </c>
      <c r="J261" s="29">
        <f>IF(I261="","",F261-I261)</f>
        <v>394</v>
      </c>
      <c r="K261" s="29">
        <f>IF(J261="","",J261/MAX(1,N(E261)))</f>
        <v>394</v>
      </c>
      <c r="L261" s="37">
        <f>IF(OR(D261="",A261=""),"",A261+IF(AND(Config!$B$17="Sim",LEFT(D261,17)="Cartão de crédito"),1,IFERROR(INDEX(Config!$C$12:$C$15,MATCH(IF(AND(D261="Cartão de crédito",N(E261)&gt;1),"Cartão de crédito parcelado",D261),Config!$A$12:$A$15,0)),0)))</f>
        <v>46262.0</v>
      </c>
      <c r="M261" s="37">
        <f>IF(L261="","",IF(AND(Config!$B$17="Sim",LEFT(D261,17)="Cartão de crédito"),L261,L261+30*(MAX(1,N(E261))-1)))</f>
        <v>46262.0</v>
      </c>
      <c r="N261" s="29">
        <f>IF(OR(L261="",K261=""),"",K261*MIN(MAX(1,N(E261)),MAX(0,INT((Config!$B$8-L261)/30)+1)))</f>
        <v>394</v>
      </c>
      <c r="O261" s="29">
        <f>IF(J261="","",J261-N(N261))</f>
        <v>0</v>
      </c>
      <c r="P261" s="27">
        <f>IF(A261="","",MONTH(A261))</f>
        <v>8</v>
      </c>
      <c r="Q261" s="27">
        <f>IF(A261="","",YEAR(A261))</f>
        <v>2026</v>
      </c>
      <c r="R261" s="27" t="str">
        <f>IF(L261="","",IF(L261&gt;Config!$B$8,"A cair",IF(N(G261)&gt;=MIN(MAX(1,N(E261)),MAX(0,INT((Config!$B$8-L261)/30)+1)),IF(N(G261)&gt;=MAX(1,N(E261)),"Conferido","Conferido até aqui"),"A conferir")))</f>
        <v>Conferido</v>
      </c>
      <c r="S261" s="51">
        <f>IF(R261="A conferir",(Config!$B$8-L261)*1000+N(F261)/1000+ROW()/100000,0)</f>
        <v>0</v>
      </c>
      <c r="T261" s="51">
        <f>IF(R261="A conferir",N(N261),0)</f>
        <v>0</v>
      </c>
      <c r="U261" s="51">
        <f>IF(L261="",0,L261)</f>
        <v>46262.0</v>
      </c>
      <c r="V261" s="51">
        <f>IF(L261="",0,MAX(1,N(E261)))</f>
        <v>1</v>
      </c>
      <c r="W261" s="51">
        <f>IF(K261="",0,K261)</f>
        <v>394</v>
      </c>
    </row>
    <row r="262">
      <c r="A262" s="49" t="n">
        <v>46261</v>
      </c>
      <c r="B262" s="41" t="inlineStr">
        <is>
          <t>Wagner Costa</t>
        </is>
      </c>
      <c r="C262" s="41" t="inlineStr">
        <is>
          <t>MAPA</t>
        </is>
      </c>
      <c r="D262" s="42" t="inlineStr">
        <is>
          <t>Pix</t>
        </is>
      </c>
      <c r="E262" s="42" t="n"/>
      <c r="F262" s="50" t="n">
        <v>300</v>
      </c>
      <c r="G262" s="42" t="n">
        <v>1</v>
      </c>
      <c r="H262" s="30">
        <f>IF(D262="","",IFERROR(INDEX(Config!$B$12:$B$15,MATCH(IF(AND(D262="Cartão de crédito",N(E262)&gt;1),"Cartão de crédito parcelado",D262),Config!$A$12:$A$15,0)),0)+IF(AND(Config!$B$17="Sim",LEFT(D262,17)="Cartão de crédito"),Config!$B$18*IFERROR(INDEX(Config!$C$12:$C$15,MATCH(IF(AND(D262="Cartão de crédito",N(E262)&gt;1),"Cartão de crédito parcelado",D262),Config!$A$12:$A$15,0)),0)/30*MAX(1,N(E262)),0))</f>
        <v>0</v>
      </c>
      <c r="I262" s="29">
        <f>IF(OR(D262="",F262=""),"",ROUND(F262*H262,2))</f>
        <v>0</v>
      </c>
      <c r="J262" s="29">
        <f>IF(I262="","",F262-I262)</f>
        <v>300</v>
      </c>
      <c r="K262" s="29">
        <f>IF(J262="","",J262/MAX(1,N(E262)))</f>
        <v>300</v>
      </c>
      <c r="L262" s="37">
        <f>IF(OR(D262="",A262=""),"",A262+IF(AND(Config!$B$17="Sim",LEFT(D262,17)="Cartão de crédito"),1,IFERROR(INDEX(Config!$C$12:$C$15,MATCH(IF(AND(D262="Cartão de crédito",N(E262)&gt;1),"Cartão de crédito parcelado",D262),Config!$A$12:$A$15,0)),0)))</f>
        <v>46261.0</v>
      </c>
      <c r="M262" s="37">
        <f>IF(L262="","",IF(AND(Config!$B$17="Sim",LEFT(D262,17)="Cartão de crédito"),L262,L262+30*(MAX(1,N(E262))-1)))</f>
        <v>46261.0</v>
      </c>
      <c r="N262" s="29">
        <f>IF(OR(L262="",K262=""),"",K262*MIN(MAX(1,N(E262)),MAX(0,INT((Config!$B$8-L262)/30)+1)))</f>
        <v>300</v>
      </c>
      <c r="O262" s="29">
        <f>IF(J262="","",J262-N(N262))</f>
        <v>0</v>
      </c>
      <c r="P262" s="27">
        <f>IF(A262="","",MONTH(A262))</f>
        <v>8</v>
      </c>
      <c r="Q262" s="27">
        <f>IF(A262="","",YEAR(A262))</f>
        <v>2026</v>
      </c>
      <c r="R262" s="27" t="str">
        <f>IF(L262="","",IF(L262&gt;Config!$B$8,"A cair",IF(N(G262)&gt;=MIN(MAX(1,N(E262)),MAX(0,INT((Config!$B$8-L262)/30)+1)),IF(N(G262)&gt;=MAX(1,N(E262)),"Conferido","Conferido até aqui"),"A conferir")))</f>
        <v>Conferido</v>
      </c>
      <c r="S262" s="51">
        <f>IF(R262="A conferir",(Config!$B$8-L262)*1000+N(F262)/1000+ROW()/100000,0)</f>
        <v>0</v>
      </c>
      <c r="T262" s="51">
        <f>IF(R262="A conferir",N(N262),0)</f>
        <v>0</v>
      </c>
      <c r="U262" s="51">
        <f>IF(L262="",0,L262)</f>
        <v>46261.0</v>
      </c>
      <c r="V262" s="51">
        <f>IF(L262="",0,MAX(1,N(E262)))</f>
        <v>1</v>
      </c>
      <c r="W262" s="51">
        <f>IF(K262="",0,K262)</f>
        <v>300</v>
      </c>
    </row>
    <row r="263">
      <c r="A263" s="49" t="n">
        <v>46261</v>
      </c>
      <c r="B263" s="41" t="inlineStr">
        <is>
          <t>Tatiana Macedo</t>
        </is>
      </c>
      <c r="C263" s="41" t="inlineStr">
        <is>
          <t>Avaliação endócrina</t>
        </is>
      </c>
      <c r="D263" s="42" t="inlineStr">
        <is>
          <t>Pix</t>
        </is>
      </c>
      <c r="E263" s="42" t="n"/>
      <c r="F263" s="50" t="n">
        <v>400</v>
      </c>
      <c r="G263" s="42" t="n">
        <v>1</v>
      </c>
      <c r="H263" s="30">
        <f>IF(D263="","",IFERROR(INDEX(Config!$B$12:$B$15,MATCH(IF(AND(D263="Cartão de crédito",N(E263)&gt;1),"Cartão de crédito parcelado",D263),Config!$A$12:$A$15,0)),0)+IF(AND(Config!$B$17="Sim",LEFT(D263,17)="Cartão de crédito"),Config!$B$18*IFERROR(INDEX(Config!$C$12:$C$15,MATCH(IF(AND(D263="Cartão de crédito",N(E263)&gt;1),"Cartão de crédito parcelado",D263),Config!$A$12:$A$15,0)),0)/30*MAX(1,N(E263)),0))</f>
        <v>0</v>
      </c>
      <c r="I263" s="29">
        <f>IF(OR(D263="",F263=""),"",ROUND(F263*H263,2))</f>
        <v>0</v>
      </c>
      <c r="J263" s="29">
        <f>IF(I263="","",F263-I263)</f>
        <v>400</v>
      </c>
      <c r="K263" s="29">
        <f>IF(J263="","",J263/MAX(1,N(E263)))</f>
        <v>400</v>
      </c>
      <c r="L263" s="37">
        <f>IF(OR(D263="",A263=""),"",A263+IF(AND(Config!$B$17="Sim",LEFT(D263,17)="Cartão de crédito"),1,IFERROR(INDEX(Config!$C$12:$C$15,MATCH(IF(AND(D263="Cartão de crédito",N(E263)&gt;1),"Cartão de crédito parcelado",D263),Config!$A$12:$A$15,0)),0)))</f>
        <v>46261.0</v>
      </c>
      <c r="M263" s="37">
        <f>IF(L263="","",IF(AND(Config!$B$17="Sim",LEFT(D263,17)="Cartão de crédito"),L263,L263+30*(MAX(1,N(E263))-1)))</f>
        <v>46261.0</v>
      </c>
      <c r="N263" s="29">
        <f>IF(OR(L263="",K263=""),"",K263*MIN(MAX(1,N(E263)),MAX(0,INT((Config!$B$8-L263)/30)+1)))</f>
        <v>400</v>
      </c>
      <c r="O263" s="29">
        <f>IF(J263="","",J263-N(N263))</f>
        <v>0</v>
      </c>
      <c r="P263" s="27">
        <f>IF(A263="","",MONTH(A263))</f>
        <v>8</v>
      </c>
      <c r="Q263" s="27">
        <f>IF(A263="","",YEAR(A263))</f>
        <v>2026</v>
      </c>
      <c r="R263" s="27" t="str">
        <f>IF(L263="","",IF(L263&gt;Config!$B$8,"A cair",IF(N(G263)&gt;=MIN(MAX(1,N(E263)),MAX(0,INT((Config!$B$8-L263)/30)+1)),IF(N(G263)&gt;=MAX(1,N(E263)),"Conferido","Conferido até aqui"),"A conferir")))</f>
        <v>Conferido</v>
      </c>
      <c r="S263" s="51">
        <f>IF(R263="A conferir",(Config!$B$8-L263)*1000+N(F263)/1000+ROW()/100000,0)</f>
        <v>0</v>
      </c>
      <c r="T263" s="51">
        <f>IF(R263="A conferir",N(N263),0)</f>
        <v>0</v>
      </c>
      <c r="U263" s="51">
        <f>IF(L263="",0,L263)</f>
        <v>46261.0</v>
      </c>
      <c r="V263" s="51">
        <f>IF(L263="",0,MAX(1,N(E263)))</f>
        <v>1</v>
      </c>
      <c r="W263" s="51">
        <f>IF(K263="",0,K263)</f>
        <v>400</v>
      </c>
    </row>
    <row r="264">
      <c r="A264" s="49" t="n">
        <v>46265</v>
      </c>
      <c r="B264" s="41" t="inlineStr">
        <is>
          <t>Renato Dias</t>
        </is>
      </c>
      <c r="C264" s="41" t="inlineStr">
        <is>
          <t>Consulta</t>
        </is>
      </c>
      <c r="D264" s="42" t="inlineStr">
        <is>
          <t>Cartão de débito</t>
        </is>
      </c>
      <c r="E264" s="42" t="n"/>
      <c r="F264" s="50" t="n">
        <v>380</v>
      </c>
      <c r="G264" s="42" t="n">
        <v>1</v>
      </c>
      <c r="H264" s="30">
        <f>IF(D264="","",IFERROR(INDEX(Config!$B$12:$B$15,MATCH(IF(AND(D264="Cartão de crédito",N(E264)&gt;1),"Cartão de crédito parcelado",D264),Config!$A$12:$A$15,0)),0)+IF(AND(Config!$B$17="Sim",LEFT(D264,17)="Cartão de crédito"),Config!$B$18*IFERROR(INDEX(Config!$C$12:$C$15,MATCH(IF(AND(D264="Cartão de crédito",N(E264)&gt;1),"Cartão de crédito parcelado",D264),Config!$A$12:$A$15,0)),0)/30*MAX(1,N(E264)),0))</f>
        <v>0.015</v>
      </c>
      <c r="I264" s="29">
        <f>IF(OR(D264="",F264=""),"",ROUND(F264*H264,2))</f>
        <v>5.7</v>
      </c>
      <c r="J264" s="29">
        <f>IF(I264="","",F264-I264)</f>
        <v>374.3</v>
      </c>
      <c r="K264" s="29">
        <f>IF(J264="","",J264/MAX(1,N(E264)))</f>
        <v>374.3</v>
      </c>
      <c r="L264" s="37">
        <f>IF(OR(D264="",A264=""),"",A264+IF(AND(Config!$B$17="Sim",LEFT(D264,17)="Cartão de crédito"),1,IFERROR(INDEX(Config!$C$12:$C$15,MATCH(IF(AND(D264="Cartão de crédito",N(E264)&gt;1),"Cartão de crédito parcelado",D264),Config!$A$12:$A$15,0)),0)))</f>
        <v>46266.0</v>
      </c>
      <c r="M264" s="37">
        <f>IF(L264="","",IF(AND(Config!$B$17="Sim",LEFT(D264,17)="Cartão de crédito"),L264,L264+30*(MAX(1,N(E264))-1)))</f>
        <v>46266.0</v>
      </c>
      <c r="N264" s="29">
        <f>IF(OR(L264="",K264=""),"",K264*MIN(MAX(1,N(E264)),MAX(0,INT((Config!$B$8-L264)/30)+1)))</f>
        <v>374.3</v>
      </c>
      <c r="O264" s="29">
        <f>IF(J264="","",J264-N(N264))</f>
        <v>0</v>
      </c>
      <c r="P264" s="27">
        <f>IF(A264="","",MONTH(A264))</f>
        <v>8</v>
      </c>
      <c r="Q264" s="27">
        <f>IF(A264="","",YEAR(A264))</f>
        <v>2026</v>
      </c>
      <c r="R264" s="27" t="str">
        <f>IF(L264="","",IF(L264&gt;Config!$B$8,"A cair",IF(N(G264)&gt;=MIN(MAX(1,N(E264)),MAX(0,INT((Config!$B$8-L264)/30)+1)),IF(N(G264)&gt;=MAX(1,N(E264)),"Conferido","Conferido até aqui"),"A conferir")))</f>
        <v>Conferido</v>
      </c>
      <c r="S264" s="51">
        <f>IF(R264="A conferir",(Config!$B$8-L264)*1000+N(F264)/1000+ROW()/100000,0)</f>
        <v>0</v>
      </c>
      <c r="T264" s="51">
        <f>IF(R264="A conferir",N(N264),0)</f>
        <v>0</v>
      </c>
      <c r="U264" s="51">
        <f>IF(L264="",0,L264)</f>
        <v>46266.0</v>
      </c>
      <c r="V264" s="51">
        <f>IF(L264="",0,MAX(1,N(E264)))</f>
        <v>1</v>
      </c>
      <c r="W264" s="51">
        <f>IF(K264="",0,K264)</f>
        <v>374.3</v>
      </c>
    </row>
    <row r="265">
      <c r="A265" s="49" t="n">
        <v>46265</v>
      </c>
      <c r="B265" s="41" t="inlineStr">
        <is>
          <t>Henrique Ribeiro</t>
        </is>
      </c>
      <c r="C265" s="41" t="inlineStr">
        <is>
          <t>Consulta</t>
        </is>
      </c>
      <c r="D265" s="42" t="inlineStr">
        <is>
          <t>Pix</t>
        </is>
      </c>
      <c r="E265" s="42" t="n"/>
      <c r="F265" s="50" t="n">
        <v>380</v>
      </c>
      <c r="G265" s="42" t="n">
        <v>1</v>
      </c>
      <c r="H265" s="30">
        <f>IF(D265="","",IFERROR(INDEX(Config!$B$12:$B$15,MATCH(IF(AND(D265="Cartão de crédito",N(E265)&gt;1),"Cartão de crédito parcelado",D265),Config!$A$12:$A$15,0)),0)+IF(AND(Config!$B$17="Sim",LEFT(D265,17)="Cartão de crédito"),Config!$B$18*IFERROR(INDEX(Config!$C$12:$C$15,MATCH(IF(AND(D265="Cartão de crédito",N(E265)&gt;1),"Cartão de crédito parcelado",D265),Config!$A$12:$A$15,0)),0)/30*MAX(1,N(E265)),0))</f>
        <v>0</v>
      </c>
      <c r="I265" s="29">
        <f>IF(OR(D265="",F265=""),"",ROUND(F265*H265,2))</f>
        <v>0</v>
      </c>
      <c r="J265" s="29">
        <f>IF(I265="","",F265-I265)</f>
        <v>380</v>
      </c>
      <c r="K265" s="29">
        <f>IF(J265="","",J265/MAX(1,N(E265)))</f>
        <v>380</v>
      </c>
      <c r="L265" s="37">
        <f>IF(OR(D265="",A265=""),"",A265+IF(AND(Config!$B$17="Sim",LEFT(D265,17)="Cartão de crédito"),1,IFERROR(INDEX(Config!$C$12:$C$15,MATCH(IF(AND(D265="Cartão de crédito",N(E265)&gt;1),"Cartão de crédito parcelado",D265),Config!$A$12:$A$15,0)),0)))</f>
        <v>46265.0</v>
      </c>
      <c r="M265" s="37">
        <f>IF(L265="","",IF(AND(Config!$B$17="Sim",LEFT(D265,17)="Cartão de crédito"),L265,L265+30*(MAX(1,N(E265))-1)))</f>
        <v>46265.0</v>
      </c>
      <c r="N265" s="29">
        <f>IF(OR(L265="",K265=""),"",K265*MIN(MAX(1,N(E265)),MAX(0,INT((Config!$B$8-L265)/30)+1)))</f>
        <v>380</v>
      </c>
      <c r="O265" s="29">
        <f>IF(J265="","",J265-N(N265))</f>
        <v>0</v>
      </c>
      <c r="P265" s="27">
        <f>IF(A265="","",MONTH(A265))</f>
        <v>8</v>
      </c>
      <c r="Q265" s="27">
        <f>IF(A265="","",YEAR(A265))</f>
        <v>2026</v>
      </c>
      <c r="R265" s="27" t="str">
        <f>IF(L265="","",IF(L265&gt;Config!$B$8,"A cair",IF(N(G265)&gt;=MIN(MAX(1,N(E265)),MAX(0,INT((Config!$B$8-L265)/30)+1)),IF(N(G265)&gt;=MAX(1,N(E265)),"Conferido","Conferido até aqui"),"A conferir")))</f>
        <v>Conferido</v>
      </c>
      <c r="S265" s="51">
        <f>IF(R265="A conferir",(Config!$B$8-L265)*1000+N(F265)/1000+ROW()/100000,0)</f>
        <v>0</v>
      </c>
      <c r="T265" s="51">
        <f>IF(R265="A conferir",N(N265),0)</f>
        <v>0</v>
      </c>
      <c r="U265" s="51">
        <f>IF(L265="",0,L265)</f>
        <v>46265.0</v>
      </c>
      <c r="V265" s="51">
        <f>IF(L265="",0,MAX(1,N(E265)))</f>
        <v>1</v>
      </c>
      <c r="W265" s="51">
        <f>IF(K265="",0,K265)</f>
        <v>380</v>
      </c>
    </row>
    <row r="266">
      <c r="A266" s="49" t="n">
        <v>46265</v>
      </c>
      <c r="B266" s="41" t="inlineStr">
        <is>
          <t>Débora Ramos</t>
        </is>
      </c>
      <c r="C266" s="41" t="inlineStr">
        <is>
          <t>ECG</t>
        </is>
      </c>
      <c r="D266" s="42" t="inlineStr">
        <is>
          <t>Cartão de débito</t>
        </is>
      </c>
      <c r="E266" s="42" t="n"/>
      <c r="F266" s="50" t="n">
        <v>130</v>
      </c>
      <c r="G266" s="42" t="n">
        <v>1</v>
      </c>
      <c r="H266" s="30">
        <f>IF(D266="","",IFERROR(INDEX(Config!$B$12:$B$15,MATCH(IF(AND(D266="Cartão de crédito",N(E266)&gt;1),"Cartão de crédito parcelado",D266),Config!$A$12:$A$15,0)),0)+IF(AND(Config!$B$17="Sim",LEFT(D266,17)="Cartão de crédito"),Config!$B$18*IFERROR(INDEX(Config!$C$12:$C$15,MATCH(IF(AND(D266="Cartão de crédito",N(E266)&gt;1),"Cartão de crédito parcelado",D266),Config!$A$12:$A$15,0)),0)/30*MAX(1,N(E266)),0))</f>
        <v>0.015</v>
      </c>
      <c r="I266" s="29">
        <f>IF(OR(D266="",F266=""),"",ROUND(F266*H266,2))</f>
        <v>1.95</v>
      </c>
      <c r="J266" s="29">
        <f>IF(I266="","",F266-I266)</f>
        <v>128.05</v>
      </c>
      <c r="K266" s="29">
        <f>IF(J266="","",J266/MAX(1,N(E266)))</f>
        <v>128.05</v>
      </c>
      <c r="L266" s="37">
        <f>IF(OR(D266="",A266=""),"",A266+IF(AND(Config!$B$17="Sim",LEFT(D266,17)="Cartão de crédito"),1,IFERROR(INDEX(Config!$C$12:$C$15,MATCH(IF(AND(D266="Cartão de crédito",N(E266)&gt;1),"Cartão de crédito parcelado",D266),Config!$A$12:$A$15,0)),0)))</f>
        <v>46266.0</v>
      </c>
      <c r="M266" s="37">
        <f>IF(L266="","",IF(AND(Config!$B$17="Sim",LEFT(D266,17)="Cartão de crédito"),L266,L266+30*(MAX(1,N(E266))-1)))</f>
        <v>46266.0</v>
      </c>
      <c r="N266" s="29">
        <f>IF(OR(L266="",K266=""),"",K266*MIN(MAX(1,N(E266)),MAX(0,INT((Config!$B$8-L266)/30)+1)))</f>
        <v>128.05</v>
      </c>
      <c r="O266" s="29">
        <f>IF(J266="","",J266-N(N266))</f>
        <v>0</v>
      </c>
      <c r="P266" s="27">
        <f>IF(A266="","",MONTH(A266))</f>
        <v>8</v>
      </c>
      <c r="Q266" s="27">
        <f>IF(A266="","",YEAR(A266))</f>
        <v>2026</v>
      </c>
      <c r="R266" s="27" t="str">
        <f>IF(L266="","",IF(L266&gt;Config!$B$8,"A cair",IF(N(G266)&gt;=MIN(MAX(1,N(E266)),MAX(0,INT((Config!$B$8-L266)/30)+1)),IF(N(G266)&gt;=MAX(1,N(E266)),"Conferido","Conferido até aqui"),"A conferir")))</f>
        <v>Conferido</v>
      </c>
      <c r="S266" s="51">
        <f>IF(R266="A conferir",(Config!$B$8-L266)*1000+N(F266)/1000+ROW()/100000,0)</f>
        <v>0</v>
      </c>
      <c r="T266" s="51">
        <f>IF(R266="A conferir",N(N266),0)</f>
        <v>0</v>
      </c>
      <c r="U266" s="51">
        <f>IF(L266="",0,L266)</f>
        <v>46266.0</v>
      </c>
      <c r="V266" s="51">
        <f>IF(L266="",0,MAX(1,N(E266)))</f>
        <v>1</v>
      </c>
      <c r="W266" s="51">
        <f>IF(K266="",0,K266)</f>
        <v>128.05</v>
      </c>
    </row>
    <row r="267">
      <c r="A267" s="49" t="n">
        <v>46266</v>
      </c>
      <c r="B267" s="41" t="inlineStr">
        <is>
          <t>Ana Costa</t>
        </is>
      </c>
      <c r="C267" s="41" t="inlineStr">
        <is>
          <t>Consulta</t>
        </is>
      </c>
      <c r="D267" s="42" t="inlineStr">
        <is>
          <t>Cartão de crédito</t>
        </is>
      </c>
      <c r="E267" s="42" t="n"/>
      <c r="F267" s="50" t="n">
        <v>380</v>
      </c>
      <c r="G267" s="42" t="n"/>
      <c r="H267" s="30">
        <f>IF(D267="","",IFERROR(INDEX(Config!$B$12:$B$15,MATCH(IF(AND(D267="Cartão de crédito",N(E267)&gt;1),"Cartão de crédito parcelado",D267),Config!$A$12:$A$15,0)),0)+IF(AND(Config!$B$17="Sim",LEFT(D267,17)="Cartão de crédito"),Config!$B$18*IFERROR(INDEX(Config!$C$12:$C$15,MATCH(IF(AND(D267="Cartão de crédito",N(E267)&gt;1),"Cartão de crédito parcelado",D267),Config!$A$12:$A$15,0)),0)/30*MAX(1,N(E267)),0))</f>
        <v>0.032</v>
      </c>
      <c r="I267" s="29">
        <f>IF(OR(D267="",F267=""),"",ROUND(F267*H267,2))</f>
        <v>12.16</v>
      </c>
      <c r="J267" s="29">
        <f>IF(I267="","",F267-I267)</f>
        <v>367.84</v>
      </c>
      <c r="K267" s="29">
        <f>IF(J267="","",J267/MAX(1,N(E267)))</f>
        <v>367.84</v>
      </c>
      <c r="L267" s="37">
        <f>IF(OR(D267="",A267=""),"",A267+IF(AND(Config!$B$17="Sim",LEFT(D267,17)="Cartão de crédito"),1,IFERROR(INDEX(Config!$C$12:$C$15,MATCH(IF(AND(D267="Cartão de crédito",N(E267)&gt;1),"Cartão de crédito parcelado",D267),Config!$A$12:$A$15,0)),0)))</f>
        <v>46296.0</v>
      </c>
      <c r="M267" s="37">
        <f>IF(L267="","",IF(AND(Config!$B$17="Sim",LEFT(D267,17)="Cartão de crédito"),L267,L267+30*(MAX(1,N(E267))-1)))</f>
        <v>46296.0</v>
      </c>
      <c r="N267" s="29">
        <f>IF(OR(L267="",K267=""),"",K267*MIN(MAX(1,N(E267)),MAX(0,INT((Config!$B$8-L267)/30)+1)))</f>
        <v>0</v>
      </c>
      <c r="O267" s="29">
        <f>IF(J267="","",J267-N(N267))</f>
        <v>367.84</v>
      </c>
      <c r="P267" s="27">
        <f>IF(A267="","",MONTH(A267))</f>
        <v>9</v>
      </c>
      <c r="Q267" s="27">
        <f>IF(A267="","",YEAR(A267))</f>
        <v>2026</v>
      </c>
      <c r="R267" s="27" t="str">
        <f>IF(L267="","",IF(L267&gt;Config!$B$8,"A cair",IF(N(G267)&gt;=MIN(MAX(1,N(E267)),MAX(0,INT((Config!$B$8-L267)/30)+1)),IF(N(G267)&gt;=MAX(1,N(E267)),"Conferido","Conferido até aqui"),"A conferir")))</f>
        <v>A cair</v>
      </c>
      <c r="S267" s="51">
        <f>IF(R267="A conferir",(Config!$B$8-L267)*1000+N(F267)/1000+ROW()/100000,0)</f>
        <v>0</v>
      </c>
      <c r="T267" s="51">
        <f>IF(R267="A conferir",N(N267),0)</f>
        <v>0</v>
      </c>
      <c r="U267" s="51">
        <f>IF(L267="",0,L267)</f>
        <v>46296.0</v>
      </c>
      <c r="V267" s="51">
        <f>IF(L267="",0,MAX(1,N(E267)))</f>
        <v>1</v>
      </c>
      <c r="W267" s="51">
        <f>IF(K267="",0,K267)</f>
        <v>367.84</v>
      </c>
    </row>
    <row r="268">
      <c r="A268" s="49" t="n">
        <v>46266</v>
      </c>
      <c r="B268" s="41" t="inlineStr">
        <is>
          <t>Gustavo Ferreira</t>
        </is>
      </c>
      <c r="C268" s="41" t="inlineStr">
        <is>
          <t>Consulta</t>
        </is>
      </c>
      <c r="D268" s="42" t="inlineStr">
        <is>
          <t>Cartão de crédito</t>
        </is>
      </c>
      <c r="E268" s="42" t="n"/>
      <c r="F268" s="50" t="n">
        <v>380</v>
      </c>
      <c r="G268" s="42" t="n"/>
      <c r="H268" s="30">
        <f>IF(D268="","",IFERROR(INDEX(Config!$B$12:$B$15,MATCH(IF(AND(D268="Cartão de crédito",N(E268)&gt;1),"Cartão de crédito parcelado",D268),Config!$A$12:$A$15,0)),0)+IF(AND(Config!$B$17="Sim",LEFT(D268,17)="Cartão de crédito"),Config!$B$18*IFERROR(INDEX(Config!$C$12:$C$15,MATCH(IF(AND(D268="Cartão de crédito",N(E268)&gt;1),"Cartão de crédito parcelado",D268),Config!$A$12:$A$15,0)),0)/30*MAX(1,N(E268)),0))</f>
        <v>0.032</v>
      </c>
      <c r="I268" s="29">
        <f>IF(OR(D268="",F268=""),"",ROUND(F268*H268,2))</f>
        <v>12.16</v>
      </c>
      <c r="J268" s="29">
        <f>IF(I268="","",F268-I268)</f>
        <v>367.84</v>
      </c>
      <c r="K268" s="29">
        <f>IF(J268="","",J268/MAX(1,N(E268)))</f>
        <v>367.84</v>
      </c>
      <c r="L268" s="37">
        <f>IF(OR(D268="",A268=""),"",A268+IF(AND(Config!$B$17="Sim",LEFT(D268,17)="Cartão de crédito"),1,IFERROR(INDEX(Config!$C$12:$C$15,MATCH(IF(AND(D268="Cartão de crédito",N(E268)&gt;1),"Cartão de crédito parcelado",D268),Config!$A$12:$A$15,0)),0)))</f>
        <v>46296.0</v>
      </c>
      <c r="M268" s="37">
        <f>IF(L268="","",IF(AND(Config!$B$17="Sim",LEFT(D268,17)="Cartão de crédito"),L268,L268+30*(MAX(1,N(E268))-1)))</f>
        <v>46296.0</v>
      </c>
      <c r="N268" s="29">
        <f>IF(OR(L268="",K268=""),"",K268*MIN(MAX(1,N(E268)),MAX(0,INT((Config!$B$8-L268)/30)+1)))</f>
        <v>0</v>
      </c>
      <c r="O268" s="29">
        <f>IF(J268="","",J268-N(N268))</f>
        <v>367.84</v>
      </c>
      <c r="P268" s="27">
        <f>IF(A268="","",MONTH(A268))</f>
        <v>9</v>
      </c>
      <c r="Q268" s="27">
        <f>IF(A268="","",YEAR(A268))</f>
        <v>2026</v>
      </c>
      <c r="R268" s="27" t="str">
        <f>IF(L268="","",IF(L268&gt;Config!$B$8,"A cair",IF(N(G268)&gt;=MIN(MAX(1,N(E268)),MAX(0,INT((Config!$B$8-L268)/30)+1)),IF(N(G268)&gt;=MAX(1,N(E268)),"Conferido","Conferido até aqui"),"A conferir")))</f>
        <v>A cair</v>
      </c>
      <c r="S268" s="51">
        <f>IF(R268="A conferir",(Config!$B$8-L268)*1000+N(F268)/1000+ROW()/100000,0)</f>
        <v>0</v>
      </c>
      <c r="T268" s="51">
        <f>IF(R268="A conferir",N(N268),0)</f>
        <v>0</v>
      </c>
      <c r="U268" s="51">
        <f>IF(L268="",0,L268)</f>
        <v>46296.0</v>
      </c>
      <c r="V268" s="51">
        <f>IF(L268="",0,MAX(1,N(E268)))</f>
        <v>1</v>
      </c>
      <c r="W268" s="51">
        <f>IF(K268="",0,K268)</f>
        <v>367.84</v>
      </c>
    </row>
    <row r="269">
      <c r="A269" s="49" t="n">
        <v>46266</v>
      </c>
      <c r="B269" s="41" t="inlineStr">
        <is>
          <t>Otávio Nascimento</t>
        </is>
      </c>
      <c r="C269" s="41" t="inlineStr">
        <is>
          <t>Consulta</t>
        </is>
      </c>
      <c r="D269" s="42" t="inlineStr">
        <is>
          <t>Cartão de crédito</t>
        </is>
      </c>
      <c r="E269" s="42" t="n">
        <v>2</v>
      </c>
      <c r="F269" s="50" t="n">
        <v>380</v>
      </c>
      <c r="G269" s="42" t="n"/>
      <c r="H269" s="30">
        <f>IF(D269="","",IFERROR(INDEX(Config!$B$12:$B$15,MATCH(IF(AND(D269="Cartão de crédito",N(E269)&gt;1),"Cartão de crédito parcelado",D269),Config!$A$12:$A$15,0)),0)+IF(AND(Config!$B$17="Sim",LEFT(D269,17)="Cartão de crédito"),Config!$B$18*IFERROR(INDEX(Config!$C$12:$C$15,MATCH(IF(AND(D269="Cartão de crédito",N(E269)&gt;1),"Cartão de crédito parcelado",D269),Config!$A$12:$A$15,0)),0)/30*MAX(1,N(E269)),0))</f>
        <v>0.039</v>
      </c>
      <c r="I269" s="29">
        <f>IF(OR(D269="",F269=""),"",ROUND(F269*H269,2))</f>
        <v>14.82</v>
      </c>
      <c r="J269" s="29">
        <f>IF(I269="","",F269-I269)</f>
        <v>365.18</v>
      </c>
      <c r="K269" s="29">
        <f>IF(J269="","",J269/MAX(1,N(E269)))</f>
        <v>182.59</v>
      </c>
      <c r="L269" s="37">
        <f>IF(OR(D269="",A269=""),"",A269+IF(AND(Config!$B$17="Sim",LEFT(D269,17)="Cartão de crédito"),1,IFERROR(INDEX(Config!$C$12:$C$15,MATCH(IF(AND(D269="Cartão de crédito",N(E269)&gt;1),"Cartão de crédito parcelado",D269),Config!$A$12:$A$15,0)),0)))</f>
        <v>46296.0</v>
      </c>
      <c r="M269" s="37">
        <f>IF(L269="","",IF(AND(Config!$B$17="Sim",LEFT(D269,17)="Cartão de crédito"),L269,L269+30*(MAX(1,N(E269))-1)))</f>
        <v>46326.0</v>
      </c>
      <c r="N269" s="29">
        <f>IF(OR(L269="",K269=""),"",K269*MIN(MAX(1,N(E269)),MAX(0,INT((Config!$B$8-L269)/30)+1)))</f>
        <v>0</v>
      </c>
      <c r="O269" s="29">
        <f>IF(J269="","",J269-N(N269))</f>
        <v>365.18</v>
      </c>
      <c r="P269" s="27">
        <f>IF(A269="","",MONTH(A269))</f>
        <v>9</v>
      </c>
      <c r="Q269" s="27">
        <f>IF(A269="","",YEAR(A269))</f>
        <v>2026</v>
      </c>
      <c r="R269" s="27" t="str">
        <f>IF(L269="","",IF(L269&gt;Config!$B$8,"A cair",IF(N(G269)&gt;=MIN(MAX(1,N(E269)),MAX(0,INT((Config!$B$8-L269)/30)+1)),IF(N(G269)&gt;=MAX(1,N(E269)),"Conferido","Conferido até aqui"),"A conferir")))</f>
        <v>A cair</v>
      </c>
      <c r="S269" s="51">
        <f>IF(R269="A conferir",(Config!$B$8-L269)*1000+N(F269)/1000+ROW()/100000,0)</f>
        <v>0</v>
      </c>
      <c r="T269" s="51">
        <f>IF(R269="A conferir",N(N269),0)</f>
        <v>0</v>
      </c>
      <c r="U269" s="51">
        <f>IF(L269="",0,L269)</f>
        <v>46296.0</v>
      </c>
      <c r="V269" s="51">
        <f>IF(L269="",0,MAX(1,N(E269)))</f>
        <v>2</v>
      </c>
      <c r="W269" s="51">
        <f>IF(K269="",0,K269)</f>
        <v>182.59</v>
      </c>
    </row>
    <row r="270">
      <c r="A270" s="49" t="n">
        <v>46266</v>
      </c>
      <c r="B270" s="41" t="inlineStr">
        <is>
          <t>Mariana Nascimento</t>
        </is>
      </c>
      <c r="C270" s="41" t="inlineStr">
        <is>
          <t>Consulta</t>
        </is>
      </c>
      <c r="D270" s="42" t="inlineStr">
        <is>
          <t>Cartão de crédito</t>
        </is>
      </c>
      <c r="E270" s="42" t="n"/>
      <c r="F270" s="50" t="n">
        <v>380</v>
      </c>
      <c r="G270" s="42" t="n"/>
      <c r="H270" s="30">
        <f>IF(D270="","",IFERROR(INDEX(Config!$B$12:$B$15,MATCH(IF(AND(D270="Cartão de crédito",N(E270)&gt;1),"Cartão de crédito parcelado",D270),Config!$A$12:$A$15,0)),0)+IF(AND(Config!$B$17="Sim",LEFT(D270,17)="Cartão de crédito"),Config!$B$18*IFERROR(INDEX(Config!$C$12:$C$15,MATCH(IF(AND(D270="Cartão de crédito",N(E270)&gt;1),"Cartão de crédito parcelado",D270),Config!$A$12:$A$15,0)),0)/30*MAX(1,N(E270)),0))</f>
        <v>0.032</v>
      </c>
      <c r="I270" s="29">
        <f>IF(OR(D270="",F270=""),"",ROUND(F270*H270,2))</f>
        <v>12.16</v>
      </c>
      <c r="J270" s="29">
        <f>IF(I270="","",F270-I270)</f>
        <v>367.84</v>
      </c>
      <c r="K270" s="29">
        <f>IF(J270="","",J270/MAX(1,N(E270)))</f>
        <v>367.84</v>
      </c>
      <c r="L270" s="37">
        <f>IF(OR(D270="",A270=""),"",A270+IF(AND(Config!$B$17="Sim",LEFT(D270,17)="Cartão de crédito"),1,IFERROR(INDEX(Config!$C$12:$C$15,MATCH(IF(AND(D270="Cartão de crédito",N(E270)&gt;1),"Cartão de crédito parcelado",D270),Config!$A$12:$A$15,0)),0)))</f>
        <v>46296.0</v>
      </c>
      <c r="M270" s="37">
        <f>IF(L270="","",IF(AND(Config!$B$17="Sim",LEFT(D270,17)="Cartão de crédito"),L270,L270+30*(MAX(1,N(E270))-1)))</f>
        <v>46296.0</v>
      </c>
      <c r="N270" s="29">
        <f>IF(OR(L270="",K270=""),"",K270*MIN(MAX(1,N(E270)),MAX(0,INT((Config!$B$8-L270)/30)+1)))</f>
        <v>0</v>
      </c>
      <c r="O270" s="29">
        <f>IF(J270="","",J270-N(N270))</f>
        <v>367.84</v>
      </c>
      <c r="P270" s="27">
        <f>IF(A270="","",MONTH(A270))</f>
        <v>9</v>
      </c>
      <c r="Q270" s="27">
        <f>IF(A270="","",YEAR(A270))</f>
        <v>2026</v>
      </c>
      <c r="R270" s="27" t="str">
        <f>IF(L270="","",IF(L270&gt;Config!$B$8,"A cair",IF(N(G270)&gt;=MIN(MAX(1,N(E270)),MAX(0,INT((Config!$B$8-L270)/30)+1)),IF(N(G270)&gt;=MAX(1,N(E270)),"Conferido","Conferido até aqui"),"A conferir")))</f>
        <v>A cair</v>
      </c>
      <c r="S270" s="51">
        <f>IF(R270="A conferir",(Config!$B$8-L270)*1000+N(F270)/1000+ROW()/100000,0)</f>
        <v>0</v>
      </c>
      <c r="T270" s="51">
        <f>IF(R270="A conferir",N(N270),0)</f>
        <v>0</v>
      </c>
      <c r="U270" s="51">
        <f>IF(L270="",0,L270)</f>
        <v>46296.0</v>
      </c>
      <c r="V270" s="51">
        <f>IF(L270="",0,MAX(1,N(E270)))</f>
        <v>1</v>
      </c>
      <c r="W270" s="51">
        <f>IF(K270="",0,K270)</f>
        <v>367.84</v>
      </c>
    </row>
    <row r="271">
      <c r="A271" s="49" t="n">
        <v>46266</v>
      </c>
      <c r="B271" s="41" t="inlineStr">
        <is>
          <t>Paulo Fernandes</t>
        </is>
      </c>
      <c r="C271" s="41" t="inlineStr">
        <is>
          <t>Avaliação endócrina</t>
        </is>
      </c>
      <c r="D271" s="42" t="inlineStr">
        <is>
          <t>Cartão de débito</t>
        </is>
      </c>
      <c r="E271" s="42" t="n"/>
      <c r="F271" s="50" t="n">
        <v>400</v>
      </c>
      <c r="G271" s="42" t="n">
        <v>1</v>
      </c>
      <c r="H271" s="30">
        <f>IF(D271="","",IFERROR(INDEX(Config!$B$12:$B$15,MATCH(IF(AND(D271="Cartão de crédito",N(E271)&gt;1),"Cartão de crédito parcelado",D271),Config!$A$12:$A$15,0)),0)+IF(AND(Config!$B$17="Sim",LEFT(D271,17)="Cartão de crédito"),Config!$B$18*IFERROR(INDEX(Config!$C$12:$C$15,MATCH(IF(AND(D271="Cartão de crédito",N(E271)&gt;1),"Cartão de crédito parcelado",D271),Config!$A$12:$A$15,0)),0)/30*MAX(1,N(E271)),0))</f>
        <v>0.015</v>
      </c>
      <c r="I271" s="29">
        <f>IF(OR(D271="",F271=""),"",ROUND(F271*H271,2))</f>
        <v>6</v>
      </c>
      <c r="J271" s="29">
        <f>IF(I271="","",F271-I271)</f>
        <v>394</v>
      </c>
      <c r="K271" s="29">
        <f>IF(J271="","",J271/MAX(1,N(E271)))</f>
        <v>394</v>
      </c>
      <c r="L271" s="37">
        <f>IF(OR(D271="",A271=""),"",A271+IF(AND(Config!$B$17="Sim",LEFT(D271,17)="Cartão de crédito"),1,IFERROR(INDEX(Config!$C$12:$C$15,MATCH(IF(AND(D271="Cartão de crédito",N(E271)&gt;1),"Cartão de crédito parcelado",D271),Config!$A$12:$A$15,0)),0)))</f>
        <v>46267.0</v>
      </c>
      <c r="M271" s="37">
        <f>IF(L271="","",IF(AND(Config!$B$17="Sim",LEFT(D271,17)="Cartão de crédito"),L271,L271+30*(MAX(1,N(E271))-1)))</f>
        <v>46267.0</v>
      </c>
      <c r="N271" s="29">
        <f>IF(OR(L271="",K271=""),"",K271*MIN(MAX(1,N(E271)),MAX(0,INT((Config!$B$8-L271)/30)+1)))</f>
        <v>394</v>
      </c>
      <c r="O271" s="29">
        <f>IF(J271="","",J271-N(N271))</f>
        <v>0</v>
      </c>
      <c r="P271" s="27">
        <f>IF(A271="","",MONTH(A271))</f>
        <v>9</v>
      </c>
      <c r="Q271" s="27">
        <f>IF(A271="","",YEAR(A271))</f>
        <v>2026</v>
      </c>
      <c r="R271" s="27" t="str">
        <f>IF(L271="","",IF(L271&gt;Config!$B$8,"A cair",IF(N(G271)&gt;=MIN(MAX(1,N(E271)),MAX(0,INT((Config!$B$8-L271)/30)+1)),IF(N(G271)&gt;=MAX(1,N(E271)),"Conferido","Conferido até aqui"),"A conferir")))</f>
        <v>Conferido</v>
      </c>
      <c r="S271" s="51">
        <f>IF(R271="A conferir",(Config!$B$8-L271)*1000+N(F271)/1000+ROW()/100000,0)</f>
        <v>0</v>
      </c>
      <c r="T271" s="51">
        <f>IF(R271="A conferir",N(N271),0)</f>
        <v>0</v>
      </c>
      <c r="U271" s="51">
        <f>IF(L271="",0,L271)</f>
        <v>46267.0</v>
      </c>
      <c r="V271" s="51">
        <f>IF(L271="",0,MAX(1,N(E271)))</f>
        <v>1</v>
      </c>
      <c r="W271" s="51">
        <f>IF(K271="",0,K271)</f>
        <v>394</v>
      </c>
    </row>
    <row r="272">
      <c r="A272" s="49" t="n">
        <v>46266</v>
      </c>
      <c r="B272" s="41" t="inlineStr">
        <is>
          <t>Gabriel Reis</t>
        </is>
      </c>
      <c r="C272" s="41" t="inlineStr">
        <is>
          <t>Avaliação endócrina</t>
        </is>
      </c>
      <c r="D272" s="42" t="inlineStr">
        <is>
          <t>Pix</t>
        </is>
      </c>
      <c r="E272" s="42" t="n"/>
      <c r="F272" s="50" t="n">
        <v>400</v>
      </c>
      <c r="G272" s="42" t="n">
        <v>1</v>
      </c>
      <c r="H272" s="30">
        <f>IF(D272="","",IFERROR(INDEX(Config!$B$12:$B$15,MATCH(IF(AND(D272="Cartão de crédito",N(E272)&gt;1),"Cartão de crédito parcelado",D272),Config!$A$12:$A$15,0)),0)+IF(AND(Config!$B$17="Sim",LEFT(D272,17)="Cartão de crédito"),Config!$B$18*IFERROR(INDEX(Config!$C$12:$C$15,MATCH(IF(AND(D272="Cartão de crédito",N(E272)&gt;1),"Cartão de crédito parcelado",D272),Config!$A$12:$A$15,0)),0)/30*MAX(1,N(E272)),0))</f>
        <v>0</v>
      </c>
      <c r="I272" s="29">
        <f>IF(OR(D272="",F272=""),"",ROUND(F272*H272,2))</f>
        <v>0</v>
      </c>
      <c r="J272" s="29">
        <f>IF(I272="","",F272-I272)</f>
        <v>400</v>
      </c>
      <c r="K272" s="29">
        <f>IF(J272="","",J272/MAX(1,N(E272)))</f>
        <v>400</v>
      </c>
      <c r="L272" s="37">
        <f>IF(OR(D272="",A272=""),"",A272+IF(AND(Config!$B$17="Sim",LEFT(D272,17)="Cartão de crédito"),1,IFERROR(INDEX(Config!$C$12:$C$15,MATCH(IF(AND(D272="Cartão de crédito",N(E272)&gt;1),"Cartão de crédito parcelado",D272),Config!$A$12:$A$15,0)),0)))</f>
        <v>46266.0</v>
      </c>
      <c r="M272" s="37">
        <f>IF(L272="","",IF(AND(Config!$B$17="Sim",LEFT(D272,17)="Cartão de crédito"),L272,L272+30*(MAX(1,N(E272))-1)))</f>
        <v>46266.0</v>
      </c>
      <c r="N272" s="29">
        <f>IF(OR(L272="",K272=""),"",K272*MIN(MAX(1,N(E272)),MAX(0,INT((Config!$B$8-L272)/30)+1)))</f>
        <v>400</v>
      </c>
      <c r="O272" s="29">
        <f>IF(J272="","",J272-N(N272))</f>
        <v>0</v>
      </c>
      <c r="P272" s="27">
        <f>IF(A272="","",MONTH(A272))</f>
        <v>9</v>
      </c>
      <c r="Q272" s="27">
        <f>IF(A272="","",YEAR(A272))</f>
        <v>2026</v>
      </c>
      <c r="R272" s="27" t="str">
        <f>IF(L272="","",IF(L272&gt;Config!$B$8,"A cair",IF(N(G272)&gt;=MIN(MAX(1,N(E272)),MAX(0,INT((Config!$B$8-L272)/30)+1)),IF(N(G272)&gt;=MAX(1,N(E272)),"Conferido","Conferido até aqui"),"A conferir")))</f>
        <v>Conferido</v>
      </c>
      <c r="S272" s="51">
        <f>IF(R272="A conferir",(Config!$B$8-L272)*1000+N(F272)/1000+ROW()/100000,0)</f>
        <v>0</v>
      </c>
      <c r="T272" s="51">
        <f>IF(R272="A conferir",N(N272),0)</f>
        <v>0</v>
      </c>
      <c r="U272" s="51">
        <f>IF(L272="",0,L272)</f>
        <v>46266.0</v>
      </c>
      <c r="V272" s="51">
        <f>IF(L272="",0,MAX(1,N(E272)))</f>
        <v>1</v>
      </c>
      <c r="W272" s="51">
        <f>IF(K272="",0,K272)</f>
        <v>400</v>
      </c>
    </row>
    <row r="273">
      <c r="A273" s="49" t="n">
        <v>46266</v>
      </c>
      <c r="B273" s="41" t="inlineStr">
        <is>
          <t>Isabela Xavier</t>
        </is>
      </c>
      <c r="C273" s="41" t="inlineStr">
        <is>
          <t>Avaliação endócrina</t>
        </is>
      </c>
      <c r="D273" s="42" t="inlineStr">
        <is>
          <t>Cartão de crédito</t>
        </is>
      </c>
      <c r="E273" s="42" t="n"/>
      <c r="F273" s="50" t="n">
        <v>400</v>
      </c>
      <c r="G273" s="42" t="n"/>
      <c r="H273" s="30">
        <f>IF(D273="","",IFERROR(INDEX(Config!$B$12:$B$15,MATCH(IF(AND(D273="Cartão de crédito",N(E273)&gt;1),"Cartão de crédito parcelado",D273),Config!$A$12:$A$15,0)),0)+IF(AND(Config!$B$17="Sim",LEFT(D273,17)="Cartão de crédito"),Config!$B$18*IFERROR(INDEX(Config!$C$12:$C$15,MATCH(IF(AND(D273="Cartão de crédito",N(E273)&gt;1),"Cartão de crédito parcelado",D273),Config!$A$12:$A$15,0)),0)/30*MAX(1,N(E273)),0))</f>
        <v>0.032</v>
      </c>
      <c r="I273" s="29">
        <f>IF(OR(D273="",F273=""),"",ROUND(F273*H273,2))</f>
        <v>12.8</v>
      </c>
      <c r="J273" s="29">
        <f>IF(I273="","",F273-I273)</f>
        <v>387.2</v>
      </c>
      <c r="K273" s="29">
        <f>IF(J273="","",J273/MAX(1,N(E273)))</f>
        <v>387.2</v>
      </c>
      <c r="L273" s="37">
        <f>IF(OR(D273="",A273=""),"",A273+IF(AND(Config!$B$17="Sim",LEFT(D273,17)="Cartão de crédito"),1,IFERROR(INDEX(Config!$C$12:$C$15,MATCH(IF(AND(D273="Cartão de crédito",N(E273)&gt;1),"Cartão de crédito parcelado",D273),Config!$A$12:$A$15,0)),0)))</f>
        <v>46296.0</v>
      </c>
      <c r="M273" s="37">
        <f>IF(L273="","",IF(AND(Config!$B$17="Sim",LEFT(D273,17)="Cartão de crédito"),L273,L273+30*(MAX(1,N(E273))-1)))</f>
        <v>46296.0</v>
      </c>
      <c r="N273" s="29">
        <f>IF(OR(L273="",K273=""),"",K273*MIN(MAX(1,N(E273)),MAX(0,INT((Config!$B$8-L273)/30)+1)))</f>
        <v>0</v>
      </c>
      <c r="O273" s="29">
        <f>IF(J273="","",J273-N(N273))</f>
        <v>387.2</v>
      </c>
      <c r="P273" s="27">
        <f>IF(A273="","",MONTH(A273))</f>
        <v>9</v>
      </c>
      <c r="Q273" s="27">
        <f>IF(A273="","",YEAR(A273))</f>
        <v>2026</v>
      </c>
      <c r="R273" s="27" t="str">
        <f>IF(L273="","",IF(L273&gt;Config!$B$8,"A cair",IF(N(G273)&gt;=MIN(MAX(1,N(E273)),MAX(0,INT((Config!$B$8-L273)/30)+1)),IF(N(G273)&gt;=MAX(1,N(E273)),"Conferido","Conferido até aqui"),"A conferir")))</f>
        <v>A cair</v>
      </c>
      <c r="S273" s="51">
        <f>IF(R273="A conferir",(Config!$B$8-L273)*1000+N(F273)/1000+ROW()/100000,0)</f>
        <v>0</v>
      </c>
      <c r="T273" s="51">
        <f>IF(R273="A conferir",N(N273),0)</f>
        <v>0</v>
      </c>
      <c r="U273" s="51">
        <f>IF(L273="",0,L273)</f>
        <v>46296.0</v>
      </c>
      <c r="V273" s="51">
        <f>IF(L273="",0,MAX(1,N(E273)))</f>
        <v>1</v>
      </c>
      <c r="W273" s="51">
        <f>IF(K273="",0,K273)</f>
        <v>387.2</v>
      </c>
    </row>
    <row r="274">
      <c r="A274" s="49" t="n">
        <v>46267</v>
      </c>
      <c r="B274" s="41" t="inlineStr">
        <is>
          <t>Helena Moreira</t>
        </is>
      </c>
      <c r="C274" s="41" t="inlineStr">
        <is>
          <t>Consulta</t>
        </is>
      </c>
      <c r="D274" s="42" t="inlineStr">
        <is>
          <t>Cartão de débito</t>
        </is>
      </c>
      <c r="E274" s="42" t="n"/>
      <c r="F274" s="50" t="n">
        <v>380</v>
      </c>
      <c r="G274" s="42" t="n">
        <v>1</v>
      </c>
      <c r="H274" s="30">
        <f>IF(D274="","",IFERROR(INDEX(Config!$B$12:$B$15,MATCH(IF(AND(D274="Cartão de crédito",N(E274)&gt;1),"Cartão de crédito parcelado",D274),Config!$A$12:$A$15,0)),0)+IF(AND(Config!$B$17="Sim",LEFT(D274,17)="Cartão de crédito"),Config!$B$18*IFERROR(INDEX(Config!$C$12:$C$15,MATCH(IF(AND(D274="Cartão de crédito",N(E274)&gt;1),"Cartão de crédito parcelado",D274),Config!$A$12:$A$15,0)),0)/30*MAX(1,N(E274)),0))</f>
        <v>0.015</v>
      </c>
      <c r="I274" s="29">
        <f>IF(OR(D274="",F274=""),"",ROUND(F274*H274,2))</f>
        <v>5.7</v>
      </c>
      <c r="J274" s="29">
        <f>IF(I274="","",F274-I274)</f>
        <v>374.3</v>
      </c>
      <c r="K274" s="29">
        <f>IF(J274="","",J274/MAX(1,N(E274)))</f>
        <v>374.3</v>
      </c>
      <c r="L274" s="37">
        <f>IF(OR(D274="",A274=""),"",A274+IF(AND(Config!$B$17="Sim",LEFT(D274,17)="Cartão de crédito"),1,IFERROR(INDEX(Config!$C$12:$C$15,MATCH(IF(AND(D274="Cartão de crédito",N(E274)&gt;1),"Cartão de crédito parcelado",D274),Config!$A$12:$A$15,0)),0)))</f>
        <v>46268.0</v>
      </c>
      <c r="M274" s="37">
        <f>IF(L274="","",IF(AND(Config!$B$17="Sim",LEFT(D274,17)="Cartão de crédito"),L274,L274+30*(MAX(1,N(E274))-1)))</f>
        <v>46268.0</v>
      </c>
      <c r="N274" s="29">
        <f>IF(OR(L274="",K274=""),"",K274*MIN(MAX(1,N(E274)),MAX(0,INT((Config!$B$8-L274)/30)+1)))</f>
        <v>374.3</v>
      </c>
      <c r="O274" s="29">
        <f>IF(J274="","",J274-N(N274))</f>
        <v>0</v>
      </c>
      <c r="P274" s="27">
        <f>IF(A274="","",MONTH(A274))</f>
        <v>9</v>
      </c>
      <c r="Q274" s="27">
        <f>IF(A274="","",YEAR(A274))</f>
        <v>2026</v>
      </c>
      <c r="R274" s="27" t="str">
        <f>IF(L274="","",IF(L274&gt;Config!$B$8,"A cair",IF(N(G274)&gt;=MIN(MAX(1,N(E274)),MAX(0,INT((Config!$B$8-L274)/30)+1)),IF(N(G274)&gt;=MAX(1,N(E274)),"Conferido","Conferido até aqui"),"A conferir")))</f>
        <v>Conferido</v>
      </c>
      <c r="S274" s="51">
        <f>IF(R274="A conferir",(Config!$B$8-L274)*1000+N(F274)/1000+ROW()/100000,0)</f>
        <v>0</v>
      </c>
      <c r="T274" s="51">
        <f>IF(R274="A conferir",N(N274),0)</f>
        <v>0</v>
      </c>
      <c r="U274" s="51">
        <f>IF(L274="",0,L274)</f>
        <v>46268.0</v>
      </c>
      <c r="V274" s="51">
        <f>IF(L274="",0,MAX(1,N(E274)))</f>
        <v>1</v>
      </c>
      <c r="W274" s="51">
        <f>IF(K274="",0,K274)</f>
        <v>374.3</v>
      </c>
    </row>
    <row r="275">
      <c r="A275" s="49" t="n">
        <v>46267</v>
      </c>
      <c r="B275" s="41" t="inlineStr">
        <is>
          <t>Rafael Dias</t>
        </is>
      </c>
      <c r="C275" s="41" t="inlineStr">
        <is>
          <t>Consulta</t>
        </is>
      </c>
      <c r="D275" s="42" t="inlineStr">
        <is>
          <t>Pix</t>
        </is>
      </c>
      <c r="E275" s="42" t="n"/>
      <c r="F275" s="50" t="n">
        <v>380</v>
      </c>
      <c r="G275" s="42" t="n">
        <v>1</v>
      </c>
      <c r="H275" s="30">
        <f>IF(D275="","",IFERROR(INDEX(Config!$B$12:$B$15,MATCH(IF(AND(D275="Cartão de crédito",N(E275)&gt;1),"Cartão de crédito parcelado",D275),Config!$A$12:$A$15,0)),0)+IF(AND(Config!$B$17="Sim",LEFT(D275,17)="Cartão de crédito"),Config!$B$18*IFERROR(INDEX(Config!$C$12:$C$15,MATCH(IF(AND(D275="Cartão de crédito",N(E275)&gt;1),"Cartão de crédito parcelado",D275),Config!$A$12:$A$15,0)),0)/30*MAX(1,N(E275)),0))</f>
        <v>0</v>
      </c>
      <c r="I275" s="29">
        <f>IF(OR(D275="",F275=""),"",ROUND(F275*H275,2))</f>
        <v>0</v>
      </c>
      <c r="J275" s="29">
        <f>IF(I275="","",F275-I275)</f>
        <v>380</v>
      </c>
      <c r="K275" s="29">
        <f>IF(J275="","",J275/MAX(1,N(E275)))</f>
        <v>380</v>
      </c>
      <c r="L275" s="37">
        <f>IF(OR(D275="",A275=""),"",A275+IF(AND(Config!$B$17="Sim",LEFT(D275,17)="Cartão de crédito"),1,IFERROR(INDEX(Config!$C$12:$C$15,MATCH(IF(AND(D275="Cartão de crédito",N(E275)&gt;1),"Cartão de crédito parcelado",D275),Config!$A$12:$A$15,0)),0)))</f>
        <v>46267.0</v>
      </c>
      <c r="M275" s="37">
        <f>IF(L275="","",IF(AND(Config!$B$17="Sim",LEFT(D275,17)="Cartão de crédito"),L275,L275+30*(MAX(1,N(E275))-1)))</f>
        <v>46267.0</v>
      </c>
      <c r="N275" s="29">
        <f>IF(OR(L275="",K275=""),"",K275*MIN(MAX(1,N(E275)),MAX(0,INT((Config!$B$8-L275)/30)+1)))</f>
        <v>380</v>
      </c>
      <c r="O275" s="29">
        <f>IF(J275="","",J275-N(N275))</f>
        <v>0</v>
      </c>
      <c r="P275" s="27">
        <f>IF(A275="","",MONTH(A275))</f>
        <v>9</v>
      </c>
      <c r="Q275" s="27">
        <f>IF(A275="","",YEAR(A275))</f>
        <v>2026</v>
      </c>
      <c r="R275" s="27" t="str">
        <f>IF(L275="","",IF(L275&gt;Config!$B$8,"A cair",IF(N(G275)&gt;=MIN(MAX(1,N(E275)),MAX(0,INT((Config!$B$8-L275)/30)+1)),IF(N(G275)&gt;=MAX(1,N(E275)),"Conferido","Conferido até aqui"),"A conferir")))</f>
        <v>Conferido</v>
      </c>
      <c r="S275" s="51">
        <f>IF(R275="A conferir",(Config!$B$8-L275)*1000+N(F275)/1000+ROW()/100000,0)</f>
        <v>0</v>
      </c>
      <c r="T275" s="51">
        <f>IF(R275="A conferir",N(N275),0)</f>
        <v>0</v>
      </c>
      <c r="U275" s="51">
        <f>IF(L275="",0,L275)</f>
        <v>46267.0</v>
      </c>
      <c r="V275" s="51">
        <f>IF(L275="",0,MAX(1,N(E275)))</f>
        <v>1</v>
      </c>
      <c r="W275" s="51">
        <f>IF(K275="",0,K275)</f>
        <v>380</v>
      </c>
    </row>
    <row r="276">
      <c r="A276" s="49" t="n">
        <v>46267</v>
      </c>
      <c r="B276" s="41" t="inlineStr">
        <is>
          <t>Cláudia Santos</t>
        </is>
      </c>
      <c r="C276" s="41" t="inlineStr">
        <is>
          <t>Consulta</t>
        </is>
      </c>
      <c r="D276" s="42" t="inlineStr">
        <is>
          <t>Cartão de crédito</t>
        </is>
      </c>
      <c r="E276" s="42" t="n">
        <v>2</v>
      </c>
      <c r="F276" s="50" t="n">
        <v>380</v>
      </c>
      <c r="G276" s="42" t="n"/>
      <c r="H276" s="30">
        <f>IF(D276="","",IFERROR(INDEX(Config!$B$12:$B$15,MATCH(IF(AND(D276="Cartão de crédito",N(E276)&gt;1),"Cartão de crédito parcelado",D276),Config!$A$12:$A$15,0)),0)+IF(AND(Config!$B$17="Sim",LEFT(D276,17)="Cartão de crédito"),Config!$B$18*IFERROR(INDEX(Config!$C$12:$C$15,MATCH(IF(AND(D276="Cartão de crédito",N(E276)&gt;1),"Cartão de crédito parcelado",D276),Config!$A$12:$A$15,0)),0)/30*MAX(1,N(E276)),0))</f>
        <v>0.039</v>
      </c>
      <c r="I276" s="29">
        <f>IF(OR(D276="",F276=""),"",ROUND(F276*H276,2))</f>
        <v>14.82</v>
      </c>
      <c r="J276" s="29">
        <f>IF(I276="","",F276-I276)</f>
        <v>365.18</v>
      </c>
      <c r="K276" s="29">
        <f>IF(J276="","",J276/MAX(1,N(E276)))</f>
        <v>182.59</v>
      </c>
      <c r="L276" s="37">
        <f>IF(OR(D276="",A276=""),"",A276+IF(AND(Config!$B$17="Sim",LEFT(D276,17)="Cartão de crédito"),1,IFERROR(INDEX(Config!$C$12:$C$15,MATCH(IF(AND(D276="Cartão de crédito",N(E276)&gt;1),"Cartão de crédito parcelado",D276),Config!$A$12:$A$15,0)),0)))</f>
        <v>46297.0</v>
      </c>
      <c r="M276" s="37">
        <f>IF(L276="","",IF(AND(Config!$B$17="Sim",LEFT(D276,17)="Cartão de crédito"),L276,L276+30*(MAX(1,N(E276))-1)))</f>
        <v>46327.0</v>
      </c>
      <c r="N276" s="29">
        <f>IF(OR(L276="",K276=""),"",K276*MIN(MAX(1,N(E276)),MAX(0,INT((Config!$B$8-L276)/30)+1)))</f>
        <v>0</v>
      </c>
      <c r="O276" s="29">
        <f>IF(J276="","",J276-N(N276))</f>
        <v>365.18</v>
      </c>
      <c r="P276" s="27">
        <f>IF(A276="","",MONTH(A276))</f>
        <v>9</v>
      </c>
      <c r="Q276" s="27">
        <f>IF(A276="","",YEAR(A276))</f>
        <v>2026</v>
      </c>
      <c r="R276" s="27" t="str">
        <f>IF(L276="","",IF(L276&gt;Config!$B$8,"A cair",IF(N(G276)&gt;=MIN(MAX(1,N(E276)),MAX(0,INT((Config!$B$8-L276)/30)+1)),IF(N(G276)&gt;=MAX(1,N(E276)),"Conferido","Conferido até aqui"),"A conferir")))</f>
        <v>A cair</v>
      </c>
      <c r="S276" s="51">
        <f>IF(R276="A conferir",(Config!$B$8-L276)*1000+N(F276)/1000+ROW()/100000,0)</f>
        <v>0</v>
      </c>
      <c r="T276" s="51">
        <f>IF(R276="A conferir",N(N276),0)</f>
        <v>0</v>
      </c>
      <c r="U276" s="51">
        <f>IF(L276="",0,L276)</f>
        <v>46297.0</v>
      </c>
      <c r="V276" s="51">
        <f>IF(L276="",0,MAX(1,N(E276)))</f>
        <v>2</v>
      </c>
      <c r="W276" s="51">
        <f>IF(K276="",0,K276)</f>
        <v>182.59</v>
      </c>
    </row>
    <row r="277">
      <c r="A277" s="49" t="n">
        <v>46268</v>
      </c>
      <c r="B277" s="41" t="inlineStr">
        <is>
          <t>Gisele Xavier</t>
        </is>
      </c>
      <c r="C277" s="41" t="inlineStr">
        <is>
          <t>Consulta</t>
        </is>
      </c>
      <c r="D277" s="42" t="inlineStr">
        <is>
          <t>Cartão de crédito</t>
        </is>
      </c>
      <c r="E277" s="42" t="n"/>
      <c r="F277" s="50" t="n">
        <v>380</v>
      </c>
      <c r="G277" s="42" t="n"/>
      <c r="H277" s="30">
        <f>IF(D277="","",IFERROR(INDEX(Config!$B$12:$B$15,MATCH(IF(AND(D277="Cartão de crédito",N(E277)&gt;1),"Cartão de crédito parcelado",D277),Config!$A$12:$A$15,0)),0)+IF(AND(Config!$B$17="Sim",LEFT(D277,17)="Cartão de crédito"),Config!$B$18*IFERROR(INDEX(Config!$C$12:$C$15,MATCH(IF(AND(D277="Cartão de crédito",N(E277)&gt;1),"Cartão de crédito parcelado",D277),Config!$A$12:$A$15,0)),0)/30*MAX(1,N(E277)),0))</f>
        <v>0.032</v>
      </c>
      <c r="I277" s="29">
        <f>IF(OR(D277="",F277=""),"",ROUND(F277*H277,2))</f>
        <v>12.16</v>
      </c>
      <c r="J277" s="29">
        <f>IF(I277="","",F277-I277)</f>
        <v>367.84</v>
      </c>
      <c r="K277" s="29">
        <f>IF(J277="","",J277/MAX(1,N(E277)))</f>
        <v>367.84</v>
      </c>
      <c r="L277" s="37">
        <f>IF(OR(D277="",A277=""),"",A277+IF(AND(Config!$B$17="Sim",LEFT(D277,17)="Cartão de crédito"),1,IFERROR(INDEX(Config!$C$12:$C$15,MATCH(IF(AND(D277="Cartão de crédito",N(E277)&gt;1),"Cartão de crédito parcelado",D277),Config!$A$12:$A$15,0)),0)))</f>
        <v>46298.0</v>
      </c>
      <c r="M277" s="37">
        <f>IF(L277="","",IF(AND(Config!$B$17="Sim",LEFT(D277,17)="Cartão de crédito"),L277,L277+30*(MAX(1,N(E277))-1)))</f>
        <v>46298.0</v>
      </c>
      <c r="N277" s="29">
        <f>IF(OR(L277="",K277=""),"",K277*MIN(MAX(1,N(E277)),MAX(0,INT((Config!$B$8-L277)/30)+1)))</f>
        <v>0</v>
      </c>
      <c r="O277" s="29">
        <f>IF(J277="","",J277-N(N277))</f>
        <v>367.84</v>
      </c>
      <c r="P277" s="27">
        <f>IF(A277="","",MONTH(A277))</f>
        <v>9</v>
      </c>
      <c r="Q277" s="27">
        <f>IF(A277="","",YEAR(A277))</f>
        <v>2026</v>
      </c>
      <c r="R277" s="27" t="str">
        <f>IF(L277="","",IF(L277&gt;Config!$B$8,"A cair",IF(N(G277)&gt;=MIN(MAX(1,N(E277)),MAX(0,INT((Config!$B$8-L277)/30)+1)),IF(N(G277)&gt;=MAX(1,N(E277)),"Conferido","Conferido até aqui"),"A conferir")))</f>
        <v>A cair</v>
      </c>
      <c r="S277" s="51">
        <f>IF(R277="A conferir",(Config!$B$8-L277)*1000+N(F277)/1000+ROW()/100000,0)</f>
        <v>0</v>
      </c>
      <c r="T277" s="51">
        <f>IF(R277="A conferir",N(N277),0)</f>
        <v>0</v>
      </c>
      <c r="U277" s="51">
        <f>IF(L277="",0,L277)</f>
        <v>46298.0</v>
      </c>
      <c r="V277" s="51">
        <f>IF(L277="",0,MAX(1,N(E277)))</f>
        <v>1</v>
      </c>
      <c r="W277" s="51">
        <f>IF(K277="",0,K277)</f>
        <v>367.84</v>
      </c>
    </row>
    <row r="278">
      <c r="A278" s="49" t="n">
        <v>46268</v>
      </c>
      <c r="B278" s="41" t="inlineStr">
        <is>
          <t>Marcelo Santos</t>
        </is>
      </c>
      <c r="C278" s="41" t="inlineStr">
        <is>
          <t>Consulta</t>
        </is>
      </c>
      <c r="D278" s="42" t="inlineStr">
        <is>
          <t>Cartão de débito</t>
        </is>
      </c>
      <c r="E278" s="42" t="n"/>
      <c r="F278" s="50" t="n">
        <v>380</v>
      </c>
      <c r="G278" s="42" t="n">
        <v>1</v>
      </c>
      <c r="H278" s="30">
        <f>IF(D278="","",IFERROR(INDEX(Config!$B$12:$B$15,MATCH(IF(AND(D278="Cartão de crédito",N(E278)&gt;1),"Cartão de crédito parcelado",D278),Config!$A$12:$A$15,0)),0)+IF(AND(Config!$B$17="Sim",LEFT(D278,17)="Cartão de crédito"),Config!$B$18*IFERROR(INDEX(Config!$C$12:$C$15,MATCH(IF(AND(D278="Cartão de crédito",N(E278)&gt;1),"Cartão de crédito parcelado",D278),Config!$A$12:$A$15,0)),0)/30*MAX(1,N(E278)),0))</f>
        <v>0.015</v>
      </c>
      <c r="I278" s="29">
        <f>IF(OR(D278="",F278=""),"",ROUND(F278*H278,2))</f>
        <v>5.7</v>
      </c>
      <c r="J278" s="29">
        <f>IF(I278="","",F278-I278)</f>
        <v>374.3</v>
      </c>
      <c r="K278" s="29">
        <f>IF(J278="","",J278/MAX(1,N(E278)))</f>
        <v>374.3</v>
      </c>
      <c r="L278" s="37">
        <f>IF(OR(D278="",A278=""),"",A278+IF(AND(Config!$B$17="Sim",LEFT(D278,17)="Cartão de crédito"),1,IFERROR(INDEX(Config!$C$12:$C$15,MATCH(IF(AND(D278="Cartão de crédito",N(E278)&gt;1),"Cartão de crédito parcelado",D278),Config!$A$12:$A$15,0)),0)))</f>
        <v>46269.0</v>
      </c>
      <c r="M278" s="37">
        <f>IF(L278="","",IF(AND(Config!$B$17="Sim",LEFT(D278,17)="Cartão de crédito"),L278,L278+30*(MAX(1,N(E278))-1)))</f>
        <v>46269.0</v>
      </c>
      <c r="N278" s="29">
        <f>IF(OR(L278="",K278=""),"",K278*MIN(MAX(1,N(E278)),MAX(0,INT((Config!$B$8-L278)/30)+1)))</f>
        <v>374.3</v>
      </c>
      <c r="O278" s="29">
        <f>IF(J278="","",J278-N(N278))</f>
        <v>0</v>
      </c>
      <c r="P278" s="27">
        <f>IF(A278="","",MONTH(A278))</f>
        <v>9</v>
      </c>
      <c r="Q278" s="27">
        <f>IF(A278="","",YEAR(A278))</f>
        <v>2026</v>
      </c>
      <c r="R278" s="27" t="str">
        <f>IF(L278="","",IF(L278&gt;Config!$B$8,"A cair",IF(N(G278)&gt;=MIN(MAX(1,N(E278)),MAX(0,INT((Config!$B$8-L278)/30)+1)),IF(N(G278)&gt;=MAX(1,N(E278)),"Conferido","Conferido até aqui"),"A conferir")))</f>
        <v>Conferido</v>
      </c>
      <c r="S278" s="51">
        <f>IF(R278="A conferir",(Config!$B$8-L278)*1000+N(F278)/1000+ROW()/100000,0)</f>
        <v>0</v>
      </c>
      <c r="T278" s="51">
        <f>IF(R278="A conferir",N(N278),0)</f>
        <v>0</v>
      </c>
      <c r="U278" s="51">
        <f>IF(L278="",0,L278)</f>
        <v>46269.0</v>
      </c>
      <c r="V278" s="51">
        <f>IF(L278="",0,MAX(1,N(E278)))</f>
        <v>1</v>
      </c>
      <c r="W278" s="51">
        <f>IF(K278="",0,K278)</f>
        <v>374.3</v>
      </c>
    </row>
    <row r="279">
      <c r="A279" s="49" t="n">
        <v>46268</v>
      </c>
      <c r="B279" s="41" t="inlineStr">
        <is>
          <t>Regina Duarte</t>
        </is>
      </c>
      <c r="C279" s="41" t="inlineStr">
        <is>
          <t>Consulta</t>
        </is>
      </c>
      <c r="D279" s="42" t="inlineStr">
        <is>
          <t>Pix</t>
        </is>
      </c>
      <c r="E279" s="42" t="n"/>
      <c r="F279" s="50" t="n">
        <v>380</v>
      </c>
      <c r="G279" s="42" t="n">
        <v>1</v>
      </c>
      <c r="H279" s="30">
        <f>IF(D279="","",IFERROR(INDEX(Config!$B$12:$B$15,MATCH(IF(AND(D279="Cartão de crédito",N(E279)&gt;1),"Cartão de crédito parcelado",D279),Config!$A$12:$A$15,0)),0)+IF(AND(Config!$B$17="Sim",LEFT(D279,17)="Cartão de crédito"),Config!$B$18*IFERROR(INDEX(Config!$C$12:$C$15,MATCH(IF(AND(D279="Cartão de crédito",N(E279)&gt;1),"Cartão de crédito parcelado",D279),Config!$A$12:$A$15,0)),0)/30*MAX(1,N(E279)),0))</f>
        <v>0</v>
      </c>
      <c r="I279" s="29">
        <f>IF(OR(D279="",F279=""),"",ROUND(F279*H279,2))</f>
        <v>0</v>
      </c>
      <c r="J279" s="29">
        <f>IF(I279="","",F279-I279)</f>
        <v>380</v>
      </c>
      <c r="K279" s="29">
        <f>IF(J279="","",J279/MAX(1,N(E279)))</f>
        <v>380</v>
      </c>
      <c r="L279" s="37">
        <f>IF(OR(D279="",A279=""),"",A279+IF(AND(Config!$B$17="Sim",LEFT(D279,17)="Cartão de crédito"),1,IFERROR(INDEX(Config!$C$12:$C$15,MATCH(IF(AND(D279="Cartão de crédito",N(E279)&gt;1),"Cartão de crédito parcelado",D279),Config!$A$12:$A$15,0)),0)))</f>
        <v>46268.0</v>
      </c>
      <c r="M279" s="37">
        <f>IF(L279="","",IF(AND(Config!$B$17="Sim",LEFT(D279,17)="Cartão de crédito"),L279,L279+30*(MAX(1,N(E279))-1)))</f>
        <v>46268.0</v>
      </c>
      <c r="N279" s="29">
        <f>IF(OR(L279="",K279=""),"",K279*MIN(MAX(1,N(E279)),MAX(0,INT((Config!$B$8-L279)/30)+1)))</f>
        <v>380</v>
      </c>
      <c r="O279" s="29">
        <f>IF(J279="","",J279-N(N279))</f>
        <v>0</v>
      </c>
      <c r="P279" s="27">
        <f>IF(A279="","",MONTH(A279))</f>
        <v>9</v>
      </c>
      <c r="Q279" s="27">
        <f>IF(A279="","",YEAR(A279))</f>
        <v>2026</v>
      </c>
      <c r="R279" s="27" t="str">
        <f>IF(L279="","",IF(L279&gt;Config!$B$8,"A cair",IF(N(G279)&gt;=MIN(MAX(1,N(E279)),MAX(0,INT((Config!$B$8-L279)/30)+1)),IF(N(G279)&gt;=MAX(1,N(E279)),"Conferido","Conferido até aqui"),"A conferir")))</f>
        <v>Conferido</v>
      </c>
      <c r="S279" s="51">
        <f>IF(R279="A conferir",(Config!$B$8-L279)*1000+N(F279)/1000+ROW()/100000,0)</f>
        <v>0</v>
      </c>
      <c r="T279" s="51">
        <f>IF(R279="A conferir",N(N279),0)</f>
        <v>0</v>
      </c>
      <c r="U279" s="51">
        <f>IF(L279="",0,L279)</f>
        <v>46268.0</v>
      </c>
      <c r="V279" s="51">
        <f>IF(L279="",0,MAX(1,N(E279)))</f>
        <v>1</v>
      </c>
      <c r="W279" s="51">
        <f>IF(K279="",0,K279)</f>
        <v>380</v>
      </c>
    </row>
    <row r="280">
      <c r="A280" s="49" t="n">
        <v>46268</v>
      </c>
      <c r="B280" s="41" t="inlineStr">
        <is>
          <t>Cláudia Melo</t>
        </is>
      </c>
      <c r="C280" s="41" t="inlineStr">
        <is>
          <t>Avaliação endócrina</t>
        </is>
      </c>
      <c r="D280" s="42" t="inlineStr">
        <is>
          <t>Pix</t>
        </is>
      </c>
      <c r="E280" s="42" t="n"/>
      <c r="F280" s="50" t="n">
        <v>400</v>
      </c>
      <c r="G280" s="42" t="n">
        <v>1</v>
      </c>
      <c r="H280" s="30">
        <f>IF(D280="","",IFERROR(INDEX(Config!$B$12:$B$15,MATCH(IF(AND(D280="Cartão de crédito",N(E280)&gt;1),"Cartão de crédito parcelado",D280),Config!$A$12:$A$15,0)),0)+IF(AND(Config!$B$17="Sim",LEFT(D280,17)="Cartão de crédito"),Config!$B$18*IFERROR(INDEX(Config!$C$12:$C$15,MATCH(IF(AND(D280="Cartão de crédito",N(E280)&gt;1),"Cartão de crédito parcelado",D280),Config!$A$12:$A$15,0)),0)/30*MAX(1,N(E280)),0))</f>
        <v>0</v>
      </c>
      <c r="I280" s="29">
        <f>IF(OR(D280="",F280=""),"",ROUND(F280*H280,2))</f>
        <v>0</v>
      </c>
      <c r="J280" s="29">
        <f>IF(I280="","",F280-I280)</f>
        <v>400</v>
      </c>
      <c r="K280" s="29">
        <f>IF(J280="","",J280/MAX(1,N(E280)))</f>
        <v>400</v>
      </c>
      <c r="L280" s="37">
        <f>IF(OR(D280="",A280=""),"",A280+IF(AND(Config!$B$17="Sim",LEFT(D280,17)="Cartão de crédito"),1,IFERROR(INDEX(Config!$C$12:$C$15,MATCH(IF(AND(D280="Cartão de crédito",N(E280)&gt;1),"Cartão de crédito parcelado",D280),Config!$A$12:$A$15,0)),0)))</f>
        <v>46268.0</v>
      </c>
      <c r="M280" s="37">
        <f>IF(L280="","",IF(AND(Config!$B$17="Sim",LEFT(D280,17)="Cartão de crédito"),L280,L280+30*(MAX(1,N(E280))-1)))</f>
        <v>46268.0</v>
      </c>
      <c r="N280" s="29">
        <f>IF(OR(L280="",K280=""),"",K280*MIN(MAX(1,N(E280)),MAX(0,INT((Config!$B$8-L280)/30)+1)))</f>
        <v>400</v>
      </c>
      <c r="O280" s="29">
        <f>IF(J280="","",J280-N(N280))</f>
        <v>0</v>
      </c>
      <c r="P280" s="27">
        <f>IF(A280="","",MONTH(A280))</f>
        <v>9</v>
      </c>
      <c r="Q280" s="27">
        <f>IF(A280="","",YEAR(A280))</f>
        <v>2026</v>
      </c>
      <c r="R280" s="27" t="str">
        <f>IF(L280="","",IF(L280&gt;Config!$B$8,"A cair",IF(N(G280)&gt;=MIN(MAX(1,N(E280)),MAX(0,INT((Config!$B$8-L280)/30)+1)),IF(N(G280)&gt;=MAX(1,N(E280)),"Conferido","Conferido até aqui"),"A conferir")))</f>
        <v>Conferido</v>
      </c>
      <c r="S280" s="51">
        <f>IF(R280="A conferir",(Config!$B$8-L280)*1000+N(F280)/1000+ROW()/100000,0)</f>
        <v>0</v>
      </c>
      <c r="T280" s="51">
        <f>IF(R280="A conferir",N(N280),0)</f>
        <v>0</v>
      </c>
      <c r="U280" s="51">
        <f>IF(L280="",0,L280)</f>
        <v>46268.0</v>
      </c>
      <c r="V280" s="51">
        <f>IF(L280="",0,MAX(1,N(E280)))</f>
        <v>1</v>
      </c>
      <c r="W280" s="51">
        <f>IF(K280="",0,K280)</f>
        <v>400</v>
      </c>
    </row>
    <row r="281">
      <c r="A281" s="49" t="n">
        <v>46268</v>
      </c>
      <c r="B281" s="41" t="inlineStr">
        <is>
          <t>Elaine Cardoso</t>
        </is>
      </c>
      <c r="C281" s="41" t="inlineStr">
        <is>
          <t>ECG</t>
        </is>
      </c>
      <c r="D281" s="42" t="inlineStr">
        <is>
          <t>Cartão de débito</t>
        </is>
      </c>
      <c r="E281" s="42" t="n"/>
      <c r="F281" s="50" t="n">
        <v>130</v>
      </c>
      <c r="G281" s="42" t="n">
        <v>1</v>
      </c>
      <c r="H281" s="30">
        <f>IF(D281="","",IFERROR(INDEX(Config!$B$12:$B$15,MATCH(IF(AND(D281="Cartão de crédito",N(E281)&gt;1),"Cartão de crédito parcelado",D281),Config!$A$12:$A$15,0)),0)+IF(AND(Config!$B$17="Sim",LEFT(D281,17)="Cartão de crédito"),Config!$B$18*IFERROR(INDEX(Config!$C$12:$C$15,MATCH(IF(AND(D281="Cartão de crédito",N(E281)&gt;1),"Cartão de crédito parcelado",D281),Config!$A$12:$A$15,0)),0)/30*MAX(1,N(E281)),0))</f>
        <v>0.015</v>
      </c>
      <c r="I281" s="29">
        <f>IF(OR(D281="",F281=""),"",ROUND(F281*H281,2))</f>
        <v>1.95</v>
      </c>
      <c r="J281" s="29">
        <f>IF(I281="","",F281-I281)</f>
        <v>128.05</v>
      </c>
      <c r="K281" s="29">
        <f>IF(J281="","",J281/MAX(1,N(E281)))</f>
        <v>128.05</v>
      </c>
      <c r="L281" s="37">
        <f>IF(OR(D281="",A281=""),"",A281+IF(AND(Config!$B$17="Sim",LEFT(D281,17)="Cartão de crédito"),1,IFERROR(INDEX(Config!$C$12:$C$15,MATCH(IF(AND(D281="Cartão de crédito",N(E281)&gt;1),"Cartão de crédito parcelado",D281),Config!$A$12:$A$15,0)),0)))</f>
        <v>46269.0</v>
      </c>
      <c r="M281" s="37">
        <f>IF(L281="","",IF(AND(Config!$B$17="Sim",LEFT(D281,17)="Cartão de crédito"),L281,L281+30*(MAX(1,N(E281))-1)))</f>
        <v>46269.0</v>
      </c>
      <c r="N281" s="29">
        <f>IF(OR(L281="",K281=""),"",K281*MIN(MAX(1,N(E281)),MAX(0,INT((Config!$B$8-L281)/30)+1)))</f>
        <v>128.05</v>
      </c>
      <c r="O281" s="29">
        <f>IF(J281="","",J281-N(N281))</f>
        <v>0</v>
      </c>
      <c r="P281" s="27">
        <f>IF(A281="","",MONTH(A281))</f>
        <v>9</v>
      </c>
      <c r="Q281" s="27">
        <f>IF(A281="","",YEAR(A281))</f>
        <v>2026</v>
      </c>
      <c r="R281" s="27" t="str">
        <f>IF(L281="","",IF(L281&gt;Config!$B$8,"A cair",IF(N(G281)&gt;=MIN(MAX(1,N(E281)),MAX(0,INT((Config!$B$8-L281)/30)+1)),IF(N(G281)&gt;=MAX(1,N(E281)),"Conferido","Conferido até aqui"),"A conferir")))</f>
        <v>Conferido</v>
      </c>
      <c r="S281" s="51">
        <f>IF(R281="A conferir",(Config!$B$8-L281)*1000+N(F281)/1000+ROW()/100000,0)</f>
        <v>0</v>
      </c>
      <c r="T281" s="51">
        <f>IF(R281="A conferir",N(N281),0)</f>
        <v>0</v>
      </c>
      <c r="U281" s="51">
        <f>IF(L281="",0,L281)</f>
        <v>46269.0</v>
      </c>
      <c r="V281" s="51">
        <f>IF(L281="",0,MAX(1,N(E281)))</f>
        <v>1</v>
      </c>
      <c r="W281" s="51">
        <f>IF(K281="",0,K281)</f>
        <v>128.05</v>
      </c>
    </row>
    <row r="282">
      <c r="A282" s="49" t="n">
        <v>46268</v>
      </c>
      <c r="B282" s="41" t="inlineStr">
        <is>
          <t>Rafael Pereira</t>
        </is>
      </c>
      <c r="C282" s="41" t="inlineStr">
        <is>
          <t>Avaliação endócrina</t>
        </is>
      </c>
      <c r="D282" s="42" t="inlineStr">
        <is>
          <t>Cartão de crédito</t>
        </is>
      </c>
      <c r="E282" s="42" t="n">
        <v>2</v>
      </c>
      <c r="F282" s="50" t="n">
        <v>400</v>
      </c>
      <c r="G282" s="42" t="n"/>
      <c r="H282" s="30">
        <f>IF(D282="","",IFERROR(INDEX(Config!$B$12:$B$15,MATCH(IF(AND(D282="Cartão de crédito",N(E282)&gt;1),"Cartão de crédito parcelado",D282),Config!$A$12:$A$15,0)),0)+IF(AND(Config!$B$17="Sim",LEFT(D282,17)="Cartão de crédito"),Config!$B$18*IFERROR(INDEX(Config!$C$12:$C$15,MATCH(IF(AND(D282="Cartão de crédito",N(E282)&gt;1),"Cartão de crédito parcelado",D282),Config!$A$12:$A$15,0)),0)/30*MAX(1,N(E282)),0))</f>
        <v>0.039</v>
      </c>
      <c r="I282" s="29">
        <f>IF(OR(D282="",F282=""),"",ROUND(F282*H282,2))</f>
        <v>15.6</v>
      </c>
      <c r="J282" s="29">
        <f>IF(I282="","",F282-I282)</f>
        <v>384.4</v>
      </c>
      <c r="K282" s="29">
        <f>IF(J282="","",J282/MAX(1,N(E282)))</f>
        <v>192.2</v>
      </c>
      <c r="L282" s="37">
        <f>IF(OR(D282="",A282=""),"",A282+IF(AND(Config!$B$17="Sim",LEFT(D282,17)="Cartão de crédito"),1,IFERROR(INDEX(Config!$C$12:$C$15,MATCH(IF(AND(D282="Cartão de crédito",N(E282)&gt;1),"Cartão de crédito parcelado",D282),Config!$A$12:$A$15,0)),0)))</f>
        <v>46298.0</v>
      </c>
      <c r="M282" s="37">
        <f>IF(L282="","",IF(AND(Config!$B$17="Sim",LEFT(D282,17)="Cartão de crédito"),L282,L282+30*(MAX(1,N(E282))-1)))</f>
        <v>46328.0</v>
      </c>
      <c r="N282" s="29">
        <f>IF(OR(L282="",K282=""),"",K282*MIN(MAX(1,N(E282)),MAX(0,INT((Config!$B$8-L282)/30)+1)))</f>
        <v>0</v>
      </c>
      <c r="O282" s="29">
        <f>IF(J282="","",J282-N(N282))</f>
        <v>384.4</v>
      </c>
      <c r="P282" s="27">
        <f>IF(A282="","",MONTH(A282))</f>
        <v>9</v>
      </c>
      <c r="Q282" s="27">
        <f>IF(A282="","",YEAR(A282))</f>
        <v>2026</v>
      </c>
      <c r="R282" s="27" t="str">
        <f>IF(L282="","",IF(L282&gt;Config!$B$8,"A cair",IF(N(G282)&gt;=MIN(MAX(1,N(E282)),MAX(0,INT((Config!$B$8-L282)/30)+1)),IF(N(G282)&gt;=MAX(1,N(E282)),"Conferido","Conferido até aqui"),"A conferir")))</f>
        <v>A cair</v>
      </c>
      <c r="S282" s="51">
        <f>IF(R282="A conferir",(Config!$B$8-L282)*1000+N(F282)/1000+ROW()/100000,0)</f>
        <v>0</v>
      </c>
      <c r="T282" s="51">
        <f>IF(R282="A conferir",N(N282),0)</f>
        <v>0</v>
      </c>
      <c r="U282" s="51">
        <f>IF(L282="",0,L282)</f>
        <v>46298.0</v>
      </c>
      <c r="V282" s="51">
        <f>IF(L282="",0,MAX(1,N(E282)))</f>
        <v>2</v>
      </c>
      <c r="W282" s="51">
        <f>IF(K282="",0,K282)</f>
        <v>192.2</v>
      </c>
    </row>
    <row r="283">
      <c r="A283" s="49" t="n">
        <v>46268</v>
      </c>
      <c r="B283" s="41" t="inlineStr">
        <is>
          <t>Rafael Barros</t>
        </is>
      </c>
      <c r="C283" s="41" t="inlineStr">
        <is>
          <t>Teste ergométrico</t>
        </is>
      </c>
      <c r="D283" s="42" t="inlineStr">
        <is>
          <t>Cartão de débito</t>
        </is>
      </c>
      <c r="E283" s="42" t="n"/>
      <c r="F283" s="50" t="n">
        <v>450</v>
      </c>
      <c r="G283" s="42" t="n">
        <v>1</v>
      </c>
      <c r="H283" s="30">
        <f>IF(D283="","",IFERROR(INDEX(Config!$B$12:$B$15,MATCH(IF(AND(D283="Cartão de crédito",N(E283)&gt;1),"Cartão de crédito parcelado",D283),Config!$A$12:$A$15,0)),0)+IF(AND(Config!$B$17="Sim",LEFT(D283,17)="Cartão de crédito"),Config!$B$18*IFERROR(INDEX(Config!$C$12:$C$15,MATCH(IF(AND(D283="Cartão de crédito",N(E283)&gt;1),"Cartão de crédito parcelado",D283),Config!$A$12:$A$15,0)),0)/30*MAX(1,N(E283)),0))</f>
        <v>0.015</v>
      </c>
      <c r="I283" s="29">
        <f>IF(OR(D283="",F283=""),"",ROUND(F283*H283,2))</f>
        <v>6.75</v>
      </c>
      <c r="J283" s="29">
        <f>IF(I283="","",F283-I283)</f>
        <v>443.25</v>
      </c>
      <c r="K283" s="29">
        <f>IF(J283="","",J283/MAX(1,N(E283)))</f>
        <v>443.25</v>
      </c>
      <c r="L283" s="37">
        <f>IF(OR(D283="",A283=""),"",A283+IF(AND(Config!$B$17="Sim",LEFT(D283,17)="Cartão de crédito"),1,IFERROR(INDEX(Config!$C$12:$C$15,MATCH(IF(AND(D283="Cartão de crédito",N(E283)&gt;1),"Cartão de crédito parcelado",D283),Config!$A$12:$A$15,0)),0)))</f>
        <v>46269.0</v>
      </c>
      <c r="M283" s="37">
        <f>IF(L283="","",IF(AND(Config!$B$17="Sim",LEFT(D283,17)="Cartão de crédito"),L283,L283+30*(MAX(1,N(E283))-1)))</f>
        <v>46269.0</v>
      </c>
      <c r="N283" s="29">
        <f>IF(OR(L283="",K283=""),"",K283*MIN(MAX(1,N(E283)),MAX(0,INT((Config!$B$8-L283)/30)+1)))</f>
        <v>443.25</v>
      </c>
      <c r="O283" s="29">
        <f>IF(J283="","",J283-N(N283))</f>
        <v>0</v>
      </c>
      <c r="P283" s="27">
        <f>IF(A283="","",MONTH(A283))</f>
        <v>9</v>
      </c>
      <c r="Q283" s="27">
        <f>IF(A283="","",YEAR(A283))</f>
        <v>2026</v>
      </c>
      <c r="R283" s="27" t="str">
        <f>IF(L283="","",IF(L283&gt;Config!$B$8,"A cair",IF(N(G283)&gt;=MIN(MAX(1,N(E283)),MAX(0,INT((Config!$B$8-L283)/30)+1)),IF(N(G283)&gt;=MAX(1,N(E283)),"Conferido","Conferido até aqui"),"A conferir")))</f>
        <v>Conferido</v>
      </c>
      <c r="S283" s="51">
        <f>IF(R283="A conferir",(Config!$B$8-L283)*1000+N(F283)/1000+ROW()/100000,0)</f>
        <v>0</v>
      </c>
      <c r="T283" s="51">
        <f>IF(R283="A conferir",N(N283),0)</f>
        <v>0</v>
      </c>
      <c r="U283" s="51">
        <f>IF(L283="",0,L283)</f>
        <v>46269.0</v>
      </c>
      <c r="V283" s="51">
        <f>IF(L283="",0,MAX(1,N(E283)))</f>
        <v>1</v>
      </c>
      <c r="W283" s="51">
        <f>IF(K283="",0,K283)</f>
        <v>443.25</v>
      </c>
    </row>
    <row r="284">
      <c r="A284" s="49" t="n">
        <v>46268</v>
      </c>
      <c r="B284" s="41" t="inlineStr">
        <is>
          <t>Tatiana Macedo</t>
        </is>
      </c>
      <c r="C284" s="41" t="inlineStr">
        <is>
          <t>Avaliação endócrina</t>
        </is>
      </c>
      <c r="D284" s="42" t="inlineStr">
        <is>
          <t>Pix</t>
        </is>
      </c>
      <c r="E284" s="42" t="n"/>
      <c r="F284" s="50" t="n">
        <v>400</v>
      </c>
      <c r="G284" s="42" t="n">
        <v>1</v>
      </c>
      <c r="H284" s="30">
        <f>IF(D284="","",IFERROR(INDEX(Config!$B$12:$B$15,MATCH(IF(AND(D284="Cartão de crédito",N(E284)&gt;1),"Cartão de crédito parcelado",D284),Config!$A$12:$A$15,0)),0)+IF(AND(Config!$B$17="Sim",LEFT(D284,17)="Cartão de crédito"),Config!$B$18*IFERROR(INDEX(Config!$C$12:$C$15,MATCH(IF(AND(D284="Cartão de crédito",N(E284)&gt;1),"Cartão de crédito parcelado",D284),Config!$A$12:$A$15,0)),0)/30*MAX(1,N(E284)),0))</f>
        <v>0</v>
      </c>
      <c r="I284" s="29">
        <f>IF(OR(D284="",F284=""),"",ROUND(F284*H284,2))</f>
        <v>0</v>
      </c>
      <c r="J284" s="29">
        <f>IF(I284="","",F284-I284)</f>
        <v>400</v>
      </c>
      <c r="K284" s="29">
        <f>IF(J284="","",J284/MAX(1,N(E284)))</f>
        <v>400</v>
      </c>
      <c r="L284" s="37">
        <f>IF(OR(D284="",A284=""),"",A284+IF(AND(Config!$B$17="Sim",LEFT(D284,17)="Cartão de crédito"),1,IFERROR(INDEX(Config!$C$12:$C$15,MATCH(IF(AND(D284="Cartão de crédito",N(E284)&gt;1),"Cartão de crédito parcelado",D284),Config!$A$12:$A$15,0)),0)))</f>
        <v>46268.0</v>
      </c>
      <c r="M284" s="37">
        <f>IF(L284="","",IF(AND(Config!$B$17="Sim",LEFT(D284,17)="Cartão de crédito"),L284,L284+30*(MAX(1,N(E284))-1)))</f>
        <v>46268.0</v>
      </c>
      <c r="N284" s="29">
        <f>IF(OR(L284="",K284=""),"",K284*MIN(MAX(1,N(E284)),MAX(0,INT((Config!$B$8-L284)/30)+1)))</f>
        <v>400</v>
      </c>
      <c r="O284" s="29">
        <f>IF(J284="","",J284-N(N284))</f>
        <v>0</v>
      </c>
      <c r="P284" s="27">
        <f>IF(A284="","",MONTH(A284))</f>
        <v>9</v>
      </c>
      <c r="Q284" s="27">
        <f>IF(A284="","",YEAR(A284))</f>
        <v>2026</v>
      </c>
      <c r="R284" s="27" t="str">
        <f>IF(L284="","",IF(L284&gt;Config!$B$8,"A cair",IF(N(G284)&gt;=MIN(MAX(1,N(E284)),MAX(0,INT((Config!$B$8-L284)/30)+1)),IF(N(G284)&gt;=MAX(1,N(E284)),"Conferido","Conferido até aqui"),"A conferir")))</f>
        <v>Conferido</v>
      </c>
      <c r="S284" s="51">
        <f>IF(R284="A conferir",(Config!$B$8-L284)*1000+N(F284)/1000+ROW()/100000,0)</f>
        <v>0</v>
      </c>
      <c r="T284" s="51">
        <f>IF(R284="A conferir",N(N284),0)</f>
        <v>0</v>
      </c>
      <c r="U284" s="51">
        <f>IF(L284="",0,L284)</f>
        <v>46268.0</v>
      </c>
      <c r="V284" s="51">
        <f>IF(L284="",0,MAX(1,N(E284)))</f>
        <v>1</v>
      </c>
      <c r="W284" s="51">
        <f>IF(K284="",0,K284)</f>
        <v>400</v>
      </c>
    </row>
    <row r="285">
      <c r="A285" s="49" t="n">
        <v>46268</v>
      </c>
      <c r="B285" s="41" t="inlineStr">
        <is>
          <t>Mônica Almeida</t>
        </is>
      </c>
      <c r="C285" s="41" t="inlineStr">
        <is>
          <t>Avaliação endócrina</t>
        </is>
      </c>
      <c r="D285" s="42" t="inlineStr">
        <is>
          <t>Pix</t>
        </is>
      </c>
      <c r="E285" s="42" t="n"/>
      <c r="F285" s="50" t="n">
        <v>400</v>
      </c>
      <c r="G285" s="42" t="n">
        <v>1</v>
      </c>
      <c r="H285" s="30">
        <f>IF(D285="","",IFERROR(INDEX(Config!$B$12:$B$15,MATCH(IF(AND(D285="Cartão de crédito",N(E285)&gt;1),"Cartão de crédito parcelado",D285),Config!$A$12:$A$15,0)),0)+IF(AND(Config!$B$17="Sim",LEFT(D285,17)="Cartão de crédito"),Config!$B$18*IFERROR(INDEX(Config!$C$12:$C$15,MATCH(IF(AND(D285="Cartão de crédito",N(E285)&gt;1),"Cartão de crédito parcelado",D285),Config!$A$12:$A$15,0)),0)/30*MAX(1,N(E285)),0))</f>
        <v>0</v>
      </c>
      <c r="I285" s="29">
        <f>IF(OR(D285="",F285=""),"",ROUND(F285*H285,2))</f>
        <v>0</v>
      </c>
      <c r="J285" s="29">
        <f>IF(I285="","",F285-I285)</f>
        <v>400</v>
      </c>
      <c r="K285" s="29">
        <f>IF(J285="","",J285/MAX(1,N(E285)))</f>
        <v>400</v>
      </c>
      <c r="L285" s="37">
        <f>IF(OR(D285="",A285=""),"",A285+IF(AND(Config!$B$17="Sim",LEFT(D285,17)="Cartão de crédito"),1,IFERROR(INDEX(Config!$C$12:$C$15,MATCH(IF(AND(D285="Cartão de crédito",N(E285)&gt;1),"Cartão de crédito parcelado",D285),Config!$A$12:$A$15,0)),0)))</f>
        <v>46268.0</v>
      </c>
      <c r="M285" s="37">
        <f>IF(L285="","",IF(AND(Config!$B$17="Sim",LEFT(D285,17)="Cartão de crédito"),L285,L285+30*(MAX(1,N(E285))-1)))</f>
        <v>46268.0</v>
      </c>
      <c r="N285" s="29">
        <f>IF(OR(L285="",K285=""),"",K285*MIN(MAX(1,N(E285)),MAX(0,INT((Config!$B$8-L285)/30)+1)))</f>
        <v>400</v>
      </c>
      <c r="O285" s="29">
        <f>IF(J285="","",J285-N(N285))</f>
        <v>0</v>
      </c>
      <c r="P285" s="27">
        <f>IF(A285="","",MONTH(A285))</f>
        <v>9</v>
      </c>
      <c r="Q285" s="27">
        <f>IF(A285="","",YEAR(A285))</f>
        <v>2026</v>
      </c>
      <c r="R285" s="27" t="str">
        <f>IF(L285="","",IF(L285&gt;Config!$B$8,"A cair",IF(N(G285)&gt;=MIN(MAX(1,N(E285)),MAX(0,INT((Config!$B$8-L285)/30)+1)),IF(N(G285)&gt;=MAX(1,N(E285)),"Conferido","Conferido até aqui"),"A conferir")))</f>
        <v>Conferido</v>
      </c>
      <c r="S285" s="51">
        <f>IF(R285="A conferir",(Config!$B$8-L285)*1000+N(F285)/1000+ROW()/100000,0)</f>
        <v>0</v>
      </c>
      <c r="T285" s="51">
        <f>IF(R285="A conferir",N(N285),0)</f>
        <v>0</v>
      </c>
      <c r="U285" s="51">
        <f>IF(L285="",0,L285)</f>
        <v>46268.0</v>
      </c>
      <c r="V285" s="51">
        <f>IF(L285="",0,MAX(1,N(E285)))</f>
        <v>1</v>
      </c>
      <c r="W285" s="51">
        <f>IF(K285="",0,K285)</f>
        <v>400</v>
      </c>
    </row>
    <row r="286">
      <c r="A286" s="49" t="n">
        <v>46273</v>
      </c>
      <c r="B286" s="41" t="inlineStr">
        <is>
          <t>Otávio Cardoso</t>
        </is>
      </c>
      <c r="C286" s="41" t="inlineStr">
        <is>
          <t>Consulta</t>
        </is>
      </c>
      <c r="D286" s="42" t="inlineStr">
        <is>
          <t>Cartão de crédito</t>
        </is>
      </c>
      <c r="E286" s="42" t="n">
        <v>2</v>
      </c>
      <c r="F286" s="50" t="n">
        <v>380</v>
      </c>
      <c r="G286" s="42" t="n"/>
      <c r="H286" s="30">
        <f>IF(D286="","",IFERROR(INDEX(Config!$B$12:$B$15,MATCH(IF(AND(D286="Cartão de crédito",N(E286)&gt;1),"Cartão de crédito parcelado",D286),Config!$A$12:$A$15,0)),0)+IF(AND(Config!$B$17="Sim",LEFT(D286,17)="Cartão de crédito"),Config!$B$18*IFERROR(INDEX(Config!$C$12:$C$15,MATCH(IF(AND(D286="Cartão de crédito",N(E286)&gt;1),"Cartão de crédito parcelado",D286),Config!$A$12:$A$15,0)),0)/30*MAX(1,N(E286)),0))</f>
        <v>0.039</v>
      </c>
      <c r="I286" s="29">
        <f>IF(OR(D286="",F286=""),"",ROUND(F286*H286,2))</f>
        <v>14.82</v>
      </c>
      <c r="J286" s="29">
        <f>IF(I286="","",F286-I286)</f>
        <v>365.18</v>
      </c>
      <c r="K286" s="29">
        <f>IF(J286="","",J286/MAX(1,N(E286)))</f>
        <v>182.59</v>
      </c>
      <c r="L286" s="37">
        <f>IF(OR(D286="",A286=""),"",A286+IF(AND(Config!$B$17="Sim",LEFT(D286,17)="Cartão de crédito"),1,IFERROR(INDEX(Config!$C$12:$C$15,MATCH(IF(AND(D286="Cartão de crédito",N(E286)&gt;1),"Cartão de crédito parcelado",D286),Config!$A$12:$A$15,0)),0)))</f>
        <v>46303.0</v>
      </c>
      <c r="M286" s="37">
        <f>IF(L286="","",IF(AND(Config!$B$17="Sim",LEFT(D286,17)="Cartão de crédito"),L286,L286+30*(MAX(1,N(E286))-1)))</f>
        <v>46333.0</v>
      </c>
      <c r="N286" s="29">
        <f>IF(OR(L286="",K286=""),"",K286*MIN(MAX(1,N(E286)),MAX(0,INT((Config!$B$8-L286)/30)+1)))</f>
        <v>0</v>
      </c>
      <c r="O286" s="29">
        <f>IF(J286="","",J286-N(N286))</f>
        <v>365.18</v>
      </c>
      <c r="P286" s="27">
        <f>IF(A286="","",MONTH(A286))</f>
        <v>9</v>
      </c>
      <c r="Q286" s="27">
        <f>IF(A286="","",YEAR(A286))</f>
        <v>2026</v>
      </c>
      <c r="R286" s="27" t="str">
        <f>IF(L286="","",IF(L286&gt;Config!$B$8,"A cair",IF(N(G286)&gt;=MIN(MAX(1,N(E286)),MAX(0,INT((Config!$B$8-L286)/30)+1)),IF(N(G286)&gt;=MAX(1,N(E286)),"Conferido","Conferido até aqui"),"A conferir")))</f>
        <v>A cair</v>
      </c>
      <c r="S286" s="51">
        <f>IF(R286="A conferir",(Config!$B$8-L286)*1000+N(F286)/1000+ROW()/100000,0)</f>
        <v>0</v>
      </c>
      <c r="T286" s="51">
        <f>IF(R286="A conferir",N(N286),0)</f>
        <v>0</v>
      </c>
      <c r="U286" s="51">
        <f>IF(L286="",0,L286)</f>
        <v>46303.0</v>
      </c>
      <c r="V286" s="51">
        <f>IF(L286="",0,MAX(1,N(E286)))</f>
        <v>2</v>
      </c>
      <c r="W286" s="51">
        <f>IF(K286="",0,K286)</f>
        <v>182.59</v>
      </c>
    </row>
    <row r="287">
      <c r="A287" s="49" t="n">
        <v>46273</v>
      </c>
      <c r="B287" s="41" t="inlineStr">
        <is>
          <t>Otávio Nascimento</t>
        </is>
      </c>
      <c r="C287" s="41" t="inlineStr">
        <is>
          <t>Consulta</t>
        </is>
      </c>
      <c r="D287" s="42" t="inlineStr">
        <is>
          <t>Cartão de crédito</t>
        </is>
      </c>
      <c r="E287" s="42" t="n">
        <v>2</v>
      </c>
      <c r="F287" s="50" t="n">
        <v>380</v>
      </c>
      <c r="G287" s="42" t="n"/>
      <c r="H287" s="30">
        <f>IF(D287="","",IFERROR(INDEX(Config!$B$12:$B$15,MATCH(IF(AND(D287="Cartão de crédito",N(E287)&gt;1),"Cartão de crédito parcelado",D287),Config!$A$12:$A$15,0)),0)+IF(AND(Config!$B$17="Sim",LEFT(D287,17)="Cartão de crédito"),Config!$B$18*IFERROR(INDEX(Config!$C$12:$C$15,MATCH(IF(AND(D287="Cartão de crédito",N(E287)&gt;1),"Cartão de crédito parcelado",D287),Config!$A$12:$A$15,0)),0)/30*MAX(1,N(E287)),0))</f>
        <v>0.039</v>
      </c>
      <c r="I287" s="29">
        <f>IF(OR(D287="",F287=""),"",ROUND(F287*H287,2))</f>
        <v>14.82</v>
      </c>
      <c r="J287" s="29">
        <f>IF(I287="","",F287-I287)</f>
        <v>365.18</v>
      </c>
      <c r="K287" s="29">
        <f>IF(J287="","",J287/MAX(1,N(E287)))</f>
        <v>182.59</v>
      </c>
      <c r="L287" s="37">
        <f>IF(OR(D287="",A287=""),"",A287+IF(AND(Config!$B$17="Sim",LEFT(D287,17)="Cartão de crédito"),1,IFERROR(INDEX(Config!$C$12:$C$15,MATCH(IF(AND(D287="Cartão de crédito",N(E287)&gt;1),"Cartão de crédito parcelado",D287),Config!$A$12:$A$15,0)),0)))</f>
        <v>46303.0</v>
      </c>
      <c r="M287" s="37">
        <f>IF(L287="","",IF(AND(Config!$B$17="Sim",LEFT(D287,17)="Cartão de crédito"),L287,L287+30*(MAX(1,N(E287))-1)))</f>
        <v>46333.0</v>
      </c>
      <c r="N287" s="29">
        <f>IF(OR(L287="",K287=""),"",K287*MIN(MAX(1,N(E287)),MAX(0,INT((Config!$B$8-L287)/30)+1)))</f>
        <v>0</v>
      </c>
      <c r="O287" s="29">
        <f>IF(J287="","",J287-N(N287))</f>
        <v>365.18</v>
      </c>
      <c r="P287" s="27">
        <f>IF(A287="","",MONTH(A287))</f>
        <v>9</v>
      </c>
      <c r="Q287" s="27">
        <f>IF(A287="","",YEAR(A287))</f>
        <v>2026</v>
      </c>
      <c r="R287" s="27" t="str">
        <f>IF(L287="","",IF(L287&gt;Config!$B$8,"A cair",IF(N(G287)&gt;=MIN(MAX(1,N(E287)),MAX(0,INT((Config!$B$8-L287)/30)+1)),IF(N(G287)&gt;=MAX(1,N(E287)),"Conferido","Conferido até aqui"),"A conferir")))</f>
        <v>A cair</v>
      </c>
      <c r="S287" s="51">
        <f>IF(R287="A conferir",(Config!$B$8-L287)*1000+N(F287)/1000+ROW()/100000,0)</f>
        <v>0</v>
      </c>
      <c r="T287" s="51">
        <f>IF(R287="A conferir",N(N287),0)</f>
        <v>0</v>
      </c>
      <c r="U287" s="51">
        <f>IF(L287="",0,L287)</f>
        <v>46303.0</v>
      </c>
      <c r="V287" s="51">
        <f>IF(L287="",0,MAX(1,N(E287)))</f>
        <v>2</v>
      </c>
      <c r="W287" s="51">
        <f>IF(K287="",0,K287)</f>
        <v>182.59</v>
      </c>
    </row>
    <row r="288">
      <c r="A288" s="49" t="n">
        <v>46273</v>
      </c>
      <c r="B288" s="41" t="inlineStr">
        <is>
          <t>Mariana Nascimento</t>
        </is>
      </c>
      <c r="C288" s="41" t="inlineStr">
        <is>
          <t>Consulta</t>
        </is>
      </c>
      <c r="D288" s="42" t="inlineStr">
        <is>
          <t>Cartão de crédito</t>
        </is>
      </c>
      <c r="E288" s="42" t="n"/>
      <c r="F288" s="50" t="n">
        <v>380</v>
      </c>
      <c r="G288" s="42" t="n"/>
      <c r="H288" s="30">
        <f>IF(D288="","",IFERROR(INDEX(Config!$B$12:$B$15,MATCH(IF(AND(D288="Cartão de crédito",N(E288)&gt;1),"Cartão de crédito parcelado",D288),Config!$A$12:$A$15,0)),0)+IF(AND(Config!$B$17="Sim",LEFT(D288,17)="Cartão de crédito"),Config!$B$18*IFERROR(INDEX(Config!$C$12:$C$15,MATCH(IF(AND(D288="Cartão de crédito",N(E288)&gt;1),"Cartão de crédito parcelado",D288),Config!$A$12:$A$15,0)),0)/30*MAX(1,N(E288)),0))</f>
        <v>0.032</v>
      </c>
      <c r="I288" s="29">
        <f>IF(OR(D288="",F288=""),"",ROUND(F288*H288,2))</f>
        <v>12.16</v>
      </c>
      <c r="J288" s="29">
        <f>IF(I288="","",F288-I288)</f>
        <v>367.84</v>
      </c>
      <c r="K288" s="29">
        <f>IF(J288="","",J288/MAX(1,N(E288)))</f>
        <v>367.84</v>
      </c>
      <c r="L288" s="37">
        <f>IF(OR(D288="",A288=""),"",A288+IF(AND(Config!$B$17="Sim",LEFT(D288,17)="Cartão de crédito"),1,IFERROR(INDEX(Config!$C$12:$C$15,MATCH(IF(AND(D288="Cartão de crédito",N(E288)&gt;1),"Cartão de crédito parcelado",D288),Config!$A$12:$A$15,0)),0)))</f>
        <v>46303.0</v>
      </c>
      <c r="M288" s="37">
        <f>IF(L288="","",IF(AND(Config!$B$17="Sim",LEFT(D288,17)="Cartão de crédito"),L288,L288+30*(MAX(1,N(E288))-1)))</f>
        <v>46303.0</v>
      </c>
      <c r="N288" s="29">
        <f>IF(OR(L288="",K288=""),"",K288*MIN(MAX(1,N(E288)),MAX(0,INT((Config!$B$8-L288)/30)+1)))</f>
        <v>0</v>
      </c>
      <c r="O288" s="29">
        <f>IF(J288="","",J288-N(N288))</f>
        <v>367.84</v>
      </c>
      <c r="P288" s="27">
        <f>IF(A288="","",MONTH(A288))</f>
        <v>9</v>
      </c>
      <c r="Q288" s="27">
        <f>IF(A288="","",YEAR(A288))</f>
        <v>2026</v>
      </c>
      <c r="R288" s="27" t="str">
        <f>IF(L288="","",IF(L288&gt;Config!$B$8,"A cair",IF(N(G288)&gt;=MIN(MAX(1,N(E288)),MAX(0,INT((Config!$B$8-L288)/30)+1)),IF(N(G288)&gt;=MAX(1,N(E288)),"Conferido","Conferido até aqui"),"A conferir")))</f>
        <v>A cair</v>
      </c>
      <c r="S288" s="51">
        <f>IF(R288="A conferir",(Config!$B$8-L288)*1000+N(F288)/1000+ROW()/100000,0)</f>
        <v>0</v>
      </c>
      <c r="T288" s="51">
        <f>IF(R288="A conferir",N(N288),0)</f>
        <v>0</v>
      </c>
      <c r="U288" s="51">
        <f>IF(L288="",0,L288)</f>
        <v>46303.0</v>
      </c>
      <c r="V288" s="51">
        <f>IF(L288="",0,MAX(1,N(E288)))</f>
        <v>1</v>
      </c>
      <c r="W288" s="51">
        <f>IF(K288="",0,K288)</f>
        <v>367.84</v>
      </c>
    </row>
    <row r="289">
      <c r="A289" s="49" t="n">
        <v>46273</v>
      </c>
      <c r="B289" s="41" t="inlineStr">
        <is>
          <t>Beatriz Gomes</t>
        </is>
      </c>
      <c r="C289" s="41" t="inlineStr">
        <is>
          <t>Avaliação endócrina</t>
        </is>
      </c>
      <c r="D289" s="42" t="inlineStr">
        <is>
          <t>Cartão de crédito</t>
        </is>
      </c>
      <c r="E289" s="42" t="n"/>
      <c r="F289" s="50" t="n">
        <v>400</v>
      </c>
      <c r="G289" s="42" t="n"/>
      <c r="H289" s="30">
        <f>IF(D289="","",IFERROR(INDEX(Config!$B$12:$B$15,MATCH(IF(AND(D289="Cartão de crédito",N(E289)&gt;1),"Cartão de crédito parcelado",D289),Config!$A$12:$A$15,0)),0)+IF(AND(Config!$B$17="Sim",LEFT(D289,17)="Cartão de crédito"),Config!$B$18*IFERROR(INDEX(Config!$C$12:$C$15,MATCH(IF(AND(D289="Cartão de crédito",N(E289)&gt;1),"Cartão de crédito parcelado",D289),Config!$A$12:$A$15,0)),0)/30*MAX(1,N(E289)),0))</f>
        <v>0.032</v>
      </c>
      <c r="I289" s="29">
        <f>IF(OR(D289="",F289=""),"",ROUND(F289*H289,2))</f>
        <v>12.8</v>
      </c>
      <c r="J289" s="29">
        <f>IF(I289="","",F289-I289)</f>
        <v>387.2</v>
      </c>
      <c r="K289" s="29">
        <f>IF(J289="","",J289/MAX(1,N(E289)))</f>
        <v>387.2</v>
      </c>
      <c r="L289" s="37">
        <f>IF(OR(D289="",A289=""),"",A289+IF(AND(Config!$B$17="Sim",LEFT(D289,17)="Cartão de crédito"),1,IFERROR(INDEX(Config!$C$12:$C$15,MATCH(IF(AND(D289="Cartão de crédito",N(E289)&gt;1),"Cartão de crédito parcelado",D289),Config!$A$12:$A$15,0)),0)))</f>
        <v>46303.0</v>
      </c>
      <c r="M289" s="37">
        <f>IF(L289="","",IF(AND(Config!$B$17="Sim",LEFT(D289,17)="Cartão de crédito"),L289,L289+30*(MAX(1,N(E289))-1)))</f>
        <v>46303.0</v>
      </c>
      <c r="N289" s="29">
        <f>IF(OR(L289="",K289=""),"",K289*MIN(MAX(1,N(E289)),MAX(0,INT((Config!$B$8-L289)/30)+1)))</f>
        <v>0</v>
      </c>
      <c r="O289" s="29">
        <f>IF(J289="","",J289-N(N289))</f>
        <v>387.2</v>
      </c>
      <c r="P289" s="27">
        <f>IF(A289="","",MONTH(A289))</f>
        <v>9</v>
      </c>
      <c r="Q289" s="27">
        <f>IF(A289="","",YEAR(A289))</f>
        <v>2026</v>
      </c>
      <c r="R289" s="27" t="str">
        <f>IF(L289="","",IF(L289&gt;Config!$B$8,"A cair",IF(N(G289)&gt;=MIN(MAX(1,N(E289)),MAX(0,INT((Config!$B$8-L289)/30)+1)),IF(N(G289)&gt;=MAX(1,N(E289)),"Conferido","Conferido até aqui"),"A conferir")))</f>
        <v>A cair</v>
      </c>
      <c r="S289" s="51">
        <f>IF(R289="A conferir",(Config!$B$8-L289)*1000+N(F289)/1000+ROW()/100000,0)</f>
        <v>0</v>
      </c>
      <c r="T289" s="51">
        <f>IF(R289="A conferir",N(N289),0)</f>
        <v>0</v>
      </c>
      <c r="U289" s="51">
        <f>IF(L289="",0,L289)</f>
        <v>46303.0</v>
      </c>
      <c r="V289" s="51">
        <f>IF(L289="",0,MAX(1,N(E289)))</f>
        <v>1</v>
      </c>
      <c r="W289" s="51">
        <f>IF(K289="",0,K289)</f>
        <v>387.2</v>
      </c>
    </row>
    <row r="290">
      <c r="A290" s="49" t="n">
        <v>46273</v>
      </c>
      <c r="B290" s="41" t="inlineStr">
        <is>
          <t>Gisele Xavier</t>
        </is>
      </c>
      <c r="C290" s="41" t="inlineStr">
        <is>
          <t>MAPA</t>
        </is>
      </c>
      <c r="D290" s="42" t="inlineStr">
        <is>
          <t>Pix</t>
        </is>
      </c>
      <c r="E290" s="42" t="n"/>
      <c r="F290" s="50" t="n">
        <v>300</v>
      </c>
      <c r="G290" s="42" t="n">
        <v>1</v>
      </c>
      <c r="H290" s="30">
        <f>IF(D290="","",IFERROR(INDEX(Config!$B$12:$B$15,MATCH(IF(AND(D290="Cartão de crédito",N(E290)&gt;1),"Cartão de crédito parcelado",D290),Config!$A$12:$A$15,0)),0)+IF(AND(Config!$B$17="Sim",LEFT(D290,17)="Cartão de crédito"),Config!$B$18*IFERROR(INDEX(Config!$C$12:$C$15,MATCH(IF(AND(D290="Cartão de crédito",N(E290)&gt;1),"Cartão de crédito parcelado",D290),Config!$A$12:$A$15,0)),0)/30*MAX(1,N(E290)),0))</f>
        <v>0</v>
      </c>
      <c r="I290" s="29">
        <f>IF(OR(D290="",F290=""),"",ROUND(F290*H290,2))</f>
        <v>0</v>
      </c>
      <c r="J290" s="29">
        <f>IF(I290="","",F290-I290)</f>
        <v>300</v>
      </c>
      <c r="K290" s="29">
        <f>IF(J290="","",J290/MAX(1,N(E290)))</f>
        <v>300</v>
      </c>
      <c r="L290" s="37">
        <f>IF(OR(D290="",A290=""),"",A290+IF(AND(Config!$B$17="Sim",LEFT(D290,17)="Cartão de crédito"),1,IFERROR(INDEX(Config!$C$12:$C$15,MATCH(IF(AND(D290="Cartão de crédito",N(E290)&gt;1),"Cartão de crédito parcelado",D290),Config!$A$12:$A$15,0)),0)))</f>
        <v>46273.0</v>
      </c>
      <c r="M290" s="37">
        <f>IF(L290="","",IF(AND(Config!$B$17="Sim",LEFT(D290,17)="Cartão de crédito"),L290,L290+30*(MAX(1,N(E290))-1)))</f>
        <v>46273.0</v>
      </c>
      <c r="N290" s="29">
        <f>IF(OR(L290="",K290=""),"",K290*MIN(MAX(1,N(E290)),MAX(0,INT((Config!$B$8-L290)/30)+1)))</f>
        <v>300</v>
      </c>
      <c r="O290" s="29">
        <f>IF(J290="","",J290-N(N290))</f>
        <v>0</v>
      </c>
      <c r="P290" s="27">
        <f>IF(A290="","",MONTH(A290))</f>
        <v>9</v>
      </c>
      <c r="Q290" s="27">
        <f>IF(A290="","",YEAR(A290))</f>
        <v>2026</v>
      </c>
      <c r="R290" s="27" t="str">
        <f>IF(L290="","",IF(L290&gt;Config!$B$8,"A cair",IF(N(G290)&gt;=MIN(MAX(1,N(E290)),MAX(0,INT((Config!$B$8-L290)/30)+1)),IF(N(G290)&gt;=MAX(1,N(E290)),"Conferido","Conferido até aqui"),"A conferir")))</f>
        <v>Conferido</v>
      </c>
      <c r="S290" s="51">
        <f>IF(R290="A conferir",(Config!$B$8-L290)*1000+N(F290)/1000+ROW()/100000,0)</f>
        <v>0</v>
      </c>
      <c r="T290" s="51">
        <f>IF(R290="A conferir",N(N290),0)</f>
        <v>0</v>
      </c>
      <c r="U290" s="51">
        <f>IF(L290="",0,L290)</f>
        <v>46273.0</v>
      </c>
      <c r="V290" s="51">
        <f>IF(L290="",0,MAX(1,N(E290)))</f>
        <v>1</v>
      </c>
      <c r="W290" s="51">
        <f>IF(K290="",0,K290)</f>
        <v>300</v>
      </c>
    </row>
    <row r="291">
      <c r="A291" s="49" t="n">
        <v>46273</v>
      </c>
      <c r="B291" s="41" t="inlineStr">
        <is>
          <t>Gabriel Reis</t>
        </is>
      </c>
      <c r="C291" s="41" t="inlineStr">
        <is>
          <t>Avaliação endócrina</t>
        </is>
      </c>
      <c r="D291" s="42" t="inlineStr">
        <is>
          <t>Pix</t>
        </is>
      </c>
      <c r="E291" s="42" t="n"/>
      <c r="F291" s="50" t="n">
        <v>400</v>
      </c>
      <c r="G291" s="42" t="n">
        <v>1</v>
      </c>
      <c r="H291" s="30">
        <f>IF(D291="","",IFERROR(INDEX(Config!$B$12:$B$15,MATCH(IF(AND(D291="Cartão de crédito",N(E291)&gt;1),"Cartão de crédito parcelado",D291),Config!$A$12:$A$15,0)),0)+IF(AND(Config!$B$17="Sim",LEFT(D291,17)="Cartão de crédito"),Config!$B$18*IFERROR(INDEX(Config!$C$12:$C$15,MATCH(IF(AND(D291="Cartão de crédito",N(E291)&gt;1),"Cartão de crédito parcelado",D291),Config!$A$12:$A$15,0)),0)/30*MAX(1,N(E291)),0))</f>
        <v>0</v>
      </c>
      <c r="I291" s="29">
        <f>IF(OR(D291="",F291=""),"",ROUND(F291*H291,2))</f>
        <v>0</v>
      </c>
      <c r="J291" s="29">
        <f>IF(I291="","",F291-I291)</f>
        <v>400</v>
      </c>
      <c r="K291" s="29">
        <f>IF(J291="","",J291/MAX(1,N(E291)))</f>
        <v>400</v>
      </c>
      <c r="L291" s="37">
        <f>IF(OR(D291="",A291=""),"",A291+IF(AND(Config!$B$17="Sim",LEFT(D291,17)="Cartão de crédito"),1,IFERROR(INDEX(Config!$C$12:$C$15,MATCH(IF(AND(D291="Cartão de crédito",N(E291)&gt;1),"Cartão de crédito parcelado",D291),Config!$A$12:$A$15,0)),0)))</f>
        <v>46273.0</v>
      </c>
      <c r="M291" s="37">
        <f>IF(L291="","",IF(AND(Config!$B$17="Sim",LEFT(D291,17)="Cartão de crédito"),L291,L291+30*(MAX(1,N(E291))-1)))</f>
        <v>46273.0</v>
      </c>
      <c r="N291" s="29">
        <f>IF(OR(L291="",K291=""),"",K291*MIN(MAX(1,N(E291)),MAX(0,INT((Config!$B$8-L291)/30)+1)))</f>
        <v>400</v>
      </c>
      <c r="O291" s="29">
        <f>IF(J291="","",J291-N(N291))</f>
        <v>0</v>
      </c>
      <c r="P291" s="27">
        <f>IF(A291="","",MONTH(A291))</f>
        <v>9</v>
      </c>
      <c r="Q291" s="27">
        <f>IF(A291="","",YEAR(A291))</f>
        <v>2026</v>
      </c>
      <c r="R291" s="27" t="str">
        <f>IF(L291="","",IF(L291&gt;Config!$B$8,"A cair",IF(N(G291)&gt;=MIN(MAX(1,N(E291)),MAX(0,INT((Config!$B$8-L291)/30)+1)),IF(N(G291)&gt;=MAX(1,N(E291)),"Conferido","Conferido até aqui"),"A conferir")))</f>
        <v>Conferido</v>
      </c>
      <c r="S291" s="51">
        <f>IF(R291="A conferir",(Config!$B$8-L291)*1000+N(F291)/1000+ROW()/100000,0)</f>
        <v>0</v>
      </c>
      <c r="T291" s="51">
        <f>IF(R291="A conferir",N(N291),0)</f>
        <v>0</v>
      </c>
      <c r="U291" s="51">
        <f>IF(L291="",0,L291)</f>
        <v>46273.0</v>
      </c>
      <c r="V291" s="51">
        <f>IF(L291="",0,MAX(1,N(E291)))</f>
        <v>1</v>
      </c>
      <c r="W291" s="51">
        <f>IF(K291="",0,K291)</f>
        <v>400</v>
      </c>
    </row>
    <row r="292">
      <c r="A292" s="49" t="n">
        <v>46273</v>
      </c>
      <c r="B292" s="41" t="inlineStr">
        <is>
          <t>Fábio Gomes</t>
        </is>
      </c>
      <c r="C292" s="41" t="inlineStr">
        <is>
          <t>Avaliação endócrina</t>
        </is>
      </c>
      <c r="D292" s="42" t="inlineStr">
        <is>
          <t>Cartão de crédito</t>
        </is>
      </c>
      <c r="E292" s="42" t="n">
        <v>2</v>
      </c>
      <c r="F292" s="50" t="n">
        <v>400</v>
      </c>
      <c r="G292" s="42" t="n"/>
      <c r="H292" s="30">
        <f>IF(D292="","",IFERROR(INDEX(Config!$B$12:$B$15,MATCH(IF(AND(D292="Cartão de crédito",N(E292)&gt;1),"Cartão de crédito parcelado",D292),Config!$A$12:$A$15,0)),0)+IF(AND(Config!$B$17="Sim",LEFT(D292,17)="Cartão de crédito"),Config!$B$18*IFERROR(INDEX(Config!$C$12:$C$15,MATCH(IF(AND(D292="Cartão de crédito",N(E292)&gt;1),"Cartão de crédito parcelado",D292),Config!$A$12:$A$15,0)),0)/30*MAX(1,N(E292)),0))</f>
        <v>0.039</v>
      </c>
      <c r="I292" s="29">
        <f>IF(OR(D292="",F292=""),"",ROUND(F292*H292,2))</f>
        <v>15.6</v>
      </c>
      <c r="J292" s="29">
        <f>IF(I292="","",F292-I292)</f>
        <v>384.4</v>
      </c>
      <c r="K292" s="29">
        <f>IF(J292="","",J292/MAX(1,N(E292)))</f>
        <v>192.2</v>
      </c>
      <c r="L292" s="37">
        <f>IF(OR(D292="",A292=""),"",A292+IF(AND(Config!$B$17="Sim",LEFT(D292,17)="Cartão de crédito"),1,IFERROR(INDEX(Config!$C$12:$C$15,MATCH(IF(AND(D292="Cartão de crédito",N(E292)&gt;1),"Cartão de crédito parcelado",D292),Config!$A$12:$A$15,0)),0)))</f>
        <v>46303.0</v>
      </c>
      <c r="M292" s="37">
        <f>IF(L292="","",IF(AND(Config!$B$17="Sim",LEFT(D292,17)="Cartão de crédito"),L292,L292+30*(MAX(1,N(E292))-1)))</f>
        <v>46333.0</v>
      </c>
      <c r="N292" s="29">
        <f>IF(OR(L292="",K292=""),"",K292*MIN(MAX(1,N(E292)),MAX(0,INT((Config!$B$8-L292)/30)+1)))</f>
        <v>0</v>
      </c>
      <c r="O292" s="29">
        <f>IF(J292="","",J292-N(N292))</f>
        <v>384.4</v>
      </c>
      <c r="P292" s="27">
        <f>IF(A292="","",MONTH(A292))</f>
        <v>9</v>
      </c>
      <c r="Q292" s="27">
        <f>IF(A292="","",YEAR(A292))</f>
        <v>2026</v>
      </c>
      <c r="R292" s="27" t="str">
        <f>IF(L292="","",IF(L292&gt;Config!$B$8,"A cair",IF(N(G292)&gt;=MIN(MAX(1,N(E292)),MAX(0,INT((Config!$B$8-L292)/30)+1)),IF(N(G292)&gt;=MAX(1,N(E292)),"Conferido","Conferido até aqui"),"A conferir")))</f>
        <v>A cair</v>
      </c>
      <c r="S292" s="51">
        <f>IF(R292="A conferir",(Config!$B$8-L292)*1000+N(F292)/1000+ROW()/100000,0)</f>
        <v>0</v>
      </c>
      <c r="T292" s="51">
        <f>IF(R292="A conferir",N(N292),0)</f>
        <v>0</v>
      </c>
      <c r="U292" s="51">
        <f>IF(L292="",0,L292)</f>
        <v>46303.0</v>
      </c>
      <c r="V292" s="51">
        <f>IF(L292="",0,MAX(1,N(E292)))</f>
        <v>2</v>
      </c>
      <c r="W292" s="51">
        <f>IF(K292="",0,K292)</f>
        <v>192.2</v>
      </c>
    </row>
    <row r="293">
      <c r="A293" s="49" t="n">
        <v>46274</v>
      </c>
      <c r="B293" s="41" t="inlineStr">
        <is>
          <t>Gisele Ribeiro</t>
        </is>
      </c>
      <c r="C293" s="41" t="inlineStr">
        <is>
          <t>Consulta</t>
        </is>
      </c>
      <c r="D293" s="42" t="inlineStr">
        <is>
          <t>Cartão de crédito</t>
        </is>
      </c>
      <c r="E293" s="42" t="n">
        <v>2</v>
      </c>
      <c r="F293" s="50" t="n">
        <v>380</v>
      </c>
      <c r="G293" s="42" t="n"/>
      <c r="H293" s="30">
        <f>IF(D293="","",IFERROR(INDEX(Config!$B$12:$B$15,MATCH(IF(AND(D293="Cartão de crédito",N(E293)&gt;1),"Cartão de crédito parcelado",D293),Config!$A$12:$A$15,0)),0)+IF(AND(Config!$B$17="Sim",LEFT(D293,17)="Cartão de crédito"),Config!$B$18*IFERROR(INDEX(Config!$C$12:$C$15,MATCH(IF(AND(D293="Cartão de crédito",N(E293)&gt;1),"Cartão de crédito parcelado",D293),Config!$A$12:$A$15,0)),0)/30*MAX(1,N(E293)),0))</f>
        <v>0.039</v>
      </c>
      <c r="I293" s="29">
        <f>IF(OR(D293="",F293=""),"",ROUND(F293*H293,2))</f>
        <v>14.82</v>
      </c>
      <c r="J293" s="29">
        <f>IF(I293="","",F293-I293)</f>
        <v>365.18</v>
      </c>
      <c r="K293" s="29">
        <f>IF(J293="","",J293/MAX(1,N(E293)))</f>
        <v>182.59</v>
      </c>
      <c r="L293" s="37">
        <f>IF(OR(D293="",A293=""),"",A293+IF(AND(Config!$B$17="Sim",LEFT(D293,17)="Cartão de crédito"),1,IFERROR(INDEX(Config!$C$12:$C$15,MATCH(IF(AND(D293="Cartão de crédito",N(E293)&gt;1),"Cartão de crédito parcelado",D293),Config!$A$12:$A$15,0)),0)))</f>
        <v>46304.0</v>
      </c>
      <c r="M293" s="37">
        <f>IF(L293="","",IF(AND(Config!$B$17="Sim",LEFT(D293,17)="Cartão de crédito"),L293,L293+30*(MAX(1,N(E293))-1)))</f>
        <v>46334.0</v>
      </c>
      <c r="N293" s="29">
        <f>IF(OR(L293="",K293=""),"",K293*MIN(MAX(1,N(E293)),MAX(0,INT((Config!$B$8-L293)/30)+1)))</f>
        <v>0</v>
      </c>
      <c r="O293" s="29">
        <f>IF(J293="","",J293-N(N293))</f>
        <v>365.18</v>
      </c>
      <c r="P293" s="27">
        <f>IF(A293="","",MONTH(A293))</f>
        <v>9</v>
      </c>
      <c r="Q293" s="27">
        <f>IF(A293="","",YEAR(A293))</f>
        <v>2026</v>
      </c>
      <c r="R293" s="27" t="str">
        <f>IF(L293="","",IF(L293&gt;Config!$B$8,"A cair",IF(N(G293)&gt;=MIN(MAX(1,N(E293)),MAX(0,INT((Config!$B$8-L293)/30)+1)),IF(N(G293)&gt;=MAX(1,N(E293)),"Conferido","Conferido até aqui"),"A conferir")))</f>
        <v>A cair</v>
      </c>
      <c r="S293" s="51">
        <f>IF(R293="A conferir",(Config!$B$8-L293)*1000+N(F293)/1000+ROW()/100000,0)</f>
        <v>0</v>
      </c>
      <c r="T293" s="51">
        <f>IF(R293="A conferir",N(N293),0)</f>
        <v>0</v>
      </c>
      <c r="U293" s="51">
        <f>IF(L293="",0,L293)</f>
        <v>46304.0</v>
      </c>
      <c r="V293" s="51">
        <f>IF(L293="",0,MAX(1,N(E293)))</f>
        <v>2</v>
      </c>
      <c r="W293" s="51">
        <f>IF(K293="",0,K293)</f>
        <v>182.59</v>
      </c>
    </row>
    <row r="294">
      <c r="A294" s="49" t="n">
        <v>46274</v>
      </c>
      <c r="B294" s="41" t="inlineStr">
        <is>
          <t>Gustavo Ferreira</t>
        </is>
      </c>
      <c r="C294" s="41" t="inlineStr">
        <is>
          <t>Consulta</t>
        </is>
      </c>
      <c r="D294" s="42" t="inlineStr">
        <is>
          <t>Pix</t>
        </is>
      </c>
      <c r="E294" s="42" t="n"/>
      <c r="F294" s="50" t="n">
        <v>380</v>
      </c>
      <c r="G294" s="42" t="n">
        <v>1</v>
      </c>
      <c r="H294" s="30">
        <f>IF(D294="","",IFERROR(INDEX(Config!$B$12:$B$15,MATCH(IF(AND(D294="Cartão de crédito",N(E294)&gt;1),"Cartão de crédito parcelado",D294),Config!$A$12:$A$15,0)),0)+IF(AND(Config!$B$17="Sim",LEFT(D294,17)="Cartão de crédito"),Config!$B$18*IFERROR(INDEX(Config!$C$12:$C$15,MATCH(IF(AND(D294="Cartão de crédito",N(E294)&gt;1),"Cartão de crédito parcelado",D294),Config!$A$12:$A$15,0)),0)/30*MAX(1,N(E294)),0))</f>
        <v>0</v>
      </c>
      <c r="I294" s="29">
        <f>IF(OR(D294="",F294=""),"",ROUND(F294*H294,2))</f>
        <v>0</v>
      </c>
      <c r="J294" s="29">
        <f>IF(I294="","",F294-I294)</f>
        <v>380</v>
      </c>
      <c r="K294" s="29">
        <f>IF(J294="","",J294/MAX(1,N(E294)))</f>
        <v>380</v>
      </c>
      <c r="L294" s="37">
        <f>IF(OR(D294="",A294=""),"",A294+IF(AND(Config!$B$17="Sim",LEFT(D294,17)="Cartão de crédito"),1,IFERROR(INDEX(Config!$C$12:$C$15,MATCH(IF(AND(D294="Cartão de crédito",N(E294)&gt;1),"Cartão de crédito parcelado",D294),Config!$A$12:$A$15,0)),0)))</f>
        <v>46274.0</v>
      </c>
      <c r="M294" s="37">
        <f>IF(L294="","",IF(AND(Config!$B$17="Sim",LEFT(D294,17)="Cartão de crédito"),L294,L294+30*(MAX(1,N(E294))-1)))</f>
        <v>46274.0</v>
      </c>
      <c r="N294" s="29">
        <f>IF(OR(L294="",K294=""),"",K294*MIN(MAX(1,N(E294)),MAX(0,INT((Config!$B$8-L294)/30)+1)))</f>
        <v>380</v>
      </c>
      <c r="O294" s="29">
        <f>IF(J294="","",J294-N(N294))</f>
        <v>0</v>
      </c>
      <c r="P294" s="27">
        <f>IF(A294="","",MONTH(A294))</f>
        <v>9</v>
      </c>
      <c r="Q294" s="27">
        <f>IF(A294="","",YEAR(A294))</f>
        <v>2026</v>
      </c>
      <c r="R294" s="27" t="str">
        <f>IF(L294="","",IF(L294&gt;Config!$B$8,"A cair",IF(N(G294)&gt;=MIN(MAX(1,N(E294)),MAX(0,INT((Config!$B$8-L294)/30)+1)),IF(N(G294)&gt;=MAX(1,N(E294)),"Conferido","Conferido até aqui"),"A conferir")))</f>
        <v>Conferido</v>
      </c>
      <c r="S294" s="51">
        <f>IF(R294="A conferir",(Config!$B$8-L294)*1000+N(F294)/1000+ROW()/100000,0)</f>
        <v>0</v>
      </c>
      <c r="T294" s="51">
        <f>IF(R294="A conferir",N(N294),0)</f>
        <v>0</v>
      </c>
      <c r="U294" s="51">
        <f>IF(L294="",0,L294)</f>
        <v>46274.0</v>
      </c>
      <c r="V294" s="51">
        <f>IF(L294="",0,MAX(1,N(E294)))</f>
        <v>1</v>
      </c>
      <c r="W294" s="51">
        <f>IF(K294="",0,K294)</f>
        <v>380</v>
      </c>
    </row>
    <row r="295">
      <c r="A295" s="49" t="n">
        <v>46274</v>
      </c>
      <c r="B295" s="41" t="inlineStr">
        <is>
          <t>Cláudia Santos</t>
        </is>
      </c>
      <c r="C295" s="41" t="inlineStr">
        <is>
          <t>Consulta</t>
        </is>
      </c>
      <c r="D295" s="42" t="inlineStr">
        <is>
          <t>Cartão de débito</t>
        </is>
      </c>
      <c r="E295" s="42" t="n"/>
      <c r="F295" s="50" t="n">
        <v>380</v>
      </c>
      <c r="G295" s="42" t="n"/>
      <c r="H295" s="30">
        <f>IF(D295="","",IFERROR(INDEX(Config!$B$12:$B$15,MATCH(IF(AND(D295="Cartão de crédito",N(E295)&gt;1),"Cartão de crédito parcelado",D295),Config!$A$12:$A$15,0)),0)+IF(AND(Config!$B$17="Sim",LEFT(D295,17)="Cartão de crédito"),Config!$B$18*IFERROR(INDEX(Config!$C$12:$C$15,MATCH(IF(AND(D295="Cartão de crédito",N(E295)&gt;1),"Cartão de crédito parcelado",D295),Config!$A$12:$A$15,0)),0)/30*MAX(1,N(E295)),0))</f>
        <v>0.015</v>
      </c>
      <c r="I295" s="29">
        <f>IF(OR(D295="",F295=""),"",ROUND(F295*H295,2))</f>
        <v>5.7</v>
      </c>
      <c r="J295" s="29">
        <f>IF(I295="","",F295-I295)</f>
        <v>374.3</v>
      </c>
      <c r="K295" s="29">
        <f>IF(J295="","",J295/MAX(1,N(E295)))</f>
        <v>374.3</v>
      </c>
      <c r="L295" s="37">
        <f>IF(OR(D295="",A295=""),"",A295+IF(AND(Config!$B$17="Sim",LEFT(D295,17)="Cartão de crédito"),1,IFERROR(INDEX(Config!$C$12:$C$15,MATCH(IF(AND(D295="Cartão de crédito",N(E295)&gt;1),"Cartão de crédito parcelado",D295),Config!$A$12:$A$15,0)),0)))</f>
        <v>46275.0</v>
      </c>
      <c r="M295" s="37">
        <f>IF(L295="","",IF(AND(Config!$B$17="Sim",LEFT(D295,17)="Cartão de crédito"),L295,L295+30*(MAX(1,N(E295))-1)))</f>
        <v>46275.0</v>
      </c>
      <c r="N295" s="29">
        <f>IF(OR(L295="",K295=""),"",K295*MIN(MAX(1,N(E295)),MAX(0,INT((Config!$B$8-L295)/30)+1)))</f>
        <v>374.3</v>
      </c>
      <c r="O295" s="29">
        <f>IF(J295="","",J295-N(N295))</f>
        <v>0</v>
      </c>
      <c r="P295" s="27">
        <f>IF(A295="","",MONTH(A295))</f>
        <v>9</v>
      </c>
      <c r="Q295" s="27">
        <f>IF(A295="","",YEAR(A295))</f>
        <v>2026</v>
      </c>
      <c r="R295" s="27" t="str">
        <f>IF(L295="","",IF(L295&gt;Config!$B$8,"A cair",IF(N(G295)&gt;=MIN(MAX(1,N(E295)),MAX(0,INT((Config!$B$8-L295)/30)+1)),IF(N(G295)&gt;=MAX(1,N(E295)),"Conferido","Conferido até aqui"),"A conferir")))</f>
        <v>A conferir</v>
      </c>
      <c r="S295" s="51">
        <f>IF(R295="A conferir",(Config!$B$8-L295)*1000+N(F295)/1000+ROW()/100000,0)</f>
        <v>4000.38295</v>
      </c>
      <c r="T295" s="51">
        <f>IF(R295="A conferir",N(N295),0)</f>
        <v>374.3</v>
      </c>
      <c r="U295" s="51">
        <f>IF(L295="",0,L295)</f>
        <v>46275.0</v>
      </c>
      <c r="V295" s="51">
        <f>IF(L295="",0,MAX(1,N(E295)))</f>
        <v>1</v>
      </c>
      <c r="W295" s="51">
        <f>IF(K295="",0,K295)</f>
        <v>374.3</v>
      </c>
    </row>
    <row r="296">
      <c r="A296" s="49" t="n">
        <v>46275</v>
      </c>
      <c r="B296" s="41" t="inlineStr">
        <is>
          <t>Helena Moreira</t>
        </is>
      </c>
      <c r="C296" s="41" t="inlineStr">
        <is>
          <t>Consulta</t>
        </is>
      </c>
      <c r="D296" s="42" t="inlineStr">
        <is>
          <t>Cartão de crédito</t>
        </is>
      </c>
      <c r="E296" s="42" t="n"/>
      <c r="F296" s="50" t="n">
        <v>380</v>
      </c>
      <c r="G296" s="42" t="n"/>
      <c r="H296" s="30">
        <f>IF(D296="","",IFERROR(INDEX(Config!$B$12:$B$15,MATCH(IF(AND(D296="Cartão de crédito",N(E296)&gt;1),"Cartão de crédito parcelado",D296),Config!$A$12:$A$15,0)),0)+IF(AND(Config!$B$17="Sim",LEFT(D296,17)="Cartão de crédito"),Config!$B$18*IFERROR(INDEX(Config!$C$12:$C$15,MATCH(IF(AND(D296="Cartão de crédito",N(E296)&gt;1),"Cartão de crédito parcelado",D296),Config!$A$12:$A$15,0)),0)/30*MAX(1,N(E296)),0))</f>
        <v>0.032</v>
      </c>
      <c r="I296" s="29">
        <f>IF(OR(D296="",F296=""),"",ROUND(F296*H296,2))</f>
        <v>12.16</v>
      </c>
      <c r="J296" s="29">
        <f>IF(I296="","",F296-I296)</f>
        <v>367.84</v>
      </c>
      <c r="K296" s="29">
        <f>IF(J296="","",J296/MAX(1,N(E296)))</f>
        <v>367.84</v>
      </c>
      <c r="L296" s="37">
        <f>IF(OR(D296="",A296=""),"",A296+IF(AND(Config!$B$17="Sim",LEFT(D296,17)="Cartão de crédito"),1,IFERROR(INDEX(Config!$C$12:$C$15,MATCH(IF(AND(D296="Cartão de crédito",N(E296)&gt;1),"Cartão de crédito parcelado",D296),Config!$A$12:$A$15,0)),0)))</f>
        <v>46305.0</v>
      </c>
      <c r="M296" s="37">
        <f>IF(L296="","",IF(AND(Config!$B$17="Sim",LEFT(D296,17)="Cartão de crédito"),L296,L296+30*(MAX(1,N(E296))-1)))</f>
        <v>46305.0</v>
      </c>
      <c r="N296" s="29">
        <f>IF(OR(L296="",K296=""),"",K296*MIN(MAX(1,N(E296)),MAX(0,INT((Config!$B$8-L296)/30)+1)))</f>
        <v>0</v>
      </c>
      <c r="O296" s="29">
        <f>IF(J296="","",J296-N(N296))</f>
        <v>367.84</v>
      </c>
      <c r="P296" s="27">
        <f>IF(A296="","",MONTH(A296))</f>
        <v>9</v>
      </c>
      <c r="Q296" s="27">
        <f>IF(A296="","",YEAR(A296))</f>
        <v>2026</v>
      </c>
      <c r="R296" s="27" t="str">
        <f>IF(L296="","",IF(L296&gt;Config!$B$8,"A cair",IF(N(G296)&gt;=MIN(MAX(1,N(E296)),MAX(0,INT((Config!$B$8-L296)/30)+1)),IF(N(G296)&gt;=MAX(1,N(E296)),"Conferido","Conferido até aqui"),"A conferir")))</f>
        <v>A cair</v>
      </c>
      <c r="S296" s="51">
        <f>IF(R296="A conferir",(Config!$B$8-L296)*1000+N(F296)/1000+ROW()/100000,0)</f>
        <v>0</v>
      </c>
      <c r="T296" s="51">
        <f>IF(R296="A conferir",N(N296),0)</f>
        <v>0</v>
      </c>
      <c r="U296" s="51">
        <f>IF(L296="",0,L296)</f>
        <v>46305.0</v>
      </c>
      <c r="V296" s="51">
        <f>IF(L296="",0,MAX(1,N(E296)))</f>
        <v>1</v>
      </c>
      <c r="W296" s="51">
        <f>IF(K296="",0,K296)</f>
        <v>367.84</v>
      </c>
    </row>
    <row r="297">
      <c r="A297" s="49" t="n">
        <v>46275</v>
      </c>
      <c r="B297" s="41" t="inlineStr">
        <is>
          <t>Regina Macedo</t>
        </is>
      </c>
      <c r="C297" s="41" t="inlineStr">
        <is>
          <t>Consulta</t>
        </is>
      </c>
      <c r="D297" s="42" t="inlineStr">
        <is>
          <t>Pix</t>
        </is>
      </c>
      <c r="E297" s="42" t="n"/>
      <c r="F297" s="50" t="n">
        <v>380</v>
      </c>
      <c r="G297" s="42" t="n"/>
      <c r="H297" s="30">
        <f>IF(D297="","",IFERROR(INDEX(Config!$B$12:$B$15,MATCH(IF(AND(D297="Cartão de crédito",N(E297)&gt;1),"Cartão de crédito parcelado",D297),Config!$A$12:$A$15,0)),0)+IF(AND(Config!$B$17="Sim",LEFT(D297,17)="Cartão de crédito"),Config!$B$18*IFERROR(INDEX(Config!$C$12:$C$15,MATCH(IF(AND(D297="Cartão de crédito",N(E297)&gt;1),"Cartão de crédito parcelado",D297),Config!$A$12:$A$15,0)),0)/30*MAX(1,N(E297)),0))</f>
        <v>0</v>
      </c>
      <c r="I297" s="29">
        <f>IF(OR(D297="",F297=""),"",ROUND(F297*H297,2))</f>
        <v>0</v>
      </c>
      <c r="J297" s="29">
        <f>IF(I297="","",F297-I297)</f>
        <v>380</v>
      </c>
      <c r="K297" s="29">
        <f>IF(J297="","",J297/MAX(1,N(E297)))</f>
        <v>380</v>
      </c>
      <c r="L297" s="37">
        <f>IF(OR(D297="",A297=""),"",A297+IF(AND(Config!$B$17="Sim",LEFT(D297,17)="Cartão de crédito"),1,IFERROR(INDEX(Config!$C$12:$C$15,MATCH(IF(AND(D297="Cartão de crédito",N(E297)&gt;1),"Cartão de crédito parcelado",D297),Config!$A$12:$A$15,0)),0)))</f>
        <v>46275.0</v>
      </c>
      <c r="M297" s="37">
        <f>IF(L297="","",IF(AND(Config!$B$17="Sim",LEFT(D297,17)="Cartão de crédito"),L297,L297+30*(MAX(1,N(E297))-1)))</f>
        <v>46275.0</v>
      </c>
      <c r="N297" s="29">
        <f>IF(OR(L297="",K297=""),"",K297*MIN(MAX(1,N(E297)),MAX(0,INT((Config!$B$8-L297)/30)+1)))</f>
        <v>380</v>
      </c>
      <c r="O297" s="29">
        <f>IF(J297="","",J297-N(N297))</f>
        <v>0</v>
      </c>
      <c r="P297" s="27">
        <f>IF(A297="","",MONTH(A297))</f>
        <v>9</v>
      </c>
      <c r="Q297" s="27">
        <f>IF(A297="","",YEAR(A297))</f>
        <v>2026</v>
      </c>
      <c r="R297" s="27" t="str">
        <f>IF(L297="","",IF(L297&gt;Config!$B$8,"A cair",IF(N(G297)&gt;=MIN(MAX(1,N(E297)),MAX(0,INT((Config!$B$8-L297)/30)+1)),IF(N(G297)&gt;=MAX(1,N(E297)),"Conferido","Conferido até aqui"),"A conferir")))</f>
        <v>A conferir</v>
      </c>
      <c r="S297" s="51">
        <f>IF(R297="A conferir",(Config!$B$8-L297)*1000+N(F297)/1000+ROW()/100000,0)</f>
        <v>4000.38297</v>
      </c>
      <c r="T297" s="51">
        <f>IF(R297="A conferir",N(N297),0)</f>
        <v>380</v>
      </c>
      <c r="U297" s="51">
        <f>IF(L297="",0,L297)</f>
        <v>46275.0</v>
      </c>
      <c r="V297" s="51">
        <f>IF(L297="",0,MAX(1,N(E297)))</f>
        <v>1</v>
      </c>
      <c r="W297" s="51">
        <f>IF(K297="",0,K297)</f>
        <v>380</v>
      </c>
    </row>
    <row r="298">
      <c r="A298" s="49" t="n">
        <v>46275</v>
      </c>
      <c r="B298" s="41" t="inlineStr">
        <is>
          <t>Rafael Dias</t>
        </is>
      </c>
      <c r="C298" s="41" t="inlineStr">
        <is>
          <t>Consulta</t>
        </is>
      </c>
      <c r="D298" s="42" t="inlineStr">
        <is>
          <t>Cartão de débito</t>
        </is>
      </c>
      <c r="E298" s="42" t="n"/>
      <c r="F298" s="50" t="n">
        <v>380</v>
      </c>
      <c r="G298" s="42" t="n"/>
      <c r="H298" s="30">
        <f>IF(D298="","",IFERROR(INDEX(Config!$B$12:$B$15,MATCH(IF(AND(D298="Cartão de crédito",N(E298)&gt;1),"Cartão de crédito parcelado",D298),Config!$A$12:$A$15,0)),0)+IF(AND(Config!$B$17="Sim",LEFT(D298,17)="Cartão de crédito"),Config!$B$18*IFERROR(INDEX(Config!$C$12:$C$15,MATCH(IF(AND(D298="Cartão de crédito",N(E298)&gt;1),"Cartão de crédito parcelado",D298),Config!$A$12:$A$15,0)),0)/30*MAX(1,N(E298)),0))</f>
        <v>0.015</v>
      </c>
      <c r="I298" s="29">
        <f>IF(OR(D298="",F298=""),"",ROUND(F298*H298,2))</f>
        <v>5.7</v>
      </c>
      <c r="J298" s="29">
        <f>IF(I298="","",F298-I298)</f>
        <v>374.3</v>
      </c>
      <c r="K298" s="29">
        <f>IF(J298="","",J298/MAX(1,N(E298)))</f>
        <v>374.3</v>
      </c>
      <c r="L298" s="37">
        <f>IF(OR(D298="",A298=""),"",A298+IF(AND(Config!$B$17="Sim",LEFT(D298,17)="Cartão de crédito"),1,IFERROR(INDEX(Config!$C$12:$C$15,MATCH(IF(AND(D298="Cartão de crédito",N(E298)&gt;1),"Cartão de crédito parcelado",D298),Config!$A$12:$A$15,0)),0)))</f>
        <v>46276.0</v>
      </c>
      <c r="M298" s="37">
        <f>IF(L298="","",IF(AND(Config!$B$17="Sim",LEFT(D298,17)="Cartão de crédito"),L298,L298+30*(MAX(1,N(E298))-1)))</f>
        <v>46276.0</v>
      </c>
      <c r="N298" s="29">
        <f>IF(OR(L298="",K298=""),"",K298*MIN(MAX(1,N(E298)),MAX(0,INT((Config!$B$8-L298)/30)+1)))</f>
        <v>374.3</v>
      </c>
      <c r="O298" s="29">
        <f>IF(J298="","",J298-N(N298))</f>
        <v>0</v>
      </c>
      <c r="P298" s="27">
        <f>IF(A298="","",MONTH(A298))</f>
        <v>9</v>
      </c>
      <c r="Q298" s="27">
        <f>IF(A298="","",YEAR(A298))</f>
        <v>2026</v>
      </c>
      <c r="R298" s="27" t="str">
        <f>IF(L298="","",IF(L298&gt;Config!$B$8,"A cair",IF(N(G298)&gt;=MIN(MAX(1,N(E298)),MAX(0,INT((Config!$B$8-L298)/30)+1)),IF(N(G298)&gt;=MAX(1,N(E298)),"Conferido","Conferido até aqui"),"A conferir")))</f>
        <v>A conferir</v>
      </c>
      <c r="S298" s="51">
        <f>IF(R298="A conferir",(Config!$B$8-L298)*1000+N(F298)/1000+ROW()/100000,0)</f>
        <v>3000.38298</v>
      </c>
      <c r="T298" s="51">
        <f>IF(R298="A conferir",N(N298),0)</f>
        <v>374.3</v>
      </c>
      <c r="U298" s="51">
        <f>IF(L298="",0,L298)</f>
        <v>46276.0</v>
      </c>
      <c r="V298" s="51">
        <f>IF(L298="",0,MAX(1,N(E298)))</f>
        <v>1</v>
      </c>
      <c r="W298" s="51">
        <f>IF(K298="",0,K298)</f>
        <v>374.3</v>
      </c>
    </row>
    <row r="299">
      <c r="A299" s="49" t="n">
        <v>46275</v>
      </c>
      <c r="B299" s="41" t="inlineStr">
        <is>
          <t>Mônica Almeida</t>
        </is>
      </c>
      <c r="C299" s="41" t="inlineStr">
        <is>
          <t>Avaliação endócrina</t>
        </is>
      </c>
      <c r="D299" s="42" t="inlineStr">
        <is>
          <t>Pix</t>
        </is>
      </c>
      <c r="E299" s="42" t="n"/>
      <c r="F299" s="50" t="n">
        <v>400</v>
      </c>
      <c r="G299" s="42" t="n"/>
      <c r="H299" s="30">
        <f>IF(D299="","",IFERROR(INDEX(Config!$B$12:$B$15,MATCH(IF(AND(D299="Cartão de crédito",N(E299)&gt;1),"Cartão de crédito parcelado",D299),Config!$A$12:$A$15,0)),0)+IF(AND(Config!$B$17="Sim",LEFT(D299,17)="Cartão de crédito"),Config!$B$18*IFERROR(INDEX(Config!$C$12:$C$15,MATCH(IF(AND(D299="Cartão de crédito",N(E299)&gt;1),"Cartão de crédito parcelado",D299),Config!$A$12:$A$15,0)),0)/30*MAX(1,N(E299)),0))</f>
        <v>0</v>
      </c>
      <c r="I299" s="29">
        <f>IF(OR(D299="",F299=""),"",ROUND(F299*H299,2))</f>
        <v>0</v>
      </c>
      <c r="J299" s="29">
        <f>IF(I299="","",F299-I299)</f>
        <v>400</v>
      </c>
      <c r="K299" s="29">
        <f>IF(J299="","",J299/MAX(1,N(E299)))</f>
        <v>400</v>
      </c>
      <c r="L299" s="37">
        <f>IF(OR(D299="",A299=""),"",A299+IF(AND(Config!$B$17="Sim",LEFT(D299,17)="Cartão de crédito"),1,IFERROR(INDEX(Config!$C$12:$C$15,MATCH(IF(AND(D299="Cartão de crédito",N(E299)&gt;1),"Cartão de crédito parcelado",D299),Config!$A$12:$A$15,0)),0)))</f>
        <v>46275.0</v>
      </c>
      <c r="M299" s="37">
        <f>IF(L299="","",IF(AND(Config!$B$17="Sim",LEFT(D299,17)="Cartão de crédito"),L299,L299+30*(MAX(1,N(E299))-1)))</f>
        <v>46275.0</v>
      </c>
      <c r="N299" s="29">
        <f>IF(OR(L299="",K299=""),"",K299*MIN(MAX(1,N(E299)),MAX(0,INT((Config!$B$8-L299)/30)+1)))</f>
        <v>400</v>
      </c>
      <c r="O299" s="29">
        <f>IF(J299="","",J299-N(N299))</f>
        <v>0</v>
      </c>
      <c r="P299" s="27">
        <f>IF(A299="","",MONTH(A299))</f>
        <v>9</v>
      </c>
      <c r="Q299" s="27">
        <f>IF(A299="","",YEAR(A299))</f>
        <v>2026</v>
      </c>
      <c r="R299" s="27" t="str">
        <f>IF(L299="","",IF(L299&gt;Config!$B$8,"A cair",IF(N(G299)&gt;=MIN(MAX(1,N(E299)),MAX(0,INT((Config!$B$8-L299)/30)+1)),IF(N(G299)&gt;=MAX(1,N(E299)),"Conferido","Conferido até aqui"),"A conferir")))</f>
        <v>A conferir</v>
      </c>
      <c r="S299" s="51">
        <f>IF(R299="A conferir",(Config!$B$8-L299)*1000+N(F299)/1000+ROW()/100000,0)</f>
        <v>4000.40299</v>
      </c>
      <c r="T299" s="51">
        <f>IF(R299="A conferir",N(N299),0)</f>
        <v>400</v>
      </c>
      <c r="U299" s="51">
        <f>IF(L299="",0,L299)</f>
        <v>46275.0</v>
      </c>
      <c r="V299" s="51">
        <f>IF(L299="",0,MAX(1,N(E299)))</f>
        <v>1</v>
      </c>
      <c r="W299" s="51">
        <f>IF(K299="",0,K299)</f>
        <v>400</v>
      </c>
    </row>
    <row r="300">
      <c r="A300" s="49" t="n">
        <v>46275</v>
      </c>
      <c r="B300" s="41" t="inlineStr">
        <is>
          <t>Cláudia Melo</t>
        </is>
      </c>
      <c r="C300" s="41" t="inlineStr">
        <is>
          <t>Avaliação endócrina</t>
        </is>
      </c>
      <c r="D300" s="42" t="inlineStr">
        <is>
          <t>Cartão de crédito</t>
        </is>
      </c>
      <c r="E300" s="42" t="n"/>
      <c r="F300" s="50" t="n">
        <v>400</v>
      </c>
      <c r="G300" s="42" t="n"/>
      <c r="H300" s="30">
        <f>IF(D300="","",IFERROR(INDEX(Config!$B$12:$B$15,MATCH(IF(AND(D300="Cartão de crédito",N(E300)&gt;1),"Cartão de crédito parcelado",D300),Config!$A$12:$A$15,0)),0)+IF(AND(Config!$B$17="Sim",LEFT(D300,17)="Cartão de crédito"),Config!$B$18*IFERROR(INDEX(Config!$C$12:$C$15,MATCH(IF(AND(D300="Cartão de crédito",N(E300)&gt;1),"Cartão de crédito parcelado",D300),Config!$A$12:$A$15,0)),0)/30*MAX(1,N(E300)),0))</f>
        <v>0.032</v>
      </c>
      <c r="I300" s="29">
        <f>IF(OR(D300="",F300=""),"",ROUND(F300*H300,2))</f>
        <v>12.8</v>
      </c>
      <c r="J300" s="29">
        <f>IF(I300="","",F300-I300)</f>
        <v>387.2</v>
      </c>
      <c r="K300" s="29">
        <f>IF(J300="","",J300/MAX(1,N(E300)))</f>
        <v>387.2</v>
      </c>
      <c r="L300" s="37">
        <f>IF(OR(D300="",A300=""),"",A300+IF(AND(Config!$B$17="Sim",LEFT(D300,17)="Cartão de crédito"),1,IFERROR(INDEX(Config!$C$12:$C$15,MATCH(IF(AND(D300="Cartão de crédito",N(E300)&gt;1),"Cartão de crédito parcelado",D300),Config!$A$12:$A$15,0)),0)))</f>
        <v>46305.0</v>
      </c>
      <c r="M300" s="37">
        <f>IF(L300="","",IF(AND(Config!$B$17="Sim",LEFT(D300,17)="Cartão de crédito"),L300,L300+30*(MAX(1,N(E300))-1)))</f>
        <v>46305.0</v>
      </c>
      <c r="N300" s="29">
        <f>IF(OR(L300="",K300=""),"",K300*MIN(MAX(1,N(E300)),MAX(0,INT((Config!$B$8-L300)/30)+1)))</f>
        <v>0</v>
      </c>
      <c r="O300" s="29">
        <f>IF(J300="","",J300-N(N300))</f>
        <v>387.2</v>
      </c>
      <c r="P300" s="27">
        <f>IF(A300="","",MONTH(A300))</f>
        <v>9</v>
      </c>
      <c r="Q300" s="27">
        <f>IF(A300="","",YEAR(A300))</f>
        <v>2026</v>
      </c>
      <c r="R300" s="27" t="str">
        <f>IF(L300="","",IF(L300&gt;Config!$B$8,"A cair",IF(N(G300)&gt;=MIN(MAX(1,N(E300)),MAX(0,INT((Config!$B$8-L300)/30)+1)),IF(N(G300)&gt;=MAX(1,N(E300)),"Conferido","Conferido até aqui"),"A conferir")))</f>
        <v>A cair</v>
      </c>
      <c r="S300" s="51">
        <f>IF(R300="A conferir",(Config!$B$8-L300)*1000+N(F300)/1000+ROW()/100000,0)</f>
        <v>0</v>
      </c>
      <c r="T300" s="51">
        <f>IF(R300="A conferir",N(N300),0)</f>
        <v>0</v>
      </c>
      <c r="U300" s="51">
        <f>IF(L300="",0,L300)</f>
        <v>46305.0</v>
      </c>
      <c r="V300" s="51">
        <f>IF(L300="",0,MAX(1,N(E300)))</f>
        <v>1</v>
      </c>
      <c r="W300" s="51">
        <f>IF(K300="",0,K300)</f>
        <v>387.2</v>
      </c>
    </row>
    <row r="301">
      <c r="A301" s="49" t="n">
        <v>46275</v>
      </c>
      <c r="B301" s="41" t="inlineStr">
        <is>
          <t>Eduardo Lima</t>
        </is>
      </c>
      <c r="C301" s="41" t="inlineStr">
        <is>
          <t>MAPA</t>
        </is>
      </c>
      <c r="D301" s="42" t="inlineStr">
        <is>
          <t>Cartão de débito</t>
        </is>
      </c>
      <c r="E301" s="42" t="n"/>
      <c r="F301" s="50" t="n">
        <v>300</v>
      </c>
      <c r="G301" s="42" t="n"/>
      <c r="H301" s="30">
        <f>IF(D301="","",IFERROR(INDEX(Config!$B$12:$B$15,MATCH(IF(AND(D301="Cartão de crédito",N(E301)&gt;1),"Cartão de crédito parcelado",D301),Config!$A$12:$A$15,0)),0)+IF(AND(Config!$B$17="Sim",LEFT(D301,17)="Cartão de crédito"),Config!$B$18*IFERROR(INDEX(Config!$C$12:$C$15,MATCH(IF(AND(D301="Cartão de crédito",N(E301)&gt;1),"Cartão de crédito parcelado",D301),Config!$A$12:$A$15,0)),0)/30*MAX(1,N(E301)),0))</f>
        <v>0.015</v>
      </c>
      <c r="I301" s="29">
        <f>IF(OR(D301="",F301=""),"",ROUND(F301*H301,2))</f>
        <v>4.5</v>
      </c>
      <c r="J301" s="29">
        <f>IF(I301="","",F301-I301)</f>
        <v>295.5</v>
      </c>
      <c r="K301" s="29">
        <f>IF(J301="","",J301/MAX(1,N(E301)))</f>
        <v>295.5</v>
      </c>
      <c r="L301" s="37">
        <f>IF(OR(D301="",A301=""),"",A301+IF(AND(Config!$B$17="Sim",LEFT(D301,17)="Cartão de crédito"),1,IFERROR(INDEX(Config!$C$12:$C$15,MATCH(IF(AND(D301="Cartão de crédito",N(E301)&gt;1),"Cartão de crédito parcelado",D301),Config!$A$12:$A$15,0)),0)))</f>
        <v>46276.0</v>
      </c>
      <c r="M301" s="37">
        <f>IF(L301="","",IF(AND(Config!$B$17="Sim",LEFT(D301,17)="Cartão de crédito"),L301,L301+30*(MAX(1,N(E301))-1)))</f>
        <v>46276.0</v>
      </c>
      <c r="N301" s="29">
        <f>IF(OR(L301="",K301=""),"",K301*MIN(MAX(1,N(E301)),MAX(0,INT((Config!$B$8-L301)/30)+1)))</f>
        <v>295.5</v>
      </c>
      <c r="O301" s="29">
        <f>IF(J301="","",J301-N(N301))</f>
        <v>0</v>
      </c>
      <c r="P301" s="27">
        <f>IF(A301="","",MONTH(A301))</f>
        <v>9</v>
      </c>
      <c r="Q301" s="27">
        <f>IF(A301="","",YEAR(A301))</f>
        <v>2026</v>
      </c>
      <c r="R301" s="27" t="str">
        <f>IF(L301="","",IF(L301&gt;Config!$B$8,"A cair",IF(N(G301)&gt;=MIN(MAX(1,N(E301)),MAX(0,INT((Config!$B$8-L301)/30)+1)),IF(N(G301)&gt;=MAX(1,N(E301)),"Conferido","Conferido até aqui"),"A conferir")))</f>
        <v>A conferir</v>
      </c>
      <c r="S301" s="51">
        <f>IF(R301="A conferir",(Config!$B$8-L301)*1000+N(F301)/1000+ROW()/100000,0)</f>
        <v>3000.30301</v>
      </c>
      <c r="T301" s="51">
        <f>IF(R301="A conferir",N(N301),0)</f>
        <v>295.5</v>
      </c>
      <c r="U301" s="51">
        <f>IF(L301="",0,L301)</f>
        <v>46276.0</v>
      </c>
      <c r="V301" s="51">
        <f>IF(L301="",0,MAX(1,N(E301)))</f>
        <v>1</v>
      </c>
      <c r="W301" s="51">
        <f>IF(K301="",0,K301)</f>
        <v>295.5</v>
      </c>
    </row>
    <row r="302">
      <c r="A302" s="49" t="n">
        <v>46276</v>
      </c>
      <c r="B302" s="41" t="inlineStr">
        <is>
          <t>Regina Duarte</t>
        </is>
      </c>
      <c r="C302" s="41" t="inlineStr">
        <is>
          <t>ECG</t>
        </is>
      </c>
      <c r="D302" s="42" t="inlineStr">
        <is>
          <t>Cartão de crédito</t>
        </is>
      </c>
      <c r="E302" s="42" t="n"/>
      <c r="F302" s="50" t="n">
        <v>130</v>
      </c>
      <c r="G302" s="42" t="n"/>
      <c r="H302" s="30">
        <f>IF(D302="","",IFERROR(INDEX(Config!$B$12:$B$15,MATCH(IF(AND(D302="Cartão de crédito",N(E302)&gt;1),"Cartão de crédito parcelado",D302),Config!$A$12:$A$15,0)),0)+IF(AND(Config!$B$17="Sim",LEFT(D302,17)="Cartão de crédito"),Config!$B$18*IFERROR(INDEX(Config!$C$12:$C$15,MATCH(IF(AND(D302="Cartão de crédito",N(E302)&gt;1),"Cartão de crédito parcelado",D302),Config!$A$12:$A$15,0)),0)/30*MAX(1,N(E302)),0))</f>
        <v>0.032</v>
      </c>
      <c r="I302" s="29">
        <f>IF(OR(D302="",F302=""),"",ROUND(F302*H302,2))</f>
        <v>4.16</v>
      </c>
      <c r="J302" s="29">
        <f>IF(I302="","",F302-I302)</f>
        <v>125.84</v>
      </c>
      <c r="K302" s="29">
        <f>IF(J302="","",J302/MAX(1,N(E302)))</f>
        <v>125.84</v>
      </c>
      <c r="L302" s="37">
        <f>IF(OR(D302="",A302=""),"",A302+IF(AND(Config!$B$17="Sim",LEFT(D302,17)="Cartão de crédito"),1,IFERROR(INDEX(Config!$C$12:$C$15,MATCH(IF(AND(D302="Cartão de crédito",N(E302)&gt;1),"Cartão de crédito parcelado",D302),Config!$A$12:$A$15,0)),0)))</f>
        <v>46306.0</v>
      </c>
      <c r="M302" s="37">
        <f>IF(L302="","",IF(AND(Config!$B$17="Sim",LEFT(D302,17)="Cartão de crédito"),L302,L302+30*(MAX(1,N(E302))-1)))</f>
        <v>46306.0</v>
      </c>
      <c r="N302" s="29">
        <f>IF(OR(L302="",K302=""),"",K302*MIN(MAX(1,N(E302)),MAX(0,INT((Config!$B$8-L302)/30)+1)))</f>
        <v>0</v>
      </c>
      <c r="O302" s="29">
        <f>IF(J302="","",J302-N(N302))</f>
        <v>125.84</v>
      </c>
      <c r="P302" s="27">
        <f>IF(A302="","",MONTH(A302))</f>
        <v>9</v>
      </c>
      <c r="Q302" s="27">
        <f>IF(A302="","",YEAR(A302))</f>
        <v>2026</v>
      </c>
      <c r="R302" s="27" t="str">
        <f>IF(L302="","",IF(L302&gt;Config!$B$8,"A cair",IF(N(G302)&gt;=MIN(MAX(1,N(E302)),MAX(0,INT((Config!$B$8-L302)/30)+1)),IF(N(G302)&gt;=MAX(1,N(E302)),"Conferido","Conferido até aqui"),"A conferir")))</f>
        <v>A cair</v>
      </c>
      <c r="S302" s="51">
        <f>IF(R302="A conferir",(Config!$B$8-L302)*1000+N(F302)/1000+ROW()/100000,0)</f>
        <v>0</v>
      </c>
      <c r="T302" s="51">
        <f>IF(R302="A conferir",N(N302),0)</f>
        <v>0</v>
      </c>
      <c r="U302" s="51">
        <f>IF(L302="",0,L302)</f>
        <v>46306.0</v>
      </c>
      <c r="V302" s="51">
        <f>IF(L302="",0,MAX(1,N(E302)))</f>
        <v>1</v>
      </c>
      <c r="W302" s="51">
        <f>IF(K302="",0,K302)</f>
        <v>125.84</v>
      </c>
    </row>
    <row r="303">
      <c r="A303" s="49" t="n"/>
      <c r="B303" s="41" t="n"/>
      <c r="C303" s="41" t="n"/>
      <c r="D303" s="42" t="n"/>
      <c r="E303" s="42" t="n"/>
      <c r="F303" s="50" t="n"/>
      <c r="G303" s="42" t="n"/>
      <c r="H303" s="30">
        <f>IF(D303="","",IFERROR(INDEX(Config!$B$12:$B$15,MATCH(IF(AND(D303="Cartão de crédito",N(E303)&gt;1),"Cartão de crédito parcelado",D303),Config!$A$12:$A$15,0)),0)+IF(AND(Config!$B$17="Sim",LEFT(D303,17)="Cartão de crédito"),Config!$B$18*IFERROR(INDEX(Config!$C$12:$C$15,MATCH(IF(AND(D303="Cartão de crédito",N(E303)&gt;1),"Cartão de crédito parcelado",D303),Config!$A$12:$A$15,0)),0)/30*MAX(1,N(E303)),0))</f>
        <v/>
      </c>
      <c r="I303" s="29">
        <f>IF(OR(D303="",F303=""),"",ROUND(F303*H303,2))</f>
        <v/>
      </c>
      <c r="J303" s="29">
        <f>IF(I303="","",F303-I303)</f>
        <v/>
      </c>
      <c r="K303" s="29">
        <f>IF(J303="","",J303/MAX(1,N(E303)))</f>
        <v/>
      </c>
      <c r="L303" s="37">
        <f>IF(OR(D303="",A303=""),"",A303+IF(AND(Config!$B$17="Sim",LEFT(D303,17)="Cartão de crédito"),1,IFERROR(INDEX(Config!$C$12:$C$15,MATCH(IF(AND(D303="Cartão de crédito",N(E303)&gt;1),"Cartão de crédito parcelado",D303),Config!$A$12:$A$15,0)),0)))</f>
        <v/>
      </c>
      <c r="M303" s="37">
        <f>IF(L303="","",IF(AND(Config!$B$17="Sim",LEFT(D303,17)="Cartão de crédito"),L303,L303+30*(MAX(1,N(E303))-1)))</f>
        <v/>
      </c>
      <c r="N303" s="29">
        <f>IF(OR(L303="",K303=""),"",K303*MIN(MAX(1,N(E303)),MAX(0,INT((Config!$B$8-L303)/30)+1)))</f>
        <v/>
      </c>
      <c r="O303" s="29">
        <f>IF(J303="","",J303-N(N303))</f>
        <v/>
      </c>
      <c r="P303" s="27">
        <f>IF(A303="","",MONTH(A303))</f>
        <v/>
      </c>
      <c r="Q303" s="27">
        <f>IF(A303="","",YEAR(A303))</f>
        <v/>
      </c>
      <c r="R303" s="27">
        <f>IF(L303="","",IF(L303&gt;Config!$B$8,"A cair",IF(N(G303)&gt;=MIN(MAX(1,N(E303)),MAX(0,INT((Config!$B$8-L303)/30)+1)),IF(N(G303)&gt;=MAX(1,N(E303)),"Conferido","Conferido até aqui"),"A conferir")))</f>
        <v/>
      </c>
      <c r="S303" s="51">
        <f>IF(R303="A conferir",(Config!$B$8-L303)*1000+N(F303)/1000+ROW()/100000,0)</f>
        <v>0</v>
      </c>
      <c r="T303" s="51">
        <f>IF(R303="A conferir",N(N303),0)</f>
        <v>0</v>
      </c>
      <c r="U303" s="51">
        <f>IF(L303="",0,L303)</f>
        <v>0</v>
      </c>
      <c r="V303" s="51">
        <f>IF(L303="",0,MAX(1,N(E303)))</f>
        <v>0</v>
      </c>
      <c r="W303" s="51">
        <f>IF(K303="",0,K303)</f>
        <v>0</v>
      </c>
    </row>
    <row r="304">
      <c r="A304" s="49" t="n"/>
      <c r="B304" s="41" t="n"/>
      <c r="C304" s="41" t="n"/>
      <c r="D304" s="42" t="n"/>
      <c r="E304" s="42" t="n"/>
      <c r="F304" s="50" t="n"/>
      <c r="G304" s="42" t="n"/>
      <c r="H304" s="30">
        <f>IF(D304="","",IFERROR(INDEX(Config!$B$12:$B$15,MATCH(IF(AND(D304="Cartão de crédito",N(E304)&gt;1),"Cartão de crédito parcelado",D304),Config!$A$12:$A$15,0)),0)+IF(AND(Config!$B$17="Sim",LEFT(D304,17)="Cartão de crédito"),Config!$B$18*IFERROR(INDEX(Config!$C$12:$C$15,MATCH(IF(AND(D304="Cartão de crédito",N(E304)&gt;1),"Cartão de crédito parcelado",D304),Config!$A$12:$A$15,0)),0)/30*MAX(1,N(E304)),0))</f>
        <v/>
      </c>
      <c r="I304" s="29">
        <f>IF(OR(D304="",F304=""),"",ROUND(F304*H304,2))</f>
        <v/>
      </c>
      <c r="J304" s="29">
        <f>IF(I304="","",F304-I304)</f>
        <v/>
      </c>
      <c r="K304" s="29">
        <f>IF(J304="","",J304/MAX(1,N(E304)))</f>
        <v/>
      </c>
      <c r="L304" s="37">
        <f>IF(OR(D304="",A304=""),"",A304+IF(AND(Config!$B$17="Sim",LEFT(D304,17)="Cartão de crédito"),1,IFERROR(INDEX(Config!$C$12:$C$15,MATCH(IF(AND(D304="Cartão de crédito",N(E304)&gt;1),"Cartão de crédito parcelado",D304),Config!$A$12:$A$15,0)),0)))</f>
        <v/>
      </c>
      <c r="M304" s="37">
        <f>IF(L304="","",IF(AND(Config!$B$17="Sim",LEFT(D304,17)="Cartão de crédito"),L304,L304+30*(MAX(1,N(E304))-1)))</f>
        <v/>
      </c>
      <c r="N304" s="29">
        <f>IF(OR(L304="",K304=""),"",K304*MIN(MAX(1,N(E304)),MAX(0,INT((Config!$B$8-L304)/30)+1)))</f>
        <v/>
      </c>
      <c r="O304" s="29">
        <f>IF(J304="","",J304-N(N304))</f>
        <v/>
      </c>
      <c r="P304" s="27">
        <f>IF(A304="","",MONTH(A304))</f>
        <v/>
      </c>
      <c r="Q304" s="27">
        <f>IF(A304="","",YEAR(A304))</f>
        <v/>
      </c>
      <c r="R304" s="27">
        <f>IF(L304="","",IF(L304&gt;Config!$B$8,"A cair",IF(N(G304)&gt;=MIN(MAX(1,N(E304)),MAX(0,INT((Config!$B$8-L304)/30)+1)),IF(N(G304)&gt;=MAX(1,N(E304)),"Conferido","Conferido até aqui"),"A conferir")))</f>
        <v/>
      </c>
      <c r="S304" s="51">
        <f>IF(R304="A conferir",(Config!$B$8-L304)*1000+N(F304)/1000+ROW()/100000,0)</f>
        <v>0</v>
      </c>
      <c r="T304" s="51">
        <f>IF(R304="A conferir",N(N304),0)</f>
        <v>0</v>
      </c>
      <c r="U304" s="51">
        <f>IF(L304="",0,L304)</f>
        <v>0</v>
      </c>
      <c r="V304" s="51">
        <f>IF(L304="",0,MAX(1,N(E304)))</f>
        <v>0</v>
      </c>
      <c r="W304" s="51">
        <f>IF(K304="",0,K304)</f>
        <v>0</v>
      </c>
    </row>
    <row r="305">
      <c r="A305" s="49" t="n"/>
      <c r="B305" s="41" t="n"/>
      <c r="C305" s="41" t="n"/>
      <c r="D305" s="42" t="n"/>
      <c r="E305" s="42" t="n"/>
      <c r="F305" s="50" t="n"/>
      <c r="G305" s="42" t="n"/>
      <c r="H305" s="30">
        <f>IF(D305="","",IFERROR(INDEX(Config!$B$12:$B$15,MATCH(IF(AND(D305="Cartão de crédito",N(E305)&gt;1),"Cartão de crédito parcelado",D305),Config!$A$12:$A$15,0)),0)+IF(AND(Config!$B$17="Sim",LEFT(D305,17)="Cartão de crédito"),Config!$B$18*IFERROR(INDEX(Config!$C$12:$C$15,MATCH(IF(AND(D305="Cartão de crédito",N(E305)&gt;1),"Cartão de crédito parcelado",D305),Config!$A$12:$A$15,0)),0)/30*MAX(1,N(E305)),0))</f>
        <v/>
      </c>
      <c r="I305" s="29">
        <f>IF(OR(D305="",F305=""),"",ROUND(F305*H305,2))</f>
        <v/>
      </c>
      <c r="J305" s="29">
        <f>IF(I305="","",F305-I305)</f>
        <v/>
      </c>
      <c r="K305" s="29">
        <f>IF(J305="","",J305/MAX(1,N(E305)))</f>
        <v/>
      </c>
      <c r="L305" s="37">
        <f>IF(OR(D305="",A305=""),"",A305+IF(AND(Config!$B$17="Sim",LEFT(D305,17)="Cartão de crédito"),1,IFERROR(INDEX(Config!$C$12:$C$15,MATCH(IF(AND(D305="Cartão de crédito",N(E305)&gt;1),"Cartão de crédito parcelado",D305),Config!$A$12:$A$15,0)),0)))</f>
        <v/>
      </c>
      <c r="M305" s="37">
        <f>IF(L305="","",IF(AND(Config!$B$17="Sim",LEFT(D305,17)="Cartão de crédito"),L305,L305+30*(MAX(1,N(E305))-1)))</f>
        <v/>
      </c>
      <c r="N305" s="29">
        <f>IF(OR(L305="",K305=""),"",K305*MIN(MAX(1,N(E305)),MAX(0,INT((Config!$B$8-L305)/30)+1)))</f>
        <v/>
      </c>
      <c r="O305" s="29">
        <f>IF(J305="","",J305-N(N305))</f>
        <v/>
      </c>
      <c r="P305" s="27">
        <f>IF(A305="","",MONTH(A305))</f>
        <v/>
      </c>
      <c r="Q305" s="27">
        <f>IF(A305="","",YEAR(A305))</f>
        <v/>
      </c>
      <c r="R305" s="27">
        <f>IF(L305="","",IF(L305&gt;Config!$B$8,"A cair",IF(N(G305)&gt;=MIN(MAX(1,N(E305)),MAX(0,INT((Config!$B$8-L305)/30)+1)),IF(N(G305)&gt;=MAX(1,N(E305)),"Conferido","Conferido até aqui"),"A conferir")))</f>
        <v/>
      </c>
      <c r="S305" s="51">
        <f>IF(R305="A conferir",(Config!$B$8-L305)*1000+N(F305)/1000+ROW()/100000,0)</f>
        <v>0</v>
      </c>
      <c r="T305" s="51">
        <f>IF(R305="A conferir",N(N305),0)</f>
        <v>0</v>
      </c>
      <c r="U305" s="51">
        <f>IF(L305="",0,L305)</f>
        <v>0</v>
      </c>
      <c r="V305" s="51">
        <f>IF(L305="",0,MAX(1,N(E305)))</f>
        <v>0</v>
      </c>
      <c r="W305" s="51">
        <f>IF(K305="",0,K305)</f>
        <v>0</v>
      </c>
    </row>
    <row r="306">
      <c r="A306" s="49" t="n"/>
      <c r="B306" s="41" t="n"/>
      <c r="C306" s="41" t="n"/>
      <c r="D306" s="42" t="n"/>
      <c r="E306" s="42" t="n"/>
      <c r="F306" s="50" t="n"/>
      <c r="G306" s="42" t="n"/>
      <c r="H306" s="30">
        <f>IF(D306="","",IFERROR(INDEX(Config!$B$12:$B$15,MATCH(IF(AND(D306="Cartão de crédito",N(E306)&gt;1),"Cartão de crédito parcelado",D306),Config!$A$12:$A$15,0)),0)+IF(AND(Config!$B$17="Sim",LEFT(D306,17)="Cartão de crédito"),Config!$B$18*IFERROR(INDEX(Config!$C$12:$C$15,MATCH(IF(AND(D306="Cartão de crédito",N(E306)&gt;1),"Cartão de crédito parcelado",D306),Config!$A$12:$A$15,0)),0)/30*MAX(1,N(E306)),0))</f>
        <v/>
      </c>
      <c r="I306" s="29">
        <f>IF(OR(D306="",F306=""),"",ROUND(F306*H306,2))</f>
        <v/>
      </c>
      <c r="J306" s="29">
        <f>IF(I306="","",F306-I306)</f>
        <v/>
      </c>
      <c r="K306" s="29">
        <f>IF(J306="","",J306/MAX(1,N(E306)))</f>
        <v/>
      </c>
      <c r="L306" s="37">
        <f>IF(OR(D306="",A306=""),"",A306+IF(AND(Config!$B$17="Sim",LEFT(D306,17)="Cartão de crédito"),1,IFERROR(INDEX(Config!$C$12:$C$15,MATCH(IF(AND(D306="Cartão de crédito",N(E306)&gt;1),"Cartão de crédito parcelado",D306),Config!$A$12:$A$15,0)),0)))</f>
        <v/>
      </c>
      <c r="M306" s="37">
        <f>IF(L306="","",IF(AND(Config!$B$17="Sim",LEFT(D306,17)="Cartão de crédito"),L306,L306+30*(MAX(1,N(E306))-1)))</f>
        <v/>
      </c>
      <c r="N306" s="29">
        <f>IF(OR(L306="",K306=""),"",K306*MIN(MAX(1,N(E306)),MAX(0,INT((Config!$B$8-L306)/30)+1)))</f>
        <v/>
      </c>
      <c r="O306" s="29">
        <f>IF(J306="","",J306-N(N306))</f>
        <v/>
      </c>
      <c r="P306" s="27">
        <f>IF(A306="","",MONTH(A306))</f>
        <v/>
      </c>
      <c r="Q306" s="27">
        <f>IF(A306="","",YEAR(A306))</f>
        <v/>
      </c>
      <c r="R306" s="27">
        <f>IF(L306="","",IF(L306&gt;Config!$B$8,"A cair",IF(N(G306)&gt;=MIN(MAX(1,N(E306)),MAX(0,INT((Config!$B$8-L306)/30)+1)),IF(N(G306)&gt;=MAX(1,N(E306)),"Conferido","Conferido até aqui"),"A conferir")))</f>
        <v/>
      </c>
      <c r="S306" s="51">
        <f>IF(R306="A conferir",(Config!$B$8-L306)*1000+N(F306)/1000+ROW()/100000,0)</f>
        <v>0</v>
      </c>
      <c r="T306" s="51">
        <f>IF(R306="A conferir",N(N306),0)</f>
        <v>0</v>
      </c>
      <c r="U306" s="51">
        <f>IF(L306="",0,L306)</f>
        <v>0</v>
      </c>
      <c r="V306" s="51">
        <f>IF(L306="",0,MAX(1,N(E306)))</f>
        <v>0</v>
      </c>
      <c r="W306" s="51">
        <f>IF(K306="",0,K306)</f>
        <v>0</v>
      </c>
    </row>
    <row r="307">
      <c r="A307" s="49" t="n"/>
      <c r="B307" s="41" t="n"/>
      <c r="C307" s="41" t="n"/>
      <c r="D307" s="42" t="n"/>
      <c r="E307" s="42" t="n"/>
      <c r="F307" s="50" t="n"/>
      <c r="G307" s="42" t="n"/>
      <c r="H307" s="30">
        <f>IF(D307="","",IFERROR(INDEX(Config!$B$12:$B$15,MATCH(IF(AND(D307="Cartão de crédito",N(E307)&gt;1),"Cartão de crédito parcelado",D307),Config!$A$12:$A$15,0)),0)+IF(AND(Config!$B$17="Sim",LEFT(D307,17)="Cartão de crédito"),Config!$B$18*IFERROR(INDEX(Config!$C$12:$C$15,MATCH(IF(AND(D307="Cartão de crédito",N(E307)&gt;1),"Cartão de crédito parcelado",D307),Config!$A$12:$A$15,0)),0)/30*MAX(1,N(E307)),0))</f>
        <v/>
      </c>
      <c r="I307" s="29">
        <f>IF(OR(D307="",F307=""),"",ROUND(F307*H307,2))</f>
        <v/>
      </c>
      <c r="J307" s="29">
        <f>IF(I307="","",F307-I307)</f>
        <v/>
      </c>
      <c r="K307" s="29">
        <f>IF(J307="","",J307/MAX(1,N(E307)))</f>
        <v/>
      </c>
      <c r="L307" s="37">
        <f>IF(OR(D307="",A307=""),"",A307+IF(AND(Config!$B$17="Sim",LEFT(D307,17)="Cartão de crédito"),1,IFERROR(INDEX(Config!$C$12:$C$15,MATCH(IF(AND(D307="Cartão de crédito",N(E307)&gt;1),"Cartão de crédito parcelado",D307),Config!$A$12:$A$15,0)),0)))</f>
        <v/>
      </c>
      <c r="M307" s="37">
        <f>IF(L307="","",IF(AND(Config!$B$17="Sim",LEFT(D307,17)="Cartão de crédito"),L307,L307+30*(MAX(1,N(E307))-1)))</f>
        <v/>
      </c>
      <c r="N307" s="29">
        <f>IF(OR(L307="",K307=""),"",K307*MIN(MAX(1,N(E307)),MAX(0,INT((Config!$B$8-L307)/30)+1)))</f>
        <v/>
      </c>
      <c r="O307" s="29">
        <f>IF(J307="","",J307-N(N307))</f>
        <v/>
      </c>
      <c r="P307" s="27">
        <f>IF(A307="","",MONTH(A307))</f>
        <v/>
      </c>
      <c r="Q307" s="27">
        <f>IF(A307="","",YEAR(A307))</f>
        <v/>
      </c>
      <c r="R307" s="27">
        <f>IF(L307="","",IF(L307&gt;Config!$B$8,"A cair",IF(N(G307)&gt;=MIN(MAX(1,N(E307)),MAX(0,INT((Config!$B$8-L307)/30)+1)),IF(N(G307)&gt;=MAX(1,N(E307)),"Conferido","Conferido até aqui"),"A conferir")))</f>
        <v/>
      </c>
      <c r="S307" s="51">
        <f>IF(R307="A conferir",(Config!$B$8-L307)*1000+N(F307)/1000+ROW()/100000,0)</f>
        <v>0</v>
      </c>
      <c r="T307" s="51">
        <f>IF(R307="A conferir",N(N307),0)</f>
        <v>0</v>
      </c>
      <c r="U307" s="51">
        <f>IF(L307="",0,L307)</f>
        <v>0</v>
      </c>
      <c r="V307" s="51">
        <f>IF(L307="",0,MAX(1,N(E307)))</f>
        <v>0</v>
      </c>
      <c r="W307" s="51">
        <f>IF(K307="",0,K307)</f>
        <v>0</v>
      </c>
    </row>
    <row r="308">
      <c r="A308" s="49" t="n"/>
      <c r="B308" s="41" t="n"/>
      <c r="C308" s="41" t="n"/>
      <c r="D308" s="42" t="n"/>
      <c r="E308" s="42" t="n"/>
      <c r="F308" s="50" t="n"/>
      <c r="G308" s="42" t="n"/>
      <c r="H308" s="30">
        <f>IF(D308="","",IFERROR(INDEX(Config!$B$12:$B$15,MATCH(IF(AND(D308="Cartão de crédito",N(E308)&gt;1),"Cartão de crédito parcelado",D308),Config!$A$12:$A$15,0)),0)+IF(AND(Config!$B$17="Sim",LEFT(D308,17)="Cartão de crédito"),Config!$B$18*IFERROR(INDEX(Config!$C$12:$C$15,MATCH(IF(AND(D308="Cartão de crédito",N(E308)&gt;1),"Cartão de crédito parcelado",D308),Config!$A$12:$A$15,0)),0)/30*MAX(1,N(E308)),0))</f>
        <v/>
      </c>
      <c r="I308" s="29">
        <f>IF(OR(D308="",F308=""),"",ROUND(F308*H308,2))</f>
        <v/>
      </c>
      <c r="J308" s="29">
        <f>IF(I308="","",F308-I308)</f>
        <v/>
      </c>
      <c r="K308" s="29">
        <f>IF(J308="","",J308/MAX(1,N(E308)))</f>
        <v/>
      </c>
      <c r="L308" s="37">
        <f>IF(OR(D308="",A308=""),"",A308+IF(AND(Config!$B$17="Sim",LEFT(D308,17)="Cartão de crédito"),1,IFERROR(INDEX(Config!$C$12:$C$15,MATCH(IF(AND(D308="Cartão de crédito",N(E308)&gt;1),"Cartão de crédito parcelado",D308),Config!$A$12:$A$15,0)),0)))</f>
        <v/>
      </c>
      <c r="M308" s="37">
        <f>IF(L308="","",IF(AND(Config!$B$17="Sim",LEFT(D308,17)="Cartão de crédito"),L308,L308+30*(MAX(1,N(E308))-1)))</f>
        <v/>
      </c>
      <c r="N308" s="29">
        <f>IF(OR(L308="",K308=""),"",K308*MIN(MAX(1,N(E308)),MAX(0,INT((Config!$B$8-L308)/30)+1)))</f>
        <v/>
      </c>
      <c r="O308" s="29">
        <f>IF(J308="","",J308-N(N308))</f>
        <v/>
      </c>
      <c r="P308" s="27">
        <f>IF(A308="","",MONTH(A308))</f>
        <v/>
      </c>
      <c r="Q308" s="27">
        <f>IF(A308="","",YEAR(A308))</f>
        <v/>
      </c>
      <c r="R308" s="27">
        <f>IF(L308="","",IF(L308&gt;Config!$B$8,"A cair",IF(N(G308)&gt;=MIN(MAX(1,N(E308)),MAX(0,INT((Config!$B$8-L308)/30)+1)),IF(N(G308)&gt;=MAX(1,N(E308)),"Conferido","Conferido até aqui"),"A conferir")))</f>
        <v/>
      </c>
      <c r="S308" s="51">
        <f>IF(R308="A conferir",(Config!$B$8-L308)*1000+N(F308)/1000+ROW()/100000,0)</f>
        <v>0</v>
      </c>
      <c r="T308" s="51">
        <f>IF(R308="A conferir",N(N308),0)</f>
        <v>0</v>
      </c>
      <c r="U308" s="51">
        <f>IF(L308="",0,L308)</f>
        <v>0</v>
      </c>
      <c r="V308" s="51">
        <f>IF(L308="",0,MAX(1,N(E308)))</f>
        <v>0</v>
      </c>
      <c r="W308" s="51">
        <f>IF(K308="",0,K308)</f>
        <v>0</v>
      </c>
    </row>
    <row r="309">
      <c r="A309" s="49" t="n"/>
      <c r="B309" s="41" t="n"/>
      <c r="C309" s="41" t="n"/>
      <c r="D309" s="42" t="n"/>
      <c r="E309" s="42" t="n"/>
      <c r="F309" s="50" t="n"/>
      <c r="G309" s="42" t="n"/>
      <c r="H309" s="30">
        <f>IF(D309="","",IFERROR(INDEX(Config!$B$12:$B$15,MATCH(IF(AND(D309="Cartão de crédito",N(E309)&gt;1),"Cartão de crédito parcelado",D309),Config!$A$12:$A$15,0)),0)+IF(AND(Config!$B$17="Sim",LEFT(D309,17)="Cartão de crédito"),Config!$B$18*IFERROR(INDEX(Config!$C$12:$C$15,MATCH(IF(AND(D309="Cartão de crédito",N(E309)&gt;1),"Cartão de crédito parcelado",D309),Config!$A$12:$A$15,0)),0)/30*MAX(1,N(E309)),0))</f>
        <v/>
      </c>
      <c r="I309" s="29">
        <f>IF(OR(D309="",F309=""),"",ROUND(F309*H309,2))</f>
        <v/>
      </c>
      <c r="J309" s="29">
        <f>IF(I309="","",F309-I309)</f>
        <v/>
      </c>
      <c r="K309" s="29">
        <f>IF(J309="","",J309/MAX(1,N(E309)))</f>
        <v/>
      </c>
      <c r="L309" s="37">
        <f>IF(OR(D309="",A309=""),"",A309+IF(AND(Config!$B$17="Sim",LEFT(D309,17)="Cartão de crédito"),1,IFERROR(INDEX(Config!$C$12:$C$15,MATCH(IF(AND(D309="Cartão de crédito",N(E309)&gt;1),"Cartão de crédito parcelado",D309),Config!$A$12:$A$15,0)),0)))</f>
        <v/>
      </c>
      <c r="M309" s="37">
        <f>IF(L309="","",IF(AND(Config!$B$17="Sim",LEFT(D309,17)="Cartão de crédito"),L309,L309+30*(MAX(1,N(E309))-1)))</f>
        <v/>
      </c>
      <c r="N309" s="29">
        <f>IF(OR(L309="",K309=""),"",K309*MIN(MAX(1,N(E309)),MAX(0,INT((Config!$B$8-L309)/30)+1)))</f>
        <v/>
      </c>
      <c r="O309" s="29">
        <f>IF(J309="","",J309-N(N309))</f>
        <v/>
      </c>
      <c r="P309" s="27">
        <f>IF(A309="","",MONTH(A309))</f>
        <v/>
      </c>
      <c r="Q309" s="27">
        <f>IF(A309="","",YEAR(A309))</f>
        <v/>
      </c>
      <c r="R309" s="27">
        <f>IF(L309="","",IF(L309&gt;Config!$B$8,"A cair",IF(N(G309)&gt;=MIN(MAX(1,N(E309)),MAX(0,INT((Config!$B$8-L309)/30)+1)),IF(N(G309)&gt;=MAX(1,N(E309)),"Conferido","Conferido até aqui"),"A conferir")))</f>
        <v/>
      </c>
      <c r="S309" s="51">
        <f>IF(R309="A conferir",(Config!$B$8-L309)*1000+N(F309)/1000+ROW()/100000,0)</f>
        <v>0</v>
      </c>
      <c r="T309" s="51">
        <f>IF(R309="A conferir",N(N309),0)</f>
        <v>0</v>
      </c>
      <c r="U309" s="51">
        <f>IF(L309="",0,L309)</f>
        <v>0</v>
      </c>
      <c r="V309" s="51">
        <f>IF(L309="",0,MAX(1,N(E309)))</f>
        <v>0</v>
      </c>
      <c r="W309" s="51">
        <f>IF(K309="",0,K309)</f>
        <v>0</v>
      </c>
    </row>
    <row r="310">
      <c r="A310" s="49" t="n"/>
      <c r="B310" s="41" t="n"/>
      <c r="C310" s="41" t="n"/>
      <c r="D310" s="42" t="n"/>
      <c r="E310" s="42" t="n"/>
      <c r="F310" s="50" t="n"/>
      <c r="G310" s="42" t="n"/>
      <c r="H310" s="30">
        <f>IF(D310="","",IFERROR(INDEX(Config!$B$12:$B$15,MATCH(IF(AND(D310="Cartão de crédito",N(E310)&gt;1),"Cartão de crédito parcelado",D310),Config!$A$12:$A$15,0)),0)+IF(AND(Config!$B$17="Sim",LEFT(D310,17)="Cartão de crédito"),Config!$B$18*IFERROR(INDEX(Config!$C$12:$C$15,MATCH(IF(AND(D310="Cartão de crédito",N(E310)&gt;1),"Cartão de crédito parcelado",D310),Config!$A$12:$A$15,0)),0)/30*MAX(1,N(E310)),0))</f>
        <v/>
      </c>
      <c r="I310" s="29">
        <f>IF(OR(D310="",F310=""),"",ROUND(F310*H310,2))</f>
        <v/>
      </c>
      <c r="J310" s="29">
        <f>IF(I310="","",F310-I310)</f>
        <v/>
      </c>
      <c r="K310" s="29">
        <f>IF(J310="","",J310/MAX(1,N(E310)))</f>
        <v/>
      </c>
      <c r="L310" s="37">
        <f>IF(OR(D310="",A310=""),"",A310+IF(AND(Config!$B$17="Sim",LEFT(D310,17)="Cartão de crédito"),1,IFERROR(INDEX(Config!$C$12:$C$15,MATCH(IF(AND(D310="Cartão de crédito",N(E310)&gt;1),"Cartão de crédito parcelado",D310),Config!$A$12:$A$15,0)),0)))</f>
        <v/>
      </c>
      <c r="M310" s="37">
        <f>IF(L310="","",IF(AND(Config!$B$17="Sim",LEFT(D310,17)="Cartão de crédito"),L310,L310+30*(MAX(1,N(E310))-1)))</f>
        <v/>
      </c>
      <c r="N310" s="29">
        <f>IF(OR(L310="",K310=""),"",K310*MIN(MAX(1,N(E310)),MAX(0,INT((Config!$B$8-L310)/30)+1)))</f>
        <v/>
      </c>
      <c r="O310" s="29">
        <f>IF(J310="","",J310-N(N310))</f>
        <v/>
      </c>
      <c r="P310" s="27">
        <f>IF(A310="","",MONTH(A310))</f>
        <v/>
      </c>
      <c r="Q310" s="27">
        <f>IF(A310="","",YEAR(A310))</f>
        <v/>
      </c>
      <c r="R310" s="27">
        <f>IF(L310="","",IF(L310&gt;Config!$B$8,"A cair",IF(N(G310)&gt;=MIN(MAX(1,N(E310)),MAX(0,INT((Config!$B$8-L310)/30)+1)),IF(N(G310)&gt;=MAX(1,N(E310)),"Conferido","Conferido até aqui"),"A conferir")))</f>
        <v/>
      </c>
      <c r="S310" s="51">
        <f>IF(R310="A conferir",(Config!$B$8-L310)*1000+N(F310)/1000+ROW()/100000,0)</f>
        <v>0</v>
      </c>
      <c r="T310" s="51">
        <f>IF(R310="A conferir",N(N310),0)</f>
        <v>0</v>
      </c>
      <c r="U310" s="51">
        <f>IF(L310="",0,L310)</f>
        <v>0</v>
      </c>
      <c r="V310" s="51">
        <f>IF(L310="",0,MAX(1,N(E310)))</f>
        <v>0</v>
      </c>
      <c r="W310" s="51">
        <f>IF(K310="",0,K310)</f>
        <v>0</v>
      </c>
    </row>
    <row r="311">
      <c r="A311" s="49" t="n"/>
      <c r="B311" s="41" t="n"/>
      <c r="C311" s="41" t="n"/>
      <c r="D311" s="42" t="n"/>
      <c r="E311" s="42" t="n"/>
      <c r="F311" s="50" t="n"/>
      <c r="G311" s="42" t="n"/>
      <c r="H311" s="30">
        <f>IF(D311="","",IFERROR(INDEX(Config!$B$12:$B$15,MATCH(IF(AND(D311="Cartão de crédito",N(E311)&gt;1),"Cartão de crédito parcelado",D311),Config!$A$12:$A$15,0)),0)+IF(AND(Config!$B$17="Sim",LEFT(D311,17)="Cartão de crédito"),Config!$B$18*IFERROR(INDEX(Config!$C$12:$C$15,MATCH(IF(AND(D311="Cartão de crédito",N(E311)&gt;1),"Cartão de crédito parcelado",D311),Config!$A$12:$A$15,0)),0)/30*MAX(1,N(E311)),0))</f>
        <v/>
      </c>
      <c r="I311" s="29">
        <f>IF(OR(D311="",F311=""),"",ROUND(F311*H311,2))</f>
        <v/>
      </c>
      <c r="J311" s="29">
        <f>IF(I311="","",F311-I311)</f>
        <v/>
      </c>
      <c r="K311" s="29">
        <f>IF(J311="","",J311/MAX(1,N(E311)))</f>
        <v/>
      </c>
      <c r="L311" s="37">
        <f>IF(OR(D311="",A311=""),"",A311+IF(AND(Config!$B$17="Sim",LEFT(D311,17)="Cartão de crédito"),1,IFERROR(INDEX(Config!$C$12:$C$15,MATCH(IF(AND(D311="Cartão de crédito",N(E311)&gt;1),"Cartão de crédito parcelado",D311),Config!$A$12:$A$15,0)),0)))</f>
        <v/>
      </c>
      <c r="M311" s="37">
        <f>IF(L311="","",IF(AND(Config!$B$17="Sim",LEFT(D311,17)="Cartão de crédito"),L311,L311+30*(MAX(1,N(E311))-1)))</f>
        <v/>
      </c>
      <c r="N311" s="29">
        <f>IF(OR(L311="",K311=""),"",K311*MIN(MAX(1,N(E311)),MAX(0,INT((Config!$B$8-L311)/30)+1)))</f>
        <v/>
      </c>
      <c r="O311" s="29">
        <f>IF(J311="","",J311-N(N311))</f>
        <v/>
      </c>
      <c r="P311" s="27">
        <f>IF(A311="","",MONTH(A311))</f>
        <v/>
      </c>
      <c r="Q311" s="27">
        <f>IF(A311="","",YEAR(A311))</f>
        <v/>
      </c>
      <c r="R311" s="27">
        <f>IF(L311="","",IF(L311&gt;Config!$B$8,"A cair",IF(N(G311)&gt;=MIN(MAX(1,N(E311)),MAX(0,INT((Config!$B$8-L311)/30)+1)),IF(N(G311)&gt;=MAX(1,N(E311)),"Conferido","Conferido até aqui"),"A conferir")))</f>
        <v/>
      </c>
      <c r="S311" s="51">
        <f>IF(R311="A conferir",(Config!$B$8-L311)*1000+N(F311)/1000+ROW()/100000,0)</f>
        <v>0</v>
      </c>
      <c r="T311" s="51">
        <f>IF(R311="A conferir",N(N311),0)</f>
        <v>0</v>
      </c>
      <c r="U311" s="51">
        <f>IF(L311="",0,L311)</f>
        <v>0</v>
      </c>
      <c r="V311" s="51">
        <f>IF(L311="",0,MAX(1,N(E311)))</f>
        <v>0</v>
      </c>
      <c r="W311" s="51">
        <f>IF(K311="",0,K311)</f>
        <v>0</v>
      </c>
    </row>
    <row r="312">
      <c r="A312" s="49" t="n"/>
      <c r="B312" s="41" t="n"/>
      <c r="C312" s="41" t="n"/>
      <c r="D312" s="42" t="n"/>
      <c r="E312" s="42" t="n"/>
      <c r="F312" s="50" t="n"/>
      <c r="G312" s="42" t="n"/>
      <c r="H312" s="30">
        <f>IF(D312="","",IFERROR(INDEX(Config!$B$12:$B$15,MATCH(IF(AND(D312="Cartão de crédito",N(E312)&gt;1),"Cartão de crédito parcelado",D312),Config!$A$12:$A$15,0)),0)+IF(AND(Config!$B$17="Sim",LEFT(D312,17)="Cartão de crédito"),Config!$B$18*IFERROR(INDEX(Config!$C$12:$C$15,MATCH(IF(AND(D312="Cartão de crédito",N(E312)&gt;1),"Cartão de crédito parcelado",D312),Config!$A$12:$A$15,0)),0)/30*MAX(1,N(E312)),0))</f>
        <v/>
      </c>
      <c r="I312" s="29">
        <f>IF(OR(D312="",F312=""),"",ROUND(F312*H312,2))</f>
        <v/>
      </c>
      <c r="J312" s="29">
        <f>IF(I312="","",F312-I312)</f>
        <v/>
      </c>
      <c r="K312" s="29">
        <f>IF(J312="","",J312/MAX(1,N(E312)))</f>
        <v/>
      </c>
      <c r="L312" s="37">
        <f>IF(OR(D312="",A312=""),"",A312+IF(AND(Config!$B$17="Sim",LEFT(D312,17)="Cartão de crédito"),1,IFERROR(INDEX(Config!$C$12:$C$15,MATCH(IF(AND(D312="Cartão de crédito",N(E312)&gt;1),"Cartão de crédito parcelado",D312),Config!$A$12:$A$15,0)),0)))</f>
        <v/>
      </c>
      <c r="M312" s="37">
        <f>IF(L312="","",IF(AND(Config!$B$17="Sim",LEFT(D312,17)="Cartão de crédito"),L312,L312+30*(MAX(1,N(E312))-1)))</f>
        <v/>
      </c>
      <c r="N312" s="29">
        <f>IF(OR(L312="",K312=""),"",K312*MIN(MAX(1,N(E312)),MAX(0,INT((Config!$B$8-L312)/30)+1)))</f>
        <v/>
      </c>
      <c r="O312" s="29">
        <f>IF(J312="","",J312-N(N312))</f>
        <v/>
      </c>
      <c r="P312" s="27">
        <f>IF(A312="","",MONTH(A312))</f>
        <v/>
      </c>
      <c r="Q312" s="27">
        <f>IF(A312="","",YEAR(A312))</f>
        <v/>
      </c>
      <c r="R312" s="27">
        <f>IF(L312="","",IF(L312&gt;Config!$B$8,"A cair",IF(N(G312)&gt;=MIN(MAX(1,N(E312)),MAX(0,INT((Config!$B$8-L312)/30)+1)),IF(N(G312)&gt;=MAX(1,N(E312)),"Conferido","Conferido até aqui"),"A conferir")))</f>
        <v/>
      </c>
      <c r="S312" s="51">
        <f>IF(R312="A conferir",(Config!$B$8-L312)*1000+N(F312)/1000+ROW()/100000,0)</f>
        <v>0</v>
      </c>
      <c r="T312" s="51">
        <f>IF(R312="A conferir",N(N312),0)</f>
        <v>0</v>
      </c>
      <c r="U312" s="51">
        <f>IF(L312="",0,L312)</f>
        <v>0</v>
      </c>
      <c r="V312" s="51">
        <f>IF(L312="",0,MAX(1,N(E312)))</f>
        <v>0</v>
      </c>
      <c r="W312" s="51">
        <f>IF(K312="",0,K312)</f>
        <v>0</v>
      </c>
    </row>
    <row r="313">
      <c r="A313" s="49" t="n"/>
      <c r="B313" s="41" t="n"/>
      <c r="C313" s="41" t="n"/>
      <c r="D313" s="42" t="n"/>
      <c r="E313" s="42" t="n"/>
      <c r="F313" s="50" t="n"/>
      <c r="G313" s="42" t="n"/>
      <c r="H313" s="30">
        <f>IF(D313="","",IFERROR(INDEX(Config!$B$12:$B$15,MATCH(IF(AND(D313="Cartão de crédito",N(E313)&gt;1),"Cartão de crédito parcelado",D313),Config!$A$12:$A$15,0)),0)+IF(AND(Config!$B$17="Sim",LEFT(D313,17)="Cartão de crédito"),Config!$B$18*IFERROR(INDEX(Config!$C$12:$C$15,MATCH(IF(AND(D313="Cartão de crédito",N(E313)&gt;1),"Cartão de crédito parcelado",D313),Config!$A$12:$A$15,0)),0)/30*MAX(1,N(E313)),0))</f>
        <v/>
      </c>
      <c r="I313" s="29">
        <f>IF(OR(D313="",F313=""),"",ROUND(F313*H313,2))</f>
        <v/>
      </c>
      <c r="J313" s="29">
        <f>IF(I313="","",F313-I313)</f>
        <v/>
      </c>
      <c r="K313" s="29">
        <f>IF(J313="","",J313/MAX(1,N(E313)))</f>
        <v/>
      </c>
      <c r="L313" s="37">
        <f>IF(OR(D313="",A313=""),"",A313+IF(AND(Config!$B$17="Sim",LEFT(D313,17)="Cartão de crédito"),1,IFERROR(INDEX(Config!$C$12:$C$15,MATCH(IF(AND(D313="Cartão de crédito",N(E313)&gt;1),"Cartão de crédito parcelado",D313),Config!$A$12:$A$15,0)),0)))</f>
        <v/>
      </c>
      <c r="M313" s="37">
        <f>IF(L313="","",IF(AND(Config!$B$17="Sim",LEFT(D313,17)="Cartão de crédito"),L313,L313+30*(MAX(1,N(E313))-1)))</f>
        <v/>
      </c>
      <c r="N313" s="29">
        <f>IF(OR(L313="",K313=""),"",K313*MIN(MAX(1,N(E313)),MAX(0,INT((Config!$B$8-L313)/30)+1)))</f>
        <v/>
      </c>
      <c r="O313" s="29">
        <f>IF(J313="","",J313-N(N313))</f>
        <v/>
      </c>
      <c r="P313" s="27">
        <f>IF(A313="","",MONTH(A313))</f>
        <v/>
      </c>
      <c r="Q313" s="27">
        <f>IF(A313="","",YEAR(A313))</f>
        <v/>
      </c>
      <c r="R313" s="27">
        <f>IF(L313="","",IF(L313&gt;Config!$B$8,"A cair",IF(N(G313)&gt;=MIN(MAX(1,N(E313)),MAX(0,INT((Config!$B$8-L313)/30)+1)),IF(N(G313)&gt;=MAX(1,N(E313)),"Conferido","Conferido até aqui"),"A conferir")))</f>
        <v/>
      </c>
      <c r="S313" s="51">
        <f>IF(R313="A conferir",(Config!$B$8-L313)*1000+N(F313)/1000+ROW()/100000,0)</f>
        <v>0</v>
      </c>
      <c r="T313" s="51">
        <f>IF(R313="A conferir",N(N313),0)</f>
        <v>0</v>
      </c>
      <c r="U313" s="51">
        <f>IF(L313="",0,L313)</f>
        <v>0</v>
      </c>
      <c r="V313" s="51">
        <f>IF(L313="",0,MAX(1,N(E313)))</f>
        <v>0</v>
      </c>
      <c r="W313" s="51">
        <f>IF(K313="",0,K313)</f>
        <v>0</v>
      </c>
    </row>
    <row r="314">
      <c r="A314" s="49" t="n"/>
      <c r="B314" s="41" t="n"/>
      <c r="C314" s="41" t="n"/>
      <c r="D314" s="42" t="n"/>
      <c r="E314" s="42" t="n"/>
      <c r="F314" s="50" t="n"/>
      <c r="G314" s="42" t="n"/>
      <c r="H314" s="30">
        <f>IF(D314="","",IFERROR(INDEX(Config!$B$12:$B$15,MATCH(IF(AND(D314="Cartão de crédito",N(E314)&gt;1),"Cartão de crédito parcelado",D314),Config!$A$12:$A$15,0)),0)+IF(AND(Config!$B$17="Sim",LEFT(D314,17)="Cartão de crédito"),Config!$B$18*IFERROR(INDEX(Config!$C$12:$C$15,MATCH(IF(AND(D314="Cartão de crédito",N(E314)&gt;1),"Cartão de crédito parcelado",D314),Config!$A$12:$A$15,0)),0)/30*MAX(1,N(E314)),0))</f>
        <v/>
      </c>
      <c r="I314" s="29">
        <f>IF(OR(D314="",F314=""),"",ROUND(F314*H314,2))</f>
        <v/>
      </c>
      <c r="J314" s="29">
        <f>IF(I314="","",F314-I314)</f>
        <v/>
      </c>
      <c r="K314" s="29">
        <f>IF(J314="","",J314/MAX(1,N(E314)))</f>
        <v/>
      </c>
      <c r="L314" s="37">
        <f>IF(OR(D314="",A314=""),"",A314+IF(AND(Config!$B$17="Sim",LEFT(D314,17)="Cartão de crédito"),1,IFERROR(INDEX(Config!$C$12:$C$15,MATCH(IF(AND(D314="Cartão de crédito",N(E314)&gt;1),"Cartão de crédito parcelado",D314),Config!$A$12:$A$15,0)),0)))</f>
        <v/>
      </c>
      <c r="M314" s="37">
        <f>IF(L314="","",IF(AND(Config!$B$17="Sim",LEFT(D314,17)="Cartão de crédito"),L314,L314+30*(MAX(1,N(E314))-1)))</f>
        <v/>
      </c>
      <c r="N314" s="29">
        <f>IF(OR(L314="",K314=""),"",K314*MIN(MAX(1,N(E314)),MAX(0,INT((Config!$B$8-L314)/30)+1)))</f>
        <v/>
      </c>
      <c r="O314" s="29">
        <f>IF(J314="","",J314-N(N314))</f>
        <v/>
      </c>
      <c r="P314" s="27">
        <f>IF(A314="","",MONTH(A314))</f>
        <v/>
      </c>
      <c r="Q314" s="27">
        <f>IF(A314="","",YEAR(A314))</f>
        <v/>
      </c>
      <c r="R314" s="27">
        <f>IF(L314="","",IF(L314&gt;Config!$B$8,"A cair",IF(N(G314)&gt;=MIN(MAX(1,N(E314)),MAX(0,INT((Config!$B$8-L314)/30)+1)),IF(N(G314)&gt;=MAX(1,N(E314)),"Conferido","Conferido até aqui"),"A conferir")))</f>
        <v/>
      </c>
      <c r="S314" s="51">
        <f>IF(R314="A conferir",(Config!$B$8-L314)*1000+N(F314)/1000+ROW()/100000,0)</f>
        <v>0</v>
      </c>
      <c r="T314" s="51">
        <f>IF(R314="A conferir",N(N314),0)</f>
        <v>0</v>
      </c>
      <c r="U314" s="51">
        <f>IF(L314="",0,L314)</f>
        <v>0</v>
      </c>
      <c r="V314" s="51">
        <f>IF(L314="",0,MAX(1,N(E314)))</f>
        <v>0</v>
      </c>
      <c r="W314" s="51">
        <f>IF(K314="",0,K314)</f>
        <v>0</v>
      </c>
    </row>
    <row r="315">
      <c r="A315" s="49" t="n"/>
      <c r="B315" s="41" t="n"/>
      <c r="C315" s="41" t="n"/>
      <c r="D315" s="42" t="n"/>
      <c r="E315" s="42" t="n"/>
      <c r="F315" s="50" t="n"/>
      <c r="G315" s="42" t="n"/>
      <c r="H315" s="30">
        <f>IF(D315="","",IFERROR(INDEX(Config!$B$12:$B$15,MATCH(IF(AND(D315="Cartão de crédito",N(E315)&gt;1),"Cartão de crédito parcelado",D315),Config!$A$12:$A$15,0)),0)+IF(AND(Config!$B$17="Sim",LEFT(D315,17)="Cartão de crédito"),Config!$B$18*IFERROR(INDEX(Config!$C$12:$C$15,MATCH(IF(AND(D315="Cartão de crédito",N(E315)&gt;1),"Cartão de crédito parcelado",D315),Config!$A$12:$A$15,0)),0)/30*MAX(1,N(E315)),0))</f>
        <v/>
      </c>
      <c r="I315" s="29">
        <f>IF(OR(D315="",F315=""),"",ROUND(F315*H315,2))</f>
        <v/>
      </c>
      <c r="J315" s="29">
        <f>IF(I315="","",F315-I315)</f>
        <v/>
      </c>
      <c r="K315" s="29">
        <f>IF(J315="","",J315/MAX(1,N(E315)))</f>
        <v/>
      </c>
      <c r="L315" s="37">
        <f>IF(OR(D315="",A315=""),"",A315+IF(AND(Config!$B$17="Sim",LEFT(D315,17)="Cartão de crédito"),1,IFERROR(INDEX(Config!$C$12:$C$15,MATCH(IF(AND(D315="Cartão de crédito",N(E315)&gt;1),"Cartão de crédito parcelado",D315),Config!$A$12:$A$15,0)),0)))</f>
        <v/>
      </c>
      <c r="M315" s="37">
        <f>IF(L315="","",IF(AND(Config!$B$17="Sim",LEFT(D315,17)="Cartão de crédito"),L315,L315+30*(MAX(1,N(E315))-1)))</f>
        <v/>
      </c>
      <c r="N315" s="29">
        <f>IF(OR(L315="",K315=""),"",K315*MIN(MAX(1,N(E315)),MAX(0,INT((Config!$B$8-L315)/30)+1)))</f>
        <v/>
      </c>
      <c r="O315" s="29">
        <f>IF(J315="","",J315-N(N315))</f>
        <v/>
      </c>
      <c r="P315" s="27">
        <f>IF(A315="","",MONTH(A315))</f>
        <v/>
      </c>
      <c r="Q315" s="27">
        <f>IF(A315="","",YEAR(A315))</f>
        <v/>
      </c>
      <c r="R315" s="27">
        <f>IF(L315="","",IF(L315&gt;Config!$B$8,"A cair",IF(N(G315)&gt;=MIN(MAX(1,N(E315)),MAX(0,INT((Config!$B$8-L315)/30)+1)),IF(N(G315)&gt;=MAX(1,N(E315)),"Conferido","Conferido até aqui"),"A conferir")))</f>
        <v/>
      </c>
      <c r="S315" s="51">
        <f>IF(R315="A conferir",(Config!$B$8-L315)*1000+N(F315)/1000+ROW()/100000,0)</f>
        <v>0</v>
      </c>
      <c r="T315" s="51">
        <f>IF(R315="A conferir",N(N315),0)</f>
        <v>0</v>
      </c>
      <c r="U315" s="51">
        <f>IF(L315="",0,L315)</f>
        <v>0</v>
      </c>
      <c r="V315" s="51">
        <f>IF(L315="",0,MAX(1,N(E315)))</f>
        <v>0</v>
      </c>
      <c r="W315" s="51">
        <f>IF(K315="",0,K315)</f>
        <v>0</v>
      </c>
    </row>
    <row r="316">
      <c r="A316" s="49" t="n"/>
      <c r="B316" s="41" t="n"/>
      <c r="C316" s="41" t="n"/>
      <c r="D316" s="42" t="n"/>
      <c r="E316" s="42" t="n"/>
      <c r="F316" s="50" t="n"/>
      <c r="G316" s="42" t="n"/>
      <c r="H316" s="30">
        <f>IF(D316="","",IFERROR(INDEX(Config!$B$12:$B$15,MATCH(IF(AND(D316="Cartão de crédito",N(E316)&gt;1),"Cartão de crédito parcelado",D316),Config!$A$12:$A$15,0)),0)+IF(AND(Config!$B$17="Sim",LEFT(D316,17)="Cartão de crédito"),Config!$B$18*IFERROR(INDEX(Config!$C$12:$C$15,MATCH(IF(AND(D316="Cartão de crédito",N(E316)&gt;1),"Cartão de crédito parcelado",D316),Config!$A$12:$A$15,0)),0)/30*MAX(1,N(E316)),0))</f>
        <v/>
      </c>
      <c r="I316" s="29">
        <f>IF(OR(D316="",F316=""),"",ROUND(F316*H316,2))</f>
        <v/>
      </c>
      <c r="J316" s="29">
        <f>IF(I316="","",F316-I316)</f>
        <v/>
      </c>
      <c r="K316" s="29">
        <f>IF(J316="","",J316/MAX(1,N(E316)))</f>
        <v/>
      </c>
      <c r="L316" s="37">
        <f>IF(OR(D316="",A316=""),"",A316+IF(AND(Config!$B$17="Sim",LEFT(D316,17)="Cartão de crédito"),1,IFERROR(INDEX(Config!$C$12:$C$15,MATCH(IF(AND(D316="Cartão de crédito",N(E316)&gt;1),"Cartão de crédito parcelado",D316),Config!$A$12:$A$15,0)),0)))</f>
        <v/>
      </c>
      <c r="M316" s="37">
        <f>IF(L316="","",IF(AND(Config!$B$17="Sim",LEFT(D316,17)="Cartão de crédito"),L316,L316+30*(MAX(1,N(E316))-1)))</f>
        <v/>
      </c>
      <c r="N316" s="29">
        <f>IF(OR(L316="",K316=""),"",K316*MIN(MAX(1,N(E316)),MAX(0,INT((Config!$B$8-L316)/30)+1)))</f>
        <v/>
      </c>
      <c r="O316" s="29">
        <f>IF(J316="","",J316-N(N316))</f>
        <v/>
      </c>
      <c r="P316" s="27">
        <f>IF(A316="","",MONTH(A316))</f>
        <v/>
      </c>
      <c r="Q316" s="27">
        <f>IF(A316="","",YEAR(A316))</f>
        <v/>
      </c>
      <c r="R316" s="27">
        <f>IF(L316="","",IF(L316&gt;Config!$B$8,"A cair",IF(N(G316)&gt;=MIN(MAX(1,N(E316)),MAX(0,INT((Config!$B$8-L316)/30)+1)),IF(N(G316)&gt;=MAX(1,N(E316)),"Conferido","Conferido até aqui"),"A conferir")))</f>
        <v/>
      </c>
      <c r="S316" s="51">
        <f>IF(R316="A conferir",(Config!$B$8-L316)*1000+N(F316)/1000+ROW()/100000,0)</f>
        <v>0</v>
      </c>
      <c r="T316" s="51">
        <f>IF(R316="A conferir",N(N316),0)</f>
        <v>0</v>
      </c>
      <c r="U316" s="51">
        <f>IF(L316="",0,L316)</f>
        <v>0</v>
      </c>
      <c r="V316" s="51">
        <f>IF(L316="",0,MAX(1,N(E316)))</f>
        <v>0</v>
      </c>
      <c r="W316" s="51">
        <f>IF(K316="",0,K316)</f>
        <v>0</v>
      </c>
    </row>
    <row r="317">
      <c r="A317" s="49" t="n"/>
      <c r="B317" s="41" t="n"/>
      <c r="C317" s="41" t="n"/>
      <c r="D317" s="42" t="n"/>
      <c r="E317" s="42" t="n"/>
      <c r="F317" s="50" t="n"/>
      <c r="G317" s="42" t="n"/>
      <c r="H317" s="30">
        <f>IF(D317="","",IFERROR(INDEX(Config!$B$12:$B$15,MATCH(IF(AND(D317="Cartão de crédito",N(E317)&gt;1),"Cartão de crédito parcelado",D317),Config!$A$12:$A$15,0)),0)+IF(AND(Config!$B$17="Sim",LEFT(D317,17)="Cartão de crédito"),Config!$B$18*IFERROR(INDEX(Config!$C$12:$C$15,MATCH(IF(AND(D317="Cartão de crédito",N(E317)&gt;1),"Cartão de crédito parcelado",D317),Config!$A$12:$A$15,0)),0)/30*MAX(1,N(E317)),0))</f>
        <v/>
      </c>
      <c r="I317" s="29">
        <f>IF(OR(D317="",F317=""),"",ROUND(F317*H317,2))</f>
        <v/>
      </c>
      <c r="J317" s="29">
        <f>IF(I317="","",F317-I317)</f>
        <v/>
      </c>
      <c r="K317" s="29">
        <f>IF(J317="","",J317/MAX(1,N(E317)))</f>
        <v/>
      </c>
      <c r="L317" s="37">
        <f>IF(OR(D317="",A317=""),"",A317+IF(AND(Config!$B$17="Sim",LEFT(D317,17)="Cartão de crédito"),1,IFERROR(INDEX(Config!$C$12:$C$15,MATCH(IF(AND(D317="Cartão de crédito",N(E317)&gt;1),"Cartão de crédito parcelado",D317),Config!$A$12:$A$15,0)),0)))</f>
        <v/>
      </c>
      <c r="M317" s="37">
        <f>IF(L317="","",IF(AND(Config!$B$17="Sim",LEFT(D317,17)="Cartão de crédito"),L317,L317+30*(MAX(1,N(E317))-1)))</f>
        <v/>
      </c>
      <c r="N317" s="29">
        <f>IF(OR(L317="",K317=""),"",K317*MIN(MAX(1,N(E317)),MAX(0,INT((Config!$B$8-L317)/30)+1)))</f>
        <v/>
      </c>
      <c r="O317" s="29">
        <f>IF(J317="","",J317-N(N317))</f>
        <v/>
      </c>
      <c r="P317" s="27">
        <f>IF(A317="","",MONTH(A317))</f>
        <v/>
      </c>
      <c r="Q317" s="27">
        <f>IF(A317="","",YEAR(A317))</f>
        <v/>
      </c>
      <c r="R317" s="27">
        <f>IF(L317="","",IF(L317&gt;Config!$B$8,"A cair",IF(N(G317)&gt;=MIN(MAX(1,N(E317)),MAX(0,INT((Config!$B$8-L317)/30)+1)),IF(N(G317)&gt;=MAX(1,N(E317)),"Conferido","Conferido até aqui"),"A conferir")))</f>
        <v/>
      </c>
      <c r="S317" s="51">
        <f>IF(R317="A conferir",(Config!$B$8-L317)*1000+N(F317)/1000+ROW()/100000,0)</f>
        <v>0</v>
      </c>
      <c r="T317" s="51">
        <f>IF(R317="A conferir",N(N317),0)</f>
        <v>0</v>
      </c>
      <c r="U317" s="51">
        <f>IF(L317="",0,L317)</f>
        <v>0</v>
      </c>
      <c r="V317" s="51">
        <f>IF(L317="",0,MAX(1,N(E317)))</f>
        <v>0</v>
      </c>
      <c r="W317" s="51">
        <f>IF(K317="",0,K317)</f>
        <v>0</v>
      </c>
    </row>
    <row r="318">
      <c r="A318" s="49" t="n"/>
      <c r="B318" s="41" t="n"/>
      <c r="C318" s="41" t="n"/>
      <c r="D318" s="42" t="n"/>
      <c r="E318" s="42" t="n"/>
      <c r="F318" s="50" t="n"/>
      <c r="G318" s="42" t="n"/>
      <c r="H318" s="30">
        <f>IF(D318="","",IFERROR(INDEX(Config!$B$12:$B$15,MATCH(IF(AND(D318="Cartão de crédito",N(E318)&gt;1),"Cartão de crédito parcelado",D318),Config!$A$12:$A$15,0)),0)+IF(AND(Config!$B$17="Sim",LEFT(D318,17)="Cartão de crédito"),Config!$B$18*IFERROR(INDEX(Config!$C$12:$C$15,MATCH(IF(AND(D318="Cartão de crédito",N(E318)&gt;1),"Cartão de crédito parcelado",D318),Config!$A$12:$A$15,0)),0)/30*MAX(1,N(E318)),0))</f>
        <v/>
      </c>
      <c r="I318" s="29">
        <f>IF(OR(D318="",F318=""),"",ROUND(F318*H318,2))</f>
        <v/>
      </c>
      <c r="J318" s="29">
        <f>IF(I318="","",F318-I318)</f>
        <v/>
      </c>
      <c r="K318" s="29">
        <f>IF(J318="","",J318/MAX(1,N(E318)))</f>
        <v/>
      </c>
      <c r="L318" s="37">
        <f>IF(OR(D318="",A318=""),"",A318+IF(AND(Config!$B$17="Sim",LEFT(D318,17)="Cartão de crédito"),1,IFERROR(INDEX(Config!$C$12:$C$15,MATCH(IF(AND(D318="Cartão de crédito",N(E318)&gt;1),"Cartão de crédito parcelado",D318),Config!$A$12:$A$15,0)),0)))</f>
        <v/>
      </c>
      <c r="M318" s="37">
        <f>IF(L318="","",IF(AND(Config!$B$17="Sim",LEFT(D318,17)="Cartão de crédito"),L318,L318+30*(MAX(1,N(E318))-1)))</f>
        <v/>
      </c>
      <c r="N318" s="29">
        <f>IF(OR(L318="",K318=""),"",K318*MIN(MAX(1,N(E318)),MAX(0,INT((Config!$B$8-L318)/30)+1)))</f>
        <v/>
      </c>
      <c r="O318" s="29">
        <f>IF(J318="","",J318-N(N318))</f>
        <v/>
      </c>
      <c r="P318" s="27">
        <f>IF(A318="","",MONTH(A318))</f>
        <v/>
      </c>
      <c r="Q318" s="27">
        <f>IF(A318="","",YEAR(A318))</f>
        <v/>
      </c>
      <c r="R318" s="27">
        <f>IF(L318="","",IF(L318&gt;Config!$B$8,"A cair",IF(N(G318)&gt;=MIN(MAX(1,N(E318)),MAX(0,INT((Config!$B$8-L318)/30)+1)),IF(N(G318)&gt;=MAX(1,N(E318)),"Conferido","Conferido até aqui"),"A conferir")))</f>
        <v/>
      </c>
      <c r="S318" s="51">
        <f>IF(R318="A conferir",(Config!$B$8-L318)*1000+N(F318)/1000+ROW()/100000,0)</f>
        <v>0</v>
      </c>
      <c r="T318" s="51">
        <f>IF(R318="A conferir",N(N318),0)</f>
        <v>0</v>
      </c>
      <c r="U318" s="51">
        <f>IF(L318="",0,L318)</f>
        <v>0</v>
      </c>
      <c r="V318" s="51">
        <f>IF(L318="",0,MAX(1,N(E318)))</f>
        <v>0</v>
      </c>
      <c r="W318" s="51">
        <f>IF(K318="",0,K318)</f>
        <v>0</v>
      </c>
    </row>
    <row r="319">
      <c r="A319" s="49" t="n"/>
      <c r="B319" s="41" t="n"/>
      <c r="C319" s="41" t="n"/>
      <c r="D319" s="42" t="n"/>
      <c r="E319" s="42" t="n"/>
      <c r="F319" s="50" t="n"/>
      <c r="G319" s="42" t="n"/>
      <c r="H319" s="30">
        <f>IF(D319="","",IFERROR(INDEX(Config!$B$12:$B$15,MATCH(IF(AND(D319="Cartão de crédito",N(E319)&gt;1),"Cartão de crédito parcelado",D319),Config!$A$12:$A$15,0)),0)+IF(AND(Config!$B$17="Sim",LEFT(D319,17)="Cartão de crédito"),Config!$B$18*IFERROR(INDEX(Config!$C$12:$C$15,MATCH(IF(AND(D319="Cartão de crédito",N(E319)&gt;1),"Cartão de crédito parcelado",D319),Config!$A$12:$A$15,0)),0)/30*MAX(1,N(E319)),0))</f>
        <v/>
      </c>
      <c r="I319" s="29">
        <f>IF(OR(D319="",F319=""),"",ROUND(F319*H319,2))</f>
        <v/>
      </c>
      <c r="J319" s="29">
        <f>IF(I319="","",F319-I319)</f>
        <v/>
      </c>
      <c r="K319" s="29">
        <f>IF(J319="","",J319/MAX(1,N(E319)))</f>
        <v/>
      </c>
      <c r="L319" s="37">
        <f>IF(OR(D319="",A319=""),"",A319+IF(AND(Config!$B$17="Sim",LEFT(D319,17)="Cartão de crédito"),1,IFERROR(INDEX(Config!$C$12:$C$15,MATCH(IF(AND(D319="Cartão de crédito",N(E319)&gt;1),"Cartão de crédito parcelado",D319),Config!$A$12:$A$15,0)),0)))</f>
        <v/>
      </c>
      <c r="M319" s="37">
        <f>IF(L319="","",IF(AND(Config!$B$17="Sim",LEFT(D319,17)="Cartão de crédito"),L319,L319+30*(MAX(1,N(E319))-1)))</f>
        <v/>
      </c>
      <c r="N319" s="29">
        <f>IF(OR(L319="",K319=""),"",K319*MIN(MAX(1,N(E319)),MAX(0,INT((Config!$B$8-L319)/30)+1)))</f>
        <v/>
      </c>
      <c r="O319" s="29">
        <f>IF(J319="","",J319-N(N319))</f>
        <v/>
      </c>
      <c r="P319" s="27">
        <f>IF(A319="","",MONTH(A319))</f>
        <v/>
      </c>
      <c r="Q319" s="27">
        <f>IF(A319="","",YEAR(A319))</f>
        <v/>
      </c>
      <c r="R319" s="27">
        <f>IF(L319="","",IF(L319&gt;Config!$B$8,"A cair",IF(N(G319)&gt;=MIN(MAX(1,N(E319)),MAX(0,INT((Config!$B$8-L319)/30)+1)),IF(N(G319)&gt;=MAX(1,N(E319)),"Conferido","Conferido até aqui"),"A conferir")))</f>
        <v/>
      </c>
      <c r="S319" s="51">
        <f>IF(R319="A conferir",(Config!$B$8-L319)*1000+N(F319)/1000+ROW()/100000,0)</f>
        <v>0</v>
      </c>
      <c r="T319" s="51">
        <f>IF(R319="A conferir",N(N319),0)</f>
        <v>0</v>
      </c>
      <c r="U319" s="51">
        <f>IF(L319="",0,L319)</f>
        <v>0</v>
      </c>
      <c r="V319" s="51">
        <f>IF(L319="",0,MAX(1,N(E319)))</f>
        <v>0</v>
      </c>
      <c r="W319" s="51">
        <f>IF(K319="",0,K319)</f>
        <v>0</v>
      </c>
    </row>
    <row r="320">
      <c r="A320" s="49" t="n"/>
      <c r="B320" s="41" t="n"/>
      <c r="C320" s="41" t="n"/>
      <c r="D320" s="42" t="n"/>
      <c r="E320" s="42" t="n"/>
      <c r="F320" s="50" t="n"/>
      <c r="G320" s="42" t="n"/>
      <c r="H320" s="30">
        <f>IF(D320="","",IFERROR(INDEX(Config!$B$12:$B$15,MATCH(IF(AND(D320="Cartão de crédito",N(E320)&gt;1),"Cartão de crédito parcelado",D320),Config!$A$12:$A$15,0)),0)+IF(AND(Config!$B$17="Sim",LEFT(D320,17)="Cartão de crédito"),Config!$B$18*IFERROR(INDEX(Config!$C$12:$C$15,MATCH(IF(AND(D320="Cartão de crédito",N(E320)&gt;1),"Cartão de crédito parcelado",D320),Config!$A$12:$A$15,0)),0)/30*MAX(1,N(E320)),0))</f>
        <v/>
      </c>
      <c r="I320" s="29">
        <f>IF(OR(D320="",F320=""),"",ROUND(F320*H320,2))</f>
        <v/>
      </c>
      <c r="J320" s="29">
        <f>IF(I320="","",F320-I320)</f>
        <v/>
      </c>
      <c r="K320" s="29">
        <f>IF(J320="","",J320/MAX(1,N(E320)))</f>
        <v/>
      </c>
      <c r="L320" s="37">
        <f>IF(OR(D320="",A320=""),"",A320+IF(AND(Config!$B$17="Sim",LEFT(D320,17)="Cartão de crédito"),1,IFERROR(INDEX(Config!$C$12:$C$15,MATCH(IF(AND(D320="Cartão de crédito",N(E320)&gt;1),"Cartão de crédito parcelado",D320),Config!$A$12:$A$15,0)),0)))</f>
        <v/>
      </c>
      <c r="M320" s="37">
        <f>IF(L320="","",IF(AND(Config!$B$17="Sim",LEFT(D320,17)="Cartão de crédito"),L320,L320+30*(MAX(1,N(E320))-1)))</f>
        <v/>
      </c>
      <c r="N320" s="29">
        <f>IF(OR(L320="",K320=""),"",K320*MIN(MAX(1,N(E320)),MAX(0,INT((Config!$B$8-L320)/30)+1)))</f>
        <v/>
      </c>
      <c r="O320" s="29">
        <f>IF(J320="","",J320-N(N320))</f>
        <v/>
      </c>
      <c r="P320" s="27">
        <f>IF(A320="","",MONTH(A320))</f>
        <v/>
      </c>
      <c r="Q320" s="27">
        <f>IF(A320="","",YEAR(A320))</f>
        <v/>
      </c>
      <c r="R320" s="27">
        <f>IF(L320="","",IF(L320&gt;Config!$B$8,"A cair",IF(N(G320)&gt;=MIN(MAX(1,N(E320)),MAX(0,INT((Config!$B$8-L320)/30)+1)),IF(N(G320)&gt;=MAX(1,N(E320)),"Conferido","Conferido até aqui"),"A conferir")))</f>
        <v/>
      </c>
      <c r="S320" s="51">
        <f>IF(R320="A conferir",(Config!$B$8-L320)*1000+N(F320)/1000+ROW()/100000,0)</f>
        <v>0</v>
      </c>
      <c r="T320" s="51">
        <f>IF(R320="A conferir",N(N320),0)</f>
        <v>0</v>
      </c>
      <c r="U320" s="51">
        <f>IF(L320="",0,L320)</f>
        <v>0</v>
      </c>
      <c r="V320" s="51">
        <f>IF(L320="",0,MAX(1,N(E320)))</f>
        <v>0</v>
      </c>
      <c r="W320" s="51">
        <f>IF(K320="",0,K320)</f>
        <v>0</v>
      </c>
    </row>
    <row r="321">
      <c r="A321" s="49" t="n"/>
      <c r="B321" s="41" t="n"/>
      <c r="C321" s="41" t="n"/>
      <c r="D321" s="42" t="n"/>
      <c r="E321" s="42" t="n"/>
      <c r="F321" s="50" t="n"/>
      <c r="G321" s="42" t="n"/>
      <c r="H321" s="30">
        <f>IF(D321="","",IFERROR(INDEX(Config!$B$12:$B$15,MATCH(IF(AND(D321="Cartão de crédito",N(E321)&gt;1),"Cartão de crédito parcelado",D321),Config!$A$12:$A$15,0)),0)+IF(AND(Config!$B$17="Sim",LEFT(D321,17)="Cartão de crédito"),Config!$B$18*IFERROR(INDEX(Config!$C$12:$C$15,MATCH(IF(AND(D321="Cartão de crédito",N(E321)&gt;1),"Cartão de crédito parcelado",D321),Config!$A$12:$A$15,0)),0)/30*MAX(1,N(E321)),0))</f>
        <v/>
      </c>
      <c r="I321" s="29">
        <f>IF(OR(D321="",F321=""),"",ROUND(F321*H321,2))</f>
        <v/>
      </c>
      <c r="J321" s="29">
        <f>IF(I321="","",F321-I321)</f>
        <v/>
      </c>
      <c r="K321" s="29">
        <f>IF(J321="","",J321/MAX(1,N(E321)))</f>
        <v/>
      </c>
      <c r="L321" s="37">
        <f>IF(OR(D321="",A321=""),"",A321+IF(AND(Config!$B$17="Sim",LEFT(D321,17)="Cartão de crédito"),1,IFERROR(INDEX(Config!$C$12:$C$15,MATCH(IF(AND(D321="Cartão de crédito",N(E321)&gt;1),"Cartão de crédito parcelado",D321),Config!$A$12:$A$15,0)),0)))</f>
        <v/>
      </c>
      <c r="M321" s="37">
        <f>IF(L321="","",IF(AND(Config!$B$17="Sim",LEFT(D321,17)="Cartão de crédito"),L321,L321+30*(MAX(1,N(E321))-1)))</f>
        <v/>
      </c>
      <c r="N321" s="29">
        <f>IF(OR(L321="",K321=""),"",K321*MIN(MAX(1,N(E321)),MAX(0,INT((Config!$B$8-L321)/30)+1)))</f>
        <v/>
      </c>
      <c r="O321" s="29">
        <f>IF(J321="","",J321-N(N321))</f>
        <v/>
      </c>
      <c r="P321" s="27">
        <f>IF(A321="","",MONTH(A321))</f>
        <v/>
      </c>
      <c r="Q321" s="27">
        <f>IF(A321="","",YEAR(A321))</f>
        <v/>
      </c>
      <c r="R321" s="27">
        <f>IF(L321="","",IF(L321&gt;Config!$B$8,"A cair",IF(N(G321)&gt;=MIN(MAX(1,N(E321)),MAX(0,INT((Config!$B$8-L321)/30)+1)),IF(N(G321)&gt;=MAX(1,N(E321)),"Conferido","Conferido até aqui"),"A conferir")))</f>
        <v/>
      </c>
      <c r="S321" s="51">
        <f>IF(R321="A conferir",(Config!$B$8-L321)*1000+N(F321)/1000+ROW()/100000,0)</f>
        <v>0</v>
      </c>
      <c r="T321" s="51">
        <f>IF(R321="A conferir",N(N321),0)</f>
        <v>0</v>
      </c>
      <c r="U321" s="51">
        <f>IF(L321="",0,L321)</f>
        <v>0</v>
      </c>
      <c r="V321" s="51">
        <f>IF(L321="",0,MAX(1,N(E321)))</f>
        <v>0</v>
      </c>
      <c r="W321" s="51">
        <f>IF(K321="",0,K321)</f>
        <v>0</v>
      </c>
    </row>
    <row r="322">
      <c r="A322" s="49" t="n"/>
      <c r="B322" s="41" t="n"/>
      <c r="C322" s="41" t="n"/>
      <c r="D322" s="42" t="n"/>
      <c r="E322" s="42" t="n"/>
      <c r="F322" s="50" t="n"/>
      <c r="G322" s="42" t="n"/>
      <c r="H322" s="30">
        <f>IF(D322="","",IFERROR(INDEX(Config!$B$12:$B$15,MATCH(IF(AND(D322="Cartão de crédito",N(E322)&gt;1),"Cartão de crédito parcelado",D322),Config!$A$12:$A$15,0)),0)+IF(AND(Config!$B$17="Sim",LEFT(D322,17)="Cartão de crédito"),Config!$B$18*IFERROR(INDEX(Config!$C$12:$C$15,MATCH(IF(AND(D322="Cartão de crédito",N(E322)&gt;1),"Cartão de crédito parcelado",D322),Config!$A$12:$A$15,0)),0)/30*MAX(1,N(E322)),0))</f>
        <v/>
      </c>
      <c r="I322" s="29">
        <f>IF(OR(D322="",F322=""),"",ROUND(F322*H322,2))</f>
        <v/>
      </c>
      <c r="J322" s="29">
        <f>IF(I322="","",F322-I322)</f>
        <v/>
      </c>
      <c r="K322" s="29">
        <f>IF(J322="","",J322/MAX(1,N(E322)))</f>
        <v/>
      </c>
      <c r="L322" s="37">
        <f>IF(OR(D322="",A322=""),"",A322+IF(AND(Config!$B$17="Sim",LEFT(D322,17)="Cartão de crédito"),1,IFERROR(INDEX(Config!$C$12:$C$15,MATCH(IF(AND(D322="Cartão de crédito",N(E322)&gt;1),"Cartão de crédito parcelado",D322),Config!$A$12:$A$15,0)),0)))</f>
        <v/>
      </c>
      <c r="M322" s="37">
        <f>IF(L322="","",IF(AND(Config!$B$17="Sim",LEFT(D322,17)="Cartão de crédito"),L322,L322+30*(MAX(1,N(E322))-1)))</f>
        <v/>
      </c>
      <c r="N322" s="29">
        <f>IF(OR(L322="",K322=""),"",K322*MIN(MAX(1,N(E322)),MAX(0,INT((Config!$B$8-L322)/30)+1)))</f>
        <v/>
      </c>
      <c r="O322" s="29">
        <f>IF(J322="","",J322-N(N322))</f>
        <v/>
      </c>
      <c r="P322" s="27">
        <f>IF(A322="","",MONTH(A322))</f>
        <v/>
      </c>
      <c r="Q322" s="27">
        <f>IF(A322="","",YEAR(A322))</f>
        <v/>
      </c>
      <c r="R322" s="27">
        <f>IF(L322="","",IF(L322&gt;Config!$B$8,"A cair",IF(N(G322)&gt;=MIN(MAX(1,N(E322)),MAX(0,INT((Config!$B$8-L322)/30)+1)),IF(N(G322)&gt;=MAX(1,N(E322)),"Conferido","Conferido até aqui"),"A conferir")))</f>
        <v/>
      </c>
      <c r="S322" s="51">
        <f>IF(R322="A conferir",(Config!$B$8-L322)*1000+N(F322)/1000+ROW()/100000,0)</f>
        <v>0</v>
      </c>
      <c r="T322" s="51">
        <f>IF(R322="A conferir",N(N322),0)</f>
        <v>0</v>
      </c>
      <c r="U322" s="51">
        <f>IF(L322="",0,L322)</f>
        <v>0</v>
      </c>
      <c r="V322" s="51">
        <f>IF(L322="",0,MAX(1,N(E322)))</f>
        <v>0</v>
      </c>
      <c r="W322" s="51">
        <f>IF(K322="",0,K322)</f>
        <v>0</v>
      </c>
    </row>
    <row r="323">
      <c r="A323" s="49" t="n"/>
      <c r="B323" s="41" t="n"/>
      <c r="C323" s="41" t="n"/>
      <c r="D323" s="42" t="n"/>
      <c r="E323" s="42" t="n"/>
      <c r="F323" s="50" t="n"/>
      <c r="G323" s="42" t="n"/>
      <c r="H323" s="30">
        <f>IF(D323="","",IFERROR(INDEX(Config!$B$12:$B$15,MATCH(IF(AND(D323="Cartão de crédito",N(E323)&gt;1),"Cartão de crédito parcelado",D323),Config!$A$12:$A$15,0)),0)+IF(AND(Config!$B$17="Sim",LEFT(D323,17)="Cartão de crédito"),Config!$B$18*IFERROR(INDEX(Config!$C$12:$C$15,MATCH(IF(AND(D323="Cartão de crédito",N(E323)&gt;1),"Cartão de crédito parcelado",D323),Config!$A$12:$A$15,0)),0)/30*MAX(1,N(E323)),0))</f>
        <v/>
      </c>
      <c r="I323" s="29">
        <f>IF(OR(D323="",F323=""),"",ROUND(F323*H323,2))</f>
        <v/>
      </c>
      <c r="J323" s="29">
        <f>IF(I323="","",F323-I323)</f>
        <v/>
      </c>
      <c r="K323" s="29">
        <f>IF(J323="","",J323/MAX(1,N(E323)))</f>
        <v/>
      </c>
      <c r="L323" s="37">
        <f>IF(OR(D323="",A323=""),"",A323+IF(AND(Config!$B$17="Sim",LEFT(D323,17)="Cartão de crédito"),1,IFERROR(INDEX(Config!$C$12:$C$15,MATCH(IF(AND(D323="Cartão de crédito",N(E323)&gt;1),"Cartão de crédito parcelado",D323),Config!$A$12:$A$15,0)),0)))</f>
        <v/>
      </c>
      <c r="M323" s="37">
        <f>IF(L323="","",IF(AND(Config!$B$17="Sim",LEFT(D323,17)="Cartão de crédito"),L323,L323+30*(MAX(1,N(E323))-1)))</f>
        <v/>
      </c>
      <c r="N323" s="29">
        <f>IF(OR(L323="",K323=""),"",K323*MIN(MAX(1,N(E323)),MAX(0,INT((Config!$B$8-L323)/30)+1)))</f>
        <v/>
      </c>
      <c r="O323" s="29">
        <f>IF(J323="","",J323-N(N323))</f>
        <v/>
      </c>
      <c r="P323" s="27">
        <f>IF(A323="","",MONTH(A323))</f>
        <v/>
      </c>
      <c r="Q323" s="27">
        <f>IF(A323="","",YEAR(A323))</f>
        <v/>
      </c>
      <c r="R323" s="27">
        <f>IF(L323="","",IF(L323&gt;Config!$B$8,"A cair",IF(N(G323)&gt;=MIN(MAX(1,N(E323)),MAX(0,INT((Config!$B$8-L323)/30)+1)),IF(N(G323)&gt;=MAX(1,N(E323)),"Conferido","Conferido até aqui"),"A conferir")))</f>
        <v/>
      </c>
      <c r="S323" s="51">
        <f>IF(R323="A conferir",(Config!$B$8-L323)*1000+N(F323)/1000+ROW()/100000,0)</f>
        <v>0</v>
      </c>
      <c r="T323" s="51">
        <f>IF(R323="A conferir",N(N323),0)</f>
        <v>0</v>
      </c>
      <c r="U323" s="51">
        <f>IF(L323="",0,L323)</f>
        <v>0</v>
      </c>
      <c r="V323" s="51">
        <f>IF(L323="",0,MAX(1,N(E323)))</f>
        <v>0</v>
      </c>
      <c r="W323" s="51">
        <f>IF(K323="",0,K323)</f>
        <v>0</v>
      </c>
    </row>
    <row r="324">
      <c r="A324" s="49" t="n"/>
      <c r="B324" s="41" t="n"/>
      <c r="C324" s="41" t="n"/>
      <c r="D324" s="42" t="n"/>
      <c r="E324" s="42" t="n"/>
      <c r="F324" s="50" t="n"/>
      <c r="G324" s="42" t="n"/>
      <c r="H324" s="30">
        <f>IF(D324="","",IFERROR(INDEX(Config!$B$12:$B$15,MATCH(IF(AND(D324="Cartão de crédito",N(E324)&gt;1),"Cartão de crédito parcelado",D324),Config!$A$12:$A$15,0)),0)+IF(AND(Config!$B$17="Sim",LEFT(D324,17)="Cartão de crédito"),Config!$B$18*IFERROR(INDEX(Config!$C$12:$C$15,MATCH(IF(AND(D324="Cartão de crédito",N(E324)&gt;1),"Cartão de crédito parcelado",D324),Config!$A$12:$A$15,0)),0)/30*MAX(1,N(E324)),0))</f>
        <v/>
      </c>
      <c r="I324" s="29">
        <f>IF(OR(D324="",F324=""),"",ROUND(F324*H324,2))</f>
        <v/>
      </c>
      <c r="J324" s="29">
        <f>IF(I324="","",F324-I324)</f>
        <v/>
      </c>
      <c r="K324" s="29">
        <f>IF(J324="","",J324/MAX(1,N(E324)))</f>
        <v/>
      </c>
      <c r="L324" s="37">
        <f>IF(OR(D324="",A324=""),"",A324+IF(AND(Config!$B$17="Sim",LEFT(D324,17)="Cartão de crédito"),1,IFERROR(INDEX(Config!$C$12:$C$15,MATCH(IF(AND(D324="Cartão de crédito",N(E324)&gt;1),"Cartão de crédito parcelado",D324),Config!$A$12:$A$15,0)),0)))</f>
        <v/>
      </c>
      <c r="M324" s="37">
        <f>IF(L324="","",IF(AND(Config!$B$17="Sim",LEFT(D324,17)="Cartão de crédito"),L324,L324+30*(MAX(1,N(E324))-1)))</f>
        <v/>
      </c>
      <c r="N324" s="29">
        <f>IF(OR(L324="",K324=""),"",K324*MIN(MAX(1,N(E324)),MAX(0,INT((Config!$B$8-L324)/30)+1)))</f>
        <v/>
      </c>
      <c r="O324" s="29">
        <f>IF(J324="","",J324-N(N324))</f>
        <v/>
      </c>
      <c r="P324" s="27">
        <f>IF(A324="","",MONTH(A324))</f>
        <v/>
      </c>
      <c r="Q324" s="27">
        <f>IF(A324="","",YEAR(A324))</f>
        <v/>
      </c>
      <c r="R324" s="27">
        <f>IF(L324="","",IF(L324&gt;Config!$B$8,"A cair",IF(N(G324)&gt;=MIN(MAX(1,N(E324)),MAX(0,INT((Config!$B$8-L324)/30)+1)),IF(N(G324)&gt;=MAX(1,N(E324)),"Conferido","Conferido até aqui"),"A conferir")))</f>
        <v/>
      </c>
      <c r="S324" s="51">
        <f>IF(R324="A conferir",(Config!$B$8-L324)*1000+N(F324)/1000+ROW()/100000,0)</f>
        <v>0</v>
      </c>
      <c r="T324" s="51">
        <f>IF(R324="A conferir",N(N324),0)</f>
        <v>0</v>
      </c>
      <c r="U324" s="51">
        <f>IF(L324="",0,L324)</f>
        <v>0</v>
      </c>
      <c r="V324" s="51">
        <f>IF(L324="",0,MAX(1,N(E324)))</f>
        <v>0</v>
      </c>
      <c r="W324" s="51">
        <f>IF(K324="",0,K324)</f>
        <v>0</v>
      </c>
    </row>
    <row r="325">
      <c r="A325" s="49" t="n"/>
      <c r="B325" s="41" t="n"/>
      <c r="C325" s="41" t="n"/>
      <c r="D325" s="42" t="n"/>
      <c r="E325" s="42" t="n"/>
      <c r="F325" s="50" t="n"/>
      <c r="G325" s="42" t="n"/>
      <c r="H325" s="30">
        <f>IF(D325="","",IFERROR(INDEX(Config!$B$12:$B$15,MATCH(IF(AND(D325="Cartão de crédito",N(E325)&gt;1),"Cartão de crédito parcelado",D325),Config!$A$12:$A$15,0)),0)+IF(AND(Config!$B$17="Sim",LEFT(D325,17)="Cartão de crédito"),Config!$B$18*IFERROR(INDEX(Config!$C$12:$C$15,MATCH(IF(AND(D325="Cartão de crédito",N(E325)&gt;1),"Cartão de crédito parcelado",D325),Config!$A$12:$A$15,0)),0)/30*MAX(1,N(E325)),0))</f>
        <v/>
      </c>
      <c r="I325" s="29">
        <f>IF(OR(D325="",F325=""),"",ROUND(F325*H325,2))</f>
        <v/>
      </c>
      <c r="J325" s="29">
        <f>IF(I325="","",F325-I325)</f>
        <v/>
      </c>
      <c r="K325" s="29">
        <f>IF(J325="","",J325/MAX(1,N(E325)))</f>
        <v/>
      </c>
      <c r="L325" s="37">
        <f>IF(OR(D325="",A325=""),"",A325+IF(AND(Config!$B$17="Sim",LEFT(D325,17)="Cartão de crédito"),1,IFERROR(INDEX(Config!$C$12:$C$15,MATCH(IF(AND(D325="Cartão de crédito",N(E325)&gt;1),"Cartão de crédito parcelado",D325),Config!$A$12:$A$15,0)),0)))</f>
        <v/>
      </c>
      <c r="M325" s="37">
        <f>IF(L325="","",IF(AND(Config!$B$17="Sim",LEFT(D325,17)="Cartão de crédito"),L325,L325+30*(MAX(1,N(E325))-1)))</f>
        <v/>
      </c>
      <c r="N325" s="29">
        <f>IF(OR(L325="",K325=""),"",K325*MIN(MAX(1,N(E325)),MAX(0,INT((Config!$B$8-L325)/30)+1)))</f>
        <v/>
      </c>
      <c r="O325" s="29">
        <f>IF(J325="","",J325-N(N325))</f>
        <v/>
      </c>
      <c r="P325" s="27">
        <f>IF(A325="","",MONTH(A325))</f>
        <v/>
      </c>
      <c r="Q325" s="27">
        <f>IF(A325="","",YEAR(A325))</f>
        <v/>
      </c>
      <c r="R325" s="27">
        <f>IF(L325="","",IF(L325&gt;Config!$B$8,"A cair",IF(N(G325)&gt;=MIN(MAX(1,N(E325)),MAX(0,INT((Config!$B$8-L325)/30)+1)),IF(N(G325)&gt;=MAX(1,N(E325)),"Conferido","Conferido até aqui"),"A conferir")))</f>
        <v/>
      </c>
      <c r="S325" s="51">
        <f>IF(R325="A conferir",(Config!$B$8-L325)*1000+N(F325)/1000+ROW()/100000,0)</f>
        <v>0</v>
      </c>
      <c r="T325" s="51">
        <f>IF(R325="A conferir",N(N325),0)</f>
        <v>0</v>
      </c>
      <c r="U325" s="51">
        <f>IF(L325="",0,L325)</f>
        <v>0</v>
      </c>
      <c r="V325" s="51">
        <f>IF(L325="",0,MAX(1,N(E325)))</f>
        <v>0</v>
      </c>
      <c r="W325" s="51">
        <f>IF(K325="",0,K325)</f>
        <v>0</v>
      </c>
    </row>
    <row r="326">
      <c r="A326" s="49" t="n"/>
      <c r="B326" s="41" t="n"/>
      <c r="C326" s="41" t="n"/>
      <c r="D326" s="42" t="n"/>
      <c r="E326" s="42" t="n"/>
      <c r="F326" s="50" t="n"/>
      <c r="G326" s="42" t="n"/>
      <c r="H326" s="30">
        <f>IF(D326="","",IFERROR(INDEX(Config!$B$12:$B$15,MATCH(IF(AND(D326="Cartão de crédito",N(E326)&gt;1),"Cartão de crédito parcelado",D326),Config!$A$12:$A$15,0)),0)+IF(AND(Config!$B$17="Sim",LEFT(D326,17)="Cartão de crédito"),Config!$B$18*IFERROR(INDEX(Config!$C$12:$C$15,MATCH(IF(AND(D326="Cartão de crédito",N(E326)&gt;1),"Cartão de crédito parcelado",D326),Config!$A$12:$A$15,0)),0)/30*MAX(1,N(E326)),0))</f>
        <v/>
      </c>
      <c r="I326" s="29">
        <f>IF(OR(D326="",F326=""),"",ROUND(F326*H326,2))</f>
        <v/>
      </c>
      <c r="J326" s="29">
        <f>IF(I326="","",F326-I326)</f>
        <v/>
      </c>
      <c r="K326" s="29">
        <f>IF(J326="","",J326/MAX(1,N(E326)))</f>
        <v/>
      </c>
      <c r="L326" s="37">
        <f>IF(OR(D326="",A326=""),"",A326+IF(AND(Config!$B$17="Sim",LEFT(D326,17)="Cartão de crédito"),1,IFERROR(INDEX(Config!$C$12:$C$15,MATCH(IF(AND(D326="Cartão de crédito",N(E326)&gt;1),"Cartão de crédito parcelado",D326),Config!$A$12:$A$15,0)),0)))</f>
        <v/>
      </c>
      <c r="M326" s="37">
        <f>IF(L326="","",IF(AND(Config!$B$17="Sim",LEFT(D326,17)="Cartão de crédito"),L326,L326+30*(MAX(1,N(E326))-1)))</f>
        <v/>
      </c>
      <c r="N326" s="29">
        <f>IF(OR(L326="",K326=""),"",K326*MIN(MAX(1,N(E326)),MAX(0,INT((Config!$B$8-L326)/30)+1)))</f>
        <v/>
      </c>
      <c r="O326" s="29">
        <f>IF(J326="","",J326-N(N326))</f>
        <v/>
      </c>
      <c r="P326" s="27">
        <f>IF(A326="","",MONTH(A326))</f>
        <v/>
      </c>
      <c r="Q326" s="27">
        <f>IF(A326="","",YEAR(A326))</f>
        <v/>
      </c>
      <c r="R326" s="27">
        <f>IF(L326="","",IF(L326&gt;Config!$B$8,"A cair",IF(N(G326)&gt;=MIN(MAX(1,N(E326)),MAX(0,INT((Config!$B$8-L326)/30)+1)),IF(N(G326)&gt;=MAX(1,N(E326)),"Conferido","Conferido até aqui"),"A conferir")))</f>
        <v/>
      </c>
      <c r="S326" s="51">
        <f>IF(R326="A conferir",(Config!$B$8-L326)*1000+N(F326)/1000+ROW()/100000,0)</f>
        <v>0</v>
      </c>
      <c r="T326" s="51">
        <f>IF(R326="A conferir",N(N326),0)</f>
        <v>0</v>
      </c>
      <c r="U326" s="51">
        <f>IF(L326="",0,L326)</f>
        <v>0</v>
      </c>
      <c r="V326" s="51">
        <f>IF(L326="",0,MAX(1,N(E326)))</f>
        <v>0</v>
      </c>
      <c r="W326" s="51">
        <f>IF(K326="",0,K326)</f>
        <v>0</v>
      </c>
    </row>
    <row r="327">
      <c r="A327" s="49" t="n"/>
      <c r="B327" s="41" t="n"/>
      <c r="C327" s="41" t="n"/>
      <c r="D327" s="42" t="n"/>
      <c r="E327" s="42" t="n"/>
      <c r="F327" s="50" t="n"/>
      <c r="G327" s="42" t="n"/>
      <c r="H327" s="30">
        <f>IF(D327="","",IFERROR(INDEX(Config!$B$12:$B$15,MATCH(IF(AND(D327="Cartão de crédito",N(E327)&gt;1),"Cartão de crédito parcelado",D327),Config!$A$12:$A$15,0)),0)+IF(AND(Config!$B$17="Sim",LEFT(D327,17)="Cartão de crédito"),Config!$B$18*IFERROR(INDEX(Config!$C$12:$C$15,MATCH(IF(AND(D327="Cartão de crédito",N(E327)&gt;1),"Cartão de crédito parcelado",D327),Config!$A$12:$A$15,0)),0)/30*MAX(1,N(E327)),0))</f>
        <v/>
      </c>
      <c r="I327" s="29">
        <f>IF(OR(D327="",F327=""),"",ROUND(F327*H327,2))</f>
        <v/>
      </c>
      <c r="J327" s="29">
        <f>IF(I327="","",F327-I327)</f>
        <v/>
      </c>
      <c r="K327" s="29">
        <f>IF(J327="","",J327/MAX(1,N(E327)))</f>
        <v/>
      </c>
      <c r="L327" s="37">
        <f>IF(OR(D327="",A327=""),"",A327+IF(AND(Config!$B$17="Sim",LEFT(D327,17)="Cartão de crédito"),1,IFERROR(INDEX(Config!$C$12:$C$15,MATCH(IF(AND(D327="Cartão de crédito",N(E327)&gt;1),"Cartão de crédito parcelado",D327),Config!$A$12:$A$15,0)),0)))</f>
        <v/>
      </c>
      <c r="M327" s="37">
        <f>IF(L327="","",IF(AND(Config!$B$17="Sim",LEFT(D327,17)="Cartão de crédito"),L327,L327+30*(MAX(1,N(E327))-1)))</f>
        <v/>
      </c>
      <c r="N327" s="29">
        <f>IF(OR(L327="",K327=""),"",K327*MIN(MAX(1,N(E327)),MAX(0,INT((Config!$B$8-L327)/30)+1)))</f>
        <v/>
      </c>
      <c r="O327" s="29">
        <f>IF(J327="","",J327-N(N327))</f>
        <v/>
      </c>
      <c r="P327" s="27">
        <f>IF(A327="","",MONTH(A327))</f>
        <v/>
      </c>
      <c r="Q327" s="27">
        <f>IF(A327="","",YEAR(A327))</f>
        <v/>
      </c>
      <c r="R327" s="27">
        <f>IF(L327="","",IF(L327&gt;Config!$B$8,"A cair",IF(N(G327)&gt;=MIN(MAX(1,N(E327)),MAX(0,INT((Config!$B$8-L327)/30)+1)),IF(N(G327)&gt;=MAX(1,N(E327)),"Conferido","Conferido até aqui"),"A conferir")))</f>
        <v/>
      </c>
      <c r="S327" s="51">
        <f>IF(R327="A conferir",(Config!$B$8-L327)*1000+N(F327)/1000+ROW()/100000,0)</f>
        <v>0</v>
      </c>
      <c r="T327" s="51">
        <f>IF(R327="A conferir",N(N327),0)</f>
        <v>0</v>
      </c>
      <c r="U327" s="51">
        <f>IF(L327="",0,L327)</f>
        <v>0</v>
      </c>
      <c r="V327" s="51">
        <f>IF(L327="",0,MAX(1,N(E327)))</f>
        <v>0</v>
      </c>
      <c r="W327" s="51">
        <f>IF(K327="",0,K327)</f>
        <v>0</v>
      </c>
    </row>
    <row r="328">
      <c r="A328" s="49" t="n"/>
      <c r="B328" s="41" t="n"/>
      <c r="C328" s="41" t="n"/>
      <c r="D328" s="42" t="n"/>
      <c r="E328" s="42" t="n"/>
      <c r="F328" s="50" t="n"/>
      <c r="G328" s="42" t="n"/>
      <c r="H328" s="30">
        <f>IF(D328="","",IFERROR(INDEX(Config!$B$12:$B$15,MATCH(IF(AND(D328="Cartão de crédito",N(E328)&gt;1),"Cartão de crédito parcelado",D328),Config!$A$12:$A$15,0)),0)+IF(AND(Config!$B$17="Sim",LEFT(D328,17)="Cartão de crédito"),Config!$B$18*IFERROR(INDEX(Config!$C$12:$C$15,MATCH(IF(AND(D328="Cartão de crédito",N(E328)&gt;1),"Cartão de crédito parcelado",D328),Config!$A$12:$A$15,0)),0)/30*MAX(1,N(E328)),0))</f>
        <v/>
      </c>
      <c r="I328" s="29">
        <f>IF(OR(D328="",F328=""),"",ROUND(F328*H328,2))</f>
        <v/>
      </c>
      <c r="J328" s="29">
        <f>IF(I328="","",F328-I328)</f>
        <v/>
      </c>
      <c r="K328" s="29">
        <f>IF(J328="","",J328/MAX(1,N(E328)))</f>
        <v/>
      </c>
      <c r="L328" s="37">
        <f>IF(OR(D328="",A328=""),"",A328+IF(AND(Config!$B$17="Sim",LEFT(D328,17)="Cartão de crédito"),1,IFERROR(INDEX(Config!$C$12:$C$15,MATCH(IF(AND(D328="Cartão de crédito",N(E328)&gt;1),"Cartão de crédito parcelado",D328),Config!$A$12:$A$15,0)),0)))</f>
        <v/>
      </c>
      <c r="M328" s="37">
        <f>IF(L328="","",IF(AND(Config!$B$17="Sim",LEFT(D328,17)="Cartão de crédito"),L328,L328+30*(MAX(1,N(E328))-1)))</f>
        <v/>
      </c>
      <c r="N328" s="29">
        <f>IF(OR(L328="",K328=""),"",K328*MIN(MAX(1,N(E328)),MAX(0,INT((Config!$B$8-L328)/30)+1)))</f>
        <v/>
      </c>
      <c r="O328" s="29">
        <f>IF(J328="","",J328-N(N328))</f>
        <v/>
      </c>
      <c r="P328" s="27">
        <f>IF(A328="","",MONTH(A328))</f>
        <v/>
      </c>
      <c r="Q328" s="27">
        <f>IF(A328="","",YEAR(A328))</f>
        <v/>
      </c>
      <c r="R328" s="27">
        <f>IF(L328="","",IF(L328&gt;Config!$B$8,"A cair",IF(N(G328)&gt;=MIN(MAX(1,N(E328)),MAX(0,INT((Config!$B$8-L328)/30)+1)),IF(N(G328)&gt;=MAX(1,N(E328)),"Conferido","Conferido até aqui"),"A conferir")))</f>
        <v/>
      </c>
      <c r="S328" s="51">
        <f>IF(R328="A conferir",(Config!$B$8-L328)*1000+N(F328)/1000+ROW()/100000,0)</f>
        <v>0</v>
      </c>
      <c r="T328" s="51">
        <f>IF(R328="A conferir",N(N328),0)</f>
        <v>0</v>
      </c>
      <c r="U328" s="51">
        <f>IF(L328="",0,L328)</f>
        <v>0</v>
      </c>
      <c r="V328" s="51">
        <f>IF(L328="",0,MAX(1,N(E328)))</f>
        <v>0</v>
      </c>
      <c r="W328" s="51">
        <f>IF(K328="",0,K328)</f>
        <v>0</v>
      </c>
    </row>
    <row r="329">
      <c r="A329" s="49" t="n"/>
      <c r="B329" s="41" t="n"/>
      <c r="C329" s="41" t="n"/>
      <c r="D329" s="42" t="n"/>
      <c r="E329" s="42" t="n"/>
      <c r="F329" s="50" t="n"/>
      <c r="G329" s="42" t="n"/>
      <c r="H329" s="30">
        <f>IF(D329="","",IFERROR(INDEX(Config!$B$12:$B$15,MATCH(IF(AND(D329="Cartão de crédito",N(E329)&gt;1),"Cartão de crédito parcelado",D329),Config!$A$12:$A$15,0)),0)+IF(AND(Config!$B$17="Sim",LEFT(D329,17)="Cartão de crédito"),Config!$B$18*IFERROR(INDEX(Config!$C$12:$C$15,MATCH(IF(AND(D329="Cartão de crédito",N(E329)&gt;1),"Cartão de crédito parcelado",D329),Config!$A$12:$A$15,0)),0)/30*MAX(1,N(E329)),0))</f>
        <v/>
      </c>
      <c r="I329" s="29">
        <f>IF(OR(D329="",F329=""),"",ROUND(F329*H329,2))</f>
        <v/>
      </c>
      <c r="J329" s="29">
        <f>IF(I329="","",F329-I329)</f>
        <v/>
      </c>
      <c r="K329" s="29">
        <f>IF(J329="","",J329/MAX(1,N(E329)))</f>
        <v/>
      </c>
      <c r="L329" s="37">
        <f>IF(OR(D329="",A329=""),"",A329+IF(AND(Config!$B$17="Sim",LEFT(D329,17)="Cartão de crédito"),1,IFERROR(INDEX(Config!$C$12:$C$15,MATCH(IF(AND(D329="Cartão de crédito",N(E329)&gt;1),"Cartão de crédito parcelado",D329),Config!$A$12:$A$15,0)),0)))</f>
        <v/>
      </c>
      <c r="M329" s="37">
        <f>IF(L329="","",IF(AND(Config!$B$17="Sim",LEFT(D329,17)="Cartão de crédito"),L329,L329+30*(MAX(1,N(E329))-1)))</f>
        <v/>
      </c>
      <c r="N329" s="29">
        <f>IF(OR(L329="",K329=""),"",K329*MIN(MAX(1,N(E329)),MAX(0,INT((Config!$B$8-L329)/30)+1)))</f>
        <v/>
      </c>
      <c r="O329" s="29">
        <f>IF(J329="","",J329-N(N329))</f>
        <v/>
      </c>
      <c r="P329" s="27">
        <f>IF(A329="","",MONTH(A329))</f>
        <v/>
      </c>
      <c r="Q329" s="27">
        <f>IF(A329="","",YEAR(A329))</f>
        <v/>
      </c>
      <c r="R329" s="27">
        <f>IF(L329="","",IF(L329&gt;Config!$B$8,"A cair",IF(N(G329)&gt;=MIN(MAX(1,N(E329)),MAX(0,INT((Config!$B$8-L329)/30)+1)),IF(N(G329)&gt;=MAX(1,N(E329)),"Conferido","Conferido até aqui"),"A conferir")))</f>
        <v/>
      </c>
      <c r="S329" s="51">
        <f>IF(R329="A conferir",(Config!$B$8-L329)*1000+N(F329)/1000+ROW()/100000,0)</f>
        <v>0</v>
      </c>
      <c r="T329" s="51">
        <f>IF(R329="A conferir",N(N329),0)</f>
        <v>0</v>
      </c>
      <c r="U329" s="51">
        <f>IF(L329="",0,L329)</f>
        <v>0</v>
      </c>
      <c r="V329" s="51">
        <f>IF(L329="",0,MAX(1,N(E329)))</f>
        <v>0</v>
      </c>
      <c r="W329" s="51">
        <f>IF(K329="",0,K329)</f>
        <v>0</v>
      </c>
    </row>
    <row r="330">
      <c r="A330" s="49" t="n"/>
      <c r="B330" s="41" t="n"/>
      <c r="C330" s="41" t="n"/>
      <c r="D330" s="42" t="n"/>
      <c r="E330" s="42" t="n"/>
      <c r="F330" s="50" t="n"/>
      <c r="G330" s="42" t="n"/>
      <c r="H330" s="30">
        <f>IF(D330="","",IFERROR(INDEX(Config!$B$12:$B$15,MATCH(IF(AND(D330="Cartão de crédito",N(E330)&gt;1),"Cartão de crédito parcelado",D330),Config!$A$12:$A$15,0)),0)+IF(AND(Config!$B$17="Sim",LEFT(D330,17)="Cartão de crédito"),Config!$B$18*IFERROR(INDEX(Config!$C$12:$C$15,MATCH(IF(AND(D330="Cartão de crédito",N(E330)&gt;1),"Cartão de crédito parcelado",D330),Config!$A$12:$A$15,0)),0)/30*MAX(1,N(E330)),0))</f>
        <v/>
      </c>
      <c r="I330" s="29">
        <f>IF(OR(D330="",F330=""),"",ROUND(F330*H330,2))</f>
        <v/>
      </c>
      <c r="J330" s="29">
        <f>IF(I330="","",F330-I330)</f>
        <v/>
      </c>
      <c r="K330" s="29">
        <f>IF(J330="","",J330/MAX(1,N(E330)))</f>
        <v/>
      </c>
      <c r="L330" s="37">
        <f>IF(OR(D330="",A330=""),"",A330+IF(AND(Config!$B$17="Sim",LEFT(D330,17)="Cartão de crédito"),1,IFERROR(INDEX(Config!$C$12:$C$15,MATCH(IF(AND(D330="Cartão de crédito",N(E330)&gt;1),"Cartão de crédito parcelado",D330),Config!$A$12:$A$15,0)),0)))</f>
        <v/>
      </c>
      <c r="M330" s="37">
        <f>IF(L330="","",IF(AND(Config!$B$17="Sim",LEFT(D330,17)="Cartão de crédito"),L330,L330+30*(MAX(1,N(E330))-1)))</f>
        <v/>
      </c>
      <c r="N330" s="29">
        <f>IF(OR(L330="",K330=""),"",K330*MIN(MAX(1,N(E330)),MAX(0,INT((Config!$B$8-L330)/30)+1)))</f>
        <v/>
      </c>
      <c r="O330" s="29">
        <f>IF(J330="","",J330-N(N330))</f>
        <v/>
      </c>
      <c r="P330" s="27">
        <f>IF(A330="","",MONTH(A330))</f>
        <v/>
      </c>
      <c r="Q330" s="27">
        <f>IF(A330="","",YEAR(A330))</f>
        <v/>
      </c>
      <c r="R330" s="27">
        <f>IF(L330="","",IF(L330&gt;Config!$B$8,"A cair",IF(N(G330)&gt;=MIN(MAX(1,N(E330)),MAX(0,INT((Config!$B$8-L330)/30)+1)),IF(N(G330)&gt;=MAX(1,N(E330)),"Conferido","Conferido até aqui"),"A conferir")))</f>
        <v/>
      </c>
      <c r="S330" s="51">
        <f>IF(R330="A conferir",(Config!$B$8-L330)*1000+N(F330)/1000+ROW()/100000,0)</f>
        <v>0</v>
      </c>
      <c r="T330" s="51">
        <f>IF(R330="A conferir",N(N330),0)</f>
        <v>0</v>
      </c>
      <c r="U330" s="51">
        <f>IF(L330="",0,L330)</f>
        <v>0</v>
      </c>
      <c r="V330" s="51">
        <f>IF(L330="",0,MAX(1,N(E330)))</f>
        <v>0</v>
      </c>
      <c r="W330" s="51">
        <f>IF(K330="",0,K330)</f>
        <v>0</v>
      </c>
    </row>
    <row r="331">
      <c r="A331" s="49" t="n"/>
      <c r="B331" s="41" t="n"/>
      <c r="C331" s="41" t="n"/>
      <c r="D331" s="42" t="n"/>
      <c r="E331" s="42" t="n"/>
      <c r="F331" s="50" t="n"/>
      <c r="G331" s="42" t="n"/>
      <c r="H331" s="30">
        <f>IF(D331="","",IFERROR(INDEX(Config!$B$12:$B$15,MATCH(IF(AND(D331="Cartão de crédito",N(E331)&gt;1),"Cartão de crédito parcelado",D331),Config!$A$12:$A$15,0)),0)+IF(AND(Config!$B$17="Sim",LEFT(D331,17)="Cartão de crédito"),Config!$B$18*IFERROR(INDEX(Config!$C$12:$C$15,MATCH(IF(AND(D331="Cartão de crédito",N(E331)&gt;1),"Cartão de crédito parcelado",D331),Config!$A$12:$A$15,0)),0)/30*MAX(1,N(E331)),0))</f>
        <v/>
      </c>
      <c r="I331" s="29">
        <f>IF(OR(D331="",F331=""),"",ROUND(F331*H331,2))</f>
        <v/>
      </c>
      <c r="J331" s="29">
        <f>IF(I331="","",F331-I331)</f>
        <v/>
      </c>
      <c r="K331" s="29">
        <f>IF(J331="","",J331/MAX(1,N(E331)))</f>
        <v/>
      </c>
      <c r="L331" s="37">
        <f>IF(OR(D331="",A331=""),"",A331+IF(AND(Config!$B$17="Sim",LEFT(D331,17)="Cartão de crédito"),1,IFERROR(INDEX(Config!$C$12:$C$15,MATCH(IF(AND(D331="Cartão de crédito",N(E331)&gt;1),"Cartão de crédito parcelado",D331),Config!$A$12:$A$15,0)),0)))</f>
        <v/>
      </c>
      <c r="M331" s="37">
        <f>IF(L331="","",IF(AND(Config!$B$17="Sim",LEFT(D331,17)="Cartão de crédito"),L331,L331+30*(MAX(1,N(E331))-1)))</f>
        <v/>
      </c>
      <c r="N331" s="29">
        <f>IF(OR(L331="",K331=""),"",K331*MIN(MAX(1,N(E331)),MAX(0,INT((Config!$B$8-L331)/30)+1)))</f>
        <v/>
      </c>
      <c r="O331" s="29">
        <f>IF(J331="","",J331-N(N331))</f>
        <v/>
      </c>
      <c r="P331" s="27">
        <f>IF(A331="","",MONTH(A331))</f>
        <v/>
      </c>
      <c r="Q331" s="27">
        <f>IF(A331="","",YEAR(A331))</f>
        <v/>
      </c>
      <c r="R331" s="27">
        <f>IF(L331="","",IF(L331&gt;Config!$B$8,"A cair",IF(N(G331)&gt;=MIN(MAX(1,N(E331)),MAX(0,INT((Config!$B$8-L331)/30)+1)),IF(N(G331)&gt;=MAX(1,N(E331)),"Conferido","Conferido até aqui"),"A conferir")))</f>
        <v/>
      </c>
      <c r="S331" s="51">
        <f>IF(R331="A conferir",(Config!$B$8-L331)*1000+N(F331)/1000+ROW()/100000,0)</f>
        <v>0</v>
      </c>
      <c r="T331" s="51">
        <f>IF(R331="A conferir",N(N331),0)</f>
        <v>0</v>
      </c>
      <c r="U331" s="51">
        <f>IF(L331="",0,L331)</f>
        <v>0</v>
      </c>
      <c r="V331" s="51">
        <f>IF(L331="",0,MAX(1,N(E331)))</f>
        <v>0</v>
      </c>
      <c r="W331" s="51">
        <f>IF(K331="",0,K331)</f>
        <v>0</v>
      </c>
    </row>
    <row r="332">
      <c r="A332" s="49" t="n"/>
      <c r="B332" s="41" t="n"/>
      <c r="C332" s="41" t="n"/>
      <c r="D332" s="42" t="n"/>
      <c r="E332" s="42" t="n"/>
      <c r="F332" s="50" t="n"/>
      <c r="G332" s="42" t="n"/>
      <c r="H332" s="30">
        <f>IF(D332="","",IFERROR(INDEX(Config!$B$12:$B$15,MATCH(IF(AND(D332="Cartão de crédito",N(E332)&gt;1),"Cartão de crédito parcelado",D332),Config!$A$12:$A$15,0)),0)+IF(AND(Config!$B$17="Sim",LEFT(D332,17)="Cartão de crédito"),Config!$B$18*IFERROR(INDEX(Config!$C$12:$C$15,MATCH(IF(AND(D332="Cartão de crédito",N(E332)&gt;1),"Cartão de crédito parcelado",D332),Config!$A$12:$A$15,0)),0)/30*MAX(1,N(E332)),0))</f>
        <v/>
      </c>
      <c r="I332" s="29">
        <f>IF(OR(D332="",F332=""),"",ROUND(F332*H332,2))</f>
        <v/>
      </c>
      <c r="J332" s="29">
        <f>IF(I332="","",F332-I332)</f>
        <v/>
      </c>
      <c r="K332" s="29">
        <f>IF(J332="","",J332/MAX(1,N(E332)))</f>
        <v/>
      </c>
      <c r="L332" s="37">
        <f>IF(OR(D332="",A332=""),"",A332+IF(AND(Config!$B$17="Sim",LEFT(D332,17)="Cartão de crédito"),1,IFERROR(INDEX(Config!$C$12:$C$15,MATCH(IF(AND(D332="Cartão de crédito",N(E332)&gt;1),"Cartão de crédito parcelado",D332),Config!$A$12:$A$15,0)),0)))</f>
        <v/>
      </c>
      <c r="M332" s="37">
        <f>IF(L332="","",IF(AND(Config!$B$17="Sim",LEFT(D332,17)="Cartão de crédito"),L332,L332+30*(MAX(1,N(E332))-1)))</f>
        <v/>
      </c>
      <c r="N332" s="29">
        <f>IF(OR(L332="",K332=""),"",K332*MIN(MAX(1,N(E332)),MAX(0,INT((Config!$B$8-L332)/30)+1)))</f>
        <v/>
      </c>
      <c r="O332" s="29">
        <f>IF(J332="","",J332-N(N332))</f>
        <v/>
      </c>
      <c r="P332" s="27">
        <f>IF(A332="","",MONTH(A332))</f>
        <v/>
      </c>
      <c r="Q332" s="27">
        <f>IF(A332="","",YEAR(A332))</f>
        <v/>
      </c>
      <c r="R332" s="27">
        <f>IF(L332="","",IF(L332&gt;Config!$B$8,"A cair",IF(N(G332)&gt;=MIN(MAX(1,N(E332)),MAX(0,INT((Config!$B$8-L332)/30)+1)),IF(N(G332)&gt;=MAX(1,N(E332)),"Conferido","Conferido até aqui"),"A conferir")))</f>
        <v/>
      </c>
      <c r="S332" s="51">
        <f>IF(R332="A conferir",(Config!$B$8-L332)*1000+N(F332)/1000+ROW()/100000,0)</f>
        <v>0</v>
      </c>
      <c r="T332" s="51">
        <f>IF(R332="A conferir",N(N332),0)</f>
        <v>0</v>
      </c>
      <c r="U332" s="51">
        <f>IF(L332="",0,L332)</f>
        <v>0</v>
      </c>
      <c r="V332" s="51">
        <f>IF(L332="",0,MAX(1,N(E332)))</f>
        <v>0</v>
      </c>
      <c r="W332" s="51">
        <f>IF(K332="",0,K332)</f>
        <v>0</v>
      </c>
    </row>
    <row r="333">
      <c r="A333" s="49" t="n"/>
      <c r="B333" s="41" t="n"/>
      <c r="C333" s="41" t="n"/>
      <c r="D333" s="42" t="n"/>
      <c r="E333" s="42" t="n"/>
      <c r="F333" s="50" t="n"/>
      <c r="G333" s="42" t="n"/>
      <c r="H333" s="30">
        <f>IF(D333="","",IFERROR(INDEX(Config!$B$12:$B$15,MATCH(IF(AND(D333="Cartão de crédito",N(E333)&gt;1),"Cartão de crédito parcelado",D333),Config!$A$12:$A$15,0)),0)+IF(AND(Config!$B$17="Sim",LEFT(D333,17)="Cartão de crédito"),Config!$B$18*IFERROR(INDEX(Config!$C$12:$C$15,MATCH(IF(AND(D333="Cartão de crédito",N(E333)&gt;1),"Cartão de crédito parcelado",D333),Config!$A$12:$A$15,0)),0)/30*MAX(1,N(E333)),0))</f>
        <v/>
      </c>
      <c r="I333" s="29">
        <f>IF(OR(D333="",F333=""),"",ROUND(F333*H333,2))</f>
        <v/>
      </c>
      <c r="J333" s="29">
        <f>IF(I333="","",F333-I333)</f>
        <v/>
      </c>
      <c r="K333" s="29">
        <f>IF(J333="","",J333/MAX(1,N(E333)))</f>
        <v/>
      </c>
      <c r="L333" s="37">
        <f>IF(OR(D333="",A333=""),"",A333+IF(AND(Config!$B$17="Sim",LEFT(D333,17)="Cartão de crédito"),1,IFERROR(INDEX(Config!$C$12:$C$15,MATCH(IF(AND(D333="Cartão de crédito",N(E333)&gt;1),"Cartão de crédito parcelado",D333),Config!$A$12:$A$15,0)),0)))</f>
        <v/>
      </c>
      <c r="M333" s="37">
        <f>IF(L333="","",IF(AND(Config!$B$17="Sim",LEFT(D333,17)="Cartão de crédito"),L333,L333+30*(MAX(1,N(E333))-1)))</f>
        <v/>
      </c>
      <c r="N333" s="29">
        <f>IF(OR(L333="",K333=""),"",K333*MIN(MAX(1,N(E333)),MAX(0,INT((Config!$B$8-L333)/30)+1)))</f>
        <v/>
      </c>
      <c r="O333" s="29">
        <f>IF(J333="","",J333-N(N333))</f>
        <v/>
      </c>
      <c r="P333" s="27">
        <f>IF(A333="","",MONTH(A333))</f>
        <v/>
      </c>
      <c r="Q333" s="27">
        <f>IF(A333="","",YEAR(A333))</f>
        <v/>
      </c>
      <c r="R333" s="27">
        <f>IF(L333="","",IF(L333&gt;Config!$B$8,"A cair",IF(N(G333)&gt;=MIN(MAX(1,N(E333)),MAX(0,INT((Config!$B$8-L333)/30)+1)),IF(N(G333)&gt;=MAX(1,N(E333)),"Conferido","Conferido até aqui"),"A conferir")))</f>
        <v/>
      </c>
      <c r="S333" s="51">
        <f>IF(R333="A conferir",(Config!$B$8-L333)*1000+N(F333)/1000+ROW()/100000,0)</f>
        <v>0</v>
      </c>
      <c r="T333" s="51">
        <f>IF(R333="A conferir",N(N333),0)</f>
        <v>0</v>
      </c>
      <c r="U333" s="51">
        <f>IF(L333="",0,L333)</f>
        <v>0</v>
      </c>
      <c r="V333" s="51">
        <f>IF(L333="",0,MAX(1,N(E333)))</f>
        <v>0</v>
      </c>
      <c r="W333" s="51">
        <f>IF(K333="",0,K333)</f>
        <v>0</v>
      </c>
    </row>
    <row r="334">
      <c r="A334" s="49" t="n"/>
      <c r="B334" s="41" t="n"/>
      <c r="C334" s="41" t="n"/>
      <c r="D334" s="42" t="n"/>
      <c r="E334" s="42" t="n"/>
      <c r="F334" s="50" t="n"/>
      <c r="G334" s="42" t="n"/>
      <c r="H334" s="30">
        <f>IF(D334="","",IFERROR(INDEX(Config!$B$12:$B$15,MATCH(IF(AND(D334="Cartão de crédito",N(E334)&gt;1),"Cartão de crédito parcelado",D334),Config!$A$12:$A$15,0)),0)+IF(AND(Config!$B$17="Sim",LEFT(D334,17)="Cartão de crédito"),Config!$B$18*IFERROR(INDEX(Config!$C$12:$C$15,MATCH(IF(AND(D334="Cartão de crédito",N(E334)&gt;1),"Cartão de crédito parcelado",D334),Config!$A$12:$A$15,0)),0)/30*MAX(1,N(E334)),0))</f>
        <v/>
      </c>
      <c r="I334" s="29">
        <f>IF(OR(D334="",F334=""),"",ROUND(F334*H334,2))</f>
        <v/>
      </c>
      <c r="J334" s="29">
        <f>IF(I334="","",F334-I334)</f>
        <v/>
      </c>
      <c r="K334" s="29">
        <f>IF(J334="","",J334/MAX(1,N(E334)))</f>
        <v/>
      </c>
      <c r="L334" s="37">
        <f>IF(OR(D334="",A334=""),"",A334+IF(AND(Config!$B$17="Sim",LEFT(D334,17)="Cartão de crédito"),1,IFERROR(INDEX(Config!$C$12:$C$15,MATCH(IF(AND(D334="Cartão de crédito",N(E334)&gt;1),"Cartão de crédito parcelado",D334),Config!$A$12:$A$15,0)),0)))</f>
        <v/>
      </c>
      <c r="M334" s="37">
        <f>IF(L334="","",IF(AND(Config!$B$17="Sim",LEFT(D334,17)="Cartão de crédito"),L334,L334+30*(MAX(1,N(E334))-1)))</f>
        <v/>
      </c>
      <c r="N334" s="29">
        <f>IF(OR(L334="",K334=""),"",K334*MIN(MAX(1,N(E334)),MAX(0,INT((Config!$B$8-L334)/30)+1)))</f>
        <v/>
      </c>
      <c r="O334" s="29">
        <f>IF(J334="","",J334-N(N334))</f>
        <v/>
      </c>
      <c r="P334" s="27">
        <f>IF(A334="","",MONTH(A334))</f>
        <v/>
      </c>
      <c r="Q334" s="27">
        <f>IF(A334="","",YEAR(A334))</f>
        <v/>
      </c>
      <c r="R334" s="27">
        <f>IF(L334="","",IF(L334&gt;Config!$B$8,"A cair",IF(N(G334)&gt;=MIN(MAX(1,N(E334)),MAX(0,INT((Config!$B$8-L334)/30)+1)),IF(N(G334)&gt;=MAX(1,N(E334)),"Conferido","Conferido até aqui"),"A conferir")))</f>
        <v/>
      </c>
      <c r="S334" s="51">
        <f>IF(R334="A conferir",(Config!$B$8-L334)*1000+N(F334)/1000+ROW()/100000,0)</f>
        <v>0</v>
      </c>
      <c r="T334" s="51">
        <f>IF(R334="A conferir",N(N334),0)</f>
        <v>0</v>
      </c>
      <c r="U334" s="51">
        <f>IF(L334="",0,L334)</f>
        <v>0</v>
      </c>
      <c r="V334" s="51">
        <f>IF(L334="",0,MAX(1,N(E334)))</f>
        <v>0</v>
      </c>
      <c r="W334" s="51">
        <f>IF(K334="",0,K334)</f>
        <v>0</v>
      </c>
    </row>
    <row r="335">
      <c r="A335" s="49" t="n"/>
      <c r="B335" s="41" t="n"/>
      <c r="C335" s="41" t="n"/>
      <c r="D335" s="42" t="n"/>
      <c r="E335" s="42" t="n"/>
      <c r="F335" s="50" t="n"/>
      <c r="G335" s="42" t="n"/>
      <c r="H335" s="30">
        <f>IF(D335="","",IFERROR(INDEX(Config!$B$12:$B$15,MATCH(IF(AND(D335="Cartão de crédito",N(E335)&gt;1),"Cartão de crédito parcelado",D335),Config!$A$12:$A$15,0)),0)+IF(AND(Config!$B$17="Sim",LEFT(D335,17)="Cartão de crédito"),Config!$B$18*IFERROR(INDEX(Config!$C$12:$C$15,MATCH(IF(AND(D335="Cartão de crédito",N(E335)&gt;1),"Cartão de crédito parcelado",D335),Config!$A$12:$A$15,0)),0)/30*MAX(1,N(E335)),0))</f>
        <v/>
      </c>
      <c r="I335" s="29">
        <f>IF(OR(D335="",F335=""),"",ROUND(F335*H335,2))</f>
        <v/>
      </c>
      <c r="J335" s="29">
        <f>IF(I335="","",F335-I335)</f>
        <v/>
      </c>
      <c r="K335" s="29">
        <f>IF(J335="","",J335/MAX(1,N(E335)))</f>
        <v/>
      </c>
      <c r="L335" s="37">
        <f>IF(OR(D335="",A335=""),"",A335+IF(AND(Config!$B$17="Sim",LEFT(D335,17)="Cartão de crédito"),1,IFERROR(INDEX(Config!$C$12:$C$15,MATCH(IF(AND(D335="Cartão de crédito",N(E335)&gt;1),"Cartão de crédito parcelado",D335),Config!$A$12:$A$15,0)),0)))</f>
        <v/>
      </c>
      <c r="M335" s="37">
        <f>IF(L335="","",IF(AND(Config!$B$17="Sim",LEFT(D335,17)="Cartão de crédito"),L335,L335+30*(MAX(1,N(E335))-1)))</f>
        <v/>
      </c>
      <c r="N335" s="29">
        <f>IF(OR(L335="",K335=""),"",K335*MIN(MAX(1,N(E335)),MAX(0,INT((Config!$B$8-L335)/30)+1)))</f>
        <v/>
      </c>
      <c r="O335" s="29">
        <f>IF(J335="","",J335-N(N335))</f>
        <v/>
      </c>
      <c r="P335" s="27">
        <f>IF(A335="","",MONTH(A335))</f>
        <v/>
      </c>
      <c r="Q335" s="27">
        <f>IF(A335="","",YEAR(A335))</f>
        <v/>
      </c>
      <c r="R335" s="27">
        <f>IF(L335="","",IF(L335&gt;Config!$B$8,"A cair",IF(N(G335)&gt;=MIN(MAX(1,N(E335)),MAX(0,INT((Config!$B$8-L335)/30)+1)),IF(N(G335)&gt;=MAX(1,N(E335)),"Conferido","Conferido até aqui"),"A conferir")))</f>
        <v/>
      </c>
      <c r="S335" s="51">
        <f>IF(R335="A conferir",(Config!$B$8-L335)*1000+N(F335)/1000+ROW()/100000,0)</f>
        <v>0</v>
      </c>
      <c r="T335" s="51">
        <f>IF(R335="A conferir",N(N335),0)</f>
        <v>0</v>
      </c>
      <c r="U335" s="51">
        <f>IF(L335="",0,L335)</f>
        <v>0</v>
      </c>
      <c r="V335" s="51">
        <f>IF(L335="",0,MAX(1,N(E335)))</f>
        <v>0</v>
      </c>
      <c r="W335" s="51">
        <f>IF(K335="",0,K335)</f>
        <v>0</v>
      </c>
    </row>
    <row r="336">
      <c r="A336" s="49" t="n"/>
      <c r="B336" s="41" t="n"/>
      <c r="C336" s="41" t="n"/>
      <c r="D336" s="42" t="n"/>
      <c r="E336" s="42" t="n"/>
      <c r="F336" s="50" t="n"/>
      <c r="G336" s="42" t="n"/>
      <c r="H336" s="30">
        <f>IF(D336="","",IFERROR(INDEX(Config!$B$12:$B$15,MATCH(IF(AND(D336="Cartão de crédito",N(E336)&gt;1),"Cartão de crédito parcelado",D336),Config!$A$12:$A$15,0)),0)+IF(AND(Config!$B$17="Sim",LEFT(D336,17)="Cartão de crédito"),Config!$B$18*IFERROR(INDEX(Config!$C$12:$C$15,MATCH(IF(AND(D336="Cartão de crédito",N(E336)&gt;1),"Cartão de crédito parcelado",D336),Config!$A$12:$A$15,0)),0)/30*MAX(1,N(E336)),0))</f>
        <v/>
      </c>
      <c r="I336" s="29">
        <f>IF(OR(D336="",F336=""),"",ROUND(F336*H336,2))</f>
        <v/>
      </c>
      <c r="J336" s="29">
        <f>IF(I336="","",F336-I336)</f>
        <v/>
      </c>
      <c r="K336" s="29">
        <f>IF(J336="","",J336/MAX(1,N(E336)))</f>
        <v/>
      </c>
      <c r="L336" s="37">
        <f>IF(OR(D336="",A336=""),"",A336+IF(AND(Config!$B$17="Sim",LEFT(D336,17)="Cartão de crédito"),1,IFERROR(INDEX(Config!$C$12:$C$15,MATCH(IF(AND(D336="Cartão de crédito",N(E336)&gt;1),"Cartão de crédito parcelado",D336),Config!$A$12:$A$15,0)),0)))</f>
        <v/>
      </c>
      <c r="M336" s="37">
        <f>IF(L336="","",IF(AND(Config!$B$17="Sim",LEFT(D336,17)="Cartão de crédito"),L336,L336+30*(MAX(1,N(E336))-1)))</f>
        <v/>
      </c>
      <c r="N336" s="29">
        <f>IF(OR(L336="",K336=""),"",K336*MIN(MAX(1,N(E336)),MAX(0,INT((Config!$B$8-L336)/30)+1)))</f>
        <v/>
      </c>
      <c r="O336" s="29">
        <f>IF(J336="","",J336-N(N336))</f>
        <v/>
      </c>
      <c r="P336" s="27">
        <f>IF(A336="","",MONTH(A336))</f>
        <v/>
      </c>
      <c r="Q336" s="27">
        <f>IF(A336="","",YEAR(A336))</f>
        <v/>
      </c>
      <c r="R336" s="27">
        <f>IF(L336="","",IF(L336&gt;Config!$B$8,"A cair",IF(N(G336)&gt;=MIN(MAX(1,N(E336)),MAX(0,INT((Config!$B$8-L336)/30)+1)),IF(N(G336)&gt;=MAX(1,N(E336)),"Conferido","Conferido até aqui"),"A conferir")))</f>
        <v/>
      </c>
      <c r="S336" s="51">
        <f>IF(R336="A conferir",(Config!$B$8-L336)*1000+N(F336)/1000+ROW()/100000,0)</f>
        <v>0</v>
      </c>
      <c r="T336" s="51">
        <f>IF(R336="A conferir",N(N336),0)</f>
        <v>0</v>
      </c>
      <c r="U336" s="51">
        <f>IF(L336="",0,L336)</f>
        <v>0</v>
      </c>
      <c r="V336" s="51">
        <f>IF(L336="",0,MAX(1,N(E336)))</f>
        <v>0</v>
      </c>
      <c r="W336" s="51">
        <f>IF(K336="",0,K336)</f>
        <v>0</v>
      </c>
    </row>
    <row r="337">
      <c r="A337" s="49" t="n"/>
      <c r="B337" s="41" t="n"/>
      <c r="C337" s="41" t="n"/>
      <c r="D337" s="42" t="n"/>
      <c r="E337" s="42" t="n"/>
      <c r="F337" s="50" t="n"/>
      <c r="G337" s="42" t="n"/>
      <c r="H337" s="30">
        <f>IF(D337="","",IFERROR(INDEX(Config!$B$12:$B$15,MATCH(IF(AND(D337="Cartão de crédito",N(E337)&gt;1),"Cartão de crédito parcelado",D337),Config!$A$12:$A$15,0)),0)+IF(AND(Config!$B$17="Sim",LEFT(D337,17)="Cartão de crédito"),Config!$B$18*IFERROR(INDEX(Config!$C$12:$C$15,MATCH(IF(AND(D337="Cartão de crédito",N(E337)&gt;1),"Cartão de crédito parcelado",D337),Config!$A$12:$A$15,0)),0)/30*MAX(1,N(E337)),0))</f>
        <v/>
      </c>
      <c r="I337" s="29">
        <f>IF(OR(D337="",F337=""),"",ROUND(F337*H337,2))</f>
        <v/>
      </c>
      <c r="J337" s="29">
        <f>IF(I337="","",F337-I337)</f>
        <v/>
      </c>
      <c r="K337" s="29">
        <f>IF(J337="","",J337/MAX(1,N(E337)))</f>
        <v/>
      </c>
      <c r="L337" s="37">
        <f>IF(OR(D337="",A337=""),"",A337+IF(AND(Config!$B$17="Sim",LEFT(D337,17)="Cartão de crédito"),1,IFERROR(INDEX(Config!$C$12:$C$15,MATCH(IF(AND(D337="Cartão de crédito",N(E337)&gt;1),"Cartão de crédito parcelado",D337),Config!$A$12:$A$15,0)),0)))</f>
        <v/>
      </c>
      <c r="M337" s="37">
        <f>IF(L337="","",IF(AND(Config!$B$17="Sim",LEFT(D337,17)="Cartão de crédito"),L337,L337+30*(MAX(1,N(E337))-1)))</f>
        <v/>
      </c>
      <c r="N337" s="29">
        <f>IF(OR(L337="",K337=""),"",K337*MIN(MAX(1,N(E337)),MAX(0,INT((Config!$B$8-L337)/30)+1)))</f>
        <v/>
      </c>
      <c r="O337" s="29">
        <f>IF(J337="","",J337-N(N337))</f>
        <v/>
      </c>
      <c r="P337" s="27">
        <f>IF(A337="","",MONTH(A337))</f>
        <v/>
      </c>
      <c r="Q337" s="27">
        <f>IF(A337="","",YEAR(A337))</f>
        <v/>
      </c>
      <c r="R337" s="27">
        <f>IF(L337="","",IF(L337&gt;Config!$B$8,"A cair",IF(N(G337)&gt;=MIN(MAX(1,N(E337)),MAX(0,INT((Config!$B$8-L337)/30)+1)),IF(N(G337)&gt;=MAX(1,N(E337)),"Conferido","Conferido até aqui"),"A conferir")))</f>
        <v/>
      </c>
      <c r="S337" s="51">
        <f>IF(R337="A conferir",(Config!$B$8-L337)*1000+N(F337)/1000+ROW()/100000,0)</f>
        <v>0</v>
      </c>
      <c r="T337" s="51">
        <f>IF(R337="A conferir",N(N337),0)</f>
        <v>0</v>
      </c>
      <c r="U337" s="51">
        <f>IF(L337="",0,L337)</f>
        <v>0</v>
      </c>
      <c r="V337" s="51">
        <f>IF(L337="",0,MAX(1,N(E337)))</f>
        <v>0</v>
      </c>
      <c r="W337" s="51">
        <f>IF(K337="",0,K337)</f>
        <v>0</v>
      </c>
    </row>
    <row r="338">
      <c r="A338" s="49" t="n"/>
      <c r="B338" s="41" t="n"/>
      <c r="C338" s="41" t="n"/>
      <c r="D338" s="42" t="n"/>
      <c r="E338" s="42" t="n"/>
      <c r="F338" s="50" t="n"/>
      <c r="G338" s="42" t="n"/>
      <c r="H338" s="30">
        <f>IF(D338="","",IFERROR(INDEX(Config!$B$12:$B$15,MATCH(IF(AND(D338="Cartão de crédito",N(E338)&gt;1),"Cartão de crédito parcelado",D338),Config!$A$12:$A$15,0)),0)+IF(AND(Config!$B$17="Sim",LEFT(D338,17)="Cartão de crédito"),Config!$B$18*IFERROR(INDEX(Config!$C$12:$C$15,MATCH(IF(AND(D338="Cartão de crédito",N(E338)&gt;1),"Cartão de crédito parcelado",D338),Config!$A$12:$A$15,0)),0)/30*MAX(1,N(E338)),0))</f>
        <v/>
      </c>
      <c r="I338" s="29">
        <f>IF(OR(D338="",F338=""),"",ROUND(F338*H338,2))</f>
        <v/>
      </c>
      <c r="J338" s="29">
        <f>IF(I338="","",F338-I338)</f>
        <v/>
      </c>
      <c r="K338" s="29">
        <f>IF(J338="","",J338/MAX(1,N(E338)))</f>
        <v/>
      </c>
      <c r="L338" s="37">
        <f>IF(OR(D338="",A338=""),"",A338+IF(AND(Config!$B$17="Sim",LEFT(D338,17)="Cartão de crédito"),1,IFERROR(INDEX(Config!$C$12:$C$15,MATCH(IF(AND(D338="Cartão de crédito",N(E338)&gt;1),"Cartão de crédito parcelado",D338),Config!$A$12:$A$15,0)),0)))</f>
        <v/>
      </c>
      <c r="M338" s="37">
        <f>IF(L338="","",IF(AND(Config!$B$17="Sim",LEFT(D338,17)="Cartão de crédito"),L338,L338+30*(MAX(1,N(E338))-1)))</f>
        <v/>
      </c>
      <c r="N338" s="29">
        <f>IF(OR(L338="",K338=""),"",K338*MIN(MAX(1,N(E338)),MAX(0,INT((Config!$B$8-L338)/30)+1)))</f>
        <v/>
      </c>
      <c r="O338" s="29">
        <f>IF(J338="","",J338-N(N338))</f>
        <v/>
      </c>
      <c r="P338" s="27">
        <f>IF(A338="","",MONTH(A338))</f>
        <v/>
      </c>
      <c r="Q338" s="27">
        <f>IF(A338="","",YEAR(A338))</f>
        <v/>
      </c>
      <c r="R338" s="27">
        <f>IF(L338="","",IF(L338&gt;Config!$B$8,"A cair",IF(N(G338)&gt;=MIN(MAX(1,N(E338)),MAX(0,INT((Config!$B$8-L338)/30)+1)),IF(N(G338)&gt;=MAX(1,N(E338)),"Conferido","Conferido até aqui"),"A conferir")))</f>
        <v/>
      </c>
      <c r="S338" s="51">
        <f>IF(R338="A conferir",(Config!$B$8-L338)*1000+N(F338)/1000+ROW()/100000,0)</f>
        <v>0</v>
      </c>
      <c r="T338" s="51">
        <f>IF(R338="A conferir",N(N338),0)</f>
        <v>0</v>
      </c>
      <c r="U338" s="51">
        <f>IF(L338="",0,L338)</f>
        <v>0</v>
      </c>
      <c r="V338" s="51">
        <f>IF(L338="",0,MAX(1,N(E338)))</f>
        <v>0</v>
      </c>
      <c r="W338" s="51">
        <f>IF(K338="",0,K338)</f>
        <v>0</v>
      </c>
    </row>
    <row r="339">
      <c r="A339" s="49" t="n"/>
      <c r="B339" s="41" t="n"/>
      <c r="C339" s="41" t="n"/>
      <c r="D339" s="42" t="n"/>
      <c r="E339" s="42" t="n"/>
      <c r="F339" s="50" t="n"/>
      <c r="G339" s="42" t="n"/>
      <c r="H339" s="30">
        <f>IF(D339="","",IFERROR(INDEX(Config!$B$12:$B$15,MATCH(IF(AND(D339="Cartão de crédito",N(E339)&gt;1),"Cartão de crédito parcelado",D339),Config!$A$12:$A$15,0)),0)+IF(AND(Config!$B$17="Sim",LEFT(D339,17)="Cartão de crédito"),Config!$B$18*IFERROR(INDEX(Config!$C$12:$C$15,MATCH(IF(AND(D339="Cartão de crédito",N(E339)&gt;1),"Cartão de crédito parcelado",D339),Config!$A$12:$A$15,0)),0)/30*MAX(1,N(E339)),0))</f>
        <v/>
      </c>
      <c r="I339" s="29">
        <f>IF(OR(D339="",F339=""),"",ROUND(F339*H339,2))</f>
        <v/>
      </c>
      <c r="J339" s="29">
        <f>IF(I339="","",F339-I339)</f>
        <v/>
      </c>
      <c r="K339" s="29">
        <f>IF(J339="","",J339/MAX(1,N(E339)))</f>
        <v/>
      </c>
      <c r="L339" s="37">
        <f>IF(OR(D339="",A339=""),"",A339+IF(AND(Config!$B$17="Sim",LEFT(D339,17)="Cartão de crédito"),1,IFERROR(INDEX(Config!$C$12:$C$15,MATCH(IF(AND(D339="Cartão de crédito",N(E339)&gt;1),"Cartão de crédito parcelado",D339),Config!$A$12:$A$15,0)),0)))</f>
        <v/>
      </c>
      <c r="M339" s="37">
        <f>IF(L339="","",IF(AND(Config!$B$17="Sim",LEFT(D339,17)="Cartão de crédito"),L339,L339+30*(MAX(1,N(E339))-1)))</f>
        <v/>
      </c>
      <c r="N339" s="29">
        <f>IF(OR(L339="",K339=""),"",K339*MIN(MAX(1,N(E339)),MAX(0,INT((Config!$B$8-L339)/30)+1)))</f>
        <v/>
      </c>
      <c r="O339" s="29">
        <f>IF(J339="","",J339-N(N339))</f>
        <v/>
      </c>
      <c r="P339" s="27">
        <f>IF(A339="","",MONTH(A339))</f>
        <v/>
      </c>
      <c r="Q339" s="27">
        <f>IF(A339="","",YEAR(A339))</f>
        <v/>
      </c>
      <c r="R339" s="27">
        <f>IF(L339="","",IF(L339&gt;Config!$B$8,"A cair",IF(N(G339)&gt;=MIN(MAX(1,N(E339)),MAX(0,INT((Config!$B$8-L339)/30)+1)),IF(N(G339)&gt;=MAX(1,N(E339)),"Conferido","Conferido até aqui"),"A conferir")))</f>
        <v/>
      </c>
      <c r="S339" s="51">
        <f>IF(R339="A conferir",(Config!$B$8-L339)*1000+N(F339)/1000+ROW()/100000,0)</f>
        <v>0</v>
      </c>
      <c r="T339" s="51">
        <f>IF(R339="A conferir",N(N339),0)</f>
        <v>0</v>
      </c>
      <c r="U339" s="51">
        <f>IF(L339="",0,L339)</f>
        <v>0</v>
      </c>
      <c r="V339" s="51">
        <f>IF(L339="",0,MAX(1,N(E339)))</f>
        <v>0</v>
      </c>
      <c r="W339" s="51">
        <f>IF(K339="",0,K339)</f>
        <v>0</v>
      </c>
    </row>
    <row r="340">
      <c r="A340" s="49" t="n"/>
      <c r="B340" s="41" t="n"/>
      <c r="C340" s="41" t="n"/>
      <c r="D340" s="42" t="n"/>
      <c r="E340" s="42" t="n"/>
      <c r="F340" s="50" t="n"/>
      <c r="G340" s="42" t="n"/>
      <c r="H340" s="30">
        <f>IF(D340="","",IFERROR(INDEX(Config!$B$12:$B$15,MATCH(IF(AND(D340="Cartão de crédito",N(E340)&gt;1),"Cartão de crédito parcelado",D340),Config!$A$12:$A$15,0)),0)+IF(AND(Config!$B$17="Sim",LEFT(D340,17)="Cartão de crédito"),Config!$B$18*IFERROR(INDEX(Config!$C$12:$C$15,MATCH(IF(AND(D340="Cartão de crédito",N(E340)&gt;1),"Cartão de crédito parcelado",D340),Config!$A$12:$A$15,0)),0)/30*MAX(1,N(E340)),0))</f>
        <v/>
      </c>
      <c r="I340" s="29">
        <f>IF(OR(D340="",F340=""),"",ROUND(F340*H340,2))</f>
        <v/>
      </c>
      <c r="J340" s="29">
        <f>IF(I340="","",F340-I340)</f>
        <v/>
      </c>
      <c r="K340" s="29">
        <f>IF(J340="","",J340/MAX(1,N(E340)))</f>
        <v/>
      </c>
      <c r="L340" s="37">
        <f>IF(OR(D340="",A340=""),"",A340+IF(AND(Config!$B$17="Sim",LEFT(D340,17)="Cartão de crédito"),1,IFERROR(INDEX(Config!$C$12:$C$15,MATCH(IF(AND(D340="Cartão de crédito",N(E340)&gt;1),"Cartão de crédito parcelado",D340),Config!$A$12:$A$15,0)),0)))</f>
        <v/>
      </c>
      <c r="M340" s="37">
        <f>IF(L340="","",IF(AND(Config!$B$17="Sim",LEFT(D340,17)="Cartão de crédito"),L340,L340+30*(MAX(1,N(E340))-1)))</f>
        <v/>
      </c>
      <c r="N340" s="29">
        <f>IF(OR(L340="",K340=""),"",K340*MIN(MAX(1,N(E340)),MAX(0,INT((Config!$B$8-L340)/30)+1)))</f>
        <v/>
      </c>
      <c r="O340" s="29">
        <f>IF(J340="","",J340-N(N340))</f>
        <v/>
      </c>
      <c r="P340" s="27">
        <f>IF(A340="","",MONTH(A340))</f>
        <v/>
      </c>
      <c r="Q340" s="27">
        <f>IF(A340="","",YEAR(A340))</f>
        <v/>
      </c>
      <c r="R340" s="27">
        <f>IF(L340="","",IF(L340&gt;Config!$B$8,"A cair",IF(N(G340)&gt;=MIN(MAX(1,N(E340)),MAX(0,INT((Config!$B$8-L340)/30)+1)),IF(N(G340)&gt;=MAX(1,N(E340)),"Conferido","Conferido até aqui"),"A conferir")))</f>
        <v/>
      </c>
      <c r="S340" s="51">
        <f>IF(R340="A conferir",(Config!$B$8-L340)*1000+N(F340)/1000+ROW()/100000,0)</f>
        <v>0</v>
      </c>
      <c r="T340" s="51">
        <f>IF(R340="A conferir",N(N340),0)</f>
        <v>0</v>
      </c>
      <c r="U340" s="51">
        <f>IF(L340="",0,L340)</f>
        <v>0</v>
      </c>
      <c r="V340" s="51">
        <f>IF(L340="",0,MAX(1,N(E340)))</f>
        <v>0</v>
      </c>
      <c r="W340" s="51">
        <f>IF(K340="",0,K340)</f>
        <v>0</v>
      </c>
    </row>
    <row r="341">
      <c r="A341" s="49" t="n"/>
      <c r="B341" s="41" t="n"/>
      <c r="C341" s="41" t="n"/>
      <c r="D341" s="42" t="n"/>
      <c r="E341" s="42" t="n"/>
      <c r="F341" s="50" t="n"/>
      <c r="G341" s="42" t="n"/>
      <c r="H341" s="30">
        <f>IF(D341="","",IFERROR(INDEX(Config!$B$12:$B$15,MATCH(IF(AND(D341="Cartão de crédito",N(E341)&gt;1),"Cartão de crédito parcelado",D341),Config!$A$12:$A$15,0)),0)+IF(AND(Config!$B$17="Sim",LEFT(D341,17)="Cartão de crédito"),Config!$B$18*IFERROR(INDEX(Config!$C$12:$C$15,MATCH(IF(AND(D341="Cartão de crédito",N(E341)&gt;1),"Cartão de crédito parcelado",D341),Config!$A$12:$A$15,0)),0)/30*MAX(1,N(E341)),0))</f>
        <v/>
      </c>
      <c r="I341" s="29">
        <f>IF(OR(D341="",F341=""),"",ROUND(F341*H341,2))</f>
        <v/>
      </c>
      <c r="J341" s="29">
        <f>IF(I341="","",F341-I341)</f>
        <v/>
      </c>
      <c r="K341" s="29">
        <f>IF(J341="","",J341/MAX(1,N(E341)))</f>
        <v/>
      </c>
      <c r="L341" s="37">
        <f>IF(OR(D341="",A341=""),"",A341+IF(AND(Config!$B$17="Sim",LEFT(D341,17)="Cartão de crédito"),1,IFERROR(INDEX(Config!$C$12:$C$15,MATCH(IF(AND(D341="Cartão de crédito",N(E341)&gt;1),"Cartão de crédito parcelado",D341),Config!$A$12:$A$15,0)),0)))</f>
        <v/>
      </c>
      <c r="M341" s="37">
        <f>IF(L341="","",IF(AND(Config!$B$17="Sim",LEFT(D341,17)="Cartão de crédito"),L341,L341+30*(MAX(1,N(E341))-1)))</f>
        <v/>
      </c>
      <c r="N341" s="29">
        <f>IF(OR(L341="",K341=""),"",K341*MIN(MAX(1,N(E341)),MAX(0,INT((Config!$B$8-L341)/30)+1)))</f>
        <v/>
      </c>
      <c r="O341" s="29">
        <f>IF(J341="","",J341-N(N341))</f>
        <v/>
      </c>
      <c r="P341" s="27">
        <f>IF(A341="","",MONTH(A341))</f>
        <v/>
      </c>
      <c r="Q341" s="27">
        <f>IF(A341="","",YEAR(A341))</f>
        <v/>
      </c>
      <c r="R341" s="27">
        <f>IF(L341="","",IF(L341&gt;Config!$B$8,"A cair",IF(N(G341)&gt;=MIN(MAX(1,N(E341)),MAX(0,INT((Config!$B$8-L341)/30)+1)),IF(N(G341)&gt;=MAX(1,N(E341)),"Conferido","Conferido até aqui"),"A conferir")))</f>
        <v/>
      </c>
      <c r="S341" s="51">
        <f>IF(R341="A conferir",(Config!$B$8-L341)*1000+N(F341)/1000+ROW()/100000,0)</f>
        <v>0</v>
      </c>
      <c r="T341" s="51">
        <f>IF(R341="A conferir",N(N341),0)</f>
        <v>0</v>
      </c>
      <c r="U341" s="51">
        <f>IF(L341="",0,L341)</f>
        <v>0</v>
      </c>
      <c r="V341" s="51">
        <f>IF(L341="",0,MAX(1,N(E341)))</f>
        <v>0</v>
      </c>
      <c r="W341" s="51">
        <f>IF(K341="",0,K341)</f>
        <v>0</v>
      </c>
    </row>
    <row r="342">
      <c r="A342" s="49" t="n"/>
      <c r="B342" s="41" t="n"/>
      <c r="C342" s="41" t="n"/>
      <c r="D342" s="42" t="n"/>
      <c r="E342" s="42" t="n"/>
      <c r="F342" s="50" t="n"/>
      <c r="G342" s="42" t="n"/>
      <c r="H342" s="30">
        <f>IF(D342="","",IFERROR(INDEX(Config!$B$12:$B$15,MATCH(IF(AND(D342="Cartão de crédito",N(E342)&gt;1),"Cartão de crédito parcelado",D342),Config!$A$12:$A$15,0)),0)+IF(AND(Config!$B$17="Sim",LEFT(D342,17)="Cartão de crédito"),Config!$B$18*IFERROR(INDEX(Config!$C$12:$C$15,MATCH(IF(AND(D342="Cartão de crédito",N(E342)&gt;1),"Cartão de crédito parcelado",D342),Config!$A$12:$A$15,0)),0)/30*MAX(1,N(E342)),0))</f>
        <v/>
      </c>
      <c r="I342" s="29">
        <f>IF(OR(D342="",F342=""),"",ROUND(F342*H342,2))</f>
        <v/>
      </c>
      <c r="J342" s="29">
        <f>IF(I342="","",F342-I342)</f>
        <v/>
      </c>
      <c r="K342" s="29">
        <f>IF(J342="","",J342/MAX(1,N(E342)))</f>
        <v/>
      </c>
      <c r="L342" s="37">
        <f>IF(OR(D342="",A342=""),"",A342+IF(AND(Config!$B$17="Sim",LEFT(D342,17)="Cartão de crédito"),1,IFERROR(INDEX(Config!$C$12:$C$15,MATCH(IF(AND(D342="Cartão de crédito",N(E342)&gt;1),"Cartão de crédito parcelado",D342),Config!$A$12:$A$15,0)),0)))</f>
        <v/>
      </c>
      <c r="M342" s="37">
        <f>IF(L342="","",IF(AND(Config!$B$17="Sim",LEFT(D342,17)="Cartão de crédito"),L342,L342+30*(MAX(1,N(E342))-1)))</f>
        <v/>
      </c>
      <c r="N342" s="29">
        <f>IF(OR(L342="",K342=""),"",K342*MIN(MAX(1,N(E342)),MAX(0,INT((Config!$B$8-L342)/30)+1)))</f>
        <v/>
      </c>
      <c r="O342" s="29">
        <f>IF(J342="","",J342-N(N342))</f>
        <v/>
      </c>
      <c r="P342" s="27">
        <f>IF(A342="","",MONTH(A342))</f>
        <v/>
      </c>
      <c r="Q342" s="27">
        <f>IF(A342="","",YEAR(A342))</f>
        <v/>
      </c>
      <c r="R342" s="27">
        <f>IF(L342="","",IF(L342&gt;Config!$B$8,"A cair",IF(N(G342)&gt;=MIN(MAX(1,N(E342)),MAX(0,INT((Config!$B$8-L342)/30)+1)),IF(N(G342)&gt;=MAX(1,N(E342)),"Conferido","Conferido até aqui"),"A conferir")))</f>
        <v/>
      </c>
      <c r="S342" s="51">
        <f>IF(R342="A conferir",(Config!$B$8-L342)*1000+N(F342)/1000+ROW()/100000,0)</f>
        <v>0</v>
      </c>
      <c r="T342" s="51">
        <f>IF(R342="A conferir",N(N342),0)</f>
        <v>0</v>
      </c>
      <c r="U342" s="51">
        <f>IF(L342="",0,L342)</f>
        <v>0</v>
      </c>
      <c r="V342" s="51">
        <f>IF(L342="",0,MAX(1,N(E342)))</f>
        <v>0</v>
      </c>
      <c r="W342" s="51">
        <f>IF(K342="",0,K342)</f>
        <v>0</v>
      </c>
    </row>
    <row r="343">
      <c r="A343" s="49" t="n"/>
      <c r="B343" s="41" t="n"/>
      <c r="C343" s="41" t="n"/>
      <c r="D343" s="42" t="n"/>
      <c r="E343" s="42" t="n"/>
      <c r="F343" s="50" t="n"/>
      <c r="G343" s="42" t="n"/>
      <c r="H343" s="30">
        <f>IF(D343="","",IFERROR(INDEX(Config!$B$12:$B$15,MATCH(IF(AND(D343="Cartão de crédito",N(E343)&gt;1),"Cartão de crédito parcelado",D343),Config!$A$12:$A$15,0)),0)+IF(AND(Config!$B$17="Sim",LEFT(D343,17)="Cartão de crédito"),Config!$B$18*IFERROR(INDEX(Config!$C$12:$C$15,MATCH(IF(AND(D343="Cartão de crédito",N(E343)&gt;1),"Cartão de crédito parcelado",D343),Config!$A$12:$A$15,0)),0)/30*MAX(1,N(E343)),0))</f>
        <v/>
      </c>
      <c r="I343" s="29">
        <f>IF(OR(D343="",F343=""),"",ROUND(F343*H343,2))</f>
        <v/>
      </c>
      <c r="J343" s="29">
        <f>IF(I343="","",F343-I343)</f>
        <v/>
      </c>
      <c r="K343" s="29">
        <f>IF(J343="","",J343/MAX(1,N(E343)))</f>
        <v/>
      </c>
      <c r="L343" s="37">
        <f>IF(OR(D343="",A343=""),"",A343+IF(AND(Config!$B$17="Sim",LEFT(D343,17)="Cartão de crédito"),1,IFERROR(INDEX(Config!$C$12:$C$15,MATCH(IF(AND(D343="Cartão de crédito",N(E343)&gt;1),"Cartão de crédito parcelado",D343),Config!$A$12:$A$15,0)),0)))</f>
        <v/>
      </c>
      <c r="M343" s="37">
        <f>IF(L343="","",IF(AND(Config!$B$17="Sim",LEFT(D343,17)="Cartão de crédito"),L343,L343+30*(MAX(1,N(E343))-1)))</f>
        <v/>
      </c>
      <c r="N343" s="29">
        <f>IF(OR(L343="",K343=""),"",K343*MIN(MAX(1,N(E343)),MAX(0,INT((Config!$B$8-L343)/30)+1)))</f>
        <v/>
      </c>
      <c r="O343" s="29">
        <f>IF(J343="","",J343-N(N343))</f>
        <v/>
      </c>
      <c r="P343" s="27">
        <f>IF(A343="","",MONTH(A343))</f>
        <v/>
      </c>
      <c r="Q343" s="27">
        <f>IF(A343="","",YEAR(A343))</f>
        <v/>
      </c>
      <c r="R343" s="27">
        <f>IF(L343="","",IF(L343&gt;Config!$B$8,"A cair",IF(N(G343)&gt;=MIN(MAX(1,N(E343)),MAX(0,INT((Config!$B$8-L343)/30)+1)),IF(N(G343)&gt;=MAX(1,N(E343)),"Conferido","Conferido até aqui"),"A conferir")))</f>
        <v/>
      </c>
      <c r="S343" s="51">
        <f>IF(R343="A conferir",(Config!$B$8-L343)*1000+N(F343)/1000+ROW()/100000,0)</f>
        <v>0</v>
      </c>
      <c r="T343" s="51">
        <f>IF(R343="A conferir",N(N343),0)</f>
        <v>0</v>
      </c>
      <c r="U343" s="51">
        <f>IF(L343="",0,L343)</f>
        <v>0</v>
      </c>
      <c r="V343" s="51">
        <f>IF(L343="",0,MAX(1,N(E343)))</f>
        <v>0</v>
      </c>
      <c r="W343" s="51">
        <f>IF(K343="",0,K343)</f>
        <v>0</v>
      </c>
    </row>
    <row r="344">
      <c r="A344" s="49" t="n"/>
      <c r="B344" s="41" t="n"/>
      <c r="C344" s="41" t="n"/>
      <c r="D344" s="42" t="n"/>
      <c r="E344" s="42" t="n"/>
      <c r="F344" s="50" t="n"/>
      <c r="G344" s="42" t="n"/>
      <c r="H344" s="30">
        <f>IF(D344="","",IFERROR(INDEX(Config!$B$12:$B$15,MATCH(IF(AND(D344="Cartão de crédito",N(E344)&gt;1),"Cartão de crédito parcelado",D344),Config!$A$12:$A$15,0)),0)+IF(AND(Config!$B$17="Sim",LEFT(D344,17)="Cartão de crédito"),Config!$B$18*IFERROR(INDEX(Config!$C$12:$C$15,MATCH(IF(AND(D344="Cartão de crédito",N(E344)&gt;1),"Cartão de crédito parcelado",D344),Config!$A$12:$A$15,0)),0)/30*MAX(1,N(E344)),0))</f>
        <v/>
      </c>
      <c r="I344" s="29">
        <f>IF(OR(D344="",F344=""),"",ROUND(F344*H344,2))</f>
        <v/>
      </c>
      <c r="J344" s="29">
        <f>IF(I344="","",F344-I344)</f>
        <v/>
      </c>
      <c r="K344" s="29">
        <f>IF(J344="","",J344/MAX(1,N(E344)))</f>
        <v/>
      </c>
      <c r="L344" s="37">
        <f>IF(OR(D344="",A344=""),"",A344+IF(AND(Config!$B$17="Sim",LEFT(D344,17)="Cartão de crédito"),1,IFERROR(INDEX(Config!$C$12:$C$15,MATCH(IF(AND(D344="Cartão de crédito",N(E344)&gt;1),"Cartão de crédito parcelado",D344),Config!$A$12:$A$15,0)),0)))</f>
        <v/>
      </c>
      <c r="M344" s="37">
        <f>IF(L344="","",IF(AND(Config!$B$17="Sim",LEFT(D344,17)="Cartão de crédito"),L344,L344+30*(MAX(1,N(E344))-1)))</f>
        <v/>
      </c>
      <c r="N344" s="29">
        <f>IF(OR(L344="",K344=""),"",K344*MIN(MAX(1,N(E344)),MAX(0,INT((Config!$B$8-L344)/30)+1)))</f>
        <v/>
      </c>
      <c r="O344" s="29">
        <f>IF(J344="","",J344-N(N344))</f>
        <v/>
      </c>
      <c r="P344" s="27">
        <f>IF(A344="","",MONTH(A344))</f>
        <v/>
      </c>
      <c r="Q344" s="27">
        <f>IF(A344="","",YEAR(A344))</f>
        <v/>
      </c>
      <c r="R344" s="27">
        <f>IF(L344="","",IF(L344&gt;Config!$B$8,"A cair",IF(N(G344)&gt;=MIN(MAX(1,N(E344)),MAX(0,INT((Config!$B$8-L344)/30)+1)),IF(N(G344)&gt;=MAX(1,N(E344)),"Conferido","Conferido até aqui"),"A conferir")))</f>
        <v/>
      </c>
      <c r="S344" s="51">
        <f>IF(R344="A conferir",(Config!$B$8-L344)*1000+N(F344)/1000+ROW()/100000,0)</f>
        <v>0</v>
      </c>
      <c r="T344" s="51">
        <f>IF(R344="A conferir",N(N344),0)</f>
        <v>0</v>
      </c>
      <c r="U344" s="51">
        <f>IF(L344="",0,L344)</f>
        <v>0</v>
      </c>
      <c r="V344" s="51">
        <f>IF(L344="",0,MAX(1,N(E344)))</f>
        <v>0</v>
      </c>
      <c r="W344" s="51">
        <f>IF(K344="",0,K344)</f>
        <v>0</v>
      </c>
    </row>
    <row r="345">
      <c r="A345" s="49" t="n"/>
      <c r="B345" s="41" t="n"/>
      <c r="C345" s="41" t="n"/>
      <c r="D345" s="42" t="n"/>
      <c r="E345" s="42" t="n"/>
      <c r="F345" s="50" t="n"/>
      <c r="G345" s="42" t="n"/>
      <c r="H345" s="30">
        <f>IF(D345="","",IFERROR(INDEX(Config!$B$12:$B$15,MATCH(IF(AND(D345="Cartão de crédito",N(E345)&gt;1),"Cartão de crédito parcelado",D345),Config!$A$12:$A$15,0)),0)+IF(AND(Config!$B$17="Sim",LEFT(D345,17)="Cartão de crédito"),Config!$B$18*IFERROR(INDEX(Config!$C$12:$C$15,MATCH(IF(AND(D345="Cartão de crédito",N(E345)&gt;1),"Cartão de crédito parcelado",D345),Config!$A$12:$A$15,0)),0)/30*MAX(1,N(E345)),0))</f>
        <v/>
      </c>
      <c r="I345" s="29">
        <f>IF(OR(D345="",F345=""),"",ROUND(F345*H345,2))</f>
        <v/>
      </c>
      <c r="J345" s="29">
        <f>IF(I345="","",F345-I345)</f>
        <v/>
      </c>
      <c r="K345" s="29">
        <f>IF(J345="","",J345/MAX(1,N(E345)))</f>
        <v/>
      </c>
      <c r="L345" s="37">
        <f>IF(OR(D345="",A345=""),"",A345+IF(AND(Config!$B$17="Sim",LEFT(D345,17)="Cartão de crédito"),1,IFERROR(INDEX(Config!$C$12:$C$15,MATCH(IF(AND(D345="Cartão de crédito",N(E345)&gt;1),"Cartão de crédito parcelado",D345),Config!$A$12:$A$15,0)),0)))</f>
        <v/>
      </c>
      <c r="M345" s="37">
        <f>IF(L345="","",IF(AND(Config!$B$17="Sim",LEFT(D345,17)="Cartão de crédito"),L345,L345+30*(MAX(1,N(E345))-1)))</f>
        <v/>
      </c>
      <c r="N345" s="29">
        <f>IF(OR(L345="",K345=""),"",K345*MIN(MAX(1,N(E345)),MAX(0,INT((Config!$B$8-L345)/30)+1)))</f>
        <v/>
      </c>
      <c r="O345" s="29">
        <f>IF(J345="","",J345-N(N345))</f>
        <v/>
      </c>
      <c r="P345" s="27">
        <f>IF(A345="","",MONTH(A345))</f>
        <v/>
      </c>
      <c r="Q345" s="27">
        <f>IF(A345="","",YEAR(A345))</f>
        <v/>
      </c>
      <c r="R345" s="27">
        <f>IF(L345="","",IF(L345&gt;Config!$B$8,"A cair",IF(N(G345)&gt;=MIN(MAX(1,N(E345)),MAX(0,INT((Config!$B$8-L345)/30)+1)),IF(N(G345)&gt;=MAX(1,N(E345)),"Conferido","Conferido até aqui"),"A conferir")))</f>
        <v/>
      </c>
      <c r="S345" s="51">
        <f>IF(R345="A conferir",(Config!$B$8-L345)*1000+N(F345)/1000+ROW()/100000,0)</f>
        <v>0</v>
      </c>
      <c r="T345" s="51">
        <f>IF(R345="A conferir",N(N345),0)</f>
        <v>0</v>
      </c>
      <c r="U345" s="51">
        <f>IF(L345="",0,L345)</f>
        <v>0</v>
      </c>
      <c r="V345" s="51">
        <f>IF(L345="",0,MAX(1,N(E345)))</f>
        <v>0</v>
      </c>
      <c r="W345" s="51">
        <f>IF(K345="",0,K345)</f>
        <v>0</v>
      </c>
    </row>
    <row r="346">
      <c r="A346" s="49" t="n"/>
      <c r="B346" s="41" t="n"/>
      <c r="C346" s="41" t="n"/>
      <c r="D346" s="42" t="n"/>
      <c r="E346" s="42" t="n"/>
      <c r="F346" s="50" t="n"/>
      <c r="G346" s="42" t="n"/>
      <c r="H346" s="30">
        <f>IF(D346="","",IFERROR(INDEX(Config!$B$12:$B$15,MATCH(IF(AND(D346="Cartão de crédito",N(E346)&gt;1),"Cartão de crédito parcelado",D346),Config!$A$12:$A$15,0)),0)+IF(AND(Config!$B$17="Sim",LEFT(D346,17)="Cartão de crédito"),Config!$B$18*IFERROR(INDEX(Config!$C$12:$C$15,MATCH(IF(AND(D346="Cartão de crédito",N(E346)&gt;1),"Cartão de crédito parcelado",D346),Config!$A$12:$A$15,0)),0)/30*MAX(1,N(E346)),0))</f>
        <v/>
      </c>
      <c r="I346" s="29">
        <f>IF(OR(D346="",F346=""),"",ROUND(F346*H346,2))</f>
        <v/>
      </c>
      <c r="J346" s="29">
        <f>IF(I346="","",F346-I346)</f>
        <v/>
      </c>
      <c r="K346" s="29">
        <f>IF(J346="","",J346/MAX(1,N(E346)))</f>
        <v/>
      </c>
      <c r="L346" s="37">
        <f>IF(OR(D346="",A346=""),"",A346+IF(AND(Config!$B$17="Sim",LEFT(D346,17)="Cartão de crédito"),1,IFERROR(INDEX(Config!$C$12:$C$15,MATCH(IF(AND(D346="Cartão de crédito",N(E346)&gt;1),"Cartão de crédito parcelado",D346),Config!$A$12:$A$15,0)),0)))</f>
        <v/>
      </c>
      <c r="M346" s="37">
        <f>IF(L346="","",IF(AND(Config!$B$17="Sim",LEFT(D346,17)="Cartão de crédito"),L346,L346+30*(MAX(1,N(E346))-1)))</f>
        <v/>
      </c>
      <c r="N346" s="29">
        <f>IF(OR(L346="",K346=""),"",K346*MIN(MAX(1,N(E346)),MAX(0,INT((Config!$B$8-L346)/30)+1)))</f>
        <v/>
      </c>
      <c r="O346" s="29">
        <f>IF(J346="","",J346-N(N346))</f>
        <v/>
      </c>
      <c r="P346" s="27">
        <f>IF(A346="","",MONTH(A346))</f>
        <v/>
      </c>
      <c r="Q346" s="27">
        <f>IF(A346="","",YEAR(A346))</f>
        <v/>
      </c>
      <c r="R346" s="27">
        <f>IF(L346="","",IF(L346&gt;Config!$B$8,"A cair",IF(N(G346)&gt;=MIN(MAX(1,N(E346)),MAX(0,INT((Config!$B$8-L346)/30)+1)),IF(N(G346)&gt;=MAX(1,N(E346)),"Conferido","Conferido até aqui"),"A conferir")))</f>
        <v/>
      </c>
      <c r="S346" s="51">
        <f>IF(R346="A conferir",(Config!$B$8-L346)*1000+N(F346)/1000+ROW()/100000,0)</f>
        <v>0</v>
      </c>
      <c r="T346" s="51">
        <f>IF(R346="A conferir",N(N346),0)</f>
        <v>0</v>
      </c>
      <c r="U346" s="51">
        <f>IF(L346="",0,L346)</f>
        <v>0</v>
      </c>
      <c r="V346" s="51">
        <f>IF(L346="",0,MAX(1,N(E346)))</f>
        <v>0</v>
      </c>
      <c r="W346" s="51">
        <f>IF(K346="",0,K346)</f>
        <v>0</v>
      </c>
    </row>
    <row r="347">
      <c r="A347" s="49" t="n"/>
      <c r="B347" s="41" t="n"/>
      <c r="C347" s="41" t="n"/>
      <c r="D347" s="42" t="n"/>
      <c r="E347" s="42" t="n"/>
      <c r="F347" s="50" t="n"/>
      <c r="G347" s="42" t="n"/>
      <c r="H347" s="30">
        <f>IF(D347="","",IFERROR(INDEX(Config!$B$12:$B$15,MATCH(IF(AND(D347="Cartão de crédito",N(E347)&gt;1),"Cartão de crédito parcelado",D347),Config!$A$12:$A$15,0)),0)+IF(AND(Config!$B$17="Sim",LEFT(D347,17)="Cartão de crédito"),Config!$B$18*IFERROR(INDEX(Config!$C$12:$C$15,MATCH(IF(AND(D347="Cartão de crédito",N(E347)&gt;1),"Cartão de crédito parcelado",D347),Config!$A$12:$A$15,0)),0)/30*MAX(1,N(E347)),0))</f>
        <v/>
      </c>
      <c r="I347" s="29">
        <f>IF(OR(D347="",F347=""),"",ROUND(F347*H347,2))</f>
        <v/>
      </c>
      <c r="J347" s="29">
        <f>IF(I347="","",F347-I347)</f>
        <v/>
      </c>
      <c r="K347" s="29">
        <f>IF(J347="","",J347/MAX(1,N(E347)))</f>
        <v/>
      </c>
      <c r="L347" s="37">
        <f>IF(OR(D347="",A347=""),"",A347+IF(AND(Config!$B$17="Sim",LEFT(D347,17)="Cartão de crédito"),1,IFERROR(INDEX(Config!$C$12:$C$15,MATCH(IF(AND(D347="Cartão de crédito",N(E347)&gt;1),"Cartão de crédito parcelado",D347),Config!$A$12:$A$15,0)),0)))</f>
        <v/>
      </c>
      <c r="M347" s="37">
        <f>IF(L347="","",IF(AND(Config!$B$17="Sim",LEFT(D347,17)="Cartão de crédito"),L347,L347+30*(MAX(1,N(E347))-1)))</f>
        <v/>
      </c>
      <c r="N347" s="29">
        <f>IF(OR(L347="",K347=""),"",K347*MIN(MAX(1,N(E347)),MAX(0,INT((Config!$B$8-L347)/30)+1)))</f>
        <v/>
      </c>
      <c r="O347" s="29">
        <f>IF(J347="","",J347-N(N347))</f>
        <v/>
      </c>
      <c r="P347" s="27">
        <f>IF(A347="","",MONTH(A347))</f>
        <v/>
      </c>
      <c r="Q347" s="27">
        <f>IF(A347="","",YEAR(A347))</f>
        <v/>
      </c>
      <c r="R347" s="27">
        <f>IF(L347="","",IF(L347&gt;Config!$B$8,"A cair",IF(N(G347)&gt;=MIN(MAX(1,N(E347)),MAX(0,INT((Config!$B$8-L347)/30)+1)),IF(N(G347)&gt;=MAX(1,N(E347)),"Conferido","Conferido até aqui"),"A conferir")))</f>
        <v/>
      </c>
      <c r="S347" s="51">
        <f>IF(R347="A conferir",(Config!$B$8-L347)*1000+N(F347)/1000+ROW()/100000,0)</f>
        <v>0</v>
      </c>
      <c r="T347" s="51">
        <f>IF(R347="A conferir",N(N347),0)</f>
        <v>0</v>
      </c>
      <c r="U347" s="51">
        <f>IF(L347="",0,L347)</f>
        <v>0</v>
      </c>
      <c r="V347" s="51">
        <f>IF(L347="",0,MAX(1,N(E347)))</f>
        <v>0</v>
      </c>
      <c r="W347" s="51">
        <f>IF(K347="",0,K347)</f>
        <v>0</v>
      </c>
    </row>
    <row r="348">
      <c r="A348" s="49" t="n"/>
      <c r="B348" s="41" t="n"/>
      <c r="C348" s="41" t="n"/>
      <c r="D348" s="42" t="n"/>
      <c r="E348" s="42" t="n"/>
      <c r="F348" s="50" t="n"/>
      <c r="G348" s="42" t="n"/>
      <c r="H348" s="30">
        <f>IF(D348="","",IFERROR(INDEX(Config!$B$12:$B$15,MATCH(IF(AND(D348="Cartão de crédito",N(E348)&gt;1),"Cartão de crédito parcelado",D348),Config!$A$12:$A$15,0)),0)+IF(AND(Config!$B$17="Sim",LEFT(D348,17)="Cartão de crédito"),Config!$B$18*IFERROR(INDEX(Config!$C$12:$C$15,MATCH(IF(AND(D348="Cartão de crédito",N(E348)&gt;1),"Cartão de crédito parcelado",D348),Config!$A$12:$A$15,0)),0)/30*MAX(1,N(E348)),0))</f>
        <v/>
      </c>
      <c r="I348" s="29">
        <f>IF(OR(D348="",F348=""),"",ROUND(F348*H348,2))</f>
        <v/>
      </c>
      <c r="J348" s="29">
        <f>IF(I348="","",F348-I348)</f>
        <v/>
      </c>
      <c r="K348" s="29">
        <f>IF(J348="","",J348/MAX(1,N(E348)))</f>
        <v/>
      </c>
      <c r="L348" s="37">
        <f>IF(OR(D348="",A348=""),"",A348+IF(AND(Config!$B$17="Sim",LEFT(D348,17)="Cartão de crédito"),1,IFERROR(INDEX(Config!$C$12:$C$15,MATCH(IF(AND(D348="Cartão de crédito",N(E348)&gt;1),"Cartão de crédito parcelado",D348),Config!$A$12:$A$15,0)),0)))</f>
        <v/>
      </c>
      <c r="M348" s="37">
        <f>IF(L348="","",IF(AND(Config!$B$17="Sim",LEFT(D348,17)="Cartão de crédito"),L348,L348+30*(MAX(1,N(E348))-1)))</f>
        <v/>
      </c>
      <c r="N348" s="29">
        <f>IF(OR(L348="",K348=""),"",K348*MIN(MAX(1,N(E348)),MAX(0,INT((Config!$B$8-L348)/30)+1)))</f>
        <v/>
      </c>
      <c r="O348" s="29">
        <f>IF(J348="","",J348-N(N348))</f>
        <v/>
      </c>
      <c r="P348" s="27">
        <f>IF(A348="","",MONTH(A348))</f>
        <v/>
      </c>
      <c r="Q348" s="27">
        <f>IF(A348="","",YEAR(A348))</f>
        <v/>
      </c>
      <c r="R348" s="27">
        <f>IF(L348="","",IF(L348&gt;Config!$B$8,"A cair",IF(N(G348)&gt;=MIN(MAX(1,N(E348)),MAX(0,INT((Config!$B$8-L348)/30)+1)),IF(N(G348)&gt;=MAX(1,N(E348)),"Conferido","Conferido até aqui"),"A conferir")))</f>
        <v/>
      </c>
      <c r="S348" s="51">
        <f>IF(R348="A conferir",(Config!$B$8-L348)*1000+N(F348)/1000+ROW()/100000,0)</f>
        <v>0</v>
      </c>
      <c r="T348" s="51">
        <f>IF(R348="A conferir",N(N348),0)</f>
        <v>0</v>
      </c>
      <c r="U348" s="51">
        <f>IF(L348="",0,L348)</f>
        <v>0</v>
      </c>
      <c r="V348" s="51">
        <f>IF(L348="",0,MAX(1,N(E348)))</f>
        <v>0</v>
      </c>
      <c r="W348" s="51">
        <f>IF(K348="",0,K348)</f>
        <v>0</v>
      </c>
    </row>
    <row r="349">
      <c r="A349" s="49" t="n"/>
      <c r="B349" s="41" t="n"/>
      <c r="C349" s="41" t="n"/>
      <c r="D349" s="42" t="n"/>
      <c r="E349" s="42" t="n"/>
      <c r="F349" s="50" t="n"/>
      <c r="G349" s="42" t="n"/>
      <c r="H349" s="30">
        <f>IF(D349="","",IFERROR(INDEX(Config!$B$12:$B$15,MATCH(IF(AND(D349="Cartão de crédito",N(E349)&gt;1),"Cartão de crédito parcelado",D349),Config!$A$12:$A$15,0)),0)+IF(AND(Config!$B$17="Sim",LEFT(D349,17)="Cartão de crédito"),Config!$B$18*IFERROR(INDEX(Config!$C$12:$C$15,MATCH(IF(AND(D349="Cartão de crédito",N(E349)&gt;1),"Cartão de crédito parcelado",D349),Config!$A$12:$A$15,0)),0)/30*MAX(1,N(E349)),0))</f>
        <v/>
      </c>
      <c r="I349" s="29">
        <f>IF(OR(D349="",F349=""),"",ROUND(F349*H349,2))</f>
        <v/>
      </c>
      <c r="J349" s="29">
        <f>IF(I349="","",F349-I349)</f>
        <v/>
      </c>
      <c r="K349" s="29">
        <f>IF(J349="","",J349/MAX(1,N(E349)))</f>
        <v/>
      </c>
      <c r="L349" s="37">
        <f>IF(OR(D349="",A349=""),"",A349+IF(AND(Config!$B$17="Sim",LEFT(D349,17)="Cartão de crédito"),1,IFERROR(INDEX(Config!$C$12:$C$15,MATCH(IF(AND(D349="Cartão de crédito",N(E349)&gt;1),"Cartão de crédito parcelado",D349),Config!$A$12:$A$15,0)),0)))</f>
        <v/>
      </c>
      <c r="M349" s="37">
        <f>IF(L349="","",IF(AND(Config!$B$17="Sim",LEFT(D349,17)="Cartão de crédito"),L349,L349+30*(MAX(1,N(E349))-1)))</f>
        <v/>
      </c>
      <c r="N349" s="29">
        <f>IF(OR(L349="",K349=""),"",K349*MIN(MAX(1,N(E349)),MAX(0,INT((Config!$B$8-L349)/30)+1)))</f>
        <v/>
      </c>
      <c r="O349" s="29">
        <f>IF(J349="","",J349-N(N349))</f>
        <v/>
      </c>
      <c r="P349" s="27">
        <f>IF(A349="","",MONTH(A349))</f>
        <v/>
      </c>
      <c r="Q349" s="27">
        <f>IF(A349="","",YEAR(A349))</f>
        <v/>
      </c>
      <c r="R349" s="27">
        <f>IF(L349="","",IF(L349&gt;Config!$B$8,"A cair",IF(N(G349)&gt;=MIN(MAX(1,N(E349)),MAX(0,INT((Config!$B$8-L349)/30)+1)),IF(N(G349)&gt;=MAX(1,N(E349)),"Conferido","Conferido até aqui"),"A conferir")))</f>
        <v/>
      </c>
      <c r="S349" s="51">
        <f>IF(R349="A conferir",(Config!$B$8-L349)*1000+N(F349)/1000+ROW()/100000,0)</f>
        <v>0</v>
      </c>
      <c r="T349" s="51">
        <f>IF(R349="A conferir",N(N349),0)</f>
        <v>0</v>
      </c>
      <c r="U349" s="51">
        <f>IF(L349="",0,L349)</f>
        <v>0</v>
      </c>
      <c r="V349" s="51">
        <f>IF(L349="",0,MAX(1,N(E349)))</f>
        <v>0</v>
      </c>
      <c r="W349" s="51">
        <f>IF(K349="",0,K349)</f>
        <v>0</v>
      </c>
    </row>
    <row r="350">
      <c r="A350" s="49" t="n"/>
      <c r="B350" s="41" t="n"/>
      <c r="C350" s="41" t="n"/>
      <c r="D350" s="42" t="n"/>
      <c r="E350" s="42" t="n"/>
      <c r="F350" s="50" t="n"/>
      <c r="G350" s="42" t="n"/>
      <c r="H350" s="30">
        <f>IF(D350="","",IFERROR(INDEX(Config!$B$12:$B$15,MATCH(IF(AND(D350="Cartão de crédito",N(E350)&gt;1),"Cartão de crédito parcelado",D350),Config!$A$12:$A$15,0)),0)+IF(AND(Config!$B$17="Sim",LEFT(D350,17)="Cartão de crédito"),Config!$B$18*IFERROR(INDEX(Config!$C$12:$C$15,MATCH(IF(AND(D350="Cartão de crédito",N(E350)&gt;1),"Cartão de crédito parcelado",D350),Config!$A$12:$A$15,0)),0)/30*MAX(1,N(E350)),0))</f>
        <v/>
      </c>
      <c r="I350" s="29">
        <f>IF(OR(D350="",F350=""),"",ROUND(F350*H350,2))</f>
        <v/>
      </c>
      <c r="J350" s="29">
        <f>IF(I350="","",F350-I350)</f>
        <v/>
      </c>
      <c r="K350" s="29">
        <f>IF(J350="","",J350/MAX(1,N(E350)))</f>
        <v/>
      </c>
      <c r="L350" s="37">
        <f>IF(OR(D350="",A350=""),"",A350+IF(AND(Config!$B$17="Sim",LEFT(D350,17)="Cartão de crédito"),1,IFERROR(INDEX(Config!$C$12:$C$15,MATCH(IF(AND(D350="Cartão de crédito",N(E350)&gt;1),"Cartão de crédito parcelado",D350),Config!$A$12:$A$15,0)),0)))</f>
        <v/>
      </c>
      <c r="M350" s="37">
        <f>IF(L350="","",IF(AND(Config!$B$17="Sim",LEFT(D350,17)="Cartão de crédito"),L350,L350+30*(MAX(1,N(E350))-1)))</f>
        <v/>
      </c>
      <c r="N350" s="29">
        <f>IF(OR(L350="",K350=""),"",K350*MIN(MAX(1,N(E350)),MAX(0,INT((Config!$B$8-L350)/30)+1)))</f>
        <v/>
      </c>
      <c r="O350" s="29">
        <f>IF(J350="","",J350-N(N350))</f>
        <v/>
      </c>
      <c r="P350" s="27">
        <f>IF(A350="","",MONTH(A350))</f>
        <v/>
      </c>
      <c r="Q350" s="27">
        <f>IF(A350="","",YEAR(A350))</f>
        <v/>
      </c>
      <c r="R350" s="27">
        <f>IF(L350="","",IF(L350&gt;Config!$B$8,"A cair",IF(N(G350)&gt;=MIN(MAX(1,N(E350)),MAX(0,INT((Config!$B$8-L350)/30)+1)),IF(N(G350)&gt;=MAX(1,N(E350)),"Conferido","Conferido até aqui"),"A conferir")))</f>
        <v/>
      </c>
      <c r="S350" s="51">
        <f>IF(R350="A conferir",(Config!$B$8-L350)*1000+N(F350)/1000+ROW()/100000,0)</f>
        <v>0</v>
      </c>
      <c r="T350" s="51">
        <f>IF(R350="A conferir",N(N350),0)</f>
        <v>0</v>
      </c>
      <c r="U350" s="51">
        <f>IF(L350="",0,L350)</f>
        <v>0</v>
      </c>
      <c r="V350" s="51">
        <f>IF(L350="",0,MAX(1,N(E350)))</f>
        <v>0</v>
      </c>
      <c r="W350" s="51">
        <f>IF(K350="",0,K350)</f>
        <v>0</v>
      </c>
    </row>
    <row r="351">
      <c r="A351" s="49" t="n"/>
      <c r="B351" s="41" t="n"/>
      <c r="C351" s="41" t="n"/>
      <c r="D351" s="42" t="n"/>
      <c r="E351" s="42" t="n"/>
      <c r="F351" s="50" t="n"/>
      <c r="G351" s="42" t="n"/>
      <c r="H351" s="30">
        <f>IF(D351="","",IFERROR(INDEX(Config!$B$12:$B$15,MATCH(IF(AND(D351="Cartão de crédito",N(E351)&gt;1),"Cartão de crédito parcelado",D351),Config!$A$12:$A$15,0)),0)+IF(AND(Config!$B$17="Sim",LEFT(D351,17)="Cartão de crédito"),Config!$B$18*IFERROR(INDEX(Config!$C$12:$C$15,MATCH(IF(AND(D351="Cartão de crédito",N(E351)&gt;1),"Cartão de crédito parcelado",D351),Config!$A$12:$A$15,0)),0)/30*MAX(1,N(E351)),0))</f>
        <v/>
      </c>
      <c r="I351" s="29">
        <f>IF(OR(D351="",F351=""),"",ROUND(F351*H351,2))</f>
        <v/>
      </c>
      <c r="J351" s="29">
        <f>IF(I351="","",F351-I351)</f>
        <v/>
      </c>
      <c r="K351" s="29">
        <f>IF(J351="","",J351/MAX(1,N(E351)))</f>
        <v/>
      </c>
      <c r="L351" s="37">
        <f>IF(OR(D351="",A351=""),"",A351+IF(AND(Config!$B$17="Sim",LEFT(D351,17)="Cartão de crédito"),1,IFERROR(INDEX(Config!$C$12:$C$15,MATCH(IF(AND(D351="Cartão de crédito",N(E351)&gt;1),"Cartão de crédito parcelado",D351),Config!$A$12:$A$15,0)),0)))</f>
        <v/>
      </c>
      <c r="M351" s="37">
        <f>IF(L351="","",IF(AND(Config!$B$17="Sim",LEFT(D351,17)="Cartão de crédito"),L351,L351+30*(MAX(1,N(E351))-1)))</f>
        <v/>
      </c>
      <c r="N351" s="29">
        <f>IF(OR(L351="",K351=""),"",K351*MIN(MAX(1,N(E351)),MAX(0,INT((Config!$B$8-L351)/30)+1)))</f>
        <v/>
      </c>
      <c r="O351" s="29">
        <f>IF(J351="","",J351-N(N351))</f>
        <v/>
      </c>
      <c r="P351" s="27">
        <f>IF(A351="","",MONTH(A351))</f>
        <v/>
      </c>
      <c r="Q351" s="27">
        <f>IF(A351="","",YEAR(A351))</f>
        <v/>
      </c>
      <c r="R351" s="27">
        <f>IF(L351="","",IF(L351&gt;Config!$B$8,"A cair",IF(N(G351)&gt;=MIN(MAX(1,N(E351)),MAX(0,INT((Config!$B$8-L351)/30)+1)),IF(N(G351)&gt;=MAX(1,N(E351)),"Conferido","Conferido até aqui"),"A conferir")))</f>
        <v/>
      </c>
      <c r="S351" s="51">
        <f>IF(R351="A conferir",(Config!$B$8-L351)*1000+N(F351)/1000+ROW()/100000,0)</f>
        <v>0</v>
      </c>
      <c r="T351" s="51">
        <f>IF(R351="A conferir",N(N351),0)</f>
        <v>0</v>
      </c>
      <c r="U351" s="51">
        <f>IF(L351="",0,L351)</f>
        <v>0</v>
      </c>
      <c r="V351" s="51">
        <f>IF(L351="",0,MAX(1,N(E351)))</f>
        <v>0</v>
      </c>
      <c r="W351" s="51">
        <f>IF(K351="",0,K351)</f>
        <v>0</v>
      </c>
    </row>
    <row r="352">
      <c r="A352" s="49" t="n"/>
      <c r="B352" s="41" t="n"/>
      <c r="C352" s="41" t="n"/>
      <c r="D352" s="42" t="n"/>
      <c r="E352" s="42" t="n"/>
      <c r="F352" s="50" t="n"/>
      <c r="G352" s="42" t="n"/>
      <c r="H352" s="30">
        <f>IF(D352="","",IFERROR(INDEX(Config!$B$12:$B$15,MATCH(IF(AND(D352="Cartão de crédito",N(E352)&gt;1),"Cartão de crédito parcelado",D352),Config!$A$12:$A$15,0)),0)+IF(AND(Config!$B$17="Sim",LEFT(D352,17)="Cartão de crédito"),Config!$B$18*IFERROR(INDEX(Config!$C$12:$C$15,MATCH(IF(AND(D352="Cartão de crédito",N(E352)&gt;1),"Cartão de crédito parcelado",D352),Config!$A$12:$A$15,0)),0)/30*MAX(1,N(E352)),0))</f>
        <v/>
      </c>
      <c r="I352" s="29">
        <f>IF(OR(D352="",F352=""),"",ROUND(F352*H352,2))</f>
        <v/>
      </c>
      <c r="J352" s="29">
        <f>IF(I352="","",F352-I352)</f>
        <v/>
      </c>
      <c r="K352" s="29">
        <f>IF(J352="","",J352/MAX(1,N(E352)))</f>
        <v/>
      </c>
      <c r="L352" s="37">
        <f>IF(OR(D352="",A352=""),"",A352+IF(AND(Config!$B$17="Sim",LEFT(D352,17)="Cartão de crédito"),1,IFERROR(INDEX(Config!$C$12:$C$15,MATCH(IF(AND(D352="Cartão de crédito",N(E352)&gt;1),"Cartão de crédito parcelado",D352),Config!$A$12:$A$15,0)),0)))</f>
        <v/>
      </c>
      <c r="M352" s="37">
        <f>IF(L352="","",IF(AND(Config!$B$17="Sim",LEFT(D352,17)="Cartão de crédito"),L352,L352+30*(MAX(1,N(E352))-1)))</f>
        <v/>
      </c>
      <c r="N352" s="29">
        <f>IF(OR(L352="",K352=""),"",K352*MIN(MAX(1,N(E352)),MAX(0,INT((Config!$B$8-L352)/30)+1)))</f>
        <v/>
      </c>
      <c r="O352" s="29">
        <f>IF(J352="","",J352-N(N352))</f>
        <v/>
      </c>
      <c r="P352" s="27">
        <f>IF(A352="","",MONTH(A352))</f>
        <v/>
      </c>
      <c r="Q352" s="27">
        <f>IF(A352="","",YEAR(A352))</f>
        <v/>
      </c>
      <c r="R352" s="27">
        <f>IF(L352="","",IF(L352&gt;Config!$B$8,"A cair",IF(N(G352)&gt;=MIN(MAX(1,N(E352)),MAX(0,INT((Config!$B$8-L352)/30)+1)),IF(N(G352)&gt;=MAX(1,N(E352)),"Conferido","Conferido até aqui"),"A conferir")))</f>
        <v/>
      </c>
      <c r="S352" s="51">
        <f>IF(R352="A conferir",(Config!$B$8-L352)*1000+N(F352)/1000+ROW()/100000,0)</f>
        <v>0</v>
      </c>
      <c r="T352" s="51">
        <f>IF(R352="A conferir",N(N352),0)</f>
        <v>0</v>
      </c>
      <c r="U352" s="51">
        <f>IF(L352="",0,L352)</f>
        <v>0</v>
      </c>
      <c r="V352" s="51">
        <f>IF(L352="",0,MAX(1,N(E352)))</f>
        <v>0</v>
      </c>
      <c r="W352" s="51">
        <f>IF(K352="",0,K352)</f>
        <v>0</v>
      </c>
    </row>
    <row r="353">
      <c r="A353" s="49" t="n"/>
      <c r="B353" s="41" t="n"/>
      <c r="C353" s="41" t="n"/>
      <c r="D353" s="42" t="n"/>
      <c r="E353" s="42" t="n"/>
      <c r="F353" s="50" t="n"/>
      <c r="G353" s="42" t="n"/>
      <c r="H353" s="30">
        <f>IF(D353="","",IFERROR(INDEX(Config!$B$12:$B$15,MATCH(IF(AND(D353="Cartão de crédito",N(E353)&gt;1),"Cartão de crédito parcelado",D353),Config!$A$12:$A$15,0)),0)+IF(AND(Config!$B$17="Sim",LEFT(D353,17)="Cartão de crédito"),Config!$B$18*IFERROR(INDEX(Config!$C$12:$C$15,MATCH(IF(AND(D353="Cartão de crédito",N(E353)&gt;1),"Cartão de crédito parcelado",D353),Config!$A$12:$A$15,0)),0)/30*MAX(1,N(E353)),0))</f>
        <v/>
      </c>
      <c r="I353" s="29">
        <f>IF(OR(D353="",F353=""),"",ROUND(F353*H353,2))</f>
        <v/>
      </c>
      <c r="J353" s="29">
        <f>IF(I353="","",F353-I353)</f>
        <v/>
      </c>
      <c r="K353" s="29">
        <f>IF(J353="","",J353/MAX(1,N(E353)))</f>
        <v/>
      </c>
      <c r="L353" s="37">
        <f>IF(OR(D353="",A353=""),"",A353+IF(AND(Config!$B$17="Sim",LEFT(D353,17)="Cartão de crédito"),1,IFERROR(INDEX(Config!$C$12:$C$15,MATCH(IF(AND(D353="Cartão de crédito",N(E353)&gt;1),"Cartão de crédito parcelado",D353),Config!$A$12:$A$15,0)),0)))</f>
        <v/>
      </c>
      <c r="M353" s="37">
        <f>IF(L353="","",IF(AND(Config!$B$17="Sim",LEFT(D353,17)="Cartão de crédito"),L353,L353+30*(MAX(1,N(E353))-1)))</f>
        <v/>
      </c>
      <c r="N353" s="29">
        <f>IF(OR(L353="",K353=""),"",K353*MIN(MAX(1,N(E353)),MAX(0,INT((Config!$B$8-L353)/30)+1)))</f>
        <v/>
      </c>
      <c r="O353" s="29">
        <f>IF(J353="","",J353-N(N353))</f>
        <v/>
      </c>
      <c r="P353" s="27">
        <f>IF(A353="","",MONTH(A353))</f>
        <v/>
      </c>
      <c r="Q353" s="27">
        <f>IF(A353="","",YEAR(A353))</f>
        <v/>
      </c>
      <c r="R353" s="27">
        <f>IF(L353="","",IF(L353&gt;Config!$B$8,"A cair",IF(N(G353)&gt;=MIN(MAX(1,N(E353)),MAX(0,INT((Config!$B$8-L353)/30)+1)),IF(N(G353)&gt;=MAX(1,N(E353)),"Conferido","Conferido até aqui"),"A conferir")))</f>
        <v/>
      </c>
      <c r="S353" s="51">
        <f>IF(R353="A conferir",(Config!$B$8-L353)*1000+N(F353)/1000+ROW()/100000,0)</f>
        <v>0</v>
      </c>
      <c r="T353" s="51">
        <f>IF(R353="A conferir",N(N353),0)</f>
        <v>0</v>
      </c>
      <c r="U353" s="51">
        <f>IF(L353="",0,L353)</f>
        <v>0</v>
      </c>
      <c r="V353" s="51">
        <f>IF(L353="",0,MAX(1,N(E353)))</f>
        <v>0</v>
      </c>
      <c r="W353" s="51">
        <f>IF(K353="",0,K353)</f>
        <v>0</v>
      </c>
    </row>
    <row r="354">
      <c r="A354" s="49" t="n"/>
      <c r="B354" s="41" t="n"/>
      <c r="C354" s="41" t="n"/>
      <c r="D354" s="42" t="n"/>
      <c r="E354" s="42" t="n"/>
      <c r="F354" s="50" t="n"/>
      <c r="G354" s="42" t="n"/>
      <c r="H354" s="30">
        <f>IF(D354="","",IFERROR(INDEX(Config!$B$12:$B$15,MATCH(IF(AND(D354="Cartão de crédito",N(E354)&gt;1),"Cartão de crédito parcelado",D354),Config!$A$12:$A$15,0)),0)+IF(AND(Config!$B$17="Sim",LEFT(D354,17)="Cartão de crédito"),Config!$B$18*IFERROR(INDEX(Config!$C$12:$C$15,MATCH(IF(AND(D354="Cartão de crédito",N(E354)&gt;1),"Cartão de crédito parcelado",D354),Config!$A$12:$A$15,0)),0)/30*MAX(1,N(E354)),0))</f>
        <v/>
      </c>
      <c r="I354" s="29">
        <f>IF(OR(D354="",F354=""),"",ROUND(F354*H354,2))</f>
        <v/>
      </c>
      <c r="J354" s="29">
        <f>IF(I354="","",F354-I354)</f>
        <v/>
      </c>
      <c r="K354" s="29">
        <f>IF(J354="","",J354/MAX(1,N(E354)))</f>
        <v/>
      </c>
      <c r="L354" s="37">
        <f>IF(OR(D354="",A354=""),"",A354+IF(AND(Config!$B$17="Sim",LEFT(D354,17)="Cartão de crédito"),1,IFERROR(INDEX(Config!$C$12:$C$15,MATCH(IF(AND(D354="Cartão de crédito",N(E354)&gt;1),"Cartão de crédito parcelado",D354),Config!$A$12:$A$15,0)),0)))</f>
        <v/>
      </c>
      <c r="M354" s="37">
        <f>IF(L354="","",IF(AND(Config!$B$17="Sim",LEFT(D354,17)="Cartão de crédito"),L354,L354+30*(MAX(1,N(E354))-1)))</f>
        <v/>
      </c>
      <c r="N354" s="29">
        <f>IF(OR(L354="",K354=""),"",K354*MIN(MAX(1,N(E354)),MAX(0,INT((Config!$B$8-L354)/30)+1)))</f>
        <v/>
      </c>
      <c r="O354" s="29">
        <f>IF(J354="","",J354-N(N354))</f>
        <v/>
      </c>
      <c r="P354" s="27">
        <f>IF(A354="","",MONTH(A354))</f>
        <v/>
      </c>
      <c r="Q354" s="27">
        <f>IF(A354="","",YEAR(A354))</f>
        <v/>
      </c>
      <c r="R354" s="27">
        <f>IF(L354="","",IF(L354&gt;Config!$B$8,"A cair",IF(N(G354)&gt;=MIN(MAX(1,N(E354)),MAX(0,INT((Config!$B$8-L354)/30)+1)),IF(N(G354)&gt;=MAX(1,N(E354)),"Conferido","Conferido até aqui"),"A conferir")))</f>
        <v/>
      </c>
      <c r="S354" s="51">
        <f>IF(R354="A conferir",(Config!$B$8-L354)*1000+N(F354)/1000+ROW()/100000,0)</f>
        <v>0</v>
      </c>
      <c r="T354" s="51">
        <f>IF(R354="A conferir",N(N354),0)</f>
        <v>0</v>
      </c>
      <c r="U354" s="51">
        <f>IF(L354="",0,L354)</f>
        <v>0</v>
      </c>
      <c r="V354" s="51">
        <f>IF(L354="",0,MAX(1,N(E354)))</f>
        <v>0</v>
      </c>
      <c r="W354" s="51">
        <f>IF(K354="",0,K354)</f>
        <v>0</v>
      </c>
    </row>
    <row r="355">
      <c r="A355" s="49" t="n"/>
      <c r="B355" s="41" t="n"/>
      <c r="C355" s="41" t="n"/>
      <c r="D355" s="42" t="n"/>
      <c r="E355" s="42" t="n"/>
      <c r="F355" s="50" t="n"/>
      <c r="G355" s="42" t="n"/>
      <c r="H355" s="30">
        <f>IF(D355="","",IFERROR(INDEX(Config!$B$12:$B$15,MATCH(IF(AND(D355="Cartão de crédito",N(E355)&gt;1),"Cartão de crédito parcelado",D355),Config!$A$12:$A$15,0)),0)+IF(AND(Config!$B$17="Sim",LEFT(D355,17)="Cartão de crédito"),Config!$B$18*IFERROR(INDEX(Config!$C$12:$C$15,MATCH(IF(AND(D355="Cartão de crédito",N(E355)&gt;1),"Cartão de crédito parcelado",D355),Config!$A$12:$A$15,0)),0)/30*MAX(1,N(E355)),0))</f>
        <v/>
      </c>
      <c r="I355" s="29">
        <f>IF(OR(D355="",F355=""),"",ROUND(F355*H355,2))</f>
        <v/>
      </c>
      <c r="J355" s="29">
        <f>IF(I355="","",F355-I355)</f>
        <v/>
      </c>
      <c r="K355" s="29">
        <f>IF(J355="","",J355/MAX(1,N(E355)))</f>
        <v/>
      </c>
      <c r="L355" s="37">
        <f>IF(OR(D355="",A355=""),"",A355+IF(AND(Config!$B$17="Sim",LEFT(D355,17)="Cartão de crédito"),1,IFERROR(INDEX(Config!$C$12:$C$15,MATCH(IF(AND(D355="Cartão de crédito",N(E355)&gt;1),"Cartão de crédito parcelado",D355),Config!$A$12:$A$15,0)),0)))</f>
        <v/>
      </c>
      <c r="M355" s="37">
        <f>IF(L355="","",IF(AND(Config!$B$17="Sim",LEFT(D355,17)="Cartão de crédito"),L355,L355+30*(MAX(1,N(E355))-1)))</f>
        <v/>
      </c>
      <c r="N355" s="29">
        <f>IF(OR(L355="",K355=""),"",K355*MIN(MAX(1,N(E355)),MAX(0,INT((Config!$B$8-L355)/30)+1)))</f>
        <v/>
      </c>
      <c r="O355" s="29">
        <f>IF(J355="","",J355-N(N355))</f>
        <v/>
      </c>
      <c r="P355" s="27">
        <f>IF(A355="","",MONTH(A355))</f>
        <v/>
      </c>
      <c r="Q355" s="27">
        <f>IF(A355="","",YEAR(A355))</f>
        <v/>
      </c>
      <c r="R355" s="27">
        <f>IF(L355="","",IF(L355&gt;Config!$B$8,"A cair",IF(N(G355)&gt;=MIN(MAX(1,N(E355)),MAX(0,INT((Config!$B$8-L355)/30)+1)),IF(N(G355)&gt;=MAX(1,N(E355)),"Conferido","Conferido até aqui"),"A conferir")))</f>
        <v/>
      </c>
      <c r="S355" s="51">
        <f>IF(R355="A conferir",(Config!$B$8-L355)*1000+N(F355)/1000+ROW()/100000,0)</f>
        <v>0</v>
      </c>
      <c r="T355" s="51">
        <f>IF(R355="A conferir",N(N355),0)</f>
        <v>0</v>
      </c>
      <c r="U355" s="51">
        <f>IF(L355="",0,L355)</f>
        <v>0</v>
      </c>
      <c r="V355" s="51">
        <f>IF(L355="",0,MAX(1,N(E355)))</f>
        <v>0</v>
      </c>
      <c r="W355" s="51">
        <f>IF(K355="",0,K355)</f>
        <v>0</v>
      </c>
    </row>
    <row r="356">
      <c r="A356" s="49" t="n"/>
      <c r="B356" s="41" t="n"/>
      <c r="C356" s="41" t="n"/>
      <c r="D356" s="42" t="n"/>
      <c r="E356" s="42" t="n"/>
      <c r="F356" s="50" t="n"/>
      <c r="G356" s="42" t="n"/>
      <c r="H356" s="30">
        <f>IF(D356="","",IFERROR(INDEX(Config!$B$12:$B$15,MATCH(IF(AND(D356="Cartão de crédito",N(E356)&gt;1),"Cartão de crédito parcelado",D356),Config!$A$12:$A$15,0)),0)+IF(AND(Config!$B$17="Sim",LEFT(D356,17)="Cartão de crédito"),Config!$B$18*IFERROR(INDEX(Config!$C$12:$C$15,MATCH(IF(AND(D356="Cartão de crédito",N(E356)&gt;1),"Cartão de crédito parcelado",D356),Config!$A$12:$A$15,0)),0)/30*MAX(1,N(E356)),0))</f>
        <v/>
      </c>
      <c r="I356" s="29">
        <f>IF(OR(D356="",F356=""),"",ROUND(F356*H356,2))</f>
        <v/>
      </c>
      <c r="J356" s="29">
        <f>IF(I356="","",F356-I356)</f>
        <v/>
      </c>
      <c r="K356" s="29">
        <f>IF(J356="","",J356/MAX(1,N(E356)))</f>
        <v/>
      </c>
      <c r="L356" s="37">
        <f>IF(OR(D356="",A356=""),"",A356+IF(AND(Config!$B$17="Sim",LEFT(D356,17)="Cartão de crédito"),1,IFERROR(INDEX(Config!$C$12:$C$15,MATCH(IF(AND(D356="Cartão de crédito",N(E356)&gt;1),"Cartão de crédito parcelado",D356),Config!$A$12:$A$15,0)),0)))</f>
        <v/>
      </c>
      <c r="M356" s="37">
        <f>IF(L356="","",IF(AND(Config!$B$17="Sim",LEFT(D356,17)="Cartão de crédito"),L356,L356+30*(MAX(1,N(E356))-1)))</f>
        <v/>
      </c>
      <c r="N356" s="29">
        <f>IF(OR(L356="",K356=""),"",K356*MIN(MAX(1,N(E356)),MAX(0,INT((Config!$B$8-L356)/30)+1)))</f>
        <v/>
      </c>
      <c r="O356" s="29">
        <f>IF(J356="","",J356-N(N356))</f>
        <v/>
      </c>
      <c r="P356" s="27">
        <f>IF(A356="","",MONTH(A356))</f>
        <v/>
      </c>
      <c r="Q356" s="27">
        <f>IF(A356="","",YEAR(A356))</f>
        <v/>
      </c>
      <c r="R356" s="27">
        <f>IF(L356="","",IF(L356&gt;Config!$B$8,"A cair",IF(N(G356)&gt;=MIN(MAX(1,N(E356)),MAX(0,INT((Config!$B$8-L356)/30)+1)),IF(N(G356)&gt;=MAX(1,N(E356)),"Conferido","Conferido até aqui"),"A conferir")))</f>
        <v/>
      </c>
      <c r="S356" s="51">
        <f>IF(R356="A conferir",(Config!$B$8-L356)*1000+N(F356)/1000+ROW()/100000,0)</f>
        <v>0</v>
      </c>
      <c r="T356" s="51">
        <f>IF(R356="A conferir",N(N356),0)</f>
        <v>0</v>
      </c>
      <c r="U356" s="51">
        <f>IF(L356="",0,L356)</f>
        <v>0</v>
      </c>
      <c r="V356" s="51">
        <f>IF(L356="",0,MAX(1,N(E356)))</f>
        <v>0</v>
      </c>
      <c r="W356" s="51">
        <f>IF(K356="",0,K356)</f>
        <v>0</v>
      </c>
    </row>
    <row r="357">
      <c r="A357" s="49" t="n"/>
      <c r="B357" s="41" t="n"/>
      <c r="C357" s="41" t="n"/>
      <c r="D357" s="42" t="n"/>
      <c r="E357" s="42" t="n"/>
      <c r="F357" s="50" t="n"/>
      <c r="G357" s="42" t="n"/>
      <c r="H357" s="30">
        <f>IF(D357="","",IFERROR(INDEX(Config!$B$12:$B$15,MATCH(IF(AND(D357="Cartão de crédito",N(E357)&gt;1),"Cartão de crédito parcelado",D357),Config!$A$12:$A$15,0)),0)+IF(AND(Config!$B$17="Sim",LEFT(D357,17)="Cartão de crédito"),Config!$B$18*IFERROR(INDEX(Config!$C$12:$C$15,MATCH(IF(AND(D357="Cartão de crédito",N(E357)&gt;1),"Cartão de crédito parcelado",D357),Config!$A$12:$A$15,0)),0)/30*MAX(1,N(E357)),0))</f>
        <v/>
      </c>
      <c r="I357" s="29">
        <f>IF(OR(D357="",F357=""),"",ROUND(F357*H357,2))</f>
        <v/>
      </c>
      <c r="J357" s="29">
        <f>IF(I357="","",F357-I357)</f>
        <v/>
      </c>
      <c r="K357" s="29">
        <f>IF(J357="","",J357/MAX(1,N(E357)))</f>
        <v/>
      </c>
      <c r="L357" s="37">
        <f>IF(OR(D357="",A357=""),"",A357+IF(AND(Config!$B$17="Sim",LEFT(D357,17)="Cartão de crédito"),1,IFERROR(INDEX(Config!$C$12:$C$15,MATCH(IF(AND(D357="Cartão de crédito",N(E357)&gt;1),"Cartão de crédito parcelado",D357),Config!$A$12:$A$15,0)),0)))</f>
        <v/>
      </c>
      <c r="M357" s="37">
        <f>IF(L357="","",IF(AND(Config!$B$17="Sim",LEFT(D357,17)="Cartão de crédito"),L357,L357+30*(MAX(1,N(E357))-1)))</f>
        <v/>
      </c>
      <c r="N357" s="29">
        <f>IF(OR(L357="",K357=""),"",K357*MIN(MAX(1,N(E357)),MAX(0,INT((Config!$B$8-L357)/30)+1)))</f>
        <v/>
      </c>
      <c r="O357" s="29">
        <f>IF(J357="","",J357-N(N357))</f>
        <v/>
      </c>
      <c r="P357" s="27">
        <f>IF(A357="","",MONTH(A357))</f>
        <v/>
      </c>
      <c r="Q357" s="27">
        <f>IF(A357="","",YEAR(A357))</f>
        <v/>
      </c>
      <c r="R357" s="27">
        <f>IF(L357="","",IF(L357&gt;Config!$B$8,"A cair",IF(N(G357)&gt;=MIN(MAX(1,N(E357)),MAX(0,INT((Config!$B$8-L357)/30)+1)),IF(N(G357)&gt;=MAX(1,N(E357)),"Conferido","Conferido até aqui"),"A conferir")))</f>
        <v/>
      </c>
      <c r="S357" s="51">
        <f>IF(R357="A conferir",(Config!$B$8-L357)*1000+N(F357)/1000+ROW()/100000,0)</f>
        <v>0</v>
      </c>
      <c r="T357" s="51">
        <f>IF(R357="A conferir",N(N357),0)</f>
        <v>0</v>
      </c>
      <c r="U357" s="51">
        <f>IF(L357="",0,L357)</f>
        <v>0</v>
      </c>
      <c r="V357" s="51">
        <f>IF(L357="",0,MAX(1,N(E357)))</f>
        <v>0</v>
      </c>
      <c r="W357" s="51">
        <f>IF(K357="",0,K357)</f>
        <v>0</v>
      </c>
    </row>
    <row r="358">
      <c r="A358" s="49" t="n"/>
      <c r="B358" s="41" t="n"/>
      <c r="C358" s="41" t="n"/>
      <c r="D358" s="42" t="n"/>
      <c r="E358" s="42" t="n"/>
      <c r="F358" s="50" t="n"/>
      <c r="G358" s="42" t="n"/>
      <c r="H358" s="30">
        <f>IF(D358="","",IFERROR(INDEX(Config!$B$12:$B$15,MATCH(IF(AND(D358="Cartão de crédito",N(E358)&gt;1),"Cartão de crédito parcelado",D358),Config!$A$12:$A$15,0)),0)+IF(AND(Config!$B$17="Sim",LEFT(D358,17)="Cartão de crédito"),Config!$B$18*IFERROR(INDEX(Config!$C$12:$C$15,MATCH(IF(AND(D358="Cartão de crédito",N(E358)&gt;1),"Cartão de crédito parcelado",D358),Config!$A$12:$A$15,0)),0)/30*MAX(1,N(E358)),0))</f>
        <v/>
      </c>
      <c r="I358" s="29">
        <f>IF(OR(D358="",F358=""),"",ROUND(F358*H358,2))</f>
        <v/>
      </c>
      <c r="J358" s="29">
        <f>IF(I358="","",F358-I358)</f>
        <v/>
      </c>
      <c r="K358" s="29">
        <f>IF(J358="","",J358/MAX(1,N(E358)))</f>
        <v/>
      </c>
      <c r="L358" s="37">
        <f>IF(OR(D358="",A358=""),"",A358+IF(AND(Config!$B$17="Sim",LEFT(D358,17)="Cartão de crédito"),1,IFERROR(INDEX(Config!$C$12:$C$15,MATCH(IF(AND(D358="Cartão de crédito",N(E358)&gt;1),"Cartão de crédito parcelado",D358),Config!$A$12:$A$15,0)),0)))</f>
        <v/>
      </c>
      <c r="M358" s="37">
        <f>IF(L358="","",IF(AND(Config!$B$17="Sim",LEFT(D358,17)="Cartão de crédito"),L358,L358+30*(MAX(1,N(E358))-1)))</f>
        <v/>
      </c>
      <c r="N358" s="29">
        <f>IF(OR(L358="",K358=""),"",K358*MIN(MAX(1,N(E358)),MAX(0,INT((Config!$B$8-L358)/30)+1)))</f>
        <v/>
      </c>
      <c r="O358" s="29">
        <f>IF(J358="","",J358-N(N358))</f>
        <v/>
      </c>
      <c r="P358" s="27">
        <f>IF(A358="","",MONTH(A358))</f>
        <v/>
      </c>
      <c r="Q358" s="27">
        <f>IF(A358="","",YEAR(A358))</f>
        <v/>
      </c>
      <c r="R358" s="27">
        <f>IF(L358="","",IF(L358&gt;Config!$B$8,"A cair",IF(N(G358)&gt;=MIN(MAX(1,N(E358)),MAX(0,INT((Config!$B$8-L358)/30)+1)),IF(N(G358)&gt;=MAX(1,N(E358)),"Conferido","Conferido até aqui"),"A conferir")))</f>
        <v/>
      </c>
      <c r="S358" s="51">
        <f>IF(R358="A conferir",(Config!$B$8-L358)*1000+N(F358)/1000+ROW()/100000,0)</f>
        <v>0</v>
      </c>
      <c r="T358" s="51">
        <f>IF(R358="A conferir",N(N358),0)</f>
        <v>0</v>
      </c>
      <c r="U358" s="51">
        <f>IF(L358="",0,L358)</f>
        <v>0</v>
      </c>
      <c r="V358" s="51">
        <f>IF(L358="",0,MAX(1,N(E358)))</f>
        <v>0</v>
      </c>
      <c r="W358" s="51">
        <f>IF(K358="",0,K358)</f>
        <v>0</v>
      </c>
    </row>
    <row r="359">
      <c r="A359" s="49" t="n"/>
      <c r="B359" s="41" t="n"/>
      <c r="C359" s="41" t="n"/>
      <c r="D359" s="42" t="n"/>
      <c r="E359" s="42" t="n"/>
      <c r="F359" s="50" t="n"/>
      <c r="G359" s="42" t="n"/>
      <c r="H359" s="30">
        <f>IF(D359="","",IFERROR(INDEX(Config!$B$12:$B$15,MATCH(IF(AND(D359="Cartão de crédito",N(E359)&gt;1),"Cartão de crédito parcelado",D359),Config!$A$12:$A$15,0)),0)+IF(AND(Config!$B$17="Sim",LEFT(D359,17)="Cartão de crédito"),Config!$B$18*IFERROR(INDEX(Config!$C$12:$C$15,MATCH(IF(AND(D359="Cartão de crédito",N(E359)&gt;1),"Cartão de crédito parcelado",D359),Config!$A$12:$A$15,0)),0)/30*MAX(1,N(E359)),0))</f>
        <v/>
      </c>
      <c r="I359" s="29">
        <f>IF(OR(D359="",F359=""),"",ROUND(F359*H359,2))</f>
        <v/>
      </c>
      <c r="J359" s="29">
        <f>IF(I359="","",F359-I359)</f>
        <v/>
      </c>
      <c r="K359" s="29">
        <f>IF(J359="","",J359/MAX(1,N(E359)))</f>
        <v/>
      </c>
      <c r="L359" s="37">
        <f>IF(OR(D359="",A359=""),"",A359+IF(AND(Config!$B$17="Sim",LEFT(D359,17)="Cartão de crédito"),1,IFERROR(INDEX(Config!$C$12:$C$15,MATCH(IF(AND(D359="Cartão de crédito",N(E359)&gt;1),"Cartão de crédito parcelado",D359),Config!$A$12:$A$15,0)),0)))</f>
        <v/>
      </c>
      <c r="M359" s="37">
        <f>IF(L359="","",IF(AND(Config!$B$17="Sim",LEFT(D359,17)="Cartão de crédito"),L359,L359+30*(MAX(1,N(E359))-1)))</f>
        <v/>
      </c>
      <c r="N359" s="29">
        <f>IF(OR(L359="",K359=""),"",K359*MIN(MAX(1,N(E359)),MAX(0,INT((Config!$B$8-L359)/30)+1)))</f>
        <v/>
      </c>
      <c r="O359" s="29">
        <f>IF(J359="","",J359-N(N359))</f>
        <v/>
      </c>
      <c r="P359" s="27">
        <f>IF(A359="","",MONTH(A359))</f>
        <v/>
      </c>
      <c r="Q359" s="27">
        <f>IF(A359="","",YEAR(A359))</f>
        <v/>
      </c>
      <c r="R359" s="27">
        <f>IF(L359="","",IF(L359&gt;Config!$B$8,"A cair",IF(N(G359)&gt;=MIN(MAX(1,N(E359)),MAX(0,INT((Config!$B$8-L359)/30)+1)),IF(N(G359)&gt;=MAX(1,N(E359)),"Conferido","Conferido até aqui"),"A conferir")))</f>
        <v/>
      </c>
      <c r="S359" s="51">
        <f>IF(R359="A conferir",(Config!$B$8-L359)*1000+N(F359)/1000+ROW()/100000,0)</f>
        <v>0</v>
      </c>
      <c r="T359" s="51">
        <f>IF(R359="A conferir",N(N359),0)</f>
        <v>0</v>
      </c>
      <c r="U359" s="51">
        <f>IF(L359="",0,L359)</f>
        <v>0</v>
      </c>
      <c r="V359" s="51">
        <f>IF(L359="",0,MAX(1,N(E359)))</f>
        <v>0</v>
      </c>
      <c r="W359" s="51">
        <f>IF(K359="",0,K359)</f>
        <v>0</v>
      </c>
    </row>
    <row r="360">
      <c r="A360" s="49" t="n"/>
      <c r="B360" s="41" t="n"/>
      <c r="C360" s="41" t="n"/>
      <c r="D360" s="42" t="n"/>
      <c r="E360" s="42" t="n"/>
      <c r="F360" s="50" t="n"/>
      <c r="G360" s="42" t="n"/>
      <c r="H360" s="30">
        <f>IF(D360="","",IFERROR(INDEX(Config!$B$12:$B$15,MATCH(IF(AND(D360="Cartão de crédito",N(E360)&gt;1),"Cartão de crédito parcelado",D360),Config!$A$12:$A$15,0)),0)+IF(AND(Config!$B$17="Sim",LEFT(D360,17)="Cartão de crédito"),Config!$B$18*IFERROR(INDEX(Config!$C$12:$C$15,MATCH(IF(AND(D360="Cartão de crédito",N(E360)&gt;1),"Cartão de crédito parcelado",D360),Config!$A$12:$A$15,0)),0)/30*MAX(1,N(E360)),0))</f>
        <v/>
      </c>
      <c r="I360" s="29">
        <f>IF(OR(D360="",F360=""),"",ROUND(F360*H360,2))</f>
        <v/>
      </c>
      <c r="J360" s="29">
        <f>IF(I360="","",F360-I360)</f>
        <v/>
      </c>
      <c r="K360" s="29">
        <f>IF(J360="","",J360/MAX(1,N(E360)))</f>
        <v/>
      </c>
      <c r="L360" s="37">
        <f>IF(OR(D360="",A360=""),"",A360+IF(AND(Config!$B$17="Sim",LEFT(D360,17)="Cartão de crédito"),1,IFERROR(INDEX(Config!$C$12:$C$15,MATCH(IF(AND(D360="Cartão de crédito",N(E360)&gt;1),"Cartão de crédito parcelado",D360),Config!$A$12:$A$15,0)),0)))</f>
        <v/>
      </c>
      <c r="M360" s="37">
        <f>IF(L360="","",IF(AND(Config!$B$17="Sim",LEFT(D360,17)="Cartão de crédito"),L360,L360+30*(MAX(1,N(E360))-1)))</f>
        <v/>
      </c>
      <c r="N360" s="29">
        <f>IF(OR(L360="",K360=""),"",K360*MIN(MAX(1,N(E360)),MAX(0,INT((Config!$B$8-L360)/30)+1)))</f>
        <v/>
      </c>
      <c r="O360" s="29">
        <f>IF(J360="","",J360-N(N360))</f>
        <v/>
      </c>
      <c r="P360" s="27">
        <f>IF(A360="","",MONTH(A360))</f>
        <v/>
      </c>
      <c r="Q360" s="27">
        <f>IF(A360="","",YEAR(A360))</f>
        <v/>
      </c>
      <c r="R360" s="27">
        <f>IF(L360="","",IF(L360&gt;Config!$B$8,"A cair",IF(N(G360)&gt;=MIN(MAX(1,N(E360)),MAX(0,INT((Config!$B$8-L360)/30)+1)),IF(N(G360)&gt;=MAX(1,N(E360)),"Conferido","Conferido até aqui"),"A conferir")))</f>
        <v/>
      </c>
      <c r="S360" s="51">
        <f>IF(R360="A conferir",(Config!$B$8-L360)*1000+N(F360)/1000+ROW()/100000,0)</f>
        <v>0</v>
      </c>
      <c r="T360" s="51">
        <f>IF(R360="A conferir",N(N360),0)</f>
        <v>0</v>
      </c>
      <c r="U360" s="51">
        <f>IF(L360="",0,L360)</f>
        <v>0</v>
      </c>
      <c r="V360" s="51">
        <f>IF(L360="",0,MAX(1,N(E360)))</f>
        <v>0</v>
      </c>
      <c r="W360" s="51">
        <f>IF(K360="",0,K360)</f>
        <v>0</v>
      </c>
    </row>
    <row r="361">
      <c r="A361" s="49" t="n"/>
      <c r="B361" s="41" t="n"/>
      <c r="C361" s="41" t="n"/>
      <c r="D361" s="42" t="n"/>
      <c r="E361" s="42" t="n"/>
      <c r="F361" s="50" t="n"/>
      <c r="G361" s="42" t="n"/>
      <c r="H361" s="30">
        <f>IF(D361="","",IFERROR(INDEX(Config!$B$12:$B$15,MATCH(IF(AND(D361="Cartão de crédito",N(E361)&gt;1),"Cartão de crédito parcelado",D361),Config!$A$12:$A$15,0)),0)+IF(AND(Config!$B$17="Sim",LEFT(D361,17)="Cartão de crédito"),Config!$B$18*IFERROR(INDEX(Config!$C$12:$C$15,MATCH(IF(AND(D361="Cartão de crédito",N(E361)&gt;1),"Cartão de crédito parcelado",D361),Config!$A$12:$A$15,0)),0)/30*MAX(1,N(E361)),0))</f>
        <v/>
      </c>
      <c r="I361" s="29">
        <f>IF(OR(D361="",F361=""),"",ROUND(F361*H361,2))</f>
        <v/>
      </c>
      <c r="J361" s="29">
        <f>IF(I361="","",F361-I361)</f>
        <v/>
      </c>
      <c r="K361" s="29">
        <f>IF(J361="","",J361/MAX(1,N(E361)))</f>
        <v/>
      </c>
      <c r="L361" s="37">
        <f>IF(OR(D361="",A361=""),"",A361+IF(AND(Config!$B$17="Sim",LEFT(D361,17)="Cartão de crédito"),1,IFERROR(INDEX(Config!$C$12:$C$15,MATCH(IF(AND(D361="Cartão de crédito",N(E361)&gt;1),"Cartão de crédito parcelado",D361),Config!$A$12:$A$15,0)),0)))</f>
        <v/>
      </c>
      <c r="M361" s="37">
        <f>IF(L361="","",IF(AND(Config!$B$17="Sim",LEFT(D361,17)="Cartão de crédito"),L361,L361+30*(MAX(1,N(E361))-1)))</f>
        <v/>
      </c>
      <c r="N361" s="29">
        <f>IF(OR(L361="",K361=""),"",K361*MIN(MAX(1,N(E361)),MAX(0,INT((Config!$B$8-L361)/30)+1)))</f>
        <v/>
      </c>
      <c r="O361" s="29">
        <f>IF(J361="","",J361-N(N361))</f>
        <v/>
      </c>
      <c r="P361" s="27">
        <f>IF(A361="","",MONTH(A361))</f>
        <v/>
      </c>
      <c r="Q361" s="27">
        <f>IF(A361="","",YEAR(A361))</f>
        <v/>
      </c>
      <c r="R361" s="27">
        <f>IF(L361="","",IF(L361&gt;Config!$B$8,"A cair",IF(N(G361)&gt;=MIN(MAX(1,N(E361)),MAX(0,INT((Config!$B$8-L361)/30)+1)),IF(N(G361)&gt;=MAX(1,N(E361)),"Conferido","Conferido até aqui"),"A conferir")))</f>
        <v/>
      </c>
      <c r="S361" s="51">
        <f>IF(R361="A conferir",(Config!$B$8-L361)*1000+N(F361)/1000+ROW()/100000,0)</f>
        <v>0</v>
      </c>
      <c r="T361" s="51">
        <f>IF(R361="A conferir",N(N361),0)</f>
        <v>0</v>
      </c>
      <c r="U361" s="51">
        <f>IF(L361="",0,L361)</f>
        <v>0</v>
      </c>
      <c r="V361" s="51">
        <f>IF(L361="",0,MAX(1,N(E361)))</f>
        <v>0</v>
      </c>
      <c r="W361" s="51">
        <f>IF(K361="",0,K361)</f>
        <v>0</v>
      </c>
    </row>
    <row r="362">
      <c r="A362" s="49" t="n"/>
      <c r="B362" s="41" t="n"/>
      <c r="C362" s="41" t="n"/>
      <c r="D362" s="42" t="n"/>
      <c r="E362" s="42" t="n"/>
      <c r="F362" s="50" t="n"/>
      <c r="G362" s="42" t="n"/>
      <c r="H362" s="30">
        <f>IF(D362="","",IFERROR(INDEX(Config!$B$12:$B$15,MATCH(IF(AND(D362="Cartão de crédito",N(E362)&gt;1),"Cartão de crédito parcelado",D362),Config!$A$12:$A$15,0)),0)+IF(AND(Config!$B$17="Sim",LEFT(D362,17)="Cartão de crédito"),Config!$B$18*IFERROR(INDEX(Config!$C$12:$C$15,MATCH(IF(AND(D362="Cartão de crédito",N(E362)&gt;1),"Cartão de crédito parcelado",D362),Config!$A$12:$A$15,0)),0)/30*MAX(1,N(E362)),0))</f>
        <v/>
      </c>
      <c r="I362" s="29">
        <f>IF(OR(D362="",F362=""),"",ROUND(F362*H362,2))</f>
        <v/>
      </c>
      <c r="J362" s="29">
        <f>IF(I362="","",F362-I362)</f>
        <v/>
      </c>
      <c r="K362" s="29">
        <f>IF(J362="","",J362/MAX(1,N(E362)))</f>
        <v/>
      </c>
      <c r="L362" s="37">
        <f>IF(OR(D362="",A362=""),"",A362+IF(AND(Config!$B$17="Sim",LEFT(D362,17)="Cartão de crédito"),1,IFERROR(INDEX(Config!$C$12:$C$15,MATCH(IF(AND(D362="Cartão de crédito",N(E362)&gt;1),"Cartão de crédito parcelado",D362),Config!$A$12:$A$15,0)),0)))</f>
        <v/>
      </c>
      <c r="M362" s="37">
        <f>IF(L362="","",IF(AND(Config!$B$17="Sim",LEFT(D362,17)="Cartão de crédito"),L362,L362+30*(MAX(1,N(E362))-1)))</f>
        <v/>
      </c>
      <c r="N362" s="29">
        <f>IF(OR(L362="",K362=""),"",K362*MIN(MAX(1,N(E362)),MAX(0,INT((Config!$B$8-L362)/30)+1)))</f>
        <v/>
      </c>
      <c r="O362" s="29">
        <f>IF(J362="","",J362-N(N362))</f>
        <v/>
      </c>
      <c r="P362" s="27">
        <f>IF(A362="","",MONTH(A362))</f>
        <v/>
      </c>
      <c r="Q362" s="27">
        <f>IF(A362="","",YEAR(A362))</f>
        <v/>
      </c>
      <c r="R362" s="27">
        <f>IF(L362="","",IF(L362&gt;Config!$B$8,"A cair",IF(N(G362)&gt;=MIN(MAX(1,N(E362)),MAX(0,INT((Config!$B$8-L362)/30)+1)),IF(N(G362)&gt;=MAX(1,N(E362)),"Conferido","Conferido até aqui"),"A conferir")))</f>
        <v/>
      </c>
      <c r="S362" s="51">
        <f>IF(R362="A conferir",(Config!$B$8-L362)*1000+N(F362)/1000+ROW()/100000,0)</f>
        <v>0</v>
      </c>
      <c r="T362" s="51">
        <f>IF(R362="A conferir",N(N362),0)</f>
        <v>0</v>
      </c>
      <c r="U362" s="51">
        <f>IF(L362="",0,L362)</f>
        <v>0</v>
      </c>
      <c r="V362" s="51">
        <f>IF(L362="",0,MAX(1,N(E362)))</f>
        <v>0</v>
      </c>
      <c r="W362" s="51">
        <f>IF(K362="",0,K362)</f>
        <v>0</v>
      </c>
    </row>
    <row r="363">
      <c r="A363" s="49" t="n"/>
      <c r="B363" s="41" t="n"/>
      <c r="C363" s="41" t="n"/>
      <c r="D363" s="42" t="n"/>
      <c r="E363" s="42" t="n"/>
      <c r="F363" s="50" t="n"/>
      <c r="G363" s="42" t="n"/>
      <c r="H363" s="30">
        <f>IF(D363="","",IFERROR(INDEX(Config!$B$12:$B$15,MATCH(IF(AND(D363="Cartão de crédito",N(E363)&gt;1),"Cartão de crédito parcelado",D363),Config!$A$12:$A$15,0)),0)+IF(AND(Config!$B$17="Sim",LEFT(D363,17)="Cartão de crédito"),Config!$B$18*IFERROR(INDEX(Config!$C$12:$C$15,MATCH(IF(AND(D363="Cartão de crédito",N(E363)&gt;1),"Cartão de crédito parcelado",D363),Config!$A$12:$A$15,0)),0)/30*MAX(1,N(E363)),0))</f>
        <v/>
      </c>
      <c r="I363" s="29">
        <f>IF(OR(D363="",F363=""),"",ROUND(F363*H363,2))</f>
        <v/>
      </c>
      <c r="J363" s="29">
        <f>IF(I363="","",F363-I363)</f>
        <v/>
      </c>
      <c r="K363" s="29">
        <f>IF(J363="","",J363/MAX(1,N(E363)))</f>
        <v/>
      </c>
      <c r="L363" s="37">
        <f>IF(OR(D363="",A363=""),"",A363+IF(AND(Config!$B$17="Sim",LEFT(D363,17)="Cartão de crédito"),1,IFERROR(INDEX(Config!$C$12:$C$15,MATCH(IF(AND(D363="Cartão de crédito",N(E363)&gt;1),"Cartão de crédito parcelado",D363),Config!$A$12:$A$15,0)),0)))</f>
        <v/>
      </c>
      <c r="M363" s="37">
        <f>IF(L363="","",IF(AND(Config!$B$17="Sim",LEFT(D363,17)="Cartão de crédito"),L363,L363+30*(MAX(1,N(E363))-1)))</f>
        <v/>
      </c>
      <c r="N363" s="29">
        <f>IF(OR(L363="",K363=""),"",K363*MIN(MAX(1,N(E363)),MAX(0,INT((Config!$B$8-L363)/30)+1)))</f>
        <v/>
      </c>
      <c r="O363" s="29">
        <f>IF(J363="","",J363-N(N363))</f>
        <v/>
      </c>
      <c r="P363" s="27">
        <f>IF(A363="","",MONTH(A363))</f>
        <v/>
      </c>
      <c r="Q363" s="27">
        <f>IF(A363="","",YEAR(A363))</f>
        <v/>
      </c>
      <c r="R363" s="27">
        <f>IF(L363="","",IF(L363&gt;Config!$B$8,"A cair",IF(N(G363)&gt;=MIN(MAX(1,N(E363)),MAX(0,INT((Config!$B$8-L363)/30)+1)),IF(N(G363)&gt;=MAX(1,N(E363)),"Conferido","Conferido até aqui"),"A conferir")))</f>
        <v/>
      </c>
      <c r="S363" s="51">
        <f>IF(R363="A conferir",(Config!$B$8-L363)*1000+N(F363)/1000+ROW()/100000,0)</f>
        <v>0</v>
      </c>
      <c r="T363" s="51">
        <f>IF(R363="A conferir",N(N363),0)</f>
        <v>0</v>
      </c>
      <c r="U363" s="51">
        <f>IF(L363="",0,L363)</f>
        <v>0</v>
      </c>
      <c r="V363" s="51">
        <f>IF(L363="",0,MAX(1,N(E363)))</f>
        <v>0</v>
      </c>
      <c r="W363" s="51">
        <f>IF(K363="",0,K363)</f>
        <v>0</v>
      </c>
    </row>
    <row r="364">
      <c r="A364" s="49" t="n"/>
      <c r="B364" s="41" t="n"/>
      <c r="C364" s="41" t="n"/>
      <c r="D364" s="42" t="n"/>
      <c r="E364" s="42" t="n"/>
      <c r="F364" s="50" t="n"/>
      <c r="G364" s="42" t="n"/>
      <c r="H364" s="30">
        <f>IF(D364="","",IFERROR(INDEX(Config!$B$12:$B$15,MATCH(IF(AND(D364="Cartão de crédito",N(E364)&gt;1),"Cartão de crédito parcelado",D364),Config!$A$12:$A$15,0)),0)+IF(AND(Config!$B$17="Sim",LEFT(D364,17)="Cartão de crédito"),Config!$B$18*IFERROR(INDEX(Config!$C$12:$C$15,MATCH(IF(AND(D364="Cartão de crédito",N(E364)&gt;1),"Cartão de crédito parcelado",D364),Config!$A$12:$A$15,0)),0)/30*MAX(1,N(E364)),0))</f>
        <v/>
      </c>
      <c r="I364" s="29">
        <f>IF(OR(D364="",F364=""),"",ROUND(F364*H364,2))</f>
        <v/>
      </c>
      <c r="J364" s="29">
        <f>IF(I364="","",F364-I364)</f>
        <v/>
      </c>
      <c r="K364" s="29">
        <f>IF(J364="","",J364/MAX(1,N(E364)))</f>
        <v/>
      </c>
      <c r="L364" s="37">
        <f>IF(OR(D364="",A364=""),"",A364+IF(AND(Config!$B$17="Sim",LEFT(D364,17)="Cartão de crédito"),1,IFERROR(INDEX(Config!$C$12:$C$15,MATCH(IF(AND(D364="Cartão de crédito",N(E364)&gt;1),"Cartão de crédito parcelado",D364),Config!$A$12:$A$15,0)),0)))</f>
        <v/>
      </c>
      <c r="M364" s="37">
        <f>IF(L364="","",IF(AND(Config!$B$17="Sim",LEFT(D364,17)="Cartão de crédito"),L364,L364+30*(MAX(1,N(E364))-1)))</f>
        <v/>
      </c>
      <c r="N364" s="29">
        <f>IF(OR(L364="",K364=""),"",K364*MIN(MAX(1,N(E364)),MAX(0,INT((Config!$B$8-L364)/30)+1)))</f>
        <v/>
      </c>
      <c r="O364" s="29">
        <f>IF(J364="","",J364-N(N364))</f>
        <v/>
      </c>
      <c r="P364" s="27">
        <f>IF(A364="","",MONTH(A364))</f>
        <v/>
      </c>
      <c r="Q364" s="27">
        <f>IF(A364="","",YEAR(A364))</f>
        <v/>
      </c>
      <c r="R364" s="27">
        <f>IF(L364="","",IF(L364&gt;Config!$B$8,"A cair",IF(N(G364)&gt;=MIN(MAX(1,N(E364)),MAX(0,INT((Config!$B$8-L364)/30)+1)),IF(N(G364)&gt;=MAX(1,N(E364)),"Conferido","Conferido até aqui"),"A conferir")))</f>
        <v/>
      </c>
      <c r="S364" s="51">
        <f>IF(R364="A conferir",(Config!$B$8-L364)*1000+N(F364)/1000+ROW()/100000,0)</f>
        <v>0</v>
      </c>
      <c r="T364" s="51">
        <f>IF(R364="A conferir",N(N364),0)</f>
        <v>0</v>
      </c>
      <c r="U364" s="51">
        <f>IF(L364="",0,L364)</f>
        <v>0</v>
      </c>
      <c r="V364" s="51">
        <f>IF(L364="",0,MAX(1,N(E364)))</f>
        <v>0</v>
      </c>
      <c r="W364" s="51">
        <f>IF(K364="",0,K364)</f>
        <v>0</v>
      </c>
    </row>
    <row r="365">
      <c r="A365" s="49" t="n"/>
      <c r="B365" s="41" t="n"/>
      <c r="C365" s="41" t="n"/>
      <c r="D365" s="42" t="n"/>
      <c r="E365" s="42" t="n"/>
      <c r="F365" s="50" t="n"/>
      <c r="G365" s="42" t="n"/>
      <c r="H365" s="30">
        <f>IF(D365="","",IFERROR(INDEX(Config!$B$12:$B$15,MATCH(IF(AND(D365="Cartão de crédito",N(E365)&gt;1),"Cartão de crédito parcelado",D365),Config!$A$12:$A$15,0)),0)+IF(AND(Config!$B$17="Sim",LEFT(D365,17)="Cartão de crédito"),Config!$B$18*IFERROR(INDEX(Config!$C$12:$C$15,MATCH(IF(AND(D365="Cartão de crédito",N(E365)&gt;1),"Cartão de crédito parcelado",D365),Config!$A$12:$A$15,0)),0)/30*MAX(1,N(E365)),0))</f>
        <v/>
      </c>
      <c r="I365" s="29">
        <f>IF(OR(D365="",F365=""),"",ROUND(F365*H365,2))</f>
        <v/>
      </c>
      <c r="J365" s="29">
        <f>IF(I365="","",F365-I365)</f>
        <v/>
      </c>
      <c r="K365" s="29">
        <f>IF(J365="","",J365/MAX(1,N(E365)))</f>
        <v/>
      </c>
      <c r="L365" s="37">
        <f>IF(OR(D365="",A365=""),"",A365+IF(AND(Config!$B$17="Sim",LEFT(D365,17)="Cartão de crédito"),1,IFERROR(INDEX(Config!$C$12:$C$15,MATCH(IF(AND(D365="Cartão de crédito",N(E365)&gt;1),"Cartão de crédito parcelado",D365),Config!$A$12:$A$15,0)),0)))</f>
        <v/>
      </c>
      <c r="M365" s="37">
        <f>IF(L365="","",IF(AND(Config!$B$17="Sim",LEFT(D365,17)="Cartão de crédito"),L365,L365+30*(MAX(1,N(E365))-1)))</f>
        <v/>
      </c>
      <c r="N365" s="29">
        <f>IF(OR(L365="",K365=""),"",K365*MIN(MAX(1,N(E365)),MAX(0,INT((Config!$B$8-L365)/30)+1)))</f>
        <v/>
      </c>
      <c r="O365" s="29">
        <f>IF(J365="","",J365-N(N365))</f>
        <v/>
      </c>
      <c r="P365" s="27">
        <f>IF(A365="","",MONTH(A365))</f>
        <v/>
      </c>
      <c r="Q365" s="27">
        <f>IF(A365="","",YEAR(A365))</f>
        <v/>
      </c>
      <c r="R365" s="27">
        <f>IF(L365="","",IF(L365&gt;Config!$B$8,"A cair",IF(N(G365)&gt;=MIN(MAX(1,N(E365)),MAX(0,INT((Config!$B$8-L365)/30)+1)),IF(N(G365)&gt;=MAX(1,N(E365)),"Conferido","Conferido até aqui"),"A conferir")))</f>
        <v/>
      </c>
      <c r="S365" s="51">
        <f>IF(R365="A conferir",(Config!$B$8-L365)*1000+N(F365)/1000+ROW()/100000,0)</f>
        <v>0</v>
      </c>
      <c r="T365" s="51">
        <f>IF(R365="A conferir",N(N365),0)</f>
        <v>0</v>
      </c>
      <c r="U365" s="51">
        <f>IF(L365="",0,L365)</f>
        <v>0</v>
      </c>
      <c r="V365" s="51">
        <f>IF(L365="",0,MAX(1,N(E365)))</f>
        <v>0</v>
      </c>
      <c r="W365" s="51">
        <f>IF(K365="",0,K365)</f>
        <v>0</v>
      </c>
    </row>
    <row r="366">
      <c r="A366" s="49" t="n"/>
      <c r="B366" s="41" t="n"/>
      <c r="C366" s="41" t="n"/>
      <c r="D366" s="42" t="n"/>
      <c r="E366" s="42" t="n"/>
      <c r="F366" s="50" t="n"/>
      <c r="G366" s="42" t="n"/>
      <c r="H366" s="30">
        <f>IF(D366="","",IFERROR(INDEX(Config!$B$12:$B$15,MATCH(IF(AND(D366="Cartão de crédito",N(E366)&gt;1),"Cartão de crédito parcelado",D366),Config!$A$12:$A$15,0)),0)+IF(AND(Config!$B$17="Sim",LEFT(D366,17)="Cartão de crédito"),Config!$B$18*IFERROR(INDEX(Config!$C$12:$C$15,MATCH(IF(AND(D366="Cartão de crédito",N(E366)&gt;1),"Cartão de crédito parcelado",D366),Config!$A$12:$A$15,0)),0)/30*MAX(1,N(E366)),0))</f>
        <v/>
      </c>
      <c r="I366" s="29">
        <f>IF(OR(D366="",F366=""),"",ROUND(F366*H366,2))</f>
        <v/>
      </c>
      <c r="J366" s="29">
        <f>IF(I366="","",F366-I366)</f>
        <v/>
      </c>
      <c r="K366" s="29">
        <f>IF(J366="","",J366/MAX(1,N(E366)))</f>
        <v/>
      </c>
      <c r="L366" s="37">
        <f>IF(OR(D366="",A366=""),"",A366+IF(AND(Config!$B$17="Sim",LEFT(D366,17)="Cartão de crédito"),1,IFERROR(INDEX(Config!$C$12:$C$15,MATCH(IF(AND(D366="Cartão de crédito",N(E366)&gt;1),"Cartão de crédito parcelado",D366),Config!$A$12:$A$15,0)),0)))</f>
        <v/>
      </c>
      <c r="M366" s="37">
        <f>IF(L366="","",IF(AND(Config!$B$17="Sim",LEFT(D366,17)="Cartão de crédito"),L366,L366+30*(MAX(1,N(E366))-1)))</f>
        <v/>
      </c>
      <c r="N366" s="29">
        <f>IF(OR(L366="",K366=""),"",K366*MIN(MAX(1,N(E366)),MAX(0,INT((Config!$B$8-L366)/30)+1)))</f>
        <v/>
      </c>
      <c r="O366" s="29">
        <f>IF(J366="","",J366-N(N366))</f>
        <v/>
      </c>
      <c r="P366" s="27">
        <f>IF(A366="","",MONTH(A366))</f>
        <v/>
      </c>
      <c r="Q366" s="27">
        <f>IF(A366="","",YEAR(A366))</f>
        <v/>
      </c>
      <c r="R366" s="27">
        <f>IF(L366="","",IF(L366&gt;Config!$B$8,"A cair",IF(N(G366)&gt;=MIN(MAX(1,N(E366)),MAX(0,INT((Config!$B$8-L366)/30)+1)),IF(N(G366)&gt;=MAX(1,N(E366)),"Conferido","Conferido até aqui"),"A conferir")))</f>
        <v/>
      </c>
      <c r="S366" s="51">
        <f>IF(R366="A conferir",(Config!$B$8-L366)*1000+N(F366)/1000+ROW()/100000,0)</f>
        <v>0</v>
      </c>
      <c r="T366" s="51">
        <f>IF(R366="A conferir",N(N366),0)</f>
        <v>0</v>
      </c>
      <c r="U366" s="51">
        <f>IF(L366="",0,L366)</f>
        <v>0</v>
      </c>
      <c r="V366" s="51">
        <f>IF(L366="",0,MAX(1,N(E366)))</f>
        <v>0</v>
      </c>
      <c r="W366" s="51">
        <f>IF(K366="",0,K366)</f>
        <v>0</v>
      </c>
    </row>
    <row r="367">
      <c r="A367" s="49" t="n"/>
      <c r="B367" s="41" t="n"/>
      <c r="C367" s="41" t="n"/>
      <c r="D367" s="42" t="n"/>
      <c r="E367" s="42" t="n"/>
      <c r="F367" s="50" t="n"/>
      <c r="G367" s="42" t="n"/>
      <c r="H367" s="30">
        <f>IF(D367="","",IFERROR(INDEX(Config!$B$12:$B$15,MATCH(IF(AND(D367="Cartão de crédito",N(E367)&gt;1),"Cartão de crédito parcelado",D367),Config!$A$12:$A$15,0)),0)+IF(AND(Config!$B$17="Sim",LEFT(D367,17)="Cartão de crédito"),Config!$B$18*IFERROR(INDEX(Config!$C$12:$C$15,MATCH(IF(AND(D367="Cartão de crédito",N(E367)&gt;1),"Cartão de crédito parcelado",D367),Config!$A$12:$A$15,0)),0)/30*MAX(1,N(E367)),0))</f>
        <v/>
      </c>
      <c r="I367" s="29">
        <f>IF(OR(D367="",F367=""),"",ROUND(F367*H367,2))</f>
        <v/>
      </c>
      <c r="J367" s="29">
        <f>IF(I367="","",F367-I367)</f>
        <v/>
      </c>
      <c r="K367" s="29">
        <f>IF(J367="","",J367/MAX(1,N(E367)))</f>
        <v/>
      </c>
      <c r="L367" s="37">
        <f>IF(OR(D367="",A367=""),"",A367+IF(AND(Config!$B$17="Sim",LEFT(D367,17)="Cartão de crédito"),1,IFERROR(INDEX(Config!$C$12:$C$15,MATCH(IF(AND(D367="Cartão de crédito",N(E367)&gt;1),"Cartão de crédito parcelado",D367),Config!$A$12:$A$15,0)),0)))</f>
        <v/>
      </c>
      <c r="M367" s="37">
        <f>IF(L367="","",IF(AND(Config!$B$17="Sim",LEFT(D367,17)="Cartão de crédito"),L367,L367+30*(MAX(1,N(E367))-1)))</f>
        <v/>
      </c>
      <c r="N367" s="29">
        <f>IF(OR(L367="",K367=""),"",K367*MIN(MAX(1,N(E367)),MAX(0,INT((Config!$B$8-L367)/30)+1)))</f>
        <v/>
      </c>
      <c r="O367" s="29">
        <f>IF(J367="","",J367-N(N367))</f>
        <v/>
      </c>
      <c r="P367" s="27">
        <f>IF(A367="","",MONTH(A367))</f>
        <v/>
      </c>
      <c r="Q367" s="27">
        <f>IF(A367="","",YEAR(A367))</f>
        <v/>
      </c>
      <c r="R367" s="27">
        <f>IF(L367="","",IF(L367&gt;Config!$B$8,"A cair",IF(N(G367)&gt;=MIN(MAX(1,N(E367)),MAX(0,INT((Config!$B$8-L367)/30)+1)),IF(N(G367)&gt;=MAX(1,N(E367)),"Conferido","Conferido até aqui"),"A conferir")))</f>
        <v/>
      </c>
      <c r="S367" s="51">
        <f>IF(R367="A conferir",(Config!$B$8-L367)*1000+N(F367)/1000+ROW()/100000,0)</f>
        <v>0</v>
      </c>
      <c r="T367" s="51">
        <f>IF(R367="A conferir",N(N367),0)</f>
        <v>0</v>
      </c>
      <c r="U367" s="51">
        <f>IF(L367="",0,L367)</f>
        <v>0</v>
      </c>
      <c r="V367" s="51">
        <f>IF(L367="",0,MAX(1,N(E367)))</f>
        <v>0</v>
      </c>
      <c r="W367" s="51">
        <f>IF(K367="",0,K367)</f>
        <v>0</v>
      </c>
    </row>
    <row r="368">
      <c r="A368" s="49" t="n"/>
      <c r="B368" s="41" t="n"/>
      <c r="C368" s="41" t="n"/>
      <c r="D368" s="42" t="n"/>
      <c r="E368" s="42" t="n"/>
      <c r="F368" s="50" t="n"/>
      <c r="G368" s="42" t="n"/>
      <c r="H368" s="30">
        <f>IF(D368="","",IFERROR(INDEX(Config!$B$12:$B$15,MATCH(IF(AND(D368="Cartão de crédito",N(E368)&gt;1),"Cartão de crédito parcelado",D368),Config!$A$12:$A$15,0)),0)+IF(AND(Config!$B$17="Sim",LEFT(D368,17)="Cartão de crédito"),Config!$B$18*IFERROR(INDEX(Config!$C$12:$C$15,MATCH(IF(AND(D368="Cartão de crédito",N(E368)&gt;1),"Cartão de crédito parcelado",D368),Config!$A$12:$A$15,0)),0)/30*MAX(1,N(E368)),0))</f>
        <v/>
      </c>
      <c r="I368" s="29">
        <f>IF(OR(D368="",F368=""),"",ROUND(F368*H368,2))</f>
        <v/>
      </c>
      <c r="J368" s="29">
        <f>IF(I368="","",F368-I368)</f>
        <v/>
      </c>
      <c r="K368" s="29">
        <f>IF(J368="","",J368/MAX(1,N(E368)))</f>
        <v/>
      </c>
      <c r="L368" s="37">
        <f>IF(OR(D368="",A368=""),"",A368+IF(AND(Config!$B$17="Sim",LEFT(D368,17)="Cartão de crédito"),1,IFERROR(INDEX(Config!$C$12:$C$15,MATCH(IF(AND(D368="Cartão de crédito",N(E368)&gt;1),"Cartão de crédito parcelado",D368),Config!$A$12:$A$15,0)),0)))</f>
        <v/>
      </c>
      <c r="M368" s="37">
        <f>IF(L368="","",IF(AND(Config!$B$17="Sim",LEFT(D368,17)="Cartão de crédito"),L368,L368+30*(MAX(1,N(E368))-1)))</f>
        <v/>
      </c>
      <c r="N368" s="29">
        <f>IF(OR(L368="",K368=""),"",K368*MIN(MAX(1,N(E368)),MAX(0,INT((Config!$B$8-L368)/30)+1)))</f>
        <v/>
      </c>
      <c r="O368" s="29">
        <f>IF(J368="","",J368-N(N368))</f>
        <v/>
      </c>
      <c r="P368" s="27">
        <f>IF(A368="","",MONTH(A368))</f>
        <v/>
      </c>
      <c r="Q368" s="27">
        <f>IF(A368="","",YEAR(A368))</f>
        <v/>
      </c>
      <c r="R368" s="27">
        <f>IF(L368="","",IF(L368&gt;Config!$B$8,"A cair",IF(N(G368)&gt;=MIN(MAX(1,N(E368)),MAX(0,INT((Config!$B$8-L368)/30)+1)),IF(N(G368)&gt;=MAX(1,N(E368)),"Conferido","Conferido até aqui"),"A conferir")))</f>
        <v/>
      </c>
      <c r="S368" s="51">
        <f>IF(R368="A conferir",(Config!$B$8-L368)*1000+N(F368)/1000+ROW()/100000,0)</f>
        <v>0</v>
      </c>
      <c r="T368" s="51">
        <f>IF(R368="A conferir",N(N368),0)</f>
        <v>0</v>
      </c>
      <c r="U368" s="51">
        <f>IF(L368="",0,L368)</f>
        <v>0</v>
      </c>
      <c r="V368" s="51">
        <f>IF(L368="",0,MAX(1,N(E368)))</f>
        <v>0</v>
      </c>
      <c r="W368" s="51">
        <f>IF(K368="",0,K368)</f>
        <v>0</v>
      </c>
    </row>
    <row r="369">
      <c r="A369" s="49" t="n"/>
      <c r="B369" s="41" t="n"/>
      <c r="C369" s="41" t="n"/>
      <c r="D369" s="42" t="n"/>
      <c r="E369" s="42" t="n"/>
      <c r="F369" s="50" t="n"/>
      <c r="G369" s="42" t="n"/>
      <c r="H369" s="30">
        <f>IF(D369="","",IFERROR(INDEX(Config!$B$12:$B$15,MATCH(IF(AND(D369="Cartão de crédito",N(E369)&gt;1),"Cartão de crédito parcelado",D369),Config!$A$12:$A$15,0)),0)+IF(AND(Config!$B$17="Sim",LEFT(D369,17)="Cartão de crédito"),Config!$B$18*IFERROR(INDEX(Config!$C$12:$C$15,MATCH(IF(AND(D369="Cartão de crédito",N(E369)&gt;1),"Cartão de crédito parcelado",D369),Config!$A$12:$A$15,0)),0)/30*MAX(1,N(E369)),0))</f>
        <v/>
      </c>
      <c r="I369" s="29">
        <f>IF(OR(D369="",F369=""),"",ROUND(F369*H369,2))</f>
        <v/>
      </c>
      <c r="J369" s="29">
        <f>IF(I369="","",F369-I369)</f>
        <v/>
      </c>
      <c r="K369" s="29">
        <f>IF(J369="","",J369/MAX(1,N(E369)))</f>
        <v/>
      </c>
      <c r="L369" s="37">
        <f>IF(OR(D369="",A369=""),"",A369+IF(AND(Config!$B$17="Sim",LEFT(D369,17)="Cartão de crédito"),1,IFERROR(INDEX(Config!$C$12:$C$15,MATCH(IF(AND(D369="Cartão de crédito",N(E369)&gt;1),"Cartão de crédito parcelado",D369),Config!$A$12:$A$15,0)),0)))</f>
        <v/>
      </c>
      <c r="M369" s="37">
        <f>IF(L369="","",IF(AND(Config!$B$17="Sim",LEFT(D369,17)="Cartão de crédito"),L369,L369+30*(MAX(1,N(E369))-1)))</f>
        <v/>
      </c>
      <c r="N369" s="29">
        <f>IF(OR(L369="",K369=""),"",K369*MIN(MAX(1,N(E369)),MAX(0,INT((Config!$B$8-L369)/30)+1)))</f>
        <v/>
      </c>
      <c r="O369" s="29">
        <f>IF(J369="","",J369-N(N369))</f>
        <v/>
      </c>
      <c r="P369" s="27">
        <f>IF(A369="","",MONTH(A369))</f>
        <v/>
      </c>
      <c r="Q369" s="27">
        <f>IF(A369="","",YEAR(A369))</f>
        <v/>
      </c>
      <c r="R369" s="27">
        <f>IF(L369="","",IF(L369&gt;Config!$B$8,"A cair",IF(N(G369)&gt;=MIN(MAX(1,N(E369)),MAX(0,INT((Config!$B$8-L369)/30)+1)),IF(N(G369)&gt;=MAX(1,N(E369)),"Conferido","Conferido até aqui"),"A conferir")))</f>
        <v/>
      </c>
      <c r="S369" s="51">
        <f>IF(R369="A conferir",(Config!$B$8-L369)*1000+N(F369)/1000+ROW()/100000,0)</f>
        <v>0</v>
      </c>
      <c r="T369" s="51">
        <f>IF(R369="A conferir",N(N369),0)</f>
        <v>0</v>
      </c>
      <c r="U369" s="51">
        <f>IF(L369="",0,L369)</f>
        <v>0</v>
      </c>
      <c r="V369" s="51">
        <f>IF(L369="",0,MAX(1,N(E369)))</f>
        <v>0</v>
      </c>
      <c r="W369" s="51">
        <f>IF(K369="",0,K369)</f>
        <v>0</v>
      </c>
    </row>
    <row r="370">
      <c r="A370" s="49" t="n"/>
      <c r="B370" s="41" t="n"/>
      <c r="C370" s="41" t="n"/>
      <c r="D370" s="42" t="n"/>
      <c r="E370" s="42" t="n"/>
      <c r="F370" s="50" t="n"/>
      <c r="G370" s="42" t="n"/>
      <c r="H370" s="30">
        <f>IF(D370="","",IFERROR(INDEX(Config!$B$12:$B$15,MATCH(IF(AND(D370="Cartão de crédito",N(E370)&gt;1),"Cartão de crédito parcelado",D370),Config!$A$12:$A$15,0)),0)+IF(AND(Config!$B$17="Sim",LEFT(D370,17)="Cartão de crédito"),Config!$B$18*IFERROR(INDEX(Config!$C$12:$C$15,MATCH(IF(AND(D370="Cartão de crédito",N(E370)&gt;1),"Cartão de crédito parcelado",D370),Config!$A$12:$A$15,0)),0)/30*MAX(1,N(E370)),0))</f>
        <v/>
      </c>
      <c r="I370" s="29">
        <f>IF(OR(D370="",F370=""),"",ROUND(F370*H370,2))</f>
        <v/>
      </c>
      <c r="J370" s="29">
        <f>IF(I370="","",F370-I370)</f>
        <v/>
      </c>
      <c r="K370" s="29">
        <f>IF(J370="","",J370/MAX(1,N(E370)))</f>
        <v/>
      </c>
      <c r="L370" s="37">
        <f>IF(OR(D370="",A370=""),"",A370+IF(AND(Config!$B$17="Sim",LEFT(D370,17)="Cartão de crédito"),1,IFERROR(INDEX(Config!$C$12:$C$15,MATCH(IF(AND(D370="Cartão de crédito",N(E370)&gt;1),"Cartão de crédito parcelado",D370),Config!$A$12:$A$15,0)),0)))</f>
        <v/>
      </c>
      <c r="M370" s="37">
        <f>IF(L370="","",IF(AND(Config!$B$17="Sim",LEFT(D370,17)="Cartão de crédito"),L370,L370+30*(MAX(1,N(E370))-1)))</f>
        <v/>
      </c>
      <c r="N370" s="29">
        <f>IF(OR(L370="",K370=""),"",K370*MIN(MAX(1,N(E370)),MAX(0,INT((Config!$B$8-L370)/30)+1)))</f>
        <v/>
      </c>
      <c r="O370" s="29">
        <f>IF(J370="","",J370-N(N370))</f>
        <v/>
      </c>
      <c r="P370" s="27">
        <f>IF(A370="","",MONTH(A370))</f>
        <v/>
      </c>
      <c r="Q370" s="27">
        <f>IF(A370="","",YEAR(A370))</f>
        <v/>
      </c>
      <c r="R370" s="27">
        <f>IF(L370="","",IF(L370&gt;Config!$B$8,"A cair",IF(N(G370)&gt;=MIN(MAX(1,N(E370)),MAX(0,INT((Config!$B$8-L370)/30)+1)),IF(N(G370)&gt;=MAX(1,N(E370)),"Conferido","Conferido até aqui"),"A conferir")))</f>
        <v/>
      </c>
      <c r="S370" s="51">
        <f>IF(R370="A conferir",(Config!$B$8-L370)*1000+N(F370)/1000+ROW()/100000,0)</f>
        <v>0</v>
      </c>
      <c r="T370" s="51">
        <f>IF(R370="A conferir",N(N370),0)</f>
        <v>0</v>
      </c>
      <c r="U370" s="51">
        <f>IF(L370="",0,L370)</f>
        <v>0</v>
      </c>
      <c r="V370" s="51">
        <f>IF(L370="",0,MAX(1,N(E370)))</f>
        <v>0</v>
      </c>
      <c r="W370" s="51">
        <f>IF(K370="",0,K370)</f>
        <v>0</v>
      </c>
    </row>
    <row r="371">
      <c r="A371" s="49" t="n"/>
      <c r="B371" s="41" t="n"/>
      <c r="C371" s="41" t="n"/>
      <c r="D371" s="42" t="n"/>
      <c r="E371" s="42" t="n"/>
      <c r="F371" s="50" t="n"/>
      <c r="G371" s="42" t="n"/>
      <c r="H371" s="30">
        <f>IF(D371="","",IFERROR(INDEX(Config!$B$12:$B$15,MATCH(IF(AND(D371="Cartão de crédito",N(E371)&gt;1),"Cartão de crédito parcelado",D371),Config!$A$12:$A$15,0)),0)+IF(AND(Config!$B$17="Sim",LEFT(D371,17)="Cartão de crédito"),Config!$B$18*IFERROR(INDEX(Config!$C$12:$C$15,MATCH(IF(AND(D371="Cartão de crédito",N(E371)&gt;1),"Cartão de crédito parcelado",D371),Config!$A$12:$A$15,0)),0)/30*MAX(1,N(E371)),0))</f>
        <v/>
      </c>
      <c r="I371" s="29">
        <f>IF(OR(D371="",F371=""),"",ROUND(F371*H371,2))</f>
        <v/>
      </c>
      <c r="J371" s="29">
        <f>IF(I371="","",F371-I371)</f>
        <v/>
      </c>
      <c r="K371" s="29">
        <f>IF(J371="","",J371/MAX(1,N(E371)))</f>
        <v/>
      </c>
      <c r="L371" s="37">
        <f>IF(OR(D371="",A371=""),"",A371+IF(AND(Config!$B$17="Sim",LEFT(D371,17)="Cartão de crédito"),1,IFERROR(INDEX(Config!$C$12:$C$15,MATCH(IF(AND(D371="Cartão de crédito",N(E371)&gt;1),"Cartão de crédito parcelado",D371),Config!$A$12:$A$15,0)),0)))</f>
        <v/>
      </c>
      <c r="M371" s="37">
        <f>IF(L371="","",IF(AND(Config!$B$17="Sim",LEFT(D371,17)="Cartão de crédito"),L371,L371+30*(MAX(1,N(E371))-1)))</f>
        <v/>
      </c>
      <c r="N371" s="29">
        <f>IF(OR(L371="",K371=""),"",K371*MIN(MAX(1,N(E371)),MAX(0,INT((Config!$B$8-L371)/30)+1)))</f>
        <v/>
      </c>
      <c r="O371" s="29">
        <f>IF(J371="","",J371-N(N371))</f>
        <v/>
      </c>
      <c r="P371" s="27">
        <f>IF(A371="","",MONTH(A371))</f>
        <v/>
      </c>
      <c r="Q371" s="27">
        <f>IF(A371="","",YEAR(A371))</f>
        <v/>
      </c>
      <c r="R371" s="27">
        <f>IF(L371="","",IF(L371&gt;Config!$B$8,"A cair",IF(N(G371)&gt;=MIN(MAX(1,N(E371)),MAX(0,INT((Config!$B$8-L371)/30)+1)),IF(N(G371)&gt;=MAX(1,N(E371)),"Conferido","Conferido até aqui"),"A conferir")))</f>
        <v/>
      </c>
      <c r="S371" s="51">
        <f>IF(R371="A conferir",(Config!$B$8-L371)*1000+N(F371)/1000+ROW()/100000,0)</f>
        <v>0</v>
      </c>
      <c r="T371" s="51">
        <f>IF(R371="A conferir",N(N371),0)</f>
        <v>0</v>
      </c>
      <c r="U371" s="51">
        <f>IF(L371="",0,L371)</f>
        <v>0</v>
      </c>
      <c r="V371" s="51">
        <f>IF(L371="",0,MAX(1,N(E371)))</f>
        <v>0</v>
      </c>
      <c r="W371" s="51">
        <f>IF(K371="",0,K371)</f>
        <v>0</v>
      </c>
    </row>
    <row r="372">
      <c r="A372" s="49" t="n"/>
      <c r="B372" s="41" t="n"/>
      <c r="C372" s="41" t="n"/>
      <c r="D372" s="42" t="n"/>
      <c r="E372" s="42" t="n"/>
      <c r="F372" s="50" t="n"/>
      <c r="G372" s="42" t="n"/>
      <c r="H372" s="30">
        <f>IF(D372="","",IFERROR(INDEX(Config!$B$12:$B$15,MATCH(IF(AND(D372="Cartão de crédito",N(E372)&gt;1),"Cartão de crédito parcelado",D372),Config!$A$12:$A$15,0)),0)+IF(AND(Config!$B$17="Sim",LEFT(D372,17)="Cartão de crédito"),Config!$B$18*IFERROR(INDEX(Config!$C$12:$C$15,MATCH(IF(AND(D372="Cartão de crédito",N(E372)&gt;1),"Cartão de crédito parcelado",D372),Config!$A$12:$A$15,0)),0)/30*MAX(1,N(E372)),0))</f>
        <v/>
      </c>
      <c r="I372" s="29">
        <f>IF(OR(D372="",F372=""),"",ROUND(F372*H372,2))</f>
        <v/>
      </c>
      <c r="J372" s="29">
        <f>IF(I372="","",F372-I372)</f>
        <v/>
      </c>
      <c r="K372" s="29">
        <f>IF(J372="","",J372/MAX(1,N(E372)))</f>
        <v/>
      </c>
      <c r="L372" s="37">
        <f>IF(OR(D372="",A372=""),"",A372+IF(AND(Config!$B$17="Sim",LEFT(D372,17)="Cartão de crédito"),1,IFERROR(INDEX(Config!$C$12:$C$15,MATCH(IF(AND(D372="Cartão de crédito",N(E372)&gt;1),"Cartão de crédito parcelado",D372),Config!$A$12:$A$15,0)),0)))</f>
        <v/>
      </c>
      <c r="M372" s="37">
        <f>IF(L372="","",IF(AND(Config!$B$17="Sim",LEFT(D372,17)="Cartão de crédito"),L372,L372+30*(MAX(1,N(E372))-1)))</f>
        <v/>
      </c>
      <c r="N372" s="29">
        <f>IF(OR(L372="",K372=""),"",K372*MIN(MAX(1,N(E372)),MAX(0,INT((Config!$B$8-L372)/30)+1)))</f>
        <v/>
      </c>
      <c r="O372" s="29">
        <f>IF(J372="","",J372-N(N372))</f>
        <v/>
      </c>
      <c r="P372" s="27">
        <f>IF(A372="","",MONTH(A372))</f>
        <v/>
      </c>
      <c r="Q372" s="27">
        <f>IF(A372="","",YEAR(A372))</f>
        <v/>
      </c>
      <c r="R372" s="27">
        <f>IF(L372="","",IF(L372&gt;Config!$B$8,"A cair",IF(N(G372)&gt;=MIN(MAX(1,N(E372)),MAX(0,INT((Config!$B$8-L372)/30)+1)),IF(N(G372)&gt;=MAX(1,N(E372)),"Conferido","Conferido até aqui"),"A conferir")))</f>
        <v/>
      </c>
      <c r="S372" s="51">
        <f>IF(R372="A conferir",(Config!$B$8-L372)*1000+N(F372)/1000+ROW()/100000,0)</f>
        <v>0</v>
      </c>
      <c r="T372" s="51">
        <f>IF(R372="A conferir",N(N372),0)</f>
        <v>0</v>
      </c>
      <c r="U372" s="51">
        <f>IF(L372="",0,L372)</f>
        <v>0</v>
      </c>
      <c r="V372" s="51">
        <f>IF(L372="",0,MAX(1,N(E372)))</f>
        <v>0</v>
      </c>
      <c r="W372" s="51">
        <f>IF(K372="",0,K372)</f>
        <v>0</v>
      </c>
    </row>
    <row r="373">
      <c r="A373" s="49" t="n"/>
      <c r="B373" s="41" t="n"/>
      <c r="C373" s="41" t="n"/>
      <c r="D373" s="42" t="n"/>
      <c r="E373" s="42" t="n"/>
      <c r="F373" s="50" t="n"/>
      <c r="G373" s="42" t="n"/>
      <c r="H373" s="30">
        <f>IF(D373="","",IFERROR(INDEX(Config!$B$12:$B$15,MATCH(IF(AND(D373="Cartão de crédito",N(E373)&gt;1),"Cartão de crédito parcelado",D373),Config!$A$12:$A$15,0)),0)+IF(AND(Config!$B$17="Sim",LEFT(D373,17)="Cartão de crédito"),Config!$B$18*IFERROR(INDEX(Config!$C$12:$C$15,MATCH(IF(AND(D373="Cartão de crédito",N(E373)&gt;1),"Cartão de crédito parcelado",D373),Config!$A$12:$A$15,0)),0)/30*MAX(1,N(E373)),0))</f>
        <v/>
      </c>
      <c r="I373" s="29">
        <f>IF(OR(D373="",F373=""),"",ROUND(F373*H373,2))</f>
        <v/>
      </c>
      <c r="J373" s="29">
        <f>IF(I373="","",F373-I373)</f>
        <v/>
      </c>
      <c r="K373" s="29">
        <f>IF(J373="","",J373/MAX(1,N(E373)))</f>
        <v/>
      </c>
      <c r="L373" s="37">
        <f>IF(OR(D373="",A373=""),"",A373+IF(AND(Config!$B$17="Sim",LEFT(D373,17)="Cartão de crédito"),1,IFERROR(INDEX(Config!$C$12:$C$15,MATCH(IF(AND(D373="Cartão de crédito",N(E373)&gt;1),"Cartão de crédito parcelado",D373),Config!$A$12:$A$15,0)),0)))</f>
        <v/>
      </c>
      <c r="M373" s="37">
        <f>IF(L373="","",IF(AND(Config!$B$17="Sim",LEFT(D373,17)="Cartão de crédito"),L373,L373+30*(MAX(1,N(E373))-1)))</f>
        <v/>
      </c>
      <c r="N373" s="29">
        <f>IF(OR(L373="",K373=""),"",K373*MIN(MAX(1,N(E373)),MAX(0,INT((Config!$B$8-L373)/30)+1)))</f>
        <v/>
      </c>
      <c r="O373" s="29">
        <f>IF(J373="","",J373-N(N373))</f>
        <v/>
      </c>
      <c r="P373" s="27">
        <f>IF(A373="","",MONTH(A373))</f>
        <v/>
      </c>
      <c r="Q373" s="27">
        <f>IF(A373="","",YEAR(A373))</f>
        <v/>
      </c>
      <c r="R373" s="27">
        <f>IF(L373="","",IF(L373&gt;Config!$B$8,"A cair",IF(N(G373)&gt;=MIN(MAX(1,N(E373)),MAX(0,INT((Config!$B$8-L373)/30)+1)),IF(N(G373)&gt;=MAX(1,N(E373)),"Conferido","Conferido até aqui"),"A conferir")))</f>
        <v/>
      </c>
      <c r="S373" s="51">
        <f>IF(R373="A conferir",(Config!$B$8-L373)*1000+N(F373)/1000+ROW()/100000,0)</f>
        <v>0</v>
      </c>
      <c r="T373" s="51">
        <f>IF(R373="A conferir",N(N373),0)</f>
        <v>0</v>
      </c>
      <c r="U373" s="51">
        <f>IF(L373="",0,L373)</f>
        <v>0</v>
      </c>
      <c r="V373" s="51">
        <f>IF(L373="",0,MAX(1,N(E373)))</f>
        <v>0</v>
      </c>
      <c r="W373" s="51">
        <f>IF(K373="",0,K373)</f>
        <v>0</v>
      </c>
    </row>
    <row r="374">
      <c r="A374" s="49" t="n"/>
      <c r="B374" s="41" t="n"/>
      <c r="C374" s="41" t="n"/>
      <c r="D374" s="42" t="n"/>
      <c r="E374" s="42" t="n"/>
      <c r="F374" s="50" t="n"/>
      <c r="G374" s="42" t="n"/>
      <c r="H374" s="30">
        <f>IF(D374="","",IFERROR(INDEX(Config!$B$12:$B$15,MATCH(IF(AND(D374="Cartão de crédito",N(E374)&gt;1),"Cartão de crédito parcelado",D374),Config!$A$12:$A$15,0)),0)+IF(AND(Config!$B$17="Sim",LEFT(D374,17)="Cartão de crédito"),Config!$B$18*IFERROR(INDEX(Config!$C$12:$C$15,MATCH(IF(AND(D374="Cartão de crédito",N(E374)&gt;1),"Cartão de crédito parcelado",D374),Config!$A$12:$A$15,0)),0)/30*MAX(1,N(E374)),0))</f>
        <v/>
      </c>
      <c r="I374" s="29">
        <f>IF(OR(D374="",F374=""),"",ROUND(F374*H374,2))</f>
        <v/>
      </c>
      <c r="J374" s="29">
        <f>IF(I374="","",F374-I374)</f>
        <v/>
      </c>
      <c r="K374" s="29">
        <f>IF(J374="","",J374/MAX(1,N(E374)))</f>
        <v/>
      </c>
      <c r="L374" s="37">
        <f>IF(OR(D374="",A374=""),"",A374+IF(AND(Config!$B$17="Sim",LEFT(D374,17)="Cartão de crédito"),1,IFERROR(INDEX(Config!$C$12:$C$15,MATCH(IF(AND(D374="Cartão de crédito",N(E374)&gt;1),"Cartão de crédito parcelado",D374),Config!$A$12:$A$15,0)),0)))</f>
        <v/>
      </c>
      <c r="M374" s="37">
        <f>IF(L374="","",IF(AND(Config!$B$17="Sim",LEFT(D374,17)="Cartão de crédito"),L374,L374+30*(MAX(1,N(E374))-1)))</f>
        <v/>
      </c>
      <c r="N374" s="29">
        <f>IF(OR(L374="",K374=""),"",K374*MIN(MAX(1,N(E374)),MAX(0,INT((Config!$B$8-L374)/30)+1)))</f>
        <v/>
      </c>
      <c r="O374" s="29">
        <f>IF(J374="","",J374-N(N374))</f>
        <v/>
      </c>
      <c r="P374" s="27">
        <f>IF(A374="","",MONTH(A374))</f>
        <v/>
      </c>
      <c r="Q374" s="27">
        <f>IF(A374="","",YEAR(A374))</f>
        <v/>
      </c>
      <c r="R374" s="27">
        <f>IF(L374="","",IF(L374&gt;Config!$B$8,"A cair",IF(N(G374)&gt;=MIN(MAX(1,N(E374)),MAX(0,INT((Config!$B$8-L374)/30)+1)),IF(N(G374)&gt;=MAX(1,N(E374)),"Conferido","Conferido até aqui"),"A conferir")))</f>
        <v/>
      </c>
      <c r="S374" s="51">
        <f>IF(R374="A conferir",(Config!$B$8-L374)*1000+N(F374)/1000+ROW()/100000,0)</f>
        <v>0</v>
      </c>
      <c r="T374" s="51">
        <f>IF(R374="A conferir",N(N374),0)</f>
        <v>0</v>
      </c>
      <c r="U374" s="51">
        <f>IF(L374="",0,L374)</f>
        <v>0</v>
      </c>
      <c r="V374" s="51">
        <f>IF(L374="",0,MAX(1,N(E374)))</f>
        <v>0</v>
      </c>
      <c r="W374" s="51">
        <f>IF(K374="",0,K374)</f>
        <v>0</v>
      </c>
    </row>
    <row r="375">
      <c r="A375" s="49" t="n"/>
      <c r="B375" s="41" t="n"/>
      <c r="C375" s="41" t="n"/>
      <c r="D375" s="42" t="n"/>
      <c r="E375" s="42" t="n"/>
      <c r="F375" s="50" t="n"/>
      <c r="G375" s="42" t="n"/>
      <c r="H375" s="30">
        <f>IF(D375="","",IFERROR(INDEX(Config!$B$12:$B$15,MATCH(IF(AND(D375="Cartão de crédito",N(E375)&gt;1),"Cartão de crédito parcelado",D375),Config!$A$12:$A$15,0)),0)+IF(AND(Config!$B$17="Sim",LEFT(D375,17)="Cartão de crédito"),Config!$B$18*IFERROR(INDEX(Config!$C$12:$C$15,MATCH(IF(AND(D375="Cartão de crédito",N(E375)&gt;1),"Cartão de crédito parcelado",D375),Config!$A$12:$A$15,0)),0)/30*MAX(1,N(E375)),0))</f>
        <v/>
      </c>
      <c r="I375" s="29">
        <f>IF(OR(D375="",F375=""),"",ROUND(F375*H375,2))</f>
        <v/>
      </c>
      <c r="J375" s="29">
        <f>IF(I375="","",F375-I375)</f>
        <v/>
      </c>
      <c r="K375" s="29">
        <f>IF(J375="","",J375/MAX(1,N(E375)))</f>
        <v/>
      </c>
      <c r="L375" s="37">
        <f>IF(OR(D375="",A375=""),"",A375+IF(AND(Config!$B$17="Sim",LEFT(D375,17)="Cartão de crédito"),1,IFERROR(INDEX(Config!$C$12:$C$15,MATCH(IF(AND(D375="Cartão de crédito",N(E375)&gt;1),"Cartão de crédito parcelado",D375),Config!$A$12:$A$15,0)),0)))</f>
        <v/>
      </c>
      <c r="M375" s="37">
        <f>IF(L375="","",IF(AND(Config!$B$17="Sim",LEFT(D375,17)="Cartão de crédito"),L375,L375+30*(MAX(1,N(E375))-1)))</f>
        <v/>
      </c>
      <c r="N375" s="29">
        <f>IF(OR(L375="",K375=""),"",K375*MIN(MAX(1,N(E375)),MAX(0,INT((Config!$B$8-L375)/30)+1)))</f>
        <v/>
      </c>
      <c r="O375" s="29">
        <f>IF(J375="","",J375-N(N375))</f>
        <v/>
      </c>
      <c r="P375" s="27">
        <f>IF(A375="","",MONTH(A375))</f>
        <v/>
      </c>
      <c r="Q375" s="27">
        <f>IF(A375="","",YEAR(A375))</f>
        <v/>
      </c>
      <c r="R375" s="27">
        <f>IF(L375="","",IF(L375&gt;Config!$B$8,"A cair",IF(N(G375)&gt;=MIN(MAX(1,N(E375)),MAX(0,INT((Config!$B$8-L375)/30)+1)),IF(N(G375)&gt;=MAX(1,N(E375)),"Conferido","Conferido até aqui"),"A conferir")))</f>
        <v/>
      </c>
      <c r="S375" s="51">
        <f>IF(R375="A conferir",(Config!$B$8-L375)*1000+N(F375)/1000+ROW()/100000,0)</f>
        <v>0</v>
      </c>
      <c r="T375" s="51">
        <f>IF(R375="A conferir",N(N375),0)</f>
        <v>0</v>
      </c>
      <c r="U375" s="51">
        <f>IF(L375="",0,L375)</f>
        <v>0</v>
      </c>
      <c r="V375" s="51">
        <f>IF(L375="",0,MAX(1,N(E375)))</f>
        <v>0</v>
      </c>
      <c r="W375" s="51">
        <f>IF(K375="",0,K375)</f>
        <v>0</v>
      </c>
    </row>
    <row r="376">
      <c r="A376" s="49" t="n"/>
      <c r="B376" s="41" t="n"/>
      <c r="C376" s="41" t="n"/>
      <c r="D376" s="42" t="n"/>
      <c r="E376" s="42" t="n"/>
      <c r="F376" s="50" t="n"/>
      <c r="G376" s="42" t="n"/>
      <c r="H376" s="30">
        <f>IF(D376="","",IFERROR(INDEX(Config!$B$12:$B$15,MATCH(IF(AND(D376="Cartão de crédito",N(E376)&gt;1),"Cartão de crédito parcelado",D376),Config!$A$12:$A$15,0)),0)+IF(AND(Config!$B$17="Sim",LEFT(D376,17)="Cartão de crédito"),Config!$B$18*IFERROR(INDEX(Config!$C$12:$C$15,MATCH(IF(AND(D376="Cartão de crédito",N(E376)&gt;1),"Cartão de crédito parcelado",D376),Config!$A$12:$A$15,0)),0)/30*MAX(1,N(E376)),0))</f>
        <v/>
      </c>
      <c r="I376" s="29">
        <f>IF(OR(D376="",F376=""),"",ROUND(F376*H376,2))</f>
        <v/>
      </c>
      <c r="J376" s="29">
        <f>IF(I376="","",F376-I376)</f>
        <v/>
      </c>
      <c r="K376" s="29">
        <f>IF(J376="","",J376/MAX(1,N(E376)))</f>
        <v/>
      </c>
      <c r="L376" s="37">
        <f>IF(OR(D376="",A376=""),"",A376+IF(AND(Config!$B$17="Sim",LEFT(D376,17)="Cartão de crédito"),1,IFERROR(INDEX(Config!$C$12:$C$15,MATCH(IF(AND(D376="Cartão de crédito",N(E376)&gt;1),"Cartão de crédito parcelado",D376),Config!$A$12:$A$15,0)),0)))</f>
        <v/>
      </c>
      <c r="M376" s="37">
        <f>IF(L376="","",IF(AND(Config!$B$17="Sim",LEFT(D376,17)="Cartão de crédito"),L376,L376+30*(MAX(1,N(E376))-1)))</f>
        <v/>
      </c>
      <c r="N376" s="29">
        <f>IF(OR(L376="",K376=""),"",K376*MIN(MAX(1,N(E376)),MAX(0,INT((Config!$B$8-L376)/30)+1)))</f>
        <v/>
      </c>
      <c r="O376" s="29">
        <f>IF(J376="","",J376-N(N376))</f>
        <v/>
      </c>
      <c r="P376" s="27">
        <f>IF(A376="","",MONTH(A376))</f>
        <v/>
      </c>
      <c r="Q376" s="27">
        <f>IF(A376="","",YEAR(A376))</f>
        <v/>
      </c>
      <c r="R376" s="27">
        <f>IF(L376="","",IF(L376&gt;Config!$B$8,"A cair",IF(N(G376)&gt;=MIN(MAX(1,N(E376)),MAX(0,INT((Config!$B$8-L376)/30)+1)),IF(N(G376)&gt;=MAX(1,N(E376)),"Conferido","Conferido até aqui"),"A conferir")))</f>
        <v/>
      </c>
      <c r="S376" s="51">
        <f>IF(R376="A conferir",(Config!$B$8-L376)*1000+N(F376)/1000+ROW()/100000,0)</f>
        <v>0</v>
      </c>
      <c r="T376" s="51">
        <f>IF(R376="A conferir",N(N376),0)</f>
        <v>0</v>
      </c>
      <c r="U376" s="51">
        <f>IF(L376="",0,L376)</f>
        <v>0</v>
      </c>
      <c r="V376" s="51">
        <f>IF(L376="",0,MAX(1,N(E376)))</f>
        <v>0</v>
      </c>
      <c r="W376" s="51">
        <f>IF(K376="",0,K376)</f>
        <v>0</v>
      </c>
    </row>
    <row r="377">
      <c r="A377" s="49" t="n"/>
      <c r="B377" s="41" t="n"/>
      <c r="C377" s="41" t="n"/>
      <c r="D377" s="42" t="n"/>
      <c r="E377" s="42" t="n"/>
      <c r="F377" s="50" t="n"/>
      <c r="G377" s="42" t="n"/>
      <c r="H377" s="30">
        <f>IF(D377="","",IFERROR(INDEX(Config!$B$12:$B$15,MATCH(IF(AND(D377="Cartão de crédito",N(E377)&gt;1),"Cartão de crédito parcelado",D377),Config!$A$12:$A$15,0)),0)+IF(AND(Config!$B$17="Sim",LEFT(D377,17)="Cartão de crédito"),Config!$B$18*IFERROR(INDEX(Config!$C$12:$C$15,MATCH(IF(AND(D377="Cartão de crédito",N(E377)&gt;1),"Cartão de crédito parcelado",D377),Config!$A$12:$A$15,0)),0)/30*MAX(1,N(E377)),0))</f>
        <v/>
      </c>
      <c r="I377" s="29">
        <f>IF(OR(D377="",F377=""),"",ROUND(F377*H377,2))</f>
        <v/>
      </c>
      <c r="J377" s="29">
        <f>IF(I377="","",F377-I377)</f>
        <v/>
      </c>
      <c r="K377" s="29">
        <f>IF(J377="","",J377/MAX(1,N(E377)))</f>
        <v/>
      </c>
      <c r="L377" s="37">
        <f>IF(OR(D377="",A377=""),"",A377+IF(AND(Config!$B$17="Sim",LEFT(D377,17)="Cartão de crédito"),1,IFERROR(INDEX(Config!$C$12:$C$15,MATCH(IF(AND(D377="Cartão de crédito",N(E377)&gt;1),"Cartão de crédito parcelado",D377),Config!$A$12:$A$15,0)),0)))</f>
        <v/>
      </c>
      <c r="M377" s="37">
        <f>IF(L377="","",IF(AND(Config!$B$17="Sim",LEFT(D377,17)="Cartão de crédito"),L377,L377+30*(MAX(1,N(E377))-1)))</f>
        <v/>
      </c>
      <c r="N377" s="29">
        <f>IF(OR(L377="",K377=""),"",K377*MIN(MAX(1,N(E377)),MAX(0,INT((Config!$B$8-L377)/30)+1)))</f>
        <v/>
      </c>
      <c r="O377" s="29">
        <f>IF(J377="","",J377-N(N377))</f>
        <v/>
      </c>
      <c r="P377" s="27">
        <f>IF(A377="","",MONTH(A377))</f>
        <v/>
      </c>
      <c r="Q377" s="27">
        <f>IF(A377="","",YEAR(A377))</f>
        <v/>
      </c>
      <c r="R377" s="27">
        <f>IF(L377="","",IF(L377&gt;Config!$B$8,"A cair",IF(N(G377)&gt;=MIN(MAX(1,N(E377)),MAX(0,INT((Config!$B$8-L377)/30)+1)),IF(N(G377)&gt;=MAX(1,N(E377)),"Conferido","Conferido até aqui"),"A conferir")))</f>
        <v/>
      </c>
      <c r="S377" s="51">
        <f>IF(R377="A conferir",(Config!$B$8-L377)*1000+N(F377)/1000+ROW()/100000,0)</f>
        <v>0</v>
      </c>
      <c r="T377" s="51">
        <f>IF(R377="A conferir",N(N377),0)</f>
        <v>0</v>
      </c>
      <c r="U377" s="51">
        <f>IF(L377="",0,L377)</f>
        <v>0</v>
      </c>
      <c r="V377" s="51">
        <f>IF(L377="",0,MAX(1,N(E377)))</f>
        <v>0</v>
      </c>
      <c r="W377" s="51">
        <f>IF(K377="",0,K377)</f>
        <v>0</v>
      </c>
    </row>
    <row r="378">
      <c r="A378" s="49" t="n"/>
      <c r="B378" s="41" t="n"/>
      <c r="C378" s="41" t="n"/>
      <c r="D378" s="42" t="n"/>
      <c r="E378" s="42" t="n"/>
      <c r="F378" s="50" t="n"/>
      <c r="G378" s="42" t="n"/>
      <c r="H378" s="30">
        <f>IF(D378="","",IFERROR(INDEX(Config!$B$12:$B$15,MATCH(IF(AND(D378="Cartão de crédito",N(E378)&gt;1),"Cartão de crédito parcelado",D378),Config!$A$12:$A$15,0)),0)+IF(AND(Config!$B$17="Sim",LEFT(D378,17)="Cartão de crédito"),Config!$B$18*IFERROR(INDEX(Config!$C$12:$C$15,MATCH(IF(AND(D378="Cartão de crédito",N(E378)&gt;1),"Cartão de crédito parcelado",D378),Config!$A$12:$A$15,0)),0)/30*MAX(1,N(E378)),0))</f>
        <v/>
      </c>
      <c r="I378" s="29">
        <f>IF(OR(D378="",F378=""),"",ROUND(F378*H378,2))</f>
        <v/>
      </c>
      <c r="J378" s="29">
        <f>IF(I378="","",F378-I378)</f>
        <v/>
      </c>
      <c r="K378" s="29">
        <f>IF(J378="","",J378/MAX(1,N(E378)))</f>
        <v/>
      </c>
      <c r="L378" s="37">
        <f>IF(OR(D378="",A378=""),"",A378+IF(AND(Config!$B$17="Sim",LEFT(D378,17)="Cartão de crédito"),1,IFERROR(INDEX(Config!$C$12:$C$15,MATCH(IF(AND(D378="Cartão de crédito",N(E378)&gt;1),"Cartão de crédito parcelado",D378),Config!$A$12:$A$15,0)),0)))</f>
        <v/>
      </c>
      <c r="M378" s="37">
        <f>IF(L378="","",IF(AND(Config!$B$17="Sim",LEFT(D378,17)="Cartão de crédito"),L378,L378+30*(MAX(1,N(E378))-1)))</f>
        <v/>
      </c>
      <c r="N378" s="29">
        <f>IF(OR(L378="",K378=""),"",K378*MIN(MAX(1,N(E378)),MAX(0,INT((Config!$B$8-L378)/30)+1)))</f>
        <v/>
      </c>
      <c r="O378" s="29">
        <f>IF(J378="","",J378-N(N378))</f>
        <v/>
      </c>
      <c r="P378" s="27">
        <f>IF(A378="","",MONTH(A378))</f>
        <v/>
      </c>
      <c r="Q378" s="27">
        <f>IF(A378="","",YEAR(A378))</f>
        <v/>
      </c>
      <c r="R378" s="27">
        <f>IF(L378="","",IF(L378&gt;Config!$B$8,"A cair",IF(N(G378)&gt;=MIN(MAX(1,N(E378)),MAX(0,INT((Config!$B$8-L378)/30)+1)),IF(N(G378)&gt;=MAX(1,N(E378)),"Conferido","Conferido até aqui"),"A conferir")))</f>
        <v/>
      </c>
      <c r="S378" s="51">
        <f>IF(R378="A conferir",(Config!$B$8-L378)*1000+N(F378)/1000+ROW()/100000,0)</f>
        <v>0</v>
      </c>
      <c r="T378" s="51">
        <f>IF(R378="A conferir",N(N378),0)</f>
        <v>0</v>
      </c>
      <c r="U378" s="51">
        <f>IF(L378="",0,L378)</f>
        <v>0</v>
      </c>
      <c r="V378" s="51">
        <f>IF(L378="",0,MAX(1,N(E378)))</f>
        <v>0</v>
      </c>
      <c r="W378" s="51">
        <f>IF(K378="",0,K378)</f>
        <v>0</v>
      </c>
    </row>
    <row r="379">
      <c r="A379" s="49" t="n"/>
      <c r="B379" s="41" t="n"/>
      <c r="C379" s="41" t="n"/>
      <c r="D379" s="42" t="n"/>
      <c r="E379" s="42" t="n"/>
      <c r="F379" s="50" t="n"/>
      <c r="G379" s="42" t="n"/>
      <c r="H379" s="30">
        <f>IF(D379="","",IFERROR(INDEX(Config!$B$12:$B$15,MATCH(IF(AND(D379="Cartão de crédito",N(E379)&gt;1),"Cartão de crédito parcelado",D379),Config!$A$12:$A$15,0)),0)+IF(AND(Config!$B$17="Sim",LEFT(D379,17)="Cartão de crédito"),Config!$B$18*IFERROR(INDEX(Config!$C$12:$C$15,MATCH(IF(AND(D379="Cartão de crédito",N(E379)&gt;1),"Cartão de crédito parcelado",D379),Config!$A$12:$A$15,0)),0)/30*MAX(1,N(E379)),0))</f>
        <v/>
      </c>
      <c r="I379" s="29">
        <f>IF(OR(D379="",F379=""),"",ROUND(F379*H379,2))</f>
        <v/>
      </c>
      <c r="J379" s="29">
        <f>IF(I379="","",F379-I379)</f>
        <v/>
      </c>
      <c r="K379" s="29">
        <f>IF(J379="","",J379/MAX(1,N(E379)))</f>
        <v/>
      </c>
      <c r="L379" s="37">
        <f>IF(OR(D379="",A379=""),"",A379+IF(AND(Config!$B$17="Sim",LEFT(D379,17)="Cartão de crédito"),1,IFERROR(INDEX(Config!$C$12:$C$15,MATCH(IF(AND(D379="Cartão de crédito",N(E379)&gt;1),"Cartão de crédito parcelado",D379),Config!$A$12:$A$15,0)),0)))</f>
        <v/>
      </c>
      <c r="M379" s="37">
        <f>IF(L379="","",IF(AND(Config!$B$17="Sim",LEFT(D379,17)="Cartão de crédito"),L379,L379+30*(MAX(1,N(E379))-1)))</f>
        <v/>
      </c>
      <c r="N379" s="29">
        <f>IF(OR(L379="",K379=""),"",K379*MIN(MAX(1,N(E379)),MAX(0,INT((Config!$B$8-L379)/30)+1)))</f>
        <v/>
      </c>
      <c r="O379" s="29">
        <f>IF(J379="","",J379-N(N379))</f>
        <v/>
      </c>
      <c r="P379" s="27">
        <f>IF(A379="","",MONTH(A379))</f>
        <v/>
      </c>
      <c r="Q379" s="27">
        <f>IF(A379="","",YEAR(A379))</f>
        <v/>
      </c>
      <c r="R379" s="27">
        <f>IF(L379="","",IF(L379&gt;Config!$B$8,"A cair",IF(N(G379)&gt;=MIN(MAX(1,N(E379)),MAX(0,INT((Config!$B$8-L379)/30)+1)),IF(N(G379)&gt;=MAX(1,N(E379)),"Conferido","Conferido até aqui"),"A conferir")))</f>
        <v/>
      </c>
      <c r="S379" s="51">
        <f>IF(R379="A conferir",(Config!$B$8-L379)*1000+N(F379)/1000+ROW()/100000,0)</f>
        <v>0</v>
      </c>
      <c r="T379" s="51">
        <f>IF(R379="A conferir",N(N379),0)</f>
        <v>0</v>
      </c>
      <c r="U379" s="51">
        <f>IF(L379="",0,L379)</f>
        <v>0</v>
      </c>
      <c r="V379" s="51">
        <f>IF(L379="",0,MAX(1,N(E379)))</f>
        <v>0</v>
      </c>
      <c r="W379" s="51">
        <f>IF(K379="",0,K379)</f>
        <v>0</v>
      </c>
    </row>
    <row r="380">
      <c r="A380" s="49" t="n"/>
      <c r="B380" s="41" t="n"/>
      <c r="C380" s="41" t="n"/>
      <c r="D380" s="42" t="n"/>
      <c r="E380" s="42" t="n"/>
      <c r="F380" s="50" t="n"/>
      <c r="G380" s="42" t="n"/>
      <c r="H380" s="30">
        <f>IF(D380="","",IFERROR(INDEX(Config!$B$12:$B$15,MATCH(IF(AND(D380="Cartão de crédito",N(E380)&gt;1),"Cartão de crédito parcelado",D380),Config!$A$12:$A$15,0)),0)+IF(AND(Config!$B$17="Sim",LEFT(D380,17)="Cartão de crédito"),Config!$B$18*IFERROR(INDEX(Config!$C$12:$C$15,MATCH(IF(AND(D380="Cartão de crédito",N(E380)&gt;1),"Cartão de crédito parcelado",D380),Config!$A$12:$A$15,0)),0)/30*MAX(1,N(E380)),0))</f>
        <v/>
      </c>
      <c r="I380" s="29">
        <f>IF(OR(D380="",F380=""),"",ROUND(F380*H380,2))</f>
        <v/>
      </c>
      <c r="J380" s="29">
        <f>IF(I380="","",F380-I380)</f>
        <v/>
      </c>
      <c r="K380" s="29">
        <f>IF(J380="","",J380/MAX(1,N(E380)))</f>
        <v/>
      </c>
      <c r="L380" s="37">
        <f>IF(OR(D380="",A380=""),"",A380+IF(AND(Config!$B$17="Sim",LEFT(D380,17)="Cartão de crédito"),1,IFERROR(INDEX(Config!$C$12:$C$15,MATCH(IF(AND(D380="Cartão de crédito",N(E380)&gt;1),"Cartão de crédito parcelado",D380),Config!$A$12:$A$15,0)),0)))</f>
        <v/>
      </c>
      <c r="M380" s="37">
        <f>IF(L380="","",IF(AND(Config!$B$17="Sim",LEFT(D380,17)="Cartão de crédito"),L380,L380+30*(MAX(1,N(E380))-1)))</f>
        <v/>
      </c>
      <c r="N380" s="29">
        <f>IF(OR(L380="",K380=""),"",K380*MIN(MAX(1,N(E380)),MAX(0,INT((Config!$B$8-L380)/30)+1)))</f>
        <v/>
      </c>
      <c r="O380" s="29">
        <f>IF(J380="","",J380-N(N380))</f>
        <v/>
      </c>
      <c r="P380" s="27">
        <f>IF(A380="","",MONTH(A380))</f>
        <v/>
      </c>
      <c r="Q380" s="27">
        <f>IF(A380="","",YEAR(A380))</f>
        <v/>
      </c>
      <c r="R380" s="27">
        <f>IF(L380="","",IF(L380&gt;Config!$B$8,"A cair",IF(N(G380)&gt;=MIN(MAX(1,N(E380)),MAX(0,INT((Config!$B$8-L380)/30)+1)),IF(N(G380)&gt;=MAX(1,N(E380)),"Conferido","Conferido até aqui"),"A conferir")))</f>
        <v/>
      </c>
      <c r="S380" s="51">
        <f>IF(R380="A conferir",(Config!$B$8-L380)*1000+N(F380)/1000+ROW()/100000,0)</f>
        <v>0</v>
      </c>
      <c r="T380" s="51">
        <f>IF(R380="A conferir",N(N380),0)</f>
        <v>0</v>
      </c>
      <c r="U380" s="51">
        <f>IF(L380="",0,L380)</f>
        <v>0</v>
      </c>
      <c r="V380" s="51">
        <f>IF(L380="",0,MAX(1,N(E380)))</f>
        <v>0</v>
      </c>
      <c r="W380" s="51">
        <f>IF(K380="",0,K380)</f>
        <v>0</v>
      </c>
    </row>
    <row r="381">
      <c r="A381" s="49" t="n"/>
      <c r="B381" s="41" t="n"/>
      <c r="C381" s="41" t="n"/>
      <c r="D381" s="42" t="n"/>
      <c r="E381" s="42" t="n"/>
      <c r="F381" s="50" t="n"/>
      <c r="G381" s="42" t="n"/>
      <c r="H381" s="30">
        <f>IF(D381="","",IFERROR(INDEX(Config!$B$12:$B$15,MATCH(IF(AND(D381="Cartão de crédito",N(E381)&gt;1),"Cartão de crédito parcelado",D381),Config!$A$12:$A$15,0)),0)+IF(AND(Config!$B$17="Sim",LEFT(D381,17)="Cartão de crédito"),Config!$B$18*IFERROR(INDEX(Config!$C$12:$C$15,MATCH(IF(AND(D381="Cartão de crédito",N(E381)&gt;1),"Cartão de crédito parcelado",D381),Config!$A$12:$A$15,0)),0)/30*MAX(1,N(E381)),0))</f>
        <v/>
      </c>
      <c r="I381" s="29">
        <f>IF(OR(D381="",F381=""),"",ROUND(F381*H381,2))</f>
        <v/>
      </c>
      <c r="J381" s="29">
        <f>IF(I381="","",F381-I381)</f>
        <v/>
      </c>
      <c r="K381" s="29">
        <f>IF(J381="","",J381/MAX(1,N(E381)))</f>
        <v/>
      </c>
      <c r="L381" s="37">
        <f>IF(OR(D381="",A381=""),"",A381+IF(AND(Config!$B$17="Sim",LEFT(D381,17)="Cartão de crédito"),1,IFERROR(INDEX(Config!$C$12:$C$15,MATCH(IF(AND(D381="Cartão de crédito",N(E381)&gt;1),"Cartão de crédito parcelado",D381),Config!$A$12:$A$15,0)),0)))</f>
        <v/>
      </c>
      <c r="M381" s="37">
        <f>IF(L381="","",IF(AND(Config!$B$17="Sim",LEFT(D381,17)="Cartão de crédito"),L381,L381+30*(MAX(1,N(E381))-1)))</f>
        <v/>
      </c>
      <c r="N381" s="29">
        <f>IF(OR(L381="",K381=""),"",K381*MIN(MAX(1,N(E381)),MAX(0,INT((Config!$B$8-L381)/30)+1)))</f>
        <v/>
      </c>
      <c r="O381" s="29">
        <f>IF(J381="","",J381-N(N381))</f>
        <v/>
      </c>
      <c r="P381" s="27">
        <f>IF(A381="","",MONTH(A381))</f>
        <v/>
      </c>
      <c r="Q381" s="27">
        <f>IF(A381="","",YEAR(A381))</f>
        <v/>
      </c>
      <c r="R381" s="27">
        <f>IF(L381="","",IF(L381&gt;Config!$B$8,"A cair",IF(N(G381)&gt;=MIN(MAX(1,N(E381)),MAX(0,INT((Config!$B$8-L381)/30)+1)),IF(N(G381)&gt;=MAX(1,N(E381)),"Conferido","Conferido até aqui"),"A conferir")))</f>
        <v/>
      </c>
      <c r="S381" s="51">
        <f>IF(R381="A conferir",(Config!$B$8-L381)*1000+N(F381)/1000+ROW()/100000,0)</f>
        <v>0</v>
      </c>
      <c r="T381" s="51">
        <f>IF(R381="A conferir",N(N381),0)</f>
        <v>0</v>
      </c>
      <c r="U381" s="51">
        <f>IF(L381="",0,L381)</f>
        <v>0</v>
      </c>
      <c r="V381" s="51">
        <f>IF(L381="",0,MAX(1,N(E381)))</f>
        <v>0</v>
      </c>
      <c r="W381" s="51">
        <f>IF(K381="",0,K381)</f>
        <v>0</v>
      </c>
    </row>
    <row r="382">
      <c r="A382" s="49" t="n"/>
      <c r="B382" s="41" t="n"/>
      <c r="C382" s="41" t="n"/>
      <c r="D382" s="42" t="n"/>
      <c r="E382" s="42" t="n"/>
      <c r="F382" s="50" t="n"/>
      <c r="G382" s="42" t="n"/>
      <c r="H382" s="30">
        <f>IF(D382="","",IFERROR(INDEX(Config!$B$12:$B$15,MATCH(IF(AND(D382="Cartão de crédito",N(E382)&gt;1),"Cartão de crédito parcelado",D382),Config!$A$12:$A$15,0)),0)+IF(AND(Config!$B$17="Sim",LEFT(D382,17)="Cartão de crédito"),Config!$B$18*IFERROR(INDEX(Config!$C$12:$C$15,MATCH(IF(AND(D382="Cartão de crédito",N(E382)&gt;1),"Cartão de crédito parcelado",D382),Config!$A$12:$A$15,0)),0)/30*MAX(1,N(E382)),0))</f>
        <v/>
      </c>
      <c r="I382" s="29">
        <f>IF(OR(D382="",F382=""),"",ROUND(F382*H382,2))</f>
        <v/>
      </c>
      <c r="J382" s="29">
        <f>IF(I382="","",F382-I382)</f>
        <v/>
      </c>
      <c r="K382" s="29">
        <f>IF(J382="","",J382/MAX(1,N(E382)))</f>
        <v/>
      </c>
      <c r="L382" s="37">
        <f>IF(OR(D382="",A382=""),"",A382+IF(AND(Config!$B$17="Sim",LEFT(D382,17)="Cartão de crédito"),1,IFERROR(INDEX(Config!$C$12:$C$15,MATCH(IF(AND(D382="Cartão de crédito",N(E382)&gt;1),"Cartão de crédito parcelado",D382),Config!$A$12:$A$15,0)),0)))</f>
        <v/>
      </c>
      <c r="M382" s="37">
        <f>IF(L382="","",IF(AND(Config!$B$17="Sim",LEFT(D382,17)="Cartão de crédito"),L382,L382+30*(MAX(1,N(E382))-1)))</f>
        <v/>
      </c>
      <c r="N382" s="29">
        <f>IF(OR(L382="",K382=""),"",K382*MIN(MAX(1,N(E382)),MAX(0,INT((Config!$B$8-L382)/30)+1)))</f>
        <v/>
      </c>
      <c r="O382" s="29">
        <f>IF(J382="","",J382-N(N382))</f>
        <v/>
      </c>
      <c r="P382" s="27">
        <f>IF(A382="","",MONTH(A382))</f>
        <v/>
      </c>
      <c r="Q382" s="27">
        <f>IF(A382="","",YEAR(A382))</f>
        <v/>
      </c>
      <c r="R382" s="27">
        <f>IF(L382="","",IF(L382&gt;Config!$B$8,"A cair",IF(N(G382)&gt;=MIN(MAX(1,N(E382)),MAX(0,INT((Config!$B$8-L382)/30)+1)),IF(N(G382)&gt;=MAX(1,N(E382)),"Conferido","Conferido até aqui"),"A conferir")))</f>
        <v/>
      </c>
      <c r="S382" s="51">
        <f>IF(R382="A conferir",(Config!$B$8-L382)*1000+N(F382)/1000+ROW()/100000,0)</f>
        <v>0</v>
      </c>
      <c r="T382" s="51">
        <f>IF(R382="A conferir",N(N382),0)</f>
        <v>0</v>
      </c>
      <c r="U382" s="51">
        <f>IF(L382="",0,L382)</f>
        <v>0</v>
      </c>
      <c r="V382" s="51">
        <f>IF(L382="",0,MAX(1,N(E382)))</f>
        <v>0</v>
      </c>
      <c r="W382" s="51">
        <f>IF(K382="",0,K382)</f>
        <v>0</v>
      </c>
    </row>
    <row r="383">
      <c r="A383" s="49" t="n"/>
      <c r="B383" s="41" t="n"/>
      <c r="C383" s="41" t="n"/>
      <c r="D383" s="42" t="n"/>
      <c r="E383" s="42" t="n"/>
      <c r="F383" s="50" t="n"/>
      <c r="G383" s="42" t="n"/>
      <c r="H383" s="30">
        <f>IF(D383="","",IFERROR(INDEX(Config!$B$12:$B$15,MATCH(IF(AND(D383="Cartão de crédito",N(E383)&gt;1),"Cartão de crédito parcelado",D383),Config!$A$12:$A$15,0)),0)+IF(AND(Config!$B$17="Sim",LEFT(D383,17)="Cartão de crédito"),Config!$B$18*IFERROR(INDEX(Config!$C$12:$C$15,MATCH(IF(AND(D383="Cartão de crédito",N(E383)&gt;1),"Cartão de crédito parcelado",D383),Config!$A$12:$A$15,0)),0)/30*MAX(1,N(E383)),0))</f>
        <v/>
      </c>
      <c r="I383" s="29">
        <f>IF(OR(D383="",F383=""),"",ROUND(F383*H383,2))</f>
        <v/>
      </c>
      <c r="J383" s="29">
        <f>IF(I383="","",F383-I383)</f>
        <v/>
      </c>
      <c r="K383" s="29">
        <f>IF(J383="","",J383/MAX(1,N(E383)))</f>
        <v/>
      </c>
      <c r="L383" s="37">
        <f>IF(OR(D383="",A383=""),"",A383+IF(AND(Config!$B$17="Sim",LEFT(D383,17)="Cartão de crédito"),1,IFERROR(INDEX(Config!$C$12:$C$15,MATCH(IF(AND(D383="Cartão de crédito",N(E383)&gt;1),"Cartão de crédito parcelado",D383),Config!$A$12:$A$15,0)),0)))</f>
        <v/>
      </c>
      <c r="M383" s="37">
        <f>IF(L383="","",IF(AND(Config!$B$17="Sim",LEFT(D383,17)="Cartão de crédito"),L383,L383+30*(MAX(1,N(E383))-1)))</f>
        <v/>
      </c>
      <c r="N383" s="29">
        <f>IF(OR(L383="",K383=""),"",K383*MIN(MAX(1,N(E383)),MAX(0,INT((Config!$B$8-L383)/30)+1)))</f>
        <v/>
      </c>
      <c r="O383" s="29">
        <f>IF(J383="","",J383-N(N383))</f>
        <v/>
      </c>
      <c r="P383" s="27">
        <f>IF(A383="","",MONTH(A383))</f>
        <v/>
      </c>
      <c r="Q383" s="27">
        <f>IF(A383="","",YEAR(A383))</f>
        <v/>
      </c>
      <c r="R383" s="27">
        <f>IF(L383="","",IF(L383&gt;Config!$B$8,"A cair",IF(N(G383)&gt;=MIN(MAX(1,N(E383)),MAX(0,INT((Config!$B$8-L383)/30)+1)),IF(N(G383)&gt;=MAX(1,N(E383)),"Conferido","Conferido até aqui"),"A conferir")))</f>
        <v/>
      </c>
      <c r="S383" s="51">
        <f>IF(R383="A conferir",(Config!$B$8-L383)*1000+N(F383)/1000+ROW()/100000,0)</f>
        <v>0</v>
      </c>
      <c r="T383" s="51">
        <f>IF(R383="A conferir",N(N383),0)</f>
        <v>0</v>
      </c>
      <c r="U383" s="51">
        <f>IF(L383="",0,L383)</f>
        <v>0</v>
      </c>
      <c r="V383" s="51">
        <f>IF(L383="",0,MAX(1,N(E383)))</f>
        <v>0</v>
      </c>
      <c r="W383" s="51">
        <f>IF(K383="",0,K383)</f>
        <v>0</v>
      </c>
    </row>
    <row r="384">
      <c r="A384" s="49" t="n"/>
      <c r="B384" s="41" t="n"/>
      <c r="C384" s="41" t="n"/>
      <c r="D384" s="42" t="n"/>
      <c r="E384" s="42" t="n"/>
      <c r="F384" s="50" t="n"/>
      <c r="G384" s="42" t="n"/>
      <c r="H384" s="30">
        <f>IF(D384="","",IFERROR(INDEX(Config!$B$12:$B$15,MATCH(IF(AND(D384="Cartão de crédito",N(E384)&gt;1),"Cartão de crédito parcelado",D384),Config!$A$12:$A$15,0)),0)+IF(AND(Config!$B$17="Sim",LEFT(D384,17)="Cartão de crédito"),Config!$B$18*IFERROR(INDEX(Config!$C$12:$C$15,MATCH(IF(AND(D384="Cartão de crédito",N(E384)&gt;1),"Cartão de crédito parcelado",D384),Config!$A$12:$A$15,0)),0)/30*MAX(1,N(E384)),0))</f>
        <v/>
      </c>
      <c r="I384" s="29">
        <f>IF(OR(D384="",F384=""),"",ROUND(F384*H384,2))</f>
        <v/>
      </c>
      <c r="J384" s="29">
        <f>IF(I384="","",F384-I384)</f>
        <v/>
      </c>
      <c r="K384" s="29">
        <f>IF(J384="","",J384/MAX(1,N(E384)))</f>
        <v/>
      </c>
      <c r="L384" s="37">
        <f>IF(OR(D384="",A384=""),"",A384+IF(AND(Config!$B$17="Sim",LEFT(D384,17)="Cartão de crédito"),1,IFERROR(INDEX(Config!$C$12:$C$15,MATCH(IF(AND(D384="Cartão de crédito",N(E384)&gt;1),"Cartão de crédito parcelado",D384),Config!$A$12:$A$15,0)),0)))</f>
        <v/>
      </c>
      <c r="M384" s="37">
        <f>IF(L384="","",IF(AND(Config!$B$17="Sim",LEFT(D384,17)="Cartão de crédito"),L384,L384+30*(MAX(1,N(E384))-1)))</f>
        <v/>
      </c>
      <c r="N384" s="29">
        <f>IF(OR(L384="",K384=""),"",K384*MIN(MAX(1,N(E384)),MAX(0,INT((Config!$B$8-L384)/30)+1)))</f>
        <v/>
      </c>
      <c r="O384" s="29">
        <f>IF(J384="","",J384-N(N384))</f>
        <v/>
      </c>
      <c r="P384" s="27">
        <f>IF(A384="","",MONTH(A384))</f>
        <v/>
      </c>
      <c r="Q384" s="27">
        <f>IF(A384="","",YEAR(A384))</f>
        <v/>
      </c>
      <c r="R384" s="27">
        <f>IF(L384="","",IF(L384&gt;Config!$B$8,"A cair",IF(N(G384)&gt;=MIN(MAX(1,N(E384)),MAX(0,INT((Config!$B$8-L384)/30)+1)),IF(N(G384)&gt;=MAX(1,N(E384)),"Conferido","Conferido até aqui"),"A conferir")))</f>
        <v/>
      </c>
      <c r="S384" s="51">
        <f>IF(R384="A conferir",(Config!$B$8-L384)*1000+N(F384)/1000+ROW()/100000,0)</f>
        <v>0</v>
      </c>
      <c r="T384" s="51">
        <f>IF(R384="A conferir",N(N384),0)</f>
        <v>0</v>
      </c>
      <c r="U384" s="51">
        <f>IF(L384="",0,L384)</f>
        <v>0</v>
      </c>
      <c r="V384" s="51">
        <f>IF(L384="",0,MAX(1,N(E384)))</f>
        <v>0</v>
      </c>
      <c r="W384" s="51">
        <f>IF(K384="",0,K384)</f>
        <v>0</v>
      </c>
    </row>
    <row r="385">
      <c r="A385" s="49" t="n"/>
      <c r="B385" s="41" t="n"/>
      <c r="C385" s="41" t="n"/>
      <c r="D385" s="42" t="n"/>
      <c r="E385" s="42" t="n"/>
      <c r="F385" s="50" t="n"/>
      <c r="G385" s="42" t="n"/>
      <c r="H385" s="30">
        <f>IF(D385="","",IFERROR(INDEX(Config!$B$12:$B$15,MATCH(IF(AND(D385="Cartão de crédito",N(E385)&gt;1),"Cartão de crédito parcelado",D385),Config!$A$12:$A$15,0)),0)+IF(AND(Config!$B$17="Sim",LEFT(D385,17)="Cartão de crédito"),Config!$B$18*IFERROR(INDEX(Config!$C$12:$C$15,MATCH(IF(AND(D385="Cartão de crédito",N(E385)&gt;1),"Cartão de crédito parcelado",D385),Config!$A$12:$A$15,0)),0)/30*MAX(1,N(E385)),0))</f>
        <v/>
      </c>
      <c r="I385" s="29">
        <f>IF(OR(D385="",F385=""),"",ROUND(F385*H385,2))</f>
        <v/>
      </c>
      <c r="J385" s="29">
        <f>IF(I385="","",F385-I385)</f>
        <v/>
      </c>
      <c r="K385" s="29">
        <f>IF(J385="","",J385/MAX(1,N(E385)))</f>
        <v/>
      </c>
      <c r="L385" s="37">
        <f>IF(OR(D385="",A385=""),"",A385+IF(AND(Config!$B$17="Sim",LEFT(D385,17)="Cartão de crédito"),1,IFERROR(INDEX(Config!$C$12:$C$15,MATCH(IF(AND(D385="Cartão de crédito",N(E385)&gt;1),"Cartão de crédito parcelado",D385),Config!$A$12:$A$15,0)),0)))</f>
        <v/>
      </c>
      <c r="M385" s="37">
        <f>IF(L385="","",IF(AND(Config!$B$17="Sim",LEFT(D385,17)="Cartão de crédito"),L385,L385+30*(MAX(1,N(E385))-1)))</f>
        <v/>
      </c>
      <c r="N385" s="29">
        <f>IF(OR(L385="",K385=""),"",K385*MIN(MAX(1,N(E385)),MAX(0,INT((Config!$B$8-L385)/30)+1)))</f>
        <v/>
      </c>
      <c r="O385" s="29">
        <f>IF(J385="","",J385-N(N385))</f>
        <v/>
      </c>
      <c r="P385" s="27">
        <f>IF(A385="","",MONTH(A385))</f>
        <v/>
      </c>
      <c r="Q385" s="27">
        <f>IF(A385="","",YEAR(A385))</f>
        <v/>
      </c>
      <c r="R385" s="27">
        <f>IF(L385="","",IF(L385&gt;Config!$B$8,"A cair",IF(N(G385)&gt;=MIN(MAX(1,N(E385)),MAX(0,INT((Config!$B$8-L385)/30)+1)),IF(N(G385)&gt;=MAX(1,N(E385)),"Conferido","Conferido até aqui"),"A conferir")))</f>
        <v/>
      </c>
      <c r="S385" s="51">
        <f>IF(R385="A conferir",(Config!$B$8-L385)*1000+N(F385)/1000+ROW()/100000,0)</f>
        <v>0</v>
      </c>
      <c r="T385" s="51">
        <f>IF(R385="A conferir",N(N385),0)</f>
        <v>0</v>
      </c>
      <c r="U385" s="51">
        <f>IF(L385="",0,L385)</f>
        <v>0</v>
      </c>
      <c r="V385" s="51">
        <f>IF(L385="",0,MAX(1,N(E385)))</f>
        <v>0</v>
      </c>
      <c r="W385" s="51">
        <f>IF(K385="",0,K385)</f>
        <v>0</v>
      </c>
    </row>
    <row r="386">
      <c r="A386" s="49" t="n"/>
      <c r="B386" s="41" t="n"/>
      <c r="C386" s="41" t="n"/>
      <c r="D386" s="42" t="n"/>
      <c r="E386" s="42" t="n"/>
      <c r="F386" s="50" t="n"/>
      <c r="G386" s="42" t="n"/>
      <c r="H386" s="30">
        <f>IF(D386="","",IFERROR(INDEX(Config!$B$12:$B$15,MATCH(IF(AND(D386="Cartão de crédito",N(E386)&gt;1),"Cartão de crédito parcelado",D386),Config!$A$12:$A$15,0)),0)+IF(AND(Config!$B$17="Sim",LEFT(D386,17)="Cartão de crédito"),Config!$B$18*IFERROR(INDEX(Config!$C$12:$C$15,MATCH(IF(AND(D386="Cartão de crédito",N(E386)&gt;1),"Cartão de crédito parcelado",D386),Config!$A$12:$A$15,0)),0)/30*MAX(1,N(E386)),0))</f>
        <v/>
      </c>
      <c r="I386" s="29">
        <f>IF(OR(D386="",F386=""),"",ROUND(F386*H386,2))</f>
        <v/>
      </c>
      <c r="J386" s="29">
        <f>IF(I386="","",F386-I386)</f>
        <v/>
      </c>
      <c r="K386" s="29">
        <f>IF(J386="","",J386/MAX(1,N(E386)))</f>
        <v/>
      </c>
      <c r="L386" s="37">
        <f>IF(OR(D386="",A386=""),"",A386+IF(AND(Config!$B$17="Sim",LEFT(D386,17)="Cartão de crédito"),1,IFERROR(INDEX(Config!$C$12:$C$15,MATCH(IF(AND(D386="Cartão de crédito",N(E386)&gt;1),"Cartão de crédito parcelado",D386),Config!$A$12:$A$15,0)),0)))</f>
        <v/>
      </c>
      <c r="M386" s="37">
        <f>IF(L386="","",IF(AND(Config!$B$17="Sim",LEFT(D386,17)="Cartão de crédito"),L386,L386+30*(MAX(1,N(E386))-1)))</f>
        <v/>
      </c>
      <c r="N386" s="29">
        <f>IF(OR(L386="",K386=""),"",K386*MIN(MAX(1,N(E386)),MAX(0,INT((Config!$B$8-L386)/30)+1)))</f>
        <v/>
      </c>
      <c r="O386" s="29">
        <f>IF(J386="","",J386-N(N386))</f>
        <v/>
      </c>
      <c r="P386" s="27">
        <f>IF(A386="","",MONTH(A386))</f>
        <v/>
      </c>
      <c r="Q386" s="27">
        <f>IF(A386="","",YEAR(A386))</f>
        <v/>
      </c>
      <c r="R386" s="27">
        <f>IF(L386="","",IF(L386&gt;Config!$B$8,"A cair",IF(N(G386)&gt;=MIN(MAX(1,N(E386)),MAX(0,INT((Config!$B$8-L386)/30)+1)),IF(N(G386)&gt;=MAX(1,N(E386)),"Conferido","Conferido até aqui"),"A conferir")))</f>
        <v/>
      </c>
      <c r="S386" s="51">
        <f>IF(R386="A conferir",(Config!$B$8-L386)*1000+N(F386)/1000+ROW()/100000,0)</f>
        <v>0</v>
      </c>
      <c r="T386" s="51">
        <f>IF(R386="A conferir",N(N386),0)</f>
        <v>0</v>
      </c>
      <c r="U386" s="51">
        <f>IF(L386="",0,L386)</f>
        <v>0</v>
      </c>
      <c r="V386" s="51">
        <f>IF(L386="",0,MAX(1,N(E386)))</f>
        <v>0</v>
      </c>
      <c r="W386" s="51">
        <f>IF(K386="",0,K386)</f>
        <v>0</v>
      </c>
    </row>
    <row r="387">
      <c r="A387" s="49" t="n"/>
      <c r="B387" s="41" t="n"/>
      <c r="C387" s="41" t="n"/>
      <c r="D387" s="42" t="n"/>
      <c r="E387" s="42" t="n"/>
      <c r="F387" s="50" t="n"/>
      <c r="G387" s="42" t="n"/>
      <c r="H387" s="30">
        <f>IF(D387="","",IFERROR(INDEX(Config!$B$12:$B$15,MATCH(IF(AND(D387="Cartão de crédito",N(E387)&gt;1),"Cartão de crédito parcelado",D387),Config!$A$12:$A$15,0)),0)+IF(AND(Config!$B$17="Sim",LEFT(D387,17)="Cartão de crédito"),Config!$B$18*IFERROR(INDEX(Config!$C$12:$C$15,MATCH(IF(AND(D387="Cartão de crédito",N(E387)&gt;1),"Cartão de crédito parcelado",D387),Config!$A$12:$A$15,0)),0)/30*MAX(1,N(E387)),0))</f>
        <v/>
      </c>
      <c r="I387" s="29">
        <f>IF(OR(D387="",F387=""),"",ROUND(F387*H387,2))</f>
        <v/>
      </c>
      <c r="J387" s="29">
        <f>IF(I387="","",F387-I387)</f>
        <v/>
      </c>
      <c r="K387" s="29">
        <f>IF(J387="","",J387/MAX(1,N(E387)))</f>
        <v/>
      </c>
      <c r="L387" s="37">
        <f>IF(OR(D387="",A387=""),"",A387+IF(AND(Config!$B$17="Sim",LEFT(D387,17)="Cartão de crédito"),1,IFERROR(INDEX(Config!$C$12:$C$15,MATCH(IF(AND(D387="Cartão de crédito",N(E387)&gt;1),"Cartão de crédito parcelado",D387),Config!$A$12:$A$15,0)),0)))</f>
        <v/>
      </c>
      <c r="M387" s="37">
        <f>IF(L387="","",IF(AND(Config!$B$17="Sim",LEFT(D387,17)="Cartão de crédito"),L387,L387+30*(MAX(1,N(E387))-1)))</f>
        <v/>
      </c>
      <c r="N387" s="29">
        <f>IF(OR(L387="",K387=""),"",K387*MIN(MAX(1,N(E387)),MAX(0,INT((Config!$B$8-L387)/30)+1)))</f>
        <v/>
      </c>
      <c r="O387" s="29">
        <f>IF(J387="","",J387-N(N387))</f>
        <v/>
      </c>
      <c r="P387" s="27">
        <f>IF(A387="","",MONTH(A387))</f>
        <v/>
      </c>
      <c r="Q387" s="27">
        <f>IF(A387="","",YEAR(A387))</f>
        <v/>
      </c>
      <c r="R387" s="27">
        <f>IF(L387="","",IF(L387&gt;Config!$B$8,"A cair",IF(N(G387)&gt;=MIN(MAX(1,N(E387)),MAX(0,INT((Config!$B$8-L387)/30)+1)),IF(N(G387)&gt;=MAX(1,N(E387)),"Conferido","Conferido até aqui"),"A conferir")))</f>
        <v/>
      </c>
      <c r="S387" s="51">
        <f>IF(R387="A conferir",(Config!$B$8-L387)*1000+N(F387)/1000+ROW()/100000,0)</f>
        <v>0</v>
      </c>
      <c r="T387" s="51">
        <f>IF(R387="A conferir",N(N387),0)</f>
        <v>0</v>
      </c>
      <c r="U387" s="51">
        <f>IF(L387="",0,L387)</f>
        <v>0</v>
      </c>
      <c r="V387" s="51">
        <f>IF(L387="",0,MAX(1,N(E387)))</f>
        <v>0</v>
      </c>
      <c r="W387" s="51">
        <f>IF(K387="",0,K387)</f>
        <v>0</v>
      </c>
    </row>
    <row r="388">
      <c r="A388" s="49" t="n"/>
      <c r="B388" s="41" t="n"/>
      <c r="C388" s="41" t="n"/>
      <c r="D388" s="42" t="n"/>
      <c r="E388" s="42" t="n"/>
      <c r="F388" s="50" t="n"/>
      <c r="G388" s="42" t="n"/>
      <c r="H388" s="30">
        <f>IF(D388="","",IFERROR(INDEX(Config!$B$12:$B$15,MATCH(IF(AND(D388="Cartão de crédito",N(E388)&gt;1),"Cartão de crédito parcelado",D388),Config!$A$12:$A$15,0)),0)+IF(AND(Config!$B$17="Sim",LEFT(D388,17)="Cartão de crédito"),Config!$B$18*IFERROR(INDEX(Config!$C$12:$C$15,MATCH(IF(AND(D388="Cartão de crédito",N(E388)&gt;1),"Cartão de crédito parcelado",D388),Config!$A$12:$A$15,0)),0)/30*MAX(1,N(E388)),0))</f>
        <v/>
      </c>
      <c r="I388" s="29">
        <f>IF(OR(D388="",F388=""),"",ROUND(F388*H388,2))</f>
        <v/>
      </c>
      <c r="J388" s="29">
        <f>IF(I388="","",F388-I388)</f>
        <v/>
      </c>
      <c r="K388" s="29">
        <f>IF(J388="","",J388/MAX(1,N(E388)))</f>
        <v/>
      </c>
      <c r="L388" s="37">
        <f>IF(OR(D388="",A388=""),"",A388+IF(AND(Config!$B$17="Sim",LEFT(D388,17)="Cartão de crédito"),1,IFERROR(INDEX(Config!$C$12:$C$15,MATCH(IF(AND(D388="Cartão de crédito",N(E388)&gt;1),"Cartão de crédito parcelado",D388),Config!$A$12:$A$15,0)),0)))</f>
        <v/>
      </c>
      <c r="M388" s="37">
        <f>IF(L388="","",IF(AND(Config!$B$17="Sim",LEFT(D388,17)="Cartão de crédito"),L388,L388+30*(MAX(1,N(E388))-1)))</f>
        <v/>
      </c>
      <c r="N388" s="29">
        <f>IF(OR(L388="",K388=""),"",K388*MIN(MAX(1,N(E388)),MAX(0,INT((Config!$B$8-L388)/30)+1)))</f>
        <v/>
      </c>
      <c r="O388" s="29">
        <f>IF(J388="","",J388-N(N388))</f>
        <v/>
      </c>
      <c r="P388" s="27">
        <f>IF(A388="","",MONTH(A388))</f>
        <v/>
      </c>
      <c r="Q388" s="27">
        <f>IF(A388="","",YEAR(A388))</f>
        <v/>
      </c>
      <c r="R388" s="27">
        <f>IF(L388="","",IF(L388&gt;Config!$B$8,"A cair",IF(N(G388)&gt;=MIN(MAX(1,N(E388)),MAX(0,INT((Config!$B$8-L388)/30)+1)),IF(N(G388)&gt;=MAX(1,N(E388)),"Conferido","Conferido até aqui"),"A conferir")))</f>
        <v/>
      </c>
      <c r="S388" s="51">
        <f>IF(R388="A conferir",(Config!$B$8-L388)*1000+N(F388)/1000+ROW()/100000,0)</f>
        <v>0</v>
      </c>
      <c r="T388" s="51">
        <f>IF(R388="A conferir",N(N388),0)</f>
        <v>0</v>
      </c>
      <c r="U388" s="51">
        <f>IF(L388="",0,L388)</f>
        <v>0</v>
      </c>
      <c r="V388" s="51">
        <f>IF(L388="",0,MAX(1,N(E388)))</f>
        <v>0</v>
      </c>
      <c r="W388" s="51">
        <f>IF(K388="",0,K388)</f>
        <v>0</v>
      </c>
    </row>
    <row r="389">
      <c r="A389" s="49" t="n"/>
      <c r="B389" s="41" t="n"/>
      <c r="C389" s="41" t="n"/>
      <c r="D389" s="42" t="n"/>
      <c r="E389" s="42" t="n"/>
      <c r="F389" s="50" t="n"/>
      <c r="G389" s="42" t="n"/>
      <c r="H389" s="30">
        <f>IF(D389="","",IFERROR(INDEX(Config!$B$12:$B$15,MATCH(IF(AND(D389="Cartão de crédito",N(E389)&gt;1),"Cartão de crédito parcelado",D389),Config!$A$12:$A$15,0)),0)+IF(AND(Config!$B$17="Sim",LEFT(D389,17)="Cartão de crédito"),Config!$B$18*IFERROR(INDEX(Config!$C$12:$C$15,MATCH(IF(AND(D389="Cartão de crédito",N(E389)&gt;1),"Cartão de crédito parcelado",D389),Config!$A$12:$A$15,0)),0)/30*MAX(1,N(E389)),0))</f>
        <v/>
      </c>
      <c r="I389" s="29">
        <f>IF(OR(D389="",F389=""),"",ROUND(F389*H389,2))</f>
        <v/>
      </c>
      <c r="J389" s="29">
        <f>IF(I389="","",F389-I389)</f>
        <v/>
      </c>
      <c r="K389" s="29">
        <f>IF(J389="","",J389/MAX(1,N(E389)))</f>
        <v/>
      </c>
      <c r="L389" s="37">
        <f>IF(OR(D389="",A389=""),"",A389+IF(AND(Config!$B$17="Sim",LEFT(D389,17)="Cartão de crédito"),1,IFERROR(INDEX(Config!$C$12:$C$15,MATCH(IF(AND(D389="Cartão de crédito",N(E389)&gt;1),"Cartão de crédito parcelado",D389),Config!$A$12:$A$15,0)),0)))</f>
        <v/>
      </c>
      <c r="M389" s="37">
        <f>IF(L389="","",IF(AND(Config!$B$17="Sim",LEFT(D389,17)="Cartão de crédito"),L389,L389+30*(MAX(1,N(E389))-1)))</f>
        <v/>
      </c>
      <c r="N389" s="29">
        <f>IF(OR(L389="",K389=""),"",K389*MIN(MAX(1,N(E389)),MAX(0,INT((Config!$B$8-L389)/30)+1)))</f>
        <v/>
      </c>
      <c r="O389" s="29">
        <f>IF(J389="","",J389-N(N389))</f>
        <v/>
      </c>
      <c r="P389" s="27">
        <f>IF(A389="","",MONTH(A389))</f>
        <v/>
      </c>
      <c r="Q389" s="27">
        <f>IF(A389="","",YEAR(A389))</f>
        <v/>
      </c>
      <c r="R389" s="27">
        <f>IF(L389="","",IF(L389&gt;Config!$B$8,"A cair",IF(N(G389)&gt;=MIN(MAX(1,N(E389)),MAX(0,INT((Config!$B$8-L389)/30)+1)),IF(N(G389)&gt;=MAX(1,N(E389)),"Conferido","Conferido até aqui"),"A conferir")))</f>
        <v/>
      </c>
      <c r="S389" s="51">
        <f>IF(R389="A conferir",(Config!$B$8-L389)*1000+N(F389)/1000+ROW()/100000,0)</f>
        <v>0</v>
      </c>
      <c r="T389" s="51">
        <f>IF(R389="A conferir",N(N389),0)</f>
        <v>0</v>
      </c>
      <c r="U389" s="51">
        <f>IF(L389="",0,L389)</f>
        <v>0</v>
      </c>
      <c r="V389" s="51">
        <f>IF(L389="",0,MAX(1,N(E389)))</f>
        <v>0</v>
      </c>
      <c r="W389" s="51">
        <f>IF(K389="",0,K389)</f>
        <v>0</v>
      </c>
    </row>
    <row r="390">
      <c r="A390" s="49" t="n"/>
      <c r="B390" s="41" t="n"/>
      <c r="C390" s="41" t="n"/>
      <c r="D390" s="42" t="n"/>
      <c r="E390" s="42" t="n"/>
      <c r="F390" s="50" t="n"/>
      <c r="G390" s="42" t="n"/>
      <c r="H390" s="30">
        <f>IF(D390="","",IFERROR(INDEX(Config!$B$12:$B$15,MATCH(IF(AND(D390="Cartão de crédito",N(E390)&gt;1),"Cartão de crédito parcelado",D390),Config!$A$12:$A$15,0)),0)+IF(AND(Config!$B$17="Sim",LEFT(D390,17)="Cartão de crédito"),Config!$B$18*IFERROR(INDEX(Config!$C$12:$C$15,MATCH(IF(AND(D390="Cartão de crédito",N(E390)&gt;1),"Cartão de crédito parcelado",D390),Config!$A$12:$A$15,0)),0)/30*MAX(1,N(E390)),0))</f>
        <v/>
      </c>
      <c r="I390" s="29">
        <f>IF(OR(D390="",F390=""),"",ROUND(F390*H390,2))</f>
        <v/>
      </c>
      <c r="J390" s="29">
        <f>IF(I390="","",F390-I390)</f>
        <v/>
      </c>
      <c r="K390" s="29">
        <f>IF(J390="","",J390/MAX(1,N(E390)))</f>
        <v/>
      </c>
      <c r="L390" s="37">
        <f>IF(OR(D390="",A390=""),"",A390+IF(AND(Config!$B$17="Sim",LEFT(D390,17)="Cartão de crédito"),1,IFERROR(INDEX(Config!$C$12:$C$15,MATCH(IF(AND(D390="Cartão de crédito",N(E390)&gt;1),"Cartão de crédito parcelado",D390),Config!$A$12:$A$15,0)),0)))</f>
        <v/>
      </c>
      <c r="M390" s="37">
        <f>IF(L390="","",IF(AND(Config!$B$17="Sim",LEFT(D390,17)="Cartão de crédito"),L390,L390+30*(MAX(1,N(E390))-1)))</f>
        <v/>
      </c>
      <c r="N390" s="29">
        <f>IF(OR(L390="",K390=""),"",K390*MIN(MAX(1,N(E390)),MAX(0,INT((Config!$B$8-L390)/30)+1)))</f>
        <v/>
      </c>
      <c r="O390" s="29">
        <f>IF(J390="","",J390-N(N390))</f>
        <v/>
      </c>
      <c r="P390" s="27">
        <f>IF(A390="","",MONTH(A390))</f>
        <v/>
      </c>
      <c r="Q390" s="27">
        <f>IF(A390="","",YEAR(A390))</f>
        <v/>
      </c>
      <c r="R390" s="27">
        <f>IF(L390="","",IF(L390&gt;Config!$B$8,"A cair",IF(N(G390)&gt;=MIN(MAX(1,N(E390)),MAX(0,INT((Config!$B$8-L390)/30)+1)),IF(N(G390)&gt;=MAX(1,N(E390)),"Conferido","Conferido até aqui"),"A conferir")))</f>
        <v/>
      </c>
      <c r="S390" s="51">
        <f>IF(R390="A conferir",(Config!$B$8-L390)*1000+N(F390)/1000+ROW()/100000,0)</f>
        <v>0</v>
      </c>
      <c r="T390" s="51">
        <f>IF(R390="A conferir",N(N390),0)</f>
        <v>0</v>
      </c>
      <c r="U390" s="51">
        <f>IF(L390="",0,L390)</f>
        <v>0</v>
      </c>
      <c r="V390" s="51">
        <f>IF(L390="",0,MAX(1,N(E390)))</f>
        <v>0</v>
      </c>
      <c r="W390" s="51">
        <f>IF(K390="",0,K390)</f>
        <v>0</v>
      </c>
    </row>
    <row r="391">
      <c r="A391" s="49" t="n"/>
      <c r="B391" s="41" t="n"/>
      <c r="C391" s="41" t="n"/>
      <c r="D391" s="42" t="n"/>
      <c r="E391" s="42" t="n"/>
      <c r="F391" s="50" t="n"/>
      <c r="G391" s="42" t="n"/>
      <c r="H391" s="30">
        <f>IF(D391="","",IFERROR(INDEX(Config!$B$12:$B$15,MATCH(IF(AND(D391="Cartão de crédito",N(E391)&gt;1),"Cartão de crédito parcelado",D391),Config!$A$12:$A$15,0)),0)+IF(AND(Config!$B$17="Sim",LEFT(D391,17)="Cartão de crédito"),Config!$B$18*IFERROR(INDEX(Config!$C$12:$C$15,MATCH(IF(AND(D391="Cartão de crédito",N(E391)&gt;1),"Cartão de crédito parcelado",D391),Config!$A$12:$A$15,0)),0)/30*MAX(1,N(E391)),0))</f>
        <v/>
      </c>
      <c r="I391" s="29">
        <f>IF(OR(D391="",F391=""),"",ROUND(F391*H391,2))</f>
        <v/>
      </c>
      <c r="J391" s="29">
        <f>IF(I391="","",F391-I391)</f>
        <v/>
      </c>
      <c r="K391" s="29">
        <f>IF(J391="","",J391/MAX(1,N(E391)))</f>
        <v/>
      </c>
      <c r="L391" s="37">
        <f>IF(OR(D391="",A391=""),"",A391+IF(AND(Config!$B$17="Sim",LEFT(D391,17)="Cartão de crédito"),1,IFERROR(INDEX(Config!$C$12:$C$15,MATCH(IF(AND(D391="Cartão de crédito",N(E391)&gt;1),"Cartão de crédito parcelado",D391),Config!$A$12:$A$15,0)),0)))</f>
        <v/>
      </c>
      <c r="M391" s="37">
        <f>IF(L391="","",IF(AND(Config!$B$17="Sim",LEFT(D391,17)="Cartão de crédito"),L391,L391+30*(MAX(1,N(E391))-1)))</f>
        <v/>
      </c>
      <c r="N391" s="29">
        <f>IF(OR(L391="",K391=""),"",K391*MIN(MAX(1,N(E391)),MAX(0,INT((Config!$B$8-L391)/30)+1)))</f>
        <v/>
      </c>
      <c r="O391" s="29">
        <f>IF(J391="","",J391-N(N391))</f>
        <v/>
      </c>
      <c r="P391" s="27">
        <f>IF(A391="","",MONTH(A391))</f>
        <v/>
      </c>
      <c r="Q391" s="27">
        <f>IF(A391="","",YEAR(A391))</f>
        <v/>
      </c>
      <c r="R391" s="27">
        <f>IF(L391="","",IF(L391&gt;Config!$B$8,"A cair",IF(N(G391)&gt;=MIN(MAX(1,N(E391)),MAX(0,INT((Config!$B$8-L391)/30)+1)),IF(N(G391)&gt;=MAX(1,N(E391)),"Conferido","Conferido até aqui"),"A conferir")))</f>
        <v/>
      </c>
      <c r="S391" s="51">
        <f>IF(R391="A conferir",(Config!$B$8-L391)*1000+N(F391)/1000+ROW()/100000,0)</f>
        <v>0</v>
      </c>
      <c r="T391" s="51">
        <f>IF(R391="A conferir",N(N391),0)</f>
        <v>0</v>
      </c>
      <c r="U391" s="51">
        <f>IF(L391="",0,L391)</f>
        <v>0</v>
      </c>
      <c r="V391" s="51">
        <f>IF(L391="",0,MAX(1,N(E391)))</f>
        <v>0</v>
      </c>
      <c r="W391" s="51">
        <f>IF(K391="",0,K391)</f>
        <v>0</v>
      </c>
    </row>
    <row r="392">
      <c r="A392" s="49" t="n"/>
      <c r="B392" s="41" t="n"/>
      <c r="C392" s="41" t="n"/>
      <c r="D392" s="42" t="n"/>
      <c r="E392" s="42" t="n"/>
      <c r="F392" s="50" t="n"/>
      <c r="G392" s="42" t="n"/>
      <c r="H392" s="30">
        <f>IF(D392="","",IFERROR(INDEX(Config!$B$12:$B$15,MATCH(IF(AND(D392="Cartão de crédito",N(E392)&gt;1),"Cartão de crédito parcelado",D392),Config!$A$12:$A$15,0)),0)+IF(AND(Config!$B$17="Sim",LEFT(D392,17)="Cartão de crédito"),Config!$B$18*IFERROR(INDEX(Config!$C$12:$C$15,MATCH(IF(AND(D392="Cartão de crédito",N(E392)&gt;1),"Cartão de crédito parcelado",D392),Config!$A$12:$A$15,0)),0)/30*MAX(1,N(E392)),0))</f>
        <v/>
      </c>
      <c r="I392" s="29">
        <f>IF(OR(D392="",F392=""),"",ROUND(F392*H392,2))</f>
        <v/>
      </c>
      <c r="J392" s="29">
        <f>IF(I392="","",F392-I392)</f>
        <v/>
      </c>
      <c r="K392" s="29">
        <f>IF(J392="","",J392/MAX(1,N(E392)))</f>
        <v/>
      </c>
      <c r="L392" s="37">
        <f>IF(OR(D392="",A392=""),"",A392+IF(AND(Config!$B$17="Sim",LEFT(D392,17)="Cartão de crédito"),1,IFERROR(INDEX(Config!$C$12:$C$15,MATCH(IF(AND(D392="Cartão de crédito",N(E392)&gt;1),"Cartão de crédito parcelado",D392),Config!$A$12:$A$15,0)),0)))</f>
        <v/>
      </c>
      <c r="M392" s="37">
        <f>IF(L392="","",IF(AND(Config!$B$17="Sim",LEFT(D392,17)="Cartão de crédito"),L392,L392+30*(MAX(1,N(E392))-1)))</f>
        <v/>
      </c>
      <c r="N392" s="29">
        <f>IF(OR(L392="",K392=""),"",K392*MIN(MAX(1,N(E392)),MAX(0,INT((Config!$B$8-L392)/30)+1)))</f>
        <v/>
      </c>
      <c r="O392" s="29">
        <f>IF(J392="","",J392-N(N392))</f>
        <v/>
      </c>
      <c r="P392" s="27">
        <f>IF(A392="","",MONTH(A392))</f>
        <v/>
      </c>
      <c r="Q392" s="27">
        <f>IF(A392="","",YEAR(A392))</f>
        <v/>
      </c>
      <c r="R392" s="27">
        <f>IF(L392="","",IF(L392&gt;Config!$B$8,"A cair",IF(N(G392)&gt;=MIN(MAX(1,N(E392)),MAX(0,INT((Config!$B$8-L392)/30)+1)),IF(N(G392)&gt;=MAX(1,N(E392)),"Conferido","Conferido até aqui"),"A conferir")))</f>
        <v/>
      </c>
      <c r="S392" s="51">
        <f>IF(R392="A conferir",(Config!$B$8-L392)*1000+N(F392)/1000+ROW()/100000,0)</f>
        <v>0</v>
      </c>
      <c r="T392" s="51">
        <f>IF(R392="A conferir",N(N392),0)</f>
        <v>0</v>
      </c>
      <c r="U392" s="51">
        <f>IF(L392="",0,L392)</f>
        <v>0</v>
      </c>
      <c r="V392" s="51">
        <f>IF(L392="",0,MAX(1,N(E392)))</f>
        <v>0</v>
      </c>
      <c r="W392" s="51">
        <f>IF(K392="",0,K392)</f>
        <v>0</v>
      </c>
    </row>
    <row r="393">
      <c r="A393" s="49" t="n"/>
      <c r="B393" s="41" t="n"/>
      <c r="C393" s="41" t="n"/>
      <c r="D393" s="42" t="n"/>
      <c r="E393" s="42" t="n"/>
      <c r="F393" s="50" t="n"/>
      <c r="G393" s="42" t="n"/>
      <c r="H393" s="30">
        <f>IF(D393="","",IFERROR(INDEX(Config!$B$12:$B$15,MATCH(IF(AND(D393="Cartão de crédito",N(E393)&gt;1),"Cartão de crédito parcelado",D393),Config!$A$12:$A$15,0)),0)+IF(AND(Config!$B$17="Sim",LEFT(D393,17)="Cartão de crédito"),Config!$B$18*IFERROR(INDEX(Config!$C$12:$C$15,MATCH(IF(AND(D393="Cartão de crédito",N(E393)&gt;1),"Cartão de crédito parcelado",D393),Config!$A$12:$A$15,0)),0)/30*MAX(1,N(E393)),0))</f>
        <v/>
      </c>
      <c r="I393" s="29">
        <f>IF(OR(D393="",F393=""),"",ROUND(F393*H393,2))</f>
        <v/>
      </c>
      <c r="J393" s="29">
        <f>IF(I393="","",F393-I393)</f>
        <v/>
      </c>
      <c r="K393" s="29">
        <f>IF(J393="","",J393/MAX(1,N(E393)))</f>
        <v/>
      </c>
      <c r="L393" s="37">
        <f>IF(OR(D393="",A393=""),"",A393+IF(AND(Config!$B$17="Sim",LEFT(D393,17)="Cartão de crédito"),1,IFERROR(INDEX(Config!$C$12:$C$15,MATCH(IF(AND(D393="Cartão de crédito",N(E393)&gt;1),"Cartão de crédito parcelado",D393),Config!$A$12:$A$15,0)),0)))</f>
        <v/>
      </c>
      <c r="M393" s="37">
        <f>IF(L393="","",IF(AND(Config!$B$17="Sim",LEFT(D393,17)="Cartão de crédito"),L393,L393+30*(MAX(1,N(E393))-1)))</f>
        <v/>
      </c>
      <c r="N393" s="29">
        <f>IF(OR(L393="",K393=""),"",K393*MIN(MAX(1,N(E393)),MAX(0,INT((Config!$B$8-L393)/30)+1)))</f>
        <v/>
      </c>
      <c r="O393" s="29">
        <f>IF(J393="","",J393-N(N393))</f>
        <v/>
      </c>
      <c r="P393" s="27">
        <f>IF(A393="","",MONTH(A393))</f>
        <v/>
      </c>
      <c r="Q393" s="27">
        <f>IF(A393="","",YEAR(A393))</f>
        <v/>
      </c>
      <c r="R393" s="27">
        <f>IF(L393="","",IF(L393&gt;Config!$B$8,"A cair",IF(N(G393)&gt;=MIN(MAX(1,N(E393)),MAX(0,INT((Config!$B$8-L393)/30)+1)),IF(N(G393)&gt;=MAX(1,N(E393)),"Conferido","Conferido até aqui"),"A conferir")))</f>
        <v/>
      </c>
      <c r="S393" s="51">
        <f>IF(R393="A conferir",(Config!$B$8-L393)*1000+N(F393)/1000+ROW()/100000,0)</f>
        <v>0</v>
      </c>
      <c r="T393" s="51">
        <f>IF(R393="A conferir",N(N393),0)</f>
        <v>0</v>
      </c>
      <c r="U393" s="51">
        <f>IF(L393="",0,L393)</f>
        <v>0</v>
      </c>
      <c r="V393" s="51">
        <f>IF(L393="",0,MAX(1,N(E393)))</f>
        <v>0</v>
      </c>
      <c r="W393" s="51">
        <f>IF(K393="",0,K393)</f>
        <v>0</v>
      </c>
    </row>
    <row r="394">
      <c r="A394" s="49" t="n"/>
      <c r="B394" s="41" t="n"/>
      <c r="C394" s="41" t="n"/>
      <c r="D394" s="42" t="n"/>
      <c r="E394" s="42" t="n"/>
      <c r="F394" s="50" t="n"/>
      <c r="G394" s="42" t="n"/>
      <c r="H394" s="30">
        <f>IF(D394="","",IFERROR(INDEX(Config!$B$12:$B$15,MATCH(IF(AND(D394="Cartão de crédito",N(E394)&gt;1),"Cartão de crédito parcelado",D394),Config!$A$12:$A$15,0)),0)+IF(AND(Config!$B$17="Sim",LEFT(D394,17)="Cartão de crédito"),Config!$B$18*IFERROR(INDEX(Config!$C$12:$C$15,MATCH(IF(AND(D394="Cartão de crédito",N(E394)&gt;1),"Cartão de crédito parcelado",D394),Config!$A$12:$A$15,0)),0)/30*MAX(1,N(E394)),0))</f>
        <v/>
      </c>
      <c r="I394" s="29">
        <f>IF(OR(D394="",F394=""),"",ROUND(F394*H394,2))</f>
        <v/>
      </c>
      <c r="J394" s="29">
        <f>IF(I394="","",F394-I394)</f>
        <v/>
      </c>
      <c r="K394" s="29">
        <f>IF(J394="","",J394/MAX(1,N(E394)))</f>
        <v/>
      </c>
      <c r="L394" s="37">
        <f>IF(OR(D394="",A394=""),"",A394+IF(AND(Config!$B$17="Sim",LEFT(D394,17)="Cartão de crédito"),1,IFERROR(INDEX(Config!$C$12:$C$15,MATCH(IF(AND(D394="Cartão de crédito",N(E394)&gt;1),"Cartão de crédito parcelado",D394),Config!$A$12:$A$15,0)),0)))</f>
        <v/>
      </c>
      <c r="M394" s="37">
        <f>IF(L394="","",IF(AND(Config!$B$17="Sim",LEFT(D394,17)="Cartão de crédito"),L394,L394+30*(MAX(1,N(E394))-1)))</f>
        <v/>
      </c>
      <c r="N394" s="29">
        <f>IF(OR(L394="",K394=""),"",K394*MIN(MAX(1,N(E394)),MAX(0,INT((Config!$B$8-L394)/30)+1)))</f>
        <v/>
      </c>
      <c r="O394" s="29">
        <f>IF(J394="","",J394-N(N394))</f>
        <v/>
      </c>
      <c r="P394" s="27">
        <f>IF(A394="","",MONTH(A394))</f>
        <v/>
      </c>
      <c r="Q394" s="27">
        <f>IF(A394="","",YEAR(A394))</f>
        <v/>
      </c>
      <c r="R394" s="27">
        <f>IF(L394="","",IF(L394&gt;Config!$B$8,"A cair",IF(N(G394)&gt;=MIN(MAX(1,N(E394)),MAX(0,INT((Config!$B$8-L394)/30)+1)),IF(N(G394)&gt;=MAX(1,N(E394)),"Conferido","Conferido até aqui"),"A conferir")))</f>
        <v/>
      </c>
      <c r="S394" s="51">
        <f>IF(R394="A conferir",(Config!$B$8-L394)*1000+N(F394)/1000+ROW()/100000,0)</f>
        <v>0</v>
      </c>
      <c r="T394" s="51">
        <f>IF(R394="A conferir",N(N394),0)</f>
        <v>0</v>
      </c>
      <c r="U394" s="51">
        <f>IF(L394="",0,L394)</f>
        <v>0</v>
      </c>
      <c r="V394" s="51">
        <f>IF(L394="",0,MAX(1,N(E394)))</f>
        <v>0</v>
      </c>
      <c r="W394" s="51">
        <f>IF(K394="",0,K394)</f>
        <v>0</v>
      </c>
    </row>
    <row r="395">
      <c r="A395" s="49" t="n"/>
      <c r="B395" s="41" t="n"/>
      <c r="C395" s="41" t="n"/>
      <c r="D395" s="42" t="n"/>
      <c r="E395" s="42" t="n"/>
      <c r="F395" s="50" t="n"/>
      <c r="G395" s="42" t="n"/>
      <c r="H395" s="30">
        <f>IF(D395="","",IFERROR(INDEX(Config!$B$12:$B$15,MATCH(IF(AND(D395="Cartão de crédito",N(E395)&gt;1),"Cartão de crédito parcelado",D395),Config!$A$12:$A$15,0)),0)+IF(AND(Config!$B$17="Sim",LEFT(D395,17)="Cartão de crédito"),Config!$B$18*IFERROR(INDEX(Config!$C$12:$C$15,MATCH(IF(AND(D395="Cartão de crédito",N(E395)&gt;1),"Cartão de crédito parcelado",D395),Config!$A$12:$A$15,0)),0)/30*MAX(1,N(E395)),0))</f>
        <v/>
      </c>
      <c r="I395" s="29">
        <f>IF(OR(D395="",F395=""),"",ROUND(F395*H395,2))</f>
        <v/>
      </c>
      <c r="J395" s="29">
        <f>IF(I395="","",F395-I395)</f>
        <v/>
      </c>
      <c r="K395" s="29">
        <f>IF(J395="","",J395/MAX(1,N(E395)))</f>
        <v/>
      </c>
      <c r="L395" s="37">
        <f>IF(OR(D395="",A395=""),"",A395+IF(AND(Config!$B$17="Sim",LEFT(D395,17)="Cartão de crédito"),1,IFERROR(INDEX(Config!$C$12:$C$15,MATCH(IF(AND(D395="Cartão de crédito",N(E395)&gt;1),"Cartão de crédito parcelado",D395),Config!$A$12:$A$15,0)),0)))</f>
        <v/>
      </c>
      <c r="M395" s="37">
        <f>IF(L395="","",IF(AND(Config!$B$17="Sim",LEFT(D395,17)="Cartão de crédito"),L395,L395+30*(MAX(1,N(E395))-1)))</f>
        <v/>
      </c>
      <c r="N395" s="29">
        <f>IF(OR(L395="",K395=""),"",K395*MIN(MAX(1,N(E395)),MAX(0,INT((Config!$B$8-L395)/30)+1)))</f>
        <v/>
      </c>
      <c r="O395" s="29">
        <f>IF(J395="","",J395-N(N395))</f>
        <v/>
      </c>
      <c r="P395" s="27">
        <f>IF(A395="","",MONTH(A395))</f>
        <v/>
      </c>
      <c r="Q395" s="27">
        <f>IF(A395="","",YEAR(A395))</f>
        <v/>
      </c>
      <c r="R395" s="27">
        <f>IF(L395="","",IF(L395&gt;Config!$B$8,"A cair",IF(N(G395)&gt;=MIN(MAX(1,N(E395)),MAX(0,INT((Config!$B$8-L395)/30)+1)),IF(N(G395)&gt;=MAX(1,N(E395)),"Conferido","Conferido até aqui"),"A conferir")))</f>
        <v/>
      </c>
      <c r="S395" s="51">
        <f>IF(R395="A conferir",(Config!$B$8-L395)*1000+N(F395)/1000+ROW()/100000,0)</f>
        <v>0</v>
      </c>
      <c r="T395" s="51">
        <f>IF(R395="A conferir",N(N395),0)</f>
        <v>0</v>
      </c>
      <c r="U395" s="51">
        <f>IF(L395="",0,L395)</f>
        <v>0</v>
      </c>
      <c r="V395" s="51">
        <f>IF(L395="",0,MAX(1,N(E395)))</f>
        <v>0</v>
      </c>
      <c r="W395" s="51">
        <f>IF(K395="",0,K395)</f>
        <v>0</v>
      </c>
    </row>
    <row r="396">
      <c r="A396" s="49" t="n"/>
      <c r="B396" s="41" t="n"/>
      <c r="C396" s="41" t="n"/>
      <c r="D396" s="42" t="n"/>
      <c r="E396" s="42" t="n"/>
      <c r="F396" s="50" t="n"/>
      <c r="G396" s="42" t="n"/>
      <c r="H396" s="30">
        <f>IF(D396="","",IFERROR(INDEX(Config!$B$12:$B$15,MATCH(IF(AND(D396="Cartão de crédito",N(E396)&gt;1),"Cartão de crédito parcelado",D396),Config!$A$12:$A$15,0)),0)+IF(AND(Config!$B$17="Sim",LEFT(D396,17)="Cartão de crédito"),Config!$B$18*IFERROR(INDEX(Config!$C$12:$C$15,MATCH(IF(AND(D396="Cartão de crédito",N(E396)&gt;1),"Cartão de crédito parcelado",D396),Config!$A$12:$A$15,0)),0)/30*MAX(1,N(E396)),0))</f>
        <v/>
      </c>
      <c r="I396" s="29">
        <f>IF(OR(D396="",F396=""),"",ROUND(F396*H396,2))</f>
        <v/>
      </c>
      <c r="J396" s="29">
        <f>IF(I396="","",F396-I396)</f>
        <v/>
      </c>
      <c r="K396" s="29">
        <f>IF(J396="","",J396/MAX(1,N(E396)))</f>
        <v/>
      </c>
      <c r="L396" s="37">
        <f>IF(OR(D396="",A396=""),"",A396+IF(AND(Config!$B$17="Sim",LEFT(D396,17)="Cartão de crédito"),1,IFERROR(INDEX(Config!$C$12:$C$15,MATCH(IF(AND(D396="Cartão de crédito",N(E396)&gt;1),"Cartão de crédito parcelado",D396),Config!$A$12:$A$15,0)),0)))</f>
        <v/>
      </c>
      <c r="M396" s="37">
        <f>IF(L396="","",IF(AND(Config!$B$17="Sim",LEFT(D396,17)="Cartão de crédito"),L396,L396+30*(MAX(1,N(E396))-1)))</f>
        <v/>
      </c>
      <c r="N396" s="29">
        <f>IF(OR(L396="",K396=""),"",K396*MIN(MAX(1,N(E396)),MAX(0,INT((Config!$B$8-L396)/30)+1)))</f>
        <v/>
      </c>
      <c r="O396" s="29">
        <f>IF(J396="","",J396-N(N396))</f>
        <v/>
      </c>
      <c r="P396" s="27">
        <f>IF(A396="","",MONTH(A396))</f>
        <v/>
      </c>
      <c r="Q396" s="27">
        <f>IF(A396="","",YEAR(A396))</f>
        <v/>
      </c>
      <c r="R396" s="27">
        <f>IF(L396="","",IF(L396&gt;Config!$B$8,"A cair",IF(N(G396)&gt;=MIN(MAX(1,N(E396)),MAX(0,INT((Config!$B$8-L396)/30)+1)),IF(N(G396)&gt;=MAX(1,N(E396)),"Conferido","Conferido até aqui"),"A conferir")))</f>
        <v/>
      </c>
      <c r="S396" s="51">
        <f>IF(R396="A conferir",(Config!$B$8-L396)*1000+N(F396)/1000+ROW()/100000,0)</f>
        <v>0</v>
      </c>
      <c r="T396" s="51">
        <f>IF(R396="A conferir",N(N396),0)</f>
        <v>0</v>
      </c>
      <c r="U396" s="51">
        <f>IF(L396="",0,L396)</f>
        <v>0</v>
      </c>
      <c r="V396" s="51">
        <f>IF(L396="",0,MAX(1,N(E396)))</f>
        <v>0</v>
      </c>
      <c r="W396" s="51">
        <f>IF(K396="",0,K396)</f>
        <v>0</v>
      </c>
    </row>
    <row r="397">
      <c r="A397" s="49" t="n"/>
      <c r="B397" s="41" t="n"/>
      <c r="C397" s="41" t="n"/>
      <c r="D397" s="42" t="n"/>
      <c r="E397" s="42" t="n"/>
      <c r="F397" s="50" t="n"/>
      <c r="G397" s="42" t="n"/>
      <c r="H397" s="30">
        <f>IF(D397="","",IFERROR(INDEX(Config!$B$12:$B$15,MATCH(IF(AND(D397="Cartão de crédito",N(E397)&gt;1),"Cartão de crédito parcelado",D397),Config!$A$12:$A$15,0)),0)+IF(AND(Config!$B$17="Sim",LEFT(D397,17)="Cartão de crédito"),Config!$B$18*IFERROR(INDEX(Config!$C$12:$C$15,MATCH(IF(AND(D397="Cartão de crédito",N(E397)&gt;1),"Cartão de crédito parcelado",D397),Config!$A$12:$A$15,0)),0)/30*MAX(1,N(E397)),0))</f>
        <v/>
      </c>
      <c r="I397" s="29">
        <f>IF(OR(D397="",F397=""),"",ROUND(F397*H397,2))</f>
        <v/>
      </c>
      <c r="J397" s="29">
        <f>IF(I397="","",F397-I397)</f>
        <v/>
      </c>
      <c r="K397" s="29">
        <f>IF(J397="","",J397/MAX(1,N(E397)))</f>
        <v/>
      </c>
      <c r="L397" s="37">
        <f>IF(OR(D397="",A397=""),"",A397+IF(AND(Config!$B$17="Sim",LEFT(D397,17)="Cartão de crédito"),1,IFERROR(INDEX(Config!$C$12:$C$15,MATCH(IF(AND(D397="Cartão de crédito",N(E397)&gt;1),"Cartão de crédito parcelado",D397),Config!$A$12:$A$15,0)),0)))</f>
        <v/>
      </c>
      <c r="M397" s="37">
        <f>IF(L397="","",IF(AND(Config!$B$17="Sim",LEFT(D397,17)="Cartão de crédito"),L397,L397+30*(MAX(1,N(E397))-1)))</f>
        <v/>
      </c>
      <c r="N397" s="29">
        <f>IF(OR(L397="",K397=""),"",K397*MIN(MAX(1,N(E397)),MAX(0,INT((Config!$B$8-L397)/30)+1)))</f>
        <v/>
      </c>
      <c r="O397" s="29">
        <f>IF(J397="","",J397-N(N397))</f>
        <v/>
      </c>
      <c r="P397" s="27">
        <f>IF(A397="","",MONTH(A397))</f>
        <v/>
      </c>
      <c r="Q397" s="27">
        <f>IF(A397="","",YEAR(A397))</f>
        <v/>
      </c>
      <c r="R397" s="27">
        <f>IF(L397="","",IF(L397&gt;Config!$B$8,"A cair",IF(N(G397)&gt;=MIN(MAX(1,N(E397)),MAX(0,INT((Config!$B$8-L397)/30)+1)),IF(N(G397)&gt;=MAX(1,N(E397)),"Conferido","Conferido até aqui"),"A conferir")))</f>
        <v/>
      </c>
      <c r="S397" s="51">
        <f>IF(R397="A conferir",(Config!$B$8-L397)*1000+N(F397)/1000+ROW()/100000,0)</f>
        <v>0</v>
      </c>
      <c r="T397" s="51">
        <f>IF(R397="A conferir",N(N397),0)</f>
        <v>0</v>
      </c>
      <c r="U397" s="51">
        <f>IF(L397="",0,L397)</f>
        <v>0</v>
      </c>
      <c r="V397" s="51">
        <f>IF(L397="",0,MAX(1,N(E397)))</f>
        <v>0</v>
      </c>
      <c r="W397" s="51">
        <f>IF(K397="",0,K397)</f>
        <v>0</v>
      </c>
    </row>
    <row r="398">
      <c r="A398" s="49" t="n"/>
      <c r="B398" s="41" t="n"/>
      <c r="C398" s="41" t="n"/>
      <c r="D398" s="42" t="n"/>
      <c r="E398" s="42" t="n"/>
      <c r="F398" s="50" t="n"/>
      <c r="G398" s="42" t="n"/>
      <c r="H398" s="30">
        <f>IF(D398="","",IFERROR(INDEX(Config!$B$12:$B$15,MATCH(IF(AND(D398="Cartão de crédito",N(E398)&gt;1),"Cartão de crédito parcelado",D398),Config!$A$12:$A$15,0)),0)+IF(AND(Config!$B$17="Sim",LEFT(D398,17)="Cartão de crédito"),Config!$B$18*IFERROR(INDEX(Config!$C$12:$C$15,MATCH(IF(AND(D398="Cartão de crédito",N(E398)&gt;1),"Cartão de crédito parcelado",D398),Config!$A$12:$A$15,0)),0)/30*MAX(1,N(E398)),0))</f>
        <v/>
      </c>
      <c r="I398" s="29">
        <f>IF(OR(D398="",F398=""),"",ROUND(F398*H398,2))</f>
        <v/>
      </c>
      <c r="J398" s="29">
        <f>IF(I398="","",F398-I398)</f>
        <v/>
      </c>
      <c r="K398" s="29">
        <f>IF(J398="","",J398/MAX(1,N(E398)))</f>
        <v/>
      </c>
      <c r="L398" s="37">
        <f>IF(OR(D398="",A398=""),"",A398+IF(AND(Config!$B$17="Sim",LEFT(D398,17)="Cartão de crédito"),1,IFERROR(INDEX(Config!$C$12:$C$15,MATCH(IF(AND(D398="Cartão de crédito",N(E398)&gt;1),"Cartão de crédito parcelado",D398),Config!$A$12:$A$15,0)),0)))</f>
        <v/>
      </c>
      <c r="M398" s="37">
        <f>IF(L398="","",IF(AND(Config!$B$17="Sim",LEFT(D398,17)="Cartão de crédito"),L398,L398+30*(MAX(1,N(E398))-1)))</f>
        <v/>
      </c>
      <c r="N398" s="29">
        <f>IF(OR(L398="",K398=""),"",K398*MIN(MAX(1,N(E398)),MAX(0,INT((Config!$B$8-L398)/30)+1)))</f>
        <v/>
      </c>
      <c r="O398" s="29">
        <f>IF(J398="","",J398-N(N398))</f>
        <v/>
      </c>
      <c r="P398" s="27">
        <f>IF(A398="","",MONTH(A398))</f>
        <v/>
      </c>
      <c r="Q398" s="27">
        <f>IF(A398="","",YEAR(A398))</f>
        <v/>
      </c>
      <c r="R398" s="27">
        <f>IF(L398="","",IF(L398&gt;Config!$B$8,"A cair",IF(N(G398)&gt;=MIN(MAX(1,N(E398)),MAX(0,INT((Config!$B$8-L398)/30)+1)),IF(N(G398)&gt;=MAX(1,N(E398)),"Conferido","Conferido até aqui"),"A conferir")))</f>
        <v/>
      </c>
      <c r="S398" s="51">
        <f>IF(R398="A conferir",(Config!$B$8-L398)*1000+N(F398)/1000+ROW()/100000,0)</f>
        <v>0</v>
      </c>
      <c r="T398" s="51">
        <f>IF(R398="A conferir",N(N398),0)</f>
        <v>0</v>
      </c>
      <c r="U398" s="51">
        <f>IF(L398="",0,L398)</f>
        <v>0</v>
      </c>
      <c r="V398" s="51">
        <f>IF(L398="",0,MAX(1,N(E398)))</f>
        <v>0</v>
      </c>
      <c r="W398" s="51">
        <f>IF(K398="",0,K398)</f>
        <v>0</v>
      </c>
    </row>
    <row r="399">
      <c r="A399" s="49" t="n"/>
      <c r="B399" s="41" t="n"/>
      <c r="C399" s="41" t="n"/>
      <c r="D399" s="42" t="n"/>
      <c r="E399" s="42" t="n"/>
      <c r="F399" s="50" t="n"/>
      <c r="G399" s="42" t="n"/>
      <c r="H399" s="30">
        <f>IF(D399="","",IFERROR(INDEX(Config!$B$12:$B$15,MATCH(IF(AND(D399="Cartão de crédito",N(E399)&gt;1),"Cartão de crédito parcelado",D399),Config!$A$12:$A$15,0)),0)+IF(AND(Config!$B$17="Sim",LEFT(D399,17)="Cartão de crédito"),Config!$B$18*IFERROR(INDEX(Config!$C$12:$C$15,MATCH(IF(AND(D399="Cartão de crédito",N(E399)&gt;1),"Cartão de crédito parcelado",D399),Config!$A$12:$A$15,0)),0)/30*MAX(1,N(E399)),0))</f>
        <v/>
      </c>
      <c r="I399" s="29">
        <f>IF(OR(D399="",F399=""),"",ROUND(F399*H399,2))</f>
        <v/>
      </c>
      <c r="J399" s="29">
        <f>IF(I399="","",F399-I399)</f>
        <v/>
      </c>
      <c r="K399" s="29">
        <f>IF(J399="","",J399/MAX(1,N(E399)))</f>
        <v/>
      </c>
      <c r="L399" s="37">
        <f>IF(OR(D399="",A399=""),"",A399+IF(AND(Config!$B$17="Sim",LEFT(D399,17)="Cartão de crédito"),1,IFERROR(INDEX(Config!$C$12:$C$15,MATCH(IF(AND(D399="Cartão de crédito",N(E399)&gt;1),"Cartão de crédito parcelado",D399),Config!$A$12:$A$15,0)),0)))</f>
        <v/>
      </c>
      <c r="M399" s="37">
        <f>IF(L399="","",IF(AND(Config!$B$17="Sim",LEFT(D399,17)="Cartão de crédito"),L399,L399+30*(MAX(1,N(E399))-1)))</f>
        <v/>
      </c>
      <c r="N399" s="29">
        <f>IF(OR(L399="",K399=""),"",K399*MIN(MAX(1,N(E399)),MAX(0,INT((Config!$B$8-L399)/30)+1)))</f>
        <v/>
      </c>
      <c r="O399" s="29">
        <f>IF(J399="","",J399-N(N399))</f>
        <v/>
      </c>
      <c r="P399" s="27">
        <f>IF(A399="","",MONTH(A399))</f>
        <v/>
      </c>
      <c r="Q399" s="27">
        <f>IF(A399="","",YEAR(A399))</f>
        <v/>
      </c>
      <c r="R399" s="27">
        <f>IF(L399="","",IF(L399&gt;Config!$B$8,"A cair",IF(N(G399)&gt;=MIN(MAX(1,N(E399)),MAX(0,INT((Config!$B$8-L399)/30)+1)),IF(N(G399)&gt;=MAX(1,N(E399)),"Conferido","Conferido até aqui"),"A conferir")))</f>
        <v/>
      </c>
      <c r="S399" s="51">
        <f>IF(R399="A conferir",(Config!$B$8-L399)*1000+N(F399)/1000+ROW()/100000,0)</f>
        <v>0</v>
      </c>
      <c r="T399" s="51">
        <f>IF(R399="A conferir",N(N399),0)</f>
        <v>0</v>
      </c>
      <c r="U399" s="51">
        <f>IF(L399="",0,L399)</f>
        <v>0</v>
      </c>
      <c r="V399" s="51">
        <f>IF(L399="",0,MAX(1,N(E399)))</f>
        <v>0</v>
      </c>
      <c r="W399" s="51">
        <f>IF(K399="",0,K399)</f>
        <v>0</v>
      </c>
    </row>
    <row r="400">
      <c r="A400" s="49" t="n"/>
      <c r="B400" s="41" t="n"/>
      <c r="C400" s="41" t="n"/>
      <c r="D400" s="42" t="n"/>
      <c r="E400" s="42" t="n"/>
      <c r="F400" s="50" t="n"/>
      <c r="G400" s="42" t="n"/>
      <c r="H400" s="30">
        <f>IF(D400="","",IFERROR(INDEX(Config!$B$12:$B$15,MATCH(IF(AND(D400="Cartão de crédito",N(E400)&gt;1),"Cartão de crédito parcelado",D400),Config!$A$12:$A$15,0)),0)+IF(AND(Config!$B$17="Sim",LEFT(D400,17)="Cartão de crédito"),Config!$B$18*IFERROR(INDEX(Config!$C$12:$C$15,MATCH(IF(AND(D400="Cartão de crédito",N(E400)&gt;1),"Cartão de crédito parcelado",D400),Config!$A$12:$A$15,0)),0)/30*MAX(1,N(E400)),0))</f>
        <v/>
      </c>
      <c r="I400" s="29">
        <f>IF(OR(D400="",F400=""),"",ROUND(F400*H400,2))</f>
        <v/>
      </c>
      <c r="J400" s="29">
        <f>IF(I400="","",F400-I400)</f>
        <v/>
      </c>
      <c r="K400" s="29">
        <f>IF(J400="","",J400/MAX(1,N(E400)))</f>
        <v/>
      </c>
      <c r="L400" s="37">
        <f>IF(OR(D400="",A400=""),"",A400+IF(AND(Config!$B$17="Sim",LEFT(D400,17)="Cartão de crédito"),1,IFERROR(INDEX(Config!$C$12:$C$15,MATCH(IF(AND(D400="Cartão de crédito",N(E400)&gt;1),"Cartão de crédito parcelado",D400),Config!$A$12:$A$15,0)),0)))</f>
        <v/>
      </c>
      <c r="M400" s="37">
        <f>IF(L400="","",IF(AND(Config!$B$17="Sim",LEFT(D400,17)="Cartão de crédito"),L400,L400+30*(MAX(1,N(E400))-1)))</f>
        <v/>
      </c>
      <c r="N400" s="29">
        <f>IF(OR(L400="",K400=""),"",K400*MIN(MAX(1,N(E400)),MAX(0,INT((Config!$B$8-L400)/30)+1)))</f>
        <v/>
      </c>
      <c r="O400" s="29">
        <f>IF(J400="","",J400-N(N400))</f>
        <v/>
      </c>
      <c r="P400" s="27">
        <f>IF(A400="","",MONTH(A400))</f>
        <v/>
      </c>
      <c r="Q400" s="27">
        <f>IF(A400="","",YEAR(A400))</f>
        <v/>
      </c>
      <c r="R400" s="27">
        <f>IF(L400="","",IF(L400&gt;Config!$B$8,"A cair",IF(N(G400)&gt;=MIN(MAX(1,N(E400)),MAX(0,INT((Config!$B$8-L400)/30)+1)),IF(N(G400)&gt;=MAX(1,N(E400)),"Conferido","Conferido até aqui"),"A conferir")))</f>
        <v/>
      </c>
      <c r="S400" s="51">
        <f>IF(R400="A conferir",(Config!$B$8-L400)*1000+N(F400)/1000+ROW()/100000,0)</f>
        <v>0</v>
      </c>
      <c r="T400" s="51">
        <f>IF(R400="A conferir",N(N400),0)</f>
        <v>0</v>
      </c>
      <c r="U400" s="51">
        <f>IF(L400="",0,L400)</f>
        <v>0</v>
      </c>
      <c r="V400" s="51">
        <f>IF(L400="",0,MAX(1,N(E400)))</f>
        <v>0</v>
      </c>
      <c r="W400" s="51">
        <f>IF(K400="",0,K400)</f>
        <v>0</v>
      </c>
    </row>
    <row r="401">
      <c r="A401" s="49" t="n"/>
      <c r="B401" s="41" t="n"/>
      <c r="C401" s="41" t="n"/>
      <c r="D401" s="42" t="n"/>
      <c r="E401" s="42" t="n"/>
      <c r="F401" s="50" t="n"/>
      <c r="G401" s="42" t="n"/>
      <c r="H401" s="30">
        <f>IF(D401="","",IFERROR(INDEX(Config!$B$12:$B$15,MATCH(IF(AND(D401="Cartão de crédito",N(E401)&gt;1),"Cartão de crédito parcelado",D401),Config!$A$12:$A$15,0)),0)+IF(AND(Config!$B$17="Sim",LEFT(D401,17)="Cartão de crédito"),Config!$B$18*IFERROR(INDEX(Config!$C$12:$C$15,MATCH(IF(AND(D401="Cartão de crédito",N(E401)&gt;1),"Cartão de crédito parcelado",D401),Config!$A$12:$A$15,0)),0)/30*MAX(1,N(E401)),0))</f>
        <v/>
      </c>
      <c r="I401" s="29">
        <f>IF(OR(D401="",F401=""),"",ROUND(F401*H401,2))</f>
        <v/>
      </c>
      <c r="J401" s="29">
        <f>IF(I401="","",F401-I401)</f>
        <v/>
      </c>
      <c r="K401" s="29">
        <f>IF(J401="","",J401/MAX(1,N(E401)))</f>
        <v/>
      </c>
      <c r="L401" s="37">
        <f>IF(OR(D401="",A401=""),"",A401+IF(AND(Config!$B$17="Sim",LEFT(D401,17)="Cartão de crédito"),1,IFERROR(INDEX(Config!$C$12:$C$15,MATCH(IF(AND(D401="Cartão de crédito",N(E401)&gt;1),"Cartão de crédito parcelado",D401),Config!$A$12:$A$15,0)),0)))</f>
        <v/>
      </c>
      <c r="M401" s="37">
        <f>IF(L401="","",IF(AND(Config!$B$17="Sim",LEFT(D401,17)="Cartão de crédito"),L401,L401+30*(MAX(1,N(E401))-1)))</f>
        <v/>
      </c>
      <c r="N401" s="29">
        <f>IF(OR(L401="",K401=""),"",K401*MIN(MAX(1,N(E401)),MAX(0,INT((Config!$B$8-L401)/30)+1)))</f>
        <v/>
      </c>
      <c r="O401" s="29">
        <f>IF(J401="","",J401-N(N401))</f>
        <v/>
      </c>
      <c r="P401" s="27">
        <f>IF(A401="","",MONTH(A401))</f>
        <v/>
      </c>
      <c r="Q401" s="27">
        <f>IF(A401="","",YEAR(A401))</f>
        <v/>
      </c>
      <c r="R401" s="27">
        <f>IF(L401="","",IF(L401&gt;Config!$B$8,"A cair",IF(N(G401)&gt;=MIN(MAX(1,N(E401)),MAX(0,INT((Config!$B$8-L401)/30)+1)),IF(N(G401)&gt;=MAX(1,N(E401)),"Conferido","Conferido até aqui"),"A conferir")))</f>
        <v/>
      </c>
      <c r="S401" s="51">
        <f>IF(R401="A conferir",(Config!$B$8-L401)*1000+N(F401)/1000+ROW()/100000,0)</f>
        <v>0</v>
      </c>
      <c r="T401" s="51">
        <f>IF(R401="A conferir",N(N401),0)</f>
        <v>0</v>
      </c>
      <c r="U401" s="51">
        <f>IF(L401="",0,L401)</f>
        <v>0</v>
      </c>
      <c r="V401" s="51">
        <f>IF(L401="",0,MAX(1,N(E401)))</f>
        <v>0</v>
      </c>
      <c r="W401" s="51">
        <f>IF(K401="",0,K401)</f>
        <v>0</v>
      </c>
    </row>
    <row r="402">
      <c r="A402" s="49" t="n"/>
      <c r="B402" s="41" t="n"/>
      <c r="C402" s="41" t="n"/>
      <c r="D402" s="42" t="n"/>
      <c r="E402" s="42" t="n"/>
      <c r="F402" s="50" t="n"/>
      <c r="G402" s="42" t="n"/>
      <c r="H402" s="30">
        <f>IF(D402="","",IFERROR(INDEX(Config!$B$12:$B$15,MATCH(IF(AND(D402="Cartão de crédito",N(E402)&gt;1),"Cartão de crédito parcelado",D402),Config!$A$12:$A$15,0)),0)+IF(AND(Config!$B$17="Sim",LEFT(D402,17)="Cartão de crédito"),Config!$B$18*IFERROR(INDEX(Config!$C$12:$C$15,MATCH(IF(AND(D402="Cartão de crédito",N(E402)&gt;1),"Cartão de crédito parcelado",D402),Config!$A$12:$A$15,0)),0)/30*MAX(1,N(E402)),0))</f>
        <v/>
      </c>
      <c r="I402" s="29">
        <f>IF(OR(D402="",F402=""),"",ROUND(F402*H402,2))</f>
        <v/>
      </c>
      <c r="J402" s="29">
        <f>IF(I402="","",F402-I402)</f>
        <v/>
      </c>
      <c r="K402" s="29">
        <f>IF(J402="","",J402/MAX(1,N(E402)))</f>
        <v/>
      </c>
      <c r="L402" s="37">
        <f>IF(OR(D402="",A402=""),"",A402+IF(AND(Config!$B$17="Sim",LEFT(D402,17)="Cartão de crédito"),1,IFERROR(INDEX(Config!$C$12:$C$15,MATCH(IF(AND(D402="Cartão de crédito",N(E402)&gt;1),"Cartão de crédito parcelado",D402),Config!$A$12:$A$15,0)),0)))</f>
        <v/>
      </c>
      <c r="M402" s="37">
        <f>IF(L402="","",IF(AND(Config!$B$17="Sim",LEFT(D402,17)="Cartão de crédito"),L402,L402+30*(MAX(1,N(E402))-1)))</f>
        <v/>
      </c>
      <c r="N402" s="29">
        <f>IF(OR(L402="",K402=""),"",K402*MIN(MAX(1,N(E402)),MAX(0,INT((Config!$B$8-L402)/30)+1)))</f>
        <v/>
      </c>
      <c r="O402" s="29">
        <f>IF(J402="","",J402-N(N402))</f>
        <v/>
      </c>
      <c r="P402" s="27">
        <f>IF(A402="","",MONTH(A402))</f>
        <v/>
      </c>
      <c r="Q402" s="27">
        <f>IF(A402="","",YEAR(A402))</f>
        <v/>
      </c>
      <c r="R402" s="27">
        <f>IF(L402="","",IF(L402&gt;Config!$B$8,"A cair",IF(N(G402)&gt;=MIN(MAX(1,N(E402)),MAX(0,INT((Config!$B$8-L402)/30)+1)),IF(N(G402)&gt;=MAX(1,N(E402)),"Conferido","Conferido até aqui"),"A conferir")))</f>
        <v/>
      </c>
      <c r="S402" s="51">
        <f>IF(R402="A conferir",(Config!$B$8-L402)*1000+N(F402)/1000+ROW()/100000,0)</f>
        <v>0</v>
      </c>
      <c r="T402" s="51">
        <f>IF(R402="A conferir",N(N402),0)</f>
        <v>0</v>
      </c>
      <c r="U402" s="51">
        <f>IF(L402="",0,L402)</f>
        <v>0</v>
      </c>
      <c r="V402" s="51">
        <f>IF(L402="",0,MAX(1,N(E402)))</f>
        <v>0</v>
      </c>
      <c r="W402" s="51">
        <f>IF(K402="",0,K402)</f>
        <v>0</v>
      </c>
    </row>
    <row r="403">
      <c r="A403" s="49" t="n"/>
      <c r="B403" s="41" t="n"/>
      <c r="C403" s="41" t="n"/>
      <c r="D403" s="42" t="n"/>
      <c r="E403" s="42" t="n"/>
      <c r="F403" s="50" t="n"/>
      <c r="G403" s="42" t="n"/>
      <c r="H403" s="30">
        <f>IF(D403="","",IFERROR(INDEX(Config!$B$12:$B$15,MATCH(IF(AND(D403="Cartão de crédito",N(E403)&gt;1),"Cartão de crédito parcelado",D403),Config!$A$12:$A$15,0)),0)+IF(AND(Config!$B$17="Sim",LEFT(D403,17)="Cartão de crédito"),Config!$B$18*IFERROR(INDEX(Config!$C$12:$C$15,MATCH(IF(AND(D403="Cartão de crédito",N(E403)&gt;1),"Cartão de crédito parcelado",D403),Config!$A$12:$A$15,0)),0)/30*MAX(1,N(E403)),0))</f>
        <v/>
      </c>
      <c r="I403" s="29">
        <f>IF(OR(D403="",F403=""),"",ROUND(F403*H403,2))</f>
        <v/>
      </c>
      <c r="J403" s="29">
        <f>IF(I403="","",F403-I403)</f>
        <v/>
      </c>
      <c r="K403" s="29">
        <f>IF(J403="","",J403/MAX(1,N(E403)))</f>
        <v/>
      </c>
      <c r="L403" s="37">
        <f>IF(OR(D403="",A403=""),"",A403+IF(AND(Config!$B$17="Sim",LEFT(D403,17)="Cartão de crédito"),1,IFERROR(INDEX(Config!$C$12:$C$15,MATCH(IF(AND(D403="Cartão de crédito",N(E403)&gt;1),"Cartão de crédito parcelado",D403),Config!$A$12:$A$15,0)),0)))</f>
        <v/>
      </c>
      <c r="M403" s="37">
        <f>IF(L403="","",IF(AND(Config!$B$17="Sim",LEFT(D403,17)="Cartão de crédito"),L403,L403+30*(MAX(1,N(E403))-1)))</f>
        <v/>
      </c>
      <c r="N403" s="29">
        <f>IF(OR(L403="",K403=""),"",K403*MIN(MAX(1,N(E403)),MAX(0,INT((Config!$B$8-L403)/30)+1)))</f>
        <v/>
      </c>
      <c r="O403" s="29">
        <f>IF(J403="","",J403-N(N403))</f>
        <v/>
      </c>
      <c r="P403" s="27">
        <f>IF(A403="","",MONTH(A403))</f>
        <v/>
      </c>
      <c r="Q403" s="27">
        <f>IF(A403="","",YEAR(A403))</f>
        <v/>
      </c>
      <c r="R403" s="27">
        <f>IF(L403="","",IF(L403&gt;Config!$B$8,"A cair",IF(N(G403)&gt;=MIN(MAX(1,N(E403)),MAX(0,INT((Config!$B$8-L403)/30)+1)),IF(N(G403)&gt;=MAX(1,N(E403)),"Conferido","Conferido até aqui"),"A conferir")))</f>
        <v/>
      </c>
      <c r="S403" s="51">
        <f>IF(R403="A conferir",(Config!$B$8-L403)*1000+N(F403)/1000+ROW()/100000,0)</f>
        <v>0</v>
      </c>
      <c r="T403" s="51">
        <f>IF(R403="A conferir",N(N403),0)</f>
        <v>0</v>
      </c>
      <c r="U403" s="51">
        <f>IF(L403="",0,L403)</f>
        <v>0</v>
      </c>
      <c r="V403" s="51">
        <f>IF(L403="",0,MAX(1,N(E403)))</f>
        <v>0</v>
      </c>
      <c r="W403" s="51">
        <f>IF(K403="",0,K403)</f>
        <v>0</v>
      </c>
    </row>
    <row r="404">
      <c r="A404" s="49" t="n"/>
      <c r="B404" s="41" t="n"/>
      <c r="C404" s="41" t="n"/>
      <c r="D404" s="42" t="n"/>
      <c r="E404" s="42" t="n"/>
      <c r="F404" s="50" t="n"/>
      <c r="G404" s="42" t="n"/>
      <c r="H404" s="30">
        <f>IF(D404="","",IFERROR(INDEX(Config!$B$12:$B$15,MATCH(IF(AND(D404="Cartão de crédito",N(E404)&gt;1),"Cartão de crédito parcelado",D404),Config!$A$12:$A$15,0)),0)+IF(AND(Config!$B$17="Sim",LEFT(D404,17)="Cartão de crédito"),Config!$B$18*IFERROR(INDEX(Config!$C$12:$C$15,MATCH(IF(AND(D404="Cartão de crédito",N(E404)&gt;1),"Cartão de crédito parcelado",D404),Config!$A$12:$A$15,0)),0)/30*MAX(1,N(E404)),0))</f>
        <v/>
      </c>
      <c r="I404" s="29">
        <f>IF(OR(D404="",F404=""),"",ROUND(F404*H404,2))</f>
        <v/>
      </c>
      <c r="J404" s="29">
        <f>IF(I404="","",F404-I404)</f>
        <v/>
      </c>
      <c r="K404" s="29">
        <f>IF(J404="","",J404/MAX(1,N(E404)))</f>
        <v/>
      </c>
      <c r="L404" s="37">
        <f>IF(OR(D404="",A404=""),"",A404+IF(AND(Config!$B$17="Sim",LEFT(D404,17)="Cartão de crédito"),1,IFERROR(INDEX(Config!$C$12:$C$15,MATCH(IF(AND(D404="Cartão de crédito",N(E404)&gt;1),"Cartão de crédito parcelado",D404),Config!$A$12:$A$15,0)),0)))</f>
        <v/>
      </c>
      <c r="M404" s="37">
        <f>IF(L404="","",IF(AND(Config!$B$17="Sim",LEFT(D404,17)="Cartão de crédito"),L404,L404+30*(MAX(1,N(E404))-1)))</f>
        <v/>
      </c>
      <c r="N404" s="29">
        <f>IF(OR(L404="",K404=""),"",K404*MIN(MAX(1,N(E404)),MAX(0,INT((Config!$B$8-L404)/30)+1)))</f>
        <v/>
      </c>
      <c r="O404" s="29">
        <f>IF(J404="","",J404-N(N404))</f>
        <v/>
      </c>
      <c r="P404" s="27">
        <f>IF(A404="","",MONTH(A404))</f>
        <v/>
      </c>
      <c r="Q404" s="27">
        <f>IF(A404="","",YEAR(A404))</f>
        <v/>
      </c>
      <c r="R404" s="27">
        <f>IF(L404="","",IF(L404&gt;Config!$B$8,"A cair",IF(N(G404)&gt;=MIN(MAX(1,N(E404)),MAX(0,INT((Config!$B$8-L404)/30)+1)),IF(N(G404)&gt;=MAX(1,N(E404)),"Conferido","Conferido até aqui"),"A conferir")))</f>
        <v/>
      </c>
      <c r="S404" s="51">
        <f>IF(R404="A conferir",(Config!$B$8-L404)*1000+N(F404)/1000+ROW()/100000,0)</f>
        <v>0</v>
      </c>
      <c r="T404" s="51">
        <f>IF(R404="A conferir",N(N404),0)</f>
        <v>0</v>
      </c>
      <c r="U404" s="51">
        <f>IF(L404="",0,L404)</f>
        <v>0</v>
      </c>
      <c r="V404" s="51">
        <f>IF(L404="",0,MAX(1,N(E404)))</f>
        <v>0</v>
      </c>
      <c r="W404" s="51">
        <f>IF(K404="",0,K404)</f>
        <v>0</v>
      </c>
    </row>
    <row r="405">
      <c r="A405" s="49" t="n"/>
      <c r="B405" s="41" t="n"/>
      <c r="C405" s="41" t="n"/>
      <c r="D405" s="42" t="n"/>
      <c r="E405" s="42" t="n"/>
      <c r="F405" s="50" t="n"/>
      <c r="G405" s="42" t="n"/>
      <c r="H405" s="30">
        <f>IF(D405="","",IFERROR(INDEX(Config!$B$12:$B$15,MATCH(IF(AND(D405="Cartão de crédito",N(E405)&gt;1),"Cartão de crédito parcelado",D405),Config!$A$12:$A$15,0)),0)+IF(AND(Config!$B$17="Sim",LEFT(D405,17)="Cartão de crédito"),Config!$B$18*IFERROR(INDEX(Config!$C$12:$C$15,MATCH(IF(AND(D405="Cartão de crédito",N(E405)&gt;1),"Cartão de crédito parcelado",D405),Config!$A$12:$A$15,0)),0)/30*MAX(1,N(E405)),0))</f>
        <v/>
      </c>
      <c r="I405" s="29">
        <f>IF(OR(D405="",F405=""),"",ROUND(F405*H405,2))</f>
        <v/>
      </c>
      <c r="J405" s="29">
        <f>IF(I405="","",F405-I405)</f>
        <v/>
      </c>
      <c r="K405" s="29">
        <f>IF(J405="","",J405/MAX(1,N(E405)))</f>
        <v/>
      </c>
      <c r="L405" s="37">
        <f>IF(OR(D405="",A405=""),"",A405+IF(AND(Config!$B$17="Sim",LEFT(D405,17)="Cartão de crédito"),1,IFERROR(INDEX(Config!$C$12:$C$15,MATCH(IF(AND(D405="Cartão de crédito",N(E405)&gt;1),"Cartão de crédito parcelado",D405),Config!$A$12:$A$15,0)),0)))</f>
        <v/>
      </c>
      <c r="M405" s="37">
        <f>IF(L405="","",IF(AND(Config!$B$17="Sim",LEFT(D405,17)="Cartão de crédito"),L405,L405+30*(MAX(1,N(E405))-1)))</f>
        <v/>
      </c>
      <c r="N405" s="29">
        <f>IF(OR(L405="",K405=""),"",K405*MIN(MAX(1,N(E405)),MAX(0,INT((Config!$B$8-L405)/30)+1)))</f>
        <v/>
      </c>
      <c r="O405" s="29">
        <f>IF(J405="","",J405-N(N405))</f>
        <v/>
      </c>
      <c r="P405" s="27">
        <f>IF(A405="","",MONTH(A405))</f>
        <v/>
      </c>
      <c r="Q405" s="27">
        <f>IF(A405="","",YEAR(A405))</f>
        <v/>
      </c>
      <c r="R405" s="27">
        <f>IF(L405="","",IF(L405&gt;Config!$B$8,"A cair",IF(N(G405)&gt;=MIN(MAX(1,N(E405)),MAX(0,INT((Config!$B$8-L405)/30)+1)),IF(N(G405)&gt;=MAX(1,N(E405)),"Conferido","Conferido até aqui"),"A conferir")))</f>
        <v/>
      </c>
      <c r="S405" s="51">
        <f>IF(R405="A conferir",(Config!$B$8-L405)*1000+N(F405)/1000+ROW()/100000,0)</f>
        <v>0</v>
      </c>
      <c r="T405" s="51">
        <f>IF(R405="A conferir",N(N405),0)</f>
        <v>0</v>
      </c>
      <c r="U405" s="51">
        <f>IF(L405="",0,L405)</f>
        <v>0</v>
      </c>
      <c r="V405" s="51">
        <f>IF(L405="",0,MAX(1,N(E405)))</f>
        <v>0</v>
      </c>
      <c r="W405" s="51">
        <f>IF(K405="",0,K405)</f>
        <v>0</v>
      </c>
    </row>
    <row r="406">
      <c r="A406" s="49" t="n"/>
      <c r="B406" s="41" t="n"/>
      <c r="C406" s="41" t="n"/>
      <c r="D406" s="42" t="n"/>
      <c r="E406" s="42" t="n"/>
      <c r="F406" s="50" t="n"/>
      <c r="G406" s="42" t="n"/>
      <c r="H406" s="30">
        <f>IF(D406="","",IFERROR(INDEX(Config!$B$12:$B$15,MATCH(IF(AND(D406="Cartão de crédito",N(E406)&gt;1),"Cartão de crédito parcelado",D406),Config!$A$12:$A$15,0)),0)+IF(AND(Config!$B$17="Sim",LEFT(D406,17)="Cartão de crédito"),Config!$B$18*IFERROR(INDEX(Config!$C$12:$C$15,MATCH(IF(AND(D406="Cartão de crédito",N(E406)&gt;1),"Cartão de crédito parcelado",D406),Config!$A$12:$A$15,0)),0)/30*MAX(1,N(E406)),0))</f>
        <v/>
      </c>
      <c r="I406" s="29">
        <f>IF(OR(D406="",F406=""),"",ROUND(F406*H406,2))</f>
        <v/>
      </c>
      <c r="J406" s="29">
        <f>IF(I406="","",F406-I406)</f>
        <v/>
      </c>
      <c r="K406" s="29">
        <f>IF(J406="","",J406/MAX(1,N(E406)))</f>
        <v/>
      </c>
      <c r="L406" s="37">
        <f>IF(OR(D406="",A406=""),"",A406+IF(AND(Config!$B$17="Sim",LEFT(D406,17)="Cartão de crédito"),1,IFERROR(INDEX(Config!$C$12:$C$15,MATCH(IF(AND(D406="Cartão de crédito",N(E406)&gt;1),"Cartão de crédito parcelado",D406),Config!$A$12:$A$15,0)),0)))</f>
        <v/>
      </c>
      <c r="M406" s="37">
        <f>IF(L406="","",IF(AND(Config!$B$17="Sim",LEFT(D406,17)="Cartão de crédito"),L406,L406+30*(MAX(1,N(E406))-1)))</f>
        <v/>
      </c>
      <c r="N406" s="29">
        <f>IF(OR(L406="",K406=""),"",K406*MIN(MAX(1,N(E406)),MAX(0,INT((Config!$B$8-L406)/30)+1)))</f>
        <v/>
      </c>
      <c r="O406" s="29">
        <f>IF(J406="","",J406-N(N406))</f>
        <v/>
      </c>
      <c r="P406" s="27">
        <f>IF(A406="","",MONTH(A406))</f>
        <v/>
      </c>
      <c r="Q406" s="27">
        <f>IF(A406="","",YEAR(A406))</f>
        <v/>
      </c>
      <c r="R406" s="27">
        <f>IF(L406="","",IF(L406&gt;Config!$B$8,"A cair",IF(N(G406)&gt;=MIN(MAX(1,N(E406)),MAX(0,INT((Config!$B$8-L406)/30)+1)),IF(N(G406)&gt;=MAX(1,N(E406)),"Conferido","Conferido até aqui"),"A conferir")))</f>
        <v/>
      </c>
      <c r="S406" s="51">
        <f>IF(R406="A conferir",(Config!$B$8-L406)*1000+N(F406)/1000+ROW()/100000,0)</f>
        <v>0</v>
      </c>
      <c r="T406" s="51">
        <f>IF(R406="A conferir",N(N406),0)</f>
        <v>0</v>
      </c>
      <c r="U406" s="51">
        <f>IF(L406="",0,L406)</f>
        <v>0</v>
      </c>
      <c r="V406" s="51">
        <f>IF(L406="",0,MAX(1,N(E406)))</f>
        <v>0</v>
      </c>
      <c r="W406" s="51">
        <f>IF(K406="",0,K406)</f>
        <v>0</v>
      </c>
    </row>
    <row r="407">
      <c r="A407" s="49" t="n"/>
      <c r="B407" s="41" t="n"/>
      <c r="C407" s="41" t="n"/>
      <c r="D407" s="42" t="n"/>
      <c r="E407" s="42" t="n"/>
      <c r="F407" s="50" t="n"/>
      <c r="G407" s="42" t="n"/>
      <c r="H407" s="30">
        <f>IF(D407="","",IFERROR(INDEX(Config!$B$12:$B$15,MATCH(IF(AND(D407="Cartão de crédito",N(E407)&gt;1),"Cartão de crédito parcelado",D407),Config!$A$12:$A$15,0)),0)+IF(AND(Config!$B$17="Sim",LEFT(D407,17)="Cartão de crédito"),Config!$B$18*IFERROR(INDEX(Config!$C$12:$C$15,MATCH(IF(AND(D407="Cartão de crédito",N(E407)&gt;1),"Cartão de crédito parcelado",D407),Config!$A$12:$A$15,0)),0)/30*MAX(1,N(E407)),0))</f>
        <v/>
      </c>
      <c r="I407" s="29">
        <f>IF(OR(D407="",F407=""),"",ROUND(F407*H407,2))</f>
        <v/>
      </c>
      <c r="J407" s="29">
        <f>IF(I407="","",F407-I407)</f>
        <v/>
      </c>
      <c r="K407" s="29">
        <f>IF(J407="","",J407/MAX(1,N(E407)))</f>
        <v/>
      </c>
      <c r="L407" s="37">
        <f>IF(OR(D407="",A407=""),"",A407+IF(AND(Config!$B$17="Sim",LEFT(D407,17)="Cartão de crédito"),1,IFERROR(INDEX(Config!$C$12:$C$15,MATCH(IF(AND(D407="Cartão de crédito",N(E407)&gt;1),"Cartão de crédito parcelado",D407),Config!$A$12:$A$15,0)),0)))</f>
        <v/>
      </c>
      <c r="M407" s="37">
        <f>IF(L407="","",IF(AND(Config!$B$17="Sim",LEFT(D407,17)="Cartão de crédito"),L407,L407+30*(MAX(1,N(E407))-1)))</f>
        <v/>
      </c>
      <c r="N407" s="29">
        <f>IF(OR(L407="",K407=""),"",K407*MIN(MAX(1,N(E407)),MAX(0,INT((Config!$B$8-L407)/30)+1)))</f>
        <v/>
      </c>
      <c r="O407" s="29">
        <f>IF(J407="","",J407-N(N407))</f>
        <v/>
      </c>
      <c r="P407" s="27">
        <f>IF(A407="","",MONTH(A407))</f>
        <v/>
      </c>
      <c r="Q407" s="27">
        <f>IF(A407="","",YEAR(A407))</f>
        <v/>
      </c>
      <c r="R407" s="27">
        <f>IF(L407="","",IF(L407&gt;Config!$B$8,"A cair",IF(N(G407)&gt;=MIN(MAX(1,N(E407)),MAX(0,INT((Config!$B$8-L407)/30)+1)),IF(N(G407)&gt;=MAX(1,N(E407)),"Conferido","Conferido até aqui"),"A conferir")))</f>
        <v/>
      </c>
      <c r="S407" s="51">
        <f>IF(R407="A conferir",(Config!$B$8-L407)*1000+N(F407)/1000+ROW()/100000,0)</f>
        <v>0</v>
      </c>
      <c r="T407" s="51">
        <f>IF(R407="A conferir",N(N407),0)</f>
        <v>0</v>
      </c>
      <c r="U407" s="51">
        <f>IF(L407="",0,L407)</f>
        <v>0</v>
      </c>
      <c r="V407" s="51">
        <f>IF(L407="",0,MAX(1,N(E407)))</f>
        <v>0</v>
      </c>
      <c r="W407" s="51">
        <f>IF(K407="",0,K407)</f>
        <v>0</v>
      </c>
    </row>
    <row r="408">
      <c r="A408" s="49" t="n"/>
      <c r="B408" s="41" t="n"/>
      <c r="C408" s="41" t="n"/>
      <c r="D408" s="42" t="n"/>
      <c r="E408" s="42" t="n"/>
      <c r="F408" s="50" t="n"/>
      <c r="G408" s="42" t="n"/>
      <c r="H408" s="30">
        <f>IF(D408="","",IFERROR(INDEX(Config!$B$12:$B$15,MATCH(IF(AND(D408="Cartão de crédito",N(E408)&gt;1),"Cartão de crédito parcelado",D408),Config!$A$12:$A$15,0)),0)+IF(AND(Config!$B$17="Sim",LEFT(D408,17)="Cartão de crédito"),Config!$B$18*IFERROR(INDEX(Config!$C$12:$C$15,MATCH(IF(AND(D408="Cartão de crédito",N(E408)&gt;1),"Cartão de crédito parcelado",D408),Config!$A$12:$A$15,0)),0)/30*MAX(1,N(E408)),0))</f>
        <v/>
      </c>
      <c r="I408" s="29">
        <f>IF(OR(D408="",F408=""),"",ROUND(F408*H408,2))</f>
        <v/>
      </c>
      <c r="J408" s="29">
        <f>IF(I408="","",F408-I408)</f>
        <v/>
      </c>
      <c r="K408" s="29">
        <f>IF(J408="","",J408/MAX(1,N(E408)))</f>
        <v/>
      </c>
      <c r="L408" s="37">
        <f>IF(OR(D408="",A408=""),"",A408+IF(AND(Config!$B$17="Sim",LEFT(D408,17)="Cartão de crédito"),1,IFERROR(INDEX(Config!$C$12:$C$15,MATCH(IF(AND(D408="Cartão de crédito",N(E408)&gt;1),"Cartão de crédito parcelado",D408),Config!$A$12:$A$15,0)),0)))</f>
        <v/>
      </c>
      <c r="M408" s="37">
        <f>IF(L408="","",IF(AND(Config!$B$17="Sim",LEFT(D408,17)="Cartão de crédito"),L408,L408+30*(MAX(1,N(E408))-1)))</f>
        <v/>
      </c>
      <c r="N408" s="29">
        <f>IF(OR(L408="",K408=""),"",K408*MIN(MAX(1,N(E408)),MAX(0,INT((Config!$B$8-L408)/30)+1)))</f>
        <v/>
      </c>
      <c r="O408" s="29">
        <f>IF(J408="","",J408-N(N408))</f>
        <v/>
      </c>
      <c r="P408" s="27">
        <f>IF(A408="","",MONTH(A408))</f>
        <v/>
      </c>
      <c r="Q408" s="27">
        <f>IF(A408="","",YEAR(A408))</f>
        <v/>
      </c>
      <c r="R408" s="27">
        <f>IF(L408="","",IF(L408&gt;Config!$B$8,"A cair",IF(N(G408)&gt;=MIN(MAX(1,N(E408)),MAX(0,INT((Config!$B$8-L408)/30)+1)),IF(N(G408)&gt;=MAX(1,N(E408)),"Conferido","Conferido até aqui"),"A conferir")))</f>
        <v/>
      </c>
      <c r="S408" s="51">
        <f>IF(R408="A conferir",(Config!$B$8-L408)*1000+N(F408)/1000+ROW()/100000,0)</f>
        <v>0</v>
      </c>
      <c r="T408" s="51">
        <f>IF(R408="A conferir",N(N408),0)</f>
        <v>0</v>
      </c>
      <c r="U408" s="51">
        <f>IF(L408="",0,L408)</f>
        <v>0</v>
      </c>
      <c r="V408" s="51">
        <f>IF(L408="",0,MAX(1,N(E408)))</f>
        <v>0</v>
      </c>
      <c r="W408" s="51">
        <f>IF(K408="",0,K408)</f>
        <v>0</v>
      </c>
    </row>
    <row r="409">
      <c r="A409" s="49" t="n"/>
      <c r="B409" s="41" t="n"/>
      <c r="C409" s="41" t="n"/>
      <c r="D409" s="42" t="n"/>
      <c r="E409" s="42" t="n"/>
      <c r="F409" s="50" t="n"/>
      <c r="G409" s="42" t="n"/>
      <c r="H409" s="30">
        <f>IF(D409="","",IFERROR(INDEX(Config!$B$12:$B$15,MATCH(IF(AND(D409="Cartão de crédito",N(E409)&gt;1),"Cartão de crédito parcelado",D409),Config!$A$12:$A$15,0)),0)+IF(AND(Config!$B$17="Sim",LEFT(D409,17)="Cartão de crédito"),Config!$B$18*IFERROR(INDEX(Config!$C$12:$C$15,MATCH(IF(AND(D409="Cartão de crédito",N(E409)&gt;1),"Cartão de crédito parcelado",D409),Config!$A$12:$A$15,0)),0)/30*MAX(1,N(E409)),0))</f>
        <v/>
      </c>
      <c r="I409" s="29">
        <f>IF(OR(D409="",F409=""),"",ROUND(F409*H409,2))</f>
        <v/>
      </c>
      <c r="J409" s="29">
        <f>IF(I409="","",F409-I409)</f>
        <v/>
      </c>
      <c r="K409" s="29">
        <f>IF(J409="","",J409/MAX(1,N(E409)))</f>
        <v/>
      </c>
      <c r="L409" s="37">
        <f>IF(OR(D409="",A409=""),"",A409+IF(AND(Config!$B$17="Sim",LEFT(D409,17)="Cartão de crédito"),1,IFERROR(INDEX(Config!$C$12:$C$15,MATCH(IF(AND(D409="Cartão de crédito",N(E409)&gt;1),"Cartão de crédito parcelado",D409),Config!$A$12:$A$15,0)),0)))</f>
        <v/>
      </c>
      <c r="M409" s="37">
        <f>IF(L409="","",IF(AND(Config!$B$17="Sim",LEFT(D409,17)="Cartão de crédito"),L409,L409+30*(MAX(1,N(E409))-1)))</f>
        <v/>
      </c>
      <c r="N409" s="29">
        <f>IF(OR(L409="",K409=""),"",K409*MIN(MAX(1,N(E409)),MAX(0,INT((Config!$B$8-L409)/30)+1)))</f>
        <v/>
      </c>
      <c r="O409" s="29">
        <f>IF(J409="","",J409-N(N409))</f>
        <v/>
      </c>
      <c r="P409" s="27">
        <f>IF(A409="","",MONTH(A409))</f>
        <v/>
      </c>
      <c r="Q409" s="27">
        <f>IF(A409="","",YEAR(A409))</f>
        <v/>
      </c>
      <c r="R409" s="27">
        <f>IF(L409="","",IF(L409&gt;Config!$B$8,"A cair",IF(N(G409)&gt;=MIN(MAX(1,N(E409)),MAX(0,INT((Config!$B$8-L409)/30)+1)),IF(N(G409)&gt;=MAX(1,N(E409)),"Conferido","Conferido até aqui"),"A conferir")))</f>
        <v/>
      </c>
      <c r="S409" s="51">
        <f>IF(R409="A conferir",(Config!$B$8-L409)*1000+N(F409)/1000+ROW()/100000,0)</f>
        <v>0</v>
      </c>
      <c r="T409" s="51">
        <f>IF(R409="A conferir",N(N409),0)</f>
        <v>0</v>
      </c>
      <c r="U409" s="51">
        <f>IF(L409="",0,L409)</f>
        <v>0</v>
      </c>
      <c r="V409" s="51">
        <f>IF(L409="",0,MAX(1,N(E409)))</f>
        <v>0</v>
      </c>
      <c r="W409" s="51">
        <f>IF(K409="",0,K409)</f>
        <v>0</v>
      </c>
    </row>
    <row r="410">
      <c r="A410" s="49" t="n"/>
      <c r="B410" s="41" t="n"/>
      <c r="C410" s="41" t="n"/>
      <c r="D410" s="42" t="n"/>
      <c r="E410" s="42" t="n"/>
      <c r="F410" s="50" t="n"/>
      <c r="G410" s="42" t="n"/>
      <c r="H410" s="30">
        <f>IF(D410="","",IFERROR(INDEX(Config!$B$12:$B$15,MATCH(IF(AND(D410="Cartão de crédito",N(E410)&gt;1),"Cartão de crédito parcelado",D410),Config!$A$12:$A$15,0)),0)+IF(AND(Config!$B$17="Sim",LEFT(D410,17)="Cartão de crédito"),Config!$B$18*IFERROR(INDEX(Config!$C$12:$C$15,MATCH(IF(AND(D410="Cartão de crédito",N(E410)&gt;1),"Cartão de crédito parcelado",D410),Config!$A$12:$A$15,0)),0)/30*MAX(1,N(E410)),0))</f>
        <v/>
      </c>
      <c r="I410" s="29">
        <f>IF(OR(D410="",F410=""),"",ROUND(F410*H410,2))</f>
        <v/>
      </c>
      <c r="J410" s="29">
        <f>IF(I410="","",F410-I410)</f>
        <v/>
      </c>
      <c r="K410" s="29">
        <f>IF(J410="","",J410/MAX(1,N(E410)))</f>
        <v/>
      </c>
      <c r="L410" s="37">
        <f>IF(OR(D410="",A410=""),"",A410+IF(AND(Config!$B$17="Sim",LEFT(D410,17)="Cartão de crédito"),1,IFERROR(INDEX(Config!$C$12:$C$15,MATCH(IF(AND(D410="Cartão de crédito",N(E410)&gt;1),"Cartão de crédito parcelado",D410),Config!$A$12:$A$15,0)),0)))</f>
        <v/>
      </c>
      <c r="M410" s="37">
        <f>IF(L410="","",IF(AND(Config!$B$17="Sim",LEFT(D410,17)="Cartão de crédito"),L410,L410+30*(MAX(1,N(E410))-1)))</f>
        <v/>
      </c>
      <c r="N410" s="29">
        <f>IF(OR(L410="",K410=""),"",K410*MIN(MAX(1,N(E410)),MAX(0,INT((Config!$B$8-L410)/30)+1)))</f>
        <v/>
      </c>
      <c r="O410" s="29">
        <f>IF(J410="","",J410-N(N410))</f>
        <v/>
      </c>
      <c r="P410" s="27">
        <f>IF(A410="","",MONTH(A410))</f>
        <v/>
      </c>
      <c r="Q410" s="27">
        <f>IF(A410="","",YEAR(A410))</f>
        <v/>
      </c>
      <c r="R410" s="27">
        <f>IF(L410="","",IF(L410&gt;Config!$B$8,"A cair",IF(N(G410)&gt;=MIN(MAX(1,N(E410)),MAX(0,INT((Config!$B$8-L410)/30)+1)),IF(N(G410)&gt;=MAX(1,N(E410)),"Conferido","Conferido até aqui"),"A conferir")))</f>
        <v/>
      </c>
      <c r="S410" s="51">
        <f>IF(R410="A conferir",(Config!$B$8-L410)*1000+N(F410)/1000+ROW()/100000,0)</f>
        <v>0</v>
      </c>
      <c r="T410" s="51">
        <f>IF(R410="A conferir",N(N410),0)</f>
        <v>0</v>
      </c>
      <c r="U410" s="51">
        <f>IF(L410="",0,L410)</f>
        <v>0</v>
      </c>
      <c r="V410" s="51">
        <f>IF(L410="",0,MAX(1,N(E410)))</f>
        <v>0</v>
      </c>
      <c r="W410" s="51">
        <f>IF(K410="",0,K410)</f>
        <v>0</v>
      </c>
    </row>
    <row r="411">
      <c r="A411" s="49" t="n"/>
      <c r="B411" s="41" t="n"/>
      <c r="C411" s="41" t="n"/>
      <c r="D411" s="42" t="n"/>
      <c r="E411" s="42" t="n"/>
      <c r="F411" s="50" t="n"/>
      <c r="G411" s="42" t="n"/>
      <c r="H411" s="30">
        <f>IF(D411="","",IFERROR(INDEX(Config!$B$12:$B$15,MATCH(IF(AND(D411="Cartão de crédito",N(E411)&gt;1),"Cartão de crédito parcelado",D411),Config!$A$12:$A$15,0)),0)+IF(AND(Config!$B$17="Sim",LEFT(D411,17)="Cartão de crédito"),Config!$B$18*IFERROR(INDEX(Config!$C$12:$C$15,MATCH(IF(AND(D411="Cartão de crédito",N(E411)&gt;1),"Cartão de crédito parcelado",D411),Config!$A$12:$A$15,0)),0)/30*MAX(1,N(E411)),0))</f>
        <v/>
      </c>
      <c r="I411" s="29">
        <f>IF(OR(D411="",F411=""),"",ROUND(F411*H411,2))</f>
        <v/>
      </c>
      <c r="J411" s="29">
        <f>IF(I411="","",F411-I411)</f>
        <v/>
      </c>
      <c r="K411" s="29">
        <f>IF(J411="","",J411/MAX(1,N(E411)))</f>
        <v/>
      </c>
      <c r="L411" s="37">
        <f>IF(OR(D411="",A411=""),"",A411+IF(AND(Config!$B$17="Sim",LEFT(D411,17)="Cartão de crédito"),1,IFERROR(INDEX(Config!$C$12:$C$15,MATCH(IF(AND(D411="Cartão de crédito",N(E411)&gt;1),"Cartão de crédito parcelado",D411),Config!$A$12:$A$15,0)),0)))</f>
        <v/>
      </c>
      <c r="M411" s="37">
        <f>IF(L411="","",IF(AND(Config!$B$17="Sim",LEFT(D411,17)="Cartão de crédito"),L411,L411+30*(MAX(1,N(E411))-1)))</f>
        <v/>
      </c>
      <c r="N411" s="29">
        <f>IF(OR(L411="",K411=""),"",K411*MIN(MAX(1,N(E411)),MAX(0,INT((Config!$B$8-L411)/30)+1)))</f>
        <v/>
      </c>
      <c r="O411" s="29">
        <f>IF(J411="","",J411-N(N411))</f>
        <v/>
      </c>
      <c r="P411" s="27">
        <f>IF(A411="","",MONTH(A411))</f>
        <v/>
      </c>
      <c r="Q411" s="27">
        <f>IF(A411="","",YEAR(A411))</f>
        <v/>
      </c>
      <c r="R411" s="27">
        <f>IF(L411="","",IF(L411&gt;Config!$B$8,"A cair",IF(N(G411)&gt;=MIN(MAX(1,N(E411)),MAX(0,INT((Config!$B$8-L411)/30)+1)),IF(N(G411)&gt;=MAX(1,N(E411)),"Conferido","Conferido até aqui"),"A conferir")))</f>
        <v/>
      </c>
      <c r="S411" s="51">
        <f>IF(R411="A conferir",(Config!$B$8-L411)*1000+N(F411)/1000+ROW()/100000,0)</f>
        <v>0</v>
      </c>
      <c r="T411" s="51">
        <f>IF(R411="A conferir",N(N411),0)</f>
        <v>0</v>
      </c>
      <c r="U411" s="51">
        <f>IF(L411="",0,L411)</f>
        <v>0</v>
      </c>
      <c r="V411" s="51">
        <f>IF(L411="",0,MAX(1,N(E411)))</f>
        <v>0</v>
      </c>
      <c r="W411" s="51">
        <f>IF(K411="",0,K411)</f>
        <v>0</v>
      </c>
    </row>
    <row r="412">
      <c r="A412" s="49" t="n"/>
      <c r="B412" s="41" t="n"/>
      <c r="C412" s="41" t="n"/>
      <c r="D412" s="42" t="n"/>
      <c r="E412" s="42" t="n"/>
      <c r="F412" s="50" t="n"/>
      <c r="G412" s="42" t="n"/>
      <c r="H412" s="30">
        <f>IF(D412="","",IFERROR(INDEX(Config!$B$12:$B$15,MATCH(IF(AND(D412="Cartão de crédito",N(E412)&gt;1),"Cartão de crédito parcelado",D412),Config!$A$12:$A$15,0)),0)+IF(AND(Config!$B$17="Sim",LEFT(D412,17)="Cartão de crédito"),Config!$B$18*IFERROR(INDEX(Config!$C$12:$C$15,MATCH(IF(AND(D412="Cartão de crédito",N(E412)&gt;1),"Cartão de crédito parcelado",D412),Config!$A$12:$A$15,0)),0)/30*MAX(1,N(E412)),0))</f>
        <v/>
      </c>
      <c r="I412" s="29">
        <f>IF(OR(D412="",F412=""),"",ROUND(F412*H412,2))</f>
        <v/>
      </c>
      <c r="J412" s="29">
        <f>IF(I412="","",F412-I412)</f>
        <v/>
      </c>
      <c r="K412" s="29">
        <f>IF(J412="","",J412/MAX(1,N(E412)))</f>
        <v/>
      </c>
      <c r="L412" s="37">
        <f>IF(OR(D412="",A412=""),"",A412+IF(AND(Config!$B$17="Sim",LEFT(D412,17)="Cartão de crédito"),1,IFERROR(INDEX(Config!$C$12:$C$15,MATCH(IF(AND(D412="Cartão de crédito",N(E412)&gt;1),"Cartão de crédito parcelado",D412),Config!$A$12:$A$15,0)),0)))</f>
        <v/>
      </c>
      <c r="M412" s="37">
        <f>IF(L412="","",IF(AND(Config!$B$17="Sim",LEFT(D412,17)="Cartão de crédito"),L412,L412+30*(MAX(1,N(E412))-1)))</f>
        <v/>
      </c>
      <c r="N412" s="29">
        <f>IF(OR(L412="",K412=""),"",K412*MIN(MAX(1,N(E412)),MAX(0,INT((Config!$B$8-L412)/30)+1)))</f>
        <v/>
      </c>
      <c r="O412" s="29">
        <f>IF(J412="","",J412-N(N412))</f>
        <v/>
      </c>
      <c r="P412" s="27">
        <f>IF(A412="","",MONTH(A412))</f>
        <v/>
      </c>
      <c r="Q412" s="27">
        <f>IF(A412="","",YEAR(A412))</f>
        <v/>
      </c>
      <c r="R412" s="27">
        <f>IF(L412="","",IF(L412&gt;Config!$B$8,"A cair",IF(N(G412)&gt;=MIN(MAX(1,N(E412)),MAX(0,INT((Config!$B$8-L412)/30)+1)),IF(N(G412)&gt;=MAX(1,N(E412)),"Conferido","Conferido até aqui"),"A conferir")))</f>
        <v/>
      </c>
      <c r="S412" s="51">
        <f>IF(R412="A conferir",(Config!$B$8-L412)*1000+N(F412)/1000+ROW()/100000,0)</f>
        <v>0</v>
      </c>
      <c r="T412" s="51">
        <f>IF(R412="A conferir",N(N412),0)</f>
        <v>0</v>
      </c>
      <c r="U412" s="51">
        <f>IF(L412="",0,L412)</f>
        <v>0</v>
      </c>
      <c r="V412" s="51">
        <f>IF(L412="",0,MAX(1,N(E412)))</f>
        <v>0</v>
      </c>
      <c r="W412" s="51">
        <f>IF(K412="",0,K412)</f>
        <v>0</v>
      </c>
    </row>
    <row r="413">
      <c r="A413" s="49" t="n"/>
      <c r="B413" s="41" t="n"/>
      <c r="C413" s="41" t="n"/>
      <c r="D413" s="42" t="n"/>
      <c r="E413" s="42" t="n"/>
      <c r="F413" s="50" t="n"/>
      <c r="G413" s="42" t="n"/>
      <c r="H413" s="30">
        <f>IF(D413="","",IFERROR(INDEX(Config!$B$12:$B$15,MATCH(IF(AND(D413="Cartão de crédito",N(E413)&gt;1),"Cartão de crédito parcelado",D413),Config!$A$12:$A$15,0)),0)+IF(AND(Config!$B$17="Sim",LEFT(D413,17)="Cartão de crédito"),Config!$B$18*IFERROR(INDEX(Config!$C$12:$C$15,MATCH(IF(AND(D413="Cartão de crédito",N(E413)&gt;1),"Cartão de crédito parcelado",D413),Config!$A$12:$A$15,0)),0)/30*MAX(1,N(E413)),0))</f>
        <v/>
      </c>
      <c r="I413" s="29">
        <f>IF(OR(D413="",F413=""),"",ROUND(F413*H413,2))</f>
        <v/>
      </c>
      <c r="J413" s="29">
        <f>IF(I413="","",F413-I413)</f>
        <v/>
      </c>
      <c r="K413" s="29">
        <f>IF(J413="","",J413/MAX(1,N(E413)))</f>
        <v/>
      </c>
      <c r="L413" s="37">
        <f>IF(OR(D413="",A413=""),"",A413+IF(AND(Config!$B$17="Sim",LEFT(D413,17)="Cartão de crédito"),1,IFERROR(INDEX(Config!$C$12:$C$15,MATCH(IF(AND(D413="Cartão de crédito",N(E413)&gt;1),"Cartão de crédito parcelado",D413),Config!$A$12:$A$15,0)),0)))</f>
        <v/>
      </c>
      <c r="M413" s="37">
        <f>IF(L413="","",IF(AND(Config!$B$17="Sim",LEFT(D413,17)="Cartão de crédito"),L413,L413+30*(MAX(1,N(E413))-1)))</f>
        <v/>
      </c>
      <c r="N413" s="29">
        <f>IF(OR(L413="",K413=""),"",K413*MIN(MAX(1,N(E413)),MAX(0,INT((Config!$B$8-L413)/30)+1)))</f>
        <v/>
      </c>
      <c r="O413" s="29">
        <f>IF(J413="","",J413-N(N413))</f>
        <v/>
      </c>
      <c r="P413" s="27">
        <f>IF(A413="","",MONTH(A413))</f>
        <v/>
      </c>
      <c r="Q413" s="27">
        <f>IF(A413="","",YEAR(A413))</f>
        <v/>
      </c>
      <c r="R413" s="27">
        <f>IF(L413="","",IF(L413&gt;Config!$B$8,"A cair",IF(N(G413)&gt;=MIN(MAX(1,N(E413)),MAX(0,INT((Config!$B$8-L413)/30)+1)),IF(N(G413)&gt;=MAX(1,N(E413)),"Conferido","Conferido até aqui"),"A conferir")))</f>
        <v/>
      </c>
      <c r="S413" s="51">
        <f>IF(R413="A conferir",(Config!$B$8-L413)*1000+N(F413)/1000+ROW()/100000,0)</f>
        <v>0</v>
      </c>
      <c r="T413" s="51">
        <f>IF(R413="A conferir",N(N413),0)</f>
        <v>0</v>
      </c>
      <c r="U413" s="51">
        <f>IF(L413="",0,L413)</f>
        <v>0</v>
      </c>
      <c r="V413" s="51">
        <f>IF(L413="",0,MAX(1,N(E413)))</f>
        <v>0</v>
      </c>
      <c r="W413" s="51">
        <f>IF(K413="",0,K413)</f>
        <v>0</v>
      </c>
    </row>
    <row r="414">
      <c r="A414" s="49" t="n"/>
      <c r="B414" s="41" t="n"/>
      <c r="C414" s="41" t="n"/>
      <c r="D414" s="42" t="n"/>
      <c r="E414" s="42" t="n"/>
      <c r="F414" s="50" t="n"/>
      <c r="G414" s="42" t="n"/>
      <c r="H414" s="30">
        <f>IF(D414="","",IFERROR(INDEX(Config!$B$12:$B$15,MATCH(IF(AND(D414="Cartão de crédito",N(E414)&gt;1),"Cartão de crédito parcelado",D414),Config!$A$12:$A$15,0)),0)+IF(AND(Config!$B$17="Sim",LEFT(D414,17)="Cartão de crédito"),Config!$B$18*IFERROR(INDEX(Config!$C$12:$C$15,MATCH(IF(AND(D414="Cartão de crédito",N(E414)&gt;1),"Cartão de crédito parcelado",D414),Config!$A$12:$A$15,0)),0)/30*MAX(1,N(E414)),0))</f>
        <v/>
      </c>
      <c r="I414" s="29">
        <f>IF(OR(D414="",F414=""),"",ROUND(F414*H414,2))</f>
        <v/>
      </c>
      <c r="J414" s="29">
        <f>IF(I414="","",F414-I414)</f>
        <v/>
      </c>
      <c r="K414" s="29">
        <f>IF(J414="","",J414/MAX(1,N(E414)))</f>
        <v/>
      </c>
      <c r="L414" s="37">
        <f>IF(OR(D414="",A414=""),"",A414+IF(AND(Config!$B$17="Sim",LEFT(D414,17)="Cartão de crédito"),1,IFERROR(INDEX(Config!$C$12:$C$15,MATCH(IF(AND(D414="Cartão de crédito",N(E414)&gt;1),"Cartão de crédito parcelado",D414),Config!$A$12:$A$15,0)),0)))</f>
        <v/>
      </c>
      <c r="M414" s="37">
        <f>IF(L414="","",IF(AND(Config!$B$17="Sim",LEFT(D414,17)="Cartão de crédito"),L414,L414+30*(MAX(1,N(E414))-1)))</f>
        <v/>
      </c>
      <c r="N414" s="29">
        <f>IF(OR(L414="",K414=""),"",K414*MIN(MAX(1,N(E414)),MAX(0,INT((Config!$B$8-L414)/30)+1)))</f>
        <v/>
      </c>
      <c r="O414" s="29">
        <f>IF(J414="","",J414-N(N414))</f>
        <v/>
      </c>
      <c r="P414" s="27">
        <f>IF(A414="","",MONTH(A414))</f>
        <v/>
      </c>
      <c r="Q414" s="27">
        <f>IF(A414="","",YEAR(A414))</f>
        <v/>
      </c>
      <c r="R414" s="27">
        <f>IF(L414="","",IF(L414&gt;Config!$B$8,"A cair",IF(N(G414)&gt;=MIN(MAX(1,N(E414)),MAX(0,INT((Config!$B$8-L414)/30)+1)),IF(N(G414)&gt;=MAX(1,N(E414)),"Conferido","Conferido até aqui"),"A conferir")))</f>
        <v/>
      </c>
      <c r="S414" s="51">
        <f>IF(R414="A conferir",(Config!$B$8-L414)*1000+N(F414)/1000+ROW()/100000,0)</f>
        <v>0</v>
      </c>
      <c r="T414" s="51">
        <f>IF(R414="A conferir",N(N414),0)</f>
        <v>0</v>
      </c>
      <c r="U414" s="51">
        <f>IF(L414="",0,L414)</f>
        <v>0</v>
      </c>
      <c r="V414" s="51">
        <f>IF(L414="",0,MAX(1,N(E414)))</f>
        <v>0</v>
      </c>
      <c r="W414" s="51">
        <f>IF(K414="",0,K414)</f>
        <v>0</v>
      </c>
    </row>
    <row r="415">
      <c r="A415" s="49" t="n"/>
      <c r="B415" s="41" t="n"/>
      <c r="C415" s="41" t="n"/>
      <c r="D415" s="42" t="n"/>
      <c r="E415" s="42" t="n"/>
      <c r="F415" s="50" t="n"/>
      <c r="G415" s="42" t="n"/>
      <c r="H415" s="30">
        <f>IF(D415="","",IFERROR(INDEX(Config!$B$12:$B$15,MATCH(IF(AND(D415="Cartão de crédito",N(E415)&gt;1),"Cartão de crédito parcelado",D415),Config!$A$12:$A$15,0)),0)+IF(AND(Config!$B$17="Sim",LEFT(D415,17)="Cartão de crédito"),Config!$B$18*IFERROR(INDEX(Config!$C$12:$C$15,MATCH(IF(AND(D415="Cartão de crédito",N(E415)&gt;1),"Cartão de crédito parcelado",D415),Config!$A$12:$A$15,0)),0)/30*MAX(1,N(E415)),0))</f>
        <v/>
      </c>
      <c r="I415" s="29">
        <f>IF(OR(D415="",F415=""),"",ROUND(F415*H415,2))</f>
        <v/>
      </c>
      <c r="J415" s="29">
        <f>IF(I415="","",F415-I415)</f>
        <v/>
      </c>
      <c r="K415" s="29">
        <f>IF(J415="","",J415/MAX(1,N(E415)))</f>
        <v/>
      </c>
      <c r="L415" s="37">
        <f>IF(OR(D415="",A415=""),"",A415+IF(AND(Config!$B$17="Sim",LEFT(D415,17)="Cartão de crédito"),1,IFERROR(INDEX(Config!$C$12:$C$15,MATCH(IF(AND(D415="Cartão de crédito",N(E415)&gt;1),"Cartão de crédito parcelado",D415),Config!$A$12:$A$15,0)),0)))</f>
        <v/>
      </c>
      <c r="M415" s="37">
        <f>IF(L415="","",IF(AND(Config!$B$17="Sim",LEFT(D415,17)="Cartão de crédito"),L415,L415+30*(MAX(1,N(E415))-1)))</f>
        <v/>
      </c>
      <c r="N415" s="29">
        <f>IF(OR(L415="",K415=""),"",K415*MIN(MAX(1,N(E415)),MAX(0,INT((Config!$B$8-L415)/30)+1)))</f>
        <v/>
      </c>
      <c r="O415" s="29">
        <f>IF(J415="","",J415-N(N415))</f>
        <v/>
      </c>
      <c r="P415" s="27">
        <f>IF(A415="","",MONTH(A415))</f>
        <v/>
      </c>
      <c r="Q415" s="27">
        <f>IF(A415="","",YEAR(A415))</f>
        <v/>
      </c>
      <c r="R415" s="27">
        <f>IF(L415="","",IF(L415&gt;Config!$B$8,"A cair",IF(N(G415)&gt;=MIN(MAX(1,N(E415)),MAX(0,INT((Config!$B$8-L415)/30)+1)),IF(N(G415)&gt;=MAX(1,N(E415)),"Conferido","Conferido até aqui"),"A conferir")))</f>
        <v/>
      </c>
      <c r="S415" s="51">
        <f>IF(R415="A conferir",(Config!$B$8-L415)*1000+N(F415)/1000+ROW()/100000,0)</f>
        <v>0</v>
      </c>
      <c r="T415" s="51">
        <f>IF(R415="A conferir",N(N415),0)</f>
        <v>0</v>
      </c>
      <c r="U415" s="51">
        <f>IF(L415="",0,L415)</f>
        <v>0</v>
      </c>
      <c r="V415" s="51">
        <f>IF(L415="",0,MAX(1,N(E415)))</f>
        <v>0</v>
      </c>
      <c r="W415" s="51">
        <f>IF(K415="",0,K415)</f>
        <v>0</v>
      </c>
    </row>
    <row r="416">
      <c r="A416" s="49" t="n"/>
      <c r="B416" s="41" t="n"/>
      <c r="C416" s="41" t="n"/>
      <c r="D416" s="42" t="n"/>
      <c r="E416" s="42" t="n"/>
      <c r="F416" s="50" t="n"/>
      <c r="G416" s="42" t="n"/>
      <c r="H416" s="30">
        <f>IF(D416="","",IFERROR(INDEX(Config!$B$12:$B$15,MATCH(IF(AND(D416="Cartão de crédito",N(E416)&gt;1),"Cartão de crédito parcelado",D416),Config!$A$12:$A$15,0)),0)+IF(AND(Config!$B$17="Sim",LEFT(D416,17)="Cartão de crédito"),Config!$B$18*IFERROR(INDEX(Config!$C$12:$C$15,MATCH(IF(AND(D416="Cartão de crédito",N(E416)&gt;1),"Cartão de crédito parcelado",D416),Config!$A$12:$A$15,0)),0)/30*MAX(1,N(E416)),0))</f>
        <v/>
      </c>
      <c r="I416" s="29">
        <f>IF(OR(D416="",F416=""),"",ROUND(F416*H416,2))</f>
        <v/>
      </c>
      <c r="J416" s="29">
        <f>IF(I416="","",F416-I416)</f>
        <v/>
      </c>
      <c r="K416" s="29">
        <f>IF(J416="","",J416/MAX(1,N(E416)))</f>
        <v/>
      </c>
      <c r="L416" s="37">
        <f>IF(OR(D416="",A416=""),"",A416+IF(AND(Config!$B$17="Sim",LEFT(D416,17)="Cartão de crédito"),1,IFERROR(INDEX(Config!$C$12:$C$15,MATCH(IF(AND(D416="Cartão de crédito",N(E416)&gt;1),"Cartão de crédito parcelado",D416),Config!$A$12:$A$15,0)),0)))</f>
        <v/>
      </c>
      <c r="M416" s="37">
        <f>IF(L416="","",IF(AND(Config!$B$17="Sim",LEFT(D416,17)="Cartão de crédito"),L416,L416+30*(MAX(1,N(E416))-1)))</f>
        <v/>
      </c>
      <c r="N416" s="29">
        <f>IF(OR(L416="",K416=""),"",K416*MIN(MAX(1,N(E416)),MAX(0,INT((Config!$B$8-L416)/30)+1)))</f>
        <v/>
      </c>
      <c r="O416" s="29">
        <f>IF(J416="","",J416-N(N416))</f>
        <v/>
      </c>
      <c r="P416" s="27">
        <f>IF(A416="","",MONTH(A416))</f>
        <v/>
      </c>
      <c r="Q416" s="27">
        <f>IF(A416="","",YEAR(A416))</f>
        <v/>
      </c>
      <c r="R416" s="27">
        <f>IF(L416="","",IF(L416&gt;Config!$B$8,"A cair",IF(N(G416)&gt;=MIN(MAX(1,N(E416)),MAX(0,INT((Config!$B$8-L416)/30)+1)),IF(N(G416)&gt;=MAX(1,N(E416)),"Conferido","Conferido até aqui"),"A conferir")))</f>
        <v/>
      </c>
      <c r="S416" s="51">
        <f>IF(R416="A conferir",(Config!$B$8-L416)*1000+N(F416)/1000+ROW()/100000,0)</f>
        <v>0</v>
      </c>
      <c r="T416" s="51">
        <f>IF(R416="A conferir",N(N416),0)</f>
        <v>0</v>
      </c>
      <c r="U416" s="51">
        <f>IF(L416="",0,L416)</f>
        <v>0</v>
      </c>
      <c r="V416" s="51">
        <f>IF(L416="",0,MAX(1,N(E416)))</f>
        <v>0</v>
      </c>
      <c r="W416" s="51">
        <f>IF(K416="",0,K416)</f>
        <v>0</v>
      </c>
    </row>
    <row r="417">
      <c r="A417" s="49" t="n"/>
      <c r="B417" s="41" t="n"/>
      <c r="C417" s="41" t="n"/>
      <c r="D417" s="42" t="n"/>
      <c r="E417" s="42" t="n"/>
      <c r="F417" s="50" t="n"/>
      <c r="G417" s="42" t="n"/>
      <c r="H417" s="30">
        <f>IF(D417="","",IFERROR(INDEX(Config!$B$12:$B$15,MATCH(IF(AND(D417="Cartão de crédito",N(E417)&gt;1),"Cartão de crédito parcelado",D417),Config!$A$12:$A$15,0)),0)+IF(AND(Config!$B$17="Sim",LEFT(D417,17)="Cartão de crédito"),Config!$B$18*IFERROR(INDEX(Config!$C$12:$C$15,MATCH(IF(AND(D417="Cartão de crédito",N(E417)&gt;1),"Cartão de crédito parcelado",D417),Config!$A$12:$A$15,0)),0)/30*MAX(1,N(E417)),0))</f>
        <v/>
      </c>
      <c r="I417" s="29">
        <f>IF(OR(D417="",F417=""),"",ROUND(F417*H417,2))</f>
        <v/>
      </c>
      <c r="J417" s="29">
        <f>IF(I417="","",F417-I417)</f>
        <v/>
      </c>
      <c r="K417" s="29">
        <f>IF(J417="","",J417/MAX(1,N(E417)))</f>
        <v/>
      </c>
      <c r="L417" s="37">
        <f>IF(OR(D417="",A417=""),"",A417+IF(AND(Config!$B$17="Sim",LEFT(D417,17)="Cartão de crédito"),1,IFERROR(INDEX(Config!$C$12:$C$15,MATCH(IF(AND(D417="Cartão de crédito",N(E417)&gt;1),"Cartão de crédito parcelado",D417),Config!$A$12:$A$15,0)),0)))</f>
        <v/>
      </c>
      <c r="M417" s="37">
        <f>IF(L417="","",IF(AND(Config!$B$17="Sim",LEFT(D417,17)="Cartão de crédito"),L417,L417+30*(MAX(1,N(E417))-1)))</f>
        <v/>
      </c>
      <c r="N417" s="29">
        <f>IF(OR(L417="",K417=""),"",K417*MIN(MAX(1,N(E417)),MAX(0,INT((Config!$B$8-L417)/30)+1)))</f>
        <v/>
      </c>
      <c r="O417" s="29">
        <f>IF(J417="","",J417-N(N417))</f>
        <v/>
      </c>
      <c r="P417" s="27">
        <f>IF(A417="","",MONTH(A417))</f>
        <v/>
      </c>
      <c r="Q417" s="27">
        <f>IF(A417="","",YEAR(A417))</f>
        <v/>
      </c>
      <c r="R417" s="27">
        <f>IF(L417="","",IF(L417&gt;Config!$B$8,"A cair",IF(N(G417)&gt;=MIN(MAX(1,N(E417)),MAX(0,INT((Config!$B$8-L417)/30)+1)),IF(N(G417)&gt;=MAX(1,N(E417)),"Conferido","Conferido até aqui"),"A conferir")))</f>
        <v/>
      </c>
      <c r="S417" s="51">
        <f>IF(R417="A conferir",(Config!$B$8-L417)*1000+N(F417)/1000+ROW()/100000,0)</f>
        <v>0</v>
      </c>
      <c r="T417" s="51">
        <f>IF(R417="A conferir",N(N417),0)</f>
        <v>0</v>
      </c>
      <c r="U417" s="51">
        <f>IF(L417="",0,L417)</f>
        <v>0</v>
      </c>
      <c r="V417" s="51">
        <f>IF(L417="",0,MAX(1,N(E417)))</f>
        <v>0</v>
      </c>
      <c r="W417" s="51">
        <f>IF(K417="",0,K417)</f>
        <v>0</v>
      </c>
    </row>
    <row r="418">
      <c r="A418" s="49" t="n"/>
      <c r="B418" s="41" t="n"/>
      <c r="C418" s="41" t="n"/>
      <c r="D418" s="42" t="n"/>
      <c r="E418" s="42" t="n"/>
      <c r="F418" s="50" t="n"/>
      <c r="G418" s="42" t="n"/>
      <c r="H418" s="30">
        <f>IF(D418="","",IFERROR(INDEX(Config!$B$12:$B$15,MATCH(IF(AND(D418="Cartão de crédito",N(E418)&gt;1),"Cartão de crédito parcelado",D418),Config!$A$12:$A$15,0)),0)+IF(AND(Config!$B$17="Sim",LEFT(D418,17)="Cartão de crédito"),Config!$B$18*IFERROR(INDEX(Config!$C$12:$C$15,MATCH(IF(AND(D418="Cartão de crédito",N(E418)&gt;1),"Cartão de crédito parcelado",D418),Config!$A$12:$A$15,0)),0)/30*MAX(1,N(E418)),0))</f>
        <v/>
      </c>
      <c r="I418" s="29">
        <f>IF(OR(D418="",F418=""),"",ROUND(F418*H418,2))</f>
        <v/>
      </c>
      <c r="J418" s="29">
        <f>IF(I418="","",F418-I418)</f>
        <v/>
      </c>
      <c r="K418" s="29">
        <f>IF(J418="","",J418/MAX(1,N(E418)))</f>
        <v/>
      </c>
      <c r="L418" s="37">
        <f>IF(OR(D418="",A418=""),"",A418+IF(AND(Config!$B$17="Sim",LEFT(D418,17)="Cartão de crédito"),1,IFERROR(INDEX(Config!$C$12:$C$15,MATCH(IF(AND(D418="Cartão de crédito",N(E418)&gt;1),"Cartão de crédito parcelado",D418),Config!$A$12:$A$15,0)),0)))</f>
        <v/>
      </c>
      <c r="M418" s="37">
        <f>IF(L418="","",IF(AND(Config!$B$17="Sim",LEFT(D418,17)="Cartão de crédito"),L418,L418+30*(MAX(1,N(E418))-1)))</f>
        <v/>
      </c>
      <c r="N418" s="29">
        <f>IF(OR(L418="",K418=""),"",K418*MIN(MAX(1,N(E418)),MAX(0,INT((Config!$B$8-L418)/30)+1)))</f>
        <v/>
      </c>
      <c r="O418" s="29">
        <f>IF(J418="","",J418-N(N418))</f>
        <v/>
      </c>
      <c r="P418" s="27">
        <f>IF(A418="","",MONTH(A418))</f>
        <v/>
      </c>
      <c r="Q418" s="27">
        <f>IF(A418="","",YEAR(A418))</f>
        <v/>
      </c>
      <c r="R418" s="27">
        <f>IF(L418="","",IF(L418&gt;Config!$B$8,"A cair",IF(N(G418)&gt;=MIN(MAX(1,N(E418)),MAX(0,INT((Config!$B$8-L418)/30)+1)),IF(N(G418)&gt;=MAX(1,N(E418)),"Conferido","Conferido até aqui"),"A conferir")))</f>
        <v/>
      </c>
      <c r="S418" s="51">
        <f>IF(R418="A conferir",(Config!$B$8-L418)*1000+N(F418)/1000+ROW()/100000,0)</f>
        <v>0</v>
      </c>
      <c r="T418" s="51">
        <f>IF(R418="A conferir",N(N418),0)</f>
        <v>0</v>
      </c>
      <c r="U418" s="51">
        <f>IF(L418="",0,L418)</f>
        <v>0</v>
      </c>
      <c r="V418" s="51">
        <f>IF(L418="",0,MAX(1,N(E418)))</f>
        <v>0</v>
      </c>
      <c r="W418" s="51">
        <f>IF(K418="",0,K418)</f>
        <v>0</v>
      </c>
    </row>
    <row r="419">
      <c r="A419" s="49" t="n"/>
      <c r="B419" s="41" t="n"/>
      <c r="C419" s="41" t="n"/>
      <c r="D419" s="42" t="n"/>
      <c r="E419" s="42" t="n"/>
      <c r="F419" s="50" t="n"/>
      <c r="G419" s="42" t="n"/>
      <c r="H419" s="30">
        <f>IF(D419="","",IFERROR(INDEX(Config!$B$12:$B$15,MATCH(IF(AND(D419="Cartão de crédito",N(E419)&gt;1),"Cartão de crédito parcelado",D419),Config!$A$12:$A$15,0)),0)+IF(AND(Config!$B$17="Sim",LEFT(D419,17)="Cartão de crédito"),Config!$B$18*IFERROR(INDEX(Config!$C$12:$C$15,MATCH(IF(AND(D419="Cartão de crédito",N(E419)&gt;1),"Cartão de crédito parcelado",D419),Config!$A$12:$A$15,0)),0)/30*MAX(1,N(E419)),0))</f>
        <v/>
      </c>
      <c r="I419" s="29">
        <f>IF(OR(D419="",F419=""),"",ROUND(F419*H419,2))</f>
        <v/>
      </c>
      <c r="J419" s="29">
        <f>IF(I419="","",F419-I419)</f>
        <v/>
      </c>
      <c r="K419" s="29">
        <f>IF(J419="","",J419/MAX(1,N(E419)))</f>
        <v/>
      </c>
      <c r="L419" s="37">
        <f>IF(OR(D419="",A419=""),"",A419+IF(AND(Config!$B$17="Sim",LEFT(D419,17)="Cartão de crédito"),1,IFERROR(INDEX(Config!$C$12:$C$15,MATCH(IF(AND(D419="Cartão de crédito",N(E419)&gt;1),"Cartão de crédito parcelado",D419),Config!$A$12:$A$15,0)),0)))</f>
        <v/>
      </c>
      <c r="M419" s="37">
        <f>IF(L419="","",IF(AND(Config!$B$17="Sim",LEFT(D419,17)="Cartão de crédito"),L419,L419+30*(MAX(1,N(E419))-1)))</f>
        <v/>
      </c>
      <c r="N419" s="29">
        <f>IF(OR(L419="",K419=""),"",K419*MIN(MAX(1,N(E419)),MAX(0,INT((Config!$B$8-L419)/30)+1)))</f>
        <v/>
      </c>
      <c r="O419" s="29">
        <f>IF(J419="","",J419-N(N419))</f>
        <v/>
      </c>
      <c r="P419" s="27">
        <f>IF(A419="","",MONTH(A419))</f>
        <v/>
      </c>
      <c r="Q419" s="27">
        <f>IF(A419="","",YEAR(A419))</f>
        <v/>
      </c>
      <c r="R419" s="27">
        <f>IF(L419="","",IF(L419&gt;Config!$B$8,"A cair",IF(N(G419)&gt;=MIN(MAX(1,N(E419)),MAX(0,INT((Config!$B$8-L419)/30)+1)),IF(N(G419)&gt;=MAX(1,N(E419)),"Conferido","Conferido até aqui"),"A conferir")))</f>
        <v/>
      </c>
      <c r="S419" s="51">
        <f>IF(R419="A conferir",(Config!$B$8-L419)*1000+N(F419)/1000+ROW()/100000,0)</f>
        <v>0</v>
      </c>
      <c r="T419" s="51">
        <f>IF(R419="A conferir",N(N419),0)</f>
        <v>0</v>
      </c>
      <c r="U419" s="51">
        <f>IF(L419="",0,L419)</f>
        <v>0</v>
      </c>
      <c r="V419" s="51">
        <f>IF(L419="",0,MAX(1,N(E419)))</f>
        <v>0</v>
      </c>
      <c r="W419" s="51">
        <f>IF(K419="",0,K419)</f>
        <v>0</v>
      </c>
    </row>
    <row r="420">
      <c r="A420" s="49" t="n"/>
      <c r="B420" s="41" t="n"/>
      <c r="C420" s="41" t="n"/>
      <c r="D420" s="42" t="n"/>
      <c r="E420" s="42" t="n"/>
      <c r="F420" s="50" t="n"/>
      <c r="G420" s="42" t="n"/>
      <c r="H420" s="30">
        <f>IF(D420="","",IFERROR(INDEX(Config!$B$12:$B$15,MATCH(IF(AND(D420="Cartão de crédito",N(E420)&gt;1),"Cartão de crédito parcelado",D420),Config!$A$12:$A$15,0)),0)+IF(AND(Config!$B$17="Sim",LEFT(D420,17)="Cartão de crédito"),Config!$B$18*IFERROR(INDEX(Config!$C$12:$C$15,MATCH(IF(AND(D420="Cartão de crédito",N(E420)&gt;1),"Cartão de crédito parcelado",D420),Config!$A$12:$A$15,0)),0)/30*MAX(1,N(E420)),0))</f>
        <v/>
      </c>
      <c r="I420" s="29">
        <f>IF(OR(D420="",F420=""),"",ROUND(F420*H420,2))</f>
        <v/>
      </c>
      <c r="J420" s="29">
        <f>IF(I420="","",F420-I420)</f>
        <v/>
      </c>
      <c r="K420" s="29">
        <f>IF(J420="","",J420/MAX(1,N(E420)))</f>
        <v/>
      </c>
      <c r="L420" s="37">
        <f>IF(OR(D420="",A420=""),"",A420+IF(AND(Config!$B$17="Sim",LEFT(D420,17)="Cartão de crédito"),1,IFERROR(INDEX(Config!$C$12:$C$15,MATCH(IF(AND(D420="Cartão de crédito",N(E420)&gt;1),"Cartão de crédito parcelado",D420),Config!$A$12:$A$15,0)),0)))</f>
        <v/>
      </c>
      <c r="M420" s="37">
        <f>IF(L420="","",IF(AND(Config!$B$17="Sim",LEFT(D420,17)="Cartão de crédito"),L420,L420+30*(MAX(1,N(E420))-1)))</f>
        <v/>
      </c>
      <c r="N420" s="29">
        <f>IF(OR(L420="",K420=""),"",K420*MIN(MAX(1,N(E420)),MAX(0,INT((Config!$B$8-L420)/30)+1)))</f>
        <v/>
      </c>
      <c r="O420" s="29">
        <f>IF(J420="","",J420-N(N420))</f>
        <v/>
      </c>
      <c r="P420" s="27">
        <f>IF(A420="","",MONTH(A420))</f>
        <v/>
      </c>
      <c r="Q420" s="27">
        <f>IF(A420="","",YEAR(A420))</f>
        <v/>
      </c>
      <c r="R420" s="27">
        <f>IF(L420="","",IF(L420&gt;Config!$B$8,"A cair",IF(N(G420)&gt;=MIN(MAX(1,N(E420)),MAX(0,INT((Config!$B$8-L420)/30)+1)),IF(N(G420)&gt;=MAX(1,N(E420)),"Conferido","Conferido até aqui"),"A conferir")))</f>
        <v/>
      </c>
      <c r="S420" s="51">
        <f>IF(R420="A conferir",(Config!$B$8-L420)*1000+N(F420)/1000+ROW()/100000,0)</f>
        <v>0</v>
      </c>
      <c r="T420" s="51">
        <f>IF(R420="A conferir",N(N420),0)</f>
        <v>0</v>
      </c>
      <c r="U420" s="51">
        <f>IF(L420="",0,L420)</f>
        <v>0</v>
      </c>
      <c r="V420" s="51">
        <f>IF(L420="",0,MAX(1,N(E420)))</f>
        <v>0</v>
      </c>
      <c r="W420" s="51">
        <f>IF(K420="",0,K420)</f>
        <v>0</v>
      </c>
    </row>
    <row r="421">
      <c r="A421" s="49" t="n"/>
      <c r="B421" s="41" t="n"/>
      <c r="C421" s="41" t="n"/>
      <c r="D421" s="42" t="n"/>
      <c r="E421" s="42" t="n"/>
      <c r="F421" s="50" t="n"/>
      <c r="G421" s="42" t="n"/>
      <c r="H421" s="30">
        <f>IF(D421="","",IFERROR(INDEX(Config!$B$12:$B$15,MATCH(IF(AND(D421="Cartão de crédito",N(E421)&gt;1),"Cartão de crédito parcelado",D421),Config!$A$12:$A$15,0)),0)+IF(AND(Config!$B$17="Sim",LEFT(D421,17)="Cartão de crédito"),Config!$B$18*IFERROR(INDEX(Config!$C$12:$C$15,MATCH(IF(AND(D421="Cartão de crédito",N(E421)&gt;1),"Cartão de crédito parcelado",D421),Config!$A$12:$A$15,0)),0)/30*MAX(1,N(E421)),0))</f>
        <v/>
      </c>
      <c r="I421" s="29">
        <f>IF(OR(D421="",F421=""),"",ROUND(F421*H421,2))</f>
        <v/>
      </c>
      <c r="J421" s="29">
        <f>IF(I421="","",F421-I421)</f>
        <v/>
      </c>
      <c r="K421" s="29">
        <f>IF(J421="","",J421/MAX(1,N(E421)))</f>
        <v/>
      </c>
      <c r="L421" s="37">
        <f>IF(OR(D421="",A421=""),"",A421+IF(AND(Config!$B$17="Sim",LEFT(D421,17)="Cartão de crédito"),1,IFERROR(INDEX(Config!$C$12:$C$15,MATCH(IF(AND(D421="Cartão de crédito",N(E421)&gt;1),"Cartão de crédito parcelado",D421),Config!$A$12:$A$15,0)),0)))</f>
        <v/>
      </c>
      <c r="M421" s="37">
        <f>IF(L421="","",IF(AND(Config!$B$17="Sim",LEFT(D421,17)="Cartão de crédito"),L421,L421+30*(MAX(1,N(E421))-1)))</f>
        <v/>
      </c>
      <c r="N421" s="29">
        <f>IF(OR(L421="",K421=""),"",K421*MIN(MAX(1,N(E421)),MAX(0,INT((Config!$B$8-L421)/30)+1)))</f>
        <v/>
      </c>
      <c r="O421" s="29">
        <f>IF(J421="","",J421-N(N421))</f>
        <v/>
      </c>
      <c r="P421" s="27">
        <f>IF(A421="","",MONTH(A421))</f>
        <v/>
      </c>
      <c r="Q421" s="27">
        <f>IF(A421="","",YEAR(A421))</f>
        <v/>
      </c>
      <c r="R421" s="27">
        <f>IF(L421="","",IF(L421&gt;Config!$B$8,"A cair",IF(N(G421)&gt;=MIN(MAX(1,N(E421)),MAX(0,INT((Config!$B$8-L421)/30)+1)),IF(N(G421)&gt;=MAX(1,N(E421)),"Conferido","Conferido até aqui"),"A conferir")))</f>
        <v/>
      </c>
      <c r="S421" s="51">
        <f>IF(R421="A conferir",(Config!$B$8-L421)*1000+N(F421)/1000+ROW()/100000,0)</f>
        <v>0</v>
      </c>
      <c r="T421" s="51">
        <f>IF(R421="A conferir",N(N421),0)</f>
        <v>0</v>
      </c>
      <c r="U421" s="51">
        <f>IF(L421="",0,L421)</f>
        <v>0</v>
      </c>
      <c r="V421" s="51">
        <f>IF(L421="",0,MAX(1,N(E421)))</f>
        <v>0</v>
      </c>
      <c r="W421" s="51">
        <f>IF(K421="",0,K421)</f>
        <v>0</v>
      </c>
    </row>
    <row r="422">
      <c r="A422" s="49" t="n"/>
      <c r="B422" s="41" t="n"/>
      <c r="C422" s="41" t="n"/>
      <c r="D422" s="42" t="n"/>
      <c r="E422" s="42" t="n"/>
      <c r="F422" s="50" t="n"/>
      <c r="G422" s="42" t="n"/>
      <c r="H422" s="30">
        <f>IF(D422="","",IFERROR(INDEX(Config!$B$12:$B$15,MATCH(IF(AND(D422="Cartão de crédito",N(E422)&gt;1),"Cartão de crédito parcelado",D422),Config!$A$12:$A$15,0)),0)+IF(AND(Config!$B$17="Sim",LEFT(D422,17)="Cartão de crédito"),Config!$B$18*IFERROR(INDEX(Config!$C$12:$C$15,MATCH(IF(AND(D422="Cartão de crédito",N(E422)&gt;1),"Cartão de crédito parcelado",D422),Config!$A$12:$A$15,0)),0)/30*MAX(1,N(E422)),0))</f>
        <v/>
      </c>
      <c r="I422" s="29">
        <f>IF(OR(D422="",F422=""),"",ROUND(F422*H422,2))</f>
        <v/>
      </c>
      <c r="J422" s="29">
        <f>IF(I422="","",F422-I422)</f>
        <v/>
      </c>
      <c r="K422" s="29">
        <f>IF(J422="","",J422/MAX(1,N(E422)))</f>
        <v/>
      </c>
      <c r="L422" s="37">
        <f>IF(OR(D422="",A422=""),"",A422+IF(AND(Config!$B$17="Sim",LEFT(D422,17)="Cartão de crédito"),1,IFERROR(INDEX(Config!$C$12:$C$15,MATCH(IF(AND(D422="Cartão de crédito",N(E422)&gt;1),"Cartão de crédito parcelado",D422),Config!$A$12:$A$15,0)),0)))</f>
        <v/>
      </c>
      <c r="M422" s="37">
        <f>IF(L422="","",IF(AND(Config!$B$17="Sim",LEFT(D422,17)="Cartão de crédito"),L422,L422+30*(MAX(1,N(E422))-1)))</f>
        <v/>
      </c>
      <c r="N422" s="29">
        <f>IF(OR(L422="",K422=""),"",K422*MIN(MAX(1,N(E422)),MAX(0,INT((Config!$B$8-L422)/30)+1)))</f>
        <v/>
      </c>
      <c r="O422" s="29">
        <f>IF(J422="","",J422-N(N422))</f>
        <v/>
      </c>
      <c r="P422" s="27">
        <f>IF(A422="","",MONTH(A422))</f>
        <v/>
      </c>
      <c r="Q422" s="27">
        <f>IF(A422="","",YEAR(A422))</f>
        <v/>
      </c>
      <c r="R422" s="27">
        <f>IF(L422="","",IF(L422&gt;Config!$B$8,"A cair",IF(N(G422)&gt;=MIN(MAX(1,N(E422)),MAX(0,INT((Config!$B$8-L422)/30)+1)),IF(N(G422)&gt;=MAX(1,N(E422)),"Conferido","Conferido até aqui"),"A conferir")))</f>
        <v/>
      </c>
      <c r="S422" s="51">
        <f>IF(R422="A conferir",(Config!$B$8-L422)*1000+N(F422)/1000+ROW()/100000,0)</f>
        <v>0</v>
      </c>
      <c r="T422" s="51">
        <f>IF(R422="A conferir",N(N422),0)</f>
        <v>0</v>
      </c>
      <c r="U422" s="51">
        <f>IF(L422="",0,L422)</f>
        <v>0</v>
      </c>
      <c r="V422" s="51">
        <f>IF(L422="",0,MAX(1,N(E422)))</f>
        <v>0</v>
      </c>
      <c r="W422" s="51">
        <f>IF(K422="",0,K422)</f>
        <v>0</v>
      </c>
    </row>
    <row r="423">
      <c r="A423" s="49" t="n"/>
      <c r="B423" s="41" t="n"/>
      <c r="C423" s="41" t="n"/>
      <c r="D423" s="42" t="n"/>
      <c r="E423" s="42" t="n"/>
      <c r="F423" s="50" t="n"/>
      <c r="G423" s="42" t="n"/>
      <c r="H423" s="30">
        <f>IF(D423="","",IFERROR(INDEX(Config!$B$12:$B$15,MATCH(IF(AND(D423="Cartão de crédito",N(E423)&gt;1),"Cartão de crédito parcelado",D423),Config!$A$12:$A$15,0)),0)+IF(AND(Config!$B$17="Sim",LEFT(D423,17)="Cartão de crédito"),Config!$B$18*IFERROR(INDEX(Config!$C$12:$C$15,MATCH(IF(AND(D423="Cartão de crédito",N(E423)&gt;1),"Cartão de crédito parcelado",D423),Config!$A$12:$A$15,0)),0)/30*MAX(1,N(E423)),0))</f>
        <v/>
      </c>
      <c r="I423" s="29">
        <f>IF(OR(D423="",F423=""),"",ROUND(F423*H423,2))</f>
        <v/>
      </c>
      <c r="J423" s="29">
        <f>IF(I423="","",F423-I423)</f>
        <v/>
      </c>
      <c r="K423" s="29">
        <f>IF(J423="","",J423/MAX(1,N(E423)))</f>
        <v/>
      </c>
      <c r="L423" s="37">
        <f>IF(OR(D423="",A423=""),"",A423+IF(AND(Config!$B$17="Sim",LEFT(D423,17)="Cartão de crédito"),1,IFERROR(INDEX(Config!$C$12:$C$15,MATCH(IF(AND(D423="Cartão de crédito",N(E423)&gt;1),"Cartão de crédito parcelado",D423),Config!$A$12:$A$15,0)),0)))</f>
        <v/>
      </c>
      <c r="M423" s="37">
        <f>IF(L423="","",IF(AND(Config!$B$17="Sim",LEFT(D423,17)="Cartão de crédito"),L423,L423+30*(MAX(1,N(E423))-1)))</f>
        <v/>
      </c>
      <c r="N423" s="29">
        <f>IF(OR(L423="",K423=""),"",K423*MIN(MAX(1,N(E423)),MAX(0,INT((Config!$B$8-L423)/30)+1)))</f>
        <v/>
      </c>
      <c r="O423" s="29">
        <f>IF(J423="","",J423-N(N423))</f>
        <v/>
      </c>
      <c r="P423" s="27">
        <f>IF(A423="","",MONTH(A423))</f>
        <v/>
      </c>
      <c r="Q423" s="27">
        <f>IF(A423="","",YEAR(A423))</f>
        <v/>
      </c>
      <c r="R423" s="27">
        <f>IF(L423="","",IF(L423&gt;Config!$B$8,"A cair",IF(N(G423)&gt;=MIN(MAX(1,N(E423)),MAX(0,INT((Config!$B$8-L423)/30)+1)),IF(N(G423)&gt;=MAX(1,N(E423)),"Conferido","Conferido até aqui"),"A conferir")))</f>
        <v/>
      </c>
      <c r="S423" s="51">
        <f>IF(R423="A conferir",(Config!$B$8-L423)*1000+N(F423)/1000+ROW()/100000,0)</f>
        <v>0</v>
      </c>
      <c r="T423" s="51">
        <f>IF(R423="A conferir",N(N423),0)</f>
        <v>0</v>
      </c>
      <c r="U423" s="51">
        <f>IF(L423="",0,L423)</f>
        <v>0</v>
      </c>
      <c r="V423" s="51">
        <f>IF(L423="",0,MAX(1,N(E423)))</f>
        <v>0</v>
      </c>
      <c r="W423" s="51">
        <f>IF(K423="",0,K423)</f>
        <v>0</v>
      </c>
    </row>
    <row r="424">
      <c r="A424" s="49" t="n"/>
      <c r="B424" s="41" t="n"/>
      <c r="C424" s="41" t="n"/>
      <c r="D424" s="42" t="n"/>
      <c r="E424" s="42" t="n"/>
      <c r="F424" s="50" t="n"/>
      <c r="G424" s="42" t="n"/>
      <c r="H424" s="30">
        <f>IF(D424="","",IFERROR(INDEX(Config!$B$12:$B$15,MATCH(IF(AND(D424="Cartão de crédito",N(E424)&gt;1),"Cartão de crédito parcelado",D424),Config!$A$12:$A$15,0)),0)+IF(AND(Config!$B$17="Sim",LEFT(D424,17)="Cartão de crédito"),Config!$B$18*IFERROR(INDEX(Config!$C$12:$C$15,MATCH(IF(AND(D424="Cartão de crédito",N(E424)&gt;1),"Cartão de crédito parcelado",D424),Config!$A$12:$A$15,0)),0)/30*MAX(1,N(E424)),0))</f>
        <v/>
      </c>
      <c r="I424" s="29">
        <f>IF(OR(D424="",F424=""),"",ROUND(F424*H424,2))</f>
        <v/>
      </c>
      <c r="J424" s="29">
        <f>IF(I424="","",F424-I424)</f>
        <v/>
      </c>
      <c r="K424" s="29">
        <f>IF(J424="","",J424/MAX(1,N(E424)))</f>
        <v/>
      </c>
      <c r="L424" s="37">
        <f>IF(OR(D424="",A424=""),"",A424+IF(AND(Config!$B$17="Sim",LEFT(D424,17)="Cartão de crédito"),1,IFERROR(INDEX(Config!$C$12:$C$15,MATCH(IF(AND(D424="Cartão de crédito",N(E424)&gt;1),"Cartão de crédito parcelado",D424),Config!$A$12:$A$15,0)),0)))</f>
        <v/>
      </c>
      <c r="M424" s="37">
        <f>IF(L424="","",IF(AND(Config!$B$17="Sim",LEFT(D424,17)="Cartão de crédito"),L424,L424+30*(MAX(1,N(E424))-1)))</f>
        <v/>
      </c>
      <c r="N424" s="29">
        <f>IF(OR(L424="",K424=""),"",K424*MIN(MAX(1,N(E424)),MAX(0,INT((Config!$B$8-L424)/30)+1)))</f>
        <v/>
      </c>
      <c r="O424" s="29">
        <f>IF(J424="","",J424-N(N424))</f>
        <v/>
      </c>
      <c r="P424" s="27">
        <f>IF(A424="","",MONTH(A424))</f>
        <v/>
      </c>
      <c r="Q424" s="27">
        <f>IF(A424="","",YEAR(A424))</f>
        <v/>
      </c>
      <c r="R424" s="27">
        <f>IF(L424="","",IF(L424&gt;Config!$B$8,"A cair",IF(N(G424)&gt;=MIN(MAX(1,N(E424)),MAX(0,INT((Config!$B$8-L424)/30)+1)),IF(N(G424)&gt;=MAX(1,N(E424)),"Conferido","Conferido até aqui"),"A conferir")))</f>
        <v/>
      </c>
      <c r="S424" s="51">
        <f>IF(R424="A conferir",(Config!$B$8-L424)*1000+N(F424)/1000+ROW()/100000,0)</f>
        <v>0</v>
      </c>
      <c r="T424" s="51">
        <f>IF(R424="A conferir",N(N424),0)</f>
        <v>0</v>
      </c>
      <c r="U424" s="51">
        <f>IF(L424="",0,L424)</f>
        <v>0</v>
      </c>
      <c r="V424" s="51">
        <f>IF(L424="",0,MAX(1,N(E424)))</f>
        <v>0</v>
      </c>
      <c r="W424" s="51">
        <f>IF(K424="",0,K424)</f>
        <v>0</v>
      </c>
    </row>
    <row r="425">
      <c r="A425" s="49" t="n"/>
      <c r="B425" s="41" t="n"/>
      <c r="C425" s="41" t="n"/>
      <c r="D425" s="42" t="n"/>
      <c r="E425" s="42" t="n"/>
      <c r="F425" s="50" t="n"/>
      <c r="G425" s="42" t="n"/>
      <c r="H425" s="30">
        <f>IF(D425="","",IFERROR(INDEX(Config!$B$12:$B$15,MATCH(IF(AND(D425="Cartão de crédito",N(E425)&gt;1),"Cartão de crédito parcelado",D425),Config!$A$12:$A$15,0)),0)+IF(AND(Config!$B$17="Sim",LEFT(D425,17)="Cartão de crédito"),Config!$B$18*IFERROR(INDEX(Config!$C$12:$C$15,MATCH(IF(AND(D425="Cartão de crédito",N(E425)&gt;1),"Cartão de crédito parcelado",D425),Config!$A$12:$A$15,0)),0)/30*MAX(1,N(E425)),0))</f>
        <v/>
      </c>
      <c r="I425" s="29">
        <f>IF(OR(D425="",F425=""),"",ROUND(F425*H425,2))</f>
        <v/>
      </c>
      <c r="J425" s="29">
        <f>IF(I425="","",F425-I425)</f>
        <v/>
      </c>
      <c r="K425" s="29">
        <f>IF(J425="","",J425/MAX(1,N(E425)))</f>
        <v/>
      </c>
      <c r="L425" s="37">
        <f>IF(OR(D425="",A425=""),"",A425+IF(AND(Config!$B$17="Sim",LEFT(D425,17)="Cartão de crédito"),1,IFERROR(INDEX(Config!$C$12:$C$15,MATCH(IF(AND(D425="Cartão de crédito",N(E425)&gt;1),"Cartão de crédito parcelado",D425),Config!$A$12:$A$15,0)),0)))</f>
        <v/>
      </c>
      <c r="M425" s="37">
        <f>IF(L425="","",IF(AND(Config!$B$17="Sim",LEFT(D425,17)="Cartão de crédito"),L425,L425+30*(MAX(1,N(E425))-1)))</f>
        <v/>
      </c>
      <c r="N425" s="29">
        <f>IF(OR(L425="",K425=""),"",K425*MIN(MAX(1,N(E425)),MAX(0,INT((Config!$B$8-L425)/30)+1)))</f>
        <v/>
      </c>
      <c r="O425" s="29">
        <f>IF(J425="","",J425-N(N425))</f>
        <v/>
      </c>
      <c r="P425" s="27">
        <f>IF(A425="","",MONTH(A425))</f>
        <v/>
      </c>
      <c r="Q425" s="27">
        <f>IF(A425="","",YEAR(A425))</f>
        <v/>
      </c>
      <c r="R425" s="27">
        <f>IF(L425="","",IF(L425&gt;Config!$B$8,"A cair",IF(N(G425)&gt;=MIN(MAX(1,N(E425)),MAX(0,INT((Config!$B$8-L425)/30)+1)),IF(N(G425)&gt;=MAX(1,N(E425)),"Conferido","Conferido até aqui"),"A conferir")))</f>
        <v/>
      </c>
      <c r="S425" s="51">
        <f>IF(R425="A conferir",(Config!$B$8-L425)*1000+N(F425)/1000+ROW()/100000,0)</f>
        <v>0</v>
      </c>
      <c r="T425" s="51">
        <f>IF(R425="A conferir",N(N425),0)</f>
        <v>0</v>
      </c>
      <c r="U425" s="51">
        <f>IF(L425="",0,L425)</f>
        <v>0</v>
      </c>
      <c r="V425" s="51">
        <f>IF(L425="",0,MAX(1,N(E425)))</f>
        <v>0</v>
      </c>
      <c r="W425" s="51">
        <f>IF(K425="",0,K425)</f>
        <v>0</v>
      </c>
    </row>
    <row r="426">
      <c r="A426" s="49" t="n"/>
      <c r="B426" s="41" t="n"/>
      <c r="C426" s="41" t="n"/>
      <c r="D426" s="42" t="n"/>
      <c r="E426" s="42" t="n"/>
      <c r="F426" s="50" t="n"/>
      <c r="G426" s="42" t="n"/>
      <c r="H426" s="30">
        <f>IF(D426="","",IFERROR(INDEX(Config!$B$12:$B$15,MATCH(IF(AND(D426="Cartão de crédito",N(E426)&gt;1),"Cartão de crédito parcelado",D426),Config!$A$12:$A$15,0)),0)+IF(AND(Config!$B$17="Sim",LEFT(D426,17)="Cartão de crédito"),Config!$B$18*IFERROR(INDEX(Config!$C$12:$C$15,MATCH(IF(AND(D426="Cartão de crédito",N(E426)&gt;1),"Cartão de crédito parcelado",D426),Config!$A$12:$A$15,0)),0)/30*MAX(1,N(E426)),0))</f>
        <v/>
      </c>
      <c r="I426" s="29">
        <f>IF(OR(D426="",F426=""),"",ROUND(F426*H426,2))</f>
        <v/>
      </c>
      <c r="J426" s="29">
        <f>IF(I426="","",F426-I426)</f>
        <v/>
      </c>
      <c r="K426" s="29">
        <f>IF(J426="","",J426/MAX(1,N(E426)))</f>
        <v/>
      </c>
      <c r="L426" s="37">
        <f>IF(OR(D426="",A426=""),"",A426+IF(AND(Config!$B$17="Sim",LEFT(D426,17)="Cartão de crédito"),1,IFERROR(INDEX(Config!$C$12:$C$15,MATCH(IF(AND(D426="Cartão de crédito",N(E426)&gt;1),"Cartão de crédito parcelado",D426),Config!$A$12:$A$15,0)),0)))</f>
        <v/>
      </c>
      <c r="M426" s="37">
        <f>IF(L426="","",IF(AND(Config!$B$17="Sim",LEFT(D426,17)="Cartão de crédito"),L426,L426+30*(MAX(1,N(E426))-1)))</f>
        <v/>
      </c>
      <c r="N426" s="29">
        <f>IF(OR(L426="",K426=""),"",K426*MIN(MAX(1,N(E426)),MAX(0,INT((Config!$B$8-L426)/30)+1)))</f>
        <v/>
      </c>
      <c r="O426" s="29">
        <f>IF(J426="","",J426-N(N426))</f>
        <v/>
      </c>
      <c r="P426" s="27">
        <f>IF(A426="","",MONTH(A426))</f>
        <v/>
      </c>
      <c r="Q426" s="27">
        <f>IF(A426="","",YEAR(A426))</f>
        <v/>
      </c>
      <c r="R426" s="27">
        <f>IF(L426="","",IF(L426&gt;Config!$B$8,"A cair",IF(N(G426)&gt;=MIN(MAX(1,N(E426)),MAX(0,INT((Config!$B$8-L426)/30)+1)),IF(N(G426)&gt;=MAX(1,N(E426)),"Conferido","Conferido até aqui"),"A conferir")))</f>
        <v/>
      </c>
      <c r="S426" s="51">
        <f>IF(R426="A conferir",(Config!$B$8-L426)*1000+N(F426)/1000+ROW()/100000,0)</f>
        <v>0</v>
      </c>
      <c r="T426" s="51">
        <f>IF(R426="A conferir",N(N426),0)</f>
        <v>0</v>
      </c>
      <c r="U426" s="51">
        <f>IF(L426="",0,L426)</f>
        <v>0</v>
      </c>
      <c r="V426" s="51">
        <f>IF(L426="",0,MAX(1,N(E426)))</f>
        <v>0</v>
      </c>
      <c r="W426" s="51">
        <f>IF(K426="",0,K426)</f>
        <v>0</v>
      </c>
    </row>
    <row r="427">
      <c r="A427" s="49" t="n"/>
      <c r="B427" s="41" t="n"/>
      <c r="C427" s="41" t="n"/>
      <c r="D427" s="42" t="n"/>
      <c r="E427" s="42" t="n"/>
      <c r="F427" s="50" t="n"/>
      <c r="G427" s="42" t="n"/>
      <c r="H427" s="30">
        <f>IF(D427="","",IFERROR(INDEX(Config!$B$12:$B$15,MATCH(IF(AND(D427="Cartão de crédito",N(E427)&gt;1),"Cartão de crédito parcelado",D427),Config!$A$12:$A$15,0)),0)+IF(AND(Config!$B$17="Sim",LEFT(D427,17)="Cartão de crédito"),Config!$B$18*IFERROR(INDEX(Config!$C$12:$C$15,MATCH(IF(AND(D427="Cartão de crédito",N(E427)&gt;1),"Cartão de crédito parcelado",D427),Config!$A$12:$A$15,0)),0)/30*MAX(1,N(E427)),0))</f>
        <v/>
      </c>
      <c r="I427" s="29">
        <f>IF(OR(D427="",F427=""),"",ROUND(F427*H427,2))</f>
        <v/>
      </c>
      <c r="J427" s="29">
        <f>IF(I427="","",F427-I427)</f>
        <v/>
      </c>
      <c r="K427" s="29">
        <f>IF(J427="","",J427/MAX(1,N(E427)))</f>
        <v/>
      </c>
      <c r="L427" s="37">
        <f>IF(OR(D427="",A427=""),"",A427+IF(AND(Config!$B$17="Sim",LEFT(D427,17)="Cartão de crédito"),1,IFERROR(INDEX(Config!$C$12:$C$15,MATCH(IF(AND(D427="Cartão de crédito",N(E427)&gt;1),"Cartão de crédito parcelado",D427),Config!$A$12:$A$15,0)),0)))</f>
        <v/>
      </c>
      <c r="M427" s="37">
        <f>IF(L427="","",IF(AND(Config!$B$17="Sim",LEFT(D427,17)="Cartão de crédito"),L427,L427+30*(MAX(1,N(E427))-1)))</f>
        <v/>
      </c>
      <c r="N427" s="29">
        <f>IF(OR(L427="",K427=""),"",K427*MIN(MAX(1,N(E427)),MAX(0,INT((Config!$B$8-L427)/30)+1)))</f>
        <v/>
      </c>
      <c r="O427" s="29">
        <f>IF(J427="","",J427-N(N427))</f>
        <v/>
      </c>
      <c r="P427" s="27">
        <f>IF(A427="","",MONTH(A427))</f>
        <v/>
      </c>
      <c r="Q427" s="27">
        <f>IF(A427="","",YEAR(A427))</f>
        <v/>
      </c>
      <c r="R427" s="27">
        <f>IF(L427="","",IF(L427&gt;Config!$B$8,"A cair",IF(N(G427)&gt;=MIN(MAX(1,N(E427)),MAX(0,INT((Config!$B$8-L427)/30)+1)),IF(N(G427)&gt;=MAX(1,N(E427)),"Conferido","Conferido até aqui"),"A conferir")))</f>
        <v/>
      </c>
      <c r="S427" s="51">
        <f>IF(R427="A conferir",(Config!$B$8-L427)*1000+N(F427)/1000+ROW()/100000,0)</f>
        <v>0</v>
      </c>
      <c r="T427" s="51">
        <f>IF(R427="A conferir",N(N427),0)</f>
        <v>0</v>
      </c>
      <c r="U427" s="51">
        <f>IF(L427="",0,L427)</f>
        <v>0</v>
      </c>
      <c r="V427" s="51">
        <f>IF(L427="",0,MAX(1,N(E427)))</f>
        <v>0</v>
      </c>
      <c r="W427" s="51">
        <f>IF(K427="",0,K427)</f>
        <v>0</v>
      </c>
    </row>
    <row r="428">
      <c r="A428" s="49" t="n"/>
      <c r="B428" s="41" t="n"/>
      <c r="C428" s="41" t="n"/>
      <c r="D428" s="42" t="n"/>
      <c r="E428" s="42" t="n"/>
      <c r="F428" s="50" t="n"/>
      <c r="G428" s="42" t="n"/>
      <c r="H428" s="30">
        <f>IF(D428="","",IFERROR(INDEX(Config!$B$12:$B$15,MATCH(IF(AND(D428="Cartão de crédito",N(E428)&gt;1),"Cartão de crédito parcelado",D428),Config!$A$12:$A$15,0)),0)+IF(AND(Config!$B$17="Sim",LEFT(D428,17)="Cartão de crédito"),Config!$B$18*IFERROR(INDEX(Config!$C$12:$C$15,MATCH(IF(AND(D428="Cartão de crédito",N(E428)&gt;1),"Cartão de crédito parcelado",D428),Config!$A$12:$A$15,0)),0)/30*MAX(1,N(E428)),0))</f>
        <v/>
      </c>
      <c r="I428" s="29">
        <f>IF(OR(D428="",F428=""),"",ROUND(F428*H428,2))</f>
        <v/>
      </c>
      <c r="J428" s="29">
        <f>IF(I428="","",F428-I428)</f>
        <v/>
      </c>
      <c r="K428" s="29">
        <f>IF(J428="","",J428/MAX(1,N(E428)))</f>
        <v/>
      </c>
      <c r="L428" s="37">
        <f>IF(OR(D428="",A428=""),"",A428+IF(AND(Config!$B$17="Sim",LEFT(D428,17)="Cartão de crédito"),1,IFERROR(INDEX(Config!$C$12:$C$15,MATCH(IF(AND(D428="Cartão de crédito",N(E428)&gt;1),"Cartão de crédito parcelado",D428),Config!$A$12:$A$15,0)),0)))</f>
        <v/>
      </c>
      <c r="M428" s="37">
        <f>IF(L428="","",IF(AND(Config!$B$17="Sim",LEFT(D428,17)="Cartão de crédito"),L428,L428+30*(MAX(1,N(E428))-1)))</f>
        <v/>
      </c>
      <c r="N428" s="29">
        <f>IF(OR(L428="",K428=""),"",K428*MIN(MAX(1,N(E428)),MAX(0,INT((Config!$B$8-L428)/30)+1)))</f>
        <v/>
      </c>
      <c r="O428" s="29">
        <f>IF(J428="","",J428-N(N428))</f>
        <v/>
      </c>
      <c r="P428" s="27">
        <f>IF(A428="","",MONTH(A428))</f>
        <v/>
      </c>
      <c r="Q428" s="27">
        <f>IF(A428="","",YEAR(A428))</f>
        <v/>
      </c>
      <c r="R428" s="27">
        <f>IF(L428="","",IF(L428&gt;Config!$B$8,"A cair",IF(N(G428)&gt;=MIN(MAX(1,N(E428)),MAX(0,INT((Config!$B$8-L428)/30)+1)),IF(N(G428)&gt;=MAX(1,N(E428)),"Conferido","Conferido até aqui"),"A conferir")))</f>
        <v/>
      </c>
      <c r="S428" s="51">
        <f>IF(R428="A conferir",(Config!$B$8-L428)*1000+N(F428)/1000+ROW()/100000,0)</f>
        <v>0</v>
      </c>
      <c r="T428" s="51">
        <f>IF(R428="A conferir",N(N428),0)</f>
        <v>0</v>
      </c>
      <c r="U428" s="51">
        <f>IF(L428="",0,L428)</f>
        <v>0</v>
      </c>
      <c r="V428" s="51">
        <f>IF(L428="",0,MAX(1,N(E428)))</f>
        <v>0</v>
      </c>
      <c r="W428" s="51">
        <f>IF(K428="",0,K428)</f>
        <v>0</v>
      </c>
    </row>
    <row r="429">
      <c r="A429" s="49" t="n"/>
      <c r="B429" s="41" t="n"/>
      <c r="C429" s="41" t="n"/>
      <c r="D429" s="42" t="n"/>
      <c r="E429" s="42" t="n"/>
      <c r="F429" s="50" t="n"/>
      <c r="G429" s="42" t="n"/>
      <c r="H429" s="30">
        <f>IF(D429="","",IFERROR(INDEX(Config!$B$12:$B$15,MATCH(IF(AND(D429="Cartão de crédito",N(E429)&gt;1),"Cartão de crédito parcelado",D429),Config!$A$12:$A$15,0)),0)+IF(AND(Config!$B$17="Sim",LEFT(D429,17)="Cartão de crédito"),Config!$B$18*IFERROR(INDEX(Config!$C$12:$C$15,MATCH(IF(AND(D429="Cartão de crédito",N(E429)&gt;1),"Cartão de crédito parcelado",D429),Config!$A$12:$A$15,0)),0)/30*MAX(1,N(E429)),0))</f>
        <v/>
      </c>
      <c r="I429" s="29">
        <f>IF(OR(D429="",F429=""),"",ROUND(F429*H429,2))</f>
        <v/>
      </c>
      <c r="J429" s="29">
        <f>IF(I429="","",F429-I429)</f>
        <v/>
      </c>
      <c r="K429" s="29">
        <f>IF(J429="","",J429/MAX(1,N(E429)))</f>
        <v/>
      </c>
      <c r="L429" s="37">
        <f>IF(OR(D429="",A429=""),"",A429+IF(AND(Config!$B$17="Sim",LEFT(D429,17)="Cartão de crédito"),1,IFERROR(INDEX(Config!$C$12:$C$15,MATCH(IF(AND(D429="Cartão de crédito",N(E429)&gt;1),"Cartão de crédito parcelado",D429),Config!$A$12:$A$15,0)),0)))</f>
        <v/>
      </c>
      <c r="M429" s="37">
        <f>IF(L429="","",IF(AND(Config!$B$17="Sim",LEFT(D429,17)="Cartão de crédito"),L429,L429+30*(MAX(1,N(E429))-1)))</f>
        <v/>
      </c>
      <c r="N429" s="29">
        <f>IF(OR(L429="",K429=""),"",K429*MIN(MAX(1,N(E429)),MAX(0,INT((Config!$B$8-L429)/30)+1)))</f>
        <v/>
      </c>
      <c r="O429" s="29">
        <f>IF(J429="","",J429-N(N429))</f>
        <v/>
      </c>
      <c r="P429" s="27">
        <f>IF(A429="","",MONTH(A429))</f>
        <v/>
      </c>
      <c r="Q429" s="27">
        <f>IF(A429="","",YEAR(A429))</f>
        <v/>
      </c>
      <c r="R429" s="27">
        <f>IF(L429="","",IF(L429&gt;Config!$B$8,"A cair",IF(N(G429)&gt;=MIN(MAX(1,N(E429)),MAX(0,INT((Config!$B$8-L429)/30)+1)),IF(N(G429)&gt;=MAX(1,N(E429)),"Conferido","Conferido até aqui"),"A conferir")))</f>
        <v/>
      </c>
      <c r="S429" s="51">
        <f>IF(R429="A conferir",(Config!$B$8-L429)*1000+N(F429)/1000+ROW()/100000,0)</f>
        <v>0</v>
      </c>
      <c r="T429" s="51">
        <f>IF(R429="A conferir",N(N429),0)</f>
        <v>0</v>
      </c>
      <c r="U429" s="51">
        <f>IF(L429="",0,L429)</f>
        <v>0</v>
      </c>
      <c r="V429" s="51">
        <f>IF(L429="",0,MAX(1,N(E429)))</f>
        <v>0</v>
      </c>
      <c r="W429" s="51">
        <f>IF(K429="",0,K429)</f>
        <v>0</v>
      </c>
    </row>
    <row r="430">
      <c r="A430" s="49" t="n"/>
      <c r="B430" s="41" t="n"/>
      <c r="C430" s="41" t="n"/>
      <c r="D430" s="42" t="n"/>
      <c r="E430" s="42" t="n"/>
      <c r="F430" s="50" t="n"/>
      <c r="G430" s="42" t="n"/>
      <c r="H430" s="30">
        <f>IF(D430="","",IFERROR(INDEX(Config!$B$12:$B$15,MATCH(IF(AND(D430="Cartão de crédito",N(E430)&gt;1),"Cartão de crédito parcelado",D430),Config!$A$12:$A$15,0)),0)+IF(AND(Config!$B$17="Sim",LEFT(D430,17)="Cartão de crédito"),Config!$B$18*IFERROR(INDEX(Config!$C$12:$C$15,MATCH(IF(AND(D430="Cartão de crédito",N(E430)&gt;1),"Cartão de crédito parcelado",D430),Config!$A$12:$A$15,0)),0)/30*MAX(1,N(E430)),0))</f>
        <v/>
      </c>
      <c r="I430" s="29">
        <f>IF(OR(D430="",F430=""),"",ROUND(F430*H430,2))</f>
        <v/>
      </c>
      <c r="J430" s="29">
        <f>IF(I430="","",F430-I430)</f>
        <v/>
      </c>
      <c r="K430" s="29">
        <f>IF(J430="","",J430/MAX(1,N(E430)))</f>
        <v/>
      </c>
      <c r="L430" s="37">
        <f>IF(OR(D430="",A430=""),"",A430+IF(AND(Config!$B$17="Sim",LEFT(D430,17)="Cartão de crédito"),1,IFERROR(INDEX(Config!$C$12:$C$15,MATCH(IF(AND(D430="Cartão de crédito",N(E430)&gt;1),"Cartão de crédito parcelado",D430),Config!$A$12:$A$15,0)),0)))</f>
        <v/>
      </c>
      <c r="M430" s="37">
        <f>IF(L430="","",IF(AND(Config!$B$17="Sim",LEFT(D430,17)="Cartão de crédito"),L430,L430+30*(MAX(1,N(E430))-1)))</f>
        <v/>
      </c>
      <c r="N430" s="29">
        <f>IF(OR(L430="",K430=""),"",K430*MIN(MAX(1,N(E430)),MAX(0,INT((Config!$B$8-L430)/30)+1)))</f>
        <v/>
      </c>
      <c r="O430" s="29">
        <f>IF(J430="","",J430-N(N430))</f>
        <v/>
      </c>
      <c r="P430" s="27">
        <f>IF(A430="","",MONTH(A430))</f>
        <v/>
      </c>
      <c r="Q430" s="27">
        <f>IF(A430="","",YEAR(A430))</f>
        <v/>
      </c>
      <c r="R430" s="27">
        <f>IF(L430="","",IF(L430&gt;Config!$B$8,"A cair",IF(N(G430)&gt;=MIN(MAX(1,N(E430)),MAX(0,INT((Config!$B$8-L430)/30)+1)),IF(N(G430)&gt;=MAX(1,N(E430)),"Conferido","Conferido até aqui"),"A conferir")))</f>
        <v/>
      </c>
      <c r="S430" s="51">
        <f>IF(R430="A conferir",(Config!$B$8-L430)*1000+N(F430)/1000+ROW()/100000,0)</f>
        <v>0</v>
      </c>
      <c r="T430" s="51">
        <f>IF(R430="A conferir",N(N430),0)</f>
        <v>0</v>
      </c>
      <c r="U430" s="51">
        <f>IF(L430="",0,L430)</f>
        <v>0</v>
      </c>
      <c r="V430" s="51">
        <f>IF(L430="",0,MAX(1,N(E430)))</f>
        <v>0</v>
      </c>
      <c r="W430" s="51">
        <f>IF(K430="",0,K430)</f>
        <v>0</v>
      </c>
    </row>
    <row r="431">
      <c r="A431" s="49" t="n"/>
      <c r="B431" s="41" t="n"/>
      <c r="C431" s="41" t="n"/>
      <c r="D431" s="42" t="n"/>
      <c r="E431" s="42" t="n"/>
      <c r="F431" s="50" t="n"/>
      <c r="G431" s="42" t="n"/>
      <c r="H431" s="30">
        <f>IF(D431="","",IFERROR(INDEX(Config!$B$12:$B$15,MATCH(IF(AND(D431="Cartão de crédito",N(E431)&gt;1),"Cartão de crédito parcelado",D431),Config!$A$12:$A$15,0)),0)+IF(AND(Config!$B$17="Sim",LEFT(D431,17)="Cartão de crédito"),Config!$B$18*IFERROR(INDEX(Config!$C$12:$C$15,MATCH(IF(AND(D431="Cartão de crédito",N(E431)&gt;1),"Cartão de crédito parcelado",D431),Config!$A$12:$A$15,0)),0)/30*MAX(1,N(E431)),0))</f>
        <v/>
      </c>
      <c r="I431" s="29">
        <f>IF(OR(D431="",F431=""),"",ROUND(F431*H431,2))</f>
        <v/>
      </c>
      <c r="J431" s="29">
        <f>IF(I431="","",F431-I431)</f>
        <v/>
      </c>
      <c r="K431" s="29">
        <f>IF(J431="","",J431/MAX(1,N(E431)))</f>
        <v/>
      </c>
      <c r="L431" s="37">
        <f>IF(OR(D431="",A431=""),"",A431+IF(AND(Config!$B$17="Sim",LEFT(D431,17)="Cartão de crédito"),1,IFERROR(INDEX(Config!$C$12:$C$15,MATCH(IF(AND(D431="Cartão de crédito",N(E431)&gt;1),"Cartão de crédito parcelado",D431),Config!$A$12:$A$15,0)),0)))</f>
        <v/>
      </c>
      <c r="M431" s="37">
        <f>IF(L431="","",IF(AND(Config!$B$17="Sim",LEFT(D431,17)="Cartão de crédito"),L431,L431+30*(MAX(1,N(E431))-1)))</f>
        <v/>
      </c>
      <c r="N431" s="29">
        <f>IF(OR(L431="",K431=""),"",K431*MIN(MAX(1,N(E431)),MAX(0,INT((Config!$B$8-L431)/30)+1)))</f>
        <v/>
      </c>
      <c r="O431" s="29">
        <f>IF(J431="","",J431-N(N431))</f>
        <v/>
      </c>
      <c r="P431" s="27">
        <f>IF(A431="","",MONTH(A431))</f>
        <v/>
      </c>
      <c r="Q431" s="27">
        <f>IF(A431="","",YEAR(A431))</f>
        <v/>
      </c>
      <c r="R431" s="27">
        <f>IF(L431="","",IF(L431&gt;Config!$B$8,"A cair",IF(N(G431)&gt;=MIN(MAX(1,N(E431)),MAX(0,INT((Config!$B$8-L431)/30)+1)),IF(N(G431)&gt;=MAX(1,N(E431)),"Conferido","Conferido até aqui"),"A conferir")))</f>
        <v/>
      </c>
      <c r="S431" s="51">
        <f>IF(R431="A conferir",(Config!$B$8-L431)*1000+N(F431)/1000+ROW()/100000,0)</f>
        <v>0</v>
      </c>
      <c r="T431" s="51">
        <f>IF(R431="A conferir",N(N431),0)</f>
        <v>0</v>
      </c>
      <c r="U431" s="51">
        <f>IF(L431="",0,L431)</f>
        <v>0</v>
      </c>
      <c r="V431" s="51">
        <f>IF(L431="",0,MAX(1,N(E431)))</f>
        <v>0</v>
      </c>
      <c r="W431" s="51">
        <f>IF(K431="",0,K431)</f>
        <v>0</v>
      </c>
    </row>
    <row r="432">
      <c r="A432" s="49" t="n"/>
      <c r="B432" s="41" t="n"/>
      <c r="C432" s="41" t="n"/>
      <c r="D432" s="42" t="n"/>
      <c r="E432" s="42" t="n"/>
      <c r="F432" s="50" t="n"/>
      <c r="G432" s="42" t="n"/>
      <c r="H432" s="30">
        <f>IF(D432="","",IFERROR(INDEX(Config!$B$12:$B$15,MATCH(IF(AND(D432="Cartão de crédito",N(E432)&gt;1),"Cartão de crédito parcelado",D432),Config!$A$12:$A$15,0)),0)+IF(AND(Config!$B$17="Sim",LEFT(D432,17)="Cartão de crédito"),Config!$B$18*IFERROR(INDEX(Config!$C$12:$C$15,MATCH(IF(AND(D432="Cartão de crédito",N(E432)&gt;1),"Cartão de crédito parcelado",D432),Config!$A$12:$A$15,0)),0)/30*MAX(1,N(E432)),0))</f>
        <v/>
      </c>
      <c r="I432" s="29">
        <f>IF(OR(D432="",F432=""),"",ROUND(F432*H432,2))</f>
        <v/>
      </c>
      <c r="J432" s="29">
        <f>IF(I432="","",F432-I432)</f>
        <v/>
      </c>
      <c r="K432" s="29">
        <f>IF(J432="","",J432/MAX(1,N(E432)))</f>
        <v/>
      </c>
      <c r="L432" s="37">
        <f>IF(OR(D432="",A432=""),"",A432+IF(AND(Config!$B$17="Sim",LEFT(D432,17)="Cartão de crédito"),1,IFERROR(INDEX(Config!$C$12:$C$15,MATCH(IF(AND(D432="Cartão de crédito",N(E432)&gt;1),"Cartão de crédito parcelado",D432),Config!$A$12:$A$15,0)),0)))</f>
        <v/>
      </c>
      <c r="M432" s="37">
        <f>IF(L432="","",IF(AND(Config!$B$17="Sim",LEFT(D432,17)="Cartão de crédito"),L432,L432+30*(MAX(1,N(E432))-1)))</f>
        <v/>
      </c>
      <c r="N432" s="29">
        <f>IF(OR(L432="",K432=""),"",K432*MIN(MAX(1,N(E432)),MAX(0,INT((Config!$B$8-L432)/30)+1)))</f>
        <v/>
      </c>
      <c r="O432" s="29">
        <f>IF(J432="","",J432-N(N432))</f>
        <v/>
      </c>
      <c r="P432" s="27">
        <f>IF(A432="","",MONTH(A432))</f>
        <v/>
      </c>
      <c r="Q432" s="27">
        <f>IF(A432="","",YEAR(A432))</f>
        <v/>
      </c>
      <c r="R432" s="27">
        <f>IF(L432="","",IF(L432&gt;Config!$B$8,"A cair",IF(N(G432)&gt;=MIN(MAX(1,N(E432)),MAX(0,INT((Config!$B$8-L432)/30)+1)),IF(N(G432)&gt;=MAX(1,N(E432)),"Conferido","Conferido até aqui"),"A conferir")))</f>
        <v/>
      </c>
      <c r="S432" s="51">
        <f>IF(R432="A conferir",(Config!$B$8-L432)*1000+N(F432)/1000+ROW()/100000,0)</f>
        <v>0</v>
      </c>
      <c r="T432" s="51">
        <f>IF(R432="A conferir",N(N432),0)</f>
        <v>0</v>
      </c>
      <c r="U432" s="51">
        <f>IF(L432="",0,L432)</f>
        <v>0</v>
      </c>
      <c r="V432" s="51">
        <f>IF(L432="",0,MAX(1,N(E432)))</f>
        <v>0</v>
      </c>
      <c r="W432" s="51">
        <f>IF(K432="",0,K432)</f>
        <v>0</v>
      </c>
    </row>
    <row r="433">
      <c r="A433" s="49" t="n"/>
      <c r="B433" s="41" t="n"/>
      <c r="C433" s="41" t="n"/>
      <c r="D433" s="42" t="n"/>
      <c r="E433" s="42" t="n"/>
      <c r="F433" s="50" t="n"/>
      <c r="G433" s="42" t="n"/>
      <c r="H433" s="30">
        <f>IF(D433="","",IFERROR(INDEX(Config!$B$12:$B$15,MATCH(IF(AND(D433="Cartão de crédito",N(E433)&gt;1),"Cartão de crédito parcelado",D433),Config!$A$12:$A$15,0)),0)+IF(AND(Config!$B$17="Sim",LEFT(D433,17)="Cartão de crédito"),Config!$B$18*IFERROR(INDEX(Config!$C$12:$C$15,MATCH(IF(AND(D433="Cartão de crédito",N(E433)&gt;1),"Cartão de crédito parcelado",D433),Config!$A$12:$A$15,0)),0)/30*MAX(1,N(E433)),0))</f>
        <v/>
      </c>
      <c r="I433" s="29">
        <f>IF(OR(D433="",F433=""),"",ROUND(F433*H433,2))</f>
        <v/>
      </c>
      <c r="J433" s="29">
        <f>IF(I433="","",F433-I433)</f>
        <v/>
      </c>
      <c r="K433" s="29">
        <f>IF(J433="","",J433/MAX(1,N(E433)))</f>
        <v/>
      </c>
      <c r="L433" s="37">
        <f>IF(OR(D433="",A433=""),"",A433+IF(AND(Config!$B$17="Sim",LEFT(D433,17)="Cartão de crédito"),1,IFERROR(INDEX(Config!$C$12:$C$15,MATCH(IF(AND(D433="Cartão de crédito",N(E433)&gt;1),"Cartão de crédito parcelado",D433),Config!$A$12:$A$15,0)),0)))</f>
        <v/>
      </c>
      <c r="M433" s="37">
        <f>IF(L433="","",IF(AND(Config!$B$17="Sim",LEFT(D433,17)="Cartão de crédito"),L433,L433+30*(MAX(1,N(E433))-1)))</f>
        <v/>
      </c>
      <c r="N433" s="29">
        <f>IF(OR(L433="",K433=""),"",K433*MIN(MAX(1,N(E433)),MAX(0,INT((Config!$B$8-L433)/30)+1)))</f>
        <v/>
      </c>
      <c r="O433" s="29">
        <f>IF(J433="","",J433-N(N433))</f>
        <v/>
      </c>
      <c r="P433" s="27">
        <f>IF(A433="","",MONTH(A433))</f>
        <v/>
      </c>
      <c r="Q433" s="27">
        <f>IF(A433="","",YEAR(A433))</f>
        <v/>
      </c>
      <c r="R433" s="27">
        <f>IF(L433="","",IF(L433&gt;Config!$B$8,"A cair",IF(N(G433)&gt;=MIN(MAX(1,N(E433)),MAX(0,INT((Config!$B$8-L433)/30)+1)),IF(N(G433)&gt;=MAX(1,N(E433)),"Conferido","Conferido até aqui"),"A conferir")))</f>
        <v/>
      </c>
      <c r="S433" s="51">
        <f>IF(R433="A conferir",(Config!$B$8-L433)*1000+N(F433)/1000+ROW()/100000,0)</f>
        <v>0</v>
      </c>
      <c r="T433" s="51">
        <f>IF(R433="A conferir",N(N433),0)</f>
        <v>0</v>
      </c>
      <c r="U433" s="51">
        <f>IF(L433="",0,L433)</f>
        <v>0</v>
      </c>
      <c r="V433" s="51">
        <f>IF(L433="",0,MAX(1,N(E433)))</f>
        <v>0</v>
      </c>
      <c r="W433" s="51">
        <f>IF(K433="",0,K433)</f>
        <v>0</v>
      </c>
    </row>
    <row r="434">
      <c r="A434" s="49" t="n"/>
      <c r="B434" s="41" t="n"/>
      <c r="C434" s="41" t="n"/>
      <c r="D434" s="42" t="n"/>
      <c r="E434" s="42" t="n"/>
      <c r="F434" s="50" t="n"/>
      <c r="G434" s="42" t="n"/>
      <c r="H434" s="30">
        <f>IF(D434="","",IFERROR(INDEX(Config!$B$12:$B$15,MATCH(IF(AND(D434="Cartão de crédito",N(E434)&gt;1),"Cartão de crédito parcelado",D434),Config!$A$12:$A$15,0)),0)+IF(AND(Config!$B$17="Sim",LEFT(D434,17)="Cartão de crédito"),Config!$B$18*IFERROR(INDEX(Config!$C$12:$C$15,MATCH(IF(AND(D434="Cartão de crédito",N(E434)&gt;1),"Cartão de crédito parcelado",D434),Config!$A$12:$A$15,0)),0)/30*MAX(1,N(E434)),0))</f>
        <v/>
      </c>
      <c r="I434" s="29">
        <f>IF(OR(D434="",F434=""),"",ROUND(F434*H434,2))</f>
        <v/>
      </c>
      <c r="J434" s="29">
        <f>IF(I434="","",F434-I434)</f>
        <v/>
      </c>
      <c r="K434" s="29">
        <f>IF(J434="","",J434/MAX(1,N(E434)))</f>
        <v/>
      </c>
      <c r="L434" s="37">
        <f>IF(OR(D434="",A434=""),"",A434+IF(AND(Config!$B$17="Sim",LEFT(D434,17)="Cartão de crédito"),1,IFERROR(INDEX(Config!$C$12:$C$15,MATCH(IF(AND(D434="Cartão de crédito",N(E434)&gt;1),"Cartão de crédito parcelado",D434),Config!$A$12:$A$15,0)),0)))</f>
        <v/>
      </c>
      <c r="M434" s="37">
        <f>IF(L434="","",IF(AND(Config!$B$17="Sim",LEFT(D434,17)="Cartão de crédito"),L434,L434+30*(MAX(1,N(E434))-1)))</f>
        <v/>
      </c>
      <c r="N434" s="29">
        <f>IF(OR(L434="",K434=""),"",K434*MIN(MAX(1,N(E434)),MAX(0,INT((Config!$B$8-L434)/30)+1)))</f>
        <v/>
      </c>
      <c r="O434" s="29">
        <f>IF(J434="","",J434-N(N434))</f>
        <v/>
      </c>
      <c r="P434" s="27">
        <f>IF(A434="","",MONTH(A434))</f>
        <v/>
      </c>
      <c r="Q434" s="27">
        <f>IF(A434="","",YEAR(A434))</f>
        <v/>
      </c>
      <c r="R434" s="27">
        <f>IF(L434="","",IF(L434&gt;Config!$B$8,"A cair",IF(N(G434)&gt;=MIN(MAX(1,N(E434)),MAX(0,INT((Config!$B$8-L434)/30)+1)),IF(N(G434)&gt;=MAX(1,N(E434)),"Conferido","Conferido até aqui"),"A conferir")))</f>
        <v/>
      </c>
      <c r="S434" s="51">
        <f>IF(R434="A conferir",(Config!$B$8-L434)*1000+N(F434)/1000+ROW()/100000,0)</f>
        <v>0</v>
      </c>
      <c r="T434" s="51">
        <f>IF(R434="A conferir",N(N434),0)</f>
        <v>0</v>
      </c>
      <c r="U434" s="51">
        <f>IF(L434="",0,L434)</f>
        <v>0</v>
      </c>
      <c r="V434" s="51">
        <f>IF(L434="",0,MAX(1,N(E434)))</f>
        <v>0</v>
      </c>
      <c r="W434" s="51">
        <f>IF(K434="",0,K434)</f>
        <v>0</v>
      </c>
    </row>
    <row r="435">
      <c r="A435" s="49" t="n"/>
      <c r="B435" s="41" t="n"/>
      <c r="C435" s="41" t="n"/>
      <c r="D435" s="42" t="n"/>
      <c r="E435" s="42" t="n"/>
      <c r="F435" s="50" t="n"/>
      <c r="G435" s="42" t="n"/>
      <c r="H435" s="30">
        <f>IF(D435="","",IFERROR(INDEX(Config!$B$12:$B$15,MATCH(IF(AND(D435="Cartão de crédito",N(E435)&gt;1),"Cartão de crédito parcelado",D435),Config!$A$12:$A$15,0)),0)+IF(AND(Config!$B$17="Sim",LEFT(D435,17)="Cartão de crédito"),Config!$B$18*IFERROR(INDEX(Config!$C$12:$C$15,MATCH(IF(AND(D435="Cartão de crédito",N(E435)&gt;1),"Cartão de crédito parcelado",D435),Config!$A$12:$A$15,0)),0)/30*MAX(1,N(E435)),0))</f>
        <v/>
      </c>
      <c r="I435" s="29">
        <f>IF(OR(D435="",F435=""),"",ROUND(F435*H435,2))</f>
        <v/>
      </c>
      <c r="J435" s="29">
        <f>IF(I435="","",F435-I435)</f>
        <v/>
      </c>
      <c r="K435" s="29">
        <f>IF(J435="","",J435/MAX(1,N(E435)))</f>
        <v/>
      </c>
      <c r="L435" s="37">
        <f>IF(OR(D435="",A435=""),"",A435+IF(AND(Config!$B$17="Sim",LEFT(D435,17)="Cartão de crédito"),1,IFERROR(INDEX(Config!$C$12:$C$15,MATCH(IF(AND(D435="Cartão de crédito",N(E435)&gt;1),"Cartão de crédito parcelado",D435),Config!$A$12:$A$15,0)),0)))</f>
        <v/>
      </c>
      <c r="M435" s="37">
        <f>IF(L435="","",IF(AND(Config!$B$17="Sim",LEFT(D435,17)="Cartão de crédito"),L435,L435+30*(MAX(1,N(E435))-1)))</f>
        <v/>
      </c>
      <c r="N435" s="29">
        <f>IF(OR(L435="",K435=""),"",K435*MIN(MAX(1,N(E435)),MAX(0,INT((Config!$B$8-L435)/30)+1)))</f>
        <v/>
      </c>
      <c r="O435" s="29">
        <f>IF(J435="","",J435-N(N435))</f>
        <v/>
      </c>
      <c r="P435" s="27">
        <f>IF(A435="","",MONTH(A435))</f>
        <v/>
      </c>
      <c r="Q435" s="27">
        <f>IF(A435="","",YEAR(A435))</f>
        <v/>
      </c>
      <c r="R435" s="27">
        <f>IF(L435="","",IF(L435&gt;Config!$B$8,"A cair",IF(N(G435)&gt;=MIN(MAX(1,N(E435)),MAX(0,INT((Config!$B$8-L435)/30)+1)),IF(N(G435)&gt;=MAX(1,N(E435)),"Conferido","Conferido até aqui"),"A conferir")))</f>
        <v/>
      </c>
      <c r="S435" s="51">
        <f>IF(R435="A conferir",(Config!$B$8-L435)*1000+N(F435)/1000+ROW()/100000,0)</f>
        <v>0</v>
      </c>
      <c r="T435" s="51">
        <f>IF(R435="A conferir",N(N435),0)</f>
        <v>0</v>
      </c>
      <c r="U435" s="51">
        <f>IF(L435="",0,L435)</f>
        <v>0</v>
      </c>
      <c r="V435" s="51">
        <f>IF(L435="",0,MAX(1,N(E435)))</f>
        <v>0</v>
      </c>
      <c r="W435" s="51">
        <f>IF(K435="",0,K435)</f>
        <v>0</v>
      </c>
    </row>
    <row r="436">
      <c r="A436" s="49" t="n"/>
      <c r="B436" s="41" t="n"/>
      <c r="C436" s="41" t="n"/>
      <c r="D436" s="42" t="n"/>
      <c r="E436" s="42" t="n"/>
      <c r="F436" s="50" t="n"/>
      <c r="G436" s="42" t="n"/>
      <c r="H436" s="30">
        <f>IF(D436="","",IFERROR(INDEX(Config!$B$12:$B$15,MATCH(IF(AND(D436="Cartão de crédito",N(E436)&gt;1),"Cartão de crédito parcelado",D436),Config!$A$12:$A$15,0)),0)+IF(AND(Config!$B$17="Sim",LEFT(D436,17)="Cartão de crédito"),Config!$B$18*IFERROR(INDEX(Config!$C$12:$C$15,MATCH(IF(AND(D436="Cartão de crédito",N(E436)&gt;1),"Cartão de crédito parcelado",D436),Config!$A$12:$A$15,0)),0)/30*MAX(1,N(E436)),0))</f>
        <v/>
      </c>
      <c r="I436" s="29">
        <f>IF(OR(D436="",F436=""),"",ROUND(F436*H436,2))</f>
        <v/>
      </c>
      <c r="J436" s="29">
        <f>IF(I436="","",F436-I436)</f>
        <v/>
      </c>
      <c r="K436" s="29">
        <f>IF(J436="","",J436/MAX(1,N(E436)))</f>
        <v/>
      </c>
      <c r="L436" s="37">
        <f>IF(OR(D436="",A436=""),"",A436+IF(AND(Config!$B$17="Sim",LEFT(D436,17)="Cartão de crédito"),1,IFERROR(INDEX(Config!$C$12:$C$15,MATCH(IF(AND(D436="Cartão de crédito",N(E436)&gt;1),"Cartão de crédito parcelado",D436),Config!$A$12:$A$15,0)),0)))</f>
        <v/>
      </c>
      <c r="M436" s="37">
        <f>IF(L436="","",IF(AND(Config!$B$17="Sim",LEFT(D436,17)="Cartão de crédito"),L436,L436+30*(MAX(1,N(E436))-1)))</f>
        <v/>
      </c>
      <c r="N436" s="29">
        <f>IF(OR(L436="",K436=""),"",K436*MIN(MAX(1,N(E436)),MAX(0,INT((Config!$B$8-L436)/30)+1)))</f>
        <v/>
      </c>
      <c r="O436" s="29">
        <f>IF(J436="","",J436-N(N436))</f>
        <v/>
      </c>
      <c r="P436" s="27">
        <f>IF(A436="","",MONTH(A436))</f>
        <v/>
      </c>
      <c r="Q436" s="27">
        <f>IF(A436="","",YEAR(A436))</f>
        <v/>
      </c>
      <c r="R436" s="27">
        <f>IF(L436="","",IF(L436&gt;Config!$B$8,"A cair",IF(N(G436)&gt;=MIN(MAX(1,N(E436)),MAX(0,INT((Config!$B$8-L436)/30)+1)),IF(N(G436)&gt;=MAX(1,N(E436)),"Conferido","Conferido até aqui"),"A conferir")))</f>
        <v/>
      </c>
      <c r="S436" s="51">
        <f>IF(R436="A conferir",(Config!$B$8-L436)*1000+N(F436)/1000+ROW()/100000,0)</f>
        <v>0</v>
      </c>
      <c r="T436" s="51">
        <f>IF(R436="A conferir",N(N436),0)</f>
        <v>0</v>
      </c>
      <c r="U436" s="51">
        <f>IF(L436="",0,L436)</f>
        <v>0</v>
      </c>
      <c r="V436" s="51">
        <f>IF(L436="",0,MAX(1,N(E436)))</f>
        <v>0</v>
      </c>
      <c r="W436" s="51">
        <f>IF(K436="",0,K436)</f>
        <v>0</v>
      </c>
    </row>
    <row r="437">
      <c r="A437" s="49" t="n"/>
      <c r="B437" s="41" t="n"/>
      <c r="C437" s="41" t="n"/>
      <c r="D437" s="42" t="n"/>
      <c r="E437" s="42" t="n"/>
      <c r="F437" s="50" t="n"/>
      <c r="G437" s="42" t="n"/>
      <c r="H437" s="30">
        <f>IF(D437="","",IFERROR(INDEX(Config!$B$12:$B$15,MATCH(IF(AND(D437="Cartão de crédito",N(E437)&gt;1),"Cartão de crédito parcelado",D437),Config!$A$12:$A$15,0)),0)+IF(AND(Config!$B$17="Sim",LEFT(D437,17)="Cartão de crédito"),Config!$B$18*IFERROR(INDEX(Config!$C$12:$C$15,MATCH(IF(AND(D437="Cartão de crédito",N(E437)&gt;1),"Cartão de crédito parcelado",D437),Config!$A$12:$A$15,0)),0)/30*MAX(1,N(E437)),0))</f>
        <v/>
      </c>
      <c r="I437" s="29">
        <f>IF(OR(D437="",F437=""),"",ROUND(F437*H437,2))</f>
        <v/>
      </c>
      <c r="J437" s="29">
        <f>IF(I437="","",F437-I437)</f>
        <v/>
      </c>
      <c r="K437" s="29">
        <f>IF(J437="","",J437/MAX(1,N(E437)))</f>
        <v/>
      </c>
      <c r="L437" s="37">
        <f>IF(OR(D437="",A437=""),"",A437+IF(AND(Config!$B$17="Sim",LEFT(D437,17)="Cartão de crédito"),1,IFERROR(INDEX(Config!$C$12:$C$15,MATCH(IF(AND(D437="Cartão de crédito",N(E437)&gt;1),"Cartão de crédito parcelado",D437),Config!$A$12:$A$15,0)),0)))</f>
        <v/>
      </c>
      <c r="M437" s="37">
        <f>IF(L437="","",IF(AND(Config!$B$17="Sim",LEFT(D437,17)="Cartão de crédito"),L437,L437+30*(MAX(1,N(E437))-1)))</f>
        <v/>
      </c>
      <c r="N437" s="29">
        <f>IF(OR(L437="",K437=""),"",K437*MIN(MAX(1,N(E437)),MAX(0,INT((Config!$B$8-L437)/30)+1)))</f>
        <v/>
      </c>
      <c r="O437" s="29">
        <f>IF(J437="","",J437-N(N437))</f>
        <v/>
      </c>
      <c r="P437" s="27">
        <f>IF(A437="","",MONTH(A437))</f>
        <v/>
      </c>
      <c r="Q437" s="27">
        <f>IF(A437="","",YEAR(A437))</f>
        <v/>
      </c>
      <c r="R437" s="27">
        <f>IF(L437="","",IF(L437&gt;Config!$B$8,"A cair",IF(N(G437)&gt;=MIN(MAX(1,N(E437)),MAX(0,INT((Config!$B$8-L437)/30)+1)),IF(N(G437)&gt;=MAX(1,N(E437)),"Conferido","Conferido até aqui"),"A conferir")))</f>
        <v/>
      </c>
      <c r="S437" s="51">
        <f>IF(R437="A conferir",(Config!$B$8-L437)*1000+N(F437)/1000+ROW()/100000,0)</f>
        <v>0</v>
      </c>
      <c r="T437" s="51">
        <f>IF(R437="A conferir",N(N437),0)</f>
        <v>0</v>
      </c>
      <c r="U437" s="51">
        <f>IF(L437="",0,L437)</f>
        <v>0</v>
      </c>
      <c r="V437" s="51">
        <f>IF(L437="",0,MAX(1,N(E437)))</f>
        <v>0</v>
      </c>
      <c r="W437" s="51">
        <f>IF(K437="",0,K437)</f>
        <v>0</v>
      </c>
    </row>
    <row r="438">
      <c r="A438" s="49" t="n"/>
      <c r="B438" s="41" t="n"/>
      <c r="C438" s="41" t="n"/>
      <c r="D438" s="42" t="n"/>
      <c r="E438" s="42" t="n"/>
      <c r="F438" s="50" t="n"/>
      <c r="G438" s="42" t="n"/>
      <c r="H438" s="30">
        <f>IF(D438="","",IFERROR(INDEX(Config!$B$12:$B$15,MATCH(IF(AND(D438="Cartão de crédito",N(E438)&gt;1),"Cartão de crédito parcelado",D438),Config!$A$12:$A$15,0)),0)+IF(AND(Config!$B$17="Sim",LEFT(D438,17)="Cartão de crédito"),Config!$B$18*IFERROR(INDEX(Config!$C$12:$C$15,MATCH(IF(AND(D438="Cartão de crédito",N(E438)&gt;1),"Cartão de crédito parcelado",D438),Config!$A$12:$A$15,0)),0)/30*MAX(1,N(E438)),0))</f>
        <v/>
      </c>
      <c r="I438" s="29">
        <f>IF(OR(D438="",F438=""),"",ROUND(F438*H438,2))</f>
        <v/>
      </c>
      <c r="J438" s="29">
        <f>IF(I438="","",F438-I438)</f>
        <v/>
      </c>
      <c r="K438" s="29">
        <f>IF(J438="","",J438/MAX(1,N(E438)))</f>
        <v/>
      </c>
      <c r="L438" s="37">
        <f>IF(OR(D438="",A438=""),"",A438+IF(AND(Config!$B$17="Sim",LEFT(D438,17)="Cartão de crédito"),1,IFERROR(INDEX(Config!$C$12:$C$15,MATCH(IF(AND(D438="Cartão de crédito",N(E438)&gt;1),"Cartão de crédito parcelado",D438),Config!$A$12:$A$15,0)),0)))</f>
        <v/>
      </c>
      <c r="M438" s="37">
        <f>IF(L438="","",IF(AND(Config!$B$17="Sim",LEFT(D438,17)="Cartão de crédito"),L438,L438+30*(MAX(1,N(E438))-1)))</f>
        <v/>
      </c>
      <c r="N438" s="29">
        <f>IF(OR(L438="",K438=""),"",K438*MIN(MAX(1,N(E438)),MAX(0,INT((Config!$B$8-L438)/30)+1)))</f>
        <v/>
      </c>
      <c r="O438" s="29">
        <f>IF(J438="","",J438-N(N438))</f>
        <v/>
      </c>
      <c r="P438" s="27">
        <f>IF(A438="","",MONTH(A438))</f>
        <v/>
      </c>
      <c r="Q438" s="27">
        <f>IF(A438="","",YEAR(A438))</f>
        <v/>
      </c>
      <c r="R438" s="27">
        <f>IF(L438="","",IF(L438&gt;Config!$B$8,"A cair",IF(N(G438)&gt;=MIN(MAX(1,N(E438)),MAX(0,INT((Config!$B$8-L438)/30)+1)),IF(N(G438)&gt;=MAX(1,N(E438)),"Conferido","Conferido até aqui"),"A conferir")))</f>
        <v/>
      </c>
      <c r="S438" s="51">
        <f>IF(R438="A conferir",(Config!$B$8-L438)*1000+N(F438)/1000+ROW()/100000,0)</f>
        <v>0</v>
      </c>
      <c r="T438" s="51">
        <f>IF(R438="A conferir",N(N438),0)</f>
        <v>0</v>
      </c>
      <c r="U438" s="51">
        <f>IF(L438="",0,L438)</f>
        <v>0</v>
      </c>
      <c r="V438" s="51">
        <f>IF(L438="",0,MAX(1,N(E438)))</f>
        <v>0</v>
      </c>
      <c r="W438" s="51">
        <f>IF(K438="",0,K438)</f>
        <v>0</v>
      </c>
    </row>
    <row r="439">
      <c r="A439" s="49" t="n"/>
      <c r="B439" s="41" t="n"/>
      <c r="C439" s="41" t="n"/>
      <c r="D439" s="42" t="n"/>
      <c r="E439" s="42" t="n"/>
      <c r="F439" s="50" t="n"/>
      <c r="G439" s="42" t="n"/>
      <c r="H439" s="30">
        <f>IF(D439="","",IFERROR(INDEX(Config!$B$12:$B$15,MATCH(IF(AND(D439="Cartão de crédito",N(E439)&gt;1),"Cartão de crédito parcelado",D439),Config!$A$12:$A$15,0)),0)+IF(AND(Config!$B$17="Sim",LEFT(D439,17)="Cartão de crédito"),Config!$B$18*IFERROR(INDEX(Config!$C$12:$C$15,MATCH(IF(AND(D439="Cartão de crédito",N(E439)&gt;1),"Cartão de crédito parcelado",D439),Config!$A$12:$A$15,0)),0)/30*MAX(1,N(E439)),0))</f>
        <v/>
      </c>
      <c r="I439" s="29">
        <f>IF(OR(D439="",F439=""),"",ROUND(F439*H439,2))</f>
        <v/>
      </c>
      <c r="J439" s="29">
        <f>IF(I439="","",F439-I439)</f>
        <v/>
      </c>
      <c r="K439" s="29">
        <f>IF(J439="","",J439/MAX(1,N(E439)))</f>
        <v/>
      </c>
      <c r="L439" s="37">
        <f>IF(OR(D439="",A439=""),"",A439+IF(AND(Config!$B$17="Sim",LEFT(D439,17)="Cartão de crédito"),1,IFERROR(INDEX(Config!$C$12:$C$15,MATCH(IF(AND(D439="Cartão de crédito",N(E439)&gt;1),"Cartão de crédito parcelado",D439),Config!$A$12:$A$15,0)),0)))</f>
        <v/>
      </c>
      <c r="M439" s="37">
        <f>IF(L439="","",IF(AND(Config!$B$17="Sim",LEFT(D439,17)="Cartão de crédito"),L439,L439+30*(MAX(1,N(E439))-1)))</f>
        <v/>
      </c>
      <c r="N439" s="29">
        <f>IF(OR(L439="",K439=""),"",K439*MIN(MAX(1,N(E439)),MAX(0,INT((Config!$B$8-L439)/30)+1)))</f>
        <v/>
      </c>
      <c r="O439" s="29">
        <f>IF(J439="","",J439-N(N439))</f>
        <v/>
      </c>
      <c r="P439" s="27">
        <f>IF(A439="","",MONTH(A439))</f>
        <v/>
      </c>
      <c r="Q439" s="27">
        <f>IF(A439="","",YEAR(A439))</f>
        <v/>
      </c>
      <c r="R439" s="27">
        <f>IF(L439="","",IF(L439&gt;Config!$B$8,"A cair",IF(N(G439)&gt;=MIN(MAX(1,N(E439)),MAX(0,INT((Config!$B$8-L439)/30)+1)),IF(N(G439)&gt;=MAX(1,N(E439)),"Conferido","Conferido até aqui"),"A conferir")))</f>
        <v/>
      </c>
      <c r="S439" s="51">
        <f>IF(R439="A conferir",(Config!$B$8-L439)*1000+N(F439)/1000+ROW()/100000,0)</f>
        <v>0</v>
      </c>
      <c r="T439" s="51">
        <f>IF(R439="A conferir",N(N439),0)</f>
        <v>0</v>
      </c>
      <c r="U439" s="51">
        <f>IF(L439="",0,L439)</f>
        <v>0</v>
      </c>
      <c r="V439" s="51">
        <f>IF(L439="",0,MAX(1,N(E439)))</f>
        <v>0</v>
      </c>
      <c r="W439" s="51">
        <f>IF(K439="",0,K439)</f>
        <v>0</v>
      </c>
    </row>
    <row r="440">
      <c r="A440" s="49" t="n"/>
      <c r="B440" s="41" t="n"/>
      <c r="C440" s="41" t="n"/>
      <c r="D440" s="42" t="n"/>
      <c r="E440" s="42" t="n"/>
      <c r="F440" s="50" t="n"/>
      <c r="G440" s="42" t="n"/>
      <c r="H440" s="30">
        <f>IF(D440="","",IFERROR(INDEX(Config!$B$12:$B$15,MATCH(IF(AND(D440="Cartão de crédito",N(E440)&gt;1),"Cartão de crédito parcelado",D440),Config!$A$12:$A$15,0)),0)+IF(AND(Config!$B$17="Sim",LEFT(D440,17)="Cartão de crédito"),Config!$B$18*IFERROR(INDEX(Config!$C$12:$C$15,MATCH(IF(AND(D440="Cartão de crédito",N(E440)&gt;1),"Cartão de crédito parcelado",D440),Config!$A$12:$A$15,0)),0)/30*MAX(1,N(E440)),0))</f>
        <v/>
      </c>
      <c r="I440" s="29">
        <f>IF(OR(D440="",F440=""),"",ROUND(F440*H440,2))</f>
        <v/>
      </c>
      <c r="J440" s="29">
        <f>IF(I440="","",F440-I440)</f>
        <v/>
      </c>
      <c r="K440" s="29">
        <f>IF(J440="","",J440/MAX(1,N(E440)))</f>
        <v/>
      </c>
      <c r="L440" s="37">
        <f>IF(OR(D440="",A440=""),"",A440+IF(AND(Config!$B$17="Sim",LEFT(D440,17)="Cartão de crédito"),1,IFERROR(INDEX(Config!$C$12:$C$15,MATCH(IF(AND(D440="Cartão de crédito",N(E440)&gt;1),"Cartão de crédito parcelado",D440),Config!$A$12:$A$15,0)),0)))</f>
        <v/>
      </c>
      <c r="M440" s="37">
        <f>IF(L440="","",IF(AND(Config!$B$17="Sim",LEFT(D440,17)="Cartão de crédito"),L440,L440+30*(MAX(1,N(E440))-1)))</f>
        <v/>
      </c>
      <c r="N440" s="29">
        <f>IF(OR(L440="",K440=""),"",K440*MIN(MAX(1,N(E440)),MAX(0,INT((Config!$B$8-L440)/30)+1)))</f>
        <v/>
      </c>
      <c r="O440" s="29">
        <f>IF(J440="","",J440-N(N440))</f>
        <v/>
      </c>
      <c r="P440" s="27">
        <f>IF(A440="","",MONTH(A440))</f>
        <v/>
      </c>
      <c r="Q440" s="27">
        <f>IF(A440="","",YEAR(A440))</f>
        <v/>
      </c>
      <c r="R440" s="27">
        <f>IF(L440="","",IF(L440&gt;Config!$B$8,"A cair",IF(N(G440)&gt;=MIN(MAX(1,N(E440)),MAX(0,INT((Config!$B$8-L440)/30)+1)),IF(N(G440)&gt;=MAX(1,N(E440)),"Conferido","Conferido até aqui"),"A conferir")))</f>
        <v/>
      </c>
      <c r="S440" s="51">
        <f>IF(R440="A conferir",(Config!$B$8-L440)*1000+N(F440)/1000+ROW()/100000,0)</f>
        <v>0</v>
      </c>
      <c r="T440" s="51">
        <f>IF(R440="A conferir",N(N440),0)</f>
        <v>0</v>
      </c>
      <c r="U440" s="51">
        <f>IF(L440="",0,L440)</f>
        <v>0</v>
      </c>
      <c r="V440" s="51">
        <f>IF(L440="",0,MAX(1,N(E440)))</f>
        <v>0</v>
      </c>
      <c r="W440" s="51">
        <f>IF(K440="",0,K440)</f>
        <v>0</v>
      </c>
    </row>
    <row r="441">
      <c r="A441" s="49" t="n"/>
      <c r="B441" s="41" t="n"/>
      <c r="C441" s="41" t="n"/>
      <c r="D441" s="42" t="n"/>
      <c r="E441" s="42" t="n"/>
      <c r="F441" s="50" t="n"/>
      <c r="G441" s="42" t="n"/>
      <c r="H441" s="30">
        <f>IF(D441="","",IFERROR(INDEX(Config!$B$12:$B$15,MATCH(IF(AND(D441="Cartão de crédito",N(E441)&gt;1),"Cartão de crédito parcelado",D441),Config!$A$12:$A$15,0)),0)+IF(AND(Config!$B$17="Sim",LEFT(D441,17)="Cartão de crédito"),Config!$B$18*IFERROR(INDEX(Config!$C$12:$C$15,MATCH(IF(AND(D441="Cartão de crédito",N(E441)&gt;1),"Cartão de crédito parcelado",D441),Config!$A$12:$A$15,0)),0)/30*MAX(1,N(E441)),0))</f>
        <v/>
      </c>
      <c r="I441" s="29">
        <f>IF(OR(D441="",F441=""),"",ROUND(F441*H441,2))</f>
        <v/>
      </c>
      <c r="J441" s="29">
        <f>IF(I441="","",F441-I441)</f>
        <v/>
      </c>
      <c r="K441" s="29">
        <f>IF(J441="","",J441/MAX(1,N(E441)))</f>
        <v/>
      </c>
      <c r="L441" s="37">
        <f>IF(OR(D441="",A441=""),"",A441+IF(AND(Config!$B$17="Sim",LEFT(D441,17)="Cartão de crédito"),1,IFERROR(INDEX(Config!$C$12:$C$15,MATCH(IF(AND(D441="Cartão de crédito",N(E441)&gt;1),"Cartão de crédito parcelado",D441),Config!$A$12:$A$15,0)),0)))</f>
        <v/>
      </c>
      <c r="M441" s="37">
        <f>IF(L441="","",IF(AND(Config!$B$17="Sim",LEFT(D441,17)="Cartão de crédito"),L441,L441+30*(MAX(1,N(E441))-1)))</f>
        <v/>
      </c>
      <c r="N441" s="29">
        <f>IF(OR(L441="",K441=""),"",K441*MIN(MAX(1,N(E441)),MAX(0,INT((Config!$B$8-L441)/30)+1)))</f>
        <v/>
      </c>
      <c r="O441" s="29">
        <f>IF(J441="","",J441-N(N441))</f>
        <v/>
      </c>
      <c r="P441" s="27">
        <f>IF(A441="","",MONTH(A441))</f>
        <v/>
      </c>
      <c r="Q441" s="27">
        <f>IF(A441="","",YEAR(A441))</f>
        <v/>
      </c>
      <c r="R441" s="27">
        <f>IF(L441="","",IF(L441&gt;Config!$B$8,"A cair",IF(N(G441)&gt;=MIN(MAX(1,N(E441)),MAX(0,INT((Config!$B$8-L441)/30)+1)),IF(N(G441)&gt;=MAX(1,N(E441)),"Conferido","Conferido até aqui"),"A conferir")))</f>
        <v/>
      </c>
      <c r="S441" s="51">
        <f>IF(R441="A conferir",(Config!$B$8-L441)*1000+N(F441)/1000+ROW()/100000,0)</f>
        <v>0</v>
      </c>
      <c r="T441" s="51">
        <f>IF(R441="A conferir",N(N441),0)</f>
        <v>0</v>
      </c>
      <c r="U441" s="51">
        <f>IF(L441="",0,L441)</f>
        <v>0</v>
      </c>
      <c r="V441" s="51">
        <f>IF(L441="",0,MAX(1,N(E441)))</f>
        <v>0</v>
      </c>
      <c r="W441" s="51">
        <f>IF(K441="",0,K441)</f>
        <v>0</v>
      </c>
    </row>
    <row r="442">
      <c r="A442" s="49" t="n"/>
      <c r="B442" s="41" t="n"/>
      <c r="C442" s="41" t="n"/>
      <c r="D442" s="42" t="n"/>
      <c r="E442" s="42" t="n"/>
      <c r="F442" s="50" t="n"/>
      <c r="G442" s="42" t="n"/>
      <c r="H442" s="30">
        <f>IF(D442="","",IFERROR(INDEX(Config!$B$12:$B$15,MATCH(IF(AND(D442="Cartão de crédito",N(E442)&gt;1),"Cartão de crédito parcelado",D442),Config!$A$12:$A$15,0)),0)+IF(AND(Config!$B$17="Sim",LEFT(D442,17)="Cartão de crédito"),Config!$B$18*IFERROR(INDEX(Config!$C$12:$C$15,MATCH(IF(AND(D442="Cartão de crédito",N(E442)&gt;1),"Cartão de crédito parcelado",D442),Config!$A$12:$A$15,0)),0)/30*MAX(1,N(E442)),0))</f>
        <v/>
      </c>
      <c r="I442" s="29">
        <f>IF(OR(D442="",F442=""),"",ROUND(F442*H442,2))</f>
        <v/>
      </c>
      <c r="J442" s="29">
        <f>IF(I442="","",F442-I442)</f>
        <v/>
      </c>
      <c r="K442" s="29">
        <f>IF(J442="","",J442/MAX(1,N(E442)))</f>
        <v/>
      </c>
      <c r="L442" s="37">
        <f>IF(OR(D442="",A442=""),"",A442+IF(AND(Config!$B$17="Sim",LEFT(D442,17)="Cartão de crédito"),1,IFERROR(INDEX(Config!$C$12:$C$15,MATCH(IF(AND(D442="Cartão de crédito",N(E442)&gt;1),"Cartão de crédito parcelado",D442),Config!$A$12:$A$15,0)),0)))</f>
        <v/>
      </c>
      <c r="M442" s="37">
        <f>IF(L442="","",IF(AND(Config!$B$17="Sim",LEFT(D442,17)="Cartão de crédito"),L442,L442+30*(MAX(1,N(E442))-1)))</f>
        <v/>
      </c>
      <c r="N442" s="29">
        <f>IF(OR(L442="",K442=""),"",K442*MIN(MAX(1,N(E442)),MAX(0,INT((Config!$B$8-L442)/30)+1)))</f>
        <v/>
      </c>
      <c r="O442" s="29">
        <f>IF(J442="","",J442-N(N442))</f>
        <v/>
      </c>
      <c r="P442" s="27">
        <f>IF(A442="","",MONTH(A442))</f>
        <v/>
      </c>
      <c r="Q442" s="27">
        <f>IF(A442="","",YEAR(A442))</f>
        <v/>
      </c>
      <c r="R442" s="27">
        <f>IF(L442="","",IF(L442&gt;Config!$B$8,"A cair",IF(N(G442)&gt;=MIN(MAX(1,N(E442)),MAX(0,INT((Config!$B$8-L442)/30)+1)),IF(N(G442)&gt;=MAX(1,N(E442)),"Conferido","Conferido até aqui"),"A conferir")))</f>
        <v/>
      </c>
      <c r="S442" s="51">
        <f>IF(R442="A conferir",(Config!$B$8-L442)*1000+N(F442)/1000+ROW()/100000,0)</f>
        <v>0</v>
      </c>
      <c r="T442" s="51">
        <f>IF(R442="A conferir",N(N442),0)</f>
        <v>0</v>
      </c>
      <c r="U442" s="51">
        <f>IF(L442="",0,L442)</f>
        <v>0</v>
      </c>
      <c r="V442" s="51">
        <f>IF(L442="",0,MAX(1,N(E442)))</f>
        <v>0</v>
      </c>
      <c r="W442" s="51">
        <f>IF(K442="",0,K442)</f>
        <v>0</v>
      </c>
    </row>
    <row r="443">
      <c r="A443" s="49" t="n"/>
      <c r="B443" s="41" t="n"/>
      <c r="C443" s="41" t="n"/>
      <c r="D443" s="42" t="n"/>
      <c r="E443" s="42" t="n"/>
      <c r="F443" s="50" t="n"/>
      <c r="G443" s="42" t="n"/>
      <c r="H443" s="30">
        <f>IF(D443="","",IFERROR(INDEX(Config!$B$12:$B$15,MATCH(IF(AND(D443="Cartão de crédito",N(E443)&gt;1),"Cartão de crédito parcelado",D443),Config!$A$12:$A$15,0)),0)+IF(AND(Config!$B$17="Sim",LEFT(D443,17)="Cartão de crédito"),Config!$B$18*IFERROR(INDEX(Config!$C$12:$C$15,MATCH(IF(AND(D443="Cartão de crédito",N(E443)&gt;1),"Cartão de crédito parcelado",D443),Config!$A$12:$A$15,0)),0)/30*MAX(1,N(E443)),0))</f>
        <v/>
      </c>
      <c r="I443" s="29">
        <f>IF(OR(D443="",F443=""),"",ROUND(F443*H443,2))</f>
        <v/>
      </c>
      <c r="J443" s="29">
        <f>IF(I443="","",F443-I443)</f>
        <v/>
      </c>
      <c r="K443" s="29">
        <f>IF(J443="","",J443/MAX(1,N(E443)))</f>
        <v/>
      </c>
      <c r="L443" s="37">
        <f>IF(OR(D443="",A443=""),"",A443+IF(AND(Config!$B$17="Sim",LEFT(D443,17)="Cartão de crédito"),1,IFERROR(INDEX(Config!$C$12:$C$15,MATCH(IF(AND(D443="Cartão de crédito",N(E443)&gt;1),"Cartão de crédito parcelado",D443),Config!$A$12:$A$15,0)),0)))</f>
        <v/>
      </c>
      <c r="M443" s="37">
        <f>IF(L443="","",IF(AND(Config!$B$17="Sim",LEFT(D443,17)="Cartão de crédito"),L443,L443+30*(MAX(1,N(E443))-1)))</f>
        <v/>
      </c>
      <c r="N443" s="29">
        <f>IF(OR(L443="",K443=""),"",K443*MIN(MAX(1,N(E443)),MAX(0,INT((Config!$B$8-L443)/30)+1)))</f>
        <v/>
      </c>
      <c r="O443" s="29">
        <f>IF(J443="","",J443-N(N443))</f>
        <v/>
      </c>
      <c r="P443" s="27">
        <f>IF(A443="","",MONTH(A443))</f>
        <v/>
      </c>
      <c r="Q443" s="27">
        <f>IF(A443="","",YEAR(A443))</f>
        <v/>
      </c>
      <c r="R443" s="27">
        <f>IF(L443="","",IF(L443&gt;Config!$B$8,"A cair",IF(N(G443)&gt;=MIN(MAX(1,N(E443)),MAX(0,INT((Config!$B$8-L443)/30)+1)),IF(N(G443)&gt;=MAX(1,N(E443)),"Conferido","Conferido até aqui"),"A conferir")))</f>
        <v/>
      </c>
      <c r="S443" s="51">
        <f>IF(R443="A conferir",(Config!$B$8-L443)*1000+N(F443)/1000+ROW()/100000,0)</f>
        <v>0</v>
      </c>
      <c r="T443" s="51">
        <f>IF(R443="A conferir",N(N443),0)</f>
        <v>0</v>
      </c>
      <c r="U443" s="51">
        <f>IF(L443="",0,L443)</f>
        <v>0</v>
      </c>
      <c r="V443" s="51">
        <f>IF(L443="",0,MAX(1,N(E443)))</f>
        <v>0</v>
      </c>
      <c r="W443" s="51">
        <f>IF(K443="",0,K443)</f>
        <v>0</v>
      </c>
    </row>
    <row r="444">
      <c r="A444" s="49" t="n"/>
      <c r="B444" s="41" t="n"/>
      <c r="C444" s="41" t="n"/>
      <c r="D444" s="42" t="n"/>
      <c r="E444" s="42" t="n"/>
      <c r="F444" s="50" t="n"/>
      <c r="G444" s="42" t="n"/>
      <c r="H444" s="30">
        <f>IF(D444="","",IFERROR(INDEX(Config!$B$12:$B$15,MATCH(IF(AND(D444="Cartão de crédito",N(E444)&gt;1),"Cartão de crédito parcelado",D444),Config!$A$12:$A$15,0)),0)+IF(AND(Config!$B$17="Sim",LEFT(D444,17)="Cartão de crédito"),Config!$B$18*IFERROR(INDEX(Config!$C$12:$C$15,MATCH(IF(AND(D444="Cartão de crédito",N(E444)&gt;1),"Cartão de crédito parcelado",D444),Config!$A$12:$A$15,0)),0)/30*MAX(1,N(E444)),0))</f>
        <v/>
      </c>
      <c r="I444" s="29">
        <f>IF(OR(D444="",F444=""),"",ROUND(F444*H444,2))</f>
        <v/>
      </c>
      <c r="J444" s="29">
        <f>IF(I444="","",F444-I444)</f>
        <v/>
      </c>
      <c r="K444" s="29">
        <f>IF(J444="","",J444/MAX(1,N(E444)))</f>
        <v/>
      </c>
      <c r="L444" s="37">
        <f>IF(OR(D444="",A444=""),"",A444+IF(AND(Config!$B$17="Sim",LEFT(D444,17)="Cartão de crédito"),1,IFERROR(INDEX(Config!$C$12:$C$15,MATCH(IF(AND(D444="Cartão de crédito",N(E444)&gt;1),"Cartão de crédito parcelado",D444),Config!$A$12:$A$15,0)),0)))</f>
        <v/>
      </c>
      <c r="M444" s="37">
        <f>IF(L444="","",IF(AND(Config!$B$17="Sim",LEFT(D444,17)="Cartão de crédito"),L444,L444+30*(MAX(1,N(E444))-1)))</f>
        <v/>
      </c>
      <c r="N444" s="29">
        <f>IF(OR(L444="",K444=""),"",K444*MIN(MAX(1,N(E444)),MAX(0,INT((Config!$B$8-L444)/30)+1)))</f>
        <v/>
      </c>
      <c r="O444" s="29">
        <f>IF(J444="","",J444-N(N444))</f>
        <v/>
      </c>
      <c r="P444" s="27">
        <f>IF(A444="","",MONTH(A444))</f>
        <v/>
      </c>
      <c r="Q444" s="27">
        <f>IF(A444="","",YEAR(A444))</f>
        <v/>
      </c>
      <c r="R444" s="27">
        <f>IF(L444="","",IF(L444&gt;Config!$B$8,"A cair",IF(N(G444)&gt;=MIN(MAX(1,N(E444)),MAX(0,INT((Config!$B$8-L444)/30)+1)),IF(N(G444)&gt;=MAX(1,N(E444)),"Conferido","Conferido até aqui"),"A conferir")))</f>
        <v/>
      </c>
      <c r="S444" s="51">
        <f>IF(R444="A conferir",(Config!$B$8-L444)*1000+N(F444)/1000+ROW()/100000,0)</f>
        <v>0</v>
      </c>
      <c r="T444" s="51">
        <f>IF(R444="A conferir",N(N444),0)</f>
        <v>0</v>
      </c>
      <c r="U444" s="51">
        <f>IF(L444="",0,L444)</f>
        <v>0</v>
      </c>
      <c r="V444" s="51">
        <f>IF(L444="",0,MAX(1,N(E444)))</f>
        <v>0</v>
      </c>
      <c r="W444" s="51">
        <f>IF(K444="",0,K444)</f>
        <v>0</v>
      </c>
    </row>
    <row r="445">
      <c r="A445" s="49" t="n"/>
      <c r="B445" s="41" t="n"/>
      <c r="C445" s="41" t="n"/>
      <c r="D445" s="42" t="n"/>
      <c r="E445" s="42" t="n"/>
      <c r="F445" s="50" t="n"/>
      <c r="G445" s="42" t="n"/>
      <c r="H445" s="30">
        <f>IF(D445="","",IFERROR(INDEX(Config!$B$12:$B$15,MATCH(IF(AND(D445="Cartão de crédito",N(E445)&gt;1),"Cartão de crédito parcelado",D445),Config!$A$12:$A$15,0)),0)+IF(AND(Config!$B$17="Sim",LEFT(D445,17)="Cartão de crédito"),Config!$B$18*IFERROR(INDEX(Config!$C$12:$C$15,MATCH(IF(AND(D445="Cartão de crédito",N(E445)&gt;1),"Cartão de crédito parcelado",D445),Config!$A$12:$A$15,0)),0)/30*MAX(1,N(E445)),0))</f>
        <v/>
      </c>
      <c r="I445" s="29">
        <f>IF(OR(D445="",F445=""),"",ROUND(F445*H445,2))</f>
        <v/>
      </c>
      <c r="J445" s="29">
        <f>IF(I445="","",F445-I445)</f>
        <v/>
      </c>
      <c r="K445" s="29">
        <f>IF(J445="","",J445/MAX(1,N(E445)))</f>
        <v/>
      </c>
      <c r="L445" s="37">
        <f>IF(OR(D445="",A445=""),"",A445+IF(AND(Config!$B$17="Sim",LEFT(D445,17)="Cartão de crédito"),1,IFERROR(INDEX(Config!$C$12:$C$15,MATCH(IF(AND(D445="Cartão de crédito",N(E445)&gt;1),"Cartão de crédito parcelado",D445),Config!$A$12:$A$15,0)),0)))</f>
        <v/>
      </c>
      <c r="M445" s="37">
        <f>IF(L445="","",IF(AND(Config!$B$17="Sim",LEFT(D445,17)="Cartão de crédito"),L445,L445+30*(MAX(1,N(E445))-1)))</f>
        <v/>
      </c>
      <c r="N445" s="29">
        <f>IF(OR(L445="",K445=""),"",K445*MIN(MAX(1,N(E445)),MAX(0,INT((Config!$B$8-L445)/30)+1)))</f>
        <v/>
      </c>
      <c r="O445" s="29">
        <f>IF(J445="","",J445-N(N445))</f>
        <v/>
      </c>
      <c r="P445" s="27">
        <f>IF(A445="","",MONTH(A445))</f>
        <v/>
      </c>
      <c r="Q445" s="27">
        <f>IF(A445="","",YEAR(A445))</f>
        <v/>
      </c>
      <c r="R445" s="27">
        <f>IF(L445="","",IF(L445&gt;Config!$B$8,"A cair",IF(N(G445)&gt;=MIN(MAX(1,N(E445)),MAX(0,INT((Config!$B$8-L445)/30)+1)),IF(N(G445)&gt;=MAX(1,N(E445)),"Conferido","Conferido até aqui"),"A conferir")))</f>
        <v/>
      </c>
      <c r="S445" s="51">
        <f>IF(R445="A conferir",(Config!$B$8-L445)*1000+N(F445)/1000+ROW()/100000,0)</f>
        <v>0</v>
      </c>
      <c r="T445" s="51">
        <f>IF(R445="A conferir",N(N445),0)</f>
        <v>0</v>
      </c>
      <c r="U445" s="51">
        <f>IF(L445="",0,L445)</f>
        <v>0</v>
      </c>
      <c r="V445" s="51">
        <f>IF(L445="",0,MAX(1,N(E445)))</f>
        <v>0</v>
      </c>
      <c r="W445" s="51">
        <f>IF(K445="",0,K445)</f>
        <v>0</v>
      </c>
    </row>
    <row r="446">
      <c r="A446" s="49" t="n"/>
      <c r="B446" s="41" t="n"/>
      <c r="C446" s="41" t="n"/>
      <c r="D446" s="42" t="n"/>
      <c r="E446" s="42" t="n"/>
      <c r="F446" s="50" t="n"/>
      <c r="G446" s="42" t="n"/>
      <c r="H446" s="30">
        <f>IF(D446="","",IFERROR(INDEX(Config!$B$12:$B$15,MATCH(IF(AND(D446="Cartão de crédito",N(E446)&gt;1),"Cartão de crédito parcelado",D446),Config!$A$12:$A$15,0)),0)+IF(AND(Config!$B$17="Sim",LEFT(D446,17)="Cartão de crédito"),Config!$B$18*IFERROR(INDEX(Config!$C$12:$C$15,MATCH(IF(AND(D446="Cartão de crédito",N(E446)&gt;1),"Cartão de crédito parcelado",D446),Config!$A$12:$A$15,0)),0)/30*MAX(1,N(E446)),0))</f>
        <v/>
      </c>
      <c r="I446" s="29">
        <f>IF(OR(D446="",F446=""),"",ROUND(F446*H446,2))</f>
        <v/>
      </c>
      <c r="J446" s="29">
        <f>IF(I446="","",F446-I446)</f>
        <v/>
      </c>
      <c r="K446" s="29">
        <f>IF(J446="","",J446/MAX(1,N(E446)))</f>
        <v/>
      </c>
      <c r="L446" s="37">
        <f>IF(OR(D446="",A446=""),"",A446+IF(AND(Config!$B$17="Sim",LEFT(D446,17)="Cartão de crédito"),1,IFERROR(INDEX(Config!$C$12:$C$15,MATCH(IF(AND(D446="Cartão de crédito",N(E446)&gt;1),"Cartão de crédito parcelado",D446),Config!$A$12:$A$15,0)),0)))</f>
        <v/>
      </c>
      <c r="M446" s="37">
        <f>IF(L446="","",IF(AND(Config!$B$17="Sim",LEFT(D446,17)="Cartão de crédito"),L446,L446+30*(MAX(1,N(E446))-1)))</f>
        <v/>
      </c>
      <c r="N446" s="29">
        <f>IF(OR(L446="",K446=""),"",K446*MIN(MAX(1,N(E446)),MAX(0,INT((Config!$B$8-L446)/30)+1)))</f>
        <v/>
      </c>
      <c r="O446" s="29">
        <f>IF(J446="","",J446-N(N446))</f>
        <v/>
      </c>
      <c r="P446" s="27">
        <f>IF(A446="","",MONTH(A446))</f>
        <v/>
      </c>
      <c r="Q446" s="27">
        <f>IF(A446="","",YEAR(A446))</f>
        <v/>
      </c>
      <c r="R446" s="27">
        <f>IF(L446="","",IF(L446&gt;Config!$B$8,"A cair",IF(N(G446)&gt;=MIN(MAX(1,N(E446)),MAX(0,INT((Config!$B$8-L446)/30)+1)),IF(N(G446)&gt;=MAX(1,N(E446)),"Conferido","Conferido até aqui"),"A conferir")))</f>
        <v/>
      </c>
      <c r="S446" s="51">
        <f>IF(R446="A conferir",(Config!$B$8-L446)*1000+N(F446)/1000+ROW()/100000,0)</f>
        <v>0</v>
      </c>
      <c r="T446" s="51">
        <f>IF(R446="A conferir",N(N446),0)</f>
        <v>0</v>
      </c>
      <c r="U446" s="51">
        <f>IF(L446="",0,L446)</f>
        <v>0</v>
      </c>
      <c r="V446" s="51">
        <f>IF(L446="",0,MAX(1,N(E446)))</f>
        <v>0</v>
      </c>
      <c r="W446" s="51">
        <f>IF(K446="",0,K446)</f>
        <v>0</v>
      </c>
    </row>
    <row r="447">
      <c r="A447" s="49" t="n"/>
      <c r="B447" s="41" t="n"/>
      <c r="C447" s="41" t="n"/>
      <c r="D447" s="42" t="n"/>
      <c r="E447" s="42" t="n"/>
      <c r="F447" s="50" t="n"/>
      <c r="G447" s="42" t="n"/>
      <c r="H447" s="30">
        <f>IF(D447="","",IFERROR(INDEX(Config!$B$12:$B$15,MATCH(IF(AND(D447="Cartão de crédito",N(E447)&gt;1),"Cartão de crédito parcelado",D447),Config!$A$12:$A$15,0)),0)+IF(AND(Config!$B$17="Sim",LEFT(D447,17)="Cartão de crédito"),Config!$B$18*IFERROR(INDEX(Config!$C$12:$C$15,MATCH(IF(AND(D447="Cartão de crédito",N(E447)&gt;1),"Cartão de crédito parcelado",D447),Config!$A$12:$A$15,0)),0)/30*MAX(1,N(E447)),0))</f>
        <v/>
      </c>
      <c r="I447" s="29">
        <f>IF(OR(D447="",F447=""),"",ROUND(F447*H447,2))</f>
        <v/>
      </c>
      <c r="J447" s="29">
        <f>IF(I447="","",F447-I447)</f>
        <v/>
      </c>
      <c r="K447" s="29">
        <f>IF(J447="","",J447/MAX(1,N(E447)))</f>
        <v/>
      </c>
      <c r="L447" s="37">
        <f>IF(OR(D447="",A447=""),"",A447+IF(AND(Config!$B$17="Sim",LEFT(D447,17)="Cartão de crédito"),1,IFERROR(INDEX(Config!$C$12:$C$15,MATCH(IF(AND(D447="Cartão de crédito",N(E447)&gt;1),"Cartão de crédito parcelado",D447),Config!$A$12:$A$15,0)),0)))</f>
        <v/>
      </c>
      <c r="M447" s="37">
        <f>IF(L447="","",IF(AND(Config!$B$17="Sim",LEFT(D447,17)="Cartão de crédito"),L447,L447+30*(MAX(1,N(E447))-1)))</f>
        <v/>
      </c>
      <c r="N447" s="29">
        <f>IF(OR(L447="",K447=""),"",K447*MIN(MAX(1,N(E447)),MAX(0,INT((Config!$B$8-L447)/30)+1)))</f>
        <v/>
      </c>
      <c r="O447" s="29">
        <f>IF(J447="","",J447-N(N447))</f>
        <v/>
      </c>
      <c r="P447" s="27">
        <f>IF(A447="","",MONTH(A447))</f>
        <v/>
      </c>
      <c r="Q447" s="27">
        <f>IF(A447="","",YEAR(A447))</f>
        <v/>
      </c>
      <c r="R447" s="27">
        <f>IF(L447="","",IF(L447&gt;Config!$B$8,"A cair",IF(N(G447)&gt;=MIN(MAX(1,N(E447)),MAX(0,INT((Config!$B$8-L447)/30)+1)),IF(N(G447)&gt;=MAX(1,N(E447)),"Conferido","Conferido até aqui"),"A conferir")))</f>
        <v/>
      </c>
      <c r="S447" s="51">
        <f>IF(R447="A conferir",(Config!$B$8-L447)*1000+N(F447)/1000+ROW()/100000,0)</f>
        <v>0</v>
      </c>
      <c r="T447" s="51">
        <f>IF(R447="A conferir",N(N447),0)</f>
        <v>0</v>
      </c>
      <c r="U447" s="51">
        <f>IF(L447="",0,L447)</f>
        <v>0</v>
      </c>
      <c r="V447" s="51">
        <f>IF(L447="",0,MAX(1,N(E447)))</f>
        <v>0</v>
      </c>
      <c r="W447" s="51">
        <f>IF(K447="",0,K447)</f>
        <v>0</v>
      </c>
    </row>
    <row r="448">
      <c r="A448" s="49" t="n"/>
      <c r="B448" s="41" t="n"/>
      <c r="C448" s="41" t="n"/>
      <c r="D448" s="42" t="n"/>
      <c r="E448" s="42" t="n"/>
      <c r="F448" s="50" t="n"/>
      <c r="G448" s="42" t="n"/>
      <c r="H448" s="30">
        <f>IF(D448="","",IFERROR(INDEX(Config!$B$12:$B$15,MATCH(IF(AND(D448="Cartão de crédito",N(E448)&gt;1),"Cartão de crédito parcelado",D448),Config!$A$12:$A$15,0)),0)+IF(AND(Config!$B$17="Sim",LEFT(D448,17)="Cartão de crédito"),Config!$B$18*IFERROR(INDEX(Config!$C$12:$C$15,MATCH(IF(AND(D448="Cartão de crédito",N(E448)&gt;1),"Cartão de crédito parcelado",D448),Config!$A$12:$A$15,0)),0)/30*MAX(1,N(E448)),0))</f>
        <v/>
      </c>
      <c r="I448" s="29">
        <f>IF(OR(D448="",F448=""),"",ROUND(F448*H448,2))</f>
        <v/>
      </c>
      <c r="J448" s="29">
        <f>IF(I448="","",F448-I448)</f>
        <v/>
      </c>
      <c r="K448" s="29">
        <f>IF(J448="","",J448/MAX(1,N(E448)))</f>
        <v/>
      </c>
      <c r="L448" s="37">
        <f>IF(OR(D448="",A448=""),"",A448+IF(AND(Config!$B$17="Sim",LEFT(D448,17)="Cartão de crédito"),1,IFERROR(INDEX(Config!$C$12:$C$15,MATCH(IF(AND(D448="Cartão de crédito",N(E448)&gt;1),"Cartão de crédito parcelado",D448),Config!$A$12:$A$15,0)),0)))</f>
        <v/>
      </c>
      <c r="M448" s="37">
        <f>IF(L448="","",IF(AND(Config!$B$17="Sim",LEFT(D448,17)="Cartão de crédito"),L448,L448+30*(MAX(1,N(E448))-1)))</f>
        <v/>
      </c>
      <c r="N448" s="29">
        <f>IF(OR(L448="",K448=""),"",K448*MIN(MAX(1,N(E448)),MAX(0,INT((Config!$B$8-L448)/30)+1)))</f>
        <v/>
      </c>
      <c r="O448" s="29">
        <f>IF(J448="","",J448-N(N448))</f>
        <v/>
      </c>
      <c r="P448" s="27">
        <f>IF(A448="","",MONTH(A448))</f>
        <v/>
      </c>
      <c r="Q448" s="27">
        <f>IF(A448="","",YEAR(A448))</f>
        <v/>
      </c>
      <c r="R448" s="27">
        <f>IF(L448="","",IF(L448&gt;Config!$B$8,"A cair",IF(N(G448)&gt;=MIN(MAX(1,N(E448)),MAX(0,INT((Config!$B$8-L448)/30)+1)),IF(N(G448)&gt;=MAX(1,N(E448)),"Conferido","Conferido até aqui"),"A conferir")))</f>
        <v/>
      </c>
      <c r="S448" s="51">
        <f>IF(R448="A conferir",(Config!$B$8-L448)*1000+N(F448)/1000+ROW()/100000,0)</f>
        <v>0</v>
      </c>
      <c r="T448" s="51">
        <f>IF(R448="A conferir",N(N448),0)</f>
        <v>0</v>
      </c>
      <c r="U448" s="51">
        <f>IF(L448="",0,L448)</f>
        <v>0</v>
      </c>
      <c r="V448" s="51">
        <f>IF(L448="",0,MAX(1,N(E448)))</f>
        <v>0</v>
      </c>
      <c r="W448" s="51">
        <f>IF(K448="",0,K448)</f>
        <v>0</v>
      </c>
    </row>
    <row r="449">
      <c r="A449" s="49" t="n"/>
      <c r="B449" s="41" t="n"/>
      <c r="C449" s="41" t="n"/>
      <c r="D449" s="42" t="n"/>
      <c r="E449" s="42" t="n"/>
      <c r="F449" s="50" t="n"/>
      <c r="G449" s="42" t="n"/>
      <c r="H449" s="30">
        <f>IF(D449="","",IFERROR(INDEX(Config!$B$12:$B$15,MATCH(IF(AND(D449="Cartão de crédito",N(E449)&gt;1),"Cartão de crédito parcelado",D449),Config!$A$12:$A$15,0)),0)+IF(AND(Config!$B$17="Sim",LEFT(D449,17)="Cartão de crédito"),Config!$B$18*IFERROR(INDEX(Config!$C$12:$C$15,MATCH(IF(AND(D449="Cartão de crédito",N(E449)&gt;1),"Cartão de crédito parcelado",D449),Config!$A$12:$A$15,0)),0)/30*MAX(1,N(E449)),0))</f>
        <v/>
      </c>
      <c r="I449" s="29">
        <f>IF(OR(D449="",F449=""),"",ROUND(F449*H449,2))</f>
        <v/>
      </c>
      <c r="J449" s="29">
        <f>IF(I449="","",F449-I449)</f>
        <v/>
      </c>
      <c r="K449" s="29">
        <f>IF(J449="","",J449/MAX(1,N(E449)))</f>
        <v/>
      </c>
      <c r="L449" s="37">
        <f>IF(OR(D449="",A449=""),"",A449+IF(AND(Config!$B$17="Sim",LEFT(D449,17)="Cartão de crédito"),1,IFERROR(INDEX(Config!$C$12:$C$15,MATCH(IF(AND(D449="Cartão de crédito",N(E449)&gt;1),"Cartão de crédito parcelado",D449),Config!$A$12:$A$15,0)),0)))</f>
        <v/>
      </c>
      <c r="M449" s="37">
        <f>IF(L449="","",IF(AND(Config!$B$17="Sim",LEFT(D449,17)="Cartão de crédito"),L449,L449+30*(MAX(1,N(E449))-1)))</f>
        <v/>
      </c>
      <c r="N449" s="29">
        <f>IF(OR(L449="",K449=""),"",K449*MIN(MAX(1,N(E449)),MAX(0,INT((Config!$B$8-L449)/30)+1)))</f>
        <v/>
      </c>
      <c r="O449" s="29">
        <f>IF(J449="","",J449-N(N449))</f>
        <v/>
      </c>
      <c r="P449" s="27">
        <f>IF(A449="","",MONTH(A449))</f>
        <v/>
      </c>
      <c r="Q449" s="27">
        <f>IF(A449="","",YEAR(A449))</f>
        <v/>
      </c>
      <c r="R449" s="27">
        <f>IF(L449="","",IF(L449&gt;Config!$B$8,"A cair",IF(N(G449)&gt;=MIN(MAX(1,N(E449)),MAX(0,INT((Config!$B$8-L449)/30)+1)),IF(N(G449)&gt;=MAX(1,N(E449)),"Conferido","Conferido até aqui"),"A conferir")))</f>
        <v/>
      </c>
      <c r="S449" s="51">
        <f>IF(R449="A conferir",(Config!$B$8-L449)*1000+N(F449)/1000+ROW()/100000,0)</f>
        <v>0</v>
      </c>
      <c r="T449" s="51">
        <f>IF(R449="A conferir",N(N449),0)</f>
        <v>0</v>
      </c>
      <c r="U449" s="51">
        <f>IF(L449="",0,L449)</f>
        <v>0</v>
      </c>
      <c r="V449" s="51">
        <f>IF(L449="",0,MAX(1,N(E449)))</f>
        <v>0</v>
      </c>
      <c r="W449" s="51">
        <f>IF(K449="",0,K449)</f>
        <v>0</v>
      </c>
    </row>
    <row r="450">
      <c r="A450" s="49" t="n"/>
      <c r="B450" s="41" t="n"/>
      <c r="C450" s="41" t="n"/>
      <c r="D450" s="42" t="n"/>
      <c r="E450" s="42" t="n"/>
      <c r="F450" s="50" t="n"/>
      <c r="G450" s="42" t="n"/>
      <c r="H450" s="30">
        <f>IF(D450="","",IFERROR(INDEX(Config!$B$12:$B$15,MATCH(IF(AND(D450="Cartão de crédito",N(E450)&gt;1),"Cartão de crédito parcelado",D450),Config!$A$12:$A$15,0)),0)+IF(AND(Config!$B$17="Sim",LEFT(D450,17)="Cartão de crédito"),Config!$B$18*IFERROR(INDEX(Config!$C$12:$C$15,MATCH(IF(AND(D450="Cartão de crédito",N(E450)&gt;1),"Cartão de crédito parcelado",D450),Config!$A$12:$A$15,0)),0)/30*MAX(1,N(E450)),0))</f>
        <v/>
      </c>
      <c r="I450" s="29">
        <f>IF(OR(D450="",F450=""),"",ROUND(F450*H450,2))</f>
        <v/>
      </c>
      <c r="J450" s="29">
        <f>IF(I450="","",F450-I450)</f>
        <v/>
      </c>
      <c r="K450" s="29">
        <f>IF(J450="","",J450/MAX(1,N(E450)))</f>
        <v/>
      </c>
      <c r="L450" s="37">
        <f>IF(OR(D450="",A450=""),"",A450+IF(AND(Config!$B$17="Sim",LEFT(D450,17)="Cartão de crédito"),1,IFERROR(INDEX(Config!$C$12:$C$15,MATCH(IF(AND(D450="Cartão de crédito",N(E450)&gt;1),"Cartão de crédito parcelado",D450),Config!$A$12:$A$15,0)),0)))</f>
        <v/>
      </c>
      <c r="M450" s="37">
        <f>IF(L450="","",IF(AND(Config!$B$17="Sim",LEFT(D450,17)="Cartão de crédito"),L450,L450+30*(MAX(1,N(E450))-1)))</f>
        <v/>
      </c>
      <c r="N450" s="29">
        <f>IF(OR(L450="",K450=""),"",K450*MIN(MAX(1,N(E450)),MAX(0,INT((Config!$B$8-L450)/30)+1)))</f>
        <v/>
      </c>
      <c r="O450" s="29">
        <f>IF(J450="","",J450-N(N450))</f>
        <v/>
      </c>
      <c r="P450" s="27">
        <f>IF(A450="","",MONTH(A450))</f>
        <v/>
      </c>
      <c r="Q450" s="27">
        <f>IF(A450="","",YEAR(A450))</f>
        <v/>
      </c>
      <c r="R450" s="27">
        <f>IF(L450="","",IF(L450&gt;Config!$B$8,"A cair",IF(N(G450)&gt;=MIN(MAX(1,N(E450)),MAX(0,INT((Config!$B$8-L450)/30)+1)),IF(N(G450)&gt;=MAX(1,N(E450)),"Conferido","Conferido até aqui"),"A conferir")))</f>
        <v/>
      </c>
      <c r="S450" s="51">
        <f>IF(R450="A conferir",(Config!$B$8-L450)*1000+N(F450)/1000+ROW()/100000,0)</f>
        <v>0</v>
      </c>
      <c r="T450" s="51">
        <f>IF(R450="A conferir",N(N450),0)</f>
        <v>0</v>
      </c>
      <c r="U450" s="51">
        <f>IF(L450="",0,L450)</f>
        <v>0</v>
      </c>
      <c r="V450" s="51">
        <f>IF(L450="",0,MAX(1,N(E450)))</f>
        <v>0</v>
      </c>
      <c r="W450" s="51">
        <f>IF(K450="",0,K450)</f>
        <v>0</v>
      </c>
    </row>
    <row r="451">
      <c r="A451" s="49" t="n"/>
      <c r="B451" s="41" t="n"/>
      <c r="C451" s="41" t="n"/>
      <c r="D451" s="42" t="n"/>
      <c r="E451" s="42" t="n"/>
      <c r="F451" s="50" t="n"/>
      <c r="G451" s="42" t="n"/>
      <c r="H451" s="30">
        <f>IF(D451="","",IFERROR(INDEX(Config!$B$12:$B$15,MATCH(IF(AND(D451="Cartão de crédito",N(E451)&gt;1),"Cartão de crédito parcelado",D451),Config!$A$12:$A$15,0)),0)+IF(AND(Config!$B$17="Sim",LEFT(D451,17)="Cartão de crédito"),Config!$B$18*IFERROR(INDEX(Config!$C$12:$C$15,MATCH(IF(AND(D451="Cartão de crédito",N(E451)&gt;1),"Cartão de crédito parcelado",D451),Config!$A$12:$A$15,0)),0)/30*MAX(1,N(E451)),0))</f>
        <v/>
      </c>
      <c r="I451" s="29">
        <f>IF(OR(D451="",F451=""),"",ROUND(F451*H451,2))</f>
        <v/>
      </c>
      <c r="J451" s="29">
        <f>IF(I451="","",F451-I451)</f>
        <v/>
      </c>
      <c r="K451" s="29">
        <f>IF(J451="","",J451/MAX(1,N(E451)))</f>
        <v/>
      </c>
      <c r="L451" s="37">
        <f>IF(OR(D451="",A451=""),"",A451+IF(AND(Config!$B$17="Sim",LEFT(D451,17)="Cartão de crédito"),1,IFERROR(INDEX(Config!$C$12:$C$15,MATCH(IF(AND(D451="Cartão de crédito",N(E451)&gt;1),"Cartão de crédito parcelado",D451),Config!$A$12:$A$15,0)),0)))</f>
        <v/>
      </c>
      <c r="M451" s="37">
        <f>IF(L451="","",IF(AND(Config!$B$17="Sim",LEFT(D451,17)="Cartão de crédito"),L451,L451+30*(MAX(1,N(E451))-1)))</f>
        <v/>
      </c>
      <c r="N451" s="29">
        <f>IF(OR(L451="",K451=""),"",K451*MIN(MAX(1,N(E451)),MAX(0,INT((Config!$B$8-L451)/30)+1)))</f>
        <v/>
      </c>
      <c r="O451" s="29">
        <f>IF(J451="","",J451-N(N451))</f>
        <v/>
      </c>
      <c r="P451" s="27">
        <f>IF(A451="","",MONTH(A451))</f>
        <v/>
      </c>
      <c r="Q451" s="27">
        <f>IF(A451="","",YEAR(A451))</f>
        <v/>
      </c>
      <c r="R451" s="27">
        <f>IF(L451="","",IF(L451&gt;Config!$B$8,"A cair",IF(N(G451)&gt;=MIN(MAX(1,N(E451)),MAX(0,INT((Config!$B$8-L451)/30)+1)),IF(N(G451)&gt;=MAX(1,N(E451)),"Conferido","Conferido até aqui"),"A conferir")))</f>
        <v/>
      </c>
      <c r="S451" s="51">
        <f>IF(R451="A conferir",(Config!$B$8-L451)*1000+N(F451)/1000+ROW()/100000,0)</f>
        <v>0</v>
      </c>
      <c r="T451" s="51">
        <f>IF(R451="A conferir",N(N451),0)</f>
        <v>0</v>
      </c>
      <c r="U451" s="51">
        <f>IF(L451="",0,L451)</f>
        <v>0</v>
      </c>
      <c r="V451" s="51">
        <f>IF(L451="",0,MAX(1,N(E451)))</f>
        <v>0</v>
      </c>
      <c r="W451" s="51">
        <f>IF(K451="",0,K451)</f>
        <v>0</v>
      </c>
    </row>
    <row r="452">
      <c r="A452" s="49" t="n"/>
      <c r="B452" s="41" t="n"/>
      <c r="C452" s="41" t="n"/>
      <c r="D452" s="42" t="n"/>
      <c r="E452" s="42" t="n"/>
      <c r="F452" s="50" t="n"/>
      <c r="G452" s="42" t="n"/>
      <c r="H452" s="30">
        <f>IF(D452="","",IFERROR(INDEX(Config!$B$12:$B$15,MATCH(IF(AND(D452="Cartão de crédito",N(E452)&gt;1),"Cartão de crédito parcelado",D452),Config!$A$12:$A$15,0)),0)+IF(AND(Config!$B$17="Sim",LEFT(D452,17)="Cartão de crédito"),Config!$B$18*IFERROR(INDEX(Config!$C$12:$C$15,MATCH(IF(AND(D452="Cartão de crédito",N(E452)&gt;1),"Cartão de crédito parcelado",D452),Config!$A$12:$A$15,0)),0)/30*MAX(1,N(E452)),0))</f>
        <v/>
      </c>
      <c r="I452" s="29">
        <f>IF(OR(D452="",F452=""),"",ROUND(F452*H452,2))</f>
        <v/>
      </c>
      <c r="J452" s="29">
        <f>IF(I452="","",F452-I452)</f>
        <v/>
      </c>
      <c r="K452" s="29">
        <f>IF(J452="","",J452/MAX(1,N(E452)))</f>
        <v/>
      </c>
      <c r="L452" s="37">
        <f>IF(OR(D452="",A452=""),"",A452+IF(AND(Config!$B$17="Sim",LEFT(D452,17)="Cartão de crédito"),1,IFERROR(INDEX(Config!$C$12:$C$15,MATCH(IF(AND(D452="Cartão de crédito",N(E452)&gt;1),"Cartão de crédito parcelado",D452),Config!$A$12:$A$15,0)),0)))</f>
        <v/>
      </c>
      <c r="M452" s="37">
        <f>IF(L452="","",IF(AND(Config!$B$17="Sim",LEFT(D452,17)="Cartão de crédito"),L452,L452+30*(MAX(1,N(E452))-1)))</f>
        <v/>
      </c>
      <c r="N452" s="29">
        <f>IF(OR(L452="",K452=""),"",K452*MIN(MAX(1,N(E452)),MAX(0,INT((Config!$B$8-L452)/30)+1)))</f>
        <v/>
      </c>
      <c r="O452" s="29">
        <f>IF(J452="","",J452-N(N452))</f>
        <v/>
      </c>
      <c r="P452" s="27">
        <f>IF(A452="","",MONTH(A452))</f>
        <v/>
      </c>
      <c r="Q452" s="27">
        <f>IF(A452="","",YEAR(A452))</f>
        <v/>
      </c>
      <c r="R452" s="27">
        <f>IF(L452="","",IF(L452&gt;Config!$B$8,"A cair",IF(N(G452)&gt;=MIN(MAX(1,N(E452)),MAX(0,INT((Config!$B$8-L452)/30)+1)),IF(N(G452)&gt;=MAX(1,N(E452)),"Conferido","Conferido até aqui"),"A conferir")))</f>
        <v/>
      </c>
      <c r="S452" s="51">
        <f>IF(R452="A conferir",(Config!$B$8-L452)*1000+N(F452)/1000+ROW()/100000,0)</f>
        <v>0</v>
      </c>
      <c r="T452" s="51">
        <f>IF(R452="A conferir",N(N452),0)</f>
        <v>0</v>
      </c>
      <c r="U452" s="51">
        <f>IF(L452="",0,L452)</f>
        <v>0</v>
      </c>
      <c r="V452" s="51">
        <f>IF(L452="",0,MAX(1,N(E452)))</f>
        <v>0</v>
      </c>
      <c r="W452" s="51">
        <f>IF(K452="",0,K452)</f>
        <v>0</v>
      </c>
    </row>
    <row r="453">
      <c r="A453" s="49" t="n"/>
      <c r="B453" s="41" t="n"/>
      <c r="C453" s="41" t="n"/>
      <c r="D453" s="42" t="n"/>
      <c r="E453" s="42" t="n"/>
      <c r="F453" s="50" t="n"/>
      <c r="G453" s="42" t="n"/>
      <c r="H453" s="30">
        <f>IF(D453="","",IFERROR(INDEX(Config!$B$12:$B$15,MATCH(IF(AND(D453="Cartão de crédito",N(E453)&gt;1),"Cartão de crédito parcelado",D453),Config!$A$12:$A$15,0)),0)+IF(AND(Config!$B$17="Sim",LEFT(D453,17)="Cartão de crédito"),Config!$B$18*IFERROR(INDEX(Config!$C$12:$C$15,MATCH(IF(AND(D453="Cartão de crédito",N(E453)&gt;1),"Cartão de crédito parcelado",D453),Config!$A$12:$A$15,0)),0)/30*MAX(1,N(E453)),0))</f>
        <v/>
      </c>
      <c r="I453" s="29">
        <f>IF(OR(D453="",F453=""),"",ROUND(F453*H453,2))</f>
        <v/>
      </c>
      <c r="J453" s="29">
        <f>IF(I453="","",F453-I453)</f>
        <v/>
      </c>
      <c r="K453" s="29">
        <f>IF(J453="","",J453/MAX(1,N(E453)))</f>
        <v/>
      </c>
      <c r="L453" s="37">
        <f>IF(OR(D453="",A453=""),"",A453+IF(AND(Config!$B$17="Sim",LEFT(D453,17)="Cartão de crédito"),1,IFERROR(INDEX(Config!$C$12:$C$15,MATCH(IF(AND(D453="Cartão de crédito",N(E453)&gt;1),"Cartão de crédito parcelado",D453),Config!$A$12:$A$15,0)),0)))</f>
        <v/>
      </c>
      <c r="M453" s="37">
        <f>IF(L453="","",IF(AND(Config!$B$17="Sim",LEFT(D453,17)="Cartão de crédito"),L453,L453+30*(MAX(1,N(E453))-1)))</f>
        <v/>
      </c>
      <c r="N453" s="29">
        <f>IF(OR(L453="",K453=""),"",K453*MIN(MAX(1,N(E453)),MAX(0,INT((Config!$B$8-L453)/30)+1)))</f>
        <v/>
      </c>
      <c r="O453" s="29">
        <f>IF(J453="","",J453-N(N453))</f>
        <v/>
      </c>
      <c r="P453" s="27">
        <f>IF(A453="","",MONTH(A453))</f>
        <v/>
      </c>
      <c r="Q453" s="27">
        <f>IF(A453="","",YEAR(A453))</f>
        <v/>
      </c>
      <c r="R453" s="27">
        <f>IF(L453="","",IF(L453&gt;Config!$B$8,"A cair",IF(N(G453)&gt;=MIN(MAX(1,N(E453)),MAX(0,INT((Config!$B$8-L453)/30)+1)),IF(N(G453)&gt;=MAX(1,N(E453)),"Conferido","Conferido até aqui"),"A conferir")))</f>
        <v/>
      </c>
      <c r="S453" s="51">
        <f>IF(R453="A conferir",(Config!$B$8-L453)*1000+N(F453)/1000+ROW()/100000,0)</f>
        <v>0</v>
      </c>
      <c r="T453" s="51">
        <f>IF(R453="A conferir",N(N453),0)</f>
        <v>0</v>
      </c>
      <c r="U453" s="51">
        <f>IF(L453="",0,L453)</f>
        <v>0</v>
      </c>
      <c r="V453" s="51">
        <f>IF(L453="",0,MAX(1,N(E453)))</f>
        <v>0</v>
      </c>
      <c r="W453" s="51">
        <f>IF(K453="",0,K453)</f>
        <v>0</v>
      </c>
    </row>
    <row r="454">
      <c r="A454" s="49" t="n"/>
      <c r="B454" s="41" t="n"/>
      <c r="C454" s="41" t="n"/>
      <c r="D454" s="42" t="n"/>
      <c r="E454" s="42" t="n"/>
      <c r="F454" s="50" t="n"/>
      <c r="G454" s="42" t="n"/>
      <c r="H454" s="30">
        <f>IF(D454="","",IFERROR(INDEX(Config!$B$12:$B$15,MATCH(IF(AND(D454="Cartão de crédito",N(E454)&gt;1),"Cartão de crédito parcelado",D454),Config!$A$12:$A$15,0)),0)+IF(AND(Config!$B$17="Sim",LEFT(D454,17)="Cartão de crédito"),Config!$B$18*IFERROR(INDEX(Config!$C$12:$C$15,MATCH(IF(AND(D454="Cartão de crédito",N(E454)&gt;1),"Cartão de crédito parcelado",D454),Config!$A$12:$A$15,0)),0)/30*MAX(1,N(E454)),0))</f>
        <v/>
      </c>
      <c r="I454" s="29">
        <f>IF(OR(D454="",F454=""),"",ROUND(F454*H454,2))</f>
        <v/>
      </c>
      <c r="J454" s="29">
        <f>IF(I454="","",F454-I454)</f>
        <v/>
      </c>
      <c r="K454" s="29">
        <f>IF(J454="","",J454/MAX(1,N(E454)))</f>
        <v/>
      </c>
      <c r="L454" s="37">
        <f>IF(OR(D454="",A454=""),"",A454+IF(AND(Config!$B$17="Sim",LEFT(D454,17)="Cartão de crédito"),1,IFERROR(INDEX(Config!$C$12:$C$15,MATCH(IF(AND(D454="Cartão de crédito",N(E454)&gt;1),"Cartão de crédito parcelado",D454),Config!$A$12:$A$15,0)),0)))</f>
        <v/>
      </c>
      <c r="M454" s="37">
        <f>IF(L454="","",IF(AND(Config!$B$17="Sim",LEFT(D454,17)="Cartão de crédito"),L454,L454+30*(MAX(1,N(E454))-1)))</f>
        <v/>
      </c>
      <c r="N454" s="29">
        <f>IF(OR(L454="",K454=""),"",K454*MIN(MAX(1,N(E454)),MAX(0,INT((Config!$B$8-L454)/30)+1)))</f>
        <v/>
      </c>
      <c r="O454" s="29">
        <f>IF(J454="","",J454-N(N454))</f>
        <v/>
      </c>
      <c r="P454" s="27">
        <f>IF(A454="","",MONTH(A454))</f>
        <v/>
      </c>
      <c r="Q454" s="27">
        <f>IF(A454="","",YEAR(A454))</f>
        <v/>
      </c>
      <c r="R454" s="27">
        <f>IF(L454="","",IF(L454&gt;Config!$B$8,"A cair",IF(N(G454)&gt;=MIN(MAX(1,N(E454)),MAX(0,INT((Config!$B$8-L454)/30)+1)),IF(N(G454)&gt;=MAX(1,N(E454)),"Conferido","Conferido até aqui"),"A conferir")))</f>
        <v/>
      </c>
      <c r="S454" s="51">
        <f>IF(R454="A conferir",(Config!$B$8-L454)*1000+N(F454)/1000+ROW()/100000,0)</f>
        <v>0</v>
      </c>
      <c r="T454" s="51">
        <f>IF(R454="A conferir",N(N454),0)</f>
        <v>0</v>
      </c>
      <c r="U454" s="51">
        <f>IF(L454="",0,L454)</f>
        <v>0</v>
      </c>
      <c r="V454" s="51">
        <f>IF(L454="",0,MAX(1,N(E454)))</f>
        <v>0</v>
      </c>
      <c r="W454" s="51">
        <f>IF(K454="",0,K454)</f>
        <v>0</v>
      </c>
    </row>
    <row r="455">
      <c r="A455" s="49" t="n"/>
      <c r="B455" s="41" t="n"/>
      <c r="C455" s="41" t="n"/>
      <c r="D455" s="42" t="n"/>
      <c r="E455" s="42" t="n"/>
      <c r="F455" s="50" t="n"/>
      <c r="G455" s="42" t="n"/>
      <c r="H455" s="30">
        <f>IF(D455="","",IFERROR(INDEX(Config!$B$12:$B$15,MATCH(IF(AND(D455="Cartão de crédito",N(E455)&gt;1),"Cartão de crédito parcelado",D455),Config!$A$12:$A$15,0)),0)+IF(AND(Config!$B$17="Sim",LEFT(D455,17)="Cartão de crédito"),Config!$B$18*IFERROR(INDEX(Config!$C$12:$C$15,MATCH(IF(AND(D455="Cartão de crédito",N(E455)&gt;1),"Cartão de crédito parcelado",D455),Config!$A$12:$A$15,0)),0)/30*MAX(1,N(E455)),0))</f>
        <v/>
      </c>
      <c r="I455" s="29">
        <f>IF(OR(D455="",F455=""),"",ROUND(F455*H455,2))</f>
        <v/>
      </c>
      <c r="J455" s="29">
        <f>IF(I455="","",F455-I455)</f>
        <v/>
      </c>
      <c r="K455" s="29">
        <f>IF(J455="","",J455/MAX(1,N(E455)))</f>
        <v/>
      </c>
      <c r="L455" s="37">
        <f>IF(OR(D455="",A455=""),"",A455+IF(AND(Config!$B$17="Sim",LEFT(D455,17)="Cartão de crédito"),1,IFERROR(INDEX(Config!$C$12:$C$15,MATCH(IF(AND(D455="Cartão de crédito",N(E455)&gt;1),"Cartão de crédito parcelado",D455),Config!$A$12:$A$15,0)),0)))</f>
        <v/>
      </c>
      <c r="M455" s="37">
        <f>IF(L455="","",IF(AND(Config!$B$17="Sim",LEFT(D455,17)="Cartão de crédito"),L455,L455+30*(MAX(1,N(E455))-1)))</f>
        <v/>
      </c>
      <c r="N455" s="29">
        <f>IF(OR(L455="",K455=""),"",K455*MIN(MAX(1,N(E455)),MAX(0,INT((Config!$B$8-L455)/30)+1)))</f>
        <v/>
      </c>
      <c r="O455" s="29">
        <f>IF(J455="","",J455-N(N455))</f>
        <v/>
      </c>
      <c r="P455" s="27">
        <f>IF(A455="","",MONTH(A455))</f>
        <v/>
      </c>
      <c r="Q455" s="27">
        <f>IF(A455="","",YEAR(A455))</f>
        <v/>
      </c>
      <c r="R455" s="27">
        <f>IF(L455="","",IF(L455&gt;Config!$B$8,"A cair",IF(N(G455)&gt;=MIN(MAX(1,N(E455)),MAX(0,INT((Config!$B$8-L455)/30)+1)),IF(N(G455)&gt;=MAX(1,N(E455)),"Conferido","Conferido até aqui"),"A conferir")))</f>
        <v/>
      </c>
      <c r="S455" s="51">
        <f>IF(R455="A conferir",(Config!$B$8-L455)*1000+N(F455)/1000+ROW()/100000,0)</f>
        <v>0</v>
      </c>
      <c r="T455" s="51">
        <f>IF(R455="A conferir",N(N455),0)</f>
        <v>0</v>
      </c>
      <c r="U455" s="51">
        <f>IF(L455="",0,L455)</f>
        <v>0</v>
      </c>
      <c r="V455" s="51">
        <f>IF(L455="",0,MAX(1,N(E455)))</f>
        <v>0</v>
      </c>
      <c r="W455" s="51">
        <f>IF(K455="",0,K455)</f>
        <v>0</v>
      </c>
    </row>
    <row r="456">
      <c r="A456" s="49" t="n"/>
      <c r="B456" s="41" t="n"/>
      <c r="C456" s="41" t="n"/>
      <c r="D456" s="42" t="n"/>
      <c r="E456" s="42" t="n"/>
      <c r="F456" s="50" t="n"/>
      <c r="G456" s="42" t="n"/>
      <c r="H456" s="30">
        <f>IF(D456="","",IFERROR(INDEX(Config!$B$12:$B$15,MATCH(IF(AND(D456="Cartão de crédito",N(E456)&gt;1),"Cartão de crédito parcelado",D456),Config!$A$12:$A$15,0)),0)+IF(AND(Config!$B$17="Sim",LEFT(D456,17)="Cartão de crédito"),Config!$B$18*IFERROR(INDEX(Config!$C$12:$C$15,MATCH(IF(AND(D456="Cartão de crédito",N(E456)&gt;1),"Cartão de crédito parcelado",D456),Config!$A$12:$A$15,0)),0)/30*MAX(1,N(E456)),0))</f>
        <v/>
      </c>
      <c r="I456" s="29">
        <f>IF(OR(D456="",F456=""),"",ROUND(F456*H456,2))</f>
        <v/>
      </c>
      <c r="J456" s="29">
        <f>IF(I456="","",F456-I456)</f>
        <v/>
      </c>
      <c r="K456" s="29">
        <f>IF(J456="","",J456/MAX(1,N(E456)))</f>
        <v/>
      </c>
      <c r="L456" s="37">
        <f>IF(OR(D456="",A456=""),"",A456+IF(AND(Config!$B$17="Sim",LEFT(D456,17)="Cartão de crédito"),1,IFERROR(INDEX(Config!$C$12:$C$15,MATCH(IF(AND(D456="Cartão de crédito",N(E456)&gt;1),"Cartão de crédito parcelado",D456),Config!$A$12:$A$15,0)),0)))</f>
        <v/>
      </c>
      <c r="M456" s="37">
        <f>IF(L456="","",IF(AND(Config!$B$17="Sim",LEFT(D456,17)="Cartão de crédito"),L456,L456+30*(MAX(1,N(E456))-1)))</f>
        <v/>
      </c>
      <c r="N456" s="29">
        <f>IF(OR(L456="",K456=""),"",K456*MIN(MAX(1,N(E456)),MAX(0,INT((Config!$B$8-L456)/30)+1)))</f>
        <v/>
      </c>
      <c r="O456" s="29">
        <f>IF(J456="","",J456-N(N456))</f>
        <v/>
      </c>
      <c r="P456" s="27">
        <f>IF(A456="","",MONTH(A456))</f>
        <v/>
      </c>
      <c r="Q456" s="27">
        <f>IF(A456="","",YEAR(A456))</f>
        <v/>
      </c>
      <c r="R456" s="27">
        <f>IF(L456="","",IF(L456&gt;Config!$B$8,"A cair",IF(N(G456)&gt;=MIN(MAX(1,N(E456)),MAX(0,INT((Config!$B$8-L456)/30)+1)),IF(N(G456)&gt;=MAX(1,N(E456)),"Conferido","Conferido até aqui"),"A conferir")))</f>
        <v/>
      </c>
      <c r="S456" s="51">
        <f>IF(R456="A conferir",(Config!$B$8-L456)*1000+N(F456)/1000+ROW()/100000,0)</f>
        <v>0</v>
      </c>
      <c r="T456" s="51">
        <f>IF(R456="A conferir",N(N456),0)</f>
        <v>0</v>
      </c>
      <c r="U456" s="51">
        <f>IF(L456="",0,L456)</f>
        <v>0</v>
      </c>
      <c r="V456" s="51">
        <f>IF(L456="",0,MAX(1,N(E456)))</f>
        <v>0</v>
      </c>
      <c r="W456" s="51">
        <f>IF(K456="",0,K456)</f>
        <v>0</v>
      </c>
    </row>
    <row r="457">
      <c r="A457" s="49" t="n"/>
      <c r="B457" s="41" t="n"/>
      <c r="C457" s="41" t="n"/>
      <c r="D457" s="42" t="n"/>
      <c r="E457" s="42" t="n"/>
      <c r="F457" s="50" t="n"/>
      <c r="G457" s="42" t="n"/>
      <c r="H457" s="30">
        <f>IF(D457="","",IFERROR(INDEX(Config!$B$12:$B$15,MATCH(IF(AND(D457="Cartão de crédito",N(E457)&gt;1),"Cartão de crédito parcelado",D457),Config!$A$12:$A$15,0)),0)+IF(AND(Config!$B$17="Sim",LEFT(D457,17)="Cartão de crédito"),Config!$B$18*IFERROR(INDEX(Config!$C$12:$C$15,MATCH(IF(AND(D457="Cartão de crédito",N(E457)&gt;1),"Cartão de crédito parcelado",D457),Config!$A$12:$A$15,0)),0)/30*MAX(1,N(E457)),0))</f>
        <v/>
      </c>
      <c r="I457" s="29">
        <f>IF(OR(D457="",F457=""),"",ROUND(F457*H457,2))</f>
        <v/>
      </c>
      <c r="J457" s="29">
        <f>IF(I457="","",F457-I457)</f>
        <v/>
      </c>
      <c r="K457" s="29">
        <f>IF(J457="","",J457/MAX(1,N(E457)))</f>
        <v/>
      </c>
      <c r="L457" s="37">
        <f>IF(OR(D457="",A457=""),"",A457+IF(AND(Config!$B$17="Sim",LEFT(D457,17)="Cartão de crédito"),1,IFERROR(INDEX(Config!$C$12:$C$15,MATCH(IF(AND(D457="Cartão de crédito",N(E457)&gt;1),"Cartão de crédito parcelado",D457),Config!$A$12:$A$15,0)),0)))</f>
        <v/>
      </c>
      <c r="M457" s="37">
        <f>IF(L457="","",IF(AND(Config!$B$17="Sim",LEFT(D457,17)="Cartão de crédito"),L457,L457+30*(MAX(1,N(E457))-1)))</f>
        <v/>
      </c>
      <c r="N457" s="29">
        <f>IF(OR(L457="",K457=""),"",K457*MIN(MAX(1,N(E457)),MAX(0,INT((Config!$B$8-L457)/30)+1)))</f>
        <v/>
      </c>
      <c r="O457" s="29">
        <f>IF(J457="","",J457-N(N457))</f>
        <v/>
      </c>
      <c r="P457" s="27">
        <f>IF(A457="","",MONTH(A457))</f>
        <v/>
      </c>
      <c r="Q457" s="27">
        <f>IF(A457="","",YEAR(A457))</f>
        <v/>
      </c>
      <c r="R457" s="27">
        <f>IF(L457="","",IF(L457&gt;Config!$B$8,"A cair",IF(N(G457)&gt;=MIN(MAX(1,N(E457)),MAX(0,INT((Config!$B$8-L457)/30)+1)),IF(N(G457)&gt;=MAX(1,N(E457)),"Conferido","Conferido até aqui"),"A conferir")))</f>
        <v/>
      </c>
      <c r="S457" s="51">
        <f>IF(R457="A conferir",(Config!$B$8-L457)*1000+N(F457)/1000+ROW()/100000,0)</f>
        <v>0</v>
      </c>
      <c r="T457" s="51">
        <f>IF(R457="A conferir",N(N457),0)</f>
        <v>0</v>
      </c>
      <c r="U457" s="51">
        <f>IF(L457="",0,L457)</f>
        <v>0</v>
      </c>
      <c r="V457" s="51">
        <f>IF(L457="",0,MAX(1,N(E457)))</f>
        <v>0</v>
      </c>
      <c r="W457" s="51">
        <f>IF(K457="",0,K457)</f>
        <v>0</v>
      </c>
    </row>
    <row r="458">
      <c r="A458" s="49" t="n"/>
      <c r="B458" s="41" t="n"/>
      <c r="C458" s="41" t="n"/>
      <c r="D458" s="42" t="n"/>
      <c r="E458" s="42" t="n"/>
      <c r="F458" s="50" t="n"/>
      <c r="G458" s="42" t="n"/>
      <c r="H458" s="30">
        <f>IF(D458="","",IFERROR(INDEX(Config!$B$12:$B$15,MATCH(IF(AND(D458="Cartão de crédito",N(E458)&gt;1),"Cartão de crédito parcelado",D458),Config!$A$12:$A$15,0)),0)+IF(AND(Config!$B$17="Sim",LEFT(D458,17)="Cartão de crédito"),Config!$B$18*IFERROR(INDEX(Config!$C$12:$C$15,MATCH(IF(AND(D458="Cartão de crédito",N(E458)&gt;1),"Cartão de crédito parcelado",D458),Config!$A$12:$A$15,0)),0)/30*MAX(1,N(E458)),0))</f>
        <v/>
      </c>
      <c r="I458" s="29">
        <f>IF(OR(D458="",F458=""),"",ROUND(F458*H458,2))</f>
        <v/>
      </c>
      <c r="J458" s="29">
        <f>IF(I458="","",F458-I458)</f>
        <v/>
      </c>
      <c r="K458" s="29">
        <f>IF(J458="","",J458/MAX(1,N(E458)))</f>
        <v/>
      </c>
      <c r="L458" s="37">
        <f>IF(OR(D458="",A458=""),"",A458+IF(AND(Config!$B$17="Sim",LEFT(D458,17)="Cartão de crédito"),1,IFERROR(INDEX(Config!$C$12:$C$15,MATCH(IF(AND(D458="Cartão de crédito",N(E458)&gt;1),"Cartão de crédito parcelado",D458),Config!$A$12:$A$15,0)),0)))</f>
        <v/>
      </c>
      <c r="M458" s="37">
        <f>IF(L458="","",IF(AND(Config!$B$17="Sim",LEFT(D458,17)="Cartão de crédito"),L458,L458+30*(MAX(1,N(E458))-1)))</f>
        <v/>
      </c>
      <c r="N458" s="29">
        <f>IF(OR(L458="",K458=""),"",K458*MIN(MAX(1,N(E458)),MAX(0,INT((Config!$B$8-L458)/30)+1)))</f>
        <v/>
      </c>
      <c r="O458" s="29">
        <f>IF(J458="","",J458-N(N458))</f>
        <v/>
      </c>
      <c r="P458" s="27">
        <f>IF(A458="","",MONTH(A458))</f>
        <v/>
      </c>
      <c r="Q458" s="27">
        <f>IF(A458="","",YEAR(A458))</f>
        <v/>
      </c>
      <c r="R458" s="27">
        <f>IF(L458="","",IF(L458&gt;Config!$B$8,"A cair",IF(N(G458)&gt;=MIN(MAX(1,N(E458)),MAX(0,INT((Config!$B$8-L458)/30)+1)),IF(N(G458)&gt;=MAX(1,N(E458)),"Conferido","Conferido até aqui"),"A conferir")))</f>
        <v/>
      </c>
      <c r="S458" s="51">
        <f>IF(R458="A conferir",(Config!$B$8-L458)*1000+N(F458)/1000+ROW()/100000,0)</f>
        <v>0</v>
      </c>
      <c r="T458" s="51">
        <f>IF(R458="A conferir",N(N458),0)</f>
        <v>0</v>
      </c>
      <c r="U458" s="51">
        <f>IF(L458="",0,L458)</f>
        <v>0</v>
      </c>
      <c r="V458" s="51">
        <f>IF(L458="",0,MAX(1,N(E458)))</f>
        <v>0</v>
      </c>
      <c r="W458" s="51">
        <f>IF(K458="",0,K458)</f>
        <v>0</v>
      </c>
    </row>
    <row r="459">
      <c r="A459" s="49" t="n"/>
      <c r="B459" s="41" t="n"/>
      <c r="C459" s="41" t="n"/>
      <c r="D459" s="42" t="n"/>
      <c r="E459" s="42" t="n"/>
      <c r="F459" s="50" t="n"/>
      <c r="G459" s="42" t="n"/>
      <c r="H459" s="30">
        <f>IF(D459="","",IFERROR(INDEX(Config!$B$12:$B$15,MATCH(IF(AND(D459="Cartão de crédito",N(E459)&gt;1),"Cartão de crédito parcelado",D459),Config!$A$12:$A$15,0)),0)+IF(AND(Config!$B$17="Sim",LEFT(D459,17)="Cartão de crédito"),Config!$B$18*IFERROR(INDEX(Config!$C$12:$C$15,MATCH(IF(AND(D459="Cartão de crédito",N(E459)&gt;1),"Cartão de crédito parcelado",D459),Config!$A$12:$A$15,0)),0)/30*MAX(1,N(E459)),0))</f>
        <v/>
      </c>
      <c r="I459" s="29">
        <f>IF(OR(D459="",F459=""),"",ROUND(F459*H459,2))</f>
        <v/>
      </c>
      <c r="J459" s="29">
        <f>IF(I459="","",F459-I459)</f>
        <v/>
      </c>
      <c r="K459" s="29">
        <f>IF(J459="","",J459/MAX(1,N(E459)))</f>
        <v/>
      </c>
      <c r="L459" s="37">
        <f>IF(OR(D459="",A459=""),"",A459+IF(AND(Config!$B$17="Sim",LEFT(D459,17)="Cartão de crédito"),1,IFERROR(INDEX(Config!$C$12:$C$15,MATCH(IF(AND(D459="Cartão de crédito",N(E459)&gt;1),"Cartão de crédito parcelado",D459),Config!$A$12:$A$15,0)),0)))</f>
        <v/>
      </c>
      <c r="M459" s="37">
        <f>IF(L459="","",IF(AND(Config!$B$17="Sim",LEFT(D459,17)="Cartão de crédito"),L459,L459+30*(MAX(1,N(E459))-1)))</f>
        <v/>
      </c>
      <c r="N459" s="29">
        <f>IF(OR(L459="",K459=""),"",K459*MIN(MAX(1,N(E459)),MAX(0,INT((Config!$B$8-L459)/30)+1)))</f>
        <v/>
      </c>
      <c r="O459" s="29">
        <f>IF(J459="","",J459-N(N459))</f>
        <v/>
      </c>
      <c r="P459" s="27">
        <f>IF(A459="","",MONTH(A459))</f>
        <v/>
      </c>
      <c r="Q459" s="27">
        <f>IF(A459="","",YEAR(A459))</f>
        <v/>
      </c>
      <c r="R459" s="27">
        <f>IF(L459="","",IF(L459&gt;Config!$B$8,"A cair",IF(N(G459)&gt;=MIN(MAX(1,N(E459)),MAX(0,INT((Config!$B$8-L459)/30)+1)),IF(N(G459)&gt;=MAX(1,N(E459)),"Conferido","Conferido até aqui"),"A conferir")))</f>
        <v/>
      </c>
      <c r="S459" s="51">
        <f>IF(R459="A conferir",(Config!$B$8-L459)*1000+N(F459)/1000+ROW()/100000,0)</f>
        <v>0</v>
      </c>
      <c r="T459" s="51">
        <f>IF(R459="A conferir",N(N459),0)</f>
        <v>0</v>
      </c>
      <c r="U459" s="51">
        <f>IF(L459="",0,L459)</f>
        <v>0</v>
      </c>
      <c r="V459" s="51">
        <f>IF(L459="",0,MAX(1,N(E459)))</f>
        <v>0</v>
      </c>
      <c r="W459" s="51">
        <f>IF(K459="",0,K459)</f>
        <v>0</v>
      </c>
    </row>
    <row r="460">
      <c r="A460" s="49" t="n"/>
      <c r="B460" s="41" t="n"/>
      <c r="C460" s="41" t="n"/>
      <c r="D460" s="42" t="n"/>
      <c r="E460" s="42" t="n"/>
      <c r="F460" s="50" t="n"/>
      <c r="G460" s="42" t="n"/>
      <c r="H460" s="30">
        <f>IF(D460="","",IFERROR(INDEX(Config!$B$12:$B$15,MATCH(IF(AND(D460="Cartão de crédito",N(E460)&gt;1),"Cartão de crédito parcelado",D460),Config!$A$12:$A$15,0)),0)+IF(AND(Config!$B$17="Sim",LEFT(D460,17)="Cartão de crédito"),Config!$B$18*IFERROR(INDEX(Config!$C$12:$C$15,MATCH(IF(AND(D460="Cartão de crédito",N(E460)&gt;1),"Cartão de crédito parcelado",D460),Config!$A$12:$A$15,0)),0)/30*MAX(1,N(E460)),0))</f>
        <v/>
      </c>
      <c r="I460" s="29">
        <f>IF(OR(D460="",F460=""),"",ROUND(F460*H460,2))</f>
        <v/>
      </c>
      <c r="J460" s="29">
        <f>IF(I460="","",F460-I460)</f>
        <v/>
      </c>
      <c r="K460" s="29">
        <f>IF(J460="","",J460/MAX(1,N(E460)))</f>
        <v/>
      </c>
      <c r="L460" s="37">
        <f>IF(OR(D460="",A460=""),"",A460+IF(AND(Config!$B$17="Sim",LEFT(D460,17)="Cartão de crédito"),1,IFERROR(INDEX(Config!$C$12:$C$15,MATCH(IF(AND(D460="Cartão de crédito",N(E460)&gt;1),"Cartão de crédito parcelado",D460),Config!$A$12:$A$15,0)),0)))</f>
        <v/>
      </c>
      <c r="M460" s="37">
        <f>IF(L460="","",IF(AND(Config!$B$17="Sim",LEFT(D460,17)="Cartão de crédito"),L460,L460+30*(MAX(1,N(E460))-1)))</f>
        <v/>
      </c>
      <c r="N460" s="29">
        <f>IF(OR(L460="",K460=""),"",K460*MIN(MAX(1,N(E460)),MAX(0,INT((Config!$B$8-L460)/30)+1)))</f>
        <v/>
      </c>
      <c r="O460" s="29">
        <f>IF(J460="","",J460-N(N460))</f>
        <v/>
      </c>
      <c r="P460" s="27">
        <f>IF(A460="","",MONTH(A460))</f>
        <v/>
      </c>
      <c r="Q460" s="27">
        <f>IF(A460="","",YEAR(A460))</f>
        <v/>
      </c>
      <c r="R460" s="27">
        <f>IF(L460="","",IF(L460&gt;Config!$B$8,"A cair",IF(N(G460)&gt;=MIN(MAX(1,N(E460)),MAX(0,INT((Config!$B$8-L460)/30)+1)),IF(N(G460)&gt;=MAX(1,N(E460)),"Conferido","Conferido até aqui"),"A conferir")))</f>
        <v/>
      </c>
      <c r="S460" s="51">
        <f>IF(R460="A conferir",(Config!$B$8-L460)*1000+N(F460)/1000+ROW()/100000,0)</f>
        <v>0</v>
      </c>
      <c r="T460" s="51">
        <f>IF(R460="A conferir",N(N460),0)</f>
        <v>0</v>
      </c>
      <c r="U460" s="51">
        <f>IF(L460="",0,L460)</f>
        <v>0</v>
      </c>
      <c r="V460" s="51">
        <f>IF(L460="",0,MAX(1,N(E460)))</f>
        <v>0</v>
      </c>
      <c r="W460" s="51">
        <f>IF(K460="",0,K460)</f>
        <v>0</v>
      </c>
    </row>
    <row r="461">
      <c r="A461" s="49" t="n"/>
      <c r="B461" s="41" t="n"/>
      <c r="C461" s="41" t="n"/>
      <c r="D461" s="42" t="n"/>
      <c r="E461" s="42" t="n"/>
      <c r="F461" s="50" t="n"/>
      <c r="G461" s="42" t="n"/>
      <c r="H461" s="30">
        <f>IF(D461="","",IFERROR(INDEX(Config!$B$12:$B$15,MATCH(IF(AND(D461="Cartão de crédito",N(E461)&gt;1),"Cartão de crédito parcelado",D461),Config!$A$12:$A$15,0)),0)+IF(AND(Config!$B$17="Sim",LEFT(D461,17)="Cartão de crédito"),Config!$B$18*IFERROR(INDEX(Config!$C$12:$C$15,MATCH(IF(AND(D461="Cartão de crédito",N(E461)&gt;1),"Cartão de crédito parcelado",D461),Config!$A$12:$A$15,0)),0)/30*MAX(1,N(E461)),0))</f>
        <v/>
      </c>
      <c r="I461" s="29">
        <f>IF(OR(D461="",F461=""),"",ROUND(F461*H461,2))</f>
        <v/>
      </c>
      <c r="J461" s="29">
        <f>IF(I461="","",F461-I461)</f>
        <v/>
      </c>
      <c r="K461" s="29">
        <f>IF(J461="","",J461/MAX(1,N(E461)))</f>
        <v/>
      </c>
      <c r="L461" s="37">
        <f>IF(OR(D461="",A461=""),"",A461+IF(AND(Config!$B$17="Sim",LEFT(D461,17)="Cartão de crédito"),1,IFERROR(INDEX(Config!$C$12:$C$15,MATCH(IF(AND(D461="Cartão de crédito",N(E461)&gt;1),"Cartão de crédito parcelado",D461),Config!$A$12:$A$15,0)),0)))</f>
        <v/>
      </c>
      <c r="M461" s="37">
        <f>IF(L461="","",IF(AND(Config!$B$17="Sim",LEFT(D461,17)="Cartão de crédito"),L461,L461+30*(MAX(1,N(E461))-1)))</f>
        <v/>
      </c>
      <c r="N461" s="29">
        <f>IF(OR(L461="",K461=""),"",K461*MIN(MAX(1,N(E461)),MAX(0,INT((Config!$B$8-L461)/30)+1)))</f>
        <v/>
      </c>
      <c r="O461" s="29">
        <f>IF(J461="","",J461-N(N461))</f>
        <v/>
      </c>
      <c r="P461" s="27">
        <f>IF(A461="","",MONTH(A461))</f>
        <v/>
      </c>
      <c r="Q461" s="27">
        <f>IF(A461="","",YEAR(A461))</f>
        <v/>
      </c>
      <c r="R461" s="27">
        <f>IF(L461="","",IF(L461&gt;Config!$B$8,"A cair",IF(N(G461)&gt;=MIN(MAX(1,N(E461)),MAX(0,INT((Config!$B$8-L461)/30)+1)),IF(N(G461)&gt;=MAX(1,N(E461)),"Conferido","Conferido até aqui"),"A conferir")))</f>
        <v/>
      </c>
      <c r="S461" s="51">
        <f>IF(R461="A conferir",(Config!$B$8-L461)*1000+N(F461)/1000+ROW()/100000,0)</f>
        <v>0</v>
      </c>
      <c r="T461" s="51">
        <f>IF(R461="A conferir",N(N461),0)</f>
        <v>0</v>
      </c>
      <c r="U461" s="51">
        <f>IF(L461="",0,L461)</f>
        <v>0</v>
      </c>
      <c r="V461" s="51">
        <f>IF(L461="",0,MAX(1,N(E461)))</f>
        <v>0</v>
      </c>
      <c r="W461" s="51">
        <f>IF(K461="",0,K461)</f>
        <v>0</v>
      </c>
    </row>
    <row r="462">
      <c r="A462" s="49" t="n"/>
      <c r="B462" s="41" t="n"/>
      <c r="C462" s="41" t="n"/>
      <c r="D462" s="42" t="n"/>
      <c r="E462" s="42" t="n"/>
      <c r="F462" s="50" t="n"/>
      <c r="G462" s="42" t="n"/>
      <c r="H462" s="30">
        <f>IF(D462="","",IFERROR(INDEX(Config!$B$12:$B$15,MATCH(IF(AND(D462="Cartão de crédito",N(E462)&gt;1),"Cartão de crédito parcelado",D462),Config!$A$12:$A$15,0)),0)+IF(AND(Config!$B$17="Sim",LEFT(D462,17)="Cartão de crédito"),Config!$B$18*IFERROR(INDEX(Config!$C$12:$C$15,MATCH(IF(AND(D462="Cartão de crédito",N(E462)&gt;1),"Cartão de crédito parcelado",D462),Config!$A$12:$A$15,0)),0)/30*MAX(1,N(E462)),0))</f>
        <v/>
      </c>
      <c r="I462" s="29">
        <f>IF(OR(D462="",F462=""),"",ROUND(F462*H462,2))</f>
        <v/>
      </c>
      <c r="J462" s="29">
        <f>IF(I462="","",F462-I462)</f>
        <v/>
      </c>
      <c r="K462" s="29">
        <f>IF(J462="","",J462/MAX(1,N(E462)))</f>
        <v/>
      </c>
      <c r="L462" s="37">
        <f>IF(OR(D462="",A462=""),"",A462+IF(AND(Config!$B$17="Sim",LEFT(D462,17)="Cartão de crédito"),1,IFERROR(INDEX(Config!$C$12:$C$15,MATCH(IF(AND(D462="Cartão de crédito",N(E462)&gt;1),"Cartão de crédito parcelado",D462),Config!$A$12:$A$15,0)),0)))</f>
        <v/>
      </c>
      <c r="M462" s="37">
        <f>IF(L462="","",IF(AND(Config!$B$17="Sim",LEFT(D462,17)="Cartão de crédito"),L462,L462+30*(MAX(1,N(E462))-1)))</f>
        <v/>
      </c>
      <c r="N462" s="29">
        <f>IF(OR(L462="",K462=""),"",K462*MIN(MAX(1,N(E462)),MAX(0,INT((Config!$B$8-L462)/30)+1)))</f>
        <v/>
      </c>
      <c r="O462" s="29">
        <f>IF(J462="","",J462-N(N462))</f>
        <v/>
      </c>
      <c r="P462" s="27">
        <f>IF(A462="","",MONTH(A462))</f>
        <v/>
      </c>
      <c r="Q462" s="27">
        <f>IF(A462="","",YEAR(A462))</f>
        <v/>
      </c>
      <c r="R462" s="27">
        <f>IF(L462="","",IF(L462&gt;Config!$B$8,"A cair",IF(N(G462)&gt;=MIN(MAX(1,N(E462)),MAX(0,INT((Config!$B$8-L462)/30)+1)),IF(N(G462)&gt;=MAX(1,N(E462)),"Conferido","Conferido até aqui"),"A conferir")))</f>
        <v/>
      </c>
      <c r="S462" s="51">
        <f>IF(R462="A conferir",(Config!$B$8-L462)*1000+N(F462)/1000+ROW()/100000,0)</f>
        <v>0</v>
      </c>
      <c r="T462" s="51">
        <f>IF(R462="A conferir",N(N462),0)</f>
        <v>0</v>
      </c>
      <c r="U462" s="51">
        <f>IF(L462="",0,L462)</f>
        <v>0</v>
      </c>
      <c r="V462" s="51">
        <f>IF(L462="",0,MAX(1,N(E462)))</f>
        <v>0</v>
      </c>
      <c r="W462" s="51">
        <f>IF(K462="",0,K462)</f>
        <v>0</v>
      </c>
    </row>
    <row r="463">
      <c r="A463" s="49" t="n"/>
      <c r="B463" s="41" t="n"/>
      <c r="C463" s="41" t="n"/>
      <c r="D463" s="42" t="n"/>
      <c r="E463" s="42" t="n"/>
      <c r="F463" s="50" t="n"/>
      <c r="G463" s="42" t="n"/>
      <c r="H463" s="30">
        <f>IF(D463="","",IFERROR(INDEX(Config!$B$12:$B$15,MATCH(IF(AND(D463="Cartão de crédito",N(E463)&gt;1),"Cartão de crédito parcelado",D463),Config!$A$12:$A$15,0)),0)+IF(AND(Config!$B$17="Sim",LEFT(D463,17)="Cartão de crédito"),Config!$B$18*IFERROR(INDEX(Config!$C$12:$C$15,MATCH(IF(AND(D463="Cartão de crédito",N(E463)&gt;1),"Cartão de crédito parcelado",D463),Config!$A$12:$A$15,0)),0)/30*MAX(1,N(E463)),0))</f>
        <v/>
      </c>
      <c r="I463" s="29">
        <f>IF(OR(D463="",F463=""),"",ROUND(F463*H463,2))</f>
        <v/>
      </c>
      <c r="J463" s="29">
        <f>IF(I463="","",F463-I463)</f>
        <v/>
      </c>
      <c r="K463" s="29">
        <f>IF(J463="","",J463/MAX(1,N(E463)))</f>
        <v/>
      </c>
      <c r="L463" s="37">
        <f>IF(OR(D463="",A463=""),"",A463+IF(AND(Config!$B$17="Sim",LEFT(D463,17)="Cartão de crédito"),1,IFERROR(INDEX(Config!$C$12:$C$15,MATCH(IF(AND(D463="Cartão de crédito",N(E463)&gt;1),"Cartão de crédito parcelado",D463),Config!$A$12:$A$15,0)),0)))</f>
        <v/>
      </c>
      <c r="M463" s="37">
        <f>IF(L463="","",IF(AND(Config!$B$17="Sim",LEFT(D463,17)="Cartão de crédito"),L463,L463+30*(MAX(1,N(E463))-1)))</f>
        <v/>
      </c>
      <c r="N463" s="29">
        <f>IF(OR(L463="",K463=""),"",K463*MIN(MAX(1,N(E463)),MAX(0,INT((Config!$B$8-L463)/30)+1)))</f>
        <v/>
      </c>
      <c r="O463" s="29">
        <f>IF(J463="","",J463-N(N463))</f>
        <v/>
      </c>
      <c r="P463" s="27">
        <f>IF(A463="","",MONTH(A463))</f>
        <v/>
      </c>
      <c r="Q463" s="27">
        <f>IF(A463="","",YEAR(A463))</f>
        <v/>
      </c>
      <c r="R463" s="27">
        <f>IF(L463="","",IF(L463&gt;Config!$B$8,"A cair",IF(N(G463)&gt;=MIN(MAX(1,N(E463)),MAX(0,INT((Config!$B$8-L463)/30)+1)),IF(N(G463)&gt;=MAX(1,N(E463)),"Conferido","Conferido até aqui"),"A conferir")))</f>
        <v/>
      </c>
      <c r="S463" s="51">
        <f>IF(R463="A conferir",(Config!$B$8-L463)*1000+N(F463)/1000+ROW()/100000,0)</f>
        <v>0</v>
      </c>
      <c r="T463" s="51">
        <f>IF(R463="A conferir",N(N463),0)</f>
        <v>0</v>
      </c>
      <c r="U463" s="51">
        <f>IF(L463="",0,L463)</f>
        <v>0</v>
      </c>
      <c r="V463" s="51">
        <f>IF(L463="",0,MAX(1,N(E463)))</f>
        <v>0</v>
      </c>
      <c r="W463" s="51">
        <f>IF(K463="",0,K463)</f>
        <v>0</v>
      </c>
    </row>
    <row r="464">
      <c r="A464" s="49" t="n"/>
      <c r="B464" s="41" t="n"/>
      <c r="C464" s="41" t="n"/>
      <c r="D464" s="42" t="n"/>
      <c r="E464" s="42" t="n"/>
      <c r="F464" s="50" t="n"/>
      <c r="G464" s="42" t="n"/>
      <c r="H464" s="30">
        <f>IF(D464="","",IFERROR(INDEX(Config!$B$12:$B$15,MATCH(IF(AND(D464="Cartão de crédito",N(E464)&gt;1),"Cartão de crédito parcelado",D464),Config!$A$12:$A$15,0)),0)+IF(AND(Config!$B$17="Sim",LEFT(D464,17)="Cartão de crédito"),Config!$B$18*IFERROR(INDEX(Config!$C$12:$C$15,MATCH(IF(AND(D464="Cartão de crédito",N(E464)&gt;1),"Cartão de crédito parcelado",D464),Config!$A$12:$A$15,0)),0)/30*MAX(1,N(E464)),0))</f>
        <v/>
      </c>
      <c r="I464" s="29">
        <f>IF(OR(D464="",F464=""),"",ROUND(F464*H464,2))</f>
        <v/>
      </c>
      <c r="J464" s="29">
        <f>IF(I464="","",F464-I464)</f>
        <v/>
      </c>
      <c r="K464" s="29">
        <f>IF(J464="","",J464/MAX(1,N(E464)))</f>
        <v/>
      </c>
      <c r="L464" s="37">
        <f>IF(OR(D464="",A464=""),"",A464+IF(AND(Config!$B$17="Sim",LEFT(D464,17)="Cartão de crédito"),1,IFERROR(INDEX(Config!$C$12:$C$15,MATCH(IF(AND(D464="Cartão de crédito",N(E464)&gt;1),"Cartão de crédito parcelado",D464),Config!$A$12:$A$15,0)),0)))</f>
        <v/>
      </c>
      <c r="M464" s="37">
        <f>IF(L464="","",IF(AND(Config!$B$17="Sim",LEFT(D464,17)="Cartão de crédito"),L464,L464+30*(MAX(1,N(E464))-1)))</f>
        <v/>
      </c>
      <c r="N464" s="29">
        <f>IF(OR(L464="",K464=""),"",K464*MIN(MAX(1,N(E464)),MAX(0,INT((Config!$B$8-L464)/30)+1)))</f>
        <v/>
      </c>
      <c r="O464" s="29">
        <f>IF(J464="","",J464-N(N464))</f>
        <v/>
      </c>
      <c r="P464" s="27">
        <f>IF(A464="","",MONTH(A464))</f>
        <v/>
      </c>
      <c r="Q464" s="27">
        <f>IF(A464="","",YEAR(A464))</f>
        <v/>
      </c>
      <c r="R464" s="27">
        <f>IF(L464="","",IF(L464&gt;Config!$B$8,"A cair",IF(N(G464)&gt;=MIN(MAX(1,N(E464)),MAX(0,INT((Config!$B$8-L464)/30)+1)),IF(N(G464)&gt;=MAX(1,N(E464)),"Conferido","Conferido até aqui"),"A conferir")))</f>
        <v/>
      </c>
      <c r="S464" s="51">
        <f>IF(R464="A conferir",(Config!$B$8-L464)*1000+N(F464)/1000+ROW()/100000,0)</f>
        <v>0</v>
      </c>
      <c r="T464" s="51">
        <f>IF(R464="A conferir",N(N464),0)</f>
        <v>0</v>
      </c>
      <c r="U464" s="51">
        <f>IF(L464="",0,L464)</f>
        <v>0</v>
      </c>
      <c r="V464" s="51">
        <f>IF(L464="",0,MAX(1,N(E464)))</f>
        <v>0</v>
      </c>
      <c r="W464" s="51">
        <f>IF(K464="",0,K464)</f>
        <v>0</v>
      </c>
    </row>
    <row r="465">
      <c r="A465" s="49" t="n"/>
      <c r="B465" s="41" t="n"/>
      <c r="C465" s="41" t="n"/>
      <c r="D465" s="42" t="n"/>
      <c r="E465" s="42" t="n"/>
      <c r="F465" s="50" t="n"/>
      <c r="G465" s="42" t="n"/>
      <c r="H465" s="30">
        <f>IF(D465="","",IFERROR(INDEX(Config!$B$12:$B$15,MATCH(IF(AND(D465="Cartão de crédito",N(E465)&gt;1),"Cartão de crédito parcelado",D465),Config!$A$12:$A$15,0)),0)+IF(AND(Config!$B$17="Sim",LEFT(D465,17)="Cartão de crédito"),Config!$B$18*IFERROR(INDEX(Config!$C$12:$C$15,MATCH(IF(AND(D465="Cartão de crédito",N(E465)&gt;1),"Cartão de crédito parcelado",D465),Config!$A$12:$A$15,0)),0)/30*MAX(1,N(E465)),0))</f>
        <v/>
      </c>
      <c r="I465" s="29">
        <f>IF(OR(D465="",F465=""),"",ROUND(F465*H465,2))</f>
        <v/>
      </c>
      <c r="J465" s="29">
        <f>IF(I465="","",F465-I465)</f>
        <v/>
      </c>
      <c r="K465" s="29">
        <f>IF(J465="","",J465/MAX(1,N(E465)))</f>
        <v/>
      </c>
      <c r="L465" s="37">
        <f>IF(OR(D465="",A465=""),"",A465+IF(AND(Config!$B$17="Sim",LEFT(D465,17)="Cartão de crédito"),1,IFERROR(INDEX(Config!$C$12:$C$15,MATCH(IF(AND(D465="Cartão de crédito",N(E465)&gt;1),"Cartão de crédito parcelado",D465),Config!$A$12:$A$15,0)),0)))</f>
        <v/>
      </c>
      <c r="M465" s="37">
        <f>IF(L465="","",IF(AND(Config!$B$17="Sim",LEFT(D465,17)="Cartão de crédito"),L465,L465+30*(MAX(1,N(E465))-1)))</f>
        <v/>
      </c>
      <c r="N465" s="29">
        <f>IF(OR(L465="",K465=""),"",K465*MIN(MAX(1,N(E465)),MAX(0,INT((Config!$B$8-L465)/30)+1)))</f>
        <v/>
      </c>
      <c r="O465" s="29">
        <f>IF(J465="","",J465-N(N465))</f>
        <v/>
      </c>
      <c r="P465" s="27">
        <f>IF(A465="","",MONTH(A465))</f>
        <v/>
      </c>
      <c r="Q465" s="27">
        <f>IF(A465="","",YEAR(A465))</f>
        <v/>
      </c>
      <c r="R465" s="27">
        <f>IF(L465="","",IF(L465&gt;Config!$B$8,"A cair",IF(N(G465)&gt;=MIN(MAX(1,N(E465)),MAX(0,INT((Config!$B$8-L465)/30)+1)),IF(N(G465)&gt;=MAX(1,N(E465)),"Conferido","Conferido até aqui"),"A conferir")))</f>
        <v/>
      </c>
      <c r="S465" s="51">
        <f>IF(R465="A conferir",(Config!$B$8-L465)*1000+N(F465)/1000+ROW()/100000,0)</f>
        <v>0</v>
      </c>
      <c r="T465" s="51">
        <f>IF(R465="A conferir",N(N465),0)</f>
        <v>0</v>
      </c>
      <c r="U465" s="51">
        <f>IF(L465="",0,L465)</f>
        <v>0</v>
      </c>
      <c r="V465" s="51">
        <f>IF(L465="",0,MAX(1,N(E465)))</f>
        <v>0</v>
      </c>
      <c r="W465" s="51">
        <f>IF(K465="",0,K465)</f>
        <v>0</v>
      </c>
    </row>
    <row r="466">
      <c r="A466" s="49" t="n"/>
      <c r="B466" s="41" t="n"/>
      <c r="C466" s="41" t="n"/>
      <c r="D466" s="42" t="n"/>
      <c r="E466" s="42" t="n"/>
      <c r="F466" s="50" t="n"/>
      <c r="G466" s="42" t="n"/>
      <c r="H466" s="30">
        <f>IF(D466="","",IFERROR(INDEX(Config!$B$12:$B$15,MATCH(IF(AND(D466="Cartão de crédito",N(E466)&gt;1),"Cartão de crédito parcelado",D466),Config!$A$12:$A$15,0)),0)+IF(AND(Config!$B$17="Sim",LEFT(D466,17)="Cartão de crédito"),Config!$B$18*IFERROR(INDEX(Config!$C$12:$C$15,MATCH(IF(AND(D466="Cartão de crédito",N(E466)&gt;1),"Cartão de crédito parcelado",D466),Config!$A$12:$A$15,0)),0)/30*MAX(1,N(E466)),0))</f>
        <v/>
      </c>
      <c r="I466" s="29">
        <f>IF(OR(D466="",F466=""),"",ROUND(F466*H466,2))</f>
        <v/>
      </c>
      <c r="J466" s="29">
        <f>IF(I466="","",F466-I466)</f>
        <v/>
      </c>
      <c r="K466" s="29">
        <f>IF(J466="","",J466/MAX(1,N(E466)))</f>
        <v/>
      </c>
      <c r="L466" s="37">
        <f>IF(OR(D466="",A466=""),"",A466+IF(AND(Config!$B$17="Sim",LEFT(D466,17)="Cartão de crédito"),1,IFERROR(INDEX(Config!$C$12:$C$15,MATCH(IF(AND(D466="Cartão de crédito",N(E466)&gt;1),"Cartão de crédito parcelado",D466),Config!$A$12:$A$15,0)),0)))</f>
        <v/>
      </c>
      <c r="M466" s="37">
        <f>IF(L466="","",IF(AND(Config!$B$17="Sim",LEFT(D466,17)="Cartão de crédito"),L466,L466+30*(MAX(1,N(E466))-1)))</f>
        <v/>
      </c>
      <c r="N466" s="29">
        <f>IF(OR(L466="",K466=""),"",K466*MIN(MAX(1,N(E466)),MAX(0,INT((Config!$B$8-L466)/30)+1)))</f>
        <v/>
      </c>
      <c r="O466" s="29">
        <f>IF(J466="","",J466-N(N466))</f>
        <v/>
      </c>
      <c r="P466" s="27">
        <f>IF(A466="","",MONTH(A466))</f>
        <v/>
      </c>
      <c r="Q466" s="27">
        <f>IF(A466="","",YEAR(A466))</f>
        <v/>
      </c>
      <c r="R466" s="27">
        <f>IF(L466="","",IF(L466&gt;Config!$B$8,"A cair",IF(N(G466)&gt;=MIN(MAX(1,N(E466)),MAX(0,INT((Config!$B$8-L466)/30)+1)),IF(N(G466)&gt;=MAX(1,N(E466)),"Conferido","Conferido até aqui"),"A conferir")))</f>
        <v/>
      </c>
      <c r="S466" s="51">
        <f>IF(R466="A conferir",(Config!$B$8-L466)*1000+N(F466)/1000+ROW()/100000,0)</f>
        <v>0</v>
      </c>
      <c r="T466" s="51">
        <f>IF(R466="A conferir",N(N466),0)</f>
        <v>0</v>
      </c>
      <c r="U466" s="51">
        <f>IF(L466="",0,L466)</f>
        <v>0</v>
      </c>
      <c r="V466" s="51">
        <f>IF(L466="",0,MAX(1,N(E466)))</f>
        <v>0</v>
      </c>
      <c r="W466" s="51">
        <f>IF(K466="",0,K466)</f>
        <v>0</v>
      </c>
    </row>
    <row r="467">
      <c r="A467" s="49" t="n"/>
      <c r="B467" s="41" t="n"/>
      <c r="C467" s="41" t="n"/>
      <c r="D467" s="42" t="n"/>
      <c r="E467" s="42" t="n"/>
      <c r="F467" s="50" t="n"/>
      <c r="G467" s="42" t="n"/>
      <c r="H467" s="30">
        <f>IF(D467="","",IFERROR(INDEX(Config!$B$12:$B$15,MATCH(IF(AND(D467="Cartão de crédito",N(E467)&gt;1),"Cartão de crédito parcelado",D467),Config!$A$12:$A$15,0)),0)+IF(AND(Config!$B$17="Sim",LEFT(D467,17)="Cartão de crédito"),Config!$B$18*IFERROR(INDEX(Config!$C$12:$C$15,MATCH(IF(AND(D467="Cartão de crédito",N(E467)&gt;1),"Cartão de crédito parcelado",D467),Config!$A$12:$A$15,0)),0)/30*MAX(1,N(E467)),0))</f>
        <v/>
      </c>
      <c r="I467" s="29">
        <f>IF(OR(D467="",F467=""),"",ROUND(F467*H467,2))</f>
        <v/>
      </c>
      <c r="J467" s="29">
        <f>IF(I467="","",F467-I467)</f>
        <v/>
      </c>
      <c r="K467" s="29">
        <f>IF(J467="","",J467/MAX(1,N(E467)))</f>
        <v/>
      </c>
      <c r="L467" s="37">
        <f>IF(OR(D467="",A467=""),"",A467+IF(AND(Config!$B$17="Sim",LEFT(D467,17)="Cartão de crédito"),1,IFERROR(INDEX(Config!$C$12:$C$15,MATCH(IF(AND(D467="Cartão de crédito",N(E467)&gt;1),"Cartão de crédito parcelado",D467),Config!$A$12:$A$15,0)),0)))</f>
        <v/>
      </c>
      <c r="M467" s="37">
        <f>IF(L467="","",IF(AND(Config!$B$17="Sim",LEFT(D467,17)="Cartão de crédito"),L467,L467+30*(MAX(1,N(E467))-1)))</f>
        <v/>
      </c>
      <c r="N467" s="29">
        <f>IF(OR(L467="",K467=""),"",K467*MIN(MAX(1,N(E467)),MAX(0,INT((Config!$B$8-L467)/30)+1)))</f>
        <v/>
      </c>
      <c r="O467" s="29">
        <f>IF(J467="","",J467-N(N467))</f>
        <v/>
      </c>
      <c r="P467" s="27">
        <f>IF(A467="","",MONTH(A467))</f>
        <v/>
      </c>
      <c r="Q467" s="27">
        <f>IF(A467="","",YEAR(A467))</f>
        <v/>
      </c>
      <c r="R467" s="27">
        <f>IF(L467="","",IF(L467&gt;Config!$B$8,"A cair",IF(N(G467)&gt;=MIN(MAX(1,N(E467)),MAX(0,INT((Config!$B$8-L467)/30)+1)),IF(N(G467)&gt;=MAX(1,N(E467)),"Conferido","Conferido até aqui"),"A conferir")))</f>
        <v/>
      </c>
      <c r="S467" s="51">
        <f>IF(R467="A conferir",(Config!$B$8-L467)*1000+N(F467)/1000+ROW()/100000,0)</f>
        <v>0</v>
      </c>
      <c r="T467" s="51">
        <f>IF(R467="A conferir",N(N467),0)</f>
        <v>0</v>
      </c>
      <c r="U467" s="51">
        <f>IF(L467="",0,L467)</f>
        <v>0</v>
      </c>
      <c r="V467" s="51">
        <f>IF(L467="",0,MAX(1,N(E467)))</f>
        <v>0</v>
      </c>
      <c r="W467" s="51">
        <f>IF(K467="",0,K467)</f>
        <v>0</v>
      </c>
    </row>
    <row r="468">
      <c r="A468" s="49" t="n"/>
      <c r="B468" s="41" t="n"/>
      <c r="C468" s="41" t="n"/>
      <c r="D468" s="42" t="n"/>
      <c r="E468" s="42" t="n"/>
      <c r="F468" s="50" t="n"/>
      <c r="G468" s="42" t="n"/>
      <c r="H468" s="30">
        <f>IF(D468="","",IFERROR(INDEX(Config!$B$12:$B$15,MATCH(IF(AND(D468="Cartão de crédito",N(E468)&gt;1),"Cartão de crédito parcelado",D468),Config!$A$12:$A$15,0)),0)+IF(AND(Config!$B$17="Sim",LEFT(D468,17)="Cartão de crédito"),Config!$B$18*IFERROR(INDEX(Config!$C$12:$C$15,MATCH(IF(AND(D468="Cartão de crédito",N(E468)&gt;1),"Cartão de crédito parcelado",D468),Config!$A$12:$A$15,0)),0)/30*MAX(1,N(E468)),0))</f>
        <v/>
      </c>
      <c r="I468" s="29">
        <f>IF(OR(D468="",F468=""),"",ROUND(F468*H468,2))</f>
        <v/>
      </c>
      <c r="J468" s="29">
        <f>IF(I468="","",F468-I468)</f>
        <v/>
      </c>
      <c r="K468" s="29">
        <f>IF(J468="","",J468/MAX(1,N(E468)))</f>
        <v/>
      </c>
      <c r="L468" s="37">
        <f>IF(OR(D468="",A468=""),"",A468+IF(AND(Config!$B$17="Sim",LEFT(D468,17)="Cartão de crédito"),1,IFERROR(INDEX(Config!$C$12:$C$15,MATCH(IF(AND(D468="Cartão de crédito",N(E468)&gt;1),"Cartão de crédito parcelado",D468),Config!$A$12:$A$15,0)),0)))</f>
        <v/>
      </c>
      <c r="M468" s="37">
        <f>IF(L468="","",IF(AND(Config!$B$17="Sim",LEFT(D468,17)="Cartão de crédito"),L468,L468+30*(MAX(1,N(E468))-1)))</f>
        <v/>
      </c>
      <c r="N468" s="29">
        <f>IF(OR(L468="",K468=""),"",K468*MIN(MAX(1,N(E468)),MAX(0,INT((Config!$B$8-L468)/30)+1)))</f>
        <v/>
      </c>
      <c r="O468" s="29">
        <f>IF(J468="","",J468-N(N468))</f>
        <v/>
      </c>
      <c r="P468" s="27">
        <f>IF(A468="","",MONTH(A468))</f>
        <v/>
      </c>
      <c r="Q468" s="27">
        <f>IF(A468="","",YEAR(A468))</f>
        <v/>
      </c>
      <c r="R468" s="27">
        <f>IF(L468="","",IF(L468&gt;Config!$B$8,"A cair",IF(N(G468)&gt;=MIN(MAX(1,N(E468)),MAX(0,INT((Config!$B$8-L468)/30)+1)),IF(N(G468)&gt;=MAX(1,N(E468)),"Conferido","Conferido até aqui"),"A conferir")))</f>
        <v/>
      </c>
      <c r="S468" s="51">
        <f>IF(R468="A conferir",(Config!$B$8-L468)*1000+N(F468)/1000+ROW()/100000,0)</f>
        <v>0</v>
      </c>
      <c r="T468" s="51">
        <f>IF(R468="A conferir",N(N468),0)</f>
        <v>0</v>
      </c>
      <c r="U468" s="51">
        <f>IF(L468="",0,L468)</f>
        <v>0</v>
      </c>
      <c r="V468" s="51">
        <f>IF(L468="",0,MAX(1,N(E468)))</f>
        <v>0</v>
      </c>
      <c r="W468" s="51">
        <f>IF(K468="",0,K468)</f>
        <v>0</v>
      </c>
    </row>
    <row r="469">
      <c r="A469" s="49" t="n"/>
      <c r="B469" s="41" t="n"/>
      <c r="C469" s="41" t="n"/>
      <c r="D469" s="42" t="n"/>
      <c r="E469" s="42" t="n"/>
      <c r="F469" s="50" t="n"/>
      <c r="G469" s="42" t="n"/>
      <c r="H469" s="30">
        <f>IF(D469="","",IFERROR(INDEX(Config!$B$12:$B$15,MATCH(IF(AND(D469="Cartão de crédito",N(E469)&gt;1),"Cartão de crédito parcelado",D469),Config!$A$12:$A$15,0)),0)+IF(AND(Config!$B$17="Sim",LEFT(D469,17)="Cartão de crédito"),Config!$B$18*IFERROR(INDEX(Config!$C$12:$C$15,MATCH(IF(AND(D469="Cartão de crédito",N(E469)&gt;1),"Cartão de crédito parcelado",D469),Config!$A$12:$A$15,0)),0)/30*MAX(1,N(E469)),0))</f>
        <v/>
      </c>
      <c r="I469" s="29">
        <f>IF(OR(D469="",F469=""),"",ROUND(F469*H469,2))</f>
        <v/>
      </c>
      <c r="J469" s="29">
        <f>IF(I469="","",F469-I469)</f>
        <v/>
      </c>
      <c r="K469" s="29">
        <f>IF(J469="","",J469/MAX(1,N(E469)))</f>
        <v/>
      </c>
      <c r="L469" s="37">
        <f>IF(OR(D469="",A469=""),"",A469+IF(AND(Config!$B$17="Sim",LEFT(D469,17)="Cartão de crédito"),1,IFERROR(INDEX(Config!$C$12:$C$15,MATCH(IF(AND(D469="Cartão de crédito",N(E469)&gt;1),"Cartão de crédito parcelado",D469),Config!$A$12:$A$15,0)),0)))</f>
        <v/>
      </c>
      <c r="M469" s="37">
        <f>IF(L469="","",IF(AND(Config!$B$17="Sim",LEFT(D469,17)="Cartão de crédito"),L469,L469+30*(MAX(1,N(E469))-1)))</f>
        <v/>
      </c>
      <c r="N469" s="29">
        <f>IF(OR(L469="",K469=""),"",K469*MIN(MAX(1,N(E469)),MAX(0,INT((Config!$B$8-L469)/30)+1)))</f>
        <v/>
      </c>
      <c r="O469" s="29">
        <f>IF(J469="","",J469-N(N469))</f>
        <v/>
      </c>
      <c r="P469" s="27">
        <f>IF(A469="","",MONTH(A469))</f>
        <v/>
      </c>
      <c r="Q469" s="27">
        <f>IF(A469="","",YEAR(A469))</f>
        <v/>
      </c>
      <c r="R469" s="27">
        <f>IF(L469="","",IF(L469&gt;Config!$B$8,"A cair",IF(N(G469)&gt;=MIN(MAX(1,N(E469)),MAX(0,INT((Config!$B$8-L469)/30)+1)),IF(N(G469)&gt;=MAX(1,N(E469)),"Conferido","Conferido até aqui"),"A conferir")))</f>
        <v/>
      </c>
      <c r="S469" s="51">
        <f>IF(R469="A conferir",(Config!$B$8-L469)*1000+N(F469)/1000+ROW()/100000,0)</f>
        <v>0</v>
      </c>
      <c r="T469" s="51">
        <f>IF(R469="A conferir",N(N469),0)</f>
        <v>0</v>
      </c>
      <c r="U469" s="51">
        <f>IF(L469="",0,L469)</f>
        <v>0</v>
      </c>
      <c r="V469" s="51">
        <f>IF(L469="",0,MAX(1,N(E469)))</f>
        <v>0</v>
      </c>
      <c r="W469" s="51">
        <f>IF(K469="",0,K469)</f>
        <v>0</v>
      </c>
    </row>
    <row r="470">
      <c r="A470" s="49" t="n"/>
      <c r="B470" s="41" t="n"/>
      <c r="C470" s="41" t="n"/>
      <c r="D470" s="42" t="n"/>
      <c r="E470" s="42" t="n"/>
      <c r="F470" s="50" t="n"/>
      <c r="G470" s="42" t="n"/>
      <c r="H470" s="30">
        <f>IF(D470="","",IFERROR(INDEX(Config!$B$12:$B$15,MATCH(IF(AND(D470="Cartão de crédito",N(E470)&gt;1),"Cartão de crédito parcelado",D470),Config!$A$12:$A$15,0)),0)+IF(AND(Config!$B$17="Sim",LEFT(D470,17)="Cartão de crédito"),Config!$B$18*IFERROR(INDEX(Config!$C$12:$C$15,MATCH(IF(AND(D470="Cartão de crédito",N(E470)&gt;1),"Cartão de crédito parcelado",D470),Config!$A$12:$A$15,0)),0)/30*MAX(1,N(E470)),0))</f>
        <v/>
      </c>
      <c r="I470" s="29">
        <f>IF(OR(D470="",F470=""),"",ROUND(F470*H470,2))</f>
        <v/>
      </c>
      <c r="J470" s="29">
        <f>IF(I470="","",F470-I470)</f>
        <v/>
      </c>
      <c r="K470" s="29">
        <f>IF(J470="","",J470/MAX(1,N(E470)))</f>
        <v/>
      </c>
      <c r="L470" s="37">
        <f>IF(OR(D470="",A470=""),"",A470+IF(AND(Config!$B$17="Sim",LEFT(D470,17)="Cartão de crédito"),1,IFERROR(INDEX(Config!$C$12:$C$15,MATCH(IF(AND(D470="Cartão de crédito",N(E470)&gt;1),"Cartão de crédito parcelado",D470),Config!$A$12:$A$15,0)),0)))</f>
        <v/>
      </c>
      <c r="M470" s="37">
        <f>IF(L470="","",IF(AND(Config!$B$17="Sim",LEFT(D470,17)="Cartão de crédito"),L470,L470+30*(MAX(1,N(E470))-1)))</f>
        <v/>
      </c>
      <c r="N470" s="29">
        <f>IF(OR(L470="",K470=""),"",K470*MIN(MAX(1,N(E470)),MAX(0,INT((Config!$B$8-L470)/30)+1)))</f>
        <v/>
      </c>
      <c r="O470" s="29">
        <f>IF(J470="","",J470-N(N470))</f>
        <v/>
      </c>
      <c r="P470" s="27">
        <f>IF(A470="","",MONTH(A470))</f>
        <v/>
      </c>
      <c r="Q470" s="27">
        <f>IF(A470="","",YEAR(A470))</f>
        <v/>
      </c>
      <c r="R470" s="27">
        <f>IF(L470="","",IF(L470&gt;Config!$B$8,"A cair",IF(N(G470)&gt;=MIN(MAX(1,N(E470)),MAX(0,INT((Config!$B$8-L470)/30)+1)),IF(N(G470)&gt;=MAX(1,N(E470)),"Conferido","Conferido até aqui"),"A conferir")))</f>
        <v/>
      </c>
      <c r="S470" s="51">
        <f>IF(R470="A conferir",(Config!$B$8-L470)*1000+N(F470)/1000+ROW()/100000,0)</f>
        <v>0</v>
      </c>
      <c r="T470" s="51">
        <f>IF(R470="A conferir",N(N470),0)</f>
        <v>0</v>
      </c>
      <c r="U470" s="51">
        <f>IF(L470="",0,L470)</f>
        <v>0</v>
      </c>
      <c r="V470" s="51">
        <f>IF(L470="",0,MAX(1,N(E470)))</f>
        <v>0</v>
      </c>
      <c r="W470" s="51">
        <f>IF(K470="",0,K470)</f>
        <v>0</v>
      </c>
    </row>
    <row r="471">
      <c r="A471" s="49" t="n"/>
      <c r="B471" s="41" t="n"/>
      <c r="C471" s="41" t="n"/>
      <c r="D471" s="42" t="n"/>
      <c r="E471" s="42" t="n"/>
      <c r="F471" s="50" t="n"/>
      <c r="G471" s="42" t="n"/>
      <c r="H471" s="30">
        <f>IF(D471="","",IFERROR(INDEX(Config!$B$12:$B$15,MATCH(IF(AND(D471="Cartão de crédito",N(E471)&gt;1),"Cartão de crédito parcelado",D471),Config!$A$12:$A$15,0)),0)+IF(AND(Config!$B$17="Sim",LEFT(D471,17)="Cartão de crédito"),Config!$B$18*IFERROR(INDEX(Config!$C$12:$C$15,MATCH(IF(AND(D471="Cartão de crédito",N(E471)&gt;1),"Cartão de crédito parcelado",D471),Config!$A$12:$A$15,0)),0)/30*MAX(1,N(E471)),0))</f>
        <v/>
      </c>
      <c r="I471" s="29">
        <f>IF(OR(D471="",F471=""),"",ROUND(F471*H471,2))</f>
        <v/>
      </c>
      <c r="J471" s="29">
        <f>IF(I471="","",F471-I471)</f>
        <v/>
      </c>
      <c r="K471" s="29">
        <f>IF(J471="","",J471/MAX(1,N(E471)))</f>
        <v/>
      </c>
      <c r="L471" s="37">
        <f>IF(OR(D471="",A471=""),"",A471+IF(AND(Config!$B$17="Sim",LEFT(D471,17)="Cartão de crédito"),1,IFERROR(INDEX(Config!$C$12:$C$15,MATCH(IF(AND(D471="Cartão de crédito",N(E471)&gt;1),"Cartão de crédito parcelado",D471),Config!$A$12:$A$15,0)),0)))</f>
        <v/>
      </c>
      <c r="M471" s="37">
        <f>IF(L471="","",IF(AND(Config!$B$17="Sim",LEFT(D471,17)="Cartão de crédito"),L471,L471+30*(MAX(1,N(E471))-1)))</f>
        <v/>
      </c>
      <c r="N471" s="29">
        <f>IF(OR(L471="",K471=""),"",K471*MIN(MAX(1,N(E471)),MAX(0,INT((Config!$B$8-L471)/30)+1)))</f>
        <v/>
      </c>
      <c r="O471" s="29">
        <f>IF(J471="","",J471-N(N471))</f>
        <v/>
      </c>
      <c r="P471" s="27">
        <f>IF(A471="","",MONTH(A471))</f>
        <v/>
      </c>
      <c r="Q471" s="27">
        <f>IF(A471="","",YEAR(A471))</f>
        <v/>
      </c>
      <c r="R471" s="27">
        <f>IF(L471="","",IF(L471&gt;Config!$B$8,"A cair",IF(N(G471)&gt;=MIN(MAX(1,N(E471)),MAX(0,INT((Config!$B$8-L471)/30)+1)),IF(N(G471)&gt;=MAX(1,N(E471)),"Conferido","Conferido até aqui"),"A conferir")))</f>
        <v/>
      </c>
      <c r="S471" s="51">
        <f>IF(R471="A conferir",(Config!$B$8-L471)*1000+N(F471)/1000+ROW()/100000,0)</f>
        <v>0</v>
      </c>
      <c r="T471" s="51">
        <f>IF(R471="A conferir",N(N471),0)</f>
        <v>0</v>
      </c>
      <c r="U471" s="51">
        <f>IF(L471="",0,L471)</f>
        <v>0</v>
      </c>
      <c r="V471" s="51">
        <f>IF(L471="",0,MAX(1,N(E471)))</f>
        <v>0</v>
      </c>
      <c r="W471" s="51">
        <f>IF(K471="",0,K471)</f>
        <v>0</v>
      </c>
    </row>
    <row r="472">
      <c r="A472" s="49" t="n"/>
      <c r="B472" s="41" t="n"/>
      <c r="C472" s="41" t="n"/>
      <c r="D472" s="42" t="n"/>
      <c r="E472" s="42" t="n"/>
      <c r="F472" s="50" t="n"/>
      <c r="G472" s="42" t="n"/>
      <c r="H472" s="30">
        <f>IF(D472="","",IFERROR(INDEX(Config!$B$12:$B$15,MATCH(IF(AND(D472="Cartão de crédito",N(E472)&gt;1),"Cartão de crédito parcelado",D472),Config!$A$12:$A$15,0)),0)+IF(AND(Config!$B$17="Sim",LEFT(D472,17)="Cartão de crédito"),Config!$B$18*IFERROR(INDEX(Config!$C$12:$C$15,MATCH(IF(AND(D472="Cartão de crédito",N(E472)&gt;1),"Cartão de crédito parcelado",D472),Config!$A$12:$A$15,0)),0)/30*MAX(1,N(E472)),0))</f>
        <v/>
      </c>
      <c r="I472" s="29">
        <f>IF(OR(D472="",F472=""),"",ROUND(F472*H472,2))</f>
        <v/>
      </c>
      <c r="J472" s="29">
        <f>IF(I472="","",F472-I472)</f>
        <v/>
      </c>
      <c r="K472" s="29">
        <f>IF(J472="","",J472/MAX(1,N(E472)))</f>
        <v/>
      </c>
      <c r="L472" s="37">
        <f>IF(OR(D472="",A472=""),"",A472+IF(AND(Config!$B$17="Sim",LEFT(D472,17)="Cartão de crédito"),1,IFERROR(INDEX(Config!$C$12:$C$15,MATCH(IF(AND(D472="Cartão de crédito",N(E472)&gt;1),"Cartão de crédito parcelado",D472),Config!$A$12:$A$15,0)),0)))</f>
        <v/>
      </c>
      <c r="M472" s="37">
        <f>IF(L472="","",IF(AND(Config!$B$17="Sim",LEFT(D472,17)="Cartão de crédito"),L472,L472+30*(MAX(1,N(E472))-1)))</f>
        <v/>
      </c>
      <c r="N472" s="29">
        <f>IF(OR(L472="",K472=""),"",K472*MIN(MAX(1,N(E472)),MAX(0,INT((Config!$B$8-L472)/30)+1)))</f>
        <v/>
      </c>
      <c r="O472" s="29">
        <f>IF(J472="","",J472-N(N472))</f>
        <v/>
      </c>
      <c r="P472" s="27">
        <f>IF(A472="","",MONTH(A472))</f>
        <v/>
      </c>
      <c r="Q472" s="27">
        <f>IF(A472="","",YEAR(A472))</f>
        <v/>
      </c>
      <c r="R472" s="27">
        <f>IF(L472="","",IF(L472&gt;Config!$B$8,"A cair",IF(N(G472)&gt;=MIN(MAX(1,N(E472)),MAX(0,INT((Config!$B$8-L472)/30)+1)),IF(N(G472)&gt;=MAX(1,N(E472)),"Conferido","Conferido até aqui"),"A conferir")))</f>
        <v/>
      </c>
      <c r="S472" s="51">
        <f>IF(R472="A conferir",(Config!$B$8-L472)*1000+N(F472)/1000+ROW()/100000,0)</f>
        <v>0</v>
      </c>
      <c r="T472" s="51">
        <f>IF(R472="A conferir",N(N472),0)</f>
        <v>0</v>
      </c>
      <c r="U472" s="51">
        <f>IF(L472="",0,L472)</f>
        <v>0</v>
      </c>
      <c r="V472" s="51">
        <f>IF(L472="",0,MAX(1,N(E472)))</f>
        <v>0</v>
      </c>
      <c r="W472" s="51">
        <f>IF(K472="",0,K472)</f>
        <v>0</v>
      </c>
    </row>
    <row r="473">
      <c r="A473" s="49" t="n"/>
      <c r="B473" s="41" t="n"/>
      <c r="C473" s="41" t="n"/>
      <c r="D473" s="42" t="n"/>
      <c r="E473" s="42" t="n"/>
      <c r="F473" s="50" t="n"/>
      <c r="G473" s="42" t="n"/>
      <c r="H473" s="30">
        <f>IF(D473="","",IFERROR(INDEX(Config!$B$12:$B$15,MATCH(IF(AND(D473="Cartão de crédito",N(E473)&gt;1),"Cartão de crédito parcelado",D473),Config!$A$12:$A$15,0)),0)+IF(AND(Config!$B$17="Sim",LEFT(D473,17)="Cartão de crédito"),Config!$B$18*IFERROR(INDEX(Config!$C$12:$C$15,MATCH(IF(AND(D473="Cartão de crédito",N(E473)&gt;1),"Cartão de crédito parcelado",D473),Config!$A$12:$A$15,0)),0)/30*MAX(1,N(E473)),0))</f>
        <v/>
      </c>
      <c r="I473" s="29">
        <f>IF(OR(D473="",F473=""),"",ROUND(F473*H473,2))</f>
        <v/>
      </c>
      <c r="J473" s="29">
        <f>IF(I473="","",F473-I473)</f>
        <v/>
      </c>
      <c r="K473" s="29">
        <f>IF(J473="","",J473/MAX(1,N(E473)))</f>
        <v/>
      </c>
      <c r="L473" s="37">
        <f>IF(OR(D473="",A473=""),"",A473+IF(AND(Config!$B$17="Sim",LEFT(D473,17)="Cartão de crédito"),1,IFERROR(INDEX(Config!$C$12:$C$15,MATCH(IF(AND(D473="Cartão de crédito",N(E473)&gt;1),"Cartão de crédito parcelado",D473),Config!$A$12:$A$15,0)),0)))</f>
        <v/>
      </c>
      <c r="M473" s="37">
        <f>IF(L473="","",IF(AND(Config!$B$17="Sim",LEFT(D473,17)="Cartão de crédito"),L473,L473+30*(MAX(1,N(E473))-1)))</f>
        <v/>
      </c>
      <c r="N473" s="29">
        <f>IF(OR(L473="",K473=""),"",K473*MIN(MAX(1,N(E473)),MAX(0,INT((Config!$B$8-L473)/30)+1)))</f>
        <v/>
      </c>
      <c r="O473" s="29">
        <f>IF(J473="","",J473-N(N473))</f>
        <v/>
      </c>
      <c r="P473" s="27">
        <f>IF(A473="","",MONTH(A473))</f>
        <v/>
      </c>
      <c r="Q473" s="27">
        <f>IF(A473="","",YEAR(A473))</f>
        <v/>
      </c>
      <c r="R473" s="27">
        <f>IF(L473="","",IF(L473&gt;Config!$B$8,"A cair",IF(N(G473)&gt;=MIN(MAX(1,N(E473)),MAX(0,INT((Config!$B$8-L473)/30)+1)),IF(N(G473)&gt;=MAX(1,N(E473)),"Conferido","Conferido até aqui"),"A conferir")))</f>
        <v/>
      </c>
      <c r="S473" s="51">
        <f>IF(R473="A conferir",(Config!$B$8-L473)*1000+N(F473)/1000+ROW()/100000,0)</f>
        <v>0</v>
      </c>
      <c r="T473" s="51">
        <f>IF(R473="A conferir",N(N473),0)</f>
        <v>0</v>
      </c>
      <c r="U473" s="51">
        <f>IF(L473="",0,L473)</f>
        <v>0</v>
      </c>
      <c r="V473" s="51">
        <f>IF(L473="",0,MAX(1,N(E473)))</f>
        <v>0</v>
      </c>
      <c r="W473" s="51">
        <f>IF(K473="",0,K473)</f>
        <v>0</v>
      </c>
    </row>
    <row r="474">
      <c r="A474" s="49" t="n"/>
      <c r="B474" s="41" t="n"/>
      <c r="C474" s="41" t="n"/>
      <c r="D474" s="42" t="n"/>
      <c r="E474" s="42" t="n"/>
      <c r="F474" s="50" t="n"/>
      <c r="G474" s="42" t="n"/>
      <c r="H474" s="30">
        <f>IF(D474="","",IFERROR(INDEX(Config!$B$12:$B$15,MATCH(IF(AND(D474="Cartão de crédito",N(E474)&gt;1),"Cartão de crédito parcelado",D474),Config!$A$12:$A$15,0)),0)+IF(AND(Config!$B$17="Sim",LEFT(D474,17)="Cartão de crédito"),Config!$B$18*IFERROR(INDEX(Config!$C$12:$C$15,MATCH(IF(AND(D474="Cartão de crédito",N(E474)&gt;1),"Cartão de crédito parcelado",D474),Config!$A$12:$A$15,0)),0)/30*MAX(1,N(E474)),0))</f>
        <v/>
      </c>
      <c r="I474" s="29">
        <f>IF(OR(D474="",F474=""),"",ROUND(F474*H474,2))</f>
        <v/>
      </c>
      <c r="J474" s="29">
        <f>IF(I474="","",F474-I474)</f>
        <v/>
      </c>
      <c r="K474" s="29">
        <f>IF(J474="","",J474/MAX(1,N(E474)))</f>
        <v/>
      </c>
      <c r="L474" s="37">
        <f>IF(OR(D474="",A474=""),"",A474+IF(AND(Config!$B$17="Sim",LEFT(D474,17)="Cartão de crédito"),1,IFERROR(INDEX(Config!$C$12:$C$15,MATCH(IF(AND(D474="Cartão de crédito",N(E474)&gt;1),"Cartão de crédito parcelado",D474),Config!$A$12:$A$15,0)),0)))</f>
        <v/>
      </c>
      <c r="M474" s="37">
        <f>IF(L474="","",IF(AND(Config!$B$17="Sim",LEFT(D474,17)="Cartão de crédito"),L474,L474+30*(MAX(1,N(E474))-1)))</f>
        <v/>
      </c>
      <c r="N474" s="29">
        <f>IF(OR(L474="",K474=""),"",K474*MIN(MAX(1,N(E474)),MAX(0,INT((Config!$B$8-L474)/30)+1)))</f>
        <v/>
      </c>
      <c r="O474" s="29">
        <f>IF(J474="","",J474-N(N474))</f>
        <v/>
      </c>
      <c r="P474" s="27">
        <f>IF(A474="","",MONTH(A474))</f>
        <v/>
      </c>
      <c r="Q474" s="27">
        <f>IF(A474="","",YEAR(A474))</f>
        <v/>
      </c>
      <c r="R474" s="27">
        <f>IF(L474="","",IF(L474&gt;Config!$B$8,"A cair",IF(N(G474)&gt;=MIN(MAX(1,N(E474)),MAX(0,INT((Config!$B$8-L474)/30)+1)),IF(N(G474)&gt;=MAX(1,N(E474)),"Conferido","Conferido até aqui"),"A conferir")))</f>
        <v/>
      </c>
      <c r="S474" s="51">
        <f>IF(R474="A conferir",(Config!$B$8-L474)*1000+N(F474)/1000+ROW()/100000,0)</f>
        <v>0</v>
      </c>
      <c r="T474" s="51">
        <f>IF(R474="A conferir",N(N474),0)</f>
        <v>0</v>
      </c>
      <c r="U474" s="51">
        <f>IF(L474="",0,L474)</f>
        <v>0</v>
      </c>
      <c r="V474" s="51">
        <f>IF(L474="",0,MAX(1,N(E474)))</f>
        <v>0</v>
      </c>
      <c r="W474" s="51">
        <f>IF(K474="",0,K474)</f>
        <v>0</v>
      </c>
    </row>
    <row r="475">
      <c r="A475" s="49" t="n"/>
      <c r="B475" s="41" t="n"/>
      <c r="C475" s="41" t="n"/>
      <c r="D475" s="42" t="n"/>
      <c r="E475" s="42" t="n"/>
      <c r="F475" s="50" t="n"/>
      <c r="G475" s="42" t="n"/>
      <c r="H475" s="30">
        <f>IF(D475="","",IFERROR(INDEX(Config!$B$12:$B$15,MATCH(IF(AND(D475="Cartão de crédito",N(E475)&gt;1),"Cartão de crédito parcelado",D475),Config!$A$12:$A$15,0)),0)+IF(AND(Config!$B$17="Sim",LEFT(D475,17)="Cartão de crédito"),Config!$B$18*IFERROR(INDEX(Config!$C$12:$C$15,MATCH(IF(AND(D475="Cartão de crédito",N(E475)&gt;1),"Cartão de crédito parcelado",D475),Config!$A$12:$A$15,0)),0)/30*MAX(1,N(E475)),0))</f>
        <v/>
      </c>
      <c r="I475" s="29">
        <f>IF(OR(D475="",F475=""),"",ROUND(F475*H475,2))</f>
        <v/>
      </c>
      <c r="J475" s="29">
        <f>IF(I475="","",F475-I475)</f>
        <v/>
      </c>
      <c r="K475" s="29">
        <f>IF(J475="","",J475/MAX(1,N(E475)))</f>
        <v/>
      </c>
      <c r="L475" s="37">
        <f>IF(OR(D475="",A475=""),"",A475+IF(AND(Config!$B$17="Sim",LEFT(D475,17)="Cartão de crédito"),1,IFERROR(INDEX(Config!$C$12:$C$15,MATCH(IF(AND(D475="Cartão de crédito",N(E475)&gt;1),"Cartão de crédito parcelado",D475),Config!$A$12:$A$15,0)),0)))</f>
        <v/>
      </c>
      <c r="M475" s="37">
        <f>IF(L475="","",IF(AND(Config!$B$17="Sim",LEFT(D475,17)="Cartão de crédito"),L475,L475+30*(MAX(1,N(E475))-1)))</f>
        <v/>
      </c>
      <c r="N475" s="29">
        <f>IF(OR(L475="",K475=""),"",K475*MIN(MAX(1,N(E475)),MAX(0,INT((Config!$B$8-L475)/30)+1)))</f>
        <v/>
      </c>
      <c r="O475" s="29">
        <f>IF(J475="","",J475-N(N475))</f>
        <v/>
      </c>
      <c r="P475" s="27">
        <f>IF(A475="","",MONTH(A475))</f>
        <v/>
      </c>
      <c r="Q475" s="27">
        <f>IF(A475="","",YEAR(A475))</f>
        <v/>
      </c>
      <c r="R475" s="27">
        <f>IF(L475="","",IF(L475&gt;Config!$B$8,"A cair",IF(N(G475)&gt;=MIN(MAX(1,N(E475)),MAX(0,INT((Config!$B$8-L475)/30)+1)),IF(N(G475)&gt;=MAX(1,N(E475)),"Conferido","Conferido até aqui"),"A conferir")))</f>
        <v/>
      </c>
      <c r="S475" s="51">
        <f>IF(R475="A conferir",(Config!$B$8-L475)*1000+N(F475)/1000+ROW()/100000,0)</f>
        <v>0</v>
      </c>
      <c r="T475" s="51">
        <f>IF(R475="A conferir",N(N475),0)</f>
        <v>0</v>
      </c>
      <c r="U475" s="51">
        <f>IF(L475="",0,L475)</f>
        <v>0</v>
      </c>
      <c r="V475" s="51">
        <f>IF(L475="",0,MAX(1,N(E475)))</f>
        <v>0</v>
      </c>
      <c r="W475" s="51">
        <f>IF(K475="",0,K475)</f>
        <v>0</v>
      </c>
    </row>
    <row r="476">
      <c r="A476" s="49" t="n"/>
      <c r="B476" s="41" t="n"/>
      <c r="C476" s="41" t="n"/>
      <c r="D476" s="42" t="n"/>
      <c r="E476" s="42" t="n"/>
      <c r="F476" s="50" t="n"/>
      <c r="G476" s="42" t="n"/>
      <c r="H476" s="30">
        <f>IF(D476="","",IFERROR(INDEX(Config!$B$12:$B$15,MATCH(IF(AND(D476="Cartão de crédito",N(E476)&gt;1),"Cartão de crédito parcelado",D476),Config!$A$12:$A$15,0)),0)+IF(AND(Config!$B$17="Sim",LEFT(D476,17)="Cartão de crédito"),Config!$B$18*IFERROR(INDEX(Config!$C$12:$C$15,MATCH(IF(AND(D476="Cartão de crédito",N(E476)&gt;1),"Cartão de crédito parcelado",D476),Config!$A$12:$A$15,0)),0)/30*MAX(1,N(E476)),0))</f>
        <v/>
      </c>
      <c r="I476" s="29">
        <f>IF(OR(D476="",F476=""),"",ROUND(F476*H476,2))</f>
        <v/>
      </c>
      <c r="J476" s="29">
        <f>IF(I476="","",F476-I476)</f>
        <v/>
      </c>
      <c r="K476" s="29">
        <f>IF(J476="","",J476/MAX(1,N(E476)))</f>
        <v/>
      </c>
      <c r="L476" s="37">
        <f>IF(OR(D476="",A476=""),"",A476+IF(AND(Config!$B$17="Sim",LEFT(D476,17)="Cartão de crédito"),1,IFERROR(INDEX(Config!$C$12:$C$15,MATCH(IF(AND(D476="Cartão de crédito",N(E476)&gt;1),"Cartão de crédito parcelado",D476),Config!$A$12:$A$15,0)),0)))</f>
        <v/>
      </c>
      <c r="M476" s="37">
        <f>IF(L476="","",IF(AND(Config!$B$17="Sim",LEFT(D476,17)="Cartão de crédito"),L476,L476+30*(MAX(1,N(E476))-1)))</f>
        <v/>
      </c>
      <c r="N476" s="29">
        <f>IF(OR(L476="",K476=""),"",K476*MIN(MAX(1,N(E476)),MAX(0,INT((Config!$B$8-L476)/30)+1)))</f>
        <v/>
      </c>
      <c r="O476" s="29">
        <f>IF(J476="","",J476-N(N476))</f>
        <v/>
      </c>
      <c r="P476" s="27">
        <f>IF(A476="","",MONTH(A476))</f>
        <v/>
      </c>
      <c r="Q476" s="27">
        <f>IF(A476="","",YEAR(A476))</f>
        <v/>
      </c>
      <c r="R476" s="27">
        <f>IF(L476="","",IF(L476&gt;Config!$B$8,"A cair",IF(N(G476)&gt;=MIN(MAX(1,N(E476)),MAX(0,INT((Config!$B$8-L476)/30)+1)),IF(N(G476)&gt;=MAX(1,N(E476)),"Conferido","Conferido até aqui"),"A conferir")))</f>
        <v/>
      </c>
      <c r="S476" s="51">
        <f>IF(R476="A conferir",(Config!$B$8-L476)*1000+N(F476)/1000+ROW()/100000,0)</f>
        <v>0</v>
      </c>
      <c r="T476" s="51">
        <f>IF(R476="A conferir",N(N476),0)</f>
        <v>0</v>
      </c>
      <c r="U476" s="51">
        <f>IF(L476="",0,L476)</f>
        <v>0</v>
      </c>
      <c r="V476" s="51">
        <f>IF(L476="",0,MAX(1,N(E476)))</f>
        <v>0</v>
      </c>
      <c r="W476" s="51">
        <f>IF(K476="",0,K476)</f>
        <v>0</v>
      </c>
    </row>
    <row r="477">
      <c r="A477" s="49" t="n"/>
      <c r="B477" s="41" t="n"/>
      <c r="C477" s="41" t="n"/>
      <c r="D477" s="42" t="n"/>
      <c r="E477" s="42" t="n"/>
      <c r="F477" s="50" t="n"/>
      <c r="G477" s="42" t="n"/>
      <c r="H477" s="30">
        <f>IF(D477="","",IFERROR(INDEX(Config!$B$12:$B$15,MATCH(IF(AND(D477="Cartão de crédito",N(E477)&gt;1),"Cartão de crédito parcelado",D477),Config!$A$12:$A$15,0)),0)+IF(AND(Config!$B$17="Sim",LEFT(D477,17)="Cartão de crédito"),Config!$B$18*IFERROR(INDEX(Config!$C$12:$C$15,MATCH(IF(AND(D477="Cartão de crédito",N(E477)&gt;1),"Cartão de crédito parcelado",D477),Config!$A$12:$A$15,0)),0)/30*MAX(1,N(E477)),0))</f>
        <v/>
      </c>
      <c r="I477" s="29">
        <f>IF(OR(D477="",F477=""),"",ROUND(F477*H477,2))</f>
        <v/>
      </c>
      <c r="J477" s="29">
        <f>IF(I477="","",F477-I477)</f>
        <v/>
      </c>
      <c r="K477" s="29">
        <f>IF(J477="","",J477/MAX(1,N(E477)))</f>
        <v/>
      </c>
      <c r="L477" s="37">
        <f>IF(OR(D477="",A477=""),"",A477+IF(AND(Config!$B$17="Sim",LEFT(D477,17)="Cartão de crédito"),1,IFERROR(INDEX(Config!$C$12:$C$15,MATCH(IF(AND(D477="Cartão de crédito",N(E477)&gt;1),"Cartão de crédito parcelado",D477),Config!$A$12:$A$15,0)),0)))</f>
        <v/>
      </c>
      <c r="M477" s="37">
        <f>IF(L477="","",IF(AND(Config!$B$17="Sim",LEFT(D477,17)="Cartão de crédito"),L477,L477+30*(MAX(1,N(E477))-1)))</f>
        <v/>
      </c>
      <c r="N477" s="29">
        <f>IF(OR(L477="",K477=""),"",K477*MIN(MAX(1,N(E477)),MAX(0,INT((Config!$B$8-L477)/30)+1)))</f>
        <v/>
      </c>
      <c r="O477" s="29">
        <f>IF(J477="","",J477-N(N477))</f>
        <v/>
      </c>
      <c r="P477" s="27">
        <f>IF(A477="","",MONTH(A477))</f>
        <v/>
      </c>
      <c r="Q477" s="27">
        <f>IF(A477="","",YEAR(A477))</f>
        <v/>
      </c>
      <c r="R477" s="27">
        <f>IF(L477="","",IF(L477&gt;Config!$B$8,"A cair",IF(N(G477)&gt;=MIN(MAX(1,N(E477)),MAX(0,INT((Config!$B$8-L477)/30)+1)),IF(N(G477)&gt;=MAX(1,N(E477)),"Conferido","Conferido até aqui"),"A conferir")))</f>
        <v/>
      </c>
      <c r="S477" s="51">
        <f>IF(R477="A conferir",(Config!$B$8-L477)*1000+N(F477)/1000+ROW()/100000,0)</f>
        <v>0</v>
      </c>
      <c r="T477" s="51">
        <f>IF(R477="A conferir",N(N477),0)</f>
        <v>0</v>
      </c>
      <c r="U477" s="51">
        <f>IF(L477="",0,L477)</f>
        <v>0</v>
      </c>
      <c r="V477" s="51">
        <f>IF(L477="",0,MAX(1,N(E477)))</f>
        <v>0</v>
      </c>
      <c r="W477" s="51">
        <f>IF(K477="",0,K477)</f>
        <v>0</v>
      </c>
    </row>
    <row r="478">
      <c r="A478" s="49" t="n"/>
      <c r="B478" s="41" t="n"/>
      <c r="C478" s="41" t="n"/>
      <c r="D478" s="42" t="n"/>
      <c r="E478" s="42" t="n"/>
      <c r="F478" s="50" t="n"/>
      <c r="G478" s="42" t="n"/>
      <c r="H478" s="30">
        <f>IF(D478="","",IFERROR(INDEX(Config!$B$12:$B$15,MATCH(IF(AND(D478="Cartão de crédito",N(E478)&gt;1),"Cartão de crédito parcelado",D478),Config!$A$12:$A$15,0)),0)+IF(AND(Config!$B$17="Sim",LEFT(D478,17)="Cartão de crédito"),Config!$B$18*IFERROR(INDEX(Config!$C$12:$C$15,MATCH(IF(AND(D478="Cartão de crédito",N(E478)&gt;1),"Cartão de crédito parcelado",D478),Config!$A$12:$A$15,0)),0)/30*MAX(1,N(E478)),0))</f>
        <v/>
      </c>
      <c r="I478" s="29">
        <f>IF(OR(D478="",F478=""),"",ROUND(F478*H478,2))</f>
        <v/>
      </c>
      <c r="J478" s="29">
        <f>IF(I478="","",F478-I478)</f>
        <v/>
      </c>
      <c r="K478" s="29">
        <f>IF(J478="","",J478/MAX(1,N(E478)))</f>
        <v/>
      </c>
      <c r="L478" s="37">
        <f>IF(OR(D478="",A478=""),"",A478+IF(AND(Config!$B$17="Sim",LEFT(D478,17)="Cartão de crédito"),1,IFERROR(INDEX(Config!$C$12:$C$15,MATCH(IF(AND(D478="Cartão de crédito",N(E478)&gt;1),"Cartão de crédito parcelado",D478),Config!$A$12:$A$15,0)),0)))</f>
        <v/>
      </c>
      <c r="M478" s="37">
        <f>IF(L478="","",IF(AND(Config!$B$17="Sim",LEFT(D478,17)="Cartão de crédito"),L478,L478+30*(MAX(1,N(E478))-1)))</f>
        <v/>
      </c>
      <c r="N478" s="29">
        <f>IF(OR(L478="",K478=""),"",K478*MIN(MAX(1,N(E478)),MAX(0,INT((Config!$B$8-L478)/30)+1)))</f>
        <v/>
      </c>
      <c r="O478" s="29">
        <f>IF(J478="","",J478-N(N478))</f>
        <v/>
      </c>
      <c r="P478" s="27">
        <f>IF(A478="","",MONTH(A478))</f>
        <v/>
      </c>
      <c r="Q478" s="27">
        <f>IF(A478="","",YEAR(A478))</f>
        <v/>
      </c>
      <c r="R478" s="27">
        <f>IF(L478="","",IF(L478&gt;Config!$B$8,"A cair",IF(N(G478)&gt;=MIN(MAX(1,N(E478)),MAX(0,INT((Config!$B$8-L478)/30)+1)),IF(N(G478)&gt;=MAX(1,N(E478)),"Conferido","Conferido até aqui"),"A conferir")))</f>
        <v/>
      </c>
      <c r="S478" s="51">
        <f>IF(R478="A conferir",(Config!$B$8-L478)*1000+N(F478)/1000+ROW()/100000,0)</f>
        <v>0</v>
      </c>
      <c r="T478" s="51">
        <f>IF(R478="A conferir",N(N478),0)</f>
        <v>0</v>
      </c>
      <c r="U478" s="51">
        <f>IF(L478="",0,L478)</f>
        <v>0</v>
      </c>
      <c r="V478" s="51">
        <f>IF(L478="",0,MAX(1,N(E478)))</f>
        <v>0</v>
      </c>
      <c r="W478" s="51">
        <f>IF(K478="",0,K478)</f>
        <v>0</v>
      </c>
    </row>
    <row r="479">
      <c r="A479" s="49" t="n"/>
      <c r="B479" s="41" t="n"/>
      <c r="C479" s="41" t="n"/>
      <c r="D479" s="42" t="n"/>
      <c r="E479" s="42" t="n"/>
      <c r="F479" s="50" t="n"/>
      <c r="G479" s="42" t="n"/>
      <c r="H479" s="30">
        <f>IF(D479="","",IFERROR(INDEX(Config!$B$12:$B$15,MATCH(IF(AND(D479="Cartão de crédito",N(E479)&gt;1),"Cartão de crédito parcelado",D479),Config!$A$12:$A$15,0)),0)+IF(AND(Config!$B$17="Sim",LEFT(D479,17)="Cartão de crédito"),Config!$B$18*IFERROR(INDEX(Config!$C$12:$C$15,MATCH(IF(AND(D479="Cartão de crédito",N(E479)&gt;1),"Cartão de crédito parcelado",D479),Config!$A$12:$A$15,0)),0)/30*MAX(1,N(E479)),0))</f>
        <v/>
      </c>
      <c r="I479" s="29">
        <f>IF(OR(D479="",F479=""),"",ROUND(F479*H479,2))</f>
        <v/>
      </c>
      <c r="J479" s="29">
        <f>IF(I479="","",F479-I479)</f>
        <v/>
      </c>
      <c r="K479" s="29">
        <f>IF(J479="","",J479/MAX(1,N(E479)))</f>
        <v/>
      </c>
      <c r="L479" s="37">
        <f>IF(OR(D479="",A479=""),"",A479+IF(AND(Config!$B$17="Sim",LEFT(D479,17)="Cartão de crédito"),1,IFERROR(INDEX(Config!$C$12:$C$15,MATCH(IF(AND(D479="Cartão de crédito",N(E479)&gt;1),"Cartão de crédito parcelado",D479),Config!$A$12:$A$15,0)),0)))</f>
        <v/>
      </c>
      <c r="M479" s="37">
        <f>IF(L479="","",IF(AND(Config!$B$17="Sim",LEFT(D479,17)="Cartão de crédito"),L479,L479+30*(MAX(1,N(E479))-1)))</f>
        <v/>
      </c>
      <c r="N479" s="29">
        <f>IF(OR(L479="",K479=""),"",K479*MIN(MAX(1,N(E479)),MAX(0,INT((Config!$B$8-L479)/30)+1)))</f>
        <v/>
      </c>
      <c r="O479" s="29">
        <f>IF(J479="","",J479-N(N479))</f>
        <v/>
      </c>
      <c r="P479" s="27">
        <f>IF(A479="","",MONTH(A479))</f>
        <v/>
      </c>
      <c r="Q479" s="27">
        <f>IF(A479="","",YEAR(A479))</f>
        <v/>
      </c>
      <c r="R479" s="27">
        <f>IF(L479="","",IF(L479&gt;Config!$B$8,"A cair",IF(N(G479)&gt;=MIN(MAX(1,N(E479)),MAX(0,INT((Config!$B$8-L479)/30)+1)),IF(N(G479)&gt;=MAX(1,N(E479)),"Conferido","Conferido até aqui"),"A conferir")))</f>
        <v/>
      </c>
      <c r="S479" s="51">
        <f>IF(R479="A conferir",(Config!$B$8-L479)*1000+N(F479)/1000+ROW()/100000,0)</f>
        <v>0</v>
      </c>
      <c r="T479" s="51">
        <f>IF(R479="A conferir",N(N479),0)</f>
        <v>0</v>
      </c>
      <c r="U479" s="51">
        <f>IF(L479="",0,L479)</f>
        <v>0</v>
      </c>
      <c r="V479" s="51">
        <f>IF(L479="",0,MAX(1,N(E479)))</f>
        <v>0</v>
      </c>
      <c r="W479" s="51">
        <f>IF(K479="",0,K479)</f>
        <v>0</v>
      </c>
    </row>
    <row r="480">
      <c r="A480" s="49" t="n"/>
      <c r="B480" s="41" t="n"/>
      <c r="C480" s="41" t="n"/>
      <c r="D480" s="42" t="n"/>
      <c r="E480" s="42" t="n"/>
      <c r="F480" s="50" t="n"/>
      <c r="G480" s="42" t="n"/>
      <c r="H480" s="30">
        <f>IF(D480="","",IFERROR(INDEX(Config!$B$12:$B$15,MATCH(IF(AND(D480="Cartão de crédito",N(E480)&gt;1),"Cartão de crédito parcelado",D480),Config!$A$12:$A$15,0)),0)+IF(AND(Config!$B$17="Sim",LEFT(D480,17)="Cartão de crédito"),Config!$B$18*IFERROR(INDEX(Config!$C$12:$C$15,MATCH(IF(AND(D480="Cartão de crédito",N(E480)&gt;1),"Cartão de crédito parcelado",D480),Config!$A$12:$A$15,0)),0)/30*MAX(1,N(E480)),0))</f>
        <v/>
      </c>
      <c r="I480" s="29">
        <f>IF(OR(D480="",F480=""),"",ROUND(F480*H480,2))</f>
        <v/>
      </c>
      <c r="J480" s="29">
        <f>IF(I480="","",F480-I480)</f>
        <v/>
      </c>
      <c r="K480" s="29">
        <f>IF(J480="","",J480/MAX(1,N(E480)))</f>
        <v/>
      </c>
      <c r="L480" s="37">
        <f>IF(OR(D480="",A480=""),"",A480+IF(AND(Config!$B$17="Sim",LEFT(D480,17)="Cartão de crédito"),1,IFERROR(INDEX(Config!$C$12:$C$15,MATCH(IF(AND(D480="Cartão de crédito",N(E480)&gt;1),"Cartão de crédito parcelado",D480),Config!$A$12:$A$15,0)),0)))</f>
        <v/>
      </c>
      <c r="M480" s="37">
        <f>IF(L480="","",IF(AND(Config!$B$17="Sim",LEFT(D480,17)="Cartão de crédito"),L480,L480+30*(MAX(1,N(E480))-1)))</f>
        <v/>
      </c>
      <c r="N480" s="29">
        <f>IF(OR(L480="",K480=""),"",K480*MIN(MAX(1,N(E480)),MAX(0,INT((Config!$B$8-L480)/30)+1)))</f>
        <v/>
      </c>
      <c r="O480" s="29">
        <f>IF(J480="","",J480-N(N480))</f>
        <v/>
      </c>
      <c r="P480" s="27">
        <f>IF(A480="","",MONTH(A480))</f>
        <v/>
      </c>
      <c r="Q480" s="27">
        <f>IF(A480="","",YEAR(A480))</f>
        <v/>
      </c>
      <c r="R480" s="27">
        <f>IF(L480="","",IF(L480&gt;Config!$B$8,"A cair",IF(N(G480)&gt;=MIN(MAX(1,N(E480)),MAX(0,INT((Config!$B$8-L480)/30)+1)),IF(N(G480)&gt;=MAX(1,N(E480)),"Conferido","Conferido até aqui"),"A conferir")))</f>
        <v/>
      </c>
      <c r="S480" s="51">
        <f>IF(R480="A conferir",(Config!$B$8-L480)*1000+N(F480)/1000+ROW()/100000,0)</f>
        <v>0</v>
      </c>
      <c r="T480" s="51">
        <f>IF(R480="A conferir",N(N480),0)</f>
        <v>0</v>
      </c>
      <c r="U480" s="51">
        <f>IF(L480="",0,L480)</f>
        <v>0</v>
      </c>
      <c r="V480" s="51">
        <f>IF(L480="",0,MAX(1,N(E480)))</f>
        <v>0</v>
      </c>
      <c r="W480" s="51">
        <f>IF(K480="",0,K480)</f>
        <v>0</v>
      </c>
    </row>
    <row r="481">
      <c r="A481" s="49" t="n"/>
      <c r="B481" s="41" t="n"/>
      <c r="C481" s="41" t="n"/>
      <c r="D481" s="42" t="n"/>
      <c r="E481" s="42" t="n"/>
      <c r="F481" s="50" t="n"/>
      <c r="G481" s="42" t="n"/>
      <c r="H481" s="30">
        <f>IF(D481="","",IFERROR(INDEX(Config!$B$12:$B$15,MATCH(IF(AND(D481="Cartão de crédito",N(E481)&gt;1),"Cartão de crédito parcelado",D481),Config!$A$12:$A$15,0)),0)+IF(AND(Config!$B$17="Sim",LEFT(D481,17)="Cartão de crédito"),Config!$B$18*IFERROR(INDEX(Config!$C$12:$C$15,MATCH(IF(AND(D481="Cartão de crédito",N(E481)&gt;1),"Cartão de crédito parcelado",D481),Config!$A$12:$A$15,0)),0)/30*MAX(1,N(E481)),0))</f>
        <v/>
      </c>
      <c r="I481" s="29">
        <f>IF(OR(D481="",F481=""),"",ROUND(F481*H481,2))</f>
        <v/>
      </c>
      <c r="J481" s="29">
        <f>IF(I481="","",F481-I481)</f>
        <v/>
      </c>
      <c r="K481" s="29">
        <f>IF(J481="","",J481/MAX(1,N(E481)))</f>
        <v/>
      </c>
      <c r="L481" s="37">
        <f>IF(OR(D481="",A481=""),"",A481+IF(AND(Config!$B$17="Sim",LEFT(D481,17)="Cartão de crédito"),1,IFERROR(INDEX(Config!$C$12:$C$15,MATCH(IF(AND(D481="Cartão de crédito",N(E481)&gt;1),"Cartão de crédito parcelado",D481),Config!$A$12:$A$15,0)),0)))</f>
        <v/>
      </c>
      <c r="M481" s="37">
        <f>IF(L481="","",IF(AND(Config!$B$17="Sim",LEFT(D481,17)="Cartão de crédito"),L481,L481+30*(MAX(1,N(E481))-1)))</f>
        <v/>
      </c>
      <c r="N481" s="29">
        <f>IF(OR(L481="",K481=""),"",K481*MIN(MAX(1,N(E481)),MAX(0,INT((Config!$B$8-L481)/30)+1)))</f>
        <v/>
      </c>
      <c r="O481" s="29">
        <f>IF(J481="","",J481-N(N481))</f>
        <v/>
      </c>
      <c r="P481" s="27">
        <f>IF(A481="","",MONTH(A481))</f>
        <v/>
      </c>
      <c r="Q481" s="27">
        <f>IF(A481="","",YEAR(A481))</f>
        <v/>
      </c>
      <c r="R481" s="27">
        <f>IF(L481="","",IF(L481&gt;Config!$B$8,"A cair",IF(N(G481)&gt;=MIN(MAX(1,N(E481)),MAX(0,INT((Config!$B$8-L481)/30)+1)),IF(N(G481)&gt;=MAX(1,N(E481)),"Conferido","Conferido até aqui"),"A conferir")))</f>
        <v/>
      </c>
      <c r="S481" s="51">
        <f>IF(R481="A conferir",(Config!$B$8-L481)*1000+N(F481)/1000+ROW()/100000,0)</f>
        <v>0</v>
      </c>
      <c r="T481" s="51">
        <f>IF(R481="A conferir",N(N481),0)</f>
        <v>0</v>
      </c>
      <c r="U481" s="51">
        <f>IF(L481="",0,L481)</f>
        <v>0</v>
      </c>
      <c r="V481" s="51">
        <f>IF(L481="",0,MAX(1,N(E481)))</f>
        <v>0</v>
      </c>
      <c r="W481" s="51">
        <f>IF(K481="",0,K481)</f>
        <v>0</v>
      </c>
    </row>
    <row r="482">
      <c r="A482" s="49" t="n"/>
      <c r="B482" s="41" t="n"/>
      <c r="C482" s="41" t="n"/>
      <c r="D482" s="42" t="n"/>
      <c r="E482" s="42" t="n"/>
      <c r="F482" s="50" t="n"/>
      <c r="G482" s="42" t="n"/>
      <c r="H482" s="30">
        <f>IF(D482="","",IFERROR(INDEX(Config!$B$12:$B$15,MATCH(IF(AND(D482="Cartão de crédito",N(E482)&gt;1),"Cartão de crédito parcelado",D482),Config!$A$12:$A$15,0)),0)+IF(AND(Config!$B$17="Sim",LEFT(D482,17)="Cartão de crédito"),Config!$B$18*IFERROR(INDEX(Config!$C$12:$C$15,MATCH(IF(AND(D482="Cartão de crédito",N(E482)&gt;1),"Cartão de crédito parcelado",D482),Config!$A$12:$A$15,0)),0)/30*MAX(1,N(E482)),0))</f>
        <v/>
      </c>
      <c r="I482" s="29">
        <f>IF(OR(D482="",F482=""),"",ROUND(F482*H482,2))</f>
        <v/>
      </c>
      <c r="J482" s="29">
        <f>IF(I482="","",F482-I482)</f>
        <v/>
      </c>
      <c r="K482" s="29">
        <f>IF(J482="","",J482/MAX(1,N(E482)))</f>
        <v/>
      </c>
      <c r="L482" s="37">
        <f>IF(OR(D482="",A482=""),"",A482+IF(AND(Config!$B$17="Sim",LEFT(D482,17)="Cartão de crédito"),1,IFERROR(INDEX(Config!$C$12:$C$15,MATCH(IF(AND(D482="Cartão de crédito",N(E482)&gt;1),"Cartão de crédito parcelado",D482),Config!$A$12:$A$15,0)),0)))</f>
        <v/>
      </c>
      <c r="M482" s="37">
        <f>IF(L482="","",IF(AND(Config!$B$17="Sim",LEFT(D482,17)="Cartão de crédito"),L482,L482+30*(MAX(1,N(E482))-1)))</f>
        <v/>
      </c>
      <c r="N482" s="29">
        <f>IF(OR(L482="",K482=""),"",K482*MIN(MAX(1,N(E482)),MAX(0,INT((Config!$B$8-L482)/30)+1)))</f>
        <v/>
      </c>
      <c r="O482" s="29">
        <f>IF(J482="","",J482-N(N482))</f>
        <v/>
      </c>
      <c r="P482" s="27">
        <f>IF(A482="","",MONTH(A482))</f>
        <v/>
      </c>
      <c r="Q482" s="27">
        <f>IF(A482="","",YEAR(A482))</f>
        <v/>
      </c>
      <c r="R482" s="27">
        <f>IF(L482="","",IF(L482&gt;Config!$B$8,"A cair",IF(N(G482)&gt;=MIN(MAX(1,N(E482)),MAX(0,INT((Config!$B$8-L482)/30)+1)),IF(N(G482)&gt;=MAX(1,N(E482)),"Conferido","Conferido até aqui"),"A conferir")))</f>
        <v/>
      </c>
      <c r="S482" s="51">
        <f>IF(R482="A conferir",(Config!$B$8-L482)*1000+N(F482)/1000+ROW()/100000,0)</f>
        <v>0</v>
      </c>
      <c r="T482" s="51">
        <f>IF(R482="A conferir",N(N482),0)</f>
        <v>0</v>
      </c>
      <c r="U482" s="51">
        <f>IF(L482="",0,L482)</f>
        <v>0</v>
      </c>
      <c r="V482" s="51">
        <f>IF(L482="",0,MAX(1,N(E482)))</f>
        <v>0</v>
      </c>
      <c r="W482" s="51">
        <f>IF(K482="",0,K482)</f>
        <v>0</v>
      </c>
    </row>
    <row r="483">
      <c r="A483" s="49" t="n"/>
      <c r="B483" s="41" t="n"/>
      <c r="C483" s="41" t="n"/>
      <c r="D483" s="42" t="n"/>
      <c r="E483" s="42" t="n"/>
      <c r="F483" s="50" t="n"/>
      <c r="G483" s="42" t="n"/>
      <c r="H483" s="30">
        <f>IF(D483="","",IFERROR(INDEX(Config!$B$12:$B$15,MATCH(IF(AND(D483="Cartão de crédito",N(E483)&gt;1),"Cartão de crédito parcelado",D483),Config!$A$12:$A$15,0)),0)+IF(AND(Config!$B$17="Sim",LEFT(D483,17)="Cartão de crédito"),Config!$B$18*IFERROR(INDEX(Config!$C$12:$C$15,MATCH(IF(AND(D483="Cartão de crédito",N(E483)&gt;1),"Cartão de crédito parcelado",D483),Config!$A$12:$A$15,0)),0)/30*MAX(1,N(E483)),0))</f>
        <v/>
      </c>
      <c r="I483" s="29">
        <f>IF(OR(D483="",F483=""),"",ROUND(F483*H483,2))</f>
        <v/>
      </c>
      <c r="J483" s="29">
        <f>IF(I483="","",F483-I483)</f>
        <v/>
      </c>
      <c r="K483" s="29">
        <f>IF(J483="","",J483/MAX(1,N(E483)))</f>
        <v/>
      </c>
      <c r="L483" s="37">
        <f>IF(OR(D483="",A483=""),"",A483+IF(AND(Config!$B$17="Sim",LEFT(D483,17)="Cartão de crédito"),1,IFERROR(INDEX(Config!$C$12:$C$15,MATCH(IF(AND(D483="Cartão de crédito",N(E483)&gt;1),"Cartão de crédito parcelado",D483),Config!$A$12:$A$15,0)),0)))</f>
        <v/>
      </c>
      <c r="M483" s="37">
        <f>IF(L483="","",IF(AND(Config!$B$17="Sim",LEFT(D483,17)="Cartão de crédito"),L483,L483+30*(MAX(1,N(E483))-1)))</f>
        <v/>
      </c>
      <c r="N483" s="29">
        <f>IF(OR(L483="",K483=""),"",K483*MIN(MAX(1,N(E483)),MAX(0,INT((Config!$B$8-L483)/30)+1)))</f>
        <v/>
      </c>
      <c r="O483" s="29">
        <f>IF(J483="","",J483-N(N483))</f>
        <v/>
      </c>
      <c r="P483" s="27">
        <f>IF(A483="","",MONTH(A483))</f>
        <v/>
      </c>
      <c r="Q483" s="27">
        <f>IF(A483="","",YEAR(A483))</f>
        <v/>
      </c>
      <c r="R483" s="27">
        <f>IF(L483="","",IF(L483&gt;Config!$B$8,"A cair",IF(N(G483)&gt;=MIN(MAX(1,N(E483)),MAX(0,INT((Config!$B$8-L483)/30)+1)),IF(N(G483)&gt;=MAX(1,N(E483)),"Conferido","Conferido até aqui"),"A conferir")))</f>
        <v/>
      </c>
      <c r="S483" s="51">
        <f>IF(R483="A conferir",(Config!$B$8-L483)*1000+N(F483)/1000+ROW()/100000,0)</f>
        <v>0</v>
      </c>
      <c r="T483" s="51">
        <f>IF(R483="A conferir",N(N483),0)</f>
        <v>0</v>
      </c>
      <c r="U483" s="51">
        <f>IF(L483="",0,L483)</f>
        <v>0</v>
      </c>
      <c r="V483" s="51">
        <f>IF(L483="",0,MAX(1,N(E483)))</f>
        <v>0</v>
      </c>
      <c r="W483" s="51">
        <f>IF(K483="",0,K483)</f>
        <v>0</v>
      </c>
    </row>
    <row r="484">
      <c r="A484" s="49" t="n"/>
      <c r="B484" s="41" t="n"/>
      <c r="C484" s="41" t="n"/>
      <c r="D484" s="42" t="n"/>
      <c r="E484" s="42" t="n"/>
      <c r="F484" s="50" t="n"/>
      <c r="G484" s="42" t="n"/>
      <c r="H484" s="30">
        <f>IF(D484="","",IFERROR(INDEX(Config!$B$12:$B$15,MATCH(IF(AND(D484="Cartão de crédito",N(E484)&gt;1),"Cartão de crédito parcelado",D484),Config!$A$12:$A$15,0)),0)+IF(AND(Config!$B$17="Sim",LEFT(D484,17)="Cartão de crédito"),Config!$B$18*IFERROR(INDEX(Config!$C$12:$C$15,MATCH(IF(AND(D484="Cartão de crédito",N(E484)&gt;1),"Cartão de crédito parcelado",D484),Config!$A$12:$A$15,0)),0)/30*MAX(1,N(E484)),0))</f>
        <v/>
      </c>
      <c r="I484" s="29">
        <f>IF(OR(D484="",F484=""),"",ROUND(F484*H484,2))</f>
        <v/>
      </c>
      <c r="J484" s="29">
        <f>IF(I484="","",F484-I484)</f>
        <v/>
      </c>
      <c r="K484" s="29">
        <f>IF(J484="","",J484/MAX(1,N(E484)))</f>
        <v/>
      </c>
      <c r="L484" s="37">
        <f>IF(OR(D484="",A484=""),"",A484+IF(AND(Config!$B$17="Sim",LEFT(D484,17)="Cartão de crédito"),1,IFERROR(INDEX(Config!$C$12:$C$15,MATCH(IF(AND(D484="Cartão de crédito",N(E484)&gt;1),"Cartão de crédito parcelado",D484),Config!$A$12:$A$15,0)),0)))</f>
        <v/>
      </c>
      <c r="M484" s="37">
        <f>IF(L484="","",IF(AND(Config!$B$17="Sim",LEFT(D484,17)="Cartão de crédito"),L484,L484+30*(MAX(1,N(E484))-1)))</f>
        <v/>
      </c>
      <c r="N484" s="29">
        <f>IF(OR(L484="",K484=""),"",K484*MIN(MAX(1,N(E484)),MAX(0,INT((Config!$B$8-L484)/30)+1)))</f>
        <v/>
      </c>
      <c r="O484" s="29">
        <f>IF(J484="","",J484-N(N484))</f>
        <v/>
      </c>
      <c r="P484" s="27">
        <f>IF(A484="","",MONTH(A484))</f>
        <v/>
      </c>
      <c r="Q484" s="27">
        <f>IF(A484="","",YEAR(A484))</f>
        <v/>
      </c>
      <c r="R484" s="27">
        <f>IF(L484="","",IF(L484&gt;Config!$B$8,"A cair",IF(N(G484)&gt;=MIN(MAX(1,N(E484)),MAX(0,INT((Config!$B$8-L484)/30)+1)),IF(N(G484)&gt;=MAX(1,N(E484)),"Conferido","Conferido até aqui"),"A conferir")))</f>
        <v/>
      </c>
      <c r="S484" s="51">
        <f>IF(R484="A conferir",(Config!$B$8-L484)*1000+N(F484)/1000+ROW()/100000,0)</f>
        <v>0</v>
      </c>
      <c r="T484" s="51">
        <f>IF(R484="A conferir",N(N484),0)</f>
        <v>0</v>
      </c>
      <c r="U484" s="51">
        <f>IF(L484="",0,L484)</f>
        <v>0</v>
      </c>
      <c r="V484" s="51">
        <f>IF(L484="",0,MAX(1,N(E484)))</f>
        <v>0</v>
      </c>
      <c r="W484" s="51">
        <f>IF(K484="",0,K484)</f>
        <v>0</v>
      </c>
    </row>
    <row r="485">
      <c r="A485" s="49" t="n"/>
      <c r="B485" s="41" t="n"/>
      <c r="C485" s="41" t="n"/>
      <c r="D485" s="42" t="n"/>
      <c r="E485" s="42" t="n"/>
      <c r="F485" s="50" t="n"/>
      <c r="G485" s="42" t="n"/>
      <c r="H485" s="30">
        <f>IF(D485="","",IFERROR(INDEX(Config!$B$12:$B$15,MATCH(IF(AND(D485="Cartão de crédito",N(E485)&gt;1),"Cartão de crédito parcelado",D485),Config!$A$12:$A$15,0)),0)+IF(AND(Config!$B$17="Sim",LEFT(D485,17)="Cartão de crédito"),Config!$B$18*IFERROR(INDEX(Config!$C$12:$C$15,MATCH(IF(AND(D485="Cartão de crédito",N(E485)&gt;1),"Cartão de crédito parcelado",D485),Config!$A$12:$A$15,0)),0)/30*MAX(1,N(E485)),0))</f>
        <v/>
      </c>
      <c r="I485" s="29">
        <f>IF(OR(D485="",F485=""),"",ROUND(F485*H485,2))</f>
        <v/>
      </c>
      <c r="J485" s="29">
        <f>IF(I485="","",F485-I485)</f>
        <v/>
      </c>
      <c r="K485" s="29">
        <f>IF(J485="","",J485/MAX(1,N(E485)))</f>
        <v/>
      </c>
      <c r="L485" s="37">
        <f>IF(OR(D485="",A485=""),"",A485+IF(AND(Config!$B$17="Sim",LEFT(D485,17)="Cartão de crédito"),1,IFERROR(INDEX(Config!$C$12:$C$15,MATCH(IF(AND(D485="Cartão de crédito",N(E485)&gt;1),"Cartão de crédito parcelado",D485),Config!$A$12:$A$15,0)),0)))</f>
        <v/>
      </c>
      <c r="M485" s="37">
        <f>IF(L485="","",IF(AND(Config!$B$17="Sim",LEFT(D485,17)="Cartão de crédito"),L485,L485+30*(MAX(1,N(E485))-1)))</f>
        <v/>
      </c>
      <c r="N485" s="29">
        <f>IF(OR(L485="",K485=""),"",K485*MIN(MAX(1,N(E485)),MAX(0,INT((Config!$B$8-L485)/30)+1)))</f>
        <v/>
      </c>
      <c r="O485" s="29">
        <f>IF(J485="","",J485-N(N485))</f>
        <v/>
      </c>
      <c r="P485" s="27">
        <f>IF(A485="","",MONTH(A485))</f>
        <v/>
      </c>
      <c r="Q485" s="27">
        <f>IF(A485="","",YEAR(A485))</f>
        <v/>
      </c>
      <c r="R485" s="27">
        <f>IF(L485="","",IF(L485&gt;Config!$B$8,"A cair",IF(N(G485)&gt;=MIN(MAX(1,N(E485)),MAX(0,INT((Config!$B$8-L485)/30)+1)),IF(N(G485)&gt;=MAX(1,N(E485)),"Conferido","Conferido até aqui"),"A conferir")))</f>
        <v/>
      </c>
      <c r="S485" s="51">
        <f>IF(R485="A conferir",(Config!$B$8-L485)*1000+N(F485)/1000+ROW()/100000,0)</f>
        <v>0</v>
      </c>
      <c r="T485" s="51">
        <f>IF(R485="A conferir",N(N485),0)</f>
        <v>0</v>
      </c>
      <c r="U485" s="51">
        <f>IF(L485="",0,L485)</f>
        <v>0</v>
      </c>
      <c r="V485" s="51">
        <f>IF(L485="",0,MAX(1,N(E485)))</f>
        <v>0</v>
      </c>
      <c r="W485" s="51">
        <f>IF(K485="",0,K485)</f>
        <v>0</v>
      </c>
    </row>
    <row r="486">
      <c r="A486" s="49" t="n"/>
      <c r="B486" s="41" t="n"/>
      <c r="C486" s="41" t="n"/>
      <c r="D486" s="42" t="n"/>
      <c r="E486" s="42" t="n"/>
      <c r="F486" s="50" t="n"/>
      <c r="G486" s="42" t="n"/>
      <c r="H486" s="30">
        <f>IF(D486="","",IFERROR(INDEX(Config!$B$12:$B$15,MATCH(IF(AND(D486="Cartão de crédito",N(E486)&gt;1),"Cartão de crédito parcelado",D486),Config!$A$12:$A$15,0)),0)+IF(AND(Config!$B$17="Sim",LEFT(D486,17)="Cartão de crédito"),Config!$B$18*IFERROR(INDEX(Config!$C$12:$C$15,MATCH(IF(AND(D486="Cartão de crédito",N(E486)&gt;1),"Cartão de crédito parcelado",D486),Config!$A$12:$A$15,0)),0)/30*MAX(1,N(E486)),0))</f>
        <v/>
      </c>
      <c r="I486" s="29">
        <f>IF(OR(D486="",F486=""),"",ROUND(F486*H486,2))</f>
        <v/>
      </c>
      <c r="J486" s="29">
        <f>IF(I486="","",F486-I486)</f>
        <v/>
      </c>
      <c r="K486" s="29">
        <f>IF(J486="","",J486/MAX(1,N(E486)))</f>
        <v/>
      </c>
      <c r="L486" s="37">
        <f>IF(OR(D486="",A486=""),"",A486+IF(AND(Config!$B$17="Sim",LEFT(D486,17)="Cartão de crédito"),1,IFERROR(INDEX(Config!$C$12:$C$15,MATCH(IF(AND(D486="Cartão de crédito",N(E486)&gt;1),"Cartão de crédito parcelado",D486),Config!$A$12:$A$15,0)),0)))</f>
        <v/>
      </c>
      <c r="M486" s="37">
        <f>IF(L486="","",IF(AND(Config!$B$17="Sim",LEFT(D486,17)="Cartão de crédito"),L486,L486+30*(MAX(1,N(E486))-1)))</f>
        <v/>
      </c>
      <c r="N486" s="29">
        <f>IF(OR(L486="",K486=""),"",K486*MIN(MAX(1,N(E486)),MAX(0,INT((Config!$B$8-L486)/30)+1)))</f>
        <v/>
      </c>
      <c r="O486" s="29">
        <f>IF(J486="","",J486-N(N486))</f>
        <v/>
      </c>
      <c r="P486" s="27">
        <f>IF(A486="","",MONTH(A486))</f>
        <v/>
      </c>
      <c r="Q486" s="27">
        <f>IF(A486="","",YEAR(A486))</f>
        <v/>
      </c>
      <c r="R486" s="27">
        <f>IF(L486="","",IF(L486&gt;Config!$B$8,"A cair",IF(N(G486)&gt;=MIN(MAX(1,N(E486)),MAX(0,INT((Config!$B$8-L486)/30)+1)),IF(N(G486)&gt;=MAX(1,N(E486)),"Conferido","Conferido até aqui"),"A conferir")))</f>
        <v/>
      </c>
      <c r="S486" s="51">
        <f>IF(R486="A conferir",(Config!$B$8-L486)*1000+N(F486)/1000+ROW()/100000,0)</f>
        <v>0</v>
      </c>
      <c r="T486" s="51">
        <f>IF(R486="A conferir",N(N486),0)</f>
        <v>0</v>
      </c>
      <c r="U486" s="51">
        <f>IF(L486="",0,L486)</f>
        <v>0</v>
      </c>
      <c r="V486" s="51">
        <f>IF(L486="",0,MAX(1,N(E486)))</f>
        <v>0</v>
      </c>
      <c r="W486" s="51">
        <f>IF(K486="",0,K486)</f>
        <v>0</v>
      </c>
    </row>
    <row r="487">
      <c r="A487" s="49" t="n"/>
      <c r="B487" s="41" t="n"/>
      <c r="C487" s="41" t="n"/>
      <c r="D487" s="42" t="n"/>
      <c r="E487" s="42" t="n"/>
      <c r="F487" s="50" t="n"/>
      <c r="G487" s="42" t="n"/>
      <c r="H487" s="30">
        <f>IF(D487="","",IFERROR(INDEX(Config!$B$12:$B$15,MATCH(IF(AND(D487="Cartão de crédito",N(E487)&gt;1),"Cartão de crédito parcelado",D487),Config!$A$12:$A$15,0)),0)+IF(AND(Config!$B$17="Sim",LEFT(D487,17)="Cartão de crédito"),Config!$B$18*IFERROR(INDEX(Config!$C$12:$C$15,MATCH(IF(AND(D487="Cartão de crédito",N(E487)&gt;1),"Cartão de crédito parcelado",D487),Config!$A$12:$A$15,0)),0)/30*MAX(1,N(E487)),0))</f>
        <v/>
      </c>
      <c r="I487" s="29">
        <f>IF(OR(D487="",F487=""),"",ROUND(F487*H487,2))</f>
        <v/>
      </c>
      <c r="J487" s="29">
        <f>IF(I487="","",F487-I487)</f>
        <v/>
      </c>
      <c r="K487" s="29">
        <f>IF(J487="","",J487/MAX(1,N(E487)))</f>
        <v/>
      </c>
      <c r="L487" s="37">
        <f>IF(OR(D487="",A487=""),"",A487+IF(AND(Config!$B$17="Sim",LEFT(D487,17)="Cartão de crédito"),1,IFERROR(INDEX(Config!$C$12:$C$15,MATCH(IF(AND(D487="Cartão de crédito",N(E487)&gt;1),"Cartão de crédito parcelado",D487),Config!$A$12:$A$15,0)),0)))</f>
        <v/>
      </c>
      <c r="M487" s="37">
        <f>IF(L487="","",IF(AND(Config!$B$17="Sim",LEFT(D487,17)="Cartão de crédito"),L487,L487+30*(MAX(1,N(E487))-1)))</f>
        <v/>
      </c>
      <c r="N487" s="29">
        <f>IF(OR(L487="",K487=""),"",K487*MIN(MAX(1,N(E487)),MAX(0,INT((Config!$B$8-L487)/30)+1)))</f>
        <v/>
      </c>
      <c r="O487" s="29">
        <f>IF(J487="","",J487-N(N487))</f>
        <v/>
      </c>
      <c r="P487" s="27">
        <f>IF(A487="","",MONTH(A487))</f>
        <v/>
      </c>
      <c r="Q487" s="27">
        <f>IF(A487="","",YEAR(A487))</f>
        <v/>
      </c>
      <c r="R487" s="27">
        <f>IF(L487="","",IF(L487&gt;Config!$B$8,"A cair",IF(N(G487)&gt;=MIN(MAX(1,N(E487)),MAX(0,INT((Config!$B$8-L487)/30)+1)),IF(N(G487)&gt;=MAX(1,N(E487)),"Conferido","Conferido até aqui"),"A conferir")))</f>
        <v/>
      </c>
      <c r="S487" s="51">
        <f>IF(R487="A conferir",(Config!$B$8-L487)*1000+N(F487)/1000+ROW()/100000,0)</f>
        <v>0</v>
      </c>
      <c r="T487" s="51">
        <f>IF(R487="A conferir",N(N487),0)</f>
        <v>0</v>
      </c>
      <c r="U487" s="51">
        <f>IF(L487="",0,L487)</f>
        <v>0</v>
      </c>
      <c r="V487" s="51">
        <f>IF(L487="",0,MAX(1,N(E487)))</f>
        <v>0</v>
      </c>
      <c r="W487" s="51">
        <f>IF(K487="",0,K487)</f>
        <v>0</v>
      </c>
    </row>
    <row r="488">
      <c r="A488" s="49" t="n"/>
      <c r="B488" s="41" t="n"/>
      <c r="C488" s="41" t="n"/>
      <c r="D488" s="42" t="n"/>
      <c r="E488" s="42" t="n"/>
      <c r="F488" s="50" t="n"/>
      <c r="G488" s="42" t="n"/>
      <c r="H488" s="30">
        <f>IF(D488="","",IFERROR(INDEX(Config!$B$12:$B$15,MATCH(IF(AND(D488="Cartão de crédito",N(E488)&gt;1),"Cartão de crédito parcelado",D488),Config!$A$12:$A$15,0)),0)+IF(AND(Config!$B$17="Sim",LEFT(D488,17)="Cartão de crédito"),Config!$B$18*IFERROR(INDEX(Config!$C$12:$C$15,MATCH(IF(AND(D488="Cartão de crédito",N(E488)&gt;1),"Cartão de crédito parcelado",D488),Config!$A$12:$A$15,0)),0)/30*MAX(1,N(E488)),0))</f>
        <v/>
      </c>
      <c r="I488" s="29">
        <f>IF(OR(D488="",F488=""),"",ROUND(F488*H488,2))</f>
        <v/>
      </c>
      <c r="J488" s="29">
        <f>IF(I488="","",F488-I488)</f>
        <v/>
      </c>
      <c r="K488" s="29">
        <f>IF(J488="","",J488/MAX(1,N(E488)))</f>
        <v/>
      </c>
      <c r="L488" s="37">
        <f>IF(OR(D488="",A488=""),"",A488+IF(AND(Config!$B$17="Sim",LEFT(D488,17)="Cartão de crédito"),1,IFERROR(INDEX(Config!$C$12:$C$15,MATCH(IF(AND(D488="Cartão de crédito",N(E488)&gt;1),"Cartão de crédito parcelado",D488),Config!$A$12:$A$15,0)),0)))</f>
        <v/>
      </c>
      <c r="M488" s="37">
        <f>IF(L488="","",IF(AND(Config!$B$17="Sim",LEFT(D488,17)="Cartão de crédito"),L488,L488+30*(MAX(1,N(E488))-1)))</f>
        <v/>
      </c>
      <c r="N488" s="29">
        <f>IF(OR(L488="",K488=""),"",K488*MIN(MAX(1,N(E488)),MAX(0,INT((Config!$B$8-L488)/30)+1)))</f>
        <v/>
      </c>
      <c r="O488" s="29">
        <f>IF(J488="","",J488-N(N488))</f>
        <v/>
      </c>
      <c r="P488" s="27">
        <f>IF(A488="","",MONTH(A488))</f>
        <v/>
      </c>
      <c r="Q488" s="27">
        <f>IF(A488="","",YEAR(A488))</f>
        <v/>
      </c>
      <c r="R488" s="27">
        <f>IF(L488="","",IF(L488&gt;Config!$B$8,"A cair",IF(N(G488)&gt;=MIN(MAX(1,N(E488)),MAX(0,INT((Config!$B$8-L488)/30)+1)),IF(N(G488)&gt;=MAX(1,N(E488)),"Conferido","Conferido até aqui"),"A conferir")))</f>
        <v/>
      </c>
      <c r="S488" s="51">
        <f>IF(R488="A conferir",(Config!$B$8-L488)*1000+N(F488)/1000+ROW()/100000,0)</f>
        <v>0</v>
      </c>
      <c r="T488" s="51">
        <f>IF(R488="A conferir",N(N488),0)</f>
        <v>0</v>
      </c>
      <c r="U488" s="51">
        <f>IF(L488="",0,L488)</f>
        <v>0</v>
      </c>
      <c r="V488" s="51">
        <f>IF(L488="",0,MAX(1,N(E488)))</f>
        <v>0</v>
      </c>
      <c r="W488" s="51">
        <f>IF(K488="",0,K488)</f>
        <v>0</v>
      </c>
    </row>
    <row r="489">
      <c r="A489" s="49" t="n"/>
      <c r="B489" s="41" t="n"/>
      <c r="C489" s="41" t="n"/>
      <c r="D489" s="42" t="n"/>
      <c r="E489" s="42" t="n"/>
      <c r="F489" s="50" t="n"/>
      <c r="G489" s="42" t="n"/>
      <c r="H489" s="30">
        <f>IF(D489="","",IFERROR(INDEX(Config!$B$12:$B$15,MATCH(IF(AND(D489="Cartão de crédito",N(E489)&gt;1),"Cartão de crédito parcelado",D489),Config!$A$12:$A$15,0)),0)+IF(AND(Config!$B$17="Sim",LEFT(D489,17)="Cartão de crédito"),Config!$B$18*IFERROR(INDEX(Config!$C$12:$C$15,MATCH(IF(AND(D489="Cartão de crédito",N(E489)&gt;1),"Cartão de crédito parcelado",D489),Config!$A$12:$A$15,0)),0)/30*MAX(1,N(E489)),0))</f>
        <v/>
      </c>
      <c r="I489" s="29">
        <f>IF(OR(D489="",F489=""),"",ROUND(F489*H489,2))</f>
        <v/>
      </c>
      <c r="J489" s="29">
        <f>IF(I489="","",F489-I489)</f>
        <v/>
      </c>
      <c r="K489" s="29">
        <f>IF(J489="","",J489/MAX(1,N(E489)))</f>
        <v/>
      </c>
      <c r="L489" s="37">
        <f>IF(OR(D489="",A489=""),"",A489+IF(AND(Config!$B$17="Sim",LEFT(D489,17)="Cartão de crédito"),1,IFERROR(INDEX(Config!$C$12:$C$15,MATCH(IF(AND(D489="Cartão de crédito",N(E489)&gt;1),"Cartão de crédito parcelado",D489),Config!$A$12:$A$15,0)),0)))</f>
        <v/>
      </c>
      <c r="M489" s="37">
        <f>IF(L489="","",IF(AND(Config!$B$17="Sim",LEFT(D489,17)="Cartão de crédito"),L489,L489+30*(MAX(1,N(E489))-1)))</f>
        <v/>
      </c>
      <c r="N489" s="29">
        <f>IF(OR(L489="",K489=""),"",K489*MIN(MAX(1,N(E489)),MAX(0,INT((Config!$B$8-L489)/30)+1)))</f>
        <v/>
      </c>
      <c r="O489" s="29">
        <f>IF(J489="","",J489-N(N489))</f>
        <v/>
      </c>
      <c r="P489" s="27">
        <f>IF(A489="","",MONTH(A489))</f>
        <v/>
      </c>
      <c r="Q489" s="27">
        <f>IF(A489="","",YEAR(A489))</f>
        <v/>
      </c>
      <c r="R489" s="27">
        <f>IF(L489="","",IF(L489&gt;Config!$B$8,"A cair",IF(N(G489)&gt;=MIN(MAX(1,N(E489)),MAX(0,INT((Config!$B$8-L489)/30)+1)),IF(N(G489)&gt;=MAX(1,N(E489)),"Conferido","Conferido até aqui"),"A conferir")))</f>
        <v/>
      </c>
      <c r="S489" s="51">
        <f>IF(R489="A conferir",(Config!$B$8-L489)*1000+N(F489)/1000+ROW()/100000,0)</f>
        <v>0</v>
      </c>
      <c r="T489" s="51">
        <f>IF(R489="A conferir",N(N489),0)</f>
        <v>0</v>
      </c>
      <c r="U489" s="51">
        <f>IF(L489="",0,L489)</f>
        <v>0</v>
      </c>
      <c r="V489" s="51">
        <f>IF(L489="",0,MAX(1,N(E489)))</f>
        <v>0</v>
      </c>
      <c r="W489" s="51">
        <f>IF(K489="",0,K489)</f>
        <v>0</v>
      </c>
    </row>
    <row r="490">
      <c r="A490" s="49" t="n"/>
      <c r="B490" s="41" t="n"/>
      <c r="C490" s="41" t="n"/>
      <c r="D490" s="42" t="n"/>
      <c r="E490" s="42" t="n"/>
      <c r="F490" s="50" t="n"/>
      <c r="G490" s="42" t="n"/>
      <c r="H490" s="30">
        <f>IF(D490="","",IFERROR(INDEX(Config!$B$12:$B$15,MATCH(IF(AND(D490="Cartão de crédito",N(E490)&gt;1),"Cartão de crédito parcelado",D490),Config!$A$12:$A$15,0)),0)+IF(AND(Config!$B$17="Sim",LEFT(D490,17)="Cartão de crédito"),Config!$B$18*IFERROR(INDEX(Config!$C$12:$C$15,MATCH(IF(AND(D490="Cartão de crédito",N(E490)&gt;1),"Cartão de crédito parcelado",D490),Config!$A$12:$A$15,0)),0)/30*MAX(1,N(E490)),0))</f>
        <v/>
      </c>
      <c r="I490" s="29">
        <f>IF(OR(D490="",F490=""),"",ROUND(F490*H490,2))</f>
        <v/>
      </c>
      <c r="J490" s="29">
        <f>IF(I490="","",F490-I490)</f>
        <v/>
      </c>
      <c r="K490" s="29">
        <f>IF(J490="","",J490/MAX(1,N(E490)))</f>
        <v/>
      </c>
      <c r="L490" s="37">
        <f>IF(OR(D490="",A490=""),"",A490+IF(AND(Config!$B$17="Sim",LEFT(D490,17)="Cartão de crédito"),1,IFERROR(INDEX(Config!$C$12:$C$15,MATCH(IF(AND(D490="Cartão de crédito",N(E490)&gt;1),"Cartão de crédito parcelado",D490),Config!$A$12:$A$15,0)),0)))</f>
        <v/>
      </c>
      <c r="M490" s="37">
        <f>IF(L490="","",IF(AND(Config!$B$17="Sim",LEFT(D490,17)="Cartão de crédito"),L490,L490+30*(MAX(1,N(E490))-1)))</f>
        <v/>
      </c>
      <c r="N490" s="29">
        <f>IF(OR(L490="",K490=""),"",K490*MIN(MAX(1,N(E490)),MAX(0,INT((Config!$B$8-L490)/30)+1)))</f>
        <v/>
      </c>
      <c r="O490" s="29">
        <f>IF(J490="","",J490-N(N490))</f>
        <v/>
      </c>
      <c r="P490" s="27">
        <f>IF(A490="","",MONTH(A490))</f>
        <v/>
      </c>
      <c r="Q490" s="27">
        <f>IF(A490="","",YEAR(A490))</f>
        <v/>
      </c>
      <c r="R490" s="27">
        <f>IF(L490="","",IF(L490&gt;Config!$B$8,"A cair",IF(N(G490)&gt;=MIN(MAX(1,N(E490)),MAX(0,INT((Config!$B$8-L490)/30)+1)),IF(N(G490)&gt;=MAX(1,N(E490)),"Conferido","Conferido até aqui"),"A conferir")))</f>
        <v/>
      </c>
      <c r="S490" s="51">
        <f>IF(R490="A conferir",(Config!$B$8-L490)*1000+N(F490)/1000+ROW()/100000,0)</f>
        <v>0</v>
      </c>
      <c r="T490" s="51">
        <f>IF(R490="A conferir",N(N490),0)</f>
        <v>0</v>
      </c>
      <c r="U490" s="51">
        <f>IF(L490="",0,L490)</f>
        <v>0</v>
      </c>
      <c r="V490" s="51">
        <f>IF(L490="",0,MAX(1,N(E490)))</f>
        <v>0</v>
      </c>
      <c r="W490" s="51">
        <f>IF(K490="",0,K490)</f>
        <v>0</v>
      </c>
    </row>
    <row r="491">
      <c r="A491" s="49" t="n"/>
      <c r="B491" s="41" t="n"/>
      <c r="C491" s="41" t="n"/>
      <c r="D491" s="42" t="n"/>
      <c r="E491" s="42" t="n"/>
      <c r="F491" s="50" t="n"/>
      <c r="G491" s="42" t="n"/>
      <c r="H491" s="30">
        <f>IF(D491="","",IFERROR(INDEX(Config!$B$12:$B$15,MATCH(IF(AND(D491="Cartão de crédito",N(E491)&gt;1),"Cartão de crédito parcelado",D491),Config!$A$12:$A$15,0)),0)+IF(AND(Config!$B$17="Sim",LEFT(D491,17)="Cartão de crédito"),Config!$B$18*IFERROR(INDEX(Config!$C$12:$C$15,MATCH(IF(AND(D491="Cartão de crédito",N(E491)&gt;1),"Cartão de crédito parcelado",D491),Config!$A$12:$A$15,0)),0)/30*MAX(1,N(E491)),0))</f>
        <v/>
      </c>
      <c r="I491" s="29">
        <f>IF(OR(D491="",F491=""),"",ROUND(F491*H491,2))</f>
        <v/>
      </c>
      <c r="J491" s="29">
        <f>IF(I491="","",F491-I491)</f>
        <v/>
      </c>
      <c r="K491" s="29">
        <f>IF(J491="","",J491/MAX(1,N(E491)))</f>
        <v/>
      </c>
      <c r="L491" s="37">
        <f>IF(OR(D491="",A491=""),"",A491+IF(AND(Config!$B$17="Sim",LEFT(D491,17)="Cartão de crédito"),1,IFERROR(INDEX(Config!$C$12:$C$15,MATCH(IF(AND(D491="Cartão de crédito",N(E491)&gt;1),"Cartão de crédito parcelado",D491),Config!$A$12:$A$15,0)),0)))</f>
        <v/>
      </c>
      <c r="M491" s="37">
        <f>IF(L491="","",IF(AND(Config!$B$17="Sim",LEFT(D491,17)="Cartão de crédito"),L491,L491+30*(MAX(1,N(E491))-1)))</f>
        <v/>
      </c>
      <c r="N491" s="29">
        <f>IF(OR(L491="",K491=""),"",K491*MIN(MAX(1,N(E491)),MAX(0,INT((Config!$B$8-L491)/30)+1)))</f>
        <v/>
      </c>
      <c r="O491" s="29">
        <f>IF(J491="","",J491-N(N491))</f>
        <v/>
      </c>
      <c r="P491" s="27">
        <f>IF(A491="","",MONTH(A491))</f>
        <v/>
      </c>
      <c r="Q491" s="27">
        <f>IF(A491="","",YEAR(A491))</f>
        <v/>
      </c>
      <c r="R491" s="27">
        <f>IF(L491="","",IF(L491&gt;Config!$B$8,"A cair",IF(N(G491)&gt;=MIN(MAX(1,N(E491)),MAX(0,INT((Config!$B$8-L491)/30)+1)),IF(N(G491)&gt;=MAX(1,N(E491)),"Conferido","Conferido até aqui"),"A conferir")))</f>
        <v/>
      </c>
      <c r="S491" s="51">
        <f>IF(R491="A conferir",(Config!$B$8-L491)*1000+N(F491)/1000+ROW()/100000,0)</f>
        <v>0</v>
      </c>
      <c r="T491" s="51">
        <f>IF(R491="A conferir",N(N491),0)</f>
        <v>0</v>
      </c>
      <c r="U491" s="51">
        <f>IF(L491="",0,L491)</f>
        <v>0</v>
      </c>
      <c r="V491" s="51">
        <f>IF(L491="",0,MAX(1,N(E491)))</f>
        <v>0</v>
      </c>
      <c r="W491" s="51">
        <f>IF(K491="",0,K491)</f>
        <v>0</v>
      </c>
    </row>
    <row r="492">
      <c r="A492" s="49" t="n"/>
      <c r="B492" s="41" t="n"/>
      <c r="C492" s="41" t="n"/>
      <c r="D492" s="42" t="n"/>
      <c r="E492" s="42" t="n"/>
      <c r="F492" s="50" t="n"/>
      <c r="G492" s="42" t="n"/>
      <c r="H492" s="30">
        <f>IF(D492="","",IFERROR(INDEX(Config!$B$12:$B$15,MATCH(IF(AND(D492="Cartão de crédito",N(E492)&gt;1),"Cartão de crédito parcelado",D492),Config!$A$12:$A$15,0)),0)+IF(AND(Config!$B$17="Sim",LEFT(D492,17)="Cartão de crédito"),Config!$B$18*IFERROR(INDEX(Config!$C$12:$C$15,MATCH(IF(AND(D492="Cartão de crédito",N(E492)&gt;1),"Cartão de crédito parcelado",D492),Config!$A$12:$A$15,0)),0)/30*MAX(1,N(E492)),0))</f>
        <v/>
      </c>
      <c r="I492" s="29">
        <f>IF(OR(D492="",F492=""),"",ROUND(F492*H492,2))</f>
        <v/>
      </c>
      <c r="J492" s="29">
        <f>IF(I492="","",F492-I492)</f>
        <v/>
      </c>
      <c r="K492" s="29">
        <f>IF(J492="","",J492/MAX(1,N(E492)))</f>
        <v/>
      </c>
      <c r="L492" s="37">
        <f>IF(OR(D492="",A492=""),"",A492+IF(AND(Config!$B$17="Sim",LEFT(D492,17)="Cartão de crédito"),1,IFERROR(INDEX(Config!$C$12:$C$15,MATCH(IF(AND(D492="Cartão de crédito",N(E492)&gt;1),"Cartão de crédito parcelado",D492),Config!$A$12:$A$15,0)),0)))</f>
        <v/>
      </c>
      <c r="M492" s="37">
        <f>IF(L492="","",IF(AND(Config!$B$17="Sim",LEFT(D492,17)="Cartão de crédito"),L492,L492+30*(MAX(1,N(E492))-1)))</f>
        <v/>
      </c>
      <c r="N492" s="29">
        <f>IF(OR(L492="",K492=""),"",K492*MIN(MAX(1,N(E492)),MAX(0,INT((Config!$B$8-L492)/30)+1)))</f>
        <v/>
      </c>
      <c r="O492" s="29">
        <f>IF(J492="","",J492-N(N492))</f>
        <v/>
      </c>
      <c r="P492" s="27">
        <f>IF(A492="","",MONTH(A492))</f>
        <v/>
      </c>
      <c r="Q492" s="27">
        <f>IF(A492="","",YEAR(A492))</f>
        <v/>
      </c>
      <c r="R492" s="27">
        <f>IF(L492="","",IF(L492&gt;Config!$B$8,"A cair",IF(N(G492)&gt;=MIN(MAX(1,N(E492)),MAX(0,INT((Config!$B$8-L492)/30)+1)),IF(N(G492)&gt;=MAX(1,N(E492)),"Conferido","Conferido até aqui"),"A conferir")))</f>
        <v/>
      </c>
      <c r="S492" s="51">
        <f>IF(R492="A conferir",(Config!$B$8-L492)*1000+N(F492)/1000+ROW()/100000,0)</f>
        <v>0</v>
      </c>
      <c r="T492" s="51">
        <f>IF(R492="A conferir",N(N492),0)</f>
        <v>0</v>
      </c>
      <c r="U492" s="51">
        <f>IF(L492="",0,L492)</f>
        <v>0</v>
      </c>
      <c r="V492" s="51">
        <f>IF(L492="",0,MAX(1,N(E492)))</f>
        <v>0</v>
      </c>
      <c r="W492" s="51">
        <f>IF(K492="",0,K492)</f>
        <v>0</v>
      </c>
    </row>
    <row r="493">
      <c r="A493" s="49" t="n"/>
      <c r="B493" s="41" t="n"/>
      <c r="C493" s="41" t="n"/>
      <c r="D493" s="42" t="n"/>
      <c r="E493" s="42" t="n"/>
      <c r="F493" s="50" t="n"/>
      <c r="G493" s="42" t="n"/>
      <c r="H493" s="30">
        <f>IF(D493="","",IFERROR(INDEX(Config!$B$12:$B$15,MATCH(IF(AND(D493="Cartão de crédito",N(E493)&gt;1),"Cartão de crédito parcelado",D493),Config!$A$12:$A$15,0)),0)+IF(AND(Config!$B$17="Sim",LEFT(D493,17)="Cartão de crédito"),Config!$B$18*IFERROR(INDEX(Config!$C$12:$C$15,MATCH(IF(AND(D493="Cartão de crédito",N(E493)&gt;1),"Cartão de crédito parcelado",D493),Config!$A$12:$A$15,0)),0)/30*MAX(1,N(E493)),0))</f>
        <v/>
      </c>
      <c r="I493" s="29">
        <f>IF(OR(D493="",F493=""),"",ROUND(F493*H493,2))</f>
        <v/>
      </c>
      <c r="J493" s="29">
        <f>IF(I493="","",F493-I493)</f>
        <v/>
      </c>
      <c r="K493" s="29">
        <f>IF(J493="","",J493/MAX(1,N(E493)))</f>
        <v/>
      </c>
      <c r="L493" s="37">
        <f>IF(OR(D493="",A493=""),"",A493+IF(AND(Config!$B$17="Sim",LEFT(D493,17)="Cartão de crédito"),1,IFERROR(INDEX(Config!$C$12:$C$15,MATCH(IF(AND(D493="Cartão de crédito",N(E493)&gt;1),"Cartão de crédito parcelado",D493),Config!$A$12:$A$15,0)),0)))</f>
        <v/>
      </c>
      <c r="M493" s="37">
        <f>IF(L493="","",IF(AND(Config!$B$17="Sim",LEFT(D493,17)="Cartão de crédito"),L493,L493+30*(MAX(1,N(E493))-1)))</f>
        <v/>
      </c>
      <c r="N493" s="29">
        <f>IF(OR(L493="",K493=""),"",K493*MIN(MAX(1,N(E493)),MAX(0,INT((Config!$B$8-L493)/30)+1)))</f>
        <v/>
      </c>
      <c r="O493" s="29">
        <f>IF(J493="","",J493-N(N493))</f>
        <v/>
      </c>
      <c r="P493" s="27">
        <f>IF(A493="","",MONTH(A493))</f>
        <v/>
      </c>
      <c r="Q493" s="27">
        <f>IF(A493="","",YEAR(A493))</f>
        <v/>
      </c>
      <c r="R493" s="27">
        <f>IF(L493="","",IF(L493&gt;Config!$B$8,"A cair",IF(N(G493)&gt;=MIN(MAX(1,N(E493)),MAX(0,INT((Config!$B$8-L493)/30)+1)),IF(N(G493)&gt;=MAX(1,N(E493)),"Conferido","Conferido até aqui"),"A conferir")))</f>
        <v/>
      </c>
      <c r="S493" s="51">
        <f>IF(R493="A conferir",(Config!$B$8-L493)*1000+N(F493)/1000+ROW()/100000,0)</f>
        <v>0</v>
      </c>
      <c r="T493" s="51">
        <f>IF(R493="A conferir",N(N493),0)</f>
        <v>0</v>
      </c>
      <c r="U493" s="51">
        <f>IF(L493="",0,L493)</f>
        <v>0</v>
      </c>
      <c r="V493" s="51">
        <f>IF(L493="",0,MAX(1,N(E493)))</f>
        <v>0</v>
      </c>
      <c r="W493" s="51">
        <f>IF(K493="",0,K493)</f>
        <v>0</v>
      </c>
    </row>
    <row r="494">
      <c r="A494" s="49" t="n"/>
      <c r="B494" s="41" t="n"/>
      <c r="C494" s="41" t="n"/>
      <c r="D494" s="42" t="n"/>
      <c r="E494" s="42" t="n"/>
      <c r="F494" s="50" t="n"/>
      <c r="G494" s="42" t="n"/>
      <c r="H494" s="30">
        <f>IF(D494="","",IFERROR(INDEX(Config!$B$12:$B$15,MATCH(IF(AND(D494="Cartão de crédito",N(E494)&gt;1),"Cartão de crédito parcelado",D494),Config!$A$12:$A$15,0)),0)+IF(AND(Config!$B$17="Sim",LEFT(D494,17)="Cartão de crédito"),Config!$B$18*IFERROR(INDEX(Config!$C$12:$C$15,MATCH(IF(AND(D494="Cartão de crédito",N(E494)&gt;1),"Cartão de crédito parcelado",D494),Config!$A$12:$A$15,0)),0)/30*MAX(1,N(E494)),0))</f>
        <v/>
      </c>
      <c r="I494" s="29">
        <f>IF(OR(D494="",F494=""),"",ROUND(F494*H494,2))</f>
        <v/>
      </c>
      <c r="J494" s="29">
        <f>IF(I494="","",F494-I494)</f>
        <v/>
      </c>
      <c r="K494" s="29">
        <f>IF(J494="","",J494/MAX(1,N(E494)))</f>
        <v/>
      </c>
      <c r="L494" s="37">
        <f>IF(OR(D494="",A494=""),"",A494+IF(AND(Config!$B$17="Sim",LEFT(D494,17)="Cartão de crédito"),1,IFERROR(INDEX(Config!$C$12:$C$15,MATCH(IF(AND(D494="Cartão de crédito",N(E494)&gt;1),"Cartão de crédito parcelado",D494),Config!$A$12:$A$15,0)),0)))</f>
        <v/>
      </c>
      <c r="M494" s="37">
        <f>IF(L494="","",IF(AND(Config!$B$17="Sim",LEFT(D494,17)="Cartão de crédito"),L494,L494+30*(MAX(1,N(E494))-1)))</f>
        <v/>
      </c>
      <c r="N494" s="29">
        <f>IF(OR(L494="",K494=""),"",K494*MIN(MAX(1,N(E494)),MAX(0,INT((Config!$B$8-L494)/30)+1)))</f>
        <v/>
      </c>
      <c r="O494" s="29">
        <f>IF(J494="","",J494-N(N494))</f>
        <v/>
      </c>
      <c r="P494" s="27">
        <f>IF(A494="","",MONTH(A494))</f>
        <v/>
      </c>
      <c r="Q494" s="27">
        <f>IF(A494="","",YEAR(A494))</f>
        <v/>
      </c>
      <c r="R494" s="27">
        <f>IF(L494="","",IF(L494&gt;Config!$B$8,"A cair",IF(N(G494)&gt;=MIN(MAX(1,N(E494)),MAX(0,INT((Config!$B$8-L494)/30)+1)),IF(N(G494)&gt;=MAX(1,N(E494)),"Conferido","Conferido até aqui"),"A conferir")))</f>
        <v/>
      </c>
      <c r="S494" s="51">
        <f>IF(R494="A conferir",(Config!$B$8-L494)*1000+N(F494)/1000+ROW()/100000,0)</f>
        <v>0</v>
      </c>
      <c r="T494" s="51">
        <f>IF(R494="A conferir",N(N494),0)</f>
        <v>0</v>
      </c>
      <c r="U494" s="51">
        <f>IF(L494="",0,L494)</f>
        <v>0</v>
      </c>
      <c r="V494" s="51">
        <f>IF(L494="",0,MAX(1,N(E494)))</f>
        <v>0</v>
      </c>
      <c r="W494" s="51">
        <f>IF(K494="",0,K494)</f>
        <v>0</v>
      </c>
    </row>
    <row r="495">
      <c r="A495" s="49" t="n"/>
      <c r="B495" s="41" t="n"/>
      <c r="C495" s="41" t="n"/>
      <c r="D495" s="42" t="n"/>
      <c r="E495" s="42" t="n"/>
      <c r="F495" s="50" t="n"/>
      <c r="G495" s="42" t="n"/>
      <c r="H495" s="30">
        <f>IF(D495="","",IFERROR(INDEX(Config!$B$12:$B$15,MATCH(IF(AND(D495="Cartão de crédito",N(E495)&gt;1),"Cartão de crédito parcelado",D495),Config!$A$12:$A$15,0)),0)+IF(AND(Config!$B$17="Sim",LEFT(D495,17)="Cartão de crédito"),Config!$B$18*IFERROR(INDEX(Config!$C$12:$C$15,MATCH(IF(AND(D495="Cartão de crédito",N(E495)&gt;1),"Cartão de crédito parcelado",D495),Config!$A$12:$A$15,0)),0)/30*MAX(1,N(E495)),0))</f>
        <v/>
      </c>
      <c r="I495" s="29">
        <f>IF(OR(D495="",F495=""),"",ROUND(F495*H495,2))</f>
        <v/>
      </c>
      <c r="J495" s="29">
        <f>IF(I495="","",F495-I495)</f>
        <v/>
      </c>
      <c r="K495" s="29">
        <f>IF(J495="","",J495/MAX(1,N(E495)))</f>
        <v/>
      </c>
      <c r="L495" s="37">
        <f>IF(OR(D495="",A495=""),"",A495+IF(AND(Config!$B$17="Sim",LEFT(D495,17)="Cartão de crédito"),1,IFERROR(INDEX(Config!$C$12:$C$15,MATCH(IF(AND(D495="Cartão de crédito",N(E495)&gt;1),"Cartão de crédito parcelado",D495),Config!$A$12:$A$15,0)),0)))</f>
        <v/>
      </c>
      <c r="M495" s="37">
        <f>IF(L495="","",IF(AND(Config!$B$17="Sim",LEFT(D495,17)="Cartão de crédito"),L495,L495+30*(MAX(1,N(E495))-1)))</f>
        <v/>
      </c>
      <c r="N495" s="29">
        <f>IF(OR(L495="",K495=""),"",K495*MIN(MAX(1,N(E495)),MAX(0,INT((Config!$B$8-L495)/30)+1)))</f>
        <v/>
      </c>
      <c r="O495" s="29">
        <f>IF(J495="","",J495-N(N495))</f>
        <v/>
      </c>
      <c r="P495" s="27">
        <f>IF(A495="","",MONTH(A495))</f>
        <v/>
      </c>
      <c r="Q495" s="27">
        <f>IF(A495="","",YEAR(A495))</f>
        <v/>
      </c>
      <c r="R495" s="27">
        <f>IF(L495="","",IF(L495&gt;Config!$B$8,"A cair",IF(N(G495)&gt;=MIN(MAX(1,N(E495)),MAX(0,INT((Config!$B$8-L495)/30)+1)),IF(N(G495)&gt;=MAX(1,N(E495)),"Conferido","Conferido até aqui"),"A conferir")))</f>
        <v/>
      </c>
      <c r="S495" s="51">
        <f>IF(R495="A conferir",(Config!$B$8-L495)*1000+N(F495)/1000+ROW()/100000,0)</f>
        <v>0</v>
      </c>
      <c r="T495" s="51">
        <f>IF(R495="A conferir",N(N495),0)</f>
        <v>0</v>
      </c>
      <c r="U495" s="51">
        <f>IF(L495="",0,L495)</f>
        <v>0</v>
      </c>
      <c r="V495" s="51">
        <f>IF(L495="",0,MAX(1,N(E495)))</f>
        <v>0</v>
      </c>
      <c r="W495" s="51">
        <f>IF(K495="",0,K495)</f>
        <v>0</v>
      </c>
    </row>
    <row r="496">
      <c r="A496" s="49" t="n"/>
      <c r="B496" s="41" t="n"/>
      <c r="C496" s="41" t="n"/>
      <c r="D496" s="42" t="n"/>
      <c r="E496" s="42" t="n"/>
      <c r="F496" s="50" t="n"/>
      <c r="G496" s="42" t="n"/>
      <c r="H496" s="30">
        <f>IF(D496="","",IFERROR(INDEX(Config!$B$12:$B$15,MATCH(IF(AND(D496="Cartão de crédito",N(E496)&gt;1),"Cartão de crédito parcelado",D496),Config!$A$12:$A$15,0)),0)+IF(AND(Config!$B$17="Sim",LEFT(D496,17)="Cartão de crédito"),Config!$B$18*IFERROR(INDEX(Config!$C$12:$C$15,MATCH(IF(AND(D496="Cartão de crédito",N(E496)&gt;1),"Cartão de crédito parcelado",D496),Config!$A$12:$A$15,0)),0)/30*MAX(1,N(E496)),0))</f>
        <v/>
      </c>
      <c r="I496" s="29">
        <f>IF(OR(D496="",F496=""),"",ROUND(F496*H496,2))</f>
        <v/>
      </c>
      <c r="J496" s="29">
        <f>IF(I496="","",F496-I496)</f>
        <v/>
      </c>
      <c r="K496" s="29">
        <f>IF(J496="","",J496/MAX(1,N(E496)))</f>
        <v/>
      </c>
      <c r="L496" s="37">
        <f>IF(OR(D496="",A496=""),"",A496+IF(AND(Config!$B$17="Sim",LEFT(D496,17)="Cartão de crédito"),1,IFERROR(INDEX(Config!$C$12:$C$15,MATCH(IF(AND(D496="Cartão de crédito",N(E496)&gt;1),"Cartão de crédito parcelado",D496),Config!$A$12:$A$15,0)),0)))</f>
        <v/>
      </c>
      <c r="M496" s="37">
        <f>IF(L496="","",IF(AND(Config!$B$17="Sim",LEFT(D496,17)="Cartão de crédito"),L496,L496+30*(MAX(1,N(E496))-1)))</f>
        <v/>
      </c>
      <c r="N496" s="29">
        <f>IF(OR(L496="",K496=""),"",K496*MIN(MAX(1,N(E496)),MAX(0,INT((Config!$B$8-L496)/30)+1)))</f>
        <v/>
      </c>
      <c r="O496" s="29">
        <f>IF(J496="","",J496-N(N496))</f>
        <v/>
      </c>
      <c r="P496" s="27">
        <f>IF(A496="","",MONTH(A496))</f>
        <v/>
      </c>
      <c r="Q496" s="27">
        <f>IF(A496="","",YEAR(A496))</f>
        <v/>
      </c>
      <c r="R496" s="27">
        <f>IF(L496="","",IF(L496&gt;Config!$B$8,"A cair",IF(N(G496)&gt;=MIN(MAX(1,N(E496)),MAX(0,INT((Config!$B$8-L496)/30)+1)),IF(N(G496)&gt;=MAX(1,N(E496)),"Conferido","Conferido até aqui"),"A conferir")))</f>
        <v/>
      </c>
      <c r="S496" s="51">
        <f>IF(R496="A conferir",(Config!$B$8-L496)*1000+N(F496)/1000+ROW()/100000,0)</f>
        <v>0</v>
      </c>
      <c r="T496" s="51">
        <f>IF(R496="A conferir",N(N496),0)</f>
        <v>0</v>
      </c>
      <c r="U496" s="51">
        <f>IF(L496="",0,L496)</f>
        <v>0</v>
      </c>
      <c r="V496" s="51">
        <f>IF(L496="",0,MAX(1,N(E496)))</f>
        <v>0</v>
      </c>
      <c r="W496" s="51">
        <f>IF(K496="",0,K496)</f>
        <v>0</v>
      </c>
    </row>
    <row r="497">
      <c r="A497" s="49" t="n"/>
      <c r="B497" s="41" t="n"/>
      <c r="C497" s="41" t="n"/>
      <c r="D497" s="42" t="n"/>
      <c r="E497" s="42" t="n"/>
      <c r="F497" s="50" t="n"/>
      <c r="G497" s="42" t="n"/>
      <c r="H497" s="30">
        <f>IF(D497="","",IFERROR(INDEX(Config!$B$12:$B$15,MATCH(IF(AND(D497="Cartão de crédito",N(E497)&gt;1),"Cartão de crédito parcelado",D497),Config!$A$12:$A$15,0)),0)+IF(AND(Config!$B$17="Sim",LEFT(D497,17)="Cartão de crédito"),Config!$B$18*IFERROR(INDEX(Config!$C$12:$C$15,MATCH(IF(AND(D497="Cartão de crédito",N(E497)&gt;1),"Cartão de crédito parcelado",D497),Config!$A$12:$A$15,0)),0)/30*MAX(1,N(E497)),0))</f>
        <v/>
      </c>
      <c r="I497" s="29">
        <f>IF(OR(D497="",F497=""),"",ROUND(F497*H497,2))</f>
        <v/>
      </c>
      <c r="J497" s="29">
        <f>IF(I497="","",F497-I497)</f>
        <v/>
      </c>
      <c r="K497" s="29">
        <f>IF(J497="","",J497/MAX(1,N(E497)))</f>
        <v/>
      </c>
      <c r="L497" s="37">
        <f>IF(OR(D497="",A497=""),"",A497+IF(AND(Config!$B$17="Sim",LEFT(D497,17)="Cartão de crédito"),1,IFERROR(INDEX(Config!$C$12:$C$15,MATCH(IF(AND(D497="Cartão de crédito",N(E497)&gt;1),"Cartão de crédito parcelado",D497),Config!$A$12:$A$15,0)),0)))</f>
        <v/>
      </c>
      <c r="M497" s="37">
        <f>IF(L497="","",IF(AND(Config!$B$17="Sim",LEFT(D497,17)="Cartão de crédito"),L497,L497+30*(MAX(1,N(E497))-1)))</f>
        <v/>
      </c>
      <c r="N497" s="29">
        <f>IF(OR(L497="",K497=""),"",K497*MIN(MAX(1,N(E497)),MAX(0,INT((Config!$B$8-L497)/30)+1)))</f>
        <v/>
      </c>
      <c r="O497" s="29">
        <f>IF(J497="","",J497-N(N497))</f>
        <v/>
      </c>
      <c r="P497" s="27">
        <f>IF(A497="","",MONTH(A497))</f>
        <v/>
      </c>
      <c r="Q497" s="27">
        <f>IF(A497="","",YEAR(A497))</f>
        <v/>
      </c>
      <c r="R497" s="27">
        <f>IF(L497="","",IF(L497&gt;Config!$B$8,"A cair",IF(N(G497)&gt;=MIN(MAX(1,N(E497)),MAX(0,INT((Config!$B$8-L497)/30)+1)),IF(N(G497)&gt;=MAX(1,N(E497)),"Conferido","Conferido até aqui"),"A conferir")))</f>
        <v/>
      </c>
      <c r="S497" s="51">
        <f>IF(R497="A conferir",(Config!$B$8-L497)*1000+N(F497)/1000+ROW()/100000,0)</f>
        <v>0</v>
      </c>
      <c r="T497" s="51">
        <f>IF(R497="A conferir",N(N497),0)</f>
        <v>0</v>
      </c>
      <c r="U497" s="51">
        <f>IF(L497="",0,L497)</f>
        <v>0</v>
      </c>
      <c r="V497" s="51">
        <f>IF(L497="",0,MAX(1,N(E497)))</f>
        <v>0</v>
      </c>
      <c r="W497" s="51">
        <f>IF(K497="",0,K497)</f>
        <v>0</v>
      </c>
    </row>
    <row r="498">
      <c r="A498" s="49" t="n"/>
      <c r="B498" s="41" t="n"/>
      <c r="C498" s="41" t="n"/>
      <c r="D498" s="42" t="n"/>
      <c r="E498" s="42" t="n"/>
      <c r="F498" s="50" t="n"/>
      <c r="G498" s="42" t="n"/>
      <c r="H498" s="30">
        <f>IF(D498="","",IFERROR(INDEX(Config!$B$12:$B$15,MATCH(IF(AND(D498="Cartão de crédito",N(E498)&gt;1),"Cartão de crédito parcelado",D498),Config!$A$12:$A$15,0)),0)+IF(AND(Config!$B$17="Sim",LEFT(D498,17)="Cartão de crédito"),Config!$B$18*IFERROR(INDEX(Config!$C$12:$C$15,MATCH(IF(AND(D498="Cartão de crédito",N(E498)&gt;1),"Cartão de crédito parcelado",D498),Config!$A$12:$A$15,0)),0)/30*MAX(1,N(E498)),0))</f>
        <v/>
      </c>
      <c r="I498" s="29">
        <f>IF(OR(D498="",F498=""),"",ROUND(F498*H498,2))</f>
        <v/>
      </c>
      <c r="J498" s="29">
        <f>IF(I498="","",F498-I498)</f>
        <v/>
      </c>
      <c r="K498" s="29">
        <f>IF(J498="","",J498/MAX(1,N(E498)))</f>
        <v/>
      </c>
      <c r="L498" s="37">
        <f>IF(OR(D498="",A498=""),"",A498+IF(AND(Config!$B$17="Sim",LEFT(D498,17)="Cartão de crédito"),1,IFERROR(INDEX(Config!$C$12:$C$15,MATCH(IF(AND(D498="Cartão de crédito",N(E498)&gt;1),"Cartão de crédito parcelado",D498),Config!$A$12:$A$15,0)),0)))</f>
        <v/>
      </c>
      <c r="M498" s="37">
        <f>IF(L498="","",IF(AND(Config!$B$17="Sim",LEFT(D498,17)="Cartão de crédito"),L498,L498+30*(MAX(1,N(E498))-1)))</f>
        <v/>
      </c>
      <c r="N498" s="29">
        <f>IF(OR(L498="",K498=""),"",K498*MIN(MAX(1,N(E498)),MAX(0,INT((Config!$B$8-L498)/30)+1)))</f>
        <v/>
      </c>
      <c r="O498" s="29">
        <f>IF(J498="","",J498-N(N498))</f>
        <v/>
      </c>
      <c r="P498" s="27">
        <f>IF(A498="","",MONTH(A498))</f>
        <v/>
      </c>
      <c r="Q498" s="27">
        <f>IF(A498="","",YEAR(A498))</f>
        <v/>
      </c>
      <c r="R498" s="27">
        <f>IF(L498="","",IF(L498&gt;Config!$B$8,"A cair",IF(N(G498)&gt;=MIN(MAX(1,N(E498)),MAX(0,INT((Config!$B$8-L498)/30)+1)),IF(N(G498)&gt;=MAX(1,N(E498)),"Conferido","Conferido até aqui"),"A conferir")))</f>
        <v/>
      </c>
      <c r="S498" s="51">
        <f>IF(R498="A conferir",(Config!$B$8-L498)*1000+N(F498)/1000+ROW()/100000,0)</f>
        <v>0</v>
      </c>
      <c r="T498" s="51">
        <f>IF(R498="A conferir",N(N498),0)</f>
        <v>0</v>
      </c>
      <c r="U498" s="51">
        <f>IF(L498="",0,L498)</f>
        <v>0</v>
      </c>
      <c r="V498" s="51">
        <f>IF(L498="",0,MAX(1,N(E498)))</f>
        <v>0</v>
      </c>
      <c r="W498" s="51">
        <f>IF(K498="",0,K498)</f>
        <v>0</v>
      </c>
    </row>
    <row r="499">
      <c r="A499" s="49" t="n"/>
      <c r="B499" s="41" t="n"/>
      <c r="C499" s="41" t="n"/>
      <c r="D499" s="42" t="n"/>
      <c r="E499" s="42" t="n"/>
      <c r="F499" s="50" t="n"/>
      <c r="G499" s="42" t="n"/>
      <c r="H499" s="30">
        <f>IF(D499="","",IFERROR(INDEX(Config!$B$12:$B$15,MATCH(IF(AND(D499="Cartão de crédito",N(E499)&gt;1),"Cartão de crédito parcelado",D499),Config!$A$12:$A$15,0)),0)+IF(AND(Config!$B$17="Sim",LEFT(D499,17)="Cartão de crédito"),Config!$B$18*IFERROR(INDEX(Config!$C$12:$C$15,MATCH(IF(AND(D499="Cartão de crédito",N(E499)&gt;1),"Cartão de crédito parcelado",D499),Config!$A$12:$A$15,0)),0)/30*MAX(1,N(E499)),0))</f>
        <v/>
      </c>
      <c r="I499" s="29">
        <f>IF(OR(D499="",F499=""),"",ROUND(F499*H499,2))</f>
        <v/>
      </c>
      <c r="J499" s="29">
        <f>IF(I499="","",F499-I499)</f>
        <v/>
      </c>
      <c r="K499" s="29">
        <f>IF(J499="","",J499/MAX(1,N(E499)))</f>
        <v/>
      </c>
      <c r="L499" s="37">
        <f>IF(OR(D499="",A499=""),"",A499+IF(AND(Config!$B$17="Sim",LEFT(D499,17)="Cartão de crédito"),1,IFERROR(INDEX(Config!$C$12:$C$15,MATCH(IF(AND(D499="Cartão de crédito",N(E499)&gt;1),"Cartão de crédito parcelado",D499),Config!$A$12:$A$15,0)),0)))</f>
        <v/>
      </c>
      <c r="M499" s="37">
        <f>IF(L499="","",IF(AND(Config!$B$17="Sim",LEFT(D499,17)="Cartão de crédito"),L499,L499+30*(MAX(1,N(E499))-1)))</f>
        <v/>
      </c>
      <c r="N499" s="29">
        <f>IF(OR(L499="",K499=""),"",K499*MIN(MAX(1,N(E499)),MAX(0,INT((Config!$B$8-L499)/30)+1)))</f>
        <v/>
      </c>
      <c r="O499" s="29">
        <f>IF(J499="","",J499-N(N499))</f>
        <v/>
      </c>
      <c r="P499" s="27">
        <f>IF(A499="","",MONTH(A499))</f>
        <v/>
      </c>
      <c r="Q499" s="27">
        <f>IF(A499="","",YEAR(A499))</f>
        <v/>
      </c>
      <c r="R499" s="27">
        <f>IF(L499="","",IF(L499&gt;Config!$B$8,"A cair",IF(N(G499)&gt;=MIN(MAX(1,N(E499)),MAX(0,INT((Config!$B$8-L499)/30)+1)),IF(N(G499)&gt;=MAX(1,N(E499)),"Conferido","Conferido até aqui"),"A conferir")))</f>
        <v/>
      </c>
      <c r="S499" s="51">
        <f>IF(R499="A conferir",(Config!$B$8-L499)*1000+N(F499)/1000+ROW()/100000,0)</f>
        <v>0</v>
      </c>
      <c r="T499" s="51">
        <f>IF(R499="A conferir",N(N499),0)</f>
        <v>0</v>
      </c>
      <c r="U499" s="51">
        <f>IF(L499="",0,L499)</f>
        <v>0</v>
      </c>
      <c r="V499" s="51">
        <f>IF(L499="",0,MAX(1,N(E499)))</f>
        <v>0</v>
      </c>
      <c r="W499" s="51">
        <f>IF(K499="",0,K499)</f>
        <v>0</v>
      </c>
    </row>
    <row r="500">
      <c r="A500" s="49" t="n"/>
      <c r="B500" s="41" t="n"/>
      <c r="C500" s="41" t="n"/>
      <c r="D500" s="42" t="n"/>
      <c r="E500" s="42" t="n"/>
      <c r="F500" s="50" t="n"/>
      <c r="G500" s="42" t="n"/>
      <c r="H500" s="30">
        <f>IF(D500="","",IFERROR(INDEX(Config!$B$12:$B$15,MATCH(IF(AND(D500="Cartão de crédito",N(E500)&gt;1),"Cartão de crédito parcelado",D500),Config!$A$12:$A$15,0)),0)+IF(AND(Config!$B$17="Sim",LEFT(D500,17)="Cartão de crédito"),Config!$B$18*IFERROR(INDEX(Config!$C$12:$C$15,MATCH(IF(AND(D500="Cartão de crédito",N(E500)&gt;1),"Cartão de crédito parcelado",D500),Config!$A$12:$A$15,0)),0)/30*MAX(1,N(E500)),0))</f>
        <v/>
      </c>
      <c r="I500" s="29">
        <f>IF(OR(D500="",F500=""),"",ROUND(F500*H500,2))</f>
        <v/>
      </c>
      <c r="J500" s="29">
        <f>IF(I500="","",F500-I500)</f>
        <v/>
      </c>
      <c r="K500" s="29">
        <f>IF(J500="","",J500/MAX(1,N(E500)))</f>
        <v/>
      </c>
      <c r="L500" s="37">
        <f>IF(OR(D500="",A500=""),"",A500+IF(AND(Config!$B$17="Sim",LEFT(D500,17)="Cartão de crédito"),1,IFERROR(INDEX(Config!$C$12:$C$15,MATCH(IF(AND(D500="Cartão de crédito",N(E500)&gt;1),"Cartão de crédito parcelado",D500),Config!$A$12:$A$15,0)),0)))</f>
        <v/>
      </c>
      <c r="M500" s="37">
        <f>IF(L500="","",IF(AND(Config!$B$17="Sim",LEFT(D500,17)="Cartão de crédito"),L500,L500+30*(MAX(1,N(E500))-1)))</f>
        <v/>
      </c>
      <c r="N500" s="29">
        <f>IF(OR(L500="",K500=""),"",K500*MIN(MAX(1,N(E500)),MAX(0,INT((Config!$B$8-L500)/30)+1)))</f>
        <v/>
      </c>
      <c r="O500" s="29">
        <f>IF(J500="","",J500-N(N500))</f>
        <v/>
      </c>
      <c r="P500" s="27">
        <f>IF(A500="","",MONTH(A500))</f>
        <v/>
      </c>
      <c r="Q500" s="27">
        <f>IF(A500="","",YEAR(A500))</f>
        <v/>
      </c>
      <c r="R500" s="27">
        <f>IF(L500="","",IF(L500&gt;Config!$B$8,"A cair",IF(N(G500)&gt;=MIN(MAX(1,N(E500)),MAX(0,INT((Config!$B$8-L500)/30)+1)),IF(N(G500)&gt;=MAX(1,N(E500)),"Conferido","Conferido até aqui"),"A conferir")))</f>
        <v/>
      </c>
      <c r="S500" s="51">
        <f>IF(R500="A conferir",(Config!$B$8-L500)*1000+N(F500)/1000+ROW()/100000,0)</f>
        <v>0</v>
      </c>
      <c r="T500" s="51">
        <f>IF(R500="A conferir",N(N500),0)</f>
        <v>0</v>
      </c>
      <c r="U500" s="51">
        <f>IF(L500="",0,L500)</f>
        <v>0</v>
      </c>
      <c r="V500" s="51">
        <f>IF(L500="",0,MAX(1,N(E500)))</f>
        <v>0</v>
      </c>
      <c r="W500" s="51">
        <f>IF(K500="",0,K500)</f>
        <v>0</v>
      </c>
    </row>
    <row r="501">
      <c r="A501" s="49" t="n"/>
      <c r="B501" s="41" t="n"/>
      <c r="C501" s="41" t="n"/>
      <c r="D501" s="42" t="n"/>
      <c r="E501" s="42" t="n"/>
      <c r="F501" s="50" t="n"/>
      <c r="G501" s="42" t="n"/>
      <c r="H501" s="30">
        <f>IF(D501="","",IFERROR(INDEX(Config!$B$12:$B$15,MATCH(IF(AND(D501="Cartão de crédito",N(E501)&gt;1),"Cartão de crédito parcelado",D501),Config!$A$12:$A$15,0)),0)+IF(AND(Config!$B$17="Sim",LEFT(D501,17)="Cartão de crédito"),Config!$B$18*IFERROR(INDEX(Config!$C$12:$C$15,MATCH(IF(AND(D501="Cartão de crédito",N(E501)&gt;1),"Cartão de crédito parcelado",D501),Config!$A$12:$A$15,0)),0)/30*MAX(1,N(E501)),0))</f>
        <v/>
      </c>
      <c r="I501" s="29">
        <f>IF(OR(D501="",F501=""),"",ROUND(F501*H501,2))</f>
        <v/>
      </c>
      <c r="J501" s="29">
        <f>IF(I501="","",F501-I501)</f>
        <v/>
      </c>
      <c r="K501" s="29">
        <f>IF(J501="","",J501/MAX(1,N(E501)))</f>
        <v/>
      </c>
      <c r="L501" s="37">
        <f>IF(OR(D501="",A501=""),"",A501+IF(AND(Config!$B$17="Sim",LEFT(D501,17)="Cartão de crédito"),1,IFERROR(INDEX(Config!$C$12:$C$15,MATCH(IF(AND(D501="Cartão de crédito",N(E501)&gt;1),"Cartão de crédito parcelado",D501),Config!$A$12:$A$15,0)),0)))</f>
        <v/>
      </c>
      <c r="M501" s="37">
        <f>IF(L501="","",IF(AND(Config!$B$17="Sim",LEFT(D501,17)="Cartão de crédito"),L501,L501+30*(MAX(1,N(E501))-1)))</f>
        <v/>
      </c>
      <c r="N501" s="29">
        <f>IF(OR(L501="",K501=""),"",K501*MIN(MAX(1,N(E501)),MAX(0,INT((Config!$B$8-L501)/30)+1)))</f>
        <v/>
      </c>
      <c r="O501" s="29">
        <f>IF(J501="","",J501-N(N501))</f>
        <v/>
      </c>
      <c r="P501" s="27">
        <f>IF(A501="","",MONTH(A501))</f>
        <v/>
      </c>
      <c r="Q501" s="27">
        <f>IF(A501="","",YEAR(A501))</f>
        <v/>
      </c>
      <c r="R501" s="27">
        <f>IF(L501="","",IF(L501&gt;Config!$B$8,"A cair",IF(N(G501)&gt;=MIN(MAX(1,N(E501)),MAX(0,INT((Config!$B$8-L501)/30)+1)),IF(N(G501)&gt;=MAX(1,N(E501)),"Conferido","Conferido até aqui"),"A conferir")))</f>
        <v/>
      </c>
      <c r="S501" s="51">
        <f>IF(R501="A conferir",(Config!$B$8-L501)*1000+N(F501)/1000+ROW()/100000,0)</f>
        <v>0</v>
      </c>
      <c r="T501" s="51">
        <f>IF(R501="A conferir",N(N501),0)</f>
        <v>0</v>
      </c>
      <c r="U501" s="51">
        <f>IF(L501="",0,L501)</f>
        <v>0</v>
      </c>
      <c r="V501" s="51">
        <f>IF(L501="",0,MAX(1,N(E501)))</f>
        <v>0</v>
      </c>
      <c r="W501" s="51">
        <f>IF(K501="",0,K501)</f>
        <v>0</v>
      </c>
    </row>
    <row r="502">
      <c r="A502" s="49" t="n"/>
      <c r="B502" s="41" t="n"/>
      <c r="C502" s="41" t="n"/>
      <c r="D502" s="42" t="n"/>
      <c r="E502" s="42" t="n"/>
      <c r="F502" s="50" t="n"/>
      <c r="G502" s="42" t="n"/>
      <c r="H502" s="30">
        <f>IF(D502="","",IFERROR(INDEX(Config!$B$12:$B$15,MATCH(IF(AND(D502="Cartão de crédito",N(E502)&gt;1),"Cartão de crédito parcelado",D502),Config!$A$12:$A$15,0)),0)+IF(AND(Config!$B$17="Sim",LEFT(D502,17)="Cartão de crédito"),Config!$B$18*IFERROR(INDEX(Config!$C$12:$C$15,MATCH(IF(AND(D502="Cartão de crédito",N(E502)&gt;1),"Cartão de crédito parcelado",D502),Config!$A$12:$A$15,0)),0)/30*MAX(1,N(E502)),0))</f>
        <v/>
      </c>
      <c r="I502" s="29">
        <f>IF(OR(D502="",F502=""),"",ROUND(F502*H502,2))</f>
        <v/>
      </c>
      <c r="J502" s="29">
        <f>IF(I502="","",F502-I502)</f>
        <v/>
      </c>
      <c r="K502" s="29">
        <f>IF(J502="","",J502/MAX(1,N(E502)))</f>
        <v/>
      </c>
      <c r="L502" s="37">
        <f>IF(OR(D502="",A502=""),"",A502+IF(AND(Config!$B$17="Sim",LEFT(D502,17)="Cartão de crédito"),1,IFERROR(INDEX(Config!$C$12:$C$15,MATCH(IF(AND(D502="Cartão de crédito",N(E502)&gt;1),"Cartão de crédito parcelado",D502),Config!$A$12:$A$15,0)),0)))</f>
        <v/>
      </c>
      <c r="M502" s="37">
        <f>IF(L502="","",IF(AND(Config!$B$17="Sim",LEFT(D502,17)="Cartão de crédito"),L502,L502+30*(MAX(1,N(E502))-1)))</f>
        <v/>
      </c>
      <c r="N502" s="29">
        <f>IF(OR(L502="",K502=""),"",K502*MIN(MAX(1,N(E502)),MAX(0,INT((Config!$B$8-L502)/30)+1)))</f>
        <v/>
      </c>
      <c r="O502" s="29">
        <f>IF(J502="","",J502-N(N502))</f>
        <v/>
      </c>
      <c r="P502" s="27">
        <f>IF(A502="","",MONTH(A502))</f>
        <v/>
      </c>
      <c r="Q502" s="27">
        <f>IF(A502="","",YEAR(A502))</f>
        <v/>
      </c>
      <c r="R502" s="27">
        <f>IF(L502="","",IF(L502&gt;Config!$B$8,"A cair",IF(N(G502)&gt;=MIN(MAX(1,N(E502)),MAX(0,INT((Config!$B$8-L502)/30)+1)),IF(N(G502)&gt;=MAX(1,N(E502)),"Conferido","Conferido até aqui"),"A conferir")))</f>
        <v/>
      </c>
      <c r="S502" s="51">
        <f>IF(R502="A conferir",(Config!$B$8-L502)*1000+N(F502)/1000+ROW()/100000,0)</f>
        <v>0</v>
      </c>
      <c r="T502" s="51">
        <f>IF(R502="A conferir",N(N502),0)</f>
        <v>0</v>
      </c>
      <c r="U502" s="51">
        <f>IF(L502="",0,L502)</f>
        <v>0</v>
      </c>
      <c r="V502" s="51">
        <f>IF(L502="",0,MAX(1,N(E502)))</f>
        <v>0</v>
      </c>
      <c r="W502" s="51">
        <f>IF(K502="",0,K502)</f>
        <v>0</v>
      </c>
    </row>
    <row r="503">
      <c r="A503" s="49" t="n"/>
      <c r="B503" s="41" t="n"/>
      <c r="C503" s="41" t="n"/>
      <c r="D503" s="42" t="n"/>
      <c r="E503" s="42" t="n"/>
      <c r="F503" s="50" t="n"/>
      <c r="G503" s="42" t="n"/>
      <c r="H503" s="30">
        <f>IF(D503="","",IFERROR(INDEX(Config!$B$12:$B$15,MATCH(IF(AND(D503="Cartão de crédito",N(E503)&gt;1),"Cartão de crédito parcelado",D503),Config!$A$12:$A$15,0)),0)+IF(AND(Config!$B$17="Sim",LEFT(D503,17)="Cartão de crédito"),Config!$B$18*IFERROR(INDEX(Config!$C$12:$C$15,MATCH(IF(AND(D503="Cartão de crédito",N(E503)&gt;1),"Cartão de crédito parcelado",D503),Config!$A$12:$A$15,0)),0)/30*MAX(1,N(E503)),0))</f>
        <v/>
      </c>
      <c r="I503" s="29">
        <f>IF(OR(D503="",F503=""),"",ROUND(F503*H503,2))</f>
        <v/>
      </c>
      <c r="J503" s="29">
        <f>IF(I503="","",F503-I503)</f>
        <v/>
      </c>
      <c r="K503" s="29">
        <f>IF(J503="","",J503/MAX(1,N(E503)))</f>
        <v/>
      </c>
      <c r="L503" s="37">
        <f>IF(OR(D503="",A503=""),"",A503+IF(AND(Config!$B$17="Sim",LEFT(D503,17)="Cartão de crédito"),1,IFERROR(INDEX(Config!$C$12:$C$15,MATCH(IF(AND(D503="Cartão de crédito",N(E503)&gt;1),"Cartão de crédito parcelado",D503),Config!$A$12:$A$15,0)),0)))</f>
        <v/>
      </c>
      <c r="M503" s="37">
        <f>IF(L503="","",IF(AND(Config!$B$17="Sim",LEFT(D503,17)="Cartão de crédito"),L503,L503+30*(MAX(1,N(E503))-1)))</f>
        <v/>
      </c>
      <c r="N503" s="29">
        <f>IF(OR(L503="",K503=""),"",K503*MIN(MAX(1,N(E503)),MAX(0,INT((Config!$B$8-L503)/30)+1)))</f>
        <v/>
      </c>
      <c r="O503" s="29">
        <f>IF(J503="","",J503-N(N503))</f>
        <v/>
      </c>
      <c r="P503" s="27">
        <f>IF(A503="","",MONTH(A503))</f>
        <v/>
      </c>
      <c r="Q503" s="27">
        <f>IF(A503="","",YEAR(A503))</f>
        <v/>
      </c>
      <c r="R503" s="27">
        <f>IF(L503="","",IF(L503&gt;Config!$B$8,"A cair",IF(N(G503)&gt;=MIN(MAX(1,N(E503)),MAX(0,INT((Config!$B$8-L503)/30)+1)),IF(N(G503)&gt;=MAX(1,N(E503)),"Conferido","Conferido até aqui"),"A conferir")))</f>
        <v/>
      </c>
      <c r="S503" s="51">
        <f>IF(R503="A conferir",(Config!$B$8-L503)*1000+N(F503)/1000+ROW()/100000,0)</f>
        <v>0</v>
      </c>
      <c r="T503" s="51">
        <f>IF(R503="A conferir",N(N503),0)</f>
        <v>0</v>
      </c>
      <c r="U503" s="51">
        <f>IF(L503="",0,L503)</f>
        <v>0</v>
      </c>
      <c r="V503" s="51">
        <f>IF(L503="",0,MAX(1,N(E503)))</f>
        <v>0</v>
      </c>
      <c r="W503" s="51">
        <f>IF(K503="",0,K503)</f>
        <v>0</v>
      </c>
    </row>
    <row r="504">
      <c r="A504" s="49" t="n"/>
      <c r="B504" s="41" t="n"/>
      <c r="C504" s="41" t="n"/>
      <c r="D504" s="42" t="n"/>
      <c r="E504" s="42" t="n"/>
      <c r="F504" s="50" t="n"/>
      <c r="G504" s="42" t="n"/>
      <c r="H504" s="30">
        <f>IF(D504="","",IFERROR(INDEX(Config!$B$12:$B$15,MATCH(IF(AND(D504="Cartão de crédito",N(E504)&gt;1),"Cartão de crédito parcelado",D504),Config!$A$12:$A$15,0)),0)+IF(AND(Config!$B$17="Sim",LEFT(D504,17)="Cartão de crédito"),Config!$B$18*IFERROR(INDEX(Config!$C$12:$C$15,MATCH(IF(AND(D504="Cartão de crédito",N(E504)&gt;1),"Cartão de crédito parcelado",D504),Config!$A$12:$A$15,0)),0)/30*MAX(1,N(E504)),0))</f>
        <v/>
      </c>
      <c r="I504" s="29">
        <f>IF(OR(D504="",F504=""),"",ROUND(F504*H504,2))</f>
        <v/>
      </c>
      <c r="J504" s="29">
        <f>IF(I504="","",F504-I504)</f>
        <v/>
      </c>
      <c r="K504" s="29">
        <f>IF(J504="","",J504/MAX(1,N(E504)))</f>
        <v/>
      </c>
      <c r="L504" s="37">
        <f>IF(OR(D504="",A504=""),"",A504+IF(AND(Config!$B$17="Sim",LEFT(D504,17)="Cartão de crédito"),1,IFERROR(INDEX(Config!$C$12:$C$15,MATCH(IF(AND(D504="Cartão de crédito",N(E504)&gt;1),"Cartão de crédito parcelado",D504),Config!$A$12:$A$15,0)),0)))</f>
        <v/>
      </c>
      <c r="M504" s="37">
        <f>IF(L504="","",IF(AND(Config!$B$17="Sim",LEFT(D504,17)="Cartão de crédito"),L504,L504+30*(MAX(1,N(E504))-1)))</f>
        <v/>
      </c>
      <c r="N504" s="29">
        <f>IF(OR(L504="",K504=""),"",K504*MIN(MAX(1,N(E504)),MAX(0,INT((Config!$B$8-L504)/30)+1)))</f>
        <v/>
      </c>
      <c r="O504" s="29">
        <f>IF(J504="","",J504-N(N504))</f>
        <v/>
      </c>
      <c r="P504" s="27">
        <f>IF(A504="","",MONTH(A504))</f>
        <v/>
      </c>
      <c r="Q504" s="27">
        <f>IF(A504="","",YEAR(A504))</f>
        <v/>
      </c>
      <c r="R504" s="27">
        <f>IF(L504="","",IF(L504&gt;Config!$B$8,"A cair",IF(N(G504)&gt;=MIN(MAX(1,N(E504)),MAX(0,INT((Config!$B$8-L504)/30)+1)),IF(N(G504)&gt;=MAX(1,N(E504)),"Conferido","Conferido até aqui"),"A conferir")))</f>
        <v/>
      </c>
      <c r="S504" s="51">
        <f>IF(R504="A conferir",(Config!$B$8-L504)*1000+N(F504)/1000+ROW()/100000,0)</f>
        <v>0</v>
      </c>
      <c r="T504" s="51">
        <f>IF(R504="A conferir",N(N504),0)</f>
        <v>0</v>
      </c>
      <c r="U504" s="51">
        <f>IF(L504="",0,L504)</f>
        <v>0</v>
      </c>
      <c r="V504" s="51">
        <f>IF(L504="",0,MAX(1,N(E504)))</f>
        <v>0</v>
      </c>
      <c r="W504" s="51">
        <f>IF(K504="",0,K504)</f>
        <v>0</v>
      </c>
    </row>
    <row r="505">
      <c r="A505" s="49" t="n"/>
      <c r="B505" s="41" t="n"/>
      <c r="C505" s="41" t="n"/>
      <c r="D505" s="42" t="n"/>
      <c r="E505" s="42" t="n"/>
      <c r="F505" s="50" t="n"/>
      <c r="G505" s="42" t="n"/>
      <c r="H505" s="30">
        <f>IF(D505="","",IFERROR(INDEX(Config!$B$12:$B$15,MATCH(IF(AND(D505="Cartão de crédito",N(E505)&gt;1),"Cartão de crédito parcelado",D505),Config!$A$12:$A$15,0)),0)+IF(AND(Config!$B$17="Sim",LEFT(D505,17)="Cartão de crédito"),Config!$B$18*IFERROR(INDEX(Config!$C$12:$C$15,MATCH(IF(AND(D505="Cartão de crédito",N(E505)&gt;1),"Cartão de crédito parcelado",D505),Config!$A$12:$A$15,0)),0)/30*MAX(1,N(E505)),0))</f>
        <v/>
      </c>
      <c r="I505" s="29">
        <f>IF(OR(D505="",F505=""),"",ROUND(F505*H505,2))</f>
        <v/>
      </c>
      <c r="J505" s="29">
        <f>IF(I505="","",F505-I505)</f>
        <v/>
      </c>
      <c r="K505" s="29">
        <f>IF(J505="","",J505/MAX(1,N(E505)))</f>
        <v/>
      </c>
      <c r="L505" s="37">
        <f>IF(OR(D505="",A505=""),"",A505+IF(AND(Config!$B$17="Sim",LEFT(D505,17)="Cartão de crédito"),1,IFERROR(INDEX(Config!$C$12:$C$15,MATCH(IF(AND(D505="Cartão de crédito",N(E505)&gt;1),"Cartão de crédito parcelado",D505),Config!$A$12:$A$15,0)),0)))</f>
        <v/>
      </c>
      <c r="M505" s="37">
        <f>IF(L505="","",IF(AND(Config!$B$17="Sim",LEFT(D505,17)="Cartão de crédito"),L505,L505+30*(MAX(1,N(E505))-1)))</f>
        <v/>
      </c>
      <c r="N505" s="29">
        <f>IF(OR(L505="",K505=""),"",K505*MIN(MAX(1,N(E505)),MAX(0,INT((Config!$B$8-L505)/30)+1)))</f>
        <v/>
      </c>
      <c r="O505" s="29">
        <f>IF(J505="","",J505-N(N505))</f>
        <v/>
      </c>
      <c r="P505" s="27">
        <f>IF(A505="","",MONTH(A505))</f>
        <v/>
      </c>
      <c r="Q505" s="27">
        <f>IF(A505="","",YEAR(A505))</f>
        <v/>
      </c>
      <c r="R505" s="27">
        <f>IF(L505="","",IF(L505&gt;Config!$B$8,"A cair",IF(N(G505)&gt;=MIN(MAX(1,N(E505)),MAX(0,INT((Config!$B$8-L505)/30)+1)),IF(N(G505)&gt;=MAX(1,N(E505)),"Conferido","Conferido até aqui"),"A conferir")))</f>
        <v/>
      </c>
      <c r="S505" s="51">
        <f>IF(R505="A conferir",(Config!$B$8-L505)*1000+N(F505)/1000+ROW()/100000,0)</f>
        <v>0</v>
      </c>
      <c r="T505" s="51">
        <f>IF(R505="A conferir",N(N505),0)</f>
        <v>0</v>
      </c>
      <c r="U505" s="51">
        <f>IF(L505="",0,L505)</f>
        <v>0</v>
      </c>
      <c r="V505" s="51">
        <f>IF(L505="",0,MAX(1,N(E505)))</f>
        <v>0</v>
      </c>
      <c r="W505" s="51">
        <f>IF(K505="",0,K505)</f>
        <v>0</v>
      </c>
    </row>
    <row r="506">
      <c r="A506" s="49" t="n"/>
      <c r="B506" s="41" t="n"/>
      <c r="C506" s="41" t="n"/>
      <c r="D506" s="42" t="n"/>
      <c r="E506" s="42" t="n"/>
      <c r="F506" s="50" t="n"/>
      <c r="G506" s="42" t="n"/>
      <c r="H506" s="30">
        <f>IF(D506="","",IFERROR(INDEX(Config!$B$12:$B$15,MATCH(IF(AND(D506="Cartão de crédito",N(E506)&gt;1),"Cartão de crédito parcelado",D506),Config!$A$12:$A$15,0)),0)+IF(AND(Config!$B$17="Sim",LEFT(D506,17)="Cartão de crédito"),Config!$B$18*IFERROR(INDEX(Config!$C$12:$C$15,MATCH(IF(AND(D506="Cartão de crédito",N(E506)&gt;1),"Cartão de crédito parcelado",D506),Config!$A$12:$A$15,0)),0)/30*MAX(1,N(E506)),0))</f>
        <v/>
      </c>
      <c r="I506" s="29">
        <f>IF(OR(D506="",F506=""),"",ROUND(F506*H506,2))</f>
        <v/>
      </c>
      <c r="J506" s="29">
        <f>IF(I506="","",F506-I506)</f>
        <v/>
      </c>
      <c r="K506" s="29">
        <f>IF(J506="","",J506/MAX(1,N(E506)))</f>
        <v/>
      </c>
      <c r="L506" s="37">
        <f>IF(OR(D506="",A506=""),"",A506+IF(AND(Config!$B$17="Sim",LEFT(D506,17)="Cartão de crédito"),1,IFERROR(INDEX(Config!$C$12:$C$15,MATCH(IF(AND(D506="Cartão de crédito",N(E506)&gt;1),"Cartão de crédito parcelado",D506),Config!$A$12:$A$15,0)),0)))</f>
        <v/>
      </c>
      <c r="M506" s="37">
        <f>IF(L506="","",IF(AND(Config!$B$17="Sim",LEFT(D506,17)="Cartão de crédito"),L506,L506+30*(MAX(1,N(E506))-1)))</f>
        <v/>
      </c>
      <c r="N506" s="29">
        <f>IF(OR(L506="",K506=""),"",K506*MIN(MAX(1,N(E506)),MAX(0,INT((Config!$B$8-L506)/30)+1)))</f>
        <v/>
      </c>
      <c r="O506" s="29">
        <f>IF(J506="","",J506-N(N506))</f>
        <v/>
      </c>
      <c r="P506" s="27">
        <f>IF(A506="","",MONTH(A506))</f>
        <v/>
      </c>
      <c r="Q506" s="27">
        <f>IF(A506="","",YEAR(A506))</f>
        <v/>
      </c>
      <c r="R506" s="27">
        <f>IF(L506="","",IF(L506&gt;Config!$B$8,"A cair",IF(N(G506)&gt;=MIN(MAX(1,N(E506)),MAX(0,INT((Config!$B$8-L506)/30)+1)),IF(N(G506)&gt;=MAX(1,N(E506)),"Conferido","Conferido até aqui"),"A conferir")))</f>
        <v/>
      </c>
      <c r="S506" s="51">
        <f>IF(R506="A conferir",(Config!$B$8-L506)*1000+N(F506)/1000+ROW()/100000,0)</f>
        <v>0</v>
      </c>
      <c r="T506" s="51">
        <f>IF(R506="A conferir",N(N506),0)</f>
        <v>0</v>
      </c>
      <c r="U506" s="51">
        <f>IF(L506="",0,L506)</f>
        <v>0</v>
      </c>
      <c r="V506" s="51">
        <f>IF(L506="",0,MAX(1,N(E506)))</f>
        <v>0</v>
      </c>
      <c r="W506" s="51">
        <f>IF(K506="",0,K506)</f>
        <v>0</v>
      </c>
    </row>
    <row r="507">
      <c r="A507" s="49" t="n"/>
      <c r="B507" s="41" t="n"/>
      <c r="C507" s="41" t="n"/>
      <c r="D507" s="42" t="n"/>
      <c r="E507" s="42" t="n"/>
      <c r="F507" s="50" t="n"/>
      <c r="G507" s="42" t="n"/>
      <c r="H507" s="30">
        <f>IF(D507="","",IFERROR(INDEX(Config!$B$12:$B$15,MATCH(IF(AND(D507="Cartão de crédito",N(E507)&gt;1),"Cartão de crédito parcelado",D507),Config!$A$12:$A$15,0)),0)+IF(AND(Config!$B$17="Sim",LEFT(D507,17)="Cartão de crédito"),Config!$B$18*IFERROR(INDEX(Config!$C$12:$C$15,MATCH(IF(AND(D507="Cartão de crédito",N(E507)&gt;1),"Cartão de crédito parcelado",D507),Config!$A$12:$A$15,0)),0)/30*MAX(1,N(E507)),0))</f>
        <v/>
      </c>
      <c r="I507" s="29">
        <f>IF(OR(D507="",F507=""),"",ROUND(F507*H507,2))</f>
        <v/>
      </c>
      <c r="J507" s="29">
        <f>IF(I507="","",F507-I507)</f>
        <v/>
      </c>
      <c r="K507" s="29">
        <f>IF(J507="","",J507/MAX(1,N(E507)))</f>
        <v/>
      </c>
      <c r="L507" s="37">
        <f>IF(OR(D507="",A507=""),"",A507+IF(AND(Config!$B$17="Sim",LEFT(D507,17)="Cartão de crédito"),1,IFERROR(INDEX(Config!$C$12:$C$15,MATCH(IF(AND(D507="Cartão de crédito",N(E507)&gt;1),"Cartão de crédito parcelado",D507),Config!$A$12:$A$15,0)),0)))</f>
        <v/>
      </c>
      <c r="M507" s="37">
        <f>IF(L507="","",IF(AND(Config!$B$17="Sim",LEFT(D507,17)="Cartão de crédito"),L507,L507+30*(MAX(1,N(E507))-1)))</f>
        <v/>
      </c>
      <c r="N507" s="29">
        <f>IF(OR(L507="",K507=""),"",K507*MIN(MAX(1,N(E507)),MAX(0,INT((Config!$B$8-L507)/30)+1)))</f>
        <v/>
      </c>
      <c r="O507" s="29">
        <f>IF(J507="","",J507-N(N507))</f>
        <v/>
      </c>
      <c r="P507" s="27">
        <f>IF(A507="","",MONTH(A507))</f>
        <v/>
      </c>
      <c r="Q507" s="27">
        <f>IF(A507="","",YEAR(A507))</f>
        <v/>
      </c>
      <c r="R507" s="27">
        <f>IF(L507="","",IF(L507&gt;Config!$B$8,"A cair",IF(N(G507)&gt;=MIN(MAX(1,N(E507)),MAX(0,INT((Config!$B$8-L507)/30)+1)),IF(N(G507)&gt;=MAX(1,N(E507)),"Conferido","Conferido até aqui"),"A conferir")))</f>
        <v/>
      </c>
      <c r="S507" s="51">
        <f>IF(R507="A conferir",(Config!$B$8-L507)*1000+N(F507)/1000+ROW()/100000,0)</f>
        <v>0</v>
      </c>
      <c r="T507" s="51">
        <f>IF(R507="A conferir",N(N507),0)</f>
        <v>0</v>
      </c>
      <c r="U507" s="51">
        <f>IF(L507="",0,L507)</f>
        <v>0</v>
      </c>
      <c r="V507" s="51">
        <f>IF(L507="",0,MAX(1,N(E507)))</f>
        <v>0</v>
      </c>
      <c r="W507" s="51">
        <f>IF(K507="",0,K507)</f>
        <v>0</v>
      </c>
    </row>
    <row r="508">
      <c r="A508" s="49" t="n"/>
      <c r="B508" s="41" t="n"/>
      <c r="C508" s="41" t="n"/>
      <c r="D508" s="42" t="n"/>
      <c r="E508" s="42" t="n"/>
      <c r="F508" s="50" t="n"/>
      <c r="G508" s="42" t="n"/>
      <c r="H508" s="30">
        <f>IF(D508="","",IFERROR(INDEX(Config!$B$12:$B$15,MATCH(IF(AND(D508="Cartão de crédito",N(E508)&gt;1),"Cartão de crédito parcelado",D508),Config!$A$12:$A$15,0)),0)+IF(AND(Config!$B$17="Sim",LEFT(D508,17)="Cartão de crédito"),Config!$B$18*IFERROR(INDEX(Config!$C$12:$C$15,MATCH(IF(AND(D508="Cartão de crédito",N(E508)&gt;1),"Cartão de crédito parcelado",D508),Config!$A$12:$A$15,0)),0)/30*MAX(1,N(E508)),0))</f>
        <v/>
      </c>
      <c r="I508" s="29">
        <f>IF(OR(D508="",F508=""),"",ROUND(F508*H508,2))</f>
        <v/>
      </c>
      <c r="J508" s="29">
        <f>IF(I508="","",F508-I508)</f>
        <v/>
      </c>
      <c r="K508" s="29">
        <f>IF(J508="","",J508/MAX(1,N(E508)))</f>
        <v/>
      </c>
      <c r="L508" s="37">
        <f>IF(OR(D508="",A508=""),"",A508+IF(AND(Config!$B$17="Sim",LEFT(D508,17)="Cartão de crédito"),1,IFERROR(INDEX(Config!$C$12:$C$15,MATCH(IF(AND(D508="Cartão de crédito",N(E508)&gt;1),"Cartão de crédito parcelado",D508),Config!$A$12:$A$15,0)),0)))</f>
        <v/>
      </c>
      <c r="M508" s="37">
        <f>IF(L508="","",IF(AND(Config!$B$17="Sim",LEFT(D508,17)="Cartão de crédito"),L508,L508+30*(MAX(1,N(E508))-1)))</f>
        <v/>
      </c>
      <c r="N508" s="29">
        <f>IF(OR(L508="",K508=""),"",K508*MIN(MAX(1,N(E508)),MAX(0,INT((Config!$B$8-L508)/30)+1)))</f>
        <v/>
      </c>
      <c r="O508" s="29">
        <f>IF(J508="","",J508-N(N508))</f>
        <v/>
      </c>
      <c r="P508" s="27">
        <f>IF(A508="","",MONTH(A508))</f>
        <v/>
      </c>
      <c r="Q508" s="27">
        <f>IF(A508="","",YEAR(A508))</f>
        <v/>
      </c>
      <c r="R508" s="27">
        <f>IF(L508="","",IF(L508&gt;Config!$B$8,"A cair",IF(N(G508)&gt;=MIN(MAX(1,N(E508)),MAX(0,INT((Config!$B$8-L508)/30)+1)),IF(N(G508)&gt;=MAX(1,N(E508)),"Conferido","Conferido até aqui"),"A conferir")))</f>
        <v/>
      </c>
      <c r="S508" s="51">
        <f>IF(R508="A conferir",(Config!$B$8-L508)*1000+N(F508)/1000+ROW()/100000,0)</f>
        <v>0</v>
      </c>
      <c r="T508" s="51">
        <f>IF(R508="A conferir",N(N508),0)</f>
        <v>0</v>
      </c>
      <c r="U508" s="51">
        <f>IF(L508="",0,L508)</f>
        <v>0</v>
      </c>
      <c r="V508" s="51">
        <f>IF(L508="",0,MAX(1,N(E508)))</f>
        <v>0</v>
      </c>
      <c r="W508" s="51">
        <f>IF(K508="",0,K508)</f>
        <v>0</v>
      </c>
    </row>
    <row r="509">
      <c r="A509" s="49" t="n"/>
      <c r="B509" s="41" t="n"/>
      <c r="C509" s="41" t="n"/>
      <c r="D509" s="42" t="n"/>
      <c r="E509" s="42" t="n"/>
      <c r="F509" s="50" t="n"/>
      <c r="G509" s="42" t="n"/>
      <c r="H509" s="30">
        <f>IF(D509="","",IFERROR(INDEX(Config!$B$12:$B$15,MATCH(IF(AND(D509="Cartão de crédito",N(E509)&gt;1),"Cartão de crédito parcelado",D509),Config!$A$12:$A$15,0)),0)+IF(AND(Config!$B$17="Sim",LEFT(D509,17)="Cartão de crédito"),Config!$B$18*IFERROR(INDEX(Config!$C$12:$C$15,MATCH(IF(AND(D509="Cartão de crédito",N(E509)&gt;1),"Cartão de crédito parcelado",D509),Config!$A$12:$A$15,0)),0)/30*MAX(1,N(E509)),0))</f>
        <v/>
      </c>
      <c r="I509" s="29">
        <f>IF(OR(D509="",F509=""),"",ROUND(F509*H509,2))</f>
        <v/>
      </c>
      <c r="J509" s="29">
        <f>IF(I509="","",F509-I509)</f>
        <v/>
      </c>
      <c r="K509" s="29">
        <f>IF(J509="","",J509/MAX(1,N(E509)))</f>
        <v/>
      </c>
      <c r="L509" s="37">
        <f>IF(OR(D509="",A509=""),"",A509+IF(AND(Config!$B$17="Sim",LEFT(D509,17)="Cartão de crédito"),1,IFERROR(INDEX(Config!$C$12:$C$15,MATCH(IF(AND(D509="Cartão de crédito",N(E509)&gt;1),"Cartão de crédito parcelado",D509),Config!$A$12:$A$15,0)),0)))</f>
        <v/>
      </c>
      <c r="M509" s="37">
        <f>IF(L509="","",IF(AND(Config!$B$17="Sim",LEFT(D509,17)="Cartão de crédito"),L509,L509+30*(MAX(1,N(E509))-1)))</f>
        <v/>
      </c>
      <c r="N509" s="29">
        <f>IF(OR(L509="",K509=""),"",K509*MIN(MAX(1,N(E509)),MAX(0,INT((Config!$B$8-L509)/30)+1)))</f>
        <v/>
      </c>
      <c r="O509" s="29">
        <f>IF(J509="","",J509-N(N509))</f>
        <v/>
      </c>
      <c r="P509" s="27">
        <f>IF(A509="","",MONTH(A509))</f>
        <v/>
      </c>
      <c r="Q509" s="27">
        <f>IF(A509="","",YEAR(A509))</f>
        <v/>
      </c>
      <c r="R509" s="27">
        <f>IF(L509="","",IF(L509&gt;Config!$B$8,"A cair",IF(N(G509)&gt;=MIN(MAX(1,N(E509)),MAX(0,INT((Config!$B$8-L509)/30)+1)),IF(N(G509)&gt;=MAX(1,N(E509)),"Conferido","Conferido até aqui"),"A conferir")))</f>
        <v/>
      </c>
      <c r="S509" s="51">
        <f>IF(R509="A conferir",(Config!$B$8-L509)*1000+N(F509)/1000+ROW()/100000,0)</f>
        <v>0</v>
      </c>
      <c r="T509" s="51">
        <f>IF(R509="A conferir",N(N509),0)</f>
        <v>0</v>
      </c>
      <c r="U509" s="51">
        <f>IF(L509="",0,L509)</f>
        <v>0</v>
      </c>
      <c r="V509" s="51">
        <f>IF(L509="",0,MAX(1,N(E509)))</f>
        <v>0</v>
      </c>
      <c r="W509" s="51">
        <f>IF(K509="",0,K509)</f>
        <v>0</v>
      </c>
    </row>
    <row r="510">
      <c r="A510" s="49" t="n"/>
      <c r="B510" s="41" t="n"/>
      <c r="C510" s="41" t="n"/>
      <c r="D510" s="42" t="n"/>
      <c r="E510" s="42" t="n"/>
      <c r="F510" s="50" t="n"/>
      <c r="G510" s="42" t="n"/>
      <c r="H510" s="30">
        <f>IF(D510="","",IFERROR(INDEX(Config!$B$12:$B$15,MATCH(IF(AND(D510="Cartão de crédito",N(E510)&gt;1),"Cartão de crédito parcelado",D510),Config!$A$12:$A$15,0)),0)+IF(AND(Config!$B$17="Sim",LEFT(D510,17)="Cartão de crédito"),Config!$B$18*IFERROR(INDEX(Config!$C$12:$C$15,MATCH(IF(AND(D510="Cartão de crédito",N(E510)&gt;1),"Cartão de crédito parcelado",D510),Config!$A$12:$A$15,0)),0)/30*MAX(1,N(E510)),0))</f>
        <v/>
      </c>
      <c r="I510" s="29">
        <f>IF(OR(D510="",F510=""),"",ROUND(F510*H510,2))</f>
        <v/>
      </c>
      <c r="J510" s="29">
        <f>IF(I510="","",F510-I510)</f>
        <v/>
      </c>
      <c r="K510" s="29">
        <f>IF(J510="","",J510/MAX(1,N(E510)))</f>
        <v/>
      </c>
      <c r="L510" s="37">
        <f>IF(OR(D510="",A510=""),"",A510+IF(AND(Config!$B$17="Sim",LEFT(D510,17)="Cartão de crédito"),1,IFERROR(INDEX(Config!$C$12:$C$15,MATCH(IF(AND(D510="Cartão de crédito",N(E510)&gt;1),"Cartão de crédito parcelado",D510),Config!$A$12:$A$15,0)),0)))</f>
        <v/>
      </c>
      <c r="M510" s="37">
        <f>IF(L510="","",IF(AND(Config!$B$17="Sim",LEFT(D510,17)="Cartão de crédito"),L510,L510+30*(MAX(1,N(E510))-1)))</f>
        <v/>
      </c>
      <c r="N510" s="29">
        <f>IF(OR(L510="",K510=""),"",K510*MIN(MAX(1,N(E510)),MAX(0,INT((Config!$B$8-L510)/30)+1)))</f>
        <v/>
      </c>
      <c r="O510" s="29">
        <f>IF(J510="","",J510-N(N510))</f>
        <v/>
      </c>
      <c r="P510" s="27">
        <f>IF(A510="","",MONTH(A510))</f>
        <v/>
      </c>
      <c r="Q510" s="27">
        <f>IF(A510="","",YEAR(A510))</f>
        <v/>
      </c>
      <c r="R510" s="27">
        <f>IF(L510="","",IF(L510&gt;Config!$B$8,"A cair",IF(N(G510)&gt;=MIN(MAX(1,N(E510)),MAX(0,INT((Config!$B$8-L510)/30)+1)),IF(N(G510)&gt;=MAX(1,N(E510)),"Conferido","Conferido até aqui"),"A conferir")))</f>
        <v/>
      </c>
      <c r="S510" s="51">
        <f>IF(R510="A conferir",(Config!$B$8-L510)*1000+N(F510)/1000+ROW()/100000,0)</f>
        <v>0</v>
      </c>
      <c r="T510" s="51">
        <f>IF(R510="A conferir",N(N510),0)</f>
        <v>0</v>
      </c>
      <c r="U510" s="51">
        <f>IF(L510="",0,L510)</f>
        <v>0</v>
      </c>
      <c r="V510" s="51">
        <f>IF(L510="",0,MAX(1,N(E510)))</f>
        <v>0</v>
      </c>
      <c r="W510" s="51">
        <f>IF(K510="",0,K510)</f>
        <v>0</v>
      </c>
    </row>
    <row r="511">
      <c r="A511" s="49" t="n"/>
      <c r="B511" s="41" t="n"/>
      <c r="C511" s="41" t="n"/>
      <c r="D511" s="42" t="n"/>
      <c r="E511" s="42" t="n"/>
      <c r="F511" s="50" t="n"/>
      <c r="G511" s="42" t="n"/>
      <c r="H511" s="30">
        <f>IF(D511="","",IFERROR(INDEX(Config!$B$12:$B$15,MATCH(IF(AND(D511="Cartão de crédito",N(E511)&gt;1),"Cartão de crédito parcelado",D511),Config!$A$12:$A$15,0)),0)+IF(AND(Config!$B$17="Sim",LEFT(D511,17)="Cartão de crédito"),Config!$B$18*IFERROR(INDEX(Config!$C$12:$C$15,MATCH(IF(AND(D511="Cartão de crédito",N(E511)&gt;1),"Cartão de crédito parcelado",D511),Config!$A$12:$A$15,0)),0)/30*MAX(1,N(E511)),0))</f>
        <v/>
      </c>
      <c r="I511" s="29">
        <f>IF(OR(D511="",F511=""),"",ROUND(F511*H511,2))</f>
        <v/>
      </c>
      <c r="J511" s="29">
        <f>IF(I511="","",F511-I511)</f>
        <v/>
      </c>
      <c r="K511" s="29">
        <f>IF(J511="","",J511/MAX(1,N(E511)))</f>
        <v/>
      </c>
      <c r="L511" s="37">
        <f>IF(OR(D511="",A511=""),"",A511+IF(AND(Config!$B$17="Sim",LEFT(D511,17)="Cartão de crédito"),1,IFERROR(INDEX(Config!$C$12:$C$15,MATCH(IF(AND(D511="Cartão de crédito",N(E511)&gt;1),"Cartão de crédito parcelado",D511),Config!$A$12:$A$15,0)),0)))</f>
        <v/>
      </c>
      <c r="M511" s="37">
        <f>IF(L511="","",IF(AND(Config!$B$17="Sim",LEFT(D511,17)="Cartão de crédito"),L511,L511+30*(MAX(1,N(E511))-1)))</f>
        <v/>
      </c>
      <c r="N511" s="29">
        <f>IF(OR(L511="",K511=""),"",K511*MIN(MAX(1,N(E511)),MAX(0,INT((Config!$B$8-L511)/30)+1)))</f>
        <v/>
      </c>
      <c r="O511" s="29">
        <f>IF(J511="","",J511-N(N511))</f>
        <v/>
      </c>
      <c r="P511" s="27">
        <f>IF(A511="","",MONTH(A511))</f>
        <v/>
      </c>
      <c r="Q511" s="27">
        <f>IF(A511="","",YEAR(A511))</f>
        <v/>
      </c>
      <c r="R511" s="27">
        <f>IF(L511="","",IF(L511&gt;Config!$B$8,"A cair",IF(N(G511)&gt;=MIN(MAX(1,N(E511)),MAX(0,INT((Config!$B$8-L511)/30)+1)),IF(N(G511)&gt;=MAX(1,N(E511)),"Conferido","Conferido até aqui"),"A conferir")))</f>
        <v/>
      </c>
      <c r="S511" s="51">
        <f>IF(R511="A conferir",(Config!$B$8-L511)*1000+N(F511)/1000+ROW()/100000,0)</f>
        <v>0</v>
      </c>
      <c r="T511" s="51">
        <f>IF(R511="A conferir",N(N511),0)</f>
        <v>0</v>
      </c>
      <c r="U511" s="51">
        <f>IF(L511="",0,L511)</f>
        <v>0</v>
      </c>
      <c r="V511" s="51">
        <f>IF(L511="",0,MAX(1,N(E511)))</f>
        <v>0</v>
      </c>
      <c r="W511" s="51">
        <f>IF(K511="",0,K511)</f>
        <v>0</v>
      </c>
    </row>
    <row r="512">
      <c r="A512" s="49" t="n"/>
      <c r="B512" s="41" t="n"/>
      <c r="C512" s="41" t="n"/>
      <c r="D512" s="42" t="n"/>
      <c r="E512" s="42" t="n"/>
      <c r="F512" s="50" t="n"/>
      <c r="G512" s="42" t="n"/>
      <c r="H512" s="30">
        <f>IF(D512="","",IFERROR(INDEX(Config!$B$12:$B$15,MATCH(IF(AND(D512="Cartão de crédito",N(E512)&gt;1),"Cartão de crédito parcelado",D512),Config!$A$12:$A$15,0)),0)+IF(AND(Config!$B$17="Sim",LEFT(D512,17)="Cartão de crédito"),Config!$B$18*IFERROR(INDEX(Config!$C$12:$C$15,MATCH(IF(AND(D512="Cartão de crédito",N(E512)&gt;1),"Cartão de crédito parcelado",D512),Config!$A$12:$A$15,0)),0)/30*MAX(1,N(E512)),0))</f>
        <v/>
      </c>
      <c r="I512" s="29">
        <f>IF(OR(D512="",F512=""),"",ROUND(F512*H512,2))</f>
        <v/>
      </c>
      <c r="J512" s="29">
        <f>IF(I512="","",F512-I512)</f>
        <v/>
      </c>
      <c r="K512" s="29">
        <f>IF(J512="","",J512/MAX(1,N(E512)))</f>
        <v/>
      </c>
      <c r="L512" s="37">
        <f>IF(OR(D512="",A512=""),"",A512+IF(AND(Config!$B$17="Sim",LEFT(D512,17)="Cartão de crédito"),1,IFERROR(INDEX(Config!$C$12:$C$15,MATCH(IF(AND(D512="Cartão de crédito",N(E512)&gt;1),"Cartão de crédito parcelado",D512),Config!$A$12:$A$15,0)),0)))</f>
        <v/>
      </c>
      <c r="M512" s="37">
        <f>IF(L512="","",IF(AND(Config!$B$17="Sim",LEFT(D512,17)="Cartão de crédito"),L512,L512+30*(MAX(1,N(E512))-1)))</f>
        <v/>
      </c>
      <c r="N512" s="29">
        <f>IF(OR(L512="",K512=""),"",K512*MIN(MAX(1,N(E512)),MAX(0,INT((Config!$B$8-L512)/30)+1)))</f>
        <v/>
      </c>
      <c r="O512" s="29">
        <f>IF(J512="","",J512-N(N512))</f>
        <v/>
      </c>
      <c r="P512" s="27">
        <f>IF(A512="","",MONTH(A512))</f>
        <v/>
      </c>
      <c r="Q512" s="27">
        <f>IF(A512="","",YEAR(A512))</f>
        <v/>
      </c>
      <c r="R512" s="27">
        <f>IF(L512="","",IF(L512&gt;Config!$B$8,"A cair",IF(N(G512)&gt;=MIN(MAX(1,N(E512)),MAX(0,INT((Config!$B$8-L512)/30)+1)),IF(N(G512)&gt;=MAX(1,N(E512)),"Conferido","Conferido até aqui"),"A conferir")))</f>
        <v/>
      </c>
      <c r="S512" s="51">
        <f>IF(R512="A conferir",(Config!$B$8-L512)*1000+N(F512)/1000+ROW()/100000,0)</f>
        <v>0</v>
      </c>
      <c r="T512" s="51">
        <f>IF(R512="A conferir",N(N512),0)</f>
        <v>0</v>
      </c>
      <c r="U512" s="51">
        <f>IF(L512="",0,L512)</f>
        <v>0</v>
      </c>
      <c r="V512" s="51">
        <f>IF(L512="",0,MAX(1,N(E512)))</f>
        <v>0</v>
      </c>
      <c r="W512" s="51">
        <f>IF(K512="",0,K512)</f>
        <v>0</v>
      </c>
    </row>
    <row r="513">
      <c r="A513" s="49" t="n"/>
      <c r="B513" s="41" t="n"/>
      <c r="C513" s="41" t="n"/>
      <c r="D513" s="42" t="n"/>
      <c r="E513" s="42" t="n"/>
      <c r="F513" s="50" t="n"/>
      <c r="G513" s="42" t="n"/>
      <c r="H513" s="30">
        <f>IF(D513="","",IFERROR(INDEX(Config!$B$12:$B$15,MATCH(IF(AND(D513="Cartão de crédito",N(E513)&gt;1),"Cartão de crédito parcelado",D513),Config!$A$12:$A$15,0)),0)+IF(AND(Config!$B$17="Sim",LEFT(D513,17)="Cartão de crédito"),Config!$B$18*IFERROR(INDEX(Config!$C$12:$C$15,MATCH(IF(AND(D513="Cartão de crédito",N(E513)&gt;1),"Cartão de crédito parcelado",D513),Config!$A$12:$A$15,0)),0)/30*MAX(1,N(E513)),0))</f>
        <v/>
      </c>
      <c r="I513" s="29">
        <f>IF(OR(D513="",F513=""),"",ROUND(F513*H513,2))</f>
        <v/>
      </c>
      <c r="J513" s="29">
        <f>IF(I513="","",F513-I513)</f>
        <v/>
      </c>
      <c r="K513" s="29">
        <f>IF(J513="","",J513/MAX(1,N(E513)))</f>
        <v/>
      </c>
      <c r="L513" s="37">
        <f>IF(OR(D513="",A513=""),"",A513+IF(AND(Config!$B$17="Sim",LEFT(D513,17)="Cartão de crédito"),1,IFERROR(INDEX(Config!$C$12:$C$15,MATCH(IF(AND(D513="Cartão de crédito",N(E513)&gt;1),"Cartão de crédito parcelado",D513),Config!$A$12:$A$15,0)),0)))</f>
        <v/>
      </c>
      <c r="M513" s="37">
        <f>IF(L513="","",IF(AND(Config!$B$17="Sim",LEFT(D513,17)="Cartão de crédito"),L513,L513+30*(MAX(1,N(E513))-1)))</f>
        <v/>
      </c>
      <c r="N513" s="29">
        <f>IF(OR(L513="",K513=""),"",K513*MIN(MAX(1,N(E513)),MAX(0,INT((Config!$B$8-L513)/30)+1)))</f>
        <v/>
      </c>
      <c r="O513" s="29">
        <f>IF(J513="","",J513-N(N513))</f>
        <v/>
      </c>
      <c r="P513" s="27">
        <f>IF(A513="","",MONTH(A513))</f>
        <v/>
      </c>
      <c r="Q513" s="27">
        <f>IF(A513="","",YEAR(A513))</f>
        <v/>
      </c>
      <c r="R513" s="27">
        <f>IF(L513="","",IF(L513&gt;Config!$B$8,"A cair",IF(N(G513)&gt;=MIN(MAX(1,N(E513)),MAX(0,INT((Config!$B$8-L513)/30)+1)),IF(N(G513)&gt;=MAX(1,N(E513)),"Conferido","Conferido até aqui"),"A conferir")))</f>
        <v/>
      </c>
      <c r="S513" s="51">
        <f>IF(R513="A conferir",(Config!$B$8-L513)*1000+N(F513)/1000+ROW()/100000,0)</f>
        <v>0</v>
      </c>
      <c r="T513" s="51">
        <f>IF(R513="A conferir",N(N513),0)</f>
        <v>0</v>
      </c>
      <c r="U513" s="51">
        <f>IF(L513="",0,L513)</f>
        <v>0</v>
      </c>
      <c r="V513" s="51">
        <f>IF(L513="",0,MAX(1,N(E513)))</f>
        <v>0</v>
      </c>
      <c r="W513" s="51">
        <f>IF(K513="",0,K513)</f>
        <v>0</v>
      </c>
    </row>
    <row r="514">
      <c r="A514" s="49" t="n"/>
      <c r="B514" s="41" t="n"/>
      <c r="C514" s="41" t="n"/>
      <c r="D514" s="42" t="n"/>
      <c r="E514" s="42" t="n"/>
      <c r="F514" s="50" t="n"/>
      <c r="G514" s="42" t="n"/>
      <c r="H514" s="30">
        <f>IF(D514="","",IFERROR(INDEX(Config!$B$12:$B$15,MATCH(IF(AND(D514="Cartão de crédito",N(E514)&gt;1),"Cartão de crédito parcelado",D514),Config!$A$12:$A$15,0)),0)+IF(AND(Config!$B$17="Sim",LEFT(D514,17)="Cartão de crédito"),Config!$B$18*IFERROR(INDEX(Config!$C$12:$C$15,MATCH(IF(AND(D514="Cartão de crédito",N(E514)&gt;1),"Cartão de crédito parcelado",D514),Config!$A$12:$A$15,0)),0)/30*MAX(1,N(E514)),0))</f>
        <v/>
      </c>
      <c r="I514" s="29">
        <f>IF(OR(D514="",F514=""),"",ROUND(F514*H514,2))</f>
        <v/>
      </c>
      <c r="J514" s="29">
        <f>IF(I514="","",F514-I514)</f>
        <v/>
      </c>
      <c r="K514" s="29">
        <f>IF(J514="","",J514/MAX(1,N(E514)))</f>
        <v/>
      </c>
      <c r="L514" s="37">
        <f>IF(OR(D514="",A514=""),"",A514+IF(AND(Config!$B$17="Sim",LEFT(D514,17)="Cartão de crédito"),1,IFERROR(INDEX(Config!$C$12:$C$15,MATCH(IF(AND(D514="Cartão de crédito",N(E514)&gt;1),"Cartão de crédito parcelado",D514),Config!$A$12:$A$15,0)),0)))</f>
        <v/>
      </c>
      <c r="M514" s="37">
        <f>IF(L514="","",IF(AND(Config!$B$17="Sim",LEFT(D514,17)="Cartão de crédito"),L514,L514+30*(MAX(1,N(E514))-1)))</f>
        <v/>
      </c>
      <c r="N514" s="29">
        <f>IF(OR(L514="",K514=""),"",K514*MIN(MAX(1,N(E514)),MAX(0,INT((Config!$B$8-L514)/30)+1)))</f>
        <v/>
      </c>
      <c r="O514" s="29">
        <f>IF(J514="","",J514-N(N514))</f>
        <v/>
      </c>
      <c r="P514" s="27">
        <f>IF(A514="","",MONTH(A514))</f>
        <v/>
      </c>
      <c r="Q514" s="27">
        <f>IF(A514="","",YEAR(A514))</f>
        <v/>
      </c>
      <c r="R514" s="27">
        <f>IF(L514="","",IF(L514&gt;Config!$B$8,"A cair",IF(N(G514)&gt;=MIN(MAX(1,N(E514)),MAX(0,INT((Config!$B$8-L514)/30)+1)),IF(N(G514)&gt;=MAX(1,N(E514)),"Conferido","Conferido até aqui"),"A conferir")))</f>
        <v/>
      </c>
      <c r="S514" s="51">
        <f>IF(R514="A conferir",(Config!$B$8-L514)*1000+N(F514)/1000+ROW()/100000,0)</f>
        <v>0</v>
      </c>
      <c r="T514" s="51">
        <f>IF(R514="A conferir",N(N514),0)</f>
        <v>0</v>
      </c>
      <c r="U514" s="51">
        <f>IF(L514="",0,L514)</f>
        <v>0</v>
      </c>
      <c r="V514" s="51">
        <f>IF(L514="",0,MAX(1,N(E514)))</f>
        <v>0</v>
      </c>
      <c r="W514" s="51">
        <f>IF(K514="",0,K514)</f>
        <v>0</v>
      </c>
    </row>
    <row r="515">
      <c r="A515" s="49" t="n"/>
      <c r="B515" s="41" t="n"/>
      <c r="C515" s="41" t="n"/>
      <c r="D515" s="42" t="n"/>
      <c r="E515" s="42" t="n"/>
      <c r="F515" s="50" t="n"/>
      <c r="G515" s="42" t="n"/>
      <c r="H515" s="30">
        <f>IF(D515="","",IFERROR(INDEX(Config!$B$12:$B$15,MATCH(IF(AND(D515="Cartão de crédito",N(E515)&gt;1),"Cartão de crédito parcelado",D515),Config!$A$12:$A$15,0)),0)+IF(AND(Config!$B$17="Sim",LEFT(D515,17)="Cartão de crédito"),Config!$B$18*IFERROR(INDEX(Config!$C$12:$C$15,MATCH(IF(AND(D515="Cartão de crédito",N(E515)&gt;1),"Cartão de crédito parcelado",D515),Config!$A$12:$A$15,0)),0)/30*MAX(1,N(E515)),0))</f>
        <v/>
      </c>
      <c r="I515" s="29">
        <f>IF(OR(D515="",F515=""),"",ROUND(F515*H515,2))</f>
        <v/>
      </c>
      <c r="J515" s="29">
        <f>IF(I515="","",F515-I515)</f>
        <v/>
      </c>
      <c r="K515" s="29">
        <f>IF(J515="","",J515/MAX(1,N(E515)))</f>
        <v/>
      </c>
      <c r="L515" s="37">
        <f>IF(OR(D515="",A515=""),"",A515+IF(AND(Config!$B$17="Sim",LEFT(D515,17)="Cartão de crédito"),1,IFERROR(INDEX(Config!$C$12:$C$15,MATCH(IF(AND(D515="Cartão de crédito",N(E515)&gt;1),"Cartão de crédito parcelado",D515),Config!$A$12:$A$15,0)),0)))</f>
        <v/>
      </c>
      <c r="M515" s="37">
        <f>IF(L515="","",IF(AND(Config!$B$17="Sim",LEFT(D515,17)="Cartão de crédito"),L515,L515+30*(MAX(1,N(E515))-1)))</f>
        <v/>
      </c>
      <c r="N515" s="29">
        <f>IF(OR(L515="",K515=""),"",K515*MIN(MAX(1,N(E515)),MAX(0,INT((Config!$B$8-L515)/30)+1)))</f>
        <v/>
      </c>
      <c r="O515" s="29">
        <f>IF(J515="","",J515-N(N515))</f>
        <v/>
      </c>
      <c r="P515" s="27">
        <f>IF(A515="","",MONTH(A515))</f>
        <v/>
      </c>
      <c r="Q515" s="27">
        <f>IF(A515="","",YEAR(A515))</f>
        <v/>
      </c>
      <c r="R515" s="27">
        <f>IF(L515="","",IF(L515&gt;Config!$B$8,"A cair",IF(N(G515)&gt;=MIN(MAX(1,N(E515)),MAX(0,INT((Config!$B$8-L515)/30)+1)),IF(N(G515)&gt;=MAX(1,N(E515)),"Conferido","Conferido até aqui"),"A conferir")))</f>
        <v/>
      </c>
      <c r="S515" s="51">
        <f>IF(R515="A conferir",(Config!$B$8-L515)*1000+N(F515)/1000+ROW()/100000,0)</f>
        <v>0</v>
      </c>
      <c r="T515" s="51">
        <f>IF(R515="A conferir",N(N515),0)</f>
        <v>0</v>
      </c>
      <c r="U515" s="51">
        <f>IF(L515="",0,L515)</f>
        <v>0</v>
      </c>
      <c r="V515" s="51">
        <f>IF(L515="",0,MAX(1,N(E515)))</f>
        <v>0</v>
      </c>
      <c r="W515" s="51">
        <f>IF(K515="",0,K515)</f>
        <v>0</v>
      </c>
    </row>
    <row r="516">
      <c r="A516" s="49" t="n"/>
      <c r="B516" s="41" t="n"/>
      <c r="C516" s="41" t="n"/>
      <c r="D516" s="42" t="n"/>
      <c r="E516" s="42" t="n"/>
      <c r="F516" s="50" t="n"/>
      <c r="G516" s="42" t="n"/>
      <c r="H516" s="30">
        <f>IF(D516="","",IFERROR(INDEX(Config!$B$12:$B$15,MATCH(IF(AND(D516="Cartão de crédito",N(E516)&gt;1),"Cartão de crédito parcelado",D516),Config!$A$12:$A$15,0)),0)+IF(AND(Config!$B$17="Sim",LEFT(D516,17)="Cartão de crédito"),Config!$B$18*IFERROR(INDEX(Config!$C$12:$C$15,MATCH(IF(AND(D516="Cartão de crédito",N(E516)&gt;1),"Cartão de crédito parcelado",D516),Config!$A$12:$A$15,0)),0)/30*MAX(1,N(E516)),0))</f>
        <v/>
      </c>
      <c r="I516" s="29">
        <f>IF(OR(D516="",F516=""),"",ROUND(F516*H516,2))</f>
        <v/>
      </c>
      <c r="J516" s="29">
        <f>IF(I516="","",F516-I516)</f>
        <v/>
      </c>
      <c r="K516" s="29">
        <f>IF(J516="","",J516/MAX(1,N(E516)))</f>
        <v/>
      </c>
      <c r="L516" s="37">
        <f>IF(OR(D516="",A516=""),"",A516+IF(AND(Config!$B$17="Sim",LEFT(D516,17)="Cartão de crédito"),1,IFERROR(INDEX(Config!$C$12:$C$15,MATCH(IF(AND(D516="Cartão de crédito",N(E516)&gt;1),"Cartão de crédito parcelado",D516),Config!$A$12:$A$15,0)),0)))</f>
        <v/>
      </c>
      <c r="M516" s="37">
        <f>IF(L516="","",IF(AND(Config!$B$17="Sim",LEFT(D516,17)="Cartão de crédito"),L516,L516+30*(MAX(1,N(E516))-1)))</f>
        <v/>
      </c>
      <c r="N516" s="29">
        <f>IF(OR(L516="",K516=""),"",K516*MIN(MAX(1,N(E516)),MAX(0,INT((Config!$B$8-L516)/30)+1)))</f>
        <v/>
      </c>
      <c r="O516" s="29">
        <f>IF(J516="","",J516-N(N516))</f>
        <v/>
      </c>
      <c r="P516" s="27">
        <f>IF(A516="","",MONTH(A516))</f>
        <v/>
      </c>
      <c r="Q516" s="27">
        <f>IF(A516="","",YEAR(A516))</f>
        <v/>
      </c>
      <c r="R516" s="27">
        <f>IF(L516="","",IF(L516&gt;Config!$B$8,"A cair",IF(N(G516)&gt;=MIN(MAX(1,N(E516)),MAX(0,INT((Config!$B$8-L516)/30)+1)),IF(N(G516)&gt;=MAX(1,N(E516)),"Conferido","Conferido até aqui"),"A conferir")))</f>
        <v/>
      </c>
      <c r="S516" s="51">
        <f>IF(R516="A conferir",(Config!$B$8-L516)*1000+N(F516)/1000+ROW()/100000,0)</f>
        <v>0</v>
      </c>
      <c r="T516" s="51">
        <f>IF(R516="A conferir",N(N516),0)</f>
        <v>0</v>
      </c>
      <c r="U516" s="51">
        <f>IF(L516="",0,L516)</f>
        <v>0</v>
      </c>
      <c r="V516" s="51">
        <f>IF(L516="",0,MAX(1,N(E516)))</f>
        <v>0</v>
      </c>
      <c r="W516" s="51">
        <f>IF(K516="",0,K516)</f>
        <v>0</v>
      </c>
    </row>
    <row r="517">
      <c r="A517" s="49" t="n"/>
      <c r="B517" s="41" t="n"/>
      <c r="C517" s="41" t="n"/>
      <c r="D517" s="42" t="n"/>
      <c r="E517" s="42" t="n"/>
      <c r="F517" s="50" t="n"/>
      <c r="G517" s="42" t="n"/>
      <c r="H517" s="30">
        <f>IF(D517="","",IFERROR(INDEX(Config!$B$12:$B$15,MATCH(IF(AND(D517="Cartão de crédito",N(E517)&gt;1),"Cartão de crédito parcelado",D517),Config!$A$12:$A$15,0)),0)+IF(AND(Config!$B$17="Sim",LEFT(D517,17)="Cartão de crédito"),Config!$B$18*IFERROR(INDEX(Config!$C$12:$C$15,MATCH(IF(AND(D517="Cartão de crédito",N(E517)&gt;1),"Cartão de crédito parcelado",D517),Config!$A$12:$A$15,0)),0)/30*MAX(1,N(E517)),0))</f>
        <v/>
      </c>
      <c r="I517" s="29">
        <f>IF(OR(D517="",F517=""),"",ROUND(F517*H517,2))</f>
        <v/>
      </c>
      <c r="J517" s="29">
        <f>IF(I517="","",F517-I517)</f>
        <v/>
      </c>
      <c r="K517" s="29">
        <f>IF(J517="","",J517/MAX(1,N(E517)))</f>
        <v/>
      </c>
      <c r="L517" s="37">
        <f>IF(OR(D517="",A517=""),"",A517+IF(AND(Config!$B$17="Sim",LEFT(D517,17)="Cartão de crédito"),1,IFERROR(INDEX(Config!$C$12:$C$15,MATCH(IF(AND(D517="Cartão de crédito",N(E517)&gt;1),"Cartão de crédito parcelado",D517),Config!$A$12:$A$15,0)),0)))</f>
        <v/>
      </c>
      <c r="M517" s="37">
        <f>IF(L517="","",IF(AND(Config!$B$17="Sim",LEFT(D517,17)="Cartão de crédito"),L517,L517+30*(MAX(1,N(E517))-1)))</f>
        <v/>
      </c>
      <c r="N517" s="29">
        <f>IF(OR(L517="",K517=""),"",K517*MIN(MAX(1,N(E517)),MAX(0,INT((Config!$B$8-L517)/30)+1)))</f>
        <v/>
      </c>
      <c r="O517" s="29">
        <f>IF(J517="","",J517-N(N517))</f>
        <v/>
      </c>
      <c r="P517" s="27">
        <f>IF(A517="","",MONTH(A517))</f>
        <v/>
      </c>
      <c r="Q517" s="27">
        <f>IF(A517="","",YEAR(A517))</f>
        <v/>
      </c>
      <c r="R517" s="27">
        <f>IF(L517="","",IF(L517&gt;Config!$B$8,"A cair",IF(N(G517)&gt;=MIN(MAX(1,N(E517)),MAX(0,INT((Config!$B$8-L517)/30)+1)),IF(N(G517)&gt;=MAX(1,N(E517)),"Conferido","Conferido até aqui"),"A conferir")))</f>
        <v/>
      </c>
      <c r="S517" s="51">
        <f>IF(R517="A conferir",(Config!$B$8-L517)*1000+N(F517)/1000+ROW()/100000,0)</f>
        <v>0</v>
      </c>
      <c r="T517" s="51">
        <f>IF(R517="A conferir",N(N517),0)</f>
        <v>0</v>
      </c>
      <c r="U517" s="51">
        <f>IF(L517="",0,L517)</f>
        <v>0</v>
      </c>
      <c r="V517" s="51">
        <f>IF(L517="",0,MAX(1,N(E517)))</f>
        <v>0</v>
      </c>
      <c r="W517" s="51">
        <f>IF(K517="",0,K517)</f>
        <v>0</v>
      </c>
    </row>
    <row r="518">
      <c r="A518" s="49" t="n"/>
      <c r="B518" s="41" t="n"/>
      <c r="C518" s="41" t="n"/>
      <c r="D518" s="42" t="n"/>
      <c r="E518" s="42" t="n"/>
      <c r="F518" s="50" t="n"/>
      <c r="G518" s="42" t="n"/>
      <c r="H518" s="30">
        <f>IF(D518="","",IFERROR(INDEX(Config!$B$12:$B$15,MATCH(IF(AND(D518="Cartão de crédito",N(E518)&gt;1),"Cartão de crédito parcelado",D518),Config!$A$12:$A$15,0)),0)+IF(AND(Config!$B$17="Sim",LEFT(D518,17)="Cartão de crédito"),Config!$B$18*IFERROR(INDEX(Config!$C$12:$C$15,MATCH(IF(AND(D518="Cartão de crédito",N(E518)&gt;1),"Cartão de crédito parcelado",D518),Config!$A$12:$A$15,0)),0)/30*MAX(1,N(E518)),0))</f>
        <v/>
      </c>
      <c r="I518" s="29">
        <f>IF(OR(D518="",F518=""),"",ROUND(F518*H518,2))</f>
        <v/>
      </c>
      <c r="J518" s="29">
        <f>IF(I518="","",F518-I518)</f>
        <v/>
      </c>
      <c r="K518" s="29">
        <f>IF(J518="","",J518/MAX(1,N(E518)))</f>
        <v/>
      </c>
      <c r="L518" s="37">
        <f>IF(OR(D518="",A518=""),"",A518+IF(AND(Config!$B$17="Sim",LEFT(D518,17)="Cartão de crédito"),1,IFERROR(INDEX(Config!$C$12:$C$15,MATCH(IF(AND(D518="Cartão de crédito",N(E518)&gt;1),"Cartão de crédito parcelado",D518),Config!$A$12:$A$15,0)),0)))</f>
        <v/>
      </c>
      <c r="M518" s="37">
        <f>IF(L518="","",IF(AND(Config!$B$17="Sim",LEFT(D518,17)="Cartão de crédito"),L518,L518+30*(MAX(1,N(E518))-1)))</f>
        <v/>
      </c>
      <c r="N518" s="29">
        <f>IF(OR(L518="",K518=""),"",K518*MIN(MAX(1,N(E518)),MAX(0,INT((Config!$B$8-L518)/30)+1)))</f>
        <v/>
      </c>
      <c r="O518" s="29">
        <f>IF(J518="","",J518-N(N518))</f>
        <v/>
      </c>
      <c r="P518" s="27">
        <f>IF(A518="","",MONTH(A518))</f>
        <v/>
      </c>
      <c r="Q518" s="27">
        <f>IF(A518="","",YEAR(A518))</f>
        <v/>
      </c>
      <c r="R518" s="27">
        <f>IF(L518="","",IF(L518&gt;Config!$B$8,"A cair",IF(N(G518)&gt;=MIN(MAX(1,N(E518)),MAX(0,INT((Config!$B$8-L518)/30)+1)),IF(N(G518)&gt;=MAX(1,N(E518)),"Conferido","Conferido até aqui"),"A conferir")))</f>
        <v/>
      </c>
      <c r="S518" s="51">
        <f>IF(R518="A conferir",(Config!$B$8-L518)*1000+N(F518)/1000+ROW()/100000,0)</f>
        <v>0</v>
      </c>
      <c r="T518" s="51">
        <f>IF(R518="A conferir",N(N518),0)</f>
        <v>0</v>
      </c>
      <c r="U518" s="51">
        <f>IF(L518="",0,L518)</f>
        <v>0</v>
      </c>
      <c r="V518" s="51">
        <f>IF(L518="",0,MAX(1,N(E518)))</f>
        <v>0</v>
      </c>
      <c r="W518" s="51">
        <f>IF(K518="",0,K518)</f>
        <v>0</v>
      </c>
    </row>
    <row r="519">
      <c r="A519" s="49" t="n"/>
      <c r="B519" s="41" t="n"/>
      <c r="C519" s="41" t="n"/>
      <c r="D519" s="42" t="n"/>
      <c r="E519" s="42" t="n"/>
      <c r="F519" s="50" t="n"/>
      <c r="G519" s="42" t="n"/>
      <c r="H519" s="30">
        <f>IF(D519="","",IFERROR(INDEX(Config!$B$12:$B$15,MATCH(IF(AND(D519="Cartão de crédito",N(E519)&gt;1),"Cartão de crédito parcelado",D519),Config!$A$12:$A$15,0)),0)+IF(AND(Config!$B$17="Sim",LEFT(D519,17)="Cartão de crédito"),Config!$B$18*IFERROR(INDEX(Config!$C$12:$C$15,MATCH(IF(AND(D519="Cartão de crédito",N(E519)&gt;1),"Cartão de crédito parcelado",D519),Config!$A$12:$A$15,0)),0)/30*MAX(1,N(E519)),0))</f>
        <v/>
      </c>
      <c r="I519" s="29">
        <f>IF(OR(D519="",F519=""),"",ROUND(F519*H519,2))</f>
        <v/>
      </c>
      <c r="J519" s="29">
        <f>IF(I519="","",F519-I519)</f>
        <v/>
      </c>
      <c r="K519" s="29">
        <f>IF(J519="","",J519/MAX(1,N(E519)))</f>
        <v/>
      </c>
      <c r="L519" s="37">
        <f>IF(OR(D519="",A519=""),"",A519+IF(AND(Config!$B$17="Sim",LEFT(D519,17)="Cartão de crédito"),1,IFERROR(INDEX(Config!$C$12:$C$15,MATCH(IF(AND(D519="Cartão de crédito",N(E519)&gt;1),"Cartão de crédito parcelado",D519),Config!$A$12:$A$15,0)),0)))</f>
        <v/>
      </c>
      <c r="M519" s="37">
        <f>IF(L519="","",IF(AND(Config!$B$17="Sim",LEFT(D519,17)="Cartão de crédito"),L519,L519+30*(MAX(1,N(E519))-1)))</f>
        <v/>
      </c>
      <c r="N519" s="29">
        <f>IF(OR(L519="",K519=""),"",K519*MIN(MAX(1,N(E519)),MAX(0,INT((Config!$B$8-L519)/30)+1)))</f>
        <v/>
      </c>
      <c r="O519" s="29">
        <f>IF(J519="","",J519-N(N519))</f>
        <v/>
      </c>
      <c r="P519" s="27">
        <f>IF(A519="","",MONTH(A519))</f>
        <v/>
      </c>
      <c r="Q519" s="27">
        <f>IF(A519="","",YEAR(A519))</f>
        <v/>
      </c>
      <c r="R519" s="27">
        <f>IF(L519="","",IF(L519&gt;Config!$B$8,"A cair",IF(N(G519)&gt;=MIN(MAX(1,N(E519)),MAX(0,INT((Config!$B$8-L519)/30)+1)),IF(N(G519)&gt;=MAX(1,N(E519)),"Conferido","Conferido até aqui"),"A conferir")))</f>
        <v/>
      </c>
      <c r="S519" s="51">
        <f>IF(R519="A conferir",(Config!$B$8-L519)*1000+N(F519)/1000+ROW()/100000,0)</f>
        <v>0</v>
      </c>
      <c r="T519" s="51">
        <f>IF(R519="A conferir",N(N519),0)</f>
        <v>0</v>
      </c>
      <c r="U519" s="51">
        <f>IF(L519="",0,L519)</f>
        <v>0</v>
      </c>
      <c r="V519" s="51">
        <f>IF(L519="",0,MAX(1,N(E519)))</f>
        <v>0</v>
      </c>
      <c r="W519" s="51">
        <f>IF(K519="",0,K519)</f>
        <v>0</v>
      </c>
    </row>
    <row r="520">
      <c r="A520" s="49" t="n"/>
      <c r="B520" s="41" t="n"/>
      <c r="C520" s="41" t="n"/>
      <c r="D520" s="42" t="n"/>
      <c r="E520" s="42" t="n"/>
      <c r="F520" s="50" t="n"/>
      <c r="G520" s="42" t="n"/>
      <c r="H520" s="30">
        <f>IF(D520="","",IFERROR(INDEX(Config!$B$12:$B$15,MATCH(IF(AND(D520="Cartão de crédito",N(E520)&gt;1),"Cartão de crédito parcelado",D520),Config!$A$12:$A$15,0)),0)+IF(AND(Config!$B$17="Sim",LEFT(D520,17)="Cartão de crédito"),Config!$B$18*IFERROR(INDEX(Config!$C$12:$C$15,MATCH(IF(AND(D520="Cartão de crédito",N(E520)&gt;1),"Cartão de crédito parcelado",D520),Config!$A$12:$A$15,0)),0)/30*MAX(1,N(E520)),0))</f>
        <v/>
      </c>
      <c r="I520" s="29">
        <f>IF(OR(D520="",F520=""),"",ROUND(F520*H520,2))</f>
        <v/>
      </c>
      <c r="J520" s="29">
        <f>IF(I520="","",F520-I520)</f>
        <v/>
      </c>
      <c r="K520" s="29">
        <f>IF(J520="","",J520/MAX(1,N(E520)))</f>
        <v/>
      </c>
      <c r="L520" s="37">
        <f>IF(OR(D520="",A520=""),"",A520+IF(AND(Config!$B$17="Sim",LEFT(D520,17)="Cartão de crédito"),1,IFERROR(INDEX(Config!$C$12:$C$15,MATCH(IF(AND(D520="Cartão de crédito",N(E520)&gt;1),"Cartão de crédito parcelado",D520),Config!$A$12:$A$15,0)),0)))</f>
        <v/>
      </c>
      <c r="M520" s="37">
        <f>IF(L520="","",IF(AND(Config!$B$17="Sim",LEFT(D520,17)="Cartão de crédito"),L520,L520+30*(MAX(1,N(E520))-1)))</f>
        <v/>
      </c>
      <c r="N520" s="29">
        <f>IF(OR(L520="",K520=""),"",K520*MIN(MAX(1,N(E520)),MAX(0,INT((Config!$B$8-L520)/30)+1)))</f>
        <v/>
      </c>
      <c r="O520" s="29">
        <f>IF(J520="","",J520-N(N520))</f>
        <v/>
      </c>
      <c r="P520" s="27">
        <f>IF(A520="","",MONTH(A520))</f>
        <v/>
      </c>
      <c r="Q520" s="27">
        <f>IF(A520="","",YEAR(A520))</f>
        <v/>
      </c>
      <c r="R520" s="27">
        <f>IF(L520="","",IF(L520&gt;Config!$B$8,"A cair",IF(N(G520)&gt;=MIN(MAX(1,N(E520)),MAX(0,INT((Config!$B$8-L520)/30)+1)),IF(N(G520)&gt;=MAX(1,N(E520)),"Conferido","Conferido até aqui"),"A conferir")))</f>
        <v/>
      </c>
      <c r="S520" s="51">
        <f>IF(R520="A conferir",(Config!$B$8-L520)*1000+N(F520)/1000+ROW()/100000,0)</f>
        <v>0</v>
      </c>
      <c r="T520" s="51">
        <f>IF(R520="A conferir",N(N520),0)</f>
        <v>0</v>
      </c>
      <c r="U520" s="51">
        <f>IF(L520="",0,L520)</f>
        <v>0</v>
      </c>
      <c r="V520" s="51">
        <f>IF(L520="",0,MAX(1,N(E520)))</f>
        <v>0</v>
      </c>
      <c r="W520" s="51">
        <f>IF(K520="",0,K520)</f>
        <v>0</v>
      </c>
    </row>
    <row r="521">
      <c r="A521" s="49" t="n"/>
      <c r="B521" s="41" t="n"/>
      <c r="C521" s="41" t="n"/>
      <c r="D521" s="42" t="n"/>
      <c r="E521" s="42" t="n"/>
      <c r="F521" s="50" t="n"/>
      <c r="G521" s="42" t="n"/>
      <c r="H521" s="30">
        <f>IF(D521="","",IFERROR(INDEX(Config!$B$12:$B$15,MATCH(IF(AND(D521="Cartão de crédito",N(E521)&gt;1),"Cartão de crédito parcelado",D521),Config!$A$12:$A$15,0)),0)+IF(AND(Config!$B$17="Sim",LEFT(D521,17)="Cartão de crédito"),Config!$B$18*IFERROR(INDEX(Config!$C$12:$C$15,MATCH(IF(AND(D521="Cartão de crédito",N(E521)&gt;1),"Cartão de crédito parcelado",D521),Config!$A$12:$A$15,0)),0)/30*MAX(1,N(E521)),0))</f>
        <v/>
      </c>
      <c r="I521" s="29">
        <f>IF(OR(D521="",F521=""),"",ROUND(F521*H521,2))</f>
        <v/>
      </c>
      <c r="J521" s="29">
        <f>IF(I521="","",F521-I521)</f>
        <v/>
      </c>
      <c r="K521" s="29">
        <f>IF(J521="","",J521/MAX(1,N(E521)))</f>
        <v/>
      </c>
      <c r="L521" s="37">
        <f>IF(OR(D521="",A521=""),"",A521+IF(AND(Config!$B$17="Sim",LEFT(D521,17)="Cartão de crédito"),1,IFERROR(INDEX(Config!$C$12:$C$15,MATCH(IF(AND(D521="Cartão de crédito",N(E521)&gt;1),"Cartão de crédito parcelado",D521),Config!$A$12:$A$15,0)),0)))</f>
        <v/>
      </c>
      <c r="M521" s="37">
        <f>IF(L521="","",IF(AND(Config!$B$17="Sim",LEFT(D521,17)="Cartão de crédito"),L521,L521+30*(MAX(1,N(E521))-1)))</f>
        <v/>
      </c>
      <c r="N521" s="29">
        <f>IF(OR(L521="",K521=""),"",K521*MIN(MAX(1,N(E521)),MAX(0,INT((Config!$B$8-L521)/30)+1)))</f>
        <v/>
      </c>
      <c r="O521" s="29">
        <f>IF(J521="","",J521-N(N521))</f>
        <v/>
      </c>
      <c r="P521" s="27">
        <f>IF(A521="","",MONTH(A521))</f>
        <v/>
      </c>
      <c r="Q521" s="27">
        <f>IF(A521="","",YEAR(A521))</f>
        <v/>
      </c>
      <c r="R521" s="27">
        <f>IF(L521="","",IF(L521&gt;Config!$B$8,"A cair",IF(N(G521)&gt;=MIN(MAX(1,N(E521)),MAX(0,INT((Config!$B$8-L521)/30)+1)),IF(N(G521)&gt;=MAX(1,N(E521)),"Conferido","Conferido até aqui"),"A conferir")))</f>
        <v/>
      </c>
      <c r="S521" s="51">
        <f>IF(R521="A conferir",(Config!$B$8-L521)*1000+N(F521)/1000+ROW()/100000,0)</f>
        <v>0</v>
      </c>
      <c r="T521" s="51">
        <f>IF(R521="A conferir",N(N521),0)</f>
        <v>0</v>
      </c>
      <c r="U521" s="51">
        <f>IF(L521="",0,L521)</f>
        <v>0</v>
      </c>
      <c r="V521" s="51">
        <f>IF(L521="",0,MAX(1,N(E521)))</f>
        <v>0</v>
      </c>
      <c r="W521" s="51">
        <f>IF(K521="",0,K521)</f>
        <v>0</v>
      </c>
    </row>
    <row r="522">
      <c r="A522" s="49" t="n"/>
      <c r="B522" s="41" t="n"/>
      <c r="C522" s="41" t="n"/>
      <c r="D522" s="42" t="n"/>
      <c r="E522" s="42" t="n"/>
      <c r="F522" s="50" t="n"/>
      <c r="G522" s="42" t="n"/>
      <c r="H522" s="30">
        <f>IF(D522="","",IFERROR(INDEX(Config!$B$12:$B$15,MATCH(IF(AND(D522="Cartão de crédito",N(E522)&gt;1),"Cartão de crédito parcelado",D522),Config!$A$12:$A$15,0)),0)+IF(AND(Config!$B$17="Sim",LEFT(D522,17)="Cartão de crédito"),Config!$B$18*IFERROR(INDEX(Config!$C$12:$C$15,MATCH(IF(AND(D522="Cartão de crédito",N(E522)&gt;1),"Cartão de crédito parcelado",D522),Config!$A$12:$A$15,0)),0)/30*MAX(1,N(E522)),0))</f>
        <v/>
      </c>
      <c r="I522" s="29">
        <f>IF(OR(D522="",F522=""),"",ROUND(F522*H522,2))</f>
        <v/>
      </c>
      <c r="J522" s="29">
        <f>IF(I522="","",F522-I522)</f>
        <v/>
      </c>
      <c r="K522" s="29">
        <f>IF(J522="","",J522/MAX(1,N(E522)))</f>
        <v/>
      </c>
      <c r="L522" s="37">
        <f>IF(OR(D522="",A522=""),"",A522+IF(AND(Config!$B$17="Sim",LEFT(D522,17)="Cartão de crédito"),1,IFERROR(INDEX(Config!$C$12:$C$15,MATCH(IF(AND(D522="Cartão de crédito",N(E522)&gt;1),"Cartão de crédito parcelado",D522),Config!$A$12:$A$15,0)),0)))</f>
        <v/>
      </c>
      <c r="M522" s="37">
        <f>IF(L522="","",IF(AND(Config!$B$17="Sim",LEFT(D522,17)="Cartão de crédito"),L522,L522+30*(MAX(1,N(E522))-1)))</f>
        <v/>
      </c>
      <c r="N522" s="29">
        <f>IF(OR(L522="",K522=""),"",K522*MIN(MAX(1,N(E522)),MAX(0,INT((Config!$B$8-L522)/30)+1)))</f>
        <v/>
      </c>
      <c r="O522" s="29">
        <f>IF(J522="","",J522-N(N522))</f>
        <v/>
      </c>
      <c r="P522" s="27">
        <f>IF(A522="","",MONTH(A522))</f>
        <v/>
      </c>
      <c r="Q522" s="27">
        <f>IF(A522="","",YEAR(A522))</f>
        <v/>
      </c>
      <c r="R522" s="27">
        <f>IF(L522="","",IF(L522&gt;Config!$B$8,"A cair",IF(N(G522)&gt;=MIN(MAX(1,N(E522)),MAX(0,INT((Config!$B$8-L522)/30)+1)),IF(N(G522)&gt;=MAX(1,N(E522)),"Conferido","Conferido até aqui"),"A conferir")))</f>
        <v/>
      </c>
      <c r="S522" s="51">
        <f>IF(R522="A conferir",(Config!$B$8-L522)*1000+N(F522)/1000+ROW()/100000,0)</f>
        <v>0</v>
      </c>
      <c r="T522" s="51">
        <f>IF(R522="A conferir",N(N522),0)</f>
        <v>0</v>
      </c>
      <c r="U522" s="51">
        <f>IF(L522="",0,L522)</f>
        <v>0</v>
      </c>
      <c r="V522" s="51">
        <f>IF(L522="",0,MAX(1,N(E522)))</f>
        <v>0</v>
      </c>
      <c r="W522" s="51">
        <f>IF(K522="",0,K522)</f>
        <v>0</v>
      </c>
    </row>
    <row r="523">
      <c r="A523" s="49" t="n"/>
      <c r="B523" s="41" t="n"/>
      <c r="C523" s="41" t="n"/>
      <c r="D523" s="42" t="n"/>
      <c r="E523" s="42" t="n"/>
      <c r="F523" s="50" t="n"/>
      <c r="G523" s="42" t="n"/>
      <c r="H523" s="30">
        <f>IF(D523="","",IFERROR(INDEX(Config!$B$12:$B$15,MATCH(IF(AND(D523="Cartão de crédito",N(E523)&gt;1),"Cartão de crédito parcelado",D523),Config!$A$12:$A$15,0)),0)+IF(AND(Config!$B$17="Sim",LEFT(D523,17)="Cartão de crédito"),Config!$B$18*IFERROR(INDEX(Config!$C$12:$C$15,MATCH(IF(AND(D523="Cartão de crédito",N(E523)&gt;1),"Cartão de crédito parcelado",D523),Config!$A$12:$A$15,0)),0)/30*MAX(1,N(E523)),0))</f>
        <v/>
      </c>
      <c r="I523" s="29">
        <f>IF(OR(D523="",F523=""),"",ROUND(F523*H523,2))</f>
        <v/>
      </c>
      <c r="J523" s="29">
        <f>IF(I523="","",F523-I523)</f>
        <v/>
      </c>
      <c r="K523" s="29">
        <f>IF(J523="","",J523/MAX(1,N(E523)))</f>
        <v/>
      </c>
      <c r="L523" s="37">
        <f>IF(OR(D523="",A523=""),"",A523+IF(AND(Config!$B$17="Sim",LEFT(D523,17)="Cartão de crédito"),1,IFERROR(INDEX(Config!$C$12:$C$15,MATCH(IF(AND(D523="Cartão de crédito",N(E523)&gt;1),"Cartão de crédito parcelado",D523),Config!$A$12:$A$15,0)),0)))</f>
        <v/>
      </c>
      <c r="M523" s="37">
        <f>IF(L523="","",IF(AND(Config!$B$17="Sim",LEFT(D523,17)="Cartão de crédito"),L523,L523+30*(MAX(1,N(E523))-1)))</f>
        <v/>
      </c>
      <c r="N523" s="29">
        <f>IF(OR(L523="",K523=""),"",K523*MIN(MAX(1,N(E523)),MAX(0,INT((Config!$B$8-L523)/30)+1)))</f>
        <v/>
      </c>
      <c r="O523" s="29">
        <f>IF(J523="","",J523-N(N523))</f>
        <v/>
      </c>
      <c r="P523" s="27">
        <f>IF(A523="","",MONTH(A523))</f>
        <v/>
      </c>
      <c r="Q523" s="27">
        <f>IF(A523="","",YEAR(A523))</f>
        <v/>
      </c>
      <c r="R523" s="27">
        <f>IF(L523="","",IF(L523&gt;Config!$B$8,"A cair",IF(N(G523)&gt;=MIN(MAX(1,N(E523)),MAX(0,INT((Config!$B$8-L523)/30)+1)),IF(N(G523)&gt;=MAX(1,N(E523)),"Conferido","Conferido até aqui"),"A conferir")))</f>
        <v/>
      </c>
      <c r="S523" s="51">
        <f>IF(R523="A conferir",(Config!$B$8-L523)*1000+N(F523)/1000+ROW()/100000,0)</f>
        <v>0</v>
      </c>
      <c r="T523" s="51">
        <f>IF(R523="A conferir",N(N523),0)</f>
        <v>0</v>
      </c>
      <c r="U523" s="51">
        <f>IF(L523="",0,L523)</f>
        <v>0</v>
      </c>
      <c r="V523" s="51">
        <f>IF(L523="",0,MAX(1,N(E523)))</f>
        <v>0</v>
      </c>
      <c r="W523" s="51">
        <f>IF(K523="",0,K523)</f>
        <v>0</v>
      </c>
    </row>
    <row r="524">
      <c r="A524" s="49" t="n"/>
      <c r="B524" s="41" t="n"/>
      <c r="C524" s="41" t="n"/>
      <c r="D524" s="42" t="n"/>
      <c r="E524" s="42" t="n"/>
      <c r="F524" s="50" t="n"/>
      <c r="G524" s="42" t="n"/>
      <c r="H524" s="30">
        <f>IF(D524="","",IFERROR(INDEX(Config!$B$12:$B$15,MATCH(IF(AND(D524="Cartão de crédito",N(E524)&gt;1),"Cartão de crédito parcelado",D524),Config!$A$12:$A$15,0)),0)+IF(AND(Config!$B$17="Sim",LEFT(D524,17)="Cartão de crédito"),Config!$B$18*IFERROR(INDEX(Config!$C$12:$C$15,MATCH(IF(AND(D524="Cartão de crédito",N(E524)&gt;1),"Cartão de crédito parcelado",D524),Config!$A$12:$A$15,0)),0)/30*MAX(1,N(E524)),0))</f>
        <v/>
      </c>
      <c r="I524" s="29">
        <f>IF(OR(D524="",F524=""),"",ROUND(F524*H524,2))</f>
        <v/>
      </c>
      <c r="J524" s="29">
        <f>IF(I524="","",F524-I524)</f>
        <v/>
      </c>
      <c r="K524" s="29">
        <f>IF(J524="","",J524/MAX(1,N(E524)))</f>
        <v/>
      </c>
      <c r="L524" s="37">
        <f>IF(OR(D524="",A524=""),"",A524+IF(AND(Config!$B$17="Sim",LEFT(D524,17)="Cartão de crédito"),1,IFERROR(INDEX(Config!$C$12:$C$15,MATCH(IF(AND(D524="Cartão de crédito",N(E524)&gt;1),"Cartão de crédito parcelado",D524),Config!$A$12:$A$15,0)),0)))</f>
        <v/>
      </c>
      <c r="M524" s="37">
        <f>IF(L524="","",IF(AND(Config!$B$17="Sim",LEFT(D524,17)="Cartão de crédito"),L524,L524+30*(MAX(1,N(E524))-1)))</f>
        <v/>
      </c>
      <c r="N524" s="29">
        <f>IF(OR(L524="",K524=""),"",K524*MIN(MAX(1,N(E524)),MAX(0,INT((Config!$B$8-L524)/30)+1)))</f>
        <v/>
      </c>
      <c r="O524" s="29">
        <f>IF(J524="","",J524-N(N524))</f>
        <v/>
      </c>
      <c r="P524" s="27">
        <f>IF(A524="","",MONTH(A524))</f>
        <v/>
      </c>
      <c r="Q524" s="27">
        <f>IF(A524="","",YEAR(A524))</f>
        <v/>
      </c>
      <c r="R524" s="27">
        <f>IF(L524="","",IF(L524&gt;Config!$B$8,"A cair",IF(N(G524)&gt;=MIN(MAX(1,N(E524)),MAX(0,INT((Config!$B$8-L524)/30)+1)),IF(N(G524)&gt;=MAX(1,N(E524)),"Conferido","Conferido até aqui"),"A conferir")))</f>
        <v/>
      </c>
      <c r="S524" s="51">
        <f>IF(R524="A conferir",(Config!$B$8-L524)*1000+N(F524)/1000+ROW()/100000,0)</f>
        <v>0</v>
      </c>
      <c r="T524" s="51">
        <f>IF(R524="A conferir",N(N524),0)</f>
        <v>0</v>
      </c>
      <c r="U524" s="51">
        <f>IF(L524="",0,L524)</f>
        <v>0</v>
      </c>
      <c r="V524" s="51">
        <f>IF(L524="",0,MAX(1,N(E524)))</f>
        <v>0</v>
      </c>
      <c r="W524" s="51">
        <f>IF(K524="",0,K524)</f>
        <v>0</v>
      </c>
    </row>
    <row r="525">
      <c r="A525" s="49" t="n"/>
      <c r="B525" s="41" t="n"/>
      <c r="C525" s="41" t="n"/>
      <c r="D525" s="42" t="n"/>
      <c r="E525" s="42" t="n"/>
      <c r="F525" s="50" t="n"/>
      <c r="G525" s="42" t="n"/>
      <c r="H525" s="30">
        <f>IF(D525="","",IFERROR(INDEX(Config!$B$12:$B$15,MATCH(IF(AND(D525="Cartão de crédito",N(E525)&gt;1),"Cartão de crédito parcelado",D525),Config!$A$12:$A$15,0)),0)+IF(AND(Config!$B$17="Sim",LEFT(D525,17)="Cartão de crédito"),Config!$B$18*IFERROR(INDEX(Config!$C$12:$C$15,MATCH(IF(AND(D525="Cartão de crédito",N(E525)&gt;1),"Cartão de crédito parcelado",D525),Config!$A$12:$A$15,0)),0)/30*MAX(1,N(E525)),0))</f>
        <v/>
      </c>
      <c r="I525" s="29">
        <f>IF(OR(D525="",F525=""),"",ROUND(F525*H525,2))</f>
        <v/>
      </c>
      <c r="J525" s="29">
        <f>IF(I525="","",F525-I525)</f>
        <v/>
      </c>
      <c r="K525" s="29">
        <f>IF(J525="","",J525/MAX(1,N(E525)))</f>
        <v/>
      </c>
      <c r="L525" s="37">
        <f>IF(OR(D525="",A525=""),"",A525+IF(AND(Config!$B$17="Sim",LEFT(D525,17)="Cartão de crédito"),1,IFERROR(INDEX(Config!$C$12:$C$15,MATCH(IF(AND(D525="Cartão de crédito",N(E525)&gt;1),"Cartão de crédito parcelado",D525),Config!$A$12:$A$15,0)),0)))</f>
        <v/>
      </c>
      <c r="M525" s="37">
        <f>IF(L525="","",IF(AND(Config!$B$17="Sim",LEFT(D525,17)="Cartão de crédito"),L525,L525+30*(MAX(1,N(E525))-1)))</f>
        <v/>
      </c>
      <c r="N525" s="29">
        <f>IF(OR(L525="",K525=""),"",K525*MIN(MAX(1,N(E525)),MAX(0,INT((Config!$B$8-L525)/30)+1)))</f>
        <v/>
      </c>
      <c r="O525" s="29">
        <f>IF(J525="","",J525-N(N525))</f>
        <v/>
      </c>
      <c r="P525" s="27">
        <f>IF(A525="","",MONTH(A525))</f>
        <v/>
      </c>
      <c r="Q525" s="27">
        <f>IF(A525="","",YEAR(A525))</f>
        <v/>
      </c>
      <c r="R525" s="27">
        <f>IF(L525="","",IF(L525&gt;Config!$B$8,"A cair",IF(N(G525)&gt;=MIN(MAX(1,N(E525)),MAX(0,INT((Config!$B$8-L525)/30)+1)),IF(N(G525)&gt;=MAX(1,N(E525)),"Conferido","Conferido até aqui"),"A conferir")))</f>
        <v/>
      </c>
      <c r="S525" s="51">
        <f>IF(R525="A conferir",(Config!$B$8-L525)*1000+N(F525)/1000+ROW()/100000,0)</f>
        <v>0</v>
      </c>
      <c r="T525" s="51">
        <f>IF(R525="A conferir",N(N525),0)</f>
        <v>0</v>
      </c>
      <c r="U525" s="51">
        <f>IF(L525="",0,L525)</f>
        <v>0</v>
      </c>
      <c r="V525" s="51">
        <f>IF(L525="",0,MAX(1,N(E525)))</f>
        <v>0</v>
      </c>
      <c r="W525" s="51">
        <f>IF(K525="",0,K525)</f>
        <v>0</v>
      </c>
    </row>
    <row r="526">
      <c r="A526" s="49" t="n"/>
      <c r="B526" s="41" t="n"/>
      <c r="C526" s="41" t="n"/>
      <c r="D526" s="42" t="n"/>
      <c r="E526" s="42" t="n"/>
      <c r="F526" s="50" t="n"/>
      <c r="G526" s="42" t="n"/>
      <c r="H526" s="30">
        <f>IF(D526="","",IFERROR(INDEX(Config!$B$12:$B$15,MATCH(IF(AND(D526="Cartão de crédito",N(E526)&gt;1),"Cartão de crédito parcelado",D526),Config!$A$12:$A$15,0)),0)+IF(AND(Config!$B$17="Sim",LEFT(D526,17)="Cartão de crédito"),Config!$B$18*IFERROR(INDEX(Config!$C$12:$C$15,MATCH(IF(AND(D526="Cartão de crédito",N(E526)&gt;1),"Cartão de crédito parcelado",D526),Config!$A$12:$A$15,0)),0)/30*MAX(1,N(E526)),0))</f>
        <v/>
      </c>
      <c r="I526" s="29">
        <f>IF(OR(D526="",F526=""),"",ROUND(F526*H526,2))</f>
        <v/>
      </c>
      <c r="J526" s="29">
        <f>IF(I526="","",F526-I526)</f>
        <v/>
      </c>
      <c r="K526" s="29">
        <f>IF(J526="","",J526/MAX(1,N(E526)))</f>
        <v/>
      </c>
      <c r="L526" s="37">
        <f>IF(OR(D526="",A526=""),"",A526+IF(AND(Config!$B$17="Sim",LEFT(D526,17)="Cartão de crédito"),1,IFERROR(INDEX(Config!$C$12:$C$15,MATCH(IF(AND(D526="Cartão de crédito",N(E526)&gt;1),"Cartão de crédito parcelado",D526),Config!$A$12:$A$15,0)),0)))</f>
        <v/>
      </c>
      <c r="M526" s="37">
        <f>IF(L526="","",IF(AND(Config!$B$17="Sim",LEFT(D526,17)="Cartão de crédito"),L526,L526+30*(MAX(1,N(E526))-1)))</f>
        <v/>
      </c>
      <c r="N526" s="29">
        <f>IF(OR(L526="",K526=""),"",K526*MIN(MAX(1,N(E526)),MAX(0,INT((Config!$B$8-L526)/30)+1)))</f>
        <v/>
      </c>
      <c r="O526" s="29">
        <f>IF(J526="","",J526-N(N526))</f>
        <v/>
      </c>
      <c r="P526" s="27">
        <f>IF(A526="","",MONTH(A526))</f>
        <v/>
      </c>
      <c r="Q526" s="27">
        <f>IF(A526="","",YEAR(A526))</f>
        <v/>
      </c>
      <c r="R526" s="27">
        <f>IF(L526="","",IF(L526&gt;Config!$B$8,"A cair",IF(N(G526)&gt;=MIN(MAX(1,N(E526)),MAX(0,INT((Config!$B$8-L526)/30)+1)),IF(N(G526)&gt;=MAX(1,N(E526)),"Conferido","Conferido até aqui"),"A conferir")))</f>
        <v/>
      </c>
      <c r="S526" s="51">
        <f>IF(R526="A conferir",(Config!$B$8-L526)*1000+N(F526)/1000+ROW()/100000,0)</f>
        <v>0</v>
      </c>
      <c r="T526" s="51">
        <f>IF(R526="A conferir",N(N526),0)</f>
        <v>0</v>
      </c>
      <c r="U526" s="51">
        <f>IF(L526="",0,L526)</f>
        <v>0</v>
      </c>
      <c r="V526" s="51">
        <f>IF(L526="",0,MAX(1,N(E526)))</f>
        <v>0</v>
      </c>
      <c r="W526" s="51">
        <f>IF(K526="",0,K526)</f>
        <v>0</v>
      </c>
    </row>
    <row r="527">
      <c r="A527" s="49" t="n"/>
      <c r="B527" s="41" t="n"/>
      <c r="C527" s="41" t="n"/>
      <c r="D527" s="42" t="n"/>
      <c r="E527" s="42" t="n"/>
      <c r="F527" s="50" t="n"/>
      <c r="G527" s="42" t="n"/>
      <c r="H527" s="30">
        <f>IF(D527="","",IFERROR(INDEX(Config!$B$12:$B$15,MATCH(IF(AND(D527="Cartão de crédito",N(E527)&gt;1),"Cartão de crédito parcelado",D527),Config!$A$12:$A$15,0)),0)+IF(AND(Config!$B$17="Sim",LEFT(D527,17)="Cartão de crédito"),Config!$B$18*IFERROR(INDEX(Config!$C$12:$C$15,MATCH(IF(AND(D527="Cartão de crédito",N(E527)&gt;1),"Cartão de crédito parcelado",D527),Config!$A$12:$A$15,0)),0)/30*MAX(1,N(E527)),0))</f>
        <v/>
      </c>
      <c r="I527" s="29">
        <f>IF(OR(D527="",F527=""),"",ROUND(F527*H527,2))</f>
        <v/>
      </c>
      <c r="J527" s="29">
        <f>IF(I527="","",F527-I527)</f>
        <v/>
      </c>
      <c r="K527" s="29">
        <f>IF(J527="","",J527/MAX(1,N(E527)))</f>
        <v/>
      </c>
      <c r="L527" s="37">
        <f>IF(OR(D527="",A527=""),"",A527+IF(AND(Config!$B$17="Sim",LEFT(D527,17)="Cartão de crédito"),1,IFERROR(INDEX(Config!$C$12:$C$15,MATCH(IF(AND(D527="Cartão de crédito",N(E527)&gt;1),"Cartão de crédito parcelado",D527),Config!$A$12:$A$15,0)),0)))</f>
        <v/>
      </c>
      <c r="M527" s="37">
        <f>IF(L527="","",IF(AND(Config!$B$17="Sim",LEFT(D527,17)="Cartão de crédito"),L527,L527+30*(MAX(1,N(E527))-1)))</f>
        <v/>
      </c>
      <c r="N527" s="29">
        <f>IF(OR(L527="",K527=""),"",K527*MIN(MAX(1,N(E527)),MAX(0,INT((Config!$B$8-L527)/30)+1)))</f>
        <v/>
      </c>
      <c r="O527" s="29">
        <f>IF(J527="","",J527-N(N527))</f>
        <v/>
      </c>
      <c r="P527" s="27">
        <f>IF(A527="","",MONTH(A527))</f>
        <v/>
      </c>
      <c r="Q527" s="27">
        <f>IF(A527="","",YEAR(A527))</f>
        <v/>
      </c>
      <c r="R527" s="27">
        <f>IF(L527="","",IF(L527&gt;Config!$B$8,"A cair",IF(N(G527)&gt;=MIN(MAX(1,N(E527)),MAX(0,INT((Config!$B$8-L527)/30)+1)),IF(N(G527)&gt;=MAX(1,N(E527)),"Conferido","Conferido até aqui"),"A conferir")))</f>
        <v/>
      </c>
      <c r="S527" s="51">
        <f>IF(R527="A conferir",(Config!$B$8-L527)*1000+N(F527)/1000+ROW()/100000,0)</f>
        <v>0</v>
      </c>
      <c r="T527" s="51">
        <f>IF(R527="A conferir",N(N527),0)</f>
        <v>0</v>
      </c>
      <c r="U527" s="51">
        <f>IF(L527="",0,L527)</f>
        <v>0</v>
      </c>
      <c r="V527" s="51">
        <f>IF(L527="",0,MAX(1,N(E527)))</f>
        <v>0</v>
      </c>
      <c r="W527" s="51">
        <f>IF(K527="",0,K527)</f>
        <v>0</v>
      </c>
    </row>
    <row r="528">
      <c r="A528" s="49" t="n"/>
      <c r="B528" s="41" t="n"/>
      <c r="C528" s="41" t="n"/>
      <c r="D528" s="42" t="n"/>
      <c r="E528" s="42" t="n"/>
      <c r="F528" s="50" t="n"/>
      <c r="G528" s="42" t="n"/>
      <c r="H528" s="30">
        <f>IF(D528="","",IFERROR(INDEX(Config!$B$12:$B$15,MATCH(IF(AND(D528="Cartão de crédito",N(E528)&gt;1),"Cartão de crédito parcelado",D528),Config!$A$12:$A$15,0)),0)+IF(AND(Config!$B$17="Sim",LEFT(D528,17)="Cartão de crédito"),Config!$B$18*IFERROR(INDEX(Config!$C$12:$C$15,MATCH(IF(AND(D528="Cartão de crédito",N(E528)&gt;1),"Cartão de crédito parcelado",D528),Config!$A$12:$A$15,0)),0)/30*MAX(1,N(E528)),0))</f>
        <v/>
      </c>
      <c r="I528" s="29">
        <f>IF(OR(D528="",F528=""),"",ROUND(F528*H528,2))</f>
        <v/>
      </c>
      <c r="J528" s="29">
        <f>IF(I528="","",F528-I528)</f>
        <v/>
      </c>
      <c r="K528" s="29">
        <f>IF(J528="","",J528/MAX(1,N(E528)))</f>
        <v/>
      </c>
      <c r="L528" s="37">
        <f>IF(OR(D528="",A528=""),"",A528+IF(AND(Config!$B$17="Sim",LEFT(D528,17)="Cartão de crédito"),1,IFERROR(INDEX(Config!$C$12:$C$15,MATCH(IF(AND(D528="Cartão de crédito",N(E528)&gt;1),"Cartão de crédito parcelado",D528),Config!$A$12:$A$15,0)),0)))</f>
        <v/>
      </c>
      <c r="M528" s="37">
        <f>IF(L528="","",IF(AND(Config!$B$17="Sim",LEFT(D528,17)="Cartão de crédito"),L528,L528+30*(MAX(1,N(E528))-1)))</f>
        <v/>
      </c>
      <c r="N528" s="29">
        <f>IF(OR(L528="",K528=""),"",K528*MIN(MAX(1,N(E528)),MAX(0,INT((Config!$B$8-L528)/30)+1)))</f>
        <v/>
      </c>
      <c r="O528" s="29">
        <f>IF(J528="","",J528-N(N528))</f>
        <v/>
      </c>
      <c r="P528" s="27">
        <f>IF(A528="","",MONTH(A528))</f>
        <v/>
      </c>
      <c r="Q528" s="27">
        <f>IF(A528="","",YEAR(A528))</f>
        <v/>
      </c>
      <c r="R528" s="27">
        <f>IF(L528="","",IF(L528&gt;Config!$B$8,"A cair",IF(N(G528)&gt;=MIN(MAX(1,N(E528)),MAX(0,INT((Config!$B$8-L528)/30)+1)),IF(N(G528)&gt;=MAX(1,N(E528)),"Conferido","Conferido até aqui"),"A conferir")))</f>
        <v/>
      </c>
      <c r="S528" s="51">
        <f>IF(R528="A conferir",(Config!$B$8-L528)*1000+N(F528)/1000+ROW()/100000,0)</f>
        <v>0</v>
      </c>
      <c r="T528" s="51">
        <f>IF(R528="A conferir",N(N528),0)</f>
        <v>0</v>
      </c>
      <c r="U528" s="51">
        <f>IF(L528="",0,L528)</f>
        <v>0</v>
      </c>
      <c r="V528" s="51">
        <f>IF(L528="",0,MAX(1,N(E528)))</f>
        <v>0</v>
      </c>
      <c r="W528" s="51">
        <f>IF(K528="",0,K528)</f>
        <v>0</v>
      </c>
    </row>
    <row r="529">
      <c r="A529" s="49" t="n"/>
      <c r="B529" s="41" t="n"/>
      <c r="C529" s="41" t="n"/>
      <c r="D529" s="42" t="n"/>
      <c r="E529" s="42" t="n"/>
      <c r="F529" s="50" t="n"/>
      <c r="G529" s="42" t="n"/>
      <c r="H529" s="30">
        <f>IF(D529="","",IFERROR(INDEX(Config!$B$12:$B$15,MATCH(IF(AND(D529="Cartão de crédito",N(E529)&gt;1),"Cartão de crédito parcelado",D529),Config!$A$12:$A$15,0)),0)+IF(AND(Config!$B$17="Sim",LEFT(D529,17)="Cartão de crédito"),Config!$B$18*IFERROR(INDEX(Config!$C$12:$C$15,MATCH(IF(AND(D529="Cartão de crédito",N(E529)&gt;1),"Cartão de crédito parcelado",D529),Config!$A$12:$A$15,0)),0)/30*MAX(1,N(E529)),0))</f>
        <v/>
      </c>
      <c r="I529" s="29">
        <f>IF(OR(D529="",F529=""),"",ROUND(F529*H529,2))</f>
        <v/>
      </c>
      <c r="J529" s="29">
        <f>IF(I529="","",F529-I529)</f>
        <v/>
      </c>
      <c r="K529" s="29">
        <f>IF(J529="","",J529/MAX(1,N(E529)))</f>
        <v/>
      </c>
      <c r="L529" s="37">
        <f>IF(OR(D529="",A529=""),"",A529+IF(AND(Config!$B$17="Sim",LEFT(D529,17)="Cartão de crédito"),1,IFERROR(INDEX(Config!$C$12:$C$15,MATCH(IF(AND(D529="Cartão de crédito",N(E529)&gt;1),"Cartão de crédito parcelado",D529),Config!$A$12:$A$15,0)),0)))</f>
        <v/>
      </c>
      <c r="M529" s="37">
        <f>IF(L529="","",IF(AND(Config!$B$17="Sim",LEFT(D529,17)="Cartão de crédito"),L529,L529+30*(MAX(1,N(E529))-1)))</f>
        <v/>
      </c>
      <c r="N529" s="29">
        <f>IF(OR(L529="",K529=""),"",K529*MIN(MAX(1,N(E529)),MAX(0,INT((Config!$B$8-L529)/30)+1)))</f>
        <v/>
      </c>
      <c r="O529" s="29">
        <f>IF(J529="","",J529-N(N529))</f>
        <v/>
      </c>
      <c r="P529" s="27">
        <f>IF(A529="","",MONTH(A529))</f>
        <v/>
      </c>
      <c r="Q529" s="27">
        <f>IF(A529="","",YEAR(A529))</f>
        <v/>
      </c>
      <c r="R529" s="27">
        <f>IF(L529="","",IF(L529&gt;Config!$B$8,"A cair",IF(N(G529)&gt;=MIN(MAX(1,N(E529)),MAX(0,INT((Config!$B$8-L529)/30)+1)),IF(N(G529)&gt;=MAX(1,N(E529)),"Conferido","Conferido até aqui"),"A conferir")))</f>
        <v/>
      </c>
      <c r="S529" s="51">
        <f>IF(R529="A conferir",(Config!$B$8-L529)*1000+N(F529)/1000+ROW()/100000,0)</f>
        <v>0</v>
      </c>
      <c r="T529" s="51">
        <f>IF(R529="A conferir",N(N529),0)</f>
        <v>0</v>
      </c>
      <c r="U529" s="51">
        <f>IF(L529="",0,L529)</f>
        <v>0</v>
      </c>
      <c r="V529" s="51">
        <f>IF(L529="",0,MAX(1,N(E529)))</f>
        <v>0</v>
      </c>
      <c r="W529" s="51">
        <f>IF(K529="",0,K529)</f>
        <v>0</v>
      </c>
    </row>
    <row r="530">
      <c r="A530" s="49" t="n"/>
      <c r="B530" s="41" t="n"/>
      <c r="C530" s="41" t="n"/>
      <c r="D530" s="42" t="n"/>
      <c r="E530" s="42" t="n"/>
      <c r="F530" s="50" t="n"/>
      <c r="G530" s="42" t="n"/>
      <c r="H530" s="30">
        <f>IF(D530="","",IFERROR(INDEX(Config!$B$12:$B$15,MATCH(IF(AND(D530="Cartão de crédito",N(E530)&gt;1),"Cartão de crédito parcelado",D530),Config!$A$12:$A$15,0)),0)+IF(AND(Config!$B$17="Sim",LEFT(D530,17)="Cartão de crédito"),Config!$B$18*IFERROR(INDEX(Config!$C$12:$C$15,MATCH(IF(AND(D530="Cartão de crédito",N(E530)&gt;1),"Cartão de crédito parcelado",D530),Config!$A$12:$A$15,0)),0)/30*MAX(1,N(E530)),0))</f>
        <v/>
      </c>
      <c r="I530" s="29">
        <f>IF(OR(D530="",F530=""),"",ROUND(F530*H530,2))</f>
        <v/>
      </c>
      <c r="J530" s="29">
        <f>IF(I530="","",F530-I530)</f>
        <v/>
      </c>
      <c r="K530" s="29">
        <f>IF(J530="","",J530/MAX(1,N(E530)))</f>
        <v/>
      </c>
      <c r="L530" s="37">
        <f>IF(OR(D530="",A530=""),"",A530+IF(AND(Config!$B$17="Sim",LEFT(D530,17)="Cartão de crédito"),1,IFERROR(INDEX(Config!$C$12:$C$15,MATCH(IF(AND(D530="Cartão de crédito",N(E530)&gt;1),"Cartão de crédito parcelado",D530),Config!$A$12:$A$15,0)),0)))</f>
        <v/>
      </c>
      <c r="M530" s="37">
        <f>IF(L530="","",IF(AND(Config!$B$17="Sim",LEFT(D530,17)="Cartão de crédito"),L530,L530+30*(MAX(1,N(E530))-1)))</f>
        <v/>
      </c>
      <c r="N530" s="29">
        <f>IF(OR(L530="",K530=""),"",K530*MIN(MAX(1,N(E530)),MAX(0,INT((Config!$B$8-L530)/30)+1)))</f>
        <v/>
      </c>
      <c r="O530" s="29">
        <f>IF(J530="","",J530-N(N530))</f>
        <v/>
      </c>
      <c r="P530" s="27">
        <f>IF(A530="","",MONTH(A530))</f>
        <v/>
      </c>
      <c r="Q530" s="27">
        <f>IF(A530="","",YEAR(A530))</f>
        <v/>
      </c>
      <c r="R530" s="27">
        <f>IF(L530="","",IF(L530&gt;Config!$B$8,"A cair",IF(N(G530)&gt;=MIN(MAX(1,N(E530)),MAX(0,INT((Config!$B$8-L530)/30)+1)),IF(N(G530)&gt;=MAX(1,N(E530)),"Conferido","Conferido até aqui"),"A conferir")))</f>
        <v/>
      </c>
      <c r="S530" s="51">
        <f>IF(R530="A conferir",(Config!$B$8-L530)*1000+N(F530)/1000+ROW()/100000,0)</f>
        <v>0</v>
      </c>
      <c r="T530" s="51">
        <f>IF(R530="A conferir",N(N530),0)</f>
        <v>0</v>
      </c>
      <c r="U530" s="51">
        <f>IF(L530="",0,L530)</f>
        <v>0</v>
      </c>
      <c r="V530" s="51">
        <f>IF(L530="",0,MAX(1,N(E530)))</f>
        <v>0</v>
      </c>
      <c r="W530" s="51">
        <f>IF(K530="",0,K530)</f>
        <v>0</v>
      </c>
    </row>
    <row r="531">
      <c r="A531" s="49" t="n"/>
      <c r="B531" s="41" t="n"/>
      <c r="C531" s="41" t="n"/>
      <c r="D531" s="42" t="n"/>
      <c r="E531" s="42" t="n"/>
      <c r="F531" s="50" t="n"/>
      <c r="G531" s="42" t="n"/>
      <c r="H531" s="30">
        <f>IF(D531="","",IFERROR(INDEX(Config!$B$12:$B$15,MATCH(IF(AND(D531="Cartão de crédito",N(E531)&gt;1),"Cartão de crédito parcelado",D531),Config!$A$12:$A$15,0)),0)+IF(AND(Config!$B$17="Sim",LEFT(D531,17)="Cartão de crédito"),Config!$B$18*IFERROR(INDEX(Config!$C$12:$C$15,MATCH(IF(AND(D531="Cartão de crédito",N(E531)&gt;1),"Cartão de crédito parcelado",D531),Config!$A$12:$A$15,0)),0)/30*MAX(1,N(E531)),0))</f>
        <v/>
      </c>
      <c r="I531" s="29">
        <f>IF(OR(D531="",F531=""),"",ROUND(F531*H531,2))</f>
        <v/>
      </c>
      <c r="J531" s="29">
        <f>IF(I531="","",F531-I531)</f>
        <v/>
      </c>
      <c r="K531" s="29">
        <f>IF(J531="","",J531/MAX(1,N(E531)))</f>
        <v/>
      </c>
      <c r="L531" s="37">
        <f>IF(OR(D531="",A531=""),"",A531+IF(AND(Config!$B$17="Sim",LEFT(D531,17)="Cartão de crédito"),1,IFERROR(INDEX(Config!$C$12:$C$15,MATCH(IF(AND(D531="Cartão de crédito",N(E531)&gt;1),"Cartão de crédito parcelado",D531),Config!$A$12:$A$15,0)),0)))</f>
        <v/>
      </c>
      <c r="M531" s="37">
        <f>IF(L531="","",IF(AND(Config!$B$17="Sim",LEFT(D531,17)="Cartão de crédito"),L531,L531+30*(MAX(1,N(E531))-1)))</f>
        <v/>
      </c>
      <c r="N531" s="29">
        <f>IF(OR(L531="",K531=""),"",K531*MIN(MAX(1,N(E531)),MAX(0,INT((Config!$B$8-L531)/30)+1)))</f>
        <v/>
      </c>
      <c r="O531" s="29">
        <f>IF(J531="","",J531-N(N531))</f>
        <v/>
      </c>
      <c r="P531" s="27">
        <f>IF(A531="","",MONTH(A531))</f>
        <v/>
      </c>
      <c r="Q531" s="27">
        <f>IF(A531="","",YEAR(A531))</f>
        <v/>
      </c>
      <c r="R531" s="27">
        <f>IF(L531="","",IF(L531&gt;Config!$B$8,"A cair",IF(N(G531)&gt;=MIN(MAX(1,N(E531)),MAX(0,INT((Config!$B$8-L531)/30)+1)),IF(N(G531)&gt;=MAX(1,N(E531)),"Conferido","Conferido até aqui"),"A conferir")))</f>
        <v/>
      </c>
      <c r="S531" s="51">
        <f>IF(R531="A conferir",(Config!$B$8-L531)*1000+N(F531)/1000+ROW()/100000,0)</f>
        <v>0</v>
      </c>
      <c r="T531" s="51">
        <f>IF(R531="A conferir",N(N531),0)</f>
        <v>0</v>
      </c>
      <c r="U531" s="51">
        <f>IF(L531="",0,L531)</f>
        <v>0</v>
      </c>
      <c r="V531" s="51">
        <f>IF(L531="",0,MAX(1,N(E531)))</f>
        <v>0</v>
      </c>
      <c r="W531" s="51">
        <f>IF(K531="",0,K531)</f>
        <v>0</v>
      </c>
    </row>
    <row r="532">
      <c r="A532" s="49" t="n"/>
      <c r="B532" s="41" t="n"/>
      <c r="C532" s="41" t="n"/>
      <c r="D532" s="42" t="n"/>
      <c r="E532" s="42" t="n"/>
      <c r="F532" s="50" t="n"/>
      <c r="G532" s="42" t="n"/>
      <c r="H532" s="30">
        <f>IF(D532="","",IFERROR(INDEX(Config!$B$12:$B$15,MATCH(IF(AND(D532="Cartão de crédito",N(E532)&gt;1),"Cartão de crédito parcelado",D532),Config!$A$12:$A$15,0)),0)+IF(AND(Config!$B$17="Sim",LEFT(D532,17)="Cartão de crédito"),Config!$B$18*IFERROR(INDEX(Config!$C$12:$C$15,MATCH(IF(AND(D532="Cartão de crédito",N(E532)&gt;1),"Cartão de crédito parcelado",D532),Config!$A$12:$A$15,0)),0)/30*MAX(1,N(E532)),0))</f>
        <v/>
      </c>
      <c r="I532" s="29">
        <f>IF(OR(D532="",F532=""),"",ROUND(F532*H532,2))</f>
        <v/>
      </c>
      <c r="J532" s="29">
        <f>IF(I532="","",F532-I532)</f>
        <v/>
      </c>
      <c r="K532" s="29">
        <f>IF(J532="","",J532/MAX(1,N(E532)))</f>
        <v/>
      </c>
      <c r="L532" s="37">
        <f>IF(OR(D532="",A532=""),"",A532+IF(AND(Config!$B$17="Sim",LEFT(D532,17)="Cartão de crédito"),1,IFERROR(INDEX(Config!$C$12:$C$15,MATCH(IF(AND(D532="Cartão de crédito",N(E532)&gt;1),"Cartão de crédito parcelado",D532),Config!$A$12:$A$15,0)),0)))</f>
        <v/>
      </c>
      <c r="M532" s="37">
        <f>IF(L532="","",IF(AND(Config!$B$17="Sim",LEFT(D532,17)="Cartão de crédito"),L532,L532+30*(MAX(1,N(E532))-1)))</f>
        <v/>
      </c>
      <c r="N532" s="29">
        <f>IF(OR(L532="",K532=""),"",K532*MIN(MAX(1,N(E532)),MAX(0,INT((Config!$B$8-L532)/30)+1)))</f>
        <v/>
      </c>
      <c r="O532" s="29">
        <f>IF(J532="","",J532-N(N532))</f>
        <v/>
      </c>
      <c r="P532" s="27">
        <f>IF(A532="","",MONTH(A532))</f>
        <v/>
      </c>
      <c r="Q532" s="27">
        <f>IF(A532="","",YEAR(A532))</f>
        <v/>
      </c>
      <c r="R532" s="27">
        <f>IF(L532="","",IF(L532&gt;Config!$B$8,"A cair",IF(N(G532)&gt;=MIN(MAX(1,N(E532)),MAX(0,INT((Config!$B$8-L532)/30)+1)),IF(N(G532)&gt;=MAX(1,N(E532)),"Conferido","Conferido até aqui"),"A conferir")))</f>
        <v/>
      </c>
      <c r="S532" s="51">
        <f>IF(R532="A conferir",(Config!$B$8-L532)*1000+N(F532)/1000+ROW()/100000,0)</f>
        <v>0</v>
      </c>
      <c r="T532" s="51">
        <f>IF(R532="A conferir",N(N532),0)</f>
        <v>0</v>
      </c>
      <c r="U532" s="51">
        <f>IF(L532="",0,L532)</f>
        <v>0</v>
      </c>
      <c r="V532" s="51">
        <f>IF(L532="",0,MAX(1,N(E532)))</f>
        <v>0</v>
      </c>
      <c r="W532" s="51">
        <f>IF(K532="",0,K532)</f>
        <v>0</v>
      </c>
    </row>
    <row r="533">
      <c r="A533" s="49" t="n"/>
      <c r="B533" s="41" t="n"/>
      <c r="C533" s="41" t="n"/>
      <c r="D533" s="42" t="n"/>
      <c r="E533" s="42" t="n"/>
      <c r="F533" s="50" t="n"/>
      <c r="G533" s="42" t="n"/>
      <c r="H533" s="30">
        <f>IF(D533="","",IFERROR(INDEX(Config!$B$12:$B$15,MATCH(IF(AND(D533="Cartão de crédito",N(E533)&gt;1),"Cartão de crédito parcelado",D533),Config!$A$12:$A$15,0)),0)+IF(AND(Config!$B$17="Sim",LEFT(D533,17)="Cartão de crédito"),Config!$B$18*IFERROR(INDEX(Config!$C$12:$C$15,MATCH(IF(AND(D533="Cartão de crédito",N(E533)&gt;1),"Cartão de crédito parcelado",D533),Config!$A$12:$A$15,0)),0)/30*MAX(1,N(E533)),0))</f>
        <v/>
      </c>
      <c r="I533" s="29">
        <f>IF(OR(D533="",F533=""),"",ROUND(F533*H533,2))</f>
        <v/>
      </c>
      <c r="J533" s="29">
        <f>IF(I533="","",F533-I533)</f>
        <v/>
      </c>
      <c r="K533" s="29">
        <f>IF(J533="","",J533/MAX(1,N(E533)))</f>
        <v/>
      </c>
      <c r="L533" s="37">
        <f>IF(OR(D533="",A533=""),"",A533+IF(AND(Config!$B$17="Sim",LEFT(D533,17)="Cartão de crédito"),1,IFERROR(INDEX(Config!$C$12:$C$15,MATCH(IF(AND(D533="Cartão de crédito",N(E533)&gt;1),"Cartão de crédito parcelado",D533),Config!$A$12:$A$15,0)),0)))</f>
        <v/>
      </c>
      <c r="M533" s="37">
        <f>IF(L533="","",IF(AND(Config!$B$17="Sim",LEFT(D533,17)="Cartão de crédito"),L533,L533+30*(MAX(1,N(E533))-1)))</f>
        <v/>
      </c>
      <c r="N533" s="29">
        <f>IF(OR(L533="",K533=""),"",K533*MIN(MAX(1,N(E533)),MAX(0,INT((Config!$B$8-L533)/30)+1)))</f>
        <v/>
      </c>
      <c r="O533" s="29">
        <f>IF(J533="","",J533-N(N533))</f>
        <v/>
      </c>
      <c r="P533" s="27">
        <f>IF(A533="","",MONTH(A533))</f>
        <v/>
      </c>
      <c r="Q533" s="27">
        <f>IF(A533="","",YEAR(A533))</f>
        <v/>
      </c>
      <c r="R533" s="27">
        <f>IF(L533="","",IF(L533&gt;Config!$B$8,"A cair",IF(N(G533)&gt;=MIN(MAX(1,N(E533)),MAX(0,INT((Config!$B$8-L533)/30)+1)),IF(N(G533)&gt;=MAX(1,N(E533)),"Conferido","Conferido até aqui"),"A conferir")))</f>
        <v/>
      </c>
      <c r="S533" s="51">
        <f>IF(R533="A conferir",(Config!$B$8-L533)*1000+N(F533)/1000+ROW()/100000,0)</f>
        <v>0</v>
      </c>
      <c r="T533" s="51">
        <f>IF(R533="A conferir",N(N533),0)</f>
        <v>0</v>
      </c>
      <c r="U533" s="51">
        <f>IF(L533="",0,L533)</f>
        <v>0</v>
      </c>
      <c r="V533" s="51">
        <f>IF(L533="",0,MAX(1,N(E533)))</f>
        <v>0</v>
      </c>
      <c r="W533" s="51">
        <f>IF(K533="",0,K533)</f>
        <v>0</v>
      </c>
    </row>
    <row r="534">
      <c r="A534" s="49" t="n"/>
      <c r="B534" s="41" t="n"/>
      <c r="C534" s="41" t="n"/>
      <c r="D534" s="42" t="n"/>
      <c r="E534" s="42" t="n"/>
      <c r="F534" s="50" t="n"/>
      <c r="G534" s="42" t="n"/>
      <c r="H534" s="30">
        <f>IF(D534="","",IFERROR(INDEX(Config!$B$12:$B$15,MATCH(IF(AND(D534="Cartão de crédito",N(E534)&gt;1),"Cartão de crédito parcelado",D534),Config!$A$12:$A$15,0)),0)+IF(AND(Config!$B$17="Sim",LEFT(D534,17)="Cartão de crédito"),Config!$B$18*IFERROR(INDEX(Config!$C$12:$C$15,MATCH(IF(AND(D534="Cartão de crédito",N(E534)&gt;1),"Cartão de crédito parcelado",D534),Config!$A$12:$A$15,0)),0)/30*MAX(1,N(E534)),0))</f>
        <v/>
      </c>
      <c r="I534" s="29">
        <f>IF(OR(D534="",F534=""),"",ROUND(F534*H534,2))</f>
        <v/>
      </c>
      <c r="J534" s="29">
        <f>IF(I534="","",F534-I534)</f>
        <v/>
      </c>
      <c r="K534" s="29">
        <f>IF(J534="","",J534/MAX(1,N(E534)))</f>
        <v/>
      </c>
      <c r="L534" s="37">
        <f>IF(OR(D534="",A534=""),"",A534+IF(AND(Config!$B$17="Sim",LEFT(D534,17)="Cartão de crédito"),1,IFERROR(INDEX(Config!$C$12:$C$15,MATCH(IF(AND(D534="Cartão de crédito",N(E534)&gt;1),"Cartão de crédito parcelado",D534),Config!$A$12:$A$15,0)),0)))</f>
        <v/>
      </c>
      <c r="M534" s="37">
        <f>IF(L534="","",IF(AND(Config!$B$17="Sim",LEFT(D534,17)="Cartão de crédito"),L534,L534+30*(MAX(1,N(E534))-1)))</f>
        <v/>
      </c>
      <c r="N534" s="29">
        <f>IF(OR(L534="",K534=""),"",K534*MIN(MAX(1,N(E534)),MAX(0,INT((Config!$B$8-L534)/30)+1)))</f>
        <v/>
      </c>
      <c r="O534" s="29">
        <f>IF(J534="","",J534-N(N534))</f>
        <v/>
      </c>
      <c r="P534" s="27">
        <f>IF(A534="","",MONTH(A534))</f>
        <v/>
      </c>
      <c r="Q534" s="27">
        <f>IF(A534="","",YEAR(A534))</f>
        <v/>
      </c>
      <c r="R534" s="27">
        <f>IF(L534="","",IF(L534&gt;Config!$B$8,"A cair",IF(N(G534)&gt;=MIN(MAX(1,N(E534)),MAX(0,INT((Config!$B$8-L534)/30)+1)),IF(N(G534)&gt;=MAX(1,N(E534)),"Conferido","Conferido até aqui"),"A conferir")))</f>
        <v/>
      </c>
      <c r="S534" s="51">
        <f>IF(R534="A conferir",(Config!$B$8-L534)*1000+N(F534)/1000+ROW()/100000,0)</f>
        <v>0</v>
      </c>
      <c r="T534" s="51">
        <f>IF(R534="A conferir",N(N534),0)</f>
        <v>0</v>
      </c>
      <c r="U534" s="51">
        <f>IF(L534="",0,L534)</f>
        <v>0</v>
      </c>
      <c r="V534" s="51">
        <f>IF(L534="",0,MAX(1,N(E534)))</f>
        <v>0</v>
      </c>
      <c r="W534" s="51">
        <f>IF(K534="",0,K534)</f>
        <v>0</v>
      </c>
    </row>
    <row r="535">
      <c r="A535" s="49" t="n"/>
      <c r="B535" s="41" t="n"/>
      <c r="C535" s="41" t="n"/>
      <c r="D535" s="42" t="n"/>
      <c r="E535" s="42" t="n"/>
      <c r="F535" s="50" t="n"/>
      <c r="G535" s="42" t="n"/>
      <c r="H535" s="30">
        <f>IF(D535="","",IFERROR(INDEX(Config!$B$12:$B$15,MATCH(IF(AND(D535="Cartão de crédito",N(E535)&gt;1),"Cartão de crédito parcelado",D535),Config!$A$12:$A$15,0)),0)+IF(AND(Config!$B$17="Sim",LEFT(D535,17)="Cartão de crédito"),Config!$B$18*IFERROR(INDEX(Config!$C$12:$C$15,MATCH(IF(AND(D535="Cartão de crédito",N(E535)&gt;1),"Cartão de crédito parcelado",D535),Config!$A$12:$A$15,0)),0)/30*MAX(1,N(E535)),0))</f>
        <v/>
      </c>
      <c r="I535" s="29">
        <f>IF(OR(D535="",F535=""),"",ROUND(F535*H535,2))</f>
        <v/>
      </c>
      <c r="J535" s="29">
        <f>IF(I535="","",F535-I535)</f>
        <v/>
      </c>
      <c r="K535" s="29">
        <f>IF(J535="","",J535/MAX(1,N(E535)))</f>
        <v/>
      </c>
      <c r="L535" s="37">
        <f>IF(OR(D535="",A535=""),"",A535+IF(AND(Config!$B$17="Sim",LEFT(D535,17)="Cartão de crédito"),1,IFERROR(INDEX(Config!$C$12:$C$15,MATCH(IF(AND(D535="Cartão de crédito",N(E535)&gt;1),"Cartão de crédito parcelado",D535),Config!$A$12:$A$15,0)),0)))</f>
        <v/>
      </c>
      <c r="M535" s="37">
        <f>IF(L535="","",IF(AND(Config!$B$17="Sim",LEFT(D535,17)="Cartão de crédito"),L535,L535+30*(MAX(1,N(E535))-1)))</f>
        <v/>
      </c>
      <c r="N535" s="29">
        <f>IF(OR(L535="",K535=""),"",K535*MIN(MAX(1,N(E535)),MAX(0,INT((Config!$B$8-L535)/30)+1)))</f>
        <v/>
      </c>
      <c r="O535" s="29">
        <f>IF(J535="","",J535-N(N535))</f>
        <v/>
      </c>
      <c r="P535" s="27">
        <f>IF(A535="","",MONTH(A535))</f>
        <v/>
      </c>
      <c r="Q535" s="27">
        <f>IF(A535="","",YEAR(A535))</f>
        <v/>
      </c>
      <c r="R535" s="27">
        <f>IF(L535="","",IF(L535&gt;Config!$B$8,"A cair",IF(N(G535)&gt;=MIN(MAX(1,N(E535)),MAX(0,INT((Config!$B$8-L535)/30)+1)),IF(N(G535)&gt;=MAX(1,N(E535)),"Conferido","Conferido até aqui"),"A conferir")))</f>
        <v/>
      </c>
      <c r="S535" s="51">
        <f>IF(R535="A conferir",(Config!$B$8-L535)*1000+N(F535)/1000+ROW()/100000,0)</f>
        <v>0</v>
      </c>
      <c r="T535" s="51">
        <f>IF(R535="A conferir",N(N535),0)</f>
        <v>0</v>
      </c>
      <c r="U535" s="51">
        <f>IF(L535="",0,L535)</f>
        <v>0</v>
      </c>
      <c r="V535" s="51">
        <f>IF(L535="",0,MAX(1,N(E535)))</f>
        <v>0</v>
      </c>
      <c r="W535" s="51">
        <f>IF(K535="",0,K535)</f>
        <v>0</v>
      </c>
    </row>
    <row r="536">
      <c r="A536" s="49" t="n"/>
      <c r="B536" s="41" t="n"/>
      <c r="C536" s="41" t="n"/>
      <c r="D536" s="42" t="n"/>
      <c r="E536" s="42" t="n"/>
      <c r="F536" s="50" t="n"/>
      <c r="G536" s="42" t="n"/>
      <c r="H536" s="30">
        <f>IF(D536="","",IFERROR(INDEX(Config!$B$12:$B$15,MATCH(IF(AND(D536="Cartão de crédito",N(E536)&gt;1),"Cartão de crédito parcelado",D536),Config!$A$12:$A$15,0)),0)+IF(AND(Config!$B$17="Sim",LEFT(D536,17)="Cartão de crédito"),Config!$B$18*IFERROR(INDEX(Config!$C$12:$C$15,MATCH(IF(AND(D536="Cartão de crédito",N(E536)&gt;1),"Cartão de crédito parcelado",D536),Config!$A$12:$A$15,0)),0)/30*MAX(1,N(E536)),0))</f>
        <v/>
      </c>
      <c r="I536" s="29">
        <f>IF(OR(D536="",F536=""),"",ROUND(F536*H536,2))</f>
        <v/>
      </c>
      <c r="J536" s="29">
        <f>IF(I536="","",F536-I536)</f>
        <v/>
      </c>
      <c r="K536" s="29">
        <f>IF(J536="","",J536/MAX(1,N(E536)))</f>
        <v/>
      </c>
      <c r="L536" s="37">
        <f>IF(OR(D536="",A536=""),"",A536+IF(AND(Config!$B$17="Sim",LEFT(D536,17)="Cartão de crédito"),1,IFERROR(INDEX(Config!$C$12:$C$15,MATCH(IF(AND(D536="Cartão de crédito",N(E536)&gt;1),"Cartão de crédito parcelado",D536),Config!$A$12:$A$15,0)),0)))</f>
        <v/>
      </c>
      <c r="M536" s="37">
        <f>IF(L536="","",IF(AND(Config!$B$17="Sim",LEFT(D536,17)="Cartão de crédito"),L536,L536+30*(MAX(1,N(E536))-1)))</f>
        <v/>
      </c>
      <c r="N536" s="29">
        <f>IF(OR(L536="",K536=""),"",K536*MIN(MAX(1,N(E536)),MAX(0,INT((Config!$B$8-L536)/30)+1)))</f>
        <v/>
      </c>
      <c r="O536" s="29">
        <f>IF(J536="","",J536-N(N536))</f>
        <v/>
      </c>
      <c r="P536" s="27">
        <f>IF(A536="","",MONTH(A536))</f>
        <v/>
      </c>
      <c r="Q536" s="27">
        <f>IF(A536="","",YEAR(A536))</f>
        <v/>
      </c>
      <c r="R536" s="27">
        <f>IF(L536="","",IF(L536&gt;Config!$B$8,"A cair",IF(N(G536)&gt;=MIN(MAX(1,N(E536)),MAX(0,INT((Config!$B$8-L536)/30)+1)),IF(N(G536)&gt;=MAX(1,N(E536)),"Conferido","Conferido até aqui"),"A conferir")))</f>
        <v/>
      </c>
      <c r="S536" s="51">
        <f>IF(R536="A conferir",(Config!$B$8-L536)*1000+N(F536)/1000+ROW()/100000,0)</f>
        <v>0</v>
      </c>
      <c r="T536" s="51">
        <f>IF(R536="A conferir",N(N536),0)</f>
        <v>0</v>
      </c>
      <c r="U536" s="51">
        <f>IF(L536="",0,L536)</f>
        <v>0</v>
      </c>
      <c r="V536" s="51">
        <f>IF(L536="",0,MAX(1,N(E536)))</f>
        <v>0</v>
      </c>
      <c r="W536" s="51">
        <f>IF(K536="",0,K536)</f>
        <v>0</v>
      </c>
    </row>
    <row r="537">
      <c r="A537" s="49" t="n"/>
      <c r="B537" s="41" t="n"/>
      <c r="C537" s="41" t="n"/>
      <c r="D537" s="42" t="n"/>
      <c r="E537" s="42" t="n"/>
      <c r="F537" s="50" t="n"/>
      <c r="G537" s="42" t="n"/>
      <c r="H537" s="30">
        <f>IF(D537="","",IFERROR(INDEX(Config!$B$12:$B$15,MATCH(IF(AND(D537="Cartão de crédito",N(E537)&gt;1),"Cartão de crédito parcelado",D537),Config!$A$12:$A$15,0)),0)+IF(AND(Config!$B$17="Sim",LEFT(D537,17)="Cartão de crédito"),Config!$B$18*IFERROR(INDEX(Config!$C$12:$C$15,MATCH(IF(AND(D537="Cartão de crédito",N(E537)&gt;1),"Cartão de crédito parcelado",D537),Config!$A$12:$A$15,0)),0)/30*MAX(1,N(E537)),0))</f>
        <v/>
      </c>
      <c r="I537" s="29">
        <f>IF(OR(D537="",F537=""),"",ROUND(F537*H537,2))</f>
        <v/>
      </c>
      <c r="J537" s="29">
        <f>IF(I537="","",F537-I537)</f>
        <v/>
      </c>
      <c r="K537" s="29">
        <f>IF(J537="","",J537/MAX(1,N(E537)))</f>
        <v/>
      </c>
      <c r="L537" s="37">
        <f>IF(OR(D537="",A537=""),"",A537+IF(AND(Config!$B$17="Sim",LEFT(D537,17)="Cartão de crédito"),1,IFERROR(INDEX(Config!$C$12:$C$15,MATCH(IF(AND(D537="Cartão de crédito",N(E537)&gt;1),"Cartão de crédito parcelado",D537),Config!$A$12:$A$15,0)),0)))</f>
        <v/>
      </c>
      <c r="M537" s="37">
        <f>IF(L537="","",IF(AND(Config!$B$17="Sim",LEFT(D537,17)="Cartão de crédito"),L537,L537+30*(MAX(1,N(E537))-1)))</f>
        <v/>
      </c>
      <c r="N537" s="29">
        <f>IF(OR(L537="",K537=""),"",K537*MIN(MAX(1,N(E537)),MAX(0,INT((Config!$B$8-L537)/30)+1)))</f>
        <v/>
      </c>
      <c r="O537" s="29">
        <f>IF(J537="","",J537-N(N537))</f>
        <v/>
      </c>
      <c r="P537" s="27">
        <f>IF(A537="","",MONTH(A537))</f>
        <v/>
      </c>
      <c r="Q537" s="27">
        <f>IF(A537="","",YEAR(A537))</f>
        <v/>
      </c>
      <c r="R537" s="27">
        <f>IF(L537="","",IF(L537&gt;Config!$B$8,"A cair",IF(N(G537)&gt;=MIN(MAX(1,N(E537)),MAX(0,INT((Config!$B$8-L537)/30)+1)),IF(N(G537)&gt;=MAX(1,N(E537)),"Conferido","Conferido até aqui"),"A conferir")))</f>
        <v/>
      </c>
      <c r="S537" s="51">
        <f>IF(R537="A conferir",(Config!$B$8-L537)*1000+N(F537)/1000+ROW()/100000,0)</f>
        <v>0</v>
      </c>
      <c r="T537" s="51">
        <f>IF(R537="A conferir",N(N537),0)</f>
        <v>0</v>
      </c>
      <c r="U537" s="51">
        <f>IF(L537="",0,L537)</f>
        <v>0</v>
      </c>
      <c r="V537" s="51">
        <f>IF(L537="",0,MAX(1,N(E537)))</f>
        <v>0</v>
      </c>
      <c r="W537" s="51">
        <f>IF(K537="",0,K537)</f>
        <v>0</v>
      </c>
    </row>
    <row r="538">
      <c r="A538" s="49" t="n"/>
      <c r="B538" s="41" t="n"/>
      <c r="C538" s="41" t="n"/>
      <c r="D538" s="42" t="n"/>
      <c r="E538" s="42" t="n"/>
      <c r="F538" s="50" t="n"/>
      <c r="G538" s="42" t="n"/>
      <c r="H538" s="30">
        <f>IF(D538="","",IFERROR(INDEX(Config!$B$12:$B$15,MATCH(IF(AND(D538="Cartão de crédito",N(E538)&gt;1),"Cartão de crédito parcelado",D538),Config!$A$12:$A$15,0)),0)+IF(AND(Config!$B$17="Sim",LEFT(D538,17)="Cartão de crédito"),Config!$B$18*IFERROR(INDEX(Config!$C$12:$C$15,MATCH(IF(AND(D538="Cartão de crédito",N(E538)&gt;1),"Cartão de crédito parcelado",D538),Config!$A$12:$A$15,0)),0)/30*MAX(1,N(E538)),0))</f>
        <v/>
      </c>
      <c r="I538" s="29">
        <f>IF(OR(D538="",F538=""),"",ROUND(F538*H538,2))</f>
        <v/>
      </c>
      <c r="J538" s="29">
        <f>IF(I538="","",F538-I538)</f>
        <v/>
      </c>
      <c r="K538" s="29">
        <f>IF(J538="","",J538/MAX(1,N(E538)))</f>
        <v/>
      </c>
      <c r="L538" s="37">
        <f>IF(OR(D538="",A538=""),"",A538+IF(AND(Config!$B$17="Sim",LEFT(D538,17)="Cartão de crédito"),1,IFERROR(INDEX(Config!$C$12:$C$15,MATCH(IF(AND(D538="Cartão de crédito",N(E538)&gt;1),"Cartão de crédito parcelado",D538),Config!$A$12:$A$15,0)),0)))</f>
        <v/>
      </c>
      <c r="M538" s="37">
        <f>IF(L538="","",IF(AND(Config!$B$17="Sim",LEFT(D538,17)="Cartão de crédito"),L538,L538+30*(MAX(1,N(E538))-1)))</f>
        <v/>
      </c>
      <c r="N538" s="29">
        <f>IF(OR(L538="",K538=""),"",K538*MIN(MAX(1,N(E538)),MAX(0,INT((Config!$B$8-L538)/30)+1)))</f>
        <v/>
      </c>
      <c r="O538" s="29">
        <f>IF(J538="","",J538-N(N538))</f>
        <v/>
      </c>
      <c r="P538" s="27">
        <f>IF(A538="","",MONTH(A538))</f>
        <v/>
      </c>
      <c r="Q538" s="27">
        <f>IF(A538="","",YEAR(A538))</f>
        <v/>
      </c>
      <c r="R538" s="27">
        <f>IF(L538="","",IF(L538&gt;Config!$B$8,"A cair",IF(N(G538)&gt;=MIN(MAX(1,N(E538)),MAX(0,INT((Config!$B$8-L538)/30)+1)),IF(N(G538)&gt;=MAX(1,N(E538)),"Conferido","Conferido até aqui"),"A conferir")))</f>
        <v/>
      </c>
      <c r="S538" s="51">
        <f>IF(R538="A conferir",(Config!$B$8-L538)*1000+N(F538)/1000+ROW()/100000,0)</f>
        <v>0</v>
      </c>
      <c r="T538" s="51">
        <f>IF(R538="A conferir",N(N538),0)</f>
        <v>0</v>
      </c>
      <c r="U538" s="51">
        <f>IF(L538="",0,L538)</f>
        <v>0</v>
      </c>
      <c r="V538" s="51">
        <f>IF(L538="",0,MAX(1,N(E538)))</f>
        <v>0</v>
      </c>
      <c r="W538" s="51">
        <f>IF(K538="",0,K538)</f>
        <v>0</v>
      </c>
    </row>
    <row r="539">
      <c r="A539" s="49" t="n"/>
      <c r="B539" s="41" t="n"/>
      <c r="C539" s="41" t="n"/>
      <c r="D539" s="42" t="n"/>
      <c r="E539" s="42" t="n"/>
      <c r="F539" s="50" t="n"/>
      <c r="G539" s="42" t="n"/>
      <c r="H539" s="30">
        <f>IF(D539="","",IFERROR(INDEX(Config!$B$12:$B$15,MATCH(IF(AND(D539="Cartão de crédito",N(E539)&gt;1),"Cartão de crédito parcelado",D539),Config!$A$12:$A$15,0)),0)+IF(AND(Config!$B$17="Sim",LEFT(D539,17)="Cartão de crédito"),Config!$B$18*IFERROR(INDEX(Config!$C$12:$C$15,MATCH(IF(AND(D539="Cartão de crédito",N(E539)&gt;1),"Cartão de crédito parcelado",D539),Config!$A$12:$A$15,0)),0)/30*MAX(1,N(E539)),0))</f>
        <v/>
      </c>
      <c r="I539" s="29">
        <f>IF(OR(D539="",F539=""),"",ROUND(F539*H539,2))</f>
        <v/>
      </c>
      <c r="J539" s="29">
        <f>IF(I539="","",F539-I539)</f>
        <v/>
      </c>
      <c r="K539" s="29">
        <f>IF(J539="","",J539/MAX(1,N(E539)))</f>
        <v/>
      </c>
      <c r="L539" s="37">
        <f>IF(OR(D539="",A539=""),"",A539+IF(AND(Config!$B$17="Sim",LEFT(D539,17)="Cartão de crédito"),1,IFERROR(INDEX(Config!$C$12:$C$15,MATCH(IF(AND(D539="Cartão de crédito",N(E539)&gt;1),"Cartão de crédito parcelado",D539),Config!$A$12:$A$15,0)),0)))</f>
        <v/>
      </c>
      <c r="M539" s="37">
        <f>IF(L539="","",IF(AND(Config!$B$17="Sim",LEFT(D539,17)="Cartão de crédito"),L539,L539+30*(MAX(1,N(E539))-1)))</f>
        <v/>
      </c>
      <c r="N539" s="29">
        <f>IF(OR(L539="",K539=""),"",K539*MIN(MAX(1,N(E539)),MAX(0,INT((Config!$B$8-L539)/30)+1)))</f>
        <v/>
      </c>
      <c r="O539" s="29">
        <f>IF(J539="","",J539-N(N539))</f>
        <v/>
      </c>
      <c r="P539" s="27">
        <f>IF(A539="","",MONTH(A539))</f>
        <v/>
      </c>
      <c r="Q539" s="27">
        <f>IF(A539="","",YEAR(A539))</f>
        <v/>
      </c>
      <c r="R539" s="27">
        <f>IF(L539="","",IF(L539&gt;Config!$B$8,"A cair",IF(N(G539)&gt;=MIN(MAX(1,N(E539)),MAX(0,INT((Config!$B$8-L539)/30)+1)),IF(N(G539)&gt;=MAX(1,N(E539)),"Conferido","Conferido até aqui"),"A conferir")))</f>
        <v/>
      </c>
      <c r="S539" s="51">
        <f>IF(R539="A conferir",(Config!$B$8-L539)*1000+N(F539)/1000+ROW()/100000,0)</f>
        <v>0</v>
      </c>
      <c r="T539" s="51">
        <f>IF(R539="A conferir",N(N539),0)</f>
        <v>0</v>
      </c>
      <c r="U539" s="51">
        <f>IF(L539="",0,L539)</f>
        <v>0</v>
      </c>
      <c r="V539" s="51">
        <f>IF(L539="",0,MAX(1,N(E539)))</f>
        <v>0</v>
      </c>
      <c r="W539" s="51">
        <f>IF(K539="",0,K539)</f>
        <v>0</v>
      </c>
    </row>
    <row r="540">
      <c r="A540" s="49" t="n"/>
      <c r="B540" s="41" t="n"/>
      <c r="C540" s="41" t="n"/>
      <c r="D540" s="42" t="n"/>
      <c r="E540" s="42" t="n"/>
      <c r="F540" s="50" t="n"/>
      <c r="G540" s="42" t="n"/>
      <c r="H540" s="30">
        <f>IF(D540="","",IFERROR(INDEX(Config!$B$12:$B$15,MATCH(IF(AND(D540="Cartão de crédito",N(E540)&gt;1),"Cartão de crédito parcelado",D540),Config!$A$12:$A$15,0)),0)+IF(AND(Config!$B$17="Sim",LEFT(D540,17)="Cartão de crédito"),Config!$B$18*IFERROR(INDEX(Config!$C$12:$C$15,MATCH(IF(AND(D540="Cartão de crédito",N(E540)&gt;1),"Cartão de crédito parcelado",D540),Config!$A$12:$A$15,0)),0)/30*MAX(1,N(E540)),0))</f>
        <v/>
      </c>
      <c r="I540" s="29">
        <f>IF(OR(D540="",F540=""),"",ROUND(F540*H540,2))</f>
        <v/>
      </c>
      <c r="J540" s="29">
        <f>IF(I540="","",F540-I540)</f>
        <v/>
      </c>
      <c r="K540" s="29">
        <f>IF(J540="","",J540/MAX(1,N(E540)))</f>
        <v/>
      </c>
      <c r="L540" s="37">
        <f>IF(OR(D540="",A540=""),"",A540+IF(AND(Config!$B$17="Sim",LEFT(D540,17)="Cartão de crédito"),1,IFERROR(INDEX(Config!$C$12:$C$15,MATCH(IF(AND(D540="Cartão de crédito",N(E540)&gt;1),"Cartão de crédito parcelado",D540),Config!$A$12:$A$15,0)),0)))</f>
        <v/>
      </c>
      <c r="M540" s="37">
        <f>IF(L540="","",IF(AND(Config!$B$17="Sim",LEFT(D540,17)="Cartão de crédito"),L540,L540+30*(MAX(1,N(E540))-1)))</f>
        <v/>
      </c>
      <c r="N540" s="29">
        <f>IF(OR(L540="",K540=""),"",K540*MIN(MAX(1,N(E540)),MAX(0,INT((Config!$B$8-L540)/30)+1)))</f>
        <v/>
      </c>
      <c r="O540" s="29">
        <f>IF(J540="","",J540-N(N540))</f>
        <v/>
      </c>
      <c r="P540" s="27">
        <f>IF(A540="","",MONTH(A540))</f>
        <v/>
      </c>
      <c r="Q540" s="27">
        <f>IF(A540="","",YEAR(A540))</f>
        <v/>
      </c>
      <c r="R540" s="27">
        <f>IF(L540="","",IF(L540&gt;Config!$B$8,"A cair",IF(N(G540)&gt;=MIN(MAX(1,N(E540)),MAX(0,INT((Config!$B$8-L540)/30)+1)),IF(N(G540)&gt;=MAX(1,N(E540)),"Conferido","Conferido até aqui"),"A conferir")))</f>
        <v/>
      </c>
      <c r="S540" s="51">
        <f>IF(R540="A conferir",(Config!$B$8-L540)*1000+N(F540)/1000+ROW()/100000,0)</f>
        <v>0</v>
      </c>
      <c r="T540" s="51">
        <f>IF(R540="A conferir",N(N540),0)</f>
        <v>0</v>
      </c>
      <c r="U540" s="51">
        <f>IF(L540="",0,L540)</f>
        <v>0</v>
      </c>
      <c r="V540" s="51">
        <f>IF(L540="",0,MAX(1,N(E540)))</f>
        <v>0</v>
      </c>
      <c r="W540" s="51">
        <f>IF(K540="",0,K540)</f>
        <v>0</v>
      </c>
    </row>
    <row r="541">
      <c r="A541" s="49" t="n"/>
      <c r="B541" s="41" t="n"/>
      <c r="C541" s="41" t="n"/>
      <c r="D541" s="42" t="n"/>
      <c r="E541" s="42" t="n"/>
      <c r="F541" s="50" t="n"/>
      <c r="G541" s="42" t="n"/>
      <c r="H541" s="30">
        <f>IF(D541="","",IFERROR(INDEX(Config!$B$12:$B$15,MATCH(IF(AND(D541="Cartão de crédito",N(E541)&gt;1),"Cartão de crédito parcelado",D541),Config!$A$12:$A$15,0)),0)+IF(AND(Config!$B$17="Sim",LEFT(D541,17)="Cartão de crédito"),Config!$B$18*IFERROR(INDEX(Config!$C$12:$C$15,MATCH(IF(AND(D541="Cartão de crédito",N(E541)&gt;1),"Cartão de crédito parcelado",D541),Config!$A$12:$A$15,0)),0)/30*MAX(1,N(E541)),0))</f>
        <v/>
      </c>
      <c r="I541" s="29">
        <f>IF(OR(D541="",F541=""),"",ROUND(F541*H541,2))</f>
        <v/>
      </c>
      <c r="J541" s="29">
        <f>IF(I541="","",F541-I541)</f>
        <v/>
      </c>
      <c r="K541" s="29">
        <f>IF(J541="","",J541/MAX(1,N(E541)))</f>
        <v/>
      </c>
      <c r="L541" s="37">
        <f>IF(OR(D541="",A541=""),"",A541+IF(AND(Config!$B$17="Sim",LEFT(D541,17)="Cartão de crédito"),1,IFERROR(INDEX(Config!$C$12:$C$15,MATCH(IF(AND(D541="Cartão de crédito",N(E541)&gt;1),"Cartão de crédito parcelado",D541),Config!$A$12:$A$15,0)),0)))</f>
        <v/>
      </c>
      <c r="M541" s="37">
        <f>IF(L541="","",IF(AND(Config!$B$17="Sim",LEFT(D541,17)="Cartão de crédito"),L541,L541+30*(MAX(1,N(E541))-1)))</f>
        <v/>
      </c>
      <c r="N541" s="29">
        <f>IF(OR(L541="",K541=""),"",K541*MIN(MAX(1,N(E541)),MAX(0,INT((Config!$B$8-L541)/30)+1)))</f>
        <v/>
      </c>
      <c r="O541" s="29">
        <f>IF(J541="","",J541-N(N541))</f>
        <v/>
      </c>
      <c r="P541" s="27">
        <f>IF(A541="","",MONTH(A541))</f>
        <v/>
      </c>
      <c r="Q541" s="27">
        <f>IF(A541="","",YEAR(A541))</f>
        <v/>
      </c>
      <c r="R541" s="27">
        <f>IF(L541="","",IF(L541&gt;Config!$B$8,"A cair",IF(N(G541)&gt;=MIN(MAX(1,N(E541)),MAX(0,INT((Config!$B$8-L541)/30)+1)),IF(N(G541)&gt;=MAX(1,N(E541)),"Conferido","Conferido até aqui"),"A conferir")))</f>
        <v/>
      </c>
      <c r="S541" s="51">
        <f>IF(R541="A conferir",(Config!$B$8-L541)*1000+N(F541)/1000+ROW()/100000,0)</f>
        <v>0</v>
      </c>
      <c r="T541" s="51">
        <f>IF(R541="A conferir",N(N541),0)</f>
        <v>0</v>
      </c>
      <c r="U541" s="51">
        <f>IF(L541="",0,L541)</f>
        <v>0</v>
      </c>
      <c r="V541" s="51">
        <f>IF(L541="",0,MAX(1,N(E541)))</f>
        <v>0</v>
      </c>
      <c r="W541" s="51">
        <f>IF(K541="",0,K541)</f>
        <v>0</v>
      </c>
    </row>
    <row r="542">
      <c r="A542" s="49" t="n"/>
      <c r="B542" s="41" t="n"/>
      <c r="C542" s="41" t="n"/>
      <c r="D542" s="42" t="n"/>
      <c r="E542" s="42" t="n"/>
      <c r="F542" s="50" t="n"/>
      <c r="G542" s="42" t="n"/>
      <c r="H542" s="30">
        <f>IF(D542="","",IFERROR(INDEX(Config!$B$12:$B$15,MATCH(IF(AND(D542="Cartão de crédito",N(E542)&gt;1),"Cartão de crédito parcelado",D542),Config!$A$12:$A$15,0)),0)+IF(AND(Config!$B$17="Sim",LEFT(D542,17)="Cartão de crédito"),Config!$B$18*IFERROR(INDEX(Config!$C$12:$C$15,MATCH(IF(AND(D542="Cartão de crédito",N(E542)&gt;1),"Cartão de crédito parcelado",D542),Config!$A$12:$A$15,0)),0)/30*MAX(1,N(E542)),0))</f>
        <v/>
      </c>
      <c r="I542" s="29">
        <f>IF(OR(D542="",F542=""),"",ROUND(F542*H542,2))</f>
        <v/>
      </c>
      <c r="J542" s="29">
        <f>IF(I542="","",F542-I542)</f>
        <v/>
      </c>
      <c r="K542" s="29">
        <f>IF(J542="","",J542/MAX(1,N(E542)))</f>
        <v/>
      </c>
      <c r="L542" s="37">
        <f>IF(OR(D542="",A542=""),"",A542+IF(AND(Config!$B$17="Sim",LEFT(D542,17)="Cartão de crédito"),1,IFERROR(INDEX(Config!$C$12:$C$15,MATCH(IF(AND(D542="Cartão de crédito",N(E542)&gt;1),"Cartão de crédito parcelado",D542),Config!$A$12:$A$15,0)),0)))</f>
        <v/>
      </c>
      <c r="M542" s="37">
        <f>IF(L542="","",IF(AND(Config!$B$17="Sim",LEFT(D542,17)="Cartão de crédito"),L542,L542+30*(MAX(1,N(E542))-1)))</f>
        <v/>
      </c>
      <c r="N542" s="29">
        <f>IF(OR(L542="",K542=""),"",K542*MIN(MAX(1,N(E542)),MAX(0,INT((Config!$B$8-L542)/30)+1)))</f>
        <v/>
      </c>
      <c r="O542" s="29">
        <f>IF(J542="","",J542-N(N542))</f>
        <v/>
      </c>
      <c r="P542" s="27">
        <f>IF(A542="","",MONTH(A542))</f>
        <v/>
      </c>
      <c r="Q542" s="27">
        <f>IF(A542="","",YEAR(A542))</f>
        <v/>
      </c>
      <c r="R542" s="27">
        <f>IF(L542="","",IF(L542&gt;Config!$B$8,"A cair",IF(N(G542)&gt;=MIN(MAX(1,N(E542)),MAX(0,INT((Config!$B$8-L542)/30)+1)),IF(N(G542)&gt;=MAX(1,N(E542)),"Conferido","Conferido até aqui"),"A conferir")))</f>
        <v/>
      </c>
      <c r="S542" s="51">
        <f>IF(R542="A conferir",(Config!$B$8-L542)*1000+N(F542)/1000+ROW()/100000,0)</f>
        <v>0</v>
      </c>
      <c r="T542" s="51">
        <f>IF(R542="A conferir",N(N542),0)</f>
        <v>0</v>
      </c>
      <c r="U542" s="51">
        <f>IF(L542="",0,L542)</f>
        <v>0</v>
      </c>
      <c r="V542" s="51">
        <f>IF(L542="",0,MAX(1,N(E542)))</f>
        <v>0</v>
      </c>
      <c r="W542" s="51">
        <f>IF(K542="",0,K542)</f>
        <v>0</v>
      </c>
    </row>
    <row r="543">
      <c r="A543" s="49" t="n"/>
      <c r="B543" s="41" t="n"/>
      <c r="C543" s="41" t="n"/>
      <c r="D543" s="42" t="n"/>
      <c r="E543" s="42" t="n"/>
      <c r="F543" s="50" t="n"/>
      <c r="G543" s="42" t="n"/>
      <c r="H543" s="30">
        <f>IF(D543="","",IFERROR(INDEX(Config!$B$12:$B$15,MATCH(IF(AND(D543="Cartão de crédito",N(E543)&gt;1),"Cartão de crédito parcelado",D543),Config!$A$12:$A$15,0)),0)+IF(AND(Config!$B$17="Sim",LEFT(D543,17)="Cartão de crédito"),Config!$B$18*IFERROR(INDEX(Config!$C$12:$C$15,MATCH(IF(AND(D543="Cartão de crédito",N(E543)&gt;1),"Cartão de crédito parcelado",D543),Config!$A$12:$A$15,0)),0)/30*MAX(1,N(E543)),0))</f>
        <v/>
      </c>
      <c r="I543" s="29">
        <f>IF(OR(D543="",F543=""),"",ROUND(F543*H543,2))</f>
        <v/>
      </c>
      <c r="J543" s="29">
        <f>IF(I543="","",F543-I543)</f>
        <v/>
      </c>
      <c r="K543" s="29">
        <f>IF(J543="","",J543/MAX(1,N(E543)))</f>
        <v/>
      </c>
      <c r="L543" s="37">
        <f>IF(OR(D543="",A543=""),"",A543+IF(AND(Config!$B$17="Sim",LEFT(D543,17)="Cartão de crédito"),1,IFERROR(INDEX(Config!$C$12:$C$15,MATCH(IF(AND(D543="Cartão de crédito",N(E543)&gt;1),"Cartão de crédito parcelado",D543),Config!$A$12:$A$15,0)),0)))</f>
        <v/>
      </c>
      <c r="M543" s="37">
        <f>IF(L543="","",IF(AND(Config!$B$17="Sim",LEFT(D543,17)="Cartão de crédito"),L543,L543+30*(MAX(1,N(E543))-1)))</f>
        <v/>
      </c>
      <c r="N543" s="29">
        <f>IF(OR(L543="",K543=""),"",K543*MIN(MAX(1,N(E543)),MAX(0,INT((Config!$B$8-L543)/30)+1)))</f>
        <v/>
      </c>
      <c r="O543" s="29">
        <f>IF(J543="","",J543-N(N543))</f>
        <v/>
      </c>
      <c r="P543" s="27">
        <f>IF(A543="","",MONTH(A543))</f>
        <v/>
      </c>
      <c r="Q543" s="27">
        <f>IF(A543="","",YEAR(A543))</f>
        <v/>
      </c>
      <c r="R543" s="27">
        <f>IF(L543="","",IF(L543&gt;Config!$B$8,"A cair",IF(N(G543)&gt;=MIN(MAX(1,N(E543)),MAX(0,INT((Config!$B$8-L543)/30)+1)),IF(N(G543)&gt;=MAX(1,N(E543)),"Conferido","Conferido até aqui"),"A conferir")))</f>
        <v/>
      </c>
      <c r="S543" s="51">
        <f>IF(R543="A conferir",(Config!$B$8-L543)*1000+N(F543)/1000+ROW()/100000,0)</f>
        <v>0</v>
      </c>
      <c r="T543" s="51">
        <f>IF(R543="A conferir",N(N543),0)</f>
        <v>0</v>
      </c>
      <c r="U543" s="51">
        <f>IF(L543="",0,L543)</f>
        <v>0</v>
      </c>
      <c r="V543" s="51">
        <f>IF(L543="",0,MAX(1,N(E543)))</f>
        <v>0</v>
      </c>
      <c r="W543" s="51">
        <f>IF(K543="",0,K543)</f>
        <v>0</v>
      </c>
    </row>
    <row r="544">
      <c r="A544" s="49" t="n"/>
      <c r="B544" s="41" t="n"/>
      <c r="C544" s="41" t="n"/>
      <c r="D544" s="42" t="n"/>
      <c r="E544" s="42" t="n"/>
      <c r="F544" s="50" t="n"/>
      <c r="G544" s="42" t="n"/>
      <c r="H544" s="30">
        <f>IF(D544="","",IFERROR(INDEX(Config!$B$12:$B$15,MATCH(IF(AND(D544="Cartão de crédito",N(E544)&gt;1),"Cartão de crédito parcelado",D544),Config!$A$12:$A$15,0)),0)+IF(AND(Config!$B$17="Sim",LEFT(D544,17)="Cartão de crédito"),Config!$B$18*IFERROR(INDEX(Config!$C$12:$C$15,MATCH(IF(AND(D544="Cartão de crédito",N(E544)&gt;1),"Cartão de crédito parcelado",D544),Config!$A$12:$A$15,0)),0)/30*MAX(1,N(E544)),0))</f>
        <v/>
      </c>
      <c r="I544" s="29">
        <f>IF(OR(D544="",F544=""),"",ROUND(F544*H544,2))</f>
        <v/>
      </c>
      <c r="J544" s="29">
        <f>IF(I544="","",F544-I544)</f>
        <v/>
      </c>
      <c r="K544" s="29">
        <f>IF(J544="","",J544/MAX(1,N(E544)))</f>
        <v/>
      </c>
      <c r="L544" s="37">
        <f>IF(OR(D544="",A544=""),"",A544+IF(AND(Config!$B$17="Sim",LEFT(D544,17)="Cartão de crédito"),1,IFERROR(INDEX(Config!$C$12:$C$15,MATCH(IF(AND(D544="Cartão de crédito",N(E544)&gt;1),"Cartão de crédito parcelado",D544),Config!$A$12:$A$15,0)),0)))</f>
        <v/>
      </c>
      <c r="M544" s="37">
        <f>IF(L544="","",IF(AND(Config!$B$17="Sim",LEFT(D544,17)="Cartão de crédito"),L544,L544+30*(MAX(1,N(E544))-1)))</f>
        <v/>
      </c>
      <c r="N544" s="29">
        <f>IF(OR(L544="",K544=""),"",K544*MIN(MAX(1,N(E544)),MAX(0,INT((Config!$B$8-L544)/30)+1)))</f>
        <v/>
      </c>
      <c r="O544" s="29">
        <f>IF(J544="","",J544-N(N544))</f>
        <v/>
      </c>
      <c r="P544" s="27">
        <f>IF(A544="","",MONTH(A544))</f>
        <v/>
      </c>
      <c r="Q544" s="27">
        <f>IF(A544="","",YEAR(A544))</f>
        <v/>
      </c>
      <c r="R544" s="27">
        <f>IF(L544="","",IF(L544&gt;Config!$B$8,"A cair",IF(N(G544)&gt;=MIN(MAX(1,N(E544)),MAX(0,INT((Config!$B$8-L544)/30)+1)),IF(N(G544)&gt;=MAX(1,N(E544)),"Conferido","Conferido até aqui"),"A conferir")))</f>
        <v/>
      </c>
      <c r="S544" s="51">
        <f>IF(R544="A conferir",(Config!$B$8-L544)*1000+N(F544)/1000+ROW()/100000,0)</f>
        <v>0</v>
      </c>
      <c r="T544" s="51">
        <f>IF(R544="A conferir",N(N544),0)</f>
        <v>0</v>
      </c>
      <c r="U544" s="51">
        <f>IF(L544="",0,L544)</f>
        <v>0</v>
      </c>
      <c r="V544" s="51">
        <f>IF(L544="",0,MAX(1,N(E544)))</f>
        <v>0</v>
      </c>
      <c r="W544" s="51">
        <f>IF(K544="",0,K544)</f>
        <v>0</v>
      </c>
    </row>
    <row r="545">
      <c r="A545" s="49" t="n"/>
      <c r="B545" s="41" t="n"/>
      <c r="C545" s="41" t="n"/>
      <c r="D545" s="42" t="n"/>
      <c r="E545" s="42" t="n"/>
      <c r="F545" s="50" t="n"/>
      <c r="G545" s="42" t="n"/>
      <c r="H545" s="30">
        <f>IF(D545="","",IFERROR(INDEX(Config!$B$12:$B$15,MATCH(IF(AND(D545="Cartão de crédito",N(E545)&gt;1),"Cartão de crédito parcelado",D545),Config!$A$12:$A$15,0)),0)+IF(AND(Config!$B$17="Sim",LEFT(D545,17)="Cartão de crédito"),Config!$B$18*IFERROR(INDEX(Config!$C$12:$C$15,MATCH(IF(AND(D545="Cartão de crédito",N(E545)&gt;1),"Cartão de crédito parcelado",D545),Config!$A$12:$A$15,0)),0)/30*MAX(1,N(E545)),0))</f>
        <v/>
      </c>
      <c r="I545" s="29">
        <f>IF(OR(D545="",F545=""),"",ROUND(F545*H545,2))</f>
        <v/>
      </c>
      <c r="J545" s="29">
        <f>IF(I545="","",F545-I545)</f>
        <v/>
      </c>
      <c r="K545" s="29">
        <f>IF(J545="","",J545/MAX(1,N(E545)))</f>
        <v/>
      </c>
      <c r="L545" s="37">
        <f>IF(OR(D545="",A545=""),"",A545+IF(AND(Config!$B$17="Sim",LEFT(D545,17)="Cartão de crédito"),1,IFERROR(INDEX(Config!$C$12:$C$15,MATCH(IF(AND(D545="Cartão de crédito",N(E545)&gt;1),"Cartão de crédito parcelado",D545),Config!$A$12:$A$15,0)),0)))</f>
        <v/>
      </c>
      <c r="M545" s="37">
        <f>IF(L545="","",IF(AND(Config!$B$17="Sim",LEFT(D545,17)="Cartão de crédito"),L545,L545+30*(MAX(1,N(E545))-1)))</f>
        <v/>
      </c>
      <c r="N545" s="29">
        <f>IF(OR(L545="",K545=""),"",K545*MIN(MAX(1,N(E545)),MAX(0,INT((Config!$B$8-L545)/30)+1)))</f>
        <v/>
      </c>
      <c r="O545" s="29">
        <f>IF(J545="","",J545-N(N545))</f>
        <v/>
      </c>
      <c r="P545" s="27">
        <f>IF(A545="","",MONTH(A545))</f>
        <v/>
      </c>
      <c r="Q545" s="27">
        <f>IF(A545="","",YEAR(A545))</f>
        <v/>
      </c>
      <c r="R545" s="27">
        <f>IF(L545="","",IF(L545&gt;Config!$B$8,"A cair",IF(N(G545)&gt;=MIN(MAX(1,N(E545)),MAX(0,INT((Config!$B$8-L545)/30)+1)),IF(N(G545)&gt;=MAX(1,N(E545)),"Conferido","Conferido até aqui"),"A conferir")))</f>
        <v/>
      </c>
      <c r="S545" s="51">
        <f>IF(R545="A conferir",(Config!$B$8-L545)*1000+N(F545)/1000+ROW()/100000,0)</f>
        <v>0</v>
      </c>
      <c r="T545" s="51">
        <f>IF(R545="A conferir",N(N545),0)</f>
        <v>0</v>
      </c>
      <c r="U545" s="51">
        <f>IF(L545="",0,L545)</f>
        <v>0</v>
      </c>
      <c r="V545" s="51">
        <f>IF(L545="",0,MAX(1,N(E545)))</f>
        <v>0</v>
      </c>
      <c r="W545" s="51">
        <f>IF(K545="",0,K545)</f>
        <v>0</v>
      </c>
    </row>
    <row r="546">
      <c r="A546" s="49" t="n"/>
      <c r="B546" s="41" t="n"/>
      <c r="C546" s="41" t="n"/>
      <c r="D546" s="42" t="n"/>
      <c r="E546" s="42" t="n"/>
      <c r="F546" s="50" t="n"/>
      <c r="G546" s="42" t="n"/>
      <c r="H546" s="30">
        <f>IF(D546="","",IFERROR(INDEX(Config!$B$12:$B$15,MATCH(IF(AND(D546="Cartão de crédito",N(E546)&gt;1),"Cartão de crédito parcelado",D546),Config!$A$12:$A$15,0)),0)+IF(AND(Config!$B$17="Sim",LEFT(D546,17)="Cartão de crédito"),Config!$B$18*IFERROR(INDEX(Config!$C$12:$C$15,MATCH(IF(AND(D546="Cartão de crédito",N(E546)&gt;1),"Cartão de crédito parcelado",D546),Config!$A$12:$A$15,0)),0)/30*MAX(1,N(E546)),0))</f>
        <v/>
      </c>
      <c r="I546" s="29">
        <f>IF(OR(D546="",F546=""),"",ROUND(F546*H546,2))</f>
        <v/>
      </c>
      <c r="J546" s="29">
        <f>IF(I546="","",F546-I546)</f>
        <v/>
      </c>
      <c r="K546" s="29">
        <f>IF(J546="","",J546/MAX(1,N(E546)))</f>
        <v/>
      </c>
      <c r="L546" s="37">
        <f>IF(OR(D546="",A546=""),"",A546+IF(AND(Config!$B$17="Sim",LEFT(D546,17)="Cartão de crédito"),1,IFERROR(INDEX(Config!$C$12:$C$15,MATCH(IF(AND(D546="Cartão de crédito",N(E546)&gt;1),"Cartão de crédito parcelado",D546),Config!$A$12:$A$15,0)),0)))</f>
        <v/>
      </c>
      <c r="M546" s="37">
        <f>IF(L546="","",IF(AND(Config!$B$17="Sim",LEFT(D546,17)="Cartão de crédito"),L546,L546+30*(MAX(1,N(E546))-1)))</f>
        <v/>
      </c>
      <c r="N546" s="29">
        <f>IF(OR(L546="",K546=""),"",K546*MIN(MAX(1,N(E546)),MAX(0,INT((Config!$B$8-L546)/30)+1)))</f>
        <v/>
      </c>
      <c r="O546" s="29">
        <f>IF(J546="","",J546-N(N546))</f>
        <v/>
      </c>
      <c r="P546" s="27">
        <f>IF(A546="","",MONTH(A546))</f>
        <v/>
      </c>
      <c r="Q546" s="27">
        <f>IF(A546="","",YEAR(A546))</f>
        <v/>
      </c>
      <c r="R546" s="27">
        <f>IF(L546="","",IF(L546&gt;Config!$B$8,"A cair",IF(N(G546)&gt;=MIN(MAX(1,N(E546)),MAX(0,INT((Config!$B$8-L546)/30)+1)),IF(N(G546)&gt;=MAX(1,N(E546)),"Conferido","Conferido até aqui"),"A conferir")))</f>
        <v/>
      </c>
      <c r="S546" s="51">
        <f>IF(R546="A conferir",(Config!$B$8-L546)*1000+N(F546)/1000+ROW()/100000,0)</f>
        <v>0</v>
      </c>
      <c r="T546" s="51">
        <f>IF(R546="A conferir",N(N546),0)</f>
        <v>0</v>
      </c>
      <c r="U546" s="51">
        <f>IF(L546="",0,L546)</f>
        <v>0</v>
      </c>
      <c r="V546" s="51">
        <f>IF(L546="",0,MAX(1,N(E546)))</f>
        <v>0</v>
      </c>
      <c r="W546" s="51">
        <f>IF(K546="",0,K546)</f>
        <v>0</v>
      </c>
    </row>
    <row r="547">
      <c r="A547" s="49" t="n"/>
      <c r="B547" s="41" t="n"/>
      <c r="C547" s="41" t="n"/>
      <c r="D547" s="42" t="n"/>
      <c r="E547" s="42" t="n"/>
      <c r="F547" s="50" t="n"/>
      <c r="G547" s="42" t="n"/>
      <c r="H547" s="30">
        <f>IF(D547="","",IFERROR(INDEX(Config!$B$12:$B$15,MATCH(IF(AND(D547="Cartão de crédito",N(E547)&gt;1),"Cartão de crédito parcelado",D547),Config!$A$12:$A$15,0)),0)+IF(AND(Config!$B$17="Sim",LEFT(D547,17)="Cartão de crédito"),Config!$B$18*IFERROR(INDEX(Config!$C$12:$C$15,MATCH(IF(AND(D547="Cartão de crédito",N(E547)&gt;1),"Cartão de crédito parcelado",D547),Config!$A$12:$A$15,0)),0)/30*MAX(1,N(E547)),0))</f>
        <v/>
      </c>
      <c r="I547" s="29">
        <f>IF(OR(D547="",F547=""),"",ROUND(F547*H547,2))</f>
        <v/>
      </c>
      <c r="J547" s="29">
        <f>IF(I547="","",F547-I547)</f>
        <v/>
      </c>
      <c r="K547" s="29">
        <f>IF(J547="","",J547/MAX(1,N(E547)))</f>
        <v/>
      </c>
      <c r="L547" s="37">
        <f>IF(OR(D547="",A547=""),"",A547+IF(AND(Config!$B$17="Sim",LEFT(D547,17)="Cartão de crédito"),1,IFERROR(INDEX(Config!$C$12:$C$15,MATCH(IF(AND(D547="Cartão de crédito",N(E547)&gt;1),"Cartão de crédito parcelado",D547),Config!$A$12:$A$15,0)),0)))</f>
        <v/>
      </c>
      <c r="M547" s="37">
        <f>IF(L547="","",IF(AND(Config!$B$17="Sim",LEFT(D547,17)="Cartão de crédito"),L547,L547+30*(MAX(1,N(E547))-1)))</f>
        <v/>
      </c>
      <c r="N547" s="29">
        <f>IF(OR(L547="",K547=""),"",K547*MIN(MAX(1,N(E547)),MAX(0,INT((Config!$B$8-L547)/30)+1)))</f>
        <v/>
      </c>
      <c r="O547" s="29">
        <f>IF(J547="","",J547-N(N547))</f>
        <v/>
      </c>
      <c r="P547" s="27">
        <f>IF(A547="","",MONTH(A547))</f>
        <v/>
      </c>
      <c r="Q547" s="27">
        <f>IF(A547="","",YEAR(A547))</f>
        <v/>
      </c>
      <c r="R547" s="27">
        <f>IF(L547="","",IF(L547&gt;Config!$B$8,"A cair",IF(N(G547)&gt;=MIN(MAX(1,N(E547)),MAX(0,INT((Config!$B$8-L547)/30)+1)),IF(N(G547)&gt;=MAX(1,N(E547)),"Conferido","Conferido até aqui"),"A conferir")))</f>
        <v/>
      </c>
      <c r="S547" s="51">
        <f>IF(R547="A conferir",(Config!$B$8-L547)*1000+N(F547)/1000+ROW()/100000,0)</f>
        <v>0</v>
      </c>
      <c r="T547" s="51">
        <f>IF(R547="A conferir",N(N547),0)</f>
        <v>0</v>
      </c>
      <c r="U547" s="51">
        <f>IF(L547="",0,L547)</f>
        <v>0</v>
      </c>
      <c r="V547" s="51">
        <f>IF(L547="",0,MAX(1,N(E547)))</f>
        <v>0</v>
      </c>
      <c r="W547" s="51">
        <f>IF(K547="",0,K547)</f>
        <v>0</v>
      </c>
    </row>
    <row r="548">
      <c r="A548" s="49" t="n"/>
      <c r="B548" s="41" t="n"/>
      <c r="C548" s="41" t="n"/>
      <c r="D548" s="42" t="n"/>
      <c r="E548" s="42" t="n"/>
      <c r="F548" s="50" t="n"/>
      <c r="G548" s="42" t="n"/>
      <c r="H548" s="30">
        <f>IF(D548="","",IFERROR(INDEX(Config!$B$12:$B$15,MATCH(IF(AND(D548="Cartão de crédito",N(E548)&gt;1),"Cartão de crédito parcelado",D548),Config!$A$12:$A$15,0)),0)+IF(AND(Config!$B$17="Sim",LEFT(D548,17)="Cartão de crédito"),Config!$B$18*IFERROR(INDEX(Config!$C$12:$C$15,MATCH(IF(AND(D548="Cartão de crédito",N(E548)&gt;1),"Cartão de crédito parcelado",D548),Config!$A$12:$A$15,0)),0)/30*MAX(1,N(E548)),0))</f>
        <v/>
      </c>
      <c r="I548" s="29">
        <f>IF(OR(D548="",F548=""),"",ROUND(F548*H548,2))</f>
        <v/>
      </c>
      <c r="J548" s="29">
        <f>IF(I548="","",F548-I548)</f>
        <v/>
      </c>
      <c r="K548" s="29">
        <f>IF(J548="","",J548/MAX(1,N(E548)))</f>
        <v/>
      </c>
      <c r="L548" s="37">
        <f>IF(OR(D548="",A548=""),"",A548+IF(AND(Config!$B$17="Sim",LEFT(D548,17)="Cartão de crédito"),1,IFERROR(INDEX(Config!$C$12:$C$15,MATCH(IF(AND(D548="Cartão de crédito",N(E548)&gt;1),"Cartão de crédito parcelado",D548),Config!$A$12:$A$15,0)),0)))</f>
        <v/>
      </c>
      <c r="M548" s="37">
        <f>IF(L548="","",IF(AND(Config!$B$17="Sim",LEFT(D548,17)="Cartão de crédito"),L548,L548+30*(MAX(1,N(E548))-1)))</f>
        <v/>
      </c>
      <c r="N548" s="29">
        <f>IF(OR(L548="",K548=""),"",K548*MIN(MAX(1,N(E548)),MAX(0,INT((Config!$B$8-L548)/30)+1)))</f>
        <v/>
      </c>
      <c r="O548" s="29">
        <f>IF(J548="","",J548-N(N548))</f>
        <v/>
      </c>
      <c r="P548" s="27">
        <f>IF(A548="","",MONTH(A548))</f>
        <v/>
      </c>
      <c r="Q548" s="27">
        <f>IF(A548="","",YEAR(A548))</f>
        <v/>
      </c>
      <c r="R548" s="27">
        <f>IF(L548="","",IF(L548&gt;Config!$B$8,"A cair",IF(N(G548)&gt;=MIN(MAX(1,N(E548)),MAX(0,INT((Config!$B$8-L548)/30)+1)),IF(N(G548)&gt;=MAX(1,N(E548)),"Conferido","Conferido até aqui"),"A conferir")))</f>
        <v/>
      </c>
      <c r="S548" s="51">
        <f>IF(R548="A conferir",(Config!$B$8-L548)*1000+N(F548)/1000+ROW()/100000,0)</f>
        <v>0</v>
      </c>
      <c r="T548" s="51">
        <f>IF(R548="A conferir",N(N548),0)</f>
        <v>0</v>
      </c>
      <c r="U548" s="51">
        <f>IF(L548="",0,L548)</f>
        <v>0</v>
      </c>
      <c r="V548" s="51">
        <f>IF(L548="",0,MAX(1,N(E548)))</f>
        <v>0</v>
      </c>
      <c r="W548" s="51">
        <f>IF(K548="",0,K548)</f>
        <v>0</v>
      </c>
    </row>
    <row r="549">
      <c r="A549" s="49" t="n"/>
      <c r="B549" s="41" t="n"/>
      <c r="C549" s="41" t="n"/>
      <c r="D549" s="42" t="n"/>
      <c r="E549" s="42" t="n"/>
      <c r="F549" s="50" t="n"/>
      <c r="G549" s="42" t="n"/>
      <c r="H549" s="30">
        <f>IF(D549="","",IFERROR(INDEX(Config!$B$12:$B$15,MATCH(IF(AND(D549="Cartão de crédito",N(E549)&gt;1),"Cartão de crédito parcelado",D549),Config!$A$12:$A$15,0)),0)+IF(AND(Config!$B$17="Sim",LEFT(D549,17)="Cartão de crédito"),Config!$B$18*IFERROR(INDEX(Config!$C$12:$C$15,MATCH(IF(AND(D549="Cartão de crédito",N(E549)&gt;1),"Cartão de crédito parcelado",D549),Config!$A$12:$A$15,0)),0)/30*MAX(1,N(E549)),0))</f>
        <v/>
      </c>
      <c r="I549" s="29">
        <f>IF(OR(D549="",F549=""),"",ROUND(F549*H549,2))</f>
        <v/>
      </c>
      <c r="J549" s="29">
        <f>IF(I549="","",F549-I549)</f>
        <v/>
      </c>
      <c r="K549" s="29">
        <f>IF(J549="","",J549/MAX(1,N(E549)))</f>
        <v/>
      </c>
      <c r="L549" s="37">
        <f>IF(OR(D549="",A549=""),"",A549+IF(AND(Config!$B$17="Sim",LEFT(D549,17)="Cartão de crédito"),1,IFERROR(INDEX(Config!$C$12:$C$15,MATCH(IF(AND(D549="Cartão de crédito",N(E549)&gt;1),"Cartão de crédito parcelado",D549),Config!$A$12:$A$15,0)),0)))</f>
        <v/>
      </c>
      <c r="M549" s="37">
        <f>IF(L549="","",IF(AND(Config!$B$17="Sim",LEFT(D549,17)="Cartão de crédito"),L549,L549+30*(MAX(1,N(E549))-1)))</f>
        <v/>
      </c>
      <c r="N549" s="29">
        <f>IF(OR(L549="",K549=""),"",K549*MIN(MAX(1,N(E549)),MAX(0,INT((Config!$B$8-L549)/30)+1)))</f>
        <v/>
      </c>
      <c r="O549" s="29">
        <f>IF(J549="","",J549-N(N549))</f>
        <v/>
      </c>
      <c r="P549" s="27">
        <f>IF(A549="","",MONTH(A549))</f>
        <v/>
      </c>
      <c r="Q549" s="27">
        <f>IF(A549="","",YEAR(A549))</f>
        <v/>
      </c>
      <c r="R549" s="27">
        <f>IF(L549="","",IF(L549&gt;Config!$B$8,"A cair",IF(N(G549)&gt;=MIN(MAX(1,N(E549)),MAX(0,INT((Config!$B$8-L549)/30)+1)),IF(N(G549)&gt;=MAX(1,N(E549)),"Conferido","Conferido até aqui"),"A conferir")))</f>
        <v/>
      </c>
      <c r="S549" s="51">
        <f>IF(R549="A conferir",(Config!$B$8-L549)*1000+N(F549)/1000+ROW()/100000,0)</f>
        <v>0</v>
      </c>
      <c r="T549" s="51">
        <f>IF(R549="A conferir",N(N549),0)</f>
        <v>0</v>
      </c>
      <c r="U549" s="51">
        <f>IF(L549="",0,L549)</f>
        <v>0</v>
      </c>
      <c r="V549" s="51">
        <f>IF(L549="",0,MAX(1,N(E549)))</f>
        <v>0</v>
      </c>
      <c r="W549" s="51">
        <f>IF(K549="",0,K549)</f>
        <v>0</v>
      </c>
    </row>
    <row r="550">
      <c r="A550" s="49" t="n"/>
      <c r="B550" s="41" t="n"/>
      <c r="C550" s="41" t="n"/>
      <c r="D550" s="42" t="n"/>
      <c r="E550" s="42" t="n"/>
      <c r="F550" s="50" t="n"/>
      <c r="G550" s="42" t="n"/>
      <c r="H550" s="30">
        <f>IF(D550="","",IFERROR(INDEX(Config!$B$12:$B$15,MATCH(IF(AND(D550="Cartão de crédito",N(E550)&gt;1),"Cartão de crédito parcelado",D550),Config!$A$12:$A$15,0)),0)+IF(AND(Config!$B$17="Sim",LEFT(D550,17)="Cartão de crédito"),Config!$B$18*IFERROR(INDEX(Config!$C$12:$C$15,MATCH(IF(AND(D550="Cartão de crédito",N(E550)&gt;1),"Cartão de crédito parcelado",D550),Config!$A$12:$A$15,0)),0)/30*MAX(1,N(E550)),0))</f>
        <v/>
      </c>
      <c r="I550" s="29">
        <f>IF(OR(D550="",F550=""),"",ROUND(F550*H550,2))</f>
        <v/>
      </c>
      <c r="J550" s="29">
        <f>IF(I550="","",F550-I550)</f>
        <v/>
      </c>
      <c r="K550" s="29">
        <f>IF(J550="","",J550/MAX(1,N(E550)))</f>
        <v/>
      </c>
      <c r="L550" s="37">
        <f>IF(OR(D550="",A550=""),"",A550+IF(AND(Config!$B$17="Sim",LEFT(D550,17)="Cartão de crédito"),1,IFERROR(INDEX(Config!$C$12:$C$15,MATCH(IF(AND(D550="Cartão de crédito",N(E550)&gt;1),"Cartão de crédito parcelado",D550),Config!$A$12:$A$15,0)),0)))</f>
        <v/>
      </c>
      <c r="M550" s="37">
        <f>IF(L550="","",IF(AND(Config!$B$17="Sim",LEFT(D550,17)="Cartão de crédito"),L550,L550+30*(MAX(1,N(E550))-1)))</f>
        <v/>
      </c>
      <c r="N550" s="29">
        <f>IF(OR(L550="",K550=""),"",K550*MIN(MAX(1,N(E550)),MAX(0,INT((Config!$B$8-L550)/30)+1)))</f>
        <v/>
      </c>
      <c r="O550" s="29">
        <f>IF(J550="","",J550-N(N550))</f>
        <v/>
      </c>
      <c r="P550" s="27">
        <f>IF(A550="","",MONTH(A550))</f>
        <v/>
      </c>
      <c r="Q550" s="27">
        <f>IF(A550="","",YEAR(A550))</f>
        <v/>
      </c>
      <c r="R550" s="27">
        <f>IF(L550="","",IF(L550&gt;Config!$B$8,"A cair",IF(N(G550)&gt;=MIN(MAX(1,N(E550)),MAX(0,INT((Config!$B$8-L550)/30)+1)),IF(N(G550)&gt;=MAX(1,N(E550)),"Conferido","Conferido até aqui"),"A conferir")))</f>
        <v/>
      </c>
      <c r="S550" s="51">
        <f>IF(R550="A conferir",(Config!$B$8-L550)*1000+N(F550)/1000+ROW()/100000,0)</f>
        <v>0</v>
      </c>
      <c r="T550" s="51">
        <f>IF(R550="A conferir",N(N550),0)</f>
        <v>0</v>
      </c>
      <c r="U550" s="51">
        <f>IF(L550="",0,L550)</f>
        <v>0</v>
      </c>
      <c r="V550" s="51">
        <f>IF(L550="",0,MAX(1,N(E550)))</f>
        <v>0</v>
      </c>
      <c r="W550" s="51">
        <f>IF(K550="",0,K550)</f>
        <v>0</v>
      </c>
    </row>
    <row r="551">
      <c r="A551" s="49" t="n"/>
      <c r="B551" s="41" t="n"/>
      <c r="C551" s="41" t="n"/>
      <c r="D551" s="42" t="n"/>
      <c r="E551" s="42" t="n"/>
      <c r="F551" s="50" t="n"/>
      <c r="G551" s="42" t="n"/>
      <c r="H551" s="30">
        <f>IF(D551="","",IFERROR(INDEX(Config!$B$12:$B$15,MATCH(IF(AND(D551="Cartão de crédito",N(E551)&gt;1),"Cartão de crédito parcelado",D551),Config!$A$12:$A$15,0)),0)+IF(AND(Config!$B$17="Sim",LEFT(D551,17)="Cartão de crédito"),Config!$B$18*IFERROR(INDEX(Config!$C$12:$C$15,MATCH(IF(AND(D551="Cartão de crédito",N(E551)&gt;1),"Cartão de crédito parcelado",D551),Config!$A$12:$A$15,0)),0)/30*MAX(1,N(E551)),0))</f>
        <v/>
      </c>
      <c r="I551" s="29">
        <f>IF(OR(D551="",F551=""),"",ROUND(F551*H551,2))</f>
        <v/>
      </c>
      <c r="J551" s="29">
        <f>IF(I551="","",F551-I551)</f>
        <v/>
      </c>
      <c r="K551" s="29">
        <f>IF(J551="","",J551/MAX(1,N(E551)))</f>
        <v/>
      </c>
      <c r="L551" s="37">
        <f>IF(OR(D551="",A551=""),"",A551+IF(AND(Config!$B$17="Sim",LEFT(D551,17)="Cartão de crédito"),1,IFERROR(INDEX(Config!$C$12:$C$15,MATCH(IF(AND(D551="Cartão de crédito",N(E551)&gt;1),"Cartão de crédito parcelado",D551),Config!$A$12:$A$15,0)),0)))</f>
        <v/>
      </c>
      <c r="M551" s="37">
        <f>IF(L551="","",IF(AND(Config!$B$17="Sim",LEFT(D551,17)="Cartão de crédito"),L551,L551+30*(MAX(1,N(E551))-1)))</f>
        <v/>
      </c>
      <c r="N551" s="29">
        <f>IF(OR(L551="",K551=""),"",K551*MIN(MAX(1,N(E551)),MAX(0,INT((Config!$B$8-L551)/30)+1)))</f>
        <v/>
      </c>
      <c r="O551" s="29">
        <f>IF(J551="","",J551-N(N551))</f>
        <v/>
      </c>
      <c r="P551" s="27">
        <f>IF(A551="","",MONTH(A551))</f>
        <v/>
      </c>
      <c r="Q551" s="27">
        <f>IF(A551="","",YEAR(A551))</f>
        <v/>
      </c>
      <c r="R551" s="27">
        <f>IF(L551="","",IF(L551&gt;Config!$B$8,"A cair",IF(N(G551)&gt;=MIN(MAX(1,N(E551)),MAX(0,INT((Config!$B$8-L551)/30)+1)),IF(N(G551)&gt;=MAX(1,N(E551)),"Conferido","Conferido até aqui"),"A conferir")))</f>
        <v/>
      </c>
      <c r="S551" s="51">
        <f>IF(R551="A conferir",(Config!$B$8-L551)*1000+N(F551)/1000+ROW()/100000,0)</f>
        <v>0</v>
      </c>
      <c r="T551" s="51">
        <f>IF(R551="A conferir",N(N551),0)</f>
        <v>0</v>
      </c>
      <c r="U551" s="51">
        <f>IF(L551="",0,L551)</f>
        <v>0</v>
      </c>
      <c r="V551" s="51">
        <f>IF(L551="",0,MAX(1,N(E551)))</f>
        <v>0</v>
      </c>
      <c r="W551" s="51">
        <f>IF(K551="",0,K551)</f>
        <v>0</v>
      </c>
    </row>
    <row r="552">
      <c r="A552" s="49" t="n"/>
      <c r="B552" s="41" t="n"/>
      <c r="C552" s="41" t="n"/>
      <c r="D552" s="42" t="n"/>
      <c r="E552" s="42" t="n"/>
      <c r="F552" s="50" t="n"/>
      <c r="G552" s="42" t="n"/>
      <c r="H552" s="30">
        <f>IF(D552="","",IFERROR(INDEX(Config!$B$12:$B$15,MATCH(IF(AND(D552="Cartão de crédito",N(E552)&gt;1),"Cartão de crédito parcelado",D552),Config!$A$12:$A$15,0)),0)+IF(AND(Config!$B$17="Sim",LEFT(D552,17)="Cartão de crédito"),Config!$B$18*IFERROR(INDEX(Config!$C$12:$C$15,MATCH(IF(AND(D552="Cartão de crédito",N(E552)&gt;1),"Cartão de crédito parcelado",D552),Config!$A$12:$A$15,0)),0)/30*MAX(1,N(E552)),0))</f>
        <v/>
      </c>
      <c r="I552" s="29">
        <f>IF(OR(D552="",F552=""),"",ROUND(F552*H552,2))</f>
        <v/>
      </c>
      <c r="J552" s="29">
        <f>IF(I552="","",F552-I552)</f>
        <v/>
      </c>
      <c r="K552" s="29">
        <f>IF(J552="","",J552/MAX(1,N(E552)))</f>
        <v/>
      </c>
      <c r="L552" s="37">
        <f>IF(OR(D552="",A552=""),"",A552+IF(AND(Config!$B$17="Sim",LEFT(D552,17)="Cartão de crédito"),1,IFERROR(INDEX(Config!$C$12:$C$15,MATCH(IF(AND(D552="Cartão de crédito",N(E552)&gt;1),"Cartão de crédito parcelado",D552),Config!$A$12:$A$15,0)),0)))</f>
        <v/>
      </c>
      <c r="M552" s="37">
        <f>IF(L552="","",IF(AND(Config!$B$17="Sim",LEFT(D552,17)="Cartão de crédito"),L552,L552+30*(MAX(1,N(E552))-1)))</f>
        <v/>
      </c>
      <c r="N552" s="29">
        <f>IF(OR(L552="",K552=""),"",K552*MIN(MAX(1,N(E552)),MAX(0,INT((Config!$B$8-L552)/30)+1)))</f>
        <v/>
      </c>
      <c r="O552" s="29">
        <f>IF(J552="","",J552-N(N552))</f>
        <v/>
      </c>
      <c r="P552" s="27">
        <f>IF(A552="","",MONTH(A552))</f>
        <v/>
      </c>
      <c r="Q552" s="27">
        <f>IF(A552="","",YEAR(A552))</f>
        <v/>
      </c>
      <c r="R552" s="27">
        <f>IF(L552="","",IF(L552&gt;Config!$B$8,"A cair",IF(N(G552)&gt;=MIN(MAX(1,N(E552)),MAX(0,INT((Config!$B$8-L552)/30)+1)),IF(N(G552)&gt;=MAX(1,N(E552)),"Conferido","Conferido até aqui"),"A conferir")))</f>
        <v/>
      </c>
      <c r="S552" s="51">
        <f>IF(R552="A conferir",(Config!$B$8-L552)*1000+N(F552)/1000+ROW()/100000,0)</f>
        <v>0</v>
      </c>
      <c r="T552" s="51">
        <f>IF(R552="A conferir",N(N552),0)</f>
        <v>0</v>
      </c>
      <c r="U552" s="51">
        <f>IF(L552="",0,L552)</f>
        <v>0</v>
      </c>
      <c r="V552" s="51">
        <f>IF(L552="",0,MAX(1,N(E552)))</f>
        <v>0</v>
      </c>
      <c r="W552" s="51">
        <f>IF(K552="",0,K552)</f>
        <v>0</v>
      </c>
    </row>
    <row r="553">
      <c r="A553" s="49" t="n"/>
      <c r="B553" s="41" t="n"/>
      <c r="C553" s="41" t="n"/>
      <c r="D553" s="42" t="n"/>
      <c r="E553" s="42" t="n"/>
      <c r="F553" s="50" t="n"/>
      <c r="G553" s="42" t="n"/>
      <c r="H553" s="30">
        <f>IF(D553="","",IFERROR(INDEX(Config!$B$12:$B$15,MATCH(IF(AND(D553="Cartão de crédito",N(E553)&gt;1),"Cartão de crédito parcelado",D553),Config!$A$12:$A$15,0)),0)+IF(AND(Config!$B$17="Sim",LEFT(D553,17)="Cartão de crédito"),Config!$B$18*IFERROR(INDEX(Config!$C$12:$C$15,MATCH(IF(AND(D553="Cartão de crédito",N(E553)&gt;1),"Cartão de crédito parcelado",D553),Config!$A$12:$A$15,0)),0)/30*MAX(1,N(E553)),0))</f>
        <v/>
      </c>
      <c r="I553" s="29">
        <f>IF(OR(D553="",F553=""),"",ROUND(F553*H553,2))</f>
        <v/>
      </c>
      <c r="J553" s="29">
        <f>IF(I553="","",F553-I553)</f>
        <v/>
      </c>
      <c r="K553" s="29">
        <f>IF(J553="","",J553/MAX(1,N(E553)))</f>
        <v/>
      </c>
      <c r="L553" s="37">
        <f>IF(OR(D553="",A553=""),"",A553+IF(AND(Config!$B$17="Sim",LEFT(D553,17)="Cartão de crédito"),1,IFERROR(INDEX(Config!$C$12:$C$15,MATCH(IF(AND(D553="Cartão de crédito",N(E553)&gt;1),"Cartão de crédito parcelado",D553),Config!$A$12:$A$15,0)),0)))</f>
        <v/>
      </c>
      <c r="M553" s="37">
        <f>IF(L553="","",IF(AND(Config!$B$17="Sim",LEFT(D553,17)="Cartão de crédito"),L553,L553+30*(MAX(1,N(E553))-1)))</f>
        <v/>
      </c>
      <c r="N553" s="29">
        <f>IF(OR(L553="",K553=""),"",K553*MIN(MAX(1,N(E553)),MAX(0,INT((Config!$B$8-L553)/30)+1)))</f>
        <v/>
      </c>
      <c r="O553" s="29">
        <f>IF(J553="","",J553-N(N553))</f>
        <v/>
      </c>
      <c r="P553" s="27">
        <f>IF(A553="","",MONTH(A553))</f>
        <v/>
      </c>
      <c r="Q553" s="27">
        <f>IF(A553="","",YEAR(A553))</f>
        <v/>
      </c>
      <c r="R553" s="27">
        <f>IF(L553="","",IF(L553&gt;Config!$B$8,"A cair",IF(N(G553)&gt;=MIN(MAX(1,N(E553)),MAX(0,INT((Config!$B$8-L553)/30)+1)),IF(N(G553)&gt;=MAX(1,N(E553)),"Conferido","Conferido até aqui"),"A conferir")))</f>
        <v/>
      </c>
      <c r="S553" s="51">
        <f>IF(R553="A conferir",(Config!$B$8-L553)*1000+N(F553)/1000+ROW()/100000,0)</f>
        <v>0</v>
      </c>
      <c r="T553" s="51">
        <f>IF(R553="A conferir",N(N553),0)</f>
        <v>0</v>
      </c>
      <c r="U553" s="51">
        <f>IF(L553="",0,L553)</f>
        <v>0</v>
      </c>
      <c r="V553" s="51">
        <f>IF(L553="",0,MAX(1,N(E553)))</f>
        <v>0</v>
      </c>
      <c r="W553" s="51">
        <f>IF(K553="",0,K553)</f>
        <v>0</v>
      </c>
    </row>
    <row r="554">
      <c r="A554" s="49" t="n"/>
      <c r="B554" s="41" t="n"/>
      <c r="C554" s="41" t="n"/>
      <c r="D554" s="42" t="n"/>
      <c r="E554" s="42" t="n"/>
      <c r="F554" s="50" t="n"/>
      <c r="G554" s="42" t="n"/>
      <c r="H554" s="30">
        <f>IF(D554="","",IFERROR(INDEX(Config!$B$12:$B$15,MATCH(IF(AND(D554="Cartão de crédito",N(E554)&gt;1),"Cartão de crédito parcelado",D554),Config!$A$12:$A$15,0)),0)+IF(AND(Config!$B$17="Sim",LEFT(D554,17)="Cartão de crédito"),Config!$B$18*IFERROR(INDEX(Config!$C$12:$C$15,MATCH(IF(AND(D554="Cartão de crédito",N(E554)&gt;1),"Cartão de crédito parcelado",D554),Config!$A$12:$A$15,0)),0)/30*MAX(1,N(E554)),0))</f>
        <v/>
      </c>
      <c r="I554" s="29">
        <f>IF(OR(D554="",F554=""),"",ROUND(F554*H554,2))</f>
        <v/>
      </c>
      <c r="J554" s="29">
        <f>IF(I554="","",F554-I554)</f>
        <v/>
      </c>
      <c r="K554" s="29">
        <f>IF(J554="","",J554/MAX(1,N(E554)))</f>
        <v/>
      </c>
      <c r="L554" s="37">
        <f>IF(OR(D554="",A554=""),"",A554+IF(AND(Config!$B$17="Sim",LEFT(D554,17)="Cartão de crédito"),1,IFERROR(INDEX(Config!$C$12:$C$15,MATCH(IF(AND(D554="Cartão de crédito",N(E554)&gt;1),"Cartão de crédito parcelado",D554),Config!$A$12:$A$15,0)),0)))</f>
        <v/>
      </c>
      <c r="M554" s="37">
        <f>IF(L554="","",IF(AND(Config!$B$17="Sim",LEFT(D554,17)="Cartão de crédito"),L554,L554+30*(MAX(1,N(E554))-1)))</f>
        <v/>
      </c>
      <c r="N554" s="29">
        <f>IF(OR(L554="",K554=""),"",K554*MIN(MAX(1,N(E554)),MAX(0,INT((Config!$B$8-L554)/30)+1)))</f>
        <v/>
      </c>
      <c r="O554" s="29">
        <f>IF(J554="","",J554-N(N554))</f>
        <v/>
      </c>
      <c r="P554" s="27">
        <f>IF(A554="","",MONTH(A554))</f>
        <v/>
      </c>
      <c r="Q554" s="27">
        <f>IF(A554="","",YEAR(A554))</f>
        <v/>
      </c>
      <c r="R554" s="27">
        <f>IF(L554="","",IF(L554&gt;Config!$B$8,"A cair",IF(N(G554)&gt;=MIN(MAX(1,N(E554)),MAX(0,INT((Config!$B$8-L554)/30)+1)),IF(N(G554)&gt;=MAX(1,N(E554)),"Conferido","Conferido até aqui"),"A conferir")))</f>
        <v/>
      </c>
      <c r="S554" s="51">
        <f>IF(R554="A conferir",(Config!$B$8-L554)*1000+N(F554)/1000+ROW()/100000,0)</f>
        <v>0</v>
      </c>
      <c r="T554" s="51">
        <f>IF(R554="A conferir",N(N554),0)</f>
        <v>0</v>
      </c>
      <c r="U554" s="51">
        <f>IF(L554="",0,L554)</f>
        <v>0</v>
      </c>
      <c r="V554" s="51">
        <f>IF(L554="",0,MAX(1,N(E554)))</f>
        <v>0</v>
      </c>
      <c r="W554" s="51">
        <f>IF(K554="",0,K554)</f>
        <v>0</v>
      </c>
    </row>
    <row r="555">
      <c r="A555" s="49" t="n"/>
      <c r="B555" s="41" t="n"/>
      <c r="C555" s="41" t="n"/>
      <c r="D555" s="42" t="n"/>
      <c r="E555" s="42" t="n"/>
      <c r="F555" s="50" t="n"/>
      <c r="G555" s="42" t="n"/>
      <c r="H555" s="30">
        <f>IF(D555="","",IFERROR(INDEX(Config!$B$12:$B$15,MATCH(IF(AND(D555="Cartão de crédito",N(E555)&gt;1),"Cartão de crédito parcelado",D555),Config!$A$12:$A$15,0)),0)+IF(AND(Config!$B$17="Sim",LEFT(D555,17)="Cartão de crédito"),Config!$B$18*IFERROR(INDEX(Config!$C$12:$C$15,MATCH(IF(AND(D555="Cartão de crédito",N(E555)&gt;1),"Cartão de crédito parcelado",D555),Config!$A$12:$A$15,0)),0)/30*MAX(1,N(E555)),0))</f>
        <v/>
      </c>
      <c r="I555" s="29">
        <f>IF(OR(D555="",F555=""),"",ROUND(F555*H555,2))</f>
        <v/>
      </c>
      <c r="J555" s="29">
        <f>IF(I555="","",F555-I555)</f>
        <v/>
      </c>
      <c r="K555" s="29">
        <f>IF(J555="","",J555/MAX(1,N(E555)))</f>
        <v/>
      </c>
      <c r="L555" s="37">
        <f>IF(OR(D555="",A555=""),"",A555+IF(AND(Config!$B$17="Sim",LEFT(D555,17)="Cartão de crédito"),1,IFERROR(INDEX(Config!$C$12:$C$15,MATCH(IF(AND(D555="Cartão de crédito",N(E555)&gt;1),"Cartão de crédito parcelado",D555),Config!$A$12:$A$15,0)),0)))</f>
        <v/>
      </c>
      <c r="M555" s="37">
        <f>IF(L555="","",IF(AND(Config!$B$17="Sim",LEFT(D555,17)="Cartão de crédito"),L555,L555+30*(MAX(1,N(E555))-1)))</f>
        <v/>
      </c>
      <c r="N555" s="29">
        <f>IF(OR(L555="",K555=""),"",K555*MIN(MAX(1,N(E555)),MAX(0,INT((Config!$B$8-L555)/30)+1)))</f>
        <v/>
      </c>
      <c r="O555" s="29">
        <f>IF(J555="","",J555-N(N555))</f>
        <v/>
      </c>
      <c r="P555" s="27">
        <f>IF(A555="","",MONTH(A555))</f>
        <v/>
      </c>
      <c r="Q555" s="27">
        <f>IF(A555="","",YEAR(A555))</f>
        <v/>
      </c>
      <c r="R555" s="27">
        <f>IF(L555="","",IF(L555&gt;Config!$B$8,"A cair",IF(N(G555)&gt;=MIN(MAX(1,N(E555)),MAX(0,INT((Config!$B$8-L555)/30)+1)),IF(N(G555)&gt;=MAX(1,N(E555)),"Conferido","Conferido até aqui"),"A conferir")))</f>
        <v/>
      </c>
      <c r="S555" s="51">
        <f>IF(R555="A conferir",(Config!$B$8-L555)*1000+N(F555)/1000+ROW()/100000,0)</f>
        <v>0</v>
      </c>
      <c r="T555" s="51">
        <f>IF(R555="A conferir",N(N555),0)</f>
        <v>0</v>
      </c>
      <c r="U555" s="51">
        <f>IF(L555="",0,L555)</f>
        <v>0</v>
      </c>
      <c r="V555" s="51">
        <f>IF(L555="",0,MAX(1,N(E555)))</f>
        <v>0</v>
      </c>
      <c r="W555" s="51">
        <f>IF(K555="",0,K555)</f>
        <v>0</v>
      </c>
    </row>
    <row r="556">
      <c r="A556" s="49" t="n"/>
      <c r="B556" s="41" t="n"/>
      <c r="C556" s="41" t="n"/>
      <c r="D556" s="42" t="n"/>
      <c r="E556" s="42" t="n"/>
      <c r="F556" s="50" t="n"/>
      <c r="G556" s="42" t="n"/>
      <c r="H556" s="30">
        <f>IF(D556="","",IFERROR(INDEX(Config!$B$12:$B$15,MATCH(IF(AND(D556="Cartão de crédito",N(E556)&gt;1),"Cartão de crédito parcelado",D556),Config!$A$12:$A$15,0)),0)+IF(AND(Config!$B$17="Sim",LEFT(D556,17)="Cartão de crédito"),Config!$B$18*IFERROR(INDEX(Config!$C$12:$C$15,MATCH(IF(AND(D556="Cartão de crédito",N(E556)&gt;1),"Cartão de crédito parcelado",D556),Config!$A$12:$A$15,0)),0)/30*MAX(1,N(E556)),0))</f>
        <v/>
      </c>
      <c r="I556" s="29">
        <f>IF(OR(D556="",F556=""),"",ROUND(F556*H556,2))</f>
        <v/>
      </c>
      <c r="J556" s="29">
        <f>IF(I556="","",F556-I556)</f>
        <v/>
      </c>
      <c r="K556" s="29">
        <f>IF(J556="","",J556/MAX(1,N(E556)))</f>
        <v/>
      </c>
      <c r="L556" s="37">
        <f>IF(OR(D556="",A556=""),"",A556+IF(AND(Config!$B$17="Sim",LEFT(D556,17)="Cartão de crédito"),1,IFERROR(INDEX(Config!$C$12:$C$15,MATCH(IF(AND(D556="Cartão de crédito",N(E556)&gt;1),"Cartão de crédito parcelado",D556),Config!$A$12:$A$15,0)),0)))</f>
        <v/>
      </c>
      <c r="M556" s="37">
        <f>IF(L556="","",IF(AND(Config!$B$17="Sim",LEFT(D556,17)="Cartão de crédito"),L556,L556+30*(MAX(1,N(E556))-1)))</f>
        <v/>
      </c>
      <c r="N556" s="29">
        <f>IF(OR(L556="",K556=""),"",K556*MIN(MAX(1,N(E556)),MAX(0,INT((Config!$B$8-L556)/30)+1)))</f>
        <v/>
      </c>
      <c r="O556" s="29">
        <f>IF(J556="","",J556-N(N556))</f>
        <v/>
      </c>
      <c r="P556" s="27">
        <f>IF(A556="","",MONTH(A556))</f>
        <v/>
      </c>
      <c r="Q556" s="27">
        <f>IF(A556="","",YEAR(A556))</f>
        <v/>
      </c>
      <c r="R556" s="27">
        <f>IF(L556="","",IF(L556&gt;Config!$B$8,"A cair",IF(N(G556)&gt;=MIN(MAX(1,N(E556)),MAX(0,INT((Config!$B$8-L556)/30)+1)),IF(N(G556)&gt;=MAX(1,N(E556)),"Conferido","Conferido até aqui"),"A conferir")))</f>
        <v/>
      </c>
      <c r="S556" s="51">
        <f>IF(R556="A conferir",(Config!$B$8-L556)*1000+N(F556)/1000+ROW()/100000,0)</f>
        <v>0</v>
      </c>
      <c r="T556" s="51">
        <f>IF(R556="A conferir",N(N556),0)</f>
        <v>0</v>
      </c>
      <c r="U556" s="51">
        <f>IF(L556="",0,L556)</f>
        <v>0</v>
      </c>
      <c r="V556" s="51">
        <f>IF(L556="",0,MAX(1,N(E556)))</f>
        <v>0</v>
      </c>
      <c r="W556" s="51">
        <f>IF(K556="",0,K556)</f>
        <v>0</v>
      </c>
    </row>
    <row r="557">
      <c r="A557" s="49" t="n"/>
      <c r="B557" s="41" t="n"/>
      <c r="C557" s="41" t="n"/>
      <c r="D557" s="42" t="n"/>
      <c r="E557" s="42" t="n"/>
      <c r="F557" s="50" t="n"/>
      <c r="G557" s="42" t="n"/>
      <c r="H557" s="30">
        <f>IF(D557="","",IFERROR(INDEX(Config!$B$12:$B$15,MATCH(IF(AND(D557="Cartão de crédito",N(E557)&gt;1),"Cartão de crédito parcelado",D557),Config!$A$12:$A$15,0)),0)+IF(AND(Config!$B$17="Sim",LEFT(D557,17)="Cartão de crédito"),Config!$B$18*IFERROR(INDEX(Config!$C$12:$C$15,MATCH(IF(AND(D557="Cartão de crédito",N(E557)&gt;1),"Cartão de crédito parcelado",D557),Config!$A$12:$A$15,0)),0)/30*MAX(1,N(E557)),0))</f>
        <v/>
      </c>
      <c r="I557" s="29">
        <f>IF(OR(D557="",F557=""),"",ROUND(F557*H557,2))</f>
        <v/>
      </c>
      <c r="J557" s="29">
        <f>IF(I557="","",F557-I557)</f>
        <v/>
      </c>
      <c r="K557" s="29">
        <f>IF(J557="","",J557/MAX(1,N(E557)))</f>
        <v/>
      </c>
      <c r="L557" s="37">
        <f>IF(OR(D557="",A557=""),"",A557+IF(AND(Config!$B$17="Sim",LEFT(D557,17)="Cartão de crédito"),1,IFERROR(INDEX(Config!$C$12:$C$15,MATCH(IF(AND(D557="Cartão de crédito",N(E557)&gt;1),"Cartão de crédito parcelado",D557),Config!$A$12:$A$15,0)),0)))</f>
        <v/>
      </c>
      <c r="M557" s="37">
        <f>IF(L557="","",IF(AND(Config!$B$17="Sim",LEFT(D557,17)="Cartão de crédito"),L557,L557+30*(MAX(1,N(E557))-1)))</f>
        <v/>
      </c>
      <c r="N557" s="29">
        <f>IF(OR(L557="",K557=""),"",K557*MIN(MAX(1,N(E557)),MAX(0,INT((Config!$B$8-L557)/30)+1)))</f>
        <v/>
      </c>
      <c r="O557" s="29">
        <f>IF(J557="","",J557-N(N557))</f>
        <v/>
      </c>
      <c r="P557" s="27">
        <f>IF(A557="","",MONTH(A557))</f>
        <v/>
      </c>
      <c r="Q557" s="27">
        <f>IF(A557="","",YEAR(A557))</f>
        <v/>
      </c>
      <c r="R557" s="27">
        <f>IF(L557="","",IF(L557&gt;Config!$B$8,"A cair",IF(N(G557)&gt;=MIN(MAX(1,N(E557)),MAX(0,INT((Config!$B$8-L557)/30)+1)),IF(N(G557)&gt;=MAX(1,N(E557)),"Conferido","Conferido até aqui"),"A conferir")))</f>
        <v/>
      </c>
      <c r="S557" s="51">
        <f>IF(R557="A conferir",(Config!$B$8-L557)*1000+N(F557)/1000+ROW()/100000,0)</f>
        <v>0</v>
      </c>
      <c r="T557" s="51">
        <f>IF(R557="A conferir",N(N557),0)</f>
        <v>0</v>
      </c>
      <c r="U557" s="51">
        <f>IF(L557="",0,L557)</f>
        <v>0</v>
      </c>
      <c r="V557" s="51">
        <f>IF(L557="",0,MAX(1,N(E557)))</f>
        <v>0</v>
      </c>
      <c r="W557" s="51">
        <f>IF(K557="",0,K557)</f>
        <v>0</v>
      </c>
    </row>
    <row r="558">
      <c r="A558" s="49" t="n"/>
      <c r="B558" s="41" t="n"/>
      <c r="C558" s="41" t="n"/>
      <c r="D558" s="42" t="n"/>
      <c r="E558" s="42" t="n"/>
      <c r="F558" s="50" t="n"/>
      <c r="G558" s="42" t="n"/>
      <c r="H558" s="30">
        <f>IF(D558="","",IFERROR(INDEX(Config!$B$12:$B$15,MATCH(IF(AND(D558="Cartão de crédito",N(E558)&gt;1),"Cartão de crédito parcelado",D558),Config!$A$12:$A$15,0)),0)+IF(AND(Config!$B$17="Sim",LEFT(D558,17)="Cartão de crédito"),Config!$B$18*IFERROR(INDEX(Config!$C$12:$C$15,MATCH(IF(AND(D558="Cartão de crédito",N(E558)&gt;1),"Cartão de crédito parcelado",D558),Config!$A$12:$A$15,0)),0)/30*MAX(1,N(E558)),0))</f>
        <v/>
      </c>
      <c r="I558" s="29">
        <f>IF(OR(D558="",F558=""),"",ROUND(F558*H558,2))</f>
        <v/>
      </c>
      <c r="J558" s="29">
        <f>IF(I558="","",F558-I558)</f>
        <v/>
      </c>
      <c r="K558" s="29">
        <f>IF(J558="","",J558/MAX(1,N(E558)))</f>
        <v/>
      </c>
      <c r="L558" s="37">
        <f>IF(OR(D558="",A558=""),"",A558+IF(AND(Config!$B$17="Sim",LEFT(D558,17)="Cartão de crédito"),1,IFERROR(INDEX(Config!$C$12:$C$15,MATCH(IF(AND(D558="Cartão de crédito",N(E558)&gt;1),"Cartão de crédito parcelado",D558),Config!$A$12:$A$15,0)),0)))</f>
        <v/>
      </c>
      <c r="M558" s="37">
        <f>IF(L558="","",IF(AND(Config!$B$17="Sim",LEFT(D558,17)="Cartão de crédito"),L558,L558+30*(MAX(1,N(E558))-1)))</f>
        <v/>
      </c>
      <c r="N558" s="29">
        <f>IF(OR(L558="",K558=""),"",K558*MIN(MAX(1,N(E558)),MAX(0,INT((Config!$B$8-L558)/30)+1)))</f>
        <v/>
      </c>
      <c r="O558" s="29">
        <f>IF(J558="","",J558-N(N558))</f>
        <v/>
      </c>
      <c r="P558" s="27">
        <f>IF(A558="","",MONTH(A558))</f>
        <v/>
      </c>
      <c r="Q558" s="27">
        <f>IF(A558="","",YEAR(A558))</f>
        <v/>
      </c>
      <c r="R558" s="27">
        <f>IF(L558="","",IF(L558&gt;Config!$B$8,"A cair",IF(N(G558)&gt;=MIN(MAX(1,N(E558)),MAX(0,INT((Config!$B$8-L558)/30)+1)),IF(N(G558)&gt;=MAX(1,N(E558)),"Conferido","Conferido até aqui"),"A conferir")))</f>
        <v/>
      </c>
      <c r="S558" s="51">
        <f>IF(R558="A conferir",(Config!$B$8-L558)*1000+N(F558)/1000+ROW()/100000,0)</f>
        <v>0</v>
      </c>
      <c r="T558" s="51">
        <f>IF(R558="A conferir",N(N558),0)</f>
        <v>0</v>
      </c>
      <c r="U558" s="51">
        <f>IF(L558="",0,L558)</f>
        <v>0</v>
      </c>
      <c r="V558" s="51">
        <f>IF(L558="",0,MAX(1,N(E558)))</f>
        <v>0</v>
      </c>
      <c r="W558" s="51">
        <f>IF(K558="",0,K558)</f>
        <v>0</v>
      </c>
    </row>
    <row r="559">
      <c r="A559" s="49" t="n"/>
      <c r="B559" s="41" t="n"/>
      <c r="C559" s="41" t="n"/>
      <c r="D559" s="42" t="n"/>
      <c r="E559" s="42" t="n"/>
      <c r="F559" s="50" t="n"/>
      <c r="G559" s="42" t="n"/>
      <c r="H559" s="30">
        <f>IF(D559="","",IFERROR(INDEX(Config!$B$12:$B$15,MATCH(IF(AND(D559="Cartão de crédito",N(E559)&gt;1),"Cartão de crédito parcelado",D559),Config!$A$12:$A$15,0)),0)+IF(AND(Config!$B$17="Sim",LEFT(D559,17)="Cartão de crédito"),Config!$B$18*IFERROR(INDEX(Config!$C$12:$C$15,MATCH(IF(AND(D559="Cartão de crédito",N(E559)&gt;1),"Cartão de crédito parcelado",D559),Config!$A$12:$A$15,0)),0)/30*MAX(1,N(E559)),0))</f>
        <v/>
      </c>
      <c r="I559" s="29">
        <f>IF(OR(D559="",F559=""),"",ROUND(F559*H559,2))</f>
        <v/>
      </c>
      <c r="J559" s="29">
        <f>IF(I559="","",F559-I559)</f>
        <v/>
      </c>
      <c r="K559" s="29">
        <f>IF(J559="","",J559/MAX(1,N(E559)))</f>
        <v/>
      </c>
      <c r="L559" s="37">
        <f>IF(OR(D559="",A559=""),"",A559+IF(AND(Config!$B$17="Sim",LEFT(D559,17)="Cartão de crédito"),1,IFERROR(INDEX(Config!$C$12:$C$15,MATCH(IF(AND(D559="Cartão de crédito",N(E559)&gt;1),"Cartão de crédito parcelado",D559),Config!$A$12:$A$15,0)),0)))</f>
        <v/>
      </c>
      <c r="M559" s="37">
        <f>IF(L559="","",IF(AND(Config!$B$17="Sim",LEFT(D559,17)="Cartão de crédito"),L559,L559+30*(MAX(1,N(E559))-1)))</f>
        <v/>
      </c>
      <c r="N559" s="29">
        <f>IF(OR(L559="",K559=""),"",K559*MIN(MAX(1,N(E559)),MAX(0,INT((Config!$B$8-L559)/30)+1)))</f>
        <v/>
      </c>
      <c r="O559" s="29">
        <f>IF(J559="","",J559-N(N559))</f>
        <v/>
      </c>
      <c r="P559" s="27">
        <f>IF(A559="","",MONTH(A559))</f>
        <v/>
      </c>
      <c r="Q559" s="27">
        <f>IF(A559="","",YEAR(A559))</f>
        <v/>
      </c>
      <c r="R559" s="27">
        <f>IF(L559="","",IF(L559&gt;Config!$B$8,"A cair",IF(N(G559)&gt;=MIN(MAX(1,N(E559)),MAX(0,INT((Config!$B$8-L559)/30)+1)),IF(N(G559)&gt;=MAX(1,N(E559)),"Conferido","Conferido até aqui"),"A conferir")))</f>
        <v/>
      </c>
      <c r="S559" s="51">
        <f>IF(R559="A conferir",(Config!$B$8-L559)*1000+N(F559)/1000+ROW()/100000,0)</f>
        <v>0</v>
      </c>
      <c r="T559" s="51">
        <f>IF(R559="A conferir",N(N559),0)</f>
        <v>0</v>
      </c>
      <c r="U559" s="51">
        <f>IF(L559="",0,L559)</f>
        <v>0</v>
      </c>
      <c r="V559" s="51">
        <f>IF(L559="",0,MAX(1,N(E559)))</f>
        <v>0</v>
      </c>
      <c r="W559" s="51">
        <f>IF(K559="",0,K559)</f>
        <v>0</v>
      </c>
    </row>
    <row r="560">
      <c r="A560" s="49" t="n"/>
      <c r="B560" s="41" t="n"/>
      <c r="C560" s="41" t="n"/>
      <c r="D560" s="42" t="n"/>
      <c r="E560" s="42" t="n"/>
      <c r="F560" s="50" t="n"/>
      <c r="G560" s="42" t="n"/>
      <c r="H560" s="30">
        <f>IF(D560="","",IFERROR(INDEX(Config!$B$12:$B$15,MATCH(IF(AND(D560="Cartão de crédito",N(E560)&gt;1),"Cartão de crédito parcelado",D560),Config!$A$12:$A$15,0)),0)+IF(AND(Config!$B$17="Sim",LEFT(D560,17)="Cartão de crédito"),Config!$B$18*IFERROR(INDEX(Config!$C$12:$C$15,MATCH(IF(AND(D560="Cartão de crédito",N(E560)&gt;1),"Cartão de crédito parcelado",D560),Config!$A$12:$A$15,0)),0)/30*MAX(1,N(E560)),0))</f>
        <v/>
      </c>
      <c r="I560" s="29">
        <f>IF(OR(D560="",F560=""),"",ROUND(F560*H560,2))</f>
        <v/>
      </c>
      <c r="J560" s="29">
        <f>IF(I560="","",F560-I560)</f>
        <v/>
      </c>
      <c r="K560" s="29">
        <f>IF(J560="","",J560/MAX(1,N(E560)))</f>
        <v/>
      </c>
      <c r="L560" s="37">
        <f>IF(OR(D560="",A560=""),"",A560+IF(AND(Config!$B$17="Sim",LEFT(D560,17)="Cartão de crédito"),1,IFERROR(INDEX(Config!$C$12:$C$15,MATCH(IF(AND(D560="Cartão de crédito",N(E560)&gt;1),"Cartão de crédito parcelado",D560),Config!$A$12:$A$15,0)),0)))</f>
        <v/>
      </c>
      <c r="M560" s="37">
        <f>IF(L560="","",IF(AND(Config!$B$17="Sim",LEFT(D560,17)="Cartão de crédito"),L560,L560+30*(MAX(1,N(E560))-1)))</f>
        <v/>
      </c>
      <c r="N560" s="29">
        <f>IF(OR(L560="",K560=""),"",K560*MIN(MAX(1,N(E560)),MAX(0,INT((Config!$B$8-L560)/30)+1)))</f>
        <v/>
      </c>
      <c r="O560" s="29">
        <f>IF(J560="","",J560-N(N560))</f>
        <v/>
      </c>
      <c r="P560" s="27">
        <f>IF(A560="","",MONTH(A560))</f>
        <v/>
      </c>
      <c r="Q560" s="27">
        <f>IF(A560="","",YEAR(A560))</f>
        <v/>
      </c>
      <c r="R560" s="27">
        <f>IF(L560="","",IF(L560&gt;Config!$B$8,"A cair",IF(N(G560)&gt;=MIN(MAX(1,N(E560)),MAX(0,INT((Config!$B$8-L560)/30)+1)),IF(N(G560)&gt;=MAX(1,N(E560)),"Conferido","Conferido até aqui"),"A conferir")))</f>
        <v/>
      </c>
      <c r="S560" s="51">
        <f>IF(R560="A conferir",(Config!$B$8-L560)*1000+N(F560)/1000+ROW()/100000,0)</f>
        <v>0</v>
      </c>
      <c r="T560" s="51">
        <f>IF(R560="A conferir",N(N560),0)</f>
        <v>0</v>
      </c>
      <c r="U560" s="51">
        <f>IF(L560="",0,L560)</f>
        <v>0</v>
      </c>
      <c r="V560" s="51">
        <f>IF(L560="",0,MAX(1,N(E560)))</f>
        <v>0</v>
      </c>
      <c r="W560" s="51">
        <f>IF(K560="",0,K560)</f>
        <v>0</v>
      </c>
    </row>
    <row r="561">
      <c r="A561" s="49" t="n"/>
      <c r="B561" s="41" t="n"/>
      <c r="C561" s="41" t="n"/>
      <c r="D561" s="42" t="n"/>
      <c r="E561" s="42" t="n"/>
      <c r="F561" s="50" t="n"/>
      <c r="G561" s="42" t="n"/>
      <c r="H561" s="30">
        <f>IF(D561="","",IFERROR(INDEX(Config!$B$12:$B$15,MATCH(IF(AND(D561="Cartão de crédito",N(E561)&gt;1),"Cartão de crédito parcelado",D561),Config!$A$12:$A$15,0)),0)+IF(AND(Config!$B$17="Sim",LEFT(D561,17)="Cartão de crédito"),Config!$B$18*IFERROR(INDEX(Config!$C$12:$C$15,MATCH(IF(AND(D561="Cartão de crédito",N(E561)&gt;1),"Cartão de crédito parcelado",D561),Config!$A$12:$A$15,0)),0)/30*MAX(1,N(E561)),0))</f>
        <v/>
      </c>
      <c r="I561" s="29">
        <f>IF(OR(D561="",F561=""),"",ROUND(F561*H561,2))</f>
        <v/>
      </c>
      <c r="J561" s="29">
        <f>IF(I561="","",F561-I561)</f>
        <v/>
      </c>
      <c r="K561" s="29">
        <f>IF(J561="","",J561/MAX(1,N(E561)))</f>
        <v/>
      </c>
      <c r="L561" s="37">
        <f>IF(OR(D561="",A561=""),"",A561+IF(AND(Config!$B$17="Sim",LEFT(D561,17)="Cartão de crédito"),1,IFERROR(INDEX(Config!$C$12:$C$15,MATCH(IF(AND(D561="Cartão de crédito",N(E561)&gt;1),"Cartão de crédito parcelado",D561),Config!$A$12:$A$15,0)),0)))</f>
        <v/>
      </c>
      <c r="M561" s="37">
        <f>IF(L561="","",IF(AND(Config!$B$17="Sim",LEFT(D561,17)="Cartão de crédito"),L561,L561+30*(MAX(1,N(E561))-1)))</f>
        <v/>
      </c>
      <c r="N561" s="29">
        <f>IF(OR(L561="",K561=""),"",K561*MIN(MAX(1,N(E561)),MAX(0,INT((Config!$B$8-L561)/30)+1)))</f>
        <v/>
      </c>
      <c r="O561" s="29">
        <f>IF(J561="","",J561-N(N561))</f>
        <v/>
      </c>
      <c r="P561" s="27">
        <f>IF(A561="","",MONTH(A561))</f>
        <v/>
      </c>
      <c r="Q561" s="27">
        <f>IF(A561="","",YEAR(A561))</f>
        <v/>
      </c>
      <c r="R561" s="27">
        <f>IF(L561="","",IF(L561&gt;Config!$B$8,"A cair",IF(N(G561)&gt;=MIN(MAX(1,N(E561)),MAX(0,INT((Config!$B$8-L561)/30)+1)),IF(N(G561)&gt;=MAX(1,N(E561)),"Conferido","Conferido até aqui"),"A conferir")))</f>
        <v/>
      </c>
      <c r="S561" s="51">
        <f>IF(R561="A conferir",(Config!$B$8-L561)*1000+N(F561)/1000+ROW()/100000,0)</f>
        <v>0</v>
      </c>
      <c r="T561" s="51">
        <f>IF(R561="A conferir",N(N561),0)</f>
        <v>0</v>
      </c>
      <c r="U561" s="51">
        <f>IF(L561="",0,L561)</f>
        <v>0</v>
      </c>
      <c r="V561" s="51">
        <f>IF(L561="",0,MAX(1,N(E561)))</f>
        <v>0</v>
      </c>
      <c r="W561" s="51">
        <f>IF(K561="",0,K561)</f>
        <v>0</v>
      </c>
    </row>
    <row r="562">
      <c r="A562" s="49" t="n"/>
      <c r="B562" s="41" t="n"/>
      <c r="C562" s="41" t="n"/>
      <c r="D562" s="42" t="n"/>
      <c r="E562" s="42" t="n"/>
      <c r="F562" s="50" t="n"/>
      <c r="G562" s="42" t="n"/>
      <c r="H562" s="30">
        <f>IF(D562="","",IFERROR(INDEX(Config!$B$12:$B$15,MATCH(IF(AND(D562="Cartão de crédito",N(E562)&gt;1),"Cartão de crédito parcelado",D562),Config!$A$12:$A$15,0)),0)+IF(AND(Config!$B$17="Sim",LEFT(D562,17)="Cartão de crédito"),Config!$B$18*IFERROR(INDEX(Config!$C$12:$C$15,MATCH(IF(AND(D562="Cartão de crédito",N(E562)&gt;1),"Cartão de crédito parcelado",D562),Config!$A$12:$A$15,0)),0)/30*MAX(1,N(E562)),0))</f>
        <v/>
      </c>
      <c r="I562" s="29">
        <f>IF(OR(D562="",F562=""),"",ROUND(F562*H562,2))</f>
        <v/>
      </c>
      <c r="J562" s="29">
        <f>IF(I562="","",F562-I562)</f>
        <v/>
      </c>
      <c r="K562" s="29">
        <f>IF(J562="","",J562/MAX(1,N(E562)))</f>
        <v/>
      </c>
      <c r="L562" s="37">
        <f>IF(OR(D562="",A562=""),"",A562+IF(AND(Config!$B$17="Sim",LEFT(D562,17)="Cartão de crédito"),1,IFERROR(INDEX(Config!$C$12:$C$15,MATCH(IF(AND(D562="Cartão de crédito",N(E562)&gt;1),"Cartão de crédito parcelado",D562),Config!$A$12:$A$15,0)),0)))</f>
        <v/>
      </c>
      <c r="M562" s="37">
        <f>IF(L562="","",IF(AND(Config!$B$17="Sim",LEFT(D562,17)="Cartão de crédito"),L562,L562+30*(MAX(1,N(E562))-1)))</f>
        <v/>
      </c>
      <c r="N562" s="29">
        <f>IF(OR(L562="",K562=""),"",K562*MIN(MAX(1,N(E562)),MAX(0,INT((Config!$B$8-L562)/30)+1)))</f>
        <v/>
      </c>
      <c r="O562" s="29">
        <f>IF(J562="","",J562-N(N562))</f>
        <v/>
      </c>
      <c r="P562" s="27">
        <f>IF(A562="","",MONTH(A562))</f>
        <v/>
      </c>
      <c r="Q562" s="27">
        <f>IF(A562="","",YEAR(A562))</f>
        <v/>
      </c>
      <c r="R562" s="27">
        <f>IF(L562="","",IF(L562&gt;Config!$B$8,"A cair",IF(N(G562)&gt;=MIN(MAX(1,N(E562)),MAX(0,INT((Config!$B$8-L562)/30)+1)),IF(N(G562)&gt;=MAX(1,N(E562)),"Conferido","Conferido até aqui"),"A conferir")))</f>
        <v/>
      </c>
      <c r="S562" s="51">
        <f>IF(R562="A conferir",(Config!$B$8-L562)*1000+N(F562)/1000+ROW()/100000,0)</f>
        <v>0</v>
      </c>
      <c r="T562" s="51">
        <f>IF(R562="A conferir",N(N562),0)</f>
        <v>0</v>
      </c>
      <c r="U562" s="51">
        <f>IF(L562="",0,L562)</f>
        <v>0</v>
      </c>
      <c r="V562" s="51">
        <f>IF(L562="",0,MAX(1,N(E562)))</f>
        <v>0</v>
      </c>
      <c r="W562" s="51">
        <f>IF(K562="",0,K562)</f>
        <v>0</v>
      </c>
    </row>
    <row r="563">
      <c r="A563" s="49" t="n"/>
      <c r="B563" s="41" t="n"/>
      <c r="C563" s="41" t="n"/>
      <c r="D563" s="42" t="n"/>
      <c r="E563" s="42" t="n"/>
      <c r="F563" s="50" t="n"/>
      <c r="G563" s="42" t="n"/>
      <c r="H563" s="30">
        <f>IF(D563="","",IFERROR(INDEX(Config!$B$12:$B$15,MATCH(IF(AND(D563="Cartão de crédito",N(E563)&gt;1),"Cartão de crédito parcelado",D563),Config!$A$12:$A$15,0)),0)+IF(AND(Config!$B$17="Sim",LEFT(D563,17)="Cartão de crédito"),Config!$B$18*IFERROR(INDEX(Config!$C$12:$C$15,MATCH(IF(AND(D563="Cartão de crédito",N(E563)&gt;1),"Cartão de crédito parcelado",D563),Config!$A$12:$A$15,0)),0)/30*MAX(1,N(E563)),0))</f>
        <v/>
      </c>
      <c r="I563" s="29">
        <f>IF(OR(D563="",F563=""),"",ROUND(F563*H563,2))</f>
        <v/>
      </c>
      <c r="J563" s="29">
        <f>IF(I563="","",F563-I563)</f>
        <v/>
      </c>
      <c r="K563" s="29">
        <f>IF(J563="","",J563/MAX(1,N(E563)))</f>
        <v/>
      </c>
      <c r="L563" s="37">
        <f>IF(OR(D563="",A563=""),"",A563+IF(AND(Config!$B$17="Sim",LEFT(D563,17)="Cartão de crédito"),1,IFERROR(INDEX(Config!$C$12:$C$15,MATCH(IF(AND(D563="Cartão de crédito",N(E563)&gt;1),"Cartão de crédito parcelado",D563),Config!$A$12:$A$15,0)),0)))</f>
        <v/>
      </c>
      <c r="M563" s="37">
        <f>IF(L563="","",IF(AND(Config!$B$17="Sim",LEFT(D563,17)="Cartão de crédito"),L563,L563+30*(MAX(1,N(E563))-1)))</f>
        <v/>
      </c>
      <c r="N563" s="29">
        <f>IF(OR(L563="",K563=""),"",K563*MIN(MAX(1,N(E563)),MAX(0,INT((Config!$B$8-L563)/30)+1)))</f>
        <v/>
      </c>
      <c r="O563" s="29">
        <f>IF(J563="","",J563-N(N563))</f>
        <v/>
      </c>
      <c r="P563" s="27">
        <f>IF(A563="","",MONTH(A563))</f>
        <v/>
      </c>
      <c r="Q563" s="27">
        <f>IF(A563="","",YEAR(A563))</f>
        <v/>
      </c>
      <c r="R563" s="27">
        <f>IF(L563="","",IF(L563&gt;Config!$B$8,"A cair",IF(N(G563)&gt;=MIN(MAX(1,N(E563)),MAX(0,INT((Config!$B$8-L563)/30)+1)),IF(N(G563)&gt;=MAX(1,N(E563)),"Conferido","Conferido até aqui"),"A conferir")))</f>
        <v/>
      </c>
      <c r="S563" s="51">
        <f>IF(R563="A conferir",(Config!$B$8-L563)*1000+N(F563)/1000+ROW()/100000,0)</f>
        <v>0</v>
      </c>
      <c r="T563" s="51">
        <f>IF(R563="A conferir",N(N563),0)</f>
        <v>0</v>
      </c>
      <c r="U563" s="51">
        <f>IF(L563="",0,L563)</f>
        <v>0</v>
      </c>
      <c r="V563" s="51">
        <f>IF(L563="",0,MAX(1,N(E563)))</f>
        <v>0</v>
      </c>
      <c r="W563" s="51">
        <f>IF(K563="",0,K563)</f>
        <v>0</v>
      </c>
    </row>
    <row r="564">
      <c r="A564" s="49" t="n"/>
      <c r="B564" s="41" t="n"/>
      <c r="C564" s="41" t="n"/>
      <c r="D564" s="42" t="n"/>
      <c r="E564" s="42" t="n"/>
      <c r="F564" s="50" t="n"/>
      <c r="G564" s="42" t="n"/>
      <c r="H564" s="30">
        <f>IF(D564="","",IFERROR(INDEX(Config!$B$12:$B$15,MATCH(IF(AND(D564="Cartão de crédito",N(E564)&gt;1),"Cartão de crédito parcelado",D564),Config!$A$12:$A$15,0)),0)+IF(AND(Config!$B$17="Sim",LEFT(D564,17)="Cartão de crédito"),Config!$B$18*IFERROR(INDEX(Config!$C$12:$C$15,MATCH(IF(AND(D564="Cartão de crédito",N(E564)&gt;1),"Cartão de crédito parcelado",D564),Config!$A$12:$A$15,0)),0)/30*MAX(1,N(E564)),0))</f>
        <v/>
      </c>
      <c r="I564" s="29">
        <f>IF(OR(D564="",F564=""),"",ROUND(F564*H564,2))</f>
        <v/>
      </c>
      <c r="J564" s="29">
        <f>IF(I564="","",F564-I564)</f>
        <v/>
      </c>
      <c r="K564" s="29">
        <f>IF(J564="","",J564/MAX(1,N(E564)))</f>
        <v/>
      </c>
      <c r="L564" s="37">
        <f>IF(OR(D564="",A564=""),"",A564+IF(AND(Config!$B$17="Sim",LEFT(D564,17)="Cartão de crédito"),1,IFERROR(INDEX(Config!$C$12:$C$15,MATCH(IF(AND(D564="Cartão de crédito",N(E564)&gt;1),"Cartão de crédito parcelado",D564),Config!$A$12:$A$15,0)),0)))</f>
        <v/>
      </c>
      <c r="M564" s="37">
        <f>IF(L564="","",IF(AND(Config!$B$17="Sim",LEFT(D564,17)="Cartão de crédito"),L564,L564+30*(MAX(1,N(E564))-1)))</f>
        <v/>
      </c>
      <c r="N564" s="29">
        <f>IF(OR(L564="",K564=""),"",K564*MIN(MAX(1,N(E564)),MAX(0,INT((Config!$B$8-L564)/30)+1)))</f>
        <v/>
      </c>
      <c r="O564" s="29">
        <f>IF(J564="","",J564-N(N564))</f>
        <v/>
      </c>
      <c r="P564" s="27">
        <f>IF(A564="","",MONTH(A564))</f>
        <v/>
      </c>
      <c r="Q564" s="27">
        <f>IF(A564="","",YEAR(A564))</f>
        <v/>
      </c>
      <c r="R564" s="27">
        <f>IF(L564="","",IF(L564&gt;Config!$B$8,"A cair",IF(N(G564)&gt;=MIN(MAX(1,N(E564)),MAX(0,INT((Config!$B$8-L564)/30)+1)),IF(N(G564)&gt;=MAX(1,N(E564)),"Conferido","Conferido até aqui"),"A conferir")))</f>
        <v/>
      </c>
      <c r="S564" s="51">
        <f>IF(R564="A conferir",(Config!$B$8-L564)*1000+N(F564)/1000+ROW()/100000,0)</f>
        <v>0</v>
      </c>
      <c r="T564" s="51">
        <f>IF(R564="A conferir",N(N564),0)</f>
        <v>0</v>
      </c>
      <c r="U564" s="51">
        <f>IF(L564="",0,L564)</f>
        <v>0</v>
      </c>
      <c r="V564" s="51">
        <f>IF(L564="",0,MAX(1,N(E564)))</f>
        <v>0</v>
      </c>
      <c r="W564" s="51">
        <f>IF(K564="",0,K564)</f>
        <v>0</v>
      </c>
    </row>
    <row r="565">
      <c r="A565" s="49" t="n"/>
      <c r="B565" s="41" t="n"/>
      <c r="C565" s="41" t="n"/>
      <c r="D565" s="42" t="n"/>
      <c r="E565" s="42" t="n"/>
      <c r="F565" s="50" t="n"/>
      <c r="G565" s="42" t="n"/>
      <c r="H565" s="30">
        <f>IF(D565="","",IFERROR(INDEX(Config!$B$12:$B$15,MATCH(IF(AND(D565="Cartão de crédito",N(E565)&gt;1),"Cartão de crédito parcelado",D565),Config!$A$12:$A$15,0)),0)+IF(AND(Config!$B$17="Sim",LEFT(D565,17)="Cartão de crédito"),Config!$B$18*IFERROR(INDEX(Config!$C$12:$C$15,MATCH(IF(AND(D565="Cartão de crédito",N(E565)&gt;1),"Cartão de crédito parcelado",D565),Config!$A$12:$A$15,0)),0)/30*MAX(1,N(E565)),0))</f>
        <v/>
      </c>
      <c r="I565" s="29">
        <f>IF(OR(D565="",F565=""),"",ROUND(F565*H565,2))</f>
        <v/>
      </c>
      <c r="J565" s="29">
        <f>IF(I565="","",F565-I565)</f>
        <v/>
      </c>
      <c r="K565" s="29">
        <f>IF(J565="","",J565/MAX(1,N(E565)))</f>
        <v/>
      </c>
      <c r="L565" s="37">
        <f>IF(OR(D565="",A565=""),"",A565+IF(AND(Config!$B$17="Sim",LEFT(D565,17)="Cartão de crédito"),1,IFERROR(INDEX(Config!$C$12:$C$15,MATCH(IF(AND(D565="Cartão de crédito",N(E565)&gt;1),"Cartão de crédito parcelado",D565),Config!$A$12:$A$15,0)),0)))</f>
        <v/>
      </c>
      <c r="M565" s="37">
        <f>IF(L565="","",IF(AND(Config!$B$17="Sim",LEFT(D565,17)="Cartão de crédito"),L565,L565+30*(MAX(1,N(E565))-1)))</f>
        <v/>
      </c>
      <c r="N565" s="29">
        <f>IF(OR(L565="",K565=""),"",K565*MIN(MAX(1,N(E565)),MAX(0,INT((Config!$B$8-L565)/30)+1)))</f>
        <v/>
      </c>
      <c r="O565" s="29">
        <f>IF(J565="","",J565-N(N565))</f>
        <v/>
      </c>
      <c r="P565" s="27">
        <f>IF(A565="","",MONTH(A565))</f>
        <v/>
      </c>
      <c r="Q565" s="27">
        <f>IF(A565="","",YEAR(A565))</f>
        <v/>
      </c>
      <c r="R565" s="27">
        <f>IF(L565="","",IF(L565&gt;Config!$B$8,"A cair",IF(N(G565)&gt;=MIN(MAX(1,N(E565)),MAX(0,INT((Config!$B$8-L565)/30)+1)),IF(N(G565)&gt;=MAX(1,N(E565)),"Conferido","Conferido até aqui"),"A conferir")))</f>
        <v/>
      </c>
      <c r="S565" s="51">
        <f>IF(R565="A conferir",(Config!$B$8-L565)*1000+N(F565)/1000+ROW()/100000,0)</f>
        <v>0</v>
      </c>
      <c r="T565" s="51">
        <f>IF(R565="A conferir",N(N565),0)</f>
        <v>0</v>
      </c>
      <c r="U565" s="51">
        <f>IF(L565="",0,L565)</f>
        <v>0</v>
      </c>
      <c r="V565" s="51">
        <f>IF(L565="",0,MAX(1,N(E565)))</f>
        <v>0</v>
      </c>
      <c r="W565" s="51">
        <f>IF(K565="",0,K565)</f>
        <v>0</v>
      </c>
    </row>
    <row r="566">
      <c r="A566" s="49" t="n"/>
      <c r="B566" s="41" t="n"/>
      <c r="C566" s="41" t="n"/>
      <c r="D566" s="42" t="n"/>
      <c r="E566" s="42" t="n"/>
      <c r="F566" s="50" t="n"/>
      <c r="G566" s="42" t="n"/>
      <c r="H566" s="30">
        <f>IF(D566="","",IFERROR(INDEX(Config!$B$12:$B$15,MATCH(IF(AND(D566="Cartão de crédito",N(E566)&gt;1),"Cartão de crédito parcelado",D566),Config!$A$12:$A$15,0)),0)+IF(AND(Config!$B$17="Sim",LEFT(D566,17)="Cartão de crédito"),Config!$B$18*IFERROR(INDEX(Config!$C$12:$C$15,MATCH(IF(AND(D566="Cartão de crédito",N(E566)&gt;1),"Cartão de crédito parcelado",D566),Config!$A$12:$A$15,0)),0)/30*MAX(1,N(E566)),0))</f>
        <v/>
      </c>
      <c r="I566" s="29">
        <f>IF(OR(D566="",F566=""),"",ROUND(F566*H566,2))</f>
        <v/>
      </c>
      <c r="J566" s="29">
        <f>IF(I566="","",F566-I566)</f>
        <v/>
      </c>
      <c r="K566" s="29">
        <f>IF(J566="","",J566/MAX(1,N(E566)))</f>
        <v/>
      </c>
      <c r="L566" s="37">
        <f>IF(OR(D566="",A566=""),"",A566+IF(AND(Config!$B$17="Sim",LEFT(D566,17)="Cartão de crédito"),1,IFERROR(INDEX(Config!$C$12:$C$15,MATCH(IF(AND(D566="Cartão de crédito",N(E566)&gt;1),"Cartão de crédito parcelado",D566),Config!$A$12:$A$15,0)),0)))</f>
        <v/>
      </c>
      <c r="M566" s="37">
        <f>IF(L566="","",IF(AND(Config!$B$17="Sim",LEFT(D566,17)="Cartão de crédito"),L566,L566+30*(MAX(1,N(E566))-1)))</f>
        <v/>
      </c>
      <c r="N566" s="29">
        <f>IF(OR(L566="",K566=""),"",K566*MIN(MAX(1,N(E566)),MAX(0,INT((Config!$B$8-L566)/30)+1)))</f>
        <v/>
      </c>
      <c r="O566" s="29">
        <f>IF(J566="","",J566-N(N566))</f>
        <v/>
      </c>
      <c r="P566" s="27">
        <f>IF(A566="","",MONTH(A566))</f>
        <v/>
      </c>
      <c r="Q566" s="27">
        <f>IF(A566="","",YEAR(A566))</f>
        <v/>
      </c>
      <c r="R566" s="27">
        <f>IF(L566="","",IF(L566&gt;Config!$B$8,"A cair",IF(N(G566)&gt;=MIN(MAX(1,N(E566)),MAX(0,INT((Config!$B$8-L566)/30)+1)),IF(N(G566)&gt;=MAX(1,N(E566)),"Conferido","Conferido até aqui"),"A conferir")))</f>
        <v/>
      </c>
      <c r="S566" s="51">
        <f>IF(R566="A conferir",(Config!$B$8-L566)*1000+N(F566)/1000+ROW()/100000,0)</f>
        <v>0</v>
      </c>
      <c r="T566" s="51">
        <f>IF(R566="A conferir",N(N566),0)</f>
        <v>0</v>
      </c>
      <c r="U566" s="51">
        <f>IF(L566="",0,L566)</f>
        <v>0</v>
      </c>
      <c r="V566" s="51">
        <f>IF(L566="",0,MAX(1,N(E566)))</f>
        <v>0</v>
      </c>
      <c r="W566" s="51">
        <f>IF(K566="",0,K566)</f>
        <v>0</v>
      </c>
    </row>
    <row r="567">
      <c r="A567" s="49" t="n"/>
      <c r="B567" s="41" t="n"/>
      <c r="C567" s="41" t="n"/>
      <c r="D567" s="42" t="n"/>
      <c r="E567" s="42" t="n"/>
      <c r="F567" s="50" t="n"/>
      <c r="G567" s="42" t="n"/>
      <c r="H567" s="30">
        <f>IF(D567="","",IFERROR(INDEX(Config!$B$12:$B$15,MATCH(IF(AND(D567="Cartão de crédito",N(E567)&gt;1),"Cartão de crédito parcelado",D567),Config!$A$12:$A$15,0)),0)+IF(AND(Config!$B$17="Sim",LEFT(D567,17)="Cartão de crédito"),Config!$B$18*IFERROR(INDEX(Config!$C$12:$C$15,MATCH(IF(AND(D567="Cartão de crédito",N(E567)&gt;1),"Cartão de crédito parcelado",D567),Config!$A$12:$A$15,0)),0)/30*MAX(1,N(E567)),0))</f>
        <v/>
      </c>
      <c r="I567" s="29">
        <f>IF(OR(D567="",F567=""),"",ROUND(F567*H567,2))</f>
        <v/>
      </c>
      <c r="J567" s="29">
        <f>IF(I567="","",F567-I567)</f>
        <v/>
      </c>
      <c r="K567" s="29">
        <f>IF(J567="","",J567/MAX(1,N(E567)))</f>
        <v/>
      </c>
      <c r="L567" s="37">
        <f>IF(OR(D567="",A567=""),"",A567+IF(AND(Config!$B$17="Sim",LEFT(D567,17)="Cartão de crédito"),1,IFERROR(INDEX(Config!$C$12:$C$15,MATCH(IF(AND(D567="Cartão de crédito",N(E567)&gt;1),"Cartão de crédito parcelado",D567),Config!$A$12:$A$15,0)),0)))</f>
        <v/>
      </c>
      <c r="M567" s="37">
        <f>IF(L567="","",IF(AND(Config!$B$17="Sim",LEFT(D567,17)="Cartão de crédito"),L567,L567+30*(MAX(1,N(E567))-1)))</f>
        <v/>
      </c>
      <c r="N567" s="29">
        <f>IF(OR(L567="",K567=""),"",K567*MIN(MAX(1,N(E567)),MAX(0,INT((Config!$B$8-L567)/30)+1)))</f>
        <v/>
      </c>
      <c r="O567" s="29">
        <f>IF(J567="","",J567-N(N567))</f>
        <v/>
      </c>
      <c r="P567" s="27">
        <f>IF(A567="","",MONTH(A567))</f>
        <v/>
      </c>
      <c r="Q567" s="27">
        <f>IF(A567="","",YEAR(A567))</f>
        <v/>
      </c>
      <c r="R567" s="27">
        <f>IF(L567="","",IF(L567&gt;Config!$B$8,"A cair",IF(N(G567)&gt;=MIN(MAX(1,N(E567)),MAX(0,INT((Config!$B$8-L567)/30)+1)),IF(N(G567)&gt;=MAX(1,N(E567)),"Conferido","Conferido até aqui"),"A conferir")))</f>
        <v/>
      </c>
      <c r="S567" s="51">
        <f>IF(R567="A conferir",(Config!$B$8-L567)*1000+N(F567)/1000+ROW()/100000,0)</f>
        <v>0</v>
      </c>
      <c r="T567" s="51">
        <f>IF(R567="A conferir",N(N567),0)</f>
        <v>0</v>
      </c>
      <c r="U567" s="51">
        <f>IF(L567="",0,L567)</f>
        <v>0</v>
      </c>
      <c r="V567" s="51">
        <f>IF(L567="",0,MAX(1,N(E567)))</f>
        <v>0</v>
      </c>
      <c r="W567" s="51">
        <f>IF(K567="",0,K567)</f>
        <v>0</v>
      </c>
    </row>
    <row r="568">
      <c r="A568" s="49" t="n"/>
      <c r="B568" s="41" t="n"/>
      <c r="C568" s="41" t="n"/>
      <c r="D568" s="42" t="n"/>
      <c r="E568" s="42" t="n"/>
      <c r="F568" s="50" t="n"/>
      <c r="G568" s="42" t="n"/>
      <c r="H568" s="30">
        <f>IF(D568="","",IFERROR(INDEX(Config!$B$12:$B$15,MATCH(IF(AND(D568="Cartão de crédito",N(E568)&gt;1),"Cartão de crédito parcelado",D568),Config!$A$12:$A$15,0)),0)+IF(AND(Config!$B$17="Sim",LEFT(D568,17)="Cartão de crédito"),Config!$B$18*IFERROR(INDEX(Config!$C$12:$C$15,MATCH(IF(AND(D568="Cartão de crédito",N(E568)&gt;1),"Cartão de crédito parcelado",D568),Config!$A$12:$A$15,0)),0)/30*MAX(1,N(E568)),0))</f>
        <v/>
      </c>
      <c r="I568" s="29">
        <f>IF(OR(D568="",F568=""),"",ROUND(F568*H568,2))</f>
        <v/>
      </c>
      <c r="J568" s="29">
        <f>IF(I568="","",F568-I568)</f>
        <v/>
      </c>
      <c r="K568" s="29">
        <f>IF(J568="","",J568/MAX(1,N(E568)))</f>
        <v/>
      </c>
      <c r="L568" s="37">
        <f>IF(OR(D568="",A568=""),"",A568+IF(AND(Config!$B$17="Sim",LEFT(D568,17)="Cartão de crédito"),1,IFERROR(INDEX(Config!$C$12:$C$15,MATCH(IF(AND(D568="Cartão de crédito",N(E568)&gt;1),"Cartão de crédito parcelado",D568),Config!$A$12:$A$15,0)),0)))</f>
        <v/>
      </c>
      <c r="M568" s="37">
        <f>IF(L568="","",IF(AND(Config!$B$17="Sim",LEFT(D568,17)="Cartão de crédito"),L568,L568+30*(MAX(1,N(E568))-1)))</f>
        <v/>
      </c>
      <c r="N568" s="29">
        <f>IF(OR(L568="",K568=""),"",K568*MIN(MAX(1,N(E568)),MAX(0,INT((Config!$B$8-L568)/30)+1)))</f>
        <v/>
      </c>
      <c r="O568" s="29">
        <f>IF(J568="","",J568-N(N568))</f>
        <v/>
      </c>
      <c r="P568" s="27">
        <f>IF(A568="","",MONTH(A568))</f>
        <v/>
      </c>
      <c r="Q568" s="27">
        <f>IF(A568="","",YEAR(A568))</f>
        <v/>
      </c>
      <c r="R568" s="27">
        <f>IF(L568="","",IF(L568&gt;Config!$B$8,"A cair",IF(N(G568)&gt;=MIN(MAX(1,N(E568)),MAX(0,INT((Config!$B$8-L568)/30)+1)),IF(N(G568)&gt;=MAX(1,N(E568)),"Conferido","Conferido até aqui"),"A conferir")))</f>
        <v/>
      </c>
      <c r="S568" s="51">
        <f>IF(R568="A conferir",(Config!$B$8-L568)*1000+N(F568)/1000+ROW()/100000,0)</f>
        <v>0</v>
      </c>
      <c r="T568" s="51">
        <f>IF(R568="A conferir",N(N568),0)</f>
        <v>0</v>
      </c>
      <c r="U568" s="51">
        <f>IF(L568="",0,L568)</f>
        <v>0</v>
      </c>
      <c r="V568" s="51">
        <f>IF(L568="",0,MAX(1,N(E568)))</f>
        <v>0</v>
      </c>
      <c r="W568" s="51">
        <f>IF(K568="",0,K568)</f>
        <v>0</v>
      </c>
    </row>
    <row r="569">
      <c r="A569" s="49" t="n"/>
      <c r="B569" s="41" t="n"/>
      <c r="C569" s="41" t="n"/>
      <c r="D569" s="42" t="n"/>
      <c r="E569" s="42" t="n"/>
      <c r="F569" s="50" t="n"/>
      <c r="G569" s="42" t="n"/>
      <c r="H569" s="30">
        <f>IF(D569="","",IFERROR(INDEX(Config!$B$12:$B$15,MATCH(IF(AND(D569="Cartão de crédito",N(E569)&gt;1),"Cartão de crédito parcelado",D569),Config!$A$12:$A$15,0)),0)+IF(AND(Config!$B$17="Sim",LEFT(D569,17)="Cartão de crédito"),Config!$B$18*IFERROR(INDEX(Config!$C$12:$C$15,MATCH(IF(AND(D569="Cartão de crédito",N(E569)&gt;1),"Cartão de crédito parcelado",D569),Config!$A$12:$A$15,0)),0)/30*MAX(1,N(E569)),0))</f>
        <v/>
      </c>
      <c r="I569" s="29">
        <f>IF(OR(D569="",F569=""),"",ROUND(F569*H569,2))</f>
        <v/>
      </c>
      <c r="J569" s="29">
        <f>IF(I569="","",F569-I569)</f>
        <v/>
      </c>
      <c r="K569" s="29">
        <f>IF(J569="","",J569/MAX(1,N(E569)))</f>
        <v/>
      </c>
      <c r="L569" s="37">
        <f>IF(OR(D569="",A569=""),"",A569+IF(AND(Config!$B$17="Sim",LEFT(D569,17)="Cartão de crédito"),1,IFERROR(INDEX(Config!$C$12:$C$15,MATCH(IF(AND(D569="Cartão de crédito",N(E569)&gt;1),"Cartão de crédito parcelado",D569),Config!$A$12:$A$15,0)),0)))</f>
        <v/>
      </c>
      <c r="M569" s="37">
        <f>IF(L569="","",IF(AND(Config!$B$17="Sim",LEFT(D569,17)="Cartão de crédito"),L569,L569+30*(MAX(1,N(E569))-1)))</f>
        <v/>
      </c>
      <c r="N569" s="29">
        <f>IF(OR(L569="",K569=""),"",K569*MIN(MAX(1,N(E569)),MAX(0,INT((Config!$B$8-L569)/30)+1)))</f>
        <v/>
      </c>
      <c r="O569" s="29">
        <f>IF(J569="","",J569-N(N569))</f>
        <v/>
      </c>
      <c r="P569" s="27">
        <f>IF(A569="","",MONTH(A569))</f>
        <v/>
      </c>
      <c r="Q569" s="27">
        <f>IF(A569="","",YEAR(A569))</f>
        <v/>
      </c>
      <c r="R569" s="27">
        <f>IF(L569="","",IF(L569&gt;Config!$B$8,"A cair",IF(N(G569)&gt;=MIN(MAX(1,N(E569)),MAX(0,INT((Config!$B$8-L569)/30)+1)),IF(N(G569)&gt;=MAX(1,N(E569)),"Conferido","Conferido até aqui"),"A conferir")))</f>
        <v/>
      </c>
      <c r="S569" s="51">
        <f>IF(R569="A conferir",(Config!$B$8-L569)*1000+N(F569)/1000+ROW()/100000,0)</f>
        <v>0</v>
      </c>
      <c r="T569" s="51">
        <f>IF(R569="A conferir",N(N569),0)</f>
        <v>0</v>
      </c>
      <c r="U569" s="51">
        <f>IF(L569="",0,L569)</f>
        <v>0</v>
      </c>
      <c r="V569" s="51">
        <f>IF(L569="",0,MAX(1,N(E569)))</f>
        <v>0</v>
      </c>
      <c r="W569" s="51">
        <f>IF(K569="",0,K569)</f>
        <v>0</v>
      </c>
    </row>
    <row r="570">
      <c r="A570" s="49" t="n"/>
      <c r="B570" s="41" t="n"/>
      <c r="C570" s="41" t="n"/>
      <c r="D570" s="42" t="n"/>
      <c r="E570" s="42" t="n"/>
      <c r="F570" s="50" t="n"/>
      <c r="G570" s="42" t="n"/>
      <c r="H570" s="30">
        <f>IF(D570="","",IFERROR(INDEX(Config!$B$12:$B$15,MATCH(IF(AND(D570="Cartão de crédito",N(E570)&gt;1),"Cartão de crédito parcelado",D570),Config!$A$12:$A$15,0)),0)+IF(AND(Config!$B$17="Sim",LEFT(D570,17)="Cartão de crédito"),Config!$B$18*IFERROR(INDEX(Config!$C$12:$C$15,MATCH(IF(AND(D570="Cartão de crédito",N(E570)&gt;1),"Cartão de crédito parcelado",D570),Config!$A$12:$A$15,0)),0)/30*MAX(1,N(E570)),0))</f>
        <v/>
      </c>
      <c r="I570" s="29">
        <f>IF(OR(D570="",F570=""),"",ROUND(F570*H570,2))</f>
        <v/>
      </c>
      <c r="J570" s="29">
        <f>IF(I570="","",F570-I570)</f>
        <v/>
      </c>
      <c r="K570" s="29">
        <f>IF(J570="","",J570/MAX(1,N(E570)))</f>
        <v/>
      </c>
      <c r="L570" s="37">
        <f>IF(OR(D570="",A570=""),"",A570+IF(AND(Config!$B$17="Sim",LEFT(D570,17)="Cartão de crédito"),1,IFERROR(INDEX(Config!$C$12:$C$15,MATCH(IF(AND(D570="Cartão de crédito",N(E570)&gt;1),"Cartão de crédito parcelado",D570),Config!$A$12:$A$15,0)),0)))</f>
        <v/>
      </c>
      <c r="M570" s="37">
        <f>IF(L570="","",IF(AND(Config!$B$17="Sim",LEFT(D570,17)="Cartão de crédito"),L570,L570+30*(MAX(1,N(E570))-1)))</f>
        <v/>
      </c>
      <c r="N570" s="29">
        <f>IF(OR(L570="",K570=""),"",K570*MIN(MAX(1,N(E570)),MAX(0,INT((Config!$B$8-L570)/30)+1)))</f>
        <v/>
      </c>
      <c r="O570" s="29">
        <f>IF(J570="","",J570-N(N570))</f>
        <v/>
      </c>
      <c r="P570" s="27">
        <f>IF(A570="","",MONTH(A570))</f>
        <v/>
      </c>
      <c r="Q570" s="27">
        <f>IF(A570="","",YEAR(A570))</f>
        <v/>
      </c>
      <c r="R570" s="27">
        <f>IF(L570="","",IF(L570&gt;Config!$B$8,"A cair",IF(N(G570)&gt;=MIN(MAX(1,N(E570)),MAX(0,INT((Config!$B$8-L570)/30)+1)),IF(N(G570)&gt;=MAX(1,N(E570)),"Conferido","Conferido até aqui"),"A conferir")))</f>
        <v/>
      </c>
      <c r="S570" s="51">
        <f>IF(R570="A conferir",(Config!$B$8-L570)*1000+N(F570)/1000+ROW()/100000,0)</f>
        <v>0</v>
      </c>
      <c r="T570" s="51">
        <f>IF(R570="A conferir",N(N570),0)</f>
        <v>0</v>
      </c>
      <c r="U570" s="51">
        <f>IF(L570="",0,L570)</f>
        <v>0</v>
      </c>
      <c r="V570" s="51">
        <f>IF(L570="",0,MAX(1,N(E570)))</f>
        <v>0</v>
      </c>
      <c r="W570" s="51">
        <f>IF(K570="",0,K570)</f>
        <v>0</v>
      </c>
    </row>
    <row r="571">
      <c r="A571" s="49" t="n"/>
      <c r="B571" s="41" t="n"/>
      <c r="C571" s="41" t="n"/>
      <c r="D571" s="42" t="n"/>
      <c r="E571" s="42" t="n"/>
      <c r="F571" s="50" t="n"/>
      <c r="G571" s="42" t="n"/>
      <c r="H571" s="30">
        <f>IF(D571="","",IFERROR(INDEX(Config!$B$12:$B$15,MATCH(IF(AND(D571="Cartão de crédito",N(E571)&gt;1),"Cartão de crédito parcelado",D571),Config!$A$12:$A$15,0)),0)+IF(AND(Config!$B$17="Sim",LEFT(D571,17)="Cartão de crédito"),Config!$B$18*IFERROR(INDEX(Config!$C$12:$C$15,MATCH(IF(AND(D571="Cartão de crédito",N(E571)&gt;1),"Cartão de crédito parcelado",D571),Config!$A$12:$A$15,0)),0)/30*MAX(1,N(E571)),0))</f>
        <v/>
      </c>
      <c r="I571" s="29">
        <f>IF(OR(D571="",F571=""),"",ROUND(F571*H571,2))</f>
        <v/>
      </c>
      <c r="J571" s="29">
        <f>IF(I571="","",F571-I571)</f>
        <v/>
      </c>
      <c r="K571" s="29">
        <f>IF(J571="","",J571/MAX(1,N(E571)))</f>
        <v/>
      </c>
      <c r="L571" s="37">
        <f>IF(OR(D571="",A571=""),"",A571+IF(AND(Config!$B$17="Sim",LEFT(D571,17)="Cartão de crédito"),1,IFERROR(INDEX(Config!$C$12:$C$15,MATCH(IF(AND(D571="Cartão de crédito",N(E571)&gt;1),"Cartão de crédito parcelado",D571),Config!$A$12:$A$15,0)),0)))</f>
        <v/>
      </c>
      <c r="M571" s="37">
        <f>IF(L571="","",IF(AND(Config!$B$17="Sim",LEFT(D571,17)="Cartão de crédito"),L571,L571+30*(MAX(1,N(E571))-1)))</f>
        <v/>
      </c>
      <c r="N571" s="29">
        <f>IF(OR(L571="",K571=""),"",K571*MIN(MAX(1,N(E571)),MAX(0,INT((Config!$B$8-L571)/30)+1)))</f>
        <v/>
      </c>
      <c r="O571" s="29">
        <f>IF(J571="","",J571-N(N571))</f>
        <v/>
      </c>
      <c r="P571" s="27">
        <f>IF(A571="","",MONTH(A571))</f>
        <v/>
      </c>
      <c r="Q571" s="27">
        <f>IF(A571="","",YEAR(A571))</f>
        <v/>
      </c>
      <c r="R571" s="27">
        <f>IF(L571="","",IF(L571&gt;Config!$B$8,"A cair",IF(N(G571)&gt;=MIN(MAX(1,N(E571)),MAX(0,INT((Config!$B$8-L571)/30)+1)),IF(N(G571)&gt;=MAX(1,N(E571)),"Conferido","Conferido até aqui"),"A conferir")))</f>
        <v/>
      </c>
      <c r="S571" s="51">
        <f>IF(R571="A conferir",(Config!$B$8-L571)*1000+N(F571)/1000+ROW()/100000,0)</f>
        <v>0</v>
      </c>
      <c r="T571" s="51">
        <f>IF(R571="A conferir",N(N571),0)</f>
        <v>0</v>
      </c>
      <c r="U571" s="51">
        <f>IF(L571="",0,L571)</f>
        <v>0</v>
      </c>
      <c r="V571" s="51">
        <f>IF(L571="",0,MAX(1,N(E571)))</f>
        <v>0</v>
      </c>
      <c r="W571" s="51">
        <f>IF(K571="",0,K571)</f>
        <v>0</v>
      </c>
    </row>
    <row r="572">
      <c r="A572" s="49" t="n"/>
      <c r="B572" s="41" t="n"/>
      <c r="C572" s="41" t="n"/>
      <c r="D572" s="42" t="n"/>
      <c r="E572" s="42" t="n"/>
      <c r="F572" s="50" t="n"/>
      <c r="G572" s="42" t="n"/>
      <c r="H572" s="30">
        <f>IF(D572="","",IFERROR(INDEX(Config!$B$12:$B$15,MATCH(IF(AND(D572="Cartão de crédito",N(E572)&gt;1),"Cartão de crédito parcelado",D572),Config!$A$12:$A$15,0)),0)+IF(AND(Config!$B$17="Sim",LEFT(D572,17)="Cartão de crédito"),Config!$B$18*IFERROR(INDEX(Config!$C$12:$C$15,MATCH(IF(AND(D572="Cartão de crédito",N(E572)&gt;1),"Cartão de crédito parcelado",D572),Config!$A$12:$A$15,0)),0)/30*MAX(1,N(E572)),0))</f>
        <v/>
      </c>
      <c r="I572" s="29">
        <f>IF(OR(D572="",F572=""),"",ROUND(F572*H572,2))</f>
        <v/>
      </c>
      <c r="J572" s="29">
        <f>IF(I572="","",F572-I572)</f>
        <v/>
      </c>
      <c r="K572" s="29">
        <f>IF(J572="","",J572/MAX(1,N(E572)))</f>
        <v/>
      </c>
      <c r="L572" s="37">
        <f>IF(OR(D572="",A572=""),"",A572+IF(AND(Config!$B$17="Sim",LEFT(D572,17)="Cartão de crédito"),1,IFERROR(INDEX(Config!$C$12:$C$15,MATCH(IF(AND(D572="Cartão de crédito",N(E572)&gt;1),"Cartão de crédito parcelado",D572),Config!$A$12:$A$15,0)),0)))</f>
        <v/>
      </c>
      <c r="M572" s="37">
        <f>IF(L572="","",IF(AND(Config!$B$17="Sim",LEFT(D572,17)="Cartão de crédito"),L572,L572+30*(MAX(1,N(E572))-1)))</f>
        <v/>
      </c>
      <c r="N572" s="29">
        <f>IF(OR(L572="",K572=""),"",K572*MIN(MAX(1,N(E572)),MAX(0,INT((Config!$B$8-L572)/30)+1)))</f>
        <v/>
      </c>
      <c r="O572" s="29">
        <f>IF(J572="","",J572-N(N572))</f>
        <v/>
      </c>
      <c r="P572" s="27">
        <f>IF(A572="","",MONTH(A572))</f>
        <v/>
      </c>
      <c r="Q572" s="27">
        <f>IF(A572="","",YEAR(A572))</f>
        <v/>
      </c>
      <c r="R572" s="27">
        <f>IF(L572="","",IF(L572&gt;Config!$B$8,"A cair",IF(N(G572)&gt;=MIN(MAX(1,N(E572)),MAX(0,INT((Config!$B$8-L572)/30)+1)),IF(N(G572)&gt;=MAX(1,N(E572)),"Conferido","Conferido até aqui"),"A conferir")))</f>
        <v/>
      </c>
      <c r="S572" s="51">
        <f>IF(R572="A conferir",(Config!$B$8-L572)*1000+N(F572)/1000+ROW()/100000,0)</f>
        <v>0</v>
      </c>
      <c r="T572" s="51">
        <f>IF(R572="A conferir",N(N572),0)</f>
        <v>0</v>
      </c>
      <c r="U572" s="51">
        <f>IF(L572="",0,L572)</f>
        <v>0</v>
      </c>
      <c r="V572" s="51">
        <f>IF(L572="",0,MAX(1,N(E572)))</f>
        <v>0</v>
      </c>
      <c r="W572" s="51">
        <f>IF(K572="",0,K572)</f>
        <v>0</v>
      </c>
    </row>
    <row r="573">
      <c r="A573" s="49" t="n"/>
      <c r="B573" s="41" t="n"/>
      <c r="C573" s="41" t="n"/>
      <c r="D573" s="42" t="n"/>
      <c r="E573" s="42" t="n"/>
      <c r="F573" s="50" t="n"/>
      <c r="G573" s="42" t="n"/>
      <c r="H573" s="30">
        <f>IF(D573="","",IFERROR(INDEX(Config!$B$12:$B$15,MATCH(IF(AND(D573="Cartão de crédito",N(E573)&gt;1),"Cartão de crédito parcelado",D573),Config!$A$12:$A$15,0)),0)+IF(AND(Config!$B$17="Sim",LEFT(D573,17)="Cartão de crédito"),Config!$B$18*IFERROR(INDEX(Config!$C$12:$C$15,MATCH(IF(AND(D573="Cartão de crédito",N(E573)&gt;1),"Cartão de crédito parcelado",D573),Config!$A$12:$A$15,0)),0)/30*MAX(1,N(E573)),0))</f>
        <v/>
      </c>
      <c r="I573" s="29">
        <f>IF(OR(D573="",F573=""),"",ROUND(F573*H573,2))</f>
        <v/>
      </c>
      <c r="J573" s="29">
        <f>IF(I573="","",F573-I573)</f>
        <v/>
      </c>
      <c r="K573" s="29">
        <f>IF(J573="","",J573/MAX(1,N(E573)))</f>
        <v/>
      </c>
      <c r="L573" s="37">
        <f>IF(OR(D573="",A573=""),"",A573+IF(AND(Config!$B$17="Sim",LEFT(D573,17)="Cartão de crédito"),1,IFERROR(INDEX(Config!$C$12:$C$15,MATCH(IF(AND(D573="Cartão de crédito",N(E573)&gt;1),"Cartão de crédito parcelado",D573),Config!$A$12:$A$15,0)),0)))</f>
        <v/>
      </c>
      <c r="M573" s="37">
        <f>IF(L573="","",IF(AND(Config!$B$17="Sim",LEFT(D573,17)="Cartão de crédito"),L573,L573+30*(MAX(1,N(E573))-1)))</f>
        <v/>
      </c>
      <c r="N573" s="29">
        <f>IF(OR(L573="",K573=""),"",K573*MIN(MAX(1,N(E573)),MAX(0,INT((Config!$B$8-L573)/30)+1)))</f>
        <v/>
      </c>
      <c r="O573" s="29">
        <f>IF(J573="","",J573-N(N573))</f>
        <v/>
      </c>
      <c r="P573" s="27">
        <f>IF(A573="","",MONTH(A573))</f>
        <v/>
      </c>
      <c r="Q573" s="27">
        <f>IF(A573="","",YEAR(A573))</f>
        <v/>
      </c>
      <c r="R573" s="27">
        <f>IF(L573="","",IF(L573&gt;Config!$B$8,"A cair",IF(N(G573)&gt;=MIN(MAX(1,N(E573)),MAX(0,INT((Config!$B$8-L573)/30)+1)),IF(N(G573)&gt;=MAX(1,N(E573)),"Conferido","Conferido até aqui"),"A conferir")))</f>
        <v/>
      </c>
      <c r="S573" s="51">
        <f>IF(R573="A conferir",(Config!$B$8-L573)*1000+N(F573)/1000+ROW()/100000,0)</f>
        <v>0</v>
      </c>
      <c r="T573" s="51">
        <f>IF(R573="A conferir",N(N573),0)</f>
        <v>0</v>
      </c>
      <c r="U573" s="51">
        <f>IF(L573="",0,L573)</f>
        <v>0</v>
      </c>
      <c r="V573" s="51">
        <f>IF(L573="",0,MAX(1,N(E573)))</f>
        <v>0</v>
      </c>
      <c r="W573" s="51">
        <f>IF(K573="",0,K573)</f>
        <v>0</v>
      </c>
    </row>
    <row r="574">
      <c r="A574" s="49" t="n"/>
      <c r="B574" s="41" t="n"/>
      <c r="C574" s="41" t="n"/>
      <c r="D574" s="42" t="n"/>
      <c r="E574" s="42" t="n"/>
      <c r="F574" s="50" t="n"/>
      <c r="G574" s="42" t="n"/>
      <c r="H574" s="30">
        <f>IF(D574="","",IFERROR(INDEX(Config!$B$12:$B$15,MATCH(IF(AND(D574="Cartão de crédito",N(E574)&gt;1),"Cartão de crédito parcelado",D574),Config!$A$12:$A$15,0)),0)+IF(AND(Config!$B$17="Sim",LEFT(D574,17)="Cartão de crédito"),Config!$B$18*IFERROR(INDEX(Config!$C$12:$C$15,MATCH(IF(AND(D574="Cartão de crédito",N(E574)&gt;1),"Cartão de crédito parcelado",D574),Config!$A$12:$A$15,0)),0)/30*MAX(1,N(E574)),0))</f>
        <v/>
      </c>
      <c r="I574" s="29">
        <f>IF(OR(D574="",F574=""),"",ROUND(F574*H574,2))</f>
        <v/>
      </c>
      <c r="J574" s="29">
        <f>IF(I574="","",F574-I574)</f>
        <v/>
      </c>
      <c r="K574" s="29">
        <f>IF(J574="","",J574/MAX(1,N(E574)))</f>
        <v/>
      </c>
      <c r="L574" s="37">
        <f>IF(OR(D574="",A574=""),"",A574+IF(AND(Config!$B$17="Sim",LEFT(D574,17)="Cartão de crédito"),1,IFERROR(INDEX(Config!$C$12:$C$15,MATCH(IF(AND(D574="Cartão de crédito",N(E574)&gt;1),"Cartão de crédito parcelado",D574),Config!$A$12:$A$15,0)),0)))</f>
        <v/>
      </c>
      <c r="M574" s="37">
        <f>IF(L574="","",IF(AND(Config!$B$17="Sim",LEFT(D574,17)="Cartão de crédito"),L574,L574+30*(MAX(1,N(E574))-1)))</f>
        <v/>
      </c>
      <c r="N574" s="29">
        <f>IF(OR(L574="",K574=""),"",K574*MIN(MAX(1,N(E574)),MAX(0,INT((Config!$B$8-L574)/30)+1)))</f>
        <v/>
      </c>
      <c r="O574" s="29">
        <f>IF(J574="","",J574-N(N574))</f>
        <v/>
      </c>
      <c r="P574" s="27">
        <f>IF(A574="","",MONTH(A574))</f>
        <v/>
      </c>
      <c r="Q574" s="27">
        <f>IF(A574="","",YEAR(A574))</f>
        <v/>
      </c>
      <c r="R574" s="27">
        <f>IF(L574="","",IF(L574&gt;Config!$B$8,"A cair",IF(N(G574)&gt;=MIN(MAX(1,N(E574)),MAX(0,INT((Config!$B$8-L574)/30)+1)),IF(N(G574)&gt;=MAX(1,N(E574)),"Conferido","Conferido até aqui"),"A conferir")))</f>
        <v/>
      </c>
      <c r="S574" s="51">
        <f>IF(R574="A conferir",(Config!$B$8-L574)*1000+N(F574)/1000+ROW()/100000,0)</f>
        <v>0</v>
      </c>
      <c r="T574" s="51">
        <f>IF(R574="A conferir",N(N574),0)</f>
        <v>0</v>
      </c>
      <c r="U574" s="51">
        <f>IF(L574="",0,L574)</f>
        <v>0</v>
      </c>
      <c r="V574" s="51">
        <f>IF(L574="",0,MAX(1,N(E574)))</f>
        <v>0</v>
      </c>
      <c r="W574" s="51">
        <f>IF(K574="",0,K574)</f>
        <v>0</v>
      </c>
    </row>
    <row r="575">
      <c r="A575" s="49" t="n"/>
      <c r="B575" s="41" t="n"/>
      <c r="C575" s="41" t="n"/>
      <c r="D575" s="42" t="n"/>
      <c r="E575" s="42" t="n"/>
      <c r="F575" s="50" t="n"/>
      <c r="G575" s="42" t="n"/>
      <c r="H575" s="30">
        <f>IF(D575="","",IFERROR(INDEX(Config!$B$12:$B$15,MATCH(IF(AND(D575="Cartão de crédito",N(E575)&gt;1),"Cartão de crédito parcelado",D575),Config!$A$12:$A$15,0)),0)+IF(AND(Config!$B$17="Sim",LEFT(D575,17)="Cartão de crédito"),Config!$B$18*IFERROR(INDEX(Config!$C$12:$C$15,MATCH(IF(AND(D575="Cartão de crédito",N(E575)&gt;1),"Cartão de crédito parcelado",D575),Config!$A$12:$A$15,0)),0)/30*MAX(1,N(E575)),0))</f>
        <v/>
      </c>
      <c r="I575" s="29">
        <f>IF(OR(D575="",F575=""),"",ROUND(F575*H575,2))</f>
        <v/>
      </c>
      <c r="J575" s="29">
        <f>IF(I575="","",F575-I575)</f>
        <v/>
      </c>
      <c r="K575" s="29">
        <f>IF(J575="","",J575/MAX(1,N(E575)))</f>
        <v/>
      </c>
      <c r="L575" s="37">
        <f>IF(OR(D575="",A575=""),"",A575+IF(AND(Config!$B$17="Sim",LEFT(D575,17)="Cartão de crédito"),1,IFERROR(INDEX(Config!$C$12:$C$15,MATCH(IF(AND(D575="Cartão de crédito",N(E575)&gt;1),"Cartão de crédito parcelado",D575),Config!$A$12:$A$15,0)),0)))</f>
        <v/>
      </c>
      <c r="M575" s="37">
        <f>IF(L575="","",IF(AND(Config!$B$17="Sim",LEFT(D575,17)="Cartão de crédito"),L575,L575+30*(MAX(1,N(E575))-1)))</f>
        <v/>
      </c>
      <c r="N575" s="29">
        <f>IF(OR(L575="",K575=""),"",K575*MIN(MAX(1,N(E575)),MAX(0,INT((Config!$B$8-L575)/30)+1)))</f>
        <v/>
      </c>
      <c r="O575" s="29">
        <f>IF(J575="","",J575-N(N575))</f>
        <v/>
      </c>
      <c r="P575" s="27">
        <f>IF(A575="","",MONTH(A575))</f>
        <v/>
      </c>
      <c r="Q575" s="27">
        <f>IF(A575="","",YEAR(A575))</f>
        <v/>
      </c>
      <c r="R575" s="27">
        <f>IF(L575="","",IF(L575&gt;Config!$B$8,"A cair",IF(N(G575)&gt;=MIN(MAX(1,N(E575)),MAX(0,INT((Config!$B$8-L575)/30)+1)),IF(N(G575)&gt;=MAX(1,N(E575)),"Conferido","Conferido até aqui"),"A conferir")))</f>
        <v/>
      </c>
      <c r="S575" s="51">
        <f>IF(R575="A conferir",(Config!$B$8-L575)*1000+N(F575)/1000+ROW()/100000,0)</f>
        <v>0</v>
      </c>
      <c r="T575" s="51">
        <f>IF(R575="A conferir",N(N575),0)</f>
        <v>0</v>
      </c>
      <c r="U575" s="51">
        <f>IF(L575="",0,L575)</f>
        <v>0</v>
      </c>
      <c r="V575" s="51">
        <f>IF(L575="",0,MAX(1,N(E575)))</f>
        <v>0</v>
      </c>
      <c r="W575" s="51">
        <f>IF(K575="",0,K575)</f>
        <v>0</v>
      </c>
    </row>
    <row r="576">
      <c r="A576" s="49" t="n"/>
      <c r="B576" s="41" t="n"/>
      <c r="C576" s="41" t="n"/>
      <c r="D576" s="42" t="n"/>
      <c r="E576" s="42" t="n"/>
      <c r="F576" s="50" t="n"/>
      <c r="G576" s="42" t="n"/>
      <c r="H576" s="30">
        <f>IF(D576="","",IFERROR(INDEX(Config!$B$12:$B$15,MATCH(IF(AND(D576="Cartão de crédito",N(E576)&gt;1),"Cartão de crédito parcelado",D576),Config!$A$12:$A$15,0)),0)+IF(AND(Config!$B$17="Sim",LEFT(D576,17)="Cartão de crédito"),Config!$B$18*IFERROR(INDEX(Config!$C$12:$C$15,MATCH(IF(AND(D576="Cartão de crédito",N(E576)&gt;1),"Cartão de crédito parcelado",D576),Config!$A$12:$A$15,0)),0)/30*MAX(1,N(E576)),0))</f>
        <v/>
      </c>
      <c r="I576" s="29">
        <f>IF(OR(D576="",F576=""),"",ROUND(F576*H576,2))</f>
        <v/>
      </c>
      <c r="J576" s="29">
        <f>IF(I576="","",F576-I576)</f>
        <v/>
      </c>
      <c r="K576" s="29">
        <f>IF(J576="","",J576/MAX(1,N(E576)))</f>
        <v/>
      </c>
      <c r="L576" s="37">
        <f>IF(OR(D576="",A576=""),"",A576+IF(AND(Config!$B$17="Sim",LEFT(D576,17)="Cartão de crédito"),1,IFERROR(INDEX(Config!$C$12:$C$15,MATCH(IF(AND(D576="Cartão de crédito",N(E576)&gt;1),"Cartão de crédito parcelado",D576),Config!$A$12:$A$15,0)),0)))</f>
        <v/>
      </c>
      <c r="M576" s="37">
        <f>IF(L576="","",IF(AND(Config!$B$17="Sim",LEFT(D576,17)="Cartão de crédito"),L576,L576+30*(MAX(1,N(E576))-1)))</f>
        <v/>
      </c>
      <c r="N576" s="29">
        <f>IF(OR(L576="",K576=""),"",K576*MIN(MAX(1,N(E576)),MAX(0,INT((Config!$B$8-L576)/30)+1)))</f>
        <v/>
      </c>
      <c r="O576" s="29">
        <f>IF(J576="","",J576-N(N576))</f>
        <v/>
      </c>
      <c r="P576" s="27">
        <f>IF(A576="","",MONTH(A576))</f>
        <v/>
      </c>
      <c r="Q576" s="27">
        <f>IF(A576="","",YEAR(A576))</f>
        <v/>
      </c>
      <c r="R576" s="27">
        <f>IF(L576="","",IF(L576&gt;Config!$B$8,"A cair",IF(N(G576)&gt;=MIN(MAX(1,N(E576)),MAX(0,INT((Config!$B$8-L576)/30)+1)),IF(N(G576)&gt;=MAX(1,N(E576)),"Conferido","Conferido até aqui"),"A conferir")))</f>
        <v/>
      </c>
      <c r="S576" s="51">
        <f>IF(R576="A conferir",(Config!$B$8-L576)*1000+N(F576)/1000+ROW()/100000,0)</f>
        <v>0</v>
      </c>
      <c r="T576" s="51">
        <f>IF(R576="A conferir",N(N576),0)</f>
        <v>0</v>
      </c>
      <c r="U576" s="51">
        <f>IF(L576="",0,L576)</f>
        <v>0</v>
      </c>
      <c r="V576" s="51">
        <f>IF(L576="",0,MAX(1,N(E576)))</f>
        <v>0</v>
      </c>
      <c r="W576" s="51">
        <f>IF(K576="",0,K576)</f>
        <v>0</v>
      </c>
    </row>
    <row r="577">
      <c r="A577" s="49" t="n"/>
      <c r="B577" s="41" t="n"/>
      <c r="C577" s="41" t="n"/>
      <c r="D577" s="42" t="n"/>
      <c r="E577" s="42" t="n"/>
      <c r="F577" s="50" t="n"/>
      <c r="G577" s="42" t="n"/>
      <c r="H577" s="30">
        <f>IF(D577="","",IFERROR(INDEX(Config!$B$12:$B$15,MATCH(IF(AND(D577="Cartão de crédito",N(E577)&gt;1),"Cartão de crédito parcelado",D577),Config!$A$12:$A$15,0)),0)+IF(AND(Config!$B$17="Sim",LEFT(D577,17)="Cartão de crédito"),Config!$B$18*IFERROR(INDEX(Config!$C$12:$C$15,MATCH(IF(AND(D577="Cartão de crédito",N(E577)&gt;1),"Cartão de crédito parcelado",D577),Config!$A$12:$A$15,0)),0)/30*MAX(1,N(E577)),0))</f>
        <v/>
      </c>
      <c r="I577" s="29">
        <f>IF(OR(D577="",F577=""),"",ROUND(F577*H577,2))</f>
        <v/>
      </c>
      <c r="J577" s="29">
        <f>IF(I577="","",F577-I577)</f>
        <v/>
      </c>
      <c r="K577" s="29">
        <f>IF(J577="","",J577/MAX(1,N(E577)))</f>
        <v/>
      </c>
      <c r="L577" s="37">
        <f>IF(OR(D577="",A577=""),"",A577+IF(AND(Config!$B$17="Sim",LEFT(D577,17)="Cartão de crédito"),1,IFERROR(INDEX(Config!$C$12:$C$15,MATCH(IF(AND(D577="Cartão de crédito",N(E577)&gt;1),"Cartão de crédito parcelado",D577),Config!$A$12:$A$15,0)),0)))</f>
        <v/>
      </c>
      <c r="M577" s="37">
        <f>IF(L577="","",IF(AND(Config!$B$17="Sim",LEFT(D577,17)="Cartão de crédito"),L577,L577+30*(MAX(1,N(E577))-1)))</f>
        <v/>
      </c>
      <c r="N577" s="29">
        <f>IF(OR(L577="",K577=""),"",K577*MIN(MAX(1,N(E577)),MAX(0,INT((Config!$B$8-L577)/30)+1)))</f>
        <v/>
      </c>
      <c r="O577" s="29">
        <f>IF(J577="","",J577-N(N577))</f>
        <v/>
      </c>
      <c r="P577" s="27">
        <f>IF(A577="","",MONTH(A577))</f>
        <v/>
      </c>
      <c r="Q577" s="27">
        <f>IF(A577="","",YEAR(A577))</f>
        <v/>
      </c>
      <c r="R577" s="27">
        <f>IF(L577="","",IF(L577&gt;Config!$B$8,"A cair",IF(N(G577)&gt;=MIN(MAX(1,N(E577)),MAX(0,INT((Config!$B$8-L577)/30)+1)),IF(N(G577)&gt;=MAX(1,N(E577)),"Conferido","Conferido até aqui"),"A conferir")))</f>
        <v/>
      </c>
      <c r="S577" s="51">
        <f>IF(R577="A conferir",(Config!$B$8-L577)*1000+N(F577)/1000+ROW()/100000,0)</f>
        <v>0</v>
      </c>
      <c r="T577" s="51">
        <f>IF(R577="A conferir",N(N577),0)</f>
        <v>0</v>
      </c>
      <c r="U577" s="51">
        <f>IF(L577="",0,L577)</f>
        <v>0</v>
      </c>
      <c r="V577" s="51">
        <f>IF(L577="",0,MAX(1,N(E577)))</f>
        <v>0</v>
      </c>
      <c r="W577" s="51">
        <f>IF(K577="",0,K577)</f>
        <v>0</v>
      </c>
    </row>
    <row r="578">
      <c r="A578" s="49" t="n"/>
      <c r="B578" s="41" t="n"/>
      <c r="C578" s="41" t="n"/>
      <c r="D578" s="42" t="n"/>
      <c r="E578" s="42" t="n"/>
      <c r="F578" s="50" t="n"/>
      <c r="G578" s="42" t="n"/>
      <c r="H578" s="30">
        <f>IF(D578="","",IFERROR(INDEX(Config!$B$12:$B$15,MATCH(IF(AND(D578="Cartão de crédito",N(E578)&gt;1),"Cartão de crédito parcelado",D578),Config!$A$12:$A$15,0)),0)+IF(AND(Config!$B$17="Sim",LEFT(D578,17)="Cartão de crédito"),Config!$B$18*IFERROR(INDEX(Config!$C$12:$C$15,MATCH(IF(AND(D578="Cartão de crédito",N(E578)&gt;1),"Cartão de crédito parcelado",D578),Config!$A$12:$A$15,0)),0)/30*MAX(1,N(E578)),0))</f>
        <v/>
      </c>
      <c r="I578" s="29">
        <f>IF(OR(D578="",F578=""),"",ROUND(F578*H578,2))</f>
        <v/>
      </c>
      <c r="J578" s="29">
        <f>IF(I578="","",F578-I578)</f>
        <v/>
      </c>
      <c r="K578" s="29">
        <f>IF(J578="","",J578/MAX(1,N(E578)))</f>
        <v/>
      </c>
      <c r="L578" s="37">
        <f>IF(OR(D578="",A578=""),"",A578+IF(AND(Config!$B$17="Sim",LEFT(D578,17)="Cartão de crédito"),1,IFERROR(INDEX(Config!$C$12:$C$15,MATCH(IF(AND(D578="Cartão de crédito",N(E578)&gt;1),"Cartão de crédito parcelado",D578),Config!$A$12:$A$15,0)),0)))</f>
        <v/>
      </c>
      <c r="M578" s="37">
        <f>IF(L578="","",IF(AND(Config!$B$17="Sim",LEFT(D578,17)="Cartão de crédito"),L578,L578+30*(MAX(1,N(E578))-1)))</f>
        <v/>
      </c>
      <c r="N578" s="29">
        <f>IF(OR(L578="",K578=""),"",K578*MIN(MAX(1,N(E578)),MAX(0,INT((Config!$B$8-L578)/30)+1)))</f>
        <v/>
      </c>
      <c r="O578" s="29">
        <f>IF(J578="","",J578-N(N578))</f>
        <v/>
      </c>
      <c r="P578" s="27">
        <f>IF(A578="","",MONTH(A578))</f>
        <v/>
      </c>
      <c r="Q578" s="27">
        <f>IF(A578="","",YEAR(A578))</f>
        <v/>
      </c>
      <c r="R578" s="27">
        <f>IF(L578="","",IF(L578&gt;Config!$B$8,"A cair",IF(N(G578)&gt;=MIN(MAX(1,N(E578)),MAX(0,INT((Config!$B$8-L578)/30)+1)),IF(N(G578)&gt;=MAX(1,N(E578)),"Conferido","Conferido até aqui"),"A conferir")))</f>
        <v/>
      </c>
      <c r="S578" s="51">
        <f>IF(R578="A conferir",(Config!$B$8-L578)*1000+N(F578)/1000+ROW()/100000,0)</f>
        <v>0</v>
      </c>
      <c r="T578" s="51">
        <f>IF(R578="A conferir",N(N578),0)</f>
        <v>0</v>
      </c>
      <c r="U578" s="51">
        <f>IF(L578="",0,L578)</f>
        <v>0</v>
      </c>
      <c r="V578" s="51">
        <f>IF(L578="",0,MAX(1,N(E578)))</f>
        <v>0</v>
      </c>
      <c r="W578" s="51">
        <f>IF(K578="",0,K578)</f>
        <v>0</v>
      </c>
    </row>
    <row r="579">
      <c r="A579" s="49" t="n"/>
      <c r="B579" s="41" t="n"/>
      <c r="C579" s="41" t="n"/>
      <c r="D579" s="42" t="n"/>
      <c r="E579" s="42" t="n"/>
      <c r="F579" s="50" t="n"/>
      <c r="G579" s="42" t="n"/>
      <c r="H579" s="30">
        <f>IF(D579="","",IFERROR(INDEX(Config!$B$12:$B$15,MATCH(IF(AND(D579="Cartão de crédito",N(E579)&gt;1),"Cartão de crédito parcelado",D579),Config!$A$12:$A$15,0)),0)+IF(AND(Config!$B$17="Sim",LEFT(D579,17)="Cartão de crédito"),Config!$B$18*IFERROR(INDEX(Config!$C$12:$C$15,MATCH(IF(AND(D579="Cartão de crédito",N(E579)&gt;1),"Cartão de crédito parcelado",D579),Config!$A$12:$A$15,0)),0)/30*MAX(1,N(E579)),0))</f>
        <v/>
      </c>
      <c r="I579" s="29">
        <f>IF(OR(D579="",F579=""),"",ROUND(F579*H579,2))</f>
        <v/>
      </c>
      <c r="J579" s="29">
        <f>IF(I579="","",F579-I579)</f>
        <v/>
      </c>
      <c r="K579" s="29">
        <f>IF(J579="","",J579/MAX(1,N(E579)))</f>
        <v/>
      </c>
      <c r="L579" s="37">
        <f>IF(OR(D579="",A579=""),"",A579+IF(AND(Config!$B$17="Sim",LEFT(D579,17)="Cartão de crédito"),1,IFERROR(INDEX(Config!$C$12:$C$15,MATCH(IF(AND(D579="Cartão de crédito",N(E579)&gt;1),"Cartão de crédito parcelado",D579),Config!$A$12:$A$15,0)),0)))</f>
        <v/>
      </c>
      <c r="M579" s="37">
        <f>IF(L579="","",IF(AND(Config!$B$17="Sim",LEFT(D579,17)="Cartão de crédito"),L579,L579+30*(MAX(1,N(E579))-1)))</f>
        <v/>
      </c>
      <c r="N579" s="29">
        <f>IF(OR(L579="",K579=""),"",K579*MIN(MAX(1,N(E579)),MAX(0,INT((Config!$B$8-L579)/30)+1)))</f>
        <v/>
      </c>
      <c r="O579" s="29">
        <f>IF(J579="","",J579-N(N579))</f>
        <v/>
      </c>
      <c r="P579" s="27">
        <f>IF(A579="","",MONTH(A579))</f>
        <v/>
      </c>
      <c r="Q579" s="27">
        <f>IF(A579="","",YEAR(A579))</f>
        <v/>
      </c>
      <c r="R579" s="27">
        <f>IF(L579="","",IF(L579&gt;Config!$B$8,"A cair",IF(N(G579)&gt;=MIN(MAX(1,N(E579)),MAX(0,INT((Config!$B$8-L579)/30)+1)),IF(N(G579)&gt;=MAX(1,N(E579)),"Conferido","Conferido até aqui"),"A conferir")))</f>
        <v/>
      </c>
      <c r="S579" s="51">
        <f>IF(R579="A conferir",(Config!$B$8-L579)*1000+N(F579)/1000+ROW()/100000,0)</f>
        <v>0</v>
      </c>
      <c r="T579" s="51">
        <f>IF(R579="A conferir",N(N579),0)</f>
        <v>0</v>
      </c>
      <c r="U579" s="51">
        <f>IF(L579="",0,L579)</f>
        <v>0</v>
      </c>
      <c r="V579" s="51">
        <f>IF(L579="",0,MAX(1,N(E579)))</f>
        <v>0</v>
      </c>
      <c r="W579" s="51">
        <f>IF(K579="",0,K579)</f>
        <v>0</v>
      </c>
    </row>
    <row r="580">
      <c r="A580" s="49" t="n"/>
      <c r="B580" s="41" t="n"/>
      <c r="C580" s="41" t="n"/>
      <c r="D580" s="42" t="n"/>
      <c r="E580" s="42" t="n"/>
      <c r="F580" s="50" t="n"/>
      <c r="G580" s="42" t="n"/>
      <c r="H580" s="30">
        <f>IF(D580="","",IFERROR(INDEX(Config!$B$12:$B$15,MATCH(IF(AND(D580="Cartão de crédito",N(E580)&gt;1),"Cartão de crédito parcelado",D580),Config!$A$12:$A$15,0)),0)+IF(AND(Config!$B$17="Sim",LEFT(D580,17)="Cartão de crédito"),Config!$B$18*IFERROR(INDEX(Config!$C$12:$C$15,MATCH(IF(AND(D580="Cartão de crédito",N(E580)&gt;1),"Cartão de crédito parcelado",D580),Config!$A$12:$A$15,0)),0)/30*MAX(1,N(E580)),0))</f>
        <v/>
      </c>
      <c r="I580" s="29">
        <f>IF(OR(D580="",F580=""),"",ROUND(F580*H580,2))</f>
        <v/>
      </c>
      <c r="J580" s="29">
        <f>IF(I580="","",F580-I580)</f>
        <v/>
      </c>
      <c r="K580" s="29">
        <f>IF(J580="","",J580/MAX(1,N(E580)))</f>
        <v/>
      </c>
      <c r="L580" s="37">
        <f>IF(OR(D580="",A580=""),"",A580+IF(AND(Config!$B$17="Sim",LEFT(D580,17)="Cartão de crédito"),1,IFERROR(INDEX(Config!$C$12:$C$15,MATCH(IF(AND(D580="Cartão de crédito",N(E580)&gt;1),"Cartão de crédito parcelado",D580),Config!$A$12:$A$15,0)),0)))</f>
        <v/>
      </c>
      <c r="M580" s="37">
        <f>IF(L580="","",IF(AND(Config!$B$17="Sim",LEFT(D580,17)="Cartão de crédito"),L580,L580+30*(MAX(1,N(E580))-1)))</f>
        <v/>
      </c>
      <c r="N580" s="29">
        <f>IF(OR(L580="",K580=""),"",K580*MIN(MAX(1,N(E580)),MAX(0,INT((Config!$B$8-L580)/30)+1)))</f>
        <v/>
      </c>
      <c r="O580" s="29">
        <f>IF(J580="","",J580-N(N580))</f>
        <v/>
      </c>
      <c r="P580" s="27">
        <f>IF(A580="","",MONTH(A580))</f>
        <v/>
      </c>
      <c r="Q580" s="27">
        <f>IF(A580="","",YEAR(A580))</f>
        <v/>
      </c>
      <c r="R580" s="27">
        <f>IF(L580="","",IF(L580&gt;Config!$B$8,"A cair",IF(N(G580)&gt;=MIN(MAX(1,N(E580)),MAX(0,INT((Config!$B$8-L580)/30)+1)),IF(N(G580)&gt;=MAX(1,N(E580)),"Conferido","Conferido até aqui"),"A conferir")))</f>
        <v/>
      </c>
      <c r="S580" s="51">
        <f>IF(R580="A conferir",(Config!$B$8-L580)*1000+N(F580)/1000+ROW()/100000,0)</f>
        <v>0</v>
      </c>
      <c r="T580" s="51">
        <f>IF(R580="A conferir",N(N580),0)</f>
        <v>0</v>
      </c>
      <c r="U580" s="51">
        <f>IF(L580="",0,L580)</f>
        <v>0</v>
      </c>
      <c r="V580" s="51">
        <f>IF(L580="",0,MAX(1,N(E580)))</f>
        <v>0</v>
      </c>
      <c r="W580" s="51">
        <f>IF(K580="",0,K580)</f>
        <v>0</v>
      </c>
    </row>
    <row r="581">
      <c r="A581" s="49" t="n"/>
      <c r="B581" s="41" t="n"/>
      <c r="C581" s="41" t="n"/>
      <c r="D581" s="42" t="n"/>
      <c r="E581" s="42" t="n"/>
      <c r="F581" s="50" t="n"/>
      <c r="G581" s="42" t="n"/>
      <c r="H581" s="30">
        <f>IF(D581="","",IFERROR(INDEX(Config!$B$12:$B$15,MATCH(IF(AND(D581="Cartão de crédito",N(E581)&gt;1),"Cartão de crédito parcelado",D581),Config!$A$12:$A$15,0)),0)+IF(AND(Config!$B$17="Sim",LEFT(D581,17)="Cartão de crédito"),Config!$B$18*IFERROR(INDEX(Config!$C$12:$C$15,MATCH(IF(AND(D581="Cartão de crédito",N(E581)&gt;1),"Cartão de crédito parcelado",D581),Config!$A$12:$A$15,0)),0)/30*MAX(1,N(E581)),0))</f>
        <v/>
      </c>
      <c r="I581" s="29">
        <f>IF(OR(D581="",F581=""),"",ROUND(F581*H581,2))</f>
        <v/>
      </c>
      <c r="J581" s="29">
        <f>IF(I581="","",F581-I581)</f>
        <v/>
      </c>
      <c r="K581" s="29">
        <f>IF(J581="","",J581/MAX(1,N(E581)))</f>
        <v/>
      </c>
      <c r="L581" s="37">
        <f>IF(OR(D581="",A581=""),"",A581+IF(AND(Config!$B$17="Sim",LEFT(D581,17)="Cartão de crédito"),1,IFERROR(INDEX(Config!$C$12:$C$15,MATCH(IF(AND(D581="Cartão de crédito",N(E581)&gt;1),"Cartão de crédito parcelado",D581),Config!$A$12:$A$15,0)),0)))</f>
        <v/>
      </c>
      <c r="M581" s="37">
        <f>IF(L581="","",IF(AND(Config!$B$17="Sim",LEFT(D581,17)="Cartão de crédito"),L581,L581+30*(MAX(1,N(E581))-1)))</f>
        <v/>
      </c>
      <c r="N581" s="29">
        <f>IF(OR(L581="",K581=""),"",K581*MIN(MAX(1,N(E581)),MAX(0,INT((Config!$B$8-L581)/30)+1)))</f>
        <v/>
      </c>
      <c r="O581" s="29">
        <f>IF(J581="","",J581-N(N581))</f>
        <v/>
      </c>
      <c r="P581" s="27">
        <f>IF(A581="","",MONTH(A581))</f>
        <v/>
      </c>
      <c r="Q581" s="27">
        <f>IF(A581="","",YEAR(A581))</f>
        <v/>
      </c>
      <c r="R581" s="27">
        <f>IF(L581="","",IF(L581&gt;Config!$B$8,"A cair",IF(N(G581)&gt;=MIN(MAX(1,N(E581)),MAX(0,INT((Config!$B$8-L581)/30)+1)),IF(N(G581)&gt;=MAX(1,N(E581)),"Conferido","Conferido até aqui"),"A conferir")))</f>
        <v/>
      </c>
      <c r="S581" s="51">
        <f>IF(R581="A conferir",(Config!$B$8-L581)*1000+N(F581)/1000+ROW()/100000,0)</f>
        <v>0</v>
      </c>
      <c r="T581" s="51">
        <f>IF(R581="A conferir",N(N581),0)</f>
        <v>0</v>
      </c>
      <c r="U581" s="51">
        <f>IF(L581="",0,L581)</f>
        <v>0</v>
      </c>
      <c r="V581" s="51">
        <f>IF(L581="",0,MAX(1,N(E581)))</f>
        <v>0</v>
      </c>
      <c r="W581" s="51">
        <f>IF(K581="",0,K581)</f>
        <v>0</v>
      </c>
    </row>
    <row r="582">
      <c r="A582" s="49" t="n"/>
      <c r="B582" s="41" t="n"/>
      <c r="C582" s="41" t="n"/>
      <c r="D582" s="42" t="n"/>
      <c r="E582" s="42" t="n"/>
      <c r="F582" s="50" t="n"/>
      <c r="G582" s="42" t="n"/>
      <c r="H582" s="30">
        <f>IF(D582="","",IFERROR(INDEX(Config!$B$12:$B$15,MATCH(IF(AND(D582="Cartão de crédito",N(E582)&gt;1),"Cartão de crédito parcelado",D582),Config!$A$12:$A$15,0)),0)+IF(AND(Config!$B$17="Sim",LEFT(D582,17)="Cartão de crédito"),Config!$B$18*IFERROR(INDEX(Config!$C$12:$C$15,MATCH(IF(AND(D582="Cartão de crédito",N(E582)&gt;1),"Cartão de crédito parcelado",D582),Config!$A$12:$A$15,0)),0)/30*MAX(1,N(E582)),0))</f>
        <v/>
      </c>
      <c r="I582" s="29">
        <f>IF(OR(D582="",F582=""),"",ROUND(F582*H582,2))</f>
        <v/>
      </c>
      <c r="J582" s="29">
        <f>IF(I582="","",F582-I582)</f>
        <v/>
      </c>
      <c r="K582" s="29">
        <f>IF(J582="","",J582/MAX(1,N(E582)))</f>
        <v/>
      </c>
      <c r="L582" s="37">
        <f>IF(OR(D582="",A582=""),"",A582+IF(AND(Config!$B$17="Sim",LEFT(D582,17)="Cartão de crédito"),1,IFERROR(INDEX(Config!$C$12:$C$15,MATCH(IF(AND(D582="Cartão de crédito",N(E582)&gt;1),"Cartão de crédito parcelado",D582),Config!$A$12:$A$15,0)),0)))</f>
        <v/>
      </c>
      <c r="M582" s="37">
        <f>IF(L582="","",IF(AND(Config!$B$17="Sim",LEFT(D582,17)="Cartão de crédito"),L582,L582+30*(MAX(1,N(E582))-1)))</f>
        <v/>
      </c>
      <c r="N582" s="29">
        <f>IF(OR(L582="",K582=""),"",K582*MIN(MAX(1,N(E582)),MAX(0,INT((Config!$B$8-L582)/30)+1)))</f>
        <v/>
      </c>
      <c r="O582" s="29">
        <f>IF(J582="","",J582-N(N582))</f>
        <v/>
      </c>
      <c r="P582" s="27">
        <f>IF(A582="","",MONTH(A582))</f>
        <v/>
      </c>
      <c r="Q582" s="27">
        <f>IF(A582="","",YEAR(A582))</f>
        <v/>
      </c>
      <c r="R582" s="27">
        <f>IF(L582="","",IF(L582&gt;Config!$B$8,"A cair",IF(N(G582)&gt;=MIN(MAX(1,N(E582)),MAX(0,INT((Config!$B$8-L582)/30)+1)),IF(N(G582)&gt;=MAX(1,N(E582)),"Conferido","Conferido até aqui"),"A conferir")))</f>
        <v/>
      </c>
      <c r="S582" s="51">
        <f>IF(R582="A conferir",(Config!$B$8-L582)*1000+N(F582)/1000+ROW()/100000,0)</f>
        <v>0</v>
      </c>
      <c r="T582" s="51">
        <f>IF(R582="A conferir",N(N582),0)</f>
        <v>0</v>
      </c>
      <c r="U582" s="51">
        <f>IF(L582="",0,L582)</f>
        <v>0</v>
      </c>
      <c r="V582" s="51">
        <f>IF(L582="",0,MAX(1,N(E582)))</f>
        <v>0</v>
      </c>
      <c r="W582" s="51">
        <f>IF(K582="",0,K582)</f>
        <v>0</v>
      </c>
    </row>
    <row r="583">
      <c r="A583" s="49" t="n"/>
      <c r="B583" s="41" t="n"/>
      <c r="C583" s="41" t="n"/>
      <c r="D583" s="42" t="n"/>
      <c r="E583" s="42" t="n"/>
      <c r="F583" s="50" t="n"/>
      <c r="G583" s="42" t="n"/>
      <c r="H583" s="30">
        <f>IF(D583="","",IFERROR(INDEX(Config!$B$12:$B$15,MATCH(IF(AND(D583="Cartão de crédito",N(E583)&gt;1),"Cartão de crédito parcelado",D583),Config!$A$12:$A$15,0)),0)+IF(AND(Config!$B$17="Sim",LEFT(D583,17)="Cartão de crédito"),Config!$B$18*IFERROR(INDEX(Config!$C$12:$C$15,MATCH(IF(AND(D583="Cartão de crédito",N(E583)&gt;1),"Cartão de crédito parcelado",D583),Config!$A$12:$A$15,0)),0)/30*MAX(1,N(E583)),0))</f>
        <v/>
      </c>
      <c r="I583" s="29">
        <f>IF(OR(D583="",F583=""),"",ROUND(F583*H583,2))</f>
        <v/>
      </c>
      <c r="J583" s="29">
        <f>IF(I583="","",F583-I583)</f>
        <v/>
      </c>
      <c r="K583" s="29">
        <f>IF(J583="","",J583/MAX(1,N(E583)))</f>
        <v/>
      </c>
      <c r="L583" s="37">
        <f>IF(OR(D583="",A583=""),"",A583+IF(AND(Config!$B$17="Sim",LEFT(D583,17)="Cartão de crédito"),1,IFERROR(INDEX(Config!$C$12:$C$15,MATCH(IF(AND(D583="Cartão de crédito",N(E583)&gt;1),"Cartão de crédito parcelado",D583),Config!$A$12:$A$15,0)),0)))</f>
        <v/>
      </c>
      <c r="M583" s="37">
        <f>IF(L583="","",IF(AND(Config!$B$17="Sim",LEFT(D583,17)="Cartão de crédito"),L583,L583+30*(MAX(1,N(E583))-1)))</f>
        <v/>
      </c>
      <c r="N583" s="29">
        <f>IF(OR(L583="",K583=""),"",K583*MIN(MAX(1,N(E583)),MAX(0,INT((Config!$B$8-L583)/30)+1)))</f>
        <v/>
      </c>
      <c r="O583" s="29">
        <f>IF(J583="","",J583-N(N583))</f>
        <v/>
      </c>
      <c r="P583" s="27">
        <f>IF(A583="","",MONTH(A583))</f>
        <v/>
      </c>
      <c r="Q583" s="27">
        <f>IF(A583="","",YEAR(A583))</f>
        <v/>
      </c>
      <c r="R583" s="27">
        <f>IF(L583="","",IF(L583&gt;Config!$B$8,"A cair",IF(N(G583)&gt;=MIN(MAX(1,N(E583)),MAX(0,INT((Config!$B$8-L583)/30)+1)),IF(N(G583)&gt;=MAX(1,N(E583)),"Conferido","Conferido até aqui"),"A conferir")))</f>
        <v/>
      </c>
      <c r="S583" s="51">
        <f>IF(R583="A conferir",(Config!$B$8-L583)*1000+N(F583)/1000+ROW()/100000,0)</f>
        <v>0</v>
      </c>
      <c r="T583" s="51">
        <f>IF(R583="A conferir",N(N583),0)</f>
        <v>0</v>
      </c>
      <c r="U583" s="51">
        <f>IF(L583="",0,L583)</f>
        <v>0</v>
      </c>
      <c r="V583" s="51">
        <f>IF(L583="",0,MAX(1,N(E583)))</f>
        <v>0</v>
      </c>
      <c r="W583" s="51">
        <f>IF(K583="",0,K583)</f>
        <v>0</v>
      </c>
    </row>
    <row r="584">
      <c r="A584" s="49" t="n"/>
      <c r="B584" s="41" t="n"/>
      <c r="C584" s="41" t="n"/>
      <c r="D584" s="42" t="n"/>
      <c r="E584" s="42" t="n"/>
      <c r="F584" s="50" t="n"/>
      <c r="G584" s="42" t="n"/>
      <c r="H584" s="30">
        <f>IF(D584="","",IFERROR(INDEX(Config!$B$12:$B$15,MATCH(IF(AND(D584="Cartão de crédito",N(E584)&gt;1),"Cartão de crédito parcelado",D584),Config!$A$12:$A$15,0)),0)+IF(AND(Config!$B$17="Sim",LEFT(D584,17)="Cartão de crédito"),Config!$B$18*IFERROR(INDEX(Config!$C$12:$C$15,MATCH(IF(AND(D584="Cartão de crédito",N(E584)&gt;1),"Cartão de crédito parcelado",D584),Config!$A$12:$A$15,0)),0)/30*MAX(1,N(E584)),0))</f>
        <v/>
      </c>
      <c r="I584" s="29">
        <f>IF(OR(D584="",F584=""),"",ROUND(F584*H584,2))</f>
        <v/>
      </c>
      <c r="J584" s="29">
        <f>IF(I584="","",F584-I584)</f>
        <v/>
      </c>
      <c r="K584" s="29">
        <f>IF(J584="","",J584/MAX(1,N(E584)))</f>
        <v/>
      </c>
      <c r="L584" s="37">
        <f>IF(OR(D584="",A584=""),"",A584+IF(AND(Config!$B$17="Sim",LEFT(D584,17)="Cartão de crédito"),1,IFERROR(INDEX(Config!$C$12:$C$15,MATCH(IF(AND(D584="Cartão de crédito",N(E584)&gt;1),"Cartão de crédito parcelado",D584),Config!$A$12:$A$15,0)),0)))</f>
        <v/>
      </c>
      <c r="M584" s="37">
        <f>IF(L584="","",IF(AND(Config!$B$17="Sim",LEFT(D584,17)="Cartão de crédito"),L584,L584+30*(MAX(1,N(E584))-1)))</f>
        <v/>
      </c>
      <c r="N584" s="29">
        <f>IF(OR(L584="",K584=""),"",K584*MIN(MAX(1,N(E584)),MAX(0,INT((Config!$B$8-L584)/30)+1)))</f>
        <v/>
      </c>
      <c r="O584" s="29">
        <f>IF(J584="","",J584-N(N584))</f>
        <v/>
      </c>
      <c r="P584" s="27">
        <f>IF(A584="","",MONTH(A584))</f>
        <v/>
      </c>
      <c r="Q584" s="27">
        <f>IF(A584="","",YEAR(A584))</f>
        <v/>
      </c>
      <c r="R584" s="27">
        <f>IF(L584="","",IF(L584&gt;Config!$B$8,"A cair",IF(N(G584)&gt;=MIN(MAX(1,N(E584)),MAX(0,INT((Config!$B$8-L584)/30)+1)),IF(N(G584)&gt;=MAX(1,N(E584)),"Conferido","Conferido até aqui"),"A conferir")))</f>
        <v/>
      </c>
      <c r="S584" s="51">
        <f>IF(R584="A conferir",(Config!$B$8-L584)*1000+N(F584)/1000+ROW()/100000,0)</f>
        <v>0</v>
      </c>
      <c r="T584" s="51">
        <f>IF(R584="A conferir",N(N584),0)</f>
        <v>0</v>
      </c>
      <c r="U584" s="51">
        <f>IF(L584="",0,L584)</f>
        <v>0</v>
      </c>
      <c r="V584" s="51">
        <f>IF(L584="",0,MAX(1,N(E584)))</f>
        <v>0</v>
      </c>
      <c r="W584" s="51">
        <f>IF(K584="",0,K584)</f>
        <v>0</v>
      </c>
    </row>
    <row r="585">
      <c r="A585" s="49" t="n"/>
      <c r="B585" s="41" t="n"/>
      <c r="C585" s="41" t="n"/>
      <c r="D585" s="42" t="n"/>
      <c r="E585" s="42" t="n"/>
      <c r="F585" s="50" t="n"/>
      <c r="G585" s="42" t="n"/>
      <c r="H585" s="30">
        <f>IF(D585="","",IFERROR(INDEX(Config!$B$12:$B$15,MATCH(IF(AND(D585="Cartão de crédito",N(E585)&gt;1),"Cartão de crédito parcelado",D585),Config!$A$12:$A$15,0)),0)+IF(AND(Config!$B$17="Sim",LEFT(D585,17)="Cartão de crédito"),Config!$B$18*IFERROR(INDEX(Config!$C$12:$C$15,MATCH(IF(AND(D585="Cartão de crédito",N(E585)&gt;1),"Cartão de crédito parcelado",D585),Config!$A$12:$A$15,0)),0)/30*MAX(1,N(E585)),0))</f>
        <v/>
      </c>
      <c r="I585" s="29">
        <f>IF(OR(D585="",F585=""),"",ROUND(F585*H585,2))</f>
        <v/>
      </c>
      <c r="J585" s="29">
        <f>IF(I585="","",F585-I585)</f>
        <v/>
      </c>
      <c r="K585" s="29">
        <f>IF(J585="","",J585/MAX(1,N(E585)))</f>
        <v/>
      </c>
      <c r="L585" s="37">
        <f>IF(OR(D585="",A585=""),"",A585+IF(AND(Config!$B$17="Sim",LEFT(D585,17)="Cartão de crédito"),1,IFERROR(INDEX(Config!$C$12:$C$15,MATCH(IF(AND(D585="Cartão de crédito",N(E585)&gt;1),"Cartão de crédito parcelado",D585),Config!$A$12:$A$15,0)),0)))</f>
        <v/>
      </c>
      <c r="M585" s="37">
        <f>IF(L585="","",IF(AND(Config!$B$17="Sim",LEFT(D585,17)="Cartão de crédito"),L585,L585+30*(MAX(1,N(E585))-1)))</f>
        <v/>
      </c>
      <c r="N585" s="29">
        <f>IF(OR(L585="",K585=""),"",K585*MIN(MAX(1,N(E585)),MAX(0,INT((Config!$B$8-L585)/30)+1)))</f>
        <v/>
      </c>
      <c r="O585" s="29">
        <f>IF(J585="","",J585-N(N585))</f>
        <v/>
      </c>
      <c r="P585" s="27">
        <f>IF(A585="","",MONTH(A585))</f>
        <v/>
      </c>
      <c r="Q585" s="27">
        <f>IF(A585="","",YEAR(A585))</f>
        <v/>
      </c>
      <c r="R585" s="27">
        <f>IF(L585="","",IF(L585&gt;Config!$B$8,"A cair",IF(N(G585)&gt;=MIN(MAX(1,N(E585)),MAX(0,INT((Config!$B$8-L585)/30)+1)),IF(N(G585)&gt;=MAX(1,N(E585)),"Conferido","Conferido até aqui"),"A conferir")))</f>
        <v/>
      </c>
      <c r="S585" s="51">
        <f>IF(R585="A conferir",(Config!$B$8-L585)*1000+N(F585)/1000+ROW()/100000,0)</f>
        <v>0</v>
      </c>
      <c r="T585" s="51">
        <f>IF(R585="A conferir",N(N585),0)</f>
        <v>0</v>
      </c>
      <c r="U585" s="51">
        <f>IF(L585="",0,L585)</f>
        <v>0</v>
      </c>
      <c r="V585" s="51">
        <f>IF(L585="",0,MAX(1,N(E585)))</f>
        <v>0</v>
      </c>
      <c r="W585" s="51">
        <f>IF(K585="",0,K585)</f>
        <v>0</v>
      </c>
    </row>
    <row r="586">
      <c r="A586" s="49" t="n"/>
      <c r="B586" s="41" t="n"/>
      <c r="C586" s="41" t="n"/>
      <c r="D586" s="42" t="n"/>
      <c r="E586" s="42" t="n"/>
      <c r="F586" s="50" t="n"/>
      <c r="G586" s="42" t="n"/>
      <c r="H586" s="30">
        <f>IF(D586="","",IFERROR(INDEX(Config!$B$12:$B$15,MATCH(IF(AND(D586="Cartão de crédito",N(E586)&gt;1),"Cartão de crédito parcelado",D586),Config!$A$12:$A$15,0)),0)+IF(AND(Config!$B$17="Sim",LEFT(D586,17)="Cartão de crédito"),Config!$B$18*IFERROR(INDEX(Config!$C$12:$C$15,MATCH(IF(AND(D586="Cartão de crédito",N(E586)&gt;1),"Cartão de crédito parcelado",D586),Config!$A$12:$A$15,0)),0)/30*MAX(1,N(E586)),0))</f>
        <v/>
      </c>
      <c r="I586" s="29">
        <f>IF(OR(D586="",F586=""),"",ROUND(F586*H586,2))</f>
        <v/>
      </c>
      <c r="J586" s="29">
        <f>IF(I586="","",F586-I586)</f>
        <v/>
      </c>
      <c r="K586" s="29">
        <f>IF(J586="","",J586/MAX(1,N(E586)))</f>
        <v/>
      </c>
      <c r="L586" s="37">
        <f>IF(OR(D586="",A586=""),"",A586+IF(AND(Config!$B$17="Sim",LEFT(D586,17)="Cartão de crédito"),1,IFERROR(INDEX(Config!$C$12:$C$15,MATCH(IF(AND(D586="Cartão de crédito",N(E586)&gt;1),"Cartão de crédito parcelado",D586),Config!$A$12:$A$15,0)),0)))</f>
        <v/>
      </c>
      <c r="M586" s="37">
        <f>IF(L586="","",IF(AND(Config!$B$17="Sim",LEFT(D586,17)="Cartão de crédito"),L586,L586+30*(MAX(1,N(E586))-1)))</f>
        <v/>
      </c>
      <c r="N586" s="29">
        <f>IF(OR(L586="",K586=""),"",K586*MIN(MAX(1,N(E586)),MAX(0,INT((Config!$B$8-L586)/30)+1)))</f>
        <v/>
      </c>
      <c r="O586" s="29">
        <f>IF(J586="","",J586-N(N586))</f>
        <v/>
      </c>
      <c r="P586" s="27">
        <f>IF(A586="","",MONTH(A586))</f>
        <v/>
      </c>
      <c r="Q586" s="27">
        <f>IF(A586="","",YEAR(A586))</f>
        <v/>
      </c>
      <c r="R586" s="27">
        <f>IF(L586="","",IF(L586&gt;Config!$B$8,"A cair",IF(N(G586)&gt;=MIN(MAX(1,N(E586)),MAX(0,INT((Config!$B$8-L586)/30)+1)),IF(N(G586)&gt;=MAX(1,N(E586)),"Conferido","Conferido até aqui"),"A conferir")))</f>
        <v/>
      </c>
      <c r="S586" s="51">
        <f>IF(R586="A conferir",(Config!$B$8-L586)*1000+N(F586)/1000+ROW()/100000,0)</f>
        <v>0</v>
      </c>
      <c r="T586" s="51">
        <f>IF(R586="A conferir",N(N586),0)</f>
        <v>0</v>
      </c>
      <c r="U586" s="51">
        <f>IF(L586="",0,L586)</f>
        <v>0</v>
      </c>
      <c r="V586" s="51">
        <f>IF(L586="",0,MAX(1,N(E586)))</f>
        <v>0</v>
      </c>
      <c r="W586" s="51">
        <f>IF(K586="",0,K586)</f>
        <v>0</v>
      </c>
    </row>
    <row r="587">
      <c r="A587" s="49" t="n"/>
      <c r="B587" s="41" t="n"/>
      <c r="C587" s="41" t="n"/>
      <c r="D587" s="42" t="n"/>
      <c r="E587" s="42" t="n"/>
      <c r="F587" s="50" t="n"/>
      <c r="G587" s="42" t="n"/>
      <c r="H587" s="30">
        <f>IF(D587="","",IFERROR(INDEX(Config!$B$12:$B$15,MATCH(IF(AND(D587="Cartão de crédito",N(E587)&gt;1),"Cartão de crédito parcelado",D587),Config!$A$12:$A$15,0)),0)+IF(AND(Config!$B$17="Sim",LEFT(D587,17)="Cartão de crédito"),Config!$B$18*IFERROR(INDEX(Config!$C$12:$C$15,MATCH(IF(AND(D587="Cartão de crédito",N(E587)&gt;1),"Cartão de crédito parcelado",D587),Config!$A$12:$A$15,0)),0)/30*MAX(1,N(E587)),0))</f>
        <v/>
      </c>
      <c r="I587" s="29">
        <f>IF(OR(D587="",F587=""),"",ROUND(F587*H587,2))</f>
        <v/>
      </c>
      <c r="J587" s="29">
        <f>IF(I587="","",F587-I587)</f>
        <v/>
      </c>
      <c r="K587" s="29">
        <f>IF(J587="","",J587/MAX(1,N(E587)))</f>
        <v/>
      </c>
      <c r="L587" s="37">
        <f>IF(OR(D587="",A587=""),"",A587+IF(AND(Config!$B$17="Sim",LEFT(D587,17)="Cartão de crédito"),1,IFERROR(INDEX(Config!$C$12:$C$15,MATCH(IF(AND(D587="Cartão de crédito",N(E587)&gt;1),"Cartão de crédito parcelado",D587),Config!$A$12:$A$15,0)),0)))</f>
        <v/>
      </c>
      <c r="M587" s="37">
        <f>IF(L587="","",IF(AND(Config!$B$17="Sim",LEFT(D587,17)="Cartão de crédito"),L587,L587+30*(MAX(1,N(E587))-1)))</f>
        <v/>
      </c>
      <c r="N587" s="29">
        <f>IF(OR(L587="",K587=""),"",K587*MIN(MAX(1,N(E587)),MAX(0,INT((Config!$B$8-L587)/30)+1)))</f>
        <v/>
      </c>
      <c r="O587" s="29">
        <f>IF(J587="","",J587-N(N587))</f>
        <v/>
      </c>
      <c r="P587" s="27">
        <f>IF(A587="","",MONTH(A587))</f>
        <v/>
      </c>
      <c r="Q587" s="27">
        <f>IF(A587="","",YEAR(A587))</f>
        <v/>
      </c>
      <c r="R587" s="27">
        <f>IF(L587="","",IF(L587&gt;Config!$B$8,"A cair",IF(N(G587)&gt;=MIN(MAX(1,N(E587)),MAX(0,INT((Config!$B$8-L587)/30)+1)),IF(N(G587)&gt;=MAX(1,N(E587)),"Conferido","Conferido até aqui"),"A conferir")))</f>
        <v/>
      </c>
      <c r="S587" s="51">
        <f>IF(R587="A conferir",(Config!$B$8-L587)*1000+N(F587)/1000+ROW()/100000,0)</f>
        <v>0</v>
      </c>
      <c r="T587" s="51">
        <f>IF(R587="A conferir",N(N587),0)</f>
        <v>0</v>
      </c>
      <c r="U587" s="51">
        <f>IF(L587="",0,L587)</f>
        <v>0</v>
      </c>
      <c r="V587" s="51">
        <f>IF(L587="",0,MAX(1,N(E587)))</f>
        <v>0</v>
      </c>
      <c r="W587" s="51">
        <f>IF(K587="",0,K587)</f>
        <v>0</v>
      </c>
    </row>
    <row r="588">
      <c r="A588" s="49" t="n"/>
      <c r="B588" s="41" t="n"/>
      <c r="C588" s="41" t="n"/>
      <c r="D588" s="42" t="n"/>
      <c r="E588" s="42" t="n"/>
      <c r="F588" s="50" t="n"/>
      <c r="G588" s="42" t="n"/>
      <c r="H588" s="30">
        <f>IF(D588="","",IFERROR(INDEX(Config!$B$12:$B$15,MATCH(IF(AND(D588="Cartão de crédito",N(E588)&gt;1),"Cartão de crédito parcelado",D588),Config!$A$12:$A$15,0)),0)+IF(AND(Config!$B$17="Sim",LEFT(D588,17)="Cartão de crédito"),Config!$B$18*IFERROR(INDEX(Config!$C$12:$C$15,MATCH(IF(AND(D588="Cartão de crédito",N(E588)&gt;1),"Cartão de crédito parcelado",D588),Config!$A$12:$A$15,0)),0)/30*MAX(1,N(E588)),0))</f>
        <v/>
      </c>
      <c r="I588" s="29">
        <f>IF(OR(D588="",F588=""),"",ROUND(F588*H588,2))</f>
        <v/>
      </c>
      <c r="J588" s="29">
        <f>IF(I588="","",F588-I588)</f>
        <v/>
      </c>
      <c r="K588" s="29">
        <f>IF(J588="","",J588/MAX(1,N(E588)))</f>
        <v/>
      </c>
      <c r="L588" s="37">
        <f>IF(OR(D588="",A588=""),"",A588+IF(AND(Config!$B$17="Sim",LEFT(D588,17)="Cartão de crédito"),1,IFERROR(INDEX(Config!$C$12:$C$15,MATCH(IF(AND(D588="Cartão de crédito",N(E588)&gt;1),"Cartão de crédito parcelado",D588),Config!$A$12:$A$15,0)),0)))</f>
        <v/>
      </c>
      <c r="M588" s="37">
        <f>IF(L588="","",IF(AND(Config!$B$17="Sim",LEFT(D588,17)="Cartão de crédito"),L588,L588+30*(MAX(1,N(E588))-1)))</f>
        <v/>
      </c>
      <c r="N588" s="29">
        <f>IF(OR(L588="",K588=""),"",K588*MIN(MAX(1,N(E588)),MAX(0,INT((Config!$B$8-L588)/30)+1)))</f>
        <v/>
      </c>
      <c r="O588" s="29">
        <f>IF(J588="","",J588-N(N588))</f>
        <v/>
      </c>
      <c r="P588" s="27">
        <f>IF(A588="","",MONTH(A588))</f>
        <v/>
      </c>
      <c r="Q588" s="27">
        <f>IF(A588="","",YEAR(A588))</f>
        <v/>
      </c>
      <c r="R588" s="27">
        <f>IF(L588="","",IF(L588&gt;Config!$B$8,"A cair",IF(N(G588)&gt;=MIN(MAX(1,N(E588)),MAX(0,INT((Config!$B$8-L588)/30)+1)),IF(N(G588)&gt;=MAX(1,N(E588)),"Conferido","Conferido até aqui"),"A conferir")))</f>
        <v/>
      </c>
      <c r="S588" s="51">
        <f>IF(R588="A conferir",(Config!$B$8-L588)*1000+N(F588)/1000+ROW()/100000,0)</f>
        <v>0</v>
      </c>
      <c r="T588" s="51">
        <f>IF(R588="A conferir",N(N588),0)</f>
        <v>0</v>
      </c>
      <c r="U588" s="51">
        <f>IF(L588="",0,L588)</f>
        <v>0</v>
      </c>
      <c r="V588" s="51">
        <f>IF(L588="",0,MAX(1,N(E588)))</f>
        <v>0</v>
      </c>
      <c r="W588" s="51">
        <f>IF(K588="",0,K588)</f>
        <v>0</v>
      </c>
    </row>
    <row r="589">
      <c r="A589" s="49" t="n"/>
      <c r="B589" s="41" t="n"/>
      <c r="C589" s="41" t="n"/>
      <c r="D589" s="42" t="n"/>
      <c r="E589" s="42" t="n"/>
      <c r="F589" s="50" t="n"/>
      <c r="G589" s="42" t="n"/>
      <c r="H589" s="30">
        <f>IF(D589="","",IFERROR(INDEX(Config!$B$12:$B$15,MATCH(IF(AND(D589="Cartão de crédito",N(E589)&gt;1),"Cartão de crédito parcelado",D589),Config!$A$12:$A$15,0)),0)+IF(AND(Config!$B$17="Sim",LEFT(D589,17)="Cartão de crédito"),Config!$B$18*IFERROR(INDEX(Config!$C$12:$C$15,MATCH(IF(AND(D589="Cartão de crédito",N(E589)&gt;1),"Cartão de crédito parcelado",D589),Config!$A$12:$A$15,0)),0)/30*MAX(1,N(E589)),0))</f>
        <v/>
      </c>
      <c r="I589" s="29">
        <f>IF(OR(D589="",F589=""),"",ROUND(F589*H589,2))</f>
        <v/>
      </c>
      <c r="J589" s="29">
        <f>IF(I589="","",F589-I589)</f>
        <v/>
      </c>
      <c r="K589" s="29">
        <f>IF(J589="","",J589/MAX(1,N(E589)))</f>
        <v/>
      </c>
      <c r="L589" s="37">
        <f>IF(OR(D589="",A589=""),"",A589+IF(AND(Config!$B$17="Sim",LEFT(D589,17)="Cartão de crédito"),1,IFERROR(INDEX(Config!$C$12:$C$15,MATCH(IF(AND(D589="Cartão de crédito",N(E589)&gt;1),"Cartão de crédito parcelado",D589),Config!$A$12:$A$15,0)),0)))</f>
        <v/>
      </c>
      <c r="M589" s="37">
        <f>IF(L589="","",IF(AND(Config!$B$17="Sim",LEFT(D589,17)="Cartão de crédito"),L589,L589+30*(MAX(1,N(E589))-1)))</f>
        <v/>
      </c>
      <c r="N589" s="29">
        <f>IF(OR(L589="",K589=""),"",K589*MIN(MAX(1,N(E589)),MAX(0,INT((Config!$B$8-L589)/30)+1)))</f>
        <v/>
      </c>
      <c r="O589" s="29">
        <f>IF(J589="","",J589-N(N589))</f>
        <v/>
      </c>
      <c r="P589" s="27">
        <f>IF(A589="","",MONTH(A589))</f>
        <v/>
      </c>
      <c r="Q589" s="27">
        <f>IF(A589="","",YEAR(A589))</f>
        <v/>
      </c>
      <c r="R589" s="27">
        <f>IF(L589="","",IF(L589&gt;Config!$B$8,"A cair",IF(N(G589)&gt;=MIN(MAX(1,N(E589)),MAX(0,INT((Config!$B$8-L589)/30)+1)),IF(N(G589)&gt;=MAX(1,N(E589)),"Conferido","Conferido até aqui"),"A conferir")))</f>
        <v/>
      </c>
      <c r="S589" s="51">
        <f>IF(R589="A conferir",(Config!$B$8-L589)*1000+N(F589)/1000+ROW()/100000,0)</f>
        <v>0</v>
      </c>
      <c r="T589" s="51">
        <f>IF(R589="A conferir",N(N589),0)</f>
        <v>0</v>
      </c>
      <c r="U589" s="51">
        <f>IF(L589="",0,L589)</f>
        <v>0</v>
      </c>
      <c r="V589" s="51">
        <f>IF(L589="",0,MAX(1,N(E589)))</f>
        <v>0</v>
      </c>
      <c r="W589" s="51">
        <f>IF(K589="",0,K589)</f>
        <v>0</v>
      </c>
    </row>
    <row r="590">
      <c r="A590" s="49" t="n"/>
      <c r="B590" s="41" t="n"/>
      <c r="C590" s="41" t="n"/>
      <c r="D590" s="42" t="n"/>
      <c r="E590" s="42" t="n"/>
      <c r="F590" s="50" t="n"/>
      <c r="G590" s="42" t="n"/>
      <c r="H590" s="30">
        <f>IF(D590="","",IFERROR(INDEX(Config!$B$12:$B$15,MATCH(IF(AND(D590="Cartão de crédito",N(E590)&gt;1),"Cartão de crédito parcelado",D590),Config!$A$12:$A$15,0)),0)+IF(AND(Config!$B$17="Sim",LEFT(D590,17)="Cartão de crédito"),Config!$B$18*IFERROR(INDEX(Config!$C$12:$C$15,MATCH(IF(AND(D590="Cartão de crédito",N(E590)&gt;1),"Cartão de crédito parcelado",D590),Config!$A$12:$A$15,0)),0)/30*MAX(1,N(E590)),0))</f>
        <v/>
      </c>
      <c r="I590" s="29">
        <f>IF(OR(D590="",F590=""),"",ROUND(F590*H590,2))</f>
        <v/>
      </c>
      <c r="J590" s="29">
        <f>IF(I590="","",F590-I590)</f>
        <v/>
      </c>
      <c r="K590" s="29">
        <f>IF(J590="","",J590/MAX(1,N(E590)))</f>
        <v/>
      </c>
      <c r="L590" s="37">
        <f>IF(OR(D590="",A590=""),"",A590+IF(AND(Config!$B$17="Sim",LEFT(D590,17)="Cartão de crédito"),1,IFERROR(INDEX(Config!$C$12:$C$15,MATCH(IF(AND(D590="Cartão de crédito",N(E590)&gt;1),"Cartão de crédito parcelado",D590),Config!$A$12:$A$15,0)),0)))</f>
        <v/>
      </c>
      <c r="M590" s="37">
        <f>IF(L590="","",IF(AND(Config!$B$17="Sim",LEFT(D590,17)="Cartão de crédito"),L590,L590+30*(MAX(1,N(E590))-1)))</f>
        <v/>
      </c>
      <c r="N590" s="29">
        <f>IF(OR(L590="",K590=""),"",K590*MIN(MAX(1,N(E590)),MAX(0,INT((Config!$B$8-L590)/30)+1)))</f>
        <v/>
      </c>
      <c r="O590" s="29">
        <f>IF(J590="","",J590-N(N590))</f>
        <v/>
      </c>
      <c r="P590" s="27">
        <f>IF(A590="","",MONTH(A590))</f>
        <v/>
      </c>
      <c r="Q590" s="27">
        <f>IF(A590="","",YEAR(A590))</f>
        <v/>
      </c>
      <c r="R590" s="27">
        <f>IF(L590="","",IF(L590&gt;Config!$B$8,"A cair",IF(N(G590)&gt;=MIN(MAX(1,N(E590)),MAX(0,INT((Config!$B$8-L590)/30)+1)),IF(N(G590)&gt;=MAX(1,N(E590)),"Conferido","Conferido até aqui"),"A conferir")))</f>
        <v/>
      </c>
      <c r="S590" s="51">
        <f>IF(R590="A conferir",(Config!$B$8-L590)*1000+N(F590)/1000+ROW()/100000,0)</f>
        <v>0</v>
      </c>
      <c r="T590" s="51">
        <f>IF(R590="A conferir",N(N590),0)</f>
        <v>0</v>
      </c>
      <c r="U590" s="51">
        <f>IF(L590="",0,L590)</f>
        <v>0</v>
      </c>
      <c r="V590" s="51">
        <f>IF(L590="",0,MAX(1,N(E590)))</f>
        <v>0</v>
      </c>
      <c r="W590" s="51">
        <f>IF(K590="",0,K590)</f>
        <v>0</v>
      </c>
    </row>
    <row r="591">
      <c r="A591" s="49" t="n"/>
      <c r="B591" s="41" t="n"/>
      <c r="C591" s="41" t="n"/>
      <c r="D591" s="42" t="n"/>
      <c r="E591" s="42" t="n"/>
      <c r="F591" s="50" t="n"/>
      <c r="G591" s="42" t="n"/>
      <c r="H591" s="30">
        <f>IF(D591="","",IFERROR(INDEX(Config!$B$12:$B$15,MATCH(IF(AND(D591="Cartão de crédito",N(E591)&gt;1),"Cartão de crédito parcelado",D591),Config!$A$12:$A$15,0)),0)+IF(AND(Config!$B$17="Sim",LEFT(D591,17)="Cartão de crédito"),Config!$B$18*IFERROR(INDEX(Config!$C$12:$C$15,MATCH(IF(AND(D591="Cartão de crédito",N(E591)&gt;1),"Cartão de crédito parcelado",D591),Config!$A$12:$A$15,0)),0)/30*MAX(1,N(E591)),0))</f>
        <v/>
      </c>
      <c r="I591" s="29">
        <f>IF(OR(D591="",F591=""),"",ROUND(F591*H591,2))</f>
        <v/>
      </c>
      <c r="J591" s="29">
        <f>IF(I591="","",F591-I591)</f>
        <v/>
      </c>
      <c r="K591" s="29">
        <f>IF(J591="","",J591/MAX(1,N(E591)))</f>
        <v/>
      </c>
      <c r="L591" s="37">
        <f>IF(OR(D591="",A591=""),"",A591+IF(AND(Config!$B$17="Sim",LEFT(D591,17)="Cartão de crédito"),1,IFERROR(INDEX(Config!$C$12:$C$15,MATCH(IF(AND(D591="Cartão de crédito",N(E591)&gt;1),"Cartão de crédito parcelado",D591),Config!$A$12:$A$15,0)),0)))</f>
        <v/>
      </c>
      <c r="M591" s="37">
        <f>IF(L591="","",IF(AND(Config!$B$17="Sim",LEFT(D591,17)="Cartão de crédito"),L591,L591+30*(MAX(1,N(E591))-1)))</f>
        <v/>
      </c>
      <c r="N591" s="29">
        <f>IF(OR(L591="",K591=""),"",K591*MIN(MAX(1,N(E591)),MAX(0,INT((Config!$B$8-L591)/30)+1)))</f>
        <v/>
      </c>
      <c r="O591" s="29">
        <f>IF(J591="","",J591-N(N591))</f>
        <v/>
      </c>
      <c r="P591" s="27">
        <f>IF(A591="","",MONTH(A591))</f>
        <v/>
      </c>
      <c r="Q591" s="27">
        <f>IF(A591="","",YEAR(A591))</f>
        <v/>
      </c>
      <c r="R591" s="27">
        <f>IF(L591="","",IF(L591&gt;Config!$B$8,"A cair",IF(N(G591)&gt;=MIN(MAX(1,N(E591)),MAX(0,INT((Config!$B$8-L591)/30)+1)),IF(N(G591)&gt;=MAX(1,N(E591)),"Conferido","Conferido até aqui"),"A conferir")))</f>
        <v/>
      </c>
      <c r="S591" s="51">
        <f>IF(R591="A conferir",(Config!$B$8-L591)*1000+N(F591)/1000+ROW()/100000,0)</f>
        <v>0</v>
      </c>
      <c r="T591" s="51">
        <f>IF(R591="A conferir",N(N591),0)</f>
        <v>0</v>
      </c>
      <c r="U591" s="51">
        <f>IF(L591="",0,L591)</f>
        <v>0</v>
      </c>
      <c r="V591" s="51">
        <f>IF(L591="",0,MAX(1,N(E591)))</f>
        <v>0</v>
      </c>
      <c r="W591" s="51">
        <f>IF(K591="",0,K591)</f>
        <v>0</v>
      </c>
    </row>
    <row r="592">
      <c r="A592" s="49" t="n"/>
      <c r="B592" s="41" t="n"/>
      <c r="C592" s="41" t="n"/>
      <c r="D592" s="42" t="n"/>
      <c r="E592" s="42" t="n"/>
      <c r="F592" s="50" t="n"/>
      <c r="G592" s="42" t="n"/>
      <c r="H592" s="30">
        <f>IF(D592="","",IFERROR(INDEX(Config!$B$12:$B$15,MATCH(IF(AND(D592="Cartão de crédito",N(E592)&gt;1),"Cartão de crédito parcelado",D592),Config!$A$12:$A$15,0)),0)+IF(AND(Config!$B$17="Sim",LEFT(D592,17)="Cartão de crédito"),Config!$B$18*IFERROR(INDEX(Config!$C$12:$C$15,MATCH(IF(AND(D592="Cartão de crédito",N(E592)&gt;1),"Cartão de crédito parcelado",D592),Config!$A$12:$A$15,0)),0)/30*MAX(1,N(E592)),0))</f>
        <v/>
      </c>
      <c r="I592" s="29">
        <f>IF(OR(D592="",F592=""),"",ROUND(F592*H592,2))</f>
        <v/>
      </c>
      <c r="J592" s="29">
        <f>IF(I592="","",F592-I592)</f>
        <v/>
      </c>
      <c r="K592" s="29">
        <f>IF(J592="","",J592/MAX(1,N(E592)))</f>
        <v/>
      </c>
      <c r="L592" s="37">
        <f>IF(OR(D592="",A592=""),"",A592+IF(AND(Config!$B$17="Sim",LEFT(D592,17)="Cartão de crédito"),1,IFERROR(INDEX(Config!$C$12:$C$15,MATCH(IF(AND(D592="Cartão de crédito",N(E592)&gt;1),"Cartão de crédito parcelado",D592),Config!$A$12:$A$15,0)),0)))</f>
        <v/>
      </c>
      <c r="M592" s="37">
        <f>IF(L592="","",IF(AND(Config!$B$17="Sim",LEFT(D592,17)="Cartão de crédito"),L592,L592+30*(MAX(1,N(E592))-1)))</f>
        <v/>
      </c>
      <c r="N592" s="29">
        <f>IF(OR(L592="",K592=""),"",K592*MIN(MAX(1,N(E592)),MAX(0,INT((Config!$B$8-L592)/30)+1)))</f>
        <v/>
      </c>
      <c r="O592" s="29">
        <f>IF(J592="","",J592-N(N592))</f>
        <v/>
      </c>
      <c r="P592" s="27">
        <f>IF(A592="","",MONTH(A592))</f>
        <v/>
      </c>
      <c r="Q592" s="27">
        <f>IF(A592="","",YEAR(A592))</f>
        <v/>
      </c>
      <c r="R592" s="27">
        <f>IF(L592="","",IF(L592&gt;Config!$B$8,"A cair",IF(N(G592)&gt;=MIN(MAX(1,N(E592)),MAX(0,INT((Config!$B$8-L592)/30)+1)),IF(N(G592)&gt;=MAX(1,N(E592)),"Conferido","Conferido até aqui"),"A conferir")))</f>
        <v/>
      </c>
      <c r="S592" s="51">
        <f>IF(R592="A conferir",(Config!$B$8-L592)*1000+N(F592)/1000+ROW()/100000,0)</f>
        <v>0</v>
      </c>
      <c r="T592" s="51">
        <f>IF(R592="A conferir",N(N592),0)</f>
        <v>0</v>
      </c>
      <c r="U592" s="51">
        <f>IF(L592="",0,L592)</f>
        <v>0</v>
      </c>
      <c r="V592" s="51">
        <f>IF(L592="",0,MAX(1,N(E592)))</f>
        <v>0</v>
      </c>
      <c r="W592" s="51">
        <f>IF(K592="",0,K592)</f>
        <v>0</v>
      </c>
    </row>
    <row r="593">
      <c r="A593" s="49" t="n"/>
      <c r="B593" s="41" t="n"/>
      <c r="C593" s="41" t="n"/>
      <c r="D593" s="42" t="n"/>
      <c r="E593" s="42" t="n"/>
      <c r="F593" s="50" t="n"/>
      <c r="G593" s="42" t="n"/>
      <c r="H593" s="30">
        <f>IF(D593="","",IFERROR(INDEX(Config!$B$12:$B$15,MATCH(IF(AND(D593="Cartão de crédito",N(E593)&gt;1),"Cartão de crédito parcelado",D593),Config!$A$12:$A$15,0)),0)+IF(AND(Config!$B$17="Sim",LEFT(D593,17)="Cartão de crédito"),Config!$B$18*IFERROR(INDEX(Config!$C$12:$C$15,MATCH(IF(AND(D593="Cartão de crédito",N(E593)&gt;1),"Cartão de crédito parcelado",D593),Config!$A$12:$A$15,0)),0)/30*MAX(1,N(E593)),0))</f>
        <v/>
      </c>
      <c r="I593" s="29">
        <f>IF(OR(D593="",F593=""),"",ROUND(F593*H593,2))</f>
        <v/>
      </c>
      <c r="J593" s="29">
        <f>IF(I593="","",F593-I593)</f>
        <v/>
      </c>
      <c r="K593" s="29">
        <f>IF(J593="","",J593/MAX(1,N(E593)))</f>
        <v/>
      </c>
      <c r="L593" s="37">
        <f>IF(OR(D593="",A593=""),"",A593+IF(AND(Config!$B$17="Sim",LEFT(D593,17)="Cartão de crédito"),1,IFERROR(INDEX(Config!$C$12:$C$15,MATCH(IF(AND(D593="Cartão de crédito",N(E593)&gt;1),"Cartão de crédito parcelado",D593),Config!$A$12:$A$15,0)),0)))</f>
        <v/>
      </c>
      <c r="M593" s="37">
        <f>IF(L593="","",IF(AND(Config!$B$17="Sim",LEFT(D593,17)="Cartão de crédito"),L593,L593+30*(MAX(1,N(E593))-1)))</f>
        <v/>
      </c>
      <c r="N593" s="29">
        <f>IF(OR(L593="",K593=""),"",K593*MIN(MAX(1,N(E593)),MAX(0,INT((Config!$B$8-L593)/30)+1)))</f>
        <v/>
      </c>
      <c r="O593" s="29">
        <f>IF(J593="","",J593-N(N593))</f>
        <v/>
      </c>
      <c r="P593" s="27">
        <f>IF(A593="","",MONTH(A593))</f>
        <v/>
      </c>
      <c r="Q593" s="27">
        <f>IF(A593="","",YEAR(A593))</f>
        <v/>
      </c>
      <c r="R593" s="27">
        <f>IF(L593="","",IF(L593&gt;Config!$B$8,"A cair",IF(N(G593)&gt;=MIN(MAX(1,N(E593)),MAX(0,INT((Config!$B$8-L593)/30)+1)),IF(N(G593)&gt;=MAX(1,N(E593)),"Conferido","Conferido até aqui"),"A conferir")))</f>
        <v/>
      </c>
      <c r="S593" s="51">
        <f>IF(R593="A conferir",(Config!$B$8-L593)*1000+N(F593)/1000+ROW()/100000,0)</f>
        <v>0</v>
      </c>
      <c r="T593" s="51">
        <f>IF(R593="A conferir",N(N593),0)</f>
        <v>0</v>
      </c>
      <c r="U593" s="51">
        <f>IF(L593="",0,L593)</f>
        <v>0</v>
      </c>
      <c r="V593" s="51">
        <f>IF(L593="",0,MAX(1,N(E593)))</f>
        <v>0</v>
      </c>
      <c r="W593" s="51">
        <f>IF(K593="",0,K593)</f>
        <v>0</v>
      </c>
    </row>
    <row r="594">
      <c r="A594" s="49" t="n"/>
      <c r="B594" s="41" t="n"/>
      <c r="C594" s="41" t="n"/>
      <c r="D594" s="42" t="n"/>
      <c r="E594" s="42" t="n"/>
      <c r="F594" s="50" t="n"/>
      <c r="G594" s="42" t="n"/>
      <c r="H594" s="30">
        <f>IF(D594="","",IFERROR(INDEX(Config!$B$12:$B$15,MATCH(IF(AND(D594="Cartão de crédito",N(E594)&gt;1),"Cartão de crédito parcelado",D594),Config!$A$12:$A$15,0)),0)+IF(AND(Config!$B$17="Sim",LEFT(D594,17)="Cartão de crédito"),Config!$B$18*IFERROR(INDEX(Config!$C$12:$C$15,MATCH(IF(AND(D594="Cartão de crédito",N(E594)&gt;1),"Cartão de crédito parcelado",D594),Config!$A$12:$A$15,0)),0)/30*MAX(1,N(E594)),0))</f>
        <v/>
      </c>
      <c r="I594" s="29">
        <f>IF(OR(D594="",F594=""),"",ROUND(F594*H594,2))</f>
        <v/>
      </c>
      <c r="J594" s="29">
        <f>IF(I594="","",F594-I594)</f>
        <v/>
      </c>
      <c r="K594" s="29">
        <f>IF(J594="","",J594/MAX(1,N(E594)))</f>
        <v/>
      </c>
      <c r="L594" s="37">
        <f>IF(OR(D594="",A594=""),"",A594+IF(AND(Config!$B$17="Sim",LEFT(D594,17)="Cartão de crédito"),1,IFERROR(INDEX(Config!$C$12:$C$15,MATCH(IF(AND(D594="Cartão de crédito",N(E594)&gt;1),"Cartão de crédito parcelado",D594),Config!$A$12:$A$15,0)),0)))</f>
        <v/>
      </c>
      <c r="M594" s="37">
        <f>IF(L594="","",IF(AND(Config!$B$17="Sim",LEFT(D594,17)="Cartão de crédito"),L594,L594+30*(MAX(1,N(E594))-1)))</f>
        <v/>
      </c>
      <c r="N594" s="29">
        <f>IF(OR(L594="",K594=""),"",K594*MIN(MAX(1,N(E594)),MAX(0,INT((Config!$B$8-L594)/30)+1)))</f>
        <v/>
      </c>
      <c r="O594" s="29">
        <f>IF(J594="","",J594-N(N594))</f>
        <v/>
      </c>
      <c r="P594" s="27">
        <f>IF(A594="","",MONTH(A594))</f>
        <v/>
      </c>
      <c r="Q594" s="27">
        <f>IF(A594="","",YEAR(A594))</f>
        <v/>
      </c>
      <c r="R594" s="27">
        <f>IF(L594="","",IF(L594&gt;Config!$B$8,"A cair",IF(N(G594)&gt;=MIN(MAX(1,N(E594)),MAX(0,INT((Config!$B$8-L594)/30)+1)),IF(N(G594)&gt;=MAX(1,N(E594)),"Conferido","Conferido até aqui"),"A conferir")))</f>
        <v/>
      </c>
      <c r="S594" s="51">
        <f>IF(R594="A conferir",(Config!$B$8-L594)*1000+N(F594)/1000+ROW()/100000,0)</f>
        <v>0</v>
      </c>
      <c r="T594" s="51">
        <f>IF(R594="A conferir",N(N594),0)</f>
        <v>0</v>
      </c>
      <c r="U594" s="51">
        <f>IF(L594="",0,L594)</f>
        <v>0</v>
      </c>
      <c r="V594" s="51">
        <f>IF(L594="",0,MAX(1,N(E594)))</f>
        <v>0</v>
      </c>
      <c r="W594" s="51">
        <f>IF(K594="",0,K594)</f>
        <v>0</v>
      </c>
    </row>
    <row r="595">
      <c r="A595" s="49" t="n"/>
      <c r="B595" s="41" t="n"/>
      <c r="C595" s="41" t="n"/>
      <c r="D595" s="42" t="n"/>
      <c r="E595" s="42" t="n"/>
      <c r="F595" s="50" t="n"/>
      <c r="G595" s="42" t="n"/>
      <c r="H595" s="30">
        <f>IF(D595="","",IFERROR(INDEX(Config!$B$12:$B$15,MATCH(IF(AND(D595="Cartão de crédito",N(E595)&gt;1),"Cartão de crédito parcelado",D595),Config!$A$12:$A$15,0)),0)+IF(AND(Config!$B$17="Sim",LEFT(D595,17)="Cartão de crédito"),Config!$B$18*IFERROR(INDEX(Config!$C$12:$C$15,MATCH(IF(AND(D595="Cartão de crédito",N(E595)&gt;1),"Cartão de crédito parcelado",D595),Config!$A$12:$A$15,0)),0)/30*MAX(1,N(E595)),0))</f>
        <v/>
      </c>
      <c r="I595" s="29">
        <f>IF(OR(D595="",F595=""),"",ROUND(F595*H595,2))</f>
        <v/>
      </c>
      <c r="J595" s="29">
        <f>IF(I595="","",F595-I595)</f>
        <v/>
      </c>
      <c r="K595" s="29">
        <f>IF(J595="","",J595/MAX(1,N(E595)))</f>
        <v/>
      </c>
      <c r="L595" s="37">
        <f>IF(OR(D595="",A595=""),"",A595+IF(AND(Config!$B$17="Sim",LEFT(D595,17)="Cartão de crédito"),1,IFERROR(INDEX(Config!$C$12:$C$15,MATCH(IF(AND(D595="Cartão de crédito",N(E595)&gt;1),"Cartão de crédito parcelado",D595),Config!$A$12:$A$15,0)),0)))</f>
        <v/>
      </c>
      <c r="M595" s="37">
        <f>IF(L595="","",IF(AND(Config!$B$17="Sim",LEFT(D595,17)="Cartão de crédito"),L595,L595+30*(MAX(1,N(E595))-1)))</f>
        <v/>
      </c>
      <c r="N595" s="29">
        <f>IF(OR(L595="",K595=""),"",K595*MIN(MAX(1,N(E595)),MAX(0,INT((Config!$B$8-L595)/30)+1)))</f>
        <v/>
      </c>
      <c r="O595" s="29">
        <f>IF(J595="","",J595-N(N595))</f>
        <v/>
      </c>
      <c r="P595" s="27">
        <f>IF(A595="","",MONTH(A595))</f>
        <v/>
      </c>
      <c r="Q595" s="27">
        <f>IF(A595="","",YEAR(A595))</f>
        <v/>
      </c>
      <c r="R595" s="27">
        <f>IF(L595="","",IF(L595&gt;Config!$B$8,"A cair",IF(N(G595)&gt;=MIN(MAX(1,N(E595)),MAX(0,INT((Config!$B$8-L595)/30)+1)),IF(N(G595)&gt;=MAX(1,N(E595)),"Conferido","Conferido até aqui"),"A conferir")))</f>
        <v/>
      </c>
      <c r="S595" s="51">
        <f>IF(R595="A conferir",(Config!$B$8-L595)*1000+N(F595)/1000+ROW()/100000,0)</f>
        <v>0</v>
      </c>
      <c r="T595" s="51">
        <f>IF(R595="A conferir",N(N595),0)</f>
        <v>0</v>
      </c>
      <c r="U595" s="51">
        <f>IF(L595="",0,L595)</f>
        <v>0</v>
      </c>
      <c r="V595" s="51">
        <f>IF(L595="",0,MAX(1,N(E595)))</f>
        <v>0</v>
      </c>
      <c r="W595" s="51">
        <f>IF(K595="",0,K595)</f>
        <v>0</v>
      </c>
    </row>
    <row r="596">
      <c r="A596" s="49" t="n"/>
      <c r="B596" s="41" t="n"/>
      <c r="C596" s="41" t="n"/>
      <c r="D596" s="42" t="n"/>
      <c r="E596" s="42" t="n"/>
      <c r="F596" s="50" t="n"/>
      <c r="G596" s="42" t="n"/>
      <c r="H596" s="30">
        <f>IF(D596="","",IFERROR(INDEX(Config!$B$12:$B$15,MATCH(IF(AND(D596="Cartão de crédito",N(E596)&gt;1),"Cartão de crédito parcelado",D596),Config!$A$12:$A$15,0)),0)+IF(AND(Config!$B$17="Sim",LEFT(D596,17)="Cartão de crédito"),Config!$B$18*IFERROR(INDEX(Config!$C$12:$C$15,MATCH(IF(AND(D596="Cartão de crédito",N(E596)&gt;1),"Cartão de crédito parcelado",D596),Config!$A$12:$A$15,0)),0)/30*MAX(1,N(E596)),0))</f>
        <v/>
      </c>
      <c r="I596" s="29">
        <f>IF(OR(D596="",F596=""),"",ROUND(F596*H596,2))</f>
        <v/>
      </c>
      <c r="J596" s="29">
        <f>IF(I596="","",F596-I596)</f>
        <v/>
      </c>
      <c r="K596" s="29">
        <f>IF(J596="","",J596/MAX(1,N(E596)))</f>
        <v/>
      </c>
      <c r="L596" s="37">
        <f>IF(OR(D596="",A596=""),"",A596+IF(AND(Config!$B$17="Sim",LEFT(D596,17)="Cartão de crédito"),1,IFERROR(INDEX(Config!$C$12:$C$15,MATCH(IF(AND(D596="Cartão de crédito",N(E596)&gt;1),"Cartão de crédito parcelado",D596),Config!$A$12:$A$15,0)),0)))</f>
        <v/>
      </c>
      <c r="M596" s="37">
        <f>IF(L596="","",IF(AND(Config!$B$17="Sim",LEFT(D596,17)="Cartão de crédito"),L596,L596+30*(MAX(1,N(E596))-1)))</f>
        <v/>
      </c>
      <c r="N596" s="29">
        <f>IF(OR(L596="",K596=""),"",K596*MIN(MAX(1,N(E596)),MAX(0,INT((Config!$B$8-L596)/30)+1)))</f>
        <v/>
      </c>
      <c r="O596" s="29">
        <f>IF(J596="","",J596-N(N596))</f>
        <v/>
      </c>
      <c r="P596" s="27">
        <f>IF(A596="","",MONTH(A596))</f>
        <v/>
      </c>
      <c r="Q596" s="27">
        <f>IF(A596="","",YEAR(A596))</f>
        <v/>
      </c>
      <c r="R596" s="27">
        <f>IF(L596="","",IF(L596&gt;Config!$B$8,"A cair",IF(N(G596)&gt;=MIN(MAX(1,N(E596)),MAX(0,INT((Config!$B$8-L596)/30)+1)),IF(N(G596)&gt;=MAX(1,N(E596)),"Conferido","Conferido até aqui"),"A conferir")))</f>
        <v/>
      </c>
      <c r="S596" s="51">
        <f>IF(R596="A conferir",(Config!$B$8-L596)*1000+N(F596)/1000+ROW()/100000,0)</f>
        <v>0</v>
      </c>
      <c r="T596" s="51">
        <f>IF(R596="A conferir",N(N596),0)</f>
        <v>0</v>
      </c>
      <c r="U596" s="51">
        <f>IF(L596="",0,L596)</f>
        <v>0</v>
      </c>
      <c r="V596" s="51">
        <f>IF(L596="",0,MAX(1,N(E596)))</f>
        <v>0</v>
      </c>
      <c r="W596" s="51">
        <f>IF(K596="",0,K596)</f>
        <v>0</v>
      </c>
    </row>
    <row r="597">
      <c r="A597" s="49" t="n"/>
      <c r="B597" s="41" t="n"/>
      <c r="C597" s="41" t="n"/>
      <c r="D597" s="42" t="n"/>
      <c r="E597" s="42" t="n"/>
      <c r="F597" s="50" t="n"/>
      <c r="G597" s="42" t="n"/>
      <c r="H597" s="30">
        <f>IF(D597="","",IFERROR(INDEX(Config!$B$12:$B$15,MATCH(IF(AND(D597="Cartão de crédito",N(E597)&gt;1),"Cartão de crédito parcelado",D597),Config!$A$12:$A$15,0)),0)+IF(AND(Config!$B$17="Sim",LEFT(D597,17)="Cartão de crédito"),Config!$B$18*IFERROR(INDEX(Config!$C$12:$C$15,MATCH(IF(AND(D597="Cartão de crédito",N(E597)&gt;1),"Cartão de crédito parcelado",D597),Config!$A$12:$A$15,0)),0)/30*MAX(1,N(E597)),0))</f>
        <v/>
      </c>
      <c r="I597" s="29">
        <f>IF(OR(D597="",F597=""),"",ROUND(F597*H597,2))</f>
        <v/>
      </c>
      <c r="J597" s="29">
        <f>IF(I597="","",F597-I597)</f>
        <v/>
      </c>
      <c r="K597" s="29">
        <f>IF(J597="","",J597/MAX(1,N(E597)))</f>
        <v/>
      </c>
      <c r="L597" s="37">
        <f>IF(OR(D597="",A597=""),"",A597+IF(AND(Config!$B$17="Sim",LEFT(D597,17)="Cartão de crédito"),1,IFERROR(INDEX(Config!$C$12:$C$15,MATCH(IF(AND(D597="Cartão de crédito",N(E597)&gt;1),"Cartão de crédito parcelado",D597),Config!$A$12:$A$15,0)),0)))</f>
        <v/>
      </c>
      <c r="M597" s="37">
        <f>IF(L597="","",IF(AND(Config!$B$17="Sim",LEFT(D597,17)="Cartão de crédito"),L597,L597+30*(MAX(1,N(E597))-1)))</f>
        <v/>
      </c>
      <c r="N597" s="29">
        <f>IF(OR(L597="",K597=""),"",K597*MIN(MAX(1,N(E597)),MAX(0,INT((Config!$B$8-L597)/30)+1)))</f>
        <v/>
      </c>
      <c r="O597" s="29">
        <f>IF(J597="","",J597-N(N597))</f>
        <v/>
      </c>
      <c r="P597" s="27">
        <f>IF(A597="","",MONTH(A597))</f>
        <v/>
      </c>
      <c r="Q597" s="27">
        <f>IF(A597="","",YEAR(A597))</f>
        <v/>
      </c>
      <c r="R597" s="27">
        <f>IF(L597="","",IF(L597&gt;Config!$B$8,"A cair",IF(N(G597)&gt;=MIN(MAX(1,N(E597)),MAX(0,INT((Config!$B$8-L597)/30)+1)),IF(N(G597)&gt;=MAX(1,N(E597)),"Conferido","Conferido até aqui"),"A conferir")))</f>
        <v/>
      </c>
      <c r="S597" s="51">
        <f>IF(R597="A conferir",(Config!$B$8-L597)*1000+N(F597)/1000+ROW()/100000,0)</f>
        <v>0</v>
      </c>
      <c r="T597" s="51">
        <f>IF(R597="A conferir",N(N597),0)</f>
        <v>0</v>
      </c>
      <c r="U597" s="51">
        <f>IF(L597="",0,L597)</f>
        <v>0</v>
      </c>
      <c r="V597" s="51">
        <f>IF(L597="",0,MAX(1,N(E597)))</f>
        <v>0</v>
      </c>
      <c r="W597" s="51">
        <f>IF(K597="",0,K597)</f>
        <v>0</v>
      </c>
    </row>
    <row r="598">
      <c r="A598" s="49" t="n"/>
      <c r="B598" s="41" t="n"/>
      <c r="C598" s="41" t="n"/>
      <c r="D598" s="42" t="n"/>
      <c r="E598" s="42" t="n"/>
      <c r="F598" s="50" t="n"/>
      <c r="G598" s="42" t="n"/>
      <c r="H598" s="30">
        <f>IF(D598="","",IFERROR(INDEX(Config!$B$12:$B$15,MATCH(IF(AND(D598="Cartão de crédito",N(E598)&gt;1),"Cartão de crédito parcelado",D598),Config!$A$12:$A$15,0)),0)+IF(AND(Config!$B$17="Sim",LEFT(D598,17)="Cartão de crédito"),Config!$B$18*IFERROR(INDEX(Config!$C$12:$C$15,MATCH(IF(AND(D598="Cartão de crédito",N(E598)&gt;1),"Cartão de crédito parcelado",D598),Config!$A$12:$A$15,0)),0)/30*MAX(1,N(E598)),0))</f>
        <v/>
      </c>
      <c r="I598" s="29">
        <f>IF(OR(D598="",F598=""),"",ROUND(F598*H598,2))</f>
        <v/>
      </c>
      <c r="J598" s="29">
        <f>IF(I598="","",F598-I598)</f>
        <v/>
      </c>
      <c r="K598" s="29">
        <f>IF(J598="","",J598/MAX(1,N(E598)))</f>
        <v/>
      </c>
      <c r="L598" s="37">
        <f>IF(OR(D598="",A598=""),"",A598+IF(AND(Config!$B$17="Sim",LEFT(D598,17)="Cartão de crédito"),1,IFERROR(INDEX(Config!$C$12:$C$15,MATCH(IF(AND(D598="Cartão de crédito",N(E598)&gt;1),"Cartão de crédito parcelado",D598),Config!$A$12:$A$15,0)),0)))</f>
        <v/>
      </c>
      <c r="M598" s="37">
        <f>IF(L598="","",IF(AND(Config!$B$17="Sim",LEFT(D598,17)="Cartão de crédito"),L598,L598+30*(MAX(1,N(E598))-1)))</f>
        <v/>
      </c>
      <c r="N598" s="29">
        <f>IF(OR(L598="",K598=""),"",K598*MIN(MAX(1,N(E598)),MAX(0,INT((Config!$B$8-L598)/30)+1)))</f>
        <v/>
      </c>
      <c r="O598" s="29">
        <f>IF(J598="","",J598-N(N598))</f>
        <v/>
      </c>
      <c r="P598" s="27">
        <f>IF(A598="","",MONTH(A598))</f>
        <v/>
      </c>
      <c r="Q598" s="27">
        <f>IF(A598="","",YEAR(A598))</f>
        <v/>
      </c>
      <c r="R598" s="27">
        <f>IF(L598="","",IF(L598&gt;Config!$B$8,"A cair",IF(N(G598)&gt;=MIN(MAX(1,N(E598)),MAX(0,INT((Config!$B$8-L598)/30)+1)),IF(N(G598)&gt;=MAX(1,N(E598)),"Conferido","Conferido até aqui"),"A conferir")))</f>
        <v/>
      </c>
      <c r="S598" s="51">
        <f>IF(R598="A conferir",(Config!$B$8-L598)*1000+N(F598)/1000+ROW()/100000,0)</f>
        <v>0</v>
      </c>
      <c r="T598" s="51">
        <f>IF(R598="A conferir",N(N598),0)</f>
        <v>0</v>
      </c>
      <c r="U598" s="51">
        <f>IF(L598="",0,L598)</f>
        <v>0</v>
      </c>
      <c r="V598" s="51">
        <f>IF(L598="",0,MAX(1,N(E598)))</f>
        <v>0</v>
      </c>
      <c r="W598" s="51">
        <f>IF(K598="",0,K598)</f>
        <v>0</v>
      </c>
    </row>
    <row r="599">
      <c r="A599" s="49" t="n"/>
      <c r="B599" s="41" t="n"/>
      <c r="C599" s="41" t="n"/>
      <c r="D599" s="42" t="n"/>
      <c r="E599" s="42" t="n"/>
      <c r="F599" s="50" t="n"/>
      <c r="G599" s="42" t="n"/>
      <c r="H599" s="30">
        <f>IF(D599="","",IFERROR(INDEX(Config!$B$12:$B$15,MATCH(IF(AND(D599="Cartão de crédito",N(E599)&gt;1),"Cartão de crédito parcelado",D599),Config!$A$12:$A$15,0)),0)+IF(AND(Config!$B$17="Sim",LEFT(D599,17)="Cartão de crédito"),Config!$B$18*IFERROR(INDEX(Config!$C$12:$C$15,MATCH(IF(AND(D599="Cartão de crédito",N(E599)&gt;1),"Cartão de crédito parcelado",D599),Config!$A$12:$A$15,0)),0)/30*MAX(1,N(E599)),0))</f>
        <v/>
      </c>
      <c r="I599" s="29">
        <f>IF(OR(D599="",F599=""),"",ROUND(F599*H599,2))</f>
        <v/>
      </c>
      <c r="J599" s="29">
        <f>IF(I599="","",F599-I599)</f>
        <v/>
      </c>
      <c r="K599" s="29">
        <f>IF(J599="","",J599/MAX(1,N(E599)))</f>
        <v/>
      </c>
      <c r="L599" s="37">
        <f>IF(OR(D599="",A599=""),"",A599+IF(AND(Config!$B$17="Sim",LEFT(D599,17)="Cartão de crédito"),1,IFERROR(INDEX(Config!$C$12:$C$15,MATCH(IF(AND(D599="Cartão de crédito",N(E599)&gt;1),"Cartão de crédito parcelado",D599),Config!$A$12:$A$15,0)),0)))</f>
        <v/>
      </c>
      <c r="M599" s="37">
        <f>IF(L599="","",IF(AND(Config!$B$17="Sim",LEFT(D599,17)="Cartão de crédito"),L599,L599+30*(MAX(1,N(E599))-1)))</f>
        <v/>
      </c>
      <c r="N599" s="29">
        <f>IF(OR(L599="",K599=""),"",K599*MIN(MAX(1,N(E599)),MAX(0,INT((Config!$B$8-L599)/30)+1)))</f>
        <v/>
      </c>
      <c r="O599" s="29">
        <f>IF(J599="","",J599-N(N599))</f>
        <v/>
      </c>
      <c r="P599" s="27">
        <f>IF(A599="","",MONTH(A599))</f>
        <v/>
      </c>
      <c r="Q599" s="27">
        <f>IF(A599="","",YEAR(A599))</f>
        <v/>
      </c>
      <c r="R599" s="27">
        <f>IF(L599="","",IF(L599&gt;Config!$B$8,"A cair",IF(N(G599)&gt;=MIN(MAX(1,N(E599)),MAX(0,INT((Config!$B$8-L599)/30)+1)),IF(N(G599)&gt;=MAX(1,N(E599)),"Conferido","Conferido até aqui"),"A conferir")))</f>
        <v/>
      </c>
      <c r="S599" s="51">
        <f>IF(R599="A conferir",(Config!$B$8-L599)*1000+N(F599)/1000+ROW()/100000,0)</f>
        <v>0</v>
      </c>
      <c r="T599" s="51">
        <f>IF(R599="A conferir",N(N599),0)</f>
        <v>0</v>
      </c>
      <c r="U599" s="51">
        <f>IF(L599="",0,L599)</f>
        <v>0</v>
      </c>
      <c r="V599" s="51">
        <f>IF(L599="",0,MAX(1,N(E599)))</f>
        <v>0</v>
      </c>
      <c r="W599" s="51">
        <f>IF(K599="",0,K599)</f>
        <v>0</v>
      </c>
    </row>
    <row r="600">
      <c r="A600" s="49" t="n"/>
      <c r="B600" s="41" t="n"/>
      <c r="C600" s="41" t="n"/>
      <c r="D600" s="42" t="n"/>
      <c r="E600" s="42" t="n"/>
      <c r="F600" s="50" t="n"/>
      <c r="G600" s="42" t="n"/>
      <c r="H600" s="30">
        <f>IF(D600="","",IFERROR(INDEX(Config!$B$12:$B$15,MATCH(IF(AND(D600="Cartão de crédito",N(E600)&gt;1),"Cartão de crédito parcelado",D600),Config!$A$12:$A$15,0)),0)+IF(AND(Config!$B$17="Sim",LEFT(D600,17)="Cartão de crédito"),Config!$B$18*IFERROR(INDEX(Config!$C$12:$C$15,MATCH(IF(AND(D600="Cartão de crédito",N(E600)&gt;1),"Cartão de crédito parcelado",D600),Config!$A$12:$A$15,0)),0)/30*MAX(1,N(E600)),0))</f>
        <v/>
      </c>
      <c r="I600" s="29">
        <f>IF(OR(D600="",F600=""),"",ROUND(F600*H600,2))</f>
        <v/>
      </c>
      <c r="J600" s="29">
        <f>IF(I600="","",F600-I600)</f>
        <v/>
      </c>
      <c r="K600" s="29">
        <f>IF(J600="","",J600/MAX(1,N(E600)))</f>
        <v/>
      </c>
      <c r="L600" s="37">
        <f>IF(OR(D600="",A600=""),"",A600+IF(AND(Config!$B$17="Sim",LEFT(D600,17)="Cartão de crédito"),1,IFERROR(INDEX(Config!$C$12:$C$15,MATCH(IF(AND(D600="Cartão de crédito",N(E600)&gt;1),"Cartão de crédito parcelado",D600),Config!$A$12:$A$15,0)),0)))</f>
        <v/>
      </c>
      <c r="M600" s="37">
        <f>IF(L600="","",IF(AND(Config!$B$17="Sim",LEFT(D600,17)="Cartão de crédito"),L600,L600+30*(MAX(1,N(E600))-1)))</f>
        <v/>
      </c>
      <c r="N600" s="29">
        <f>IF(OR(L600="",K600=""),"",K600*MIN(MAX(1,N(E600)),MAX(0,INT((Config!$B$8-L600)/30)+1)))</f>
        <v/>
      </c>
      <c r="O600" s="29">
        <f>IF(J600="","",J600-N(N600))</f>
        <v/>
      </c>
      <c r="P600" s="27">
        <f>IF(A600="","",MONTH(A600))</f>
        <v/>
      </c>
      <c r="Q600" s="27">
        <f>IF(A600="","",YEAR(A600))</f>
        <v/>
      </c>
      <c r="R600" s="27">
        <f>IF(L600="","",IF(L600&gt;Config!$B$8,"A cair",IF(N(G600)&gt;=MIN(MAX(1,N(E600)),MAX(0,INT((Config!$B$8-L600)/30)+1)),IF(N(G600)&gt;=MAX(1,N(E600)),"Conferido","Conferido até aqui"),"A conferir")))</f>
        <v/>
      </c>
      <c r="S600" s="51">
        <f>IF(R600="A conferir",(Config!$B$8-L600)*1000+N(F600)/1000+ROW()/100000,0)</f>
        <v>0</v>
      </c>
      <c r="T600" s="51">
        <f>IF(R600="A conferir",N(N600),0)</f>
        <v>0</v>
      </c>
      <c r="U600" s="51">
        <f>IF(L600="",0,L600)</f>
        <v>0</v>
      </c>
      <c r="V600" s="51">
        <f>IF(L600="",0,MAX(1,N(E600)))</f>
        <v>0</v>
      </c>
      <c r="W600" s="51">
        <f>IF(K600="",0,K600)</f>
        <v>0</v>
      </c>
    </row>
    <row r="601">
      <c r="A601" s="49" t="n"/>
      <c r="B601" s="41" t="n"/>
      <c r="C601" s="41" t="n"/>
      <c r="D601" s="42" t="n"/>
      <c r="E601" s="42" t="n"/>
      <c r="F601" s="50" t="n"/>
      <c r="G601" s="42" t="n"/>
      <c r="H601" s="30">
        <f>IF(D601="","",IFERROR(INDEX(Config!$B$12:$B$15,MATCH(IF(AND(D601="Cartão de crédito",N(E601)&gt;1),"Cartão de crédito parcelado",D601),Config!$A$12:$A$15,0)),0)+IF(AND(Config!$B$17="Sim",LEFT(D601,17)="Cartão de crédito"),Config!$B$18*IFERROR(INDEX(Config!$C$12:$C$15,MATCH(IF(AND(D601="Cartão de crédito",N(E601)&gt;1),"Cartão de crédito parcelado",D601),Config!$A$12:$A$15,0)),0)/30*MAX(1,N(E601)),0))</f>
        <v/>
      </c>
      <c r="I601" s="29">
        <f>IF(OR(D601="",F601=""),"",ROUND(F601*H601,2))</f>
        <v/>
      </c>
      <c r="J601" s="29">
        <f>IF(I601="","",F601-I601)</f>
        <v/>
      </c>
      <c r="K601" s="29">
        <f>IF(J601="","",J601/MAX(1,N(E601)))</f>
        <v/>
      </c>
      <c r="L601" s="37">
        <f>IF(OR(D601="",A601=""),"",A601+IF(AND(Config!$B$17="Sim",LEFT(D601,17)="Cartão de crédito"),1,IFERROR(INDEX(Config!$C$12:$C$15,MATCH(IF(AND(D601="Cartão de crédito",N(E601)&gt;1),"Cartão de crédito parcelado",D601),Config!$A$12:$A$15,0)),0)))</f>
        <v/>
      </c>
      <c r="M601" s="37">
        <f>IF(L601="","",IF(AND(Config!$B$17="Sim",LEFT(D601,17)="Cartão de crédito"),L601,L601+30*(MAX(1,N(E601))-1)))</f>
        <v/>
      </c>
      <c r="N601" s="29">
        <f>IF(OR(L601="",K601=""),"",K601*MIN(MAX(1,N(E601)),MAX(0,INT((Config!$B$8-L601)/30)+1)))</f>
        <v/>
      </c>
      <c r="O601" s="29">
        <f>IF(J601="","",J601-N(N601))</f>
        <v/>
      </c>
      <c r="P601" s="27">
        <f>IF(A601="","",MONTH(A601))</f>
        <v/>
      </c>
      <c r="Q601" s="27">
        <f>IF(A601="","",YEAR(A601))</f>
        <v/>
      </c>
      <c r="R601" s="27">
        <f>IF(L601="","",IF(L601&gt;Config!$B$8,"A cair",IF(N(G601)&gt;=MIN(MAX(1,N(E601)),MAX(0,INT((Config!$B$8-L601)/30)+1)),IF(N(G601)&gt;=MAX(1,N(E601)),"Conferido","Conferido até aqui"),"A conferir")))</f>
        <v/>
      </c>
      <c r="S601" s="51">
        <f>IF(R601="A conferir",(Config!$B$8-L601)*1000+N(F601)/1000+ROW()/100000,0)</f>
        <v>0</v>
      </c>
      <c r="T601" s="51">
        <f>IF(R601="A conferir",N(N601),0)</f>
        <v>0</v>
      </c>
      <c r="U601" s="51">
        <f>IF(L601="",0,L601)</f>
        <v>0</v>
      </c>
      <c r="V601" s="51">
        <f>IF(L601="",0,MAX(1,N(E601)))</f>
        <v>0</v>
      </c>
      <c r="W601" s="51">
        <f>IF(K601="",0,K601)</f>
        <v>0</v>
      </c>
    </row>
    <row r="602">
      <c r="A602" s="49" t="n"/>
      <c r="B602" s="41" t="n"/>
      <c r="C602" s="41" t="n"/>
      <c r="D602" s="42" t="n"/>
      <c r="E602" s="42" t="n"/>
      <c r="F602" s="50" t="n"/>
      <c r="G602" s="42" t="n"/>
      <c r="H602" s="30">
        <f>IF(D602="","",IFERROR(INDEX(Config!$B$12:$B$15,MATCH(IF(AND(D602="Cartão de crédito",N(E602)&gt;1),"Cartão de crédito parcelado",D602),Config!$A$12:$A$15,0)),0)+IF(AND(Config!$B$17="Sim",LEFT(D602,17)="Cartão de crédito"),Config!$B$18*IFERROR(INDEX(Config!$C$12:$C$15,MATCH(IF(AND(D602="Cartão de crédito",N(E602)&gt;1),"Cartão de crédito parcelado",D602),Config!$A$12:$A$15,0)),0)/30*MAX(1,N(E602)),0))</f>
        <v/>
      </c>
      <c r="I602" s="29">
        <f>IF(OR(D602="",F602=""),"",ROUND(F602*H602,2))</f>
        <v/>
      </c>
      <c r="J602" s="29">
        <f>IF(I602="","",F602-I602)</f>
        <v/>
      </c>
      <c r="K602" s="29">
        <f>IF(J602="","",J602/MAX(1,N(E602)))</f>
        <v/>
      </c>
      <c r="L602" s="37">
        <f>IF(OR(D602="",A602=""),"",A602+IF(AND(Config!$B$17="Sim",LEFT(D602,17)="Cartão de crédito"),1,IFERROR(INDEX(Config!$C$12:$C$15,MATCH(IF(AND(D602="Cartão de crédito",N(E602)&gt;1),"Cartão de crédito parcelado",D602),Config!$A$12:$A$15,0)),0)))</f>
        <v/>
      </c>
      <c r="M602" s="37">
        <f>IF(L602="","",IF(AND(Config!$B$17="Sim",LEFT(D602,17)="Cartão de crédito"),L602,L602+30*(MAX(1,N(E602))-1)))</f>
        <v/>
      </c>
      <c r="N602" s="29">
        <f>IF(OR(L602="",K602=""),"",K602*MIN(MAX(1,N(E602)),MAX(0,INT((Config!$B$8-L602)/30)+1)))</f>
        <v/>
      </c>
      <c r="O602" s="29">
        <f>IF(J602="","",J602-N(N602))</f>
        <v/>
      </c>
      <c r="P602" s="27">
        <f>IF(A602="","",MONTH(A602))</f>
        <v/>
      </c>
      <c r="Q602" s="27">
        <f>IF(A602="","",YEAR(A602))</f>
        <v/>
      </c>
      <c r="R602" s="27">
        <f>IF(L602="","",IF(L602&gt;Config!$B$8,"A cair",IF(N(G602)&gt;=MIN(MAX(1,N(E602)),MAX(0,INT((Config!$B$8-L602)/30)+1)),IF(N(G602)&gt;=MAX(1,N(E602)),"Conferido","Conferido até aqui"),"A conferir")))</f>
        <v/>
      </c>
      <c r="S602" s="51">
        <f>IF(R602="A conferir",(Config!$B$8-L602)*1000+N(F602)/1000+ROW()/100000,0)</f>
        <v>0</v>
      </c>
      <c r="T602" s="51">
        <f>IF(R602="A conferir",N(N602),0)</f>
        <v>0</v>
      </c>
      <c r="U602" s="51">
        <f>IF(L602="",0,L602)</f>
        <v>0</v>
      </c>
      <c r="V602" s="51">
        <f>IF(L602="",0,MAX(1,N(E602)))</f>
        <v>0</v>
      </c>
      <c r="W602" s="51">
        <f>IF(K602="",0,K602)</f>
        <v>0</v>
      </c>
    </row>
    <row r="603">
      <c r="A603" s="49" t="n"/>
      <c r="B603" s="41" t="n"/>
      <c r="C603" s="41" t="n"/>
      <c r="D603" s="42" t="n"/>
      <c r="E603" s="42" t="n"/>
      <c r="F603" s="50" t="n"/>
      <c r="G603" s="42" t="n"/>
      <c r="H603" s="30">
        <f>IF(D603="","",IFERROR(INDEX(Config!$B$12:$B$15,MATCH(IF(AND(D603="Cartão de crédito",N(E603)&gt;1),"Cartão de crédito parcelado",D603),Config!$A$12:$A$15,0)),0)+IF(AND(Config!$B$17="Sim",LEFT(D603,17)="Cartão de crédito"),Config!$B$18*IFERROR(INDEX(Config!$C$12:$C$15,MATCH(IF(AND(D603="Cartão de crédito",N(E603)&gt;1),"Cartão de crédito parcelado",D603),Config!$A$12:$A$15,0)),0)/30*MAX(1,N(E603)),0))</f>
        <v/>
      </c>
      <c r="I603" s="29">
        <f>IF(OR(D603="",F603=""),"",ROUND(F603*H603,2))</f>
        <v/>
      </c>
      <c r="J603" s="29">
        <f>IF(I603="","",F603-I603)</f>
        <v/>
      </c>
      <c r="K603" s="29">
        <f>IF(J603="","",J603/MAX(1,N(E603)))</f>
        <v/>
      </c>
      <c r="L603" s="37">
        <f>IF(OR(D603="",A603=""),"",A603+IF(AND(Config!$B$17="Sim",LEFT(D603,17)="Cartão de crédito"),1,IFERROR(INDEX(Config!$C$12:$C$15,MATCH(IF(AND(D603="Cartão de crédito",N(E603)&gt;1),"Cartão de crédito parcelado",D603),Config!$A$12:$A$15,0)),0)))</f>
        <v/>
      </c>
      <c r="M603" s="37">
        <f>IF(L603="","",IF(AND(Config!$B$17="Sim",LEFT(D603,17)="Cartão de crédito"),L603,L603+30*(MAX(1,N(E603))-1)))</f>
        <v/>
      </c>
      <c r="N603" s="29">
        <f>IF(OR(L603="",K603=""),"",K603*MIN(MAX(1,N(E603)),MAX(0,INT((Config!$B$8-L603)/30)+1)))</f>
        <v/>
      </c>
      <c r="O603" s="29">
        <f>IF(J603="","",J603-N(N603))</f>
        <v/>
      </c>
      <c r="P603" s="27">
        <f>IF(A603="","",MONTH(A603))</f>
        <v/>
      </c>
      <c r="Q603" s="27">
        <f>IF(A603="","",YEAR(A603))</f>
        <v/>
      </c>
      <c r="R603" s="27">
        <f>IF(L603="","",IF(L603&gt;Config!$B$8,"A cair",IF(N(G603)&gt;=MIN(MAX(1,N(E603)),MAX(0,INT((Config!$B$8-L603)/30)+1)),IF(N(G603)&gt;=MAX(1,N(E603)),"Conferido","Conferido até aqui"),"A conferir")))</f>
        <v/>
      </c>
      <c r="S603" s="51">
        <f>IF(R603="A conferir",(Config!$B$8-L603)*1000+N(F603)/1000+ROW()/100000,0)</f>
        <v>0</v>
      </c>
      <c r="T603" s="51">
        <f>IF(R603="A conferir",N(N603),0)</f>
        <v>0</v>
      </c>
      <c r="U603" s="51">
        <f>IF(L603="",0,L603)</f>
        <v>0</v>
      </c>
      <c r="V603" s="51">
        <f>IF(L603="",0,MAX(1,N(E603)))</f>
        <v>0</v>
      </c>
      <c r="W603" s="51">
        <f>IF(K603="",0,K603)</f>
        <v>0</v>
      </c>
    </row>
    <row r="604">
      <c r="A604" s="49" t="n"/>
      <c r="B604" s="41" t="n"/>
      <c r="C604" s="41" t="n"/>
      <c r="D604" s="42" t="n"/>
      <c r="E604" s="42" t="n"/>
      <c r="F604" s="50" t="n"/>
      <c r="G604" s="42" t="n"/>
      <c r="H604" s="30">
        <f>IF(D604="","",IFERROR(INDEX(Config!$B$12:$B$15,MATCH(IF(AND(D604="Cartão de crédito",N(E604)&gt;1),"Cartão de crédito parcelado",D604),Config!$A$12:$A$15,0)),0)+IF(AND(Config!$B$17="Sim",LEFT(D604,17)="Cartão de crédito"),Config!$B$18*IFERROR(INDEX(Config!$C$12:$C$15,MATCH(IF(AND(D604="Cartão de crédito",N(E604)&gt;1),"Cartão de crédito parcelado",D604),Config!$A$12:$A$15,0)),0)/30*MAX(1,N(E604)),0))</f>
        <v/>
      </c>
      <c r="I604" s="29">
        <f>IF(OR(D604="",F604=""),"",ROUND(F604*H604,2))</f>
        <v/>
      </c>
      <c r="J604" s="29">
        <f>IF(I604="","",F604-I604)</f>
        <v/>
      </c>
      <c r="K604" s="29">
        <f>IF(J604="","",J604/MAX(1,N(E604)))</f>
        <v/>
      </c>
      <c r="L604" s="37">
        <f>IF(OR(D604="",A604=""),"",A604+IF(AND(Config!$B$17="Sim",LEFT(D604,17)="Cartão de crédito"),1,IFERROR(INDEX(Config!$C$12:$C$15,MATCH(IF(AND(D604="Cartão de crédito",N(E604)&gt;1),"Cartão de crédito parcelado",D604),Config!$A$12:$A$15,0)),0)))</f>
        <v/>
      </c>
      <c r="M604" s="37">
        <f>IF(L604="","",IF(AND(Config!$B$17="Sim",LEFT(D604,17)="Cartão de crédito"),L604,L604+30*(MAX(1,N(E604))-1)))</f>
        <v/>
      </c>
      <c r="N604" s="29">
        <f>IF(OR(L604="",K604=""),"",K604*MIN(MAX(1,N(E604)),MAX(0,INT((Config!$B$8-L604)/30)+1)))</f>
        <v/>
      </c>
      <c r="O604" s="29">
        <f>IF(J604="","",J604-N(N604))</f>
        <v/>
      </c>
      <c r="P604" s="27">
        <f>IF(A604="","",MONTH(A604))</f>
        <v/>
      </c>
      <c r="Q604" s="27">
        <f>IF(A604="","",YEAR(A604))</f>
        <v/>
      </c>
      <c r="R604" s="27">
        <f>IF(L604="","",IF(L604&gt;Config!$B$8,"A cair",IF(N(G604)&gt;=MIN(MAX(1,N(E604)),MAX(0,INT((Config!$B$8-L604)/30)+1)),IF(N(G604)&gt;=MAX(1,N(E604)),"Conferido","Conferido até aqui"),"A conferir")))</f>
        <v/>
      </c>
      <c r="S604" s="51">
        <f>IF(R604="A conferir",(Config!$B$8-L604)*1000+N(F604)/1000+ROW()/100000,0)</f>
        <v>0</v>
      </c>
      <c r="T604" s="51">
        <f>IF(R604="A conferir",N(N604),0)</f>
        <v>0</v>
      </c>
      <c r="U604" s="51">
        <f>IF(L604="",0,L604)</f>
        <v>0</v>
      </c>
      <c r="V604" s="51">
        <f>IF(L604="",0,MAX(1,N(E604)))</f>
        <v>0</v>
      </c>
      <c r="W604" s="51">
        <f>IF(K604="",0,K604)</f>
        <v>0</v>
      </c>
    </row>
    <row r="605">
      <c r="A605" s="49" t="n"/>
      <c r="B605" s="41" t="n"/>
      <c r="C605" s="41" t="n"/>
      <c r="D605" s="42" t="n"/>
      <c r="E605" s="42" t="n"/>
      <c r="F605" s="50" t="n"/>
      <c r="G605" s="42" t="n"/>
      <c r="H605" s="30">
        <f>IF(D605="","",IFERROR(INDEX(Config!$B$12:$B$15,MATCH(IF(AND(D605="Cartão de crédito",N(E605)&gt;1),"Cartão de crédito parcelado",D605),Config!$A$12:$A$15,0)),0)+IF(AND(Config!$B$17="Sim",LEFT(D605,17)="Cartão de crédito"),Config!$B$18*IFERROR(INDEX(Config!$C$12:$C$15,MATCH(IF(AND(D605="Cartão de crédito",N(E605)&gt;1),"Cartão de crédito parcelado",D605),Config!$A$12:$A$15,0)),0)/30*MAX(1,N(E605)),0))</f>
        <v/>
      </c>
      <c r="I605" s="29">
        <f>IF(OR(D605="",F605=""),"",ROUND(F605*H605,2))</f>
        <v/>
      </c>
      <c r="J605" s="29">
        <f>IF(I605="","",F605-I605)</f>
        <v/>
      </c>
      <c r="K605" s="29">
        <f>IF(J605="","",J605/MAX(1,N(E605)))</f>
        <v/>
      </c>
      <c r="L605" s="37">
        <f>IF(OR(D605="",A605=""),"",A605+IF(AND(Config!$B$17="Sim",LEFT(D605,17)="Cartão de crédito"),1,IFERROR(INDEX(Config!$C$12:$C$15,MATCH(IF(AND(D605="Cartão de crédito",N(E605)&gt;1),"Cartão de crédito parcelado",D605),Config!$A$12:$A$15,0)),0)))</f>
        <v/>
      </c>
      <c r="M605" s="37">
        <f>IF(L605="","",IF(AND(Config!$B$17="Sim",LEFT(D605,17)="Cartão de crédito"),L605,L605+30*(MAX(1,N(E605))-1)))</f>
        <v/>
      </c>
      <c r="N605" s="29">
        <f>IF(OR(L605="",K605=""),"",K605*MIN(MAX(1,N(E605)),MAX(0,INT((Config!$B$8-L605)/30)+1)))</f>
        <v/>
      </c>
      <c r="O605" s="29">
        <f>IF(J605="","",J605-N(N605))</f>
        <v/>
      </c>
      <c r="P605" s="27">
        <f>IF(A605="","",MONTH(A605))</f>
        <v/>
      </c>
      <c r="Q605" s="27">
        <f>IF(A605="","",YEAR(A605))</f>
        <v/>
      </c>
      <c r="R605" s="27">
        <f>IF(L605="","",IF(L605&gt;Config!$B$8,"A cair",IF(N(G605)&gt;=MIN(MAX(1,N(E605)),MAX(0,INT((Config!$B$8-L605)/30)+1)),IF(N(G605)&gt;=MAX(1,N(E605)),"Conferido","Conferido até aqui"),"A conferir")))</f>
        <v/>
      </c>
      <c r="S605" s="51">
        <f>IF(R605="A conferir",(Config!$B$8-L605)*1000+N(F605)/1000+ROW()/100000,0)</f>
        <v>0</v>
      </c>
      <c r="T605" s="51">
        <f>IF(R605="A conferir",N(N605),0)</f>
        <v>0</v>
      </c>
      <c r="U605" s="51">
        <f>IF(L605="",0,L605)</f>
        <v>0</v>
      </c>
      <c r="V605" s="51">
        <f>IF(L605="",0,MAX(1,N(E605)))</f>
        <v>0</v>
      </c>
      <c r="W605" s="51">
        <f>IF(K605="",0,K605)</f>
        <v>0</v>
      </c>
    </row>
    <row r="606">
      <c r="A606" s="49" t="n"/>
      <c r="B606" s="41" t="n"/>
      <c r="C606" s="41" t="n"/>
      <c r="D606" s="42" t="n"/>
      <c r="E606" s="42" t="n"/>
      <c r="F606" s="50" t="n"/>
      <c r="G606" s="42" t="n"/>
      <c r="H606" s="30">
        <f>IF(D606="","",IFERROR(INDEX(Config!$B$12:$B$15,MATCH(IF(AND(D606="Cartão de crédito",N(E606)&gt;1),"Cartão de crédito parcelado",D606),Config!$A$12:$A$15,0)),0)+IF(AND(Config!$B$17="Sim",LEFT(D606,17)="Cartão de crédito"),Config!$B$18*IFERROR(INDEX(Config!$C$12:$C$15,MATCH(IF(AND(D606="Cartão de crédito",N(E606)&gt;1),"Cartão de crédito parcelado",D606),Config!$A$12:$A$15,0)),0)/30*MAX(1,N(E606)),0))</f>
        <v/>
      </c>
      <c r="I606" s="29">
        <f>IF(OR(D606="",F606=""),"",ROUND(F606*H606,2))</f>
        <v/>
      </c>
      <c r="J606" s="29">
        <f>IF(I606="","",F606-I606)</f>
        <v/>
      </c>
      <c r="K606" s="29">
        <f>IF(J606="","",J606/MAX(1,N(E606)))</f>
        <v/>
      </c>
      <c r="L606" s="37">
        <f>IF(OR(D606="",A606=""),"",A606+IF(AND(Config!$B$17="Sim",LEFT(D606,17)="Cartão de crédito"),1,IFERROR(INDEX(Config!$C$12:$C$15,MATCH(IF(AND(D606="Cartão de crédito",N(E606)&gt;1),"Cartão de crédito parcelado",D606),Config!$A$12:$A$15,0)),0)))</f>
        <v/>
      </c>
      <c r="M606" s="37">
        <f>IF(L606="","",IF(AND(Config!$B$17="Sim",LEFT(D606,17)="Cartão de crédito"),L606,L606+30*(MAX(1,N(E606))-1)))</f>
        <v/>
      </c>
      <c r="N606" s="29">
        <f>IF(OR(L606="",K606=""),"",K606*MIN(MAX(1,N(E606)),MAX(0,INT((Config!$B$8-L606)/30)+1)))</f>
        <v/>
      </c>
      <c r="O606" s="29">
        <f>IF(J606="","",J606-N(N606))</f>
        <v/>
      </c>
      <c r="P606" s="27">
        <f>IF(A606="","",MONTH(A606))</f>
        <v/>
      </c>
      <c r="Q606" s="27">
        <f>IF(A606="","",YEAR(A606))</f>
        <v/>
      </c>
      <c r="R606" s="27">
        <f>IF(L606="","",IF(L606&gt;Config!$B$8,"A cair",IF(N(G606)&gt;=MIN(MAX(1,N(E606)),MAX(0,INT((Config!$B$8-L606)/30)+1)),IF(N(G606)&gt;=MAX(1,N(E606)),"Conferido","Conferido até aqui"),"A conferir")))</f>
        <v/>
      </c>
      <c r="S606" s="51">
        <f>IF(R606="A conferir",(Config!$B$8-L606)*1000+N(F606)/1000+ROW()/100000,0)</f>
        <v>0</v>
      </c>
      <c r="T606" s="51">
        <f>IF(R606="A conferir",N(N606),0)</f>
        <v>0</v>
      </c>
      <c r="U606" s="51">
        <f>IF(L606="",0,L606)</f>
        <v>0</v>
      </c>
      <c r="V606" s="51">
        <f>IF(L606="",0,MAX(1,N(E606)))</f>
        <v>0</v>
      </c>
      <c r="W606" s="51">
        <f>IF(K606="",0,K606)</f>
        <v>0</v>
      </c>
    </row>
    <row r="607">
      <c r="A607" s="49" t="n"/>
      <c r="B607" s="41" t="n"/>
      <c r="C607" s="41" t="n"/>
      <c r="D607" s="42" t="n"/>
      <c r="E607" s="42" t="n"/>
      <c r="F607" s="50" t="n"/>
      <c r="G607" s="42" t="n"/>
      <c r="H607" s="30">
        <f>IF(D607="","",IFERROR(INDEX(Config!$B$12:$B$15,MATCH(IF(AND(D607="Cartão de crédito",N(E607)&gt;1),"Cartão de crédito parcelado",D607),Config!$A$12:$A$15,0)),0)+IF(AND(Config!$B$17="Sim",LEFT(D607,17)="Cartão de crédito"),Config!$B$18*IFERROR(INDEX(Config!$C$12:$C$15,MATCH(IF(AND(D607="Cartão de crédito",N(E607)&gt;1),"Cartão de crédito parcelado",D607),Config!$A$12:$A$15,0)),0)/30*MAX(1,N(E607)),0))</f>
        <v/>
      </c>
      <c r="I607" s="29">
        <f>IF(OR(D607="",F607=""),"",ROUND(F607*H607,2))</f>
        <v/>
      </c>
      <c r="J607" s="29">
        <f>IF(I607="","",F607-I607)</f>
        <v/>
      </c>
      <c r="K607" s="29">
        <f>IF(J607="","",J607/MAX(1,N(E607)))</f>
        <v/>
      </c>
      <c r="L607" s="37">
        <f>IF(OR(D607="",A607=""),"",A607+IF(AND(Config!$B$17="Sim",LEFT(D607,17)="Cartão de crédito"),1,IFERROR(INDEX(Config!$C$12:$C$15,MATCH(IF(AND(D607="Cartão de crédito",N(E607)&gt;1),"Cartão de crédito parcelado",D607),Config!$A$12:$A$15,0)),0)))</f>
        <v/>
      </c>
      <c r="M607" s="37">
        <f>IF(L607="","",IF(AND(Config!$B$17="Sim",LEFT(D607,17)="Cartão de crédito"),L607,L607+30*(MAX(1,N(E607))-1)))</f>
        <v/>
      </c>
      <c r="N607" s="29">
        <f>IF(OR(L607="",K607=""),"",K607*MIN(MAX(1,N(E607)),MAX(0,INT((Config!$B$8-L607)/30)+1)))</f>
        <v/>
      </c>
      <c r="O607" s="29">
        <f>IF(J607="","",J607-N(N607))</f>
        <v/>
      </c>
      <c r="P607" s="27">
        <f>IF(A607="","",MONTH(A607))</f>
        <v/>
      </c>
      <c r="Q607" s="27">
        <f>IF(A607="","",YEAR(A607))</f>
        <v/>
      </c>
      <c r="R607" s="27">
        <f>IF(L607="","",IF(L607&gt;Config!$B$8,"A cair",IF(N(G607)&gt;=MIN(MAX(1,N(E607)),MAX(0,INT((Config!$B$8-L607)/30)+1)),IF(N(G607)&gt;=MAX(1,N(E607)),"Conferido","Conferido até aqui"),"A conferir")))</f>
        <v/>
      </c>
      <c r="S607" s="51">
        <f>IF(R607="A conferir",(Config!$B$8-L607)*1000+N(F607)/1000+ROW()/100000,0)</f>
        <v>0</v>
      </c>
      <c r="T607" s="51">
        <f>IF(R607="A conferir",N(N607),0)</f>
        <v>0</v>
      </c>
      <c r="U607" s="51">
        <f>IF(L607="",0,L607)</f>
        <v>0</v>
      </c>
      <c r="V607" s="51">
        <f>IF(L607="",0,MAX(1,N(E607)))</f>
        <v>0</v>
      </c>
      <c r="W607" s="51">
        <f>IF(K607="",0,K607)</f>
        <v>0</v>
      </c>
    </row>
    <row r="608">
      <c r="A608" s="49" t="n"/>
      <c r="B608" s="41" t="n"/>
      <c r="C608" s="41" t="n"/>
      <c r="D608" s="42" t="n"/>
      <c r="E608" s="42" t="n"/>
      <c r="F608" s="50" t="n"/>
      <c r="G608" s="42" t="n"/>
      <c r="H608" s="30">
        <f>IF(D608="","",IFERROR(INDEX(Config!$B$12:$B$15,MATCH(IF(AND(D608="Cartão de crédito",N(E608)&gt;1),"Cartão de crédito parcelado",D608),Config!$A$12:$A$15,0)),0)+IF(AND(Config!$B$17="Sim",LEFT(D608,17)="Cartão de crédito"),Config!$B$18*IFERROR(INDEX(Config!$C$12:$C$15,MATCH(IF(AND(D608="Cartão de crédito",N(E608)&gt;1),"Cartão de crédito parcelado",D608),Config!$A$12:$A$15,0)),0)/30*MAX(1,N(E608)),0))</f>
        <v/>
      </c>
      <c r="I608" s="29">
        <f>IF(OR(D608="",F608=""),"",ROUND(F608*H608,2))</f>
        <v/>
      </c>
      <c r="J608" s="29">
        <f>IF(I608="","",F608-I608)</f>
        <v/>
      </c>
      <c r="K608" s="29">
        <f>IF(J608="","",J608/MAX(1,N(E608)))</f>
        <v/>
      </c>
      <c r="L608" s="37">
        <f>IF(OR(D608="",A608=""),"",A608+IF(AND(Config!$B$17="Sim",LEFT(D608,17)="Cartão de crédito"),1,IFERROR(INDEX(Config!$C$12:$C$15,MATCH(IF(AND(D608="Cartão de crédito",N(E608)&gt;1),"Cartão de crédito parcelado",D608),Config!$A$12:$A$15,0)),0)))</f>
        <v/>
      </c>
      <c r="M608" s="37">
        <f>IF(L608="","",IF(AND(Config!$B$17="Sim",LEFT(D608,17)="Cartão de crédito"),L608,L608+30*(MAX(1,N(E608))-1)))</f>
        <v/>
      </c>
      <c r="N608" s="29">
        <f>IF(OR(L608="",K608=""),"",K608*MIN(MAX(1,N(E608)),MAX(0,INT((Config!$B$8-L608)/30)+1)))</f>
        <v/>
      </c>
      <c r="O608" s="29">
        <f>IF(J608="","",J608-N(N608))</f>
        <v/>
      </c>
      <c r="P608" s="27">
        <f>IF(A608="","",MONTH(A608))</f>
        <v/>
      </c>
      <c r="Q608" s="27">
        <f>IF(A608="","",YEAR(A608))</f>
        <v/>
      </c>
      <c r="R608" s="27">
        <f>IF(L608="","",IF(L608&gt;Config!$B$8,"A cair",IF(N(G608)&gt;=MIN(MAX(1,N(E608)),MAX(0,INT((Config!$B$8-L608)/30)+1)),IF(N(G608)&gt;=MAX(1,N(E608)),"Conferido","Conferido até aqui"),"A conferir")))</f>
        <v/>
      </c>
      <c r="S608" s="51">
        <f>IF(R608="A conferir",(Config!$B$8-L608)*1000+N(F608)/1000+ROW()/100000,0)</f>
        <v>0</v>
      </c>
      <c r="T608" s="51">
        <f>IF(R608="A conferir",N(N608),0)</f>
        <v>0</v>
      </c>
      <c r="U608" s="51">
        <f>IF(L608="",0,L608)</f>
        <v>0</v>
      </c>
      <c r="V608" s="51">
        <f>IF(L608="",0,MAX(1,N(E608)))</f>
        <v>0</v>
      </c>
      <c r="W608" s="51">
        <f>IF(K608="",0,K608)</f>
        <v>0</v>
      </c>
    </row>
    <row r="609">
      <c r="A609" s="49" t="n"/>
      <c r="B609" s="41" t="n"/>
      <c r="C609" s="41" t="n"/>
      <c r="D609" s="42" t="n"/>
      <c r="E609" s="42" t="n"/>
      <c r="F609" s="50" t="n"/>
      <c r="G609" s="42" t="n"/>
      <c r="H609" s="30">
        <f>IF(D609="","",IFERROR(INDEX(Config!$B$12:$B$15,MATCH(IF(AND(D609="Cartão de crédito",N(E609)&gt;1),"Cartão de crédito parcelado",D609),Config!$A$12:$A$15,0)),0)+IF(AND(Config!$B$17="Sim",LEFT(D609,17)="Cartão de crédito"),Config!$B$18*IFERROR(INDEX(Config!$C$12:$C$15,MATCH(IF(AND(D609="Cartão de crédito",N(E609)&gt;1),"Cartão de crédito parcelado",D609),Config!$A$12:$A$15,0)),0)/30*MAX(1,N(E609)),0))</f>
        <v/>
      </c>
      <c r="I609" s="29">
        <f>IF(OR(D609="",F609=""),"",ROUND(F609*H609,2))</f>
        <v/>
      </c>
      <c r="J609" s="29">
        <f>IF(I609="","",F609-I609)</f>
        <v/>
      </c>
      <c r="K609" s="29">
        <f>IF(J609="","",J609/MAX(1,N(E609)))</f>
        <v/>
      </c>
      <c r="L609" s="37">
        <f>IF(OR(D609="",A609=""),"",A609+IF(AND(Config!$B$17="Sim",LEFT(D609,17)="Cartão de crédito"),1,IFERROR(INDEX(Config!$C$12:$C$15,MATCH(IF(AND(D609="Cartão de crédito",N(E609)&gt;1),"Cartão de crédito parcelado",D609),Config!$A$12:$A$15,0)),0)))</f>
        <v/>
      </c>
      <c r="M609" s="37">
        <f>IF(L609="","",IF(AND(Config!$B$17="Sim",LEFT(D609,17)="Cartão de crédito"),L609,L609+30*(MAX(1,N(E609))-1)))</f>
        <v/>
      </c>
      <c r="N609" s="29">
        <f>IF(OR(L609="",K609=""),"",K609*MIN(MAX(1,N(E609)),MAX(0,INT((Config!$B$8-L609)/30)+1)))</f>
        <v/>
      </c>
      <c r="O609" s="29">
        <f>IF(J609="","",J609-N(N609))</f>
        <v/>
      </c>
      <c r="P609" s="27">
        <f>IF(A609="","",MONTH(A609))</f>
        <v/>
      </c>
      <c r="Q609" s="27">
        <f>IF(A609="","",YEAR(A609))</f>
        <v/>
      </c>
      <c r="R609" s="27">
        <f>IF(L609="","",IF(L609&gt;Config!$B$8,"A cair",IF(N(G609)&gt;=MIN(MAX(1,N(E609)),MAX(0,INT((Config!$B$8-L609)/30)+1)),IF(N(G609)&gt;=MAX(1,N(E609)),"Conferido","Conferido até aqui"),"A conferir")))</f>
        <v/>
      </c>
      <c r="S609" s="51">
        <f>IF(R609="A conferir",(Config!$B$8-L609)*1000+N(F609)/1000+ROW()/100000,0)</f>
        <v>0</v>
      </c>
      <c r="T609" s="51">
        <f>IF(R609="A conferir",N(N609),0)</f>
        <v>0</v>
      </c>
      <c r="U609" s="51">
        <f>IF(L609="",0,L609)</f>
        <v>0</v>
      </c>
      <c r="V609" s="51">
        <f>IF(L609="",0,MAX(1,N(E609)))</f>
        <v>0</v>
      </c>
      <c r="W609" s="51">
        <f>IF(K609="",0,K609)</f>
        <v>0</v>
      </c>
    </row>
    <row r="610">
      <c r="A610" s="49" t="n"/>
      <c r="B610" s="41" t="n"/>
      <c r="C610" s="41" t="n"/>
      <c r="D610" s="42" t="n"/>
      <c r="E610" s="42" t="n"/>
      <c r="F610" s="50" t="n"/>
      <c r="G610" s="42" t="n"/>
      <c r="H610" s="30">
        <f>IF(D610="","",IFERROR(INDEX(Config!$B$12:$B$15,MATCH(IF(AND(D610="Cartão de crédito",N(E610)&gt;1),"Cartão de crédito parcelado",D610),Config!$A$12:$A$15,0)),0)+IF(AND(Config!$B$17="Sim",LEFT(D610,17)="Cartão de crédito"),Config!$B$18*IFERROR(INDEX(Config!$C$12:$C$15,MATCH(IF(AND(D610="Cartão de crédito",N(E610)&gt;1),"Cartão de crédito parcelado",D610),Config!$A$12:$A$15,0)),0)/30*MAX(1,N(E610)),0))</f>
        <v/>
      </c>
      <c r="I610" s="29">
        <f>IF(OR(D610="",F610=""),"",ROUND(F610*H610,2))</f>
        <v/>
      </c>
      <c r="J610" s="29">
        <f>IF(I610="","",F610-I610)</f>
        <v/>
      </c>
      <c r="K610" s="29">
        <f>IF(J610="","",J610/MAX(1,N(E610)))</f>
        <v/>
      </c>
      <c r="L610" s="37">
        <f>IF(OR(D610="",A610=""),"",A610+IF(AND(Config!$B$17="Sim",LEFT(D610,17)="Cartão de crédito"),1,IFERROR(INDEX(Config!$C$12:$C$15,MATCH(IF(AND(D610="Cartão de crédito",N(E610)&gt;1),"Cartão de crédito parcelado",D610),Config!$A$12:$A$15,0)),0)))</f>
        <v/>
      </c>
      <c r="M610" s="37">
        <f>IF(L610="","",IF(AND(Config!$B$17="Sim",LEFT(D610,17)="Cartão de crédito"),L610,L610+30*(MAX(1,N(E610))-1)))</f>
        <v/>
      </c>
      <c r="N610" s="29">
        <f>IF(OR(L610="",K610=""),"",K610*MIN(MAX(1,N(E610)),MAX(0,INT((Config!$B$8-L610)/30)+1)))</f>
        <v/>
      </c>
      <c r="O610" s="29">
        <f>IF(J610="","",J610-N(N610))</f>
        <v/>
      </c>
      <c r="P610" s="27">
        <f>IF(A610="","",MONTH(A610))</f>
        <v/>
      </c>
      <c r="Q610" s="27">
        <f>IF(A610="","",YEAR(A610))</f>
        <v/>
      </c>
      <c r="R610" s="27">
        <f>IF(L610="","",IF(L610&gt;Config!$B$8,"A cair",IF(N(G610)&gt;=MIN(MAX(1,N(E610)),MAX(0,INT((Config!$B$8-L610)/30)+1)),IF(N(G610)&gt;=MAX(1,N(E610)),"Conferido","Conferido até aqui"),"A conferir")))</f>
        <v/>
      </c>
      <c r="S610" s="51">
        <f>IF(R610="A conferir",(Config!$B$8-L610)*1000+N(F610)/1000+ROW()/100000,0)</f>
        <v>0</v>
      </c>
      <c r="T610" s="51">
        <f>IF(R610="A conferir",N(N610),0)</f>
        <v>0</v>
      </c>
      <c r="U610" s="51">
        <f>IF(L610="",0,L610)</f>
        <v>0</v>
      </c>
      <c r="V610" s="51">
        <f>IF(L610="",0,MAX(1,N(E610)))</f>
        <v>0</v>
      </c>
      <c r="W610" s="51">
        <f>IF(K610="",0,K610)</f>
        <v>0</v>
      </c>
    </row>
    <row r="611">
      <c r="A611" s="49" t="n"/>
      <c r="B611" s="41" t="n"/>
      <c r="C611" s="41" t="n"/>
      <c r="D611" s="42" t="n"/>
      <c r="E611" s="42" t="n"/>
      <c r="F611" s="50" t="n"/>
      <c r="G611" s="42" t="n"/>
      <c r="H611" s="30">
        <f>IF(D611="","",IFERROR(INDEX(Config!$B$12:$B$15,MATCH(IF(AND(D611="Cartão de crédito",N(E611)&gt;1),"Cartão de crédito parcelado",D611),Config!$A$12:$A$15,0)),0)+IF(AND(Config!$B$17="Sim",LEFT(D611,17)="Cartão de crédito"),Config!$B$18*IFERROR(INDEX(Config!$C$12:$C$15,MATCH(IF(AND(D611="Cartão de crédito",N(E611)&gt;1),"Cartão de crédito parcelado",D611),Config!$A$12:$A$15,0)),0)/30*MAX(1,N(E611)),0))</f>
        <v/>
      </c>
      <c r="I611" s="29">
        <f>IF(OR(D611="",F611=""),"",ROUND(F611*H611,2))</f>
        <v/>
      </c>
      <c r="J611" s="29">
        <f>IF(I611="","",F611-I611)</f>
        <v/>
      </c>
      <c r="K611" s="29">
        <f>IF(J611="","",J611/MAX(1,N(E611)))</f>
        <v/>
      </c>
      <c r="L611" s="37">
        <f>IF(OR(D611="",A611=""),"",A611+IF(AND(Config!$B$17="Sim",LEFT(D611,17)="Cartão de crédito"),1,IFERROR(INDEX(Config!$C$12:$C$15,MATCH(IF(AND(D611="Cartão de crédito",N(E611)&gt;1),"Cartão de crédito parcelado",D611),Config!$A$12:$A$15,0)),0)))</f>
        <v/>
      </c>
      <c r="M611" s="37">
        <f>IF(L611="","",IF(AND(Config!$B$17="Sim",LEFT(D611,17)="Cartão de crédito"),L611,L611+30*(MAX(1,N(E611))-1)))</f>
        <v/>
      </c>
      <c r="N611" s="29">
        <f>IF(OR(L611="",K611=""),"",K611*MIN(MAX(1,N(E611)),MAX(0,INT((Config!$B$8-L611)/30)+1)))</f>
        <v/>
      </c>
      <c r="O611" s="29">
        <f>IF(J611="","",J611-N(N611))</f>
        <v/>
      </c>
      <c r="P611" s="27">
        <f>IF(A611="","",MONTH(A611))</f>
        <v/>
      </c>
      <c r="Q611" s="27">
        <f>IF(A611="","",YEAR(A611))</f>
        <v/>
      </c>
      <c r="R611" s="27">
        <f>IF(L611="","",IF(L611&gt;Config!$B$8,"A cair",IF(N(G611)&gt;=MIN(MAX(1,N(E611)),MAX(0,INT((Config!$B$8-L611)/30)+1)),IF(N(G611)&gt;=MAX(1,N(E611)),"Conferido","Conferido até aqui"),"A conferir")))</f>
        <v/>
      </c>
      <c r="S611" s="51">
        <f>IF(R611="A conferir",(Config!$B$8-L611)*1000+N(F611)/1000+ROW()/100000,0)</f>
        <v>0</v>
      </c>
      <c r="T611" s="51">
        <f>IF(R611="A conferir",N(N611),0)</f>
        <v>0</v>
      </c>
      <c r="U611" s="51">
        <f>IF(L611="",0,L611)</f>
        <v>0</v>
      </c>
      <c r="V611" s="51">
        <f>IF(L611="",0,MAX(1,N(E611)))</f>
        <v>0</v>
      </c>
      <c r="W611" s="51">
        <f>IF(K611="",0,K611)</f>
        <v>0</v>
      </c>
    </row>
    <row r="612">
      <c r="A612" s="49" t="n"/>
      <c r="B612" s="41" t="n"/>
      <c r="C612" s="41" t="n"/>
      <c r="D612" s="42" t="n"/>
      <c r="E612" s="42" t="n"/>
      <c r="F612" s="50" t="n"/>
      <c r="G612" s="42" t="n"/>
      <c r="H612" s="30">
        <f>IF(D612="","",IFERROR(INDEX(Config!$B$12:$B$15,MATCH(IF(AND(D612="Cartão de crédito",N(E612)&gt;1),"Cartão de crédito parcelado",D612),Config!$A$12:$A$15,0)),0)+IF(AND(Config!$B$17="Sim",LEFT(D612,17)="Cartão de crédito"),Config!$B$18*IFERROR(INDEX(Config!$C$12:$C$15,MATCH(IF(AND(D612="Cartão de crédito",N(E612)&gt;1),"Cartão de crédito parcelado",D612),Config!$A$12:$A$15,0)),0)/30*MAX(1,N(E612)),0))</f>
        <v/>
      </c>
      <c r="I612" s="29">
        <f>IF(OR(D612="",F612=""),"",ROUND(F612*H612,2))</f>
        <v/>
      </c>
      <c r="J612" s="29">
        <f>IF(I612="","",F612-I612)</f>
        <v/>
      </c>
      <c r="K612" s="29">
        <f>IF(J612="","",J612/MAX(1,N(E612)))</f>
        <v/>
      </c>
      <c r="L612" s="37">
        <f>IF(OR(D612="",A612=""),"",A612+IF(AND(Config!$B$17="Sim",LEFT(D612,17)="Cartão de crédito"),1,IFERROR(INDEX(Config!$C$12:$C$15,MATCH(IF(AND(D612="Cartão de crédito",N(E612)&gt;1),"Cartão de crédito parcelado",D612),Config!$A$12:$A$15,0)),0)))</f>
        <v/>
      </c>
      <c r="M612" s="37">
        <f>IF(L612="","",IF(AND(Config!$B$17="Sim",LEFT(D612,17)="Cartão de crédito"),L612,L612+30*(MAX(1,N(E612))-1)))</f>
        <v/>
      </c>
      <c r="N612" s="29">
        <f>IF(OR(L612="",K612=""),"",K612*MIN(MAX(1,N(E612)),MAX(0,INT((Config!$B$8-L612)/30)+1)))</f>
        <v/>
      </c>
      <c r="O612" s="29">
        <f>IF(J612="","",J612-N(N612))</f>
        <v/>
      </c>
      <c r="P612" s="27">
        <f>IF(A612="","",MONTH(A612))</f>
        <v/>
      </c>
      <c r="Q612" s="27">
        <f>IF(A612="","",YEAR(A612))</f>
        <v/>
      </c>
      <c r="R612" s="27">
        <f>IF(L612="","",IF(L612&gt;Config!$B$8,"A cair",IF(N(G612)&gt;=MIN(MAX(1,N(E612)),MAX(0,INT((Config!$B$8-L612)/30)+1)),IF(N(G612)&gt;=MAX(1,N(E612)),"Conferido","Conferido até aqui"),"A conferir")))</f>
        <v/>
      </c>
      <c r="S612" s="51">
        <f>IF(R612="A conferir",(Config!$B$8-L612)*1000+N(F612)/1000+ROW()/100000,0)</f>
        <v>0</v>
      </c>
      <c r="T612" s="51">
        <f>IF(R612="A conferir",N(N612),0)</f>
        <v>0</v>
      </c>
      <c r="U612" s="51">
        <f>IF(L612="",0,L612)</f>
        <v>0</v>
      </c>
      <c r="V612" s="51">
        <f>IF(L612="",0,MAX(1,N(E612)))</f>
        <v>0</v>
      </c>
      <c r="W612" s="51">
        <f>IF(K612="",0,K612)</f>
        <v>0</v>
      </c>
    </row>
    <row r="613">
      <c r="A613" s="49" t="n"/>
      <c r="B613" s="41" t="n"/>
      <c r="C613" s="41" t="n"/>
      <c r="D613" s="42" t="n"/>
      <c r="E613" s="42" t="n"/>
      <c r="F613" s="50" t="n"/>
      <c r="G613" s="42" t="n"/>
      <c r="H613" s="30">
        <f>IF(D613="","",IFERROR(INDEX(Config!$B$12:$B$15,MATCH(IF(AND(D613="Cartão de crédito",N(E613)&gt;1),"Cartão de crédito parcelado",D613),Config!$A$12:$A$15,0)),0)+IF(AND(Config!$B$17="Sim",LEFT(D613,17)="Cartão de crédito"),Config!$B$18*IFERROR(INDEX(Config!$C$12:$C$15,MATCH(IF(AND(D613="Cartão de crédito",N(E613)&gt;1),"Cartão de crédito parcelado",D613),Config!$A$12:$A$15,0)),0)/30*MAX(1,N(E613)),0))</f>
        <v/>
      </c>
      <c r="I613" s="29">
        <f>IF(OR(D613="",F613=""),"",ROUND(F613*H613,2))</f>
        <v/>
      </c>
      <c r="J613" s="29">
        <f>IF(I613="","",F613-I613)</f>
        <v/>
      </c>
      <c r="K613" s="29">
        <f>IF(J613="","",J613/MAX(1,N(E613)))</f>
        <v/>
      </c>
      <c r="L613" s="37">
        <f>IF(OR(D613="",A613=""),"",A613+IF(AND(Config!$B$17="Sim",LEFT(D613,17)="Cartão de crédito"),1,IFERROR(INDEX(Config!$C$12:$C$15,MATCH(IF(AND(D613="Cartão de crédito",N(E613)&gt;1),"Cartão de crédito parcelado",D613),Config!$A$12:$A$15,0)),0)))</f>
        <v/>
      </c>
      <c r="M613" s="37">
        <f>IF(L613="","",IF(AND(Config!$B$17="Sim",LEFT(D613,17)="Cartão de crédito"),L613,L613+30*(MAX(1,N(E613))-1)))</f>
        <v/>
      </c>
      <c r="N613" s="29">
        <f>IF(OR(L613="",K613=""),"",K613*MIN(MAX(1,N(E613)),MAX(0,INT((Config!$B$8-L613)/30)+1)))</f>
        <v/>
      </c>
      <c r="O613" s="29">
        <f>IF(J613="","",J613-N(N613))</f>
        <v/>
      </c>
      <c r="P613" s="27">
        <f>IF(A613="","",MONTH(A613))</f>
        <v/>
      </c>
      <c r="Q613" s="27">
        <f>IF(A613="","",YEAR(A613))</f>
        <v/>
      </c>
      <c r="R613" s="27">
        <f>IF(L613="","",IF(L613&gt;Config!$B$8,"A cair",IF(N(G613)&gt;=MIN(MAX(1,N(E613)),MAX(0,INT((Config!$B$8-L613)/30)+1)),IF(N(G613)&gt;=MAX(1,N(E613)),"Conferido","Conferido até aqui"),"A conferir")))</f>
        <v/>
      </c>
      <c r="S613" s="51">
        <f>IF(R613="A conferir",(Config!$B$8-L613)*1000+N(F613)/1000+ROW()/100000,0)</f>
        <v>0</v>
      </c>
      <c r="T613" s="51">
        <f>IF(R613="A conferir",N(N613),0)</f>
        <v>0</v>
      </c>
      <c r="U613" s="51">
        <f>IF(L613="",0,L613)</f>
        <v>0</v>
      </c>
      <c r="V613" s="51">
        <f>IF(L613="",0,MAX(1,N(E613)))</f>
        <v>0</v>
      </c>
      <c r="W613" s="51">
        <f>IF(K613="",0,K613)</f>
        <v>0</v>
      </c>
    </row>
    <row r="614">
      <c r="A614" s="49" t="n"/>
      <c r="B614" s="41" t="n"/>
      <c r="C614" s="41" t="n"/>
      <c r="D614" s="42" t="n"/>
      <c r="E614" s="42" t="n"/>
      <c r="F614" s="50" t="n"/>
      <c r="G614" s="42" t="n"/>
      <c r="H614" s="30">
        <f>IF(D614="","",IFERROR(INDEX(Config!$B$12:$B$15,MATCH(IF(AND(D614="Cartão de crédito",N(E614)&gt;1),"Cartão de crédito parcelado",D614),Config!$A$12:$A$15,0)),0)+IF(AND(Config!$B$17="Sim",LEFT(D614,17)="Cartão de crédito"),Config!$B$18*IFERROR(INDEX(Config!$C$12:$C$15,MATCH(IF(AND(D614="Cartão de crédito",N(E614)&gt;1),"Cartão de crédito parcelado",D614),Config!$A$12:$A$15,0)),0)/30*MAX(1,N(E614)),0))</f>
        <v/>
      </c>
      <c r="I614" s="29">
        <f>IF(OR(D614="",F614=""),"",ROUND(F614*H614,2))</f>
        <v/>
      </c>
      <c r="J614" s="29">
        <f>IF(I614="","",F614-I614)</f>
        <v/>
      </c>
      <c r="K614" s="29">
        <f>IF(J614="","",J614/MAX(1,N(E614)))</f>
        <v/>
      </c>
      <c r="L614" s="37">
        <f>IF(OR(D614="",A614=""),"",A614+IF(AND(Config!$B$17="Sim",LEFT(D614,17)="Cartão de crédito"),1,IFERROR(INDEX(Config!$C$12:$C$15,MATCH(IF(AND(D614="Cartão de crédito",N(E614)&gt;1),"Cartão de crédito parcelado",D614),Config!$A$12:$A$15,0)),0)))</f>
        <v/>
      </c>
      <c r="M614" s="37">
        <f>IF(L614="","",IF(AND(Config!$B$17="Sim",LEFT(D614,17)="Cartão de crédito"),L614,L614+30*(MAX(1,N(E614))-1)))</f>
        <v/>
      </c>
      <c r="N614" s="29">
        <f>IF(OR(L614="",K614=""),"",K614*MIN(MAX(1,N(E614)),MAX(0,INT((Config!$B$8-L614)/30)+1)))</f>
        <v/>
      </c>
      <c r="O614" s="29">
        <f>IF(J614="","",J614-N(N614))</f>
        <v/>
      </c>
      <c r="P614" s="27">
        <f>IF(A614="","",MONTH(A614))</f>
        <v/>
      </c>
      <c r="Q614" s="27">
        <f>IF(A614="","",YEAR(A614))</f>
        <v/>
      </c>
      <c r="R614" s="27">
        <f>IF(L614="","",IF(L614&gt;Config!$B$8,"A cair",IF(N(G614)&gt;=MIN(MAX(1,N(E614)),MAX(0,INT((Config!$B$8-L614)/30)+1)),IF(N(G614)&gt;=MAX(1,N(E614)),"Conferido","Conferido até aqui"),"A conferir")))</f>
        <v/>
      </c>
      <c r="S614" s="51">
        <f>IF(R614="A conferir",(Config!$B$8-L614)*1000+N(F614)/1000+ROW()/100000,0)</f>
        <v>0</v>
      </c>
      <c r="T614" s="51">
        <f>IF(R614="A conferir",N(N614),0)</f>
        <v>0</v>
      </c>
      <c r="U614" s="51">
        <f>IF(L614="",0,L614)</f>
        <v>0</v>
      </c>
      <c r="V614" s="51">
        <f>IF(L614="",0,MAX(1,N(E614)))</f>
        <v>0</v>
      </c>
      <c r="W614" s="51">
        <f>IF(K614="",0,K614)</f>
        <v>0</v>
      </c>
    </row>
    <row r="615">
      <c r="A615" s="49" t="n"/>
      <c r="B615" s="41" t="n"/>
      <c r="C615" s="41" t="n"/>
      <c r="D615" s="42" t="n"/>
      <c r="E615" s="42" t="n"/>
      <c r="F615" s="50" t="n"/>
      <c r="G615" s="42" t="n"/>
      <c r="H615" s="30">
        <f>IF(D615="","",IFERROR(INDEX(Config!$B$12:$B$15,MATCH(IF(AND(D615="Cartão de crédito",N(E615)&gt;1),"Cartão de crédito parcelado",D615),Config!$A$12:$A$15,0)),0)+IF(AND(Config!$B$17="Sim",LEFT(D615,17)="Cartão de crédito"),Config!$B$18*IFERROR(INDEX(Config!$C$12:$C$15,MATCH(IF(AND(D615="Cartão de crédito",N(E615)&gt;1),"Cartão de crédito parcelado",D615),Config!$A$12:$A$15,0)),0)/30*MAX(1,N(E615)),0))</f>
        <v/>
      </c>
      <c r="I615" s="29">
        <f>IF(OR(D615="",F615=""),"",ROUND(F615*H615,2))</f>
        <v/>
      </c>
      <c r="J615" s="29">
        <f>IF(I615="","",F615-I615)</f>
        <v/>
      </c>
      <c r="K615" s="29">
        <f>IF(J615="","",J615/MAX(1,N(E615)))</f>
        <v/>
      </c>
      <c r="L615" s="37">
        <f>IF(OR(D615="",A615=""),"",A615+IF(AND(Config!$B$17="Sim",LEFT(D615,17)="Cartão de crédito"),1,IFERROR(INDEX(Config!$C$12:$C$15,MATCH(IF(AND(D615="Cartão de crédito",N(E615)&gt;1),"Cartão de crédito parcelado",D615),Config!$A$12:$A$15,0)),0)))</f>
        <v/>
      </c>
      <c r="M615" s="37">
        <f>IF(L615="","",IF(AND(Config!$B$17="Sim",LEFT(D615,17)="Cartão de crédito"),L615,L615+30*(MAX(1,N(E615))-1)))</f>
        <v/>
      </c>
      <c r="N615" s="29">
        <f>IF(OR(L615="",K615=""),"",K615*MIN(MAX(1,N(E615)),MAX(0,INT((Config!$B$8-L615)/30)+1)))</f>
        <v/>
      </c>
      <c r="O615" s="29">
        <f>IF(J615="","",J615-N(N615))</f>
        <v/>
      </c>
      <c r="P615" s="27">
        <f>IF(A615="","",MONTH(A615))</f>
        <v/>
      </c>
      <c r="Q615" s="27">
        <f>IF(A615="","",YEAR(A615))</f>
        <v/>
      </c>
      <c r="R615" s="27">
        <f>IF(L615="","",IF(L615&gt;Config!$B$8,"A cair",IF(N(G615)&gt;=MIN(MAX(1,N(E615)),MAX(0,INT((Config!$B$8-L615)/30)+1)),IF(N(G615)&gt;=MAX(1,N(E615)),"Conferido","Conferido até aqui"),"A conferir")))</f>
        <v/>
      </c>
      <c r="S615" s="51">
        <f>IF(R615="A conferir",(Config!$B$8-L615)*1000+N(F615)/1000+ROW()/100000,0)</f>
        <v>0</v>
      </c>
      <c r="T615" s="51">
        <f>IF(R615="A conferir",N(N615),0)</f>
        <v>0</v>
      </c>
      <c r="U615" s="51">
        <f>IF(L615="",0,L615)</f>
        <v>0</v>
      </c>
      <c r="V615" s="51">
        <f>IF(L615="",0,MAX(1,N(E615)))</f>
        <v>0</v>
      </c>
      <c r="W615" s="51">
        <f>IF(K615="",0,K615)</f>
        <v>0</v>
      </c>
    </row>
    <row r="616">
      <c r="A616" s="49" t="n"/>
      <c r="B616" s="41" t="n"/>
      <c r="C616" s="41" t="n"/>
      <c r="D616" s="42" t="n"/>
      <c r="E616" s="42" t="n"/>
      <c r="F616" s="50" t="n"/>
      <c r="G616" s="42" t="n"/>
      <c r="H616" s="30">
        <f>IF(D616="","",IFERROR(INDEX(Config!$B$12:$B$15,MATCH(IF(AND(D616="Cartão de crédito",N(E616)&gt;1),"Cartão de crédito parcelado",D616),Config!$A$12:$A$15,0)),0)+IF(AND(Config!$B$17="Sim",LEFT(D616,17)="Cartão de crédito"),Config!$B$18*IFERROR(INDEX(Config!$C$12:$C$15,MATCH(IF(AND(D616="Cartão de crédito",N(E616)&gt;1),"Cartão de crédito parcelado",D616),Config!$A$12:$A$15,0)),0)/30*MAX(1,N(E616)),0))</f>
        <v/>
      </c>
      <c r="I616" s="29">
        <f>IF(OR(D616="",F616=""),"",ROUND(F616*H616,2))</f>
        <v/>
      </c>
      <c r="J616" s="29">
        <f>IF(I616="","",F616-I616)</f>
        <v/>
      </c>
      <c r="K616" s="29">
        <f>IF(J616="","",J616/MAX(1,N(E616)))</f>
        <v/>
      </c>
      <c r="L616" s="37">
        <f>IF(OR(D616="",A616=""),"",A616+IF(AND(Config!$B$17="Sim",LEFT(D616,17)="Cartão de crédito"),1,IFERROR(INDEX(Config!$C$12:$C$15,MATCH(IF(AND(D616="Cartão de crédito",N(E616)&gt;1),"Cartão de crédito parcelado",D616),Config!$A$12:$A$15,0)),0)))</f>
        <v/>
      </c>
      <c r="M616" s="37">
        <f>IF(L616="","",IF(AND(Config!$B$17="Sim",LEFT(D616,17)="Cartão de crédito"),L616,L616+30*(MAX(1,N(E616))-1)))</f>
        <v/>
      </c>
      <c r="N616" s="29">
        <f>IF(OR(L616="",K616=""),"",K616*MIN(MAX(1,N(E616)),MAX(0,INT((Config!$B$8-L616)/30)+1)))</f>
        <v/>
      </c>
      <c r="O616" s="29">
        <f>IF(J616="","",J616-N(N616))</f>
        <v/>
      </c>
      <c r="P616" s="27">
        <f>IF(A616="","",MONTH(A616))</f>
        <v/>
      </c>
      <c r="Q616" s="27">
        <f>IF(A616="","",YEAR(A616))</f>
        <v/>
      </c>
      <c r="R616" s="27">
        <f>IF(L616="","",IF(L616&gt;Config!$B$8,"A cair",IF(N(G616)&gt;=MIN(MAX(1,N(E616)),MAX(0,INT((Config!$B$8-L616)/30)+1)),IF(N(G616)&gt;=MAX(1,N(E616)),"Conferido","Conferido até aqui"),"A conferir")))</f>
        <v/>
      </c>
      <c r="S616" s="51">
        <f>IF(R616="A conferir",(Config!$B$8-L616)*1000+N(F616)/1000+ROW()/100000,0)</f>
        <v>0</v>
      </c>
      <c r="T616" s="51">
        <f>IF(R616="A conferir",N(N616),0)</f>
        <v>0</v>
      </c>
      <c r="U616" s="51">
        <f>IF(L616="",0,L616)</f>
        <v>0</v>
      </c>
      <c r="V616" s="51">
        <f>IF(L616="",0,MAX(1,N(E616)))</f>
        <v>0</v>
      </c>
      <c r="W616" s="51">
        <f>IF(K616="",0,K616)</f>
        <v>0</v>
      </c>
    </row>
    <row r="617">
      <c r="A617" s="49" t="n"/>
      <c r="B617" s="41" t="n"/>
      <c r="C617" s="41" t="n"/>
      <c r="D617" s="42" t="n"/>
      <c r="E617" s="42" t="n"/>
      <c r="F617" s="50" t="n"/>
      <c r="G617" s="42" t="n"/>
      <c r="H617" s="30">
        <f>IF(D617="","",IFERROR(INDEX(Config!$B$12:$B$15,MATCH(IF(AND(D617="Cartão de crédito",N(E617)&gt;1),"Cartão de crédito parcelado",D617),Config!$A$12:$A$15,0)),0)+IF(AND(Config!$B$17="Sim",LEFT(D617,17)="Cartão de crédito"),Config!$B$18*IFERROR(INDEX(Config!$C$12:$C$15,MATCH(IF(AND(D617="Cartão de crédito",N(E617)&gt;1),"Cartão de crédito parcelado",D617),Config!$A$12:$A$15,0)),0)/30*MAX(1,N(E617)),0))</f>
        <v/>
      </c>
      <c r="I617" s="29">
        <f>IF(OR(D617="",F617=""),"",ROUND(F617*H617,2))</f>
        <v/>
      </c>
      <c r="J617" s="29">
        <f>IF(I617="","",F617-I617)</f>
        <v/>
      </c>
      <c r="K617" s="29">
        <f>IF(J617="","",J617/MAX(1,N(E617)))</f>
        <v/>
      </c>
      <c r="L617" s="37">
        <f>IF(OR(D617="",A617=""),"",A617+IF(AND(Config!$B$17="Sim",LEFT(D617,17)="Cartão de crédito"),1,IFERROR(INDEX(Config!$C$12:$C$15,MATCH(IF(AND(D617="Cartão de crédito",N(E617)&gt;1),"Cartão de crédito parcelado",D617),Config!$A$12:$A$15,0)),0)))</f>
        <v/>
      </c>
      <c r="M617" s="37">
        <f>IF(L617="","",IF(AND(Config!$B$17="Sim",LEFT(D617,17)="Cartão de crédito"),L617,L617+30*(MAX(1,N(E617))-1)))</f>
        <v/>
      </c>
      <c r="N617" s="29">
        <f>IF(OR(L617="",K617=""),"",K617*MIN(MAX(1,N(E617)),MAX(0,INT((Config!$B$8-L617)/30)+1)))</f>
        <v/>
      </c>
      <c r="O617" s="29">
        <f>IF(J617="","",J617-N(N617))</f>
        <v/>
      </c>
      <c r="P617" s="27">
        <f>IF(A617="","",MONTH(A617))</f>
        <v/>
      </c>
      <c r="Q617" s="27">
        <f>IF(A617="","",YEAR(A617))</f>
        <v/>
      </c>
      <c r="R617" s="27">
        <f>IF(L617="","",IF(L617&gt;Config!$B$8,"A cair",IF(N(G617)&gt;=MIN(MAX(1,N(E617)),MAX(0,INT((Config!$B$8-L617)/30)+1)),IF(N(G617)&gt;=MAX(1,N(E617)),"Conferido","Conferido até aqui"),"A conferir")))</f>
        <v/>
      </c>
      <c r="S617" s="51">
        <f>IF(R617="A conferir",(Config!$B$8-L617)*1000+N(F617)/1000+ROW()/100000,0)</f>
        <v>0</v>
      </c>
      <c r="T617" s="51">
        <f>IF(R617="A conferir",N(N617),0)</f>
        <v>0</v>
      </c>
      <c r="U617" s="51">
        <f>IF(L617="",0,L617)</f>
        <v>0</v>
      </c>
      <c r="V617" s="51">
        <f>IF(L617="",0,MAX(1,N(E617)))</f>
        <v>0</v>
      </c>
      <c r="W617" s="51">
        <f>IF(K617="",0,K617)</f>
        <v>0</v>
      </c>
    </row>
    <row r="618">
      <c r="A618" s="49" t="n"/>
      <c r="B618" s="41" t="n"/>
      <c r="C618" s="41" t="n"/>
      <c r="D618" s="42" t="n"/>
      <c r="E618" s="42" t="n"/>
      <c r="F618" s="50" t="n"/>
      <c r="G618" s="42" t="n"/>
      <c r="H618" s="30">
        <f>IF(D618="","",IFERROR(INDEX(Config!$B$12:$B$15,MATCH(IF(AND(D618="Cartão de crédito",N(E618)&gt;1),"Cartão de crédito parcelado",D618),Config!$A$12:$A$15,0)),0)+IF(AND(Config!$B$17="Sim",LEFT(D618,17)="Cartão de crédito"),Config!$B$18*IFERROR(INDEX(Config!$C$12:$C$15,MATCH(IF(AND(D618="Cartão de crédito",N(E618)&gt;1),"Cartão de crédito parcelado",D618),Config!$A$12:$A$15,0)),0)/30*MAX(1,N(E618)),0))</f>
        <v/>
      </c>
      <c r="I618" s="29">
        <f>IF(OR(D618="",F618=""),"",ROUND(F618*H618,2))</f>
        <v/>
      </c>
      <c r="J618" s="29">
        <f>IF(I618="","",F618-I618)</f>
        <v/>
      </c>
      <c r="K618" s="29">
        <f>IF(J618="","",J618/MAX(1,N(E618)))</f>
        <v/>
      </c>
      <c r="L618" s="37">
        <f>IF(OR(D618="",A618=""),"",A618+IF(AND(Config!$B$17="Sim",LEFT(D618,17)="Cartão de crédito"),1,IFERROR(INDEX(Config!$C$12:$C$15,MATCH(IF(AND(D618="Cartão de crédito",N(E618)&gt;1),"Cartão de crédito parcelado",D618),Config!$A$12:$A$15,0)),0)))</f>
        <v/>
      </c>
      <c r="M618" s="37">
        <f>IF(L618="","",IF(AND(Config!$B$17="Sim",LEFT(D618,17)="Cartão de crédito"),L618,L618+30*(MAX(1,N(E618))-1)))</f>
        <v/>
      </c>
      <c r="N618" s="29">
        <f>IF(OR(L618="",K618=""),"",K618*MIN(MAX(1,N(E618)),MAX(0,INT((Config!$B$8-L618)/30)+1)))</f>
        <v/>
      </c>
      <c r="O618" s="29">
        <f>IF(J618="","",J618-N(N618))</f>
        <v/>
      </c>
      <c r="P618" s="27">
        <f>IF(A618="","",MONTH(A618))</f>
        <v/>
      </c>
      <c r="Q618" s="27">
        <f>IF(A618="","",YEAR(A618))</f>
        <v/>
      </c>
      <c r="R618" s="27">
        <f>IF(L618="","",IF(L618&gt;Config!$B$8,"A cair",IF(N(G618)&gt;=MIN(MAX(1,N(E618)),MAX(0,INT((Config!$B$8-L618)/30)+1)),IF(N(G618)&gt;=MAX(1,N(E618)),"Conferido","Conferido até aqui"),"A conferir")))</f>
        <v/>
      </c>
      <c r="S618" s="51">
        <f>IF(R618="A conferir",(Config!$B$8-L618)*1000+N(F618)/1000+ROW()/100000,0)</f>
        <v>0</v>
      </c>
      <c r="T618" s="51">
        <f>IF(R618="A conferir",N(N618),0)</f>
        <v>0</v>
      </c>
      <c r="U618" s="51">
        <f>IF(L618="",0,L618)</f>
        <v>0</v>
      </c>
      <c r="V618" s="51">
        <f>IF(L618="",0,MAX(1,N(E618)))</f>
        <v>0</v>
      </c>
      <c r="W618" s="51">
        <f>IF(K618="",0,K618)</f>
        <v>0</v>
      </c>
    </row>
    <row r="619">
      <c r="A619" s="49" t="n"/>
      <c r="B619" s="41" t="n"/>
      <c r="C619" s="41" t="n"/>
      <c r="D619" s="42" t="n"/>
      <c r="E619" s="42" t="n"/>
      <c r="F619" s="50" t="n"/>
      <c r="G619" s="42" t="n"/>
      <c r="H619" s="30">
        <f>IF(D619="","",IFERROR(INDEX(Config!$B$12:$B$15,MATCH(IF(AND(D619="Cartão de crédito",N(E619)&gt;1),"Cartão de crédito parcelado",D619),Config!$A$12:$A$15,0)),0)+IF(AND(Config!$B$17="Sim",LEFT(D619,17)="Cartão de crédito"),Config!$B$18*IFERROR(INDEX(Config!$C$12:$C$15,MATCH(IF(AND(D619="Cartão de crédito",N(E619)&gt;1),"Cartão de crédito parcelado",D619),Config!$A$12:$A$15,0)),0)/30*MAX(1,N(E619)),0))</f>
        <v/>
      </c>
      <c r="I619" s="29">
        <f>IF(OR(D619="",F619=""),"",ROUND(F619*H619,2))</f>
        <v/>
      </c>
      <c r="J619" s="29">
        <f>IF(I619="","",F619-I619)</f>
        <v/>
      </c>
      <c r="K619" s="29">
        <f>IF(J619="","",J619/MAX(1,N(E619)))</f>
        <v/>
      </c>
      <c r="L619" s="37">
        <f>IF(OR(D619="",A619=""),"",A619+IF(AND(Config!$B$17="Sim",LEFT(D619,17)="Cartão de crédito"),1,IFERROR(INDEX(Config!$C$12:$C$15,MATCH(IF(AND(D619="Cartão de crédito",N(E619)&gt;1),"Cartão de crédito parcelado",D619),Config!$A$12:$A$15,0)),0)))</f>
        <v/>
      </c>
      <c r="M619" s="37">
        <f>IF(L619="","",IF(AND(Config!$B$17="Sim",LEFT(D619,17)="Cartão de crédito"),L619,L619+30*(MAX(1,N(E619))-1)))</f>
        <v/>
      </c>
      <c r="N619" s="29">
        <f>IF(OR(L619="",K619=""),"",K619*MIN(MAX(1,N(E619)),MAX(0,INT((Config!$B$8-L619)/30)+1)))</f>
        <v/>
      </c>
      <c r="O619" s="29">
        <f>IF(J619="","",J619-N(N619))</f>
        <v/>
      </c>
      <c r="P619" s="27">
        <f>IF(A619="","",MONTH(A619))</f>
        <v/>
      </c>
      <c r="Q619" s="27">
        <f>IF(A619="","",YEAR(A619))</f>
        <v/>
      </c>
      <c r="R619" s="27">
        <f>IF(L619="","",IF(L619&gt;Config!$B$8,"A cair",IF(N(G619)&gt;=MIN(MAX(1,N(E619)),MAX(0,INT((Config!$B$8-L619)/30)+1)),IF(N(G619)&gt;=MAX(1,N(E619)),"Conferido","Conferido até aqui"),"A conferir")))</f>
        <v/>
      </c>
      <c r="S619" s="51">
        <f>IF(R619="A conferir",(Config!$B$8-L619)*1000+N(F619)/1000+ROW()/100000,0)</f>
        <v>0</v>
      </c>
      <c r="T619" s="51">
        <f>IF(R619="A conferir",N(N619),0)</f>
        <v>0</v>
      </c>
      <c r="U619" s="51">
        <f>IF(L619="",0,L619)</f>
        <v>0</v>
      </c>
      <c r="V619" s="51">
        <f>IF(L619="",0,MAX(1,N(E619)))</f>
        <v>0</v>
      </c>
      <c r="W619" s="51">
        <f>IF(K619="",0,K619)</f>
        <v>0</v>
      </c>
    </row>
    <row r="620">
      <c r="A620" s="49" t="n"/>
      <c r="B620" s="41" t="n"/>
      <c r="C620" s="41" t="n"/>
      <c r="D620" s="42" t="n"/>
      <c r="E620" s="42" t="n"/>
      <c r="F620" s="50" t="n"/>
      <c r="G620" s="42" t="n"/>
      <c r="H620" s="30">
        <f>IF(D620="","",IFERROR(INDEX(Config!$B$12:$B$15,MATCH(IF(AND(D620="Cartão de crédito",N(E620)&gt;1),"Cartão de crédito parcelado",D620),Config!$A$12:$A$15,0)),0)+IF(AND(Config!$B$17="Sim",LEFT(D620,17)="Cartão de crédito"),Config!$B$18*IFERROR(INDEX(Config!$C$12:$C$15,MATCH(IF(AND(D620="Cartão de crédito",N(E620)&gt;1),"Cartão de crédito parcelado",D620),Config!$A$12:$A$15,0)),0)/30*MAX(1,N(E620)),0))</f>
        <v/>
      </c>
      <c r="I620" s="29">
        <f>IF(OR(D620="",F620=""),"",ROUND(F620*H620,2))</f>
        <v/>
      </c>
      <c r="J620" s="29">
        <f>IF(I620="","",F620-I620)</f>
        <v/>
      </c>
      <c r="K620" s="29">
        <f>IF(J620="","",J620/MAX(1,N(E620)))</f>
        <v/>
      </c>
      <c r="L620" s="37">
        <f>IF(OR(D620="",A620=""),"",A620+IF(AND(Config!$B$17="Sim",LEFT(D620,17)="Cartão de crédito"),1,IFERROR(INDEX(Config!$C$12:$C$15,MATCH(IF(AND(D620="Cartão de crédito",N(E620)&gt;1),"Cartão de crédito parcelado",D620),Config!$A$12:$A$15,0)),0)))</f>
        <v/>
      </c>
      <c r="M620" s="37">
        <f>IF(L620="","",IF(AND(Config!$B$17="Sim",LEFT(D620,17)="Cartão de crédito"),L620,L620+30*(MAX(1,N(E620))-1)))</f>
        <v/>
      </c>
      <c r="N620" s="29">
        <f>IF(OR(L620="",K620=""),"",K620*MIN(MAX(1,N(E620)),MAX(0,INT((Config!$B$8-L620)/30)+1)))</f>
        <v/>
      </c>
      <c r="O620" s="29">
        <f>IF(J620="","",J620-N(N620))</f>
        <v/>
      </c>
      <c r="P620" s="27">
        <f>IF(A620="","",MONTH(A620))</f>
        <v/>
      </c>
      <c r="Q620" s="27">
        <f>IF(A620="","",YEAR(A620))</f>
        <v/>
      </c>
      <c r="R620" s="27">
        <f>IF(L620="","",IF(L620&gt;Config!$B$8,"A cair",IF(N(G620)&gt;=MIN(MAX(1,N(E620)),MAX(0,INT((Config!$B$8-L620)/30)+1)),IF(N(G620)&gt;=MAX(1,N(E620)),"Conferido","Conferido até aqui"),"A conferir")))</f>
        <v/>
      </c>
      <c r="S620" s="51">
        <f>IF(R620="A conferir",(Config!$B$8-L620)*1000+N(F620)/1000+ROW()/100000,0)</f>
        <v>0</v>
      </c>
      <c r="T620" s="51">
        <f>IF(R620="A conferir",N(N620),0)</f>
        <v>0</v>
      </c>
      <c r="U620" s="51">
        <f>IF(L620="",0,L620)</f>
        <v>0</v>
      </c>
      <c r="V620" s="51">
        <f>IF(L620="",0,MAX(1,N(E620)))</f>
        <v>0</v>
      </c>
      <c r="W620" s="51">
        <f>IF(K620="",0,K620)</f>
        <v>0</v>
      </c>
    </row>
    <row r="621">
      <c r="A621" s="49" t="n"/>
      <c r="B621" s="41" t="n"/>
      <c r="C621" s="41" t="n"/>
      <c r="D621" s="42" t="n"/>
      <c r="E621" s="42" t="n"/>
      <c r="F621" s="50" t="n"/>
      <c r="G621" s="42" t="n"/>
      <c r="H621" s="30">
        <f>IF(D621="","",IFERROR(INDEX(Config!$B$12:$B$15,MATCH(IF(AND(D621="Cartão de crédito",N(E621)&gt;1),"Cartão de crédito parcelado",D621),Config!$A$12:$A$15,0)),0)+IF(AND(Config!$B$17="Sim",LEFT(D621,17)="Cartão de crédito"),Config!$B$18*IFERROR(INDEX(Config!$C$12:$C$15,MATCH(IF(AND(D621="Cartão de crédito",N(E621)&gt;1),"Cartão de crédito parcelado",D621),Config!$A$12:$A$15,0)),0)/30*MAX(1,N(E621)),0))</f>
        <v/>
      </c>
      <c r="I621" s="29">
        <f>IF(OR(D621="",F621=""),"",ROUND(F621*H621,2))</f>
        <v/>
      </c>
      <c r="J621" s="29">
        <f>IF(I621="","",F621-I621)</f>
        <v/>
      </c>
      <c r="K621" s="29">
        <f>IF(J621="","",J621/MAX(1,N(E621)))</f>
        <v/>
      </c>
      <c r="L621" s="37">
        <f>IF(OR(D621="",A621=""),"",A621+IF(AND(Config!$B$17="Sim",LEFT(D621,17)="Cartão de crédito"),1,IFERROR(INDEX(Config!$C$12:$C$15,MATCH(IF(AND(D621="Cartão de crédito",N(E621)&gt;1),"Cartão de crédito parcelado",D621),Config!$A$12:$A$15,0)),0)))</f>
        <v/>
      </c>
      <c r="M621" s="37">
        <f>IF(L621="","",IF(AND(Config!$B$17="Sim",LEFT(D621,17)="Cartão de crédito"),L621,L621+30*(MAX(1,N(E621))-1)))</f>
        <v/>
      </c>
      <c r="N621" s="29">
        <f>IF(OR(L621="",K621=""),"",K621*MIN(MAX(1,N(E621)),MAX(0,INT((Config!$B$8-L621)/30)+1)))</f>
        <v/>
      </c>
      <c r="O621" s="29">
        <f>IF(J621="","",J621-N(N621))</f>
        <v/>
      </c>
      <c r="P621" s="27">
        <f>IF(A621="","",MONTH(A621))</f>
        <v/>
      </c>
      <c r="Q621" s="27">
        <f>IF(A621="","",YEAR(A621))</f>
        <v/>
      </c>
      <c r="R621" s="27">
        <f>IF(L621="","",IF(L621&gt;Config!$B$8,"A cair",IF(N(G621)&gt;=MIN(MAX(1,N(E621)),MAX(0,INT((Config!$B$8-L621)/30)+1)),IF(N(G621)&gt;=MAX(1,N(E621)),"Conferido","Conferido até aqui"),"A conferir")))</f>
        <v/>
      </c>
      <c r="S621" s="51">
        <f>IF(R621="A conferir",(Config!$B$8-L621)*1000+N(F621)/1000+ROW()/100000,0)</f>
        <v>0</v>
      </c>
      <c r="T621" s="51">
        <f>IF(R621="A conferir",N(N621),0)</f>
        <v>0</v>
      </c>
      <c r="U621" s="51">
        <f>IF(L621="",0,L621)</f>
        <v>0</v>
      </c>
      <c r="V621" s="51">
        <f>IF(L621="",0,MAX(1,N(E621)))</f>
        <v>0</v>
      </c>
      <c r="W621" s="51">
        <f>IF(K621="",0,K621)</f>
        <v>0</v>
      </c>
    </row>
    <row r="622">
      <c r="A622" s="49" t="n"/>
      <c r="B622" s="41" t="n"/>
      <c r="C622" s="41" t="n"/>
      <c r="D622" s="42" t="n"/>
      <c r="E622" s="42" t="n"/>
      <c r="F622" s="50" t="n"/>
      <c r="G622" s="42" t="n"/>
      <c r="H622" s="30">
        <f>IF(D622="","",IFERROR(INDEX(Config!$B$12:$B$15,MATCH(IF(AND(D622="Cartão de crédito",N(E622)&gt;1),"Cartão de crédito parcelado",D622),Config!$A$12:$A$15,0)),0)+IF(AND(Config!$B$17="Sim",LEFT(D622,17)="Cartão de crédito"),Config!$B$18*IFERROR(INDEX(Config!$C$12:$C$15,MATCH(IF(AND(D622="Cartão de crédito",N(E622)&gt;1),"Cartão de crédito parcelado",D622),Config!$A$12:$A$15,0)),0)/30*MAX(1,N(E622)),0))</f>
        <v/>
      </c>
      <c r="I622" s="29">
        <f>IF(OR(D622="",F622=""),"",ROUND(F622*H622,2))</f>
        <v/>
      </c>
      <c r="J622" s="29">
        <f>IF(I622="","",F622-I622)</f>
        <v/>
      </c>
      <c r="K622" s="29">
        <f>IF(J622="","",J622/MAX(1,N(E622)))</f>
        <v/>
      </c>
      <c r="L622" s="37">
        <f>IF(OR(D622="",A622=""),"",A622+IF(AND(Config!$B$17="Sim",LEFT(D622,17)="Cartão de crédito"),1,IFERROR(INDEX(Config!$C$12:$C$15,MATCH(IF(AND(D622="Cartão de crédito",N(E622)&gt;1),"Cartão de crédito parcelado",D622),Config!$A$12:$A$15,0)),0)))</f>
        <v/>
      </c>
      <c r="M622" s="37">
        <f>IF(L622="","",IF(AND(Config!$B$17="Sim",LEFT(D622,17)="Cartão de crédito"),L622,L622+30*(MAX(1,N(E622))-1)))</f>
        <v/>
      </c>
      <c r="N622" s="29">
        <f>IF(OR(L622="",K622=""),"",K622*MIN(MAX(1,N(E622)),MAX(0,INT((Config!$B$8-L622)/30)+1)))</f>
        <v/>
      </c>
      <c r="O622" s="29">
        <f>IF(J622="","",J622-N(N622))</f>
        <v/>
      </c>
      <c r="P622" s="27">
        <f>IF(A622="","",MONTH(A622))</f>
        <v/>
      </c>
      <c r="Q622" s="27">
        <f>IF(A622="","",YEAR(A622))</f>
        <v/>
      </c>
      <c r="R622" s="27">
        <f>IF(L622="","",IF(L622&gt;Config!$B$8,"A cair",IF(N(G622)&gt;=MIN(MAX(1,N(E622)),MAX(0,INT((Config!$B$8-L622)/30)+1)),IF(N(G622)&gt;=MAX(1,N(E622)),"Conferido","Conferido até aqui"),"A conferir")))</f>
        <v/>
      </c>
      <c r="S622" s="51">
        <f>IF(R622="A conferir",(Config!$B$8-L622)*1000+N(F622)/1000+ROW()/100000,0)</f>
        <v>0</v>
      </c>
      <c r="T622" s="51">
        <f>IF(R622="A conferir",N(N622),0)</f>
        <v>0</v>
      </c>
      <c r="U622" s="51">
        <f>IF(L622="",0,L622)</f>
        <v>0</v>
      </c>
      <c r="V622" s="51">
        <f>IF(L622="",0,MAX(1,N(E622)))</f>
        <v>0</v>
      </c>
      <c r="W622" s="51">
        <f>IF(K622="",0,K622)</f>
        <v>0</v>
      </c>
    </row>
    <row r="623">
      <c r="A623" s="49" t="n"/>
      <c r="B623" s="41" t="n"/>
      <c r="C623" s="41" t="n"/>
      <c r="D623" s="42" t="n"/>
      <c r="E623" s="42" t="n"/>
      <c r="F623" s="50" t="n"/>
      <c r="G623" s="42" t="n"/>
      <c r="H623" s="30">
        <f>IF(D623="","",IFERROR(INDEX(Config!$B$12:$B$15,MATCH(IF(AND(D623="Cartão de crédito",N(E623)&gt;1),"Cartão de crédito parcelado",D623),Config!$A$12:$A$15,0)),0)+IF(AND(Config!$B$17="Sim",LEFT(D623,17)="Cartão de crédito"),Config!$B$18*IFERROR(INDEX(Config!$C$12:$C$15,MATCH(IF(AND(D623="Cartão de crédito",N(E623)&gt;1),"Cartão de crédito parcelado",D623),Config!$A$12:$A$15,0)),0)/30*MAX(1,N(E623)),0))</f>
        <v/>
      </c>
      <c r="I623" s="29">
        <f>IF(OR(D623="",F623=""),"",ROUND(F623*H623,2))</f>
        <v/>
      </c>
      <c r="J623" s="29">
        <f>IF(I623="","",F623-I623)</f>
        <v/>
      </c>
      <c r="K623" s="29">
        <f>IF(J623="","",J623/MAX(1,N(E623)))</f>
        <v/>
      </c>
      <c r="L623" s="37">
        <f>IF(OR(D623="",A623=""),"",A623+IF(AND(Config!$B$17="Sim",LEFT(D623,17)="Cartão de crédito"),1,IFERROR(INDEX(Config!$C$12:$C$15,MATCH(IF(AND(D623="Cartão de crédito",N(E623)&gt;1),"Cartão de crédito parcelado",D623),Config!$A$12:$A$15,0)),0)))</f>
        <v/>
      </c>
      <c r="M623" s="37">
        <f>IF(L623="","",IF(AND(Config!$B$17="Sim",LEFT(D623,17)="Cartão de crédito"),L623,L623+30*(MAX(1,N(E623))-1)))</f>
        <v/>
      </c>
      <c r="N623" s="29">
        <f>IF(OR(L623="",K623=""),"",K623*MIN(MAX(1,N(E623)),MAX(0,INT((Config!$B$8-L623)/30)+1)))</f>
        <v/>
      </c>
      <c r="O623" s="29">
        <f>IF(J623="","",J623-N(N623))</f>
        <v/>
      </c>
      <c r="P623" s="27">
        <f>IF(A623="","",MONTH(A623))</f>
        <v/>
      </c>
      <c r="Q623" s="27">
        <f>IF(A623="","",YEAR(A623))</f>
        <v/>
      </c>
      <c r="R623" s="27">
        <f>IF(L623="","",IF(L623&gt;Config!$B$8,"A cair",IF(N(G623)&gt;=MIN(MAX(1,N(E623)),MAX(0,INT((Config!$B$8-L623)/30)+1)),IF(N(G623)&gt;=MAX(1,N(E623)),"Conferido","Conferido até aqui"),"A conferir")))</f>
        <v/>
      </c>
      <c r="S623" s="51">
        <f>IF(R623="A conferir",(Config!$B$8-L623)*1000+N(F623)/1000+ROW()/100000,0)</f>
        <v>0</v>
      </c>
      <c r="T623" s="51">
        <f>IF(R623="A conferir",N(N623),0)</f>
        <v>0</v>
      </c>
      <c r="U623" s="51">
        <f>IF(L623="",0,L623)</f>
        <v>0</v>
      </c>
      <c r="V623" s="51">
        <f>IF(L623="",0,MAX(1,N(E623)))</f>
        <v>0</v>
      </c>
      <c r="W623" s="51">
        <f>IF(K623="",0,K623)</f>
        <v>0</v>
      </c>
    </row>
    <row r="624">
      <c r="A624" s="49" t="n"/>
      <c r="B624" s="41" t="n"/>
      <c r="C624" s="41" t="n"/>
      <c r="D624" s="42" t="n"/>
      <c r="E624" s="42" t="n"/>
      <c r="F624" s="50" t="n"/>
      <c r="G624" s="42" t="n"/>
      <c r="H624" s="30">
        <f>IF(D624="","",IFERROR(INDEX(Config!$B$12:$B$15,MATCH(IF(AND(D624="Cartão de crédito",N(E624)&gt;1),"Cartão de crédito parcelado",D624),Config!$A$12:$A$15,0)),0)+IF(AND(Config!$B$17="Sim",LEFT(D624,17)="Cartão de crédito"),Config!$B$18*IFERROR(INDEX(Config!$C$12:$C$15,MATCH(IF(AND(D624="Cartão de crédito",N(E624)&gt;1),"Cartão de crédito parcelado",D624),Config!$A$12:$A$15,0)),0)/30*MAX(1,N(E624)),0))</f>
        <v/>
      </c>
      <c r="I624" s="29">
        <f>IF(OR(D624="",F624=""),"",ROUND(F624*H624,2))</f>
        <v/>
      </c>
      <c r="J624" s="29">
        <f>IF(I624="","",F624-I624)</f>
        <v/>
      </c>
      <c r="K624" s="29">
        <f>IF(J624="","",J624/MAX(1,N(E624)))</f>
        <v/>
      </c>
      <c r="L624" s="37">
        <f>IF(OR(D624="",A624=""),"",A624+IF(AND(Config!$B$17="Sim",LEFT(D624,17)="Cartão de crédito"),1,IFERROR(INDEX(Config!$C$12:$C$15,MATCH(IF(AND(D624="Cartão de crédito",N(E624)&gt;1),"Cartão de crédito parcelado",D624),Config!$A$12:$A$15,0)),0)))</f>
        <v/>
      </c>
      <c r="M624" s="37">
        <f>IF(L624="","",IF(AND(Config!$B$17="Sim",LEFT(D624,17)="Cartão de crédito"),L624,L624+30*(MAX(1,N(E624))-1)))</f>
        <v/>
      </c>
      <c r="N624" s="29">
        <f>IF(OR(L624="",K624=""),"",K624*MIN(MAX(1,N(E624)),MAX(0,INT((Config!$B$8-L624)/30)+1)))</f>
        <v/>
      </c>
      <c r="O624" s="29">
        <f>IF(J624="","",J624-N(N624))</f>
        <v/>
      </c>
      <c r="P624" s="27">
        <f>IF(A624="","",MONTH(A624))</f>
        <v/>
      </c>
      <c r="Q624" s="27">
        <f>IF(A624="","",YEAR(A624))</f>
        <v/>
      </c>
      <c r="R624" s="27">
        <f>IF(L624="","",IF(L624&gt;Config!$B$8,"A cair",IF(N(G624)&gt;=MIN(MAX(1,N(E624)),MAX(0,INT((Config!$B$8-L624)/30)+1)),IF(N(G624)&gt;=MAX(1,N(E624)),"Conferido","Conferido até aqui"),"A conferir")))</f>
        <v/>
      </c>
      <c r="S624" s="51">
        <f>IF(R624="A conferir",(Config!$B$8-L624)*1000+N(F624)/1000+ROW()/100000,0)</f>
        <v>0</v>
      </c>
      <c r="T624" s="51">
        <f>IF(R624="A conferir",N(N624),0)</f>
        <v>0</v>
      </c>
      <c r="U624" s="51">
        <f>IF(L624="",0,L624)</f>
        <v>0</v>
      </c>
      <c r="V624" s="51">
        <f>IF(L624="",0,MAX(1,N(E624)))</f>
        <v>0</v>
      </c>
      <c r="W624" s="51">
        <f>IF(K624="",0,K624)</f>
        <v>0</v>
      </c>
    </row>
    <row r="625">
      <c r="A625" s="49" t="n"/>
      <c r="B625" s="41" t="n"/>
      <c r="C625" s="41" t="n"/>
      <c r="D625" s="42" t="n"/>
      <c r="E625" s="42" t="n"/>
      <c r="F625" s="50" t="n"/>
      <c r="G625" s="42" t="n"/>
      <c r="H625" s="30">
        <f>IF(D625="","",IFERROR(INDEX(Config!$B$12:$B$15,MATCH(IF(AND(D625="Cartão de crédito",N(E625)&gt;1),"Cartão de crédito parcelado",D625),Config!$A$12:$A$15,0)),0)+IF(AND(Config!$B$17="Sim",LEFT(D625,17)="Cartão de crédito"),Config!$B$18*IFERROR(INDEX(Config!$C$12:$C$15,MATCH(IF(AND(D625="Cartão de crédito",N(E625)&gt;1),"Cartão de crédito parcelado",D625),Config!$A$12:$A$15,0)),0)/30*MAX(1,N(E625)),0))</f>
        <v/>
      </c>
      <c r="I625" s="29">
        <f>IF(OR(D625="",F625=""),"",ROUND(F625*H625,2))</f>
        <v/>
      </c>
      <c r="J625" s="29">
        <f>IF(I625="","",F625-I625)</f>
        <v/>
      </c>
      <c r="K625" s="29">
        <f>IF(J625="","",J625/MAX(1,N(E625)))</f>
        <v/>
      </c>
      <c r="L625" s="37">
        <f>IF(OR(D625="",A625=""),"",A625+IF(AND(Config!$B$17="Sim",LEFT(D625,17)="Cartão de crédito"),1,IFERROR(INDEX(Config!$C$12:$C$15,MATCH(IF(AND(D625="Cartão de crédito",N(E625)&gt;1),"Cartão de crédito parcelado",D625),Config!$A$12:$A$15,0)),0)))</f>
        <v/>
      </c>
      <c r="M625" s="37">
        <f>IF(L625="","",IF(AND(Config!$B$17="Sim",LEFT(D625,17)="Cartão de crédito"),L625,L625+30*(MAX(1,N(E625))-1)))</f>
        <v/>
      </c>
      <c r="N625" s="29">
        <f>IF(OR(L625="",K625=""),"",K625*MIN(MAX(1,N(E625)),MAX(0,INT((Config!$B$8-L625)/30)+1)))</f>
        <v/>
      </c>
      <c r="O625" s="29">
        <f>IF(J625="","",J625-N(N625))</f>
        <v/>
      </c>
      <c r="P625" s="27">
        <f>IF(A625="","",MONTH(A625))</f>
        <v/>
      </c>
      <c r="Q625" s="27">
        <f>IF(A625="","",YEAR(A625))</f>
        <v/>
      </c>
      <c r="R625" s="27">
        <f>IF(L625="","",IF(L625&gt;Config!$B$8,"A cair",IF(N(G625)&gt;=MIN(MAX(1,N(E625)),MAX(0,INT((Config!$B$8-L625)/30)+1)),IF(N(G625)&gt;=MAX(1,N(E625)),"Conferido","Conferido até aqui"),"A conferir")))</f>
        <v/>
      </c>
      <c r="S625" s="51">
        <f>IF(R625="A conferir",(Config!$B$8-L625)*1000+N(F625)/1000+ROW()/100000,0)</f>
        <v>0</v>
      </c>
      <c r="T625" s="51">
        <f>IF(R625="A conferir",N(N625),0)</f>
        <v>0</v>
      </c>
      <c r="U625" s="51">
        <f>IF(L625="",0,L625)</f>
        <v>0</v>
      </c>
      <c r="V625" s="51">
        <f>IF(L625="",0,MAX(1,N(E625)))</f>
        <v>0</v>
      </c>
      <c r="W625" s="51">
        <f>IF(K625="",0,K625)</f>
        <v>0</v>
      </c>
    </row>
    <row r="626">
      <c r="A626" s="49" t="n"/>
      <c r="B626" s="41" t="n"/>
      <c r="C626" s="41" t="n"/>
      <c r="D626" s="42" t="n"/>
      <c r="E626" s="42" t="n"/>
      <c r="F626" s="50" t="n"/>
      <c r="G626" s="42" t="n"/>
      <c r="H626" s="30">
        <f>IF(D626="","",IFERROR(INDEX(Config!$B$12:$B$15,MATCH(IF(AND(D626="Cartão de crédito",N(E626)&gt;1),"Cartão de crédito parcelado",D626),Config!$A$12:$A$15,0)),0)+IF(AND(Config!$B$17="Sim",LEFT(D626,17)="Cartão de crédito"),Config!$B$18*IFERROR(INDEX(Config!$C$12:$C$15,MATCH(IF(AND(D626="Cartão de crédito",N(E626)&gt;1),"Cartão de crédito parcelado",D626),Config!$A$12:$A$15,0)),0)/30*MAX(1,N(E626)),0))</f>
        <v/>
      </c>
      <c r="I626" s="29">
        <f>IF(OR(D626="",F626=""),"",ROUND(F626*H626,2))</f>
        <v/>
      </c>
      <c r="J626" s="29">
        <f>IF(I626="","",F626-I626)</f>
        <v/>
      </c>
      <c r="K626" s="29">
        <f>IF(J626="","",J626/MAX(1,N(E626)))</f>
        <v/>
      </c>
      <c r="L626" s="37">
        <f>IF(OR(D626="",A626=""),"",A626+IF(AND(Config!$B$17="Sim",LEFT(D626,17)="Cartão de crédito"),1,IFERROR(INDEX(Config!$C$12:$C$15,MATCH(IF(AND(D626="Cartão de crédito",N(E626)&gt;1),"Cartão de crédito parcelado",D626),Config!$A$12:$A$15,0)),0)))</f>
        <v/>
      </c>
      <c r="M626" s="37">
        <f>IF(L626="","",IF(AND(Config!$B$17="Sim",LEFT(D626,17)="Cartão de crédito"),L626,L626+30*(MAX(1,N(E626))-1)))</f>
        <v/>
      </c>
      <c r="N626" s="29">
        <f>IF(OR(L626="",K626=""),"",K626*MIN(MAX(1,N(E626)),MAX(0,INT((Config!$B$8-L626)/30)+1)))</f>
        <v/>
      </c>
      <c r="O626" s="29">
        <f>IF(J626="","",J626-N(N626))</f>
        <v/>
      </c>
      <c r="P626" s="27">
        <f>IF(A626="","",MONTH(A626))</f>
        <v/>
      </c>
      <c r="Q626" s="27">
        <f>IF(A626="","",YEAR(A626))</f>
        <v/>
      </c>
      <c r="R626" s="27">
        <f>IF(L626="","",IF(L626&gt;Config!$B$8,"A cair",IF(N(G626)&gt;=MIN(MAX(1,N(E626)),MAX(0,INT((Config!$B$8-L626)/30)+1)),IF(N(G626)&gt;=MAX(1,N(E626)),"Conferido","Conferido até aqui"),"A conferir")))</f>
        <v/>
      </c>
      <c r="S626" s="51">
        <f>IF(R626="A conferir",(Config!$B$8-L626)*1000+N(F626)/1000+ROW()/100000,0)</f>
        <v>0</v>
      </c>
      <c r="T626" s="51">
        <f>IF(R626="A conferir",N(N626),0)</f>
        <v>0</v>
      </c>
      <c r="U626" s="51">
        <f>IF(L626="",0,L626)</f>
        <v>0</v>
      </c>
      <c r="V626" s="51">
        <f>IF(L626="",0,MAX(1,N(E626)))</f>
        <v>0</v>
      </c>
      <c r="W626" s="51">
        <f>IF(K626="",0,K626)</f>
        <v>0</v>
      </c>
    </row>
    <row r="627">
      <c r="A627" s="49" t="n"/>
      <c r="B627" s="41" t="n"/>
      <c r="C627" s="41" t="n"/>
      <c r="D627" s="42" t="n"/>
      <c r="E627" s="42" t="n"/>
      <c r="F627" s="50" t="n"/>
      <c r="G627" s="42" t="n"/>
      <c r="H627" s="30">
        <f>IF(D627="","",IFERROR(INDEX(Config!$B$12:$B$15,MATCH(IF(AND(D627="Cartão de crédito",N(E627)&gt;1),"Cartão de crédito parcelado",D627),Config!$A$12:$A$15,0)),0)+IF(AND(Config!$B$17="Sim",LEFT(D627,17)="Cartão de crédito"),Config!$B$18*IFERROR(INDEX(Config!$C$12:$C$15,MATCH(IF(AND(D627="Cartão de crédito",N(E627)&gt;1),"Cartão de crédito parcelado",D627),Config!$A$12:$A$15,0)),0)/30*MAX(1,N(E627)),0))</f>
        <v/>
      </c>
      <c r="I627" s="29">
        <f>IF(OR(D627="",F627=""),"",ROUND(F627*H627,2))</f>
        <v/>
      </c>
      <c r="J627" s="29">
        <f>IF(I627="","",F627-I627)</f>
        <v/>
      </c>
      <c r="K627" s="29">
        <f>IF(J627="","",J627/MAX(1,N(E627)))</f>
        <v/>
      </c>
      <c r="L627" s="37">
        <f>IF(OR(D627="",A627=""),"",A627+IF(AND(Config!$B$17="Sim",LEFT(D627,17)="Cartão de crédito"),1,IFERROR(INDEX(Config!$C$12:$C$15,MATCH(IF(AND(D627="Cartão de crédito",N(E627)&gt;1),"Cartão de crédito parcelado",D627),Config!$A$12:$A$15,0)),0)))</f>
        <v/>
      </c>
      <c r="M627" s="37">
        <f>IF(L627="","",IF(AND(Config!$B$17="Sim",LEFT(D627,17)="Cartão de crédito"),L627,L627+30*(MAX(1,N(E627))-1)))</f>
        <v/>
      </c>
      <c r="N627" s="29">
        <f>IF(OR(L627="",K627=""),"",K627*MIN(MAX(1,N(E627)),MAX(0,INT((Config!$B$8-L627)/30)+1)))</f>
        <v/>
      </c>
      <c r="O627" s="29">
        <f>IF(J627="","",J627-N(N627))</f>
        <v/>
      </c>
      <c r="P627" s="27">
        <f>IF(A627="","",MONTH(A627))</f>
        <v/>
      </c>
      <c r="Q627" s="27">
        <f>IF(A627="","",YEAR(A627))</f>
        <v/>
      </c>
      <c r="R627" s="27">
        <f>IF(L627="","",IF(L627&gt;Config!$B$8,"A cair",IF(N(G627)&gt;=MIN(MAX(1,N(E627)),MAX(0,INT((Config!$B$8-L627)/30)+1)),IF(N(G627)&gt;=MAX(1,N(E627)),"Conferido","Conferido até aqui"),"A conferir")))</f>
        <v/>
      </c>
      <c r="S627" s="51">
        <f>IF(R627="A conferir",(Config!$B$8-L627)*1000+N(F627)/1000+ROW()/100000,0)</f>
        <v>0</v>
      </c>
      <c r="T627" s="51">
        <f>IF(R627="A conferir",N(N627),0)</f>
        <v>0</v>
      </c>
      <c r="U627" s="51">
        <f>IF(L627="",0,L627)</f>
        <v>0</v>
      </c>
      <c r="V627" s="51">
        <f>IF(L627="",0,MAX(1,N(E627)))</f>
        <v>0</v>
      </c>
      <c r="W627" s="51">
        <f>IF(K627="",0,K627)</f>
        <v>0</v>
      </c>
    </row>
    <row r="628">
      <c r="A628" s="49" t="n"/>
      <c r="B628" s="41" t="n"/>
      <c r="C628" s="41" t="n"/>
      <c r="D628" s="42" t="n"/>
      <c r="E628" s="42" t="n"/>
      <c r="F628" s="50" t="n"/>
      <c r="G628" s="42" t="n"/>
      <c r="H628" s="30">
        <f>IF(D628="","",IFERROR(INDEX(Config!$B$12:$B$15,MATCH(IF(AND(D628="Cartão de crédito",N(E628)&gt;1),"Cartão de crédito parcelado",D628),Config!$A$12:$A$15,0)),0)+IF(AND(Config!$B$17="Sim",LEFT(D628,17)="Cartão de crédito"),Config!$B$18*IFERROR(INDEX(Config!$C$12:$C$15,MATCH(IF(AND(D628="Cartão de crédito",N(E628)&gt;1),"Cartão de crédito parcelado",D628),Config!$A$12:$A$15,0)),0)/30*MAX(1,N(E628)),0))</f>
        <v/>
      </c>
      <c r="I628" s="29">
        <f>IF(OR(D628="",F628=""),"",ROUND(F628*H628,2))</f>
        <v/>
      </c>
      <c r="J628" s="29">
        <f>IF(I628="","",F628-I628)</f>
        <v/>
      </c>
      <c r="K628" s="29">
        <f>IF(J628="","",J628/MAX(1,N(E628)))</f>
        <v/>
      </c>
      <c r="L628" s="37">
        <f>IF(OR(D628="",A628=""),"",A628+IF(AND(Config!$B$17="Sim",LEFT(D628,17)="Cartão de crédito"),1,IFERROR(INDEX(Config!$C$12:$C$15,MATCH(IF(AND(D628="Cartão de crédito",N(E628)&gt;1),"Cartão de crédito parcelado",D628),Config!$A$12:$A$15,0)),0)))</f>
        <v/>
      </c>
      <c r="M628" s="37">
        <f>IF(L628="","",IF(AND(Config!$B$17="Sim",LEFT(D628,17)="Cartão de crédito"),L628,L628+30*(MAX(1,N(E628))-1)))</f>
        <v/>
      </c>
      <c r="N628" s="29">
        <f>IF(OR(L628="",K628=""),"",K628*MIN(MAX(1,N(E628)),MAX(0,INT((Config!$B$8-L628)/30)+1)))</f>
        <v/>
      </c>
      <c r="O628" s="29">
        <f>IF(J628="","",J628-N(N628))</f>
        <v/>
      </c>
      <c r="P628" s="27">
        <f>IF(A628="","",MONTH(A628))</f>
        <v/>
      </c>
      <c r="Q628" s="27">
        <f>IF(A628="","",YEAR(A628))</f>
        <v/>
      </c>
      <c r="R628" s="27">
        <f>IF(L628="","",IF(L628&gt;Config!$B$8,"A cair",IF(N(G628)&gt;=MIN(MAX(1,N(E628)),MAX(0,INT((Config!$B$8-L628)/30)+1)),IF(N(G628)&gt;=MAX(1,N(E628)),"Conferido","Conferido até aqui"),"A conferir")))</f>
        <v/>
      </c>
      <c r="S628" s="51">
        <f>IF(R628="A conferir",(Config!$B$8-L628)*1000+N(F628)/1000+ROW()/100000,0)</f>
        <v>0</v>
      </c>
      <c r="T628" s="51">
        <f>IF(R628="A conferir",N(N628),0)</f>
        <v>0</v>
      </c>
      <c r="U628" s="51">
        <f>IF(L628="",0,L628)</f>
        <v>0</v>
      </c>
      <c r="V628" s="51">
        <f>IF(L628="",0,MAX(1,N(E628)))</f>
        <v>0</v>
      </c>
      <c r="W628" s="51">
        <f>IF(K628="",0,K628)</f>
        <v>0</v>
      </c>
    </row>
    <row r="629">
      <c r="A629" s="49" t="n"/>
      <c r="B629" s="41" t="n"/>
      <c r="C629" s="41" t="n"/>
      <c r="D629" s="42" t="n"/>
      <c r="E629" s="42" t="n"/>
      <c r="F629" s="50" t="n"/>
      <c r="G629" s="42" t="n"/>
      <c r="H629" s="30">
        <f>IF(D629="","",IFERROR(INDEX(Config!$B$12:$B$15,MATCH(IF(AND(D629="Cartão de crédito",N(E629)&gt;1),"Cartão de crédito parcelado",D629),Config!$A$12:$A$15,0)),0)+IF(AND(Config!$B$17="Sim",LEFT(D629,17)="Cartão de crédito"),Config!$B$18*IFERROR(INDEX(Config!$C$12:$C$15,MATCH(IF(AND(D629="Cartão de crédito",N(E629)&gt;1),"Cartão de crédito parcelado",D629),Config!$A$12:$A$15,0)),0)/30*MAX(1,N(E629)),0))</f>
        <v/>
      </c>
      <c r="I629" s="29">
        <f>IF(OR(D629="",F629=""),"",ROUND(F629*H629,2))</f>
        <v/>
      </c>
      <c r="J629" s="29">
        <f>IF(I629="","",F629-I629)</f>
        <v/>
      </c>
      <c r="K629" s="29">
        <f>IF(J629="","",J629/MAX(1,N(E629)))</f>
        <v/>
      </c>
      <c r="L629" s="37">
        <f>IF(OR(D629="",A629=""),"",A629+IF(AND(Config!$B$17="Sim",LEFT(D629,17)="Cartão de crédito"),1,IFERROR(INDEX(Config!$C$12:$C$15,MATCH(IF(AND(D629="Cartão de crédito",N(E629)&gt;1),"Cartão de crédito parcelado",D629),Config!$A$12:$A$15,0)),0)))</f>
        <v/>
      </c>
      <c r="M629" s="37">
        <f>IF(L629="","",IF(AND(Config!$B$17="Sim",LEFT(D629,17)="Cartão de crédito"),L629,L629+30*(MAX(1,N(E629))-1)))</f>
        <v/>
      </c>
      <c r="N629" s="29">
        <f>IF(OR(L629="",K629=""),"",K629*MIN(MAX(1,N(E629)),MAX(0,INT((Config!$B$8-L629)/30)+1)))</f>
        <v/>
      </c>
      <c r="O629" s="29">
        <f>IF(J629="","",J629-N(N629))</f>
        <v/>
      </c>
      <c r="P629" s="27">
        <f>IF(A629="","",MONTH(A629))</f>
        <v/>
      </c>
      <c r="Q629" s="27">
        <f>IF(A629="","",YEAR(A629))</f>
        <v/>
      </c>
      <c r="R629" s="27">
        <f>IF(L629="","",IF(L629&gt;Config!$B$8,"A cair",IF(N(G629)&gt;=MIN(MAX(1,N(E629)),MAX(0,INT((Config!$B$8-L629)/30)+1)),IF(N(G629)&gt;=MAX(1,N(E629)),"Conferido","Conferido até aqui"),"A conferir")))</f>
        <v/>
      </c>
      <c r="S629" s="51">
        <f>IF(R629="A conferir",(Config!$B$8-L629)*1000+N(F629)/1000+ROW()/100000,0)</f>
        <v>0</v>
      </c>
      <c r="T629" s="51">
        <f>IF(R629="A conferir",N(N629),0)</f>
        <v>0</v>
      </c>
      <c r="U629" s="51">
        <f>IF(L629="",0,L629)</f>
        <v>0</v>
      </c>
      <c r="V629" s="51">
        <f>IF(L629="",0,MAX(1,N(E629)))</f>
        <v>0</v>
      </c>
      <c r="W629" s="51">
        <f>IF(K629="",0,K629)</f>
        <v>0</v>
      </c>
    </row>
    <row r="630">
      <c r="A630" s="49" t="n"/>
      <c r="B630" s="41" t="n"/>
      <c r="C630" s="41" t="n"/>
      <c r="D630" s="42" t="n"/>
      <c r="E630" s="42" t="n"/>
      <c r="F630" s="50" t="n"/>
      <c r="G630" s="42" t="n"/>
      <c r="H630" s="30">
        <f>IF(D630="","",IFERROR(INDEX(Config!$B$12:$B$15,MATCH(IF(AND(D630="Cartão de crédito",N(E630)&gt;1),"Cartão de crédito parcelado",D630),Config!$A$12:$A$15,0)),0)+IF(AND(Config!$B$17="Sim",LEFT(D630,17)="Cartão de crédito"),Config!$B$18*IFERROR(INDEX(Config!$C$12:$C$15,MATCH(IF(AND(D630="Cartão de crédito",N(E630)&gt;1),"Cartão de crédito parcelado",D630),Config!$A$12:$A$15,0)),0)/30*MAX(1,N(E630)),0))</f>
        <v/>
      </c>
      <c r="I630" s="29">
        <f>IF(OR(D630="",F630=""),"",ROUND(F630*H630,2))</f>
        <v/>
      </c>
      <c r="J630" s="29">
        <f>IF(I630="","",F630-I630)</f>
        <v/>
      </c>
      <c r="K630" s="29">
        <f>IF(J630="","",J630/MAX(1,N(E630)))</f>
        <v/>
      </c>
      <c r="L630" s="37">
        <f>IF(OR(D630="",A630=""),"",A630+IF(AND(Config!$B$17="Sim",LEFT(D630,17)="Cartão de crédito"),1,IFERROR(INDEX(Config!$C$12:$C$15,MATCH(IF(AND(D630="Cartão de crédito",N(E630)&gt;1),"Cartão de crédito parcelado",D630),Config!$A$12:$A$15,0)),0)))</f>
        <v/>
      </c>
      <c r="M630" s="37">
        <f>IF(L630="","",IF(AND(Config!$B$17="Sim",LEFT(D630,17)="Cartão de crédito"),L630,L630+30*(MAX(1,N(E630))-1)))</f>
        <v/>
      </c>
      <c r="N630" s="29">
        <f>IF(OR(L630="",K630=""),"",K630*MIN(MAX(1,N(E630)),MAX(0,INT((Config!$B$8-L630)/30)+1)))</f>
        <v/>
      </c>
      <c r="O630" s="29">
        <f>IF(J630="","",J630-N(N630))</f>
        <v/>
      </c>
      <c r="P630" s="27">
        <f>IF(A630="","",MONTH(A630))</f>
        <v/>
      </c>
      <c r="Q630" s="27">
        <f>IF(A630="","",YEAR(A630))</f>
        <v/>
      </c>
      <c r="R630" s="27">
        <f>IF(L630="","",IF(L630&gt;Config!$B$8,"A cair",IF(N(G630)&gt;=MIN(MAX(1,N(E630)),MAX(0,INT((Config!$B$8-L630)/30)+1)),IF(N(G630)&gt;=MAX(1,N(E630)),"Conferido","Conferido até aqui"),"A conferir")))</f>
        <v/>
      </c>
      <c r="S630" s="51">
        <f>IF(R630="A conferir",(Config!$B$8-L630)*1000+N(F630)/1000+ROW()/100000,0)</f>
        <v>0</v>
      </c>
      <c r="T630" s="51">
        <f>IF(R630="A conferir",N(N630),0)</f>
        <v>0</v>
      </c>
      <c r="U630" s="51">
        <f>IF(L630="",0,L630)</f>
        <v>0</v>
      </c>
      <c r="V630" s="51">
        <f>IF(L630="",0,MAX(1,N(E630)))</f>
        <v>0</v>
      </c>
      <c r="W630" s="51">
        <f>IF(K630="",0,K630)</f>
        <v>0</v>
      </c>
    </row>
    <row r="631">
      <c r="A631" s="49" t="n"/>
      <c r="B631" s="41" t="n"/>
      <c r="C631" s="41" t="n"/>
      <c r="D631" s="42" t="n"/>
      <c r="E631" s="42" t="n"/>
      <c r="F631" s="50" t="n"/>
      <c r="G631" s="42" t="n"/>
      <c r="H631" s="30">
        <f>IF(D631="","",IFERROR(INDEX(Config!$B$12:$B$15,MATCH(IF(AND(D631="Cartão de crédito",N(E631)&gt;1),"Cartão de crédito parcelado",D631),Config!$A$12:$A$15,0)),0)+IF(AND(Config!$B$17="Sim",LEFT(D631,17)="Cartão de crédito"),Config!$B$18*IFERROR(INDEX(Config!$C$12:$C$15,MATCH(IF(AND(D631="Cartão de crédito",N(E631)&gt;1),"Cartão de crédito parcelado",D631),Config!$A$12:$A$15,0)),0)/30*MAX(1,N(E631)),0))</f>
        <v/>
      </c>
      <c r="I631" s="29">
        <f>IF(OR(D631="",F631=""),"",ROUND(F631*H631,2))</f>
        <v/>
      </c>
      <c r="J631" s="29">
        <f>IF(I631="","",F631-I631)</f>
        <v/>
      </c>
      <c r="K631" s="29">
        <f>IF(J631="","",J631/MAX(1,N(E631)))</f>
        <v/>
      </c>
      <c r="L631" s="37">
        <f>IF(OR(D631="",A631=""),"",A631+IF(AND(Config!$B$17="Sim",LEFT(D631,17)="Cartão de crédito"),1,IFERROR(INDEX(Config!$C$12:$C$15,MATCH(IF(AND(D631="Cartão de crédito",N(E631)&gt;1),"Cartão de crédito parcelado",D631),Config!$A$12:$A$15,0)),0)))</f>
        <v/>
      </c>
      <c r="M631" s="37">
        <f>IF(L631="","",IF(AND(Config!$B$17="Sim",LEFT(D631,17)="Cartão de crédito"),L631,L631+30*(MAX(1,N(E631))-1)))</f>
        <v/>
      </c>
      <c r="N631" s="29">
        <f>IF(OR(L631="",K631=""),"",K631*MIN(MAX(1,N(E631)),MAX(0,INT((Config!$B$8-L631)/30)+1)))</f>
        <v/>
      </c>
      <c r="O631" s="29">
        <f>IF(J631="","",J631-N(N631))</f>
        <v/>
      </c>
      <c r="P631" s="27">
        <f>IF(A631="","",MONTH(A631))</f>
        <v/>
      </c>
      <c r="Q631" s="27">
        <f>IF(A631="","",YEAR(A631))</f>
        <v/>
      </c>
      <c r="R631" s="27">
        <f>IF(L631="","",IF(L631&gt;Config!$B$8,"A cair",IF(N(G631)&gt;=MIN(MAX(1,N(E631)),MAX(0,INT((Config!$B$8-L631)/30)+1)),IF(N(G631)&gt;=MAX(1,N(E631)),"Conferido","Conferido até aqui"),"A conferir")))</f>
        <v/>
      </c>
      <c r="S631" s="51">
        <f>IF(R631="A conferir",(Config!$B$8-L631)*1000+N(F631)/1000+ROW()/100000,0)</f>
        <v>0</v>
      </c>
      <c r="T631" s="51">
        <f>IF(R631="A conferir",N(N631),0)</f>
        <v>0</v>
      </c>
      <c r="U631" s="51">
        <f>IF(L631="",0,L631)</f>
        <v>0</v>
      </c>
      <c r="V631" s="51">
        <f>IF(L631="",0,MAX(1,N(E631)))</f>
        <v>0</v>
      </c>
      <c r="W631" s="51">
        <f>IF(K631="",0,K631)</f>
        <v>0</v>
      </c>
    </row>
    <row r="632">
      <c r="A632" s="49" t="n"/>
      <c r="B632" s="41" t="n"/>
      <c r="C632" s="41" t="n"/>
      <c r="D632" s="42" t="n"/>
      <c r="E632" s="42" t="n"/>
      <c r="F632" s="50" t="n"/>
      <c r="G632" s="42" t="n"/>
      <c r="H632" s="30">
        <f>IF(D632="","",IFERROR(INDEX(Config!$B$12:$B$15,MATCH(IF(AND(D632="Cartão de crédito",N(E632)&gt;1),"Cartão de crédito parcelado",D632),Config!$A$12:$A$15,0)),0)+IF(AND(Config!$B$17="Sim",LEFT(D632,17)="Cartão de crédito"),Config!$B$18*IFERROR(INDEX(Config!$C$12:$C$15,MATCH(IF(AND(D632="Cartão de crédito",N(E632)&gt;1),"Cartão de crédito parcelado",D632),Config!$A$12:$A$15,0)),0)/30*MAX(1,N(E632)),0))</f>
        <v/>
      </c>
      <c r="I632" s="29">
        <f>IF(OR(D632="",F632=""),"",ROUND(F632*H632,2))</f>
        <v/>
      </c>
      <c r="J632" s="29">
        <f>IF(I632="","",F632-I632)</f>
        <v/>
      </c>
      <c r="K632" s="29">
        <f>IF(J632="","",J632/MAX(1,N(E632)))</f>
        <v/>
      </c>
      <c r="L632" s="37">
        <f>IF(OR(D632="",A632=""),"",A632+IF(AND(Config!$B$17="Sim",LEFT(D632,17)="Cartão de crédito"),1,IFERROR(INDEX(Config!$C$12:$C$15,MATCH(IF(AND(D632="Cartão de crédito",N(E632)&gt;1),"Cartão de crédito parcelado",D632),Config!$A$12:$A$15,0)),0)))</f>
        <v/>
      </c>
      <c r="M632" s="37">
        <f>IF(L632="","",IF(AND(Config!$B$17="Sim",LEFT(D632,17)="Cartão de crédito"),L632,L632+30*(MAX(1,N(E632))-1)))</f>
        <v/>
      </c>
      <c r="N632" s="29">
        <f>IF(OR(L632="",K632=""),"",K632*MIN(MAX(1,N(E632)),MAX(0,INT((Config!$B$8-L632)/30)+1)))</f>
        <v/>
      </c>
      <c r="O632" s="29">
        <f>IF(J632="","",J632-N(N632))</f>
        <v/>
      </c>
      <c r="P632" s="27">
        <f>IF(A632="","",MONTH(A632))</f>
        <v/>
      </c>
      <c r="Q632" s="27">
        <f>IF(A632="","",YEAR(A632))</f>
        <v/>
      </c>
      <c r="R632" s="27">
        <f>IF(L632="","",IF(L632&gt;Config!$B$8,"A cair",IF(N(G632)&gt;=MIN(MAX(1,N(E632)),MAX(0,INT((Config!$B$8-L632)/30)+1)),IF(N(G632)&gt;=MAX(1,N(E632)),"Conferido","Conferido até aqui"),"A conferir")))</f>
        <v/>
      </c>
      <c r="S632" s="51">
        <f>IF(R632="A conferir",(Config!$B$8-L632)*1000+N(F632)/1000+ROW()/100000,0)</f>
        <v>0</v>
      </c>
      <c r="T632" s="51">
        <f>IF(R632="A conferir",N(N632),0)</f>
        <v>0</v>
      </c>
      <c r="U632" s="51">
        <f>IF(L632="",0,L632)</f>
        <v>0</v>
      </c>
      <c r="V632" s="51">
        <f>IF(L632="",0,MAX(1,N(E632)))</f>
        <v>0</v>
      </c>
      <c r="W632" s="51">
        <f>IF(K632="",0,K632)</f>
        <v>0</v>
      </c>
    </row>
    <row r="633">
      <c r="A633" s="49" t="n"/>
      <c r="B633" s="41" t="n"/>
      <c r="C633" s="41" t="n"/>
      <c r="D633" s="42" t="n"/>
      <c r="E633" s="42" t="n"/>
      <c r="F633" s="50" t="n"/>
      <c r="G633" s="42" t="n"/>
      <c r="H633" s="30">
        <f>IF(D633="","",IFERROR(INDEX(Config!$B$12:$B$15,MATCH(IF(AND(D633="Cartão de crédito",N(E633)&gt;1),"Cartão de crédito parcelado",D633),Config!$A$12:$A$15,0)),0)+IF(AND(Config!$B$17="Sim",LEFT(D633,17)="Cartão de crédito"),Config!$B$18*IFERROR(INDEX(Config!$C$12:$C$15,MATCH(IF(AND(D633="Cartão de crédito",N(E633)&gt;1),"Cartão de crédito parcelado",D633),Config!$A$12:$A$15,0)),0)/30*MAX(1,N(E633)),0))</f>
        <v/>
      </c>
      <c r="I633" s="29">
        <f>IF(OR(D633="",F633=""),"",ROUND(F633*H633,2))</f>
        <v/>
      </c>
      <c r="J633" s="29">
        <f>IF(I633="","",F633-I633)</f>
        <v/>
      </c>
      <c r="K633" s="29">
        <f>IF(J633="","",J633/MAX(1,N(E633)))</f>
        <v/>
      </c>
      <c r="L633" s="37">
        <f>IF(OR(D633="",A633=""),"",A633+IF(AND(Config!$B$17="Sim",LEFT(D633,17)="Cartão de crédito"),1,IFERROR(INDEX(Config!$C$12:$C$15,MATCH(IF(AND(D633="Cartão de crédito",N(E633)&gt;1),"Cartão de crédito parcelado",D633),Config!$A$12:$A$15,0)),0)))</f>
        <v/>
      </c>
      <c r="M633" s="37">
        <f>IF(L633="","",IF(AND(Config!$B$17="Sim",LEFT(D633,17)="Cartão de crédito"),L633,L633+30*(MAX(1,N(E633))-1)))</f>
        <v/>
      </c>
      <c r="N633" s="29">
        <f>IF(OR(L633="",K633=""),"",K633*MIN(MAX(1,N(E633)),MAX(0,INT((Config!$B$8-L633)/30)+1)))</f>
        <v/>
      </c>
      <c r="O633" s="29">
        <f>IF(J633="","",J633-N(N633))</f>
        <v/>
      </c>
      <c r="P633" s="27">
        <f>IF(A633="","",MONTH(A633))</f>
        <v/>
      </c>
      <c r="Q633" s="27">
        <f>IF(A633="","",YEAR(A633))</f>
        <v/>
      </c>
      <c r="R633" s="27">
        <f>IF(L633="","",IF(L633&gt;Config!$B$8,"A cair",IF(N(G633)&gt;=MIN(MAX(1,N(E633)),MAX(0,INT((Config!$B$8-L633)/30)+1)),IF(N(G633)&gt;=MAX(1,N(E633)),"Conferido","Conferido até aqui"),"A conferir")))</f>
        <v/>
      </c>
      <c r="S633" s="51">
        <f>IF(R633="A conferir",(Config!$B$8-L633)*1000+N(F633)/1000+ROW()/100000,0)</f>
        <v>0</v>
      </c>
      <c r="T633" s="51">
        <f>IF(R633="A conferir",N(N633),0)</f>
        <v>0</v>
      </c>
      <c r="U633" s="51">
        <f>IF(L633="",0,L633)</f>
        <v>0</v>
      </c>
      <c r="V633" s="51">
        <f>IF(L633="",0,MAX(1,N(E633)))</f>
        <v>0</v>
      </c>
      <c r="W633" s="51">
        <f>IF(K633="",0,K633)</f>
        <v>0</v>
      </c>
    </row>
    <row r="634">
      <c r="A634" s="49" t="n"/>
      <c r="B634" s="41" t="n"/>
      <c r="C634" s="41" t="n"/>
      <c r="D634" s="42" t="n"/>
      <c r="E634" s="42" t="n"/>
      <c r="F634" s="50" t="n"/>
      <c r="G634" s="42" t="n"/>
      <c r="H634" s="30">
        <f>IF(D634="","",IFERROR(INDEX(Config!$B$12:$B$15,MATCH(IF(AND(D634="Cartão de crédito",N(E634)&gt;1),"Cartão de crédito parcelado",D634),Config!$A$12:$A$15,0)),0)+IF(AND(Config!$B$17="Sim",LEFT(D634,17)="Cartão de crédito"),Config!$B$18*IFERROR(INDEX(Config!$C$12:$C$15,MATCH(IF(AND(D634="Cartão de crédito",N(E634)&gt;1),"Cartão de crédito parcelado",D634),Config!$A$12:$A$15,0)),0)/30*MAX(1,N(E634)),0))</f>
        <v/>
      </c>
      <c r="I634" s="29">
        <f>IF(OR(D634="",F634=""),"",ROUND(F634*H634,2))</f>
        <v/>
      </c>
      <c r="J634" s="29">
        <f>IF(I634="","",F634-I634)</f>
        <v/>
      </c>
      <c r="K634" s="29">
        <f>IF(J634="","",J634/MAX(1,N(E634)))</f>
        <v/>
      </c>
      <c r="L634" s="37">
        <f>IF(OR(D634="",A634=""),"",A634+IF(AND(Config!$B$17="Sim",LEFT(D634,17)="Cartão de crédito"),1,IFERROR(INDEX(Config!$C$12:$C$15,MATCH(IF(AND(D634="Cartão de crédito",N(E634)&gt;1),"Cartão de crédito parcelado",D634),Config!$A$12:$A$15,0)),0)))</f>
        <v/>
      </c>
      <c r="M634" s="37">
        <f>IF(L634="","",IF(AND(Config!$B$17="Sim",LEFT(D634,17)="Cartão de crédito"),L634,L634+30*(MAX(1,N(E634))-1)))</f>
        <v/>
      </c>
      <c r="N634" s="29">
        <f>IF(OR(L634="",K634=""),"",K634*MIN(MAX(1,N(E634)),MAX(0,INT((Config!$B$8-L634)/30)+1)))</f>
        <v/>
      </c>
      <c r="O634" s="29">
        <f>IF(J634="","",J634-N(N634))</f>
        <v/>
      </c>
      <c r="P634" s="27">
        <f>IF(A634="","",MONTH(A634))</f>
        <v/>
      </c>
      <c r="Q634" s="27">
        <f>IF(A634="","",YEAR(A634))</f>
        <v/>
      </c>
      <c r="R634" s="27">
        <f>IF(L634="","",IF(L634&gt;Config!$B$8,"A cair",IF(N(G634)&gt;=MIN(MAX(1,N(E634)),MAX(0,INT((Config!$B$8-L634)/30)+1)),IF(N(G634)&gt;=MAX(1,N(E634)),"Conferido","Conferido até aqui"),"A conferir")))</f>
        <v/>
      </c>
      <c r="S634" s="51">
        <f>IF(R634="A conferir",(Config!$B$8-L634)*1000+N(F634)/1000+ROW()/100000,0)</f>
        <v>0</v>
      </c>
      <c r="T634" s="51">
        <f>IF(R634="A conferir",N(N634),0)</f>
        <v>0</v>
      </c>
      <c r="U634" s="51">
        <f>IF(L634="",0,L634)</f>
        <v>0</v>
      </c>
      <c r="V634" s="51">
        <f>IF(L634="",0,MAX(1,N(E634)))</f>
        <v>0</v>
      </c>
      <c r="W634" s="51">
        <f>IF(K634="",0,K634)</f>
        <v>0</v>
      </c>
    </row>
    <row r="635">
      <c r="A635" s="49" t="n"/>
      <c r="B635" s="41" t="n"/>
      <c r="C635" s="41" t="n"/>
      <c r="D635" s="42" t="n"/>
      <c r="E635" s="42" t="n"/>
      <c r="F635" s="50" t="n"/>
      <c r="G635" s="42" t="n"/>
      <c r="H635" s="30">
        <f>IF(D635="","",IFERROR(INDEX(Config!$B$12:$B$15,MATCH(IF(AND(D635="Cartão de crédito",N(E635)&gt;1),"Cartão de crédito parcelado",D635),Config!$A$12:$A$15,0)),0)+IF(AND(Config!$B$17="Sim",LEFT(D635,17)="Cartão de crédito"),Config!$B$18*IFERROR(INDEX(Config!$C$12:$C$15,MATCH(IF(AND(D635="Cartão de crédito",N(E635)&gt;1),"Cartão de crédito parcelado",D635),Config!$A$12:$A$15,0)),0)/30*MAX(1,N(E635)),0))</f>
        <v/>
      </c>
      <c r="I635" s="29">
        <f>IF(OR(D635="",F635=""),"",ROUND(F635*H635,2))</f>
        <v/>
      </c>
      <c r="J635" s="29">
        <f>IF(I635="","",F635-I635)</f>
        <v/>
      </c>
      <c r="K635" s="29">
        <f>IF(J635="","",J635/MAX(1,N(E635)))</f>
        <v/>
      </c>
      <c r="L635" s="37">
        <f>IF(OR(D635="",A635=""),"",A635+IF(AND(Config!$B$17="Sim",LEFT(D635,17)="Cartão de crédito"),1,IFERROR(INDEX(Config!$C$12:$C$15,MATCH(IF(AND(D635="Cartão de crédito",N(E635)&gt;1),"Cartão de crédito parcelado",D635),Config!$A$12:$A$15,0)),0)))</f>
        <v/>
      </c>
      <c r="M635" s="37">
        <f>IF(L635="","",IF(AND(Config!$B$17="Sim",LEFT(D635,17)="Cartão de crédito"),L635,L635+30*(MAX(1,N(E635))-1)))</f>
        <v/>
      </c>
      <c r="N635" s="29">
        <f>IF(OR(L635="",K635=""),"",K635*MIN(MAX(1,N(E635)),MAX(0,INT((Config!$B$8-L635)/30)+1)))</f>
        <v/>
      </c>
      <c r="O635" s="29">
        <f>IF(J635="","",J635-N(N635))</f>
        <v/>
      </c>
      <c r="P635" s="27">
        <f>IF(A635="","",MONTH(A635))</f>
        <v/>
      </c>
      <c r="Q635" s="27">
        <f>IF(A635="","",YEAR(A635))</f>
        <v/>
      </c>
      <c r="R635" s="27">
        <f>IF(L635="","",IF(L635&gt;Config!$B$8,"A cair",IF(N(G635)&gt;=MIN(MAX(1,N(E635)),MAX(0,INT((Config!$B$8-L635)/30)+1)),IF(N(G635)&gt;=MAX(1,N(E635)),"Conferido","Conferido até aqui"),"A conferir")))</f>
        <v/>
      </c>
      <c r="S635" s="51">
        <f>IF(R635="A conferir",(Config!$B$8-L635)*1000+N(F635)/1000+ROW()/100000,0)</f>
        <v>0</v>
      </c>
      <c r="T635" s="51">
        <f>IF(R635="A conferir",N(N635),0)</f>
        <v>0</v>
      </c>
      <c r="U635" s="51">
        <f>IF(L635="",0,L635)</f>
        <v>0</v>
      </c>
      <c r="V635" s="51">
        <f>IF(L635="",0,MAX(1,N(E635)))</f>
        <v>0</v>
      </c>
      <c r="W635" s="51">
        <f>IF(K635="",0,K635)</f>
        <v>0</v>
      </c>
    </row>
    <row r="636">
      <c r="A636" s="49" t="n"/>
      <c r="B636" s="41" t="n"/>
      <c r="C636" s="41" t="n"/>
      <c r="D636" s="42" t="n"/>
      <c r="E636" s="42" t="n"/>
      <c r="F636" s="50" t="n"/>
      <c r="G636" s="42" t="n"/>
      <c r="H636" s="30">
        <f>IF(D636="","",IFERROR(INDEX(Config!$B$12:$B$15,MATCH(IF(AND(D636="Cartão de crédito",N(E636)&gt;1),"Cartão de crédito parcelado",D636),Config!$A$12:$A$15,0)),0)+IF(AND(Config!$B$17="Sim",LEFT(D636,17)="Cartão de crédito"),Config!$B$18*IFERROR(INDEX(Config!$C$12:$C$15,MATCH(IF(AND(D636="Cartão de crédito",N(E636)&gt;1),"Cartão de crédito parcelado",D636),Config!$A$12:$A$15,0)),0)/30*MAX(1,N(E636)),0))</f>
        <v/>
      </c>
      <c r="I636" s="29">
        <f>IF(OR(D636="",F636=""),"",ROUND(F636*H636,2))</f>
        <v/>
      </c>
      <c r="J636" s="29">
        <f>IF(I636="","",F636-I636)</f>
        <v/>
      </c>
      <c r="K636" s="29">
        <f>IF(J636="","",J636/MAX(1,N(E636)))</f>
        <v/>
      </c>
      <c r="L636" s="37">
        <f>IF(OR(D636="",A636=""),"",A636+IF(AND(Config!$B$17="Sim",LEFT(D636,17)="Cartão de crédito"),1,IFERROR(INDEX(Config!$C$12:$C$15,MATCH(IF(AND(D636="Cartão de crédito",N(E636)&gt;1),"Cartão de crédito parcelado",D636),Config!$A$12:$A$15,0)),0)))</f>
        <v/>
      </c>
      <c r="M636" s="37">
        <f>IF(L636="","",IF(AND(Config!$B$17="Sim",LEFT(D636,17)="Cartão de crédito"),L636,L636+30*(MAX(1,N(E636))-1)))</f>
        <v/>
      </c>
      <c r="N636" s="29">
        <f>IF(OR(L636="",K636=""),"",K636*MIN(MAX(1,N(E636)),MAX(0,INT((Config!$B$8-L636)/30)+1)))</f>
        <v/>
      </c>
      <c r="O636" s="29">
        <f>IF(J636="","",J636-N(N636))</f>
        <v/>
      </c>
      <c r="P636" s="27">
        <f>IF(A636="","",MONTH(A636))</f>
        <v/>
      </c>
      <c r="Q636" s="27">
        <f>IF(A636="","",YEAR(A636))</f>
        <v/>
      </c>
      <c r="R636" s="27">
        <f>IF(L636="","",IF(L636&gt;Config!$B$8,"A cair",IF(N(G636)&gt;=MIN(MAX(1,N(E636)),MAX(0,INT((Config!$B$8-L636)/30)+1)),IF(N(G636)&gt;=MAX(1,N(E636)),"Conferido","Conferido até aqui"),"A conferir")))</f>
        <v/>
      </c>
      <c r="S636" s="51">
        <f>IF(R636="A conferir",(Config!$B$8-L636)*1000+N(F636)/1000+ROW()/100000,0)</f>
        <v>0</v>
      </c>
      <c r="T636" s="51">
        <f>IF(R636="A conferir",N(N636),0)</f>
        <v>0</v>
      </c>
      <c r="U636" s="51">
        <f>IF(L636="",0,L636)</f>
        <v>0</v>
      </c>
      <c r="V636" s="51">
        <f>IF(L636="",0,MAX(1,N(E636)))</f>
        <v>0</v>
      </c>
      <c r="W636" s="51">
        <f>IF(K636="",0,K636)</f>
        <v>0</v>
      </c>
    </row>
    <row r="637">
      <c r="A637" s="49" t="n"/>
      <c r="B637" s="41" t="n"/>
      <c r="C637" s="41" t="n"/>
      <c r="D637" s="42" t="n"/>
      <c r="E637" s="42" t="n"/>
      <c r="F637" s="50" t="n"/>
      <c r="G637" s="42" t="n"/>
      <c r="H637" s="30">
        <f>IF(D637="","",IFERROR(INDEX(Config!$B$12:$B$15,MATCH(IF(AND(D637="Cartão de crédito",N(E637)&gt;1),"Cartão de crédito parcelado",D637),Config!$A$12:$A$15,0)),0)+IF(AND(Config!$B$17="Sim",LEFT(D637,17)="Cartão de crédito"),Config!$B$18*IFERROR(INDEX(Config!$C$12:$C$15,MATCH(IF(AND(D637="Cartão de crédito",N(E637)&gt;1),"Cartão de crédito parcelado",D637),Config!$A$12:$A$15,0)),0)/30*MAX(1,N(E637)),0))</f>
        <v/>
      </c>
      <c r="I637" s="29">
        <f>IF(OR(D637="",F637=""),"",ROUND(F637*H637,2))</f>
        <v/>
      </c>
      <c r="J637" s="29">
        <f>IF(I637="","",F637-I637)</f>
        <v/>
      </c>
      <c r="K637" s="29">
        <f>IF(J637="","",J637/MAX(1,N(E637)))</f>
        <v/>
      </c>
      <c r="L637" s="37">
        <f>IF(OR(D637="",A637=""),"",A637+IF(AND(Config!$B$17="Sim",LEFT(D637,17)="Cartão de crédito"),1,IFERROR(INDEX(Config!$C$12:$C$15,MATCH(IF(AND(D637="Cartão de crédito",N(E637)&gt;1),"Cartão de crédito parcelado",D637),Config!$A$12:$A$15,0)),0)))</f>
        <v/>
      </c>
      <c r="M637" s="37">
        <f>IF(L637="","",IF(AND(Config!$B$17="Sim",LEFT(D637,17)="Cartão de crédito"),L637,L637+30*(MAX(1,N(E637))-1)))</f>
        <v/>
      </c>
      <c r="N637" s="29">
        <f>IF(OR(L637="",K637=""),"",K637*MIN(MAX(1,N(E637)),MAX(0,INT((Config!$B$8-L637)/30)+1)))</f>
        <v/>
      </c>
      <c r="O637" s="29">
        <f>IF(J637="","",J637-N(N637))</f>
        <v/>
      </c>
      <c r="P637" s="27">
        <f>IF(A637="","",MONTH(A637))</f>
        <v/>
      </c>
      <c r="Q637" s="27">
        <f>IF(A637="","",YEAR(A637))</f>
        <v/>
      </c>
      <c r="R637" s="27">
        <f>IF(L637="","",IF(L637&gt;Config!$B$8,"A cair",IF(N(G637)&gt;=MIN(MAX(1,N(E637)),MAX(0,INT((Config!$B$8-L637)/30)+1)),IF(N(G637)&gt;=MAX(1,N(E637)),"Conferido","Conferido até aqui"),"A conferir")))</f>
        <v/>
      </c>
      <c r="S637" s="51">
        <f>IF(R637="A conferir",(Config!$B$8-L637)*1000+N(F637)/1000+ROW()/100000,0)</f>
        <v>0</v>
      </c>
      <c r="T637" s="51">
        <f>IF(R637="A conferir",N(N637),0)</f>
        <v>0</v>
      </c>
      <c r="U637" s="51">
        <f>IF(L637="",0,L637)</f>
        <v>0</v>
      </c>
      <c r="V637" s="51">
        <f>IF(L637="",0,MAX(1,N(E637)))</f>
        <v>0</v>
      </c>
      <c r="W637" s="51">
        <f>IF(K637="",0,K637)</f>
        <v>0</v>
      </c>
    </row>
    <row r="638">
      <c r="A638" s="49" t="n"/>
      <c r="B638" s="41" t="n"/>
      <c r="C638" s="41" t="n"/>
      <c r="D638" s="42" t="n"/>
      <c r="E638" s="42" t="n"/>
      <c r="F638" s="50" t="n"/>
      <c r="G638" s="42" t="n"/>
      <c r="H638" s="30">
        <f>IF(D638="","",IFERROR(INDEX(Config!$B$12:$B$15,MATCH(IF(AND(D638="Cartão de crédito",N(E638)&gt;1),"Cartão de crédito parcelado",D638),Config!$A$12:$A$15,0)),0)+IF(AND(Config!$B$17="Sim",LEFT(D638,17)="Cartão de crédito"),Config!$B$18*IFERROR(INDEX(Config!$C$12:$C$15,MATCH(IF(AND(D638="Cartão de crédito",N(E638)&gt;1),"Cartão de crédito parcelado",D638),Config!$A$12:$A$15,0)),0)/30*MAX(1,N(E638)),0))</f>
        <v/>
      </c>
      <c r="I638" s="29">
        <f>IF(OR(D638="",F638=""),"",ROUND(F638*H638,2))</f>
        <v/>
      </c>
      <c r="J638" s="29">
        <f>IF(I638="","",F638-I638)</f>
        <v/>
      </c>
      <c r="K638" s="29">
        <f>IF(J638="","",J638/MAX(1,N(E638)))</f>
        <v/>
      </c>
      <c r="L638" s="37">
        <f>IF(OR(D638="",A638=""),"",A638+IF(AND(Config!$B$17="Sim",LEFT(D638,17)="Cartão de crédito"),1,IFERROR(INDEX(Config!$C$12:$C$15,MATCH(IF(AND(D638="Cartão de crédito",N(E638)&gt;1),"Cartão de crédito parcelado",D638),Config!$A$12:$A$15,0)),0)))</f>
        <v/>
      </c>
      <c r="M638" s="37">
        <f>IF(L638="","",IF(AND(Config!$B$17="Sim",LEFT(D638,17)="Cartão de crédito"),L638,L638+30*(MAX(1,N(E638))-1)))</f>
        <v/>
      </c>
      <c r="N638" s="29">
        <f>IF(OR(L638="",K638=""),"",K638*MIN(MAX(1,N(E638)),MAX(0,INT((Config!$B$8-L638)/30)+1)))</f>
        <v/>
      </c>
      <c r="O638" s="29">
        <f>IF(J638="","",J638-N(N638))</f>
        <v/>
      </c>
      <c r="P638" s="27">
        <f>IF(A638="","",MONTH(A638))</f>
        <v/>
      </c>
      <c r="Q638" s="27">
        <f>IF(A638="","",YEAR(A638))</f>
        <v/>
      </c>
      <c r="R638" s="27">
        <f>IF(L638="","",IF(L638&gt;Config!$B$8,"A cair",IF(N(G638)&gt;=MIN(MAX(1,N(E638)),MAX(0,INT((Config!$B$8-L638)/30)+1)),IF(N(G638)&gt;=MAX(1,N(E638)),"Conferido","Conferido até aqui"),"A conferir")))</f>
        <v/>
      </c>
      <c r="S638" s="51">
        <f>IF(R638="A conferir",(Config!$B$8-L638)*1000+N(F638)/1000+ROW()/100000,0)</f>
        <v>0</v>
      </c>
      <c r="T638" s="51">
        <f>IF(R638="A conferir",N(N638),0)</f>
        <v>0</v>
      </c>
      <c r="U638" s="51">
        <f>IF(L638="",0,L638)</f>
        <v>0</v>
      </c>
      <c r="V638" s="51">
        <f>IF(L638="",0,MAX(1,N(E638)))</f>
        <v>0</v>
      </c>
      <c r="W638" s="51">
        <f>IF(K638="",0,K638)</f>
        <v>0</v>
      </c>
    </row>
    <row r="639">
      <c r="A639" s="49" t="n"/>
      <c r="B639" s="41" t="n"/>
      <c r="C639" s="41" t="n"/>
      <c r="D639" s="42" t="n"/>
      <c r="E639" s="42" t="n"/>
      <c r="F639" s="50" t="n"/>
      <c r="G639" s="42" t="n"/>
      <c r="H639" s="30">
        <f>IF(D639="","",IFERROR(INDEX(Config!$B$12:$B$15,MATCH(IF(AND(D639="Cartão de crédito",N(E639)&gt;1),"Cartão de crédito parcelado",D639),Config!$A$12:$A$15,0)),0)+IF(AND(Config!$B$17="Sim",LEFT(D639,17)="Cartão de crédito"),Config!$B$18*IFERROR(INDEX(Config!$C$12:$C$15,MATCH(IF(AND(D639="Cartão de crédito",N(E639)&gt;1),"Cartão de crédito parcelado",D639),Config!$A$12:$A$15,0)),0)/30*MAX(1,N(E639)),0))</f>
        <v/>
      </c>
      <c r="I639" s="29">
        <f>IF(OR(D639="",F639=""),"",ROUND(F639*H639,2))</f>
        <v/>
      </c>
      <c r="J639" s="29">
        <f>IF(I639="","",F639-I639)</f>
        <v/>
      </c>
      <c r="K639" s="29">
        <f>IF(J639="","",J639/MAX(1,N(E639)))</f>
        <v/>
      </c>
      <c r="L639" s="37">
        <f>IF(OR(D639="",A639=""),"",A639+IF(AND(Config!$B$17="Sim",LEFT(D639,17)="Cartão de crédito"),1,IFERROR(INDEX(Config!$C$12:$C$15,MATCH(IF(AND(D639="Cartão de crédito",N(E639)&gt;1),"Cartão de crédito parcelado",D639),Config!$A$12:$A$15,0)),0)))</f>
        <v/>
      </c>
      <c r="M639" s="37">
        <f>IF(L639="","",IF(AND(Config!$B$17="Sim",LEFT(D639,17)="Cartão de crédito"),L639,L639+30*(MAX(1,N(E639))-1)))</f>
        <v/>
      </c>
      <c r="N639" s="29">
        <f>IF(OR(L639="",K639=""),"",K639*MIN(MAX(1,N(E639)),MAX(0,INT((Config!$B$8-L639)/30)+1)))</f>
        <v/>
      </c>
      <c r="O639" s="29">
        <f>IF(J639="","",J639-N(N639))</f>
        <v/>
      </c>
      <c r="P639" s="27">
        <f>IF(A639="","",MONTH(A639))</f>
        <v/>
      </c>
      <c r="Q639" s="27">
        <f>IF(A639="","",YEAR(A639))</f>
        <v/>
      </c>
      <c r="R639" s="27">
        <f>IF(L639="","",IF(L639&gt;Config!$B$8,"A cair",IF(N(G639)&gt;=MIN(MAX(1,N(E639)),MAX(0,INT((Config!$B$8-L639)/30)+1)),IF(N(G639)&gt;=MAX(1,N(E639)),"Conferido","Conferido até aqui"),"A conferir")))</f>
        <v/>
      </c>
      <c r="S639" s="51">
        <f>IF(R639="A conferir",(Config!$B$8-L639)*1000+N(F639)/1000+ROW()/100000,0)</f>
        <v>0</v>
      </c>
      <c r="T639" s="51">
        <f>IF(R639="A conferir",N(N639),0)</f>
        <v>0</v>
      </c>
      <c r="U639" s="51">
        <f>IF(L639="",0,L639)</f>
        <v>0</v>
      </c>
      <c r="V639" s="51">
        <f>IF(L639="",0,MAX(1,N(E639)))</f>
        <v>0</v>
      </c>
      <c r="W639" s="51">
        <f>IF(K639="",0,K639)</f>
        <v>0</v>
      </c>
    </row>
    <row r="640">
      <c r="A640" s="49" t="n"/>
      <c r="B640" s="41" t="n"/>
      <c r="C640" s="41" t="n"/>
      <c r="D640" s="42" t="n"/>
      <c r="E640" s="42" t="n"/>
      <c r="F640" s="50" t="n"/>
      <c r="G640" s="42" t="n"/>
      <c r="H640" s="30">
        <f>IF(D640="","",IFERROR(INDEX(Config!$B$12:$B$15,MATCH(IF(AND(D640="Cartão de crédito",N(E640)&gt;1),"Cartão de crédito parcelado",D640),Config!$A$12:$A$15,0)),0)+IF(AND(Config!$B$17="Sim",LEFT(D640,17)="Cartão de crédito"),Config!$B$18*IFERROR(INDEX(Config!$C$12:$C$15,MATCH(IF(AND(D640="Cartão de crédito",N(E640)&gt;1),"Cartão de crédito parcelado",D640),Config!$A$12:$A$15,0)),0)/30*MAX(1,N(E640)),0))</f>
        <v/>
      </c>
      <c r="I640" s="29">
        <f>IF(OR(D640="",F640=""),"",ROUND(F640*H640,2))</f>
        <v/>
      </c>
      <c r="J640" s="29">
        <f>IF(I640="","",F640-I640)</f>
        <v/>
      </c>
      <c r="K640" s="29">
        <f>IF(J640="","",J640/MAX(1,N(E640)))</f>
        <v/>
      </c>
      <c r="L640" s="37">
        <f>IF(OR(D640="",A640=""),"",A640+IF(AND(Config!$B$17="Sim",LEFT(D640,17)="Cartão de crédito"),1,IFERROR(INDEX(Config!$C$12:$C$15,MATCH(IF(AND(D640="Cartão de crédito",N(E640)&gt;1),"Cartão de crédito parcelado",D640),Config!$A$12:$A$15,0)),0)))</f>
        <v/>
      </c>
      <c r="M640" s="37">
        <f>IF(L640="","",IF(AND(Config!$B$17="Sim",LEFT(D640,17)="Cartão de crédito"),L640,L640+30*(MAX(1,N(E640))-1)))</f>
        <v/>
      </c>
      <c r="N640" s="29">
        <f>IF(OR(L640="",K640=""),"",K640*MIN(MAX(1,N(E640)),MAX(0,INT((Config!$B$8-L640)/30)+1)))</f>
        <v/>
      </c>
      <c r="O640" s="29">
        <f>IF(J640="","",J640-N(N640))</f>
        <v/>
      </c>
      <c r="P640" s="27">
        <f>IF(A640="","",MONTH(A640))</f>
        <v/>
      </c>
      <c r="Q640" s="27">
        <f>IF(A640="","",YEAR(A640))</f>
        <v/>
      </c>
      <c r="R640" s="27">
        <f>IF(L640="","",IF(L640&gt;Config!$B$8,"A cair",IF(N(G640)&gt;=MIN(MAX(1,N(E640)),MAX(0,INT((Config!$B$8-L640)/30)+1)),IF(N(G640)&gt;=MAX(1,N(E640)),"Conferido","Conferido até aqui"),"A conferir")))</f>
        <v/>
      </c>
      <c r="S640" s="51">
        <f>IF(R640="A conferir",(Config!$B$8-L640)*1000+N(F640)/1000+ROW()/100000,0)</f>
        <v>0</v>
      </c>
      <c r="T640" s="51">
        <f>IF(R640="A conferir",N(N640),0)</f>
        <v>0</v>
      </c>
      <c r="U640" s="51">
        <f>IF(L640="",0,L640)</f>
        <v>0</v>
      </c>
      <c r="V640" s="51">
        <f>IF(L640="",0,MAX(1,N(E640)))</f>
        <v>0</v>
      </c>
      <c r="W640" s="51">
        <f>IF(K640="",0,K640)</f>
        <v>0</v>
      </c>
    </row>
    <row r="641">
      <c r="A641" s="49" t="n"/>
      <c r="B641" s="41" t="n"/>
      <c r="C641" s="41" t="n"/>
      <c r="D641" s="42" t="n"/>
      <c r="E641" s="42" t="n"/>
      <c r="F641" s="50" t="n"/>
      <c r="G641" s="42" t="n"/>
      <c r="H641" s="30">
        <f>IF(D641="","",IFERROR(INDEX(Config!$B$12:$B$15,MATCH(IF(AND(D641="Cartão de crédito",N(E641)&gt;1),"Cartão de crédito parcelado",D641),Config!$A$12:$A$15,0)),0)+IF(AND(Config!$B$17="Sim",LEFT(D641,17)="Cartão de crédito"),Config!$B$18*IFERROR(INDEX(Config!$C$12:$C$15,MATCH(IF(AND(D641="Cartão de crédito",N(E641)&gt;1),"Cartão de crédito parcelado",D641),Config!$A$12:$A$15,0)),0)/30*MAX(1,N(E641)),0))</f>
        <v/>
      </c>
      <c r="I641" s="29">
        <f>IF(OR(D641="",F641=""),"",ROUND(F641*H641,2))</f>
        <v/>
      </c>
      <c r="J641" s="29">
        <f>IF(I641="","",F641-I641)</f>
        <v/>
      </c>
      <c r="K641" s="29">
        <f>IF(J641="","",J641/MAX(1,N(E641)))</f>
        <v/>
      </c>
      <c r="L641" s="37">
        <f>IF(OR(D641="",A641=""),"",A641+IF(AND(Config!$B$17="Sim",LEFT(D641,17)="Cartão de crédito"),1,IFERROR(INDEX(Config!$C$12:$C$15,MATCH(IF(AND(D641="Cartão de crédito",N(E641)&gt;1),"Cartão de crédito parcelado",D641),Config!$A$12:$A$15,0)),0)))</f>
        <v/>
      </c>
      <c r="M641" s="37">
        <f>IF(L641="","",IF(AND(Config!$B$17="Sim",LEFT(D641,17)="Cartão de crédito"),L641,L641+30*(MAX(1,N(E641))-1)))</f>
        <v/>
      </c>
      <c r="N641" s="29">
        <f>IF(OR(L641="",K641=""),"",K641*MIN(MAX(1,N(E641)),MAX(0,INT((Config!$B$8-L641)/30)+1)))</f>
        <v/>
      </c>
      <c r="O641" s="29">
        <f>IF(J641="","",J641-N(N641))</f>
        <v/>
      </c>
      <c r="P641" s="27">
        <f>IF(A641="","",MONTH(A641))</f>
        <v/>
      </c>
      <c r="Q641" s="27">
        <f>IF(A641="","",YEAR(A641))</f>
        <v/>
      </c>
      <c r="R641" s="27">
        <f>IF(L641="","",IF(L641&gt;Config!$B$8,"A cair",IF(N(G641)&gt;=MIN(MAX(1,N(E641)),MAX(0,INT((Config!$B$8-L641)/30)+1)),IF(N(G641)&gt;=MAX(1,N(E641)),"Conferido","Conferido até aqui"),"A conferir")))</f>
        <v/>
      </c>
      <c r="S641" s="51">
        <f>IF(R641="A conferir",(Config!$B$8-L641)*1000+N(F641)/1000+ROW()/100000,0)</f>
        <v>0</v>
      </c>
      <c r="T641" s="51">
        <f>IF(R641="A conferir",N(N641),0)</f>
        <v>0</v>
      </c>
      <c r="U641" s="51">
        <f>IF(L641="",0,L641)</f>
        <v>0</v>
      </c>
      <c r="V641" s="51">
        <f>IF(L641="",0,MAX(1,N(E641)))</f>
        <v>0</v>
      </c>
      <c r="W641" s="51">
        <f>IF(K641="",0,K641)</f>
        <v>0</v>
      </c>
    </row>
    <row r="642">
      <c r="A642" s="49" t="n"/>
      <c r="B642" s="41" t="n"/>
      <c r="C642" s="41" t="n"/>
      <c r="D642" s="42" t="n"/>
      <c r="E642" s="42" t="n"/>
      <c r="F642" s="50" t="n"/>
      <c r="G642" s="42" t="n"/>
      <c r="H642" s="30">
        <f>IF(D642="","",IFERROR(INDEX(Config!$B$12:$B$15,MATCH(IF(AND(D642="Cartão de crédito",N(E642)&gt;1),"Cartão de crédito parcelado",D642),Config!$A$12:$A$15,0)),0)+IF(AND(Config!$B$17="Sim",LEFT(D642,17)="Cartão de crédito"),Config!$B$18*IFERROR(INDEX(Config!$C$12:$C$15,MATCH(IF(AND(D642="Cartão de crédito",N(E642)&gt;1),"Cartão de crédito parcelado",D642),Config!$A$12:$A$15,0)),0)/30*MAX(1,N(E642)),0))</f>
        <v/>
      </c>
      <c r="I642" s="29">
        <f>IF(OR(D642="",F642=""),"",ROUND(F642*H642,2))</f>
        <v/>
      </c>
      <c r="J642" s="29">
        <f>IF(I642="","",F642-I642)</f>
        <v/>
      </c>
      <c r="K642" s="29">
        <f>IF(J642="","",J642/MAX(1,N(E642)))</f>
        <v/>
      </c>
      <c r="L642" s="37">
        <f>IF(OR(D642="",A642=""),"",A642+IF(AND(Config!$B$17="Sim",LEFT(D642,17)="Cartão de crédito"),1,IFERROR(INDEX(Config!$C$12:$C$15,MATCH(IF(AND(D642="Cartão de crédito",N(E642)&gt;1),"Cartão de crédito parcelado",D642),Config!$A$12:$A$15,0)),0)))</f>
        <v/>
      </c>
      <c r="M642" s="37">
        <f>IF(L642="","",IF(AND(Config!$B$17="Sim",LEFT(D642,17)="Cartão de crédito"),L642,L642+30*(MAX(1,N(E642))-1)))</f>
        <v/>
      </c>
      <c r="N642" s="29">
        <f>IF(OR(L642="",K642=""),"",K642*MIN(MAX(1,N(E642)),MAX(0,INT((Config!$B$8-L642)/30)+1)))</f>
        <v/>
      </c>
      <c r="O642" s="29">
        <f>IF(J642="","",J642-N(N642))</f>
        <v/>
      </c>
      <c r="P642" s="27">
        <f>IF(A642="","",MONTH(A642))</f>
        <v/>
      </c>
      <c r="Q642" s="27">
        <f>IF(A642="","",YEAR(A642))</f>
        <v/>
      </c>
      <c r="R642" s="27">
        <f>IF(L642="","",IF(L642&gt;Config!$B$8,"A cair",IF(N(G642)&gt;=MIN(MAX(1,N(E642)),MAX(0,INT((Config!$B$8-L642)/30)+1)),IF(N(G642)&gt;=MAX(1,N(E642)),"Conferido","Conferido até aqui"),"A conferir")))</f>
        <v/>
      </c>
      <c r="S642" s="51">
        <f>IF(R642="A conferir",(Config!$B$8-L642)*1000+N(F642)/1000+ROW()/100000,0)</f>
        <v>0</v>
      </c>
      <c r="T642" s="51">
        <f>IF(R642="A conferir",N(N642),0)</f>
        <v>0</v>
      </c>
      <c r="U642" s="51">
        <f>IF(L642="",0,L642)</f>
        <v>0</v>
      </c>
      <c r="V642" s="51">
        <f>IF(L642="",0,MAX(1,N(E642)))</f>
        <v>0</v>
      </c>
      <c r="W642" s="51">
        <f>IF(K642="",0,K642)</f>
        <v>0</v>
      </c>
    </row>
    <row r="643">
      <c r="A643" s="49" t="n"/>
      <c r="B643" s="41" t="n"/>
      <c r="C643" s="41" t="n"/>
      <c r="D643" s="42" t="n"/>
      <c r="E643" s="42" t="n"/>
      <c r="F643" s="50" t="n"/>
      <c r="G643" s="42" t="n"/>
      <c r="H643" s="30">
        <f>IF(D643="","",IFERROR(INDEX(Config!$B$12:$B$15,MATCH(IF(AND(D643="Cartão de crédito",N(E643)&gt;1),"Cartão de crédito parcelado",D643),Config!$A$12:$A$15,0)),0)+IF(AND(Config!$B$17="Sim",LEFT(D643,17)="Cartão de crédito"),Config!$B$18*IFERROR(INDEX(Config!$C$12:$C$15,MATCH(IF(AND(D643="Cartão de crédito",N(E643)&gt;1),"Cartão de crédito parcelado",D643),Config!$A$12:$A$15,0)),0)/30*MAX(1,N(E643)),0))</f>
        <v/>
      </c>
      <c r="I643" s="29">
        <f>IF(OR(D643="",F643=""),"",ROUND(F643*H643,2))</f>
        <v/>
      </c>
      <c r="J643" s="29">
        <f>IF(I643="","",F643-I643)</f>
        <v/>
      </c>
      <c r="K643" s="29">
        <f>IF(J643="","",J643/MAX(1,N(E643)))</f>
        <v/>
      </c>
      <c r="L643" s="37">
        <f>IF(OR(D643="",A643=""),"",A643+IF(AND(Config!$B$17="Sim",LEFT(D643,17)="Cartão de crédito"),1,IFERROR(INDEX(Config!$C$12:$C$15,MATCH(IF(AND(D643="Cartão de crédito",N(E643)&gt;1),"Cartão de crédito parcelado",D643),Config!$A$12:$A$15,0)),0)))</f>
        <v/>
      </c>
      <c r="M643" s="37">
        <f>IF(L643="","",IF(AND(Config!$B$17="Sim",LEFT(D643,17)="Cartão de crédito"),L643,L643+30*(MAX(1,N(E643))-1)))</f>
        <v/>
      </c>
      <c r="N643" s="29">
        <f>IF(OR(L643="",K643=""),"",K643*MIN(MAX(1,N(E643)),MAX(0,INT((Config!$B$8-L643)/30)+1)))</f>
        <v/>
      </c>
      <c r="O643" s="29">
        <f>IF(J643="","",J643-N(N643))</f>
        <v/>
      </c>
      <c r="P643" s="27">
        <f>IF(A643="","",MONTH(A643))</f>
        <v/>
      </c>
      <c r="Q643" s="27">
        <f>IF(A643="","",YEAR(A643))</f>
        <v/>
      </c>
      <c r="R643" s="27">
        <f>IF(L643="","",IF(L643&gt;Config!$B$8,"A cair",IF(N(G643)&gt;=MIN(MAX(1,N(E643)),MAX(0,INT((Config!$B$8-L643)/30)+1)),IF(N(G643)&gt;=MAX(1,N(E643)),"Conferido","Conferido até aqui"),"A conferir")))</f>
        <v/>
      </c>
      <c r="S643" s="51">
        <f>IF(R643="A conferir",(Config!$B$8-L643)*1000+N(F643)/1000+ROW()/100000,0)</f>
        <v>0</v>
      </c>
      <c r="T643" s="51">
        <f>IF(R643="A conferir",N(N643),0)</f>
        <v>0</v>
      </c>
      <c r="U643" s="51">
        <f>IF(L643="",0,L643)</f>
        <v>0</v>
      </c>
      <c r="V643" s="51">
        <f>IF(L643="",0,MAX(1,N(E643)))</f>
        <v>0</v>
      </c>
      <c r="W643" s="51">
        <f>IF(K643="",0,K643)</f>
        <v>0</v>
      </c>
    </row>
    <row r="644">
      <c r="A644" s="49" t="n"/>
      <c r="B644" s="41" t="n"/>
      <c r="C644" s="41" t="n"/>
      <c r="D644" s="42" t="n"/>
      <c r="E644" s="42" t="n"/>
      <c r="F644" s="50" t="n"/>
      <c r="G644" s="42" t="n"/>
      <c r="H644" s="30">
        <f>IF(D644="","",IFERROR(INDEX(Config!$B$12:$B$15,MATCH(IF(AND(D644="Cartão de crédito",N(E644)&gt;1),"Cartão de crédito parcelado",D644),Config!$A$12:$A$15,0)),0)+IF(AND(Config!$B$17="Sim",LEFT(D644,17)="Cartão de crédito"),Config!$B$18*IFERROR(INDEX(Config!$C$12:$C$15,MATCH(IF(AND(D644="Cartão de crédito",N(E644)&gt;1),"Cartão de crédito parcelado",D644),Config!$A$12:$A$15,0)),0)/30*MAX(1,N(E644)),0))</f>
        <v/>
      </c>
      <c r="I644" s="29">
        <f>IF(OR(D644="",F644=""),"",ROUND(F644*H644,2))</f>
        <v/>
      </c>
      <c r="J644" s="29">
        <f>IF(I644="","",F644-I644)</f>
        <v/>
      </c>
      <c r="K644" s="29">
        <f>IF(J644="","",J644/MAX(1,N(E644)))</f>
        <v/>
      </c>
      <c r="L644" s="37">
        <f>IF(OR(D644="",A644=""),"",A644+IF(AND(Config!$B$17="Sim",LEFT(D644,17)="Cartão de crédito"),1,IFERROR(INDEX(Config!$C$12:$C$15,MATCH(IF(AND(D644="Cartão de crédito",N(E644)&gt;1),"Cartão de crédito parcelado",D644),Config!$A$12:$A$15,0)),0)))</f>
        <v/>
      </c>
      <c r="M644" s="37">
        <f>IF(L644="","",IF(AND(Config!$B$17="Sim",LEFT(D644,17)="Cartão de crédito"),L644,L644+30*(MAX(1,N(E644))-1)))</f>
        <v/>
      </c>
      <c r="N644" s="29">
        <f>IF(OR(L644="",K644=""),"",K644*MIN(MAX(1,N(E644)),MAX(0,INT((Config!$B$8-L644)/30)+1)))</f>
        <v/>
      </c>
      <c r="O644" s="29">
        <f>IF(J644="","",J644-N(N644))</f>
        <v/>
      </c>
      <c r="P644" s="27">
        <f>IF(A644="","",MONTH(A644))</f>
        <v/>
      </c>
      <c r="Q644" s="27">
        <f>IF(A644="","",YEAR(A644))</f>
        <v/>
      </c>
      <c r="R644" s="27">
        <f>IF(L644="","",IF(L644&gt;Config!$B$8,"A cair",IF(N(G644)&gt;=MIN(MAX(1,N(E644)),MAX(0,INT((Config!$B$8-L644)/30)+1)),IF(N(G644)&gt;=MAX(1,N(E644)),"Conferido","Conferido até aqui"),"A conferir")))</f>
        <v/>
      </c>
      <c r="S644" s="51">
        <f>IF(R644="A conferir",(Config!$B$8-L644)*1000+N(F644)/1000+ROW()/100000,0)</f>
        <v>0</v>
      </c>
      <c r="T644" s="51">
        <f>IF(R644="A conferir",N(N644),0)</f>
        <v>0</v>
      </c>
      <c r="U644" s="51">
        <f>IF(L644="",0,L644)</f>
        <v>0</v>
      </c>
      <c r="V644" s="51">
        <f>IF(L644="",0,MAX(1,N(E644)))</f>
        <v>0</v>
      </c>
      <c r="W644" s="51">
        <f>IF(K644="",0,K644)</f>
        <v>0</v>
      </c>
    </row>
    <row r="645">
      <c r="A645" s="49" t="n"/>
      <c r="B645" s="41" t="n"/>
      <c r="C645" s="41" t="n"/>
      <c r="D645" s="42" t="n"/>
      <c r="E645" s="42" t="n"/>
      <c r="F645" s="50" t="n"/>
      <c r="G645" s="42" t="n"/>
      <c r="H645" s="30">
        <f>IF(D645="","",IFERROR(INDEX(Config!$B$12:$B$15,MATCH(IF(AND(D645="Cartão de crédito",N(E645)&gt;1),"Cartão de crédito parcelado",D645),Config!$A$12:$A$15,0)),0)+IF(AND(Config!$B$17="Sim",LEFT(D645,17)="Cartão de crédito"),Config!$B$18*IFERROR(INDEX(Config!$C$12:$C$15,MATCH(IF(AND(D645="Cartão de crédito",N(E645)&gt;1),"Cartão de crédito parcelado",D645),Config!$A$12:$A$15,0)),0)/30*MAX(1,N(E645)),0))</f>
        <v/>
      </c>
      <c r="I645" s="29">
        <f>IF(OR(D645="",F645=""),"",ROUND(F645*H645,2))</f>
        <v/>
      </c>
      <c r="J645" s="29">
        <f>IF(I645="","",F645-I645)</f>
        <v/>
      </c>
      <c r="K645" s="29">
        <f>IF(J645="","",J645/MAX(1,N(E645)))</f>
        <v/>
      </c>
      <c r="L645" s="37">
        <f>IF(OR(D645="",A645=""),"",A645+IF(AND(Config!$B$17="Sim",LEFT(D645,17)="Cartão de crédito"),1,IFERROR(INDEX(Config!$C$12:$C$15,MATCH(IF(AND(D645="Cartão de crédito",N(E645)&gt;1),"Cartão de crédito parcelado",D645),Config!$A$12:$A$15,0)),0)))</f>
        <v/>
      </c>
      <c r="M645" s="37">
        <f>IF(L645="","",IF(AND(Config!$B$17="Sim",LEFT(D645,17)="Cartão de crédito"),L645,L645+30*(MAX(1,N(E645))-1)))</f>
        <v/>
      </c>
      <c r="N645" s="29">
        <f>IF(OR(L645="",K645=""),"",K645*MIN(MAX(1,N(E645)),MAX(0,INT((Config!$B$8-L645)/30)+1)))</f>
        <v/>
      </c>
      <c r="O645" s="29">
        <f>IF(J645="","",J645-N(N645))</f>
        <v/>
      </c>
      <c r="P645" s="27">
        <f>IF(A645="","",MONTH(A645))</f>
        <v/>
      </c>
      <c r="Q645" s="27">
        <f>IF(A645="","",YEAR(A645))</f>
        <v/>
      </c>
      <c r="R645" s="27">
        <f>IF(L645="","",IF(L645&gt;Config!$B$8,"A cair",IF(N(G645)&gt;=MIN(MAX(1,N(E645)),MAX(0,INT((Config!$B$8-L645)/30)+1)),IF(N(G645)&gt;=MAX(1,N(E645)),"Conferido","Conferido até aqui"),"A conferir")))</f>
        <v/>
      </c>
      <c r="S645" s="51">
        <f>IF(R645="A conferir",(Config!$B$8-L645)*1000+N(F645)/1000+ROW()/100000,0)</f>
        <v>0</v>
      </c>
      <c r="T645" s="51">
        <f>IF(R645="A conferir",N(N645),0)</f>
        <v>0</v>
      </c>
      <c r="U645" s="51">
        <f>IF(L645="",0,L645)</f>
        <v>0</v>
      </c>
      <c r="V645" s="51">
        <f>IF(L645="",0,MAX(1,N(E645)))</f>
        <v>0</v>
      </c>
      <c r="W645" s="51">
        <f>IF(K645="",0,K645)</f>
        <v>0</v>
      </c>
    </row>
    <row r="646">
      <c r="A646" s="49" t="n"/>
      <c r="B646" s="41" t="n"/>
      <c r="C646" s="41" t="n"/>
      <c r="D646" s="42" t="n"/>
      <c r="E646" s="42" t="n"/>
      <c r="F646" s="50" t="n"/>
      <c r="G646" s="42" t="n"/>
      <c r="H646" s="30">
        <f>IF(D646="","",IFERROR(INDEX(Config!$B$12:$B$15,MATCH(IF(AND(D646="Cartão de crédito",N(E646)&gt;1),"Cartão de crédito parcelado",D646),Config!$A$12:$A$15,0)),0)+IF(AND(Config!$B$17="Sim",LEFT(D646,17)="Cartão de crédito"),Config!$B$18*IFERROR(INDEX(Config!$C$12:$C$15,MATCH(IF(AND(D646="Cartão de crédito",N(E646)&gt;1),"Cartão de crédito parcelado",D646),Config!$A$12:$A$15,0)),0)/30*MAX(1,N(E646)),0))</f>
        <v/>
      </c>
      <c r="I646" s="29">
        <f>IF(OR(D646="",F646=""),"",ROUND(F646*H646,2))</f>
        <v/>
      </c>
      <c r="J646" s="29">
        <f>IF(I646="","",F646-I646)</f>
        <v/>
      </c>
      <c r="K646" s="29">
        <f>IF(J646="","",J646/MAX(1,N(E646)))</f>
        <v/>
      </c>
      <c r="L646" s="37">
        <f>IF(OR(D646="",A646=""),"",A646+IF(AND(Config!$B$17="Sim",LEFT(D646,17)="Cartão de crédito"),1,IFERROR(INDEX(Config!$C$12:$C$15,MATCH(IF(AND(D646="Cartão de crédito",N(E646)&gt;1),"Cartão de crédito parcelado",D646),Config!$A$12:$A$15,0)),0)))</f>
        <v/>
      </c>
      <c r="M646" s="37">
        <f>IF(L646="","",IF(AND(Config!$B$17="Sim",LEFT(D646,17)="Cartão de crédito"),L646,L646+30*(MAX(1,N(E646))-1)))</f>
        <v/>
      </c>
      <c r="N646" s="29">
        <f>IF(OR(L646="",K646=""),"",K646*MIN(MAX(1,N(E646)),MAX(0,INT((Config!$B$8-L646)/30)+1)))</f>
        <v/>
      </c>
      <c r="O646" s="29">
        <f>IF(J646="","",J646-N(N646))</f>
        <v/>
      </c>
      <c r="P646" s="27">
        <f>IF(A646="","",MONTH(A646))</f>
        <v/>
      </c>
      <c r="Q646" s="27">
        <f>IF(A646="","",YEAR(A646))</f>
        <v/>
      </c>
      <c r="R646" s="27">
        <f>IF(L646="","",IF(L646&gt;Config!$B$8,"A cair",IF(N(G646)&gt;=MIN(MAX(1,N(E646)),MAX(0,INT((Config!$B$8-L646)/30)+1)),IF(N(G646)&gt;=MAX(1,N(E646)),"Conferido","Conferido até aqui"),"A conferir")))</f>
        <v/>
      </c>
      <c r="S646" s="51">
        <f>IF(R646="A conferir",(Config!$B$8-L646)*1000+N(F646)/1000+ROW()/100000,0)</f>
        <v>0</v>
      </c>
      <c r="T646" s="51">
        <f>IF(R646="A conferir",N(N646),0)</f>
        <v>0</v>
      </c>
      <c r="U646" s="51">
        <f>IF(L646="",0,L646)</f>
        <v>0</v>
      </c>
      <c r="V646" s="51">
        <f>IF(L646="",0,MAX(1,N(E646)))</f>
        <v>0</v>
      </c>
      <c r="W646" s="51">
        <f>IF(K646="",0,K646)</f>
        <v>0</v>
      </c>
    </row>
    <row r="647">
      <c r="A647" s="49" t="n"/>
      <c r="B647" s="41" t="n"/>
      <c r="C647" s="41" t="n"/>
      <c r="D647" s="42" t="n"/>
      <c r="E647" s="42" t="n"/>
      <c r="F647" s="50" t="n"/>
      <c r="G647" s="42" t="n"/>
      <c r="H647" s="30">
        <f>IF(D647="","",IFERROR(INDEX(Config!$B$12:$B$15,MATCH(IF(AND(D647="Cartão de crédito",N(E647)&gt;1),"Cartão de crédito parcelado",D647),Config!$A$12:$A$15,0)),0)+IF(AND(Config!$B$17="Sim",LEFT(D647,17)="Cartão de crédito"),Config!$B$18*IFERROR(INDEX(Config!$C$12:$C$15,MATCH(IF(AND(D647="Cartão de crédito",N(E647)&gt;1),"Cartão de crédito parcelado",D647),Config!$A$12:$A$15,0)),0)/30*MAX(1,N(E647)),0))</f>
        <v/>
      </c>
      <c r="I647" s="29">
        <f>IF(OR(D647="",F647=""),"",ROUND(F647*H647,2))</f>
        <v/>
      </c>
      <c r="J647" s="29">
        <f>IF(I647="","",F647-I647)</f>
        <v/>
      </c>
      <c r="K647" s="29">
        <f>IF(J647="","",J647/MAX(1,N(E647)))</f>
        <v/>
      </c>
      <c r="L647" s="37">
        <f>IF(OR(D647="",A647=""),"",A647+IF(AND(Config!$B$17="Sim",LEFT(D647,17)="Cartão de crédito"),1,IFERROR(INDEX(Config!$C$12:$C$15,MATCH(IF(AND(D647="Cartão de crédito",N(E647)&gt;1),"Cartão de crédito parcelado",D647),Config!$A$12:$A$15,0)),0)))</f>
        <v/>
      </c>
      <c r="M647" s="37">
        <f>IF(L647="","",IF(AND(Config!$B$17="Sim",LEFT(D647,17)="Cartão de crédito"),L647,L647+30*(MAX(1,N(E647))-1)))</f>
        <v/>
      </c>
      <c r="N647" s="29">
        <f>IF(OR(L647="",K647=""),"",K647*MIN(MAX(1,N(E647)),MAX(0,INT((Config!$B$8-L647)/30)+1)))</f>
        <v/>
      </c>
      <c r="O647" s="29">
        <f>IF(J647="","",J647-N(N647))</f>
        <v/>
      </c>
      <c r="P647" s="27">
        <f>IF(A647="","",MONTH(A647))</f>
        <v/>
      </c>
      <c r="Q647" s="27">
        <f>IF(A647="","",YEAR(A647))</f>
        <v/>
      </c>
      <c r="R647" s="27">
        <f>IF(L647="","",IF(L647&gt;Config!$B$8,"A cair",IF(N(G647)&gt;=MIN(MAX(1,N(E647)),MAX(0,INT((Config!$B$8-L647)/30)+1)),IF(N(G647)&gt;=MAX(1,N(E647)),"Conferido","Conferido até aqui"),"A conferir")))</f>
        <v/>
      </c>
      <c r="S647" s="51">
        <f>IF(R647="A conferir",(Config!$B$8-L647)*1000+N(F647)/1000+ROW()/100000,0)</f>
        <v>0</v>
      </c>
      <c r="T647" s="51">
        <f>IF(R647="A conferir",N(N647),0)</f>
        <v>0</v>
      </c>
      <c r="U647" s="51">
        <f>IF(L647="",0,L647)</f>
        <v>0</v>
      </c>
      <c r="V647" s="51">
        <f>IF(L647="",0,MAX(1,N(E647)))</f>
        <v>0</v>
      </c>
      <c r="W647" s="51">
        <f>IF(K647="",0,K647)</f>
        <v>0</v>
      </c>
    </row>
    <row r="648">
      <c r="A648" s="49" t="n"/>
      <c r="B648" s="41" t="n"/>
      <c r="C648" s="41" t="n"/>
      <c r="D648" s="42" t="n"/>
      <c r="E648" s="42" t="n"/>
      <c r="F648" s="50" t="n"/>
      <c r="G648" s="42" t="n"/>
      <c r="H648" s="30">
        <f>IF(D648="","",IFERROR(INDEX(Config!$B$12:$B$15,MATCH(IF(AND(D648="Cartão de crédito",N(E648)&gt;1),"Cartão de crédito parcelado",D648),Config!$A$12:$A$15,0)),0)+IF(AND(Config!$B$17="Sim",LEFT(D648,17)="Cartão de crédito"),Config!$B$18*IFERROR(INDEX(Config!$C$12:$C$15,MATCH(IF(AND(D648="Cartão de crédito",N(E648)&gt;1),"Cartão de crédito parcelado",D648),Config!$A$12:$A$15,0)),0)/30*MAX(1,N(E648)),0))</f>
        <v/>
      </c>
      <c r="I648" s="29">
        <f>IF(OR(D648="",F648=""),"",ROUND(F648*H648,2))</f>
        <v/>
      </c>
      <c r="J648" s="29">
        <f>IF(I648="","",F648-I648)</f>
        <v/>
      </c>
      <c r="K648" s="29">
        <f>IF(J648="","",J648/MAX(1,N(E648)))</f>
        <v/>
      </c>
      <c r="L648" s="37">
        <f>IF(OR(D648="",A648=""),"",A648+IF(AND(Config!$B$17="Sim",LEFT(D648,17)="Cartão de crédito"),1,IFERROR(INDEX(Config!$C$12:$C$15,MATCH(IF(AND(D648="Cartão de crédito",N(E648)&gt;1),"Cartão de crédito parcelado",D648),Config!$A$12:$A$15,0)),0)))</f>
        <v/>
      </c>
      <c r="M648" s="37">
        <f>IF(L648="","",IF(AND(Config!$B$17="Sim",LEFT(D648,17)="Cartão de crédito"),L648,L648+30*(MAX(1,N(E648))-1)))</f>
        <v/>
      </c>
      <c r="N648" s="29">
        <f>IF(OR(L648="",K648=""),"",K648*MIN(MAX(1,N(E648)),MAX(0,INT((Config!$B$8-L648)/30)+1)))</f>
        <v/>
      </c>
      <c r="O648" s="29">
        <f>IF(J648="","",J648-N(N648))</f>
        <v/>
      </c>
      <c r="P648" s="27">
        <f>IF(A648="","",MONTH(A648))</f>
        <v/>
      </c>
      <c r="Q648" s="27">
        <f>IF(A648="","",YEAR(A648))</f>
        <v/>
      </c>
      <c r="R648" s="27">
        <f>IF(L648="","",IF(L648&gt;Config!$B$8,"A cair",IF(N(G648)&gt;=MIN(MAX(1,N(E648)),MAX(0,INT((Config!$B$8-L648)/30)+1)),IF(N(G648)&gt;=MAX(1,N(E648)),"Conferido","Conferido até aqui"),"A conferir")))</f>
        <v/>
      </c>
      <c r="S648" s="51">
        <f>IF(R648="A conferir",(Config!$B$8-L648)*1000+N(F648)/1000+ROW()/100000,0)</f>
        <v>0</v>
      </c>
      <c r="T648" s="51">
        <f>IF(R648="A conferir",N(N648),0)</f>
        <v>0</v>
      </c>
      <c r="U648" s="51">
        <f>IF(L648="",0,L648)</f>
        <v>0</v>
      </c>
      <c r="V648" s="51">
        <f>IF(L648="",0,MAX(1,N(E648)))</f>
        <v>0</v>
      </c>
      <c r="W648" s="51">
        <f>IF(K648="",0,K648)</f>
        <v>0</v>
      </c>
    </row>
    <row r="649">
      <c r="A649" s="49" t="n"/>
      <c r="B649" s="41" t="n"/>
      <c r="C649" s="41" t="n"/>
      <c r="D649" s="42" t="n"/>
      <c r="E649" s="42" t="n"/>
      <c r="F649" s="50" t="n"/>
      <c r="G649" s="42" t="n"/>
      <c r="H649" s="30">
        <f>IF(D649="","",IFERROR(INDEX(Config!$B$12:$B$15,MATCH(IF(AND(D649="Cartão de crédito",N(E649)&gt;1),"Cartão de crédito parcelado",D649),Config!$A$12:$A$15,0)),0)+IF(AND(Config!$B$17="Sim",LEFT(D649,17)="Cartão de crédito"),Config!$B$18*IFERROR(INDEX(Config!$C$12:$C$15,MATCH(IF(AND(D649="Cartão de crédito",N(E649)&gt;1),"Cartão de crédito parcelado",D649),Config!$A$12:$A$15,0)),0)/30*MAX(1,N(E649)),0))</f>
        <v/>
      </c>
      <c r="I649" s="29">
        <f>IF(OR(D649="",F649=""),"",ROUND(F649*H649,2))</f>
        <v/>
      </c>
      <c r="J649" s="29">
        <f>IF(I649="","",F649-I649)</f>
        <v/>
      </c>
      <c r="K649" s="29">
        <f>IF(J649="","",J649/MAX(1,N(E649)))</f>
        <v/>
      </c>
      <c r="L649" s="37">
        <f>IF(OR(D649="",A649=""),"",A649+IF(AND(Config!$B$17="Sim",LEFT(D649,17)="Cartão de crédito"),1,IFERROR(INDEX(Config!$C$12:$C$15,MATCH(IF(AND(D649="Cartão de crédito",N(E649)&gt;1),"Cartão de crédito parcelado",D649),Config!$A$12:$A$15,0)),0)))</f>
        <v/>
      </c>
      <c r="M649" s="37">
        <f>IF(L649="","",IF(AND(Config!$B$17="Sim",LEFT(D649,17)="Cartão de crédito"),L649,L649+30*(MAX(1,N(E649))-1)))</f>
        <v/>
      </c>
      <c r="N649" s="29">
        <f>IF(OR(L649="",K649=""),"",K649*MIN(MAX(1,N(E649)),MAX(0,INT((Config!$B$8-L649)/30)+1)))</f>
        <v/>
      </c>
      <c r="O649" s="29">
        <f>IF(J649="","",J649-N(N649))</f>
        <v/>
      </c>
      <c r="P649" s="27">
        <f>IF(A649="","",MONTH(A649))</f>
        <v/>
      </c>
      <c r="Q649" s="27">
        <f>IF(A649="","",YEAR(A649))</f>
        <v/>
      </c>
      <c r="R649" s="27">
        <f>IF(L649="","",IF(L649&gt;Config!$B$8,"A cair",IF(N(G649)&gt;=MIN(MAX(1,N(E649)),MAX(0,INT((Config!$B$8-L649)/30)+1)),IF(N(G649)&gt;=MAX(1,N(E649)),"Conferido","Conferido até aqui"),"A conferir")))</f>
        <v/>
      </c>
      <c r="S649" s="51">
        <f>IF(R649="A conferir",(Config!$B$8-L649)*1000+N(F649)/1000+ROW()/100000,0)</f>
        <v>0</v>
      </c>
      <c r="T649" s="51">
        <f>IF(R649="A conferir",N(N649),0)</f>
        <v>0</v>
      </c>
      <c r="U649" s="51">
        <f>IF(L649="",0,L649)</f>
        <v>0</v>
      </c>
      <c r="V649" s="51">
        <f>IF(L649="",0,MAX(1,N(E649)))</f>
        <v>0</v>
      </c>
      <c r="W649" s="51">
        <f>IF(K649="",0,K649)</f>
        <v>0</v>
      </c>
    </row>
    <row r="650">
      <c r="A650" s="49" t="n"/>
      <c r="B650" s="41" t="n"/>
      <c r="C650" s="41" t="n"/>
      <c r="D650" s="42" t="n"/>
      <c r="E650" s="42" t="n"/>
      <c r="F650" s="50" t="n"/>
      <c r="G650" s="42" t="n"/>
      <c r="H650" s="30">
        <f>IF(D650="","",IFERROR(INDEX(Config!$B$12:$B$15,MATCH(IF(AND(D650="Cartão de crédito",N(E650)&gt;1),"Cartão de crédito parcelado",D650),Config!$A$12:$A$15,0)),0)+IF(AND(Config!$B$17="Sim",LEFT(D650,17)="Cartão de crédito"),Config!$B$18*IFERROR(INDEX(Config!$C$12:$C$15,MATCH(IF(AND(D650="Cartão de crédito",N(E650)&gt;1),"Cartão de crédito parcelado",D650),Config!$A$12:$A$15,0)),0)/30*MAX(1,N(E650)),0))</f>
        <v/>
      </c>
      <c r="I650" s="29">
        <f>IF(OR(D650="",F650=""),"",ROUND(F650*H650,2))</f>
        <v/>
      </c>
      <c r="J650" s="29">
        <f>IF(I650="","",F650-I650)</f>
        <v/>
      </c>
      <c r="K650" s="29">
        <f>IF(J650="","",J650/MAX(1,N(E650)))</f>
        <v/>
      </c>
      <c r="L650" s="37">
        <f>IF(OR(D650="",A650=""),"",A650+IF(AND(Config!$B$17="Sim",LEFT(D650,17)="Cartão de crédito"),1,IFERROR(INDEX(Config!$C$12:$C$15,MATCH(IF(AND(D650="Cartão de crédito",N(E650)&gt;1),"Cartão de crédito parcelado",D650),Config!$A$12:$A$15,0)),0)))</f>
        <v/>
      </c>
      <c r="M650" s="37">
        <f>IF(L650="","",IF(AND(Config!$B$17="Sim",LEFT(D650,17)="Cartão de crédito"),L650,L650+30*(MAX(1,N(E650))-1)))</f>
        <v/>
      </c>
      <c r="N650" s="29">
        <f>IF(OR(L650="",K650=""),"",K650*MIN(MAX(1,N(E650)),MAX(0,INT((Config!$B$8-L650)/30)+1)))</f>
        <v/>
      </c>
      <c r="O650" s="29">
        <f>IF(J650="","",J650-N(N650))</f>
        <v/>
      </c>
      <c r="P650" s="27">
        <f>IF(A650="","",MONTH(A650))</f>
        <v/>
      </c>
      <c r="Q650" s="27">
        <f>IF(A650="","",YEAR(A650))</f>
        <v/>
      </c>
      <c r="R650" s="27">
        <f>IF(L650="","",IF(L650&gt;Config!$B$8,"A cair",IF(N(G650)&gt;=MIN(MAX(1,N(E650)),MAX(0,INT((Config!$B$8-L650)/30)+1)),IF(N(G650)&gt;=MAX(1,N(E650)),"Conferido","Conferido até aqui"),"A conferir")))</f>
        <v/>
      </c>
      <c r="S650" s="51">
        <f>IF(R650="A conferir",(Config!$B$8-L650)*1000+N(F650)/1000+ROW()/100000,0)</f>
        <v>0</v>
      </c>
      <c r="T650" s="51">
        <f>IF(R650="A conferir",N(N650),0)</f>
        <v>0</v>
      </c>
      <c r="U650" s="51">
        <f>IF(L650="",0,L650)</f>
        <v>0</v>
      </c>
      <c r="V650" s="51">
        <f>IF(L650="",0,MAX(1,N(E650)))</f>
        <v>0</v>
      </c>
      <c r="W650" s="51">
        <f>IF(K650="",0,K650)</f>
        <v>0</v>
      </c>
    </row>
    <row r="651">
      <c r="A651" s="49" t="n"/>
      <c r="B651" s="41" t="n"/>
      <c r="C651" s="41" t="n"/>
      <c r="D651" s="42" t="n"/>
      <c r="E651" s="42" t="n"/>
      <c r="F651" s="50" t="n"/>
      <c r="G651" s="42" t="n"/>
      <c r="H651" s="30">
        <f>IF(D651="","",IFERROR(INDEX(Config!$B$12:$B$15,MATCH(IF(AND(D651="Cartão de crédito",N(E651)&gt;1),"Cartão de crédito parcelado",D651),Config!$A$12:$A$15,0)),0)+IF(AND(Config!$B$17="Sim",LEFT(D651,17)="Cartão de crédito"),Config!$B$18*IFERROR(INDEX(Config!$C$12:$C$15,MATCH(IF(AND(D651="Cartão de crédito",N(E651)&gt;1),"Cartão de crédito parcelado",D651),Config!$A$12:$A$15,0)),0)/30*MAX(1,N(E651)),0))</f>
        <v/>
      </c>
      <c r="I651" s="29">
        <f>IF(OR(D651="",F651=""),"",ROUND(F651*H651,2))</f>
        <v/>
      </c>
      <c r="J651" s="29">
        <f>IF(I651="","",F651-I651)</f>
        <v/>
      </c>
      <c r="K651" s="29">
        <f>IF(J651="","",J651/MAX(1,N(E651)))</f>
        <v/>
      </c>
      <c r="L651" s="37">
        <f>IF(OR(D651="",A651=""),"",A651+IF(AND(Config!$B$17="Sim",LEFT(D651,17)="Cartão de crédito"),1,IFERROR(INDEX(Config!$C$12:$C$15,MATCH(IF(AND(D651="Cartão de crédito",N(E651)&gt;1),"Cartão de crédito parcelado",D651),Config!$A$12:$A$15,0)),0)))</f>
        <v/>
      </c>
      <c r="M651" s="37">
        <f>IF(L651="","",IF(AND(Config!$B$17="Sim",LEFT(D651,17)="Cartão de crédito"),L651,L651+30*(MAX(1,N(E651))-1)))</f>
        <v/>
      </c>
      <c r="N651" s="29">
        <f>IF(OR(L651="",K651=""),"",K651*MIN(MAX(1,N(E651)),MAX(0,INT((Config!$B$8-L651)/30)+1)))</f>
        <v/>
      </c>
      <c r="O651" s="29">
        <f>IF(J651="","",J651-N(N651))</f>
        <v/>
      </c>
      <c r="P651" s="27">
        <f>IF(A651="","",MONTH(A651))</f>
        <v/>
      </c>
      <c r="Q651" s="27">
        <f>IF(A651="","",YEAR(A651))</f>
        <v/>
      </c>
      <c r="R651" s="27">
        <f>IF(L651="","",IF(L651&gt;Config!$B$8,"A cair",IF(N(G651)&gt;=MIN(MAX(1,N(E651)),MAX(0,INT((Config!$B$8-L651)/30)+1)),IF(N(G651)&gt;=MAX(1,N(E651)),"Conferido","Conferido até aqui"),"A conferir")))</f>
        <v/>
      </c>
      <c r="S651" s="51">
        <f>IF(R651="A conferir",(Config!$B$8-L651)*1000+N(F651)/1000+ROW()/100000,0)</f>
        <v>0</v>
      </c>
      <c r="T651" s="51">
        <f>IF(R651="A conferir",N(N651),0)</f>
        <v>0</v>
      </c>
      <c r="U651" s="51">
        <f>IF(L651="",0,L651)</f>
        <v>0</v>
      </c>
      <c r="V651" s="51">
        <f>IF(L651="",0,MAX(1,N(E651)))</f>
        <v>0</v>
      </c>
      <c r="W651" s="51">
        <f>IF(K651="",0,K651)</f>
        <v>0</v>
      </c>
    </row>
    <row r="652">
      <c r="A652" s="49" t="n"/>
      <c r="B652" s="41" t="n"/>
      <c r="C652" s="41" t="n"/>
      <c r="D652" s="42" t="n"/>
      <c r="E652" s="42" t="n"/>
      <c r="F652" s="50" t="n"/>
      <c r="G652" s="42" t="n"/>
      <c r="H652" s="30">
        <f>IF(D652="","",IFERROR(INDEX(Config!$B$12:$B$15,MATCH(IF(AND(D652="Cartão de crédito",N(E652)&gt;1),"Cartão de crédito parcelado",D652),Config!$A$12:$A$15,0)),0)+IF(AND(Config!$B$17="Sim",LEFT(D652,17)="Cartão de crédito"),Config!$B$18*IFERROR(INDEX(Config!$C$12:$C$15,MATCH(IF(AND(D652="Cartão de crédito",N(E652)&gt;1),"Cartão de crédito parcelado",D652),Config!$A$12:$A$15,0)),0)/30*MAX(1,N(E652)),0))</f>
        <v/>
      </c>
      <c r="I652" s="29">
        <f>IF(OR(D652="",F652=""),"",ROUND(F652*H652,2))</f>
        <v/>
      </c>
      <c r="J652" s="29">
        <f>IF(I652="","",F652-I652)</f>
        <v/>
      </c>
      <c r="K652" s="29">
        <f>IF(J652="","",J652/MAX(1,N(E652)))</f>
        <v/>
      </c>
      <c r="L652" s="37">
        <f>IF(OR(D652="",A652=""),"",A652+IF(AND(Config!$B$17="Sim",LEFT(D652,17)="Cartão de crédito"),1,IFERROR(INDEX(Config!$C$12:$C$15,MATCH(IF(AND(D652="Cartão de crédito",N(E652)&gt;1),"Cartão de crédito parcelado",D652),Config!$A$12:$A$15,0)),0)))</f>
        <v/>
      </c>
      <c r="M652" s="37">
        <f>IF(L652="","",IF(AND(Config!$B$17="Sim",LEFT(D652,17)="Cartão de crédito"),L652,L652+30*(MAX(1,N(E652))-1)))</f>
        <v/>
      </c>
      <c r="N652" s="29">
        <f>IF(OR(L652="",K652=""),"",K652*MIN(MAX(1,N(E652)),MAX(0,INT((Config!$B$8-L652)/30)+1)))</f>
        <v/>
      </c>
      <c r="O652" s="29">
        <f>IF(J652="","",J652-N(N652))</f>
        <v/>
      </c>
      <c r="P652" s="27">
        <f>IF(A652="","",MONTH(A652))</f>
        <v/>
      </c>
      <c r="Q652" s="27">
        <f>IF(A652="","",YEAR(A652))</f>
        <v/>
      </c>
      <c r="R652" s="27">
        <f>IF(L652="","",IF(L652&gt;Config!$B$8,"A cair",IF(N(G652)&gt;=MIN(MAX(1,N(E652)),MAX(0,INT((Config!$B$8-L652)/30)+1)),IF(N(G652)&gt;=MAX(1,N(E652)),"Conferido","Conferido até aqui"),"A conferir")))</f>
        <v/>
      </c>
      <c r="S652" s="51">
        <f>IF(R652="A conferir",(Config!$B$8-L652)*1000+N(F652)/1000+ROW()/100000,0)</f>
        <v>0</v>
      </c>
      <c r="T652" s="51">
        <f>IF(R652="A conferir",N(N652),0)</f>
        <v>0</v>
      </c>
      <c r="U652" s="51">
        <f>IF(L652="",0,L652)</f>
        <v>0</v>
      </c>
      <c r="V652" s="51">
        <f>IF(L652="",0,MAX(1,N(E652)))</f>
        <v>0</v>
      </c>
      <c r="W652" s="51">
        <f>IF(K652="",0,K652)</f>
        <v>0</v>
      </c>
    </row>
    <row r="653">
      <c r="A653" s="49" t="n"/>
      <c r="B653" s="41" t="n"/>
      <c r="C653" s="41" t="n"/>
      <c r="D653" s="42" t="n"/>
      <c r="E653" s="42" t="n"/>
      <c r="F653" s="50" t="n"/>
      <c r="G653" s="42" t="n"/>
      <c r="H653" s="30">
        <f>IF(D653="","",IFERROR(INDEX(Config!$B$12:$B$15,MATCH(IF(AND(D653="Cartão de crédito",N(E653)&gt;1),"Cartão de crédito parcelado",D653),Config!$A$12:$A$15,0)),0)+IF(AND(Config!$B$17="Sim",LEFT(D653,17)="Cartão de crédito"),Config!$B$18*IFERROR(INDEX(Config!$C$12:$C$15,MATCH(IF(AND(D653="Cartão de crédito",N(E653)&gt;1),"Cartão de crédito parcelado",D653),Config!$A$12:$A$15,0)),0)/30*MAX(1,N(E653)),0))</f>
        <v/>
      </c>
      <c r="I653" s="29">
        <f>IF(OR(D653="",F653=""),"",ROUND(F653*H653,2))</f>
        <v/>
      </c>
      <c r="J653" s="29">
        <f>IF(I653="","",F653-I653)</f>
        <v/>
      </c>
      <c r="K653" s="29">
        <f>IF(J653="","",J653/MAX(1,N(E653)))</f>
        <v/>
      </c>
      <c r="L653" s="37">
        <f>IF(OR(D653="",A653=""),"",A653+IF(AND(Config!$B$17="Sim",LEFT(D653,17)="Cartão de crédito"),1,IFERROR(INDEX(Config!$C$12:$C$15,MATCH(IF(AND(D653="Cartão de crédito",N(E653)&gt;1),"Cartão de crédito parcelado",D653),Config!$A$12:$A$15,0)),0)))</f>
        <v/>
      </c>
      <c r="M653" s="37">
        <f>IF(L653="","",IF(AND(Config!$B$17="Sim",LEFT(D653,17)="Cartão de crédito"),L653,L653+30*(MAX(1,N(E653))-1)))</f>
        <v/>
      </c>
      <c r="N653" s="29">
        <f>IF(OR(L653="",K653=""),"",K653*MIN(MAX(1,N(E653)),MAX(0,INT((Config!$B$8-L653)/30)+1)))</f>
        <v/>
      </c>
      <c r="O653" s="29">
        <f>IF(J653="","",J653-N(N653))</f>
        <v/>
      </c>
      <c r="P653" s="27">
        <f>IF(A653="","",MONTH(A653))</f>
        <v/>
      </c>
      <c r="Q653" s="27">
        <f>IF(A653="","",YEAR(A653))</f>
        <v/>
      </c>
      <c r="R653" s="27">
        <f>IF(L653="","",IF(L653&gt;Config!$B$8,"A cair",IF(N(G653)&gt;=MIN(MAX(1,N(E653)),MAX(0,INT((Config!$B$8-L653)/30)+1)),IF(N(G653)&gt;=MAX(1,N(E653)),"Conferido","Conferido até aqui"),"A conferir")))</f>
        <v/>
      </c>
      <c r="S653" s="51">
        <f>IF(R653="A conferir",(Config!$B$8-L653)*1000+N(F653)/1000+ROW()/100000,0)</f>
        <v>0</v>
      </c>
      <c r="T653" s="51">
        <f>IF(R653="A conferir",N(N653),0)</f>
        <v>0</v>
      </c>
      <c r="U653" s="51">
        <f>IF(L653="",0,L653)</f>
        <v>0</v>
      </c>
      <c r="V653" s="51">
        <f>IF(L653="",0,MAX(1,N(E653)))</f>
        <v>0</v>
      </c>
      <c r="W653" s="51">
        <f>IF(K653="",0,K653)</f>
        <v>0</v>
      </c>
    </row>
    <row r="654">
      <c r="A654" s="49" t="n"/>
      <c r="B654" s="41" t="n"/>
      <c r="C654" s="41" t="n"/>
      <c r="D654" s="42" t="n"/>
      <c r="E654" s="42" t="n"/>
      <c r="F654" s="50" t="n"/>
      <c r="G654" s="42" t="n"/>
      <c r="H654" s="30">
        <f>IF(D654="","",IFERROR(INDEX(Config!$B$12:$B$15,MATCH(IF(AND(D654="Cartão de crédito",N(E654)&gt;1),"Cartão de crédito parcelado",D654),Config!$A$12:$A$15,0)),0)+IF(AND(Config!$B$17="Sim",LEFT(D654,17)="Cartão de crédito"),Config!$B$18*IFERROR(INDEX(Config!$C$12:$C$15,MATCH(IF(AND(D654="Cartão de crédito",N(E654)&gt;1),"Cartão de crédito parcelado",D654),Config!$A$12:$A$15,0)),0)/30*MAX(1,N(E654)),0))</f>
        <v/>
      </c>
      <c r="I654" s="29">
        <f>IF(OR(D654="",F654=""),"",ROUND(F654*H654,2))</f>
        <v/>
      </c>
      <c r="J654" s="29">
        <f>IF(I654="","",F654-I654)</f>
        <v/>
      </c>
      <c r="K654" s="29">
        <f>IF(J654="","",J654/MAX(1,N(E654)))</f>
        <v/>
      </c>
      <c r="L654" s="37">
        <f>IF(OR(D654="",A654=""),"",A654+IF(AND(Config!$B$17="Sim",LEFT(D654,17)="Cartão de crédito"),1,IFERROR(INDEX(Config!$C$12:$C$15,MATCH(IF(AND(D654="Cartão de crédito",N(E654)&gt;1),"Cartão de crédito parcelado",D654),Config!$A$12:$A$15,0)),0)))</f>
        <v/>
      </c>
      <c r="M654" s="37">
        <f>IF(L654="","",IF(AND(Config!$B$17="Sim",LEFT(D654,17)="Cartão de crédito"),L654,L654+30*(MAX(1,N(E654))-1)))</f>
        <v/>
      </c>
      <c r="N654" s="29">
        <f>IF(OR(L654="",K654=""),"",K654*MIN(MAX(1,N(E654)),MAX(0,INT((Config!$B$8-L654)/30)+1)))</f>
        <v/>
      </c>
      <c r="O654" s="29">
        <f>IF(J654="","",J654-N(N654))</f>
        <v/>
      </c>
      <c r="P654" s="27">
        <f>IF(A654="","",MONTH(A654))</f>
        <v/>
      </c>
      <c r="Q654" s="27">
        <f>IF(A654="","",YEAR(A654))</f>
        <v/>
      </c>
      <c r="R654" s="27">
        <f>IF(L654="","",IF(L654&gt;Config!$B$8,"A cair",IF(N(G654)&gt;=MIN(MAX(1,N(E654)),MAX(0,INT((Config!$B$8-L654)/30)+1)),IF(N(G654)&gt;=MAX(1,N(E654)),"Conferido","Conferido até aqui"),"A conferir")))</f>
        <v/>
      </c>
      <c r="S654" s="51">
        <f>IF(R654="A conferir",(Config!$B$8-L654)*1000+N(F654)/1000+ROW()/100000,0)</f>
        <v>0</v>
      </c>
      <c r="T654" s="51">
        <f>IF(R654="A conferir",N(N654),0)</f>
        <v>0</v>
      </c>
      <c r="U654" s="51">
        <f>IF(L654="",0,L654)</f>
        <v>0</v>
      </c>
      <c r="V654" s="51">
        <f>IF(L654="",0,MAX(1,N(E654)))</f>
        <v>0</v>
      </c>
      <c r="W654" s="51">
        <f>IF(K654="",0,K654)</f>
        <v>0</v>
      </c>
    </row>
    <row r="655">
      <c r="A655" s="49" t="n"/>
      <c r="B655" s="41" t="n"/>
      <c r="C655" s="41" t="n"/>
      <c r="D655" s="42" t="n"/>
      <c r="E655" s="42" t="n"/>
      <c r="F655" s="50" t="n"/>
      <c r="G655" s="42" t="n"/>
      <c r="H655" s="30">
        <f>IF(D655="","",IFERROR(INDEX(Config!$B$12:$B$15,MATCH(IF(AND(D655="Cartão de crédito",N(E655)&gt;1),"Cartão de crédito parcelado",D655),Config!$A$12:$A$15,0)),0)+IF(AND(Config!$B$17="Sim",LEFT(D655,17)="Cartão de crédito"),Config!$B$18*IFERROR(INDEX(Config!$C$12:$C$15,MATCH(IF(AND(D655="Cartão de crédito",N(E655)&gt;1),"Cartão de crédito parcelado",D655),Config!$A$12:$A$15,0)),0)/30*MAX(1,N(E655)),0))</f>
        <v/>
      </c>
      <c r="I655" s="29">
        <f>IF(OR(D655="",F655=""),"",ROUND(F655*H655,2))</f>
        <v/>
      </c>
      <c r="J655" s="29">
        <f>IF(I655="","",F655-I655)</f>
        <v/>
      </c>
      <c r="K655" s="29">
        <f>IF(J655="","",J655/MAX(1,N(E655)))</f>
        <v/>
      </c>
      <c r="L655" s="37">
        <f>IF(OR(D655="",A655=""),"",A655+IF(AND(Config!$B$17="Sim",LEFT(D655,17)="Cartão de crédito"),1,IFERROR(INDEX(Config!$C$12:$C$15,MATCH(IF(AND(D655="Cartão de crédito",N(E655)&gt;1),"Cartão de crédito parcelado",D655),Config!$A$12:$A$15,0)),0)))</f>
        <v/>
      </c>
      <c r="M655" s="37">
        <f>IF(L655="","",IF(AND(Config!$B$17="Sim",LEFT(D655,17)="Cartão de crédito"),L655,L655+30*(MAX(1,N(E655))-1)))</f>
        <v/>
      </c>
      <c r="N655" s="29">
        <f>IF(OR(L655="",K655=""),"",K655*MIN(MAX(1,N(E655)),MAX(0,INT((Config!$B$8-L655)/30)+1)))</f>
        <v/>
      </c>
      <c r="O655" s="29">
        <f>IF(J655="","",J655-N(N655))</f>
        <v/>
      </c>
      <c r="P655" s="27">
        <f>IF(A655="","",MONTH(A655))</f>
        <v/>
      </c>
      <c r="Q655" s="27">
        <f>IF(A655="","",YEAR(A655))</f>
        <v/>
      </c>
      <c r="R655" s="27">
        <f>IF(L655="","",IF(L655&gt;Config!$B$8,"A cair",IF(N(G655)&gt;=MIN(MAX(1,N(E655)),MAX(0,INT((Config!$B$8-L655)/30)+1)),IF(N(G655)&gt;=MAX(1,N(E655)),"Conferido","Conferido até aqui"),"A conferir")))</f>
        <v/>
      </c>
      <c r="S655" s="51">
        <f>IF(R655="A conferir",(Config!$B$8-L655)*1000+N(F655)/1000+ROW()/100000,0)</f>
        <v>0</v>
      </c>
      <c r="T655" s="51">
        <f>IF(R655="A conferir",N(N655),0)</f>
        <v>0</v>
      </c>
      <c r="U655" s="51">
        <f>IF(L655="",0,L655)</f>
        <v>0</v>
      </c>
      <c r="V655" s="51">
        <f>IF(L655="",0,MAX(1,N(E655)))</f>
        <v>0</v>
      </c>
      <c r="W655" s="51">
        <f>IF(K655="",0,K655)</f>
        <v>0</v>
      </c>
    </row>
    <row r="656">
      <c r="A656" s="49" t="n"/>
      <c r="B656" s="41" t="n"/>
      <c r="C656" s="41" t="n"/>
      <c r="D656" s="42" t="n"/>
      <c r="E656" s="42" t="n"/>
      <c r="F656" s="50" t="n"/>
      <c r="G656" s="42" t="n"/>
      <c r="H656" s="30">
        <f>IF(D656="","",IFERROR(INDEX(Config!$B$12:$B$15,MATCH(IF(AND(D656="Cartão de crédito",N(E656)&gt;1),"Cartão de crédito parcelado",D656),Config!$A$12:$A$15,0)),0)+IF(AND(Config!$B$17="Sim",LEFT(D656,17)="Cartão de crédito"),Config!$B$18*IFERROR(INDEX(Config!$C$12:$C$15,MATCH(IF(AND(D656="Cartão de crédito",N(E656)&gt;1),"Cartão de crédito parcelado",D656),Config!$A$12:$A$15,0)),0)/30*MAX(1,N(E656)),0))</f>
        <v/>
      </c>
      <c r="I656" s="29">
        <f>IF(OR(D656="",F656=""),"",ROUND(F656*H656,2))</f>
        <v/>
      </c>
      <c r="J656" s="29">
        <f>IF(I656="","",F656-I656)</f>
        <v/>
      </c>
      <c r="K656" s="29">
        <f>IF(J656="","",J656/MAX(1,N(E656)))</f>
        <v/>
      </c>
      <c r="L656" s="37">
        <f>IF(OR(D656="",A656=""),"",A656+IF(AND(Config!$B$17="Sim",LEFT(D656,17)="Cartão de crédito"),1,IFERROR(INDEX(Config!$C$12:$C$15,MATCH(IF(AND(D656="Cartão de crédito",N(E656)&gt;1),"Cartão de crédito parcelado",D656),Config!$A$12:$A$15,0)),0)))</f>
        <v/>
      </c>
      <c r="M656" s="37">
        <f>IF(L656="","",IF(AND(Config!$B$17="Sim",LEFT(D656,17)="Cartão de crédito"),L656,L656+30*(MAX(1,N(E656))-1)))</f>
        <v/>
      </c>
      <c r="N656" s="29">
        <f>IF(OR(L656="",K656=""),"",K656*MIN(MAX(1,N(E656)),MAX(0,INT((Config!$B$8-L656)/30)+1)))</f>
        <v/>
      </c>
      <c r="O656" s="29">
        <f>IF(J656="","",J656-N(N656))</f>
        <v/>
      </c>
      <c r="P656" s="27">
        <f>IF(A656="","",MONTH(A656))</f>
        <v/>
      </c>
      <c r="Q656" s="27">
        <f>IF(A656="","",YEAR(A656))</f>
        <v/>
      </c>
      <c r="R656" s="27">
        <f>IF(L656="","",IF(L656&gt;Config!$B$8,"A cair",IF(N(G656)&gt;=MIN(MAX(1,N(E656)),MAX(0,INT((Config!$B$8-L656)/30)+1)),IF(N(G656)&gt;=MAX(1,N(E656)),"Conferido","Conferido até aqui"),"A conferir")))</f>
        <v/>
      </c>
      <c r="S656" s="51">
        <f>IF(R656="A conferir",(Config!$B$8-L656)*1000+N(F656)/1000+ROW()/100000,0)</f>
        <v>0</v>
      </c>
      <c r="T656" s="51">
        <f>IF(R656="A conferir",N(N656),0)</f>
        <v>0</v>
      </c>
      <c r="U656" s="51">
        <f>IF(L656="",0,L656)</f>
        <v>0</v>
      </c>
      <c r="V656" s="51">
        <f>IF(L656="",0,MAX(1,N(E656)))</f>
        <v>0</v>
      </c>
      <c r="W656" s="51">
        <f>IF(K656="",0,K656)</f>
        <v>0</v>
      </c>
    </row>
    <row r="657">
      <c r="A657" s="49" t="n"/>
      <c r="B657" s="41" t="n"/>
      <c r="C657" s="41" t="n"/>
      <c r="D657" s="42" t="n"/>
      <c r="E657" s="42" t="n"/>
      <c r="F657" s="50" t="n"/>
      <c r="G657" s="42" t="n"/>
      <c r="H657" s="30">
        <f>IF(D657="","",IFERROR(INDEX(Config!$B$12:$B$15,MATCH(IF(AND(D657="Cartão de crédito",N(E657)&gt;1),"Cartão de crédito parcelado",D657),Config!$A$12:$A$15,0)),0)+IF(AND(Config!$B$17="Sim",LEFT(D657,17)="Cartão de crédito"),Config!$B$18*IFERROR(INDEX(Config!$C$12:$C$15,MATCH(IF(AND(D657="Cartão de crédito",N(E657)&gt;1),"Cartão de crédito parcelado",D657),Config!$A$12:$A$15,0)),0)/30*MAX(1,N(E657)),0))</f>
        <v/>
      </c>
      <c r="I657" s="29">
        <f>IF(OR(D657="",F657=""),"",ROUND(F657*H657,2))</f>
        <v/>
      </c>
      <c r="J657" s="29">
        <f>IF(I657="","",F657-I657)</f>
        <v/>
      </c>
      <c r="K657" s="29">
        <f>IF(J657="","",J657/MAX(1,N(E657)))</f>
        <v/>
      </c>
      <c r="L657" s="37">
        <f>IF(OR(D657="",A657=""),"",A657+IF(AND(Config!$B$17="Sim",LEFT(D657,17)="Cartão de crédito"),1,IFERROR(INDEX(Config!$C$12:$C$15,MATCH(IF(AND(D657="Cartão de crédito",N(E657)&gt;1),"Cartão de crédito parcelado",D657),Config!$A$12:$A$15,0)),0)))</f>
        <v/>
      </c>
      <c r="M657" s="37">
        <f>IF(L657="","",IF(AND(Config!$B$17="Sim",LEFT(D657,17)="Cartão de crédito"),L657,L657+30*(MAX(1,N(E657))-1)))</f>
        <v/>
      </c>
      <c r="N657" s="29">
        <f>IF(OR(L657="",K657=""),"",K657*MIN(MAX(1,N(E657)),MAX(0,INT((Config!$B$8-L657)/30)+1)))</f>
        <v/>
      </c>
      <c r="O657" s="29">
        <f>IF(J657="","",J657-N(N657))</f>
        <v/>
      </c>
      <c r="P657" s="27">
        <f>IF(A657="","",MONTH(A657))</f>
        <v/>
      </c>
      <c r="Q657" s="27">
        <f>IF(A657="","",YEAR(A657))</f>
        <v/>
      </c>
      <c r="R657" s="27">
        <f>IF(L657="","",IF(L657&gt;Config!$B$8,"A cair",IF(N(G657)&gt;=MIN(MAX(1,N(E657)),MAX(0,INT((Config!$B$8-L657)/30)+1)),IF(N(G657)&gt;=MAX(1,N(E657)),"Conferido","Conferido até aqui"),"A conferir")))</f>
        <v/>
      </c>
      <c r="S657" s="51">
        <f>IF(R657="A conferir",(Config!$B$8-L657)*1000+N(F657)/1000+ROW()/100000,0)</f>
        <v>0</v>
      </c>
      <c r="T657" s="51">
        <f>IF(R657="A conferir",N(N657),0)</f>
        <v>0</v>
      </c>
      <c r="U657" s="51">
        <f>IF(L657="",0,L657)</f>
        <v>0</v>
      </c>
      <c r="V657" s="51">
        <f>IF(L657="",0,MAX(1,N(E657)))</f>
        <v>0</v>
      </c>
      <c r="W657" s="51">
        <f>IF(K657="",0,K657)</f>
        <v>0</v>
      </c>
    </row>
    <row r="658">
      <c r="A658" s="49" t="n"/>
      <c r="B658" s="41" t="n"/>
      <c r="C658" s="41" t="n"/>
      <c r="D658" s="42" t="n"/>
      <c r="E658" s="42" t="n"/>
      <c r="F658" s="50" t="n"/>
      <c r="G658" s="42" t="n"/>
      <c r="H658" s="30">
        <f>IF(D658="","",IFERROR(INDEX(Config!$B$12:$B$15,MATCH(IF(AND(D658="Cartão de crédito",N(E658)&gt;1),"Cartão de crédito parcelado",D658),Config!$A$12:$A$15,0)),0)+IF(AND(Config!$B$17="Sim",LEFT(D658,17)="Cartão de crédito"),Config!$B$18*IFERROR(INDEX(Config!$C$12:$C$15,MATCH(IF(AND(D658="Cartão de crédito",N(E658)&gt;1),"Cartão de crédito parcelado",D658),Config!$A$12:$A$15,0)),0)/30*MAX(1,N(E658)),0))</f>
        <v/>
      </c>
      <c r="I658" s="29">
        <f>IF(OR(D658="",F658=""),"",ROUND(F658*H658,2))</f>
        <v/>
      </c>
      <c r="J658" s="29">
        <f>IF(I658="","",F658-I658)</f>
        <v/>
      </c>
      <c r="K658" s="29">
        <f>IF(J658="","",J658/MAX(1,N(E658)))</f>
        <v/>
      </c>
      <c r="L658" s="37">
        <f>IF(OR(D658="",A658=""),"",A658+IF(AND(Config!$B$17="Sim",LEFT(D658,17)="Cartão de crédito"),1,IFERROR(INDEX(Config!$C$12:$C$15,MATCH(IF(AND(D658="Cartão de crédito",N(E658)&gt;1),"Cartão de crédito parcelado",D658),Config!$A$12:$A$15,0)),0)))</f>
        <v/>
      </c>
      <c r="M658" s="37">
        <f>IF(L658="","",IF(AND(Config!$B$17="Sim",LEFT(D658,17)="Cartão de crédito"),L658,L658+30*(MAX(1,N(E658))-1)))</f>
        <v/>
      </c>
      <c r="N658" s="29">
        <f>IF(OR(L658="",K658=""),"",K658*MIN(MAX(1,N(E658)),MAX(0,INT((Config!$B$8-L658)/30)+1)))</f>
        <v/>
      </c>
      <c r="O658" s="29">
        <f>IF(J658="","",J658-N(N658))</f>
        <v/>
      </c>
      <c r="P658" s="27">
        <f>IF(A658="","",MONTH(A658))</f>
        <v/>
      </c>
      <c r="Q658" s="27">
        <f>IF(A658="","",YEAR(A658))</f>
        <v/>
      </c>
      <c r="R658" s="27">
        <f>IF(L658="","",IF(L658&gt;Config!$B$8,"A cair",IF(N(G658)&gt;=MIN(MAX(1,N(E658)),MAX(0,INT((Config!$B$8-L658)/30)+1)),IF(N(G658)&gt;=MAX(1,N(E658)),"Conferido","Conferido até aqui"),"A conferir")))</f>
        <v/>
      </c>
      <c r="S658" s="51">
        <f>IF(R658="A conferir",(Config!$B$8-L658)*1000+N(F658)/1000+ROW()/100000,0)</f>
        <v>0</v>
      </c>
      <c r="T658" s="51">
        <f>IF(R658="A conferir",N(N658),0)</f>
        <v>0</v>
      </c>
      <c r="U658" s="51">
        <f>IF(L658="",0,L658)</f>
        <v>0</v>
      </c>
      <c r="V658" s="51">
        <f>IF(L658="",0,MAX(1,N(E658)))</f>
        <v>0</v>
      </c>
      <c r="W658" s="51">
        <f>IF(K658="",0,K658)</f>
        <v>0</v>
      </c>
    </row>
    <row r="659">
      <c r="A659" s="49" t="n"/>
      <c r="B659" s="41" t="n"/>
      <c r="C659" s="41" t="n"/>
      <c r="D659" s="42" t="n"/>
      <c r="E659" s="42" t="n"/>
      <c r="F659" s="50" t="n"/>
      <c r="G659" s="42" t="n"/>
      <c r="H659" s="30">
        <f>IF(D659="","",IFERROR(INDEX(Config!$B$12:$B$15,MATCH(IF(AND(D659="Cartão de crédito",N(E659)&gt;1),"Cartão de crédito parcelado",D659),Config!$A$12:$A$15,0)),0)+IF(AND(Config!$B$17="Sim",LEFT(D659,17)="Cartão de crédito"),Config!$B$18*IFERROR(INDEX(Config!$C$12:$C$15,MATCH(IF(AND(D659="Cartão de crédito",N(E659)&gt;1),"Cartão de crédito parcelado",D659),Config!$A$12:$A$15,0)),0)/30*MAX(1,N(E659)),0))</f>
        <v/>
      </c>
      <c r="I659" s="29">
        <f>IF(OR(D659="",F659=""),"",ROUND(F659*H659,2))</f>
        <v/>
      </c>
      <c r="J659" s="29">
        <f>IF(I659="","",F659-I659)</f>
        <v/>
      </c>
      <c r="K659" s="29">
        <f>IF(J659="","",J659/MAX(1,N(E659)))</f>
        <v/>
      </c>
      <c r="L659" s="37">
        <f>IF(OR(D659="",A659=""),"",A659+IF(AND(Config!$B$17="Sim",LEFT(D659,17)="Cartão de crédito"),1,IFERROR(INDEX(Config!$C$12:$C$15,MATCH(IF(AND(D659="Cartão de crédito",N(E659)&gt;1),"Cartão de crédito parcelado",D659),Config!$A$12:$A$15,0)),0)))</f>
        <v/>
      </c>
      <c r="M659" s="37">
        <f>IF(L659="","",IF(AND(Config!$B$17="Sim",LEFT(D659,17)="Cartão de crédito"),L659,L659+30*(MAX(1,N(E659))-1)))</f>
        <v/>
      </c>
      <c r="N659" s="29">
        <f>IF(OR(L659="",K659=""),"",K659*MIN(MAX(1,N(E659)),MAX(0,INT((Config!$B$8-L659)/30)+1)))</f>
        <v/>
      </c>
      <c r="O659" s="29">
        <f>IF(J659="","",J659-N(N659))</f>
        <v/>
      </c>
      <c r="P659" s="27">
        <f>IF(A659="","",MONTH(A659))</f>
        <v/>
      </c>
      <c r="Q659" s="27">
        <f>IF(A659="","",YEAR(A659))</f>
        <v/>
      </c>
      <c r="R659" s="27">
        <f>IF(L659="","",IF(L659&gt;Config!$B$8,"A cair",IF(N(G659)&gt;=MIN(MAX(1,N(E659)),MAX(0,INT((Config!$B$8-L659)/30)+1)),IF(N(G659)&gt;=MAX(1,N(E659)),"Conferido","Conferido até aqui"),"A conferir")))</f>
        <v/>
      </c>
      <c r="S659" s="51">
        <f>IF(R659="A conferir",(Config!$B$8-L659)*1000+N(F659)/1000+ROW()/100000,0)</f>
        <v>0</v>
      </c>
      <c r="T659" s="51">
        <f>IF(R659="A conferir",N(N659),0)</f>
        <v>0</v>
      </c>
      <c r="U659" s="51">
        <f>IF(L659="",0,L659)</f>
        <v>0</v>
      </c>
      <c r="V659" s="51">
        <f>IF(L659="",0,MAX(1,N(E659)))</f>
        <v>0</v>
      </c>
      <c r="W659" s="51">
        <f>IF(K659="",0,K659)</f>
        <v>0</v>
      </c>
    </row>
    <row r="660">
      <c r="A660" s="49" t="n"/>
      <c r="B660" s="41" t="n"/>
      <c r="C660" s="41" t="n"/>
      <c r="D660" s="42" t="n"/>
      <c r="E660" s="42" t="n"/>
      <c r="F660" s="50" t="n"/>
      <c r="G660" s="42" t="n"/>
      <c r="H660" s="30">
        <f>IF(D660="","",IFERROR(INDEX(Config!$B$12:$B$15,MATCH(IF(AND(D660="Cartão de crédito",N(E660)&gt;1),"Cartão de crédito parcelado",D660),Config!$A$12:$A$15,0)),0)+IF(AND(Config!$B$17="Sim",LEFT(D660,17)="Cartão de crédito"),Config!$B$18*IFERROR(INDEX(Config!$C$12:$C$15,MATCH(IF(AND(D660="Cartão de crédito",N(E660)&gt;1),"Cartão de crédito parcelado",D660),Config!$A$12:$A$15,0)),0)/30*MAX(1,N(E660)),0))</f>
        <v/>
      </c>
      <c r="I660" s="29">
        <f>IF(OR(D660="",F660=""),"",ROUND(F660*H660,2))</f>
        <v/>
      </c>
      <c r="J660" s="29">
        <f>IF(I660="","",F660-I660)</f>
        <v/>
      </c>
      <c r="K660" s="29">
        <f>IF(J660="","",J660/MAX(1,N(E660)))</f>
        <v/>
      </c>
      <c r="L660" s="37">
        <f>IF(OR(D660="",A660=""),"",A660+IF(AND(Config!$B$17="Sim",LEFT(D660,17)="Cartão de crédito"),1,IFERROR(INDEX(Config!$C$12:$C$15,MATCH(IF(AND(D660="Cartão de crédito",N(E660)&gt;1),"Cartão de crédito parcelado",D660),Config!$A$12:$A$15,0)),0)))</f>
        <v/>
      </c>
      <c r="M660" s="37">
        <f>IF(L660="","",IF(AND(Config!$B$17="Sim",LEFT(D660,17)="Cartão de crédito"),L660,L660+30*(MAX(1,N(E660))-1)))</f>
        <v/>
      </c>
      <c r="N660" s="29">
        <f>IF(OR(L660="",K660=""),"",K660*MIN(MAX(1,N(E660)),MAX(0,INT((Config!$B$8-L660)/30)+1)))</f>
        <v/>
      </c>
      <c r="O660" s="29">
        <f>IF(J660="","",J660-N(N660))</f>
        <v/>
      </c>
      <c r="P660" s="27">
        <f>IF(A660="","",MONTH(A660))</f>
        <v/>
      </c>
      <c r="Q660" s="27">
        <f>IF(A660="","",YEAR(A660))</f>
        <v/>
      </c>
      <c r="R660" s="27">
        <f>IF(L660="","",IF(L660&gt;Config!$B$8,"A cair",IF(N(G660)&gt;=MIN(MAX(1,N(E660)),MAX(0,INT((Config!$B$8-L660)/30)+1)),IF(N(G660)&gt;=MAX(1,N(E660)),"Conferido","Conferido até aqui"),"A conferir")))</f>
        <v/>
      </c>
      <c r="S660" s="51">
        <f>IF(R660="A conferir",(Config!$B$8-L660)*1000+N(F660)/1000+ROW()/100000,0)</f>
        <v>0</v>
      </c>
      <c r="T660" s="51">
        <f>IF(R660="A conferir",N(N660),0)</f>
        <v>0</v>
      </c>
      <c r="U660" s="51">
        <f>IF(L660="",0,L660)</f>
        <v>0</v>
      </c>
      <c r="V660" s="51">
        <f>IF(L660="",0,MAX(1,N(E660)))</f>
        <v>0</v>
      </c>
      <c r="W660" s="51">
        <f>IF(K660="",0,K660)</f>
        <v>0</v>
      </c>
    </row>
    <row r="661">
      <c r="A661" s="49" t="n"/>
      <c r="B661" s="41" t="n"/>
      <c r="C661" s="41" t="n"/>
      <c r="D661" s="42" t="n"/>
      <c r="E661" s="42" t="n"/>
      <c r="F661" s="50" t="n"/>
      <c r="G661" s="42" t="n"/>
      <c r="H661" s="30">
        <f>IF(D661="","",IFERROR(INDEX(Config!$B$12:$B$15,MATCH(IF(AND(D661="Cartão de crédito",N(E661)&gt;1),"Cartão de crédito parcelado",D661),Config!$A$12:$A$15,0)),0)+IF(AND(Config!$B$17="Sim",LEFT(D661,17)="Cartão de crédito"),Config!$B$18*IFERROR(INDEX(Config!$C$12:$C$15,MATCH(IF(AND(D661="Cartão de crédito",N(E661)&gt;1),"Cartão de crédito parcelado",D661),Config!$A$12:$A$15,0)),0)/30*MAX(1,N(E661)),0))</f>
        <v/>
      </c>
      <c r="I661" s="29">
        <f>IF(OR(D661="",F661=""),"",ROUND(F661*H661,2))</f>
        <v/>
      </c>
      <c r="J661" s="29">
        <f>IF(I661="","",F661-I661)</f>
        <v/>
      </c>
      <c r="K661" s="29">
        <f>IF(J661="","",J661/MAX(1,N(E661)))</f>
        <v/>
      </c>
      <c r="L661" s="37">
        <f>IF(OR(D661="",A661=""),"",A661+IF(AND(Config!$B$17="Sim",LEFT(D661,17)="Cartão de crédito"),1,IFERROR(INDEX(Config!$C$12:$C$15,MATCH(IF(AND(D661="Cartão de crédito",N(E661)&gt;1),"Cartão de crédito parcelado",D661),Config!$A$12:$A$15,0)),0)))</f>
        <v/>
      </c>
      <c r="M661" s="37">
        <f>IF(L661="","",IF(AND(Config!$B$17="Sim",LEFT(D661,17)="Cartão de crédito"),L661,L661+30*(MAX(1,N(E661))-1)))</f>
        <v/>
      </c>
      <c r="N661" s="29">
        <f>IF(OR(L661="",K661=""),"",K661*MIN(MAX(1,N(E661)),MAX(0,INT((Config!$B$8-L661)/30)+1)))</f>
        <v/>
      </c>
      <c r="O661" s="29">
        <f>IF(J661="","",J661-N(N661))</f>
        <v/>
      </c>
      <c r="P661" s="27">
        <f>IF(A661="","",MONTH(A661))</f>
        <v/>
      </c>
      <c r="Q661" s="27">
        <f>IF(A661="","",YEAR(A661))</f>
        <v/>
      </c>
      <c r="R661" s="27">
        <f>IF(L661="","",IF(L661&gt;Config!$B$8,"A cair",IF(N(G661)&gt;=MIN(MAX(1,N(E661)),MAX(0,INT((Config!$B$8-L661)/30)+1)),IF(N(G661)&gt;=MAX(1,N(E661)),"Conferido","Conferido até aqui"),"A conferir")))</f>
        <v/>
      </c>
      <c r="S661" s="51">
        <f>IF(R661="A conferir",(Config!$B$8-L661)*1000+N(F661)/1000+ROW()/100000,0)</f>
        <v>0</v>
      </c>
      <c r="T661" s="51">
        <f>IF(R661="A conferir",N(N661),0)</f>
        <v>0</v>
      </c>
      <c r="U661" s="51">
        <f>IF(L661="",0,L661)</f>
        <v>0</v>
      </c>
      <c r="V661" s="51">
        <f>IF(L661="",0,MAX(1,N(E661)))</f>
        <v>0</v>
      </c>
      <c r="W661" s="51">
        <f>IF(K661="",0,K661)</f>
        <v>0</v>
      </c>
    </row>
    <row r="662">
      <c r="A662" s="49" t="n"/>
      <c r="B662" s="41" t="n"/>
      <c r="C662" s="41" t="n"/>
      <c r="D662" s="42" t="n"/>
      <c r="E662" s="42" t="n"/>
      <c r="F662" s="50" t="n"/>
      <c r="G662" s="42" t="n"/>
      <c r="H662" s="30">
        <f>IF(D662="","",IFERROR(INDEX(Config!$B$12:$B$15,MATCH(IF(AND(D662="Cartão de crédito",N(E662)&gt;1),"Cartão de crédito parcelado",D662),Config!$A$12:$A$15,0)),0)+IF(AND(Config!$B$17="Sim",LEFT(D662,17)="Cartão de crédito"),Config!$B$18*IFERROR(INDEX(Config!$C$12:$C$15,MATCH(IF(AND(D662="Cartão de crédito",N(E662)&gt;1),"Cartão de crédito parcelado",D662),Config!$A$12:$A$15,0)),0)/30*MAX(1,N(E662)),0))</f>
        <v/>
      </c>
      <c r="I662" s="29">
        <f>IF(OR(D662="",F662=""),"",ROUND(F662*H662,2))</f>
        <v/>
      </c>
      <c r="J662" s="29">
        <f>IF(I662="","",F662-I662)</f>
        <v/>
      </c>
      <c r="K662" s="29">
        <f>IF(J662="","",J662/MAX(1,N(E662)))</f>
        <v/>
      </c>
      <c r="L662" s="37">
        <f>IF(OR(D662="",A662=""),"",A662+IF(AND(Config!$B$17="Sim",LEFT(D662,17)="Cartão de crédito"),1,IFERROR(INDEX(Config!$C$12:$C$15,MATCH(IF(AND(D662="Cartão de crédito",N(E662)&gt;1),"Cartão de crédito parcelado",D662),Config!$A$12:$A$15,0)),0)))</f>
        <v/>
      </c>
      <c r="M662" s="37">
        <f>IF(L662="","",IF(AND(Config!$B$17="Sim",LEFT(D662,17)="Cartão de crédito"),L662,L662+30*(MAX(1,N(E662))-1)))</f>
        <v/>
      </c>
      <c r="N662" s="29">
        <f>IF(OR(L662="",K662=""),"",K662*MIN(MAX(1,N(E662)),MAX(0,INT((Config!$B$8-L662)/30)+1)))</f>
        <v/>
      </c>
      <c r="O662" s="29">
        <f>IF(J662="","",J662-N(N662))</f>
        <v/>
      </c>
      <c r="P662" s="27">
        <f>IF(A662="","",MONTH(A662))</f>
        <v/>
      </c>
      <c r="Q662" s="27">
        <f>IF(A662="","",YEAR(A662))</f>
        <v/>
      </c>
      <c r="R662" s="27">
        <f>IF(L662="","",IF(L662&gt;Config!$B$8,"A cair",IF(N(G662)&gt;=MIN(MAX(1,N(E662)),MAX(0,INT((Config!$B$8-L662)/30)+1)),IF(N(G662)&gt;=MAX(1,N(E662)),"Conferido","Conferido até aqui"),"A conferir")))</f>
        <v/>
      </c>
      <c r="S662" s="51">
        <f>IF(R662="A conferir",(Config!$B$8-L662)*1000+N(F662)/1000+ROW()/100000,0)</f>
        <v>0</v>
      </c>
      <c r="T662" s="51">
        <f>IF(R662="A conferir",N(N662),0)</f>
        <v>0</v>
      </c>
      <c r="U662" s="51">
        <f>IF(L662="",0,L662)</f>
        <v>0</v>
      </c>
      <c r="V662" s="51">
        <f>IF(L662="",0,MAX(1,N(E662)))</f>
        <v>0</v>
      </c>
      <c r="W662" s="51">
        <f>IF(K662="",0,K662)</f>
        <v>0</v>
      </c>
    </row>
    <row r="663">
      <c r="A663" s="49" t="n"/>
      <c r="B663" s="41" t="n"/>
      <c r="C663" s="41" t="n"/>
      <c r="D663" s="42" t="n"/>
      <c r="E663" s="42" t="n"/>
      <c r="F663" s="50" t="n"/>
      <c r="G663" s="42" t="n"/>
      <c r="H663" s="30">
        <f>IF(D663="","",IFERROR(INDEX(Config!$B$12:$B$15,MATCH(IF(AND(D663="Cartão de crédito",N(E663)&gt;1),"Cartão de crédito parcelado",D663),Config!$A$12:$A$15,0)),0)+IF(AND(Config!$B$17="Sim",LEFT(D663,17)="Cartão de crédito"),Config!$B$18*IFERROR(INDEX(Config!$C$12:$C$15,MATCH(IF(AND(D663="Cartão de crédito",N(E663)&gt;1),"Cartão de crédito parcelado",D663),Config!$A$12:$A$15,0)),0)/30*MAX(1,N(E663)),0))</f>
        <v/>
      </c>
      <c r="I663" s="29">
        <f>IF(OR(D663="",F663=""),"",ROUND(F663*H663,2))</f>
        <v/>
      </c>
      <c r="J663" s="29">
        <f>IF(I663="","",F663-I663)</f>
        <v/>
      </c>
      <c r="K663" s="29">
        <f>IF(J663="","",J663/MAX(1,N(E663)))</f>
        <v/>
      </c>
      <c r="L663" s="37">
        <f>IF(OR(D663="",A663=""),"",A663+IF(AND(Config!$B$17="Sim",LEFT(D663,17)="Cartão de crédito"),1,IFERROR(INDEX(Config!$C$12:$C$15,MATCH(IF(AND(D663="Cartão de crédito",N(E663)&gt;1),"Cartão de crédito parcelado",D663),Config!$A$12:$A$15,0)),0)))</f>
        <v/>
      </c>
      <c r="M663" s="37">
        <f>IF(L663="","",IF(AND(Config!$B$17="Sim",LEFT(D663,17)="Cartão de crédito"),L663,L663+30*(MAX(1,N(E663))-1)))</f>
        <v/>
      </c>
      <c r="N663" s="29">
        <f>IF(OR(L663="",K663=""),"",K663*MIN(MAX(1,N(E663)),MAX(0,INT((Config!$B$8-L663)/30)+1)))</f>
        <v/>
      </c>
      <c r="O663" s="29">
        <f>IF(J663="","",J663-N(N663))</f>
        <v/>
      </c>
      <c r="P663" s="27">
        <f>IF(A663="","",MONTH(A663))</f>
        <v/>
      </c>
      <c r="Q663" s="27">
        <f>IF(A663="","",YEAR(A663))</f>
        <v/>
      </c>
      <c r="R663" s="27">
        <f>IF(L663="","",IF(L663&gt;Config!$B$8,"A cair",IF(N(G663)&gt;=MIN(MAX(1,N(E663)),MAX(0,INT((Config!$B$8-L663)/30)+1)),IF(N(G663)&gt;=MAX(1,N(E663)),"Conferido","Conferido até aqui"),"A conferir")))</f>
        <v/>
      </c>
      <c r="S663" s="51">
        <f>IF(R663="A conferir",(Config!$B$8-L663)*1000+N(F663)/1000+ROW()/100000,0)</f>
        <v>0</v>
      </c>
      <c r="T663" s="51">
        <f>IF(R663="A conferir",N(N663),0)</f>
        <v>0</v>
      </c>
      <c r="U663" s="51">
        <f>IF(L663="",0,L663)</f>
        <v>0</v>
      </c>
      <c r="V663" s="51">
        <f>IF(L663="",0,MAX(1,N(E663)))</f>
        <v>0</v>
      </c>
      <c r="W663" s="51">
        <f>IF(K663="",0,K663)</f>
        <v>0</v>
      </c>
    </row>
    <row r="664">
      <c r="A664" s="49" t="n"/>
      <c r="B664" s="41" t="n"/>
      <c r="C664" s="41" t="n"/>
      <c r="D664" s="42" t="n"/>
      <c r="E664" s="42" t="n"/>
      <c r="F664" s="50" t="n"/>
      <c r="G664" s="42" t="n"/>
      <c r="H664" s="30">
        <f>IF(D664="","",IFERROR(INDEX(Config!$B$12:$B$15,MATCH(IF(AND(D664="Cartão de crédito",N(E664)&gt;1),"Cartão de crédito parcelado",D664),Config!$A$12:$A$15,0)),0)+IF(AND(Config!$B$17="Sim",LEFT(D664,17)="Cartão de crédito"),Config!$B$18*IFERROR(INDEX(Config!$C$12:$C$15,MATCH(IF(AND(D664="Cartão de crédito",N(E664)&gt;1),"Cartão de crédito parcelado",D664),Config!$A$12:$A$15,0)),0)/30*MAX(1,N(E664)),0))</f>
        <v/>
      </c>
      <c r="I664" s="29">
        <f>IF(OR(D664="",F664=""),"",ROUND(F664*H664,2))</f>
        <v/>
      </c>
      <c r="J664" s="29">
        <f>IF(I664="","",F664-I664)</f>
        <v/>
      </c>
      <c r="K664" s="29">
        <f>IF(J664="","",J664/MAX(1,N(E664)))</f>
        <v/>
      </c>
      <c r="L664" s="37">
        <f>IF(OR(D664="",A664=""),"",A664+IF(AND(Config!$B$17="Sim",LEFT(D664,17)="Cartão de crédito"),1,IFERROR(INDEX(Config!$C$12:$C$15,MATCH(IF(AND(D664="Cartão de crédito",N(E664)&gt;1),"Cartão de crédito parcelado",D664),Config!$A$12:$A$15,0)),0)))</f>
        <v/>
      </c>
      <c r="M664" s="37">
        <f>IF(L664="","",IF(AND(Config!$B$17="Sim",LEFT(D664,17)="Cartão de crédito"),L664,L664+30*(MAX(1,N(E664))-1)))</f>
        <v/>
      </c>
      <c r="N664" s="29">
        <f>IF(OR(L664="",K664=""),"",K664*MIN(MAX(1,N(E664)),MAX(0,INT((Config!$B$8-L664)/30)+1)))</f>
        <v/>
      </c>
      <c r="O664" s="29">
        <f>IF(J664="","",J664-N(N664))</f>
        <v/>
      </c>
      <c r="P664" s="27">
        <f>IF(A664="","",MONTH(A664))</f>
        <v/>
      </c>
      <c r="Q664" s="27">
        <f>IF(A664="","",YEAR(A664))</f>
        <v/>
      </c>
      <c r="R664" s="27">
        <f>IF(L664="","",IF(L664&gt;Config!$B$8,"A cair",IF(N(G664)&gt;=MIN(MAX(1,N(E664)),MAX(0,INT((Config!$B$8-L664)/30)+1)),IF(N(G664)&gt;=MAX(1,N(E664)),"Conferido","Conferido até aqui"),"A conferir")))</f>
        <v/>
      </c>
      <c r="S664" s="51">
        <f>IF(R664="A conferir",(Config!$B$8-L664)*1000+N(F664)/1000+ROW()/100000,0)</f>
        <v>0</v>
      </c>
      <c r="T664" s="51">
        <f>IF(R664="A conferir",N(N664),0)</f>
        <v>0</v>
      </c>
      <c r="U664" s="51">
        <f>IF(L664="",0,L664)</f>
        <v>0</v>
      </c>
      <c r="V664" s="51">
        <f>IF(L664="",0,MAX(1,N(E664)))</f>
        <v>0</v>
      </c>
      <c r="W664" s="51">
        <f>IF(K664="",0,K664)</f>
        <v>0</v>
      </c>
    </row>
    <row r="665">
      <c r="A665" s="49" t="n"/>
      <c r="B665" s="41" t="n"/>
      <c r="C665" s="41" t="n"/>
      <c r="D665" s="42" t="n"/>
      <c r="E665" s="42" t="n"/>
      <c r="F665" s="50" t="n"/>
      <c r="G665" s="42" t="n"/>
      <c r="H665" s="30">
        <f>IF(D665="","",IFERROR(INDEX(Config!$B$12:$B$15,MATCH(IF(AND(D665="Cartão de crédito",N(E665)&gt;1),"Cartão de crédito parcelado",D665),Config!$A$12:$A$15,0)),0)+IF(AND(Config!$B$17="Sim",LEFT(D665,17)="Cartão de crédito"),Config!$B$18*IFERROR(INDEX(Config!$C$12:$C$15,MATCH(IF(AND(D665="Cartão de crédito",N(E665)&gt;1),"Cartão de crédito parcelado",D665),Config!$A$12:$A$15,0)),0)/30*MAX(1,N(E665)),0))</f>
        <v/>
      </c>
      <c r="I665" s="29">
        <f>IF(OR(D665="",F665=""),"",ROUND(F665*H665,2))</f>
        <v/>
      </c>
      <c r="J665" s="29">
        <f>IF(I665="","",F665-I665)</f>
        <v/>
      </c>
      <c r="K665" s="29">
        <f>IF(J665="","",J665/MAX(1,N(E665)))</f>
        <v/>
      </c>
      <c r="L665" s="37">
        <f>IF(OR(D665="",A665=""),"",A665+IF(AND(Config!$B$17="Sim",LEFT(D665,17)="Cartão de crédito"),1,IFERROR(INDEX(Config!$C$12:$C$15,MATCH(IF(AND(D665="Cartão de crédito",N(E665)&gt;1),"Cartão de crédito parcelado",D665),Config!$A$12:$A$15,0)),0)))</f>
        <v/>
      </c>
      <c r="M665" s="37">
        <f>IF(L665="","",IF(AND(Config!$B$17="Sim",LEFT(D665,17)="Cartão de crédito"),L665,L665+30*(MAX(1,N(E665))-1)))</f>
        <v/>
      </c>
      <c r="N665" s="29">
        <f>IF(OR(L665="",K665=""),"",K665*MIN(MAX(1,N(E665)),MAX(0,INT((Config!$B$8-L665)/30)+1)))</f>
        <v/>
      </c>
      <c r="O665" s="29">
        <f>IF(J665="","",J665-N(N665))</f>
        <v/>
      </c>
      <c r="P665" s="27">
        <f>IF(A665="","",MONTH(A665))</f>
        <v/>
      </c>
      <c r="Q665" s="27">
        <f>IF(A665="","",YEAR(A665))</f>
        <v/>
      </c>
      <c r="R665" s="27">
        <f>IF(L665="","",IF(L665&gt;Config!$B$8,"A cair",IF(N(G665)&gt;=MIN(MAX(1,N(E665)),MAX(0,INT((Config!$B$8-L665)/30)+1)),IF(N(G665)&gt;=MAX(1,N(E665)),"Conferido","Conferido até aqui"),"A conferir")))</f>
        <v/>
      </c>
      <c r="S665" s="51">
        <f>IF(R665="A conferir",(Config!$B$8-L665)*1000+N(F665)/1000+ROW()/100000,0)</f>
        <v>0</v>
      </c>
      <c r="T665" s="51">
        <f>IF(R665="A conferir",N(N665),0)</f>
        <v>0</v>
      </c>
      <c r="U665" s="51">
        <f>IF(L665="",0,L665)</f>
        <v>0</v>
      </c>
      <c r="V665" s="51">
        <f>IF(L665="",0,MAX(1,N(E665)))</f>
        <v>0</v>
      </c>
      <c r="W665" s="51">
        <f>IF(K665="",0,K665)</f>
        <v>0</v>
      </c>
    </row>
    <row r="666">
      <c r="A666" s="49" t="n"/>
      <c r="B666" s="41" t="n"/>
      <c r="C666" s="41" t="n"/>
      <c r="D666" s="42" t="n"/>
      <c r="E666" s="42" t="n"/>
      <c r="F666" s="50" t="n"/>
      <c r="G666" s="42" t="n"/>
      <c r="H666" s="30">
        <f>IF(D666="","",IFERROR(INDEX(Config!$B$12:$B$15,MATCH(IF(AND(D666="Cartão de crédito",N(E666)&gt;1),"Cartão de crédito parcelado",D666),Config!$A$12:$A$15,0)),0)+IF(AND(Config!$B$17="Sim",LEFT(D666,17)="Cartão de crédito"),Config!$B$18*IFERROR(INDEX(Config!$C$12:$C$15,MATCH(IF(AND(D666="Cartão de crédito",N(E666)&gt;1),"Cartão de crédito parcelado",D666),Config!$A$12:$A$15,0)),0)/30*MAX(1,N(E666)),0))</f>
        <v/>
      </c>
      <c r="I666" s="29">
        <f>IF(OR(D666="",F666=""),"",ROUND(F666*H666,2))</f>
        <v/>
      </c>
      <c r="J666" s="29">
        <f>IF(I666="","",F666-I666)</f>
        <v/>
      </c>
      <c r="K666" s="29">
        <f>IF(J666="","",J666/MAX(1,N(E666)))</f>
        <v/>
      </c>
      <c r="L666" s="37">
        <f>IF(OR(D666="",A666=""),"",A666+IF(AND(Config!$B$17="Sim",LEFT(D666,17)="Cartão de crédito"),1,IFERROR(INDEX(Config!$C$12:$C$15,MATCH(IF(AND(D666="Cartão de crédito",N(E666)&gt;1),"Cartão de crédito parcelado",D666),Config!$A$12:$A$15,0)),0)))</f>
        <v/>
      </c>
      <c r="M666" s="37">
        <f>IF(L666="","",IF(AND(Config!$B$17="Sim",LEFT(D666,17)="Cartão de crédito"),L666,L666+30*(MAX(1,N(E666))-1)))</f>
        <v/>
      </c>
      <c r="N666" s="29">
        <f>IF(OR(L666="",K666=""),"",K666*MIN(MAX(1,N(E666)),MAX(0,INT((Config!$B$8-L666)/30)+1)))</f>
        <v/>
      </c>
      <c r="O666" s="29">
        <f>IF(J666="","",J666-N(N666))</f>
        <v/>
      </c>
      <c r="P666" s="27">
        <f>IF(A666="","",MONTH(A666))</f>
        <v/>
      </c>
      <c r="Q666" s="27">
        <f>IF(A666="","",YEAR(A666))</f>
        <v/>
      </c>
      <c r="R666" s="27">
        <f>IF(L666="","",IF(L666&gt;Config!$B$8,"A cair",IF(N(G666)&gt;=MIN(MAX(1,N(E666)),MAX(0,INT((Config!$B$8-L666)/30)+1)),IF(N(G666)&gt;=MAX(1,N(E666)),"Conferido","Conferido até aqui"),"A conferir")))</f>
        <v/>
      </c>
      <c r="S666" s="51">
        <f>IF(R666="A conferir",(Config!$B$8-L666)*1000+N(F666)/1000+ROW()/100000,0)</f>
        <v>0</v>
      </c>
      <c r="T666" s="51">
        <f>IF(R666="A conferir",N(N666),0)</f>
        <v>0</v>
      </c>
      <c r="U666" s="51">
        <f>IF(L666="",0,L666)</f>
        <v>0</v>
      </c>
      <c r="V666" s="51">
        <f>IF(L666="",0,MAX(1,N(E666)))</f>
        <v>0</v>
      </c>
      <c r="W666" s="51">
        <f>IF(K666="",0,K666)</f>
        <v>0</v>
      </c>
    </row>
    <row r="667">
      <c r="A667" s="49" t="n"/>
      <c r="B667" s="41" t="n"/>
      <c r="C667" s="41" t="n"/>
      <c r="D667" s="42" t="n"/>
      <c r="E667" s="42" t="n"/>
      <c r="F667" s="50" t="n"/>
      <c r="G667" s="42" t="n"/>
      <c r="H667" s="30">
        <f>IF(D667="","",IFERROR(INDEX(Config!$B$12:$B$15,MATCH(IF(AND(D667="Cartão de crédito",N(E667)&gt;1),"Cartão de crédito parcelado",D667),Config!$A$12:$A$15,0)),0)+IF(AND(Config!$B$17="Sim",LEFT(D667,17)="Cartão de crédito"),Config!$B$18*IFERROR(INDEX(Config!$C$12:$C$15,MATCH(IF(AND(D667="Cartão de crédito",N(E667)&gt;1),"Cartão de crédito parcelado",D667),Config!$A$12:$A$15,0)),0)/30*MAX(1,N(E667)),0))</f>
        <v/>
      </c>
      <c r="I667" s="29">
        <f>IF(OR(D667="",F667=""),"",ROUND(F667*H667,2))</f>
        <v/>
      </c>
      <c r="J667" s="29">
        <f>IF(I667="","",F667-I667)</f>
        <v/>
      </c>
      <c r="K667" s="29">
        <f>IF(J667="","",J667/MAX(1,N(E667)))</f>
        <v/>
      </c>
      <c r="L667" s="37">
        <f>IF(OR(D667="",A667=""),"",A667+IF(AND(Config!$B$17="Sim",LEFT(D667,17)="Cartão de crédito"),1,IFERROR(INDEX(Config!$C$12:$C$15,MATCH(IF(AND(D667="Cartão de crédito",N(E667)&gt;1),"Cartão de crédito parcelado",D667),Config!$A$12:$A$15,0)),0)))</f>
        <v/>
      </c>
      <c r="M667" s="37">
        <f>IF(L667="","",IF(AND(Config!$B$17="Sim",LEFT(D667,17)="Cartão de crédito"),L667,L667+30*(MAX(1,N(E667))-1)))</f>
        <v/>
      </c>
      <c r="N667" s="29">
        <f>IF(OR(L667="",K667=""),"",K667*MIN(MAX(1,N(E667)),MAX(0,INT((Config!$B$8-L667)/30)+1)))</f>
        <v/>
      </c>
      <c r="O667" s="29">
        <f>IF(J667="","",J667-N(N667))</f>
        <v/>
      </c>
      <c r="P667" s="27">
        <f>IF(A667="","",MONTH(A667))</f>
        <v/>
      </c>
      <c r="Q667" s="27">
        <f>IF(A667="","",YEAR(A667))</f>
        <v/>
      </c>
      <c r="R667" s="27">
        <f>IF(L667="","",IF(L667&gt;Config!$B$8,"A cair",IF(N(G667)&gt;=MIN(MAX(1,N(E667)),MAX(0,INT((Config!$B$8-L667)/30)+1)),IF(N(G667)&gt;=MAX(1,N(E667)),"Conferido","Conferido até aqui"),"A conferir")))</f>
        <v/>
      </c>
      <c r="S667" s="51">
        <f>IF(R667="A conferir",(Config!$B$8-L667)*1000+N(F667)/1000+ROW()/100000,0)</f>
        <v>0</v>
      </c>
      <c r="T667" s="51">
        <f>IF(R667="A conferir",N(N667),0)</f>
        <v>0</v>
      </c>
      <c r="U667" s="51">
        <f>IF(L667="",0,L667)</f>
        <v>0</v>
      </c>
      <c r="V667" s="51">
        <f>IF(L667="",0,MAX(1,N(E667)))</f>
        <v>0</v>
      </c>
      <c r="W667" s="51">
        <f>IF(K667="",0,K667)</f>
        <v>0</v>
      </c>
    </row>
    <row r="668">
      <c r="A668" s="49" t="n"/>
      <c r="B668" s="41" t="n"/>
      <c r="C668" s="41" t="n"/>
      <c r="D668" s="42" t="n"/>
      <c r="E668" s="42" t="n"/>
      <c r="F668" s="50" t="n"/>
      <c r="G668" s="42" t="n"/>
      <c r="H668" s="30">
        <f>IF(D668="","",IFERROR(INDEX(Config!$B$12:$B$15,MATCH(IF(AND(D668="Cartão de crédito",N(E668)&gt;1),"Cartão de crédito parcelado",D668),Config!$A$12:$A$15,0)),0)+IF(AND(Config!$B$17="Sim",LEFT(D668,17)="Cartão de crédito"),Config!$B$18*IFERROR(INDEX(Config!$C$12:$C$15,MATCH(IF(AND(D668="Cartão de crédito",N(E668)&gt;1),"Cartão de crédito parcelado",D668),Config!$A$12:$A$15,0)),0)/30*MAX(1,N(E668)),0))</f>
        <v/>
      </c>
      <c r="I668" s="29">
        <f>IF(OR(D668="",F668=""),"",ROUND(F668*H668,2))</f>
        <v/>
      </c>
      <c r="J668" s="29">
        <f>IF(I668="","",F668-I668)</f>
        <v/>
      </c>
      <c r="K668" s="29">
        <f>IF(J668="","",J668/MAX(1,N(E668)))</f>
        <v/>
      </c>
      <c r="L668" s="37">
        <f>IF(OR(D668="",A668=""),"",A668+IF(AND(Config!$B$17="Sim",LEFT(D668,17)="Cartão de crédito"),1,IFERROR(INDEX(Config!$C$12:$C$15,MATCH(IF(AND(D668="Cartão de crédito",N(E668)&gt;1),"Cartão de crédito parcelado",D668),Config!$A$12:$A$15,0)),0)))</f>
        <v/>
      </c>
      <c r="M668" s="37">
        <f>IF(L668="","",IF(AND(Config!$B$17="Sim",LEFT(D668,17)="Cartão de crédito"),L668,L668+30*(MAX(1,N(E668))-1)))</f>
        <v/>
      </c>
      <c r="N668" s="29">
        <f>IF(OR(L668="",K668=""),"",K668*MIN(MAX(1,N(E668)),MAX(0,INT((Config!$B$8-L668)/30)+1)))</f>
        <v/>
      </c>
      <c r="O668" s="29">
        <f>IF(J668="","",J668-N(N668))</f>
        <v/>
      </c>
      <c r="P668" s="27">
        <f>IF(A668="","",MONTH(A668))</f>
        <v/>
      </c>
      <c r="Q668" s="27">
        <f>IF(A668="","",YEAR(A668))</f>
        <v/>
      </c>
      <c r="R668" s="27">
        <f>IF(L668="","",IF(L668&gt;Config!$B$8,"A cair",IF(N(G668)&gt;=MIN(MAX(1,N(E668)),MAX(0,INT((Config!$B$8-L668)/30)+1)),IF(N(G668)&gt;=MAX(1,N(E668)),"Conferido","Conferido até aqui"),"A conferir")))</f>
        <v/>
      </c>
      <c r="S668" s="51">
        <f>IF(R668="A conferir",(Config!$B$8-L668)*1000+N(F668)/1000+ROW()/100000,0)</f>
        <v>0</v>
      </c>
      <c r="T668" s="51">
        <f>IF(R668="A conferir",N(N668),0)</f>
        <v>0</v>
      </c>
      <c r="U668" s="51">
        <f>IF(L668="",0,L668)</f>
        <v>0</v>
      </c>
      <c r="V668" s="51">
        <f>IF(L668="",0,MAX(1,N(E668)))</f>
        <v>0</v>
      </c>
      <c r="W668" s="51">
        <f>IF(K668="",0,K668)</f>
        <v>0</v>
      </c>
    </row>
    <row r="669">
      <c r="A669" s="49" t="n"/>
      <c r="B669" s="41" t="n"/>
      <c r="C669" s="41" t="n"/>
      <c r="D669" s="42" t="n"/>
      <c r="E669" s="42" t="n"/>
      <c r="F669" s="50" t="n"/>
      <c r="G669" s="42" t="n"/>
      <c r="H669" s="30">
        <f>IF(D669="","",IFERROR(INDEX(Config!$B$12:$B$15,MATCH(IF(AND(D669="Cartão de crédito",N(E669)&gt;1),"Cartão de crédito parcelado",D669),Config!$A$12:$A$15,0)),0)+IF(AND(Config!$B$17="Sim",LEFT(D669,17)="Cartão de crédito"),Config!$B$18*IFERROR(INDEX(Config!$C$12:$C$15,MATCH(IF(AND(D669="Cartão de crédito",N(E669)&gt;1),"Cartão de crédito parcelado",D669),Config!$A$12:$A$15,0)),0)/30*MAX(1,N(E669)),0))</f>
        <v/>
      </c>
      <c r="I669" s="29">
        <f>IF(OR(D669="",F669=""),"",ROUND(F669*H669,2))</f>
        <v/>
      </c>
      <c r="J669" s="29">
        <f>IF(I669="","",F669-I669)</f>
        <v/>
      </c>
      <c r="K669" s="29">
        <f>IF(J669="","",J669/MAX(1,N(E669)))</f>
        <v/>
      </c>
      <c r="L669" s="37">
        <f>IF(OR(D669="",A669=""),"",A669+IF(AND(Config!$B$17="Sim",LEFT(D669,17)="Cartão de crédito"),1,IFERROR(INDEX(Config!$C$12:$C$15,MATCH(IF(AND(D669="Cartão de crédito",N(E669)&gt;1),"Cartão de crédito parcelado",D669),Config!$A$12:$A$15,0)),0)))</f>
        <v/>
      </c>
      <c r="M669" s="37">
        <f>IF(L669="","",IF(AND(Config!$B$17="Sim",LEFT(D669,17)="Cartão de crédito"),L669,L669+30*(MAX(1,N(E669))-1)))</f>
        <v/>
      </c>
      <c r="N669" s="29">
        <f>IF(OR(L669="",K669=""),"",K669*MIN(MAX(1,N(E669)),MAX(0,INT((Config!$B$8-L669)/30)+1)))</f>
        <v/>
      </c>
      <c r="O669" s="29">
        <f>IF(J669="","",J669-N(N669))</f>
        <v/>
      </c>
      <c r="P669" s="27">
        <f>IF(A669="","",MONTH(A669))</f>
        <v/>
      </c>
      <c r="Q669" s="27">
        <f>IF(A669="","",YEAR(A669))</f>
        <v/>
      </c>
      <c r="R669" s="27">
        <f>IF(L669="","",IF(L669&gt;Config!$B$8,"A cair",IF(N(G669)&gt;=MIN(MAX(1,N(E669)),MAX(0,INT((Config!$B$8-L669)/30)+1)),IF(N(G669)&gt;=MAX(1,N(E669)),"Conferido","Conferido até aqui"),"A conferir")))</f>
        <v/>
      </c>
      <c r="S669" s="51">
        <f>IF(R669="A conferir",(Config!$B$8-L669)*1000+N(F669)/1000+ROW()/100000,0)</f>
        <v>0</v>
      </c>
      <c r="T669" s="51">
        <f>IF(R669="A conferir",N(N669),0)</f>
        <v>0</v>
      </c>
      <c r="U669" s="51">
        <f>IF(L669="",0,L669)</f>
        <v>0</v>
      </c>
      <c r="V669" s="51">
        <f>IF(L669="",0,MAX(1,N(E669)))</f>
        <v>0</v>
      </c>
      <c r="W669" s="51">
        <f>IF(K669="",0,K669)</f>
        <v>0</v>
      </c>
    </row>
    <row r="670">
      <c r="A670" s="49" t="n"/>
      <c r="B670" s="41" t="n"/>
      <c r="C670" s="41" t="n"/>
      <c r="D670" s="42" t="n"/>
      <c r="E670" s="42" t="n"/>
      <c r="F670" s="50" t="n"/>
      <c r="G670" s="42" t="n"/>
      <c r="H670" s="30">
        <f>IF(D670="","",IFERROR(INDEX(Config!$B$12:$B$15,MATCH(IF(AND(D670="Cartão de crédito",N(E670)&gt;1),"Cartão de crédito parcelado",D670),Config!$A$12:$A$15,0)),0)+IF(AND(Config!$B$17="Sim",LEFT(D670,17)="Cartão de crédito"),Config!$B$18*IFERROR(INDEX(Config!$C$12:$C$15,MATCH(IF(AND(D670="Cartão de crédito",N(E670)&gt;1),"Cartão de crédito parcelado",D670),Config!$A$12:$A$15,0)),0)/30*MAX(1,N(E670)),0))</f>
        <v/>
      </c>
      <c r="I670" s="29">
        <f>IF(OR(D670="",F670=""),"",ROUND(F670*H670,2))</f>
        <v/>
      </c>
      <c r="J670" s="29">
        <f>IF(I670="","",F670-I670)</f>
        <v/>
      </c>
      <c r="K670" s="29">
        <f>IF(J670="","",J670/MAX(1,N(E670)))</f>
        <v/>
      </c>
      <c r="L670" s="37">
        <f>IF(OR(D670="",A670=""),"",A670+IF(AND(Config!$B$17="Sim",LEFT(D670,17)="Cartão de crédito"),1,IFERROR(INDEX(Config!$C$12:$C$15,MATCH(IF(AND(D670="Cartão de crédito",N(E670)&gt;1),"Cartão de crédito parcelado",D670),Config!$A$12:$A$15,0)),0)))</f>
        <v/>
      </c>
      <c r="M670" s="37">
        <f>IF(L670="","",IF(AND(Config!$B$17="Sim",LEFT(D670,17)="Cartão de crédito"),L670,L670+30*(MAX(1,N(E670))-1)))</f>
        <v/>
      </c>
      <c r="N670" s="29">
        <f>IF(OR(L670="",K670=""),"",K670*MIN(MAX(1,N(E670)),MAX(0,INT((Config!$B$8-L670)/30)+1)))</f>
        <v/>
      </c>
      <c r="O670" s="29">
        <f>IF(J670="","",J670-N(N670))</f>
        <v/>
      </c>
      <c r="P670" s="27">
        <f>IF(A670="","",MONTH(A670))</f>
        <v/>
      </c>
      <c r="Q670" s="27">
        <f>IF(A670="","",YEAR(A670))</f>
        <v/>
      </c>
      <c r="R670" s="27">
        <f>IF(L670="","",IF(L670&gt;Config!$B$8,"A cair",IF(N(G670)&gt;=MIN(MAX(1,N(E670)),MAX(0,INT((Config!$B$8-L670)/30)+1)),IF(N(G670)&gt;=MAX(1,N(E670)),"Conferido","Conferido até aqui"),"A conferir")))</f>
        <v/>
      </c>
      <c r="S670" s="51">
        <f>IF(R670="A conferir",(Config!$B$8-L670)*1000+N(F670)/1000+ROW()/100000,0)</f>
        <v>0</v>
      </c>
      <c r="T670" s="51">
        <f>IF(R670="A conferir",N(N670),0)</f>
        <v>0</v>
      </c>
      <c r="U670" s="51">
        <f>IF(L670="",0,L670)</f>
        <v>0</v>
      </c>
      <c r="V670" s="51">
        <f>IF(L670="",0,MAX(1,N(E670)))</f>
        <v>0</v>
      </c>
      <c r="W670" s="51">
        <f>IF(K670="",0,K670)</f>
        <v>0</v>
      </c>
    </row>
    <row r="671">
      <c r="A671" s="49" t="n"/>
      <c r="B671" s="41" t="n"/>
      <c r="C671" s="41" t="n"/>
      <c r="D671" s="42" t="n"/>
      <c r="E671" s="42" t="n"/>
      <c r="F671" s="50" t="n"/>
      <c r="G671" s="42" t="n"/>
      <c r="H671" s="30">
        <f>IF(D671="","",IFERROR(INDEX(Config!$B$12:$B$15,MATCH(IF(AND(D671="Cartão de crédito",N(E671)&gt;1),"Cartão de crédito parcelado",D671),Config!$A$12:$A$15,0)),0)+IF(AND(Config!$B$17="Sim",LEFT(D671,17)="Cartão de crédito"),Config!$B$18*IFERROR(INDEX(Config!$C$12:$C$15,MATCH(IF(AND(D671="Cartão de crédito",N(E671)&gt;1),"Cartão de crédito parcelado",D671),Config!$A$12:$A$15,0)),0)/30*MAX(1,N(E671)),0))</f>
        <v/>
      </c>
      <c r="I671" s="29">
        <f>IF(OR(D671="",F671=""),"",ROUND(F671*H671,2))</f>
        <v/>
      </c>
      <c r="J671" s="29">
        <f>IF(I671="","",F671-I671)</f>
        <v/>
      </c>
      <c r="K671" s="29">
        <f>IF(J671="","",J671/MAX(1,N(E671)))</f>
        <v/>
      </c>
      <c r="L671" s="37">
        <f>IF(OR(D671="",A671=""),"",A671+IF(AND(Config!$B$17="Sim",LEFT(D671,17)="Cartão de crédito"),1,IFERROR(INDEX(Config!$C$12:$C$15,MATCH(IF(AND(D671="Cartão de crédito",N(E671)&gt;1),"Cartão de crédito parcelado",D671),Config!$A$12:$A$15,0)),0)))</f>
        <v/>
      </c>
      <c r="M671" s="37">
        <f>IF(L671="","",IF(AND(Config!$B$17="Sim",LEFT(D671,17)="Cartão de crédito"),L671,L671+30*(MAX(1,N(E671))-1)))</f>
        <v/>
      </c>
      <c r="N671" s="29">
        <f>IF(OR(L671="",K671=""),"",K671*MIN(MAX(1,N(E671)),MAX(0,INT((Config!$B$8-L671)/30)+1)))</f>
        <v/>
      </c>
      <c r="O671" s="29">
        <f>IF(J671="","",J671-N(N671))</f>
        <v/>
      </c>
      <c r="P671" s="27">
        <f>IF(A671="","",MONTH(A671))</f>
        <v/>
      </c>
      <c r="Q671" s="27">
        <f>IF(A671="","",YEAR(A671))</f>
        <v/>
      </c>
      <c r="R671" s="27">
        <f>IF(L671="","",IF(L671&gt;Config!$B$8,"A cair",IF(N(G671)&gt;=MIN(MAX(1,N(E671)),MAX(0,INT((Config!$B$8-L671)/30)+1)),IF(N(G671)&gt;=MAX(1,N(E671)),"Conferido","Conferido até aqui"),"A conferir")))</f>
        <v/>
      </c>
      <c r="S671" s="51">
        <f>IF(R671="A conferir",(Config!$B$8-L671)*1000+N(F671)/1000+ROW()/100000,0)</f>
        <v>0</v>
      </c>
      <c r="T671" s="51">
        <f>IF(R671="A conferir",N(N671),0)</f>
        <v>0</v>
      </c>
      <c r="U671" s="51">
        <f>IF(L671="",0,L671)</f>
        <v>0</v>
      </c>
      <c r="V671" s="51">
        <f>IF(L671="",0,MAX(1,N(E671)))</f>
        <v>0</v>
      </c>
      <c r="W671" s="51">
        <f>IF(K671="",0,K671)</f>
        <v>0</v>
      </c>
    </row>
    <row r="672">
      <c r="A672" s="49" t="n"/>
      <c r="B672" s="41" t="n"/>
      <c r="C672" s="41" t="n"/>
      <c r="D672" s="42" t="n"/>
      <c r="E672" s="42" t="n"/>
      <c r="F672" s="50" t="n"/>
      <c r="G672" s="42" t="n"/>
      <c r="H672" s="30">
        <f>IF(D672="","",IFERROR(INDEX(Config!$B$12:$B$15,MATCH(IF(AND(D672="Cartão de crédito",N(E672)&gt;1),"Cartão de crédito parcelado",D672),Config!$A$12:$A$15,0)),0)+IF(AND(Config!$B$17="Sim",LEFT(D672,17)="Cartão de crédito"),Config!$B$18*IFERROR(INDEX(Config!$C$12:$C$15,MATCH(IF(AND(D672="Cartão de crédito",N(E672)&gt;1),"Cartão de crédito parcelado",D672),Config!$A$12:$A$15,0)),0)/30*MAX(1,N(E672)),0))</f>
        <v/>
      </c>
      <c r="I672" s="29">
        <f>IF(OR(D672="",F672=""),"",ROUND(F672*H672,2))</f>
        <v/>
      </c>
      <c r="J672" s="29">
        <f>IF(I672="","",F672-I672)</f>
        <v/>
      </c>
      <c r="K672" s="29">
        <f>IF(J672="","",J672/MAX(1,N(E672)))</f>
        <v/>
      </c>
      <c r="L672" s="37">
        <f>IF(OR(D672="",A672=""),"",A672+IF(AND(Config!$B$17="Sim",LEFT(D672,17)="Cartão de crédito"),1,IFERROR(INDEX(Config!$C$12:$C$15,MATCH(IF(AND(D672="Cartão de crédito",N(E672)&gt;1),"Cartão de crédito parcelado",D672),Config!$A$12:$A$15,0)),0)))</f>
        <v/>
      </c>
      <c r="M672" s="37">
        <f>IF(L672="","",IF(AND(Config!$B$17="Sim",LEFT(D672,17)="Cartão de crédito"),L672,L672+30*(MAX(1,N(E672))-1)))</f>
        <v/>
      </c>
      <c r="N672" s="29">
        <f>IF(OR(L672="",K672=""),"",K672*MIN(MAX(1,N(E672)),MAX(0,INT((Config!$B$8-L672)/30)+1)))</f>
        <v/>
      </c>
      <c r="O672" s="29">
        <f>IF(J672="","",J672-N(N672))</f>
        <v/>
      </c>
      <c r="P672" s="27">
        <f>IF(A672="","",MONTH(A672))</f>
        <v/>
      </c>
      <c r="Q672" s="27">
        <f>IF(A672="","",YEAR(A672))</f>
        <v/>
      </c>
      <c r="R672" s="27">
        <f>IF(L672="","",IF(L672&gt;Config!$B$8,"A cair",IF(N(G672)&gt;=MIN(MAX(1,N(E672)),MAX(0,INT((Config!$B$8-L672)/30)+1)),IF(N(G672)&gt;=MAX(1,N(E672)),"Conferido","Conferido até aqui"),"A conferir")))</f>
        <v/>
      </c>
      <c r="S672" s="51">
        <f>IF(R672="A conferir",(Config!$B$8-L672)*1000+N(F672)/1000+ROW()/100000,0)</f>
        <v>0</v>
      </c>
      <c r="T672" s="51">
        <f>IF(R672="A conferir",N(N672),0)</f>
        <v>0</v>
      </c>
      <c r="U672" s="51">
        <f>IF(L672="",0,L672)</f>
        <v>0</v>
      </c>
      <c r="V672" s="51">
        <f>IF(L672="",0,MAX(1,N(E672)))</f>
        <v>0</v>
      </c>
      <c r="W672" s="51">
        <f>IF(K672="",0,K672)</f>
        <v>0</v>
      </c>
    </row>
    <row r="673">
      <c r="A673" s="49" t="n"/>
      <c r="B673" s="41" t="n"/>
      <c r="C673" s="41" t="n"/>
      <c r="D673" s="42" t="n"/>
      <c r="E673" s="42" t="n"/>
      <c r="F673" s="50" t="n"/>
      <c r="G673" s="42" t="n"/>
      <c r="H673" s="30">
        <f>IF(D673="","",IFERROR(INDEX(Config!$B$12:$B$15,MATCH(IF(AND(D673="Cartão de crédito",N(E673)&gt;1),"Cartão de crédito parcelado",D673),Config!$A$12:$A$15,0)),0)+IF(AND(Config!$B$17="Sim",LEFT(D673,17)="Cartão de crédito"),Config!$B$18*IFERROR(INDEX(Config!$C$12:$C$15,MATCH(IF(AND(D673="Cartão de crédito",N(E673)&gt;1),"Cartão de crédito parcelado",D673),Config!$A$12:$A$15,0)),0)/30*MAX(1,N(E673)),0))</f>
        <v/>
      </c>
      <c r="I673" s="29">
        <f>IF(OR(D673="",F673=""),"",ROUND(F673*H673,2))</f>
        <v/>
      </c>
      <c r="J673" s="29">
        <f>IF(I673="","",F673-I673)</f>
        <v/>
      </c>
      <c r="K673" s="29">
        <f>IF(J673="","",J673/MAX(1,N(E673)))</f>
        <v/>
      </c>
      <c r="L673" s="37">
        <f>IF(OR(D673="",A673=""),"",A673+IF(AND(Config!$B$17="Sim",LEFT(D673,17)="Cartão de crédito"),1,IFERROR(INDEX(Config!$C$12:$C$15,MATCH(IF(AND(D673="Cartão de crédito",N(E673)&gt;1),"Cartão de crédito parcelado",D673),Config!$A$12:$A$15,0)),0)))</f>
        <v/>
      </c>
      <c r="M673" s="37">
        <f>IF(L673="","",IF(AND(Config!$B$17="Sim",LEFT(D673,17)="Cartão de crédito"),L673,L673+30*(MAX(1,N(E673))-1)))</f>
        <v/>
      </c>
      <c r="N673" s="29">
        <f>IF(OR(L673="",K673=""),"",K673*MIN(MAX(1,N(E673)),MAX(0,INT((Config!$B$8-L673)/30)+1)))</f>
        <v/>
      </c>
      <c r="O673" s="29">
        <f>IF(J673="","",J673-N(N673))</f>
        <v/>
      </c>
      <c r="P673" s="27">
        <f>IF(A673="","",MONTH(A673))</f>
        <v/>
      </c>
      <c r="Q673" s="27">
        <f>IF(A673="","",YEAR(A673))</f>
        <v/>
      </c>
      <c r="R673" s="27">
        <f>IF(L673="","",IF(L673&gt;Config!$B$8,"A cair",IF(N(G673)&gt;=MIN(MAX(1,N(E673)),MAX(0,INT((Config!$B$8-L673)/30)+1)),IF(N(G673)&gt;=MAX(1,N(E673)),"Conferido","Conferido até aqui"),"A conferir")))</f>
        <v/>
      </c>
      <c r="S673" s="51">
        <f>IF(R673="A conferir",(Config!$B$8-L673)*1000+N(F673)/1000+ROW()/100000,0)</f>
        <v>0</v>
      </c>
      <c r="T673" s="51">
        <f>IF(R673="A conferir",N(N673),0)</f>
        <v>0</v>
      </c>
      <c r="U673" s="51">
        <f>IF(L673="",0,L673)</f>
        <v>0</v>
      </c>
      <c r="V673" s="51">
        <f>IF(L673="",0,MAX(1,N(E673)))</f>
        <v>0</v>
      </c>
      <c r="W673" s="51">
        <f>IF(K673="",0,K673)</f>
        <v>0</v>
      </c>
    </row>
    <row r="674">
      <c r="A674" s="49" t="n"/>
      <c r="B674" s="41" t="n"/>
      <c r="C674" s="41" t="n"/>
      <c r="D674" s="42" t="n"/>
      <c r="E674" s="42" t="n"/>
      <c r="F674" s="50" t="n"/>
      <c r="G674" s="42" t="n"/>
      <c r="H674" s="30">
        <f>IF(D674="","",IFERROR(INDEX(Config!$B$12:$B$15,MATCH(IF(AND(D674="Cartão de crédito",N(E674)&gt;1),"Cartão de crédito parcelado",D674),Config!$A$12:$A$15,0)),0)+IF(AND(Config!$B$17="Sim",LEFT(D674,17)="Cartão de crédito"),Config!$B$18*IFERROR(INDEX(Config!$C$12:$C$15,MATCH(IF(AND(D674="Cartão de crédito",N(E674)&gt;1),"Cartão de crédito parcelado",D674),Config!$A$12:$A$15,0)),0)/30*MAX(1,N(E674)),0))</f>
        <v/>
      </c>
      <c r="I674" s="29">
        <f>IF(OR(D674="",F674=""),"",ROUND(F674*H674,2))</f>
        <v/>
      </c>
      <c r="J674" s="29">
        <f>IF(I674="","",F674-I674)</f>
        <v/>
      </c>
      <c r="K674" s="29">
        <f>IF(J674="","",J674/MAX(1,N(E674)))</f>
        <v/>
      </c>
      <c r="L674" s="37">
        <f>IF(OR(D674="",A674=""),"",A674+IF(AND(Config!$B$17="Sim",LEFT(D674,17)="Cartão de crédito"),1,IFERROR(INDEX(Config!$C$12:$C$15,MATCH(IF(AND(D674="Cartão de crédito",N(E674)&gt;1),"Cartão de crédito parcelado",D674),Config!$A$12:$A$15,0)),0)))</f>
        <v/>
      </c>
      <c r="M674" s="37">
        <f>IF(L674="","",IF(AND(Config!$B$17="Sim",LEFT(D674,17)="Cartão de crédito"),L674,L674+30*(MAX(1,N(E674))-1)))</f>
        <v/>
      </c>
      <c r="N674" s="29">
        <f>IF(OR(L674="",K674=""),"",K674*MIN(MAX(1,N(E674)),MAX(0,INT((Config!$B$8-L674)/30)+1)))</f>
        <v/>
      </c>
      <c r="O674" s="29">
        <f>IF(J674="","",J674-N(N674))</f>
        <v/>
      </c>
      <c r="P674" s="27">
        <f>IF(A674="","",MONTH(A674))</f>
        <v/>
      </c>
      <c r="Q674" s="27">
        <f>IF(A674="","",YEAR(A674))</f>
        <v/>
      </c>
      <c r="R674" s="27">
        <f>IF(L674="","",IF(L674&gt;Config!$B$8,"A cair",IF(N(G674)&gt;=MIN(MAX(1,N(E674)),MAX(0,INT((Config!$B$8-L674)/30)+1)),IF(N(G674)&gt;=MAX(1,N(E674)),"Conferido","Conferido até aqui"),"A conferir")))</f>
        <v/>
      </c>
      <c r="S674" s="51">
        <f>IF(R674="A conferir",(Config!$B$8-L674)*1000+N(F674)/1000+ROW()/100000,0)</f>
        <v>0</v>
      </c>
      <c r="T674" s="51">
        <f>IF(R674="A conferir",N(N674),0)</f>
        <v>0</v>
      </c>
      <c r="U674" s="51">
        <f>IF(L674="",0,L674)</f>
        <v>0</v>
      </c>
      <c r="V674" s="51">
        <f>IF(L674="",0,MAX(1,N(E674)))</f>
        <v>0</v>
      </c>
      <c r="W674" s="51">
        <f>IF(K674="",0,K674)</f>
        <v>0</v>
      </c>
    </row>
    <row r="675">
      <c r="A675" s="49" t="n"/>
      <c r="B675" s="41" t="n"/>
      <c r="C675" s="41" t="n"/>
      <c r="D675" s="42" t="n"/>
      <c r="E675" s="42" t="n"/>
      <c r="F675" s="50" t="n"/>
      <c r="G675" s="42" t="n"/>
      <c r="H675" s="30">
        <f>IF(D675="","",IFERROR(INDEX(Config!$B$12:$B$15,MATCH(IF(AND(D675="Cartão de crédito",N(E675)&gt;1),"Cartão de crédito parcelado",D675),Config!$A$12:$A$15,0)),0)+IF(AND(Config!$B$17="Sim",LEFT(D675,17)="Cartão de crédito"),Config!$B$18*IFERROR(INDEX(Config!$C$12:$C$15,MATCH(IF(AND(D675="Cartão de crédito",N(E675)&gt;1),"Cartão de crédito parcelado",D675),Config!$A$12:$A$15,0)),0)/30*MAX(1,N(E675)),0))</f>
        <v/>
      </c>
      <c r="I675" s="29">
        <f>IF(OR(D675="",F675=""),"",ROUND(F675*H675,2))</f>
        <v/>
      </c>
      <c r="J675" s="29">
        <f>IF(I675="","",F675-I675)</f>
        <v/>
      </c>
      <c r="K675" s="29">
        <f>IF(J675="","",J675/MAX(1,N(E675)))</f>
        <v/>
      </c>
      <c r="L675" s="37">
        <f>IF(OR(D675="",A675=""),"",A675+IF(AND(Config!$B$17="Sim",LEFT(D675,17)="Cartão de crédito"),1,IFERROR(INDEX(Config!$C$12:$C$15,MATCH(IF(AND(D675="Cartão de crédito",N(E675)&gt;1),"Cartão de crédito parcelado",D675),Config!$A$12:$A$15,0)),0)))</f>
        <v/>
      </c>
      <c r="M675" s="37">
        <f>IF(L675="","",IF(AND(Config!$B$17="Sim",LEFT(D675,17)="Cartão de crédito"),L675,L675+30*(MAX(1,N(E675))-1)))</f>
        <v/>
      </c>
      <c r="N675" s="29">
        <f>IF(OR(L675="",K675=""),"",K675*MIN(MAX(1,N(E675)),MAX(0,INT((Config!$B$8-L675)/30)+1)))</f>
        <v/>
      </c>
      <c r="O675" s="29">
        <f>IF(J675="","",J675-N(N675))</f>
        <v/>
      </c>
      <c r="P675" s="27">
        <f>IF(A675="","",MONTH(A675))</f>
        <v/>
      </c>
      <c r="Q675" s="27">
        <f>IF(A675="","",YEAR(A675))</f>
        <v/>
      </c>
      <c r="R675" s="27">
        <f>IF(L675="","",IF(L675&gt;Config!$B$8,"A cair",IF(N(G675)&gt;=MIN(MAX(1,N(E675)),MAX(0,INT((Config!$B$8-L675)/30)+1)),IF(N(G675)&gt;=MAX(1,N(E675)),"Conferido","Conferido até aqui"),"A conferir")))</f>
        <v/>
      </c>
      <c r="S675" s="51">
        <f>IF(R675="A conferir",(Config!$B$8-L675)*1000+N(F675)/1000+ROW()/100000,0)</f>
        <v>0</v>
      </c>
      <c r="T675" s="51">
        <f>IF(R675="A conferir",N(N675),0)</f>
        <v>0</v>
      </c>
      <c r="U675" s="51">
        <f>IF(L675="",0,L675)</f>
        <v>0</v>
      </c>
      <c r="V675" s="51">
        <f>IF(L675="",0,MAX(1,N(E675)))</f>
        <v>0</v>
      </c>
      <c r="W675" s="51">
        <f>IF(K675="",0,K675)</f>
        <v>0</v>
      </c>
    </row>
    <row r="676">
      <c r="A676" s="49" t="n"/>
      <c r="B676" s="41" t="n"/>
      <c r="C676" s="41" t="n"/>
      <c r="D676" s="42" t="n"/>
      <c r="E676" s="42" t="n"/>
      <c r="F676" s="50" t="n"/>
      <c r="G676" s="42" t="n"/>
      <c r="H676" s="30">
        <f>IF(D676="","",IFERROR(INDEX(Config!$B$12:$B$15,MATCH(IF(AND(D676="Cartão de crédito",N(E676)&gt;1),"Cartão de crédito parcelado",D676),Config!$A$12:$A$15,0)),0)+IF(AND(Config!$B$17="Sim",LEFT(D676,17)="Cartão de crédito"),Config!$B$18*IFERROR(INDEX(Config!$C$12:$C$15,MATCH(IF(AND(D676="Cartão de crédito",N(E676)&gt;1),"Cartão de crédito parcelado",D676),Config!$A$12:$A$15,0)),0)/30*MAX(1,N(E676)),0))</f>
        <v/>
      </c>
      <c r="I676" s="29">
        <f>IF(OR(D676="",F676=""),"",ROUND(F676*H676,2))</f>
        <v/>
      </c>
      <c r="J676" s="29">
        <f>IF(I676="","",F676-I676)</f>
        <v/>
      </c>
      <c r="K676" s="29">
        <f>IF(J676="","",J676/MAX(1,N(E676)))</f>
        <v/>
      </c>
      <c r="L676" s="37">
        <f>IF(OR(D676="",A676=""),"",A676+IF(AND(Config!$B$17="Sim",LEFT(D676,17)="Cartão de crédito"),1,IFERROR(INDEX(Config!$C$12:$C$15,MATCH(IF(AND(D676="Cartão de crédito",N(E676)&gt;1),"Cartão de crédito parcelado",D676),Config!$A$12:$A$15,0)),0)))</f>
        <v/>
      </c>
      <c r="M676" s="37">
        <f>IF(L676="","",IF(AND(Config!$B$17="Sim",LEFT(D676,17)="Cartão de crédito"),L676,L676+30*(MAX(1,N(E676))-1)))</f>
        <v/>
      </c>
      <c r="N676" s="29">
        <f>IF(OR(L676="",K676=""),"",K676*MIN(MAX(1,N(E676)),MAX(0,INT((Config!$B$8-L676)/30)+1)))</f>
        <v/>
      </c>
      <c r="O676" s="29">
        <f>IF(J676="","",J676-N(N676))</f>
        <v/>
      </c>
      <c r="P676" s="27">
        <f>IF(A676="","",MONTH(A676))</f>
        <v/>
      </c>
      <c r="Q676" s="27">
        <f>IF(A676="","",YEAR(A676))</f>
        <v/>
      </c>
      <c r="R676" s="27">
        <f>IF(L676="","",IF(L676&gt;Config!$B$8,"A cair",IF(N(G676)&gt;=MIN(MAX(1,N(E676)),MAX(0,INT((Config!$B$8-L676)/30)+1)),IF(N(G676)&gt;=MAX(1,N(E676)),"Conferido","Conferido até aqui"),"A conferir")))</f>
        <v/>
      </c>
      <c r="S676" s="51">
        <f>IF(R676="A conferir",(Config!$B$8-L676)*1000+N(F676)/1000+ROW()/100000,0)</f>
        <v>0</v>
      </c>
      <c r="T676" s="51">
        <f>IF(R676="A conferir",N(N676),0)</f>
        <v>0</v>
      </c>
      <c r="U676" s="51">
        <f>IF(L676="",0,L676)</f>
        <v>0</v>
      </c>
      <c r="V676" s="51">
        <f>IF(L676="",0,MAX(1,N(E676)))</f>
        <v>0</v>
      </c>
      <c r="W676" s="51">
        <f>IF(K676="",0,K676)</f>
        <v>0</v>
      </c>
    </row>
    <row r="677">
      <c r="A677" s="49" t="n"/>
      <c r="B677" s="41" t="n"/>
      <c r="C677" s="41" t="n"/>
      <c r="D677" s="42" t="n"/>
      <c r="E677" s="42" t="n"/>
      <c r="F677" s="50" t="n"/>
      <c r="G677" s="42" t="n"/>
      <c r="H677" s="30">
        <f>IF(D677="","",IFERROR(INDEX(Config!$B$12:$B$15,MATCH(IF(AND(D677="Cartão de crédito",N(E677)&gt;1),"Cartão de crédito parcelado",D677),Config!$A$12:$A$15,0)),0)+IF(AND(Config!$B$17="Sim",LEFT(D677,17)="Cartão de crédito"),Config!$B$18*IFERROR(INDEX(Config!$C$12:$C$15,MATCH(IF(AND(D677="Cartão de crédito",N(E677)&gt;1),"Cartão de crédito parcelado",D677),Config!$A$12:$A$15,0)),0)/30*MAX(1,N(E677)),0))</f>
        <v/>
      </c>
      <c r="I677" s="29">
        <f>IF(OR(D677="",F677=""),"",ROUND(F677*H677,2))</f>
        <v/>
      </c>
      <c r="J677" s="29">
        <f>IF(I677="","",F677-I677)</f>
        <v/>
      </c>
      <c r="K677" s="29">
        <f>IF(J677="","",J677/MAX(1,N(E677)))</f>
        <v/>
      </c>
      <c r="L677" s="37">
        <f>IF(OR(D677="",A677=""),"",A677+IF(AND(Config!$B$17="Sim",LEFT(D677,17)="Cartão de crédito"),1,IFERROR(INDEX(Config!$C$12:$C$15,MATCH(IF(AND(D677="Cartão de crédito",N(E677)&gt;1),"Cartão de crédito parcelado",D677),Config!$A$12:$A$15,0)),0)))</f>
        <v/>
      </c>
      <c r="M677" s="37">
        <f>IF(L677="","",IF(AND(Config!$B$17="Sim",LEFT(D677,17)="Cartão de crédito"),L677,L677+30*(MAX(1,N(E677))-1)))</f>
        <v/>
      </c>
      <c r="N677" s="29">
        <f>IF(OR(L677="",K677=""),"",K677*MIN(MAX(1,N(E677)),MAX(0,INT((Config!$B$8-L677)/30)+1)))</f>
        <v/>
      </c>
      <c r="O677" s="29">
        <f>IF(J677="","",J677-N(N677))</f>
        <v/>
      </c>
      <c r="P677" s="27">
        <f>IF(A677="","",MONTH(A677))</f>
        <v/>
      </c>
      <c r="Q677" s="27">
        <f>IF(A677="","",YEAR(A677))</f>
        <v/>
      </c>
      <c r="R677" s="27">
        <f>IF(L677="","",IF(L677&gt;Config!$B$8,"A cair",IF(N(G677)&gt;=MIN(MAX(1,N(E677)),MAX(0,INT((Config!$B$8-L677)/30)+1)),IF(N(G677)&gt;=MAX(1,N(E677)),"Conferido","Conferido até aqui"),"A conferir")))</f>
        <v/>
      </c>
      <c r="S677" s="51">
        <f>IF(R677="A conferir",(Config!$B$8-L677)*1000+N(F677)/1000+ROW()/100000,0)</f>
        <v>0</v>
      </c>
      <c r="T677" s="51">
        <f>IF(R677="A conferir",N(N677),0)</f>
        <v>0</v>
      </c>
      <c r="U677" s="51">
        <f>IF(L677="",0,L677)</f>
        <v>0</v>
      </c>
      <c r="V677" s="51">
        <f>IF(L677="",0,MAX(1,N(E677)))</f>
        <v>0</v>
      </c>
      <c r="W677" s="51">
        <f>IF(K677="",0,K677)</f>
        <v>0</v>
      </c>
    </row>
    <row r="678">
      <c r="A678" s="49" t="n"/>
      <c r="B678" s="41" t="n"/>
      <c r="C678" s="41" t="n"/>
      <c r="D678" s="42" t="n"/>
      <c r="E678" s="42" t="n"/>
      <c r="F678" s="50" t="n"/>
      <c r="G678" s="42" t="n"/>
      <c r="H678" s="30">
        <f>IF(D678="","",IFERROR(INDEX(Config!$B$12:$B$15,MATCH(IF(AND(D678="Cartão de crédito",N(E678)&gt;1),"Cartão de crédito parcelado",D678),Config!$A$12:$A$15,0)),0)+IF(AND(Config!$B$17="Sim",LEFT(D678,17)="Cartão de crédito"),Config!$B$18*IFERROR(INDEX(Config!$C$12:$C$15,MATCH(IF(AND(D678="Cartão de crédito",N(E678)&gt;1),"Cartão de crédito parcelado",D678),Config!$A$12:$A$15,0)),0)/30*MAX(1,N(E678)),0))</f>
        <v/>
      </c>
      <c r="I678" s="29">
        <f>IF(OR(D678="",F678=""),"",ROUND(F678*H678,2))</f>
        <v/>
      </c>
      <c r="J678" s="29">
        <f>IF(I678="","",F678-I678)</f>
        <v/>
      </c>
      <c r="K678" s="29">
        <f>IF(J678="","",J678/MAX(1,N(E678)))</f>
        <v/>
      </c>
      <c r="L678" s="37">
        <f>IF(OR(D678="",A678=""),"",A678+IF(AND(Config!$B$17="Sim",LEFT(D678,17)="Cartão de crédito"),1,IFERROR(INDEX(Config!$C$12:$C$15,MATCH(IF(AND(D678="Cartão de crédito",N(E678)&gt;1),"Cartão de crédito parcelado",D678),Config!$A$12:$A$15,0)),0)))</f>
        <v/>
      </c>
      <c r="M678" s="37">
        <f>IF(L678="","",IF(AND(Config!$B$17="Sim",LEFT(D678,17)="Cartão de crédito"),L678,L678+30*(MAX(1,N(E678))-1)))</f>
        <v/>
      </c>
      <c r="N678" s="29">
        <f>IF(OR(L678="",K678=""),"",K678*MIN(MAX(1,N(E678)),MAX(0,INT((Config!$B$8-L678)/30)+1)))</f>
        <v/>
      </c>
      <c r="O678" s="29">
        <f>IF(J678="","",J678-N(N678))</f>
        <v/>
      </c>
      <c r="P678" s="27">
        <f>IF(A678="","",MONTH(A678))</f>
        <v/>
      </c>
      <c r="Q678" s="27">
        <f>IF(A678="","",YEAR(A678))</f>
        <v/>
      </c>
      <c r="R678" s="27">
        <f>IF(L678="","",IF(L678&gt;Config!$B$8,"A cair",IF(N(G678)&gt;=MIN(MAX(1,N(E678)),MAX(0,INT((Config!$B$8-L678)/30)+1)),IF(N(G678)&gt;=MAX(1,N(E678)),"Conferido","Conferido até aqui"),"A conferir")))</f>
        <v/>
      </c>
      <c r="S678" s="51">
        <f>IF(R678="A conferir",(Config!$B$8-L678)*1000+N(F678)/1000+ROW()/100000,0)</f>
        <v>0</v>
      </c>
      <c r="T678" s="51">
        <f>IF(R678="A conferir",N(N678),0)</f>
        <v>0</v>
      </c>
      <c r="U678" s="51">
        <f>IF(L678="",0,L678)</f>
        <v>0</v>
      </c>
      <c r="V678" s="51">
        <f>IF(L678="",0,MAX(1,N(E678)))</f>
        <v>0</v>
      </c>
      <c r="W678" s="51">
        <f>IF(K678="",0,K678)</f>
        <v>0</v>
      </c>
    </row>
    <row r="679">
      <c r="A679" s="49" t="n"/>
      <c r="B679" s="41" t="n"/>
      <c r="C679" s="41" t="n"/>
      <c r="D679" s="42" t="n"/>
      <c r="E679" s="42" t="n"/>
      <c r="F679" s="50" t="n"/>
      <c r="G679" s="42" t="n"/>
      <c r="H679" s="30">
        <f>IF(D679="","",IFERROR(INDEX(Config!$B$12:$B$15,MATCH(IF(AND(D679="Cartão de crédito",N(E679)&gt;1),"Cartão de crédito parcelado",D679),Config!$A$12:$A$15,0)),0)+IF(AND(Config!$B$17="Sim",LEFT(D679,17)="Cartão de crédito"),Config!$B$18*IFERROR(INDEX(Config!$C$12:$C$15,MATCH(IF(AND(D679="Cartão de crédito",N(E679)&gt;1),"Cartão de crédito parcelado",D679),Config!$A$12:$A$15,0)),0)/30*MAX(1,N(E679)),0))</f>
        <v/>
      </c>
      <c r="I679" s="29">
        <f>IF(OR(D679="",F679=""),"",ROUND(F679*H679,2))</f>
        <v/>
      </c>
      <c r="J679" s="29">
        <f>IF(I679="","",F679-I679)</f>
        <v/>
      </c>
      <c r="K679" s="29">
        <f>IF(J679="","",J679/MAX(1,N(E679)))</f>
        <v/>
      </c>
      <c r="L679" s="37">
        <f>IF(OR(D679="",A679=""),"",A679+IF(AND(Config!$B$17="Sim",LEFT(D679,17)="Cartão de crédito"),1,IFERROR(INDEX(Config!$C$12:$C$15,MATCH(IF(AND(D679="Cartão de crédito",N(E679)&gt;1),"Cartão de crédito parcelado",D679),Config!$A$12:$A$15,0)),0)))</f>
        <v/>
      </c>
      <c r="M679" s="37">
        <f>IF(L679="","",IF(AND(Config!$B$17="Sim",LEFT(D679,17)="Cartão de crédito"),L679,L679+30*(MAX(1,N(E679))-1)))</f>
        <v/>
      </c>
      <c r="N679" s="29">
        <f>IF(OR(L679="",K679=""),"",K679*MIN(MAX(1,N(E679)),MAX(0,INT((Config!$B$8-L679)/30)+1)))</f>
        <v/>
      </c>
      <c r="O679" s="29">
        <f>IF(J679="","",J679-N(N679))</f>
        <v/>
      </c>
      <c r="P679" s="27">
        <f>IF(A679="","",MONTH(A679))</f>
        <v/>
      </c>
      <c r="Q679" s="27">
        <f>IF(A679="","",YEAR(A679))</f>
        <v/>
      </c>
      <c r="R679" s="27">
        <f>IF(L679="","",IF(L679&gt;Config!$B$8,"A cair",IF(N(G679)&gt;=MIN(MAX(1,N(E679)),MAX(0,INT((Config!$B$8-L679)/30)+1)),IF(N(G679)&gt;=MAX(1,N(E679)),"Conferido","Conferido até aqui"),"A conferir")))</f>
        <v/>
      </c>
      <c r="S679" s="51">
        <f>IF(R679="A conferir",(Config!$B$8-L679)*1000+N(F679)/1000+ROW()/100000,0)</f>
        <v>0</v>
      </c>
      <c r="T679" s="51">
        <f>IF(R679="A conferir",N(N679),0)</f>
        <v>0</v>
      </c>
      <c r="U679" s="51">
        <f>IF(L679="",0,L679)</f>
        <v>0</v>
      </c>
      <c r="V679" s="51">
        <f>IF(L679="",0,MAX(1,N(E679)))</f>
        <v>0</v>
      </c>
      <c r="W679" s="51">
        <f>IF(K679="",0,K679)</f>
        <v>0</v>
      </c>
    </row>
    <row r="680">
      <c r="A680" s="49" t="n"/>
      <c r="B680" s="41" t="n"/>
      <c r="C680" s="41" t="n"/>
      <c r="D680" s="42" t="n"/>
      <c r="E680" s="42" t="n"/>
      <c r="F680" s="50" t="n"/>
      <c r="G680" s="42" t="n"/>
      <c r="H680" s="30">
        <f>IF(D680="","",IFERROR(INDEX(Config!$B$12:$B$15,MATCH(IF(AND(D680="Cartão de crédito",N(E680)&gt;1),"Cartão de crédito parcelado",D680),Config!$A$12:$A$15,0)),0)+IF(AND(Config!$B$17="Sim",LEFT(D680,17)="Cartão de crédito"),Config!$B$18*IFERROR(INDEX(Config!$C$12:$C$15,MATCH(IF(AND(D680="Cartão de crédito",N(E680)&gt;1),"Cartão de crédito parcelado",D680),Config!$A$12:$A$15,0)),0)/30*MAX(1,N(E680)),0))</f>
        <v/>
      </c>
      <c r="I680" s="29">
        <f>IF(OR(D680="",F680=""),"",ROUND(F680*H680,2))</f>
        <v/>
      </c>
      <c r="J680" s="29">
        <f>IF(I680="","",F680-I680)</f>
        <v/>
      </c>
      <c r="K680" s="29">
        <f>IF(J680="","",J680/MAX(1,N(E680)))</f>
        <v/>
      </c>
      <c r="L680" s="37">
        <f>IF(OR(D680="",A680=""),"",A680+IF(AND(Config!$B$17="Sim",LEFT(D680,17)="Cartão de crédito"),1,IFERROR(INDEX(Config!$C$12:$C$15,MATCH(IF(AND(D680="Cartão de crédito",N(E680)&gt;1),"Cartão de crédito parcelado",D680),Config!$A$12:$A$15,0)),0)))</f>
        <v/>
      </c>
      <c r="M680" s="37">
        <f>IF(L680="","",IF(AND(Config!$B$17="Sim",LEFT(D680,17)="Cartão de crédito"),L680,L680+30*(MAX(1,N(E680))-1)))</f>
        <v/>
      </c>
      <c r="N680" s="29">
        <f>IF(OR(L680="",K680=""),"",K680*MIN(MAX(1,N(E680)),MAX(0,INT((Config!$B$8-L680)/30)+1)))</f>
        <v/>
      </c>
      <c r="O680" s="29">
        <f>IF(J680="","",J680-N(N680))</f>
        <v/>
      </c>
      <c r="P680" s="27">
        <f>IF(A680="","",MONTH(A680))</f>
        <v/>
      </c>
      <c r="Q680" s="27">
        <f>IF(A680="","",YEAR(A680))</f>
        <v/>
      </c>
      <c r="R680" s="27">
        <f>IF(L680="","",IF(L680&gt;Config!$B$8,"A cair",IF(N(G680)&gt;=MIN(MAX(1,N(E680)),MAX(0,INT((Config!$B$8-L680)/30)+1)),IF(N(G680)&gt;=MAX(1,N(E680)),"Conferido","Conferido até aqui"),"A conferir")))</f>
        <v/>
      </c>
      <c r="S680" s="51">
        <f>IF(R680="A conferir",(Config!$B$8-L680)*1000+N(F680)/1000+ROW()/100000,0)</f>
        <v>0</v>
      </c>
      <c r="T680" s="51">
        <f>IF(R680="A conferir",N(N680),0)</f>
        <v>0</v>
      </c>
      <c r="U680" s="51">
        <f>IF(L680="",0,L680)</f>
        <v>0</v>
      </c>
      <c r="V680" s="51">
        <f>IF(L680="",0,MAX(1,N(E680)))</f>
        <v>0</v>
      </c>
      <c r="W680" s="51">
        <f>IF(K680="",0,K680)</f>
        <v>0</v>
      </c>
    </row>
    <row r="681">
      <c r="A681" s="49" t="n"/>
      <c r="B681" s="41" t="n"/>
      <c r="C681" s="41" t="n"/>
      <c r="D681" s="42" t="n"/>
      <c r="E681" s="42" t="n"/>
      <c r="F681" s="50" t="n"/>
      <c r="G681" s="42" t="n"/>
      <c r="H681" s="30">
        <f>IF(D681="","",IFERROR(INDEX(Config!$B$12:$B$15,MATCH(IF(AND(D681="Cartão de crédito",N(E681)&gt;1),"Cartão de crédito parcelado",D681),Config!$A$12:$A$15,0)),0)+IF(AND(Config!$B$17="Sim",LEFT(D681,17)="Cartão de crédito"),Config!$B$18*IFERROR(INDEX(Config!$C$12:$C$15,MATCH(IF(AND(D681="Cartão de crédito",N(E681)&gt;1),"Cartão de crédito parcelado",D681),Config!$A$12:$A$15,0)),0)/30*MAX(1,N(E681)),0))</f>
        <v/>
      </c>
      <c r="I681" s="29">
        <f>IF(OR(D681="",F681=""),"",ROUND(F681*H681,2))</f>
        <v/>
      </c>
      <c r="J681" s="29">
        <f>IF(I681="","",F681-I681)</f>
        <v/>
      </c>
      <c r="K681" s="29">
        <f>IF(J681="","",J681/MAX(1,N(E681)))</f>
        <v/>
      </c>
      <c r="L681" s="37">
        <f>IF(OR(D681="",A681=""),"",A681+IF(AND(Config!$B$17="Sim",LEFT(D681,17)="Cartão de crédito"),1,IFERROR(INDEX(Config!$C$12:$C$15,MATCH(IF(AND(D681="Cartão de crédito",N(E681)&gt;1),"Cartão de crédito parcelado",D681),Config!$A$12:$A$15,0)),0)))</f>
        <v/>
      </c>
      <c r="M681" s="37">
        <f>IF(L681="","",IF(AND(Config!$B$17="Sim",LEFT(D681,17)="Cartão de crédito"),L681,L681+30*(MAX(1,N(E681))-1)))</f>
        <v/>
      </c>
      <c r="N681" s="29">
        <f>IF(OR(L681="",K681=""),"",K681*MIN(MAX(1,N(E681)),MAX(0,INT((Config!$B$8-L681)/30)+1)))</f>
        <v/>
      </c>
      <c r="O681" s="29">
        <f>IF(J681="","",J681-N(N681))</f>
        <v/>
      </c>
      <c r="P681" s="27">
        <f>IF(A681="","",MONTH(A681))</f>
        <v/>
      </c>
      <c r="Q681" s="27">
        <f>IF(A681="","",YEAR(A681))</f>
        <v/>
      </c>
      <c r="R681" s="27">
        <f>IF(L681="","",IF(L681&gt;Config!$B$8,"A cair",IF(N(G681)&gt;=MIN(MAX(1,N(E681)),MAX(0,INT((Config!$B$8-L681)/30)+1)),IF(N(G681)&gt;=MAX(1,N(E681)),"Conferido","Conferido até aqui"),"A conferir")))</f>
        <v/>
      </c>
      <c r="S681" s="51">
        <f>IF(R681="A conferir",(Config!$B$8-L681)*1000+N(F681)/1000+ROW()/100000,0)</f>
        <v>0</v>
      </c>
      <c r="T681" s="51">
        <f>IF(R681="A conferir",N(N681),0)</f>
        <v>0</v>
      </c>
      <c r="U681" s="51">
        <f>IF(L681="",0,L681)</f>
        <v>0</v>
      </c>
      <c r="V681" s="51">
        <f>IF(L681="",0,MAX(1,N(E681)))</f>
        <v>0</v>
      </c>
      <c r="W681" s="51">
        <f>IF(K681="",0,K681)</f>
        <v>0</v>
      </c>
    </row>
    <row r="682">
      <c r="A682" s="49" t="n"/>
      <c r="B682" s="41" t="n"/>
      <c r="C682" s="41" t="n"/>
      <c r="D682" s="42" t="n"/>
      <c r="E682" s="42" t="n"/>
      <c r="F682" s="50" t="n"/>
      <c r="G682" s="42" t="n"/>
      <c r="H682" s="30">
        <f>IF(D682="","",IFERROR(INDEX(Config!$B$12:$B$15,MATCH(IF(AND(D682="Cartão de crédito",N(E682)&gt;1),"Cartão de crédito parcelado",D682),Config!$A$12:$A$15,0)),0)+IF(AND(Config!$B$17="Sim",LEFT(D682,17)="Cartão de crédito"),Config!$B$18*IFERROR(INDEX(Config!$C$12:$C$15,MATCH(IF(AND(D682="Cartão de crédito",N(E682)&gt;1),"Cartão de crédito parcelado",D682),Config!$A$12:$A$15,0)),0)/30*MAX(1,N(E682)),0))</f>
        <v/>
      </c>
      <c r="I682" s="29">
        <f>IF(OR(D682="",F682=""),"",ROUND(F682*H682,2))</f>
        <v/>
      </c>
      <c r="J682" s="29">
        <f>IF(I682="","",F682-I682)</f>
        <v/>
      </c>
      <c r="K682" s="29">
        <f>IF(J682="","",J682/MAX(1,N(E682)))</f>
        <v/>
      </c>
      <c r="L682" s="37">
        <f>IF(OR(D682="",A682=""),"",A682+IF(AND(Config!$B$17="Sim",LEFT(D682,17)="Cartão de crédito"),1,IFERROR(INDEX(Config!$C$12:$C$15,MATCH(IF(AND(D682="Cartão de crédito",N(E682)&gt;1),"Cartão de crédito parcelado",D682),Config!$A$12:$A$15,0)),0)))</f>
        <v/>
      </c>
      <c r="M682" s="37">
        <f>IF(L682="","",IF(AND(Config!$B$17="Sim",LEFT(D682,17)="Cartão de crédito"),L682,L682+30*(MAX(1,N(E682))-1)))</f>
        <v/>
      </c>
      <c r="N682" s="29">
        <f>IF(OR(L682="",K682=""),"",K682*MIN(MAX(1,N(E682)),MAX(0,INT((Config!$B$8-L682)/30)+1)))</f>
        <v/>
      </c>
      <c r="O682" s="29">
        <f>IF(J682="","",J682-N(N682))</f>
        <v/>
      </c>
      <c r="P682" s="27">
        <f>IF(A682="","",MONTH(A682))</f>
        <v/>
      </c>
      <c r="Q682" s="27">
        <f>IF(A682="","",YEAR(A682))</f>
        <v/>
      </c>
      <c r="R682" s="27">
        <f>IF(L682="","",IF(L682&gt;Config!$B$8,"A cair",IF(N(G682)&gt;=MIN(MAX(1,N(E682)),MAX(0,INT((Config!$B$8-L682)/30)+1)),IF(N(G682)&gt;=MAX(1,N(E682)),"Conferido","Conferido até aqui"),"A conferir")))</f>
        <v/>
      </c>
      <c r="S682" s="51">
        <f>IF(R682="A conferir",(Config!$B$8-L682)*1000+N(F682)/1000+ROW()/100000,0)</f>
        <v>0</v>
      </c>
      <c r="T682" s="51">
        <f>IF(R682="A conferir",N(N682),0)</f>
        <v>0</v>
      </c>
      <c r="U682" s="51">
        <f>IF(L682="",0,L682)</f>
        <v>0</v>
      </c>
      <c r="V682" s="51">
        <f>IF(L682="",0,MAX(1,N(E682)))</f>
        <v>0</v>
      </c>
      <c r="W682" s="51">
        <f>IF(K682="",0,K682)</f>
        <v>0</v>
      </c>
    </row>
    <row r="683">
      <c r="A683" s="49" t="n"/>
      <c r="B683" s="41" t="n"/>
      <c r="C683" s="41" t="n"/>
      <c r="D683" s="42" t="n"/>
      <c r="E683" s="42" t="n"/>
      <c r="F683" s="50" t="n"/>
      <c r="G683" s="42" t="n"/>
      <c r="H683" s="30">
        <f>IF(D683="","",IFERROR(INDEX(Config!$B$12:$B$15,MATCH(IF(AND(D683="Cartão de crédito",N(E683)&gt;1),"Cartão de crédito parcelado",D683),Config!$A$12:$A$15,0)),0)+IF(AND(Config!$B$17="Sim",LEFT(D683,17)="Cartão de crédito"),Config!$B$18*IFERROR(INDEX(Config!$C$12:$C$15,MATCH(IF(AND(D683="Cartão de crédito",N(E683)&gt;1),"Cartão de crédito parcelado",D683),Config!$A$12:$A$15,0)),0)/30*MAX(1,N(E683)),0))</f>
        <v/>
      </c>
      <c r="I683" s="29">
        <f>IF(OR(D683="",F683=""),"",ROUND(F683*H683,2))</f>
        <v/>
      </c>
      <c r="J683" s="29">
        <f>IF(I683="","",F683-I683)</f>
        <v/>
      </c>
      <c r="K683" s="29">
        <f>IF(J683="","",J683/MAX(1,N(E683)))</f>
        <v/>
      </c>
      <c r="L683" s="37">
        <f>IF(OR(D683="",A683=""),"",A683+IF(AND(Config!$B$17="Sim",LEFT(D683,17)="Cartão de crédito"),1,IFERROR(INDEX(Config!$C$12:$C$15,MATCH(IF(AND(D683="Cartão de crédito",N(E683)&gt;1),"Cartão de crédito parcelado",D683),Config!$A$12:$A$15,0)),0)))</f>
        <v/>
      </c>
      <c r="M683" s="37">
        <f>IF(L683="","",IF(AND(Config!$B$17="Sim",LEFT(D683,17)="Cartão de crédito"),L683,L683+30*(MAX(1,N(E683))-1)))</f>
        <v/>
      </c>
      <c r="N683" s="29">
        <f>IF(OR(L683="",K683=""),"",K683*MIN(MAX(1,N(E683)),MAX(0,INT((Config!$B$8-L683)/30)+1)))</f>
        <v/>
      </c>
      <c r="O683" s="29">
        <f>IF(J683="","",J683-N(N683))</f>
        <v/>
      </c>
      <c r="P683" s="27">
        <f>IF(A683="","",MONTH(A683))</f>
        <v/>
      </c>
      <c r="Q683" s="27">
        <f>IF(A683="","",YEAR(A683))</f>
        <v/>
      </c>
      <c r="R683" s="27">
        <f>IF(L683="","",IF(L683&gt;Config!$B$8,"A cair",IF(N(G683)&gt;=MIN(MAX(1,N(E683)),MAX(0,INT((Config!$B$8-L683)/30)+1)),IF(N(G683)&gt;=MAX(1,N(E683)),"Conferido","Conferido até aqui"),"A conferir")))</f>
        <v/>
      </c>
      <c r="S683" s="51">
        <f>IF(R683="A conferir",(Config!$B$8-L683)*1000+N(F683)/1000+ROW()/100000,0)</f>
        <v>0</v>
      </c>
      <c r="T683" s="51">
        <f>IF(R683="A conferir",N(N683),0)</f>
        <v>0</v>
      </c>
      <c r="U683" s="51">
        <f>IF(L683="",0,L683)</f>
        <v>0</v>
      </c>
      <c r="V683" s="51">
        <f>IF(L683="",0,MAX(1,N(E683)))</f>
        <v>0</v>
      </c>
      <c r="W683" s="51">
        <f>IF(K683="",0,K683)</f>
        <v>0</v>
      </c>
    </row>
    <row r="684">
      <c r="A684" s="49" t="n"/>
      <c r="B684" s="41" t="n"/>
      <c r="C684" s="41" t="n"/>
      <c r="D684" s="42" t="n"/>
      <c r="E684" s="42" t="n"/>
      <c r="F684" s="50" t="n"/>
      <c r="G684" s="42" t="n"/>
      <c r="H684" s="30">
        <f>IF(D684="","",IFERROR(INDEX(Config!$B$12:$B$15,MATCH(IF(AND(D684="Cartão de crédito",N(E684)&gt;1),"Cartão de crédito parcelado",D684),Config!$A$12:$A$15,0)),0)+IF(AND(Config!$B$17="Sim",LEFT(D684,17)="Cartão de crédito"),Config!$B$18*IFERROR(INDEX(Config!$C$12:$C$15,MATCH(IF(AND(D684="Cartão de crédito",N(E684)&gt;1),"Cartão de crédito parcelado",D684),Config!$A$12:$A$15,0)),0)/30*MAX(1,N(E684)),0))</f>
        <v/>
      </c>
      <c r="I684" s="29">
        <f>IF(OR(D684="",F684=""),"",ROUND(F684*H684,2))</f>
        <v/>
      </c>
      <c r="J684" s="29">
        <f>IF(I684="","",F684-I684)</f>
        <v/>
      </c>
      <c r="K684" s="29">
        <f>IF(J684="","",J684/MAX(1,N(E684)))</f>
        <v/>
      </c>
      <c r="L684" s="37">
        <f>IF(OR(D684="",A684=""),"",A684+IF(AND(Config!$B$17="Sim",LEFT(D684,17)="Cartão de crédito"),1,IFERROR(INDEX(Config!$C$12:$C$15,MATCH(IF(AND(D684="Cartão de crédito",N(E684)&gt;1),"Cartão de crédito parcelado",D684),Config!$A$12:$A$15,0)),0)))</f>
        <v/>
      </c>
      <c r="M684" s="37">
        <f>IF(L684="","",IF(AND(Config!$B$17="Sim",LEFT(D684,17)="Cartão de crédito"),L684,L684+30*(MAX(1,N(E684))-1)))</f>
        <v/>
      </c>
      <c r="N684" s="29">
        <f>IF(OR(L684="",K684=""),"",K684*MIN(MAX(1,N(E684)),MAX(0,INT((Config!$B$8-L684)/30)+1)))</f>
        <v/>
      </c>
      <c r="O684" s="29">
        <f>IF(J684="","",J684-N(N684))</f>
        <v/>
      </c>
      <c r="P684" s="27">
        <f>IF(A684="","",MONTH(A684))</f>
        <v/>
      </c>
      <c r="Q684" s="27">
        <f>IF(A684="","",YEAR(A684))</f>
        <v/>
      </c>
      <c r="R684" s="27">
        <f>IF(L684="","",IF(L684&gt;Config!$B$8,"A cair",IF(N(G684)&gt;=MIN(MAX(1,N(E684)),MAX(0,INT((Config!$B$8-L684)/30)+1)),IF(N(G684)&gt;=MAX(1,N(E684)),"Conferido","Conferido até aqui"),"A conferir")))</f>
        <v/>
      </c>
      <c r="S684" s="51">
        <f>IF(R684="A conferir",(Config!$B$8-L684)*1000+N(F684)/1000+ROW()/100000,0)</f>
        <v>0</v>
      </c>
      <c r="T684" s="51">
        <f>IF(R684="A conferir",N(N684),0)</f>
        <v>0</v>
      </c>
      <c r="U684" s="51">
        <f>IF(L684="",0,L684)</f>
        <v>0</v>
      </c>
      <c r="V684" s="51">
        <f>IF(L684="",0,MAX(1,N(E684)))</f>
        <v>0</v>
      </c>
      <c r="W684" s="51">
        <f>IF(K684="",0,K684)</f>
        <v>0</v>
      </c>
    </row>
    <row r="685">
      <c r="A685" s="49" t="n"/>
      <c r="B685" s="41" t="n"/>
      <c r="C685" s="41" t="n"/>
      <c r="D685" s="42" t="n"/>
      <c r="E685" s="42" t="n"/>
      <c r="F685" s="50" t="n"/>
      <c r="G685" s="42" t="n"/>
      <c r="H685" s="30">
        <f>IF(D685="","",IFERROR(INDEX(Config!$B$12:$B$15,MATCH(IF(AND(D685="Cartão de crédito",N(E685)&gt;1),"Cartão de crédito parcelado",D685),Config!$A$12:$A$15,0)),0)+IF(AND(Config!$B$17="Sim",LEFT(D685,17)="Cartão de crédito"),Config!$B$18*IFERROR(INDEX(Config!$C$12:$C$15,MATCH(IF(AND(D685="Cartão de crédito",N(E685)&gt;1),"Cartão de crédito parcelado",D685),Config!$A$12:$A$15,0)),0)/30*MAX(1,N(E685)),0))</f>
        <v/>
      </c>
      <c r="I685" s="29">
        <f>IF(OR(D685="",F685=""),"",ROUND(F685*H685,2))</f>
        <v/>
      </c>
      <c r="J685" s="29">
        <f>IF(I685="","",F685-I685)</f>
        <v/>
      </c>
      <c r="K685" s="29">
        <f>IF(J685="","",J685/MAX(1,N(E685)))</f>
        <v/>
      </c>
      <c r="L685" s="37">
        <f>IF(OR(D685="",A685=""),"",A685+IF(AND(Config!$B$17="Sim",LEFT(D685,17)="Cartão de crédito"),1,IFERROR(INDEX(Config!$C$12:$C$15,MATCH(IF(AND(D685="Cartão de crédito",N(E685)&gt;1),"Cartão de crédito parcelado",D685),Config!$A$12:$A$15,0)),0)))</f>
        <v/>
      </c>
      <c r="M685" s="37">
        <f>IF(L685="","",IF(AND(Config!$B$17="Sim",LEFT(D685,17)="Cartão de crédito"),L685,L685+30*(MAX(1,N(E685))-1)))</f>
        <v/>
      </c>
      <c r="N685" s="29">
        <f>IF(OR(L685="",K685=""),"",K685*MIN(MAX(1,N(E685)),MAX(0,INT((Config!$B$8-L685)/30)+1)))</f>
        <v/>
      </c>
      <c r="O685" s="29">
        <f>IF(J685="","",J685-N(N685))</f>
        <v/>
      </c>
      <c r="P685" s="27">
        <f>IF(A685="","",MONTH(A685))</f>
        <v/>
      </c>
      <c r="Q685" s="27">
        <f>IF(A685="","",YEAR(A685))</f>
        <v/>
      </c>
      <c r="R685" s="27">
        <f>IF(L685="","",IF(L685&gt;Config!$B$8,"A cair",IF(N(G685)&gt;=MIN(MAX(1,N(E685)),MAX(0,INT((Config!$B$8-L685)/30)+1)),IF(N(G685)&gt;=MAX(1,N(E685)),"Conferido","Conferido até aqui"),"A conferir")))</f>
        <v/>
      </c>
      <c r="S685" s="51">
        <f>IF(R685="A conferir",(Config!$B$8-L685)*1000+N(F685)/1000+ROW()/100000,0)</f>
        <v>0</v>
      </c>
      <c r="T685" s="51">
        <f>IF(R685="A conferir",N(N685),0)</f>
        <v>0</v>
      </c>
      <c r="U685" s="51">
        <f>IF(L685="",0,L685)</f>
        <v>0</v>
      </c>
      <c r="V685" s="51">
        <f>IF(L685="",0,MAX(1,N(E685)))</f>
        <v>0</v>
      </c>
      <c r="W685" s="51">
        <f>IF(K685="",0,K685)</f>
        <v>0</v>
      </c>
    </row>
    <row r="686">
      <c r="A686" s="49" t="n"/>
      <c r="B686" s="41" t="n"/>
      <c r="C686" s="41" t="n"/>
      <c r="D686" s="42" t="n"/>
      <c r="E686" s="42" t="n"/>
      <c r="F686" s="50" t="n"/>
      <c r="G686" s="42" t="n"/>
      <c r="H686" s="30">
        <f>IF(D686="","",IFERROR(INDEX(Config!$B$12:$B$15,MATCH(IF(AND(D686="Cartão de crédito",N(E686)&gt;1),"Cartão de crédito parcelado",D686),Config!$A$12:$A$15,0)),0)+IF(AND(Config!$B$17="Sim",LEFT(D686,17)="Cartão de crédito"),Config!$B$18*IFERROR(INDEX(Config!$C$12:$C$15,MATCH(IF(AND(D686="Cartão de crédito",N(E686)&gt;1),"Cartão de crédito parcelado",D686),Config!$A$12:$A$15,0)),0)/30*MAX(1,N(E686)),0))</f>
        <v/>
      </c>
      <c r="I686" s="29">
        <f>IF(OR(D686="",F686=""),"",ROUND(F686*H686,2))</f>
        <v/>
      </c>
      <c r="J686" s="29">
        <f>IF(I686="","",F686-I686)</f>
        <v/>
      </c>
      <c r="K686" s="29">
        <f>IF(J686="","",J686/MAX(1,N(E686)))</f>
        <v/>
      </c>
      <c r="L686" s="37">
        <f>IF(OR(D686="",A686=""),"",A686+IF(AND(Config!$B$17="Sim",LEFT(D686,17)="Cartão de crédito"),1,IFERROR(INDEX(Config!$C$12:$C$15,MATCH(IF(AND(D686="Cartão de crédito",N(E686)&gt;1),"Cartão de crédito parcelado",D686),Config!$A$12:$A$15,0)),0)))</f>
        <v/>
      </c>
      <c r="M686" s="37">
        <f>IF(L686="","",IF(AND(Config!$B$17="Sim",LEFT(D686,17)="Cartão de crédito"),L686,L686+30*(MAX(1,N(E686))-1)))</f>
        <v/>
      </c>
      <c r="N686" s="29">
        <f>IF(OR(L686="",K686=""),"",K686*MIN(MAX(1,N(E686)),MAX(0,INT((Config!$B$8-L686)/30)+1)))</f>
        <v/>
      </c>
      <c r="O686" s="29">
        <f>IF(J686="","",J686-N(N686))</f>
        <v/>
      </c>
      <c r="P686" s="27">
        <f>IF(A686="","",MONTH(A686))</f>
        <v/>
      </c>
      <c r="Q686" s="27">
        <f>IF(A686="","",YEAR(A686))</f>
        <v/>
      </c>
      <c r="R686" s="27">
        <f>IF(L686="","",IF(L686&gt;Config!$B$8,"A cair",IF(N(G686)&gt;=MIN(MAX(1,N(E686)),MAX(0,INT((Config!$B$8-L686)/30)+1)),IF(N(G686)&gt;=MAX(1,N(E686)),"Conferido","Conferido até aqui"),"A conferir")))</f>
        <v/>
      </c>
      <c r="S686" s="51">
        <f>IF(R686="A conferir",(Config!$B$8-L686)*1000+N(F686)/1000+ROW()/100000,0)</f>
        <v>0</v>
      </c>
      <c r="T686" s="51">
        <f>IF(R686="A conferir",N(N686),0)</f>
        <v>0</v>
      </c>
      <c r="U686" s="51">
        <f>IF(L686="",0,L686)</f>
        <v>0</v>
      </c>
      <c r="V686" s="51">
        <f>IF(L686="",0,MAX(1,N(E686)))</f>
        <v>0</v>
      </c>
      <c r="W686" s="51">
        <f>IF(K686="",0,K686)</f>
        <v>0</v>
      </c>
    </row>
    <row r="687">
      <c r="A687" s="49" t="n"/>
      <c r="B687" s="41" t="n"/>
      <c r="C687" s="41" t="n"/>
      <c r="D687" s="42" t="n"/>
      <c r="E687" s="42" t="n"/>
      <c r="F687" s="50" t="n"/>
      <c r="G687" s="42" t="n"/>
      <c r="H687" s="30">
        <f>IF(D687="","",IFERROR(INDEX(Config!$B$12:$B$15,MATCH(IF(AND(D687="Cartão de crédito",N(E687)&gt;1),"Cartão de crédito parcelado",D687),Config!$A$12:$A$15,0)),0)+IF(AND(Config!$B$17="Sim",LEFT(D687,17)="Cartão de crédito"),Config!$B$18*IFERROR(INDEX(Config!$C$12:$C$15,MATCH(IF(AND(D687="Cartão de crédito",N(E687)&gt;1),"Cartão de crédito parcelado",D687),Config!$A$12:$A$15,0)),0)/30*MAX(1,N(E687)),0))</f>
        <v/>
      </c>
      <c r="I687" s="29">
        <f>IF(OR(D687="",F687=""),"",ROUND(F687*H687,2))</f>
        <v/>
      </c>
      <c r="J687" s="29">
        <f>IF(I687="","",F687-I687)</f>
        <v/>
      </c>
      <c r="K687" s="29">
        <f>IF(J687="","",J687/MAX(1,N(E687)))</f>
        <v/>
      </c>
      <c r="L687" s="37">
        <f>IF(OR(D687="",A687=""),"",A687+IF(AND(Config!$B$17="Sim",LEFT(D687,17)="Cartão de crédito"),1,IFERROR(INDEX(Config!$C$12:$C$15,MATCH(IF(AND(D687="Cartão de crédito",N(E687)&gt;1),"Cartão de crédito parcelado",D687),Config!$A$12:$A$15,0)),0)))</f>
        <v/>
      </c>
      <c r="M687" s="37">
        <f>IF(L687="","",IF(AND(Config!$B$17="Sim",LEFT(D687,17)="Cartão de crédito"),L687,L687+30*(MAX(1,N(E687))-1)))</f>
        <v/>
      </c>
      <c r="N687" s="29">
        <f>IF(OR(L687="",K687=""),"",K687*MIN(MAX(1,N(E687)),MAX(0,INT((Config!$B$8-L687)/30)+1)))</f>
        <v/>
      </c>
      <c r="O687" s="29">
        <f>IF(J687="","",J687-N(N687))</f>
        <v/>
      </c>
      <c r="P687" s="27">
        <f>IF(A687="","",MONTH(A687))</f>
        <v/>
      </c>
      <c r="Q687" s="27">
        <f>IF(A687="","",YEAR(A687))</f>
        <v/>
      </c>
      <c r="R687" s="27">
        <f>IF(L687="","",IF(L687&gt;Config!$B$8,"A cair",IF(N(G687)&gt;=MIN(MAX(1,N(E687)),MAX(0,INT((Config!$B$8-L687)/30)+1)),IF(N(G687)&gt;=MAX(1,N(E687)),"Conferido","Conferido até aqui"),"A conferir")))</f>
        <v/>
      </c>
      <c r="S687" s="51">
        <f>IF(R687="A conferir",(Config!$B$8-L687)*1000+N(F687)/1000+ROW()/100000,0)</f>
        <v>0</v>
      </c>
      <c r="T687" s="51">
        <f>IF(R687="A conferir",N(N687),0)</f>
        <v>0</v>
      </c>
      <c r="U687" s="51">
        <f>IF(L687="",0,L687)</f>
        <v>0</v>
      </c>
      <c r="V687" s="51">
        <f>IF(L687="",0,MAX(1,N(E687)))</f>
        <v>0</v>
      </c>
      <c r="W687" s="51">
        <f>IF(K687="",0,K687)</f>
        <v>0</v>
      </c>
    </row>
    <row r="688">
      <c r="A688" s="49" t="n"/>
      <c r="B688" s="41" t="n"/>
      <c r="C688" s="41" t="n"/>
      <c r="D688" s="42" t="n"/>
      <c r="E688" s="42" t="n"/>
      <c r="F688" s="50" t="n"/>
      <c r="G688" s="42" t="n"/>
      <c r="H688" s="30">
        <f>IF(D688="","",IFERROR(INDEX(Config!$B$12:$B$15,MATCH(IF(AND(D688="Cartão de crédito",N(E688)&gt;1),"Cartão de crédito parcelado",D688),Config!$A$12:$A$15,0)),0)+IF(AND(Config!$B$17="Sim",LEFT(D688,17)="Cartão de crédito"),Config!$B$18*IFERROR(INDEX(Config!$C$12:$C$15,MATCH(IF(AND(D688="Cartão de crédito",N(E688)&gt;1),"Cartão de crédito parcelado",D688),Config!$A$12:$A$15,0)),0)/30*MAX(1,N(E688)),0))</f>
        <v/>
      </c>
      <c r="I688" s="29">
        <f>IF(OR(D688="",F688=""),"",ROUND(F688*H688,2))</f>
        <v/>
      </c>
      <c r="J688" s="29">
        <f>IF(I688="","",F688-I688)</f>
        <v/>
      </c>
      <c r="K688" s="29">
        <f>IF(J688="","",J688/MAX(1,N(E688)))</f>
        <v/>
      </c>
      <c r="L688" s="37">
        <f>IF(OR(D688="",A688=""),"",A688+IF(AND(Config!$B$17="Sim",LEFT(D688,17)="Cartão de crédito"),1,IFERROR(INDEX(Config!$C$12:$C$15,MATCH(IF(AND(D688="Cartão de crédito",N(E688)&gt;1),"Cartão de crédito parcelado",D688),Config!$A$12:$A$15,0)),0)))</f>
        <v/>
      </c>
      <c r="M688" s="37">
        <f>IF(L688="","",IF(AND(Config!$B$17="Sim",LEFT(D688,17)="Cartão de crédito"),L688,L688+30*(MAX(1,N(E688))-1)))</f>
        <v/>
      </c>
      <c r="N688" s="29">
        <f>IF(OR(L688="",K688=""),"",K688*MIN(MAX(1,N(E688)),MAX(0,INT((Config!$B$8-L688)/30)+1)))</f>
        <v/>
      </c>
      <c r="O688" s="29">
        <f>IF(J688="","",J688-N(N688))</f>
        <v/>
      </c>
      <c r="P688" s="27">
        <f>IF(A688="","",MONTH(A688))</f>
        <v/>
      </c>
      <c r="Q688" s="27">
        <f>IF(A688="","",YEAR(A688))</f>
        <v/>
      </c>
      <c r="R688" s="27">
        <f>IF(L688="","",IF(L688&gt;Config!$B$8,"A cair",IF(N(G688)&gt;=MIN(MAX(1,N(E688)),MAX(0,INT((Config!$B$8-L688)/30)+1)),IF(N(G688)&gt;=MAX(1,N(E688)),"Conferido","Conferido até aqui"),"A conferir")))</f>
        <v/>
      </c>
      <c r="S688" s="51">
        <f>IF(R688="A conferir",(Config!$B$8-L688)*1000+N(F688)/1000+ROW()/100000,0)</f>
        <v>0</v>
      </c>
      <c r="T688" s="51">
        <f>IF(R688="A conferir",N(N688),0)</f>
        <v>0</v>
      </c>
      <c r="U688" s="51">
        <f>IF(L688="",0,L688)</f>
        <v>0</v>
      </c>
      <c r="V688" s="51">
        <f>IF(L688="",0,MAX(1,N(E688)))</f>
        <v>0</v>
      </c>
      <c r="W688" s="51">
        <f>IF(K688="",0,K688)</f>
        <v>0</v>
      </c>
    </row>
    <row r="689">
      <c r="A689" s="49" t="n"/>
      <c r="B689" s="41" t="n"/>
      <c r="C689" s="41" t="n"/>
      <c r="D689" s="42" t="n"/>
      <c r="E689" s="42" t="n"/>
      <c r="F689" s="50" t="n"/>
      <c r="G689" s="42" t="n"/>
      <c r="H689" s="30">
        <f>IF(D689="","",IFERROR(INDEX(Config!$B$12:$B$15,MATCH(IF(AND(D689="Cartão de crédito",N(E689)&gt;1),"Cartão de crédito parcelado",D689),Config!$A$12:$A$15,0)),0)+IF(AND(Config!$B$17="Sim",LEFT(D689,17)="Cartão de crédito"),Config!$B$18*IFERROR(INDEX(Config!$C$12:$C$15,MATCH(IF(AND(D689="Cartão de crédito",N(E689)&gt;1),"Cartão de crédito parcelado",D689),Config!$A$12:$A$15,0)),0)/30*MAX(1,N(E689)),0))</f>
        <v/>
      </c>
      <c r="I689" s="29">
        <f>IF(OR(D689="",F689=""),"",ROUND(F689*H689,2))</f>
        <v/>
      </c>
      <c r="J689" s="29">
        <f>IF(I689="","",F689-I689)</f>
        <v/>
      </c>
      <c r="K689" s="29">
        <f>IF(J689="","",J689/MAX(1,N(E689)))</f>
        <v/>
      </c>
      <c r="L689" s="37">
        <f>IF(OR(D689="",A689=""),"",A689+IF(AND(Config!$B$17="Sim",LEFT(D689,17)="Cartão de crédito"),1,IFERROR(INDEX(Config!$C$12:$C$15,MATCH(IF(AND(D689="Cartão de crédito",N(E689)&gt;1),"Cartão de crédito parcelado",D689),Config!$A$12:$A$15,0)),0)))</f>
        <v/>
      </c>
      <c r="M689" s="37">
        <f>IF(L689="","",IF(AND(Config!$B$17="Sim",LEFT(D689,17)="Cartão de crédito"),L689,L689+30*(MAX(1,N(E689))-1)))</f>
        <v/>
      </c>
      <c r="N689" s="29">
        <f>IF(OR(L689="",K689=""),"",K689*MIN(MAX(1,N(E689)),MAX(0,INT((Config!$B$8-L689)/30)+1)))</f>
        <v/>
      </c>
      <c r="O689" s="29">
        <f>IF(J689="","",J689-N(N689))</f>
        <v/>
      </c>
      <c r="P689" s="27">
        <f>IF(A689="","",MONTH(A689))</f>
        <v/>
      </c>
      <c r="Q689" s="27">
        <f>IF(A689="","",YEAR(A689))</f>
        <v/>
      </c>
      <c r="R689" s="27">
        <f>IF(L689="","",IF(L689&gt;Config!$B$8,"A cair",IF(N(G689)&gt;=MIN(MAX(1,N(E689)),MAX(0,INT((Config!$B$8-L689)/30)+1)),IF(N(G689)&gt;=MAX(1,N(E689)),"Conferido","Conferido até aqui"),"A conferir")))</f>
        <v/>
      </c>
      <c r="S689" s="51">
        <f>IF(R689="A conferir",(Config!$B$8-L689)*1000+N(F689)/1000+ROW()/100000,0)</f>
        <v>0</v>
      </c>
      <c r="T689" s="51">
        <f>IF(R689="A conferir",N(N689),0)</f>
        <v>0</v>
      </c>
      <c r="U689" s="51">
        <f>IF(L689="",0,L689)</f>
        <v>0</v>
      </c>
      <c r="V689" s="51">
        <f>IF(L689="",0,MAX(1,N(E689)))</f>
        <v>0</v>
      </c>
      <c r="W689" s="51">
        <f>IF(K689="",0,K689)</f>
        <v>0</v>
      </c>
    </row>
    <row r="690">
      <c r="A690" s="49" t="n"/>
      <c r="B690" s="41" t="n"/>
      <c r="C690" s="41" t="n"/>
      <c r="D690" s="42" t="n"/>
      <c r="E690" s="42" t="n"/>
      <c r="F690" s="50" t="n"/>
      <c r="G690" s="42" t="n"/>
      <c r="H690" s="30">
        <f>IF(D690="","",IFERROR(INDEX(Config!$B$12:$B$15,MATCH(IF(AND(D690="Cartão de crédito",N(E690)&gt;1),"Cartão de crédito parcelado",D690),Config!$A$12:$A$15,0)),0)+IF(AND(Config!$B$17="Sim",LEFT(D690,17)="Cartão de crédito"),Config!$B$18*IFERROR(INDEX(Config!$C$12:$C$15,MATCH(IF(AND(D690="Cartão de crédito",N(E690)&gt;1),"Cartão de crédito parcelado",D690),Config!$A$12:$A$15,0)),0)/30*MAX(1,N(E690)),0))</f>
        <v/>
      </c>
      <c r="I690" s="29">
        <f>IF(OR(D690="",F690=""),"",ROUND(F690*H690,2))</f>
        <v/>
      </c>
      <c r="J690" s="29">
        <f>IF(I690="","",F690-I690)</f>
        <v/>
      </c>
      <c r="K690" s="29">
        <f>IF(J690="","",J690/MAX(1,N(E690)))</f>
        <v/>
      </c>
      <c r="L690" s="37">
        <f>IF(OR(D690="",A690=""),"",A690+IF(AND(Config!$B$17="Sim",LEFT(D690,17)="Cartão de crédito"),1,IFERROR(INDEX(Config!$C$12:$C$15,MATCH(IF(AND(D690="Cartão de crédito",N(E690)&gt;1),"Cartão de crédito parcelado",D690),Config!$A$12:$A$15,0)),0)))</f>
        <v/>
      </c>
      <c r="M690" s="37">
        <f>IF(L690="","",IF(AND(Config!$B$17="Sim",LEFT(D690,17)="Cartão de crédito"),L690,L690+30*(MAX(1,N(E690))-1)))</f>
        <v/>
      </c>
      <c r="N690" s="29">
        <f>IF(OR(L690="",K690=""),"",K690*MIN(MAX(1,N(E690)),MAX(0,INT((Config!$B$8-L690)/30)+1)))</f>
        <v/>
      </c>
      <c r="O690" s="29">
        <f>IF(J690="","",J690-N(N690))</f>
        <v/>
      </c>
      <c r="P690" s="27">
        <f>IF(A690="","",MONTH(A690))</f>
        <v/>
      </c>
      <c r="Q690" s="27">
        <f>IF(A690="","",YEAR(A690))</f>
        <v/>
      </c>
      <c r="R690" s="27">
        <f>IF(L690="","",IF(L690&gt;Config!$B$8,"A cair",IF(N(G690)&gt;=MIN(MAX(1,N(E690)),MAX(0,INT((Config!$B$8-L690)/30)+1)),IF(N(G690)&gt;=MAX(1,N(E690)),"Conferido","Conferido até aqui"),"A conferir")))</f>
        <v/>
      </c>
      <c r="S690" s="51">
        <f>IF(R690="A conferir",(Config!$B$8-L690)*1000+N(F690)/1000+ROW()/100000,0)</f>
        <v>0</v>
      </c>
      <c r="T690" s="51">
        <f>IF(R690="A conferir",N(N690),0)</f>
        <v>0</v>
      </c>
      <c r="U690" s="51">
        <f>IF(L690="",0,L690)</f>
        <v>0</v>
      </c>
      <c r="V690" s="51">
        <f>IF(L690="",0,MAX(1,N(E690)))</f>
        <v>0</v>
      </c>
      <c r="W690" s="51">
        <f>IF(K690="",0,K690)</f>
        <v>0</v>
      </c>
    </row>
    <row r="691">
      <c r="A691" s="49" t="n"/>
      <c r="B691" s="41" t="n"/>
      <c r="C691" s="41" t="n"/>
      <c r="D691" s="42" t="n"/>
      <c r="E691" s="42" t="n"/>
      <c r="F691" s="50" t="n"/>
      <c r="G691" s="42" t="n"/>
      <c r="H691" s="30">
        <f>IF(D691="","",IFERROR(INDEX(Config!$B$12:$B$15,MATCH(IF(AND(D691="Cartão de crédito",N(E691)&gt;1),"Cartão de crédito parcelado",D691),Config!$A$12:$A$15,0)),0)+IF(AND(Config!$B$17="Sim",LEFT(D691,17)="Cartão de crédito"),Config!$B$18*IFERROR(INDEX(Config!$C$12:$C$15,MATCH(IF(AND(D691="Cartão de crédito",N(E691)&gt;1),"Cartão de crédito parcelado",D691),Config!$A$12:$A$15,0)),0)/30*MAX(1,N(E691)),0))</f>
        <v/>
      </c>
      <c r="I691" s="29">
        <f>IF(OR(D691="",F691=""),"",ROUND(F691*H691,2))</f>
        <v/>
      </c>
      <c r="J691" s="29">
        <f>IF(I691="","",F691-I691)</f>
        <v/>
      </c>
      <c r="K691" s="29">
        <f>IF(J691="","",J691/MAX(1,N(E691)))</f>
        <v/>
      </c>
      <c r="L691" s="37">
        <f>IF(OR(D691="",A691=""),"",A691+IF(AND(Config!$B$17="Sim",LEFT(D691,17)="Cartão de crédito"),1,IFERROR(INDEX(Config!$C$12:$C$15,MATCH(IF(AND(D691="Cartão de crédito",N(E691)&gt;1),"Cartão de crédito parcelado",D691),Config!$A$12:$A$15,0)),0)))</f>
        <v/>
      </c>
      <c r="M691" s="37">
        <f>IF(L691="","",IF(AND(Config!$B$17="Sim",LEFT(D691,17)="Cartão de crédito"),L691,L691+30*(MAX(1,N(E691))-1)))</f>
        <v/>
      </c>
      <c r="N691" s="29">
        <f>IF(OR(L691="",K691=""),"",K691*MIN(MAX(1,N(E691)),MAX(0,INT((Config!$B$8-L691)/30)+1)))</f>
        <v/>
      </c>
      <c r="O691" s="29">
        <f>IF(J691="","",J691-N(N691))</f>
        <v/>
      </c>
      <c r="P691" s="27">
        <f>IF(A691="","",MONTH(A691))</f>
        <v/>
      </c>
      <c r="Q691" s="27">
        <f>IF(A691="","",YEAR(A691))</f>
        <v/>
      </c>
      <c r="R691" s="27">
        <f>IF(L691="","",IF(L691&gt;Config!$B$8,"A cair",IF(N(G691)&gt;=MIN(MAX(1,N(E691)),MAX(0,INT((Config!$B$8-L691)/30)+1)),IF(N(G691)&gt;=MAX(1,N(E691)),"Conferido","Conferido até aqui"),"A conferir")))</f>
        <v/>
      </c>
      <c r="S691" s="51">
        <f>IF(R691="A conferir",(Config!$B$8-L691)*1000+N(F691)/1000+ROW()/100000,0)</f>
        <v>0</v>
      </c>
      <c r="T691" s="51">
        <f>IF(R691="A conferir",N(N691),0)</f>
        <v>0</v>
      </c>
      <c r="U691" s="51">
        <f>IF(L691="",0,L691)</f>
        <v>0</v>
      </c>
      <c r="V691" s="51">
        <f>IF(L691="",0,MAX(1,N(E691)))</f>
        <v>0</v>
      </c>
      <c r="W691" s="51">
        <f>IF(K691="",0,K691)</f>
        <v>0</v>
      </c>
    </row>
    <row r="692">
      <c r="A692" s="49" t="n"/>
      <c r="B692" s="41" t="n"/>
      <c r="C692" s="41" t="n"/>
      <c r="D692" s="42" t="n"/>
      <c r="E692" s="42" t="n"/>
      <c r="F692" s="50" t="n"/>
      <c r="G692" s="42" t="n"/>
      <c r="H692" s="30">
        <f>IF(D692="","",IFERROR(INDEX(Config!$B$12:$B$15,MATCH(IF(AND(D692="Cartão de crédito",N(E692)&gt;1),"Cartão de crédito parcelado",D692),Config!$A$12:$A$15,0)),0)+IF(AND(Config!$B$17="Sim",LEFT(D692,17)="Cartão de crédito"),Config!$B$18*IFERROR(INDEX(Config!$C$12:$C$15,MATCH(IF(AND(D692="Cartão de crédito",N(E692)&gt;1),"Cartão de crédito parcelado",D692),Config!$A$12:$A$15,0)),0)/30*MAX(1,N(E692)),0))</f>
        <v/>
      </c>
      <c r="I692" s="29">
        <f>IF(OR(D692="",F692=""),"",ROUND(F692*H692,2))</f>
        <v/>
      </c>
      <c r="J692" s="29">
        <f>IF(I692="","",F692-I692)</f>
        <v/>
      </c>
      <c r="K692" s="29">
        <f>IF(J692="","",J692/MAX(1,N(E692)))</f>
        <v/>
      </c>
      <c r="L692" s="37">
        <f>IF(OR(D692="",A692=""),"",A692+IF(AND(Config!$B$17="Sim",LEFT(D692,17)="Cartão de crédito"),1,IFERROR(INDEX(Config!$C$12:$C$15,MATCH(IF(AND(D692="Cartão de crédito",N(E692)&gt;1),"Cartão de crédito parcelado",D692),Config!$A$12:$A$15,0)),0)))</f>
        <v/>
      </c>
      <c r="M692" s="37">
        <f>IF(L692="","",IF(AND(Config!$B$17="Sim",LEFT(D692,17)="Cartão de crédito"),L692,L692+30*(MAX(1,N(E692))-1)))</f>
        <v/>
      </c>
      <c r="N692" s="29">
        <f>IF(OR(L692="",K692=""),"",K692*MIN(MAX(1,N(E692)),MAX(0,INT((Config!$B$8-L692)/30)+1)))</f>
        <v/>
      </c>
      <c r="O692" s="29">
        <f>IF(J692="","",J692-N(N692))</f>
        <v/>
      </c>
      <c r="P692" s="27">
        <f>IF(A692="","",MONTH(A692))</f>
        <v/>
      </c>
      <c r="Q692" s="27">
        <f>IF(A692="","",YEAR(A692))</f>
        <v/>
      </c>
      <c r="R692" s="27">
        <f>IF(L692="","",IF(L692&gt;Config!$B$8,"A cair",IF(N(G692)&gt;=MIN(MAX(1,N(E692)),MAX(0,INT((Config!$B$8-L692)/30)+1)),IF(N(G692)&gt;=MAX(1,N(E692)),"Conferido","Conferido até aqui"),"A conferir")))</f>
        <v/>
      </c>
      <c r="S692" s="51">
        <f>IF(R692="A conferir",(Config!$B$8-L692)*1000+N(F692)/1000+ROW()/100000,0)</f>
        <v>0</v>
      </c>
      <c r="T692" s="51">
        <f>IF(R692="A conferir",N(N692),0)</f>
        <v>0</v>
      </c>
      <c r="U692" s="51">
        <f>IF(L692="",0,L692)</f>
        <v>0</v>
      </c>
      <c r="V692" s="51">
        <f>IF(L692="",0,MAX(1,N(E692)))</f>
        <v>0</v>
      </c>
      <c r="W692" s="51">
        <f>IF(K692="",0,K692)</f>
        <v>0</v>
      </c>
    </row>
    <row r="693">
      <c r="A693" s="49" t="n"/>
      <c r="B693" s="41" t="n"/>
      <c r="C693" s="41" t="n"/>
      <c r="D693" s="42" t="n"/>
      <c r="E693" s="42" t="n"/>
      <c r="F693" s="50" t="n"/>
      <c r="G693" s="42" t="n"/>
      <c r="H693" s="30">
        <f>IF(D693="","",IFERROR(INDEX(Config!$B$12:$B$15,MATCH(IF(AND(D693="Cartão de crédito",N(E693)&gt;1),"Cartão de crédito parcelado",D693),Config!$A$12:$A$15,0)),0)+IF(AND(Config!$B$17="Sim",LEFT(D693,17)="Cartão de crédito"),Config!$B$18*IFERROR(INDEX(Config!$C$12:$C$15,MATCH(IF(AND(D693="Cartão de crédito",N(E693)&gt;1),"Cartão de crédito parcelado",D693),Config!$A$12:$A$15,0)),0)/30*MAX(1,N(E693)),0))</f>
        <v/>
      </c>
      <c r="I693" s="29">
        <f>IF(OR(D693="",F693=""),"",ROUND(F693*H693,2))</f>
        <v/>
      </c>
      <c r="J693" s="29">
        <f>IF(I693="","",F693-I693)</f>
        <v/>
      </c>
      <c r="K693" s="29">
        <f>IF(J693="","",J693/MAX(1,N(E693)))</f>
        <v/>
      </c>
      <c r="L693" s="37">
        <f>IF(OR(D693="",A693=""),"",A693+IF(AND(Config!$B$17="Sim",LEFT(D693,17)="Cartão de crédito"),1,IFERROR(INDEX(Config!$C$12:$C$15,MATCH(IF(AND(D693="Cartão de crédito",N(E693)&gt;1),"Cartão de crédito parcelado",D693),Config!$A$12:$A$15,0)),0)))</f>
        <v/>
      </c>
      <c r="M693" s="37">
        <f>IF(L693="","",IF(AND(Config!$B$17="Sim",LEFT(D693,17)="Cartão de crédito"),L693,L693+30*(MAX(1,N(E693))-1)))</f>
        <v/>
      </c>
      <c r="N693" s="29">
        <f>IF(OR(L693="",K693=""),"",K693*MIN(MAX(1,N(E693)),MAX(0,INT((Config!$B$8-L693)/30)+1)))</f>
        <v/>
      </c>
      <c r="O693" s="29">
        <f>IF(J693="","",J693-N(N693))</f>
        <v/>
      </c>
      <c r="P693" s="27">
        <f>IF(A693="","",MONTH(A693))</f>
        <v/>
      </c>
      <c r="Q693" s="27">
        <f>IF(A693="","",YEAR(A693))</f>
        <v/>
      </c>
      <c r="R693" s="27">
        <f>IF(L693="","",IF(L693&gt;Config!$B$8,"A cair",IF(N(G693)&gt;=MIN(MAX(1,N(E693)),MAX(0,INT((Config!$B$8-L693)/30)+1)),IF(N(G693)&gt;=MAX(1,N(E693)),"Conferido","Conferido até aqui"),"A conferir")))</f>
        <v/>
      </c>
      <c r="S693" s="51">
        <f>IF(R693="A conferir",(Config!$B$8-L693)*1000+N(F693)/1000+ROW()/100000,0)</f>
        <v>0</v>
      </c>
      <c r="T693" s="51">
        <f>IF(R693="A conferir",N(N693),0)</f>
        <v>0</v>
      </c>
      <c r="U693" s="51">
        <f>IF(L693="",0,L693)</f>
        <v>0</v>
      </c>
      <c r="V693" s="51">
        <f>IF(L693="",0,MAX(1,N(E693)))</f>
        <v>0</v>
      </c>
      <c r="W693" s="51">
        <f>IF(K693="",0,K693)</f>
        <v>0</v>
      </c>
    </row>
    <row r="694">
      <c r="A694" s="49" t="n"/>
      <c r="B694" s="41" t="n"/>
      <c r="C694" s="41" t="n"/>
      <c r="D694" s="42" t="n"/>
      <c r="E694" s="42" t="n"/>
      <c r="F694" s="50" t="n"/>
      <c r="G694" s="42" t="n"/>
      <c r="H694" s="30">
        <f>IF(D694="","",IFERROR(INDEX(Config!$B$12:$B$15,MATCH(IF(AND(D694="Cartão de crédito",N(E694)&gt;1),"Cartão de crédito parcelado",D694),Config!$A$12:$A$15,0)),0)+IF(AND(Config!$B$17="Sim",LEFT(D694,17)="Cartão de crédito"),Config!$B$18*IFERROR(INDEX(Config!$C$12:$C$15,MATCH(IF(AND(D694="Cartão de crédito",N(E694)&gt;1),"Cartão de crédito parcelado",D694),Config!$A$12:$A$15,0)),0)/30*MAX(1,N(E694)),0))</f>
        <v/>
      </c>
      <c r="I694" s="29">
        <f>IF(OR(D694="",F694=""),"",ROUND(F694*H694,2))</f>
        <v/>
      </c>
      <c r="J694" s="29">
        <f>IF(I694="","",F694-I694)</f>
        <v/>
      </c>
      <c r="K694" s="29">
        <f>IF(J694="","",J694/MAX(1,N(E694)))</f>
        <v/>
      </c>
      <c r="L694" s="37">
        <f>IF(OR(D694="",A694=""),"",A694+IF(AND(Config!$B$17="Sim",LEFT(D694,17)="Cartão de crédito"),1,IFERROR(INDEX(Config!$C$12:$C$15,MATCH(IF(AND(D694="Cartão de crédito",N(E694)&gt;1),"Cartão de crédito parcelado",D694),Config!$A$12:$A$15,0)),0)))</f>
        <v/>
      </c>
      <c r="M694" s="37">
        <f>IF(L694="","",IF(AND(Config!$B$17="Sim",LEFT(D694,17)="Cartão de crédito"),L694,L694+30*(MAX(1,N(E694))-1)))</f>
        <v/>
      </c>
      <c r="N694" s="29">
        <f>IF(OR(L694="",K694=""),"",K694*MIN(MAX(1,N(E694)),MAX(0,INT((Config!$B$8-L694)/30)+1)))</f>
        <v/>
      </c>
      <c r="O694" s="29">
        <f>IF(J694="","",J694-N(N694))</f>
        <v/>
      </c>
      <c r="P694" s="27">
        <f>IF(A694="","",MONTH(A694))</f>
        <v/>
      </c>
      <c r="Q694" s="27">
        <f>IF(A694="","",YEAR(A694))</f>
        <v/>
      </c>
      <c r="R694" s="27">
        <f>IF(L694="","",IF(L694&gt;Config!$B$8,"A cair",IF(N(G694)&gt;=MIN(MAX(1,N(E694)),MAX(0,INT((Config!$B$8-L694)/30)+1)),IF(N(G694)&gt;=MAX(1,N(E694)),"Conferido","Conferido até aqui"),"A conferir")))</f>
        <v/>
      </c>
      <c r="S694" s="51">
        <f>IF(R694="A conferir",(Config!$B$8-L694)*1000+N(F694)/1000+ROW()/100000,0)</f>
        <v>0</v>
      </c>
      <c r="T694" s="51">
        <f>IF(R694="A conferir",N(N694),0)</f>
        <v>0</v>
      </c>
      <c r="U694" s="51">
        <f>IF(L694="",0,L694)</f>
        <v>0</v>
      </c>
      <c r="V694" s="51">
        <f>IF(L694="",0,MAX(1,N(E694)))</f>
        <v>0</v>
      </c>
      <c r="W694" s="51">
        <f>IF(K694="",0,K694)</f>
        <v>0</v>
      </c>
    </row>
    <row r="695">
      <c r="A695" s="49" t="n"/>
      <c r="B695" s="41" t="n"/>
      <c r="C695" s="41" t="n"/>
      <c r="D695" s="42" t="n"/>
      <c r="E695" s="42" t="n"/>
      <c r="F695" s="50" t="n"/>
      <c r="G695" s="42" t="n"/>
      <c r="H695" s="30">
        <f>IF(D695="","",IFERROR(INDEX(Config!$B$12:$B$15,MATCH(IF(AND(D695="Cartão de crédito",N(E695)&gt;1),"Cartão de crédito parcelado",D695),Config!$A$12:$A$15,0)),0)+IF(AND(Config!$B$17="Sim",LEFT(D695,17)="Cartão de crédito"),Config!$B$18*IFERROR(INDEX(Config!$C$12:$C$15,MATCH(IF(AND(D695="Cartão de crédito",N(E695)&gt;1),"Cartão de crédito parcelado",D695),Config!$A$12:$A$15,0)),0)/30*MAX(1,N(E695)),0))</f>
        <v/>
      </c>
      <c r="I695" s="29">
        <f>IF(OR(D695="",F695=""),"",ROUND(F695*H695,2))</f>
        <v/>
      </c>
      <c r="J695" s="29">
        <f>IF(I695="","",F695-I695)</f>
        <v/>
      </c>
      <c r="K695" s="29">
        <f>IF(J695="","",J695/MAX(1,N(E695)))</f>
        <v/>
      </c>
      <c r="L695" s="37">
        <f>IF(OR(D695="",A695=""),"",A695+IF(AND(Config!$B$17="Sim",LEFT(D695,17)="Cartão de crédito"),1,IFERROR(INDEX(Config!$C$12:$C$15,MATCH(IF(AND(D695="Cartão de crédito",N(E695)&gt;1),"Cartão de crédito parcelado",D695),Config!$A$12:$A$15,0)),0)))</f>
        <v/>
      </c>
      <c r="M695" s="37">
        <f>IF(L695="","",IF(AND(Config!$B$17="Sim",LEFT(D695,17)="Cartão de crédito"),L695,L695+30*(MAX(1,N(E695))-1)))</f>
        <v/>
      </c>
      <c r="N695" s="29">
        <f>IF(OR(L695="",K695=""),"",K695*MIN(MAX(1,N(E695)),MAX(0,INT((Config!$B$8-L695)/30)+1)))</f>
        <v/>
      </c>
      <c r="O695" s="29">
        <f>IF(J695="","",J695-N(N695))</f>
        <v/>
      </c>
      <c r="P695" s="27">
        <f>IF(A695="","",MONTH(A695))</f>
        <v/>
      </c>
      <c r="Q695" s="27">
        <f>IF(A695="","",YEAR(A695))</f>
        <v/>
      </c>
      <c r="R695" s="27">
        <f>IF(L695="","",IF(L695&gt;Config!$B$8,"A cair",IF(N(G695)&gt;=MIN(MAX(1,N(E695)),MAX(0,INT((Config!$B$8-L695)/30)+1)),IF(N(G695)&gt;=MAX(1,N(E695)),"Conferido","Conferido até aqui"),"A conferir")))</f>
        <v/>
      </c>
      <c r="S695" s="51">
        <f>IF(R695="A conferir",(Config!$B$8-L695)*1000+N(F695)/1000+ROW()/100000,0)</f>
        <v>0</v>
      </c>
      <c r="T695" s="51">
        <f>IF(R695="A conferir",N(N695),0)</f>
        <v>0</v>
      </c>
      <c r="U695" s="51">
        <f>IF(L695="",0,L695)</f>
        <v>0</v>
      </c>
      <c r="V695" s="51">
        <f>IF(L695="",0,MAX(1,N(E695)))</f>
        <v>0</v>
      </c>
      <c r="W695" s="51">
        <f>IF(K695="",0,K695)</f>
        <v>0</v>
      </c>
    </row>
    <row r="696">
      <c r="A696" s="49" t="n"/>
      <c r="B696" s="41" t="n"/>
      <c r="C696" s="41" t="n"/>
      <c r="D696" s="42" t="n"/>
      <c r="E696" s="42" t="n"/>
      <c r="F696" s="50" t="n"/>
      <c r="G696" s="42" t="n"/>
      <c r="H696" s="30">
        <f>IF(D696="","",IFERROR(INDEX(Config!$B$12:$B$15,MATCH(IF(AND(D696="Cartão de crédito",N(E696)&gt;1),"Cartão de crédito parcelado",D696),Config!$A$12:$A$15,0)),0)+IF(AND(Config!$B$17="Sim",LEFT(D696,17)="Cartão de crédito"),Config!$B$18*IFERROR(INDEX(Config!$C$12:$C$15,MATCH(IF(AND(D696="Cartão de crédito",N(E696)&gt;1),"Cartão de crédito parcelado",D696),Config!$A$12:$A$15,0)),0)/30*MAX(1,N(E696)),0))</f>
        <v/>
      </c>
      <c r="I696" s="29">
        <f>IF(OR(D696="",F696=""),"",ROUND(F696*H696,2))</f>
        <v/>
      </c>
      <c r="J696" s="29">
        <f>IF(I696="","",F696-I696)</f>
        <v/>
      </c>
      <c r="K696" s="29">
        <f>IF(J696="","",J696/MAX(1,N(E696)))</f>
        <v/>
      </c>
      <c r="L696" s="37">
        <f>IF(OR(D696="",A696=""),"",A696+IF(AND(Config!$B$17="Sim",LEFT(D696,17)="Cartão de crédito"),1,IFERROR(INDEX(Config!$C$12:$C$15,MATCH(IF(AND(D696="Cartão de crédito",N(E696)&gt;1),"Cartão de crédito parcelado",D696),Config!$A$12:$A$15,0)),0)))</f>
        <v/>
      </c>
      <c r="M696" s="37">
        <f>IF(L696="","",IF(AND(Config!$B$17="Sim",LEFT(D696,17)="Cartão de crédito"),L696,L696+30*(MAX(1,N(E696))-1)))</f>
        <v/>
      </c>
      <c r="N696" s="29">
        <f>IF(OR(L696="",K696=""),"",K696*MIN(MAX(1,N(E696)),MAX(0,INT((Config!$B$8-L696)/30)+1)))</f>
        <v/>
      </c>
      <c r="O696" s="29">
        <f>IF(J696="","",J696-N(N696))</f>
        <v/>
      </c>
      <c r="P696" s="27">
        <f>IF(A696="","",MONTH(A696))</f>
        <v/>
      </c>
      <c r="Q696" s="27">
        <f>IF(A696="","",YEAR(A696))</f>
        <v/>
      </c>
      <c r="R696" s="27">
        <f>IF(L696="","",IF(L696&gt;Config!$B$8,"A cair",IF(N(G696)&gt;=MIN(MAX(1,N(E696)),MAX(0,INT((Config!$B$8-L696)/30)+1)),IF(N(G696)&gt;=MAX(1,N(E696)),"Conferido","Conferido até aqui"),"A conferir")))</f>
        <v/>
      </c>
      <c r="S696" s="51">
        <f>IF(R696="A conferir",(Config!$B$8-L696)*1000+N(F696)/1000+ROW()/100000,0)</f>
        <v>0</v>
      </c>
      <c r="T696" s="51">
        <f>IF(R696="A conferir",N(N696),0)</f>
        <v>0</v>
      </c>
      <c r="U696" s="51">
        <f>IF(L696="",0,L696)</f>
        <v>0</v>
      </c>
      <c r="V696" s="51">
        <f>IF(L696="",0,MAX(1,N(E696)))</f>
        <v>0</v>
      </c>
      <c r="W696" s="51">
        <f>IF(K696="",0,K696)</f>
        <v>0</v>
      </c>
    </row>
    <row r="697">
      <c r="A697" s="49" t="n"/>
      <c r="B697" s="41" t="n"/>
      <c r="C697" s="41" t="n"/>
      <c r="D697" s="42" t="n"/>
      <c r="E697" s="42" t="n"/>
      <c r="F697" s="50" t="n"/>
      <c r="G697" s="42" t="n"/>
      <c r="H697" s="30">
        <f>IF(D697="","",IFERROR(INDEX(Config!$B$12:$B$15,MATCH(IF(AND(D697="Cartão de crédito",N(E697)&gt;1),"Cartão de crédito parcelado",D697),Config!$A$12:$A$15,0)),0)+IF(AND(Config!$B$17="Sim",LEFT(D697,17)="Cartão de crédito"),Config!$B$18*IFERROR(INDEX(Config!$C$12:$C$15,MATCH(IF(AND(D697="Cartão de crédito",N(E697)&gt;1),"Cartão de crédito parcelado",D697),Config!$A$12:$A$15,0)),0)/30*MAX(1,N(E697)),0))</f>
        <v/>
      </c>
      <c r="I697" s="29">
        <f>IF(OR(D697="",F697=""),"",ROUND(F697*H697,2))</f>
        <v/>
      </c>
      <c r="J697" s="29">
        <f>IF(I697="","",F697-I697)</f>
        <v/>
      </c>
      <c r="K697" s="29">
        <f>IF(J697="","",J697/MAX(1,N(E697)))</f>
        <v/>
      </c>
      <c r="L697" s="37">
        <f>IF(OR(D697="",A697=""),"",A697+IF(AND(Config!$B$17="Sim",LEFT(D697,17)="Cartão de crédito"),1,IFERROR(INDEX(Config!$C$12:$C$15,MATCH(IF(AND(D697="Cartão de crédito",N(E697)&gt;1),"Cartão de crédito parcelado",D697),Config!$A$12:$A$15,0)),0)))</f>
        <v/>
      </c>
      <c r="M697" s="37">
        <f>IF(L697="","",IF(AND(Config!$B$17="Sim",LEFT(D697,17)="Cartão de crédito"),L697,L697+30*(MAX(1,N(E697))-1)))</f>
        <v/>
      </c>
      <c r="N697" s="29">
        <f>IF(OR(L697="",K697=""),"",K697*MIN(MAX(1,N(E697)),MAX(0,INT((Config!$B$8-L697)/30)+1)))</f>
        <v/>
      </c>
      <c r="O697" s="29">
        <f>IF(J697="","",J697-N(N697))</f>
        <v/>
      </c>
      <c r="P697" s="27">
        <f>IF(A697="","",MONTH(A697))</f>
        <v/>
      </c>
      <c r="Q697" s="27">
        <f>IF(A697="","",YEAR(A697))</f>
        <v/>
      </c>
      <c r="R697" s="27">
        <f>IF(L697="","",IF(L697&gt;Config!$B$8,"A cair",IF(N(G697)&gt;=MIN(MAX(1,N(E697)),MAX(0,INT((Config!$B$8-L697)/30)+1)),IF(N(G697)&gt;=MAX(1,N(E697)),"Conferido","Conferido até aqui"),"A conferir")))</f>
        <v/>
      </c>
      <c r="S697" s="51">
        <f>IF(R697="A conferir",(Config!$B$8-L697)*1000+N(F697)/1000+ROW()/100000,0)</f>
        <v>0</v>
      </c>
      <c r="T697" s="51">
        <f>IF(R697="A conferir",N(N697),0)</f>
        <v>0</v>
      </c>
      <c r="U697" s="51">
        <f>IF(L697="",0,L697)</f>
        <v>0</v>
      </c>
      <c r="V697" s="51">
        <f>IF(L697="",0,MAX(1,N(E697)))</f>
        <v>0</v>
      </c>
      <c r="W697" s="51">
        <f>IF(K697="",0,K697)</f>
        <v>0</v>
      </c>
    </row>
    <row r="698">
      <c r="A698" s="49" t="n"/>
      <c r="B698" s="41" t="n"/>
      <c r="C698" s="41" t="n"/>
      <c r="D698" s="42" t="n"/>
      <c r="E698" s="42" t="n"/>
      <c r="F698" s="50" t="n"/>
      <c r="G698" s="42" t="n"/>
      <c r="H698" s="30">
        <f>IF(D698="","",IFERROR(INDEX(Config!$B$12:$B$15,MATCH(IF(AND(D698="Cartão de crédito",N(E698)&gt;1),"Cartão de crédito parcelado",D698),Config!$A$12:$A$15,0)),0)+IF(AND(Config!$B$17="Sim",LEFT(D698,17)="Cartão de crédito"),Config!$B$18*IFERROR(INDEX(Config!$C$12:$C$15,MATCH(IF(AND(D698="Cartão de crédito",N(E698)&gt;1),"Cartão de crédito parcelado",D698),Config!$A$12:$A$15,0)),0)/30*MAX(1,N(E698)),0))</f>
        <v/>
      </c>
      <c r="I698" s="29">
        <f>IF(OR(D698="",F698=""),"",ROUND(F698*H698,2))</f>
        <v/>
      </c>
      <c r="J698" s="29">
        <f>IF(I698="","",F698-I698)</f>
        <v/>
      </c>
      <c r="K698" s="29">
        <f>IF(J698="","",J698/MAX(1,N(E698)))</f>
        <v/>
      </c>
      <c r="L698" s="37">
        <f>IF(OR(D698="",A698=""),"",A698+IF(AND(Config!$B$17="Sim",LEFT(D698,17)="Cartão de crédito"),1,IFERROR(INDEX(Config!$C$12:$C$15,MATCH(IF(AND(D698="Cartão de crédito",N(E698)&gt;1),"Cartão de crédito parcelado",D698),Config!$A$12:$A$15,0)),0)))</f>
        <v/>
      </c>
      <c r="M698" s="37">
        <f>IF(L698="","",IF(AND(Config!$B$17="Sim",LEFT(D698,17)="Cartão de crédito"),L698,L698+30*(MAX(1,N(E698))-1)))</f>
        <v/>
      </c>
      <c r="N698" s="29">
        <f>IF(OR(L698="",K698=""),"",K698*MIN(MAX(1,N(E698)),MAX(0,INT((Config!$B$8-L698)/30)+1)))</f>
        <v/>
      </c>
      <c r="O698" s="29">
        <f>IF(J698="","",J698-N(N698))</f>
        <v/>
      </c>
      <c r="P698" s="27">
        <f>IF(A698="","",MONTH(A698))</f>
        <v/>
      </c>
      <c r="Q698" s="27">
        <f>IF(A698="","",YEAR(A698))</f>
        <v/>
      </c>
      <c r="R698" s="27">
        <f>IF(L698="","",IF(L698&gt;Config!$B$8,"A cair",IF(N(G698)&gt;=MIN(MAX(1,N(E698)),MAX(0,INT((Config!$B$8-L698)/30)+1)),IF(N(G698)&gt;=MAX(1,N(E698)),"Conferido","Conferido até aqui"),"A conferir")))</f>
        <v/>
      </c>
      <c r="S698" s="51">
        <f>IF(R698="A conferir",(Config!$B$8-L698)*1000+N(F698)/1000+ROW()/100000,0)</f>
        <v>0</v>
      </c>
      <c r="T698" s="51">
        <f>IF(R698="A conferir",N(N698),0)</f>
        <v>0</v>
      </c>
      <c r="U698" s="51">
        <f>IF(L698="",0,L698)</f>
        <v>0</v>
      </c>
      <c r="V698" s="51">
        <f>IF(L698="",0,MAX(1,N(E698)))</f>
        <v>0</v>
      </c>
      <c r="W698" s="51">
        <f>IF(K698="",0,K698)</f>
        <v>0</v>
      </c>
    </row>
    <row r="699">
      <c r="A699" s="49" t="n"/>
      <c r="B699" s="41" t="n"/>
      <c r="C699" s="41" t="n"/>
      <c r="D699" s="42" t="n"/>
      <c r="E699" s="42" t="n"/>
      <c r="F699" s="50" t="n"/>
      <c r="G699" s="42" t="n"/>
      <c r="H699" s="30">
        <f>IF(D699="","",IFERROR(INDEX(Config!$B$12:$B$15,MATCH(IF(AND(D699="Cartão de crédito",N(E699)&gt;1),"Cartão de crédito parcelado",D699),Config!$A$12:$A$15,0)),0)+IF(AND(Config!$B$17="Sim",LEFT(D699,17)="Cartão de crédito"),Config!$B$18*IFERROR(INDEX(Config!$C$12:$C$15,MATCH(IF(AND(D699="Cartão de crédito",N(E699)&gt;1),"Cartão de crédito parcelado",D699),Config!$A$12:$A$15,0)),0)/30*MAX(1,N(E699)),0))</f>
        <v/>
      </c>
      <c r="I699" s="29">
        <f>IF(OR(D699="",F699=""),"",ROUND(F699*H699,2))</f>
        <v/>
      </c>
      <c r="J699" s="29">
        <f>IF(I699="","",F699-I699)</f>
        <v/>
      </c>
      <c r="K699" s="29">
        <f>IF(J699="","",J699/MAX(1,N(E699)))</f>
        <v/>
      </c>
      <c r="L699" s="37">
        <f>IF(OR(D699="",A699=""),"",A699+IF(AND(Config!$B$17="Sim",LEFT(D699,17)="Cartão de crédito"),1,IFERROR(INDEX(Config!$C$12:$C$15,MATCH(IF(AND(D699="Cartão de crédito",N(E699)&gt;1),"Cartão de crédito parcelado",D699),Config!$A$12:$A$15,0)),0)))</f>
        <v/>
      </c>
      <c r="M699" s="37">
        <f>IF(L699="","",IF(AND(Config!$B$17="Sim",LEFT(D699,17)="Cartão de crédito"),L699,L699+30*(MAX(1,N(E699))-1)))</f>
        <v/>
      </c>
      <c r="N699" s="29">
        <f>IF(OR(L699="",K699=""),"",K699*MIN(MAX(1,N(E699)),MAX(0,INT((Config!$B$8-L699)/30)+1)))</f>
        <v/>
      </c>
      <c r="O699" s="29">
        <f>IF(J699="","",J699-N(N699))</f>
        <v/>
      </c>
      <c r="P699" s="27">
        <f>IF(A699="","",MONTH(A699))</f>
        <v/>
      </c>
      <c r="Q699" s="27">
        <f>IF(A699="","",YEAR(A699))</f>
        <v/>
      </c>
      <c r="R699" s="27">
        <f>IF(L699="","",IF(L699&gt;Config!$B$8,"A cair",IF(N(G699)&gt;=MIN(MAX(1,N(E699)),MAX(0,INT((Config!$B$8-L699)/30)+1)),IF(N(G699)&gt;=MAX(1,N(E699)),"Conferido","Conferido até aqui"),"A conferir")))</f>
        <v/>
      </c>
      <c r="S699" s="51">
        <f>IF(R699="A conferir",(Config!$B$8-L699)*1000+N(F699)/1000+ROW()/100000,0)</f>
        <v>0</v>
      </c>
      <c r="T699" s="51">
        <f>IF(R699="A conferir",N(N699),0)</f>
        <v>0</v>
      </c>
      <c r="U699" s="51">
        <f>IF(L699="",0,L699)</f>
        <v>0</v>
      </c>
      <c r="V699" s="51">
        <f>IF(L699="",0,MAX(1,N(E699)))</f>
        <v>0</v>
      </c>
      <c r="W699" s="51">
        <f>IF(K699="",0,K699)</f>
        <v>0</v>
      </c>
    </row>
    <row r="700">
      <c r="A700" s="49" t="n"/>
      <c r="B700" s="41" t="n"/>
      <c r="C700" s="41" t="n"/>
      <c r="D700" s="42" t="n"/>
      <c r="E700" s="42" t="n"/>
      <c r="F700" s="50" t="n"/>
      <c r="G700" s="42" t="n"/>
      <c r="H700" s="30">
        <f>IF(D700="","",IFERROR(INDEX(Config!$B$12:$B$15,MATCH(IF(AND(D700="Cartão de crédito",N(E700)&gt;1),"Cartão de crédito parcelado",D700),Config!$A$12:$A$15,0)),0)+IF(AND(Config!$B$17="Sim",LEFT(D700,17)="Cartão de crédito"),Config!$B$18*IFERROR(INDEX(Config!$C$12:$C$15,MATCH(IF(AND(D700="Cartão de crédito",N(E700)&gt;1),"Cartão de crédito parcelado",D700),Config!$A$12:$A$15,0)),0)/30*MAX(1,N(E700)),0))</f>
        <v/>
      </c>
      <c r="I700" s="29">
        <f>IF(OR(D700="",F700=""),"",ROUND(F700*H700,2))</f>
        <v/>
      </c>
      <c r="J700" s="29">
        <f>IF(I700="","",F700-I700)</f>
        <v/>
      </c>
      <c r="K700" s="29">
        <f>IF(J700="","",J700/MAX(1,N(E700)))</f>
        <v/>
      </c>
      <c r="L700" s="37">
        <f>IF(OR(D700="",A700=""),"",A700+IF(AND(Config!$B$17="Sim",LEFT(D700,17)="Cartão de crédito"),1,IFERROR(INDEX(Config!$C$12:$C$15,MATCH(IF(AND(D700="Cartão de crédito",N(E700)&gt;1),"Cartão de crédito parcelado",D700),Config!$A$12:$A$15,0)),0)))</f>
        <v/>
      </c>
      <c r="M700" s="37">
        <f>IF(L700="","",IF(AND(Config!$B$17="Sim",LEFT(D700,17)="Cartão de crédito"),L700,L700+30*(MAX(1,N(E700))-1)))</f>
        <v/>
      </c>
      <c r="N700" s="29">
        <f>IF(OR(L700="",K700=""),"",K700*MIN(MAX(1,N(E700)),MAX(0,INT((Config!$B$8-L700)/30)+1)))</f>
        <v/>
      </c>
      <c r="O700" s="29">
        <f>IF(J700="","",J700-N(N700))</f>
        <v/>
      </c>
      <c r="P700" s="27">
        <f>IF(A700="","",MONTH(A700))</f>
        <v/>
      </c>
      <c r="Q700" s="27">
        <f>IF(A700="","",YEAR(A700))</f>
        <v/>
      </c>
      <c r="R700" s="27">
        <f>IF(L700="","",IF(L700&gt;Config!$B$8,"A cair",IF(N(G700)&gt;=MIN(MAX(1,N(E700)),MAX(0,INT((Config!$B$8-L700)/30)+1)),IF(N(G700)&gt;=MAX(1,N(E700)),"Conferido","Conferido até aqui"),"A conferir")))</f>
        <v/>
      </c>
      <c r="S700" s="51">
        <f>IF(R700="A conferir",(Config!$B$8-L700)*1000+N(F700)/1000+ROW()/100000,0)</f>
        <v>0</v>
      </c>
      <c r="T700" s="51">
        <f>IF(R700="A conferir",N(N700),0)</f>
        <v>0</v>
      </c>
      <c r="U700" s="51">
        <f>IF(L700="",0,L700)</f>
        <v>0</v>
      </c>
      <c r="V700" s="51">
        <f>IF(L700="",0,MAX(1,N(E700)))</f>
        <v>0</v>
      </c>
      <c r="W700" s="51">
        <f>IF(K700="",0,K700)</f>
        <v>0</v>
      </c>
    </row>
    <row r="701">
      <c r="A701" s="49" t="n"/>
      <c r="B701" s="41" t="n"/>
      <c r="C701" s="41" t="n"/>
      <c r="D701" s="42" t="n"/>
      <c r="E701" s="42" t="n"/>
      <c r="F701" s="50" t="n"/>
      <c r="G701" s="42" t="n"/>
      <c r="H701" s="30">
        <f>IF(D701="","",IFERROR(INDEX(Config!$B$12:$B$15,MATCH(IF(AND(D701="Cartão de crédito",N(E701)&gt;1),"Cartão de crédito parcelado",D701),Config!$A$12:$A$15,0)),0)+IF(AND(Config!$B$17="Sim",LEFT(D701,17)="Cartão de crédito"),Config!$B$18*IFERROR(INDEX(Config!$C$12:$C$15,MATCH(IF(AND(D701="Cartão de crédito",N(E701)&gt;1),"Cartão de crédito parcelado",D701),Config!$A$12:$A$15,0)),0)/30*MAX(1,N(E701)),0))</f>
        <v/>
      </c>
      <c r="I701" s="29">
        <f>IF(OR(D701="",F701=""),"",ROUND(F701*H701,2))</f>
        <v/>
      </c>
      <c r="J701" s="29">
        <f>IF(I701="","",F701-I701)</f>
        <v/>
      </c>
      <c r="K701" s="29">
        <f>IF(J701="","",J701/MAX(1,N(E701)))</f>
        <v/>
      </c>
      <c r="L701" s="37">
        <f>IF(OR(D701="",A701=""),"",A701+IF(AND(Config!$B$17="Sim",LEFT(D701,17)="Cartão de crédito"),1,IFERROR(INDEX(Config!$C$12:$C$15,MATCH(IF(AND(D701="Cartão de crédito",N(E701)&gt;1),"Cartão de crédito parcelado",D701),Config!$A$12:$A$15,0)),0)))</f>
        <v/>
      </c>
      <c r="M701" s="37">
        <f>IF(L701="","",IF(AND(Config!$B$17="Sim",LEFT(D701,17)="Cartão de crédito"),L701,L701+30*(MAX(1,N(E701))-1)))</f>
        <v/>
      </c>
      <c r="N701" s="29">
        <f>IF(OR(L701="",K701=""),"",K701*MIN(MAX(1,N(E701)),MAX(0,INT((Config!$B$8-L701)/30)+1)))</f>
        <v/>
      </c>
      <c r="O701" s="29">
        <f>IF(J701="","",J701-N(N701))</f>
        <v/>
      </c>
      <c r="P701" s="27">
        <f>IF(A701="","",MONTH(A701))</f>
        <v/>
      </c>
      <c r="Q701" s="27">
        <f>IF(A701="","",YEAR(A701))</f>
        <v/>
      </c>
      <c r="R701" s="27">
        <f>IF(L701="","",IF(L701&gt;Config!$B$8,"A cair",IF(N(G701)&gt;=MIN(MAX(1,N(E701)),MAX(0,INT((Config!$B$8-L701)/30)+1)),IF(N(G701)&gt;=MAX(1,N(E701)),"Conferido","Conferido até aqui"),"A conferir")))</f>
        <v/>
      </c>
      <c r="S701" s="51">
        <f>IF(R701="A conferir",(Config!$B$8-L701)*1000+N(F701)/1000+ROW()/100000,0)</f>
        <v>0</v>
      </c>
      <c r="T701" s="51">
        <f>IF(R701="A conferir",N(N701),0)</f>
        <v>0</v>
      </c>
      <c r="U701" s="51">
        <f>IF(L701="",0,L701)</f>
        <v>0</v>
      </c>
      <c r="V701" s="51">
        <f>IF(L701="",0,MAX(1,N(E701)))</f>
        <v>0</v>
      </c>
      <c r="W701" s="51">
        <f>IF(K701="",0,K701)</f>
        <v>0</v>
      </c>
    </row>
    <row r="702">
      <c r="A702" s="49" t="n"/>
      <c r="B702" s="41" t="n"/>
      <c r="C702" s="41" t="n"/>
      <c r="D702" s="42" t="n"/>
      <c r="E702" s="42" t="n"/>
      <c r="F702" s="50" t="n"/>
      <c r="G702" s="42" t="n"/>
      <c r="H702" s="30">
        <f>IF(D702="","",IFERROR(INDEX(Config!$B$12:$B$15,MATCH(IF(AND(D702="Cartão de crédito",N(E702)&gt;1),"Cartão de crédito parcelado",D702),Config!$A$12:$A$15,0)),0)+IF(AND(Config!$B$17="Sim",LEFT(D702,17)="Cartão de crédito"),Config!$B$18*IFERROR(INDEX(Config!$C$12:$C$15,MATCH(IF(AND(D702="Cartão de crédito",N(E702)&gt;1),"Cartão de crédito parcelado",D702),Config!$A$12:$A$15,0)),0)/30*MAX(1,N(E702)),0))</f>
        <v/>
      </c>
      <c r="I702" s="29">
        <f>IF(OR(D702="",F702=""),"",ROUND(F702*H702,2))</f>
        <v/>
      </c>
      <c r="J702" s="29">
        <f>IF(I702="","",F702-I702)</f>
        <v/>
      </c>
      <c r="K702" s="29">
        <f>IF(J702="","",J702/MAX(1,N(E702)))</f>
        <v/>
      </c>
      <c r="L702" s="37">
        <f>IF(OR(D702="",A702=""),"",A702+IF(AND(Config!$B$17="Sim",LEFT(D702,17)="Cartão de crédito"),1,IFERROR(INDEX(Config!$C$12:$C$15,MATCH(IF(AND(D702="Cartão de crédito",N(E702)&gt;1),"Cartão de crédito parcelado",D702),Config!$A$12:$A$15,0)),0)))</f>
        <v/>
      </c>
      <c r="M702" s="37">
        <f>IF(L702="","",IF(AND(Config!$B$17="Sim",LEFT(D702,17)="Cartão de crédito"),L702,L702+30*(MAX(1,N(E702))-1)))</f>
        <v/>
      </c>
      <c r="N702" s="29">
        <f>IF(OR(L702="",K702=""),"",K702*MIN(MAX(1,N(E702)),MAX(0,INT((Config!$B$8-L702)/30)+1)))</f>
        <v/>
      </c>
      <c r="O702" s="29">
        <f>IF(J702="","",J702-N(N702))</f>
        <v/>
      </c>
      <c r="P702" s="27">
        <f>IF(A702="","",MONTH(A702))</f>
        <v/>
      </c>
      <c r="Q702" s="27">
        <f>IF(A702="","",YEAR(A702))</f>
        <v/>
      </c>
      <c r="R702" s="27">
        <f>IF(L702="","",IF(L702&gt;Config!$B$8,"A cair",IF(N(G702)&gt;=MIN(MAX(1,N(E702)),MAX(0,INT((Config!$B$8-L702)/30)+1)),IF(N(G702)&gt;=MAX(1,N(E702)),"Conferido","Conferido até aqui"),"A conferir")))</f>
        <v/>
      </c>
      <c r="S702" s="51">
        <f>IF(R702="A conferir",(Config!$B$8-L702)*1000+N(F702)/1000+ROW()/100000,0)</f>
        <v>0</v>
      </c>
      <c r="T702" s="51">
        <f>IF(R702="A conferir",N(N702),0)</f>
        <v>0</v>
      </c>
      <c r="U702" s="51">
        <f>IF(L702="",0,L702)</f>
        <v>0</v>
      </c>
      <c r="V702" s="51">
        <f>IF(L702="",0,MAX(1,N(E702)))</f>
        <v>0</v>
      </c>
      <c r="W702" s="51">
        <f>IF(K702="",0,K702)</f>
        <v>0</v>
      </c>
    </row>
    <row r="703">
      <c r="A703" s="49" t="n"/>
      <c r="B703" s="41" t="n"/>
      <c r="C703" s="41" t="n"/>
      <c r="D703" s="42" t="n"/>
      <c r="E703" s="42" t="n"/>
      <c r="F703" s="50" t="n"/>
      <c r="G703" s="42" t="n"/>
      <c r="H703" s="30">
        <f>IF(D703="","",IFERROR(INDEX(Config!$B$12:$B$15,MATCH(IF(AND(D703="Cartão de crédito",N(E703)&gt;1),"Cartão de crédito parcelado",D703),Config!$A$12:$A$15,0)),0)+IF(AND(Config!$B$17="Sim",LEFT(D703,17)="Cartão de crédito"),Config!$B$18*IFERROR(INDEX(Config!$C$12:$C$15,MATCH(IF(AND(D703="Cartão de crédito",N(E703)&gt;1),"Cartão de crédito parcelado",D703),Config!$A$12:$A$15,0)),0)/30*MAX(1,N(E703)),0))</f>
        <v/>
      </c>
      <c r="I703" s="29">
        <f>IF(OR(D703="",F703=""),"",ROUND(F703*H703,2))</f>
        <v/>
      </c>
      <c r="J703" s="29">
        <f>IF(I703="","",F703-I703)</f>
        <v/>
      </c>
      <c r="K703" s="29">
        <f>IF(J703="","",J703/MAX(1,N(E703)))</f>
        <v/>
      </c>
      <c r="L703" s="37">
        <f>IF(OR(D703="",A703=""),"",A703+IF(AND(Config!$B$17="Sim",LEFT(D703,17)="Cartão de crédito"),1,IFERROR(INDEX(Config!$C$12:$C$15,MATCH(IF(AND(D703="Cartão de crédito",N(E703)&gt;1),"Cartão de crédito parcelado",D703),Config!$A$12:$A$15,0)),0)))</f>
        <v/>
      </c>
      <c r="M703" s="37">
        <f>IF(L703="","",IF(AND(Config!$B$17="Sim",LEFT(D703,17)="Cartão de crédito"),L703,L703+30*(MAX(1,N(E703))-1)))</f>
        <v/>
      </c>
      <c r="N703" s="29">
        <f>IF(OR(L703="",K703=""),"",K703*MIN(MAX(1,N(E703)),MAX(0,INT((Config!$B$8-L703)/30)+1)))</f>
        <v/>
      </c>
      <c r="O703" s="29">
        <f>IF(J703="","",J703-N(N703))</f>
        <v/>
      </c>
      <c r="P703" s="27">
        <f>IF(A703="","",MONTH(A703))</f>
        <v/>
      </c>
      <c r="Q703" s="27">
        <f>IF(A703="","",YEAR(A703))</f>
        <v/>
      </c>
      <c r="R703" s="27">
        <f>IF(L703="","",IF(L703&gt;Config!$B$8,"A cair",IF(N(G703)&gt;=MIN(MAX(1,N(E703)),MAX(0,INT((Config!$B$8-L703)/30)+1)),IF(N(G703)&gt;=MAX(1,N(E703)),"Conferido","Conferido até aqui"),"A conferir")))</f>
        <v/>
      </c>
      <c r="S703" s="51">
        <f>IF(R703="A conferir",(Config!$B$8-L703)*1000+N(F703)/1000+ROW()/100000,0)</f>
        <v>0</v>
      </c>
      <c r="T703" s="51">
        <f>IF(R703="A conferir",N(N703),0)</f>
        <v>0</v>
      </c>
      <c r="U703" s="51">
        <f>IF(L703="",0,L703)</f>
        <v>0</v>
      </c>
      <c r="V703" s="51">
        <f>IF(L703="",0,MAX(1,N(E703)))</f>
        <v>0</v>
      </c>
      <c r="W703" s="51">
        <f>IF(K703="",0,K703)</f>
        <v>0</v>
      </c>
    </row>
    <row r="704">
      <c r="A704" s="49" t="n"/>
      <c r="B704" s="41" t="n"/>
      <c r="C704" s="41" t="n"/>
      <c r="D704" s="42" t="n"/>
      <c r="E704" s="42" t="n"/>
      <c r="F704" s="50" t="n"/>
      <c r="G704" s="42" t="n"/>
      <c r="H704" s="30">
        <f>IF(D704="","",IFERROR(INDEX(Config!$B$12:$B$15,MATCH(IF(AND(D704="Cartão de crédito",N(E704)&gt;1),"Cartão de crédito parcelado",D704),Config!$A$12:$A$15,0)),0)+IF(AND(Config!$B$17="Sim",LEFT(D704,17)="Cartão de crédito"),Config!$B$18*IFERROR(INDEX(Config!$C$12:$C$15,MATCH(IF(AND(D704="Cartão de crédito",N(E704)&gt;1),"Cartão de crédito parcelado",D704),Config!$A$12:$A$15,0)),0)/30*MAX(1,N(E704)),0))</f>
        <v/>
      </c>
      <c r="I704" s="29">
        <f>IF(OR(D704="",F704=""),"",ROUND(F704*H704,2))</f>
        <v/>
      </c>
      <c r="J704" s="29">
        <f>IF(I704="","",F704-I704)</f>
        <v/>
      </c>
      <c r="K704" s="29">
        <f>IF(J704="","",J704/MAX(1,N(E704)))</f>
        <v/>
      </c>
      <c r="L704" s="37">
        <f>IF(OR(D704="",A704=""),"",A704+IF(AND(Config!$B$17="Sim",LEFT(D704,17)="Cartão de crédito"),1,IFERROR(INDEX(Config!$C$12:$C$15,MATCH(IF(AND(D704="Cartão de crédito",N(E704)&gt;1),"Cartão de crédito parcelado",D704),Config!$A$12:$A$15,0)),0)))</f>
        <v/>
      </c>
      <c r="M704" s="37">
        <f>IF(L704="","",IF(AND(Config!$B$17="Sim",LEFT(D704,17)="Cartão de crédito"),L704,L704+30*(MAX(1,N(E704))-1)))</f>
        <v/>
      </c>
      <c r="N704" s="29">
        <f>IF(OR(L704="",K704=""),"",K704*MIN(MAX(1,N(E704)),MAX(0,INT((Config!$B$8-L704)/30)+1)))</f>
        <v/>
      </c>
      <c r="O704" s="29">
        <f>IF(J704="","",J704-N(N704))</f>
        <v/>
      </c>
      <c r="P704" s="27">
        <f>IF(A704="","",MONTH(A704))</f>
        <v/>
      </c>
      <c r="Q704" s="27">
        <f>IF(A704="","",YEAR(A704))</f>
        <v/>
      </c>
      <c r="R704" s="27">
        <f>IF(L704="","",IF(L704&gt;Config!$B$8,"A cair",IF(N(G704)&gt;=MIN(MAX(1,N(E704)),MAX(0,INT((Config!$B$8-L704)/30)+1)),IF(N(G704)&gt;=MAX(1,N(E704)),"Conferido","Conferido até aqui"),"A conferir")))</f>
        <v/>
      </c>
      <c r="S704" s="51">
        <f>IF(R704="A conferir",(Config!$B$8-L704)*1000+N(F704)/1000+ROW()/100000,0)</f>
        <v>0</v>
      </c>
      <c r="T704" s="51">
        <f>IF(R704="A conferir",N(N704),0)</f>
        <v>0</v>
      </c>
      <c r="U704" s="51">
        <f>IF(L704="",0,L704)</f>
        <v>0</v>
      </c>
      <c r="V704" s="51">
        <f>IF(L704="",0,MAX(1,N(E704)))</f>
        <v>0</v>
      </c>
      <c r="W704" s="51">
        <f>IF(K704="",0,K704)</f>
        <v>0</v>
      </c>
    </row>
    <row r="705">
      <c r="A705" s="49" t="n"/>
      <c r="B705" s="41" t="n"/>
      <c r="C705" s="41" t="n"/>
      <c r="D705" s="42" t="n"/>
      <c r="E705" s="42" t="n"/>
      <c r="F705" s="50" t="n"/>
      <c r="G705" s="42" t="n"/>
      <c r="H705" s="30">
        <f>IF(D705="","",IFERROR(INDEX(Config!$B$12:$B$15,MATCH(IF(AND(D705="Cartão de crédito",N(E705)&gt;1),"Cartão de crédito parcelado",D705),Config!$A$12:$A$15,0)),0)+IF(AND(Config!$B$17="Sim",LEFT(D705,17)="Cartão de crédito"),Config!$B$18*IFERROR(INDEX(Config!$C$12:$C$15,MATCH(IF(AND(D705="Cartão de crédito",N(E705)&gt;1),"Cartão de crédito parcelado",D705),Config!$A$12:$A$15,0)),0)/30*MAX(1,N(E705)),0))</f>
        <v/>
      </c>
      <c r="I705" s="29">
        <f>IF(OR(D705="",F705=""),"",ROUND(F705*H705,2))</f>
        <v/>
      </c>
      <c r="J705" s="29">
        <f>IF(I705="","",F705-I705)</f>
        <v/>
      </c>
      <c r="K705" s="29">
        <f>IF(J705="","",J705/MAX(1,N(E705)))</f>
        <v/>
      </c>
      <c r="L705" s="37">
        <f>IF(OR(D705="",A705=""),"",A705+IF(AND(Config!$B$17="Sim",LEFT(D705,17)="Cartão de crédito"),1,IFERROR(INDEX(Config!$C$12:$C$15,MATCH(IF(AND(D705="Cartão de crédito",N(E705)&gt;1),"Cartão de crédito parcelado",D705),Config!$A$12:$A$15,0)),0)))</f>
        <v/>
      </c>
      <c r="M705" s="37">
        <f>IF(L705="","",IF(AND(Config!$B$17="Sim",LEFT(D705,17)="Cartão de crédito"),L705,L705+30*(MAX(1,N(E705))-1)))</f>
        <v/>
      </c>
      <c r="N705" s="29">
        <f>IF(OR(L705="",K705=""),"",K705*MIN(MAX(1,N(E705)),MAX(0,INT((Config!$B$8-L705)/30)+1)))</f>
        <v/>
      </c>
      <c r="O705" s="29">
        <f>IF(J705="","",J705-N(N705))</f>
        <v/>
      </c>
      <c r="P705" s="27">
        <f>IF(A705="","",MONTH(A705))</f>
        <v/>
      </c>
      <c r="Q705" s="27">
        <f>IF(A705="","",YEAR(A705))</f>
        <v/>
      </c>
      <c r="R705" s="27">
        <f>IF(L705="","",IF(L705&gt;Config!$B$8,"A cair",IF(N(G705)&gt;=MIN(MAX(1,N(E705)),MAX(0,INT((Config!$B$8-L705)/30)+1)),IF(N(G705)&gt;=MAX(1,N(E705)),"Conferido","Conferido até aqui"),"A conferir")))</f>
        <v/>
      </c>
      <c r="S705" s="51">
        <f>IF(R705="A conferir",(Config!$B$8-L705)*1000+N(F705)/1000+ROW()/100000,0)</f>
        <v>0</v>
      </c>
      <c r="T705" s="51">
        <f>IF(R705="A conferir",N(N705),0)</f>
        <v>0</v>
      </c>
      <c r="U705" s="51">
        <f>IF(L705="",0,L705)</f>
        <v>0</v>
      </c>
      <c r="V705" s="51">
        <f>IF(L705="",0,MAX(1,N(E705)))</f>
        <v>0</v>
      </c>
      <c r="W705" s="51">
        <f>IF(K705="",0,K705)</f>
        <v>0</v>
      </c>
    </row>
    <row r="706">
      <c r="A706" s="49" t="n"/>
      <c r="B706" s="41" t="n"/>
      <c r="C706" s="41" t="n"/>
      <c r="D706" s="42" t="n"/>
      <c r="E706" s="42" t="n"/>
      <c r="F706" s="50" t="n"/>
      <c r="G706" s="42" t="n"/>
      <c r="H706" s="30">
        <f>IF(D706="","",IFERROR(INDEX(Config!$B$12:$B$15,MATCH(IF(AND(D706="Cartão de crédito",N(E706)&gt;1),"Cartão de crédito parcelado",D706),Config!$A$12:$A$15,0)),0)+IF(AND(Config!$B$17="Sim",LEFT(D706,17)="Cartão de crédito"),Config!$B$18*IFERROR(INDEX(Config!$C$12:$C$15,MATCH(IF(AND(D706="Cartão de crédito",N(E706)&gt;1),"Cartão de crédito parcelado",D706),Config!$A$12:$A$15,0)),0)/30*MAX(1,N(E706)),0))</f>
        <v/>
      </c>
      <c r="I706" s="29">
        <f>IF(OR(D706="",F706=""),"",ROUND(F706*H706,2))</f>
        <v/>
      </c>
      <c r="J706" s="29">
        <f>IF(I706="","",F706-I706)</f>
        <v/>
      </c>
      <c r="K706" s="29">
        <f>IF(J706="","",J706/MAX(1,N(E706)))</f>
        <v/>
      </c>
      <c r="L706" s="37">
        <f>IF(OR(D706="",A706=""),"",A706+IF(AND(Config!$B$17="Sim",LEFT(D706,17)="Cartão de crédito"),1,IFERROR(INDEX(Config!$C$12:$C$15,MATCH(IF(AND(D706="Cartão de crédito",N(E706)&gt;1),"Cartão de crédito parcelado",D706),Config!$A$12:$A$15,0)),0)))</f>
        <v/>
      </c>
      <c r="M706" s="37">
        <f>IF(L706="","",IF(AND(Config!$B$17="Sim",LEFT(D706,17)="Cartão de crédito"),L706,L706+30*(MAX(1,N(E706))-1)))</f>
        <v/>
      </c>
      <c r="N706" s="29">
        <f>IF(OR(L706="",K706=""),"",K706*MIN(MAX(1,N(E706)),MAX(0,INT((Config!$B$8-L706)/30)+1)))</f>
        <v/>
      </c>
      <c r="O706" s="29">
        <f>IF(J706="","",J706-N(N706))</f>
        <v/>
      </c>
      <c r="P706" s="27">
        <f>IF(A706="","",MONTH(A706))</f>
        <v/>
      </c>
      <c r="Q706" s="27">
        <f>IF(A706="","",YEAR(A706))</f>
        <v/>
      </c>
      <c r="R706" s="27">
        <f>IF(L706="","",IF(L706&gt;Config!$B$8,"A cair",IF(N(G706)&gt;=MIN(MAX(1,N(E706)),MAX(0,INT((Config!$B$8-L706)/30)+1)),IF(N(G706)&gt;=MAX(1,N(E706)),"Conferido","Conferido até aqui"),"A conferir")))</f>
        <v/>
      </c>
      <c r="S706" s="51">
        <f>IF(R706="A conferir",(Config!$B$8-L706)*1000+N(F706)/1000+ROW()/100000,0)</f>
        <v>0</v>
      </c>
      <c r="T706" s="51">
        <f>IF(R706="A conferir",N(N706),0)</f>
        <v>0</v>
      </c>
      <c r="U706" s="51">
        <f>IF(L706="",0,L706)</f>
        <v>0</v>
      </c>
      <c r="V706" s="51">
        <f>IF(L706="",0,MAX(1,N(E706)))</f>
        <v>0</v>
      </c>
      <c r="W706" s="51">
        <f>IF(K706="",0,K706)</f>
        <v>0</v>
      </c>
    </row>
    <row r="707">
      <c r="A707" s="49" t="n"/>
      <c r="B707" s="41" t="n"/>
      <c r="C707" s="41" t="n"/>
      <c r="D707" s="42" t="n"/>
      <c r="E707" s="42" t="n"/>
      <c r="F707" s="50" t="n"/>
      <c r="G707" s="42" t="n"/>
      <c r="H707" s="30">
        <f>IF(D707="","",IFERROR(INDEX(Config!$B$12:$B$15,MATCH(IF(AND(D707="Cartão de crédito",N(E707)&gt;1),"Cartão de crédito parcelado",D707),Config!$A$12:$A$15,0)),0)+IF(AND(Config!$B$17="Sim",LEFT(D707,17)="Cartão de crédito"),Config!$B$18*IFERROR(INDEX(Config!$C$12:$C$15,MATCH(IF(AND(D707="Cartão de crédito",N(E707)&gt;1),"Cartão de crédito parcelado",D707),Config!$A$12:$A$15,0)),0)/30*MAX(1,N(E707)),0))</f>
        <v/>
      </c>
      <c r="I707" s="29">
        <f>IF(OR(D707="",F707=""),"",ROUND(F707*H707,2))</f>
        <v/>
      </c>
      <c r="J707" s="29">
        <f>IF(I707="","",F707-I707)</f>
        <v/>
      </c>
      <c r="K707" s="29">
        <f>IF(J707="","",J707/MAX(1,N(E707)))</f>
        <v/>
      </c>
      <c r="L707" s="37">
        <f>IF(OR(D707="",A707=""),"",A707+IF(AND(Config!$B$17="Sim",LEFT(D707,17)="Cartão de crédito"),1,IFERROR(INDEX(Config!$C$12:$C$15,MATCH(IF(AND(D707="Cartão de crédito",N(E707)&gt;1),"Cartão de crédito parcelado",D707),Config!$A$12:$A$15,0)),0)))</f>
        <v/>
      </c>
      <c r="M707" s="37">
        <f>IF(L707="","",IF(AND(Config!$B$17="Sim",LEFT(D707,17)="Cartão de crédito"),L707,L707+30*(MAX(1,N(E707))-1)))</f>
        <v/>
      </c>
      <c r="N707" s="29">
        <f>IF(OR(L707="",K707=""),"",K707*MIN(MAX(1,N(E707)),MAX(0,INT((Config!$B$8-L707)/30)+1)))</f>
        <v/>
      </c>
      <c r="O707" s="29">
        <f>IF(J707="","",J707-N(N707))</f>
        <v/>
      </c>
      <c r="P707" s="27">
        <f>IF(A707="","",MONTH(A707))</f>
        <v/>
      </c>
      <c r="Q707" s="27">
        <f>IF(A707="","",YEAR(A707))</f>
        <v/>
      </c>
      <c r="R707" s="27">
        <f>IF(L707="","",IF(L707&gt;Config!$B$8,"A cair",IF(N(G707)&gt;=MIN(MAX(1,N(E707)),MAX(0,INT((Config!$B$8-L707)/30)+1)),IF(N(G707)&gt;=MAX(1,N(E707)),"Conferido","Conferido até aqui"),"A conferir")))</f>
        <v/>
      </c>
      <c r="S707" s="51">
        <f>IF(R707="A conferir",(Config!$B$8-L707)*1000+N(F707)/1000+ROW()/100000,0)</f>
        <v>0</v>
      </c>
      <c r="T707" s="51">
        <f>IF(R707="A conferir",N(N707),0)</f>
        <v>0</v>
      </c>
      <c r="U707" s="51">
        <f>IF(L707="",0,L707)</f>
        <v>0</v>
      </c>
      <c r="V707" s="51">
        <f>IF(L707="",0,MAX(1,N(E707)))</f>
        <v>0</v>
      </c>
      <c r="W707" s="51">
        <f>IF(K707="",0,K707)</f>
        <v>0</v>
      </c>
    </row>
    <row r="708">
      <c r="A708" s="49" t="n"/>
      <c r="B708" s="41" t="n"/>
      <c r="C708" s="41" t="n"/>
      <c r="D708" s="42" t="n"/>
      <c r="E708" s="42" t="n"/>
      <c r="F708" s="50" t="n"/>
      <c r="G708" s="42" t="n"/>
      <c r="H708" s="30">
        <f>IF(D708="","",IFERROR(INDEX(Config!$B$12:$B$15,MATCH(IF(AND(D708="Cartão de crédito",N(E708)&gt;1),"Cartão de crédito parcelado",D708),Config!$A$12:$A$15,0)),0)+IF(AND(Config!$B$17="Sim",LEFT(D708,17)="Cartão de crédito"),Config!$B$18*IFERROR(INDEX(Config!$C$12:$C$15,MATCH(IF(AND(D708="Cartão de crédito",N(E708)&gt;1),"Cartão de crédito parcelado",D708),Config!$A$12:$A$15,0)),0)/30*MAX(1,N(E708)),0))</f>
        <v/>
      </c>
      <c r="I708" s="29">
        <f>IF(OR(D708="",F708=""),"",ROUND(F708*H708,2))</f>
        <v/>
      </c>
      <c r="J708" s="29">
        <f>IF(I708="","",F708-I708)</f>
        <v/>
      </c>
      <c r="K708" s="29">
        <f>IF(J708="","",J708/MAX(1,N(E708)))</f>
        <v/>
      </c>
      <c r="L708" s="37">
        <f>IF(OR(D708="",A708=""),"",A708+IF(AND(Config!$B$17="Sim",LEFT(D708,17)="Cartão de crédito"),1,IFERROR(INDEX(Config!$C$12:$C$15,MATCH(IF(AND(D708="Cartão de crédito",N(E708)&gt;1),"Cartão de crédito parcelado",D708),Config!$A$12:$A$15,0)),0)))</f>
        <v/>
      </c>
      <c r="M708" s="37">
        <f>IF(L708="","",IF(AND(Config!$B$17="Sim",LEFT(D708,17)="Cartão de crédito"),L708,L708+30*(MAX(1,N(E708))-1)))</f>
        <v/>
      </c>
      <c r="N708" s="29">
        <f>IF(OR(L708="",K708=""),"",K708*MIN(MAX(1,N(E708)),MAX(0,INT((Config!$B$8-L708)/30)+1)))</f>
        <v/>
      </c>
      <c r="O708" s="29">
        <f>IF(J708="","",J708-N(N708))</f>
        <v/>
      </c>
      <c r="P708" s="27">
        <f>IF(A708="","",MONTH(A708))</f>
        <v/>
      </c>
      <c r="Q708" s="27">
        <f>IF(A708="","",YEAR(A708))</f>
        <v/>
      </c>
      <c r="R708" s="27">
        <f>IF(L708="","",IF(L708&gt;Config!$B$8,"A cair",IF(N(G708)&gt;=MIN(MAX(1,N(E708)),MAX(0,INT((Config!$B$8-L708)/30)+1)),IF(N(G708)&gt;=MAX(1,N(E708)),"Conferido","Conferido até aqui"),"A conferir")))</f>
        <v/>
      </c>
      <c r="S708" s="51">
        <f>IF(R708="A conferir",(Config!$B$8-L708)*1000+N(F708)/1000+ROW()/100000,0)</f>
        <v>0</v>
      </c>
      <c r="T708" s="51">
        <f>IF(R708="A conferir",N(N708),0)</f>
        <v>0</v>
      </c>
      <c r="U708" s="51">
        <f>IF(L708="",0,L708)</f>
        <v>0</v>
      </c>
      <c r="V708" s="51">
        <f>IF(L708="",0,MAX(1,N(E708)))</f>
        <v>0</v>
      </c>
      <c r="W708" s="51">
        <f>IF(K708="",0,K708)</f>
        <v>0</v>
      </c>
    </row>
    <row r="709">
      <c r="A709" s="49" t="n"/>
      <c r="B709" s="41" t="n"/>
      <c r="C709" s="41" t="n"/>
      <c r="D709" s="42" t="n"/>
      <c r="E709" s="42" t="n"/>
      <c r="F709" s="50" t="n"/>
      <c r="G709" s="42" t="n"/>
      <c r="H709" s="30">
        <f>IF(D709="","",IFERROR(INDEX(Config!$B$12:$B$15,MATCH(IF(AND(D709="Cartão de crédito",N(E709)&gt;1),"Cartão de crédito parcelado",D709),Config!$A$12:$A$15,0)),0)+IF(AND(Config!$B$17="Sim",LEFT(D709,17)="Cartão de crédito"),Config!$B$18*IFERROR(INDEX(Config!$C$12:$C$15,MATCH(IF(AND(D709="Cartão de crédito",N(E709)&gt;1),"Cartão de crédito parcelado",D709),Config!$A$12:$A$15,0)),0)/30*MAX(1,N(E709)),0))</f>
        <v/>
      </c>
      <c r="I709" s="29">
        <f>IF(OR(D709="",F709=""),"",ROUND(F709*H709,2))</f>
        <v/>
      </c>
      <c r="J709" s="29">
        <f>IF(I709="","",F709-I709)</f>
        <v/>
      </c>
      <c r="K709" s="29">
        <f>IF(J709="","",J709/MAX(1,N(E709)))</f>
        <v/>
      </c>
      <c r="L709" s="37">
        <f>IF(OR(D709="",A709=""),"",A709+IF(AND(Config!$B$17="Sim",LEFT(D709,17)="Cartão de crédito"),1,IFERROR(INDEX(Config!$C$12:$C$15,MATCH(IF(AND(D709="Cartão de crédito",N(E709)&gt;1),"Cartão de crédito parcelado",D709),Config!$A$12:$A$15,0)),0)))</f>
        <v/>
      </c>
      <c r="M709" s="37">
        <f>IF(L709="","",IF(AND(Config!$B$17="Sim",LEFT(D709,17)="Cartão de crédito"),L709,L709+30*(MAX(1,N(E709))-1)))</f>
        <v/>
      </c>
      <c r="N709" s="29">
        <f>IF(OR(L709="",K709=""),"",K709*MIN(MAX(1,N(E709)),MAX(0,INT((Config!$B$8-L709)/30)+1)))</f>
        <v/>
      </c>
      <c r="O709" s="29">
        <f>IF(J709="","",J709-N(N709))</f>
        <v/>
      </c>
      <c r="P709" s="27">
        <f>IF(A709="","",MONTH(A709))</f>
        <v/>
      </c>
      <c r="Q709" s="27">
        <f>IF(A709="","",YEAR(A709))</f>
        <v/>
      </c>
      <c r="R709" s="27">
        <f>IF(L709="","",IF(L709&gt;Config!$B$8,"A cair",IF(N(G709)&gt;=MIN(MAX(1,N(E709)),MAX(0,INT((Config!$B$8-L709)/30)+1)),IF(N(G709)&gt;=MAX(1,N(E709)),"Conferido","Conferido até aqui"),"A conferir")))</f>
        <v/>
      </c>
      <c r="S709" s="51">
        <f>IF(R709="A conferir",(Config!$B$8-L709)*1000+N(F709)/1000+ROW()/100000,0)</f>
        <v>0</v>
      </c>
      <c r="T709" s="51">
        <f>IF(R709="A conferir",N(N709),0)</f>
        <v>0</v>
      </c>
      <c r="U709" s="51">
        <f>IF(L709="",0,L709)</f>
        <v>0</v>
      </c>
      <c r="V709" s="51">
        <f>IF(L709="",0,MAX(1,N(E709)))</f>
        <v>0</v>
      </c>
      <c r="W709" s="51">
        <f>IF(K709="",0,K709)</f>
        <v>0</v>
      </c>
    </row>
    <row r="710">
      <c r="A710" s="49" t="n"/>
      <c r="B710" s="41" t="n"/>
      <c r="C710" s="41" t="n"/>
      <c r="D710" s="42" t="n"/>
      <c r="E710" s="42" t="n"/>
      <c r="F710" s="50" t="n"/>
      <c r="G710" s="42" t="n"/>
      <c r="H710" s="30">
        <f>IF(D710="","",IFERROR(INDEX(Config!$B$12:$B$15,MATCH(IF(AND(D710="Cartão de crédito",N(E710)&gt;1),"Cartão de crédito parcelado",D710),Config!$A$12:$A$15,0)),0)+IF(AND(Config!$B$17="Sim",LEFT(D710,17)="Cartão de crédito"),Config!$B$18*IFERROR(INDEX(Config!$C$12:$C$15,MATCH(IF(AND(D710="Cartão de crédito",N(E710)&gt;1),"Cartão de crédito parcelado",D710),Config!$A$12:$A$15,0)),0)/30*MAX(1,N(E710)),0))</f>
        <v/>
      </c>
      <c r="I710" s="29">
        <f>IF(OR(D710="",F710=""),"",ROUND(F710*H710,2))</f>
        <v/>
      </c>
      <c r="J710" s="29">
        <f>IF(I710="","",F710-I710)</f>
        <v/>
      </c>
      <c r="K710" s="29">
        <f>IF(J710="","",J710/MAX(1,N(E710)))</f>
        <v/>
      </c>
      <c r="L710" s="37">
        <f>IF(OR(D710="",A710=""),"",A710+IF(AND(Config!$B$17="Sim",LEFT(D710,17)="Cartão de crédito"),1,IFERROR(INDEX(Config!$C$12:$C$15,MATCH(IF(AND(D710="Cartão de crédito",N(E710)&gt;1),"Cartão de crédito parcelado",D710),Config!$A$12:$A$15,0)),0)))</f>
        <v/>
      </c>
      <c r="M710" s="37">
        <f>IF(L710="","",IF(AND(Config!$B$17="Sim",LEFT(D710,17)="Cartão de crédito"),L710,L710+30*(MAX(1,N(E710))-1)))</f>
        <v/>
      </c>
      <c r="N710" s="29">
        <f>IF(OR(L710="",K710=""),"",K710*MIN(MAX(1,N(E710)),MAX(0,INT((Config!$B$8-L710)/30)+1)))</f>
        <v/>
      </c>
      <c r="O710" s="29">
        <f>IF(J710="","",J710-N(N710))</f>
        <v/>
      </c>
      <c r="P710" s="27">
        <f>IF(A710="","",MONTH(A710))</f>
        <v/>
      </c>
      <c r="Q710" s="27">
        <f>IF(A710="","",YEAR(A710))</f>
        <v/>
      </c>
      <c r="R710" s="27">
        <f>IF(L710="","",IF(L710&gt;Config!$B$8,"A cair",IF(N(G710)&gt;=MIN(MAX(1,N(E710)),MAX(0,INT((Config!$B$8-L710)/30)+1)),IF(N(G710)&gt;=MAX(1,N(E710)),"Conferido","Conferido até aqui"),"A conferir")))</f>
        <v/>
      </c>
      <c r="S710" s="51">
        <f>IF(R710="A conferir",(Config!$B$8-L710)*1000+N(F710)/1000+ROW()/100000,0)</f>
        <v>0</v>
      </c>
      <c r="T710" s="51">
        <f>IF(R710="A conferir",N(N710),0)</f>
        <v>0</v>
      </c>
      <c r="U710" s="51">
        <f>IF(L710="",0,L710)</f>
        <v>0</v>
      </c>
      <c r="V710" s="51">
        <f>IF(L710="",0,MAX(1,N(E710)))</f>
        <v>0</v>
      </c>
      <c r="W710" s="51">
        <f>IF(K710="",0,K710)</f>
        <v>0</v>
      </c>
    </row>
    <row r="711">
      <c r="A711" s="49" t="n"/>
      <c r="B711" s="41" t="n"/>
      <c r="C711" s="41" t="n"/>
      <c r="D711" s="42" t="n"/>
      <c r="E711" s="42" t="n"/>
      <c r="F711" s="50" t="n"/>
      <c r="G711" s="42" t="n"/>
      <c r="H711" s="30">
        <f>IF(D711="","",IFERROR(INDEX(Config!$B$12:$B$15,MATCH(IF(AND(D711="Cartão de crédito",N(E711)&gt;1),"Cartão de crédito parcelado",D711),Config!$A$12:$A$15,0)),0)+IF(AND(Config!$B$17="Sim",LEFT(D711,17)="Cartão de crédito"),Config!$B$18*IFERROR(INDEX(Config!$C$12:$C$15,MATCH(IF(AND(D711="Cartão de crédito",N(E711)&gt;1),"Cartão de crédito parcelado",D711),Config!$A$12:$A$15,0)),0)/30*MAX(1,N(E711)),0))</f>
        <v/>
      </c>
      <c r="I711" s="29">
        <f>IF(OR(D711="",F711=""),"",ROUND(F711*H711,2))</f>
        <v/>
      </c>
      <c r="J711" s="29">
        <f>IF(I711="","",F711-I711)</f>
        <v/>
      </c>
      <c r="K711" s="29">
        <f>IF(J711="","",J711/MAX(1,N(E711)))</f>
        <v/>
      </c>
      <c r="L711" s="37">
        <f>IF(OR(D711="",A711=""),"",A711+IF(AND(Config!$B$17="Sim",LEFT(D711,17)="Cartão de crédito"),1,IFERROR(INDEX(Config!$C$12:$C$15,MATCH(IF(AND(D711="Cartão de crédito",N(E711)&gt;1),"Cartão de crédito parcelado",D711),Config!$A$12:$A$15,0)),0)))</f>
        <v/>
      </c>
      <c r="M711" s="37">
        <f>IF(L711="","",IF(AND(Config!$B$17="Sim",LEFT(D711,17)="Cartão de crédito"),L711,L711+30*(MAX(1,N(E711))-1)))</f>
        <v/>
      </c>
      <c r="N711" s="29">
        <f>IF(OR(L711="",K711=""),"",K711*MIN(MAX(1,N(E711)),MAX(0,INT((Config!$B$8-L711)/30)+1)))</f>
        <v/>
      </c>
      <c r="O711" s="29">
        <f>IF(J711="","",J711-N(N711))</f>
        <v/>
      </c>
      <c r="P711" s="27">
        <f>IF(A711="","",MONTH(A711))</f>
        <v/>
      </c>
      <c r="Q711" s="27">
        <f>IF(A711="","",YEAR(A711))</f>
        <v/>
      </c>
      <c r="R711" s="27">
        <f>IF(L711="","",IF(L711&gt;Config!$B$8,"A cair",IF(N(G711)&gt;=MIN(MAX(1,N(E711)),MAX(0,INT((Config!$B$8-L711)/30)+1)),IF(N(G711)&gt;=MAX(1,N(E711)),"Conferido","Conferido até aqui"),"A conferir")))</f>
        <v/>
      </c>
      <c r="S711" s="51">
        <f>IF(R711="A conferir",(Config!$B$8-L711)*1000+N(F711)/1000+ROW()/100000,0)</f>
        <v>0</v>
      </c>
      <c r="T711" s="51">
        <f>IF(R711="A conferir",N(N711),0)</f>
        <v>0</v>
      </c>
      <c r="U711" s="51">
        <f>IF(L711="",0,L711)</f>
        <v>0</v>
      </c>
      <c r="V711" s="51">
        <f>IF(L711="",0,MAX(1,N(E711)))</f>
        <v>0</v>
      </c>
      <c r="W711" s="51">
        <f>IF(K711="",0,K711)</f>
        <v>0</v>
      </c>
    </row>
    <row r="712">
      <c r="A712" s="49" t="n"/>
      <c r="B712" s="41" t="n"/>
      <c r="C712" s="41" t="n"/>
      <c r="D712" s="42" t="n"/>
      <c r="E712" s="42" t="n"/>
      <c r="F712" s="50" t="n"/>
      <c r="G712" s="42" t="n"/>
      <c r="H712" s="30">
        <f>IF(D712="","",IFERROR(INDEX(Config!$B$12:$B$15,MATCH(IF(AND(D712="Cartão de crédito",N(E712)&gt;1),"Cartão de crédito parcelado",D712),Config!$A$12:$A$15,0)),0)+IF(AND(Config!$B$17="Sim",LEFT(D712,17)="Cartão de crédito"),Config!$B$18*IFERROR(INDEX(Config!$C$12:$C$15,MATCH(IF(AND(D712="Cartão de crédito",N(E712)&gt;1),"Cartão de crédito parcelado",D712),Config!$A$12:$A$15,0)),0)/30*MAX(1,N(E712)),0))</f>
        <v/>
      </c>
      <c r="I712" s="29">
        <f>IF(OR(D712="",F712=""),"",ROUND(F712*H712,2))</f>
        <v/>
      </c>
      <c r="J712" s="29">
        <f>IF(I712="","",F712-I712)</f>
        <v/>
      </c>
      <c r="K712" s="29">
        <f>IF(J712="","",J712/MAX(1,N(E712)))</f>
        <v/>
      </c>
      <c r="L712" s="37">
        <f>IF(OR(D712="",A712=""),"",A712+IF(AND(Config!$B$17="Sim",LEFT(D712,17)="Cartão de crédito"),1,IFERROR(INDEX(Config!$C$12:$C$15,MATCH(IF(AND(D712="Cartão de crédito",N(E712)&gt;1),"Cartão de crédito parcelado",D712),Config!$A$12:$A$15,0)),0)))</f>
        <v/>
      </c>
      <c r="M712" s="37">
        <f>IF(L712="","",IF(AND(Config!$B$17="Sim",LEFT(D712,17)="Cartão de crédito"),L712,L712+30*(MAX(1,N(E712))-1)))</f>
        <v/>
      </c>
      <c r="N712" s="29">
        <f>IF(OR(L712="",K712=""),"",K712*MIN(MAX(1,N(E712)),MAX(0,INT((Config!$B$8-L712)/30)+1)))</f>
        <v/>
      </c>
      <c r="O712" s="29">
        <f>IF(J712="","",J712-N(N712))</f>
        <v/>
      </c>
      <c r="P712" s="27">
        <f>IF(A712="","",MONTH(A712))</f>
        <v/>
      </c>
      <c r="Q712" s="27">
        <f>IF(A712="","",YEAR(A712))</f>
        <v/>
      </c>
      <c r="R712" s="27">
        <f>IF(L712="","",IF(L712&gt;Config!$B$8,"A cair",IF(N(G712)&gt;=MIN(MAX(1,N(E712)),MAX(0,INT((Config!$B$8-L712)/30)+1)),IF(N(G712)&gt;=MAX(1,N(E712)),"Conferido","Conferido até aqui"),"A conferir")))</f>
        <v/>
      </c>
      <c r="S712" s="51">
        <f>IF(R712="A conferir",(Config!$B$8-L712)*1000+N(F712)/1000+ROW()/100000,0)</f>
        <v>0</v>
      </c>
      <c r="T712" s="51">
        <f>IF(R712="A conferir",N(N712),0)</f>
        <v>0</v>
      </c>
      <c r="U712" s="51">
        <f>IF(L712="",0,L712)</f>
        <v>0</v>
      </c>
      <c r="V712" s="51">
        <f>IF(L712="",0,MAX(1,N(E712)))</f>
        <v>0</v>
      </c>
      <c r="W712" s="51">
        <f>IF(K712="",0,K712)</f>
        <v>0</v>
      </c>
    </row>
    <row r="713">
      <c r="A713" s="49" t="n"/>
      <c r="B713" s="41" t="n"/>
      <c r="C713" s="41" t="n"/>
      <c r="D713" s="42" t="n"/>
      <c r="E713" s="42" t="n"/>
      <c r="F713" s="50" t="n"/>
      <c r="G713" s="42" t="n"/>
      <c r="H713" s="30">
        <f>IF(D713="","",IFERROR(INDEX(Config!$B$12:$B$15,MATCH(IF(AND(D713="Cartão de crédito",N(E713)&gt;1),"Cartão de crédito parcelado",D713),Config!$A$12:$A$15,0)),0)+IF(AND(Config!$B$17="Sim",LEFT(D713,17)="Cartão de crédito"),Config!$B$18*IFERROR(INDEX(Config!$C$12:$C$15,MATCH(IF(AND(D713="Cartão de crédito",N(E713)&gt;1),"Cartão de crédito parcelado",D713),Config!$A$12:$A$15,0)),0)/30*MAX(1,N(E713)),0))</f>
        <v/>
      </c>
      <c r="I713" s="29">
        <f>IF(OR(D713="",F713=""),"",ROUND(F713*H713,2))</f>
        <v/>
      </c>
      <c r="J713" s="29">
        <f>IF(I713="","",F713-I713)</f>
        <v/>
      </c>
      <c r="K713" s="29">
        <f>IF(J713="","",J713/MAX(1,N(E713)))</f>
        <v/>
      </c>
      <c r="L713" s="37">
        <f>IF(OR(D713="",A713=""),"",A713+IF(AND(Config!$B$17="Sim",LEFT(D713,17)="Cartão de crédito"),1,IFERROR(INDEX(Config!$C$12:$C$15,MATCH(IF(AND(D713="Cartão de crédito",N(E713)&gt;1),"Cartão de crédito parcelado",D713),Config!$A$12:$A$15,0)),0)))</f>
        <v/>
      </c>
      <c r="M713" s="37">
        <f>IF(L713="","",IF(AND(Config!$B$17="Sim",LEFT(D713,17)="Cartão de crédito"),L713,L713+30*(MAX(1,N(E713))-1)))</f>
        <v/>
      </c>
      <c r="N713" s="29">
        <f>IF(OR(L713="",K713=""),"",K713*MIN(MAX(1,N(E713)),MAX(0,INT((Config!$B$8-L713)/30)+1)))</f>
        <v/>
      </c>
      <c r="O713" s="29">
        <f>IF(J713="","",J713-N(N713))</f>
        <v/>
      </c>
      <c r="P713" s="27">
        <f>IF(A713="","",MONTH(A713))</f>
        <v/>
      </c>
      <c r="Q713" s="27">
        <f>IF(A713="","",YEAR(A713))</f>
        <v/>
      </c>
      <c r="R713" s="27">
        <f>IF(L713="","",IF(L713&gt;Config!$B$8,"A cair",IF(N(G713)&gt;=MIN(MAX(1,N(E713)),MAX(0,INT((Config!$B$8-L713)/30)+1)),IF(N(G713)&gt;=MAX(1,N(E713)),"Conferido","Conferido até aqui"),"A conferir")))</f>
        <v/>
      </c>
      <c r="S713" s="51">
        <f>IF(R713="A conferir",(Config!$B$8-L713)*1000+N(F713)/1000+ROW()/100000,0)</f>
        <v>0</v>
      </c>
      <c r="T713" s="51">
        <f>IF(R713="A conferir",N(N713),0)</f>
        <v>0</v>
      </c>
      <c r="U713" s="51">
        <f>IF(L713="",0,L713)</f>
        <v>0</v>
      </c>
      <c r="V713" s="51">
        <f>IF(L713="",0,MAX(1,N(E713)))</f>
        <v>0</v>
      </c>
      <c r="W713" s="51">
        <f>IF(K713="",0,K713)</f>
        <v>0</v>
      </c>
    </row>
    <row r="714">
      <c r="A714" s="49" t="n"/>
      <c r="B714" s="41" t="n"/>
      <c r="C714" s="41" t="n"/>
      <c r="D714" s="42" t="n"/>
      <c r="E714" s="42" t="n"/>
      <c r="F714" s="50" t="n"/>
      <c r="G714" s="42" t="n"/>
      <c r="H714" s="30">
        <f>IF(D714="","",IFERROR(INDEX(Config!$B$12:$B$15,MATCH(IF(AND(D714="Cartão de crédito",N(E714)&gt;1),"Cartão de crédito parcelado",D714),Config!$A$12:$A$15,0)),0)+IF(AND(Config!$B$17="Sim",LEFT(D714,17)="Cartão de crédito"),Config!$B$18*IFERROR(INDEX(Config!$C$12:$C$15,MATCH(IF(AND(D714="Cartão de crédito",N(E714)&gt;1),"Cartão de crédito parcelado",D714),Config!$A$12:$A$15,0)),0)/30*MAX(1,N(E714)),0))</f>
        <v/>
      </c>
      <c r="I714" s="29">
        <f>IF(OR(D714="",F714=""),"",ROUND(F714*H714,2))</f>
        <v/>
      </c>
      <c r="J714" s="29">
        <f>IF(I714="","",F714-I714)</f>
        <v/>
      </c>
      <c r="K714" s="29">
        <f>IF(J714="","",J714/MAX(1,N(E714)))</f>
        <v/>
      </c>
      <c r="L714" s="37">
        <f>IF(OR(D714="",A714=""),"",A714+IF(AND(Config!$B$17="Sim",LEFT(D714,17)="Cartão de crédito"),1,IFERROR(INDEX(Config!$C$12:$C$15,MATCH(IF(AND(D714="Cartão de crédito",N(E714)&gt;1),"Cartão de crédito parcelado",D714),Config!$A$12:$A$15,0)),0)))</f>
        <v/>
      </c>
      <c r="M714" s="37">
        <f>IF(L714="","",IF(AND(Config!$B$17="Sim",LEFT(D714,17)="Cartão de crédito"),L714,L714+30*(MAX(1,N(E714))-1)))</f>
        <v/>
      </c>
      <c r="N714" s="29">
        <f>IF(OR(L714="",K714=""),"",K714*MIN(MAX(1,N(E714)),MAX(0,INT((Config!$B$8-L714)/30)+1)))</f>
        <v/>
      </c>
      <c r="O714" s="29">
        <f>IF(J714="","",J714-N(N714))</f>
        <v/>
      </c>
      <c r="P714" s="27">
        <f>IF(A714="","",MONTH(A714))</f>
        <v/>
      </c>
      <c r="Q714" s="27">
        <f>IF(A714="","",YEAR(A714))</f>
        <v/>
      </c>
      <c r="R714" s="27">
        <f>IF(L714="","",IF(L714&gt;Config!$B$8,"A cair",IF(N(G714)&gt;=MIN(MAX(1,N(E714)),MAX(0,INT((Config!$B$8-L714)/30)+1)),IF(N(G714)&gt;=MAX(1,N(E714)),"Conferido","Conferido até aqui"),"A conferir")))</f>
        <v/>
      </c>
      <c r="S714" s="51">
        <f>IF(R714="A conferir",(Config!$B$8-L714)*1000+N(F714)/1000+ROW()/100000,0)</f>
        <v>0</v>
      </c>
      <c r="T714" s="51">
        <f>IF(R714="A conferir",N(N714),0)</f>
        <v>0</v>
      </c>
      <c r="U714" s="51">
        <f>IF(L714="",0,L714)</f>
        <v>0</v>
      </c>
      <c r="V714" s="51">
        <f>IF(L714="",0,MAX(1,N(E714)))</f>
        <v>0</v>
      </c>
      <c r="W714" s="51">
        <f>IF(K714="",0,K714)</f>
        <v>0</v>
      </c>
    </row>
    <row r="715">
      <c r="A715" s="49" t="n"/>
      <c r="B715" s="41" t="n"/>
      <c r="C715" s="41" t="n"/>
      <c r="D715" s="42" t="n"/>
      <c r="E715" s="42" t="n"/>
      <c r="F715" s="50" t="n"/>
      <c r="G715" s="42" t="n"/>
      <c r="H715" s="30">
        <f>IF(D715="","",IFERROR(INDEX(Config!$B$12:$B$15,MATCH(IF(AND(D715="Cartão de crédito",N(E715)&gt;1),"Cartão de crédito parcelado",D715),Config!$A$12:$A$15,0)),0)+IF(AND(Config!$B$17="Sim",LEFT(D715,17)="Cartão de crédito"),Config!$B$18*IFERROR(INDEX(Config!$C$12:$C$15,MATCH(IF(AND(D715="Cartão de crédito",N(E715)&gt;1),"Cartão de crédito parcelado",D715),Config!$A$12:$A$15,0)),0)/30*MAX(1,N(E715)),0))</f>
        <v/>
      </c>
      <c r="I715" s="29">
        <f>IF(OR(D715="",F715=""),"",ROUND(F715*H715,2))</f>
        <v/>
      </c>
      <c r="J715" s="29">
        <f>IF(I715="","",F715-I715)</f>
        <v/>
      </c>
      <c r="K715" s="29">
        <f>IF(J715="","",J715/MAX(1,N(E715)))</f>
        <v/>
      </c>
      <c r="L715" s="37">
        <f>IF(OR(D715="",A715=""),"",A715+IF(AND(Config!$B$17="Sim",LEFT(D715,17)="Cartão de crédito"),1,IFERROR(INDEX(Config!$C$12:$C$15,MATCH(IF(AND(D715="Cartão de crédito",N(E715)&gt;1),"Cartão de crédito parcelado",D715),Config!$A$12:$A$15,0)),0)))</f>
        <v/>
      </c>
      <c r="M715" s="37">
        <f>IF(L715="","",IF(AND(Config!$B$17="Sim",LEFT(D715,17)="Cartão de crédito"),L715,L715+30*(MAX(1,N(E715))-1)))</f>
        <v/>
      </c>
      <c r="N715" s="29">
        <f>IF(OR(L715="",K715=""),"",K715*MIN(MAX(1,N(E715)),MAX(0,INT((Config!$B$8-L715)/30)+1)))</f>
        <v/>
      </c>
      <c r="O715" s="29">
        <f>IF(J715="","",J715-N(N715))</f>
        <v/>
      </c>
      <c r="P715" s="27">
        <f>IF(A715="","",MONTH(A715))</f>
        <v/>
      </c>
      <c r="Q715" s="27">
        <f>IF(A715="","",YEAR(A715))</f>
        <v/>
      </c>
      <c r="R715" s="27">
        <f>IF(L715="","",IF(L715&gt;Config!$B$8,"A cair",IF(N(G715)&gt;=MIN(MAX(1,N(E715)),MAX(0,INT((Config!$B$8-L715)/30)+1)),IF(N(G715)&gt;=MAX(1,N(E715)),"Conferido","Conferido até aqui"),"A conferir")))</f>
        <v/>
      </c>
      <c r="S715" s="51">
        <f>IF(R715="A conferir",(Config!$B$8-L715)*1000+N(F715)/1000+ROW()/100000,0)</f>
        <v>0</v>
      </c>
      <c r="T715" s="51">
        <f>IF(R715="A conferir",N(N715),0)</f>
        <v>0</v>
      </c>
      <c r="U715" s="51">
        <f>IF(L715="",0,L715)</f>
        <v>0</v>
      </c>
      <c r="V715" s="51">
        <f>IF(L715="",0,MAX(1,N(E715)))</f>
        <v>0</v>
      </c>
      <c r="W715" s="51">
        <f>IF(K715="",0,K715)</f>
        <v>0</v>
      </c>
    </row>
    <row r="716">
      <c r="A716" s="49" t="n"/>
      <c r="B716" s="41" t="n"/>
      <c r="C716" s="41" t="n"/>
      <c r="D716" s="42" t="n"/>
      <c r="E716" s="42" t="n"/>
      <c r="F716" s="50" t="n"/>
      <c r="G716" s="42" t="n"/>
      <c r="H716" s="30">
        <f>IF(D716="","",IFERROR(INDEX(Config!$B$12:$B$15,MATCH(IF(AND(D716="Cartão de crédito",N(E716)&gt;1),"Cartão de crédito parcelado",D716),Config!$A$12:$A$15,0)),0)+IF(AND(Config!$B$17="Sim",LEFT(D716,17)="Cartão de crédito"),Config!$B$18*IFERROR(INDEX(Config!$C$12:$C$15,MATCH(IF(AND(D716="Cartão de crédito",N(E716)&gt;1),"Cartão de crédito parcelado",D716),Config!$A$12:$A$15,0)),0)/30*MAX(1,N(E716)),0))</f>
        <v/>
      </c>
      <c r="I716" s="29">
        <f>IF(OR(D716="",F716=""),"",ROUND(F716*H716,2))</f>
        <v/>
      </c>
      <c r="J716" s="29">
        <f>IF(I716="","",F716-I716)</f>
        <v/>
      </c>
      <c r="K716" s="29">
        <f>IF(J716="","",J716/MAX(1,N(E716)))</f>
        <v/>
      </c>
      <c r="L716" s="37">
        <f>IF(OR(D716="",A716=""),"",A716+IF(AND(Config!$B$17="Sim",LEFT(D716,17)="Cartão de crédito"),1,IFERROR(INDEX(Config!$C$12:$C$15,MATCH(IF(AND(D716="Cartão de crédito",N(E716)&gt;1),"Cartão de crédito parcelado",D716),Config!$A$12:$A$15,0)),0)))</f>
        <v/>
      </c>
      <c r="M716" s="37">
        <f>IF(L716="","",IF(AND(Config!$B$17="Sim",LEFT(D716,17)="Cartão de crédito"),L716,L716+30*(MAX(1,N(E716))-1)))</f>
        <v/>
      </c>
      <c r="N716" s="29">
        <f>IF(OR(L716="",K716=""),"",K716*MIN(MAX(1,N(E716)),MAX(0,INT((Config!$B$8-L716)/30)+1)))</f>
        <v/>
      </c>
      <c r="O716" s="29">
        <f>IF(J716="","",J716-N(N716))</f>
        <v/>
      </c>
      <c r="P716" s="27">
        <f>IF(A716="","",MONTH(A716))</f>
        <v/>
      </c>
      <c r="Q716" s="27">
        <f>IF(A716="","",YEAR(A716))</f>
        <v/>
      </c>
      <c r="R716" s="27">
        <f>IF(L716="","",IF(L716&gt;Config!$B$8,"A cair",IF(N(G716)&gt;=MIN(MAX(1,N(E716)),MAX(0,INT((Config!$B$8-L716)/30)+1)),IF(N(G716)&gt;=MAX(1,N(E716)),"Conferido","Conferido até aqui"),"A conferir")))</f>
        <v/>
      </c>
      <c r="S716" s="51">
        <f>IF(R716="A conferir",(Config!$B$8-L716)*1000+N(F716)/1000+ROW()/100000,0)</f>
        <v>0</v>
      </c>
      <c r="T716" s="51">
        <f>IF(R716="A conferir",N(N716),0)</f>
        <v>0</v>
      </c>
      <c r="U716" s="51">
        <f>IF(L716="",0,L716)</f>
        <v>0</v>
      </c>
      <c r="V716" s="51">
        <f>IF(L716="",0,MAX(1,N(E716)))</f>
        <v>0</v>
      </c>
      <c r="W716" s="51">
        <f>IF(K716="",0,K716)</f>
        <v>0</v>
      </c>
    </row>
    <row r="717">
      <c r="A717" s="49" t="n"/>
      <c r="B717" s="41" t="n"/>
      <c r="C717" s="41" t="n"/>
      <c r="D717" s="42" t="n"/>
      <c r="E717" s="42" t="n"/>
      <c r="F717" s="50" t="n"/>
      <c r="G717" s="42" t="n"/>
      <c r="H717" s="30">
        <f>IF(D717="","",IFERROR(INDEX(Config!$B$12:$B$15,MATCH(IF(AND(D717="Cartão de crédito",N(E717)&gt;1),"Cartão de crédito parcelado",D717),Config!$A$12:$A$15,0)),0)+IF(AND(Config!$B$17="Sim",LEFT(D717,17)="Cartão de crédito"),Config!$B$18*IFERROR(INDEX(Config!$C$12:$C$15,MATCH(IF(AND(D717="Cartão de crédito",N(E717)&gt;1),"Cartão de crédito parcelado",D717),Config!$A$12:$A$15,0)),0)/30*MAX(1,N(E717)),0))</f>
        <v/>
      </c>
      <c r="I717" s="29">
        <f>IF(OR(D717="",F717=""),"",ROUND(F717*H717,2))</f>
        <v/>
      </c>
      <c r="J717" s="29">
        <f>IF(I717="","",F717-I717)</f>
        <v/>
      </c>
      <c r="K717" s="29">
        <f>IF(J717="","",J717/MAX(1,N(E717)))</f>
        <v/>
      </c>
      <c r="L717" s="37">
        <f>IF(OR(D717="",A717=""),"",A717+IF(AND(Config!$B$17="Sim",LEFT(D717,17)="Cartão de crédito"),1,IFERROR(INDEX(Config!$C$12:$C$15,MATCH(IF(AND(D717="Cartão de crédito",N(E717)&gt;1),"Cartão de crédito parcelado",D717),Config!$A$12:$A$15,0)),0)))</f>
        <v/>
      </c>
      <c r="M717" s="37">
        <f>IF(L717="","",IF(AND(Config!$B$17="Sim",LEFT(D717,17)="Cartão de crédito"),L717,L717+30*(MAX(1,N(E717))-1)))</f>
        <v/>
      </c>
      <c r="N717" s="29">
        <f>IF(OR(L717="",K717=""),"",K717*MIN(MAX(1,N(E717)),MAX(0,INT((Config!$B$8-L717)/30)+1)))</f>
        <v/>
      </c>
      <c r="O717" s="29">
        <f>IF(J717="","",J717-N(N717))</f>
        <v/>
      </c>
      <c r="P717" s="27">
        <f>IF(A717="","",MONTH(A717))</f>
        <v/>
      </c>
      <c r="Q717" s="27">
        <f>IF(A717="","",YEAR(A717))</f>
        <v/>
      </c>
      <c r="R717" s="27">
        <f>IF(L717="","",IF(L717&gt;Config!$B$8,"A cair",IF(N(G717)&gt;=MIN(MAX(1,N(E717)),MAX(0,INT((Config!$B$8-L717)/30)+1)),IF(N(G717)&gt;=MAX(1,N(E717)),"Conferido","Conferido até aqui"),"A conferir")))</f>
        <v/>
      </c>
      <c r="S717" s="51">
        <f>IF(R717="A conferir",(Config!$B$8-L717)*1000+N(F717)/1000+ROW()/100000,0)</f>
        <v>0</v>
      </c>
      <c r="T717" s="51">
        <f>IF(R717="A conferir",N(N717),0)</f>
        <v>0</v>
      </c>
      <c r="U717" s="51">
        <f>IF(L717="",0,L717)</f>
        <v>0</v>
      </c>
      <c r="V717" s="51">
        <f>IF(L717="",0,MAX(1,N(E717)))</f>
        <v>0</v>
      </c>
      <c r="W717" s="51">
        <f>IF(K717="",0,K717)</f>
        <v>0</v>
      </c>
    </row>
    <row r="718">
      <c r="A718" s="49" t="n"/>
      <c r="B718" s="41" t="n"/>
      <c r="C718" s="41" t="n"/>
      <c r="D718" s="42" t="n"/>
      <c r="E718" s="42" t="n"/>
      <c r="F718" s="50" t="n"/>
      <c r="G718" s="42" t="n"/>
      <c r="H718" s="30">
        <f>IF(D718="","",IFERROR(INDEX(Config!$B$12:$B$15,MATCH(IF(AND(D718="Cartão de crédito",N(E718)&gt;1),"Cartão de crédito parcelado",D718),Config!$A$12:$A$15,0)),0)+IF(AND(Config!$B$17="Sim",LEFT(D718,17)="Cartão de crédito"),Config!$B$18*IFERROR(INDEX(Config!$C$12:$C$15,MATCH(IF(AND(D718="Cartão de crédito",N(E718)&gt;1),"Cartão de crédito parcelado",D718),Config!$A$12:$A$15,0)),0)/30*MAX(1,N(E718)),0))</f>
        <v/>
      </c>
      <c r="I718" s="29">
        <f>IF(OR(D718="",F718=""),"",ROUND(F718*H718,2))</f>
        <v/>
      </c>
      <c r="J718" s="29">
        <f>IF(I718="","",F718-I718)</f>
        <v/>
      </c>
      <c r="K718" s="29">
        <f>IF(J718="","",J718/MAX(1,N(E718)))</f>
        <v/>
      </c>
      <c r="L718" s="37">
        <f>IF(OR(D718="",A718=""),"",A718+IF(AND(Config!$B$17="Sim",LEFT(D718,17)="Cartão de crédito"),1,IFERROR(INDEX(Config!$C$12:$C$15,MATCH(IF(AND(D718="Cartão de crédito",N(E718)&gt;1),"Cartão de crédito parcelado",D718),Config!$A$12:$A$15,0)),0)))</f>
        <v/>
      </c>
      <c r="M718" s="37">
        <f>IF(L718="","",IF(AND(Config!$B$17="Sim",LEFT(D718,17)="Cartão de crédito"),L718,L718+30*(MAX(1,N(E718))-1)))</f>
        <v/>
      </c>
      <c r="N718" s="29">
        <f>IF(OR(L718="",K718=""),"",K718*MIN(MAX(1,N(E718)),MAX(0,INT((Config!$B$8-L718)/30)+1)))</f>
        <v/>
      </c>
      <c r="O718" s="29">
        <f>IF(J718="","",J718-N(N718))</f>
        <v/>
      </c>
      <c r="P718" s="27">
        <f>IF(A718="","",MONTH(A718))</f>
        <v/>
      </c>
      <c r="Q718" s="27">
        <f>IF(A718="","",YEAR(A718))</f>
        <v/>
      </c>
      <c r="R718" s="27">
        <f>IF(L718="","",IF(L718&gt;Config!$B$8,"A cair",IF(N(G718)&gt;=MIN(MAX(1,N(E718)),MAX(0,INT((Config!$B$8-L718)/30)+1)),IF(N(G718)&gt;=MAX(1,N(E718)),"Conferido","Conferido até aqui"),"A conferir")))</f>
        <v/>
      </c>
      <c r="S718" s="51">
        <f>IF(R718="A conferir",(Config!$B$8-L718)*1000+N(F718)/1000+ROW()/100000,0)</f>
        <v>0</v>
      </c>
      <c r="T718" s="51">
        <f>IF(R718="A conferir",N(N718),0)</f>
        <v>0</v>
      </c>
      <c r="U718" s="51">
        <f>IF(L718="",0,L718)</f>
        <v>0</v>
      </c>
      <c r="V718" s="51">
        <f>IF(L718="",0,MAX(1,N(E718)))</f>
        <v>0</v>
      </c>
      <c r="W718" s="51">
        <f>IF(K718="",0,K718)</f>
        <v>0</v>
      </c>
    </row>
    <row r="719">
      <c r="A719" s="49" t="n"/>
      <c r="B719" s="41" t="n"/>
      <c r="C719" s="41" t="n"/>
      <c r="D719" s="42" t="n"/>
      <c r="E719" s="42" t="n"/>
      <c r="F719" s="50" t="n"/>
      <c r="G719" s="42" t="n"/>
      <c r="H719" s="30">
        <f>IF(D719="","",IFERROR(INDEX(Config!$B$12:$B$15,MATCH(IF(AND(D719="Cartão de crédito",N(E719)&gt;1),"Cartão de crédito parcelado",D719),Config!$A$12:$A$15,0)),0)+IF(AND(Config!$B$17="Sim",LEFT(D719,17)="Cartão de crédito"),Config!$B$18*IFERROR(INDEX(Config!$C$12:$C$15,MATCH(IF(AND(D719="Cartão de crédito",N(E719)&gt;1),"Cartão de crédito parcelado",D719),Config!$A$12:$A$15,0)),0)/30*MAX(1,N(E719)),0))</f>
        <v/>
      </c>
      <c r="I719" s="29">
        <f>IF(OR(D719="",F719=""),"",ROUND(F719*H719,2))</f>
        <v/>
      </c>
      <c r="J719" s="29">
        <f>IF(I719="","",F719-I719)</f>
        <v/>
      </c>
      <c r="K719" s="29">
        <f>IF(J719="","",J719/MAX(1,N(E719)))</f>
        <v/>
      </c>
      <c r="L719" s="37">
        <f>IF(OR(D719="",A719=""),"",A719+IF(AND(Config!$B$17="Sim",LEFT(D719,17)="Cartão de crédito"),1,IFERROR(INDEX(Config!$C$12:$C$15,MATCH(IF(AND(D719="Cartão de crédito",N(E719)&gt;1),"Cartão de crédito parcelado",D719),Config!$A$12:$A$15,0)),0)))</f>
        <v/>
      </c>
      <c r="M719" s="37">
        <f>IF(L719="","",IF(AND(Config!$B$17="Sim",LEFT(D719,17)="Cartão de crédito"),L719,L719+30*(MAX(1,N(E719))-1)))</f>
        <v/>
      </c>
      <c r="N719" s="29">
        <f>IF(OR(L719="",K719=""),"",K719*MIN(MAX(1,N(E719)),MAX(0,INT((Config!$B$8-L719)/30)+1)))</f>
        <v/>
      </c>
      <c r="O719" s="29">
        <f>IF(J719="","",J719-N(N719))</f>
        <v/>
      </c>
      <c r="P719" s="27">
        <f>IF(A719="","",MONTH(A719))</f>
        <v/>
      </c>
      <c r="Q719" s="27">
        <f>IF(A719="","",YEAR(A719))</f>
        <v/>
      </c>
      <c r="R719" s="27">
        <f>IF(L719="","",IF(L719&gt;Config!$B$8,"A cair",IF(N(G719)&gt;=MIN(MAX(1,N(E719)),MAX(0,INT((Config!$B$8-L719)/30)+1)),IF(N(G719)&gt;=MAX(1,N(E719)),"Conferido","Conferido até aqui"),"A conferir")))</f>
        <v/>
      </c>
      <c r="S719" s="51">
        <f>IF(R719="A conferir",(Config!$B$8-L719)*1000+N(F719)/1000+ROW()/100000,0)</f>
        <v>0</v>
      </c>
      <c r="T719" s="51">
        <f>IF(R719="A conferir",N(N719),0)</f>
        <v>0</v>
      </c>
      <c r="U719" s="51">
        <f>IF(L719="",0,L719)</f>
        <v>0</v>
      </c>
      <c r="V719" s="51">
        <f>IF(L719="",0,MAX(1,N(E719)))</f>
        <v>0</v>
      </c>
      <c r="W719" s="51">
        <f>IF(K719="",0,K719)</f>
        <v>0</v>
      </c>
    </row>
    <row r="720">
      <c r="A720" s="49" t="n"/>
      <c r="B720" s="41" t="n"/>
      <c r="C720" s="41" t="n"/>
      <c r="D720" s="42" t="n"/>
      <c r="E720" s="42" t="n"/>
      <c r="F720" s="50" t="n"/>
      <c r="G720" s="42" t="n"/>
      <c r="H720" s="30">
        <f>IF(D720="","",IFERROR(INDEX(Config!$B$12:$B$15,MATCH(IF(AND(D720="Cartão de crédito",N(E720)&gt;1),"Cartão de crédito parcelado",D720),Config!$A$12:$A$15,0)),0)+IF(AND(Config!$B$17="Sim",LEFT(D720,17)="Cartão de crédito"),Config!$B$18*IFERROR(INDEX(Config!$C$12:$C$15,MATCH(IF(AND(D720="Cartão de crédito",N(E720)&gt;1),"Cartão de crédito parcelado",D720),Config!$A$12:$A$15,0)),0)/30*MAX(1,N(E720)),0))</f>
        <v/>
      </c>
      <c r="I720" s="29">
        <f>IF(OR(D720="",F720=""),"",ROUND(F720*H720,2))</f>
        <v/>
      </c>
      <c r="J720" s="29">
        <f>IF(I720="","",F720-I720)</f>
        <v/>
      </c>
      <c r="K720" s="29">
        <f>IF(J720="","",J720/MAX(1,N(E720)))</f>
        <v/>
      </c>
      <c r="L720" s="37">
        <f>IF(OR(D720="",A720=""),"",A720+IF(AND(Config!$B$17="Sim",LEFT(D720,17)="Cartão de crédito"),1,IFERROR(INDEX(Config!$C$12:$C$15,MATCH(IF(AND(D720="Cartão de crédito",N(E720)&gt;1),"Cartão de crédito parcelado",D720),Config!$A$12:$A$15,0)),0)))</f>
        <v/>
      </c>
      <c r="M720" s="37">
        <f>IF(L720="","",IF(AND(Config!$B$17="Sim",LEFT(D720,17)="Cartão de crédito"),L720,L720+30*(MAX(1,N(E720))-1)))</f>
        <v/>
      </c>
      <c r="N720" s="29">
        <f>IF(OR(L720="",K720=""),"",K720*MIN(MAX(1,N(E720)),MAX(0,INT((Config!$B$8-L720)/30)+1)))</f>
        <v/>
      </c>
      <c r="O720" s="29">
        <f>IF(J720="","",J720-N(N720))</f>
        <v/>
      </c>
      <c r="P720" s="27">
        <f>IF(A720="","",MONTH(A720))</f>
        <v/>
      </c>
      <c r="Q720" s="27">
        <f>IF(A720="","",YEAR(A720))</f>
        <v/>
      </c>
      <c r="R720" s="27">
        <f>IF(L720="","",IF(L720&gt;Config!$B$8,"A cair",IF(N(G720)&gt;=MIN(MAX(1,N(E720)),MAX(0,INT((Config!$B$8-L720)/30)+1)),IF(N(G720)&gt;=MAX(1,N(E720)),"Conferido","Conferido até aqui"),"A conferir")))</f>
        <v/>
      </c>
      <c r="S720" s="51">
        <f>IF(R720="A conferir",(Config!$B$8-L720)*1000+N(F720)/1000+ROW()/100000,0)</f>
        <v>0</v>
      </c>
      <c r="T720" s="51">
        <f>IF(R720="A conferir",N(N720),0)</f>
        <v>0</v>
      </c>
      <c r="U720" s="51">
        <f>IF(L720="",0,L720)</f>
        <v>0</v>
      </c>
      <c r="V720" s="51">
        <f>IF(L720="",0,MAX(1,N(E720)))</f>
        <v>0</v>
      </c>
      <c r="W720" s="51">
        <f>IF(K720="",0,K720)</f>
        <v>0</v>
      </c>
    </row>
    <row r="721">
      <c r="A721" s="49" t="n"/>
      <c r="B721" s="41" t="n"/>
      <c r="C721" s="41" t="n"/>
      <c r="D721" s="42" t="n"/>
      <c r="E721" s="42" t="n"/>
      <c r="F721" s="50" t="n"/>
      <c r="G721" s="42" t="n"/>
      <c r="H721" s="30">
        <f>IF(D721="","",IFERROR(INDEX(Config!$B$12:$B$15,MATCH(IF(AND(D721="Cartão de crédito",N(E721)&gt;1),"Cartão de crédito parcelado",D721),Config!$A$12:$A$15,0)),0)+IF(AND(Config!$B$17="Sim",LEFT(D721,17)="Cartão de crédito"),Config!$B$18*IFERROR(INDEX(Config!$C$12:$C$15,MATCH(IF(AND(D721="Cartão de crédito",N(E721)&gt;1),"Cartão de crédito parcelado",D721),Config!$A$12:$A$15,0)),0)/30*MAX(1,N(E721)),0))</f>
        <v/>
      </c>
      <c r="I721" s="29">
        <f>IF(OR(D721="",F721=""),"",ROUND(F721*H721,2))</f>
        <v/>
      </c>
      <c r="J721" s="29">
        <f>IF(I721="","",F721-I721)</f>
        <v/>
      </c>
      <c r="K721" s="29">
        <f>IF(J721="","",J721/MAX(1,N(E721)))</f>
        <v/>
      </c>
      <c r="L721" s="37">
        <f>IF(OR(D721="",A721=""),"",A721+IF(AND(Config!$B$17="Sim",LEFT(D721,17)="Cartão de crédito"),1,IFERROR(INDEX(Config!$C$12:$C$15,MATCH(IF(AND(D721="Cartão de crédito",N(E721)&gt;1),"Cartão de crédito parcelado",D721),Config!$A$12:$A$15,0)),0)))</f>
        <v/>
      </c>
      <c r="M721" s="37">
        <f>IF(L721="","",IF(AND(Config!$B$17="Sim",LEFT(D721,17)="Cartão de crédito"),L721,L721+30*(MAX(1,N(E721))-1)))</f>
        <v/>
      </c>
      <c r="N721" s="29">
        <f>IF(OR(L721="",K721=""),"",K721*MIN(MAX(1,N(E721)),MAX(0,INT((Config!$B$8-L721)/30)+1)))</f>
        <v/>
      </c>
      <c r="O721" s="29">
        <f>IF(J721="","",J721-N(N721))</f>
        <v/>
      </c>
      <c r="P721" s="27">
        <f>IF(A721="","",MONTH(A721))</f>
        <v/>
      </c>
      <c r="Q721" s="27">
        <f>IF(A721="","",YEAR(A721))</f>
        <v/>
      </c>
      <c r="R721" s="27">
        <f>IF(L721="","",IF(L721&gt;Config!$B$8,"A cair",IF(N(G721)&gt;=MIN(MAX(1,N(E721)),MAX(0,INT((Config!$B$8-L721)/30)+1)),IF(N(G721)&gt;=MAX(1,N(E721)),"Conferido","Conferido até aqui"),"A conferir")))</f>
        <v/>
      </c>
      <c r="S721" s="51">
        <f>IF(R721="A conferir",(Config!$B$8-L721)*1000+N(F721)/1000+ROW()/100000,0)</f>
        <v>0</v>
      </c>
      <c r="T721" s="51">
        <f>IF(R721="A conferir",N(N721),0)</f>
        <v>0</v>
      </c>
      <c r="U721" s="51">
        <f>IF(L721="",0,L721)</f>
        <v>0</v>
      </c>
      <c r="V721" s="51">
        <f>IF(L721="",0,MAX(1,N(E721)))</f>
        <v>0</v>
      </c>
      <c r="W721" s="51">
        <f>IF(K721="",0,K721)</f>
        <v>0</v>
      </c>
    </row>
    <row r="722">
      <c r="A722" s="49" t="n"/>
      <c r="B722" s="41" t="n"/>
      <c r="C722" s="41" t="n"/>
      <c r="D722" s="42" t="n"/>
      <c r="E722" s="42" t="n"/>
      <c r="F722" s="50" t="n"/>
      <c r="G722" s="42" t="n"/>
      <c r="H722" s="30">
        <f>IF(D722="","",IFERROR(INDEX(Config!$B$12:$B$15,MATCH(IF(AND(D722="Cartão de crédito",N(E722)&gt;1),"Cartão de crédito parcelado",D722),Config!$A$12:$A$15,0)),0)+IF(AND(Config!$B$17="Sim",LEFT(D722,17)="Cartão de crédito"),Config!$B$18*IFERROR(INDEX(Config!$C$12:$C$15,MATCH(IF(AND(D722="Cartão de crédito",N(E722)&gt;1),"Cartão de crédito parcelado",D722),Config!$A$12:$A$15,0)),0)/30*MAX(1,N(E722)),0))</f>
        <v/>
      </c>
      <c r="I722" s="29">
        <f>IF(OR(D722="",F722=""),"",ROUND(F722*H722,2))</f>
        <v/>
      </c>
      <c r="J722" s="29">
        <f>IF(I722="","",F722-I722)</f>
        <v/>
      </c>
      <c r="K722" s="29">
        <f>IF(J722="","",J722/MAX(1,N(E722)))</f>
        <v/>
      </c>
      <c r="L722" s="37">
        <f>IF(OR(D722="",A722=""),"",A722+IF(AND(Config!$B$17="Sim",LEFT(D722,17)="Cartão de crédito"),1,IFERROR(INDEX(Config!$C$12:$C$15,MATCH(IF(AND(D722="Cartão de crédito",N(E722)&gt;1),"Cartão de crédito parcelado",D722),Config!$A$12:$A$15,0)),0)))</f>
        <v/>
      </c>
      <c r="M722" s="37">
        <f>IF(L722="","",IF(AND(Config!$B$17="Sim",LEFT(D722,17)="Cartão de crédito"),L722,L722+30*(MAX(1,N(E722))-1)))</f>
        <v/>
      </c>
      <c r="N722" s="29">
        <f>IF(OR(L722="",K722=""),"",K722*MIN(MAX(1,N(E722)),MAX(0,INT((Config!$B$8-L722)/30)+1)))</f>
        <v/>
      </c>
      <c r="O722" s="29">
        <f>IF(J722="","",J722-N(N722))</f>
        <v/>
      </c>
      <c r="P722" s="27">
        <f>IF(A722="","",MONTH(A722))</f>
        <v/>
      </c>
      <c r="Q722" s="27">
        <f>IF(A722="","",YEAR(A722))</f>
        <v/>
      </c>
      <c r="R722" s="27">
        <f>IF(L722="","",IF(L722&gt;Config!$B$8,"A cair",IF(N(G722)&gt;=MIN(MAX(1,N(E722)),MAX(0,INT((Config!$B$8-L722)/30)+1)),IF(N(G722)&gt;=MAX(1,N(E722)),"Conferido","Conferido até aqui"),"A conferir")))</f>
        <v/>
      </c>
      <c r="S722" s="51">
        <f>IF(R722="A conferir",(Config!$B$8-L722)*1000+N(F722)/1000+ROW()/100000,0)</f>
        <v>0</v>
      </c>
      <c r="T722" s="51">
        <f>IF(R722="A conferir",N(N722),0)</f>
        <v>0</v>
      </c>
      <c r="U722" s="51">
        <f>IF(L722="",0,L722)</f>
        <v>0</v>
      </c>
      <c r="V722" s="51">
        <f>IF(L722="",0,MAX(1,N(E722)))</f>
        <v>0</v>
      </c>
      <c r="W722" s="51">
        <f>IF(K722="",0,K722)</f>
        <v>0</v>
      </c>
    </row>
    <row r="723">
      <c r="A723" s="49" t="n"/>
      <c r="B723" s="41" t="n"/>
      <c r="C723" s="41" t="n"/>
      <c r="D723" s="42" t="n"/>
      <c r="E723" s="42" t="n"/>
      <c r="F723" s="50" t="n"/>
      <c r="G723" s="42" t="n"/>
      <c r="H723" s="30">
        <f>IF(D723="","",IFERROR(INDEX(Config!$B$12:$B$15,MATCH(IF(AND(D723="Cartão de crédito",N(E723)&gt;1),"Cartão de crédito parcelado",D723),Config!$A$12:$A$15,0)),0)+IF(AND(Config!$B$17="Sim",LEFT(D723,17)="Cartão de crédito"),Config!$B$18*IFERROR(INDEX(Config!$C$12:$C$15,MATCH(IF(AND(D723="Cartão de crédito",N(E723)&gt;1),"Cartão de crédito parcelado",D723),Config!$A$12:$A$15,0)),0)/30*MAX(1,N(E723)),0))</f>
        <v/>
      </c>
      <c r="I723" s="29">
        <f>IF(OR(D723="",F723=""),"",ROUND(F723*H723,2))</f>
        <v/>
      </c>
      <c r="J723" s="29">
        <f>IF(I723="","",F723-I723)</f>
        <v/>
      </c>
      <c r="K723" s="29">
        <f>IF(J723="","",J723/MAX(1,N(E723)))</f>
        <v/>
      </c>
      <c r="L723" s="37">
        <f>IF(OR(D723="",A723=""),"",A723+IF(AND(Config!$B$17="Sim",LEFT(D723,17)="Cartão de crédito"),1,IFERROR(INDEX(Config!$C$12:$C$15,MATCH(IF(AND(D723="Cartão de crédito",N(E723)&gt;1),"Cartão de crédito parcelado",D723),Config!$A$12:$A$15,0)),0)))</f>
        <v/>
      </c>
      <c r="M723" s="37">
        <f>IF(L723="","",IF(AND(Config!$B$17="Sim",LEFT(D723,17)="Cartão de crédito"),L723,L723+30*(MAX(1,N(E723))-1)))</f>
        <v/>
      </c>
      <c r="N723" s="29">
        <f>IF(OR(L723="",K723=""),"",K723*MIN(MAX(1,N(E723)),MAX(0,INT((Config!$B$8-L723)/30)+1)))</f>
        <v/>
      </c>
      <c r="O723" s="29">
        <f>IF(J723="","",J723-N(N723))</f>
        <v/>
      </c>
      <c r="P723" s="27">
        <f>IF(A723="","",MONTH(A723))</f>
        <v/>
      </c>
      <c r="Q723" s="27">
        <f>IF(A723="","",YEAR(A723))</f>
        <v/>
      </c>
      <c r="R723" s="27">
        <f>IF(L723="","",IF(L723&gt;Config!$B$8,"A cair",IF(N(G723)&gt;=MIN(MAX(1,N(E723)),MAX(0,INT((Config!$B$8-L723)/30)+1)),IF(N(G723)&gt;=MAX(1,N(E723)),"Conferido","Conferido até aqui"),"A conferir")))</f>
        <v/>
      </c>
      <c r="S723" s="51">
        <f>IF(R723="A conferir",(Config!$B$8-L723)*1000+N(F723)/1000+ROW()/100000,0)</f>
        <v>0</v>
      </c>
      <c r="T723" s="51">
        <f>IF(R723="A conferir",N(N723),0)</f>
        <v>0</v>
      </c>
      <c r="U723" s="51">
        <f>IF(L723="",0,L723)</f>
        <v>0</v>
      </c>
      <c r="V723" s="51">
        <f>IF(L723="",0,MAX(1,N(E723)))</f>
        <v>0</v>
      </c>
      <c r="W723" s="51">
        <f>IF(K723="",0,K723)</f>
        <v>0</v>
      </c>
    </row>
    <row r="724">
      <c r="A724" s="49" t="n"/>
      <c r="B724" s="41" t="n"/>
      <c r="C724" s="41" t="n"/>
      <c r="D724" s="42" t="n"/>
      <c r="E724" s="42" t="n"/>
      <c r="F724" s="50" t="n"/>
      <c r="G724" s="42" t="n"/>
      <c r="H724" s="30">
        <f>IF(D724="","",IFERROR(INDEX(Config!$B$12:$B$15,MATCH(IF(AND(D724="Cartão de crédito",N(E724)&gt;1),"Cartão de crédito parcelado",D724),Config!$A$12:$A$15,0)),0)+IF(AND(Config!$B$17="Sim",LEFT(D724,17)="Cartão de crédito"),Config!$B$18*IFERROR(INDEX(Config!$C$12:$C$15,MATCH(IF(AND(D724="Cartão de crédito",N(E724)&gt;1),"Cartão de crédito parcelado",D724),Config!$A$12:$A$15,0)),0)/30*MAX(1,N(E724)),0))</f>
        <v/>
      </c>
      <c r="I724" s="29">
        <f>IF(OR(D724="",F724=""),"",ROUND(F724*H724,2))</f>
        <v/>
      </c>
      <c r="J724" s="29">
        <f>IF(I724="","",F724-I724)</f>
        <v/>
      </c>
      <c r="K724" s="29">
        <f>IF(J724="","",J724/MAX(1,N(E724)))</f>
        <v/>
      </c>
      <c r="L724" s="37">
        <f>IF(OR(D724="",A724=""),"",A724+IF(AND(Config!$B$17="Sim",LEFT(D724,17)="Cartão de crédito"),1,IFERROR(INDEX(Config!$C$12:$C$15,MATCH(IF(AND(D724="Cartão de crédito",N(E724)&gt;1),"Cartão de crédito parcelado",D724),Config!$A$12:$A$15,0)),0)))</f>
        <v/>
      </c>
      <c r="M724" s="37">
        <f>IF(L724="","",IF(AND(Config!$B$17="Sim",LEFT(D724,17)="Cartão de crédito"),L724,L724+30*(MAX(1,N(E724))-1)))</f>
        <v/>
      </c>
      <c r="N724" s="29">
        <f>IF(OR(L724="",K724=""),"",K724*MIN(MAX(1,N(E724)),MAX(0,INT((Config!$B$8-L724)/30)+1)))</f>
        <v/>
      </c>
      <c r="O724" s="29">
        <f>IF(J724="","",J724-N(N724))</f>
        <v/>
      </c>
      <c r="P724" s="27">
        <f>IF(A724="","",MONTH(A724))</f>
        <v/>
      </c>
      <c r="Q724" s="27">
        <f>IF(A724="","",YEAR(A724))</f>
        <v/>
      </c>
      <c r="R724" s="27">
        <f>IF(L724="","",IF(L724&gt;Config!$B$8,"A cair",IF(N(G724)&gt;=MIN(MAX(1,N(E724)),MAX(0,INT((Config!$B$8-L724)/30)+1)),IF(N(G724)&gt;=MAX(1,N(E724)),"Conferido","Conferido até aqui"),"A conferir")))</f>
        <v/>
      </c>
      <c r="S724" s="51">
        <f>IF(R724="A conferir",(Config!$B$8-L724)*1000+N(F724)/1000+ROW()/100000,0)</f>
        <v>0</v>
      </c>
      <c r="T724" s="51">
        <f>IF(R724="A conferir",N(N724),0)</f>
        <v>0</v>
      </c>
      <c r="U724" s="51">
        <f>IF(L724="",0,L724)</f>
        <v>0</v>
      </c>
      <c r="V724" s="51">
        <f>IF(L724="",0,MAX(1,N(E724)))</f>
        <v>0</v>
      </c>
      <c r="W724" s="51">
        <f>IF(K724="",0,K724)</f>
        <v>0</v>
      </c>
    </row>
    <row r="725">
      <c r="A725" s="49" t="n"/>
      <c r="B725" s="41" t="n"/>
      <c r="C725" s="41" t="n"/>
      <c r="D725" s="42" t="n"/>
      <c r="E725" s="42" t="n"/>
      <c r="F725" s="50" t="n"/>
      <c r="G725" s="42" t="n"/>
      <c r="H725" s="30">
        <f>IF(D725="","",IFERROR(INDEX(Config!$B$12:$B$15,MATCH(IF(AND(D725="Cartão de crédito",N(E725)&gt;1),"Cartão de crédito parcelado",D725),Config!$A$12:$A$15,0)),0)+IF(AND(Config!$B$17="Sim",LEFT(D725,17)="Cartão de crédito"),Config!$B$18*IFERROR(INDEX(Config!$C$12:$C$15,MATCH(IF(AND(D725="Cartão de crédito",N(E725)&gt;1),"Cartão de crédito parcelado",D725),Config!$A$12:$A$15,0)),0)/30*MAX(1,N(E725)),0))</f>
        <v/>
      </c>
      <c r="I725" s="29">
        <f>IF(OR(D725="",F725=""),"",ROUND(F725*H725,2))</f>
        <v/>
      </c>
      <c r="J725" s="29">
        <f>IF(I725="","",F725-I725)</f>
        <v/>
      </c>
      <c r="K725" s="29">
        <f>IF(J725="","",J725/MAX(1,N(E725)))</f>
        <v/>
      </c>
      <c r="L725" s="37">
        <f>IF(OR(D725="",A725=""),"",A725+IF(AND(Config!$B$17="Sim",LEFT(D725,17)="Cartão de crédito"),1,IFERROR(INDEX(Config!$C$12:$C$15,MATCH(IF(AND(D725="Cartão de crédito",N(E725)&gt;1),"Cartão de crédito parcelado",D725),Config!$A$12:$A$15,0)),0)))</f>
        <v/>
      </c>
      <c r="M725" s="37">
        <f>IF(L725="","",IF(AND(Config!$B$17="Sim",LEFT(D725,17)="Cartão de crédito"),L725,L725+30*(MAX(1,N(E725))-1)))</f>
        <v/>
      </c>
      <c r="N725" s="29">
        <f>IF(OR(L725="",K725=""),"",K725*MIN(MAX(1,N(E725)),MAX(0,INT((Config!$B$8-L725)/30)+1)))</f>
        <v/>
      </c>
      <c r="O725" s="29">
        <f>IF(J725="","",J725-N(N725))</f>
        <v/>
      </c>
      <c r="P725" s="27">
        <f>IF(A725="","",MONTH(A725))</f>
        <v/>
      </c>
      <c r="Q725" s="27">
        <f>IF(A725="","",YEAR(A725))</f>
        <v/>
      </c>
      <c r="R725" s="27">
        <f>IF(L725="","",IF(L725&gt;Config!$B$8,"A cair",IF(N(G725)&gt;=MIN(MAX(1,N(E725)),MAX(0,INT((Config!$B$8-L725)/30)+1)),IF(N(G725)&gt;=MAX(1,N(E725)),"Conferido","Conferido até aqui"),"A conferir")))</f>
        <v/>
      </c>
      <c r="S725" s="51">
        <f>IF(R725="A conferir",(Config!$B$8-L725)*1000+N(F725)/1000+ROW()/100000,0)</f>
        <v>0</v>
      </c>
      <c r="T725" s="51">
        <f>IF(R725="A conferir",N(N725),0)</f>
        <v>0</v>
      </c>
      <c r="U725" s="51">
        <f>IF(L725="",0,L725)</f>
        <v>0</v>
      </c>
      <c r="V725" s="51">
        <f>IF(L725="",0,MAX(1,N(E725)))</f>
        <v>0</v>
      </c>
      <c r="W725" s="51">
        <f>IF(K725="",0,K725)</f>
        <v>0</v>
      </c>
    </row>
    <row r="726">
      <c r="A726" s="49" t="n"/>
      <c r="B726" s="41" t="n"/>
      <c r="C726" s="41" t="n"/>
      <c r="D726" s="42" t="n"/>
      <c r="E726" s="42" t="n"/>
      <c r="F726" s="50" t="n"/>
      <c r="G726" s="42" t="n"/>
      <c r="H726" s="30">
        <f>IF(D726="","",IFERROR(INDEX(Config!$B$12:$B$15,MATCH(IF(AND(D726="Cartão de crédito",N(E726)&gt;1),"Cartão de crédito parcelado",D726),Config!$A$12:$A$15,0)),0)+IF(AND(Config!$B$17="Sim",LEFT(D726,17)="Cartão de crédito"),Config!$B$18*IFERROR(INDEX(Config!$C$12:$C$15,MATCH(IF(AND(D726="Cartão de crédito",N(E726)&gt;1),"Cartão de crédito parcelado",D726),Config!$A$12:$A$15,0)),0)/30*MAX(1,N(E726)),0))</f>
        <v/>
      </c>
      <c r="I726" s="29">
        <f>IF(OR(D726="",F726=""),"",ROUND(F726*H726,2))</f>
        <v/>
      </c>
      <c r="J726" s="29">
        <f>IF(I726="","",F726-I726)</f>
        <v/>
      </c>
      <c r="K726" s="29">
        <f>IF(J726="","",J726/MAX(1,N(E726)))</f>
        <v/>
      </c>
      <c r="L726" s="37">
        <f>IF(OR(D726="",A726=""),"",A726+IF(AND(Config!$B$17="Sim",LEFT(D726,17)="Cartão de crédito"),1,IFERROR(INDEX(Config!$C$12:$C$15,MATCH(IF(AND(D726="Cartão de crédito",N(E726)&gt;1),"Cartão de crédito parcelado",D726),Config!$A$12:$A$15,0)),0)))</f>
        <v/>
      </c>
      <c r="M726" s="37">
        <f>IF(L726="","",IF(AND(Config!$B$17="Sim",LEFT(D726,17)="Cartão de crédito"),L726,L726+30*(MAX(1,N(E726))-1)))</f>
        <v/>
      </c>
      <c r="N726" s="29">
        <f>IF(OR(L726="",K726=""),"",K726*MIN(MAX(1,N(E726)),MAX(0,INT((Config!$B$8-L726)/30)+1)))</f>
        <v/>
      </c>
      <c r="O726" s="29">
        <f>IF(J726="","",J726-N(N726))</f>
        <v/>
      </c>
      <c r="P726" s="27">
        <f>IF(A726="","",MONTH(A726))</f>
        <v/>
      </c>
      <c r="Q726" s="27">
        <f>IF(A726="","",YEAR(A726))</f>
        <v/>
      </c>
      <c r="R726" s="27">
        <f>IF(L726="","",IF(L726&gt;Config!$B$8,"A cair",IF(N(G726)&gt;=MIN(MAX(1,N(E726)),MAX(0,INT((Config!$B$8-L726)/30)+1)),IF(N(G726)&gt;=MAX(1,N(E726)),"Conferido","Conferido até aqui"),"A conferir")))</f>
        <v/>
      </c>
      <c r="S726" s="51">
        <f>IF(R726="A conferir",(Config!$B$8-L726)*1000+N(F726)/1000+ROW()/100000,0)</f>
        <v>0</v>
      </c>
      <c r="T726" s="51">
        <f>IF(R726="A conferir",N(N726),0)</f>
        <v>0</v>
      </c>
      <c r="U726" s="51">
        <f>IF(L726="",0,L726)</f>
        <v>0</v>
      </c>
      <c r="V726" s="51">
        <f>IF(L726="",0,MAX(1,N(E726)))</f>
        <v>0</v>
      </c>
      <c r="W726" s="51">
        <f>IF(K726="",0,K726)</f>
        <v>0</v>
      </c>
    </row>
    <row r="727">
      <c r="A727" s="49" t="n"/>
      <c r="B727" s="41" t="n"/>
      <c r="C727" s="41" t="n"/>
      <c r="D727" s="42" t="n"/>
      <c r="E727" s="42" t="n"/>
      <c r="F727" s="50" t="n"/>
      <c r="G727" s="42" t="n"/>
      <c r="H727" s="30">
        <f>IF(D727="","",IFERROR(INDEX(Config!$B$12:$B$15,MATCH(IF(AND(D727="Cartão de crédito",N(E727)&gt;1),"Cartão de crédito parcelado",D727),Config!$A$12:$A$15,0)),0)+IF(AND(Config!$B$17="Sim",LEFT(D727,17)="Cartão de crédito"),Config!$B$18*IFERROR(INDEX(Config!$C$12:$C$15,MATCH(IF(AND(D727="Cartão de crédito",N(E727)&gt;1),"Cartão de crédito parcelado",D727),Config!$A$12:$A$15,0)),0)/30*MAX(1,N(E727)),0))</f>
        <v/>
      </c>
      <c r="I727" s="29">
        <f>IF(OR(D727="",F727=""),"",ROUND(F727*H727,2))</f>
        <v/>
      </c>
      <c r="J727" s="29">
        <f>IF(I727="","",F727-I727)</f>
        <v/>
      </c>
      <c r="K727" s="29">
        <f>IF(J727="","",J727/MAX(1,N(E727)))</f>
        <v/>
      </c>
      <c r="L727" s="37">
        <f>IF(OR(D727="",A727=""),"",A727+IF(AND(Config!$B$17="Sim",LEFT(D727,17)="Cartão de crédito"),1,IFERROR(INDEX(Config!$C$12:$C$15,MATCH(IF(AND(D727="Cartão de crédito",N(E727)&gt;1),"Cartão de crédito parcelado",D727),Config!$A$12:$A$15,0)),0)))</f>
        <v/>
      </c>
      <c r="M727" s="37">
        <f>IF(L727="","",IF(AND(Config!$B$17="Sim",LEFT(D727,17)="Cartão de crédito"),L727,L727+30*(MAX(1,N(E727))-1)))</f>
        <v/>
      </c>
      <c r="N727" s="29">
        <f>IF(OR(L727="",K727=""),"",K727*MIN(MAX(1,N(E727)),MAX(0,INT((Config!$B$8-L727)/30)+1)))</f>
        <v/>
      </c>
      <c r="O727" s="29">
        <f>IF(J727="","",J727-N(N727))</f>
        <v/>
      </c>
      <c r="P727" s="27">
        <f>IF(A727="","",MONTH(A727))</f>
        <v/>
      </c>
      <c r="Q727" s="27">
        <f>IF(A727="","",YEAR(A727))</f>
        <v/>
      </c>
      <c r="R727" s="27">
        <f>IF(L727="","",IF(L727&gt;Config!$B$8,"A cair",IF(N(G727)&gt;=MIN(MAX(1,N(E727)),MAX(0,INT((Config!$B$8-L727)/30)+1)),IF(N(G727)&gt;=MAX(1,N(E727)),"Conferido","Conferido até aqui"),"A conferir")))</f>
        <v/>
      </c>
      <c r="S727" s="51">
        <f>IF(R727="A conferir",(Config!$B$8-L727)*1000+N(F727)/1000+ROW()/100000,0)</f>
        <v>0</v>
      </c>
      <c r="T727" s="51">
        <f>IF(R727="A conferir",N(N727),0)</f>
        <v>0</v>
      </c>
      <c r="U727" s="51">
        <f>IF(L727="",0,L727)</f>
        <v>0</v>
      </c>
      <c r="V727" s="51">
        <f>IF(L727="",0,MAX(1,N(E727)))</f>
        <v>0</v>
      </c>
      <c r="W727" s="51">
        <f>IF(K727="",0,K727)</f>
        <v>0</v>
      </c>
    </row>
    <row r="728">
      <c r="A728" s="49" t="n"/>
      <c r="B728" s="41" t="n"/>
      <c r="C728" s="41" t="n"/>
      <c r="D728" s="42" t="n"/>
      <c r="E728" s="42" t="n"/>
      <c r="F728" s="50" t="n"/>
      <c r="G728" s="42" t="n"/>
      <c r="H728" s="30">
        <f>IF(D728="","",IFERROR(INDEX(Config!$B$12:$B$15,MATCH(IF(AND(D728="Cartão de crédito",N(E728)&gt;1),"Cartão de crédito parcelado",D728),Config!$A$12:$A$15,0)),0)+IF(AND(Config!$B$17="Sim",LEFT(D728,17)="Cartão de crédito"),Config!$B$18*IFERROR(INDEX(Config!$C$12:$C$15,MATCH(IF(AND(D728="Cartão de crédito",N(E728)&gt;1),"Cartão de crédito parcelado",D728),Config!$A$12:$A$15,0)),0)/30*MAX(1,N(E728)),0))</f>
        <v/>
      </c>
      <c r="I728" s="29">
        <f>IF(OR(D728="",F728=""),"",ROUND(F728*H728,2))</f>
        <v/>
      </c>
      <c r="J728" s="29">
        <f>IF(I728="","",F728-I728)</f>
        <v/>
      </c>
      <c r="K728" s="29">
        <f>IF(J728="","",J728/MAX(1,N(E728)))</f>
        <v/>
      </c>
      <c r="L728" s="37">
        <f>IF(OR(D728="",A728=""),"",A728+IF(AND(Config!$B$17="Sim",LEFT(D728,17)="Cartão de crédito"),1,IFERROR(INDEX(Config!$C$12:$C$15,MATCH(IF(AND(D728="Cartão de crédito",N(E728)&gt;1),"Cartão de crédito parcelado",D728),Config!$A$12:$A$15,0)),0)))</f>
        <v/>
      </c>
      <c r="M728" s="37">
        <f>IF(L728="","",IF(AND(Config!$B$17="Sim",LEFT(D728,17)="Cartão de crédito"),L728,L728+30*(MAX(1,N(E728))-1)))</f>
        <v/>
      </c>
      <c r="N728" s="29">
        <f>IF(OR(L728="",K728=""),"",K728*MIN(MAX(1,N(E728)),MAX(0,INT((Config!$B$8-L728)/30)+1)))</f>
        <v/>
      </c>
      <c r="O728" s="29">
        <f>IF(J728="","",J728-N(N728))</f>
        <v/>
      </c>
      <c r="P728" s="27">
        <f>IF(A728="","",MONTH(A728))</f>
        <v/>
      </c>
      <c r="Q728" s="27">
        <f>IF(A728="","",YEAR(A728))</f>
        <v/>
      </c>
      <c r="R728" s="27">
        <f>IF(L728="","",IF(L728&gt;Config!$B$8,"A cair",IF(N(G728)&gt;=MIN(MAX(1,N(E728)),MAX(0,INT((Config!$B$8-L728)/30)+1)),IF(N(G728)&gt;=MAX(1,N(E728)),"Conferido","Conferido até aqui"),"A conferir")))</f>
        <v/>
      </c>
      <c r="S728" s="51">
        <f>IF(R728="A conferir",(Config!$B$8-L728)*1000+N(F728)/1000+ROW()/100000,0)</f>
        <v>0</v>
      </c>
      <c r="T728" s="51">
        <f>IF(R728="A conferir",N(N728),0)</f>
        <v>0</v>
      </c>
      <c r="U728" s="51">
        <f>IF(L728="",0,L728)</f>
        <v>0</v>
      </c>
      <c r="V728" s="51">
        <f>IF(L728="",0,MAX(1,N(E728)))</f>
        <v>0</v>
      </c>
      <c r="W728" s="51">
        <f>IF(K728="",0,K728)</f>
        <v>0</v>
      </c>
    </row>
    <row r="729">
      <c r="A729" s="49" t="n"/>
      <c r="B729" s="41" t="n"/>
      <c r="C729" s="41" t="n"/>
      <c r="D729" s="42" t="n"/>
      <c r="E729" s="42" t="n"/>
      <c r="F729" s="50" t="n"/>
      <c r="G729" s="42" t="n"/>
      <c r="H729" s="30">
        <f>IF(D729="","",IFERROR(INDEX(Config!$B$12:$B$15,MATCH(IF(AND(D729="Cartão de crédito",N(E729)&gt;1),"Cartão de crédito parcelado",D729),Config!$A$12:$A$15,0)),0)+IF(AND(Config!$B$17="Sim",LEFT(D729,17)="Cartão de crédito"),Config!$B$18*IFERROR(INDEX(Config!$C$12:$C$15,MATCH(IF(AND(D729="Cartão de crédito",N(E729)&gt;1),"Cartão de crédito parcelado",D729),Config!$A$12:$A$15,0)),0)/30*MAX(1,N(E729)),0))</f>
        <v/>
      </c>
      <c r="I729" s="29">
        <f>IF(OR(D729="",F729=""),"",ROUND(F729*H729,2))</f>
        <v/>
      </c>
      <c r="J729" s="29">
        <f>IF(I729="","",F729-I729)</f>
        <v/>
      </c>
      <c r="K729" s="29">
        <f>IF(J729="","",J729/MAX(1,N(E729)))</f>
        <v/>
      </c>
      <c r="L729" s="37">
        <f>IF(OR(D729="",A729=""),"",A729+IF(AND(Config!$B$17="Sim",LEFT(D729,17)="Cartão de crédito"),1,IFERROR(INDEX(Config!$C$12:$C$15,MATCH(IF(AND(D729="Cartão de crédito",N(E729)&gt;1),"Cartão de crédito parcelado",D729),Config!$A$12:$A$15,0)),0)))</f>
        <v/>
      </c>
      <c r="M729" s="37">
        <f>IF(L729="","",IF(AND(Config!$B$17="Sim",LEFT(D729,17)="Cartão de crédito"),L729,L729+30*(MAX(1,N(E729))-1)))</f>
        <v/>
      </c>
      <c r="N729" s="29">
        <f>IF(OR(L729="",K729=""),"",K729*MIN(MAX(1,N(E729)),MAX(0,INT((Config!$B$8-L729)/30)+1)))</f>
        <v/>
      </c>
      <c r="O729" s="29">
        <f>IF(J729="","",J729-N(N729))</f>
        <v/>
      </c>
      <c r="P729" s="27">
        <f>IF(A729="","",MONTH(A729))</f>
        <v/>
      </c>
      <c r="Q729" s="27">
        <f>IF(A729="","",YEAR(A729))</f>
        <v/>
      </c>
      <c r="R729" s="27">
        <f>IF(L729="","",IF(L729&gt;Config!$B$8,"A cair",IF(N(G729)&gt;=MIN(MAX(1,N(E729)),MAX(0,INT((Config!$B$8-L729)/30)+1)),IF(N(G729)&gt;=MAX(1,N(E729)),"Conferido","Conferido até aqui"),"A conferir")))</f>
        <v/>
      </c>
      <c r="S729" s="51">
        <f>IF(R729="A conferir",(Config!$B$8-L729)*1000+N(F729)/1000+ROW()/100000,0)</f>
        <v>0</v>
      </c>
      <c r="T729" s="51">
        <f>IF(R729="A conferir",N(N729),0)</f>
        <v>0</v>
      </c>
      <c r="U729" s="51">
        <f>IF(L729="",0,L729)</f>
        <v>0</v>
      </c>
      <c r="V729" s="51">
        <f>IF(L729="",0,MAX(1,N(E729)))</f>
        <v>0</v>
      </c>
      <c r="W729" s="51">
        <f>IF(K729="",0,K729)</f>
        <v>0</v>
      </c>
    </row>
    <row r="730">
      <c r="A730" s="49" t="n"/>
      <c r="B730" s="41" t="n"/>
      <c r="C730" s="41" t="n"/>
      <c r="D730" s="42" t="n"/>
      <c r="E730" s="42" t="n"/>
      <c r="F730" s="50" t="n"/>
      <c r="G730" s="42" t="n"/>
      <c r="H730" s="30">
        <f>IF(D730="","",IFERROR(INDEX(Config!$B$12:$B$15,MATCH(IF(AND(D730="Cartão de crédito",N(E730)&gt;1),"Cartão de crédito parcelado",D730),Config!$A$12:$A$15,0)),0)+IF(AND(Config!$B$17="Sim",LEFT(D730,17)="Cartão de crédito"),Config!$B$18*IFERROR(INDEX(Config!$C$12:$C$15,MATCH(IF(AND(D730="Cartão de crédito",N(E730)&gt;1),"Cartão de crédito parcelado",D730),Config!$A$12:$A$15,0)),0)/30*MAX(1,N(E730)),0))</f>
        <v/>
      </c>
      <c r="I730" s="29">
        <f>IF(OR(D730="",F730=""),"",ROUND(F730*H730,2))</f>
        <v/>
      </c>
      <c r="J730" s="29">
        <f>IF(I730="","",F730-I730)</f>
        <v/>
      </c>
      <c r="K730" s="29">
        <f>IF(J730="","",J730/MAX(1,N(E730)))</f>
        <v/>
      </c>
      <c r="L730" s="37">
        <f>IF(OR(D730="",A730=""),"",A730+IF(AND(Config!$B$17="Sim",LEFT(D730,17)="Cartão de crédito"),1,IFERROR(INDEX(Config!$C$12:$C$15,MATCH(IF(AND(D730="Cartão de crédito",N(E730)&gt;1),"Cartão de crédito parcelado",D730),Config!$A$12:$A$15,0)),0)))</f>
        <v/>
      </c>
      <c r="M730" s="37">
        <f>IF(L730="","",IF(AND(Config!$B$17="Sim",LEFT(D730,17)="Cartão de crédito"),L730,L730+30*(MAX(1,N(E730))-1)))</f>
        <v/>
      </c>
      <c r="N730" s="29">
        <f>IF(OR(L730="",K730=""),"",K730*MIN(MAX(1,N(E730)),MAX(0,INT((Config!$B$8-L730)/30)+1)))</f>
        <v/>
      </c>
      <c r="O730" s="29">
        <f>IF(J730="","",J730-N(N730))</f>
        <v/>
      </c>
      <c r="P730" s="27">
        <f>IF(A730="","",MONTH(A730))</f>
        <v/>
      </c>
      <c r="Q730" s="27">
        <f>IF(A730="","",YEAR(A730))</f>
        <v/>
      </c>
      <c r="R730" s="27">
        <f>IF(L730="","",IF(L730&gt;Config!$B$8,"A cair",IF(N(G730)&gt;=MIN(MAX(1,N(E730)),MAX(0,INT((Config!$B$8-L730)/30)+1)),IF(N(G730)&gt;=MAX(1,N(E730)),"Conferido","Conferido até aqui"),"A conferir")))</f>
        <v/>
      </c>
      <c r="S730" s="51">
        <f>IF(R730="A conferir",(Config!$B$8-L730)*1000+N(F730)/1000+ROW()/100000,0)</f>
        <v>0</v>
      </c>
      <c r="T730" s="51">
        <f>IF(R730="A conferir",N(N730),0)</f>
        <v>0</v>
      </c>
      <c r="U730" s="51">
        <f>IF(L730="",0,L730)</f>
        <v>0</v>
      </c>
      <c r="V730" s="51">
        <f>IF(L730="",0,MAX(1,N(E730)))</f>
        <v>0</v>
      </c>
      <c r="W730" s="51">
        <f>IF(K730="",0,K730)</f>
        <v>0</v>
      </c>
    </row>
    <row r="731">
      <c r="A731" s="49" t="n"/>
      <c r="B731" s="41" t="n"/>
      <c r="C731" s="41" t="n"/>
      <c r="D731" s="42" t="n"/>
      <c r="E731" s="42" t="n"/>
      <c r="F731" s="50" t="n"/>
      <c r="G731" s="42" t="n"/>
      <c r="H731" s="30">
        <f>IF(D731="","",IFERROR(INDEX(Config!$B$12:$B$15,MATCH(IF(AND(D731="Cartão de crédito",N(E731)&gt;1),"Cartão de crédito parcelado",D731),Config!$A$12:$A$15,0)),0)+IF(AND(Config!$B$17="Sim",LEFT(D731,17)="Cartão de crédito"),Config!$B$18*IFERROR(INDEX(Config!$C$12:$C$15,MATCH(IF(AND(D731="Cartão de crédito",N(E731)&gt;1),"Cartão de crédito parcelado",D731),Config!$A$12:$A$15,0)),0)/30*MAX(1,N(E731)),0))</f>
        <v/>
      </c>
      <c r="I731" s="29">
        <f>IF(OR(D731="",F731=""),"",ROUND(F731*H731,2))</f>
        <v/>
      </c>
      <c r="J731" s="29">
        <f>IF(I731="","",F731-I731)</f>
        <v/>
      </c>
      <c r="K731" s="29">
        <f>IF(J731="","",J731/MAX(1,N(E731)))</f>
        <v/>
      </c>
      <c r="L731" s="37">
        <f>IF(OR(D731="",A731=""),"",A731+IF(AND(Config!$B$17="Sim",LEFT(D731,17)="Cartão de crédito"),1,IFERROR(INDEX(Config!$C$12:$C$15,MATCH(IF(AND(D731="Cartão de crédito",N(E731)&gt;1),"Cartão de crédito parcelado",D731),Config!$A$12:$A$15,0)),0)))</f>
        <v/>
      </c>
      <c r="M731" s="37">
        <f>IF(L731="","",IF(AND(Config!$B$17="Sim",LEFT(D731,17)="Cartão de crédito"),L731,L731+30*(MAX(1,N(E731))-1)))</f>
        <v/>
      </c>
      <c r="N731" s="29">
        <f>IF(OR(L731="",K731=""),"",K731*MIN(MAX(1,N(E731)),MAX(0,INT((Config!$B$8-L731)/30)+1)))</f>
        <v/>
      </c>
      <c r="O731" s="29">
        <f>IF(J731="","",J731-N(N731))</f>
        <v/>
      </c>
      <c r="P731" s="27">
        <f>IF(A731="","",MONTH(A731))</f>
        <v/>
      </c>
      <c r="Q731" s="27">
        <f>IF(A731="","",YEAR(A731))</f>
        <v/>
      </c>
      <c r="R731" s="27">
        <f>IF(L731="","",IF(L731&gt;Config!$B$8,"A cair",IF(N(G731)&gt;=MIN(MAX(1,N(E731)),MAX(0,INT((Config!$B$8-L731)/30)+1)),IF(N(G731)&gt;=MAX(1,N(E731)),"Conferido","Conferido até aqui"),"A conferir")))</f>
        <v/>
      </c>
      <c r="S731" s="51">
        <f>IF(R731="A conferir",(Config!$B$8-L731)*1000+N(F731)/1000+ROW()/100000,0)</f>
        <v>0</v>
      </c>
      <c r="T731" s="51">
        <f>IF(R731="A conferir",N(N731),0)</f>
        <v>0</v>
      </c>
      <c r="U731" s="51">
        <f>IF(L731="",0,L731)</f>
        <v>0</v>
      </c>
      <c r="V731" s="51">
        <f>IF(L731="",0,MAX(1,N(E731)))</f>
        <v>0</v>
      </c>
      <c r="W731" s="51">
        <f>IF(K731="",0,K731)</f>
        <v>0</v>
      </c>
    </row>
    <row r="732">
      <c r="A732" s="49" t="n"/>
      <c r="B732" s="41" t="n"/>
      <c r="C732" s="41" t="n"/>
      <c r="D732" s="42" t="n"/>
      <c r="E732" s="42" t="n"/>
      <c r="F732" s="50" t="n"/>
      <c r="G732" s="42" t="n"/>
      <c r="H732" s="30">
        <f>IF(D732="","",IFERROR(INDEX(Config!$B$12:$B$15,MATCH(IF(AND(D732="Cartão de crédito",N(E732)&gt;1),"Cartão de crédito parcelado",D732),Config!$A$12:$A$15,0)),0)+IF(AND(Config!$B$17="Sim",LEFT(D732,17)="Cartão de crédito"),Config!$B$18*IFERROR(INDEX(Config!$C$12:$C$15,MATCH(IF(AND(D732="Cartão de crédito",N(E732)&gt;1),"Cartão de crédito parcelado",D732),Config!$A$12:$A$15,0)),0)/30*MAX(1,N(E732)),0))</f>
        <v/>
      </c>
      <c r="I732" s="29">
        <f>IF(OR(D732="",F732=""),"",ROUND(F732*H732,2))</f>
        <v/>
      </c>
      <c r="J732" s="29">
        <f>IF(I732="","",F732-I732)</f>
        <v/>
      </c>
      <c r="K732" s="29">
        <f>IF(J732="","",J732/MAX(1,N(E732)))</f>
        <v/>
      </c>
      <c r="L732" s="37">
        <f>IF(OR(D732="",A732=""),"",A732+IF(AND(Config!$B$17="Sim",LEFT(D732,17)="Cartão de crédito"),1,IFERROR(INDEX(Config!$C$12:$C$15,MATCH(IF(AND(D732="Cartão de crédito",N(E732)&gt;1),"Cartão de crédito parcelado",D732),Config!$A$12:$A$15,0)),0)))</f>
        <v/>
      </c>
      <c r="M732" s="37">
        <f>IF(L732="","",IF(AND(Config!$B$17="Sim",LEFT(D732,17)="Cartão de crédito"),L732,L732+30*(MAX(1,N(E732))-1)))</f>
        <v/>
      </c>
      <c r="N732" s="29">
        <f>IF(OR(L732="",K732=""),"",K732*MIN(MAX(1,N(E732)),MAX(0,INT((Config!$B$8-L732)/30)+1)))</f>
        <v/>
      </c>
      <c r="O732" s="29">
        <f>IF(J732="","",J732-N(N732))</f>
        <v/>
      </c>
      <c r="P732" s="27">
        <f>IF(A732="","",MONTH(A732))</f>
        <v/>
      </c>
      <c r="Q732" s="27">
        <f>IF(A732="","",YEAR(A732))</f>
        <v/>
      </c>
      <c r="R732" s="27">
        <f>IF(L732="","",IF(L732&gt;Config!$B$8,"A cair",IF(N(G732)&gt;=MIN(MAX(1,N(E732)),MAX(0,INT((Config!$B$8-L732)/30)+1)),IF(N(G732)&gt;=MAX(1,N(E732)),"Conferido","Conferido até aqui"),"A conferir")))</f>
        <v/>
      </c>
      <c r="S732" s="51">
        <f>IF(R732="A conferir",(Config!$B$8-L732)*1000+N(F732)/1000+ROW()/100000,0)</f>
        <v>0</v>
      </c>
      <c r="T732" s="51">
        <f>IF(R732="A conferir",N(N732),0)</f>
        <v>0</v>
      </c>
      <c r="U732" s="51">
        <f>IF(L732="",0,L732)</f>
        <v>0</v>
      </c>
      <c r="V732" s="51">
        <f>IF(L732="",0,MAX(1,N(E732)))</f>
        <v>0</v>
      </c>
      <c r="W732" s="51">
        <f>IF(K732="",0,K732)</f>
        <v>0</v>
      </c>
    </row>
    <row r="733">
      <c r="A733" s="49" t="n"/>
      <c r="B733" s="41" t="n"/>
      <c r="C733" s="41" t="n"/>
      <c r="D733" s="42" t="n"/>
      <c r="E733" s="42" t="n"/>
      <c r="F733" s="50" t="n"/>
      <c r="G733" s="42" t="n"/>
      <c r="H733" s="30">
        <f>IF(D733="","",IFERROR(INDEX(Config!$B$12:$B$15,MATCH(IF(AND(D733="Cartão de crédito",N(E733)&gt;1),"Cartão de crédito parcelado",D733),Config!$A$12:$A$15,0)),0)+IF(AND(Config!$B$17="Sim",LEFT(D733,17)="Cartão de crédito"),Config!$B$18*IFERROR(INDEX(Config!$C$12:$C$15,MATCH(IF(AND(D733="Cartão de crédito",N(E733)&gt;1),"Cartão de crédito parcelado",D733),Config!$A$12:$A$15,0)),0)/30*MAX(1,N(E733)),0))</f>
        <v/>
      </c>
      <c r="I733" s="29">
        <f>IF(OR(D733="",F733=""),"",ROUND(F733*H733,2))</f>
        <v/>
      </c>
      <c r="J733" s="29">
        <f>IF(I733="","",F733-I733)</f>
        <v/>
      </c>
      <c r="K733" s="29">
        <f>IF(J733="","",J733/MAX(1,N(E733)))</f>
        <v/>
      </c>
      <c r="L733" s="37">
        <f>IF(OR(D733="",A733=""),"",A733+IF(AND(Config!$B$17="Sim",LEFT(D733,17)="Cartão de crédito"),1,IFERROR(INDEX(Config!$C$12:$C$15,MATCH(IF(AND(D733="Cartão de crédito",N(E733)&gt;1),"Cartão de crédito parcelado",D733),Config!$A$12:$A$15,0)),0)))</f>
        <v/>
      </c>
      <c r="M733" s="37">
        <f>IF(L733="","",IF(AND(Config!$B$17="Sim",LEFT(D733,17)="Cartão de crédito"),L733,L733+30*(MAX(1,N(E733))-1)))</f>
        <v/>
      </c>
      <c r="N733" s="29">
        <f>IF(OR(L733="",K733=""),"",K733*MIN(MAX(1,N(E733)),MAX(0,INT((Config!$B$8-L733)/30)+1)))</f>
        <v/>
      </c>
      <c r="O733" s="29">
        <f>IF(J733="","",J733-N(N733))</f>
        <v/>
      </c>
      <c r="P733" s="27">
        <f>IF(A733="","",MONTH(A733))</f>
        <v/>
      </c>
      <c r="Q733" s="27">
        <f>IF(A733="","",YEAR(A733))</f>
        <v/>
      </c>
      <c r="R733" s="27">
        <f>IF(L733="","",IF(L733&gt;Config!$B$8,"A cair",IF(N(G733)&gt;=MIN(MAX(1,N(E733)),MAX(0,INT((Config!$B$8-L733)/30)+1)),IF(N(G733)&gt;=MAX(1,N(E733)),"Conferido","Conferido até aqui"),"A conferir")))</f>
        <v/>
      </c>
      <c r="S733" s="51">
        <f>IF(R733="A conferir",(Config!$B$8-L733)*1000+N(F733)/1000+ROW()/100000,0)</f>
        <v>0</v>
      </c>
      <c r="T733" s="51">
        <f>IF(R733="A conferir",N(N733),0)</f>
        <v>0</v>
      </c>
      <c r="U733" s="51">
        <f>IF(L733="",0,L733)</f>
        <v>0</v>
      </c>
      <c r="V733" s="51">
        <f>IF(L733="",0,MAX(1,N(E733)))</f>
        <v>0</v>
      </c>
      <c r="W733" s="51">
        <f>IF(K733="",0,K733)</f>
        <v>0</v>
      </c>
    </row>
    <row r="734">
      <c r="A734" s="49" t="n"/>
      <c r="B734" s="41" t="n"/>
      <c r="C734" s="41" t="n"/>
      <c r="D734" s="42" t="n"/>
      <c r="E734" s="42" t="n"/>
      <c r="F734" s="50" t="n"/>
      <c r="G734" s="42" t="n"/>
      <c r="H734" s="30">
        <f>IF(D734="","",IFERROR(INDEX(Config!$B$12:$B$15,MATCH(IF(AND(D734="Cartão de crédito",N(E734)&gt;1),"Cartão de crédito parcelado",D734),Config!$A$12:$A$15,0)),0)+IF(AND(Config!$B$17="Sim",LEFT(D734,17)="Cartão de crédito"),Config!$B$18*IFERROR(INDEX(Config!$C$12:$C$15,MATCH(IF(AND(D734="Cartão de crédito",N(E734)&gt;1),"Cartão de crédito parcelado",D734),Config!$A$12:$A$15,0)),0)/30*MAX(1,N(E734)),0))</f>
        <v/>
      </c>
      <c r="I734" s="29">
        <f>IF(OR(D734="",F734=""),"",ROUND(F734*H734,2))</f>
        <v/>
      </c>
      <c r="J734" s="29">
        <f>IF(I734="","",F734-I734)</f>
        <v/>
      </c>
      <c r="K734" s="29">
        <f>IF(J734="","",J734/MAX(1,N(E734)))</f>
        <v/>
      </c>
      <c r="L734" s="37">
        <f>IF(OR(D734="",A734=""),"",A734+IF(AND(Config!$B$17="Sim",LEFT(D734,17)="Cartão de crédito"),1,IFERROR(INDEX(Config!$C$12:$C$15,MATCH(IF(AND(D734="Cartão de crédito",N(E734)&gt;1),"Cartão de crédito parcelado",D734),Config!$A$12:$A$15,0)),0)))</f>
        <v/>
      </c>
      <c r="M734" s="37">
        <f>IF(L734="","",IF(AND(Config!$B$17="Sim",LEFT(D734,17)="Cartão de crédito"),L734,L734+30*(MAX(1,N(E734))-1)))</f>
        <v/>
      </c>
      <c r="N734" s="29">
        <f>IF(OR(L734="",K734=""),"",K734*MIN(MAX(1,N(E734)),MAX(0,INT((Config!$B$8-L734)/30)+1)))</f>
        <v/>
      </c>
      <c r="O734" s="29">
        <f>IF(J734="","",J734-N(N734))</f>
        <v/>
      </c>
      <c r="P734" s="27">
        <f>IF(A734="","",MONTH(A734))</f>
        <v/>
      </c>
      <c r="Q734" s="27">
        <f>IF(A734="","",YEAR(A734))</f>
        <v/>
      </c>
      <c r="R734" s="27">
        <f>IF(L734="","",IF(L734&gt;Config!$B$8,"A cair",IF(N(G734)&gt;=MIN(MAX(1,N(E734)),MAX(0,INT((Config!$B$8-L734)/30)+1)),IF(N(G734)&gt;=MAX(1,N(E734)),"Conferido","Conferido até aqui"),"A conferir")))</f>
        <v/>
      </c>
      <c r="S734" s="51">
        <f>IF(R734="A conferir",(Config!$B$8-L734)*1000+N(F734)/1000+ROW()/100000,0)</f>
        <v>0</v>
      </c>
      <c r="T734" s="51">
        <f>IF(R734="A conferir",N(N734),0)</f>
        <v>0</v>
      </c>
      <c r="U734" s="51">
        <f>IF(L734="",0,L734)</f>
        <v>0</v>
      </c>
      <c r="V734" s="51">
        <f>IF(L734="",0,MAX(1,N(E734)))</f>
        <v>0</v>
      </c>
      <c r="W734" s="51">
        <f>IF(K734="",0,K734)</f>
        <v>0</v>
      </c>
    </row>
    <row r="735">
      <c r="A735" s="49" t="n"/>
      <c r="B735" s="41" t="n"/>
      <c r="C735" s="41" t="n"/>
      <c r="D735" s="42" t="n"/>
      <c r="E735" s="42" t="n"/>
      <c r="F735" s="50" t="n"/>
      <c r="G735" s="42" t="n"/>
      <c r="H735" s="30">
        <f>IF(D735="","",IFERROR(INDEX(Config!$B$12:$B$15,MATCH(IF(AND(D735="Cartão de crédito",N(E735)&gt;1),"Cartão de crédito parcelado",D735),Config!$A$12:$A$15,0)),0)+IF(AND(Config!$B$17="Sim",LEFT(D735,17)="Cartão de crédito"),Config!$B$18*IFERROR(INDEX(Config!$C$12:$C$15,MATCH(IF(AND(D735="Cartão de crédito",N(E735)&gt;1),"Cartão de crédito parcelado",D735),Config!$A$12:$A$15,0)),0)/30*MAX(1,N(E735)),0))</f>
        <v/>
      </c>
      <c r="I735" s="29">
        <f>IF(OR(D735="",F735=""),"",ROUND(F735*H735,2))</f>
        <v/>
      </c>
      <c r="J735" s="29">
        <f>IF(I735="","",F735-I735)</f>
        <v/>
      </c>
      <c r="K735" s="29">
        <f>IF(J735="","",J735/MAX(1,N(E735)))</f>
        <v/>
      </c>
      <c r="L735" s="37">
        <f>IF(OR(D735="",A735=""),"",A735+IF(AND(Config!$B$17="Sim",LEFT(D735,17)="Cartão de crédito"),1,IFERROR(INDEX(Config!$C$12:$C$15,MATCH(IF(AND(D735="Cartão de crédito",N(E735)&gt;1),"Cartão de crédito parcelado",D735),Config!$A$12:$A$15,0)),0)))</f>
        <v/>
      </c>
      <c r="M735" s="37">
        <f>IF(L735="","",IF(AND(Config!$B$17="Sim",LEFT(D735,17)="Cartão de crédito"),L735,L735+30*(MAX(1,N(E735))-1)))</f>
        <v/>
      </c>
      <c r="N735" s="29">
        <f>IF(OR(L735="",K735=""),"",K735*MIN(MAX(1,N(E735)),MAX(0,INT((Config!$B$8-L735)/30)+1)))</f>
        <v/>
      </c>
      <c r="O735" s="29">
        <f>IF(J735="","",J735-N(N735))</f>
        <v/>
      </c>
      <c r="P735" s="27">
        <f>IF(A735="","",MONTH(A735))</f>
        <v/>
      </c>
      <c r="Q735" s="27">
        <f>IF(A735="","",YEAR(A735))</f>
        <v/>
      </c>
      <c r="R735" s="27">
        <f>IF(L735="","",IF(L735&gt;Config!$B$8,"A cair",IF(N(G735)&gt;=MIN(MAX(1,N(E735)),MAX(0,INT((Config!$B$8-L735)/30)+1)),IF(N(G735)&gt;=MAX(1,N(E735)),"Conferido","Conferido até aqui"),"A conferir")))</f>
        <v/>
      </c>
      <c r="S735" s="51">
        <f>IF(R735="A conferir",(Config!$B$8-L735)*1000+N(F735)/1000+ROW()/100000,0)</f>
        <v>0</v>
      </c>
      <c r="T735" s="51">
        <f>IF(R735="A conferir",N(N735),0)</f>
        <v>0</v>
      </c>
      <c r="U735" s="51">
        <f>IF(L735="",0,L735)</f>
        <v>0</v>
      </c>
      <c r="V735" s="51">
        <f>IF(L735="",0,MAX(1,N(E735)))</f>
        <v>0</v>
      </c>
      <c r="W735" s="51">
        <f>IF(K735="",0,K735)</f>
        <v>0</v>
      </c>
    </row>
    <row r="736">
      <c r="A736" s="49" t="n"/>
      <c r="B736" s="41" t="n"/>
      <c r="C736" s="41" t="n"/>
      <c r="D736" s="42" t="n"/>
      <c r="E736" s="42" t="n"/>
      <c r="F736" s="50" t="n"/>
      <c r="G736" s="42" t="n"/>
      <c r="H736" s="30">
        <f>IF(D736="","",IFERROR(INDEX(Config!$B$12:$B$15,MATCH(IF(AND(D736="Cartão de crédito",N(E736)&gt;1),"Cartão de crédito parcelado",D736),Config!$A$12:$A$15,0)),0)+IF(AND(Config!$B$17="Sim",LEFT(D736,17)="Cartão de crédito"),Config!$B$18*IFERROR(INDEX(Config!$C$12:$C$15,MATCH(IF(AND(D736="Cartão de crédito",N(E736)&gt;1),"Cartão de crédito parcelado",D736),Config!$A$12:$A$15,0)),0)/30*MAX(1,N(E736)),0))</f>
        <v/>
      </c>
      <c r="I736" s="29">
        <f>IF(OR(D736="",F736=""),"",ROUND(F736*H736,2))</f>
        <v/>
      </c>
      <c r="J736" s="29">
        <f>IF(I736="","",F736-I736)</f>
        <v/>
      </c>
      <c r="K736" s="29">
        <f>IF(J736="","",J736/MAX(1,N(E736)))</f>
        <v/>
      </c>
      <c r="L736" s="37">
        <f>IF(OR(D736="",A736=""),"",A736+IF(AND(Config!$B$17="Sim",LEFT(D736,17)="Cartão de crédito"),1,IFERROR(INDEX(Config!$C$12:$C$15,MATCH(IF(AND(D736="Cartão de crédito",N(E736)&gt;1),"Cartão de crédito parcelado",D736),Config!$A$12:$A$15,0)),0)))</f>
        <v/>
      </c>
      <c r="M736" s="37">
        <f>IF(L736="","",IF(AND(Config!$B$17="Sim",LEFT(D736,17)="Cartão de crédito"),L736,L736+30*(MAX(1,N(E736))-1)))</f>
        <v/>
      </c>
      <c r="N736" s="29">
        <f>IF(OR(L736="",K736=""),"",K736*MIN(MAX(1,N(E736)),MAX(0,INT((Config!$B$8-L736)/30)+1)))</f>
        <v/>
      </c>
      <c r="O736" s="29">
        <f>IF(J736="","",J736-N(N736))</f>
        <v/>
      </c>
      <c r="P736" s="27">
        <f>IF(A736="","",MONTH(A736))</f>
        <v/>
      </c>
      <c r="Q736" s="27">
        <f>IF(A736="","",YEAR(A736))</f>
        <v/>
      </c>
      <c r="R736" s="27">
        <f>IF(L736="","",IF(L736&gt;Config!$B$8,"A cair",IF(N(G736)&gt;=MIN(MAX(1,N(E736)),MAX(0,INT((Config!$B$8-L736)/30)+1)),IF(N(G736)&gt;=MAX(1,N(E736)),"Conferido","Conferido até aqui"),"A conferir")))</f>
        <v/>
      </c>
      <c r="S736" s="51">
        <f>IF(R736="A conferir",(Config!$B$8-L736)*1000+N(F736)/1000+ROW()/100000,0)</f>
        <v>0</v>
      </c>
      <c r="T736" s="51">
        <f>IF(R736="A conferir",N(N736),0)</f>
        <v>0</v>
      </c>
      <c r="U736" s="51">
        <f>IF(L736="",0,L736)</f>
        <v>0</v>
      </c>
      <c r="V736" s="51">
        <f>IF(L736="",0,MAX(1,N(E736)))</f>
        <v>0</v>
      </c>
      <c r="W736" s="51">
        <f>IF(K736="",0,K736)</f>
        <v>0</v>
      </c>
    </row>
    <row r="737">
      <c r="A737" s="49" t="n"/>
      <c r="B737" s="41" t="n"/>
      <c r="C737" s="41" t="n"/>
      <c r="D737" s="42" t="n"/>
      <c r="E737" s="42" t="n"/>
      <c r="F737" s="50" t="n"/>
      <c r="G737" s="42" t="n"/>
      <c r="H737" s="30">
        <f>IF(D737="","",IFERROR(INDEX(Config!$B$12:$B$15,MATCH(IF(AND(D737="Cartão de crédito",N(E737)&gt;1),"Cartão de crédito parcelado",D737),Config!$A$12:$A$15,0)),0)+IF(AND(Config!$B$17="Sim",LEFT(D737,17)="Cartão de crédito"),Config!$B$18*IFERROR(INDEX(Config!$C$12:$C$15,MATCH(IF(AND(D737="Cartão de crédito",N(E737)&gt;1),"Cartão de crédito parcelado",D737),Config!$A$12:$A$15,0)),0)/30*MAX(1,N(E737)),0))</f>
        <v/>
      </c>
      <c r="I737" s="29">
        <f>IF(OR(D737="",F737=""),"",ROUND(F737*H737,2))</f>
        <v/>
      </c>
      <c r="J737" s="29">
        <f>IF(I737="","",F737-I737)</f>
        <v/>
      </c>
      <c r="K737" s="29">
        <f>IF(J737="","",J737/MAX(1,N(E737)))</f>
        <v/>
      </c>
      <c r="L737" s="37">
        <f>IF(OR(D737="",A737=""),"",A737+IF(AND(Config!$B$17="Sim",LEFT(D737,17)="Cartão de crédito"),1,IFERROR(INDEX(Config!$C$12:$C$15,MATCH(IF(AND(D737="Cartão de crédito",N(E737)&gt;1),"Cartão de crédito parcelado",D737),Config!$A$12:$A$15,0)),0)))</f>
        <v/>
      </c>
      <c r="M737" s="37">
        <f>IF(L737="","",IF(AND(Config!$B$17="Sim",LEFT(D737,17)="Cartão de crédito"),L737,L737+30*(MAX(1,N(E737))-1)))</f>
        <v/>
      </c>
      <c r="N737" s="29">
        <f>IF(OR(L737="",K737=""),"",K737*MIN(MAX(1,N(E737)),MAX(0,INT((Config!$B$8-L737)/30)+1)))</f>
        <v/>
      </c>
      <c r="O737" s="29">
        <f>IF(J737="","",J737-N(N737))</f>
        <v/>
      </c>
      <c r="P737" s="27">
        <f>IF(A737="","",MONTH(A737))</f>
        <v/>
      </c>
      <c r="Q737" s="27">
        <f>IF(A737="","",YEAR(A737))</f>
        <v/>
      </c>
      <c r="R737" s="27">
        <f>IF(L737="","",IF(L737&gt;Config!$B$8,"A cair",IF(N(G737)&gt;=MIN(MAX(1,N(E737)),MAX(0,INT((Config!$B$8-L737)/30)+1)),IF(N(G737)&gt;=MAX(1,N(E737)),"Conferido","Conferido até aqui"),"A conferir")))</f>
        <v/>
      </c>
      <c r="S737" s="51">
        <f>IF(R737="A conferir",(Config!$B$8-L737)*1000+N(F737)/1000+ROW()/100000,0)</f>
        <v>0</v>
      </c>
      <c r="T737" s="51">
        <f>IF(R737="A conferir",N(N737),0)</f>
        <v>0</v>
      </c>
      <c r="U737" s="51">
        <f>IF(L737="",0,L737)</f>
        <v>0</v>
      </c>
      <c r="V737" s="51">
        <f>IF(L737="",0,MAX(1,N(E737)))</f>
        <v>0</v>
      </c>
      <c r="W737" s="51">
        <f>IF(K737="",0,K737)</f>
        <v>0</v>
      </c>
    </row>
    <row r="738">
      <c r="A738" s="49" t="n"/>
      <c r="B738" s="41" t="n"/>
      <c r="C738" s="41" t="n"/>
      <c r="D738" s="42" t="n"/>
      <c r="E738" s="42" t="n"/>
      <c r="F738" s="50" t="n"/>
      <c r="G738" s="42" t="n"/>
      <c r="H738" s="30">
        <f>IF(D738="","",IFERROR(INDEX(Config!$B$12:$B$15,MATCH(IF(AND(D738="Cartão de crédito",N(E738)&gt;1),"Cartão de crédito parcelado",D738),Config!$A$12:$A$15,0)),0)+IF(AND(Config!$B$17="Sim",LEFT(D738,17)="Cartão de crédito"),Config!$B$18*IFERROR(INDEX(Config!$C$12:$C$15,MATCH(IF(AND(D738="Cartão de crédito",N(E738)&gt;1),"Cartão de crédito parcelado",D738),Config!$A$12:$A$15,0)),0)/30*MAX(1,N(E738)),0))</f>
        <v/>
      </c>
      <c r="I738" s="29">
        <f>IF(OR(D738="",F738=""),"",ROUND(F738*H738,2))</f>
        <v/>
      </c>
      <c r="J738" s="29">
        <f>IF(I738="","",F738-I738)</f>
        <v/>
      </c>
      <c r="K738" s="29">
        <f>IF(J738="","",J738/MAX(1,N(E738)))</f>
        <v/>
      </c>
      <c r="L738" s="37">
        <f>IF(OR(D738="",A738=""),"",A738+IF(AND(Config!$B$17="Sim",LEFT(D738,17)="Cartão de crédito"),1,IFERROR(INDEX(Config!$C$12:$C$15,MATCH(IF(AND(D738="Cartão de crédito",N(E738)&gt;1),"Cartão de crédito parcelado",D738),Config!$A$12:$A$15,0)),0)))</f>
        <v/>
      </c>
      <c r="M738" s="37">
        <f>IF(L738="","",IF(AND(Config!$B$17="Sim",LEFT(D738,17)="Cartão de crédito"),L738,L738+30*(MAX(1,N(E738))-1)))</f>
        <v/>
      </c>
      <c r="N738" s="29">
        <f>IF(OR(L738="",K738=""),"",K738*MIN(MAX(1,N(E738)),MAX(0,INT((Config!$B$8-L738)/30)+1)))</f>
        <v/>
      </c>
      <c r="O738" s="29">
        <f>IF(J738="","",J738-N(N738))</f>
        <v/>
      </c>
      <c r="P738" s="27">
        <f>IF(A738="","",MONTH(A738))</f>
        <v/>
      </c>
      <c r="Q738" s="27">
        <f>IF(A738="","",YEAR(A738))</f>
        <v/>
      </c>
      <c r="R738" s="27">
        <f>IF(L738="","",IF(L738&gt;Config!$B$8,"A cair",IF(N(G738)&gt;=MIN(MAX(1,N(E738)),MAX(0,INT((Config!$B$8-L738)/30)+1)),IF(N(G738)&gt;=MAX(1,N(E738)),"Conferido","Conferido até aqui"),"A conferir")))</f>
        <v/>
      </c>
      <c r="S738" s="51">
        <f>IF(R738="A conferir",(Config!$B$8-L738)*1000+N(F738)/1000+ROW()/100000,0)</f>
        <v>0</v>
      </c>
      <c r="T738" s="51">
        <f>IF(R738="A conferir",N(N738),0)</f>
        <v>0</v>
      </c>
      <c r="U738" s="51">
        <f>IF(L738="",0,L738)</f>
        <v>0</v>
      </c>
      <c r="V738" s="51">
        <f>IF(L738="",0,MAX(1,N(E738)))</f>
        <v>0</v>
      </c>
      <c r="W738" s="51">
        <f>IF(K738="",0,K738)</f>
        <v>0</v>
      </c>
    </row>
    <row r="739">
      <c r="A739" s="49" t="n"/>
      <c r="B739" s="41" t="n"/>
      <c r="C739" s="41" t="n"/>
      <c r="D739" s="42" t="n"/>
      <c r="E739" s="42" t="n"/>
      <c r="F739" s="50" t="n"/>
      <c r="G739" s="42" t="n"/>
      <c r="H739" s="30">
        <f>IF(D739="","",IFERROR(INDEX(Config!$B$12:$B$15,MATCH(IF(AND(D739="Cartão de crédito",N(E739)&gt;1),"Cartão de crédito parcelado",D739),Config!$A$12:$A$15,0)),0)+IF(AND(Config!$B$17="Sim",LEFT(D739,17)="Cartão de crédito"),Config!$B$18*IFERROR(INDEX(Config!$C$12:$C$15,MATCH(IF(AND(D739="Cartão de crédito",N(E739)&gt;1),"Cartão de crédito parcelado",D739),Config!$A$12:$A$15,0)),0)/30*MAX(1,N(E739)),0))</f>
        <v/>
      </c>
      <c r="I739" s="29">
        <f>IF(OR(D739="",F739=""),"",ROUND(F739*H739,2))</f>
        <v/>
      </c>
      <c r="J739" s="29">
        <f>IF(I739="","",F739-I739)</f>
        <v/>
      </c>
      <c r="K739" s="29">
        <f>IF(J739="","",J739/MAX(1,N(E739)))</f>
        <v/>
      </c>
      <c r="L739" s="37">
        <f>IF(OR(D739="",A739=""),"",A739+IF(AND(Config!$B$17="Sim",LEFT(D739,17)="Cartão de crédito"),1,IFERROR(INDEX(Config!$C$12:$C$15,MATCH(IF(AND(D739="Cartão de crédito",N(E739)&gt;1),"Cartão de crédito parcelado",D739),Config!$A$12:$A$15,0)),0)))</f>
        <v/>
      </c>
      <c r="M739" s="37">
        <f>IF(L739="","",IF(AND(Config!$B$17="Sim",LEFT(D739,17)="Cartão de crédito"),L739,L739+30*(MAX(1,N(E739))-1)))</f>
        <v/>
      </c>
      <c r="N739" s="29">
        <f>IF(OR(L739="",K739=""),"",K739*MIN(MAX(1,N(E739)),MAX(0,INT((Config!$B$8-L739)/30)+1)))</f>
        <v/>
      </c>
      <c r="O739" s="29">
        <f>IF(J739="","",J739-N(N739))</f>
        <v/>
      </c>
      <c r="P739" s="27">
        <f>IF(A739="","",MONTH(A739))</f>
        <v/>
      </c>
      <c r="Q739" s="27">
        <f>IF(A739="","",YEAR(A739))</f>
        <v/>
      </c>
      <c r="R739" s="27">
        <f>IF(L739="","",IF(L739&gt;Config!$B$8,"A cair",IF(N(G739)&gt;=MIN(MAX(1,N(E739)),MAX(0,INT((Config!$B$8-L739)/30)+1)),IF(N(G739)&gt;=MAX(1,N(E739)),"Conferido","Conferido até aqui"),"A conferir")))</f>
        <v/>
      </c>
      <c r="S739" s="51">
        <f>IF(R739="A conferir",(Config!$B$8-L739)*1000+N(F739)/1000+ROW()/100000,0)</f>
        <v>0</v>
      </c>
      <c r="T739" s="51">
        <f>IF(R739="A conferir",N(N739),0)</f>
        <v>0</v>
      </c>
      <c r="U739" s="51">
        <f>IF(L739="",0,L739)</f>
        <v>0</v>
      </c>
      <c r="V739" s="51">
        <f>IF(L739="",0,MAX(1,N(E739)))</f>
        <v>0</v>
      </c>
      <c r="W739" s="51">
        <f>IF(K739="",0,K739)</f>
        <v>0</v>
      </c>
    </row>
    <row r="740">
      <c r="A740" s="49" t="n"/>
      <c r="B740" s="41" t="n"/>
      <c r="C740" s="41" t="n"/>
      <c r="D740" s="42" t="n"/>
      <c r="E740" s="42" t="n"/>
      <c r="F740" s="50" t="n"/>
      <c r="G740" s="42" t="n"/>
      <c r="H740" s="30">
        <f>IF(D740="","",IFERROR(INDEX(Config!$B$12:$B$15,MATCH(IF(AND(D740="Cartão de crédito",N(E740)&gt;1),"Cartão de crédito parcelado",D740),Config!$A$12:$A$15,0)),0)+IF(AND(Config!$B$17="Sim",LEFT(D740,17)="Cartão de crédito"),Config!$B$18*IFERROR(INDEX(Config!$C$12:$C$15,MATCH(IF(AND(D740="Cartão de crédito",N(E740)&gt;1),"Cartão de crédito parcelado",D740),Config!$A$12:$A$15,0)),0)/30*MAX(1,N(E740)),0))</f>
        <v/>
      </c>
      <c r="I740" s="29">
        <f>IF(OR(D740="",F740=""),"",ROUND(F740*H740,2))</f>
        <v/>
      </c>
      <c r="J740" s="29">
        <f>IF(I740="","",F740-I740)</f>
        <v/>
      </c>
      <c r="K740" s="29">
        <f>IF(J740="","",J740/MAX(1,N(E740)))</f>
        <v/>
      </c>
      <c r="L740" s="37">
        <f>IF(OR(D740="",A740=""),"",A740+IF(AND(Config!$B$17="Sim",LEFT(D740,17)="Cartão de crédito"),1,IFERROR(INDEX(Config!$C$12:$C$15,MATCH(IF(AND(D740="Cartão de crédito",N(E740)&gt;1),"Cartão de crédito parcelado",D740),Config!$A$12:$A$15,0)),0)))</f>
        <v/>
      </c>
      <c r="M740" s="37">
        <f>IF(L740="","",IF(AND(Config!$B$17="Sim",LEFT(D740,17)="Cartão de crédito"),L740,L740+30*(MAX(1,N(E740))-1)))</f>
        <v/>
      </c>
      <c r="N740" s="29">
        <f>IF(OR(L740="",K740=""),"",K740*MIN(MAX(1,N(E740)),MAX(0,INT((Config!$B$8-L740)/30)+1)))</f>
        <v/>
      </c>
      <c r="O740" s="29">
        <f>IF(J740="","",J740-N(N740))</f>
        <v/>
      </c>
      <c r="P740" s="27">
        <f>IF(A740="","",MONTH(A740))</f>
        <v/>
      </c>
      <c r="Q740" s="27">
        <f>IF(A740="","",YEAR(A740))</f>
        <v/>
      </c>
      <c r="R740" s="27">
        <f>IF(L740="","",IF(L740&gt;Config!$B$8,"A cair",IF(N(G740)&gt;=MIN(MAX(1,N(E740)),MAX(0,INT((Config!$B$8-L740)/30)+1)),IF(N(G740)&gt;=MAX(1,N(E740)),"Conferido","Conferido até aqui"),"A conferir")))</f>
        <v/>
      </c>
      <c r="S740" s="51">
        <f>IF(R740="A conferir",(Config!$B$8-L740)*1000+N(F740)/1000+ROW()/100000,0)</f>
        <v>0</v>
      </c>
      <c r="T740" s="51">
        <f>IF(R740="A conferir",N(N740),0)</f>
        <v>0</v>
      </c>
      <c r="U740" s="51">
        <f>IF(L740="",0,L740)</f>
        <v>0</v>
      </c>
      <c r="V740" s="51">
        <f>IF(L740="",0,MAX(1,N(E740)))</f>
        <v>0</v>
      </c>
      <c r="W740" s="51">
        <f>IF(K740="",0,K740)</f>
        <v>0</v>
      </c>
    </row>
    <row r="741">
      <c r="A741" s="49" t="n"/>
      <c r="B741" s="41" t="n"/>
      <c r="C741" s="41" t="n"/>
      <c r="D741" s="42" t="n"/>
      <c r="E741" s="42" t="n"/>
      <c r="F741" s="50" t="n"/>
      <c r="G741" s="42" t="n"/>
      <c r="H741" s="30">
        <f>IF(D741="","",IFERROR(INDEX(Config!$B$12:$B$15,MATCH(IF(AND(D741="Cartão de crédito",N(E741)&gt;1),"Cartão de crédito parcelado",D741),Config!$A$12:$A$15,0)),0)+IF(AND(Config!$B$17="Sim",LEFT(D741,17)="Cartão de crédito"),Config!$B$18*IFERROR(INDEX(Config!$C$12:$C$15,MATCH(IF(AND(D741="Cartão de crédito",N(E741)&gt;1),"Cartão de crédito parcelado",D741),Config!$A$12:$A$15,0)),0)/30*MAX(1,N(E741)),0))</f>
        <v/>
      </c>
      <c r="I741" s="29">
        <f>IF(OR(D741="",F741=""),"",ROUND(F741*H741,2))</f>
        <v/>
      </c>
      <c r="J741" s="29">
        <f>IF(I741="","",F741-I741)</f>
        <v/>
      </c>
      <c r="K741" s="29">
        <f>IF(J741="","",J741/MAX(1,N(E741)))</f>
        <v/>
      </c>
      <c r="L741" s="37">
        <f>IF(OR(D741="",A741=""),"",A741+IF(AND(Config!$B$17="Sim",LEFT(D741,17)="Cartão de crédito"),1,IFERROR(INDEX(Config!$C$12:$C$15,MATCH(IF(AND(D741="Cartão de crédito",N(E741)&gt;1),"Cartão de crédito parcelado",D741),Config!$A$12:$A$15,0)),0)))</f>
        <v/>
      </c>
      <c r="M741" s="37">
        <f>IF(L741="","",IF(AND(Config!$B$17="Sim",LEFT(D741,17)="Cartão de crédito"),L741,L741+30*(MAX(1,N(E741))-1)))</f>
        <v/>
      </c>
      <c r="N741" s="29">
        <f>IF(OR(L741="",K741=""),"",K741*MIN(MAX(1,N(E741)),MAX(0,INT((Config!$B$8-L741)/30)+1)))</f>
        <v/>
      </c>
      <c r="O741" s="29">
        <f>IF(J741="","",J741-N(N741))</f>
        <v/>
      </c>
      <c r="P741" s="27">
        <f>IF(A741="","",MONTH(A741))</f>
        <v/>
      </c>
      <c r="Q741" s="27">
        <f>IF(A741="","",YEAR(A741))</f>
        <v/>
      </c>
      <c r="R741" s="27">
        <f>IF(L741="","",IF(L741&gt;Config!$B$8,"A cair",IF(N(G741)&gt;=MIN(MAX(1,N(E741)),MAX(0,INT((Config!$B$8-L741)/30)+1)),IF(N(G741)&gt;=MAX(1,N(E741)),"Conferido","Conferido até aqui"),"A conferir")))</f>
        <v/>
      </c>
      <c r="S741" s="51">
        <f>IF(R741="A conferir",(Config!$B$8-L741)*1000+N(F741)/1000+ROW()/100000,0)</f>
        <v>0</v>
      </c>
      <c r="T741" s="51">
        <f>IF(R741="A conferir",N(N741),0)</f>
        <v>0</v>
      </c>
      <c r="U741" s="51">
        <f>IF(L741="",0,L741)</f>
        <v>0</v>
      </c>
      <c r="V741" s="51">
        <f>IF(L741="",0,MAX(1,N(E741)))</f>
        <v>0</v>
      </c>
      <c r="W741" s="51">
        <f>IF(K741="",0,K741)</f>
        <v>0</v>
      </c>
    </row>
    <row r="742">
      <c r="A742" s="49" t="n"/>
      <c r="B742" s="41" t="n"/>
      <c r="C742" s="41" t="n"/>
      <c r="D742" s="42" t="n"/>
      <c r="E742" s="42" t="n"/>
      <c r="F742" s="50" t="n"/>
      <c r="G742" s="42" t="n"/>
      <c r="H742" s="30">
        <f>IF(D742="","",IFERROR(INDEX(Config!$B$12:$B$15,MATCH(IF(AND(D742="Cartão de crédito",N(E742)&gt;1),"Cartão de crédito parcelado",D742),Config!$A$12:$A$15,0)),0)+IF(AND(Config!$B$17="Sim",LEFT(D742,17)="Cartão de crédito"),Config!$B$18*IFERROR(INDEX(Config!$C$12:$C$15,MATCH(IF(AND(D742="Cartão de crédito",N(E742)&gt;1),"Cartão de crédito parcelado",D742),Config!$A$12:$A$15,0)),0)/30*MAX(1,N(E742)),0))</f>
        <v/>
      </c>
      <c r="I742" s="29">
        <f>IF(OR(D742="",F742=""),"",ROUND(F742*H742,2))</f>
        <v/>
      </c>
      <c r="J742" s="29">
        <f>IF(I742="","",F742-I742)</f>
        <v/>
      </c>
      <c r="K742" s="29">
        <f>IF(J742="","",J742/MAX(1,N(E742)))</f>
        <v/>
      </c>
      <c r="L742" s="37">
        <f>IF(OR(D742="",A742=""),"",A742+IF(AND(Config!$B$17="Sim",LEFT(D742,17)="Cartão de crédito"),1,IFERROR(INDEX(Config!$C$12:$C$15,MATCH(IF(AND(D742="Cartão de crédito",N(E742)&gt;1),"Cartão de crédito parcelado",D742),Config!$A$12:$A$15,0)),0)))</f>
        <v/>
      </c>
      <c r="M742" s="37">
        <f>IF(L742="","",IF(AND(Config!$B$17="Sim",LEFT(D742,17)="Cartão de crédito"),L742,L742+30*(MAX(1,N(E742))-1)))</f>
        <v/>
      </c>
      <c r="N742" s="29">
        <f>IF(OR(L742="",K742=""),"",K742*MIN(MAX(1,N(E742)),MAX(0,INT((Config!$B$8-L742)/30)+1)))</f>
        <v/>
      </c>
      <c r="O742" s="29">
        <f>IF(J742="","",J742-N(N742))</f>
        <v/>
      </c>
      <c r="P742" s="27">
        <f>IF(A742="","",MONTH(A742))</f>
        <v/>
      </c>
      <c r="Q742" s="27">
        <f>IF(A742="","",YEAR(A742))</f>
        <v/>
      </c>
      <c r="R742" s="27">
        <f>IF(L742="","",IF(L742&gt;Config!$B$8,"A cair",IF(N(G742)&gt;=MIN(MAX(1,N(E742)),MAX(0,INT((Config!$B$8-L742)/30)+1)),IF(N(G742)&gt;=MAX(1,N(E742)),"Conferido","Conferido até aqui"),"A conferir")))</f>
        <v/>
      </c>
      <c r="S742" s="51">
        <f>IF(R742="A conferir",(Config!$B$8-L742)*1000+N(F742)/1000+ROW()/100000,0)</f>
        <v>0</v>
      </c>
      <c r="T742" s="51">
        <f>IF(R742="A conferir",N(N742),0)</f>
        <v>0</v>
      </c>
      <c r="U742" s="51">
        <f>IF(L742="",0,L742)</f>
        <v>0</v>
      </c>
      <c r="V742" s="51">
        <f>IF(L742="",0,MAX(1,N(E742)))</f>
        <v>0</v>
      </c>
      <c r="W742" s="51">
        <f>IF(K742="",0,K742)</f>
        <v>0</v>
      </c>
    </row>
    <row r="743">
      <c r="A743" s="49" t="n"/>
      <c r="B743" s="41" t="n"/>
      <c r="C743" s="41" t="n"/>
      <c r="D743" s="42" t="n"/>
      <c r="E743" s="42" t="n"/>
      <c r="F743" s="50" t="n"/>
      <c r="G743" s="42" t="n"/>
      <c r="H743" s="30">
        <f>IF(D743="","",IFERROR(INDEX(Config!$B$12:$B$15,MATCH(IF(AND(D743="Cartão de crédito",N(E743)&gt;1),"Cartão de crédito parcelado",D743),Config!$A$12:$A$15,0)),0)+IF(AND(Config!$B$17="Sim",LEFT(D743,17)="Cartão de crédito"),Config!$B$18*IFERROR(INDEX(Config!$C$12:$C$15,MATCH(IF(AND(D743="Cartão de crédito",N(E743)&gt;1),"Cartão de crédito parcelado",D743),Config!$A$12:$A$15,0)),0)/30*MAX(1,N(E743)),0))</f>
        <v/>
      </c>
      <c r="I743" s="29">
        <f>IF(OR(D743="",F743=""),"",ROUND(F743*H743,2))</f>
        <v/>
      </c>
      <c r="J743" s="29">
        <f>IF(I743="","",F743-I743)</f>
        <v/>
      </c>
      <c r="K743" s="29">
        <f>IF(J743="","",J743/MAX(1,N(E743)))</f>
        <v/>
      </c>
      <c r="L743" s="37">
        <f>IF(OR(D743="",A743=""),"",A743+IF(AND(Config!$B$17="Sim",LEFT(D743,17)="Cartão de crédito"),1,IFERROR(INDEX(Config!$C$12:$C$15,MATCH(IF(AND(D743="Cartão de crédito",N(E743)&gt;1),"Cartão de crédito parcelado",D743),Config!$A$12:$A$15,0)),0)))</f>
        <v/>
      </c>
      <c r="M743" s="37">
        <f>IF(L743="","",IF(AND(Config!$B$17="Sim",LEFT(D743,17)="Cartão de crédito"),L743,L743+30*(MAX(1,N(E743))-1)))</f>
        <v/>
      </c>
      <c r="N743" s="29">
        <f>IF(OR(L743="",K743=""),"",K743*MIN(MAX(1,N(E743)),MAX(0,INT((Config!$B$8-L743)/30)+1)))</f>
        <v/>
      </c>
      <c r="O743" s="29">
        <f>IF(J743="","",J743-N(N743))</f>
        <v/>
      </c>
      <c r="P743" s="27">
        <f>IF(A743="","",MONTH(A743))</f>
        <v/>
      </c>
      <c r="Q743" s="27">
        <f>IF(A743="","",YEAR(A743))</f>
        <v/>
      </c>
      <c r="R743" s="27">
        <f>IF(L743="","",IF(L743&gt;Config!$B$8,"A cair",IF(N(G743)&gt;=MIN(MAX(1,N(E743)),MAX(0,INT((Config!$B$8-L743)/30)+1)),IF(N(G743)&gt;=MAX(1,N(E743)),"Conferido","Conferido até aqui"),"A conferir")))</f>
        <v/>
      </c>
      <c r="S743" s="51">
        <f>IF(R743="A conferir",(Config!$B$8-L743)*1000+N(F743)/1000+ROW()/100000,0)</f>
        <v>0</v>
      </c>
      <c r="T743" s="51">
        <f>IF(R743="A conferir",N(N743),0)</f>
        <v>0</v>
      </c>
      <c r="U743" s="51">
        <f>IF(L743="",0,L743)</f>
        <v>0</v>
      </c>
      <c r="V743" s="51">
        <f>IF(L743="",0,MAX(1,N(E743)))</f>
        <v>0</v>
      </c>
      <c r="W743" s="51">
        <f>IF(K743="",0,K743)</f>
        <v>0</v>
      </c>
    </row>
    <row r="744">
      <c r="A744" s="49" t="n"/>
      <c r="B744" s="41" t="n"/>
      <c r="C744" s="41" t="n"/>
      <c r="D744" s="42" t="n"/>
      <c r="E744" s="42" t="n"/>
      <c r="F744" s="50" t="n"/>
      <c r="G744" s="42" t="n"/>
      <c r="H744" s="30">
        <f>IF(D744="","",IFERROR(INDEX(Config!$B$12:$B$15,MATCH(IF(AND(D744="Cartão de crédito",N(E744)&gt;1),"Cartão de crédito parcelado",D744),Config!$A$12:$A$15,0)),0)+IF(AND(Config!$B$17="Sim",LEFT(D744,17)="Cartão de crédito"),Config!$B$18*IFERROR(INDEX(Config!$C$12:$C$15,MATCH(IF(AND(D744="Cartão de crédito",N(E744)&gt;1),"Cartão de crédito parcelado",D744),Config!$A$12:$A$15,0)),0)/30*MAX(1,N(E744)),0))</f>
        <v/>
      </c>
      <c r="I744" s="29">
        <f>IF(OR(D744="",F744=""),"",ROUND(F744*H744,2))</f>
        <v/>
      </c>
      <c r="J744" s="29">
        <f>IF(I744="","",F744-I744)</f>
        <v/>
      </c>
      <c r="K744" s="29">
        <f>IF(J744="","",J744/MAX(1,N(E744)))</f>
        <v/>
      </c>
      <c r="L744" s="37">
        <f>IF(OR(D744="",A744=""),"",A744+IF(AND(Config!$B$17="Sim",LEFT(D744,17)="Cartão de crédito"),1,IFERROR(INDEX(Config!$C$12:$C$15,MATCH(IF(AND(D744="Cartão de crédito",N(E744)&gt;1),"Cartão de crédito parcelado",D744),Config!$A$12:$A$15,0)),0)))</f>
        <v/>
      </c>
      <c r="M744" s="37">
        <f>IF(L744="","",IF(AND(Config!$B$17="Sim",LEFT(D744,17)="Cartão de crédito"),L744,L744+30*(MAX(1,N(E744))-1)))</f>
        <v/>
      </c>
      <c r="N744" s="29">
        <f>IF(OR(L744="",K744=""),"",K744*MIN(MAX(1,N(E744)),MAX(0,INT((Config!$B$8-L744)/30)+1)))</f>
        <v/>
      </c>
      <c r="O744" s="29">
        <f>IF(J744="","",J744-N(N744))</f>
        <v/>
      </c>
      <c r="P744" s="27">
        <f>IF(A744="","",MONTH(A744))</f>
        <v/>
      </c>
      <c r="Q744" s="27">
        <f>IF(A744="","",YEAR(A744))</f>
        <v/>
      </c>
      <c r="R744" s="27">
        <f>IF(L744="","",IF(L744&gt;Config!$B$8,"A cair",IF(N(G744)&gt;=MIN(MAX(1,N(E744)),MAX(0,INT((Config!$B$8-L744)/30)+1)),IF(N(G744)&gt;=MAX(1,N(E744)),"Conferido","Conferido até aqui"),"A conferir")))</f>
        <v/>
      </c>
      <c r="S744" s="51">
        <f>IF(R744="A conferir",(Config!$B$8-L744)*1000+N(F744)/1000+ROW()/100000,0)</f>
        <v>0</v>
      </c>
      <c r="T744" s="51">
        <f>IF(R744="A conferir",N(N744),0)</f>
        <v>0</v>
      </c>
      <c r="U744" s="51">
        <f>IF(L744="",0,L744)</f>
        <v>0</v>
      </c>
      <c r="V744" s="51">
        <f>IF(L744="",0,MAX(1,N(E744)))</f>
        <v>0</v>
      </c>
      <c r="W744" s="51">
        <f>IF(K744="",0,K744)</f>
        <v>0</v>
      </c>
    </row>
    <row r="745">
      <c r="A745" s="49" t="n"/>
      <c r="B745" s="41" t="n"/>
      <c r="C745" s="41" t="n"/>
      <c r="D745" s="42" t="n"/>
      <c r="E745" s="42" t="n"/>
      <c r="F745" s="50" t="n"/>
      <c r="G745" s="42" t="n"/>
      <c r="H745" s="30">
        <f>IF(D745="","",IFERROR(INDEX(Config!$B$12:$B$15,MATCH(IF(AND(D745="Cartão de crédito",N(E745)&gt;1),"Cartão de crédito parcelado",D745),Config!$A$12:$A$15,0)),0)+IF(AND(Config!$B$17="Sim",LEFT(D745,17)="Cartão de crédito"),Config!$B$18*IFERROR(INDEX(Config!$C$12:$C$15,MATCH(IF(AND(D745="Cartão de crédito",N(E745)&gt;1),"Cartão de crédito parcelado",D745),Config!$A$12:$A$15,0)),0)/30*MAX(1,N(E745)),0))</f>
        <v/>
      </c>
      <c r="I745" s="29">
        <f>IF(OR(D745="",F745=""),"",ROUND(F745*H745,2))</f>
        <v/>
      </c>
      <c r="J745" s="29">
        <f>IF(I745="","",F745-I745)</f>
        <v/>
      </c>
      <c r="K745" s="29">
        <f>IF(J745="","",J745/MAX(1,N(E745)))</f>
        <v/>
      </c>
      <c r="L745" s="37">
        <f>IF(OR(D745="",A745=""),"",A745+IF(AND(Config!$B$17="Sim",LEFT(D745,17)="Cartão de crédito"),1,IFERROR(INDEX(Config!$C$12:$C$15,MATCH(IF(AND(D745="Cartão de crédito",N(E745)&gt;1),"Cartão de crédito parcelado",D745),Config!$A$12:$A$15,0)),0)))</f>
        <v/>
      </c>
      <c r="M745" s="37">
        <f>IF(L745="","",IF(AND(Config!$B$17="Sim",LEFT(D745,17)="Cartão de crédito"),L745,L745+30*(MAX(1,N(E745))-1)))</f>
        <v/>
      </c>
      <c r="N745" s="29">
        <f>IF(OR(L745="",K745=""),"",K745*MIN(MAX(1,N(E745)),MAX(0,INT((Config!$B$8-L745)/30)+1)))</f>
        <v/>
      </c>
      <c r="O745" s="29">
        <f>IF(J745="","",J745-N(N745))</f>
        <v/>
      </c>
      <c r="P745" s="27">
        <f>IF(A745="","",MONTH(A745))</f>
        <v/>
      </c>
      <c r="Q745" s="27">
        <f>IF(A745="","",YEAR(A745))</f>
        <v/>
      </c>
      <c r="R745" s="27">
        <f>IF(L745="","",IF(L745&gt;Config!$B$8,"A cair",IF(N(G745)&gt;=MIN(MAX(1,N(E745)),MAX(0,INT((Config!$B$8-L745)/30)+1)),IF(N(G745)&gt;=MAX(1,N(E745)),"Conferido","Conferido até aqui"),"A conferir")))</f>
        <v/>
      </c>
      <c r="S745" s="51">
        <f>IF(R745="A conferir",(Config!$B$8-L745)*1000+N(F745)/1000+ROW()/100000,0)</f>
        <v>0</v>
      </c>
      <c r="T745" s="51">
        <f>IF(R745="A conferir",N(N745),0)</f>
        <v>0</v>
      </c>
      <c r="U745" s="51">
        <f>IF(L745="",0,L745)</f>
        <v>0</v>
      </c>
      <c r="V745" s="51">
        <f>IF(L745="",0,MAX(1,N(E745)))</f>
        <v>0</v>
      </c>
      <c r="W745" s="51">
        <f>IF(K745="",0,K745)</f>
        <v>0</v>
      </c>
    </row>
    <row r="746">
      <c r="A746" s="49" t="n"/>
      <c r="B746" s="41" t="n"/>
      <c r="C746" s="41" t="n"/>
      <c r="D746" s="42" t="n"/>
      <c r="E746" s="42" t="n"/>
      <c r="F746" s="50" t="n"/>
      <c r="G746" s="42" t="n"/>
      <c r="H746" s="30">
        <f>IF(D746="","",IFERROR(INDEX(Config!$B$12:$B$15,MATCH(IF(AND(D746="Cartão de crédito",N(E746)&gt;1),"Cartão de crédito parcelado",D746),Config!$A$12:$A$15,0)),0)+IF(AND(Config!$B$17="Sim",LEFT(D746,17)="Cartão de crédito"),Config!$B$18*IFERROR(INDEX(Config!$C$12:$C$15,MATCH(IF(AND(D746="Cartão de crédito",N(E746)&gt;1),"Cartão de crédito parcelado",D746),Config!$A$12:$A$15,0)),0)/30*MAX(1,N(E746)),0))</f>
        <v/>
      </c>
      <c r="I746" s="29">
        <f>IF(OR(D746="",F746=""),"",ROUND(F746*H746,2))</f>
        <v/>
      </c>
      <c r="J746" s="29">
        <f>IF(I746="","",F746-I746)</f>
        <v/>
      </c>
      <c r="K746" s="29">
        <f>IF(J746="","",J746/MAX(1,N(E746)))</f>
        <v/>
      </c>
      <c r="L746" s="37">
        <f>IF(OR(D746="",A746=""),"",A746+IF(AND(Config!$B$17="Sim",LEFT(D746,17)="Cartão de crédito"),1,IFERROR(INDEX(Config!$C$12:$C$15,MATCH(IF(AND(D746="Cartão de crédito",N(E746)&gt;1),"Cartão de crédito parcelado",D746),Config!$A$12:$A$15,0)),0)))</f>
        <v/>
      </c>
      <c r="M746" s="37">
        <f>IF(L746="","",IF(AND(Config!$B$17="Sim",LEFT(D746,17)="Cartão de crédito"),L746,L746+30*(MAX(1,N(E746))-1)))</f>
        <v/>
      </c>
      <c r="N746" s="29">
        <f>IF(OR(L746="",K746=""),"",K746*MIN(MAX(1,N(E746)),MAX(0,INT((Config!$B$8-L746)/30)+1)))</f>
        <v/>
      </c>
      <c r="O746" s="29">
        <f>IF(J746="","",J746-N(N746))</f>
        <v/>
      </c>
      <c r="P746" s="27">
        <f>IF(A746="","",MONTH(A746))</f>
        <v/>
      </c>
      <c r="Q746" s="27">
        <f>IF(A746="","",YEAR(A746))</f>
        <v/>
      </c>
      <c r="R746" s="27">
        <f>IF(L746="","",IF(L746&gt;Config!$B$8,"A cair",IF(N(G746)&gt;=MIN(MAX(1,N(E746)),MAX(0,INT((Config!$B$8-L746)/30)+1)),IF(N(G746)&gt;=MAX(1,N(E746)),"Conferido","Conferido até aqui"),"A conferir")))</f>
        <v/>
      </c>
      <c r="S746" s="51">
        <f>IF(R746="A conferir",(Config!$B$8-L746)*1000+N(F746)/1000+ROW()/100000,0)</f>
        <v>0</v>
      </c>
      <c r="T746" s="51">
        <f>IF(R746="A conferir",N(N746),0)</f>
        <v>0</v>
      </c>
      <c r="U746" s="51">
        <f>IF(L746="",0,L746)</f>
        <v>0</v>
      </c>
      <c r="V746" s="51">
        <f>IF(L746="",0,MAX(1,N(E746)))</f>
        <v>0</v>
      </c>
      <c r="W746" s="51">
        <f>IF(K746="",0,K746)</f>
        <v>0</v>
      </c>
    </row>
    <row r="747">
      <c r="A747" s="49" t="n"/>
      <c r="B747" s="41" t="n"/>
      <c r="C747" s="41" t="n"/>
      <c r="D747" s="42" t="n"/>
      <c r="E747" s="42" t="n"/>
      <c r="F747" s="50" t="n"/>
      <c r="G747" s="42" t="n"/>
      <c r="H747" s="30">
        <f>IF(D747="","",IFERROR(INDEX(Config!$B$12:$B$15,MATCH(IF(AND(D747="Cartão de crédito",N(E747)&gt;1),"Cartão de crédito parcelado",D747),Config!$A$12:$A$15,0)),0)+IF(AND(Config!$B$17="Sim",LEFT(D747,17)="Cartão de crédito"),Config!$B$18*IFERROR(INDEX(Config!$C$12:$C$15,MATCH(IF(AND(D747="Cartão de crédito",N(E747)&gt;1),"Cartão de crédito parcelado",D747),Config!$A$12:$A$15,0)),0)/30*MAX(1,N(E747)),0))</f>
        <v/>
      </c>
      <c r="I747" s="29">
        <f>IF(OR(D747="",F747=""),"",ROUND(F747*H747,2))</f>
        <v/>
      </c>
      <c r="J747" s="29">
        <f>IF(I747="","",F747-I747)</f>
        <v/>
      </c>
      <c r="K747" s="29">
        <f>IF(J747="","",J747/MAX(1,N(E747)))</f>
        <v/>
      </c>
      <c r="L747" s="37">
        <f>IF(OR(D747="",A747=""),"",A747+IF(AND(Config!$B$17="Sim",LEFT(D747,17)="Cartão de crédito"),1,IFERROR(INDEX(Config!$C$12:$C$15,MATCH(IF(AND(D747="Cartão de crédito",N(E747)&gt;1),"Cartão de crédito parcelado",D747),Config!$A$12:$A$15,0)),0)))</f>
        <v/>
      </c>
      <c r="M747" s="37">
        <f>IF(L747="","",IF(AND(Config!$B$17="Sim",LEFT(D747,17)="Cartão de crédito"),L747,L747+30*(MAX(1,N(E747))-1)))</f>
        <v/>
      </c>
      <c r="N747" s="29">
        <f>IF(OR(L747="",K747=""),"",K747*MIN(MAX(1,N(E747)),MAX(0,INT((Config!$B$8-L747)/30)+1)))</f>
        <v/>
      </c>
      <c r="O747" s="29">
        <f>IF(J747="","",J747-N(N747))</f>
        <v/>
      </c>
      <c r="P747" s="27">
        <f>IF(A747="","",MONTH(A747))</f>
        <v/>
      </c>
      <c r="Q747" s="27">
        <f>IF(A747="","",YEAR(A747))</f>
        <v/>
      </c>
      <c r="R747" s="27">
        <f>IF(L747="","",IF(L747&gt;Config!$B$8,"A cair",IF(N(G747)&gt;=MIN(MAX(1,N(E747)),MAX(0,INT((Config!$B$8-L747)/30)+1)),IF(N(G747)&gt;=MAX(1,N(E747)),"Conferido","Conferido até aqui"),"A conferir")))</f>
        <v/>
      </c>
      <c r="S747" s="51">
        <f>IF(R747="A conferir",(Config!$B$8-L747)*1000+N(F747)/1000+ROW()/100000,0)</f>
        <v>0</v>
      </c>
      <c r="T747" s="51">
        <f>IF(R747="A conferir",N(N747),0)</f>
        <v>0</v>
      </c>
      <c r="U747" s="51">
        <f>IF(L747="",0,L747)</f>
        <v>0</v>
      </c>
      <c r="V747" s="51">
        <f>IF(L747="",0,MAX(1,N(E747)))</f>
        <v>0</v>
      </c>
      <c r="W747" s="51">
        <f>IF(K747="",0,K747)</f>
        <v>0</v>
      </c>
    </row>
    <row r="748">
      <c r="A748" s="49" t="n"/>
      <c r="B748" s="41" t="n"/>
      <c r="C748" s="41" t="n"/>
      <c r="D748" s="42" t="n"/>
      <c r="E748" s="42" t="n"/>
      <c r="F748" s="50" t="n"/>
      <c r="G748" s="42" t="n"/>
      <c r="H748" s="30">
        <f>IF(D748="","",IFERROR(INDEX(Config!$B$12:$B$15,MATCH(IF(AND(D748="Cartão de crédito",N(E748)&gt;1),"Cartão de crédito parcelado",D748),Config!$A$12:$A$15,0)),0)+IF(AND(Config!$B$17="Sim",LEFT(D748,17)="Cartão de crédito"),Config!$B$18*IFERROR(INDEX(Config!$C$12:$C$15,MATCH(IF(AND(D748="Cartão de crédito",N(E748)&gt;1),"Cartão de crédito parcelado",D748),Config!$A$12:$A$15,0)),0)/30*MAX(1,N(E748)),0))</f>
        <v/>
      </c>
      <c r="I748" s="29">
        <f>IF(OR(D748="",F748=""),"",ROUND(F748*H748,2))</f>
        <v/>
      </c>
      <c r="J748" s="29">
        <f>IF(I748="","",F748-I748)</f>
        <v/>
      </c>
      <c r="K748" s="29">
        <f>IF(J748="","",J748/MAX(1,N(E748)))</f>
        <v/>
      </c>
      <c r="L748" s="37">
        <f>IF(OR(D748="",A748=""),"",A748+IF(AND(Config!$B$17="Sim",LEFT(D748,17)="Cartão de crédito"),1,IFERROR(INDEX(Config!$C$12:$C$15,MATCH(IF(AND(D748="Cartão de crédito",N(E748)&gt;1),"Cartão de crédito parcelado",D748),Config!$A$12:$A$15,0)),0)))</f>
        <v/>
      </c>
      <c r="M748" s="37">
        <f>IF(L748="","",IF(AND(Config!$B$17="Sim",LEFT(D748,17)="Cartão de crédito"),L748,L748+30*(MAX(1,N(E748))-1)))</f>
        <v/>
      </c>
      <c r="N748" s="29">
        <f>IF(OR(L748="",K748=""),"",K748*MIN(MAX(1,N(E748)),MAX(0,INT((Config!$B$8-L748)/30)+1)))</f>
        <v/>
      </c>
      <c r="O748" s="29">
        <f>IF(J748="","",J748-N(N748))</f>
        <v/>
      </c>
      <c r="P748" s="27">
        <f>IF(A748="","",MONTH(A748))</f>
        <v/>
      </c>
      <c r="Q748" s="27">
        <f>IF(A748="","",YEAR(A748))</f>
        <v/>
      </c>
      <c r="R748" s="27">
        <f>IF(L748="","",IF(L748&gt;Config!$B$8,"A cair",IF(N(G748)&gt;=MIN(MAX(1,N(E748)),MAX(0,INT((Config!$B$8-L748)/30)+1)),IF(N(G748)&gt;=MAX(1,N(E748)),"Conferido","Conferido até aqui"),"A conferir")))</f>
        <v/>
      </c>
      <c r="S748" s="51">
        <f>IF(R748="A conferir",(Config!$B$8-L748)*1000+N(F748)/1000+ROW()/100000,0)</f>
        <v>0</v>
      </c>
      <c r="T748" s="51">
        <f>IF(R748="A conferir",N(N748),0)</f>
        <v>0</v>
      </c>
      <c r="U748" s="51">
        <f>IF(L748="",0,L748)</f>
        <v>0</v>
      </c>
      <c r="V748" s="51">
        <f>IF(L748="",0,MAX(1,N(E748)))</f>
        <v>0</v>
      </c>
      <c r="W748" s="51">
        <f>IF(K748="",0,K748)</f>
        <v>0</v>
      </c>
    </row>
    <row r="749">
      <c r="A749" s="49" t="n"/>
      <c r="B749" s="41" t="n"/>
      <c r="C749" s="41" t="n"/>
      <c r="D749" s="42" t="n"/>
      <c r="E749" s="42" t="n"/>
      <c r="F749" s="50" t="n"/>
      <c r="G749" s="42" t="n"/>
      <c r="H749" s="30">
        <f>IF(D749="","",IFERROR(INDEX(Config!$B$12:$B$15,MATCH(IF(AND(D749="Cartão de crédito",N(E749)&gt;1),"Cartão de crédito parcelado",D749),Config!$A$12:$A$15,0)),0)+IF(AND(Config!$B$17="Sim",LEFT(D749,17)="Cartão de crédito"),Config!$B$18*IFERROR(INDEX(Config!$C$12:$C$15,MATCH(IF(AND(D749="Cartão de crédito",N(E749)&gt;1),"Cartão de crédito parcelado",D749),Config!$A$12:$A$15,0)),0)/30*MAX(1,N(E749)),0))</f>
        <v/>
      </c>
      <c r="I749" s="29">
        <f>IF(OR(D749="",F749=""),"",ROUND(F749*H749,2))</f>
        <v/>
      </c>
      <c r="J749" s="29">
        <f>IF(I749="","",F749-I749)</f>
        <v/>
      </c>
      <c r="K749" s="29">
        <f>IF(J749="","",J749/MAX(1,N(E749)))</f>
        <v/>
      </c>
      <c r="L749" s="37">
        <f>IF(OR(D749="",A749=""),"",A749+IF(AND(Config!$B$17="Sim",LEFT(D749,17)="Cartão de crédito"),1,IFERROR(INDEX(Config!$C$12:$C$15,MATCH(IF(AND(D749="Cartão de crédito",N(E749)&gt;1),"Cartão de crédito parcelado",D749),Config!$A$12:$A$15,0)),0)))</f>
        <v/>
      </c>
      <c r="M749" s="37">
        <f>IF(L749="","",IF(AND(Config!$B$17="Sim",LEFT(D749,17)="Cartão de crédito"),L749,L749+30*(MAX(1,N(E749))-1)))</f>
        <v/>
      </c>
      <c r="N749" s="29">
        <f>IF(OR(L749="",K749=""),"",K749*MIN(MAX(1,N(E749)),MAX(0,INT((Config!$B$8-L749)/30)+1)))</f>
        <v/>
      </c>
      <c r="O749" s="29">
        <f>IF(J749="","",J749-N(N749))</f>
        <v/>
      </c>
      <c r="P749" s="27">
        <f>IF(A749="","",MONTH(A749))</f>
        <v/>
      </c>
      <c r="Q749" s="27">
        <f>IF(A749="","",YEAR(A749))</f>
        <v/>
      </c>
      <c r="R749" s="27">
        <f>IF(L749="","",IF(L749&gt;Config!$B$8,"A cair",IF(N(G749)&gt;=MIN(MAX(1,N(E749)),MAX(0,INT((Config!$B$8-L749)/30)+1)),IF(N(G749)&gt;=MAX(1,N(E749)),"Conferido","Conferido até aqui"),"A conferir")))</f>
        <v/>
      </c>
      <c r="S749" s="51">
        <f>IF(R749="A conferir",(Config!$B$8-L749)*1000+N(F749)/1000+ROW()/100000,0)</f>
        <v>0</v>
      </c>
      <c r="T749" s="51">
        <f>IF(R749="A conferir",N(N749),0)</f>
        <v>0</v>
      </c>
      <c r="U749" s="51">
        <f>IF(L749="",0,L749)</f>
        <v>0</v>
      </c>
      <c r="V749" s="51">
        <f>IF(L749="",0,MAX(1,N(E749)))</f>
        <v>0</v>
      </c>
      <c r="W749" s="51">
        <f>IF(K749="",0,K749)</f>
        <v>0</v>
      </c>
    </row>
    <row r="750">
      <c r="A750" s="49" t="n"/>
      <c r="B750" s="41" t="n"/>
      <c r="C750" s="41" t="n"/>
      <c r="D750" s="42" t="n"/>
      <c r="E750" s="42" t="n"/>
      <c r="F750" s="50" t="n"/>
      <c r="G750" s="42" t="n"/>
      <c r="H750" s="30">
        <f>IF(D750="","",IFERROR(INDEX(Config!$B$12:$B$15,MATCH(IF(AND(D750="Cartão de crédito",N(E750)&gt;1),"Cartão de crédito parcelado",D750),Config!$A$12:$A$15,0)),0)+IF(AND(Config!$B$17="Sim",LEFT(D750,17)="Cartão de crédito"),Config!$B$18*IFERROR(INDEX(Config!$C$12:$C$15,MATCH(IF(AND(D750="Cartão de crédito",N(E750)&gt;1),"Cartão de crédito parcelado",D750),Config!$A$12:$A$15,0)),0)/30*MAX(1,N(E750)),0))</f>
        <v/>
      </c>
      <c r="I750" s="29">
        <f>IF(OR(D750="",F750=""),"",ROUND(F750*H750,2))</f>
        <v/>
      </c>
      <c r="J750" s="29">
        <f>IF(I750="","",F750-I750)</f>
        <v/>
      </c>
      <c r="K750" s="29">
        <f>IF(J750="","",J750/MAX(1,N(E750)))</f>
        <v/>
      </c>
      <c r="L750" s="37">
        <f>IF(OR(D750="",A750=""),"",A750+IF(AND(Config!$B$17="Sim",LEFT(D750,17)="Cartão de crédito"),1,IFERROR(INDEX(Config!$C$12:$C$15,MATCH(IF(AND(D750="Cartão de crédito",N(E750)&gt;1),"Cartão de crédito parcelado",D750),Config!$A$12:$A$15,0)),0)))</f>
        <v/>
      </c>
      <c r="M750" s="37">
        <f>IF(L750="","",IF(AND(Config!$B$17="Sim",LEFT(D750,17)="Cartão de crédito"),L750,L750+30*(MAX(1,N(E750))-1)))</f>
        <v/>
      </c>
      <c r="N750" s="29">
        <f>IF(OR(L750="",K750=""),"",K750*MIN(MAX(1,N(E750)),MAX(0,INT((Config!$B$8-L750)/30)+1)))</f>
        <v/>
      </c>
      <c r="O750" s="29">
        <f>IF(J750="","",J750-N(N750))</f>
        <v/>
      </c>
      <c r="P750" s="27">
        <f>IF(A750="","",MONTH(A750))</f>
        <v/>
      </c>
      <c r="Q750" s="27">
        <f>IF(A750="","",YEAR(A750))</f>
        <v/>
      </c>
      <c r="R750" s="27">
        <f>IF(L750="","",IF(L750&gt;Config!$B$8,"A cair",IF(N(G750)&gt;=MIN(MAX(1,N(E750)),MAX(0,INT((Config!$B$8-L750)/30)+1)),IF(N(G750)&gt;=MAX(1,N(E750)),"Conferido","Conferido até aqui"),"A conferir")))</f>
        <v/>
      </c>
      <c r="S750" s="51">
        <f>IF(R750="A conferir",(Config!$B$8-L750)*1000+N(F750)/1000+ROW()/100000,0)</f>
        <v>0</v>
      </c>
      <c r="T750" s="51">
        <f>IF(R750="A conferir",N(N750),0)</f>
        <v>0</v>
      </c>
      <c r="U750" s="51">
        <f>IF(L750="",0,L750)</f>
        <v>0</v>
      </c>
      <c r="V750" s="51">
        <f>IF(L750="",0,MAX(1,N(E750)))</f>
        <v>0</v>
      </c>
      <c r="W750" s="51">
        <f>IF(K750="",0,K750)</f>
        <v>0</v>
      </c>
    </row>
    <row r="751">
      <c r="A751" s="49" t="n"/>
      <c r="B751" s="41" t="n"/>
      <c r="C751" s="41" t="n"/>
      <c r="D751" s="42" t="n"/>
      <c r="E751" s="42" t="n"/>
      <c r="F751" s="50" t="n"/>
      <c r="G751" s="42" t="n"/>
      <c r="H751" s="30">
        <f>IF(D751="","",IFERROR(INDEX(Config!$B$12:$B$15,MATCH(IF(AND(D751="Cartão de crédito",N(E751)&gt;1),"Cartão de crédito parcelado",D751),Config!$A$12:$A$15,0)),0)+IF(AND(Config!$B$17="Sim",LEFT(D751,17)="Cartão de crédito"),Config!$B$18*IFERROR(INDEX(Config!$C$12:$C$15,MATCH(IF(AND(D751="Cartão de crédito",N(E751)&gt;1),"Cartão de crédito parcelado",D751),Config!$A$12:$A$15,0)),0)/30*MAX(1,N(E751)),0))</f>
        <v/>
      </c>
      <c r="I751" s="29">
        <f>IF(OR(D751="",F751=""),"",ROUND(F751*H751,2))</f>
        <v/>
      </c>
      <c r="J751" s="29">
        <f>IF(I751="","",F751-I751)</f>
        <v/>
      </c>
      <c r="K751" s="29">
        <f>IF(J751="","",J751/MAX(1,N(E751)))</f>
        <v/>
      </c>
      <c r="L751" s="37">
        <f>IF(OR(D751="",A751=""),"",A751+IF(AND(Config!$B$17="Sim",LEFT(D751,17)="Cartão de crédito"),1,IFERROR(INDEX(Config!$C$12:$C$15,MATCH(IF(AND(D751="Cartão de crédito",N(E751)&gt;1),"Cartão de crédito parcelado",D751),Config!$A$12:$A$15,0)),0)))</f>
        <v/>
      </c>
      <c r="M751" s="37">
        <f>IF(L751="","",IF(AND(Config!$B$17="Sim",LEFT(D751,17)="Cartão de crédito"),L751,L751+30*(MAX(1,N(E751))-1)))</f>
        <v/>
      </c>
      <c r="N751" s="29">
        <f>IF(OR(L751="",K751=""),"",K751*MIN(MAX(1,N(E751)),MAX(0,INT((Config!$B$8-L751)/30)+1)))</f>
        <v/>
      </c>
      <c r="O751" s="29">
        <f>IF(J751="","",J751-N(N751))</f>
        <v/>
      </c>
      <c r="P751" s="27">
        <f>IF(A751="","",MONTH(A751))</f>
        <v/>
      </c>
      <c r="Q751" s="27">
        <f>IF(A751="","",YEAR(A751))</f>
        <v/>
      </c>
      <c r="R751" s="27">
        <f>IF(L751="","",IF(L751&gt;Config!$B$8,"A cair",IF(N(G751)&gt;=MIN(MAX(1,N(E751)),MAX(0,INT((Config!$B$8-L751)/30)+1)),IF(N(G751)&gt;=MAX(1,N(E751)),"Conferido","Conferido até aqui"),"A conferir")))</f>
        <v/>
      </c>
      <c r="S751" s="51">
        <f>IF(R751="A conferir",(Config!$B$8-L751)*1000+N(F751)/1000+ROW()/100000,0)</f>
        <v>0</v>
      </c>
      <c r="T751" s="51">
        <f>IF(R751="A conferir",N(N751),0)</f>
        <v>0</v>
      </c>
      <c r="U751" s="51">
        <f>IF(L751="",0,L751)</f>
        <v>0</v>
      </c>
      <c r="V751" s="51">
        <f>IF(L751="",0,MAX(1,N(E751)))</f>
        <v>0</v>
      </c>
      <c r="W751" s="51">
        <f>IF(K751="",0,K751)</f>
        <v>0</v>
      </c>
    </row>
    <row r="752">
      <c r="A752" s="49" t="n"/>
      <c r="B752" s="41" t="n"/>
      <c r="C752" s="41" t="n"/>
      <c r="D752" s="42" t="n"/>
      <c r="E752" s="42" t="n"/>
      <c r="F752" s="50" t="n"/>
      <c r="G752" s="42" t="n"/>
      <c r="H752" s="30">
        <f>IF(D752="","",IFERROR(INDEX(Config!$B$12:$B$15,MATCH(IF(AND(D752="Cartão de crédito",N(E752)&gt;1),"Cartão de crédito parcelado",D752),Config!$A$12:$A$15,0)),0)+IF(AND(Config!$B$17="Sim",LEFT(D752,17)="Cartão de crédito"),Config!$B$18*IFERROR(INDEX(Config!$C$12:$C$15,MATCH(IF(AND(D752="Cartão de crédito",N(E752)&gt;1),"Cartão de crédito parcelado",D752),Config!$A$12:$A$15,0)),0)/30*MAX(1,N(E752)),0))</f>
        <v/>
      </c>
      <c r="I752" s="29">
        <f>IF(OR(D752="",F752=""),"",ROUND(F752*H752,2))</f>
        <v/>
      </c>
      <c r="J752" s="29">
        <f>IF(I752="","",F752-I752)</f>
        <v/>
      </c>
      <c r="K752" s="29">
        <f>IF(J752="","",J752/MAX(1,N(E752)))</f>
        <v/>
      </c>
      <c r="L752" s="37">
        <f>IF(OR(D752="",A752=""),"",A752+IF(AND(Config!$B$17="Sim",LEFT(D752,17)="Cartão de crédito"),1,IFERROR(INDEX(Config!$C$12:$C$15,MATCH(IF(AND(D752="Cartão de crédito",N(E752)&gt;1),"Cartão de crédito parcelado",D752),Config!$A$12:$A$15,0)),0)))</f>
        <v/>
      </c>
      <c r="M752" s="37">
        <f>IF(L752="","",IF(AND(Config!$B$17="Sim",LEFT(D752,17)="Cartão de crédito"),L752,L752+30*(MAX(1,N(E752))-1)))</f>
        <v/>
      </c>
      <c r="N752" s="29">
        <f>IF(OR(L752="",K752=""),"",K752*MIN(MAX(1,N(E752)),MAX(0,INT((Config!$B$8-L752)/30)+1)))</f>
        <v/>
      </c>
      <c r="O752" s="29">
        <f>IF(J752="","",J752-N(N752))</f>
        <v/>
      </c>
      <c r="P752" s="27">
        <f>IF(A752="","",MONTH(A752))</f>
        <v/>
      </c>
      <c r="Q752" s="27">
        <f>IF(A752="","",YEAR(A752))</f>
        <v/>
      </c>
      <c r="R752" s="27">
        <f>IF(L752="","",IF(L752&gt;Config!$B$8,"A cair",IF(N(G752)&gt;=MIN(MAX(1,N(E752)),MAX(0,INT((Config!$B$8-L752)/30)+1)),IF(N(G752)&gt;=MAX(1,N(E752)),"Conferido","Conferido até aqui"),"A conferir")))</f>
        <v/>
      </c>
      <c r="S752" s="51">
        <f>IF(R752="A conferir",(Config!$B$8-L752)*1000+N(F752)/1000+ROW()/100000,0)</f>
        <v>0</v>
      </c>
      <c r="T752" s="51">
        <f>IF(R752="A conferir",N(N752),0)</f>
        <v>0</v>
      </c>
      <c r="U752" s="51">
        <f>IF(L752="",0,L752)</f>
        <v>0</v>
      </c>
      <c r="V752" s="51">
        <f>IF(L752="",0,MAX(1,N(E752)))</f>
        <v>0</v>
      </c>
      <c r="W752" s="51">
        <f>IF(K752="",0,K752)</f>
        <v>0</v>
      </c>
    </row>
    <row r="753">
      <c r="A753" s="49" t="n"/>
      <c r="B753" s="41" t="n"/>
      <c r="C753" s="41" t="n"/>
      <c r="D753" s="42" t="n"/>
      <c r="E753" s="42" t="n"/>
      <c r="F753" s="50" t="n"/>
      <c r="G753" s="42" t="n"/>
      <c r="H753" s="30">
        <f>IF(D753="","",IFERROR(INDEX(Config!$B$12:$B$15,MATCH(IF(AND(D753="Cartão de crédito",N(E753)&gt;1),"Cartão de crédito parcelado",D753),Config!$A$12:$A$15,0)),0)+IF(AND(Config!$B$17="Sim",LEFT(D753,17)="Cartão de crédito"),Config!$B$18*IFERROR(INDEX(Config!$C$12:$C$15,MATCH(IF(AND(D753="Cartão de crédito",N(E753)&gt;1),"Cartão de crédito parcelado",D753),Config!$A$12:$A$15,0)),0)/30*MAX(1,N(E753)),0))</f>
        <v/>
      </c>
      <c r="I753" s="29">
        <f>IF(OR(D753="",F753=""),"",ROUND(F753*H753,2))</f>
        <v/>
      </c>
      <c r="J753" s="29">
        <f>IF(I753="","",F753-I753)</f>
        <v/>
      </c>
      <c r="K753" s="29">
        <f>IF(J753="","",J753/MAX(1,N(E753)))</f>
        <v/>
      </c>
      <c r="L753" s="37">
        <f>IF(OR(D753="",A753=""),"",A753+IF(AND(Config!$B$17="Sim",LEFT(D753,17)="Cartão de crédito"),1,IFERROR(INDEX(Config!$C$12:$C$15,MATCH(IF(AND(D753="Cartão de crédito",N(E753)&gt;1),"Cartão de crédito parcelado",D753),Config!$A$12:$A$15,0)),0)))</f>
        <v/>
      </c>
      <c r="M753" s="37">
        <f>IF(L753="","",IF(AND(Config!$B$17="Sim",LEFT(D753,17)="Cartão de crédito"),L753,L753+30*(MAX(1,N(E753))-1)))</f>
        <v/>
      </c>
      <c r="N753" s="29">
        <f>IF(OR(L753="",K753=""),"",K753*MIN(MAX(1,N(E753)),MAX(0,INT((Config!$B$8-L753)/30)+1)))</f>
        <v/>
      </c>
      <c r="O753" s="29">
        <f>IF(J753="","",J753-N(N753))</f>
        <v/>
      </c>
      <c r="P753" s="27">
        <f>IF(A753="","",MONTH(A753))</f>
        <v/>
      </c>
      <c r="Q753" s="27">
        <f>IF(A753="","",YEAR(A753))</f>
        <v/>
      </c>
      <c r="R753" s="27">
        <f>IF(L753="","",IF(L753&gt;Config!$B$8,"A cair",IF(N(G753)&gt;=MIN(MAX(1,N(E753)),MAX(0,INT((Config!$B$8-L753)/30)+1)),IF(N(G753)&gt;=MAX(1,N(E753)),"Conferido","Conferido até aqui"),"A conferir")))</f>
        <v/>
      </c>
      <c r="S753" s="51">
        <f>IF(R753="A conferir",(Config!$B$8-L753)*1000+N(F753)/1000+ROW()/100000,0)</f>
        <v>0</v>
      </c>
      <c r="T753" s="51">
        <f>IF(R753="A conferir",N(N753),0)</f>
        <v>0</v>
      </c>
      <c r="U753" s="51">
        <f>IF(L753="",0,L753)</f>
        <v>0</v>
      </c>
      <c r="V753" s="51">
        <f>IF(L753="",0,MAX(1,N(E753)))</f>
        <v>0</v>
      </c>
      <c r="W753" s="51">
        <f>IF(K753="",0,K753)</f>
        <v>0</v>
      </c>
    </row>
    <row r="754">
      <c r="A754" s="49" t="n"/>
      <c r="B754" s="41" t="n"/>
      <c r="C754" s="41" t="n"/>
      <c r="D754" s="42" t="n"/>
      <c r="E754" s="42" t="n"/>
      <c r="F754" s="50" t="n"/>
      <c r="G754" s="42" t="n"/>
      <c r="H754" s="30">
        <f>IF(D754="","",IFERROR(INDEX(Config!$B$12:$B$15,MATCH(IF(AND(D754="Cartão de crédito",N(E754)&gt;1),"Cartão de crédito parcelado",D754),Config!$A$12:$A$15,0)),0)+IF(AND(Config!$B$17="Sim",LEFT(D754,17)="Cartão de crédito"),Config!$B$18*IFERROR(INDEX(Config!$C$12:$C$15,MATCH(IF(AND(D754="Cartão de crédito",N(E754)&gt;1),"Cartão de crédito parcelado",D754),Config!$A$12:$A$15,0)),0)/30*MAX(1,N(E754)),0))</f>
        <v/>
      </c>
      <c r="I754" s="29">
        <f>IF(OR(D754="",F754=""),"",ROUND(F754*H754,2))</f>
        <v/>
      </c>
      <c r="J754" s="29">
        <f>IF(I754="","",F754-I754)</f>
        <v/>
      </c>
      <c r="K754" s="29">
        <f>IF(J754="","",J754/MAX(1,N(E754)))</f>
        <v/>
      </c>
      <c r="L754" s="37">
        <f>IF(OR(D754="",A754=""),"",A754+IF(AND(Config!$B$17="Sim",LEFT(D754,17)="Cartão de crédito"),1,IFERROR(INDEX(Config!$C$12:$C$15,MATCH(IF(AND(D754="Cartão de crédito",N(E754)&gt;1),"Cartão de crédito parcelado",D754),Config!$A$12:$A$15,0)),0)))</f>
        <v/>
      </c>
      <c r="M754" s="37">
        <f>IF(L754="","",IF(AND(Config!$B$17="Sim",LEFT(D754,17)="Cartão de crédito"),L754,L754+30*(MAX(1,N(E754))-1)))</f>
        <v/>
      </c>
      <c r="N754" s="29">
        <f>IF(OR(L754="",K754=""),"",K754*MIN(MAX(1,N(E754)),MAX(0,INT((Config!$B$8-L754)/30)+1)))</f>
        <v/>
      </c>
      <c r="O754" s="29">
        <f>IF(J754="","",J754-N(N754))</f>
        <v/>
      </c>
      <c r="P754" s="27">
        <f>IF(A754="","",MONTH(A754))</f>
        <v/>
      </c>
      <c r="Q754" s="27">
        <f>IF(A754="","",YEAR(A754))</f>
        <v/>
      </c>
      <c r="R754" s="27">
        <f>IF(L754="","",IF(L754&gt;Config!$B$8,"A cair",IF(N(G754)&gt;=MIN(MAX(1,N(E754)),MAX(0,INT((Config!$B$8-L754)/30)+1)),IF(N(G754)&gt;=MAX(1,N(E754)),"Conferido","Conferido até aqui"),"A conferir")))</f>
        <v/>
      </c>
      <c r="S754" s="51">
        <f>IF(R754="A conferir",(Config!$B$8-L754)*1000+N(F754)/1000+ROW()/100000,0)</f>
        <v>0</v>
      </c>
      <c r="T754" s="51">
        <f>IF(R754="A conferir",N(N754),0)</f>
        <v>0</v>
      </c>
      <c r="U754" s="51">
        <f>IF(L754="",0,L754)</f>
        <v>0</v>
      </c>
      <c r="V754" s="51">
        <f>IF(L754="",0,MAX(1,N(E754)))</f>
        <v>0</v>
      </c>
      <c r="W754" s="51">
        <f>IF(K754="",0,K754)</f>
        <v>0</v>
      </c>
    </row>
    <row r="755">
      <c r="A755" s="49" t="n"/>
      <c r="B755" s="41" t="n"/>
      <c r="C755" s="41" t="n"/>
      <c r="D755" s="42" t="n"/>
      <c r="E755" s="42" t="n"/>
      <c r="F755" s="50" t="n"/>
      <c r="G755" s="42" t="n"/>
      <c r="H755" s="30">
        <f>IF(D755="","",IFERROR(INDEX(Config!$B$12:$B$15,MATCH(IF(AND(D755="Cartão de crédito",N(E755)&gt;1),"Cartão de crédito parcelado",D755),Config!$A$12:$A$15,0)),0)+IF(AND(Config!$B$17="Sim",LEFT(D755,17)="Cartão de crédito"),Config!$B$18*IFERROR(INDEX(Config!$C$12:$C$15,MATCH(IF(AND(D755="Cartão de crédito",N(E755)&gt;1),"Cartão de crédito parcelado",D755),Config!$A$12:$A$15,0)),0)/30*MAX(1,N(E755)),0))</f>
        <v/>
      </c>
      <c r="I755" s="29">
        <f>IF(OR(D755="",F755=""),"",ROUND(F755*H755,2))</f>
        <v/>
      </c>
      <c r="J755" s="29">
        <f>IF(I755="","",F755-I755)</f>
        <v/>
      </c>
      <c r="K755" s="29">
        <f>IF(J755="","",J755/MAX(1,N(E755)))</f>
        <v/>
      </c>
      <c r="L755" s="37">
        <f>IF(OR(D755="",A755=""),"",A755+IF(AND(Config!$B$17="Sim",LEFT(D755,17)="Cartão de crédito"),1,IFERROR(INDEX(Config!$C$12:$C$15,MATCH(IF(AND(D755="Cartão de crédito",N(E755)&gt;1),"Cartão de crédito parcelado",D755),Config!$A$12:$A$15,0)),0)))</f>
        <v/>
      </c>
      <c r="M755" s="37">
        <f>IF(L755="","",IF(AND(Config!$B$17="Sim",LEFT(D755,17)="Cartão de crédito"),L755,L755+30*(MAX(1,N(E755))-1)))</f>
        <v/>
      </c>
      <c r="N755" s="29">
        <f>IF(OR(L755="",K755=""),"",K755*MIN(MAX(1,N(E755)),MAX(0,INT((Config!$B$8-L755)/30)+1)))</f>
        <v/>
      </c>
      <c r="O755" s="29">
        <f>IF(J755="","",J755-N(N755))</f>
        <v/>
      </c>
      <c r="P755" s="27">
        <f>IF(A755="","",MONTH(A755))</f>
        <v/>
      </c>
      <c r="Q755" s="27">
        <f>IF(A755="","",YEAR(A755))</f>
        <v/>
      </c>
      <c r="R755" s="27">
        <f>IF(L755="","",IF(L755&gt;Config!$B$8,"A cair",IF(N(G755)&gt;=MIN(MAX(1,N(E755)),MAX(0,INT((Config!$B$8-L755)/30)+1)),IF(N(G755)&gt;=MAX(1,N(E755)),"Conferido","Conferido até aqui"),"A conferir")))</f>
        <v/>
      </c>
      <c r="S755" s="51">
        <f>IF(R755="A conferir",(Config!$B$8-L755)*1000+N(F755)/1000+ROW()/100000,0)</f>
        <v>0</v>
      </c>
      <c r="T755" s="51">
        <f>IF(R755="A conferir",N(N755),0)</f>
        <v>0</v>
      </c>
      <c r="U755" s="51">
        <f>IF(L755="",0,L755)</f>
        <v>0</v>
      </c>
      <c r="V755" s="51">
        <f>IF(L755="",0,MAX(1,N(E755)))</f>
        <v>0</v>
      </c>
      <c r="W755" s="51">
        <f>IF(K755="",0,K755)</f>
        <v>0</v>
      </c>
    </row>
    <row r="756">
      <c r="A756" s="49" t="n"/>
      <c r="B756" s="41" t="n"/>
      <c r="C756" s="41" t="n"/>
      <c r="D756" s="42" t="n"/>
      <c r="E756" s="42" t="n"/>
      <c r="F756" s="50" t="n"/>
      <c r="G756" s="42" t="n"/>
      <c r="H756" s="30">
        <f>IF(D756="","",IFERROR(INDEX(Config!$B$12:$B$15,MATCH(IF(AND(D756="Cartão de crédito",N(E756)&gt;1),"Cartão de crédito parcelado",D756),Config!$A$12:$A$15,0)),0)+IF(AND(Config!$B$17="Sim",LEFT(D756,17)="Cartão de crédito"),Config!$B$18*IFERROR(INDEX(Config!$C$12:$C$15,MATCH(IF(AND(D756="Cartão de crédito",N(E756)&gt;1),"Cartão de crédito parcelado",D756),Config!$A$12:$A$15,0)),0)/30*MAX(1,N(E756)),0))</f>
        <v/>
      </c>
      <c r="I756" s="29">
        <f>IF(OR(D756="",F756=""),"",ROUND(F756*H756,2))</f>
        <v/>
      </c>
      <c r="J756" s="29">
        <f>IF(I756="","",F756-I756)</f>
        <v/>
      </c>
      <c r="K756" s="29">
        <f>IF(J756="","",J756/MAX(1,N(E756)))</f>
        <v/>
      </c>
      <c r="L756" s="37">
        <f>IF(OR(D756="",A756=""),"",A756+IF(AND(Config!$B$17="Sim",LEFT(D756,17)="Cartão de crédito"),1,IFERROR(INDEX(Config!$C$12:$C$15,MATCH(IF(AND(D756="Cartão de crédito",N(E756)&gt;1),"Cartão de crédito parcelado",D756),Config!$A$12:$A$15,0)),0)))</f>
        <v/>
      </c>
      <c r="M756" s="37">
        <f>IF(L756="","",IF(AND(Config!$B$17="Sim",LEFT(D756,17)="Cartão de crédito"),L756,L756+30*(MAX(1,N(E756))-1)))</f>
        <v/>
      </c>
      <c r="N756" s="29">
        <f>IF(OR(L756="",K756=""),"",K756*MIN(MAX(1,N(E756)),MAX(0,INT((Config!$B$8-L756)/30)+1)))</f>
        <v/>
      </c>
      <c r="O756" s="29">
        <f>IF(J756="","",J756-N(N756))</f>
        <v/>
      </c>
      <c r="P756" s="27">
        <f>IF(A756="","",MONTH(A756))</f>
        <v/>
      </c>
      <c r="Q756" s="27">
        <f>IF(A756="","",YEAR(A756))</f>
        <v/>
      </c>
      <c r="R756" s="27">
        <f>IF(L756="","",IF(L756&gt;Config!$B$8,"A cair",IF(N(G756)&gt;=MIN(MAX(1,N(E756)),MAX(0,INT((Config!$B$8-L756)/30)+1)),IF(N(G756)&gt;=MAX(1,N(E756)),"Conferido","Conferido até aqui"),"A conferir")))</f>
        <v/>
      </c>
      <c r="S756" s="51">
        <f>IF(R756="A conferir",(Config!$B$8-L756)*1000+N(F756)/1000+ROW()/100000,0)</f>
        <v>0</v>
      </c>
      <c r="T756" s="51">
        <f>IF(R756="A conferir",N(N756),0)</f>
        <v>0</v>
      </c>
      <c r="U756" s="51">
        <f>IF(L756="",0,L756)</f>
        <v>0</v>
      </c>
      <c r="V756" s="51">
        <f>IF(L756="",0,MAX(1,N(E756)))</f>
        <v>0</v>
      </c>
      <c r="W756" s="51">
        <f>IF(K756="",0,K756)</f>
        <v>0</v>
      </c>
    </row>
    <row r="757">
      <c r="A757" s="49" t="n"/>
      <c r="B757" s="41" t="n"/>
      <c r="C757" s="41" t="n"/>
      <c r="D757" s="42" t="n"/>
      <c r="E757" s="42" t="n"/>
      <c r="F757" s="50" t="n"/>
      <c r="G757" s="42" t="n"/>
      <c r="H757" s="30">
        <f>IF(D757="","",IFERROR(INDEX(Config!$B$12:$B$15,MATCH(IF(AND(D757="Cartão de crédito",N(E757)&gt;1),"Cartão de crédito parcelado",D757),Config!$A$12:$A$15,0)),0)+IF(AND(Config!$B$17="Sim",LEFT(D757,17)="Cartão de crédito"),Config!$B$18*IFERROR(INDEX(Config!$C$12:$C$15,MATCH(IF(AND(D757="Cartão de crédito",N(E757)&gt;1),"Cartão de crédito parcelado",D757),Config!$A$12:$A$15,0)),0)/30*MAX(1,N(E757)),0))</f>
        <v/>
      </c>
      <c r="I757" s="29">
        <f>IF(OR(D757="",F757=""),"",ROUND(F757*H757,2))</f>
        <v/>
      </c>
      <c r="J757" s="29">
        <f>IF(I757="","",F757-I757)</f>
        <v/>
      </c>
      <c r="K757" s="29">
        <f>IF(J757="","",J757/MAX(1,N(E757)))</f>
        <v/>
      </c>
      <c r="L757" s="37">
        <f>IF(OR(D757="",A757=""),"",A757+IF(AND(Config!$B$17="Sim",LEFT(D757,17)="Cartão de crédito"),1,IFERROR(INDEX(Config!$C$12:$C$15,MATCH(IF(AND(D757="Cartão de crédito",N(E757)&gt;1),"Cartão de crédito parcelado",D757),Config!$A$12:$A$15,0)),0)))</f>
        <v/>
      </c>
      <c r="M757" s="37">
        <f>IF(L757="","",IF(AND(Config!$B$17="Sim",LEFT(D757,17)="Cartão de crédito"),L757,L757+30*(MAX(1,N(E757))-1)))</f>
        <v/>
      </c>
      <c r="N757" s="29">
        <f>IF(OR(L757="",K757=""),"",K757*MIN(MAX(1,N(E757)),MAX(0,INT((Config!$B$8-L757)/30)+1)))</f>
        <v/>
      </c>
      <c r="O757" s="29">
        <f>IF(J757="","",J757-N(N757))</f>
        <v/>
      </c>
      <c r="P757" s="27">
        <f>IF(A757="","",MONTH(A757))</f>
        <v/>
      </c>
      <c r="Q757" s="27">
        <f>IF(A757="","",YEAR(A757))</f>
        <v/>
      </c>
      <c r="R757" s="27">
        <f>IF(L757="","",IF(L757&gt;Config!$B$8,"A cair",IF(N(G757)&gt;=MIN(MAX(1,N(E757)),MAX(0,INT((Config!$B$8-L757)/30)+1)),IF(N(G757)&gt;=MAX(1,N(E757)),"Conferido","Conferido até aqui"),"A conferir")))</f>
        <v/>
      </c>
      <c r="S757" s="51">
        <f>IF(R757="A conferir",(Config!$B$8-L757)*1000+N(F757)/1000+ROW()/100000,0)</f>
        <v>0</v>
      </c>
      <c r="T757" s="51">
        <f>IF(R757="A conferir",N(N757),0)</f>
        <v>0</v>
      </c>
      <c r="U757" s="51">
        <f>IF(L757="",0,L757)</f>
        <v>0</v>
      </c>
      <c r="V757" s="51">
        <f>IF(L757="",0,MAX(1,N(E757)))</f>
        <v>0</v>
      </c>
      <c r="W757" s="51">
        <f>IF(K757="",0,K757)</f>
        <v>0</v>
      </c>
    </row>
    <row r="758">
      <c r="A758" s="49" t="n"/>
      <c r="B758" s="41" t="n"/>
      <c r="C758" s="41" t="n"/>
      <c r="D758" s="42" t="n"/>
      <c r="E758" s="42" t="n"/>
      <c r="F758" s="50" t="n"/>
      <c r="G758" s="42" t="n"/>
      <c r="H758" s="30">
        <f>IF(D758="","",IFERROR(INDEX(Config!$B$12:$B$15,MATCH(IF(AND(D758="Cartão de crédito",N(E758)&gt;1),"Cartão de crédito parcelado",D758),Config!$A$12:$A$15,0)),0)+IF(AND(Config!$B$17="Sim",LEFT(D758,17)="Cartão de crédito"),Config!$B$18*IFERROR(INDEX(Config!$C$12:$C$15,MATCH(IF(AND(D758="Cartão de crédito",N(E758)&gt;1),"Cartão de crédito parcelado",D758),Config!$A$12:$A$15,0)),0)/30*MAX(1,N(E758)),0))</f>
        <v/>
      </c>
      <c r="I758" s="29">
        <f>IF(OR(D758="",F758=""),"",ROUND(F758*H758,2))</f>
        <v/>
      </c>
      <c r="J758" s="29">
        <f>IF(I758="","",F758-I758)</f>
        <v/>
      </c>
      <c r="K758" s="29">
        <f>IF(J758="","",J758/MAX(1,N(E758)))</f>
        <v/>
      </c>
      <c r="L758" s="37">
        <f>IF(OR(D758="",A758=""),"",A758+IF(AND(Config!$B$17="Sim",LEFT(D758,17)="Cartão de crédito"),1,IFERROR(INDEX(Config!$C$12:$C$15,MATCH(IF(AND(D758="Cartão de crédito",N(E758)&gt;1),"Cartão de crédito parcelado",D758),Config!$A$12:$A$15,0)),0)))</f>
        <v/>
      </c>
      <c r="M758" s="37">
        <f>IF(L758="","",IF(AND(Config!$B$17="Sim",LEFT(D758,17)="Cartão de crédito"),L758,L758+30*(MAX(1,N(E758))-1)))</f>
        <v/>
      </c>
      <c r="N758" s="29">
        <f>IF(OR(L758="",K758=""),"",K758*MIN(MAX(1,N(E758)),MAX(0,INT((Config!$B$8-L758)/30)+1)))</f>
        <v/>
      </c>
      <c r="O758" s="29">
        <f>IF(J758="","",J758-N(N758))</f>
        <v/>
      </c>
      <c r="P758" s="27">
        <f>IF(A758="","",MONTH(A758))</f>
        <v/>
      </c>
      <c r="Q758" s="27">
        <f>IF(A758="","",YEAR(A758))</f>
        <v/>
      </c>
      <c r="R758" s="27">
        <f>IF(L758="","",IF(L758&gt;Config!$B$8,"A cair",IF(N(G758)&gt;=MIN(MAX(1,N(E758)),MAX(0,INT((Config!$B$8-L758)/30)+1)),IF(N(G758)&gt;=MAX(1,N(E758)),"Conferido","Conferido até aqui"),"A conferir")))</f>
        <v/>
      </c>
      <c r="S758" s="51">
        <f>IF(R758="A conferir",(Config!$B$8-L758)*1000+N(F758)/1000+ROW()/100000,0)</f>
        <v>0</v>
      </c>
      <c r="T758" s="51">
        <f>IF(R758="A conferir",N(N758),0)</f>
        <v>0</v>
      </c>
      <c r="U758" s="51">
        <f>IF(L758="",0,L758)</f>
        <v>0</v>
      </c>
      <c r="V758" s="51">
        <f>IF(L758="",0,MAX(1,N(E758)))</f>
        <v>0</v>
      </c>
      <c r="W758" s="51">
        <f>IF(K758="",0,K758)</f>
        <v>0</v>
      </c>
    </row>
    <row r="759">
      <c r="A759" s="49" t="n"/>
      <c r="B759" s="41" t="n"/>
      <c r="C759" s="41" t="n"/>
      <c r="D759" s="42" t="n"/>
      <c r="E759" s="42" t="n"/>
      <c r="F759" s="50" t="n"/>
      <c r="G759" s="42" t="n"/>
      <c r="H759" s="30">
        <f>IF(D759="","",IFERROR(INDEX(Config!$B$12:$B$15,MATCH(IF(AND(D759="Cartão de crédito",N(E759)&gt;1),"Cartão de crédito parcelado",D759),Config!$A$12:$A$15,0)),0)+IF(AND(Config!$B$17="Sim",LEFT(D759,17)="Cartão de crédito"),Config!$B$18*IFERROR(INDEX(Config!$C$12:$C$15,MATCH(IF(AND(D759="Cartão de crédito",N(E759)&gt;1),"Cartão de crédito parcelado",D759),Config!$A$12:$A$15,0)),0)/30*MAX(1,N(E759)),0))</f>
        <v/>
      </c>
      <c r="I759" s="29">
        <f>IF(OR(D759="",F759=""),"",ROUND(F759*H759,2))</f>
        <v/>
      </c>
      <c r="J759" s="29">
        <f>IF(I759="","",F759-I759)</f>
        <v/>
      </c>
      <c r="K759" s="29">
        <f>IF(J759="","",J759/MAX(1,N(E759)))</f>
        <v/>
      </c>
      <c r="L759" s="37">
        <f>IF(OR(D759="",A759=""),"",A759+IF(AND(Config!$B$17="Sim",LEFT(D759,17)="Cartão de crédito"),1,IFERROR(INDEX(Config!$C$12:$C$15,MATCH(IF(AND(D759="Cartão de crédito",N(E759)&gt;1),"Cartão de crédito parcelado",D759),Config!$A$12:$A$15,0)),0)))</f>
        <v/>
      </c>
      <c r="M759" s="37">
        <f>IF(L759="","",IF(AND(Config!$B$17="Sim",LEFT(D759,17)="Cartão de crédito"),L759,L759+30*(MAX(1,N(E759))-1)))</f>
        <v/>
      </c>
      <c r="N759" s="29">
        <f>IF(OR(L759="",K759=""),"",K759*MIN(MAX(1,N(E759)),MAX(0,INT((Config!$B$8-L759)/30)+1)))</f>
        <v/>
      </c>
      <c r="O759" s="29">
        <f>IF(J759="","",J759-N(N759))</f>
        <v/>
      </c>
      <c r="P759" s="27">
        <f>IF(A759="","",MONTH(A759))</f>
        <v/>
      </c>
      <c r="Q759" s="27">
        <f>IF(A759="","",YEAR(A759))</f>
        <v/>
      </c>
      <c r="R759" s="27">
        <f>IF(L759="","",IF(L759&gt;Config!$B$8,"A cair",IF(N(G759)&gt;=MIN(MAX(1,N(E759)),MAX(0,INT((Config!$B$8-L759)/30)+1)),IF(N(G759)&gt;=MAX(1,N(E759)),"Conferido","Conferido até aqui"),"A conferir")))</f>
        <v/>
      </c>
      <c r="S759" s="51">
        <f>IF(R759="A conferir",(Config!$B$8-L759)*1000+N(F759)/1000+ROW()/100000,0)</f>
        <v>0</v>
      </c>
      <c r="T759" s="51">
        <f>IF(R759="A conferir",N(N759),0)</f>
        <v>0</v>
      </c>
      <c r="U759" s="51">
        <f>IF(L759="",0,L759)</f>
        <v>0</v>
      </c>
      <c r="V759" s="51">
        <f>IF(L759="",0,MAX(1,N(E759)))</f>
        <v>0</v>
      </c>
      <c r="W759" s="51">
        <f>IF(K759="",0,K759)</f>
        <v>0</v>
      </c>
    </row>
    <row r="760">
      <c r="A760" s="49" t="n"/>
      <c r="B760" s="41" t="n"/>
      <c r="C760" s="41" t="n"/>
      <c r="D760" s="42" t="n"/>
      <c r="E760" s="42" t="n"/>
      <c r="F760" s="50" t="n"/>
      <c r="G760" s="42" t="n"/>
      <c r="H760" s="30">
        <f>IF(D760="","",IFERROR(INDEX(Config!$B$12:$B$15,MATCH(IF(AND(D760="Cartão de crédito",N(E760)&gt;1),"Cartão de crédito parcelado",D760),Config!$A$12:$A$15,0)),0)+IF(AND(Config!$B$17="Sim",LEFT(D760,17)="Cartão de crédito"),Config!$B$18*IFERROR(INDEX(Config!$C$12:$C$15,MATCH(IF(AND(D760="Cartão de crédito",N(E760)&gt;1),"Cartão de crédito parcelado",D760),Config!$A$12:$A$15,0)),0)/30*MAX(1,N(E760)),0))</f>
        <v/>
      </c>
      <c r="I760" s="29">
        <f>IF(OR(D760="",F760=""),"",ROUND(F760*H760,2))</f>
        <v/>
      </c>
      <c r="J760" s="29">
        <f>IF(I760="","",F760-I760)</f>
        <v/>
      </c>
      <c r="K760" s="29">
        <f>IF(J760="","",J760/MAX(1,N(E760)))</f>
        <v/>
      </c>
      <c r="L760" s="37">
        <f>IF(OR(D760="",A760=""),"",A760+IF(AND(Config!$B$17="Sim",LEFT(D760,17)="Cartão de crédito"),1,IFERROR(INDEX(Config!$C$12:$C$15,MATCH(IF(AND(D760="Cartão de crédito",N(E760)&gt;1),"Cartão de crédito parcelado",D760),Config!$A$12:$A$15,0)),0)))</f>
        <v/>
      </c>
      <c r="M760" s="37">
        <f>IF(L760="","",IF(AND(Config!$B$17="Sim",LEFT(D760,17)="Cartão de crédito"),L760,L760+30*(MAX(1,N(E760))-1)))</f>
        <v/>
      </c>
      <c r="N760" s="29">
        <f>IF(OR(L760="",K760=""),"",K760*MIN(MAX(1,N(E760)),MAX(0,INT((Config!$B$8-L760)/30)+1)))</f>
        <v/>
      </c>
      <c r="O760" s="29">
        <f>IF(J760="","",J760-N(N760))</f>
        <v/>
      </c>
      <c r="P760" s="27">
        <f>IF(A760="","",MONTH(A760))</f>
        <v/>
      </c>
      <c r="Q760" s="27">
        <f>IF(A760="","",YEAR(A760))</f>
        <v/>
      </c>
      <c r="R760" s="27">
        <f>IF(L760="","",IF(L760&gt;Config!$B$8,"A cair",IF(N(G760)&gt;=MIN(MAX(1,N(E760)),MAX(0,INT((Config!$B$8-L760)/30)+1)),IF(N(G760)&gt;=MAX(1,N(E760)),"Conferido","Conferido até aqui"),"A conferir")))</f>
        <v/>
      </c>
      <c r="S760" s="51">
        <f>IF(R760="A conferir",(Config!$B$8-L760)*1000+N(F760)/1000+ROW()/100000,0)</f>
        <v>0</v>
      </c>
      <c r="T760" s="51">
        <f>IF(R760="A conferir",N(N760),0)</f>
        <v>0</v>
      </c>
      <c r="U760" s="51">
        <f>IF(L760="",0,L760)</f>
        <v>0</v>
      </c>
      <c r="V760" s="51">
        <f>IF(L760="",0,MAX(1,N(E760)))</f>
        <v>0</v>
      </c>
      <c r="W760" s="51">
        <f>IF(K760="",0,K760)</f>
        <v>0</v>
      </c>
    </row>
    <row r="761">
      <c r="A761" s="49" t="n"/>
      <c r="B761" s="41" t="n"/>
      <c r="C761" s="41" t="n"/>
      <c r="D761" s="42" t="n"/>
      <c r="E761" s="42" t="n"/>
      <c r="F761" s="50" t="n"/>
      <c r="G761" s="42" t="n"/>
      <c r="H761" s="30">
        <f>IF(D761="","",IFERROR(INDEX(Config!$B$12:$B$15,MATCH(IF(AND(D761="Cartão de crédito",N(E761)&gt;1),"Cartão de crédito parcelado",D761),Config!$A$12:$A$15,0)),0)+IF(AND(Config!$B$17="Sim",LEFT(D761,17)="Cartão de crédito"),Config!$B$18*IFERROR(INDEX(Config!$C$12:$C$15,MATCH(IF(AND(D761="Cartão de crédito",N(E761)&gt;1),"Cartão de crédito parcelado",D761),Config!$A$12:$A$15,0)),0)/30*MAX(1,N(E761)),0))</f>
        <v/>
      </c>
      <c r="I761" s="29">
        <f>IF(OR(D761="",F761=""),"",ROUND(F761*H761,2))</f>
        <v/>
      </c>
      <c r="J761" s="29">
        <f>IF(I761="","",F761-I761)</f>
        <v/>
      </c>
      <c r="K761" s="29">
        <f>IF(J761="","",J761/MAX(1,N(E761)))</f>
        <v/>
      </c>
      <c r="L761" s="37">
        <f>IF(OR(D761="",A761=""),"",A761+IF(AND(Config!$B$17="Sim",LEFT(D761,17)="Cartão de crédito"),1,IFERROR(INDEX(Config!$C$12:$C$15,MATCH(IF(AND(D761="Cartão de crédito",N(E761)&gt;1),"Cartão de crédito parcelado",D761),Config!$A$12:$A$15,0)),0)))</f>
        <v/>
      </c>
      <c r="M761" s="37">
        <f>IF(L761="","",IF(AND(Config!$B$17="Sim",LEFT(D761,17)="Cartão de crédito"),L761,L761+30*(MAX(1,N(E761))-1)))</f>
        <v/>
      </c>
      <c r="N761" s="29">
        <f>IF(OR(L761="",K761=""),"",K761*MIN(MAX(1,N(E761)),MAX(0,INT((Config!$B$8-L761)/30)+1)))</f>
        <v/>
      </c>
      <c r="O761" s="29">
        <f>IF(J761="","",J761-N(N761))</f>
        <v/>
      </c>
      <c r="P761" s="27">
        <f>IF(A761="","",MONTH(A761))</f>
        <v/>
      </c>
      <c r="Q761" s="27">
        <f>IF(A761="","",YEAR(A761))</f>
        <v/>
      </c>
      <c r="R761" s="27">
        <f>IF(L761="","",IF(L761&gt;Config!$B$8,"A cair",IF(N(G761)&gt;=MIN(MAX(1,N(E761)),MAX(0,INT((Config!$B$8-L761)/30)+1)),IF(N(G761)&gt;=MAX(1,N(E761)),"Conferido","Conferido até aqui"),"A conferir")))</f>
        <v/>
      </c>
      <c r="S761" s="51">
        <f>IF(R761="A conferir",(Config!$B$8-L761)*1000+N(F761)/1000+ROW()/100000,0)</f>
        <v>0</v>
      </c>
      <c r="T761" s="51">
        <f>IF(R761="A conferir",N(N761),0)</f>
        <v>0</v>
      </c>
      <c r="U761" s="51">
        <f>IF(L761="",0,L761)</f>
        <v>0</v>
      </c>
      <c r="V761" s="51">
        <f>IF(L761="",0,MAX(1,N(E761)))</f>
        <v>0</v>
      </c>
      <c r="W761" s="51">
        <f>IF(K761="",0,K761)</f>
        <v>0</v>
      </c>
    </row>
    <row r="762">
      <c r="A762" s="49" t="n"/>
      <c r="B762" s="41" t="n"/>
      <c r="C762" s="41" t="n"/>
      <c r="D762" s="42" t="n"/>
      <c r="E762" s="42" t="n"/>
      <c r="F762" s="50" t="n"/>
      <c r="G762" s="42" t="n"/>
      <c r="H762" s="30">
        <f>IF(D762="","",IFERROR(INDEX(Config!$B$12:$B$15,MATCH(IF(AND(D762="Cartão de crédito",N(E762)&gt;1),"Cartão de crédito parcelado",D762),Config!$A$12:$A$15,0)),0)+IF(AND(Config!$B$17="Sim",LEFT(D762,17)="Cartão de crédito"),Config!$B$18*IFERROR(INDEX(Config!$C$12:$C$15,MATCH(IF(AND(D762="Cartão de crédito",N(E762)&gt;1),"Cartão de crédito parcelado",D762),Config!$A$12:$A$15,0)),0)/30*MAX(1,N(E762)),0))</f>
        <v/>
      </c>
      <c r="I762" s="29">
        <f>IF(OR(D762="",F762=""),"",ROUND(F762*H762,2))</f>
        <v/>
      </c>
      <c r="J762" s="29">
        <f>IF(I762="","",F762-I762)</f>
        <v/>
      </c>
      <c r="K762" s="29">
        <f>IF(J762="","",J762/MAX(1,N(E762)))</f>
        <v/>
      </c>
      <c r="L762" s="37">
        <f>IF(OR(D762="",A762=""),"",A762+IF(AND(Config!$B$17="Sim",LEFT(D762,17)="Cartão de crédito"),1,IFERROR(INDEX(Config!$C$12:$C$15,MATCH(IF(AND(D762="Cartão de crédito",N(E762)&gt;1),"Cartão de crédito parcelado",D762),Config!$A$12:$A$15,0)),0)))</f>
        <v/>
      </c>
      <c r="M762" s="37">
        <f>IF(L762="","",IF(AND(Config!$B$17="Sim",LEFT(D762,17)="Cartão de crédito"),L762,L762+30*(MAX(1,N(E762))-1)))</f>
        <v/>
      </c>
      <c r="N762" s="29">
        <f>IF(OR(L762="",K762=""),"",K762*MIN(MAX(1,N(E762)),MAX(0,INT((Config!$B$8-L762)/30)+1)))</f>
        <v/>
      </c>
      <c r="O762" s="29">
        <f>IF(J762="","",J762-N(N762))</f>
        <v/>
      </c>
      <c r="P762" s="27">
        <f>IF(A762="","",MONTH(A762))</f>
        <v/>
      </c>
      <c r="Q762" s="27">
        <f>IF(A762="","",YEAR(A762))</f>
        <v/>
      </c>
      <c r="R762" s="27">
        <f>IF(L762="","",IF(L762&gt;Config!$B$8,"A cair",IF(N(G762)&gt;=MIN(MAX(1,N(E762)),MAX(0,INT((Config!$B$8-L762)/30)+1)),IF(N(G762)&gt;=MAX(1,N(E762)),"Conferido","Conferido até aqui"),"A conferir")))</f>
        <v/>
      </c>
      <c r="S762" s="51">
        <f>IF(R762="A conferir",(Config!$B$8-L762)*1000+N(F762)/1000+ROW()/100000,0)</f>
        <v>0</v>
      </c>
      <c r="T762" s="51">
        <f>IF(R762="A conferir",N(N762),0)</f>
        <v>0</v>
      </c>
      <c r="U762" s="51">
        <f>IF(L762="",0,L762)</f>
        <v>0</v>
      </c>
      <c r="V762" s="51">
        <f>IF(L762="",0,MAX(1,N(E762)))</f>
        <v>0</v>
      </c>
      <c r="W762" s="51">
        <f>IF(K762="",0,K762)</f>
        <v>0</v>
      </c>
    </row>
    <row r="763">
      <c r="A763" s="49" t="n"/>
      <c r="B763" s="41" t="n"/>
      <c r="C763" s="41" t="n"/>
      <c r="D763" s="42" t="n"/>
      <c r="E763" s="42" t="n"/>
      <c r="F763" s="50" t="n"/>
      <c r="G763" s="42" t="n"/>
      <c r="H763" s="30">
        <f>IF(D763="","",IFERROR(INDEX(Config!$B$12:$B$15,MATCH(IF(AND(D763="Cartão de crédito",N(E763)&gt;1),"Cartão de crédito parcelado",D763),Config!$A$12:$A$15,0)),0)+IF(AND(Config!$B$17="Sim",LEFT(D763,17)="Cartão de crédito"),Config!$B$18*IFERROR(INDEX(Config!$C$12:$C$15,MATCH(IF(AND(D763="Cartão de crédito",N(E763)&gt;1),"Cartão de crédito parcelado",D763),Config!$A$12:$A$15,0)),0)/30*MAX(1,N(E763)),0))</f>
        <v/>
      </c>
      <c r="I763" s="29">
        <f>IF(OR(D763="",F763=""),"",ROUND(F763*H763,2))</f>
        <v/>
      </c>
      <c r="J763" s="29">
        <f>IF(I763="","",F763-I763)</f>
        <v/>
      </c>
      <c r="K763" s="29">
        <f>IF(J763="","",J763/MAX(1,N(E763)))</f>
        <v/>
      </c>
      <c r="L763" s="37">
        <f>IF(OR(D763="",A763=""),"",A763+IF(AND(Config!$B$17="Sim",LEFT(D763,17)="Cartão de crédito"),1,IFERROR(INDEX(Config!$C$12:$C$15,MATCH(IF(AND(D763="Cartão de crédito",N(E763)&gt;1),"Cartão de crédito parcelado",D763),Config!$A$12:$A$15,0)),0)))</f>
        <v/>
      </c>
      <c r="M763" s="37">
        <f>IF(L763="","",IF(AND(Config!$B$17="Sim",LEFT(D763,17)="Cartão de crédito"),L763,L763+30*(MAX(1,N(E763))-1)))</f>
        <v/>
      </c>
      <c r="N763" s="29">
        <f>IF(OR(L763="",K763=""),"",K763*MIN(MAX(1,N(E763)),MAX(0,INT((Config!$B$8-L763)/30)+1)))</f>
        <v/>
      </c>
      <c r="O763" s="29">
        <f>IF(J763="","",J763-N(N763))</f>
        <v/>
      </c>
      <c r="P763" s="27">
        <f>IF(A763="","",MONTH(A763))</f>
        <v/>
      </c>
      <c r="Q763" s="27">
        <f>IF(A763="","",YEAR(A763))</f>
        <v/>
      </c>
      <c r="R763" s="27">
        <f>IF(L763="","",IF(L763&gt;Config!$B$8,"A cair",IF(N(G763)&gt;=MIN(MAX(1,N(E763)),MAX(0,INT((Config!$B$8-L763)/30)+1)),IF(N(G763)&gt;=MAX(1,N(E763)),"Conferido","Conferido até aqui"),"A conferir")))</f>
        <v/>
      </c>
      <c r="S763" s="51">
        <f>IF(R763="A conferir",(Config!$B$8-L763)*1000+N(F763)/1000+ROW()/100000,0)</f>
        <v>0</v>
      </c>
      <c r="T763" s="51">
        <f>IF(R763="A conferir",N(N763),0)</f>
        <v>0</v>
      </c>
      <c r="U763" s="51">
        <f>IF(L763="",0,L763)</f>
        <v>0</v>
      </c>
      <c r="V763" s="51">
        <f>IF(L763="",0,MAX(1,N(E763)))</f>
        <v>0</v>
      </c>
      <c r="W763" s="51">
        <f>IF(K763="",0,K763)</f>
        <v>0</v>
      </c>
    </row>
    <row r="764">
      <c r="A764" s="49" t="n"/>
      <c r="B764" s="41" t="n"/>
      <c r="C764" s="41" t="n"/>
      <c r="D764" s="42" t="n"/>
      <c r="E764" s="42" t="n"/>
      <c r="F764" s="50" t="n"/>
      <c r="G764" s="42" t="n"/>
      <c r="H764" s="30">
        <f>IF(D764="","",IFERROR(INDEX(Config!$B$12:$B$15,MATCH(IF(AND(D764="Cartão de crédito",N(E764)&gt;1),"Cartão de crédito parcelado",D764),Config!$A$12:$A$15,0)),0)+IF(AND(Config!$B$17="Sim",LEFT(D764,17)="Cartão de crédito"),Config!$B$18*IFERROR(INDEX(Config!$C$12:$C$15,MATCH(IF(AND(D764="Cartão de crédito",N(E764)&gt;1),"Cartão de crédito parcelado",D764),Config!$A$12:$A$15,0)),0)/30*MAX(1,N(E764)),0))</f>
        <v/>
      </c>
      <c r="I764" s="29">
        <f>IF(OR(D764="",F764=""),"",ROUND(F764*H764,2))</f>
        <v/>
      </c>
      <c r="J764" s="29">
        <f>IF(I764="","",F764-I764)</f>
        <v/>
      </c>
      <c r="K764" s="29">
        <f>IF(J764="","",J764/MAX(1,N(E764)))</f>
        <v/>
      </c>
      <c r="L764" s="37">
        <f>IF(OR(D764="",A764=""),"",A764+IF(AND(Config!$B$17="Sim",LEFT(D764,17)="Cartão de crédito"),1,IFERROR(INDEX(Config!$C$12:$C$15,MATCH(IF(AND(D764="Cartão de crédito",N(E764)&gt;1),"Cartão de crédito parcelado",D764),Config!$A$12:$A$15,0)),0)))</f>
        <v/>
      </c>
      <c r="M764" s="37">
        <f>IF(L764="","",IF(AND(Config!$B$17="Sim",LEFT(D764,17)="Cartão de crédito"),L764,L764+30*(MAX(1,N(E764))-1)))</f>
        <v/>
      </c>
      <c r="N764" s="29">
        <f>IF(OR(L764="",K764=""),"",K764*MIN(MAX(1,N(E764)),MAX(0,INT((Config!$B$8-L764)/30)+1)))</f>
        <v/>
      </c>
      <c r="O764" s="29">
        <f>IF(J764="","",J764-N(N764))</f>
        <v/>
      </c>
      <c r="P764" s="27">
        <f>IF(A764="","",MONTH(A764))</f>
        <v/>
      </c>
      <c r="Q764" s="27">
        <f>IF(A764="","",YEAR(A764))</f>
        <v/>
      </c>
      <c r="R764" s="27">
        <f>IF(L764="","",IF(L764&gt;Config!$B$8,"A cair",IF(N(G764)&gt;=MIN(MAX(1,N(E764)),MAX(0,INT((Config!$B$8-L764)/30)+1)),IF(N(G764)&gt;=MAX(1,N(E764)),"Conferido","Conferido até aqui"),"A conferir")))</f>
        <v/>
      </c>
      <c r="S764" s="51">
        <f>IF(R764="A conferir",(Config!$B$8-L764)*1000+N(F764)/1000+ROW()/100000,0)</f>
        <v>0</v>
      </c>
      <c r="T764" s="51">
        <f>IF(R764="A conferir",N(N764),0)</f>
        <v>0</v>
      </c>
      <c r="U764" s="51">
        <f>IF(L764="",0,L764)</f>
        <v>0</v>
      </c>
      <c r="V764" s="51">
        <f>IF(L764="",0,MAX(1,N(E764)))</f>
        <v>0</v>
      </c>
      <c r="W764" s="51">
        <f>IF(K764="",0,K764)</f>
        <v>0</v>
      </c>
    </row>
    <row r="765">
      <c r="A765" s="49" t="n"/>
      <c r="B765" s="41" t="n"/>
      <c r="C765" s="41" t="n"/>
      <c r="D765" s="42" t="n"/>
      <c r="E765" s="42" t="n"/>
      <c r="F765" s="50" t="n"/>
      <c r="G765" s="42" t="n"/>
      <c r="H765" s="30">
        <f>IF(D765="","",IFERROR(INDEX(Config!$B$12:$B$15,MATCH(IF(AND(D765="Cartão de crédito",N(E765)&gt;1),"Cartão de crédito parcelado",D765),Config!$A$12:$A$15,0)),0)+IF(AND(Config!$B$17="Sim",LEFT(D765,17)="Cartão de crédito"),Config!$B$18*IFERROR(INDEX(Config!$C$12:$C$15,MATCH(IF(AND(D765="Cartão de crédito",N(E765)&gt;1),"Cartão de crédito parcelado",D765),Config!$A$12:$A$15,0)),0)/30*MAX(1,N(E765)),0))</f>
        <v/>
      </c>
      <c r="I765" s="29">
        <f>IF(OR(D765="",F765=""),"",ROUND(F765*H765,2))</f>
        <v/>
      </c>
      <c r="J765" s="29">
        <f>IF(I765="","",F765-I765)</f>
        <v/>
      </c>
      <c r="K765" s="29">
        <f>IF(J765="","",J765/MAX(1,N(E765)))</f>
        <v/>
      </c>
      <c r="L765" s="37">
        <f>IF(OR(D765="",A765=""),"",A765+IF(AND(Config!$B$17="Sim",LEFT(D765,17)="Cartão de crédito"),1,IFERROR(INDEX(Config!$C$12:$C$15,MATCH(IF(AND(D765="Cartão de crédito",N(E765)&gt;1),"Cartão de crédito parcelado",D765),Config!$A$12:$A$15,0)),0)))</f>
        <v/>
      </c>
      <c r="M765" s="37">
        <f>IF(L765="","",IF(AND(Config!$B$17="Sim",LEFT(D765,17)="Cartão de crédito"),L765,L765+30*(MAX(1,N(E765))-1)))</f>
        <v/>
      </c>
      <c r="N765" s="29">
        <f>IF(OR(L765="",K765=""),"",K765*MIN(MAX(1,N(E765)),MAX(0,INT((Config!$B$8-L765)/30)+1)))</f>
        <v/>
      </c>
      <c r="O765" s="29">
        <f>IF(J765="","",J765-N(N765))</f>
        <v/>
      </c>
      <c r="P765" s="27">
        <f>IF(A765="","",MONTH(A765))</f>
        <v/>
      </c>
      <c r="Q765" s="27">
        <f>IF(A765="","",YEAR(A765))</f>
        <v/>
      </c>
      <c r="R765" s="27">
        <f>IF(L765="","",IF(L765&gt;Config!$B$8,"A cair",IF(N(G765)&gt;=MIN(MAX(1,N(E765)),MAX(0,INT((Config!$B$8-L765)/30)+1)),IF(N(G765)&gt;=MAX(1,N(E765)),"Conferido","Conferido até aqui"),"A conferir")))</f>
        <v/>
      </c>
      <c r="S765" s="51">
        <f>IF(R765="A conferir",(Config!$B$8-L765)*1000+N(F765)/1000+ROW()/100000,0)</f>
        <v>0</v>
      </c>
      <c r="T765" s="51">
        <f>IF(R765="A conferir",N(N765),0)</f>
        <v>0</v>
      </c>
      <c r="U765" s="51">
        <f>IF(L765="",0,L765)</f>
        <v>0</v>
      </c>
      <c r="V765" s="51">
        <f>IF(L765="",0,MAX(1,N(E765)))</f>
        <v>0</v>
      </c>
      <c r="W765" s="51">
        <f>IF(K765="",0,K765)</f>
        <v>0</v>
      </c>
    </row>
    <row r="766">
      <c r="A766" s="49" t="n"/>
      <c r="B766" s="41" t="n"/>
      <c r="C766" s="41" t="n"/>
      <c r="D766" s="42" t="n"/>
      <c r="E766" s="42" t="n"/>
      <c r="F766" s="50" t="n"/>
      <c r="G766" s="42" t="n"/>
      <c r="H766" s="30">
        <f>IF(D766="","",IFERROR(INDEX(Config!$B$12:$B$15,MATCH(IF(AND(D766="Cartão de crédito",N(E766)&gt;1),"Cartão de crédito parcelado",D766),Config!$A$12:$A$15,0)),0)+IF(AND(Config!$B$17="Sim",LEFT(D766,17)="Cartão de crédito"),Config!$B$18*IFERROR(INDEX(Config!$C$12:$C$15,MATCH(IF(AND(D766="Cartão de crédito",N(E766)&gt;1),"Cartão de crédito parcelado",D766),Config!$A$12:$A$15,0)),0)/30*MAX(1,N(E766)),0))</f>
        <v/>
      </c>
      <c r="I766" s="29">
        <f>IF(OR(D766="",F766=""),"",ROUND(F766*H766,2))</f>
        <v/>
      </c>
      <c r="J766" s="29">
        <f>IF(I766="","",F766-I766)</f>
        <v/>
      </c>
      <c r="K766" s="29">
        <f>IF(J766="","",J766/MAX(1,N(E766)))</f>
        <v/>
      </c>
      <c r="L766" s="37">
        <f>IF(OR(D766="",A766=""),"",A766+IF(AND(Config!$B$17="Sim",LEFT(D766,17)="Cartão de crédito"),1,IFERROR(INDEX(Config!$C$12:$C$15,MATCH(IF(AND(D766="Cartão de crédito",N(E766)&gt;1),"Cartão de crédito parcelado",D766),Config!$A$12:$A$15,0)),0)))</f>
        <v/>
      </c>
      <c r="M766" s="37">
        <f>IF(L766="","",IF(AND(Config!$B$17="Sim",LEFT(D766,17)="Cartão de crédito"),L766,L766+30*(MAX(1,N(E766))-1)))</f>
        <v/>
      </c>
      <c r="N766" s="29">
        <f>IF(OR(L766="",K766=""),"",K766*MIN(MAX(1,N(E766)),MAX(0,INT((Config!$B$8-L766)/30)+1)))</f>
        <v/>
      </c>
      <c r="O766" s="29">
        <f>IF(J766="","",J766-N(N766))</f>
        <v/>
      </c>
      <c r="P766" s="27">
        <f>IF(A766="","",MONTH(A766))</f>
        <v/>
      </c>
      <c r="Q766" s="27">
        <f>IF(A766="","",YEAR(A766))</f>
        <v/>
      </c>
      <c r="R766" s="27">
        <f>IF(L766="","",IF(L766&gt;Config!$B$8,"A cair",IF(N(G766)&gt;=MIN(MAX(1,N(E766)),MAX(0,INT((Config!$B$8-L766)/30)+1)),IF(N(G766)&gt;=MAX(1,N(E766)),"Conferido","Conferido até aqui"),"A conferir")))</f>
        <v/>
      </c>
      <c r="S766" s="51">
        <f>IF(R766="A conferir",(Config!$B$8-L766)*1000+N(F766)/1000+ROW()/100000,0)</f>
        <v>0</v>
      </c>
      <c r="T766" s="51">
        <f>IF(R766="A conferir",N(N766),0)</f>
        <v>0</v>
      </c>
      <c r="U766" s="51">
        <f>IF(L766="",0,L766)</f>
        <v>0</v>
      </c>
      <c r="V766" s="51">
        <f>IF(L766="",0,MAX(1,N(E766)))</f>
        <v>0</v>
      </c>
      <c r="W766" s="51">
        <f>IF(K766="",0,K766)</f>
        <v>0</v>
      </c>
    </row>
    <row r="767">
      <c r="A767" s="49" t="n"/>
      <c r="B767" s="41" t="n"/>
      <c r="C767" s="41" t="n"/>
      <c r="D767" s="42" t="n"/>
      <c r="E767" s="42" t="n"/>
      <c r="F767" s="50" t="n"/>
      <c r="G767" s="42" t="n"/>
      <c r="H767" s="30">
        <f>IF(D767="","",IFERROR(INDEX(Config!$B$12:$B$15,MATCH(IF(AND(D767="Cartão de crédito",N(E767)&gt;1),"Cartão de crédito parcelado",D767),Config!$A$12:$A$15,0)),0)+IF(AND(Config!$B$17="Sim",LEFT(D767,17)="Cartão de crédito"),Config!$B$18*IFERROR(INDEX(Config!$C$12:$C$15,MATCH(IF(AND(D767="Cartão de crédito",N(E767)&gt;1),"Cartão de crédito parcelado",D767),Config!$A$12:$A$15,0)),0)/30*MAX(1,N(E767)),0))</f>
        <v/>
      </c>
      <c r="I767" s="29">
        <f>IF(OR(D767="",F767=""),"",ROUND(F767*H767,2))</f>
        <v/>
      </c>
      <c r="J767" s="29">
        <f>IF(I767="","",F767-I767)</f>
        <v/>
      </c>
      <c r="K767" s="29">
        <f>IF(J767="","",J767/MAX(1,N(E767)))</f>
        <v/>
      </c>
      <c r="L767" s="37">
        <f>IF(OR(D767="",A767=""),"",A767+IF(AND(Config!$B$17="Sim",LEFT(D767,17)="Cartão de crédito"),1,IFERROR(INDEX(Config!$C$12:$C$15,MATCH(IF(AND(D767="Cartão de crédito",N(E767)&gt;1),"Cartão de crédito parcelado",D767),Config!$A$12:$A$15,0)),0)))</f>
        <v/>
      </c>
      <c r="M767" s="37">
        <f>IF(L767="","",IF(AND(Config!$B$17="Sim",LEFT(D767,17)="Cartão de crédito"),L767,L767+30*(MAX(1,N(E767))-1)))</f>
        <v/>
      </c>
      <c r="N767" s="29">
        <f>IF(OR(L767="",K767=""),"",K767*MIN(MAX(1,N(E767)),MAX(0,INT((Config!$B$8-L767)/30)+1)))</f>
        <v/>
      </c>
      <c r="O767" s="29">
        <f>IF(J767="","",J767-N(N767))</f>
        <v/>
      </c>
      <c r="P767" s="27">
        <f>IF(A767="","",MONTH(A767))</f>
        <v/>
      </c>
      <c r="Q767" s="27">
        <f>IF(A767="","",YEAR(A767))</f>
        <v/>
      </c>
      <c r="R767" s="27">
        <f>IF(L767="","",IF(L767&gt;Config!$B$8,"A cair",IF(N(G767)&gt;=MIN(MAX(1,N(E767)),MAX(0,INT((Config!$B$8-L767)/30)+1)),IF(N(G767)&gt;=MAX(1,N(E767)),"Conferido","Conferido até aqui"),"A conferir")))</f>
        <v/>
      </c>
      <c r="S767" s="51">
        <f>IF(R767="A conferir",(Config!$B$8-L767)*1000+N(F767)/1000+ROW()/100000,0)</f>
        <v>0</v>
      </c>
      <c r="T767" s="51">
        <f>IF(R767="A conferir",N(N767),0)</f>
        <v>0</v>
      </c>
      <c r="U767" s="51">
        <f>IF(L767="",0,L767)</f>
        <v>0</v>
      </c>
      <c r="V767" s="51">
        <f>IF(L767="",0,MAX(1,N(E767)))</f>
        <v>0</v>
      </c>
      <c r="W767" s="51">
        <f>IF(K767="",0,K767)</f>
        <v>0</v>
      </c>
    </row>
    <row r="768">
      <c r="A768" s="49" t="n"/>
      <c r="B768" s="41" t="n"/>
      <c r="C768" s="41" t="n"/>
      <c r="D768" s="42" t="n"/>
      <c r="E768" s="42" t="n"/>
      <c r="F768" s="50" t="n"/>
      <c r="G768" s="42" t="n"/>
      <c r="H768" s="30">
        <f>IF(D768="","",IFERROR(INDEX(Config!$B$12:$B$15,MATCH(IF(AND(D768="Cartão de crédito",N(E768)&gt;1),"Cartão de crédito parcelado",D768),Config!$A$12:$A$15,0)),0)+IF(AND(Config!$B$17="Sim",LEFT(D768,17)="Cartão de crédito"),Config!$B$18*IFERROR(INDEX(Config!$C$12:$C$15,MATCH(IF(AND(D768="Cartão de crédito",N(E768)&gt;1),"Cartão de crédito parcelado",D768),Config!$A$12:$A$15,0)),0)/30*MAX(1,N(E768)),0))</f>
        <v/>
      </c>
      <c r="I768" s="29">
        <f>IF(OR(D768="",F768=""),"",ROUND(F768*H768,2))</f>
        <v/>
      </c>
      <c r="J768" s="29">
        <f>IF(I768="","",F768-I768)</f>
        <v/>
      </c>
      <c r="K768" s="29">
        <f>IF(J768="","",J768/MAX(1,N(E768)))</f>
        <v/>
      </c>
      <c r="L768" s="37">
        <f>IF(OR(D768="",A768=""),"",A768+IF(AND(Config!$B$17="Sim",LEFT(D768,17)="Cartão de crédito"),1,IFERROR(INDEX(Config!$C$12:$C$15,MATCH(IF(AND(D768="Cartão de crédito",N(E768)&gt;1),"Cartão de crédito parcelado",D768),Config!$A$12:$A$15,0)),0)))</f>
        <v/>
      </c>
      <c r="M768" s="37">
        <f>IF(L768="","",IF(AND(Config!$B$17="Sim",LEFT(D768,17)="Cartão de crédito"),L768,L768+30*(MAX(1,N(E768))-1)))</f>
        <v/>
      </c>
      <c r="N768" s="29">
        <f>IF(OR(L768="",K768=""),"",K768*MIN(MAX(1,N(E768)),MAX(0,INT((Config!$B$8-L768)/30)+1)))</f>
        <v/>
      </c>
      <c r="O768" s="29">
        <f>IF(J768="","",J768-N(N768))</f>
        <v/>
      </c>
      <c r="P768" s="27">
        <f>IF(A768="","",MONTH(A768))</f>
        <v/>
      </c>
      <c r="Q768" s="27">
        <f>IF(A768="","",YEAR(A768))</f>
        <v/>
      </c>
      <c r="R768" s="27">
        <f>IF(L768="","",IF(L768&gt;Config!$B$8,"A cair",IF(N(G768)&gt;=MIN(MAX(1,N(E768)),MAX(0,INT((Config!$B$8-L768)/30)+1)),IF(N(G768)&gt;=MAX(1,N(E768)),"Conferido","Conferido até aqui"),"A conferir")))</f>
        <v/>
      </c>
      <c r="S768" s="51">
        <f>IF(R768="A conferir",(Config!$B$8-L768)*1000+N(F768)/1000+ROW()/100000,0)</f>
        <v>0</v>
      </c>
      <c r="T768" s="51">
        <f>IF(R768="A conferir",N(N768),0)</f>
        <v>0</v>
      </c>
      <c r="U768" s="51">
        <f>IF(L768="",0,L768)</f>
        <v>0</v>
      </c>
      <c r="V768" s="51">
        <f>IF(L768="",0,MAX(1,N(E768)))</f>
        <v>0</v>
      </c>
      <c r="W768" s="51">
        <f>IF(K768="",0,K768)</f>
        <v>0</v>
      </c>
    </row>
    <row r="769">
      <c r="A769" s="49" t="n"/>
      <c r="B769" s="41" t="n"/>
      <c r="C769" s="41" t="n"/>
      <c r="D769" s="42" t="n"/>
      <c r="E769" s="42" t="n"/>
      <c r="F769" s="50" t="n"/>
      <c r="G769" s="42" t="n"/>
      <c r="H769" s="30">
        <f>IF(D769="","",IFERROR(INDEX(Config!$B$12:$B$15,MATCH(IF(AND(D769="Cartão de crédito",N(E769)&gt;1),"Cartão de crédito parcelado",D769),Config!$A$12:$A$15,0)),0)+IF(AND(Config!$B$17="Sim",LEFT(D769,17)="Cartão de crédito"),Config!$B$18*IFERROR(INDEX(Config!$C$12:$C$15,MATCH(IF(AND(D769="Cartão de crédito",N(E769)&gt;1),"Cartão de crédito parcelado",D769),Config!$A$12:$A$15,0)),0)/30*MAX(1,N(E769)),0))</f>
        <v/>
      </c>
      <c r="I769" s="29">
        <f>IF(OR(D769="",F769=""),"",ROUND(F769*H769,2))</f>
        <v/>
      </c>
      <c r="J769" s="29">
        <f>IF(I769="","",F769-I769)</f>
        <v/>
      </c>
      <c r="K769" s="29">
        <f>IF(J769="","",J769/MAX(1,N(E769)))</f>
        <v/>
      </c>
      <c r="L769" s="37">
        <f>IF(OR(D769="",A769=""),"",A769+IF(AND(Config!$B$17="Sim",LEFT(D769,17)="Cartão de crédito"),1,IFERROR(INDEX(Config!$C$12:$C$15,MATCH(IF(AND(D769="Cartão de crédito",N(E769)&gt;1),"Cartão de crédito parcelado",D769),Config!$A$12:$A$15,0)),0)))</f>
        <v/>
      </c>
      <c r="M769" s="37">
        <f>IF(L769="","",IF(AND(Config!$B$17="Sim",LEFT(D769,17)="Cartão de crédito"),L769,L769+30*(MAX(1,N(E769))-1)))</f>
        <v/>
      </c>
      <c r="N769" s="29">
        <f>IF(OR(L769="",K769=""),"",K769*MIN(MAX(1,N(E769)),MAX(0,INT((Config!$B$8-L769)/30)+1)))</f>
        <v/>
      </c>
      <c r="O769" s="29">
        <f>IF(J769="","",J769-N(N769))</f>
        <v/>
      </c>
      <c r="P769" s="27">
        <f>IF(A769="","",MONTH(A769))</f>
        <v/>
      </c>
      <c r="Q769" s="27">
        <f>IF(A769="","",YEAR(A769))</f>
        <v/>
      </c>
      <c r="R769" s="27">
        <f>IF(L769="","",IF(L769&gt;Config!$B$8,"A cair",IF(N(G769)&gt;=MIN(MAX(1,N(E769)),MAX(0,INT((Config!$B$8-L769)/30)+1)),IF(N(G769)&gt;=MAX(1,N(E769)),"Conferido","Conferido até aqui"),"A conferir")))</f>
        <v/>
      </c>
      <c r="S769" s="51">
        <f>IF(R769="A conferir",(Config!$B$8-L769)*1000+N(F769)/1000+ROW()/100000,0)</f>
        <v>0</v>
      </c>
      <c r="T769" s="51">
        <f>IF(R769="A conferir",N(N769),0)</f>
        <v>0</v>
      </c>
      <c r="U769" s="51">
        <f>IF(L769="",0,L769)</f>
        <v>0</v>
      </c>
      <c r="V769" s="51">
        <f>IF(L769="",0,MAX(1,N(E769)))</f>
        <v>0</v>
      </c>
      <c r="W769" s="51">
        <f>IF(K769="",0,K769)</f>
        <v>0</v>
      </c>
    </row>
    <row r="770">
      <c r="A770" s="49" t="n"/>
      <c r="B770" s="41" t="n"/>
      <c r="C770" s="41" t="n"/>
      <c r="D770" s="42" t="n"/>
      <c r="E770" s="42" t="n"/>
      <c r="F770" s="50" t="n"/>
      <c r="G770" s="42" t="n"/>
      <c r="H770" s="30">
        <f>IF(D770="","",IFERROR(INDEX(Config!$B$12:$B$15,MATCH(IF(AND(D770="Cartão de crédito",N(E770)&gt;1),"Cartão de crédito parcelado",D770),Config!$A$12:$A$15,0)),0)+IF(AND(Config!$B$17="Sim",LEFT(D770,17)="Cartão de crédito"),Config!$B$18*IFERROR(INDEX(Config!$C$12:$C$15,MATCH(IF(AND(D770="Cartão de crédito",N(E770)&gt;1),"Cartão de crédito parcelado",D770),Config!$A$12:$A$15,0)),0)/30*MAX(1,N(E770)),0))</f>
        <v/>
      </c>
      <c r="I770" s="29">
        <f>IF(OR(D770="",F770=""),"",ROUND(F770*H770,2))</f>
        <v/>
      </c>
      <c r="J770" s="29">
        <f>IF(I770="","",F770-I770)</f>
        <v/>
      </c>
      <c r="K770" s="29">
        <f>IF(J770="","",J770/MAX(1,N(E770)))</f>
        <v/>
      </c>
      <c r="L770" s="37">
        <f>IF(OR(D770="",A770=""),"",A770+IF(AND(Config!$B$17="Sim",LEFT(D770,17)="Cartão de crédito"),1,IFERROR(INDEX(Config!$C$12:$C$15,MATCH(IF(AND(D770="Cartão de crédito",N(E770)&gt;1),"Cartão de crédito parcelado",D770),Config!$A$12:$A$15,0)),0)))</f>
        <v/>
      </c>
      <c r="M770" s="37">
        <f>IF(L770="","",IF(AND(Config!$B$17="Sim",LEFT(D770,17)="Cartão de crédito"),L770,L770+30*(MAX(1,N(E770))-1)))</f>
        <v/>
      </c>
      <c r="N770" s="29">
        <f>IF(OR(L770="",K770=""),"",K770*MIN(MAX(1,N(E770)),MAX(0,INT((Config!$B$8-L770)/30)+1)))</f>
        <v/>
      </c>
      <c r="O770" s="29">
        <f>IF(J770="","",J770-N(N770))</f>
        <v/>
      </c>
      <c r="P770" s="27">
        <f>IF(A770="","",MONTH(A770))</f>
        <v/>
      </c>
      <c r="Q770" s="27">
        <f>IF(A770="","",YEAR(A770))</f>
        <v/>
      </c>
      <c r="R770" s="27">
        <f>IF(L770="","",IF(L770&gt;Config!$B$8,"A cair",IF(N(G770)&gt;=MIN(MAX(1,N(E770)),MAX(0,INT((Config!$B$8-L770)/30)+1)),IF(N(G770)&gt;=MAX(1,N(E770)),"Conferido","Conferido até aqui"),"A conferir")))</f>
        <v/>
      </c>
      <c r="S770" s="51">
        <f>IF(R770="A conferir",(Config!$B$8-L770)*1000+N(F770)/1000+ROW()/100000,0)</f>
        <v>0</v>
      </c>
      <c r="T770" s="51">
        <f>IF(R770="A conferir",N(N770),0)</f>
        <v>0</v>
      </c>
      <c r="U770" s="51">
        <f>IF(L770="",0,L770)</f>
        <v>0</v>
      </c>
      <c r="V770" s="51">
        <f>IF(L770="",0,MAX(1,N(E770)))</f>
        <v>0</v>
      </c>
      <c r="W770" s="51">
        <f>IF(K770="",0,K770)</f>
        <v>0</v>
      </c>
    </row>
    <row r="771">
      <c r="A771" s="49" t="n"/>
      <c r="B771" s="41" t="n"/>
      <c r="C771" s="41" t="n"/>
      <c r="D771" s="42" t="n"/>
      <c r="E771" s="42" t="n"/>
      <c r="F771" s="50" t="n"/>
      <c r="G771" s="42" t="n"/>
      <c r="H771" s="30">
        <f>IF(D771="","",IFERROR(INDEX(Config!$B$12:$B$15,MATCH(IF(AND(D771="Cartão de crédito",N(E771)&gt;1),"Cartão de crédito parcelado",D771),Config!$A$12:$A$15,0)),0)+IF(AND(Config!$B$17="Sim",LEFT(D771,17)="Cartão de crédito"),Config!$B$18*IFERROR(INDEX(Config!$C$12:$C$15,MATCH(IF(AND(D771="Cartão de crédito",N(E771)&gt;1),"Cartão de crédito parcelado",D771),Config!$A$12:$A$15,0)),0)/30*MAX(1,N(E771)),0))</f>
        <v/>
      </c>
      <c r="I771" s="29">
        <f>IF(OR(D771="",F771=""),"",ROUND(F771*H771,2))</f>
        <v/>
      </c>
      <c r="J771" s="29">
        <f>IF(I771="","",F771-I771)</f>
        <v/>
      </c>
      <c r="K771" s="29">
        <f>IF(J771="","",J771/MAX(1,N(E771)))</f>
        <v/>
      </c>
      <c r="L771" s="37">
        <f>IF(OR(D771="",A771=""),"",A771+IF(AND(Config!$B$17="Sim",LEFT(D771,17)="Cartão de crédito"),1,IFERROR(INDEX(Config!$C$12:$C$15,MATCH(IF(AND(D771="Cartão de crédito",N(E771)&gt;1),"Cartão de crédito parcelado",D771),Config!$A$12:$A$15,0)),0)))</f>
        <v/>
      </c>
      <c r="M771" s="37">
        <f>IF(L771="","",IF(AND(Config!$B$17="Sim",LEFT(D771,17)="Cartão de crédito"),L771,L771+30*(MAX(1,N(E771))-1)))</f>
        <v/>
      </c>
      <c r="N771" s="29">
        <f>IF(OR(L771="",K771=""),"",K771*MIN(MAX(1,N(E771)),MAX(0,INT((Config!$B$8-L771)/30)+1)))</f>
        <v/>
      </c>
      <c r="O771" s="29">
        <f>IF(J771="","",J771-N(N771))</f>
        <v/>
      </c>
      <c r="P771" s="27">
        <f>IF(A771="","",MONTH(A771))</f>
        <v/>
      </c>
      <c r="Q771" s="27">
        <f>IF(A771="","",YEAR(A771))</f>
        <v/>
      </c>
      <c r="R771" s="27">
        <f>IF(L771="","",IF(L771&gt;Config!$B$8,"A cair",IF(N(G771)&gt;=MIN(MAX(1,N(E771)),MAX(0,INT((Config!$B$8-L771)/30)+1)),IF(N(G771)&gt;=MAX(1,N(E771)),"Conferido","Conferido até aqui"),"A conferir")))</f>
        <v/>
      </c>
      <c r="S771" s="51">
        <f>IF(R771="A conferir",(Config!$B$8-L771)*1000+N(F771)/1000+ROW()/100000,0)</f>
        <v>0</v>
      </c>
      <c r="T771" s="51">
        <f>IF(R771="A conferir",N(N771),0)</f>
        <v>0</v>
      </c>
      <c r="U771" s="51">
        <f>IF(L771="",0,L771)</f>
        <v>0</v>
      </c>
      <c r="V771" s="51">
        <f>IF(L771="",0,MAX(1,N(E771)))</f>
        <v>0</v>
      </c>
      <c r="W771" s="51">
        <f>IF(K771="",0,K771)</f>
        <v>0</v>
      </c>
    </row>
    <row r="772">
      <c r="A772" s="49" t="n"/>
      <c r="B772" s="41" t="n"/>
      <c r="C772" s="41" t="n"/>
      <c r="D772" s="42" t="n"/>
      <c r="E772" s="42" t="n"/>
      <c r="F772" s="50" t="n"/>
      <c r="G772" s="42" t="n"/>
      <c r="H772" s="30">
        <f>IF(D772="","",IFERROR(INDEX(Config!$B$12:$B$15,MATCH(IF(AND(D772="Cartão de crédito",N(E772)&gt;1),"Cartão de crédito parcelado",D772),Config!$A$12:$A$15,0)),0)+IF(AND(Config!$B$17="Sim",LEFT(D772,17)="Cartão de crédito"),Config!$B$18*IFERROR(INDEX(Config!$C$12:$C$15,MATCH(IF(AND(D772="Cartão de crédito",N(E772)&gt;1),"Cartão de crédito parcelado",D772),Config!$A$12:$A$15,0)),0)/30*MAX(1,N(E772)),0))</f>
        <v/>
      </c>
      <c r="I772" s="29">
        <f>IF(OR(D772="",F772=""),"",ROUND(F772*H772,2))</f>
        <v/>
      </c>
      <c r="J772" s="29">
        <f>IF(I772="","",F772-I772)</f>
        <v/>
      </c>
      <c r="K772" s="29">
        <f>IF(J772="","",J772/MAX(1,N(E772)))</f>
        <v/>
      </c>
      <c r="L772" s="37">
        <f>IF(OR(D772="",A772=""),"",A772+IF(AND(Config!$B$17="Sim",LEFT(D772,17)="Cartão de crédito"),1,IFERROR(INDEX(Config!$C$12:$C$15,MATCH(IF(AND(D772="Cartão de crédito",N(E772)&gt;1),"Cartão de crédito parcelado",D772),Config!$A$12:$A$15,0)),0)))</f>
        <v/>
      </c>
      <c r="M772" s="37">
        <f>IF(L772="","",IF(AND(Config!$B$17="Sim",LEFT(D772,17)="Cartão de crédito"),L772,L772+30*(MAX(1,N(E772))-1)))</f>
        <v/>
      </c>
      <c r="N772" s="29">
        <f>IF(OR(L772="",K772=""),"",K772*MIN(MAX(1,N(E772)),MAX(0,INT((Config!$B$8-L772)/30)+1)))</f>
        <v/>
      </c>
      <c r="O772" s="29">
        <f>IF(J772="","",J772-N(N772))</f>
        <v/>
      </c>
      <c r="P772" s="27">
        <f>IF(A772="","",MONTH(A772))</f>
        <v/>
      </c>
      <c r="Q772" s="27">
        <f>IF(A772="","",YEAR(A772))</f>
        <v/>
      </c>
      <c r="R772" s="27">
        <f>IF(L772="","",IF(L772&gt;Config!$B$8,"A cair",IF(N(G772)&gt;=MIN(MAX(1,N(E772)),MAX(0,INT((Config!$B$8-L772)/30)+1)),IF(N(G772)&gt;=MAX(1,N(E772)),"Conferido","Conferido até aqui"),"A conferir")))</f>
        <v/>
      </c>
      <c r="S772" s="51">
        <f>IF(R772="A conferir",(Config!$B$8-L772)*1000+N(F772)/1000+ROW()/100000,0)</f>
        <v>0</v>
      </c>
      <c r="T772" s="51">
        <f>IF(R772="A conferir",N(N772),0)</f>
        <v>0</v>
      </c>
      <c r="U772" s="51">
        <f>IF(L772="",0,L772)</f>
        <v>0</v>
      </c>
      <c r="V772" s="51">
        <f>IF(L772="",0,MAX(1,N(E772)))</f>
        <v>0</v>
      </c>
      <c r="W772" s="51">
        <f>IF(K772="",0,K772)</f>
        <v>0</v>
      </c>
    </row>
    <row r="773">
      <c r="A773" s="49" t="n"/>
      <c r="B773" s="41" t="n"/>
      <c r="C773" s="41" t="n"/>
      <c r="D773" s="42" t="n"/>
      <c r="E773" s="42" t="n"/>
      <c r="F773" s="50" t="n"/>
      <c r="G773" s="42" t="n"/>
      <c r="H773" s="30">
        <f>IF(D773="","",IFERROR(INDEX(Config!$B$12:$B$15,MATCH(IF(AND(D773="Cartão de crédito",N(E773)&gt;1),"Cartão de crédito parcelado",D773),Config!$A$12:$A$15,0)),0)+IF(AND(Config!$B$17="Sim",LEFT(D773,17)="Cartão de crédito"),Config!$B$18*IFERROR(INDEX(Config!$C$12:$C$15,MATCH(IF(AND(D773="Cartão de crédito",N(E773)&gt;1),"Cartão de crédito parcelado",D773),Config!$A$12:$A$15,0)),0)/30*MAX(1,N(E773)),0))</f>
        <v/>
      </c>
      <c r="I773" s="29">
        <f>IF(OR(D773="",F773=""),"",ROUND(F773*H773,2))</f>
        <v/>
      </c>
      <c r="J773" s="29">
        <f>IF(I773="","",F773-I773)</f>
        <v/>
      </c>
      <c r="K773" s="29">
        <f>IF(J773="","",J773/MAX(1,N(E773)))</f>
        <v/>
      </c>
      <c r="L773" s="37">
        <f>IF(OR(D773="",A773=""),"",A773+IF(AND(Config!$B$17="Sim",LEFT(D773,17)="Cartão de crédito"),1,IFERROR(INDEX(Config!$C$12:$C$15,MATCH(IF(AND(D773="Cartão de crédito",N(E773)&gt;1),"Cartão de crédito parcelado",D773),Config!$A$12:$A$15,0)),0)))</f>
        <v/>
      </c>
      <c r="M773" s="37">
        <f>IF(L773="","",IF(AND(Config!$B$17="Sim",LEFT(D773,17)="Cartão de crédito"),L773,L773+30*(MAX(1,N(E773))-1)))</f>
        <v/>
      </c>
      <c r="N773" s="29">
        <f>IF(OR(L773="",K773=""),"",K773*MIN(MAX(1,N(E773)),MAX(0,INT((Config!$B$8-L773)/30)+1)))</f>
        <v/>
      </c>
      <c r="O773" s="29">
        <f>IF(J773="","",J773-N(N773))</f>
        <v/>
      </c>
      <c r="P773" s="27">
        <f>IF(A773="","",MONTH(A773))</f>
        <v/>
      </c>
      <c r="Q773" s="27">
        <f>IF(A773="","",YEAR(A773))</f>
        <v/>
      </c>
      <c r="R773" s="27">
        <f>IF(L773="","",IF(L773&gt;Config!$B$8,"A cair",IF(N(G773)&gt;=MIN(MAX(1,N(E773)),MAX(0,INT((Config!$B$8-L773)/30)+1)),IF(N(G773)&gt;=MAX(1,N(E773)),"Conferido","Conferido até aqui"),"A conferir")))</f>
        <v/>
      </c>
      <c r="S773" s="51">
        <f>IF(R773="A conferir",(Config!$B$8-L773)*1000+N(F773)/1000+ROW()/100000,0)</f>
        <v>0</v>
      </c>
      <c r="T773" s="51">
        <f>IF(R773="A conferir",N(N773),0)</f>
        <v>0</v>
      </c>
      <c r="U773" s="51">
        <f>IF(L773="",0,L773)</f>
        <v>0</v>
      </c>
      <c r="V773" s="51">
        <f>IF(L773="",0,MAX(1,N(E773)))</f>
        <v>0</v>
      </c>
      <c r="W773" s="51">
        <f>IF(K773="",0,K773)</f>
        <v>0</v>
      </c>
    </row>
    <row r="774">
      <c r="A774" s="49" t="n"/>
      <c r="B774" s="41" t="n"/>
      <c r="C774" s="41" t="n"/>
      <c r="D774" s="42" t="n"/>
      <c r="E774" s="42" t="n"/>
      <c r="F774" s="50" t="n"/>
      <c r="G774" s="42" t="n"/>
      <c r="H774" s="30">
        <f>IF(D774="","",IFERROR(INDEX(Config!$B$12:$B$15,MATCH(IF(AND(D774="Cartão de crédito",N(E774)&gt;1),"Cartão de crédito parcelado",D774),Config!$A$12:$A$15,0)),0)+IF(AND(Config!$B$17="Sim",LEFT(D774,17)="Cartão de crédito"),Config!$B$18*IFERROR(INDEX(Config!$C$12:$C$15,MATCH(IF(AND(D774="Cartão de crédito",N(E774)&gt;1),"Cartão de crédito parcelado",D774),Config!$A$12:$A$15,0)),0)/30*MAX(1,N(E774)),0))</f>
        <v/>
      </c>
      <c r="I774" s="29">
        <f>IF(OR(D774="",F774=""),"",ROUND(F774*H774,2))</f>
        <v/>
      </c>
      <c r="J774" s="29">
        <f>IF(I774="","",F774-I774)</f>
        <v/>
      </c>
      <c r="K774" s="29">
        <f>IF(J774="","",J774/MAX(1,N(E774)))</f>
        <v/>
      </c>
      <c r="L774" s="37">
        <f>IF(OR(D774="",A774=""),"",A774+IF(AND(Config!$B$17="Sim",LEFT(D774,17)="Cartão de crédito"),1,IFERROR(INDEX(Config!$C$12:$C$15,MATCH(IF(AND(D774="Cartão de crédito",N(E774)&gt;1),"Cartão de crédito parcelado",D774),Config!$A$12:$A$15,0)),0)))</f>
        <v/>
      </c>
      <c r="M774" s="37">
        <f>IF(L774="","",IF(AND(Config!$B$17="Sim",LEFT(D774,17)="Cartão de crédito"),L774,L774+30*(MAX(1,N(E774))-1)))</f>
        <v/>
      </c>
      <c r="N774" s="29">
        <f>IF(OR(L774="",K774=""),"",K774*MIN(MAX(1,N(E774)),MAX(0,INT((Config!$B$8-L774)/30)+1)))</f>
        <v/>
      </c>
      <c r="O774" s="29">
        <f>IF(J774="","",J774-N(N774))</f>
        <v/>
      </c>
      <c r="P774" s="27">
        <f>IF(A774="","",MONTH(A774))</f>
        <v/>
      </c>
      <c r="Q774" s="27">
        <f>IF(A774="","",YEAR(A774))</f>
        <v/>
      </c>
      <c r="R774" s="27">
        <f>IF(L774="","",IF(L774&gt;Config!$B$8,"A cair",IF(N(G774)&gt;=MIN(MAX(1,N(E774)),MAX(0,INT((Config!$B$8-L774)/30)+1)),IF(N(G774)&gt;=MAX(1,N(E774)),"Conferido","Conferido até aqui"),"A conferir")))</f>
        <v/>
      </c>
      <c r="S774" s="51">
        <f>IF(R774="A conferir",(Config!$B$8-L774)*1000+N(F774)/1000+ROW()/100000,0)</f>
        <v>0</v>
      </c>
      <c r="T774" s="51">
        <f>IF(R774="A conferir",N(N774),0)</f>
        <v>0</v>
      </c>
      <c r="U774" s="51">
        <f>IF(L774="",0,L774)</f>
        <v>0</v>
      </c>
      <c r="V774" s="51">
        <f>IF(L774="",0,MAX(1,N(E774)))</f>
        <v>0</v>
      </c>
      <c r="W774" s="51">
        <f>IF(K774="",0,K774)</f>
        <v>0</v>
      </c>
    </row>
    <row r="775">
      <c r="A775" s="49" t="n"/>
      <c r="B775" s="41" t="n"/>
      <c r="C775" s="41" t="n"/>
      <c r="D775" s="42" t="n"/>
      <c r="E775" s="42" t="n"/>
      <c r="F775" s="50" t="n"/>
      <c r="G775" s="42" t="n"/>
      <c r="H775" s="30">
        <f>IF(D775="","",IFERROR(INDEX(Config!$B$12:$B$15,MATCH(IF(AND(D775="Cartão de crédito",N(E775)&gt;1),"Cartão de crédito parcelado",D775),Config!$A$12:$A$15,0)),0)+IF(AND(Config!$B$17="Sim",LEFT(D775,17)="Cartão de crédito"),Config!$B$18*IFERROR(INDEX(Config!$C$12:$C$15,MATCH(IF(AND(D775="Cartão de crédito",N(E775)&gt;1),"Cartão de crédito parcelado",D775),Config!$A$12:$A$15,0)),0)/30*MAX(1,N(E775)),0))</f>
        <v/>
      </c>
      <c r="I775" s="29">
        <f>IF(OR(D775="",F775=""),"",ROUND(F775*H775,2))</f>
        <v/>
      </c>
      <c r="J775" s="29">
        <f>IF(I775="","",F775-I775)</f>
        <v/>
      </c>
      <c r="K775" s="29">
        <f>IF(J775="","",J775/MAX(1,N(E775)))</f>
        <v/>
      </c>
      <c r="L775" s="37">
        <f>IF(OR(D775="",A775=""),"",A775+IF(AND(Config!$B$17="Sim",LEFT(D775,17)="Cartão de crédito"),1,IFERROR(INDEX(Config!$C$12:$C$15,MATCH(IF(AND(D775="Cartão de crédito",N(E775)&gt;1),"Cartão de crédito parcelado",D775),Config!$A$12:$A$15,0)),0)))</f>
        <v/>
      </c>
      <c r="M775" s="37">
        <f>IF(L775="","",IF(AND(Config!$B$17="Sim",LEFT(D775,17)="Cartão de crédito"),L775,L775+30*(MAX(1,N(E775))-1)))</f>
        <v/>
      </c>
      <c r="N775" s="29">
        <f>IF(OR(L775="",K775=""),"",K775*MIN(MAX(1,N(E775)),MAX(0,INT((Config!$B$8-L775)/30)+1)))</f>
        <v/>
      </c>
      <c r="O775" s="29">
        <f>IF(J775="","",J775-N(N775))</f>
        <v/>
      </c>
      <c r="P775" s="27">
        <f>IF(A775="","",MONTH(A775))</f>
        <v/>
      </c>
      <c r="Q775" s="27">
        <f>IF(A775="","",YEAR(A775))</f>
        <v/>
      </c>
      <c r="R775" s="27">
        <f>IF(L775="","",IF(L775&gt;Config!$B$8,"A cair",IF(N(G775)&gt;=MIN(MAX(1,N(E775)),MAX(0,INT((Config!$B$8-L775)/30)+1)),IF(N(G775)&gt;=MAX(1,N(E775)),"Conferido","Conferido até aqui"),"A conferir")))</f>
        <v/>
      </c>
      <c r="S775" s="51">
        <f>IF(R775="A conferir",(Config!$B$8-L775)*1000+N(F775)/1000+ROW()/100000,0)</f>
        <v>0</v>
      </c>
      <c r="T775" s="51">
        <f>IF(R775="A conferir",N(N775),0)</f>
        <v>0</v>
      </c>
      <c r="U775" s="51">
        <f>IF(L775="",0,L775)</f>
        <v>0</v>
      </c>
      <c r="V775" s="51">
        <f>IF(L775="",0,MAX(1,N(E775)))</f>
        <v>0</v>
      </c>
      <c r="W775" s="51">
        <f>IF(K775="",0,K775)</f>
        <v>0</v>
      </c>
    </row>
    <row r="776">
      <c r="A776" s="49" t="n"/>
      <c r="B776" s="41" t="n"/>
      <c r="C776" s="41" t="n"/>
      <c r="D776" s="42" t="n"/>
      <c r="E776" s="42" t="n"/>
      <c r="F776" s="50" t="n"/>
      <c r="G776" s="42" t="n"/>
      <c r="H776" s="30">
        <f>IF(D776="","",IFERROR(INDEX(Config!$B$12:$B$15,MATCH(IF(AND(D776="Cartão de crédito",N(E776)&gt;1),"Cartão de crédito parcelado",D776),Config!$A$12:$A$15,0)),0)+IF(AND(Config!$B$17="Sim",LEFT(D776,17)="Cartão de crédito"),Config!$B$18*IFERROR(INDEX(Config!$C$12:$C$15,MATCH(IF(AND(D776="Cartão de crédito",N(E776)&gt;1),"Cartão de crédito parcelado",D776),Config!$A$12:$A$15,0)),0)/30*MAX(1,N(E776)),0))</f>
        <v/>
      </c>
      <c r="I776" s="29">
        <f>IF(OR(D776="",F776=""),"",ROUND(F776*H776,2))</f>
        <v/>
      </c>
      <c r="J776" s="29">
        <f>IF(I776="","",F776-I776)</f>
        <v/>
      </c>
      <c r="K776" s="29">
        <f>IF(J776="","",J776/MAX(1,N(E776)))</f>
        <v/>
      </c>
      <c r="L776" s="37">
        <f>IF(OR(D776="",A776=""),"",A776+IF(AND(Config!$B$17="Sim",LEFT(D776,17)="Cartão de crédito"),1,IFERROR(INDEX(Config!$C$12:$C$15,MATCH(IF(AND(D776="Cartão de crédito",N(E776)&gt;1),"Cartão de crédito parcelado",D776),Config!$A$12:$A$15,0)),0)))</f>
        <v/>
      </c>
      <c r="M776" s="37">
        <f>IF(L776="","",IF(AND(Config!$B$17="Sim",LEFT(D776,17)="Cartão de crédito"),L776,L776+30*(MAX(1,N(E776))-1)))</f>
        <v/>
      </c>
      <c r="N776" s="29">
        <f>IF(OR(L776="",K776=""),"",K776*MIN(MAX(1,N(E776)),MAX(0,INT((Config!$B$8-L776)/30)+1)))</f>
        <v/>
      </c>
      <c r="O776" s="29">
        <f>IF(J776="","",J776-N(N776))</f>
        <v/>
      </c>
      <c r="P776" s="27">
        <f>IF(A776="","",MONTH(A776))</f>
        <v/>
      </c>
      <c r="Q776" s="27">
        <f>IF(A776="","",YEAR(A776))</f>
        <v/>
      </c>
      <c r="R776" s="27">
        <f>IF(L776="","",IF(L776&gt;Config!$B$8,"A cair",IF(N(G776)&gt;=MIN(MAX(1,N(E776)),MAX(0,INT((Config!$B$8-L776)/30)+1)),IF(N(G776)&gt;=MAX(1,N(E776)),"Conferido","Conferido até aqui"),"A conferir")))</f>
        <v/>
      </c>
      <c r="S776" s="51">
        <f>IF(R776="A conferir",(Config!$B$8-L776)*1000+N(F776)/1000+ROW()/100000,0)</f>
        <v>0</v>
      </c>
      <c r="T776" s="51">
        <f>IF(R776="A conferir",N(N776),0)</f>
        <v>0</v>
      </c>
      <c r="U776" s="51">
        <f>IF(L776="",0,L776)</f>
        <v>0</v>
      </c>
      <c r="V776" s="51">
        <f>IF(L776="",0,MAX(1,N(E776)))</f>
        <v>0</v>
      </c>
      <c r="W776" s="51">
        <f>IF(K776="",0,K776)</f>
        <v>0</v>
      </c>
    </row>
    <row r="777">
      <c r="A777" s="49" t="n"/>
      <c r="B777" s="41" t="n"/>
      <c r="C777" s="41" t="n"/>
      <c r="D777" s="42" t="n"/>
      <c r="E777" s="42" t="n"/>
      <c r="F777" s="50" t="n"/>
      <c r="G777" s="42" t="n"/>
      <c r="H777" s="30">
        <f>IF(D777="","",IFERROR(INDEX(Config!$B$12:$B$15,MATCH(IF(AND(D777="Cartão de crédito",N(E777)&gt;1),"Cartão de crédito parcelado",D777),Config!$A$12:$A$15,0)),0)+IF(AND(Config!$B$17="Sim",LEFT(D777,17)="Cartão de crédito"),Config!$B$18*IFERROR(INDEX(Config!$C$12:$C$15,MATCH(IF(AND(D777="Cartão de crédito",N(E777)&gt;1),"Cartão de crédito parcelado",D777),Config!$A$12:$A$15,0)),0)/30*MAX(1,N(E777)),0))</f>
        <v/>
      </c>
      <c r="I777" s="29">
        <f>IF(OR(D777="",F777=""),"",ROUND(F777*H777,2))</f>
        <v/>
      </c>
      <c r="J777" s="29">
        <f>IF(I777="","",F777-I777)</f>
        <v/>
      </c>
      <c r="K777" s="29">
        <f>IF(J777="","",J777/MAX(1,N(E777)))</f>
        <v/>
      </c>
      <c r="L777" s="37">
        <f>IF(OR(D777="",A777=""),"",A777+IF(AND(Config!$B$17="Sim",LEFT(D777,17)="Cartão de crédito"),1,IFERROR(INDEX(Config!$C$12:$C$15,MATCH(IF(AND(D777="Cartão de crédito",N(E777)&gt;1),"Cartão de crédito parcelado",D777),Config!$A$12:$A$15,0)),0)))</f>
        <v/>
      </c>
      <c r="M777" s="37">
        <f>IF(L777="","",IF(AND(Config!$B$17="Sim",LEFT(D777,17)="Cartão de crédito"),L777,L777+30*(MAX(1,N(E777))-1)))</f>
        <v/>
      </c>
      <c r="N777" s="29">
        <f>IF(OR(L777="",K777=""),"",K777*MIN(MAX(1,N(E777)),MAX(0,INT((Config!$B$8-L777)/30)+1)))</f>
        <v/>
      </c>
      <c r="O777" s="29">
        <f>IF(J777="","",J777-N(N777))</f>
        <v/>
      </c>
      <c r="P777" s="27">
        <f>IF(A777="","",MONTH(A777))</f>
        <v/>
      </c>
      <c r="Q777" s="27">
        <f>IF(A777="","",YEAR(A777))</f>
        <v/>
      </c>
      <c r="R777" s="27">
        <f>IF(L777="","",IF(L777&gt;Config!$B$8,"A cair",IF(N(G777)&gt;=MIN(MAX(1,N(E777)),MAX(0,INT((Config!$B$8-L777)/30)+1)),IF(N(G777)&gt;=MAX(1,N(E777)),"Conferido","Conferido até aqui"),"A conferir")))</f>
        <v/>
      </c>
      <c r="S777" s="51">
        <f>IF(R777="A conferir",(Config!$B$8-L777)*1000+N(F777)/1000+ROW()/100000,0)</f>
        <v>0</v>
      </c>
      <c r="T777" s="51">
        <f>IF(R777="A conferir",N(N777),0)</f>
        <v>0</v>
      </c>
      <c r="U777" s="51">
        <f>IF(L777="",0,L777)</f>
        <v>0</v>
      </c>
      <c r="V777" s="51">
        <f>IF(L777="",0,MAX(1,N(E777)))</f>
        <v>0</v>
      </c>
      <c r="W777" s="51">
        <f>IF(K777="",0,K777)</f>
        <v>0</v>
      </c>
    </row>
    <row r="778">
      <c r="A778" s="49" t="n"/>
      <c r="B778" s="41" t="n"/>
      <c r="C778" s="41" t="n"/>
      <c r="D778" s="42" t="n"/>
      <c r="E778" s="42" t="n"/>
      <c r="F778" s="50" t="n"/>
      <c r="G778" s="42" t="n"/>
      <c r="H778" s="30">
        <f>IF(D778="","",IFERROR(INDEX(Config!$B$12:$B$15,MATCH(IF(AND(D778="Cartão de crédito",N(E778)&gt;1),"Cartão de crédito parcelado",D778),Config!$A$12:$A$15,0)),0)+IF(AND(Config!$B$17="Sim",LEFT(D778,17)="Cartão de crédito"),Config!$B$18*IFERROR(INDEX(Config!$C$12:$C$15,MATCH(IF(AND(D778="Cartão de crédito",N(E778)&gt;1),"Cartão de crédito parcelado",D778),Config!$A$12:$A$15,0)),0)/30*MAX(1,N(E778)),0))</f>
        <v/>
      </c>
      <c r="I778" s="29">
        <f>IF(OR(D778="",F778=""),"",ROUND(F778*H778,2))</f>
        <v/>
      </c>
      <c r="J778" s="29">
        <f>IF(I778="","",F778-I778)</f>
        <v/>
      </c>
      <c r="K778" s="29">
        <f>IF(J778="","",J778/MAX(1,N(E778)))</f>
        <v/>
      </c>
      <c r="L778" s="37">
        <f>IF(OR(D778="",A778=""),"",A778+IF(AND(Config!$B$17="Sim",LEFT(D778,17)="Cartão de crédito"),1,IFERROR(INDEX(Config!$C$12:$C$15,MATCH(IF(AND(D778="Cartão de crédito",N(E778)&gt;1),"Cartão de crédito parcelado",D778),Config!$A$12:$A$15,0)),0)))</f>
        <v/>
      </c>
      <c r="M778" s="37">
        <f>IF(L778="","",IF(AND(Config!$B$17="Sim",LEFT(D778,17)="Cartão de crédito"),L778,L778+30*(MAX(1,N(E778))-1)))</f>
        <v/>
      </c>
      <c r="N778" s="29">
        <f>IF(OR(L778="",K778=""),"",K778*MIN(MAX(1,N(E778)),MAX(0,INT((Config!$B$8-L778)/30)+1)))</f>
        <v/>
      </c>
      <c r="O778" s="29">
        <f>IF(J778="","",J778-N(N778))</f>
        <v/>
      </c>
      <c r="P778" s="27">
        <f>IF(A778="","",MONTH(A778))</f>
        <v/>
      </c>
      <c r="Q778" s="27">
        <f>IF(A778="","",YEAR(A778))</f>
        <v/>
      </c>
      <c r="R778" s="27">
        <f>IF(L778="","",IF(L778&gt;Config!$B$8,"A cair",IF(N(G778)&gt;=MIN(MAX(1,N(E778)),MAX(0,INT((Config!$B$8-L778)/30)+1)),IF(N(G778)&gt;=MAX(1,N(E778)),"Conferido","Conferido até aqui"),"A conferir")))</f>
        <v/>
      </c>
      <c r="S778" s="51">
        <f>IF(R778="A conferir",(Config!$B$8-L778)*1000+N(F778)/1000+ROW()/100000,0)</f>
        <v>0</v>
      </c>
      <c r="T778" s="51">
        <f>IF(R778="A conferir",N(N778),0)</f>
        <v>0</v>
      </c>
      <c r="U778" s="51">
        <f>IF(L778="",0,L778)</f>
        <v>0</v>
      </c>
      <c r="V778" s="51">
        <f>IF(L778="",0,MAX(1,N(E778)))</f>
        <v>0</v>
      </c>
      <c r="W778" s="51">
        <f>IF(K778="",0,K778)</f>
        <v>0</v>
      </c>
    </row>
    <row r="779">
      <c r="A779" s="49" t="n"/>
      <c r="B779" s="41" t="n"/>
      <c r="C779" s="41" t="n"/>
      <c r="D779" s="42" t="n"/>
      <c r="E779" s="42" t="n"/>
      <c r="F779" s="50" t="n"/>
      <c r="G779" s="42" t="n"/>
      <c r="H779" s="30">
        <f>IF(D779="","",IFERROR(INDEX(Config!$B$12:$B$15,MATCH(IF(AND(D779="Cartão de crédito",N(E779)&gt;1),"Cartão de crédito parcelado",D779),Config!$A$12:$A$15,0)),0)+IF(AND(Config!$B$17="Sim",LEFT(D779,17)="Cartão de crédito"),Config!$B$18*IFERROR(INDEX(Config!$C$12:$C$15,MATCH(IF(AND(D779="Cartão de crédito",N(E779)&gt;1),"Cartão de crédito parcelado",D779),Config!$A$12:$A$15,0)),0)/30*MAX(1,N(E779)),0))</f>
        <v/>
      </c>
      <c r="I779" s="29">
        <f>IF(OR(D779="",F779=""),"",ROUND(F779*H779,2))</f>
        <v/>
      </c>
      <c r="J779" s="29">
        <f>IF(I779="","",F779-I779)</f>
        <v/>
      </c>
      <c r="K779" s="29">
        <f>IF(J779="","",J779/MAX(1,N(E779)))</f>
        <v/>
      </c>
      <c r="L779" s="37">
        <f>IF(OR(D779="",A779=""),"",A779+IF(AND(Config!$B$17="Sim",LEFT(D779,17)="Cartão de crédito"),1,IFERROR(INDEX(Config!$C$12:$C$15,MATCH(IF(AND(D779="Cartão de crédito",N(E779)&gt;1),"Cartão de crédito parcelado",D779),Config!$A$12:$A$15,0)),0)))</f>
        <v/>
      </c>
      <c r="M779" s="37">
        <f>IF(L779="","",IF(AND(Config!$B$17="Sim",LEFT(D779,17)="Cartão de crédito"),L779,L779+30*(MAX(1,N(E779))-1)))</f>
        <v/>
      </c>
      <c r="N779" s="29">
        <f>IF(OR(L779="",K779=""),"",K779*MIN(MAX(1,N(E779)),MAX(0,INT((Config!$B$8-L779)/30)+1)))</f>
        <v/>
      </c>
      <c r="O779" s="29">
        <f>IF(J779="","",J779-N(N779))</f>
        <v/>
      </c>
      <c r="P779" s="27">
        <f>IF(A779="","",MONTH(A779))</f>
        <v/>
      </c>
      <c r="Q779" s="27">
        <f>IF(A779="","",YEAR(A779))</f>
        <v/>
      </c>
      <c r="R779" s="27">
        <f>IF(L779="","",IF(L779&gt;Config!$B$8,"A cair",IF(N(G779)&gt;=MIN(MAX(1,N(E779)),MAX(0,INT((Config!$B$8-L779)/30)+1)),IF(N(G779)&gt;=MAX(1,N(E779)),"Conferido","Conferido até aqui"),"A conferir")))</f>
        <v/>
      </c>
      <c r="S779" s="51">
        <f>IF(R779="A conferir",(Config!$B$8-L779)*1000+N(F779)/1000+ROW()/100000,0)</f>
        <v>0</v>
      </c>
      <c r="T779" s="51">
        <f>IF(R779="A conferir",N(N779),0)</f>
        <v>0</v>
      </c>
      <c r="U779" s="51">
        <f>IF(L779="",0,L779)</f>
        <v>0</v>
      </c>
      <c r="V779" s="51">
        <f>IF(L779="",0,MAX(1,N(E779)))</f>
        <v>0</v>
      </c>
      <c r="W779" s="51">
        <f>IF(K779="",0,K779)</f>
        <v>0</v>
      </c>
    </row>
    <row r="780">
      <c r="A780" s="49" t="n"/>
      <c r="B780" s="41" t="n"/>
      <c r="C780" s="41" t="n"/>
      <c r="D780" s="42" t="n"/>
      <c r="E780" s="42" t="n"/>
      <c r="F780" s="50" t="n"/>
      <c r="G780" s="42" t="n"/>
      <c r="H780" s="30">
        <f>IF(D780="","",IFERROR(INDEX(Config!$B$12:$B$15,MATCH(IF(AND(D780="Cartão de crédito",N(E780)&gt;1),"Cartão de crédito parcelado",D780),Config!$A$12:$A$15,0)),0)+IF(AND(Config!$B$17="Sim",LEFT(D780,17)="Cartão de crédito"),Config!$B$18*IFERROR(INDEX(Config!$C$12:$C$15,MATCH(IF(AND(D780="Cartão de crédito",N(E780)&gt;1),"Cartão de crédito parcelado",D780),Config!$A$12:$A$15,0)),0)/30*MAX(1,N(E780)),0))</f>
        <v/>
      </c>
      <c r="I780" s="29">
        <f>IF(OR(D780="",F780=""),"",ROUND(F780*H780,2))</f>
        <v/>
      </c>
      <c r="J780" s="29">
        <f>IF(I780="","",F780-I780)</f>
        <v/>
      </c>
      <c r="K780" s="29">
        <f>IF(J780="","",J780/MAX(1,N(E780)))</f>
        <v/>
      </c>
      <c r="L780" s="37">
        <f>IF(OR(D780="",A780=""),"",A780+IF(AND(Config!$B$17="Sim",LEFT(D780,17)="Cartão de crédito"),1,IFERROR(INDEX(Config!$C$12:$C$15,MATCH(IF(AND(D780="Cartão de crédito",N(E780)&gt;1),"Cartão de crédito parcelado",D780),Config!$A$12:$A$15,0)),0)))</f>
        <v/>
      </c>
      <c r="M780" s="37">
        <f>IF(L780="","",IF(AND(Config!$B$17="Sim",LEFT(D780,17)="Cartão de crédito"),L780,L780+30*(MAX(1,N(E780))-1)))</f>
        <v/>
      </c>
      <c r="N780" s="29">
        <f>IF(OR(L780="",K780=""),"",K780*MIN(MAX(1,N(E780)),MAX(0,INT((Config!$B$8-L780)/30)+1)))</f>
        <v/>
      </c>
      <c r="O780" s="29">
        <f>IF(J780="","",J780-N(N780))</f>
        <v/>
      </c>
      <c r="P780" s="27">
        <f>IF(A780="","",MONTH(A780))</f>
        <v/>
      </c>
      <c r="Q780" s="27">
        <f>IF(A780="","",YEAR(A780))</f>
        <v/>
      </c>
      <c r="R780" s="27">
        <f>IF(L780="","",IF(L780&gt;Config!$B$8,"A cair",IF(N(G780)&gt;=MIN(MAX(1,N(E780)),MAX(0,INT((Config!$B$8-L780)/30)+1)),IF(N(G780)&gt;=MAX(1,N(E780)),"Conferido","Conferido até aqui"),"A conferir")))</f>
        <v/>
      </c>
      <c r="S780" s="51">
        <f>IF(R780="A conferir",(Config!$B$8-L780)*1000+N(F780)/1000+ROW()/100000,0)</f>
        <v>0</v>
      </c>
      <c r="T780" s="51">
        <f>IF(R780="A conferir",N(N780),0)</f>
        <v>0</v>
      </c>
      <c r="U780" s="51">
        <f>IF(L780="",0,L780)</f>
        <v>0</v>
      </c>
      <c r="V780" s="51">
        <f>IF(L780="",0,MAX(1,N(E780)))</f>
        <v>0</v>
      </c>
      <c r="W780" s="51">
        <f>IF(K780="",0,K780)</f>
        <v>0</v>
      </c>
    </row>
    <row r="781">
      <c r="A781" s="49" t="n"/>
      <c r="B781" s="41" t="n"/>
      <c r="C781" s="41" t="n"/>
      <c r="D781" s="42" t="n"/>
      <c r="E781" s="42" t="n"/>
      <c r="F781" s="50" t="n"/>
      <c r="G781" s="42" t="n"/>
      <c r="H781" s="30">
        <f>IF(D781="","",IFERROR(INDEX(Config!$B$12:$B$15,MATCH(IF(AND(D781="Cartão de crédito",N(E781)&gt;1),"Cartão de crédito parcelado",D781),Config!$A$12:$A$15,0)),0)+IF(AND(Config!$B$17="Sim",LEFT(D781,17)="Cartão de crédito"),Config!$B$18*IFERROR(INDEX(Config!$C$12:$C$15,MATCH(IF(AND(D781="Cartão de crédito",N(E781)&gt;1),"Cartão de crédito parcelado",D781),Config!$A$12:$A$15,0)),0)/30*MAX(1,N(E781)),0))</f>
        <v/>
      </c>
      <c r="I781" s="29">
        <f>IF(OR(D781="",F781=""),"",ROUND(F781*H781,2))</f>
        <v/>
      </c>
      <c r="J781" s="29">
        <f>IF(I781="","",F781-I781)</f>
        <v/>
      </c>
      <c r="K781" s="29">
        <f>IF(J781="","",J781/MAX(1,N(E781)))</f>
        <v/>
      </c>
      <c r="L781" s="37">
        <f>IF(OR(D781="",A781=""),"",A781+IF(AND(Config!$B$17="Sim",LEFT(D781,17)="Cartão de crédito"),1,IFERROR(INDEX(Config!$C$12:$C$15,MATCH(IF(AND(D781="Cartão de crédito",N(E781)&gt;1),"Cartão de crédito parcelado",D781),Config!$A$12:$A$15,0)),0)))</f>
        <v/>
      </c>
      <c r="M781" s="37">
        <f>IF(L781="","",IF(AND(Config!$B$17="Sim",LEFT(D781,17)="Cartão de crédito"),L781,L781+30*(MAX(1,N(E781))-1)))</f>
        <v/>
      </c>
      <c r="N781" s="29">
        <f>IF(OR(L781="",K781=""),"",K781*MIN(MAX(1,N(E781)),MAX(0,INT((Config!$B$8-L781)/30)+1)))</f>
        <v/>
      </c>
      <c r="O781" s="29">
        <f>IF(J781="","",J781-N(N781))</f>
        <v/>
      </c>
      <c r="P781" s="27">
        <f>IF(A781="","",MONTH(A781))</f>
        <v/>
      </c>
      <c r="Q781" s="27">
        <f>IF(A781="","",YEAR(A781))</f>
        <v/>
      </c>
      <c r="R781" s="27">
        <f>IF(L781="","",IF(L781&gt;Config!$B$8,"A cair",IF(N(G781)&gt;=MIN(MAX(1,N(E781)),MAX(0,INT((Config!$B$8-L781)/30)+1)),IF(N(G781)&gt;=MAX(1,N(E781)),"Conferido","Conferido até aqui"),"A conferir")))</f>
        <v/>
      </c>
      <c r="S781" s="51">
        <f>IF(R781="A conferir",(Config!$B$8-L781)*1000+N(F781)/1000+ROW()/100000,0)</f>
        <v>0</v>
      </c>
      <c r="T781" s="51">
        <f>IF(R781="A conferir",N(N781),0)</f>
        <v>0</v>
      </c>
      <c r="U781" s="51">
        <f>IF(L781="",0,L781)</f>
        <v>0</v>
      </c>
      <c r="V781" s="51">
        <f>IF(L781="",0,MAX(1,N(E781)))</f>
        <v>0</v>
      </c>
      <c r="W781" s="51">
        <f>IF(K781="",0,K781)</f>
        <v>0</v>
      </c>
    </row>
    <row r="782">
      <c r="A782" s="49" t="n"/>
      <c r="B782" s="41" t="n"/>
      <c r="C782" s="41" t="n"/>
      <c r="D782" s="42" t="n"/>
      <c r="E782" s="42" t="n"/>
      <c r="F782" s="50" t="n"/>
      <c r="G782" s="42" t="n"/>
      <c r="H782" s="30">
        <f>IF(D782="","",IFERROR(INDEX(Config!$B$12:$B$15,MATCH(IF(AND(D782="Cartão de crédito",N(E782)&gt;1),"Cartão de crédito parcelado",D782),Config!$A$12:$A$15,0)),0)+IF(AND(Config!$B$17="Sim",LEFT(D782,17)="Cartão de crédito"),Config!$B$18*IFERROR(INDEX(Config!$C$12:$C$15,MATCH(IF(AND(D782="Cartão de crédito",N(E782)&gt;1),"Cartão de crédito parcelado",D782),Config!$A$12:$A$15,0)),0)/30*MAX(1,N(E782)),0))</f>
        <v/>
      </c>
      <c r="I782" s="29">
        <f>IF(OR(D782="",F782=""),"",ROUND(F782*H782,2))</f>
        <v/>
      </c>
      <c r="J782" s="29">
        <f>IF(I782="","",F782-I782)</f>
        <v/>
      </c>
      <c r="K782" s="29">
        <f>IF(J782="","",J782/MAX(1,N(E782)))</f>
        <v/>
      </c>
      <c r="L782" s="37">
        <f>IF(OR(D782="",A782=""),"",A782+IF(AND(Config!$B$17="Sim",LEFT(D782,17)="Cartão de crédito"),1,IFERROR(INDEX(Config!$C$12:$C$15,MATCH(IF(AND(D782="Cartão de crédito",N(E782)&gt;1),"Cartão de crédito parcelado",D782),Config!$A$12:$A$15,0)),0)))</f>
        <v/>
      </c>
      <c r="M782" s="37">
        <f>IF(L782="","",IF(AND(Config!$B$17="Sim",LEFT(D782,17)="Cartão de crédito"),L782,L782+30*(MAX(1,N(E782))-1)))</f>
        <v/>
      </c>
      <c r="N782" s="29">
        <f>IF(OR(L782="",K782=""),"",K782*MIN(MAX(1,N(E782)),MAX(0,INT((Config!$B$8-L782)/30)+1)))</f>
        <v/>
      </c>
      <c r="O782" s="29">
        <f>IF(J782="","",J782-N(N782))</f>
        <v/>
      </c>
      <c r="P782" s="27">
        <f>IF(A782="","",MONTH(A782))</f>
        <v/>
      </c>
      <c r="Q782" s="27">
        <f>IF(A782="","",YEAR(A782))</f>
        <v/>
      </c>
      <c r="R782" s="27">
        <f>IF(L782="","",IF(L782&gt;Config!$B$8,"A cair",IF(N(G782)&gt;=MIN(MAX(1,N(E782)),MAX(0,INT((Config!$B$8-L782)/30)+1)),IF(N(G782)&gt;=MAX(1,N(E782)),"Conferido","Conferido até aqui"),"A conferir")))</f>
        <v/>
      </c>
      <c r="S782" s="51">
        <f>IF(R782="A conferir",(Config!$B$8-L782)*1000+N(F782)/1000+ROW()/100000,0)</f>
        <v>0</v>
      </c>
      <c r="T782" s="51">
        <f>IF(R782="A conferir",N(N782),0)</f>
        <v>0</v>
      </c>
      <c r="U782" s="51">
        <f>IF(L782="",0,L782)</f>
        <v>0</v>
      </c>
      <c r="V782" s="51">
        <f>IF(L782="",0,MAX(1,N(E782)))</f>
        <v>0</v>
      </c>
      <c r="W782" s="51">
        <f>IF(K782="",0,K782)</f>
        <v>0</v>
      </c>
    </row>
    <row r="783">
      <c r="A783" s="49" t="n"/>
      <c r="B783" s="41" t="n"/>
      <c r="C783" s="41" t="n"/>
      <c r="D783" s="42" t="n"/>
      <c r="E783" s="42" t="n"/>
      <c r="F783" s="50" t="n"/>
      <c r="G783" s="42" t="n"/>
      <c r="H783" s="30">
        <f>IF(D783="","",IFERROR(INDEX(Config!$B$12:$B$15,MATCH(IF(AND(D783="Cartão de crédito",N(E783)&gt;1),"Cartão de crédito parcelado",D783),Config!$A$12:$A$15,0)),0)+IF(AND(Config!$B$17="Sim",LEFT(D783,17)="Cartão de crédito"),Config!$B$18*IFERROR(INDEX(Config!$C$12:$C$15,MATCH(IF(AND(D783="Cartão de crédito",N(E783)&gt;1),"Cartão de crédito parcelado",D783),Config!$A$12:$A$15,0)),0)/30*MAX(1,N(E783)),0))</f>
        <v/>
      </c>
      <c r="I783" s="29">
        <f>IF(OR(D783="",F783=""),"",ROUND(F783*H783,2))</f>
        <v/>
      </c>
      <c r="J783" s="29">
        <f>IF(I783="","",F783-I783)</f>
        <v/>
      </c>
      <c r="K783" s="29">
        <f>IF(J783="","",J783/MAX(1,N(E783)))</f>
        <v/>
      </c>
      <c r="L783" s="37">
        <f>IF(OR(D783="",A783=""),"",A783+IF(AND(Config!$B$17="Sim",LEFT(D783,17)="Cartão de crédito"),1,IFERROR(INDEX(Config!$C$12:$C$15,MATCH(IF(AND(D783="Cartão de crédito",N(E783)&gt;1),"Cartão de crédito parcelado",D783),Config!$A$12:$A$15,0)),0)))</f>
        <v/>
      </c>
      <c r="M783" s="37">
        <f>IF(L783="","",IF(AND(Config!$B$17="Sim",LEFT(D783,17)="Cartão de crédito"),L783,L783+30*(MAX(1,N(E783))-1)))</f>
        <v/>
      </c>
      <c r="N783" s="29">
        <f>IF(OR(L783="",K783=""),"",K783*MIN(MAX(1,N(E783)),MAX(0,INT((Config!$B$8-L783)/30)+1)))</f>
        <v/>
      </c>
      <c r="O783" s="29">
        <f>IF(J783="","",J783-N(N783))</f>
        <v/>
      </c>
      <c r="P783" s="27">
        <f>IF(A783="","",MONTH(A783))</f>
        <v/>
      </c>
      <c r="Q783" s="27">
        <f>IF(A783="","",YEAR(A783))</f>
        <v/>
      </c>
      <c r="R783" s="27">
        <f>IF(L783="","",IF(L783&gt;Config!$B$8,"A cair",IF(N(G783)&gt;=MIN(MAX(1,N(E783)),MAX(0,INT((Config!$B$8-L783)/30)+1)),IF(N(G783)&gt;=MAX(1,N(E783)),"Conferido","Conferido até aqui"),"A conferir")))</f>
        <v/>
      </c>
      <c r="S783" s="51">
        <f>IF(R783="A conferir",(Config!$B$8-L783)*1000+N(F783)/1000+ROW()/100000,0)</f>
        <v>0</v>
      </c>
      <c r="T783" s="51">
        <f>IF(R783="A conferir",N(N783),0)</f>
        <v>0</v>
      </c>
      <c r="U783" s="51">
        <f>IF(L783="",0,L783)</f>
        <v>0</v>
      </c>
      <c r="V783" s="51">
        <f>IF(L783="",0,MAX(1,N(E783)))</f>
        <v>0</v>
      </c>
      <c r="W783" s="51">
        <f>IF(K783="",0,K783)</f>
        <v>0</v>
      </c>
    </row>
    <row r="784">
      <c r="A784" s="49" t="n"/>
      <c r="B784" s="41" t="n"/>
      <c r="C784" s="41" t="n"/>
      <c r="D784" s="42" t="n"/>
      <c r="E784" s="42" t="n"/>
      <c r="F784" s="50" t="n"/>
      <c r="G784" s="42" t="n"/>
      <c r="H784" s="30">
        <f>IF(D784="","",IFERROR(INDEX(Config!$B$12:$B$15,MATCH(IF(AND(D784="Cartão de crédito",N(E784)&gt;1),"Cartão de crédito parcelado",D784),Config!$A$12:$A$15,0)),0)+IF(AND(Config!$B$17="Sim",LEFT(D784,17)="Cartão de crédito"),Config!$B$18*IFERROR(INDEX(Config!$C$12:$C$15,MATCH(IF(AND(D784="Cartão de crédito",N(E784)&gt;1),"Cartão de crédito parcelado",D784),Config!$A$12:$A$15,0)),0)/30*MAX(1,N(E784)),0))</f>
        <v/>
      </c>
      <c r="I784" s="29">
        <f>IF(OR(D784="",F784=""),"",ROUND(F784*H784,2))</f>
        <v/>
      </c>
      <c r="J784" s="29">
        <f>IF(I784="","",F784-I784)</f>
        <v/>
      </c>
      <c r="K784" s="29">
        <f>IF(J784="","",J784/MAX(1,N(E784)))</f>
        <v/>
      </c>
      <c r="L784" s="37">
        <f>IF(OR(D784="",A784=""),"",A784+IF(AND(Config!$B$17="Sim",LEFT(D784,17)="Cartão de crédito"),1,IFERROR(INDEX(Config!$C$12:$C$15,MATCH(IF(AND(D784="Cartão de crédito",N(E784)&gt;1),"Cartão de crédito parcelado",D784),Config!$A$12:$A$15,0)),0)))</f>
        <v/>
      </c>
      <c r="M784" s="37">
        <f>IF(L784="","",IF(AND(Config!$B$17="Sim",LEFT(D784,17)="Cartão de crédito"),L784,L784+30*(MAX(1,N(E784))-1)))</f>
        <v/>
      </c>
      <c r="N784" s="29">
        <f>IF(OR(L784="",K784=""),"",K784*MIN(MAX(1,N(E784)),MAX(0,INT((Config!$B$8-L784)/30)+1)))</f>
        <v/>
      </c>
      <c r="O784" s="29">
        <f>IF(J784="","",J784-N(N784))</f>
        <v/>
      </c>
      <c r="P784" s="27">
        <f>IF(A784="","",MONTH(A784))</f>
        <v/>
      </c>
      <c r="Q784" s="27">
        <f>IF(A784="","",YEAR(A784))</f>
        <v/>
      </c>
      <c r="R784" s="27">
        <f>IF(L784="","",IF(L784&gt;Config!$B$8,"A cair",IF(N(G784)&gt;=MIN(MAX(1,N(E784)),MAX(0,INT((Config!$B$8-L784)/30)+1)),IF(N(G784)&gt;=MAX(1,N(E784)),"Conferido","Conferido até aqui"),"A conferir")))</f>
        <v/>
      </c>
      <c r="S784" s="51">
        <f>IF(R784="A conferir",(Config!$B$8-L784)*1000+N(F784)/1000+ROW()/100000,0)</f>
        <v>0</v>
      </c>
      <c r="T784" s="51">
        <f>IF(R784="A conferir",N(N784),0)</f>
        <v>0</v>
      </c>
      <c r="U784" s="51">
        <f>IF(L784="",0,L784)</f>
        <v>0</v>
      </c>
      <c r="V784" s="51">
        <f>IF(L784="",0,MAX(1,N(E784)))</f>
        <v>0</v>
      </c>
      <c r="W784" s="51">
        <f>IF(K784="",0,K784)</f>
        <v>0</v>
      </c>
    </row>
    <row r="785">
      <c r="A785" s="49" t="n"/>
      <c r="B785" s="41" t="n"/>
      <c r="C785" s="41" t="n"/>
      <c r="D785" s="42" t="n"/>
      <c r="E785" s="42" t="n"/>
      <c r="F785" s="50" t="n"/>
      <c r="G785" s="42" t="n"/>
      <c r="H785" s="30">
        <f>IF(D785="","",IFERROR(INDEX(Config!$B$12:$B$15,MATCH(IF(AND(D785="Cartão de crédito",N(E785)&gt;1),"Cartão de crédito parcelado",D785),Config!$A$12:$A$15,0)),0)+IF(AND(Config!$B$17="Sim",LEFT(D785,17)="Cartão de crédito"),Config!$B$18*IFERROR(INDEX(Config!$C$12:$C$15,MATCH(IF(AND(D785="Cartão de crédito",N(E785)&gt;1),"Cartão de crédito parcelado",D785),Config!$A$12:$A$15,0)),0)/30*MAX(1,N(E785)),0))</f>
        <v/>
      </c>
      <c r="I785" s="29">
        <f>IF(OR(D785="",F785=""),"",ROUND(F785*H785,2))</f>
        <v/>
      </c>
      <c r="J785" s="29">
        <f>IF(I785="","",F785-I785)</f>
        <v/>
      </c>
      <c r="K785" s="29">
        <f>IF(J785="","",J785/MAX(1,N(E785)))</f>
        <v/>
      </c>
      <c r="L785" s="37">
        <f>IF(OR(D785="",A785=""),"",A785+IF(AND(Config!$B$17="Sim",LEFT(D785,17)="Cartão de crédito"),1,IFERROR(INDEX(Config!$C$12:$C$15,MATCH(IF(AND(D785="Cartão de crédito",N(E785)&gt;1),"Cartão de crédito parcelado",D785),Config!$A$12:$A$15,0)),0)))</f>
        <v/>
      </c>
      <c r="M785" s="37">
        <f>IF(L785="","",IF(AND(Config!$B$17="Sim",LEFT(D785,17)="Cartão de crédito"),L785,L785+30*(MAX(1,N(E785))-1)))</f>
        <v/>
      </c>
      <c r="N785" s="29">
        <f>IF(OR(L785="",K785=""),"",K785*MIN(MAX(1,N(E785)),MAX(0,INT((Config!$B$8-L785)/30)+1)))</f>
        <v/>
      </c>
      <c r="O785" s="29">
        <f>IF(J785="","",J785-N(N785))</f>
        <v/>
      </c>
      <c r="P785" s="27">
        <f>IF(A785="","",MONTH(A785))</f>
        <v/>
      </c>
      <c r="Q785" s="27">
        <f>IF(A785="","",YEAR(A785))</f>
        <v/>
      </c>
      <c r="R785" s="27">
        <f>IF(L785="","",IF(L785&gt;Config!$B$8,"A cair",IF(N(G785)&gt;=MIN(MAX(1,N(E785)),MAX(0,INT((Config!$B$8-L785)/30)+1)),IF(N(G785)&gt;=MAX(1,N(E785)),"Conferido","Conferido até aqui"),"A conferir")))</f>
        <v/>
      </c>
      <c r="S785" s="51">
        <f>IF(R785="A conferir",(Config!$B$8-L785)*1000+N(F785)/1000+ROW()/100000,0)</f>
        <v>0</v>
      </c>
      <c r="T785" s="51">
        <f>IF(R785="A conferir",N(N785),0)</f>
        <v>0</v>
      </c>
      <c r="U785" s="51">
        <f>IF(L785="",0,L785)</f>
        <v>0</v>
      </c>
      <c r="V785" s="51">
        <f>IF(L785="",0,MAX(1,N(E785)))</f>
        <v>0</v>
      </c>
      <c r="W785" s="51">
        <f>IF(K785="",0,K785)</f>
        <v>0</v>
      </c>
    </row>
    <row r="786">
      <c r="A786" s="49" t="n"/>
      <c r="B786" s="41" t="n"/>
      <c r="C786" s="41" t="n"/>
      <c r="D786" s="42" t="n"/>
      <c r="E786" s="42" t="n"/>
      <c r="F786" s="50" t="n"/>
      <c r="G786" s="42" t="n"/>
      <c r="H786" s="30">
        <f>IF(D786="","",IFERROR(INDEX(Config!$B$12:$B$15,MATCH(IF(AND(D786="Cartão de crédito",N(E786)&gt;1),"Cartão de crédito parcelado",D786),Config!$A$12:$A$15,0)),0)+IF(AND(Config!$B$17="Sim",LEFT(D786,17)="Cartão de crédito"),Config!$B$18*IFERROR(INDEX(Config!$C$12:$C$15,MATCH(IF(AND(D786="Cartão de crédito",N(E786)&gt;1),"Cartão de crédito parcelado",D786),Config!$A$12:$A$15,0)),0)/30*MAX(1,N(E786)),0))</f>
        <v/>
      </c>
      <c r="I786" s="29">
        <f>IF(OR(D786="",F786=""),"",ROUND(F786*H786,2))</f>
        <v/>
      </c>
      <c r="J786" s="29">
        <f>IF(I786="","",F786-I786)</f>
        <v/>
      </c>
      <c r="K786" s="29">
        <f>IF(J786="","",J786/MAX(1,N(E786)))</f>
        <v/>
      </c>
      <c r="L786" s="37">
        <f>IF(OR(D786="",A786=""),"",A786+IF(AND(Config!$B$17="Sim",LEFT(D786,17)="Cartão de crédito"),1,IFERROR(INDEX(Config!$C$12:$C$15,MATCH(IF(AND(D786="Cartão de crédito",N(E786)&gt;1),"Cartão de crédito parcelado",D786),Config!$A$12:$A$15,0)),0)))</f>
        <v/>
      </c>
      <c r="M786" s="37">
        <f>IF(L786="","",IF(AND(Config!$B$17="Sim",LEFT(D786,17)="Cartão de crédito"),L786,L786+30*(MAX(1,N(E786))-1)))</f>
        <v/>
      </c>
      <c r="N786" s="29">
        <f>IF(OR(L786="",K786=""),"",K786*MIN(MAX(1,N(E786)),MAX(0,INT((Config!$B$8-L786)/30)+1)))</f>
        <v/>
      </c>
      <c r="O786" s="29">
        <f>IF(J786="","",J786-N(N786))</f>
        <v/>
      </c>
      <c r="P786" s="27">
        <f>IF(A786="","",MONTH(A786))</f>
        <v/>
      </c>
      <c r="Q786" s="27">
        <f>IF(A786="","",YEAR(A786))</f>
        <v/>
      </c>
      <c r="R786" s="27">
        <f>IF(L786="","",IF(L786&gt;Config!$B$8,"A cair",IF(N(G786)&gt;=MIN(MAX(1,N(E786)),MAX(0,INT((Config!$B$8-L786)/30)+1)),IF(N(G786)&gt;=MAX(1,N(E786)),"Conferido","Conferido até aqui"),"A conferir")))</f>
        <v/>
      </c>
      <c r="S786" s="51">
        <f>IF(R786="A conferir",(Config!$B$8-L786)*1000+N(F786)/1000+ROW()/100000,0)</f>
        <v>0</v>
      </c>
      <c r="T786" s="51">
        <f>IF(R786="A conferir",N(N786),0)</f>
        <v>0</v>
      </c>
      <c r="U786" s="51">
        <f>IF(L786="",0,L786)</f>
        <v>0</v>
      </c>
      <c r="V786" s="51">
        <f>IF(L786="",0,MAX(1,N(E786)))</f>
        <v>0</v>
      </c>
      <c r="W786" s="51">
        <f>IF(K786="",0,K786)</f>
        <v>0</v>
      </c>
    </row>
    <row r="787">
      <c r="A787" s="49" t="n"/>
      <c r="B787" s="41" t="n"/>
      <c r="C787" s="41" t="n"/>
      <c r="D787" s="42" t="n"/>
      <c r="E787" s="42" t="n"/>
      <c r="F787" s="50" t="n"/>
      <c r="G787" s="42" t="n"/>
      <c r="H787" s="30">
        <f>IF(D787="","",IFERROR(INDEX(Config!$B$12:$B$15,MATCH(IF(AND(D787="Cartão de crédito",N(E787)&gt;1),"Cartão de crédito parcelado",D787),Config!$A$12:$A$15,0)),0)+IF(AND(Config!$B$17="Sim",LEFT(D787,17)="Cartão de crédito"),Config!$B$18*IFERROR(INDEX(Config!$C$12:$C$15,MATCH(IF(AND(D787="Cartão de crédito",N(E787)&gt;1),"Cartão de crédito parcelado",D787),Config!$A$12:$A$15,0)),0)/30*MAX(1,N(E787)),0))</f>
        <v/>
      </c>
      <c r="I787" s="29">
        <f>IF(OR(D787="",F787=""),"",ROUND(F787*H787,2))</f>
        <v/>
      </c>
      <c r="J787" s="29">
        <f>IF(I787="","",F787-I787)</f>
        <v/>
      </c>
      <c r="K787" s="29">
        <f>IF(J787="","",J787/MAX(1,N(E787)))</f>
        <v/>
      </c>
      <c r="L787" s="37">
        <f>IF(OR(D787="",A787=""),"",A787+IF(AND(Config!$B$17="Sim",LEFT(D787,17)="Cartão de crédito"),1,IFERROR(INDEX(Config!$C$12:$C$15,MATCH(IF(AND(D787="Cartão de crédito",N(E787)&gt;1),"Cartão de crédito parcelado",D787),Config!$A$12:$A$15,0)),0)))</f>
        <v/>
      </c>
      <c r="M787" s="37">
        <f>IF(L787="","",IF(AND(Config!$B$17="Sim",LEFT(D787,17)="Cartão de crédito"),L787,L787+30*(MAX(1,N(E787))-1)))</f>
        <v/>
      </c>
      <c r="N787" s="29">
        <f>IF(OR(L787="",K787=""),"",K787*MIN(MAX(1,N(E787)),MAX(0,INT((Config!$B$8-L787)/30)+1)))</f>
        <v/>
      </c>
      <c r="O787" s="29">
        <f>IF(J787="","",J787-N(N787))</f>
        <v/>
      </c>
      <c r="P787" s="27">
        <f>IF(A787="","",MONTH(A787))</f>
        <v/>
      </c>
      <c r="Q787" s="27">
        <f>IF(A787="","",YEAR(A787))</f>
        <v/>
      </c>
      <c r="R787" s="27">
        <f>IF(L787="","",IF(L787&gt;Config!$B$8,"A cair",IF(N(G787)&gt;=MIN(MAX(1,N(E787)),MAX(0,INT((Config!$B$8-L787)/30)+1)),IF(N(G787)&gt;=MAX(1,N(E787)),"Conferido","Conferido até aqui"),"A conferir")))</f>
        <v/>
      </c>
      <c r="S787" s="51">
        <f>IF(R787="A conferir",(Config!$B$8-L787)*1000+N(F787)/1000+ROW()/100000,0)</f>
        <v>0</v>
      </c>
      <c r="T787" s="51">
        <f>IF(R787="A conferir",N(N787),0)</f>
        <v>0</v>
      </c>
      <c r="U787" s="51">
        <f>IF(L787="",0,L787)</f>
        <v>0</v>
      </c>
      <c r="V787" s="51">
        <f>IF(L787="",0,MAX(1,N(E787)))</f>
        <v>0</v>
      </c>
      <c r="W787" s="51">
        <f>IF(K787="",0,K787)</f>
        <v>0</v>
      </c>
    </row>
    <row r="788">
      <c r="A788" s="49" t="n"/>
      <c r="B788" s="41" t="n"/>
      <c r="C788" s="41" t="n"/>
      <c r="D788" s="42" t="n"/>
      <c r="E788" s="42" t="n"/>
      <c r="F788" s="50" t="n"/>
      <c r="G788" s="42" t="n"/>
      <c r="H788" s="30">
        <f>IF(D788="","",IFERROR(INDEX(Config!$B$12:$B$15,MATCH(IF(AND(D788="Cartão de crédito",N(E788)&gt;1),"Cartão de crédito parcelado",D788),Config!$A$12:$A$15,0)),0)+IF(AND(Config!$B$17="Sim",LEFT(D788,17)="Cartão de crédito"),Config!$B$18*IFERROR(INDEX(Config!$C$12:$C$15,MATCH(IF(AND(D788="Cartão de crédito",N(E788)&gt;1),"Cartão de crédito parcelado",D788),Config!$A$12:$A$15,0)),0)/30*MAX(1,N(E788)),0))</f>
        <v/>
      </c>
      <c r="I788" s="29">
        <f>IF(OR(D788="",F788=""),"",ROUND(F788*H788,2))</f>
        <v/>
      </c>
      <c r="J788" s="29">
        <f>IF(I788="","",F788-I788)</f>
        <v/>
      </c>
      <c r="K788" s="29">
        <f>IF(J788="","",J788/MAX(1,N(E788)))</f>
        <v/>
      </c>
      <c r="L788" s="37">
        <f>IF(OR(D788="",A788=""),"",A788+IF(AND(Config!$B$17="Sim",LEFT(D788,17)="Cartão de crédito"),1,IFERROR(INDEX(Config!$C$12:$C$15,MATCH(IF(AND(D788="Cartão de crédito",N(E788)&gt;1),"Cartão de crédito parcelado",D788),Config!$A$12:$A$15,0)),0)))</f>
        <v/>
      </c>
      <c r="M788" s="37">
        <f>IF(L788="","",IF(AND(Config!$B$17="Sim",LEFT(D788,17)="Cartão de crédito"),L788,L788+30*(MAX(1,N(E788))-1)))</f>
        <v/>
      </c>
      <c r="N788" s="29">
        <f>IF(OR(L788="",K788=""),"",K788*MIN(MAX(1,N(E788)),MAX(0,INT((Config!$B$8-L788)/30)+1)))</f>
        <v/>
      </c>
      <c r="O788" s="29">
        <f>IF(J788="","",J788-N(N788))</f>
        <v/>
      </c>
      <c r="P788" s="27">
        <f>IF(A788="","",MONTH(A788))</f>
        <v/>
      </c>
      <c r="Q788" s="27">
        <f>IF(A788="","",YEAR(A788))</f>
        <v/>
      </c>
      <c r="R788" s="27">
        <f>IF(L788="","",IF(L788&gt;Config!$B$8,"A cair",IF(N(G788)&gt;=MIN(MAX(1,N(E788)),MAX(0,INT((Config!$B$8-L788)/30)+1)),IF(N(G788)&gt;=MAX(1,N(E788)),"Conferido","Conferido até aqui"),"A conferir")))</f>
        <v/>
      </c>
      <c r="S788" s="51">
        <f>IF(R788="A conferir",(Config!$B$8-L788)*1000+N(F788)/1000+ROW()/100000,0)</f>
        <v>0</v>
      </c>
      <c r="T788" s="51">
        <f>IF(R788="A conferir",N(N788),0)</f>
        <v>0</v>
      </c>
      <c r="U788" s="51">
        <f>IF(L788="",0,L788)</f>
        <v>0</v>
      </c>
      <c r="V788" s="51">
        <f>IF(L788="",0,MAX(1,N(E788)))</f>
        <v>0</v>
      </c>
      <c r="W788" s="51">
        <f>IF(K788="",0,K788)</f>
        <v>0</v>
      </c>
    </row>
    <row r="789">
      <c r="A789" s="49" t="n"/>
      <c r="B789" s="41" t="n"/>
      <c r="C789" s="41" t="n"/>
      <c r="D789" s="42" t="n"/>
      <c r="E789" s="42" t="n"/>
      <c r="F789" s="50" t="n"/>
      <c r="G789" s="42" t="n"/>
      <c r="H789" s="30">
        <f>IF(D789="","",IFERROR(INDEX(Config!$B$12:$B$15,MATCH(IF(AND(D789="Cartão de crédito",N(E789)&gt;1),"Cartão de crédito parcelado",D789),Config!$A$12:$A$15,0)),0)+IF(AND(Config!$B$17="Sim",LEFT(D789,17)="Cartão de crédito"),Config!$B$18*IFERROR(INDEX(Config!$C$12:$C$15,MATCH(IF(AND(D789="Cartão de crédito",N(E789)&gt;1),"Cartão de crédito parcelado",D789),Config!$A$12:$A$15,0)),0)/30*MAX(1,N(E789)),0))</f>
        <v/>
      </c>
      <c r="I789" s="29">
        <f>IF(OR(D789="",F789=""),"",ROUND(F789*H789,2))</f>
        <v/>
      </c>
      <c r="J789" s="29">
        <f>IF(I789="","",F789-I789)</f>
        <v/>
      </c>
      <c r="K789" s="29">
        <f>IF(J789="","",J789/MAX(1,N(E789)))</f>
        <v/>
      </c>
      <c r="L789" s="37">
        <f>IF(OR(D789="",A789=""),"",A789+IF(AND(Config!$B$17="Sim",LEFT(D789,17)="Cartão de crédito"),1,IFERROR(INDEX(Config!$C$12:$C$15,MATCH(IF(AND(D789="Cartão de crédito",N(E789)&gt;1),"Cartão de crédito parcelado",D789),Config!$A$12:$A$15,0)),0)))</f>
        <v/>
      </c>
      <c r="M789" s="37">
        <f>IF(L789="","",IF(AND(Config!$B$17="Sim",LEFT(D789,17)="Cartão de crédito"),L789,L789+30*(MAX(1,N(E789))-1)))</f>
        <v/>
      </c>
      <c r="N789" s="29">
        <f>IF(OR(L789="",K789=""),"",K789*MIN(MAX(1,N(E789)),MAX(0,INT((Config!$B$8-L789)/30)+1)))</f>
        <v/>
      </c>
      <c r="O789" s="29">
        <f>IF(J789="","",J789-N(N789))</f>
        <v/>
      </c>
      <c r="P789" s="27">
        <f>IF(A789="","",MONTH(A789))</f>
        <v/>
      </c>
      <c r="Q789" s="27">
        <f>IF(A789="","",YEAR(A789))</f>
        <v/>
      </c>
      <c r="R789" s="27">
        <f>IF(L789="","",IF(L789&gt;Config!$B$8,"A cair",IF(N(G789)&gt;=MIN(MAX(1,N(E789)),MAX(0,INT((Config!$B$8-L789)/30)+1)),IF(N(G789)&gt;=MAX(1,N(E789)),"Conferido","Conferido até aqui"),"A conferir")))</f>
        <v/>
      </c>
      <c r="S789" s="51">
        <f>IF(R789="A conferir",(Config!$B$8-L789)*1000+N(F789)/1000+ROW()/100000,0)</f>
        <v>0</v>
      </c>
      <c r="T789" s="51">
        <f>IF(R789="A conferir",N(N789),0)</f>
        <v>0</v>
      </c>
      <c r="U789" s="51">
        <f>IF(L789="",0,L789)</f>
        <v>0</v>
      </c>
      <c r="V789" s="51">
        <f>IF(L789="",0,MAX(1,N(E789)))</f>
        <v>0</v>
      </c>
      <c r="W789" s="51">
        <f>IF(K789="",0,K789)</f>
        <v>0</v>
      </c>
    </row>
    <row r="790">
      <c r="A790" s="49" t="n"/>
      <c r="B790" s="41" t="n"/>
      <c r="C790" s="41" t="n"/>
      <c r="D790" s="42" t="n"/>
      <c r="E790" s="42" t="n"/>
      <c r="F790" s="50" t="n"/>
      <c r="G790" s="42" t="n"/>
      <c r="H790" s="30">
        <f>IF(D790="","",IFERROR(INDEX(Config!$B$12:$B$15,MATCH(IF(AND(D790="Cartão de crédito",N(E790)&gt;1),"Cartão de crédito parcelado",D790),Config!$A$12:$A$15,0)),0)+IF(AND(Config!$B$17="Sim",LEFT(D790,17)="Cartão de crédito"),Config!$B$18*IFERROR(INDEX(Config!$C$12:$C$15,MATCH(IF(AND(D790="Cartão de crédito",N(E790)&gt;1),"Cartão de crédito parcelado",D790),Config!$A$12:$A$15,0)),0)/30*MAX(1,N(E790)),0))</f>
        <v/>
      </c>
      <c r="I790" s="29">
        <f>IF(OR(D790="",F790=""),"",ROUND(F790*H790,2))</f>
        <v/>
      </c>
      <c r="J790" s="29">
        <f>IF(I790="","",F790-I790)</f>
        <v/>
      </c>
      <c r="K790" s="29">
        <f>IF(J790="","",J790/MAX(1,N(E790)))</f>
        <v/>
      </c>
      <c r="L790" s="37">
        <f>IF(OR(D790="",A790=""),"",A790+IF(AND(Config!$B$17="Sim",LEFT(D790,17)="Cartão de crédito"),1,IFERROR(INDEX(Config!$C$12:$C$15,MATCH(IF(AND(D790="Cartão de crédito",N(E790)&gt;1),"Cartão de crédito parcelado",D790),Config!$A$12:$A$15,0)),0)))</f>
        <v/>
      </c>
      <c r="M790" s="37">
        <f>IF(L790="","",IF(AND(Config!$B$17="Sim",LEFT(D790,17)="Cartão de crédito"),L790,L790+30*(MAX(1,N(E790))-1)))</f>
        <v/>
      </c>
      <c r="N790" s="29">
        <f>IF(OR(L790="",K790=""),"",K790*MIN(MAX(1,N(E790)),MAX(0,INT((Config!$B$8-L790)/30)+1)))</f>
        <v/>
      </c>
      <c r="O790" s="29">
        <f>IF(J790="","",J790-N(N790))</f>
        <v/>
      </c>
      <c r="P790" s="27">
        <f>IF(A790="","",MONTH(A790))</f>
        <v/>
      </c>
      <c r="Q790" s="27">
        <f>IF(A790="","",YEAR(A790))</f>
        <v/>
      </c>
      <c r="R790" s="27">
        <f>IF(L790="","",IF(L790&gt;Config!$B$8,"A cair",IF(N(G790)&gt;=MIN(MAX(1,N(E790)),MAX(0,INT((Config!$B$8-L790)/30)+1)),IF(N(G790)&gt;=MAX(1,N(E790)),"Conferido","Conferido até aqui"),"A conferir")))</f>
        <v/>
      </c>
      <c r="S790" s="51">
        <f>IF(R790="A conferir",(Config!$B$8-L790)*1000+N(F790)/1000+ROW()/100000,0)</f>
        <v>0</v>
      </c>
      <c r="T790" s="51">
        <f>IF(R790="A conferir",N(N790),0)</f>
        <v>0</v>
      </c>
      <c r="U790" s="51">
        <f>IF(L790="",0,L790)</f>
        <v>0</v>
      </c>
      <c r="V790" s="51">
        <f>IF(L790="",0,MAX(1,N(E790)))</f>
        <v>0</v>
      </c>
      <c r="W790" s="51">
        <f>IF(K790="",0,K790)</f>
        <v>0</v>
      </c>
    </row>
    <row r="791">
      <c r="A791" s="49" t="n"/>
      <c r="B791" s="41" t="n"/>
      <c r="C791" s="41" t="n"/>
      <c r="D791" s="42" t="n"/>
      <c r="E791" s="42" t="n"/>
      <c r="F791" s="50" t="n"/>
      <c r="G791" s="42" t="n"/>
      <c r="H791" s="30">
        <f>IF(D791="","",IFERROR(INDEX(Config!$B$12:$B$15,MATCH(IF(AND(D791="Cartão de crédito",N(E791)&gt;1),"Cartão de crédito parcelado",D791),Config!$A$12:$A$15,0)),0)+IF(AND(Config!$B$17="Sim",LEFT(D791,17)="Cartão de crédito"),Config!$B$18*IFERROR(INDEX(Config!$C$12:$C$15,MATCH(IF(AND(D791="Cartão de crédito",N(E791)&gt;1),"Cartão de crédito parcelado",D791),Config!$A$12:$A$15,0)),0)/30*MAX(1,N(E791)),0))</f>
        <v/>
      </c>
      <c r="I791" s="29">
        <f>IF(OR(D791="",F791=""),"",ROUND(F791*H791,2))</f>
        <v/>
      </c>
      <c r="J791" s="29">
        <f>IF(I791="","",F791-I791)</f>
        <v/>
      </c>
      <c r="K791" s="29">
        <f>IF(J791="","",J791/MAX(1,N(E791)))</f>
        <v/>
      </c>
      <c r="L791" s="37">
        <f>IF(OR(D791="",A791=""),"",A791+IF(AND(Config!$B$17="Sim",LEFT(D791,17)="Cartão de crédito"),1,IFERROR(INDEX(Config!$C$12:$C$15,MATCH(IF(AND(D791="Cartão de crédito",N(E791)&gt;1),"Cartão de crédito parcelado",D791),Config!$A$12:$A$15,0)),0)))</f>
        <v/>
      </c>
      <c r="M791" s="37">
        <f>IF(L791="","",IF(AND(Config!$B$17="Sim",LEFT(D791,17)="Cartão de crédito"),L791,L791+30*(MAX(1,N(E791))-1)))</f>
        <v/>
      </c>
      <c r="N791" s="29">
        <f>IF(OR(L791="",K791=""),"",K791*MIN(MAX(1,N(E791)),MAX(0,INT((Config!$B$8-L791)/30)+1)))</f>
        <v/>
      </c>
      <c r="O791" s="29">
        <f>IF(J791="","",J791-N(N791))</f>
        <v/>
      </c>
      <c r="P791" s="27">
        <f>IF(A791="","",MONTH(A791))</f>
        <v/>
      </c>
      <c r="Q791" s="27">
        <f>IF(A791="","",YEAR(A791))</f>
        <v/>
      </c>
      <c r="R791" s="27">
        <f>IF(L791="","",IF(L791&gt;Config!$B$8,"A cair",IF(N(G791)&gt;=MIN(MAX(1,N(E791)),MAX(0,INT((Config!$B$8-L791)/30)+1)),IF(N(G791)&gt;=MAX(1,N(E791)),"Conferido","Conferido até aqui"),"A conferir")))</f>
        <v/>
      </c>
      <c r="S791" s="51">
        <f>IF(R791="A conferir",(Config!$B$8-L791)*1000+N(F791)/1000+ROW()/100000,0)</f>
        <v>0</v>
      </c>
      <c r="T791" s="51">
        <f>IF(R791="A conferir",N(N791),0)</f>
        <v>0</v>
      </c>
      <c r="U791" s="51">
        <f>IF(L791="",0,L791)</f>
        <v>0</v>
      </c>
      <c r="V791" s="51">
        <f>IF(L791="",0,MAX(1,N(E791)))</f>
        <v>0</v>
      </c>
      <c r="W791" s="51">
        <f>IF(K791="",0,K791)</f>
        <v>0</v>
      </c>
    </row>
    <row r="792">
      <c r="A792" s="49" t="n"/>
      <c r="B792" s="41" t="n"/>
      <c r="C792" s="41" t="n"/>
      <c r="D792" s="42" t="n"/>
      <c r="E792" s="42" t="n"/>
      <c r="F792" s="50" t="n"/>
      <c r="G792" s="42" t="n"/>
      <c r="H792" s="30">
        <f>IF(D792="","",IFERROR(INDEX(Config!$B$12:$B$15,MATCH(IF(AND(D792="Cartão de crédito",N(E792)&gt;1),"Cartão de crédito parcelado",D792),Config!$A$12:$A$15,0)),0)+IF(AND(Config!$B$17="Sim",LEFT(D792,17)="Cartão de crédito"),Config!$B$18*IFERROR(INDEX(Config!$C$12:$C$15,MATCH(IF(AND(D792="Cartão de crédito",N(E792)&gt;1),"Cartão de crédito parcelado",D792),Config!$A$12:$A$15,0)),0)/30*MAX(1,N(E792)),0))</f>
        <v/>
      </c>
      <c r="I792" s="29">
        <f>IF(OR(D792="",F792=""),"",ROUND(F792*H792,2))</f>
        <v/>
      </c>
      <c r="J792" s="29">
        <f>IF(I792="","",F792-I792)</f>
        <v/>
      </c>
      <c r="K792" s="29">
        <f>IF(J792="","",J792/MAX(1,N(E792)))</f>
        <v/>
      </c>
      <c r="L792" s="37">
        <f>IF(OR(D792="",A792=""),"",A792+IF(AND(Config!$B$17="Sim",LEFT(D792,17)="Cartão de crédito"),1,IFERROR(INDEX(Config!$C$12:$C$15,MATCH(IF(AND(D792="Cartão de crédito",N(E792)&gt;1),"Cartão de crédito parcelado",D792),Config!$A$12:$A$15,0)),0)))</f>
        <v/>
      </c>
      <c r="M792" s="37">
        <f>IF(L792="","",IF(AND(Config!$B$17="Sim",LEFT(D792,17)="Cartão de crédito"),L792,L792+30*(MAX(1,N(E792))-1)))</f>
        <v/>
      </c>
      <c r="N792" s="29">
        <f>IF(OR(L792="",K792=""),"",K792*MIN(MAX(1,N(E792)),MAX(0,INT((Config!$B$8-L792)/30)+1)))</f>
        <v/>
      </c>
      <c r="O792" s="29">
        <f>IF(J792="","",J792-N(N792))</f>
        <v/>
      </c>
      <c r="P792" s="27">
        <f>IF(A792="","",MONTH(A792))</f>
        <v/>
      </c>
      <c r="Q792" s="27">
        <f>IF(A792="","",YEAR(A792))</f>
        <v/>
      </c>
      <c r="R792" s="27">
        <f>IF(L792="","",IF(L792&gt;Config!$B$8,"A cair",IF(N(G792)&gt;=MIN(MAX(1,N(E792)),MAX(0,INT((Config!$B$8-L792)/30)+1)),IF(N(G792)&gt;=MAX(1,N(E792)),"Conferido","Conferido até aqui"),"A conferir")))</f>
        <v/>
      </c>
      <c r="S792" s="51">
        <f>IF(R792="A conferir",(Config!$B$8-L792)*1000+N(F792)/1000+ROW()/100000,0)</f>
        <v>0</v>
      </c>
      <c r="T792" s="51">
        <f>IF(R792="A conferir",N(N792),0)</f>
        <v>0</v>
      </c>
      <c r="U792" s="51">
        <f>IF(L792="",0,L792)</f>
        <v>0</v>
      </c>
      <c r="V792" s="51">
        <f>IF(L792="",0,MAX(1,N(E792)))</f>
        <v>0</v>
      </c>
      <c r="W792" s="51">
        <f>IF(K792="",0,K792)</f>
        <v>0</v>
      </c>
    </row>
    <row r="793">
      <c r="A793" s="49" t="n"/>
      <c r="B793" s="41" t="n"/>
      <c r="C793" s="41" t="n"/>
      <c r="D793" s="42" t="n"/>
      <c r="E793" s="42" t="n"/>
      <c r="F793" s="50" t="n"/>
      <c r="G793" s="42" t="n"/>
      <c r="H793" s="30">
        <f>IF(D793="","",IFERROR(INDEX(Config!$B$12:$B$15,MATCH(IF(AND(D793="Cartão de crédito",N(E793)&gt;1),"Cartão de crédito parcelado",D793),Config!$A$12:$A$15,0)),0)+IF(AND(Config!$B$17="Sim",LEFT(D793,17)="Cartão de crédito"),Config!$B$18*IFERROR(INDEX(Config!$C$12:$C$15,MATCH(IF(AND(D793="Cartão de crédito",N(E793)&gt;1),"Cartão de crédito parcelado",D793),Config!$A$12:$A$15,0)),0)/30*MAX(1,N(E793)),0))</f>
        <v/>
      </c>
      <c r="I793" s="29">
        <f>IF(OR(D793="",F793=""),"",ROUND(F793*H793,2))</f>
        <v/>
      </c>
      <c r="J793" s="29">
        <f>IF(I793="","",F793-I793)</f>
        <v/>
      </c>
      <c r="K793" s="29">
        <f>IF(J793="","",J793/MAX(1,N(E793)))</f>
        <v/>
      </c>
      <c r="L793" s="37">
        <f>IF(OR(D793="",A793=""),"",A793+IF(AND(Config!$B$17="Sim",LEFT(D793,17)="Cartão de crédito"),1,IFERROR(INDEX(Config!$C$12:$C$15,MATCH(IF(AND(D793="Cartão de crédito",N(E793)&gt;1),"Cartão de crédito parcelado",D793),Config!$A$12:$A$15,0)),0)))</f>
        <v/>
      </c>
      <c r="M793" s="37">
        <f>IF(L793="","",IF(AND(Config!$B$17="Sim",LEFT(D793,17)="Cartão de crédito"),L793,L793+30*(MAX(1,N(E793))-1)))</f>
        <v/>
      </c>
      <c r="N793" s="29">
        <f>IF(OR(L793="",K793=""),"",K793*MIN(MAX(1,N(E793)),MAX(0,INT((Config!$B$8-L793)/30)+1)))</f>
        <v/>
      </c>
      <c r="O793" s="29">
        <f>IF(J793="","",J793-N(N793))</f>
        <v/>
      </c>
      <c r="P793" s="27">
        <f>IF(A793="","",MONTH(A793))</f>
        <v/>
      </c>
      <c r="Q793" s="27">
        <f>IF(A793="","",YEAR(A793))</f>
        <v/>
      </c>
      <c r="R793" s="27">
        <f>IF(L793="","",IF(L793&gt;Config!$B$8,"A cair",IF(N(G793)&gt;=MIN(MAX(1,N(E793)),MAX(0,INT((Config!$B$8-L793)/30)+1)),IF(N(G793)&gt;=MAX(1,N(E793)),"Conferido","Conferido até aqui"),"A conferir")))</f>
        <v/>
      </c>
      <c r="S793" s="51">
        <f>IF(R793="A conferir",(Config!$B$8-L793)*1000+N(F793)/1000+ROW()/100000,0)</f>
        <v>0</v>
      </c>
      <c r="T793" s="51">
        <f>IF(R793="A conferir",N(N793),0)</f>
        <v>0</v>
      </c>
      <c r="U793" s="51">
        <f>IF(L793="",0,L793)</f>
        <v>0</v>
      </c>
      <c r="V793" s="51">
        <f>IF(L793="",0,MAX(1,N(E793)))</f>
        <v>0</v>
      </c>
      <c r="W793" s="51">
        <f>IF(K793="",0,K793)</f>
        <v>0</v>
      </c>
    </row>
    <row r="794">
      <c r="A794" s="49" t="n"/>
      <c r="B794" s="41" t="n"/>
      <c r="C794" s="41" t="n"/>
      <c r="D794" s="42" t="n"/>
      <c r="E794" s="42" t="n"/>
      <c r="F794" s="50" t="n"/>
      <c r="G794" s="42" t="n"/>
      <c r="H794" s="30">
        <f>IF(D794="","",IFERROR(INDEX(Config!$B$12:$B$15,MATCH(IF(AND(D794="Cartão de crédito",N(E794)&gt;1),"Cartão de crédito parcelado",D794),Config!$A$12:$A$15,0)),0)+IF(AND(Config!$B$17="Sim",LEFT(D794,17)="Cartão de crédito"),Config!$B$18*IFERROR(INDEX(Config!$C$12:$C$15,MATCH(IF(AND(D794="Cartão de crédito",N(E794)&gt;1),"Cartão de crédito parcelado",D794),Config!$A$12:$A$15,0)),0)/30*MAX(1,N(E794)),0))</f>
        <v/>
      </c>
      <c r="I794" s="29">
        <f>IF(OR(D794="",F794=""),"",ROUND(F794*H794,2))</f>
        <v/>
      </c>
      <c r="J794" s="29">
        <f>IF(I794="","",F794-I794)</f>
        <v/>
      </c>
      <c r="K794" s="29">
        <f>IF(J794="","",J794/MAX(1,N(E794)))</f>
        <v/>
      </c>
      <c r="L794" s="37">
        <f>IF(OR(D794="",A794=""),"",A794+IF(AND(Config!$B$17="Sim",LEFT(D794,17)="Cartão de crédito"),1,IFERROR(INDEX(Config!$C$12:$C$15,MATCH(IF(AND(D794="Cartão de crédito",N(E794)&gt;1),"Cartão de crédito parcelado",D794),Config!$A$12:$A$15,0)),0)))</f>
        <v/>
      </c>
      <c r="M794" s="37">
        <f>IF(L794="","",IF(AND(Config!$B$17="Sim",LEFT(D794,17)="Cartão de crédito"),L794,L794+30*(MAX(1,N(E794))-1)))</f>
        <v/>
      </c>
      <c r="N794" s="29">
        <f>IF(OR(L794="",K794=""),"",K794*MIN(MAX(1,N(E794)),MAX(0,INT((Config!$B$8-L794)/30)+1)))</f>
        <v/>
      </c>
      <c r="O794" s="29">
        <f>IF(J794="","",J794-N(N794))</f>
        <v/>
      </c>
      <c r="P794" s="27">
        <f>IF(A794="","",MONTH(A794))</f>
        <v/>
      </c>
      <c r="Q794" s="27">
        <f>IF(A794="","",YEAR(A794))</f>
        <v/>
      </c>
      <c r="R794" s="27">
        <f>IF(L794="","",IF(L794&gt;Config!$B$8,"A cair",IF(N(G794)&gt;=MIN(MAX(1,N(E794)),MAX(0,INT((Config!$B$8-L794)/30)+1)),IF(N(G794)&gt;=MAX(1,N(E794)),"Conferido","Conferido até aqui"),"A conferir")))</f>
        <v/>
      </c>
      <c r="S794" s="51">
        <f>IF(R794="A conferir",(Config!$B$8-L794)*1000+N(F794)/1000+ROW()/100000,0)</f>
        <v>0</v>
      </c>
      <c r="T794" s="51">
        <f>IF(R794="A conferir",N(N794),0)</f>
        <v>0</v>
      </c>
      <c r="U794" s="51">
        <f>IF(L794="",0,L794)</f>
        <v>0</v>
      </c>
      <c r="V794" s="51">
        <f>IF(L794="",0,MAX(1,N(E794)))</f>
        <v>0</v>
      </c>
      <c r="W794" s="51">
        <f>IF(K794="",0,K794)</f>
        <v>0</v>
      </c>
    </row>
    <row r="795">
      <c r="A795" s="49" t="n"/>
      <c r="B795" s="41" t="n"/>
      <c r="C795" s="41" t="n"/>
      <c r="D795" s="42" t="n"/>
      <c r="E795" s="42" t="n"/>
      <c r="F795" s="50" t="n"/>
      <c r="G795" s="42" t="n"/>
      <c r="H795" s="30">
        <f>IF(D795="","",IFERROR(INDEX(Config!$B$12:$B$15,MATCH(IF(AND(D795="Cartão de crédito",N(E795)&gt;1),"Cartão de crédito parcelado",D795),Config!$A$12:$A$15,0)),0)+IF(AND(Config!$B$17="Sim",LEFT(D795,17)="Cartão de crédito"),Config!$B$18*IFERROR(INDEX(Config!$C$12:$C$15,MATCH(IF(AND(D795="Cartão de crédito",N(E795)&gt;1),"Cartão de crédito parcelado",D795),Config!$A$12:$A$15,0)),0)/30*MAX(1,N(E795)),0))</f>
        <v/>
      </c>
      <c r="I795" s="29">
        <f>IF(OR(D795="",F795=""),"",ROUND(F795*H795,2))</f>
        <v/>
      </c>
      <c r="J795" s="29">
        <f>IF(I795="","",F795-I795)</f>
        <v/>
      </c>
      <c r="K795" s="29">
        <f>IF(J795="","",J795/MAX(1,N(E795)))</f>
        <v/>
      </c>
      <c r="L795" s="37">
        <f>IF(OR(D795="",A795=""),"",A795+IF(AND(Config!$B$17="Sim",LEFT(D795,17)="Cartão de crédito"),1,IFERROR(INDEX(Config!$C$12:$C$15,MATCH(IF(AND(D795="Cartão de crédito",N(E795)&gt;1),"Cartão de crédito parcelado",D795),Config!$A$12:$A$15,0)),0)))</f>
        <v/>
      </c>
      <c r="M795" s="37">
        <f>IF(L795="","",IF(AND(Config!$B$17="Sim",LEFT(D795,17)="Cartão de crédito"),L795,L795+30*(MAX(1,N(E795))-1)))</f>
        <v/>
      </c>
      <c r="N795" s="29">
        <f>IF(OR(L795="",K795=""),"",K795*MIN(MAX(1,N(E795)),MAX(0,INT((Config!$B$8-L795)/30)+1)))</f>
        <v/>
      </c>
      <c r="O795" s="29">
        <f>IF(J795="","",J795-N(N795))</f>
        <v/>
      </c>
      <c r="P795" s="27">
        <f>IF(A795="","",MONTH(A795))</f>
        <v/>
      </c>
      <c r="Q795" s="27">
        <f>IF(A795="","",YEAR(A795))</f>
        <v/>
      </c>
      <c r="R795" s="27">
        <f>IF(L795="","",IF(L795&gt;Config!$B$8,"A cair",IF(N(G795)&gt;=MIN(MAX(1,N(E795)),MAX(0,INT((Config!$B$8-L795)/30)+1)),IF(N(G795)&gt;=MAX(1,N(E795)),"Conferido","Conferido até aqui"),"A conferir")))</f>
        <v/>
      </c>
      <c r="S795" s="51">
        <f>IF(R795="A conferir",(Config!$B$8-L795)*1000+N(F795)/1000+ROW()/100000,0)</f>
        <v>0</v>
      </c>
      <c r="T795" s="51">
        <f>IF(R795="A conferir",N(N795),0)</f>
        <v>0</v>
      </c>
      <c r="U795" s="51">
        <f>IF(L795="",0,L795)</f>
        <v>0</v>
      </c>
      <c r="V795" s="51">
        <f>IF(L795="",0,MAX(1,N(E795)))</f>
        <v>0</v>
      </c>
      <c r="W795" s="51">
        <f>IF(K795="",0,K795)</f>
        <v>0</v>
      </c>
    </row>
    <row r="796">
      <c r="A796" s="49" t="n"/>
      <c r="B796" s="41" t="n"/>
      <c r="C796" s="41" t="n"/>
      <c r="D796" s="42" t="n"/>
      <c r="E796" s="42" t="n"/>
      <c r="F796" s="50" t="n"/>
      <c r="G796" s="42" t="n"/>
      <c r="H796" s="30">
        <f>IF(D796="","",IFERROR(INDEX(Config!$B$12:$B$15,MATCH(IF(AND(D796="Cartão de crédito",N(E796)&gt;1),"Cartão de crédito parcelado",D796),Config!$A$12:$A$15,0)),0)+IF(AND(Config!$B$17="Sim",LEFT(D796,17)="Cartão de crédito"),Config!$B$18*IFERROR(INDEX(Config!$C$12:$C$15,MATCH(IF(AND(D796="Cartão de crédito",N(E796)&gt;1),"Cartão de crédito parcelado",D796),Config!$A$12:$A$15,0)),0)/30*MAX(1,N(E796)),0))</f>
        <v/>
      </c>
      <c r="I796" s="29">
        <f>IF(OR(D796="",F796=""),"",ROUND(F796*H796,2))</f>
        <v/>
      </c>
      <c r="J796" s="29">
        <f>IF(I796="","",F796-I796)</f>
        <v/>
      </c>
      <c r="K796" s="29">
        <f>IF(J796="","",J796/MAX(1,N(E796)))</f>
        <v/>
      </c>
      <c r="L796" s="37">
        <f>IF(OR(D796="",A796=""),"",A796+IF(AND(Config!$B$17="Sim",LEFT(D796,17)="Cartão de crédito"),1,IFERROR(INDEX(Config!$C$12:$C$15,MATCH(IF(AND(D796="Cartão de crédito",N(E796)&gt;1),"Cartão de crédito parcelado",D796),Config!$A$12:$A$15,0)),0)))</f>
        <v/>
      </c>
      <c r="M796" s="37">
        <f>IF(L796="","",IF(AND(Config!$B$17="Sim",LEFT(D796,17)="Cartão de crédito"),L796,L796+30*(MAX(1,N(E796))-1)))</f>
        <v/>
      </c>
      <c r="N796" s="29">
        <f>IF(OR(L796="",K796=""),"",K796*MIN(MAX(1,N(E796)),MAX(0,INT((Config!$B$8-L796)/30)+1)))</f>
        <v/>
      </c>
      <c r="O796" s="29">
        <f>IF(J796="","",J796-N(N796))</f>
        <v/>
      </c>
      <c r="P796" s="27">
        <f>IF(A796="","",MONTH(A796))</f>
        <v/>
      </c>
      <c r="Q796" s="27">
        <f>IF(A796="","",YEAR(A796))</f>
        <v/>
      </c>
      <c r="R796" s="27">
        <f>IF(L796="","",IF(L796&gt;Config!$B$8,"A cair",IF(N(G796)&gt;=MIN(MAX(1,N(E796)),MAX(0,INT((Config!$B$8-L796)/30)+1)),IF(N(G796)&gt;=MAX(1,N(E796)),"Conferido","Conferido até aqui"),"A conferir")))</f>
        <v/>
      </c>
      <c r="S796" s="51">
        <f>IF(R796="A conferir",(Config!$B$8-L796)*1000+N(F796)/1000+ROW()/100000,0)</f>
        <v>0</v>
      </c>
      <c r="T796" s="51">
        <f>IF(R796="A conferir",N(N796),0)</f>
        <v>0</v>
      </c>
      <c r="U796" s="51">
        <f>IF(L796="",0,L796)</f>
        <v>0</v>
      </c>
      <c r="V796" s="51">
        <f>IF(L796="",0,MAX(1,N(E796)))</f>
        <v>0</v>
      </c>
      <c r="W796" s="51">
        <f>IF(K796="",0,K796)</f>
        <v>0</v>
      </c>
    </row>
    <row r="797">
      <c r="A797" s="49" t="n"/>
      <c r="B797" s="41" t="n"/>
      <c r="C797" s="41" t="n"/>
      <c r="D797" s="42" t="n"/>
      <c r="E797" s="42" t="n"/>
      <c r="F797" s="50" t="n"/>
      <c r="G797" s="42" t="n"/>
      <c r="H797" s="30">
        <f>IF(D797="","",IFERROR(INDEX(Config!$B$12:$B$15,MATCH(IF(AND(D797="Cartão de crédito",N(E797)&gt;1),"Cartão de crédito parcelado",D797),Config!$A$12:$A$15,0)),0)+IF(AND(Config!$B$17="Sim",LEFT(D797,17)="Cartão de crédito"),Config!$B$18*IFERROR(INDEX(Config!$C$12:$C$15,MATCH(IF(AND(D797="Cartão de crédito",N(E797)&gt;1),"Cartão de crédito parcelado",D797),Config!$A$12:$A$15,0)),0)/30*MAX(1,N(E797)),0))</f>
        <v/>
      </c>
      <c r="I797" s="29">
        <f>IF(OR(D797="",F797=""),"",ROUND(F797*H797,2))</f>
        <v/>
      </c>
      <c r="J797" s="29">
        <f>IF(I797="","",F797-I797)</f>
        <v/>
      </c>
      <c r="K797" s="29">
        <f>IF(J797="","",J797/MAX(1,N(E797)))</f>
        <v/>
      </c>
      <c r="L797" s="37">
        <f>IF(OR(D797="",A797=""),"",A797+IF(AND(Config!$B$17="Sim",LEFT(D797,17)="Cartão de crédito"),1,IFERROR(INDEX(Config!$C$12:$C$15,MATCH(IF(AND(D797="Cartão de crédito",N(E797)&gt;1),"Cartão de crédito parcelado",D797),Config!$A$12:$A$15,0)),0)))</f>
        <v/>
      </c>
      <c r="M797" s="37">
        <f>IF(L797="","",IF(AND(Config!$B$17="Sim",LEFT(D797,17)="Cartão de crédito"),L797,L797+30*(MAX(1,N(E797))-1)))</f>
        <v/>
      </c>
      <c r="N797" s="29">
        <f>IF(OR(L797="",K797=""),"",K797*MIN(MAX(1,N(E797)),MAX(0,INT((Config!$B$8-L797)/30)+1)))</f>
        <v/>
      </c>
      <c r="O797" s="29">
        <f>IF(J797="","",J797-N(N797))</f>
        <v/>
      </c>
      <c r="P797" s="27">
        <f>IF(A797="","",MONTH(A797))</f>
        <v/>
      </c>
      <c r="Q797" s="27">
        <f>IF(A797="","",YEAR(A797))</f>
        <v/>
      </c>
      <c r="R797" s="27">
        <f>IF(L797="","",IF(L797&gt;Config!$B$8,"A cair",IF(N(G797)&gt;=MIN(MAX(1,N(E797)),MAX(0,INT((Config!$B$8-L797)/30)+1)),IF(N(G797)&gt;=MAX(1,N(E797)),"Conferido","Conferido até aqui"),"A conferir")))</f>
        <v/>
      </c>
      <c r="S797" s="51">
        <f>IF(R797="A conferir",(Config!$B$8-L797)*1000+N(F797)/1000+ROW()/100000,0)</f>
        <v>0</v>
      </c>
      <c r="T797" s="51">
        <f>IF(R797="A conferir",N(N797),0)</f>
        <v>0</v>
      </c>
      <c r="U797" s="51">
        <f>IF(L797="",0,L797)</f>
        <v>0</v>
      </c>
      <c r="V797" s="51">
        <f>IF(L797="",0,MAX(1,N(E797)))</f>
        <v>0</v>
      </c>
      <c r="W797" s="51">
        <f>IF(K797="",0,K797)</f>
        <v>0</v>
      </c>
    </row>
    <row r="798">
      <c r="A798" s="49" t="n"/>
      <c r="B798" s="41" t="n"/>
      <c r="C798" s="41" t="n"/>
      <c r="D798" s="42" t="n"/>
      <c r="E798" s="42" t="n"/>
      <c r="F798" s="50" t="n"/>
      <c r="G798" s="42" t="n"/>
      <c r="H798" s="30">
        <f>IF(D798="","",IFERROR(INDEX(Config!$B$12:$B$15,MATCH(IF(AND(D798="Cartão de crédito",N(E798)&gt;1),"Cartão de crédito parcelado",D798),Config!$A$12:$A$15,0)),0)+IF(AND(Config!$B$17="Sim",LEFT(D798,17)="Cartão de crédito"),Config!$B$18*IFERROR(INDEX(Config!$C$12:$C$15,MATCH(IF(AND(D798="Cartão de crédito",N(E798)&gt;1),"Cartão de crédito parcelado",D798),Config!$A$12:$A$15,0)),0)/30*MAX(1,N(E798)),0))</f>
        <v/>
      </c>
      <c r="I798" s="29">
        <f>IF(OR(D798="",F798=""),"",ROUND(F798*H798,2))</f>
        <v/>
      </c>
      <c r="J798" s="29">
        <f>IF(I798="","",F798-I798)</f>
        <v/>
      </c>
      <c r="K798" s="29">
        <f>IF(J798="","",J798/MAX(1,N(E798)))</f>
        <v/>
      </c>
      <c r="L798" s="37">
        <f>IF(OR(D798="",A798=""),"",A798+IF(AND(Config!$B$17="Sim",LEFT(D798,17)="Cartão de crédito"),1,IFERROR(INDEX(Config!$C$12:$C$15,MATCH(IF(AND(D798="Cartão de crédito",N(E798)&gt;1),"Cartão de crédito parcelado",D798),Config!$A$12:$A$15,0)),0)))</f>
        <v/>
      </c>
      <c r="M798" s="37">
        <f>IF(L798="","",IF(AND(Config!$B$17="Sim",LEFT(D798,17)="Cartão de crédito"),L798,L798+30*(MAX(1,N(E798))-1)))</f>
        <v/>
      </c>
      <c r="N798" s="29">
        <f>IF(OR(L798="",K798=""),"",K798*MIN(MAX(1,N(E798)),MAX(0,INT((Config!$B$8-L798)/30)+1)))</f>
        <v/>
      </c>
      <c r="O798" s="29">
        <f>IF(J798="","",J798-N(N798))</f>
        <v/>
      </c>
      <c r="P798" s="27">
        <f>IF(A798="","",MONTH(A798))</f>
        <v/>
      </c>
      <c r="Q798" s="27">
        <f>IF(A798="","",YEAR(A798))</f>
        <v/>
      </c>
      <c r="R798" s="27">
        <f>IF(L798="","",IF(L798&gt;Config!$B$8,"A cair",IF(N(G798)&gt;=MIN(MAX(1,N(E798)),MAX(0,INT((Config!$B$8-L798)/30)+1)),IF(N(G798)&gt;=MAX(1,N(E798)),"Conferido","Conferido até aqui"),"A conferir")))</f>
        <v/>
      </c>
      <c r="S798" s="51">
        <f>IF(R798="A conferir",(Config!$B$8-L798)*1000+N(F798)/1000+ROW()/100000,0)</f>
        <v>0</v>
      </c>
      <c r="T798" s="51">
        <f>IF(R798="A conferir",N(N798),0)</f>
        <v>0</v>
      </c>
      <c r="U798" s="51">
        <f>IF(L798="",0,L798)</f>
        <v>0</v>
      </c>
      <c r="V798" s="51">
        <f>IF(L798="",0,MAX(1,N(E798)))</f>
        <v>0</v>
      </c>
      <c r="W798" s="51">
        <f>IF(K798="",0,K798)</f>
        <v>0</v>
      </c>
    </row>
    <row r="799">
      <c r="A799" s="49" t="n"/>
      <c r="B799" s="41" t="n"/>
      <c r="C799" s="41" t="n"/>
      <c r="D799" s="42" t="n"/>
      <c r="E799" s="42" t="n"/>
      <c r="F799" s="50" t="n"/>
      <c r="G799" s="42" t="n"/>
      <c r="H799" s="30">
        <f>IF(D799="","",IFERROR(INDEX(Config!$B$12:$B$15,MATCH(IF(AND(D799="Cartão de crédito",N(E799)&gt;1),"Cartão de crédito parcelado",D799),Config!$A$12:$A$15,0)),0)+IF(AND(Config!$B$17="Sim",LEFT(D799,17)="Cartão de crédito"),Config!$B$18*IFERROR(INDEX(Config!$C$12:$C$15,MATCH(IF(AND(D799="Cartão de crédito",N(E799)&gt;1),"Cartão de crédito parcelado",D799),Config!$A$12:$A$15,0)),0)/30*MAX(1,N(E799)),0))</f>
        <v/>
      </c>
      <c r="I799" s="29">
        <f>IF(OR(D799="",F799=""),"",ROUND(F799*H799,2))</f>
        <v/>
      </c>
      <c r="J799" s="29">
        <f>IF(I799="","",F799-I799)</f>
        <v/>
      </c>
      <c r="K799" s="29">
        <f>IF(J799="","",J799/MAX(1,N(E799)))</f>
        <v/>
      </c>
      <c r="L799" s="37">
        <f>IF(OR(D799="",A799=""),"",A799+IF(AND(Config!$B$17="Sim",LEFT(D799,17)="Cartão de crédito"),1,IFERROR(INDEX(Config!$C$12:$C$15,MATCH(IF(AND(D799="Cartão de crédito",N(E799)&gt;1),"Cartão de crédito parcelado",D799),Config!$A$12:$A$15,0)),0)))</f>
        <v/>
      </c>
      <c r="M799" s="37">
        <f>IF(L799="","",IF(AND(Config!$B$17="Sim",LEFT(D799,17)="Cartão de crédito"),L799,L799+30*(MAX(1,N(E799))-1)))</f>
        <v/>
      </c>
      <c r="N799" s="29">
        <f>IF(OR(L799="",K799=""),"",K799*MIN(MAX(1,N(E799)),MAX(0,INT((Config!$B$8-L799)/30)+1)))</f>
        <v/>
      </c>
      <c r="O799" s="29">
        <f>IF(J799="","",J799-N(N799))</f>
        <v/>
      </c>
      <c r="P799" s="27">
        <f>IF(A799="","",MONTH(A799))</f>
        <v/>
      </c>
      <c r="Q799" s="27">
        <f>IF(A799="","",YEAR(A799))</f>
        <v/>
      </c>
      <c r="R799" s="27">
        <f>IF(L799="","",IF(L799&gt;Config!$B$8,"A cair",IF(N(G799)&gt;=MIN(MAX(1,N(E799)),MAX(0,INT((Config!$B$8-L799)/30)+1)),IF(N(G799)&gt;=MAX(1,N(E799)),"Conferido","Conferido até aqui"),"A conferir")))</f>
        <v/>
      </c>
      <c r="S799" s="51">
        <f>IF(R799="A conferir",(Config!$B$8-L799)*1000+N(F799)/1000+ROW()/100000,0)</f>
        <v>0</v>
      </c>
      <c r="T799" s="51">
        <f>IF(R799="A conferir",N(N799),0)</f>
        <v>0</v>
      </c>
      <c r="U799" s="51">
        <f>IF(L799="",0,L799)</f>
        <v>0</v>
      </c>
      <c r="V799" s="51">
        <f>IF(L799="",0,MAX(1,N(E799)))</f>
        <v>0</v>
      </c>
      <c r="W799" s="51">
        <f>IF(K799="",0,K799)</f>
        <v>0</v>
      </c>
    </row>
    <row r="800">
      <c r="A800" s="49" t="n"/>
      <c r="B800" s="41" t="n"/>
      <c r="C800" s="41" t="n"/>
      <c r="D800" s="42" t="n"/>
      <c r="E800" s="42" t="n"/>
      <c r="F800" s="50" t="n"/>
      <c r="G800" s="42" t="n"/>
      <c r="H800" s="30">
        <f>IF(D800="","",IFERROR(INDEX(Config!$B$12:$B$15,MATCH(IF(AND(D800="Cartão de crédito",N(E800)&gt;1),"Cartão de crédito parcelado",D800),Config!$A$12:$A$15,0)),0)+IF(AND(Config!$B$17="Sim",LEFT(D800,17)="Cartão de crédito"),Config!$B$18*IFERROR(INDEX(Config!$C$12:$C$15,MATCH(IF(AND(D800="Cartão de crédito",N(E800)&gt;1),"Cartão de crédito parcelado",D800),Config!$A$12:$A$15,0)),0)/30*MAX(1,N(E800)),0))</f>
        <v/>
      </c>
      <c r="I800" s="29">
        <f>IF(OR(D800="",F800=""),"",ROUND(F800*H800,2))</f>
        <v/>
      </c>
      <c r="J800" s="29">
        <f>IF(I800="","",F800-I800)</f>
        <v/>
      </c>
      <c r="K800" s="29">
        <f>IF(J800="","",J800/MAX(1,N(E800)))</f>
        <v/>
      </c>
      <c r="L800" s="37">
        <f>IF(OR(D800="",A800=""),"",A800+IF(AND(Config!$B$17="Sim",LEFT(D800,17)="Cartão de crédito"),1,IFERROR(INDEX(Config!$C$12:$C$15,MATCH(IF(AND(D800="Cartão de crédito",N(E800)&gt;1),"Cartão de crédito parcelado",D800),Config!$A$12:$A$15,0)),0)))</f>
        <v/>
      </c>
      <c r="M800" s="37">
        <f>IF(L800="","",IF(AND(Config!$B$17="Sim",LEFT(D800,17)="Cartão de crédito"),L800,L800+30*(MAX(1,N(E800))-1)))</f>
        <v/>
      </c>
      <c r="N800" s="29">
        <f>IF(OR(L800="",K800=""),"",K800*MIN(MAX(1,N(E800)),MAX(0,INT((Config!$B$8-L800)/30)+1)))</f>
        <v/>
      </c>
      <c r="O800" s="29">
        <f>IF(J800="","",J800-N(N800))</f>
        <v/>
      </c>
      <c r="P800" s="27">
        <f>IF(A800="","",MONTH(A800))</f>
        <v/>
      </c>
      <c r="Q800" s="27">
        <f>IF(A800="","",YEAR(A800))</f>
        <v/>
      </c>
      <c r="R800" s="27">
        <f>IF(L800="","",IF(L800&gt;Config!$B$8,"A cair",IF(N(G800)&gt;=MIN(MAX(1,N(E800)),MAX(0,INT((Config!$B$8-L800)/30)+1)),IF(N(G800)&gt;=MAX(1,N(E800)),"Conferido","Conferido até aqui"),"A conferir")))</f>
        <v/>
      </c>
      <c r="S800" s="51">
        <f>IF(R800="A conferir",(Config!$B$8-L800)*1000+N(F800)/1000+ROW()/100000,0)</f>
        <v>0</v>
      </c>
      <c r="T800" s="51">
        <f>IF(R800="A conferir",N(N800),0)</f>
        <v>0</v>
      </c>
      <c r="U800" s="51">
        <f>IF(L800="",0,L800)</f>
        <v>0</v>
      </c>
      <c r="V800" s="51">
        <f>IF(L800="",0,MAX(1,N(E800)))</f>
        <v>0</v>
      </c>
      <c r="W800" s="51">
        <f>IF(K800="",0,K800)</f>
        <v>0</v>
      </c>
    </row>
    <row r="801">
      <c r="A801" s="49" t="n"/>
      <c r="B801" s="41" t="n"/>
      <c r="C801" s="41" t="n"/>
      <c r="D801" s="42" t="n"/>
      <c r="E801" s="42" t="n"/>
      <c r="F801" s="50" t="n"/>
      <c r="G801" s="42" t="n"/>
      <c r="H801" s="30">
        <f>IF(D801="","",IFERROR(INDEX(Config!$B$12:$B$15,MATCH(IF(AND(D801="Cartão de crédito",N(E801)&gt;1),"Cartão de crédito parcelado",D801),Config!$A$12:$A$15,0)),0)+IF(AND(Config!$B$17="Sim",LEFT(D801,17)="Cartão de crédito"),Config!$B$18*IFERROR(INDEX(Config!$C$12:$C$15,MATCH(IF(AND(D801="Cartão de crédito",N(E801)&gt;1),"Cartão de crédito parcelado",D801),Config!$A$12:$A$15,0)),0)/30*MAX(1,N(E801)),0))</f>
        <v/>
      </c>
      <c r="I801" s="29">
        <f>IF(OR(D801="",F801=""),"",ROUND(F801*H801,2))</f>
        <v/>
      </c>
      <c r="J801" s="29">
        <f>IF(I801="","",F801-I801)</f>
        <v/>
      </c>
      <c r="K801" s="29">
        <f>IF(J801="","",J801/MAX(1,N(E801)))</f>
        <v/>
      </c>
      <c r="L801" s="37">
        <f>IF(OR(D801="",A801=""),"",A801+IF(AND(Config!$B$17="Sim",LEFT(D801,17)="Cartão de crédito"),1,IFERROR(INDEX(Config!$C$12:$C$15,MATCH(IF(AND(D801="Cartão de crédito",N(E801)&gt;1),"Cartão de crédito parcelado",D801),Config!$A$12:$A$15,0)),0)))</f>
        <v/>
      </c>
      <c r="M801" s="37">
        <f>IF(L801="","",IF(AND(Config!$B$17="Sim",LEFT(D801,17)="Cartão de crédito"),L801,L801+30*(MAX(1,N(E801))-1)))</f>
        <v/>
      </c>
      <c r="N801" s="29">
        <f>IF(OR(L801="",K801=""),"",K801*MIN(MAX(1,N(E801)),MAX(0,INT((Config!$B$8-L801)/30)+1)))</f>
        <v/>
      </c>
      <c r="O801" s="29">
        <f>IF(J801="","",J801-N(N801))</f>
        <v/>
      </c>
      <c r="P801" s="27">
        <f>IF(A801="","",MONTH(A801))</f>
        <v/>
      </c>
      <c r="Q801" s="27">
        <f>IF(A801="","",YEAR(A801))</f>
        <v/>
      </c>
      <c r="R801" s="27">
        <f>IF(L801="","",IF(L801&gt;Config!$B$8,"A cair",IF(N(G801)&gt;=MIN(MAX(1,N(E801)),MAX(0,INT((Config!$B$8-L801)/30)+1)),IF(N(G801)&gt;=MAX(1,N(E801)),"Conferido","Conferido até aqui"),"A conferir")))</f>
        <v/>
      </c>
      <c r="S801" s="51">
        <f>IF(R801="A conferir",(Config!$B$8-L801)*1000+N(F801)/1000+ROW()/100000,0)</f>
        <v>0</v>
      </c>
      <c r="T801" s="51">
        <f>IF(R801="A conferir",N(N801),0)</f>
        <v>0</v>
      </c>
      <c r="U801" s="51">
        <f>IF(L801="",0,L801)</f>
        <v>0</v>
      </c>
      <c r="V801" s="51">
        <f>IF(L801="",0,MAX(1,N(E801)))</f>
        <v>0</v>
      </c>
      <c r="W801" s="51">
        <f>IF(K801="",0,K801)</f>
        <v>0</v>
      </c>
    </row>
    <row r="802">
      <c r="A802" s="49" t="n"/>
      <c r="B802" s="41" t="n"/>
      <c r="C802" s="41" t="n"/>
      <c r="D802" s="42" t="n"/>
      <c r="E802" s="42" t="n"/>
      <c r="F802" s="50" t="n"/>
      <c r="G802" s="42" t="n"/>
      <c r="H802" s="30">
        <f>IF(D802="","",IFERROR(INDEX(Config!$B$12:$B$15,MATCH(IF(AND(D802="Cartão de crédito",N(E802)&gt;1),"Cartão de crédito parcelado",D802),Config!$A$12:$A$15,0)),0)+IF(AND(Config!$B$17="Sim",LEFT(D802,17)="Cartão de crédito"),Config!$B$18*IFERROR(INDEX(Config!$C$12:$C$15,MATCH(IF(AND(D802="Cartão de crédito",N(E802)&gt;1),"Cartão de crédito parcelado",D802),Config!$A$12:$A$15,0)),0)/30*MAX(1,N(E802)),0))</f>
        <v/>
      </c>
      <c r="I802" s="29">
        <f>IF(OR(D802="",F802=""),"",ROUND(F802*H802,2))</f>
        <v/>
      </c>
      <c r="J802" s="29">
        <f>IF(I802="","",F802-I802)</f>
        <v/>
      </c>
      <c r="K802" s="29">
        <f>IF(J802="","",J802/MAX(1,N(E802)))</f>
        <v/>
      </c>
      <c r="L802" s="37">
        <f>IF(OR(D802="",A802=""),"",A802+IF(AND(Config!$B$17="Sim",LEFT(D802,17)="Cartão de crédito"),1,IFERROR(INDEX(Config!$C$12:$C$15,MATCH(IF(AND(D802="Cartão de crédito",N(E802)&gt;1),"Cartão de crédito parcelado",D802),Config!$A$12:$A$15,0)),0)))</f>
        <v/>
      </c>
      <c r="M802" s="37">
        <f>IF(L802="","",IF(AND(Config!$B$17="Sim",LEFT(D802,17)="Cartão de crédito"),L802,L802+30*(MAX(1,N(E802))-1)))</f>
        <v/>
      </c>
      <c r="N802" s="29">
        <f>IF(OR(L802="",K802=""),"",K802*MIN(MAX(1,N(E802)),MAX(0,INT((Config!$B$8-L802)/30)+1)))</f>
        <v/>
      </c>
      <c r="O802" s="29">
        <f>IF(J802="","",J802-N(N802))</f>
        <v/>
      </c>
      <c r="P802" s="27">
        <f>IF(A802="","",MONTH(A802))</f>
        <v/>
      </c>
      <c r="Q802" s="27">
        <f>IF(A802="","",YEAR(A802))</f>
        <v/>
      </c>
      <c r="R802" s="27">
        <f>IF(L802="","",IF(L802&gt;Config!$B$8,"A cair",IF(N(G802)&gt;=MIN(MAX(1,N(E802)),MAX(0,INT((Config!$B$8-L802)/30)+1)),IF(N(G802)&gt;=MAX(1,N(E802)),"Conferido","Conferido até aqui"),"A conferir")))</f>
        <v/>
      </c>
      <c r="S802" s="51">
        <f>IF(R802="A conferir",(Config!$B$8-L802)*1000+N(F802)/1000+ROW()/100000,0)</f>
        <v>0</v>
      </c>
      <c r="T802" s="51">
        <f>IF(R802="A conferir",N(N802),0)</f>
        <v>0</v>
      </c>
      <c r="U802" s="51">
        <f>IF(L802="",0,L802)</f>
        <v>0</v>
      </c>
      <c r="V802" s="51">
        <f>IF(L802="",0,MAX(1,N(E802)))</f>
        <v>0</v>
      </c>
      <c r="W802" s="51">
        <f>IF(K802="",0,K802)</f>
        <v>0</v>
      </c>
    </row>
    <row r="803">
      <c r="A803" s="49" t="n"/>
      <c r="B803" s="41" t="n"/>
      <c r="C803" s="41" t="n"/>
      <c r="D803" s="42" t="n"/>
      <c r="E803" s="42" t="n"/>
      <c r="F803" s="50" t="n"/>
      <c r="G803" s="42" t="n"/>
      <c r="H803" s="30">
        <f>IF(D803="","",IFERROR(INDEX(Config!$B$12:$B$15,MATCH(IF(AND(D803="Cartão de crédito",N(E803)&gt;1),"Cartão de crédito parcelado",D803),Config!$A$12:$A$15,0)),0)+IF(AND(Config!$B$17="Sim",LEFT(D803,17)="Cartão de crédito"),Config!$B$18*IFERROR(INDEX(Config!$C$12:$C$15,MATCH(IF(AND(D803="Cartão de crédito",N(E803)&gt;1),"Cartão de crédito parcelado",D803),Config!$A$12:$A$15,0)),0)/30*MAX(1,N(E803)),0))</f>
        <v/>
      </c>
      <c r="I803" s="29">
        <f>IF(OR(D803="",F803=""),"",ROUND(F803*H803,2))</f>
        <v/>
      </c>
      <c r="J803" s="29">
        <f>IF(I803="","",F803-I803)</f>
        <v/>
      </c>
      <c r="K803" s="29">
        <f>IF(J803="","",J803/MAX(1,N(E803)))</f>
        <v/>
      </c>
      <c r="L803" s="37">
        <f>IF(OR(D803="",A803=""),"",A803+IF(AND(Config!$B$17="Sim",LEFT(D803,17)="Cartão de crédito"),1,IFERROR(INDEX(Config!$C$12:$C$15,MATCH(IF(AND(D803="Cartão de crédito",N(E803)&gt;1),"Cartão de crédito parcelado",D803),Config!$A$12:$A$15,0)),0)))</f>
        <v/>
      </c>
      <c r="M803" s="37">
        <f>IF(L803="","",IF(AND(Config!$B$17="Sim",LEFT(D803,17)="Cartão de crédito"),L803,L803+30*(MAX(1,N(E803))-1)))</f>
        <v/>
      </c>
      <c r="N803" s="29">
        <f>IF(OR(L803="",K803=""),"",K803*MIN(MAX(1,N(E803)),MAX(0,INT((Config!$B$8-L803)/30)+1)))</f>
        <v/>
      </c>
      <c r="O803" s="29">
        <f>IF(J803="","",J803-N(N803))</f>
        <v/>
      </c>
      <c r="P803" s="27">
        <f>IF(A803="","",MONTH(A803))</f>
        <v/>
      </c>
      <c r="Q803" s="27">
        <f>IF(A803="","",YEAR(A803))</f>
        <v/>
      </c>
      <c r="R803" s="27">
        <f>IF(L803="","",IF(L803&gt;Config!$B$8,"A cair",IF(N(G803)&gt;=MIN(MAX(1,N(E803)),MAX(0,INT((Config!$B$8-L803)/30)+1)),IF(N(G803)&gt;=MAX(1,N(E803)),"Conferido","Conferido até aqui"),"A conferir")))</f>
        <v/>
      </c>
      <c r="S803" s="51">
        <f>IF(R803="A conferir",(Config!$B$8-L803)*1000+N(F803)/1000+ROW()/100000,0)</f>
        <v>0</v>
      </c>
      <c r="T803" s="51">
        <f>IF(R803="A conferir",N(N803),0)</f>
        <v>0</v>
      </c>
      <c r="U803" s="51">
        <f>IF(L803="",0,L803)</f>
        <v>0</v>
      </c>
      <c r="V803" s="51">
        <f>IF(L803="",0,MAX(1,N(E803)))</f>
        <v>0</v>
      </c>
      <c r="W803" s="51">
        <f>IF(K803="",0,K803)</f>
        <v>0</v>
      </c>
    </row>
    <row r="804">
      <c r="A804" s="49" t="n"/>
      <c r="B804" s="41" t="n"/>
      <c r="C804" s="41" t="n"/>
      <c r="D804" s="42" t="n"/>
      <c r="E804" s="42" t="n"/>
      <c r="F804" s="50" t="n"/>
      <c r="G804" s="42" t="n"/>
      <c r="H804" s="30">
        <f>IF(D804="","",IFERROR(INDEX(Config!$B$12:$B$15,MATCH(IF(AND(D804="Cartão de crédito",N(E804)&gt;1),"Cartão de crédito parcelado",D804),Config!$A$12:$A$15,0)),0)+IF(AND(Config!$B$17="Sim",LEFT(D804,17)="Cartão de crédito"),Config!$B$18*IFERROR(INDEX(Config!$C$12:$C$15,MATCH(IF(AND(D804="Cartão de crédito",N(E804)&gt;1),"Cartão de crédito parcelado",D804),Config!$A$12:$A$15,0)),0)/30*MAX(1,N(E804)),0))</f>
        <v/>
      </c>
      <c r="I804" s="29">
        <f>IF(OR(D804="",F804=""),"",ROUND(F804*H804,2))</f>
        <v/>
      </c>
      <c r="J804" s="29">
        <f>IF(I804="","",F804-I804)</f>
        <v/>
      </c>
      <c r="K804" s="29">
        <f>IF(J804="","",J804/MAX(1,N(E804)))</f>
        <v/>
      </c>
      <c r="L804" s="37">
        <f>IF(OR(D804="",A804=""),"",A804+IF(AND(Config!$B$17="Sim",LEFT(D804,17)="Cartão de crédito"),1,IFERROR(INDEX(Config!$C$12:$C$15,MATCH(IF(AND(D804="Cartão de crédito",N(E804)&gt;1),"Cartão de crédito parcelado",D804),Config!$A$12:$A$15,0)),0)))</f>
        <v/>
      </c>
      <c r="M804" s="37">
        <f>IF(L804="","",IF(AND(Config!$B$17="Sim",LEFT(D804,17)="Cartão de crédito"),L804,L804+30*(MAX(1,N(E804))-1)))</f>
        <v/>
      </c>
      <c r="N804" s="29">
        <f>IF(OR(L804="",K804=""),"",K804*MIN(MAX(1,N(E804)),MAX(0,INT((Config!$B$8-L804)/30)+1)))</f>
        <v/>
      </c>
      <c r="O804" s="29">
        <f>IF(J804="","",J804-N(N804))</f>
        <v/>
      </c>
      <c r="P804" s="27">
        <f>IF(A804="","",MONTH(A804))</f>
        <v/>
      </c>
      <c r="Q804" s="27">
        <f>IF(A804="","",YEAR(A804))</f>
        <v/>
      </c>
      <c r="R804" s="27">
        <f>IF(L804="","",IF(L804&gt;Config!$B$8,"A cair",IF(N(G804)&gt;=MIN(MAX(1,N(E804)),MAX(0,INT((Config!$B$8-L804)/30)+1)),IF(N(G804)&gt;=MAX(1,N(E804)),"Conferido","Conferido até aqui"),"A conferir")))</f>
        <v/>
      </c>
      <c r="S804" s="51">
        <f>IF(R804="A conferir",(Config!$B$8-L804)*1000+N(F804)/1000+ROW()/100000,0)</f>
        <v>0</v>
      </c>
      <c r="T804" s="51">
        <f>IF(R804="A conferir",N(N804),0)</f>
        <v>0</v>
      </c>
      <c r="U804" s="51">
        <f>IF(L804="",0,L804)</f>
        <v>0</v>
      </c>
      <c r="V804" s="51">
        <f>IF(L804="",0,MAX(1,N(E804)))</f>
        <v>0</v>
      </c>
      <c r="W804" s="51">
        <f>IF(K804="",0,K804)</f>
        <v>0</v>
      </c>
    </row>
    <row r="805">
      <c r="A805" s="49" t="n"/>
      <c r="B805" s="41" t="n"/>
      <c r="C805" s="41" t="n"/>
      <c r="D805" s="42" t="n"/>
      <c r="E805" s="42" t="n"/>
      <c r="F805" s="50" t="n"/>
      <c r="G805" s="42" t="n"/>
      <c r="H805" s="30">
        <f>IF(D805="","",IFERROR(INDEX(Config!$B$12:$B$15,MATCH(IF(AND(D805="Cartão de crédito",N(E805)&gt;1),"Cartão de crédito parcelado",D805),Config!$A$12:$A$15,0)),0)+IF(AND(Config!$B$17="Sim",LEFT(D805,17)="Cartão de crédito"),Config!$B$18*IFERROR(INDEX(Config!$C$12:$C$15,MATCH(IF(AND(D805="Cartão de crédito",N(E805)&gt;1),"Cartão de crédito parcelado",D805),Config!$A$12:$A$15,0)),0)/30*MAX(1,N(E805)),0))</f>
        <v/>
      </c>
      <c r="I805" s="29">
        <f>IF(OR(D805="",F805=""),"",ROUND(F805*H805,2))</f>
        <v/>
      </c>
      <c r="J805" s="29">
        <f>IF(I805="","",F805-I805)</f>
        <v/>
      </c>
      <c r="K805" s="29">
        <f>IF(J805="","",J805/MAX(1,N(E805)))</f>
        <v/>
      </c>
      <c r="L805" s="37">
        <f>IF(OR(D805="",A805=""),"",A805+IF(AND(Config!$B$17="Sim",LEFT(D805,17)="Cartão de crédito"),1,IFERROR(INDEX(Config!$C$12:$C$15,MATCH(IF(AND(D805="Cartão de crédito",N(E805)&gt;1),"Cartão de crédito parcelado",D805),Config!$A$12:$A$15,0)),0)))</f>
        <v/>
      </c>
      <c r="M805" s="37">
        <f>IF(L805="","",IF(AND(Config!$B$17="Sim",LEFT(D805,17)="Cartão de crédito"),L805,L805+30*(MAX(1,N(E805))-1)))</f>
        <v/>
      </c>
      <c r="N805" s="29">
        <f>IF(OR(L805="",K805=""),"",K805*MIN(MAX(1,N(E805)),MAX(0,INT((Config!$B$8-L805)/30)+1)))</f>
        <v/>
      </c>
      <c r="O805" s="29">
        <f>IF(J805="","",J805-N(N805))</f>
        <v/>
      </c>
      <c r="P805" s="27">
        <f>IF(A805="","",MONTH(A805))</f>
        <v/>
      </c>
      <c r="Q805" s="27">
        <f>IF(A805="","",YEAR(A805))</f>
        <v/>
      </c>
      <c r="R805" s="27">
        <f>IF(L805="","",IF(L805&gt;Config!$B$8,"A cair",IF(N(G805)&gt;=MIN(MAX(1,N(E805)),MAX(0,INT((Config!$B$8-L805)/30)+1)),IF(N(G805)&gt;=MAX(1,N(E805)),"Conferido","Conferido até aqui"),"A conferir")))</f>
        <v/>
      </c>
      <c r="S805" s="51">
        <f>IF(R805="A conferir",(Config!$B$8-L805)*1000+N(F805)/1000+ROW()/100000,0)</f>
        <v>0</v>
      </c>
      <c r="T805" s="51">
        <f>IF(R805="A conferir",N(N805),0)</f>
        <v>0</v>
      </c>
      <c r="U805" s="51">
        <f>IF(L805="",0,L805)</f>
        <v>0</v>
      </c>
      <c r="V805" s="51">
        <f>IF(L805="",0,MAX(1,N(E805)))</f>
        <v>0</v>
      </c>
      <c r="W805" s="51">
        <f>IF(K805="",0,K805)</f>
        <v>0</v>
      </c>
    </row>
    <row r="806">
      <c r="A806" s="49" t="n"/>
      <c r="B806" s="41" t="n"/>
      <c r="C806" s="41" t="n"/>
      <c r="D806" s="42" t="n"/>
      <c r="E806" s="42" t="n"/>
      <c r="F806" s="50" t="n"/>
      <c r="G806" s="42" t="n"/>
      <c r="H806" s="30">
        <f>IF(D806="","",IFERROR(INDEX(Config!$B$12:$B$15,MATCH(IF(AND(D806="Cartão de crédito",N(E806)&gt;1),"Cartão de crédito parcelado",D806),Config!$A$12:$A$15,0)),0)+IF(AND(Config!$B$17="Sim",LEFT(D806,17)="Cartão de crédito"),Config!$B$18*IFERROR(INDEX(Config!$C$12:$C$15,MATCH(IF(AND(D806="Cartão de crédito",N(E806)&gt;1),"Cartão de crédito parcelado",D806),Config!$A$12:$A$15,0)),0)/30*MAX(1,N(E806)),0))</f>
        <v/>
      </c>
      <c r="I806" s="29">
        <f>IF(OR(D806="",F806=""),"",ROUND(F806*H806,2))</f>
        <v/>
      </c>
      <c r="J806" s="29">
        <f>IF(I806="","",F806-I806)</f>
        <v/>
      </c>
      <c r="K806" s="29">
        <f>IF(J806="","",J806/MAX(1,N(E806)))</f>
        <v/>
      </c>
      <c r="L806" s="37">
        <f>IF(OR(D806="",A806=""),"",A806+IF(AND(Config!$B$17="Sim",LEFT(D806,17)="Cartão de crédito"),1,IFERROR(INDEX(Config!$C$12:$C$15,MATCH(IF(AND(D806="Cartão de crédito",N(E806)&gt;1),"Cartão de crédito parcelado",D806),Config!$A$12:$A$15,0)),0)))</f>
        <v/>
      </c>
      <c r="M806" s="37">
        <f>IF(L806="","",IF(AND(Config!$B$17="Sim",LEFT(D806,17)="Cartão de crédito"),L806,L806+30*(MAX(1,N(E806))-1)))</f>
        <v/>
      </c>
      <c r="N806" s="29">
        <f>IF(OR(L806="",K806=""),"",K806*MIN(MAX(1,N(E806)),MAX(0,INT((Config!$B$8-L806)/30)+1)))</f>
        <v/>
      </c>
      <c r="O806" s="29">
        <f>IF(J806="","",J806-N(N806))</f>
        <v/>
      </c>
      <c r="P806" s="27">
        <f>IF(A806="","",MONTH(A806))</f>
        <v/>
      </c>
      <c r="Q806" s="27">
        <f>IF(A806="","",YEAR(A806))</f>
        <v/>
      </c>
      <c r="R806" s="27">
        <f>IF(L806="","",IF(L806&gt;Config!$B$8,"A cair",IF(N(G806)&gt;=MIN(MAX(1,N(E806)),MAX(0,INT((Config!$B$8-L806)/30)+1)),IF(N(G806)&gt;=MAX(1,N(E806)),"Conferido","Conferido até aqui"),"A conferir")))</f>
        <v/>
      </c>
      <c r="S806" s="51">
        <f>IF(R806="A conferir",(Config!$B$8-L806)*1000+N(F806)/1000+ROW()/100000,0)</f>
        <v>0</v>
      </c>
      <c r="T806" s="51">
        <f>IF(R806="A conferir",N(N806),0)</f>
        <v>0</v>
      </c>
      <c r="U806" s="51">
        <f>IF(L806="",0,L806)</f>
        <v>0</v>
      </c>
      <c r="V806" s="51">
        <f>IF(L806="",0,MAX(1,N(E806)))</f>
        <v>0</v>
      </c>
      <c r="W806" s="51">
        <f>IF(K806="",0,K806)</f>
        <v>0</v>
      </c>
    </row>
    <row r="807">
      <c r="A807" s="49" t="n"/>
      <c r="B807" s="41" t="n"/>
      <c r="C807" s="41" t="n"/>
      <c r="D807" s="42" t="n"/>
      <c r="E807" s="42" t="n"/>
      <c r="F807" s="50" t="n"/>
      <c r="G807" s="42" t="n"/>
      <c r="H807" s="30">
        <f>IF(D807="","",IFERROR(INDEX(Config!$B$12:$B$15,MATCH(IF(AND(D807="Cartão de crédito",N(E807)&gt;1),"Cartão de crédito parcelado",D807),Config!$A$12:$A$15,0)),0)+IF(AND(Config!$B$17="Sim",LEFT(D807,17)="Cartão de crédito"),Config!$B$18*IFERROR(INDEX(Config!$C$12:$C$15,MATCH(IF(AND(D807="Cartão de crédito",N(E807)&gt;1),"Cartão de crédito parcelado",D807),Config!$A$12:$A$15,0)),0)/30*MAX(1,N(E807)),0))</f>
        <v/>
      </c>
      <c r="I807" s="29">
        <f>IF(OR(D807="",F807=""),"",ROUND(F807*H807,2))</f>
        <v/>
      </c>
      <c r="J807" s="29">
        <f>IF(I807="","",F807-I807)</f>
        <v/>
      </c>
      <c r="K807" s="29">
        <f>IF(J807="","",J807/MAX(1,N(E807)))</f>
        <v/>
      </c>
      <c r="L807" s="37">
        <f>IF(OR(D807="",A807=""),"",A807+IF(AND(Config!$B$17="Sim",LEFT(D807,17)="Cartão de crédito"),1,IFERROR(INDEX(Config!$C$12:$C$15,MATCH(IF(AND(D807="Cartão de crédito",N(E807)&gt;1),"Cartão de crédito parcelado",D807),Config!$A$12:$A$15,0)),0)))</f>
        <v/>
      </c>
      <c r="M807" s="37">
        <f>IF(L807="","",IF(AND(Config!$B$17="Sim",LEFT(D807,17)="Cartão de crédito"),L807,L807+30*(MAX(1,N(E807))-1)))</f>
        <v/>
      </c>
      <c r="N807" s="29">
        <f>IF(OR(L807="",K807=""),"",K807*MIN(MAX(1,N(E807)),MAX(0,INT((Config!$B$8-L807)/30)+1)))</f>
        <v/>
      </c>
      <c r="O807" s="29">
        <f>IF(J807="","",J807-N(N807))</f>
        <v/>
      </c>
      <c r="P807" s="27">
        <f>IF(A807="","",MONTH(A807))</f>
        <v/>
      </c>
      <c r="Q807" s="27">
        <f>IF(A807="","",YEAR(A807))</f>
        <v/>
      </c>
      <c r="R807" s="27">
        <f>IF(L807="","",IF(L807&gt;Config!$B$8,"A cair",IF(N(G807)&gt;=MIN(MAX(1,N(E807)),MAX(0,INT((Config!$B$8-L807)/30)+1)),IF(N(G807)&gt;=MAX(1,N(E807)),"Conferido","Conferido até aqui"),"A conferir")))</f>
        <v/>
      </c>
      <c r="S807" s="51">
        <f>IF(R807="A conferir",(Config!$B$8-L807)*1000+N(F807)/1000+ROW()/100000,0)</f>
        <v>0</v>
      </c>
      <c r="T807" s="51">
        <f>IF(R807="A conferir",N(N807),0)</f>
        <v>0</v>
      </c>
      <c r="U807" s="51">
        <f>IF(L807="",0,L807)</f>
        <v>0</v>
      </c>
      <c r="V807" s="51">
        <f>IF(L807="",0,MAX(1,N(E807)))</f>
        <v>0</v>
      </c>
      <c r="W807" s="51">
        <f>IF(K807="",0,K807)</f>
        <v>0</v>
      </c>
    </row>
    <row r="808">
      <c r="A808" s="49" t="n"/>
      <c r="B808" s="41" t="n"/>
      <c r="C808" s="41" t="n"/>
      <c r="D808" s="42" t="n"/>
      <c r="E808" s="42" t="n"/>
      <c r="F808" s="50" t="n"/>
      <c r="G808" s="42" t="n"/>
      <c r="H808" s="30">
        <f>IF(D808="","",IFERROR(INDEX(Config!$B$12:$B$15,MATCH(IF(AND(D808="Cartão de crédito",N(E808)&gt;1),"Cartão de crédito parcelado",D808),Config!$A$12:$A$15,0)),0)+IF(AND(Config!$B$17="Sim",LEFT(D808,17)="Cartão de crédito"),Config!$B$18*IFERROR(INDEX(Config!$C$12:$C$15,MATCH(IF(AND(D808="Cartão de crédito",N(E808)&gt;1),"Cartão de crédito parcelado",D808),Config!$A$12:$A$15,0)),0)/30*MAX(1,N(E808)),0))</f>
        <v/>
      </c>
      <c r="I808" s="29">
        <f>IF(OR(D808="",F808=""),"",ROUND(F808*H808,2))</f>
        <v/>
      </c>
      <c r="J808" s="29">
        <f>IF(I808="","",F808-I808)</f>
        <v/>
      </c>
      <c r="K808" s="29">
        <f>IF(J808="","",J808/MAX(1,N(E808)))</f>
        <v/>
      </c>
      <c r="L808" s="37">
        <f>IF(OR(D808="",A808=""),"",A808+IF(AND(Config!$B$17="Sim",LEFT(D808,17)="Cartão de crédito"),1,IFERROR(INDEX(Config!$C$12:$C$15,MATCH(IF(AND(D808="Cartão de crédito",N(E808)&gt;1),"Cartão de crédito parcelado",D808),Config!$A$12:$A$15,0)),0)))</f>
        <v/>
      </c>
      <c r="M808" s="37">
        <f>IF(L808="","",IF(AND(Config!$B$17="Sim",LEFT(D808,17)="Cartão de crédito"),L808,L808+30*(MAX(1,N(E808))-1)))</f>
        <v/>
      </c>
      <c r="N808" s="29">
        <f>IF(OR(L808="",K808=""),"",K808*MIN(MAX(1,N(E808)),MAX(0,INT((Config!$B$8-L808)/30)+1)))</f>
        <v/>
      </c>
      <c r="O808" s="29">
        <f>IF(J808="","",J808-N(N808))</f>
        <v/>
      </c>
      <c r="P808" s="27">
        <f>IF(A808="","",MONTH(A808))</f>
        <v/>
      </c>
      <c r="Q808" s="27">
        <f>IF(A808="","",YEAR(A808))</f>
        <v/>
      </c>
      <c r="R808" s="27">
        <f>IF(L808="","",IF(L808&gt;Config!$B$8,"A cair",IF(N(G808)&gt;=MIN(MAX(1,N(E808)),MAX(0,INT((Config!$B$8-L808)/30)+1)),IF(N(G808)&gt;=MAX(1,N(E808)),"Conferido","Conferido até aqui"),"A conferir")))</f>
        <v/>
      </c>
      <c r="S808" s="51">
        <f>IF(R808="A conferir",(Config!$B$8-L808)*1000+N(F808)/1000+ROW()/100000,0)</f>
        <v>0</v>
      </c>
      <c r="T808" s="51">
        <f>IF(R808="A conferir",N(N808),0)</f>
        <v>0</v>
      </c>
      <c r="U808" s="51">
        <f>IF(L808="",0,L808)</f>
        <v>0</v>
      </c>
      <c r="V808" s="51">
        <f>IF(L808="",0,MAX(1,N(E808)))</f>
        <v>0</v>
      </c>
      <c r="W808" s="51">
        <f>IF(K808="",0,K808)</f>
        <v>0</v>
      </c>
    </row>
    <row r="809">
      <c r="A809" s="49" t="n"/>
      <c r="B809" s="41" t="n"/>
      <c r="C809" s="41" t="n"/>
      <c r="D809" s="42" t="n"/>
      <c r="E809" s="42" t="n"/>
      <c r="F809" s="50" t="n"/>
      <c r="G809" s="42" t="n"/>
      <c r="H809" s="30">
        <f>IF(D809="","",IFERROR(INDEX(Config!$B$12:$B$15,MATCH(IF(AND(D809="Cartão de crédito",N(E809)&gt;1),"Cartão de crédito parcelado",D809),Config!$A$12:$A$15,0)),0)+IF(AND(Config!$B$17="Sim",LEFT(D809,17)="Cartão de crédito"),Config!$B$18*IFERROR(INDEX(Config!$C$12:$C$15,MATCH(IF(AND(D809="Cartão de crédito",N(E809)&gt;1),"Cartão de crédito parcelado",D809),Config!$A$12:$A$15,0)),0)/30*MAX(1,N(E809)),0))</f>
        <v/>
      </c>
      <c r="I809" s="29">
        <f>IF(OR(D809="",F809=""),"",ROUND(F809*H809,2))</f>
        <v/>
      </c>
      <c r="J809" s="29">
        <f>IF(I809="","",F809-I809)</f>
        <v/>
      </c>
      <c r="K809" s="29">
        <f>IF(J809="","",J809/MAX(1,N(E809)))</f>
        <v/>
      </c>
      <c r="L809" s="37">
        <f>IF(OR(D809="",A809=""),"",A809+IF(AND(Config!$B$17="Sim",LEFT(D809,17)="Cartão de crédito"),1,IFERROR(INDEX(Config!$C$12:$C$15,MATCH(IF(AND(D809="Cartão de crédito",N(E809)&gt;1),"Cartão de crédito parcelado",D809),Config!$A$12:$A$15,0)),0)))</f>
        <v/>
      </c>
      <c r="M809" s="37">
        <f>IF(L809="","",IF(AND(Config!$B$17="Sim",LEFT(D809,17)="Cartão de crédito"),L809,L809+30*(MAX(1,N(E809))-1)))</f>
        <v/>
      </c>
      <c r="N809" s="29">
        <f>IF(OR(L809="",K809=""),"",K809*MIN(MAX(1,N(E809)),MAX(0,INT((Config!$B$8-L809)/30)+1)))</f>
        <v/>
      </c>
      <c r="O809" s="29">
        <f>IF(J809="","",J809-N(N809))</f>
        <v/>
      </c>
      <c r="P809" s="27">
        <f>IF(A809="","",MONTH(A809))</f>
        <v/>
      </c>
      <c r="Q809" s="27">
        <f>IF(A809="","",YEAR(A809))</f>
        <v/>
      </c>
      <c r="R809" s="27">
        <f>IF(L809="","",IF(L809&gt;Config!$B$8,"A cair",IF(N(G809)&gt;=MIN(MAX(1,N(E809)),MAX(0,INT((Config!$B$8-L809)/30)+1)),IF(N(G809)&gt;=MAX(1,N(E809)),"Conferido","Conferido até aqui"),"A conferir")))</f>
        <v/>
      </c>
      <c r="S809" s="51">
        <f>IF(R809="A conferir",(Config!$B$8-L809)*1000+N(F809)/1000+ROW()/100000,0)</f>
        <v>0</v>
      </c>
      <c r="T809" s="51">
        <f>IF(R809="A conferir",N(N809),0)</f>
        <v>0</v>
      </c>
      <c r="U809" s="51">
        <f>IF(L809="",0,L809)</f>
        <v>0</v>
      </c>
      <c r="V809" s="51">
        <f>IF(L809="",0,MAX(1,N(E809)))</f>
        <v>0</v>
      </c>
      <c r="W809" s="51">
        <f>IF(K809="",0,K809)</f>
        <v>0</v>
      </c>
    </row>
    <row r="810">
      <c r="A810" s="49" t="n"/>
      <c r="B810" s="41" t="n"/>
      <c r="C810" s="41" t="n"/>
      <c r="D810" s="42" t="n"/>
      <c r="E810" s="42" t="n"/>
      <c r="F810" s="50" t="n"/>
      <c r="G810" s="42" t="n"/>
      <c r="H810" s="30">
        <f>IF(D810="","",IFERROR(INDEX(Config!$B$12:$B$15,MATCH(IF(AND(D810="Cartão de crédito",N(E810)&gt;1),"Cartão de crédito parcelado",D810),Config!$A$12:$A$15,0)),0)+IF(AND(Config!$B$17="Sim",LEFT(D810,17)="Cartão de crédito"),Config!$B$18*IFERROR(INDEX(Config!$C$12:$C$15,MATCH(IF(AND(D810="Cartão de crédito",N(E810)&gt;1),"Cartão de crédito parcelado",D810),Config!$A$12:$A$15,0)),0)/30*MAX(1,N(E810)),0))</f>
        <v/>
      </c>
      <c r="I810" s="29">
        <f>IF(OR(D810="",F810=""),"",ROUND(F810*H810,2))</f>
        <v/>
      </c>
      <c r="J810" s="29">
        <f>IF(I810="","",F810-I810)</f>
        <v/>
      </c>
      <c r="K810" s="29">
        <f>IF(J810="","",J810/MAX(1,N(E810)))</f>
        <v/>
      </c>
      <c r="L810" s="37">
        <f>IF(OR(D810="",A810=""),"",A810+IF(AND(Config!$B$17="Sim",LEFT(D810,17)="Cartão de crédito"),1,IFERROR(INDEX(Config!$C$12:$C$15,MATCH(IF(AND(D810="Cartão de crédito",N(E810)&gt;1),"Cartão de crédito parcelado",D810),Config!$A$12:$A$15,0)),0)))</f>
        <v/>
      </c>
      <c r="M810" s="37">
        <f>IF(L810="","",IF(AND(Config!$B$17="Sim",LEFT(D810,17)="Cartão de crédito"),L810,L810+30*(MAX(1,N(E810))-1)))</f>
        <v/>
      </c>
      <c r="N810" s="29">
        <f>IF(OR(L810="",K810=""),"",K810*MIN(MAX(1,N(E810)),MAX(0,INT((Config!$B$8-L810)/30)+1)))</f>
        <v/>
      </c>
      <c r="O810" s="29">
        <f>IF(J810="","",J810-N(N810))</f>
        <v/>
      </c>
      <c r="P810" s="27">
        <f>IF(A810="","",MONTH(A810))</f>
        <v/>
      </c>
      <c r="Q810" s="27">
        <f>IF(A810="","",YEAR(A810))</f>
        <v/>
      </c>
      <c r="R810" s="27">
        <f>IF(L810="","",IF(L810&gt;Config!$B$8,"A cair",IF(N(G810)&gt;=MIN(MAX(1,N(E810)),MAX(0,INT((Config!$B$8-L810)/30)+1)),IF(N(G810)&gt;=MAX(1,N(E810)),"Conferido","Conferido até aqui"),"A conferir")))</f>
        <v/>
      </c>
      <c r="S810" s="51">
        <f>IF(R810="A conferir",(Config!$B$8-L810)*1000+N(F810)/1000+ROW()/100000,0)</f>
        <v>0</v>
      </c>
      <c r="T810" s="51">
        <f>IF(R810="A conferir",N(N810),0)</f>
        <v>0</v>
      </c>
      <c r="U810" s="51">
        <f>IF(L810="",0,L810)</f>
        <v>0</v>
      </c>
      <c r="V810" s="51">
        <f>IF(L810="",0,MAX(1,N(E810)))</f>
        <v>0</v>
      </c>
      <c r="W810" s="51">
        <f>IF(K810="",0,K810)</f>
        <v>0</v>
      </c>
    </row>
    <row r="811">
      <c r="A811" s="49" t="n"/>
      <c r="B811" s="41" t="n"/>
      <c r="C811" s="41" t="n"/>
      <c r="D811" s="42" t="n"/>
      <c r="E811" s="42" t="n"/>
      <c r="F811" s="50" t="n"/>
      <c r="G811" s="42" t="n"/>
      <c r="H811" s="30">
        <f>IF(D811="","",IFERROR(INDEX(Config!$B$12:$B$15,MATCH(IF(AND(D811="Cartão de crédito",N(E811)&gt;1),"Cartão de crédito parcelado",D811),Config!$A$12:$A$15,0)),0)+IF(AND(Config!$B$17="Sim",LEFT(D811,17)="Cartão de crédito"),Config!$B$18*IFERROR(INDEX(Config!$C$12:$C$15,MATCH(IF(AND(D811="Cartão de crédito",N(E811)&gt;1),"Cartão de crédito parcelado",D811),Config!$A$12:$A$15,0)),0)/30*MAX(1,N(E811)),0))</f>
        <v/>
      </c>
      <c r="I811" s="29">
        <f>IF(OR(D811="",F811=""),"",ROUND(F811*H811,2))</f>
        <v/>
      </c>
      <c r="J811" s="29">
        <f>IF(I811="","",F811-I811)</f>
        <v/>
      </c>
      <c r="K811" s="29">
        <f>IF(J811="","",J811/MAX(1,N(E811)))</f>
        <v/>
      </c>
      <c r="L811" s="37">
        <f>IF(OR(D811="",A811=""),"",A811+IF(AND(Config!$B$17="Sim",LEFT(D811,17)="Cartão de crédito"),1,IFERROR(INDEX(Config!$C$12:$C$15,MATCH(IF(AND(D811="Cartão de crédito",N(E811)&gt;1),"Cartão de crédito parcelado",D811),Config!$A$12:$A$15,0)),0)))</f>
        <v/>
      </c>
      <c r="M811" s="37">
        <f>IF(L811="","",IF(AND(Config!$B$17="Sim",LEFT(D811,17)="Cartão de crédito"),L811,L811+30*(MAX(1,N(E811))-1)))</f>
        <v/>
      </c>
      <c r="N811" s="29">
        <f>IF(OR(L811="",K811=""),"",K811*MIN(MAX(1,N(E811)),MAX(0,INT((Config!$B$8-L811)/30)+1)))</f>
        <v/>
      </c>
      <c r="O811" s="29">
        <f>IF(J811="","",J811-N(N811))</f>
        <v/>
      </c>
      <c r="P811" s="27">
        <f>IF(A811="","",MONTH(A811))</f>
        <v/>
      </c>
      <c r="Q811" s="27">
        <f>IF(A811="","",YEAR(A811))</f>
        <v/>
      </c>
      <c r="R811" s="27">
        <f>IF(L811="","",IF(L811&gt;Config!$B$8,"A cair",IF(N(G811)&gt;=MIN(MAX(1,N(E811)),MAX(0,INT((Config!$B$8-L811)/30)+1)),IF(N(G811)&gt;=MAX(1,N(E811)),"Conferido","Conferido até aqui"),"A conferir")))</f>
        <v/>
      </c>
      <c r="S811" s="51">
        <f>IF(R811="A conferir",(Config!$B$8-L811)*1000+N(F811)/1000+ROW()/100000,0)</f>
        <v>0</v>
      </c>
      <c r="T811" s="51">
        <f>IF(R811="A conferir",N(N811),0)</f>
        <v>0</v>
      </c>
      <c r="U811" s="51">
        <f>IF(L811="",0,L811)</f>
        <v>0</v>
      </c>
      <c r="V811" s="51">
        <f>IF(L811="",0,MAX(1,N(E811)))</f>
        <v>0</v>
      </c>
      <c r="W811" s="51">
        <f>IF(K811="",0,K811)</f>
        <v>0</v>
      </c>
    </row>
    <row r="812">
      <c r="A812" s="49" t="n"/>
      <c r="B812" s="41" t="n"/>
      <c r="C812" s="41" t="n"/>
      <c r="D812" s="42" t="n"/>
      <c r="E812" s="42" t="n"/>
      <c r="F812" s="50" t="n"/>
      <c r="G812" s="42" t="n"/>
      <c r="H812" s="30">
        <f>IF(D812="","",IFERROR(INDEX(Config!$B$12:$B$15,MATCH(IF(AND(D812="Cartão de crédito",N(E812)&gt;1),"Cartão de crédito parcelado",D812),Config!$A$12:$A$15,0)),0)+IF(AND(Config!$B$17="Sim",LEFT(D812,17)="Cartão de crédito"),Config!$B$18*IFERROR(INDEX(Config!$C$12:$C$15,MATCH(IF(AND(D812="Cartão de crédito",N(E812)&gt;1),"Cartão de crédito parcelado",D812),Config!$A$12:$A$15,0)),0)/30*MAX(1,N(E812)),0))</f>
        <v/>
      </c>
      <c r="I812" s="29">
        <f>IF(OR(D812="",F812=""),"",ROUND(F812*H812,2))</f>
        <v/>
      </c>
      <c r="J812" s="29">
        <f>IF(I812="","",F812-I812)</f>
        <v/>
      </c>
      <c r="K812" s="29">
        <f>IF(J812="","",J812/MAX(1,N(E812)))</f>
        <v/>
      </c>
      <c r="L812" s="37">
        <f>IF(OR(D812="",A812=""),"",A812+IF(AND(Config!$B$17="Sim",LEFT(D812,17)="Cartão de crédito"),1,IFERROR(INDEX(Config!$C$12:$C$15,MATCH(IF(AND(D812="Cartão de crédito",N(E812)&gt;1),"Cartão de crédito parcelado",D812),Config!$A$12:$A$15,0)),0)))</f>
        <v/>
      </c>
      <c r="M812" s="37">
        <f>IF(L812="","",IF(AND(Config!$B$17="Sim",LEFT(D812,17)="Cartão de crédito"),L812,L812+30*(MAX(1,N(E812))-1)))</f>
        <v/>
      </c>
      <c r="N812" s="29">
        <f>IF(OR(L812="",K812=""),"",K812*MIN(MAX(1,N(E812)),MAX(0,INT((Config!$B$8-L812)/30)+1)))</f>
        <v/>
      </c>
      <c r="O812" s="29">
        <f>IF(J812="","",J812-N(N812))</f>
        <v/>
      </c>
      <c r="P812" s="27">
        <f>IF(A812="","",MONTH(A812))</f>
        <v/>
      </c>
      <c r="Q812" s="27">
        <f>IF(A812="","",YEAR(A812))</f>
        <v/>
      </c>
      <c r="R812" s="27">
        <f>IF(L812="","",IF(L812&gt;Config!$B$8,"A cair",IF(N(G812)&gt;=MIN(MAX(1,N(E812)),MAX(0,INT((Config!$B$8-L812)/30)+1)),IF(N(G812)&gt;=MAX(1,N(E812)),"Conferido","Conferido até aqui"),"A conferir")))</f>
        <v/>
      </c>
      <c r="S812" s="51">
        <f>IF(R812="A conferir",(Config!$B$8-L812)*1000+N(F812)/1000+ROW()/100000,0)</f>
        <v>0</v>
      </c>
      <c r="T812" s="51">
        <f>IF(R812="A conferir",N(N812),0)</f>
        <v>0</v>
      </c>
      <c r="U812" s="51">
        <f>IF(L812="",0,L812)</f>
        <v>0</v>
      </c>
      <c r="V812" s="51">
        <f>IF(L812="",0,MAX(1,N(E812)))</f>
        <v>0</v>
      </c>
      <c r="W812" s="51">
        <f>IF(K812="",0,K812)</f>
        <v>0</v>
      </c>
    </row>
    <row r="813">
      <c r="A813" s="49" t="n"/>
      <c r="B813" s="41" t="n"/>
      <c r="C813" s="41" t="n"/>
      <c r="D813" s="42" t="n"/>
      <c r="E813" s="42" t="n"/>
      <c r="F813" s="50" t="n"/>
      <c r="G813" s="42" t="n"/>
      <c r="H813" s="30">
        <f>IF(D813="","",IFERROR(INDEX(Config!$B$12:$B$15,MATCH(IF(AND(D813="Cartão de crédito",N(E813)&gt;1),"Cartão de crédito parcelado",D813),Config!$A$12:$A$15,0)),0)+IF(AND(Config!$B$17="Sim",LEFT(D813,17)="Cartão de crédito"),Config!$B$18*IFERROR(INDEX(Config!$C$12:$C$15,MATCH(IF(AND(D813="Cartão de crédito",N(E813)&gt;1),"Cartão de crédito parcelado",D813),Config!$A$12:$A$15,0)),0)/30*MAX(1,N(E813)),0))</f>
        <v/>
      </c>
      <c r="I813" s="29">
        <f>IF(OR(D813="",F813=""),"",ROUND(F813*H813,2))</f>
        <v/>
      </c>
      <c r="J813" s="29">
        <f>IF(I813="","",F813-I813)</f>
        <v/>
      </c>
      <c r="K813" s="29">
        <f>IF(J813="","",J813/MAX(1,N(E813)))</f>
        <v/>
      </c>
      <c r="L813" s="37">
        <f>IF(OR(D813="",A813=""),"",A813+IF(AND(Config!$B$17="Sim",LEFT(D813,17)="Cartão de crédito"),1,IFERROR(INDEX(Config!$C$12:$C$15,MATCH(IF(AND(D813="Cartão de crédito",N(E813)&gt;1),"Cartão de crédito parcelado",D813),Config!$A$12:$A$15,0)),0)))</f>
        <v/>
      </c>
      <c r="M813" s="37">
        <f>IF(L813="","",IF(AND(Config!$B$17="Sim",LEFT(D813,17)="Cartão de crédito"),L813,L813+30*(MAX(1,N(E813))-1)))</f>
        <v/>
      </c>
      <c r="N813" s="29">
        <f>IF(OR(L813="",K813=""),"",K813*MIN(MAX(1,N(E813)),MAX(0,INT((Config!$B$8-L813)/30)+1)))</f>
        <v/>
      </c>
      <c r="O813" s="29">
        <f>IF(J813="","",J813-N(N813))</f>
        <v/>
      </c>
      <c r="P813" s="27">
        <f>IF(A813="","",MONTH(A813))</f>
        <v/>
      </c>
      <c r="Q813" s="27">
        <f>IF(A813="","",YEAR(A813))</f>
        <v/>
      </c>
      <c r="R813" s="27">
        <f>IF(L813="","",IF(L813&gt;Config!$B$8,"A cair",IF(N(G813)&gt;=MIN(MAX(1,N(E813)),MAX(0,INT((Config!$B$8-L813)/30)+1)),IF(N(G813)&gt;=MAX(1,N(E813)),"Conferido","Conferido até aqui"),"A conferir")))</f>
        <v/>
      </c>
      <c r="S813" s="51">
        <f>IF(R813="A conferir",(Config!$B$8-L813)*1000+N(F813)/1000+ROW()/100000,0)</f>
        <v>0</v>
      </c>
      <c r="T813" s="51">
        <f>IF(R813="A conferir",N(N813),0)</f>
        <v>0</v>
      </c>
      <c r="U813" s="51">
        <f>IF(L813="",0,L813)</f>
        <v>0</v>
      </c>
      <c r="V813" s="51">
        <f>IF(L813="",0,MAX(1,N(E813)))</f>
        <v>0</v>
      </c>
      <c r="W813" s="51">
        <f>IF(K813="",0,K813)</f>
        <v>0</v>
      </c>
    </row>
    <row r="814">
      <c r="A814" s="49" t="n"/>
      <c r="B814" s="41" t="n"/>
      <c r="C814" s="41" t="n"/>
      <c r="D814" s="42" t="n"/>
      <c r="E814" s="42" t="n"/>
      <c r="F814" s="50" t="n"/>
      <c r="G814" s="42" t="n"/>
      <c r="H814" s="30">
        <f>IF(D814="","",IFERROR(INDEX(Config!$B$12:$B$15,MATCH(IF(AND(D814="Cartão de crédito",N(E814)&gt;1),"Cartão de crédito parcelado",D814),Config!$A$12:$A$15,0)),0)+IF(AND(Config!$B$17="Sim",LEFT(D814,17)="Cartão de crédito"),Config!$B$18*IFERROR(INDEX(Config!$C$12:$C$15,MATCH(IF(AND(D814="Cartão de crédito",N(E814)&gt;1),"Cartão de crédito parcelado",D814),Config!$A$12:$A$15,0)),0)/30*MAX(1,N(E814)),0))</f>
        <v/>
      </c>
      <c r="I814" s="29">
        <f>IF(OR(D814="",F814=""),"",ROUND(F814*H814,2))</f>
        <v/>
      </c>
      <c r="J814" s="29">
        <f>IF(I814="","",F814-I814)</f>
        <v/>
      </c>
      <c r="K814" s="29">
        <f>IF(J814="","",J814/MAX(1,N(E814)))</f>
        <v/>
      </c>
      <c r="L814" s="37">
        <f>IF(OR(D814="",A814=""),"",A814+IF(AND(Config!$B$17="Sim",LEFT(D814,17)="Cartão de crédito"),1,IFERROR(INDEX(Config!$C$12:$C$15,MATCH(IF(AND(D814="Cartão de crédito",N(E814)&gt;1),"Cartão de crédito parcelado",D814),Config!$A$12:$A$15,0)),0)))</f>
        <v/>
      </c>
      <c r="M814" s="37">
        <f>IF(L814="","",IF(AND(Config!$B$17="Sim",LEFT(D814,17)="Cartão de crédito"),L814,L814+30*(MAX(1,N(E814))-1)))</f>
        <v/>
      </c>
      <c r="N814" s="29">
        <f>IF(OR(L814="",K814=""),"",K814*MIN(MAX(1,N(E814)),MAX(0,INT((Config!$B$8-L814)/30)+1)))</f>
        <v/>
      </c>
      <c r="O814" s="29">
        <f>IF(J814="","",J814-N(N814))</f>
        <v/>
      </c>
      <c r="P814" s="27">
        <f>IF(A814="","",MONTH(A814))</f>
        <v/>
      </c>
      <c r="Q814" s="27">
        <f>IF(A814="","",YEAR(A814))</f>
        <v/>
      </c>
      <c r="R814" s="27">
        <f>IF(L814="","",IF(L814&gt;Config!$B$8,"A cair",IF(N(G814)&gt;=MIN(MAX(1,N(E814)),MAX(0,INT((Config!$B$8-L814)/30)+1)),IF(N(G814)&gt;=MAX(1,N(E814)),"Conferido","Conferido até aqui"),"A conferir")))</f>
        <v/>
      </c>
      <c r="S814" s="51">
        <f>IF(R814="A conferir",(Config!$B$8-L814)*1000+N(F814)/1000+ROW()/100000,0)</f>
        <v>0</v>
      </c>
      <c r="T814" s="51">
        <f>IF(R814="A conferir",N(N814),0)</f>
        <v>0</v>
      </c>
      <c r="U814" s="51">
        <f>IF(L814="",0,L814)</f>
        <v>0</v>
      </c>
      <c r="V814" s="51">
        <f>IF(L814="",0,MAX(1,N(E814)))</f>
        <v>0</v>
      </c>
      <c r="W814" s="51">
        <f>IF(K814="",0,K814)</f>
        <v>0</v>
      </c>
    </row>
    <row r="815">
      <c r="A815" s="49" t="n"/>
      <c r="B815" s="41" t="n"/>
      <c r="C815" s="41" t="n"/>
      <c r="D815" s="42" t="n"/>
      <c r="E815" s="42" t="n"/>
      <c r="F815" s="50" t="n"/>
      <c r="G815" s="42" t="n"/>
      <c r="H815" s="30">
        <f>IF(D815="","",IFERROR(INDEX(Config!$B$12:$B$15,MATCH(IF(AND(D815="Cartão de crédito",N(E815)&gt;1),"Cartão de crédito parcelado",D815),Config!$A$12:$A$15,0)),0)+IF(AND(Config!$B$17="Sim",LEFT(D815,17)="Cartão de crédito"),Config!$B$18*IFERROR(INDEX(Config!$C$12:$C$15,MATCH(IF(AND(D815="Cartão de crédito",N(E815)&gt;1),"Cartão de crédito parcelado",D815),Config!$A$12:$A$15,0)),0)/30*MAX(1,N(E815)),0))</f>
        <v/>
      </c>
      <c r="I815" s="29">
        <f>IF(OR(D815="",F815=""),"",ROUND(F815*H815,2))</f>
        <v/>
      </c>
      <c r="J815" s="29">
        <f>IF(I815="","",F815-I815)</f>
        <v/>
      </c>
      <c r="K815" s="29">
        <f>IF(J815="","",J815/MAX(1,N(E815)))</f>
        <v/>
      </c>
      <c r="L815" s="37">
        <f>IF(OR(D815="",A815=""),"",A815+IF(AND(Config!$B$17="Sim",LEFT(D815,17)="Cartão de crédito"),1,IFERROR(INDEX(Config!$C$12:$C$15,MATCH(IF(AND(D815="Cartão de crédito",N(E815)&gt;1),"Cartão de crédito parcelado",D815),Config!$A$12:$A$15,0)),0)))</f>
        <v/>
      </c>
      <c r="M815" s="37">
        <f>IF(L815="","",IF(AND(Config!$B$17="Sim",LEFT(D815,17)="Cartão de crédito"),L815,L815+30*(MAX(1,N(E815))-1)))</f>
        <v/>
      </c>
      <c r="N815" s="29">
        <f>IF(OR(L815="",K815=""),"",K815*MIN(MAX(1,N(E815)),MAX(0,INT((Config!$B$8-L815)/30)+1)))</f>
        <v/>
      </c>
      <c r="O815" s="29">
        <f>IF(J815="","",J815-N(N815))</f>
        <v/>
      </c>
      <c r="P815" s="27">
        <f>IF(A815="","",MONTH(A815))</f>
        <v/>
      </c>
      <c r="Q815" s="27">
        <f>IF(A815="","",YEAR(A815))</f>
        <v/>
      </c>
      <c r="R815" s="27">
        <f>IF(L815="","",IF(L815&gt;Config!$B$8,"A cair",IF(N(G815)&gt;=MIN(MAX(1,N(E815)),MAX(0,INT((Config!$B$8-L815)/30)+1)),IF(N(G815)&gt;=MAX(1,N(E815)),"Conferido","Conferido até aqui"),"A conferir")))</f>
        <v/>
      </c>
      <c r="S815" s="51">
        <f>IF(R815="A conferir",(Config!$B$8-L815)*1000+N(F815)/1000+ROW()/100000,0)</f>
        <v>0</v>
      </c>
      <c r="T815" s="51">
        <f>IF(R815="A conferir",N(N815),0)</f>
        <v>0</v>
      </c>
      <c r="U815" s="51">
        <f>IF(L815="",0,L815)</f>
        <v>0</v>
      </c>
      <c r="V815" s="51">
        <f>IF(L815="",0,MAX(1,N(E815)))</f>
        <v>0</v>
      </c>
      <c r="W815" s="51">
        <f>IF(K815="",0,K815)</f>
        <v>0</v>
      </c>
    </row>
    <row r="816">
      <c r="A816" s="49" t="n"/>
      <c r="B816" s="41" t="n"/>
      <c r="C816" s="41" t="n"/>
      <c r="D816" s="42" t="n"/>
      <c r="E816" s="42" t="n"/>
      <c r="F816" s="50" t="n"/>
      <c r="G816" s="42" t="n"/>
      <c r="H816" s="30">
        <f>IF(D816="","",IFERROR(INDEX(Config!$B$12:$B$15,MATCH(IF(AND(D816="Cartão de crédito",N(E816)&gt;1),"Cartão de crédito parcelado",D816),Config!$A$12:$A$15,0)),0)+IF(AND(Config!$B$17="Sim",LEFT(D816,17)="Cartão de crédito"),Config!$B$18*IFERROR(INDEX(Config!$C$12:$C$15,MATCH(IF(AND(D816="Cartão de crédito",N(E816)&gt;1),"Cartão de crédito parcelado",D816),Config!$A$12:$A$15,0)),0)/30*MAX(1,N(E816)),0))</f>
        <v/>
      </c>
      <c r="I816" s="29">
        <f>IF(OR(D816="",F816=""),"",ROUND(F816*H816,2))</f>
        <v/>
      </c>
      <c r="J816" s="29">
        <f>IF(I816="","",F816-I816)</f>
        <v/>
      </c>
      <c r="K816" s="29">
        <f>IF(J816="","",J816/MAX(1,N(E816)))</f>
        <v/>
      </c>
      <c r="L816" s="37">
        <f>IF(OR(D816="",A816=""),"",A816+IF(AND(Config!$B$17="Sim",LEFT(D816,17)="Cartão de crédito"),1,IFERROR(INDEX(Config!$C$12:$C$15,MATCH(IF(AND(D816="Cartão de crédito",N(E816)&gt;1),"Cartão de crédito parcelado",D816),Config!$A$12:$A$15,0)),0)))</f>
        <v/>
      </c>
      <c r="M816" s="37">
        <f>IF(L816="","",IF(AND(Config!$B$17="Sim",LEFT(D816,17)="Cartão de crédito"),L816,L816+30*(MAX(1,N(E816))-1)))</f>
        <v/>
      </c>
      <c r="N816" s="29">
        <f>IF(OR(L816="",K816=""),"",K816*MIN(MAX(1,N(E816)),MAX(0,INT((Config!$B$8-L816)/30)+1)))</f>
        <v/>
      </c>
      <c r="O816" s="29">
        <f>IF(J816="","",J816-N(N816))</f>
        <v/>
      </c>
      <c r="P816" s="27">
        <f>IF(A816="","",MONTH(A816))</f>
        <v/>
      </c>
      <c r="Q816" s="27">
        <f>IF(A816="","",YEAR(A816))</f>
        <v/>
      </c>
      <c r="R816" s="27">
        <f>IF(L816="","",IF(L816&gt;Config!$B$8,"A cair",IF(N(G816)&gt;=MIN(MAX(1,N(E816)),MAX(0,INT((Config!$B$8-L816)/30)+1)),IF(N(G816)&gt;=MAX(1,N(E816)),"Conferido","Conferido até aqui"),"A conferir")))</f>
        <v/>
      </c>
      <c r="S816" s="51">
        <f>IF(R816="A conferir",(Config!$B$8-L816)*1000+N(F816)/1000+ROW()/100000,0)</f>
        <v>0</v>
      </c>
      <c r="T816" s="51">
        <f>IF(R816="A conferir",N(N816),0)</f>
        <v>0</v>
      </c>
      <c r="U816" s="51">
        <f>IF(L816="",0,L816)</f>
        <v>0</v>
      </c>
      <c r="V816" s="51">
        <f>IF(L816="",0,MAX(1,N(E816)))</f>
        <v>0</v>
      </c>
      <c r="W816" s="51">
        <f>IF(K816="",0,K816)</f>
        <v>0</v>
      </c>
    </row>
    <row r="817">
      <c r="A817" s="49" t="n"/>
      <c r="B817" s="41" t="n"/>
      <c r="C817" s="41" t="n"/>
      <c r="D817" s="42" t="n"/>
      <c r="E817" s="42" t="n"/>
      <c r="F817" s="50" t="n"/>
      <c r="G817" s="42" t="n"/>
      <c r="H817" s="30">
        <f>IF(D817="","",IFERROR(INDEX(Config!$B$12:$B$15,MATCH(IF(AND(D817="Cartão de crédito",N(E817)&gt;1),"Cartão de crédito parcelado",D817),Config!$A$12:$A$15,0)),0)+IF(AND(Config!$B$17="Sim",LEFT(D817,17)="Cartão de crédito"),Config!$B$18*IFERROR(INDEX(Config!$C$12:$C$15,MATCH(IF(AND(D817="Cartão de crédito",N(E817)&gt;1),"Cartão de crédito parcelado",D817),Config!$A$12:$A$15,0)),0)/30*MAX(1,N(E817)),0))</f>
        <v/>
      </c>
      <c r="I817" s="29">
        <f>IF(OR(D817="",F817=""),"",ROUND(F817*H817,2))</f>
        <v/>
      </c>
      <c r="J817" s="29">
        <f>IF(I817="","",F817-I817)</f>
        <v/>
      </c>
      <c r="K817" s="29">
        <f>IF(J817="","",J817/MAX(1,N(E817)))</f>
        <v/>
      </c>
      <c r="L817" s="37">
        <f>IF(OR(D817="",A817=""),"",A817+IF(AND(Config!$B$17="Sim",LEFT(D817,17)="Cartão de crédito"),1,IFERROR(INDEX(Config!$C$12:$C$15,MATCH(IF(AND(D817="Cartão de crédito",N(E817)&gt;1),"Cartão de crédito parcelado",D817),Config!$A$12:$A$15,0)),0)))</f>
        <v/>
      </c>
      <c r="M817" s="37">
        <f>IF(L817="","",IF(AND(Config!$B$17="Sim",LEFT(D817,17)="Cartão de crédito"),L817,L817+30*(MAX(1,N(E817))-1)))</f>
        <v/>
      </c>
      <c r="N817" s="29">
        <f>IF(OR(L817="",K817=""),"",K817*MIN(MAX(1,N(E817)),MAX(0,INT((Config!$B$8-L817)/30)+1)))</f>
        <v/>
      </c>
      <c r="O817" s="29">
        <f>IF(J817="","",J817-N(N817))</f>
        <v/>
      </c>
      <c r="P817" s="27">
        <f>IF(A817="","",MONTH(A817))</f>
        <v/>
      </c>
      <c r="Q817" s="27">
        <f>IF(A817="","",YEAR(A817))</f>
        <v/>
      </c>
      <c r="R817" s="27">
        <f>IF(L817="","",IF(L817&gt;Config!$B$8,"A cair",IF(N(G817)&gt;=MIN(MAX(1,N(E817)),MAX(0,INT((Config!$B$8-L817)/30)+1)),IF(N(G817)&gt;=MAX(1,N(E817)),"Conferido","Conferido até aqui"),"A conferir")))</f>
        <v/>
      </c>
      <c r="S817" s="51">
        <f>IF(R817="A conferir",(Config!$B$8-L817)*1000+N(F817)/1000+ROW()/100000,0)</f>
        <v>0</v>
      </c>
      <c r="T817" s="51">
        <f>IF(R817="A conferir",N(N817),0)</f>
        <v>0</v>
      </c>
      <c r="U817" s="51">
        <f>IF(L817="",0,L817)</f>
        <v>0</v>
      </c>
      <c r="V817" s="51">
        <f>IF(L817="",0,MAX(1,N(E817)))</f>
        <v>0</v>
      </c>
      <c r="W817" s="51">
        <f>IF(K817="",0,K817)</f>
        <v>0</v>
      </c>
    </row>
    <row r="818">
      <c r="A818" s="49" t="n"/>
      <c r="B818" s="41" t="n"/>
      <c r="C818" s="41" t="n"/>
      <c r="D818" s="42" t="n"/>
      <c r="E818" s="42" t="n"/>
      <c r="F818" s="50" t="n"/>
      <c r="G818" s="42" t="n"/>
      <c r="H818" s="30">
        <f>IF(D818="","",IFERROR(INDEX(Config!$B$12:$B$15,MATCH(IF(AND(D818="Cartão de crédito",N(E818)&gt;1),"Cartão de crédito parcelado",D818),Config!$A$12:$A$15,0)),0)+IF(AND(Config!$B$17="Sim",LEFT(D818,17)="Cartão de crédito"),Config!$B$18*IFERROR(INDEX(Config!$C$12:$C$15,MATCH(IF(AND(D818="Cartão de crédito",N(E818)&gt;1),"Cartão de crédito parcelado",D818),Config!$A$12:$A$15,0)),0)/30*MAX(1,N(E818)),0))</f>
        <v/>
      </c>
      <c r="I818" s="29">
        <f>IF(OR(D818="",F818=""),"",ROUND(F818*H818,2))</f>
        <v/>
      </c>
      <c r="J818" s="29">
        <f>IF(I818="","",F818-I818)</f>
        <v/>
      </c>
      <c r="K818" s="29">
        <f>IF(J818="","",J818/MAX(1,N(E818)))</f>
        <v/>
      </c>
      <c r="L818" s="37">
        <f>IF(OR(D818="",A818=""),"",A818+IF(AND(Config!$B$17="Sim",LEFT(D818,17)="Cartão de crédito"),1,IFERROR(INDEX(Config!$C$12:$C$15,MATCH(IF(AND(D818="Cartão de crédito",N(E818)&gt;1),"Cartão de crédito parcelado",D818),Config!$A$12:$A$15,0)),0)))</f>
        <v/>
      </c>
      <c r="M818" s="37">
        <f>IF(L818="","",IF(AND(Config!$B$17="Sim",LEFT(D818,17)="Cartão de crédito"),L818,L818+30*(MAX(1,N(E818))-1)))</f>
        <v/>
      </c>
      <c r="N818" s="29">
        <f>IF(OR(L818="",K818=""),"",K818*MIN(MAX(1,N(E818)),MAX(0,INT((Config!$B$8-L818)/30)+1)))</f>
        <v/>
      </c>
      <c r="O818" s="29">
        <f>IF(J818="","",J818-N(N818))</f>
        <v/>
      </c>
      <c r="P818" s="27">
        <f>IF(A818="","",MONTH(A818))</f>
        <v/>
      </c>
      <c r="Q818" s="27">
        <f>IF(A818="","",YEAR(A818))</f>
        <v/>
      </c>
      <c r="R818" s="27">
        <f>IF(L818="","",IF(L818&gt;Config!$B$8,"A cair",IF(N(G818)&gt;=MIN(MAX(1,N(E818)),MAX(0,INT((Config!$B$8-L818)/30)+1)),IF(N(G818)&gt;=MAX(1,N(E818)),"Conferido","Conferido até aqui"),"A conferir")))</f>
        <v/>
      </c>
      <c r="S818" s="51">
        <f>IF(R818="A conferir",(Config!$B$8-L818)*1000+N(F818)/1000+ROW()/100000,0)</f>
        <v>0</v>
      </c>
      <c r="T818" s="51">
        <f>IF(R818="A conferir",N(N818),0)</f>
        <v>0</v>
      </c>
      <c r="U818" s="51">
        <f>IF(L818="",0,L818)</f>
        <v>0</v>
      </c>
      <c r="V818" s="51">
        <f>IF(L818="",0,MAX(1,N(E818)))</f>
        <v>0</v>
      </c>
      <c r="W818" s="51">
        <f>IF(K818="",0,K818)</f>
        <v>0</v>
      </c>
    </row>
    <row r="819">
      <c r="A819" s="49" t="n"/>
      <c r="B819" s="41" t="n"/>
      <c r="C819" s="41" t="n"/>
      <c r="D819" s="42" t="n"/>
      <c r="E819" s="42" t="n"/>
      <c r="F819" s="50" t="n"/>
      <c r="G819" s="42" t="n"/>
      <c r="H819" s="30">
        <f>IF(D819="","",IFERROR(INDEX(Config!$B$12:$B$15,MATCH(IF(AND(D819="Cartão de crédito",N(E819)&gt;1),"Cartão de crédito parcelado",D819),Config!$A$12:$A$15,0)),0)+IF(AND(Config!$B$17="Sim",LEFT(D819,17)="Cartão de crédito"),Config!$B$18*IFERROR(INDEX(Config!$C$12:$C$15,MATCH(IF(AND(D819="Cartão de crédito",N(E819)&gt;1),"Cartão de crédito parcelado",D819),Config!$A$12:$A$15,0)),0)/30*MAX(1,N(E819)),0))</f>
        <v/>
      </c>
      <c r="I819" s="29">
        <f>IF(OR(D819="",F819=""),"",ROUND(F819*H819,2))</f>
        <v/>
      </c>
      <c r="J819" s="29">
        <f>IF(I819="","",F819-I819)</f>
        <v/>
      </c>
      <c r="K819" s="29">
        <f>IF(J819="","",J819/MAX(1,N(E819)))</f>
        <v/>
      </c>
      <c r="L819" s="37">
        <f>IF(OR(D819="",A819=""),"",A819+IF(AND(Config!$B$17="Sim",LEFT(D819,17)="Cartão de crédito"),1,IFERROR(INDEX(Config!$C$12:$C$15,MATCH(IF(AND(D819="Cartão de crédito",N(E819)&gt;1),"Cartão de crédito parcelado",D819),Config!$A$12:$A$15,0)),0)))</f>
        <v/>
      </c>
      <c r="M819" s="37">
        <f>IF(L819="","",IF(AND(Config!$B$17="Sim",LEFT(D819,17)="Cartão de crédito"),L819,L819+30*(MAX(1,N(E819))-1)))</f>
        <v/>
      </c>
      <c r="N819" s="29">
        <f>IF(OR(L819="",K819=""),"",K819*MIN(MAX(1,N(E819)),MAX(0,INT((Config!$B$8-L819)/30)+1)))</f>
        <v/>
      </c>
      <c r="O819" s="29">
        <f>IF(J819="","",J819-N(N819))</f>
        <v/>
      </c>
      <c r="P819" s="27">
        <f>IF(A819="","",MONTH(A819))</f>
        <v/>
      </c>
      <c r="Q819" s="27">
        <f>IF(A819="","",YEAR(A819))</f>
        <v/>
      </c>
      <c r="R819" s="27">
        <f>IF(L819="","",IF(L819&gt;Config!$B$8,"A cair",IF(N(G819)&gt;=MIN(MAX(1,N(E819)),MAX(0,INT((Config!$B$8-L819)/30)+1)),IF(N(G819)&gt;=MAX(1,N(E819)),"Conferido","Conferido até aqui"),"A conferir")))</f>
        <v/>
      </c>
      <c r="S819" s="51">
        <f>IF(R819="A conferir",(Config!$B$8-L819)*1000+N(F819)/1000+ROW()/100000,0)</f>
        <v>0</v>
      </c>
      <c r="T819" s="51">
        <f>IF(R819="A conferir",N(N819),0)</f>
        <v>0</v>
      </c>
      <c r="U819" s="51">
        <f>IF(L819="",0,L819)</f>
        <v>0</v>
      </c>
      <c r="V819" s="51">
        <f>IF(L819="",0,MAX(1,N(E819)))</f>
        <v>0</v>
      </c>
      <c r="W819" s="51">
        <f>IF(K819="",0,K819)</f>
        <v>0</v>
      </c>
    </row>
    <row r="820">
      <c r="A820" s="49" t="n"/>
      <c r="B820" s="41" t="n"/>
      <c r="C820" s="41" t="n"/>
      <c r="D820" s="42" t="n"/>
      <c r="E820" s="42" t="n"/>
      <c r="F820" s="50" t="n"/>
      <c r="G820" s="42" t="n"/>
      <c r="H820" s="30">
        <f>IF(D820="","",IFERROR(INDEX(Config!$B$12:$B$15,MATCH(IF(AND(D820="Cartão de crédito",N(E820)&gt;1),"Cartão de crédito parcelado",D820),Config!$A$12:$A$15,0)),0)+IF(AND(Config!$B$17="Sim",LEFT(D820,17)="Cartão de crédito"),Config!$B$18*IFERROR(INDEX(Config!$C$12:$C$15,MATCH(IF(AND(D820="Cartão de crédito",N(E820)&gt;1),"Cartão de crédito parcelado",D820),Config!$A$12:$A$15,0)),0)/30*MAX(1,N(E820)),0))</f>
        <v/>
      </c>
      <c r="I820" s="29">
        <f>IF(OR(D820="",F820=""),"",ROUND(F820*H820,2))</f>
        <v/>
      </c>
      <c r="J820" s="29">
        <f>IF(I820="","",F820-I820)</f>
        <v/>
      </c>
      <c r="K820" s="29">
        <f>IF(J820="","",J820/MAX(1,N(E820)))</f>
        <v/>
      </c>
      <c r="L820" s="37">
        <f>IF(OR(D820="",A820=""),"",A820+IF(AND(Config!$B$17="Sim",LEFT(D820,17)="Cartão de crédito"),1,IFERROR(INDEX(Config!$C$12:$C$15,MATCH(IF(AND(D820="Cartão de crédito",N(E820)&gt;1),"Cartão de crédito parcelado",D820),Config!$A$12:$A$15,0)),0)))</f>
        <v/>
      </c>
      <c r="M820" s="37">
        <f>IF(L820="","",IF(AND(Config!$B$17="Sim",LEFT(D820,17)="Cartão de crédito"),L820,L820+30*(MAX(1,N(E820))-1)))</f>
        <v/>
      </c>
      <c r="N820" s="29">
        <f>IF(OR(L820="",K820=""),"",K820*MIN(MAX(1,N(E820)),MAX(0,INT((Config!$B$8-L820)/30)+1)))</f>
        <v/>
      </c>
      <c r="O820" s="29">
        <f>IF(J820="","",J820-N(N820))</f>
        <v/>
      </c>
      <c r="P820" s="27">
        <f>IF(A820="","",MONTH(A820))</f>
        <v/>
      </c>
      <c r="Q820" s="27">
        <f>IF(A820="","",YEAR(A820))</f>
        <v/>
      </c>
      <c r="R820" s="27">
        <f>IF(L820="","",IF(L820&gt;Config!$B$8,"A cair",IF(N(G820)&gt;=MIN(MAX(1,N(E820)),MAX(0,INT((Config!$B$8-L820)/30)+1)),IF(N(G820)&gt;=MAX(1,N(E820)),"Conferido","Conferido até aqui"),"A conferir")))</f>
        <v/>
      </c>
      <c r="S820" s="51">
        <f>IF(R820="A conferir",(Config!$B$8-L820)*1000+N(F820)/1000+ROW()/100000,0)</f>
        <v>0</v>
      </c>
      <c r="T820" s="51">
        <f>IF(R820="A conferir",N(N820),0)</f>
        <v>0</v>
      </c>
      <c r="U820" s="51">
        <f>IF(L820="",0,L820)</f>
        <v>0</v>
      </c>
      <c r="V820" s="51">
        <f>IF(L820="",0,MAX(1,N(E820)))</f>
        <v>0</v>
      </c>
      <c r="W820" s="51">
        <f>IF(K820="",0,K820)</f>
        <v>0</v>
      </c>
    </row>
    <row r="821">
      <c r="A821" s="49" t="n"/>
      <c r="B821" s="41" t="n"/>
      <c r="C821" s="41" t="n"/>
      <c r="D821" s="42" t="n"/>
      <c r="E821" s="42" t="n"/>
      <c r="F821" s="50" t="n"/>
      <c r="G821" s="42" t="n"/>
      <c r="H821" s="30">
        <f>IF(D821="","",IFERROR(INDEX(Config!$B$12:$B$15,MATCH(IF(AND(D821="Cartão de crédito",N(E821)&gt;1),"Cartão de crédito parcelado",D821),Config!$A$12:$A$15,0)),0)+IF(AND(Config!$B$17="Sim",LEFT(D821,17)="Cartão de crédito"),Config!$B$18*IFERROR(INDEX(Config!$C$12:$C$15,MATCH(IF(AND(D821="Cartão de crédito",N(E821)&gt;1),"Cartão de crédito parcelado",D821),Config!$A$12:$A$15,0)),0)/30*MAX(1,N(E821)),0))</f>
        <v/>
      </c>
      <c r="I821" s="29">
        <f>IF(OR(D821="",F821=""),"",ROUND(F821*H821,2))</f>
        <v/>
      </c>
      <c r="J821" s="29">
        <f>IF(I821="","",F821-I821)</f>
        <v/>
      </c>
      <c r="K821" s="29">
        <f>IF(J821="","",J821/MAX(1,N(E821)))</f>
        <v/>
      </c>
      <c r="L821" s="37">
        <f>IF(OR(D821="",A821=""),"",A821+IF(AND(Config!$B$17="Sim",LEFT(D821,17)="Cartão de crédito"),1,IFERROR(INDEX(Config!$C$12:$C$15,MATCH(IF(AND(D821="Cartão de crédito",N(E821)&gt;1),"Cartão de crédito parcelado",D821),Config!$A$12:$A$15,0)),0)))</f>
        <v/>
      </c>
      <c r="M821" s="37">
        <f>IF(L821="","",IF(AND(Config!$B$17="Sim",LEFT(D821,17)="Cartão de crédito"),L821,L821+30*(MAX(1,N(E821))-1)))</f>
        <v/>
      </c>
      <c r="N821" s="29">
        <f>IF(OR(L821="",K821=""),"",K821*MIN(MAX(1,N(E821)),MAX(0,INT((Config!$B$8-L821)/30)+1)))</f>
        <v/>
      </c>
      <c r="O821" s="29">
        <f>IF(J821="","",J821-N(N821))</f>
        <v/>
      </c>
      <c r="P821" s="27">
        <f>IF(A821="","",MONTH(A821))</f>
        <v/>
      </c>
      <c r="Q821" s="27">
        <f>IF(A821="","",YEAR(A821))</f>
        <v/>
      </c>
      <c r="R821" s="27">
        <f>IF(L821="","",IF(L821&gt;Config!$B$8,"A cair",IF(N(G821)&gt;=MIN(MAX(1,N(E821)),MAX(0,INT((Config!$B$8-L821)/30)+1)),IF(N(G821)&gt;=MAX(1,N(E821)),"Conferido","Conferido até aqui"),"A conferir")))</f>
        <v/>
      </c>
      <c r="S821" s="51">
        <f>IF(R821="A conferir",(Config!$B$8-L821)*1000+N(F821)/1000+ROW()/100000,0)</f>
        <v>0</v>
      </c>
      <c r="T821" s="51">
        <f>IF(R821="A conferir",N(N821),0)</f>
        <v>0</v>
      </c>
      <c r="U821" s="51">
        <f>IF(L821="",0,L821)</f>
        <v>0</v>
      </c>
      <c r="V821" s="51">
        <f>IF(L821="",0,MAX(1,N(E821)))</f>
        <v>0</v>
      </c>
      <c r="W821" s="51">
        <f>IF(K821="",0,K821)</f>
        <v>0</v>
      </c>
    </row>
    <row r="822">
      <c r="A822" s="49" t="n"/>
      <c r="B822" s="41" t="n"/>
      <c r="C822" s="41" t="n"/>
      <c r="D822" s="42" t="n"/>
      <c r="E822" s="42" t="n"/>
      <c r="F822" s="50" t="n"/>
      <c r="G822" s="42" t="n"/>
      <c r="H822" s="30">
        <f>IF(D822="","",IFERROR(INDEX(Config!$B$12:$B$15,MATCH(IF(AND(D822="Cartão de crédito",N(E822)&gt;1),"Cartão de crédito parcelado",D822),Config!$A$12:$A$15,0)),0)+IF(AND(Config!$B$17="Sim",LEFT(D822,17)="Cartão de crédito"),Config!$B$18*IFERROR(INDEX(Config!$C$12:$C$15,MATCH(IF(AND(D822="Cartão de crédito",N(E822)&gt;1),"Cartão de crédito parcelado",D822),Config!$A$12:$A$15,0)),0)/30*MAX(1,N(E822)),0))</f>
        <v/>
      </c>
      <c r="I822" s="29">
        <f>IF(OR(D822="",F822=""),"",ROUND(F822*H822,2))</f>
        <v/>
      </c>
      <c r="J822" s="29">
        <f>IF(I822="","",F822-I822)</f>
        <v/>
      </c>
      <c r="K822" s="29">
        <f>IF(J822="","",J822/MAX(1,N(E822)))</f>
        <v/>
      </c>
      <c r="L822" s="37">
        <f>IF(OR(D822="",A822=""),"",A822+IF(AND(Config!$B$17="Sim",LEFT(D822,17)="Cartão de crédito"),1,IFERROR(INDEX(Config!$C$12:$C$15,MATCH(IF(AND(D822="Cartão de crédito",N(E822)&gt;1),"Cartão de crédito parcelado",D822),Config!$A$12:$A$15,0)),0)))</f>
        <v/>
      </c>
      <c r="M822" s="37">
        <f>IF(L822="","",IF(AND(Config!$B$17="Sim",LEFT(D822,17)="Cartão de crédito"),L822,L822+30*(MAX(1,N(E822))-1)))</f>
        <v/>
      </c>
      <c r="N822" s="29">
        <f>IF(OR(L822="",K822=""),"",K822*MIN(MAX(1,N(E822)),MAX(0,INT((Config!$B$8-L822)/30)+1)))</f>
        <v/>
      </c>
      <c r="O822" s="29">
        <f>IF(J822="","",J822-N(N822))</f>
        <v/>
      </c>
      <c r="P822" s="27">
        <f>IF(A822="","",MONTH(A822))</f>
        <v/>
      </c>
      <c r="Q822" s="27">
        <f>IF(A822="","",YEAR(A822))</f>
        <v/>
      </c>
      <c r="R822" s="27">
        <f>IF(L822="","",IF(L822&gt;Config!$B$8,"A cair",IF(N(G822)&gt;=MIN(MAX(1,N(E822)),MAX(0,INT((Config!$B$8-L822)/30)+1)),IF(N(G822)&gt;=MAX(1,N(E822)),"Conferido","Conferido até aqui"),"A conferir")))</f>
        <v/>
      </c>
      <c r="S822" s="51">
        <f>IF(R822="A conferir",(Config!$B$8-L822)*1000+N(F822)/1000+ROW()/100000,0)</f>
        <v>0</v>
      </c>
      <c r="T822" s="51">
        <f>IF(R822="A conferir",N(N822),0)</f>
        <v>0</v>
      </c>
      <c r="U822" s="51">
        <f>IF(L822="",0,L822)</f>
        <v>0</v>
      </c>
      <c r="V822" s="51">
        <f>IF(L822="",0,MAX(1,N(E822)))</f>
        <v>0</v>
      </c>
      <c r="W822" s="51">
        <f>IF(K822="",0,K822)</f>
        <v>0</v>
      </c>
    </row>
    <row r="823">
      <c r="A823" s="49" t="n"/>
      <c r="B823" s="41" t="n"/>
      <c r="C823" s="41" t="n"/>
      <c r="D823" s="42" t="n"/>
      <c r="E823" s="42" t="n"/>
      <c r="F823" s="50" t="n"/>
      <c r="G823" s="42" t="n"/>
      <c r="H823" s="30">
        <f>IF(D823="","",IFERROR(INDEX(Config!$B$12:$B$15,MATCH(IF(AND(D823="Cartão de crédito",N(E823)&gt;1),"Cartão de crédito parcelado",D823),Config!$A$12:$A$15,0)),0)+IF(AND(Config!$B$17="Sim",LEFT(D823,17)="Cartão de crédito"),Config!$B$18*IFERROR(INDEX(Config!$C$12:$C$15,MATCH(IF(AND(D823="Cartão de crédito",N(E823)&gt;1),"Cartão de crédito parcelado",D823),Config!$A$12:$A$15,0)),0)/30*MAX(1,N(E823)),0))</f>
        <v/>
      </c>
      <c r="I823" s="29">
        <f>IF(OR(D823="",F823=""),"",ROUND(F823*H823,2))</f>
        <v/>
      </c>
      <c r="J823" s="29">
        <f>IF(I823="","",F823-I823)</f>
        <v/>
      </c>
      <c r="K823" s="29">
        <f>IF(J823="","",J823/MAX(1,N(E823)))</f>
        <v/>
      </c>
      <c r="L823" s="37">
        <f>IF(OR(D823="",A823=""),"",A823+IF(AND(Config!$B$17="Sim",LEFT(D823,17)="Cartão de crédito"),1,IFERROR(INDEX(Config!$C$12:$C$15,MATCH(IF(AND(D823="Cartão de crédito",N(E823)&gt;1),"Cartão de crédito parcelado",D823),Config!$A$12:$A$15,0)),0)))</f>
        <v/>
      </c>
      <c r="M823" s="37">
        <f>IF(L823="","",IF(AND(Config!$B$17="Sim",LEFT(D823,17)="Cartão de crédito"),L823,L823+30*(MAX(1,N(E823))-1)))</f>
        <v/>
      </c>
      <c r="N823" s="29">
        <f>IF(OR(L823="",K823=""),"",K823*MIN(MAX(1,N(E823)),MAX(0,INT((Config!$B$8-L823)/30)+1)))</f>
        <v/>
      </c>
      <c r="O823" s="29">
        <f>IF(J823="","",J823-N(N823))</f>
        <v/>
      </c>
      <c r="P823" s="27">
        <f>IF(A823="","",MONTH(A823))</f>
        <v/>
      </c>
      <c r="Q823" s="27">
        <f>IF(A823="","",YEAR(A823))</f>
        <v/>
      </c>
      <c r="R823" s="27">
        <f>IF(L823="","",IF(L823&gt;Config!$B$8,"A cair",IF(N(G823)&gt;=MIN(MAX(1,N(E823)),MAX(0,INT((Config!$B$8-L823)/30)+1)),IF(N(G823)&gt;=MAX(1,N(E823)),"Conferido","Conferido até aqui"),"A conferir")))</f>
        <v/>
      </c>
      <c r="S823" s="51">
        <f>IF(R823="A conferir",(Config!$B$8-L823)*1000+N(F823)/1000+ROW()/100000,0)</f>
        <v>0</v>
      </c>
      <c r="T823" s="51">
        <f>IF(R823="A conferir",N(N823),0)</f>
        <v>0</v>
      </c>
      <c r="U823" s="51">
        <f>IF(L823="",0,L823)</f>
        <v>0</v>
      </c>
      <c r="V823" s="51">
        <f>IF(L823="",0,MAX(1,N(E823)))</f>
        <v>0</v>
      </c>
      <c r="W823" s="51">
        <f>IF(K823="",0,K823)</f>
        <v>0</v>
      </c>
    </row>
    <row r="824">
      <c r="A824" s="49" t="n"/>
      <c r="B824" s="41" t="n"/>
      <c r="C824" s="41" t="n"/>
      <c r="D824" s="42" t="n"/>
      <c r="E824" s="42" t="n"/>
      <c r="F824" s="50" t="n"/>
      <c r="G824" s="42" t="n"/>
      <c r="H824" s="30">
        <f>IF(D824="","",IFERROR(INDEX(Config!$B$12:$B$15,MATCH(IF(AND(D824="Cartão de crédito",N(E824)&gt;1),"Cartão de crédito parcelado",D824),Config!$A$12:$A$15,0)),0)+IF(AND(Config!$B$17="Sim",LEFT(D824,17)="Cartão de crédito"),Config!$B$18*IFERROR(INDEX(Config!$C$12:$C$15,MATCH(IF(AND(D824="Cartão de crédito",N(E824)&gt;1),"Cartão de crédito parcelado",D824),Config!$A$12:$A$15,0)),0)/30*MAX(1,N(E824)),0))</f>
        <v/>
      </c>
      <c r="I824" s="29">
        <f>IF(OR(D824="",F824=""),"",ROUND(F824*H824,2))</f>
        <v/>
      </c>
      <c r="J824" s="29">
        <f>IF(I824="","",F824-I824)</f>
        <v/>
      </c>
      <c r="K824" s="29">
        <f>IF(J824="","",J824/MAX(1,N(E824)))</f>
        <v/>
      </c>
      <c r="L824" s="37">
        <f>IF(OR(D824="",A824=""),"",A824+IF(AND(Config!$B$17="Sim",LEFT(D824,17)="Cartão de crédito"),1,IFERROR(INDEX(Config!$C$12:$C$15,MATCH(IF(AND(D824="Cartão de crédito",N(E824)&gt;1),"Cartão de crédito parcelado",D824),Config!$A$12:$A$15,0)),0)))</f>
        <v/>
      </c>
      <c r="M824" s="37">
        <f>IF(L824="","",IF(AND(Config!$B$17="Sim",LEFT(D824,17)="Cartão de crédito"),L824,L824+30*(MAX(1,N(E824))-1)))</f>
        <v/>
      </c>
      <c r="N824" s="29">
        <f>IF(OR(L824="",K824=""),"",K824*MIN(MAX(1,N(E824)),MAX(0,INT((Config!$B$8-L824)/30)+1)))</f>
        <v/>
      </c>
      <c r="O824" s="29">
        <f>IF(J824="","",J824-N(N824))</f>
        <v/>
      </c>
      <c r="P824" s="27">
        <f>IF(A824="","",MONTH(A824))</f>
        <v/>
      </c>
      <c r="Q824" s="27">
        <f>IF(A824="","",YEAR(A824))</f>
        <v/>
      </c>
      <c r="R824" s="27">
        <f>IF(L824="","",IF(L824&gt;Config!$B$8,"A cair",IF(N(G824)&gt;=MIN(MAX(1,N(E824)),MAX(0,INT((Config!$B$8-L824)/30)+1)),IF(N(G824)&gt;=MAX(1,N(E824)),"Conferido","Conferido até aqui"),"A conferir")))</f>
        <v/>
      </c>
      <c r="S824" s="51">
        <f>IF(R824="A conferir",(Config!$B$8-L824)*1000+N(F824)/1000+ROW()/100000,0)</f>
        <v>0</v>
      </c>
      <c r="T824" s="51">
        <f>IF(R824="A conferir",N(N824),0)</f>
        <v>0</v>
      </c>
      <c r="U824" s="51">
        <f>IF(L824="",0,L824)</f>
        <v>0</v>
      </c>
      <c r="V824" s="51">
        <f>IF(L824="",0,MAX(1,N(E824)))</f>
        <v>0</v>
      </c>
      <c r="W824" s="51">
        <f>IF(K824="",0,K824)</f>
        <v>0</v>
      </c>
    </row>
    <row r="825">
      <c r="A825" s="49" t="n"/>
      <c r="B825" s="41" t="n"/>
      <c r="C825" s="41" t="n"/>
      <c r="D825" s="42" t="n"/>
      <c r="E825" s="42" t="n"/>
      <c r="F825" s="50" t="n"/>
      <c r="G825" s="42" t="n"/>
      <c r="H825" s="30">
        <f>IF(D825="","",IFERROR(INDEX(Config!$B$12:$B$15,MATCH(IF(AND(D825="Cartão de crédito",N(E825)&gt;1),"Cartão de crédito parcelado",D825),Config!$A$12:$A$15,0)),0)+IF(AND(Config!$B$17="Sim",LEFT(D825,17)="Cartão de crédito"),Config!$B$18*IFERROR(INDEX(Config!$C$12:$C$15,MATCH(IF(AND(D825="Cartão de crédito",N(E825)&gt;1),"Cartão de crédito parcelado",D825),Config!$A$12:$A$15,0)),0)/30*MAX(1,N(E825)),0))</f>
        <v/>
      </c>
      <c r="I825" s="29">
        <f>IF(OR(D825="",F825=""),"",ROUND(F825*H825,2))</f>
        <v/>
      </c>
      <c r="J825" s="29">
        <f>IF(I825="","",F825-I825)</f>
        <v/>
      </c>
      <c r="K825" s="29">
        <f>IF(J825="","",J825/MAX(1,N(E825)))</f>
        <v/>
      </c>
      <c r="L825" s="37">
        <f>IF(OR(D825="",A825=""),"",A825+IF(AND(Config!$B$17="Sim",LEFT(D825,17)="Cartão de crédito"),1,IFERROR(INDEX(Config!$C$12:$C$15,MATCH(IF(AND(D825="Cartão de crédito",N(E825)&gt;1),"Cartão de crédito parcelado",D825),Config!$A$12:$A$15,0)),0)))</f>
        <v/>
      </c>
      <c r="M825" s="37">
        <f>IF(L825="","",IF(AND(Config!$B$17="Sim",LEFT(D825,17)="Cartão de crédito"),L825,L825+30*(MAX(1,N(E825))-1)))</f>
        <v/>
      </c>
      <c r="N825" s="29">
        <f>IF(OR(L825="",K825=""),"",K825*MIN(MAX(1,N(E825)),MAX(0,INT((Config!$B$8-L825)/30)+1)))</f>
        <v/>
      </c>
      <c r="O825" s="29">
        <f>IF(J825="","",J825-N(N825))</f>
        <v/>
      </c>
      <c r="P825" s="27">
        <f>IF(A825="","",MONTH(A825))</f>
        <v/>
      </c>
      <c r="Q825" s="27">
        <f>IF(A825="","",YEAR(A825))</f>
        <v/>
      </c>
      <c r="R825" s="27">
        <f>IF(L825="","",IF(L825&gt;Config!$B$8,"A cair",IF(N(G825)&gt;=MIN(MAX(1,N(E825)),MAX(0,INT((Config!$B$8-L825)/30)+1)),IF(N(G825)&gt;=MAX(1,N(E825)),"Conferido","Conferido até aqui"),"A conferir")))</f>
        <v/>
      </c>
      <c r="S825" s="51">
        <f>IF(R825="A conferir",(Config!$B$8-L825)*1000+N(F825)/1000+ROW()/100000,0)</f>
        <v>0</v>
      </c>
      <c r="T825" s="51">
        <f>IF(R825="A conferir",N(N825),0)</f>
        <v>0</v>
      </c>
      <c r="U825" s="51">
        <f>IF(L825="",0,L825)</f>
        <v>0</v>
      </c>
      <c r="V825" s="51">
        <f>IF(L825="",0,MAX(1,N(E825)))</f>
        <v>0</v>
      </c>
      <c r="W825" s="51">
        <f>IF(K825="",0,K825)</f>
        <v>0</v>
      </c>
    </row>
    <row r="826">
      <c r="A826" s="49" t="n"/>
      <c r="B826" s="41" t="n"/>
      <c r="C826" s="41" t="n"/>
      <c r="D826" s="42" t="n"/>
      <c r="E826" s="42" t="n"/>
      <c r="F826" s="50" t="n"/>
      <c r="G826" s="42" t="n"/>
      <c r="H826" s="30">
        <f>IF(D826="","",IFERROR(INDEX(Config!$B$12:$B$15,MATCH(IF(AND(D826="Cartão de crédito",N(E826)&gt;1),"Cartão de crédito parcelado",D826),Config!$A$12:$A$15,0)),0)+IF(AND(Config!$B$17="Sim",LEFT(D826,17)="Cartão de crédito"),Config!$B$18*IFERROR(INDEX(Config!$C$12:$C$15,MATCH(IF(AND(D826="Cartão de crédito",N(E826)&gt;1),"Cartão de crédito parcelado",D826),Config!$A$12:$A$15,0)),0)/30*MAX(1,N(E826)),0))</f>
        <v/>
      </c>
      <c r="I826" s="29">
        <f>IF(OR(D826="",F826=""),"",ROUND(F826*H826,2))</f>
        <v/>
      </c>
      <c r="J826" s="29">
        <f>IF(I826="","",F826-I826)</f>
        <v/>
      </c>
      <c r="K826" s="29">
        <f>IF(J826="","",J826/MAX(1,N(E826)))</f>
        <v/>
      </c>
      <c r="L826" s="37">
        <f>IF(OR(D826="",A826=""),"",A826+IF(AND(Config!$B$17="Sim",LEFT(D826,17)="Cartão de crédito"),1,IFERROR(INDEX(Config!$C$12:$C$15,MATCH(IF(AND(D826="Cartão de crédito",N(E826)&gt;1),"Cartão de crédito parcelado",D826),Config!$A$12:$A$15,0)),0)))</f>
        <v/>
      </c>
      <c r="M826" s="37">
        <f>IF(L826="","",IF(AND(Config!$B$17="Sim",LEFT(D826,17)="Cartão de crédito"),L826,L826+30*(MAX(1,N(E826))-1)))</f>
        <v/>
      </c>
      <c r="N826" s="29">
        <f>IF(OR(L826="",K826=""),"",K826*MIN(MAX(1,N(E826)),MAX(0,INT((Config!$B$8-L826)/30)+1)))</f>
        <v/>
      </c>
      <c r="O826" s="29">
        <f>IF(J826="","",J826-N(N826))</f>
        <v/>
      </c>
      <c r="P826" s="27">
        <f>IF(A826="","",MONTH(A826))</f>
        <v/>
      </c>
      <c r="Q826" s="27">
        <f>IF(A826="","",YEAR(A826))</f>
        <v/>
      </c>
      <c r="R826" s="27">
        <f>IF(L826="","",IF(L826&gt;Config!$B$8,"A cair",IF(N(G826)&gt;=MIN(MAX(1,N(E826)),MAX(0,INT((Config!$B$8-L826)/30)+1)),IF(N(G826)&gt;=MAX(1,N(E826)),"Conferido","Conferido até aqui"),"A conferir")))</f>
        <v/>
      </c>
      <c r="S826" s="51">
        <f>IF(R826="A conferir",(Config!$B$8-L826)*1000+N(F826)/1000+ROW()/100000,0)</f>
        <v>0</v>
      </c>
      <c r="T826" s="51">
        <f>IF(R826="A conferir",N(N826),0)</f>
        <v>0</v>
      </c>
      <c r="U826" s="51">
        <f>IF(L826="",0,L826)</f>
        <v>0</v>
      </c>
      <c r="V826" s="51">
        <f>IF(L826="",0,MAX(1,N(E826)))</f>
        <v>0</v>
      </c>
      <c r="W826" s="51">
        <f>IF(K826="",0,K826)</f>
        <v>0</v>
      </c>
    </row>
    <row r="827">
      <c r="A827" s="49" t="n"/>
      <c r="B827" s="41" t="n"/>
      <c r="C827" s="41" t="n"/>
      <c r="D827" s="42" t="n"/>
      <c r="E827" s="42" t="n"/>
      <c r="F827" s="50" t="n"/>
      <c r="G827" s="42" t="n"/>
      <c r="H827" s="30">
        <f>IF(D827="","",IFERROR(INDEX(Config!$B$12:$B$15,MATCH(IF(AND(D827="Cartão de crédito",N(E827)&gt;1),"Cartão de crédito parcelado",D827),Config!$A$12:$A$15,0)),0)+IF(AND(Config!$B$17="Sim",LEFT(D827,17)="Cartão de crédito"),Config!$B$18*IFERROR(INDEX(Config!$C$12:$C$15,MATCH(IF(AND(D827="Cartão de crédito",N(E827)&gt;1),"Cartão de crédito parcelado",D827),Config!$A$12:$A$15,0)),0)/30*MAX(1,N(E827)),0))</f>
        <v/>
      </c>
      <c r="I827" s="29">
        <f>IF(OR(D827="",F827=""),"",ROUND(F827*H827,2))</f>
        <v/>
      </c>
      <c r="J827" s="29">
        <f>IF(I827="","",F827-I827)</f>
        <v/>
      </c>
      <c r="K827" s="29">
        <f>IF(J827="","",J827/MAX(1,N(E827)))</f>
        <v/>
      </c>
      <c r="L827" s="37">
        <f>IF(OR(D827="",A827=""),"",A827+IF(AND(Config!$B$17="Sim",LEFT(D827,17)="Cartão de crédito"),1,IFERROR(INDEX(Config!$C$12:$C$15,MATCH(IF(AND(D827="Cartão de crédito",N(E827)&gt;1),"Cartão de crédito parcelado",D827),Config!$A$12:$A$15,0)),0)))</f>
        <v/>
      </c>
      <c r="M827" s="37">
        <f>IF(L827="","",IF(AND(Config!$B$17="Sim",LEFT(D827,17)="Cartão de crédito"),L827,L827+30*(MAX(1,N(E827))-1)))</f>
        <v/>
      </c>
      <c r="N827" s="29">
        <f>IF(OR(L827="",K827=""),"",K827*MIN(MAX(1,N(E827)),MAX(0,INT((Config!$B$8-L827)/30)+1)))</f>
        <v/>
      </c>
      <c r="O827" s="29">
        <f>IF(J827="","",J827-N(N827))</f>
        <v/>
      </c>
      <c r="P827" s="27">
        <f>IF(A827="","",MONTH(A827))</f>
        <v/>
      </c>
      <c r="Q827" s="27">
        <f>IF(A827="","",YEAR(A827))</f>
        <v/>
      </c>
      <c r="R827" s="27">
        <f>IF(L827="","",IF(L827&gt;Config!$B$8,"A cair",IF(N(G827)&gt;=MIN(MAX(1,N(E827)),MAX(0,INT((Config!$B$8-L827)/30)+1)),IF(N(G827)&gt;=MAX(1,N(E827)),"Conferido","Conferido até aqui"),"A conferir")))</f>
        <v/>
      </c>
      <c r="S827" s="51">
        <f>IF(R827="A conferir",(Config!$B$8-L827)*1000+N(F827)/1000+ROW()/100000,0)</f>
        <v>0</v>
      </c>
      <c r="T827" s="51">
        <f>IF(R827="A conferir",N(N827),0)</f>
        <v>0</v>
      </c>
      <c r="U827" s="51">
        <f>IF(L827="",0,L827)</f>
        <v>0</v>
      </c>
      <c r="V827" s="51">
        <f>IF(L827="",0,MAX(1,N(E827)))</f>
        <v>0</v>
      </c>
      <c r="W827" s="51">
        <f>IF(K827="",0,K827)</f>
        <v>0</v>
      </c>
    </row>
    <row r="828">
      <c r="A828" s="49" t="n"/>
      <c r="B828" s="41" t="n"/>
      <c r="C828" s="41" t="n"/>
      <c r="D828" s="42" t="n"/>
      <c r="E828" s="42" t="n"/>
      <c r="F828" s="50" t="n"/>
      <c r="G828" s="42" t="n"/>
      <c r="H828" s="30">
        <f>IF(D828="","",IFERROR(INDEX(Config!$B$12:$B$15,MATCH(IF(AND(D828="Cartão de crédito",N(E828)&gt;1),"Cartão de crédito parcelado",D828),Config!$A$12:$A$15,0)),0)+IF(AND(Config!$B$17="Sim",LEFT(D828,17)="Cartão de crédito"),Config!$B$18*IFERROR(INDEX(Config!$C$12:$C$15,MATCH(IF(AND(D828="Cartão de crédito",N(E828)&gt;1),"Cartão de crédito parcelado",D828),Config!$A$12:$A$15,0)),0)/30*MAX(1,N(E828)),0))</f>
        <v/>
      </c>
      <c r="I828" s="29">
        <f>IF(OR(D828="",F828=""),"",ROUND(F828*H828,2))</f>
        <v/>
      </c>
      <c r="J828" s="29">
        <f>IF(I828="","",F828-I828)</f>
        <v/>
      </c>
      <c r="K828" s="29">
        <f>IF(J828="","",J828/MAX(1,N(E828)))</f>
        <v/>
      </c>
      <c r="L828" s="37">
        <f>IF(OR(D828="",A828=""),"",A828+IF(AND(Config!$B$17="Sim",LEFT(D828,17)="Cartão de crédito"),1,IFERROR(INDEX(Config!$C$12:$C$15,MATCH(IF(AND(D828="Cartão de crédito",N(E828)&gt;1),"Cartão de crédito parcelado",D828),Config!$A$12:$A$15,0)),0)))</f>
        <v/>
      </c>
      <c r="M828" s="37">
        <f>IF(L828="","",IF(AND(Config!$B$17="Sim",LEFT(D828,17)="Cartão de crédito"),L828,L828+30*(MAX(1,N(E828))-1)))</f>
        <v/>
      </c>
      <c r="N828" s="29">
        <f>IF(OR(L828="",K828=""),"",K828*MIN(MAX(1,N(E828)),MAX(0,INT((Config!$B$8-L828)/30)+1)))</f>
        <v/>
      </c>
      <c r="O828" s="29">
        <f>IF(J828="","",J828-N(N828))</f>
        <v/>
      </c>
      <c r="P828" s="27">
        <f>IF(A828="","",MONTH(A828))</f>
        <v/>
      </c>
      <c r="Q828" s="27">
        <f>IF(A828="","",YEAR(A828))</f>
        <v/>
      </c>
      <c r="R828" s="27">
        <f>IF(L828="","",IF(L828&gt;Config!$B$8,"A cair",IF(N(G828)&gt;=MIN(MAX(1,N(E828)),MAX(0,INT((Config!$B$8-L828)/30)+1)),IF(N(G828)&gt;=MAX(1,N(E828)),"Conferido","Conferido até aqui"),"A conferir")))</f>
        <v/>
      </c>
      <c r="S828" s="51">
        <f>IF(R828="A conferir",(Config!$B$8-L828)*1000+N(F828)/1000+ROW()/100000,0)</f>
        <v>0</v>
      </c>
      <c r="T828" s="51">
        <f>IF(R828="A conferir",N(N828),0)</f>
        <v>0</v>
      </c>
      <c r="U828" s="51">
        <f>IF(L828="",0,L828)</f>
        <v>0</v>
      </c>
      <c r="V828" s="51">
        <f>IF(L828="",0,MAX(1,N(E828)))</f>
        <v>0</v>
      </c>
      <c r="W828" s="51">
        <f>IF(K828="",0,K828)</f>
        <v>0</v>
      </c>
    </row>
    <row r="829">
      <c r="A829" s="49" t="n"/>
      <c r="B829" s="41" t="n"/>
      <c r="C829" s="41" t="n"/>
      <c r="D829" s="42" t="n"/>
      <c r="E829" s="42" t="n"/>
      <c r="F829" s="50" t="n"/>
      <c r="G829" s="42" t="n"/>
      <c r="H829" s="30">
        <f>IF(D829="","",IFERROR(INDEX(Config!$B$12:$B$15,MATCH(IF(AND(D829="Cartão de crédito",N(E829)&gt;1),"Cartão de crédito parcelado",D829),Config!$A$12:$A$15,0)),0)+IF(AND(Config!$B$17="Sim",LEFT(D829,17)="Cartão de crédito"),Config!$B$18*IFERROR(INDEX(Config!$C$12:$C$15,MATCH(IF(AND(D829="Cartão de crédito",N(E829)&gt;1),"Cartão de crédito parcelado",D829),Config!$A$12:$A$15,0)),0)/30*MAX(1,N(E829)),0))</f>
        <v/>
      </c>
      <c r="I829" s="29">
        <f>IF(OR(D829="",F829=""),"",ROUND(F829*H829,2))</f>
        <v/>
      </c>
      <c r="J829" s="29">
        <f>IF(I829="","",F829-I829)</f>
        <v/>
      </c>
      <c r="K829" s="29">
        <f>IF(J829="","",J829/MAX(1,N(E829)))</f>
        <v/>
      </c>
      <c r="L829" s="37">
        <f>IF(OR(D829="",A829=""),"",A829+IF(AND(Config!$B$17="Sim",LEFT(D829,17)="Cartão de crédito"),1,IFERROR(INDEX(Config!$C$12:$C$15,MATCH(IF(AND(D829="Cartão de crédito",N(E829)&gt;1),"Cartão de crédito parcelado",D829),Config!$A$12:$A$15,0)),0)))</f>
        <v/>
      </c>
      <c r="M829" s="37">
        <f>IF(L829="","",IF(AND(Config!$B$17="Sim",LEFT(D829,17)="Cartão de crédito"),L829,L829+30*(MAX(1,N(E829))-1)))</f>
        <v/>
      </c>
      <c r="N829" s="29">
        <f>IF(OR(L829="",K829=""),"",K829*MIN(MAX(1,N(E829)),MAX(0,INT((Config!$B$8-L829)/30)+1)))</f>
        <v/>
      </c>
      <c r="O829" s="29">
        <f>IF(J829="","",J829-N(N829))</f>
        <v/>
      </c>
      <c r="P829" s="27">
        <f>IF(A829="","",MONTH(A829))</f>
        <v/>
      </c>
      <c r="Q829" s="27">
        <f>IF(A829="","",YEAR(A829))</f>
        <v/>
      </c>
      <c r="R829" s="27">
        <f>IF(L829="","",IF(L829&gt;Config!$B$8,"A cair",IF(N(G829)&gt;=MIN(MAX(1,N(E829)),MAX(0,INT((Config!$B$8-L829)/30)+1)),IF(N(G829)&gt;=MAX(1,N(E829)),"Conferido","Conferido até aqui"),"A conferir")))</f>
        <v/>
      </c>
      <c r="S829" s="51">
        <f>IF(R829="A conferir",(Config!$B$8-L829)*1000+N(F829)/1000+ROW()/100000,0)</f>
        <v>0</v>
      </c>
      <c r="T829" s="51">
        <f>IF(R829="A conferir",N(N829),0)</f>
        <v>0</v>
      </c>
      <c r="U829" s="51">
        <f>IF(L829="",0,L829)</f>
        <v>0</v>
      </c>
      <c r="V829" s="51">
        <f>IF(L829="",0,MAX(1,N(E829)))</f>
        <v>0</v>
      </c>
      <c r="W829" s="51">
        <f>IF(K829="",0,K829)</f>
        <v>0</v>
      </c>
    </row>
    <row r="830">
      <c r="A830" s="49" t="n"/>
      <c r="B830" s="41" t="n"/>
      <c r="C830" s="41" t="n"/>
      <c r="D830" s="42" t="n"/>
      <c r="E830" s="42" t="n"/>
      <c r="F830" s="50" t="n"/>
      <c r="G830" s="42" t="n"/>
      <c r="H830" s="30">
        <f>IF(D830="","",IFERROR(INDEX(Config!$B$12:$B$15,MATCH(IF(AND(D830="Cartão de crédito",N(E830)&gt;1),"Cartão de crédito parcelado",D830),Config!$A$12:$A$15,0)),0)+IF(AND(Config!$B$17="Sim",LEFT(D830,17)="Cartão de crédito"),Config!$B$18*IFERROR(INDEX(Config!$C$12:$C$15,MATCH(IF(AND(D830="Cartão de crédito",N(E830)&gt;1),"Cartão de crédito parcelado",D830),Config!$A$12:$A$15,0)),0)/30*MAX(1,N(E830)),0))</f>
        <v/>
      </c>
      <c r="I830" s="29">
        <f>IF(OR(D830="",F830=""),"",ROUND(F830*H830,2))</f>
        <v/>
      </c>
      <c r="J830" s="29">
        <f>IF(I830="","",F830-I830)</f>
        <v/>
      </c>
      <c r="K830" s="29">
        <f>IF(J830="","",J830/MAX(1,N(E830)))</f>
        <v/>
      </c>
      <c r="L830" s="37">
        <f>IF(OR(D830="",A830=""),"",A830+IF(AND(Config!$B$17="Sim",LEFT(D830,17)="Cartão de crédito"),1,IFERROR(INDEX(Config!$C$12:$C$15,MATCH(IF(AND(D830="Cartão de crédito",N(E830)&gt;1),"Cartão de crédito parcelado",D830),Config!$A$12:$A$15,0)),0)))</f>
        <v/>
      </c>
      <c r="M830" s="37">
        <f>IF(L830="","",IF(AND(Config!$B$17="Sim",LEFT(D830,17)="Cartão de crédito"),L830,L830+30*(MAX(1,N(E830))-1)))</f>
        <v/>
      </c>
      <c r="N830" s="29">
        <f>IF(OR(L830="",K830=""),"",K830*MIN(MAX(1,N(E830)),MAX(0,INT((Config!$B$8-L830)/30)+1)))</f>
        <v/>
      </c>
      <c r="O830" s="29">
        <f>IF(J830="","",J830-N(N830))</f>
        <v/>
      </c>
      <c r="P830" s="27">
        <f>IF(A830="","",MONTH(A830))</f>
        <v/>
      </c>
      <c r="Q830" s="27">
        <f>IF(A830="","",YEAR(A830))</f>
        <v/>
      </c>
      <c r="R830" s="27">
        <f>IF(L830="","",IF(L830&gt;Config!$B$8,"A cair",IF(N(G830)&gt;=MIN(MAX(1,N(E830)),MAX(0,INT((Config!$B$8-L830)/30)+1)),IF(N(G830)&gt;=MAX(1,N(E830)),"Conferido","Conferido até aqui"),"A conferir")))</f>
        <v/>
      </c>
      <c r="S830" s="51">
        <f>IF(R830="A conferir",(Config!$B$8-L830)*1000+N(F830)/1000+ROW()/100000,0)</f>
        <v>0</v>
      </c>
      <c r="T830" s="51">
        <f>IF(R830="A conferir",N(N830),0)</f>
        <v>0</v>
      </c>
      <c r="U830" s="51">
        <f>IF(L830="",0,L830)</f>
        <v>0</v>
      </c>
      <c r="V830" s="51">
        <f>IF(L830="",0,MAX(1,N(E830)))</f>
        <v>0</v>
      </c>
      <c r="W830" s="51">
        <f>IF(K830="",0,K830)</f>
        <v>0</v>
      </c>
    </row>
    <row r="831">
      <c r="A831" s="49" t="n"/>
      <c r="B831" s="41" t="n"/>
      <c r="C831" s="41" t="n"/>
      <c r="D831" s="42" t="n"/>
      <c r="E831" s="42" t="n"/>
      <c r="F831" s="50" t="n"/>
      <c r="G831" s="42" t="n"/>
      <c r="H831" s="30">
        <f>IF(D831="","",IFERROR(INDEX(Config!$B$12:$B$15,MATCH(IF(AND(D831="Cartão de crédito",N(E831)&gt;1),"Cartão de crédito parcelado",D831),Config!$A$12:$A$15,0)),0)+IF(AND(Config!$B$17="Sim",LEFT(D831,17)="Cartão de crédito"),Config!$B$18*IFERROR(INDEX(Config!$C$12:$C$15,MATCH(IF(AND(D831="Cartão de crédito",N(E831)&gt;1),"Cartão de crédito parcelado",D831),Config!$A$12:$A$15,0)),0)/30*MAX(1,N(E831)),0))</f>
        <v/>
      </c>
      <c r="I831" s="29">
        <f>IF(OR(D831="",F831=""),"",ROUND(F831*H831,2))</f>
        <v/>
      </c>
      <c r="J831" s="29">
        <f>IF(I831="","",F831-I831)</f>
        <v/>
      </c>
      <c r="K831" s="29">
        <f>IF(J831="","",J831/MAX(1,N(E831)))</f>
        <v/>
      </c>
      <c r="L831" s="37">
        <f>IF(OR(D831="",A831=""),"",A831+IF(AND(Config!$B$17="Sim",LEFT(D831,17)="Cartão de crédito"),1,IFERROR(INDEX(Config!$C$12:$C$15,MATCH(IF(AND(D831="Cartão de crédito",N(E831)&gt;1),"Cartão de crédito parcelado",D831),Config!$A$12:$A$15,0)),0)))</f>
        <v/>
      </c>
      <c r="M831" s="37">
        <f>IF(L831="","",IF(AND(Config!$B$17="Sim",LEFT(D831,17)="Cartão de crédito"),L831,L831+30*(MAX(1,N(E831))-1)))</f>
        <v/>
      </c>
      <c r="N831" s="29">
        <f>IF(OR(L831="",K831=""),"",K831*MIN(MAX(1,N(E831)),MAX(0,INT((Config!$B$8-L831)/30)+1)))</f>
        <v/>
      </c>
      <c r="O831" s="29">
        <f>IF(J831="","",J831-N(N831))</f>
        <v/>
      </c>
      <c r="P831" s="27">
        <f>IF(A831="","",MONTH(A831))</f>
        <v/>
      </c>
      <c r="Q831" s="27">
        <f>IF(A831="","",YEAR(A831))</f>
        <v/>
      </c>
      <c r="R831" s="27">
        <f>IF(L831="","",IF(L831&gt;Config!$B$8,"A cair",IF(N(G831)&gt;=MIN(MAX(1,N(E831)),MAX(0,INT((Config!$B$8-L831)/30)+1)),IF(N(G831)&gt;=MAX(1,N(E831)),"Conferido","Conferido até aqui"),"A conferir")))</f>
        <v/>
      </c>
      <c r="S831" s="51">
        <f>IF(R831="A conferir",(Config!$B$8-L831)*1000+N(F831)/1000+ROW()/100000,0)</f>
        <v>0</v>
      </c>
      <c r="T831" s="51">
        <f>IF(R831="A conferir",N(N831),0)</f>
        <v>0</v>
      </c>
      <c r="U831" s="51">
        <f>IF(L831="",0,L831)</f>
        <v>0</v>
      </c>
      <c r="V831" s="51">
        <f>IF(L831="",0,MAX(1,N(E831)))</f>
        <v>0</v>
      </c>
      <c r="W831" s="51">
        <f>IF(K831="",0,K831)</f>
        <v>0</v>
      </c>
    </row>
    <row r="832">
      <c r="A832" s="49" t="n"/>
      <c r="B832" s="41" t="n"/>
      <c r="C832" s="41" t="n"/>
      <c r="D832" s="42" t="n"/>
      <c r="E832" s="42" t="n"/>
      <c r="F832" s="50" t="n"/>
      <c r="G832" s="42" t="n"/>
      <c r="H832" s="30">
        <f>IF(D832="","",IFERROR(INDEX(Config!$B$12:$B$15,MATCH(IF(AND(D832="Cartão de crédito",N(E832)&gt;1),"Cartão de crédito parcelado",D832),Config!$A$12:$A$15,0)),0)+IF(AND(Config!$B$17="Sim",LEFT(D832,17)="Cartão de crédito"),Config!$B$18*IFERROR(INDEX(Config!$C$12:$C$15,MATCH(IF(AND(D832="Cartão de crédito",N(E832)&gt;1),"Cartão de crédito parcelado",D832),Config!$A$12:$A$15,0)),0)/30*MAX(1,N(E832)),0))</f>
        <v/>
      </c>
      <c r="I832" s="29">
        <f>IF(OR(D832="",F832=""),"",ROUND(F832*H832,2))</f>
        <v/>
      </c>
      <c r="J832" s="29">
        <f>IF(I832="","",F832-I832)</f>
        <v/>
      </c>
      <c r="K832" s="29">
        <f>IF(J832="","",J832/MAX(1,N(E832)))</f>
        <v/>
      </c>
      <c r="L832" s="37">
        <f>IF(OR(D832="",A832=""),"",A832+IF(AND(Config!$B$17="Sim",LEFT(D832,17)="Cartão de crédito"),1,IFERROR(INDEX(Config!$C$12:$C$15,MATCH(IF(AND(D832="Cartão de crédito",N(E832)&gt;1),"Cartão de crédito parcelado",D832),Config!$A$12:$A$15,0)),0)))</f>
        <v/>
      </c>
      <c r="M832" s="37">
        <f>IF(L832="","",IF(AND(Config!$B$17="Sim",LEFT(D832,17)="Cartão de crédito"),L832,L832+30*(MAX(1,N(E832))-1)))</f>
        <v/>
      </c>
      <c r="N832" s="29">
        <f>IF(OR(L832="",K832=""),"",K832*MIN(MAX(1,N(E832)),MAX(0,INT((Config!$B$8-L832)/30)+1)))</f>
        <v/>
      </c>
      <c r="O832" s="29">
        <f>IF(J832="","",J832-N(N832))</f>
        <v/>
      </c>
      <c r="P832" s="27">
        <f>IF(A832="","",MONTH(A832))</f>
        <v/>
      </c>
      <c r="Q832" s="27">
        <f>IF(A832="","",YEAR(A832))</f>
        <v/>
      </c>
      <c r="R832" s="27">
        <f>IF(L832="","",IF(L832&gt;Config!$B$8,"A cair",IF(N(G832)&gt;=MIN(MAX(1,N(E832)),MAX(0,INT((Config!$B$8-L832)/30)+1)),IF(N(G832)&gt;=MAX(1,N(E832)),"Conferido","Conferido até aqui"),"A conferir")))</f>
        <v/>
      </c>
      <c r="S832" s="51">
        <f>IF(R832="A conferir",(Config!$B$8-L832)*1000+N(F832)/1000+ROW()/100000,0)</f>
        <v>0</v>
      </c>
      <c r="T832" s="51">
        <f>IF(R832="A conferir",N(N832),0)</f>
        <v>0</v>
      </c>
      <c r="U832" s="51">
        <f>IF(L832="",0,L832)</f>
        <v>0</v>
      </c>
      <c r="V832" s="51">
        <f>IF(L832="",0,MAX(1,N(E832)))</f>
        <v>0</v>
      </c>
      <c r="W832" s="51">
        <f>IF(K832="",0,K832)</f>
        <v>0</v>
      </c>
    </row>
    <row r="833">
      <c r="A833" s="49" t="n"/>
      <c r="B833" s="41" t="n"/>
      <c r="C833" s="41" t="n"/>
      <c r="D833" s="42" t="n"/>
      <c r="E833" s="42" t="n"/>
      <c r="F833" s="50" t="n"/>
      <c r="G833" s="42" t="n"/>
      <c r="H833" s="30">
        <f>IF(D833="","",IFERROR(INDEX(Config!$B$12:$B$15,MATCH(IF(AND(D833="Cartão de crédito",N(E833)&gt;1),"Cartão de crédito parcelado",D833),Config!$A$12:$A$15,0)),0)+IF(AND(Config!$B$17="Sim",LEFT(D833,17)="Cartão de crédito"),Config!$B$18*IFERROR(INDEX(Config!$C$12:$C$15,MATCH(IF(AND(D833="Cartão de crédito",N(E833)&gt;1),"Cartão de crédito parcelado",D833),Config!$A$12:$A$15,0)),0)/30*MAX(1,N(E833)),0))</f>
        <v/>
      </c>
      <c r="I833" s="29">
        <f>IF(OR(D833="",F833=""),"",ROUND(F833*H833,2))</f>
        <v/>
      </c>
      <c r="J833" s="29">
        <f>IF(I833="","",F833-I833)</f>
        <v/>
      </c>
      <c r="K833" s="29">
        <f>IF(J833="","",J833/MAX(1,N(E833)))</f>
        <v/>
      </c>
      <c r="L833" s="37">
        <f>IF(OR(D833="",A833=""),"",A833+IF(AND(Config!$B$17="Sim",LEFT(D833,17)="Cartão de crédito"),1,IFERROR(INDEX(Config!$C$12:$C$15,MATCH(IF(AND(D833="Cartão de crédito",N(E833)&gt;1),"Cartão de crédito parcelado",D833),Config!$A$12:$A$15,0)),0)))</f>
        <v/>
      </c>
      <c r="M833" s="37">
        <f>IF(L833="","",IF(AND(Config!$B$17="Sim",LEFT(D833,17)="Cartão de crédito"),L833,L833+30*(MAX(1,N(E833))-1)))</f>
        <v/>
      </c>
      <c r="N833" s="29">
        <f>IF(OR(L833="",K833=""),"",K833*MIN(MAX(1,N(E833)),MAX(0,INT((Config!$B$8-L833)/30)+1)))</f>
        <v/>
      </c>
      <c r="O833" s="29">
        <f>IF(J833="","",J833-N(N833))</f>
        <v/>
      </c>
      <c r="P833" s="27">
        <f>IF(A833="","",MONTH(A833))</f>
        <v/>
      </c>
      <c r="Q833" s="27">
        <f>IF(A833="","",YEAR(A833))</f>
        <v/>
      </c>
      <c r="R833" s="27">
        <f>IF(L833="","",IF(L833&gt;Config!$B$8,"A cair",IF(N(G833)&gt;=MIN(MAX(1,N(E833)),MAX(0,INT((Config!$B$8-L833)/30)+1)),IF(N(G833)&gt;=MAX(1,N(E833)),"Conferido","Conferido até aqui"),"A conferir")))</f>
        <v/>
      </c>
      <c r="S833" s="51">
        <f>IF(R833="A conferir",(Config!$B$8-L833)*1000+N(F833)/1000+ROW()/100000,0)</f>
        <v>0</v>
      </c>
      <c r="T833" s="51">
        <f>IF(R833="A conferir",N(N833),0)</f>
        <v>0</v>
      </c>
      <c r="U833" s="51">
        <f>IF(L833="",0,L833)</f>
        <v>0</v>
      </c>
      <c r="V833" s="51">
        <f>IF(L833="",0,MAX(1,N(E833)))</f>
        <v>0</v>
      </c>
      <c r="W833" s="51">
        <f>IF(K833="",0,K833)</f>
        <v>0</v>
      </c>
    </row>
    <row r="834">
      <c r="A834" s="49" t="n"/>
      <c r="B834" s="41" t="n"/>
      <c r="C834" s="41" t="n"/>
      <c r="D834" s="42" t="n"/>
      <c r="E834" s="42" t="n"/>
      <c r="F834" s="50" t="n"/>
      <c r="G834" s="42" t="n"/>
      <c r="H834" s="30">
        <f>IF(D834="","",IFERROR(INDEX(Config!$B$12:$B$15,MATCH(IF(AND(D834="Cartão de crédito",N(E834)&gt;1),"Cartão de crédito parcelado",D834),Config!$A$12:$A$15,0)),0)+IF(AND(Config!$B$17="Sim",LEFT(D834,17)="Cartão de crédito"),Config!$B$18*IFERROR(INDEX(Config!$C$12:$C$15,MATCH(IF(AND(D834="Cartão de crédito",N(E834)&gt;1),"Cartão de crédito parcelado",D834),Config!$A$12:$A$15,0)),0)/30*MAX(1,N(E834)),0))</f>
        <v/>
      </c>
      <c r="I834" s="29">
        <f>IF(OR(D834="",F834=""),"",ROUND(F834*H834,2))</f>
        <v/>
      </c>
      <c r="J834" s="29">
        <f>IF(I834="","",F834-I834)</f>
        <v/>
      </c>
      <c r="K834" s="29">
        <f>IF(J834="","",J834/MAX(1,N(E834)))</f>
        <v/>
      </c>
      <c r="L834" s="37">
        <f>IF(OR(D834="",A834=""),"",A834+IF(AND(Config!$B$17="Sim",LEFT(D834,17)="Cartão de crédito"),1,IFERROR(INDEX(Config!$C$12:$C$15,MATCH(IF(AND(D834="Cartão de crédito",N(E834)&gt;1),"Cartão de crédito parcelado",D834),Config!$A$12:$A$15,0)),0)))</f>
        <v/>
      </c>
      <c r="M834" s="37">
        <f>IF(L834="","",IF(AND(Config!$B$17="Sim",LEFT(D834,17)="Cartão de crédito"),L834,L834+30*(MAX(1,N(E834))-1)))</f>
        <v/>
      </c>
      <c r="N834" s="29">
        <f>IF(OR(L834="",K834=""),"",K834*MIN(MAX(1,N(E834)),MAX(0,INT((Config!$B$8-L834)/30)+1)))</f>
        <v/>
      </c>
      <c r="O834" s="29">
        <f>IF(J834="","",J834-N(N834))</f>
        <v/>
      </c>
      <c r="P834" s="27">
        <f>IF(A834="","",MONTH(A834))</f>
        <v/>
      </c>
      <c r="Q834" s="27">
        <f>IF(A834="","",YEAR(A834))</f>
        <v/>
      </c>
      <c r="R834" s="27">
        <f>IF(L834="","",IF(L834&gt;Config!$B$8,"A cair",IF(N(G834)&gt;=MIN(MAX(1,N(E834)),MAX(0,INT((Config!$B$8-L834)/30)+1)),IF(N(G834)&gt;=MAX(1,N(E834)),"Conferido","Conferido até aqui"),"A conferir")))</f>
        <v/>
      </c>
      <c r="S834" s="51">
        <f>IF(R834="A conferir",(Config!$B$8-L834)*1000+N(F834)/1000+ROW()/100000,0)</f>
        <v>0</v>
      </c>
      <c r="T834" s="51">
        <f>IF(R834="A conferir",N(N834),0)</f>
        <v>0</v>
      </c>
      <c r="U834" s="51">
        <f>IF(L834="",0,L834)</f>
        <v>0</v>
      </c>
      <c r="V834" s="51">
        <f>IF(L834="",0,MAX(1,N(E834)))</f>
        <v>0</v>
      </c>
      <c r="W834" s="51">
        <f>IF(K834="",0,K834)</f>
        <v>0</v>
      </c>
    </row>
    <row r="835">
      <c r="A835" s="49" t="n"/>
      <c r="B835" s="41" t="n"/>
      <c r="C835" s="41" t="n"/>
      <c r="D835" s="42" t="n"/>
      <c r="E835" s="42" t="n"/>
      <c r="F835" s="50" t="n"/>
      <c r="G835" s="42" t="n"/>
      <c r="H835" s="30">
        <f>IF(D835="","",IFERROR(INDEX(Config!$B$12:$B$15,MATCH(IF(AND(D835="Cartão de crédito",N(E835)&gt;1),"Cartão de crédito parcelado",D835),Config!$A$12:$A$15,0)),0)+IF(AND(Config!$B$17="Sim",LEFT(D835,17)="Cartão de crédito"),Config!$B$18*IFERROR(INDEX(Config!$C$12:$C$15,MATCH(IF(AND(D835="Cartão de crédito",N(E835)&gt;1),"Cartão de crédito parcelado",D835),Config!$A$12:$A$15,0)),0)/30*MAX(1,N(E835)),0))</f>
        <v/>
      </c>
      <c r="I835" s="29">
        <f>IF(OR(D835="",F835=""),"",ROUND(F835*H835,2))</f>
        <v/>
      </c>
      <c r="J835" s="29">
        <f>IF(I835="","",F835-I835)</f>
        <v/>
      </c>
      <c r="K835" s="29">
        <f>IF(J835="","",J835/MAX(1,N(E835)))</f>
        <v/>
      </c>
      <c r="L835" s="37">
        <f>IF(OR(D835="",A835=""),"",A835+IF(AND(Config!$B$17="Sim",LEFT(D835,17)="Cartão de crédito"),1,IFERROR(INDEX(Config!$C$12:$C$15,MATCH(IF(AND(D835="Cartão de crédito",N(E835)&gt;1),"Cartão de crédito parcelado",D835),Config!$A$12:$A$15,0)),0)))</f>
        <v/>
      </c>
      <c r="M835" s="37">
        <f>IF(L835="","",IF(AND(Config!$B$17="Sim",LEFT(D835,17)="Cartão de crédito"),L835,L835+30*(MAX(1,N(E835))-1)))</f>
        <v/>
      </c>
      <c r="N835" s="29">
        <f>IF(OR(L835="",K835=""),"",K835*MIN(MAX(1,N(E835)),MAX(0,INT((Config!$B$8-L835)/30)+1)))</f>
        <v/>
      </c>
      <c r="O835" s="29">
        <f>IF(J835="","",J835-N(N835))</f>
        <v/>
      </c>
      <c r="P835" s="27">
        <f>IF(A835="","",MONTH(A835))</f>
        <v/>
      </c>
      <c r="Q835" s="27">
        <f>IF(A835="","",YEAR(A835))</f>
        <v/>
      </c>
      <c r="R835" s="27">
        <f>IF(L835="","",IF(L835&gt;Config!$B$8,"A cair",IF(N(G835)&gt;=MIN(MAX(1,N(E835)),MAX(0,INT((Config!$B$8-L835)/30)+1)),IF(N(G835)&gt;=MAX(1,N(E835)),"Conferido","Conferido até aqui"),"A conferir")))</f>
        <v/>
      </c>
      <c r="S835" s="51">
        <f>IF(R835="A conferir",(Config!$B$8-L835)*1000+N(F835)/1000+ROW()/100000,0)</f>
        <v>0</v>
      </c>
      <c r="T835" s="51">
        <f>IF(R835="A conferir",N(N835),0)</f>
        <v>0</v>
      </c>
      <c r="U835" s="51">
        <f>IF(L835="",0,L835)</f>
        <v>0</v>
      </c>
      <c r="V835" s="51">
        <f>IF(L835="",0,MAX(1,N(E835)))</f>
        <v>0</v>
      </c>
      <c r="W835" s="51">
        <f>IF(K835="",0,K835)</f>
        <v>0</v>
      </c>
    </row>
    <row r="836">
      <c r="A836" s="49" t="n"/>
      <c r="B836" s="41" t="n"/>
      <c r="C836" s="41" t="n"/>
      <c r="D836" s="42" t="n"/>
      <c r="E836" s="42" t="n"/>
      <c r="F836" s="50" t="n"/>
      <c r="G836" s="42" t="n"/>
      <c r="H836" s="30">
        <f>IF(D836="","",IFERROR(INDEX(Config!$B$12:$B$15,MATCH(IF(AND(D836="Cartão de crédito",N(E836)&gt;1),"Cartão de crédito parcelado",D836),Config!$A$12:$A$15,0)),0)+IF(AND(Config!$B$17="Sim",LEFT(D836,17)="Cartão de crédito"),Config!$B$18*IFERROR(INDEX(Config!$C$12:$C$15,MATCH(IF(AND(D836="Cartão de crédito",N(E836)&gt;1),"Cartão de crédito parcelado",D836),Config!$A$12:$A$15,0)),0)/30*MAX(1,N(E836)),0))</f>
        <v/>
      </c>
      <c r="I836" s="29">
        <f>IF(OR(D836="",F836=""),"",ROUND(F836*H836,2))</f>
        <v/>
      </c>
      <c r="J836" s="29">
        <f>IF(I836="","",F836-I836)</f>
        <v/>
      </c>
      <c r="K836" s="29">
        <f>IF(J836="","",J836/MAX(1,N(E836)))</f>
        <v/>
      </c>
      <c r="L836" s="37">
        <f>IF(OR(D836="",A836=""),"",A836+IF(AND(Config!$B$17="Sim",LEFT(D836,17)="Cartão de crédito"),1,IFERROR(INDEX(Config!$C$12:$C$15,MATCH(IF(AND(D836="Cartão de crédito",N(E836)&gt;1),"Cartão de crédito parcelado",D836),Config!$A$12:$A$15,0)),0)))</f>
        <v/>
      </c>
      <c r="M836" s="37">
        <f>IF(L836="","",IF(AND(Config!$B$17="Sim",LEFT(D836,17)="Cartão de crédito"),L836,L836+30*(MAX(1,N(E836))-1)))</f>
        <v/>
      </c>
      <c r="N836" s="29">
        <f>IF(OR(L836="",K836=""),"",K836*MIN(MAX(1,N(E836)),MAX(0,INT((Config!$B$8-L836)/30)+1)))</f>
        <v/>
      </c>
      <c r="O836" s="29">
        <f>IF(J836="","",J836-N(N836))</f>
        <v/>
      </c>
      <c r="P836" s="27">
        <f>IF(A836="","",MONTH(A836))</f>
        <v/>
      </c>
      <c r="Q836" s="27">
        <f>IF(A836="","",YEAR(A836))</f>
        <v/>
      </c>
      <c r="R836" s="27">
        <f>IF(L836="","",IF(L836&gt;Config!$B$8,"A cair",IF(N(G836)&gt;=MIN(MAX(1,N(E836)),MAX(0,INT((Config!$B$8-L836)/30)+1)),IF(N(G836)&gt;=MAX(1,N(E836)),"Conferido","Conferido até aqui"),"A conferir")))</f>
        <v/>
      </c>
      <c r="S836" s="51">
        <f>IF(R836="A conferir",(Config!$B$8-L836)*1000+N(F836)/1000+ROW()/100000,0)</f>
        <v>0</v>
      </c>
      <c r="T836" s="51">
        <f>IF(R836="A conferir",N(N836),0)</f>
        <v>0</v>
      </c>
      <c r="U836" s="51">
        <f>IF(L836="",0,L836)</f>
        <v>0</v>
      </c>
      <c r="V836" s="51">
        <f>IF(L836="",0,MAX(1,N(E836)))</f>
        <v>0</v>
      </c>
      <c r="W836" s="51">
        <f>IF(K836="",0,K836)</f>
        <v>0</v>
      </c>
    </row>
    <row r="837">
      <c r="A837" s="49" t="n"/>
      <c r="B837" s="41" t="n"/>
      <c r="C837" s="41" t="n"/>
      <c r="D837" s="42" t="n"/>
      <c r="E837" s="42" t="n"/>
      <c r="F837" s="50" t="n"/>
      <c r="G837" s="42" t="n"/>
      <c r="H837" s="30">
        <f>IF(D837="","",IFERROR(INDEX(Config!$B$12:$B$15,MATCH(IF(AND(D837="Cartão de crédito",N(E837)&gt;1),"Cartão de crédito parcelado",D837),Config!$A$12:$A$15,0)),0)+IF(AND(Config!$B$17="Sim",LEFT(D837,17)="Cartão de crédito"),Config!$B$18*IFERROR(INDEX(Config!$C$12:$C$15,MATCH(IF(AND(D837="Cartão de crédito",N(E837)&gt;1),"Cartão de crédito parcelado",D837),Config!$A$12:$A$15,0)),0)/30*MAX(1,N(E837)),0))</f>
        <v/>
      </c>
      <c r="I837" s="29">
        <f>IF(OR(D837="",F837=""),"",ROUND(F837*H837,2))</f>
        <v/>
      </c>
      <c r="J837" s="29">
        <f>IF(I837="","",F837-I837)</f>
        <v/>
      </c>
      <c r="K837" s="29">
        <f>IF(J837="","",J837/MAX(1,N(E837)))</f>
        <v/>
      </c>
      <c r="L837" s="37">
        <f>IF(OR(D837="",A837=""),"",A837+IF(AND(Config!$B$17="Sim",LEFT(D837,17)="Cartão de crédito"),1,IFERROR(INDEX(Config!$C$12:$C$15,MATCH(IF(AND(D837="Cartão de crédito",N(E837)&gt;1),"Cartão de crédito parcelado",D837),Config!$A$12:$A$15,0)),0)))</f>
        <v/>
      </c>
      <c r="M837" s="37">
        <f>IF(L837="","",IF(AND(Config!$B$17="Sim",LEFT(D837,17)="Cartão de crédito"),L837,L837+30*(MAX(1,N(E837))-1)))</f>
        <v/>
      </c>
      <c r="N837" s="29">
        <f>IF(OR(L837="",K837=""),"",K837*MIN(MAX(1,N(E837)),MAX(0,INT((Config!$B$8-L837)/30)+1)))</f>
        <v/>
      </c>
      <c r="O837" s="29">
        <f>IF(J837="","",J837-N(N837))</f>
        <v/>
      </c>
      <c r="P837" s="27">
        <f>IF(A837="","",MONTH(A837))</f>
        <v/>
      </c>
      <c r="Q837" s="27">
        <f>IF(A837="","",YEAR(A837))</f>
        <v/>
      </c>
      <c r="R837" s="27">
        <f>IF(L837="","",IF(L837&gt;Config!$B$8,"A cair",IF(N(G837)&gt;=MIN(MAX(1,N(E837)),MAX(0,INT((Config!$B$8-L837)/30)+1)),IF(N(G837)&gt;=MAX(1,N(E837)),"Conferido","Conferido até aqui"),"A conferir")))</f>
        <v/>
      </c>
      <c r="S837" s="51">
        <f>IF(R837="A conferir",(Config!$B$8-L837)*1000+N(F837)/1000+ROW()/100000,0)</f>
        <v>0</v>
      </c>
      <c r="T837" s="51">
        <f>IF(R837="A conferir",N(N837),0)</f>
        <v>0</v>
      </c>
      <c r="U837" s="51">
        <f>IF(L837="",0,L837)</f>
        <v>0</v>
      </c>
      <c r="V837" s="51">
        <f>IF(L837="",0,MAX(1,N(E837)))</f>
        <v>0</v>
      </c>
      <c r="W837" s="51">
        <f>IF(K837="",0,K837)</f>
        <v>0</v>
      </c>
    </row>
    <row r="838">
      <c r="A838" s="49" t="n"/>
      <c r="B838" s="41" t="n"/>
      <c r="C838" s="41" t="n"/>
      <c r="D838" s="42" t="n"/>
      <c r="E838" s="42" t="n"/>
      <c r="F838" s="50" t="n"/>
      <c r="G838" s="42" t="n"/>
      <c r="H838" s="30">
        <f>IF(D838="","",IFERROR(INDEX(Config!$B$12:$B$15,MATCH(IF(AND(D838="Cartão de crédito",N(E838)&gt;1),"Cartão de crédito parcelado",D838),Config!$A$12:$A$15,0)),0)+IF(AND(Config!$B$17="Sim",LEFT(D838,17)="Cartão de crédito"),Config!$B$18*IFERROR(INDEX(Config!$C$12:$C$15,MATCH(IF(AND(D838="Cartão de crédito",N(E838)&gt;1),"Cartão de crédito parcelado",D838),Config!$A$12:$A$15,0)),0)/30*MAX(1,N(E838)),0))</f>
        <v/>
      </c>
      <c r="I838" s="29">
        <f>IF(OR(D838="",F838=""),"",ROUND(F838*H838,2))</f>
        <v/>
      </c>
      <c r="J838" s="29">
        <f>IF(I838="","",F838-I838)</f>
        <v/>
      </c>
      <c r="K838" s="29">
        <f>IF(J838="","",J838/MAX(1,N(E838)))</f>
        <v/>
      </c>
      <c r="L838" s="37">
        <f>IF(OR(D838="",A838=""),"",A838+IF(AND(Config!$B$17="Sim",LEFT(D838,17)="Cartão de crédito"),1,IFERROR(INDEX(Config!$C$12:$C$15,MATCH(IF(AND(D838="Cartão de crédito",N(E838)&gt;1),"Cartão de crédito parcelado",D838),Config!$A$12:$A$15,0)),0)))</f>
        <v/>
      </c>
      <c r="M838" s="37">
        <f>IF(L838="","",IF(AND(Config!$B$17="Sim",LEFT(D838,17)="Cartão de crédito"),L838,L838+30*(MAX(1,N(E838))-1)))</f>
        <v/>
      </c>
      <c r="N838" s="29">
        <f>IF(OR(L838="",K838=""),"",K838*MIN(MAX(1,N(E838)),MAX(0,INT((Config!$B$8-L838)/30)+1)))</f>
        <v/>
      </c>
      <c r="O838" s="29">
        <f>IF(J838="","",J838-N(N838))</f>
        <v/>
      </c>
      <c r="P838" s="27">
        <f>IF(A838="","",MONTH(A838))</f>
        <v/>
      </c>
      <c r="Q838" s="27">
        <f>IF(A838="","",YEAR(A838))</f>
        <v/>
      </c>
      <c r="R838" s="27">
        <f>IF(L838="","",IF(L838&gt;Config!$B$8,"A cair",IF(N(G838)&gt;=MIN(MAX(1,N(E838)),MAX(0,INT((Config!$B$8-L838)/30)+1)),IF(N(G838)&gt;=MAX(1,N(E838)),"Conferido","Conferido até aqui"),"A conferir")))</f>
        <v/>
      </c>
      <c r="S838" s="51">
        <f>IF(R838="A conferir",(Config!$B$8-L838)*1000+N(F838)/1000+ROW()/100000,0)</f>
        <v>0</v>
      </c>
      <c r="T838" s="51">
        <f>IF(R838="A conferir",N(N838),0)</f>
        <v>0</v>
      </c>
      <c r="U838" s="51">
        <f>IF(L838="",0,L838)</f>
        <v>0</v>
      </c>
      <c r="V838" s="51">
        <f>IF(L838="",0,MAX(1,N(E838)))</f>
        <v>0</v>
      </c>
      <c r="W838" s="51">
        <f>IF(K838="",0,K838)</f>
        <v>0</v>
      </c>
    </row>
    <row r="839">
      <c r="A839" s="49" t="n"/>
      <c r="B839" s="41" t="n"/>
      <c r="C839" s="41" t="n"/>
      <c r="D839" s="42" t="n"/>
      <c r="E839" s="42" t="n"/>
      <c r="F839" s="50" t="n"/>
      <c r="G839" s="42" t="n"/>
      <c r="H839" s="30">
        <f>IF(D839="","",IFERROR(INDEX(Config!$B$12:$B$15,MATCH(IF(AND(D839="Cartão de crédito",N(E839)&gt;1),"Cartão de crédito parcelado",D839),Config!$A$12:$A$15,0)),0)+IF(AND(Config!$B$17="Sim",LEFT(D839,17)="Cartão de crédito"),Config!$B$18*IFERROR(INDEX(Config!$C$12:$C$15,MATCH(IF(AND(D839="Cartão de crédito",N(E839)&gt;1),"Cartão de crédito parcelado",D839),Config!$A$12:$A$15,0)),0)/30*MAX(1,N(E839)),0))</f>
        <v/>
      </c>
      <c r="I839" s="29">
        <f>IF(OR(D839="",F839=""),"",ROUND(F839*H839,2))</f>
        <v/>
      </c>
      <c r="J839" s="29">
        <f>IF(I839="","",F839-I839)</f>
        <v/>
      </c>
      <c r="K839" s="29">
        <f>IF(J839="","",J839/MAX(1,N(E839)))</f>
        <v/>
      </c>
      <c r="L839" s="37">
        <f>IF(OR(D839="",A839=""),"",A839+IF(AND(Config!$B$17="Sim",LEFT(D839,17)="Cartão de crédito"),1,IFERROR(INDEX(Config!$C$12:$C$15,MATCH(IF(AND(D839="Cartão de crédito",N(E839)&gt;1),"Cartão de crédito parcelado",D839),Config!$A$12:$A$15,0)),0)))</f>
        <v/>
      </c>
      <c r="M839" s="37">
        <f>IF(L839="","",IF(AND(Config!$B$17="Sim",LEFT(D839,17)="Cartão de crédito"),L839,L839+30*(MAX(1,N(E839))-1)))</f>
        <v/>
      </c>
      <c r="N839" s="29">
        <f>IF(OR(L839="",K839=""),"",K839*MIN(MAX(1,N(E839)),MAX(0,INT((Config!$B$8-L839)/30)+1)))</f>
        <v/>
      </c>
      <c r="O839" s="29">
        <f>IF(J839="","",J839-N(N839))</f>
        <v/>
      </c>
      <c r="P839" s="27">
        <f>IF(A839="","",MONTH(A839))</f>
        <v/>
      </c>
      <c r="Q839" s="27">
        <f>IF(A839="","",YEAR(A839))</f>
        <v/>
      </c>
      <c r="R839" s="27">
        <f>IF(L839="","",IF(L839&gt;Config!$B$8,"A cair",IF(N(G839)&gt;=MIN(MAX(1,N(E839)),MAX(0,INT((Config!$B$8-L839)/30)+1)),IF(N(G839)&gt;=MAX(1,N(E839)),"Conferido","Conferido até aqui"),"A conferir")))</f>
        <v/>
      </c>
      <c r="S839" s="51">
        <f>IF(R839="A conferir",(Config!$B$8-L839)*1000+N(F839)/1000+ROW()/100000,0)</f>
        <v>0</v>
      </c>
      <c r="T839" s="51">
        <f>IF(R839="A conferir",N(N839),0)</f>
        <v>0</v>
      </c>
      <c r="U839" s="51">
        <f>IF(L839="",0,L839)</f>
        <v>0</v>
      </c>
      <c r="V839" s="51">
        <f>IF(L839="",0,MAX(1,N(E839)))</f>
        <v>0</v>
      </c>
      <c r="W839" s="51">
        <f>IF(K839="",0,K839)</f>
        <v>0</v>
      </c>
    </row>
    <row r="840">
      <c r="A840" s="49" t="n"/>
      <c r="B840" s="41" t="n"/>
      <c r="C840" s="41" t="n"/>
      <c r="D840" s="42" t="n"/>
      <c r="E840" s="42" t="n"/>
      <c r="F840" s="50" t="n"/>
      <c r="G840" s="42" t="n"/>
      <c r="H840" s="30">
        <f>IF(D840="","",IFERROR(INDEX(Config!$B$12:$B$15,MATCH(IF(AND(D840="Cartão de crédito",N(E840)&gt;1),"Cartão de crédito parcelado",D840),Config!$A$12:$A$15,0)),0)+IF(AND(Config!$B$17="Sim",LEFT(D840,17)="Cartão de crédito"),Config!$B$18*IFERROR(INDEX(Config!$C$12:$C$15,MATCH(IF(AND(D840="Cartão de crédito",N(E840)&gt;1),"Cartão de crédito parcelado",D840),Config!$A$12:$A$15,0)),0)/30*MAX(1,N(E840)),0))</f>
        <v/>
      </c>
      <c r="I840" s="29">
        <f>IF(OR(D840="",F840=""),"",ROUND(F840*H840,2))</f>
        <v/>
      </c>
      <c r="J840" s="29">
        <f>IF(I840="","",F840-I840)</f>
        <v/>
      </c>
      <c r="K840" s="29">
        <f>IF(J840="","",J840/MAX(1,N(E840)))</f>
        <v/>
      </c>
      <c r="L840" s="37">
        <f>IF(OR(D840="",A840=""),"",A840+IF(AND(Config!$B$17="Sim",LEFT(D840,17)="Cartão de crédito"),1,IFERROR(INDEX(Config!$C$12:$C$15,MATCH(IF(AND(D840="Cartão de crédito",N(E840)&gt;1),"Cartão de crédito parcelado",D840),Config!$A$12:$A$15,0)),0)))</f>
        <v/>
      </c>
      <c r="M840" s="37">
        <f>IF(L840="","",IF(AND(Config!$B$17="Sim",LEFT(D840,17)="Cartão de crédito"),L840,L840+30*(MAX(1,N(E840))-1)))</f>
        <v/>
      </c>
      <c r="N840" s="29">
        <f>IF(OR(L840="",K840=""),"",K840*MIN(MAX(1,N(E840)),MAX(0,INT((Config!$B$8-L840)/30)+1)))</f>
        <v/>
      </c>
      <c r="O840" s="29">
        <f>IF(J840="","",J840-N(N840))</f>
        <v/>
      </c>
      <c r="P840" s="27">
        <f>IF(A840="","",MONTH(A840))</f>
        <v/>
      </c>
      <c r="Q840" s="27">
        <f>IF(A840="","",YEAR(A840))</f>
        <v/>
      </c>
      <c r="R840" s="27">
        <f>IF(L840="","",IF(L840&gt;Config!$B$8,"A cair",IF(N(G840)&gt;=MIN(MAX(1,N(E840)),MAX(0,INT((Config!$B$8-L840)/30)+1)),IF(N(G840)&gt;=MAX(1,N(E840)),"Conferido","Conferido até aqui"),"A conferir")))</f>
        <v/>
      </c>
      <c r="S840" s="51">
        <f>IF(R840="A conferir",(Config!$B$8-L840)*1000+N(F840)/1000+ROW()/100000,0)</f>
        <v>0</v>
      </c>
      <c r="T840" s="51">
        <f>IF(R840="A conferir",N(N840),0)</f>
        <v>0</v>
      </c>
      <c r="U840" s="51">
        <f>IF(L840="",0,L840)</f>
        <v>0</v>
      </c>
      <c r="V840" s="51">
        <f>IF(L840="",0,MAX(1,N(E840)))</f>
        <v>0</v>
      </c>
      <c r="W840" s="51">
        <f>IF(K840="",0,K840)</f>
        <v>0</v>
      </c>
    </row>
    <row r="841">
      <c r="A841" s="49" t="n"/>
      <c r="B841" s="41" t="n"/>
      <c r="C841" s="41" t="n"/>
      <c r="D841" s="42" t="n"/>
      <c r="E841" s="42" t="n"/>
      <c r="F841" s="50" t="n"/>
      <c r="G841" s="42" t="n"/>
      <c r="H841" s="30">
        <f>IF(D841="","",IFERROR(INDEX(Config!$B$12:$B$15,MATCH(IF(AND(D841="Cartão de crédito",N(E841)&gt;1),"Cartão de crédito parcelado",D841),Config!$A$12:$A$15,0)),0)+IF(AND(Config!$B$17="Sim",LEFT(D841,17)="Cartão de crédito"),Config!$B$18*IFERROR(INDEX(Config!$C$12:$C$15,MATCH(IF(AND(D841="Cartão de crédito",N(E841)&gt;1),"Cartão de crédito parcelado",D841),Config!$A$12:$A$15,0)),0)/30*MAX(1,N(E841)),0))</f>
        <v/>
      </c>
      <c r="I841" s="29">
        <f>IF(OR(D841="",F841=""),"",ROUND(F841*H841,2))</f>
        <v/>
      </c>
      <c r="J841" s="29">
        <f>IF(I841="","",F841-I841)</f>
        <v/>
      </c>
      <c r="K841" s="29">
        <f>IF(J841="","",J841/MAX(1,N(E841)))</f>
        <v/>
      </c>
      <c r="L841" s="37">
        <f>IF(OR(D841="",A841=""),"",A841+IF(AND(Config!$B$17="Sim",LEFT(D841,17)="Cartão de crédito"),1,IFERROR(INDEX(Config!$C$12:$C$15,MATCH(IF(AND(D841="Cartão de crédito",N(E841)&gt;1),"Cartão de crédito parcelado",D841),Config!$A$12:$A$15,0)),0)))</f>
        <v/>
      </c>
      <c r="M841" s="37">
        <f>IF(L841="","",IF(AND(Config!$B$17="Sim",LEFT(D841,17)="Cartão de crédito"),L841,L841+30*(MAX(1,N(E841))-1)))</f>
        <v/>
      </c>
      <c r="N841" s="29">
        <f>IF(OR(L841="",K841=""),"",K841*MIN(MAX(1,N(E841)),MAX(0,INT((Config!$B$8-L841)/30)+1)))</f>
        <v/>
      </c>
      <c r="O841" s="29">
        <f>IF(J841="","",J841-N(N841))</f>
        <v/>
      </c>
      <c r="P841" s="27">
        <f>IF(A841="","",MONTH(A841))</f>
        <v/>
      </c>
      <c r="Q841" s="27">
        <f>IF(A841="","",YEAR(A841))</f>
        <v/>
      </c>
      <c r="R841" s="27">
        <f>IF(L841="","",IF(L841&gt;Config!$B$8,"A cair",IF(N(G841)&gt;=MIN(MAX(1,N(E841)),MAX(0,INT((Config!$B$8-L841)/30)+1)),IF(N(G841)&gt;=MAX(1,N(E841)),"Conferido","Conferido até aqui"),"A conferir")))</f>
        <v/>
      </c>
      <c r="S841" s="51">
        <f>IF(R841="A conferir",(Config!$B$8-L841)*1000+N(F841)/1000+ROW()/100000,0)</f>
        <v>0</v>
      </c>
      <c r="T841" s="51">
        <f>IF(R841="A conferir",N(N841),0)</f>
        <v>0</v>
      </c>
      <c r="U841" s="51">
        <f>IF(L841="",0,L841)</f>
        <v>0</v>
      </c>
      <c r="V841" s="51">
        <f>IF(L841="",0,MAX(1,N(E841)))</f>
        <v>0</v>
      </c>
      <c r="W841" s="51">
        <f>IF(K841="",0,K841)</f>
        <v>0</v>
      </c>
    </row>
    <row r="842">
      <c r="A842" s="49" t="n"/>
      <c r="B842" s="41" t="n"/>
      <c r="C842" s="41" t="n"/>
      <c r="D842" s="42" t="n"/>
      <c r="E842" s="42" t="n"/>
      <c r="F842" s="50" t="n"/>
      <c r="G842" s="42" t="n"/>
      <c r="H842" s="30">
        <f>IF(D842="","",IFERROR(INDEX(Config!$B$12:$B$15,MATCH(IF(AND(D842="Cartão de crédito",N(E842)&gt;1),"Cartão de crédito parcelado",D842),Config!$A$12:$A$15,0)),0)+IF(AND(Config!$B$17="Sim",LEFT(D842,17)="Cartão de crédito"),Config!$B$18*IFERROR(INDEX(Config!$C$12:$C$15,MATCH(IF(AND(D842="Cartão de crédito",N(E842)&gt;1),"Cartão de crédito parcelado",D842),Config!$A$12:$A$15,0)),0)/30*MAX(1,N(E842)),0))</f>
        <v/>
      </c>
      <c r="I842" s="29">
        <f>IF(OR(D842="",F842=""),"",ROUND(F842*H842,2))</f>
        <v/>
      </c>
      <c r="J842" s="29">
        <f>IF(I842="","",F842-I842)</f>
        <v/>
      </c>
      <c r="K842" s="29">
        <f>IF(J842="","",J842/MAX(1,N(E842)))</f>
        <v/>
      </c>
      <c r="L842" s="37">
        <f>IF(OR(D842="",A842=""),"",A842+IF(AND(Config!$B$17="Sim",LEFT(D842,17)="Cartão de crédito"),1,IFERROR(INDEX(Config!$C$12:$C$15,MATCH(IF(AND(D842="Cartão de crédito",N(E842)&gt;1),"Cartão de crédito parcelado",D842),Config!$A$12:$A$15,0)),0)))</f>
        <v/>
      </c>
      <c r="M842" s="37">
        <f>IF(L842="","",IF(AND(Config!$B$17="Sim",LEFT(D842,17)="Cartão de crédito"),L842,L842+30*(MAX(1,N(E842))-1)))</f>
        <v/>
      </c>
      <c r="N842" s="29">
        <f>IF(OR(L842="",K842=""),"",K842*MIN(MAX(1,N(E842)),MAX(0,INT((Config!$B$8-L842)/30)+1)))</f>
        <v/>
      </c>
      <c r="O842" s="29">
        <f>IF(J842="","",J842-N(N842))</f>
        <v/>
      </c>
      <c r="P842" s="27">
        <f>IF(A842="","",MONTH(A842))</f>
        <v/>
      </c>
      <c r="Q842" s="27">
        <f>IF(A842="","",YEAR(A842))</f>
        <v/>
      </c>
      <c r="R842" s="27">
        <f>IF(L842="","",IF(L842&gt;Config!$B$8,"A cair",IF(N(G842)&gt;=MIN(MAX(1,N(E842)),MAX(0,INT((Config!$B$8-L842)/30)+1)),IF(N(G842)&gt;=MAX(1,N(E842)),"Conferido","Conferido até aqui"),"A conferir")))</f>
        <v/>
      </c>
      <c r="S842" s="51">
        <f>IF(R842="A conferir",(Config!$B$8-L842)*1000+N(F842)/1000+ROW()/100000,0)</f>
        <v>0</v>
      </c>
      <c r="T842" s="51">
        <f>IF(R842="A conferir",N(N842),0)</f>
        <v>0</v>
      </c>
      <c r="U842" s="51">
        <f>IF(L842="",0,L842)</f>
        <v>0</v>
      </c>
      <c r="V842" s="51">
        <f>IF(L842="",0,MAX(1,N(E842)))</f>
        <v>0</v>
      </c>
      <c r="W842" s="51">
        <f>IF(K842="",0,K842)</f>
        <v>0</v>
      </c>
    </row>
    <row r="843">
      <c r="A843" s="49" t="n"/>
      <c r="B843" s="41" t="n"/>
      <c r="C843" s="41" t="n"/>
      <c r="D843" s="42" t="n"/>
      <c r="E843" s="42" t="n"/>
      <c r="F843" s="50" t="n"/>
      <c r="G843" s="42" t="n"/>
      <c r="H843" s="30">
        <f>IF(D843="","",IFERROR(INDEX(Config!$B$12:$B$15,MATCH(IF(AND(D843="Cartão de crédito",N(E843)&gt;1),"Cartão de crédito parcelado",D843),Config!$A$12:$A$15,0)),0)+IF(AND(Config!$B$17="Sim",LEFT(D843,17)="Cartão de crédito"),Config!$B$18*IFERROR(INDEX(Config!$C$12:$C$15,MATCH(IF(AND(D843="Cartão de crédito",N(E843)&gt;1),"Cartão de crédito parcelado",D843),Config!$A$12:$A$15,0)),0)/30*MAX(1,N(E843)),0))</f>
        <v/>
      </c>
      <c r="I843" s="29">
        <f>IF(OR(D843="",F843=""),"",ROUND(F843*H843,2))</f>
        <v/>
      </c>
      <c r="J843" s="29">
        <f>IF(I843="","",F843-I843)</f>
        <v/>
      </c>
      <c r="K843" s="29">
        <f>IF(J843="","",J843/MAX(1,N(E843)))</f>
        <v/>
      </c>
      <c r="L843" s="37">
        <f>IF(OR(D843="",A843=""),"",A843+IF(AND(Config!$B$17="Sim",LEFT(D843,17)="Cartão de crédito"),1,IFERROR(INDEX(Config!$C$12:$C$15,MATCH(IF(AND(D843="Cartão de crédito",N(E843)&gt;1),"Cartão de crédito parcelado",D843),Config!$A$12:$A$15,0)),0)))</f>
        <v/>
      </c>
      <c r="M843" s="37">
        <f>IF(L843="","",IF(AND(Config!$B$17="Sim",LEFT(D843,17)="Cartão de crédito"),L843,L843+30*(MAX(1,N(E843))-1)))</f>
        <v/>
      </c>
      <c r="N843" s="29">
        <f>IF(OR(L843="",K843=""),"",K843*MIN(MAX(1,N(E843)),MAX(0,INT((Config!$B$8-L843)/30)+1)))</f>
        <v/>
      </c>
      <c r="O843" s="29">
        <f>IF(J843="","",J843-N(N843))</f>
        <v/>
      </c>
      <c r="P843" s="27">
        <f>IF(A843="","",MONTH(A843))</f>
        <v/>
      </c>
      <c r="Q843" s="27">
        <f>IF(A843="","",YEAR(A843))</f>
        <v/>
      </c>
      <c r="R843" s="27">
        <f>IF(L843="","",IF(L843&gt;Config!$B$8,"A cair",IF(N(G843)&gt;=MIN(MAX(1,N(E843)),MAX(0,INT((Config!$B$8-L843)/30)+1)),IF(N(G843)&gt;=MAX(1,N(E843)),"Conferido","Conferido até aqui"),"A conferir")))</f>
        <v/>
      </c>
      <c r="S843" s="51">
        <f>IF(R843="A conferir",(Config!$B$8-L843)*1000+N(F843)/1000+ROW()/100000,0)</f>
        <v>0</v>
      </c>
      <c r="T843" s="51">
        <f>IF(R843="A conferir",N(N843),0)</f>
        <v>0</v>
      </c>
      <c r="U843" s="51">
        <f>IF(L843="",0,L843)</f>
        <v>0</v>
      </c>
      <c r="V843" s="51">
        <f>IF(L843="",0,MAX(1,N(E843)))</f>
        <v>0</v>
      </c>
      <c r="W843" s="51">
        <f>IF(K843="",0,K843)</f>
        <v>0</v>
      </c>
    </row>
    <row r="844">
      <c r="A844" s="49" t="n"/>
      <c r="B844" s="41" t="n"/>
      <c r="C844" s="41" t="n"/>
      <c r="D844" s="42" t="n"/>
      <c r="E844" s="42" t="n"/>
      <c r="F844" s="50" t="n"/>
      <c r="G844" s="42" t="n"/>
      <c r="H844" s="30">
        <f>IF(D844="","",IFERROR(INDEX(Config!$B$12:$B$15,MATCH(IF(AND(D844="Cartão de crédito",N(E844)&gt;1),"Cartão de crédito parcelado",D844),Config!$A$12:$A$15,0)),0)+IF(AND(Config!$B$17="Sim",LEFT(D844,17)="Cartão de crédito"),Config!$B$18*IFERROR(INDEX(Config!$C$12:$C$15,MATCH(IF(AND(D844="Cartão de crédito",N(E844)&gt;1),"Cartão de crédito parcelado",D844),Config!$A$12:$A$15,0)),0)/30*MAX(1,N(E844)),0))</f>
        <v/>
      </c>
      <c r="I844" s="29">
        <f>IF(OR(D844="",F844=""),"",ROUND(F844*H844,2))</f>
        <v/>
      </c>
      <c r="J844" s="29">
        <f>IF(I844="","",F844-I844)</f>
        <v/>
      </c>
      <c r="K844" s="29">
        <f>IF(J844="","",J844/MAX(1,N(E844)))</f>
        <v/>
      </c>
      <c r="L844" s="37">
        <f>IF(OR(D844="",A844=""),"",A844+IF(AND(Config!$B$17="Sim",LEFT(D844,17)="Cartão de crédito"),1,IFERROR(INDEX(Config!$C$12:$C$15,MATCH(IF(AND(D844="Cartão de crédito",N(E844)&gt;1),"Cartão de crédito parcelado",D844),Config!$A$12:$A$15,0)),0)))</f>
        <v/>
      </c>
      <c r="M844" s="37">
        <f>IF(L844="","",IF(AND(Config!$B$17="Sim",LEFT(D844,17)="Cartão de crédito"),L844,L844+30*(MAX(1,N(E844))-1)))</f>
        <v/>
      </c>
      <c r="N844" s="29">
        <f>IF(OR(L844="",K844=""),"",K844*MIN(MAX(1,N(E844)),MAX(0,INT((Config!$B$8-L844)/30)+1)))</f>
        <v/>
      </c>
      <c r="O844" s="29">
        <f>IF(J844="","",J844-N(N844))</f>
        <v/>
      </c>
      <c r="P844" s="27">
        <f>IF(A844="","",MONTH(A844))</f>
        <v/>
      </c>
      <c r="Q844" s="27">
        <f>IF(A844="","",YEAR(A844))</f>
        <v/>
      </c>
      <c r="R844" s="27">
        <f>IF(L844="","",IF(L844&gt;Config!$B$8,"A cair",IF(N(G844)&gt;=MIN(MAX(1,N(E844)),MAX(0,INT((Config!$B$8-L844)/30)+1)),IF(N(G844)&gt;=MAX(1,N(E844)),"Conferido","Conferido até aqui"),"A conferir")))</f>
        <v/>
      </c>
      <c r="S844" s="51">
        <f>IF(R844="A conferir",(Config!$B$8-L844)*1000+N(F844)/1000+ROW()/100000,0)</f>
        <v>0</v>
      </c>
      <c r="T844" s="51">
        <f>IF(R844="A conferir",N(N844),0)</f>
        <v>0</v>
      </c>
      <c r="U844" s="51">
        <f>IF(L844="",0,L844)</f>
        <v>0</v>
      </c>
      <c r="V844" s="51">
        <f>IF(L844="",0,MAX(1,N(E844)))</f>
        <v>0</v>
      </c>
      <c r="W844" s="51">
        <f>IF(K844="",0,K844)</f>
        <v>0</v>
      </c>
    </row>
    <row r="845">
      <c r="A845" s="49" t="n"/>
      <c r="B845" s="41" t="n"/>
      <c r="C845" s="41" t="n"/>
      <c r="D845" s="42" t="n"/>
      <c r="E845" s="42" t="n"/>
      <c r="F845" s="50" t="n"/>
      <c r="G845" s="42" t="n"/>
      <c r="H845" s="30">
        <f>IF(D845="","",IFERROR(INDEX(Config!$B$12:$B$15,MATCH(IF(AND(D845="Cartão de crédito",N(E845)&gt;1),"Cartão de crédito parcelado",D845),Config!$A$12:$A$15,0)),0)+IF(AND(Config!$B$17="Sim",LEFT(D845,17)="Cartão de crédito"),Config!$B$18*IFERROR(INDEX(Config!$C$12:$C$15,MATCH(IF(AND(D845="Cartão de crédito",N(E845)&gt;1),"Cartão de crédito parcelado",D845),Config!$A$12:$A$15,0)),0)/30*MAX(1,N(E845)),0))</f>
        <v/>
      </c>
      <c r="I845" s="29">
        <f>IF(OR(D845="",F845=""),"",ROUND(F845*H845,2))</f>
        <v/>
      </c>
      <c r="J845" s="29">
        <f>IF(I845="","",F845-I845)</f>
        <v/>
      </c>
      <c r="K845" s="29">
        <f>IF(J845="","",J845/MAX(1,N(E845)))</f>
        <v/>
      </c>
      <c r="L845" s="37">
        <f>IF(OR(D845="",A845=""),"",A845+IF(AND(Config!$B$17="Sim",LEFT(D845,17)="Cartão de crédito"),1,IFERROR(INDEX(Config!$C$12:$C$15,MATCH(IF(AND(D845="Cartão de crédito",N(E845)&gt;1),"Cartão de crédito parcelado",D845),Config!$A$12:$A$15,0)),0)))</f>
        <v/>
      </c>
      <c r="M845" s="37">
        <f>IF(L845="","",IF(AND(Config!$B$17="Sim",LEFT(D845,17)="Cartão de crédito"),L845,L845+30*(MAX(1,N(E845))-1)))</f>
        <v/>
      </c>
      <c r="N845" s="29">
        <f>IF(OR(L845="",K845=""),"",K845*MIN(MAX(1,N(E845)),MAX(0,INT((Config!$B$8-L845)/30)+1)))</f>
        <v/>
      </c>
      <c r="O845" s="29">
        <f>IF(J845="","",J845-N(N845))</f>
        <v/>
      </c>
      <c r="P845" s="27">
        <f>IF(A845="","",MONTH(A845))</f>
        <v/>
      </c>
      <c r="Q845" s="27">
        <f>IF(A845="","",YEAR(A845))</f>
        <v/>
      </c>
      <c r="R845" s="27">
        <f>IF(L845="","",IF(L845&gt;Config!$B$8,"A cair",IF(N(G845)&gt;=MIN(MAX(1,N(E845)),MAX(0,INT((Config!$B$8-L845)/30)+1)),IF(N(G845)&gt;=MAX(1,N(E845)),"Conferido","Conferido até aqui"),"A conferir")))</f>
        <v/>
      </c>
      <c r="S845" s="51">
        <f>IF(R845="A conferir",(Config!$B$8-L845)*1000+N(F845)/1000+ROW()/100000,0)</f>
        <v>0</v>
      </c>
      <c r="T845" s="51">
        <f>IF(R845="A conferir",N(N845),0)</f>
        <v>0</v>
      </c>
      <c r="U845" s="51">
        <f>IF(L845="",0,L845)</f>
        <v>0</v>
      </c>
      <c r="V845" s="51">
        <f>IF(L845="",0,MAX(1,N(E845)))</f>
        <v>0</v>
      </c>
      <c r="W845" s="51">
        <f>IF(K845="",0,K845)</f>
        <v>0</v>
      </c>
    </row>
    <row r="846">
      <c r="A846" s="49" t="n"/>
      <c r="B846" s="41" t="n"/>
      <c r="C846" s="41" t="n"/>
      <c r="D846" s="42" t="n"/>
      <c r="E846" s="42" t="n"/>
      <c r="F846" s="50" t="n"/>
      <c r="G846" s="42" t="n"/>
      <c r="H846" s="30">
        <f>IF(D846="","",IFERROR(INDEX(Config!$B$12:$B$15,MATCH(IF(AND(D846="Cartão de crédito",N(E846)&gt;1),"Cartão de crédito parcelado",D846),Config!$A$12:$A$15,0)),0)+IF(AND(Config!$B$17="Sim",LEFT(D846,17)="Cartão de crédito"),Config!$B$18*IFERROR(INDEX(Config!$C$12:$C$15,MATCH(IF(AND(D846="Cartão de crédito",N(E846)&gt;1),"Cartão de crédito parcelado",D846),Config!$A$12:$A$15,0)),0)/30*MAX(1,N(E846)),0))</f>
        <v/>
      </c>
      <c r="I846" s="29">
        <f>IF(OR(D846="",F846=""),"",ROUND(F846*H846,2))</f>
        <v/>
      </c>
      <c r="J846" s="29">
        <f>IF(I846="","",F846-I846)</f>
        <v/>
      </c>
      <c r="K846" s="29">
        <f>IF(J846="","",J846/MAX(1,N(E846)))</f>
        <v/>
      </c>
      <c r="L846" s="37">
        <f>IF(OR(D846="",A846=""),"",A846+IF(AND(Config!$B$17="Sim",LEFT(D846,17)="Cartão de crédito"),1,IFERROR(INDEX(Config!$C$12:$C$15,MATCH(IF(AND(D846="Cartão de crédito",N(E846)&gt;1),"Cartão de crédito parcelado",D846),Config!$A$12:$A$15,0)),0)))</f>
        <v/>
      </c>
      <c r="M846" s="37">
        <f>IF(L846="","",IF(AND(Config!$B$17="Sim",LEFT(D846,17)="Cartão de crédito"),L846,L846+30*(MAX(1,N(E846))-1)))</f>
        <v/>
      </c>
      <c r="N846" s="29">
        <f>IF(OR(L846="",K846=""),"",K846*MIN(MAX(1,N(E846)),MAX(0,INT((Config!$B$8-L846)/30)+1)))</f>
        <v/>
      </c>
      <c r="O846" s="29">
        <f>IF(J846="","",J846-N(N846))</f>
        <v/>
      </c>
      <c r="P846" s="27">
        <f>IF(A846="","",MONTH(A846))</f>
        <v/>
      </c>
      <c r="Q846" s="27">
        <f>IF(A846="","",YEAR(A846))</f>
        <v/>
      </c>
      <c r="R846" s="27">
        <f>IF(L846="","",IF(L846&gt;Config!$B$8,"A cair",IF(N(G846)&gt;=MIN(MAX(1,N(E846)),MAX(0,INT((Config!$B$8-L846)/30)+1)),IF(N(G846)&gt;=MAX(1,N(E846)),"Conferido","Conferido até aqui"),"A conferir")))</f>
        <v/>
      </c>
      <c r="S846" s="51">
        <f>IF(R846="A conferir",(Config!$B$8-L846)*1000+N(F846)/1000+ROW()/100000,0)</f>
        <v>0</v>
      </c>
      <c r="T846" s="51">
        <f>IF(R846="A conferir",N(N846),0)</f>
        <v>0</v>
      </c>
      <c r="U846" s="51">
        <f>IF(L846="",0,L846)</f>
        <v>0</v>
      </c>
      <c r="V846" s="51">
        <f>IF(L846="",0,MAX(1,N(E846)))</f>
        <v>0</v>
      </c>
      <c r="W846" s="51">
        <f>IF(K846="",0,K846)</f>
        <v>0</v>
      </c>
    </row>
    <row r="847">
      <c r="A847" s="49" t="n"/>
      <c r="B847" s="41" t="n"/>
      <c r="C847" s="41" t="n"/>
      <c r="D847" s="42" t="n"/>
      <c r="E847" s="42" t="n"/>
      <c r="F847" s="50" t="n"/>
      <c r="G847" s="42" t="n"/>
      <c r="H847" s="30">
        <f>IF(D847="","",IFERROR(INDEX(Config!$B$12:$B$15,MATCH(IF(AND(D847="Cartão de crédito",N(E847)&gt;1),"Cartão de crédito parcelado",D847),Config!$A$12:$A$15,0)),0)+IF(AND(Config!$B$17="Sim",LEFT(D847,17)="Cartão de crédito"),Config!$B$18*IFERROR(INDEX(Config!$C$12:$C$15,MATCH(IF(AND(D847="Cartão de crédito",N(E847)&gt;1),"Cartão de crédito parcelado",D847),Config!$A$12:$A$15,0)),0)/30*MAX(1,N(E847)),0))</f>
        <v/>
      </c>
      <c r="I847" s="29">
        <f>IF(OR(D847="",F847=""),"",ROUND(F847*H847,2))</f>
        <v/>
      </c>
      <c r="J847" s="29">
        <f>IF(I847="","",F847-I847)</f>
        <v/>
      </c>
      <c r="K847" s="29">
        <f>IF(J847="","",J847/MAX(1,N(E847)))</f>
        <v/>
      </c>
      <c r="L847" s="37">
        <f>IF(OR(D847="",A847=""),"",A847+IF(AND(Config!$B$17="Sim",LEFT(D847,17)="Cartão de crédito"),1,IFERROR(INDEX(Config!$C$12:$C$15,MATCH(IF(AND(D847="Cartão de crédito",N(E847)&gt;1),"Cartão de crédito parcelado",D847),Config!$A$12:$A$15,0)),0)))</f>
        <v/>
      </c>
      <c r="M847" s="37">
        <f>IF(L847="","",IF(AND(Config!$B$17="Sim",LEFT(D847,17)="Cartão de crédito"),L847,L847+30*(MAX(1,N(E847))-1)))</f>
        <v/>
      </c>
      <c r="N847" s="29">
        <f>IF(OR(L847="",K847=""),"",K847*MIN(MAX(1,N(E847)),MAX(0,INT((Config!$B$8-L847)/30)+1)))</f>
        <v/>
      </c>
      <c r="O847" s="29">
        <f>IF(J847="","",J847-N(N847))</f>
        <v/>
      </c>
      <c r="P847" s="27">
        <f>IF(A847="","",MONTH(A847))</f>
        <v/>
      </c>
      <c r="Q847" s="27">
        <f>IF(A847="","",YEAR(A847))</f>
        <v/>
      </c>
      <c r="R847" s="27">
        <f>IF(L847="","",IF(L847&gt;Config!$B$8,"A cair",IF(N(G847)&gt;=MIN(MAX(1,N(E847)),MAX(0,INT((Config!$B$8-L847)/30)+1)),IF(N(G847)&gt;=MAX(1,N(E847)),"Conferido","Conferido até aqui"),"A conferir")))</f>
        <v/>
      </c>
      <c r="S847" s="51">
        <f>IF(R847="A conferir",(Config!$B$8-L847)*1000+N(F847)/1000+ROW()/100000,0)</f>
        <v>0</v>
      </c>
      <c r="T847" s="51">
        <f>IF(R847="A conferir",N(N847),0)</f>
        <v>0</v>
      </c>
      <c r="U847" s="51">
        <f>IF(L847="",0,L847)</f>
        <v>0</v>
      </c>
      <c r="V847" s="51">
        <f>IF(L847="",0,MAX(1,N(E847)))</f>
        <v>0</v>
      </c>
      <c r="W847" s="51">
        <f>IF(K847="",0,K847)</f>
        <v>0</v>
      </c>
    </row>
    <row r="848">
      <c r="A848" s="49" t="n"/>
      <c r="B848" s="41" t="n"/>
      <c r="C848" s="41" t="n"/>
      <c r="D848" s="42" t="n"/>
      <c r="E848" s="42" t="n"/>
      <c r="F848" s="50" t="n"/>
      <c r="G848" s="42" t="n"/>
      <c r="H848" s="30">
        <f>IF(D848="","",IFERROR(INDEX(Config!$B$12:$B$15,MATCH(IF(AND(D848="Cartão de crédito",N(E848)&gt;1),"Cartão de crédito parcelado",D848),Config!$A$12:$A$15,0)),0)+IF(AND(Config!$B$17="Sim",LEFT(D848,17)="Cartão de crédito"),Config!$B$18*IFERROR(INDEX(Config!$C$12:$C$15,MATCH(IF(AND(D848="Cartão de crédito",N(E848)&gt;1),"Cartão de crédito parcelado",D848),Config!$A$12:$A$15,0)),0)/30*MAX(1,N(E848)),0))</f>
        <v/>
      </c>
      <c r="I848" s="29">
        <f>IF(OR(D848="",F848=""),"",ROUND(F848*H848,2))</f>
        <v/>
      </c>
      <c r="J848" s="29">
        <f>IF(I848="","",F848-I848)</f>
        <v/>
      </c>
      <c r="K848" s="29">
        <f>IF(J848="","",J848/MAX(1,N(E848)))</f>
        <v/>
      </c>
      <c r="L848" s="37">
        <f>IF(OR(D848="",A848=""),"",A848+IF(AND(Config!$B$17="Sim",LEFT(D848,17)="Cartão de crédito"),1,IFERROR(INDEX(Config!$C$12:$C$15,MATCH(IF(AND(D848="Cartão de crédito",N(E848)&gt;1),"Cartão de crédito parcelado",D848),Config!$A$12:$A$15,0)),0)))</f>
        <v/>
      </c>
      <c r="M848" s="37">
        <f>IF(L848="","",IF(AND(Config!$B$17="Sim",LEFT(D848,17)="Cartão de crédito"),L848,L848+30*(MAX(1,N(E848))-1)))</f>
        <v/>
      </c>
      <c r="N848" s="29">
        <f>IF(OR(L848="",K848=""),"",K848*MIN(MAX(1,N(E848)),MAX(0,INT((Config!$B$8-L848)/30)+1)))</f>
        <v/>
      </c>
      <c r="O848" s="29">
        <f>IF(J848="","",J848-N(N848))</f>
        <v/>
      </c>
      <c r="P848" s="27">
        <f>IF(A848="","",MONTH(A848))</f>
        <v/>
      </c>
      <c r="Q848" s="27">
        <f>IF(A848="","",YEAR(A848))</f>
        <v/>
      </c>
      <c r="R848" s="27">
        <f>IF(L848="","",IF(L848&gt;Config!$B$8,"A cair",IF(N(G848)&gt;=MIN(MAX(1,N(E848)),MAX(0,INT((Config!$B$8-L848)/30)+1)),IF(N(G848)&gt;=MAX(1,N(E848)),"Conferido","Conferido até aqui"),"A conferir")))</f>
        <v/>
      </c>
      <c r="S848" s="51">
        <f>IF(R848="A conferir",(Config!$B$8-L848)*1000+N(F848)/1000+ROW()/100000,0)</f>
        <v>0</v>
      </c>
      <c r="T848" s="51">
        <f>IF(R848="A conferir",N(N848),0)</f>
        <v>0</v>
      </c>
      <c r="U848" s="51">
        <f>IF(L848="",0,L848)</f>
        <v>0</v>
      </c>
      <c r="V848" s="51">
        <f>IF(L848="",0,MAX(1,N(E848)))</f>
        <v>0</v>
      </c>
      <c r="W848" s="51">
        <f>IF(K848="",0,K848)</f>
        <v>0</v>
      </c>
    </row>
    <row r="849">
      <c r="A849" s="49" t="n"/>
      <c r="B849" s="41" t="n"/>
      <c r="C849" s="41" t="n"/>
      <c r="D849" s="42" t="n"/>
      <c r="E849" s="42" t="n"/>
      <c r="F849" s="50" t="n"/>
      <c r="G849" s="42" t="n"/>
      <c r="H849" s="30">
        <f>IF(D849="","",IFERROR(INDEX(Config!$B$12:$B$15,MATCH(IF(AND(D849="Cartão de crédito",N(E849)&gt;1),"Cartão de crédito parcelado",D849),Config!$A$12:$A$15,0)),0)+IF(AND(Config!$B$17="Sim",LEFT(D849,17)="Cartão de crédito"),Config!$B$18*IFERROR(INDEX(Config!$C$12:$C$15,MATCH(IF(AND(D849="Cartão de crédito",N(E849)&gt;1),"Cartão de crédito parcelado",D849),Config!$A$12:$A$15,0)),0)/30*MAX(1,N(E849)),0))</f>
        <v/>
      </c>
      <c r="I849" s="29">
        <f>IF(OR(D849="",F849=""),"",ROUND(F849*H849,2))</f>
        <v/>
      </c>
      <c r="J849" s="29">
        <f>IF(I849="","",F849-I849)</f>
        <v/>
      </c>
      <c r="K849" s="29">
        <f>IF(J849="","",J849/MAX(1,N(E849)))</f>
        <v/>
      </c>
      <c r="L849" s="37">
        <f>IF(OR(D849="",A849=""),"",A849+IF(AND(Config!$B$17="Sim",LEFT(D849,17)="Cartão de crédito"),1,IFERROR(INDEX(Config!$C$12:$C$15,MATCH(IF(AND(D849="Cartão de crédito",N(E849)&gt;1),"Cartão de crédito parcelado",D849),Config!$A$12:$A$15,0)),0)))</f>
        <v/>
      </c>
      <c r="M849" s="37">
        <f>IF(L849="","",IF(AND(Config!$B$17="Sim",LEFT(D849,17)="Cartão de crédito"),L849,L849+30*(MAX(1,N(E849))-1)))</f>
        <v/>
      </c>
      <c r="N849" s="29">
        <f>IF(OR(L849="",K849=""),"",K849*MIN(MAX(1,N(E849)),MAX(0,INT((Config!$B$8-L849)/30)+1)))</f>
        <v/>
      </c>
      <c r="O849" s="29">
        <f>IF(J849="","",J849-N(N849))</f>
        <v/>
      </c>
      <c r="P849" s="27">
        <f>IF(A849="","",MONTH(A849))</f>
        <v/>
      </c>
      <c r="Q849" s="27">
        <f>IF(A849="","",YEAR(A849))</f>
        <v/>
      </c>
      <c r="R849" s="27">
        <f>IF(L849="","",IF(L849&gt;Config!$B$8,"A cair",IF(N(G849)&gt;=MIN(MAX(1,N(E849)),MAX(0,INT((Config!$B$8-L849)/30)+1)),IF(N(G849)&gt;=MAX(1,N(E849)),"Conferido","Conferido até aqui"),"A conferir")))</f>
        <v/>
      </c>
      <c r="S849" s="51">
        <f>IF(R849="A conferir",(Config!$B$8-L849)*1000+N(F849)/1000+ROW()/100000,0)</f>
        <v>0</v>
      </c>
      <c r="T849" s="51">
        <f>IF(R849="A conferir",N(N849),0)</f>
        <v>0</v>
      </c>
      <c r="U849" s="51">
        <f>IF(L849="",0,L849)</f>
        <v>0</v>
      </c>
      <c r="V849" s="51">
        <f>IF(L849="",0,MAX(1,N(E849)))</f>
        <v>0</v>
      </c>
      <c r="W849" s="51">
        <f>IF(K849="",0,K849)</f>
        <v>0</v>
      </c>
    </row>
    <row r="850">
      <c r="A850" s="49" t="n"/>
      <c r="B850" s="41" t="n"/>
      <c r="C850" s="41" t="n"/>
      <c r="D850" s="42" t="n"/>
      <c r="E850" s="42" t="n"/>
      <c r="F850" s="50" t="n"/>
      <c r="G850" s="42" t="n"/>
      <c r="H850" s="30">
        <f>IF(D850="","",IFERROR(INDEX(Config!$B$12:$B$15,MATCH(IF(AND(D850="Cartão de crédito",N(E850)&gt;1),"Cartão de crédito parcelado",D850),Config!$A$12:$A$15,0)),0)+IF(AND(Config!$B$17="Sim",LEFT(D850,17)="Cartão de crédito"),Config!$B$18*IFERROR(INDEX(Config!$C$12:$C$15,MATCH(IF(AND(D850="Cartão de crédito",N(E850)&gt;1),"Cartão de crédito parcelado",D850),Config!$A$12:$A$15,0)),0)/30*MAX(1,N(E850)),0))</f>
        <v/>
      </c>
      <c r="I850" s="29">
        <f>IF(OR(D850="",F850=""),"",ROUND(F850*H850,2))</f>
        <v/>
      </c>
      <c r="J850" s="29">
        <f>IF(I850="","",F850-I850)</f>
        <v/>
      </c>
      <c r="K850" s="29">
        <f>IF(J850="","",J850/MAX(1,N(E850)))</f>
        <v/>
      </c>
      <c r="L850" s="37">
        <f>IF(OR(D850="",A850=""),"",A850+IF(AND(Config!$B$17="Sim",LEFT(D850,17)="Cartão de crédito"),1,IFERROR(INDEX(Config!$C$12:$C$15,MATCH(IF(AND(D850="Cartão de crédito",N(E850)&gt;1),"Cartão de crédito parcelado",D850),Config!$A$12:$A$15,0)),0)))</f>
        <v/>
      </c>
      <c r="M850" s="37">
        <f>IF(L850="","",IF(AND(Config!$B$17="Sim",LEFT(D850,17)="Cartão de crédito"),L850,L850+30*(MAX(1,N(E850))-1)))</f>
        <v/>
      </c>
      <c r="N850" s="29">
        <f>IF(OR(L850="",K850=""),"",K850*MIN(MAX(1,N(E850)),MAX(0,INT((Config!$B$8-L850)/30)+1)))</f>
        <v/>
      </c>
      <c r="O850" s="29">
        <f>IF(J850="","",J850-N(N850))</f>
        <v/>
      </c>
      <c r="P850" s="27">
        <f>IF(A850="","",MONTH(A850))</f>
        <v/>
      </c>
      <c r="Q850" s="27">
        <f>IF(A850="","",YEAR(A850))</f>
        <v/>
      </c>
      <c r="R850" s="27">
        <f>IF(L850="","",IF(L850&gt;Config!$B$8,"A cair",IF(N(G850)&gt;=MIN(MAX(1,N(E850)),MAX(0,INT((Config!$B$8-L850)/30)+1)),IF(N(G850)&gt;=MAX(1,N(E850)),"Conferido","Conferido até aqui"),"A conferir")))</f>
        <v/>
      </c>
      <c r="S850" s="51">
        <f>IF(R850="A conferir",(Config!$B$8-L850)*1000+N(F850)/1000+ROW()/100000,0)</f>
        <v>0</v>
      </c>
      <c r="T850" s="51">
        <f>IF(R850="A conferir",N(N850),0)</f>
        <v>0</v>
      </c>
      <c r="U850" s="51">
        <f>IF(L850="",0,L850)</f>
        <v>0</v>
      </c>
      <c r="V850" s="51">
        <f>IF(L850="",0,MAX(1,N(E850)))</f>
        <v>0</v>
      </c>
      <c r="W850" s="51">
        <f>IF(K850="",0,K850)</f>
        <v>0</v>
      </c>
    </row>
    <row r="851">
      <c r="A851" s="49" t="n"/>
      <c r="B851" s="41" t="n"/>
      <c r="C851" s="41" t="n"/>
      <c r="D851" s="42" t="n"/>
      <c r="E851" s="42" t="n"/>
      <c r="F851" s="50" t="n"/>
      <c r="G851" s="42" t="n"/>
      <c r="H851" s="30">
        <f>IF(D851="","",IFERROR(INDEX(Config!$B$12:$B$15,MATCH(IF(AND(D851="Cartão de crédito",N(E851)&gt;1),"Cartão de crédito parcelado",D851),Config!$A$12:$A$15,0)),0)+IF(AND(Config!$B$17="Sim",LEFT(D851,17)="Cartão de crédito"),Config!$B$18*IFERROR(INDEX(Config!$C$12:$C$15,MATCH(IF(AND(D851="Cartão de crédito",N(E851)&gt;1),"Cartão de crédito parcelado",D851),Config!$A$12:$A$15,0)),0)/30*MAX(1,N(E851)),0))</f>
        <v/>
      </c>
      <c r="I851" s="29">
        <f>IF(OR(D851="",F851=""),"",ROUND(F851*H851,2))</f>
        <v/>
      </c>
      <c r="J851" s="29">
        <f>IF(I851="","",F851-I851)</f>
        <v/>
      </c>
      <c r="K851" s="29">
        <f>IF(J851="","",J851/MAX(1,N(E851)))</f>
        <v/>
      </c>
      <c r="L851" s="37">
        <f>IF(OR(D851="",A851=""),"",A851+IF(AND(Config!$B$17="Sim",LEFT(D851,17)="Cartão de crédito"),1,IFERROR(INDEX(Config!$C$12:$C$15,MATCH(IF(AND(D851="Cartão de crédito",N(E851)&gt;1),"Cartão de crédito parcelado",D851),Config!$A$12:$A$15,0)),0)))</f>
        <v/>
      </c>
      <c r="M851" s="37">
        <f>IF(L851="","",IF(AND(Config!$B$17="Sim",LEFT(D851,17)="Cartão de crédito"),L851,L851+30*(MAX(1,N(E851))-1)))</f>
        <v/>
      </c>
      <c r="N851" s="29">
        <f>IF(OR(L851="",K851=""),"",K851*MIN(MAX(1,N(E851)),MAX(0,INT((Config!$B$8-L851)/30)+1)))</f>
        <v/>
      </c>
      <c r="O851" s="29">
        <f>IF(J851="","",J851-N(N851))</f>
        <v/>
      </c>
      <c r="P851" s="27">
        <f>IF(A851="","",MONTH(A851))</f>
        <v/>
      </c>
      <c r="Q851" s="27">
        <f>IF(A851="","",YEAR(A851))</f>
        <v/>
      </c>
      <c r="R851" s="27">
        <f>IF(L851="","",IF(L851&gt;Config!$B$8,"A cair",IF(N(G851)&gt;=MIN(MAX(1,N(E851)),MAX(0,INT((Config!$B$8-L851)/30)+1)),IF(N(G851)&gt;=MAX(1,N(E851)),"Conferido","Conferido até aqui"),"A conferir")))</f>
        <v/>
      </c>
      <c r="S851" s="51">
        <f>IF(R851="A conferir",(Config!$B$8-L851)*1000+N(F851)/1000+ROW()/100000,0)</f>
        <v>0</v>
      </c>
      <c r="T851" s="51">
        <f>IF(R851="A conferir",N(N851),0)</f>
        <v>0</v>
      </c>
      <c r="U851" s="51">
        <f>IF(L851="",0,L851)</f>
        <v>0</v>
      </c>
      <c r="V851" s="51">
        <f>IF(L851="",0,MAX(1,N(E851)))</f>
        <v>0</v>
      </c>
      <c r="W851" s="51">
        <f>IF(K851="",0,K851)</f>
        <v>0</v>
      </c>
    </row>
    <row r="852">
      <c r="A852" s="49" t="n"/>
      <c r="B852" s="41" t="n"/>
      <c r="C852" s="41" t="n"/>
      <c r="D852" s="42" t="n"/>
      <c r="E852" s="42" t="n"/>
      <c r="F852" s="50" t="n"/>
      <c r="G852" s="42" t="n"/>
      <c r="H852" s="30">
        <f>IF(D852="","",IFERROR(INDEX(Config!$B$12:$B$15,MATCH(IF(AND(D852="Cartão de crédito",N(E852)&gt;1),"Cartão de crédito parcelado",D852),Config!$A$12:$A$15,0)),0)+IF(AND(Config!$B$17="Sim",LEFT(D852,17)="Cartão de crédito"),Config!$B$18*IFERROR(INDEX(Config!$C$12:$C$15,MATCH(IF(AND(D852="Cartão de crédito",N(E852)&gt;1),"Cartão de crédito parcelado",D852),Config!$A$12:$A$15,0)),0)/30*MAX(1,N(E852)),0))</f>
        <v/>
      </c>
      <c r="I852" s="29">
        <f>IF(OR(D852="",F852=""),"",ROUND(F852*H852,2))</f>
        <v/>
      </c>
      <c r="J852" s="29">
        <f>IF(I852="","",F852-I852)</f>
        <v/>
      </c>
      <c r="K852" s="29">
        <f>IF(J852="","",J852/MAX(1,N(E852)))</f>
        <v/>
      </c>
      <c r="L852" s="37">
        <f>IF(OR(D852="",A852=""),"",A852+IF(AND(Config!$B$17="Sim",LEFT(D852,17)="Cartão de crédito"),1,IFERROR(INDEX(Config!$C$12:$C$15,MATCH(IF(AND(D852="Cartão de crédito",N(E852)&gt;1),"Cartão de crédito parcelado",D852),Config!$A$12:$A$15,0)),0)))</f>
        <v/>
      </c>
      <c r="M852" s="37">
        <f>IF(L852="","",IF(AND(Config!$B$17="Sim",LEFT(D852,17)="Cartão de crédito"),L852,L852+30*(MAX(1,N(E852))-1)))</f>
        <v/>
      </c>
      <c r="N852" s="29">
        <f>IF(OR(L852="",K852=""),"",K852*MIN(MAX(1,N(E852)),MAX(0,INT((Config!$B$8-L852)/30)+1)))</f>
        <v/>
      </c>
      <c r="O852" s="29">
        <f>IF(J852="","",J852-N(N852))</f>
        <v/>
      </c>
      <c r="P852" s="27">
        <f>IF(A852="","",MONTH(A852))</f>
        <v/>
      </c>
      <c r="Q852" s="27">
        <f>IF(A852="","",YEAR(A852))</f>
        <v/>
      </c>
      <c r="R852" s="27">
        <f>IF(L852="","",IF(L852&gt;Config!$B$8,"A cair",IF(N(G852)&gt;=MIN(MAX(1,N(E852)),MAX(0,INT((Config!$B$8-L852)/30)+1)),IF(N(G852)&gt;=MAX(1,N(E852)),"Conferido","Conferido até aqui"),"A conferir")))</f>
        <v/>
      </c>
      <c r="S852" s="51">
        <f>IF(R852="A conferir",(Config!$B$8-L852)*1000+N(F852)/1000+ROW()/100000,0)</f>
        <v>0</v>
      </c>
      <c r="T852" s="51">
        <f>IF(R852="A conferir",N(N852),0)</f>
        <v>0</v>
      </c>
      <c r="U852" s="51">
        <f>IF(L852="",0,L852)</f>
        <v>0</v>
      </c>
      <c r="V852" s="51">
        <f>IF(L852="",0,MAX(1,N(E852)))</f>
        <v>0</v>
      </c>
      <c r="W852" s="51">
        <f>IF(K852="",0,K852)</f>
        <v>0</v>
      </c>
    </row>
    <row r="853">
      <c r="A853" s="49" t="n"/>
      <c r="B853" s="41" t="n"/>
      <c r="C853" s="41" t="n"/>
      <c r="D853" s="42" t="n"/>
      <c r="E853" s="42" t="n"/>
      <c r="F853" s="50" t="n"/>
      <c r="G853" s="42" t="n"/>
      <c r="H853" s="30">
        <f>IF(D853="","",IFERROR(INDEX(Config!$B$12:$B$15,MATCH(IF(AND(D853="Cartão de crédito",N(E853)&gt;1),"Cartão de crédito parcelado",D853),Config!$A$12:$A$15,0)),0)+IF(AND(Config!$B$17="Sim",LEFT(D853,17)="Cartão de crédito"),Config!$B$18*IFERROR(INDEX(Config!$C$12:$C$15,MATCH(IF(AND(D853="Cartão de crédito",N(E853)&gt;1),"Cartão de crédito parcelado",D853),Config!$A$12:$A$15,0)),0)/30*MAX(1,N(E853)),0))</f>
        <v/>
      </c>
      <c r="I853" s="29">
        <f>IF(OR(D853="",F853=""),"",ROUND(F853*H853,2))</f>
        <v/>
      </c>
      <c r="J853" s="29">
        <f>IF(I853="","",F853-I853)</f>
        <v/>
      </c>
      <c r="K853" s="29">
        <f>IF(J853="","",J853/MAX(1,N(E853)))</f>
        <v/>
      </c>
      <c r="L853" s="37">
        <f>IF(OR(D853="",A853=""),"",A853+IF(AND(Config!$B$17="Sim",LEFT(D853,17)="Cartão de crédito"),1,IFERROR(INDEX(Config!$C$12:$C$15,MATCH(IF(AND(D853="Cartão de crédito",N(E853)&gt;1),"Cartão de crédito parcelado",D853),Config!$A$12:$A$15,0)),0)))</f>
        <v/>
      </c>
      <c r="M853" s="37">
        <f>IF(L853="","",IF(AND(Config!$B$17="Sim",LEFT(D853,17)="Cartão de crédito"),L853,L853+30*(MAX(1,N(E853))-1)))</f>
        <v/>
      </c>
      <c r="N853" s="29">
        <f>IF(OR(L853="",K853=""),"",K853*MIN(MAX(1,N(E853)),MAX(0,INT((Config!$B$8-L853)/30)+1)))</f>
        <v/>
      </c>
      <c r="O853" s="29">
        <f>IF(J853="","",J853-N(N853))</f>
        <v/>
      </c>
      <c r="P853" s="27">
        <f>IF(A853="","",MONTH(A853))</f>
        <v/>
      </c>
      <c r="Q853" s="27">
        <f>IF(A853="","",YEAR(A853))</f>
        <v/>
      </c>
      <c r="R853" s="27">
        <f>IF(L853="","",IF(L853&gt;Config!$B$8,"A cair",IF(N(G853)&gt;=MIN(MAX(1,N(E853)),MAX(0,INT((Config!$B$8-L853)/30)+1)),IF(N(G853)&gt;=MAX(1,N(E853)),"Conferido","Conferido até aqui"),"A conferir")))</f>
        <v/>
      </c>
      <c r="S853" s="51">
        <f>IF(R853="A conferir",(Config!$B$8-L853)*1000+N(F853)/1000+ROW()/100000,0)</f>
        <v>0</v>
      </c>
      <c r="T853" s="51">
        <f>IF(R853="A conferir",N(N853),0)</f>
        <v>0</v>
      </c>
      <c r="U853" s="51">
        <f>IF(L853="",0,L853)</f>
        <v>0</v>
      </c>
      <c r="V853" s="51">
        <f>IF(L853="",0,MAX(1,N(E853)))</f>
        <v>0</v>
      </c>
      <c r="W853" s="51">
        <f>IF(K853="",0,K853)</f>
        <v>0</v>
      </c>
    </row>
    <row r="854">
      <c r="A854" s="49" t="n"/>
      <c r="B854" s="41" t="n"/>
      <c r="C854" s="41" t="n"/>
      <c r="D854" s="42" t="n"/>
      <c r="E854" s="42" t="n"/>
      <c r="F854" s="50" t="n"/>
      <c r="G854" s="42" t="n"/>
      <c r="H854" s="30">
        <f>IF(D854="","",IFERROR(INDEX(Config!$B$12:$B$15,MATCH(IF(AND(D854="Cartão de crédito",N(E854)&gt;1),"Cartão de crédito parcelado",D854),Config!$A$12:$A$15,0)),0)+IF(AND(Config!$B$17="Sim",LEFT(D854,17)="Cartão de crédito"),Config!$B$18*IFERROR(INDEX(Config!$C$12:$C$15,MATCH(IF(AND(D854="Cartão de crédito",N(E854)&gt;1),"Cartão de crédito parcelado",D854),Config!$A$12:$A$15,0)),0)/30*MAX(1,N(E854)),0))</f>
        <v/>
      </c>
      <c r="I854" s="29">
        <f>IF(OR(D854="",F854=""),"",ROUND(F854*H854,2))</f>
        <v/>
      </c>
      <c r="J854" s="29">
        <f>IF(I854="","",F854-I854)</f>
        <v/>
      </c>
      <c r="K854" s="29">
        <f>IF(J854="","",J854/MAX(1,N(E854)))</f>
        <v/>
      </c>
      <c r="L854" s="37">
        <f>IF(OR(D854="",A854=""),"",A854+IF(AND(Config!$B$17="Sim",LEFT(D854,17)="Cartão de crédito"),1,IFERROR(INDEX(Config!$C$12:$C$15,MATCH(IF(AND(D854="Cartão de crédito",N(E854)&gt;1),"Cartão de crédito parcelado",D854),Config!$A$12:$A$15,0)),0)))</f>
        <v/>
      </c>
      <c r="M854" s="37">
        <f>IF(L854="","",IF(AND(Config!$B$17="Sim",LEFT(D854,17)="Cartão de crédito"),L854,L854+30*(MAX(1,N(E854))-1)))</f>
        <v/>
      </c>
      <c r="N854" s="29">
        <f>IF(OR(L854="",K854=""),"",K854*MIN(MAX(1,N(E854)),MAX(0,INT((Config!$B$8-L854)/30)+1)))</f>
        <v/>
      </c>
      <c r="O854" s="29">
        <f>IF(J854="","",J854-N(N854))</f>
        <v/>
      </c>
      <c r="P854" s="27">
        <f>IF(A854="","",MONTH(A854))</f>
        <v/>
      </c>
      <c r="Q854" s="27">
        <f>IF(A854="","",YEAR(A854))</f>
        <v/>
      </c>
      <c r="R854" s="27">
        <f>IF(L854="","",IF(L854&gt;Config!$B$8,"A cair",IF(N(G854)&gt;=MIN(MAX(1,N(E854)),MAX(0,INT((Config!$B$8-L854)/30)+1)),IF(N(G854)&gt;=MAX(1,N(E854)),"Conferido","Conferido até aqui"),"A conferir")))</f>
        <v/>
      </c>
      <c r="S854" s="51">
        <f>IF(R854="A conferir",(Config!$B$8-L854)*1000+N(F854)/1000+ROW()/100000,0)</f>
        <v>0</v>
      </c>
      <c r="T854" s="51">
        <f>IF(R854="A conferir",N(N854),0)</f>
        <v>0</v>
      </c>
      <c r="U854" s="51">
        <f>IF(L854="",0,L854)</f>
        <v>0</v>
      </c>
      <c r="V854" s="51">
        <f>IF(L854="",0,MAX(1,N(E854)))</f>
        <v>0</v>
      </c>
      <c r="W854" s="51">
        <f>IF(K854="",0,K854)</f>
        <v>0</v>
      </c>
    </row>
    <row r="855">
      <c r="A855" s="49" t="n"/>
      <c r="B855" s="41" t="n"/>
      <c r="C855" s="41" t="n"/>
      <c r="D855" s="42" t="n"/>
      <c r="E855" s="42" t="n"/>
      <c r="F855" s="50" t="n"/>
      <c r="G855" s="42" t="n"/>
      <c r="H855" s="30">
        <f>IF(D855="","",IFERROR(INDEX(Config!$B$12:$B$15,MATCH(IF(AND(D855="Cartão de crédito",N(E855)&gt;1),"Cartão de crédito parcelado",D855),Config!$A$12:$A$15,0)),0)+IF(AND(Config!$B$17="Sim",LEFT(D855,17)="Cartão de crédito"),Config!$B$18*IFERROR(INDEX(Config!$C$12:$C$15,MATCH(IF(AND(D855="Cartão de crédito",N(E855)&gt;1),"Cartão de crédito parcelado",D855),Config!$A$12:$A$15,0)),0)/30*MAX(1,N(E855)),0))</f>
        <v/>
      </c>
      <c r="I855" s="29">
        <f>IF(OR(D855="",F855=""),"",ROUND(F855*H855,2))</f>
        <v/>
      </c>
      <c r="J855" s="29">
        <f>IF(I855="","",F855-I855)</f>
        <v/>
      </c>
      <c r="K855" s="29">
        <f>IF(J855="","",J855/MAX(1,N(E855)))</f>
        <v/>
      </c>
      <c r="L855" s="37">
        <f>IF(OR(D855="",A855=""),"",A855+IF(AND(Config!$B$17="Sim",LEFT(D855,17)="Cartão de crédito"),1,IFERROR(INDEX(Config!$C$12:$C$15,MATCH(IF(AND(D855="Cartão de crédito",N(E855)&gt;1),"Cartão de crédito parcelado",D855),Config!$A$12:$A$15,0)),0)))</f>
        <v/>
      </c>
      <c r="M855" s="37">
        <f>IF(L855="","",IF(AND(Config!$B$17="Sim",LEFT(D855,17)="Cartão de crédito"),L855,L855+30*(MAX(1,N(E855))-1)))</f>
        <v/>
      </c>
      <c r="N855" s="29">
        <f>IF(OR(L855="",K855=""),"",K855*MIN(MAX(1,N(E855)),MAX(0,INT((Config!$B$8-L855)/30)+1)))</f>
        <v/>
      </c>
      <c r="O855" s="29">
        <f>IF(J855="","",J855-N(N855))</f>
        <v/>
      </c>
      <c r="P855" s="27">
        <f>IF(A855="","",MONTH(A855))</f>
        <v/>
      </c>
      <c r="Q855" s="27">
        <f>IF(A855="","",YEAR(A855))</f>
        <v/>
      </c>
      <c r="R855" s="27">
        <f>IF(L855="","",IF(L855&gt;Config!$B$8,"A cair",IF(N(G855)&gt;=MIN(MAX(1,N(E855)),MAX(0,INT((Config!$B$8-L855)/30)+1)),IF(N(G855)&gt;=MAX(1,N(E855)),"Conferido","Conferido até aqui"),"A conferir")))</f>
        <v/>
      </c>
      <c r="S855" s="51">
        <f>IF(R855="A conferir",(Config!$B$8-L855)*1000+N(F855)/1000+ROW()/100000,0)</f>
        <v>0</v>
      </c>
      <c r="T855" s="51">
        <f>IF(R855="A conferir",N(N855),0)</f>
        <v>0</v>
      </c>
      <c r="U855" s="51">
        <f>IF(L855="",0,L855)</f>
        <v>0</v>
      </c>
      <c r="V855" s="51">
        <f>IF(L855="",0,MAX(1,N(E855)))</f>
        <v>0</v>
      </c>
      <c r="W855" s="51">
        <f>IF(K855="",0,K855)</f>
        <v>0</v>
      </c>
    </row>
    <row r="856">
      <c r="A856" s="49" t="n"/>
      <c r="B856" s="41" t="n"/>
      <c r="C856" s="41" t="n"/>
      <c r="D856" s="42" t="n"/>
      <c r="E856" s="42" t="n"/>
      <c r="F856" s="50" t="n"/>
      <c r="G856" s="42" t="n"/>
      <c r="H856" s="30">
        <f>IF(D856="","",IFERROR(INDEX(Config!$B$12:$B$15,MATCH(IF(AND(D856="Cartão de crédito",N(E856)&gt;1),"Cartão de crédito parcelado",D856),Config!$A$12:$A$15,0)),0)+IF(AND(Config!$B$17="Sim",LEFT(D856,17)="Cartão de crédito"),Config!$B$18*IFERROR(INDEX(Config!$C$12:$C$15,MATCH(IF(AND(D856="Cartão de crédito",N(E856)&gt;1),"Cartão de crédito parcelado",D856),Config!$A$12:$A$15,0)),0)/30*MAX(1,N(E856)),0))</f>
        <v/>
      </c>
      <c r="I856" s="29">
        <f>IF(OR(D856="",F856=""),"",ROUND(F856*H856,2))</f>
        <v/>
      </c>
      <c r="J856" s="29">
        <f>IF(I856="","",F856-I856)</f>
        <v/>
      </c>
      <c r="K856" s="29">
        <f>IF(J856="","",J856/MAX(1,N(E856)))</f>
        <v/>
      </c>
      <c r="L856" s="37">
        <f>IF(OR(D856="",A856=""),"",A856+IF(AND(Config!$B$17="Sim",LEFT(D856,17)="Cartão de crédito"),1,IFERROR(INDEX(Config!$C$12:$C$15,MATCH(IF(AND(D856="Cartão de crédito",N(E856)&gt;1),"Cartão de crédito parcelado",D856),Config!$A$12:$A$15,0)),0)))</f>
        <v/>
      </c>
      <c r="M856" s="37">
        <f>IF(L856="","",IF(AND(Config!$B$17="Sim",LEFT(D856,17)="Cartão de crédito"),L856,L856+30*(MAX(1,N(E856))-1)))</f>
        <v/>
      </c>
      <c r="N856" s="29">
        <f>IF(OR(L856="",K856=""),"",K856*MIN(MAX(1,N(E856)),MAX(0,INT((Config!$B$8-L856)/30)+1)))</f>
        <v/>
      </c>
      <c r="O856" s="29">
        <f>IF(J856="","",J856-N(N856))</f>
        <v/>
      </c>
      <c r="P856" s="27">
        <f>IF(A856="","",MONTH(A856))</f>
        <v/>
      </c>
      <c r="Q856" s="27">
        <f>IF(A856="","",YEAR(A856))</f>
        <v/>
      </c>
      <c r="R856" s="27">
        <f>IF(L856="","",IF(L856&gt;Config!$B$8,"A cair",IF(N(G856)&gt;=MIN(MAX(1,N(E856)),MAX(0,INT((Config!$B$8-L856)/30)+1)),IF(N(G856)&gt;=MAX(1,N(E856)),"Conferido","Conferido até aqui"),"A conferir")))</f>
        <v/>
      </c>
      <c r="S856" s="51">
        <f>IF(R856="A conferir",(Config!$B$8-L856)*1000+N(F856)/1000+ROW()/100000,0)</f>
        <v>0</v>
      </c>
      <c r="T856" s="51">
        <f>IF(R856="A conferir",N(N856),0)</f>
        <v>0</v>
      </c>
      <c r="U856" s="51">
        <f>IF(L856="",0,L856)</f>
        <v>0</v>
      </c>
      <c r="V856" s="51">
        <f>IF(L856="",0,MAX(1,N(E856)))</f>
        <v>0</v>
      </c>
      <c r="W856" s="51">
        <f>IF(K856="",0,K856)</f>
        <v>0</v>
      </c>
    </row>
    <row r="857">
      <c r="A857" s="49" t="n"/>
      <c r="B857" s="41" t="n"/>
      <c r="C857" s="41" t="n"/>
      <c r="D857" s="42" t="n"/>
      <c r="E857" s="42" t="n"/>
      <c r="F857" s="50" t="n"/>
      <c r="G857" s="42" t="n"/>
      <c r="H857" s="30">
        <f>IF(D857="","",IFERROR(INDEX(Config!$B$12:$B$15,MATCH(IF(AND(D857="Cartão de crédito",N(E857)&gt;1),"Cartão de crédito parcelado",D857),Config!$A$12:$A$15,0)),0)+IF(AND(Config!$B$17="Sim",LEFT(D857,17)="Cartão de crédito"),Config!$B$18*IFERROR(INDEX(Config!$C$12:$C$15,MATCH(IF(AND(D857="Cartão de crédito",N(E857)&gt;1),"Cartão de crédito parcelado",D857),Config!$A$12:$A$15,0)),0)/30*MAX(1,N(E857)),0))</f>
        <v/>
      </c>
      <c r="I857" s="29">
        <f>IF(OR(D857="",F857=""),"",ROUND(F857*H857,2))</f>
        <v/>
      </c>
      <c r="J857" s="29">
        <f>IF(I857="","",F857-I857)</f>
        <v/>
      </c>
      <c r="K857" s="29">
        <f>IF(J857="","",J857/MAX(1,N(E857)))</f>
        <v/>
      </c>
      <c r="L857" s="37">
        <f>IF(OR(D857="",A857=""),"",A857+IF(AND(Config!$B$17="Sim",LEFT(D857,17)="Cartão de crédito"),1,IFERROR(INDEX(Config!$C$12:$C$15,MATCH(IF(AND(D857="Cartão de crédito",N(E857)&gt;1),"Cartão de crédito parcelado",D857),Config!$A$12:$A$15,0)),0)))</f>
        <v/>
      </c>
      <c r="M857" s="37">
        <f>IF(L857="","",IF(AND(Config!$B$17="Sim",LEFT(D857,17)="Cartão de crédito"),L857,L857+30*(MAX(1,N(E857))-1)))</f>
        <v/>
      </c>
      <c r="N857" s="29">
        <f>IF(OR(L857="",K857=""),"",K857*MIN(MAX(1,N(E857)),MAX(0,INT((Config!$B$8-L857)/30)+1)))</f>
        <v/>
      </c>
      <c r="O857" s="29">
        <f>IF(J857="","",J857-N(N857))</f>
        <v/>
      </c>
      <c r="P857" s="27">
        <f>IF(A857="","",MONTH(A857))</f>
        <v/>
      </c>
      <c r="Q857" s="27">
        <f>IF(A857="","",YEAR(A857))</f>
        <v/>
      </c>
      <c r="R857" s="27">
        <f>IF(L857="","",IF(L857&gt;Config!$B$8,"A cair",IF(N(G857)&gt;=MIN(MAX(1,N(E857)),MAX(0,INT((Config!$B$8-L857)/30)+1)),IF(N(G857)&gt;=MAX(1,N(E857)),"Conferido","Conferido até aqui"),"A conferir")))</f>
        <v/>
      </c>
      <c r="S857" s="51">
        <f>IF(R857="A conferir",(Config!$B$8-L857)*1000+N(F857)/1000+ROW()/100000,0)</f>
        <v>0</v>
      </c>
      <c r="T857" s="51">
        <f>IF(R857="A conferir",N(N857),0)</f>
        <v>0</v>
      </c>
      <c r="U857" s="51">
        <f>IF(L857="",0,L857)</f>
        <v>0</v>
      </c>
      <c r="V857" s="51">
        <f>IF(L857="",0,MAX(1,N(E857)))</f>
        <v>0</v>
      </c>
      <c r="W857" s="51">
        <f>IF(K857="",0,K857)</f>
        <v>0</v>
      </c>
    </row>
    <row r="858">
      <c r="A858" s="49" t="n"/>
      <c r="B858" s="41" t="n"/>
      <c r="C858" s="41" t="n"/>
      <c r="D858" s="42" t="n"/>
      <c r="E858" s="42" t="n"/>
      <c r="F858" s="50" t="n"/>
      <c r="G858" s="42" t="n"/>
      <c r="H858" s="30">
        <f>IF(D858="","",IFERROR(INDEX(Config!$B$12:$B$15,MATCH(IF(AND(D858="Cartão de crédito",N(E858)&gt;1),"Cartão de crédito parcelado",D858),Config!$A$12:$A$15,0)),0)+IF(AND(Config!$B$17="Sim",LEFT(D858,17)="Cartão de crédito"),Config!$B$18*IFERROR(INDEX(Config!$C$12:$C$15,MATCH(IF(AND(D858="Cartão de crédito",N(E858)&gt;1),"Cartão de crédito parcelado",D858),Config!$A$12:$A$15,0)),0)/30*MAX(1,N(E858)),0))</f>
        <v/>
      </c>
      <c r="I858" s="29">
        <f>IF(OR(D858="",F858=""),"",ROUND(F858*H858,2))</f>
        <v/>
      </c>
      <c r="J858" s="29">
        <f>IF(I858="","",F858-I858)</f>
        <v/>
      </c>
      <c r="K858" s="29">
        <f>IF(J858="","",J858/MAX(1,N(E858)))</f>
        <v/>
      </c>
      <c r="L858" s="37">
        <f>IF(OR(D858="",A858=""),"",A858+IF(AND(Config!$B$17="Sim",LEFT(D858,17)="Cartão de crédito"),1,IFERROR(INDEX(Config!$C$12:$C$15,MATCH(IF(AND(D858="Cartão de crédito",N(E858)&gt;1),"Cartão de crédito parcelado",D858),Config!$A$12:$A$15,0)),0)))</f>
        <v/>
      </c>
      <c r="M858" s="37">
        <f>IF(L858="","",IF(AND(Config!$B$17="Sim",LEFT(D858,17)="Cartão de crédito"),L858,L858+30*(MAX(1,N(E858))-1)))</f>
        <v/>
      </c>
      <c r="N858" s="29">
        <f>IF(OR(L858="",K858=""),"",K858*MIN(MAX(1,N(E858)),MAX(0,INT((Config!$B$8-L858)/30)+1)))</f>
        <v/>
      </c>
      <c r="O858" s="29">
        <f>IF(J858="","",J858-N(N858))</f>
        <v/>
      </c>
      <c r="P858" s="27">
        <f>IF(A858="","",MONTH(A858))</f>
        <v/>
      </c>
      <c r="Q858" s="27">
        <f>IF(A858="","",YEAR(A858))</f>
        <v/>
      </c>
      <c r="R858" s="27">
        <f>IF(L858="","",IF(L858&gt;Config!$B$8,"A cair",IF(N(G858)&gt;=MIN(MAX(1,N(E858)),MAX(0,INT((Config!$B$8-L858)/30)+1)),IF(N(G858)&gt;=MAX(1,N(E858)),"Conferido","Conferido até aqui"),"A conferir")))</f>
        <v/>
      </c>
      <c r="S858" s="51">
        <f>IF(R858="A conferir",(Config!$B$8-L858)*1000+N(F858)/1000+ROW()/100000,0)</f>
        <v>0</v>
      </c>
      <c r="T858" s="51">
        <f>IF(R858="A conferir",N(N858),0)</f>
        <v>0</v>
      </c>
      <c r="U858" s="51">
        <f>IF(L858="",0,L858)</f>
        <v>0</v>
      </c>
      <c r="V858" s="51">
        <f>IF(L858="",0,MAX(1,N(E858)))</f>
        <v>0</v>
      </c>
      <c r="W858" s="51">
        <f>IF(K858="",0,K858)</f>
        <v>0</v>
      </c>
    </row>
    <row r="859">
      <c r="A859" s="49" t="n"/>
      <c r="B859" s="41" t="n"/>
      <c r="C859" s="41" t="n"/>
      <c r="D859" s="42" t="n"/>
      <c r="E859" s="42" t="n"/>
      <c r="F859" s="50" t="n"/>
      <c r="G859" s="42" t="n"/>
      <c r="H859" s="30">
        <f>IF(D859="","",IFERROR(INDEX(Config!$B$12:$B$15,MATCH(IF(AND(D859="Cartão de crédito",N(E859)&gt;1),"Cartão de crédito parcelado",D859),Config!$A$12:$A$15,0)),0)+IF(AND(Config!$B$17="Sim",LEFT(D859,17)="Cartão de crédito"),Config!$B$18*IFERROR(INDEX(Config!$C$12:$C$15,MATCH(IF(AND(D859="Cartão de crédito",N(E859)&gt;1),"Cartão de crédito parcelado",D859),Config!$A$12:$A$15,0)),0)/30*MAX(1,N(E859)),0))</f>
        <v/>
      </c>
      <c r="I859" s="29">
        <f>IF(OR(D859="",F859=""),"",ROUND(F859*H859,2))</f>
        <v/>
      </c>
      <c r="J859" s="29">
        <f>IF(I859="","",F859-I859)</f>
        <v/>
      </c>
      <c r="K859" s="29">
        <f>IF(J859="","",J859/MAX(1,N(E859)))</f>
        <v/>
      </c>
      <c r="L859" s="37">
        <f>IF(OR(D859="",A859=""),"",A859+IF(AND(Config!$B$17="Sim",LEFT(D859,17)="Cartão de crédito"),1,IFERROR(INDEX(Config!$C$12:$C$15,MATCH(IF(AND(D859="Cartão de crédito",N(E859)&gt;1),"Cartão de crédito parcelado",D859),Config!$A$12:$A$15,0)),0)))</f>
        <v/>
      </c>
      <c r="M859" s="37">
        <f>IF(L859="","",IF(AND(Config!$B$17="Sim",LEFT(D859,17)="Cartão de crédito"),L859,L859+30*(MAX(1,N(E859))-1)))</f>
        <v/>
      </c>
      <c r="N859" s="29">
        <f>IF(OR(L859="",K859=""),"",K859*MIN(MAX(1,N(E859)),MAX(0,INT((Config!$B$8-L859)/30)+1)))</f>
        <v/>
      </c>
      <c r="O859" s="29">
        <f>IF(J859="","",J859-N(N859))</f>
        <v/>
      </c>
      <c r="P859" s="27">
        <f>IF(A859="","",MONTH(A859))</f>
        <v/>
      </c>
      <c r="Q859" s="27">
        <f>IF(A859="","",YEAR(A859))</f>
        <v/>
      </c>
      <c r="R859" s="27">
        <f>IF(L859="","",IF(L859&gt;Config!$B$8,"A cair",IF(N(G859)&gt;=MIN(MAX(1,N(E859)),MAX(0,INT((Config!$B$8-L859)/30)+1)),IF(N(G859)&gt;=MAX(1,N(E859)),"Conferido","Conferido até aqui"),"A conferir")))</f>
        <v/>
      </c>
      <c r="S859" s="51">
        <f>IF(R859="A conferir",(Config!$B$8-L859)*1000+N(F859)/1000+ROW()/100000,0)</f>
        <v>0</v>
      </c>
      <c r="T859" s="51">
        <f>IF(R859="A conferir",N(N859),0)</f>
        <v>0</v>
      </c>
      <c r="U859" s="51">
        <f>IF(L859="",0,L859)</f>
        <v>0</v>
      </c>
      <c r="V859" s="51">
        <f>IF(L859="",0,MAX(1,N(E859)))</f>
        <v>0</v>
      </c>
      <c r="W859" s="51">
        <f>IF(K859="",0,K859)</f>
        <v>0</v>
      </c>
    </row>
    <row r="860">
      <c r="A860" s="49" t="n"/>
      <c r="B860" s="41" t="n"/>
      <c r="C860" s="41" t="n"/>
      <c r="D860" s="42" t="n"/>
      <c r="E860" s="42" t="n"/>
      <c r="F860" s="50" t="n"/>
      <c r="G860" s="42" t="n"/>
      <c r="H860" s="30">
        <f>IF(D860="","",IFERROR(INDEX(Config!$B$12:$B$15,MATCH(IF(AND(D860="Cartão de crédito",N(E860)&gt;1),"Cartão de crédito parcelado",D860),Config!$A$12:$A$15,0)),0)+IF(AND(Config!$B$17="Sim",LEFT(D860,17)="Cartão de crédito"),Config!$B$18*IFERROR(INDEX(Config!$C$12:$C$15,MATCH(IF(AND(D860="Cartão de crédito",N(E860)&gt;1),"Cartão de crédito parcelado",D860),Config!$A$12:$A$15,0)),0)/30*MAX(1,N(E860)),0))</f>
        <v/>
      </c>
      <c r="I860" s="29">
        <f>IF(OR(D860="",F860=""),"",ROUND(F860*H860,2))</f>
        <v/>
      </c>
      <c r="J860" s="29">
        <f>IF(I860="","",F860-I860)</f>
        <v/>
      </c>
      <c r="K860" s="29">
        <f>IF(J860="","",J860/MAX(1,N(E860)))</f>
        <v/>
      </c>
      <c r="L860" s="37">
        <f>IF(OR(D860="",A860=""),"",A860+IF(AND(Config!$B$17="Sim",LEFT(D860,17)="Cartão de crédito"),1,IFERROR(INDEX(Config!$C$12:$C$15,MATCH(IF(AND(D860="Cartão de crédito",N(E860)&gt;1),"Cartão de crédito parcelado",D860),Config!$A$12:$A$15,0)),0)))</f>
        <v/>
      </c>
      <c r="M860" s="37">
        <f>IF(L860="","",IF(AND(Config!$B$17="Sim",LEFT(D860,17)="Cartão de crédito"),L860,L860+30*(MAX(1,N(E860))-1)))</f>
        <v/>
      </c>
      <c r="N860" s="29">
        <f>IF(OR(L860="",K860=""),"",K860*MIN(MAX(1,N(E860)),MAX(0,INT((Config!$B$8-L860)/30)+1)))</f>
        <v/>
      </c>
      <c r="O860" s="29">
        <f>IF(J860="","",J860-N(N860))</f>
        <v/>
      </c>
      <c r="P860" s="27">
        <f>IF(A860="","",MONTH(A860))</f>
        <v/>
      </c>
      <c r="Q860" s="27">
        <f>IF(A860="","",YEAR(A860))</f>
        <v/>
      </c>
      <c r="R860" s="27">
        <f>IF(L860="","",IF(L860&gt;Config!$B$8,"A cair",IF(N(G860)&gt;=MIN(MAX(1,N(E860)),MAX(0,INT((Config!$B$8-L860)/30)+1)),IF(N(G860)&gt;=MAX(1,N(E860)),"Conferido","Conferido até aqui"),"A conferir")))</f>
        <v/>
      </c>
      <c r="S860" s="51">
        <f>IF(R860="A conferir",(Config!$B$8-L860)*1000+N(F860)/1000+ROW()/100000,0)</f>
        <v>0</v>
      </c>
      <c r="T860" s="51">
        <f>IF(R860="A conferir",N(N860),0)</f>
        <v>0</v>
      </c>
      <c r="U860" s="51">
        <f>IF(L860="",0,L860)</f>
        <v>0</v>
      </c>
      <c r="V860" s="51">
        <f>IF(L860="",0,MAX(1,N(E860)))</f>
        <v>0</v>
      </c>
      <c r="W860" s="51">
        <f>IF(K860="",0,K860)</f>
        <v>0</v>
      </c>
    </row>
    <row r="861">
      <c r="A861" s="49" t="n"/>
      <c r="B861" s="41" t="n"/>
      <c r="C861" s="41" t="n"/>
      <c r="D861" s="42" t="n"/>
      <c r="E861" s="42" t="n"/>
      <c r="F861" s="50" t="n"/>
      <c r="G861" s="42" t="n"/>
      <c r="H861" s="30">
        <f>IF(D861="","",IFERROR(INDEX(Config!$B$12:$B$15,MATCH(IF(AND(D861="Cartão de crédito",N(E861)&gt;1),"Cartão de crédito parcelado",D861),Config!$A$12:$A$15,0)),0)+IF(AND(Config!$B$17="Sim",LEFT(D861,17)="Cartão de crédito"),Config!$B$18*IFERROR(INDEX(Config!$C$12:$C$15,MATCH(IF(AND(D861="Cartão de crédito",N(E861)&gt;1),"Cartão de crédito parcelado",D861),Config!$A$12:$A$15,0)),0)/30*MAX(1,N(E861)),0))</f>
        <v/>
      </c>
      <c r="I861" s="29">
        <f>IF(OR(D861="",F861=""),"",ROUND(F861*H861,2))</f>
        <v/>
      </c>
      <c r="J861" s="29">
        <f>IF(I861="","",F861-I861)</f>
        <v/>
      </c>
      <c r="K861" s="29">
        <f>IF(J861="","",J861/MAX(1,N(E861)))</f>
        <v/>
      </c>
      <c r="L861" s="37">
        <f>IF(OR(D861="",A861=""),"",A861+IF(AND(Config!$B$17="Sim",LEFT(D861,17)="Cartão de crédito"),1,IFERROR(INDEX(Config!$C$12:$C$15,MATCH(IF(AND(D861="Cartão de crédito",N(E861)&gt;1),"Cartão de crédito parcelado",D861),Config!$A$12:$A$15,0)),0)))</f>
        <v/>
      </c>
      <c r="M861" s="37">
        <f>IF(L861="","",IF(AND(Config!$B$17="Sim",LEFT(D861,17)="Cartão de crédito"),L861,L861+30*(MAX(1,N(E861))-1)))</f>
        <v/>
      </c>
      <c r="N861" s="29">
        <f>IF(OR(L861="",K861=""),"",K861*MIN(MAX(1,N(E861)),MAX(0,INT((Config!$B$8-L861)/30)+1)))</f>
        <v/>
      </c>
      <c r="O861" s="29">
        <f>IF(J861="","",J861-N(N861))</f>
        <v/>
      </c>
      <c r="P861" s="27">
        <f>IF(A861="","",MONTH(A861))</f>
        <v/>
      </c>
      <c r="Q861" s="27">
        <f>IF(A861="","",YEAR(A861))</f>
        <v/>
      </c>
      <c r="R861" s="27">
        <f>IF(L861="","",IF(L861&gt;Config!$B$8,"A cair",IF(N(G861)&gt;=MIN(MAX(1,N(E861)),MAX(0,INT((Config!$B$8-L861)/30)+1)),IF(N(G861)&gt;=MAX(1,N(E861)),"Conferido","Conferido até aqui"),"A conferir")))</f>
        <v/>
      </c>
      <c r="S861" s="51">
        <f>IF(R861="A conferir",(Config!$B$8-L861)*1000+N(F861)/1000+ROW()/100000,0)</f>
        <v>0</v>
      </c>
      <c r="T861" s="51">
        <f>IF(R861="A conferir",N(N861),0)</f>
        <v>0</v>
      </c>
      <c r="U861" s="51">
        <f>IF(L861="",0,L861)</f>
        <v>0</v>
      </c>
      <c r="V861" s="51">
        <f>IF(L861="",0,MAX(1,N(E861)))</f>
        <v>0</v>
      </c>
      <c r="W861" s="51">
        <f>IF(K861="",0,K861)</f>
        <v>0</v>
      </c>
    </row>
    <row r="862">
      <c r="A862" s="49" t="n"/>
      <c r="B862" s="41" t="n"/>
      <c r="C862" s="41" t="n"/>
      <c r="D862" s="42" t="n"/>
      <c r="E862" s="42" t="n"/>
      <c r="F862" s="50" t="n"/>
      <c r="G862" s="42" t="n"/>
      <c r="H862" s="30">
        <f>IF(D862="","",IFERROR(INDEX(Config!$B$12:$B$15,MATCH(IF(AND(D862="Cartão de crédito",N(E862)&gt;1),"Cartão de crédito parcelado",D862),Config!$A$12:$A$15,0)),0)+IF(AND(Config!$B$17="Sim",LEFT(D862,17)="Cartão de crédito"),Config!$B$18*IFERROR(INDEX(Config!$C$12:$C$15,MATCH(IF(AND(D862="Cartão de crédito",N(E862)&gt;1),"Cartão de crédito parcelado",D862),Config!$A$12:$A$15,0)),0)/30*MAX(1,N(E862)),0))</f>
        <v/>
      </c>
      <c r="I862" s="29">
        <f>IF(OR(D862="",F862=""),"",ROUND(F862*H862,2))</f>
        <v/>
      </c>
      <c r="J862" s="29">
        <f>IF(I862="","",F862-I862)</f>
        <v/>
      </c>
      <c r="K862" s="29">
        <f>IF(J862="","",J862/MAX(1,N(E862)))</f>
        <v/>
      </c>
      <c r="L862" s="37">
        <f>IF(OR(D862="",A862=""),"",A862+IF(AND(Config!$B$17="Sim",LEFT(D862,17)="Cartão de crédito"),1,IFERROR(INDEX(Config!$C$12:$C$15,MATCH(IF(AND(D862="Cartão de crédito",N(E862)&gt;1),"Cartão de crédito parcelado",D862),Config!$A$12:$A$15,0)),0)))</f>
        <v/>
      </c>
      <c r="M862" s="37">
        <f>IF(L862="","",IF(AND(Config!$B$17="Sim",LEFT(D862,17)="Cartão de crédito"),L862,L862+30*(MAX(1,N(E862))-1)))</f>
        <v/>
      </c>
      <c r="N862" s="29">
        <f>IF(OR(L862="",K862=""),"",K862*MIN(MAX(1,N(E862)),MAX(0,INT((Config!$B$8-L862)/30)+1)))</f>
        <v/>
      </c>
      <c r="O862" s="29">
        <f>IF(J862="","",J862-N(N862))</f>
        <v/>
      </c>
      <c r="P862" s="27">
        <f>IF(A862="","",MONTH(A862))</f>
        <v/>
      </c>
      <c r="Q862" s="27">
        <f>IF(A862="","",YEAR(A862))</f>
        <v/>
      </c>
      <c r="R862" s="27">
        <f>IF(L862="","",IF(L862&gt;Config!$B$8,"A cair",IF(N(G862)&gt;=MIN(MAX(1,N(E862)),MAX(0,INT((Config!$B$8-L862)/30)+1)),IF(N(G862)&gt;=MAX(1,N(E862)),"Conferido","Conferido até aqui"),"A conferir")))</f>
        <v/>
      </c>
      <c r="S862" s="51">
        <f>IF(R862="A conferir",(Config!$B$8-L862)*1000+N(F862)/1000+ROW()/100000,0)</f>
        <v>0</v>
      </c>
      <c r="T862" s="51">
        <f>IF(R862="A conferir",N(N862),0)</f>
        <v>0</v>
      </c>
      <c r="U862" s="51">
        <f>IF(L862="",0,L862)</f>
        <v>0</v>
      </c>
      <c r="V862" s="51">
        <f>IF(L862="",0,MAX(1,N(E862)))</f>
        <v>0</v>
      </c>
      <c r="W862" s="51">
        <f>IF(K862="",0,K862)</f>
        <v>0</v>
      </c>
    </row>
    <row r="863">
      <c r="A863" s="49" t="n"/>
      <c r="B863" s="41" t="n"/>
      <c r="C863" s="41" t="n"/>
      <c r="D863" s="42" t="n"/>
      <c r="E863" s="42" t="n"/>
      <c r="F863" s="50" t="n"/>
      <c r="G863" s="42" t="n"/>
      <c r="H863" s="30">
        <f>IF(D863="","",IFERROR(INDEX(Config!$B$12:$B$15,MATCH(IF(AND(D863="Cartão de crédito",N(E863)&gt;1),"Cartão de crédito parcelado",D863),Config!$A$12:$A$15,0)),0)+IF(AND(Config!$B$17="Sim",LEFT(D863,17)="Cartão de crédito"),Config!$B$18*IFERROR(INDEX(Config!$C$12:$C$15,MATCH(IF(AND(D863="Cartão de crédito",N(E863)&gt;1),"Cartão de crédito parcelado",D863),Config!$A$12:$A$15,0)),0)/30*MAX(1,N(E863)),0))</f>
        <v/>
      </c>
      <c r="I863" s="29">
        <f>IF(OR(D863="",F863=""),"",ROUND(F863*H863,2))</f>
        <v/>
      </c>
      <c r="J863" s="29">
        <f>IF(I863="","",F863-I863)</f>
        <v/>
      </c>
      <c r="K863" s="29">
        <f>IF(J863="","",J863/MAX(1,N(E863)))</f>
        <v/>
      </c>
      <c r="L863" s="37">
        <f>IF(OR(D863="",A863=""),"",A863+IF(AND(Config!$B$17="Sim",LEFT(D863,17)="Cartão de crédito"),1,IFERROR(INDEX(Config!$C$12:$C$15,MATCH(IF(AND(D863="Cartão de crédito",N(E863)&gt;1),"Cartão de crédito parcelado",D863),Config!$A$12:$A$15,0)),0)))</f>
        <v/>
      </c>
      <c r="M863" s="37">
        <f>IF(L863="","",IF(AND(Config!$B$17="Sim",LEFT(D863,17)="Cartão de crédito"),L863,L863+30*(MAX(1,N(E863))-1)))</f>
        <v/>
      </c>
      <c r="N863" s="29">
        <f>IF(OR(L863="",K863=""),"",K863*MIN(MAX(1,N(E863)),MAX(0,INT((Config!$B$8-L863)/30)+1)))</f>
        <v/>
      </c>
      <c r="O863" s="29">
        <f>IF(J863="","",J863-N(N863))</f>
        <v/>
      </c>
      <c r="P863" s="27">
        <f>IF(A863="","",MONTH(A863))</f>
        <v/>
      </c>
      <c r="Q863" s="27">
        <f>IF(A863="","",YEAR(A863))</f>
        <v/>
      </c>
      <c r="R863" s="27">
        <f>IF(L863="","",IF(L863&gt;Config!$B$8,"A cair",IF(N(G863)&gt;=MIN(MAX(1,N(E863)),MAX(0,INT((Config!$B$8-L863)/30)+1)),IF(N(G863)&gt;=MAX(1,N(E863)),"Conferido","Conferido até aqui"),"A conferir")))</f>
        <v/>
      </c>
      <c r="S863" s="51">
        <f>IF(R863="A conferir",(Config!$B$8-L863)*1000+N(F863)/1000+ROW()/100000,0)</f>
        <v>0</v>
      </c>
      <c r="T863" s="51">
        <f>IF(R863="A conferir",N(N863),0)</f>
        <v>0</v>
      </c>
      <c r="U863" s="51">
        <f>IF(L863="",0,L863)</f>
        <v>0</v>
      </c>
      <c r="V863" s="51">
        <f>IF(L863="",0,MAX(1,N(E863)))</f>
        <v>0</v>
      </c>
      <c r="W863" s="51">
        <f>IF(K863="",0,K863)</f>
        <v>0</v>
      </c>
    </row>
    <row r="864">
      <c r="A864" s="49" t="n"/>
      <c r="B864" s="41" t="n"/>
      <c r="C864" s="41" t="n"/>
      <c r="D864" s="42" t="n"/>
      <c r="E864" s="42" t="n"/>
      <c r="F864" s="50" t="n"/>
      <c r="G864" s="42" t="n"/>
      <c r="H864" s="30">
        <f>IF(D864="","",IFERROR(INDEX(Config!$B$12:$B$15,MATCH(IF(AND(D864="Cartão de crédito",N(E864)&gt;1),"Cartão de crédito parcelado",D864),Config!$A$12:$A$15,0)),0)+IF(AND(Config!$B$17="Sim",LEFT(D864,17)="Cartão de crédito"),Config!$B$18*IFERROR(INDEX(Config!$C$12:$C$15,MATCH(IF(AND(D864="Cartão de crédito",N(E864)&gt;1),"Cartão de crédito parcelado",D864),Config!$A$12:$A$15,0)),0)/30*MAX(1,N(E864)),0))</f>
        <v/>
      </c>
      <c r="I864" s="29">
        <f>IF(OR(D864="",F864=""),"",ROUND(F864*H864,2))</f>
        <v/>
      </c>
      <c r="J864" s="29">
        <f>IF(I864="","",F864-I864)</f>
        <v/>
      </c>
      <c r="K864" s="29">
        <f>IF(J864="","",J864/MAX(1,N(E864)))</f>
        <v/>
      </c>
      <c r="L864" s="37">
        <f>IF(OR(D864="",A864=""),"",A864+IF(AND(Config!$B$17="Sim",LEFT(D864,17)="Cartão de crédito"),1,IFERROR(INDEX(Config!$C$12:$C$15,MATCH(IF(AND(D864="Cartão de crédito",N(E864)&gt;1),"Cartão de crédito parcelado",D864),Config!$A$12:$A$15,0)),0)))</f>
        <v/>
      </c>
      <c r="M864" s="37">
        <f>IF(L864="","",IF(AND(Config!$B$17="Sim",LEFT(D864,17)="Cartão de crédito"),L864,L864+30*(MAX(1,N(E864))-1)))</f>
        <v/>
      </c>
      <c r="N864" s="29">
        <f>IF(OR(L864="",K864=""),"",K864*MIN(MAX(1,N(E864)),MAX(0,INT((Config!$B$8-L864)/30)+1)))</f>
        <v/>
      </c>
      <c r="O864" s="29">
        <f>IF(J864="","",J864-N(N864))</f>
        <v/>
      </c>
      <c r="P864" s="27">
        <f>IF(A864="","",MONTH(A864))</f>
        <v/>
      </c>
      <c r="Q864" s="27">
        <f>IF(A864="","",YEAR(A864))</f>
        <v/>
      </c>
      <c r="R864" s="27">
        <f>IF(L864="","",IF(L864&gt;Config!$B$8,"A cair",IF(N(G864)&gt;=MIN(MAX(1,N(E864)),MAX(0,INT((Config!$B$8-L864)/30)+1)),IF(N(G864)&gt;=MAX(1,N(E864)),"Conferido","Conferido até aqui"),"A conferir")))</f>
        <v/>
      </c>
      <c r="S864" s="51">
        <f>IF(R864="A conferir",(Config!$B$8-L864)*1000+N(F864)/1000+ROW()/100000,0)</f>
        <v>0</v>
      </c>
      <c r="T864" s="51">
        <f>IF(R864="A conferir",N(N864),0)</f>
        <v>0</v>
      </c>
      <c r="U864" s="51">
        <f>IF(L864="",0,L864)</f>
        <v>0</v>
      </c>
      <c r="V864" s="51">
        <f>IF(L864="",0,MAX(1,N(E864)))</f>
        <v>0</v>
      </c>
      <c r="W864" s="51">
        <f>IF(K864="",0,K864)</f>
        <v>0</v>
      </c>
    </row>
    <row r="865">
      <c r="A865" s="49" t="n"/>
      <c r="B865" s="41" t="n"/>
      <c r="C865" s="41" t="n"/>
      <c r="D865" s="42" t="n"/>
      <c r="E865" s="42" t="n"/>
      <c r="F865" s="50" t="n"/>
      <c r="G865" s="42" t="n"/>
      <c r="H865" s="30">
        <f>IF(D865="","",IFERROR(INDEX(Config!$B$12:$B$15,MATCH(IF(AND(D865="Cartão de crédito",N(E865)&gt;1),"Cartão de crédito parcelado",D865),Config!$A$12:$A$15,0)),0)+IF(AND(Config!$B$17="Sim",LEFT(D865,17)="Cartão de crédito"),Config!$B$18*IFERROR(INDEX(Config!$C$12:$C$15,MATCH(IF(AND(D865="Cartão de crédito",N(E865)&gt;1),"Cartão de crédito parcelado",D865),Config!$A$12:$A$15,0)),0)/30*MAX(1,N(E865)),0))</f>
        <v/>
      </c>
      <c r="I865" s="29">
        <f>IF(OR(D865="",F865=""),"",ROUND(F865*H865,2))</f>
        <v/>
      </c>
      <c r="J865" s="29">
        <f>IF(I865="","",F865-I865)</f>
        <v/>
      </c>
      <c r="K865" s="29">
        <f>IF(J865="","",J865/MAX(1,N(E865)))</f>
        <v/>
      </c>
      <c r="L865" s="37">
        <f>IF(OR(D865="",A865=""),"",A865+IF(AND(Config!$B$17="Sim",LEFT(D865,17)="Cartão de crédito"),1,IFERROR(INDEX(Config!$C$12:$C$15,MATCH(IF(AND(D865="Cartão de crédito",N(E865)&gt;1),"Cartão de crédito parcelado",D865),Config!$A$12:$A$15,0)),0)))</f>
        <v/>
      </c>
      <c r="M865" s="37">
        <f>IF(L865="","",IF(AND(Config!$B$17="Sim",LEFT(D865,17)="Cartão de crédito"),L865,L865+30*(MAX(1,N(E865))-1)))</f>
        <v/>
      </c>
      <c r="N865" s="29">
        <f>IF(OR(L865="",K865=""),"",K865*MIN(MAX(1,N(E865)),MAX(0,INT((Config!$B$8-L865)/30)+1)))</f>
        <v/>
      </c>
      <c r="O865" s="29">
        <f>IF(J865="","",J865-N(N865))</f>
        <v/>
      </c>
      <c r="P865" s="27">
        <f>IF(A865="","",MONTH(A865))</f>
        <v/>
      </c>
      <c r="Q865" s="27">
        <f>IF(A865="","",YEAR(A865))</f>
        <v/>
      </c>
      <c r="R865" s="27">
        <f>IF(L865="","",IF(L865&gt;Config!$B$8,"A cair",IF(N(G865)&gt;=MIN(MAX(1,N(E865)),MAX(0,INT((Config!$B$8-L865)/30)+1)),IF(N(G865)&gt;=MAX(1,N(E865)),"Conferido","Conferido até aqui"),"A conferir")))</f>
        <v/>
      </c>
      <c r="S865" s="51">
        <f>IF(R865="A conferir",(Config!$B$8-L865)*1000+N(F865)/1000+ROW()/100000,0)</f>
        <v>0</v>
      </c>
      <c r="T865" s="51">
        <f>IF(R865="A conferir",N(N865),0)</f>
        <v>0</v>
      </c>
      <c r="U865" s="51">
        <f>IF(L865="",0,L865)</f>
        <v>0</v>
      </c>
      <c r="V865" s="51">
        <f>IF(L865="",0,MAX(1,N(E865)))</f>
        <v>0</v>
      </c>
      <c r="W865" s="51">
        <f>IF(K865="",0,K865)</f>
        <v>0</v>
      </c>
    </row>
    <row r="866">
      <c r="A866" s="49" t="n"/>
      <c r="B866" s="41" t="n"/>
      <c r="C866" s="41" t="n"/>
      <c r="D866" s="42" t="n"/>
      <c r="E866" s="42" t="n"/>
      <c r="F866" s="50" t="n"/>
      <c r="G866" s="42" t="n"/>
      <c r="H866" s="30">
        <f>IF(D866="","",IFERROR(INDEX(Config!$B$12:$B$15,MATCH(IF(AND(D866="Cartão de crédito",N(E866)&gt;1),"Cartão de crédito parcelado",D866),Config!$A$12:$A$15,0)),0)+IF(AND(Config!$B$17="Sim",LEFT(D866,17)="Cartão de crédito"),Config!$B$18*IFERROR(INDEX(Config!$C$12:$C$15,MATCH(IF(AND(D866="Cartão de crédito",N(E866)&gt;1),"Cartão de crédito parcelado",D866),Config!$A$12:$A$15,0)),0)/30*MAX(1,N(E866)),0))</f>
        <v/>
      </c>
      <c r="I866" s="29">
        <f>IF(OR(D866="",F866=""),"",ROUND(F866*H866,2))</f>
        <v/>
      </c>
      <c r="J866" s="29">
        <f>IF(I866="","",F866-I866)</f>
        <v/>
      </c>
      <c r="K866" s="29">
        <f>IF(J866="","",J866/MAX(1,N(E866)))</f>
        <v/>
      </c>
      <c r="L866" s="37">
        <f>IF(OR(D866="",A866=""),"",A866+IF(AND(Config!$B$17="Sim",LEFT(D866,17)="Cartão de crédito"),1,IFERROR(INDEX(Config!$C$12:$C$15,MATCH(IF(AND(D866="Cartão de crédito",N(E866)&gt;1),"Cartão de crédito parcelado",D866),Config!$A$12:$A$15,0)),0)))</f>
        <v/>
      </c>
      <c r="M866" s="37">
        <f>IF(L866="","",IF(AND(Config!$B$17="Sim",LEFT(D866,17)="Cartão de crédito"),L866,L866+30*(MAX(1,N(E866))-1)))</f>
        <v/>
      </c>
      <c r="N866" s="29">
        <f>IF(OR(L866="",K866=""),"",K866*MIN(MAX(1,N(E866)),MAX(0,INT((Config!$B$8-L866)/30)+1)))</f>
        <v/>
      </c>
      <c r="O866" s="29">
        <f>IF(J866="","",J866-N(N866))</f>
        <v/>
      </c>
      <c r="P866" s="27">
        <f>IF(A866="","",MONTH(A866))</f>
        <v/>
      </c>
      <c r="Q866" s="27">
        <f>IF(A866="","",YEAR(A866))</f>
        <v/>
      </c>
      <c r="R866" s="27">
        <f>IF(L866="","",IF(L866&gt;Config!$B$8,"A cair",IF(N(G866)&gt;=MIN(MAX(1,N(E866)),MAX(0,INT((Config!$B$8-L866)/30)+1)),IF(N(G866)&gt;=MAX(1,N(E866)),"Conferido","Conferido até aqui"),"A conferir")))</f>
        <v/>
      </c>
      <c r="S866" s="51">
        <f>IF(R866="A conferir",(Config!$B$8-L866)*1000+N(F866)/1000+ROW()/100000,0)</f>
        <v>0</v>
      </c>
      <c r="T866" s="51">
        <f>IF(R866="A conferir",N(N866),0)</f>
        <v>0</v>
      </c>
      <c r="U866" s="51">
        <f>IF(L866="",0,L866)</f>
        <v>0</v>
      </c>
      <c r="V866" s="51">
        <f>IF(L866="",0,MAX(1,N(E866)))</f>
        <v>0</v>
      </c>
      <c r="W866" s="51">
        <f>IF(K866="",0,K866)</f>
        <v>0</v>
      </c>
    </row>
    <row r="867">
      <c r="A867" s="49" t="n"/>
      <c r="B867" s="41" t="n"/>
      <c r="C867" s="41" t="n"/>
      <c r="D867" s="42" t="n"/>
      <c r="E867" s="42" t="n"/>
      <c r="F867" s="50" t="n"/>
      <c r="G867" s="42" t="n"/>
      <c r="H867" s="30">
        <f>IF(D867="","",IFERROR(INDEX(Config!$B$12:$B$15,MATCH(IF(AND(D867="Cartão de crédito",N(E867)&gt;1),"Cartão de crédito parcelado",D867),Config!$A$12:$A$15,0)),0)+IF(AND(Config!$B$17="Sim",LEFT(D867,17)="Cartão de crédito"),Config!$B$18*IFERROR(INDEX(Config!$C$12:$C$15,MATCH(IF(AND(D867="Cartão de crédito",N(E867)&gt;1),"Cartão de crédito parcelado",D867),Config!$A$12:$A$15,0)),0)/30*MAX(1,N(E867)),0))</f>
        <v/>
      </c>
      <c r="I867" s="29">
        <f>IF(OR(D867="",F867=""),"",ROUND(F867*H867,2))</f>
        <v/>
      </c>
      <c r="J867" s="29">
        <f>IF(I867="","",F867-I867)</f>
        <v/>
      </c>
      <c r="K867" s="29">
        <f>IF(J867="","",J867/MAX(1,N(E867)))</f>
        <v/>
      </c>
      <c r="L867" s="37">
        <f>IF(OR(D867="",A867=""),"",A867+IF(AND(Config!$B$17="Sim",LEFT(D867,17)="Cartão de crédito"),1,IFERROR(INDEX(Config!$C$12:$C$15,MATCH(IF(AND(D867="Cartão de crédito",N(E867)&gt;1),"Cartão de crédito parcelado",D867),Config!$A$12:$A$15,0)),0)))</f>
        <v/>
      </c>
      <c r="M867" s="37">
        <f>IF(L867="","",IF(AND(Config!$B$17="Sim",LEFT(D867,17)="Cartão de crédito"),L867,L867+30*(MAX(1,N(E867))-1)))</f>
        <v/>
      </c>
      <c r="N867" s="29">
        <f>IF(OR(L867="",K867=""),"",K867*MIN(MAX(1,N(E867)),MAX(0,INT((Config!$B$8-L867)/30)+1)))</f>
        <v/>
      </c>
      <c r="O867" s="29">
        <f>IF(J867="","",J867-N(N867))</f>
        <v/>
      </c>
      <c r="P867" s="27">
        <f>IF(A867="","",MONTH(A867))</f>
        <v/>
      </c>
      <c r="Q867" s="27">
        <f>IF(A867="","",YEAR(A867))</f>
        <v/>
      </c>
      <c r="R867" s="27">
        <f>IF(L867="","",IF(L867&gt;Config!$B$8,"A cair",IF(N(G867)&gt;=MIN(MAX(1,N(E867)),MAX(0,INT((Config!$B$8-L867)/30)+1)),IF(N(G867)&gt;=MAX(1,N(E867)),"Conferido","Conferido até aqui"),"A conferir")))</f>
        <v/>
      </c>
      <c r="S867" s="51">
        <f>IF(R867="A conferir",(Config!$B$8-L867)*1000+N(F867)/1000+ROW()/100000,0)</f>
        <v>0</v>
      </c>
      <c r="T867" s="51">
        <f>IF(R867="A conferir",N(N867),0)</f>
        <v>0</v>
      </c>
      <c r="U867" s="51">
        <f>IF(L867="",0,L867)</f>
        <v>0</v>
      </c>
      <c r="V867" s="51">
        <f>IF(L867="",0,MAX(1,N(E867)))</f>
        <v>0</v>
      </c>
      <c r="W867" s="51">
        <f>IF(K867="",0,K867)</f>
        <v>0</v>
      </c>
    </row>
    <row r="868">
      <c r="A868" s="49" t="n"/>
      <c r="B868" s="41" t="n"/>
      <c r="C868" s="41" t="n"/>
      <c r="D868" s="42" t="n"/>
      <c r="E868" s="42" t="n"/>
      <c r="F868" s="50" t="n"/>
      <c r="G868" s="42" t="n"/>
      <c r="H868" s="30">
        <f>IF(D868="","",IFERROR(INDEX(Config!$B$12:$B$15,MATCH(IF(AND(D868="Cartão de crédito",N(E868)&gt;1),"Cartão de crédito parcelado",D868),Config!$A$12:$A$15,0)),0)+IF(AND(Config!$B$17="Sim",LEFT(D868,17)="Cartão de crédito"),Config!$B$18*IFERROR(INDEX(Config!$C$12:$C$15,MATCH(IF(AND(D868="Cartão de crédito",N(E868)&gt;1),"Cartão de crédito parcelado",D868),Config!$A$12:$A$15,0)),0)/30*MAX(1,N(E868)),0))</f>
        <v/>
      </c>
      <c r="I868" s="29">
        <f>IF(OR(D868="",F868=""),"",ROUND(F868*H868,2))</f>
        <v/>
      </c>
      <c r="J868" s="29">
        <f>IF(I868="","",F868-I868)</f>
        <v/>
      </c>
      <c r="K868" s="29">
        <f>IF(J868="","",J868/MAX(1,N(E868)))</f>
        <v/>
      </c>
      <c r="L868" s="37">
        <f>IF(OR(D868="",A868=""),"",A868+IF(AND(Config!$B$17="Sim",LEFT(D868,17)="Cartão de crédito"),1,IFERROR(INDEX(Config!$C$12:$C$15,MATCH(IF(AND(D868="Cartão de crédito",N(E868)&gt;1),"Cartão de crédito parcelado",D868),Config!$A$12:$A$15,0)),0)))</f>
        <v/>
      </c>
      <c r="M868" s="37">
        <f>IF(L868="","",IF(AND(Config!$B$17="Sim",LEFT(D868,17)="Cartão de crédito"),L868,L868+30*(MAX(1,N(E868))-1)))</f>
        <v/>
      </c>
      <c r="N868" s="29">
        <f>IF(OR(L868="",K868=""),"",K868*MIN(MAX(1,N(E868)),MAX(0,INT((Config!$B$8-L868)/30)+1)))</f>
        <v/>
      </c>
      <c r="O868" s="29">
        <f>IF(J868="","",J868-N(N868))</f>
        <v/>
      </c>
      <c r="P868" s="27">
        <f>IF(A868="","",MONTH(A868))</f>
        <v/>
      </c>
      <c r="Q868" s="27">
        <f>IF(A868="","",YEAR(A868))</f>
        <v/>
      </c>
      <c r="R868" s="27">
        <f>IF(L868="","",IF(L868&gt;Config!$B$8,"A cair",IF(N(G868)&gt;=MIN(MAX(1,N(E868)),MAX(0,INT((Config!$B$8-L868)/30)+1)),IF(N(G868)&gt;=MAX(1,N(E868)),"Conferido","Conferido até aqui"),"A conferir")))</f>
        <v/>
      </c>
      <c r="S868" s="51">
        <f>IF(R868="A conferir",(Config!$B$8-L868)*1000+N(F868)/1000+ROW()/100000,0)</f>
        <v>0</v>
      </c>
      <c r="T868" s="51">
        <f>IF(R868="A conferir",N(N868),0)</f>
        <v>0</v>
      </c>
      <c r="U868" s="51">
        <f>IF(L868="",0,L868)</f>
        <v>0</v>
      </c>
      <c r="V868" s="51">
        <f>IF(L868="",0,MAX(1,N(E868)))</f>
        <v>0</v>
      </c>
      <c r="W868" s="51">
        <f>IF(K868="",0,K868)</f>
        <v>0</v>
      </c>
    </row>
    <row r="869">
      <c r="A869" s="49" t="n"/>
      <c r="B869" s="41" t="n"/>
      <c r="C869" s="41" t="n"/>
      <c r="D869" s="42" t="n"/>
      <c r="E869" s="42" t="n"/>
      <c r="F869" s="50" t="n"/>
      <c r="G869" s="42" t="n"/>
      <c r="H869" s="30">
        <f>IF(D869="","",IFERROR(INDEX(Config!$B$12:$B$15,MATCH(IF(AND(D869="Cartão de crédito",N(E869)&gt;1),"Cartão de crédito parcelado",D869),Config!$A$12:$A$15,0)),0)+IF(AND(Config!$B$17="Sim",LEFT(D869,17)="Cartão de crédito"),Config!$B$18*IFERROR(INDEX(Config!$C$12:$C$15,MATCH(IF(AND(D869="Cartão de crédito",N(E869)&gt;1),"Cartão de crédito parcelado",D869),Config!$A$12:$A$15,0)),0)/30*MAX(1,N(E869)),0))</f>
        <v/>
      </c>
      <c r="I869" s="29">
        <f>IF(OR(D869="",F869=""),"",ROUND(F869*H869,2))</f>
        <v/>
      </c>
      <c r="J869" s="29">
        <f>IF(I869="","",F869-I869)</f>
        <v/>
      </c>
      <c r="K869" s="29">
        <f>IF(J869="","",J869/MAX(1,N(E869)))</f>
        <v/>
      </c>
      <c r="L869" s="37">
        <f>IF(OR(D869="",A869=""),"",A869+IF(AND(Config!$B$17="Sim",LEFT(D869,17)="Cartão de crédito"),1,IFERROR(INDEX(Config!$C$12:$C$15,MATCH(IF(AND(D869="Cartão de crédito",N(E869)&gt;1),"Cartão de crédito parcelado",D869),Config!$A$12:$A$15,0)),0)))</f>
        <v/>
      </c>
      <c r="M869" s="37">
        <f>IF(L869="","",IF(AND(Config!$B$17="Sim",LEFT(D869,17)="Cartão de crédito"),L869,L869+30*(MAX(1,N(E869))-1)))</f>
        <v/>
      </c>
      <c r="N869" s="29">
        <f>IF(OR(L869="",K869=""),"",K869*MIN(MAX(1,N(E869)),MAX(0,INT((Config!$B$8-L869)/30)+1)))</f>
        <v/>
      </c>
      <c r="O869" s="29">
        <f>IF(J869="","",J869-N(N869))</f>
        <v/>
      </c>
      <c r="P869" s="27">
        <f>IF(A869="","",MONTH(A869))</f>
        <v/>
      </c>
      <c r="Q869" s="27">
        <f>IF(A869="","",YEAR(A869))</f>
        <v/>
      </c>
      <c r="R869" s="27">
        <f>IF(L869="","",IF(L869&gt;Config!$B$8,"A cair",IF(N(G869)&gt;=MIN(MAX(1,N(E869)),MAX(0,INT((Config!$B$8-L869)/30)+1)),IF(N(G869)&gt;=MAX(1,N(E869)),"Conferido","Conferido até aqui"),"A conferir")))</f>
        <v/>
      </c>
      <c r="S869" s="51">
        <f>IF(R869="A conferir",(Config!$B$8-L869)*1000+N(F869)/1000+ROW()/100000,0)</f>
        <v>0</v>
      </c>
      <c r="T869" s="51">
        <f>IF(R869="A conferir",N(N869),0)</f>
        <v>0</v>
      </c>
      <c r="U869" s="51">
        <f>IF(L869="",0,L869)</f>
        <v>0</v>
      </c>
      <c r="V869" s="51">
        <f>IF(L869="",0,MAX(1,N(E869)))</f>
        <v>0</v>
      </c>
      <c r="W869" s="51">
        <f>IF(K869="",0,K869)</f>
        <v>0</v>
      </c>
    </row>
    <row r="870">
      <c r="A870" s="49" t="n"/>
      <c r="B870" s="41" t="n"/>
      <c r="C870" s="41" t="n"/>
      <c r="D870" s="42" t="n"/>
      <c r="E870" s="42" t="n"/>
      <c r="F870" s="50" t="n"/>
      <c r="G870" s="42" t="n"/>
      <c r="H870" s="30">
        <f>IF(D870="","",IFERROR(INDEX(Config!$B$12:$B$15,MATCH(IF(AND(D870="Cartão de crédito",N(E870)&gt;1),"Cartão de crédito parcelado",D870),Config!$A$12:$A$15,0)),0)+IF(AND(Config!$B$17="Sim",LEFT(D870,17)="Cartão de crédito"),Config!$B$18*IFERROR(INDEX(Config!$C$12:$C$15,MATCH(IF(AND(D870="Cartão de crédito",N(E870)&gt;1),"Cartão de crédito parcelado",D870),Config!$A$12:$A$15,0)),0)/30*MAX(1,N(E870)),0))</f>
        <v/>
      </c>
      <c r="I870" s="29">
        <f>IF(OR(D870="",F870=""),"",ROUND(F870*H870,2))</f>
        <v/>
      </c>
      <c r="J870" s="29">
        <f>IF(I870="","",F870-I870)</f>
        <v/>
      </c>
      <c r="K870" s="29">
        <f>IF(J870="","",J870/MAX(1,N(E870)))</f>
        <v/>
      </c>
      <c r="L870" s="37">
        <f>IF(OR(D870="",A870=""),"",A870+IF(AND(Config!$B$17="Sim",LEFT(D870,17)="Cartão de crédito"),1,IFERROR(INDEX(Config!$C$12:$C$15,MATCH(IF(AND(D870="Cartão de crédito",N(E870)&gt;1),"Cartão de crédito parcelado",D870),Config!$A$12:$A$15,0)),0)))</f>
        <v/>
      </c>
      <c r="M870" s="37">
        <f>IF(L870="","",IF(AND(Config!$B$17="Sim",LEFT(D870,17)="Cartão de crédito"),L870,L870+30*(MAX(1,N(E870))-1)))</f>
        <v/>
      </c>
      <c r="N870" s="29">
        <f>IF(OR(L870="",K870=""),"",K870*MIN(MAX(1,N(E870)),MAX(0,INT((Config!$B$8-L870)/30)+1)))</f>
        <v/>
      </c>
      <c r="O870" s="29">
        <f>IF(J870="","",J870-N(N870))</f>
        <v/>
      </c>
      <c r="P870" s="27">
        <f>IF(A870="","",MONTH(A870))</f>
        <v/>
      </c>
      <c r="Q870" s="27">
        <f>IF(A870="","",YEAR(A870))</f>
        <v/>
      </c>
      <c r="R870" s="27">
        <f>IF(L870="","",IF(L870&gt;Config!$B$8,"A cair",IF(N(G870)&gt;=MIN(MAX(1,N(E870)),MAX(0,INT((Config!$B$8-L870)/30)+1)),IF(N(G870)&gt;=MAX(1,N(E870)),"Conferido","Conferido até aqui"),"A conferir")))</f>
        <v/>
      </c>
      <c r="S870" s="51">
        <f>IF(R870="A conferir",(Config!$B$8-L870)*1000+N(F870)/1000+ROW()/100000,0)</f>
        <v>0</v>
      </c>
      <c r="T870" s="51">
        <f>IF(R870="A conferir",N(N870),0)</f>
        <v>0</v>
      </c>
      <c r="U870" s="51">
        <f>IF(L870="",0,L870)</f>
        <v>0</v>
      </c>
      <c r="V870" s="51">
        <f>IF(L870="",0,MAX(1,N(E870)))</f>
        <v>0</v>
      </c>
      <c r="W870" s="51">
        <f>IF(K870="",0,K870)</f>
        <v>0</v>
      </c>
    </row>
    <row r="871">
      <c r="A871" s="49" t="n"/>
      <c r="B871" s="41" t="n"/>
      <c r="C871" s="41" t="n"/>
      <c r="D871" s="42" t="n"/>
      <c r="E871" s="42" t="n"/>
      <c r="F871" s="50" t="n"/>
      <c r="G871" s="42" t="n"/>
      <c r="H871" s="30">
        <f>IF(D871="","",IFERROR(INDEX(Config!$B$12:$B$15,MATCH(IF(AND(D871="Cartão de crédito",N(E871)&gt;1),"Cartão de crédito parcelado",D871),Config!$A$12:$A$15,0)),0)+IF(AND(Config!$B$17="Sim",LEFT(D871,17)="Cartão de crédito"),Config!$B$18*IFERROR(INDEX(Config!$C$12:$C$15,MATCH(IF(AND(D871="Cartão de crédito",N(E871)&gt;1),"Cartão de crédito parcelado",D871),Config!$A$12:$A$15,0)),0)/30*MAX(1,N(E871)),0))</f>
        <v/>
      </c>
      <c r="I871" s="29">
        <f>IF(OR(D871="",F871=""),"",ROUND(F871*H871,2))</f>
        <v/>
      </c>
      <c r="J871" s="29">
        <f>IF(I871="","",F871-I871)</f>
        <v/>
      </c>
      <c r="K871" s="29">
        <f>IF(J871="","",J871/MAX(1,N(E871)))</f>
        <v/>
      </c>
      <c r="L871" s="37">
        <f>IF(OR(D871="",A871=""),"",A871+IF(AND(Config!$B$17="Sim",LEFT(D871,17)="Cartão de crédito"),1,IFERROR(INDEX(Config!$C$12:$C$15,MATCH(IF(AND(D871="Cartão de crédito",N(E871)&gt;1),"Cartão de crédito parcelado",D871),Config!$A$12:$A$15,0)),0)))</f>
        <v/>
      </c>
      <c r="M871" s="37">
        <f>IF(L871="","",IF(AND(Config!$B$17="Sim",LEFT(D871,17)="Cartão de crédito"),L871,L871+30*(MAX(1,N(E871))-1)))</f>
        <v/>
      </c>
      <c r="N871" s="29">
        <f>IF(OR(L871="",K871=""),"",K871*MIN(MAX(1,N(E871)),MAX(0,INT((Config!$B$8-L871)/30)+1)))</f>
        <v/>
      </c>
      <c r="O871" s="29">
        <f>IF(J871="","",J871-N(N871))</f>
        <v/>
      </c>
      <c r="P871" s="27">
        <f>IF(A871="","",MONTH(A871))</f>
        <v/>
      </c>
      <c r="Q871" s="27">
        <f>IF(A871="","",YEAR(A871))</f>
        <v/>
      </c>
      <c r="R871" s="27">
        <f>IF(L871="","",IF(L871&gt;Config!$B$8,"A cair",IF(N(G871)&gt;=MIN(MAX(1,N(E871)),MAX(0,INT((Config!$B$8-L871)/30)+1)),IF(N(G871)&gt;=MAX(1,N(E871)),"Conferido","Conferido até aqui"),"A conferir")))</f>
        <v/>
      </c>
      <c r="S871" s="51">
        <f>IF(R871="A conferir",(Config!$B$8-L871)*1000+N(F871)/1000+ROW()/100000,0)</f>
        <v>0</v>
      </c>
      <c r="T871" s="51">
        <f>IF(R871="A conferir",N(N871),0)</f>
        <v>0</v>
      </c>
      <c r="U871" s="51">
        <f>IF(L871="",0,L871)</f>
        <v>0</v>
      </c>
      <c r="V871" s="51">
        <f>IF(L871="",0,MAX(1,N(E871)))</f>
        <v>0</v>
      </c>
      <c r="W871" s="51">
        <f>IF(K871="",0,K871)</f>
        <v>0</v>
      </c>
    </row>
    <row r="872">
      <c r="A872" s="49" t="n"/>
      <c r="B872" s="41" t="n"/>
      <c r="C872" s="41" t="n"/>
      <c r="D872" s="42" t="n"/>
      <c r="E872" s="42" t="n"/>
      <c r="F872" s="50" t="n"/>
      <c r="G872" s="42" t="n"/>
      <c r="H872" s="30">
        <f>IF(D872="","",IFERROR(INDEX(Config!$B$12:$B$15,MATCH(IF(AND(D872="Cartão de crédito",N(E872)&gt;1),"Cartão de crédito parcelado",D872),Config!$A$12:$A$15,0)),0)+IF(AND(Config!$B$17="Sim",LEFT(D872,17)="Cartão de crédito"),Config!$B$18*IFERROR(INDEX(Config!$C$12:$C$15,MATCH(IF(AND(D872="Cartão de crédito",N(E872)&gt;1),"Cartão de crédito parcelado",D872),Config!$A$12:$A$15,0)),0)/30*MAX(1,N(E872)),0))</f>
        <v/>
      </c>
      <c r="I872" s="29">
        <f>IF(OR(D872="",F872=""),"",ROUND(F872*H872,2))</f>
        <v/>
      </c>
      <c r="J872" s="29">
        <f>IF(I872="","",F872-I872)</f>
        <v/>
      </c>
      <c r="K872" s="29">
        <f>IF(J872="","",J872/MAX(1,N(E872)))</f>
        <v/>
      </c>
      <c r="L872" s="37">
        <f>IF(OR(D872="",A872=""),"",A872+IF(AND(Config!$B$17="Sim",LEFT(D872,17)="Cartão de crédito"),1,IFERROR(INDEX(Config!$C$12:$C$15,MATCH(IF(AND(D872="Cartão de crédito",N(E872)&gt;1),"Cartão de crédito parcelado",D872),Config!$A$12:$A$15,0)),0)))</f>
        <v/>
      </c>
      <c r="M872" s="37">
        <f>IF(L872="","",IF(AND(Config!$B$17="Sim",LEFT(D872,17)="Cartão de crédito"),L872,L872+30*(MAX(1,N(E872))-1)))</f>
        <v/>
      </c>
      <c r="N872" s="29">
        <f>IF(OR(L872="",K872=""),"",K872*MIN(MAX(1,N(E872)),MAX(0,INT((Config!$B$8-L872)/30)+1)))</f>
        <v/>
      </c>
      <c r="O872" s="29">
        <f>IF(J872="","",J872-N(N872))</f>
        <v/>
      </c>
      <c r="P872" s="27">
        <f>IF(A872="","",MONTH(A872))</f>
        <v/>
      </c>
      <c r="Q872" s="27">
        <f>IF(A872="","",YEAR(A872))</f>
        <v/>
      </c>
      <c r="R872" s="27">
        <f>IF(L872="","",IF(L872&gt;Config!$B$8,"A cair",IF(N(G872)&gt;=MIN(MAX(1,N(E872)),MAX(0,INT((Config!$B$8-L872)/30)+1)),IF(N(G872)&gt;=MAX(1,N(E872)),"Conferido","Conferido até aqui"),"A conferir")))</f>
        <v/>
      </c>
      <c r="S872" s="51">
        <f>IF(R872="A conferir",(Config!$B$8-L872)*1000+N(F872)/1000+ROW()/100000,0)</f>
        <v>0</v>
      </c>
      <c r="T872" s="51">
        <f>IF(R872="A conferir",N(N872),0)</f>
        <v>0</v>
      </c>
      <c r="U872" s="51">
        <f>IF(L872="",0,L872)</f>
        <v>0</v>
      </c>
      <c r="V872" s="51">
        <f>IF(L872="",0,MAX(1,N(E872)))</f>
        <v>0</v>
      </c>
      <c r="W872" s="51">
        <f>IF(K872="",0,K872)</f>
        <v>0</v>
      </c>
    </row>
    <row r="873">
      <c r="A873" s="49" t="n"/>
      <c r="B873" s="41" t="n"/>
      <c r="C873" s="41" t="n"/>
      <c r="D873" s="42" t="n"/>
      <c r="E873" s="42" t="n"/>
      <c r="F873" s="50" t="n"/>
      <c r="G873" s="42" t="n"/>
      <c r="H873" s="30">
        <f>IF(D873="","",IFERROR(INDEX(Config!$B$12:$B$15,MATCH(IF(AND(D873="Cartão de crédito",N(E873)&gt;1),"Cartão de crédito parcelado",D873),Config!$A$12:$A$15,0)),0)+IF(AND(Config!$B$17="Sim",LEFT(D873,17)="Cartão de crédito"),Config!$B$18*IFERROR(INDEX(Config!$C$12:$C$15,MATCH(IF(AND(D873="Cartão de crédito",N(E873)&gt;1),"Cartão de crédito parcelado",D873),Config!$A$12:$A$15,0)),0)/30*MAX(1,N(E873)),0))</f>
        <v/>
      </c>
      <c r="I873" s="29">
        <f>IF(OR(D873="",F873=""),"",ROUND(F873*H873,2))</f>
        <v/>
      </c>
      <c r="J873" s="29">
        <f>IF(I873="","",F873-I873)</f>
        <v/>
      </c>
      <c r="K873" s="29">
        <f>IF(J873="","",J873/MAX(1,N(E873)))</f>
        <v/>
      </c>
      <c r="L873" s="37">
        <f>IF(OR(D873="",A873=""),"",A873+IF(AND(Config!$B$17="Sim",LEFT(D873,17)="Cartão de crédito"),1,IFERROR(INDEX(Config!$C$12:$C$15,MATCH(IF(AND(D873="Cartão de crédito",N(E873)&gt;1),"Cartão de crédito parcelado",D873),Config!$A$12:$A$15,0)),0)))</f>
        <v/>
      </c>
      <c r="M873" s="37">
        <f>IF(L873="","",IF(AND(Config!$B$17="Sim",LEFT(D873,17)="Cartão de crédito"),L873,L873+30*(MAX(1,N(E873))-1)))</f>
        <v/>
      </c>
      <c r="N873" s="29">
        <f>IF(OR(L873="",K873=""),"",K873*MIN(MAX(1,N(E873)),MAX(0,INT((Config!$B$8-L873)/30)+1)))</f>
        <v/>
      </c>
      <c r="O873" s="29">
        <f>IF(J873="","",J873-N(N873))</f>
        <v/>
      </c>
      <c r="P873" s="27">
        <f>IF(A873="","",MONTH(A873))</f>
        <v/>
      </c>
      <c r="Q873" s="27">
        <f>IF(A873="","",YEAR(A873))</f>
        <v/>
      </c>
      <c r="R873" s="27">
        <f>IF(L873="","",IF(L873&gt;Config!$B$8,"A cair",IF(N(G873)&gt;=MIN(MAX(1,N(E873)),MAX(0,INT((Config!$B$8-L873)/30)+1)),IF(N(G873)&gt;=MAX(1,N(E873)),"Conferido","Conferido até aqui"),"A conferir")))</f>
        <v/>
      </c>
      <c r="S873" s="51">
        <f>IF(R873="A conferir",(Config!$B$8-L873)*1000+N(F873)/1000+ROW()/100000,0)</f>
        <v>0</v>
      </c>
      <c r="T873" s="51">
        <f>IF(R873="A conferir",N(N873),0)</f>
        <v>0</v>
      </c>
      <c r="U873" s="51">
        <f>IF(L873="",0,L873)</f>
        <v>0</v>
      </c>
      <c r="V873" s="51">
        <f>IF(L873="",0,MAX(1,N(E873)))</f>
        <v>0</v>
      </c>
      <c r="W873" s="51">
        <f>IF(K873="",0,K873)</f>
        <v>0</v>
      </c>
    </row>
    <row r="874">
      <c r="A874" s="49" t="n"/>
      <c r="B874" s="41" t="n"/>
      <c r="C874" s="41" t="n"/>
      <c r="D874" s="42" t="n"/>
      <c r="E874" s="42" t="n"/>
      <c r="F874" s="50" t="n"/>
      <c r="G874" s="42" t="n"/>
      <c r="H874" s="30">
        <f>IF(D874="","",IFERROR(INDEX(Config!$B$12:$B$15,MATCH(IF(AND(D874="Cartão de crédito",N(E874)&gt;1),"Cartão de crédito parcelado",D874),Config!$A$12:$A$15,0)),0)+IF(AND(Config!$B$17="Sim",LEFT(D874,17)="Cartão de crédito"),Config!$B$18*IFERROR(INDEX(Config!$C$12:$C$15,MATCH(IF(AND(D874="Cartão de crédito",N(E874)&gt;1),"Cartão de crédito parcelado",D874),Config!$A$12:$A$15,0)),0)/30*MAX(1,N(E874)),0))</f>
        <v/>
      </c>
      <c r="I874" s="29">
        <f>IF(OR(D874="",F874=""),"",ROUND(F874*H874,2))</f>
        <v/>
      </c>
      <c r="J874" s="29">
        <f>IF(I874="","",F874-I874)</f>
        <v/>
      </c>
      <c r="K874" s="29">
        <f>IF(J874="","",J874/MAX(1,N(E874)))</f>
        <v/>
      </c>
      <c r="L874" s="37">
        <f>IF(OR(D874="",A874=""),"",A874+IF(AND(Config!$B$17="Sim",LEFT(D874,17)="Cartão de crédito"),1,IFERROR(INDEX(Config!$C$12:$C$15,MATCH(IF(AND(D874="Cartão de crédito",N(E874)&gt;1),"Cartão de crédito parcelado",D874),Config!$A$12:$A$15,0)),0)))</f>
        <v/>
      </c>
      <c r="M874" s="37">
        <f>IF(L874="","",IF(AND(Config!$B$17="Sim",LEFT(D874,17)="Cartão de crédito"),L874,L874+30*(MAX(1,N(E874))-1)))</f>
        <v/>
      </c>
      <c r="N874" s="29">
        <f>IF(OR(L874="",K874=""),"",K874*MIN(MAX(1,N(E874)),MAX(0,INT((Config!$B$8-L874)/30)+1)))</f>
        <v/>
      </c>
      <c r="O874" s="29">
        <f>IF(J874="","",J874-N(N874))</f>
        <v/>
      </c>
      <c r="P874" s="27">
        <f>IF(A874="","",MONTH(A874))</f>
        <v/>
      </c>
      <c r="Q874" s="27">
        <f>IF(A874="","",YEAR(A874))</f>
        <v/>
      </c>
      <c r="R874" s="27">
        <f>IF(L874="","",IF(L874&gt;Config!$B$8,"A cair",IF(N(G874)&gt;=MIN(MAX(1,N(E874)),MAX(0,INT((Config!$B$8-L874)/30)+1)),IF(N(G874)&gt;=MAX(1,N(E874)),"Conferido","Conferido até aqui"),"A conferir")))</f>
        <v/>
      </c>
      <c r="S874" s="51">
        <f>IF(R874="A conferir",(Config!$B$8-L874)*1000+N(F874)/1000+ROW()/100000,0)</f>
        <v>0</v>
      </c>
      <c r="T874" s="51">
        <f>IF(R874="A conferir",N(N874),0)</f>
        <v>0</v>
      </c>
      <c r="U874" s="51">
        <f>IF(L874="",0,L874)</f>
        <v>0</v>
      </c>
      <c r="V874" s="51">
        <f>IF(L874="",0,MAX(1,N(E874)))</f>
        <v>0</v>
      </c>
      <c r="W874" s="51">
        <f>IF(K874="",0,K874)</f>
        <v>0</v>
      </c>
    </row>
    <row r="875">
      <c r="A875" s="49" t="n"/>
      <c r="B875" s="41" t="n"/>
      <c r="C875" s="41" t="n"/>
      <c r="D875" s="42" t="n"/>
      <c r="E875" s="42" t="n"/>
      <c r="F875" s="50" t="n"/>
      <c r="G875" s="42" t="n"/>
      <c r="H875" s="30">
        <f>IF(D875="","",IFERROR(INDEX(Config!$B$12:$B$15,MATCH(IF(AND(D875="Cartão de crédito",N(E875)&gt;1),"Cartão de crédito parcelado",D875),Config!$A$12:$A$15,0)),0)+IF(AND(Config!$B$17="Sim",LEFT(D875,17)="Cartão de crédito"),Config!$B$18*IFERROR(INDEX(Config!$C$12:$C$15,MATCH(IF(AND(D875="Cartão de crédito",N(E875)&gt;1),"Cartão de crédito parcelado",D875),Config!$A$12:$A$15,0)),0)/30*MAX(1,N(E875)),0))</f>
        <v/>
      </c>
      <c r="I875" s="29">
        <f>IF(OR(D875="",F875=""),"",ROUND(F875*H875,2))</f>
        <v/>
      </c>
      <c r="J875" s="29">
        <f>IF(I875="","",F875-I875)</f>
        <v/>
      </c>
      <c r="K875" s="29">
        <f>IF(J875="","",J875/MAX(1,N(E875)))</f>
        <v/>
      </c>
      <c r="L875" s="37">
        <f>IF(OR(D875="",A875=""),"",A875+IF(AND(Config!$B$17="Sim",LEFT(D875,17)="Cartão de crédito"),1,IFERROR(INDEX(Config!$C$12:$C$15,MATCH(IF(AND(D875="Cartão de crédito",N(E875)&gt;1),"Cartão de crédito parcelado",D875),Config!$A$12:$A$15,0)),0)))</f>
        <v/>
      </c>
      <c r="M875" s="37">
        <f>IF(L875="","",IF(AND(Config!$B$17="Sim",LEFT(D875,17)="Cartão de crédito"),L875,L875+30*(MAX(1,N(E875))-1)))</f>
        <v/>
      </c>
      <c r="N875" s="29">
        <f>IF(OR(L875="",K875=""),"",K875*MIN(MAX(1,N(E875)),MAX(0,INT((Config!$B$8-L875)/30)+1)))</f>
        <v/>
      </c>
      <c r="O875" s="29">
        <f>IF(J875="","",J875-N(N875))</f>
        <v/>
      </c>
      <c r="P875" s="27">
        <f>IF(A875="","",MONTH(A875))</f>
        <v/>
      </c>
      <c r="Q875" s="27">
        <f>IF(A875="","",YEAR(A875))</f>
        <v/>
      </c>
      <c r="R875" s="27">
        <f>IF(L875="","",IF(L875&gt;Config!$B$8,"A cair",IF(N(G875)&gt;=MIN(MAX(1,N(E875)),MAX(0,INT((Config!$B$8-L875)/30)+1)),IF(N(G875)&gt;=MAX(1,N(E875)),"Conferido","Conferido até aqui"),"A conferir")))</f>
        <v/>
      </c>
      <c r="S875" s="51">
        <f>IF(R875="A conferir",(Config!$B$8-L875)*1000+N(F875)/1000+ROW()/100000,0)</f>
        <v>0</v>
      </c>
      <c r="T875" s="51">
        <f>IF(R875="A conferir",N(N875),0)</f>
        <v>0</v>
      </c>
      <c r="U875" s="51">
        <f>IF(L875="",0,L875)</f>
        <v>0</v>
      </c>
      <c r="V875" s="51">
        <f>IF(L875="",0,MAX(1,N(E875)))</f>
        <v>0</v>
      </c>
      <c r="W875" s="51">
        <f>IF(K875="",0,K875)</f>
        <v>0</v>
      </c>
    </row>
    <row r="876">
      <c r="A876" s="49" t="n"/>
      <c r="B876" s="41" t="n"/>
      <c r="C876" s="41" t="n"/>
      <c r="D876" s="42" t="n"/>
      <c r="E876" s="42" t="n"/>
      <c r="F876" s="50" t="n"/>
      <c r="G876" s="42" t="n"/>
      <c r="H876" s="30">
        <f>IF(D876="","",IFERROR(INDEX(Config!$B$12:$B$15,MATCH(IF(AND(D876="Cartão de crédito",N(E876)&gt;1),"Cartão de crédito parcelado",D876),Config!$A$12:$A$15,0)),0)+IF(AND(Config!$B$17="Sim",LEFT(D876,17)="Cartão de crédito"),Config!$B$18*IFERROR(INDEX(Config!$C$12:$C$15,MATCH(IF(AND(D876="Cartão de crédito",N(E876)&gt;1),"Cartão de crédito parcelado",D876),Config!$A$12:$A$15,0)),0)/30*MAX(1,N(E876)),0))</f>
        <v/>
      </c>
      <c r="I876" s="29">
        <f>IF(OR(D876="",F876=""),"",ROUND(F876*H876,2))</f>
        <v/>
      </c>
      <c r="J876" s="29">
        <f>IF(I876="","",F876-I876)</f>
        <v/>
      </c>
      <c r="K876" s="29">
        <f>IF(J876="","",J876/MAX(1,N(E876)))</f>
        <v/>
      </c>
      <c r="L876" s="37">
        <f>IF(OR(D876="",A876=""),"",A876+IF(AND(Config!$B$17="Sim",LEFT(D876,17)="Cartão de crédito"),1,IFERROR(INDEX(Config!$C$12:$C$15,MATCH(IF(AND(D876="Cartão de crédito",N(E876)&gt;1),"Cartão de crédito parcelado",D876),Config!$A$12:$A$15,0)),0)))</f>
        <v/>
      </c>
      <c r="M876" s="37">
        <f>IF(L876="","",IF(AND(Config!$B$17="Sim",LEFT(D876,17)="Cartão de crédito"),L876,L876+30*(MAX(1,N(E876))-1)))</f>
        <v/>
      </c>
      <c r="N876" s="29">
        <f>IF(OR(L876="",K876=""),"",K876*MIN(MAX(1,N(E876)),MAX(0,INT((Config!$B$8-L876)/30)+1)))</f>
        <v/>
      </c>
      <c r="O876" s="29">
        <f>IF(J876="","",J876-N(N876))</f>
        <v/>
      </c>
      <c r="P876" s="27">
        <f>IF(A876="","",MONTH(A876))</f>
        <v/>
      </c>
      <c r="Q876" s="27">
        <f>IF(A876="","",YEAR(A876))</f>
        <v/>
      </c>
      <c r="R876" s="27">
        <f>IF(L876="","",IF(L876&gt;Config!$B$8,"A cair",IF(N(G876)&gt;=MIN(MAX(1,N(E876)),MAX(0,INT((Config!$B$8-L876)/30)+1)),IF(N(G876)&gt;=MAX(1,N(E876)),"Conferido","Conferido até aqui"),"A conferir")))</f>
        <v/>
      </c>
      <c r="S876" s="51">
        <f>IF(R876="A conferir",(Config!$B$8-L876)*1000+N(F876)/1000+ROW()/100000,0)</f>
        <v>0</v>
      </c>
      <c r="T876" s="51">
        <f>IF(R876="A conferir",N(N876),0)</f>
        <v>0</v>
      </c>
      <c r="U876" s="51">
        <f>IF(L876="",0,L876)</f>
        <v>0</v>
      </c>
      <c r="V876" s="51">
        <f>IF(L876="",0,MAX(1,N(E876)))</f>
        <v>0</v>
      </c>
      <c r="W876" s="51">
        <f>IF(K876="",0,K876)</f>
        <v>0</v>
      </c>
    </row>
    <row r="877">
      <c r="A877" s="49" t="n"/>
      <c r="B877" s="41" t="n"/>
      <c r="C877" s="41" t="n"/>
      <c r="D877" s="42" t="n"/>
      <c r="E877" s="42" t="n"/>
      <c r="F877" s="50" t="n"/>
      <c r="G877" s="42" t="n"/>
      <c r="H877" s="30">
        <f>IF(D877="","",IFERROR(INDEX(Config!$B$12:$B$15,MATCH(IF(AND(D877="Cartão de crédito",N(E877)&gt;1),"Cartão de crédito parcelado",D877),Config!$A$12:$A$15,0)),0)+IF(AND(Config!$B$17="Sim",LEFT(D877,17)="Cartão de crédito"),Config!$B$18*IFERROR(INDEX(Config!$C$12:$C$15,MATCH(IF(AND(D877="Cartão de crédito",N(E877)&gt;1),"Cartão de crédito parcelado",D877),Config!$A$12:$A$15,0)),0)/30*MAX(1,N(E877)),0))</f>
        <v/>
      </c>
      <c r="I877" s="29">
        <f>IF(OR(D877="",F877=""),"",ROUND(F877*H877,2))</f>
        <v/>
      </c>
      <c r="J877" s="29">
        <f>IF(I877="","",F877-I877)</f>
        <v/>
      </c>
      <c r="K877" s="29">
        <f>IF(J877="","",J877/MAX(1,N(E877)))</f>
        <v/>
      </c>
      <c r="L877" s="37">
        <f>IF(OR(D877="",A877=""),"",A877+IF(AND(Config!$B$17="Sim",LEFT(D877,17)="Cartão de crédito"),1,IFERROR(INDEX(Config!$C$12:$C$15,MATCH(IF(AND(D877="Cartão de crédito",N(E877)&gt;1),"Cartão de crédito parcelado",D877),Config!$A$12:$A$15,0)),0)))</f>
        <v/>
      </c>
      <c r="M877" s="37">
        <f>IF(L877="","",IF(AND(Config!$B$17="Sim",LEFT(D877,17)="Cartão de crédito"),L877,L877+30*(MAX(1,N(E877))-1)))</f>
        <v/>
      </c>
      <c r="N877" s="29">
        <f>IF(OR(L877="",K877=""),"",K877*MIN(MAX(1,N(E877)),MAX(0,INT((Config!$B$8-L877)/30)+1)))</f>
        <v/>
      </c>
      <c r="O877" s="29">
        <f>IF(J877="","",J877-N(N877))</f>
        <v/>
      </c>
      <c r="P877" s="27">
        <f>IF(A877="","",MONTH(A877))</f>
        <v/>
      </c>
      <c r="Q877" s="27">
        <f>IF(A877="","",YEAR(A877))</f>
        <v/>
      </c>
      <c r="R877" s="27">
        <f>IF(L877="","",IF(L877&gt;Config!$B$8,"A cair",IF(N(G877)&gt;=MIN(MAX(1,N(E877)),MAX(0,INT((Config!$B$8-L877)/30)+1)),IF(N(G877)&gt;=MAX(1,N(E877)),"Conferido","Conferido até aqui"),"A conferir")))</f>
        <v/>
      </c>
      <c r="S877" s="51">
        <f>IF(R877="A conferir",(Config!$B$8-L877)*1000+N(F877)/1000+ROW()/100000,0)</f>
        <v>0</v>
      </c>
      <c r="T877" s="51">
        <f>IF(R877="A conferir",N(N877),0)</f>
        <v>0</v>
      </c>
      <c r="U877" s="51">
        <f>IF(L877="",0,L877)</f>
        <v>0</v>
      </c>
      <c r="V877" s="51">
        <f>IF(L877="",0,MAX(1,N(E877)))</f>
        <v>0</v>
      </c>
      <c r="W877" s="51">
        <f>IF(K877="",0,K877)</f>
        <v>0</v>
      </c>
    </row>
    <row r="878">
      <c r="A878" s="49" t="n"/>
      <c r="B878" s="41" t="n"/>
      <c r="C878" s="41" t="n"/>
      <c r="D878" s="42" t="n"/>
      <c r="E878" s="42" t="n"/>
      <c r="F878" s="50" t="n"/>
      <c r="G878" s="42" t="n"/>
      <c r="H878" s="30">
        <f>IF(D878="","",IFERROR(INDEX(Config!$B$12:$B$15,MATCH(IF(AND(D878="Cartão de crédito",N(E878)&gt;1),"Cartão de crédito parcelado",D878),Config!$A$12:$A$15,0)),0)+IF(AND(Config!$B$17="Sim",LEFT(D878,17)="Cartão de crédito"),Config!$B$18*IFERROR(INDEX(Config!$C$12:$C$15,MATCH(IF(AND(D878="Cartão de crédito",N(E878)&gt;1),"Cartão de crédito parcelado",D878),Config!$A$12:$A$15,0)),0)/30*MAX(1,N(E878)),0))</f>
        <v/>
      </c>
      <c r="I878" s="29">
        <f>IF(OR(D878="",F878=""),"",ROUND(F878*H878,2))</f>
        <v/>
      </c>
      <c r="J878" s="29">
        <f>IF(I878="","",F878-I878)</f>
        <v/>
      </c>
      <c r="K878" s="29">
        <f>IF(J878="","",J878/MAX(1,N(E878)))</f>
        <v/>
      </c>
      <c r="L878" s="37">
        <f>IF(OR(D878="",A878=""),"",A878+IF(AND(Config!$B$17="Sim",LEFT(D878,17)="Cartão de crédito"),1,IFERROR(INDEX(Config!$C$12:$C$15,MATCH(IF(AND(D878="Cartão de crédito",N(E878)&gt;1),"Cartão de crédito parcelado",D878),Config!$A$12:$A$15,0)),0)))</f>
        <v/>
      </c>
      <c r="M878" s="37">
        <f>IF(L878="","",IF(AND(Config!$B$17="Sim",LEFT(D878,17)="Cartão de crédito"),L878,L878+30*(MAX(1,N(E878))-1)))</f>
        <v/>
      </c>
      <c r="N878" s="29">
        <f>IF(OR(L878="",K878=""),"",K878*MIN(MAX(1,N(E878)),MAX(0,INT((Config!$B$8-L878)/30)+1)))</f>
        <v/>
      </c>
      <c r="O878" s="29">
        <f>IF(J878="","",J878-N(N878))</f>
        <v/>
      </c>
      <c r="P878" s="27">
        <f>IF(A878="","",MONTH(A878))</f>
        <v/>
      </c>
      <c r="Q878" s="27">
        <f>IF(A878="","",YEAR(A878))</f>
        <v/>
      </c>
      <c r="R878" s="27">
        <f>IF(L878="","",IF(L878&gt;Config!$B$8,"A cair",IF(N(G878)&gt;=MIN(MAX(1,N(E878)),MAX(0,INT((Config!$B$8-L878)/30)+1)),IF(N(G878)&gt;=MAX(1,N(E878)),"Conferido","Conferido até aqui"),"A conferir")))</f>
        <v/>
      </c>
      <c r="S878" s="51">
        <f>IF(R878="A conferir",(Config!$B$8-L878)*1000+N(F878)/1000+ROW()/100000,0)</f>
        <v>0</v>
      </c>
      <c r="T878" s="51">
        <f>IF(R878="A conferir",N(N878),0)</f>
        <v>0</v>
      </c>
      <c r="U878" s="51">
        <f>IF(L878="",0,L878)</f>
        <v>0</v>
      </c>
      <c r="V878" s="51">
        <f>IF(L878="",0,MAX(1,N(E878)))</f>
        <v>0</v>
      </c>
      <c r="W878" s="51">
        <f>IF(K878="",0,K878)</f>
        <v>0</v>
      </c>
    </row>
    <row r="879">
      <c r="A879" s="49" t="n"/>
      <c r="B879" s="41" t="n"/>
      <c r="C879" s="41" t="n"/>
      <c r="D879" s="42" t="n"/>
      <c r="E879" s="42" t="n"/>
      <c r="F879" s="50" t="n"/>
      <c r="G879" s="42" t="n"/>
      <c r="H879" s="30">
        <f>IF(D879="","",IFERROR(INDEX(Config!$B$12:$B$15,MATCH(IF(AND(D879="Cartão de crédito",N(E879)&gt;1),"Cartão de crédito parcelado",D879),Config!$A$12:$A$15,0)),0)+IF(AND(Config!$B$17="Sim",LEFT(D879,17)="Cartão de crédito"),Config!$B$18*IFERROR(INDEX(Config!$C$12:$C$15,MATCH(IF(AND(D879="Cartão de crédito",N(E879)&gt;1),"Cartão de crédito parcelado",D879),Config!$A$12:$A$15,0)),0)/30*MAX(1,N(E879)),0))</f>
        <v/>
      </c>
      <c r="I879" s="29">
        <f>IF(OR(D879="",F879=""),"",ROUND(F879*H879,2))</f>
        <v/>
      </c>
      <c r="J879" s="29">
        <f>IF(I879="","",F879-I879)</f>
        <v/>
      </c>
      <c r="K879" s="29">
        <f>IF(J879="","",J879/MAX(1,N(E879)))</f>
        <v/>
      </c>
      <c r="L879" s="37">
        <f>IF(OR(D879="",A879=""),"",A879+IF(AND(Config!$B$17="Sim",LEFT(D879,17)="Cartão de crédito"),1,IFERROR(INDEX(Config!$C$12:$C$15,MATCH(IF(AND(D879="Cartão de crédito",N(E879)&gt;1),"Cartão de crédito parcelado",D879),Config!$A$12:$A$15,0)),0)))</f>
        <v/>
      </c>
      <c r="M879" s="37">
        <f>IF(L879="","",IF(AND(Config!$B$17="Sim",LEFT(D879,17)="Cartão de crédito"),L879,L879+30*(MAX(1,N(E879))-1)))</f>
        <v/>
      </c>
      <c r="N879" s="29">
        <f>IF(OR(L879="",K879=""),"",K879*MIN(MAX(1,N(E879)),MAX(0,INT((Config!$B$8-L879)/30)+1)))</f>
        <v/>
      </c>
      <c r="O879" s="29">
        <f>IF(J879="","",J879-N(N879))</f>
        <v/>
      </c>
      <c r="P879" s="27">
        <f>IF(A879="","",MONTH(A879))</f>
        <v/>
      </c>
      <c r="Q879" s="27">
        <f>IF(A879="","",YEAR(A879))</f>
        <v/>
      </c>
      <c r="R879" s="27">
        <f>IF(L879="","",IF(L879&gt;Config!$B$8,"A cair",IF(N(G879)&gt;=MIN(MAX(1,N(E879)),MAX(0,INT((Config!$B$8-L879)/30)+1)),IF(N(G879)&gt;=MAX(1,N(E879)),"Conferido","Conferido até aqui"),"A conferir")))</f>
        <v/>
      </c>
      <c r="S879" s="51">
        <f>IF(R879="A conferir",(Config!$B$8-L879)*1000+N(F879)/1000+ROW()/100000,0)</f>
        <v>0</v>
      </c>
      <c r="T879" s="51">
        <f>IF(R879="A conferir",N(N879),0)</f>
        <v>0</v>
      </c>
      <c r="U879" s="51">
        <f>IF(L879="",0,L879)</f>
        <v>0</v>
      </c>
      <c r="V879" s="51">
        <f>IF(L879="",0,MAX(1,N(E879)))</f>
        <v>0</v>
      </c>
      <c r="W879" s="51">
        <f>IF(K879="",0,K879)</f>
        <v>0</v>
      </c>
    </row>
    <row r="880">
      <c r="A880" s="49" t="n"/>
      <c r="B880" s="41" t="n"/>
      <c r="C880" s="41" t="n"/>
      <c r="D880" s="42" t="n"/>
      <c r="E880" s="42" t="n"/>
      <c r="F880" s="50" t="n"/>
      <c r="G880" s="42" t="n"/>
      <c r="H880" s="30">
        <f>IF(D880="","",IFERROR(INDEX(Config!$B$12:$B$15,MATCH(IF(AND(D880="Cartão de crédito",N(E880)&gt;1),"Cartão de crédito parcelado",D880),Config!$A$12:$A$15,0)),0)+IF(AND(Config!$B$17="Sim",LEFT(D880,17)="Cartão de crédito"),Config!$B$18*IFERROR(INDEX(Config!$C$12:$C$15,MATCH(IF(AND(D880="Cartão de crédito",N(E880)&gt;1),"Cartão de crédito parcelado",D880),Config!$A$12:$A$15,0)),0)/30*MAX(1,N(E880)),0))</f>
        <v/>
      </c>
      <c r="I880" s="29">
        <f>IF(OR(D880="",F880=""),"",ROUND(F880*H880,2))</f>
        <v/>
      </c>
      <c r="J880" s="29">
        <f>IF(I880="","",F880-I880)</f>
        <v/>
      </c>
      <c r="K880" s="29">
        <f>IF(J880="","",J880/MAX(1,N(E880)))</f>
        <v/>
      </c>
      <c r="L880" s="37">
        <f>IF(OR(D880="",A880=""),"",A880+IF(AND(Config!$B$17="Sim",LEFT(D880,17)="Cartão de crédito"),1,IFERROR(INDEX(Config!$C$12:$C$15,MATCH(IF(AND(D880="Cartão de crédito",N(E880)&gt;1),"Cartão de crédito parcelado",D880),Config!$A$12:$A$15,0)),0)))</f>
        <v/>
      </c>
      <c r="M880" s="37">
        <f>IF(L880="","",IF(AND(Config!$B$17="Sim",LEFT(D880,17)="Cartão de crédito"),L880,L880+30*(MAX(1,N(E880))-1)))</f>
        <v/>
      </c>
      <c r="N880" s="29">
        <f>IF(OR(L880="",K880=""),"",K880*MIN(MAX(1,N(E880)),MAX(0,INT((Config!$B$8-L880)/30)+1)))</f>
        <v/>
      </c>
      <c r="O880" s="29">
        <f>IF(J880="","",J880-N(N880))</f>
        <v/>
      </c>
      <c r="P880" s="27">
        <f>IF(A880="","",MONTH(A880))</f>
        <v/>
      </c>
      <c r="Q880" s="27">
        <f>IF(A880="","",YEAR(A880))</f>
        <v/>
      </c>
      <c r="R880" s="27">
        <f>IF(L880="","",IF(L880&gt;Config!$B$8,"A cair",IF(N(G880)&gt;=MIN(MAX(1,N(E880)),MAX(0,INT((Config!$B$8-L880)/30)+1)),IF(N(G880)&gt;=MAX(1,N(E880)),"Conferido","Conferido até aqui"),"A conferir")))</f>
        <v/>
      </c>
      <c r="S880" s="51">
        <f>IF(R880="A conferir",(Config!$B$8-L880)*1000+N(F880)/1000+ROW()/100000,0)</f>
        <v>0</v>
      </c>
      <c r="T880" s="51">
        <f>IF(R880="A conferir",N(N880),0)</f>
        <v>0</v>
      </c>
      <c r="U880" s="51">
        <f>IF(L880="",0,L880)</f>
        <v>0</v>
      </c>
      <c r="V880" s="51">
        <f>IF(L880="",0,MAX(1,N(E880)))</f>
        <v>0</v>
      </c>
      <c r="W880" s="51">
        <f>IF(K880="",0,K880)</f>
        <v>0</v>
      </c>
    </row>
    <row r="881">
      <c r="A881" s="49" t="n"/>
      <c r="B881" s="41" t="n"/>
      <c r="C881" s="41" t="n"/>
      <c r="D881" s="42" t="n"/>
      <c r="E881" s="42" t="n"/>
      <c r="F881" s="50" t="n"/>
      <c r="G881" s="42" t="n"/>
      <c r="H881" s="30">
        <f>IF(D881="","",IFERROR(INDEX(Config!$B$12:$B$15,MATCH(IF(AND(D881="Cartão de crédito",N(E881)&gt;1),"Cartão de crédito parcelado",D881),Config!$A$12:$A$15,0)),0)+IF(AND(Config!$B$17="Sim",LEFT(D881,17)="Cartão de crédito"),Config!$B$18*IFERROR(INDEX(Config!$C$12:$C$15,MATCH(IF(AND(D881="Cartão de crédito",N(E881)&gt;1),"Cartão de crédito parcelado",D881),Config!$A$12:$A$15,0)),0)/30*MAX(1,N(E881)),0))</f>
        <v/>
      </c>
      <c r="I881" s="29">
        <f>IF(OR(D881="",F881=""),"",ROUND(F881*H881,2))</f>
        <v/>
      </c>
      <c r="J881" s="29">
        <f>IF(I881="","",F881-I881)</f>
        <v/>
      </c>
      <c r="K881" s="29">
        <f>IF(J881="","",J881/MAX(1,N(E881)))</f>
        <v/>
      </c>
      <c r="L881" s="37">
        <f>IF(OR(D881="",A881=""),"",A881+IF(AND(Config!$B$17="Sim",LEFT(D881,17)="Cartão de crédito"),1,IFERROR(INDEX(Config!$C$12:$C$15,MATCH(IF(AND(D881="Cartão de crédito",N(E881)&gt;1),"Cartão de crédito parcelado",D881),Config!$A$12:$A$15,0)),0)))</f>
        <v/>
      </c>
      <c r="M881" s="37">
        <f>IF(L881="","",IF(AND(Config!$B$17="Sim",LEFT(D881,17)="Cartão de crédito"),L881,L881+30*(MAX(1,N(E881))-1)))</f>
        <v/>
      </c>
      <c r="N881" s="29">
        <f>IF(OR(L881="",K881=""),"",K881*MIN(MAX(1,N(E881)),MAX(0,INT((Config!$B$8-L881)/30)+1)))</f>
        <v/>
      </c>
      <c r="O881" s="29">
        <f>IF(J881="","",J881-N(N881))</f>
        <v/>
      </c>
      <c r="P881" s="27">
        <f>IF(A881="","",MONTH(A881))</f>
        <v/>
      </c>
      <c r="Q881" s="27">
        <f>IF(A881="","",YEAR(A881))</f>
        <v/>
      </c>
      <c r="R881" s="27">
        <f>IF(L881="","",IF(L881&gt;Config!$B$8,"A cair",IF(N(G881)&gt;=MIN(MAX(1,N(E881)),MAX(0,INT((Config!$B$8-L881)/30)+1)),IF(N(G881)&gt;=MAX(1,N(E881)),"Conferido","Conferido até aqui"),"A conferir")))</f>
        <v/>
      </c>
      <c r="S881" s="51">
        <f>IF(R881="A conferir",(Config!$B$8-L881)*1000+N(F881)/1000+ROW()/100000,0)</f>
        <v>0</v>
      </c>
      <c r="T881" s="51">
        <f>IF(R881="A conferir",N(N881),0)</f>
        <v>0</v>
      </c>
      <c r="U881" s="51">
        <f>IF(L881="",0,L881)</f>
        <v>0</v>
      </c>
      <c r="V881" s="51">
        <f>IF(L881="",0,MAX(1,N(E881)))</f>
        <v>0</v>
      </c>
      <c r="W881" s="51">
        <f>IF(K881="",0,K881)</f>
        <v>0</v>
      </c>
    </row>
    <row r="882">
      <c r="A882" s="49" t="n"/>
      <c r="B882" s="41" t="n"/>
      <c r="C882" s="41" t="n"/>
      <c r="D882" s="42" t="n"/>
      <c r="E882" s="42" t="n"/>
      <c r="F882" s="50" t="n"/>
      <c r="G882" s="42" t="n"/>
      <c r="H882" s="30">
        <f>IF(D882="","",IFERROR(INDEX(Config!$B$12:$B$15,MATCH(IF(AND(D882="Cartão de crédito",N(E882)&gt;1),"Cartão de crédito parcelado",D882),Config!$A$12:$A$15,0)),0)+IF(AND(Config!$B$17="Sim",LEFT(D882,17)="Cartão de crédito"),Config!$B$18*IFERROR(INDEX(Config!$C$12:$C$15,MATCH(IF(AND(D882="Cartão de crédito",N(E882)&gt;1),"Cartão de crédito parcelado",D882),Config!$A$12:$A$15,0)),0)/30*MAX(1,N(E882)),0))</f>
        <v/>
      </c>
      <c r="I882" s="29">
        <f>IF(OR(D882="",F882=""),"",ROUND(F882*H882,2))</f>
        <v/>
      </c>
      <c r="J882" s="29">
        <f>IF(I882="","",F882-I882)</f>
        <v/>
      </c>
      <c r="K882" s="29">
        <f>IF(J882="","",J882/MAX(1,N(E882)))</f>
        <v/>
      </c>
      <c r="L882" s="37">
        <f>IF(OR(D882="",A882=""),"",A882+IF(AND(Config!$B$17="Sim",LEFT(D882,17)="Cartão de crédito"),1,IFERROR(INDEX(Config!$C$12:$C$15,MATCH(IF(AND(D882="Cartão de crédito",N(E882)&gt;1),"Cartão de crédito parcelado",D882),Config!$A$12:$A$15,0)),0)))</f>
        <v/>
      </c>
      <c r="M882" s="37">
        <f>IF(L882="","",IF(AND(Config!$B$17="Sim",LEFT(D882,17)="Cartão de crédito"),L882,L882+30*(MAX(1,N(E882))-1)))</f>
        <v/>
      </c>
      <c r="N882" s="29">
        <f>IF(OR(L882="",K882=""),"",K882*MIN(MAX(1,N(E882)),MAX(0,INT((Config!$B$8-L882)/30)+1)))</f>
        <v/>
      </c>
      <c r="O882" s="29">
        <f>IF(J882="","",J882-N(N882))</f>
        <v/>
      </c>
      <c r="P882" s="27">
        <f>IF(A882="","",MONTH(A882))</f>
        <v/>
      </c>
      <c r="Q882" s="27">
        <f>IF(A882="","",YEAR(A882))</f>
        <v/>
      </c>
      <c r="R882" s="27">
        <f>IF(L882="","",IF(L882&gt;Config!$B$8,"A cair",IF(N(G882)&gt;=MIN(MAX(1,N(E882)),MAX(0,INT((Config!$B$8-L882)/30)+1)),IF(N(G882)&gt;=MAX(1,N(E882)),"Conferido","Conferido até aqui"),"A conferir")))</f>
        <v/>
      </c>
      <c r="S882" s="51">
        <f>IF(R882="A conferir",(Config!$B$8-L882)*1000+N(F882)/1000+ROW()/100000,0)</f>
        <v>0</v>
      </c>
      <c r="T882" s="51">
        <f>IF(R882="A conferir",N(N882),0)</f>
        <v>0</v>
      </c>
      <c r="U882" s="51">
        <f>IF(L882="",0,L882)</f>
        <v>0</v>
      </c>
      <c r="V882" s="51">
        <f>IF(L882="",0,MAX(1,N(E882)))</f>
        <v>0</v>
      </c>
      <c r="W882" s="51">
        <f>IF(K882="",0,K882)</f>
        <v>0</v>
      </c>
    </row>
    <row r="883">
      <c r="A883" s="49" t="n"/>
      <c r="B883" s="41" t="n"/>
      <c r="C883" s="41" t="n"/>
      <c r="D883" s="42" t="n"/>
      <c r="E883" s="42" t="n"/>
      <c r="F883" s="50" t="n"/>
      <c r="G883" s="42" t="n"/>
      <c r="H883" s="30">
        <f>IF(D883="","",IFERROR(INDEX(Config!$B$12:$B$15,MATCH(IF(AND(D883="Cartão de crédito",N(E883)&gt;1),"Cartão de crédito parcelado",D883),Config!$A$12:$A$15,0)),0)+IF(AND(Config!$B$17="Sim",LEFT(D883,17)="Cartão de crédito"),Config!$B$18*IFERROR(INDEX(Config!$C$12:$C$15,MATCH(IF(AND(D883="Cartão de crédito",N(E883)&gt;1),"Cartão de crédito parcelado",D883),Config!$A$12:$A$15,0)),0)/30*MAX(1,N(E883)),0))</f>
        <v/>
      </c>
      <c r="I883" s="29">
        <f>IF(OR(D883="",F883=""),"",ROUND(F883*H883,2))</f>
        <v/>
      </c>
      <c r="J883" s="29">
        <f>IF(I883="","",F883-I883)</f>
        <v/>
      </c>
      <c r="K883" s="29">
        <f>IF(J883="","",J883/MAX(1,N(E883)))</f>
        <v/>
      </c>
      <c r="L883" s="37">
        <f>IF(OR(D883="",A883=""),"",A883+IF(AND(Config!$B$17="Sim",LEFT(D883,17)="Cartão de crédito"),1,IFERROR(INDEX(Config!$C$12:$C$15,MATCH(IF(AND(D883="Cartão de crédito",N(E883)&gt;1),"Cartão de crédito parcelado",D883),Config!$A$12:$A$15,0)),0)))</f>
        <v/>
      </c>
      <c r="M883" s="37">
        <f>IF(L883="","",IF(AND(Config!$B$17="Sim",LEFT(D883,17)="Cartão de crédito"),L883,L883+30*(MAX(1,N(E883))-1)))</f>
        <v/>
      </c>
      <c r="N883" s="29">
        <f>IF(OR(L883="",K883=""),"",K883*MIN(MAX(1,N(E883)),MAX(0,INT((Config!$B$8-L883)/30)+1)))</f>
        <v/>
      </c>
      <c r="O883" s="29">
        <f>IF(J883="","",J883-N(N883))</f>
        <v/>
      </c>
      <c r="P883" s="27">
        <f>IF(A883="","",MONTH(A883))</f>
        <v/>
      </c>
      <c r="Q883" s="27">
        <f>IF(A883="","",YEAR(A883))</f>
        <v/>
      </c>
      <c r="R883" s="27">
        <f>IF(L883="","",IF(L883&gt;Config!$B$8,"A cair",IF(N(G883)&gt;=MIN(MAX(1,N(E883)),MAX(0,INT((Config!$B$8-L883)/30)+1)),IF(N(G883)&gt;=MAX(1,N(E883)),"Conferido","Conferido até aqui"),"A conferir")))</f>
        <v/>
      </c>
      <c r="S883" s="51">
        <f>IF(R883="A conferir",(Config!$B$8-L883)*1000+N(F883)/1000+ROW()/100000,0)</f>
        <v>0</v>
      </c>
      <c r="T883" s="51">
        <f>IF(R883="A conferir",N(N883),0)</f>
        <v>0</v>
      </c>
      <c r="U883" s="51">
        <f>IF(L883="",0,L883)</f>
        <v>0</v>
      </c>
      <c r="V883" s="51">
        <f>IF(L883="",0,MAX(1,N(E883)))</f>
        <v>0</v>
      </c>
      <c r="W883" s="51">
        <f>IF(K883="",0,K883)</f>
        <v>0</v>
      </c>
    </row>
    <row r="884">
      <c r="A884" s="49" t="n"/>
      <c r="B884" s="41" t="n"/>
      <c r="C884" s="41" t="n"/>
      <c r="D884" s="42" t="n"/>
      <c r="E884" s="42" t="n"/>
      <c r="F884" s="50" t="n"/>
      <c r="G884" s="42" t="n"/>
      <c r="H884" s="30">
        <f>IF(D884="","",IFERROR(INDEX(Config!$B$12:$B$15,MATCH(IF(AND(D884="Cartão de crédito",N(E884)&gt;1),"Cartão de crédito parcelado",D884),Config!$A$12:$A$15,0)),0)+IF(AND(Config!$B$17="Sim",LEFT(D884,17)="Cartão de crédito"),Config!$B$18*IFERROR(INDEX(Config!$C$12:$C$15,MATCH(IF(AND(D884="Cartão de crédito",N(E884)&gt;1),"Cartão de crédito parcelado",D884),Config!$A$12:$A$15,0)),0)/30*MAX(1,N(E884)),0))</f>
        <v/>
      </c>
      <c r="I884" s="29">
        <f>IF(OR(D884="",F884=""),"",ROUND(F884*H884,2))</f>
        <v/>
      </c>
      <c r="J884" s="29">
        <f>IF(I884="","",F884-I884)</f>
        <v/>
      </c>
      <c r="K884" s="29">
        <f>IF(J884="","",J884/MAX(1,N(E884)))</f>
        <v/>
      </c>
      <c r="L884" s="37">
        <f>IF(OR(D884="",A884=""),"",A884+IF(AND(Config!$B$17="Sim",LEFT(D884,17)="Cartão de crédito"),1,IFERROR(INDEX(Config!$C$12:$C$15,MATCH(IF(AND(D884="Cartão de crédito",N(E884)&gt;1),"Cartão de crédito parcelado",D884),Config!$A$12:$A$15,0)),0)))</f>
        <v/>
      </c>
      <c r="M884" s="37">
        <f>IF(L884="","",IF(AND(Config!$B$17="Sim",LEFT(D884,17)="Cartão de crédito"),L884,L884+30*(MAX(1,N(E884))-1)))</f>
        <v/>
      </c>
      <c r="N884" s="29">
        <f>IF(OR(L884="",K884=""),"",K884*MIN(MAX(1,N(E884)),MAX(0,INT((Config!$B$8-L884)/30)+1)))</f>
        <v/>
      </c>
      <c r="O884" s="29">
        <f>IF(J884="","",J884-N(N884))</f>
        <v/>
      </c>
      <c r="P884" s="27">
        <f>IF(A884="","",MONTH(A884))</f>
        <v/>
      </c>
      <c r="Q884" s="27">
        <f>IF(A884="","",YEAR(A884))</f>
        <v/>
      </c>
      <c r="R884" s="27">
        <f>IF(L884="","",IF(L884&gt;Config!$B$8,"A cair",IF(N(G884)&gt;=MIN(MAX(1,N(E884)),MAX(0,INT((Config!$B$8-L884)/30)+1)),IF(N(G884)&gt;=MAX(1,N(E884)),"Conferido","Conferido até aqui"),"A conferir")))</f>
        <v/>
      </c>
      <c r="S884" s="51">
        <f>IF(R884="A conferir",(Config!$B$8-L884)*1000+N(F884)/1000+ROW()/100000,0)</f>
        <v>0</v>
      </c>
      <c r="T884" s="51">
        <f>IF(R884="A conferir",N(N884),0)</f>
        <v>0</v>
      </c>
      <c r="U884" s="51">
        <f>IF(L884="",0,L884)</f>
        <v>0</v>
      </c>
      <c r="V884" s="51">
        <f>IF(L884="",0,MAX(1,N(E884)))</f>
        <v>0</v>
      </c>
      <c r="W884" s="51">
        <f>IF(K884="",0,K884)</f>
        <v>0</v>
      </c>
    </row>
    <row r="885">
      <c r="A885" s="49" t="n"/>
      <c r="B885" s="41" t="n"/>
      <c r="C885" s="41" t="n"/>
      <c r="D885" s="42" t="n"/>
      <c r="E885" s="42" t="n"/>
      <c r="F885" s="50" t="n"/>
      <c r="G885" s="42" t="n"/>
      <c r="H885" s="30">
        <f>IF(D885="","",IFERROR(INDEX(Config!$B$12:$B$15,MATCH(IF(AND(D885="Cartão de crédito",N(E885)&gt;1),"Cartão de crédito parcelado",D885),Config!$A$12:$A$15,0)),0)+IF(AND(Config!$B$17="Sim",LEFT(D885,17)="Cartão de crédito"),Config!$B$18*IFERROR(INDEX(Config!$C$12:$C$15,MATCH(IF(AND(D885="Cartão de crédito",N(E885)&gt;1),"Cartão de crédito parcelado",D885),Config!$A$12:$A$15,0)),0)/30*MAX(1,N(E885)),0))</f>
        <v/>
      </c>
      <c r="I885" s="29">
        <f>IF(OR(D885="",F885=""),"",ROUND(F885*H885,2))</f>
        <v/>
      </c>
      <c r="J885" s="29">
        <f>IF(I885="","",F885-I885)</f>
        <v/>
      </c>
      <c r="K885" s="29">
        <f>IF(J885="","",J885/MAX(1,N(E885)))</f>
        <v/>
      </c>
      <c r="L885" s="37">
        <f>IF(OR(D885="",A885=""),"",A885+IF(AND(Config!$B$17="Sim",LEFT(D885,17)="Cartão de crédito"),1,IFERROR(INDEX(Config!$C$12:$C$15,MATCH(IF(AND(D885="Cartão de crédito",N(E885)&gt;1),"Cartão de crédito parcelado",D885),Config!$A$12:$A$15,0)),0)))</f>
        <v/>
      </c>
      <c r="M885" s="37">
        <f>IF(L885="","",IF(AND(Config!$B$17="Sim",LEFT(D885,17)="Cartão de crédito"),L885,L885+30*(MAX(1,N(E885))-1)))</f>
        <v/>
      </c>
      <c r="N885" s="29">
        <f>IF(OR(L885="",K885=""),"",K885*MIN(MAX(1,N(E885)),MAX(0,INT((Config!$B$8-L885)/30)+1)))</f>
        <v/>
      </c>
      <c r="O885" s="29">
        <f>IF(J885="","",J885-N(N885))</f>
        <v/>
      </c>
      <c r="P885" s="27">
        <f>IF(A885="","",MONTH(A885))</f>
        <v/>
      </c>
      <c r="Q885" s="27">
        <f>IF(A885="","",YEAR(A885))</f>
        <v/>
      </c>
      <c r="R885" s="27">
        <f>IF(L885="","",IF(L885&gt;Config!$B$8,"A cair",IF(N(G885)&gt;=MIN(MAX(1,N(E885)),MAX(0,INT((Config!$B$8-L885)/30)+1)),IF(N(G885)&gt;=MAX(1,N(E885)),"Conferido","Conferido até aqui"),"A conferir")))</f>
        <v/>
      </c>
      <c r="S885" s="51">
        <f>IF(R885="A conferir",(Config!$B$8-L885)*1000+N(F885)/1000+ROW()/100000,0)</f>
        <v>0</v>
      </c>
      <c r="T885" s="51">
        <f>IF(R885="A conferir",N(N885),0)</f>
        <v>0</v>
      </c>
      <c r="U885" s="51">
        <f>IF(L885="",0,L885)</f>
        <v>0</v>
      </c>
      <c r="V885" s="51">
        <f>IF(L885="",0,MAX(1,N(E885)))</f>
        <v>0</v>
      </c>
      <c r="W885" s="51">
        <f>IF(K885="",0,K885)</f>
        <v>0</v>
      </c>
    </row>
    <row r="886">
      <c r="A886" s="49" t="n"/>
      <c r="B886" s="41" t="n"/>
      <c r="C886" s="41" t="n"/>
      <c r="D886" s="42" t="n"/>
      <c r="E886" s="42" t="n"/>
      <c r="F886" s="50" t="n"/>
      <c r="G886" s="42" t="n"/>
      <c r="H886" s="30">
        <f>IF(D886="","",IFERROR(INDEX(Config!$B$12:$B$15,MATCH(IF(AND(D886="Cartão de crédito",N(E886)&gt;1),"Cartão de crédito parcelado",D886),Config!$A$12:$A$15,0)),0)+IF(AND(Config!$B$17="Sim",LEFT(D886,17)="Cartão de crédito"),Config!$B$18*IFERROR(INDEX(Config!$C$12:$C$15,MATCH(IF(AND(D886="Cartão de crédito",N(E886)&gt;1),"Cartão de crédito parcelado",D886),Config!$A$12:$A$15,0)),0)/30*MAX(1,N(E886)),0))</f>
        <v/>
      </c>
      <c r="I886" s="29">
        <f>IF(OR(D886="",F886=""),"",ROUND(F886*H886,2))</f>
        <v/>
      </c>
      <c r="J886" s="29">
        <f>IF(I886="","",F886-I886)</f>
        <v/>
      </c>
      <c r="K886" s="29">
        <f>IF(J886="","",J886/MAX(1,N(E886)))</f>
        <v/>
      </c>
      <c r="L886" s="37">
        <f>IF(OR(D886="",A886=""),"",A886+IF(AND(Config!$B$17="Sim",LEFT(D886,17)="Cartão de crédito"),1,IFERROR(INDEX(Config!$C$12:$C$15,MATCH(IF(AND(D886="Cartão de crédito",N(E886)&gt;1),"Cartão de crédito parcelado",D886),Config!$A$12:$A$15,0)),0)))</f>
        <v/>
      </c>
      <c r="M886" s="37">
        <f>IF(L886="","",IF(AND(Config!$B$17="Sim",LEFT(D886,17)="Cartão de crédito"),L886,L886+30*(MAX(1,N(E886))-1)))</f>
        <v/>
      </c>
      <c r="N886" s="29">
        <f>IF(OR(L886="",K886=""),"",K886*MIN(MAX(1,N(E886)),MAX(0,INT((Config!$B$8-L886)/30)+1)))</f>
        <v/>
      </c>
      <c r="O886" s="29">
        <f>IF(J886="","",J886-N(N886))</f>
        <v/>
      </c>
      <c r="P886" s="27">
        <f>IF(A886="","",MONTH(A886))</f>
        <v/>
      </c>
      <c r="Q886" s="27">
        <f>IF(A886="","",YEAR(A886))</f>
        <v/>
      </c>
      <c r="R886" s="27">
        <f>IF(L886="","",IF(L886&gt;Config!$B$8,"A cair",IF(N(G886)&gt;=MIN(MAX(1,N(E886)),MAX(0,INT((Config!$B$8-L886)/30)+1)),IF(N(G886)&gt;=MAX(1,N(E886)),"Conferido","Conferido até aqui"),"A conferir")))</f>
        <v/>
      </c>
      <c r="S886" s="51">
        <f>IF(R886="A conferir",(Config!$B$8-L886)*1000+N(F886)/1000+ROW()/100000,0)</f>
        <v>0</v>
      </c>
      <c r="T886" s="51">
        <f>IF(R886="A conferir",N(N886),0)</f>
        <v>0</v>
      </c>
      <c r="U886" s="51">
        <f>IF(L886="",0,L886)</f>
        <v>0</v>
      </c>
      <c r="V886" s="51">
        <f>IF(L886="",0,MAX(1,N(E886)))</f>
        <v>0</v>
      </c>
      <c r="W886" s="51">
        <f>IF(K886="",0,K886)</f>
        <v>0</v>
      </c>
    </row>
    <row r="887">
      <c r="A887" s="49" t="n"/>
      <c r="B887" s="41" t="n"/>
      <c r="C887" s="41" t="n"/>
      <c r="D887" s="42" t="n"/>
      <c r="E887" s="42" t="n"/>
      <c r="F887" s="50" t="n"/>
      <c r="G887" s="42" t="n"/>
      <c r="H887" s="30">
        <f>IF(D887="","",IFERROR(INDEX(Config!$B$12:$B$15,MATCH(IF(AND(D887="Cartão de crédito",N(E887)&gt;1),"Cartão de crédito parcelado",D887),Config!$A$12:$A$15,0)),0)+IF(AND(Config!$B$17="Sim",LEFT(D887,17)="Cartão de crédito"),Config!$B$18*IFERROR(INDEX(Config!$C$12:$C$15,MATCH(IF(AND(D887="Cartão de crédito",N(E887)&gt;1),"Cartão de crédito parcelado",D887),Config!$A$12:$A$15,0)),0)/30*MAX(1,N(E887)),0))</f>
        <v/>
      </c>
      <c r="I887" s="29">
        <f>IF(OR(D887="",F887=""),"",ROUND(F887*H887,2))</f>
        <v/>
      </c>
      <c r="J887" s="29">
        <f>IF(I887="","",F887-I887)</f>
        <v/>
      </c>
      <c r="K887" s="29">
        <f>IF(J887="","",J887/MAX(1,N(E887)))</f>
        <v/>
      </c>
      <c r="L887" s="37">
        <f>IF(OR(D887="",A887=""),"",A887+IF(AND(Config!$B$17="Sim",LEFT(D887,17)="Cartão de crédito"),1,IFERROR(INDEX(Config!$C$12:$C$15,MATCH(IF(AND(D887="Cartão de crédito",N(E887)&gt;1),"Cartão de crédito parcelado",D887),Config!$A$12:$A$15,0)),0)))</f>
        <v/>
      </c>
      <c r="M887" s="37">
        <f>IF(L887="","",IF(AND(Config!$B$17="Sim",LEFT(D887,17)="Cartão de crédito"),L887,L887+30*(MAX(1,N(E887))-1)))</f>
        <v/>
      </c>
      <c r="N887" s="29">
        <f>IF(OR(L887="",K887=""),"",K887*MIN(MAX(1,N(E887)),MAX(0,INT((Config!$B$8-L887)/30)+1)))</f>
        <v/>
      </c>
      <c r="O887" s="29">
        <f>IF(J887="","",J887-N(N887))</f>
        <v/>
      </c>
      <c r="P887" s="27">
        <f>IF(A887="","",MONTH(A887))</f>
        <v/>
      </c>
      <c r="Q887" s="27">
        <f>IF(A887="","",YEAR(A887))</f>
        <v/>
      </c>
      <c r="R887" s="27">
        <f>IF(L887="","",IF(L887&gt;Config!$B$8,"A cair",IF(N(G887)&gt;=MIN(MAX(1,N(E887)),MAX(0,INT((Config!$B$8-L887)/30)+1)),IF(N(G887)&gt;=MAX(1,N(E887)),"Conferido","Conferido até aqui"),"A conferir")))</f>
        <v/>
      </c>
      <c r="S887" s="51">
        <f>IF(R887="A conferir",(Config!$B$8-L887)*1000+N(F887)/1000+ROW()/100000,0)</f>
        <v>0</v>
      </c>
      <c r="T887" s="51">
        <f>IF(R887="A conferir",N(N887),0)</f>
        <v>0</v>
      </c>
      <c r="U887" s="51">
        <f>IF(L887="",0,L887)</f>
        <v>0</v>
      </c>
      <c r="V887" s="51">
        <f>IF(L887="",0,MAX(1,N(E887)))</f>
        <v>0</v>
      </c>
      <c r="W887" s="51">
        <f>IF(K887="",0,K887)</f>
        <v>0</v>
      </c>
    </row>
    <row r="888">
      <c r="A888" s="49" t="n"/>
      <c r="B888" s="41" t="n"/>
      <c r="C888" s="41" t="n"/>
      <c r="D888" s="42" t="n"/>
      <c r="E888" s="42" t="n"/>
      <c r="F888" s="50" t="n"/>
      <c r="G888" s="42" t="n"/>
      <c r="H888" s="30">
        <f>IF(D888="","",IFERROR(INDEX(Config!$B$12:$B$15,MATCH(IF(AND(D888="Cartão de crédito",N(E888)&gt;1),"Cartão de crédito parcelado",D888),Config!$A$12:$A$15,0)),0)+IF(AND(Config!$B$17="Sim",LEFT(D888,17)="Cartão de crédito"),Config!$B$18*IFERROR(INDEX(Config!$C$12:$C$15,MATCH(IF(AND(D888="Cartão de crédito",N(E888)&gt;1),"Cartão de crédito parcelado",D888),Config!$A$12:$A$15,0)),0)/30*MAX(1,N(E888)),0))</f>
        <v/>
      </c>
      <c r="I888" s="29">
        <f>IF(OR(D888="",F888=""),"",ROUND(F888*H888,2))</f>
        <v/>
      </c>
      <c r="J888" s="29">
        <f>IF(I888="","",F888-I888)</f>
        <v/>
      </c>
      <c r="K888" s="29">
        <f>IF(J888="","",J888/MAX(1,N(E888)))</f>
        <v/>
      </c>
      <c r="L888" s="37">
        <f>IF(OR(D888="",A888=""),"",A888+IF(AND(Config!$B$17="Sim",LEFT(D888,17)="Cartão de crédito"),1,IFERROR(INDEX(Config!$C$12:$C$15,MATCH(IF(AND(D888="Cartão de crédito",N(E888)&gt;1),"Cartão de crédito parcelado",D888),Config!$A$12:$A$15,0)),0)))</f>
        <v/>
      </c>
      <c r="M888" s="37">
        <f>IF(L888="","",IF(AND(Config!$B$17="Sim",LEFT(D888,17)="Cartão de crédito"),L888,L888+30*(MAX(1,N(E888))-1)))</f>
        <v/>
      </c>
      <c r="N888" s="29">
        <f>IF(OR(L888="",K888=""),"",K888*MIN(MAX(1,N(E888)),MAX(0,INT((Config!$B$8-L888)/30)+1)))</f>
        <v/>
      </c>
      <c r="O888" s="29">
        <f>IF(J888="","",J888-N(N888))</f>
        <v/>
      </c>
      <c r="P888" s="27">
        <f>IF(A888="","",MONTH(A888))</f>
        <v/>
      </c>
      <c r="Q888" s="27">
        <f>IF(A888="","",YEAR(A888))</f>
        <v/>
      </c>
      <c r="R888" s="27">
        <f>IF(L888="","",IF(L888&gt;Config!$B$8,"A cair",IF(N(G888)&gt;=MIN(MAX(1,N(E888)),MAX(0,INT((Config!$B$8-L888)/30)+1)),IF(N(G888)&gt;=MAX(1,N(E888)),"Conferido","Conferido até aqui"),"A conferir")))</f>
        <v/>
      </c>
      <c r="S888" s="51">
        <f>IF(R888="A conferir",(Config!$B$8-L888)*1000+N(F888)/1000+ROW()/100000,0)</f>
        <v>0</v>
      </c>
      <c r="T888" s="51">
        <f>IF(R888="A conferir",N(N888),0)</f>
        <v>0</v>
      </c>
      <c r="U888" s="51">
        <f>IF(L888="",0,L888)</f>
        <v>0</v>
      </c>
      <c r="V888" s="51">
        <f>IF(L888="",0,MAX(1,N(E888)))</f>
        <v>0</v>
      </c>
      <c r="W888" s="51">
        <f>IF(K888="",0,K888)</f>
        <v>0</v>
      </c>
    </row>
    <row r="889">
      <c r="A889" s="49" t="n"/>
      <c r="B889" s="41" t="n"/>
      <c r="C889" s="41" t="n"/>
      <c r="D889" s="42" t="n"/>
      <c r="E889" s="42" t="n"/>
      <c r="F889" s="50" t="n"/>
      <c r="G889" s="42" t="n"/>
      <c r="H889" s="30">
        <f>IF(D889="","",IFERROR(INDEX(Config!$B$12:$B$15,MATCH(IF(AND(D889="Cartão de crédito",N(E889)&gt;1),"Cartão de crédito parcelado",D889),Config!$A$12:$A$15,0)),0)+IF(AND(Config!$B$17="Sim",LEFT(D889,17)="Cartão de crédito"),Config!$B$18*IFERROR(INDEX(Config!$C$12:$C$15,MATCH(IF(AND(D889="Cartão de crédito",N(E889)&gt;1),"Cartão de crédito parcelado",D889),Config!$A$12:$A$15,0)),0)/30*MAX(1,N(E889)),0))</f>
        <v/>
      </c>
      <c r="I889" s="29">
        <f>IF(OR(D889="",F889=""),"",ROUND(F889*H889,2))</f>
        <v/>
      </c>
      <c r="J889" s="29">
        <f>IF(I889="","",F889-I889)</f>
        <v/>
      </c>
      <c r="K889" s="29">
        <f>IF(J889="","",J889/MAX(1,N(E889)))</f>
        <v/>
      </c>
      <c r="L889" s="37">
        <f>IF(OR(D889="",A889=""),"",A889+IF(AND(Config!$B$17="Sim",LEFT(D889,17)="Cartão de crédito"),1,IFERROR(INDEX(Config!$C$12:$C$15,MATCH(IF(AND(D889="Cartão de crédito",N(E889)&gt;1),"Cartão de crédito parcelado",D889),Config!$A$12:$A$15,0)),0)))</f>
        <v/>
      </c>
      <c r="M889" s="37">
        <f>IF(L889="","",IF(AND(Config!$B$17="Sim",LEFT(D889,17)="Cartão de crédito"),L889,L889+30*(MAX(1,N(E889))-1)))</f>
        <v/>
      </c>
      <c r="N889" s="29">
        <f>IF(OR(L889="",K889=""),"",K889*MIN(MAX(1,N(E889)),MAX(0,INT((Config!$B$8-L889)/30)+1)))</f>
        <v/>
      </c>
      <c r="O889" s="29">
        <f>IF(J889="","",J889-N(N889))</f>
        <v/>
      </c>
      <c r="P889" s="27">
        <f>IF(A889="","",MONTH(A889))</f>
        <v/>
      </c>
      <c r="Q889" s="27">
        <f>IF(A889="","",YEAR(A889))</f>
        <v/>
      </c>
      <c r="R889" s="27">
        <f>IF(L889="","",IF(L889&gt;Config!$B$8,"A cair",IF(N(G889)&gt;=MIN(MAX(1,N(E889)),MAX(0,INT((Config!$B$8-L889)/30)+1)),IF(N(G889)&gt;=MAX(1,N(E889)),"Conferido","Conferido até aqui"),"A conferir")))</f>
        <v/>
      </c>
      <c r="S889" s="51">
        <f>IF(R889="A conferir",(Config!$B$8-L889)*1000+N(F889)/1000+ROW()/100000,0)</f>
        <v>0</v>
      </c>
      <c r="T889" s="51">
        <f>IF(R889="A conferir",N(N889),0)</f>
        <v>0</v>
      </c>
      <c r="U889" s="51">
        <f>IF(L889="",0,L889)</f>
        <v>0</v>
      </c>
      <c r="V889" s="51">
        <f>IF(L889="",0,MAX(1,N(E889)))</f>
        <v>0</v>
      </c>
      <c r="W889" s="51">
        <f>IF(K889="",0,K889)</f>
        <v>0</v>
      </c>
    </row>
    <row r="890">
      <c r="A890" s="49" t="n"/>
      <c r="B890" s="41" t="n"/>
      <c r="C890" s="41" t="n"/>
      <c r="D890" s="42" t="n"/>
      <c r="E890" s="42" t="n"/>
      <c r="F890" s="50" t="n"/>
      <c r="G890" s="42" t="n"/>
      <c r="H890" s="30">
        <f>IF(D890="","",IFERROR(INDEX(Config!$B$12:$B$15,MATCH(IF(AND(D890="Cartão de crédito",N(E890)&gt;1),"Cartão de crédito parcelado",D890),Config!$A$12:$A$15,0)),0)+IF(AND(Config!$B$17="Sim",LEFT(D890,17)="Cartão de crédito"),Config!$B$18*IFERROR(INDEX(Config!$C$12:$C$15,MATCH(IF(AND(D890="Cartão de crédito",N(E890)&gt;1),"Cartão de crédito parcelado",D890),Config!$A$12:$A$15,0)),0)/30*MAX(1,N(E890)),0))</f>
        <v/>
      </c>
      <c r="I890" s="29">
        <f>IF(OR(D890="",F890=""),"",ROUND(F890*H890,2))</f>
        <v/>
      </c>
      <c r="J890" s="29">
        <f>IF(I890="","",F890-I890)</f>
        <v/>
      </c>
      <c r="K890" s="29">
        <f>IF(J890="","",J890/MAX(1,N(E890)))</f>
        <v/>
      </c>
      <c r="L890" s="37">
        <f>IF(OR(D890="",A890=""),"",A890+IF(AND(Config!$B$17="Sim",LEFT(D890,17)="Cartão de crédito"),1,IFERROR(INDEX(Config!$C$12:$C$15,MATCH(IF(AND(D890="Cartão de crédito",N(E890)&gt;1),"Cartão de crédito parcelado",D890),Config!$A$12:$A$15,0)),0)))</f>
        <v/>
      </c>
      <c r="M890" s="37">
        <f>IF(L890="","",IF(AND(Config!$B$17="Sim",LEFT(D890,17)="Cartão de crédito"),L890,L890+30*(MAX(1,N(E890))-1)))</f>
        <v/>
      </c>
      <c r="N890" s="29">
        <f>IF(OR(L890="",K890=""),"",K890*MIN(MAX(1,N(E890)),MAX(0,INT((Config!$B$8-L890)/30)+1)))</f>
        <v/>
      </c>
      <c r="O890" s="29">
        <f>IF(J890="","",J890-N(N890))</f>
        <v/>
      </c>
      <c r="P890" s="27">
        <f>IF(A890="","",MONTH(A890))</f>
        <v/>
      </c>
      <c r="Q890" s="27">
        <f>IF(A890="","",YEAR(A890))</f>
        <v/>
      </c>
      <c r="R890" s="27">
        <f>IF(L890="","",IF(L890&gt;Config!$B$8,"A cair",IF(N(G890)&gt;=MIN(MAX(1,N(E890)),MAX(0,INT((Config!$B$8-L890)/30)+1)),IF(N(G890)&gt;=MAX(1,N(E890)),"Conferido","Conferido até aqui"),"A conferir")))</f>
        <v/>
      </c>
      <c r="S890" s="51">
        <f>IF(R890="A conferir",(Config!$B$8-L890)*1000+N(F890)/1000+ROW()/100000,0)</f>
        <v>0</v>
      </c>
      <c r="T890" s="51">
        <f>IF(R890="A conferir",N(N890),0)</f>
        <v>0</v>
      </c>
      <c r="U890" s="51">
        <f>IF(L890="",0,L890)</f>
        <v>0</v>
      </c>
      <c r="V890" s="51">
        <f>IF(L890="",0,MAX(1,N(E890)))</f>
        <v>0</v>
      </c>
      <c r="W890" s="51">
        <f>IF(K890="",0,K890)</f>
        <v>0</v>
      </c>
    </row>
    <row r="891">
      <c r="A891" s="49" t="n"/>
      <c r="B891" s="41" t="n"/>
      <c r="C891" s="41" t="n"/>
      <c r="D891" s="42" t="n"/>
      <c r="E891" s="42" t="n"/>
      <c r="F891" s="50" t="n"/>
      <c r="G891" s="42" t="n"/>
      <c r="H891" s="30">
        <f>IF(D891="","",IFERROR(INDEX(Config!$B$12:$B$15,MATCH(IF(AND(D891="Cartão de crédito",N(E891)&gt;1),"Cartão de crédito parcelado",D891),Config!$A$12:$A$15,0)),0)+IF(AND(Config!$B$17="Sim",LEFT(D891,17)="Cartão de crédito"),Config!$B$18*IFERROR(INDEX(Config!$C$12:$C$15,MATCH(IF(AND(D891="Cartão de crédito",N(E891)&gt;1),"Cartão de crédito parcelado",D891),Config!$A$12:$A$15,0)),0)/30*MAX(1,N(E891)),0))</f>
        <v/>
      </c>
      <c r="I891" s="29">
        <f>IF(OR(D891="",F891=""),"",ROUND(F891*H891,2))</f>
        <v/>
      </c>
      <c r="J891" s="29">
        <f>IF(I891="","",F891-I891)</f>
        <v/>
      </c>
      <c r="K891" s="29">
        <f>IF(J891="","",J891/MAX(1,N(E891)))</f>
        <v/>
      </c>
      <c r="L891" s="37">
        <f>IF(OR(D891="",A891=""),"",A891+IF(AND(Config!$B$17="Sim",LEFT(D891,17)="Cartão de crédito"),1,IFERROR(INDEX(Config!$C$12:$C$15,MATCH(IF(AND(D891="Cartão de crédito",N(E891)&gt;1),"Cartão de crédito parcelado",D891),Config!$A$12:$A$15,0)),0)))</f>
        <v/>
      </c>
      <c r="M891" s="37">
        <f>IF(L891="","",IF(AND(Config!$B$17="Sim",LEFT(D891,17)="Cartão de crédito"),L891,L891+30*(MAX(1,N(E891))-1)))</f>
        <v/>
      </c>
      <c r="N891" s="29">
        <f>IF(OR(L891="",K891=""),"",K891*MIN(MAX(1,N(E891)),MAX(0,INT((Config!$B$8-L891)/30)+1)))</f>
        <v/>
      </c>
      <c r="O891" s="29">
        <f>IF(J891="","",J891-N(N891))</f>
        <v/>
      </c>
      <c r="P891" s="27">
        <f>IF(A891="","",MONTH(A891))</f>
        <v/>
      </c>
      <c r="Q891" s="27">
        <f>IF(A891="","",YEAR(A891))</f>
        <v/>
      </c>
      <c r="R891" s="27">
        <f>IF(L891="","",IF(L891&gt;Config!$B$8,"A cair",IF(N(G891)&gt;=MIN(MAX(1,N(E891)),MAX(0,INT((Config!$B$8-L891)/30)+1)),IF(N(G891)&gt;=MAX(1,N(E891)),"Conferido","Conferido até aqui"),"A conferir")))</f>
        <v/>
      </c>
      <c r="S891" s="51">
        <f>IF(R891="A conferir",(Config!$B$8-L891)*1000+N(F891)/1000+ROW()/100000,0)</f>
        <v>0</v>
      </c>
      <c r="T891" s="51">
        <f>IF(R891="A conferir",N(N891),0)</f>
        <v>0</v>
      </c>
      <c r="U891" s="51">
        <f>IF(L891="",0,L891)</f>
        <v>0</v>
      </c>
      <c r="V891" s="51">
        <f>IF(L891="",0,MAX(1,N(E891)))</f>
        <v>0</v>
      </c>
      <c r="W891" s="51">
        <f>IF(K891="",0,K891)</f>
        <v>0</v>
      </c>
    </row>
    <row r="892">
      <c r="A892" s="49" t="n"/>
      <c r="B892" s="41" t="n"/>
      <c r="C892" s="41" t="n"/>
      <c r="D892" s="42" t="n"/>
      <c r="E892" s="42" t="n"/>
      <c r="F892" s="50" t="n"/>
      <c r="G892" s="42" t="n"/>
      <c r="H892" s="30">
        <f>IF(D892="","",IFERROR(INDEX(Config!$B$12:$B$15,MATCH(IF(AND(D892="Cartão de crédito",N(E892)&gt;1),"Cartão de crédito parcelado",D892),Config!$A$12:$A$15,0)),0)+IF(AND(Config!$B$17="Sim",LEFT(D892,17)="Cartão de crédito"),Config!$B$18*IFERROR(INDEX(Config!$C$12:$C$15,MATCH(IF(AND(D892="Cartão de crédito",N(E892)&gt;1),"Cartão de crédito parcelado",D892),Config!$A$12:$A$15,0)),0)/30*MAX(1,N(E892)),0))</f>
        <v/>
      </c>
      <c r="I892" s="29">
        <f>IF(OR(D892="",F892=""),"",ROUND(F892*H892,2))</f>
        <v/>
      </c>
      <c r="J892" s="29">
        <f>IF(I892="","",F892-I892)</f>
        <v/>
      </c>
      <c r="K892" s="29">
        <f>IF(J892="","",J892/MAX(1,N(E892)))</f>
        <v/>
      </c>
      <c r="L892" s="37">
        <f>IF(OR(D892="",A892=""),"",A892+IF(AND(Config!$B$17="Sim",LEFT(D892,17)="Cartão de crédito"),1,IFERROR(INDEX(Config!$C$12:$C$15,MATCH(IF(AND(D892="Cartão de crédito",N(E892)&gt;1),"Cartão de crédito parcelado",D892),Config!$A$12:$A$15,0)),0)))</f>
        <v/>
      </c>
      <c r="M892" s="37">
        <f>IF(L892="","",IF(AND(Config!$B$17="Sim",LEFT(D892,17)="Cartão de crédito"),L892,L892+30*(MAX(1,N(E892))-1)))</f>
        <v/>
      </c>
      <c r="N892" s="29">
        <f>IF(OR(L892="",K892=""),"",K892*MIN(MAX(1,N(E892)),MAX(0,INT((Config!$B$8-L892)/30)+1)))</f>
        <v/>
      </c>
      <c r="O892" s="29">
        <f>IF(J892="","",J892-N(N892))</f>
        <v/>
      </c>
      <c r="P892" s="27">
        <f>IF(A892="","",MONTH(A892))</f>
        <v/>
      </c>
      <c r="Q892" s="27">
        <f>IF(A892="","",YEAR(A892))</f>
        <v/>
      </c>
      <c r="R892" s="27">
        <f>IF(L892="","",IF(L892&gt;Config!$B$8,"A cair",IF(N(G892)&gt;=MIN(MAX(1,N(E892)),MAX(0,INT((Config!$B$8-L892)/30)+1)),IF(N(G892)&gt;=MAX(1,N(E892)),"Conferido","Conferido até aqui"),"A conferir")))</f>
        <v/>
      </c>
      <c r="S892" s="51">
        <f>IF(R892="A conferir",(Config!$B$8-L892)*1000+N(F892)/1000+ROW()/100000,0)</f>
        <v>0</v>
      </c>
      <c r="T892" s="51">
        <f>IF(R892="A conferir",N(N892),0)</f>
        <v>0</v>
      </c>
      <c r="U892" s="51">
        <f>IF(L892="",0,L892)</f>
        <v>0</v>
      </c>
      <c r="V892" s="51">
        <f>IF(L892="",0,MAX(1,N(E892)))</f>
        <v>0</v>
      </c>
      <c r="W892" s="51">
        <f>IF(K892="",0,K892)</f>
        <v>0</v>
      </c>
    </row>
    <row r="893">
      <c r="A893" s="49" t="n"/>
      <c r="B893" s="41" t="n"/>
      <c r="C893" s="41" t="n"/>
      <c r="D893" s="42" t="n"/>
      <c r="E893" s="42" t="n"/>
      <c r="F893" s="50" t="n"/>
      <c r="G893" s="42" t="n"/>
      <c r="H893" s="30">
        <f>IF(D893="","",IFERROR(INDEX(Config!$B$12:$B$15,MATCH(IF(AND(D893="Cartão de crédito",N(E893)&gt;1),"Cartão de crédito parcelado",D893),Config!$A$12:$A$15,0)),0)+IF(AND(Config!$B$17="Sim",LEFT(D893,17)="Cartão de crédito"),Config!$B$18*IFERROR(INDEX(Config!$C$12:$C$15,MATCH(IF(AND(D893="Cartão de crédito",N(E893)&gt;1),"Cartão de crédito parcelado",D893),Config!$A$12:$A$15,0)),0)/30*MAX(1,N(E893)),0))</f>
        <v/>
      </c>
      <c r="I893" s="29">
        <f>IF(OR(D893="",F893=""),"",ROUND(F893*H893,2))</f>
        <v/>
      </c>
      <c r="J893" s="29">
        <f>IF(I893="","",F893-I893)</f>
        <v/>
      </c>
      <c r="K893" s="29">
        <f>IF(J893="","",J893/MAX(1,N(E893)))</f>
        <v/>
      </c>
      <c r="L893" s="37">
        <f>IF(OR(D893="",A893=""),"",A893+IF(AND(Config!$B$17="Sim",LEFT(D893,17)="Cartão de crédito"),1,IFERROR(INDEX(Config!$C$12:$C$15,MATCH(IF(AND(D893="Cartão de crédito",N(E893)&gt;1),"Cartão de crédito parcelado",D893),Config!$A$12:$A$15,0)),0)))</f>
        <v/>
      </c>
      <c r="M893" s="37">
        <f>IF(L893="","",IF(AND(Config!$B$17="Sim",LEFT(D893,17)="Cartão de crédito"),L893,L893+30*(MAX(1,N(E893))-1)))</f>
        <v/>
      </c>
      <c r="N893" s="29">
        <f>IF(OR(L893="",K893=""),"",K893*MIN(MAX(1,N(E893)),MAX(0,INT((Config!$B$8-L893)/30)+1)))</f>
        <v/>
      </c>
      <c r="O893" s="29">
        <f>IF(J893="","",J893-N(N893))</f>
        <v/>
      </c>
      <c r="P893" s="27">
        <f>IF(A893="","",MONTH(A893))</f>
        <v/>
      </c>
      <c r="Q893" s="27">
        <f>IF(A893="","",YEAR(A893))</f>
        <v/>
      </c>
      <c r="R893" s="27">
        <f>IF(L893="","",IF(L893&gt;Config!$B$8,"A cair",IF(N(G893)&gt;=MIN(MAX(1,N(E893)),MAX(0,INT((Config!$B$8-L893)/30)+1)),IF(N(G893)&gt;=MAX(1,N(E893)),"Conferido","Conferido até aqui"),"A conferir")))</f>
        <v/>
      </c>
      <c r="S893" s="51">
        <f>IF(R893="A conferir",(Config!$B$8-L893)*1000+N(F893)/1000+ROW()/100000,0)</f>
        <v>0</v>
      </c>
      <c r="T893" s="51">
        <f>IF(R893="A conferir",N(N893),0)</f>
        <v>0</v>
      </c>
      <c r="U893" s="51">
        <f>IF(L893="",0,L893)</f>
        <v>0</v>
      </c>
      <c r="V893" s="51">
        <f>IF(L893="",0,MAX(1,N(E893)))</f>
        <v>0</v>
      </c>
      <c r="W893" s="51">
        <f>IF(K893="",0,K893)</f>
        <v>0</v>
      </c>
    </row>
    <row r="894">
      <c r="A894" s="49" t="n"/>
      <c r="B894" s="41" t="n"/>
      <c r="C894" s="41" t="n"/>
      <c r="D894" s="42" t="n"/>
      <c r="E894" s="42" t="n"/>
      <c r="F894" s="50" t="n"/>
      <c r="G894" s="42" t="n"/>
      <c r="H894" s="30">
        <f>IF(D894="","",IFERROR(INDEX(Config!$B$12:$B$15,MATCH(IF(AND(D894="Cartão de crédito",N(E894)&gt;1),"Cartão de crédito parcelado",D894),Config!$A$12:$A$15,0)),0)+IF(AND(Config!$B$17="Sim",LEFT(D894,17)="Cartão de crédito"),Config!$B$18*IFERROR(INDEX(Config!$C$12:$C$15,MATCH(IF(AND(D894="Cartão de crédito",N(E894)&gt;1),"Cartão de crédito parcelado",D894),Config!$A$12:$A$15,0)),0)/30*MAX(1,N(E894)),0))</f>
        <v/>
      </c>
      <c r="I894" s="29">
        <f>IF(OR(D894="",F894=""),"",ROUND(F894*H894,2))</f>
        <v/>
      </c>
      <c r="J894" s="29">
        <f>IF(I894="","",F894-I894)</f>
        <v/>
      </c>
      <c r="K894" s="29">
        <f>IF(J894="","",J894/MAX(1,N(E894)))</f>
        <v/>
      </c>
      <c r="L894" s="37">
        <f>IF(OR(D894="",A894=""),"",A894+IF(AND(Config!$B$17="Sim",LEFT(D894,17)="Cartão de crédito"),1,IFERROR(INDEX(Config!$C$12:$C$15,MATCH(IF(AND(D894="Cartão de crédito",N(E894)&gt;1),"Cartão de crédito parcelado",D894),Config!$A$12:$A$15,0)),0)))</f>
        <v/>
      </c>
      <c r="M894" s="37">
        <f>IF(L894="","",IF(AND(Config!$B$17="Sim",LEFT(D894,17)="Cartão de crédito"),L894,L894+30*(MAX(1,N(E894))-1)))</f>
        <v/>
      </c>
      <c r="N894" s="29">
        <f>IF(OR(L894="",K894=""),"",K894*MIN(MAX(1,N(E894)),MAX(0,INT((Config!$B$8-L894)/30)+1)))</f>
        <v/>
      </c>
      <c r="O894" s="29">
        <f>IF(J894="","",J894-N(N894))</f>
        <v/>
      </c>
      <c r="P894" s="27">
        <f>IF(A894="","",MONTH(A894))</f>
        <v/>
      </c>
      <c r="Q894" s="27">
        <f>IF(A894="","",YEAR(A894))</f>
        <v/>
      </c>
      <c r="R894" s="27">
        <f>IF(L894="","",IF(L894&gt;Config!$B$8,"A cair",IF(N(G894)&gt;=MIN(MAX(1,N(E894)),MAX(0,INT((Config!$B$8-L894)/30)+1)),IF(N(G894)&gt;=MAX(1,N(E894)),"Conferido","Conferido até aqui"),"A conferir")))</f>
        <v/>
      </c>
      <c r="S894" s="51">
        <f>IF(R894="A conferir",(Config!$B$8-L894)*1000+N(F894)/1000+ROW()/100000,0)</f>
        <v>0</v>
      </c>
      <c r="T894" s="51">
        <f>IF(R894="A conferir",N(N894),0)</f>
        <v>0</v>
      </c>
      <c r="U894" s="51">
        <f>IF(L894="",0,L894)</f>
        <v>0</v>
      </c>
      <c r="V894" s="51">
        <f>IF(L894="",0,MAX(1,N(E894)))</f>
        <v>0</v>
      </c>
      <c r="W894" s="51">
        <f>IF(K894="",0,K894)</f>
        <v>0</v>
      </c>
    </row>
    <row r="895">
      <c r="A895" s="49" t="n"/>
      <c r="B895" s="41" t="n"/>
      <c r="C895" s="41" t="n"/>
      <c r="D895" s="42" t="n"/>
      <c r="E895" s="42" t="n"/>
      <c r="F895" s="50" t="n"/>
      <c r="G895" s="42" t="n"/>
      <c r="H895" s="30">
        <f>IF(D895="","",IFERROR(INDEX(Config!$B$12:$B$15,MATCH(IF(AND(D895="Cartão de crédito",N(E895)&gt;1),"Cartão de crédito parcelado",D895),Config!$A$12:$A$15,0)),0)+IF(AND(Config!$B$17="Sim",LEFT(D895,17)="Cartão de crédito"),Config!$B$18*IFERROR(INDEX(Config!$C$12:$C$15,MATCH(IF(AND(D895="Cartão de crédito",N(E895)&gt;1),"Cartão de crédito parcelado",D895),Config!$A$12:$A$15,0)),0)/30*MAX(1,N(E895)),0))</f>
        <v/>
      </c>
      <c r="I895" s="29">
        <f>IF(OR(D895="",F895=""),"",ROUND(F895*H895,2))</f>
        <v/>
      </c>
      <c r="J895" s="29">
        <f>IF(I895="","",F895-I895)</f>
        <v/>
      </c>
      <c r="K895" s="29">
        <f>IF(J895="","",J895/MAX(1,N(E895)))</f>
        <v/>
      </c>
      <c r="L895" s="37">
        <f>IF(OR(D895="",A895=""),"",A895+IF(AND(Config!$B$17="Sim",LEFT(D895,17)="Cartão de crédito"),1,IFERROR(INDEX(Config!$C$12:$C$15,MATCH(IF(AND(D895="Cartão de crédito",N(E895)&gt;1),"Cartão de crédito parcelado",D895),Config!$A$12:$A$15,0)),0)))</f>
        <v/>
      </c>
      <c r="M895" s="37">
        <f>IF(L895="","",IF(AND(Config!$B$17="Sim",LEFT(D895,17)="Cartão de crédito"),L895,L895+30*(MAX(1,N(E895))-1)))</f>
        <v/>
      </c>
      <c r="N895" s="29">
        <f>IF(OR(L895="",K895=""),"",K895*MIN(MAX(1,N(E895)),MAX(0,INT((Config!$B$8-L895)/30)+1)))</f>
        <v/>
      </c>
      <c r="O895" s="29">
        <f>IF(J895="","",J895-N(N895))</f>
        <v/>
      </c>
      <c r="P895" s="27">
        <f>IF(A895="","",MONTH(A895))</f>
        <v/>
      </c>
      <c r="Q895" s="27">
        <f>IF(A895="","",YEAR(A895))</f>
        <v/>
      </c>
      <c r="R895" s="27">
        <f>IF(L895="","",IF(L895&gt;Config!$B$8,"A cair",IF(N(G895)&gt;=MIN(MAX(1,N(E895)),MAX(0,INT((Config!$B$8-L895)/30)+1)),IF(N(G895)&gt;=MAX(1,N(E895)),"Conferido","Conferido até aqui"),"A conferir")))</f>
        <v/>
      </c>
      <c r="S895" s="51">
        <f>IF(R895="A conferir",(Config!$B$8-L895)*1000+N(F895)/1000+ROW()/100000,0)</f>
        <v>0</v>
      </c>
      <c r="T895" s="51">
        <f>IF(R895="A conferir",N(N895),0)</f>
        <v>0</v>
      </c>
      <c r="U895" s="51">
        <f>IF(L895="",0,L895)</f>
        <v>0</v>
      </c>
      <c r="V895" s="51">
        <f>IF(L895="",0,MAX(1,N(E895)))</f>
        <v>0</v>
      </c>
      <c r="W895" s="51">
        <f>IF(K895="",0,K895)</f>
        <v>0</v>
      </c>
    </row>
    <row r="896">
      <c r="A896" s="49" t="n"/>
      <c r="B896" s="41" t="n"/>
      <c r="C896" s="41" t="n"/>
      <c r="D896" s="42" t="n"/>
      <c r="E896" s="42" t="n"/>
      <c r="F896" s="50" t="n"/>
      <c r="G896" s="42" t="n"/>
      <c r="H896" s="30">
        <f>IF(D896="","",IFERROR(INDEX(Config!$B$12:$B$15,MATCH(IF(AND(D896="Cartão de crédito",N(E896)&gt;1),"Cartão de crédito parcelado",D896),Config!$A$12:$A$15,0)),0)+IF(AND(Config!$B$17="Sim",LEFT(D896,17)="Cartão de crédito"),Config!$B$18*IFERROR(INDEX(Config!$C$12:$C$15,MATCH(IF(AND(D896="Cartão de crédito",N(E896)&gt;1),"Cartão de crédito parcelado",D896),Config!$A$12:$A$15,0)),0)/30*MAX(1,N(E896)),0))</f>
        <v/>
      </c>
      <c r="I896" s="29">
        <f>IF(OR(D896="",F896=""),"",ROUND(F896*H896,2))</f>
        <v/>
      </c>
      <c r="J896" s="29">
        <f>IF(I896="","",F896-I896)</f>
        <v/>
      </c>
      <c r="K896" s="29">
        <f>IF(J896="","",J896/MAX(1,N(E896)))</f>
        <v/>
      </c>
      <c r="L896" s="37">
        <f>IF(OR(D896="",A896=""),"",A896+IF(AND(Config!$B$17="Sim",LEFT(D896,17)="Cartão de crédito"),1,IFERROR(INDEX(Config!$C$12:$C$15,MATCH(IF(AND(D896="Cartão de crédito",N(E896)&gt;1),"Cartão de crédito parcelado",D896),Config!$A$12:$A$15,0)),0)))</f>
        <v/>
      </c>
      <c r="M896" s="37">
        <f>IF(L896="","",IF(AND(Config!$B$17="Sim",LEFT(D896,17)="Cartão de crédito"),L896,L896+30*(MAX(1,N(E896))-1)))</f>
        <v/>
      </c>
      <c r="N896" s="29">
        <f>IF(OR(L896="",K896=""),"",K896*MIN(MAX(1,N(E896)),MAX(0,INT((Config!$B$8-L896)/30)+1)))</f>
        <v/>
      </c>
      <c r="O896" s="29">
        <f>IF(J896="","",J896-N(N896))</f>
        <v/>
      </c>
      <c r="P896" s="27">
        <f>IF(A896="","",MONTH(A896))</f>
        <v/>
      </c>
      <c r="Q896" s="27">
        <f>IF(A896="","",YEAR(A896))</f>
        <v/>
      </c>
      <c r="R896" s="27">
        <f>IF(L896="","",IF(L896&gt;Config!$B$8,"A cair",IF(N(G896)&gt;=MIN(MAX(1,N(E896)),MAX(0,INT((Config!$B$8-L896)/30)+1)),IF(N(G896)&gt;=MAX(1,N(E896)),"Conferido","Conferido até aqui"),"A conferir")))</f>
        <v/>
      </c>
      <c r="S896" s="51">
        <f>IF(R896="A conferir",(Config!$B$8-L896)*1000+N(F896)/1000+ROW()/100000,0)</f>
        <v>0</v>
      </c>
      <c r="T896" s="51">
        <f>IF(R896="A conferir",N(N896),0)</f>
        <v>0</v>
      </c>
      <c r="U896" s="51">
        <f>IF(L896="",0,L896)</f>
        <v>0</v>
      </c>
      <c r="V896" s="51">
        <f>IF(L896="",0,MAX(1,N(E896)))</f>
        <v>0</v>
      </c>
      <c r="W896" s="51">
        <f>IF(K896="",0,K896)</f>
        <v>0</v>
      </c>
    </row>
    <row r="897">
      <c r="A897" s="49" t="n"/>
      <c r="B897" s="41" t="n"/>
      <c r="C897" s="41" t="n"/>
      <c r="D897" s="42" t="n"/>
      <c r="E897" s="42" t="n"/>
      <c r="F897" s="50" t="n"/>
      <c r="G897" s="42" t="n"/>
      <c r="H897" s="30">
        <f>IF(D897="","",IFERROR(INDEX(Config!$B$12:$B$15,MATCH(IF(AND(D897="Cartão de crédito",N(E897)&gt;1),"Cartão de crédito parcelado",D897),Config!$A$12:$A$15,0)),0)+IF(AND(Config!$B$17="Sim",LEFT(D897,17)="Cartão de crédito"),Config!$B$18*IFERROR(INDEX(Config!$C$12:$C$15,MATCH(IF(AND(D897="Cartão de crédito",N(E897)&gt;1),"Cartão de crédito parcelado",D897),Config!$A$12:$A$15,0)),0)/30*MAX(1,N(E897)),0))</f>
        <v/>
      </c>
      <c r="I897" s="29">
        <f>IF(OR(D897="",F897=""),"",ROUND(F897*H897,2))</f>
        <v/>
      </c>
      <c r="J897" s="29">
        <f>IF(I897="","",F897-I897)</f>
        <v/>
      </c>
      <c r="K897" s="29">
        <f>IF(J897="","",J897/MAX(1,N(E897)))</f>
        <v/>
      </c>
      <c r="L897" s="37">
        <f>IF(OR(D897="",A897=""),"",A897+IF(AND(Config!$B$17="Sim",LEFT(D897,17)="Cartão de crédito"),1,IFERROR(INDEX(Config!$C$12:$C$15,MATCH(IF(AND(D897="Cartão de crédito",N(E897)&gt;1),"Cartão de crédito parcelado",D897),Config!$A$12:$A$15,0)),0)))</f>
        <v/>
      </c>
      <c r="M897" s="37">
        <f>IF(L897="","",IF(AND(Config!$B$17="Sim",LEFT(D897,17)="Cartão de crédito"),L897,L897+30*(MAX(1,N(E897))-1)))</f>
        <v/>
      </c>
      <c r="N897" s="29">
        <f>IF(OR(L897="",K897=""),"",K897*MIN(MAX(1,N(E897)),MAX(0,INT((Config!$B$8-L897)/30)+1)))</f>
        <v/>
      </c>
      <c r="O897" s="29">
        <f>IF(J897="","",J897-N(N897))</f>
        <v/>
      </c>
      <c r="P897" s="27">
        <f>IF(A897="","",MONTH(A897))</f>
        <v/>
      </c>
      <c r="Q897" s="27">
        <f>IF(A897="","",YEAR(A897))</f>
        <v/>
      </c>
      <c r="R897" s="27">
        <f>IF(L897="","",IF(L897&gt;Config!$B$8,"A cair",IF(N(G897)&gt;=MIN(MAX(1,N(E897)),MAX(0,INT((Config!$B$8-L897)/30)+1)),IF(N(G897)&gt;=MAX(1,N(E897)),"Conferido","Conferido até aqui"),"A conferir")))</f>
        <v/>
      </c>
      <c r="S897" s="51">
        <f>IF(R897="A conferir",(Config!$B$8-L897)*1000+N(F897)/1000+ROW()/100000,0)</f>
        <v>0</v>
      </c>
      <c r="T897" s="51">
        <f>IF(R897="A conferir",N(N897),0)</f>
        <v>0</v>
      </c>
      <c r="U897" s="51">
        <f>IF(L897="",0,L897)</f>
        <v>0</v>
      </c>
      <c r="V897" s="51">
        <f>IF(L897="",0,MAX(1,N(E897)))</f>
        <v>0</v>
      </c>
      <c r="W897" s="51">
        <f>IF(K897="",0,K897)</f>
        <v>0</v>
      </c>
    </row>
    <row r="898">
      <c r="A898" s="49" t="n"/>
      <c r="B898" s="41" t="n"/>
      <c r="C898" s="41" t="n"/>
      <c r="D898" s="42" t="n"/>
      <c r="E898" s="42" t="n"/>
      <c r="F898" s="50" t="n"/>
      <c r="G898" s="42" t="n"/>
      <c r="H898" s="30">
        <f>IF(D898="","",IFERROR(INDEX(Config!$B$12:$B$15,MATCH(IF(AND(D898="Cartão de crédito",N(E898)&gt;1),"Cartão de crédito parcelado",D898),Config!$A$12:$A$15,0)),0)+IF(AND(Config!$B$17="Sim",LEFT(D898,17)="Cartão de crédito"),Config!$B$18*IFERROR(INDEX(Config!$C$12:$C$15,MATCH(IF(AND(D898="Cartão de crédito",N(E898)&gt;1),"Cartão de crédito parcelado",D898),Config!$A$12:$A$15,0)),0)/30*MAX(1,N(E898)),0))</f>
        <v/>
      </c>
      <c r="I898" s="29">
        <f>IF(OR(D898="",F898=""),"",ROUND(F898*H898,2))</f>
        <v/>
      </c>
      <c r="J898" s="29">
        <f>IF(I898="","",F898-I898)</f>
        <v/>
      </c>
      <c r="K898" s="29">
        <f>IF(J898="","",J898/MAX(1,N(E898)))</f>
        <v/>
      </c>
      <c r="L898" s="37">
        <f>IF(OR(D898="",A898=""),"",A898+IF(AND(Config!$B$17="Sim",LEFT(D898,17)="Cartão de crédito"),1,IFERROR(INDEX(Config!$C$12:$C$15,MATCH(IF(AND(D898="Cartão de crédito",N(E898)&gt;1),"Cartão de crédito parcelado",D898),Config!$A$12:$A$15,0)),0)))</f>
        <v/>
      </c>
      <c r="M898" s="37">
        <f>IF(L898="","",IF(AND(Config!$B$17="Sim",LEFT(D898,17)="Cartão de crédito"),L898,L898+30*(MAX(1,N(E898))-1)))</f>
        <v/>
      </c>
      <c r="N898" s="29">
        <f>IF(OR(L898="",K898=""),"",K898*MIN(MAX(1,N(E898)),MAX(0,INT((Config!$B$8-L898)/30)+1)))</f>
        <v/>
      </c>
      <c r="O898" s="29">
        <f>IF(J898="","",J898-N(N898))</f>
        <v/>
      </c>
      <c r="P898" s="27">
        <f>IF(A898="","",MONTH(A898))</f>
        <v/>
      </c>
      <c r="Q898" s="27">
        <f>IF(A898="","",YEAR(A898))</f>
        <v/>
      </c>
      <c r="R898" s="27">
        <f>IF(L898="","",IF(L898&gt;Config!$B$8,"A cair",IF(N(G898)&gt;=MIN(MAX(1,N(E898)),MAX(0,INT((Config!$B$8-L898)/30)+1)),IF(N(G898)&gt;=MAX(1,N(E898)),"Conferido","Conferido até aqui"),"A conferir")))</f>
        <v/>
      </c>
      <c r="S898" s="51">
        <f>IF(R898="A conferir",(Config!$B$8-L898)*1000+N(F898)/1000+ROW()/100000,0)</f>
        <v>0</v>
      </c>
      <c r="T898" s="51">
        <f>IF(R898="A conferir",N(N898),0)</f>
        <v>0</v>
      </c>
      <c r="U898" s="51">
        <f>IF(L898="",0,L898)</f>
        <v>0</v>
      </c>
      <c r="V898" s="51">
        <f>IF(L898="",0,MAX(1,N(E898)))</f>
        <v>0</v>
      </c>
      <c r="W898" s="51">
        <f>IF(K898="",0,K898)</f>
        <v>0</v>
      </c>
    </row>
    <row r="899">
      <c r="A899" s="49" t="n"/>
      <c r="B899" s="41" t="n"/>
      <c r="C899" s="41" t="n"/>
      <c r="D899" s="42" t="n"/>
      <c r="E899" s="42" t="n"/>
      <c r="F899" s="50" t="n"/>
      <c r="G899" s="42" t="n"/>
      <c r="H899" s="30">
        <f>IF(D899="","",IFERROR(INDEX(Config!$B$12:$B$15,MATCH(IF(AND(D899="Cartão de crédito",N(E899)&gt;1),"Cartão de crédito parcelado",D899),Config!$A$12:$A$15,0)),0)+IF(AND(Config!$B$17="Sim",LEFT(D899,17)="Cartão de crédito"),Config!$B$18*IFERROR(INDEX(Config!$C$12:$C$15,MATCH(IF(AND(D899="Cartão de crédito",N(E899)&gt;1),"Cartão de crédito parcelado",D899),Config!$A$12:$A$15,0)),0)/30*MAX(1,N(E899)),0))</f>
        <v/>
      </c>
      <c r="I899" s="29">
        <f>IF(OR(D899="",F899=""),"",ROUND(F899*H899,2))</f>
        <v/>
      </c>
      <c r="J899" s="29">
        <f>IF(I899="","",F899-I899)</f>
        <v/>
      </c>
      <c r="K899" s="29">
        <f>IF(J899="","",J899/MAX(1,N(E899)))</f>
        <v/>
      </c>
      <c r="L899" s="37">
        <f>IF(OR(D899="",A899=""),"",A899+IF(AND(Config!$B$17="Sim",LEFT(D899,17)="Cartão de crédito"),1,IFERROR(INDEX(Config!$C$12:$C$15,MATCH(IF(AND(D899="Cartão de crédito",N(E899)&gt;1),"Cartão de crédito parcelado",D899),Config!$A$12:$A$15,0)),0)))</f>
        <v/>
      </c>
      <c r="M899" s="37">
        <f>IF(L899="","",IF(AND(Config!$B$17="Sim",LEFT(D899,17)="Cartão de crédito"),L899,L899+30*(MAX(1,N(E899))-1)))</f>
        <v/>
      </c>
      <c r="N899" s="29">
        <f>IF(OR(L899="",K899=""),"",K899*MIN(MAX(1,N(E899)),MAX(0,INT((Config!$B$8-L899)/30)+1)))</f>
        <v/>
      </c>
      <c r="O899" s="29">
        <f>IF(J899="","",J899-N(N899))</f>
        <v/>
      </c>
      <c r="P899" s="27">
        <f>IF(A899="","",MONTH(A899))</f>
        <v/>
      </c>
      <c r="Q899" s="27">
        <f>IF(A899="","",YEAR(A899))</f>
        <v/>
      </c>
      <c r="R899" s="27">
        <f>IF(L899="","",IF(L899&gt;Config!$B$8,"A cair",IF(N(G899)&gt;=MIN(MAX(1,N(E899)),MAX(0,INT((Config!$B$8-L899)/30)+1)),IF(N(G899)&gt;=MAX(1,N(E899)),"Conferido","Conferido até aqui"),"A conferir")))</f>
        <v/>
      </c>
      <c r="S899" s="51">
        <f>IF(R899="A conferir",(Config!$B$8-L899)*1000+N(F899)/1000+ROW()/100000,0)</f>
        <v>0</v>
      </c>
      <c r="T899" s="51">
        <f>IF(R899="A conferir",N(N899),0)</f>
        <v>0</v>
      </c>
      <c r="U899" s="51">
        <f>IF(L899="",0,L899)</f>
        <v>0</v>
      </c>
      <c r="V899" s="51">
        <f>IF(L899="",0,MAX(1,N(E899)))</f>
        <v>0</v>
      </c>
      <c r="W899" s="51">
        <f>IF(K899="",0,K899)</f>
        <v>0</v>
      </c>
    </row>
    <row r="900">
      <c r="A900" s="49" t="n"/>
      <c r="B900" s="41" t="n"/>
      <c r="C900" s="41" t="n"/>
      <c r="D900" s="42" t="n"/>
      <c r="E900" s="42" t="n"/>
      <c r="F900" s="50" t="n"/>
      <c r="G900" s="42" t="n"/>
      <c r="H900" s="30">
        <f>IF(D900="","",IFERROR(INDEX(Config!$B$12:$B$15,MATCH(IF(AND(D900="Cartão de crédito",N(E900)&gt;1),"Cartão de crédito parcelado",D900),Config!$A$12:$A$15,0)),0)+IF(AND(Config!$B$17="Sim",LEFT(D900,17)="Cartão de crédito"),Config!$B$18*IFERROR(INDEX(Config!$C$12:$C$15,MATCH(IF(AND(D900="Cartão de crédito",N(E900)&gt;1),"Cartão de crédito parcelado",D900),Config!$A$12:$A$15,0)),0)/30*MAX(1,N(E900)),0))</f>
        <v/>
      </c>
      <c r="I900" s="29">
        <f>IF(OR(D900="",F900=""),"",ROUND(F900*H900,2))</f>
        <v/>
      </c>
      <c r="J900" s="29">
        <f>IF(I900="","",F900-I900)</f>
        <v/>
      </c>
      <c r="K900" s="29">
        <f>IF(J900="","",J900/MAX(1,N(E900)))</f>
        <v/>
      </c>
      <c r="L900" s="37">
        <f>IF(OR(D900="",A900=""),"",A900+IF(AND(Config!$B$17="Sim",LEFT(D900,17)="Cartão de crédito"),1,IFERROR(INDEX(Config!$C$12:$C$15,MATCH(IF(AND(D900="Cartão de crédito",N(E900)&gt;1),"Cartão de crédito parcelado",D900),Config!$A$12:$A$15,0)),0)))</f>
        <v/>
      </c>
      <c r="M900" s="37">
        <f>IF(L900="","",IF(AND(Config!$B$17="Sim",LEFT(D900,17)="Cartão de crédito"),L900,L900+30*(MAX(1,N(E900))-1)))</f>
        <v/>
      </c>
      <c r="N900" s="29">
        <f>IF(OR(L900="",K900=""),"",K900*MIN(MAX(1,N(E900)),MAX(0,INT((Config!$B$8-L900)/30)+1)))</f>
        <v/>
      </c>
      <c r="O900" s="29">
        <f>IF(J900="","",J900-N(N900))</f>
        <v/>
      </c>
      <c r="P900" s="27">
        <f>IF(A900="","",MONTH(A900))</f>
        <v/>
      </c>
      <c r="Q900" s="27">
        <f>IF(A900="","",YEAR(A900))</f>
        <v/>
      </c>
      <c r="R900" s="27">
        <f>IF(L900="","",IF(L900&gt;Config!$B$8,"A cair",IF(N(G900)&gt;=MIN(MAX(1,N(E900)),MAX(0,INT((Config!$B$8-L900)/30)+1)),IF(N(G900)&gt;=MAX(1,N(E900)),"Conferido","Conferido até aqui"),"A conferir")))</f>
        <v/>
      </c>
      <c r="S900" s="51">
        <f>IF(R900="A conferir",(Config!$B$8-L900)*1000+N(F900)/1000+ROW()/100000,0)</f>
        <v>0</v>
      </c>
      <c r="T900" s="51">
        <f>IF(R900="A conferir",N(N900),0)</f>
        <v>0</v>
      </c>
      <c r="U900" s="51">
        <f>IF(L900="",0,L900)</f>
        <v>0</v>
      </c>
      <c r="V900" s="51">
        <f>IF(L900="",0,MAX(1,N(E900)))</f>
        <v>0</v>
      </c>
      <c r="W900" s="51">
        <f>IF(K900="",0,K900)</f>
        <v>0</v>
      </c>
    </row>
    <row r="901">
      <c r="A901" s="49" t="n"/>
      <c r="B901" s="41" t="n"/>
      <c r="C901" s="41" t="n"/>
      <c r="D901" s="42" t="n"/>
      <c r="E901" s="42" t="n"/>
      <c r="F901" s="50" t="n"/>
      <c r="G901" s="42" t="n"/>
      <c r="H901" s="30">
        <f>IF(D901="","",IFERROR(INDEX(Config!$B$12:$B$15,MATCH(IF(AND(D901="Cartão de crédito",N(E901)&gt;1),"Cartão de crédito parcelado",D901),Config!$A$12:$A$15,0)),0)+IF(AND(Config!$B$17="Sim",LEFT(D901,17)="Cartão de crédito"),Config!$B$18*IFERROR(INDEX(Config!$C$12:$C$15,MATCH(IF(AND(D901="Cartão de crédito",N(E901)&gt;1),"Cartão de crédito parcelado",D901),Config!$A$12:$A$15,0)),0)/30*MAX(1,N(E901)),0))</f>
        <v/>
      </c>
      <c r="I901" s="29">
        <f>IF(OR(D901="",F901=""),"",ROUND(F901*H901,2))</f>
        <v/>
      </c>
      <c r="J901" s="29">
        <f>IF(I901="","",F901-I901)</f>
        <v/>
      </c>
      <c r="K901" s="29">
        <f>IF(J901="","",J901/MAX(1,N(E901)))</f>
        <v/>
      </c>
      <c r="L901" s="37">
        <f>IF(OR(D901="",A901=""),"",A901+IF(AND(Config!$B$17="Sim",LEFT(D901,17)="Cartão de crédito"),1,IFERROR(INDEX(Config!$C$12:$C$15,MATCH(IF(AND(D901="Cartão de crédito",N(E901)&gt;1),"Cartão de crédito parcelado",D901),Config!$A$12:$A$15,0)),0)))</f>
        <v/>
      </c>
      <c r="M901" s="37">
        <f>IF(L901="","",IF(AND(Config!$B$17="Sim",LEFT(D901,17)="Cartão de crédito"),L901,L901+30*(MAX(1,N(E901))-1)))</f>
        <v/>
      </c>
      <c r="N901" s="29">
        <f>IF(OR(L901="",K901=""),"",K901*MIN(MAX(1,N(E901)),MAX(0,INT((Config!$B$8-L901)/30)+1)))</f>
        <v/>
      </c>
      <c r="O901" s="29">
        <f>IF(J901="","",J901-N(N901))</f>
        <v/>
      </c>
      <c r="P901" s="27">
        <f>IF(A901="","",MONTH(A901))</f>
        <v/>
      </c>
      <c r="Q901" s="27">
        <f>IF(A901="","",YEAR(A901))</f>
        <v/>
      </c>
      <c r="R901" s="27">
        <f>IF(L901="","",IF(L901&gt;Config!$B$8,"A cair",IF(N(G901)&gt;=MIN(MAX(1,N(E901)),MAX(0,INT((Config!$B$8-L901)/30)+1)),IF(N(G901)&gt;=MAX(1,N(E901)),"Conferido","Conferido até aqui"),"A conferir")))</f>
        <v/>
      </c>
      <c r="S901" s="51">
        <f>IF(R901="A conferir",(Config!$B$8-L901)*1000+N(F901)/1000+ROW()/100000,0)</f>
        <v>0</v>
      </c>
      <c r="T901" s="51">
        <f>IF(R901="A conferir",N(N901),0)</f>
        <v>0</v>
      </c>
      <c r="U901" s="51">
        <f>IF(L901="",0,L901)</f>
        <v>0</v>
      </c>
      <c r="V901" s="51">
        <f>IF(L901="",0,MAX(1,N(E901)))</f>
        <v>0</v>
      </c>
      <c r="W901" s="51">
        <f>IF(K901="",0,K901)</f>
        <v>0</v>
      </c>
    </row>
    <row r="902">
      <c r="A902" s="49" t="n"/>
      <c r="B902" s="41" t="n"/>
      <c r="C902" s="41" t="n"/>
      <c r="D902" s="42" t="n"/>
      <c r="E902" s="42" t="n"/>
      <c r="F902" s="50" t="n"/>
      <c r="G902" s="42" t="n"/>
      <c r="H902" s="30">
        <f>IF(D902="","",IFERROR(INDEX(Config!$B$12:$B$15,MATCH(IF(AND(D902="Cartão de crédito",N(E902)&gt;1),"Cartão de crédito parcelado",D902),Config!$A$12:$A$15,0)),0)+IF(AND(Config!$B$17="Sim",LEFT(D902,17)="Cartão de crédito"),Config!$B$18*IFERROR(INDEX(Config!$C$12:$C$15,MATCH(IF(AND(D902="Cartão de crédito",N(E902)&gt;1),"Cartão de crédito parcelado",D902),Config!$A$12:$A$15,0)),0)/30*MAX(1,N(E902)),0))</f>
        <v/>
      </c>
      <c r="I902" s="29">
        <f>IF(OR(D902="",F902=""),"",ROUND(F902*H902,2))</f>
        <v/>
      </c>
      <c r="J902" s="29">
        <f>IF(I902="","",F902-I902)</f>
        <v/>
      </c>
      <c r="K902" s="29">
        <f>IF(J902="","",J902/MAX(1,N(E902)))</f>
        <v/>
      </c>
      <c r="L902" s="37">
        <f>IF(OR(D902="",A902=""),"",A902+IF(AND(Config!$B$17="Sim",LEFT(D902,17)="Cartão de crédito"),1,IFERROR(INDEX(Config!$C$12:$C$15,MATCH(IF(AND(D902="Cartão de crédito",N(E902)&gt;1),"Cartão de crédito parcelado",D902),Config!$A$12:$A$15,0)),0)))</f>
        <v/>
      </c>
      <c r="M902" s="37">
        <f>IF(L902="","",IF(AND(Config!$B$17="Sim",LEFT(D902,17)="Cartão de crédito"),L902,L902+30*(MAX(1,N(E902))-1)))</f>
        <v/>
      </c>
      <c r="N902" s="29">
        <f>IF(OR(L902="",K902=""),"",K902*MIN(MAX(1,N(E902)),MAX(0,INT((Config!$B$8-L902)/30)+1)))</f>
        <v/>
      </c>
      <c r="O902" s="29">
        <f>IF(J902="","",J902-N(N902))</f>
        <v/>
      </c>
      <c r="P902" s="27">
        <f>IF(A902="","",MONTH(A902))</f>
        <v/>
      </c>
      <c r="Q902" s="27">
        <f>IF(A902="","",YEAR(A902))</f>
        <v/>
      </c>
      <c r="R902" s="27">
        <f>IF(L902="","",IF(L902&gt;Config!$B$8,"A cair",IF(N(G902)&gt;=MIN(MAX(1,N(E902)),MAX(0,INT((Config!$B$8-L902)/30)+1)),IF(N(G902)&gt;=MAX(1,N(E902)),"Conferido","Conferido até aqui"),"A conferir")))</f>
        <v/>
      </c>
      <c r="S902" s="51">
        <f>IF(R902="A conferir",(Config!$B$8-L902)*1000+N(F902)/1000+ROW()/100000,0)</f>
        <v>0</v>
      </c>
      <c r="T902" s="51">
        <f>IF(R902="A conferir",N(N902),0)</f>
        <v>0</v>
      </c>
      <c r="U902" s="51">
        <f>IF(L902="",0,L902)</f>
        <v>0</v>
      </c>
      <c r="V902" s="51">
        <f>IF(L902="",0,MAX(1,N(E902)))</f>
        <v>0</v>
      </c>
      <c r="W902" s="51">
        <f>IF(K902="",0,K902)</f>
        <v>0</v>
      </c>
    </row>
    <row r="903">
      <c r="A903" s="49" t="n"/>
      <c r="B903" s="41" t="n"/>
      <c r="C903" s="41" t="n"/>
      <c r="D903" s="42" t="n"/>
      <c r="E903" s="42" t="n"/>
      <c r="F903" s="50" t="n"/>
      <c r="G903" s="42" t="n"/>
      <c r="H903" s="30">
        <f>IF(D903="","",IFERROR(INDEX(Config!$B$12:$B$15,MATCH(IF(AND(D903="Cartão de crédito",N(E903)&gt;1),"Cartão de crédito parcelado",D903),Config!$A$12:$A$15,0)),0)+IF(AND(Config!$B$17="Sim",LEFT(D903,17)="Cartão de crédito"),Config!$B$18*IFERROR(INDEX(Config!$C$12:$C$15,MATCH(IF(AND(D903="Cartão de crédito",N(E903)&gt;1),"Cartão de crédito parcelado",D903),Config!$A$12:$A$15,0)),0)/30*MAX(1,N(E903)),0))</f>
        <v/>
      </c>
      <c r="I903" s="29">
        <f>IF(OR(D903="",F903=""),"",ROUND(F903*H903,2))</f>
        <v/>
      </c>
      <c r="J903" s="29">
        <f>IF(I903="","",F903-I903)</f>
        <v/>
      </c>
      <c r="K903" s="29">
        <f>IF(J903="","",J903/MAX(1,N(E903)))</f>
        <v/>
      </c>
      <c r="L903" s="37">
        <f>IF(OR(D903="",A903=""),"",A903+IF(AND(Config!$B$17="Sim",LEFT(D903,17)="Cartão de crédito"),1,IFERROR(INDEX(Config!$C$12:$C$15,MATCH(IF(AND(D903="Cartão de crédito",N(E903)&gt;1),"Cartão de crédito parcelado",D903),Config!$A$12:$A$15,0)),0)))</f>
        <v/>
      </c>
      <c r="M903" s="37">
        <f>IF(L903="","",IF(AND(Config!$B$17="Sim",LEFT(D903,17)="Cartão de crédito"),L903,L903+30*(MAX(1,N(E903))-1)))</f>
        <v/>
      </c>
      <c r="N903" s="29">
        <f>IF(OR(L903="",K903=""),"",K903*MIN(MAX(1,N(E903)),MAX(0,INT((Config!$B$8-L903)/30)+1)))</f>
        <v/>
      </c>
      <c r="O903" s="29">
        <f>IF(J903="","",J903-N(N903))</f>
        <v/>
      </c>
      <c r="P903" s="27">
        <f>IF(A903="","",MONTH(A903))</f>
        <v/>
      </c>
      <c r="Q903" s="27">
        <f>IF(A903="","",YEAR(A903))</f>
        <v/>
      </c>
      <c r="R903" s="27">
        <f>IF(L903="","",IF(L903&gt;Config!$B$8,"A cair",IF(N(G903)&gt;=MIN(MAX(1,N(E903)),MAX(0,INT((Config!$B$8-L903)/30)+1)),IF(N(G903)&gt;=MAX(1,N(E903)),"Conferido","Conferido até aqui"),"A conferir")))</f>
        <v/>
      </c>
      <c r="S903" s="51">
        <f>IF(R903="A conferir",(Config!$B$8-L903)*1000+N(F903)/1000+ROW()/100000,0)</f>
        <v>0</v>
      </c>
      <c r="T903" s="51">
        <f>IF(R903="A conferir",N(N903),0)</f>
        <v>0</v>
      </c>
      <c r="U903" s="51">
        <f>IF(L903="",0,L903)</f>
        <v>0</v>
      </c>
      <c r="V903" s="51">
        <f>IF(L903="",0,MAX(1,N(E903)))</f>
        <v>0</v>
      </c>
      <c r="W903" s="51">
        <f>IF(K903="",0,K903)</f>
        <v>0</v>
      </c>
    </row>
    <row r="904">
      <c r="A904" s="49" t="n"/>
      <c r="B904" s="41" t="n"/>
      <c r="C904" s="41" t="n"/>
      <c r="D904" s="42" t="n"/>
      <c r="E904" s="42" t="n"/>
      <c r="F904" s="50" t="n"/>
      <c r="G904" s="42" t="n"/>
      <c r="H904" s="30">
        <f>IF(D904="","",IFERROR(INDEX(Config!$B$12:$B$15,MATCH(IF(AND(D904="Cartão de crédito",N(E904)&gt;1),"Cartão de crédito parcelado",D904),Config!$A$12:$A$15,0)),0)+IF(AND(Config!$B$17="Sim",LEFT(D904,17)="Cartão de crédito"),Config!$B$18*IFERROR(INDEX(Config!$C$12:$C$15,MATCH(IF(AND(D904="Cartão de crédito",N(E904)&gt;1),"Cartão de crédito parcelado",D904),Config!$A$12:$A$15,0)),0)/30*MAX(1,N(E904)),0))</f>
        <v/>
      </c>
      <c r="I904" s="29">
        <f>IF(OR(D904="",F904=""),"",ROUND(F904*H904,2))</f>
        <v/>
      </c>
      <c r="J904" s="29">
        <f>IF(I904="","",F904-I904)</f>
        <v/>
      </c>
      <c r="K904" s="29">
        <f>IF(J904="","",J904/MAX(1,N(E904)))</f>
        <v/>
      </c>
      <c r="L904" s="37">
        <f>IF(OR(D904="",A904=""),"",A904+IF(AND(Config!$B$17="Sim",LEFT(D904,17)="Cartão de crédito"),1,IFERROR(INDEX(Config!$C$12:$C$15,MATCH(IF(AND(D904="Cartão de crédito",N(E904)&gt;1),"Cartão de crédito parcelado",D904),Config!$A$12:$A$15,0)),0)))</f>
        <v/>
      </c>
      <c r="M904" s="37">
        <f>IF(L904="","",IF(AND(Config!$B$17="Sim",LEFT(D904,17)="Cartão de crédito"),L904,L904+30*(MAX(1,N(E904))-1)))</f>
        <v/>
      </c>
      <c r="N904" s="29">
        <f>IF(OR(L904="",K904=""),"",K904*MIN(MAX(1,N(E904)),MAX(0,INT((Config!$B$8-L904)/30)+1)))</f>
        <v/>
      </c>
      <c r="O904" s="29">
        <f>IF(J904="","",J904-N(N904))</f>
        <v/>
      </c>
      <c r="P904" s="27">
        <f>IF(A904="","",MONTH(A904))</f>
        <v/>
      </c>
      <c r="Q904" s="27">
        <f>IF(A904="","",YEAR(A904))</f>
        <v/>
      </c>
      <c r="R904" s="27">
        <f>IF(L904="","",IF(L904&gt;Config!$B$8,"A cair",IF(N(G904)&gt;=MIN(MAX(1,N(E904)),MAX(0,INT((Config!$B$8-L904)/30)+1)),IF(N(G904)&gt;=MAX(1,N(E904)),"Conferido","Conferido até aqui"),"A conferir")))</f>
        <v/>
      </c>
      <c r="S904" s="51">
        <f>IF(R904="A conferir",(Config!$B$8-L904)*1000+N(F904)/1000+ROW()/100000,0)</f>
        <v>0</v>
      </c>
      <c r="T904" s="51">
        <f>IF(R904="A conferir",N(N904),0)</f>
        <v>0</v>
      </c>
      <c r="U904" s="51">
        <f>IF(L904="",0,L904)</f>
        <v>0</v>
      </c>
      <c r="V904" s="51">
        <f>IF(L904="",0,MAX(1,N(E904)))</f>
        <v>0</v>
      </c>
      <c r="W904" s="51">
        <f>IF(K904="",0,K904)</f>
        <v>0</v>
      </c>
    </row>
    <row r="905">
      <c r="A905" s="49" t="n"/>
      <c r="B905" s="41" t="n"/>
      <c r="C905" s="41" t="n"/>
      <c r="D905" s="42" t="n"/>
      <c r="E905" s="42" t="n"/>
      <c r="F905" s="50" t="n"/>
      <c r="G905" s="42" t="n"/>
      <c r="H905" s="30">
        <f>IF(D905="","",IFERROR(INDEX(Config!$B$12:$B$15,MATCH(IF(AND(D905="Cartão de crédito",N(E905)&gt;1),"Cartão de crédito parcelado",D905),Config!$A$12:$A$15,0)),0)+IF(AND(Config!$B$17="Sim",LEFT(D905,17)="Cartão de crédito"),Config!$B$18*IFERROR(INDEX(Config!$C$12:$C$15,MATCH(IF(AND(D905="Cartão de crédito",N(E905)&gt;1),"Cartão de crédito parcelado",D905),Config!$A$12:$A$15,0)),0)/30*MAX(1,N(E905)),0))</f>
        <v/>
      </c>
      <c r="I905" s="29">
        <f>IF(OR(D905="",F905=""),"",ROUND(F905*H905,2))</f>
        <v/>
      </c>
      <c r="J905" s="29">
        <f>IF(I905="","",F905-I905)</f>
        <v/>
      </c>
      <c r="K905" s="29">
        <f>IF(J905="","",J905/MAX(1,N(E905)))</f>
        <v/>
      </c>
      <c r="L905" s="37">
        <f>IF(OR(D905="",A905=""),"",A905+IF(AND(Config!$B$17="Sim",LEFT(D905,17)="Cartão de crédito"),1,IFERROR(INDEX(Config!$C$12:$C$15,MATCH(IF(AND(D905="Cartão de crédito",N(E905)&gt;1),"Cartão de crédito parcelado",D905),Config!$A$12:$A$15,0)),0)))</f>
        <v/>
      </c>
      <c r="M905" s="37">
        <f>IF(L905="","",IF(AND(Config!$B$17="Sim",LEFT(D905,17)="Cartão de crédito"),L905,L905+30*(MAX(1,N(E905))-1)))</f>
        <v/>
      </c>
      <c r="N905" s="29">
        <f>IF(OR(L905="",K905=""),"",K905*MIN(MAX(1,N(E905)),MAX(0,INT((Config!$B$8-L905)/30)+1)))</f>
        <v/>
      </c>
      <c r="O905" s="29">
        <f>IF(J905="","",J905-N(N905))</f>
        <v/>
      </c>
      <c r="P905" s="27">
        <f>IF(A905="","",MONTH(A905))</f>
        <v/>
      </c>
      <c r="Q905" s="27">
        <f>IF(A905="","",YEAR(A905))</f>
        <v/>
      </c>
      <c r="R905" s="27">
        <f>IF(L905="","",IF(L905&gt;Config!$B$8,"A cair",IF(N(G905)&gt;=MIN(MAX(1,N(E905)),MAX(0,INT((Config!$B$8-L905)/30)+1)),IF(N(G905)&gt;=MAX(1,N(E905)),"Conferido","Conferido até aqui"),"A conferir")))</f>
        <v/>
      </c>
      <c r="S905" s="51">
        <f>IF(R905="A conferir",(Config!$B$8-L905)*1000+N(F905)/1000+ROW()/100000,0)</f>
        <v>0</v>
      </c>
      <c r="T905" s="51">
        <f>IF(R905="A conferir",N(N905),0)</f>
        <v>0</v>
      </c>
      <c r="U905" s="51">
        <f>IF(L905="",0,L905)</f>
        <v>0</v>
      </c>
      <c r="V905" s="51">
        <f>IF(L905="",0,MAX(1,N(E905)))</f>
        <v>0</v>
      </c>
      <c r="W905" s="51">
        <f>IF(K905="",0,K905)</f>
        <v>0</v>
      </c>
    </row>
    <row r="906">
      <c r="A906" s="49" t="n"/>
      <c r="B906" s="41" t="n"/>
      <c r="C906" s="41" t="n"/>
      <c r="D906" s="42" t="n"/>
      <c r="E906" s="42" t="n"/>
      <c r="F906" s="50" t="n"/>
      <c r="G906" s="42" t="n"/>
      <c r="H906" s="30">
        <f>IF(D906="","",IFERROR(INDEX(Config!$B$12:$B$15,MATCH(IF(AND(D906="Cartão de crédito",N(E906)&gt;1),"Cartão de crédito parcelado",D906),Config!$A$12:$A$15,0)),0)+IF(AND(Config!$B$17="Sim",LEFT(D906,17)="Cartão de crédito"),Config!$B$18*IFERROR(INDEX(Config!$C$12:$C$15,MATCH(IF(AND(D906="Cartão de crédito",N(E906)&gt;1),"Cartão de crédito parcelado",D906),Config!$A$12:$A$15,0)),0)/30*MAX(1,N(E906)),0))</f>
        <v/>
      </c>
      <c r="I906" s="29">
        <f>IF(OR(D906="",F906=""),"",ROUND(F906*H906,2))</f>
        <v/>
      </c>
      <c r="J906" s="29">
        <f>IF(I906="","",F906-I906)</f>
        <v/>
      </c>
      <c r="K906" s="29">
        <f>IF(J906="","",J906/MAX(1,N(E906)))</f>
        <v/>
      </c>
      <c r="L906" s="37">
        <f>IF(OR(D906="",A906=""),"",A906+IF(AND(Config!$B$17="Sim",LEFT(D906,17)="Cartão de crédito"),1,IFERROR(INDEX(Config!$C$12:$C$15,MATCH(IF(AND(D906="Cartão de crédito",N(E906)&gt;1),"Cartão de crédito parcelado",D906),Config!$A$12:$A$15,0)),0)))</f>
        <v/>
      </c>
      <c r="M906" s="37">
        <f>IF(L906="","",IF(AND(Config!$B$17="Sim",LEFT(D906,17)="Cartão de crédito"),L906,L906+30*(MAX(1,N(E906))-1)))</f>
        <v/>
      </c>
      <c r="N906" s="29">
        <f>IF(OR(L906="",K906=""),"",K906*MIN(MAX(1,N(E906)),MAX(0,INT((Config!$B$8-L906)/30)+1)))</f>
        <v/>
      </c>
      <c r="O906" s="29">
        <f>IF(J906="","",J906-N(N906))</f>
        <v/>
      </c>
      <c r="P906" s="27">
        <f>IF(A906="","",MONTH(A906))</f>
        <v/>
      </c>
      <c r="Q906" s="27">
        <f>IF(A906="","",YEAR(A906))</f>
        <v/>
      </c>
      <c r="R906" s="27">
        <f>IF(L906="","",IF(L906&gt;Config!$B$8,"A cair",IF(N(G906)&gt;=MIN(MAX(1,N(E906)),MAX(0,INT((Config!$B$8-L906)/30)+1)),IF(N(G906)&gt;=MAX(1,N(E906)),"Conferido","Conferido até aqui"),"A conferir")))</f>
        <v/>
      </c>
      <c r="S906" s="51">
        <f>IF(R906="A conferir",(Config!$B$8-L906)*1000+N(F906)/1000+ROW()/100000,0)</f>
        <v>0</v>
      </c>
      <c r="T906" s="51">
        <f>IF(R906="A conferir",N(N906),0)</f>
        <v>0</v>
      </c>
      <c r="U906" s="51">
        <f>IF(L906="",0,L906)</f>
        <v>0</v>
      </c>
      <c r="V906" s="51">
        <f>IF(L906="",0,MAX(1,N(E906)))</f>
        <v>0</v>
      </c>
      <c r="W906" s="51">
        <f>IF(K906="",0,K906)</f>
        <v>0</v>
      </c>
    </row>
    <row r="907">
      <c r="A907" s="49" t="n"/>
      <c r="B907" s="41" t="n"/>
      <c r="C907" s="41" t="n"/>
      <c r="D907" s="42" t="n"/>
      <c r="E907" s="42" t="n"/>
      <c r="F907" s="50" t="n"/>
      <c r="G907" s="42" t="n"/>
      <c r="H907" s="30">
        <f>IF(D907="","",IFERROR(INDEX(Config!$B$12:$B$15,MATCH(IF(AND(D907="Cartão de crédito",N(E907)&gt;1),"Cartão de crédito parcelado",D907),Config!$A$12:$A$15,0)),0)+IF(AND(Config!$B$17="Sim",LEFT(D907,17)="Cartão de crédito"),Config!$B$18*IFERROR(INDEX(Config!$C$12:$C$15,MATCH(IF(AND(D907="Cartão de crédito",N(E907)&gt;1),"Cartão de crédito parcelado",D907),Config!$A$12:$A$15,0)),0)/30*MAX(1,N(E907)),0))</f>
        <v/>
      </c>
      <c r="I907" s="29">
        <f>IF(OR(D907="",F907=""),"",ROUND(F907*H907,2))</f>
        <v/>
      </c>
      <c r="J907" s="29">
        <f>IF(I907="","",F907-I907)</f>
        <v/>
      </c>
      <c r="K907" s="29">
        <f>IF(J907="","",J907/MAX(1,N(E907)))</f>
        <v/>
      </c>
      <c r="L907" s="37">
        <f>IF(OR(D907="",A907=""),"",A907+IF(AND(Config!$B$17="Sim",LEFT(D907,17)="Cartão de crédito"),1,IFERROR(INDEX(Config!$C$12:$C$15,MATCH(IF(AND(D907="Cartão de crédito",N(E907)&gt;1),"Cartão de crédito parcelado",D907),Config!$A$12:$A$15,0)),0)))</f>
        <v/>
      </c>
      <c r="M907" s="37">
        <f>IF(L907="","",IF(AND(Config!$B$17="Sim",LEFT(D907,17)="Cartão de crédito"),L907,L907+30*(MAX(1,N(E907))-1)))</f>
        <v/>
      </c>
      <c r="N907" s="29">
        <f>IF(OR(L907="",K907=""),"",K907*MIN(MAX(1,N(E907)),MAX(0,INT((Config!$B$8-L907)/30)+1)))</f>
        <v/>
      </c>
      <c r="O907" s="29">
        <f>IF(J907="","",J907-N(N907))</f>
        <v/>
      </c>
      <c r="P907" s="27">
        <f>IF(A907="","",MONTH(A907))</f>
        <v/>
      </c>
      <c r="Q907" s="27">
        <f>IF(A907="","",YEAR(A907))</f>
        <v/>
      </c>
      <c r="R907" s="27">
        <f>IF(L907="","",IF(L907&gt;Config!$B$8,"A cair",IF(N(G907)&gt;=MIN(MAX(1,N(E907)),MAX(0,INT((Config!$B$8-L907)/30)+1)),IF(N(G907)&gt;=MAX(1,N(E907)),"Conferido","Conferido até aqui"),"A conferir")))</f>
        <v/>
      </c>
      <c r="S907" s="51">
        <f>IF(R907="A conferir",(Config!$B$8-L907)*1000+N(F907)/1000+ROW()/100000,0)</f>
        <v>0</v>
      </c>
      <c r="T907" s="51">
        <f>IF(R907="A conferir",N(N907),0)</f>
        <v>0</v>
      </c>
      <c r="U907" s="51">
        <f>IF(L907="",0,L907)</f>
        <v>0</v>
      </c>
      <c r="V907" s="51">
        <f>IF(L907="",0,MAX(1,N(E907)))</f>
        <v>0</v>
      </c>
      <c r="W907" s="51">
        <f>IF(K907="",0,K907)</f>
        <v>0</v>
      </c>
    </row>
    <row r="908">
      <c r="A908" s="49" t="n"/>
      <c r="B908" s="41" t="n"/>
      <c r="C908" s="41" t="n"/>
      <c r="D908" s="42" t="n"/>
      <c r="E908" s="42" t="n"/>
      <c r="F908" s="50" t="n"/>
      <c r="G908" s="42" t="n"/>
      <c r="H908" s="30">
        <f>IF(D908="","",IFERROR(INDEX(Config!$B$12:$B$15,MATCH(IF(AND(D908="Cartão de crédito",N(E908)&gt;1),"Cartão de crédito parcelado",D908),Config!$A$12:$A$15,0)),0)+IF(AND(Config!$B$17="Sim",LEFT(D908,17)="Cartão de crédito"),Config!$B$18*IFERROR(INDEX(Config!$C$12:$C$15,MATCH(IF(AND(D908="Cartão de crédito",N(E908)&gt;1),"Cartão de crédito parcelado",D908),Config!$A$12:$A$15,0)),0)/30*MAX(1,N(E908)),0))</f>
        <v/>
      </c>
      <c r="I908" s="29">
        <f>IF(OR(D908="",F908=""),"",ROUND(F908*H908,2))</f>
        <v/>
      </c>
      <c r="J908" s="29">
        <f>IF(I908="","",F908-I908)</f>
        <v/>
      </c>
      <c r="K908" s="29">
        <f>IF(J908="","",J908/MAX(1,N(E908)))</f>
        <v/>
      </c>
      <c r="L908" s="37">
        <f>IF(OR(D908="",A908=""),"",A908+IF(AND(Config!$B$17="Sim",LEFT(D908,17)="Cartão de crédito"),1,IFERROR(INDEX(Config!$C$12:$C$15,MATCH(IF(AND(D908="Cartão de crédito",N(E908)&gt;1),"Cartão de crédito parcelado",D908),Config!$A$12:$A$15,0)),0)))</f>
        <v/>
      </c>
      <c r="M908" s="37">
        <f>IF(L908="","",IF(AND(Config!$B$17="Sim",LEFT(D908,17)="Cartão de crédito"),L908,L908+30*(MAX(1,N(E908))-1)))</f>
        <v/>
      </c>
      <c r="N908" s="29">
        <f>IF(OR(L908="",K908=""),"",K908*MIN(MAX(1,N(E908)),MAX(0,INT((Config!$B$8-L908)/30)+1)))</f>
        <v/>
      </c>
      <c r="O908" s="29">
        <f>IF(J908="","",J908-N(N908))</f>
        <v/>
      </c>
      <c r="P908" s="27">
        <f>IF(A908="","",MONTH(A908))</f>
        <v/>
      </c>
      <c r="Q908" s="27">
        <f>IF(A908="","",YEAR(A908))</f>
        <v/>
      </c>
      <c r="R908" s="27">
        <f>IF(L908="","",IF(L908&gt;Config!$B$8,"A cair",IF(N(G908)&gt;=MIN(MAX(1,N(E908)),MAX(0,INT((Config!$B$8-L908)/30)+1)),IF(N(G908)&gt;=MAX(1,N(E908)),"Conferido","Conferido até aqui"),"A conferir")))</f>
        <v/>
      </c>
      <c r="S908" s="51">
        <f>IF(R908="A conferir",(Config!$B$8-L908)*1000+N(F908)/1000+ROW()/100000,0)</f>
        <v>0</v>
      </c>
      <c r="T908" s="51">
        <f>IF(R908="A conferir",N(N908),0)</f>
        <v>0</v>
      </c>
      <c r="U908" s="51">
        <f>IF(L908="",0,L908)</f>
        <v>0</v>
      </c>
      <c r="V908" s="51">
        <f>IF(L908="",0,MAX(1,N(E908)))</f>
        <v>0</v>
      </c>
      <c r="W908" s="51">
        <f>IF(K908="",0,K908)</f>
        <v>0</v>
      </c>
    </row>
    <row r="909">
      <c r="A909" s="49" t="n"/>
      <c r="B909" s="41" t="n"/>
      <c r="C909" s="41" t="n"/>
      <c r="D909" s="42" t="n"/>
      <c r="E909" s="42" t="n"/>
      <c r="F909" s="50" t="n"/>
      <c r="G909" s="42" t="n"/>
      <c r="H909" s="30">
        <f>IF(D909="","",IFERROR(INDEX(Config!$B$12:$B$15,MATCH(IF(AND(D909="Cartão de crédito",N(E909)&gt;1),"Cartão de crédito parcelado",D909),Config!$A$12:$A$15,0)),0)+IF(AND(Config!$B$17="Sim",LEFT(D909,17)="Cartão de crédito"),Config!$B$18*IFERROR(INDEX(Config!$C$12:$C$15,MATCH(IF(AND(D909="Cartão de crédito",N(E909)&gt;1),"Cartão de crédito parcelado",D909),Config!$A$12:$A$15,0)),0)/30*MAX(1,N(E909)),0))</f>
        <v/>
      </c>
      <c r="I909" s="29">
        <f>IF(OR(D909="",F909=""),"",ROUND(F909*H909,2))</f>
        <v/>
      </c>
      <c r="J909" s="29">
        <f>IF(I909="","",F909-I909)</f>
        <v/>
      </c>
      <c r="K909" s="29">
        <f>IF(J909="","",J909/MAX(1,N(E909)))</f>
        <v/>
      </c>
      <c r="L909" s="37">
        <f>IF(OR(D909="",A909=""),"",A909+IF(AND(Config!$B$17="Sim",LEFT(D909,17)="Cartão de crédito"),1,IFERROR(INDEX(Config!$C$12:$C$15,MATCH(IF(AND(D909="Cartão de crédito",N(E909)&gt;1),"Cartão de crédito parcelado",D909),Config!$A$12:$A$15,0)),0)))</f>
        <v/>
      </c>
      <c r="M909" s="37">
        <f>IF(L909="","",IF(AND(Config!$B$17="Sim",LEFT(D909,17)="Cartão de crédito"),L909,L909+30*(MAX(1,N(E909))-1)))</f>
        <v/>
      </c>
      <c r="N909" s="29">
        <f>IF(OR(L909="",K909=""),"",K909*MIN(MAX(1,N(E909)),MAX(0,INT((Config!$B$8-L909)/30)+1)))</f>
        <v/>
      </c>
      <c r="O909" s="29">
        <f>IF(J909="","",J909-N(N909))</f>
        <v/>
      </c>
      <c r="P909" s="27">
        <f>IF(A909="","",MONTH(A909))</f>
        <v/>
      </c>
      <c r="Q909" s="27">
        <f>IF(A909="","",YEAR(A909))</f>
        <v/>
      </c>
      <c r="R909" s="27">
        <f>IF(L909="","",IF(L909&gt;Config!$B$8,"A cair",IF(N(G909)&gt;=MIN(MAX(1,N(E909)),MAX(0,INT((Config!$B$8-L909)/30)+1)),IF(N(G909)&gt;=MAX(1,N(E909)),"Conferido","Conferido até aqui"),"A conferir")))</f>
        <v/>
      </c>
      <c r="S909" s="51">
        <f>IF(R909="A conferir",(Config!$B$8-L909)*1000+N(F909)/1000+ROW()/100000,0)</f>
        <v>0</v>
      </c>
      <c r="T909" s="51">
        <f>IF(R909="A conferir",N(N909),0)</f>
        <v>0</v>
      </c>
      <c r="U909" s="51">
        <f>IF(L909="",0,L909)</f>
        <v>0</v>
      </c>
      <c r="V909" s="51">
        <f>IF(L909="",0,MAX(1,N(E909)))</f>
        <v>0</v>
      </c>
      <c r="W909" s="51">
        <f>IF(K909="",0,K909)</f>
        <v>0</v>
      </c>
    </row>
    <row r="910">
      <c r="A910" s="49" t="n"/>
      <c r="B910" s="41" t="n"/>
      <c r="C910" s="41" t="n"/>
      <c r="D910" s="42" t="n"/>
      <c r="E910" s="42" t="n"/>
      <c r="F910" s="50" t="n"/>
      <c r="G910" s="42" t="n"/>
      <c r="H910" s="30">
        <f>IF(D910="","",IFERROR(INDEX(Config!$B$12:$B$15,MATCH(IF(AND(D910="Cartão de crédito",N(E910)&gt;1),"Cartão de crédito parcelado",D910),Config!$A$12:$A$15,0)),0)+IF(AND(Config!$B$17="Sim",LEFT(D910,17)="Cartão de crédito"),Config!$B$18*IFERROR(INDEX(Config!$C$12:$C$15,MATCH(IF(AND(D910="Cartão de crédito",N(E910)&gt;1),"Cartão de crédito parcelado",D910),Config!$A$12:$A$15,0)),0)/30*MAX(1,N(E910)),0))</f>
        <v/>
      </c>
      <c r="I910" s="29">
        <f>IF(OR(D910="",F910=""),"",ROUND(F910*H910,2))</f>
        <v/>
      </c>
      <c r="J910" s="29">
        <f>IF(I910="","",F910-I910)</f>
        <v/>
      </c>
      <c r="K910" s="29">
        <f>IF(J910="","",J910/MAX(1,N(E910)))</f>
        <v/>
      </c>
      <c r="L910" s="37">
        <f>IF(OR(D910="",A910=""),"",A910+IF(AND(Config!$B$17="Sim",LEFT(D910,17)="Cartão de crédito"),1,IFERROR(INDEX(Config!$C$12:$C$15,MATCH(IF(AND(D910="Cartão de crédito",N(E910)&gt;1),"Cartão de crédito parcelado",D910),Config!$A$12:$A$15,0)),0)))</f>
        <v/>
      </c>
      <c r="M910" s="37">
        <f>IF(L910="","",IF(AND(Config!$B$17="Sim",LEFT(D910,17)="Cartão de crédito"),L910,L910+30*(MAX(1,N(E910))-1)))</f>
        <v/>
      </c>
      <c r="N910" s="29">
        <f>IF(OR(L910="",K910=""),"",K910*MIN(MAX(1,N(E910)),MAX(0,INT((Config!$B$8-L910)/30)+1)))</f>
        <v/>
      </c>
      <c r="O910" s="29">
        <f>IF(J910="","",J910-N(N910))</f>
        <v/>
      </c>
      <c r="P910" s="27">
        <f>IF(A910="","",MONTH(A910))</f>
        <v/>
      </c>
      <c r="Q910" s="27">
        <f>IF(A910="","",YEAR(A910))</f>
        <v/>
      </c>
      <c r="R910" s="27">
        <f>IF(L910="","",IF(L910&gt;Config!$B$8,"A cair",IF(N(G910)&gt;=MIN(MAX(1,N(E910)),MAX(0,INT((Config!$B$8-L910)/30)+1)),IF(N(G910)&gt;=MAX(1,N(E910)),"Conferido","Conferido até aqui"),"A conferir")))</f>
        <v/>
      </c>
      <c r="S910" s="51">
        <f>IF(R910="A conferir",(Config!$B$8-L910)*1000+N(F910)/1000+ROW()/100000,0)</f>
        <v>0</v>
      </c>
      <c r="T910" s="51">
        <f>IF(R910="A conferir",N(N910),0)</f>
        <v>0</v>
      </c>
      <c r="U910" s="51">
        <f>IF(L910="",0,L910)</f>
        <v>0</v>
      </c>
      <c r="V910" s="51">
        <f>IF(L910="",0,MAX(1,N(E910)))</f>
        <v>0</v>
      </c>
      <c r="W910" s="51">
        <f>IF(K910="",0,K910)</f>
        <v>0</v>
      </c>
    </row>
    <row r="911">
      <c r="A911" s="49" t="n"/>
      <c r="B911" s="41" t="n"/>
      <c r="C911" s="41" t="n"/>
      <c r="D911" s="42" t="n"/>
      <c r="E911" s="42" t="n"/>
      <c r="F911" s="50" t="n"/>
      <c r="G911" s="42" t="n"/>
      <c r="H911" s="30">
        <f>IF(D911="","",IFERROR(INDEX(Config!$B$12:$B$15,MATCH(IF(AND(D911="Cartão de crédito",N(E911)&gt;1),"Cartão de crédito parcelado",D911),Config!$A$12:$A$15,0)),0)+IF(AND(Config!$B$17="Sim",LEFT(D911,17)="Cartão de crédito"),Config!$B$18*IFERROR(INDEX(Config!$C$12:$C$15,MATCH(IF(AND(D911="Cartão de crédito",N(E911)&gt;1),"Cartão de crédito parcelado",D911),Config!$A$12:$A$15,0)),0)/30*MAX(1,N(E911)),0))</f>
        <v/>
      </c>
      <c r="I911" s="29">
        <f>IF(OR(D911="",F911=""),"",ROUND(F911*H911,2))</f>
        <v/>
      </c>
      <c r="J911" s="29">
        <f>IF(I911="","",F911-I911)</f>
        <v/>
      </c>
      <c r="K911" s="29">
        <f>IF(J911="","",J911/MAX(1,N(E911)))</f>
        <v/>
      </c>
      <c r="L911" s="37">
        <f>IF(OR(D911="",A911=""),"",A911+IF(AND(Config!$B$17="Sim",LEFT(D911,17)="Cartão de crédito"),1,IFERROR(INDEX(Config!$C$12:$C$15,MATCH(IF(AND(D911="Cartão de crédito",N(E911)&gt;1),"Cartão de crédito parcelado",D911),Config!$A$12:$A$15,0)),0)))</f>
        <v/>
      </c>
      <c r="M911" s="37">
        <f>IF(L911="","",IF(AND(Config!$B$17="Sim",LEFT(D911,17)="Cartão de crédito"),L911,L911+30*(MAX(1,N(E911))-1)))</f>
        <v/>
      </c>
      <c r="N911" s="29">
        <f>IF(OR(L911="",K911=""),"",K911*MIN(MAX(1,N(E911)),MAX(0,INT((Config!$B$8-L911)/30)+1)))</f>
        <v/>
      </c>
      <c r="O911" s="29">
        <f>IF(J911="","",J911-N(N911))</f>
        <v/>
      </c>
      <c r="P911" s="27">
        <f>IF(A911="","",MONTH(A911))</f>
        <v/>
      </c>
      <c r="Q911" s="27">
        <f>IF(A911="","",YEAR(A911))</f>
        <v/>
      </c>
      <c r="R911" s="27">
        <f>IF(L911="","",IF(L911&gt;Config!$B$8,"A cair",IF(N(G911)&gt;=MIN(MAX(1,N(E911)),MAX(0,INT((Config!$B$8-L911)/30)+1)),IF(N(G911)&gt;=MAX(1,N(E911)),"Conferido","Conferido até aqui"),"A conferir")))</f>
        <v/>
      </c>
      <c r="S911" s="51">
        <f>IF(R911="A conferir",(Config!$B$8-L911)*1000+N(F911)/1000+ROW()/100000,0)</f>
        <v>0</v>
      </c>
      <c r="T911" s="51">
        <f>IF(R911="A conferir",N(N911),0)</f>
        <v>0</v>
      </c>
      <c r="U911" s="51">
        <f>IF(L911="",0,L911)</f>
        <v>0</v>
      </c>
      <c r="V911" s="51">
        <f>IF(L911="",0,MAX(1,N(E911)))</f>
        <v>0</v>
      </c>
      <c r="W911" s="51">
        <f>IF(K911="",0,K911)</f>
        <v>0</v>
      </c>
    </row>
    <row r="912">
      <c r="A912" s="49" t="n"/>
      <c r="B912" s="41" t="n"/>
      <c r="C912" s="41" t="n"/>
      <c r="D912" s="42" t="n"/>
      <c r="E912" s="42" t="n"/>
      <c r="F912" s="50" t="n"/>
      <c r="G912" s="42" t="n"/>
      <c r="H912" s="30">
        <f>IF(D912="","",IFERROR(INDEX(Config!$B$12:$B$15,MATCH(IF(AND(D912="Cartão de crédito",N(E912)&gt;1),"Cartão de crédito parcelado",D912),Config!$A$12:$A$15,0)),0)+IF(AND(Config!$B$17="Sim",LEFT(D912,17)="Cartão de crédito"),Config!$B$18*IFERROR(INDEX(Config!$C$12:$C$15,MATCH(IF(AND(D912="Cartão de crédito",N(E912)&gt;1),"Cartão de crédito parcelado",D912),Config!$A$12:$A$15,0)),0)/30*MAX(1,N(E912)),0))</f>
        <v/>
      </c>
      <c r="I912" s="29">
        <f>IF(OR(D912="",F912=""),"",ROUND(F912*H912,2))</f>
        <v/>
      </c>
      <c r="J912" s="29">
        <f>IF(I912="","",F912-I912)</f>
        <v/>
      </c>
      <c r="K912" s="29">
        <f>IF(J912="","",J912/MAX(1,N(E912)))</f>
        <v/>
      </c>
      <c r="L912" s="37">
        <f>IF(OR(D912="",A912=""),"",A912+IF(AND(Config!$B$17="Sim",LEFT(D912,17)="Cartão de crédito"),1,IFERROR(INDEX(Config!$C$12:$C$15,MATCH(IF(AND(D912="Cartão de crédito",N(E912)&gt;1),"Cartão de crédito parcelado",D912),Config!$A$12:$A$15,0)),0)))</f>
        <v/>
      </c>
      <c r="M912" s="37">
        <f>IF(L912="","",IF(AND(Config!$B$17="Sim",LEFT(D912,17)="Cartão de crédito"),L912,L912+30*(MAX(1,N(E912))-1)))</f>
        <v/>
      </c>
      <c r="N912" s="29">
        <f>IF(OR(L912="",K912=""),"",K912*MIN(MAX(1,N(E912)),MAX(0,INT((Config!$B$8-L912)/30)+1)))</f>
        <v/>
      </c>
      <c r="O912" s="29">
        <f>IF(J912="","",J912-N(N912))</f>
        <v/>
      </c>
      <c r="P912" s="27">
        <f>IF(A912="","",MONTH(A912))</f>
        <v/>
      </c>
      <c r="Q912" s="27">
        <f>IF(A912="","",YEAR(A912))</f>
        <v/>
      </c>
      <c r="R912" s="27">
        <f>IF(L912="","",IF(L912&gt;Config!$B$8,"A cair",IF(N(G912)&gt;=MIN(MAX(1,N(E912)),MAX(0,INT((Config!$B$8-L912)/30)+1)),IF(N(G912)&gt;=MAX(1,N(E912)),"Conferido","Conferido até aqui"),"A conferir")))</f>
        <v/>
      </c>
      <c r="S912" s="51">
        <f>IF(R912="A conferir",(Config!$B$8-L912)*1000+N(F912)/1000+ROW()/100000,0)</f>
        <v>0</v>
      </c>
      <c r="T912" s="51">
        <f>IF(R912="A conferir",N(N912),0)</f>
        <v>0</v>
      </c>
      <c r="U912" s="51">
        <f>IF(L912="",0,L912)</f>
        <v>0</v>
      </c>
      <c r="V912" s="51">
        <f>IF(L912="",0,MAX(1,N(E912)))</f>
        <v>0</v>
      </c>
      <c r="W912" s="51">
        <f>IF(K912="",0,K912)</f>
        <v>0</v>
      </c>
    </row>
    <row r="913">
      <c r="A913" s="49" t="n"/>
      <c r="B913" s="41" t="n"/>
      <c r="C913" s="41" t="n"/>
      <c r="D913" s="42" t="n"/>
      <c r="E913" s="42" t="n"/>
      <c r="F913" s="50" t="n"/>
      <c r="G913" s="42" t="n"/>
      <c r="H913" s="30">
        <f>IF(D913="","",IFERROR(INDEX(Config!$B$12:$B$15,MATCH(IF(AND(D913="Cartão de crédito",N(E913)&gt;1),"Cartão de crédito parcelado",D913),Config!$A$12:$A$15,0)),0)+IF(AND(Config!$B$17="Sim",LEFT(D913,17)="Cartão de crédito"),Config!$B$18*IFERROR(INDEX(Config!$C$12:$C$15,MATCH(IF(AND(D913="Cartão de crédito",N(E913)&gt;1),"Cartão de crédito parcelado",D913),Config!$A$12:$A$15,0)),0)/30*MAX(1,N(E913)),0))</f>
        <v/>
      </c>
      <c r="I913" s="29">
        <f>IF(OR(D913="",F913=""),"",ROUND(F913*H913,2))</f>
        <v/>
      </c>
      <c r="J913" s="29">
        <f>IF(I913="","",F913-I913)</f>
        <v/>
      </c>
      <c r="K913" s="29">
        <f>IF(J913="","",J913/MAX(1,N(E913)))</f>
        <v/>
      </c>
      <c r="L913" s="37">
        <f>IF(OR(D913="",A913=""),"",A913+IF(AND(Config!$B$17="Sim",LEFT(D913,17)="Cartão de crédito"),1,IFERROR(INDEX(Config!$C$12:$C$15,MATCH(IF(AND(D913="Cartão de crédito",N(E913)&gt;1),"Cartão de crédito parcelado",D913),Config!$A$12:$A$15,0)),0)))</f>
        <v/>
      </c>
      <c r="M913" s="37">
        <f>IF(L913="","",IF(AND(Config!$B$17="Sim",LEFT(D913,17)="Cartão de crédito"),L913,L913+30*(MAX(1,N(E913))-1)))</f>
        <v/>
      </c>
      <c r="N913" s="29">
        <f>IF(OR(L913="",K913=""),"",K913*MIN(MAX(1,N(E913)),MAX(0,INT((Config!$B$8-L913)/30)+1)))</f>
        <v/>
      </c>
      <c r="O913" s="29">
        <f>IF(J913="","",J913-N(N913))</f>
        <v/>
      </c>
      <c r="P913" s="27">
        <f>IF(A913="","",MONTH(A913))</f>
        <v/>
      </c>
      <c r="Q913" s="27">
        <f>IF(A913="","",YEAR(A913))</f>
        <v/>
      </c>
      <c r="R913" s="27">
        <f>IF(L913="","",IF(L913&gt;Config!$B$8,"A cair",IF(N(G913)&gt;=MIN(MAX(1,N(E913)),MAX(0,INT((Config!$B$8-L913)/30)+1)),IF(N(G913)&gt;=MAX(1,N(E913)),"Conferido","Conferido até aqui"),"A conferir")))</f>
        <v/>
      </c>
      <c r="S913" s="51">
        <f>IF(R913="A conferir",(Config!$B$8-L913)*1000+N(F913)/1000+ROW()/100000,0)</f>
        <v>0</v>
      </c>
      <c r="T913" s="51">
        <f>IF(R913="A conferir",N(N913),0)</f>
        <v>0</v>
      </c>
      <c r="U913" s="51">
        <f>IF(L913="",0,L913)</f>
        <v>0</v>
      </c>
      <c r="V913" s="51">
        <f>IF(L913="",0,MAX(1,N(E913)))</f>
        <v>0</v>
      </c>
      <c r="W913" s="51">
        <f>IF(K913="",0,K913)</f>
        <v>0</v>
      </c>
    </row>
    <row r="914">
      <c r="A914" s="49" t="n"/>
      <c r="B914" s="41" t="n"/>
      <c r="C914" s="41" t="n"/>
      <c r="D914" s="42" t="n"/>
      <c r="E914" s="42" t="n"/>
      <c r="F914" s="50" t="n"/>
      <c r="G914" s="42" t="n"/>
      <c r="H914" s="30">
        <f>IF(D914="","",IFERROR(INDEX(Config!$B$12:$B$15,MATCH(IF(AND(D914="Cartão de crédito",N(E914)&gt;1),"Cartão de crédito parcelado",D914),Config!$A$12:$A$15,0)),0)+IF(AND(Config!$B$17="Sim",LEFT(D914,17)="Cartão de crédito"),Config!$B$18*IFERROR(INDEX(Config!$C$12:$C$15,MATCH(IF(AND(D914="Cartão de crédito",N(E914)&gt;1),"Cartão de crédito parcelado",D914),Config!$A$12:$A$15,0)),0)/30*MAX(1,N(E914)),0))</f>
        <v/>
      </c>
      <c r="I914" s="29">
        <f>IF(OR(D914="",F914=""),"",ROUND(F914*H914,2))</f>
        <v/>
      </c>
      <c r="J914" s="29">
        <f>IF(I914="","",F914-I914)</f>
        <v/>
      </c>
      <c r="K914" s="29">
        <f>IF(J914="","",J914/MAX(1,N(E914)))</f>
        <v/>
      </c>
      <c r="L914" s="37">
        <f>IF(OR(D914="",A914=""),"",A914+IF(AND(Config!$B$17="Sim",LEFT(D914,17)="Cartão de crédito"),1,IFERROR(INDEX(Config!$C$12:$C$15,MATCH(IF(AND(D914="Cartão de crédito",N(E914)&gt;1),"Cartão de crédito parcelado",D914),Config!$A$12:$A$15,0)),0)))</f>
        <v/>
      </c>
      <c r="M914" s="37">
        <f>IF(L914="","",IF(AND(Config!$B$17="Sim",LEFT(D914,17)="Cartão de crédito"),L914,L914+30*(MAX(1,N(E914))-1)))</f>
        <v/>
      </c>
      <c r="N914" s="29">
        <f>IF(OR(L914="",K914=""),"",K914*MIN(MAX(1,N(E914)),MAX(0,INT((Config!$B$8-L914)/30)+1)))</f>
        <v/>
      </c>
      <c r="O914" s="29">
        <f>IF(J914="","",J914-N(N914))</f>
        <v/>
      </c>
      <c r="P914" s="27">
        <f>IF(A914="","",MONTH(A914))</f>
        <v/>
      </c>
      <c r="Q914" s="27">
        <f>IF(A914="","",YEAR(A914))</f>
        <v/>
      </c>
      <c r="R914" s="27">
        <f>IF(L914="","",IF(L914&gt;Config!$B$8,"A cair",IF(N(G914)&gt;=MIN(MAX(1,N(E914)),MAX(0,INT((Config!$B$8-L914)/30)+1)),IF(N(G914)&gt;=MAX(1,N(E914)),"Conferido","Conferido até aqui"),"A conferir")))</f>
        <v/>
      </c>
      <c r="S914" s="51">
        <f>IF(R914="A conferir",(Config!$B$8-L914)*1000+N(F914)/1000+ROW()/100000,0)</f>
        <v>0</v>
      </c>
      <c r="T914" s="51">
        <f>IF(R914="A conferir",N(N914),0)</f>
        <v>0</v>
      </c>
      <c r="U914" s="51">
        <f>IF(L914="",0,L914)</f>
        <v>0</v>
      </c>
      <c r="V914" s="51">
        <f>IF(L914="",0,MAX(1,N(E914)))</f>
        <v>0</v>
      </c>
      <c r="W914" s="51">
        <f>IF(K914="",0,K914)</f>
        <v>0</v>
      </c>
    </row>
    <row r="915">
      <c r="A915" s="49" t="n"/>
      <c r="B915" s="41" t="n"/>
      <c r="C915" s="41" t="n"/>
      <c r="D915" s="42" t="n"/>
      <c r="E915" s="42" t="n"/>
      <c r="F915" s="50" t="n"/>
      <c r="G915" s="42" t="n"/>
      <c r="H915" s="30">
        <f>IF(D915="","",IFERROR(INDEX(Config!$B$12:$B$15,MATCH(IF(AND(D915="Cartão de crédito",N(E915)&gt;1),"Cartão de crédito parcelado",D915),Config!$A$12:$A$15,0)),0)+IF(AND(Config!$B$17="Sim",LEFT(D915,17)="Cartão de crédito"),Config!$B$18*IFERROR(INDEX(Config!$C$12:$C$15,MATCH(IF(AND(D915="Cartão de crédito",N(E915)&gt;1),"Cartão de crédito parcelado",D915),Config!$A$12:$A$15,0)),0)/30*MAX(1,N(E915)),0))</f>
        <v/>
      </c>
      <c r="I915" s="29">
        <f>IF(OR(D915="",F915=""),"",ROUND(F915*H915,2))</f>
        <v/>
      </c>
      <c r="J915" s="29">
        <f>IF(I915="","",F915-I915)</f>
        <v/>
      </c>
      <c r="K915" s="29">
        <f>IF(J915="","",J915/MAX(1,N(E915)))</f>
        <v/>
      </c>
      <c r="L915" s="37">
        <f>IF(OR(D915="",A915=""),"",A915+IF(AND(Config!$B$17="Sim",LEFT(D915,17)="Cartão de crédito"),1,IFERROR(INDEX(Config!$C$12:$C$15,MATCH(IF(AND(D915="Cartão de crédito",N(E915)&gt;1),"Cartão de crédito parcelado",D915),Config!$A$12:$A$15,0)),0)))</f>
        <v/>
      </c>
      <c r="M915" s="37">
        <f>IF(L915="","",IF(AND(Config!$B$17="Sim",LEFT(D915,17)="Cartão de crédito"),L915,L915+30*(MAX(1,N(E915))-1)))</f>
        <v/>
      </c>
      <c r="N915" s="29">
        <f>IF(OR(L915="",K915=""),"",K915*MIN(MAX(1,N(E915)),MAX(0,INT((Config!$B$8-L915)/30)+1)))</f>
        <v/>
      </c>
      <c r="O915" s="29">
        <f>IF(J915="","",J915-N(N915))</f>
        <v/>
      </c>
      <c r="P915" s="27">
        <f>IF(A915="","",MONTH(A915))</f>
        <v/>
      </c>
      <c r="Q915" s="27">
        <f>IF(A915="","",YEAR(A915))</f>
        <v/>
      </c>
      <c r="R915" s="27">
        <f>IF(L915="","",IF(L915&gt;Config!$B$8,"A cair",IF(N(G915)&gt;=MIN(MAX(1,N(E915)),MAX(0,INT((Config!$B$8-L915)/30)+1)),IF(N(G915)&gt;=MAX(1,N(E915)),"Conferido","Conferido até aqui"),"A conferir")))</f>
        <v/>
      </c>
      <c r="S915" s="51">
        <f>IF(R915="A conferir",(Config!$B$8-L915)*1000+N(F915)/1000+ROW()/100000,0)</f>
        <v>0</v>
      </c>
      <c r="T915" s="51">
        <f>IF(R915="A conferir",N(N915),0)</f>
        <v>0</v>
      </c>
      <c r="U915" s="51">
        <f>IF(L915="",0,L915)</f>
        <v>0</v>
      </c>
      <c r="V915" s="51">
        <f>IF(L915="",0,MAX(1,N(E915)))</f>
        <v>0</v>
      </c>
      <c r="W915" s="51">
        <f>IF(K915="",0,K915)</f>
        <v>0</v>
      </c>
    </row>
    <row r="916">
      <c r="A916" s="49" t="n"/>
      <c r="B916" s="41" t="n"/>
      <c r="C916" s="41" t="n"/>
      <c r="D916" s="42" t="n"/>
      <c r="E916" s="42" t="n"/>
      <c r="F916" s="50" t="n"/>
      <c r="G916" s="42" t="n"/>
      <c r="H916" s="30">
        <f>IF(D916="","",IFERROR(INDEX(Config!$B$12:$B$15,MATCH(IF(AND(D916="Cartão de crédito",N(E916)&gt;1),"Cartão de crédito parcelado",D916),Config!$A$12:$A$15,0)),0)+IF(AND(Config!$B$17="Sim",LEFT(D916,17)="Cartão de crédito"),Config!$B$18*IFERROR(INDEX(Config!$C$12:$C$15,MATCH(IF(AND(D916="Cartão de crédito",N(E916)&gt;1),"Cartão de crédito parcelado",D916),Config!$A$12:$A$15,0)),0)/30*MAX(1,N(E916)),0))</f>
        <v/>
      </c>
      <c r="I916" s="29">
        <f>IF(OR(D916="",F916=""),"",ROUND(F916*H916,2))</f>
        <v/>
      </c>
      <c r="J916" s="29">
        <f>IF(I916="","",F916-I916)</f>
        <v/>
      </c>
      <c r="K916" s="29">
        <f>IF(J916="","",J916/MAX(1,N(E916)))</f>
        <v/>
      </c>
      <c r="L916" s="37">
        <f>IF(OR(D916="",A916=""),"",A916+IF(AND(Config!$B$17="Sim",LEFT(D916,17)="Cartão de crédito"),1,IFERROR(INDEX(Config!$C$12:$C$15,MATCH(IF(AND(D916="Cartão de crédito",N(E916)&gt;1),"Cartão de crédito parcelado",D916),Config!$A$12:$A$15,0)),0)))</f>
        <v/>
      </c>
      <c r="M916" s="37">
        <f>IF(L916="","",IF(AND(Config!$B$17="Sim",LEFT(D916,17)="Cartão de crédito"),L916,L916+30*(MAX(1,N(E916))-1)))</f>
        <v/>
      </c>
      <c r="N916" s="29">
        <f>IF(OR(L916="",K916=""),"",K916*MIN(MAX(1,N(E916)),MAX(0,INT((Config!$B$8-L916)/30)+1)))</f>
        <v/>
      </c>
      <c r="O916" s="29">
        <f>IF(J916="","",J916-N(N916))</f>
        <v/>
      </c>
      <c r="P916" s="27">
        <f>IF(A916="","",MONTH(A916))</f>
        <v/>
      </c>
      <c r="Q916" s="27">
        <f>IF(A916="","",YEAR(A916))</f>
        <v/>
      </c>
      <c r="R916" s="27">
        <f>IF(L916="","",IF(L916&gt;Config!$B$8,"A cair",IF(N(G916)&gt;=MIN(MAX(1,N(E916)),MAX(0,INT((Config!$B$8-L916)/30)+1)),IF(N(G916)&gt;=MAX(1,N(E916)),"Conferido","Conferido até aqui"),"A conferir")))</f>
        <v/>
      </c>
      <c r="S916" s="51">
        <f>IF(R916="A conferir",(Config!$B$8-L916)*1000+N(F916)/1000+ROW()/100000,0)</f>
        <v>0</v>
      </c>
      <c r="T916" s="51">
        <f>IF(R916="A conferir",N(N916),0)</f>
        <v>0</v>
      </c>
      <c r="U916" s="51">
        <f>IF(L916="",0,L916)</f>
        <v>0</v>
      </c>
      <c r="V916" s="51">
        <f>IF(L916="",0,MAX(1,N(E916)))</f>
        <v>0</v>
      </c>
      <c r="W916" s="51">
        <f>IF(K916="",0,K916)</f>
        <v>0</v>
      </c>
    </row>
    <row r="917">
      <c r="A917" s="49" t="n"/>
      <c r="B917" s="41" t="n"/>
      <c r="C917" s="41" t="n"/>
      <c r="D917" s="42" t="n"/>
      <c r="E917" s="42" t="n"/>
      <c r="F917" s="50" t="n"/>
      <c r="G917" s="42" t="n"/>
      <c r="H917" s="30">
        <f>IF(D917="","",IFERROR(INDEX(Config!$B$12:$B$15,MATCH(IF(AND(D917="Cartão de crédito",N(E917)&gt;1),"Cartão de crédito parcelado",D917),Config!$A$12:$A$15,0)),0)+IF(AND(Config!$B$17="Sim",LEFT(D917,17)="Cartão de crédito"),Config!$B$18*IFERROR(INDEX(Config!$C$12:$C$15,MATCH(IF(AND(D917="Cartão de crédito",N(E917)&gt;1),"Cartão de crédito parcelado",D917),Config!$A$12:$A$15,0)),0)/30*MAX(1,N(E917)),0))</f>
        <v/>
      </c>
      <c r="I917" s="29">
        <f>IF(OR(D917="",F917=""),"",ROUND(F917*H917,2))</f>
        <v/>
      </c>
      <c r="J917" s="29">
        <f>IF(I917="","",F917-I917)</f>
        <v/>
      </c>
      <c r="K917" s="29">
        <f>IF(J917="","",J917/MAX(1,N(E917)))</f>
        <v/>
      </c>
      <c r="L917" s="37">
        <f>IF(OR(D917="",A917=""),"",A917+IF(AND(Config!$B$17="Sim",LEFT(D917,17)="Cartão de crédito"),1,IFERROR(INDEX(Config!$C$12:$C$15,MATCH(IF(AND(D917="Cartão de crédito",N(E917)&gt;1),"Cartão de crédito parcelado",D917),Config!$A$12:$A$15,0)),0)))</f>
        <v/>
      </c>
      <c r="M917" s="37">
        <f>IF(L917="","",IF(AND(Config!$B$17="Sim",LEFT(D917,17)="Cartão de crédito"),L917,L917+30*(MAX(1,N(E917))-1)))</f>
        <v/>
      </c>
      <c r="N917" s="29">
        <f>IF(OR(L917="",K917=""),"",K917*MIN(MAX(1,N(E917)),MAX(0,INT((Config!$B$8-L917)/30)+1)))</f>
        <v/>
      </c>
      <c r="O917" s="29">
        <f>IF(J917="","",J917-N(N917))</f>
        <v/>
      </c>
      <c r="P917" s="27">
        <f>IF(A917="","",MONTH(A917))</f>
        <v/>
      </c>
      <c r="Q917" s="27">
        <f>IF(A917="","",YEAR(A917))</f>
        <v/>
      </c>
      <c r="R917" s="27">
        <f>IF(L917="","",IF(L917&gt;Config!$B$8,"A cair",IF(N(G917)&gt;=MIN(MAX(1,N(E917)),MAX(0,INT((Config!$B$8-L917)/30)+1)),IF(N(G917)&gt;=MAX(1,N(E917)),"Conferido","Conferido até aqui"),"A conferir")))</f>
        <v/>
      </c>
      <c r="S917" s="51">
        <f>IF(R917="A conferir",(Config!$B$8-L917)*1000+N(F917)/1000+ROW()/100000,0)</f>
        <v>0</v>
      </c>
      <c r="T917" s="51">
        <f>IF(R917="A conferir",N(N917),0)</f>
        <v>0</v>
      </c>
      <c r="U917" s="51">
        <f>IF(L917="",0,L917)</f>
        <v>0</v>
      </c>
      <c r="V917" s="51">
        <f>IF(L917="",0,MAX(1,N(E917)))</f>
        <v>0</v>
      </c>
      <c r="W917" s="51">
        <f>IF(K917="",0,K917)</f>
        <v>0</v>
      </c>
    </row>
    <row r="918">
      <c r="A918" s="49" t="n"/>
      <c r="B918" s="41" t="n"/>
      <c r="C918" s="41" t="n"/>
      <c r="D918" s="42" t="n"/>
      <c r="E918" s="42" t="n"/>
      <c r="F918" s="50" t="n"/>
      <c r="G918" s="42" t="n"/>
      <c r="H918" s="30">
        <f>IF(D918="","",IFERROR(INDEX(Config!$B$12:$B$15,MATCH(IF(AND(D918="Cartão de crédito",N(E918)&gt;1),"Cartão de crédito parcelado",D918),Config!$A$12:$A$15,0)),0)+IF(AND(Config!$B$17="Sim",LEFT(D918,17)="Cartão de crédito"),Config!$B$18*IFERROR(INDEX(Config!$C$12:$C$15,MATCH(IF(AND(D918="Cartão de crédito",N(E918)&gt;1),"Cartão de crédito parcelado",D918),Config!$A$12:$A$15,0)),0)/30*MAX(1,N(E918)),0))</f>
        <v/>
      </c>
      <c r="I918" s="29">
        <f>IF(OR(D918="",F918=""),"",ROUND(F918*H918,2))</f>
        <v/>
      </c>
      <c r="J918" s="29">
        <f>IF(I918="","",F918-I918)</f>
        <v/>
      </c>
      <c r="K918" s="29">
        <f>IF(J918="","",J918/MAX(1,N(E918)))</f>
        <v/>
      </c>
      <c r="L918" s="37">
        <f>IF(OR(D918="",A918=""),"",A918+IF(AND(Config!$B$17="Sim",LEFT(D918,17)="Cartão de crédito"),1,IFERROR(INDEX(Config!$C$12:$C$15,MATCH(IF(AND(D918="Cartão de crédito",N(E918)&gt;1),"Cartão de crédito parcelado",D918),Config!$A$12:$A$15,0)),0)))</f>
        <v/>
      </c>
      <c r="M918" s="37">
        <f>IF(L918="","",IF(AND(Config!$B$17="Sim",LEFT(D918,17)="Cartão de crédito"),L918,L918+30*(MAX(1,N(E918))-1)))</f>
        <v/>
      </c>
      <c r="N918" s="29">
        <f>IF(OR(L918="",K918=""),"",K918*MIN(MAX(1,N(E918)),MAX(0,INT((Config!$B$8-L918)/30)+1)))</f>
        <v/>
      </c>
      <c r="O918" s="29">
        <f>IF(J918="","",J918-N(N918))</f>
        <v/>
      </c>
      <c r="P918" s="27">
        <f>IF(A918="","",MONTH(A918))</f>
        <v/>
      </c>
      <c r="Q918" s="27">
        <f>IF(A918="","",YEAR(A918))</f>
        <v/>
      </c>
      <c r="R918" s="27">
        <f>IF(L918="","",IF(L918&gt;Config!$B$8,"A cair",IF(N(G918)&gt;=MIN(MAX(1,N(E918)),MAX(0,INT((Config!$B$8-L918)/30)+1)),IF(N(G918)&gt;=MAX(1,N(E918)),"Conferido","Conferido até aqui"),"A conferir")))</f>
        <v/>
      </c>
      <c r="S918" s="51">
        <f>IF(R918="A conferir",(Config!$B$8-L918)*1000+N(F918)/1000+ROW()/100000,0)</f>
        <v>0</v>
      </c>
      <c r="T918" s="51">
        <f>IF(R918="A conferir",N(N918),0)</f>
        <v>0</v>
      </c>
      <c r="U918" s="51">
        <f>IF(L918="",0,L918)</f>
        <v>0</v>
      </c>
      <c r="V918" s="51">
        <f>IF(L918="",0,MAX(1,N(E918)))</f>
        <v>0</v>
      </c>
      <c r="W918" s="51">
        <f>IF(K918="",0,K918)</f>
        <v>0</v>
      </c>
    </row>
    <row r="919">
      <c r="A919" s="49" t="n"/>
      <c r="B919" s="41" t="n"/>
      <c r="C919" s="41" t="n"/>
      <c r="D919" s="42" t="n"/>
      <c r="E919" s="42" t="n"/>
      <c r="F919" s="50" t="n"/>
      <c r="G919" s="42" t="n"/>
      <c r="H919" s="30">
        <f>IF(D919="","",IFERROR(INDEX(Config!$B$12:$B$15,MATCH(IF(AND(D919="Cartão de crédito",N(E919)&gt;1),"Cartão de crédito parcelado",D919),Config!$A$12:$A$15,0)),0)+IF(AND(Config!$B$17="Sim",LEFT(D919,17)="Cartão de crédito"),Config!$B$18*IFERROR(INDEX(Config!$C$12:$C$15,MATCH(IF(AND(D919="Cartão de crédito",N(E919)&gt;1),"Cartão de crédito parcelado",D919),Config!$A$12:$A$15,0)),0)/30*MAX(1,N(E919)),0))</f>
        <v/>
      </c>
      <c r="I919" s="29">
        <f>IF(OR(D919="",F919=""),"",ROUND(F919*H919,2))</f>
        <v/>
      </c>
      <c r="J919" s="29">
        <f>IF(I919="","",F919-I919)</f>
        <v/>
      </c>
      <c r="K919" s="29">
        <f>IF(J919="","",J919/MAX(1,N(E919)))</f>
        <v/>
      </c>
      <c r="L919" s="37">
        <f>IF(OR(D919="",A919=""),"",A919+IF(AND(Config!$B$17="Sim",LEFT(D919,17)="Cartão de crédito"),1,IFERROR(INDEX(Config!$C$12:$C$15,MATCH(IF(AND(D919="Cartão de crédito",N(E919)&gt;1),"Cartão de crédito parcelado",D919),Config!$A$12:$A$15,0)),0)))</f>
        <v/>
      </c>
      <c r="M919" s="37">
        <f>IF(L919="","",IF(AND(Config!$B$17="Sim",LEFT(D919,17)="Cartão de crédito"),L919,L919+30*(MAX(1,N(E919))-1)))</f>
        <v/>
      </c>
      <c r="N919" s="29">
        <f>IF(OR(L919="",K919=""),"",K919*MIN(MAX(1,N(E919)),MAX(0,INT((Config!$B$8-L919)/30)+1)))</f>
        <v/>
      </c>
      <c r="O919" s="29">
        <f>IF(J919="","",J919-N(N919))</f>
        <v/>
      </c>
      <c r="P919" s="27">
        <f>IF(A919="","",MONTH(A919))</f>
        <v/>
      </c>
      <c r="Q919" s="27">
        <f>IF(A919="","",YEAR(A919))</f>
        <v/>
      </c>
      <c r="R919" s="27">
        <f>IF(L919="","",IF(L919&gt;Config!$B$8,"A cair",IF(N(G919)&gt;=MIN(MAX(1,N(E919)),MAX(0,INT((Config!$B$8-L919)/30)+1)),IF(N(G919)&gt;=MAX(1,N(E919)),"Conferido","Conferido até aqui"),"A conferir")))</f>
        <v/>
      </c>
      <c r="S919" s="51">
        <f>IF(R919="A conferir",(Config!$B$8-L919)*1000+N(F919)/1000+ROW()/100000,0)</f>
        <v>0</v>
      </c>
      <c r="T919" s="51">
        <f>IF(R919="A conferir",N(N919),0)</f>
        <v>0</v>
      </c>
      <c r="U919" s="51">
        <f>IF(L919="",0,L919)</f>
        <v>0</v>
      </c>
      <c r="V919" s="51">
        <f>IF(L919="",0,MAX(1,N(E919)))</f>
        <v>0</v>
      </c>
      <c r="W919" s="51">
        <f>IF(K919="",0,K919)</f>
        <v>0</v>
      </c>
    </row>
    <row r="920">
      <c r="A920" s="49" t="n"/>
      <c r="B920" s="41" t="n"/>
      <c r="C920" s="41" t="n"/>
      <c r="D920" s="42" t="n"/>
      <c r="E920" s="42" t="n"/>
      <c r="F920" s="50" t="n"/>
      <c r="G920" s="42" t="n"/>
      <c r="H920" s="30">
        <f>IF(D920="","",IFERROR(INDEX(Config!$B$12:$B$15,MATCH(IF(AND(D920="Cartão de crédito",N(E920)&gt;1),"Cartão de crédito parcelado",D920),Config!$A$12:$A$15,0)),0)+IF(AND(Config!$B$17="Sim",LEFT(D920,17)="Cartão de crédito"),Config!$B$18*IFERROR(INDEX(Config!$C$12:$C$15,MATCH(IF(AND(D920="Cartão de crédito",N(E920)&gt;1),"Cartão de crédito parcelado",D920),Config!$A$12:$A$15,0)),0)/30*MAX(1,N(E920)),0))</f>
        <v/>
      </c>
      <c r="I920" s="29">
        <f>IF(OR(D920="",F920=""),"",ROUND(F920*H920,2))</f>
        <v/>
      </c>
      <c r="J920" s="29">
        <f>IF(I920="","",F920-I920)</f>
        <v/>
      </c>
      <c r="K920" s="29">
        <f>IF(J920="","",J920/MAX(1,N(E920)))</f>
        <v/>
      </c>
      <c r="L920" s="37">
        <f>IF(OR(D920="",A920=""),"",A920+IF(AND(Config!$B$17="Sim",LEFT(D920,17)="Cartão de crédito"),1,IFERROR(INDEX(Config!$C$12:$C$15,MATCH(IF(AND(D920="Cartão de crédito",N(E920)&gt;1),"Cartão de crédito parcelado",D920),Config!$A$12:$A$15,0)),0)))</f>
        <v/>
      </c>
      <c r="M920" s="37">
        <f>IF(L920="","",IF(AND(Config!$B$17="Sim",LEFT(D920,17)="Cartão de crédito"),L920,L920+30*(MAX(1,N(E920))-1)))</f>
        <v/>
      </c>
      <c r="N920" s="29">
        <f>IF(OR(L920="",K920=""),"",K920*MIN(MAX(1,N(E920)),MAX(0,INT((Config!$B$8-L920)/30)+1)))</f>
        <v/>
      </c>
      <c r="O920" s="29">
        <f>IF(J920="","",J920-N(N920))</f>
        <v/>
      </c>
      <c r="P920" s="27">
        <f>IF(A920="","",MONTH(A920))</f>
        <v/>
      </c>
      <c r="Q920" s="27">
        <f>IF(A920="","",YEAR(A920))</f>
        <v/>
      </c>
      <c r="R920" s="27">
        <f>IF(L920="","",IF(L920&gt;Config!$B$8,"A cair",IF(N(G920)&gt;=MIN(MAX(1,N(E920)),MAX(0,INT((Config!$B$8-L920)/30)+1)),IF(N(G920)&gt;=MAX(1,N(E920)),"Conferido","Conferido até aqui"),"A conferir")))</f>
        <v/>
      </c>
      <c r="S920" s="51">
        <f>IF(R920="A conferir",(Config!$B$8-L920)*1000+N(F920)/1000+ROW()/100000,0)</f>
        <v>0</v>
      </c>
      <c r="T920" s="51">
        <f>IF(R920="A conferir",N(N920),0)</f>
        <v>0</v>
      </c>
      <c r="U920" s="51">
        <f>IF(L920="",0,L920)</f>
        <v>0</v>
      </c>
      <c r="V920" s="51">
        <f>IF(L920="",0,MAX(1,N(E920)))</f>
        <v>0</v>
      </c>
      <c r="W920" s="51">
        <f>IF(K920="",0,K920)</f>
        <v>0</v>
      </c>
    </row>
    <row r="921">
      <c r="A921" s="49" t="n"/>
      <c r="B921" s="41" t="n"/>
      <c r="C921" s="41" t="n"/>
      <c r="D921" s="42" t="n"/>
      <c r="E921" s="42" t="n"/>
      <c r="F921" s="50" t="n"/>
      <c r="G921" s="42" t="n"/>
      <c r="H921" s="30">
        <f>IF(D921="","",IFERROR(INDEX(Config!$B$12:$B$15,MATCH(IF(AND(D921="Cartão de crédito",N(E921)&gt;1),"Cartão de crédito parcelado",D921),Config!$A$12:$A$15,0)),0)+IF(AND(Config!$B$17="Sim",LEFT(D921,17)="Cartão de crédito"),Config!$B$18*IFERROR(INDEX(Config!$C$12:$C$15,MATCH(IF(AND(D921="Cartão de crédito",N(E921)&gt;1),"Cartão de crédito parcelado",D921),Config!$A$12:$A$15,0)),0)/30*MAX(1,N(E921)),0))</f>
        <v/>
      </c>
      <c r="I921" s="29">
        <f>IF(OR(D921="",F921=""),"",ROUND(F921*H921,2))</f>
        <v/>
      </c>
      <c r="J921" s="29">
        <f>IF(I921="","",F921-I921)</f>
        <v/>
      </c>
      <c r="K921" s="29">
        <f>IF(J921="","",J921/MAX(1,N(E921)))</f>
        <v/>
      </c>
      <c r="L921" s="37">
        <f>IF(OR(D921="",A921=""),"",A921+IF(AND(Config!$B$17="Sim",LEFT(D921,17)="Cartão de crédito"),1,IFERROR(INDEX(Config!$C$12:$C$15,MATCH(IF(AND(D921="Cartão de crédito",N(E921)&gt;1),"Cartão de crédito parcelado",D921),Config!$A$12:$A$15,0)),0)))</f>
        <v/>
      </c>
      <c r="M921" s="37">
        <f>IF(L921="","",IF(AND(Config!$B$17="Sim",LEFT(D921,17)="Cartão de crédito"),L921,L921+30*(MAX(1,N(E921))-1)))</f>
        <v/>
      </c>
      <c r="N921" s="29">
        <f>IF(OR(L921="",K921=""),"",K921*MIN(MAX(1,N(E921)),MAX(0,INT((Config!$B$8-L921)/30)+1)))</f>
        <v/>
      </c>
      <c r="O921" s="29">
        <f>IF(J921="","",J921-N(N921))</f>
        <v/>
      </c>
      <c r="P921" s="27">
        <f>IF(A921="","",MONTH(A921))</f>
        <v/>
      </c>
      <c r="Q921" s="27">
        <f>IF(A921="","",YEAR(A921))</f>
        <v/>
      </c>
      <c r="R921" s="27">
        <f>IF(L921="","",IF(L921&gt;Config!$B$8,"A cair",IF(N(G921)&gt;=MIN(MAX(1,N(E921)),MAX(0,INT((Config!$B$8-L921)/30)+1)),IF(N(G921)&gt;=MAX(1,N(E921)),"Conferido","Conferido até aqui"),"A conferir")))</f>
        <v/>
      </c>
      <c r="S921" s="51">
        <f>IF(R921="A conferir",(Config!$B$8-L921)*1000+N(F921)/1000+ROW()/100000,0)</f>
        <v>0</v>
      </c>
      <c r="T921" s="51">
        <f>IF(R921="A conferir",N(N921),0)</f>
        <v>0</v>
      </c>
      <c r="U921" s="51">
        <f>IF(L921="",0,L921)</f>
        <v>0</v>
      </c>
      <c r="V921" s="51">
        <f>IF(L921="",0,MAX(1,N(E921)))</f>
        <v>0</v>
      </c>
      <c r="W921" s="51">
        <f>IF(K921="",0,K921)</f>
        <v>0</v>
      </c>
    </row>
    <row r="922">
      <c r="A922" s="49" t="n"/>
      <c r="B922" s="41" t="n"/>
      <c r="C922" s="41" t="n"/>
      <c r="D922" s="42" t="n"/>
      <c r="E922" s="42" t="n"/>
      <c r="F922" s="50" t="n"/>
      <c r="G922" s="42" t="n"/>
      <c r="H922" s="30">
        <f>IF(D922="","",IFERROR(INDEX(Config!$B$12:$B$15,MATCH(IF(AND(D922="Cartão de crédito",N(E922)&gt;1),"Cartão de crédito parcelado",D922),Config!$A$12:$A$15,0)),0)+IF(AND(Config!$B$17="Sim",LEFT(D922,17)="Cartão de crédito"),Config!$B$18*IFERROR(INDEX(Config!$C$12:$C$15,MATCH(IF(AND(D922="Cartão de crédito",N(E922)&gt;1),"Cartão de crédito parcelado",D922),Config!$A$12:$A$15,0)),0)/30*MAX(1,N(E922)),0))</f>
        <v/>
      </c>
      <c r="I922" s="29">
        <f>IF(OR(D922="",F922=""),"",ROUND(F922*H922,2))</f>
        <v/>
      </c>
      <c r="J922" s="29">
        <f>IF(I922="","",F922-I922)</f>
        <v/>
      </c>
      <c r="K922" s="29">
        <f>IF(J922="","",J922/MAX(1,N(E922)))</f>
        <v/>
      </c>
      <c r="L922" s="37">
        <f>IF(OR(D922="",A922=""),"",A922+IF(AND(Config!$B$17="Sim",LEFT(D922,17)="Cartão de crédito"),1,IFERROR(INDEX(Config!$C$12:$C$15,MATCH(IF(AND(D922="Cartão de crédito",N(E922)&gt;1),"Cartão de crédito parcelado",D922),Config!$A$12:$A$15,0)),0)))</f>
        <v/>
      </c>
      <c r="M922" s="37">
        <f>IF(L922="","",IF(AND(Config!$B$17="Sim",LEFT(D922,17)="Cartão de crédito"),L922,L922+30*(MAX(1,N(E922))-1)))</f>
        <v/>
      </c>
      <c r="N922" s="29">
        <f>IF(OR(L922="",K922=""),"",K922*MIN(MAX(1,N(E922)),MAX(0,INT((Config!$B$8-L922)/30)+1)))</f>
        <v/>
      </c>
      <c r="O922" s="29">
        <f>IF(J922="","",J922-N(N922))</f>
        <v/>
      </c>
      <c r="P922" s="27">
        <f>IF(A922="","",MONTH(A922))</f>
        <v/>
      </c>
      <c r="Q922" s="27">
        <f>IF(A922="","",YEAR(A922))</f>
        <v/>
      </c>
      <c r="R922" s="27">
        <f>IF(L922="","",IF(L922&gt;Config!$B$8,"A cair",IF(N(G922)&gt;=MIN(MAX(1,N(E922)),MAX(0,INT((Config!$B$8-L922)/30)+1)),IF(N(G922)&gt;=MAX(1,N(E922)),"Conferido","Conferido até aqui"),"A conferir")))</f>
        <v/>
      </c>
      <c r="S922" s="51">
        <f>IF(R922="A conferir",(Config!$B$8-L922)*1000+N(F922)/1000+ROW()/100000,0)</f>
        <v>0</v>
      </c>
      <c r="T922" s="51">
        <f>IF(R922="A conferir",N(N922),0)</f>
        <v>0</v>
      </c>
      <c r="U922" s="51">
        <f>IF(L922="",0,L922)</f>
        <v>0</v>
      </c>
      <c r="V922" s="51">
        <f>IF(L922="",0,MAX(1,N(E922)))</f>
        <v>0</v>
      </c>
      <c r="W922" s="51">
        <f>IF(K922="",0,K922)</f>
        <v>0</v>
      </c>
    </row>
    <row r="923">
      <c r="A923" s="49" t="n"/>
      <c r="B923" s="41" t="n"/>
      <c r="C923" s="41" t="n"/>
      <c r="D923" s="42" t="n"/>
      <c r="E923" s="42" t="n"/>
      <c r="F923" s="50" t="n"/>
      <c r="G923" s="42" t="n"/>
      <c r="H923" s="30">
        <f>IF(D923="","",IFERROR(INDEX(Config!$B$12:$B$15,MATCH(IF(AND(D923="Cartão de crédito",N(E923)&gt;1),"Cartão de crédito parcelado",D923),Config!$A$12:$A$15,0)),0)+IF(AND(Config!$B$17="Sim",LEFT(D923,17)="Cartão de crédito"),Config!$B$18*IFERROR(INDEX(Config!$C$12:$C$15,MATCH(IF(AND(D923="Cartão de crédito",N(E923)&gt;1),"Cartão de crédito parcelado",D923),Config!$A$12:$A$15,0)),0)/30*MAX(1,N(E923)),0))</f>
        <v/>
      </c>
      <c r="I923" s="29">
        <f>IF(OR(D923="",F923=""),"",ROUND(F923*H923,2))</f>
        <v/>
      </c>
      <c r="J923" s="29">
        <f>IF(I923="","",F923-I923)</f>
        <v/>
      </c>
      <c r="K923" s="29">
        <f>IF(J923="","",J923/MAX(1,N(E923)))</f>
        <v/>
      </c>
      <c r="L923" s="37">
        <f>IF(OR(D923="",A923=""),"",A923+IF(AND(Config!$B$17="Sim",LEFT(D923,17)="Cartão de crédito"),1,IFERROR(INDEX(Config!$C$12:$C$15,MATCH(IF(AND(D923="Cartão de crédito",N(E923)&gt;1),"Cartão de crédito parcelado",D923),Config!$A$12:$A$15,0)),0)))</f>
        <v/>
      </c>
      <c r="M923" s="37">
        <f>IF(L923="","",IF(AND(Config!$B$17="Sim",LEFT(D923,17)="Cartão de crédito"),L923,L923+30*(MAX(1,N(E923))-1)))</f>
        <v/>
      </c>
      <c r="N923" s="29">
        <f>IF(OR(L923="",K923=""),"",K923*MIN(MAX(1,N(E923)),MAX(0,INT((Config!$B$8-L923)/30)+1)))</f>
        <v/>
      </c>
      <c r="O923" s="29">
        <f>IF(J923="","",J923-N(N923))</f>
        <v/>
      </c>
      <c r="P923" s="27">
        <f>IF(A923="","",MONTH(A923))</f>
        <v/>
      </c>
      <c r="Q923" s="27">
        <f>IF(A923="","",YEAR(A923))</f>
        <v/>
      </c>
      <c r="R923" s="27">
        <f>IF(L923="","",IF(L923&gt;Config!$B$8,"A cair",IF(N(G923)&gt;=MIN(MAX(1,N(E923)),MAX(0,INT((Config!$B$8-L923)/30)+1)),IF(N(G923)&gt;=MAX(1,N(E923)),"Conferido","Conferido até aqui"),"A conferir")))</f>
        <v/>
      </c>
      <c r="S923" s="51">
        <f>IF(R923="A conferir",(Config!$B$8-L923)*1000+N(F923)/1000+ROW()/100000,0)</f>
        <v>0</v>
      </c>
      <c r="T923" s="51">
        <f>IF(R923="A conferir",N(N923),0)</f>
        <v>0</v>
      </c>
      <c r="U923" s="51">
        <f>IF(L923="",0,L923)</f>
        <v>0</v>
      </c>
      <c r="V923" s="51">
        <f>IF(L923="",0,MAX(1,N(E923)))</f>
        <v>0</v>
      </c>
      <c r="W923" s="51">
        <f>IF(K923="",0,K923)</f>
        <v>0</v>
      </c>
    </row>
    <row r="924">
      <c r="A924" s="49" t="n"/>
      <c r="B924" s="41" t="n"/>
      <c r="C924" s="41" t="n"/>
      <c r="D924" s="42" t="n"/>
      <c r="E924" s="42" t="n"/>
      <c r="F924" s="50" t="n"/>
      <c r="G924" s="42" t="n"/>
      <c r="H924" s="30">
        <f>IF(D924="","",IFERROR(INDEX(Config!$B$12:$B$15,MATCH(IF(AND(D924="Cartão de crédito",N(E924)&gt;1),"Cartão de crédito parcelado",D924),Config!$A$12:$A$15,0)),0)+IF(AND(Config!$B$17="Sim",LEFT(D924,17)="Cartão de crédito"),Config!$B$18*IFERROR(INDEX(Config!$C$12:$C$15,MATCH(IF(AND(D924="Cartão de crédito",N(E924)&gt;1),"Cartão de crédito parcelado",D924),Config!$A$12:$A$15,0)),0)/30*MAX(1,N(E924)),0))</f>
        <v/>
      </c>
      <c r="I924" s="29">
        <f>IF(OR(D924="",F924=""),"",ROUND(F924*H924,2))</f>
        <v/>
      </c>
      <c r="J924" s="29">
        <f>IF(I924="","",F924-I924)</f>
        <v/>
      </c>
      <c r="K924" s="29">
        <f>IF(J924="","",J924/MAX(1,N(E924)))</f>
        <v/>
      </c>
      <c r="L924" s="37">
        <f>IF(OR(D924="",A924=""),"",A924+IF(AND(Config!$B$17="Sim",LEFT(D924,17)="Cartão de crédito"),1,IFERROR(INDEX(Config!$C$12:$C$15,MATCH(IF(AND(D924="Cartão de crédito",N(E924)&gt;1),"Cartão de crédito parcelado",D924),Config!$A$12:$A$15,0)),0)))</f>
        <v/>
      </c>
      <c r="M924" s="37">
        <f>IF(L924="","",IF(AND(Config!$B$17="Sim",LEFT(D924,17)="Cartão de crédito"),L924,L924+30*(MAX(1,N(E924))-1)))</f>
        <v/>
      </c>
      <c r="N924" s="29">
        <f>IF(OR(L924="",K924=""),"",K924*MIN(MAX(1,N(E924)),MAX(0,INT((Config!$B$8-L924)/30)+1)))</f>
        <v/>
      </c>
      <c r="O924" s="29">
        <f>IF(J924="","",J924-N(N924))</f>
        <v/>
      </c>
      <c r="P924" s="27">
        <f>IF(A924="","",MONTH(A924))</f>
        <v/>
      </c>
      <c r="Q924" s="27">
        <f>IF(A924="","",YEAR(A924))</f>
        <v/>
      </c>
      <c r="R924" s="27">
        <f>IF(L924="","",IF(L924&gt;Config!$B$8,"A cair",IF(N(G924)&gt;=MIN(MAX(1,N(E924)),MAX(0,INT((Config!$B$8-L924)/30)+1)),IF(N(G924)&gt;=MAX(1,N(E924)),"Conferido","Conferido até aqui"),"A conferir")))</f>
        <v/>
      </c>
      <c r="S924" s="51">
        <f>IF(R924="A conferir",(Config!$B$8-L924)*1000+N(F924)/1000+ROW()/100000,0)</f>
        <v>0</v>
      </c>
      <c r="T924" s="51">
        <f>IF(R924="A conferir",N(N924),0)</f>
        <v>0</v>
      </c>
      <c r="U924" s="51">
        <f>IF(L924="",0,L924)</f>
        <v>0</v>
      </c>
      <c r="V924" s="51">
        <f>IF(L924="",0,MAX(1,N(E924)))</f>
        <v>0</v>
      </c>
      <c r="W924" s="51">
        <f>IF(K924="",0,K924)</f>
        <v>0</v>
      </c>
    </row>
    <row r="925">
      <c r="A925" s="49" t="n"/>
      <c r="B925" s="41" t="n"/>
      <c r="C925" s="41" t="n"/>
      <c r="D925" s="42" t="n"/>
      <c r="E925" s="42" t="n"/>
      <c r="F925" s="50" t="n"/>
      <c r="G925" s="42" t="n"/>
      <c r="H925" s="30">
        <f>IF(D925="","",IFERROR(INDEX(Config!$B$12:$B$15,MATCH(IF(AND(D925="Cartão de crédito",N(E925)&gt;1),"Cartão de crédito parcelado",D925),Config!$A$12:$A$15,0)),0)+IF(AND(Config!$B$17="Sim",LEFT(D925,17)="Cartão de crédito"),Config!$B$18*IFERROR(INDEX(Config!$C$12:$C$15,MATCH(IF(AND(D925="Cartão de crédito",N(E925)&gt;1),"Cartão de crédito parcelado",D925),Config!$A$12:$A$15,0)),0)/30*MAX(1,N(E925)),0))</f>
        <v/>
      </c>
      <c r="I925" s="29">
        <f>IF(OR(D925="",F925=""),"",ROUND(F925*H925,2))</f>
        <v/>
      </c>
      <c r="J925" s="29">
        <f>IF(I925="","",F925-I925)</f>
        <v/>
      </c>
      <c r="K925" s="29">
        <f>IF(J925="","",J925/MAX(1,N(E925)))</f>
        <v/>
      </c>
      <c r="L925" s="37">
        <f>IF(OR(D925="",A925=""),"",A925+IF(AND(Config!$B$17="Sim",LEFT(D925,17)="Cartão de crédito"),1,IFERROR(INDEX(Config!$C$12:$C$15,MATCH(IF(AND(D925="Cartão de crédito",N(E925)&gt;1),"Cartão de crédito parcelado",D925),Config!$A$12:$A$15,0)),0)))</f>
        <v/>
      </c>
      <c r="M925" s="37">
        <f>IF(L925="","",IF(AND(Config!$B$17="Sim",LEFT(D925,17)="Cartão de crédito"),L925,L925+30*(MAX(1,N(E925))-1)))</f>
        <v/>
      </c>
      <c r="N925" s="29">
        <f>IF(OR(L925="",K925=""),"",K925*MIN(MAX(1,N(E925)),MAX(0,INT((Config!$B$8-L925)/30)+1)))</f>
        <v/>
      </c>
      <c r="O925" s="29">
        <f>IF(J925="","",J925-N(N925))</f>
        <v/>
      </c>
      <c r="P925" s="27">
        <f>IF(A925="","",MONTH(A925))</f>
        <v/>
      </c>
      <c r="Q925" s="27">
        <f>IF(A925="","",YEAR(A925))</f>
        <v/>
      </c>
      <c r="R925" s="27">
        <f>IF(L925="","",IF(L925&gt;Config!$B$8,"A cair",IF(N(G925)&gt;=MIN(MAX(1,N(E925)),MAX(0,INT((Config!$B$8-L925)/30)+1)),IF(N(G925)&gt;=MAX(1,N(E925)),"Conferido","Conferido até aqui"),"A conferir")))</f>
        <v/>
      </c>
      <c r="S925" s="51">
        <f>IF(R925="A conferir",(Config!$B$8-L925)*1000+N(F925)/1000+ROW()/100000,0)</f>
        <v>0</v>
      </c>
      <c r="T925" s="51">
        <f>IF(R925="A conferir",N(N925),0)</f>
        <v>0</v>
      </c>
      <c r="U925" s="51">
        <f>IF(L925="",0,L925)</f>
        <v>0</v>
      </c>
      <c r="V925" s="51">
        <f>IF(L925="",0,MAX(1,N(E925)))</f>
        <v>0</v>
      </c>
      <c r="W925" s="51">
        <f>IF(K925="",0,K925)</f>
        <v>0</v>
      </c>
    </row>
    <row r="926">
      <c r="A926" s="49" t="n"/>
      <c r="B926" s="41" t="n"/>
      <c r="C926" s="41" t="n"/>
      <c r="D926" s="42" t="n"/>
      <c r="E926" s="42" t="n"/>
      <c r="F926" s="50" t="n"/>
      <c r="G926" s="42" t="n"/>
      <c r="H926" s="30">
        <f>IF(D926="","",IFERROR(INDEX(Config!$B$12:$B$15,MATCH(IF(AND(D926="Cartão de crédito",N(E926)&gt;1),"Cartão de crédito parcelado",D926),Config!$A$12:$A$15,0)),0)+IF(AND(Config!$B$17="Sim",LEFT(D926,17)="Cartão de crédito"),Config!$B$18*IFERROR(INDEX(Config!$C$12:$C$15,MATCH(IF(AND(D926="Cartão de crédito",N(E926)&gt;1),"Cartão de crédito parcelado",D926),Config!$A$12:$A$15,0)),0)/30*MAX(1,N(E926)),0))</f>
        <v/>
      </c>
      <c r="I926" s="29">
        <f>IF(OR(D926="",F926=""),"",ROUND(F926*H926,2))</f>
        <v/>
      </c>
      <c r="J926" s="29">
        <f>IF(I926="","",F926-I926)</f>
        <v/>
      </c>
      <c r="K926" s="29">
        <f>IF(J926="","",J926/MAX(1,N(E926)))</f>
        <v/>
      </c>
      <c r="L926" s="37">
        <f>IF(OR(D926="",A926=""),"",A926+IF(AND(Config!$B$17="Sim",LEFT(D926,17)="Cartão de crédito"),1,IFERROR(INDEX(Config!$C$12:$C$15,MATCH(IF(AND(D926="Cartão de crédito",N(E926)&gt;1),"Cartão de crédito parcelado",D926),Config!$A$12:$A$15,0)),0)))</f>
        <v/>
      </c>
      <c r="M926" s="37">
        <f>IF(L926="","",IF(AND(Config!$B$17="Sim",LEFT(D926,17)="Cartão de crédito"),L926,L926+30*(MAX(1,N(E926))-1)))</f>
        <v/>
      </c>
      <c r="N926" s="29">
        <f>IF(OR(L926="",K926=""),"",K926*MIN(MAX(1,N(E926)),MAX(0,INT((Config!$B$8-L926)/30)+1)))</f>
        <v/>
      </c>
      <c r="O926" s="29">
        <f>IF(J926="","",J926-N(N926))</f>
        <v/>
      </c>
      <c r="P926" s="27">
        <f>IF(A926="","",MONTH(A926))</f>
        <v/>
      </c>
      <c r="Q926" s="27">
        <f>IF(A926="","",YEAR(A926))</f>
        <v/>
      </c>
      <c r="R926" s="27">
        <f>IF(L926="","",IF(L926&gt;Config!$B$8,"A cair",IF(N(G926)&gt;=MIN(MAX(1,N(E926)),MAX(0,INT((Config!$B$8-L926)/30)+1)),IF(N(G926)&gt;=MAX(1,N(E926)),"Conferido","Conferido até aqui"),"A conferir")))</f>
        <v/>
      </c>
      <c r="S926" s="51">
        <f>IF(R926="A conferir",(Config!$B$8-L926)*1000+N(F926)/1000+ROW()/100000,0)</f>
        <v>0</v>
      </c>
      <c r="T926" s="51">
        <f>IF(R926="A conferir",N(N926),0)</f>
        <v>0</v>
      </c>
      <c r="U926" s="51">
        <f>IF(L926="",0,L926)</f>
        <v>0</v>
      </c>
      <c r="V926" s="51">
        <f>IF(L926="",0,MAX(1,N(E926)))</f>
        <v>0</v>
      </c>
      <c r="W926" s="51">
        <f>IF(K926="",0,K926)</f>
        <v>0</v>
      </c>
    </row>
    <row r="927">
      <c r="A927" s="49" t="n"/>
      <c r="B927" s="41" t="n"/>
      <c r="C927" s="41" t="n"/>
      <c r="D927" s="42" t="n"/>
      <c r="E927" s="42" t="n"/>
      <c r="F927" s="50" t="n"/>
      <c r="G927" s="42" t="n"/>
      <c r="H927" s="30">
        <f>IF(D927="","",IFERROR(INDEX(Config!$B$12:$B$15,MATCH(IF(AND(D927="Cartão de crédito",N(E927)&gt;1),"Cartão de crédito parcelado",D927),Config!$A$12:$A$15,0)),0)+IF(AND(Config!$B$17="Sim",LEFT(D927,17)="Cartão de crédito"),Config!$B$18*IFERROR(INDEX(Config!$C$12:$C$15,MATCH(IF(AND(D927="Cartão de crédito",N(E927)&gt;1),"Cartão de crédito parcelado",D927),Config!$A$12:$A$15,0)),0)/30*MAX(1,N(E927)),0))</f>
        <v/>
      </c>
      <c r="I927" s="29">
        <f>IF(OR(D927="",F927=""),"",ROUND(F927*H927,2))</f>
        <v/>
      </c>
      <c r="J927" s="29">
        <f>IF(I927="","",F927-I927)</f>
        <v/>
      </c>
      <c r="K927" s="29">
        <f>IF(J927="","",J927/MAX(1,N(E927)))</f>
        <v/>
      </c>
      <c r="L927" s="37">
        <f>IF(OR(D927="",A927=""),"",A927+IF(AND(Config!$B$17="Sim",LEFT(D927,17)="Cartão de crédito"),1,IFERROR(INDEX(Config!$C$12:$C$15,MATCH(IF(AND(D927="Cartão de crédito",N(E927)&gt;1),"Cartão de crédito parcelado",D927),Config!$A$12:$A$15,0)),0)))</f>
        <v/>
      </c>
      <c r="M927" s="37">
        <f>IF(L927="","",IF(AND(Config!$B$17="Sim",LEFT(D927,17)="Cartão de crédito"),L927,L927+30*(MAX(1,N(E927))-1)))</f>
        <v/>
      </c>
      <c r="N927" s="29">
        <f>IF(OR(L927="",K927=""),"",K927*MIN(MAX(1,N(E927)),MAX(0,INT((Config!$B$8-L927)/30)+1)))</f>
        <v/>
      </c>
      <c r="O927" s="29">
        <f>IF(J927="","",J927-N(N927))</f>
        <v/>
      </c>
      <c r="P927" s="27">
        <f>IF(A927="","",MONTH(A927))</f>
        <v/>
      </c>
      <c r="Q927" s="27">
        <f>IF(A927="","",YEAR(A927))</f>
        <v/>
      </c>
      <c r="R927" s="27">
        <f>IF(L927="","",IF(L927&gt;Config!$B$8,"A cair",IF(N(G927)&gt;=MIN(MAX(1,N(E927)),MAX(0,INT((Config!$B$8-L927)/30)+1)),IF(N(G927)&gt;=MAX(1,N(E927)),"Conferido","Conferido até aqui"),"A conferir")))</f>
        <v/>
      </c>
      <c r="S927" s="51">
        <f>IF(R927="A conferir",(Config!$B$8-L927)*1000+N(F927)/1000+ROW()/100000,0)</f>
        <v>0</v>
      </c>
      <c r="T927" s="51">
        <f>IF(R927="A conferir",N(N927),0)</f>
        <v>0</v>
      </c>
      <c r="U927" s="51">
        <f>IF(L927="",0,L927)</f>
        <v>0</v>
      </c>
      <c r="V927" s="51">
        <f>IF(L927="",0,MAX(1,N(E927)))</f>
        <v>0</v>
      </c>
      <c r="W927" s="51">
        <f>IF(K927="",0,K927)</f>
        <v>0</v>
      </c>
    </row>
    <row r="928">
      <c r="A928" s="49" t="n"/>
      <c r="B928" s="41" t="n"/>
      <c r="C928" s="41" t="n"/>
      <c r="D928" s="42" t="n"/>
      <c r="E928" s="42" t="n"/>
      <c r="F928" s="50" t="n"/>
      <c r="G928" s="42" t="n"/>
      <c r="H928" s="30">
        <f>IF(D928="","",IFERROR(INDEX(Config!$B$12:$B$15,MATCH(IF(AND(D928="Cartão de crédito",N(E928)&gt;1),"Cartão de crédito parcelado",D928),Config!$A$12:$A$15,0)),0)+IF(AND(Config!$B$17="Sim",LEFT(D928,17)="Cartão de crédito"),Config!$B$18*IFERROR(INDEX(Config!$C$12:$C$15,MATCH(IF(AND(D928="Cartão de crédito",N(E928)&gt;1),"Cartão de crédito parcelado",D928),Config!$A$12:$A$15,0)),0)/30*MAX(1,N(E928)),0))</f>
        <v/>
      </c>
      <c r="I928" s="29">
        <f>IF(OR(D928="",F928=""),"",ROUND(F928*H928,2))</f>
        <v/>
      </c>
      <c r="J928" s="29">
        <f>IF(I928="","",F928-I928)</f>
        <v/>
      </c>
      <c r="K928" s="29">
        <f>IF(J928="","",J928/MAX(1,N(E928)))</f>
        <v/>
      </c>
      <c r="L928" s="37">
        <f>IF(OR(D928="",A928=""),"",A928+IF(AND(Config!$B$17="Sim",LEFT(D928,17)="Cartão de crédito"),1,IFERROR(INDEX(Config!$C$12:$C$15,MATCH(IF(AND(D928="Cartão de crédito",N(E928)&gt;1),"Cartão de crédito parcelado",D928),Config!$A$12:$A$15,0)),0)))</f>
        <v/>
      </c>
      <c r="M928" s="37">
        <f>IF(L928="","",IF(AND(Config!$B$17="Sim",LEFT(D928,17)="Cartão de crédito"),L928,L928+30*(MAX(1,N(E928))-1)))</f>
        <v/>
      </c>
      <c r="N928" s="29">
        <f>IF(OR(L928="",K928=""),"",K928*MIN(MAX(1,N(E928)),MAX(0,INT((Config!$B$8-L928)/30)+1)))</f>
        <v/>
      </c>
      <c r="O928" s="29">
        <f>IF(J928="","",J928-N(N928))</f>
        <v/>
      </c>
      <c r="P928" s="27">
        <f>IF(A928="","",MONTH(A928))</f>
        <v/>
      </c>
      <c r="Q928" s="27">
        <f>IF(A928="","",YEAR(A928))</f>
        <v/>
      </c>
      <c r="R928" s="27">
        <f>IF(L928="","",IF(L928&gt;Config!$B$8,"A cair",IF(N(G928)&gt;=MIN(MAX(1,N(E928)),MAX(0,INT((Config!$B$8-L928)/30)+1)),IF(N(G928)&gt;=MAX(1,N(E928)),"Conferido","Conferido até aqui"),"A conferir")))</f>
        <v/>
      </c>
      <c r="S928" s="51">
        <f>IF(R928="A conferir",(Config!$B$8-L928)*1000+N(F928)/1000+ROW()/100000,0)</f>
        <v>0</v>
      </c>
      <c r="T928" s="51">
        <f>IF(R928="A conferir",N(N928),0)</f>
        <v>0</v>
      </c>
      <c r="U928" s="51">
        <f>IF(L928="",0,L928)</f>
        <v>0</v>
      </c>
      <c r="V928" s="51">
        <f>IF(L928="",0,MAX(1,N(E928)))</f>
        <v>0</v>
      </c>
      <c r="W928" s="51">
        <f>IF(K928="",0,K928)</f>
        <v>0</v>
      </c>
    </row>
    <row r="929">
      <c r="A929" s="49" t="n"/>
      <c r="B929" s="41" t="n"/>
      <c r="C929" s="41" t="n"/>
      <c r="D929" s="42" t="n"/>
      <c r="E929" s="42" t="n"/>
      <c r="F929" s="50" t="n"/>
      <c r="G929" s="42" t="n"/>
      <c r="H929" s="30">
        <f>IF(D929="","",IFERROR(INDEX(Config!$B$12:$B$15,MATCH(IF(AND(D929="Cartão de crédito",N(E929)&gt;1),"Cartão de crédito parcelado",D929),Config!$A$12:$A$15,0)),0)+IF(AND(Config!$B$17="Sim",LEFT(D929,17)="Cartão de crédito"),Config!$B$18*IFERROR(INDEX(Config!$C$12:$C$15,MATCH(IF(AND(D929="Cartão de crédito",N(E929)&gt;1),"Cartão de crédito parcelado",D929),Config!$A$12:$A$15,0)),0)/30*MAX(1,N(E929)),0))</f>
        <v/>
      </c>
      <c r="I929" s="29">
        <f>IF(OR(D929="",F929=""),"",ROUND(F929*H929,2))</f>
        <v/>
      </c>
      <c r="J929" s="29">
        <f>IF(I929="","",F929-I929)</f>
        <v/>
      </c>
      <c r="K929" s="29">
        <f>IF(J929="","",J929/MAX(1,N(E929)))</f>
        <v/>
      </c>
      <c r="L929" s="37">
        <f>IF(OR(D929="",A929=""),"",A929+IF(AND(Config!$B$17="Sim",LEFT(D929,17)="Cartão de crédito"),1,IFERROR(INDEX(Config!$C$12:$C$15,MATCH(IF(AND(D929="Cartão de crédito",N(E929)&gt;1),"Cartão de crédito parcelado",D929),Config!$A$12:$A$15,0)),0)))</f>
        <v/>
      </c>
      <c r="M929" s="37">
        <f>IF(L929="","",IF(AND(Config!$B$17="Sim",LEFT(D929,17)="Cartão de crédito"),L929,L929+30*(MAX(1,N(E929))-1)))</f>
        <v/>
      </c>
      <c r="N929" s="29">
        <f>IF(OR(L929="",K929=""),"",K929*MIN(MAX(1,N(E929)),MAX(0,INT((Config!$B$8-L929)/30)+1)))</f>
        <v/>
      </c>
      <c r="O929" s="29">
        <f>IF(J929="","",J929-N(N929))</f>
        <v/>
      </c>
      <c r="P929" s="27">
        <f>IF(A929="","",MONTH(A929))</f>
        <v/>
      </c>
      <c r="Q929" s="27">
        <f>IF(A929="","",YEAR(A929))</f>
        <v/>
      </c>
      <c r="R929" s="27">
        <f>IF(L929="","",IF(L929&gt;Config!$B$8,"A cair",IF(N(G929)&gt;=MIN(MAX(1,N(E929)),MAX(0,INT((Config!$B$8-L929)/30)+1)),IF(N(G929)&gt;=MAX(1,N(E929)),"Conferido","Conferido até aqui"),"A conferir")))</f>
        <v/>
      </c>
      <c r="S929" s="51">
        <f>IF(R929="A conferir",(Config!$B$8-L929)*1000+N(F929)/1000+ROW()/100000,0)</f>
        <v>0</v>
      </c>
      <c r="T929" s="51">
        <f>IF(R929="A conferir",N(N929),0)</f>
        <v>0</v>
      </c>
      <c r="U929" s="51">
        <f>IF(L929="",0,L929)</f>
        <v>0</v>
      </c>
      <c r="V929" s="51">
        <f>IF(L929="",0,MAX(1,N(E929)))</f>
        <v>0</v>
      </c>
      <c r="W929" s="51">
        <f>IF(K929="",0,K929)</f>
        <v>0</v>
      </c>
    </row>
    <row r="930">
      <c r="A930" s="49" t="n"/>
      <c r="B930" s="41" t="n"/>
      <c r="C930" s="41" t="n"/>
      <c r="D930" s="42" t="n"/>
      <c r="E930" s="42" t="n"/>
      <c r="F930" s="50" t="n"/>
      <c r="G930" s="42" t="n"/>
      <c r="H930" s="30">
        <f>IF(D930="","",IFERROR(INDEX(Config!$B$12:$B$15,MATCH(IF(AND(D930="Cartão de crédito",N(E930)&gt;1),"Cartão de crédito parcelado",D930),Config!$A$12:$A$15,0)),0)+IF(AND(Config!$B$17="Sim",LEFT(D930,17)="Cartão de crédito"),Config!$B$18*IFERROR(INDEX(Config!$C$12:$C$15,MATCH(IF(AND(D930="Cartão de crédito",N(E930)&gt;1),"Cartão de crédito parcelado",D930),Config!$A$12:$A$15,0)),0)/30*MAX(1,N(E930)),0))</f>
        <v/>
      </c>
      <c r="I930" s="29">
        <f>IF(OR(D930="",F930=""),"",ROUND(F930*H930,2))</f>
        <v/>
      </c>
      <c r="J930" s="29">
        <f>IF(I930="","",F930-I930)</f>
        <v/>
      </c>
      <c r="K930" s="29">
        <f>IF(J930="","",J930/MAX(1,N(E930)))</f>
        <v/>
      </c>
      <c r="L930" s="37">
        <f>IF(OR(D930="",A930=""),"",A930+IF(AND(Config!$B$17="Sim",LEFT(D930,17)="Cartão de crédito"),1,IFERROR(INDEX(Config!$C$12:$C$15,MATCH(IF(AND(D930="Cartão de crédito",N(E930)&gt;1),"Cartão de crédito parcelado",D930),Config!$A$12:$A$15,0)),0)))</f>
        <v/>
      </c>
      <c r="M930" s="37">
        <f>IF(L930="","",IF(AND(Config!$B$17="Sim",LEFT(D930,17)="Cartão de crédito"),L930,L930+30*(MAX(1,N(E930))-1)))</f>
        <v/>
      </c>
      <c r="N930" s="29">
        <f>IF(OR(L930="",K930=""),"",K930*MIN(MAX(1,N(E930)),MAX(0,INT((Config!$B$8-L930)/30)+1)))</f>
        <v/>
      </c>
      <c r="O930" s="29">
        <f>IF(J930="","",J930-N(N930))</f>
        <v/>
      </c>
      <c r="P930" s="27">
        <f>IF(A930="","",MONTH(A930))</f>
        <v/>
      </c>
      <c r="Q930" s="27">
        <f>IF(A930="","",YEAR(A930))</f>
        <v/>
      </c>
      <c r="R930" s="27">
        <f>IF(L930="","",IF(L930&gt;Config!$B$8,"A cair",IF(N(G930)&gt;=MIN(MAX(1,N(E930)),MAX(0,INT((Config!$B$8-L930)/30)+1)),IF(N(G930)&gt;=MAX(1,N(E930)),"Conferido","Conferido até aqui"),"A conferir")))</f>
        <v/>
      </c>
      <c r="S930" s="51">
        <f>IF(R930="A conferir",(Config!$B$8-L930)*1000+N(F930)/1000+ROW()/100000,0)</f>
        <v>0</v>
      </c>
      <c r="T930" s="51">
        <f>IF(R930="A conferir",N(N930),0)</f>
        <v>0</v>
      </c>
      <c r="U930" s="51">
        <f>IF(L930="",0,L930)</f>
        <v>0</v>
      </c>
      <c r="V930" s="51">
        <f>IF(L930="",0,MAX(1,N(E930)))</f>
        <v>0</v>
      </c>
      <c r="W930" s="51">
        <f>IF(K930="",0,K930)</f>
        <v>0</v>
      </c>
    </row>
    <row r="931">
      <c r="A931" s="49" t="n"/>
      <c r="B931" s="41" t="n"/>
      <c r="C931" s="41" t="n"/>
      <c r="D931" s="42" t="n"/>
      <c r="E931" s="42" t="n"/>
      <c r="F931" s="50" t="n"/>
      <c r="G931" s="42" t="n"/>
      <c r="H931" s="30">
        <f>IF(D931="","",IFERROR(INDEX(Config!$B$12:$B$15,MATCH(IF(AND(D931="Cartão de crédito",N(E931)&gt;1),"Cartão de crédito parcelado",D931),Config!$A$12:$A$15,0)),0)+IF(AND(Config!$B$17="Sim",LEFT(D931,17)="Cartão de crédito"),Config!$B$18*IFERROR(INDEX(Config!$C$12:$C$15,MATCH(IF(AND(D931="Cartão de crédito",N(E931)&gt;1),"Cartão de crédito parcelado",D931),Config!$A$12:$A$15,0)),0)/30*MAX(1,N(E931)),0))</f>
        <v/>
      </c>
      <c r="I931" s="29">
        <f>IF(OR(D931="",F931=""),"",ROUND(F931*H931,2))</f>
        <v/>
      </c>
      <c r="J931" s="29">
        <f>IF(I931="","",F931-I931)</f>
        <v/>
      </c>
      <c r="K931" s="29">
        <f>IF(J931="","",J931/MAX(1,N(E931)))</f>
        <v/>
      </c>
      <c r="L931" s="37">
        <f>IF(OR(D931="",A931=""),"",A931+IF(AND(Config!$B$17="Sim",LEFT(D931,17)="Cartão de crédito"),1,IFERROR(INDEX(Config!$C$12:$C$15,MATCH(IF(AND(D931="Cartão de crédito",N(E931)&gt;1),"Cartão de crédito parcelado",D931),Config!$A$12:$A$15,0)),0)))</f>
        <v/>
      </c>
      <c r="M931" s="37">
        <f>IF(L931="","",IF(AND(Config!$B$17="Sim",LEFT(D931,17)="Cartão de crédito"),L931,L931+30*(MAX(1,N(E931))-1)))</f>
        <v/>
      </c>
      <c r="N931" s="29">
        <f>IF(OR(L931="",K931=""),"",K931*MIN(MAX(1,N(E931)),MAX(0,INT((Config!$B$8-L931)/30)+1)))</f>
        <v/>
      </c>
      <c r="O931" s="29">
        <f>IF(J931="","",J931-N(N931))</f>
        <v/>
      </c>
      <c r="P931" s="27">
        <f>IF(A931="","",MONTH(A931))</f>
        <v/>
      </c>
      <c r="Q931" s="27">
        <f>IF(A931="","",YEAR(A931))</f>
        <v/>
      </c>
      <c r="R931" s="27">
        <f>IF(L931="","",IF(L931&gt;Config!$B$8,"A cair",IF(N(G931)&gt;=MIN(MAX(1,N(E931)),MAX(0,INT((Config!$B$8-L931)/30)+1)),IF(N(G931)&gt;=MAX(1,N(E931)),"Conferido","Conferido até aqui"),"A conferir")))</f>
        <v/>
      </c>
      <c r="S931" s="51">
        <f>IF(R931="A conferir",(Config!$B$8-L931)*1000+N(F931)/1000+ROW()/100000,0)</f>
        <v>0</v>
      </c>
      <c r="T931" s="51">
        <f>IF(R931="A conferir",N(N931),0)</f>
        <v>0</v>
      </c>
      <c r="U931" s="51">
        <f>IF(L931="",0,L931)</f>
        <v>0</v>
      </c>
      <c r="V931" s="51">
        <f>IF(L931="",0,MAX(1,N(E931)))</f>
        <v>0</v>
      </c>
      <c r="W931" s="51">
        <f>IF(K931="",0,K931)</f>
        <v>0</v>
      </c>
    </row>
    <row r="932">
      <c r="A932" s="49" t="n"/>
      <c r="B932" s="41" t="n"/>
      <c r="C932" s="41" t="n"/>
      <c r="D932" s="42" t="n"/>
      <c r="E932" s="42" t="n"/>
      <c r="F932" s="50" t="n"/>
      <c r="G932" s="42" t="n"/>
      <c r="H932" s="30">
        <f>IF(D932="","",IFERROR(INDEX(Config!$B$12:$B$15,MATCH(IF(AND(D932="Cartão de crédito",N(E932)&gt;1),"Cartão de crédito parcelado",D932),Config!$A$12:$A$15,0)),0)+IF(AND(Config!$B$17="Sim",LEFT(D932,17)="Cartão de crédito"),Config!$B$18*IFERROR(INDEX(Config!$C$12:$C$15,MATCH(IF(AND(D932="Cartão de crédito",N(E932)&gt;1),"Cartão de crédito parcelado",D932),Config!$A$12:$A$15,0)),0)/30*MAX(1,N(E932)),0))</f>
        <v/>
      </c>
      <c r="I932" s="29">
        <f>IF(OR(D932="",F932=""),"",ROUND(F932*H932,2))</f>
        <v/>
      </c>
      <c r="J932" s="29">
        <f>IF(I932="","",F932-I932)</f>
        <v/>
      </c>
      <c r="K932" s="29">
        <f>IF(J932="","",J932/MAX(1,N(E932)))</f>
        <v/>
      </c>
      <c r="L932" s="37">
        <f>IF(OR(D932="",A932=""),"",A932+IF(AND(Config!$B$17="Sim",LEFT(D932,17)="Cartão de crédito"),1,IFERROR(INDEX(Config!$C$12:$C$15,MATCH(IF(AND(D932="Cartão de crédito",N(E932)&gt;1),"Cartão de crédito parcelado",D932),Config!$A$12:$A$15,0)),0)))</f>
        <v/>
      </c>
      <c r="M932" s="37">
        <f>IF(L932="","",IF(AND(Config!$B$17="Sim",LEFT(D932,17)="Cartão de crédito"),L932,L932+30*(MAX(1,N(E932))-1)))</f>
        <v/>
      </c>
      <c r="N932" s="29">
        <f>IF(OR(L932="",K932=""),"",K932*MIN(MAX(1,N(E932)),MAX(0,INT((Config!$B$8-L932)/30)+1)))</f>
        <v/>
      </c>
      <c r="O932" s="29">
        <f>IF(J932="","",J932-N(N932))</f>
        <v/>
      </c>
      <c r="P932" s="27">
        <f>IF(A932="","",MONTH(A932))</f>
        <v/>
      </c>
      <c r="Q932" s="27">
        <f>IF(A932="","",YEAR(A932))</f>
        <v/>
      </c>
      <c r="R932" s="27">
        <f>IF(L932="","",IF(L932&gt;Config!$B$8,"A cair",IF(N(G932)&gt;=MIN(MAX(1,N(E932)),MAX(0,INT((Config!$B$8-L932)/30)+1)),IF(N(G932)&gt;=MAX(1,N(E932)),"Conferido","Conferido até aqui"),"A conferir")))</f>
        <v/>
      </c>
      <c r="S932" s="51">
        <f>IF(R932="A conferir",(Config!$B$8-L932)*1000+N(F932)/1000+ROW()/100000,0)</f>
        <v>0</v>
      </c>
      <c r="T932" s="51">
        <f>IF(R932="A conferir",N(N932),0)</f>
        <v>0</v>
      </c>
      <c r="U932" s="51">
        <f>IF(L932="",0,L932)</f>
        <v>0</v>
      </c>
      <c r="V932" s="51">
        <f>IF(L932="",0,MAX(1,N(E932)))</f>
        <v>0</v>
      </c>
      <c r="W932" s="51">
        <f>IF(K932="",0,K932)</f>
        <v>0</v>
      </c>
    </row>
    <row r="933">
      <c r="A933" s="49" t="n"/>
      <c r="B933" s="41" t="n"/>
      <c r="C933" s="41" t="n"/>
      <c r="D933" s="42" t="n"/>
      <c r="E933" s="42" t="n"/>
      <c r="F933" s="50" t="n"/>
      <c r="G933" s="42" t="n"/>
      <c r="H933" s="30">
        <f>IF(D933="","",IFERROR(INDEX(Config!$B$12:$B$15,MATCH(IF(AND(D933="Cartão de crédito",N(E933)&gt;1),"Cartão de crédito parcelado",D933),Config!$A$12:$A$15,0)),0)+IF(AND(Config!$B$17="Sim",LEFT(D933,17)="Cartão de crédito"),Config!$B$18*IFERROR(INDEX(Config!$C$12:$C$15,MATCH(IF(AND(D933="Cartão de crédito",N(E933)&gt;1),"Cartão de crédito parcelado",D933),Config!$A$12:$A$15,0)),0)/30*MAX(1,N(E933)),0))</f>
        <v/>
      </c>
      <c r="I933" s="29">
        <f>IF(OR(D933="",F933=""),"",ROUND(F933*H933,2))</f>
        <v/>
      </c>
      <c r="J933" s="29">
        <f>IF(I933="","",F933-I933)</f>
        <v/>
      </c>
      <c r="K933" s="29">
        <f>IF(J933="","",J933/MAX(1,N(E933)))</f>
        <v/>
      </c>
      <c r="L933" s="37">
        <f>IF(OR(D933="",A933=""),"",A933+IF(AND(Config!$B$17="Sim",LEFT(D933,17)="Cartão de crédito"),1,IFERROR(INDEX(Config!$C$12:$C$15,MATCH(IF(AND(D933="Cartão de crédito",N(E933)&gt;1),"Cartão de crédito parcelado",D933),Config!$A$12:$A$15,0)),0)))</f>
        <v/>
      </c>
      <c r="M933" s="37">
        <f>IF(L933="","",IF(AND(Config!$B$17="Sim",LEFT(D933,17)="Cartão de crédito"),L933,L933+30*(MAX(1,N(E933))-1)))</f>
        <v/>
      </c>
      <c r="N933" s="29">
        <f>IF(OR(L933="",K933=""),"",K933*MIN(MAX(1,N(E933)),MAX(0,INT((Config!$B$8-L933)/30)+1)))</f>
        <v/>
      </c>
      <c r="O933" s="29">
        <f>IF(J933="","",J933-N(N933))</f>
        <v/>
      </c>
      <c r="P933" s="27">
        <f>IF(A933="","",MONTH(A933))</f>
        <v/>
      </c>
      <c r="Q933" s="27">
        <f>IF(A933="","",YEAR(A933))</f>
        <v/>
      </c>
      <c r="R933" s="27">
        <f>IF(L933="","",IF(L933&gt;Config!$B$8,"A cair",IF(N(G933)&gt;=MIN(MAX(1,N(E933)),MAX(0,INT((Config!$B$8-L933)/30)+1)),IF(N(G933)&gt;=MAX(1,N(E933)),"Conferido","Conferido até aqui"),"A conferir")))</f>
        <v/>
      </c>
      <c r="S933" s="51">
        <f>IF(R933="A conferir",(Config!$B$8-L933)*1000+N(F933)/1000+ROW()/100000,0)</f>
        <v>0</v>
      </c>
      <c r="T933" s="51">
        <f>IF(R933="A conferir",N(N933),0)</f>
        <v>0</v>
      </c>
      <c r="U933" s="51">
        <f>IF(L933="",0,L933)</f>
        <v>0</v>
      </c>
      <c r="V933" s="51">
        <f>IF(L933="",0,MAX(1,N(E933)))</f>
        <v>0</v>
      </c>
      <c r="W933" s="51">
        <f>IF(K933="",0,K933)</f>
        <v>0</v>
      </c>
    </row>
    <row r="934">
      <c r="A934" s="49" t="n"/>
      <c r="B934" s="41" t="n"/>
      <c r="C934" s="41" t="n"/>
      <c r="D934" s="42" t="n"/>
      <c r="E934" s="42" t="n"/>
      <c r="F934" s="50" t="n"/>
      <c r="G934" s="42" t="n"/>
      <c r="H934" s="30">
        <f>IF(D934="","",IFERROR(INDEX(Config!$B$12:$B$15,MATCH(IF(AND(D934="Cartão de crédito",N(E934)&gt;1),"Cartão de crédito parcelado",D934),Config!$A$12:$A$15,0)),0)+IF(AND(Config!$B$17="Sim",LEFT(D934,17)="Cartão de crédito"),Config!$B$18*IFERROR(INDEX(Config!$C$12:$C$15,MATCH(IF(AND(D934="Cartão de crédito",N(E934)&gt;1),"Cartão de crédito parcelado",D934),Config!$A$12:$A$15,0)),0)/30*MAX(1,N(E934)),0))</f>
        <v/>
      </c>
      <c r="I934" s="29">
        <f>IF(OR(D934="",F934=""),"",ROUND(F934*H934,2))</f>
        <v/>
      </c>
      <c r="J934" s="29">
        <f>IF(I934="","",F934-I934)</f>
        <v/>
      </c>
      <c r="K934" s="29">
        <f>IF(J934="","",J934/MAX(1,N(E934)))</f>
        <v/>
      </c>
      <c r="L934" s="37">
        <f>IF(OR(D934="",A934=""),"",A934+IF(AND(Config!$B$17="Sim",LEFT(D934,17)="Cartão de crédito"),1,IFERROR(INDEX(Config!$C$12:$C$15,MATCH(IF(AND(D934="Cartão de crédito",N(E934)&gt;1),"Cartão de crédito parcelado",D934),Config!$A$12:$A$15,0)),0)))</f>
        <v/>
      </c>
      <c r="M934" s="37">
        <f>IF(L934="","",IF(AND(Config!$B$17="Sim",LEFT(D934,17)="Cartão de crédito"),L934,L934+30*(MAX(1,N(E934))-1)))</f>
        <v/>
      </c>
      <c r="N934" s="29">
        <f>IF(OR(L934="",K934=""),"",K934*MIN(MAX(1,N(E934)),MAX(0,INT((Config!$B$8-L934)/30)+1)))</f>
        <v/>
      </c>
      <c r="O934" s="29">
        <f>IF(J934="","",J934-N(N934))</f>
        <v/>
      </c>
      <c r="P934" s="27">
        <f>IF(A934="","",MONTH(A934))</f>
        <v/>
      </c>
      <c r="Q934" s="27">
        <f>IF(A934="","",YEAR(A934))</f>
        <v/>
      </c>
      <c r="R934" s="27">
        <f>IF(L934="","",IF(L934&gt;Config!$B$8,"A cair",IF(N(G934)&gt;=MIN(MAX(1,N(E934)),MAX(0,INT((Config!$B$8-L934)/30)+1)),IF(N(G934)&gt;=MAX(1,N(E934)),"Conferido","Conferido até aqui"),"A conferir")))</f>
        <v/>
      </c>
      <c r="S934" s="51">
        <f>IF(R934="A conferir",(Config!$B$8-L934)*1000+N(F934)/1000+ROW()/100000,0)</f>
        <v>0</v>
      </c>
      <c r="T934" s="51">
        <f>IF(R934="A conferir",N(N934),0)</f>
        <v>0</v>
      </c>
      <c r="U934" s="51">
        <f>IF(L934="",0,L934)</f>
        <v>0</v>
      </c>
      <c r="V934" s="51">
        <f>IF(L934="",0,MAX(1,N(E934)))</f>
        <v>0</v>
      </c>
      <c r="W934" s="51">
        <f>IF(K934="",0,K934)</f>
        <v>0</v>
      </c>
    </row>
    <row r="935">
      <c r="A935" s="49" t="n"/>
      <c r="B935" s="41" t="n"/>
      <c r="C935" s="41" t="n"/>
      <c r="D935" s="42" t="n"/>
      <c r="E935" s="42" t="n"/>
      <c r="F935" s="50" t="n"/>
      <c r="G935" s="42" t="n"/>
      <c r="H935" s="30">
        <f>IF(D935="","",IFERROR(INDEX(Config!$B$12:$B$15,MATCH(IF(AND(D935="Cartão de crédito",N(E935)&gt;1),"Cartão de crédito parcelado",D935),Config!$A$12:$A$15,0)),0)+IF(AND(Config!$B$17="Sim",LEFT(D935,17)="Cartão de crédito"),Config!$B$18*IFERROR(INDEX(Config!$C$12:$C$15,MATCH(IF(AND(D935="Cartão de crédito",N(E935)&gt;1),"Cartão de crédito parcelado",D935),Config!$A$12:$A$15,0)),0)/30*MAX(1,N(E935)),0))</f>
        <v/>
      </c>
      <c r="I935" s="29">
        <f>IF(OR(D935="",F935=""),"",ROUND(F935*H935,2))</f>
        <v/>
      </c>
      <c r="J935" s="29">
        <f>IF(I935="","",F935-I935)</f>
        <v/>
      </c>
      <c r="K935" s="29">
        <f>IF(J935="","",J935/MAX(1,N(E935)))</f>
        <v/>
      </c>
      <c r="L935" s="37">
        <f>IF(OR(D935="",A935=""),"",A935+IF(AND(Config!$B$17="Sim",LEFT(D935,17)="Cartão de crédito"),1,IFERROR(INDEX(Config!$C$12:$C$15,MATCH(IF(AND(D935="Cartão de crédito",N(E935)&gt;1),"Cartão de crédito parcelado",D935),Config!$A$12:$A$15,0)),0)))</f>
        <v/>
      </c>
      <c r="M935" s="37">
        <f>IF(L935="","",IF(AND(Config!$B$17="Sim",LEFT(D935,17)="Cartão de crédito"),L935,L935+30*(MAX(1,N(E935))-1)))</f>
        <v/>
      </c>
      <c r="N935" s="29">
        <f>IF(OR(L935="",K935=""),"",K935*MIN(MAX(1,N(E935)),MAX(0,INT((Config!$B$8-L935)/30)+1)))</f>
        <v/>
      </c>
      <c r="O935" s="29">
        <f>IF(J935="","",J935-N(N935))</f>
        <v/>
      </c>
      <c r="P935" s="27">
        <f>IF(A935="","",MONTH(A935))</f>
        <v/>
      </c>
      <c r="Q935" s="27">
        <f>IF(A935="","",YEAR(A935))</f>
        <v/>
      </c>
      <c r="R935" s="27">
        <f>IF(L935="","",IF(L935&gt;Config!$B$8,"A cair",IF(N(G935)&gt;=MIN(MAX(1,N(E935)),MAX(0,INT((Config!$B$8-L935)/30)+1)),IF(N(G935)&gt;=MAX(1,N(E935)),"Conferido","Conferido até aqui"),"A conferir")))</f>
        <v/>
      </c>
      <c r="S935" s="51">
        <f>IF(R935="A conferir",(Config!$B$8-L935)*1000+N(F935)/1000+ROW()/100000,0)</f>
        <v>0</v>
      </c>
      <c r="T935" s="51">
        <f>IF(R935="A conferir",N(N935),0)</f>
        <v>0</v>
      </c>
      <c r="U935" s="51">
        <f>IF(L935="",0,L935)</f>
        <v>0</v>
      </c>
      <c r="V935" s="51">
        <f>IF(L935="",0,MAX(1,N(E935)))</f>
        <v>0</v>
      </c>
      <c r="W935" s="51">
        <f>IF(K935="",0,K935)</f>
        <v>0</v>
      </c>
    </row>
    <row r="936">
      <c r="A936" s="49" t="n"/>
      <c r="B936" s="41" t="n"/>
      <c r="C936" s="41" t="n"/>
      <c r="D936" s="42" t="n"/>
      <c r="E936" s="42" t="n"/>
      <c r="F936" s="50" t="n"/>
      <c r="G936" s="42" t="n"/>
      <c r="H936" s="30">
        <f>IF(D936="","",IFERROR(INDEX(Config!$B$12:$B$15,MATCH(IF(AND(D936="Cartão de crédito",N(E936)&gt;1),"Cartão de crédito parcelado",D936),Config!$A$12:$A$15,0)),0)+IF(AND(Config!$B$17="Sim",LEFT(D936,17)="Cartão de crédito"),Config!$B$18*IFERROR(INDEX(Config!$C$12:$C$15,MATCH(IF(AND(D936="Cartão de crédito",N(E936)&gt;1),"Cartão de crédito parcelado",D936),Config!$A$12:$A$15,0)),0)/30*MAX(1,N(E936)),0))</f>
        <v/>
      </c>
      <c r="I936" s="29">
        <f>IF(OR(D936="",F936=""),"",ROUND(F936*H936,2))</f>
        <v/>
      </c>
      <c r="J936" s="29">
        <f>IF(I936="","",F936-I936)</f>
        <v/>
      </c>
      <c r="K936" s="29">
        <f>IF(J936="","",J936/MAX(1,N(E936)))</f>
        <v/>
      </c>
      <c r="L936" s="37">
        <f>IF(OR(D936="",A936=""),"",A936+IF(AND(Config!$B$17="Sim",LEFT(D936,17)="Cartão de crédito"),1,IFERROR(INDEX(Config!$C$12:$C$15,MATCH(IF(AND(D936="Cartão de crédito",N(E936)&gt;1),"Cartão de crédito parcelado",D936),Config!$A$12:$A$15,0)),0)))</f>
        <v/>
      </c>
      <c r="M936" s="37">
        <f>IF(L936="","",IF(AND(Config!$B$17="Sim",LEFT(D936,17)="Cartão de crédito"),L936,L936+30*(MAX(1,N(E936))-1)))</f>
        <v/>
      </c>
      <c r="N936" s="29">
        <f>IF(OR(L936="",K936=""),"",K936*MIN(MAX(1,N(E936)),MAX(0,INT((Config!$B$8-L936)/30)+1)))</f>
        <v/>
      </c>
      <c r="O936" s="29">
        <f>IF(J936="","",J936-N(N936))</f>
        <v/>
      </c>
      <c r="P936" s="27">
        <f>IF(A936="","",MONTH(A936))</f>
        <v/>
      </c>
      <c r="Q936" s="27">
        <f>IF(A936="","",YEAR(A936))</f>
        <v/>
      </c>
      <c r="R936" s="27">
        <f>IF(L936="","",IF(L936&gt;Config!$B$8,"A cair",IF(N(G936)&gt;=MIN(MAX(1,N(E936)),MAX(0,INT((Config!$B$8-L936)/30)+1)),IF(N(G936)&gt;=MAX(1,N(E936)),"Conferido","Conferido até aqui"),"A conferir")))</f>
        <v/>
      </c>
      <c r="S936" s="51">
        <f>IF(R936="A conferir",(Config!$B$8-L936)*1000+N(F936)/1000+ROW()/100000,0)</f>
        <v>0</v>
      </c>
      <c r="T936" s="51">
        <f>IF(R936="A conferir",N(N936),0)</f>
        <v>0</v>
      </c>
      <c r="U936" s="51">
        <f>IF(L936="",0,L936)</f>
        <v>0</v>
      </c>
      <c r="V936" s="51">
        <f>IF(L936="",0,MAX(1,N(E936)))</f>
        <v>0</v>
      </c>
      <c r="W936" s="51">
        <f>IF(K936="",0,K936)</f>
        <v>0</v>
      </c>
    </row>
    <row r="937">
      <c r="A937" s="49" t="n"/>
      <c r="B937" s="41" t="n"/>
      <c r="C937" s="41" t="n"/>
      <c r="D937" s="42" t="n"/>
      <c r="E937" s="42" t="n"/>
      <c r="F937" s="50" t="n"/>
      <c r="G937" s="42" t="n"/>
      <c r="H937" s="30">
        <f>IF(D937="","",IFERROR(INDEX(Config!$B$12:$B$15,MATCH(IF(AND(D937="Cartão de crédito",N(E937)&gt;1),"Cartão de crédito parcelado",D937),Config!$A$12:$A$15,0)),0)+IF(AND(Config!$B$17="Sim",LEFT(D937,17)="Cartão de crédito"),Config!$B$18*IFERROR(INDEX(Config!$C$12:$C$15,MATCH(IF(AND(D937="Cartão de crédito",N(E937)&gt;1),"Cartão de crédito parcelado",D937),Config!$A$12:$A$15,0)),0)/30*MAX(1,N(E937)),0))</f>
        <v/>
      </c>
      <c r="I937" s="29">
        <f>IF(OR(D937="",F937=""),"",ROUND(F937*H937,2))</f>
        <v/>
      </c>
      <c r="J937" s="29">
        <f>IF(I937="","",F937-I937)</f>
        <v/>
      </c>
      <c r="K937" s="29">
        <f>IF(J937="","",J937/MAX(1,N(E937)))</f>
        <v/>
      </c>
      <c r="L937" s="37">
        <f>IF(OR(D937="",A937=""),"",A937+IF(AND(Config!$B$17="Sim",LEFT(D937,17)="Cartão de crédito"),1,IFERROR(INDEX(Config!$C$12:$C$15,MATCH(IF(AND(D937="Cartão de crédito",N(E937)&gt;1),"Cartão de crédito parcelado",D937),Config!$A$12:$A$15,0)),0)))</f>
        <v/>
      </c>
      <c r="M937" s="37">
        <f>IF(L937="","",IF(AND(Config!$B$17="Sim",LEFT(D937,17)="Cartão de crédito"),L937,L937+30*(MAX(1,N(E937))-1)))</f>
        <v/>
      </c>
      <c r="N937" s="29">
        <f>IF(OR(L937="",K937=""),"",K937*MIN(MAX(1,N(E937)),MAX(0,INT((Config!$B$8-L937)/30)+1)))</f>
        <v/>
      </c>
      <c r="O937" s="29">
        <f>IF(J937="","",J937-N(N937))</f>
        <v/>
      </c>
      <c r="P937" s="27">
        <f>IF(A937="","",MONTH(A937))</f>
        <v/>
      </c>
      <c r="Q937" s="27">
        <f>IF(A937="","",YEAR(A937))</f>
        <v/>
      </c>
      <c r="R937" s="27">
        <f>IF(L937="","",IF(L937&gt;Config!$B$8,"A cair",IF(N(G937)&gt;=MIN(MAX(1,N(E937)),MAX(0,INT((Config!$B$8-L937)/30)+1)),IF(N(G937)&gt;=MAX(1,N(E937)),"Conferido","Conferido até aqui"),"A conferir")))</f>
        <v/>
      </c>
      <c r="S937" s="51">
        <f>IF(R937="A conferir",(Config!$B$8-L937)*1000+N(F937)/1000+ROW()/100000,0)</f>
        <v>0</v>
      </c>
      <c r="T937" s="51">
        <f>IF(R937="A conferir",N(N937),0)</f>
        <v>0</v>
      </c>
      <c r="U937" s="51">
        <f>IF(L937="",0,L937)</f>
        <v>0</v>
      </c>
      <c r="V937" s="51">
        <f>IF(L937="",0,MAX(1,N(E937)))</f>
        <v>0</v>
      </c>
      <c r="W937" s="51">
        <f>IF(K937="",0,K937)</f>
        <v>0</v>
      </c>
    </row>
    <row r="938">
      <c r="A938" s="49" t="n"/>
      <c r="B938" s="41" t="n"/>
      <c r="C938" s="41" t="n"/>
      <c r="D938" s="42" t="n"/>
      <c r="E938" s="42" t="n"/>
      <c r="F938" s="50" t="n"/>
      <c r="G938" s="42" t="n"/>
      <c r="H938" s="30">
        <f>IF(D938="","",IFERROR(INDEX(Config!$B$12:$B$15,MATCH(IF(AND(D938="Cartão de crédito",N(E938)&gt;1),"Cartão de crédito parcelado",D938),Config!$A$12:$A$15,0)),0)+IF(AND(Config!$B$17="Sim",LEFT(D938,17)="Cartão de crédito"),Config!$B$18*IFERROR(INDEX(Config!$C$12:$C$15,MATCH(IF(AND(D938="Cartão de crédito",N(E938)&gt;1),"Cartão de crédito parcelado",D938),Config!$A$12:$A$15,0)),0)/30*MAX(1,N(E938)),0))</f>
        <v/>
      </c>
      <c r="I938" s="29">
        <f>IF(OR(D938="",F938=""),"",ROUND(F938*H938,2))</f>
        <v/>
      </c>
      <c r="J938" s="29">
        <f>IF(I938="","",F938-I938)</f>
        <v/>
      </c>
      <c r="K938" s="29">
        <f>IF(J938="","",J938/MAX(1,N(E938)))</f>
        <v/>
      </c>
      <c r="L938" s="37">
        <f>IF(OR(D938="",A938=""),"",A938+IF(AND(Config!$B$17="Sim",LEFT(D938,17)="Cartão de crédito"),1,IFERROR(INDEX(Config!$C$12:$C$15,MATCH(IF(AND(D938="Cartão de crédito",N(E938)&gt;1),"Cartão de crédito parcelado",D938),Config!$A$12:$A$15,0)),0)))</f>
        <v/>
      </c>
      <c r="M938" s="37">
        <f>IF(L938="","",IF(AND(Config!$B$17="Sim",LEFT(D938,17)="Cartão de crédito"),L938,L938+30*(MAX(1,N(E938))-1)))</f>
        <v/>
      </c>
      <c r="N938" s="29">
        <f>IF(OR(L938="",K938=""),"",K938*MIN(MAX(1,N(E938)),MAX(0,INT((Config!$B$8-L938)/30)+1)))</f>
        <v/>
      </c>
      <c r="O938" s="29">
        <f>IF(J938="","",J938-N(N938))</f>
        <v/>
      </c>
      <c r="P938" s="27">
        <f>IF(A938="","",MONTH(A938))</f>
        <v/>
      </c>
      <c r="Q938" s="27">
        <f>IF(A938="","",YEAR(A938))</f>
        <v/>
      </c>
      <c r="R938" s="27">
        <f>IF(L938="","",IF(L938&gt;Config!$B$8,"A cair",IF(N(G938)&gt;=MIN(MAX(1,N(E938)),MAX(0,INT((Config!$B$8-L938)/30)+1)),IF(N(G938)&gt;=MAX(1,N(E938)),"Conferido","Conferido até aqui"),"A conferir")))</f>
        <v/>
      </c>
      <c r="S938" s="51">
        <f>IF(R938="A conferir",(Config!$B$8-L938)*1000+N(F938)/1000+ROW()/100000,0)</f>
        <v>0</v>
      </c>
      <c r="T938" s="51">
        <f>IF(R938="A conferir",N(N938),0)</f>
        <v>0</v>
      </c>
      <c r="U938" s="51">
        <f>IF(L938="",0,L938)</f>
        <v>0</v>
      </c>
      <c r="V938" s="51">
        <f>IF(L938="",0,MAX(1,N(E938)))</f>
        <v>0</v>
      </c>
      <c r="W938" s="51">
        <f>IF(K938="",0,K938)</f>
        <v>0</v>
      </c>
    </row>
    <row r="939">
      <c r="A939" s="49" t="n"/>
      <c r="B939" s="41" t="n"/>
      <c r="C939" s="41" t="n"/>
      <c r="D939" s="42" t="n"/>
      <c r="E939" s="42" t="n"/>
      <c r="F939" s="50" t="n"/>
      <c r="G939" s="42" t="n"/>
      <c r="H939" s="30">
        <f>IF(D939="","",IFERROR(INDEX(Config!$B$12:$B$15,MATCH(IF(AND(D939="Cartão de crédito",N(E939)&gt;1),"Cartão de crédito parcelado",D939),Config!$A$12:$A$15,0)),0)+IF(AND(Config!$B$17="Sim",LEFT(D939,17)="Cartão de crédito"),Config!$B$18*IFERROR(INDEX(Config!$C$12:$C$15,MATCH(IF(AND(D939="Cartão de crédito",N(E939)&gt;1),"Cartão de crédito parcelado",D939),Config!$A$12:$A$15,0)),0)/30*MAX(1,N(E939)),0))</f>
        <v/>
      </c>
      <c r="I939" s="29">
        <f>IF(OR(D939="",F939=""),"",ROUND(F939*H939,2))</f>
        <v/>
      </c>
      <c r="J939" s="29">
        <f>IF(I939="","",F939-I939)</f>
        <v/>
      </c>
      <c r="K939" s="29">
        <f>IF(J939="","",J939/MAX(1,N(E939)))</f>
        <v/>
      </c>
      <c r="L939" s="37">
        <f>IF(OR(D939="",A939=""),"",A939+IF(AND(Config!$B$17="Sim",LEFT(D939,17)="Cartão de crédito"),1,IFERROR(INDEX(Config!$C$12:$C$15,MATCH(IF(AND(D939="Cartão de crédito",N(E939)&gt;1),"Cartão de crédito parcelado",D939),Config!$A$12:$A$15,0)),0)))</f>
        <v/>
      </c>
      <c r="M939" s="37">
        <f>IF(L939="","",IF(AND(Config!$B$17="Sim",LEFT(D939,17)="Cartão de crédito"),L939,L939+30*(MAX(1,N(E939))-1)))</f>
        <v/>
      </c>
      <c r="N939" s="29">
        <f>IF(OR(L939="",K939=""),"",K939*MIN(MAX(1,N(E939)),MAX(0,INT((Config!$B$8-L939)/30)+1)))</f>
        <v/>
      </c>
      <c r="O939" s="29">
        <f>IF(J939="","",J939-N(N939))</f>
        <v/>
      </c>
      <c r="P939" s="27">
        <f>IF(A939="","",MONTH(A939))</f>
        <v/>
      </c>
      <c r="Q939" s="27">
        <f>IF(A939="","",YEAR(A939))</f>
        <v/>
      </c>
      <c r="R939" s="27">
        <f>IF(L939="","",IF(L939&gt;Config!$B$8,"A cair",IF(N(G939)&gt;=MIN(MAX(1,N(E939)),MAX(0,INT((Config!$B$8-L939)/30)+1)),IF(N(G939)&gt;=MAX(1,N(E939)),"Conferido","Conferido até aqui"),"A conferir")))</f>
        <v/>
      </c>
      <c r="S939" s="51">
        <f>IF(R939="A conferir",(Config!$B$8-L939)*1000+N(F939)/1000+ROW()/100000,0)</f>
        <v>0</v>
      </c>
      <c r="T939" s="51">
        <f>IF(R939="A conferir",N(N939),0)</f>
        <v>0</v>
      </c>
      <c r="U939" s="51">
        <f>IF(L939="",0,L939)</f>
        <v>0</v>
      </c>
      <c r="V939" s="51">
        <f>IF(L939="",0,MAX(1,N(E939)))</f>
        <v>0</v>
      </c>
      <c r="W939" s="51">
        <f>IF(K939="",0,K939)</f>
        <v>0</v>
      </c>
    </row>
    <row r="940">
      <c r="A940" s="49" t="n"/>
      <c r="B940" s="41" t="n"/>
      <c r="C940" s="41" t="n"/>
      <c r="D940" s="42" t="n"/>
      <c r="E940" s="42" t="n"/>
      <c r="F940" s="50" t="n"/>
      <c r="G940" s="42" t="n"/>
      <c r="H940" s="30">
        <f>IF(D940="","",IFERROR(INDEX(Config!$B$12:$B$15,MATCH(IF(AND(D940="Cartão de crédito",N(E940)&gt;1),"Cartão de crédito parcelado",D940),Config!$A$12:$A$15,0)),0)+IF(AND(Config!$B$17="Sim",LEFT(D940,17)="Cartão de crédito"),Config!$B$18*IFERROR(INDEX(Config!$C$12:$C$15,MATCH(IF(AND(D940="Cartão de crédito",N(E940)&gt;1),"Cartão de crédito parcelado",D940),Config!$A$12:$A$15,0)),0)/30*MAX(1,N(E940)),0))</f>
        <v/>
      </c>
      <c r="I940" s="29">
        <f>IF(OR(D940="",F940=""),"",ROUND(F940*H940,2))</f>
        <v/>
      </c>
      <c r="J940" s="29">
        <f>IF(I940="","",F940-I940)</f>
        <v/>
      </c>
      <c r="K940" s="29">
        <f>IF(J940="","",J940/MAX(1,N(E940)))</f>
        <v/>
      </c>
      <c r="L940" s="37">
        <f>IF(OR(D940="",A940=""),"",A940+IF(AND(Config!$B$17="Sim",LEFT(D940,17)="Cartão de crédito"),1,IFERROR(INDEX(Config!$C$12:$C$15,MATCH(IF(AND(D940="Cartão de crédito",N(E940)&gt;1),"Cartão de crédito parcelado",D940),Config!$A$12:$A$15,0)),0)))</f>
        <v/>
      </c>
      <c r="M940" s="37">
        <f>IF(L940="","",IF(AND(Config!$B$17="Sim",LEFT(D940,17)="Cartão de crédito"),L940,L940+30*(MAX(1,N(E940))-1)))</f>
        <v/>
      </c>
      <c r="N940" s="29">
        <f>IF(OR(L940="",K940=""),"",K940*MIN(MAX(1,N(E940)),MAX(0,INT((Config!$B$8-L940)/30)+1)))</f>
        <v/>
      </c>
      <c r="O940" s="29">
        <f>IF(J940="","",J940-N(N940))</f>
        <v/>
      </c>
      <c r="P940" s="27">
        <f>IF(A940="","",MONTH(A940))</f>
        <v/>
      </c>
      <c r="Q940" s="27">
        <f>IF(A940="","",YEAR(A940))</f>
        <v/>
      </c>
      <c r="R940" s="27">
        <f>IF(L940="","",IF(L940&gt;Config!$B$8,"A cair",IF(N(G940)&gt;=MIN(MAX(1,N(E940)),MAX(0,INT((Config!$B$8-L940)/30)+1)),IF(N(G940)&gt;=MAX(1,N(E940)),"Conferido","Conferido até aqui"),"A conferir")))</f>
        <v/>
      </c>
      <c r="S940" s="51">
        <f>IF(R940="A conferir",(Config!$B$8-L940)*1000+N(F940)/1000+ROW()/100000,0)</f>
        <v>0</v>
      </c>
      <c r="T940" s="51">
        <f>IF(R940="A conferir",N(N940),0)</f>
        <v>0</v>
      </c>
      <c r="U940" s="51">
        <f>IF(L940="",0,L940)</f>
        <v>0</v>
      </c>
      <c r="V940" s="51">
        <f>IF(L940="",0,MAX(1,N(E940)))</f>
        <v>0</v>
      </c>
      <c r="W940" s="51">
        <f>IF(K940="",0,K940)</f>
        <v>0</v>
      </c>
    </row>
    <row r="941">
      <c r="A941" s="49" t="n"/>
      <c r="B941" s="41" t="n"/>
      <c r="C941" s="41" t="n"/>
      <c r="D941" s="42" t="n"/>
      <c r="E941" s="42" t="n"/>
      <c r="F941" s="50" t="n"/>
      <c r="G941" s="42" t="n"/>
      <c r="H941" s="30">
        <f>IF(D941="","",IFERROR(INDEX(Config!$B$12:$B$15,MATCH(IF(AND(D941="Cartão de crédito",N(E941)&gt;1),"Cartão de crédito parcelado",D941),Config!$A$12:$A$15,0)),0)+IF(AND(Config!$B$17="Sim",LEFT(D941,17)="Cartão de crédito"),Config!$B$18*IFERROR(INDEX(Config!$C$12:$C$15,MATCH(IF(AND(D941="Cartão de crédito",N(E941)&gt;1),"Cartão de crédito parcelado",D941),Config!$A$12:$A$15,0)),0)/30*MAX(1,N(E941)),0))</f>
        <v/>
      </c>
      <c r="I941" s="29">
        <f>IF(OR(D941="",F941=""),"",ROUND(F941*H941,2))</f>
        <v/>
      </c>
      <c r="J941" s="29">
        <f>IF(I941="","",F941-I941)</f>
        <v/>
      </c>
      <c r="K941" s="29">
        <f>IF(J941="","",J941/MAX(1,N(E941)))</f>
        <v/>
      </c>
      <c r="L941" s="37">
        <f>IF(OR(D941="",A941=""),"",A941+IF(AND(Config!$B$17="Sim",LEFT(D941,17)="Cartão de crédito"),1,IFERROR(INDEX(Config!$C$12:$C$15,MATCH(IF(AND(D941="Cartão de crédito",N(E941)&gt;1),"Cartão de crédito parcelado",D941),Config!$A$12:$A$15,0)),0)))</f>
        <v/>
      </c>
      <c r="M941" s="37">
        <f>IF(L941="","",IF(AND(Config!$B$17="Sim",LEFT(D941,17)="Cartão de crédito"),L941,L941+30*(MAX(1,N(E941))-1)))</f>
        <v/>
      </c>
      <c r="N941" s="29">
        <f>IF(OR(L941="",K941=""),"",K941*MIN(MAX(1,N(E941)),MAX(0,INT((Config!$B$8-L941)/30)+1)))</f>
        <v/>
      </c>
      <c r="O941" s="29">
        <f>IF(J941="","",J941-N(N941))</f>
        <v/>
      </c>
      <c r="P941" s="27">
        <f>IF(A941="","",MONTH(A941))</f>
        <v/>
      </c>
      <c r="Q941" s="27">
        <f>IF(A941="","",YEAR(A941))</f>
        <v/>
      </c>
      <c r="R941" s="27">
        <f>IF(L941="","",IF(L941&gt;Config!$B$8,"A cair",IF(N(G941)&gt;=MIN(MAX(1,N(E941)),MAX(0,INT((Config!$B$8-L941)/30)+1)),IF(N(G941)&gt;=MAX(1,N(E941)),"Conferido","Conferido até aqui"),"A conferir")))</f>
        <v/>
      </c>
      <c r="S941" s="51">
        <f>IF(R941="A conferir",(Config!$B$8-L941)*1000+N(F941)/1000+ROW()/100000,0)</f>
        <v>0</v>
      </c>
      <c r="T941" s="51">
        <f>IF(R941="A conferir",N(N941),0)</f>
        <v>0</v>
      </c>
      <c r="U941" s="51">
        <f>IF(L941="",0,L941)</f>
        <v>0</v>
      </c>
      <c r="V941" s="51">
        <f>IF(L941="",0,MAX(1,N(E941)))</f>
        <v>0</v>
      </c>
      <c r="W941" s="51">
        <f>IF(K941="",0,K941)</f>
        <v>0</v>
      </c>
    </row>
    <row r="942">
      <c r="A942" s="49" t="n"/>
      <c r="B942" s="41" t="n"/>
      <c r="C942" s="41" t="n"/>
      <c r="D942" s="42" t="n"/>
      <c r="E942" s="42" t="n"/>
      <c r="F942" s="50" t="n"/>
      <c r="G942" s="42" t="n"/>
      <c r="H942" s="30">
        <f>IF(D942="","",IFERROR(INDEX(Config!$B$12:$B$15,MATCH(IF(AND(D942="Cartão de crédito",N(E942)&gt;1),"Cartão de crédito parcelado",D942),Config!$A$12:$A$15,0)),0)+IF(AND(Config!$B$17="Sim",LEFT(D942,17)="Cartão de crédito"),Config!$B$18*IFERROR(INDEX(Config!$C$12:$C$15,MATCH(IF(AND(D942="Cartão de crédito",N(E942)&gt;1),"Cartão de crédito parcelado",D942),Config!$A$12:$A$15,0)),0)/30*MAX(1,N(E942)),0))</f>
        <v/>
      </c>
      <c r="I942" s="29">
        <f>IF(OR(D942="",F942=""),"",ROUND(F942*H942,2))</f>
        <v/>
      </c>
      <c r="J942" s="29">
        <f>IF(I942="","",F942-I942)</f>
        <v/>
      </c>
      <c r="K942" s="29">
        <f>IF(J942="","",J942/MAX(1,N(E942)))</f>
        <v/>
      </c>
      <c r="L942" s="37">
        <f>IF(OR(D942="",A942=""),"",A942+IF(AND(Config!$B$17="Sim",LEFT(D942,17)="Cartão de crédito"),1,IFERROR(INDEX(Config!$C$12:$C$15,MATCH(IF(AND(D942="Cartão de crédito",N(E942)&gt;1),"Cartão de crédito parcelado",D942),Config!$A$12:$A$15,0)),0)))</f>
        <v/>
      </c>
      <c r="M942" s="37">
        <f>IF(L942="","",IF(AND(Config!$B$17="Sim",LEFT(D942,17)="Cartão de crédito"),L942,L942+30*(MAX(1,N(E942))-1)))</f>
        <v/>
      </c>
      <c r="N942" s="29">
        <f>IF(OR(L942="",K942=""),"",K942*MIN(MAX(1,N(E942)),MAX(0,INT((Config!$B$8-L942)/30)+1)))</f>
        <v/>
      </c>
      <c r="O942" s="29">
        <f>IF(J942="","",J942-N(N942))</f>
        <v/>
      </c>
      <c r="P942" s="27">
        <f>IF(A942="","",MONTH(A942))</f>
        <v/>
      </c>
      <c r="Q942" s="27">
        <f>IF(A942="","",YEAR(A942))</f>
        <v/>
      </c>
      <c r="R942" s="27">
        <f>IF(L942="","",IF(L942&gt;Config!$B$8,"A cair",IF(N(G942)&gt;=MIN(MAX(1,N(E942)),MAX(0,INT((Config!$B$8-L942)/30)+1)),IF(N(G942)&gt;=MAX(1,N(E942)),"Conferido","Conferido até aqui"),"A conferir")))</f>
        <v/>
      </c>
      <c r="S942" s="51">
        <f>IF(R942="A conferir",(Config!$B$8-L942)*1000+N(F942)/1000+ROW()/100000,0)</f>
        <v>0</v>
      </c>
      <c r="T942" s="51">
        <f>IF(R942="A conferir",N(N942),0)</f>
        <v>0</v>
      </c>
      <c r="U942" s="51">
        <f>IF(L942="",0,L942)</f>
        <v>0</v>
      </c>
      <c r="V942" s="51">
        <f>IF(L942="",0,MAX(1,N(E942)))</f>
        <v>0</v>
      </c>
      <c r="W942" s="51">
        <f>IF(K942="",0,K942)</f>
        <v>0</v>
      </c>
    </row>
    <row r="943">
      <c r="A943" s="49" t="n"/>
      <c r="B943" s="41" t="n"/>
      <c r="C943" s="41" t="n"/>
      <c r="D943" s="42" t="n"/>
      <c r="E943" s="42" t="n"/>
      <c r="F943" s="50" t="n"/>
      <c r="G943" s="42" t="n"/>
      <c r="H943" s="30">
        <f>IF(D943="","",IFERROR(INDEX(Config!$B$12:$B$15,MATCH(IF(AND(D943="Cartão de crédito",N(E943)&gt;1),"Cartão de crédito parcelado",D943),Config!$A$12:$A$15,0)),0)+IF(AND(Config!$B$17="Sim",LEFT(D943,17)="Cartão de crédito"),Config!$B$18*IFERROR(INDEX(Config!$C$12:$C$15,MATCH(IF(AND(D943="Cartão de crédito",N(E943)&gt;1),"Cartão de crédito parcelado",D943),Config!$A$12:$A$15,0)),0)/30*MAX(1,N(E943)),0))</f>
        <v/>
      </c>
      <c r="I943" s="29">
        <f>IF(OR(D943="",F943=""),"",ROUND(F943*H943,2))</f>
        <v/>
      </c>
      <c r="J943" s="29">
        <f>IF(I943="","",F943-I943)</f>
        <v/>
      </c>
      <c r="K943" s="29">
        <f>IF(J943="","",J943/MAX(1,N(E943)))</f>
        <v/>
      </c>
      <c r="L943" s="37">
        <f>IF(OR(D943="",A943=""),"",A943+IF(AND(Config!$B$17="Sim",LEFT(D943,17)="Cartão de crédito"),1,IFERROR(INDEX(Config!$C$12:$C$15,MATCH(IF(AND(D943="Cartão de crédito",N(E943)&gt;1),"Cartão de crédito parcelado",D943),Config!$A$12:$A$15,0)),0)))</f>
        <v/>
      </c>
      <c r="M943" s="37">
        <f>IF(L943="","",IF(AND(Config!$B$17="Sim",LEFT(D943,17)="Cartão de crédito"),L943,L943+30*(MAX(1,N(E943))-1)))</f>
        <v/>
      </c>
      <c r="N943" s="29">
        <f>IF(OR(L943="",K943=""),"",K943*MIN(MAX(1,N(E943)),MAX(0,INT((Config!$B$8-L943)/30)+1)))</f>
        <v/>
      </c>
      <c r="O943" s="29">
        <f>IF(J943="","",J943-N(N943))</f>
        <v/>
      </c>
      <c r="P943" s="27">
        <f>IF(A943="","",MONTH(A943))</f>
        <v/>
      </c>
      <c r="Q943" s="27">
        <f>IF(A943="","",YEAR(A943))</f>
        <v/>
      </c>
      <c r="R943" s="27">
        <f>IF(L943="","",IF(L943&gt;Config!$B$8,"A cair",IF(N(G943)&gt;=MIN(MAX(1,N(E943)),MAX(0,INT((Config!$B$8-L943)/30)+1)),IF(N(G943)&gt;=MAX(1,N(E943)),"Conferido","Conferido até aqui"),"A conferir")))</f>
        <v/>
      </c>
      <c r="S943" s="51">
        <f>IF(R943="A conferir",(Config!$B$8-L943)*1000+N(F943)/1000+ROW()/100000,0)</f>
        <v>0</v>
      </c>
      <c r="T943" s="51">
        <f>IF(R943="A conferir",N(N943),0)</f>
        <v>0</v>
      </c>
      <c r="U943" s="51">
        <f>IF(L943="",0,L943)</f>
        <v>0</v>
      </c>
      <c r="V943" s="51">
        <f>IF(L943="",0,MAX(1,N(E943)))</f>
        <v>0</v>
      </c>
      <c r="W943" s="51">
        <f>IF(K943="",0,K943)</f>
        <v>0</v>
      </c>
    </row>
    <row r="944">
      <c r="A944" s="49" t="n"/>
      <c r="B944" s="41" t="n"/>
      <c r="C944" s="41" t="n"/>
      <c r="D944" s="42" t="n"/>
      <c r="E944" s="42" t="n"/>
      <c r="F944" s="50" t="n"/>
      <c r="G944" s="42" t="n"/>
      <c r="H944" s="30">
        <f>IF(D944="","",IFERROR(INDEX(Config!$B$12:$B$15,MATCH(IF(AND(D944="Cartão de crédito",N(E944)&gt;1),"Cartão de crédito parcelado",D944),Config!$A$12:$A$15,0)),0)+IF(AND(Config!$B$17="Sim",LEFT(D944,17)="Cartão de crédito"),Config!$B$18*IFERROR(INDEX(Config!$C$12:$C$15,MATCH(IF(AND(D944="Cartão de crédito",N(E944)&gt;1),"Cartão de crédito parcelado",D944),Config!$A$12:$A$15,0)),0)/30*MAX(1,N(E944)),0))</f>
        <v/>
      </c>
      <c r="I944" s="29">
        <f>IF(OR(D944="",F944=""),"",ROUND(F944*H944,2))</f>
        <v/>
      </c>
      <c r="J944" s="29">
        <f>IF(I944="","",F944-I944)</f>
        <v/>
      </c>
      <c r="K944" s="29">
        <f>IF(J944="","",J944/MAX(1,N(E944)))</f>
        <v/>
      </c>
      <c r="L944" s="37">
        <f>IF(OR(D944="",A944=""),"",A944+IF(AND(Config!$B$17="Sim",LEFT(D944,17)="Cartão de crédito"),1,IFERROR(INDEX(Config!$C$12:$C$15,MATCH(IF(AND(D944="Cartão de crédito",N(E944)&gt;1),"Cartão de crédito parcelado",D944),Config!$A$12:$A$15,0)),0)))</f>
        <v/>
      </c>
      <c r="M944" s="37">
        <f>IF(L944="","",IF(AND(Config!$B$17="Sim",LEFT(D944,17)="Cartão de crédito"),L944,L944+30*(MAX(1,N(E944))-1)))</f>
        <v/>
      </c>
      <c r="N944" s="29">
        <f>IF(OR(L944="",K944=""),"",K944*MIN(MAX(1,N(E944)),MAX(0,INT((Config!$B$8-L944)/30)+1)))</f>
        <v/>
      </c>
      <c r="O944" s="29">
        <f>IF(J944="","",J944-N(N944))</f>
        <v/>
      </c>
      <c r="P944" s="27">
        <f>IF(A944="","",MONTH(A944))</f>
        <v/>
      </c>
      <c r="Q944" s="27">
        <f>IF(A944="","",YEAR(A944))</f>
        <v/>
      </c>
      <c r="R944" s="27">
        <f>IF(L944="","",IF(L944&gt;Config!$B$8,"A cair",IF(N(G944)&gt;=MIN(MAX(1,N(E944)),MAX(0,INT((Config!$B$8-L944)/30)+1)),IF(N(G944)&gt;=MAX(1,N(E944)),"Conferido","Conferido até aqui"),"A conferir")))</f>
        <v/>
      </c>
      <c r="S944" s="51">
        <f>IF(R944="A conferir",(Config!$B$8-L944)*1000+N(F944)/1000+ROW()/100000,0)</f>
        <v>0</v>
      </c>
      <c r="T944" s="51">
        <f>IF(R944="A conferir",N(N944),0)</f>
        <v>0</v>
      </c>
      <c r="U944" s="51">
        <f>IF(L944="",0,L944)</f>
        <v>0</v>
      </c>
      <c r="V944" s="51">
        <f>IF(L944="",0,MAX(1,N(E944)))</f>
        <v>0</v>
      </c>
      <c r="W944" s="51">
        <f>IF(K944="",0,K944)</f>
        <v>0</v>
      </c>
    </row>
    <row r="945">
      <c r="A945" s="49" t="n"/>
      <c r="B945" s="41" t="n"/>
      <c r="C945" s="41" t="n"/>
      <c r="D945" s="42" t="n"/>
      <c r="E945" s="42" t="n"/>
      <c r="F945" s="50" t="n"/>
      <c r="G945" s="42" t="n"/>
      <c r="H945" s="30">
        <f>IF(D945="","",IFERROR(INDEX(Config!$B$12:$B$15,MATCH(IF(AND(D945="Cartão de crédito",N(E945)&gt;1),"Cartão de crédito parcelado",D945),Config!$A$12:$A$15,0)),0)+IF(AND(Config!$B$17="Sim",LEFT(D945,17)="Cartão de crédito"),Config!$B$18*IFERROR(INDEX(Config!$C$12:$C$15,MATCH(IF(AND(D945="Cartão de crédito",N(E945)&gt;1),"Cartão de crédito parcelado",D945),Config!$A$12:$A$15,0)),0)/30*MAX(1,N(E945)),0))</f>
        <v/>
      </c>
      <c r="I945" s="29">
        <f>IF(OR(D945="",F945=""),"",ROUND(F945*H945,2))</f>
        <v/>
      </c>
      <c r="J945" s="29">
        <f>IF(I945="","",F945-I945)</f>
        <v/>
      </c>
      <c r="K945" s="29">
        <f>IF(J945="","",J945/MAX(1,N(E945)))</f>
        <v/>
      </c>
      <c r="L945" s="37">
        <f>IF(OR(D945="",A945=""),"",A945+IF(AND(Config!$B$17="Sim",LEFT(D945,17)="Cartão de crédito"),1,IFERROR(INDEX(Config!$C$12:$C$15,MATCH(IF(AND(D945="Cartão de crédito",N(E945)&gt;1),"Cartão de crédito parcelado",D945),Config!$A$12:$A$15,0)),0)))</f>
        <v/>
      </c>
      <c r="M945" s="37">
        <f>IF(L945="","",IF(AND(Config!$B$17="Sim",LEFT(D945,17)="Cartão de crédito"),L945,L945+30*(MAX(1,N(E945))-1)))</f>
        <v/>
      </c>
      <c r="N945" s="29">
        <f>IF(OR(L945="",K945=""),"",K945*MIN(MAX(1,N(E945)),MAX(0,INT((Config!$B$8-L945)/30)+1)))</f>
        <v/>
      </c>
      <c r="O945" s="29">
        <f>IF(J945="","",J945-N(N945))</f>
        <v/>
      </c>
      <c r="P945" s="27">
        <f>IF(A945="","",MONTH(A945))</f>
        <v/>
      </c>
      <c r="Q945" s="27">
        <f>IF(A945="","",YEAR(A945))</f>
        <v/>
      </c>
      <c r="R945" s="27">
        <f>IF(L945="","",IF(L945&gt;Config!$B$8,"A cair",IF(N(G945)&gt;=MIN(MAX(1,N(E945)),MAX(0,INT((Config!$B$8-L945)/30)+1)),IF(N(G945)&gt;=MAX(1,N(E945)),"Conferido","Conferido até aqui"),"A conferir")))</f>
        <v/>
      </c>
      <c r="S945" s="51">
        <f>IF(R945="A conferir",(Config!$B$8-L945)*1000+N(F945)/1000+ROW()/100000,0)</f>
        <v>0</v>
      </c>
      <c r="T945" s="51">
        <f>IF(R945="A conferir",N(N945),0)</f>
        <v>0</v>
      </c>
      <c r="U945" s="51">
        <f>IF(L945="",0,L945)</f>
        <v>0</v>
      </c>
      <c r="V945" s="51">
        <f>IF(L945="",0,MAX(1,N(E945)))</f>
        <v>0</v>
      </c>
      <c r="W945" s="51">
        <f>IF(K945="",0,K945)</f>
        <v>0</v>
      </c>
    </row>
    <row r="946">
      <c r="A946" s="49" t="n"/>
      <c r="B946" s="41" t="n"/>
      <c r="C946" s="41" t="n"/>
      <c r="D946" s="42" t="n"/>
      <c r="E946" s="42" t="n"/>
      <c r="F946" s="50" t="n"/>
      <c r="G946" s="42" t="n"/>
      <c r="H946" s="30">
        <f>IF(D946="","",IFERROR(INDEX(Config!$B$12:$B$15,MATCH(IF(AND(D946="Cartão de crédito",N(E946)&gt;1),"Cartão de crédito parcelado",D946),Config!$A$12:$A$15,0)),0)+IF(AND(Config!$B$17="Sim",LEFT(D946,17)="Cartão de crédito"),Config!$B$18*IFERROR(INDEX(Config!$C$12:$C$15,MATCH(IF(AND(D946="Cartão de crédito",N(E946)&gt;1),"Cartão de crédito parcelado",D946),Config!$A$12:$A$15,0)),0)/30*MAX(1,N(E946)),0))</f>
        <v/>
      </c>
      <c r="I946" s="29">
        <f>IF(OR(D946="",F946=""),"",ROUND(F946*H946,2))</f>
        <v/>
      </c>
      <c r="J946" s="29">
        <f>IF(I946="","",F946-I946)</f>
        <v/>
      </c>
      <c r="K946" s="29">
        <f>IF(J946="","",J946/MAX(1,N(E946)))</f>
        <v/>
      </c>
      <c r="L946" s="37">
        <f>IF(OR(D946="",A946=""),"",A946+IF(AND(Config!$B$17="Sim",LEFT(D946,17)="Cartão de crédito"),1,IFERROR(INDEX(Config!$C$12:$C$15,MATCH(IF(AND(D946="Cartão de crédito",N(E946)&gt;1),"Cartão de crédito parcelado",D946),Config!$A$12:$A$15,0)),0)))</f>
        <v/>
      </c>
      <c r="M946" s="37">
        <f>IF(L946="","",IF(AND(Config!$B$17="Sim",LEFT(D946,17)="Cartão de crédito"),L946,L946+30*(MAX(1,N(E946))-1)))</f>
        <v/>
      </c>
      <c r="N946" s="29">
        <f>IF(OR(L946="",K946=""),"",K946*MIN(MAX(1,N(E946)),MAX(0,INT((Config!$B$8-L946)/30)+1)))</f>
        <v/>
      </c>
      <c r="O946" s="29">
        <f>IF(J946="","",J946-N(N946))</f>
        <v/>
      </c>
      <c r="P946" s="27">
        <f>IF(A946="","",MONTH(A946))</f>
        <v/>
      </c>
      <c r="Q946" s="27">
        <f>IF(A946="","",YEAR(A946))</f>
        <v/>
      </c>
      <c r="R946" s="27">
        <f>IF(L946="","",IF(L946&gt;Config!$B$8,"A cair",IF(N(G946)&gt;=MIN(MAX(1,N(E946)),MAX(0,INT((Config!$B$8-L946)/30)+1)),IF(N(G946)&gt;=MAX(1,N(E946)),"Conferido","Conferido até aqui"),"A conferir")))</f>
        <v/>
      </c>
      <c r="S946" s="51">
        <f>IF(R946="A conferir",(Config!$B$8-L946)*1000+N(F946)/1000+ROW()/100000,0)</f>
        <v>0</v>
      </c>
      <c r="T946" s="51">
        <f>IF(R946="A conferir",N(N946),0)</f>
        <v>0</v>
      </c>
      <c r="U946" s="51">
        <f>IF(L946="",0,L946)</f>
        <v>0</v>
      </c>
      <c r="V946" s="51">
        <f>IF(L946="",0,MAX(1,N(E946)))</f>
        <v>0</v>
      </c>
      <c r="W946" s="51">
        <f>IF(K946="",0,K946)</f>
        <v>0</v>
      </c>
    </row>
    <row r="947">
      <c r="A947" s="49" t="n"/>
      <c r="B947" s="41" t="n"/>
      <c r="C947" s="41" t="n"/>
      <c r="D947" s="42" t="n"/>
      <c r="E947" s="42" t="n"/>
      <c r="F947" s="50" t="n"/>
      <c r="G947" s="42" t="n"/>
      <c r="H947" s="30">
        <f>IF(D947="","",IFERROR(INDEX(Config!$B$12:$B$15,MATCH(IF(AND(D947="Cartão de crédito",N(E947)&gt;1),"Cartão de crédito parcelado",D947),Config!$A$12:$A$15,0)),0)+IF(AND(Config!$B$17="Sim",LEFT(D947,17)="Cartão de crédito"),Config!$B$18*IFERROR(INDEX(Config!$C$12:$C$15,MATCH(IF(AND(D947="Cartão de crédito",N(E947)&gt;1),"Cartão de crédito parcelado",D947),Config!$A$12:$A$15,0)),0)/30*MAX(1,N(E947)),0))</f>
        <v/>
      </c>
      <c r="I947" s="29">
        <f>IF(OR(D947="",F947=""),"",ROUND(F947*H947,2))</f>
        <v/>
      </c>
      <c r="J947" s="29">
        <f>IF(I947="","",F947-I947)</f>
        <v/>
      </c>
      <c r="K947" s="29">
        <f>IF(J947="","",J947/MAX(1,N(E947)))</f>
        <v/>
      </c>
      <c r="L947" s="37">
        <f>IF(OR(D947="",A947=""),"",A947+IF(AND(Config!$B$17="Sim",LEFT(D947,17)="Cartão de crédito"),1,IFERROR(INDEX(Config!$C$12:$C$15,MATCH(IF(AND(D947="Cartão de crédito",N(E947)&gt;1),"Cartão de crédito parcelado",D947),Config!$A$12:$A$15,0)),0)))</f>
        <v/>
      </c>
      <c r="M947" s="37">
        <f>IF(L947="","",IF(AND(Config!$B$17="Sim",LEFT(D947,17)="Cartão de crédito"),L947,L947+30*(MAX(1,N(E947))-1)))</f>
        <v/>
      </c>
      <c r="N947" s="29">
        <f>IF(OR(L947="",K947=""),"",K947*MIN(MAX(1,N(E947)),MAX(0,INT((Config!$B$8-L947)/30)+1)))</f>
        <v/>
      </c>
      <c r="O947" s="29">
        <f>IF(J947="","",J947-N(N947))</f>
        <v/>
      </c>
      <c r="P947" s="27">
        <f>IF(A947="","",MONTH(A947))</f>
        <v/>
      </c>
      <c r="Q947" s="27">
        <f>IF(A947="","",YEAR(A947))</f>
        <v/>
      </c>
      <c r="R947" s="27">
        <f>IF(L947="","",IF(L947&gt;Config!$B$8,"A cair",IF(N(G947)&gt;=MIN(MAX(1,N(E947)),MAX(0,INT((Config!$B$8-L947)/30)+1)),IF(N(G947)&gt;=MAX(1,N(E947)),"Conferido","Conferido até aqui"),"A conferir")))</f>
        <v/>
      </c>
      <c r="S947" s="51">
        <f>IF(R947="A conferir",(Config!$B$8-L947)*1000+N(F947)/1000+ROW()/100000,0)</f>
        <v>0</v>
      </c>
      <c r="T947" s="51">
        <f>IF(R947="A conferir",N(N947),0)</f>
        <v>0</v>
      </c>
      <c r="U947" s="51">
        <f>IF(L947="",0,L947)</f>
        <v>0</v>
      </c>
      <c r="V947" s="51">
        <f>IF(L947="",0,MAX(1,N(E947)))</f>
        <v>0</v>
      </c>
      <c r="W947" s="51">
        <f>IF(K947="",0,K947)</f>
        <v>0</v>
      </c>
    </row>
    <row r="948">
      <c r="A948" s="49" t="n"/>
      <c r="B948" s="41" t="n"/>
      <c r="C948" s="41" t="n"/>
      <c r="D948" s="42" t="n"/>
      <c r="E948" s="42" t="n"/>
      <c r="F948" s="50" t="n"/>
      <c r="G948" s="42" t="n"/>
      <c r="H948" s="30">
        <f>IF(D948="","",IFERROR(INDEX(Config!$B$12:$B$15,MATCH(IF(AND(D948="Cartão de crédito",N(E948)&gt;1),"Cartão de crédito parcelado",D948),Config!$A$12:$A$15,0)),0)+IF(AND(Config!$B$17="Sim",LEFT(D948,17)="Cartão de crédito"),Config!$B$18*IFERROR(INDEX(Config!$C$12:$C$15,MATCH(IF(AND(D948="Cartão de crédito",N(E948)&gt;1),"Cartão de crédito parcelado",D948),Config!$A$12:$A$15,0)),0)/30*MAX(1,N(E948)),0))</f>
        <v/>
      </c>
      <c r="I948" s="29">
        <f>IF(OR(D948="",F948=""),"",ROUND(F948*H948,2))</f>
        <v/>
      </c>
      <c r="J948" s="29">
        <f>IF(I948="","",F948-I948)</f>
        <v/>
      </c>
      <c r="K948" s="29">
        <f>IF(J948="","",J948/MAX(1,N(E948)))</f>
        <v/>
      </c>
      <c r="L948" s="37">
        <f>IF(OR(D948="",A948=""),"",A948+IF(AND(Config!$B$17="Sim",LEFT(D948,17)="Cartão de crédito"),1,IFERROR(INDEX(Config!$C$12:$C$15,MATCH(IF(AND(D948="Cartão de crédito",N(E948)&gt;1),"Cartão de crédito parcelado",D948),Config!$A$12:$A$15,0)),0)))</f>
        <v/>
      </c>
      <c r="M948" s="37">
        <f>IF(L948="","",IF(AND(Config!$B$17="Sim",LEFT(D948,17)="Cartão de crédito"),L948,L948+30*(MAX(1,N(E948))-1)))</f>
        <v/>
      </c>
      <c r="N948" s="29">
        <f>IF(OR(L948="",K948=""),"",K948*MIN(MAX(1,N(E948)),MAX(0,INT((Config!$B$8-L948)/30)+1)))</f>
        <v/>
      </c>
      <c r="O948" s="29">
        <f>IF(J948="","",J948-N(N948))</f>
        <v/>
      </c>
      <c r="P948" s="27">
        <f>IF(A948="","",MONTH(A948))</f>
        <v/>
      </c>
      <c r="Q948" s="27">
        <f>IF(A948="","",YEAR(A948))</f>
        <v/>
      </c>
      <c r="R948" s="27">
        <f>IF(L948="","",IF(L948&gt;Config!$B$8,"A cair",IF(N(G948)&gt;=MIN(MAX(1,N(E948)),MAX(0,INT((Config!$B$8-L948)/30)+1)),IF(N(G948)&gt;=MAX(1,N(E948)),"Conferido","Conferido até aqui"),"A conferir")))</f>
        <v/>
      </c>
      <c r="S948" s="51">
        <f>IF(R948="A conferir",(Config!$B$8-L948)*1000+N(F948)/1000+ROW()/100000,0)</f>
        <v>0</v>
      </c>
      <c r="T948" s="51">
        <f>IF(R948="A conferir",N(N948),0)</f>
        <v>0</v>
      </c>
      <c r="U948" s="51">
        <f>IF(L948="",0,L948)</f>
        <v>0</v>
      </c>
      <c r="V948" s="51">
        <f>IF(L948="",0,MAX(1,N(E948)))</f>
        <v>0</v>
      </c>
      <c r="W948" s="51">
        <f>IF(K948="",0,K948)</f>
        <v>0</v>
      </c>
    </row>
    <row r="949">
      <c r="A949" s="49" t="n"/>
      <c r="B949" s="41" t="n"/>
      <c r="C949" s="41" t="n"/>
      <c r="D949" s="42" t="n"/>
      <c r="E949" s="42" t="n"/>
      <c r="F949" s="50" t="n"/>
      <c r="G949" s="42" t="n"/>
      <c r="H949" s="30">
        <f>IF(D949="","",IFERROR(INDEX(Config!$B$12:$B$15,MATCH(IF(AND(D949="Cartão de crédito",N(E949)&gt;1),"Cartão de crédito parcelado",D949),Config!$A$12:$A$15,0)),0)+IF(AND(Config!$B$17="Sim",LEFT(D949,17)="Cartão de crédito"),Config!$B$18*IFERROR(INDEX(Config!$C$12:$C$15,MATCH(IF(AND(D949="Cartão de crédito",N(E949)&gt;1),"Cartão de crédito parcelado",D949),Config!$A$12:$A$15,0)),0)/30*MAX(1,N(E949)),0))</f>
        <v/>
      </c>
      <c r="I949" s="29">
        <f>IF(OR(D949="",F949=""),"",ROUND(F949*H949,2))</f>
        <v/>
      </c>
      <c r="J949" s="29">
        <f>IF(I949="","",F949-I949)</f>
        <v/>
      </c>
      <c r="K949" s="29">
        <f>IF(J949="","",J949/MAX(1,N(E949)))</f>
        <v/>
      </c>
      <c r="L949" s="37">
        <f>IF(OR(D949="",A949=""),"",A949+IF(AND(Config!$B$17="Sim",LEFT(D949,17)="Cartão de crédito"),1,IFERROR(INDEX(Config!$C$12:$C$15,MATCH(IF(AND(D949="Cartão de crédito",N(E949)&gt;1),"Cartão de crédito parcelado",D949),Config!$A$12:$A$15,0)),0)))</f>
        <v/>
      </c>
      <c r="M949" s="37">
        <f>IF(L949="","",IF(AND(Config!$B$17="Sim",LEFT(D949,17)="Cartão de crédito"),L949,L949+30*(MAX(1,N(E949))-1)))</f>
        <v/>
      </c>
      <c r="N949" s="29">
        <f>IF(OR(L949="",K949=""),"",K949*MIN(MAX(1,N(E949)),MAX(0,INT((Config!$B$8-L949)/30)+1)))</f>
        <v/>
      </c>
      <c r="O949" s="29">
        <f>IF(J949="","",J949-N(N949))</f>
        <v/>
      </c>
      <c r="P949" s="27">
        <f>IF(A949="","",MONTH(A949))</f>
        <v/>
      </c>
      <c r="Q949" s="27">
        <f>IF(A949="","",YEAR(A949))</f>
        <v/>
      </c>
      <c r="R949" s="27">
        <f>IF(L949="","",IF(L949&gt;Config!$B$8,"A cair",IF(N(G949)&gt;=MIN(MAX(1,N(E949)),MAX(0,INT((Config!$B$8-L949)/30)+1)),IF(N(G949)&gt;=MAX(1,N(E949)),"Conferido","Conferido até aqui"),"A conferir")))</f>
        <v/>
      </c>
      <c r="S949" s="51">
        <f>IF(R949="A conferir",(Config!$B$8-L949)*1000+N(F949)/1000+ROW()/100000,0)</f>
        <v>0</v>
      </c>
      <c r="T949" s="51">
        <f>IF(R949="A conferir",N(N949),0)</f>
        <v>0</v>
      </c>
      <c r="U949" s="51">
        <f>IF(L949="",0,L949)</f>
        <v>0</v>
      </c>
      <c r="V949" s="51">
        <f>IF(L949="",0,MAX(1,N(E949)))</f>
        <v>0</v>
      </c>
      <c r="W949" s="51">
        <f>IF(K949="",0,K949)</f>
        <v>0</v>
      </c>
    </row>
    <row r="950">
      <c r="A950" s="49" t="n"/>
      <c r="B950" s="41" t="n"/>
      <c r="C950" s="41" t="n"/>
      <c r="D950" s="42" t="n"/>
      <c r="E950" s="42" t="n"/>
      <c r="F950" s="50" t="n"/>
      <c r="G950" s="42" t="n"/>
      <c r="H950" s="30">
        <f>IF(D950="","",IFERROR(INDEX(Config!$B$12:$B$15,MATCH(IF(AND(D950="Cartão de crédito",N(E950)&gt;1),"Cartão de crédito parcelado",D950),Config!$A$12:$A$15,0)),0)+IF(AND(Config!$B$17="Sim",LEFT(D950,17)="Cartão de crédito"),Config!$B$18*IFERROR(INDEX(Config!$C$12:$C$15,MATCH(IF(AND(D950="Cartão de crédito",N(E950)&gt;1),"Cartão de crédito parcelado",D950),Config!$A$12:$A$15,0)),0)/30*MAX(1,N(E950)),0))</f>
        <v/>
      </c>
      <c r="I950" s="29">
        <f>IF(OR(D950="",F950=""),"",ROUND(F950*H950,2))</f>
        <v/>
      </c>
      <c r="J950" s="29">
        <f>IF(I950="","",F950-I950)</f>
        <v/>
      </c>
      <c r="K950" s="29">
        <f>IF(J950="","",J950/MAX(1,N(E950)))</f>
        <v/>
      </c>
      <c r="L950" s="37">
        <f>IF(OR(D950="",A950=""),"",A950+IF(AND(Config!$B$17="Sim",LEFT(D950,17)="Cartão de crédito"),1,IFERROR(INDEX(Config!$C$12:$C$15,MATCH(IF(AND(D950="Cartão de crédito",N(E950)&gt;1),"Cartão de crédito parcelado",D950),Config!$A$12:$A$15,0)),0)))</f>
        <v/>
      </c>
      <c r="M950" s="37">
        <f>IF(L950="","",IF(AND(Config!$B$17="Sim",LEFT(D950,17)="Cartão de crédito"),L950,L950+30*(MAX(1,N(E950))-1)))</f>
        <v/>
      </c>
      <c r="N950" s="29">
        <f>IF(OR(L950="",K950=""),"",K950*MIN(MAX(1,N(E950)),MAX(0,INT((Config!$B$8-L950)/30)+1)))</f>
        <v/>
      </c>
      <c r="O950" s="29">
        <f>IF(J950="","",J950-N(N950))</f>
        <v/>
      </c>
      <c r="P950" s="27">
        <f>IF(A950="","",MONTH(A950))</f>
        <v/>
      </c>
      <c r="Q950" s="27">
        <f>IF(A950="","",YEAR(A950))</f>
        <v/>
      </c>
      <c r="R950" s="27">
        <f>IF(L950="","",IF(L950&gt;Config!$B$8,"A cair",IF(N(G950)&gt;=MIN(MAX(1,N(E950)),MAX(0,INT((Config!$B$8-L950)/30)+1)),IF(N(G950)&gt;=MAX(1,N(E950)),"Conferido","Conferido até aqui"),"A conferir")))</f>
        <v/>
      </c>
      <c r="S950" s="51">
        <f>IF(R950="A conferir",(Config!$B$8-L950)*1000+N(F950)/1000+ROW()/100000,0)</f>
        <v>0</v>
      </c>
      <c r="T950" s="51">
        <f>IF(R950="A conferir",N(N950),0)</f>
        <v>0</v>
      </c>
      <c r="U950" s="51">
        <f>IF(L950="",0,L950)</f>
        <v>0</v>
      </c>
      <c r="V950" s="51">
        <f>IF(L950="",0,MAX(1,N(E950)))</f>
        <v>0</v>
      </c>
      <c r="W950" s="51">
        <f>IF(K950="",0,K950)</f>
        <v>0</v>
      </c>
    </row>
    <row r="951">
      <c r="A951" s="49" t="n"/>
      <c r="B951" s="41" t="n"/>
      <c r="C951" s="41" t="n"/>
      <c r="D951" s="42" t="n"/>
      <c r="E951" s="42" t="n"/>
      <c r="F951" s="50" t="n"/>
      <c r="G951" s="42" t="n"/>
      <c r="H951" s="30">
        <f>IF(D951="","",IFERROR(INDEX(Config!$B$12:$B$15,MATCH(IF(AND(D951="Cartão de crédito",N(E951)&gt;1),"Cartão de crédito parcelado",D951),Config!$A$12:$A$15,0)),0)+IF(AND(Config!$B$17="Sim",LEFT(D951,17)="Cartão de crédito"),Config!$B$18*IFERROR(INDEX(Config!$C$12:$C$15,MATCH(IF(AND(D951="Cartão de crédito",N(E951)&gt;1),"Cartão de crédito parcelado",D951),Config!$A$12:$A$15,0)),0)/30*MAX(1,N(E951)),0))</f>
        <v/>
      </c>
      <c r="I951" s="29">
        <f>IF(OR(D951="",F951=""),"",ROUND(F951*H951,2))</f>
        <v/>
      </c>
      <c r="J951" s="29">
        <f>IF(I951="","",F951-I951)</f>
        <v/>
      </c>
      <c r="K951" s="29">
        <f>IF(J951="","",J951/MAX(1,N(E951)))</f>
        <v/>
      </c>
      <c r="L951" s="37">
        <f>IF(OR(D951="",A951=""),"",A951+IF(AND(Config!$B$17="Sim",LEFT(D951,17)="Cartão de crédito"),1,IFERROR(INDEX(Config!$C$12:$C$15,MATCH(IF(AND(D951="Cartão de crédito",N(E951)&gt;1),"Cartão de crédito parcelado",D951),Config!$A$12:$A$15,0)),0)))</f>
        <v/>
      </c>
      <c r="M951" s="37">
        <f>IF(L951="","",IF(AND(Config!$B$17="Sim",LEFT(D951,17)="Cartão de crédito"),L951,L951+30*(MAX(1,N(E951))-1)))</f>
        <v/>
      </c>
      <c r="N951" s="29">
        <f>IF(OR(L951="",K951=""),"",K951*MIN(MAX(1,N(E951)),MAX(0,INT((Config!$B$8-L951)/30)+1)))</f>
        <v/>
      </c>
      <c r="O951" s="29">
        <f>IF(J951="","",J951-N(N951))</f>
        <v/>
      </c>
      <c r="P951" s="27">
        <f>IF(A951="","",MONTH(A951))</f>
        <v/>
      </c>
      <c r="Q951" s="27">
        <f>IF(A951="","",YEAR(A951))</f>
        <v/>
      </c>
      <c r="R951" s="27">
        <f>IF(L951="","",IF(L951&gt;Config!$B$8,"A cair",IF(N(G951)&gt;=MIN(MAX(1,N(E951)),MAX(0,INT((Config!$B$8-L951)/30)+1)),IF(N(G951)&gt;=MAX(1,N(E951)),"Conferido","Conferido até aqui"),"A conferir")))</f>
        <v/>
      </c>
      <c r="S951" s="51">
        <f>IF(R951="A conferir",(Config!$B$8-L951)*1000+N(F951)/1000+ROW()/100000,0)</f>
        <v>0</v>
      </c>
      <c r="T951" s="51">
        <f>IF(R951="A conferir",N(N951),0)</f>
        <v>0</v>
      </c>
      <c r="U951" s="51">
        <f>IF(L951="",0,L951)</f>
        <v>0</v>
      </c>
      <c r="V951" s="51">
        <f>IF(L951="",0,MAX(1,N(E951)))</f>
        <v>0</v>
      </c>
      <c r="W951" s="51">
        <f>IF(K951="",0,K951)</f>
        <v>0</v>
      </c>
    </row>
    <row r="952">
      <c r="A952" s="49" t="n"/>
      <c r="B952" s="41" t="n"/>
      <c r="C952" s="41" t="n"/>
      <c r="D952" s="42" t="n"/>
      <c r="E952" s="42" t="n"/>
      <c r="F952" s="50" t="n"/>
      <c r="G952" s="42" t="n"/>
      <c r="H952" s="30">
        <f>IF(D952="","",IFERROR(INDEX(Config!$B$12:$B$15,MATCH(IF(AND(D952="Cartão de crédito",N(E952)&gt;1),"Cartão de crédito parcelado",D952),Config!$A$12:$A$15,0)),0)+IF(AND(Config!$B$17="Sim",LEFT(D952,17)="Cartão de crédito"),Config!$B$18*IFERROR(INDEX(Config!$C$12:$C$15,MATCH(IF(AND(D952="Cartão de crédito",N(E952)&gt;1),"Cartão de crédito parcelado",D952),Config!$A$12:$A$15,0)),0)/30*MAX(1,N(E952)),0))</f>
        <v/>
      </c>
      <c r="I952" s="29">
        <f>IF(OR(D952="",F952=""),"",ROUND(F952*H952,2))</f>
        <v/>
      </c>
      <c r="J952" s="29">
        <f>IF(I952="","",F952-I952)</f>
        <v/>
      </c>
      <c r="K952" s="29">
        <f>IF(J952="","",J952/MAX(1,N(E952)))</f>
        <v/>
      </c>
      <c r="L952" s="37">
        <f>IF(OR(D952="",A952=""),"",A952+IF(AND(Config!$B$17="Sim",LEFT(D952,17)="Cartão de crédito"),1,IFERROR(INDEX(Config!$C$12:$C$15,MATCH(IF(AND(D952="Cartão de crédito",N(E952)&gt;1),"Cartão de crédito parcelado",D952),Config!$A$12:$A$15,0)),0)))</f>
        <v/>
      </c>
      <c r="M952" s="37">
        <f>IF(L952="","",IF(AND(Config!$B$17="Sim",LEFT(D952,17)="Cartão de crédito"),L952,L952+30*(MAX(1,N(E952))-1)))</f>
        <v/>
      </c>
      <c r="N952" s="29">
        <f>IF(OR(L952="",K952=""),"",K952*MIN(MAX(1,N(E952)),MAX(0,INT((Config!$B$8-L952)/30)+1)))</f>
        <v/>
      </c>
      <c r="O952" s="29">
        <f>IF(J952="","",J952-N(N952))</f>
        <v/>
      </c>
      <c r="P952" s="27">
        <f>IF(A952="","",MONTH(A952))</f>
        <v/>
      </c>
      <c r="Q952" s="27">
        <f>IF(A952="","",YEAR(A952))</f>
        <v/>
      </c>
      <c r="R952" s="27">
        <f>IF(L952="","",IF(L952&gt;Config!$B$8,"A cair",IF(N(G952)&gt;=MIN(MAX(1,N(E952)),MAX(0,INT((Config!$B$8-L952)/30)+1)),IF(N(G952)&gt;=MAX(1,N(E952)),"Conferido","Conferido até aqui"),"A conferir")))</f>
        <v/>
      </c>
      <c r="S952" s="51">
        <f>IF(R952="A conferir",(Config!$B$8-L952)*1000+N(F952)/1000+ROW()/100000,0)</f>
        <v>0</v>
      </c>
      <c r="T952" s="51">
        <f>IF(R952="A conferir",N(N952),0)</f>
        <v>0</v>
      </c>
      <c r="U952" s="51">
        <f>IF(L952="",0,L952)</f>
        <v>0</v>
      </c>
      <c r="V952" s="51">
        <f>IF(L952="",0,MAX(1,N(E952)))</f>
        <v>0</v>
      </c>
      <c r="W952" s="51">
        <f>IF(K952="",0,K952)</f>
        <v>0</v>
      </c>
    </row>
    <row r="953">
      <c r="A953" s="49" t="n"/>
      <c r="B953" s="41" t="n"/>
      <c r="C953" s="41" t="n"/>
      <c r="D953" s="42" t="n"/>
      <c r="E953" s="42" t="n"/>
      <c r="F953" s="50" t="n"/>
      <c r="G953" s="42" t="n"/>
      <c r="H953" s="30">
        <f>IF(D953="","",IFERROR(INDEX(Config!$B$12:$B$15,MATCH(IF(AND(D953="Cartão de crédito",N(E953)&gt;1),"Cartão de crédito parcelado",D953),Config!$A$12:$A$15,0)),0)+IF(AND(Config!$B$17="Sim",LEFT(D953,17)="Cartão de crédito"),Config!$B$18*IFERROR(INDEX(Config!$C$12:$C$15,MATCH(IF(AND(D953="Cartão de crédito",N(E953)&gt;1),"Cartão de crédito parcelado",D953),Config!$A$12:$A$15,0)),0)/30*MAX(1,N(E953)),0))</f>
        <v/>
      </c>
      <c r="I953" s="29">
        <f>IF(OR(D953="",F953=""),"",ROUND(F953*H953,2))</f>
        <v/>
      </c>
      <c r="J953" s="29">
        <f>IF(I953="","",F953-I953)</f>
        <v/>
      </c>
      <c r="K953" s="29">
        <f>IF(J953="","",J953/MAX(1,N(E953)))</f>
        <v/>
      </c>
      <c r="L953" s="37">
        <f>IF(OR(D953="",A953=""),"",A953+IF(AND(Config!$B$17="Sim",LEFT(D953,17)="Cartão de crédito"),1,IFERROR(INDEX(Config!$C$12:$C$15,MATCH(IF(AND(D953="Cartão de crédito",N(E953)&gt;1),"Cartão de crédito parcelado",D953),Config!$A$12:$A$15,0)),0)))</f>
        <v/>
      </c>
      <c r="M953" s="37">
        <f>IF(L953="","",IF(AND(Config!$B$17="Sim",LEFT(D953,17)="Cartão de crédito"),L953,L953+30*(MAX(1,N(E953))-1)))</f>
        <v/>
      </c>
      <c r="N953" s="29">
        <f>IF(OR(L953="",K953=""),"",K953*MIN(MAX(1,N(E953)),MAX(0,INT((Config!$B$8-L953)/30)+1)))</f>
        <v/>
      </c>
      <c r="O953" s="29">
        <f>IF(J953="","",J953-N(N953))</f>
        <v/>
      </c>
      <c r="P953" s="27">
        <f>IF(A953="","",MONTH(A953))</f>
        <v/>
      </c>
      <c r="Q953" s="27">
        <f>IF(A953="","",YEAR(A953))</f>
        <v/>
      </c>
      <c r="R953" s="27">
        <f>IF(L953="","",IF(L953&gt;Config!$B$8,"A cair",IF(N(G953)&gt;=MIN(MAX(1,N(E953)),MAX(0,INT((Config!$B$8-L953)/30)+1)),IF(N(G953)&gt;=MAX(1,N(E953)),"Conferido","Conferido até aqui"),"A conferir")))</f>
        <v/>
      </c>
      <c r="S953" s="51">
        <f>IF(R953="A conferir",(Config!$B$8-L953)*1000+N(F953)/1000+ROW()/100000,0)</f>
        <v>0</v>
      </c>
      <c r="T953" s="51">
        <f>IF(R953="A conferir",N(N953),0)</f>
        <v>0</v>
      </c>
      <c r="U953" s="51">
        <f>IF(L953="",0,L953)</f>
        <v>0</v>
      </c>
      <c r="V953" s="51">
        <f>IF(L953="",0,MAX(1,N(E953)))</f>
        <v>0</v>
      </c>
      <c r="W953" s="51">
        <f>IF(K953="",0,K953)</f>
        <v>0</v>
      </c>
    </row>
    <row r="954">
      <c r="A954" s="49" t="n"/>
      <c r="B954" s="41" t="n"/>
      <c r="C954" s="41" t="n"/>
      <c r="D954" s="42" t="n"/>
      <c r="E954" s="42" t="n"/>
      <c r="F954" s="50" t="n"/>
      <c r="G954" s="42" t="n"/>
      <c r="H954" s="30">
        <f>IF(D954="","",IFERROR(INDEX(Config!$B$12:$B$15,MATCH(IF(AND(D954="Cartão de crédito",N(E954)&gt;1),"Cartão de crédito parcelado",D954),Config!$A$12:$A$15,0)),0)+IF(AND(Config!$B$17="Sim",LEFT(D954,17)="Cartão de crédito"),Config!$B$18*IFERROR(INDEX(Config!$C$12:$C$15,MATCH(IF(AND(D954="Cartão de crédito",N(E954)&gt;1),"Cartão de crédito parcelado",D954),Config!$A$12:$A$15,0)),0)/30*MAX(1,N(E954)),0))</f>
        <v/>
      </c>
      <c r="I954" s="29">
        <f>IF(OR(D954="",F954=""),"",ROUND(F954*H954,2))</f>
        <v/>
      </c>
      <c r="J954" s="29">
        <f>IF(I954="","",F954-I954)</f>
        <v/>
      </c>
      <c r="K954" s="29">
        <f>IF(J954="","",J954/MAX(1,N(E954)))</f>
        <v/>
      </c>
      <c r="L954" s="37">
        <f>IF(OR(D954="",A954=""),"",A954+IF(AND(Config!$B$17="Sim",LEFT(D954,17)="Cartão de crédito"),1,IFERROR(INDEX(Config!$C$12:$C$15,MATCH(IF(AND(D954="Cartão de crédito",N(E954)&gt;1),"Cartão de crédito parcelado",D954),Config!$A$12:$A$15,0)),0)))</f>
        <v/>
      </c>
      <c r="M954" s="37">
        <f>IF(L954="","",IF(AND(Config!$B$17="Sim",LEFT(D954,17)="Cartão de crédito"),L954,L954+30*(MAX(1,N(E954))-1)))</f>
        <v/>
      </c>
      <c r="N954" s="29">
        <f>IF(OR(L954="",K954=""),"",K954*MIN(MAX(1,N(E954)),MAX(0,INT((Config!$B$8-L954)/30)+1)))</f>
        <v/>
      </c>
      <c r="O954" s="29">
        <f>IF(J954="","",J954-N(N954))</f>
        <v/>
      </c>
      <c r="P954" s="27">
        <f>IF(A954="","",MONTH(A954))</f>
        <v/>
      </c>
      <c r="Q954" s="27">
        <f>IF(A954="","",YEAR(A954))</f>
        <v/>
      </c>
      <c r="R954" s="27">
        <f>IF(L954="","",IF(L954&gt;Config!$B$8,"A cair",IF(N(G954)&gt;=MIN(MAX(1,N(E954)),MAX(0,INT((Config!$B$8-L954)/30)+1)),IF(N(G954)&gt;=MAX(1,N(E954)),"Conferido","Conferido até aqui"),"A conferir")))</f>
        <v/>
      </c>
      <c r="S954" s="51">
        <f>IF(R954="A conferir",(Config!$B$8-L954)*1000+N(F954)/1000+ROW()/100000,0)</f>
        <v>0</v>
      </c>
      <c r="T954" s="51">
        <f>IF(R954="A conferir",N(N954),0)</f>
        <v>0</v>
      </c>
      <c r="U954" s="51">
        <f>IF(L954="",0,L954)</f>
        <v>0</v>
      </c>
      <c r="V954" s="51">
        <f>IF(L954="",0,MAX(1,N(E954)))</f>
        <v>0</v>
      </c>
      <c r="W954" s="51">
        <f>IF(K954="",0,K954)</f>
        <v>0</v>
      </c>
    </row>
    <row r="955">
      <c r="A955" s="49" t="n"/>
      <c r="B955" s="41" t="n"/>
      <c r="C955" s="41" t="n"/>
      <c r="D955" s="42" t="n"/>
      <c r="E955" s="42" t="n"/>
      <c r="F955" s="50" t="n"/>
      <c r="G955" s="42" t="n"/>
      <c r="H955" s="30">
        <f>IF(D955="","",IFERROR(INDEX(Config!$B$12:$B$15,MATCH(IF(AND(D955="Cartão de crédito",N(E955)&gt;1),"Cartão de crédito parcelado",D955),Config!$A$12:$A$15,0)),0)+IF(AND(Config!$B$17="Sim",LEFT(D955,17)="Cartão de crédito"),Config!$B$18*IFERROR(INDEX(Config!$C$12:$C$15,MATCH(IF(AND(D955="Cartão de crédito",N(E955)&gt;1),"Cartão de crédito parcelado",D955),Config!$A$12:$A$15,0)),0)/30*MAX(1,N(E955)),0))</f>
        <v/>
      </c>
      <c r="I955" s="29">
        <f>IF(OR(D955="",F955=""),"",ROUND(F955*H955,2))</f>
        <v/>
      </c>
      <c r="J955" s="29">
        <f>IF(I955="","",F955-I955)</f>
        <v/>
      </c>
      <c r="K955" s="29">
        <f>IF(J955="","",J955/MAX(1,N(E955)))</f>
        <v/>
      </c>
      <c r="L955" s="37">
        <f>IF(OR(D955="",A955=""),"",A955+IF(AND(Config!$B$17="Sim",LEFT(D955,17)="Cartão de crédito"),1,IFERROR(INDEX(Config!$C$12:$C$15,MATCH(IF(AND(D955="Cartão de crédito",N(E955)&gt;1),"Cartão de crédito parcelado",D955),Config!$A$12:$A$15,0)),0)))</f>
        <v/>
      </c>
      <c r="M955" s="37">
        <f>IF(L955="","",IF(AND(Config!$B$17="Sim",LEFT(D955,17)="Cartão de crédito"),L955,L955+30*(MAX(1,N(E955))-1)))</f>
        <v/>
      </c>
      <c r="N955" s="29">
        <f>IF(OR(L955="",K955=""),"",K955*MIN(MAX(1,N(E955)),MAX(0,INT((Config!$B$8-L955)/30)+1)))</f>
        <v/>
      </c>
      <c r="O955" s="29">
        <f>IF(J955="","",J955-N(N955))</f>
        <v/>
      </c>
      <c r="P955" s="27">
        <f>IF(A955="","",MONTH(A955))</f>
        <v/>
      </c>
      <c r="Q955" s="27">
        <f>IF(A955="","",YEAR(A955))</f>
        <v/>
      </c>
      <c r="R955" s="27">
        <f>IF(L955="","",IF(L955&gt;Config!$B$8,"A cair",IF(N(G955)&gt;=MIN(MAX(1,N(E955)),MAX(0,INT((Config!$B$8-L955)/30)+1)),IF(N(G955)&gt;=MAX(1,N(E955)),"Conferido","Conferido até aqui"),"A conferir")))</f>
        <v/>
      </c>
      <c r="S955" s="51">
        <f>IF(R955="A conferir",(Config!$B$8-L955)*1000+N(F955)/1000+ROW()/100000,0)</f>
        <v>0</v>
      </c>
      <c r="T955" s="51">
        <f>IF(R955="A conferir",N(N955),0)</f>
        <v>0</v>
      </c>
      <c r="U955" s="51">
        <f>IF(L955="",0,L955)</f>
        <v>0</v>
      </c>
      <c r="V955" s="51">
        <f>IF(L955="",0,MAX(1,N(E955)))</f>
        <v>0</v>
      </c>
      <c r="W955" s="51">
        <f>IF(K955="",0,K955)</f>
        <v>0</v>
      </c>
    </row>
    <row r="956">
      <c r="A956" s="49" t="n"/>
      <c r="B956" s="41" t="n"/>
      <c r="C956" s="41" t="n"/>
      <c r="D956" s="42" t="n"/>
      <c r="E956" s="42" t="n"/>
      <c r="F956" s="50" t="n"/>
      <c r="G956" s="42" t="n"/>
      <c r="H956" s="30">
        <f>IF(D956="","",IFERROR(INDEX(Config!$B$12:$B$15,MATCH(IF(AND(D956="Cartão de crédito",N(E956)&gt;1),"Cartão de crédito parcelado",D956),Config!$A$12:$A$15,0)),0)+IF(AND(Config!$B$17="Sim",LEFT(D956,17)="Cartão de crédito"),Config!$B$18*IFERROR(INDEX(Config!$C$12:$C$15,MATCH(IF(AND(D956="Cartão de crédito",N(E956)&gt;1),"Cartão de crédito parcelado",D956),Config!$A$12:$A$15,0)),0)/30*MAX(1,N(E956)),0))</f>
        <v/>
      </c>
      <c r="I956" s="29">
        <f>IF(OR(D956="",F956=""),"",ROUND(F956*H956,2))</f>
        <v/>
      </c>
      <c r="J956" s="29">
        <f>IF(I956="","",F956-I956)</f>
        <v/>
      </c>
      <c r="K956" s="29">
        <f>IF(J956="","",J956/MAX(1,N(E956)))</f>
        <v/>
      </c>
      <c r="L956" s="37">
        <f>IF(OR(D956="",A956=""),"",A956+IF(AND(Config!$B$17="Sim",LEFT(D956,17)="Cartão de crédito"),1,IFERROR(INDEX(Config!$C$12:$C$15,MATCH(IF(AND(D956="Cartão de crédito",N(E956)&gt;1),"Cartão de crédito parcelado",D956),Config!$A$12:$A$15,0)),0)))</f>
        <v/>
      </c>
      <c r="M956" s="37">
        <f>IF(L956="","",IF(AND(Config!$B$17="Sim",LEFT(D956,17)="Cartão de crédito"),L956,L956+30*(MAX(1,N(E956))-1)))</f>
        <v/>
      </c>
      <c r="N956" s="29">
        <f>IF(OR(L956="",K956=""),"",K956*MIN(MAX(1,N(E956)),MAX(0,INT((Config!$B$8-L956)/30)+1)))</f>
        <v/>
      </c>
      <c r="O956" s="29">
        <f>IF(J956="","",J956-N(N956))</f>
        <v/>
      </c>
      <c r="P956" s="27">
        <f>IF(A956="","",MONTH(A956))</f>
        <v/>
      </c>
      <c r="Q956" s="27">
        <f>IF(A956="","",YEAR(A956))</f>
        <v/>
      </c>
      <c r="R956" s="27">
        <f>IF(L956="","",IF(L956&gt;Config!$B$8,"A cair",IF(N(G956)&gt;=MIN(MAX(1,N(E956)),MAX(0,INT((Config!$B$8-L956)/30)+1)),IF(N(G956)&gt;=MAX(1,N(E956)),"Conferido","Conferido até aqui"),"A conferir")))</f>
        <v/>
      </c>
      <c r="S956" s="51">
        <f>IF(R956="A conferir",(Config!$B$8-L956)*1000+N(F956)/1000+ROW()/100000,0)</f>
        <v>0</v>
      </c>
      <c r="T956" s="51">
        <f>IF(R956="A conferir",N(N956),0)</f>
        <v>0</v>
      </c>
      <c r="U956" s="51">
        <f>IF(L956="",0,L956)</f>
        <v>0</v>
      </c>
      <c r="V956" s="51">
        <f>IF(L956="",0,MAX(1,N(E956)))</f>
        <v>0</v>
      </c>
      <c r="W956" s="51">
        <f>IF(K956="",0,K956)</f>
        <v>0</v>
      </c>
    </row>
    <row r="957">
      <c r="A957" s="49" t="n"/>
      <c r="B957" s="41" t="n"/>
      <c r="C957" s="41" t="n"/>
      <c r="D957" s="42" t="n"/>
      <c r="E957" s="42" t="n"/>
      <c r="F957" s="50" t="n"/>
      <c r="G957" s="42" t="n"/>
      <c r="H957" s="30">
        <f>IF(D957="","",IFERROR(INDEX(Config!$B$12:$B$15,MATCH(IF(AND(D957="Cartão de crédito",N(E957)&gt;1),"Cartão de crédito parcelado",D957),Config!$A$12:$A$15,0)),0)+IF(AND(Config!$B$17="Sim",LEFT(D957,17)="Cartão de crédito"),Config!$B$18*IFERROR(INDEX(Config!$C$12:$C$15,MATCH(IF(AND(D957="Cartão de crédito",N(E957)&gt;1),"Cartão de crédito parcelado",D957),Config!$A$12:$A$15,0)),0)/30*MAX(1,N(E957)),0))</f>
        <v/>
      </c>
      <c r="I957" s="29">
        <f>IF(OR(D957="",F957=""),"",ROUND(F957*H957,2))</f>
        <v/>
      </c>
      <c r="J957" s="29">
        <f>IF(I957="","",F957-I957)</f>
        <v/>
      </c>
      <c r="K957" s="29">
        <f>IF(J957="","",J957/MAX(1,N(E957)))</f>
        <v/>
      </c>
      <c r="L957" s="37">
        <f>IF(OR(D957="",A957=""),"",A957+IF(AND(Config!$B$17="Sim",LEFT(D957,17)="Cartão de crédito"),1,IFERROR(INDEX(Config!$C$12:$C$15,MATCH(IF(AND(D957="Cartão de crédito",N(E957)&gt;1),"Cartão de crédito parcelado",D957),Config!$A$12:$A$15,0)),0)))</f>
        <v/>
      </c>
      <c r="M957" s="37">
        <f>IF(L957="","",IF(AND(Config!$B$17="Sim",LEFT(D957,17)="Cartão de crédito"),L957,L957+30*(MAX(1,N(E957))-1)))</f>
        <v/>
      </c>
      <c r="N957" s="29">
        <f>IF(OR(L957="",K957=""),"",K957*MIN(MAX(1,N(E957)),MAX(0,INT((Config!$B$8-L957)/30)+1)))</f>
        <v/>
      </c>
      <c r="O957" s="29">
        <f>IF(J957="","",J957-N(N957))</f>
        <v/>
      </c>
      <c r="P957" s="27">
        <f>IF(A957="","",MONTH(A957))</f>
        <v/>
      </c>
      <c r="Q957" s="27">
        <f>IF(A957="","",YEAR(A957))</f>
        <v/>
      </c>
      <c r="R957" s="27">
        <f>IF(L957="","",IF(L957&gt;Config!$B$8,"A cair",IF(N(G957)&gt;=MIN(MAX(1,N(E957)),MAX(0,INT((Config!$B$8-L957)/30)+1)),IF(N(G957)&gt;=MAX(1,N(E957)),"Conferido","Conferido até aqui"),"A conferir")))</f>
        <v/>
      </c>
      <c r="S957" s="51">
        <f>IF(R957="A conferir",(Config!$B$8-L957)*1000+N(F957)/1000+ROW()/100000,0)</f>
        <v>0</v>
      </c>
      <c r="T957" s="51">
        <f>IF(R957="A conferir",N(N957),0)</f>
        <v>0</v>
      </c>
      <c r="U957" s="51">
        <f>IF(L957="",0,L957)</f>
        <v>0</v>
      </c>
      <c r="V957" s="51">
        <f>IF(L957="",0,MAX(1,N(E957)))</f>
        <v>0</v>
      </c>
      <c r="W957" s="51">
        <f>IF(K957="",0,K957)</f>
        <v>0</v>
      </c>
    </row>
    <row r="958">
      <c r="A958" s="49" t="n"/>
      <c r="B958" s="41" t="n"/>
      <c r="C958" s="41" t="n"/>
      <c r="D958" s="42" t="n"/>
      <c r="E958" s="42" t="n"/>
      <c r="F958" s="50" t="n"/>
      <c r="G958" s="42" t="n"/>
      <c r="H958" s="30">
        <f>IF(D958="","",IFERROR(INDEX(Config!$B$12:$B$15,MATCH(IF(AND(D958="Cartão de crédito",N(E958)&gt;1),"Cartão de crédito parcelado",D958),Config!$A$12:$A$15,0)),0)+IF(AND(Config!$B$17="Sim",LEFT(D958,17)="Cartão de crédito"),Config!$B$18*IFERROR(INDEX(Config!$C$12:$C$15,MATCH(IF(AND(D958="Cartão de crédito",N(E958)&gt;1),"Cartão de crédito parcelado",D958),Config!$A$12:$A$15,0)),0)/30*MAX(1,N(E958)),0))</f>
        <v/>
      </c>
      <c r="I958" s="29">
        <f>IF(OR(D958="",F958=""),"",ROUND(F958*H958,2))</f>
        <v/>
      </c>
      <c r="J958" s="29">
        <f>IF(I958="","",F958-I958)</f>
        <v/>
      </c>
      <c r="K958" s="29">
        <f>IF(J958="","",J958/MAX(1,N(E958)))</f>
        <v/>
      </c>
      <c r="L958" s="37">
        <f>IF(OR(D958="",A958=""),"",A958+IF(AND(Config!$B$17="Sim",LEFT(D958,17)="Cartão de crédito"),1,IFERROR(INDEX(Config!$C$12:$C$15,MATCH(IF(AND(D958="Cartão de crédito",N(E958)&gt;1),"Cartão de crédito parcelado",D958),Config!$A$12:$A$15,0)),0)))</f>
        <v/>
      </c>
      <c r="M958" s="37">
        <f>IF(L958="","",IF(AND(Config!$B$17="Sim",LEFT(D958,17)="Cartão de crédito"),L958,L958+30*(MAX(1,N(E958))-1)))</f>
        <v/>
      </c>
      <c r="N958" s="29">
        <f>IF(OR(L958="",K958=""),"",K958*MIN(MAX(1,N(E958)),MAX(0,INT((Config!$B$8-L958)/30)+1)))</f>
        <v/>
      </c>
      <c r="O958" s="29">
        <f>IF(J958="","",J958-N(N958))</f>
        <v/>
      </c>
      <c r="P958" s="27">
        <f>IF(A958="","",MONTH(A958))</f>
        <v/>
      </c>
      <c r="Q958" s="27">
        <f>IF(A958="","",YEAR(A958))</f>
        <v/>
      </c>
      <c r="R958" s="27">
        <f>IF(L958="","",IF(L958&gt;Config!$B$8,"A cair",IF(N(G958)&gt;=MIN(MAX(1,N(E958)),MAX(0,INT((Config!$B$8-L958)/30)+1)),IF(N(G958)&gt;=MAX(1,N(E958)),"Conferido","Conferido até aqui"),"A conferir")))</f>
        <v/>
      </c>
      <c r="S958" s="51">
        <f>IF(R958="A conferir",(Config!$B$8-L958)*1000+N(F958)/1000+ROW()/100000,0)</f>
        <v>0</v>
      </c>
      <c r="T958" s="51">
        <f>IF(R958="A conferir",N(N958),0)</f>
        <v>0</v>
      </c>
      <c r="U958" s="51">
        <f>IF(L958="",0,L958)</f>
        <v>0</v>
      </c>
      <c r="V958" s="51">
        <f>IF(L958="",0,MAX(1,N(E958)))</f>
        <v>0</v>
      </c>
      <c r="W958" s="51">
        <f>IF(K958="",0,K958)</f>
        <v>0</v>
      </c>
    </row>
    <row r="959">
      <c r="A959" s="49" t="n"/>
      <c r="B959" s="41" t="n"/>
      <c r="C959" s="41" t="n"/>
      <c r="D959" s="42" t="n"/>
      <c r="E959" s="42" t="n"/>
      <c r="F959" s="50" t="n"/>
      <c r="G959" s="42" t="n"/>
      <c r="H959" s="30">
        <f>IF(D959="","",IFERROR(INDEX(Config!$B$12:$B$15,MATCH(IF(AND(D959="Cartão de crédito",N(E959)&gt;1),"Cartão de crédito parcelado",D959),Config!$A$12:$A$15,0)),0)+IF(AND(Config!$B$17="Sim",LEFT(D959,17)="Cartão de crédito"),Config!$B$18*IFERROR(INDEX(Config!$C$12:$C$15,MATCH(IF(AND(D959="Cartão de crédito",N(E959)&gt;1),"Cartão de crédito parcelado",D959),Config!$A$12:$A$15,0)),0)/30*MAX(1,N(E959)),0))</f>
        <v/>
      </c>
      <c r="I959" s="29">
        <f>IF(OR(D959="",F959=""),"",ROUND(F959*H959,2))</f>
        <v/>
      </c>
      <c r="J959" s="29">
        <f>IF(I959="","",F959-I959)</f>
        <v/>
      </c>
      <c r="K959" s="29">
        <f>IF(J959="","",J959/MAX(1,N(E959)))</f>
        <v/>
      </c>
      <c r="L959" s="37">
        <f>IF(OR(D959="",A959=""),"",A959+IF(AND(Config!$B$17="Sim",LEFT(D959,17)="Cartão de crédito"),1,IFERROR(INDEX(Config!$C$12:$C$15,MATCH(IF(AND(D959="Cartão de crédito",N(E959)&gt;1),"Cartão de crédito parcelado",D959),Config!$A$12:$A$15,0)),0)))</f>
        <v/>
      </c>
      <c r="M959" s="37">
        <f>IF(L959="","",IF(AND(Config!$B$17="Sim",LEFT(D959,17)="Cartão de crédito"),L959,L959+30*(MAX(1,N(E959))-1)))</f>
        <v/>
      </c>
      <c r="N959" s="29">
        <f>IF(OR(L959="",K959=""),"",K959*MIN(MAX(1,N(E959)),MAX(0,INT((Config!$B$8-L959)/30)+1)))</f>
        <v/>
      </c>
      <c r="O959" s="29">
        <f>IF(J959="","",J959-N(N959))</f>
        <v/>
      </c>
      <c r="P959" s="27">
        <f>IF(A959="","",MONTH(A959))</f>
        <v/>
      </c>
      <c r="Q959" s="27">
        <f>IF(A959="","",YEAR(A959))</f>
        <v/>
      </c>
      <c r="R959" s="27">
        <f>IF(L959="","",IF(L959&gt;Config!$B$8,"A cair",IF(N(G959)&gt;=MIN(MAX(1,N(E959)),MAX(0,INT((Config!$B$8-L959)/30)+1)),IF(N(G959)&gt;=MAX(1,N(E959)),"Conferido","Conferido até aqui"),"A conferir")))</f>
        <v/>
      </c>
      <c r="S959" s="51">
        <f>IF(R959="A conferir",(Config!$B$8-L959)*1000+N(F959)/1000+ROW()/100000,0)</f>
        <v>0</v>
      </c>
      <c r="T959" s="51">
        <f>IF(R959="A conferir",N(N959),0)</f>
        <v>0</v>
      </c>
      <c r="U959" s="51">
        <f>IF(L959="",0,L959)</f>
        <v>0</v>
      </c>
      <c r="V959" s="51">
        <f>IF(L959="",0,MAX(1,N(E959)))</f>
        <v>0</v>
      </c>
      <c r="W959" s="51">
        <f>IF(K959="",0,K959)</f>
        <v>0</v>
      </c>
    </row>
    <row r="960">
      <c r="A960" s="49" t="n"/>
      <c r="B960" s="41" t="n"/>
      <c r="C960" s="41" t="n"/>
      <c r="D960" s="42" t="n"/>
      <c r="E960" s="42" t="n"/>
      <c r="F960" s="50" t="n"/>
      <c r="G960" s="42" t="n"/>
      <c r="H960" s="30">
        <f>IF(D960="","",IFERROR(INDEX(Config!$B$12:$B$15,MATCH(IF(AND(D960="Cartão de crédito",N(E960)&gt;1),"Cartão de crédito parcelado",D960),Config!$A$12:$A$15,0)),0)+IF(AND(Config!$B$17="Sim",LEFT(D960,17)="Cartão de crédito"),Config!$B$18*IFERROR(INDEX(Config!$C$12:$C$15,MATCH(IF(AND(D960="Cartão de crédito",N(E960)&gt;1),"Cartão de crédito parcelado",D960),Config!$A$12:$A$15,0)),0)/30*MAX(1,N(E960)),0))</f>
        <v/>
      </c>
      <c r="I960" s="29">
        <f>IF(OR(D960="",F960=""),"",ROUND(F960*H960,2))</f>
        <v/>
      </c>
      <c r="J960" s="29">
        <f>IF(I960="","",F960-I960)</f>
        <v/>
      </c>
      <c r="K960" s="29">
        <f>IF(J960="","",J960/MAX(1,N(E960)))</f>
        <v/>
      </c>
      <c r="L960" s="37">
        <f>IF(OR(D960="",A960=""),"",A960+IF(AND(Config!$B$17="Sim",LEFT(D960,17)="Cartão de crédito"),1,IFERROR(INDEX(Config!$C$12:$C$15,MATCH(IF(AND(D960="Cartão de crédito",N(E960)&gt;1),"Cartão de crédito parcelado",D960),Config!$A$12:$A$15,0)),0)))</f>
        <v/>
      </c>
      <c r="M960" s="37">
        <f>IF(L960="","",IF(AND(Config!$B$17="Sim",LEFT(D960,17)="Cartão de crédito"),L960,L960+30*(MAX(1,N(E960))-1)))</f>
        <v/>
      </c>
      <c r="N960" s="29">
        <f>IF(OR(L960="",K960=""),"",K960*MIN(MAX(1,N(E960)),MAX(0,INT((Config!$B$8-L960)/30)+1)))</f>
        <v/>
      </c>
      <c r="O960" s="29">
        <f>IF(J960="","",J960-N(N960))</f>
        <v/>
      </c>
      <c r="P960" s="27">
        <f>IF(A960="","",MONTH(A960))</f>
        <v/>
      </c>
      <c r="Q960" s="27">
        <f>IF(A960="","",YEAR(A960))</f>
        <v/>
      </c>
      <c r="R960" s="27">
        <f>IF(L960="","",IF(L960&gt;Config!$B$8,"A cair",IF(N(G960)&gt;=MIN(MAX(1,N(E960)),MAX(0,INT((Config!$B$8-L960)/30)+1)),IF(N(G960)&gt;=MAX(1,N(E960)),"Conferido","Conferido até aqui"),"A conferir")))</f>
        <v/>
      </c>
      <c r="S960" s="51">
        <f>IF(R960="A conferir",(Config!$B$8-L960)*1000+N(F960)/1000+ROW()/100000,0)</f>
        <v>0</v>
      </c>
      <c r="T960" s="51">
        <f>IF(R960="A conferir",N(N960),0)</f>
        <v>0</v>
      </c>
      <c r="U960" s="51">
        <f>IF(L960="",0,L960)</f>
        <v>0</v>
      </c>
      <c r="V960" s="51">
        <f>IF(L960="",0,MAX(1,N(E960)))</f>
        <v>0</v>
      </c>
      <c r="W960" s="51">
        <f>IF(K960="",0,K960)</f>
        <v>0</v>
      </c>
    </row>
    <row r="961">
      <c r="A961" s="49" t="n"/>
      <c r="B961" s="41" t="n"/>
      <c r="C961" s="41" t="n"/>
      <c r="D961" s="42" t="n"/>
      <c r="E961" s="42" t="n"/>
      <c r="F961" s="50" t="n"/>
      <c r="G961" s="42" t="n"/>
      <c r="H961" s="30">
        <f>IF(D961="","",IFERROR(INDEX(Config!$B$12:$B$15,MATCH(IF(AND(D961="Cartão de crédito",N(E961)&gt;1),"Cartão de crédito parcelado",D961),Config!$A$12:$A$15,0)),0)+IF(AND(Config!$B$17="Sim",LEFT(D961,17)="Cartão de crédito"),Config!$B$18*IFERROR(INDEX(Config!$C$12:$C$15,MATCH(IF(AND(D961="Cartão de crédito",N(E961)&gt;1),"Cartão de crédito parcelado",D961),Config!$A$12:$A$15,0)),0)/30*MAX(1,N(E961)),0))</f>
        <v/>
      </c>
      <c r="I961" s="29">
        <f>IF(OR(D961="",F961=""),"",ROUND(F961*H961,2))</f>
        <v/>
      </c>
      <c r="J961" s="29">
        <f>IF(I961="","",F961-I961)</f>
        <v/>
      </c>
      <c r="K961" s="29">
        <f>IF(J961="","",J961/MAX(1,N(E961)))</f>
        <v/>
      </c>
      <c r="L961" s="37">
        <f>IF(OR(D961="",A961=""),"",A961+IF(AND(Config!$B$17="Sim",LEFT(D961,17)="Cartão de crédito"),1,IFERROR(INDEX(Config!$C$12:$C$15,MATCH(IF(AND(D961="Cartão de crédito",N(E961)&gt;1),"Cartão de crédito parcelado",D961),Config!$A$12:$A$15,0)),0)))</f>
        <v/>
      </c>
      <c r="M961" s="37">
        <f>IF(L961="","",IF(AND(Config!$B$17="Sim",LEFT(D961,17)="Cartão de crédito"),L961,L961+30*(MAX(1,N(E961))-1)))</f>
        <v/>
      </c>
      <c r="N961" s="29">
        <f>IF(OR(L961="",K961=""),"",K961*MIN(MAX(1,N(E961)),MAX(0,INT((Config!$B$8-L961)/30)+1)))</f>
        <v/>
      </c>
      <c r="O961" s="29">
        <f>IF(J961="","",J961-N(N961))</f>
        <v/>
      </c>
      <c r="P961" s="27">
        <f>IF(A961="","",MONTH(A961))</f>
        <v/>
      </c>
      <c r="Q961" s="27">
        <f>IF(A961="","",YEAR(A961))</f>
        <v/>
      </c>
      <c r="R961" s="27">
        <f>IF(L961="","",IF(L961&gt;Config!$B$8,"A cair",IF(N(G961)&gt;=MIN(MAX(1,N(E961)),MAX(0,INT((Config!$B$8-L961)/30)+1)),IF(N(G961)&gt;=MAX(1,N(E961)),"Conferido","Conferido até aqui"),"A conferir")))</f>
        <v/>
      </c>
      <c r="S961" s="51">
        <f>IF(R961="A conferir",(Config!$B$8-L961)*1000+N(F961)/1000+ROW()/100000,0)</f>
        <v>0</v>
      </c>
      <c r="T961" s="51">
        <f>IF(R961="A conferir",N(N961),0)</f>
        <v>0</v>
      </c>
      <c r="U961" s="51">
        <f>IF(L961="",0,L961)</f>
        <v>0</v>
      </c>
      <c r="V961" s="51">
        <f>IF(L961="",0,MAX(1,N(E961)))</f>
        <v>0</v>
      </c>
      <c r="W961" s="51">
        <f>IF(K961="",0,K961)</f>
        <v>0</v>
      </c>
    </row>
    <row r="962">
      <c r="A962" s="49" t="n"/>
      <c r="B962" s="41" t="n"/>
      <c r="C962" s="41" t="n"/>
      <c r="D962" s="42" t="n"/>
      <c r="E962" s="42" t="n"/>
      <c r="F962" s="50" t="n"/>
      <c r="G962" s="42" t="n"/>
      <c r="H962" s="30">
        <f>IF(D962="","",IFERROR(INDEX(Config!$B$12:$B$15,MATCH(IF(AND(D962="Cartão de crédito",N(E962)&gt;1),"Cartão de crédito parcelado",D962),Config!$A$12:$A$15,0)),0)+IF(AND(Config!$B$17="Sim",LEFT(D962,17)="Cartão de crédito"),Config!$B$18*IFERROR(INDEX(Config!$C$12:$C$15,MATCH(IF(AND(D962="Cartão de crédito",N(E962)&gt;1),"Cartão de crédito parcelado",D962),Config!$A$12:$A$15,0)),0)/30*MAX(1,N(E962)),0))</f>
        <v/>
      </c>
      <c r="I962" s="29">
        <f>IF(OR(D962="",F962=""),"",ROUND(F962*H962,2))</f>
        <v/>
      </c>
      <c r="J962" s="29">
        <f>IF(I962="","",F962-I962)</f>
        <v/>
      </c>
      <c r="K962" s="29">
        <f>IF(J962="","",J962/MAX(1,N(E962)))</f>
        <v/>
      </c>
      <c r="L962" s="37">
        <f>IF(OR(D962="",A962=""),"",A962+IF(AND(Config!$B$17="Sim",LEFT(D962,17)="Cartão de crédito"),1,IFERROR(INDEX(Config!$C$12:$C$15,MATCH(IF(AND(D962="Cartão de crédito",N(E962)&gt;1),"Cartão de crédito parcelado",D962),Config!$A$12:$A$15,0)),0)))</f>
        <v/>
      </c>
      <c r="M962" s="37">
        <f>IF(L962="","",IF(AND(Config!$B$17="Sim",LEFT(D962,17)="Cartão de crédito"),L962,L962+30*(MAX(1,N(E962))-1)))</f>
        <v/>
      </c>
      <c r="N962" s="29">
        <f>IF(OR(L962="",K962=""),"",K962*MIN(MAX(1,N(E962)),MAX(0,INT((Config!$B$8-L962)/30)+1)))</f>
        <v/>
      </c>
      <c r="O962" s="29">
        <f>IF(J962="","",J962-N(N962))</f>
        <v/>
      </c>
      <c r="P962" s="27">
        <f>IF(A962="","",MONTH(A962))</f>
        <v/>
      </c>
      <c r="Q962" s="27">
        <f>IF(A962="","",YEAR(A962))</f>
        <v/>
      </c>
      <c r="R962" s="27">
        <f>IF(L962="","",IF(L962&gt;Config!$B$8,"A cair",IF(N(G962)&gt;=MIN(MAX(1,N(E962)),MAX(0,INT((Config!$B$8-L962)/30)+1)),IF(N(G962)&gt;=MAX(1,N(E962)),"Conferido","Conferido até aqui"),"A conferir")))</f>
        <v/>
      </c>
      <c r="S962" s="51">
        <f>IF(R962="A conferir",(Config!$B$8-L962)*1000+N(F962)/1000+ROW()/100000,0)</f>
        <v>0</v>
      </c>
      <c r="T962" s="51">
        <f>IF(R962="A conferir",N(N962),0)</f>
        <v>0</v>
      </c>
      <c r="U962" s="51">
        <f>IF(L962="",0,L962)</f>
        <v>0</v>
      </c>
      <c r="V962" s="51">
        <f>IF(L962="",0,MAX(1,N(E962)))</f>
        <v>0</v>
      </c>
      <c r="W962" s="51">
        <f>IF(K962="",0,K962)</f>
        <v>0</v>
      </c>
    </row>
    <row r="963">
      <c r="A963" s="49" t="n"/>
      <c r="B963" s="41" t="n"/>
      <c r="C963" s="41" t="n"/>
      <c r="D963" s="42" t="n"/>
      <c r="E963" s="42" t="n"/>
      <c r="F963" s="50" t="n"/>
      <c r="G963" s="42" t="n"/>
      <c r="H963" s="30">
        <f>IF(D963="","",IFERROR(INDEX(Config!$B$12:$B$15,MATCH(IF(AND(D963="Cartão de crédito",N(E963)&gt;1),"Cartão de crédito parcelado",D963),Config!$A$12:$A$15,0)),0)+IF(AND(Config!$B$17="Sim",LEFT(D963,17)="Cartão de crédito"),Config!$B$18*IFERROR(INDEX(Config!$C$12:$C$15,MATCH(IF(AND(D963="Cartão de crédito",N(E963)&gt;1),"Cartão de crédito parcelado",D963),Config!$A$12:$A$15,0)),0)/30*MAX(1,N(E963)),0))</f>
        <v/>
      </c>
      <c r="I963" s="29">
        <f>IF(OR(D963="",F963=""),"",ROUND(F963*H963,2))</f>
        <v/>
      </c>
      <c r="J963" s="29">
        <f>IF(I963="","",F963-I963)</f>
        <v/>
      </c>
      <c r="K963" s="29">
        <f>IF(J963="","",J963/MAX(1,N(E963)))</f>
        <v/>
      </c>
      <c r="L963" s="37">
        <f>IF(OR(D963="",A963=""),"",A963+IF(AND(Config!$B$17="Sim",LEFT(D963,17)="Cartão de crédito"),1,IFERROR(INDEX(Config!$C$12:$C$15,MATCH(IF(AND(D963="Cartão de crédito",N(E963)&gt;1),"Cartão de crédito parcelado",D963),Config!$A$12:$A$15,0)),0)))</f>
        <v/>
      </c>
      <c r="M963" s="37">
        <f>IF(L963="","",IF(AND(Config!$B$17="Sim",LEFT(D963,17)="Cartão de crédito"),L963,L963+30*(MAX(1,N(E963))-1)))</f>
        <v/>
      </c>
      <c r="N963" s="29">
        <f>IF(OR(L963="",K963=""),"",K963*MIN(MAX(1,N(E963)),MAX(0,INT((Config!$B$8-L963)/30)+1)))</f>
        <v/>
      </c>
      <c r="O963" s="29">
        <f>IF(J963="","",J963-N(N963))</f>
        <v/>
      </c>
      <c r="P963" s="27">
        <f>IF(A963="","",MONTH(A963))</f>
        <v/>
      </c>
      <c r="Q963" s="27">
        <f>IF(A963="","",YEAR(A963))</f>
        <v/>
      </c>
      <c r="R963" s="27">
        <f>IF(L963="","",IF(L963&gt;Config!$B$8,"A cair",IF(N(G963)&gt;=MIN(MAX(1,N(E963)),MAX(0,INT((Config!$B$8-L963)/30)+1)),IF(N(G963)&gt;=MAX(1,N(E963)),"Conferido","Conferido até aqui"),"A conferir")))</f>
        <v/>
      </c>
      <c r="S963" s="51">
        <f>IF(R963="A conferir",(Config!$B$8-L963)*1000+N(F963)/1000+ROW()/100000,0)</f>
        <v>0</v>
      </c>
      <c r="T963" s="51">
        <f>IF(R963="A conferir",N(N963),0)</f>
        <v>0</v>
      </c>
      <c r="U963" s="51">
        <f>IF(L963="",0,L963)</f>
        <v>0</v>
      </c>
      <c r="V963" s="51">
        <f>IF(L963="",0,MAX(1,N(E963)))</f>
        <v>0</v>
      </c>
      <c r="W963" s="51">
        <f>IF(K963="",0,K963)</f>
        <v>0</v>
      </c>
    </row>
    <row r="964">
      <c r="A964" s="49" t="n"/>
      <c r="B964" s="41" t="n"/>
      <c r="C964" s="41" t="n"/>
      <c r="D964" s="42" t="n"/>
      <c r="E964" s="42" t="n"/>
      <c r="F964" s="50" t="n"/>
      <c r="G964" s="42" t="n"/>
      <c r="H964" s="30">
        <f>IF(D964="","",IFERROR(INDEX(Config!$B$12:$B$15,MATCH(IF(AND(D964="Cartão de crédito",N(E964)&gt;1),"Cartão de crédito parcelado",D964),Config!$A$12:$A$15,0)),0)+IF(AND(Config!$B$17="Sim",LEFT(D964,17)="Cartão de crédito"),Config!$B$18*IFERROR(INDEX(Config!$C$12:$C$15,MATCH(IF(AND(D964="Cartão de crédito",N(E964)&gt;1),"Cartão de crédito parcelado",D964),Config!$A$12:$A$15,0)),0)/30*MAX(1,N(E964)),0))</f>
        <v/>
      </c>
      <c r="I964" s="29">
        <f>IF(OR(D964="",F964=""),"",ROUND(F964*H964,2))</f>
        <v/>
      </c>
      <c r="J964" s="29">
        <f>IF(I964="","",F964-I964)</f>
        <v/>
      </c>
      <c r="K964" s="29">
        <f>IF(J964="","",J964/MAX(1,N(E964)))</f>
        <v/>
      </c>
      <c r="L964" s="37">
        <f>IF(OR(D964="",A964=""),"",A964+IF(AND(Config!$B$17="Sim",LEFT(D964,17)="Cartão de crédito"),1,IFERROR(INDEX(Config!$C$12:$C$15,MATCH(IF(AND(D964="Cartão de crédito",N(E964)&gt;1),"Cartão de crédito parcelado",D964),Config!$A$12:$A$15,0)),0)))</f>
        <v/>
      </c>
      <c r="M964" s="37">
        <f>IF(L964="","",IF(AND(Config!$B$17="Sim",LEFT(D964,17)="Cartão de crédito"),L964,L964+30*(MAX(1,N(E964))-1)))</f>
        <v/>
      </c>
      <c r="N964" s="29">
        <f>IF(OR(L964="",K964=""),"",K964*MIN(MAX(1,N(E964)),MAX(0,INT((Config!$B$8-L964)/30)+1)))</f>
        <v/>
      </c>
      <c r="O964" s="29">
        <f>IF(J964="","",J964-N(N964))</f>
        <v/>
      </c>
      <c r="P964" s="27">
        <f>IF(A964="","",MONTH(A964))</f>
        <v/>
      </c>
      <c r="Q964" s="27">
        <f>IF(A964="","",YEAR(A964))</f>
        <v/>
      </c>
      <c r="R964" s="27">
        <f>IF(L964="","",IF(L964&gt;Config!$B$8,"A cair",IF(N(G964)&gt;=MIN(MAX(1,N(E964)),MAX(0,INT((Config!$B$8-L964)/30)+1)),IF(N(G964)&gt;=MAX(1,N(E964)),"Conferido","Conferido até aqui"),"A conferir")))</f>
        <v/>
      </c>
      <c r="S964" s="51">
        <f>IF(R964="A conferir",(Config!$B$8-L964)*1000+N(F964)/1000+ROW()/100000,0)</f>
        <v>0</v>
      </c>
      <c r="T964" s="51">
        <f>IF(R964="A conferir",N(N964),0)</f>
        <v>0</v>
      </c>
      <c r="U964" s="51">
        <f>IF(L964="",0,L964)</f>
        <v>0</v>
      </c>
      <c r="V964" s="51">
        <f>IF(L964="",0,MAX(1,N(E964)))</f>
        <v>0</v>
      </c>
      <c r="W964" s="51">
        <f>IF(K964="",0,K964)</f>
        <v>0</v>
      </c>
    </row>
    <row r="965">
      <c r="A965" s="49" t="n"/>
      <c r="B965" s="41" t="n"/>
      <c r="C965" s="41" t="n"/>
      <c r="D965" s="42" t="n"/>
      <c r="E965" s="42" t="n"/>
      <c r="F965" s="50" t="n"/>
      <c r="G965" s="42" t="n"/>
      <c r="H965" s="30">
        <f>IF(D965="","",IFERROR(INDEX(Config!$B$12:$B$15,MATCH(IF(AND(D965="Cartão de crédito",N(E965)&gt;1),"Cartão de crédito parcelado",D965),Config!$A$12:$A$15,0)),0)+IF(AND(Config!$B$17="Sim",LEFT(D965,17)="Cartão de crédito"),Config!$B$18*IFERROR(INDEX(Config!$C$12:$C$15,MATCH(IF(AND(D965="Cartão de crédito",N(E965)&gt;1),"Cartão de crédito parcelado",D965),Config!$A$12:$A$15,0)),0)/30*MAX(1,N(E965)),0))</f>
        <v/>
      </c>
      <c r="I965" s="29">
        <f>IF(OR(D965="",F965=""),"",ROUND(F965*H965,2))</f>
        <v/>
      </c>
      <c r="J965" s="29">
        <f>IF(I965="","",F965-I965)</f>
        <v/>
      </c>
      <c r="K965" s="29">
        <f>IF(J965="","",J965/MAX(1,N(E965)))</f>
        <v/>
      </c>
      <c r="L965" s="37">
        <f>IF(OR(D965="",A965=""),"",A965+IF(AND(Config!$B$17="Sim",LEFT(D965,17)="Cartão de crédito"),1,IFERROR(INDEX(Config!$C$12:$C$15,MATCH(IF(AND(D965="Cartão de crédito",N(E965)&gt;1),"Cartão de crédito parcelado",D965),Config!$A$12:$A$15,0)),0)))</f>
        <v/>
      </c>
      <c r="M965" s="37">
        <f>IF(L965="","",IF(AND(Config!$B$17="Sim",LEFT(D965,17)="Cartão de crédito"),L965,L965+30*(MAX(1,N(E965))-1)))</f>
        <v/>
      </c>
      <c r="N965" s="29">
        <f>IF(OR(L965="",K965=""),"",K965*MIN(MAX(1,N(E965)),MAX(0,INT((Config!$B$8-L965)/30)+1)))</f>
        <v/>
      </c>
      <c r="O965" s="29">
        <f>IF(J965="","",J965-N(N965))</f>
        <v/>
      </c>
      <c r="P965" s="27">
        <f>IF(A965="","",MONTH(A965))</f>
        <v/>
      </c>
      <c r="Q965" s="27">
        <f>IF(A965="","",YEAR(A965))</f>
        <v/>
      </c>
      <c r="R965" s="27">
        <f>IF(L965="","",IF(L965&gt;Config!$B$8,"A cair",IF(N(G965)&gt;=MIN(MAX(1,N(E965)),MAX(0,INT((Config!$B$8-L965)/30)+1)),IF(N(G965)&gt;=MAX(1,N(E965)),"Conferido","Conferido até aqui"),"A conferir")))</f>
        <v/>
      </c>
      <c r="S965" s="51">
        <f>IF(R965="A conferir",(Config!$B$8-L965)*1000+N(F965)/1000+ROW()/100000,0)</f>
        <v>0</v>
      </c>
      <c r="T965" s="51">
        <f>IF(R965="A conferir",N(N965),0)</f>
        <v>0</v>
      </c>
      <c r="U965" s="51">
        <f>IF(L965="",0,L965)</f>
        <v>0</v>
      </c>
      <c r="V965" s="51">
        <f>IF(L965="",0,MAX(1,N(E965)))</f>
        <v>0</v>
      </c>
      <c r="W965" s="51">
        <f>IF(K965="",0,K965)</f>
        <v>0</v>
      </c>
    </row>
    <row r="966">
      <c r="A966" s="49" t="n"/>
      <c r="B966" s="41" t="n"/>
      <c r="C966" s="41" t="n"/>
      <c r="D966" s="42" t="n"/>
      <c r="E966" s="42" t="n"/>
      <c r="F966" s="50" t="n"/>
      <c r="G966" s="42" t="n"/>
      <c r="H966" s="30">
        <f>IF(D966="","",IFERROR(INDEX(Config!$B$12:$B$15,MATCH(IF(AND(D966="Cartão de crédito",N(E966)&gt;1),"Cartão de crédito parcelado",D966),Config!$A$12:$A$15,0)),0)+IF(AND(Config!$B$17="Sim",LEFT(D966,17)="Cartão de crédito"),Config!$B$18*IFERROR(INDEX(Config!$C$12:$C$15,MATCH(IF(AND(D966="Cartão de crédito",N(E966)&gt;1),"Cartão de crédito parcelado",D966),Config!$A$12:$A$15,0)),0)/30*MAX(1,N(E966)),0))</f>
        <v/>
      </c>
      <c r="I966" s="29">
        <f>IF(OR(D966="",F966=""),"",ROUND(F966*H966,2))</f>
        <v/>
      </c>
      <c r="J966" s="29">
        <f>IF(I966="","",F966-I966)</f>
        <v/>
      </c>
      <c r="K966" s="29">
        <f>IF(J966="","",J966/MAX(1,N(E966)))</f>
        <v/>
      </c>
      <c r="L966" s="37">
        <f>IF(OR(D966="",A966=""),"",A966+IF(AND(Config!$B$17="Sim",LEFT(D966,17)="Cartão de crédito"),1,IFERROR(INDEX(Config!$C$12:$C$15,MATCH(IF(AND(D966="Cartão de crédito",N(E966)&gt;1),"Cartão de crédito parcelado",D966),Config!$A$12:$A$15,0)),0)))</f>
        <v/>
      </c>
      <c r="M966" s="37">
        <f>IF(L966="","",IF(AND(Config!$B$17="Sim",LEFT(D966,17)="Cartão de crédito"),L966,L966+30*(MAX(1,N(E966))-1)))</f>
        <v/>
      </c>
      <c r="N966" s="29">
        <f>IF(OR(L966="",K966=""),"",K966*MIN(MAX(1,N(E966)),MAX(0,INT((Config!$B$8-L966)/30)+1)))</f>
        <v/>
      </c>
      <c r="O966" s="29">
        <f>IF(J966="","",J966-N(N966))</f>
        <v/>
      </c>
      <c r="P966" s="27">
        <f>IF(A966="","",MONTH(A966))</f>
        <v/>
      </c>
      <c r="Q966" s="27">
        <f>IF(A966="","",YEAR(A966))</f>
        <v/>
      </c>
      <c r="R966" s="27">
        <f>IF(L966="","",IF(L966&gt;Config!$B$8,"A cair",IF(N(G966)&gt;=MIN(MAX(1,N(E966)),MAX(0,INT((Config!$B$8-L966)/30)+1)),IF(N(G966)&gt;=MAX(1,N(E966)),"Conferido","Conferido até aqui"),"A conferir")))</f>
        <v/>
      </c>
      <c r="S966" s="51">
        <f>IF(R966="A conferir",(Config!$B$8-L966)*1000+N(F966)/1000+ROW()/100000,0)</f>
        <v>0</v>
      </c>
      <c r="T966" s="51">
        <f>IF(R966="A conferir",N(N966),0)</f>
        <v>0</v>
      </c>
      <c r="U966" s="51">
        <f>IF(L966="",0,L966)</f>
        <v>0</v>
      </c>
      <c r="V966" s="51">
        <f>IF(L966="",0,MAX(1,N(E966)))</f>
        <v>0</v>
      </c>
      <c r="W966" s="51">
        <f>IF(K966="",0,K966)</f>
        <v>0</v>
      </c>
    </row>
    <row r="967">
      <c r="A967" s="49" t="n"/>
      <c r="B967" s="41" t="n"/>
      <c r="C967" s="41" t="n"/>
      <c r="D967" s="42" t="n"/>
      <c r="E967" s="42" t="n"/>
      <c r="F967" s="50" t="n"/>
      <c r="G967" s="42" t="n"/>
      <c r="H967" s="30">
        <f>IF(D967="","",IFERROR(INDEX(Config!$B$12:$B$15,MATCH(IF(AND(D967="Cartão de crédito",N(E967)&gt;1),"Cartão de crédito parcelado",D967),Config!$A$12:$A$15,0)),0)+IF(AND(Config!$B$17="Sim",LEFT(D967,17)="Cartão de crédito"),Config!$B$18*IFERROR(INDEX(Config!$C$12:$C$15,MATCH(IF(AND(D967="Cartão de crédito",N(E967)&gt;1),"Cartão de crédito parcelado",D967),Config!$A$12:$A$15,0)),0)/30*MAX(1,N(E967)),0))</f>
        <v/>
      </c>
      <c r="I967" s="29">
        <f>IF(OR(D967="",F967=""),"",ROUND(F967*H967,2))</f>
        <v/>
      </c>
      <c r="J967" s="29">
        <f>IF(I967="","",F967-I967)</f>
        <v/>
      </c>
      <c r="K967" s="29">
        <f>IF(J967="","",J967/MAX(1,N(E967)))</f>
        <v/>
      </c>
      <c r="L967" s="37">
        <f>IF(OR(D967="",A967=""),"",A967+IF(AND(Config!$B$17="Sim",LEFT(D967,17)="Cartão de crédito"),1,IFERROR(INDEX(Config!$C$12:$C$15,MATCH(IF(AND(D967="Cartão de crédito",N(E967)&gt;1),"Cartão de crédito parcelado",D967),Config!$A$12:$A$15,0)),0)))</f>
        <v/>
      </c>
      <c r="M967" s="37">
        <f>IF(L967="","",IF(AND(Config!$B$17="Sim",LEFT(D967,17)="Cartão de crédito"),L967,L967+30*(MAX(1,N(E967))-1)))</f>
        <v/>
      </c>
      <c r="N967" s="29">
        <f>IF(OR(L967="",K967=""),"",K967*MIN(MAX(1,N(E967)),MAX(0,INT((Config!$B$8-L967)/30)+1)))</f>
        <v/>
      </c>
      <c r="O967" s="29">
        <f>IF(J967="","",J967-N(N967))</f>
        <v/>
      </c>
      <c r="P967" s="27">
        <f>IF(A967="","",MONTH(A967))</f>
        <v/>
      </c>
      <c r="Q967" s="27">
        <f>IF(A967="","",YEAR(A967))</f>
        <v/>
      </c>
      <c r="R967" s="27">
        <f>IF(L967="","",IF(L967&gt;Config!$B$8,"A cair",IF(N(G967)&gt;=MIN(MAX(1,N(E967)),MAX(0,INT((Config!$B$8-L967)/30)+1)),IF(N(G967)&gt;=MAX(1,N(E967)),"Conferido","Conferido até aqui"),"A conferir")))</f>
        <v/>
      </c>
      <c r="S967" s="51">
        <f>IF(R967="A conferir",(Config!$B$8-L967)*1000+N(F967)/1000+ROW()/100000,0)</f>
        <v>0</v>
      </c>
      <c r="T967" s="51">
        <f>IF(R967="A conferir",N(N967),0)</f>
        <v>0</v>
      </c>
      <c r="U967" s="51">
        <f>IF(L967="",0,L967)</f>
        <v>0</v>
      </c>
      <c r="V967" s="51">
        <f>IF(L967="",0,MAX(1,N(E967)))</f>
        <v>0</v>
      </c>
      <c r="W967" s="51">
        <f>IF(K967="",0,K967)</f>
        <v>0</v>
      </c>
    </row>
    <row r="968">
      <c r="A968" s="49" t="n"/>
      <c r="B968" s="41" t="n"/>
      <c r="C968" s="41" t="n"/>
      <c r="D968" s="42" t="n"/>
      <c r="E968" s="42" t="n"/>
      <c r="F968" s="50" t="n"/>
      <c r="G968" s="42" t="n"/>
      <c r="H968" s="30">
        <f>IF(D968="","",IFERROR(INDEX(Config!$B$12:$B$15,MATCH(IF(AND(D968="Cartão de crédito",N(E968)&gt;1),"Cartão de crédito parcelado",D968),Config!$A$12:$A$15,0)),0)+IF(AND(Config!$B$17="Sim",LEFT(D968,17)="Cartão de crédito"),Config!$B$18*IFERROR(INDEX(Config!$C$12:$C$15,MATCH(IF(AND(D968="Cartão de crédito",N(E968)&gt;1),"Cartão de crédito parcelado",D968),Config!$A$12:$A$15,0)),0)/30*MAX(1,N(E968)),0))</f>
        <v/>
      </c>
      <c r="I968" s="29">
        <f>IF(OR(D968="",F968=""),"",ROUND(F968*H968,2))</f>
        <v/>
      </c>
      <c r="J968" s="29">
        <f>IF(I968="","",F968-I968)</f>
        <v/>
      </c>
      <c r="K968" s="29">
        <f>IF(J968="","",J968/MAX(1,N(E968)))</f>
        <v/>
      </c>
      <c r="L968" s="37">
        <f>IF(OR(D968="",A968=""),"",A968+IF(AND(Config!$B$17="Sim",LEFT(D968,17)="Cartão de crédito"),1,IFERROR(INDEX(Config!$C$12:$C$15,MATCH(IF(AND(D968="Cartão de crédito",N(E968)&gt;1),"Cartão de crédito parcelado",D968),Config!$A$12:$A$15,0)),0)))</f>
        <v/>
      </c>
      <c r="M968" s="37">
        <f>IF(L968="","",IF(AND(Config!$B$17="Sim",LEFT(D968,17)="Cartão de crédito"),L968,L968+30*(MAX(1,N(E968))-1)))</f>
        <v/>
      </c>
      <c r="N968" s="29">
        <f>IF(OR(L968="",K968=""),"",K968*MIN(MAX(1,N(E968)),MAX(0,INT((Config!$B$8-L968)/30)+1)))</f>
        <v/>
      </c>
      <c r="O968" s="29">
        <f>IF(J968="","",J968-N(N968))</f>
        <v/>
      </c>
      <c r="P968" s="27">
        <f>IF(A968="","",MONTH(A968))</f>
        <v/>
      </c>
      <c r="Q968" s="27">
        <f>IF(A968="","",YEAR(A968))</f>
        <v/>
      </c>
      <c r="R968" s="27">
        <f>IF(L968="","",IF(L968&gt;Config!$B$8,"A cair",IF(N(G968)&gt;=MIN(MAX(1,N(E968)),MAX(0,INT((Config!$B$8-L968)/30)+1)),IF(N(G968)&gt;=MAX(1,N(E968)),"Conferido","Conferido até aqui"),"A conferir")))</f>
        <v/>
      </c>
      <c r="S968" s="51">
        <f>IF(R968="A conferir",(Config!$B$8-L968)*1000+N(F968)/1000+ROW()/100000,0)</f>
        <v>0</v>
      </c>
      <c r="T968" s="51">
        <f>IF(R968="A conferir",N(N968),0)</f>
        <v>0</v>
      </c>
      <c r="U968" s="51">
        <f>IF(L968="",0,L968)</f>
        <v>0</v>
      </c>
      <c r="V968" s="51">
        <f>IF(L968="",0,MAX(1,N(E968)))</f>
        <v>0</v>
      </c>
      <c r="W968" s="51">
        <f>IF(K968="",0,K968)</f>
        <v>0</v>
      </c>
    </row>
    <row r="969">
      <c r="A969" s="49" t="n"/>
      <c r="B969" s="41" t="n"/>
      <c r="C969" s="41" t="n"/>
      <c r="D969" s="42" t="n"/>
      <c r="E969" s="42" t="n"/>
      <c r="F969" s="50" t="n"/>
      <c r="G969" s="42" t="n"/>
      <c r="H969" s="30">
        <f>IF(D969="","",IFERROR(INDEX(Config!$B$12:$B$15,MATCH(IF(AND(D969="Cartão de crédito",N(E969)&gt;1),"Cartão de crédito parcelado",D969),Config!$A$12:$A$15,0)),0)+IF(AND(Config!$B$17="Sim",LEFT(D969,17)="Cartão de crédito"),Config!$B$18*IFERROR(INDEX(Config!$C$12:$C$15,MATCH(IF(AND(D969="Cartão de crédito",N(E969)&gt;1),"Cartão de crédito parcelado",D969),Config!$A$12:$A$15,0)),0)/30*MAX(1,N(E969)),0))</f>
        <v/>
      </c>
      <c r="I969" s="29">
        <f>IF(OR(D969="",F969=""),"",ROUND(F969*H969,2))</f>
        <v/>
      </c>
      <c r="J969" s="29">
        <f>IF(I969="","",F969-I969)</f>
        <v/>
      </c>
      <c r="K969" s="29">
        <f>IF(J969="","",J969/MAX(1,N(E969)))</f>
        <v/>
      </c>
      <c r="L969" s="37">
        <f>IF(OR(D969="",A969=""),"",A969+IF(AND(Config!$B$17="Sim",LEFT(D969,17)="Cartão de crédito"),1,IFERROR(INDEX(Config!$C$12:$C$15,MATCH(IF(AND(D969="Cartão de crédito",N(E969)&gt;1),"Cartão de crédito parcelado",D969),Config!$A$12:$A$15,0)),0)))</f>
        <v/>
      </c>
      <c r="M969" s="37">
        <f>IF(L969="","",IF(AND(Config!$B$17="Sim",LEFT(D969,17)="Cartão de crédito"),L969,L969+30*(MAX(1,N(E969))-1)))</f>
        <v/>
      </c>
      <c r="N969" s="29">
        <f>IF(OR(L969="",K969=""),"",K969*MIN(MAX(1,N(E969)),MAX(0,INT((Config!$B$8-L969)/30)+1)))</f>
        <v/>
      </c>
      <c r="O969" s="29">
        <f>IF(J969="","",J969-N(N969))</f>
        <v/>
      </c>
      <c r="P969" s="27">
        <f>IF(A969="","",MONTH(A969))</f>
        <v/>
      </c>
      <c r="Q969" s="27">
        <f>IF(A969="","",YEAR(A969))</f>
        <v/>
      </c>
      <c r="R969" s="27">
        <f>IF(L969="","",IF(L969&gt;Config!$B$8,"A cair",IF(N(G969)&gt;=MIN(MAX(1,N(E969)),MAX(0,INT((Config!$B$8-L969)/30)+1)),IF(N(G969)&gt;=MAX(1,N(E969)),"Conferido","Conferido até aqui"),"A conferir")))</f>
        <v/>
      </c>
      <c r="S969" s="51">
        <f>IF(R969="A conferir",(Config!$B$8-L969)*1000+N(F969)/1000+ROW()/100000,0)</f>
        <v>0</v>
      </c>
      <c r="T969" s="51">
        <f>IF(R969="A conferir",N(N969),0)</f>
        <v>0</v>
      </c>
      <c r="U969" s="51">
        <f>IF(L969="",0,L969)</f>
        <v>0</v>
      </c>
      <c r="V969" s="51">
        <f>IF(L969="",0,MAX(1,N(E969)))</f>
        <v>0</v>
      </c>
      <c r="W969" s="51">
        <f>IF(K969="",0,K969)</f>
        <v>0</v>
      </c>
    </row>
    <row r="970">
      <c r="A970" s="49" t="n"/>
      <c r="B970" s="41" t="n"/>
      <c r="C970" s="41" t="n"/>
      <c r="D970" s="42" t="n"/>
      <c r="E970" s="42" t="n"/>
      <c r="F970" s="50" t="n"/>
      <c r="G970" s="42" t="n"/>
      <c r="H970" s="30">
        <f>IF(D970="","",IFERROR(INDEX(Config!$B$12:$B$15,MATCH(IF(AND(D970="Cartão de crédito",N(E970)&gt;1),"Cartão de crédito parcelado",D970),Config!$A$12:$A$15,0)),0)+IF(AND(Config!$B$17="Sim",LEFT(D970,17)="Cartão de crédito"),Config!$B$18*IFERROR(INDEX(Config!$C$12:$C$15,MATCH(IF(AND(D970="Cartão de crédito",N(E970)&gt;1),"Cartão de crédito parcelado",D970),Config!$A$12:$A$15,0)),0)/30*MAX(1,N(E970)),0))</f>
        <v/>
      </c>
      <c r="I970" s="29">
        <f>IF(OR(D970="",F970=""),"",ROUND(F970*H970,2))</f>
        <v/>
      </c>
      <c r="J970" s="29">
        <f>IF(I970="","",F970-I970)</f>
        <v/>
      </c>
      <c r="K970" s="29">
        <f>IF(J970="","",J970/MAX(1,N(E970)))</f>
        <v/>
      </c>
      <c r="L970" s="37">
        <f>IF(OR(D970="",A970=""),"",A970+IF(AND(Config!$B$17="Sim",LEFT(D970,17)="Cartão de crédito"),1,IFERROR(INDEX(Config!$C$12:$C$15,MATCH(IF(AND(D970="Cartão de crédito",N(E970)&gt;1),"Cartão de crédito parcelado",D970),Config!$A$12:$A$15,0)),0)))</f>
        <v/>
      </c>
      <c r="M970" s="37">
        <f>IF(L970="","",IF(AND(Config!$B$17="Sim",LEFT(D970,17)="Cartão de crédito"),L970,L970+30*(MAX(1,N(E970))-1)))</f>
        <v/>
      </c>
      <c r="N970" s="29">
        <f>IF(OR(L970="",K970=""),"",K970*MIN(MAX(1,N(E970)),MAX(0,INT((Config!$B$8-L970)/30)+1)))</f>
        <v/>
      </c>
      <c r="O970" s="29">
        <f>IF(J970="","",J970-N(N970))</f>
        <v/>
      </c>
      <c r="P970" s="27">
        <f>IF(A970="","",MONTH(A970))</f>
        <v/>
      </c>
      <c r="Q970" s="27">
        <f>IF(A970="","",YEAR(A970))</f>
        <v/>
      </c>
      <c r="R970" s="27">
        <f>IF(L970="","",IF(L970&gt;Config!$B$8,"A cair",IF(N(G970)&gt;=MIN(MAX(1,N(E970)),MAX(0,INT((Config!$B$8-L970)/30)+1)),IF(N(G970)&gt;=MAX(1,N(E970)),"Conferido","Conferido até aqui"),"A conferir")))</f>
        <v/>
      </c>
      <c r="S970" s="51">
        <f>IF(R970="A conferir",(Config!$B$8-L970)*1000+N(F970)/1000+ROW()/100000,0)</f>
        <v>0</v>
      </c>
      <c r="T970" s="51">
        <f>IF(R970="A conferir",N(N970),0)</f>
        <v>0</v>
      </c>
      <c r="U970" s="51">
        <f>IF(L970="",0,L970)</f>
        <v>0</v>
      </c>
      <c r="V970" s="51">
        <f>IF(L970="",0,MAX(1,N(E970)))</f>
        <v>0</v>
      </c>
      <c r="W970" s="51">
        <f>IF(K970="",0,K970)</f>
        <v>0</v>
      </c>
    </row>
    <row r="971">
      <c r="A971" s="49" t="n"/>
      <c r="B971" s="41" t="n"/>
      <c r="C971" s="41" t="n"/>
      <c r="D971" s="42" t="n"/>
      <c r="E971" s="42" t="n"/>
      <c r="F971" s="50" t="n"/>
      <c r="G971" s="42" t="n"/>
      <c r="H971" s="30">
        <f>IF(D971="","",IFERROR(INDEX(Config!$B$12:$B$15,MATCH(IF(AND(D971="Cartão de crédito",N(E971)&gt;1),"Cartão de crédito parcelado",D971),Config!$A$12:$A$15,0)),0)+IF(AND(Config!$B$17="Sim",LEFT(D971,17)="Cartão de crédito"),Config!$B$18*IFERROR(INDEX(Config!$C$12:$C$15,MATCH(IF(AND(D971="Cartão de crédito",N(E971)&gt;1),"Cartão de crédito parcelado",D971),Config!$A$12:$A$15,0)),0)/30*MAX(1,N(E971)),0))</f>
        <v/>
      </c>
      <c r="I971" s="29">
        <f>IF(OR(D971="",F971=""),"",ROUND(F971*H971,2))</f>
        <v/>
      </c>
      <c r="J971" s="29">
        <f>IF(I971="","",F971-I971)</f>
        <v/>
      </c>
      <c r="K971" s="29">
        <f>IF(J971="","",J971/MAX(1,N(E971)))</f>
        <v/>
      </c>
      <c r="L971" s="37">
        <f>IF(OR(D971="",A971=""),"",A971+IF(AND(Config!$B$17="Sim",LEFT(D971,17)="Cartão de crédito"),1,IFERROR(INDEX(Config!$C$12:$C$15,MATCH(IF(AND(D971="Cartão de crédito",N(E971)&gt;1),"Cartão de crédito parcelado",D971),Config!$A$12:$A$15,0)),0)))</f>
        <v/>
      </c>
      <c r="M971" s="37">
        <f>IF(L971="","",IF(AND(Config!$B$17="Sim",LEFT(D971,17)="Cartão de crédito"),L971,L971+30*(MAX(1,N(E971))-1)))</f>
        <v/>
      </c>
      <c r="N971" s="29">
        <f>IF(OR(L971="",K971=""),"",K971*MIN(MAX(1,N(E971)),MAX(0,INT((Config!$B$8-L971)/30)+1)))</f>
        <v/>
      </c>
      <c r="O971" s="29">
        <f>IF(J971="","",J971-N(N971))</f>
        <v/>
      </c>
      <c r="P971" s="27">
        <f>IF(A971="","",MONTH(A971))</f>
        <v/>
      </c>
      <c r="Q971" s="27">
        <f>IF(A971="","",YEAR(A971))</f>
        <v/>
      </c>
      <c r="R971" s="27">
        <f>IF(L971="","",IF(L971&gt;Config!$B$8,"A cair",IF(N(G971)&gt;=MIN(MAX(1,N(E971)),MAX(0,INT((Config!$B$8-L971)/30)+1)),IF(N(G971)&gt;=MAX(1,N(E971)),"Conferido","Conferido até aqui"),"A conferir")))</f>
        <v/>
      </c>
      <c r="S971" s="51">
        <f>IF(R971="A conferir",(Config!$B$8-L971)*1000+N(F971)/1000+ROW()/100000,0)</f>
        <v>0</v>
      </c>
      <c r="T971" s="51">
        <f>IF(R971="A conferir",N(N971),0)</f>
        <v>0</v>
      </c>
      <c r="U971" s="51">
        <f>IF(L971="",0,L971)</f>
        <v>0</v>
      </c>
      <c r="V971" s="51">
        <f>IF(L971="",0,MAX(1,N(E971)))</f>
        <v>0</v>
      </c>
      <c r="W971" s="51">
        <f>IF(K971="",0,K971)</f>
        <v>0</v>
      </c>
    </row>
    <row r="972">
      <c r="A972" s="49" t="n"/>
      <c r="B972" s="41" t="n"/>
      <c r="C972" s="41" t="n"/>
      <c r="D972" s="42" t="n"/>
      <c r="E972" s="42" t="n"/>
      <c r="F972" s="50" t="n"/>
      <c r="G972" s="42" t="n"/>
      <c r="H972" s="30">
        <f>IF(D972="","",IFERROR(INDEX(Config!$B$12:$B$15,MATCH(IF(AND(D972="Cartão de crédito",N(E972)&gt;1),"Cartão de crédito parcelado",D972),Config!$A$12:$A$15,0)),0)+IF(AND(Config!$B$17="Sim",LEFT(D972,17)="Cartão de crédito"),Config!$B$18*IFERROR(INDEX(Config!$C$12:$C$15,MATCH(IF(AND(D972="Cartão de crédito",N(E972)&gt;1),"Cartão de crédito parcelado",D972),Config!$A$12:$A$15,0)),0)/30*MAX(1,N(E972)),0))</f>
        <v/>
      </c>
      <c r="I972" s="29">
        <f>IF(OR(D972="",F972=""),"",ROUND(F972*H972,2))</f>
        <v/>
      </c>
      <c r="J972" s="29">
        <f>IF(I972="","",F972-I972)</f>
        <v/>
      </c>
      <c r="K972" s="29">
        <f>IF(J972="","",J972/MAX(1,N(E972)))</f>
        <v/>
      </c>
      <c r="L972" s="37">
        <f>IF(OR(D972="",A972=""),"",A972+IF(AND(Config!$B$17="Sim",LEFT(D972,17)="Cartão de crédito"),1,IFERROR(INDEX(Config!$C$12:$C$15,MATCH(IF(AND(D972="Cartão de crédito",N(E972)&gt;1),"Cartão de crédito parcelado",D972),Config!$A$12:$A$15,0)),0)))</f>
        <v/>
      </c>
      <c r="M972" s="37">
        <f>IF(L972="","",IF(AND(Config!$B$17="Sim",LEFT(D972,17)="Cartão de crédito"),L972,L972+30*(MAX(1,N(E972))-1)))</f>
        <v/>
      </c>
      <c r="N972" s="29">
        <f>IF(OR(L972="",K972=""),"",K972*MIN(MAX(1,N(E972)),MAX(0,INT((Config!$B$8-L972)/30)+1)))</f>
        <v/>
      </c>
      <c r="O972" s="29">
        <f>IF(J972="","",J972-N(N972))</f>
        <v/>
      </c>
      <c r="P972" s="27">
        <f>IF(A972="","",MONTH(A972))</f>
        <v/>
      </c>
      <c r="Q972" s="27">
        <f>IF(A972="","",YEAR(A972))</f>
        <v/>
      </c>
      <c r="R972" s="27">
        <f>IF(L972="","",IF(L972&gt;Config!$B$8,"A cair",IF(N(G972)&gt;=MIN(MAX(1,N(E972)),MAX(0,INT((Config!$B$8-L972)/30)+1)),IF(N(G972)&gt;=MAX(1,N(E972)),"Conferido","Conferido até aqui"),"A conferir")))</f>
        <v/>
      </c>
      <c r="S972" s="51">
        <f>IF(R972="A conferir",(Config!$B$8-L972)*1000+N(F972)/1000+ROW()/100000,0)</f>
        <v>0</v>
      </c>
      <c r="T972" s="51">
        <f>IF(R972="A conferir",N(N972),0)</f>
        <v>0</v>
      </c>
      <c r="U972" s="51">
        <f>IF(L972="",0,L972)</f>
        <v>0</v>
      </c>
      <c r="V972" s="51">
        <f>IF(L972="",0,MAX(1,N(E972)))</f>
        <v>0</v>
      </c>
      <c r="W972" s="51">
        <f>IF(K972="",0,K972)</f>
        <v>0</v>
      </c>
    </row>
    <row r="973">
      <c r="A973" s="49" t="n"/>
      <c r="B973" s="41" t="n"/>
      <c r="C973" s="41" t="n"/>
      <c r="D973" s="42" t="n"/>
      <c r="E973" s="42" t="n"/>
      <c r="F973" s="50" t="n"/>
      <c r="G973" s="42" t="n"/>
      <c r="H973" s="30">
        <f>IF(D973="","",IFERROR(INDEX(Config!$B$12:$B$15,MATCH(IF(AND(D973="Cartão de crédito",N(E973)&gt;1),"Cartão de crédito parcelado",D973),Config!$A$12:$A$15,0)),0)+IF(AND(Config!$B$17="Sim",LEFT(D973,17)="Cartão de crédito"),Config!$B$18*IFERROR(INDEX(Config!$C$12:$C$15,MATCH(IF(AND(D973="Cartão de crédito",N(E973)&gt;1),"Cartão de crédito parcelado",D973),Config!$A$12:$A$15,0)),0)/30*MAX(1,N(E973)),0))</f>
        <v/>
      </c>
      <c r="I973" s="29">
        <f>IF(OR(D973="",F973=""),"",ROUND(F973*H973,2))</f>
        <v/>
      </c>
      <c r="J973" s="29">
        <f>IF(I973="","",F973-I973)</f>
        <v/>
      </c>
      <c r="K973" s="29">
        <f>IF(J973="","",J973/MAX(1,N(E973)))</f>
        <v/>
      </c>
      <c r="L973" s="37">
        <f>IF(OR(D973="",A973=""),"",A973+IF(AND(Config!$B$17="Sim",LEFT(D973,17)="Cartão de crédito"),1,IFERROR(INDEX(Config!$C$12:$C$15,MATCH(IF(AND(D973="Cartão de crédito",N(E973)&gt;1),"Cartão de crédito parcelado",D973),Config!$A$12:$A$15,0)),0)))</f>
        <v/>
      </c>
      <c r="M973" s="37">
        <f>IF(L973="","",IF(AND(Config!$B$17="Sim",LEFT(D973,17)="Cartão de crédito"),L973,L973+30*(MAX(1,N(E973))-1)))</f>
        <v/>
      </c>
      <c r="N973" s="29">
        <f>IF(OR(L973="",K973=""),"",K973*MIN(MAX(1,N(E973)),MAX(0,INT((Config!$B$8-L973)/30)+1)))</f>
        <v/>
      </c>
      <c r="O973" s="29">
        <f>IF(J973="","",J973-N(N973))</f>
        <v/>
      </c>
      <c r="P973" s="27">
        <f>IF(A973="","",MONTH(A973))</f>
        <v/>
      </c>
      <c r="Q973" s="27">
        <f>IF(A973="","",YEAR(A973))</f>
        <v/>
      </c>
      <c r="R973" s="27">
        <f>IF(L973="","",IF(L973&gt;Config!$B$8,"A cair",IF(N(G973)&gt;=MIN(MAX(1,N(E973)),MAX(0,INT((Config!$B$8-L973)/30)+1)),IF(N(G973)&gt;=MAX(1,N(E973)),"Conferido","Conferido até aqui"),"A conferir")))</f>
        <v/>
      </c>
      <c r="S973" s="51">
        <f>IF(R973="A conferir",(Config!$B$8-L973)*1000+N(F973)/1000+ROW()/100000,0)</f>
        <v>0</v>
      </c>
      <c r="T973" s="51">
        <f>IF(R973="A conferir",N(N973),0)</f>
        <v>0</v>
      </c>
      <c r="U973" s="51">
        <f>IF(L973="",0,L973)</f>
        <v>0</v>
      </c>
      <c r="V973" s="51">
        <f>IF(L973="",0,MAX(1,N(E973)))</f>
        <v>0</v>
      </c>
      <c r="W973" s="51">
        <f>IF(K973="",0,K973)</f>
        <v>0</v>
      </c>
    </row>
    <row r="974">
      <c r="A974" s="49" t="n"/>
      <c r="B974" s="41" t="n"/>
      <c r="C974" s="41" t="n"/>
      <c r="D974" s="42" t="n"/>
      <c r="E974" s="42" t="n"/>
      <c r="F974" s="50" t="n"/>
      <c r="G974" s="42" t="n"/>
      <c r="H974" s="30">
        <f>IF(D974="","",IFERROR(INDEX(Config!$B$12:$B$15,MATCH(IF(AND(D974="Cartão de crédito",N(E974)&gt;1),"Cartão de crédito parcelado",D974),Config!$A$12:$A$15,0)),0)+IF(AND(Config!$B$17="Sim",LEFT(D974,17)="Cartão de crédito"),Config!$B$18*IFERROR(INDEX(Config!$C$12:$C$15,MATCH(IF(AND(D974="Cartão de crédito",N(E974)&gt;1),"Cartão de crédito parcelado",D974),Config!$A$12:$A$15,0)),0)/30*MAX(1,N(E974)),0))</f>
        <v/>
      </c>
      <c r="I974" s="29">
        <f>IF(OR(D974="",F974=""),"",ROUND(F974*H974,2))</f>
        <v/>
      </c>
      <c r="J974" s="29">
        <f>IF(I974="","",F974-I974)</f>
        <v/>
      </c>
      <c r="K974" s="29">
        <f>IF(J974="","",J974/MAX(1,N(E974)))</f>
        <v/>
      </c>
      <c r="L974" s="37">
        <f>IF(OR(D974="",A974=""),"",A974+IF(AND(Config!$B$17="Sim",LEFT(D974,17)="Cartão de crédito"),1,IFERROR(INDEX(Config!$C$12:$C$15,MATCH(IF(AND(D974="Cartão de crédito",N(E974)&gt;1),"Cartão de crédito parcelado",D974),Config!$A$12:$A$15,0)),0)))</f>
        <v/>
      </c>
      <c r="M974" s="37">
        <f>IF(L974="","",IF(AND(Config!$B$17="Sim",LEFT(D974,17)="Cartão de crédito"),L974,L974+30*(MAX(1,N(E974))-1)))</f>
        <v/>
      </c>
      <c r="N974" s="29">
        <f>IF(OR(L974="",K974=""),"",K974*MIN(MAX(1,N(E974)),MAX(0,INT((Config!$B$8-L974)/30)+1)))</f>
        <v/>
      </c>
      <c r="O974" s="29">
        <f>IF(J974="","",J974-N(N974))</f>
        <v/>
      </c>
      <c r="P974" s="27">
        <f>IF(A974="","",MONTH(A974))</f>
        <v/>
      </c>
      <c r="Q974" s="27">
        <f>IF(A974="","",YEAR(A974))</f>
        <v/>
      </c>
      <c r="R974" s="27">
        <f>IF(L974="","",IF(L974&gt;Config!$B$8,"A cair",IF(N(G974)&gt;=MIN(MAX(1,N(E974)),MAX(0,INT((Config!$B$8-L974)/30)+1)),IF(N(G974)&gt;=MAX(1,N(E974)),"Conferido","Conferido até aqui"),"A conferir")))</f>
        <v/>
      </c>
      <c r="S974" s="51">
        <f>IF(R974="A conferir",(Config!$B$8-L974)*1000+N(F974)/1000+ROW()/100000,0)</f>
        <v>0</v>
      </c>
      <c r="T974" s="51">
        <f>IF(R974="A conferir",N(N974),0)</f>
        <v>0</v>
      </c>
      <c r="U974" s="51">
        <f>IF(L974="",0,L974)</f>
        <v>0</v>
      </c>
      <c r="V974" s="51">
        <f>IF(L974="",0,MAX(1,N(E974)))</f>
        <v>0</v>
      </c>
      <c r="W974" s="51">
        <f>IF(K974="",0,K974)</f>
        <v>0</v>
      </c>
    </row>
    <row r="975">
      <c r="A975" s="49" t="n"/>
      <c r="B975" s="41" t="n"/>
      <c r="C975" s="41" t="n"/>
      <c r="D975" s="42" t="n"/>
      <c r="E975" s="42" t="n"/>
      <c r="F975" s="50" t="n"/>
      <c r="G975" s="42" t="n"/>
      <c r="H975" s="30">
        <f>IF(D975="","",IFERROR(INDEX(Config!$B$12:$B$15,MATCH(IF(AND(D975="Cartão de crédito",N(E975)&gt;1),"Cartão de crédito parcelado",D975),Config!$A$12:$A$15,0)),0)+IF(AND(Config!$B$17="Sim",LEFT(D975,17)="Cartão de crédito"),Config!$B$18*IFERROR(INDEX(Config!$C$12:$C$15,MATCH(IF(AND(D975="Cartão de crédito",N(E975)&gt;1),"Cartão de crédito parcelado",D975),Config!$A$12:$A$15,0)),0)/30*MAX(1,N(E975)),0))</f>
        <v/>
      </c>
      <c r="I975" s="29">
        <f>IF(OR(D975="",F975=""),"",ROUND(F975*H975,2))</f>
        <v/>
      </c>
      <c r="J975" s="29">
        <f>IF(I975="","",F975-I975)</f>
        <v/>
      </c>
      <c r="K975" s="29">
        <f>IF(J975="","",J975/MAX(1,N(E975)))</f>
        <v/>
      </c>
      <c r="L975" s="37">
        <f>IF(OR(D975="",A975=""),"",A975+IF(AND(Config!$B$17="Sim",LEFT(D975,17)="Cartão de crédito"),1,IFERROR(INDEX(Config!$C$12:$C$15,MATCH(IF(AND(D975="Cartão de crédito",N(E975)&gt;1),"Cartão de crédito parcelado",D975),Config!$A$12:$A$15,0)),0)))</f>
        <v/>
      </c>
      <c r="M975" s="37">
        <f>IF(L975="","",IF(AND(Config!$B$17="Sim",LEFT(D975,17)="Cartão de crédito"),L975,L975+30*(MAX(1,N(E975))-1)))</f>
        <v/>
      </c>
      <c r="N975" s="29">
        <f>IF(OR(L975="",K975=""),"",K975*MIN(MAX(1,N(E975)),MAX(0,INT((Config!$B$8-L975)/30)+1)))</f>
        <v/>
      </c>
      <c r="O975" s="29">
        <f>IF(J975="","",J975-N(N975))</f>
        <v/>
      </c>
      <c r="P975" s="27">
        <f>IF(A975="","",MONTH(A975))</f>
        <v/>
      </c>
      <c r="Q975" s="27">
        <f>IF(A975="","",YEAR(A975))</f>
        <v/>
      </c>
      <c r="R975" s="27">
        <f>IF(L975="","",IF(L975&gt;Config!$B$8,"A cair",IF(N(G975)&gt;=MIN(MAX(1,N(E975)),MAX(0,INT((Config!$B$8-L975)/30)+1)),IF(N(G975)&gt;=MAX(1,N(E975)),"Conferido","Conferido até aqui"),"A conferir")))</f>
        <v/>
      </c>
      <c r="S975" s="51">
        <f>IF(R975="A conferir",(Config!$B$8-L975)*1000+N(F975)/1000+ROW()/100000,0)</f>
        <v>0</v>
      </c>
      <c r="T975" s="51">
        <f>IF(R975="A conferir",N(N975),0)</f>
        <v>0</v>
      </c>
      <c r="U975" s="51">
        <f>IF(L975="",0,L975)</f>
        <v>0</v>
      </c>
      <c r="V975" s="51">
        <f>IF(L975="",0,MAX(1,N(E975)))</f>
        <v>0</v>
      </c>
      <c r="W975" s="51">
        <f>IF(K975="",0,K975)</f>
        <v>0</v>
      </c>
    </row>
    <row r="976">
      <c r="A976" s="49" t="n"/>
      <c r="B976" s="41" t="n"/>
      <c r="C976" s="41" t="n"/>
      <c r="D976" s="42" t="n"/>
      <c r="E976" s="42" t="n"/>
      <c r="F976" s="50" t="n"/>
      <c r="G976" s="42" t="n"/>
      <c r="H976" s="30">
        <f>IF(D976="","",IFERROR(INDEX(Config!$B$12:$B$15,MATCH(IF(AND(D976="Cartão de crédito",N(E976)&gt;1),"Cartão de crédito parcelado",D976),Config!$A$12:$A$15,0)),0)+IF(AND(Config!$B$17="Sim",LEFT(D976,17)="Cartão de crédito"),Config!$B$18*IFERROR(INDEX(Config!$C$12:$C$15,MATCH(IF(AND(D976="Cartão de crédito",N(E976)&gt;1),"Cartão de crédito parcelado",D976),Config!$A$12:$A$15,0)),0)/30*MAX(1,N(E976)),0))</f>
        <v/>
      </c>
      <c r="I976" s="29">
        <f>IF(OR(D976="",F976=""),"",ROUND(F976*H976,2))</f>
        <v/>
      </c>
      <c r="J976" s="29">
        <f>IF(I976="","",F976-I976)</f>
        <v/>
      </c>
      <c r="K976" s="29">
        <f>IF(J976="","",J976/MAX(1,N(E976)))</f>
        <v/>
      </c>
      <c r="L976" s="37">
        <f>IF(OR(D976="",A976=""),"",A976+IF(AND(Config!$B$17="Sim",LEFT(D976,17)="Cartão de crédito"),1,IFERROR(INDEX(Config!$C$12:$C$15,MATCH(IF(AND(D976="Cartão de crédito",N(E976)&gt;1),"Cartão de crédito parcelado",D976),Config!$A$12:$A$15,0)),0)))</f>
        <v/>
      </c>
      <c r="M976" s="37">
        <f>IF(L976="","",IF(AND(Config!$B$17="Sim",LEFT(D976,17)="Cartão de crédito"),L976,L976+30*(MAX(1,N(E976))-1)))</f>
        <v/>
      </c>
      <c r="N976" s="29">
        <f>IF(OR(L976="",K976=""),"",K976*MIN(MAX(1,N(E976)),MAX(0,INT((Config!$B$8-L976)/30)+1)))</f>
        <v/>
      </c>
      <c r="O976" s="29">
        <f>IF(J976="","",J976-N(N976))</f>
        <v/>
      </c>
      <c r="P976" s="27">
        <f>IF(A976="","",MONTH(A976))</f>
        <v/>
      </c>
      <c r="Q976" s="27">
        <f>IF(A976="","",YEAR(A976))</f>
        <v/>
      </c>
      <c r="R976" s="27">
        <f>IF(L976="","",IF(L976&gt;Config!$B$8,"A cair",IF(N(G976)&gt;=MIN(MAX(1,N(E976)),MAX(0,INT((Config!$B$8-L976)/30)+1)),IF(N(G976)&gt;=MAX(1,N(E976)),"Conferido","Conferido até aqui"),"A conferir")))</f>
        <v/>
      </c>
      <c r="S976" s="51">
        <f>IF(R976="A conferir",(Config!$B$8-L976)*1000+N(F976)/1000+ROW()/100000,0)</f>
        <v>0</v>
      </c>
      <c r="T976" s="51">
        <f>IF(R976="A conferir",N(N976),0)</f>
        <v>0</v>
      </c>
      <c r="U976" s="51">
        <f>IF(L976="",0,L976)</f>
        <v>0</v>
      </c>
      <c r="V976" s="51">
        <f>IF(L976="",0,MAX(1,N(E976)))</f>
        <v>0</v>
      </c>
      <c r="W976" s="51">
        <f>IF(K976="",0,K976)</f>
        <v>0</v>
      </c>
    </row>
    <row r="977">
      <c r="A977" s="49" t="n"/>
      <c r="B977" s="41" t="n"/>
      <c r="C977" s="41" t="n"/>
      <c r="D977" s="42" t="n"/>
      <c r="E977" s="42" t="n"/>
      <c r="F977" s="50" t="n"/>
      <c r="G977" s="42" t="n"/>
      <c r="H977" s="30">
        <f>IF(D977="","",IFERROR(INDEX(Config!$B$12:$B$15,MATCH(IF(AND(D977="Cartão de crédito",N(E977)&gt;1),"Cartão de crédito parcelado",D977),Config!$A$12:$A$15,0)),0)+IF(AND(Config!$B$17="Sim",LEFT(D977,17)="Cartão de crédito"),Config!$B$18*IFERROR(INDEX(Config!$C$12:$C$15,MATCH(IF(AND(D977="Cartão de crédito",N(E977)&gt;1),"Cartão de crédito parcelado",D977),Config!$A$12:$A$15,0)),0)/30*MAX(1,N(E977)),0))</f>
        <v/>
      </c>
      <c r="I977" s="29">
        <f>IF(OR(D977="",F977=""),"",ROUND(F977*H977,2))</f>
        <v/>
      </c>
      <c r="J977" s="29">
        <f>IF(I977="","",F977-I977)</f>
        <v/>
      </c>
      <c r="K977" s="29">
        <f>IF(J977="","",J977/MAX(1,N(E977)))</f>
        <v/>
      </c>
      <c r="L977" s="37">
        <f>IF(OR(D977="",A977=""),"",A977+IF(AND(Config!$B$17="Sim",LEFT(D977,17)="Cartão de crédito"),1,IFERROR(INDEX(Config!$C$12:$C$15,MATCH(IF(AND(D977="Cartão de crédito",N(E977)&gt;1),"Cartão de crédito parcelado",D977),Config!$A$12:$A$15,0)),0)))</f>
        <v/>
      </c>
      <c r="M977" s="37">
        <f>IF(L977="","",IF(AND(Config!$B$17="Sim",LEFT(D977,17)="Cartão de crédito"),L977,L977+30*(MAX(1,N(E977))-1)))</f>
        <v/>
      </c>
      <c r="N977" s="29">
        <f>IF(OR(L977="",K977=""),"",K977*MIN(MAX(1,N(E977)),MAX(0,INT((Config!$B$8-L977)/30)+1)))</f>
        <v/>
      </c>
      <c r="O977" s="29">
        <f>IF(J977="","",J977-N(N977))</f>
        <v/>
      </c>
      <c r="P977" s="27">
        <f>IF(A977="","",MONTH(A977))</f>
        <v/>
      </c>
      <c r="Q977" s="27">
        <f>IF(A977="","",YEAR(A977))</f>
        <v/>
      </c>
      <c r="R977" s="27">
        <f>IF(L977="","",IF(L977&gt;Config!$B$8,"A cair",IF(N(G977)&gt;=MIN(MAX(1,N(E977)),MAX(0,INT((Config!$B$8-L977)/30)+1)),IF(N(G977)&gt;=MAX(1,N(E977)),"Conferido","Conferido até aqui"),"A conferir")))</f>
        <v/>
      </c>
      <c r="S977" s="51">
        <f>IF(R977="A conferir",(Config!$B$8-L977)*1000+N(F977)/1000+ROW()/100000,0)</f>
        <v>0</v>
      </c>
      <c r="T977" s="51">
        <f>IF(R977="A conferir",N(N977),0)</f>
        <v>0</v>
      </c>
      <c r="U977" s="51">
        <f>IF(L977="",0,L977)</f>
        <v>0</v>
      </c>
      <c r="V977" s="51">
        <f>IF(L977="",0,MAX(1,N(E977)))</f>
        <v>0</v>
      </c>
      <c r="W977" s="51">
        <f>IF(K977="",0,K977)</f>
        <v>0</v>
      </c>
    </row>
    <row r="978">
      <c r="A978" s="49" t="n"/>
      <c r="B978" s="41" t="n"/>
      <c r="C978" s="41" t="n"/>
      <c r="D978" s="42" t="n"/>
      <c r="E978" s="42" t="n"/>
      <c r="F978" s="50" t="n"/>
      <c r="G978" s="42" t="n"/>
      <c r="H978" s="30">
        <f>IF(D978="","",IFERROR(INDEX(Config!$B$12:$B$15,MATCH(IF(AND(D978="Cartão de crédito",N(E978)&gt;1),"Cartão de crédito parcelado",D978),Config!$A$12:$A$15,0)),0)+IF(AND(Config!$B$17="Sim",LEFT(D978,17)="Cartão de crédito"),Config!$B$18*IFERROR(INDEX(Config!$C$12:$C$15,MATCH(IF(AND(D978="Cartão de crédito",N(E978)&gt;1),"Cartão de crédito parcelado",D978),Config!$A$12:$A$15,0)),0)/30*MAX(1,N(E978)),0))</f>
        <v/>
      </c>
      <c r="I978" s="29">
        <f>IF(OR(D978="",F978=""),"",ROUND(F978*H978,2))</f>
        <v/>
      </c>
      <c r="J978" s="29">
        <f>IF(I978="","",F978-I978)</f>
        <v/>
      </c>
      <c r="K978" s="29">
        <f>IF(J978="","",J978/MAX(1,N(E978)))</f>
        <v/>
      </c>
      <c r="L978" s="37">
        <f>IF(OR(D978="",A978=""),"",A978+IF(AND(Config!$B$17="Sim",LEFT(D978,17)="Cartão de crédito"),1,IFERROR(INDEX(Config!$C$12:$C$15,MATCH(IF(AND(D978="Cartão de crédito",N(E978)&gt;1),"Cartão de crédito parcelado",D978),Config!$A$12:$A$15,0)),0)))</f>
        <v/>
      </c>
      <c r="M978" s="37">
        <f>IF(L978="","",IF(AND(Config!$B$17="Sim",LEFT(D978,17)="Cartão de crédito"),L978,L978+30*(MAX(1,N(E978))-1)))</f>
        <v/>
      </c>
      <c r="N978" s="29">
        <f>IF(OR(L978="",K978=""),"",K978*MIN(MAX(1,N(E978)),MAX(0,INT((Config!$B$8-L978)/30)+1)))</f>
        <v/>
      </c>
      <c r="O978" s="29">
        <f>IF(J978="","",J978-N(N978))</f>
        <v/>
      </c>
      <c r="P978" s="27">
        <f>IF(A978="","",MONTH(A978))</f>
        <v/>
      </c>
      <c r="Q978" s="27">
        <f>IF(A978="","",YEAR(A978))</f>
        <v/>
      </c>
      <c r="R978" s="27">
        <f>IF(L978="","",IF(L978&gt;Config!$B$8,"A cair",IF(N(G978)&gt;=MIN(MAX(1,N(E978)),MAX(0,INT((Config!$B$8-L978)/30)+1)),IF(N(G978)&gt;=MAX(1,N(E978)),"Conferido","Conferido até aqui"),"A conferir")))</f>
        <v/>
      </c>
      <c r="S978" s="51">
        <f>IF(R978="A conferir",(Config!$B$8-L978)*1000+N(F978)/1000+ROW()/100000,0)</f>
        <v>0</v>
      </c>
      <c r="T978" s="51">
        <f>IF(R978="A conferir",N(N978),0)</f>
        <v>0</v>
      </c>
      <c r="U978" s="51">
        <f>IF(L978="",0,L978)</f>
        <v>0</v>
      </c>
      <c r="V978" s="51">
        <f>IF(L978="",0,MAX(1,N(E978)))</f>
        <v>0</v>
      </c>
      <c r="W978" s="51">
        <f>IF(K978="",0,K978)</f>
        <v>0</v>
      </c>
    </row>
    <row r="979">
      <c r="A979" s="49" t="n"/>
      <c r="B979" s="41" t="n"/>
      <c r="C979" s="41" t="n"/>
      <c r="D979" s="42" t="n"/>
      <c r="E979" s="42" t="n"/>
      <c r="F979" s="50" t="n"/>
      <c r="G979" s="42" t="n"/>
      <c r="H979" s="30">
        <f>IF(D979="","",IFERROR(INDEX(Config!$B$12:$B$15,MATCH(IF(AND(D979="Cartão de crédito",N(E979)&gt;1),"Cartão de crédito parcelado",D979),Config!$A$12:$A$15,0)),0)+IF(AND(Config!$B$17="Sim",LEFT(D979,17)="Cartão de crédito"),Config!$B$18*IFERROR(INDEX(Config!$C$12:$C$15,MATCH(IF(AND(D979="Cartão de crédito",N(E979)&gt;1),"Cartão de crédito parcelado",D979),Config!$A$12:$A$15,0)),0)/30*MAX(1,N(E979)),0))</f>
        <v/>
      </c>
      <c r="I979" s="29">
        <f>IF(OR(D979="",F979=""),"",ROUND(F979*H979,2))</f>
        <v/>
      </c>
      <c r="J979" s="29">
        <f>IF(I979="","",F979-I979)</f>
        <v/>
      </c>
      <c r="K979" s="29">
        <f>IF(J979="","",J979/MAX(1,N(E979)))</f>
        <v/>
      </c>
      <c r="L979" s="37">
        <f>IF(OR(D979="",A979=""),"",A979+IF(AND(Config!$B$17="Sim",LEFT(D979,17)="Cartão de crédito"),1,IFERROR(INDEX(Config!$C$12:$C$15,MATCH(IF(AND(D979="Cartão de crédito",N(E979)&gt;1),"Cartão de crédito parcelado",D979),Config!$A$12:$A$15,0)),0)))</f>
        <v/>
      </c>
      <c r="M979" s="37">
        <f>IF(L979="","",IF(AND(Config!$B$17="Sim",LEFT(D979,17)="Cartão de crédito"),L979,L979+30*(MAX(1,N(E979))-1)))</f>
        <v/>
      </c>
      <c r="N979" s="29">
        <f>IF(OR(L979="",K979=""),"",K979*MIN(MAX(1,N(E979)),MAX(0,INT((Config!$B$8-L979)/30)+1)))</f>
        <v/>
      </c>
      <c r="O979" s="29">
        <f>IF(J979="","",J979-N(N979))</f>
        <v/>
      </c>
      <c r="P979" s="27">
        <f>IF(A979="","",MONTH(A979))</f>
        <v/>
      </c>
      <c r="Q979" s="27">
        <f>IF(A979="","",YEAR(A979))</f>
        <v/>
      </c>
      <c r="R979" s="27">
        <f>IF(L979="","",IF(L979&gt;Config!$B$8,"A cair",IF(N(G979)&gt;=MIN(MAX(1,N(E979)),MAX(0,INT((Config!$B$8-L979)/30)+1)),IF(N(G979)&gt;=MAX(1,N(E979)),"Conferido","Conferido até aqui"),"A conferir")))</f>
        <v/>
      </c>
      <c r="S979" s="51">
        <f>IF(R979="A conferir",(Config!$B$8-L979)*1000+N(F979)/1000+ROW()/100000,0)</f>
        <v>0</v>
      </c>
      <c r="T979" s="51">
        <f>IF(R979="A conferir",N(N979),0)</f>
        <v>0</v>
      </c>
      <c r="U979" s="51">
        <f>IF(L979="",0,L979)</f>
        <v>0</v>
      </c>
      <c r="V979" s="51">
        <f>IF(L979="",0,MAX(1,N(E979)))</f>
        <v>0</v>
      </c>
      <c r="W979" s="51">
        <f>IF(K979="",0,K979)</f>
        <v>0</v>
      </c>
    </row>
    <row r="980">
      <c r="A980" s="49" t="n"/>
      <c r="B980" s="41" t="n"/>
      <c r="C980" s="41" t="n"/>
      <c r="D980" s="42" t="n"/>
      <c r="E980" s="42" t="n"/>
      <c r="F980" s="50" t="n"/>
      <c r="G980" s="42" t="n"/>
      <c r="H980" s="30">
        <f>IF(D980="","",IFERROR(INDEX(Config!$B$12:$B$15,MATCH(IF(AND(D980="Cartão de crédito",N(E980)&gt;1),"Cartão de crédito parcelado",D980),Config!$A$12:$A$15,0)),0)+IF(AND(Config!$B$17="Sim",LEFT(D980,17)="Cartão de crédito"),Config!$B$18*IFERROR(INDEX(Config!$C$12:$C$15,MATCH(IF(AND(D980="Cartão de crédito",N(E980)&gt;1),"Cartão de crédito parcelado",D980),Config!$A$12:$A$15,0)),0)/30*MAX(1,N(E980)),0))</f>
        <v/>
      </c>
      <c r="I980" s="29">
        <f>IF(OR(D980="",F980=""),"",ROUND(F980*H980,2))</f>
        <v/>
      </c>
      <c r="J980" s="29">
        <f>IF(I980="","",F980-I980)</f>
        <v/>
      </c>
      <c r="K980" s="29">
        <f>IF(J980="","",J980/MAX(1,N(E980)))</f>
        <v/>
      </c>
      <c r="L980" s="37">
        <f>IF(OR(D980="",A980=""),"",A980+IF(AND(Config!$B$17="Sim",LEFT(D980,17)="Cartão de crédito"),1,IFERROR(INDEX(Config!$C$12:$C$15,MATCH(IF(AND(D980="Cartão de crédito",N(E980)&gt;1),"Cartão de crédito parcelado",D980),Config!$A$12:$A$15,0)),0)))</f>
        <v/>
      </c>
      <c r="M980" s="37">
        <f>IF(L980="","",IF(AND(Config!$B$17="Sim",LEFT(D980,17)="Cartão de crédito"),L980,L980+30*(MAX(1,N(E980))-1)))</f>
        <v/>
      </c>
      <c r="N980" s="29">
        <f>IF(OR(L980="",K980=""),"",K980*MIN(MAX(1,N(E980)),MAX(0,INT((Config!$B$8-L980)/30)+1)))</f>
        <v/>
      </c>
      <c r="O980" s="29">
        <f>IF(J980="","",J980-N(N980))</f>
        <v/>
      </c>
      <c r="P980" s="27">
        <f>IF(A980="","",MONTH(A980))</f>
        <v/>
      </c>
      <c r="Q980" s="27">
        <f>IF(A980="","",YEAR(A980))</f>
        <v/>
      </c>
      <c r="R980" s="27">
        <f>IF(L980="","",IF(L980&gt;Config!$B$8,"A cair",IF(N(G980)&gt;=MIN(MAX(1,N(E980)),MAX(0,INT((Config!$B$8-L980)/30)+1)),IF(N(G980)&gt;=MAX(1,N(E980)),"Conferido","Conferido até aqui"),"A conferir")))</f>
        <v/>
      </c>
      <c r="S980" s="51">
        <f>IF(R980="A conferir",(Config!$B$8-L980)*1000+N(F980)/1000+ROW()/100000,0)</f>
        <v>0</v>
      </c>
      <c r="T980" s="51">
        <f>IF(R980="A conferir",N(N980),0)</f>
        <v>0</v>
      </c>
      <c r="U980" s="51">
        <f>IF(L980="",0,L980)</f>
        <v>0</v>
      </c>
      <c r="V980" s="51">
        <f>IF(L980="",0,MAX(1,N(E980)))</f>
        <v>0</v>
      </c>
      <c r="W980" s="51">
        <f>IF(K980="",0,K980)</f>
        <v>0</v>
      </c>
    </row>
    <row r="981">
      <c r="A981" s="49" t="n"/>
      <c r="B981" s="41" t="n"/>
      <c r="C981" s="41" t="n"/>
      <c r="D981" s="42" t="n"/>
      <c r="E981" s="42" t="n"/>
      <c r="F981" s="50" t="n"/>
      <c r="G981" s="42" t="n"/>
      <c r="H981" s="30">
        <f>IF(D981="","",IFERROR(INDEX(Config!$B$12:$B$15,MATCH(IF(AND(D981="Cartão de crédito",N(E981)&gt;1),"Cartão de crédito parcelado",D981),Config!$A$12:$A$15,0)),0)+IF(AND(Config!$B$17="Sim",LEFT(D981,17)="Cartão de crédito"),Config!$B$18*IFERROR(INDEX(Config!$C$12:$C$15,MATCH(IF(AND(D981="Cartão de crédito",N(E981)&gt;1),"Cartão de crédito parcelado",D981),Config!$A$12:$A$15,0)),0)/30*MAX(1,N(E981)),0))</f>
        <v/>
      </c>
      <c r="I981" s="29">
        <f>IF(OR(D981="",F981=""),"",ROUND(F981*H981,2))</f>
        <v/>
      </c>
      <c r="J981" s="29">
        <f>IF(I981="","",F981-I981)</f>
        <v/>
      </c>
      <c r="K981" s="29">
        <f>IF(J981="","",J981/MAX(1,N(E981)))</f>
        <v/>
      </c>
      <c r="L981" s="37">
        <f>IF(OR(D981="",A981=""),"",A981+IF(AND(Config!$B$17="Sim",LEFT(D981,17)="Cartão de crédito"),1,IFERROR(INDEX(Config!$C$12:$C$15,MATCH(IF(AND(D981="Cartão de crédito",N(E981)&gt;1),"Cartão de crédito parcelado",D981),Config!$A$12:$A$15,0)),0)))</f>
        <v/>
      </c>
      <c r="M981" s="37">
        <f>IF(L981="","",IF(AND(Config!$B$17="Sim",LEFT(D981,17)="Cartão de crédito"),L981,L981+30*(MAX(1,N(E981))-1)))</f>
        <v/>
      </c>
      <c r="N981" s="29">
        <f>IF(OR(L981="",K981=""),"",K981*MIN(MAX(1,N(E981)),MAX(0,INT((Config!$B$8-L981)/30)+1)))</f>
        <v/>
      </c>
      <c r="O981" s="29">
        <f>IF(J981="","",J981-N(N981))</f>
        <v/>
      </c>
      <c r="P981" s="27">
        <f>IF(A981="","",MONTH(A981))</f>
        <v/>
      </c>
      <c r="Q981" s="27">
        <f>IF(A981="","",YEAR(A981))</f>
        <v/>
      </c>
      <c r="R981" s="27">
        <f>IF(L981="","",IF(L981&gt;Config!$B$8,"A cair",IF(N(G981)&gt;=MIN(MAX(1,N(E981)),MAX(0,INT((Config!$B$8-L981)/30)+1)),IF(N(G981)&gt;=MAX(1,N(E981)),"Conferido","Conferido até aqui"),"A conferir")))</f>
        <v/>
      </c>
      <c r="S981" s="51">
        <f>IF(R981="A conferir",(Config!$B$8-L981)*1000+N(F981)/1000+ROW()/100000,0)</f>
        <v>0</v>
      </c>
      <c r="T981" s="51">
        <f>IF(R981="A conferir",N(N981),0)</f>
        <v>0</v>
      </c>
      <c r="U981" s="51">
        <f>IF(L981="",0,L981)</f>
        <v>0</v>
      </c>
      <c r="V981" s="51">
        <f>IF(L981="",0,MAX(1,N(E981)))</f>
        <v>0</v>
      </c>
      <c r="W981" s="51">
        <f>IF(K981="",0,K981)</f>
        <v>0</v>
      </c>
    </row>
    <row r="982">
      <c r="A982" s="49" t="n"/>
      <c r="B982" s="41" t="n"/>
      <c r="C982" s="41" t="n"/>
      <c r="D982" s="42" t="n"/>
      <c r="E982" s="42" t="n"/>
      <c r="F982" s="50" t="n"/>
      <c r="G982" s="42" t="n"/>
      <c r="H982" s="30">
        <f>IF(D982="","",IFERROR(INDEX(Config!$B$12:$B$15,MATCH(IF(AND(D982="Cartão de crédito",N(E982)&gt;1),"Cartão de crédito parcelado",D982),Config!$A$12:$A$15,0)),0)+IF(AND(Config!$B$17="Sim",LEFT(D982,17)="Cartão de crédito"),Config!$B$18*IFERROR(INDEX(Config!$C$12:$C$15,MATCH(IF(AND(D982="Cartão de crédito",N(E982)&gt;1),"Cartão de crédito parcelado",D982),Config!$A$12:$A$15,0)),0)/30*MAX(1,N(E982)),0))</f>
        <v/>
      </c>
      <c r="I982" s="29">
        <f>IF(OR(D982="",F982=""),"",ROUND(F982*H982,2))</f>
        <v/>
      </c>
      <c r="J982" s="29">
        <f>IF(I982="","",F982-I982)</f>
        <v/>
      </c>
      <c r="K982" s="29">
        <f>IF(J982="","",J982/MAX(1,N(E982)))</f>
        <v/>
      </c>
      <c r="L982" s="37">
        <f>IF(OR(D982="",A982=""),"",A982+IF(AND(Config!$B$17="Sim",LEFT(D982,17)="Cartão de crédito"),1,IFERROR(INDEX(Config!$C$12:$C$15,MATCH(IF(AND(D982="Cartão de crédito",N(E982)&gt;1),"Cartão de crédito parcelado",D982),Config!$A$12:$A$15,0)),0)))</f>
        <v/>
      </c>
      <c r="M982" s="37">
        <f>IF(L982="","",IF(AND(Config!$B$17="Sim",LEFT(D982,17)="Cartão de crédito"),L982,L982+30*(MAX(1,N(E982))-1)))</f>
        <v/>
      </c>
      <c r="N982" s="29">
        <f>IF(OR(L982="",K982=""),"",K982*MIN(MAX(1,N(E982)),MAX(0,INT((Config!$B$8-L982)/30)+1)))</f>
        <v/>
      </c>
      <c r="O982" s="29">
        <f>IF(J982="","",J982-N(N982))</f>
        <v/>
      </c>
      <c r="P982" s="27">
        <f>IF(A982="","",MONTH(A982))</f>
        <v/>
      </c>
      <c r="Q982" s="27">
        <f>IF(A982="","",YEAR(A982))</f>
        <v/>
      </c>
      <c r="R982" s="27">
        <f>IF(L982="","",IF(L982&gt;Config!$B$8,"A cair",IF(N(G982)&gt;=MIN(MAX(1,N(E982)),MAX(0,INT((Config!$B$8-L982)/30)+1)),IF(N(G982)&gt;=MAX(1,N(E982)),"Conferido","Conferido até aqui"),"A conferir")))</f>
        <v/>
      </c>
      <c r="S982" s="51">
        <f>IF(R982="A conferir",(Config!$B$8-L982)*1000+N(F982)/1000+ROW()/100000,0)</f>
        <v>0</v>
      </c>
      <c r="T982" s="51">
        <f>IF(R982="A conferir",N(N982),0)</f>
        <v>0</v>
      </c>
      <c r="U982" s="51">
        <f>IF(L982="",0,L982)</f>
        <v>0</v>
      </c>
      <c r="V982" s="51">
        <f>IF(L982="",0,MAX(1,N(E982)))</f>
        <v>0</v>
      </c>
      <c r="W982" s="51">
        <f>IF(K982="",0,K982)</f>
        <v>0</v>
      </c>
    </row>
    <row r="983">
      <c r="A983" s="49" t="n"/>
      <c r="B983" s="41" t="n"/>
      <c r="C983" s="41" t="n"/>
      <c r="D983" s="42" t="n"/>
      <c r="E983" s="42" t="n"/>
      <c r="F983" s="50" t="n"/>
      <c r="G983" s="42" t="n"/>
      <c r="H983" s="30">
        <f>IF(D983="","",IFERROR(INDEX(Config!$B$12:$B$15,MATCH(IF(AND(D983="Cartão de crédito",N(E983)&gt;1),"Cartão de crédito parcelado",D983),Config!$A$12:$A$15,0)),0)+IF(AND(Config!$B$17="Sim",LEFT(D983,17)="Cartão de crédito"),Config!$B$18*IFERROR(INDEX(Config!$C$12:$C$15,MATCH(IF(AND(D983="Cartão de crédito",N(E983)&gt;1),"Cartão de crédito parcelado",D983),Config!$A$12:$A$15,0)),0)/30*MAX(1,N(E983)),0))</f>
        <v/>
      </c>
      <c r="I983" s="29">
        <f>IF(OR(D983="",F983=""),"",ROUND(F983*H983,2))</f>
        <v/>
      </c>
      <c r="J983" s="29">
        <f>IF(I983="","",F983-I983)</f>
        <v/>
      </c>
      <c r="K983" s="29">
        <f>IF(J983="","",J983/MAX(1,N(E983)))</f>
        <v/>
      </c>
      <c r="L983" s="37">
        <f>IF(OR(D983="",A983=""),"",A983+IF(AND(Config!$B$17="Sim",LEFT(D983,17)="Cartão de crédito"),1,IFERROR(INDEX(Config!$C$12:$C$15,MATCH(IF(AND(D983="Cartão de crédito",N(E983)&gt;1),"Cartão de crédito parcelado",D983),Config!$A$12:$A$15,0)),0)))</f>
        <v/>
      </c>
      <c r="M983" s="37">
        <f>IF(L983="","",IF(AND(Config!$B$17="Sim",LEFT(D983,17)="Cartão de crédito"),L983,L983+30*(MAX(1,N(E983))-1)))</f>
        <v/>
      </c>
      <c r="N983" s="29">
        <f>IF(OR(L983="",K983=""),"",K983*MIN(MAX(1,N(E983)),MAX(0,INT((Config!$B$8-L983)/30)+1)))</f>
        <v/>
      </c>
      <c r="O983" s="29">
        <f>IF(J983="","",J983-N(N983))</f>
        <v/>
      </c>
      <c r="P983" s="27">
        <f>IF(A983="","",MONTH(A983))</f>
        <v/>
      </c>
      <c r="Q983" s="27">
        <f>IF(A983="","",YEAR(A983))</f>
        <v/>
      </c>
      <c r="R983" s="27">
        <f>IF(L983="","",IF(L983&gt;Config!$B$8,"A cair",IF(N(G983)&gt;=MIN(MAX(1,N(E983)),MAX(0,INT((Config!$B$8-L983)/30)+1)),IF(N(G983)&gt;=MAX(1,N(E983)),"Conferido","Conferido até aqui"),"A conferir")))</f>
        <v/>
      </c>
      <c r="S983" s="51">
        <f>IF(R983="A conferir",(Config!$B$8-L983)*1000+N(F983)/1000+ROW()/100000,0)</f>
        <v>0</v>
      </c>
      <c r="T983" s="51">
        <f>IF(R983="A conferir",N(N983),0)</f>
        <v>0</v>
      </c>
      <c r="U983" s="51">
        <f>IF(L983="",0,L983)</f>
        <v>0</v>
      </c>
      <c r="V983" s="51">
        <f>IF(L983="",0,MAX(1,N(E983)))</f>
        <v>0</v>
      </c>
      <c r="W983" s="51">
        <f>IF(K983="",0,K983)</f>
        <v>0</v>
      </c>
    </row>
    <row r="984">
      <c r="A984" s="49" t="n"/>
      <c r="B984" s="41" t="n"/>
      <c r="C984" s="41" t="n"/>
      <c r="D984" s="42" t="n"/>
      <c r="E984" s="42" t="n"/>
      <c r="F984" s="50" t="n"/>
      <c r="G984" s="42" t="n"/>
      <c r="H984" s="30">
        <f>IF(D984="","",IFERROR(INDEX(Config!$B$12:$B$15,MATCH(IF(AND(D984="Cartão de crédito",N(E984)&gt;1),"Cartão de crédito parcelado",D984),Config!$A$12:$A$15,0)),0)+IF(AND(Config!$B$17="Sim",LEFT(D984,17)="Cartão de crédito"),Config!$B$18*IFERROR(INDEX(Config!$C$12:$C$15,MATCH(IF(AND(D984="Cartão de crédito",N(E984)&gt;1),"Cartão de crédito parcelado",D984),Config!$A$12:$A$15,0)),0)/30*MAX(1,N(E984)),0))</f>
        <v/>
      </c>
      <c r="I984" s="29">
        <f>IF(OR(D984="",F984=""),"",ROUND(F984*H984,2))</f>
        <v/>
      </c>
      <c r="J984" s="29">
        <f>IF(I984="","",F984-I984)</f>
        <v/>
      </c>
      <c r="K984" s="29">
        <f>IF(J984="","",J984/MAX(1,N(E984)))</f>
        <v/>
      </c>
      <c r="L984" s="37">
        <f>IF(OR(D984="",A984=""),"",A984+IF(AND(Config!$B$17="Sim",LEFT(D984,17)="Cartão de crédito"),1,IFERROR(INDEX(Config!$C$12:$C$15,MATCH(IF(AND(D984="Cartão de crédito",N(E984)&gt;1),"Cartão de crédito parcelado",D984),Config!$A$12:$A$15,0)),0)))</f>
        <v/>
      </c>
      <c r="M984" s="37">
        <f>IF(L984="","",IF(AND(Config!$B$17="Sim",LEFT(D984,17)="Cartão de crédito"),L984,L984+30*(MAX(1,N(E984))-1)))</f>
        <v/>
      </c>
      <c r="N984" s="29">
        <f>IF(OR(L984="",K984=""),"",K984*MIN(MAX(1,N(E984)),MAX(0,INT((Config!$B$8-L984)/30)+1)))</f>
        <v/>
      </c>
      <c r="O984" s="29">
        <f>IF(J984="","",J984-N(N984))</f>
        <v/>
      </c>
      <c r="P984" s="27">
        <f>IF(A984="","",MONTH(A984))</f>
        <v/>
      </c>
      <c r="Q984" s="27">
        <f>IF(A984="","",YEAR(A984))</f>
        <v/>
      </c>
      <c r="R984" s="27">
        <f>IF(L984="","",IF(L984&gt;Config!$B$8,"A cair",IF(N(G984)&gt;=MIN(MAX(1,N(E984)),MAX(0,INT((Config!$B$8-L984)/30)+1)),IF(N(G984)&gt;=MAX(1,N(E984)),"Conferido","Conferido até aqui"),"A conferir")))</f>
        <v/>
      </c>
      <c r="S984" s="51">
        <f>IF(R984="A conferir",(Config!$B$8-L984)*1000+N(F984)/1000+ROW()/100000,0)</f>
        <v>0</v>
      </c>
      <c r="T984" s="51">
        <f>IF(R984="A conferir",N(N984),0)</f>
        <v>0</v>
      </c>
      <c r="U984" s="51">
        <f>IF(L984="",0,L984)</f>
        <v>0</v>
      </c>
      <c r="V984" s="51">
        <f>IF(L984="",0,MAX(1,N(E984)))</f>
        <v>0</v>
      </c>
      <c r="W984" s="51">
        <f>IF(K984="",0,K984)</f>
        <v>0</v>
      </c>
    </row>
    <row r="985">
      <c r="A985" s="49" t="n"/>
      <c r="B985" s="41" t="n"/>
      <c r="C985" s="41" t="n"/>
      <c r="D985" s="42" t="n"/>
      <c r="E985" s="42" t="n"/>
      <c r="F985" s="50" t="n"/>
      <c r="G985" s="42" t="n"/>
      <c r="H985" s="30">
        <f>IF(D985="","",IFERROR(INDEX(Config!$B$12:$B$15,MATCH(IF(AND(D985="Cartão de crédito",N(E985)&gt;1),"Cartão de crédito parcelado",D985),Config!$A$12:$A$15,0)),0)+IF(AND(Config!$B$17="Sim",LEFT(D985,17)="Cartão de crédito"),Config!$B$18*IFERROR(INDEX(Config!$C$12:$C$15,MATCH(IF(AND(D985="Cartão de crédito",N(E985)&gt;1),"Cartão de crédito parcelado",D985),Config!$A$12:$A$15,0)),0)/30*MAX(1,N(E985)),0))</f>
        <v/>
      </c>
      <c r="I985" s="29">
        <f>IF(OR(D985="",F985=""),"",ROUND(F985*H985,2))</f>
        <v/>
      </c>
      <c r="J985" s="29">
        <f>IF(I985="","",F985-I985)</f>
        <v/>
      </c>
      <c r="K985" s="29">
        <f>IF(J985="","",J985/MAX(1,N(E985)))</f>
        <v/>
      </c>
      <c r="L985" s="37">
        <f>IF(OR(D985="",A985=""),"",A985+IF(AND(Config!$B$17="Sim",LEFT(D985,17)="Cartão de crédito"),1,IFERROR(INDEX(Config!$C$12:$C$15,MATCH(IF(AND(D985="Cartão de crédito",N(E985)&gt;1),"Cartão de crédito parcelado",D985),Config!$A$12:$A$15,0)),0)))</f>
        <v/>
      </c>
      <c r="M985" s="37">
        <f>IF(L985="","",IF(AND(Config!$B$17="Sim",LEFT(D985,17)="Cartão de crédito"),L985,L985+30*(MAX(1,N(E985))-1)))</f>
        <v/>
      </c>
      <c r="N985" s="29">
        <f>IF(OR(L985="",K985=""),"",K985*MIN(MAX(1,N(E985)),MAX(0,INT((Config!$B$8-L985)/30)+1)))</f>
        <v/>
      </c>
      <c r="O985" s="29">
        <f>IF(J985="","",J985-N(N985))</f>
        <v/>
      </c>
      <c r="P985" s="27">
        <f>IF(A985="","",MONTH(A985))</f>
        <v/>
      </c>
      <c r="Q985" s="27">
        <f>IF(A985="","",YEAR(A985))</f>
        <v/>
      </c>
      <c r="R985" s="27">
        <f>IF(L985="","",IF(L985&gt;Config!$B$8,"A cair",IF(N(G985)&gt;=MIN(MAX(1,N(E985)),MAX(0,INT((Config!$B$8-L985)/30)+1)),IF(N(G985)&gt;=MAX(1,N(E985)),"Conferido","Conferido até aqui"),"A conferir")))</f>
        <v/>
      </c>
      <c r="S985" s="51">
        <f>IF(R985="A conferir",(Config!$B$8-L985)*1000+N(F985)/1000+ROW()/100000,0)</f>
        <v>0</v>
      </c>
      <c r="T985" s="51">
        <f>IF(R985="A conferir",N(N985),0)</f>
        <v>0</v>
      </c>
      <c r="U985" s="51">
        <f>IF(L985="",0,L985)</f>
        <v>0</v>
      </c>
      <c r="V985" s="51">
        <f>IF(L985="",0,MAX(1,N(E985)))</f>
        <v>0</v>
      </c>
      <c r="W985" s="51">
        <f>IF(K985="",0,K985)</f>
        <v>0</v>
      </c>
    </row>
    <row r="986">
      <c r="A986" s="49" t="n"/>
      <c r="B986" s="41" t="n"/>
      <c r="C986" s="41" t="n"/>
      <c r="D986" s="42" t="n"/>
      <c r="E986" s="42" t="n"/>
      <c r="F986" s="50" t="n"/>
      <c r="G986" s="42" t="n"/>
      <c r="H986" s="30">
        <f>IF(D986="","",IFERROR(INDEX(Config!$B$12:$B$15,MATCH(IF(AND(D986="Cartão de crédito",N(E986)&gt;1),"Cartão de crédito parcelado",D986),Config!$A$12:$A$15,0)),0)+IF(AND(Config!$B$17="Sim",LEFT(D986,17)="Cartão de crédito"),Config!$B$18*IFERROR(INDEX(Config!$C$12:$C$15,MATCH(IF(AND(D986="Cartão de crédito",N(E986)&gt;1),"Cartão de crédito parcelado",D986),Config!$A$12:$A$15,0)),0)/30*MAX(1,N(E986)),0))</f>
        <v/>
      </c>
      <c r="I986" s="29">
        <f>IF(OR(D986="",F986=""),"",ROUND(F986*H986,2))</f>
        <v/>
      </c>
      <c r="J986" s="29">
        <f>IF(I986="","",F986-I986)</f>
        <v/>
      </c>
      <c r="K986" s="29">
        <f>IF(J986="","",J986/MAX(1,N(E986)))</f>
        <v/>
      </c>
      <c r="L986" s="37">
        <f>IF(OR(D986="",A986=""),"",A986+IF(AND(Config!$B$17="Sim",LEFT(D986,17)="Cartão de crédito"),1,IFERROR(INDEX(Config!$C$12:$C$15,MATCH(IF(AND(D986="Cartão de crédito",N(E986)&gt;1),"Cartão de crédito parcelado",D986),Config!$A$12:$A$15,0)),0)))</f>
        <v/>
      </c>
      <c r="M986" s="37">
        <f>IF(L986="","",IF(AND(Config!$B$17="Sim",LEFT(D986,17)="Cartão de crédito"),L986,L986+30*(MAX(1,N(E986))-1)))</f>
        <v/>
      </c>
      <c r="N986" s="29">
        <f>IF(OR(L986="",K986=""),"",K986*MIN(MAX(1,N(E986)),MAX(0,INT((Config!$B$8-L986)/30)+1)))</f>
        <v/>
      </c>
      <c r="O986" s="29">
        <f>IF(J986="","",J986-N(N986))</f>
        <v/>
      </c>
      <c r="P986" s="27">
        <f>IF(A986="","",MONTH(A986))</f>
        <v/>
      </c>
      <c r="Q986" s="27">
        <f>IF(A986="","",YEAR(A986))</f>
        <v/>
      </c>
      <c r="R986" s="27">
        <f>IF(L986="","",IF(L986&gt;Config!$B$8,"A cair",IF(N(G986)&gt;=MIN(MAX(1,N(E986)),MAX(0,INT((Config!$B$8-L986)/30)+1)),IF(N(G986)&gt;=MAX(1,N(E986)),"Conferido","Conferido até aqui"),"A conferir")))</f>
        <v/>
      </c>
      <c r="S986" s="51">
        <f>IF(R986="A conferir",(Config!$B$8-L986)*1000+N(F986)/1000+ROW()/100000,0)</f>
        <v>0</v>
      </c>
      <c r="T986" s="51">
        <f>IF(R986="A conferir",N(N986),0)</f>
        <v>0</v>
      </c>
      <c r="U986" s="51">
        <f>IF(L986="",0,L986)</f>
        <v>0</v>
      </c>
      <c r="V986" s="51">
        <f>IF(L986="",0,MAX(1,N(E986)))</f>
        <v>0</v>
      </c>
      <c r="W986" s="51">
        <f>IF(K986="",0,K986)</f>
        <v>0</v>
      </c>
    </row>
    <row r="987">
      <c r="A987" s="49" t="n"/>
      <c r="B987" s="41" t="n"/>
      <c r="C987" s="41" t="n"/>
      <c r="D987" s="42" t="n"/>
      <c r="E987" s="42" t="n"/>
      <c r="F987" s="50" t="n"/>
      <c r="G987" s="42" t="n"/>
      <c r="H987" s="30">
        <f>IF(D987="","",IFERROR(INDEX(Config!$B$12:$B$15,MATCH(IF(AND(D987="Cartão de crédito",N(E987)&gt;1),"Cartão de crédito parcelado",D987),Config!$A$12:$A$15,0)),0)+IF(AND(Config!$B$17="Sim",LEFT(D987,17)="Cartão de crédito"),Config!$B$18*IFERROR(INDEX(Config!$C$12:$C$15,MATCH(IF(AND(D987="Cartão de crédito",N(E987)&gt;1),"Cartão de crédito parcelado",D987),Config!$A$12:$A$15,0)),0)/30*MAX(1,N(E987)),0))</f>
        <v/>
      </c>
      <c r="I987" s="29">
        <f>IF(OR(D987="",F987=""),"",ROUND(F987*H987,2))</f>
        <v/>
      </c>
      <c r="J987" s="29">
        <f>IF(I987="","",F987-I987)</f>
        <v/>
      </c>
      <c r="K987" s="29">
        <f>IF(J987="","",J987/MAX(1,N(E987)))</f>
        <v/>
      </c>
      <c r="L987" s="37">
        <f>IF(OR(D987="",A987=""),"",A987+IF(AND(Config!$B$17="Sim",LEFT(D987,17)="Cartão de crédito"),1,IFERROR(INDEX(Config!$C$12:$C$15,MATCH(IF(AND(D987="Cartão de crédito",N(E987)&gt;1),"Cartão de crédito parcelado",D987),Config!$A$12:$A$15,0)),0)))</f>
        <v/>
      </c>
      <c r="M987" s="37">
        <f>IF(L987="","",IF(AND(Config!$B$17="Sim",LEFT(D987,17)="Cartão de crédito"),L987,L987+30*(MAX(1,N(E987))-1)))</f>
        <v/>
      </c>
      <c r="N987" s="29">
        <f>IF(OR(L987="",K987=""),"",K987*MIN(MAX(1,N(E987)),MAX(0,INT((Config!$B$8-L987)/30)+1)))</f>
        <v/>
      </c>
      <c r="O987" s="29">
        <f>IF(J987="","",J987-N(N987))</f>
        <v/>
      </c>
      <c r="P987" s="27">
        <f>IF(A987="","",MONTH(A987))</f>
        <v/>
      </c>
      <c r="Q987" s="27">
        <f>IF(A987="","",YEAR(A987))</f>
        <v/>
      </c>
      <c r="R987" s="27">
        <f>IF(L987="","",IF(L987&gt;Config!$B$8,"A cair",IF(N(G987)&gt;=MIN(MAX(1,N(E987)),MAX(0,INT((Config!$B$8-L987)/30)+1)),IF(N(G987)&gt;=MAX(1,N(E987)),"Conferido","Conferido até aqui"),"A conferir")))</f>
        <v/>
      </c>
      <c r="S987" s="51">
        <f>IF(R987="A conferir",(Config!$B$8-L987)*1000+N(F987)/1000+ROW()/100000,0)</f>
        <v>0</v>
      </c>
      <c r="T987" s="51">
        <f>IF(R987="A conferir",N(N987),0)</f>
        <v>0</v>
      </c>
      <c r="U987" s="51">
        <f>IF(L987="",0,L987)</f>
        <v>0</v>
      </c>
      <c r="V987" s="51">
        <f>IF(L987="",0,MAX(1,N(E987)))</f>
        <v>0</v>
      </c>
      <c r="W987" s="51">
        <f>IF(K987="",0,K987)</f>
        <v>0</v>
      </c>
    </row>
    <row r="988">
      <c r="A988" s="49" t="n"/>
      <c r="B988" s="41" t="n"/>
      <c r="C988" s="41" t="n"/>
      <c r="D988" s="42" t="n"/>
      <c r="E988" s="42" t="n"/>
      <c r="F988" s="50" t="n"/>
      <c r="G988" s="42" t="n"/>
      <c r="H988" s="30">
        <f>IF(D988="","",IFERROR(INDEX(Config!$B$12:$B$15,MATCH(IF(AND(D988="Cartão de crédito",N(E988)&gt;1),"Cartão de crédito parcelado",D988),Config!$A$12:$A$15,0)),0)+IF(AND(Config!$B$17="Sim",LEFT(D988,17)="Cartão de crédito"),Config!$B$18*IFERROR(INDEX(Config!$C$12:$C$15,MATCH(IF(AND(D988="Cartão de crédito",N(E988)&gt;1),"Cartão de crédito parcelado",D988),Config!$A$12:$A$15,0)),0)/30*MAX(1,N(E988)),0))</f>
        <v/>
      </c>
      <c r="I988" s="29">
        <f>IF(OR(D988="",F988=""),"",ROUND(F988*H988,2))</f>
        <v/>
      </c>
      <c r="J988" s="29">
        <f>IF(I988="","",F988-I988)</f>
        <v/>
      </c>
      <c r="K988" s="29">
        <f>IF(J988="","",J988/MAX(1,N(E988)))</f>
        <v/>
      </c>
      <c r="L988" s="37">
        <f>IF(OR(D988="",A988=""),"",A988+IF(AND(Config!$B$17="Sim",LEFT(D988,17)="Cartão de crédito"),1,IFERROR(INDEX(Config!$C$12:$C$15,MATCH(IF(AND(D988="Cartão de crédito",N(E988)&gt;1),"Cartão de crédito parcelado",D988),Config!$A$12:$A$15,0)),0)))</f>
        <v/>
      </c>
      <c r="M988" s="37">
        <f>IF(L988="","",IF(AND(Config!$B$17="Sim",LEFT(D988,17)="Cartão de crédito"),L988,L988+30*(MAX(1,N(E988))-1)))</f>
        <v/>
      </c>
      <c r="N988" s="29">
        <f>IF(OR(L988="",K988=""),"",K988*MIN(MAX(1,N(E988)),MAX(0,INT((Config!$B$8-L988)/30)+1)))</f>
        <v/>
      </c>
      <c r="O988" s="29">
        <f>IF(J988="","",J988-N(N988))</f>
        <v/>
      </c>
      <c r="P988" s="27">
        <f>IF(A988="","",MONTH(A988))</f>
        <v/>
      </c>
      <c r="Q988" s="27">
        <f>IF(A988="","",YEAR(A988))</f>
        <v/>
      </c>
      <c r="R988" s="27">
        <f>IF(L988="","",IF(L988&gt;Config!$B$8,"A cair",IF(N(G988)&gt;=MIN(MAX(1,N(E988)),MAX(0,INT((Config!$B$8-L988)/30)+1)),IF(N(G988)&gt;=MAX(1,N(E988)),"Conferido","Conferido até aqui"),"A conferir")))</f>
        <v/>
      </c>
      <c r="S988" s="51">
        <f>IF(R988="A conferir",(Config!$B$8-L988)*1000+N(F988)/1000+ROW()/100000,0)</f>
        <v>0</v>
      </c>
      <c r="T988" s="51">
        <f>IF(R988="A conferir",N(N988),0)</f>
        <v>0</v>
      </c>
      <c r="U988" s="51">
        <f>IF(L988="",0,L988)</f>
        <v>0</v>
      </c>
      <c r="V988" s="51">
        <f>IF(L988="",0,MAX(1,N(E988)))</f>
        <v>0</v>
      </c>
      <c r="W988" s="51">
        <f>IF(K988="",0,K988)</f>
        <v>0</v>
      </c>
    </row>
    <row r="989">
      <c r="A989" s="49" t="n"/>
      <c r="B989" s="41" t="n"/>
      <c r="C989" s="41" t="n"/>
      <c r="D989" s="42" t="n"/>
      <c r="E989" s="42" t="n"/>
      <c r="F989" s="50" t="n"/>
      <c r="G989" s="42" t="n"/>
      <c r="H989" s="30">
        <f>IF(D989="","",IFERROR(INDEX(Config!$B$12:$B$15,MATCH(IF(AND(D989="Cartão de crédito",N(E989)&gt;1),"Cartão de crédito parcelado",D989),Config!$A$12:$A$15,0)),0)+IF(AND(Config!$B$17="Sim",LEFT(D989,17)="Cartão de crédito"),Config!$B$18*IFERROR(INDEX(Config!$C$12:$C$15,MATCH(IF(AND(D989="Cartão de crédito",N(E989)&gt;1),"Cartão de crédito parcelado",D989),Config!$A$12:$A$15,0)),0)/30*MAX(1,N(E989)),0))</f>
        <v/>
      </c>
      <c r="I989" s="29">
        <f>IF(OR(D989="",F989=""),"",ROUND(F989*H989,2))</f>
        <v/>
      </c>
      <c r="J989" s="29">
        <f>IF(I989="","",F989-I989)</f>
        <v/>
      </c>
      <c r="K989" s="29">
        <f>IF(J989="","",J989/MAX(1,N(E989)))</f>
        <v/>
      </c>
      <c r="L989" s="37">
        <f>IF(OR(D989="",A989=""),"",A989+IF(AND(Config!$B$17="Sim",LEFT(D989,17)="Cartão de crédito"),1,IFERROR(INDEX(Config!$C$12:$C$15,MATCH(IF(AND(D989="Cartão de crédito",N(E989)&gt;1),"Cartão de crédito parcelado",D989),Config!$A$12:$A$15,0)),0)))</f>
        <v/>
      </c>
      <c r="M989" s="37">
        <f>IF(L989="","",IF(AND(Config!$B$17="Sim",LEFT(D989,17)="Cartão de crédito"),L989,L989+30*(MAX(1,N(E989))-1)))</f>
        <v/>
      </c>
      <c r="N989" s="29">
        <f>IF(OR(L989="",K989=""),"",K989*MIN(MAX(1,N(E989)),MAX(0,INT((Config!$B$8-L989)/30)+1)))</f>
        <v/>
      </c>
      <c r="O989" s="29">
        <f>IF(J989="","",J989-N(N989))</f>
        <v/>
      </c>
      <c r="P989" s="27">
        <f>IF(A989="","",MONTH(A989))</f>
        <v/>
      </c>
      <c r="Q989" s="27">
        <f>IF(A989="","",YEAR(A989))</f>
        <v/>
      </c>
      <c r="R989" s="27">
        <f>IF(L989="","",IF(L989&gt;Config!$B$8,"A cair",IF(N(G989)&gt;=MIN(MAX(1,N(E989)),MAX(0,INT((Config!$B$8-L989)/30)+1)),IF(N(G989)&gt;=MAX(1,N(E989)),"Conferido","Conferido até aqui"),"A conferir")))</f>
        <v/>
      </c>
      <c r="S989" s="51">
        <f>IF(R989="A conferir",(Config!$B$8-L989)*1000+N(F989)/1000+ROW()/100000,0)</f>
        <v>0</v>
      </c>
      <c r="T989" s="51">
        <f>IF(R989="A conferir",N(N989),0)</f>
        <v>0</v>
      </c>
      <c r="U989" s="51">
        <f>IF(L989="",0,L989)</f>
        <v>0</v>
      </c>
      <c r="V989" s="51">
        <f>IF(L989="",0,MAX(1,N(E989)))</f>
        <v>0</v>
      </c>
      <c r="W989" s="51">
        <f>IF(K989="",0,K989)</f>
        <v>0</v>
      </c>
    </row>
    <row r="990">
      <c r="A990" s="49" t="n"/>
      <c r="B990" s="41" t="n"/>
      <c r="C990" s="41" t="n"/>
      <c r="D990" s="42" t="n"/>
      <c r="E990" s="42" t="n"/>
      <c r="F990" s="50" t="n"/>
      <c r="G990" s="42" t="n"/>
      <c r="H990" s="30">
        <f>IF(D990="","",IFERROR(INDEX(Config!$B$12:$B$15,MATCH(IF(AND(D990="Cartão de crédito",N(E990)&gt;1),"Cartão de crédito parcelado",D990),Config!$A$12:$A$15,0)),0)+IF(AND(Config!$B$17="Sim",LEFT(D990,17)="Cartão de crédito"),Config!$B$18*IFERROR(INDEX(Config!$C$12:$C$15,MATCH(IF(AND(D990="Cartão de crédito",N(E990)&gt;1),"Cartão de crédito parcelado",D990),Config!$A$12:$A$15,0)),0)/30*MAX(1,N(E990)),0))</f>
        <v/>
      </c>
      <c r="I990" s="29">
        <f>IF(OR(D990="",F990=""),"",ROUND(F990*H990,2))</f>
        <v/>
      </c>
      <c r="J990" s="29">
        <f>IF(I990="","",F990-I990)</f>
        <v/>
      </c>
      <c r="K990" s="29">
        <f>IF(J990="","",J990/MAX(1,N(E990)))</f>
        <v/>
      </c>
      <c r="L990" s="37">
        <f>IF(OR(D990="",A990=""),"",A990+IF(AND(Config!$B$17="Sim",LEFT(D990,17)="Cartão de crédito"),1,IFERROR(INDEX(Config!$C$12:$C$15,MATCH(IF(AND(D990="Cartão de crédito",N(E990)&gt;1),"Cartão de crédito parcelado",D990),Config!$A$12:$A$15,0)),0)))</f>
        <v/>
      </c>
      <c r="M990" s="37">
        <f>IF(L990="","",IF(AND(Config!$B$17="Sim",LEFT(D990,17)="Cartão de crédito"),L990,L990+30*(MAX(1,N(E990))-1)))</f>
        <v/>
      </c>
      <c r="N990" s="29">
        <f>IF(OR(L990="",K990=""),"",K990*MIN(MAX(1,N(E990)),MAX(0,INT((Config!$B$8-L990)/30)+1)))</f>
        <v/>
      </c>
      <c r="O990" s="29">
        <f>IF(J990="","",J990-N(N990))</f>
        <v/>
      </c>
      <c r="P990" s="27">
        <f>IF(A990="","",MONTH(A990))</f>
        <v/>
      </c>
      <c r="Q990" s="27">
        <f>IF(A990="","",YEAR(A990))</f>
        <v/>
      </c>
      <c r="R990" s="27">
        <f>IF(L990="","",IF(L990&gt;Config!$B$8,"A cair",IF(N(G990)&gt;=MIN(MAX(1,N(E990)),MAX(0,INT((Config!$B$8-L990)/30)+1)),IF(N(G990)&gt;=MAX(1,N(E990)),"Conferido","Conferido até aqui"),"A conferir")))</f>
        <v/>
      </c>
      <c r="S990" s="51">
        <f>IF(R990="A conferir",(Config!$B$8-L990)*1000+N(F990)/1000+ROW()/100000,0)</f>
        <v>0</v>
      </c>
      <c r="T990" s="51">
        <f>IF(R990="A conferir",N(N990),0)</f>
        <v>0</v>
      </c>
      <c r="U990" s="51">
        <f>IF(L990="",0,L990)</f>
        <v>0</v>
      </c>
      <c r="V990" s="51">
        <f>IF(L990="",0,MAX(1,N(E990)))</f>
        <v>0</v>
      </c>
      <c r="W990" s="51">
        <f>IF(K990="",0,K990)</f>
        <v>0</v>
      </c>
    </row>
    <row r="991">
      <c r="A991" s="49" t="n"/>
      <c r="B991" s="41" t="n"/>
      <c r="C991" s="41" t="n"/>
      <c r="D991" s="42" t="n"/>
      <c r="E991" s="42" t="n"/>
      <c r="F991" s="50" t="n"/>
      <c r="G991" s="42" t="n"/>
      <c r="H991" s="30">
        <f>IF(D991="","",IFERROR(INDEX(Config!$B$12:$B$15,MATCH(IF(AND(D991="Cartão de crédito",N(E991)&gt;1),"Cartão de crédito parcelado",D991),Config!$A$12:$A$15,0)),0)+IF(AND(Config!$B$17="Sim",LEFT(D991,17)="Cartão de crédito"),Config!$B$18*IFERROR(INDEX(Config!$C$12:$C$15,MATCH(IF(AND(D991="Cartão de crédito",N(E991)&gt;1),"Cartão de crédito parcelado",D991),Config!$A$12:$A$15,0)),0)/30*MAX(1,N(E991)),0))</f>
        <v/>
      </c>
      <c r="I991" s="29">
        <f>IF(OR(D991="",F991=""),"",ROUND(F991*H991,2))</f>
        <v/>
      </c>
      <c r="J991" s="29">
        <f>IF(I991="","",F991-I991)</f>
        <v/>
      </c>
      <c r="K991" s="29">
        <f>IF(J991="","",J991/MAX(1,N(E991)))</f>
        <v/>
      </c>
      <c r="L991" s="37">
        <f>IF(OR(D991="",A991=""),"",A991+IF(AND(Config!$B$17="Sim",LEFT(D991,17)="Cartão de crédito"),1,IFERROR(INDEX(Config!$C$12:$C$15,MATCH(IF(AND(D991="Cartão de crédito",N(E991)&gt;1),"Cartão de crédito parcelado",D991),Config!$A$12:$A$15,0)),0)))</f>
        <v/>
      </c>
      <c r="M991" s="37">
        <f>IF(L991="","",IF(AND(Config!$B$17="Sim",LEFT(D991,17)="Cartão de crédito"),L991,L991+30*(MAX(1,N(E991))-1)))</f>
        <v/>
      </c>
      <c r="N991" s="29">
        <f>IF(OR(L991="",K991=""),"",K991*MIN(MAX(1,N(E991)),MAX(0,INT((Config!$B$8-L991)/30)+1)))</f>
        <v/>
      </c>
      <c r="O991" s="29">
        <f>IF(J991="","",J991-N(N991))</f>
        <v/>
      </c>
      <c r="P991" s="27">
        <f>IF(A991="","",MONTH(A991))</f>
        <v/>
      </c>
      <c r="Q991" s="27">
        <f>IF(A991="","",YEAR(A991))</f>
        <v/>
      </c>
      <c r="R991" s="27">
        <f>IF(L991="","",IF(L991&gt;Config!$B$8,"A cair",IF(N(G991)&gt;=MIN(MAX(1,N(E991)),MAX(0,INT((Config!$B$8-L991)/30)+1)),IF(N(G991)&gt;=MAX(1,N(E991)),"Conferido","Conferido até aqui"),"A conferir")))</f>
        <v/>
      </c>
      <c r="S991" s="51">
        <f>IF(R991="A conferir",(Config!$B$8-L991)*1000+N(F991)/1000+ROW()/100000,0)</f>
        <v>0</v>
      </c>
      <c r="T991" s="51">
        <f>IF(R991="A conferir",N(N991),0)</f>
        <v>0</v>
      </c>
      <c r="U991" s="51">
        <f>IF(L991="",0,L991)</f>
        <v>0</v>
      </c>
      <c r="V991" s="51">
        <f>IF(L991="",0,MAX(1,N(E991)))</f>
        <v>0</v>
      </c>
      <c r="W991" s="51">
        <f>IF(K991="",0,K991)</f>
        <v>0</v>
      </c>
    </row>
    <row r="992">
      <c r="A992" s="49" t="n"/>
      <c r="B992" s="41" t="n"/>
      <c r="C992" s="41" t="n"/>
      <c r="D992" s="42" t="n"/>
      <c r="E992" s="42" t="n"/>
      <c r="F992" s="50" t="n"/>
      <c r="G992" s="42" t="n"/>
      <c r="H992" s="30">
        <f>IF(D992="","",IFERROR(INDEX(Config!$B$12:$B$15,MATCH(IF(AND(D992="Cartão de crédito",N(E992)&gt;1),"Cartão de crédito parcelado",D992),Config!$A$12:$A$15,0)),0)+IF(AND(Config!$B$17="Sim",LEFT(D992,17)="Cartão de crédito"),Config!$B$18*IFERROR(INDEX(Config!$C$12:$C$15,MATCH(IF(AND(D992="Cartão de crédito",N(E992)&gt;1),"Cartão de crédito parcelado",D992),Config!$A$12:$A$15,0)),0)/30*MAX(1,N(E992)),0))</f>
        <v/>
      </c>
      <c r="I992" s="29">
        <f>IF(OR(D992="",F992=""),"",ROUND(F992*H992,2))</f>
        <v/>
      </c>
      <c r="J992" s="29">
        <f>IF(I992="","",F992-I992)</f>
        <v/>
      </c>
      <c r="K992" s="29">
        <f>IF(J992="","",J992/MAX(1,N(E992)))</f>
        <v/>
      </c>
      <c r="L992" s="37">
        <f>IF(OR(D992="",A992=""),"",A992+IF(AND(Config!$B$17="Sim",LEFT(D992,17)="Cartão de crédito"),1,IFERROR(INDEX(Config!$C$12:$C$15,MATCH(IF(AND(D992="Cartão de crédito",N(E992)&gt;1),"Cartão de crédito parcelado",D992),Config!$A$12:$A$15,0)),0)))</f>
        <v/>
      </c>
      <c r="M992" s="37">
        <f>IF(L992="","",IF(AND(Config!$B$17="Sim",LEFT(D992,17)="Cartão de crédito"),L992,L992+30*(MAX(1,N(E992))-1)))</f>
        <v/>
      </c>
      <c r="N992" s="29">
        <f>IF(OR(L992="",K992=""),"",K992*MIN(MAX(1,N(E992)),MAX(0,INT((Config!$B$8-L992)/30)+1)))</f>
        <v/>
      </c>
      <c r="O992" s="29">
        <f>IF(J992="","",J992-N(N992))</f>
        <v/>
      </c>
      <c r="P992" s="27">
        <f>IF(A992="","",MONTH(A992))</f>
        <v/>
      </c>
      <c r="Q992" s="27">
        <f>IF(A992="","",YEAR(A992))</f>
        <v/>
      </c>
      <c r="R992" s="27">
        <f>IF(L992="","",IF(L992&gt;Config!$B$8,"A cair",IF(N(G992)&gt;=MIN(MAX(1,N(E992)),MAX(0,INT((Config!$B$8-L992)/30)+1)),IF(N(G992)&gt;=MAX(1,N(E992)),"Conferido","Conferido até aqui"),"A conferir")))</f>
        <v/>
      </c>
      <c r="S992" s="51">
        <f>IF(R992="A conferir",(Config!$B$8-L992)*1000+N(F992)/1000+ROW()/100000,0)</f>
        <v>0</v>
      </c>
      <c r="T992" s="51">
        <f>IF(R992="A conferir",N(N992),0)</f>
        <v>0</v>
      </c>
      <c r="U992" s="51">
        <f>IF(L992="",0,L992)</f>
        <v>0</v>
      </c>
      <c r="V992" s="51">
        <f>IF(L992="",0,MAX(1,N(E992)))</f>
        <v>0</v>
      </c>
      <c r="W992" s="51">
        <f>IF(K992="",0,K992)</f>
        <v>0</v>
      </c>
    </row>
    <row r="993">
      <c r="A993" s="49" t="n"/>
      <c r="B993" s="41" t="n"/>
      <c r="C993" s="41" t="n"/>
      <c r="D993" s="42" t="n"/>
      <c r="E993" s="42" t="n"/>
      <c r="F993" s="50" t="n"/>
      <c r="G993" s="42" t="n"/>
      <c r="H993" s="30">
        <f>IF(D993="","",IFERROR(INDEX(Config!$B$12:$B$15,MATCH(IF(AND(D993="Cartão de crédito",N(E993)&gt;1),"Cartão de crédito parcelado",D993),Config!$A$12:$A$15,0)),0)+IF(AND(Config!$B$17="Sim",LEFT(D993,17)="Cartão de crédito"),Config!$B$18*IFERROR(INDEX(Config!$C$12:$C$15,MATCH(IF(AND(D993="Cartão de crédito",N(E993)&gt;1),"Cartão de crédito parcelado",D993),Config!$A$12:$A$15,0)),0)/30*MAX(1,N(E993)),0))</f>
        <v/>
      </c>
      <c r="I993" s="29">
        <f>IF(OR(D993="",F993=""),"",ROUND(F993*H993,2))</f>
        <v/>
      </c>
      <c r="J993" s="29">
        <f>IF(I993="","",F993-I993)</f>
        <v/>
      </c>
      <c r="K993" s="29">
        <f>IF(J993="","",J993/MAX(1,N(E993)))</f>
        <v/>
      </c>
      <c r="L993" s="37">
        <f>IF(OR(D993="",A993=""),"",A993+IF(AND(Config!$B$17="Sim",LEFT(D993,17)="Cartão de crédito"),1,IFERROR(INDEX(Config!$C$12:$C$15,MATCH(IF(AND(D993="Cartão de crédito",N(E993)&gt;1),"Cartão de crédito parcelado",D993),Config!$A$12:$A$15,0)),0)))</f>
        <v/>
      </c>
      <c r="M993" s="37">
        <f>IF(L993="","",IF(AND(Config!$B$17="Sim",LEFT(D993,17)="Cartão de crédito"),L993,L993+30*(MAX(1,N(E993))-1)))</f>
        <v/>
      </c>
      <c r="N993" s="29">
        <f>IF(OR(L993="",K993=""),"",K993*MIN(MAX(1,N(E993)),MAX(0,INT((Config!$B$8-L993)/30)+1)))</f>
        <v/>
      </c>
      <c r="O993" s="29">
        <f>IF(J993="","",J993-N(N993))</f>
        <v/>
      </c>
      <c r="P993" s="27">
        <f>IF(A993="","",MONTH(A993))</f>
        <v/>
      </c>
      <c r="Q993" s="27">
        <f>IF(A993="","",YEAR(A993))</f>
        <v/>
      </c>
      <c r="R993" s="27">
        <f>IF(L993="","",IF(L993&gt;Config!$B$8,"A cair",IF(N(G993)&gt;=MIN(MAX(1,N(E993)),MAX(0,INT((Config!$B$8-L993)/30)+1)),IF(N(G993)&gt;=MAX(1,N(E993)),"Conferido","Conferido até aqui"),"A conferir")))</f>
        <v/>
      </c>
      <c r="S993" s="51">
        <f>IF(R993="A conferir",(Config!$B$8-L993)*1000+N(F993)/1000+ROW()/100000,0)</f>
        <v>0</v>
      </c>
      <c r="T993" s="51">
        <f>IF(R993="A conferir",N(N993),0)</f>
        <v>0</v>
      </c>
      <c r="U993" s="51">
        <f>IF(L993="",0,L993)</f>
        <v>0</v>
      </c>
      <c r="V993" s="51">
        <f>IF(L993="",0,MAX(1,N(E993)))</f>
        <v>0</v>
      </c>
      <c r="W993" s="51">
        <f>IF(K993="",0,K993)</f>
        <v>0</v>
      </c>
    </row>
    <row r="994">
      <c r="A994" s="49" t="n"/>
      <c r="B994" s="41" t="n"/>
      <c r="C994" s="41" t="n"/>
      <c r="D994" s="42" t="n"/>
      <c r="E994" s="42" t="n"/>
      <c r="F994" s="50" t="n"/>
      <c r="G994" s="42" t="n"/>
      <c r="H994" s="30">
        <f>IF(D994="","",IFERROR(INDEX(Config!$B$12:$B$15,MATCH(IF(AND(D994="Cartão de crédito",N(E994)&gt;1),"Cartão de crédito parcelado",D994),Config!$A$12:$A$15,0)),0)+IF(AND(Config!$B$17="Sim",LEFT(D994,17)="Cartão de crédito"),Config!$B$18*IFERROR(INDEX(Config!$C$12:$C$15,MATCH(IF(AND(D994="Cartão de crédito",N(E994)&gt;1),"Cartão de crédito parcelado",D994),Config!$A$12:$A$15,0)),0)/30*MAX(1,N(E994)),0))</f>
        <v/>
      </c>
      <c r="I994" s="29">
        <f>IF(OR(D994="",F994=""),"",ROUND(F994*H994,2))</f>
        <v/>
      </c>
      <c r="J994" s="29">
        <f>IF(I994="","",F994-I994)</f>
        <v/>
      </c>
      <c r="K994" s="29">
        <f>IF(J994="","",J994/MAX(1,N(E994)))</f>
        <v/>
      </c>
      <c r="L994" s="37">
        <f>IF(OR(D994="",A994=""),"",A994+IF(AND(Config!$B$17="Sim",LEFT(D994,17)="Cartão de crédito"),1,IFERROR(INDEX(Config!$C$12:$C$15,MATCH(IF(AND(D994="Cartão de crédito",N(E994)&gt;1),"Cartão de crédito parcelado",D994),Config!$A$12:$A$15,0)),0)))</f>
        <v/>
      </c>
      <c r="M994" s="37">
        <f>IF(L994="","",IF(AND(Config!$B$17="Sim",LEFT(D994,17)="Cartão de crédito"),L994,L994+30*(MAX(1,N(E994))-1)))</f>
        <v/>
      </c>
      <c r="N994" s="29">
        <f>IF(OR(L994="",K994=""),"",K994*MIN(MAX(1,N(E994)),MAX(0,INT((Config!$B$8-L994)/30)+1)))</f>
        <v/>
      </c>
      <c r="O994" s="29">
        <f>IF(J994="","",J994-N(N994))</f>
        <v/>
      </c>
      <c r="P994" s="27">
        <f>IF(A994="","",MONTH(A994))</f>
        <v/>
      </c>
      <c r="Q994" s="27">
        <f>IF(A994="","",YEAR(A994))</f>
        <v/>
      </c>
      <c r="R994" s="27">
        <f>IF(L994="","",IF(L994&gt;Config!$B$8,"A cair",IF(N(G994)&gt;=MIN(MAX(1,N(E994)),MAX(0,INT((Config!$B$8-L994)/30)+1)),IF(N(G994)&gt;=MAX(1,N(E994)),"Conferido","Conferido até aqui"),"A conferir")))</f>
        <v/>
      </c>
      <c r="S994" s="51">
        <f>IF(R994="A conferir",(Config!$B$8-L994)*1000+N(F994)/1000+ROW()/100000,0)</f>
        <v>0</v>
      </c>
      <c r="T994" s="51">
        <f>IF(R994="A conferir",N(N994),0)</f>
        <v>0</v>
      </c>
      <c r="U994" s="51">
        <f>IF(L994="",0,L994)</f>
        <v>0</v>
      </c>
      <c r="V994" s="51">
        <f>IF(L994="",0,MAX(1,N(E994)))</f>
        <v>0</v>
      </c>
      <c r="W994" s="51">
        <f>IF(K994="",0,K994)</f>
        <v>0</v>
      </c>
    </row>
    <row r="995">
      <c r="A995" s="49" t="n"/>
      <c r="B995" s="41" t="n"/>
      <c r="C995" s="41" t="n"/>
      <c r="D995" s="42" t="n"/>
      <c r="E995" s="42" t="n"/>
      <c r="F995" s="50" t="n"/>
      <c r="G995" s="42" t="n"/>
      <c r="H995" s="30">
        <f>IF(D995="","",IFERROR(INDEX(Config!$B$12:$B$15,MATCH(IF(AND(D995="Cartão de crédito",N(E995)&gt;1),"Cartão de crédito parcelado",D995),Config!$A$12:$A$15,0)),0)+IF(AND(Config!$B$17="Sim",LEFT(D995,17)="Cartão de crédito"),Config!$B$18*IFERROR(INDEX(Config!$C$12:$C$15,MATCH(IF(AND(D995="Cartão de crédito",N(E995)&gt;1),"Cartão de crédito parcelado",D995),Config!$A$12:$A$15,0)),0)/30*MAX(1,N(E995)),0))</f>
        <v/>
      </c>
      <c r="I995" s="29">
        <f>IF(OR(D995="",F995=""),"",ROUND(F995*H995,2))</f>
        <v/>
      </c>
      <c r="J995" s="29">
        <f>IF(I995="","",F995-I995)</f>
        <v/>
      </c>
      <c r="K995" s="29">
        <f>IF(J995="","",J995/MAX(1,N(E995)))</f>
        <v/>
      </c>
      <c r="L995" s="37">
        <f>IF(OR(D995="",A995=""),"",A995+IF(AND(Config!$B$17="Sim",LEFT(D995,17)="Cartão de crédito"),1,IFERROR(INDEX(Config!$C$12:$C$15,MATCH(IF(AND(D995="Cartão de crédito",N(E995)&gt;1),"Cartão de crédito parcelado",D995),Config!$A$12:$A$15,0)),0)))</f>
        <v/>
      </c>
      <c r="M995" s="37">
        <f>IF(L995="","",IF(AND(Config!$B$17="Sim",LEFT(D995,17)="Cartão de crédito"),L995,L995+30*(MAX(1,N(E995))-1)))</f>
        <v/>
      </c>
      <c r="N995" s="29">
        <f>IF(OR(L995="",K995=""),"",K995*MIN(MAX(1,N(E995)),MAX(0,INT((Config!$B$8-L995)/30)+1)))</f>
        <v/>
      </c>
      <c r="O995" s="29">
        <f>IF(J995="","",J995-N(N995))</f>
        <v/>
      </c>
      <c r="P995" s="27">
        <f>IF(A995="","",MONTH(A995))</f>
        <v/>
      </c>
      <c r="Q995" s="27">
        <f>IF(A995="","",YEAR(A995))</f>
        <v/>
      </c>
      <c r="R995" s="27">
        <f>IF(L995="","",IF(L995&gt;Config!$B$8,"A cair",IF(N(G995)&gt;=MIN(MAX(1,N(E995)),MAX(0,INT((Config!$B$8-L995)/30)+1)),IF(N(G995)&gt;=MAX(1,N(E995)),"Conferido","Conferido até aqui"),"A conferir")))</f>
        <v/>
      </c>
      <c r="S995" s="51">
        <f>IF(R995="A conferir",(Config!$B$8-L995)*1000+N(F995)/1000+ROW()/100000,0)</f>
        <v>0</v>
      </c>
      <c r="T995" s="51">
        <f>IF(R995="A conferir",N(N995),0)</f>
        <v>0</v>
      </c>
      <c r="U995" s="51">
        <f>IF(L995="",0,L995)</f>
        <v>0</v>
      </c>
      <c r="V995" s="51">
        <f>IF(L995="",0,MAX(1,N(E995)))</f>
        <v>0</v>
      </c>
      <c r="W995" s="51">
        <f>IF(K995="",0,K995)</f>
        <v>0</v>
      </c>
    </row>
    <row r="996">
      <c r="A996" s="49" t="n"/>
      <c r="B996" s="41" t="n"/>
      <c r="C996" s="41" t="n"/>
      <c r="D996" s="42" t="n"/>
      <c r="E996" s="42" t="n"/>
      <c r="F996" s="50" t="n"/>
      <c r="G996" s="42" t="n"/>
      <c r="H996" s="30">
        <f>IF(D996="","",IFERROR(INDEX(Config!$B$12:$B$15,MATCH(IF(AND(D996="Cartão de crédito",N(E996)&gt;1),"Cartão de crédito parcelado",D996),Config!$A$12:$A$15,0)),0)+IF(AND(Config!$B$17="Sim",LEFT(D996,17)="Cartão de crédito"),Config!$B$18*IFERROR(INDEX(Config!$C$12:$C$15,MATCH(IF(AND(D996="Cartão de crédito",N(E996)&gt;1),"Cartão de crédito parcelado",D996),Config!$A$12:$A$15,0)),0)/30*MAX(1,N(E996)),0))</f>
        <v/>
      </c>
      <c r="I996" s="29">
        <f>IF(OR(D996="",F996=""),"",ROUND(F996*H996,2))</f>
        <v/>
      </c>
      <c r="J996" s="29">
        <f>IF(I996="","",F996-I996)</f>
        <v/>
      </c>
      <c r="K996" s="29">
        <f>IF(J996="","",J996/MAX(1,N(E996)))</f>
        <v/>
      </c>
      <c r="L996" s="37">
        <f>IF(OR(D996="",A996=""),"",A996+IF(AND(Config!$B$17="Sim",LEFT(D996,17)="Cartão de crédito"),1,IFERROR(INDEX(Config!$C$12:$C$15,MATCH(IF(AND(D996="Cartão de crédito",N(E996)&gt;1),"Cartão de crédito parcelado",D996),Config!$A$12:$A$15,0)),0)))</f>
        <v/>
      </c>
      <c r="M996" s="37">
        <f>IF(L996="","",IF(AND(Config!$B$17="Sim",LEFT(D996,17)="Cartão de crédito"),L996,L996+30*(MAX(1,N(E996))-1)))</f>
        <v/>
      </c>
      <c r="N996" s="29">
        <f>IF(OR(L996="",K996=""),"",K996*MIN(MAX(1,N(E996)),MAX(0,INT((Config!$B$8-L996)/30)+1)))</f>
        <v/>
      </c>
      <c r="O996" s="29">
        <f>IF(J996="","",J996-N(N996))</f>
        <v/>
      </c>
      <c r="P996" s="27">
        <f>IF(A996="","",MONTH(A996))</f>
        <v/>
      </c>
      <c r="Q996" s="27">
        <f>IF(A996="","",YEAR(A996))</f>
        <v/>
      </c>
      <c r="R996" s="27">
        <f>IF(L996="","",IF(L996&gt;Config!$B$8,"A cair",IF(N(G996)&gt;=MIN(MAX(1,N(E996)),MAX(0,INT((Config!$B$8-L996)/30)+1)),IF(N(G996)&gt;=MAX(1,N(E996)),"Conferido","Conferido até aqui"),"A conferir")))</f>
        <v/>
      </c>
      <c r="S996" s="51">
        <f>IF(R996="A conferir",(Config!$B$8-L996)*1000+N(F996)/1000+ROW()/100000,0)</f>
        <v>0</v>
      </c>
      <c r="T996" s="51">
        <f>IF(R996="A conferir",N(N996),0)</f>
        <v>0</v>
      </c>
      <c r="U996" s="51">
        <f>IF(L996="",0,L996)</f>
        <v>0</v>
      </c>
      <c r="V996" s="51">
        <f>IF(L996="",0,MAX(1,N(E996)))</f>
        <v>0</v>
      </c>
      <c r="W996" s="51">
        <f>IF(K996="",0,K996)</f>
        <v>0</v>
      </c>
    </row>
    <row r="997">
      <c r="A997" s="49" t="n"/>
      <c r="B997" s="41" t="n"/>
      <c r="C997" s="41" t="n"/>
      <c r="D997" s="42" t="n"/>
      <c r="E997" s="42" t="n"/>
      <c r="F997" s="50" t="n"/>
      <c r="G997" s="42" t="n"/>
      <c r="H997" s="30">
        <f>IF(D997="","",IFERROR(INDEX(Config!$B$12:$B$15,MATCH(IF(AND(D997="Cartão de crédito",N(E997)&gt;1),"Cartão de crédito parcelado",D997),Config!$A$12:$A$15,0)),0)+IF(AND(Config!$B$17="Sim",LEFT(D997,17)="Cartão de crédito"),Config!$B$18*IFERROR(INDEX(Config!$C$12:$C$15,MATCH(IF(AND(D997="Cartão de crédito",N(E997)&gt;1),"Cartão de crédito parcelado",D997),Config!$A$12:$A$15,0)),0)/30*MAX(1,N(E997)),0))</f>
        <v/>
      </c>
      <c r="I997" s="29">
        <f>IF(OR(D997="",F997=""),"",ROUND(F997*H997,2))</f>
        <v/>
      </c>
      <c r="J997" s="29">
        <f>IF(I997="","",F997-I997)</f>
        <v/>
      </c>
      <c r="K997" s="29">
        <f>IF(J997="","",J997/MAX(1,N(E997)))</f>
        <v/>
      </c>
      <c r="L997" s="37">
        <f>IF(OR(D997="",A997=""),"",A997+IF(AND(Config!$B$17="Sim",LEFT(D997,17)="Cartão de crédito"),1,IFERROR(INDEX(Config!$C$12:$C$15,MATCH(IF(AND(D997="Cartão de crédito",N(E997)&gt;1),"Cartão de crédito parcelado",D997),Config!$A$12:$A$15,0)),0)))</f>
        <v/>
      </c>
      <c r="M997" s="37">
        <f>IF(L997="","",IF(AND(Config!$B$17="Sim",LEFT(D997,17)="Cartão de crédito"),L997,L997+30*(MAX(1,N(E997))-1)))</f>
        <v/>
      </c>
      <c r="N997" s="29">
        <f>IF(OR(L997="",K997=""),"",K997*MIN(MAX(1,N(E997)),MAX(0,INT((Config!$B$8-L997)/30)+1)))</f>
        <v/>
      </c>
      <c r="O997" s="29">
        <f>IF(J997="","",J997-N(N997))</f>
        <v/>
      </c>
      <c r="P997" s="27">
        <f>IF(A997="","",MONTH(A997))</f>
        <v/>
      </c>
      <c r="Q997" s="27">
        <f>IF(A997="","",YEAR(A997))</f>
        <v/>
      </c>
      <c r="R997" s="27">
        <f>IF(L997="","",IF(L997&gt;Config!$B$8,"A cair",IF(N(G997)&gt;=MIN(MAX(1,N(E997)),MAX(0,INT((Config!$B$8-L997)/30)+1)),IF(N(G997)&gt;=MAX(1,N(E997)),"Conferido","Conferido até aqui"),"A conferir")))</f>
        <v/>
      </c>
      <c r="S997" s="51">
        <f>IF(R997="A conferir",(Config!$B$8-L997)*1000+N(F997)/1000+ROW()/100000,0)</f>
        <v>0</v>
      </c>
      <c r="T997" s="51">
        <f>IF(R997="A conferir",N(N997),0)</f>
        <v>0</v>
      </c>
      <c r="U997" s="51">
        <f>IF(L997="",0,L997)</f>
        <v>0</v>
      </c>
      <c r="V997" s="51">
        <f>IF(L997="",0,MAX(1,N(E997)))</f>
        <v>0</v>
      </c>
      <c r="W997" s="51">
        <f>IF(K997="",0,K997)</f>
        <v>0</v>
      </c>
    </row>
    <row r="998">
      <c r="A998" s="49" t="n"/>
      <c r="B998" s="41" t="n"/>
      <c r="C998" s="41" t="n"/>
      <c r="D998" s="42" t="n"/>
      <c r="E998" s="42" t="n"/>
      <c r="F998" s="50" t="n"/>
      <c r="G998" s="42" t="n"/>
      <c r="H998" s="30">
        <f>IF(D998="","",IFERROR(INDEX(Config!$B$12:$B$15,MATCH(IF(AND(D998="Cartão de crédito",N(E998)&gt;1),"Cartão de crédito parcelado",D998),Config!$A$12:$A$15,0)),0)+IF(AND(Config!$B$17="Sim",LEFT(D998,17)="Cartão de crédito"),Config!$B$18*IFERROR(INDEX(Config!$C$12:$C$15,MATCH(IF(AND(D998="Cartão de crédito",N(E998)&gt;1),"Cartão de crédito parcelado",D998),Config!$A$12:$A$15,0)),0)/30*MAX(1,N(E998)),0))</f>
        <v/>
      </c>
      <c r="I998" s="29">
        <f>IF(OR(D998="",F998=""),"",ROUND(F998*H998,2))</f>
        <v/>
      </c>
      <c r="J998" s="29">
        <f>IF(I998="","",F998-I998)</f>
        <v/>
      </c>
      <c r="K998" s="29">
        <f>IF(J998="","",J998/MAX(1,N(E998)))</f>
        <v/>
      </c>
      <c r="L998" s="37">
        <f>IF(OR(D998="",A998=""),"",A998+IF(AND(Config!$B$17="Sim",LEFT(D998,17)="Cartão de crédito"),1,IFERROR(INDEX(Config!$C$12:$C$15,MATCH(IF(AND(D998="Cartão de crédito",N(E998)&gt;1),"Cartão de crédito parcelado",D998),Config!$A$12:$A$15,0)),0)))</f>
        <v/>
      </c>
      <c r="M998" s="37">
        <f>IF(L998="","",IF(AND(Config!$B$17="Sim",LEFT(D998,17)="Cartão de crédito"),L998,L998+30*(MAX(1,N(E998))-1)))</f>
        <v/>
      </c>
      <c r="N998" s="29">
        <f>IF(OR(L998="",K998=""),"",K998*MIN(MAX(1,N(E998)),MAX(0,INT((Config!$B$8-L998)/30)+1)))</f>
        <v/>
      </c>
      <c r="O998" s="29">
        <f>IF(J998="","",J998-N(N998))</f>
        <v/>
      </c>
      <c r="P998" s="27">
        <f>IF(A998="","",MONTH(A998))</f>
        <v/>
      </c>
      <c r="Q998" s="27">
        <f>IF(A998="","",YEAR(A998))</f>
        <v/>
      </c>
      <c r="R998" s="27">
        <f>IF(L998="","",IF(L998&gt;Config!$B$8,"A cair",IF(N(G998)&gt;=MIN(MAX(1,N(E998)),MAX(0,INT((Config!$B$8-L998)/30)+1)),IF(N(G998)&gt;=MAX(1,N(E998)),"Conferido","Conferido até aqui"),"A conferir")))</f>
        <v/>
      </c>
      <c r="S998" s="51">
        <f>IF(R998="A conferir",(Config!$B$8-L998)*1000+N(F998)/1000+ROW()/100000,0)</f>
        <v>0</v>
      </c>
      <c r="T998" s="51">
        <f>IF(R998="A conferir",N(N998),0)</f>
        <v>0</v>
      </c>
      <c r="U998" s="51">
        <f>IF(L998="",0,L998)</f>
        <v>0</v>
      </c>
      <c r="V998" s="51">
        <f>IF(L998="",0,MAX(1,N(E998)))</f>
        <v>0</v>
      </c>
      <c r="W998" s="51">
        <f>IF(K998="",0,K998)</f>
        <v>0</v>
      </c>
    </row>
    <row r="999">
      <c r="A999" s="49" t="n"/>
      <c r="B999" s="41" t="n"/>
      <c r="C999" s="41" t="n"/>
      <c r="D999" s="42" t="n"/>
      <c r="E999" s="42" t="n"/>
      <c r="F999" s="50" t="n"/>
      <c r="G999" s="42" t="n"/>
      <c r="H999" s="30">
        <f>IF(D999="","",IFERROR(INDEX(Config!$B$12:$B$15,MATCH(IF(AND(D999="Cartão de crédito",N(E999)&gt;1),"Cartão de crédito parcelado",D999),Config!$A$12:$A$15,0)),0)+IF(AND(Config!$B$17="Sim",LEFT(D999,17)="Cartão de crédito"),Config!$B$18*IFERROR(INDEX(Config!$C$12:$C$15,MATCH(IF(AND(D999="Cartão de crédito",N(E999)&gt;1),"Cartão de crédito parcelado",D999),Config!$A$12:$A$15,0)),0)/30*MAX(1,N(E999)),0))</f>
        <v/>
      </c>
      <c r="I999" s="29">
        <f>IF(OR(D999="",F999=""),"",ROUND(F999*H999,2))</f>
        <v/>
      </c>
      <c r="J999" s="29">
        <f>IF(I999="","",F999-I999)</f>
        <v/>
      </c>
      <c r="K999" s="29">
        <f>IF(J999="","",J999/MAX(1,N(E999)))</f>
        <v/>
      </c>
      <c r="L999" s="37">
        <f>IF(OR(D999="",A999=""),"",A999+IF(AND(Config!$B$17="Sim",LEFT(D999,17)="Cartão de crédito"),1,IFERROR(INDEX(Config!$C$12:$C$15,MATCH(IF(AND(D999="Cartão de crédito",N(E999)&gt;1),"Cartão de crédito parcelado",D999),Config!$A$12:$A$15,0)),0)))</f>
        <v/>
      </c>
      <c r="M999" s="37">
        <f>IF(L999="","",IF(AND(Config!$B$17="Sim",LEFT(D999,17)="Cartão de crédito"),L999,L999+30*(MAX(1,N(E999))-1)))</f>
        <v/>
      </c>
      <c r="N999" s="29">
        <f>IF(OR(L999="",K999=""),"",K999*MIN(MAX(1,N(E999)),MAX(0,INT((Config!$B$8-L999)/30)+1)))</f>
        <v/>
      </c>
      <c r="O999" s="29">
        <f>IF(J999="","",J999-N(N999))</f>
        <v/>
      </c>
      <c r="P999" s="27">
        <f>IF(A999="","",MONTH(A999))</f>
        <v/>
      </c>
      <c r="Q999" s="27">
        <f>IF(A999="","",YEAR(A999))</f>
        <v/>
      </c>
      <c r="R999" s="27">
        <f>IF(L999="","",IF(L999&gt;Config!$B$8,"A cair",IF(N(G999)&gt;=MIN(MAX(1,N(E999)),MAX(0,INT((Config!$B$8-L999)/30)+1)),IF(N(G999)&gt;=MAX(1,N(E999)),"Conferido","Conferido até aqui"),"A conferir")))</f>
        <v/>
      </c>
      <c r="S999" s="51">
        <f>IF(R999="A conferir",(Config!$B$8-L999)*1000+N(F999)/1000+ROW()/100000,0)</f>
        <v>0</v>
      </c>
      <c r="T999" s="51">
        <f>IF(R999="A conferir",N(N999),0)</f>
        <v>0</v>
      </c>
      <c r="U999" s="51">
        <f>IF(L999="",0,L999)</f>
        <v>0</v>
      </c>
      <c r="V999" s="51">
        <f>IF(L999="",0,MAX(1,N(E999)))</f>
        <v>0</v>
      </c>
      <c r="W999" s="51">
        <f>IF(K999="",0,K999)</f>
        <v>0</v>
      </c>
    </row>
    <row r="1000">
      <c r="A1000" s="49" t="n"/>
      <c r="B1000" s="41" t="n"/>
      <c r="C1000" s="41" t="n"/>
      <c r="D1000" s="42" t="n"/>
      <c r="E1000" s="42" t="n"/>
      <c r="F1000" s="50" t="n"/>
      <c r="G1000" s="42" t="n"/>
      <c r="H1000" s="30">
        <f>IF(D1000="","",IFERROR(INDEX(Config!$B$12:$B$15,MATCH(IF(AND(D1000="Cartão de crédito",N(E1000)&gt;1),"Cartão de crédito parcelado",D1000),Config!$A$12:$A$15,0)),0)+IF(AND(Config!$B$17="Sim",LEFT(D1000,17)="Cartão de crédito"),Config!$B$18*IFERROR(INDEX(Config!$C$12:$C$15,MATCH(IF(AND(D1000="Cartão de crédito",N(E1000)&gt;1),"Cartão de crédito parcelado",D1000),Config!$A$12:$A$15,0)),0)/30*MAX(1,N(E1000)),0))</f>
        <v/>
      </c>
      <c r="I1000" s="29">
        <f>IF(OR(D1000="",F1000=""),"",ROUND(F1000*H1000,2))</f>
        <v/>
      </c>
      <c r="J1000" s="29">
        <f>IF(I1000="","",F1000-I1000)</f>
        <v/>
      </c>
      <c r="K1000" s="29">
        <f>IF(J1000="","",J1000/MAX(1,N(E1000)))</f>
        <v/>
      </c>
      <c r="L1000" s="37">
        <f>IF(OR(D1000="",A1000=""),"",A1000+IF(AND(Config!$B$17="Sim",LEFT(D1000,17)="Cartão de crédito"),1,IFERROR(INDEX(Config!$C$12:$C$15,MATCH(IF(AND(D1000="Cartão de crédito",N(E1000)&gt;1),"Cartão de crédito parcelado",D1000),Config!$A$12:$A$15,0)),0)))</f>
        <v/>
      </c>
      <c r="M1000" s="37">
        <f>IF(L1000="","",IF(AND(Config!$B$17="Sim",LEFT(D1000,17)="Cartão de crédito"),L1000,L1000+30*(MAX(1,N(E1000))-1)))</f>
        <v/>
      </c>
      <c r="N1000" s="29">
        <f>IF(OR(L1000="",K1000=""),"",K1000*MIN(MAX(1,N(E1000)),MAX(0,INT((Config!$B$8-L1000)/30)+1)))</f>
        <v/>
      </c>
      <c r="O1000" s="29">
        <f>IF(J1000="","",J1000-N(N1000))</f>
        <v/>
      </c>
      <c r="P1000" s="27">
        <f>IF(A1000="","",MONTH(A1000))</f>
        <v/>
      </c>
      <c r="Q1000" s="27">
        <f>IF(A1000="","",YEAR(A1000))</f>
        <v/>
      </c>
      <c r="R1000" s="27">
        <f>IF(L1000="","",IF(L1000&gt;Config!$B$8,"A cair",IF(N(G1000)&gt;=MIN(MAX(1,N(E1000)),MAX(0,INT((Config!$B$8-L1000)/30)+1)),IF(N(G1000)&gt;=MAX(1,N(E1000)),"Conferido","Conferido até aqui"),"A conferir")))</f>
        <v/>
      </c>
      <c r="S1000" s="51">
        <f>IF(R1000="A conferir",(Config!$B$8-L1000)*1000+N(F1000)/1000+ROW()/100000,0)</f>
        <v>0</v>
      </c>
      <c r="T1000" s="51">
        <f>IF(R1000="A conferir",N(N1000),0)</f>
        <v>0</v>
      </c>
      <c r="U1000" s="51">
        <f>IF(L1000="",0,L1000)</f>
        <v>0</v>
      </c>
      <c r="V1000" s="51">
        <f>IF(L1000="",0,MAX(1,N(E1000)))</f>
        <v>0</v>
      </c>
      <c r="W1000" s="51">
        <f>IF(K1000="",0,K1000)</f>
        <v>0</v>
      </c>
    </row>
    <row r="1001">
      <c r="A1001" s="49" t="n"/>
      <c r="B1001" s="41" t="n"/>
      <c r="C1001" s="41" t="n"/>
      <c r="D1001" s="42" t="n"/>
      <c r="E1001" s="42" t="n"/>
      <c r="F1001" s="50" t="n"/>
      <c r="G1001" s="42" t="n"/>
      <c r="H1001" s="30">
        <f>IF(D1001="","",IFERROR(INDEX(Config!$B$12:$B$15,MATCH(IF(AND(D1001="Cartão de crédito",N(E1001)&gt;1),"Cartão de crédito parcelado",D1001),Config!$A$12:$A$15,0)),0)+IF(AND(Config!$B$17="Sim",LEFT(D1001,17)="Cartão de crédito"),Config!$B$18*IFERROR(INDEX(Config!$C$12:$C$15,MATCH(IF(AND(D1001="Cartão de crédito",N(E1001)&gt;1),"Cartão de crédito parcelado",D1001),Config!$A$12:$A$15,0)),0)/30*MAX(1,N(E1001)),0))</f>
        <v/>
      </c>
      <c r="I1001" s="29">
        <f>IF(OR(D1001="",F1001=""),"",ROUND(F1001*H1001,2))</f>
        <v/>
      </c>
      <c r="J1001" s="29">
        <f>IF(I1001="","",F1001-I1001)</f>
        <v/>
      </c>
      <c r="K1001" s="29">
        <f>IF(J1001="","",J1001/MAX(1,N(E1001)))</f>
        <v/>
      </c>
      <c r="L1001" s="37">
        <f>IF(OR(D1001="",A1001=""),"",A1001+IF(AND(Config!$B$17="Sim",LEFT(D1001,17)="Cartão de crédito"),1,IFERROR(INDEX(Config!$C$12:$C$15,MATCH(IF(AND(D1001="Cartão de crédito",N(E1001)&gt;1),"Cartão de crédito parcelado",D1001),Config!$A$12:$A$15,0)),0)))</f>
        <v/>
      </c>
      <c r="M1001" s="37">
        <f>IF(L1001="","",IF(AND(Config!$B$17="Sim",LEFT(D1001,17)="Cartão de crédito"),L1001,L1001+30*(MAX(1,N(E1001))-1)))</f>
        <v/>
      </c>
      <c r="N1001" s="29">
        <f>IF(OR(L1001="",K1001=""),"",K1001*MIN(MAX(1,N(E1001)),MAX(0,INT((Config!$B$8-L1001)/30)+1)))</f>
        <v/>
      </c>
      <c r="O1001" s="29">
        <f>IF(J1001="","",J1001-N(N1001))</f>
        <v/>
      </c>
      <c r="P1001" s="27">
        <f>IF(A1001="","",MONTH(A1001))</f>
        <v/>
      </c>
      <c r="Q1001" s="27">
        <f>IF(A1001="","",YEAR(A1001))</f>
        <v/>
      </c>
      <c r="R1001" s="27">
        <f>IF(L1001="","",IF(L1001&gt;Config!$B$8,"A cair",IF(N(G1001)&gt;=MIN(MAX(1,N(E1001)),MAX(0,INT((Config!$B$8-L1001)/30)+1)),IF(N(G1001)&gt;=MAX(1,N(E1001)),"Conferido","Conferido até aqui"),"A conferir")))</f>
        <v/>
      </c>
      <c r="S1001" s="51">
        <f>IF(R1001="A conferir",(Config!$B$8-L1001)*1000+N(F1001)/1000+ROW()/100000,0)</f>
        <v>0</v>
      </c>
      <c r="T1001" s="51">
        <f>IF(R1001="A conferir",N(N1001),0)</f>
        <v>0</v>
      </c>
      <c r="U1001" s="51">
        <f>IF(L1001="",0,L1001)</f>
        <v>0</v>
      </c>
      <c r="V1001" s="51">
        <f>IF(L1001="",0,MAX(1,N(E1001)))</f>
        <v>0</v>
      </c>
      <c r="W1001" s="51">
        <f>IF(K1001="",0,K1001)</f>
        <v>0</v>
      </c>
    </row>
    <row r="1002">
      <c r="A1002" s="49" t="n"/>
      <c r="B1002" s="41" t="n"/>
      <c r="C1002" s="41" t="n"/>
      <c r="D1002" s="42" t="n"/>
      <c r="E1002" s="42" t="n"/>
      <c r="F1002" s="50" t="n"/>
      <c r="G1002" s="42" t="n"/>
      <c r="H1002" s="30">
        <f>IF(D1002="","",IFERROR(INDEX(Config!$B$12:$B$15,MATCH(IF(AND(D1002="Cartão de crédito",N(E1002)&gt;1),"Cartão de crédito parcelado",D1002),Config!$A$12:$A$15,0)),0)+IF(AND(Config!$B$17="Sim",LEFT(D1002,17)="Cartão de crédito"),Config!$B$18*IFERROR(INDEX(Config!$C$12:$C$15,MATCH(IF(AND(D1002="Cartão de crédito",N(E1002)&gt;1),"Cartão de crédito parcelado",D1002),Config!$A$12:$A$15,0)),0)/30*MAX(1,N(E1002)),0))</f>
        <v/>
      </c>
      <c r="I1002" s="29">
        <f>IF(OR(D1002="",F1002=""),"",ROUND(F1002*H1002,2))</f>
        <v/>
      </c>
      <c r="J1002" s="29">
        <f>IF(I1002="","",F1002-I1002)</f>
        <v/>
      </c>
      <c r="K1002" s="29">
        <f>IF(J1002="","",J1002/MAX(1,N(E1002)))</f>
        <v/>
      </c>
      <c r="L1002" s="37">
        <f>IF(OR(D1002="",A1002=""),"",A1002+IF(AND(Config!$B$17="Sim",LEFT(D1002,17)="Cartão de crédito"),1,IFERROR(INDEX(Config!$C$12:$C$15,MATCH(IF(AND(D1002="Cartão de crédito",N(E1002)&gt;1),"Cartão de crédito parcelado",D1002),Config!$A$12:$A$15,0)),0)))</f>
        <v/>
      </c>
      <c r="M1002" s="37">
        <f>IF(L1002="","",IF(AND(Config!$B$17="Sim",LEFT(D1002,17)="Cartão de crédito"),L1002,L1002+30*(MAX(1,N(E1002))-1)))</f>
        <v/>
      </c>
      <c r="N1002" s="29">
        <f>IF(OR(L1002="",K1002=""),"",K1002*MIN(MAX(1,N(E1002)),MAX(0,INT((Config!$B$8-L1002)/30)+1)))</f>
        <v/>
      </c>
      <c r="O1002" s="29">
        <f>IF(J1002="","",J1002-N(N1002))</f>
        <v/>
      </c>
      <c r="P1002" s="27">
        <f>IF(A1002="","",MONTH(A1002))</f>
        <v/>
      </c>
      <c r="Q1002" s="27">
        <f>IF(A1002="","",YEAR(A1002))</f>
        <v/>
      </c>
      <c r="R1002" s="27">
        <f>IF(L1002="","",IF(L1002&gt;Config!$B$8,"A cair",IF(N(G1002)&gt;=MIN(MAX(1,N(E1002)),MAX(0,INT((Config!$B$8-L1002)/30)+1)),IF(N(G1002)&gt;=MAX(1,N(E1002)),"Conferido","Conferido até aqui"),"A conferir")))</f>
        <v/>
      </c>
      <c r="S1002" s="51">
        <f>IF(R1002="A conferir",(Config!$B$8-L1002)*1000+N(F1002)/1000+ROW()/100000,0)</f>
        <v>0</v>
      </c>
      <c r="T1002" s="51">
        <f>IF(R1002="A conferir",N(N1002),0)</f>
        <v>0</v>
      </c>
      <c r="U1002" s="51">
        <f>IF(L1002="",0,L1002)</f>
        <v>0</v>
      </c>
      <c r="V1002" s="51">
        <f>IF(L1002="",0,MAX(1,N(E1002)))</f>
        <v>0</v>
      </c>
      <c r="W1002" s="51">
        <f>IF(K1002="",0,K1002)</f>
        <v>0</v>
      </c>
    </row>
    <row r="1003">
      <c r="A1003" s="49" t="n"/>
      <c r="B1003" s="41" t="n"/>
      <c r="C1003" s="41" t="n"/>
      <c r="D1003" s="42" t="n"/>
      <c r="E1003" s="42" t="n"/>
      <c r="F1003" s="50" t="n"/>
      <c r="G1003" s="42" t="n"/>
      <c r="H1003" s="30">
        <f>IF(D1003="","",IFERROR(INDEX(Config!$B$12:$B$15,MATCH(IF(AND(D1003="Cartão de crédito",N(E1003)&gt;1),"Cartão de crédito parcelado",D1003),Config!$A$12:$A$15,0)),0)+IF(AND(Config!$B$17="Sim",LEFT(D1003,17)="Cartão de crédito"),Config!$B$18*IFERROR(INDEX(Config!$C$12:$C$15,MATCH(IF(AND(D1003="Cartão de crédito",N(E1003)&gt;1),"Cartão de crédito parcelado",D1003),Config!$A$12:$A$15,0)),0)/30*MAX(1,N(E1003)),0))</f>
        <v/>
      </c>
      <c r="I1003" s="29">
        <f>IF(OR(D1003="",F1003=""),"",ROUND(F1003*H1003,2))</f>
        <v/>
      </c>
      <c r="J1003" s="29">
        <f>IF(I1003="","",F1003-I1003)</f>
        <v/>
      </c>
      <c r="K1003" s="29">
        <f>IF(J1003="","",J1003/MAX(1,N(E1003)))</f>
        <v/>
      </c>
      <c r="L1003" s="37">
        <f>IF(OR(D1003="",A1003=""),"",A1003+IF(AND(Config!$B$17="Sim",LEFT(D1003,17)="Cartão de crédito"),1,IFERROR(INDEX(Config!$C$12:$C$15,MATCH(IF(AND(D1003="Cartão de crédito",N(E1003)&gt;1),"Cartão de crédito parcelado",D1003),Config!$A$12:$A$15,0)),0)))</f>
        <v/>
      </c>
      <c r="M1003" s="37">
        <f>IF(L1003="","",IF(AND(Config!$B$17="Sim",LEFT(D1003,17)="Cartão de crédito"),L1003,L1003+30*(MAX(1,N(E1003))-1)))</f>
        <v/>
      </c>
      <c r="N1003" s="29">
        <f>IF(OR(L1003="",K1003=""),"",K1003*MIN(MAX(1,N(E1003)),MAX(0,INT((Config!$B$8-L1003)/30)+1)))</f>
        <v/>
      </c>
      <c r="O1003" s="29">
        <f>IF(J1003="","",J1003-N(N1003))</f>
        <v/>
      </c>
      <c r="P1003" s="27">
        <f>IF(A1003="","",MONTH(A1003))</f>
        <v/>
      </c>
      <c r="Q1003" s="27">
        <f>IF(A1003="","",YEAR(A1003))</f>
        <v/>
      </c>
      <c r="R1003" s="27">
        <f>IF(L1003="","",IF(L1003&gt;Config!$B$8,"A cair",IF(N(G1003)&gt;=MIN(MAX(1,N(E1003)),MAX(0,INT((Config!$B$8-L1003)/30)+1)),IF(N(G1003)&gt;=MAX(1,N(E1003)),"Conferido","Conferido até aqui"),"A conferir")))</f>
        <v/>
      </c>
      <c r="S1003" s="51">
        <f>IF(R1003="A conferir",(Config!$B$8-L1003)*1000+N(F1003)/1000+ROW()/100000,0)</f>
        <v>0</v>
      </c>
      <c r="T1003" s="51">
        <f>IF(R1003="A conferir",N(N1003),0)</f>
        <v>0</v>
      </c>
      <c r="U1003" s="51">
        <f>IF(L1003="",0,L1003)</f>
        <v>0</v>
      </c>
      <c r="V1003" s="51">
        <f>IF(L1003="",0,MAX(1,N(E1003)))</f>
        <v>0</v>
      </c>
      <c r="W1003" s="51">
        <f>IF(K1003="",0,K1003)</f>
        <v>0</v>
      </c>
    </row>
    <row r="1004">
      <c r="A1004" s="49" t="n"/>
      <c r="B1004" s="41" t="n"/>
      <c r="C1004" s="41" t="n"/>
      <c r="D1004" s="42" t="n"/>
      <c r="E1004" s="42" t="n"/>
      <c r="F1004" s="50" t="n"/>
      <c r="G1004" s="42" t="n"/>
      <c r="H1004" s="30">
        <f>IF(D1004="","",IFERROR(INDEX(Config!$B$12:$B$15,MATCH(IF(AND(D1004="Cartão de crédito",N(E1004)&gt;1),"Cartão de crédito parcelado",D1004),Config!$A$12:$A$15,0)),0)+IF(AND(Config!$B$17="Sim",LEFT(D1004,17)="Cartão de crédito"),Config!$B$18*IFERROR(INDEX(Config!$C$12:$C$15,MATCH(IF(AND(D1004="Cartão de crédito",N(E1004)&gt;1),"Cartão de crédito parcelado",D1004),Config!$A$12:$A$15,0)),0)/30*MAX(1,N(E1004)),0))</f>
        <v/>
      </c>
      <c r="I1004" s="29">
        <f>IF(OR(D1004="",F1004=""),"",ROUND(F1004*H1004,2))</f>
        <v/>
      </c>
      <c r="J1004" s="29">
        <f>IF(I1004="","",F1004-I1004)</f>
        <v/>
      </c>
      <c r="K1004" s="29">
        <f>IF(J1004="","",J1004/MAX(1,N(E1004)))</f>
        <v/>
      </c>
      <c r="L1004" s="37">
        <f>IF(OR(D1004="",A1004=""),"",A1004+IF(AND(Config!$B$17="Sim",LEFT(D1004,17)="Cartão de crédito"),1,IFERROR(INDEX(Config!$C$12:$C$15,MATCH(IF(AND(D1004="Cartão de crédito",N(E1004)&gt;1),"Cartão de crédito parcelado",D1004),Config!$A$12:$A$15,0)),0)))</f>
        <v/>
      </c>
      <c r="M1004" s="37">
        <f>IF(L1004="","",IF(AND(Config!$B$17="Sim",LEFT(D1004,17)="Cartão de crédito"),L1004,L1004+30*(MAX(1,N(E1004))-1)))</f>
        <v/>
      </c>
      <c r="N1004" s="29">
        <f>IF(OR(L1004="",K1004=""),"",K1004*MIN(MAX(1,N(E1004)),MAX(0,INT((Config!$B$8-L1004)/30)+1)))</f>
        <v/>
      </c>
      <c r="O1004" s="29">
        <f>IF(J1004="","",J1004-N(N1004))</f>
        <v/>
      </c>
      <c r="P1004" s="27">
        <f>IF(A1004="","",MONTH(A1004))</f>
        <v/>
      </c>
      <c r="Q1004" s="27">
        <f>IF(A1004="","",YEAR(A1004))</f>
        <v/>
      </c>
      <c r="R1004" s="27">
        <f>IF(L1004="","",IF(L1004&gt;Config!$B$8,"A cair",IF(N(G1004)&gt;=MIN(MAX(1,N(E1004)),MAX(0,INT((Config!$B$8-L1004)/30)+1)),IF(N(G1004)&gt;=MAX(1,N(E1004)),"Conferido","Conferido até aqui"),"A conferir")))</f>
        <v/>
      </c>
      <c r="S1004" s="51">
        <f>IF(R1004="A conferir",(Config!$B$8-L1004)*1000+N(F1004)/1000+ROW()/100000,0)</f>
        <v>0</v>
      </c>
      <c r="T1004" s="51">
        <f>IF(R1004="A conferir",N(N1004),0)</f>
        <v>0</v>
      </c>
      <c r="U1004" s="51">
        <f>IF(L1004="",0,L1004)</f>
        <v>0</v>
      </c>
      <c r="V1004" s="51">
        <f>IF(L1004="",0,MAX(1,N(E1004)))</f>
        <v>0</v>
      </c>
      <c r="W1004" s="51">
        <f>IF(K1004="",0,K1004)</f>
        <v>0</v>
      </c>
    </row>
    <row r="1005">
      <c r="A1005" s="49" t="n"/>
      <c r="B1005" s="41" t="n"/>
      <c r="C1005" s="41" t="n"/>
      <c r="D1005" s="42" t="n"/>
      <c r="E1005" s="42" t="n"/>
      <c r="F1005" s="50" t="n"/>
      <c r="G1005" s="42" t="n"/>
      <c r="H1005" s="30">
        <f>IF(D1005="","",IFERROR(INDEX(Config!$B$12:$B$15,MATCH(IF(AND(D1005="Cartão de crédito",N(E1005)&gt;1),"Cartão de crédito parcelado",D1005),Config!$A$12:$A$15,0)),0)+IF(AND(Config!$B$17="Sim",LEFT(D1005,17)="Cartão de crédito"),Config!$B$18*IFERROR(INDEX(Config!$C$12:$C$15,MATCH(IF(AND(D1005="Cartão de crédito",N(E1005)&gt;1),"Cartão de crédito parcelado",D1005),Config!$A$12:$A$15,0)),0)/30*MAX(1,N(E1005)),0))</f>
        <v/>
      </c>
      <c r="I1005" s="29">
        <f>IF(OR(D1005="",F1005=""),"",ROUND(F1005*H1005,2))</f>
        <v/>
      </c>
      <c r="J1005" s="29">
        <f>IF(I1005="","",F1005-I1005)</f>
        <v/>
      </c>
      <c r="K1005" s="29">
        <f>IF(J1005="","",J1005/MAX(1,N(E1005)))</f>
        <v/>
      </c>
      <c r="L1005" s="37">
        <f>IF(OR(D1005="",A1005=""),"",A1005+IF(AND(Config!$B$17="Sim",LEFT(D1005,17)="Cartão de crédito"),1,IFERROR(INDEX(Config!$C$12:$C$15,MATCH(IF(AND(D1005="Cartão de crédito",N(E1005)&gt;1),"Cartão de crédito parcelado",D1005),Config!$A$12:$A$15,0)),0)))</f>
        <v/>
      </c>
      <c r="M1005" s="37">
        <f>IF(L1005="","",IF(AND(Config!$B$17="Sim",LEFT(D1005,17)="Cartão de crédito"),L1005,L1005+30*(MAX(1,N(E1005))-1)))</f>
        <v/>
      </c>
      <c r="N1005" s="29">
        <f>IF(OR(L1005="",K1005=""),"",K1005*MIN(MAX(1,N(E1005)),MAX(0,INT((Config!$B$8-L1005)/30)+1)))</f>
        <v/>
      </c>
      <c r="O1005" s="29">
        <f>IF(J1005="","",J1005-N(N1005))</f>
        <v/>
      </c>
      <c r="P1005" s="27">
        <f>IF(A1005="","",MONTH(A1005))</f>
        <v/>
      </c>
      <c r="Q1005" s="27">
        <f>IF(A1005="","",YEAR(A1005))</f>
        <v/>
      </c>
      <c r="R1005" s="27">
        <f>IF(L1005="","",IF(L1005&gt;Config!$B$8,"A cair",IF(N(G1005)&gt;=MIN(MAX(1,N(E1005)),MAX(0,INT((Config!$B$8-L1005)/30)+1)),IF(N(G1005)&gt;=MAX(1,N(E1005)),"Conferido","Conferido até aqui"),"A conferir")))</f>
        <v/>
      </c>
      <c r="S1005" s="51">
        <f>IF(R1005="A conferir",(Config!$B$8-L1005)*1000+N(F1005)/1000+ROW()/100000,0)</f>
        <v>0</v>
      </c>
      <c r="T1005" s="51">
        <f>IF(R1005="A conferir",N(N1005),0)</f>
        <v>0</v>
      </c>
      <c r="U1005" s="51">
        <f>IF(L1005="",0,L1005)</f>
        <v>0</v>
      </c>
      <c r="V1005" s="51">
        <f>IF(L1005="",0,MAX(1,N(E1005)))</f>
        <v>0</v>
      </c>
      <c r="W1005" s="51">
        <f>IF(K1005="",0,K1005)</f>
        <v>0</v>
      </c>
    </row>
    <row r="1006">
      <c r="A1006" s="49" t="n"/>
      <c r="B1006" s="41" t="n"/>
      <c r="C1006" s="41" t="n"/>
      <c r="D1006" s="42" t="n"/>
      <c r="E1006" s="42" t="n"/>
      <c r="F1006" s="50" t="n"/>
      <c r="G1006" s="42" t="n"/>
      <c r="H1006" s="30">
        <f>IF(D1006="","",IFERROR(INDEX(Config!$B$12:$B$15,MATCH(IF(AND(D1006="Cartão de crédito",N(E1006)&gt;1),"Cartão de crédito parcelado",D1006),Config!$A$12:$A$15,0)),0)+IF(AND(Config!$B$17="Sim",LEFT(D1006,17)="Cartão de crédito"),Config!$B$18*IFERROR(INDEX(Config!$C$12:$C$15,MATCH(IF(AND(D1006="Cartão de crédito",N(E1006)&gt;1),"Cartão de crédito parcelado",D1006),Config!$A$12:$A$15,0)),0)/30*MAX(1,N(E1006)),0))</f>
        <v/>
      </c>
      <c r="I1006" s="29">
        <f>IF(OR(D1006="",F1006=""),"",ROUND(F1006*H1006,2))</f>
        <v/>
      </c>
      <c r="J1006" s="29">
        <f>IF(I1006="","",F1006-I1006)</f>
        <v/>
      </c>
      <c r="K1006" s="29">
        <f>IF(J1006="","",J1006/MAX(1,N(E1006)))</f>
        <v/>
      </c>
      <c r="L1006" s="37">
        <f>IF(OR(D1006="",A1006=""),"",A1006+IF(AND(Config!$B$17="Sim",LEFT(D1006,17)="Cartão de crédito"),1,IFERROR(INDEX(Config!$C$12:$C$15,MATCH(IF(AND(D1006="Cartão de crédito",N(E1006)&gt;1),"Cartão de crédito parcelado",D1006),Config!$A$12:$A$15,0)),0)))</f>
        <v/>
      </c>
      <c r="M1006" s="37">
        <f>IF(L1006="","",IF(AND(Config!$B$17="Sim",LEFT(D1006,17)="Cartão de crédito"),L1006,L1006+30*(MAX(1,N(E1006))-1)))</f>
        <v/>
      </c>
      <c r="N1006" s="29">
        <f>IF(OR(L1006="",K1006=""),"",K1006*MIN(MAX(1,N(E1006)),MAX(0,INT((Config!$B$8-L1006)/30)+1)))</f>
        <v/>
      </c>
      <c r="O1006" s="29">
        <f>IF(J1006="","",J1006-N(N1006))</f>
        <v/>
      </c>
      <c r="P1006" s="27">
        <f>IF(A1006="","",MONTH(A1006))</f>
        <v/>
      </c>
      <c r="Q1006" s="27">
        <f>IF(A1006="","",YEAR(A1006))</f>
        <v/>
      </c>
      <c r="R1006" s="27">
        <f>IF(L1006="","",IF(L1006&gt;Config!$B$8,"A cair",IF(N(G1006)&gt;=MIN(MAX(1,N(E1006)),MAX(0,INT((Config!$B$8-L1006)/30)+1)),IF(N(G1006)&gt;=MAX(1,N(E1006)),"Conferido","Conferido até aqui"),"A conferir")))</f>
        <v/>
      </c>
      <c r="S1006" s="51">
        <f>IF(R1006="A conferir",(Config!$B$8-L1006)*1000+N(F1006)/1000+ROW()/100000,0)</f>
        <v>0</v>
      </c>
      <c r="T1006" s="51">
        <f>IF(R1006="A conferir",N(N1006),0)</f>
        <v>0</v>
      </c>
      <c r="U1006" s="51">
        <f>IF(L1006="",0,L1006)</f>
        <v>0</v>
      </c>
      <c r="V1006" s="51">
        <f>IF(L1006="",0,MAX(1,N(E1006)))</f>
        <v>0</v>
      </c>
      <c r="W1006" s="51">
        <f>IF(K1006="",0,K1006)</f>
        <v>0</v>
      </c>
    </row>
    <row r="1007">
      <c r="A1007" s="49" t="n"/>
      <c r="B1007" s="41" t="n"/>
      <c r="C1007" s="41" t="n"/>
      <c r="D1007" s="42" t="n"/>
      <c r="E1007" s="42" t="n"/>
      <c r="F1007" s="50" t="n"/>
      <c r="G1007" s="42" t="n"/>
      <c r="H1007" s="30">
        <f>IF(D1007="","",IFERROR(INDEX(Config!$B$12:$B$15,MATCH(IF(AND(D1007="Cartão de crédito",N(E1007)&gt;1),"Cartão de crédito parcelado",D1007),Config!$A$12:$A$15,0)),0)+IF(AND(Config!$B$17="Sim",LEFT(D1007,17)="Cartão de crédito"),Config!$B$18*IFERROR(INDEX(Config!$C$12:$C$15,MATCH(IF(AND(D1007="Cartão de crédito",N(E1007)&gt;1),"Cartão de crédito parcelado",D1007),Config!$A$12:$A$15,0)),0)/30*MAX(1,N(E1007)),0))</f>
        <v/>
      </c>
      <c r="I1007" s="29">
        <f>IF(OR(D1007="",F1007=""),"",ROUND(F1007*H1007,2))</f>
        <v/>
      </c>
      <c r="J1007" s="29">
        <f>IF(I1007="","",F1007-I1007)</f>
        <v/>
      </c>
      <c r="K1007" s="29">
        <f>IF(J1007="","",J1007/MAX(1,N(E1007)))</f>
        <v/>
      </c>
      <c r="L1007" s="37">
        <f>IF(OR(D1007="",A1007=""),"",A1007+IF(AND(Config!$B$17="Sim",LEFT(D1007,17)="Cartão de crédito"),1,IFERROR(INDEX(Config!$C$12:$C$15,MATCH(IF(AND(D1007="Cartão de crédito",N(E1007)&gt;1),"Cartão de crédito parcelado",D1007),Config!$A$12:$A$15,0)),0)))</f>
        <v/>
      </c>
      <c r="M1007" s="37">
        <f>IF(L1007="","",IF(AND(Config!$B$17="Sim",LEFT(D1007,17)="Cartão de crédito"),L1007,L1007+30*(MAX(1,N(E1007))-1)))</f>
        <v/>
      </c>
      <c r="N1007" s="29">
        <f>IF(OR(L1007="",K1007=""),"",K1007*MIN(MAX(1,N(E1007)),MAX(0,INT((Config!$B$8-L1007)/30)+1)))</f>
        <v/>
      </c>
      <c r="O1007" s="29">
        <f>IF(J1007="","",J1007-N(N1007))</f>
        <v/>
      </c>
      <c r="P1007" s="27">
        <f>IF(A1007="","",MONTH(A1007))</f>
        <v/>
      </c>
      <c r="Q1007" s="27">
        <f>IF(A1007="","",YEAR(A1007))</f>
        <v/>
      </c>
      <c r="R1007" s="27">
        <f>IF(L1007="","",IF(L1007&gt;Config!$B$8,"A cair",IF(N(G1007)&gt;=MIN(MAX(1,N(E1007)),MAX(0,INT((Config!$B$8-L1007)/30)+1)),IF(N(G1007)&gt;=MAX(1,N(E1007)),"Conferido","Conferido até aqui"),"A conferir")))</f>
        <v/>
      </c>
      <c r="S1007" s="51">
        <f>IF(R1007="A conferir",(Config!$B$8-L1007)*1000+N(F1007)/1000+ROW()/100000,0)</f>
        <v>0</v>
      </c>
      <c r="T1007" s="51">
        <f>IF(R1007="A conferir",N(N1007),0)</f>
        <v>0</v>
      </c>
      <c r="U1007" s="51">
        <f>IF(L1007="",0,L1007)</f>
        <v>0</v>
      </c>
      <c r="V1007" s="51">
        <f>IF(L1007="",0,MAX(1,N(E1007)))</f>
        <v>0</v>
      </c>
      <c r="W1007" s="51">
        <f>IF(K1007="",0,K1007)</f>
        <v>0</v>
      </c>
    </row>
    <row r="1008">
      <c r="A1008" s="49" t="n"/>
      <c r="B1008" s="41" t="n"/>
      <c r="C1008" s="41" t="n"/>
      <c r="D1008" s="42" t="n"/>
      <c r="E1008" s="42" t="n"/>
      <c r="F1008" s="50" t="n"/>
      <c r="G1008" s="42" t="n"/>
      <c r="H1008" s="30">
        <f>IF(D1008="","",IFERROR(INDEX(Config!$B$12:$B$15,MATCH(IF(AND(D1008="Cartão de crédito",N(E1008)&gt;1),"Cartão de crédito parcelado",D1008),Config!$A$12:$A$15,0)),0)+IF(AND(Config!$B$17="Sim",LEFT(D1008,17)="Cartão de crédito"),Config!$B$18*IFERROR(INDEX(Config!$C$12:$C$15,MATCH(IF(AND(D1008="Cartão de crédito",N(E1008)&gt;1),"Cartão de crédito parcelado",D1008),Config!$A$12:$A$15,0)),0)/30*MAX(1,N(E1008)),0))</f>
        <v/>
      </c>
      <c r="I1008" s="29">
        <f>IF(OR(D1008="",F1008=""),"",ROUND(F1008*H1008,2))</f>
        <v/>
      </c>
      <c r="J1008" s="29">
        <f>IF(I1008="","",F1008-I1008)</f>
        <v/>
      </c>
      <c r="K1008" s="29">
        <f>IF(J1008="","",J1008/MAX(1,N(E1008)))</f>
        <v/>
      </c>
      <c r="L1008" s="37">
        <f>IF(OR(D1008="",A1008=""),"",A1008+IF(AND(Config!$B$17="Sim",LEFT(D1008,17)="Cartão de crédito"),1,IFERROR(INDEX(Config!$C$12:$C$15,MATCH(IF(AND(D1008="Cartão de crédito",N(E1008)&gt;1),"Cartão de crédito parcelado",D1008),Config!$A$12:$A$15,0)),0)))</f>
        <v/>
      </c>
      <c r="M1008" s="37">
        <f>IF(L1008="","",IF(AND(Config!$B$17="Sim",LEFT(D1008,17)="Cartão de crédito"),L1008,L1008+30*(MAX(1,N(E1008))-1)))</f>
        <v/>
      </c>
      <c r="N1008" s="29">
        <f>IF(OR(L1008="",K1008=""),"",K1008*MIN(MAX(1,N(E1008)),MAX(0,INT((Config!$B$8-L1008)/30)+1)))</f>
        <v/>
      </c>
      <c r="O1008" s="29">
        <f>IF(J1008="","",J1008-N(N1008))</f>
        <v/>
      </c>
      <c r="P1008" s="27">
        <f>IF(A1008="","",MONTH(A1008))</f>
        <v/>
      </c>
      <c r="Q1008" s="27">
        <f>IF(A1008="","",YEAR(A1008))</f>
        <v/>
      </c>
      <c r="R1008" s="27">
        <f>IF(L1008="","",IF(L1008&gt;Config!$B$8,"A cair",IF(N(G1008)&gt;=MIN(MAX(1,N(E1008)),MAX(0,INT((Config!$B$8-L1008)/30)+1)),IF(N(G1008)&gt;=MAX(1,N(E1008)),"Conferido","Conferido até aqui"),"A conferir")))</f>
        <v/>
      </c>
      <c r="S1008" s="51">
        <f>IF(R1008="A conferir",(Config!$B$8-L1008)*1000+N(F1008)/1000+ROW()/100000,0)</f>
        <v>0</v>
      </c>
      <c r="T1008" s="51">
        <f>IF(R1008="A conferir",N(N1008),0)</f>
        <v>0</v>
      </c>
      <c r="U1008" s="51">
        <f>IF(L1008="",0,L1008)</f>
        <v>0</v>
      </c>
      <c r="V1008" s="51">
        <f>IF(L1008="",0,MAX(1,N(E1008)))</f>
        <v>0</v>
      </c>
      <c r="W1008" s="51">
        <f>IF(K1008="",0,K1008)</f>
        <v>0</v>
      </c>
    </row>
    <row r="1009">
      <c r="A1009" s="49" t="n"/>
      <c r="B1009" s="41" t="n"/>
      <c r="C1009" s="41" t="n"/>
      <c r="D1009" s="42" t="n"/>
      <c r="E1009" s="42" t="n"/>
      <c r="F1009" s="50" t="n"/>
      <c r="G1009" s="42" t="n"/>
      <c r="H1009" s="30">
        <f>IF(D1009="","",IFERROR(INDEX(Config!$B$12:$B$15,MATCH(IF(AND(D1009="Cartão de crédito",N(E1009)&gt;1),"Cartão de crédito parcelado",D1009),Config!$A$12:$A$15,0)),0)+IF(AND(Config!$B$17="Sim",LEFT(D1009,17)="Cartão de crédito"),Config!$B$18*IFERROR(INDEX(Config!$C$12:$C$15,MATCH(IF(AND(D1009="Cartão de crédito",N(E1009)&gt;1),"Cartão de crédito parcelado",D1009),Config!$A$12:$A$15,0)),0)/30*MAX(1,N(E1009)),0))</f>
        <v/>
      </c>
      <c r="I1009" s="29">
        <f>IF(OR(D1009="",F1009=""),"",ROUND(F1009*H1009,2))</f>
        <v/>
      </c>
      <c r="J1009" s="29">
        <f>IF(I1009="","",F1009-I1009)</f>
        <v/>
      </c>
      <c r="K1009" s="29">
        <f>IF(J1009="","",J1009/MAX(1,N(E1009)))</f>
        <v/>
      </c>
      <c r="L1009" s="37">
        <f>IF(OR(D1009="",A1009=""),"",A1009+IF(AND(Config!$B$17="Sim",LEFT(D1009,17)="Cartão de crédito"),1,IFERROR(INDEX(Config!$C$12:$C$15,MATCH(IF(AND(D1009="Cartão de crédito",N(E1009)&gt;1),"Cartão de crédito parcelado",D1009),Config!$A$12:$A$15,0)),0)))</f>
        <v/>
      </c>
      <c r="M1009" s="37">
        <f>IF(L1009="","",IF(AND(Config!$B$17="Sim",LEFT(D1009,17)="Cartão de crédito"),L1009,L1009+30*(MAX(1,N(E1009))-1)))</f>
        <v/>
      </c>
      <c r="N1009" s="29">
        <f>IF(OR(L1009="",K1009=""),"",K1009*MIN(MAX(1,N(E1009)),MAX(0,INT((Config!$B$8-L1009)/30)+1)))</f>
        <v/>
      </c>
      <c r="O1009" s="29">
        <f>IF(J1009="","",J1009-N(N1009))</f>
        <v/>
      </c>
      <c r="P1009" s="27">
        <f>IF(A1009="","",MONTH(A1009))</f>
        <v/>
      </c>
      <c r="Q1009" s="27">
        <f>IF(A1009="","",YEAR(A1009))</f>
        <v/>
      </c>
      <c r="R1009" s="27">
        <f>IF(L1009="","",IF(L1009&gt;Config!$B$8,"A cair",IF(N(G1009)&gt;=MIN(MAX(1,N(E1009)),MAX(0,INT((Config!$B$8-L1009)/30)+1)),IF(N(G1009)&gt;=MAX(1,N(E1009)),"Conferido","Conferido até aqui"),"A conferir")))</f>
        <v/>
      </c>
      <c r="S1009" s="51">
        <f>IF(R1009="A conferir",(Config!$B$8-L1009)*1000+N(F1009)/1000+ROW()/100000,0)</f>
        <v>0</v>
      </c>
      <c r="T1009" s="51">
        <f>IF(R1009="A conferir",N(N1009),0)</f>
        <v>0</v>
      </c>
      <c r="U1009" s="51">
        <f>IF(L1009="",0,L1009)</f>
        <v>0</v>
      </c>
      <c r="V1009" s="51">
        <f>IF(L1009="",0,MAX(1,N(E1009)))</f>
        <v>0</v>
      </c>
      <c r="W1009" s="51">
        <f>IF(K1009="",0,K1009)</f>
        <v>0</v>
      </c>
    </row>
    <row r="1010">
      <c r="A1010" s="49" t="n"/>
      <c r="B1010" s="41" t="n"/>
      <c r="C1010" s="41" t="n"/>
      <c r="D1010" s="42" t="n"/>
      <c r="E1010" s="42" t="n"/>
      <c r="F1010" s="50" t="n"/>
      <c r="G1010" s="42" t="n"/>
      <c r="H1010" s="30">
        <f>IF(D1010="","",IFERROR(INDEX(Config!$B$12:$B$15,MATCH(IF(AND(D1010="Cartão de crédito",N(E1010)&gt;1),"Cartão de crédito parcelado",D1010),Config!$A$12:$A$15,0)),0)+IF(AND(Config!$B$17="Sim",LEFT(D1010,17)="Cartão de crédito"),Config!$B$18*IFERROR(INDEX(Config!$C$12:$C$15,MATCH(IF(AND(D1010="Cartão de crédito",N(E1010)&gt;1),"Cartão de crédito parcelado",D1010),Config!$A$12:$A$15,0)),0)/30*MAX(1,N(E1010)),0))</f>
        <v/>
      </c>
      <c r="I1010" s="29">
        <f>IF(OR(D1010="",F1010=""),"",ROUND(F1010*H1010,2))</f>
        <v/>
      </c>
      <c r="J1010" s="29">
        <f>IF(I1010="","",F1010-I1010)</f>
        <v/>
      </c>
      <c r="K1010" s="29">
        <f>IF(J1010="","",J1010/MAX(1,N(E1010)))</f>
        <v/>
      </c>
      <c r="L1010" s="37">
        <f>IF(OR(D1010="",A1010=""),"",A1010+IF(AND(Config!$B$17="Sim",LEFT(D1010,17)="Cartão de crédito"),1,IFERROR(INDEX(Config!$C$12:$C$15,MATCH(IF(AND(D1010="Cartão de crédito",N(E1010)&gt;1),"Cartão de crédito parcelado",D1010),Config!$A$12:$A$15,0)),0)))</f>
        <v/>
      </c>
      <c r="M1010" s="37">
        <f>IF(L1010="","",IF(AND(Config!$B$17="Sim",LEFT(D1010,17)="Cartão de crédito"),L1010,L1010+30*(MAX(1,N(E1010))-1)))</f>
        <v/>
      </c>
      <c r="N1010" s="29">
        <f>IF(OR(L1010="",K1010=""),"",K1010*MIN(MAX(1,N(E1010)),MAX(0,INT((Config!$B$8-L1010)/30)+1)))</f>
        <v/>
      </c>
      <c r="O1010" s="29">
        <f>IF(J1010="","",J1010-N(N1010))</f>
        <v/>
      </c>
      <c r="P1010" s="27">
        <f>IF(A1010="","",MONTH(A1010))</f>
        <v/>
      </c>
      <c r="Q1010" s="27">
        <f>IF(A1010="","",YEAR(A1010))</f>
        <v/>
      </c>
      <c r="R1010" s="27">
        <f>IF(L1010="","",IF(L1010&gt;Config!$B$8,"A cair",IF(N(G1010)&gt;=MIN(MAX(1,N(E1010)),MAX(0,INT((Config!$B$8-L1010)/30)+1)),IF(N(G1010)&gt;=MAX(1,N(E1010)),"Conferido","Conferido até aqui"),"A conferir")))</f>
        <v/>
      </c>
      <c r="S1010" s="51">
        <f>IF(R1010="A conferir",(Config!$B$8-L1010)*1000+N(F1010)/1000+ROW()/100000,0)</f>
        <v>0</v>
      </c>
      <c r="T1010" s="51">
        <f>IF(R1010="A conferir",N(N1010),0)</f>
        <v>0</v>
      </c>
      <c r="U1010" s="51">
        <f>IF(L1010="",0,L1010)</f>
        <v>0</v>
      </c>
      <c r="V1010" s="51">
        <f>IF(L1010="",0,MAX(1,N(E1010)))</f>
        <v>0</v>
      </c>
      <c r="W1010" s="51">
        <f>IF(K1010="",0,K1010)</f>
        <v>0</v>
      </c>
    </row>
    <row r="1011">
      <c r="A1011" s="49" t="n"/>
      <c r="B1011" s="41" t="n"/>
      <c r="C1011" s="41" t="n"/>
      <c r="D1011" s="42" t="n"/>
      <c r="E1011" s="42" t="n"/>
      <c r="F1011" s="50" t="n"/>
      <c r="G1011" s="42" t="n"/>
      <c r="H1011" s="30">
        <f>IF(D1011="","",IFERROR(INDEX(Config!$B$12:$B$15,MATCH(IF(AND(D1011="Cartão de crédito",N(E1011)&gt;1),"Cartão de crédito parcelado",D1011),Config!$A$12:$A$15,0)),0)+IF(AND(Config!$B$17="Sim",LEFT(D1011,17)="Cartão de crédito"),Config!$B$18*IFERROR(INDEX(Config!$C$12:$C$15,MATCH(IF(AND(D1011="Cartão de crédito",N(E1011)&gt;1),"Cartão de crédito parcelado",D1011),Config!$A$12:$A$15,0)),0)/30*MAX(1,N(E1011)),0))</f>
        <v/>
      </c>
      <c r="I1011" s="29">
        <f>IF(OR(D1011="",F1011=""),"",ROUND(F1011*H1011,2))</f>
        <v/>
      </c>
      <c r="J1011" s="29">
        <f>IF(I1011="","",F1011-I1011)</f>
        <v/>
      </c>
      <c r="K1011" s="29">
        <f>IF(J1011="","",J1011/MAX(1,N(E1011)))</f>
        <v/>
      </c>
      <c r="L1011" s="37">
        <f>IF(OR(D1011="",A1011=""),"",A1011+IF(AND(Config!$B$17="Sim",LEFT(D1011,17)="Cartão de crédito"),1,IFERROR(INDEX(Config!$C$12:$C$15,MATCH(IF(AND(D1011="Cartão de crédito",N(E1011)&gt;1),"Cartão de crédito parcelado",D1011),Config!$A$12:$A$15,0)),0)))</f>
        <v/>
      </c>
      <c r="M1011" s="37">
        <f>IF(L1011="","",IF(AND(Config!$B$17="Sim",LEFT(D1011,17)="Cartão de crédito"),L1011,L1011+30*(MAX(1,N(E1011))-1)))</f>
        <v/>
      </c>
      <c r="N1011" s="29">
        <f>IF(OR(L1011="",K1011=""),"",K1011*MIN(MAX(1,N(E1011)),MAX(0,INT((Config!$B$8-L1011)/30)+1)))</f>
        <v/>
      </c>
      <c r="O1011" s="29">
        <f>IF(J1011="","",J1011-N(N1011))</f>
        <v/>
      </c>
      <c r="P1011" s="27">
        <f>IF(A1011="","",MONTH(A1011))</f>
        <v/>
      </c>
      <c r="Q1011" s="27">
        <f>IF(A1011="","",YEAR(A1011))</f>
        <v/>
      </c>
      <c r="R1011" s="27">
        <f>IF(L1011="","",IF(L1011&gt;Config!$B$8,"A cair",IF(N(G1011)&gt;=MIN(MAX(1,N(E1011)),MAX(0,INT((Config!$B$8-L1011)/30)+1)),IF(N(G1011)&gt;=MAX(1,N(E1011)),"Conferido","Conferido até aqui"),"A conferir")))</f>
        <v/>
      </c>
      <c r="S1011" s="51">
        <f>IF(R1011="A conferir",(Config!$B$8-L1011)*1000+N(F1011)/1000+ROW()/100000,0)</f>
        <v>0</v>
      </c>
      <c r="T1011" s="51">
        <f>IF(R1011="A conferir",N(N1011),0)</f>
        <v>0</v>
      </c>
      <c r="U1011" s="51">
        <f>IF(L1011="",0,L1011)</f>
        <v>0</v>
      </c>
      <c r="V1011" s="51">
        <f>IF(L1011="",0,MAX(1,N(E1011)))</f>
        <v>0</v>
      </c>
      <c r="W1011" s="51">
        <f>IF(K1011="",0,K1011)</f>
        <v>0</v>
      </c>
    </row>
    <row r="1012">
      <c r="A1012" s="49" t="n"/>
      <c r="B1012" s="41" t="n"/>
      <c r="C1012" s="41" t="n"/>
      <c r="D1012" s="42" t="n"/>
      <c r="E1012" s="42" t="n"/>
      <c r="F1012" s="50" t="n"/>
      <c r="G1012" s="42" t="n"/>
      <c r="H1012" s="30">
        <f>IF(D1012="","",IFERROR(INDEX(Config!$B$12:$B$15,MATCH(IF(AND(D1012="Cartão de crédito",N(E1012)&gt;1),"Cartão de crédito parcelado",D1012),Config!$A$12:$A$15,0)),0)+IF(AND(Config!$B$17="Sim",LEFT(D1012,17)="Cartão de crédito"),Config!$B$18*IFERROR(INDEX(Config!$C$12:$C$15,MATCH(IF(AND(D1012="Cartão de crédito",N(E1012)&gt;1),"Cartão de crédito parcelado",D1012),Config!$A$12:$A$15,0)),0)/30*MAX(1,N(E1012)),0))</f>
        <v/>
      </c>
      <c r="I1012" s="29">
        <f>IF(OR(D1012="",F1012=""),"",ROUND(F1012*H1012,2))</f>
        <v/>
      </c>
      <c r="J1012" s="29">
        <f>IF(I1012="","",F1012-I1012)</f>
        <v/>
      </c>
      <c r="K1012" s="29">
        <f>IF(J1012="","",J1012/MAX(1,N(E1012)))</f>
        <v/>
      </c>
      <c r="L1012" s="37">
        <f>IF(OR(D1012="",A1012=""),"",A1012+IF(AND(Config!$B$17="Sim",LEFT(D1012,17)="Cartão de crédito"),1,IFERROR(INDEX(Config!$C$12:$C$15,MATCH(IF(AND(D1012="Cartão de crédito",N(E1012)&gt;1),"Cartão de crédito parcelado",D1012),Config!$A$12:$A$15,0)),0)))</f>
        <v/>
      </c>
      <c r="M1012" s="37">
        <f>IF(L1012="","",IF(AND(Config!$B$17="Sim",LEFT(D1012,17)="Cartão de crédito"),L1012,L1012+30*(MAX(1,N(E1012))-1)))</f>
        <v/>
      </c>
      <c r="N1012" s="29">
        <f>IF(OR(L1012="",K1012=""),"",K1012*MIN(MAX(1,N(E1012)),MAX(0,INT((Config!$B$8-L1012)/30)+1)))</f>
        <v/>
      </c>
      <c r="O1012" s="29">
        <f>IF(J1012="","",J1012-N(N1012))</f>
        <v/>
      </c>
      <c r="P1012" s="27">
        <f>IF(A1012="","",MONTH(A1012))</f>
        <v/>
      </c>
      <c r="Q1012" s="27">
        <f>IF(A1012="","",YEAR(A1012))</f>
        <v/>
      </c>
      <c r="R1012" s="27">
        <f>IF(L1012="","",IF(L1012&gt;Config!$B$8,"A cair",IF(N(G1012)&gt;=MIN(MAX(1,N(E1012)),MAX(0,INT((Config!$B$8-L1012)/30)+1)),IF(N(G1012)&gt;=MAX(1,N(E1012)),"Conferido","Conferido até aqui"),"A conferir")))</f>
        <v/>
      </c>
      <c r="S1012" s="51">
        <f>IF(R1012="A conferir",(Config!$B$8-L1012)*1000+N(F1012)/1000+ROW()/100000,0)</f>
        <v>0</v>
      </c>
      <c r="T1012" s="51">
        <f>IF(R1012="A conferir",N(N1012),0)</f>
        <v>0</v>
      </c>
      <c r="U1012" s="51">
        <f>IF(L1012="",0,L1012)</f>
        <v>0</v>
      </c>
      <c r="V1012" s="51">
        <f>IF(L1012="",0,MAX(1,N(E1012)))</f>
        <v>0</v>
      </c>
      <c r="W1012" s="51">
        <f>IF(K1012="",0,K1012)</f>
        <v>0</v>
      </c>
    </row>
    <row r="1013">
      <c r="A1013" s="49" t="n"/>
      <c r="B1013" s="41" t="n"/>
      <c r="C1013" s="41" t="n"/>
      <c r="D1013" s="42" t="n"/>
      <c r="E1013" s="42" t="n"/>
      <c r="F1013" s="50" t="n"/>
      <c r="G1013" s="42" t="n"/>
      <c r="H1013" s="30">
        <f>IF(D1013="","",IFERROR(INDEX(Config!$B$12:$B$15,MATCH(IF(AND(D1013="Cartão de crédito",N(E1013)&gt;1),"Cartão de crédito parcelado",D1013),Config!$A$12:$A$15,0)),0)+IF(AND(Config!$B$17="Sim",LEFT(D1013,17)="Cartão de crédito"),Config!$B$18*IFERROR(INDEX(Config!$C$12:$C$15,MATCH(IF(AND(D1013="Cartão de crédito",N(E1013)&gt;1),"Cartão de crédito parcelado",D1013),Config!$A$12:$A$15,0)),0)/30*MAX(1,N(E1013)),0))</f>
        <v/>
      </c>
      <c r="I1013" s="29">
        <f>IF(OR(D1013="",F1013=""),"",ROUND(F1013*H1013,2))</f>
        <v/>
      </c>
      <c r="J1013" s="29">
        <f>IF(I1013="","",F1013-I1013)</f>
        <v/>
      </c>
      <c r="K1013" s="29">
        <f>IF(J1013="","",J1013/MAX(1,N(E1013)))</f>
        <v/>
      </c>
      <c r="L1013" s="37">
        <f>IF(OR(D1013="",A1013=""),"",A1013+IF(AND(Config!$B$17="Sim",LEFT(D1013,17)="Cartão de crédito"),1,IFERROR(INDEX(Config!$C$12:$C$15,MATCH(IF(AND(D1013="Cartão de crédito",N(E1013)&gt;1),"Cartão de crédito parcelado",D1013),Config!$A$12:$A$15,0)),0)))</f>
        <v/>
      </c>
      <c r="M1013" s="37">
        <f>IF(L1013="","",IF(AND(Config!$B$17="Sim",LEFT(D1013,17)="Cartão de crédito"),L1013,L1013+30*(MAX(1,N(E1013))-1)))</f>
        <v/>
      </c>
      <c r="N1013" s="29">
        <f>IF(OR(L1013="",K1013=""),"",K1013*MIN(MAX(1,N(E1013)),MAX(0,INT((Config!$B$8-L1013)/30)+1)))</f>
        <v/>
      </c>
      <c r="O1013" s="29">
        <f>IF(J1013="","",J1013-N(N1013))</f>
        <v/>
      </c>
      <c r="P1013" s="27">
        <f>IF(A1013="","",MONTH(A1013))</f>
        <v/>
      </c>
      <c r="Q1013" s="27">
        <f>IF(A1013="","",YEAR(A1013))</f>
        <v/>
      </c>
      <c r="R1013" s="27">
        <f>IF(L1013="","",IF(L1013&gt;Config!$B$8,"A cair",IF(N(G1013)&gt;=MIN(MAX(1,N(E1013)),MAX(0,INT((Config!$B$8-L1013)/30)+1)),IF(N(G1013)&gt;=MAX(1,N(E1013)),"Conferido","Conferido até aqui"),"A conferir")))</f>
        <v/>
      </c>
      <c r="S1013" s="51">
        <f>IF(R1013="A conferir",(Config!$B$8-L1013)*1000+N(F1013)/1000+ROW()/100000,0)</f>
        <v>0</v>
      </c>
      <c r="T1013" s="51">
        <f>IF(R1013="A conferir",N(N1013),0)</f>
        <v>0</v>
      </c>
      <c r="U1013" s="51">
        <f>IF(L1013="",0,L1013)</f>
        <v>0</v>
      </c>
      <c r="V1013" s="51">
        <f>IF(L1013="",0,MAX(1,N(E1013)))</f>
        <v>0</v>
      </c>
      <c r="W1013" s="51">
        <f>IF(K1013="",0,K1013)</f>
        <v>0</v>
      </c>
    </row>
    <row r="1014">
      <c r="A1014" s="49" t="n"/>
      <c r="B1014" s="41" t="n"/>
      <c r="C1014" s="41" t="n"/>
      <c r="D1014" s="42" t="n"/>
      <c r="E1014" s="42" t="n"/>
      <c r="F1014" s="50" t="n"/>
      <c r="G1014" s="42" t="n"/>
      <c r="H1014" s="30">
        <f>IF(D1014="","",IFERROR(INDEX(Config!$B$12:$B$15,MATCH(IF(AND(D1014="Cartão de crédito",N(E1014)&gt;1),"Cartão de crédito parcelado",D1014),Config!$A$12:$A$15,0)),0)+IF(AND(Config!$B$17="Sim",LEFT(D1014,17)="Cartão de crédito"),Config!$B$18*IFERROR(INDEX(Config!$C$12:$C$15,MATCH(IF(AND(D1014="Cartão de crédito",N(E1014)&gt;1),"Cartão de crédito parcelado",D1014),Config!$A$12:$A$15,0)),0)/30*MAX(1,N(E1014)),0))</f>
        <v/>
      </c>
      <c r="I1014" s="29">
        <f>IF(OR(D1014="",F1014=""),"",ROUND(F1014*H1014,2))</f>
        <v/>
      </c>
      <c r="J1014" s="29">
        <f>IF(I1014="","",F1014-I1014)</f>
        <v/>
      </c>
      <c r="K1014" s="29">
        <f>IF(J1014="","",J1014/MAX(1,N(E1014)))</f>
        <v/>
      </c>
      <c r="L1014" s="37">
        <f>IF(OR(D1014="",A1014=""),"",A1014+IF(AND(Config!$B$17="Sim",LEFT(D1014,17)="Cartão de crédito"),1,IFERROR(INDEX(Config!$C$12:$C$15,MATCH(IF(AND(D1014="Cartão de crédito",N(E1014)&gt;1),"Cartão de crédito parcelado",D1014),Config!$A$12:$A$15,0)),0)))</f>
        <v/>
      </c>
      <c r="M1014" s="37">
        <f>IF(L1014="","",IF(AND(Config!$B$17="Sim",LEFT(D1014,17)="Cartão de crédito"),L1014,L1014+30*(MAX(1,N(E1014))-1)))</f>
        <v/>
      </c>
      <c r="N1014" s="29">
        <f>IF(OR(L1014="",K1014=""),"",K1014*MIN(MAX(1,N(E1014)),MAX(0,INT((Config!$B$8-L1014)/30)+1)))</f>
        <v/>
      </c>
      <c r="O1014" s="29">
        <f>IF(J1014="","",J1014-N(N1014))</f>
        <v/>
      </c>
      <c r="P1014" s="27">
        <f>IF(A1014="","",MONTH(A1014))</f>
        <v/>
      </c>
      <c r="Q1014" s="27">
        <f>IF(A1014="","",YEAR(A1014))</f>
        <v/>
      </c>
      <c r="R1014" s="27">
        <f>IF(L1014="","",IF(L1014&gt;Config!$B$8,"A cair",IF(N(G1014)&gt;=MIN(MAX(1,N(E1014)),MAX(0,INT((Config!$B$8-L1014)/30)+1)),IF(N(G1014)&gt;=MAX(1,N(E1014)),"Conferido","Conferido até aqui"),"A conferir")))</f>
        <v/>
      </c>
      <c r="S1014" s="51">
        <f>IF(R1014="A conferir",(Config!$B$8-L1014)*1000+N(F1014)/1000+ROW()/100000,0)</f>
        <v>0</v>
      </c>
      <c r="T1014" s="51">
        <f>IF(R1014="A conferir",N(N1014),0)</f>
        <v>0</v>
      </c>
      <c r="U1014" s="51">
        <f>IF(L1014="",0,L1014)</f>
        <v>0</v>
      </c>
      <c r="V1014" s="51">
        <f>IF(L1014="",0,MAX(1,N(E1014)))</f>
        <v>0</v>
      </c>
      <c r="W1014" s="51">
        <f>IF(K1014="",0,K1014)</f>
        <v>0</v>
      </c>
    </row>
    <row r="1015">
      <c r="A1015" s="49" t="n"/>
      <c r="B1015" s="41" t="n"/>
      <c r="C1015" s="41" t="n"/>
      <c r="D1015" s="42" t="n"/>
      <c r="E1015" s="42" t="n"/>
      <c r="F1015" s="50" t="n"/>
      <c r="G1015" s="42" t="n"/>
      <c r="H1015" s="30">
        <f>IF(D1015="","",IFERROR(INDEX(Config!$B$12:$B$15,MATCH(IF(AND(D1015="Cartão de crédito",N(E1015)&gt;1),"Cartão de crédito parcelado",D1015),Config!$A$12:$A$15,0)),0)+IF(AND(Config!$B$17="Sim",LEFT(D1015,17)="Cartão de crédito"),Config!$B$18*IFERROR(INDEX(Config!$C$12:$C$15,MATCH(IF(AND(D1015="Cartão de crédito",N(E1015)&gt;1),"Cartão de crédito parcelado",D1015),Config!$A$12:$A$15,0)),0)/30*MAX(1,N(E1015)),0))</f>
        <v/>
      </c>
      <c r="I1015" s="29">
        <f>IF(OR(D1015="",F1015=""),"",ROUND(F1015*H1015,2))</f>
        <v/>
      </c>
      <c r="J1015" s="29">
        <f>IF(I1015="","",F1015-I1015)</f>
        <v/>
      </c>
      <c r="K1015" s="29">
        <f>IF(J1015="","",J1015/MAX(1,N(E1015)))</f>
        <v/>
      </c>
      <c r="L1015" s="37">
        <f>IF(OR(D1015="",A1015=""),"",A1015+IF(AND(Config!$B$17="Sim",LEFT(D1015,17)="Cartão de crédito"),1,IFERROR(INDEX(Config!$C$12:$C$15,MATCH(IF(AND(D1015="Cartão de crédito",N(E1015)&gt;1),"Cartão de crédito parcelado",D1015),Config!$A$12:$A$15,0)),0)))</f>
        <v/>
      </c>
      <c r="M1015" s="37">
        <f>IF(L1015="","",IF(AND(Config!$B$17="Sim",LEFT(D1015,17)="Cartão de crédito"),L1015,L1015+30*(MAX(1,N(E1015))-1)))</f>
        <v/>
      </c>
      <c r="N1015" s="29">
        <f>IF(OR(L1015="",K1015=""),"",K1015*MIN(MAX(1,N(E1015)),MAX(0,INT((Config!$B$8-L1015)/30)+1)))</f>
        <v/>
      </c>
      <c r="O1015" s="29">
        <f>IF(J1015="","",J1015-N(N1015))</f>
        <v/>
      </c>
      <c r="P1015" s="27">
        <f>IF(A1015="","",MONTH(A1015))</f>
        <v/>
      </c>
      <c r="Q1015" s="27">
        <f>IF(A1015="","",YEAR(A1015))</f>
        <v/>
      </c>
      <c r="R1015" s="27">
        <f>IF(L1015="","",IF(L1015&gt;Config!$B$8,"A cair",IF(N(G1015)&gt;=MIN(MAX(1,N(E1015)),MAX(0,INT((Config!$B$8-L1015)/30)+1)),IF(N(G1015)&gt;=MAX(1,N(E1015)),"Conferido","Conferido até aqui"),"A conferir")))</f>
        <v/>
      </c>
      <c r="S1015" s="51">
        <f>IF(R1015="A conferir",(Config!$B$8-L1015)*1000+N(F1015)/1000+ROW()/100000,0)</f>
        <v>0</v>
      </c>
      <c r="T1015" s="51">
        <f>IF(R1015="A conferir",N(N1015),0)</f>
        <v>0</v>
      </c>
      <c r="U1015" s="51">
        <f>IF(L1015="",0,L1015)</f>
        <v>0</v>
      </c>
      <c r="V1015" s="51">
        <f>IF(L1015="",0,MAX(1,N(E1015)))</f>
        <v>0</v>
      </c>
      <c r="W1015" s="51">
        <f>IF(K1015="",0,K1015)</f>
        <v>0</v>
      </c>
    </row>
    <row r="1016">
      <c r="A1016" s="49" t="n"/>
      <c r="B1016" s="41" t="n"/>
      <c r="C1016" s="41" t="n"/>
      <c r="D1016" s="42" t="n"/>
      <c r="E1016" s="42" t="n"/>
      <c r="F1016" s="50" t="n"/>
      <c r="G1016" s="42" t="n"/>
      <c r="H1016" s="30">
        <f>IF(D1016="","",IFERROR(INDEX(Config!$B$12:$B$15,MATCH(IF(AND(D1016="Cartão de crédito",N(E1016)&gt;1),"Cartão de crédito parcelado",D1016),Config!$A$12:$A$15,0)),0)+IF(AND(Config!$B$17="Sim",LEFT(D1016,17)="Cartão de crédito"),Config!$B$18*IFERROR(INDEX(Config!$C$12:$C$15,MATCH(IF(AND(D1016="Cartão de crédito",N(E1016)&gt;1),"Cartão de crédito parcelado",D1016),Config!$A$12:$A$15,0)),0)/30*MAX(1,N(E1016)),0))</f>
        <v/>
      </c>
      <c r="I1016" s="29">
        <f>IF(OR(D1016="",F1016=""),"",ROUND(F1016*H1016,2))</f>
        <v/>
      </c>
      <c r="J1016" s="29">
        <f>IF(I1016="","",F1016-I1016)</f>
        <v/>
      </c>
      <c r="K1016" s="29">
        <f>IF(J1016="","",J1016/MAX(1,N(E1016)))</f>
        <v/>
      </c>
      <c r="L1016" s="37">
        <f>IF(OR(D1016="",A1016=""),"",A1016+IF(AND(Config!$B$17="Sim",LEFT(D1016,17)="Cartão de crédito"),1,IFERROR(INDEX(Config!$C$12:$C$15,MATCH(IF(AND(D1016="Cartão de crédito",N(E1016)&gt;1),"Cartão de crédito parcelado",D1016),Config!$A$12:$A$15,0)),0)))</f>
        <v/>
      </c>
      <c r="M1016" s="37">
        <f>IF(L1016="","",IF(AND(Config!$B$17="Sim",LEFT(D1016,17)="Cartão de crédito"),L1016,L1016+30*(MAX(1,N(E1016))-1)))</f>
        <v/>
      </c>
      <c r="N1016" s="29">
        <f>IF(OR(L1016="",K1016=""),"",K1016*MIN(MAX(1,N(E1016)),MAX(0,INT((Config!$B$8-L1016)/30)+1)))</f>
        <v/>
      </c>
      <c r="O1016" s="29">
        <f>IF(J1016="","",J1016-N(N1016))</f>
        <v/>
      </c>
      <c r="P1016" s="27">
        <f>IF(A1016="","",MONTH(A1016))</f>
        <v/>
      </c>
      <c r="Q1016" s="27">
        <f>IF(A1016="","",YEAR(A1016))</f>
        <v/>
      </c>
      <c r="R1016" s="27">
        <f>IF(L1016="","",IF(L1016&gt;Config!$B$8,"A cair",IF(N(G1016)&gt;=MIN(MAX(1,N(E1016)),MAX(0,INT((Config!$B$8-L1016)/30)+1)),IF(N(G1016)&gt;=MAX(1,N(E1016)),"Conferido","Conferido até aqui"),"A conferir")))</f>
        <v/>
      </c>
      <c r="S1016" s="51">
        <f>IF(R1016="A conferir",(Config!$B$8-L1016)*1000+N(F1016)/1000+ROW()/100000,0)</f>
        <v>0</v>
      </c>
      <c r="T1016" s="51">
        <f>IF(R1016="A conferir",N(N1016),0)</f>
        <v>0</v>
      </c>
      <c r="U1016" s="51">
        <f>IF(L1016="",0,L1016)</f>
        <v>0</v>
      </c>
      <c r="V1016" s="51">
        <f>IF(L1016="",0,MAX(1,N(E1016)))</f>
        <v>0</v>
      </c>
      <c r="W1016" s="51">
        <f>IF(K1016="",0,K1016)</f>
        <v>0</v>
      </c>
    </row>
    <row r="1017">
      <c r="A1017" s="49" t="n"/>
      <c r="B1017" s="41" t="n"/>
      <c r="C1017" s="41" t="n"/>
      <c r="D1017" s="42" t="n"/>
      <c r="E1017" s="42" t="n"/>
      <c r="F1017" s="50" t="n"/>
      <c r="G1017" s="42" t="n"/>
      <c r="H1017" s="30">
        <f>IF(D1017="","",IFERROR(INDEX(Config!$B$12:$B$15,MATCH(IF(AND(D1017="Cartão de crédito",N(E1017)&gt;1),"Cartão de crédito parcelado",D1017),Config!$A$12:$A$15,0)),0)+IF(AND(Config!$B$17="Sim",LEFT(D1017,17)="Cartão de crédito"),Config!$B$18*IFERROR(INDEX(Config!$C$12:$C$15,MATCH(IF(AND(D1017="Cartão de crédito",N(E1017)&gt;1),"Cartão de crédito parcelado",D1017),Config!$A$12:$A$15,0)),0)/30*MAX(1,N(E1017)),0))</f>
        <v/>
      </c>
      <c r="I1017" s="29">
        <f>IF(OR(D1017="",F1017=""),"",ROUND(F1017*H1017,2))</f>
        <v/>
      </c>
      <c r="J1017" s="29">
        <f>IF(I1017="","",F1017-I1017)</f>
        <v/>
      </c>
      <c r="K1017" s="29">
        <f>IF(J1017="","",J1017/MAX(1,N(E1017)))</f>
        <v/>
      </c>
      <c r="L1017" s="37">
        <f>IF(OR(D1017="",A1017=""),"",A1017+IF(AND(Config!$B$17="Sim",LEFT(D1017,17)="Cartão de crédito"),1,IFERROR(INDEX(Config!$C$12:$C$15,MATCH(IF(AND(D1017="Cartão de crédito",N(E1017)&gt;1),"Cartão de crédito parcelado",D1017),Config!$A$12:$A$15,0)),0)))</f>
        <v/>
      </c>
      <c r="M1017" s="37">
        <f>IF(L1017="","",IF(AND(Config!$B$17="Sim",LEFT(D1017,17)="Cartão de crédito"),L1017,L1017+30*(MAX(1,N(E1017))-1)))</f>
        <v/>
      </c>
      <c r="N1017" s="29">
        <f>IF(OR(L1017="",K1017=""),"",K1017*MIN(MAX(1,N(E1017)),MAX(0,INT((Config!$B$8-L1017)/30)+1)))</f>
        <v/>
      </c>
      <c r="O1017" s="29">
        <f>IF(J1017="","",J1017-N(N1017))</f>
        <v/>
      </c>
      <c r="P1017" s="27">
        <f>IF(A1017="","",MONTH(A1017))</f>
        <v/>
      </c>
      <c r="Q1017" s="27">
        <f>IF(A1017="","",YEAR(A1017))</f>
        <v/>
      </c>
      <c r="R1017" s="27">
        <f>IF(L1017="","",IF(L1017&gt;Config!$B$8,"A cair",IF(N(G1017)&gt;=MIN(MAX(1,N(E1017)),MAX(0,INT((Config!$B$8-L1017)/30)+1)),IF(N(G1017)&gt;=MAX(1,N(E1017)),"Conferido","Conferido até aqui"),"A conferir")))</f>
        <v/>
      </c>
      <c r="S1017" s="51">
        <f>IF(R1017="A conferir",(Config!$B$8-L1017)*1000+N(F1017)/1000+ROW()/100000,0)</f>
        <v>0</v>
      </c>
      <c r="T1017" s="51">
        <f>IF(R1017="A conferir",N(N1017),0)</f>
        <v>0</v>
      </c>
      <c r="U1017" s="51">
        <f>IF(L1017="",0,L1017)</f>
        <v>0</v>
      </c>
      <c r="V1017" s="51">
        <f>IF(L1017="",0,MAX(1,N(E1017)))</f>
        <v>0</v>
      </c>
      <c r="W1017" s="51">
        <f>IF(K1017="",0,K1017)</f>
        <v>0</v>
      </c>
    </row>
    <row r="1018">
      <c r="A1018" s="49" t="n"/>
      <c r="B1018" s="41" t="n"/>
      <c r="C1018" s="41" t="n"/>
      <c r="D1018" s="42" t="n"/>
      <c r="E1018" s="42" t="n"/>
      <c r="F1018" s="50" t="n"/>
      <c r="G1018" s="42" t="n"/>
      <c r="H1018" s="30">
        <f>IF(D1018="","",IFERROR(INDEX(Config!$B$12:$B$15,MATCH(IF(AND(D1018="Cartão de crédito",N(E1018)&gt;1),"Cartão de crédito parcelado",D1018),Config!$A$12:$A$15,0)),0)+IF(AND(Config!$B$17="Sim",LEFT(D1018,17)="Cartão de crédito"),Config!$B$18*IFERROR(INDEX(Config!$C$12:$C$15,MATCH(IF(AND(D1018="Cartão de crédito",N(E1018)&gt;1),"Cartão de crédito parcelado",D1018),Config!$A$12:$A$15,0)),0)/30*MAX(1,N(E1018)),0))</f>
        <v/>
      </c>
      <c r="I1018" s="29">
        <f>IF(OR(D1018="",F1018=""),"",ROUND(F1018*H1018,2))</f>
        <v/>
      </c>
      <c r="J1018" s="29">
        <f>IF(I1018="","",F1018-I1018)</f>
        <v/>
      </c>
      <c r="K1018" s="29">
        <f>IF(J1018="","",J1018/MAX(1,N(E1018)))</f>
        <v/>
      </c>
      <c r="L1018" s="37">
        <f>IF(OR(D1018="",A1018=""),"",A1018+IF(AND(Config!$B$17="Sim",LEFT(D1018,17)="Cartão de crédito"),1,IFERROR(INDEX(Config!$C$12:$C$15,MATCH(IF(AND(D1018="Cartão de crédito",N(E1018)&gt;1),"Cartão de crédito parcelado",D1018),Config!$A$12:$A$15,0)),0)))</f>
        <v/>
      </c>
      <c r="M1018" s="37">
        <f>IF(L1018="","",IF(AND(Config!$B$17="Sim",LEFT(D1018,17)="Cartão de crédito"),L1018,L1018+30*(MAX(1,N(E1018))-1)))</f>
        <v/>
      </c>
      <c r="N1018" s="29">
        <f>IF(OR(L1018="",K1018=""),"",K1018*MIN(MAX(1,N(E1018)),MAX(0,INT((Config!$B$8-L1018)/30)+1)))</f>
        <v/>
      </c>
      <c r="O1018" s="29">
        <f>IF(J1018="","",J1018-N(N1018))</f>
        <v/>
      </c>
      <c r="P1018" s="27">
        <f>IF(A1018="","",MONTH(A1018))</f>
        <v/>
      </c>
      <c r="Q1018" s="27">
        <f>IF(A1018="","",YEAR(A1018))</f>
        <v/>
      </c>
      <c r="R1018" s="27">
        <f>IF(L1018="","",IF(L1018&gt;Config!$B$8,"A cair",IF(N(G1018)&gt;=MIN(MAX(1,N(E1018)),MAX(0,INT((Config!$B$8-L1018)/30)+1)),IF(N(G1018)&gt;=MAX(1,N(E1018)),"Conferido","Conferido até aqui"),"A conferir")))</f>
        <v/>
      </c>
      <c r="S1018" s="51">
        <f>IF(R1018="A conferir",(Config!$B$8-L1018)*1000+N(F1018)/1000+ROW()/100000,0)</f>
        <v>0</v>
      </c>
      <c r="T1018" s="51">
        <f>IF(R1018="A conferir",N(N1018),0)</f>
        <v>0</v>
      </c>
      <c r="U1018" s="51">
        <f>IF(L1018="",0,L1018)</f>
        <v>0</v>
      </c>
      <c r="V1018" s="51">
        <f>IF(L1018="",0,MAX(1,N(E1018)))</f>
        <v>0</v>
      </c>
      <c r="W1018" s="51">
        <f>IF(K1018="",0,K1018)</f>
        <v>0</v>
      </c>
    </row>
    <row r="1019">
      <c r="A1019" s="49" t="n"/>
      <c r="B1019" s="41" t="n"/>
      <c r="C1019" s="41" t="n"/>
      <c r="D1019" s="42" t="n"/>
      <c r="E1019" s="42" t="n"/>
      <c r="F1019" s="50" t="n"/>
      <c r="G1019" s="42" t="n"/>
      <c r="H1019" s="30">
        <f>IF(D1019="","",IFERROR(INDEX(Config!$B$12:$B$15,MATCH(IF(AND(D1019="Cartão de crédito",N(E1019)&gt;1),"Cartão de crédito parcelado",D1019),Config!$A$12:$A$15,0)),0)+IF(AND(Config!$B$17="Sim",LEFT(D1019,17)="Cartão de crédito"),Config!$B$18*IFERROR(INDEX(Config!$C$12:$C$15,MATCH(IF(AND(D1019="Cartão de crédito",N(E1019)&gt;1),"Cartão de crédito parcelado",D1019),Config!$A$12:$A$15,0)),0)/30*MAX(1,N(E1019)),0))</f>
        <v/>
      </c>
      <c r="I1019" s="29">
        <f>IF(OR(D1019="",F1019=""),"",ROUND(F1019*H1019,2))</f>
        <v/>
      </c>
      <c r="J1019" s="29">
        <f>IF(I1019="","",F1019-I1019)</f>
        <v/>
      </c>
      <c r="K1019" s="29">
        <f>IF(J1019="","",J1019/MAX(1,N(E1019)))</f>
        <v/>
      </c>
      <c r="L1019" s="37">
        <f>IF(OR(D1019="",A1019=""),"",A1019+IF(AND(Config!$B$17="Sim",LEFT(D1019,17)="Cartão de crédito"),1,IFERROR(INDEX(Config!$C$12:$C$15,MATCH(IF(AND(D1019="Cartão de crédito",N(E1019)&gt;1),"Cartão de crédito parcelado",D1019),Config!$A$12:$A$15,0)),0)))</f>
        <v/>
      </c>
      <c r="M1019" s="37">
        <f>IF(L1019="","",IF(AND(Config!$B$17="Sim",LEFT(D1019,17)="Cartão de crédito"),L1019,L1019+30*(MAX(1,N(E1019))-1)))</f>
        <v/>
      </c>
      <c r="N1019" s="29">
        <f>IF(OR(L1019="",K1019=""),"",K1019*MIN(MAX(1,N(E1019)),MAX(0,INT((Config!$B$8-L1019)/30)+1)))</f>
        <v/>
      </c>
      <c r="O1019" s="29">
        <f>IF(J1019="","",J1019-N(N1019))</f>
        <v/>
      </c>
      <c r="P1019" s="27">
        <f>IF(A1019="","",MONTH(A1019))</f>
        <v/>
      </c>
      <c r="Q1019" s="27">
        <f>IF(A1019="","",YEAR(A1019))</f>
        <v/>
      </c>
      <c r="R1019" s="27">
        <f>IF(L1019="","",IF(L1019&gt;Config!$B$8,"A cair",IF(N(G1019)&gt;=MIN(MAX(1,N(E1019)),MAX(0,INT((Config!$B$8-L1019)/30)+1)),IF(N(G1019)&gt;=MAX(1,N(E1019)),"Conferido","Conferido até aqui"),"A conferir")))</f>
        <v/>
      </c>
      <c r="S1019" s="51">
        <f>IF(R1019="A conferir",(Config!$B$8-L1019)*1000+N(F1019)/1000+ROW()/100000,0)</f>
        <v>0</v>
      </c>
      <c r="T1019" s="51">
        <f>IF(R1019="A conferir",N(N1019),0)</f>
        <v>0</v>
      </c>
      <c r="U1019" s="51">
        <f>IF(L1019="",0,L1019)</f>
        <v>0</v>
      </c>
      <c r="V1019" s="51">
        <f>IF(L1019="",0,MAX(1,N(E1019)))</f>
        <v>0</v>
      </c>
      <c r="W1019" s="51">
        <f>IF(K1019="",0,K1019)</f>
        <v>0</v>
      </c>
    </row>
    <row r="1020">
      <c r="A1020" s="49" t="n"/>
      <c r="B1020" s="41" t="n"/>
      <c r="C1020" s="41" t="n"/>
      <c r="D1020" s="42" t="n"/>
      <c r="E1020" s="42" t="n"/>
      <c r="F1020" s="50" t="n"/>
      <c r="G1020" s="42" t="n"/>
      <c r="H1020" s="30">
        <f>IF(D1020="","",IFERROR(INDEX(Config!$B$12:$B$15,MATCH(IF(AND(D1020="Cartão de crédito",N(E1020)&gt;1),"Cartão de crédito parcelado",D1020),Config!$A$12:$A$15,0)),0)+IF(AND(Config!$B$17="Sim",LEFT(D1020,17)="Cartão de crédito"),Config!$B$18*IFERROR(INDEX(Config!$C$12:$C$15,MATCH(IF(AND(D1020="Cartão de crédito",N(E1020)&gt;1),"Cartão de crédito parcelado",D1020),Config!$A$12:$A$15,0)),0)/30*MAX(1,N(E1020)),0))</f>
        <v/>
      </c>
      <c r="I1020" s="29">
        <f>IF(OR(D1020="",F1020=""),"",ROUND(F1020*H1020,2))</f>
        <v/>
      </c>
      <c r="J1020" s="29">
        <f>IF(I1020="","",F1020-I1020)</f>
        <v/>
      </c>
      <c r="K1020" s="29">
        <f>IF(J1020="","",J1020/MAX(1,N(E1020)))</f>
        <v/>
      </c>
      <c r="L1020" s="37">
        <f>IF(OR(D1020="",A1020=""),"",A1020+IF(AND(Config!$B$17="Sim",LEFT(D1020,17)="Cartão de crédito"),1,IFERROR(INDEX(Config!$C$12:$C$15,MATCH(IF(AND(D1020="Cartão de crédito",N(E1020)&gt;1),"Cartão de crédito parcelado",D1020),Config!$A$12:$A$15,0)),0)))</f>
        <v/>
      </c>
      <c r="M1020" s="37">
        <f>IF(L1020="","",IF(AND(Config!$B$17="Sim",LEFT(D1020,17)="Cartão de crédito"),L1020,L1020+30*(MAX(1,N(E1020))-1)))</f>
        <v/>
      </c>
      <c r="N1020" s="29">
        <f>IF(OR(L1020="",K1020=""),"",K1020*MIN(MAX(1,N(E1020)),MAX(0,INT((Config!$B$8-L1020)/30)+1)))</f>
        <v/>
      </c>
      <c r="O1020" s="29">
        <f>IF(J1020="","",J1020-N(N1020))</f>
        <v/>
      </c>
      <c r="P1020" s="27">
        <f>IF(A1020="","",MONTH(A1020))</f>
        <v/>
      </c>
      <c r="Q1020" s="27">
        <f>IF(A1020="","",YEAR(A1020))</f>
        <v/>
      </c>
      <c r="R1020" s="27">
        <f>IF(L1020="","",IF(L1020&gt;Config!$B$8,"A cair",IF(N(G1020)&gt;=MIN(MAX(1,N(E1020)),MAX(0,INT((Config!$B$8-L1020)/30)+1)),IF(N(G1020)&gt;=MAX(1,N(E1020)),"Conferido","Conferido até aqui"),"A conferir")))</f>
        <v/>
      </c>
      <c r="S1020" s="51">
        <f>IF(R1020="A conferir",(Config!$B$8-L1020)*1000+N(F1020)/1000+ROW()/100000,0)</f>
        <v>0</v>
      </c>
      <c r="T1020" s="51">
        <f>IF(R1020="A conferir",N(N1020),0)</f>
        <v>0</v>
      </c>
      <c r="U1020" s="51">
        <f>IF(L1020="",0,L1020)</f>
        <v>0</v>
      </c>
      <c r="V1020" s="51">
        <f>IF(L1020="",0,MAX(1,N(E1020)))</f>
        <v>0</v>
      </c>
      <c r="W1020" s="51">
        <f>IF(K1020="",0,K1020)</f>
        <v>0</v>
      </c>
    </row>
    <row r="1021">
      <c r="A1021" s="49" t="n"/>
      <c r="B1021" s="41" t="n"/>
      <c r="C1021" s="41" t="n"/>
      <c r="D1021" s="42" t="n"/>
      <c r="E1021" s="42" t="n"/>
      <c r="F1021" s="50" t="n"/>
      <c r="G1021" s="42" t="n"/>
      <c r="H1021" s="30">
        <f>IF(D1021="","",IFERROR(INDEX(Config!$B$12:$B$15,MATCH(IF(AND(D1021="Cartão de crédito",N(E1021)&gt;1),"Cartão de crédito parcelado",D1021),Config!$A$12:$A$15,0)),0)+IF(AND(Config!$B$17="Sim",LEFT(D1021,17)="Cartão de crédito"),Config!$B$18*IFERROR(INDEX(Config!$C$12:$C$15,MATCH(IF(AND(D1021="Cartão de crédito",N(E1021)&gt;1),"Cartão de crédito parcelado",D1021),Config!$A$12:$A$15,0)),0)/30*MAX(1,N(E1021)),0))</f>
        <v/>
      </c>
      <c r="I1021" s="29">
        <f>IF(OR(D1021="",F1021=""),"",ROUND(F1021*H1021,2))</f>
        <v/>
      </c>
      <c r="J1021" s="29">
        <f>IF(I1021="","",F1021-I1021)</f>
        <v/>
      </c>
      <c r="K1021" s="29">
        <f>IF(J1021="","",J1021/MAX(1,N(E1021)))</f>
        <v/>
      </c>
      <c r="L1021" s="37">
        <f>IF(OR(D1021="",A1021=""),"",A1021+IF(AND(Config!$B$17="Sim",LEFT(D1021,17)="Cartão de crédito"),1,IFERROR(INDEX(Config!$C$12:$C$15,MATCH(IF(AND(D1021="Cartão de crédito",N(E1021)&gt;1),"Cartão de crédito parcelado",D1021),Config!$A$12:$A$15,0)),0)))</f>
        <v/>
      </c>
      <c r="M1021" s="37">
        <f>IF(L1021="","",IF(AND(Config!$B$17="Sim",LEFT(D1021,17)="Cartão de crédito"),L1021,L1021+30*(MAX(1,N(E1021))-1)))</f>
        <v/>
      </c>
      <c r="N1021" s="29">
        <f>IF(OR(L1021="",K1021=""),"",K1021*MIN(MAX(1,N(E1021)),MAX(0,INT((Config!$B$8-L1021)/30)+1)))</f>
        <v/>
      </c>
      <c r="O1021" s="29">
        <f>IF(J1021="","",J1021-N(N1021))</f>
        <v/>
      </c>
      <c r="P1021" s="27">
        <f>IF(A1021="","",MONTH(A1021))</f>
        <v/>
      </c>
      <c r="Q1021" s="27">
        <f>IF(A1021="","",YEAR(A1021))</f>
        <v/>
      </c>
      <c r="R1021" s="27">
        <f>IF(L1021="","",IF(L1021&gt;Config!$B$8,"A cair",IF(N(G1021)&gt;=MIN(MAX(1,N(E1021)),MAX(0,INT((Config!$B$8-L1021)/30)+1)),IF(N(G1021)&gt;=MAX(1,N(E1021)),"Conferido","Conferido até aqui"),"A conferir")))</f>
        <v/>
      </c>
      <c r="S1021" s="51">
        <f>IF(R1021="A conferir",(Config!$B$8-L1021)*1000+N(F1021)/1000+ROW()/100000,0)</f>
        <v>0</v>
      </c>
      <c r="T1021" s="51">
        <f>IF(R1021="A conferir",N(N1021),0)</f>
        <v>0</v>
      </c>
      <c r="U1021" s="51">
        <f>IF(L1021="",0,L1021)</f>
        <v>0</v>
      </c>
      <c r="V1021" s="51">
        <f>IF(L1021="",0,MAX(1,N(E1021)))</f>
        <v>0</v>
      </c>
      <c r="W1021" s="51">
        <f>IF(K1021="",0,K1021)</f>
        <v>0</v>
      </c>
    </row>
    <row r="1022">
      <c r="A1022" s="49" t="n"/>
      <c r="B1022" s="41" t="n"/>
      <c r="C1022" s="41" t="n"/>
      <c r="D1022" s="42" t="n"/>
      <c r="E1022" s="42" t="n"/>
      <c r="F1022" s="50" t="n"/>
      <c r="G1022" s="42" t="n"/>
      <c r="H1022" s="30">
        <f>IF(D1022="","",IFERROR(INDEX(Config!$B$12:$B$15,MATCH(IF(AND(D1022="Cartão de crédito",N(E1022)&gt;1),"Cartão de crédito parcelado",D1022),Config!$A$12:$A$15,0)),0)+IF(AND(Config!$B$17="Sim",LEFT(D1022,17)="Cartão de crédito"),Config!$B$18*IFERROR(INDEX(Config!$C$12:$C$15,MATCH(IF(AND(D1022="Cartão de crédito",N(E1022)&gt;1),"Cartão de crédito parcelado",D1022),Config!$A$12:$A$15,0)),0)/30*MAX(1,N(E1022)),0))</f>
        <v/>
      </c>
      <c r="I1022" s="29">
        <f>IF(OR(D1022="",F1022=""),"",ROUND(F1022*H1022,2))</f>
        <v/>
      </c>
      <c r="J1022" s="29">
        <f>IF(I1022="","",F1022-I1022)</f>
        <v/>
      </c>
      <c r="K1022" s="29">
        <f>IF(J1022="","",J1022/MAX(1,N(E1022)))</f>
        <v/>
      </c>
      <c r="L1022" s="37">
        <f>IF(OR(D1022="",A1022=""),"",A1022+IF(AND(Config!$B$17="Sim",LEFT(D1022,17)="Cartão de crédito"),1,IFERROR(INDEX(Config!$C$12:$C$15,MATCH(IF(AND(D1022="Cartão de crédito",N(E1022)&gt;1),"Cartão de crédito parcelado",D1022),Config!$A$12:$A$15,0)),0)))</f>
        <v/>
      </c>
      <c r="M1022" s="37">
        <f>IF(L1022="","",IF(AND(Config!$B$17="Sim",LEFT(D1022,17)="Cartão de crédito"),L1022,L1022+30*(MAX(1,N(E1022))-1)))</f>
        <v/>
      </c>
      <c r="N1022" s="29">
        <f>IF(OR(L1022="",K1022=""),"",K1022*MIN(MAX(1,N(E1022)),MAX(0,INT((Config!$B$8-L1022)/30)+1)))</f>
        <v/>
      </c>
      <c r="O1022" s="29">
        <f>IF(J1022="","",J1022-N(N1022))</f>
        <v/>
      </c>
      <c r="P1022" s="27">
        <f>IF(A1022="","",MONTH(A1022))</f>
        <v/>
      </c>
      <c r="Q1022" s="27">
        <f>IF(A1022="","",YEAR(A1022))</f>
        <v/>
      </c>
      <c r="R1022" s="27">
        <f>IF(L1022="","",IF(L1022&gt;Config!$B$8,"A cair",IF(N(G1022)&gt;=MIN(MAX(1,N(E1022)),MAX(0,INT((Config!$B$8-L1022)/30)+1)),IF(N(G1022)&gt;=MAX(1,N(E1022)),"Conferido","Conferido até aqui"),"A conferir")))</f>
        <v/>
      </c>
      <c r="S1022" s="51">
        <f>IF(R1022="A conferir",(Config!$B$8-L1022)*1000+N(F1022)/1000+ROW()/100000,0)</f>
        <v>0</v>
      </c>
      <c r="T1022" s="51">
        <f>IF(R1022="A conferir",N(N1022),0)</f>
        <v>0</v>
      </c>
      <c r="U1022" s="51">
        <f>IF(L1022="",0,L1022)</f>
        <v>0</v>
      </c>
      <c r="V1022" s="51">
        <f>IF(L1022="",0,MAX(1,N(E1022)))</f>
        <v>0</v>
      </c>
      <c r="W1022" s="51">
        <f>IF(K1022="",0,K1022)</f>
        <v>0</v>
      </c>
    </row>
    <row r="1023">
      <c r="A1023" s="49" t="n"/>
      <c r="B1023" s="41" t="n"/>
      <c r="C1023" s="41" t="n"/>
      <c r="D1023" s="42" t="n"/>
      <c r="E1023" s="42" t="n"/>
      <c r="F1023" s="50" t="n"/>
      <c r="G1023" s="42" t="n"/>
      <c r="H1023" s="30">
        <f>IF(D1023="","",IFERROR(INDEX(Config!$B$12:$B$15,MATCH(IF(AND(D1023="Cartão de crédito",N(E1023)&gt;1),"Cartão de crédito parcelado",D1023),Config!$A$12:$A$15,0)),0)+IF(AND(Config!$B$17="Sim",LEFT(D1023,17)="Cartão de crédito"),Config!$B$18*IFERROR(INDEX(Config!$C$12:$C$15,MATCH(IF(AND(D1023="Cartão de crédito",N(E1023)&gt;1),"Cartão de crédito parcelado",D1023),Config!$A$12:$A$15,0)),0)/30*MAX(1,N(E1023)),0))</f>
        <v/>
      </c>
      <c r="I1023" s="29">
        <f>IF(OR(D1023="",F1023=""),"",ROUND(F1023*H1023,2))</f>
        <v/>
      </c>
      <c r="J1023" s="29">
        <f>IF(I1023="","",F1023-I1023)</f>
        <v/>
      </c>
      <c r="K1023" s="29">
        <f>IF(J1023="","",J1023/MAX(1,N(E1023)))</f>
        <v/>
      </c>
      <c r="L1023" s="37">
        <f>IF(OR(D1023="",A1023=""),"",A1023+IF(AND(Config!$B$17="Sim",LEFT(D1023,17)="Cartão de crédito"),1,IFERROR(INDEX(Config!$C$12:$C$15,MATCH(IF(AND(D1023="Cartão de crédito",N(E1023)&gt;1),"Cartão de crédito parcelado",D1023),Config!$A$12:$A$15,0)),0)))</f>
        <v/>
      </c>
      <c r="M1023" s="37">
        <f>IF(L1023="","",IF(AND(Config!$B$17="Sim",LEFT(D1023,17)="Cartão de crédito"),L1023,L1023+30*(MAX(1,N(E1023))-1)))</f>
        <v/>
      </c>
      <c r="N1023" s="29">
        <f>IF(OR(L1023="",K1023=""),"",K1023*MIN(MAX(1,N(E1023)),MAX(0,INT((Config!$B$8-L1023)/30)+1)))</f>
        <v/>
      </c>
      <c r="O1023" s="29">
        <f>IF(J1023="","",J1023-N(N1023))</f>
        <v/>
      </c>
      <c r="P1023" s="27">
        <f>IF(A1023="","",MONTH(A1023))</f>
        <v/>
      </c>
      <c r="Q1023" s="27">
        <f>IF(A1023="","",YEAR(A1023))</f>
        <v/>
      </c>
      <c r="R1023" s="27">
        <f>IF(L1023="","",IF(L1023&gt;Config!$B$8,"A cair",IF(N(G1023)&gt;=MIN(MAX(1,N(E1023)),MAX(0,INT((Config!$B$8-L1023)/30)+1)),IF(N(G1023)&gt;=MAX(1,N(E1023)),"Conferido","Conferido até aqui"),"A conferir")))</f>
        <v/>
      </c>
      <c r="S1023" s="51">
        <f>IF(R1023="A conferir",(Config!$B$8-L1023)*1000+N(F1023)/1000+ROW()/100000,0)</f>
        <v>0</v>
      </c>
      <c r="T1023" s="51">
        <f>IF(R1023="A conferir",N(N1023),0)</f>
        <v>0</v>
      </c>
      <c r="U1023" s="51">
        <f>IF(L1023="",0,L1023)</f>
        <v>0</v>
      </c>
      <c r="V1023" s="51">
        <f>IF(L1023="",0,MAX(1,N(E1023)))</f>
        <v>0</v>
      </c>
      <c r="W1023" s="51">
        <f>IF(K1023="",0,K1023)</f>
        <v>0</v>
      </c>
    </row>
    <row r="1024">
      <c r="A1024" s="49" t="n"/>
      <c r="B1024" s="41" t="n"/>
      <c r="C1024" s="41" t="n"/>
      <c r="D1024" s="42" t="n"/>
      <c r="E1024" s="42" t="n"/>
      <c r="F1024" s="50" t="n"/>
      <c r="G1024" s="42" t="n"/>
      <c r="H1024" s="30">
        <f>IF(D1024="","",IFERROR(INDEX(Config!$B$12:$B$15,MATCH(IF(AND(D1024="Cartão de crédito",N(E1024)&gt;1),"Cartão de crédito parcelado",D1024),Config!$A$12:$A$15,0)),0)+IF(AND(Config!$B$17="Sim",LEFT(D1024,17)="Cartão de crédito"),Config!$B$18*IFERROR(INDEX(Config!$C$12:$C$15,MATCH(IF(AND(D1024="Cartão de crédito",N(E1024)&gt;1),"Cartão de crédito parcelado",D1024),Config!$A$12:$A$15,0)),0)/30*MAX(1,N(E1024)),0))</f>
        <v/>
      </c>
      <c r="I1024" s="29">
        <f>IF(OR(D1024="",F1024=""),"",ROUND(F1024*H1024,2))</f>
        <v/>
      </c>
      <c r="J1024" s="29">
        <f>IF(I1024="","",F1024-I1024)</f>
        <v/>
      </c>
      <c r="K1024" s="29">
        <f>IF(J1024="","",J1024/MAX(1,N(E1024)))</f>
        <v/>
      </c>
      <c r="L1024" s="37">
        <f>IF(OR(D1024="",A1024=""),"",A1024+IF(AND(Config!$B$17="Sim",LEFT(D1024,17)="Cartão de crédito"),1,IFERROR(INDEX(Config!$C$12:$C$15,MATCH(IF(AND(D1024="Cartão de crédito",N(E1024)&gt;1),"Cartão de crédito parcelado",D1024),Config!$A$12:$A$15,0)),0)))</f>
        <v/>
      </c>
      <c r="M1024" s="37">
        <f>IF(L1024="","",IF(AND(Config!$B$17="Sim",LEFT(D1024,17)="Cartão de crédito"),L1024,L1024+30*(MAX(1,N(E1024))-1)))</f>
        <v/>
      </c>
      <c r="N1024" s="29">
        <f>IF(OR(L1024="",K1024=""),"",K1024*MIN(MAX(1,N(E1024)),MAX(0,INT((Config!$B$8-L1024)/30)+1)))</f>
        <v/>
      </c>
      <c r="O1024" s="29">
        <f>IF(J1024="","",J1024-N(N1024))</f>
        <v/>
      </c>
      <c r="P1024" s="27">
        <f>IF(A1024="","",MONTH(A1024))</f>
        <v/>
      </c>
      <c r="Q1024" s="27">
        <f>IF(A1024="","",YEAR(A1024))</f>
        <v/>
      </c>
      <c r="R1024" s="27">
        <f>IF(L1024="","",IF(L1024&gt;Config!$B$8,"A cair",IF(N(G1024)&gt;=MIN(MAX(1,N(E1024)),MAX(0,INT((Config!$B$8-L1024)/30)+1)),IF(N(G1024)&gt;=MAX(1,N(E1024)),"Conferido","Conferido até aqui"),"A conferir")))</f>
        <v/>
      </c>
      <c r="S1024" s="51">
        <f>IF(R1024="A conferir",(Config!$B$8-L1024)*1000+N(F1024)/1000+ROW()/100000,0)</f>
        <v>0</v>
      </c>
      <c r="T1024" s="51">
        <f>IF(R1024="A conferir",N(N1024),0)</f>
        <v>0</v>
      </c>
      <c r="U1024" s="51">
        <f>IF(L1024="",0,L1024)</f>
        <v>0</v>
      </c>
      <c r="V1024" s="51">
        <f>IF(L1024="",0,MAX(1,N(E1024)))</f>
        <v>0</v>
      </c>
      <c r="W1024" s="51">
        <f>IF(K1024="",0,K1024)</f>
        <v>0</v>
      </c>
    </row>
    <row r="1025">
      <c r="A1025" s="49" t="n"/>
      <c r="B1025" s="41" t="n"/>
      <c r="C1025" s="41" t="n"/>
      <c r="D1025" s="42" t="n"/>
      <c r="E1025" s="42" t="n"/>
      <c r="F1025" s="50" t="n"/>
      <c r="G1025" s="42" t="n"/>
      <c r="H1025" s="30">
        <f>IF(D1025="","",IFERROR(INDEX(Config!$B$12:$B$15,MATCH(IF(AND(D1025="Cartão de crédito",N(E1025)&gt;1),"Cartão de crédito parcelado",D1025),Config!$A$12:$A$15,0)),0)+IF(AND(Config!$B$17="Sim",LEFT(D1025,17)="Cartão de crédito"),Config!$B$18*IFERROR(INDEX(Config!$C$12:$C$15,MATCH(IF(AND(D1025="Cartão de crédito",N(E1025)&gt;1),"Cartão de crédito parcelado",D1025),Config!$A$12:$A$15,0)),0)/30*MAX(1,N(E1025)),0))</f>
        <v/>
      </c>
      <c r="I1025" s="29">
        <f>IF(OR(D1025="",F1025=""),"",ROUND(F1025*H1025,2))</f>
        <v/>
      </c>
      <c r="J1025" s="29">
        <f>IF(I1025="","",F1025-I1025)</f>
        <v/>
      </c>
      <c r="K1025" s="29">
        <f>IF(J1025="","",J1025/MAX(1,N(E1025)))</f>
        <v/>
      </c>
      <c r="L1025" s="37">
        <f>IF(OR(D1025="",A1025=""),"",A1025+IF(AND(Config!$B$17="Sim",LEFT(D1025,17)="Cartão de crédito"),1,IFERROR(INDEX(Config!$C$12:$C$15,MATCH(IF(AND(D1025="Cartão de crédito",N(E1025)&gt;1),"Cartão de crédito parcelado",D1025),Config!$A$12:$A$15,0)),0)))</f>
        <v/>
      </c>
      <c r="M1025" s="37">
        <f>IF(L1025="","",IF(AND(Config!$B$17="Sim",LEFT(D1025,17)="Cartão de crédito"),L1025,L1025+30*(MAX(1,N(E1025))-1)))</f>
        <v/>
      </c>
      <c r="N1025" s="29">
        <f>IF(OR(L1025="",K1025=""),"",K1025*MIN(MAX(1,N(E1025)),MAX(0,INT((Config!$B$8-L1025)/30)+1)))</f>
        <v/>
      </c>
      <c r="O1025" s="29">
        <f>IF(J1025="","",J1025-N(N1025))</f>
        <v/>
      </c>
      <c r="P1025" s="27">
        <f>IF(A1025="","",MONTH(A1025))</f>
        <v/>
      </c>
      <c r="Q1025" s="27">
        <f>IF(A1025="","",YEAR(A1025))</f>
        <v/>
      </c>
      <c r="R1025" s="27">
        <f>IF(L1025="","",IF(L1025&gt;Config!$B$8,"A cair",IF(N(G1025)&gt;=MIN(MAX(1,N(E1025)),MAX(0,INT((Config!$B$8-L1025)/30)+1)),IF(N(G1025)&gt;=MAX(1,N(E1025)),"Conferido","Conferido até aqui"),"A conferir")))</f>
        <v/>
      </c>
      <c r="S1025" s="51">
        <f>IF(R1025="A conferir",(Config!$B$8-L1025)*1000+N(F1025)/1000+ROW()/100000,0)</f>
        <v>0</v>
      </c>
      <c r="T1025" s="51">
        <f>IF(R1025="A conferir",N(N1025),0)</f>
        <v>0</v>
      </c>
      <c r="U1025" s="51">
        <f>IF(L1025="",0,L1025)</f>
        <v>0</v>
      </c>
      <c r="V1025" s="51">
        <f>IF(L1025="",0,MAX(1,N(E1025)))</f>
        <v>0</v>
      </c>
      <c r="W1025" s="51">
        <f>IF(K1025="",0,K1025)</f>
        <v>0</v>
      </c>
    </row>
    <row r="1026">
      <c r="A1026" s="49" t="n"/>
      <c r="B1026" s="41" t="n"/>
      <c r="C1026" s="41" t="n"/>
      <c r="D1026" s="42" t="n"/>
      <c r="E1026" s="42" t="n"/>
      <c r="F1026" s="50" t="n"/>
      <c r="G1026" s="42" t="n"/>
      <c r="H1026" s="30">
        <f>IF(D1026="","",IFERROR(INDEX(Config!$B$12:$B$15,MATCH(IF(AND(D1026="Cartão de crédito",N(E1026)&gt;1),"Cartão de crédito parcelado",D1026),Config!$A$12:$A$15,0)),0)+IF(AND(Config!$B$17="Sim",LEFT(D1026,17)="Cartão de crédito"),Config!$B$18*IFERROR(INDEX(Config!$C$12:$C$15,MATCH(IF(AND(D1026="Cartão de crédito",N(E1026)&gt;1),"Cartão de crédito parcelado",D1026),Config!$A$12:$A$15,0)),0)/30*MAX(1,N(E1026)),0))</f>
        <v/>
      </c>
      <c r="I1026" s="29">
        <f>IF(OR(D1026="",F1026=""),"",ROUND(F1026*H1026,2))</f>
        <v/>
      </c>
      <c r="J1026" s="29">
        <f>IF(I1026="","",F1026-I1026)</f>
        <v/>
      </c>
      <c r="K1026" s="29">
        <f>IF(J1026="","",J1026/MAX(1,N(E1026)))</f>
        <v/>
      </c>
      <c r="L1026" s="37">
        <f>IF(OR(D1026="",A1026=""),"",A1026+IF(AND(Config!$B$17="Sim",LEFT(D1026,17)="Cartão de crédito"),1,IFERROR(INDEX(Config!$C$12:$C$15,MATCH(IF(AND(D1026="Cartão de crédito",N(E1026)&gt;1),"Cartão de crédito parcelado",D1026),Config!$A$12:$A$15,0)),0)))</f>
        <v/>
      </c>
      <c r="M1026" s="37">
        <f>IF(L1026="","",IF(AND(Config!$B$17="Sim",LEFT(D1026,17)="Cartão de crédito"),L1026,L1026+30*(MAX(1,N(E1026))-1)))</f>
        <v/>
      </c>
      <c r="N1026" s="29">
        <f>IF(OR(L1026="",K1026=""),"",K1026*MIN(MAX(1,N(E1026)),MAX(0,INT((Config!$B$8-L1026)/30)+1)))</f>
        <v/>
      </c>
      <c r="O1026" s="29">
        <f>IF(J1026="","",J1026-N(N1026))</f>
        <v/>
      </c>
      <c r="P1026" s="27">
        <f>IF(A1026="","",MONTH(A1026))</f>
        <v/>
      </c>
      <c r="Q1026" s="27">
        <f>IF(A1026="","",YEAR(A1026))</f>
        <v/>
      </c>
      <c r="R1026" s="27">
        <f>IF(L1026="","",IF(L1026&gt;Config!$B$8,"A cair",IF(N(G1026)&gt;=MIN(MAX(1,N(E1026)),MAX(0,INT((Config!$B$8-L1026)/30)+1)),IF(N(G1026)&gt;=MAX(1,N(E1026)),"Conferido","Conferido até aqui"),"A conferir")))</f>
        <v/>
      </c>
      <c r="S1026" s="51">
        <f>IF(R1026="A conferir",(Config!$B$8-L1026)*1000+N(F1026)/1000+ROW()/100000,0)</f>
        <v>0</v>
      </c>
      <c r="T1026" s="51">
        <f>IF(R1026="A conferir",N(N1026),0)</f>
        <v>0</v>
      </c>
      <c r="U1026" s="51">
        <f>IF(L1026="",0,L1026)</f>
        <v>0</v>
      </c>
      <c r="V1026" s="51">
        <f>IF(L1026="",0,MAX(1,N(E1026)))</f>
        <v>0</v>
      </c>
      <c r="W1026" s="51">
        <f>IF(K1026="",0,K1026)</f>
        <v>0</v>
      </c>
    </row>
    <row r="1027">
      <c r="A1027" s="49" t="n"/>
      <c r="B1027" s="41" t="n"/>
      <c r="C1027" s="41" t="n"/>
      <c r="D1027" s="42" t="n"/>
      <c r="E1027" s="42" t="n"/>
      <c r="F1027" s="50" t="n"/>
      <c r="G1027" s="42" t="n"/>
      <c r="H1027" s="30">
        <f>IF(D1027="","",IFERROR(INDEX(Config!$B$12:$B$15,MATCH(IF(AND(D1027="Cartão de crédito",N(E1027)&gt;1),"Cartão de crédito parcelado",D1027),Config!$A$12:$A$15,0)),0)+IF(AND(Config!$B$17="Sim",LEFT(D1027,17)="Cartão de crédito"),Config!$B$18*IFERROR(INDEX(Config!$C$12:$C$15,MATCH(IF(AND(D1027="Cartão de crédito",N(E1027)&gt;1),"Cartão de crédito parcelado",D1027),Config!$A$12:$A$15,0)),0)/30*MAX(1,N(E1027)),0))</f>
        <v/>
      </c>
      <c r="I1027" s="29">
        <f>IF(OR(D1027="",F1027=""),"",ROUND(F1027*H1027,2))</f>
        <v/>
      </c>
      <c r="J1027" s="29">
        <f>IF(I1027="","",F1027-I1027)</f>
        <v/>
      </c>
      <c r="K1027" s="29">
        <f>IF(J1027="","",J1027/MAX(1,N(E1027)))</f>
        <v/>
      </c>
      <c r="L1027" s="37">
        <f>IF(OR(D1027="",A1027=""),"",A1027+IF(AND(Config!$B$17="Sim",LEFT(D1027,17)="Cartão de crédito"),1,IFERROR(INDEX(Config!$C$12:$C$15,MATCH(IF(AND(D1027="Cartão de crédito",N(E1027)&gt;1),"Cartão de crédito parcelado",D1027),Config!$A$12:$A$15,0)),0)))</f>
        <v/>
      </c>
      <c r="M1027" s="37">
        <f>IF(L1027="","",IF(AND(Config!$B$17="Sim",LEFT(D1027,17)="Cartão de crédito"),L1027,L1027+30*(MAX(1,N(E1027))-1)))</f>
        <v/>
      </c>
      <c r="N1027" s="29">
        <f>IF(OR(L1027="",K1027=""),"",K1027*MIN(MAX(1,N(E1027)),MAX(0,INT((Config!$B$8-L1027)/30)+1)))</f>
        <v/>
      </c>
      <c r="O1027" s="29">
        <f>IF(J1027="","",J1027-N(N1027))</f>
        <v/>
      </c>
      <c r="P1027" s="27">
        <f>IF(A1027="","",MONTH(A1027))</f>
        <v/>
      </c>
      <c r="Q1027" s="27">
        <f>IF(A1027="","",YEAR(A1027))</f>
        <v/>
      </c>
      <c r="R1027" s="27">
        <f>IF(L1027="","",IF(L1027&gt;Config!$B$8,"A cair",IF(N(G1027)&gt;=MIN(MAX(1,N(E1027)),MAX(0,INT((Config!$B$8-L1027)/30)+1)),IF(N(G1027)&gt;=MAX(1,N(E1027)),"Conferido","Conferido até aqui"),"A conferir")))</f>
        <v/>
      </c>
      <c r="S1027" s="51">
        <f>IF(R1027="A conferir",(Config!$B$8-L1027)*1000+N(F1027)/1000+ROW()/100000,0)</f>
        <v>0</v>
      </c>
      <c r="T1027" s="51">
        <f>IF(R1027="A conferir",N(N1027),0)</f>
        <v>0</v>
      </c>
      <c r="U1027" s="51">
        <f>IF(L1027="",0,L1027)</f>
        <v>0</v>
      </c>
      <c r="V1027" s="51">
        <f>IF(L1027="",0,MAX(1,N(E1027)))</f>
        <v>0</v>
      </c>
      <c r="W1027" s="51">
        <f>IF(K1027="",0,K1027)</f>
        <v>0</v>
      </c>
    </row>
    <row r="1028">
      <c r="A1028" s="49" t="n"/>
      <c r="B1028" s="41" t="n"/>
      <c r="C1028" s="41" t="n"/>
      <c r="D1028" s="42" t="n"/>
      <c r="E1028" s="42" t="n"/>
      <c r="F1028" s="50" t="n"/>
      <c r="G1028" s="42" t="n"/>
      <c r="H1028" s="30">
        <f>IF(D1028="","",IFERROR(INDEX(Config!$B$12:$B$15,MATCH(IF(AND(D1028="Cartão de crédito",N(E1028)&gt;1),"Cartão de crédito parcelado",D1028),Config!$A$12:$A$15,0)),0)+IF(AND(Config!$B$17="Sim",LEFT(D1028,17)="Cartão de crédito"),Config!$B$18*IFERROR(INDEX(Config!$C$12:$C$15,MATCH(IF(AND(D1028="Cartão de crédito",N(E1028)&gt;1),"Cartão de crédito parcelado",D1028),Config!$A$12:$A$15,0)),0)/30*MAX(1,N(E1028)),0))</f>
        <v/>
      </c>
      <c r="I1028" s="29">
        <f>IF(OR(D1028="",F1028=""),"",ROUND(F1028*H1028,2))</f>
        <v/>
      </c>
      <c r="J1028" s="29">
        <f>IF(I1028="","",F1028-I1028)</f>
        <v/>
      </c>
      <c r="K1028" s="29">
        <f>IF(J1028="","",J1028/MAX(1,N(E1028)))</f>
        <v/>
      </c>
      <c r="L1028" s="37">
        <f>IF(OR(D1028="",A1028=""),"",A1028+IF(AND(Config!$B$17="Sim",LEFT(D1028,17)="Cartão de crédito"),1,IFERROR(INDEX(Config!$C$12:$C$15,MATCH(IF(AND(D1028="Cartão de crédito",N(E1028)&gt;1),"Cartão de crédito parcelado",D1028),Config!$A$12:$A$15,0)),0)))</f>
        <v/>
      </c>
      <c r="M1028" s="37">
        <f>IF(L1028="","",IF(AND(Config!$B$17="Sim",LEFT(D1028,17)="Cartão de crédito"),L1028,L1028+30*(MAX(1,N(E1028))-1)))</f>
        <v/>
      </c>
      <c r="N1028" s="29">
        <f>IF(OR(L1028="",K1028=""),"",K1028*MIN(MAX(1,N(E1028)),MAX(0,INT((Config!$B$8-L1028)/30)+1)))</f>
        <v/>
      </c>
      <c r="O1028" s="29">
        <f>IF(J1028="","",J1028-N(N1028))</f>
        <v/>
      </c>
      <c r="P1028" s="27">
        <f>IF(A1028="","",MONTH(A1028))</f>
        <v/>
      </c>
      <c r="Q1028" s="27">
        <f>IF(A1028="","",YEAR(A1028))</f>
        <v/>
      </c>
      <c r="R1028" s="27">
        <f>IF(L1028="","",IF(L1028&gt;Config!$B$8,"A cair",IF(N(G1028)&gt;=MIN(MAX(1,N(E1028)),MAX(0,INT((Config!$B$8-L1028)/30)+1)),IF(N(G1028)&gt;=MAX(1,N(E1028)),"Conferido","Conferido até aqui"),"A conferir")))</f>
        <v/>
      </c>
      <c r="S1028" s="51">
        <f>IF(R1028="A conferir",(Config!$B$8-L1028)*1000+N(F1028)/1000+ROW()/100000,0)</f>
        <v>0</v>
      </c>
      <c r="T1028" s="51">
        <f>IF(R1028="A conferir",N(N1028),0)</f>
        <v>0</v>
      </c>
      <c r="U1028" s="51">
        <f>IF(L1028="",0,L1028)</f>
        <v>0</v>
      </c>
      <c r="V1028" s="51">
        <f>IF(L1028="",0,MAX(1,N(E1028)))</f>
        <v>0</v>
      </c>
      <c r="W1028" s="51">
        <f>IF(K1028="",0,K1028)</f>
        <v>0</v>
      </c>
    </row>
    <row r="1029">
      <c r="A1029" s="49" t="n"/>
      <c r="B1029" s="41" t="n"/>
      <c r="C1029" s="41" t="n"/>
      <c r="D1029" s="42" t="n"/>
      <c r="E1029" s="42" t="n"/>
      <c r="F1029" s="50" t="n"/>
      <c r="G1029" s="42" t="n"/>
      <c r="H1029" s="30">
        <f>IF(D1029="","",IFERROR(INDEX(Config!$B$12:$B$15,MATCH(IF(AND(D1029="Cartão de crédito",N(E1029)&gt;1),"Cartão de crédito parcelado",D1029),Config!$A$12:$A$15,0)),0)+IF(AND(Config!$B$17="Sim",LEFT(D1029,17)="Cartão de crédito"),Config!$B$18*IFERROR(INDEX(Config!$C$12:$C$15,MATCH(IF(AND(D1029="Cartão de crédito",N(E1029)&gt;1),"Cartão de crédito parcelado",D1029),Config!$A$12:$A$15,0)),0)/30*MAX(1,N(E1029)),0))</f>
        <v/>
      </c>
      <c r="I1029" s="29">
        <f>IF(OR(D1029="",F1029=""),"",ROUND(F1029*H1029,2))</f>
        <v/>
      </c>
      <c r="J1029" s="29">
        <f>IF(I1029="","",F1029-I1029)</f>
        <v/>
      </c>
      <c r="K1029" s="29">
        <f>IF(J1029="","",J1029/MAX(1,N(E1029)))</f>
        <v/>
      </c>
      <c r="L1029" s="37">
        <f>IF(OR(D1029="",A1029=""),"",A1029+IF(AND(Config!$B$17="Sim",LEFT(D1029,17)="Cartão de crédito"),1,IFERROR(INDEX(Config!$C$12:$C$15,MATCH(IF(AND(D1029="Cartão de crédito",N(E1029)&gt;1),"Cartão de crédito parcelado",D1029),Config!$A$12:$A$15,0)),0)))</f>
        <v/>
      </c>
      <c r="M1029" s="37">
        <f>IF(L1029="","",IF(AND(Config!$B$17="Sim",LEFT(D1029,17)="Cartão de crédito"),L1029,L1029+30*(MAX(1,N(E1029))-1)))</f>
        <v/>
      </c>
      <c r="N1029" s="29">
        <f>IF(OR(L1029="",K1029=""),"",K1029*MIN(MAX(1,N(E1029)),MAX(0,INT((Config!$B$8-L1029)/30)+1)))</f>
        <v/>
      </c>
      <c r="O1029" s="29">
        <f>IF(J1029="","",J1029-N(N1029))</f>
        <v/>
      </c>
      <c r="P1029" s="27">
        <f>IF(A1029="","",MONTH(A1029))</f>
        <v/>
      </c>
      <c r="Q1029" s="27">
        <f>IF(A1029="","",YEAR(A1029))</f>
        <v/>
      </c>
      <c r="R1029" s="27">
        <f>IF(L1029="","",IF(L1029&gt;Config!$B$8,"A cair",IF(N(G1029)&gt;=MIN(MAX(1,N(E1029)),MAX(0,INT((Config!$B$8-L1029)/30)+1)),IF(N(G1029)&gt;=MAX(1,N(E1029)),"Conferido","Conferido até aqui"),"A conferir")))</f>
        <v/>
      </c>
      <c r="S1029" s="51">
        <f>IF(R1029="A conferir",(Config!$B$8-L1029)*1000+N(F1029)/1000+ROW()/100000,0)</f>
        <v>0</v>
      </c>
      <c r="T1029" s="51">
        <f>IF(R1029="A conferir",N(N1029),0)</f>
        <v>0</v>
      </c>
      <c r="U1029" s="51">
        <f>IF(L1029="",0,L1029)</f>
        <v>0</v>
      </c>
      <c r="V1029" s="51">
        <f>IF(L1029="",0,MAX(1,N(E1029)))</f>
        <v>0</v>
      </c>
      <c r="W1029" s="51">
        <f>IF(K1029="",0,K1029)</f>
        <v>0</v>
      </c>
    </row>
    <row r="1030">
      <c r="A1030" s="49" t="n"/>
      <c r="B1030" s="41" t="n"/>
      <c r="C1030" s="41" t="n"/>
      <c r="D1030" s="42" t="n"/>
      <c r="E1030" s="42" t="n"/>
      <c r="F1030" s="50" t="n"/>
      <c r="G1030" s="42" t="n"/>
      <c r="H1030" s="30">
        <f>IF(D1030="","",IFERROR(INDEX(Config!$B$12:$B$15,MATCH(IF(AND(D1030="Cartão de crédito",N(E1030)&gt;1),"Cartão de crédito parcelado",D1030),Config!$A$12:$A$15,0)),0)+IF(AND(Config!$B$17="Sim",LEFT(D1030,17)="Cartão de crédito"),Config!$B$18*IFERROR(INDEX(Config!$C$12:$C$15,MATCH(IF(AND(D1030="Cartão de crédito",N(E1030)&gt;1),"Cartão de crédito parcelado",D1030),Config!$A$12:$A$15,0)),0)/30*MAX(1,N(E1030)),0))</f>
        <v/>
      </c>
      <c r="I1030" s="29">
        <f>IF(OR(D1030="",F1030=""),"",ROUND(F1030*H1030,2))</f>
        <v/>
      </c>
      <c r="J1030" s="29">
        <f>IF(I1030="","",F1030-I1030)</f>
        <v/>
      </c>
      <c r="K1030" s="29">
        <f>IF(J1030="","",J1030/MAX(1,N(E1030)))</f>
        <v/>
      </c>
      <c r="L1030" s="37">
        <f>IF(OR(D1030="",A1030=""),"",A1030+IF(AND(Config!$B$17="Sim",LEFT(D1030,17)="Cartão de crédito"),1,IFERROR(INDEX(Config!$C$12:$C$15,MATCH(IF(AND(D1030="Cartão de crédito",N(E1030)&gt;1),"Cartão de crédito parcelado",D1030),Config!$A$12:$A$15,0)),0)))</f>
        <v/>
      </c>
      <c r="M1030" s="37">
        <f>IF(L1030="","",IF(AND(Config!$B$17="Sim",LEFT(D1030,17)="Cartão de crédito"),L1030,L1030+30*(MAX(1,N(E1030))-1)))</f>
        <v/>
      </c>
      <c r="N1030" s="29">
        <f>IF(OR(L1030="",K1030=""),"",K1030*MIN(MAX(1,N(E1030)),MAX(0,INT((Config!$B$8-L1030)/30)+1)))</f>
        <v/>
      </c>
      <c r="O1030" s="29">
        <f>IF(J1030="","",J1030-N(N1030))</f>
        <v/>
      </c>
      <c r="P1030" s="27">
        <f>IF(A1030="","",MONTH(A1030))</f>
        <v/>
      </c>
      <c r="Q1030" s="27">
        <f>IF(A1030="","",YEAR(A1030))</f>
        <v/>
      </c>
      <c r="R1030" s="27">
        <f>IF(L1030="","",IF(L1030&gt;Config!$B$8,"A cair",IF(N(G1030)&gt;=MIN(MAX(1,N(E1030)),MAX(0,INT((Config!$B$8-L1030)/30)+1)),IF(N(G1030)&gt;=MAX(1,N(E1030)),"Conferido","Conferido até aqui"),"A conferir")))</f>
        <v/>
      </c>
      <c r="S1030" s="51">
        <f>IF(R1030="A conferir",(Config!$B$8-L1030)*1000+N(F1030)/1000+ROW()/100000,0)</f>
        <v>0</v>
      </c>
      <c r="T1030" s="51">
        <f>IF(R1030="A conferir",N(N1030),0)</f>
        <v>0</v>
      </c>
      <c r="U1030" s="51">
        <f>IF(L1030="",0,L1030)</f>
        <v>0</v>
      </c>
      <c r="V1030" s="51">
        <f>IF(L1030="",0,MAX(1,N(E1030)))</f>
        <v>0</v>
      </c>
      <c r="W1030" s="51">
        <f>IF(K1030="",0,K1030)</f>
        <v>0</v>
      </c>
    </row>
    <row r="1031">
      <c r="A1031" s="49" t="n"/>
      <c r="B1031" s="41" t="n"/>
      <c r="C1031" s="41" t="n"/>
      <c r="D1031" s="42" t="n"/>
      <c r="E1031" s="42" t="n"/>
      <c r="F1031" s="50" t="n"/>
      <c r="G1031" s="42" t="n"/>
      <c r="H1031" s="30">
        <f>IF(D1031="","",IFERROR(INDEX(Config!$B$12:$B$15,MATCH(IF(AND(D1031="Cartão de crédito",N(E1031)&gt;1),"Cartão de crédito parcelado",D1031),Config!$A$12:$A$15,0)),0)+IF(AND(Config!$B$17="Sim",LEFT(D1031,17)="Cartão de crédito"),Config!$B$18*IFERROR(INDEX(Config!$C$12:$C$15,MATCH(IF(AND(D1031="Cartão de crédito",N(E1031)&gt;1),"Cartão de crédito parcelado",D1031),Config!$A$12:$A$15,0)),0)/30*MAX(1,N(E1031)),0))</f>
        <v/>
      </c>
      <c r="I1031" s="29">
        <f>IF(OR(D1031="",F1031=""),"",ROUND(F1031*H1031,2))</f>
        <v/>
      </c>
      <c r="J1031" s="29">
        <f>IF(I1031="","",F1031-I1031)</f>
        <v/>
      </c>
      <c r="K1031" s="29">
        <f>IF(J1031="","",J1031/MAX(1,N(E1031)))</f>
        <v/>
      </c>
      <c r="L1031" s="37">
        <f>IF(OR(D1031="",A1031=""),"",A1031+IF(AND(Config!$B$17="Sim",LEFT(D1031,17)="Cartão de crédito"),1,IFERROR(INDEX(Config!$C$12:$C$15,MATCH(IF(AND(D1031="Cartão de crédito",N(E1031)&gt;1),"Cartão de crédito parcelado",D1031),Config!$A$12:$A$15,0)),0)))</f>
        <v/>
      </c>
      <c r="M1031" s="37">
        <f>IF(L1031="","",IF(AND(Config!$B$17="Sim",LEFT(D1031,17)="Cartão de crédito"),L1031,L1031+30*(MAX(1,N(E1031))-1)))</f>
        <v/>
      </c>
      <c r="N1031" s="29">
        <f>IF(OR(L1031="",K1031=""),"",K1031*MIN(MAX(1,N(E1031)),MAX(0,INT((Config!$B$8-L1031)/30)+1)))</f>
        <v/>
      </c>
      <c r="O1031" s="29">
        <f>IF(J1031="","",J1031-N(N1031))</f>
        <v/>
      </c>
      <c r="P1031" s="27">
        <f>IF(A1031="","",MONTH(A1031))</f>
        <v/>
      </c>
      <c r="Q1031" s="27">
        <f>IF(A1031="","",YEAR(A1031))</f>
        <v/>
      </c>
      <c r="R1031" s="27">
        <f>IF(L1031="","",IF(L1031&gt;Config!$B$8,"A cair",IF(N(G1031)&gt;=MIN(MAX(1,N(E1031)),MAX(0,INT((Config!$B$8-L1031)/30)+1)),IF(N(G1031)&gt;=MAX(1,N(E1031)),"Conferido","Conferido até aqui"),"A conferir")))</f>
        <v/>
      </c>
      <c r="S1031" s="51">
        <f>IF(R1031="A conferir",(Config!$B$8-L1031)*1000+N(F1031)/1000+ROW()/100000,0)</f>
        <v>0</v>
      </c>
      <c r="T1031" s="51">
        <f>IF(R1031="A conferir",N(N1031),0)</f>
        <v>0</v>
      </c>
      <c r="U1031" s="51">
        <f>IF(L1031="",0,L1031)</f>
        <v>0</v>
      </c>
      <c r="V1031" s="51">
        <f>IF(L1031="",0,MAX(1,N(E1031)))</f>
        <v>0</v>
      </c>
      <c r="W1031" s="51">
        <f>IF(K1031="",0,K1031)</f>
        <v>0</v>
      </c>
    </row>
    <row r="1032">
      <c r="A1032" s="49" t="n"/>
      <c r="B1032" s="41" t="n"/>
      <c r="C1032" s="41" t="n"/>
      <c r="D1032" s="42" t="n"/>
      <c r="E1032" s="42" t="n"/>
      <c r="F1032" s="50" t="n"/>
      <c r="G1032" s="42" t="n"/>
      <c r="H1032" s="30">
        <f>IF(D1032="","",IFERROR(INDEX(Config!$B$12:$B$15,MATCH(IF(AND(D1032="Cartão de crédito",N(E1032)&gt;1),"Cartão de crédito parcelado",D1032),Config!$A$12:$A$15,0)),0)+IF(AND(Config!$B$17="Sim",LEFT(D1032,17)="Cartão de crédito"),Config!$B$18*IFERROR(INDEX(Config!$C$12:$C$15,MATCH(IF(AND(D1032="Cartão de crédito",N(E1032)&gt;1),"Cartão de crédito parcelado",D1032),Config!$A$12:$A$15,0)),0)/30*MAX(1,N(E1032)),0))</f>
        <v/>
      </c>
      <c r="I1032" s="29">
        <f>IF(OR(D1032="",F1032=""),"",ROUND(F1032*H1032,2))</f>
        <v/>
      </c>
      <c r="J1032" s="29">
        <f>IF(I1032="","",F1032-I1032)</f>
        <v/>
      </c>
      <c r="K1032" s="29">
        <f>IF(J1032="","",J1032/MAX(1,N(E1032)))</f>
        <v/>
      </c>
      <c r="L1032" s="37">
        <f>IF(OR(D1032="",A1032=""),"",A1032+IF(AND(Config!$B$17="Sim",LEFT(D1032,17)="Cartão de crédito"),1,IFERROR(INDEX(Config!$C$12:$C$15,MATCH(IF(AND(D1032="Cartão de crédito",N(E1032)&gt;1),"Cartão de crédito parcelado",D1032),Config!$A$12:$A$15,0)),0)))</f>
        <v/>
      </c>
      <c r="M1032" s="37">
        <f>IF(L1032="","",IF(AND(Config!$B$17="Sim",LEFT(D1032,17)="Cartão de crédito"),L1032,L1032+30*(MAX(1,N(E1032))-1)))</f>
        <v/>
      </c>
      <c r="N1032" s="29">
        <f>IF(OR(L1032="",K1032=""),"",K1032*MIN(MAX(1,N(E1032)),MAX(0,INT((Config!$B$8-L1032)/30)+1)))</f>
        <v/>
      </c>
      <c r="O1032" s="29">
        <f>IF(J1032="","",J1032-N(N1032))</f>
        <v/>
      </c>
      <c r="P1032" s="27">
        <f>IF(A1032="","",MONTH(A1032))</f>
        <v/>
      </c>
      <c r="Q1032" s="27">
        <f>IF(A1032="","",YEAR(A1032))</f>
        <v/>
      </c>
      <c r="R1032" s="27">
        <f>IF(L1032="","",IF(L1032&gt;Config!$B$8,"A cair",IF(N(G1032)&gt;=MIN(MAX(1,N(E1032)),MAX(0,INT((Config!$B$8-L1032)/30)+1)),IF(N(G1032)&gt;=MAX(1,N(E1032)),"Conferido","Conferido até aqui"),"A conferir")))</f>
        <v/>
      </c>
      <c r="S1032" s="51">
        <f>IF(R1032="A conferir",(Config!$B$8-L1032)*1000+N(F1032)/1000+ROW()/100000,0)</f>
        <v>0</v>
      </c>
      <c r="T1032" s="51">
        <f>IF(R1032="A conferir",N(N1032),0)</f>
        <v>0</v>
      </c>
      <c r="U1032" s="51">
        <f>IF(L1032="",0,L1032)</f>
        <v>0</v>
      </c>
      <c r="V1032" s="51">
        <f>IF(L1032="",0,MAX(1,N(E1032)))</f>
        <v>0</v>
      </c>
      <c r="W1032" s="51">
        <f>IF(K1032="",0,K1032)</f>
        <v>0</v>
      </c>
    </row>
    <row r="1033">
      <c r="A1033" s="49" t="n"/>
      <c r="B1033" s="41" t="n"/>
      <c r="C1033" s="41" t="n"/>
      <c r="D1033" s="42" t="n"/>
      <c r="E1033" s="42" t="n"/>
      <c r="F1033" s="50" t="n"/>
      <c r="G1033" s="42" t="n"/>
      <c r="H1033" s="30">
        <f>IF(D1033="","",IFERROR(INDEX(Config!$B$12:$B$15,MATCH(IF(AND(D1033="Cartão de crédito",N(E1033)&gt;1),"Cartão de crédito parcelado",D1033),Config!$A$12:$A$15,0)),0)+IF(AND(Config!$B$17="Sim",LEFT(D1033,17)="Cartão de crédito"),Config!$B$18*IFERROR(INDEX(Config!$C$12:$C$15,MATCH(IF(AND(D1033="Cartão de crédito",N(E1033)&gt;1),"Cartão de crédito parcelado",D1033),Config!$A$12:$A$15,0)),0)/30*MAX(1,N(E1033)),0))</f>
        <v/>
      </c>
      <c r="I1033" s="29">
        <f>IF(OR(D1033="",F1033=""),"",ROUND(F1033*H1033,2))</f>
        <v/>
      </c>
      <c r="J1033" s="29">
        <f>IF(I1033="","",F1033-I1033)</f>
        <v/>
      </c>
      <c r="K1033" s="29">
        <f>IF(J1033="","",J1033/MAX(1,N(E1033)))</f>
        <v/>
      </c>
      <c r="L1033" s="37">
        <f>IF(OR(D1033="",A1033=""),"",A1033+IF(AND(Config!$B$17="Sim",LEFT(D1033,17)="Cartão de crédito"),1,IFERROR(INDEX(Config!$C$12:$C$15,MATCH(IF(AND(D1033="Cartão de crédito",N(E1033)&gt;1),"Cartão de crédito parcelado",D1033),Config!$A$12:$A$15,0)),0)))</f>
        <v/>
      </c>
      <c r="M1033" s="37">
        <f>IF(L1033="","",IF(AND(Config!$B$17="Sim",LEFT(D1033,17)="Cartão de crédito"),L1033,L1033+30*(MAX(1,N(E1033))-1)))</f>
        <v/>
      </c>
      <c r="N1033" s="29">
        <f>IF(OR(L1033="",K1033=""),"",K1033*MIN(MAX(1,N(E1033)),MAX(0,INT((Config!$B$8-L1033)/30)+1)))</f>
        <v/>
      </c>
      <c r="O1033" s="29">
        <f>IF(J1033="","",J1033-N(N1033))</f>
        <v/>
      </c>
      <c r="P1033" s="27">
        <f>IF(A1033="","",MONTH(A1033))</f>
        <v/>
      </c>
      <c r="Q1033" s="27">
        <f>IF(A1033="","",YEAR(A1033))</f>
        <v/>
      </c>
      <c r="R1033" s="27">
        <f>IF(L1033="","",IF(L1033&gt;Config!$B$8,"A cair",IF(N(G1033)&gt;=MIN(MAX(1,N(E1033)),MAX(0,INT((Config!$B$8-L1033)/30)+1)),IF(N(G1033)&gt;=MAX(1,N(E1033)),"Conferido","Conferido até aqui"),"A conferir")))</f>
        <v/>
      </c>
      <c r="S1033" s="51">
        <f>IF(R1033="A conferir",(Config!$B$8-L1033)*1000+N(F1033)/1000+ROW()/100000,0)</f>
        <v>0</v>
      </c>
      <c r="T1033" s="51">
        <f>IF(R1033="A conferir",N(N1033),0)</f>
        <v>0</v>
      </c>
      <c r="U1033" s="51">
        <f>IF(L1033="",0,L1033)</f>
        <v>0</v>
      </c>
      <c r="V1033" s="51">
        <f>IF(L1033="",0,MAX(1,N(E1033)))</f>
        <v>0</v>
      </c>
      <c r="W1033" s="51">
        <f>IF(K1033="",0,K1033)</f>
        <v>0</v>
      </c>
    </row>
    <row r="1034">
      <c r="A1034" s="49" t="n"/>
      <c r="B1034" s="41" t="n"/>
      <c r="C1034" s="41" t="n"/>
      <c r="D1034" s="42" t="n"/>
      <c r="E1034" s="42" t="n"/>
      <c r="F1034" s="50" t="n"/>
      <c r="G1034" s="42" t="n"/>
      <c r="H1034" s="30">
        <f>IF(D1034="","",IFERROR(INDEX(Config!$B$12:$B$15,MATCH(IF(AND(D1034="Cartão de crédito",N(E1034)&gt;1),"Cartão de crédito parcelado",D1034),Config!$A$12:$A$15,0)),0)+IF(AND(Config!$B$17="Sim",LEFT(D1034,17)="Cartão de crédito"),Config!$B$18*IFERROR(INDEX(Config!$C$12:$C$15,MATCH(IF(AND(D1034="Cartão de crédito",N(E1034)&gt;1),"Cartão de crédito parcelado",D1034),Config!$A$12:$A$15,0)),0)/30*MAX(1,N(E1034)),0))</f>
        <v/>
      </c>
      <c r="I1034" s="29">
        <f>IF(OR(D1034="",F1034=""),"",ROUND(F1034*H1034,2))</f>
        <v/>
      </c>
      <c r="J1034" s="29">
        <f>IF(I1034="","",F1034-I1034)</f>
        <v/>
      </c>
      <c r="K1034" s="29">
        <f>IF(J1034="","",J1034/MAX(1,N(E1034)))</f>
        <v/>
      </c>
      <c r="L1034" s="37">
        <f>IF(OR(D1034="",A1034=""),"",A1034+IF(AND(Config!$B$17="Sim",LEFT(D1034,17)="Cartão de crédito"),1,IFERROR(INDEX(Config!$C$12:$C$15,MATCH(IF(AND(D1034="Cartão de crédito",N(E1034)&gt;1),"Cartão de crédito parcelado",D1034),Config!$A$12:$A$15,0)),0)))</f>
        <v/>
      </c>
      <c r="M1034" s="37">
        <f>IF(L1034="","",IF(AND(Config!$B$17="Sim",LEFT(D1034,17)="Cartão de crédito"),L1034,L1034+30*(MAX(1,N(E1034))-1)))</f>
        <v/>
      </c>
      <c r="N1034" s="29">
        <f>IF(OR(L1034="",K1034=""),"",K1034*MIN(MAX(1,N(E1034)),MAX(0,INT((Config!$B$8-L1034)/30)+1)))</f>
        <v/>
      </c>
      <c r="O1034" s="29">
        <f>IF(J1034="","",J1034-N(N1034))</f>
        <v/>
      </c>
      <c r="P1034" s="27">
        <f>IF(A1034="","",MONTH(A1034))</f>
        <v/>
      </c>
      <c r="Q1034" s="27">
        <f>IF(A1034="","",YEAR(A1034))</f>
        <v/>
      </c>
      <c r="R1034" s="27">
        <f>IF(L1034="","",IF(L1034&gt;Config!$B$8,"A cair",IF(N(G1034)&gt;=MIN(MAX(1,N(E1034)),MAX(0,INT((Config!$B$8-L1034)/30)+1)),IF(N(G1034)&gt;=MAX(1,N(E1034)),"Conferido","Conferido até aqui"),"A conferir")))</f>
        <v/>
      </c>
      <c r="S1034" s="51">
        <f>IF(R1034="A conferir",(Config!$B$8-L1034)*1000+N(F1034)/1000+ROW()/100000,0)</f>
        <v>0</v>
      </c>
      <c r="T1034" s="51">
        <f>IF(R1034="A conferir",N(N1034),0)</f>
        <v>0</v>
      </c>
      <c r="U1034" s="51">
        <f>IF(L1034="",0,L1034)</f>
        <v>0</v>
      </c>
      <c r="V1034" s="51">
        <f>IF(L1034="",0,MAX(1,N(E1034)))</f>
        <v>0</v>
      </c>
      <c r="W1034" s="51">
        <f>IF(K1034="",0,K1034)</f>
        <v>0</v>
      </c>
    </row>
    <row r="1035">
      <c r="A1035" s="49" t="n"/>
      <c r="B1035" s="41" t="n"/>
      <c r="C1035" s="41" t="n"/>
      <c r="D1035" s="42" t="n"/>
      <c r="E1035" s="42" t="n"/>
      <c r="F1035" s="50" t="n"/>
      <c r="G1035" s="42" t="n"/>
      <c r="H1035" s="30">
        <f>IF(D1035="","",IFERROR(INDEX(Config!$B$12:$B$15,MATCH(IF(AND(D1035="Cartão de crédito",N(E1035)&gt;1),"Cartão de crédito parcelado",D1035),Config!$A$12:$A$15,0)),0)+IF(AND(Config!$B$17="Sim",LEFT(D1035,17)="Cartão de crédito"),Config!$B$18*IFERROR(INDEX(Config!$C$12:$C$15,MATCH(IF(AND(D1035="Cartão de crédito",N(E1035)&gt;1),"Cartão de crédito parcelado",D1035),Config!$A$12:$A$15,0)),0)/30*MAX(1,N(E1035)),0))</f>
        <v/>
      </c>
      <c r="I1035" s="29">
        <f>IF(OR(D1035="",F1035=""),"",ROUND(F1035*H1035,2))</f>
        <v/>
      </c>
      <c r="J1035" s="29">
        <f>IF(I1035="","",F1035-I1035)</f>
        <v/>
      </c>
      <c r="K1035" s="29">
        <f>IF(J1035="","",J1035/MAX(1,N(E1035)))</f>
        <v/>
      </c>
      <c r="L1035" s="37">
        <f>IF(OR(D1035="",A1035=""),"",A1035+IF(AND(Config!$B$17="Sim",LEFT(D1035,17)="Cartão de crédito"),1,IFERROR(INDEX(Config!$C$12:$C$15,MATCH(IF(AND(D1035="Cartão de crédito",N(E1035)&gt;1),"Cartão de crédito parcelado",D1035),Config!$A$12:$A$15,0)),0)))</f>
        <v/>
      </c>
      <c r="M1035" s="37">
        <f>IF(L1035="","",IF(AND(Config!$B$17="Sim",LEFT(D1035,17)="Cartão de crédito"),L1035,L1035+30*(MAX(1,N(E1035))-1)))</f>
        <v/>
      </c>
      <c r="N1035" s="29">
        <f>IF(OR(L1035="",K1035=""),"",K1035*MIN(MAX(1,N(E1035)),MAX(0,INT((Config!$B$8-L1035)/30)+1)))</f>
        <v/>
      </c>
      <c r="O1035" s="29">
        <f>IF(J1035="","",J1035-N(N1035))</f>
        <v/>
      </c>
      <c r="P1035" s="27">
        <f>IF(A1035="","",MONTH(A1035))</f>
        <v/>
      </c>
      <c r="Q1035" s="27">
        <f>IF(A1035="","",YEAR(A1035))</f>
        <v/>
      </c>
      <c r="R1035" s="27">
        <f>IF(L1035="","",IF(L1035&gt;Config!$B$8,"A cair",IF(N(G1035)&gt;=MIN(MAX(1,N(E1035)),MAX(0,INT((Config!$B$8-L1035)/30)+1)),IF(N(G1035)&gt;=MAX(1,N(E1035)),"Conferido","Conferido até aqui"),"A conferir")))</f>
        <v/>
      </c>
      <c r="S1035" s="51">
        <f>IF(R1035="A conferir",(Config!$B$8-L1035)*1000+N(F1035)/1000+ROW()/100000,0)</f>
        <v>0</v>
      </c>
      <c r="T1035" s="51">
        <f>IF(R1035="A conferir",N(N1035),0)</f>
        <v>0</v>
      </c>
      <c r="U1035" s="51">
        <f>IF(L1035="",0,L1035)</f>
        <v>0</v>
      </c>
      <c r="V1035" s="51">
        <f>IF(L1035="",0,MAX(1,N(E1035)))</f>
        <v>0</v>
      </c>
      <c r="W1035" s="51">
        <f>IF(K1035="",0,K1035)</f>
        <v>0</v>
      </c>
    </row>
    <row r="1036">
      <c r="A1036" s="49" t="n"/>
      <c r="B1036" s="41" t="n"/>
      <c r="C1036" s="41" t="n"/>
      <c r="D1036" s="42" t="n"/>
      <c r="E1036" s="42" t="n"/>
      <c r="F1036" s="50" t="n"/>
      <c r="G1036" s="42" t="n"/>
      <c r="H1036" s="30">
        <f>IF(D1036="","",IFERROR(INDEX(Config!$B$12:$B$15,MATCH(IF(AND(D1036="Cartão de crédito",N(E1036)&gt;1),"Cartão de crédito parcelado",D1036),Config!$A$12:$A$15,0)),0)+IF(AND(Config!$B$17="Sim",LEFT(D1036,17)="Cartão de crédito"),Config!$B$18*IFERROR(INDEX(Config!$C$12:$C$15,MATCH(IF(AND(D1036="Cartão de crédito",N(E1036)&gt;1),"Cartão de crédito parcelado",D1036),Config!$A$12:$A$15,0)),0)/30*MAX(1,N(E1036)),0))</f>
        <v/>
      </c>
      <c r="I1036" s="29">
        <f>IF(OR(D1036="",F1036=""),"",ROUND(F1036*H1036,2))</f>
        <v/>
      </c>
      <c r="J1036" s="29">
        <f>IF(I1036="","",F1036-I1036)</f>
        <v/>
      </c>
      <c r="K1036" s="29">
        <f>IF(J1036="","",J1036/MAX(1,N(E1036)))</f>
        <v/>
      </c>
      <c r="L1036" s="37">
        <f>IF(OR(D1036="",A1036=""),"",A1036+IF(AND(Config!$B$17="Sim",LEFT(D1036,17)="Cartão de crédito"),1,IFERROR(INDEX(Config!$C$12:$C$15,MATCH(IF(AND(D1036="Cartão de crédito",N(E1036)&gt;1),"Cartão de crédito parcelado",D1036),Config!$A$12:$A$15,0)),0)))</f>
        <v/>
      </c>
      <c r="M1036" s="37">
        <f>IF(L1036="","",IF(AND(Config!$B$17="Sim",LEFT(D1036,17)="Cartão de crédito"),L1036,L1036+30*(MAX(1,N(E1036))-1)))</f>
        <v/>
      </c>
      <c r="N1036" s="29">
        <f>IF(OR(L1036="",K1036=""),"",K1036*MIN(MAX(1,N(E1036)),MAX(0,INT((Config!$B$8-L1036)/30)+1)))</f>
        <v/>
      </c>
      <c r="O1036" s="29">
        <f>IF(J1036="","",J1036-N(N1036))</f>
        <v/>
      </c>
      <c r="P1036" s="27">
        <f>IF(A1036="","",MONTH(A1036))</f>
        <v/>
      </c>
      <c r="Q1036" s="27">
        <f>IF(A1036="","",YEAR(A1036))</f>
        <v/>
      </c>
      <c r="R1036" s="27">
        <f>IF(L1036="","",IF(L1036&gt;Config!$B$8,"A cair",IF(N(G1036)&gt;=MIN(MAX(1,N(E1036)),MAX(0,INT((Config!$B$8-L1036)/30)+1)),IF(N(G1036)&gt;=MAX(1,N(E1036)),"Conferido","Conferido até aqui"),"A conferir")))</f>
        <v/>
      </c>
      <c r="S1036" s="51">
        <f>IF(R1036="A conferir",(Config!$B$8-L1036)*1000+N(F1036)/1000+ROW()/100000,0)</f>
        <v>0</v>
      </c>
      <c r="T1036" s="51">
        <f>IF(R1036="A conferir",N(N1036),0)</f>
        <v>0</v>
      </c>
      <c r="U1036" s="51">
        <f>IF(L1036="",0,L1036)</f>
        <v>0</v>
      </c>
      <c r="V1036" s="51">
        <f>IF(L1036="",0,MAX(1,N(E1036)))</f>
        <v>0</v>
      </c>
      <c r="W1036" s="51">
        <f>IF(K1036="",0,K1036)</f>
        <v>0</v>
      </c>
    </row>
    <row r="1037">
      <c r="A1037" s="49" t="n"/>
      <c r="B1037" s="41" t="n"/>
      <c r="C1037" s="41" t="n"/>
      <c r="D1037" s="42" t="n"/>
      <c r="E1037" s="42" t="n"/>
      <c r="F1037" s="50" t="n"/>
      <c r="G1037" s="42" t="n"/>
      <c r="H1037" s="30">
        <f>IF(D1037="","",IFERROR(INDEX(Config!$B$12:$B$15,MATCH(IF(AND(D1037="Cartão de crédito",N(E1037)&gt;1),"Cartão de crédito parcelado",D1037),Config!$A$12:$A$15,0)),0)+IF(AND(Config!$B$17="Sim",LEFT(D1037,17)="Cartão de crédito"),Config!$B$18*IFERROR(INDEX(Config!$C$12:$C$15,MATCH(IF(AND(D1037="Cartão de crédito",N(E1037)&gt;1),"Cartão de crédito parcelado",D1037),Config!$A$12:$A$15,0)),0)/30*MAX(1,N(E1037)),0))</f>
        <v/>
      </c>
      <c r="I1037" s="29">
        <f>IF(OR(D1037="",F1037=""),"",ROUND(F1037*H1037,2))</f>
        <v/>
      </c>
      <c r="J1037" s="29">
        <f>IF(I1037="","",F1037-I1037)</f>
        <v/>
      </c>
      <c r="K1037" s="29">
        <f>IF(J1037="","",J1037/MAX(1,N(E1037)))</f>
        <v/>
      </c>
      <c r="L1037" s="37">
        <f>IF(OR(D1037="",A1037=""),"",A1037+IF(AND(Config!$B$17="Sim",LEFT(D1037,17)="Cartão de crédito"),1,IFERROR(INDEX(Config!$C$12:$C$15,MATCH(IF(AND(D1037="Cartão de crédito",N(E1037)&gt;1),"Cartão de crédito parcelado",D1037),Config!$A$12:$A$15,0)),0)))</f>
        <v/>
      </c>
      <c r="M1037" s="37">
        <f>IF(L1037="","",IF(AND(Config!$B$17="Sim",LEFT(D1037,17)="Cartão de crédito"),L1037,L1037+30*(MAX(1,N(E1037))-1)))</f>
        <v/>
      </c>
      <c r="N1037" s="29">
        <f>IF(OR(L1037="",K1037=""),"",K1037*MIN(MAX(1,N(E1037)),MAX(0,INT((Config!$B$8-L1037)/30)+1)))</f>
        <v/>
      </c>
      <c r="O1037" s="29">
        <f>IF(J1037="","",J1037-N(N1037))</f>
        <v/>
      </c>
      <c r="P1037" s="27">
        <f>IF(A1037="","",MONTH(A1037))</f>
        <v/>
      </c>
      <c r="Q1037" s="27">
        <f>IF(A1037="","",YEAR(A1037))</f>
        <v/>
      </c>
      <c r="R1037" s="27">
        <f>IF(L1037="","",IF(L1037&gt;Config!$B$8,"A cair",IF(N(G1037)&gt;=MIN(MAX(1,N(E1037)),MAX(0,INT((Config!$B$8-L1037)/30)+1)),IF(N(G1037)&gt;=MAX(1,N(E1037)),"Conferido","Conferido até aqui"),"A conferir")))</f>
        <v/>
      </c>
      <c r="S1037" s="51">
        <f>IF(R1037="A conferir",(Config!$B$8-L1037)*1000+N(F1037)/1000+ROW()/100000,0)</f>
        <v>0</v>
      </c>
      <c r="T1037" s="51">
        <f>IF(R1037="A conferir",N(N1037),0)</f>
        <v>0</v>
      </c>
      <c r="U1037" s="51">
        <f>IF(L1037="",0,L1037)</f>
        <v>0</v>
      </c>
      <c r="V1037" s="51">
        <f>IF(L1037="",0,MAX(1,N(E1037)))</f>
        <v>0</v>
      </c>
      <c r="W1037" s="51">
        <f>IF(K1037="",0,K1037)</f>
        <v>0</v>
      </c>
    </row>
    <row r="1038">
      <c r="A1038" s="49" t="n"/>
      <c r="B1038" s="41" t="n"/>
      <c r="C1038" s="41" t="n"/>
      <c r="D1038" s="42" t="n"/>
      <c r="E1038" s="42" t="n"/>
      <c r="F1038" s="50" t="n"/>
      <c r="G1038" s="42" t="n"/>
      <c r="H1038" s="30">
        <f>IF(D1038="","",IFERROR(INDEX(Config!$B$12:$B$15,MATCH(IF(AND(D1038="Cartão de crédito",N(E1038)&gt;1),"Cartão de crédito parcelado",D1038),Config!$A$12:$A$15,0)),0)+IF(AND(Config!$B$17="Sim",LEFT(D1038,17)="Cartão de crédito"),Config!$B$18*IFERROR(INDEX(Config!$C$12:$C$15,MATCH(IF(AND(D1038="Cartão de crédito",N(E1038)&gt;1),"Cartão de crédito parcelado",D1038),Config!$A$12:$A$15,0)),0)/30*MAX(1,N(E1038)),0))</f>
        <v/>
      </c>
      <c r="I1038" s="29">
        <f>IF(OR(D1038="",F1038=""),"",ROUND(F1038*H1038,2))</f>
        <v/>
      </c>
      <c r="J1038" s="29">
        <f>IF(I1038="","",F1038-I1038)</f>
        <v/>
      </c>
      <c r="K1038" s="29">
        <f>IF(J1038="","",J1038/MAX(1,N(E1038)))</f>
        <v/>
      </c>
      <c r="L1038" s="37">
        <f>IF(OR(D1038="",A1038=""),"",A1038+IF(AND(Config!$B$17="Sim",LEFT(D1038,17)="Cartão de crédito"),1,IFERROR(INDEX(Config!$C$12:$C$15,MATCH(IF(AND(D1038="Cartão de crédito",N(E1038)&gt;1),"Cartão de crédito parcelado",D1038),Config!$A$12:$A$15,0)),0)))</f>
        <v/>
      </c>
      <c r="M1038" s="37">
        <f>IF(L1038="","",IF(AND(Config!$B$17="Sim",LEFT(D1038,17)="Cartão de crédito"),L1038,L1038+30*(MAX(1,N(E1038))-1)))</f>
        <v/>
      </c>
      <c r="N1038" s="29">
        <f>IF(OR(L1038="",K1038=""),"",K1038*MIN(MAX(1,N(E1038)),MAX(0,INT((Config!$B$8-L1038)/30)+1)))</f>
        <v/>
      </c>
      <c r="O1038" s="29">
        <f>IF(J1038="","",J1038-N(N1038))</f>
        <v/>
      </c>
      <c r="P1038" s="27">
        <f>IF(A1038="","",MONTH(A1038))</f>
        <v/>
      </c>
      <c r="Q1038" s="27">
        <f>IF(A1038="","",YEAR(A1038))</f>
        <v/>
      </c>
      <c r="R1038" s="27">
        <f>IF(L1038="","",IF(L1038&gt;Config!$B$8,"A cair",IF(N(G1038)&gt;=MIN(MAX(1,N(E1038)),MAX(0,INT((Config!$B$8-L1038)/30)+1)),IF(N(G1038)&gt;=MAX(1,N(E1038)),"Conferido","Conferido até aqui"),"A conferir")))</f>
        <v/>
      </c>
      <c r="S1038" s="51">
        <f>IF(R1038="A conferir",(Config!$B$8-L1038)*1000+N(F1038)/1000+ROW()/100000,0)</f>
        <v>0</v>
      </c>
      <c r="T1038" s="51">
        <f>IF(R1038="A conferir",N(N1038),0)</f>
        <v>0</v>
      </c>
      <c r="U1038" s="51">
        <f>IF(L1038="",0,L1038)</f>
        <v>0</v>
      </c>
      <c r="V1038" s="51">
        <f>IF(L1038="",0,MAX(1,N(E1038)))</f>
        <v>0</v>
      </c>
      <c r="W1038" s="51">
        <f>IF(K1038="",0,K1038)</f>
        <v>0</v>
      </c>
    </row>
    <row r="1039">
      <c r="A1039" s="49" t="n"/>
      <c r="B1039" s="41" t="n"/>
      <c r="C1039" s="41" t="n"/>
      <c r="D1039" s="42" t="n"/>
      <c r="E1039" s="42" t="n"/>
      <c r="F1039" s="50" t="n"/>
      <c r="G1039" s="42" t="n"/>
      <c r="H1039" s="30">
        <f>IF(D1039="","",IFERROR(INDEX(Config!$B$12:$B$15,MATCH(IF(AND(D1039="Cartão de crédito",N(E1039)&gt;1),"Cartão de crédito parcelado",D1039),Config!$A$12:$A$15,0)),0)+IF(AND(Config!$B$17="Sim",LEFT(D1039,17)="Cartão de crédito"),Config!$B$18*IFERROR(INDEX(Config!$C$12:$C$15,MATCH(IF(AND(D1039="Cartão de crédito",N(E1039)&gt;1),"Cartão de crédito parcelado",D1039),Config!$A$12:$A$15,0)),0)/30*MAX(1,N(E1039)),0))</f>
        <v/>
      </c>
      <c r="I1039" s="29">
        <f>IF(OR(D1039="",F1039=""),"",ROUND(F1039*H1039,2))</f>
        <v/>
      </c>
      <c r="J1039" s="29">
        <f>IF(I1039="","",F1039-I1039)</f>
        <v/>
      </c>
      <c r="K1039" s="29">
        <f>IF(J1039="","",J1039/MAX(1,N(E1039)))</f>
        <v/>
      </c>
      <c r="L1039" s="37">
        <f>IF(OR(D1039="",A1039=""),"",A1039+IF(AND(Config!$B$17="Sim",LEFT(D1039,17)="Cartão de crédito"),1,IFERROR(INDEX(Config!$C$12:$C$15,MATCH(IF(AND(D1039="Cartão de crédito",N(E1039)&gt;1),"Cartão de crédito parcelado",D1039),Config!$A$12:$A$15,0)),0)))</f>
        <v/>
      </c>
      <c r="M1039" s="37">
        <f>IF(L1039="","",IF(AND(Config!$B$17="Sim",LEFT(D1039,17)="Cartão de crédito"),L1039,L1039+30*(MAX(1,N(E1039))-1)))</f>
        <v/>
      </c>
      <c r="N1039" s="29">
        <f>IF(OR(L1039="",K1039=""),"",K1039*MIN(MAX(1,N(E1039)),MAX(0,INT((Config!$B$8-L1039)/30)+1)))</f>
        <v/>
      </c>
      <c r="O1039" s="29">
        <f>IF(J1039="","",J1039-N(N1039))</f>
        <v/>
      </c>
      <c r="P1039" s="27">
        <f>IF(A1039="","",MONTH(A1039))</f>
        <v/>
      </c>
      <c r="Q1039" s="27">
        <f>IF(A1039="","",YEAR(A1039))</f>
        <v/>
      </c>
      <c r="R1039" s="27">
        <f>IF(L1039="","",IF(L1039&gt;Config!$B$8,"A cair",IF(N(G1039)&gt;=MIN(MAX(1,N(E1039)),MAX(0,INT((Config!$B$8-L1039)/30)+1)),IF(N(G1039)&gt;=MAX(1,N(E1039)),"Conferido","Conferido até aqui"),"A conferir")))</f>
        <v/>
      </c>
      <c r="S1039" s="51">
        <f>IF(R1039="A conferir",(Config!$B$8-L1039)*1000+N(F1039)/1000+ROW()/100000,0)</f>
        <v>0</v>
      </c>
      <c r="T1039" s="51">
        <f>IF(R1039="A conferir",N(N1039),0)</f>
        <v>0</v>
      </c>
      <c r="U1039" s="51">
        <f>IF(L1039="",0,L1039)</f>
        <v>0</v>
      </c>
      <c r="V1039" s="51">
        <f>IF(L1039="",0,MAX(1,N(E1039)))</f>
        <v>0</v>
      </c>
      <c r="W1039" s="51">
        <f>IF(K1039="",0,K1039)</f>
        <v>0</v>
      </c>
    </row>
    <row r="1040">
      <c r="A1040" s="49" t="n"/>
      <c r="B1040" s="41" t="n"/>
      <c r="C1040" s="41" t="n"/>
      <c r="D1040" s="42" t="n"/>
      <c r="E1040" s="42" t="n"/>
      <c r="F1040" s="50" t="n"/>
      <c r="G1040" s="42" t="n"/>
      <c r="H1040" s="30">
        <f>IF(D1040="","",IFERROR(INDEX(Config!$B$12:$B$15,MATCH(IF(AND(D1040="Cartão de crédito",N(E1040)&gt;1),"Cartão de crédito parcelado",D1040),Config!$A$12:$A$15,0)),0)+IF(AND(Config!$B$17="Sim",LEFT(D1040,17)="Cartão de crédito"),Config!$B$18*IFERROR(INDEX(Config!$C$12:$C$15,MATCH(IF(AND(D1040="Cartão de crédito",N(E1040)&gt;1),"Cartão de crédito parcelado",D1040),Config!$A$12:$A$15,0)),0)/30*MAX(1,N(E1040)),0))</f>
        <v/>
      </c>
      <c r="I1040" s="29">
        <f>IF(OR(D1040="",F1040=""),"",ROUND(F1040*H1040,2))</f>
        <v/>
      </c>
      <c r="J1040" s="29">
        <f>IF(I1040="","",F1040-I1040)</f>
        <v/>
      </c>
      <c r="K1040" s="29">
        <f>IF(J1040="","",J1040/MAX(1,N(E1040)))</f>
        <v/>
      </c>
      <c r="L1040" s="37">
        <f>IF(OR(D1040="",A1040=""),"",A1040+IF(AND(Config!$B$17="Sim",LEFT(D1040,17)="Cartão de crédito"),1,IFERROR(INDEX(Config!$C$12:$C$15,MATCH(IF(AND(D1040="Cartão de crédito",N(E1040)&gt;1),"Cartão de crédito parcelado",D1040),Config!$A$12:$A$15,0)),0)))</f>
        <v/>
      </c>
      <c r="M1040" s="37">
        <f>IF(L1040="","",IF(AND(Config!$B$17="Sim",LEFT(D1040,17)="Cartão de crédito"),L1040,L1040+30*(MAX(1,N(E1040))-1)))</f>
        <v/>
      </c>
      <c r="N1040" s="29">
        <f>IF(OR(L1040="",K1040=""),"",K1040*MIN(MAX(1,N(E1040)),MAX(0,INT((Config!$B$8-L1040)/30)+1)))</f>
        <v/>
      </c>
      <c r="O1040" s="29">
        <f>IF(J1040="","",J1040-N(N1040))</f>
        <v/>
      </c>
      <c r="P1040" s="27">
        <f>IF(A1040="","",MONTH(A1040))</f>
        <v/>
      </c>
      <c r="Q1040" s="27">
        <f>IF(A1040="","",YEAR(A1040))</f>
        <v/>
      </c>
      <c r="R1040" s="27">
        <f>IF(L1040="","",IF(L1040&gt;Config!$B$8,"A cair",IF(N(G1040)&gt;=MIN(MAX(1,N(E1040)),MAX(0,INT((Config!$B$8-L1040)/30)+1)),IF(N(G1040)&gt;=MAX(1,N(E1040)),"Conferido","Conferido até aqui"),"A conferir")))</f>
        <v/>
      </c>
      <c r="S1040" s="51">
        <f>IF(R1040="A conferir",(Config!$B$8-L1040)*1000+N(F1040)/1000+ROW()/100000,0)</f>
        <v>0</v>
      </c>
      <c r="T1040" s="51">
        <f>IF(R1040="A conferir",N(N1040),0)</f>
        <v>0</v>
      </c>
      <c r="U1040" s="51">
        <f>IF(L1040="",0,L1040)</f>
        <v>0</v>
      </c>
      <c r="V1040" s="51">
        <f>IF(L1040="",0,MAX(1,N(E1040)))</f>
        <v>0</v>
      </c>
      <c r="W1040" s="51">
        <f>IF(K1040="",0,K1040)</f>
        <v>0</v>
      </c>
    </row>
    <row r="1041">
      <c r="A1041" s="49" t="n"/>
      <c r="B1041" s="41" t="n"/>
      <c r="C1041" s="41" t="n"/>
      <c r="D1041" s="42" t="n"/>
      <c r="E1041" s="42" t="n"/>
      <c r="F1041" s="50" t="n"/>
      <c r="G1041" s="42" t="n"/>
      <c r="H1041" s="30">
        <f>IF(D1041="","",IFERROR(INDEX(Config!$B$12:$B$15,MATCH(IF(AND(D1041="Cartão de crédito",N(E1041)&gt;1),"Cartão de crédito parcelado",D1041),Config!$A$12:$A$15,0)),0)+IF(AND(Config!$B$17="Sim",LEFT(D1041,17)="Cartão de crédito"),Config!$B$18*IFERROR(INDEX(Config!$C$12:$C$15,MATCH(IF(AND(D1041="Cartão de crédito",N(E1041)&gt;1),"Cartão de crédito parcelado",D1041),Config!$A$12:$A$15,0)),0)/30*MAX(1,N(E1041)),0))</f>
        <v/>
      </c>
      <c r="I1041" s="29">
        <f>IF(OR(D1041="",F1041=""),"",ROUND(F1041*H1041,2))</f>
        <v/>
      </c>
      <c r="J1041" s="29">
        <f>IF(I1041="","",F1041-I1041)</f>
        <v/>
      </c>
      <c r="K1041" s="29">
        <f>IF(J1041="","",J1041/MAX(1,N(E1041)))</f>
        <v/>
      </c>
      <c r="L1041" s="37">
        <f>IF(OR(D1041="",A1041=""),"",A1041+IF(AND(Config!$B$17="Sim",LEFT(D1041,17)="Cartão de crédito"),1,IFERROR(INDEX(Config!$C$12:$C$15,MATCH(IF(AND(D1041="Cartão de crédito",N(E1041)&gt;1),"Cartão de crédito parcelado",D1041),Config!$A$12:$A$15,0)),0)))</f>
        <v/>
      </c>
      <c r="M1041" s="37">
        <f>IF(L1041="","",IF(AND(Config!$B$17="Sim",LEFT(D1041,17)="Cartão de crédito"),L1041,L1041+30*(MAX(1,N(E1041))-1)))</f>
        <v/>
      </c>
      <c r="N1041" s="29">
        <f>IF(OR(L1041="",K1041=""),"",K1041*MIN(MAX(1,N(E1041)),MAX(0,INT((Config!$B$8-L1041)/30)+1)))</f>
        <v/>
      </c>
      <c r="O1041" s="29">
        <f>IF(J1041="","",J1041-N(N1041))</f>
        <v/>
      </c>
      <c r="P1041" s="27">
        <f>IF(A1041="","",MONTH(A1041))</f>
        <v/>
      </c>
      <c r="Q1041" s="27">
        <f>IF(A1041="","",YEAR(A1041))</f>
        <v/>
      </c>
      <c r="R1041" s="27">
        <f>IF(L1041="","",IF(L1041&gt;Config!$B$8,"A cair",IF(N(G1041)&gt;=MIN(MAX(1,N(E1041)),MAX(0,INT((Config!$B$8-L1041)/30)+1)),IF(N(G1041)&gt;=MAX(1,N(E1041)),"Conferido","Conferido até aqui"),"A conferir")))</f>
        <v/>
      </c>
      <c r="S1041" s="51">
        <f>IF(R1041="A conferir",(Config!$B$8-L1041)*1000+N(F1041)/1000+ROW()/100000,0)</f>
        <v>0</v>
      </c>
      <c r="T1041" s="51">
        <f>IF(R1041="A conferir",N(N1041),0)</f>
        <v>0</v>
      </c>
      <c r="U1041" s="51">
        <f>IF(L1041="",0,L1041)</f>
        <v>0</v>
      </c>
      <c r="V1041" s="51">
        <f>IF(L1041="",0,MAX(1,N(E1041)))</f>
        <v>0</v>
      </c>
      <c r="W1041" s="51">
        <f>IF(K1041="",0,K1041)</f>
        <v>0</v>
      </c>
    </row>
    <row r="1042">
      <c r="A1042" s="49" t="n"/>
      <c r="B1042" s="41" t="n"/>
      <c r="C1042" s="41" t="n"/>
      <c r="D1042" s="42" t="n"/>
      <c r="E1042" s="42" t="n"/>
      <c r="F1042" s="50" t="n"/>
      <c r="G1042" s="42" t="n"/>
      <c r="H1042" s="30">
        <f>IF(D1042="","",IFERROR(INDEX(Config!$B$12:$B$15,MATCH(IF(AND(D1042="Cartão de crédito",N(E1042)&gt;1),"Cartão de crédito parcelado",D1042),Config!$A$12:$A$15,0)),0)+IF(AND(Config!$B$17="Sim",LEFT(D1042,17)="Cartão de crédito"),Config!$B$18*IFERROR(INDEX(Config!$C$12:$C$15,MATCH(IF(AND(D1042="Cartão de crédito",N(E1042)&gt;1),"Cartão de crédito parcelado",D1042),Config!$A$12:$A$15,0)),0)/30*MAX(1,N(E1042)),0))</f>
        <v/>
      </c>
      <c r="I1042" s="29">
        <f>IF(OR(D1042="",F1042=""),"",ROUND(F1042*H1042,2))</f>
        <v/>
      </c>
      <c r="J1042" s="29">
        <f>IF(I1042="","",F1042-I1042)</f>
        <v/>
      </c>
      <c r="K1042" s="29">
        <f>IF(J1042="","",J1042/MAX(1,N(E1042)))</f>
        <v/>
      </c>
      <c r="L1042" s="37">
        <f>IF(OR(D1042="",A1042=""),"",A1042+IF(AND(Config!$B$17="Sim",LEFT(D1042,17)="Cartão de crédito"),1,IFERROR(INDEX(Config!$C$12:$C$15,MATCH(IF(AND(D1042="Cartão de crédito",N(E1042)&gt;1),"Cartão de crédito parcelado",D1042),Config!$A$12:$A$15,0)),0)))</f>
        <v/>
      </c>
      <c r="M1042" s="37">
        <f>IF(L1042="","",IF(AND(Config!$B$17="Sim",LEFT(D1042,17)="Cartão de crédito"),L1042,L1042+30*(MAX(1,N(E1042))-1)))</f>
        <v/>
      </c>
      <c r="N1042" s="29">
        <f>IF(OR(L1042="",K1042=""),"",K1042*MIN(MAX(1,N(E1042)),MAX(0,INT((Config!$B$8-L1042)/30)+1)))</f>
        <v/>
      </c>
      <c r="O1042" s="29">
        <f>IF(J1042="","",J1042-N(N1042))</f>
        <v/>
      </c>
      <c r="P1042" s="27">
        <f>IF(A1042="","",MONTH(A1042))</f>
        <v/>
      </c>
      <c r="Q1042" s="27">
        <f>IF(A1042="","",YEAR(A1042))</f>
        <v/>
      </c>
      <c r="R1042" s="27">
        <f>IF(L1042="","",IF(L1042&gt;Config!$B$8,"A cair",IF(N(G1042)&gt;=MIN(MAX(1,N(E1042)),MAX(0,INT((Config!$B$8-L1042)/30)+1)),IF(N(G1042)&gt;=MAX(1,N(E1042)),"Conferido","Conferido até aqui"),"A conferir")))</f>
        <v/>
      </c>
      <c r="S1042" s="51">
        <f>IF(R1042="A conferir",(Config!$B$8-L1042)*1000+N(F1042)/1000+ROW()/100000,0)</f>
        <v>0</v>
      </c>
      <c r="T1042" s="51">
        <f>IF(R1042="A conferir",N(N1042),0)</f>
        <v>0</v>
      </c>
      <c r="U1042" s="51">
        <f>IF(L1042="",0,L1042)</f>
        <v>0</v>
      </c>
      <c r="V1042" s="51">
        <f>IF(L1042="",0,MAX(1,N(E1042)))</f>
        <v>0</v>
      </c>
      <c r="W1042" s="51">
        <f>IF(K1042="",0,K1042)</f>
        <v>0</v>
      </c>
    </row>
    <row r="1043">
      <c r="A1043" s="49" t="n"/>
      <c r="B1043" s="41" t="n"/>
      <c r="C1043" s="41" t="n"/>
      <c r="D1043" s="42" t="n"/>
      <c r="E1043" s="42" t="n"/>
      <c r="F1043" s="50" t="n"/>
      <c r="G1043" s="42" t="n"/>
      <c r="H1043" s="30">
        <f>IF(D1043="","",IFERROR(INDEX(Config!$B$12:$B$15,MATCH(IF(AND(D1043="Cartão de crédito",N(E1043)&gt;1),"Cartão de crédito parcelado",D1043),Config!$A$12:$A$15,0)),0)+IF(AND(Config!$B$17="Sim",LEFT(D1043,17)="Cartão de crédito"),Config!$B$18*IFERROR(INDEX(Config!$C$12:$C$15,MATCH(IF(AND(D1043="Cartão de crédito",N(E1043)&gt;1),"Cartão de crédito parcelado",D1043),Config!$A$12:$A$15,0)),0)/30*MAX(1,N(E1043)),0))</f>
        <v/>
      </c>
      <c r="I1043" s="29">
        <f>IF(OR(D1043="",F1043=""),"",ROUND(F1043*H1043,2))</f>
        <v/>
      </c>
      <c r="J1043" s="29">
        <f>IF(I1043="","",F1043-I1043)</f>
        <v/>
      </c>
      <c r="K1043" s="29">
        <f>IF(J1043="","",J1043/MAX(1,N(E1043)))</f>
        <v/>
      </c>
      <c r="L1043" s="37">
        <f>IF(OR(D1043="",A1043=""),"",A1043+IF(AND(Config!$B$17="Sim",LEFT(D1043,17)="Cartão de crédito"),1,IFERROR(INDEX(Config!$C$12:$C$15,MATCH(IF(AND(D1043="Cartão de crédito",N(E1043)&gt;1),"Cartão de crédito parcelado",D1043),Config!$A$12:$A$15,0)),0)))</f>
        <v/>
      </c>
      <c r="M1043" s="37">
        <f>IF(L1043="","",IF(AND(Config!$B$17="Sim",LEFT(D1043,17)="Cartão de crédito"),L1043,L1043+30*(MAX(1,N(E1043))-1)))</f>
        <v/>
      </c>
      <c r="N1043" s="29">
        <f>IF(OR(L1043="",K1043=""),"",K1043*MIN(MAX(1,N(E1043)),MAX(0,INT((Config!$B$8-L1043)/30)+1)))</f>
        <v/>
      </c>
      <c r="O1043" s="29">
        <f>IF(J1043="","",J1043-N(N1043))</f>
        <v/>
      </c>
      <c r="P1043" s="27">
        <f>IF(A1043="","",MONTH(A1043))</f>
        <v/>
      </c>
      <c r="Q1043" s="27">
        <f>IF(A1043="","",YEAR(A1043))</f>
        <v/>
      </c>
      <c r="R1043" s="27">
        <f>IF(L1043="","",IF(L1043&gt;Config!$B$8,"A cair",IF(N(G1043)&gt;=MIN(MAX(1,N(E1043)),MAX(0,INT((Config!$B$8-L1043)/30)+1)),IF(N(G1043)&gt;=MAX(1,N(E1043)),"Conferido","Conferido até aqui"),"A conferir")))</f>
        <v/>
      </c>
      <c r="S1043" s="51">
        <f>IF(R1043="A conferir",(Config!$B$8-L1043)*1000+N(F1043)/1000+ROW()/100000,0)</f>
        <v>0</v>
      </c>
      <c r="T1043" s="51">
        <f>IF(R1043="A conferir",N(N1043),0)</f>
        <v>0</v>
      </c>
      <c r="U1043" s="51">
        <f>IF(L1043="",0,L1043)</f>
        <v>0</v>
      </c>
      <c r="V1043" s="51">
        <f>IF(L1043="",0,MAX(1,N(E1043)))</f>
        <v>0</v>
      </c>
      <c r="W1043" s="51">
        <f>IF(K1043="",0,K1043)</f>
        <v>0</v>
      </c>
    </row>
    <row r="1044">
      <c r="A1044" s="49" t="n"/>
      <c r="B1044" s="41" t="n"/>
      <c r="C1044" s="41" t="n"/>
      <c r="D1044" s="42" t="n"/>
      <c r="E1044" s="42" t="n"/>
      <c r="F1044" s="50" t="n"/>
      <c r="G1044" s="42" t="n"/>
      <c r="H1044" s="30">
        <f>IF(D1044="","",IFERROR(INDEX(Config!$B$12:$B$15,MATCH(IF(AND(D1044="Cartão de crédito",N(E1044)&gt;1),"Cartão de crédito parcelado",D1044),Config!$A$12:$A$15,0)),0)+IF(AND(Config!$B$17="Sim",LEFT(D1044,17)="Cartão de crédito"),Config!$B$18*IFERROR(INDEX(Config!$C$12:$C$15,MATCH(IF(AND(D1044="Cartão de crédito",N(E1044)&gt;1),"Cartão de crédito parcelado",D1044),Config!$A$12:$A$15,0)),0)/30*MAX(1,N(E1044)),0))</f>
        <v/>
      </c>
      <c r="I1044" s="29">
        <f>IF(OR(D1044="",F1044=""),"",ROUND(F1044*H1044,2))</f>
        <v/>
      </c>
      <c r="J1044" s="29">
        <f>IF(I1044="","",F1044-I1044)</f>
        <v/>
      </c>
      <c r="K1044" s="29">
        <f>IF(J1044="","",J1044/MAX(1,N(E1044)))</f>
        <v/>
      </c>
      <c r="L1044" s="37">
        <f>IF(OR(D1044="",A1044=""),"",A1044+IF(AND(Config!$B$17="Sim",LEFT(D1044,17)="Cartão de crédito"),1,IFERROR(INDEX(Config!$C$12:$C$15,MATCH(IF(AND(D1044="Cartão de crédito",N(E1044)&gt;1),"Cartão de crédito parcelado",D1044),Config!$A$12:$A$15,0)),0)))</f>
        <v/>
      </c>
      <c r="M1044" s="37">
        <f>IF(L1044="","",IF(AND(Config!$B$17="Sim",LEFT(D1044,17)="Cartão de crédito"),L1044,L1044+30*(MAX(1,N(E1044))-1)))</f>
        <v/>
      </c>
      <c r="N1044" s="29">
        <f>IF(OR(L1044="",K1044=""),"",K1044*MIN(MAX(1,N(E1044)),MAX(0,INT((Config!$B$8-L1044)/30)+1)))</f>
        <v/>
      </c>
      <c r="O1044" s="29">
        <f>IF(J1044="","",J1044-N(N1044))</f>
        <v/>
      </c>
      <c r="P1044" s="27">
        <f>IF(A1044="","",MONTH(A1044))</f>
        <v/>
      </c>
      <c r="Q1044" s="27">
        <f>IF(A1044="","",YEAR(A1044))</f>
        <v/>
      </c>
      <c r="R1044" s="27">
        <f>IF(L1044="","",IF(L1044&gt;Config!$B$8,"A cair",IF(N(G1044)&gt;=MIN(MAX(1,N(E1044)),MAX(0,INT((Config!$B$8-L1044)/30)+1)),IF(N(G1044)&gt;=MAX(1,N(E1044)),"Conferido","Conferido até aqui"),"A conferir")))</f>
        <v/>
      </c>
      <c r="S1044" s="51">
        <f>IF(R1044="A conferir",(Config!$B$8-L1044)*1000+N(F1044)/1000+ROW()/100000,0)</f>
        <v>0</v>
      </c>
      <c r="T1044" s="51">
        <f>IF(R1044="A conferir",N(N1044),0)</f>
        <v>0</v>
      </c>
      <c r="U1044" s="51">
        <f>IF(L1044="",0,L1044)</f>
        <v>0</v>
      </c>
      <c r="V1044" s="51">
        <f>IF(L1044="",0,MAX(1,N(E1044)))</f>
        <v>0</v>
      </c>
      <c r="W1044" s="51">
        <f>IF(K1044="",0,K1044)</f>
        <v>0</v>
      </c>
    </row>
    <row r="1045">
      <c r="A1045" s="49" t="n"/>
      <c r="B1045" s="41" t="n"/>
      <c r="C1045" s="41" t="n"/>
      <c r="D1045" s="42" t="n"/>
      <c r="E1045" s="42" t="n"/>
      <c r="F1045" s="50" t="n"/>
      <c r="G1045" s="42" t="n"/>
      <c r="H1045" s="30">
        <f>IF(D1045="","",IFERROR(INDEX(Config!$B$12:$B$15,MATCH(IF(AND(D1045="Cartão de crédito",N(E1045)&gt;1),"Cartão de crédito parcelado",D1045),Config!$A$12:$A$15,0)),0)+IF(AND(Config!$B$17="Sim",LEFT(D1045,17)="Cartão de crédito"),Config!$B$18*IFERROR(INDEX(Config!$C$12:$C$15,MATCH(IF(AND(D1045="Cartão de crédito",N(E1045)&gt;1),"Cartão de crédito parcelado",D1045),Config!$A$12:$A$15,0)),0)/30*MAX(1,N(E1045)),0))</f>
        <v/>
      </c>
      <c r="I1045" s="29">
        <f>IF(OR(D1045="",F1045=""),"",ROUND(F1045*H1045,2))</f>
        <v/>
      </c>
      <c r="J1045" s="29">
        <f>IF(I1045="","",F1045-I1045)</f>
        <v/>
      </c>
      <c r="K1045" s="29">
        <f>IF(J1045="","",J1045/MAX(1,N(E1045)))</f>
        <v/>
      </c>
      <c r="L1045" s="37">
        <f>IF(OR(D1045="",A1045=""),"",A1045+IF(AND(Config!$B$17="Sim",LEFT(D1045,17)="Cartão de crédito"),1,IFERROR(INDEX(Config!$C$12:$C$15,MATCH(IF(AND(D1045="Cartão de crédito",N(E1045)&gt;1),"Cartão de crédito parcelado",D1045),Config!$A$12:$A$15,0)),0)))</f>
        <v/>
      </c>
      <c r="M1045" s="37">
        <f>IF(L1045="","",IF(AND(Config!$B$17="Sim",LEFT(D1045,17)="Cartão de crédito"),L1045,L1045+30*(MAX(1,N(E1045))-1)))</f>
        <v/>
      </c>
      <c r="N1045" s="29">
        <f>IF(OR(L1045="",K1045=""),"",K1045*MIN(MAX(1,N(E1045)),MAX(0,INT((Config!$B$8-L1045)/30)+1)))</f>
        <v/>
      </c>
      <c r="O1045" s="29">
        <f>IF(J1045="","",J1045-N(N1045))</f>
        <v/>
      </c>
      <c r="P1045" s="27">
        <f>IF(A1045="","",MONTH(A1045))</f>
        <v/>
      </c>
      <c r="Q1045" s="27">
        <f>IF(A1045="","",YEAR(A1045))</f>
        <v/>
      </c>
      <c r="R1045" s="27">
        <f>IF(L1045="","",IF(L1045&gt;Config!$B$8,"A cair",IF(N(G1045)&gt;=MIN(MAX(1,N(E1045)),MAX(0,INT((Config!$B$8-L1045)/30)+1)),IF(N(G1045)&gt;=MAX(1,N(E1045)),"Conferido","Conferido até aqui"),"A conferir")))</f>
        <v/>
      </c>
      <c r="S1045" s="51">
        <f>IF(R1045="A conferir",(Config!$B$8-L1045)*1000+N(F1045)/1000+ROW()/100000,0)</f>
        <v>0</v>
      </c>
      <c r="T1045" s="51">
        <f>IF(R1045="A conferir",N(N1045),0)</f>
        <v>0</v>
      </c>
      <c r="U1045" s="51">
        <f>IF(L1045="",0,L1045)</f>
        <v>0</v>
      </c>
      <c r="V1045" s="51">
        <f>IF(L1045="",0,MAX(1,N(E1045)))</f>
        <v>0</v>
      </c>
      <c r="W1045" s="51">
        <f>IF(K1045="",0,K1045)</f>
        <v>0</v>
      </c>
    </row>
    <row r="1046">
      <c r="A1046" s="49" t="n"/>
      <c r="B1046" s="41" t="n"/>
      <c r="C1046" s="41" t="n"/>
      <c r="D1046" s="42" t="n"/>
      <c r="E1046" s="42" t="n"/>
      <c r="F1046" s="50" t="n"/>
      <c r="G1046" s="42" t="n"/>
      <c r="H1046" s="30">
        <f>IF(D1046="","",IFERROR(INDEX(Config!$B$12:$B$15,MATCH(IF(AND(D1046="Cartão de crédito",N(E1046)&gt;1),"Cartão de crédito parcelado",D1046),Config!$A$12:$A$15,0)),0)+IF(AND(Config!$B$17="Sim",LEFT(D1046,17)="Cartão de crédito"),Config!$B$18*IFERROR(INDEX(Config!$C$12:$C$15,MATCH(IF(AND(D1046="Cartão de crédito",N(E1046)&gt;1),"Cartão de crédito parcelado",D1046),Config!$A$12:$A$15,0)),0)/30*MAX(1,N(E1046)),0))</f>
        <v/>
      </c>
      <c r="I1046" s="29">
        <f>IF(OR(D1046="",F1046=""),"",ROUND(F1046*H1046,2))</f>
        <v/>
      </c>
      <c r="J1046" s="29">
        <f>IF(I1046="","",F1046-I1046)</f>
        <v/>
      </c>
      <c r="K1046" s="29">
        <f>IF(J1046="","",J1046/MAX(1,N(E1046)))</f>
        <v/>
      </c>
      <c r="L1046" s="37">
        <f>IF(OR(D1046="",A1046=""),"",A1046+IF(AND(Config!$B$17="Sim",LEFT(D1046,17)="Cartão de crédito"),1,IFERROR(INDEX(Config!$C$12:$C$15,MATCH(IF(AND(D1046="Cartão de crédito",N(E1046)&gt;1),"Cartão de crédito parcelado",D1046),Config!$A$12:$A$15,0)),0)))</f>
        <v/>
      </c>
      <c r="M1046" s="37">
        <f>IF(L1046="","",IF(AND(Config!$B$17="Sim",LEFT(D1046,17)="Cartão de crédito"),L1046,L1046+30*(MAX(1,N(E1046))-1)))</f>
        <v/>
      </c>
      <c r="N1046" s="29">
        <f>IF(OR(L1046="",K1046=""),"",K1046*MIN(MAX(1,N(E1046)),MAX(0,INT((Config!$B$8-L1046)/30)+1)))</f>
        <v/>
      </c>
      <c r="O1046" s="29">
        <f>IF(J1046="","",J1046-N(N1046))</f>
        <v/>
      </c>
      <c r="P1046" s="27">
        <f>IF(A1046="","",MONTH(A1046))</f>
        <v/>
      </c>
      <c r="Q1046" s="27">
        <f>IF(A1046="","",YEAR(A1046))</f>
        <v/>
      </c>
      <c r="R1046" s="27">
        <f>IF(L1046="","",IF(L1046&gt;Config!$B$8,"A cair",IF(N(G1046)&gt;=MIN(MAX(1,N(E1046)),MAX(0,INT((Config!$B$8-L1046)/30)+1)),IF(N(G1046)&gt;=MAX(1,N(E1046)),"Conferido","Conferido até aqui"),"A conferir")))</f>
        <v/>
      </c>
      <c r="S1046" s="51">
        <f>IF(R1046="A conferir",(Config!$B$8-L1046)*1000+N(F1046)/1000+ROW()/100000,0)</f>
        <v>0</v>
      </c>
      <c r="T1046" s="51">
        <f>IF(R1046="A conferir",N(N1046),0)</f>
        <v>0</v>
      </c>
      <c r="U1046" s="51">
        <f>IF(L1046="",0,L1046)</f>
        <v>0</v>
      </c>
      <c r="V1046" s="51">
        <f>IF(L1046="",0,MAX(1,N(E1046)))</f>
        <v>0</v>
      </c>
      <c r="W1046" s="51">
        <f>IF(K1046="",0,K1046)</f>
        <v>0</v>
      </c>
    </row>
    <row r="1047">
      <c r="A1047" s="49" t="n"/>
      <c r="B1047" s="41" t="n"/>
      <c r="C1047" s="41" t="n"/>
      <c r="D1047" s="42" t="n"/>
      <c r="E1047" s="42" t="n"/>
      <c r="F1047" s="50" t="n"/>
      <c r="G1047" s="42" t="n"/>
      <c r="H1047" s="30">
        <f>IF(D1047="","",IFERROR(INDEX(Config!$B$12:$B$15,MATCH(IF(AND(D1047="Cartão de crédito",N(E1047)&gt;1),"Cartão de crédito parcelado",D1047),Config!$A$12:$A$15,0)),0)+IF(AND(Config!$B$17="Sim",LEFT(D1047,17)="Cartão de crédito"),Config!$B$18*IFERROR(INDEX(Config!$C$12:$C$15,MATCH(IF(AND(D1047="Cartão de crédito",N(E1047)&gt;1),"Cartão de crédito parcelado",D1047),Config!$A$12:$A$15,0)),0)/30*MAX(1,N(E1047)),0))</f>
        <v/>
      </c>
      <c r="I1047" s="29">
        <f>IF(OR(D1047="",F1047=""),"",ROUND(F1047*H1047,2))</f>
        <v/>
      </c>
      <c r="J1047" s="29">
        <f>IF(I1047="","",F1047-I1047)</f>
        <v/>
      </c>
      <c r="K1047" s="29">
        <f>IF(J1047="","",J1047/MAX(1,N(E1047)))</f>
        <v/>
      </c>
      <c r="L1047" s="37">
        <f>IF(OR(D1047="",A1047=""),"",A1047+IF(AND(Config!$B$17="Sim",LEFT(D1047,17)="Cartão de crédito"),1,IFERROR(INDEX(Config!$C$12:$C$15,MATCH(IF(AND(D1047="Cartão de crédito",N(E1047)&gt;1),"Cartão de crédito parcelado",D1047),Config!$A$12:$A$15,0)),0)))</f>
        <v/>
      </c>
      <c r="M1047" s="37">
        <f>IF(L1047="","",IF(AND(Config!$B$17="Sim",LEFT(D1047,17)="Cartão de crédito"),L1047,L1047+30*(MAX(1,N(E1047))-1)))</f>
        <v/>
      </c>
      <c r="N1047" s="29">
        <f>IF(OR(L1047="",K1047=""),"",K1047*MIN(MAX(1,N(E1047)),MAX(0,INT((Config!$B$8-L1047)/30)+1)))</f>
        <v/>
      </c>
      <c r="O1047" s="29">
        <f>IF(J1047="","",J1047-N(N1047))</f>
        <v/>
      </c>
      <c r="P1047" s="27">
        <f>IF(A1047="","",MONTH(A1047))</f>
        <v/>
      </c>
      <c r="Q1047" s="27">
        <f>IF(A1047="","",YEAR(A1047))</f>
        <v/>
      </c>
      <c r="R1047" s="27">
        <f>IF(L1047="","",IF(L1047&gt;Config!$B$8,"A cair",IF(N(G1047)&gt;=MIN(MAX(1,N(E1047)),MAX(0,INT((Config!$B$8-L1047)/30)+1)),IF(N(G1047)&gt;=MAX(1,N(E1047)),"Conferido","Conferido até aqui"),"A conferir")))</f>
        <v/>
      </c>
      <c r="S1047" s="51">
        <f>IF(R1047="A conferir",(Config!$B$8-L1047)*1000+N(F1047)/1000+ROW()/100000,0)</f>
        <v>0</v>
      </c>
      <c r="T1047" s="51">
        <f>IF(R1047="A conferir",N(N1047),0)</f>
        <v>0</v>
      </c>
      <c r="U1047" s="51">
        <f>IF(L1047="",0,L1047)</f>
        <v>0</v>
      </c>
      <c r="V1047" s="51">
        <f>IF(L1047="",0,MAX(1,N(E1047)))</f>
        <v>0</v>
      </c>
      <c r="W1047" s="51">
        <f>IF(K1047="",0,K1047)</f>
        <v>0</v>
      </c>
    </row>
    <row r="1048">
      <c r="A1048" s="49" t="n"/>
      <c r="B1048" s="41" t="n"/>
      <c r="C1048" s="41" t="n"/>
      <c r="D1048" s="42" t="n"/>
      <c r="E1048" s="42" t="n"/>
      <c r="F1048" s="50" t="n"/>
      <c r="G1048" s="42" t="n"/>
      <c r="H1048" s="30">
        <f>IF(D1048="","",IFERROR(INDEX(Config!$B$12:$B$15,MATCH(IF(AND(D1048="Cartão de crédito",N(E1048)&gt;1),"Cartão de crédito parcelado",D1048),Config!$A$12:$A$15,0)),0)+IF(AND(Config!$B$17="Sim",LEFT(D1048,17)="Cartão de crédito"),Config!$B$18*IFERROR(INDEX(Config!$C$12:$C$15,MATCH(IF(AND(D1048="Cartão de crédito",N(E1048)&gt;1),"Cartão de crédito parcelado",D1048),Config!$A$12:$A$15,0)),0)/30*MAX(1,N(E1048)),0))</f>
        <v/>
      </c>
      <c r="I1048" s="29">
        <f>IF(OR(D1048="",F1048=""),"",ROUND(F1048*H1048,2))</f>
        <v/>
      </c>
      <c r="J1048" s="29">
        <f>IF(I1048="","",F1048-I1048)</f>
        <v/>
      </c>
      <c r="K1048" s="29">
        <f>IF(J1048="","",J1048/MAX(1,N(E1048)))</f>
        <v/>
      </c>
      <c r="L1048" s="37">
        <f>IF(OR(D1048="",A1048=""),"",A1048+IF(AND(Config!$B$17="Sim",LEFT(D1048,17)="Cartão de crédito"),1,IFERROR(INDEX(Config!$C$12:$C$15,MATCH(IF(AND(D1048="Cartão de crédito",N(E1048)&gt;1),"Cartão de crédito parcelado",D1048),Config!$A$12:$A$15,0)),0)))</f>
        <v/>
      </c>
      <c r="M1048" s="37">
        <f>IF(L1048="","",IF(AND(Config!$B$17="Sim",LEFT(D1048,17)="Cartão de crédito"),L1048,L1048+30*(MAX(1,N(E1048))-1)))</f>
        <v/>
      </c>
      <c r="N1048" s="29">
        <f>IF(OR(L1048="",K1048=""),"",K1048*MIN(MAX(1,N(E1048)),MAX(0,INT((Config!$B$8-L1048)/30)+1)))</f>
        <v/>
      </c>
      <c r="O1048" s="29">
        <f>IF(J1048="","",J1048-N(N1048))</f>
        <v/>
      </c>
      <c r="P1048" s="27">
        <f>IF(A1048="","",MONTH(A1048))</f>
        <v/>
      </c>
      <c r="Q1048" s="27">
        <f>IF(A1048="","",YEAR(A1048))</f>
        <v/>
      </c>
      <c r="R1048" s="27">
        <f>IF(L1048="","",IF(L1048&gt;Config!$B$8,"A cair",IF(N(G1048)&gt;=MIN(MAX(1,N(E1048)),MAX(0,INT((Config!$B$8-L1048)/30)+1)),IF(N(G1048)&gt;=MAX(1,N(E1048)),"Conferido","Conferido até aqui"),"A conferir")))</f>
        <v/>
      </c>
      <c r="S1048" s="51">
        <f>IF(R1048="A conferir",(Config!$B$8-L1048)*1000+N(F1048)/1000+ROW()/100000,0)</f>
        <v>0</v>
      </c>
      <c r="T1048" s="51">
        <f>IF(R1048="A conferir",N(N1048),0)</f>
        <v>0</v>
      </c>
      <c r="U1048" s="51">
        <f>IF(L1048="",0,L1048)</f>
        <v>0</v>
      </c>
      <c r="V1048" s="51">
        <f>IF(L1048="",0,MAX(1,N(E1048)))</f>
        <v>0</v>
      </c>
      <c r="W1048" s="51">
        <f>IF(K1048="",0,K1048)</f>
        <v>0</v>
      </c>
    </row>
    <row r="1049">
      <c r="A1049" s="49" t="n"/>
      <c r="B1049" s="41" t="n"/>
      <c r="C1049" s="41" t="n"/>
      <c r="D1049" s="42" t="n"/>
      <c r="E1049" s="42" t="n"/>
      <c r="F1049" s="50" t="n"/>
      <c r="G1049" s="42" t="n"/>
      <c r="H1049" s="30">
        <f>IF(D1049="","",IFERROR(INDEX(Config!$B$12:$B$15,MATCH(IF(AND(D1049="Cartão de crédito",N(E1049)&gt;1),"Cartão de crédito parcelado",D1049),Config!$A$12:$A$15,0)),0)+IF(AND(Config!$B$17="Sim",LEFT(D1049,17)="Cartão de crédito"),Config!$B$18*IFERROR(INDEX(Config!$C$12:$C$15,MATCH(IF(AND(D1049="Cartão de crédito",N(E1049)&gt;1),"Cartão de crédito parcelado",D1049),Config!$A$12:$A$15,0)),0)/30*MAX(1,N(E1049)),0))</f>
        <v/>
      </c>
      <c r="I1049" s="29">
        <f>IF(OR(D1049="",F1049=""),"",ROUND(F1049*H1049,2))</f>
        <v/>
      </c>
      <c r="J1049" s="29">
        <f>IF(I1049="","",F1049-I1049)</f>
        <v/>
      </c>
      <c r="K1049" s="29">
        <f>IF(J1049="","",J1049/MAX(1,N(E1049)))</f>
        <v/>
      </c>
      <c r="L1049" s="37">
        <f>IF(OR(D1049="",A1049=""),"",A1049+IF(AND(Config!$B$17="Sim",LEFT(D1049,17)="Cartão de crédito"),1,IFERROR(INDEX(Config!$C$12:$C$15,MATCH(IF(AND(D1049="Cartão de crédito",N(E1049)&gt;1),"Cartão de crédito parcelado",D1049),Config!$A$12:$A$15,0)),0)))</f>
        <v/>
      </c>
      <c r="M1049" s="37">
        <f>IF(L1049="","",IF(AND(Config!$B$17="Sim",LEFT(D1049,17)="Cartão de crédito"),L1049,L1049+30*(MAX(1,N(E1049))-1)))</f>
        <v/>
      </c>
      <c r="N1049" s="29">
        <f>IF(OR(L1049="",K1049=""),"",K1049*MIN(MAX(1,N(E1049)),MAX(0,INT((Config!$B$8-L1049)/30)+1)))</f>
        <v/>
      </c>
      <c r="O1049" s="29">
        <f>IF(J1049="","",J1049-N(N1049))</f>
        <v/>
      </c>
      <c r="P1049" s="27">
        <f>IF(A1049="","",MONTH(A1049))</f>
        <v/>
      </c>
      <c r="Q1049" s="27">
        <f>IF(A1049="","",YEAR(A1049))</f>
        <v/>
      </c>
      <c r="R1049" s="27">
        <f>IF(L1049="","",IF(L1049&gt;Config!$B$8,"A cair",IF(N(G1049)&gt;=MIN(MAX(1,N(E1049)),MAX(0,INT((Config!$B$8-L1049)/30)+1)),IF(N(G1049)&gt;=MAX(1,N(E1049)),"Conferido","Conferido até aqui"),"A conferir")))</f>
        <v/>
      </c>
      <c r="S1049" s="51">
        <f>IF(R1049="A conferir",(Config!$B$8-L1049)*1000+N(F1049)/1000+ROW()/100000,0)</f>
        <v>0</v>
      </c>
      <c r="T1049" s="51">
        <f>IF(R1049="A conferir",N(N1049),0)</f>
        <v>0</v>
      </c>
      <c r="U1049" s="51">
        <f>IF(L1049="",0,L1049)</f>
        <v>0</v>
      </c>
      <c r="V1049" s="51">
        <f>IF(L1049="",0,MAX(1,N(E1049)))</f>
        <v>0</v>
      </c>
      <c r="W1049" s="51">
        <f>IF(K1049="",0,K1049)</f>
        <v>0</v>
      </c>
    </row>
    <row r="1050">
      <c r="A1050" s="49" t="n"/>
      <c r="B1050" s="41" t="n"/>
      <c r="C1050" s="41" t="n"/>
      <c r="D1050" s="42" t="n"/>
      <c r="E1050" s="42" t="n"/>
      <c r="F1050" s="50" t="n"/>
      <c r="G1050" s="42" t="n"/>
      <c r="H1050" s="30">
        <f>IF(D1050="","",IFERROR(INDEX(Config!$B$12:$B$15,MATCH(IF(AND(D1050="Cartão de crédito",N(E1050)&gt;1),"Cartão de crédito parcelado",D1050),Config!$A$12:$A$15,0)),0)+IF(AND(Config!$B$17="Sim",LEFT(D1050,17)="Cartão de crédito"),Config!$B$18*IFERROR(INDEX(Config!$C$12:$C$15,MATCH(IF(AND(D1050="Cartão de crédito",N(E1050)&gt;1),"Cartão de crédito parcelado",D1050),Config!$A$12:$A$15,0)),0)/30*MAX(1,N(E1050)),0))</f>
        <v/>
      </c>
      <c r="I1050" s="29">
        <f>IF(OR(D1050="",F1050=""),"",ROUND(F1050*H1050,2))</f>
        <v/>
      </c>
      <c r="J1050" s="29">
        <f>IF(I1050="","",F1050-I1050)</f>
        <v/>
      </c>
      <c r="K1050" s="29">
        <f>IF(J1050="","",J1050/MAX(1,N(E1050)))</f>
        <v/>
      </c>
      <c r="L1050" s="37">
        <f>IF(OR(D1050="",A1050=""),"",A1050+IF(AND(Config!$B$17="Sim",LEFT(D1050,17)="Cartão de crédito"),1,IFERROR(INDEX(Config!$C$12:$C$15,MATCH(IF(AND(D1050="Cartão de crédito",N(E1050)&gt;1),"Cartão de crédito parcelado",D1050),Config!$A$12:$A$15,0)),0)))</f>
        <v/>
      </c>
      <c r="M1050" s="37">
        <f>IF(L1050="","",IF(AND(Config!$B$17="Sim",LEFT(D1050,17)="Cartão de crédito"),L1050,L1050+30*(MAX(1,N(E1050))-1)))</f>
        <v/>
      </c>
      <c r="N1050" s="29">
        <f>IF(OR(L1050="",K1050=""),"",K1050*MIN(MAX(1,N(E1050)),MAX(0,INT((Config!$B$8-L1050)/30)+1)))</f>
        <v/>
      </c>
      <c r="O1050" s="29">
        <f>IF(J1050="","",J1050-N(N1050))</f>
        <v/>
      </c>
      <c r="P1050" s="27">
        <f>IF(A1050="","",MONTH(A1050))</f>
        <v/>
      </c>
      <c r="Q1050" s="27">
        <f>IF(A1050="","",YEAR(A1050))</f>
        <v/>
      </c>
      <c r="R1050" s="27">
        <f>IF(L1050="","",IF(L1050&gt;Config!$B$8,"A cair",IF(N(G1050)&gt;=MIN(MAX(1,N(E1050)),MAX(0,INT((Config!$B$8-L1050)/30)+1)),IF(N(G1050)&gt;=MAX(1,N(E1050)),"Conferido","Conferido até aqui"),"A conferir")))</f>
        <v/>
      </c>
      <c r="S1050" s="51">
        <f>IF(R1050="A conferir",(Config!$B$8-L1050)*1000+N(F1050)/1000+ROW()/100000,0)</f>
        <v>0</v>
      </c>
      <c r="T1050" s="51">
        <f>IF(R1050="A conferir",N(N1050),0)</f>
        <v>0</v>
      </c>
      <c r="U1050" s="51">
        <f>IF(L1050="",0,L1050)</f>
        <v>0</v>
      </c>
      <c r="V1050" s="51">
        <f>IF(L1050="",0,MAX(1,N(E1050)))</f>
        <v>0</v>
      </c>
      <c r="W1050" s="51">
        <f>IF(K1050="",0,K1050)</f>
        <v>0</v>
      </c>
    </row>
    <row r="1051">
      <c r="A1051" s="49" t="n"/>
      <c r="B1051" s="41" t="n"/>
      <c r="C1051" s="41" t="n"/>
      <c r="D1051" s="42" t="n"/>
      <c r="E1051" s="42" t="n"/>
      <c r="F1051" s="50" t="n"/>
      <c r="G1051" s="42" t="n"/>
      <c r="H1051" s="30">
        <f>IF(D1051="","",IFERROR(INDEX(Config!$B$12:$B$15,MATCH(IF(AND(D1051="Cartão de crédito",N(E1051)&gt;1),"Cartão de crédito parcelado",D1051),Config!$A$12:$A$15,0)),0)+IF(AND(Config!$B$17="Sim",LEFT(D1051,17)="Cartão de crédito"),Config!$B$18*IFERROR(INDEX(Config!$C$12:$C$15,MATCH(IF(AND(D1051="Cartão de crédito",N(E1051)&gt;1),"Cartão de crédito parcelado",D1051),Config!$A$12:$A$15,0)),0)/30*MAX(1,N(E1051)),0))</f>
        <v/>
      </c>
      <c r="I1051" s="29">
        <f>IF(OR(D1051="",F1051=""),"",ROUND(F1051*H1051,2))</f>
        <v/>
      </c>
      <c r="J1051" s="29">
        <f>IF(I1051="","",F1051-I1051)</f>
        <v/>
      </c>
      <c r="K1051" s="29">
        <f>IF(J1051="","",J1051/MAX(1,N(E1051)))</f>
        <v/>
      </c>
      <c r="L1051" s="37">
        <f>IF(OR(D1051="",A1051=""),"",A1051+IF(AND(Config!$B$17="Sim",LEFT(D1051,17)="Cartão de crédito"),1,IFERROR(INDEX(Config!$C$12:$C$15,MATCH(IF(AND(D1051="Cartão de crédito",N(E1051)&gt;1),"Cartão de crédito parcelado",D1051),Config!$A$12:$A$15,0)),0)))</f>
        <v/>
      </c>
      <c r="M1051" s="37">
        <f>IF(L1051="","",IF(AND(Config!$B$17="Sim",LEFT(D1051,17)="Cartão de crédito"),L1051,L1051+30*(MAX(1,N(E1051))-1)))</f>
        <v/>
      </c>
      <c r="N1051" s="29">
        <f>IF(OR(L1051="",K1051=""),"",K1051*MIN(MAX(1,N(E1051)),MAX(0,INT((Config!$B$8-L1051)/30)+1)))</f>
        <v/>
      </c>
      <c r="O1051" s="29">
        <f>IF(J1051="","",J1051-N(N1051))</f>
        <v/>
      </c>
      <c r="P1051" s="27">
        <f>IF(A1051="","",MONTH(A1051))</f>
        <v/>
      </c>
      <c r="Q1051" s="27">
        <f>IF(A1051="","",YEAR(A1051))</f>
        <v/>
      </c>
      <c r="R1051" s="27">
        <f>IF(L1051="","",IF(L1051&gt;Config!$B$8,"A cair",IF(N(G1051)&gt;=MIN(MAX(1,N(E1051)),MAX(0,INT((Config!$B$8-L1051)/30)+1)),IF(N(G1051)&gt;=MAX(1,N(E1051)),"Conferido","Conferido até aqui"),"A conferir")))</f>
        <v/>
      </c>
      <c r="S1051" s="51">
        <f>IF(R1051="A conferir",(Config!$B$8-L1051)*1000+N(F1051)/1000+ROW()/100000,0)</f>
        <v>0</v>
      </c>
      <c r="T1051" s="51">
        <f>IF(R1051="A conferir",N(N1051),0)</f>
        <v>0</v>
      </c>
      <c r="U1051" s="51">
        <f>IF(L1051="",0,L1051)</f>
        <v>0</v>
      </c>
      <c r="V1051" s="51">
        <f>IF(L1051="",0,MAX(1,N(E1051)))</f>
        <v>0</v>
      </c>
      <c r="W1051" s="51">
        <f>IF(K1051="",0,K1051)</f>
        <v>0</v>
      </c>
    </row>
    <row r="1052">
      <c r="A1052" s="49" t="n"/>
      <c r="B1052" s="41" t="n"/>
      <c r="C1052" s="41" t="n"/>
      <c r="D1052" s="42" t="n"/>
      <c r="E1052" s="42" t="n"/>
      <c r="F1052" s="50" t="n"/>
      <c r="G1052" s="42" t="n"/>
      <c r="H1052" s="30">
        <f>IF(D1052="","",IFERROR(INDEX(Config!$B$12:$B$15,MATCH(IF(AND(D1052="Cartão de crédito",N(E1052)&gt;1),"Cartão de crédito parcelado",D1052),Config!$A$12:$A$15,0)),0)+IF(AND(Config!$B$17="Sim",LEFT(D1052,17)="Cartão de crédito"),Config!$B$18*IFERROR(INDEX(Config!$C$12:$C$15,MATCH(IF(AND(D1052="Cartão de crédito",N(E1052)&gt;1),"Cartão de crédito parcelado",D1052),Config!$A$12:$A$15,0)),0)/30*MAX(1,N(E1052)),0))</f>
        <v/>
      </c>
      <c r="I1052" s="29">
        <f>IF(OR(D1052="",F1052=""),"",ROUND(F1052*H1052,2))</f>
        <v/>
      </c>
      <c r="J1052" s="29">
        <f>IF(I1052="","",F1052-I1052)</f>
        <v/>
      </c>
      <c r="K1052" s="29">
        <f>IF(J1052="","",J1052/MAX(1,N(E1052)))</f>
        <v/>
      </c>
      <c r="L1052" s="37">
        <f>IF(OR(D1052="",A1052=""),"",A1052+IF(AND(Config!$B$17="Sim",LEFT(D1052,17)="Cartão de crédito"),1,IFERROR(INDEX(Config!$C$12:$C$15,MATCH(IF(AND(D1052="Cartão de crédito",N(E1052)&gt;1),"Cartão de crédito parcelado",D1052),Config!$A$12:$A$15,0)),0)))</f>
        <v/>
      </c>
      <c r="M1052" s="37">
        <f>IF(L1052="","",IF(AND(Config!$B$17="Sim",LEFT(D1052,17)="Cartão de crédito"),L1052,L1052+30*(MAX(1,N(E1052))-1)))</f>
        <v/>
      </c>
      <c r="N1052" s="29">
        <f>IF(OR(L1052="",K1052=""),"",K1052*MIN(MAX(1,N(E1052)),MAX(0,INT((Config!$B$8-L1052)/30)+1)))</f>
        <v/>
      </c>
      <c r="O1052" s="29">
        <f>IF(J1052="","",J1052-N(N1052))</f>
        <v/>
      </c>
      <c r="P1052" s="27">
        <f>IF(A1052="","",MONTH(A1052))</f>
        <v/>
      </c>
      <c r="Q1052" s="27">
        <f>IF(A1052="","",YEAR(A1052))</f>
        <v/>
      </c>
      <c r="R1052" s="27">
        <f>IF(L1052="","",IF(L1052&gt;Config!$B$8,"A cair",IF(N(G1052)&gt;=MIN(MAX(1,N(E1052)),MAX(0,INT((Config!$B$8-L1052)/30)+1)),IF(N(G1052)&gt;=MAX(1,N(E1052)),"Conferido","Conferido até aqui"),"A conferir")))</f>
        <v/>
      </c>
      <c r="S1052" s="51">
        <f>IF(R1052="A conferir",(Config!$B$8-L1052)*1000+N(F1052)/1000+ROW()/100000,0)</f>
        <v>0</v>
      </c>
      <c r="T1052" s="51">
        <f>IF(R1052="A conferir",N(N1052),0)</f>
        <v>0</v>
      </c>
      <c r="U1052" s="51">
        <f>IF(L1052="",0,L1052)</f>
        <v>0</v>
      </c>
      <c r="V1052" s="51">
        <f>IF(L1052="",0,MAX(1,N(E1052)))</f>
        <v>0</v>
      </c>
      <c r="W1052" s="51">
        <f>IF(K1052="",0,K1052)</f>
        <v>0</v>
      </c>
    </row>
    <row r="1053">
      <c r="A1053" s="49" t="n"/>
      <c r="B1053" s="41" t="n"/>
      <c r="C1053" s="41" t="n"/>
      <c r="D1053" s="42" t="n"/>
      <c r="E1053" s="42" t="n"/>
      <c r="F1053" s="50" t="n"/>
      <c r="G1053" s="42" t="n"/>
      <c r="H1053" s="30">
        <f>IF(D1053="","",IFERROR(INDEX(Config!$B$12:$B$15,MATCH(IF(AND(D1053="Cartão de crédito",N(E1053)&gt;1),"Cartão de crédito parcelado",D1053),Config!$A$12:$A$15,0)),0)+IF(AND(Config!$B$17="Sim",LEFT(D1053,17)="Cartão de crédito"),Config!$B$18*IFERROR(INDEX(Config!$C$12:$C$15,MATCH(IF(AND(D1053="Cartão de crédito",N(E1053)&gt;1),"Cartão de crédito parcelado",D1053),Config!$A$12:$A$15,0)),0)/30*MAX(1,N(E1053)),0))</f>
        <v/>
      </c>
      <c r="I1053" s="29">
        <f>IF(OR(D1053="",F1053=""),"",ROUND(F1053*H1053,2))</f>
        <v/>
      </c>
      <c r="J1053" s="29">
        <f>IF(I1053="","",F1053-I1053)</f>
        <v/>
      </c>
      <c r="K1053" s="29">
        <f>IF(J1053="","",J1053/MAX(1,N(E1053)))</f>
        <v/>
      </c>
      <c r="L1053" s="37">
        <f>IF(OR(D1053="",A1053=""),"",A1053+IF(AND(Config!$B$17="Sim",LEFT(D1053,17)="Cartão de crédito"),1,IFERROR(INDEX(Config!$C$12:$C$15,MATCH(IF(AND(D1053="Cartão de crédito",N(E1053)&gt;1),"Cartão de crédito parcelado",D1053),Config!$A$12:$A$15,0)),0)))</f>
        <v/>
      </c>
      <c r="M1053" s="37">
        <f>IF(L1053="","",IF(AND(Config!$B$17="Sim",LEFT(D1053,17)="Cartão de crédito"),L1053,L1053+30*(MAX(1,N(E1053))-1)))</f>
        <v/>
      </c>
      <c r="N1053" s="29">
        <f>IF(OR(L1053="",K1053=""),"",K1053*MIN(MAX(1,N(E1053)),MAX(0,INT((Config!$B$8-L1053)/30)+1)))</f>
        <v/>
      </c>
      <c r="O1053" s="29">
        <f>IF(J1053="","",J1053-N(N1053))</f>
        <v/>
      </c>
      <c r="P1053" s="27">
        <f>IF(A1053="","",MONTH(A1053))</f>
        <v/>
      </c>
      <c r="Q1053" s="27">
        <f>IF(A1053="","",YEAR(A1053))</f>
        <v/>
      </c>
      <c r="R1053" s="27">
        <f>IF(L1053="","",IF(L1053&gt;Config!$B$8,"A cair",IF(N(G1053)&gt;=MIN(MAX(1,N(E1053)),MAX(0,INT((Config!$B$8-L1053)/30)+1)),IF(N(G1053)&gt;=MAX(1,N(E1053)),"Conferido","Conferido até aqui"),"A conferir")))</f>
        <v/>
      </c>
      <c r="S1053" s="51">
        <f>IF(R1053="A conferir",(Config!$B$8-L1053)*1000+N(F1053)/1000+ROW()/100000,0)</f>
        <v>0</v>
      </c>
      <c r="T1053" s="51">
        <f>IF(R1053="A conferir",N(N1053),0)</f>
        <v>0</v>
      </c>
      <c r="U1053" s="51">
        <f>IF(L1053="",0,L1053)</f>
        <v>0</v>
      </c>
      <c r="V1053" s="51">
        <f>IF(L1053="",0,MAX(1,N(E1053)))</f>
        <v>0</v>
      </c>
      <c r="W1053" s="51">
        <f>IF(K1053="",0,K1053)</f>
        <v>0</v>
      </c>
    </row>
    <row r="1054">
      <c r="A1054" s="49" t="n"/>
      <c r="B1054" s="41" t="n"/>
      <c r="C1054" s="41" t="n"/>
      <c r="D1054" s="42" t="n"/>
      <c r="E1054" s="42" t="n"/>
      <c r="F1054" s="50" t="n"/>
      <c r="G1054" s="42" t="n"/>
      <c r="H1054" s="30">
        <f>IF(D1054="","",IFERROR(INDEX(Config!$B$12:$B$15,MATCH(IF(AND(D1054="Cartão de crédito",N(E1054)&gt;1),"Cartão de crédito parcelado",D1054),Config!$A$12:$A$15,0)),0)+IF(AND(Config!$B$17="Sim",LEFT(D1054,17)="Cartão de crédito"),Config!$B$18*IFERROR(INDEX(Config!$C$12:$C$15,MATCH(IF(AND(D1054="Cartão de crédito",N(E1054)&gt;1),"Cartão de crédito parcelado",D1054),Config!$A$12:$A$15,0)),0)/30*MAX(1,N(E1054)),0))</f>
        <v/>
      </c>
      <c r="I1054" s="29">
        <f>IF(OR(D1054="",F1054=""),"",ROUND(F1054*H1054,2))</f>
        <v/>
      </c>
      <c r="J1054" s="29">
        <f>IF(I1054="","",F1054-I1054)</f>
        <v/>
      </c>
      <c r="K1054" s="29">
        <f>IF(J1054="","",J1054/MAX(1,N(E1054)))</f>
        <v/>
      </c>
      <c r="L1054" s="37">
        <f>IF(OR(D1054="",A1054=""),"",A1054+IF(AND(Config!$B$17="Sim",LEFT(D1054,17)="Cartão de crédito"),1,IFERROR(INDEX(Config!$C$12:$C$15,MATCH(IF(AND(D1054="Cartão de crédito",N(E1054)&gt;1),"Cartão de crédito parcelado",D1054),Config!$A$12:$A$15,0)),0)))</f>
        <v/>
      </c>
      <c r="M1054" s="37">
        <f>IF(L1054="","",IF(AND(Config!$B$17="Sim",LEFT(D1054,17)="Cartão de crédito"),L1054,L1054+30*(MAX(1,N(E1054))-1)))</f>
        <v/>
      </c>
      <c r="N1054" s="29">
        <f>IF(OR(L1054="",K1054=""),"",K1054*MIN(MAX(1,N(E1054)),MAX(0,INT((Config!$B$8-L1054)/30)+1)))</f>
        <v/>
      </c>
      <c r="O1054" s="29">
        <f>IF(J1054="","",J1054-N(N1054))</f>
        <v/>
      </c>
      <c r="P1054" s="27">
        <f>IF(A1054="","",MONTH(A1054))</f>
        <v/>
      </c>
      <c r="Q1054" s="27">
        <f>IF(A1054="","",YEAR(A1054))</f>
        <v/>
      </c>
      <c r="R1054" s="27">
        <f>IF(L1054="","",IF(L1054&gt;Config!$B$8,"A cair",IF(N(G1054)&gt;=MIN(MAX(1,N(E1054)),MAX(0,INT((Config!$B$8-L1054)/30)+1)),IF(N(G1054)&gt;=MAX(1,N(E1054)),"Conferido","Conferido até aqui"),"A conferir")))</f>
        <v/>
      </c>
      <c r="S1054" s="51">
        <f>IF(R1054="A conferir",(Config!$B$8-L1054)*1000+N(F1054)/1000+ROW()/100000,0)</f>
        <v>0</v>
      </c>
      <c r="T1054" s="51">
        <f>IF(R1054="A conferir",N(N1054),0)</f>
        <v>0</v>
      </c>
      <c r="U1054" s="51">
        <f>IF(L1054="",0,L1054)</f>
        <v>0</v>
      </c>
      <c r="V1054" s="51">
        <f>IF(L1054="",0,MAX(1,N(E1054)))</f>
        <v>0</v>
      </c>
      <c r="W1054" s="51">
        <f>IF(K1054="",0,K1054)</f>
        <v>0</v>
      </c>
    </row>
    <row r="1055">
      <c r="A1055" s="49" t="n"/>
      <c r="B1055" s="41" t="n"/>
      <c r="C1055" s="41" t="n"/>
      <c r="D1055" s="42" t="n"/>
      <c r="E1055" s="42" t="n"/>
      <c r="F1055" s="50" t="n"/>
      <c r="G1055" s="42" t="n"/>
      <c r="H1055" s="30">
        <f>IF(D1055="","",IFERROR(INDEX(Config!$B$12:$B$15,MATCH(IF(AND(D1055="Cartão de crédito",N(E1055)&gt;1),"Cartão de crédito parcelado",D1055),Config!$A$12:$A$15,0)),0)+IF(AND(Config!$B$17="Sim",LEFT(D1055,17)="Cartão de crédito"),Config!$B$18*IFERROR(INDEX(Config!$C$12:$C$15,MATCH(IF(AND(D1055="Cartão de crédito",N(E1055)&gt;1),"Cartão de crédito parcelado",D1055),Config!$A$12:$A$15,0)),0)/30*MAX(1,N(E1055)),0))</f>
        <v/>
      </c>
      <c r="I1055" s="29">
        <f>IF(OR(D1055="",F1055=""),"",ROUND(F1055*H1055,2))</f>
        <v/>
      </c>
      <c r="J1055" s="29">
        <f>IF(I1055="","",F1055-I1055)</f>
        <v/>
      </c>
      <c r="K1055" s="29">
        <f>IF(J1055="","",J1055/MAX(1,N(E1055)))</f>
        <v/>
      </c>
      <c r="L1055" s="37">
        <f>IF(OR(D1055="",A1055=""),"",A1055+IF(AND(Config!$B$17="Sim",LEFT(D1055,17)="Cartão de crédito"),1,IFERROR(INDEX(Config!$C$12:$C$15,MATCH(IF(AND(D1055="Cartão de crédito",N(E1055)&gt;1),"Cartão de crédito parcelado",D1055),Config!$A$12:$A$15,0)),0)))</f>
        <v/>
      </c>
      <c r="M1055" s="37">
        <f>IF(L1055="","",IF(AND(Config!$B$17="Sim",LEFT(D1055,17)="Cartão de crédito"),L1055,L1055+30*(MAX(1,N(E1055))-1)))</f>
        <v/>
      </c>
      <c r="N1055" s="29">
        <f>IF(OR(L1055="",K1055=""),"",K1055*MIN(MAX(1,N(E1055)),MAX(0,INT((Config!$B$8-L1055)/30)+1)))</f>
        <v/>
      </c>
      <c r="O1055" s="29">
        <f>IF(J1055="","",J1055-N(N1055))</f>
        <v/>
      </c>
      <c r="P1055" s="27">
        <f>IF(A1055="","",MONTH(A1055))</f>
        <v/>
      </c>
      <c r="Q1055" s="27">
        <f>IF(A1055="","",YEAR(A1055))</f>
        <v/>
      </c>
      <c r="R1055" s="27">
        <f>IF(L1055="","",IF(L1055&gt;Config!$B$8,"A cair",IF(N(G1055)&gt;=MIN(MAX(1,N(E1055)),MAX(0,INT((Config!$B$8-L1055)/30)+1)),IF(N(G1055)&gt;=MAX(1,N(E1055)),"Conferido","Conferido até aqui"),"A conferir")))</f>
        <v/>
      </c>
      <c r="S1055" s="51">
        <f>IF(R1055="A conferir",(Config!$B$8-L1055)*1000+N(F1055)/1000+ROW()/100000,0)</f>
        <v>0</v>
      </c>
      <c r="T1055" s="51">
        <f>IF(R1055="A conferir",N(N1055),0)</f>
        <v>0</v>
      </c>
      <c r="U1055" s="51">
        <f>IF(L1055="",0,L1055)</f>
        <v>0</v>
      </c>
      <c r="V1055" s="51">
        <f>IF(L1055="",0,MAX(1,N(E1055)))</f>
        <v>0</v>
      </c>
      <c r="W1055" s="51">
        <f>IF(K1055="",0,K1055)</f>
        <v>0</v>
      </c>
    </row>
    <row r="1056">
      <c r="A1056" s="49" t="n"/>
      <c r="B1056" s="41" t="n"/>
      <c r="C1056" s="41" t="n"/>
      <c r="D1056" s="42" t="n"/>
      <c r="E1056" s="42" t="n"/>
      <c r="F1056" s="50" t="n"/>
      <c r="G1056" s="42" t="n"/>
      <c r="H1056" s="30">
        <f>IF(D1056="","",IFERROR(INDEX(Config!$B$12:$B$15,MATCH(IF(AND(D1056="Cartão de crédito",N(E1056)&gt;1),"Cartão de crédito parcelado",D1056),Config!$A$12:$A$15,0)),0)+IF(AND(Config!$B$17="Sim",LEFT(D1056,17)="Cartão de crédito"),Config!$B$18*IFERROR(INDEX(Config!$C$12:$C$15,MATCH(IF(AND(D1056="Cartão de crédito",N(E1056)&gt;1),"Cartão de crédito parcelado",D1056),Config!$A$12:$A$15,0)),0)/30*MAX(1,N(E1056)),0))</f>
        <v/>
      </c>
      <c r="I1056" s="29">
        <f>IF(OR(D1056="",F1056=""),"",ROUND(F1056*H1056,2))</f>
        <v/>
      </c>
      <c r="J1056" s="29">
        <f>IF(I1056="","",F1056-I1056)</f>
        <v/>
      </c>
      <c r="K1056" s="29">
        <f>IF(J1056="","",J1056/MAX(1,N(E1056)))</f>
        <v/>
      </c>
      <c r="L1056" s="37">
        <f>IF(OR(D1056="",A1056=""),"",A1056+IF(AND(Config!$B$17="Sim",LEFT(D1056,17)="Cartão de crédito"),1,IFERROR(INDEX(Config!$C$12:$C$15,MATCH(IF(AND(D1056="Cartão de crédito",N(E1056)&gt;1),"Cartão de crédito parcelado",D1056),Config!$A$12:$A$15,0)),0)))</f>
        <v/>
      </c>
      <c r="M1056" s="37">
        <f>IF(L1056="","",IF(AND(Config!$B$17="Sim",LEFT(D1056,17)="Cartão de crédito"),L1056,L1056+30*(MAX(1,N(E1056))-1)))</f>
        <v/>
      </c>
      <c r="N1056" s="29">
        <f>IF(OR(L1056="",K1056=""),"",K1056*MIN(MAX(1,N(E1056)),MAX(0,INT((Config!$B$8-L1056)/30)+1)))</f>
        <v/>
      </c>
      <c r="O1056" s="29">
        <f>IF(J1056="","",J1056-N(N1056))</f>
        <v/>
      </c>
      <c r="P1056" s="27">
        <f>IF(A1056="","",MONTH(A1056))</f>
        <v/>
      </c>
      <c r="Q1056" s="27">
        <f>IF(A1056="","",YEAR(A1056))</f>
        <v/>
      </c>
      <c r="R1056" s="27">
        <f>IF(L1056="","",IF(L1056&gt;Config!$B$8,"A cair",IF(N(G1056)&gt;=MIN(MAX(1,N(E1056)),MAX(0,INT((Config!$B$8-L1056)/30)+1)),IF(N(G1056)&gt;=MAX(1,N(E1056)),"Conferido","Conferido até aqui"),"A conferir")))</f>
        <v/>
      </c>
      <c r="S1056" s="51">
        <f>IF(R1056="A conferir",(Config!$B$8-L1056)*1000+N(F1056)/1000+ROW()/100000,0)</f>
        <v>0</v>
      </c>
      <c r="T1056" s="51">
        <f>IF(R1056="A conferir",N(N1056),0)</f>
        <v>0</v>
      </c>
      <c r="U1056" s="51">
        <f>IF(L1056="",0,L1056)</f>
        <v>0</v>
      </c>
      <c r="V1056" s="51">
        <f>IF(L1056="",0,MAX(1,N(E1056)))</f>
        <v>0</v>
      </c>
      <c r="W1056" s="51">
        <f>IF(K1056="",0,K1056)</f>
        <v>0</v>
      </c>
    </row>
    <row r="1057">
      <c r="A1057" s="49" t="n"/>
      <c r="B1057" s="41" t="n"/>
      <c r="C1057" s="41" t="n"/>
      <c r="D1057" s="42" t="n"/>
      <c r="E1057" s="42" t="n"/>
      <c r="F1057" s="50" t="n"/>
      <c r="G1057" s="42" t="n"/>
      <c r="H1057" s="30">
        <f>IF(D1057="","",IFERROR(INDEX(Config!$B$12:$B$15,MATCH(IF(AND(D1057="Cartão de crédito",N(E1057)&gt;1),"Cartão de crédito parcelado",D1057),Config!$A$12:$A$15,0)),0)+IF(AND(Config!$B$17="Sim",LEFT(D1057,17)="Cartão de crédito"),Config!$B$18*IFERROR(INDEX(Config!$C$12:$C$15,MATCH(IF(AND(D1057="Cartão de crédito",N(E1057)&gt;1),"Cartão de crédito parcelado",D1057),Config!$A$12:$A$15,0)),0)/30*MAX(1,N(E1057)),0))</f>
        <v/>
      </c>
      <c r="I1057" s="29">
        <f>IF(OR(D1057="",F1057=""),"",ROUND(F1057*H1057,2))</f>
        <v/>
      </c>
      <c r="J1057" s="29">
        <f>IF(I1057="","",F1057-I1057)</f>
        <v/>
      </c>
      <c r="K1057" s="29">
        <f>IF(J1057="","",J1057/MAX(1,N(E1057)))</f>
        <v/>
      </c>
      <c r="L1057" s="37">
        <f>IF(OR(D1057="",A1057=""),"",A1057+IF(AND(Config!$B$17="Sim",LEFT(D1057,17)="Cartão de crédito"),1,IFERROR(INDEX(Config!$C$12:$C$15,MATCH(IF(AND(D1057="Cartão de crédito",N(E1057)&gt;1),"Cartão de crédito parcelado",D1057),Config!$A$12:$A$15,0)),0)))</f>
        <v/>
      </c>
      <c r="M1057" s="37">
        <f>IF(L1057="","",IF(AND(Config!$B$17="Sim",LEFT(D1057,17)="Cartão de crédito"),L1057,L1057+30*(MAX(1,N(E1057))-1)))</f>
        <v/>
      </c>
      <c r="N1057" s="29">
        <f>IF(OR(L1057="",K1057=""),"",K1057*MIN(MAX(1,N(E1057)),MAX(0,INT((Config!$B$8-L1057)/30)+1)))</f>
        <v/>
      </c>
      <c r="O1057" s="29">
        <f>IF(J1057="","",J1057-N(N1057))</f>
        <v/>
      </c>
      <c r="P1057" s="27">
        <f>IF(A1057="","",MONTH(A1057))</f>
        <v/>
      </c>
      <c r="Q1057" s="27">
        <f>IF(A1057="","",YEAR(A1057))</f>
        <v/>
      </c>
      <c r="R1057" s="27">
        <f>IF(L1057="","",IF(L1057&gt;Config!$B$8,"A cair",IF(N(G1057)&gt;=MIN(MAX(1,N(E1057)),MAX(0,INT((Config!$B$8-L1057)/30)+1)),IF(N(G1057)&gt;=MAX(1,N(E1057)),"Conferido","Conferido até aqui"),"A conferir")))</f>
        <v/>
      </c>
      <c r="S1057" s="51">
        <f>IF(R1057="A conferir",(Config!$B$8-L1057)*1000+N(F1057)/1000+ROW()/100000,0)</f>
        <v>0</v>
      </c>
      <c r="T1057" s="51">
        <f>IF(R1057="A conferir",N(N1057),0)</f>
        <v>0</v>
      </c>
      <c r="U1057" s="51">
        <f>IF(L1057="",0,L1057)</f>
        <v>0</v>
      </c>
      <c r="V1057" s="51">
        <f>IF(L1057="",0,MAX(1,N(E1057)))</f>
        <v>0</v>
      </c>
      <c r="W1057" s="51">
        <f>IF(K1057="",0,K1057)</f>
        <v>0</v>
      </c>
    </row>
    <row r="1058">
      <c r="A1058" s="49" t="n"/>
      <c r="B1058" s="41" t="n"/>
      <c r="C1058" s="41" t="n"/>
      <c r="D1058" s="42" t="n"/>
      <c r="E1058" s="42" t="n"/>
      <c r="F1058" s="50" t="n"/>
      <c r="G1058" s="42" t="n"/>
      <c r="H1058" s="30">
        <f>IF(D1058="","",IFERROR(INDEX(Config!$B$12:$B$15,MATCH(IF(AND(D1058="Cartão de crédito",N(E1058)&gt;1),"Cartão de crédito parcelado",D1058),Config!$A$12:$A$15,0)),0)+IF(AND(Config!$B$17="Sim",LEFT(D1058,17)="Cartão de crédito"),Config!$B$18*IFERROR(INDEX(Config!$C$12:$C$15,MATCH(IF(AND(D1058="Cartão de crédito",N(E1058)&gt;1),"Cartão de crédito parcelado",D1058),Config!$A$12:$A$15,0)),0)/30*MAX(1,N(E1058)),0))</f>
        <v/>
      </c>
      <c r="I1058" s="29">
        <f>IF(OR(D1058="",F1058=""),"",ROUND(F1058*H1058,2))</f>
        <v/>
      </c>
      <c r="J1058" s="29">
        <f>IF(I1058="","",F1058-I1058)</f>
        <v/>
      </c>
      <c r="K1058" s="29">
        <f>IF(J1058="","",J1058/MAX(1,N(E1058)))</f>
        <v/>
      </c>
      <c r="L1058" s="37">
        <f>IF(OR(D1058="",A1058=""),"",A1058+IF(AND(Config!$B$17="Sim",LEFT(D1058,17)="Cartão de crédito"),1,IFERROR(INDEX(Config!$C$12:$C$15,MATCH(IF(AND(D1058="Cartão de crédito",N(E1058)&gt;1),"Cartão de crédito parcelado",D1058),Config!$A$12:$A$15,0)),0)))</f>
        <v/>
      </c>
      <c r="M1058" s="37">
        <f>IF(L1058="","",IF(AND(Config!$B$17="Sim",LEFT(D1058,17)="Cartão de crédito"),L1058,L1058+30*(MAX(1,N(E1058))-1)))</f>
        <v/>
      </c>
      <c r="N1058" s="29">
        <f>IF(OR(L1058="",K1058=""),"",K1058*MIN(MAX(1,N(E1058)),MAX(0,INT((Config!$B$8-L1058)/30)+1)))</f>
        <v/>
      </c>
      <c r="O1058" s="29">
        <f>IF(J1058="","",J1058-N(N1058))</f>
        <v/>
      </c>
      <c r="P1058" s="27">
        <f>IF(A1058="","",MONTH(A1058))</f>
        <v/>
      </c>
      <c r="Q1058" s="27">
        <f>IF(A1058="","",YEAR(A1058))</f>
        <v/>
      </c>
      <c r="R1058" s="27">
        <f>IF(L1058="","",IF(L1058&gt;Config!$B$8,"A cair",IF(N(G1058)&gt;=MIN(MAX(1,N(E1058)),MAX(0,INT((Config!$B$8-L1058)/30)+1)),IF(N(G1058)&gt;=MAX(1,N(E1058)),"Conferido","Conferido até aqui"),"A conferir")))</f>
        <v/>
      </c>
      <c r="S1058" s="51">
        <f>IF(R1058="A conferir",(Config!$B$8-L1058)*1000+N(F1058)/1000+ROW()/100000,0)</f>
        <v>0</v>
      </c>
      <c r="T1058" s="51">
        <f>IF(R1058="A conferir",N(N1058),0)</f>
        <v>0</v>
      </c>
      <c r="U1058" s="51">
        <f>IF(L1058="",0,L1058)</f>
        <v>0</v>
      </c>
      <c r="V1058" s="51">
        <f>IF(L1058="",0,MAX(1,N(E1058)))</f>
        <v>0</v>
      </c>
      <c r="W1058" s="51">
        <f>IF(K1058="",0,K1058)</f>
        <v>0</v>
      </c>
    </row>
    <row r="1059">
      <c r="A1059" s="49" t="n"/>
      <c r="B1059" s="41" t="n"/>
      <c r="C1059" s="41" t="n"/>
      <c r="D1059" s="42" t="n"/>
      <c r="E1059" s="42" t="n"/>
      <c r="F1059" s="50" t="n"/>
      <c r="G1059" s="42" t="n"/>
      <c r="H1059" s="30">
        <f>IF(D1059="","",IFERROR(INDEX(Config!$B$12:$B$15,MATCH(IF(AND(D1059="Cartão de crédito",N(E1059)&gt;1),"Cartão de crédito parcelado",D1059),Config!$A$12:$A$15,0)),0)+IF(AND(Config!$B$17="Sim",LEFT(D1059,17)="Cartão de crédito"),Config!$B$18*IFERROR(INDEX(Config!$C$12:$C$15,MATCH(IF(AND(D1059="Cartão de crédito",N(E1059)&gt;1),"Cartão de crédito parcelado",D1059),Config!$A$12:$A$15,0)),0)/30*MAX(1,N(E1059)),0))</f>
        <v/>
      </c>
      <c r="I1059" s="29">
        <f>IF(OR(D1059="",F1059=""),"",ROUND(F1059*H1059,2))</f>
        <v/>
      </c>
      <c r="J1059" s="29">
        <f>IF(I1059="","",F1059-I1059)</f>
        <v/>
      </c>
      <c r="K1059" s="29">
        <f>IF(J1059="","",J1059/MAX(1,N(E1059)))</f>
        <v/>
      </c>
      <c r="L1059" s="37">
        <f>IF(OR(D1059="",A1059=""),"",A1059+IF(AND(Config!$B$17="Sim",LEFT(D1059,17)="Cartão de crédito"),1,IFERROR(INDEX(Config!$C$12:$C$15,MATCH(IF(AND(D1059="Cartão de crédito",N(E1059)&gt;1),"Cartão de crédito parcelado",D1059),Config!$A$12:$A$15,0)),0)))</f>
        <v/>
      </c>
      <c r="M1059" s="37">
        <f>IF(L1059="","",IF(AND(Config!$B$17="Sim",LEFT(D1059,17)="Cartão de crédito"),L1059,L1059+30*(MAX(1,N(E1059))-1)))</f>
        <v/>
      </c>
      <c r="N1059" s="29">
        <f>IF(OR(L1059="",K1059=""),"",K1059*MIN(MAX(1,N(E1059)),MAX(0,INT((Config!$B$8-L1059)/30)+1)))</f>
        <v/>
      </c>
      <c r="O1059" s="29">
        <f>IF(J1059="","",J1059-N(N1059))</f>
        <v/>
      </c>
      <c r="P1059" s="27">
        <f>IF(A1059="","",MONTH(A1059))</f>
        <v/>
      </c>
      <c r="Q1059" s="27">
        <f>IF(A1059="","",YEAR(A1059))</f>
        <v/>
      </c>
      <c r="R1059" s="27">
        <f>IF(L1059="","",IF(L1059&gt;Config!$B$8,"A cair",IF(N(G1059)&gt;=MIN(MAX(1,N(E1059)),MAX(0,INT((Config!$B$8-L1059)/30)+1)),IF(N(G1059)&gt;=MAX(1,N(E1059)),"Conferido","Conferido até aqui"),"A conferir")))</f>
        <v/>
      </c>
      <c r="S1059" s="51">
        <f>IF(R1059="A conferir",(Config!$B$8-L1059)*1000+N(F1059)/1000+ROW()/100000,0)</f>
        <v>0</v>
      </c>
      <c r="T1059" s="51">
        <f>IF(R1059="A conferir",N(N1059),0)</f>
        <v>0</v>
      </c>
      <c r="U1059" s="51">
        <f>IF(L1059="",0,L1059)</f>
        <v>0</v>
      </c>
      <c r="V1059" s="51">
        <f>IF(L1059="",0,MAX(1,N(E1059)))</f>
        <v>0</v>
      </c>
      <c r="W1059" s="51">
        <f>IF(K1059="",0,K1059)</f>
        <v>0</v>
      </c>
    </row>
    <row r="1060">
      <c r="A1060" s="49" t="n"/>
      <c r="B1060" s="41" t="n"/>
      <c r="C1060" s="41" t="n"/>
      <c r="D1060" s="42" t="n"/>
      <c r="E1060" s="42" t="n"/>
      <c r="F1060" s="50" t="n"/>
      <c r="G1060" s="42" t="n"/>
      <c r="H1060" s="30">
        <f>IF(D1060="","",IFERROR(INDEX(Config!$B$12:$B$15,MATCH(IF(AND(D1060="Cartão de crédito",N(E1060)&gt;1),"Cartão de crédito parcelado",D1060),Config!$A$12:$A$15,0)),0)+IF(AND(Config!$B$17="Sim",LEFT(D1060,17)="Cartão de crédito"),Config!$B$18*IFERROR(INDEX(Config!$C$12:$C$15,MATCH(IF(AND(D1060="Cartão de crédito",N(E1060)&gt;1),"Cartão de crédito parcelado",D1060),Config!$A$12:$A$15,0)),0)/30*MAX(1,N(E1060)),0))</f>
        <v/>
      </c>
      <c r="I1060" s="29">
        <f>IF(OR(D1060="",F1060=""),"",ROUND(F1060*H1060,2))</f>
        <v/>
      </c>
      <c r="J1060" s="29">
        <f>IF(I1060="","",F1060-I1060)</f>
        <v/>
      </c>
      <c r="K1060" s="29">
        <f>IF(J1060="","",J1060/MAX(1,N(E1060)))</f>
        <v/>
      </c>
      <c r="L1060" s="37">
        <f>IF(OR(D1060="",A1060=""),"",A1060+IF(AND(Config!$B$17="Sim",LEFT(D1060,17)="Cartão de crédito"),1,IFERROR(INDEX(Config!$C$12:$C$15,MATCH(IF(AND(D1060="Cartão de crédito",N(E1060)&gt;1),"Cartão de crédito parcelado",D1060),Config!$A$12:$A$15,0)),0)))</f>
        <v/>
      </c>
      <c r="M1060" s="37">
        <f>IF(L1060="","",IF(AND(Config!$B$17="Sim",LEFT(D1060,17)="Cartão de crédito"),L1060,L1060+30*(MAX(1,N(E1060))-1)))</f>
        <v/>
      </c>
      <c r="N1060" s="29">
        <f>IF(OR(L1060="",K1060=""),"",K1060*MIN(MAX(1,N(E1060)),MAX(0,INT((Config!$B$8-L1060)/30)+1)))</f>
        <v/>
      </c>
      <c r="O1060" s="29">
        <f>IF(J1060="","",J1060-N(N1060))</f>
        <v/>
      </c>
      <c r="P1060" s="27">
        <f>IF(A1060="","",MONTH(A1060))</f>
        <v/>
      </c>
      <c r="Q1060" s="27">
        <f>IF(A1060="","",YEAR(A1060))</f>
        <v/>
      </c>
      <c r="R1060" s="27">
        <f>IF(L1060="","",IF(L1060&gt;Config!$B$8,"A cair",IF(N(G1060)&gt;=MIN(MAX(1,N(E1060)),MAX(0,INT((Config!$B$8-L1060)/30)+1)),IF(N(G1060)&gt;=MAX(1,N(E1060)),"Conferido","Conferido até aqui"),"A conferir")))</f>
        <v/>
      </c>
      <c r="S1060" s="51">
        <f>IF(R1060="A conferir",(Config!$B$8-L1060)*1000+N(F1060)/1000+ROW()/100000,0)</f>
        <v>0</v>
      </c>
      <c r="T1060" s="51">
        <f>IF(R1060="A conferir",N(N1060),0)</f>
        <v>0</v>
      </c>
      <c r="U1060" s="51">
        <f>IF(L1060="",0,L1060)</f>
        <v>0</v>
      </c>
      <c r="V1060" s="51">
        <f>IF(L1060="",0,MAX(1,N(E1060)))</f>
        <v>0</v>
      </c>
      <c r="W1060" s="51">
        <f>IF(K1060="",0,K1060)</f>
        <v>0</v>
      </c>
    </row>
    <row r="1061">
      <c r="A1061" s="49" t="n"/>
      <c r="B1061" s="41" t="n"/>
      <c r="C1061" s="41" t="n"/>
      <c r="D1061" s="42" t="n"/>
      <c r="E1061" s="42" t="n"/>
      <c r="F1061" s="50" t="n"/>
      <c r="G1061" s="42" t="n"/>
      <c r="H1061" s="30">
        <f>IF(D1061="","",IFERROR(INDEX(Config!$B$12:$B$15,MATCH(IF(AND(D1061="Cartão de crédito",N(E1061)&gt;1),"Cartão de crédito parcelado",D1061),Config!$A$12:$A$15,0)),0)+IF(AND(Config!$B$17="Sim",LEFT(D1061,17)="Cartão de crédito"),Config!$B$18*IFERROR(INDEX(Config!$C$12:$C$15,MATCH(IF(AND(D1061="Cartão de crédito",N(E1061)&gt;1),"Cartão de crédito parcelado",D1061),Config!$A$12:$A$15,0)),0)/30*MAX(1,N(E1061)),0))</f>
        <v/>
      </c>
      <c r="I1061" s="29">
        <f>IF(OR(D1061="",F1061=""),"",ROUND(F1061*H1061,2))</f>
        <v/>
      </c>
      <c r="J1061" s="29">
        <f>IF(I1061="","",F1061-I1061)</f>
        <v/>
      </c>
      <c r="K1061" s="29">
        <f>IF(J1061="","",J1061/MAX(1,N(E1061)))</f>
        <v/>
      </c>
      <c r="L1061" s="37">
        <f>IF(OR(D1061="",A1061=""),"",A1061+IF(AND(Config!$B$17="Sim",LEFT(D1061,17)="Cartão de crédito"),1,IFERROR(INDEX(Config!$C$12:$C$15,MATCH(IF(AND(D1061="Cartão de crédito",N(E1061)&gt;1),"Cartão de crédito parcelado",D1061),Config!$A$12:$A$15,0)),0)))</f>
        <v/>
      </c>
      <c r="M1061" s="37">
        <f>IF(L1061="","",IF(AND(Config!$B$17="Sim",LEFT(D1061,17)="Cartão de crédito"),L1061,L1061+30*(MAX(1,N(E1061))-1)))</f>
        <v/>
      </c>
      <c r="N1061" s="29">
        <f>IF(OR(L1061="",K1061=""),"",K1061*MIN(MAX(1,N(E1061)),MAX(0,INT((Config!$B$8-L1061)/30)+1)))</f>
        <v/>
      </c>
      <c r="O1061" s="29">
        <f>IF(J1061="","",J1061-N(N1061))</f>
        <v/>
      </c>
      <c r="P1061" s="27">
        <f>IF(A1061="","",MONTH(A1061))</f>
        <v/>
      </c>
      <c r="Q1061" s="27">
        <f>IF(A1061="","",YEAR(A1061))</f>
        <v/>
      </c>
      <c r="R1061" s="27">
        <f>IF(L1061="","",IF(L1061&gt;Config!$B$8,"A cair",IF(N(G1061)&gt;=MIN(MAX(1,N(E1061)),MAX(0,INT((Config!$B$8-L1061)/30)+1)),IF(N(G1061)&gt;=MAX(1,N(E1061)),"Conferido","Conferido até aqui"),"A conferir")))</f>
        <v/>
      </c>
      <c r="S1061" s="51">
        <f>IF(R1061="A conferir",(Config!$B$8-L1061)*1000+N(F1061)/1000+ROW()/100000,0)</f>
        <v>0</v>
      </c>
      <c r="T1061" s="51">
        <f>IF(R1061="A conferir",N(N1061),0)</f>
        <v>0</v>
      </c>
      <c r="U1061" s="51">
        <f>IF(L1061="",0,L1061)</f>
        <v>0</v>
      </c>
      <c r="V1061" s="51">
        <f>IF(L1061="",0,MAX(1,N(E1061)))</f>
        <v>0</v>
      </c>
      <c r="W1061" s="51">
        <f>IF(K1061="",0,K1061)</f>
        <v>0</v>
      </c>
    </row>
    <row r="1062">
      <c r="A1062" s="49" t="n"/>
      <c r="B1062" s="41" t="n"/>
      <c r="C1062" s="41" t="n"/>
      <c r="D1062" s="42" t="n"/>
      <c r="E1062" s="42" t="n"/>
      <c r="F1062" s="50" t="n"/>
      <c r="G1062" s="42" t="n"/>
      <c r="H1062" s="30">
        <f>IF(D1062="","",IFERROR(INDEX(Config!$B$12:$B$15,MATCH(IF(AND(D1062="Cartão de crédito",N(E1062)&gt;1),"Cartão de crédito parcelado",D1062),Config!$A$12:$A$15,0)),0)+IF(AND(Config!$B$17="Sim",LEFT(D1062,17)="Cartão de crédito"),Config!$B$18*IFERROR(INDEX(Config!$C$12:$C$15,MATCH(IF(AND(D1062="Cartão de crédito",N(E1062)&gt;1),"Cartão de crédito parcelado",D1062),Config!$A$12:$A$15,0)),0)/30*MAX(1,N(E1062)),0))</f>
        <v/>
      </c>
      <c r="I1062" s="29">
        <f>IF(OR(D1062="",F1062=""),"",ROUND(F1062*H1062,2))</f>
        <v/>
      </c>
      <c r="J1062" s="29">
        <f>IF(I1062="","",F1062-I1062)</f>
        <v/>
      </c>
      <c r="K1062" s="29">
        <f>IF(J1062="","",J1062/MAX(1,N(E1062)))</f>
        <v/>
      </c>
      <c r="L1062" s="37">
        <f>IF(OR(D1062="",A1062=""),"",A1062+IF(AND(Config!$B$17="Sim",LEFT(D1062,17)="Cartão de crédito"),1,IFERROR(INDEX(Config!$C$12:$C$15,MATCH(IF(AND(D1062="Cartão de crédito",N(E1062)&gt;1),"Cartão de crédito parcelado",D1062),Config!$A$12:$A$15,0)),0)))</f>
        <v/>
      </c>
      <c r="M1062" s="37">
        <f>IF(L1062="","",IF(AND(Config!$B$17="Sim",LEFT(D1062,17)="Cartão de crédito"),L1062,L1062+30*(MAX(1,N(E1062))-1)))</f>
        <v/>
      </c>
      <c r="N1062" s="29">
        <f>IF(OR(L1062="",K1062=""),"",K1062*MIN(MAX(1,N(E1062)),MAX(0,INT((Config!$B$8-L1062)/30)+1)))</f>
        <v/>
      </c>
      <c r="O1062" s="29">
        <f>IF(J1062="","",J1062-N(N1062))</f>
        <v/>
      </c>
      <c r="P1062" s="27">
        <f>IF(A1062="","",MONTH(A1062))</f>
        <v/>
      </c>
      <c r="Q1062" s="27">
        <f>IF(A1062="","",YEAR(A1062))</f>
        <v/>
      </c>
      <c r="R1062" s="27">
        <f>IF(L1062="","",IF(L1062&gt;Config!$B$8,"A cair",IF(N(G1062)&gt;=MIN(MAX(1,N(E1062)),MAX(0,INT((Config!$B$8-L1062)/30)+1)),IF(N(G1062)&gt;=MAX(1,N(E1062)),"Conferido","Conferido até aqui"),"A conferir")))</f>
        <v/>
      </c>
      <c r="S1062" s="51">
        <f>IF(R1062="A conferir",(Config!$B$8-L1062)*1000+N(F1062)/1000+ROW()/100000,0)</f>
        <v>0</v>
      </c>
      <c r="T1062" s="51">
        <f>IF(R1062="A conferir",N(N1062),0)</f>
        <v>0</v>
      </c>
      <c r="U1062" s="51">
        <f>IF(L1062="",0,L1062)</f>
        <v>0</v>
      </c>
      <c r="V1062" s="51">
        <f>IF(L1062="",0,MAX(1,N(E1062)))</f>
        <v>0</v>
      </c>
      <c r="W1062" s="51">
        <f>IF(K1062="",0,K1062)</f>
        <v>0</v>
      </c>
    </row>
    <row r="1063">
      <c r="A1063" s="49" t="n"/>
      <c r="B1063" s="41" t="n"/>
      <c r="C1063" s="41" t="n"/>
      <c r="D1063" s="42" t="n"/>
      <c r="E1063" s="42" t="n"/>
      <c r="F1063" s="50" t="n"/>
      <c r="G1063" s="42" t="n"/>
      <c r="H1063" s="30">
        <f>IF(D1063="","",IFERROR(INDEX(Config!$B$12:$B$15,MATCH(IF(AND(D1063="Cartão de crédito",N(E1063)&gt;1),"Cartão de crédito parcelado",D1063),Config!$A$12:$A$15,0)),0)+IF(AND(Config!$B$17="Sim",LEFT(D1063,17)="Cartão de crédito"),Config!$B$18*IFERROR(INDEX(Config!$C$12:$C$15,MATCH(IF(AND(D1063="Cartão de crédito",N(E1063)&gt;1),"Cartão de crédito parcelado",D1063),Config!$A$12:$A$15,0)),0)/30*MAX(1,N(E1063)),0))</f>
        <v/>
      </c>
      <c r="I1063" s="29">
        <f>IF(OR(D1063="",F1063=""),"",ROUND(F1063*H1063,2))</f>
        <v/>
      </c>
      <c r="J1063" s="29">
        <f>IF(I1063="","",F1063-I1063)</f>
        <v/>
      </c>
      <c r="K1063" s="29">
        <f>IF(J1063="","",J1063/MAX(1,N(E1063)))</f>
        <v/>
      </c>
      <c r="L1063" s="37">
        <f>IF(OR(D1063="",A1063=""),"",A1063+IF(AND(Config!$B$17="Sim",LEFT(D1063,17)="Cartão de crédito"),1,IFERROR(INDEX(Config!$C$12:$C$15,MATCH(IF(AND(D1063="Cartão de crédito",N(E1063)&gt;1),"Cartão de crédito parcelado",D1063),Config!$A$12:$A$15,0)),0)))</f>
        <v/>
      </c>
      <c r="M1063" s="37">
        <f>IF(L1063="","",IF(AND(Config!$B$17="Sim",LEFT(D1063,17)="Cartão de crédito"),L1063,L1063+30*(MAX(1,N(E1063))-1)))</f>
        <v/>
      </c>
      <c r="N1063" s="29">
        <f>IF(OR(L1063="",K1063=""),"",K1063*MIN(MAX(1,N(E1063)),MAX(0,INT((Config!$B$8-L1063)/30)+1)))</f>
        <v/>
      </c>
      <c r="O1063" s="29">
        <f>IF(J1063="","",J1063-N(N1063))</f>
        <v/>
      </c>
      <c r="P1063" s="27">
        <f>IF(A1063="","",MONTH(A1063))</f>
        <v/>
      </c>
      <c r="Q1063" s="27">
        <f>IF(A1063="","",YEAR(A1063))</f>
        <v/>
      </c>
      <c r="R1063" s="27">
        <f>IF(L1063="","",IF(L1063&gt;Config!$B$8,"A cair",IF(N(G1063)&gt;=MIN(MAX(1,N(E1063)),MAX(0,INT((Config!$B$8-L1063)/30)+1)),IF(N(G1063)&gt;=MAX(1,N(E1063)),"Conferido","Conferido até aqui"),"A conferir")))</f>
        <v/>
      </c>
      <c r="S1063" s="51">
        <f>IF(R1063="A conferir",(Config!$B$8-L1063)*1000+N(F1063)/1000+ROW()/100000,0)</f>
        <v>0</v>
      </c>
      <c r="T1063" s="51">
        <f>IF(R1063="A conferir",N(N1063),0)</f>
        <v>0</v>
      </c>
      <c r="U1063" s="51">
        <f>IF(L1063="",0,L1063)</f>
        <v>0</v>
      </c>
      <c r="V1063" s="51">
        <f>IF(L1063="",0,MAX(1,N(E1063)))</f>
        <v>0</v>
      </c>
      <c r="W1063" s="51">
        <f>IF(K1063="",0,K1063)</f>
        <v>0</v>
      </c>
    </row>
    <row r="1064">
      <c r="A1064" s="49" t="n"/>
      <c r="B1064" s="41" t="n"/>
      <c r="C1064" s="41" t="n"/>
      <c r="D1064" s="42" t="n"/>
      <c r="E1064" s="42" t="n"/>
      <c r="F1064" s="50" t="n"/>
      <c r="G1064" s="42" t="n"/>
      <c r="H1064" s="30">
        <f>IF(D1064="","",IFERROR(INDEX(Config!$B$12:$B$15,MATCH(IF(AND(D1064="Cartão de crédito",N(E1064)&gt;1),"Cartão de crédito parcelado",D1064),Config!$A$12:$A$15,0)),0)+IF(AND(Config!$B$17="Sim",LEFT(D1064,17)="Cartão de crédito"),Config!$B$18*IFERROR(INDEX(Config!$C$12:$C$15,MATCH(IF(AND(D1064="Cartão de crédito",N(E1064)&gt;1),"Cartão de crédito parcelado",D1064),Config!$A$12:$A$15,0)),0)/30*MAX(1,N(E1064)),0))</f>
        <v/>
      </c>
      <c r="I1064" s="29">
        <f>IF(OR(D1064="",F1064=""),"",ROUND(F1064*H1064,2))</f>
        <v/>
      </c>
      <c r="J1064" s="29">
        <f>IF(I1064="","",F1064-I1064)</f>
        <v/>
      </c>
      <c r="K1064" s="29">
        <f>IF(J1064="","",J1064/MAX(1,N(E1064)))</f>
        <v/>
      </c>
      <c r="L1064" s="37">
        <f>IF(OR(D1064="",A1064=""),"",A1064+IF(AND(Config!$B$17="Sim",LEFT(D1064,17)="Cartão de crédito"),1,IFERROR(INDEX(Config!$C$12:$C$15,MATCH(IF(AND(D1064="Cartão de crédito",N(E1064)&gt;1),"Cartão de crédito parcelado",D1064),Config!$A$12:$A$15,0)),0)))</f>
        <v/>
      </c>
      <c r="M1064" s="37">
        <f>IF(L1064="","",IF(AND(Config!$B$17="Sim",LEFT(D1064,17)="Cartão de crédito"),L1064,L1064+30*(MAX(1,N(E1064))-1)))</f>
        <v/>
      </c>
      <c r="N1064" s="29">
        <f>IF(OR(L1064="",K1064=""),"",K1064*MIN(MAX(1,N(E1064)),MAX(0,INT((Config!$B$8-L1064)/30)+1)))</f>
        <v/>
      </c>
      <c r="O1064" s="29">
        <f>IF(J1064="","",J1064-N(N1064))</f>
        <v/>
      </c>
      <c r="P1064" s="27">
        <f>IF(A1064="","",MONTH(A1064))</f>
        <v/>
      </c>
      <c r="Q1064" s="27">
        <f>IF(A1064="","",YEAR(A1064))</f>
        <v/>
      </c>
      <c r="R1064" s="27">
        <f>IF(L1064="","",IF(L1064&gt;Config!$B$8,"A cair",IF(N(G1064)&gt;=MIN(MAX(1,N(E1064)),MAX(0,INT((Config!$B$8-L1064)/30)+1)),IF(N(G1064)&gt;=MAX(1,N(E1064)),"Conferido","Conferido até aqui"),"A conferir")))</f>
        <v/>
      </c>
      <c r="S1064" s="51">
        <f>IF(R1064="A conferir",(Config!$B$8-L1064)*1000+N(F1064)/1000+ROW()/100000,0)</f>
        <v>0</v>
      </c>
      <c r="T1064" s="51">
        <f>IF(R1064="A conferir",N(N1064),0)</f>
        <v>0</v>
      </c>
      <c r="U1064" s="51">
        <f>IF(L1064="",0,L1064)</f>
        <v>0</v>
      </c>
      <c r="V1064" s="51">
        <f>IF(L1064="",0,MAX(1,N(E1064)))</f>
        <v>0</v>
      </c>
      <c r="W1064" s="51">
        <f>IF(K1064="",0,K1064)</f>
        <v>0</v>
      </c>
    </row>
    <row r="1065">
      <c r="A1065" s="49" t="n"/>
      <c r="B1065" s="41" t="n"/>
      <c r="C1065" s="41" t="n"/>
      <c r="D1065" s="42" t="n"/>
      <c r="E1065" s="42" t="n"/>
      <c r="F1065" s="50" t="n"/>
      <c r="G1065" s="42" t="n"/>
      <c r="H1065" s="30">
        <f>IF(D1065="","",IFERROR(INDEX(Config!$B$12:$B$15,MATCH(IF(AND(D1065="Cartão de crédito",N(E1065)&gt;1),"Cartão de crédito parcelado",D1065),Config!$A$12:$A$15,0)),0)+IF(AND(Config!$B$17="Sim",LEFT(D1065,17)="Cartão de crédito"),Config!$B$18*IFERROR(INDEX(Config!$C$12:$C$15,MATCH(IF(AND(D1065="Cartão de crédito",N(E1065)&gt;1),"Cartão de crédito parcelado",D1065),Config!$A$12:$A$15,0)),0)/30*MAX(1,N(E1065)),0))</f>
        <v/>
      </c>
      <c r="I1065" s="29">
        <f>IF(OR(D1065="",F1065=""),"",ROUND(F1065*H1065,2))</f>
        <v/>
      </c>
      <c r="J1065" s="29">
        <f>IF(I1065="","",F1065-I1065)</f>
        <v/>
      </c>
      <c r="K1065" s="29">
        <f>IF(J1065="","",J1065/MAX(1,N(E1065)))</f>
        <v/>
      </c>
      <c r="L1065" s="37">
        <f>IF(OR(D1065="",A1065=""),"",A1065+IF(AND(Config!$B$17="Sim",LEFT(D1065,17)="Cartão de crédito"),1,IFERROR(INDEX(Config!$C$12:$C$15,MATCH(IF(AND(D1065="Cartão de crédito",N(E1065)&gt;1),"Cartão de crédito parcelado",D1065),Config!$A$12:$A$15,0)),0)))</f>
        <v/>
      </c>
      <c r="M1065" s="37">
        <f>IF(L1065="","",IF(AND(Config!$B$17="Sim",LEFT(D1065,17)="Cartão de crédito"),L1065,L1065+30*(MAX(1,N(E1065))-1)))</f>
        <v/>
      </c>
      <c r="N1065" s="29">
        <f>IF(OR(L1065="",K1065=""),"",K1065*MIN(MAX(1,N(E1065)),MAX(0,INT((Config!$B$8-L1065)/30)+1)))</f>
        <v/>
      </c>
      <c r="O1065" s="29">
        <f>IF(J1065="","",J1065-N(N1065))</f>
        <v/>
      </c>
      <c r="P1065" s="27">
        <f>IF(A1065="","",MONTH(A1065))</f>
        <v/>
      </c>
      <c r="Q1065" s="27">
        <f>IF(A1065="","",YEAR(A1065))</f>
        <v/>
      </c>
      <c r="R1065" s="27">
        <f>IF(L1065="","",IF(L1065&gt;Config!$B$8,"A cair",IF(N(G1065)&gt;=MIN(MAX(1,N(E1065)),MAX(0,INT((Config!$B$8-L1065)/30)+1)),IF(N(G1065)&gt;=MAX(1,N(E1065)),"Conferido","Conferido até aqui"),"A conferir")))</f>
        <v/>
      </c>
      <c r="S1065" s="51">
        <f>IF(R1065="A conferir",(Config!$B$8-L1065)*1000+N(F1065)/1000+ROW()/100000,0)</f>
        <v>0</v>
      </c>
      <c r="T1065" s="51">
        <f>IF(R1065="A conferir",N(N1065),0)</f>
        <v>0</v>
      </c>
      <c r="U1065" s="51">
        <f>IF(L1065="",0,L1065)</f>
        <v>0</v>
      </c>
      <c r="V1065" s="51">
        <f>IF(L1065="",0,MAX(1,N(E1065)))</f>
        <v>0</v>
      </c>
      <c r="W1065" s="51">
        <f>IF(K1065="",0,K1065)</f>
        <v>0</v>
      </c>
    </row>
    <row r="1066">
      <c r="A1066" s="49" t="n"/>
      <c r="B1066" s="41" t="n"/>
      <c r="C1066" s="41" t="n"/>
      <c r="D1066" s="42" t="n"/>
      <c r="E1066" s="42" t="n"/>
      <c r="F1066" s="50" t="n"/>
      <c r="G1066" s="42" t="n"/>
      <c r="H1066" s="30">
        <f>IF(D1066="","",IFERROR(INDEX(Config!$B$12:$B$15,MATCH(IF(AND(D1066="Cartão de crédito",N(E1066)&gt;1),"Cartão de crédito parcelado",D1066),Config!$A$12:$A$15,0)),0)+IF(AND(Config!$B$17="Sim",LEFT(D1066,17)="Cartão de crédito"),Config!$B$18*IFERROR(INDEX(Config!$C$12:$C$15,MATCH(IF(AND(D1066="Cartão de crédito",N(E1066)&gt;1),"Cartão de crédito parcelado",D1066),Config!$A$12:$A$15,0)),0)/30*MAX(1,N(E1066)),0))</f>
        <v/>
      </c>
      <c r="I1066" s="29">
        <f>IF(OR(D1066="",F1066=""),"",ROUND(F1066*H1066,2))</f>
        <v/>
      </c>
      <c r="J1066" s="29">
        <f>IF(I1066="","",F1066-I1066)</f>
        <v/>
      </c>
      <c r="K1066" s="29">
        <f>IF(J1066="","",J1066/MAX(1,N(E1066)))</f>
        <v/>
      </c>
      <c r="L1066" s="37">
        <f>IF(OR(D1066="",A1066=""),"",A1066+IF(AND(Config!$B$17="Sim",LEFT(D1066,17)="Cartão de crédito"),1,IFERROR(INDEX(Config!$C$12:$C$15,MATCH(IF(AND(D1066="Cartão de crédito",N(E1066)&gt;1),"Cartão de crédito parcelado",D1066),Config!$A$12:$A$15,0)),0)))</f>
        <v/>
      </c>
      <c r="M1066" s="37">
        <f>IF(L1066="","",IF(AND(Config!$B$17="Sim",LEFT(D1066,17)="Cartão de crédito"),L1066,L1066+30*(MAX(1,N(E1066))-1)))</f>
        <v/>
      </c>
      <c r="N1066" s="29">
        <f>IF(OR(L1066="",K1066=""),"",K1066*MIN(MAX(1,N(E1066)),MAX(0,INT((Config!$B$8-L1066)/30)+1)))</f>
        <v/>
      </c>
      <c r="O1066" s="29">
        <f>IF(J1066="","",J1066-N(N1066))</f>
        <v/>
      </c>
      <c r="P1066" s="27">
        <f>IF(A1066="","",MONTH(A1066))</f>
        <v/>
      </c>
      <c r="Q1066" s="27">
        <f>IF(A1066="","",YEAR(A1066))</f>
        <v/>
      </c>
      <c r="R1066" s="27">
        <f>IF(L1066="","",IF(L1066&gt;Config!$B$8,"A cair",IF(N(G1066)&gt;=MIN(MAX(1,N(E1066)),MAX(0,INT((Config!$B$8-L1066)/30)+1)),IF(N(G1066)&gt;=MAX(1,N(E1066)),"Conferido","Conferido até aqui"),"A conferir")))</f>
        <v/>
      </c>
      <c r="S1066" s="51">
        <f>IF(R1066="A conferir",(Config!$B$8-L1066)*1000+N(F1066)/1000+ROW()/100000,0)</f>
        <v>0</v>
      </c>
      <c r="T1066" s="51">
        <f>IF(R1066="A conferir",N(N1066),0)</f>
        <v>0</v>
      </c>
      <c r="U1066" s="51">
        <f>IF(L1066="",0,L1066)</f>
        <v>0</v>
      </c>
      <c r="V1066" s="51">
        <f>IF(L1066="",0,MAX(1,N(E1066)))</f>
        <v>0</v>
      </c>
      <c r="W1066" s="51">
        <f>IF(K1066="",0,K1066)</f>
        <v>0</v>
      </c>
    </row>
    <row r="1067">
      <c r="A1067" s="49" t="n"/>
      <c r="B1067" s="41" t="n"/>
      <c r="C1067" s="41" t="n"/>
      <c r="D1067" s="42" t="n"/>
      <c r="E1067" s="42" t="n"/>
      <c r="F1067" s="50" t="n"/>
      <c r="G1067" s="42" t="n"/>
      <c r="H1067" s="30">
        <f>IF(D1067="","",IFERROR(INDEX(Config!$B$12:$B$15,MATCH(IF(AND(D1067="Cartão de crédito",N(E1067)&gt;1),"Cartão de crédito parcelado",D1067),Config!$A$12:$A$15,0)),0)+IF(AND(Config!$B$17="Sim",LEFT(D1067,17)="Cartão de crédito"),Config!$B$18*IFERROR(INDEX(Config!$C$12:$C$15,MATCH(IF(AND(D1067="Cartão de crédito",N(E1067)&gt;1),"Cartão de crédito parcelado",D1067),Config!$A$12:$A$15,0)),0)/30*MAX(1,N(E1067)),0))</f>
        <v/>
      </c>
      <c r="I1067" s="29">
        <f>IF(OR(D1067="",F1067=""),"",ROUND(F1067*H1067,2))</f>
        <v/>
      </c>
      <c r="J1067" s="29">
        <f>IF(I1067="","",F1067-I1067)</f>
        <v/>
      </c>
      <c r="K1067" s="29">
        <f>IF(J1067="","",J1067/MAX(1,N(E1067)))</f>
        <v/>
      </c>
      <c r="L1067" s="37">
        <f>IF(OR(D1067="",A1067=""),"",A1067+IF(AND(Config!$B$17="Sim",LEFT(D1067,17)="Cartão de crédito"),1,IFERROR(INDEX(Config!$C$12:$C$15,MATCH(IF(AND(D1067="Cartão de crédito",N(E1067)&gt;1),"Cartão de crédito parcelado",D1067),Config!$A$12:$A$15,0)),0)))</f>
        <v/>
      </c>
      <c r="M1067" s="37">
        <f>IF(L1067="","",IF(AND(Config!$B$17="Sim",LEFT(D1067,17)="Cartão de crédito"),L1067,L1067+30*(MAX(1,N(E1067))-1)))</f>
        <v/>
      </c>
      <c r="N1067" s="29">
        <f>IF(OR(L1067="",K1067=""),"",K1067*MIN(MAX(1,N(E1067)),MAX(0,INT((Config!$B$8-L1067)/30)+1)))</f>
        <v/>
      </c>
      <c r="O1067" s="29">
        <f>IF(J1067="","",J1067-N(N1067))</f>
        <v/>
      </c>
      <c r="P1067" s="27">
        <f>IF(A1067="","",MONTH(A1067))</f>
        <v/>
      </c>
      <c r="Q1067" s="27">
        <f>IF(A1067="","",YEAR(A1067))</f>
        <v/>
      </c>
      <c r="R1067" s="27">
        <f>IF(L1067="","",IF(L1067&gt;Config!$B$8,"A cair",IF(N(G1067)&gt;=MIN(MAX(1,N(E1067)),MAX(0,INT((Config!$B$8-L1067)/30)+1)),IF(N(G1067)&gt;=MAX(1,N(E1067)),"Conferido","Conferido até aqui"),"A conferir")))</f>
        <v/>
      </c>
      <c r="S1067" s="51">
        <f>IF(R1067="A conferir",(Config!$B$8-L1067)*1000+N(F1067)/1000+ROW()/100000,0)</f>
        <v>0</v>
      </c>
      <c r="T1067" s="51">
        <f>IF(R1067="A conferir",N(N1067),0)</f>
        <v>0</v>
      </c>
      <c r="U1067" s="51">
        <f>IF(L1067="",0,L1067)</f>
        <v>0</v>
      </c>
      <c r="V1067" s="51">
        <f>IF(L1067="",0,MAX(1,N(E1067)))</f>
        <v>0</v>
      </c>
      <c r="W1067" s="51">
        <f>IF(K1067="",0,K1067)</f>
        <v>0</v>
      </c>
    </row>
    <row r="1068">
      <c r="A1068" s="49" t="n"/>
      <c r="B1068" s="41" t="n"/>
      <c r="C1068" s="41" t="n"/>
      <c r="D1068" s="42" t="n"/>
      <c r="E1068" s="42" t="n"/>
      <c r="F1068" s="50" t="n"/>
      <c r="G1068" s="42" t="n"/>
      <c r="H1068" s="30">
        <f>IF(D1068="","",IFERROR(INDEX(Config!$B$12:$B$15,MATCH(IF(AND(D1068="Cartão de crédito",N(E1068)&gt;1),"Cartão de crédito parcelado",D1068),Config!$A$12:$A$15,0)),0)+IF(AND(Config!$B$17="Sim",LEFT(D1068,17)="Cartão de crédito"),Config!$B$18*IFERROR(INDEX(Config!$C$12:$C$15,MATCH(IF(AND(D1068="Cartão de crédito",N(E1068)&gt;1),"Cartão de crédito parcelado",D1068),Config!$A$12:$A$15,0)),0)/30*MAX(1,N(E1068)),0))</f>
        <v/>
      </c>
      <c r="I1068" s="29">
        <f>IF(OR(D1068="",F1068=""),"",ROUND(F1068*H1068,2))</f>
        <v/>
      </c>
      <c r="J1068" s="29">
        <f>IF(I1068="","",F1068-I1068)</f>
        <v/>
      </c>
      <c r="K1068" s="29">
        <f>IF(J1068="","",J1068/MAX(1,N(E1068)))</f>
        <v/>
      </c>
      <c r="L1068" s="37">
        <f>IF(OR(D1068="",A1068=""),"",A1068+IF(AND(Config!$B$17="Sim",LEFT(D1068,17)="Cartão de crédito"),1,IFERROR(INDEX(Config!$C$12:$C$15,MATCH(IF(AND(D1068="Cartão de crédito",N(E1068)&gt;1),"Cartão de crédito parcelado",D1068),Config!$A$12:$A$15,0)),0)))</f>
        <v/>
      </c>
      <c r="M1068" s="37">
        <f>IF(L1068="","",IF(AND(Config!$B$17="Sim",LEFT(D1068,17)="Cartão de crédito"),L1068,L1068+30*(MAX(1,N(E1068))-1)))</f>
        <v/>
      </c>
      <c r="N1068" s="29">
        <f>IF(OR(L1068="",K1068=""),"",K1068*MIN(MAX(1,N(E1068)),MAX(0,INT((Config!$B$8-L1068)/30)+1)))</f>
        <v/>
      </c>
      <c r="O1068" s="29">
        <f>IF(J1068="","",J1068-N(N1068))</f>
        <v/>
      </c>
      <c r="P1068" s="27">
        <f>IF(A1068="","",MONTH(A1068))</f>
        <v/>
      </c>
      <c r="Q1068" s="27">
        <f>IF(A1068="","",YEAR(A1068))</f>
        <v/>
      </c>
      <c r="R1068" s="27">
        <f>IF(L1068="","",IF(L1068&gt;Config!$B$8,"A cair",IF(N(G1068)&gt;=MIN(MAX(1,N(E1068)),MAX(0,INT((Config!$B$8-L1068)/30)+1)),IF(N(G1068)&gt;=MAX(1,N(E1068)),"Conferido","Conferido até aqui"),"A conferir")))</f>
        <v/>
      </c>
      <c r="S1068" s="51">
        <f>IF(R1068="A conferir",(Config!$B$8-L1068)*1000+N(F1068)/1000+ROW()/100000,0)</f>
        <v>0</v>
      </c>
      <c r="T1068" s="51">
        <f>IF(R1068="A conferir",N(N1068),0)</f>
        <v>0</v>
      </c>
      <c r="U1068" s="51">
        <f>IF(L1068="",0,L1068)</f>
        <v>0</v>
      </c>
      <c r="V1068" s="51">
        <f>IF(L1068="",0,MAX(1,N(E1068)))</f>
        <v>0</v>
      </c>
      <c r="W1068" s="51">
        <f>IF(K1068="",0,K1068)</f>
        <v>0</v>
      </c>
    </row>
    <row r="1069">
      <c r="A1069" s="49" t="n"/>
      <c r="B1069" s="41" t="n"/>
      <c r="C1069" s="41" t="n"/>
      <c r="D1069" s="42" t="n"/>
      <c r="E1069" s="42" t="n"/>
      <c r="F1069" s="50" t="n"/>
      <c r="G1069" s="42" t="n"/>
      <c r="H1069" s="30">
        <f>IF(D1069="","",IFERROR(INDEX(Config!$B$12:$B$15,MATCH(IF(AND(D1069="Cartão de crédito",N(E1069)&gt;1),"Cartão de crédito parcelado",D1069),Config!$A$12:$A$15,0)),0)+IF(AND(Config!$B$17="Sim",LEFT(D1069,17)="Cartão de crédito"),Config!$B$18*IFERROR(INDEX(Config!$C$12:$C$15,MATCH(IF(AND(D1069="Cartão de crédito",N(E1069)&gt;1),"Cartão de crédito parcelado",D1069),Config!$A$12:$A$15,0)),0)/30*MAX(1,N(E1069)),0))</f>
        <v/>
      </c>
      <c r="I1069" s="29">
        <f>IF(OR(D1069="",F1069=""),"",ROUND(F1069*H1069,2))</f>
        <v/>
      </c>
      <c r="J1069" s="29">
        <f>IF(I1069="","",F1069-I1069)</f>
        <v/>
      </c>
      <c r="K1069" s="29">
        <f>IF(J1069="","",J1069/MAX(1,N(E1069)))</f>
        <v/>
      </c>
      <c r="L1069" s="37">
        <f>IF(OR(D1069="",A1069=""),"",A1069+IF(AND(Config!$B$17="Sim",LEFT(D1069,17)="Cartão de crédito"),1,IFERROR(INDEX(Config!$C$12:$C$15,MATCH(IF(AND(D1069="Cartão de crédito",N(E1069)&gt;1),"Cartão de crédito parcelado",D1069),Config!$A$12:$A$15,0)),0)))</f>
        <v/>
      </c>
      <c r="M1069" s="37">
        <f>IF(L1069="","",IF(AND(Config!$B$17="Sim",LEFT(D1069,17)="Cartão de crédito"),L1069,L1069+30*(MAX(1,N(E1069))-1)))</f>
        <v/>
      </c>
      <c r="N1069" s="29">
        <f>IF(OR(L1069="",K1069=""),"",K1069*MIN(MAX(1,N(E1069)),MAX(0,INT((Config!$B$8-L1069)/30)+1)))</f>
        <v/>
      </c>
      <c r="O1069" s="29">
        <f>IF(J1069="","",J1069-N(N1069))</f>
        <v/>
      </c>
      <c r="P1069" s="27">
        <f>IF(A1069="","",MONTH(A1069))</f>
        <v/>
      </c>
      <c r="Q1069" s="27">
        <f>IF(A1069="","",YEAR(A1069))</f>
        <v/>
      </c>
      <c r="R1069" s="27">
        <f>IF(L1069="","",IF(L1069&gt;Config!$B$8,"A cair",IF(N(G1069)&gt;=MIN(MAX(1,N(E1069)),MAX(0,INT((Config!$B$8-L1069)/30)+1)),IF(N(G1069)&gt;=MAX(1,N(E1069)),"Conferido","Conferido até aqui"),"A conferir")))</f>
        <v/>
      </c>
      <c r="S1069" s="51">
        <f>IF(R1069="A conferir",(Config!$B$8-L1069)*1000+N(F1069)/1000+ROW()/100000,0)</f>
        <v>0</v>
      </c>
      <c r="T1069" s="51">
        <f>IF(R1069="A conferir",N(N1069),0)</f>
        <v>0</v>
      </c>
      <c r="U1069" s="51">
        <f>IF(L1069="",0,L1069)</f>
        <v>0</v>
      </c>
      <c r="V1069" s="51">
        <f>IF(L1069="",0,MAX(1,N(E1069)))</f>
        <v>0</v>
      </c>
      <c r="W1069" s="51">
        <f>IF(K1069="",0,K1069)</f>
        <v>0</v>
      </c>
    </row>
    <row r="1070">
      <c r="A1070" s="49" t="n"/>
      <c r="B1070" s="41" t="n"/>
      <c r="C1070" s="41" t="n"/>
      <c r="D1070" s="42" t="n"/>
      <c r="E1070" s="42" t="n"/>
      <c r="F1070" s="50" t="n"/>
      <c r="G1070" s="42" t="n"/>
      <c r="H1070" s="30">
        <f>IF(D1070="","",IFERROR(INDEX(Config!$B$12:$B$15,MATCH(IF(AND(D1070="Cartão de crédito",N(E1070)&gt;1),"Cartão de crédito parcelado",D1070),Config!$A$12:$A$15,0)),0)+IF(AND(Config!$B$17="Sim",LEFT(D1070,17)="Cartão de crédito"),Config!$B$18*IFERROR(INDEX(Config!$C$12:$C$15,MATCH(IF(AND(D1070="Cartão de crédito",N(E1070)&gt;1),"Cartão de crédito parcelado",D1070),Config!$A$12:$A$15,0)),0)/30*MAX(1,N(E1070)),0))</f>
        <v/>
      </c>
      <c r="I1070" s="29">
        <f>IF(OR(D1070="",F1070=""),"",ROUND(F1070*H1070,2))</f>
        <v/>
      </c>
      <c r="J1070" s="29">
        <f>IF(I1070="","",F1070-I1070)</f>
        <v/>
      </c>
      <c r="K1070" s="29">
        <f>IF(J1070="","",J1070/MAX(1,N(E1070)))</f>
        <v/>
      </c>
      <c r="L1070" s="37">
        <f>IF(OR(D1070="",A1070=""),"",A1070+IF(AND(Config!$B$17="Sim",LEFT(D1070,17)="Cartão de crédito"),1,IFERROR(INDEX(Config!$C$12:$C$15,MATCH(IF(AND(D1070="Cartão de crédito",N(E1070)&gt;1),"Cartão de crédito parcelado",D1070),Config!$A$12:$A$15,0)),0)))</f>
        <v/>
      </c>
      <c r="M1070" s="37">
        <f>IF(L1070="","",IF(AND(Config!$B$17="Sim",LEFT(D1070,17)="Cartão de crédito"),L1070,L1070+30*(MAX(1,N(E1070))-1)))</f>
        <v/>
      </c>
      <c r="N1070" s="29">
        <f>IF(OR(L1070="",K1070=""),"",K1070*MIN(MAX(1,N(E1070)),MAX(0,INT((Config!$B$8-L1070)/30)+1)))</f>
        <v/>
      </c>
      <c r="O1070" s="29">
        <f>IF(J1070="","",J1070-N(N1070))</f>
        <v/>
      </c>
      <c r="P1070" s="27">
        <f>IF(A1070="","",MONTH(A1070))</f>
        <v/>
      </c>
      <c r="Q1070" s="27">
        <f>IF(A1070="","",YEAR(A1070))</f>
        <v/>
      </c>
      <c r="R1070" s="27">
        <f>IF(L1070="","",IF(L1070&gt;Config!$B$8,"A cair",IF(N(G1070)&gt;=MIN(MAX(1,N(E1070)),MAX(0,INT((Config!$B$8-L1070)/30)+1)),IF(N(G1070)&gt;=MAX(1,N(E1070)),"Conferido","Conferido até aqui"),"A conferir")))</f>
        <v/>
      </c>
      <c r="S1070" s="51">
        <f>IF(R1070="A conferir",(Config!$B$8-L1070)*1000+N(F1070)/1000+ROW()/100000,0)</f>
        <v>0</v>
      </c>
      <c r="T1070" s="51">
        <f>IF(R1070="A conferir",N(N1070),0)</f>
        <v>0</v>
      </c>
      <c r="U1070" s="51">
        <f>IF(L1070="",0,L1070)</f>
        <v>0</v>
      </c>
      <c r="V1070" s="51">
        <f>IF(L1070="",0,MAX(1,N(E1070)))</f>
        <v>0</v>
      </c>
      <c r="W1070" s="51">
        <f>IF(K1070="",0,K1070)</f>
        <v>0</v>
      </c>
    </row>
    <row r="1071">
      <c r="A1071" s="49" t="n"/>
      <c r="B1071" s="41" t="n"/>
      <c r="C1071" s="41" t="n"/>
      <c r="D1071" s="42" t="n"/>
      <c r="E1071" s="42" t="n"/>
      <c r="F1071" s="50" t="n"/>
      <c r="G1071" s="42" t="n"/>
      <c r="H1071" s="30">
        <f>IF(D1071="","",IFERROR(INDEX(Config!$B$12:$B$15,MATCH(IF(AND(D1071="Cartão de crédito",N(E1071)&gt;1),"Cartão de crédito parcelado",D1071),Config!$A$12:$A$15,0)),0)+IF(AND(Config!$B$17="Sim",LEFT(D1071,17)="Cartão de crédito"),Config!$B$18*IFERROR(INDEX(Config!$C$12:$C$15,MATCH(IF(AND(D1071="Cartão de crédito",N(E1071)&gt;1),"Cartão de crédito parcelado",D1071),Config!$A$12:$A$15,0)),0)/30*MAX(1,N(E1071)),0))</f>
        <v/>
      </c>
      <c r="I1071" s="29">
        <f>IF(OR(D1071="",F1071=""),"",ROUND(F1071*H1071,2))</f>
        <v/>
      </c>
      <c r="J1071" s="29">
        <f>IF(I1071="","",F1071-I1071)</f>
        <v/>
      </c>
      <c r="K1071" s="29">
        <f>IF(J1071="","",J1071/MAX(1,N(E1071)))</f>
        <v/>
      </c>
      <c r="L1071" s="37">
        <f>IF(OR(D1071="",A1071=""),"",A1071+IF(AND(Config!$B$17="Sim",LEFT(D1071,17)="Cartão de crédito"),1,IFERROR(INDEX(Config!$C$12:$C$15,MATCH(IF(AND(D1071="Cartão de crédito",N(E1071)&gt;1),"Cartão de crédito parcelado",D1071),Config!$A$12:$A$15,0)),0)))</f>
        <v/>
      </c>
      <c r="M1071" s="37">
        <f>IF(L1071="","",IF(AND(Config!$B$17="Sim",LEFT(D1071,17)="Cartão de crédito"),L1071,L1071+30*(MAX(1,N(E1071))-1)))</f>
        <v/>
      </c>
      <c r="N1071" s="29">
        <f>IF(OR(L1071="",K1071=""),"",K1071*MIN(MAX(1,N(E1071)),MAX(0,INT((Config!$B$8-L1071)/30)+1)))</f>
        <v/>
      </c>
      <c r="O1071" s="29">
        <f>IF(J1071="","",J1071-N(N1071))</f>
        <v/>
      </c>
      <c r="P1071" s="27">
        <f>IF(A1071="","",MONTH(A1071))</f>
        <v/>
      </c>
      <c r="Q1071" s="27">
        <f>IF(A1071="","",YEAR(A1071))</f>
        <v/>
      </c>
      <c r="R1071" s="27">
        <f>IF(L1071="","",IF(L1071&gt;Config!$B$8,"A cair",IF(N(G1071)&gt;=MIN(MAX(1,N(E1071)),MAX(0,INT((Config!$B$8-L1071)/30)+1)),IF(N(G1071)&gt;=MAX(1,N(E1071)),"Conferido","Conferido até aqui"),"A conferir")))</f>
        <v/>
      </c>
      <c r="S1071" s="51">
        <f>IF(R1071="A conferir",(Config!$B$8-L1071)*1000+N(F1071)/1000+ROW()/100000,0)</f>
        <v>0</v>
      </c>
      <c r="T1071" s="51">
        <f>IF(R1071="A conferir",N(N1071),0)</f>
        <v>0</v>
      </c>
      <c r="U1071" s="51">
        <f>IF(L1071="",0,L1071)</f>
        <v>0</v>
      </c>
      <c r="V1071" s="51">
        <f>IF(L1071="",0,MAX(1,N(E1071)))</f>
        <v>0</v>
      </c>
      <c r="W1071" s="51">
        <f>IF(K1071="",0,K1071)</f>
        <v>0</v>
      </c>
    </row>
    <row r="1072">
      <c r="A1072" s="49" t="n"/>
      <c r="B1072" s="41" t="n"/>
      <c r="C1072" s="41" t="n"/>
      <c r="D1072" s="42" t="n"/>
      <c r="E1072" s="42" t="n"/>
      <c r="F1072" s="50" t="n"/>
      <c r="G1072" s="42" t="n"/>
      <c r="H1072" s="30">
        <f>IF(D1072="","",IFERROR(INDEX(Config!$B$12:$B$15,MATCH(IF(AND(D1072="Cartão de crédito",N(E1072)&gt;1),"Cartão de crédito parcelado",D1072),Config!$A$12:$A$15,0)),0)+IF(AND(Config!$B$17="Sim",LEFT(D1072,17)="Cartão de crédito"),Config!$B$18*IFERROR(INDEX(Config!$C$12:$C$15,MATCH(IF(AND(D1072="Cartão de crédito",N(E1072)&gt;1),"Cartão de crédito parcelado",D1072),Config!$A$12:$A$15,0)),0)/30*MAX(1,N(E1072)),0))</f>
        <v/>
      </c>
      <c r="I1072" s="29">
        <f>IF(OR(D1072="",F1072=""),"",ROUND(F1072*H1072,2))</f>
        <v/>
      </c>
      <c r="J1072" s="29">
        <f>IF(I1072="","",F1072-I1072)</f>
        <v/>
      </c>
      <c r="K1072" s="29">
        <f>IF(J1072="","",J1072/MAX(1,N(E1072)))</f>
        <v/>
      </c>
      <c r="L1072" s="37">
        <f>IF(OR(D1072="",A1072=""),"",A1072+IF(AND(Config!$B$17="Sim",LEFT(D1072,17)="Cartão de crédito"),1,IFERROR(INDEX(Config!$C$12:$C$15,MATCH(IF(AND(D1072="Cartão de crédito",N(E1072)&gt;1),"Cartão de crédito parcelado",D1072),Config!$A$12:$A$15,0)),0)))</f>
        <v/>
      </c>
      <c r="M1072" s="37">
        <f>IF(L1072="","",IF(AND(Config!$B$17="Sim",LEFT(D1072,17)="Cartão de crédito"),L1072,L1072+30*(MAX(1,N(E1072))-1)))</f>
        <v/>
      </c>
      <c r="N1072" s="29">
        <f>IF(OR(L1072="",K1072=""),"",K1072*MIN(MAX(1,N(E1072)),MAX(0,INT((Config!$B$8-L1072)/30)+1)))</f>
        <v/>
      </c>
      <c r="O1072" s="29">
        <f>IF(J1072="","",J1072-N(N1072))</f>
        <v/>
      </c>
      <c r="P1072" s="27">
        <f>IF(A1072="","",MONTH(A1072))</f>
        <v/>
      </c>
      <c r="Q1072" s="27">
        <f>IF(A1072="","",YEAR(A1072))</f>
        <v/>
      </c>
      <c r="R1072" s="27">
        <f>IF(L1072="","",IF(L1072&gt;Config!$B$8,"A cair",IF(N(G1072)&gt;=MIN(MAX(1,N(E1072)),MAX(0,INT((Config!$B$8-L1072)/30)+1)),IF(N(G1072)&gt;=MAX(1,N(E1072)),"Conferido","Conferido até aqui"),"A conferir")))</f>
        <v/>
      </c>
      <c r="S1072" s="51">
        <f>IF(R1072="A conferir",(Config!$B$8-L1072)*1000+N(F1072)/1000+ROW()/100000,0)</f>
        <v>0</v>
      </c>
      <c r="T1072" s="51">
        <f>IF(R1072="A conferir",N(N1072),0)</f>
        <v>0</v>
      </c>
      <c r="U1072" s="51">
        <f>IF(L1072="",0,L1072)</f>
        <v>0</v>
      </c>
      <c r="V1072" s="51">
        <f>IF(L1072="",0,MAX(1,N(E1072)))</f>
        <v>0</v>
      </c>
      <c r="W1072" s="51">
        <f>IF(K1072="",0,K1072)</f>
        <v>0</v>
      </c>
    </row>
    <row r="1073">
      <c r="A1073" s="49" t="n"/>
      <c r="B1073" s="41" t="n"/>
      <c r="C1073" s="41" t="n"/>
      <c r="D1073" s="42" t="n"/>
      <c r="E1073" s="42" t="n"/>
      <c r="F1073" s="50" t="n"/>
      <c r="G1073" s="42" t="n"/>
      <c r="H1073" s="30">
        <f>IF(D1073="","",IFERROR(INDEX(Config!$B$12:$B$15,MATCH(IF(AND(D1073="Cartão de crédito",N(E1073)&gt;1),"Cartão de crédito parcelado",D1073),Config!$A$12:$A$15,0)),0)+IF(AND(Config!$B$17="Sim",LEFT(D1073,17)="Cartão de crédito"),Config!$B$18*IFERROR(INDEX(Config!$C$12:$C$15,MATCH(IF(AND(D1073="Cartão de crédito",N(E1073)&gt;1),"Cartão de crédito parcelado",D1073),Config!$A$12:$A$15,0)),0)/30*MAX(1,N(E1073)),0))</f>
        <v/>
      </c>
      <c r="I1073" s="29">
        <f>IF(OR(D1073="",F1073=""),"",ROUND(F1073*H1073,2))</f>
        <v/>
      </c>
      <c r="J1073" s="29">
        <f>IF(I1073="","",F1073-I1073)</f>
        <v/>
      </c>
      <c r="K1073" s="29">
        <f>IF(J1073="","",J1073/MAX(1,N(E1073)))</f>
        <v/>
      </c>
      <c r="L1073" s="37">
        <f>IF(OR(D1073="",A1073=""),"",A1073+IF(AND(Config!$B$17="Sim",LEFT(D1073,17)="Cartão de crédito"),1,IFERROR(INDEX(Config!$C$12:$C$15,MATCH(IF(AND(D1073="Cartão de crédito",N(E1073)&gt;1),"Cartão de crédito parcelado",D1073),Config!$A$12:$A$15,0)),0)))</f>
        <v/>
      </c>
      <c r="M1073" s="37">
        <f>IF(L1073="","",IF(AND(Config!$B$17="Sim",LEFT(D1073,17)="Cartão de crédito"),L1073,L1073+30*(MAX(1,N(E1073))-1)))</f>
        <v/>
      </c>
      <c r="N1073" s="29">
        <f>IF(OR(L1073="",K1073=""),"",K1073*MIN(MAX(1,N(E1073)),MAX(0,INT((Config!$B$8-L1073)/30)+1)))</f>
        <v/>
      </c>
      <c r="O1073" s="29">
        <f>IF(J1073="","",J1073-N(N1073))</f>
        <v/>
      </c>
      <c r="P1073" s="27">
        <f>IF(A1073="","",MONTH(A1073))</f>
        <v/>
      </c>
      <c r="Q1073" s="27">
        <f>IF(A1073="","",YEAR(A1073))</f>
        <v/>
      </c>
      <c r="R1073" s="27">
        <f>IF(L1073="","",IF(L1073&gt;Config!$B$8,"A cair",IF(N(G1073)&gt;=MIN(MAX(1,N(E1073)),MAX(0,INT((Config!$B$8-L1073)/30)+1)),IF(N(G1073)&gt;=MAX(1,N(E1073)),"Conferido","Conferido até aqui"),"A conferir")))</f>
        <v/>
      </c>
      <c r="S1073" s="51">
        <f>IF(R1073="A conferir",(Config!$B$8-L1073)*1000+N(F1073)/1000+ROW()/100000,0)</f>
        <v>0</v>
      </c>
      <c r="T1073" s="51">
        <f>IF(R1073="A conferir",N(N1073),0)</f>
        <v>0</v>
      </c>
      <c r="U1073" s="51">
        <f>IF(L1073="",0,L1073)</f>
        <v>0</v>
      </c>
      <c r="V1073" s="51">
        <f>IF(L1073="",0,MAX(1,N(E1073)))</f>
        <v>0</v>
      </c>
      <c r="W1073" s="51">
        <f>IF(K1073="",0,K1073)</f>
        <v>0</v>
      </c>
    </row>
    <row r="1074">
      <c r="A1074" s="49" t="n"/>
      <c r="B1074" s="41" t="n"/>
      <c r="C1074" s="41" t="n"/>
      <c r="D1074" s="42" t="n"/>
      <c r="E1074" s="42" t="n"/>
      <c r="F1074" s="50" t="n"/>
      <c r="G1074" s="42" t="n"/>
      <c r="H1074" s="30">
        <f>IF(D1074="","",IFERROR(INDEX(Config!$B$12:$B$15,MATCH(IF(AND(D1074="Cartão de crédito",N(E1074)&gt;1),"Cartão de crédito parcelado",D1074),Config!$A$12:$A$15,0)),0)+IF(AND(Config!$B$17="Sim",LEFT(D1074,17)="Cartão de crédito"),Config!$B$18*IFERROR(INDEX(Config!$C$12:$C$15,MATCH(IF(AND(D1074="Cartão de crédito",N(E1074)&gt;1),"Cartão de crédito parcelado",D1074),Config!$A$12:$A$15,0)),0)/30*MAX(1,N(E1074)),0))</f>
        <v/>
      </c>
      <c r="I1074" s="29">
        <f>IF(OR(D1074="",F1074=""),"",ROUND(F1074*H1074,2))</f>
        <v/>
      </c>
      <c r="J1074" s="29">
        <f>IF(I1074="","",F1074-I1074)</f>
        <v/>
      </c>
      <c r="K1074" s="29">
        <f>IF(J1074="","",J1074/MAX(1,N(E1074)))</f>
        <v/>
      </c>
      <c r="L1074" s="37">
        <f>IF(OR(D1074="",A1074=""),"",A1074+IF(AND(Config!$B$17="Sim",LEFT(D1074,17)="Cartão de crédito"),1,IFERROR(INDEX(Config!$C$12:$C$15,MATCH(IF(AND(D1074="Cartão de crédito",N(E1074)&gt;1),"Cartão de crédito parcelado",D1074),Config!$A$12:$A$15,0)),0)))</f>
        <v/>
      </c>
      <c r="M1074" s="37">
        <f>IF(L1074="","",IF(AND(Config!$B$17="Sim",LEFT(D1074,17)="Cartão de crédito"),L1074,L1074+30*(MAX(1,N(E1074))-1)))</f>
        <v/>
      </c>
      <c r="N1074" s="29">
        <f>IF(OR(L1074="",K1074=""),"",K1074*MIN(MAX(1,N(E1074)),MAX(0,INT((Config!$B$8-L1074)/30)+1)))</f>
        <v/>
      </c>
      <c r="O1074" s="29">
        <f>IF(J1074="","",J1074-N(N1074))</f>
        <v/>
      </c>
      <c r="P1074" s="27">
        <f>IF(A1074="","",MONTH(A1074))</f>
        <v/>
      </c>
      <c r="Q1074" s="27">
        <f>IF(A1074="","",YEAR(A1074))</f>
        <v/>
      </c>
      <c r="R1074" s="27">
        <f>IF(L1074="","",IF(L1074&gt;Config!$B$8,"A cair",IF(N(G1074)&gt;=MIN(MAX(1,N(E1074)),MAX(0,INT((Config!$B$8-L1074)/30)+1)),IF(N(G1074)&gt;=MAX(1,N(E1074)),"Conferido","Conferido até aqui"),"A conferir")))</f>
        <v/>
      </c>
      <c r="S1074" s="51">
        <f>IF(R1074="A conferir",(Config!$B$8-L1074)*1000+N(F1074)/1000+ROW()/100000,0)</f>
        <v>0</v>
      </c>
      <c r="T1074" s="51">
        <f>IF(R1074="A conferir",N(N1074),0)</f>
        <v>0</v>
      </c>
      <c r="U1074" s="51">
        <f>IF(L1074="",0,L1074)</f>
        <v>0</v>
      </c>
      <c r="V1074" s="51">
        <f>IF(L1074="",0,MAX(1,N(E1074)))</f>
        <v>0</v>
      </c>
      <c r="W1074" s="51">
        <f>IF(K1074="",0,K1074)</f>
        <v>0</v>
      </c>
    </row>
    <row r="1075">
      <c r="A1075" s="49" t="n"/>
      <c r="B1075" s="41" t="n"/>
      <c r="C1075" s="41" t="n"/>
      <c r="D1075" s="42" t="n"/>
      <c r="E1075" s="42" t="n"/>
      <c r="F1075" s="50" t="n"/>
      <c r="G1075" s="42" t="n"/>
      <c r="H1075" s="30">
        <f>IF(D1075="","",IFERROR(INDEX(Config!$B$12:$B$15,MATCH(IF(AND(D1075="Cartão de crédito",N(E1075)&gt;1),"Cartão de crédito parcelado",D1075),Config!$A$12:$A$15,0)),0)+IF(AND(Config!$B$17="Sim",LEFT(D1075,17)="Cartão de crédito"),Config!$B$18*IFERROR(INDEX(Config!$C$12:$C$15,MATCH(IF(AND(D1075="Cartão de crédito",N(E1075)&gt;1),"Cartão de crédito parcelado",D1075),Config!$A$12:$A$15,0)),0)/30*MAX(1,N(E1075)),0))</f>
        <v/>
      </c>
      <c r="I1075" s="29">
        <f>IF(OR(D1075="",F1075=""),"",ROUND(F1075*H1075,2))</f>
        <v/>
      </c>
      <c r="J1075" s="29">
        <f>IF(I1075="","",F1075-I1075)</f>
        <v/>
      </c>
      <c r="K1075" s="29">
        <f>IF(J1075="","",J1075/MAX(1,N(E1075)))</f>
        <v/>
      </c>
      <c r="L1075" s="37">
        <f>IF(OR(D1075="",A1075=""),"",A1075+IF(AND(Config!$B$17="Sim",LEFT(D1075,17)="Cartão de crédito"),1,IFERROR(INDEX(Config!$C$12:$C$15,MATCH(IF(AND(D1075="Cartão de crédito",N(E1075)&gt;1),"Cartão de crédito parcelado",D1075),Config!$A$12:$A$15,0)),0)))</f>
        <v/>
      </c>
      <c r="M1075" s="37">
        <f>IF(L1075="","",IF(AND(Config!$B$17="Sim",LEFT(D1075,17)="Cartão de crédito"),L1075,L1075+30*(MAX(1,N(E1075))-1)))</f>
        <v/>
      </c>
      <c r="N1075" s="29">
        <f>IF(OR(L1075="",K1075=""),"",K1075*MIN(MAX(1,N(E1075)),MAX(0,INT((Config!$B$8-L1075)/30)+1)))</f>
        <v/>
      </c>
      <c r="O1075" s="29">
        <f>IF(J1075="","",J1075-N(N1075))</f>
        <v/>
      </c>
      <c r="P1075" s="27">
        <f>IF(A1075="","",MONTH(A1075))</f>
        <v/>
      </c>
      <c r="Q1075" s="27">
        <f>IF(A1075="","",YEAR(A1075))</f>
        <v/>
      </c>
      <c r="R1075" s="27">
        <f>IF(L1075="","",IF(L1075&gt;Config!$B$8,"A cair",IF(N(G1075)&gt;=MIN(MAX(1,N(E1075)),MAX(0,INT((Config!$B$8-L1075)/30)+1)),IF(N(G1075)&gt;=MAX(1,N(E1075)),"Conferido","Conferido até aqui"),"A conferir")))</f>
        <v/>
      </c>
      <c r="S1075" s="51">
        <f>IF(R1075="A conferir",(Config!$B$8-L1075)*1000+N(F1075)/1000+ROW()/100000,0)</f>
        <v>0</v>
      </c>
      <c r="T1075" s="51">
        <f>IF(R1075="A conferir",N(N1075),0)</f>
        <v>0</v>
      </c>
      <c r="U1075" s="51">
        <f>IF(L1075="",0,L1075)</f>
        <v>0</v>
      </c>
      <c r="V1075" s="51">
        <f>IF(L1075="",0,MAX(1,N(E1075)))</f>
        <v>0</v>
      </c>
      <c r="W1075" s="51">
        <f>IF(K1075="",0,K1075)</f>
        <v>0</v>
      </c>
    </row>
    <row r="1076">
      <c r="A1076" s="49" t="n"/>
      <c r="B1076" s="41" t="n"/>
      <c r="C1076" s="41" t="n"/>
      <c r="D1076" s="42" t="n"/>
      <c r="E1076" s="42" t="n"/>
      <c r="F1076" s="50" t="n"/>
      <c r="G1076" s="42" t="n"/>
      <c r="H1076" s="30">
        <f>IF(D1076="","",IFERROR(INDEX(Config!$B$12:$B$15,MATCH(IF(AND(D1076="Cartão de crédito",N(E1076)&gt;1),"Cartão de crédito parcelado",D1076),Config!$A$12:$A$15,0)),0)+IF(AND(Config!$B$17="Sim",LEFT(D1076,17)="Cartão de crédito"),Config!$B$18*IFERROR(INDEX(Config!$C$12:$C$15,MATCH(IF(AND(D1076="Cartão de crédito",N(E1076)&gt;1),"Cartão de crédito parcelado",D1076),Config!$A$12:$A$15,0)),0)/30*MAX(1,N(E1076)),0))</f>
        <v/>
      </c>
      <c r="I1076" s="29">
        <f>IF(OR(D1076="",F1076=""),"",ROUND(F1076*H1076,2))</f>
        <v/>
      </c>
      <c r="J1076" s="29">
        <f>IF(I1076="","",F1076-I1076)</f>
        <v/>
      </c>
      <c r="K1076" s="29">
        <f>IF(J1076="","",J1076/MAX(1,N(E1076)))</f>
        <v/>
      </c>
      <c r="L1076" s="37">
        <f>IF(OR(D1076="",A1076=""),"",A1076+IF(AND(Config!$B$17="Sim",LEFT(D1076,17)="Cartão de crédito"),1,IFERROR(INDEX(Config!$C$12:$C$15,MATCH(IF(AND(D1076="Cartão de crédito",N(E1076)&gt;1),"Cartão de crédito parcelado",D1076),Config!$A$12:$A$15,0)),0)))</f>
        <v/>
      </c>
      <c r="M1076" s="37">
        <f>IF(L1076="","",IF(AND(Config!$B$17="Sim",LEFT(D1076,17)="Cartão de crédito"),L1076,L1076+30*(MAX(1,N(E1076))-1)))</f>
        <v/>
      </c>
      <c r="N1076" s="29">
        <f>IF(OR(L1076="",K1076=""),"",K1076*MIN(MAX(1,N(E1076)),MAX(0,INT((Config!$B$8-L1076)/30)+1)))</f>
        <v/>
      </c>
      <c r="O1076" s="29">
        <f>IF(J1076="","",J1076-N(N1076))</f>
        <v/>
      </c>
      <c r="P1076" s="27">
        <f>IF(A1076="","",MONTH(A1076))</f>
        <v/>
      </c>
      <c r="Q1076" s="27">
        <f>IF(A1076="","",YEAR(A1076))</f>
        <v/>
      </c>
      <c r="R1076" s="27">
        <f>IF(L1076="","",IF(L1076&gt;Config!$B$8,"A cair",IF(N(G1076)&gt;=MIN(MAX(1,N(E1076)),MAX(0,INT((Config!$B$8-L1076)/30)+1)),IF(N(G1076)&gt;=MAX(1,N(E1076)),"Conferido","Conferido até aqui"),"A conferir")))</f>
        <v/>
      </c>
      <c r="S1076" s="51">
        <f>IF(R1076="A conferir",(Config!$B$8-L1076)*1000+N(F1076)/1000+ROW()/100000,0)</f>
        <v>0</v>
      </c>
      <c r="T1076" s="51">
        <f>IF(R1076="A conferir",N(N1076),0)</f>
        <v>0</v>
      </c>
      <c r="U1076" s="51">
        <f>IF(L1076="",0,L1076)</f>
        <v>0</v>
      </c>
      <c r="V1076" s="51">
        <f>IF(L1076="",0,MAX(1,N(E1076)))</f>
        <v>0</v>
      </c>
      <c r="W1076" s="51">
        <f>IF(K1076="",0,K1076)</f>
        <v>0</v>
      </c>
    </row>
    <row r="1077">
      <c r="A1077" s="49" t="n"/>
      <c r="B1077" s="41" t="n"/>
      <c r="C1077" s="41" t="n"/>
      <c r="D1077" s="42" t="n"/>
      <c r="E1077" s="42" t="n"/>
      <c r="F1077" s="50" t="n"/>
      <c r="G1077" s="42" t="n"/>
      <c r="H1077" s="30">
        <f>IF(D1077="","",IFERROR(INDEX(Config!$B$12:$B$15,MATCH(IF(AND(D1077="Cartão de crédito",N(E1077)&gt;1),"Cartão de crédito parcelado",D1077),Config!$A$12:$A$15,0)),0)+IF(AND(Config!$B$17="Sim",LEFT(D1077,17)="Cartão de crédito"),Config!$B$18*IFERROR(INDEX(Config!$C$12:$C$15,MATCH(IF(AND(D1077="Cartão de crédito",N(E1077)&gt;1),"Cartão de crédito parcelado",D1077),Config!$A$12:$A$15,0)),0)/30*MAX(1,N(E1077)),0))</f>
        <v/>
      </c>
      <c r="I1077" s="29">
        <f>IF(OR(D1077="",F1077=""),"",ROUND(F1077*H1077,2))</f>
        <v/>
      </c>
      <c r="J1077" s="29">
        <f>IF(I1077="","",F1077-I1077)</f>
        <v/>
      </c>
      <c r="K1077" s="29">
        <f>IF(J1077="","",J1077/MAX(1,N(E1077)))</f>
        <v/>
      </c>
      <c r="L1077" s="37">
        <f>IF(OR(D1077="",A1077=""),"",A1077+IF(AND(Config!$B$17="Sim",LEFT(D1077,17)="Cartão de crédito"),1,IFERROR(INDEX(Config!$C$12:$C$15,MATCH(IF(AND(D1077="Cartão de crédito",N(E1077)&gt;1),"Cartão de crédito parcelado",D1077),Config!$A$12:$A$15,0)),0)))</f>
        <v/>
      </c>
      <c r="M1077" s="37">
        <f>IF(L1077="","",IF(AND(Config!$B$17="Sim",LEFT(D1077,17)="Cartão de crédito"),L1077,L1077+30*(MAX(1,N(E1077))-1)))</f>
        <v/>
      </c>
      <c r="N1077" s="29">
        <f>IF(OR(L1077="",K1077=""),"",K1077*MIN(MAX(1,N(E1077)),MAX(0,INT((Config!$B$8-L1077)/30)+1)))</f>
        <v/>
      </c>
      <c r="O1077" s="29">
        <f>IF(J1077="","",J1077-N(N1077))</f>
        <v/>
      </c>
      <c r="P1077" s="27">
        <f>IF(A1077="","",MONTH(A1077))</f>
        <v/>
      </c>
      <c r="Q1077" s="27">
        <f>IF(A1077="","",YEAR(A1077))</f>
        <v/>
      </c>
      <c r="R1077" s="27">
        <f>IF(L1077="","",IF(L1077&gt;Config!$B$8,"A cair",IF(N(G1077)&gt;=MIN(MAX(1,N(E1077)),MAX(0,INT((Config!$B$8-L1077)/30)+1)),IF(N(G1077)&gt;=MAX(1,N(E1077)),"Conferido","Conferido até aqui"),"A conferir")))</f>
        <v/>
      </c>
      <c r="S1077" s="51">
        <f>IF(R1077="A conferir",(Config!$B$8-L1077)*1000+N(F1077)/1000+ROW()/100000,0)</f>
        <v>0</v>
      </c>
      <c r="T1077" s="51">
        <f>IF(R1077="A conferir",N(N1077),0)</f>
        <v>0</v>
      </c>
      <c r="U1077" s="51">
        <f>IF(L1077="",0,L1077)</f>
        <v>0</v>
      </c>
      <c r="V1077" s="51">
        <f>IF(L1077="",0,MAX(1,N(E1077)))</f>
        <v>0</v>
      </c>
      <c r="W1077" s="51">
        <f>IF(K1077="",0,K1077)</f>
        <v>0</v>
      </c>
    </row>
    <row r="1078">
      <c r="A1078" s="49" t="n"/>
      <c r="B1078" s="41" t="n"/>
      <c r="C1078" s="41" t="n"/>
      <c r="D1078" s="42" t="n"/>
      <c r="E1078" s="42" t="n"/>
      <c r="F1078" s="50" t="n"/>
      <c r="G1078" s="42" t="n"/>
      <c r="H1078" s="30">
        <f>IF(D1078="","",IFERROR(INDEX(Config!$B$12:$B$15,MATCH(IF(AND(D1078="Cartão de crédito",N(E1078)&gt;1),"Cartão de crédito parcelado",D1078),Config!$A$12:$A$15,0)),0)+IF(AND(Config!$B$17="Sim",LEFT(D1078,17)="Cartão de crédito"),Config!$B$18*IFERROR(INDEX(Config!$C$12:$C$15,MATCH(IF(AND(D1078="Cartão de crédito",N(E1078)&gt;1),"Cartão de crédito parcelado",D1078),Config!$A$12:$A$15,0)),0)/30*MAX(1,N(E1078)),0))</f>
        <v/>
      </c>
      <c r="I1078" s="29">
        <f>IF(OR(D1078="",F1078=""),"",ROUND(F1078*H1078,2))</f>
        <v/>
      </c>
      <c r="J1078" s="29">
        <f>IF(I1078="","",F1078-I1078)</f>
        <v/>
      </c>
      <c r="K1078" s="29">
        <f>IF(J1078="","",J1078/MAX(1,N(E1078)))</f>
        <v/>
      </c>
      <c r="L1078" s="37">
        <f>IF(OR(D1078="",A1078=""),"",A1078+IF(AND(Config!$B$17="Sim",LEFT(D1078,17)="Cartão de crédito"),1,IFERROR(INDEX(Config!$C$12:$C$15,MATCH(IF(AND(D1078="Cartão de crédito",N(E1078)&gt;1),"Cartão de crédito parcelado",D1078),Config!$A$12:$A$15,0)),0)))</f>
        <v/>
      </c>
      <c r="M1078" s="37">
        <f>IF(L1078="","",IF(AND(Config!$B$17="Sim",LEFT(D1078,17)="Cartão de crédito"),L1078,L1078+30*(MAX(1,N(E1078))-1)))</f>
        <v/>
      </c>
      <c r="N1078" s="29">
        <f>IF(OR(L1078="",K1078=""),"",K1078*MIN(MAX(1,N(E1078)),MAX(0,INT((Config!$B$8-L1078)/30)+1)))</f>
        <v/>
      </c>
      <c r="O1078" s="29">
        <f>IF(J1078="","",J1078-N(N1078))</f>
        <v/>
      </c>
      <c r="P1078" s="27">
        <f>IF(A1078="","",MONTH(A1078))</f>
        <v/>
      </c>
      <c r="Q1078" s="27">
        <f>IF(A1078="","",YEAR(A1078))</f>
        <v/>
      </c>
      <c r="R1078" s="27">
        <f>IF(L1078="","",IF(L1078&gt;Config!$B$8,"A cair",IF(N(G1078)&gt;=MIN(MAX(1,N(E1078)),MAX(0,INT((Config!$B$8-L1078)/30)+1)),IF(N(G1078)&gt;=MAX(1,N(E1078)),"Conferido","Conferido até aqui"),"A conferir")))</f>
        <v/>
      </c>
      <c r="S1078" s="51">
        <f>IF(R1078="A conferir",(Config!$B$8-L1078)*1000+N(F1078)/1000+ROW()/100000,0)</f>
        <v>0</v>
      </c>
      <c r="T1078" s="51">
        <f>IF(R1078="A conferir",N(N1078),0)</f>
        <v>0</v>
      </c>
      <c r="U1078" s="51">
        <f>IF(L1078="",0,L1078)</f>
        <v>0</v>
      </c>
      <c r="V1078" s="51">
        <f>IF(L1078="",0,MAX(1,N(E1078)))</f>
        <v>0</v>
      </c>
      <c r="W1078" s="51">
        <f>IF(K1078="",0,K1078)</f>
        <v>0</v>
      </c>
    </row>
    <row r="1079">
      <c r="A1079" s="49" t="n"/>
      <c r="B1079" s="41" t="n"/>
      <c r="C1079" s="41" t="n"/>
      <c r="D1079" s="42" t="n"/>
      <c r="E1079" s="42" t="n"/>
      <c r="F1079" s="50" t="n"/>
      <c r="G1079" s="42" t="n"/>
      <c r="H1079" s="30">
        <f>IF(D1079="","",IFERROR(INDEX(Config!$B$12:$B$15,MATCH(IF(AND(D1079="Cartão de crédito",N(E1079)&gt;1),"Cartão de crédito parcelado",D1079),Config!$A$12:$A$15,0)),0)+IF(AND(Config!$B$17="Sim",LEFT(D1079,17)="Cartão de crédito"),Config!$B$18*IFERROR(INDEX(Config!$C$12:$C$15,MATCH(IF(AND(D1079="Cartão de crédito",N(E1079)&gt;1),"Cartão de crédito parcelado",D1079),Config!$A$12:$A$15,0)),0)/30*MAX(1,N(E1079)),0))</f>
        <v/>
      </c>
      <c r="I1079" s="29">
        <f>IF(OR(D1079="",F1079=""),"",ROUND(F1079*H1079,2))</f>
        <v/>
      </c>
      <c r="J1079" s="29">
        <f>IF(I1079="","",F1079-I1079)</f>
        <v/>
      </c>
      <c r="K1079" s="29">
        <f>IF(J1079="","",J1079/MAX(1,N(E1079)))</f>
        <v/>
      </c>
      <c r="L1079" s="37">
        <f>IF(OR(D1079="",A1079=""),"",A1079+IF(AND(Config!$B$17="Sim",LEFT(D1079,17)="Cartão de crédito"),1,IFERROR(INDEX(Config!$C$12:$C$15,MATCH(IF(AND(D1079="Cartão de crédito",N(E1079)&gt;1),"Cartão de crédito parcelado",D1079),Config!$A$12:$A$15,0)),0)))</f>
        <v/>
      </c>
      <c r="M1079" s="37">
        <f>IF(L1079="","",IF(AND(Config!$B$17="Sim",LEFT(D1079,17)="Cartão de crédito"),L1079,L1079+30*(MAX(1,N(E1079))-1)))</f>
        <v/>
      </c>
      <c r="N1079" s="29">
        <f>IF(OR(L1079="",K1079=""),"",K1079*MIN(MAX(1,N(E1079)),MAX(0,INT((Config!$B$8-L1079)/30)+1)))</f>
        <v/>
      </c>
      <c r="O1079" s="29">
        <f>IF(J1079="","",J1079-N(N1079))</f>
        <v/>
      </c>
      <c r="P1079" s="27">
        <f>IF(A1079="","",MONTH(A1079))</f>
        <v/>
      </c>
      <c r="Q1079" s="27">
        <f>IF(A1079="","",YEAR(A1079))</f>
        <v/>
      </c>
      <c r="R1079" s="27">
        <f>IF(L1079="","",IF(L1079&gt;Config!$B$8,"A cair",IF(N(G1079)&gt;=MIN(MAX(1,N(E1079)),MAX(0,INT((Config!$B$8-L1079)/30)+1)),IF(N(G1079)&gt;=MAX(1,N(E1079)),"Conferido","Conferido até aqui"),"A conferir")))</f>
        <v/>
      </c>
      <c r="S1079" s="51">
        <f>IF(R1079="A conferir",(Config!$B$8-L1079)*1000+N(F1079)/1000+ROW()/100000,0)</f>
        <v>0</v>
      </c>
      <c r="T1079" s="51">
        <f>IF(R1079="A conferir",N(N1079),0)</f>
        <v>0</v>
      </c>
      <c r="U1079" s="51">
        <f>IF(L1079="",0,L1079)</f>
        <v>0</v>
      </c>
      <c r="V1079" s="51">
        <f>IF(L1079="",0,MAX(1,N(E1079)))</f>
        <v>0</v>
      </c>
      <c r="W1079" s="51">
        <f>IF(K1079="",0,K1079)</f>
        <v>0</v>
      </c>
    </row>
    <row r="1080">
      <c r="A1080" s="49" t="n"/>
      <c r="B1080" s="41" t="n"/>
      <c r="C1080" s="41" t="n"/>
      <c r="D1080" s="42" t="n"/>
      <c r="E1080" s="42" t="n"/>
      <c r="F1080" s="50" t="n"/>
      <c r="G1080" s="42" t="n"/>
      <c r="H1080" s="30">
        <f>IF(D1080="","",IFERROR(INDEX(Config!$B$12:$B$15,MATCH(IF(AND(D1080="Cartão de crédito",N(E1080)&gt;1),"Cartão de crédito parcelado",D1080),Config!$A$12:$A$15,0)),0)+IF(AND(Config!$B$17="Sim",LEFT(D1080,17)="Cartão de crédito"),Config!$B$18*IFERROR(INDEX(Config!$C$12:$C$15,MATCH(IF(AND(D1080="Cartão de crédito",N(E1080)&gt;1),"Cartão de crédito parcelado",D1080),Config!$A$12:$A$15,0)),0)/30*MAX(1,N(E1080)),0))</f>
        <v/>
      </c>
      <c r="I1080" s="29">
        <f>IF(OR(D1080="",F1080=""),"",ROUND(F1080*H1080,2))</f>
        <v/>
      </c>
      <c r="J1080" s="29">
        <f>IF(I1080="","",F1080-I1080)</f>
        <v/>
      </c>
      <c r="K1080" s="29">
        <f>IF(J1080="","",J1080/MAX(1,N(E1080)))</f>
        <v/>
      </c>
      <c r="L1080" s="37">
        <f>IF(OR(D1080="",A1080=""),"",A1080+IF(AND(Config!$B$17="Sim",LEFT(D1080,17)="Cartão de crédito"),1,IFERROR(INDEX(Config!$C$12:$C$15,MATCH(IF(AND(D1080="Cartão de crédito",N(E1080)&gt;1),"Cartão de crédito parcelado",D1080),Config!$A$12:$A$15,0)),0)))</f>
        <v/>
      </c>
      <c r="M1080" s="37">
        <f>IF(L1080="","",IF(AND(Config!$B$17="Sim",LEFT(D1080,17)="Cartão de crédito"),L1080,L1080+30*(MAX(1,N(E1080))-1)))</f>
        <v/>
      </c>
      <c r="N1080" s="29">
        <f>IF(OR(L1080="",K1080=""),"",K1080*MIN(MAX(1,N(E1080)),MAX(0,INT((Config!$B$8-L1080)/30)+1)))</f>
        <v/>
      </c>
      <c r="O1080" s="29">
        <f>IF(J1080="","",J1080-N(N1080))</f>
        <v/>
      </c>
      <c r="P1080" s="27">
        <f>IF(A1080="","",MONTH(A1080))</f>
        <v/>
      </c>
      <c r="Q1080" s="27">
        <f>IF(A1080="","",YEAR(A1080))</f>
        <v/>
      </c>
      <c r="R1080" s="27">
        <f>IF(L1080="","",IF(L1080&gt;Config!$B$8,"A cair",IF(N(G1080)&gt;=MIN(MAX(1,N(E1080)),MAX(0,INT((Config!$B$8-L1080)/30)+1)),IF(N(G1080)&gt;=MAX(1,N(E1080)),"Conferido","Conferido até aqui"),"A conferir")))</f>
        <v/>
      </c>
      <c r="S1080" s="51">
        <f>IF(R1080="A conferir",(Config!$B$8-L1080)*1000+N(F1080)/1000+ROW()/100000,0)</f>
        <v>0</v>
      </c>
      <c r="T1080" s="51">
        <f>IF(R1080="A conferir",N(N1080),0)</f>
        <v>0</v>
      </c>
      <c r="U1080" s="51">
        <f>IF(L1080="",0,L1080)</f>
        <v>0</v>
      </c>
      <c r="V1080" s="51">
        <f>IF(L1080="",0,MAX(1,N(E1080)))</f>
        <v>0</v>
      </c>
      <c r="W1080" s="51">
        <f>IF(K1080="",0,K1080)</f>
        <v>0</v>
      </c>
    </row>
    <row r="1081">
      <c r="A1081" s="49" t="n"/>
      <c r="B1081" s="41" t="n"/>
      <c r="C1081" s="41" t="n"/>
      <c r="D1081" s="42" t="n"/>
      <c r="E1081" s="42" t="n"/>
      <c r="F1081" s="50" t="n"/>
      <c r="G1081" s="42" t="n"/>
      <c r="H1081" s="30">
        <f>IF(D1081="","",IFERROR(INDEX(Config!$B$12:$B$15,MATCH(IF(AND(D1081="Cartão de crédito",N(E1081)&gt;1),"Cartão de crédito parcelado",D1081),Config!$A$12:$A$15,0)),0)+IF(AND(Config!$B$17="Sim",LEFT(D1081,17)="Cartão de crédito"),Config!$B$18*IFERROR(INDEX(Config!$C$12:$C$15,MATCH(IF(AND(D1081="Cartão de crédito",N(E1081)&gt;1),"Cartão de crédito parcelado",D1081),Config!$A$12:$A$15,0)),0)/30*MAX(1,N(E1081)),0))</f>
        <v/>
      </c>
      <c r="I1081" s="29">
        <f>IF(OR(D1081="",F1081=""),"",ROUND(F1081*H1081,2))</f>
        <v/>
      </c>
      <c r="J1081" s="29">
        <f>IF(I1081="","",F1081-I1081)</f>
        <v/>
      </c>
      <c r="K1081" s="29">
        <f>IF(J1081="","",J1081/MAX(1,N(E1081)))</f>
        <v/>
      </c>
      <c r="L1081" s="37">
        <f>IF(OR(D1081="",A1081=""),"",A1081+IF(AND(Config!$B$17="Sim",LEFT(D1081,17)="Cartão de crédito"),1,IFERROR(INDEX(Config!$C$12:$C$15,MATCH(IF(AND(D1081="Cartão de crédito",N(E1081)&gt;1),"Cartão de crédito parcelado",D1081),Config!$A$12:$A$15,0)),0)))</f>
        <v/>
      </c>
      <c r="M1081" s="37">
        <f>IF(L1081="","",IF(AND(Config!$B$17="Sim",LEFT(D1081,17)="Cartão de crédito"),L1081,L1081+30*(MAX(1,N(E1081))-1)))</f>
        <v/>
      </c>
      <c r="N1081" s="29">
        <f>IF(OR(L1081="",K1081=""),"",K1081*MIN(MAX(1,N(E1081)),MAX(0,INT((Config!$B$8-L1081)/30)+1)))</f>
        <v/>
      </c>
      <c r="O1081" s="29">
        <f>IF(J1081="","",J1081-N(N1081))</f>
        <v/>
      </c>
      <c r="P1081" s="27">
        <f>IF(A1081="","",MONTH(A1081))</f>
        <v/>
      </c>
      <c r="Q1081" s="27">
        <f>IF(A1081="","",YEAR(A1081))</f>
        <v/>
      </c>
      <c r="R1081" s="27">
        <f>IF(L1081="","",IF(L1081&gt;Config!$B$8,"A cair",IF(N(G1081)&gt;=MIN(MAX(1,N(E1081)),MAX(0,INT((Config!$B$8-L1081)/30)+1)),IF(N(G1081)&gt;=MAX(1,N(E1081)),"Conferido","Conferido até aqui"),"A conferir")))</f>
        <v/>
      </c>
      <c r="S1081" s="51">
        <f>IF(R1081="A conferir",(Config!$B$8-L1081)*1000+N(F1081)/1000+ROW()/100000,0)</f>
        <v>0</v>
      </c>
      <c r="T1081" s="51">
        <f>IF(R1081="A conferir",N(N1081),0)</f>
        <v>0</v>
      </c>
      <c r="U1081" s="51">
        <f>IF(L1081="",0,L1081)</f>
        <v>0</v>
      </c>
      <c r="V1081" s="51">
        <f>IF(L1081="",0,MAX(1,N(E1081)))</f>
        <v>0</v>
      </c>
      <c r="W1081" s="51">
        <f>IF(K1081="",0,K1081)</f>
        <v>0</v>
      </c>
    </row>
    <row r="1082">
      <c r="A1082" s="49" t="n"/>
      <c r="B1082" s="41" t="n"/>
      <c r="C1082" s="41" t="n"/>
      <c r="D1082" s="42" t="n"/>
      <c r="E1082" s="42" t="n"/>
      <c r="F1082" s="50" t="n"/>
      <c r="G1082" s="42" t="n"/>
      <c r="H1082" s="30">
        <f>IF(D1082="","",IFERROR(INDEX(Config!$B$12:$B$15,MATCH(IF(AND(D1082="Cartão de crédito",N(E1082)&gt;1),"Cartão de crédito parcelado",D1082),Config!$A$12:$A$15,0)),0)+IF(AND(Config!$B$17="Sim",LEFT(D1082,17)="Cartão de crédito"),Config!$B$18*IFERROR(INDEX(Config!$C$12:$C$15,MATCH(IF(AND(D1082="Cartão de crédito",N(E1082)&gt;1),"Cartão de crédito parcelado",D1082),Config!$A$12:$A$15,0)),0)/30*MAX(1,N(E1082)),0))</f>
        <v/>
      </c>
      <c r="I1082" s="29">
        <f>IF(OR(D1082="",F1082=""),"",ROUND(F1082*H1082,2))</f>
        <v/>
      </c>
      <c r="J1082" s="29">
        <f>IF(I1082="","",F1082-I1082)</f>
        <v/>
      </c>
      <c r="K1082" s="29">
        <f>IF(J1082="","",J1082/MAX(1,N(E1082)))</f>
        <v/>
      </c>
      <c r="L1082" s="37">
        <f>IF(OR(D1082="",A1082=""),"",A1082+IF(AND(Config!$B$17="Sim",LEFT(D1082,17)="Cartão de crédito"),1,IFERROR(INDEX(Config!$C$12:$C$15,MATCH(IF(AND(D1082="Cartão de crédito",N(E1082)&gt;1),"Cartão de crédito parcelado",D1082),Config!$A$12:$A$15,0)),0)))</f>
        <v/>
      </c>
      <c r="M1082" s="37">
        <f>IF(L1082="","",IF(AND(Config!$B$17="Sim",LEFT(D1082,17)="Cartão de crédito"),L1082,L1082+30*(MAX(1,N(E1082))-1)))</f>
        <v/>
      </c>
      <c r="N1082" s="29">
        <f>IF(OR(L1082="",K1082=""),"",K1082*MIN(MAX(1,N(E1082)),MAX(0,INT((Config!$B$8-L1082)/30)+1)))</f>
        <v/>
      </c>
      <c r="O1082" s="29">
        <f>IF(J1082="","",J1082-N(N1082))</f>
        <v/>
      </c>
      <c r="P1082" s="27">
        <f>IF(A1082="","",MONTH(A1082))</f>
        <v/>
      </c>
      <c r="Q1082" s="27">
        <f>IF(A1082="","",YEAR(A1082))</f>
        <v/>
      </c>
      <c r="R1082" s="27">
        <f>IF(L1082="","",IF(L1082&gt;Config!$B$8,"A cair",IF(N(G1082)&gt;=MIN(MAX(1,N(E1082)),MAX(0,INT((Config!$B$8-L1082)/30)+1)),IF(N(G1082)&gt;=MAX(1,N(E1082)),"Conferido","Conferido até aqui"),"A conferir")))</f>
        <v/>
      </c>
      <c r="S1082" s="51">
        <f>IF(R1082="A conferir",(Config!$B$8-L1082)*1000+N(F1082)/1000+ROW()/100000,0)</f>
        <v>0</v>
      </c>
      <c r="T1082" s="51">
        <f>IF(R1082="A conferir",N(N1082),0)</f>
        <v>0</v>
      </c>
      <c r="U1082" s="51">
        <f>IF(L1082="",0,L1082)</f>
        <v>0</v>
      </c>
      <c r="V1082" s="51">
        <f>IF(L1082="",0,MAX(1,N(E1082)))</f>
        <v>0</v>
      </c>
      <c r="W1082" s="51">
        <f>IF(K1082="",0,K1082)</f>
        <v>0</v>
      </c>
    </row>
    <row r="1083">
      <c r="A1083" s="49" t="n"/>
      <c r="B1083" s="41" t="n"/>
      <c r="C1083" s="41" t="n"/>
      <c r="D1083" s="42" t="n"/>
      <c r="E1083" s="42" t="n"/>
      <c r="F1083" s="50" t="n"/>
      <c r="G1083" s="42" t="n"/>
      <c r="H1083" s="30">
        <f>IF(D1083="","",IFERROR(INDEX(Config!$B$12:$B$15,MATCH(IF(AND(D1083="Cartão de crédito",N(E1083)&gt;1),"Cartão de crédito parcelado",D1083),Config!$A$12:$A$15,0)),0)+IF(AND(Config!$B$17="Sim",LEFT(D1083,17)="Cartão de crédito"),Config!$B$18*IFERROR(INDEX(Config!$C$12:$C$15,MATCH(IF(AND(D1083="Cartão de crédito",N(E1083)&gt;1),"Cartão de crédito parcelado",D1083),Config!$A$12:$A$15,0)),0)/30*MAX(1,N(E1083)),0))</f>
        <v/>
      </c>
      <c r="I1083" s="29">
        <f>IF(OR(D1083="",F1083=""),"",ROUND(F1083*H1083,2))</f>
        <v/>
      </c>
      <c r="J1083" s="29">
        <f>IF(I1083="","",F1083-I1083)</f>
        <v/>
      </c>
      <c r="K1083" s="29">
        <f>IF(J1083="","",J1083/MAX(1,N(E1083)))</f>
        <v/>
      </c>
      <c r="L1083" s="37">
        <f>IF(OR(D1083="",A1083=""),"",A1083+IF(AND(Config!$B$17="Sim",LEFT(D1083,17)="Cartão de crédito"),1,IFERROR(INDEX(Config!$C$12:$C$15,MATCH(IF(AND(D1083="Cartão de crédito",N(E1083)&gt;1),"Cartão de crédito parcelado",D1083),Config!$A$12:$A$15,0)),0)))</f>
        <v/>
      </c>
      <c r="M1083" s="37">
        <f>IF(L1083="","",IF(AND(Config!$B$17="Sim",LEFT(D1083,17)="Cartão de crédito"),L1083,L1083+30*(MAX(1,N(E1083))-1)))</f>
        <v/>
      </c>
      <c r="N1083" s="29">
        <f>IF(OR(L1083="",K1083=""),"",K1083*MIN(MAX(1,N(E1083)),MAX(0,INT((Config!$B$8-L1083)/30)+1)))</f>
        <v/>
      </c>
      <c r="O1083" s="29">
        <f>IF(J1083="","",J1083-N(N1083))</f>
        <v/>
      </c>
      <c r="P1083" s="27">
        <f>IF(A1083="","",MONTH(A1083))</f>
        <v/>
      </c>
      <c r="Q1083" s="27">
        <f>IF(A1083="","",YEAR(A1083))</f>
        <v/>
      </c>
      <c r="R1083" s="27">
        <f>IF(L1083="","",IF(L1083&gt;Config!$B$8,"A cair",IF(N(G1083)&gt;=MIN(MAX(1,N(E1083)),MAX(0,INT((Config!$B$8-L1083)/30)+1)),IF(N(G1083)&gt;=MAX(1,N(E1083)),"Conferido","Conferido até aqui"),"A conferir")))</f>
        <v/>
      </c>
      <c r="S1083" s="51">
        <f>IF(R1083="A conferir",(Config!$B$8-L1083)*1000+N(F1083)/1000+ROW()/100000,0)</f>
        <v>0</v>
      </c>
      <c r="T1083" s="51">
        <f>IF(R1083="A conferir",N(N1083),0)</f>
        <v>0</v>
      </c>
      <c r="U1083" s="51">
        <f>IF(L1083="",0,L1083)</f>
        <v>0</v>
      </c>
      <c r="V1083" s="51">
        <f>IF(L1083="",0,MAX(1,N(E1083)))</f>
        <v>0</v>
      </c>
      <c r="W1083" s="51">
        <f>IF(K1083="",0,K1083)</f>
        <v>0</v>
      </c>
    </row>
    <row r="1084">
      <c r="A1084" s="49" t="n"/>
      <c r="B1084" s="41" t="n"/>
      <c r="C1084" s="41" t="n"/>
      <c r="D1084" s="42" t="n"/>
      <c r="E1084" s="42" t="n"/>
      <c r="F1084" s="50" t="n"/>
      <c r="G1084" s="42" t="n"/>
      <c r="H1084" s="30">
        <f>IF(D1084="","",IFERROR(INDEX(Config!$B$12:$B$15,MATCH(IF(AND(D1084="Cartão de crédito",N(E1084)&gt;1),"Cartão de crédito parcelado",D1084),Config!$A$12:$A$15,0)),0)+IF(AND(Config!$B$17="Sim",LEFT(D1084,17)="Cartão de crédito"),Config!$B$18*IFERROR(INDEX(Config!$C$12:$C$15,MATCH(IF(AND(D1084="Cartão de crédito",N(E1084)&gt;1),"Cartão de crédito parcelado",D1084),Config!$A$12:$A$15,0)),0)/30*MAX(1,N(E1084)),0))</f>
        <v/>
      </c>
      <c r="I1084" s="29">
        <f>IF(OR(D1084="",F1084=""),"",ROUND(F1084*H1084,2))</f>
        <v/>
      </c>
      <c r="J1084" s="29">
        <f>IF(I1084="","",F1084-I1084)</f>
        <v/>
      </c>
      <c r="K1084" s="29">
        <f>IF(J1084="","",J1084/MAX(1,N(E1084)))</f>
        <v/>
      </c>
      <c r="L1084" s="37">
        <f>IF(OR(D1084="",A1084=""),"",A1084+IF(AND(Config!$B$17="Sim",LEFT(D1084,17)="Cartão de crédito"),1,IFERROR(INDEX(Config!$C$12:$C$15,MATCH(IF(AND(D1084="Cartão de crédito",N(E1084)&gt;1),"Cartão de crédito parcelado",D1084),Config!$A$12:$A$15,0)),0)))</f>
        <v/>
      </c>
      <c r="M1084" s="37">
        <f>IF(L1084="","",IF(AND(Config!$B$17="Sim",LEFT(D1084,17)="Cartão de crédito"),L1084,L1084+30*(MAX(1,N(E1084))-1)))</f>
        <v/>
      </c>
      <c r="N1084" s="29">
        <f>IF(OR(L1084="",K1084=""),"",K1084*MIN(MAX(1,N(E1084)),MAX(0,INT((Config!$B$8-L1084)/30)+1)))</f>
        <v/>
      </c>
      <c r="O1084" s="29">
        <f>IF(J1084="","",J1084-N(N1084))</f>
        <v/>
      </c>
      <c r="P1084" s="27">
        <f>IF(A1084="","",MONTH(A1084))</f>
        <v/>
      </c>
      <c r="Q1084" s="27">
        <f>IF(A1084="","",YEAR(A1084))</f>
        <v/>
      </c>
      <c r="R1084" s="27">
        <f>IF(L1084="","",IF(L1084&gt;Config!$B$8,"A cair",IF(N(G1084)&gt;=MIN(MAX(1,N(E1084)),MAX(0,INT((Config!$B$8-L1084)/30)+1)),IF(N(G1084)&gt;=MAX(1,N(E1084)),"Conferido","Conferido até aqui"),"A conferir")))</f>
        <v/>
      </c>
      <c r="S1084" s="51">
        <f>IF(R1084="A conferir",(Config!$B$8-L1084)*1000+N(F1084)/1000+ROW()/100000,0)</f>
        <v>0</v>
      </c>
      <c r="T1084" s="51">
        <f>IF(R1084="A conferir",N(N1084),0)</f>
        <v>0</v>
      </c>
      <c r="U1084" s="51">
        <f>IF(L1084="",0,L1084)</f>
        <v>0</v>
      </c>
      <c r="V1084" s="51">
        <f>IF(L1084="",0,MAX(1,N(E1084)))</f>
        <v>0</v>
      </c>
      <c r="W1084" s="51">
        <f>IF(K1084="",0,K1084)</f>
        <v>0</v>
      </c>
    </row>
    <row r="1085">
      <c r="A1085" s="49" t="n"/>
      <c r="B1085" s="41" t="n"/>
      <c r="C1085" s="41" t="n"/>
      <c r="D1085" s="42" t="n"/>
      <c r="E1085" s="42" t="n"/>
      <c r="F1085" s="50" t="n"/>
      <c r="G1085" s="42" t="n"/>
      <c r="H1085" s="30">
        <f>IF(D1085="","",IFERROR(INDEX(Config!$B$12:$B$15,MATCH(IF(AND(D1085="Cartão de crédito",N(E1085)&gt;1),"Cartão de crédito parcelado",D1085),Config!$A$12:$A$15,0)),0)+IF(AND(Config!$B$17="Sim",LEFT(D1085,17)="Cartão de crédito"),Config!$B$18*IFERROR(INDEX(Config!$C$12:$C$15,MATCH(IF(AND(D1085="Cartão de crédito",N(E1085)&gt;1),"Cartão de crédito parcelado",D1085),Config!$A$12:$A$15,0)),0)/30*MAX(1,N(E1085)),0))</f>
        <v/>
      </c>
      <c r="I1085" s="29">
        <f>IF(OR(D1085="",F1085=""),"",ROUND(F1085*H1085,2))</f>
        <v/>
      </c>
      <c r="J1085" s="29">
        <f>IF(I1085="","",F1085-I1085)</f>
        <v/>
      </c>
      <c r="K1085" s="29">
        <f>IF(J1085="","",J1085/MAX(1,N(E1085)))</f>
        <v/>
      </c>
      <c r="L1085" s="37">
        <f>IF(OR(D1085="",A1085=""),"",A1085+IF(AND(Config!$B$17="Sim",LEFT(D1085,17)="Cartão de crédito"),1,IFERROR(INDEX(Config!$C$12:$C$15,MATCH(IF(AND(D1085="Cartão de crédito",N(E1085)&gt;1),"Cartão de crédito parcelado",D1085),Config!$A$12:$A$15,0)),0)))</f>
        <v/>
      </c>
      <c r="M1085" s="37">
        <f>IF(L1085="","",IF(AND(Config!$B$17="Sim",LEFT(D1085,17)="Cartão de crédito"),L1085,L1085+30*(MAX(1,N(E1085))-1)))</f>
        <v/>
      </c>
      <c r="N1085" s="29">
        <f>IF(OR(L1085="",K1085=""),"",K1085*MIN(MAX(1,N(E1085)),MAX(0,INT((Config!$B$8-L1085)/30)+1)))</f>
        <v/>
      </c>
      <c r="O1085" s="29">
        <f>IF(J1085="","",J1085-N(N1085))</f>
        <v/>
      </c>
      <c r="P1085" s="27">
        <f>IF(A1085="","",MONTH(A1085))</f>
        <v/>
      </c>
      <c r="Q1085" s="27">
        <f>IF(A1085="","",YEAR(A1085))</f>
        <v/>
      </c>
      <c r="R1085" s="27">
        <f>IF(L1085="","",IF(L1085&gt;Config!$B$8,"A cair",IF(N(G1085)&gt;=MIN(MAX(1,N(E1085)),MAX(0,INT((Config!$B$8-L1085)/30)+1)),IF(N(G1085)&gt;=MAX(1,N(E1085)),"Conferido","Conferido até aqui"),"A conferir")))</f>
        <v/>
      </c>
      <c r="S1085" s="51">
        <f>IF(R1085="A conferir",(Config!$B$8-L1085)*1000+N(F1085)/1000+ROW()/100000,0)</f>
        <v>0</v>
      </c>
      <c r="T1085" s="51">
        <f>IF(R1085="A conferir",N(N1085),0)</f>
        <v>0</v>
      </c>
      <c r="U1085" s="51">
        <f>IF(L1085="",0,L1085)</f>
        <v>0</v>
      </c>
      <c r="V1085" s="51">
        <f>IF(L1085="",0,MAX(1,N(E1085)))</f>
        <v>0</v>
      </c>
      <c r="W1085" s="51">
        <f>IF(K1085="",0,K1085)</f>
        <v>0</v>
      </c>
    </row>
    <row r="1086">
      <c r="A1086" s="49" t="n"/>
      <c r="B1086" s="41" t="n"/>
      <c r="C1086" s="41" t="n"/>
      <c r="D1086" s="42" t="n"/>
      <c r="E1086" s="42" t="n"/>
      <c r="F1086" s="50" t="n"/>
      <c r="G1086" s="42" t="n"/>
      <c r="H1086" s="30">
        <f>IF(D1086="","",IFERROR(INDEX(Config!$B$12:$B$15,MATCH(IF(AND(D1086="Cartão de crédito",N(E1086)&gt;1),"Cartão de crédito parcelado",D1086),Config!$A$12:$A$15,0)),0)+IF(AND(Config!$B$17="Sim",LEFT(D1086,17)="Cartão de crédito"),Config!$B$18*IFERROR(INDEX(Config!$C$12:$C$15,MATCH(IF(AND(D1086="Cartão de crédito",N(E1086)&gt;1),"Cartão de crédito parcelado",D1086),Config!$A$12:$A$15,0)),0)/30*MAX(1,N(E1086)),0))</f>
        <v/>
      </c>
      <c r="I1086" s="29">
        <f>IF(OR(D1086="",F1086=""),"",ROUND(F1086*H1086,2))</f>
        <v/>
      </c>
      <c r="J1086" s="29">
        <f>IF(I1086="","",F1086-I1086)</f>
        <v/>
      </c>
      <c r="K1086" s="29">
        <f>IF(J1086="","",J1086/MAX(1,N(E1086)))</f>
        <v/>
      </c>
      <c r="L1086" s="37">
        <f>IF(OR(D1086="",A1086=""),"",A1086+IF(AND(Config!$B$17="Sim",LEFT(D1086,17)="Cartão de crédito"),1,IFERROR(INDEX(Config!$C$12:$C$15,MATCH(IF(AND(D1086="Cartão de crédito",N(E1086)&gt;1),"Cartão de crédito parcelado",D1086),Config!$A$12:$A$15,0)),0)))</f>
        <v/>
      </c>
      <c r="M1086" s="37">
        <f>IF(L1086="","",IF(AND(Config!$B$17="Sim",LEFT(D1086,17)="Cartão de crédito"),L1086,L1086+30*(MAX(1,N(E1086))-1)))</f>
        <v/>
      </c>
      <c r="N1086" s="29">
        <f>IF(OR(L1086="",K1086=""),"",K1086*MIN(MAX(1,N(E1086)),MAX(0,INT((Config!$B$8-L1086)/30)+1)))</f>
        <v/>
      </c>
      <c r="O1086" s="29">
        <f>IF(J1086="","",J1086-N(N1086))</f>
        <v/>
      </c>
      <c r="P1086" s="27">
        <f>IF(A1086="","",MONTH(A1086))</f>
        <v/>
      </c>
      <c r="Q1086" s="27">
        <f>IF(A1086="","",YEAR(A1086))</f>
        <v/>
      </c>
      <c r="R1086" s="27">
        <f>IF(L1086="","",IF(L1086&gt;Config!$B$8,"A cair",IF(N(G1086)&gt;=MIN(MAX(1,N(E1086)),MAX(0,INT((Config!$B$8-L1086)/30)+1)),IF(N(G1086)&gt;=MAX(1,N(E1086)),"Conferido","Conferido até aqui"),"A conferir")))</f>
        <v/>
      </c>
      <c r="S1086" s="51">
        <f>IF(R1086="A conferir",(Config!$B$8-L1086)*1000+N(F1086)/1000+ROW()/100000,0)</f>
        <v>0</v>
      </c>
      <c r="T1086" s="51">
        <f>IF(R1086="A conferir",N(N1086),0)</f>
        <v>0</v>
      </c>
      <c r="U1086" s="51">
        <f>IF(L1086="",0,L1086)</f>
        <v>0</v>
      </c>
      <c r="V1086" s="51">
        <f>IF(L1086="",0,MAX(1,N(E1086)))</f>
        <v>0</v>
      </c>
      <c r="W1086" s="51">
        <f>IF(K1086="",0,K1086)</f>
        <v>0</v>
      </c>
    </row>
    <row r="1087">
      <c r="A1087" s="49" t="n"/>
      <c r="B1087" s="41" t="n"/>
      <c r="C1087" s="41" t="n"/>
      <c r="D1087" s="42" t="n"/>
      <c r="E1087" s="42" t="n"/>
      <c r="F1087" s="50" t="n"/>
      <c r="G1087" s="42" t="n"/>
      <c r="H1087" s="30">
        <f>IF(D1087="","",IFERROR(INDEX(Config!$B$12:$B$15,MATCH(IF(AND(D1087="Cartão de crédito",N(E1087)&gt;1),"Cartão de crédito parcelado",D1087),Config!$A$12:$A$15,0)),0)+IF(AND(Config!$B$17="Sim",LEFT(D1087,17)="Cartão de crédito"),Config!$B$18*IFERROR(INDEX(Config!$C$12:$C$15,MATCH(IF(AND(D1087="Cartão de crédito",N(E1087)&gt;1),"Cartão de crédito parcelado",D1087),Config!$A$12:$A$15,0)),0)/30*MAX(1,N(E1087)),0))</f>
        <v/>
      </c>
      <c r="I1087" s="29">
        <f>IF(OR(D1087="",F1087=""),"",ROUND(F1087*H1087,2))</f>
        <v/>
      </c>
      <c r="J1087" s="29">
        <f>IF(I1087="","",F1087-I1087)</f>
        <v/>
      </c>
      <c r="K1087" s="29">
        <f>IF(J1087="","",J1087/MAX(1,N(E1087)))</f>
        <v/>
      </c>
      <c r="L1087" s="37">
        <f>IF(OR(D1087="",A1087=""),"",A1087+IF(AND(Config!$B$17="Sim",LEFT(D1087,17)="Cartão de crédito"),1,IFERROR(INDEX(Config!$C$12:$C$15,MATCH(IF(AND(D1087="Cartão de crédito",N(E1087)&gt;1),"Cartão de crédito parcelado",D1087),Config!$A$12:$A$15,0)),0)))</f>
        <v/>
      </c>
      <c r="M1087" s="37">
        <f>IF(L1087="","",IF(AND(Config!$B$17="Sim",LEFT(D1087,17)="Cartão de crédito"),L1087,L1087+30*(MAX(1,N(E1087))-1)))</f>
        <v/>
      </c>
      <c r="N1087" s="29">
        <f>IF(OR(L1087="",K1087=""),"",K1087*MIN(MAX(1,N(E1087)),MAX(0,INT((Config!$B$8-L1087)/30)+1)))</f>
        <v/>
      </c>
      <c r="O1087" s="29">
        <f>IF(J1087="","",J1087-N(N1087))</f>
        <v/>
      </c>
      <c r="P1087" s="27">
        <f>IF(A1087="","",MONTH(A1087))</f>
        <v/>
      </c>
      <c r="Q1087" s="27">
        <f>IF(A1087="","",YEAR(A1087))</f>
        <v/>
      </c>
      <c r="R1087" s="27">
        <f>IF(L1087="","",IF(L1087&gt;Config!$B$8,"A cair",IF(N(G1087)&gt;=MIN(MAX(1,N(E1087)),MAX(0,INT((Config!$B$8-L1087)/30)+1)),IF(N(G1087)&gt;=MAX(1,N(E1087)),"Conferido","Conferido até aqui"),"A conferir")))</f>
        <v/>
      </c>
      <c r="S1087" s="51">
        <f>IF(R1087="A conferir",(Config!$B$8-L1087)*1000+N(F1087)/1000+ROW()/100000,0)</f>
        <v>0</v>
      </c>
      <c r="T1087" s="51">
        <f>IF(R1087="A conferir",N(N1087),0)</f>
        <v>0</v>
      </c>
      <c r="U1087" s="51">
        <f>IF(L1087="",0,L1087)</f>
        <v>0</v>
      </c>
      <c r="V1087" s="51">
        <f>IF(L1087="",0,MAX(1,N(E1087)))</f>
        <v>0</v>
      </c>
      <c r="W1087" s="51">
        <f>IF(K1087="",0,K1087)</f>
        <v>0</v>
      </c>
    </row>
    <row r="1088">
      <c r="A1088" s="49" t="n"/>
      <c r="B1088" s="41" t="n"/>
      <c r="C1088" s="41" t="n"/>
      <c r="D1088" s="42" t="n"/>
      <c r="E1088" s="42" t="n"/>
      <c r="F1088" s="50" t="n"/>
      <c r="G1088" s="42" t="n"/>
      <c r="H1088" s="30">
        <f>IF(D1088="","",IFERROR(INDEX(Config!$B$12:$B$15,MATCH(IF(AND(D1088="Cartão de crédito",N(E1088)&gt;1),"Cartão de crédito parcelado",D1088),Config!$A$12:$A$15,0)),0)+IF(AND(Config!$B$17="Sim",LEFT(D1088,17)="Cartão de crédito"),Config!$B$18*IFERROR(INDEX(Config!$C$12:$C$15,MATCH(IF(AND(D1088="Cartão de crédito",N(E1088)&gt;1),"Cartão de crédito parcelado",D1088),Config!$A$12:$A$15,0)),0)/30*MAX(1,N(E1088)),0))</f>
        <v/>
      </c>
      <c r="I1088" s="29">
        <f>IF(OR(D1088="",F1088=""),"",ROUND(F1088*H1088,2))</f>
        <v/>
      </c>
      <c r="J1088" s="29">
        <f>IF(I1088="","",F1088-I1088)</f>
        <v/>
      </c>
      <c r="K1088" s="29">
        <f>IF(J1088="","",J1088/MAX(1,N(E1088)))</f>
        <v/>
      </c>
      <c r="L1088" s="37">
        <f>IF(OR(D1088="",A1088=""),"",A1088+IF(AND(Config!$B$17="Sim",LEFT(D1088,17)="Cartão de crédito"),1,IFERROR(INDEX(Config!$C$12:$C$15,MATCH(IF(AND(D1088="Cartão de crédito",N(E1088)&gt;1),"Cartão de crédito parcelado",D1088),Config!$A$12:$A$15,0)),0)))</f>
        <v/>
      </c>
      <c r="M1088" s="37">
        <f>IF(L1088="","",IF(AND(Config!$B$17="Sim",LEFT(D1088,17)="Cartão de crédito"),L1088,L1088+30*(MAX(1,N(E1088))-1)))</f>
        <v/>
      </c>
      <c r="N1088" s="29">
        <f>IF(OR(L1088="",K1088=""),"",K1088*MIN(MAX(1,N(E1088)),MAX(0,INT((Config!$B$8-L1088)/30)+1)))</f>
        <v/>
      </c>
      <c r="O1088" s="29">
        <f>IF(J1088="","",J1088-N(N1088))</f>
        <v/>
      </c>
      <c r="P1088" s="27">
        <f>IF(A1088="","",MONTH(A1088))</f>
        <v/>
      </c>
      <c r="Q1088" s="27">
        <f>IF(A1088="","",YEAR(A1088))</f>
        <v/>
      </c>
      <c r="R1088" s="27">
        <f>IF(L1088="","",IF(L1088&gt;Config!$B$8,"A cair",IF(N(G1088)&gt;=MIN(MAX(1,N(E1088)),MAX(0,INT((Config!$B$8-L1088)/30)+1)),IF(N(G1088)&gt;=MAX(1,N(E1088)),"Conferido","Conferido até aqui"),"A conferir")))</f>
        <v/>
      </c>
      <c r="S1088" s="51">
        <f>IF(R1088="A conferir",(Config!$B$8-L1088)*1000+N(F1088)/1000+ROW()/100000,0)</f>
        <v>0</v>
      </c>
      <c r="T1088" s="51">
        <f>IF(R1088="A conferir",N(N1088),0)</f>
        <v>0</v>
      </c>
      <c r="U1088" s="51">
        <f>IF(L1088="",0,L1088)</f>
        <v>0</v>
      </c>
      <c r="V1088" s="51">
        <f>IF(L1088="",0,MAX(1,N(E1088)))</f>
        <v>0</v>
      </c>
      <c r="W1088" s="51">
        <f>IF(K1088="",0,K1088)</f>
        <v>0</v>
      </c>
    </row>
    <row r="1089">
      <c r="A1089" s="49" t="n"/>
      <c r="B1089" s="41" t="n"/>
      <c r="C1089" s="41" t="n"/>
      <c r="D1089" s="42" t="n"/>
      <c r="E1089" s="42" t="n"/>
      <c r="F1089" s="50" t="n"/>
      <c r="G1089" s="42" t="n"/>
      <c r="H1089" s="30">
        <f>IF(D1089="","",IFERROR(INDEX(Config!$B$12:$B$15,MATCH(IF(AND(D1089="Cartão de crédito",N(E1089)&gt;1),"Cartão de crédito parcelado",D1089),Config!$A$12:$A$15,0)),0)+IF(AND(Config!$B$17="Sim",LEFT(D1089,17)="Cartão de crédito"),Config!$B$18*IFERROR(INDEX(Config!$C$12:$C$15,MATCH(IF(AND(D1089="Cartão de crédito",N(E1089)&gt;1),"Cartão de crédito parcelado",D1089),Config!$A$12:$A$15,0)),0)/30*MAX(1,N(E1089)),0))</f>
        <v/>
      </c>
      <c r="I1089" s="29">
        <f>IF(OR(D1089="",F1089=""),"",ROUND(F1089*H1089,2))</f>
        <v/>
      </c>
      <c r="J1089" s="29">
        <f>IF(I1089="","",F1089-I1089)</f>
        <v/>
      </c>
      <c r="K1089" s="29">
        <f>IF(J1089="","",J1089/MAX(1,N(E1089)))</f>
        <v/>
      </c>
      <c r="L1089" s="37">
        <f>IF(OR(D1089="",A1089=""),"",A1089+IF(AND(Config!$B$17="Sim",LEFT(D1089,17)="Cartão de crédito"),1,IFERROR(INDEX(Config!$C$12:$C$15,MATCH(IF(AND(D1089="Cartão de crédito",N(E1089)&gt;1),"Cartão de crédito parcelado",D1089),Config!$A$12:$A$15,0)),0)))</f>
        <v/>
      </c>
      <c r="M1089" s="37">
        <f>IF(L1089="","",IF(AND(Config!$B$17="Sim",LEFT(D1089,17)="Cartão de crédito"),L1089,L1089+30*(MAX(1,N(E1089))-1)))</f>
        <v/>
      </c>
      <c r="N1089" s="29">
        <f>IF(OR(L1089="",K1089=""),"",K1089*MIN(MAX(1,N(E1089)),MAX(0,INT((Config!$B$8-L1089)/30)+1)))</f>
        <v/>
      </c>
      <c r="O1089" s="29">
        <f>IF(J1089="","",J1089-N(N1089))</f>
        <v/>
      </c>
      <c r="P1089" s="27">
        <f>IF(A1089="","",MONTH(A1089))</f>
        <v/>
      </c>
      <c r="Q1089" s="27">
        <f>IF(A1089="","",YEAR(A1089))</f>
        <v/>
      </c>
      <c r="R1089" s="27">
        <f>IF(L1089="","",IF(L1089&gt;Config!$B$8,"A cair",IF(N(G1089)&gt;=MIN(MAX(1,N(E1089)),MAX(0,INT((Config!$B$8-L1089)/30)+1)),IF(N(G1089)&gt;=MAX(1,N(E1089)),"Conferido","Conferido até aqui"),"A conferir")))</f>
        <v/>
      </c>
      <c r="S1089" s="51">
        <f>IF(R1089="A conferir",(Config!$B$8-L1089)*1000+N(F1089)/1000+ROW()/100000,0)</f>
        <v>0</v>
      </c>
      <c r="T1089" s="51">
        <f>IF(R1089="A conferir",N(N1089),0)</f>
        <v>0</v>
      </c>
      <c r="U1089" s="51">
        <f>IF(L1089="",0,L1089)</f>
        <v>0</v>
      </c>
      <c r="V1089" s="51">
        <f>IF(L1089="",0,MAX(1,N(E1089)))</f>
        <v>0</v>
      </c>
      <c r="W1089" s="51">
        <f>IF(K1089="",0,K1089)</f>
        <v>0</v>
      </c>
    </row>
    <row r="1090">
      <c r="A1090" s="49" t="n"/>
      <c r="B1090" s="41" t="n"/>
      <c r="C1090" s="41" t="n"/>
      <c r="D1090" s="42" t="n"/>
      <c r="E1090" s="42" t="n"/>
      <c r="F1090" s="50" t="n"/>
      <c r="G1090" s="42" t="n"/>
      <c r="H1090" s="30">
        <f>IF(D1090="","",IFERROR(INDEX(Config!$B$12:$B$15,MATCH(IF(AND(D1090="Cartão de crédito",N(E1090)&gt;1),"Cartão de crédito parcelado",D1090),Config!$A$12:$A$15,0)),0)+IF(AND(Config!$B$17="Sim",LEFT(D1090,17)="Cartão de crédito"),Config!$B$18*IFERROR(INDEX(Config!$C$12:$C$15,MATCH(IF(AND(D1090="Cartão de crédito",N(E1090)&gt;1),"Cartão de crédito parcelado",D1090),Config!$A$12:$A$15,0)),0)/30*MAX(1,N(E1090)),0))</f>
        <v/>
      </c>
      <c r="I1090" s="29">
        <f>IF(OR(D1090="",F1090=""),"",ROUND(F1090*H1090,2))</f>
        <v/>
      </c>
      <c r="J1090" s="29">
        <f>IF(I1090="","",F1090-I1090)</f>
        <v/>
      </c>
      <c r="K1090" s="29">
        <f>IF(J1090="","",J1090/MAX(1,N(E1090)))</f>
        <v/>
      </c>
      <c r="L1090" s="37">
        <f>IF(OR(D1090="",A1090=""),"",A1090+IF(AND(Config!$B$17="Sim",LEFT(D1090,17)="Cartão de crédito"),1,IFERROR(INDEX(Config!$C$12:$C$15,MATCH(IF(AND(D1090="Cartão de crédito",N(E1090)&gt;1),"Cartão de crédito parcelado",D1090),Config!$A$12:$A$15,0)),0)))</f>
        <v/>
      </c>
      <c r="M1090" s="37">
        <f>IF(L1090="","",IF(AND(Config!$B$17="Sim",LEFT(D1090,17)="Cartão de crédito"),L1090,L1090+30*(MAX(1,N(E1090))-1)))</f>
        <v/>
      </c>
      <c r="N1090" s="29">
        <f>IF(OR(L1090="",K1090=""),"",K1090*MIN(MAX(1,N(E1090)),MAX(0,INT((Config!$B$8-L1090)/30)+1)))</f>
        <v/>
      </c>
      <c r="O1090" s="29">
        <f>IF(J1090="","",J1090-N(N1090))</f>
        <v/>
      </c>
      <c r="P1090" s="27">
        <f>IF(A1090="","",MONTH(A1090))</f>
        <v/>
      </c>
      <c r="Q1090" s="27">
        <f>IF(A1090="","",YEAR(A1090))</f>
        <v/>
      </c>
      <c r="R1090" s="27">
        <f>IF(L1090="","",IF(L1090&gt;Config!$B$8,"A cair",IF(N(G1090)&gt;=MIN(MAX(1,N(E1090)),MAX(0,INT((Config!$B$8-L1090)/30)+1)),IF(N(G1090)&gt;=MAX(1,N(E1090)),"Conferido","Conferido até aqui"),"A conferir")))</f>
        <v/>
      </c>
      <c r="S1090" s="51">
        <f>IF(R1090="A conferir",(Config!$B$8-L1090)*1000+N(F1090)/1000+ROW()/100000,0)</f>
        <v>0</v>
      </c>
      <c r="T1090" s="51">
        <f>IF(R1090="A conferir",N(N1090),0)</f>
        <v>0</v>
      </c>
      <c r="U1090" s="51">
        <f>IF(L1090="",0,L1090)</f>
        <v>0</v>
      </c>
      <c r="V1090" s="51">
        <f>IF(L1090="",0,MAX(1,N(E1090)))</f>
        <v>0</v>
      </c>
      <c r="W1090" s="51">
        <f>IF(K1090="",0,K1090)</f>
        <v>0</v>
      </c>
    </row>
    <row r="1091">
      <c r="A1091" s="49" t="n"/>
      <c r="B1091" s="41" t="n"/>
      <c r="C1091" s="41" t="n"/>
      <c r="D1091" s="42" t="n"/>
      <c r="E1091" s="42" t="n"/>
      <c r="F1091" s="50" t="n"/>
      <c r="G1091" s="42" t="n"/>
      <c r="H1091" s="30">
        <f>IF(D1091="","",IFERROR(INDEX(Config!$B$12:$B$15,MATCH(IF(AND(D1091="Cartão de crédito",N(E1091)&gt;1),"Cartão de crédito parcelado",D1091),Config!$A$12:$A$15,0)),0)+IF(AND(Config!$B$17="Sim",LEFT(D1091,17)="Cartão de crédito"),Config!$B$18*IFERROR(INDEX(Config!$C$12:$C$15,MATCH(IF(AND(D1091="Cartão de crédito",N(E1091)&gt;1),"Cartão de crédito parcelado",D1091),Config!$A$12:$A$15,0)),0)/30*MAX(1,N(E1091)),0))</f>
        <v/>
      </c>
      <c r="I1091" s="29">
        <f>IF(OR(D1091="",F1091=""),"",ROUND(F1091*H1091,2))</f>
        <v/>
      </c>
      <c r="J1091" s="29">
        <f>IF(I1091="","",F1091-I1091)</f>
        <v/>
      </c>
      <c r="K1091" s="29">
        <f>IF(J1091="","",J1091/MAX(1,N(E1091)))</f>
        <v/>
      </c>
      <c r="L1091" s="37">
        <f>IF(OR(D1091="",A1091=""),"",A1091+IF(AND(Config!$B$17="Sim",LEFT(D1091,17)="Cartão de crédito"),1,IFERROR(INDEX(Config!$C$12:$C$15,MATCH(IF(AND(D1091="Cartão de crédito",N(E1091)&gt;1),"Cartão de crédito parcelado",D1091),Config!$A$12:$A$15,0)),0)))</f>
        <v/>
      </c>
      <c r="M1091" s="37">
        <f>IF(L1091="","",IF(AND(Config!$B$17="Sim",LEFT(D1091,17)="Cartão de crédito"),L1091,L1091+30*(MAX(1,N(E1091))-1)))</f>
        <v/>
      </c>
      <c r="N1091" s="29">
        <f>IF(OR(L1091="",K1091=""),"",K1091*MIN(MAX(1,N(E1091)),MAX(0,INT((Config!$B$8-L1091)/30)+1)))</f>
        <v/>
      </c>
      <c r="O1091" s="29">
        <f>IF(J1091="","",J1091-N(N1091))</f>
        <v/>
      </c>
      <c r="P1091" s="27">
        <f>IF(A1091="","",MONTH(A1091))</f>
        <v/>
      </c>
      <c r="Q1091" s="27">
        <f>IF(A1091="","",YEAR(A1091))</f>
        <v/>
      </c>
      <c r="R1091" s="27">
        <f>IF(L1091="","",IF(L1091&gt;Config!$B$8,"A cair",IF(N(G1091)&gt;=MIN(MAX(1,N(E1091)),MAX(0,INT((Config!$B$8-L1091)/30)+1)),IF(N(G1091)&gt;=MAX(1,N(E1091)),"Conferido","Conferido até aqui"),"A conferir")))</f>
        <v/>
      </c>
      <c r="S1091" s="51">
        <f>IF(R1091="A conferir",(Config!$B$8-L1091)*1000+N(F1091)/1000+ROW()/100000,0)</f>
        <v>0</v>
      </c>
      <c r="T1091" s="51">
        <f>IF(R1091="A conferir",N(N1091),0)</f>
        <v>0</v>
      </c>
      <c r="U1091" s="51">
        <f>IF(L1091="",0,L1091)</f>
        <v>0</v>
      </c>
      <c r="V1091" s="51">
        <f>IF(L1091="",0,MAX(1,N(E1091)))</f>
        <v>0</v>
      </c>
      <c r="W1091" s="51">
        <f>IF(K1091="",0,K1091)</f>
        <v>0</v>
      </c>
    </row>
    <row r="1092">
      <c r="A1092" s="49" t="n"/>
      <c r="B1092" s="41" t="n"/>
      <c r="C1092" s="41" t="n"/>
      <c r="D1092" s="42" t="n"/>
      <c r="E1092" s="42" t="n"/>
      <c r="F1092" s="50" t="n"/>
      <c r="G1092" s="42" t="n"/>
      <c r="H1092" s="30">
        <f>IF(D1092="","",IFERROR(INDEX(Config!$B$12:$B$15,MATCH(IF(AND(D1092="Cartão de crédito",N(E1092)&gt;1),"Cartão de crédito parcelado",D1092),Config!$A$12:$A$15,0)),0)+IF(AND(Config!$B$17="Sim",LEFT(D1092,17)="Cartão de crédito"),Config!$B$18*IFERROR(INDEX(Config!$C$12:$C$15,MATCH(IF(AND(D1092="Cartão de crédito",N(E1092)&gt;1),"Cartão de crédito parcelado",D1092),Config!$A$12:$A$15,0)),0)/30*MAX(1,N(E1092)),0))</f>
        <v/>
      </c>
      <c r="I1092" s="29">
        <f>IF(OR(D1092="",F1092=""),"",ROUND(F1092*H1092,2))</f>
        <v/>
      </c>
      <c r="J1092" s="29">
        <f>IF(I1092="","",F1092-I1092)</f>
        <v/>
      </c>
      <c r="K1092" s="29">
        <f>IF(J1092="","",J1092/MAX(1,N(E1092)))</f>
        <v/>
      </c>
      <c r="L1092" s="37">
        <f>IF(OR(D1092="",A1092=""),"",A1092+IF(AND(Config!$B$17="Sim",LEFT(D1092,17)="Cartão de crédito"),1,IFERROR(INDEX(Config!$C$12:$C$15,MATCH(IF(AND(D1092="Cartão de crédito",N(E1092)&gt;1),"Cartão de crédito parcelado",D1092),Config!$A$12:$A$15,0)),0)))</f>
        <v/>
      </c>
      <c r="M1092" s="37">
        <f>IF(L1092="","",IF(AND(Config!$B$17="Sim",LEFT(D1092,17)="Cartão de crédito"),L1092,L1092+30*(MAX(1,N(E1092))-1)))</f>
        <v/>
      </c>
      <c r="N1092" s="29">
        <f>IF(OR(L1092="",K1092=""),"",K1092*MIN(MAX(1,N(E1092)),MAX(0,INT((Config!$B$8-L1092)/30)+1)))</f>
        <v/>
      </c>
      <c r="O1092" s="29">
        <f>IF(J1092="","",J1092-N(N1092))</f>
        <v/>
      </c>
      <c r="P1092" s="27">
        <f>IF(A1092="","",MONTH(A1092))</f>
        <v/>
      </c>
      <c r="Q1092" s="27">
        <f>IF(A1092="","",YEAR(A1092))</f>
        <v/>
      </c>
      <c r="R1092" s="27">
        <f>IF(L1092="","",IF(L1092&gt;Config!$B$8,"A cair",IF(N(G1092)&gt;=MIN(MAX(1,N(E1092)),MAX(0,INT((Config!$B$8-L1092)/30)+1)),IF(N(G1092)&gt;=MAX(1,N(E1092)),"Conferido","Conferido até aqui"),"A conferir")))</f>
        <v/>
      </c>
      <c r="S1092" s="51">
        <f>IF(R1092="A conferir",(Config!$B$8-L1092)*1000+N(F1092)/1000+ROW()/100000,0)</f>
        <v>0</v>
      </c>
      <c r="T1092" s="51">
        <f>IF(R1092="A conferir",N(N1092),0)</f>
        <v>0</v>
      </c>
      <c r="U1092" s="51">
        <f>IF(L1092="",0,L1092)</f>
        <v>0</v>
      </c>
      <c r="V1092" s="51">
        <f>IF(L1092="",0,MAX(1,N(E1092)))</f>
        <v>0</v>
      </c>
      <c r="W1092" s="51">
        <f>IF(K1092="",0,K1092)</f>
        <v>0</v>
      </c>
    </row>
    <row r="1093">
      <c r="A1093" s="49" t="n"/>
      <c r="B1093" s="41" t="n"/>
      <c r="C1093" s="41" t="n"/>
      <c r="D1093" s="42" t="n"/>
      <c r="E1093" s="42" t="n"/>
      <c r="F1093" s="50" t="n"/>
      <c r="G1093" s="42" t="n"/>
      <c r="H1093" s="30">
        <f>IF(D1093="","",IFERROR(INDEX(Config!$B$12:$B$15,MATCH(IF(AND(D1093="Cartão de crédito",N(E1093)&gt;1),"Cartão de crédito parcelado",D1093),Config!$A$12:$A$15,0)),0)+IF(AND(Config!$B$17="Sim",LEFT(D1093,17)="Cartão de crédito"),Config!$B$18*IFERROR(INDEX(Config!$C$12:$C$15,MATCH(IF(AND(D1093="Cartão de crédito",N(E1093)&gt;1),"Cartão de crédito parcelado",D1093),Config!$A$12:$A$15,0)),0)/30*MAX(1,N(E1093)),0))</f>
        <v/>
      </c>
      <c r="I1093" s="29">
        <f>IF(OR(D1093="",F1093=""),"",ROUND(F1093*H1093,2))</f>
        <v/>
      </c>
      <c r="J1093" s="29">
        <f>IF(I1093="","",F1093-I1093)</f>
        <v/>
      </c>
      <c r="K1093" s="29">
        <f>IF(J1093="","",J1093/MAX(1,N(E1093)))</f>
        <v/>
      </c>
      <c r="L1093" s="37">
        <f>IF(OR(D1093="",A1093=""),"",A1093+IF(AND(Config!$B$17="Sim",LEFT(D1093,17)="Cartão de crédito"),1,IFERROR(INDEX(Config!$C$12:$C$15,MATCH(IF(AND(D1093="Cartão de crédito",N(E1093)&gt;1),"Cartão de crédito parcelado",D1093),Config!$A$12:$A$15,0)),0)))</f>
        <v/>
      </c>
      <c r="M1093" s="37">
        <f>IF(L1093="","",IF(AND(Config!$B$17="Sim",LEFT(D1093,17)="Cartão de crédito"),L1093,L1093+30*(MAX(1,N(E1093))-1)))</f>
        <v/>
      </c>
      <c r="N1093" s="29">
        <f>IF(OR(L1093="",K1093=""),"",K1093*MIN(MAX(1,N(E1093)),MAX(0,INT((Config!$B$8-L1093)/30)+1)))</f>
        <v/>
      </c>
      <c r="O1093" s="29">
        <f>IF(J1093="","",J1093-N(N1093))</f>
        <v/>
      </c>
      <c r="P1093" s="27">
        <f>IF(A1093="","",MONTH(A1093))</f>
        <v/>
      </c>
      <c r="Q1093" s="27">
        <f>IF(A1093="","",YEAR(A1093))</f>
        <v/>
      </c>
      <c r="R1093" s="27">
        <f>IF(L1093="","",IF(L1093&gt;Config!$B$8,"A cair",IF(N(G1093)&gt;=MIN(MAX(1,N(E1093)),MAX(0,INT((Config!$B$8-L1093)/30)+1)),IF(N(G1093)&gt;=MAX(1,N(E1093)),"Conferido","Conferido até aqui"),"A conferir")))</f>
        <v/>
      </c>
      <c r="S1093" s="51">
        <f>IF(R1093="A conferir",(Config!$B$8-L1093)*1000+N(F1093)/1000+ROW()/100000,0)</f>
        <v>0</v>
      </c>
      <c r="T1093" s="51">
        <f>IF(R1093="A conferir",N(N1093),0)</f>
        <v>0</v>
      </c>
      <c r="U1093" s="51">
        <f>IF(L1093="",0,L1093)</f>
        <v>0</v>
      </c>
      <c r="V1093" s="51">
        <f>IF(L1093="",0,MAX(1,N(E1093)))</f>
        <v>0</v>
      </c>
      <c r="W1093" s="51">
        <f>IF(K1093="",0,K1093)</f>
        <v>0</v>
      </c>
    </row>
    <row r="1094">
      <c r="A1094" s="49" t="n"/>
      <c r="B1094" s="41" t="n"/>
      <c r="C1094" s="41" t="n"/>
      <c r="D1094" s="42" t="n"/>
      <c r="E1094" s="42" t="n"/>
      <c r="F1094" s="50" t="n"/>
      <c r="G1094" s="42" t="n"/>
      <c r="H1094" s="30">
        <f>IF(D1094="","",IFERROR(INDEX(Config!$B$12:$B$15,MATCH(IF(AND(D1094="Cartão de crédito",N(E1094)&gt;1),"Cartão de crédito parcelado",D1094),Config!$A$12:$A$15,0)),0)+IF(AND(Config!$B$17="Sim",LEFT(D1094,17)="Cartão de crédito"),Config!$B$18*IFERROR(INDEX(Config!$C$12:$C$15,MATCH(IF(AND(D1094="Cartão de crédito",N(E1094)&gt;1),"Cartão de crédito parcelado",D1094),Config!$A$12:$A$15,0)),0)/30*MAX(1,N(E1094)),0))</f>
        <v/>
      </c>
      <c r="I1094" s="29">
        <f>IF(OR(D1094="",F1094=""),"",ROUND(F1094*H1094,2))</f>
        <v/>
      </c>
      <c r="J1094" s="29">
        <f>IF(I1094="","",F1094-I1094)</f>
        <v/>
      </c>
      <c r="K1094" s="29">
        <f>IF(J1094="","",J1094/MAX(1,N(E1094)))</f>
        <v/>
      </c>
      <c r="L1094" s="37">
        <f>IF(OR(D1094="",A1094=""),"",A1094+IF(AND(Config!$B$17="Sim",LEFT(D1094,17)="Cartão de crédito"),1,IFERROR(INDEX(Config!$C$12:$C$15,MATCH(IF(AND(D1094="Cartão de crédito",N(E1094)&gt;1),"Cartão de crédito parcelado",D1094),Config!$A$12:$A$15,0)),0)))</f>
        <v/>
      </c>
      <c r="M1094" s="37">
        <f>IF(L1094="","",IF(AND(Config!$B$17="Sim",LEFT(D1094,17)="Cartão de crédito"),L1094,L1094+30*(MAX(1,N(E1094))-1)))</f>
        <v/>
      </c>
      <c r="N1094" s="29">
        <f>IF(OR(L1094="",K1094=""),"",K1094*MIN(MAX(1,N(E1094)),MAX(0,INT((Config!$B$8-L1094)/30)+1)))</f>
        <v/>
      </c>
      <c r="O1094" s="29">
        <f>IF(J1094="","",J1094-N(N1094))</f>
        <v/>
      </c>
      <c r="P1094" s="27">
        <f>IF(A1094="","",MONTH(A1094))</f>
        <v/>
      </c>
      <c r="Q1094" s="27">
        <f>IF(A1094="","",YEAR(A1094))</f>
        <v/>
      </c>
      <c r="R1094" s="27">
        <f>IF(L1094="","",IF(L1094&gt;Config!$B$8,"A cair",IF(N(G1094)&gt;=MIN(MAX(1,N(E1094)),MAX(0,INT((Config!$B$8-L1094)/30)+1)),IF(N(G1094)&gt;=MAX(1,N(E1094)),"Conferido","Conferido até aqui"),"A conferir")))</f>
        <v/>
      </c>
      <c r="S1094" s="51">
        <f>IF(R1094="A conferir",(Config!$B$8-L1094)*1000+N(F1094)/1000+ROW()/100000,0)</f>
        <v>0</v>
      </c>
      <c r="T1094" s="51">
        <f>IF(R1094="A conferir",N(N1094),0)</f>
        <v>0</v>
      </c>
      <c r="U1094" s="51">
        <f>IF(L1094="",0,L1094)</f>
        <v>0</v>
      </c>
      <c r="V1094" s="51">
        <f>IF(L1094="",0,MAX(1,N(E1094)))</f>
        <v>0</v>
      </c>
      <c r="W1094" s="51">
        <f>IF(K1094="",0,K1094)</f>
        <v>0</v>
      </c>
    </row>
    <row r="1095">
      <c r="A1095" s="49" t="n"/>
      <c r="B1095" s="41" t="n"/>
      <c r="C1095" s="41" t="n"/>
      <c r="D1095" s="42" t="n"/>
      <c r="E1095" s="42" t="n"/>
      <c r="F1095" s="50" t="n"/>
      <c r="G1095" s="42" t="n"/>
      <c r="H1095" s="30">
        <f>IF(D1095="","",IFERROR(INDEX(Config!$B$12:$B$15,MATCH(IF(AND(D1095="Cartão de crédito",N(E1095)&gt;1),"Cartão de crédito parcelado",D1095),Config!$A$12:$A$15,0)),0)+IF(AND(Config!$B$17="Sim",LEFT(D1095,17)="Cartão de crédito"),Config!$B$18*IFERROR(INDEX(Config!$C$12:$C$15,MATCH(IF(AND(D1095="Cartão de crédito",N(E1095)&gt;1),"Cartão de crédito parcelado",D1095),Config!$A$12:$A$15,0)),0)/30*MAX(1,N(E1095)),0))</f>
        <v/>
      </c>
      <c r="I1095" s="29">
        <f>IF(OR(D1095="",F1095=""),"",ROUND(F1095*H1095,2))</f>
        <v/>
      </c>
      <c r="J1095" s="29">
        <f>IF(I1095="","",F1095-I1095)</f>
        <v/>
      </c>
      <c r="K1095" s="29">
        <f>IF(J1095="","",J1095/MAX(1,N(E1095)))</f>
        <v/>
      </c>
      <c r="L1095" s="37">
        <f>IF(OR(D1095="",A1095=""),"",A1095+IF(AND(Config!$B$17="Sim",LEFT(D1095,17)="Cartão de crédito"),1,IFERROR(INDEX(Config!$C$12:$C$15,MATCH(IF(AND(D1095="Cartão de crédito",N(E1095)&gt;1),"Cartão de crédito parcelado",D1095),Config!$A$12:$A$15,0)),0)))</f>
        <v/>
      </c>
      <c r="M1095" s="37">
        <f>IF(L1095="","",IF(AND(Config!$B$17="Sim",LEFT(D1095,17)="Cartão de crédito"),L1095,L1095+30*(MAX(1,N(E1095))-1)))</f>
        <v/>
      </c>
      <c r="N1095" s="29">
        <f>IF(OR(L1095="",K1095=""),"",K1095*MIN(MAX(1,N(E1095)),MAX(0,INT((Config!$B$8-L1095)/30)+1)))</f>
        <v/>
      </c>
      <c r="O1095" s="29">
        <f>IF(J1095="","",J1095-N(N1095))</f>
        <v/>
      </c>
      <c r="P1095" s="27">
        <f>IF(A1095="","",MONTH(A1095))</f>
        <v/>
      </c>
      <c r="Q1095" s="27">
        <f>IF(A1095="","",YEAR(A1095))</f>
        <v/>
      </c>
      <c r="R1095" s="27">
        <f>IF(L1095="","",IF(L1095&gt;Config!$B$8,"A cair",IF(N(G1095)&gt;=MIN(MAX(1,N(E1095)),MAX(0,INT((Config!$B$8-L1095)/30)+1)),IF(N(G1095)&gt;=MAX(1,N(E1095)),"Conferido","Conferido até aqui"),"A conferir")))</f>
        <v/>
      </c>
      <c r="S1095" s="51">
        <f>IF(R1095="A conferir",(Config!$B$8-L1095)*1000+N(F1095)/1000+ROW()/100000,0)</f>
        <v>0</v>
      </c>
      <c r="T1095" s="51">
        <f>IF(R1095="A conferir",N(N1095),0)</f>
        <v>0</v>
      </c>
      <c r="U1095" s="51">
        <f>IF(L1095="",0,L1095)</f>
        <v>0</v>
      </c>
      <c r="V1095" s="51">
        <f>IF(L1095="",0,MAX(1,N(E1095)))</f>
        <v>0</v>
      </c>
      <c r="W1095" s="51">
        <f>IF(K1095="",0,K1095)</f>
        <v>0</v>
      </c>
    </row>
    <row r="1096">
      <c r="A1096" s="49" t="n"/>
      <c r="B1096" s="41" t="n"/>
      <c r="C1096" s="41" t="n"/>
      <c r="D1096" s="42" t="n"/>
      <c r="E1096" s="42" t="n"/>
      <c r="F1096" s="50" t="n"/>
      <c r="G1096" s="42" t="n"/>
      <c r="H1096" s="30">
        <f>IF(D1096="","",IFERROR(INDEX(Config!$B$12:$B$15,MATCH(IF(AND(D1096="Cartão de crédito",N(E1096)&gt;1),"Cartão de crédito parcelado",D1096),Config!$A$12:$A$15,0)),0)+IF(AND(Config!$B$17="Sim",LEFT(D1096,17)="Cartão de crédito"),Config!$B$18*IFERROR(INDEX(Config!$C$12:$C$15,MATCH(IF(AND(D1096="Cartão de crédito",N(E1096)&gt;1),"Cartão de crédito parcelado",D1096),Config!$A$12:$A$15,0)),0)/30*MAX(1,N(E1096)),0))</f>
        <v/>
      </c>
      <c r="I1096" s="29">
        <f>IF(OR(D1096="",F1096=""),"",ROUND(F1096*H1096,2))</f>
        <v/>
      </c>
      <c r="J1096" s="29">
        <f>IF(I1096="","",F1096-I1096)</f>
        <v/>
      </c>
      <c r="K1096" s="29">
        <f>IF(J1096="","",J1096/MAX(1,N(E1096)))</f>
        <v/>
      </c>
      <c r="L1096" s="37">
        <f>IF(OR(D1096="",A1096=""),"",A1096+IF(AND(Config!$B$17="Sim",LEFT(D1096,17)="Cartão de crédito"),1,IFERROR(INDEX(Config!$C$12:$C$15,MATCH(IF(AND(D1096="Cartão de crédito",N(E1096)&gt;1),"Cartão de crédito parcelado",D1096),Config!$A$12:$A$15,0)),0)))</f>
        <v/>
      </c>
      <c r="M1096" s="37">
        <f>IF(L1096="","",IF(AND(Config!$B$17="Sim",LEFT(D1096,17)="Cartão de crédito"),L1096,L1096+30*(MAX(1,N(E1096))-1)))</f>
        <v/>
      </c>
      <c r="N1096" s="29">
        <f>IF(OR(L1096="",K1096=""),"",K1096*MIN(MAX(1,N(E1096)),MAX(0,INT((Config!$B$8-L1096)/30)+1)))</f>
        <v/>
      </c>
      <c r="O1096" s="29">
        <f>IF(J1096="","",J1096-N(N1096))</f>
        <v/>
      </c>
      <c r="P1096" s="27">
        <f>IF(A1096="","",MONTH(A1096))</f>
        <v/>
      </c>
      <c r="Q1096" s="27">
        <f>IF(A1096="","",YEAR(A1096))</f>
        <v/>
      </c>
      <c r="R1096" s="27">
        <f>IF(L1096="","",IF(L1096&gt;Config!$B$8,"A cair",IF(N(G1096)&gt;=MIN(MAX(1,N(E1096)),MAX(0,INT((Config!$B$8-L1096)/30)+1)),IF(N(G1096)&gt;=MAX(1,N(E1096)),"Conferido","Conferido até aqui"),"A conferir")))</f>
        <v/>
      </c>
      <c r="S1096" s="51">
        <f>IF(R1096="A conferir",(Config!$B$8-L1096)*1000+N(F1096)/1000+ROW()/100000,0)</f>
        <v>0</v>
      </c>
      <c r="T1096" s="51">
        <f>IF(R1096="A conferir",N(N1096),0)</f>
        <v>0</v>
      </c>
      <c r="U1096" s="51">
        <f>IF(L1096="",0,L1096)</f>
        <v>0</v>
      </c>
      <c r="V1096" s="51">
        <f>IF(L1096="",0,MAX(1,N(E1096)))</f>
        <v>0</v>
      </c>
      <c r="W1096" s="51">
        <f>IF(K1096="",0,K1096)</f>
        <v>0</v>
      </c>
    </row>
    <row r="1097">
      <c r="A1097" s="49" t="n"/>
      <c r="B1097" s="41" t="n"/>
      <c r="C1097" s="41" t="n"/>
      <c r="D1097" s="42" t="n"/>
      <c r="E1097" s="42" t="n"/>
      <c r="F1097" s="50" t="n"/>
      <c r="G1097" s="42" t="n"/>
      <c r="H1097" s="30">
        <f>IF(D1097="","",IFERROR(INDEX(Config!$B$12:$B$15,MATCH(IF(AND(D1097="Cartão de crédito",N(E1097)&gt;1),"Cartão de crédito parcelado",D1097),Config!$A$12:$A$15,0)),0)+IF(AND(Config!$B$17="Sim",LEFT(D1097,17)="Cartão de crédito"),Config!$B$18*IFERROR(INDEX(Config!$C$12:$C$15,MATCH(IF(AND(D1097="Cartão de crédito",N(E1097)&gt;1),"Cartão de crédito parcelado",D1097),Config!$A$12:$A$15,0)),0)/30*MAX(1,N(E1097)),0))</f>
        <v/>
      </c>
      <c r="I1097" s="29">
        <f>IF(OR(D1097="",F1097=""),"",ROUND(F1097*H1097,2))</f>
        <v/>
      </c>
      <c r="J1097" s="29">
        <f>IF(I1097="","",F1097-I1097)</f>
        <v/>
      </c>
      <c r="K1097" s="29">
        <f>IF(J1097="","",J1097/MAX(1,N(E1097)))</f>
        <v/>
      </c>
      <c r="L1097" s="37">
        <f>IF(OR(D1097="",A1097=""),"",A1097+IF(AND(Config!$B$17="Sim",LEFT(D1097,17)="Cartão de crédito"),1,IFERROR(INDEX(Config!$C$12:$C$15,MATCH(IF(AND(D1097="Cartão de crédito",N(E1097)&gt;1),"Cartão de crédito parcelado",D1097),Config!$A$12:$A$15,0)),0)))</f>
        <v/>
      </c>
      <c r="M1097" s="37">
        <f>IF(L1097="","",IF(AND(Config!$B$17="Sim",LEFT(D1097,17)="Cartão de crédito"),L1097,L1097+30*(MAX(1,N(E1097))-1)))</f>
        <v/>
      </c>
      <c r="N1097" s="29">
        <f>IF(OR(L1097="",K1097=""),"",K1097*MIN(MAX(1,N(E1097)),MAX(0,INT((Config!$B$8-L1097)/30)+1)))</f>
        <v/>
      </c>
      <c r="O1097" s="29">
        <f>IF(J1097="","",J1097-N(N1097))</f>
        <v/>
      </c>
      <c r="P1097" s="27">
        <f>IF(A1097="","",MONTH(A1097))</f>
        <v/>
      </c>
      <c r="Q1097" s="27">
        <f>IF(A1097="","",YEAR(A1097))</f>
        <v/>
      </c>
      <c r="R1097" s="27">
        <f>IF(L1097="","",IF(L1097&gt;Config!$B$8,"A cair",IF(N(G1097)&gt;=MIN(MAX(1,N(E1097)),MAX(0,INT((Config!$B$8-L1097)/30)+1)),IF(N(G1097)&gt;=MAX(1,N(E1097)),"Conferido","Conferido até aqui"),"A conferir")))</f>
        <v/>
      </c>
      <c r="S1097" s="51">
        <f>IF(R1097="A conferir",(Config!$B$8-L1097)*1000+N(F1097)/1000+ROW()/100000,0)</f>
        <v>0</v>
      </c>
      <c r="T1097" s="51">
        <f>IF(R1097="A conferir",N(N1097),0)</f>
        <v>0</v>
      </c>
      <c r="U1097" s="51">
        <f>IF(L1097="",0,L1097)</f>
        <v>0</v>
      </c>
      <c r="V1097" s="51">
        <f>IF(L1097="",0,MAX(1,N(E1097)))</f>
        <v>0</v>
      </c>
      <c r="W1097" s="51">
        <f>IF(K1097="",0,K1097)</f>
        <v>0</v>
      </c>
    </row>
    <row r="1098">
      <c r="A1098" s="49" t="n"/>
      <c r="B1098" s="41" t="n"/>
      <c r="C1098" s="41" t="n"/>
      <c r="D1098" s="42" t="n"/>
      <c r="E1098" s="42" t="n"/>
      <c r="F1098" s="50" t="n"/>
      <c r="G1098" s="42" t="n"/>
      <c r="H1098" s="30">
        <f>IF(D1098="","",IFERROR(INDEX(Config!$B$12:$B$15,MATCH(IF(AND(D1098="Cartão de crédito",N(E1098)&gt;1),"Cartão de crédito parcelado",D1098),Config!$A$12:$A$15,0)),0)+IF(AND(Config!$B$17="Sim",LEFT(D1098,17)="Cartão de crédito"),Config!$B$18*IFERROR(INDEX(Config!$C$12:$C$15,MATCH(IF(AND(D1098="Cartão de crédito",N(E1098)&gt;1),"Cartão de crédito parcelado",D1098),Config!$A$12:$A$15,0)),0)/30*MAX(1,N(E1098)),0))</f>
        <v/>
      </c>
      <c r="I1098" s="29">
        <f>IF(OR(D1098="",F1098=""),"",ROUND(F1098*H1098,2))</f>
        <v/>
      </c>
      <c r="J1098" s="29">
        <f>IF(I1098="","",F1098-I1098)</f>
        <v/>
      </c>
      <c r="K1098" s="29">
        <f>IF(J1098="","",J1098/MAX(1,N(E1098)))</f>
        <v/>
      </c>
      <c r="L1098" s="37">
        <f>IF(OR(D1098="",A1098=""),"",A1098+IF(AND(Config!$B$17="Sim",LEFT(D1098,17)="Cartão de crédito"),1,IFERROR(INDEX(Config!$C$12:$C$15,MATCH(IF(AND(D1098="Cartão de crédito",N(E1098)&gt;1),"Cartão de crédito parcelado",D1098),Config!$A$12:$A$15,0)),0)))</f>
        <v/>
      </c>
      <c r="M1098" s="37">
        <f>IF(L1098="","",IF(AND(Config!$B$17="Sim",LEFT(D1098,17)="Cartão de crédito"),L1098,L1098+30*(MAX(1,N(E1098))-1)))</f>
        <v/>
      </c>
      <c r="N1098" s="29">
        <f>IF(OR(L1098="",K1098=""),"",K1098*MIN(MAX(1,N(E1098)),MAX(0,INT((Config!$B$8-L1098)/30)+1)))</f>
        <v/>
      </c>
      <c r="O1098" s="29">
        <f>IF(J1098="","",J1098-N(N1098))</f>
        <v/>
      </c>
      <c r="P1098" s="27">
        <f>IF(A1098="","",MONTH(A1098))</f>
        <v/>
      </c>
      <c r="Q1098" s="27">
        <f>IF(A1098="","",YEAR(A1098))</f>
        <v/>
      </c>
      <c r="R1098" s="27">
        <f>IF(L1098="","",IF(L1098&gt;Config!$B$8,"A cair",IF(N(G1098)&gt;=MIN(MAX(1,N(E1098)),MAX(0,INT((Config!$B$8-L1098)/30)+1)),IF(N(G1098)&gt;=MAX(1,N(E1098)),"Conferido","Conferido até aqui"),"A conferir")))</f>
        <v/>
      </c>
      <c r="S1098" s="51">
        <f>IF(R1098="A conferir",(Config!$B$8-L1098)*1000+N(F1098)/1000+ROW()/100000,0)</f>
        <v>0</v>
      </c>
      <c r="T1098" s="51">
        <f>IF(R1098="A conferir",N(N1098),0)</f>
        <v>0</v>
      </c>
      <c r="U1098" s="51">
        <f>IF(L1098="",0,L1098)</f>
        <v>0</v>
      </c>
      <c r="V1098" s="51">
        <f>IF(L1098="",0,MAX(1,N(E1098)))</f>
        <v>0</v>
      </c>
      <c r="W1098" s="51">
        <f>IF(K1098="",0,K1098)</f>
        <v>0</v>
      </c>
    </row>
    <row r="1099">
      <c r="A1099" s="49" t="n"/>
      <c r="B1099" s="41" t="n"/>
      <c r="C1099" s="41" t="n"/>
      <c r="D1099" s="42" t="n"/>
      <c r="E1099" s="42" t="n"/>
      <c r="F1099" s="50" t="n"/>
      <c r="G1099" s="42" t="n"/>
      <c r="H1099" s="30">
        <f>IF(D1099="","",IFERROR(INDEX(Config!$B$12:$B$15,MATCH(IF(AND(D1099="Cartão de crédito",N(E1099)&gt;1),"Cartão de crédito parcelado",D1099),Config!$A$12:$A$15,0)),0)+IF(AND(Config!$B$17="Sim",LEFT(D1099,17)="Cartão de crédito"),Config!$B$18*IFERROR(INDEX(Config!$C$12:$C$15,MATCH(IF(AND(D1099="Cartão de crédito",N(E1099)&gt;1),"Cartão de crédito parcelado",D1099),Config!$A$12:$A$15,0)),0)/30*MAX(1,N(E1099)),0))</f>
        <v/>
      </c>
      <c r="I1099" s="29">
        <f>IF(OR(D1099="",F1099=""),"",ROUND(F1099*H1099,2))</f>
        <v/>
      </c>
      <c r="J1099" s="29">
        <f>IF(I1099="","",F1099-I1099)</f>
        <v/>
      </c>
      <c r="K1099" s="29">
        <f>IF(J1099="","",J1099/MAX(1,N(E1099)))</f>
        <v/>
      </c>
      <c r="L1099" s="37">
        <f>IF(OR(D1099="",A1099=""),"",A1099+IF(AND(Config!$B$17="Sim",LEFT(D1099,17)="Cartão de crédito"),1,IFERROR(INDEX(Config!$C$12:$C$15,MATCH(IF(AND(D1099="Cartão de crédito",N(E1099)&gt;1),"Cartão de crédito parcelado",D1099),Config!$A$12:$A$15,0)),0)))</f>
        <v/>
      </c>
      <c r="M1099" s="37">
        <f>IF(L1099="","",IF(AND(Config!$B$17="Sim",LEFT(D1099,17)="Cartão de crédito"),L1099,L1099+30*(MAX(1,N(E1099))-1)))</f>
        <v/>
      </c>
      <c r="N1099" s="29">
        <f>IF(OR(L1099="",K1099=""),"",K1099*MIN(MAX(1,N(E1099)),MAX(0,INT((Config!$B$8-L1099)/30)+1)))</f>
        <v/>
      </c>
      <c r="O1099" s="29">
        <f>IF(J1099="","",J1099-N(N1099))</f>
        <v/>
      </c>
      <c r="P1099" s="27">
        <f>IF(A1099="","",MONTH(A1099))</f>
        <v/>
      </c>
      <c r="Q1099" s="27">
        <f>IF(A1099="","",YEAR(A1099))</f>
        <v/>
      </c>
      <c r="R1099" s="27">
        <f>IF(L1099="","",IF(L1099&gt;Config!$B$8,"A cair",IF(N(G1099)&gt;=MIN(MAX(1,N(E1099)),MAX(0,INT((Config!$B$8-L1099)/30)+1)),IF(N(G1099)&gt;=MAX(1,N(E1099)),"Conferido","Conferido até aqui"),"A conferir")))</f>
        <v/>
      </c>
      <c r="S1099" s="51">
        <f>IF(R1099="A conferir",(Config!$B$8-L1099)*1000+N(F1099)/1000+ROW()/100000,0)</f>
        <v>0</v>
      </c>
      <c r="T1099" s="51">
        <f>IF(R1099="A conferir",N(N1099),0)</f>
        <v>0</v>
      </c>
      <c r="U1099" s="51">
        <f>IF(L1099="",0,L1099)</f>
        <v>0</v>
      </c>
      <c r="V1099" s="51">
        <f>IF(L1099="",0,MAX(1,N(E1099)))</f>
        <v>0</v>
      </c>
      <c r="W1099" s="51">
        <f>IF(K1099="",0,K1099)</f>
        <v>0</v>
      </c>
    </row>
    <row r="1100">
      <c r="A1100" s="49" t="n"/>
      <c r="B1100" s="41" t="n"/>
      <c r="C1100" s="41" t="n"/>
      <c r="D1100" s="42" t="n"/>
      <c r="E1100" s="42" t="n"/>
      <c r="F1100" s="50" t="n"/>
      <c r="G1100" s="42" t="n"/>
      <c r="H1100" s="30">
        <f>IF(D1100="","",IFERROR(INDEX(Config!$B$12:$B$15,MATCH(IF(AND(D1100="Cartão de crédito",N(E1100)&gt;1),"Cartão de crédito parcelado",D1100),Config!$A$12:$A$15,0)),0)+IF(AND(Config!$B$17="Sim",LEFT(D1100,17)="Cartão de crédito"),Config!$B$18*IFERROR(INDEX(Config!$C$12:$C$15,MATCH(IF(AND(D1100="Cartão de crédito",N(E1100)&gt;1),"Cartão de crédito parcelado",D1100),Config!$A$12:$A$15,0)),0)/30*MAX(1,N(E1100)),0))</f>
        <v/>
      </c>
      <c r="I1100" s="29">
        <f>IF(OR(D1100="",F1100=""),"",ROUND(F1100*H1100,2))</f>
        <v/>
      </c>
      <c r="J1100" s="29">
        <f>IF(I1100="","",F1100-I1100)</f>
        <v/>
      </c>
      <c r="K1100" s="29">
        <f>IF(J1100="","",J1100/MAX(1,N(E1100)))</f>
        <v/>
      </c>
      <c r="L1100" s="37">
        <f>IF(OR(D1100="",A1100=""),"",A1100+IF(AND(Config!$B$17="Sim",LEFT(D1100,17)="Cartão de crédito"),1,IFERROR(INDEX(Config!$C$12:$C$15,MATCH(IF(AND(D1100="Cartão de crédito",N(E1100)&gt;1),"Cartão de crédito parcelado",D1100),Config!$A$12:$A$15,0)),0)))</f>
        <v/>
      </c>
      <c r="M1100" s="37">
        <f>IF(L1100="","",IF(AND(Config!$B$17="Sim",LEFT(D1100,17)="Cartão de crédito"),L1100,L1100+30*(MAX(1,N(E1100))-1)))</f>
        <v/>
      </c>
      <c r="N1100" s="29">
        <f>IF(OR(L1100="",K1100=""),"",K1100*MIN(MAX(1,N(E1100)),MAX(0,INT((Config!$B$8-L1100)/30)+1)))</f>
        <v/>
      </c>
      <c r="O1100" s="29">
        <f>IF(J1100="","",J1100-N(N1100))</f>
        <v/>
      </c>
      <c r="P1100" s="27">
        <f>IF(A1100="","",MONTH(A1100))</f>
        <v/>
      </c>
      <c r="Q1100" s="27">
        <f>IF(A1100="","",YEAR(A1100))</f>
        <v/>
      </c>
      <c r="R1100" s="27">
        <f>IF(L1100="","",IF(L1100&gt;Config!$B$8,"A cair",IF(N(G1100)&gt;=MIN(MAX(1,N(E1100)),MAX(0,INT((Config!$B$8-L1100)/30)+1)),IF(N(G1100)&gt;=MAX(1,N(E1100)),"Conferido","Conferido até aqui"),"A conferir")))</f>
        <v/>
      </c>
      <c r="S1100" s="51">
        <f>IF(R1100="A conferir",(Config!$B$8-L1100)*1000+N(F1100)/1000+ROW()/100000,0)</f>
        <v>0</v>
      </c>
      <c r="T1100" s="51">
        <f>IF(R1100="A conferir",N(N1100),0)</f>
        <v>0</v>
      </c>
      <c r="U1100" s="51">
        <f>IF(L1100="",0,L1100)</f>
        <v>0</v>
      </c>
      <c r="V1100" s="51">
        <f>IF(L1100="",0,MAX(1,N(E1100)))</f>
        <v>0</v>
      </c>
      <c r="W1100" s="51">
        <f>IF(K1100="",0,K1100)</f>
        <v>0</v>
      </c>
    </row>
    <row r="1101">
      <c r="A1101" s="49" t="n"/>
      <c r="B1101" s="41" t="n"/>
      <c r="C1101" s="41" t="n"/>
      <c r="D1101" s="42" t="n"/>
      <c r="E1101" s="42" t="n"/>
      <c r="F1101" s="50" t="n"/>
      <c r="G1101" s="42" t="n"/>
      <c r="H1101" s="30">
        <f>IF(D1101="","",IFERROR(INDEX(Config!$B$12:$B$15,MATCH(IF(AND(D1101="Cartão de crédito",N(E1101)&gt;1),"Cartão de crédito parcelado",D1101),Config!$A$12:$A$15,0)),0)+IF(AND(Config!$B$17="Sim",LEFT(D1101,17)="Cartão de crédito"),Config!$B$18*IFERROR(INDEX(Config!$C$12:$C$15,MATCH(IF(AND(D1101="Cartão de crédito",N(E1101)&gt;1),"Cartão de crédito parcelado",D1101),Config!$A$12:$A$15,0)),0)/30*MAX(1,N(E1101)),0))</f>
        <v/>
      </c>
      <c r="I1101" s="29">
        <f>IF(OR(D1101="",F1101=""),"",ROUND(F1101*H1101,2))</f>
        <v/>
      </c>
      <c r="J1101" s="29">
        <f>IF(I1101="","",F1101-I1101)</f>
        <v/>
      </c>
      <c r="K1101" s="29">
        <f>IF(J1101="","",J1101/MAX(1,N(E1101)))</f>
        <v/>
      </c>
      <c r="L1101" s="37">
        <f>IF(OR(D1101="",A1101=""),"",A1101+IF(AND(Config!$B$17="Sim",LEFT(D1101,17)="Cartão de crédito"),1,IFERROR(INDEX(Config!$C$12:$C$15,MATCH(IF(AND(D1101="Cartão de crédito",N(E1101)&gt;1),"Cartão de crédito parcelado",D1101),Config!$A$12:$A$15,0)),0)))</f>
        <v/>
      </c>
      <c r="M1101" s="37">
        <f>IF(L1101="","",IF(AND(Config!$B$17="Sim",LEFT(D1101,17)="Cartão de crédito"),L1101,L1101+30*(MAX(1,N(E1101))-1)))</f>
        <v/>
      </c>
      <c r="N1101" s="29">
        <f>IF(OR(L1101="",K1101=""),"",K1101*MIN(MAX(1,N(E1101)),MAX(0,INT((Config!$B$8-L1101)/30)+1)))</f>
        <v/>
      </c>
      <c r="O1101" s="29">
        <f>IF(J1101="","",J1101-N(N1101))</f>
        <v/>
      </c>
      <c r="P1101" s="27">
        <f>IF(A1101="","",MONTH(A1101))</f>
        <v/>
      </c>
      <c r="Q1101" s="27">
        <f>IF(A1101="","",YEAR(A1101))</f>
        <v/>
      </c>
      <c r="R1101" s="27">
        <f>IF(L1101="","",IF(L1101&gt;Config!$B$8,"A cair",IF(N(G1101)&gt;=MIN(MAX(1,N(E1101)),MAX(0,INT((Config!$B$8-L1101)/30)+1)),IF(N(G1101)&gt;=MAX(1,N(E1101)),"Conferido","Conferido até aqui"),"A conferir")))</f>
        <v/>
      </c>
      <c r="S1101" s="51">
        <f>IF(R1101="A conferir",(Config!$B$8-L1101)*1000+N(F1101)/1000+ROW()/100000,0)</f>
        <v>0</v>
      </c>
      <c r="T1101" s="51">
        <f>IF(R1101="A conferir",N(N1101),0)</f>
        <v>0</v>
      </c>
      <c r="U1101" s="51">
        <f>IF(L1101="",0,L1101)</f>
        <v>0</v>
      </c>
      <c r="V1101" s="51">
        <f>IF(L1101="",0,MAX(1,N(E1101)))</f>
        <v>0</v>
      </c>
      <c r="W1101" s="51">
        <f>IF(K1101="",0,K1101)</f>
        <v>0</v>
      </c>
    </row>
    <row r="1102">
      <c r="A1102" s="49" t="n"/>
      <c r="B1102" s="41" t="n"/>
      <c r="C1102" s="41" t="n"/>
      <c r="D1102" s="42" t="n"/>
      <c r="E1102" s="42" t="n"/>
      <c r="F1102" s="50" t="n"/>
      <c r="G1102" s="42" t="n"/>
      <c r="H1102" s="30">
        <f>IF(D1102="","",IFERROR(INDEX(Config!$B$12:$B$15,MATCH(IF(AND(D1102="Cartão de crédito",N(E1102)&gt;1),"Cartão de crédito parcelado",D1102),Config!$A$12:$A$15,0)),0)+IF(AND(Config!$B$17="Sim",LEFT(D1102,17)="Cartão de crédito"),Config!$B$18*IFERROR(INDEX(Config!$C$12:$C$15,MATCH(IF(AND(D1102="Cartão de crédito",N(E1102)&gt;1),"Cartão de crédito parcelado",D1102),Config!$A$12:$A$15,0)),0)/30*MAX(1,N(E1102)),0))</f>
        <v/>
      </c>
      <c r="I1102" s="29">
        <f>IF(OR(D1102="",F1102=""),"",ROUND(F1102*H1102,2))</f>
        <v/>
      </c>
      <c r="J1102" s="29">
        <f>IF(I1102="","",F1102-I1102)</f>
        <v/>
      </c>
      <c r="K1102" s="29">
        <f>IF(J1102="","",J1102/MAX(1,N(E1102)))</f>
        <v/>
      </c>
      <c r="L1102" s="37">
        <f>IF(OR(D1102="",A1102=""),"",A1102+IF(AND(Config!$B$17="Sim",LEFT(D1102,17)="Cartão de crédito"),1,IFERROR(INDEX(Config!$C$12:$C$15,MATCH(IF(AND(D1102="Cartão de crédito",N(E1102)&gt;1),"Cartão de crédito parcelado",D1102),Config!$A$12:$A$15,0)),0)))</f>
        <v/>
      </c>
      <c r="M1102" s="37">
        <f>IF(L1102="","",IF(AND(Config!$B$17="Sim",LEFT(D1102,17)="Cartão de crédito"),L1102,L1102+30*(MAX(1,N(E1102))-1)))</f>
        <v/>
      </c>
      <c r="N1102" s="29">
        <f>IF(OR(L1102="",K1102=""),"",K1102*MIN(MAX(1,N(E1102)),MAX(0,INT((Config!$B$8-L1102)/30)+1)))</f>
        <v/>
      </c>
      <c r="O1102" s="29">
        <f>IF(J1102="","",J1102-N(N1102))</f>
        <v/>
      </c>
      <c r="P1102" s="27">
        <f>IF(A1102="","",MONTH(A1102))</f>
        <v/>
      </c>
      <c r="Q1102" s="27">
        <f>IF(A1102="","",YEAR(A1102))</f>
        <v/>
      </c>
      <c r="R1102" s="27">
        <f>IF(L1102="","",IF(L1102&gt;Config!$B$8,"A cair",IF(N(G1102)&gt;=MIN(MAX(1,N(E1102)),MAX(0,INT((Config!$B$8-L1102)/30)+1)),IF(N(G1102)&gt;=MAX(1,N(E1102)),"Conferido","Conferido até aqui"),"A conferir")))</f>
        <v/>
      </c>
      <c r="S1102" s="51">
        <f>IF(R1102="A conferir",(Config!$B$8-L1102)*1000+N(F1102)/1000+ROW()/100000,0)</f>
        <v>0</v>
      </c>
      <c r="T1102" s="51">
        <f>IF(R1102="A conferir",N(N1102),0)</f>
        <v>0</v>
      </c>
      <c r="U1102" s="51">
        <f>IF(L1102="",0,L1102)</f>
        <v>0</v>
      </c>
      <c r="V1102" s="51">
        <f>IF(L1102="",0,MAX(1,N(E1102)))</f>
        <v>0</v>
      </c>
      <c r="W1102" s="51">
        <f>IF(K1102="",0,K1102)</f>
        <v>0</v>
      </c>
    </row>
    <row r="1103">
      <c r="A1103" s="49" t="n"/>
      <c r="B1103" s="41" t="n"/>
      <c r="C1103" s="41" t="n"/>
      <c r="D1103" s="42" t="n"/>
      <c r="E1103" s="42" t="n"/>
      <c r="F1103" s="50" t="n"/>
      <c r="G1103" s="42" t="n"/>
      <c r="H1103" s="30">
        <f>IF(D1103="","",IFERROR(INDEX(Config!$B$12:$B$15,MATCH(IF(AND(D1103="Cartão de crédito",N(E1103)&gt;1),"Cartão de crédito parcelado",D1103),Config!$A$12:$A$15,0)),0)+IF(AND(Config!$B$17="Sim",LEFT(D1103,17)="Cartão de crédito"),Config!$B$18*IFERROR(INDEX(Config!$C$12:$C$15,MATCH(IF(AND(D1103="Cartão de crédito",N(E1103)&gt;1),"Cartão de crédito parcelado",D1103),Config!$A$12:$A$15,0)),0)/30*MAX(1,N(E1103)),0))</f>
        <v/>
      </c>
      <c r="I1103" s="29">
        <f>IF(OR(D1103="",F1103=""),"",ROUND(F1103*H1103,2))</f>
        <v/>
      </c>
      <c r="J1103" s="29">
        <f>IF(I1103="","",F1103-I1103)</f>
        <v/>
      </c>
      <c r="K1103" s="29">
        <f>IF(J1103="","",J1103/MAX(1,N(E1103)))</f>
        <v/>
      </c>
      <c r="L1103" s="37">
        <f>IF(OR(D1103="",A1103=""),"",A1103+IF(AND(Config!$B$17="Sim",LEFT(D1103,17)="Cartão de crédito"),1,IFERROR(INDEX(Config!$C$12:$C$15,MATCH(IF(AND(D1103="Cartão de crédito",N(E1103)&gt;1),"Cartão de crédito parcelado",D1103),Config!$A$12:$A$15,0)),0)))</f>
        <v/>
      </c>
      <c r="M1103" s="37">
        <f>IF(L1103="","",IF(AND(Config!$B$17="Sim",LEFT(D1103,17)="Cartão de crédito"),L1103,L1103+30*(MAX(1,N(E1103))-1)))</f>
        <v/>
      </c>
      <c r="N1103" s="29">
        <f>IF(OR(L1103="",K1103=""),"",K1103*MIN(MAX(1,N(E1103)),MAX(0,INT((Config!$B$8-L1103)/30)+1)))</f>
        <v/>
      </c>
      <c r="O1103" s="29">
        <f>IF(J1103="","",J1103-N(N1103))</f>
        <v/>
      </c>
      <c r="P1103" s="27">
        <f>IF(A1103="","",MONTH(A1103))</f>
        <v/>
      </c>
      <c r="Q1103" s="27">
        <f>IF(A1103="","",YEAR(A1103))</f>
        <v/>
      </c>
      <c r="R1103" s="27">
        <f>IF(L1103="","",IF(L1103&gt;Config!$B$8,"A cair",IF(N(G1103)&gt;=MIN(MAX(1,N(E1103)),MAX(0,INT((Config!$B$8-L1103)/30)+1)),IF(N(G1103)&gt;=MAX(1,N(E1103)),"Conferido","Conferido até aqui"),"A conferir")))</f>
        <v/>
      </c>
      <c r="S1103" s="51">
        <f>IF(R1103="A conferir",(Config!$B$8-L1103)*1000+N(F1103)/1000+ROW()/100000,0)</f>
        <v>0</v>
      </c>
      <c r="T1103" s="51">
        <f>IF(R1103="A conferir",N(N1103),0)</f>
        <v>0</v>
      </c>
      <c r="U1103" s="51">
        <f>IF(L1103="",0,L1103)</f>
        <v>0</v>
      </c>
      <c r="V1103" s="51">
        <f>IF(L1103="",0,MAX(1,N(E1103)))</f>
        <v>0</v>
      </c>
      <c r="W1103" s="51">
        <f>IF(K1103="",0,K1103)</f>
        <v>0</v>
      </c>
    </row>
    <row r="1104">
      <c r="A1104" s="49" t="n"/>
      <c r="B1104" s="41" t="n"/>
      <c r="C1104" s="41" t="n"/>
      <c r="D1104" s="42" t="n"/>
      <c r="E1104" s="42" t="n"/>
      <c r="F1104" s="50" t="n"/>
      <c r="G1104" s="42" t="n"/>
      <c r="H1104" s="30">
        <f>IF(D1104="","",IFERROR(INDEX(Config!$B$12:$B$15,MATCH(IF(AND(D1104="Cartão de crédito",N(E1104)&gt;1),"Cartão de crédito parcelado",D1104),Config!$A$12:$A$15,0)),0)+IF(AND(Config!$B$17="Sim",LEFT(D1104,17)="Cartão de crédito"),Config!$B$18*IFERROR(INDEX(Config!$C$12:$C$15,MATCH(IF(AND(D1104="Cartão de crédito",N(E1104)&gt;1),"Cartão de crédito parcelado",D1104),Config!$A$12:$A$15,0)),0)/30*MAX(1,N(E1104)),0))</f>
        <v/>
      </c>
      <c r="I1104" s="29">
        <f>IF(OR(D1104="",F1104=""),"",ROUND(F1104*H1104,2))</f>
        <v/>
      </c>
      <c r="J1104" s="29">
        <f>IF(I1104="","",F1104-I1104)</f>
        <v/>
      </c>
      <c r="K1104" s="29">
        <f>IF(J1104="","",J1104/MAX(1,N(E1104)))</f>
        <v/>
      </c>
      <c r="L1104" s="37">
        <f>IF(OR(D1104="",A1104=""),"",A1104+IF(AND(Config!$B$17="Sim",LEFT(D1104,17)="Cartão de crédito"),1,IFERROR(INDEX(Config!$C$12:$C$15,MATCH(IF(AND(D1104="Cartão de crédito",N(E1104)&gt;1),"Cartão de crédito parcelado",D1104),Config!$A$12:$A$15,0)),0)))</f>
        <v/>
      </c>
      <c r="M1104" s="37">
        <f>IF(L1104="","",IF(AND(Config!$B$17="Sim",LEFT(D1104,17)="Cartão de crédito"),L1104,L1104+30*(MAX(1,N(E1104))-1)))</f>
        <v/>
      </c>
      <c r="N1104" s="29">
        <f>IF(OR(L1104="",K1104=""),"",K1104*MIN(MAX(1,N(E1104)),MAX(0,INT((Config!$B$8-L1104)/30)+1)))</f>
        <v/>
      </c>
      <c r="O1104" s="29">
        <f>IF(J1104="","",J1104-N(N1104))</f>
        <v/>
      </c>
      <c r="P1104" s="27">
        <f>IF(A1104="","",MONTH(A1104))</f>
        <v/>
      </c>
      <c r="Q1104" s="27">
        <f>IF(A1104="","",YEAR(A1104))</f>
        <v/>
      </c>
      <c r="R1104" s="27">
        <f>IF(L1104="","",IF(L1104&gt;Config!$B$8,"A cair",IF(N(G1104)&gt;=MIN(MAX(1,N(E1104)),MAX(0,INT((Config!$B$8-L1104)/30)+1)),IF(N(G1104)&gt;=MAX(1,N(E1104)),"Conferido","Conferido até aqui"),"A conferir")))</f>
        <v/>
      </c>
      <c r="S1104" s="51">
        <f>IF(R1104="A conferir",(Config!$B$8-L1104)*1000+N(F1104)/1000+ROW()/100000,0)</f>
        <v>0</v>
      </c>
      <c r="T1104" s="51">
        <f>IF(R1104="A conferir",N(N1104),0)</f>
        <v>0</v>
      </c>
      <c r="U1104" s="51">
        <f>IF(L1104="",0,L1104)</f>
        <v>0</v>
      </c>
      <c r="V1104" s="51">
        <f>IF(L1104="",0,MAX(1,N(E1104)))</f>
        <v>0</v>
      </c>
      <c r="W1104" s="51">
        <f>IF(K1104="",0,K1104)</f>
        <v>0</v>
      </c>
    </row>
    <row r="1105">
      <c r="A1105" s="49" t="n"/>
      <c r="B1105" s="41" t="n"/>
      <c r="C1105" s="41" t="n"/>
      <c r="D1105" s="42" t="n"/>
      <c r="E1105" s="42" t="n"/>
      <c r="F1105" s="50" t="n"/>
      <c r="G1105" s="42" t="n"/>
      <c r="H1105" s="30">
        <f>IF(D1105="","",IFERROR(INDEX(Config!$B$12:$B$15,MATCH(IF(AND(D1105="Cartão de crédito",N(E1105)&gt;1),"Cartão de crédito parcelado",D1105),Config!$A$12:$A$15,0)),0)+IF(AND(Config!$B$17="Sim",LEFT(D1105,17)="Cartão de crédito"),Config!$B$18*IFERROR(INDEX(Config!$C$12:$C$15,MATCH(IF(AND(D1105="Cartão de crédito",N(E1105)&gt;1),"Cartão de crédito parcelado",D1105),Config!$A$12:$A$15,0)),0)/30*MAX(1,N(E1105)),0))</f>
        <v/>
      </c>
      <c r="I1105" s="29">
        <f>IF(OR(D1105="",F1105=""),"",ROUND(F1105*H1105,2))</f>
        <v/>
      </c>
      <c r="J1105" s="29">
        <f>IF(I1105="","",F1105-I1105)</f>
        <v/>
      </c>
      <c r="K1105" s="29">
        <f>IF(J1105="","",J1105/MAX(1,N(E1105)))</f>
        <v/>
      </c>
      <c r="L1105" s="37">
        <f>IF(OR(D1105="",A1105=""),"",A1105+IF(AND(Config!$B$17="Sim",LEFT(D1105,17)="Cartão de crédito"),1,IFERROR(INDEX(Config!$C$12:$C$15,MATCH(IF(AND(D1105="Cartão de crédito",N(E1105)&gt;1),"Cartão de crédito parcelado",D1105),Config!$A$12:$A$15,0)),0)))</f>
        <v/>
      </c>
      <c r="M1105" s="37">
        <f>IF(L1105="","",IF(AND(Config!$B$17="Sim",LEFT(D1105,17)="Cartão de crédito"),L1105,L1105+30*(MAX(1,N(E1105))-1)))</f>
        <v/>
      </c>
      <c r="N1105" s="29">
        <f>IF(OR(L1105="",K1105=""),"",K1105*MIN(MAX(1,N(E1105)),MAX(0,INT((Config!$B$8-L1105)/30)+1)))</f>
        <v/>
      </c>
      <c r="O1105" s="29">
        <f>IF(J1105="","",J1105-N(N1105))</f>
        <v/>
      </c>
      <c r="P1105" s="27">
        <f>IF(A1105="","",MONTH(A1105))</f>
        <v/>
      </c>
      <c r="Q1105" s="27">
        <f>IF(A1105="","",YEAR(A1105))</f>
        <v/>
      </c>
      <c r="R1105" s="27">
        <f>IF(L1105="","",IF(L1105&gt;Config!$B$8,"A cair",IF(N(G1105)&gt;=MIN(MAX(1,N(E1105)),MAX(0,INT((Config!$B$8-L1105)/30)+1)),IF(N(G1105)&gt;=MAX(1,N(E1105)),"Conferido","Conferido até aqui"),"A conferir")))</f>
        <v/>
      </c>
      <c r="S1105" s="51">
        <f>IF(R1105="A conferir",(Config!$B$8-L1105)*1000+N(F1105)/1000+ROW()/100000,0)</f>
        <v>0</v>
      </c>
      <c r="T1105" s="51">
        <f>IF(R1105="A conferir",N(N1105),0)</f>
        <v>0</v>
      </c>
      <c r="U1105" s="51">
        <f>IF(L1105="",0,L1105)</f>
        <v>0</v>
      </c>
      <c r="V1105" s="51">
        <f>IF(L1105="",0,MAX(1,N(E1105)))</f>
        <v>0</v>
      </c>
      <c r="W1105" s="51">
        <f>IF(K1105="",0,K1105)</f>
        <v>0</v>
      </c>
    </row>
    <row r="1106">
      <c r="A1106" s="49" t="n"/>
      <c r="B1106" s="41" t="n"/>
      <c r="C1106" s="41" t="n"/>
      <c r="D1106" s="42" t="n"/>
      <c r="E1106" s="42" t="n"/>
      <c r="F1106" s="50" t="n"/>
      <c r="G1106" s="42" t="n"/>
      <c r="H1106" s="30">
        <f>IF(D1106="","",IFERROR(INDEX(Config!$B$12:$B$15,MATCH(IF(AND(D1106="Cartão de crédito",N(E1106)&gt;1),"Cartão de crédito parcelado",D1106),Config!$A$12:$A$15,0)),0)+IF(AND(Config!$B$17="Sim",LEFT(D1106,17)="Cartão de crédito"),Config!$B$18*IFERROR(INDEX(Config!$C$12:$C$15,MATCH(IF(AND(D1106="Cartão de crédito",N(E1106)&gt;1),"Cartão de crédito parcelado",D1106),Config!$A$12:$A$15,0)),0)/30*MAX(1,N(E1106)),0))</f>
        <v/>
      </c>
      <c r="I1106" s="29">
        <f>IF(OR(D1106="",F1106=""),"",ROUND(F1106*H1106,2))</f>
        <v/>
      </c>
      <c r="J1106" s="29">
        <f>IF(I1106="","",F1106-I1106)</f>
        <v/>
      </c>
      <c r="K1106" s="29">
        <f>IF(J1106="","",J1106/MAX(1,N(E1106)))</f>
        <v/>
      </c>
      <c r="L1106" s="37">
        <f>IF(OR(D1106="",A1106=""),"",A1106+IF(AND(Config!$B$17="Sim",LEFT(D1106,17)="Cartão de crédito"),1,IFERROR(INDEX(Config!$C$12:$C$15,MATCH(IF(AND(D1106="Cartão de crédito",N(E1106)&gt;1),"Cartão de crédito parcelado",D1106),Config!$A$12:$A$15,0)),0)))</f>
        <v/>
      </c>
      <c r="M1106" s="37">
        <f>IF(L1106="","",IF(AND(Config!$B$17="Sim",LEFT(D1106,17)="Cartão de crédito"),L1106,L1106+30*(MAX(1,N(E1106))-1)))</f>
        <v/>
      </c>
      <c r="N1106" s="29">
        <f>IF(OR(L1106="",K1106=""),"",K1106*MIN(MAX(1,N(E1106)),MAX(0,INT((Config!$B$8-L1106)/30)+1)))</f>
        <v/>
      </c>
      <c r="O1106" s="29">
        <f>IF(J1106="","",J1106-N(N1106))</f>
        <v/>
      </c>
      <c r="P1106" s="27">
        <f>IF(A1106="","",MONTH(A1106))</f>
        <v/>
      </c>
      <c r="Q1106" s="27">
        <f>IF(A1106="","",YEAR(A1106))</f>
        <v/>
      </c>
      <c r="R1106" s="27">
        <f>IF(L1106="","",IF(L1106&gt;Config!$B$8,"A cair",IF(N(G1106)&gt;=MIN(MAX(1,N(E1106)),MAX(0,INT((Config!$B$8-L1106)/30)+1)),IF(N(G1106)&gt;=MAX(1,N(E1106)),"Conferido","Conferido até aqui"),"A conferir")))</f>
        <v/>
      </c>
      <c r="S1106" s="51">
        <f>IF(R1106="A conferir",(Config!$B$8-L1106)*1000+N(F1106)/1000+ROW()/100000,0)</f>
        <v>0</v>
      </c>
      <c r="T1106" s="51">
        <f>IF(R1106="A conferir",N(N1106),0)</f>
        <v>0</v>
      </c>
      <c r="U1106" s="51">
        <f>IF(L1106="",0,L1106)</f>
        <v>0</v>
      </c>
      <c r="V1106" s="51">
        <f>IF(L1106="",0,MAX(1,N(E1106)))</f>
        <v>0</v>
      </c>
      <c r="W1106" s="51">
        <f>IF(K1106="",0,K1106)</f>
        <v>0</v>
      </c>
    </row>
    <row r="1107">
      <c r="A1107" s="49" t="n"/>
      <c r="B1107" s="41" t="n"/>
      <c r="C1107" s="41" t="n"/>
      <c r="D1107" s="42" t="n"/>
      <c r="E1107" s="42" t="n"/>
      <c r="F1107" s="50" t="n"/>
      <c r="G1107" s="42" t="n"/>
      <c r="H1107" s="30">
        <f>IF(D1107="","",IFERROR(INDEX(Config!$B$12:$B$15,MATCH(IF(AND(D1107="Cartão de crédito",N(E1107)&gt;1),"Cartão de crédito parcelado",D1107),Config!$A$12:$A$15,0)),0)+IF(AND(Config!$B$17="Sim",LEFT(D1107,17)="Cartão de crédito"),Config!$B$18*IFERROR(INDEX(Config!$C$12:$C$15,MATCH(IF(AND(D1107="Cartão de crédito",N(E1107)&gt;1),"Cartão de crédito parcelado",D1107),Config!$A$12:$A$15,0)),0)/30*MAX(1,N(E1107)),0))</f>
        <v/>
      </c>
      <c r="I1107" s="29">
        <f>IF(OR(D1107="",F1107=""),"",ROUND(F1107*H1107,2))</f>
        <v/>
      </c>
      <c r="J1107" s="29">
        <f>IF(I1107="","",F1107-I1107)</f>
        <v/>
      </c>
      <c r="K1107" s="29">
        <f>IF(J1107="","",J1107/MAX(1,N(E1107)))</f>
        <v/>
      </c>
      <c r="L1107" s="37">
        <f>IF(OR(D1107="",A1107=""),"",A1107+IF(AND(Config!$B$17="Sim",LEFT(D1107,17)="Cartão de crédito"),1,IFERROR(INDEX(Config!$C$12:$C$15,MATCH(IF(AND(D1107="Cartão de crédito",N(E1107)&gt;1),"Cartão de crédito parcelado",D1107),Config!$A$12:$A$15,0)),0)))</f>
        <v/>
      </c>
      <c r="M1107" s="37">
        <f>IF(L1107="","",IF(AND(Config!$B$17="Sim",LEFT(D1107,17)="Cartão de crédito"),L1107,L1107+30*(MAX(1,N(E1107))-1)))</f>
        <v/>
      </c>
      <c r="N1107" s="29">
        <f>IF(OR(L1107="",K1107=""),"",K1107*MIN(MAX(1,N(E1107)),MAX(0,INT((Config!$B$8-L1107)/30)+1)))</f>
        <v/>
      </c>
      <c r="O1107" s="29">
        <f>IF(J1107="","",J1107-N(N1107))</f>
        <v/>
      </c>
      <c r="P1107" s="27">
        <f>IF(A1107="","",MONTH(A1107))</f>
        <v/>
      </c>
      <c r="Q1107" s="27">
        <f>IF(A1107="","",YEAR(A1107))</f>
        <v/>
      </c>
      <c r="R1107" s="27">
        <f>IF(L1107="","",IF(L1107&gt;Config!$B$8,"A cair",IF(N(G1107)&gt;=MIN(MAX(1,N(E1107)),MAX(0,INT((Config!$B$8-L1107)/30)+1)),IF(N(G1107)&gt;=MAX(1,N(E1107)),"Conferido","Conferido até aqui"),"A conferir")))</f>
        <v/>
      </c>
      <c r="S1107" s="51">
        <f>IF(R1107="A conferir",(Config!$B$8-L1107)*1000+N(F1107)/1000+ROW()/100000,0)</f>
        <v>0</v>
      </c>
      <c r="T1107" s="51">
        <f>IF(R1107="A conferir",N(N1107),0)</f>
        <v>0</v>
      </c>
      <c r="U1107" s="51">
        <f>IF(L1107="",0,L1107)</f>
        <v>0</v>
      </c>
      <c r="V1107" s="51">
        <f>IF(L1107="",0,MAX(1,N(E1107)))</f>
        <v>0</v>
      </c>
      <c r="W1107" s="51">
        <f>IF(K1107="",0,K1107)</f>
        <v>0</v>
      </c>
    </row>
    <row r="1108">
      <c r="A1108" s="49" t="n"/>
      <c r="B1108" s="41" t="n"/>
      <c r="C1108" s="41" t="n"/>
      <c r="D1108" s="42" t="n"/>
      <c r="E1108" s="42" t="n"/>
      <c r="F1108" s="50" t="n"/>
      <c r="G1108" s="42" t="n"/>
      <c r="H1108" s="30">
        <f>IF(D1108="","",IFERROR(INDEX(Config!$B$12:$B$15,MATCH(IF(AND(D1108="Cartão de crédito",N(E1108)&gt;1),"Cartão de crédito parcelado",D1108),Config!$A$12:$A$15,0)),0)+IF(AND(Config!$B$17="Sim",LEFT(D1108,17)="Cartão de crédito"),Config!$B$18*IFERROR(INDEX(Config!$C$12:$C$15,MATCH(IF(AND(D1108="Cartão de crédito",N(E1108)&gt;1),"Cartão de crédito parcelado",D1108),Config!$A$12:$A$15,0)),0)/30*MAX(1,N(E1108)),0))</f>
        <v/>
      </c>
      <c r="I1108" s="29">
        <f>IF(OR(D1108="",F1108=""),"",ROUND(F1108*H1108,2))</f>
        <v/>
      </c>
      <c r="J1108" s="29">
        <f>IF(I1108="","",F1108-I1108)</f>
        <v/>
      </c>
      <c r="K1108" s="29">
        <f>IF(J1108="","",J1108/MAX(1,N(E1108)))</f>
        <v/>
      </c>
      <c r="L1108" s="37">
        <f>IF(OR(D1108="",A1108=""),"",A1108+IF(AND(Config!$B$17="Sim",LEFT(D1108,17)="Cartão de crédito"),1,IFERROR(INDEX(Config!$C$12:$C$15,MATCH(IF(AND(D1108="Cartão de crédito",N(E1108)&gt;1),"Cartão de crédito parcelado",D1108),Config!$A$12:$A$15,0)),0)))</f>
        <v/>
      </c>
      <c r="M1108" s="37">
        <f>IF(L1108="","",IF(AND(Config!$B$17="Sim",LEFT(D1108,17)="Cartão de crédito"),L1108,L1108+30*(MAX(1,N(E1108))-1)))</f>
        <v/>
      </c>
      <c r="N1108" s="29">
        <f>IF(OR(L1108="",K1108=""),"",K1108*MIN(MAX(1,N(E1108)),MAX(0,INT((Config!$B$8-L1108)/30)+1)))</f>
        <v/>
      </c>
      <c r="O1108" s="29">
        <f>IF(J1108="","",J1108-N(N1108))</f>
        <v/>
      </c>
      <c r="P1108" s="27">
        <f>IF(A1108="","",MONTH(A1108))</f>
        <v/>
      </c>
      <c r="Q1108" s="27">
        <f>IF(A1108="","",YEAR(A1108))</f>
        <v/>
      </c>
      <c r="R1108" s="27">
        <f>IF(L1108="","",IF(L1108&gt;Config!$B$8,"A cair",IF(N(G1108)&gt;=MIN(MAX(1,N(E1108)),MAX(0,INT((Config!$B$8-L1108)/30)+1)),IF(N(G1108)&gt;=MAX(1,N(E1108)),"Conferido","Conferido até aqui"),"A conferir")))</f>
        <v/>
      </c>
      <c r="S1108" s="51">
        <f>IF(R1108="A conferir",(Config!$B$8-L1108)*1000+N(F1108)/1000+ROW()/100000,0)</f>
        <v>0</v>
      </c>
      <c r="T1108" s="51">
        <f>IF(R1108="A conferir",N(N1108),0)</f>
        <v>0</v>
      </c>
      <c r="U1108" s="51">
        <f>IF(L1108="",0,L1108)</f>
        <v>0</v>
      </c>
      <c r="V1108" s="51">
        <f>IF(L1108="",0,MAX(1,N(E1108)))</f>
        <v>0</v>
      </c>
      <c r="W1108" s="51">
        <f>IF(K1108="",0,K1108)</f>
        <v>0</v>
      </c>
    </row>
    <row r="1109">
      <c r="A1109" s="49" t="n"/>
      <c r="B1109" s="41" t="n"/>
      <c r="C1109" s="41" t="n"/>
      <c r="D1109" s="42" t="n"/>
      <c r="E1109" s="42" t="n"/>
      <c r="F1109" s="50" t="n"/>
      <c r="G1109" s="42" t="n"/>
      <c r="H1109" s="30">
        <f>IF(D1109="","",IFERROR(INDEX(Config!$B$12:$B$15,MATCH(IF(AND(D1109="Cartão de crédito",N(E1109)&gt;1),"Cartão de crédito parcelado",D1109),Config!$A$12:$A$15,0)),0)+IF(AND(Config!$B$17="Sim",LEFT(D1109,17)="Cartão de crédito"),Config!$B$18*IFERROR(INDEX(Config!$C$12:$C$15,MATCH(IF(AND(D1109="Cartão de crédito",N(E1109)&gt;1),"Cartão de crédito parcelado",D1109),Config!$A$12:$A$15,0)),0)/30*MAX(1,N(E1109)),0))</f>
        <v/>
      </c>
      <c r="I1109" s="29">
        <f>IF(OR(D1109="",F1109=""),"",ROUND(F1109*H1109,2))</f>
        <v/>
      </c>
      <c r="J1109" s="29">
        <f>IF(I1109="","",F1109-I1109)</f>
        <v/>
      </c>
      <c r="K1109" s="29">
        <f>IF(J1109="","",J1109/MAX(1,N(E1109)))</f>
        <v/>
      </c>
      <c r="L1109" s="37">
        <f>IF(OR(D1109="",A1109=""),"",A1109+IF(AND(Config!$B$17="Sim",LEFT(D1109,17)="Cartão de crédito"),1,IFERROR(INDEX(Config!$C$12:$C$15,MATCH(IF(AND(D1109="Cartão de crédito",N(E1109)&gt;1),"Cartão de crédito parcelado",D1109),Config!$A$12:$A$15,0)),0)))</f>
        <v/>
      </c>
      <c r="M1109" s="37">
        <f>IF(L1109="","",IF(AND(Config!$B$17="Sim",LEFT(D1109,17)="Cartão de crédito"),L1109,L1109+30*(MAX(1,N(E1109))-1)))</f>
        <v/>
      </c>
      <c r="N1109" s="29">
        <f>IF(OR(L1109="",K1109=""),"",K1109*MIN(MAX(1,N(E1109)),MAX(0,INT((Config!$B$8-L1109)/30)+1)))</f>
        <v/>
      </c>
      <c r="O1109" s="29">
        <f>IF(J1109="","",J1109-N(N1109))</f>
        <v/>
      </c>
      <c r="P1109" s="27">
        <f>IF(A1109="","",MONTH(A1109))</f>
        <v/>
      </c>
      <c r="Q1109" s="27">
        <f>IF(A1109="","",YEAR(A1109))</f>
        <v/>
      </c>
      <c r="R1109" s="27">
        <f>IF(L1109="","",IF(L1109&gt;Config!$B$8,"A cair",IF(N(G1109)&gt;=MIN(MAX(1,N(E1109)),MAX(0,INT((Config!$B$8-L1109)/30)+1)),IF(N(G1109)&gt;=MAX(1,N(E1109)),"Conferido","Conferido até aqui"),"A conferir")))</f>
        <v/>
      </c>
      <c r="S1109" s="51">
        <f>IF(R1109="A conferir",(Config!$B$8-L1109)*1000+N(F1109)/1000+ROW()/100000,0)</f>
        <v>0</v>
      </c>
      <c r="T1109" s="51">
        <f>IF(R1109="A conferir",N(N1109),0)</f>
        <v>0</v>
      </c>
      <c r="U1109" s="51">
        <f>IF(L1109="",0,L1109)</f>
        <v>0</v>
      </c>
      <c r="V1109" s="51">
        <f>IF(L1109="",0,MAX(1,N(E1109)))</f>
        <v>0</v>
      </c>
      <c r="W1109" s="51">
        <f>IF(K1109="",0,K1109)</f>
        <v>0</v>
      </c>
    </row>
    <row r="1110">
      <c r="A1110" s="49" t="n"/>
      <c r="B1110" s="41" t="n"/>
      <c r="C1110" s="41" t="n"/>
      <c r="D1110" s="42" t="n"/>
      <c r="E1110" s="42" t="n"/>
      <c r="F1110" s="50" t="n"/>
      <c r="G1110" s="42" t="n"/>
      <c r="H1110" s="30">
        <f>IF(D1110="","",IFERROR(INDEX(Config!$B$12:$B$15,MATCH(IF(AND(D1110="Cartão de crédito",N(E1110)&gt;1),"Cartão de crédito parcelado",D1110),Config!$A$12:$A$15,0)),0)+IF(AND(Config!$B$17="Sim",LEFT(D1110,17)="Cartão de crédito"),Config!$B$18*IFERROR(INDEX(Config!$C$12:$C$15,MATCH(IF(AND(D1110="Cartão de crédito",N(E1110)&gt;1),"Cartão de crédito parcelado",D1110),Config!$A$12:$A$15,0)),0)/30*MAX(1,N(E1110)),0))</f>
        <v/>
      </c>
      <c r="I1110" s="29">
        <f>IF(OR(D1110="",F1110=""),"",ROUND(F1110*H1110,2))</f>
        <v/>
      </c>
      <c r="J1110" s="29">
        <f>IF(I1110="","",F1110-I1110)</f>
        <v/>
      </c>
      <c r="K1110" s="29">
        <f>IF(J1110="","",J1110/MAX(1,N(E1110)))</f>
        <v/>
      </c>
      <c r="L1110" s="37">
        <f>IF(OR(D1110="",A1110=""),"",A1110+IF(AND(Config!$B$17="Sim",LEFT(D1110,17)="Cartão de crédito"),1,IFERROR(INDEX(Config!$C$12:$C$15,MATCH(IF(AND(D1110="Cartão de crédito",N(E1110)&gt;1),"Cartão de crédito parcelado",D1110),Config!$A$12:$A$15,0)),0)))</f>
        <v/>
      </c>
      <c r="M1110" s="37">
        <f>IF(L1110="","",IF(AND(Config!$B$17="Sim",LEFT(D1110,17)="Cartão de crédito"),L1110,L1110+30*(MAX(1,N(E1110))-1)))</f>
        <v/>
      </c>
      <c r="N1110" s="29">
        <f>IF(OR(L1110="",K1110=""),"",K1110*MIN(MAX(1,N(E1110)),MAX(0,INT((Config!$B$8-L1110)/30)+1)))</f>
        <v/>
      </c>
      <c r="O1110" s="29">
        <f>IF(J1110="","",J1110-N(N1110))</f>
        <v/>
      </c>
      <c r="P1110" s="27">
        <f>IF(A1110="","",MONTH(A1110))</f>
        <v/>
      </c>
      <c r="Q1110" s="27">
        <f>IF(A1110="","",YEAR(A1110))</f>
        <v/>
      </c>
      <c r="R1110" s="27">
        <f>IF(L1110="","",IF(L1110&gt;Config!$B$8,"A cair",IF(N(G1110)&gt;=MIN(MAX(1,N(E1110)),MAX(0,INT((Config!$B$8-L1110)/30)+1)),IF(N(G1110)&gt;=MAX(1,N(E1110)),"Conferido","Conferido até aqui"),"A conferir")))</f>
        <v/>
      </c>
      <c r="S1110" s="51">
        <f>IF(R1110="A conferir",(Config!$B$8-L1110)*1000+N(F1110)/1000+ROW()/100000,0)</f>
        <v>0</v>
      </c>
      <c r="T1110" s="51">
        <f>IF(R1110="A conferir",N(N1110),0)</f>
        <v>0</v>
      </c>
      <c r="U1110" s="51">
        <f>IF(L1110="",0,L1110)</f>
        <v>0</v>
      </c>
      <c r="V1110" s="51">
        <f>IF(L1110="",0,MAX(1,N(E1110)))</f>
        <v>0</v>
      </c>
      <c r="W1110" s="51">
        <f>IF(K1110="",0,K1110)</f>
        <v>0</v>
      </c>
    </row>
    <row r="1111">
      <c r="A1111" s="49" t="n"/>
      <c r="B1111" s="41" t="n"/>
      <c r="C1111" s="41" t="n"/>
      <c r="D1111" s="42" t="n"/>
      <c r="E1111" s="42" t="n"/>
      <c r="F1111" s="50" t="n"/>
      <c r="G1111" s="42" t="n"/>
      <c r="H1111" s="30">
        <f>IF(D1111="","",IFERROR(INDEX(Config!$B$12:$B$15,MATCH(IF(AND(D1111="Cartão de crédito",N(E1111)&gt;1),"Cartão de crédito parcelado",D1111),Config!$A$12:$A$15,0)),0)+IF(AND(Config!$B$17="Sim",LEFT(D1111,17)="Cartão de crédito"),Config!$B$18*IFERROR(INDEX(Config!$C$12:$C$15,MATCH(IF(AND(D1111="Cartão de crédito",N(E1111)&gt;1),"Cartão de crédito parcelado",D1111),Config!$A$12:$A$15,0)),0)/30*MAX(1,N(E1111)),0))</f>
        <v/>
      </c>
      <c r="I1111" s="29">
        <f>IF(OR(D1111="",F1111=""),"",ROUND(F1111*H1111,2))</f>
        <v/>
      </c>
      <c r="J1111" s="29">
        <f>IF(I1111="","",F1111-I1111)</f>
        <v/>
      </c>
      <c r="K1111" s="29">
        <f>IF(J1111="","",J1111/MAX(1,N(E1111)))</f>
        <v/>
      </c>
      <c r="L1111" s="37">
        <f>IF(OR(D1111="",A1111=""),"",A1111+IF(AND(Config!$B$17="Sim",LEFT(D1111,17)="Cartão de crédito"),1,IFERROR(INDEX(Config!$C$12:$C$15,MATCH(IF(AND(D1111="Cartão de crédito",N(E1111)&gt;1),"Cartão de crédito parcelado",D1111),Config!$A$12:$A$15,0)),0)))</f>
        <v/>
      </c>
      <c r="M1111" s="37">
        <f>IF(L1111="","",IF(AND(Config!$B$17="Sim",LEFT(D1111,17)="Cartão de crédito"),L1111,L1111+30*(MAX(1,N(E1111))-1)))</f>
        <v/>
      </c>
      <c r="N1111" s="29">
        <f>IF(OR(L1111="",K1111=""),"",K1111*MIN(MAX(1,N(E1111)),MAX(0,INT((Config!$B$8-L1111)/30)+1)))</f>
        <v/>
      </c>
      <c r="O1111" s="29">
        <f>IF(J1111="","",J1111-N(N1111))</f>
        <v/>
      </c>
      <c r="P1111" s="27">
        <f>IF(A1111="","",MONTH(A1111))</f>
        <v/>
      </c>
      <c r="Q1111" s="27">
        <f>IF(A1111="","",YEAR(A1111))</f>
        <v/>
      </c>
      <c r="R1111" s="27">
        <f>IF(L1111="","",IF(L1111&gt;Config!$B$8,"A cair",IF(N(G1111)&gt;=MIN(MAX(1,N(E1111)),MAX(0,INT((Config!$B$8-L1111)/30)+1)),IF(N(G1111)&gt;=MAX(1,N(E1111)),"Conferido","Conferido até aqui"),"A conferir")))</f>
        <v/>
      </c>
      <c r="S1111" s="51">
        <f>IF(R1111="A conferir",(Config!$B$8-L1111)*1000+N(F1111)/1000+ROW()/100000,0)</f>
        <v>0</v>
      </c>
      <c r="T1111" s="51">
        <f>IF(R1111="A conferir",N(N1111),0)</f>
        <v>0</v>
      </c>
      <c r="U1111" s="51">
        <f>IF(L1111="",0,L1111)</f>
        <v>0</v>
      </c>
      <c r="V1111" s="51">
        <f>IF(L1111="",0,MAX(1,N(E1111)))</f>
        <v>0</v>
      </c>
      <c r="W1111" s="51">
        <f>IF(K1111="",0,K1111)</f>
        <v>0</v>
      </c>
    </row>
    <row r="1112">
      <c r="A1112" s="49" t="n"/>
      <c r="B1112" s="41" t="n"/>
      <c r="C1112" s="41" t="n"/>
      <c r="D1112" s="42" t="n"/>
      <c r="E1112" s="42" t="n"/>
      <c r="F1112" s="50" t="n"/>
      <c r="G1112" s="42" t="n"/>
      <c r="H1112" s="30">
        <f>IF(D1112="","",IFERROR(INDEX(Config!$B$12:$B$15,MATCH(IF(AND(D1112="Cartão de crédito",N(E1112)&gt;1),"Cartão de crédito parcelado",D1112),Config!$A$12:$A$15,0)),0)+IF(AND(Config!$B$17="Sim",LEFT(D1112,17)="Cartão de crédito"),Config!$B$18*IFERROR(INDEX(Config!$C$12:$C$15,MATCH(IF(AND(D1112="Cartão de crédito",N(E1112)&gt;1),"Cartão de crédito parcelado",D1112),Config!$A$12:$A$15,0)),0)/30*MAX(1,N(E1112)),0))</f>
        <v/>
      </c>
      <c r="I1112" s="29">
        <f>IF(OR(D1112="",F1112=""),"",ROUND(F1112*H1112,2))</f>
        <v/>
      </c>
      <c r="J1112" s="29">
        <f>IF(I1112="","",F1112-I1112)</f>
        <v/>
      </c>
      <c r="K1112" s="29">
        <f>IF(J1112="","",J1112/MAX(1,N(E1112)))</f>
        <v/>
      </c>
      <c r="L1112" s="37">
        <f>IF(OR(D1112="",A1112=""),"",A1112+IF(AND(Config!$B$17="Sim",LEFT(D1112,17)="Cartão de crédito"),1,IFERROR(INDEX(Config!$C$12:$C$15,MATCH(IF(AND(D1112="Cartão de crédito",N(E1112)&gt;1),"Cartão de crédito parcelado",D1112),Config!$A$12:$A$15,0)),0)))</f>
        <v/>
      </c>
      <c r="M1112" s="37">
        <f>IF(L1112="","",IF(AND(Config!$B$17="Sim",LEFT(D1112,17)="Cartão de crédito"),L1112,L1112+30*(MAX(1,N(E1112))-1)))</f>
        <v/>
      </c>
      <c r="N1112" s="29">
        <f>IF(OR(L1112="",K1112=""),"",K1112*MIN(MAX(1,N(E1112)),MAX(0,INT((Config!$B$8-L1112)/30)+1)))</f>
        <v/>
      </c>
      <c r="O1112" s="29">
        <f>IF(J1112="","",J1112-N(N1112))</f>
        <v/>
      </c>
      <c r="P1112" s="27">
        <f>IF(A1112="","",MONTH(A1112))</f>
        <v/>
      </c>
      <c r="Q1112" s="27">
        <f>IF(A1112="","",YEAR(A1112))</f>
        <v/>
      </c>
      <c r="R1112" s="27">
        <f>IF(L1112="","",IF(L1112&gt;Config!$B$8,"A cair",IF(N(G1112)&gt;=MIN(MAX(1,N(E1112)),MAX(0,INT((Config!$B$8-L1112)/30)+1)),IF(N(G1112)&gt;=MAX(1,N(E1112)),"Conferido","Conferido até aqui"),"A conferir")))</f>
        <v/>
      </c>
      <c r="S1112" s="51">
        <f>IF(R1112="A conferir",(Config!$B$8-L1112)*1000+N(F1112)/1000+ROW()/100000,0)</f>
        <v>0</v>
      </c>
      <c r="T1112" s="51">
        <f>IF(R1112="A conferir",N(N1112),0)</f>
        <v>0</v>
      </c>
      <c r="U1112" s="51">
        <f>IF(L1112="",0,L1112)</f>
        <v>0</v>
      </c>
      <c r="V1112" s="51">
        <f>IF(L1112="",0,MAX(1,N(E1112)))</f>
        <v>0</v>
      </c>
      <c r="W1112" s="51">
        <f>IF(K1112="",0,K1112)</f>
        <v>0</v>
      </c>
    </row>
    <row r="1113">
      <c r="A1113" s="49" t="n"/>
      <c r="B1113" s="41" t="n"/>
      <c r="C1113" s="41" t="n"/>
      <c r="D1113" s="42" t="n"/>
      <c r="E1113" s="42" t="n"/>
      <c r="F1113" s="50" t="n"/>
      <c r="G1113" s="42" t="n"/>
      <c r="H1113" s="30">
        <f>IF(D1113="","",IFERROR(INDEX(Config!$B$12:$B$15,MATCH(IF(AND(D1113="Cartão de crédito",N(E1113)&gt;1),"Cartão de crédito parcelado",D1113),Config!$A$12:$A$15,0)),0)+IF(AND(Config!$B$17="Sim",LEFT(D1113,17)="Cartão de crédito"),Config!$B$18*IFERROR(INDEX(Config!$C$12:$C$15,MATCH(IF(AND(D1113="Cartão de crédito",N(E1113)&gt;1),"Cartão de crédito parcelado",D1113),Config!$A$12:$A$15,0)),0)/30*MAX(1,N(E1113)),0))</f>
        <v/>
      </c>
      <c r="I1113" s="29">
        <f>IF(OR(D1113="",F1113=""),"",ROUND(F1113*H1113,2))</f>
        <v/>
      </c>
      <c r="J1113" s="29">
        <f>IF(I1113="","",F1113-I1113)</f>
        <v/>
      </c>
      <c r="K1113" s="29">
        <f>IF(J1113="","",J1113/MAX(1,N(E1113)))</f>
        <v/>
      </c>
      <c r="L1113" s="37">
        <f>IF(OR(D1113="",A1113=""),"",A1113+IF(AND(Config!$B$17="Sim",LEFT(D1113,17)="Cartão de crédito"),1,IFERROR(INDEX(Config!$C$12:$C$15,MATCH(IF(AND(D1113="Cartão de crédito",N(E1113)&gt;1),"Cartão de crédito parcelado",D1113),Config!$A$12:$A$15,0)),0)))</f>
        <v/>
      </c>
      <c r="M1113" s="37">
        <f>IF(L1113="","",IF(AND(Config!$B$17="Sim",LEFT(D1113,17)="Cartão de crédito"),L1113,L1113+30*(MAX(1,N(E1113))-1)))</f>
        <v/>
      </c>
      <c r="N1113" s="29">
        <f>IF(OR(L1113="",K1113=""),"",K1113*MIN(MAX(1,N(E1113)),MAX(0,INT((Config!$B$8-L1113)/30)+1)))</f>
        <v/>
      </c>
      <c r="O1113" s="29">
        <f>IF(J1113="","",J1113-N(N1113))</f>
        <v/>
      </c>
      <c r="P1113" s="27">
        <f>IF(A1113="","",MONTH(A1113))</f>
        <v/>
      </c>
      <c r="Q1113" s="27">
        <f>IF(A1113="","",YEAR(A1113))</f>
        <v/>
      </c>
      <c r="R1113" s="27">
        <f>IF(L1113="","",IF(L1113&gt;Config!$B$8,"A cair",IF(N(G1113)&gt;=MIN(MAX(1,N(E1113)),MAX(0,INT((Config!$B$8-L1113)/30)+1)),IF(N(G1113)&gt;=MAX(1,N(E1113)),"Conferido","Conferido até aqui"),"A conferir")))</f>
        <v/>
      </c>
      <c r="S1113" s="51">
        <f>IF(R1113="A conferir",(Config!$B$8-L1113)*1000+N(F1113)/1000+ROW()/100000,0)</f>
        <v>0</v>
      </c>
      <c r="T1113" s="51">
        <f>IF(R1113="A conferir",N(N1113),0)</f>
        <v>0</v>
      </c>
      <c r="U1113" s="51">
        <f>IF(L1113="",0,L1113)</f>
        <v>0</v>
      </c>
      <c r="V1113" s="51">
        <f>IF(L1113="",0,MAX(1,N(E1113)))</f>
        <v>0</v>
      </c>
      <c r="W1113" s="51">
        <f>IF(K1113="",0,K1113)</f>
        <v>0</v>
      </c>
    </row>
    <row r="1114">
      <c r="A1114" s="49" t="n"/>
      <c r="B1114" s="41" t="n"/>
      <c r="C1114" s="41" t="n"/>
      <c r="D1114" s="42" t="n"/>
      <c r="E1114" s="42" t="n"/>
      <c r="F1114" s="50" t="n"/>
      <c r="G1114" s="42" t="n"/>
      <c r="H1114" s="30">
        <f>IF(D1114="","",IFERROR(INDEX(Config!$B$12:$B$15,MATCH(IF(AND(D1114="Cartão de crédito",N(E1114)&gt;1),"Cartão de crédito parcelado",D1114),Config!$A$12:$A$15,0)),0)+IF(AND(Config!$B$17="Sim",LEFT(D1114,17)="Cartão de crédito"),Config!$B$18*IFERROR(INDEX(Config!$C$12:$C$15,MATCH(IF(AND(D1114="Cartão de crédito",N(E1114)&gt;1),"Cartão de crédito parcelado",D1114),Config!$A$12:$A$15,0)),0)/30*MAX(1,N(E1114)),0))</f>
        <v/>
      </c>
      <c r="I1114" s="29">
        <f>IF(OR(D1114="",F1114=""),"",ROUND(F1114*H1114,2))</f>
        <v/>
      </c>
      <c r="J1114" s="29">
        <f>IF(I1114="","",F1114-I1114)</f>
        <v/>
      </c>
      <c r="K1114" s="29">
        <f>IF(J1114="","",J1114/MAX(1,N(E1114)))</f>
        <v/>
      </c>
      <c r="L1114" s="37">
        <f>IF(OR(D1114="",A1114=""),"",A1114+IF(AND(Config!$B$17="Sim",LEFT(D1114,17)="Cartão de crédito"),1,IFERROR(INDEX(Config!$C$12:$C$15,MATCH(IF(AND(D1114="Cartão de crédito",N(E1114)&gt;1),"Cartão de crédito parcelado",D1114),Config!$A$12:$A$15,0)),0)))</f>
        <v/>
      </c>
      <c r="M1114" s="37">
        <f>IF(L1114="","",IF(AND(Config!$B$17="Sim",LEFT(D1114,17)="Cartão de crédito"),L1114,L1114+30*(MAX(1,N(E1114))-1)))</f>
        <v/>
      </c>
      <c r="N1114" s="29">
        <f>IF(OR(L1114="",K1114=""),"",K1114*MIN(MAX(1,N(E1114)),MAX(0,INT((Config!$B$8-L1114)/30)+1)))</f>
        <v/>
      </c>
      <c r="O1114" s="29">
        <f>IF(J1114="","",J1114-N(N1114))</f>
        <v/>
      </c>
      <c r="P1114" s="27">
        <f>IF(A1114="","",MONTH(A1114))</f>
        <v/>
      </c>
      <c r="Q1114" s="27">
        <f>IF(A1114="","",YEAR(A1114))</f>
        <v/>
      </c>
      <c r="R1114" s="27">
        <f>IF(L1114="","",IF(L1114&gt;Config!$B$8,"A cair",IF(N(G1114)&gt;=MIN(MAX(1,N(E1114)),MAX(0,INT((Config!$B$8-L1114)/30)+1)),IF(N(G1114)&gt;=MAX(1,N(E1114)),"Conferido","Conferido até aqui"),"A conferir")))</f>
        <v/>
      </c>
      <c r="S1114" s="51">
        <f>IF(R1114="A conferir",(Config!$B$8-L1114)*1000+N(F1114)/1000+ROW()/100000,0)</f>
        <v>0</v>
      </c>
      <c r="T1114" s="51">
        <f>IF(R1114="A conferir",N(N1114),0)</f>
        <v>0</v>
      </c>
      <c r="U1114" s="51">
        <f>IF(L1114="",0,L1114)</f>
        <v>0</v>
      </c>
      <c r="V1114" s="51">
        <f>IF(L1114="",0,MAX(1,N(E1114)))</f>
        <v>0</v>
      </c>
      <c r="W1114" s="51">
        <f>IF(K1114="",0,K1114)</f>
        <v>0</v>
      </c>
    </row>
    <row r="1115">
      <c r="A1115" s="49" t="n"/>
      <c r="B1115" s="41" t="n"/>
      <c r="C1115" s="41" t="n"/>
      <c r="D1115" s="42" t="n"/>
      <c r="E1115" s="42" t="n"/>
      <c r="F1115" s="50" t="n"/>
      <c r="G1115" s="42" t="n"/>
      <c r="H1115" s="30">
        <f>IF(D1115="","",IFERROR(INDEX(Config!$B$12:$B$15,MATCH(IF(AND(D1115="Cartão de crédito",N(E1115)&gt;1),"Cartão de crédito parcelado",D1115),Config!$A$12:$A$15,0)),0)+IF(AND(Config!$B$17="Sim",LEFT(D1115,17)="Cartão de crédito"),Config!$B$18*IFERROR(INDEX(Config!$C$12:$C$15,MATCH(IF(AND(D1115="Cartão de crédito",N(E1115)&gt;1),"Cartão de crédito parcelado",D1115),Config!$A$12:$A$15,0)),0)/30*MAX(1,N(E1115)),0))</f>
        <v/>
      </c>
      <c r="I1115" s="29">
        <f>IF(OR(D1115="",F1115=""),"",ROUND(F1115*H1115,2))</f>
        <v/>
      </c>
      <c r="J1115" s="29">
        <f>IF(I1115="","",F1115-I1115)</f>
        <v/>
      </c>
      <c r="K1115" s="29">
        <f>IF(J1115="","",J1115/MAX(1,N(E1115)))</f>
        <v/>
      </c>
      <c r="L1115" s="37">
        <f>IF(OR(D1115="",A1115=""),"",A1115+IF(AND(Config!$B$17="Sim",LEFT(D1115,17)="Cartão de crédito"),1,IFERROR(INDEX(Config!$C$12:$C$15,MATCH(IF(AND(D1115="Cartão de crédito",N(E1115)&gt;1),"Cartão de crédito parcelado",D1115),Config!$A$12:$A$15,0)),0)))</f>
        <v/>
      </c>
      <c r="M1115" s="37">
        <f>IF(L1115="","",IF(AND(Config!$B$17="Sim",LEFT(D1115,17)="Cartão de crédito"),L1115,L1115+30*(MAX(1,N(E1115))-1)))</f>
        <v/>
      </c>
      <c r="N1115" s="29">
        <f>IF(OR(L1115="",K1115=""),"",K1115*MIN(MAX(1,N(E1115)),MAX(0,INT((Config!$B$8-L1115)/30)+1)))</f>
        <v/>
      </c>
      <c r="O1115" s="29">
        <f>IF(J1115="","",J1115-N(N1115))</f>
        <v/>
      </c>
      <c r="P1115" s="27">
        <f>IF(A1115="","",MONTH(A1115))</f>
        <v/>
      </c>
      <c r="Q1115" s="27">
        <f>IF(A1115="","",YEAR(A1115))</f>
        <v/>
      </c>
      <c r="R1115" s="27">
        <f>IF(L1115="","",IF(L1115&gt;Config!$B$8,"A cair",IF(N(G1115)&gt;=MIN(MAX(1,N(E1115)),MAX(0,INT((Config!$B$8-L1115)/30)+1)),IF(N(G1115)&gt;=MAX(1,N(E1115)),"Conferido","Conferido até aqui"),"A conferir")))</f>
        <v/>
      </c>
      <c r="S1115" s="51">
        <f>IF(R1115="A conferir",(Config!$B$8-L1115)*1000+N(F1115)/1000+ROW()/100000,0)</f>
        <v>0</v>
      </c>
      <c r="T1115" s="51">
        <f>IF(R1115="A conferir",N(N1115),0)</f>
        <v>0</v>
      </c>
      <c r="U1115" s="51">
        <f>IF(L1115="",0,L1115)</f>
        <v>0</v>
      </c>
      <c r="V1115" s="51">
        <f>IF(L1115="",0,MAX(1,N(E1115)))</f>
        <v>0</v>
      </c>
      <c r="W1115" s="51">
        <f>IF(K1115="",0,K1115)</f>
        <v>0</v>
      </c>
    </row>
    <row r="1116">
      <c r="A1116" s="49" t="n"/>
      <c r="B1116" s="41" t="n"/>
      <c r="C1116" s="41" t="n"/>
      <c r="D1116" s="42" t="n"/>
      <c r="E1116" s="42" t="n"/>
      <c r="F1116" s="50" t="n"/>
      <c r="G1116" s="42" t="n"/>
      <c r="H1116" s="30">
        <f>IF(D1116="","",IFERROR(INDEX(Config!$B$12:$B$15,MATCH(IF(AND(D1116="Cartão de crédito",N(E1116)&gt;1),"Cartão de crédito parcelado",D1116),Config!$A$12:$A$15,0)),0)+IF(AND(Config!$B$17="Sim",LEFT(D1116,17)="Cartão de crédito"),Config!$B$18*IFERROR(INDEX(Config!$C$12:$C$15,MATCH(IF(AND(D1116="Cartão de crédito",N(E1116)&gt;1),"Cartão de crédito parcelado",D1116),Config!$A$12:$A$15,0)),0)/30*MAX(1,N(E1116)),0))</f>
        <v/>
      </c>
      <c r="I1116" s="29">
        <f>IF(OR(D1116="",F1116=""),"",ROUND(F1116*H1116,2))</f>
        <v/>
      </c>
      <c r="J1116" s="29">
        <f>IF(I1116="","",F1116-I1116)</f>
        <v/>
      </c>
      <c r="K1116" s="29">
        <f>IF(J1116="","",J1116/MAX(1,N(E1116)))</f>
        <v/>
      </c>
      <c r="L1116" s="37">
        <f>IF(OR(D1116="",A1116=""),"",A1116+IF(AND(Config!$B$17="Sim",LEFT(D1116,17)="Cartão de crédito"),1,IFERROR(INDEX(Config!$C$12:$C$15,MATCH(IF(AND(D1116="Cartão de crédito",N(E1116)&gt;1),"Cartão de crédito parcelado",D1116),Config!$A$12:$A$15,0)),0)))</f>
        <v/>
      </c>
      <c r="M1116" s="37">
        <f>IF(L1116="","",IF(AND(Config!$B$17="Sim",LEFT(D1116,17)="Cartão de crédito"),L1116,L1116+30*(MAX(1,N(E1116))-1)))</f>
        <v/>
      </c>
      <c r="N1116" s="29">
        <f>IF(OR(L1116="",K1116=""),"",K1116*MIN(MAX(1,N(E1116)),MAX(0,INT((Config!$B$8-L1116)/30)+1)))</f>
        <v/>
      </c>
      <c r="O1116" s="29">
        <f>IF(J1116="","",J1116-N(N1116))</f>
        <v/>
      </c>
      <c r="P1116" s="27">
        <f>IF(A1116="","",MONTH(A1116))</f>
        <v/>
      </c>
      <c r="Q1116" s="27">
        <f>IF(A1116="","",YEAR(A1116))</f>
        <v/>
      </c>
      <c r="R1116" s="27">
        <f>IF(L1116="","",IF(L1116&gt;Config!$B$8,"A cair",IF(N(G1116)&gt;=MIN(MAX(1,N(E1116)),MAX(0,INT((Config!$B$8-L1116)/30)+1)),IF(N(G1116)&gt;=MAX(1,N(E1116)),"Conferido","Conferido até aqui"),"A conferir")))</f>
        <v/>
      </c>
      <c r="S1116" s="51">
        <f>IF(R1116="A conferir",(Config!$B$8-L1116)*1000+N(F1116)/1000+ROW()/100000,0)</f>
        <v>0</v>
      </c>
      <c r="T1116" s="51">
        <f>IF(R1116="A conferir",N(N1116),0)</f>
        <v>0</v>
      </c>
      <c r="U1116" s="51">
        <f>IF(L1116="",0,L1116)</f>
        <v>0</v>
      </c>
      <c r="V1116" s="51">
        <f>IF(L1116="",0,MAX(1,N(E1116)))</f>
        <v>0</v>
      </c>
      <c r="W1116" s="51">
        <f>IF(K1116="",0,K1116)</f>
        <v>0</v>
      </c>
    </row>
    <row r="1117">
      <c r="A1117" s="49" t="n"/>
      <c r="B1117" s="41" t="n"/>
      <c r="C1117" s="41" t="n"/>
      <c r="D1117" s="42" t="n"/>
      <c r="E1117" s="42" t="n"/>
      <c r="F1117" s="50" t="n"/>
      <c r="G1117" s="42" t="n"/>
      <c r="H1117" s="30">
        <f>IF(D1117="","",IFERROR(INDEX(Config!$B$12:$B$15,MATCH(IF(AND(D1117="Cartão de crédito",N(E1117)&gt;1),"Cartão de crédito parcelado",D1117),Config!$A$12:$A$15,0)),0)+IF(AND(Config!$B$17="Sim",LEFT(D1117,17)="Cartão de crédito"),Config!$B$18*IFERROR(INDEX(Config!$C$12:$C$15,MATCH(IF(AND(D1117="Cartão de crédito",N(E1117)&gt;1),"Cartão de crédito parcelado",D1117),Config!$A$12:$A$15,0)),0)/30*MAX(1,N(E1117)),0))</f>
        <v/>
      </c>
      <c r="I1117" s="29">
        <f>IF(OR(D1117="",F1117=""),"",ROUND(F1117*H1117,2))</f>
        <v/>
      </c>
      <c r="J1117" s="29">
        <f>IF(I1117="","",F1117-I1117)</f>
        <v/>
      </c>
      <c r="K1117" s="29">
        <f>IF(J1117="","",J1117/MAX(1,N(E1117)))</f>
        <v/>
      </c>
      <c r="L1117" s="37">
        <f>IF(OR(D1117="",A1117=""),"",A1117+IF(AND(Config!$B$17="Sim",LEFT(D1117,17)="Cartão de crédito"),1,IFERROR(INDEX(Config!$C$12:$C$15,MATCH(IF(AND(D1117="Cartão de crédito",N(E1117)&gt;1),"Cartão de crédito parcelado",D1117),Config!$A$12:$A$15,0)),0)))</f>
        <v/>
      </c>
      <c r="M1117" s="37">
        <f>IF(L1117="","",IF(AND(Config!$B$17="Sim",LEFT(D1117,17)="Cartão de crédito"),L1117,L1117+30*(MAX(1,N(E1117))-1)))</f>
        <v/>
      </c>
      <c r="N1117" s="29">
        <f>IF(OR(L1117="",K1117=""),"",K1117*MIN(MAX(1,N(E1117)),MAX(0,INT((Config!$B$8-L1117)/30)+1)))</f>
        <v/>
      </c>
      <c r="O1117" s="29">
        <f>IF(J1117="","",J1117-N(N1117))</f>
        <v/>
      </c>
      <c r="P1117" s="27">
        <f>IF(A1117="","",MONTH(A1117))</f>
        <v/>
      </c>
      <c r="Q1117" s="27">
        <f>IF(A1117="","",YEAR(A1117))</f>
        <v/>
      </c>
      <c r="R1117" s="27">
        <f>IF(L1117="","",IF(L1117&gt;Config!$B$8,"A cair",IF(N(G1117)&gt;=MIN(MAX(1,N(E1117)),MAX(0,INT((Config!$B$8-L1117)/30)+1)),IF(N(G1117)&gt;=MAX(1,N(E1117)),"Conferido","Conferido até aqui"),"A conferir")))</f>
        <v/>
      </c>
      <c r="S1117" s="51">
        <f>IF(R1117="A conferir",(Config!$B$8-L1117)*1000+N(F1117)/1000+ROW()/100000,0)</f>
        <v>0</v>
      </c>
      <c r="T1117" s="51">
        <f>IF(R1117="A conferir",N(N1117),0)</f>
        <v>0</v>
      </c>
      <c r="U1117" s="51">
        <f>IF(L1117="",0,L1117)</f>
        <v>0</v>
      </c>
      <c r="V1117" s="51">
        <f>IF(L1117="",0,MAX(1,N(E1117)))</f>
        <v>0</v>
      </c>
      <c r="W1117" s="51">
        <f>IF(K1117="",0,K1117)</f>
        <v>0</v>
      </c>
    </row>
    <row r="1118">
      <c r="A1118" s="49" t="n"/>
      <c r="B1118" s="41" t="n"/>
      <c r="C1118" s="41" t="n"/>
      <c r="D1118" s="42" t="n"/>
      <c r="E1118" s="42" t="n"/>
      <c r="F1118" s="50" t="n"/>
      <c r="G1118" s="42" t="n"/>
      <c r="H1118" s="30">
        <f>IF(D1118="","",IFERROR(INDEX(Config!$B$12:$B$15,MATCH(IF(AND(D1118="Cartão de crédito",N(E1118)&gt;1),"Cartão de crédito parcelado",D1118),Config!$A$12:$A$15,0)),0)+IF(AND(Config!$B$17="Sim",LEFT(D1118,17)="Cartão de crédito"),Config!$B$18*IFERROR(INDEX(Config!$C$12:$C$15,MATCH(IF(AND(D1118="Cartão de crédito",N(E1118)&gt;1),"Cartão de crédito parcelado",D1118),Config!$A$12:$A$15,0)),0)/30*MAX(1,N(E1118)),0))</f>
        <v/>
      </c>
      <c r="I1118" s="29">
        <f>IF(OR(D1118="",F1118=""),"",ROUND(F1118*H1118,2))</f>
        <v/>
      </c>
      <c r="J1118" s="29">
        <f>IF(I1118="","",F1118-I1118)</f>
        <v/>
      </c>
      <c r="K1118" s="29">
        <f>IF(J1118="","",J1118/MAX(1,N(E1118)))</f>
        <v/>
      </c>
      <c r="L1118" s="37">
        <f>IF(OR(D1118="",A1118=""),"",A1118+IF(AND(Config!$B$17="Sim",LEFT(D1118,17)="Cartão de crédito"),1,IFERROR(INDEX(Config!$C$12:$C$15,MATCH(IF(AND(D1118="Cartão de crédito",N(E1118)&gt;1),"Cartão de crédito parcelado",D1118),Config!$A$12:$A$15,0)),0)))</f>
        <v/>
      </c>
      <c r="M1118" s="37">
        <f>IF(L1118="","",IF(AND(Config!$B$17="Sim",LEFT(D1118,17)="Cartão de crédito"),L1118,L1118+30*(MAX(1,N(E1118))-1)))</f>
        <v/>
      </c>
      <c r="N1118" s="29">
        <f>IF(OR(L1118="",K1118=""),"",K1118*MIN(MAX(1,N(E1118)),MAX(0,INT((Config!$B$8-L1118)/30)+1)))</f>
        <v/>
      </c>
      <c r="O1118" s="29">
        <f>IF(J1118="","",J1118-N(N1118))</f>
        <v/>
      </c>
      <c r="P1118" s="27">
        <f>IF(A1118="","",MONTH(A1118))</f>
        <v/>
      </c>
      <c r="Q1118" s="27">
        <f>IF(A1118="","",YEAR(A1118))</f>
        <v/>
      </c>
      <c r="R1118" s="27">
        <f>IF(L1118="","",IF(L1118&gt;Config!$B$8,"A cair",IF(N(G1118)&gt;=MIN(MAX(1,N(E1118)),MAX(0,INT((Config!$B$8-L1118)/30)+1)),IF(N(G1118)&gt;=MAX(1,N(E1118)),"Conferido","Conferido até aqui"),"A conferir")))</f>
        <v/>
      </c>
      <c r="S1118" s="51">
        <f>IF(R1118="A conferir",(Config!$B$8-L1118)*1000+N(F1118)/1000+ROW()/100000,0)</f>
        <v>0</v>
      </c>
      <c r="T1118" s="51">
        <f>IF(R1118="A conferir",N(N1118),0)</f>
        <v>0</v>
      </c>
      <c r="U1118" s="51">
        <f>IF(L1118="",0,L1118)</f>
        <v>0</v>
      </c>
      <c r="V1118" s="51">
        <f>IF(L1118="",0,MAX(1,N(E1118)))</f>
        <v>0</v>
      </c>
      <c r="W1118" s="51">
        <f>IF(K1118="",0,K1118)</f>
        <v>0</v>
      </c>
    </row>
    <row r="1119">
      <c r="A1119" s="49" t="n"/>
      <c r="B1119" s="41" t="n"/>
      <c r="C1119" s="41" t="n"/>
      <c r="D1119" s="42" t="n"/>
      <c r="E1119" s="42" t="n"/>
      <c r="F1119" s="50" t="n"/>
      <c r="G1119" s="42" t="n"/>
      <c r="H1119" s="30">
        <f>IF(D1119="","",IFERROR(INDEX(Config!$B$12:$B$15,MATCH(IF(AND(D1119="Cartão de crédito",N(E1119)&gt;1),"Cartão de crédito parcelado",D1119),Config!$A$12:$A$15,0)),0)+IF(AND(Config!$B$17="Sim",LEFT(D1119,17)="Cartão de crédito"),Config!$B$18*IFERROR(INDEX(Config!$C$12:$C$15,MATCH(IF(AND(D1119="Cartão de crédito",N(E1119)&gt;1),"Cartão de crédito parcelado",D1119),Config!$A$12:$A$15,0)),0)/30*MAX(1,N(E1119)),0))</f>
        <v/>
      </c>
      <c r="I1119" s="29">
        <f>IF(OR(D1119="",F1119=""),"",ROUND(F1119*H1119,2))</f>
        <v/>
      </c>
      <c r="J1119" s="29">
        <f>IF(I1119="","",F1119-I1119)</f>
        <v/>
      </c>
      <c r="K1119" s="29">
        <f>IF(J1119="","",J1119/MAX(1,N(E1119)))</f>
        <v/>
      </c>
      <c r="L1119" s="37">
        <f>IF(OR(D1119="",A1119=""),"",A1119+IF(AND(Config!$B$17="Sim",LEFT(D1119,17)="Cartão de crédito"),1,IFERROR(INDEX(Config!$C$12:$C$15,MATCH(IF(AND(D1119="Cartão de crédito",N(E1119)&gt;1),"Cartão de crédito parcelado",D1119),Config!$A$12:$A$15,0)),0)))</f>
        <v/>
      </c>
      <c r="M1119" s="37">
        <f>IF(L1119="","",IF(AND(Config!$B$17="Sim",LEFT(D1119,17)="Cartão de crédito"),L1119,L1119+30*(MAX(1,N(E1119))-1)))</f>
        <v/>
      </c>
      <c r="N1119" s="29">
        <f>IF(OR(L1119="",K1119=""),"",K1119*MIN(MAX(1,N(E1119)),MAX(0,INT((Config!$B$8-L1119)/30)+1)))</f>
        <v/>
      </c>
      <c r="O1119" s="29">
        <f>IF(J1119="","",J1119-N(N1119))</f>
        <v/>
      </c>
      <c r="P1119" s="27">
        <f>IF(A1119="","",MONTH(A1119))</f>
        <v/>
      </c>
      <c r="Q1119" s="27">
        <f>IF(A1119="","",YEAR(A1119))</f>
        <v/>
      </c>
      <c r="R1119" s="27">
        <f>IF(L1119="","",IF(L1119&gt;Config!$B$8,"A cair",IF(N(G1119)&gt;=MIN(MAX(1,N(E1119)),MAX(0,INT((Config!$B$8-L1119)/30)+1)),IF(N(G1119)&gt;=MAX(1,N(E1119)),"Conferido","Conferido até aqui"),"A conferir")))</f>
        <v/>
      </c>
      <c r="S1119" s="51">
        <f>IF(R1119="A conferir",(Config!$B$8-L1119)*1000+N(F1119)/1000+ROW()/100000,0)</f>
        <v>0</v>
      </c>
      <c r="T1119" s="51">
        <f>IF(R1119="A conferir",N(N1119),0)</f>
        <v>0</v>
      </c>
      <c r="U1119" s="51">
        <f>IF(L1119="",0,L1119)</f>
        <v>0</v>
      </c>
      <c r="V1119" s="51">
        <f>IF(L1119="",0,MAX(1,N(E1119)))</f>
        <v>0</v>
      </c>
      <c r="W1119" s="51">
        <f>IF(K1119="",0,K1119)</f>
        <v>0</v>
      </c>
    </row>
    <row r="1120">
      <c r="A1120" s="49" t="n"/>
      <c r="B1120" s="41" t="n"/>
      <c r="C1120" s="41" t="n"/>
      <c r="D1120" s="42" t="n"/>
      <c r="E1120" s="42" t="n"/>
      <c r="F1120" s="50" t="n"/>
      <c r="G1120" s="42" t="n"/>
      <c r="H1120" s="30">
        <f>IF(D1120="","",IFERROR(INDEX(Config!$B$12:$B$15,MATCH(IF(AND(D1120="Cartão de crédito",N(E1120)&gt;1),"Cartão de crédito parcelado",D1120),Config!$A$12:$A$15,0)),0)+IF(AND(Config!$B$17="Sim",LEFT(D1120,17)="Cartão de crédito"),Config!$B$18*IFERROR(INDEX(Config!$C$12:$C$15,MATCH(IF(AND(D1120="Cartão de crédito",N(E1120)&gt;1),"Cartão de crédito parcelado",D1120),Config!$A$12:$A$15,0)),0)/30*MAX(1,N(E1120)),0))</f>
        <v/>
      </c>
      <c r="I1120" s="29">
        <f>IF(OR(D1120="",F1120=""),"",ROUND(F1120*H1120,2))</f>
        <v/>
      </c>
      <c r="J1120" s="29">
        <f>IF(I1120="","",F1120-I1120)</f>
        <v/>
      </c>
      <c r="K1120" s="29">
        <f>IF(J1120="","",J1120/MAX(1,N(E1120)))</f>
        <v/>
      </c>
      <c r="L1120" s="37">
        <f>IF(OR(D1120="",A1120=""),"",A1120+IF(AND(Config!$B$17="Sim",LEFT(D1120,17)="Cartão de crédito"),1,IFERROR(INDEX(Config!$C$12:$C$15,MATCH(IF(AND(D1120="Cartão de crédito",N(E1120)&gt;1),"Cartão de crédito parcelado",D1120),Config!$A$12:$A$15,0)),0)))</f>
        <v/>
      </c>
      <c r="M1120" s="37">
        <f>IF(L1120="","",IF(AND(Config!$B$17="Sim",LEFT(D1120,17)="Cartão de crédito"),L1120,L1120+30*(MAX(1,N(E1120))-1)))</f>
        <v/>
      </c>
      <c r="N1120" s="29">
        <f>IF(OR(L1120="",K1120=""),"",K1120*MIN(MAX(1,N(E1120)),MAX(0,INT((Config!$B$8-L1120)/30)+1)))</f>
        <v/>
      </c>
      <c r="O1120" s="29">
        <f>IF(J1120="","",J1120-N(N1120))</f>
        <v/>
      </c>
      <c r="P1120" s="27">
        <f>IF(A1120="","",MONTH(A1120))</f>
        <v/>
      </c>
      <c r="Q1120" s="27">
        <f>IF(A1120="","",YEAR(A1120))</f>
        <v/>
      </c>
      <c r="R1120" s="27">
        <f>IF(L1120="","",IF(L1120&gt;Config!$B$8,"A cair",IF(N(G1120)&gt;=MIN(MAX(1,N(E1120)),MAX(0,INT((Config!$B$8-L1120)/30)+1)),IF(N(G1120)&gt;=MAX(1,N(E1120)),"Conferido","Conferido até aqui"),"A conferir")))</f>
        <v/>
      </c>
      <c r="S1120" s="51">
        <f>IF(R1120="A conferir",(Config!$B$8-L1120)*1000+N(F1120)/1000+ROW()/100000,0)</f>
        <v>0</v>
      </c>
      <c r="T1120" s="51">
        <f>IF(R1120="A conferir",N(N1120),0)</f>
        <v>0</v>
      </c>
      <c r="U1120" s="51">
        <f>IF(L1120="",0,L1120)</f>
        <v>0</v>
      </c>
      <c r="V1120" s="51">
        <f>IF(L1120="",0,MAX(1,N(E1120)))</f>
        <v>0</v>
      </c>
      <c r="W1120" s="51">
        <f>IF(K1120="",0,K1120)</f>
        <v>0</v>
      </c>
    </row>
    <row r="1121">
      <c r="A1121" s="49" t="n"/>
      <c r="B1121" s="41" t="n"/>
      <c r="C1121" s="41" t="n"/>
      <c r="D1121" s="42" t="n"/>
      <c r="E1121" s="42" t="n"/>
      <c r="F1121" s="50" t="n"/>
      <c r="G1121" s="42" t="n"/>
      <c r="H1121" s="30">
        <f>IF(D1121="","",IFERROR(INDEX(Config!$B$12:$B$15,MATCH(IF(AND(D1121="Cartão de crédito",N(E1121)&gt;1),"Cartão de crédito parcelado",D1121),Config!$A$12:$A$15,0)),0)+IF(AND(Config!$B$17="Sim",LEFT(D1121,17)="Cartão de crédito"),Config!$B$18*IFERROR(INDEX(Config!$C$12:$C$15,MATCH(IF(AND(D1121="Cartão de crédito",N(E1121)&gt;1),"Cartão de crédito parcelado",D1121),Config!$A$12:$A$15,0)),0)/30*MAX(1,N(E1121)),0))</f>
        <v/>
      </c>
      <c r="I1121" s="29">
        <f>IF(OR(D1121="",F1121=""),"",ROUND(F1121*H1121,2))</f>
        <v/>
      </c>
      <c r="J1121" s="29">
        <f>IF(I1121="","",F1121-I1121)</f>
        <v/>
      </c>
      <c r="K1121" s="29">
        <f>IF(J1121="","",J1121/MAX(1,N(E1121)))</f>
        <v/>
      </c>
      <c r="L1121" s="37">
        <f>IF(OR(D1121="",A1121=""),"",A1121+IF(AND(Config!$B$17="Sim",LEFT(D1121,17)="Cartão de crédito"),1,IFERROR(INDEX(Config!$C$12:$C$15,MATCH(IF(AND(D1121="Cartão de crédito",N(E1121)&gt;1),"Cartão de crédito parcelado",D1121),Config!$A$12:$A$15,0)),0)))</f>
        <v/>
      </c>
      <c r="M1121" s="37">
        <f>IF(L1121="","",IF(AND(Config!$B$17="Sim",LEFT(D1121,17)="Cartão de crédito"),L1121,L1121+30*(MAX(1,N(E1121))-1)))</f>
        <v/>
      </c>
      <c r="N1121" s="29">
        <f>IF(OR(L1121="",K1121=""),"",K1121*MIN(MAX(1,N(E1121)),MAX(0,INT((Config!$B$8-L1121)/30)+1)))</f>
        <v/>
      </c>
      <c r="O1121" s="29">
        <f>IF(J1121="","",J1121-N(N1121))</f>
        <v/>
      </c>
      <c r="P1121" s="27">
        <f>IF(A1121="","",MONTH(A1121))</f>
        <v/>
      </c>
      <c r="Q1121" s="27">
        <f>IF(A1121="","",YEAR(A1121))</f>
        <v/>
      </c>
      <c r="R1121" s="27">
        <f>IF(L1121="","",IF(L1121&gt;Config!$B$8,"A cair",IF(N(G1121)&gt;=MIN(MAX(1,N(E1121)),MAX(0,INT((Config!$B$8-L1121)/30)+1)),IF(N(G1121)&gt;=MAX(1,N(E1121)),"Conferido","Conferido até aqui"),"A conferir")))</f>
        <v/>
      </c>
      <c r="S1121" s="51">
        <f>IF(R1121="A conferir",(Config!$B$8-L1121)*1000+N(F1121)/1000+ROW()/100000,0)</f>
        <v>0</v>
      </c>
      <c r="T1121" s="51">
        <f>IF(R1121="A conferir",N(N1121),0)</f>
        <v>0</v>
      </c>
      <c r="U1121" s="51">
        <f>IF(L1121="",0,L1121)</f>
        <v>0</v>
      </c>
      <c r="V1121" s="51">
        <f>IF(L1121="",0,MAX(1,N(E1121)))</f>
        <v>0</v>
      </c>
      <c r="W1121" s="51">
        <f>IF(K1121="",0,K1121)</f>
        <v>0</v>
      </c>
    </row>
    <row r="1122">
      <c r="A1122" s="49" t="n"/>
      <c r="B1122" s="41" t="n"/>
      <c r="C1122" s="41" t="n"/>
      <c r="D1122" s="42" t="n"/>
      <c r="E1122" s="42" t="n"/>
      <c r="F1122" s="50" t="n"/>
      <c r="G1122" s="42" t="n"/>
      <c r="H1122" s="30">
        <f>IF(D1122="","",IFERROR(INDEX(Config!$B$12:$B$15,MATCH(IF(AND(D1122="Cartão de crédito",N(E1122)&gt;1),"Cartão de crédito parcelado",D1122),Config!$A$12:$A$15,0)),0)+IF(AND(Config!$B$17="Sim",LEFT(D1122,17)="Cartão de crédito"),Config!$B$18*IFERROR(INDEX(Config!$C$12:$C$15,MATCH(IF(AND(D1122="Cartão de crédito",N(E1122)&gt;1),"Cartão de crédito parcelado",D1122),Config!$A$12:$A$15,0)),0)/30*MAX(1,N(E1122)),0))</f>
        <v/>
      </c>
      <c r="I1122" s="29">
        <f>IF(OR(D1122="",F1122=""),"",ROUND(F1122*H1122,2))</f>
        <v/>
      </c>
      <c r="J1122" s="29">
        <f>IF(I1122="","",F1122-I1122)</f>
        <v/>
      </c>
      <c r="K1122" s="29">
        <f>IF(J1122="","",J1122/MAX(1,N(E1122)))</f>
        <v/>
      </c>
      <c r="L1122" s="37">
        <f>IF(OR(D1122="",A1122=""),"",A1122+IF(AND(Config!$B$17="Sim",LEFT(D1122,17)="Cartão de crédito"),1,IFERROR(INDEX(Config!$C$12:$C$15,MATCH(IF(AND(D1122="Cartão de crédito",N(E1122)&gt;1),"Cartão de crédito parcelado",D1122),Config!$A$12:$A$15,0)),0)))</f>
        <v/>
      </c>
      <c r="M1122" s="37">
        <f>IF(L1122="","",IF(AND(Config!$B$17="Sim",LEFT(D1122,17)="Cartão de crédito"),L1122,L1122+30*(MAX(1,N(E1122))-1)))</f>
        <v/>
      </c>
      <c r="N1122" s="29">
        <f>IF(OR(L1122="",K1122=""),"",K1122*MIN(MAX(1,N(E1122)),MAX(0,INT((Config!$B$8-L1122)/30)+1)))</f>
        <v/>
      </c>
      <c r="O1122" s="29">
        <f>IF(J1122="","",J1122-N(N1122))</f>
        <v/>
      </c>
      <c r="P1122" s="27">
        <f>IF(A1122="","",MONTH(A1122))</f>
        <v/>
      </c>
      <c r="Q1122" s="27">
        <f>IF(A1122="","",YEAR(A1122))</f>
        <v/>
      </c>
      <c r="R1122" s="27">
        <f>IF(L1122="","",IF(L1122&gt;Config!$B$8,"A cair",IF(N(G1122)&gt;=MIN(MAX(1,N(E1122)),MAX(0,INT((Config!$B$8-L1122)/30)+1)),IF(N(G1122)&gt;=MAX(1,N(E1122)),"Conferido","Conferido até aqui"),"A conferir")))</f>
        <v/>
      </c>
      <c r="S1122" s="51">
        <f>IF(R1122="A conferir",(Config!$B$8-L1122)*1000+N(F1122)/1000+ROW()/100000,0)</f>
        <v>0</v>
      </c>
      <c r="T1122" s="51">
        <f>IF(R1122="A conferir",N(N1122),0)</f>
        <v>0</v>
      </c>
      <c r="U1122" s="51">
        <f>IF(L1122="",0,L1122)</f>
        <v>0</v>
      </c>
      <c r="V1122" s="51">
        <f>IF(L1122="",0,MAX(1,N(E1122)))</f>
        <v>0</v>
      </c>
      <c r="W1122" s="51">
        <f>IF(K1122="",0,K1122)</f>
        <v>0</v>
      </c>
    </row>
    <row r="1123">
      <c r="A1123" s="49" t="n"/>
      <c r="B1123" s="41" t="n"/>
      <c r="C1123" s="41" t="n"/>
      <c r="D1123" s="42" t="n"/>
      <c r="E1123" s="42" t="n"/>
      <c r="F1123" s="50" t="n"/>
      <c r="G1123" s="42" t="n"/>
      <c r="H1123" s="30">
        <f>IF(D1123="","",IFERROR(INDEX(Config!$B$12:$B$15,MATCH(IF(AND(D1123="Cartão de crédito",N(E1123)&gt;1),"Cartão de crédito parcelado",D1123),Config!$A$12:$A$15,0)),0)+IF(AND(Config!$B$17="Sim",LEFT(D1123,17)="Cartão de crédito"),Config!$B$18*IFERROR(INDEX(Config!$C$12:$C$15,MATCH(IF(AND(D1123="Cartão de crédito",N(E1123)&gt;1),"Cartão de crédito parcelado",D1123),Config!$A$12:$A$15,0)),0)/30*MAX(1,N(E1123)),0))</f>
        <v/>
      </c>
      <c r="I1123" s="29">
        <f>IF(OR(D1123="",F1123=""),"",ROUND(F1123*H1123,2))</f>
        <v/>
      </c>
      <c r="J1123" s="29">
        <f>IF(I1123="","",F1123-I1123)</f>
        <v/>
      </c>
      <c r="K1123" s="29">
        <f>IF(J1123="","",J1123/MAX(1,N(E1123)))</f>
        <v/>
      </c>
      <c r="L1123" s="37">
        <f>IF(OR(D1123="",A1123=""),"",A1123+IF(AND(Config!$B$17="Sim",LEFT(D1123,17)="Cartão de crédito"),1,IFERROR(INDEX(Config!$C$12:$C$15,MATCH(IF(AND(D1123="Cartão de crédito",N(E1123)&gt;1),"Cartão de crédito parcelado",D1123),Config!$A$12:$A$15,0)),0)))</f>
        <v/>
      </c>
      <c r="M1123" s="37">
        <f>IF(L1123="","",IF(AND(Config!$B$17="Sim",LEFT(D1123,17)="Cartão de crédito"),L1123,L1123+30*(MAX(1,N(E1123))-1)))</f>
        <v/>
      </c>
      <c r="N1123" s="29">
        <f>IF(OR(L1123="",K1123=""),"",K1123*MIN(MAX(1,N(E1123)),MAX(0,INT((Config!$B$8-L1123)/30)+1)))</f>
        <v/>
      </c>
      <c r="O1123" s="29">
        <f>IF(J1123="","",J1123-N(N1123))</f>
        <v/>
      </c>
      <c r="P1123" s="27">
        <f>IF(A1123="","",MONTH(A1123))</f>
        <v/>
      </c>
      <c r="Q1123" s="27">
        <f>IF(A1123="","",YEAR(A1123))</f>
        <v/>
      </c>
      <c r="R1123" s="27">
        <f>IF(L1123="","",IF(L1123&gt;Config!$B$8,"A cair",IF(N(G1123)&gt;=MIN(MAX(1,N(E1123)),MAX(0,INT((Config!$B$8-L1123)/30)+1)),IF(N(G1123)&gt;=MAX(1,N(E1123)),"Conferido","Conferido até aqui"),"A conferir")))</f>
        <v/>
      </c>
      <c r="S1123" s="51">
        <f>IF(R1123="A conferir",(Config!$B$8-L1123)*1000+N(F1123)/1000+ROW()/100000,0)</f>
        <v>0</v>
      </c>
      <c r="T1123" s="51">
        <f>IF(R1123="A conferir",N(N1123),0)</f>
        <v>0</v>
      </c>
      <c r="U1123" s="51">
        <f>IF(L1123="",0,L1123)</f>
        <v>0</v>
      </c>
      <c r="V1123" s="51">
        <f>IF(L1123="",0,MAX(1,N(E1123)))</f>
        <v>0</v>
      </c>
      <c r="W1123" s="51">
        <f>IF(K1123="",0,K1123)</f>
        <v>0</v>
      </c>
    </row>
    <row r="1124">
      <c r="A1124" s="49" t="n"/>
      <c r="B1124" s="41" t="n"/>
      <c r="C1124" s="41" t="n"/>
      <c r="D1124" s="42" t="n"/>
      <c r="E1124" s="42" t="n"/>
      <c r="F1124" s="50" t="n"/>
      <c r="G1124" s="42" t="n"/>
      <c r="H1124" s="30">
        <f>IF(D1124="","",IFERROR(INDEX(Config!$B$12:$B$15,MATCH(IF(AND(D1124="Cartão de crédito",N(E1124)&gt;1),"Cartão de crédito parcelado",D1124),Config!$A$12:$A$15,0)),0)+IF(AND(Config!$B$17="Sim",LEFT(D1124,17)="Cartão de crédito"),Config!$B$18*IFERROR(INDEX(Config!$C$12:$C$15,MATCH(IF(AND(D1124="Cartão de crédito",N(E1124)&gt;1),"Cartão de crédito parcelado",D1124),Config!$A$12:$A$15,0)),0)/30*MAX(1,N(E1124)),0))</f>
        <v/>
      </c>
      <c r="I1124" s="29">
        <f>IF(OR(D1124="",F1124=""),"",ROUND(F1124*H1124,2))</f>
        <v/>
      </c>
      <c r="J1124" s="29">
        <f>IF(I1124="","",F1124-I1124)</f>
        <v/>
      </c>
      <c r="K1124" s="29">
        <f>IF(J1124="","",J1124/MAX(1,N(E1124)))</f>
        <v/>
      </c>
      <c r="L1124" s="37">
        <f>IF(OR(D1124="",A1124=""),"",A1124+IF(AND(Config!$B$17="Sim",LEFT(D1124,17)="Cartão de crédito"),1,IFERROR(INDEX(Config!$C$12:$C$15,MATCH(IF(AND(D1124="Cartão de crédito",N(E1124)&gt;1),"Cartão de crédito parcelado",D1124),Config!$A$12:$A$15,0)),0)))</f>
        <v/>
      </c>
      <c r="M1124" s="37">
        <f>IF(L1124="","",IF(AND(Config!$B$17="Sim",LEFT(D1124,17)="Cartão de crédito"),L1124,L1124+30*(MAX(1,N(E1124))-1)))</f>
        <v/>
      </c>
      <c r="N1124" s="29">
        <f>IF(OR(L1124="",K1124=""),"",K1124*MIN(MAX(1,N(E1124)),MAX(0,INT((Config!$B$8-L1124)/30)+1)))</f>
        <v/>
      </c>
      <c r="O1124" s="29">
        <f>IF(J1124="","",J1124-N(N1124))</f>
        <v/>
      </c>
      <c r="P1124" s="27">
        <f>IF(A1124="","",MONTH(A1124))</f>
        <v/>
      </c>
      <c r="Q1124" s="27">
        <f>IF(A1124="","",YEAR(A1124))</f>
        <v/>
      </c>
      <c r="R1124" s="27">
        <f>IF(L1124="","",IF(L1124&gt;Config!$B$8,"A cair",IF(N(G1124)&gt;=MIN(MAX(1,N(E1124)),MAX(0,INT((Config!$B$8-L1124)/30)+1)),IF(N(G1124)&gt;=MAX(1,N(E1124)),"Conferido","Conferido até aqui"),"A conferir")))</f>
        <v/>
      </c>
      <c r="S1124" s="51">
        <f>IF(R1124="A conferir",(Config!$B$8-L1124)*1000+N(F1124)/1000+ROW()/100000,0)</f>
        <v>0</v>
      </c>
      <c r="T1124" s="51">
        <f>IF(R1124="A conferir",N(N1124),0)</f>
        <v>0</v>
      </c>
      <c r="U1124" s="51">
        <f>IF(L1124="",0,L1124)</f>
        <v>0</v>
      </c>
      <c r="V1124" s="51">
        <f>IF(L1124="",0,MAX(1,N(E1124)))</f>
        <v>0</v>
      </c>
      <c r="W1124" s="51">
        <f>IF(K1124="",0,K1124)</f>
        <v>0</v>
      </c>
    </row>
    <row r="1125">
      <c r="A1125" s="49" t="n"/>
      <c r="B1125" s="41" t="n"/>
      <c r="C1125" s="41" t="n"/>
      <c r="D1125" s="42" t="n"/>
      <c r="E1125" s="42" t="n"/>
      <c r="F1125" s="50" t="n"/>
      <c r="G1125" s="42" t="n"/>
      <c r="H1125" s="30">
        <f>IF(D1125="","",IFERROR(INDEX(Config!$B$12:$B$15,MATCH(IF(AND(D1125="Cartão de crédito",N(E1125)&gt;1),"Cartão de crédito parcelado",D1125),Config!$A$12:$A$15,0)),0)+IF(AND(Config!$B$17="Sim",LEFT(D1125,17)="Cartão de crédito"),Config!$B$18*IFERROR(INDEX(Config!$C$12:$C$15,MATCH(IF(AND(D1125="Cartão de crédito",N(E1125)&gt;1),"Cartão de crédito parcelado",D1125),Config!$A$12:$A$15,0)),0)/30*MAX(1,N(E1125)),0))</f>
        <v/>
      </c>
      <c r="I1125" s="29">
        <f>IF(OR(D1125="",F1125=""),"",ROUND(F1125*H1125,2))</f>
        <v/>
      </c>
      <c r="J1125" s="29">
        <f>IF(I1125="","",F1125-I1125)</f>
        <v/>
      </c>
      <c r="K1125" s="29">
        <f>IF(J1125="","",J1125/MAX(1,N(E1125)))</f>
        <v/>
      </c>
      <c r="L1125" s="37">
        <f>IF(OR(D1125="",A1125=""),"",A1125+IF(AND(Config!$B$17="Sim",LEFT(D1125,17)="Cartão de crédito"),1,IFERROR(INDEX(Config!$C$12:$C$15,MATCH(IF(AND(D1125="Cartão de crédito",N(E1125)&gt;1),"Cartão de crédito parcelado",D1125),Config!$A$12:$A$15,0)),0)))</f>
        <v/>
      </c>
      <c r="M1125" s="37">
        <f>IF(L1125="","",IF(AND(Config!$B$17="Sim",LEFT(D1125,17)="Cartão de crédito"),L1125,L1125+30*(MAX(1,N(E1125))-1)))</f>
        <v/>
      </c>
      <c r="N1125" s="29">
        <f>IF(OR(L1125="",K1125=""),"",K1125*MIN(MAX(1,N(E1125)),MAX(0,INT((Config!$B$8-L1125)/30)+1)))</f>
        <v/>
      </c>
      <c r="O1125" s="29">
        <f>IF(J1125="","",J1125-N(N1125))</f>
        <v/>
      </c>
      <c r="P1125" s="27">
        <f>IF(A1125="","",MONTH(A1125))</f>
        <v/>
      </c>
      <c r="Q1125" s="27">
        <f>IF(A1125="","",YEAR(A1125))</f>
        <v/>
      </c>
      <c r="R1125" s="27">
        <f>IF(L1125="","",IF(L1125&gt;Config!$B$8,"A cair",IF(N(G1125)&gt;=MIN(MAX(1,N(E1125)),MAX(0,INT((Config!$B$8-L1125)/30)+1)),IF(N(G1125)&gt;=MAX(1,N(E1125)),"Conferido","Conferido até aqui"),"A conferir")))</f>
        <v/>
      </c>
      <c r="S1125" s="51">
        <f>IF(R1125="A conferir",(Config!$B$8-L1125)*1000+N(F1125)/1000+ROW()/100000,0)</f>
        <v>0</v>
      </c>
      <c r="T1125" s="51">
        <f>IF(R1125="A conferir",N(N1125),0)</f>
        <v>0</v>
      </c>
      <c r="U1125" s="51">
        <f>IF(L1125="",0,L1125)</f>
        <v>0</v>
      </c>
      <c r="V1125" s="51">
        <f>IF(L1125="",0,MAX(1,N(E1125)))</f>
        <v>0</v>
      </c>
      <c r="W1125" s="51">
        <f>IF(K1125="",0,K1125)</f>
        <v>0</v>
      </c>
    </row>
    <row r="1126">
      <c r="A1126" s="49" t="n"/>
      <c r="B1126" s="41" t="n"/>
      <c r="C1126" s="41" t="n"/>
      <c r="D1126" s="42" t="n"/>
      <c r="E1126" s="42" t="n"/>
      <c r="F1126" s="50" t="n"/>
      <c r="G1126" s="42" t="n"/>
      <c r="H1126" s="30">
        <f>IF(D1126="","",IFERROR(INDEX(Config!$B$12:$B$15,MATCH(IF(AND(D1126="Cartão de crédito",N(E1126)&gt;1),"Cartão de crédito parcelado",D1126),Config!$A$12:$A$15,0)),0)+IF(AND(Config!$B$17="Sim",LEFT(D1126,17)="Cartão de crédito"),Config!$B$18*IFERROR(INDEX(Config!$C$12:$C$15,MATCH(IF(AND(D1126="Cartão de crédito",N(E1126)&gt;1),"Cartão de crédito parcelado",D1126),Config!$A$12:$A$15,0)),0)/30*MAX(1,N(E1126)),0))</f>
        <v/>
      </c>
      <c r="I1126" s="29">
        <f>IF(OR(D1126="",F1126=""),"",ROUND(F1126*H1126,2))</f>
        <v/>
      </c>
      <c r="J1126" s="29">
        <f>IF(I1126="","",F1126-I1126)</f>
        <v/>
      </c>
      <c r="K1126" s="29">
        <f>IF(J1126="","",J1126/MAX(1,N(E1126)))</f>
        <v/>
      </c>
      <c r="L1126" s="37">
        <f>IF(OR(D1126="",A1126=""),"",A1126+IF(AND(Config!$B$17="Sim",LEFT(D1126,17)="Cartão de crédito"),1,IFERROR(INDEX(Config!$C$12:$C$15,MATCH(IF(AND(D1126="Cartão de crédito",N(E1126)&gt;1),"Cartão de crédito parcelado",D1126),Config!$A$12:$A$15,0)),0)))</f>
        <v/>
      </c>
      <c r="M1126" s="37">
        <f>IF(L1126="","",IF(AND(Config!$B$17="Sim",LEFT(D1126,17)="Cartão de crédito"),L1126,L1126+30*(MAX(1,N(E1126))-1)))</f>
        <v/>
      </c>
      <c r="N1126" s="29">
        <f>IF(OR(L1126="",K1126=""),"",K1126*MIN(MAX(1,N(E1126)),MAX(0,INT((Config!$B$8-L1126)/30)+1)))</f>
        <v/>
      </c>
      <c r="O1126" s="29">
        <f>IF(J1126="","",J1126-N(N1126))</f>
        <v/>
      </c>
      <c r="P1126" s="27">
        <f>IF(A1126="","",MONTH(A1126))</f>
        <v/>
      </c>
      <c r="Q1126" s="27">
        <f>IF(A1126="","",YEAR(A1126))</f>
        <v/>
      </c>
      <c r="R1126" s="27">
        <f>IF(L1126="","",IF(L1126&gt;Config!$B$8,"A cair",IF(N(G1126)&gt;=MIN(MAX(1,N(E1126)),MAX(0,INT((Config!$B$8-L1126)/30)+1)),IF(N(G1126)&gt;=MAX(1,N(E1126)),"Conferido","Conferido até aqui"),"A conferir")))</f>
        <v/>
      </c>
      <c r="S1126" s="51">
        <f>IF(R1126="A conferir",(Config!$B$8-L1126)*1000+N(F1126)/1000+ROW()/100000,0)</f>
        <v>0</v>
      </c>
      <c r="T1126" s="51">
        <f>IF(R1126="A conferir",N(N1126),0)</f>
        <v>0</v>
      </c>
      <c r="U1126" s="51">
        <f>IF(L1126="",0,L1126)</f>
        <v>0</v>
      </c>
      <c r="V1126" s="51">
        <f>IF(L1126="",0,MAX(1,N(E1126)))</f>
        <v>0</v>
      </c>
      <c r="W1126" s="51">
        <f>IF(K1126="",0,K1126)</f>
        <v>0</v>
      </c>
    </row>
    <row r="1127">
      <c r="A1127" s="49" t="n"/>
      <c r="B1127" s="41" t="n"/>
      <c r="C1127" s="41" t="n"/>
      <c r="D1127" s="42" t="n"/>
      <c r="E1127" s="42" t="n"/>
      <c r="F1127" s="50" t="n"/>
      <c r="G1127" s="42" t="n"/>
      <c r="H1127" s="30">
        <f>IF(D1127="","",IFERROR(INDEX(Config!$B$12:$B$15,MATCH(IF(AND(D1127="Cartão de crédito",N(E1127)&gt;1),"Cartão de crédito parcelado",D1127),Config!$A$12:$A$15,0)),0)+IF(AND(Config!$B$17="Sim",LEFT(D1127,17)="Cartão de crédito"),Config!$B$18*IFERROR(INDEX(Config!$C$12:$C$15,MATCH(IF(AND(D1127="Cartão de crédito",N(E1127)&gt;1),"Cartão de crédito parcelado",D1127),Config!$A$12:$A$15,0)),0)/30*MAX(1,N(E1127)),0))</f>
        <v/>
      </c>
      <c r="I1127" s="29">
        <f>IF(OR(D1127="",F1127=""),"",ROUND(F1127*H1127,2))</f>
        <v/>
      </c>
      <c r="J1127" s="29">
        <f>IF(I1127="","",F1127-I1127)</f>
        <v/>
      </c>
      <c r="K1127" s="29">
        <f>IF(J1127="","",J1127/MAX(1,N(E1127)))</f>
        <v/>
      </c>
      <c r="L1127" s="37">
        <f>IF(OR(D1127="",A1127=""),"",A1127+IF(AND(Config!$B$17="Sim",LEFT(D1127,17)="Cartão de crédito"),1,IFERROR(INDEX(Config!$C$12:$C$15,MATCH(IF(AND(D1127="Cartão de crédito",N(E1127)&gt;1),"Cartão de crédito parcelado",D1127),Config!$A$12:$A$15,0)),0)))</f>
        <v/>
      </c>
      <c r="M1127" s="37">
        <f>IF(L1127="","",IF(AND(Config!$B$17="Sim",LEFT(D1127,17)="Cartão de crédito"),L1127,L1127+30*(MAX(1,N(E1127))-1)))</f>
        <v/>
      </c>
      <c r="N1127" s="29">
        <f>IF(OR(L1127="",K1127=""),"",K1127*MIN(MAX(1,N(E1127)),MAX(0,INT((Config!$B$8-L1127)/30)+1)))</f>
        <v/>
      </c>
      <c r="O1127" s="29">
        <f>IF(J1127="","",J1127-N(N1127))</f>
        <v/>
      </c>
      <c r="P1127" s="27">
        <f>IF(A1127="","",MONTH(A1127))</f>
        <v/>
      </c>
      <c r="Q1127" s="27">
        <f>IF(A1127="","",YEAR(A1127))</f>
        <v/>
      </c>
      <c r="R1127" s="27">
        <f>IF(L1127="","",IF(L1127&gt;Config!$B$8,"A cair",IF(N(G1127)&gt;=MIN(MAX(1,N(E1127)),MAX(0,INT((Config!$B$8-L1127)/30)+1)),IF(N(G1127)&gt;=MAX(1,N(E1127)),"Conferido","Conferido até aqui"),"A conferir")))</f>
        <v/>
      </c>
      <c r="S1127" s="51">
        <f>IF(R1127="A conferir",(Config!$B$8-L1127)*1000+N(F1127)/1000+ROW()/100000,0)</f>
        <v>0</v>
      </c>
      <c r="T1127" s="51">
        <f>IF(R1127="A conferir",N(N1127),0)</f>
        <v>0</v>
      </c>
      <c r="U1127" s="51">
        <f>IF(L1127="",0,L1127)</f>
        <v>0</v>
      </c>
      <c r="V1127" s="51">
        <f>IF(L1127="",0,MAX(1,N(E1127)))</f>
        <v>0</v>
      </c>
      <c r="W1127" s="51">
        <f>IF(K1127="",0,K1127)</f>
        <v>0</v>
      </c>
    </row>
    <row r="1128">
      <c r="A1128" s="49" t="n"/>
      <c r="B1128" s="41" t="n"/>
      <c r="C1128" s="41" t="n"/>
      <c r="D1128" s="42" t="n"/>
      <c r="E1128" s="42" t="n"/>
      <c r="F1128" s="50" t="n"/>
      <c r="G1128" s="42" t="n"/>
      <c r="H1128" s="30">
        <f>IF(D1128="","",IFERROR(INDEX(Config!$B$12:$B$15,MATCH(IF(AND(D1128="Cartão de crédito",N(E1128)&gt;1),"Cartão de crédito parcelado",D1128),Config!$A$12:$A$15,0)),0)+IF(AND(Config!$B$17="Sim",LEFT(D1128,17)="Cartão de crédito"),Config!$B$18*IFERROR(INDEX(Config!$C$12:$C$15,MATCH(IF(AND(D1128="Cartão de crédito",N(E1128)&gt;1),"Cartão de crédito parcelado",D1128),Config!$A$12:$A$15,0)),0)/30*MAX(1,N(E1128)),0))</f>
        <v/>
      </c>
      <c r="I1128" s="29">
        <f>IF(OR(D1128="",F1128=""),"",ROUND(F1128*H1128,2))</f>
        <v/>
      </c>
      <c r="J1128" s="29">
        <f>IF(I1128="","",F1128-I1128)</f>
        <v/>
      </c>
      <c r="K1128" s="29">
        <f>IF(J1128="","",J1128/MAX(1,N(E1128)))</f>
        <v/>
      </c>
      <c r="L1128" s="37">
        <f>IF(OR(D1128="",A1128=""),"",A1128+IF(AND(Config!$B$17="Sim",LEFT(D1128,17)="Cartão de crédito"),1,IFERROR(INDEX(Config!$C$12:$C$15,MATCH(IF(AND(D1128="Cartão de crédito",N(E1128)&gt;1),"Cartão de crédito parcelado",D1128),Config!$A$12:$A$15,0)),0)))</f>
        <v/>
      </c>
      <c r="M1128" s="37">
        <f>IF(L1128="","",IF(AND(Config!$B$17="Sim",LEFT(D1128,17)="Cartão de crédito"),L1128,L1128+30*(MAX(1,N(E1128))-1)))</f>
        <v/>
      </c>
      <c r="N1128" s="29">
        <f>IF(OR(L1128="",K1128=""),"",K1128*MIN(MAX(1,N(E1128)),MAX(0,INT((Config!$B$8-L1128)/30)+1)))</f>
        <v/>
      </c>
      <c r="O1128" s="29">
        <f>IF(J1128="","",J1128-N(N1128))</f>
        <v/>
      </c>
      <c r="P1128" s="27">
        <f>IF(A1128="","",MONTH(A1128))</f>
        <v/>
      </c>
      <c r="Q1128" s="27">
        <f>IF(A1128="","",YEAR(A1128))</f>
        <v/>
      </c>
      <c r="R1128" s="27">
        <f>IF(L1128="","",IF(L1128&gt;Config!$B$8,"A cair",IF(N(G1128)&gt;=MIN(MAX(1,N(E1128)),MAX(0,INT((Config!$B$8-L1128)/30)+1)),IF(N(G1128)&gt;=MAX(1,N(E1128)),"Conferido","Conferido até aqui"),"A conferir")))</f>
        <v/>
      </c>
      <c r="S1128" s="51">
        <f>IF(R1128="A conferir",(Config!$B$8-L1128)*1000+N(F1128)/1000+ROW()/100000,0)</f>
        <v>0</v>
      </c>
      <c r="T1128" s="51">
        <f>IF(R1128="A conferir",N(N1128),0)</f>
        <v>0</v>
      </c>
      <c r="U1128" s="51">
        <f>IF(L1128="",0,L1128)</f>
        <v>0</v>
      </c>
      <c r="V1128" s="51">
        <f>IF(L1128="",0,MAX(1,N(E1128)))</f>
        <v>0</v>
      </c>
      <c r="W1128" s="51">
        <f>IF(K1128="",0,K1128)</f>
        <v>0</v>
      </c>
    </row>
    <row r="1129">
      <c r="A1129" s="49" t="n"/>
      <c r="B1129" s="41" t="n"/>
      <c r="C1129" s="41" t="n"/>
      <c r="D1129" s="42" t="n"/>
      <c r="E1129" s="42" t="n"/>
      <c r="F1129" s="50" t="n"/>
      <c r="G1129" s="42" t="n"/>
      <c r="H1129" s="30">
        <f>IF(D1129="","",IFERROR(INDEX(Config!$B$12:$B$15,MATCH(IF(AND(D1129="Cartão de crédito",N(E1129)&gt;1),"Cartão de crédito parcelado",D1129),Config!$A$12:$A$15,0)),0)+IF(AND(Config!$B$17="Sim",LEFT(D1129,17)="Cartão de crédito"),Config!$B$18*IFERROR(INDEX(Config!$C$12:$C$15,MATCH(IF(AND(D1129="Cartão de crédito",N(E1129)&gt;1),"Cartão de crédito parcelado",D1129),Config!$A$12:$A$15,0)),0)/30*MAX(1,N(E1129)),0))</f>
        <v/>
      </c>
      <c r="I1129" s="29">
        <f>IF(OR(D1129="",F1129=""),"",ROUND(F1129*H1129,2))</f>
        <v/>
      </c>
      <c r="J1129" s="29">
        <f>IF(I1129="","",F1129-I1129)</f>
        <v/>
      </c>
      <c r="K1129" s="29">
        <f>IF(J1129="","",J1129/MAX(1,N(E1129)))</f>
        <v/>
      </c>
      <c r="L1129" s="37">
        <f>IF(OR(D1129="",A1129=""),"",A1129+IF(AND(Config!$B$17="Sim",LEFT(D1129,17)="Cartão de crédito"),1,IFERROR(INDEX(Config!$C$12:$C$15,MATCH(IF(AND(D1129="Cartão de crédito",N(E1129)&gt;1),"Cartão de crédito parcelado",D1129),Config!$A$12:$A$15,0)),0)))</f>
        <v/>
      </c>
      <c r="M1129" s="37">
        <f>IF(L1129="","",IF(AND(Config!$B$17="Sim",LEFT(D1129,17)="Cartão de crédito"),L1129,L1129+30*(MAX(1,N(E1129))-1)))</f>
        <v/>
      </c>
      <c r="N1129" s="29">
        <f>IF(OR(L1129="",K1129=""),"",K1129*MIN(MAX(1,N(E1129)),MAX(0,INT((Config!$B$8-L1129)/30)+1)))</f>
        <v/>
      </c>
      <c r="O1129" s="29">
        <f>IF(J1129="","",J1129-N(N1129))</f>
        <v/>
      </c>
      <c r="P1129" s="27">
        <f>IF(A1129="","",MONTH(A1129))</f>
        <v/>
      </c>
      <c r="Q1129" s="27">
        <f>IF(A1129="","",YEAR(A1129))</f>
        <v/>
      </c>
      <c r="R1129" s="27">
        <f>IF(L1129="","",IF(L1129&gt;Config!$B$8,"A cair",IF(N(G1129)&gt;=MIN(MAX(1,N(E1129)),MAX(0,INT((Config!$B$8-L1129)/30)+1)),IF(N(G1129)&gt;=MAX(1,N(E1129)),"Conferido","Conferido até aqui"),"A conferir")))</f>
        <v/>
      </c>
      <c r="S1129" s="51">
        <f>IF(R1129="A conferir",(Config!$B$8-L1129)*1000+N(F1129)/1000+ROW()/100000,0)</f>
        <v>0</v>
      </c>
      <c r="T1129" s="51">
        <f>IF(R1129="A conferir",N(N1129),0)</f>
        <v>0</v>
      </c>
      <c r="U1129" s="51">
        <f>IF(L1129="",0,L1129)</f>
        <v>0</v>
      </c>
      <c r="V1129" s="51">
        <f>IF(L1129="",0,MAX(1,N(E1129)))</f>
        <v>0</v>
      </c>
      <c r="W1129" s="51">
        <f>IF(K1129="",0,K1129)</f>
        <v>0</v>
      </c>
    </row>
    <row r="1130">
      <c r="A1130" s="49" t="n"/>
      <c r="B1130" s="41" t="n"/>
      <c r="C1130" s="41" t="n"/>
      <c r="D1130" s="42" t="n"/>
      <c r="E1130" s="42" t="n"/>
      <c r="F1130" s="50" t="n"/>
      <c r="G1130" s="42" t="n"/>
      <c r="H1130" s="30">
        <f>IF(D1130="","",IFERROR(INDEX(Config!$B$12:$B$15,MATCH(IF(AND(D1130="Cartão de crédito",N(E1130)&gt;1),"Cartão de crédito parcelado",D1130),Config!$A$12:$A$15,0)),0)+IF(AND(Config!$B$17="Sim",LEFT(D1130,17)="Cartão de crédito"),Config!$B$18*IFERROR(INDEX(Config!$C$12:$C$15,MATCH(IF(AND(D1130="Cartão de crédito",N(E1130)&gt;1),"Cartão de crédito parcelado",D1130),Config!$A$12:$A$15,0)),0)/30*MAX(1,N(E1130)),0))</f>
        <v/>
      </c>
      <c r="I1130" s="29">
        <f>IF(OR(D1130="",F1130=""),"",ROUND(F1130*H1130,2))</f>
        <v/>
      </c>
      <c r="J1130" s="29">
        <f>IF(I1130="","",F1130-I1130)</f>
        <v/>
      </c>
      <c r="K1130" s="29">
        <f>IF(J1130="","",J1130/MAX(1,N(E1130)))</f>
        <v/>
      </c>
      <c r="L1130" s="37">
        <f>IF(OR(D1130="",A1130=""),"",A1130+IF(AND(Config!$B$17="Sim",LEFT(D1130,17)="Cartão de crédito"),1,IFERROR(INDEX(Config!$C$12:$C$15,MATCH(IF(AND(D1130="Cartão de crédito",N(E1130)&gt;1),"Cartão de crédito parcelado",D1130),Config!$A$12:$A$15,0)),0)))</f>
        <v/>
      </c>
      <c r="M1130" s="37">
        <f>IF(L1130="","",IF(AND(Config!$B$17="Sim",LEFT(D1130,17)="Cartão de crédito"),L1130,L1130+30*(MAX(1,N(E1130))-1)))</f>
        <v/>
      </c>
      <c r="N1130" s="29">
        <f>IF(OR(L1130="",K1130=""),"",K1130*MIN(MAX(1,N(E1130)),MAX(0,INT((Config!$B$8-L1130)/30)+1)))</f>
        <v/>
      </c>
      <c r="O1130" s="29">
        <f>IF(J1130="","",J1130-N(N1130))</f>
        <v/>
      </c>
      <c r="P1130" s="27">
        <f>IF(A1130="","",MONTH(A1130))</f>
        <v/>
      </c>
      <c r="Q1130" s="27">
        <f>IF(A1130="","",YEAR(A1130))</f>
        <v/>
      </c>
      <c r="R1130" s="27">
        <f>IF(L1130="","",IF(L1130&gt;Config!$B$8,"A cair",IF(N(G1130)&gt;=MIN(MAX(1,N(E1130)),MAX(0,INT((Config!$B$8-L1130)/30)+1)),IF(N(G1130)&gt;=MAX(1,N(E1130)),"Conferido","Conferido até aqui"),"A conferir")))</f>
        <v/>
      </c>
      <c r="S1130" s="51">
        <f>IF(R1130="A conferir",(Config!$B$8-L1130)*1000+N(F1130)/1000+ROW()/100000,0)</f>
        <v>0</v>
      </c>
      <c r="T1130" s="51">
        <f>IF(R1130="A conferir",N(N1130),0)</f>
        <v>0</v>
      </c>
      <c r="U1130" s="51">
        <f>IF(L1130="",0,L1130)</f>
        <v>0</v>
      </c>
      <c r="V1130" s="51">
        <f>IF(L1130="",0,MAX(1,N(E1130)))</f>
        <v>0</v>
      </c>
      <c r="W1130" s="51">
        <f>IF(K1130="",0,K1130)</f>
        <v>0</v>
      </c>
    </row>
    <row r="1131">
      <c r="A1131" s="49" t="n"/>
      <c r="B1131" s="41" t="n"/>
      <c r="C1131" s="41" t="n"/>
      <c r="D1131" s="42" t="n"/>
      <c r="E1131" s="42" t="n"/>
      <c r="F1131" s="50" t="n"/>
      <c r="G1131" s="42" t="n"/>
      <c r="H1131" s="30">
        <f>IF(D1131="","",IFERROR(INDEX(Config!$B$12:$B$15,MATCH(IF(AND(D1131="Cartão de crédito",N(E1131)&gt;1),"Cartão de crédito parcelado",D1131),Config!$A$12:$A$15,0)),0)+IF(AND(Config!$B$17="Sim",LEFT(D1131,17)="Cartão de crédito"),Config!$B$18*IFERROR(INDEX(Config!$C$12:$C$15,MATCH(IF(AND(D1131="Cartão de crédito",N(E1131)&gt;1),"Cartão de crédito parcelado",D1131),Config!$A$12:$A$15,0)),0)/30*MAX(1,N(E1131)),0))</f>
        <v/>
      </c>
      <c r="I1131" s="29">
        <f>IF(OR(D1131="",F1131=""),"",ROUND(F1131*H1131,2))</f>
        <v/>
      </c>
      <c r="J1131" s="29">
        <f>IF(I1131="","",F1131-I1131)</f>
        <v/>
      </c>
      <c r="K1131" s="29">
        <f>IF(J1131="","",J1131/MAX(1,N(E1131)))</f>
        <v/>
      </c>
      <c r="L1131" s="37">
        <f>IF(OR(D1131="",A1131=""),"",A1131+IF(AND(Config!$B$17="Sim",LEFT(D1131,17)="Cartão de crédito"),1,IFERROR(INDEX(Config!$C$12:$C$15,MATCH(IF(AND(D1131="Cartão de crédito",N(E1131)&gt;1),"Cartão de crédito parcelado",D1131),Config!$A$12:$A$15,0)),0)))</f>
        <v/>
      </c>
      <c r="M1131" s="37">
        <f>IF(L1131="","",IF(AND(Config!$B$17="Sim",LEFT(D1131,17)="Cartão de crédito"),L1131,L1131+30*(MAX(1,N(E1131))-1)))</f>
        <v/>
      </c>
      <c r="N1131" s="29">
        <f>IF(OR(L1131="",K1131=""),"",K1131*MIN(MAX(1,N(E1131)),MAX(0,INT((Config!$B$8-L1131)/30)+1)))</f>
        <v/>
      </c>
      <c r="O1131" s="29">
        <f>IF(J1131="","",J1131-N(N1131))</f>
        <v/>
      </c>
      <c r="P1131" s="27">
        <f>IF(A1131="","",MONTH(A1131))</f>
        <v/>
      </c>
      <c r="Q1131" s="27">
        <f>IF(A1131="","",YEAR(A1131))</f>
        <v/>
      </c>
      <c r="R1131" s="27">
        <f>IF(L1131="","",IF(L1131&gt;Config!$B$8,"A cair",IF(N(G1131)&gt;=MIN(MAX(1,N(E1131)),MAX(0,INT((Config!$B$8-L1131)/30)+1)),IF(N(G1131)&gt;=MAX(1,N(E1131)),"Conferido","Conferido até aqui"),"A conferir")))</f>
        <v/>
      </c>
      <c r="S1131" s="51">
        <f>IF(R1131="A conferir",(Config!$B$8-L1131)*1000+N(F1131)/1000+ROW()/100000,0)</f>
        <v>0</v>
      </c>
      <c r="T1131" s="51">
        <f>IF(R1131="A conferir",N(N1131),0)</f>
        <v>0</v>
      </c>
      <c r="U1131" s="51">
        <f>IF(L1131="",0,L1131)</f>
        <v>0</v>
      </c>
      <c r="V1131" s="51">
        <f>IF(L1131="",0,MAX(1,N(E1131)))</f>
        <v>0</v>
      </c>
      <c r="W1131" s="51">
        <f>IF(K1131="",0,K1131)</f>
        <v>0</v>
      </c>
    </row>
    <row r="1132">
      <c r="A1132" s="49" t="n"/>
      <c r="B1132" s="41" t="n"/>
      <c r="C1132" s="41" t="n"/>
      <c r="D1132" s="42" t="n"/>
      <c r="E1132" s="42" t="n"/>
      <c r="F1132" s="50" t="n"/>
      <c r="G1132" s="42" t="n"/>
      <c r="H1132" s="30">
        <f>IF(D1132="","",IFERROR(INDEX(Config!$B$12:$B$15,MATCH(IF(AND(D1132="Cartão de crédito",N(E1132)&gt;1),"Cartão de crédito parcelado",D1132),Config!$A$12:$A$15,0)),0)+IF(AND(Config!$B$17="Sim",LEFT(D1132,17)="Cartão de crédito"),Config!$B$18*IFERROR(INDEX(Config!$C$12:$C$15,MATCH(IF(AND(D1132="Cartão de crédito",N(E1132)&gt;1),"Cartão de crédito parcelado",D1132),Config!$A$12:$A$15,0)),0)/30*MAX(1,N(E1132)),0))</f>
        <v/>
      </c>
      <c r="I1132" s="29">
        <f>IF(OR(D1132="",F1132=""),"",ROUND(F1132*H1132,2))</f>
        <v/>
      </c>
      <c r="J1132" s="29">
        <f>IF(I1132="","",F1132-I1132)</f>
        <v/>
      </c>
      <c r="K1132" s="29">
        <f>IF(J1132="","",J1132/MAX(1,N(E1132)))</f>
        <v/>
      </c>
      <c r="L1132" s="37">
        <f>IF(OR(D1132="",A1132=""),"",A1132+IF(AND(Config!$B$17="Sim",LEFT(D1132,17)="Cartão de crédito"),1,IFERROR(INDEX(Config!$C$12:$C$15,MATCH(IF(AND(D1132="Cartão de crédito",N(E1132)&gt;1),"Cartão de crédito parcelado",D1132),Config!$A$12:$A$15,0)),0)))</f>
        <v/>
      </c>
      <c r="M1132" s="37">
        <f>IF(L1132="","",IF(AND(Config!$B$17="Sim",LEFT(D1132,17)="Cartão de crédito"),L1132,L1132+30*(MAX(1,N(E1132))-1)))</f>
        <v/>
      </c>
      <c r="N1132" s="29">
        <f>IF(OR(L1132="",K1132=""),"",K1132*MIN(MAX(1,N(E1132)),MAX(0,INT((Config!$B$8-L1132)/30)+1)))</f>
        <v/>
      </c>
      <c r="O1132" s="29">
        <f>IF(J1132="","",J1132-N(N1132))</f>
        <v/>
      </c>
      <c r="P1132" s="27">
        <f>IF(A1132="","",MONTH(A1132))</f>
        <v/>
      </c>
      <c r="Q1132" s="27">
        <f>IF(A1132="","",YEAR(A1132))</f>
        <v/>
      </c>
      <c r="R1132" s="27">
        <f>IF(L1132="","",IF(L1132&gt;Config!$B$8,"A cair",IF(N(G1132)&gt;=MIN(MAX(1,N(E1132)),MAX(0,INT((Config!$B$8-L1132)/30)+1)),IF(N(G1132)&gt;=MAX(1,N(E1132)),"Conferido","Conferido até aqui"),"A conferir")))</f>
        <v/>
      </c>
      <c r="S1132" s="51">
        <f>IF(R1132="A conferir",(Config!$B$8-L1132)*1000+N(F1132)/1000+ROW()/100000,0)</f>
        <v>0</v>
      </c>
      <c r="T1132" s="51">
        <f>IF(R1132="A conferir",N(N1132),0)</f>
        <v>0</v>
      </c>
      <c r="U1132" s="51">
        <f>IF(L1132="",0,L1132)</f>
        <v>0</v>
      </c>
      <c r="V1132" s="51">
        <f>IF(L1132="",0,MAX(1,N(E1132)))</f>
        <v>0</v>
      </c>
      <c r="W1132" s="51">
        <f>IF(K1132="",0,K1132)</f>
        <v>0</v>
      </c>
    </row>
    <row r="1133">
      <c r="A1133" s="49" t="n"/>
      <c r="B1133" s="41" t="n"/>
      <c r="C1133" s="41" t="n"/>
      <c r="D1133" s="42" t="n"/>
      <c r="E1133" s="42" t="n"/>
      <c r="F1133" s="50" t="n"/>
      <c r="G1133" s="42" t="n"/>
      <c r="H1133" s="30">
        <f>IF(D1133="","",IFERROR(INDEX(Config!$B$12:$B$15,MATCH(IF(AND(D1133="Cartão de crédito",N(E1133)&gt;1),"Cartão de crédito parcelado",D1133),Config!$A$12:$A$15,0)),0)+IF(AND(Config!$B$17="Sim",LEFT(D1133,17)="Cartão de crédito"),Config!$B$18*IFERROR(INDEX(Config!$C$12:$C$15,MATCH(IF(AND(D1133="Cartão de crédito",N(E1133)&gt;1),"Cartão de crédito parcelado",D1133),Config!$A$12:$A$15,0)),0)/30*MAX(1,N(E1133)),0))</f>
        <v/>
      </c>
      <c r="I1133" s="29">
        <f>IF(OR(D1133="",F1133=""),"",ROUND(F1133*H1133,2))</f>
        <v/>
      </c>
      <c r="J1133" s="29">
        <f>IF(I1133="","",F1133-I1133)</f>
        <v/>
      </c>
      <c r="K1133" s="29">
        <f>IF(J1133="","",J1133/MAX(1,N(E1133)))</f>
        <v/>
      </c>
      <c r="L1133" s="37">
        <f>IF(OR(D1133="",A1133=""),"",A1133+IF(AND(Config!$B$17="Sim",LEFT(D1133,17)="Cartão de crédito"),1,IFERROR(INDEX(Config!$C$12:$C$15,MATCH(IF(AND(D1133="Cartão de crédito",N(E1133)&gt;1),"Cartão de crédito parcelado",D1133),Config!$A$12:$A$15,0)),0)))</f>
        <v/>
      </c>
      <c r="M1133" s="37">
        <f>IF(L1133="","",IF(AND(Config!$B$17="Sim",LEFT(D1133,17)="Cartão de crédito"),L1133,L1133+30*(MAX(1,N(E1133))-1)))</f>
        <v/>
      </c>
      <c r="N1133" s="29">
        <f>IF(OR(L1133="",K1133=""),"",K1133*MIN(MAX(1,N(E1133)),MAX(0,INT((Config!$B$8-L1133)/30)+1)))</f>
        <v/>
      </c>
      <c r="O1133" s="29">
        <f>IF(J1133="","",J1133-N(N1133))</f>
        <v/>
      </c>
      <c r="P1133" s="27">
        <f>IF(A1133="","",MONTH(A1133))</f>
        <v/>
      </c>
      <c r="Q1133" s="27">
        <f>IF(A1133="","",YEAR(A1133))</f>
        <v/>
      </c>
      <c r="R1133" s="27">
        <f>IF(L1133="","",IF(L1133&gt;Config!$B$8,"A cair",IF(N(G1133)&gt;=MIN(MAX(1,N(E1133)),MAX(0,INT((Config!$B$8-L1133)/30)+1)),IF(N(G1133)&gt;=MAX(1,N(E1133)),"Conferido","Conferido até aqui"),"A conferir")))</f>
        <v/>
      </c>
      <c r="S1133" s="51">
        <f>IF(R1133="A conferir",(Config!$B$8-L1133)*1000+N(F1133)/1000+ROW()/100000,0)</f>
        <v>0</v>
      </c>
      <c r="T1133" s="51">
        <f>IF(R1133="A conferir",N(N1133),0)</f>
        <v>0</v>
      </c>
      <c r="U1133" s="51">
        <f>IF(L1133="",0,L1133)</f>
        <v>0</v>
      </c>
      <c r="V1133" s="51">
        <f>IF(L1133="",0,MAX(1,N(E1133)))</f>
        <v>0</v>
      </c>
      <c r="W1133" s="51">
        <f>IF(K1133="",0,K1133)</f>
        <v>0</v>
      </c>
    </row>
    <row r="1134">
      <c r="A1134" s="49" t="n"/>
      <c r="B1134" s="41" t="n"/>
      <c r="C1134" s="41" t="n"/>
      <c r="D1134" s="42" t="n"/>
      <c r="E1134" s="42" t="n"/>
      <c r="F1134" s="50" t="n"/>
      <c r="G1134" s="42" t="n"/>
      <c r="H1134" s="30">
        <f>IF(D1134="","",IFERROR(INDEX(Config!$B$12:$B$15,MATCH(IF(AND(D1134="Cartão de crédito",N(E1134)&gt;1),"Cartão de crédito parcelado",D1134),Config!$A$12:$A$15,0)),0)+IF(AND(Config!$B$17="Sim",LEFT(D1134,17)="Cartão de crédito"),Config!$B$18*IFERROR(INDEX(Config!$C$12:$C$15,MATCH(IF(AND(D1134="Cartão de crédito",N(E1134)&gt;1),"Cartão de crédito parcelado",D1134),Config!$A$12:$A$15,0)),0)/30*MAX(1,N(E1134)),0))</f>
        <v/>
      </c>
      <c r="I1134" s="29">
        <f>IF(OR(D1134="",F1134=""),"",ROUND(F1134*H1134,2))</f>
        <v/>
      </c>
      <c r="J1134" s="29">
        <f>IF(I1134="","",F1134-I1134)</f>
        <v/>
      </c>
      <c r="K1134" s="29">
        <f>IF(J1134="","",J1134/MAX(1,N(E1134)))</f>
        <v/>
      </c>
      <c r="L1134" s="37">
        <f>IF(OR(D1134="",A1134=""),"",A1134+IF(AND(Config!$B$17="Sim",LEFT(D1134,17)="Cartão de crédito"),1,IFERROR(INDEX(Config!$C$12:$C$15,MATCH(IF(AND(D1134="Cartão de crédito",N(E1134)&gt;1),"Cartão de crédito parcelado",D1134),Config!$A$12:$A$15,0)),0)))</f>
        <v/>
      </c>
      <c r="M1134" s="37">
        <f>IF(L1134="","",IF(AND(Config!$B$17="Sim",LEFT(D1134,17)="Cartão de crédito"),L1134,L1134+30*(MAX(1,N(E1134))-1)))</f>
        <v/>
      </c>
      <c r="N1134" s="29">
        <f>IF(OR(L1134="",K1134=""),"",K1134*MIN(MAX(1,N(E1134)),MAX(0,INT((Config!$B$8-L1134)/30)+1)))</f>
        <v/>
      </c>
      <c r="O1134" s="29">
        <f>IF(J1134="","",J1134-N(N1134))</f>
        <v/>
      </c>
      <c r="P1134" s="27">
        <f>IF(A1134="","",MONTH(A1134))</f>
        <v/>
      </c>
      <c r="Q1134" s="27">
        <f>IF(A1134="","",YEAR(A1134))</f>
        <v/>
      </c>
      <c r="R1134" s="27">
        <f>IF(L1134="","",IF(L1134&gt;Config!$B$8,"A cair",IF(N(G1134)&gt;=MIN(MAX(1,N(E1134)),MAX(0,INT((Config!$B$8-L1134)/30)+1)),IF(N(G1134)&gt;=MAX(1,N(E1134)),"Conferido","Conferido até aqui"),"A conferir")))</f>
        <v/>
      </c>
      <c r="S1134" s="51">
        <f>IF(R1134="A conferir",(Config!$B$8-L1134)*1000+N(F1134)/1000+ROW()/100000,0)</f>
        <v>0</v>
      </c>
      <c r="T1134" s="51">
        <f>IF(R1134="A conferir",N(N1134),0)</f>
        <v>0</v>
      </c>
      <c r="U1134" s="51">
        <f>IF(L1134="",0,L1134)</f>
        <v>0</v>
      </c>
      <c r="V1134" s="51">
        <f>IF(L1134="",0,MAX(1,N(E1134)))</f>
        <v>0</v>
      </c>
      <c r="W1134" s="51">
        <f>IF(K1134="",0,K1134)</f>
        <v>0</v>
      </c>
    </row>
    <row r="1135">
      <c r="A1135" s="49" t="n"/>
      <c r="B1135" s="41" t="n"/>
      <c r="C1135" s="41" t="n"/>
      <c r="D1135" s="42" t="n"/>
      <c r="E1135" s="42" t="n"/>
      <c r="F1135" s="50" t="n"/>
      <c r="G1135" s="42" t="n"/>
      <c r="H1135" s="30">
        <f>IF(D1135="","",IFERROR(INDEX(Config!$B$12:$B$15,MATCH(IF(AND(D1135="Cartão de crédito",N(E1135)&gt;1),"Cartão de crédito parcelado",D1135),Config!$A$12:$A$15,0)),0)+IF(AND(Config!$B$17="Sim",LEFT(D1135,17)="Cartão de crédito"),Config!$B$18*IFERROR(INDEX(Config!$C$12:$C$15,MATCH(IF(AND(D1135="Cartão de crédito",N(E1135)&gt;1),"Cartão de crédito parcelado",D1135),Config!$A$12:$A$15,0)),0)/30*MAX(1,N(E1135)),0))</f>
        <v/>
      </c>
      <c r="I1135" s="29">
        <f>IF(OR(D1135="",F1135=""),"",ROUND(F1135*H1135,2))</f>
        <v/>
      </c>
      <c r="J1135" s="29">
        <f>IF(I1135="","",F1135-I1135)</f>
        <v/>
      </c>
      <c r="K1135" s="29">
        <f>IF(J1135="","",J1135/MAX(1,N(E1135)))</f>
        <v/>
      </c>
      <c r="L1135" s="37">
        <f>IF(OR(D1135="",A1135=""),"",A1135+IF(AND(Config!$B$17="Sim",LEFT(D1135,17)="Cartão de crédito"),1,IFERROR(INDEX(Config!$C$12:$C$15,MATCH(IF(AND(D1135="Cartão de crédito",N(E1135)&gt;1),"Cartão de crédito parcelado",D1135),Config!$A$12:$A$15,0)),0)))</f>
        <v/>
      </c>
      <c r="M1135" s="37">
        <f>IF(L1135="","",IF(AND(Config!$B$17="Sim",LEFT(D1135,17)="Cartão de crédito"),L1135,L1135+30*(MAX(1,N(E1135))-1)))</f>
        <v/>
      </c>
      <c r="N1135" s="29">
        <f>IF(OR(L1135="",K1135=""),"",K1135*MIN(MAX(1,N(E1135)),MAX(0,INT((Config!$B$8-L1135)/30)+1)))</f>
        <v/>
      </c>
      <c r="O1135" s="29">
        <f>IF(J1135="","",J1135-N(N1135))</f>
        <v/>
      </c>
      <c r="P1135" s="27">
        <f>IF(A1135="","",MONTH(A1135))</f>
        <v/>
      </c>
      <c r="Q1135" s="27">
        <f>IF(A1135="","",YEAR(A1135))</f>
        <v/>
      </c>
      <c r="R1135" s="27">
        <f>IF(L1135="","",IF(L1135&gt;Config!$B$8,"A cair",IF(N(G1135)&gt;=MIN(MAX(1,N(E1135)),MAX(0,INT((Config!$B$8-L1135)/30)+1)),IF(N(G1135)&gt;=MAX(1,N(E1135)),"Conferido","Conferido até aqui"),"A conferir")))</f>
        <v/>
      </c>
      <c r="S1135" s="51">
        <f>IF(R1135="A conferir",(Config!$B$8-L1135)*1000+N(F1135)/1000+ROW()/100000,0)</f>
        <v>0</v>
      </c>
      <c r="T1135" s="51">
        <f>IF(R1135="A conferir",N(N1135),0)</f>
        <v>0</v>
      </c>
      <c r="U1135" s="51">
        <f>IF(L1135="",0,L1135)</f>
        <v>0</v>
      </c>
      <c r="V1135" s="51">
        <f>IF(L1135="",0,MAX(1,N(E1135)))</f>
        <v>0</v>
      </c>
      <c r="W1135" s="51">
        <f>IF(K1135="",0,K1135)</f>
        <v>0</v>
      </c>
    </row>
    <row r="1136">
      <c r="A1136" s="49" t="n"/>
      <c r="B1136" s="41" t="n"/>
      <c r="C1136" s="41" t="n"/>
      <c r="D1136" s="42" t="n"/>
      <c r="E1136" s="42" t="n"/>
      <c r="F1136" s="50" t="n"/>
      <c r="G1136" s="42" t="n"/>
      <c r="H1136" s="30">
        <f>IF(D1136="","",IFERROR(INDEX(Config!$B$12:$B$15,MATCH(IF(AND(D1136="Cartão de crédito",N(E1136)&gt;1),"Cartão de crédito parcelado",D1136),Config!$A$12:$A$15,0)),0)+IF(AND(Config!$B$17="Sim",LEFT(D1136,17)="Cartão de crédito"),Config!$B$18*IFERROR(INDEX(Config!$C$12:$C$15,MATCH(IF(AND(D1136="Cartão de crédito",N(E1136)&gt;1),"Cartão de crédito parcelado",D1136),Config!$A$12:$A$15,0)),0)/30*MAX(1,N(E1136)),0))</f>
        <v/>
      </c>
      <c r="I1136" s="29">
        <f>IF(OR(D1136="",F1136=""),"",ROUND(F1136*H1136,2))</f>
        <v/>
      </c>
      <c r="J1136" s="29">
        <f>IF(I1136="","",F1136-I1136)</f>
        <v/>
      </c>
      <c r="K1136" s="29">
        <f>IF(J1136="","",J1136/MAX(1,N(E1136)))</f>
        <v/>
      </c>
      <c r="L1136" s="37">
        <f>IF(OR(D1136="",A1136=""),"",A1136+IF(AND(Config!$B$17="Sim",LEFT(D1136,17)="Cartão de crédito"),1,IFERROR(INDEX(Config!$C$12:$C$15,MATCH(IF(AND(D1136="Cartão de crédito",N(E1136)&gt;1),"Cartão de crédito parcelado",D1136),Config!$A$12:$A$15,0)),0)))</f>
        <v/>
      </c>
      <c r="M1136" s="37">
        <f>IF(L1136="","",IF(AND(Config!$B$17="Sim",LEFT(D1136,17)="Cartão de crédito"),L1136,L1136+30*(MAX(1,N(E1136))-1)))</f>
        <v/>
      </c>
      <c r="N1136" s="29">
        <f>IF(OR(L1136="",K1136=""),"",K1136*MIN(MAX(1,N(E1136)),MAX(0,INT((Config!$B$8-L1136)/30)+1)))</f>
        <v/>
      </c>
      <c r="O1136" s="29">
        <f>IF(J1136="","",J1136-N(N1136))</f>
        <v/>
      </c>
      <c r="P1136" s="27">
        <f>IF(A1136="","",MONTH(A1136))</f>
        <v/>
      </c>
      <c r="Q1136" s="27">
        <f>IF(A1136="","",YEAR(A1136))</f>
        <v/>
      </c>
      <c r="R1136" s="27">
        <f>IF(L1136="","",IF(L1136&gt;Config!$B$8,"A cair",IF(N(G1136)&gt;=MIN(MAX(1,N(E1136)),MAX(0,INT((Config!$B$8-L1136)/30)+1)),IF(N(G1136)&gt;=MAX(1,N(E1136)),"Conferido","Conferido até aqui"),"A conferir")))</f>
        <v/>
      </c>
      <c r="S1136" s="51">
        <f>IF(R1136="A conferir",(Config!$B$8-L1136)*1000+N(F1136)/1000+ROW()/100000,0)</f>
        <v>0</v>
      </c>
      <c r="T1136" s="51">
        <f>IF(R1136="A conferir",N(N1136),0)</f>
        <v>0</v>
      </c>
      <c r="U1136" s="51">
        <f>IF(L1136="",0,L1136)</f>
        <v>0</v>
      </c>
      <c r="V1136" s="51">
        <f>IF(L1136="",0,MAX(1,N(E1136)))</f>
        <v>0</v>
      </c>
      <c r="W1136" s="51">
        <f>IF(K1136="",0,K1136)</f>
        <v>0</v>
      </c>
    </row>
    <row r="1137">
      <c r="A1137" s="49" t="n"/>
      <c r="B1137" s="41" t="n"/>
      <c r="C1137" s="41" t="n"/>
      <c r="D1137" s="42" t="n"/>
      <c r="E1137" s="42" t="n"/>
      <c r="F1137" s="50" t="n"/>
      <c r="G1137" s="42" t="n"/>
      <c r="H1137" s="30">
        <f>IF(D1137="","",IFERROR(INDEX(Config!$B$12:$B$15,MATCH(IF(AND(D1137="Cartão de crédito",N(E1137)&gt;1),"Cartão de crédito parcelado",D1137),Config!$A$12:$A$15,0)),0)+IF(AND(Config!$B$17="Sim",LEFT(D1137,17)="Cartão de crédito"),Config!$B$18*IFERROR(INDEX(Config!$C$12:$C$15,MATCH(IF(AND(D1137="Cartão de crédito",N(E1137)&gt;1),"Cartão de crédito parcelado",D1137),Config!$A$12:$A$15,0)),0)/30*MAX(1,N(E1137)),0))</f>
        <v/>
      </c>
      <c r="I1137" s="29">
        <f>IF(OR(D1137="",F1137=""),"",ROUND(F1137*H1137,2))</f>
        <v/>
      </c>
      <c r="J1137" s="29">
        <f>IF(I1137="","",F1137-I1137)</f>
        <v/>
      </c>
      <c r="K1137" s="29">
        <f>IF(J1137="","",J1137/MAX(1,N(E1137)))</f>
        <v/>
      </c>
      <c r="L1137" s="37">
        <f>IF(OR(D1137="",A1137=""),"",A1137+IF(AND(Config!$B$17="Sim",LEFT(D1137,17)="Cartão de crédito"),1,IFERROR(INDEX(Config!$C$12:$C$15,MATCH(IF(AND(D1137="Cartão de crédito",N(E1137)&gt;1),"Cartão de crédito parcelado",D1137),Config!$A$12:$A$15,0)),0)))</f>
        <v/>
      </c>
      <c r="M1137" s="37">
        <f>IF(L1137="","",IF(AND(Config!$B$17="Sim",LEFT(D1137,17)="Cartão de crédito"),L1137,L1137+30*(MAX(1,N(E1137))-1)))</f>
        <v/>
      </c>
      <c r="N1137" s="29">
        <f>IF(OR(L1137="",K1137=""),"",K1137*MIN(MAX(1,N(E1137)),MAX(0,INT((Config!$B$8-L1137)/30)+1)))</f>
        <v/>
      </c>
      <c r="O1137" s="29">
        <f>IF(J1137="","",J1137-N(N1137))</f>
        <v/>
      </c>
      <c r="P1137" s="27">
        <f>IF(A1137="","",MONTH(A1137))</f>
        <v/>
      </c>
      <c r="Q1137" s="27">
        <f>IF(A1137="","",YEAR(A1137))</f>
        <v/>
      </c>
      <c r="R1137" s="27">
        <f>IF(L1137="","",IF(L1137&gt;Config!$B$8,"A cair",IF(N(G1137)&gt;=MIN(MAX(1,N(E1137)),MAX(0,INT((Config!$B$8-L1137)/30)+1)),IF(N(G1137)&gt;=MAX(1,N(E1137)),"Conferido","Conferido até aqui"),"A conferir")))</f>
        <v/>
      </c>
      <c r="S1137" s="51">
        <f>IF(R1137="A conferir",(Config!$B$8-L1137)*1000+N(F1137)/1000+ROW()/100000,0)</f>
        <v>0</v>
      </c>
      <c r="T1137" s="51">
        <f>IF(R1137="A conferir",N(N1137),0)</f>
        <v>0</v>
      </c>
      <c r="U1137" s="51">
        <f>IF(L1137="",0,L1137)</f>
        <v>0</v>
      </c>
      <c r="V1137" s="51">
        <f>IF(L1137="",0,MAX(1,N(E1137)))</f>
        <v>0</v>
      </c>
      <c r="W1137" s="51">
        <f>IF(K1137="",0,K1137)</f>
        <v>0</v>
      </c>
    </row>
    <row r="1138">
      <c r="A1138" s="49" t="n"/>
      <c r="B1138" s="41" t="n"/>
      <c r="C1138" s="41" t="n"/>
      <c r="D1138" s="42" t="n"/>
      <c r="E1138" s="42" t="n"/>
      <c r="F1138" s="50" t="n"/>
      <c r="G1138" s="42" t="n"/>
      <c r="H1138" s="30">
        <f>IF(D1138="","",IFERROR(INDEX(Config!$B$12:$B$15,MATCH(IF(AND(D1138="Cartão de crédito",N(E1138)&gt;1),"Cartão de crédito parcelado",D1138),Config!$A$12:$A$15,0)),0)+IF(AND(Config!$B$17="Sim",LEFT(D1138,17)="Cartão de crédito"),Config!$B$18*IFERROR(INDEX(Config!$C$12:$C$15,MATCH(IF(AND(D1138="Cartão de crédito",N(E1138)&gt;1),"Cartão de crédito parcelado",D1138),Config!$A$12:$A$15,0)),0)/30*MAX(1,N(E1138)),0))</f>
        <v/>
      </c>
      <c r="I1138" s="29">
        <f>IF(OR(D1138="",F1138=""),"",ROUND(F1138*H1138,2))</f>
        <v/>
      </c>
      <c r="J1138" s="29">
        <f>IF(I1138="","",F1138-I1138)</f>
        <v/>
      </c>
      <c r="K1138" s="29">
        <f>IF(J1138="","",J1138/MAX(1,N(E1138)))</f>
        <v/>
      </c>
      <c r="L1138" s="37">
        <f>IF(OR(D1138="",A1138=""),"",A1138+IF(AND(Config!$B$17="Sim",LEFT(D1138,17)="Cartão de crédito"),1,IFERROR(INDEX(Config!$C$12:$C$15,MATCH(IF(AND(D1138="Cartão de crédito",N(E1138)&gt;1),"Cartão de crédito parcelado",D1138),Config!$A$12:$A$15,0)),0)))</f>
        <v/>
      </c>
      <c r="M1138" s="37">
        <f>IF(L1138="","",IF(AND(Config!$B$17="Sim",LEFT(D1138,17)="Cartão de crédito"),L1138,L1138+30*(MAX(1,N(E1138))-1)))</f>
        <v/>
      </c>
      <c r="N1138" s="29">
        <f>IF(OR(L1138="",K1138=""),"",K1138*MIN(MAX(1,N(E1138)),MAX(0,INT((Config!$B$8-L1138)/30)+1)))</f>
        <v/>
      </c>
      <c r="O1138" s="29">
        <f>IF(J1138="","",J1138-N(N1138))</f>
        <v/>
      </c>
      <c r="P1138" s="27">
        <f>IF(A1138="","",MONTH(A1138))</f>
        <v/>
      </c>
      <c r="Q1138" s="27">
        <f>IF(A1138="","",YEAR(A1138))</f>
        <v/>
      </c>
      <c r="R1138" s="27">
        <f>IF(L1138="","",IF(L1138&gt;Config!$B$8,"A cair",IF(N(G1138)&gt;=MIN(MAX(1,N(E1138)),MAX(0,INT((Config!$B$8-L1138)/30)+1)),IF(N(G1138)&gt;=MAX(1,N(E1138)),"Conferido","Conferido até aqui"),"A conferir")))</f>
        <v/>
      </c>
      <c r="S1138" s="51">
        <f>IF(R1138="A conferir",(Config!$B$8-L1138)*1000+N(F1138)/1000+ROW()/100000,0)</f>
        <v>0</v>
      </c>
      <c r="T1138" s="51">
        <f>IF(R1138="A conferir",N(N1138),0)</f>
        <v>0</v>
      </c>
      <c r="U1138" s="51">
        <f>IF(L1138="",0,L1138)</f>
        <v>0</v>
      </c>
      <c r="V1138" s="51">
        <f>IF(L1138="",0,MAX(1,N(E1138)))</f>
        <v>0</v>
      </c>
      <c r="W1138" s="51">
        <f>IF(K1138="",0,K1138)</f>
        <v>0</v>
      </c>
    </row>
    <row r="1139">
      <c r="A1139" s="49" t="n"/>
      <c r="B1139" s="41" t="n"/>
      <c r="C1139" s="41" t="n"/>
      <c r="D1139" s="42" t="n"/>
      <c r="E1139" s="42" t="n"/>
      <c r="F1139" s="50" t="n"/>
      <c r="G1139" s="42" t="n"/>
      <c r="H1139" s="30">
        <f>IF(D1139="","",IFERROR(INDEX(Config!$B$12:$B$15,MATCH(IF(AND(D1139="Cartão de crédito",N(E1139)&gt;1),"Cartão de crédito parcelado",D1139),Config!$A$12:$A$15,0)),0)+IF(AND(Config!$B$17="Sim",LEFT(D1139,17)="Cartão de crédito"),Config!$B$18*IFERROR(INDEX(Config!$C$12:$C$15,MATCH(IF(AND(D1139="Cartão de crédito",N(E1139)&gt;1),"Cartão de crédito parcelado",D1139),Config!$A$12:$A$15,0)),0)/30*MAX(1,N(E1139)),0))</f>
        <v/>
      </c>
      <c r="I1139" s="29">
        <f>IF(OR(D1139="",F1139=""),"",ROUND(F1139*H1139,2))</f>
        <v/>
      </c>
      <c r="J1139" s="29">
        <f>IF(I1139="","",F1139-I1139)</f>
        <v/>
      </c>
      <c r="K1139" s="29">
        <f>IF(J1139="","",J1139/MAX(1,N(E1139)))</f>
        <v/>
      </c>
      <c r="L1139" s="37">
        <f>IF(OR(D1139="",A1139=""),"",A1139+IF(AND(Config!$B$17="Sim",LEFT(D1139,17)="Cartão de crédito"),1,IFERROR(INDEX(Config!$C$12:$C$15,MATCH(IF(AND(D1139="Cartão de crédito",N(E1139)&gt;1),"Cartão de crédito parcelado",D1139),Config!$A$12:$A$15,0)),0)))</f>
        <v/>
      </c>
      <c r="M1139" s="37">
        <f>IF(L1139="","",IF(AND(Config!$B$17="Sim",LEFT(D1139,17)="Cartão de crédito"),L1139,L1139+30*(MAX(1,N(E1139))-1)))</f>
        <v/>
      </c>
      <c r="N1139" s="29">
        <f>IF(OR(L1139="",K1139=""),"",K1139*MIN(MAX(1,N(E1139)),MAX(0,INT((Config!$B$8-L1139)/30)+1)))</f>
        <v/>
      </c>
      <c r="O1139" s="29">
        <f>IF(J1139="","",J1139-N(N1139))</f>
        <v/>
      </c>
      <c r="P1139" s="27">
        <f>IF(A1139="","",MONTH(A1139))</f>
        <v/>
      </c>
      <c r="Q1139" s="27">
        <f>IF(A1139="","",YEAR(A1139))</f>
        <v/>
      </c>
      <c r="R1139" s="27">
        <f>IF(L1139="","",IF(L1139&gt;Config!$B$8,"A cair",IF(N(G1139)&gt;=MIN(MAX(1,N(E1139)),MAX(0,INT((Config!$B$8-L1139)/30)+1)),IF(N(G1139)&gt;=MAX(1,N(E1139)),"Conferido","Conferido até aqui"),"A conferir")))</f>
        <v/>
      </c>
      <c r="S1139" s="51">
        <f>IF(R1139="A conferir",(Config!$B$8-L1139)*1000+N(F1139)/1000+ROW()/100000,0)</f>
        <v>0</v>
      </c>
      <c r="T1139" s="51">
        <f>IF(R1139="A conferir",N(N1139),0)</f>
        <v>0</v>
      </c>
      <c r="U1139" s="51">
        <f>IF(L1139="",0,L1139)</f>
        <v>0</v>
      </c>
      <c r="V1139" s="51">
        <f>IF(L1139="",0,MAX(1,N(E1139)))</f>
        <v>0</v>
      </c>
      <c r="W1139" s="51">
        <f>IF(K1139="",0,K1139)</f>
        <v>0</v>
      </c>
    </row>
    <row r="1140">
      <c r="A1140" s="49" t="n"/>
      <c r="B1140" s="41" t="n"/>
      <c r="C1140" s="41" t="n"/>
      <c r="D1140" s="42" t="n"/>
      <c r="E1140" s="42" t="n"/>
      <c r="F1140" s="50" t="n"/>
      <c r="G1140" s="42" t="n"/>
      <c r="H1140" s="30">
        <f>IF(D1140="","",IFERROR(INDEX(Config!$B$12:$B$15,MATCH(IF(AND(D1140="Cartão de crédito",N(E1140)&gt;1),"Cartão de crédito parcelado",D1140),Config!$A$12:$A$15,0)),0)+IF(AND(Config!$B$17="Sim",LEFT(D1140,17)="Cartão de crédito"),Config!$B$18*IFERROR(INDEX(Config!$C$12:$C$15,MATCH(IF(AND(D1140="Cartão de crédito",N(E1140)&gt;1),"Cartão de crédito parcelado",D1140),Config!$A$12:$A$15,0)),0)/30*MAX(1,N(E1140)),0))</f>
        <v/>
      </c>
      <c r="I1140" s="29">
        <f>IF(OR(D1140="",F1140=""),"",ROUND(F1140*H1140,2))</f>
        <v/>
      </c>
      <c r="J1140" s="29">
        <f>IF(I1140="","",F1140-I1140)</f>
        <v/>
      </c>
      <c r="K1140" s="29">
        <f>IF(J1140="","",J1140/MAX(1,N(E1140)))</f>
        <v/>
      </c>
      <c r="L1140" s="37">
        <f>IF(OR(D1140="",A1140=""),"",A1140+IF(AND(Config!$B$17="Sim",LEFT(D1140,17)="Cartão de crédito"),1,IFERROR(INDEX(Config!$C$12:$C$15,MATCH(IF(AND(D1140="Cartão de crédito",N(E1140)&gt;1),"Cartão de crédito parcelado",D1140),Config!$A$12:$A$15,0)),0)))</f>
        <v/>
      </c>
      <c r="M1140" s="37">
        <f>IF(L1140="","",IF(AND(Config!$B$17="Sim",LEFT(D1140,17)="Cartão de crédito"),L1140,L1140+30*(MAX(1,N(E1140))-1)))</f>
        <v/>
      </c>
      <c r="N1140" s="29">
        <f>IF(OR(L1140="",K1140=""),"",K1140*MIN(MAX(1,N(E1140)),MAX(0,INT((Config!$B$8-L1140)/30)+1)))</f>
        <v/>
      </c>
      <c r="O1140" s="29">
        <f>IF(J1140="","",J1140-N(N1140))</f>
        <v/>
      </c>
      <c r="P1140" s="27">
        <f>IF(A1140="","",MONTH(A1140))</f>
        <v/>
      </c>
      <c r="Q1140" s="27">
        <f>IF(A1140="","",YEAR(A1140))</f>
        <v/>
      </c>
      <c r="R1140" s="27">
        <f>IF(L1140="","",IF(L1140&gt;Config!$B$8,"A cair",IF(N(G1140)&gt;=MIN(MAX(1,N(E1140)),MAX(0,INT((Config!$B$8-L1140)/30)+1)),IF(N(G1140)&gt;=MAX(1,N(E1140)),"Conferido","Conferido até aqui"),"A conferir")))</f>
        <v/>
      </c>
      <c r="S1140" s="51">
        <f>IF(R1140="A conferir",(Config!$B$8-L1140)*1000+N(F1140)/1000+ROW()/100000,0)</f>
        <v>0</v>
      </c>
      <c r="T1140" s="51">
        <f>IF(R1140="A conferir",N(N1140),0)</f>
        <v>0</v>
      </c>
      <c r="U1140" s="51">
        <f>IF(L1140="",0,L1140)</f>
        <v>0</v>
      </c>
      <c r="V1140" s="51">
        <f>IF(L1140="",0,MAX(1,N(E1140)))</f>
        <v>0</v>
      </c>
      <c r="W1140" s="51">
        <f>IF(K1140="",0,K1140)</f>
        <v>0</v>
      </c>
    </row>
    <row r="1141">
      <c r="A1141" s="49" t="n"/>
      <c r="B1141" s="41" t="n"/>
      <c r="C1141" s="41" t="n"/>
      <c r="D1141" s="42" t="n"/>
      <c r="E1141" s="42" t="n"/>
      <c r="F1141" s="50" t="n"/>
      <c r="G1141" s="42" t="n"/>
      <c r="H1141" s="30">
        <f>IF(D1141="","",IFERROR(INDEX(Config!$B$12:$B$15,MATCH(IF(AND(D1141="Cartão de crédito",N(E1141)&gt;1),"Cartão de crédito parcelado",D1141),Config!$A$12:$A$15,0)),0)+IF(AND(Config!$B$17="Sim",LEFT(D1141,17)="Cartão de crédito"),Config!$B$18*IFERROR(INDEX(Config!$C$12:$C$15,MATCH(IF(AND(D1141="Cartão de crédito",N(E1141)&gt;1),"Cartão de crédito parcelado",D1141),Config!$A$12:$A$15,0)),0)/30*MAX(1,N(E1141)),0))</f>
        <v/>
      </c>
      <c r="I1141" s="29">
        <f>IF(OR(D1141="",F1141=""),"",ROUND(F1141*H1141,2))</f>
        <v/>
      </c>
      <c r="J1141" s="29">
        <f>IF(I1141="","",F1141-I1141)</f>
        <v/>
      </c>
      <c r="K1141" s="29">
        <f>IF(J1141="","",J1141/MAX(1,N(E1141)))</f>
        <v/>
      </c>
      <c r="L1141" s="37">
        <f>IF(OR(D1141="",A1141=""),"",A1141+IF(AND(Config!$B$17="Sim",LEFT(D1141,17)="Cartão de crédito"),1,IFERROR(INDEX(Config!$C$12:$C$15,MATCH(IF(AND(D1141="Cartão de crédito",N(E1141)&gt;1),"Cartão de crédito parcelado",D1141),Config!$A$12:$A$15,0)),0)))</f>
        <v/>
      </c>
      <c r="M1141" s="37">
        <f>IF(L1141="","",IF(AND(Config!$B$17="Sim",LEFT(D1141,17)="Cartão de crédito"),L1141,L1141+30*(MAX(1,N(E1141))-1)))</f>
        <v/>
      </c>
      <c r="N1141" s="29">
        <f>IF(OR(L1141="",K1141=""),"",K1141*MIN(MAX(1,N(E1141)),MAX(0,INT((Config!$B$8-L1141)/30)+1)))</f>
        <v/>
      </c>
      <c r="O1141" s="29">
        <f>IF(J1141="","",J1141-N(N1141))</f>
        <v/>
      </c>
      <c r="P1141" s="27">
        <f>IF(A1141="","",MONTH(A1141))</f>
        <v/>
      </c>
      <c r="Q1141" s="27">
        <f>IF(A1141="","",YEAR(A1141))</f>
        <v/>
      </c>
      <c r="R1141" s="27">
        <f>IF(L1141="","",IF(L1141&gt;Config!$B$8,"A cair",IF(N(G1141)&gt;=MIN(MAX(1,N(E1141)),MAX(0,INT((Config!$B$8-L1141)/30)+1)),IF(N(G1141)&gt;=MAX(1,N(E1141)),"Conferido","Conferido até aqui"),"A conferir")))</f>
        <v/>
      </c>
      <c r="S1141" s="51">
        <f>IF(R1141="A conferir",(Config!$B$8-L1141)*1000+N(F1141)/1000+ROW()/100000,0)</f>
        <v>0</v>
      </c>
      <c r="T1141" s="51">
        <f>IF(R1141="A conferir",N(N1141),0)</f>
        <v>0</v>
      </c>
      <c r="U1141" s="51">
        <f>IF(L1141="",0,L1141)</f>
        <v>0</v>
      </c>
      <c r="V1141" s="51">
        <f>IF(L1141="",0,MAX(1,N(E1141)))</f>
        <v>0</v>
      </c>
      <c r="W1141" s="51">
        <f>IF(K1141="",0,K1141)</f>
        <v>0</v>
      </c>
    </row>
    <row r="1142">
      <c r="A1142" s="49" t="n"/>
      <c r="B1142" s="41" t="n"/>
      <c r="C1142" s="41" t="n"/>
      <c r="D1142" s="42" t="n"/>
      <c r="E1142" s="42" t="n"/>
      <c r="F1142" s="50" t="n"/>
      <c r="G1142" s="42" t="n"/>
      <c r="H1142" s="30">
        <f>IF(D1142="","",IFERROR(INDEX(Config!$B$12:$B$15,MATCH(IF(AND(D1142="Cartão de crédito",N(E1142)&gt;1),"Cartão de crédito parcelado",D1142),Config!$A$12:$A$15,0)),0)+IF(AND(Config!$B$17="Sim",LEFT(D1142,17)="Cartão de crédito"),Config!$B$18*IFERROR(INDEX(Config!$C$12:$C$15,MATCH(IF(AND(D1142="Cartão de crédito",N(E1142)&gt;1),"Cartão de crédito parcelado",D1142),Config!$A$12:$A$15,0)),0)/30*MAX(1,N(E1142)),0))</f>
        <v/>
      </c>
      <c r="I1142" s="29">
        <f>IF(OR(D1142="",F1142=""),"",ROUND(F1142*H1142,2))</f>
        <v/>
      </c>
      <c r="J1142" s="29">
        <f>IF(I1142="","",F1142-I1142)</f>
        <v/>
      </c>
      <c r="K1142" s="29">
        <f>IF(J1142="","",J1142/MAX(1,N(E1142)))</f>
        <v/>
      </c>
      <c r="L1142" s="37">
        <f>IF(OR(D1142="",A1142=""),"",A1142+IF(AND(Config!$B$17="Sim",LEFT(D1142,17)="Cartão de crédito"),1,IFERROR(INDEX(Config!$C$12:$C$15,MATCH(IF(AND(D1142="Cartão de crédito",N(E1142)&gt;1),"Cartão de crédito parcelado",D1142),Config!$A$12:$A$15,0)),0)))</f>
        <v/>
      </c>
      <c r="M1142" s="37">
        <f>IF(L1142="","",IF(AND(Config!$B$17="Sim",LEFT(D1142,17)="Cartão de crédito"),L1142,L1142+30*(MAX(1,N(E1142))-1)))</f>
        <v/>
      </c>
      <c r="N1142" s="29">
        <f>IF(OR(L1142="",K1142=""),"",K1142*MIN(MAX(1,N(E1142)),MAX(0,INT((Config!$B$8-L1142)/30)+1)))</f>
        <v/>
      </c>
      <c r="O1142" s="29">
        <f>IF(J1142="","",J1142-N(N1142))</f>
        <v/>
      </c>
      <c r="P1142" s="27">
        <f>IF(A1142="","",MONTH(A1142))</f>
        <v/>
      </c>
      <c r="Q1142" s="27">
        <f>IF(A1142="","",YEAR(A1142))</f>
        <v/>
      </c>
      <c r="R1142" s="27">
        <f>IF(L1142="","",IF(L1142&gt;Config!$B$8,"A cair",IF(N(G1142)&gt;=MIN(MAX(1,N(E1142)),MAX(0,INT((Config!$B$8-L1142)/30)+1)),IF(N(G1142)&gt;=MAX(1,N(E1142)),"Conferido","Conferido até aqui"),"A conferir")))</f>
        <v/>
      </c>
      <c r="S1142" s="51">
        <f>IF(R1142="A conferir",(Config!$B$8-L1142)*1000+N(F1142)/1000+ROW()/100000,0)</f>
        <v>0</v>
      </c>
      <c r="T1142" s="51">
        <f>IF(R1142="A conferir",N(N1142),0)</f>
        <v>0</v>
      </c>
      <c r="U1142" s="51">
        <f>IF(L1142="",0,L1142)</f>
        <v>0</v>
      </c>
      <c r="V1142" s="51">
        <f>IF(L1142="",0,MAX(1,N(E1142)))</f>
        <v>0</v>
      </c>
      <c r="W1142" s="51">
        <f>IF(K1142="",0,K1142)</f>
        <v>0</v>
      </c>
    </row>
    <row r="1143">
      <c r="A1143" s="49" t="n"/>
      <c r="B1143" s="41" t="n"/>
      <c r="C1143" s="41" t="n"/>
      <c r="D1143" s="42" t="n"/>
      <c r="E1143" s="42" t="n"/>
      <c r="F1143" s="50" t="n"/>
      <c r="G1143" s="42" t="n"/>
      <c r="H1143" s="30">
        <f>IF(D1143="","",IFERROR(INDEX(Config!$B$12:$B$15,MATCH(IF(AND(D1143="Cartão de crédito",N(E1143)&gt;1),"Cartão de crédito parcelado",D1143),Config!$A$12:$A$15,0)),0)+IF(AND(Config!$B$17="Sim",LEFT(D1143,17)="Cartão de crédito"),Config!$B$18*IFERROR(INDEX(Config!$C$12:$C$15,MATCH(IF(AND(D1143="Cartão de crédito",N(E1143)&gt;1),"Cartão de crédito parcelado",D1143),Config!$A$12:$A$15,0)),0)/30*MAX(1,N(E1143)),0))</f>
        <v/>
      </c>
      <c r="I1143" s="29">
        <f>IF(OR(D1143="",F1143=""),"",ROUND(F1143*H1143,2))</f>
        <v/>
      </c>
      <c r="J1143" s="29">
        <f>IF(I1143="","",F1143-I1143)</f>
        <v/>
      </c>
      <c r="K1143" s="29">
        <f>IF(J1143="","",J1143/MAX(1,N(E1143)))</f>
        <v/>
      </c>
      <c r="L1143" s="37">
        <f>IF(OR(D1143="",A1143=""),"",A1143+IF(AND(Config!$B$17="Sim",LEFT(D1143,17)="Cartão de crédito"),1,IFERROR(INDEX(Config!$C$12:$C$15,MATCH(IF(AND(D1143="Cartão de crédito",N(E1143)&gt;1),"Cartão de crédito parcelado",D1143),Config!$A$12:$A$15,0)),0)))</f>
        <v/>
      </c>
      <c r="M1143" s="37">
        <f>IF(L1143="","",IF(AND(Config!$B$17="Sim",LEFT(D1143,17)="Cartão de crédito"),L1143,L1143+30*(MAX(1,N(E1143))-1)))</f>
        <v/>
      </c>
      <c r="N1143" s="29">
        <f>IF(OR(L1143="",K1143=""),"",K1143*MIN(MAX(1,N(E1143)),MAX(0,INT((Config!$B$8-L1143)/30)+1)))</f>
        <v/>
      </c>
      <c r="O1143" s="29">
        <f>IF(J1143="","",J1143-N(N1143))</f>
        <v/>
      </c>
      <c r="P1143" s="27">
        <f>IF(A1143="","",MONTH(A1143))</f>
        <v/>
      </c>
      <c r="Q1143" s="27">
        <f>IF(A1143="","",YEAR(A1143))</f>
        <v/>
      </c>
      <c r="R1143" s="27">
        <f>IF(L1143="","",IF(L1143&gt;Config!$B$8,"A cair",IF(N(G1143)&gt;=MIN(MAX(1,N(E1143)),MAX(0,INT((Config!$B$8-L1143)/30)+1)),IF(N(G1143)&gt;=MAX(1,N(E1143)),"Conferido","Conferido até aqui"),"A conferir")))</f>
        <v/>
      </c>
      <c r="S1143" s="51">
        <f>IF(R1143="A conferir",(Config!$B$8-L1143)*1000+N(F1143)/1000+ROW()/100000,0)</f>
        <v>0</v>
      </c>
      <c r="T1143" s="51">
        <f>IF(R1143="A conferir",N(N1143),0)</f>
        <v>0</v>
      </c>
      <c r="U1143" s="51">
        <f>IF(L1143="",0,L1143)</f>
        <v>0</v>
      </c>
      <c r="V1143" s="51">
        <f>IF(L1143="",0,MAX(1,N(E1143)))</f>
        <v>0</v>
      </c>
      <c r="W1143" s="51">
        <f>IF(K1143="",0,K1143)</f>
        <v>0</v>
      </c>
    </row>
    <row r="1144">
      <c r="A1144" s="49" t="n"/>
      <c r="B1144" s="41" t="n"/>
      <c r="C1144" s="41" t="n"/>
      <c r="D1144" s="42" t="n"/>
      <c r="E1144" s="42" t="n"/>
      <c r="F1144" s="50" t="n"/>
      <c r="G1144" s="42" t="n"/>
      <c r="H1144" s="30">
        <f>IF(D1144="","",IFERROR(INDEX(Config!$B$12:$B$15,MATCH(IF(AND(D1144="Cartão de crédito",N(E1144)&gt;1),"Cartão de crédito parcelado",D1144),Config!$A$12:$A$15,0)),0)+IF(AND(Config!$B$17="Sim",LEFT(D1144,17)="Cartão de crédito"),Config!$B$18*IFERROR(INDEX(Config!$C$12:$C$15,MATCH(IF(AND(D1144="Cartão de crédito",N(E1144)&gt;1),"Cartão de crédito parcelado",D1144),Config!$A$12:$A$15,0)),0)/30*MAX(1,N(E1144)),0))</f>
        <v/>
      </c>
      <c r="I1144" s="29">
        <f>IF(OR(D1144="",F1144=""),"",ROUND(F1144*H1144,2))</f>
        <v/>
      </c>
      <c r="J1144" s="29">
        <f>IF(I1144="","",F1144-I1144)</f>
        <v/>
      </c>
      <c r="K1144" s="29">
        <f>IF(J1144="","",J1144/MAX(1,N(E1144)))</f>
        <v/>
      </c>
      <c r="L1144" s="37">
        <f>IF(OR(D1144="",A1144=""),"",A1144+IF(AND(Config!$B$17="Sim",LEFT(D1144,17)="Cartão de crédito"),1,IFERROR(INDEX(Config!$C$12:$C$15,MATCH(IF(AND(D1144="Cartão de crédito",N(E1144)&gt;1),"Cartão de crédito parcelado",D1144),Config!$A$12:$A$15,0)),0)))</f>
        <v/>
      </c>
      <c r="M1144" s="37">
        <f>IF(L1144="","",IF(AND(Config!$B$17="Sim",LEFT(D1144,17)="Cartão de crédito"),L1144,L1144+30*(MAX(1,N(E1144))-1)))</f>
        <v/>
      </c>
      <c r="N1144" s="29">
        <f>IF(OR(L1144="",K1144=""),"",K1144*MIN(MAX(1,N(E1144)),MAX(0,INT((Config!$B$8-L1144)/30)+1)))</f>
        <v/>
      </c>
      <c r="O1144" s="29">
        <f>IF(J1144="","",J1144-N(N1144))</f>
        <v/>
      </c>
      <c r="P1144" s="27">
        <f>IF(A1144="","",MONTH(A1144))</f>
        <v/>
      </c>
      <c r="Q1144" s="27">
        <f>IF(A1144="","",YEAR(A1144))</f>
        <v/>
      </c>
      <c r="R1144" s="27">
        <f>IF(L1144="","",IF(L1144&gt;Config!$B$8,"A cair",IF(N(G1144)&gt;=MIN(MAX(1,N(E1144)),MAX(0,INT((Config!$B$8-L1144)/30)+1)),IF(N(G1144)&gt;=MAX(1,N(E1144)),"Conferido","Conferido até aqui"),"A conferir")))</f>
        <v/>
      </c>
      <c r="S1144" s="51">
        <f>IF(R1144="A conferir",(Config!$B$8-L1144)*1000+N(F1144)/1000+ROW()/100000,0)</f>
        <v>0</v>
      </c>
      <c r="T1144" s="51">
        <f>IF(R1144="A conferir",N(N1144),0)</f>
        <v>0</v>
      </c>
      <c r="U1144" s="51">
        <f>IF(L1144="",0,L1144)</f>
        <v>0</v>
      </c>
      <c r="V1144" s="51">
        <f>IF(L1144="",0,MAX(1,N(E1144)))</f>
        <v>0</v>
      </c>
      <c r="W1144" s="51">
        <f>IF(K1144="",0,K1144)</f>
        <v>0</v>
      </c>
    </row>
    <row r="1145">
      <c r="A1145" s="49" t="n"/>
      <c r="B1145" s="41" t="n"/>
      <c r="C1145" s="41" t="n"/>
      <c r="D1145" s="42" t="n"/>
      <c r="E1145" s="42" t="n"/>
      <c r="F1145" s="50" t="n"/>
      <c r="G1145" s="42" t="n"/>
      <c r="H1145" s="30">
        <f>IF(D1145="","",IFERROR(INDEX(Config!$B$12:$B$15,MATCH(IF(AND(D1145="Cartão de crédito",N(E1145)&gt;1),"Cartão de crédito parcelado",D1145),Config!$A$12:$A$15,0)),0)+IF(AND(Config!$B$17="Sim",LEFT(D1145,17)="Cartão de crédito"),Config!$B$18*IFERROR(INDEX(Config!$C$12:$C$15,MATCH(IF(AND(D1145="Cartão de crédito",N(E1145)&gt;1),"Cartão de crédito parcelado",D1145),Config!$A$12:$A$15,0)),0)/30*MAX(1,N(E1145)),0))</f>
        <v/>
      </c>
      <c r="I1145" s="29">
        <f>IF(OR(D1145="",F1145=""),"",ROUND(F1145*H1145,2))</f>
        <v/>
      </c>
      <c r="J1145" s="29">
        <f>IF(I1145="","",F1145-I1145)</f>
        <v/>
      </c>
      <c r="K1145" s="29">
        <f>IF(J1145="","",J1145/MAX(1,N(E1145)))</f>
        <v/>
      </c>
      <c r="L1145" s="37">
        <f>IF(OR(D1145="",A1145=""),"",A1145+IF(AND(Config!$B$17="Sim",LEFT(D1145,17)="Cartão de crédito"),1,IFERROR(INDEX(Config!$C$12:$C$15,MATCH(IF(AND(D1145="Cartão de crédito",N(E1145)&gt;1),"Cartão de crédito parcelado",D1145),Config!$A$12:$A$15,0)),0)))</f>
        <v/>
      </c>
      <c r="M1145" s="37">
        <f>IF(L1145="","",IF(AND(Config!$B$17="Sim",LEFT(D1145,17)="Cartão de crédito"),L1145,L1145+30*(MAX(1,N(E1145))-1)))</f>
        <v/>
      </c>
      <c r="N1145" s="29">
        <f>IF(OR(L1145="",K1145=""),"",K1145*MIN(MAX(1,N(E1145)),MAX(0,INT((Config!$B$8-L1145)/30)+1)))</f>
        <v/>
      </c>
      <c r="O1145" s="29">
        <f>IF(J1145="","",J1145-N(N1145))</f>
        <v/>
      </c>
      <c r="P1145" s="27">
        <f>IF(A1145="","",MONTH(A1145))</f>
        <v/>
      </c>
      <c r="Q1145" s="27">
        <f>IF(A1145="","",YEAR(A1145))</f>
        <v/>
      </c>
      <c r="R1145" s="27">
        <f>IF(L1145="","",IF(L1145&gt;Config!$B$8,"A cair",IF(N(G1145)&gt;=MIN(MAX(1,N(E1145)),MAX(0,INT((Config!$B$8-L1145)/30)+1)),IF(N(G1145)&gt;=MAX(1,N(E1145)),"Conferido","Conferido até aqui"),"A conferir")))</f>
        <v/>
      </c>
      <c r="S1145" s="51">
        <f>IF(R1145="A conferir",(Config!$B$8-L1145)*1000+N(F1145)/1000+ROW()/100000,0)</f>
        <v>0</v>
      </c>
      <c r="T1145" s="51">
        <f>IF(R1145="A conferir",N(N1145),0)</f>
        <v>0</v>
      </c>
      <c r="U1145" s="51">
        <f>IF(L1145="",0,L1145)</f>
        <v>0</v>
      </c>
      <c r="V1145" s="51">
        <f>IF(L1145="",0,MAX(1,N(E1145)))</f>
        <v>0</v>
      </c>
      <c r="W1145" s="51">
        <f>IF(K1145="",0,K1145)</f>
        <v>0</v>
      </c>
    </row>
    <row r="1146">
      <c r="A1146" s="49" t="n"/>
      <c r="B1146" s="41" t="n"/>
      <c r="C1146" s="41" t="n"/>
      <c r="D1146" s="42" t="n"/>
      <c r="E1146" s="42" t="n"/>
      <c r="F1146" s="50" t="n"/>
      <c r="G1146" s="42" t="n"/>
      <c r="H1146" s="30">
        <f>IF(D1146="","",IFERROR(INDEX(Config!$B$12:$B$15,MATCH(IF(AND(D1146="Cartão de crédito",N(E1146)&gt;1),"Cartão de crédito parcelado",D1146),Config!$A$12:$A$15,0)),0)+IF(AND(Config!$B$17="Sim",LEFT(D1146,17)="Cartão de crédito"),Config!$B$18*IFERROR(INDEX(Config!$C$12:$C$15,MATCH(IF(AND(D1146="Cartão de crédito",N(E1146)&gt;1),"Cartão de crédito parcelado",D1146),Config!$A$12:$A$15,0)),0)/30*MAX(1,N(E1146)),0))</f>
        <v/>
      </c>
      <c r="I1146" s="29">
        <f>IF(OR(D1146="",F1146=""),"",ROUND(F1146*H1146,2))</f>
        <v/>
      </c>
      <c r="J1146" s="29">
        <f>IF(I1146="","",F1146-I1146)</f>
        <v/>
      </c>
      <c r="K1146" s="29">
        <f>IF(J1146="","",J1146/MAX(1,N(E1146)))</f>
        <v/>
      </c>
      <c r="L1146" s="37">
        <f>IF(OR(D1146="",A1146=""),"",A1146+IF(AND(Config!$B$17="Sim",LEFT(D1146,17)="Cartão de crédito"),1,IFERROR(INDEX(Config!$C$12:$C$15,MATCH(IF(AND(D1146="Cartão de crédito",N(E1146)&gt;1),"Cartão de crédito parcelado",D1146),Config!$A$12:$A$15,0)),0)))</f>
        <v/>
      </c>
      <c r="M1146" s="37">
        <f>IF(L1146="","",IF(AND(Config!$B$17="Sim",LEFT(D1146,17)="Cartão de crédito"),L1146,L1146+30*(MAX(1,N(E1146))-1)))</f>
        <v/>
      </c>
      <c r="N1146" s="29">
        <f>IF(OR(L1146="",K1146=""),"",K1146*MIN(MAX(1,N(E1146)),MAX(0,INT((Config!$B$8-L1146)/30)+1)))</f>
        <v/>
      </c>
      <c r="O1146" s="29">
        <f>IF(J1146="","",J1146-N(N1146))</f>
        <v/>
      </c>
      <c r="P1146" s="27">
        <f>IF(A1146="","",MONTH(A1146))</f>
        <v/>
      </c>
      <c r="Q1146" s="27">
        <f>IF(A1146="","",YEAR(A1146))</f>
        <v/>
      </c>
      <c r="R1146" s="27">
        <f>IF(L1146="","",IF(L1146&gt;Config!$B$8,"A cair",IF(N(G1146)&gt;=MIN(MAX(1,N(E1146)),MAX(0,INT((Config!$B$8-L1146)/30)+1)),IF(N(G1146)&gt;=MAX(1,N(E1146)),"Conferido","Conferido até aqui"),"A conferir")))</f>
        <v/>
      </c>
      <c r="S1146" s="51">
        <f>IF(R1146="A conferir",(Config!$B$8-L1146)*1000+N(F1146)/1000+ROW()/100000,0)</f>
        <v>0</v>
      </c>
      <c r="T1146" s="51">
        <f>IF(R1146="A conferir",N(N1146),0)</f>
        <v>0</v>
      </c>
      <c r="U1146" s="51">
        <f>IF(L1146="",0,L1146)</f>
        <v>0</v>
      </c>
      <c r="V1146" s="51">
        <f>IF(L1146="",0,MAX(1,N(E1146)))</f>
        <v>0</v>
      </c>
      <c r="W1146" s="51">
        <f>IF(K1146="",0,K1146)</f>
        <v>0</v>
      </c>
    </row>
    <row r="1147">
      <c r="A1147" s="49" t="n"/>
      <c r="B1147" s="41" t="n"/>
      <c r="C1147" s="41" t="n"/>
      <c r="D1147" s="42" t="n"/>
      <c r="E1147" s="42" t="n"/>
      <c r="F1147" s="50" t="n"/>
      <c r="G1147" s="42" t="n"/>
      <c r="H1147" s="30">
        <f>IF(D1147="","",IFERROR(INDEX(Config!$B$12:$B$15,MATCH(IF(AND(D1147="Cartão de crédito",N(E1147)&gt;1),"Cartão de crédito parcelado",D1147),Config!$A$12:$A$15,0)),0)+IF(AND(Config!$B$17="Sim",LEFT(D1147,17)="Cartão de crédito"),Config!$B$18*IFERROR(INDEX(Config!$C$12:$C$15,MATCH(IF(AND(D1147="Cartão de crédito",N(E1147)&gt;1),"Cartão de crédito parcelado",D1147),Config!$A$12:$A$15,0)),0)/30*MAX(1,N(E1147)),0))</f>
        <v/>
      </c>
      <c r="I1147" s="29">
        <f>IF(OR(D1147="",F1147=""),"",ROUND(F1147*H1147,2))</f>
        <v/>
      </c>
      <c r="J1147" s="29">
        <f>IF(I1147="","",F1147-I1147)</f>
        <v/>
      </c>
      <c r="K1147" s="29">
        <f>IF(J1147="","",J1147/MAX(1,N(E1147)))</f>
        <v/>
      </c>
      <c r="L1147" s="37">
        <f>IF(OR(D1147="",A1147=""),"",A1147+IF(AND(Config!$B$17="Sim",LEFT(D1147,17)="Cartão de crédito"),1,IFERROR(INDEX(Config!$C$12:$C$15,MATCH(IF(AND(D1147="Cartão de crédito",N(E1147)&gt;1),"Cartão de crédito parcelado",D1147),Config!$A$12:$A$15,0)),0)))</f>
        <v/>
      </c>
      <c r="M1147" s="37">
        <f>IF(L1147="","",IF(AND(Config!$B$17="Sim",LEFT(D1147,17)="Cartão de crédito"),L1147,L1147+30*(MAX(1,N(E1147))-1)))</f>
        <v/>
      </c>
      <c r="N1147" s="29">
        <f>IF(OR(L1147="",K1147=""),"",K1147*MIN(MAX(1,N(E1147)),MAX(0,INT((Config!$B$8-L1147)/30)+1)))</f>
        <v/>
      </c>
      <c r="O1147" s="29">
        <f>IF(J1147="","",J1147-N(N1147))</f>
        <v/>
      </c>
      <c r="P1147" s="27">
        <f>IF(A1147="","",MONTH(A1147))</f>
        <v/>
      </c>
      <c r="Q1147" s="27">
        <f>IF(A1147="","",YEAR(A1147))</f>
        <v/>
      </c>
      <c r="R1147" s="27">
        <f>IF(L1147="","",IF(L1147&gt;Config!$B$8,"A cair",IF(N(G1147)&gt;=MIN(MAX(1,N(E1147)),MAX(0,INT((Config!$B$8-L1147)/30)+1)),IF(N(G1147)&gt;=MAX(1,N(E1147)),"Conferido","Conferido até aqui"),"A conferir")))</f>
        <v/>
      </c>
      <c r="S1147" s="51">
        <f>IF(R1147="A conferir",(Config!$B$8-L1147)*1000+N(F1147)/1000+ROW()/100000,0)</f>
        <v>0</v>
      </c>
      <c r="T1147" s="51">
        <f>IF(R1147="A conferir",N(N1147),0)</f>
        <v>0</v>
      </c>
      <c r="U1147" s="51">
        <f>IF(L1147="",0,L1147)</f>
        <v>0</v>
      </c>
      <c r="V1147" s="51">
        <f>IF(L1147="",0,MAX(1,N(E1147)))</f>
        <v>0</v>
      </c>
      <c r="W1147" s="51">
        <f>IF(K1147="",0,K1147)</f>
        <v>0</v>
      </c>
    </row>
    <row r="1148">
      <c r="A1148" s="49" t="n"/>
      <c r="B1148" s="41" t="n"/>
      <c r="C1148" s="41" t="n"/>
      <c r="D1148" s="42" t="n"/>
      <c r="E1148" s="42" t="n"/>
      <c r="F1148" s="50" t="n"/>
      <c r="G1148" s="42" t="n"/>
      <c r="H1148" s="30">
        <f>IF(D1148="","",IFERROR(INDEX(Config!$B$12:$B$15,MATCH(IF(AND(D1148="Cartão de crédito",N(E1148)&gt;1),"Cartão de crédito parcelado",D1148),Config!$A$12:$A$15,0)),0)+IF(AND(Config!$B$17="Sim",LEFT(D1148,17)="Cartão de crédito"),Config!$B$18*IFERROR(INDEX(Config!$C$12:$C$15,MATCH(IF(AND(D1148="Cartão de crédito",N(E1148)&gt;1),"Cartão de crédito parcelado",D1148),Config!$A$12:$A$15,0)),0)/30*MAX(1,N(E1148)),0))</f>
        <v/>
      </c>
      <c r="I1148" s="29">
        <f>IF(OR(D1148="",F1148=""),"",ROUND(F1148*H1148,2))</f>
        <v/>
      </c>
      <c r="J1148" s="29">
        <f>IF(I1148="","",F1148-I1148)</f>
        <v/>
      </c>
      <c r="K1148" s="29">
        <f>IF(J1148="","",J1148/MAX(1,N(E1148)))</f>
        <v/>
      </c>
      <c r="L1148" s="37">
        <f>IF(OR(D1148="",A1148=""),"",A1148+IF(AND(Config!$B$17="Sim",LEFT(D1148,17)="Cartão de crédito"),1,IFERROR(INDEX(Config!$C$12:$C$15,MATCH(IF(AND(D1148="Cartão de crédito",N(E1148)&gt;1),"Cartão de crédito parcelado",D1148),Config!$A$12:$A$15,0)),0)))</f>
        <v/>
      </c>
      <c r="M1148" s="37">
        <f>IF(L1148="","",IF(AND(Config!$B$17="Sim",LEFT(D1148,17)="Cartão de crédito"),L1148,L1148+30*(MAX(1,N(E1148))-1)))</f>
        <v/>
      </c>
      <c r="N1148" s="29">
        <f>IF(OR(L1148="",K1148=""),"",K1148*MIN(MAX(1,N(E1148)),MAX(0,INT((Config!$B$8-L1148)/30)+1)))</f>
        <v/>
      </c>
      <c r="O1148" s="29">
        <f>IF(J1148="","",J1148-N(N1148))</f>
        <v/>
      </c>
      <c r="P1148" s="27">
        <f>IF(A1148="","",MONTH(A1148))</f>
        <v/>
      </c>
      <c r="Q1148" s="27">
        <f>IF(A1148="","",YEAR(A1148))</f>
        <v/>
      </c>
      <c r="R1148" s="27">
        <f>IF(L1148="","",IF(L1148&gt;Config!$B$8,"A cair",IF(N(G1148)&gt;=MIN(MAX(1,N(E1148)),MAX(0,INT((Config!$B$8-L1148)/30)+1)),IF(N(G1148)&gt;=MAX(1,N(E1148)),"Conferido","Conferido até aqui"),"A conferir")))</f>
        <v/>
      </c>
      <c r="S1148" s="51">
        <f>IF(R1148="A conferir",(Config!$B$8-L1148)*1000+N(F1148)/1000+ROW()/100000,0)</f>
        <v>0</v>
      </c>
      <c r="T1148" s="51">
        <f>IF(R1148="A conferir",N(N1148),0)</f>
        <v>0</v>
      </c>
      <c r="U1148" s="51">
        <f>IF(L1148="",0,L1148)</f>
        <v>0</v>
      </c>
      <c r="V1148" s="51">
        <f>IF(L1148="",0,MAX(1,N(E1148)))</f>
        <v>0</v>
      </c>
      <c r="W1148" s="51">
        <f>IF(K1148="",0,K1148)</f>
        <v>0</v>
      </c>
    </row>
    <row r="1149">
      <c r="A1149" s="49" t="n"/>
      <c r="B1149" s="41" t="n"/>
      <c r="C1149" s="41" t="n"/>
      <c r="D1149" s="42" t="n"/>
      <c r="E1149" s="42" t="n"/>
      <c r="F1149" s="50" t="n"/>
      <c r="G1149" s="42" t="n"/>
      <c r="H1149" s="30">
        <f>IF(D1149="","",IFERROR(INDEX(Config!$B$12:$B$15,MATCH(IF(AND(D1149="Cartão de crédito",N(E1149)&gt;1),"Cartão de crédito parcelado",D1149),Config!$A$12:$A$15,0)),0)+IF(AND(Config!$B$17="Sim",LEFT(D1149,17)="Cartão de crédito"),Config!$B$18*IFERROR(INDEX(Config!$C$12:$C$15,MATCH(IF(AND(D1149="Cartão de crédito",N(E1149)&gt;1),"Cartão de crédito parcelado",D1149),Config!$A$12:$A$15,0)),0)/30*MAX(1,N(E1149)),0))</f>
        <v/>
      </c>
      <c r="I1149" s="29">
        <f>IF(OR(D1149="",F1149=""),"",ROUND(F1149*H1149,2))</f>
        <v/>
      </c>
      <c r="J1149" s="29">
        <f>IF(I1149="","",F1149-I1149)</f>
        <v/>
      </c>
      <c r="K1149" s="29">
        <f>IF(J1149="","",J1149/MAX(1,N(E1149)))</f>
        <v/>
      </c>
      <c r="L1149" s="37">
        <f>IF(OR(D1149="",A1149=""),"",A1149+IF(AND(Config!$B$17="Sim",LEFT(D1149,17)="Cartão de crédito"),1,IFERROR(INDEX(Config!$C$12:$C$15,MATCH(IF(AND(D1149="Cartão de crédito",N(E1149)&gt;1),"Cartão de crédito parcelado",D1149),Config!$A$12:$A$15,0)),0)))</f>
        <v/>
      </c>
      <c r="M1149" s="37">
        <f>IF(L1149="","",IF(AND(Config!$B$17="Sim",LEFT(D1149,17)="Cartão de crédito"),L1149,L1149+30*(MAX(1,N(E1149))-1)))</f>
        <v/>
      </c>
      <c r="N1149" s="29">
        <f>IF(OR(L1149="",K1149=""),"",K1149*MIN(MAX(1,N(E1149)),MAX(0,INT((Config!$B$8-L1149)/30)+1)))</f>
        <v/>
      </c>
      <c r="O1149" s="29">
        <f>IF(J1149="","",J1149-N(N1149))</f>
        <v/>
      </c>
      <c r="P1149" s="27">
        <f>IF(A1149="","",MONTH(A1149))</f>
        <v/>
      </c>
      <c r="Q1149" s="27">
        <f>IF(A1149="","",YEAR(A1149))</f>
        <v/>
      </c>
      <c r="R1149" s="27">
        <f>IF(L1149="","",IF(L1149&gt;Config!$B$8,"A cair",IF(N(G1149)&gt;=MIN(MAX(1,N(E1149)),MAX(0,INT((Config!$B$8-L1149)/30)+1)),IF(N(G1149)&gt;=MAX(1,N(E1149)),"Conferido","Conferido até aqui"),"A conferir")))</f>
        <v/>
      </c>
      <c r="S1149" s="51">
        <f>IF(R1149="A conferir",(Config!$B$8-L1149)*1000+N(F1149)/1000+ROW()/100000,0)</f>
        <v>0</v>
      </c>
      <c r="T1149" s="51">
        <f>IF(R1149="A conferir",N(N1149),0)</f>
        <v>0</v>
      </c>
      <c r="U1149" s="51">
        <f>IF(L1149="",0,L1149)</f>
        <v>0</v>
      </c>
      <c r="V1149" s="51">
        <f>IF(L1149="",0,MAX(1,N(E1149)))</f>
        <v>0</v>
      </c>
      <c r="W1149" s="51">
        <f>IF(K1149="",0,K1149)</f>
        <v>0</v>
      </c>
    </row>
    <row r="1150">
      <c r="A1150" s="49" t="n"/>
      <c r="B1150" s="41" t="n"/>
      <c r="C1150" s="41" t="n"/>
      <c r="D1150" s="42" t="n"/>
      <c r="E1150" s="42" t="n"/>
      <c r="F1150" s="50" t="n"/>
      <c r="G1150" s="42" t="n"/>
      <c r="H1150" s="30">
        <f>IF(D1150="","",IFERROR(INDEX(Config!$B$12:$B$15,MATCH(IF(AND(D1150="Cartão de crédito",N(E1150)&gt;1),"Cartão de crédito parcelado",D1150),Config!$A$12:$A$15,0)),0)+IF(AND(Config!$B$17="Sim",LEFT(D1150,17)="Cartão de crédito"),Config!$B$18*IFERROR(INDEX(Config!$C$12:$C$15,MATCH(IF(AND(D1150="Cartão de crédito",N(E1150)&gt;1),"Cartão de crédito parcelado",D1150),Config!$A$12:$A$15,0)),0)/30*MAX(1,N(E1150)),0))</f>
        <v/>
      </c>
      <c r="I1150" s="29">
        <f>IF(OR(D1150="",F1150=""),"",ROUND(F1150*H1150,2))</f>
        <v/>
      </c>
      <c r="J1150" s="29">
        <f>IF(I1150="","",F1150-I1150)</f>
        <v/>
      </c>
      <c r="K1150" s="29">
        <f>IF(J1150="","",J1150/MAX(1,N(E1150)))</f>
        <v/>
      </c>
      <c r="L1150" s="37">
        <f>IF(OR(D1150="",A1150=""),"",A1150+IF(AND(Config!$B$17="Sim",LEFT(D1150,17)="Cartão de crédito"),1,IFERROR(INDEX(Config!$C$12:$C$15,MATCH(IF(AND(D1150="Cartão de crédito",N(E1150)&gt;1),"Cartão de crédito parcelado",D1150),Config!$A$12:$A$15,0)),0)))</f>
        <v/>
      </c>
      <c r="M1150" s="37">
        <f>IF(L1150="","",IF(AND(Config!$B$17="Sim",LEFT(D1150,17)="Cartão de crédito"),L1150,L1150+30*(MAX(1,N(E1150))-1)))</f>
        <v/>
      </c>
      <c r="N1150" s="29">
        <f>IF(OR(L1150="",K1150=""),"",K1150*MIN(MAX(1,N(E1150)),MAX(0,INT((Config!$B$8-L1150)/30)+1)))</f>
        <v/>
      </c>
      <c r="O1150" s="29">
        <f>IF(J1150="","",J1150-N(N1150))</f>
        <v/>
      </c>
      <c r="P1150" s="27">
        <f>IF(A1150="","",MONTH(A1150))</f>
        <v/>
      </c>
      <c r="Q1150" s="27">
        <f>IF(A1150="","",YEAR(A1150))</f>
        <v/>
      </c>
      <c r="R1150" s="27">
        <f>IF(L1150="","",IF(L1150&gt;Config!$B$8,"A cair",IF(N(G1150)&gt;=MIN(MAX(1,N(E1150)),MAX(0,INT((Config!$B$8-L1150)/30)+1)),IF(N(G1150)&gt;=MAX(1,N(E1150)),"Conferido","Conferido até aqui"),"A conferir")))</f>
        <v/>
      </c>
      <c r="S1150" s="51">
        <f>IF(R1150="A conferir",(Config!$B$8-L1150)*1000+N(F1150)/1000+ROW()/100000,0)</f>
        <v>0</v>
      </c>
      <c r="T1150" s="51">
        <f>IF(R1150="A conferir",N(N1150),0)</f>
        <v>0</v>
      </c>
      <c r="U1150" s="51">
        <f>IF(L1150="",0,L1150)</f>
        <v>0</v>
      </c>
      <c r="V1150" s="51">
        <f>IF(L1150="",0,MAX(1,N(E1150)))</f>
        <v>0</v>
      </c>
      <c r="W1150" s="51">
        <f>IF(K1150="",0,K1150)</f>
        <v>0</v>
      </c>
    </row>
    <row r="1151">
      <c r="A1151" s="49" t="n"/>
      <c r="B1151" s="41" t="n"/>
      <c r="C1151" s="41" t="n"/>
      <c r="D1151" s="42" t="n"/>
      <c r="E1151" s="42" t="n"/>
      <c r="F1151" s="50" t="n"/>
      <c r="G1151" s="42" t="n"/>
      <c r="H1151" s="30">
        <f>IF(D1151="","",IFERROR(INDEX(Config!$B$12:$B$15,MATCH(IF(AND(D1151="Cartão de crédito",N(E1151)&gt;1),"Cartão de crédito parcelado",D1151),Config!$A$12:$A$15,0)),0)+IF(AND(Config!$B$17="Sim",LEFT(D1151,17)="Cartão de crédito"),Config!$B$18*IFERROR(INDEX(Config!$C$12:$C$15,MATCH(IF(AND(D1151="Cartão de crédito",N(E1151)&gt;1),"Cartão de crédito parcelado",D1151),Config!$A$12:$A$15,0)),0)/30*MAX(1,N(E1151)),0))</f>
        <v/>
      </c>
      <c r="I1151" s="29">
        <f>IF(OR(D1151="",F1151=""),"",ROUND(F1151*H1151,2))</f>
        <v/>
      </c>
      <c r="J1151" s="29">
        <f>IF(I1151="","",F1151-I1151)</f>
        <v/>
      </c>
      <c r="K1151" s="29">
        <f>IF(J1151="","",J1151/MAX(1,N(E1151)))</f>
        <v/>
      </c>
      <c r="L1151" s="37">
        <f>IF(OR(D1151="",A1151=""),"",A1151+IF(AND(Config!$B$17="Sim",LEFT(D1151,17)="Cartão de crédito"),1,IFERROR(INDEX(Config!$C$12:$C$15,MATCH(IF(AND(D1151="Cartão de crédito",N(E1151)&gt;1),"Cartão de crédito parcelado",D1151),Config!$A$12:$A$15,0)),0)))</f>
        <v/>
      </c>
      <c r="M1151" s="37">
        <f>IF(L1151="","",IF(AND(Config!$B$17="Sim",LEFT(D1151,17)="Cartão de crédito"),L1151,L1151+30*(MAX(1,N(E1151))-1)))</f>
        <v/>
      </c>
      <c r="N1151" s="29">
        <f>IF(OR(L1151="",K1151=""),"",K1151*MIN(MAX(1,N(E1151)),MAX(0,INT((Config!$B$8-L1151)/30)+1)))</f>
        <v/>
      </c>
      <c r="O1151" s="29">
        <f>IF(J1151="","",J1151-N(N1151))</f>
        <v/>
      </c>
      <c r="P1151" s="27">
        <f>IF(A1151="","",MONTH(A1151))</f>
        <v/>
      </c>
      <c r="Q1151" s="27">
        <f>IF(A1151="","",YEAR(A1151))</f>
        <v/>
      </c>
      <c r="R1151" s="27">
        <f>IF(L1151="","",IF(L1151&gt;Config!$B$8,"A cair",IF(N(G1151)&gt;=MIN(MAX(1,N(E1151)),MAX(0,INT((Config!$B$8-L1151)/30)+1)),IF(N(G1151)&gt;=MAX(1,N(E1151)),"Conferido","Conferido até aqui"),"A conferir")))</f>
        <v/>
      </c>
      <c r="S1151" s="51">
        <f>IF(R1151="A conferir",(Config!$B$8-L1151)*1000+N(F1151)/1000+ROW()/100000,0)</f>
        <v>0</v>
      </c>
      <c r="T1151" s="51">
        <f>IF(R1151="A conferir",N(N1151),0)</f>
        <v>0</v>
      </c>
      <c r="U1151" s="51">
        <f>IF(L1151="",0,L1151)</f>
        <v>0</v>
      </c>
      <c r="V1151" s="51">
        <f>IF(L1151="",0,MAX(1,N(E1151)))</f>
        <v>0</v>
      </c>
      <c r="W1151" s="51">
        <f>IF(K1151="",0,K1151)</f>
        <v>0</v>
      </c>
    </row>
    <row r="1152">
      <c r="A1152" s="49" t="n"/>
      <c r="B1152" s="41" t="n"/>
      <c r="C1152" s="41" t="n"/>
      <c r="D1152" s="42" t="n"/>
      <c r="E1152" s="42" t="n"/>
      <c r="F1152" s="50" t="n"/>
      <c r="G1152" s="42" t="n"/>
      <c r="H1152" s="30">
        <f>IF(D1152="","",IFERROR(INDEX(Config!$B$12:$B$15,MATCH(IF(AND(D1152="Cartão de crédito",N(E1152)&gt;1),"Cartão de crédito parcelado",D1152),Config!$A$12:$A$15,0)),0)+IF(AND(Config!$B$17="Sim",LEFT(D1152,17)="Cartão de crédito"),Config!$B$18*IFERROR(INDEX(Config!$C$12:$C$15,MATCH(IF(AND(D1152="Cartão de crédito",N(E1152)&gt;1),"Cartão de crédito parcelado",D1152),Config!$A$12:$A$15,0)),0)/30*MAX(1,N(E1152)),0))</f>
        <v/>
      </c>
      <c r="I1152" s="29">
        <f>IF(OR(D1152="",F1152=""),"",ROUND(F1152*H1152,2))</f>
        <v/>
      </c>
      <c r="J1152" s="29">
        <f>IF(I1152="","",F1152-I1152)</f>
        <v/>
      </c>
      <c r="K1152" s="29">
        <f>IF(J1152="","",J1152/MAX(1,N(E1152)))</f>
        <v/>
      </c>
      <c r="L1152" s="37">
        <f>IF(OR(D1152="",A1152=""),"",A1152+IF(AND(Config!$B$17="Sim",LEFT(D1152,17)="Cartão de crédito"),1,IFERROR(INDEX(Config!$C$12:$C$15,MATCH(IF(AND(D1152="Cartão de crédito",N(E1152)&gt;1),"Cartão de crédito parcelado",D1152),Config!$A$12:$A$15,0)),0)))</f>
        <v/>
      </c>
      <c r="M1152" s="37">
        <f>IF(L1152="","",IF(AND(Config!$B$17="Sim",LEFT(D1152,17)="Cartão de crédito"),L1152,L1152+30*(MAX(1,N(E1152))-1)))</f>
        <v/>
      </c>
      <c r="N1152" s="29">
        <f>IF(OR(L1152="",K1152=""),"",K1152*MIN(MAX(1,N(E1152)),MAX(0,INT((Config!$B$8-L1152)/30)+1)))</f>
        <v/>
      </c>
      <c r="O1152" s="29">
        <f>IF(J1152="","",J1152-N(N1152))</f>
        <v/>
      </c>
      <c r="P1152" s="27">
        <f>IF(A1152="","",MONTH(A1152))</f>
        <v/>
      </c>
      <c r="Q1152" s="27">
        <f>IF(A1152="","",YEAR(A1152))</f>
        <v/>
      </c>
      <c r="R1152" s="27">
        <f>IF(L1152="","",IF(L1152&gt;Config!$B$8,"A cair",IF(N(G1152)&gt;=MIN(MAX(1,N(E1152)),MAX(0,INT((Config!$B$8-L1152)/30)+1)),IF(N(G1152)&gt;=MAX(1,N(E1152)),"Conferido","Conferido até aqui"),"A conferir")))</f>
        <v/>
      </c>
      <c r="S1152" s="51">
        <f>IF(R1152="A conferir",(Config!$B$8-L1152)*1000+N(F1152)/1000+ROW()/100000,0)</f>
        <v>0</v>
      </c>
      <c r="T1152" s="51">
        <f>IF(R1152="A conferir",N(N1152),0)</f>
        <v>0</v>
      </c>
      <c r="U1152" s="51">
        <f>IF(L1152="",0,L1152)</f>
        <v>0</v>
      </c>
      <c r="V1152" s="51">
        <f>IF(L1152="",0,MAX(1,N(E1152)))</f>
        <v>0</v>
      </c>
      <c r="W1152" s="51">
        <f>IF(K1152="",0,K1152)</f>
        <v>0</v>
      </c>
    </row>
    <row r="1153">
      <c r="A1153" s="49" t="n"/>
      <c r="B1153" s="41" t="n"/>
      <c r="C1153" s="41" t="n"/>
      <c r="D1153" s="42" t="n"/>
      <c r="E1153" s="42" t="n"/>
      <c r="F1153" s="50" t="n"/>
      <c r="G1153" s="42" t="n"/>
      <c r="H1153" s="30">
        <f>IF(D1153="","",IFERROR(INDEX(Config!$B$12:$B$15,MATCH(IF(AND(D1153="Cartão de crédito",N(E1153)&gt;1),"Cartão de crédito parcelado",D1153),Config!$A$12:$A$15,0)),0)+IF(AND(Config!$B$17="Sim",LEFT(D1153,17)="Cartão de crédito"),Config!$B$18*IFERROR(INDEX(Config!$C$12:$C$15,MATCH(IF(AND(D1153="Cartão de crédito",N(E1153)&gt;1),"Cartão de crédito parcelado",D1153),Config!$A$12:$A$15,0)),0)/30*MAX(1,N(E1153)),0))</f>
        <v/>
      </c>
      <c r="I1153" s="29">
        <f>IF(OR(D1153="",F1153=""),"",ROUND(F1153*H1153,2))</f>
        <v/>
      </c>
      <c r="J1153" s="29">
        <f>IF(I1153="","",F1153-I1153)</f>
        <v/>
      </c>
      <c r="K1153" s="29">
        <f>IF(J1153="","",J1153/MAX(1,N(E1153)))</f>
        <v/>
      </c>
      <c r="L1153" s="37">
        <f>IF(OR(D1153="",A1153=""),"",A1153+IF(AND(Config!$B$17="Sim",LEFT(D1153,17)="Cartão de crédito"),1,IFERROR(INDEX(Config!$C$12:$C$15,MATCH(IF(AND(D1153="Cartão de crédito",N(E1153)&gt;1),"Cartão de crédito parcelado",D1153),Config!$A$12:$A$15,0)),0)))</f>
        <v/>
      </c>
      <c r="M1153" s="37">
        <f>IF(L1153="","",IF(AND(Config!$B$17="Sim",LEFT(D1153,17)="Cartão de crédito"),L1153,L1153+30*(MAX(1,N(E1153))-1)))</f>
        <v/>
      </c>
      <c r="N1153" s="29">
        <f>IF(OR(L1153="",K1153=""),"",K1153*MIN(MAX(1,N(E1153)),MAX(0,INT((Config!$B$8-L1153)/30)+1)))</f>
        <v/>
      </c>
      <c r="O1153" s="29">
        <f>IF(J1153="","",J1153-N(N1153))</f>
        <v/>
      </c>
      <c r="P1153" s="27">
        <f>IF(A1153="","",MONTH(A1153))</f>
        <v/>
      </c>
      <c r="Q1153" s="27">
        <f>IF(A1153="","",YEAR(A1153))</f>
        <v/>
      </c>
      <c r="R1153" s="27">
        <f>IF(L1153="","",IF(L1153&gt;Config!$B$8,"A cair",IF(N(G1153)&gt;=MIN(MAX(1,N(E1153)),MAX(0,INT((Config!$B$8-L1153)/30)+1)),IF(N(G1153)&gt;=MAX(1,N(E1153)),"Conferido","Conferido até aqui"),"A conferir")))</f>
        <v/>
      </c>
      <c r="S1153" s="51">
        <f>IF(R1153="A conferir",(Config!$B$8-L1153)*1000+N(F1153)/1000+ROW()/100000,0)</f>
        <v>0</v>
      </c>
      <c r="T1153" s="51">
        <f>IF(R1153="A conferir",N(N1153),0)</f>
        <v>0</v>
      </c>
      <c r="U1153" s="51">
        <f>IF(L1153="",0,L1153)</f>
        <v>0</v>
      </c>
      <c r="V1153" s="51">
        <f>IF(L1153="",0,MAX(1,N(E1153)))</f>
        <v>0</v>
      </c>
      <c r="W1153" s="51">
        <f>IF(K1153="",0,K1153)</f>
        <v>0</v>
      </c>
    </row>
    <row r="1154">
      <c r="A1154" s="49" t="n"/>
      <c r="B1154" s="41" t="n"/>
      <c r="C1154" s="41" t="n"/>
      <c r="D1154" s="42" t="n"/>
      <c r="E1154" s="42" t="n"/>
      <c r="F1154" s="50" t="n"/>
      <c r="G1154" s="42" t="n"/>
      <c r="H1154" s="30">
        <f>IF(D1154="","",IFERROR(INDEX(Config!$B$12:$B$15,MATCH(IF(AND(D1154="Cartão de crédito",N(E1154)&gt;1),"Cartão de crédito parcelado",D1154),Config!$A$12:$A$15,0)),0)+IF(AND(Config!$B$17="Sim",LEFT(D1154,17)="Cartão de crédito"),Config!$B$18*IFERROR(INDEX(Config!$C$12:$C$15,MATCH(IF(AND(D1154="Cartão de crédito",N(E1154)&gt;1),"Cartão de crédito parcelado",D1154),Config!$A$12:$A$15,0)),0)/30*MAX(1,N(E1154)),0))</f>
        <v/>
      </c>
      <c r="I1154" s="29">
        <f>IF(OR(D1154="",F1154=""),"",ROUND(F1154*H1154,2))</f>
        <v/>
      </c>
      <c r="J1154" s="29">
        <f>IF(I1154="","",F1154-I1154)</f>
        <v/>
      </c>
      <c r="K1154" s="29">
        <f>IF(J1154="","",J1154/MAX(1,N(E1154)))</f>
        <v/>
      </c>
      <c r="L1154" s="37">
        <f>IF(OR(D1154="",A1154=""),"",A1154+IF(AND(Config!$B$17="Sim",LEFT(D1154,17)="Cartão de crédito"),1,IFERROR(INDEX(Config!$C$12:$C$15,MATCH(IF(AND(D1154="Cartão de crédito",N(E1154)&gt;1),"Cartão de crédito parcelado",D1154),Config!$A$12:$A$15,0)),0)))</f>
        <v/>
      </c>
      <c r="M1154" s="37">
        <f>IF(L1154="","",IF(AND(Config!$B$17="Sim",LEFT(D1154,17)="Cartão de crédito"),L1154,L1154+30*(MAX(1,N(E1154))-1)))</f>
        <v/>
      </c>
      <c r="N1154" s="29">
        <f>IF(OR(L1154="",K1154=""),"",K1154*MIN(MAX(1,N(E1154)),MAX(0,INT((Config!$B$8-L1154)/30)+1)))</f>
        <v/>
      </c>
      <c r="O1154" s="29">
        <f>IF(J1154="","",J1154-N(N1154))</f>
        <v/>
      </c>
      <c r="P1154" s="27">
        <f>IF(A1154="","",MONTH(A1154))</f>
        <v/>
      </c>
      <c r="Q1154" s="27">
        <f>IF(A1154="","",YEAR(A1154))</f>
        <v/>
      </c>
      <c r="R1154" s="27">
        <f>IF(L1154="","",IF(L1154&gt;Config!$B$8,"A cair",IF(N(G1154)&gt;=MIN(MAX(1,N(E1154)),MAX(0,INT((Config!$B$8-L1154)/30)+1)),IF(N(G1154)&gt;=MAX(1,N(E1154)),"Conferido","Conferido até aqui"),"A conferir")))</f>
        <v/>
      </c>
      <c r="S1154" s="51">
        <f>IF(R1154="A conferir",(Config!$B$8-L1154)*1000+N(F1154)/1000+ROW()/100000,0)</f>
        <v>0</v>
      </c>
      <c r="T1154" s="51">
        <f>IF(R1154="A conferir",N(N1154),0)</f>
        <v>0</v>
      </c>
      <c r="U1154" s="51">
        <f>IF(L1154="",0,L1154)</f>
        <v>0</v>
      </c>
      <c r="V1154" s="51">
        <f>IF(L1154="",0,MAX(1,N(E1154)))</f>
        <v>0</v>
      </c>
      <c r="W1154" s="51">
        <f>IF(K1154="",0,K1154)</f>
        <v>0</v>
      </c>
    </row>
    <row r="1155">
      <c r="A1155" s="49" t="n"/>
      <c r="B1155" s="41" t="n"/>
      <c r="C1155" s="41" t="n"/>
      <c r="D1155" s="42" t="n"/>
      <c r="E1155" s="42" t="n"/>
      <c r="F1155" s="50" t="n"/>
      <c r="G1155" s="42" t="n"/>
      <c r="H1155" s="30">
        <f>IF(D1155="","",IFERROR(INDEX(Config!$B$12:$B$15,MATCH(IF(AND(D1155="Cartão de crédito",N(E1155)&gt;1),"Cartão de crédito parcelado",D1155),Config!$A$12:$A$15,0)),0)+IF(AND(Config!$B$17="Sim",LEFT(D1155,17)="Cartão de crédito"),Config!$B$18*IFERROR(INDEX(Config!$C$12:$C$15,MATCH(IF(AND(D1155="Cartão de crédito",N(E1155)&gt;1),"Cartão de crédito parcelado",D1155),Config!$A$12:$A$15,0)),0)/30*MAX(1,N(E1155)),0))</f>
        <v/>
      </c>
      <c r="I1155" s="29">
        <f>IF(OR(D1155="",F1155=""),"",ROUND(F1155*H1155,2))</f>
        <v/>
      </c>
      <c r="J1155" s="29">
        <f>IF(I1155="","",F1155-I1155)</f>
        <v/>
      </c>
      <c r="K1155" s="29">
        <f>IF(J1155="","",J1155/MAX(1,N(E1155)))</f>
        <v/>
      </c>
      <c r="L1155" s="37">
        <f>IF(OR(D1155="",A1155=""),"",A1155+IF(AND(Config!$B$17="Sim",LEFT(D1155,17)="Cartão de crédito"),1,IFERROR(INDEX(Config!$C$12:$C$15,MATCH(IF(AND(D1155="Cartão de crédito",N(E1155)&gt;1),"Cartão de crédito parcelado",D1155),Config!$A$12:$A$15,0)),0)))</f>
        <v/>
      </c>
      <c r="M1155" s="37">
        <f>IF(L1155="","",IF(AND(Config!$B$17="Sim",LEFT(D1155,17)="Cartão de crédito"),L1155,L1155+30*(MAX(1,N(E1155))-1)))</f>
        <v/>
      </c>
      <c r="N1155" s="29">
        <f>IF(OR(L1155="",K1155=""),"",K1155*MIN(MAX(1,N(E1155)),MAX(0,INT((Config!$B$8-L1155)/30)+1)))</f>
        <v/>
      </c>
      <c r="O1155" s="29">
        <f>IF(J1155="","",J1155-N(N1155))</f>
        <v/>
      </c>
      <c r="P1155" s="27">
        <f>IF(A1155="","",MONTH(A1155))</f>
        <v/>
      </c>
      <c r="Q1155" s="27">
        <f>IF(A1155="","",YEAR(A1155))</f>
        <v/>
      </c>
      <c r="R1155" s="27">
        <f>IF(L1155="","",IF(L1155&gt;Config!$B$8,"A cair",IF(N(G1155)&gt;=MIN(MAX(1,N(E1155)),MAX(0,INT((Config!$B$8-L1155)/30)+1)),IF(N(G1155)&gt;=MAX(1,N(E1155)),"Conferido","Conferido até aqui"),"A conferir")))</f>
        <v/>
      </c>
      <c r="S1155" s="51">
        <f>IF(R1155="A conferir",(Config!$B$8-L1155)*1000+N(F1155)/1000+ROW()/100000,0)</f>
        <v>0</v>
      </c>
      <c r="T1155" s="51">
        <f>IF(R1155="A conferir",N(N1155),0)</f>
        <v>0</v>
      </c>
      <c r="U1155" s="51">
        <f>IF(L1155="",0,L1155)</f>
        <v>0</v>
      </c>
      <c r="V1155" s="51">
        <f>IF(L1155="",0,MAX(1,N(E1155)))</f>
        <v>0</v>
      </c>
      <c r="W1155" s="51">
        <f>IF(K1155="",0,K1155)</f>
        <v>0</v>
      </c>
    </row>
    <row r="1156">
      <c r="A1156" s="49" t="n"/>
      <c r="B1156" s="41" t="n"/>
      <c r="C1156" s="41" t="n"/>
      <c r="D1156" s="42" t="n"/>
      <c r="E1156" s="42" t="n"/>
      <c r="F1156" s="50" t="n"/>
      <c r="G1156" s="42" t="n"/>
      <c r="H1156" s="30">
        <f>IF(D1156="","",IFERROR(INDEX(Config!$B$12:$B$15,MATCH(IF(AND(D1156="Cartão de crédito",N(E1156)&gt;1),"Cartão de crédito parcelado",D1156),Config!$A$12:$A$15,0)),0)+IF(AND(Config!$B$17="Sim",LEFT(D1156,17)="Cartão de crédito"),Config!$B$18*IFERROR(INDEX(Config!$C$12:$C$15,MATCH(IF(AND(D1156="Cartão de crédito",N(E1156)&gt;1),"Cartão de crédito parcelado",D1156),Config!$A$12:$A$15,0)),0)/30*MAX(1,N(E1156)),0))</f>
        <v/>
      </c>
      <c r="I1156" s="29">
        <f>IF(OR(D1156="",F1156=""),"",ROUND(F1156*H1156,2))</f>
        <v/>
      </c>
      <c r="J1156" s="29">
        <f>IF(I1156="","",F1156-I1156)</f>
        <v/>
      </c>
      <c r="K1156" s="29">
        <f>IF(J1156="","",J1156/MAX(1,N(E1156)))</f>
        <v/>
      </c>
      <c r="L1156" s="37">
        <f>IF(OR(D1156="",A1156=""),"",A1156+IF(AND(Config!$B$17="Sim",LEFT(D1156,17)="Cartão de crédito"),1,IFERROR(INDEX(Config!$C$12:$C$15,MATCH(IF(AND(D1156="Cartão de crédito",N(E1156)&gt;1),"Cartão de crédito parcelado",D1156),Config!$A$12:$A$15,0)),0)))</f>
        <v/>
      </c>
      <c r="M1156" s="37">
        <f>IF(L1156="","",IF(AND(Config!$B$17="Sim",LEFT(D1156,17)="Cartão de crédito"),L1156,L1156+30*(MAX(1,N(E1156))-1)))</f>
        <v/>
      </c>
      <c r="N1156" s="29">
        <f>IF(OR(L1156="",K1156=""),"",K1156*MIN(MAX(1,N(E1156)),MAX(0,INT((Config!$B$8-L1156)/30)+1)))</f>
        <v/>
      </c>
      <c r="O1156" s="29">
        <f>IF(J1156="","",J1156-N(N1156))</f>
        <v/>
      </c>
      <c r="P1156" s="27">
        <f>IF(A1156="","",MONTH(A1156))</f>
        <v/>
      </c>
      <c r="Q1156" s="27">
        <f>IF(A1156="","",YEAR(A1156))</f>
        <v/>
      </c>
      <c r="R1156" s="27">
        <f>IF(L1156="","",IF(L1156&gt;Config!$B$8,"A cair",IF(N(G1156)&gt;=MIN(MAX(1,N(E1156)),MAX(0,INT((Config!$B$8-L1156)/30)+1)),IF(N(G1156)&gt;=MAX(1,N(E1156)),"Conferido","Conferido até aqui"),"A conferir")))</f>
        <v/>
      </c>
      <c r="S1156" s="51">
        <f>IF(R1156="A conferir",(Config!$B$8-L1156)*1000+N(F1156)/1000+ROW()/100000,0)</f>
        <v>0</v>
      </c>
      <c r="T1156" s="51">
        <f>IF(R1156="A conferir",N(N1156),0)</f>
        <v>0</v>
      </c>
      <c r="U1156" s="51">
        <f>IF(L1156="",0,L1156)</f>
        <v>0</v>
      </c>
      <c r="V1156" s="51">
        <f>IF(L1156="",0,MAX(1,N(E1156)))</f>
        <v>0</v>
      </c>
      <c r="W1156" s="51">
        <f>IF(K1156="",0,K1156)</f>
        <v>0</v>
      </c>
    </row>
    <row r="1157">
      <c r="A1157" s="49" t="n"/>
      <c r="B1157" s="41" t="n"/>
      <c r="C1157" s="41" t="n"/>
      <c r="D1157" s="42" t="n"/>
      <c r="E1157" s="42" t="n"/>
      <c r="F1157" s="50" t="n"/>
      <c r="G1157" s="42" t="n"/>
      <c r="H1157" s="30">
        <f>IF(D1157="","",IFERROR(INDEX(Config!$B$12:$B$15,MATCH(IF(AND(D1157="Cartão de crédito",N(E1157)&gt;1),"Cartão de crédito parcelado",D1157),Config!$A$12:$A$15,0)),0)+IF(AND(Config!$B$17="Sim",LEFT(D1157,17)="Cartão de crédito"),Config!$B$18*IFERROR(INDEX(Config!$C$12:$C$15,MATCH(IF(AND(D1157="Cartão de crédito",N(E1157)&gt;1),"Cartão de crédito parcelado",D1157),Config!$A$12:$A$15,0)),0)/30*MAX(1,N(E1157)),0))</f>
        <v/>
      </c>
      <c r="I1157" s="29">
        <f>IF(OR(D1157="",F1157=""),"",ROUND(F1157*H1157,2))</f>
        <v/>
      </c>
      <c r="J1157" s="29">
        <f>IF(I1157="","",F1157-I1157)</f>
        <v/>
      </c>
      <c r="K1157" s="29">
        <f>IF(J1157="","",J1157/MAX(1,N(E1157)))</f>
        <v/>
      </c>
      <c r="L1157" s="37">
        <f>IF(OR(D1157="",A1157=""),"",A1157+IF(AND(Config!$B$17="Sim",LEFT(D1157,17)="Cartão de crédito"),1,IFERROR(INDEX(Config!$C$12:$C$15,MATCH(IF(AND(D1157="Cartão de crédito",N(E1157)&gt;1),"Cartão de crédito parcelado",D1157),Config!$A$12:$A$15,0)),0)))</f>
        <v/>
      </c>
      <c r="M1157" s="37">
        <f>IF(L1157="","",IF(AND(Config!$B$17="Sim",LEFT(D1157,17)="Cartão de crédito"),L1157,L1157+30*(MAX(1,N(E1157))-1)))</f>
        <v/>
      </c>
      <c r="N1157" s="29">
        <f>IF(OR(L1157="",K1157=""),"",K1157*MIN(MAX(1,N(E1157)),MAX(0,INT((Config!$B$8-L1157)/30)+1)))</f>
        <v/>
      </c>
      <c r="O1157" s="29">
        <f>IF(J1157="","",J1157-N(N1157))</f>
        <v/>
      </c>
      <c r="P1157" s="27">
        <f>IF(A1157="","",MONTH(A1157))</f>
        <v/>
      </c>
      <c r="Q1157" s="27">
        <f>IF(A1157="","",YEAR(A1157))</f>
        <v/>
      </c>
      <c r="R1157" s="27">
        <f>IF(L1157="","",IF(L1157&gt;Config!$B$8,"A cair",IF(N(G1157)&gt;=MIN(MAX(1,N(E1157)),MAX(0,INT((Config!$B$8-L1157)/30)+1)),IF(N(G1157)&gt;=MAX(1,N(E1157)),"Conferido","Conferido até aqui"),"A conferir")))</f>
        <v/>
      </c>
      <c r="S1157" s="51">
        <f>IF(R1157="A conferir",(Config!$B$8-L1157)*1000+N(F1157)/1000+ROW()/100000,0)</f>
        <v>0</v>
      </c>
      <c r="T1157" s="51">
        <f>IF(R1157="A conferir",N(N1157),0)</f>
        <v>0</v>
      </c>
      <c r="U1157" s="51">
        <f>IF(L1157="",0,L1157)</f>
        <v>0</v>
      </c>
      <c r="V1157" s="51">
        <f>IF(L1157="",0,MAX(1,N(E1157)))</f>
        <v>0</v>
      </c>
      <c r="W1157" s="51">
        <f>IF(K1157="",0,K1157)</f>
        <v>0</v>
      </c>
    </row>
    <row r="1158">
      <c r="A1158" s="49" t="n"/>
      <c r="B1158" s="41" t="n"/>
      <c r="C1158" s="41" t="n"/>
      <c r="D1158" s="42" t="n"/>
      <c r="E1158" s="42" t="n"/>
      <c r="F1158" s="50" t="n"/>
      <c r="G1158" s="42" t="n"/>
      <c r="H1158" s="30">
        <f>IF(D1158="","",IFERROR(INDEX(Config!$B$12:$B$15,MATCH(IF(AND(D1158="Cartão de crédito",N(E1158)&gt;1),"Cartão de crédito parcelado",D1158),Config!$A$12:$A$15,0)),0)+IF(AND(Config!$B$17="Sim",LEFT(D1158,17)="Cartão de crédito"),Config!$B$18*IFERROR(INDEX(Config!$C$12:$C$15,MATCH(IF(AND(D1158="Cartão de crédito",N(E1158)&gt;1),"Cartão de crédito parcelado",D1158),Config!$A$12:$A$15,0)),0)/30*MAX(1,N(E1158)),0))</f>
        <v/>
      </c>
      <c r="I1158" s="29">
        <f>IF(OR(D1158="",F1158=""),"",ROUND(F1158*H1158,2))</f>
        <v/>
      </c>
      <c r="J1158" s="29">
        <f>IF(I1158="","",F1158-I1158)</f>
        <v/>
      </c>
      <c r="K1158" s="29">
        <f>IF(J1158="","",J1158/MAX(1,N(E1158)))</f>
        <v/>
      </c>
      <c r="L1158" s="37">
        <f>IF(OR(D1158="",A1158=""),"",A1158+IF(AND(Config!$B$17="Sim",LEFT(D1158,17)="Cartão de crédito"),1,IFERROR(INDEX(Config!$C$12:$C$15,MATCH(IF(AND(D1158="Cartão de crédito",N(E1158)&gt;1),"Cartão de crédito parcelado",D1158),Config!$A$12:$A$15,0)),0)))</f>
        <v/>
      </c>
      <c r="M1158" s="37">
        <f>IF(L1158="","",IF(AND(Config!$B$17="Sim",LEFT(D1158,17)="Cartão de crédito"),L1158,L1158+30*(MAX(1,N(E1158))-1)))</f>
        <v/>
      </c>
      <c r="N1158" s="29">
        <f>IF(OR(L1158="",K1158=""),"",K1158*MIN(MAX(1,N(E1158)),MAX(0,INT((Config!$B$8-L1158)/30)+1)))</f>
        <v/>
      </c>
      <c r="O1158" s="29">
        <f>IF(J1158="","",J1158-N(N1158))</f>
        <v/>
      </c>
      <c r="P1158" s="27">
        <f>IF(A1158="","",MONTH(A1158))</f>
        <v/>
      </c>
      <c r="Q1158" s="27">
        <f>IF(A1158="","",YEAR(A1158))</f>
        <v/>
      </c>
      <c r="R1158" s="27">
        <f>IF(L1158="","",IF(L1158&gt;Config!$B$8,"A cair",IF(N(G1158)&gt;=MIN(MAX(1,N(E1158)),MAX(0,INT((Config!$B$8-L1158)/30)+1)),IF(N(G1158)&gt;=MAX(1,N(E1158)),"Conferido","Conferido até aqui"),"A conferir")))</f>
        <v/>
      </c>
      <c r="S1158" s="51">
        <f>IF(R1158="A conferir",(Config!$B$8-L1158)*1000+N(F1158)/1000+ROW()/100000,0)</f>
        <v>0</v>
      </c>
      <c r="T1158" s="51">
        <f>IF(R1158="A conferir",N(N1158),0)</f>
        <v>0</v>
      </c>
      <c r="U1158" s="51">
        <f>IF(L1158="",0,L1158)</f>
        <v>0</v>
      </c>
      <c r="V1158" s="51">
        <f>IF(L1158="",0,MAX(1,N(E1158)))</f>
        <v>0</v>
      </c>
      <c r="W1158" s="51">
        <f>IF(K1158="",0,K1158)</f>
        <v>0</v>
      </c>
    </row>
    <row r="1159">
      <c r="A1159" s="49" t="n"/>
      <c r="B1159" s="41" t="n"/>
      <c r="C1159" s="41" t="n"/>
      <c r="D1159" s="42" t="n"/>
      <c r="E1159" s="42" t="n"/>
      <c r="F1159" s="50" t="n"/>
      <c r="G1159" s="42" t="n"/>
      <c r="H1159" s="30">
        <f>IF(D1159="","",IFERROR(INDEX(Config!$B$12:$B$15,MATCH(IF(AND(D1159="Cartão de crédito",N(E1159)&gt;1),"Cartão de crédito parcelado",D1159),Config!$A$12:$A$15,0)),0)+IF(AND(Config!$B$17="Sim",LEFT(D1159,17)="Cartão de crédito"),Config!$B$18*IFERROR(INDEX(Config!$C$12:$C$15,MATCH(IF(AND(D1159="Cartão de crédito",N(E1159)&gt;1),"Cartão de crédito parcelado",D1159),Config!$A$12:$A$15,0)),0)/30*MAX(1,N(E1159)),0))</f>
        <v/>
      </c>
      <c r="I1159" s="29">
        <f>IF(OR(D1159="",F1159=""),"",ROUND(F1159*H1159,2))</f>
        <v/>
      </c>
      <c r="J1159" s="29">
        <f>IF(I1159="","",F1159-I1159)</f>
        <v/>
      </c>
      <c r="K1159" s="29">
        <f>IF(J1159="","",J1159/MAX(1,N(E1159)))</f>
        <v/>
      </c>
      <c r="L1159" s="37">
        <f>IF(OR(D1159="",A1159=""),"",A1159+IF(AND(Config!$B$17="Sim",LEFT(D1159,17)="Cartão de crédito"),1,IFERROR(INDEX(Config!$C$12:$C$15,MATCH(IF(AND(D1159="Cartão de crédito",N(E1159)&gt;1),"Cartão de crédito parcelado",D1159),Config!$A$12:$A$15,0)),0)))</f>
        <v/>
      </c>
      <c r="M1159" s="37">
        <f>IF(L1159="","",IF(AND(Config!$B$17="Sim",LEFT(D1159,17)="Cartão de crédito"),L1159,L1159+30*(MAX(1,N(E1159))-1)))</f>
        <v/>
      </c>
      <c r="N1159" s="29">
        <f>IF(OR(L1159="",K1159=""),"",K1159*MIN(MAX(1,N(E1159)),MAX(0,INT((Config!$B$8-L1159)/30)+1)))</f>
        <v/>
      </c>
      <c r="O1159" s="29">
        <f>IF(J1159="","",J1159-N(N1159))</f>
        <v/>
      </c>
      <c r="P1159" s="27">
        <f>IF(A1159="","",MONTH(A1159))</f>
        <v/>
      </c>
      <c r="Q1159" s="27">
        <f>IF(A1159="","",YEAR(A1159))</f>
        <v/>
      </c>
      <c r="R1159" s="27">
        <f>IF(L1159="","",IF(L1159&gt;Config!$B$8,"A cair",IF(N(G1159)&gt;=MIN(MAX(1,N(E1159)),MAX(0,INT((Config!$B$8-L1159)/30)+1)),IF(N(G1159)&gt;=MAX(1,N(E1159)),"Conferido","Conferido até aqui"),"A conferir")))</f>
        <v/>
      </c>
      <c r="S1159" s="51">
        <f>IF(R1159="A conferir",(Config!$B$8-L1159)*1000+N(F1159)/1000+ROW()/100000,0)</f>
        <v>0</v>
      </c>
      <c r="T1159" s="51">
        <f>IF(R1159="A conferir",N(N1159),0)</f>
        <v>0</v>
      </c>
      <c r="U1159" s="51">
        <f>IF(L1159="",0,L1159)</f>
        <v>0</v>
      </c>
      <c r="V1159" s="51">
        <f>IF(L1159="",0,MAX(1,N(E1159)))</f>
        <v>0</v>
      </c>
      <c r="W1159" s="51">
        <f>IF(K1159="",0,K1159)</f>
        <v>0</v>
      </c>
    </row>
    <row r="1160">
      <c r="A1160" s="49" t="n"/>
      <c r="B1160" s="41" t="n"/>
      <c r="C1160" s="41" t="n"/>
      <c r="D1160" s="42" t="n"/>
      <c r="E1160" s="42" t="n"/>
      <c r="F1160" s="50" t="n"/>
      <c r="G1160" s="42" t="n"/>
      <c r="H1160" s="30">
        <f>IF(D1160="","",IFERROR(INDEX(Config!$B$12:$B$15,MATCH(IF(AND(D1160="Cartão de crédito",N(E1160)&gt;1),"Cartão de crédito parcelado",D1160),Config!$A$12:$A$15,0)),0)+IF(AND(Config!$B$17="Sim",LEFT(D1160,17)="Cartão de crédito"),Config!$B$18*IFERROR(INDEX(Config!$C$12:$C$15,MATCH(IF(AND(D1160="Cartão de crédito",N(E1160)&gt;1),"Cartão de crédito parcelado",D1160),Config!$A$12:$A$15,0)),0)/30*MAX(1,N(E1160)),0))</f>
        <v/>
      </c>
      <c r="I1160" s="29">
        <f>IF(OR(D1160="",F1160=""),"",ROUND(F1160*H1160,2))</f>
        <v/>
      </c>
      <c r="J1160" s="29">
        <f>IF(I1160="","",F1160-I1160)</f>
        <v/>
      </c>
      <c r="K1160" s="29">
        <f>IF(J1160="","",J1160/MAX(1,N(E1160)))</f>
        <v/>
      </c>
      <c r="L1160" s="37">
        <f>IF(OR(D1160="",A1160=""),"",A1160+IF(AND(Config!$B$17="Sim",LEFT(D1160,17)="Cartão de crédito"),1,IFERROR(INDEX(Config!$C$12:$C$15,MATCH(IF(AND(D1160="Cartão de crédito",N(E1160)&gt;1),"Cartão de crédito parcelado",D1160),Config!$A$12:$A$15,0)),0)))</f>
        <v/>
      </c>
      <c r="M1160" s="37">
        <f>IF(L1160="","",IF(AND(Config!$B$17="Sim",LEFT(D1160,17)="Cartão de crédito"),L1160,L1160+30*(MAX(1,N(E1160))-1)))</f>
        <v/>
      </c>
      <c r="N1160" s="29">
        <f>IF(OR(L1160="",K1160=""),"",K1160*MIN(MAX(1,N(E1160)),MAX(0,INT((Config!$B$8-L1160)/30)+1)))</f>
        <v/>
      </c>
      <c r="O1160" s="29">
        <f>IF(J1160="","",J1160-N(N1160))</f>
        <v/>
      </c>
      <c r="P1160" s="27">
        <f>IF(A1160="","",MONTH(A1160))</f>
        <v/>
      </c>
      <c r="Q1160" s="27">
        <f>IF(A1160="","",YEAR(A1160))</f>
        <v/>
      </c>
      <c r="R1160" s="27">
        <f>IF(L1160="","",IF(L1160&gt;Config!$B$8,"A cair",IF(N(G1160)&gt;=MIN(MAX(1,N(E1160)),MAX(0,INT((Config!$B$8-L1160)/30)+1)),IF(N(G1160)&gt;=MAX(1,N(E1160)),"Conferido","Conferido até aqui"),"A conferir")))</f>
        <v/>
      </c>
      <c r="S1160" s="51">
        <f>IF(R1160="A conferir",(Config!$B$8-L1160)*1000+N(F1160)/1000+ROW()/100000,0)</f>
        <v>0</v>
      </c>
      <c r="T1160" s="51">
        <f>IF(R1160="A conferir",N(N1160),0)</f>
        <v>0</v>
      </c>
      <c r="U1160" s="51">
        <f>IF(L1160="",0,L1160)</f>
        <v>0</v>
      </c>
      <c r="V1160" s="51">
        <f>IF(L1160="",0,MAX(1,N(E1160)))</f>
        <v>0</v>
      </c>
      <c r="W1160" s="51">
        <f>IF(K1160="",0,K1160)</f>
        <v>0</v>
      </c>
    </row>
    <row r="1161">
      <c r="A1161" s="49" t="n"/>
      <c r="B1161" s="41" t="n"/>
      <c r="C1161" s="41" t="n"/>
      <c r="D1161" s="42" t="n"/>
      <c r="E1161" s="42" t="n"/>
      <c r="F1161" s="50" t="n"/>
      <c r="G1161" s="42" t="n"/>
      <c r="H1161" s="30">
        <f>IF(D1161="","",IFERROR(INDEX(Config!$B$12:$B$15,MATCH(IF(AND(D1161="Cartão de crédito",N(E1161)&gt;1),"Cartão de crédito parcelado",D1161),Config!$A$12:$A$15,0)),0)+IF(AND(Config!$B$17="Sim",LEFT(D1161,17)="Cartão de crédito"),Config!$B$18*IFERROR(INDEX(Config!$C$12:$C$15,MATCH(IF(AND(D1161="Cartão de crédito",N(E1161)&gt;1),"Cartão de crédito parcelado",D1161),Config!$A$12:$A$15,0)),0)/30*MAX(1,N(E1161)),0))</f>
        <v/>
      </c>
      <c r="I1161" s="29">
        <f>IF(OR(D1161="",F1161=""),"",ROUND(F1161*H1161,2))</f>
        <v/>
      </c>
      <c r="J1161" s="29">
        <f>IF(I1161="","",F1161-I1161)</f>
        <v/>
      </c>
      <c r="K1161" s="29">
        <f>IF(J1161="","",J1161/MAX(1,N(E1161)))</f>
        <v/>
      </c>
      <c r="L1161" s="37">
        <f>IF(OR(D1161="",A1161=""),"",A1161+IF(AND(Config!$B$17="Sim",LEFT(D1161,17)="Cartão de crédito"),1,IFERROR(INDEX(Config!$C$12:$C$15,MATCH(IF(AND(D1161="Cartão de crédito",N(E1161)&gt;1),"Cartão de crédito parcelado",D1161),Config!$A$12:$A$15,0)),0)))</f>
        <v/>
      </c>
      <c r="M1161" s="37">
        <f>IF(L1161="","",IF(AND(Config!$B$17="Sim",LEFT(D1161,17)="Cartão de crédito"),L1161,L1161+30*(MAX(1,N(E1161))-1)))</f>
        <v/>
      </c>
      <c r="N1161" s="29">
        <f>IF(OR(L1161="",K1161=""),"",K1161*MIN(MAX(1,N(E1161)),MAX(0,INT((Config!$B$8-L1161)/30)+1)))</f>
        <v/>
      </c>
      <c r="O1161" s="29">
        <f>IF(J1161="","",J1161-N(N1161))</f>
        <v/>
      </c>
      <c r="P1161" s="27">
        <f>IF(A1161="","",MONTH(A1161))</f>
        <v/>
      </c>
      <c r="Q1161" s="27">
        <f>IF(A1161="","",YEAR(A1161))</f>
        <v/>
      </c>
      <c r="R1161" s="27">
        <f>IF(L1161="","",IF(L1161&gt;Config!$B$8,"A cair",IF(N(G1161)&gt;=MIN(MAX(1,N(E1161)),MAX(0,INT((Config!$B$8-L1161)/30)+1)),IF(N(G1161)&gt;=MAX(1,N(E1161)),"Conferido","Conferido até aqui"),"A conferir")))</f>
        <v/>
      </c>
      <c r="S1161" s="51">
        <f>IF(R1161="A conferir",(Config!$B$8-L1161)*1000+N(F1161)/1000+ROW()/100000,0)</f>
        <v>0</v>
      </c>
      <c r="T1161" s="51">
        <f>IF(R1161="A conferir",N(N1161),0)</f>
        <v>0</v>
      </c>
      <c r="U1161" s="51">
        <f>IF(L1161="",0,L1161)</f>
        <v>0</v>
      </c>
      <c r="V1161" s="51">
        <f>IF(L1161="",0,MAX(1,N(E1161)))</f>
        <v>0</v>
      </c>
      <c r="W1161" s="51">
        <f>IF(K1161="",0,K1161)</f>
        <v>0</v>
      </c>
    </row>
    <row r="1162">
      <c r="A1162" s="49" t="n"/>
      <c r="B1162" s="41" t="n"/>
      <c r="C1162" s="41" t="n"/>
      <c r="D1162" s="42" t="n"/>
      <c r="E1162" s="42" t="n"/>
      <c r="F1162" s="50" t="n"/>
      <c r="G1162" s="42" t="n"/>
      <c r="H1162" s="30">
        <f>IF(D1162="","",IFERROR(INDEX(Config!$B$12:$B$15,MATCH(IF(AND(D1162="Cartão de crédito",N(E1162)&gt;1),"Cartão de crédito parcelado",D1162),Config!$A$12:$A$15,0)),0)+IF(AND(Config!$B$17="Sim",LEFT(D1162,17)="Cartão de crédito"),Config!$B$18*IFERROR(INDEX(Config!$C$12:$C$15,MATCH(IF(AND(D1162="Cartão de crédito",N(E1162)&gt;1),"Cartão de crédito parcelado",D1162),Config!$A$12:$A$15,0)),0)/30*MAX(1,N(E1162)),0))</f>
        <v/>
      </c>
      <c r="I1162" s="29">
        <f>IF(OR(D1162="",F1162=""),"",ROUND(F1162*H1162,2))</f>
        <v/>
      </c>
      <c r="J1162" s="29">
        <f>IF(I1162="","",F1162-I1162)</f>
        <v/>
      </c>
      <c r="K1162" s="29">
        <f>IF(J1162="","",J1162/MAX(1,N(E1162)))</f>
        <v/>
      </c>
      <c r="L1162" s="37">
        <f>IF(OR(D1162="",A1162=""),"",A1162+IF(AND(Config!$B$17="Sim",LEFT(D1162,17)="Cartão de crédito"),1,IFERROR(INDEX(Config!$C$12:$C$15,MATCH(IF(AND(D1162="Cartão de crédito",N(E1162)&gt;1),"Cartão de crédito parcelado",D1162),Config!$A$12:$A$15,0)),0)))</f>
        <v/>
      </c>
      <c r="M1162" s="37">
        <f>IF(L1162="","",IF(AND(Config!$B$17="Sim",LEFT(D1162,17)="Cartão de crédito"),L1162,L1162+30*(MAX(1,N(E1162))-1)))</f>
        <v/>
      </c>
      <c r="N1162" s="29">
        <f>IF(OR(L1162="",K1162=""),"",K1162*MIN(MAX(1,N(E1162)),MAX(0,INT((Config!$B$8-L1162)/30)+1)))</f>
        <v/>
      </c>
      <c r="O1162" s="29">
        <f>IF(J1162="","",J1162-N(N1162))</f>
        <v/>
      </c>
      <c r="P1162" s="27">
        <f>IF(A1162="","",MONTH(A1162))</f>
        <v/>
      </c>
      <c r="Q1162" s="27">
        <f>IF(A1162="","",YEAR(A1162))</f>
        <v/>
      </c>
      <c r="R1162" s="27">
        <f>IF(L1162="","",IF(L1162&gt;Config!$B$8,"A cair",IF(N(G1162)&gt;=MIN(MAX(1,N(E1162)),MAX(0,INT((Config!$B$8-L1162)/30)+1)),IF(N(G1162)&gt;=MAX(1,N(E1162)),"Conferido","Conferido até aqui"),"A conferir")))</f>
        <v/>
      </c>
      <c r="S1162" s="51">
        <f>IF(R1162="A conferir",(Config!$B$8-L1162)*1000+N(F1162)/1000+ROW()/100000,0)</f>
        <v>0</v>
      </c>
      <c r="T1162" s="51">
        <f>IF(R1162="A conferir",N(N1162),0)</f>
        <v>0</v>
      </c>
      <c r="U1162" s="51">
        <f>IF(L1162="",0,L1162)</f>
        <v>0</v>
      </c>
      <c r="V1162" s="51">
        <f>IF(L1162="",0,MAX(1,N(E1162)))</f>
        <v>0</v>
      </c>
      <c r="W1162" s="51">
        <f>IF(K1162="",0,K1162)</f>
        <v>0</v>
      </c>
    </row>
    <row r="1163">
      <c r="A1163" s="49" t="n"/>
      <c r="B1163" s="41" t="n"/>
      <c r="C1163" s="41" t="n"/>
      <c r="D1163" s="42" t="n"/>
      <c r="E1163" s="42" t="n"/>
      <c r="F1163" s="50" t="n"/>
      <c r="G1163" s="42" t="n"/>
      <c r="H1163" s="30">
        <f>IF(D1163="","",IFERROR(INDEX(Config!$B$12:$B$15,MATCH(IF(AND(D1163="Cartão de crédito",N(E1163)&gt;1),"Cartão de crédito parcelado",D1163),Config!$A$12:$A$15,0)),0)+IF(AND(Config!$B$17="Sim",LEFT(D1163,17)="Cartão de crédito"),Config!$B$18*IFERROR(INDEX(Config!$C$12:$C$15,MATCH(IF(AND(D1163="Cartão de crédito",N(E1163)&gt;1),"Cartão de crédito parcelado",D1163),Config!$A$12:$A$15,0)),0)/30*MAX(1,N(E1163)),0))</f>
        <v/>
      </c>
      <c r="I1163" s="29">
        <f>IF(OR(D1163="",F1163=""),"",ROUND(F1163*H1163,2))</f>
        <v/>
      </c>
      <c r="J1163" s="29">
        <f>IF(I1163="","",F1163-I1163)</f>
        <v/>
      </c>
      <c r="K1163" s="29">
        <f>IF(J1163="","",J1163/MAX(1,N(E1163)))</f>
        <v/>
      </c>
      <c r="L1163" s="37">
        <f>IF(OR(D1163="",A1163=""),"",A1163+IF(AND(Config!$B$17="Sim",LEFT(D1163,17)="Cartão de crédito"),1,IFERROR(INDEX(Config!$C$12:$C$15,MATCH(IF(AND(D1163="Cartão de crédito",N(E1163)&gt;1),"Cartão de crédito parcelado",D1163),Config!$A$12:$A$15,0)),0)))</f>
        <v/>
      </c>
      <c r="M1163" s="37">
        <f>IF(L1163="","",IF(AND(Config!$B$17="Sim",LEFT(D1163,17)="Cartão de crédito"),L1163,L1163+30*(MAX(1,N(E1163))-1)))</f>
        <v/>
      </c>
      <c r="N1163" s="29">
        <f>IF(OR(L1163="",K1163=""),"",K1163*MIN(MAX(1,N(E1163)),MAX(0,INT((Config!$B$8-L1163)/30)+1)))</f>
        <v/>
      </c>
      <c r="O1163" s="29">
        <f>IF(J1163="","",J1163-N(N1163))</f>
        <v/>
      </c>
      <c r="P1163" s="27">
        <f>IF(A1163="","",MONTH(A1163))</f>
        <v/>
      </c>
      <c r="Q1163" s="27">
        <f>IF(A1163="","",YEAR(A1163))</f>
        <v/>
      </c>
      <c r="R1163" s="27">
        <f>IF(L1163="","",IF(L1163&gt;Config!$B$8,"A cair",IF(N(G1163)&gt;=MIN(MAX(1,N(E1163)),MAX(0,INT((Config!$B$8-L1163)/30)+1)),IF(N(G1163)&gt;=MAX(1,N(E1163)),"Conferido","Conferido até aqui"),"A conferir")))</f>
        <v/>
      </c>
      <c r="S1163" s="51">
        <f>IF(R1163="A conferir",(Config!$B$8-L1163)*1000+N(F1163)/1000+ROW()/100000,0)</f>
        <v>0</v>
      </c>
      <c r="T1163" s="51">
        <f>IF(R1163="A conferir",N(N1163),0)</f>
        <v>0</v>
      </c>
      <c r="U1163" s="51">
        <f>IF(L1163="",0,L1163)</f>
        <v>0</v>
      </c>
      <c r="V1163" s="51">
        <f>IF(L1163="",0,MAX(1,N(E1163)))</f>
        <v>0</v>
      </c>
      <c r="W1163" s="51">
        <f>IF(K1163="",0,K1163)</f>
        <v>0</v>
      </c>
    </row>
    <row r="1164">
      <c r="A1164" s="49" t="n"/>
      <c r="B1164" s="41" t="n"/>
      <c r="C1164" s="41" t="n"/>
      <c r="D1164" s="42" t="n"/>
      <c r="E1164" s="42" t="n"/>
      <c r="F1164" s="50" t="n"/>
      <c r="G1164" s="42" t="n"/>
      <c r="H1164" s="30">
        <f>IF(D1164="","",IFERROR(INDEX(Config!$B$12:$B$15,MATCH(IF(AND(D1164="Cartão de crédito",N(E1164)&gt;1),"Cartão de crédito parcelado",D1164),Config!$A$12:$A$15,0)),0)+IF(AND(Config!$B$17="Sim",LEFT(D1164,17)="Cartão de crédito"),Config!$B$18*IFERROR(INDEX(Config!$C$12:$C$15,MATCH(IF(AND(D1164="Cartão de crédito",N(E1164)&gt;1),"Cartão de crédito parcelado",D1164),Config!$A$12:$A$15,0)),0)/30*MAX(1,N(E1164)),0))</f>
        <v/>
      </c>
      <c r="I1164" s="29">
        <f>IF(OR(D1164="",F1164=""),"",ROUND(F1164*H1164,2))</f>
        <v/>
      </c>
      <c r="J1164" s="29">
        <f>IF(I1164="","",F1164-I1164)</f>
        <v/>
      </c>
      <c r="K1164" s="29">
        <f>IF(J1164="","",J1164/MAX(1,N(E1164)))</f>
        <v/>
      </c>
      <c r="L1164" s="37">
        <f>IF(OR(D1164="",A1164=""),"",A1164+IF(AND(Config!$B$17="Sim",LEFT(D1164,17)="Cartão de crédito"),1,IFERROR(INDEX(Config!$C$12:$C$15,MATCH(IF(AND(D1164="Cartão de crédito",N(E1164)&gt;1),"Cartão de crédito parcelado",D1164),Config!$A$12:$A$15,0)),0)))</f>
        <v/>
      </c>
      <c r="M1164" s="37">
        <f>IF(L1164="","",IF(AND(Config!$B$17="Sim",LEFT(D1164,17)="Cartão de crédito"),L1164,L1164+30*(MAX(1,N(E1164))-1)))</f>
        <v/>
      </c>
      <c r="N1164" s="29">
        <f>IF(OR(L1164="",K1164=""),"",K1164*MIN(MAX(1,N(E1164)),MAX(0,INT((Config!$B$8-L1164)/30)+1)))</f>
        <v/>
      </c>
      <c r="O1164" s="29">
        <f>IF(J1164="","",J1164-N(N1164))</f>
        <v/>
      </c>
      <c r="P1164" s="27">
        <f>IF(A1164="","",MONTH(A1164))</f>
        <v/>
      </c>
      <c r="Q1164" s="27">
        <f>IF(A1164="","",YEAR(A1164))</f>
        <v/>
      </c>
      <c r="R1164" s="27">
        <f>IF(L1164="","",IF(L1164&gt;Config!$B$8,"A cair",IF(N(G1164)&gt;=MIN(MAX(1,N(E1164)),MAX(0,INT((Config!$B$8-L1164)/30)+1)),IF(N(G1164)&gt;=MAX(1,N(E1164)),"Conferido","Conferido até aqui"),"A conferir")))</f>
        <v/>
      </c>
      <c r="S1164" s="51">
        <f>IF(R1164="A conferir",(Config!$B$8-L1164)*1000+N(F1164)/1000+ROW()/100000,0)</f>
        <v>0</v>
      </c>
      <c r="T1164" s="51">
        <f>IF(R1164="A conferir",N(N1164),0)</f>
        <v>0</v>
      </c>
      <c r="U1164" s="51">
        <f>IF(L1164="",0,L1164)</f>
        <v>0</v>
      </c>
      <c r="V1164" s="51">
        <f>IF(L1164="",0,MAX(1,N(E1164)))</f>
        <v>0</v>
      </c>
      <c r="W1164" s="51">
        <f>IF(K1164="",0,K1164)</f>
        <v>0</v>
      </c>
    </row>
    <row r="1165">
      <c r="A1165" s="49" t="n"/>
      <c r="B1165" s="41" t="n"/>
      <c r="C1165" s="41" t="n"/>
      <c r="D1165" s="42" t="n"/>
      <c r="E1165" s="42" t="n"/>
      <c r="F1165" s="50" t="n"/>
      <c r="G1165" s="42" t="n"/>
      <c r="H1165" s="30">
        <f>IF(D1165="","",IFERROR(INDEX(Config!$B$12:$B$15,MATCH(IF(AND(D1165="Cartão de crédito",N(E1165)&gt;1),"Cartão de crédito parcelado",D1165),Config!$A$12:$A$15,0)),0)+IF(AND(Config!$B$17="Sim",LEFT(D1165,17)="Cartão de crédito"),Config!$B$18*IFERROR(INDEX(Config!$C$12:$C$15,MATCH(IF(AND(D1165="Cartão de crédito",N(E1165)&gt;1),"Cartão de crédito parcelado",D1165),Config!$A$12:$A$15,0)),0)/30*MAX(1,N(E1165)),0))</f>
        <v/>
      </c>
      <c r="I1165" s="29">
        <f>IF(OR(D1165="",F1165=""),"",ROUND(F1165*H1165,2))</f>
        <v/>
      </c>
      <c r="J1165" s="29">
        <f>IF(I1165="","",F1165-I1165)</f>
        <v/>
      </c>
      <c r="K1165" s="29">
        <f>IF(J1165="","",J1165/MAX(1,N(E1165)))</f>
        <v/>
      </c>
      <c r="L1165" s="37">
        <f>IF(OR(D1165="",A1165=""),"",A1165+IF(AND(Config!$B$17="Sim",LEFT(D1165,17)="Cartão de crédito"),1,IFERROR(INDEX(Config!$C$12:$C$15,MATCH(IF(AND(D1165="Cartão de crédito",N(E1165)&gt;1),"Cartão de crédito parcelado",D1165),Config!$A$12:$A$15,0)),0)))</f>
        <v/>
      </c>
      <c r="M1165" s="37">
        <f>IF(L1165="","",IF(AND(Config!$B$17="Sim",LEFT(D1165,17)="Cartão de crédito"),L1165,L1165+30*(MAX(1,N(E1165))-1)))</f>
        <v/>
      </c>
      <c r="N1165" s="29">
        <f>IF(OR(L1165="",K1165=""),"",K1165*MIN(MAX(1,N(E1165)),MAX(0,INT((Config!$B$8-L1165)/30)+1)))</f>
        <v/>
      </c>
      <c r="O1165" s="29">
        <f>IF(J1165="","",J1165-N(N1165))</f>
        <v/>
      </c>
      <c r="P1165" s="27">
        <f>IF(A1165="","",MONTH(A1165))</f>
        <v/>
      </c>
      <c r="Q1165" s="27">
        <f>IF(A1165="","",YEAR(A1165))</f>
        <v/>
      </c>
      <c r="R1165" s="27">
        <f>IF(L1165="","",IF(L1165&gt;Config!$B$8,"A cair",IF(N(G1165)&gt;=MIN(MAX(1,N(E1165)),MAX(0,INT((Config!$B$8-L1165)/30)+1)),IF(N(G1165)&gt;=MAX(1,N(E1165)),"Conferido","Conferido até aqui"),"A conferir")))</f>
        <v/>
      </c>
      <c r="S1165" s="51">
        <f>IF(R1165="A conferir",(Config!$B$8-L1165)*1000+N(F1165)/1000+ROW()/100000,0)</f>
        <v>0</v>
      </c>
      <c r="T1165" s="51">
        <f>IF(R1165="A conferir",N(N1165),0)</f>
        <v>0</v>
      </c>
      <c r="U1165" s="51">
        <f>IF(L1165="",0,L1165)</f>
        <v>0</v>
      </c>
      <c r="V1165" s="51">
        <f>IF(L1165="",0,MAX(1,N(E1165)))</f>
        <v>0</v>
      </c>
      <c r="W1165" s="51">
        <f>IF(K1165="",0,K1165)</f>
        <v>0</v>
      </c>
    </row>
    <row r="1166">
      <c r="A1166" s="49" t="n"/>
      <c r="B1166" s="41" t="n"/>
      <c r="C1166" s="41" t="n"/>
      <c r="D1166" s="42" t="n"/>
      <c r="E1166" s="42" t="n"/>
      <c r="F1166" s="50" t="n"/>
      <c r="G1166" s="42" t="n"/>
      <c r="H1166" s="30">
        <f>IF(D1166="","",IFERROR(INDEX(Config!$B$12:$B$15,MATCH(IF(AND(D1166="Cartão de crédito",N(E1166)&gt;1),"Cartão de crédito parcelado",D1166),Config!$A$12:$A$15,0)),0)+IF(AND(Config!$B$17="Sim",LEFT(D1166,17)="Cartão de crédito"),Config!$B$18*IFERROR(INDEX(Config!$C$12:$C$15,MATCH(IF(AND(D1166="Cartão de crédito",N(E1166)&gt;1),"Cartão de crédito parcelado",D1166),Config!$A$12:$A$15,0)),0)/30*MAX(1,N(E1166)),0))</f>
        <v/>
      </c>
      <c r="I1166" s="29">
        <f>IF(OR(D1166="",F1166=""),"",ROUND(F1166*H1166,2))</f>
        <v/>
      </c>
      <c r="J1166" s="29">
        <f>IF(I1166="","",F1166-I1166)</f>
        <v/>
      </c>
      <c r="K1166" s="29">
        <f>IF(J1166="","",J1166/MAX(1,N(E1166)))</f>
        <v/>
      </c>
      <c r="L1166" s="37">
        <f>IF(OR(D1166="",A1166=""),"",A1166+IF(AND(Config!$B$17="Sim",LEFT(D1166,17)="Cartão de crédito"),1,IFERROR(INDEX(Config!$C$12:$C$15,MATCH(IF(AND(D1166="Cartão de crédito",N(E1166)&gt;1),"Cartão de crédito parcelado",D1166),Config!$A$12:$A$15,0)),0)))</f>
        <v/>
      </c>
      <c r="M1166" s="37">
        <f>IF(L1166="","",IF(AND(Config!$B$17="Sim",LEFT(D1166,17)="Cartão de crédito"),L1166,L1166+30*(MAX(1,N(E1166))-1)))</f>
        <v/>
      </c>
      <c r="N1166" s="29">
        <f>IF(OR(L1166="",K1166=""),"",K1166*MIN(MAX(1,N(E1166)),MAX(0,INT((Config!$B$8-L1166)/30)+1)))</f>
        <v/>
      </c>
      <c r="O1166" s="29">
        <f>IF(J1166="","",J1166-N(N1166))</f>
        <v/>
      </c>
      <c r="P1166" s="27">
        <f>IF(A1166="","",MONTH(A1166))</f>
        <v/>
      </c>
      <c r="Q1166" s="27">
        <f>IF(A1166="","",YEAR(A1166))</f>
        <v/>
      </c>
      <c r="R1166" s="27">
        <f>IF(L1166="","",IF(L1166&gt;Config!$B$8,"A cair",IF(N(G1166)&gt;=MIN(MAX(1,N(E1166)),MAX(0,INT((Config!$B$8-L1166)/30)+1)),IF(N(G1166)&gt;=MAX(1,N(E1166)),"Conferido","Conferido até aqui"),"A conferir")))</f>
        <v/>
      </c>
      <c r="S1166" s="51">
        <f>IF(R1166="A conferir",(Config!$B$8-L1166)*1000+N(F1166)/1000+ROW()/100000,0)</f>
        <v>0</v>
      </c>
      <c r="T1166" s="51">
        <f>IF(R1166="A conferir",N(N1166),0)</f>
        <v>0</v>
      </c>
      <c r="U1166" s="51">
        <f>IF(L1166="",0,L1166)</f>
        <v>0</v>
      </c>
      <c r="V1166" s="51">
        <f>IF(L1166="",0,MAX(1,N(E1166)))</f>
        <v>0</v>
      </c>
      <c r="W1166" s="51">
        <f>IF(K1166="",0,K1166)</f>
        <v>0</v>
      </c>
    </row>
    <row r="1167">
      <c r="A1167" s="49" t="n"/>
      <c r="B1167" s="41" t="n"/>
      <c r="C1167" s="41" t="n"/>
      <c r="D1167" s="42" t="n"/>
      <c r="E1167" s="42" t="n"/>
      <c r="F1167" s="50" t="n"/>
      <c r="G1167" s="42" t="n"/>
      <c r="H1167" s="30">
        <f>IF(D1167="","",IFERROR(INDEX(Config!$B$12:$B$15,MATCH(IF(AND(D1167="Cartão de crédito",N(E1167)&gt;1),"Cartão de crédito parcelado",D1167),Config!$A$12:$A$15,0)),0)+IF(AND(Config!$B$17="Sim",LEFT(D1167,17)="Cartão de crédito"),Config!$B$18*IFERROR(INDEX(Config!$C$12:$C$15,MATCH(IF(AND(D1167="Cartão de crédito",N(E1167)&gt;1),"Cartão de crédito parcelado",D1167),Config!$A$12:$A$15,0)),0)/30*MAX(1,N(E1167)),0))</f>
        <v/>
      </c>
      <c r="I1167" s="29">
        <f>IF(OR(D1167="",F1167=""),"",ROUND(F1167*H1167,2))</f>
        <v/>
      </c>
      <c r="J1167" s="29">
        <f>IF(I1167="","",F1167-I1167)</f>
        <v/>
      </c>
      <c r="K1167" s="29">
        <f>IF(J1167="","",J1167/MAX(1,N(E1167)))</f>
        <v/>
      </c>
      <c r="L1167" s="37">
        <f>IF(OR(D1167="",A1167=""),"",A1167+IF(AND(Config!$B$17="Sim",LEFT(D1167,17)="Cartão de crédito"),1,IFERROR(INDEX(Config!$C$12:$C$15,MATCH(IF(AND(D1167="Cartão de crédito",N(E1167)&gt;1),"Cartão de crédito parcelado",D1167),Config!$A$12:$A$15,0)),0)))</f>
        <v/>
      </c>
      <c r="M1167" s="37">
        <f>IF(L1167="","",IF(AND(Config!$B$17="Sim",LEFT(D1167,17)="Cartão de crédito"),L1167,L1167+30*(MAX(1,N(E1167))-1)))</f>
        <v/>
      </c>
      <c r="N1167" s="29">
        <f>IF(OR(L1167="",K1167=""),"",K1167*MIN(MAX(1,N(E1167)),MAX(0,INT((Config!$B$8-L1167)/30)+1)))</f>
        <v/>
      </c>
      <c r="O1167" s="29">
        <f>IF(J1167="","",J1167-N(N1167))</f>
        <v/>
      </c>
      <c r="P1167" s="27">
        <f>IF(A1167="","",MONTH(A1167))</f>
        <v/>
      </c>
      <c r="Q1167" s="27">
        <f>IF(A1167="","",YEAR(A1167))</f>
        <v/>
      </c>
      <c r="R1167" s="27">
        <f>IF(L1167="","",IF(L1167&gt;Config!$B$8,"A cair",IF(N(G1167)&gt;=MIN(MAX(1,N(E1167)),MAX(0,INT((Config!$B$8-L1167)/30)+1)),IF(N(G1167)&gt;=MAX(1,N(E1167)),"Conferido","Conferido até aqui"),"A conferir")))</f>
        <v/>
      </c>
      <c r="S1167" s="51">
        <f>IF(R1167="A conferir",(Config!$B$8-L1167)*1000+N(F1167)/1000+ROW()/100000,0)</f>
        <v>0</v>
      </c>
      <c r="T1167" s="51">
        <f>IF(R1167="A conferir",N(N1167),0)</f>
        <v>0</v>
      </c>
      <c r="U1167" s="51">
        <f>IF(L1167="",0,L1167)</f>
        <v>0</v>
      </c>
      <c r="V1167" s="51">
        <f>IF(L1167="",0,MAX(1,N(E1167)))</f>
        <v>0</v>
      </c>
      <c r="W1167" s="51">
        <f>IF(K1167="",0,K1167)</f>
        <v>0</v>
      </c>
    </row>
    <row r="1168">
      <c r="A1168" s="49" t="n"/>
      <c r="B1168" s="41" t="n"/>
      <c r="C1168" s="41" t="n"/>
      <c r="D1168" s="42" t="n"/>
      <c r="E1168" s="42" t="n"/>
      <c r="F1168" s="50" t="n"/>
      <c r="G1168" s="42" t="n"/>
      <c r="H1168" s="30">
        <f>IF(D1168="","",IFERROR(INDEX(Config!$B$12:$B$15,MATCH(IF(AND(D1168="Cartão de crédito",N(E1168)&gt;1),"Cartão de crédito parcelado",D1168),Config!$A$12:$A$15,0)),0)+IF(AND(Config!$B$17="Sim",LEFT(D1168,17)="Cartão de crédito"),Config!$B$18*IFERROR(INDEX(Config!$C$12:$C$15,MATCH(IF(AND(D1168="Cartão de crédito",N(E1168)&gt;1),"Cartão de crédito parcelado",D1168),Config!$A$12:$A$15,0)),0)/30*MAX(1,N(E1168)),0))</f>
        <v/>
      </c>
      <c r="I1168" s="29">
        <f>IF(OR(D1168="",F1168=""),"",ROUND(F1168*H1168,2))</f>
        <v/>
      </c>
      <c r="J1168" s="29">
        <f>IF(I1168="","",F1168-I1168)</f>
        <v/>
      </c>
      <c r="K1168" s="29">
        <f>IF(J1168="","",J1168/MAX(1,N(E1168)))</f>
        <v/>
      </c>
      <c r="L1168" s="37">
        <f>IF(OR(D1168="",A1168=""),"",A1168+IF(AND(Config!$B$17="Sim",LEFT(D1168,17)="Cartão de crédito"),1,IFERROR(INDEX(Config!$C$12:$C$15,MATCH(IF(AND(D1168="Cartão de crédito",N(E1168)&gt;1),"Cartão de crédito parcelado",D1168),Config!$A$12:$A$15,0)),0)))</f>
        <v/>
      </c>
      <c r="M1168" s="37">
        <f>IF(L1168="","",IF(AND(Config!$B$17="Sim",LEFT(D1168,17)="Cartão de crédito"),L1168,L1168+30*(MAX(1,N(E1168))-1)))</f>
        <v/>
      </c>
      <c r="N1168" s="29">
        <f>IF(OR(L1168="",K1168=""),"",K1168*MIN(MAX(1,N(E1168)),MAX(0,INT((Config!$B$8-L1168)/30)+1)))</f>
        <v/>
      </c>
      <c r="O1168" s="29">
        <f>IF(J1168="","",J1168-N(N1168))</f>
        <v/>
      </c>
      <c r="P1168" s="27">
        <f>IF(A1168="","",MONTH(A1168))</f>
        <v/>
      </c>
      <c r="Q1168" s="27">
        <f>IF(A1168="","",YEAR(A1168))</f>
        <v/>
      </c>
      <c r="R1168" s="27">
        <f>IF(L1168="","",IF(L1168&gt;Config!$B$8,"A cair",IF(N(G1168)&gt;=MIN(MAX(1,N(E1168)),MAX(0,INT((Config!$B$8-L1168)/30)+1)),IF(N(G1168)&gt;=MAX(1,N(E1168)),"Conferido","Conferido até aqui"),"A conferir")))</f>
        <v/>
      </c>
      <c r="S1168" s="51">
        <f>IF(R1168="A conferir",(Config!$B$8-L1168)*1000+N(F1168)/1000+ROW()/100000,0)</f>
        <v>0</v>
      </c>
      <c r="T1168" s="51">
        <f>IF(R1168="A conferir",N(N1168),0)</f>
        <v>0</v>
      </c>
      <c r="U1168" s="51">
        <f>IF(L1168="",0,L1168)</f>
        <v>0</v>
      </c>
      <c r="V1168" s="51">
        <f>IF(L1168="",0,MAX(1,N(E1168)))</f>
        <v>0</v>
      </c>
      <c r="W1168" s="51">
        <f>IF(K1168="",0,K1168)</f>
        <v>0</v>
      </c>
    </row>
    <row r="1169">
      <c r="A1169" s="49" t="n"/>
      <c r="B1169" s="41" t="n"/>
      <c r="C1169" s="41" t="n"/>
      <c r="D1169" s="42" t="n"/>
      <c r="E1169" s="42" t="n"/>
      <c r="F1169" s="50" t="n"/>
      <c r="G1169" s="42" t="n"/>
      <c r="H1169" s="30">
        <f>IF(D1169="","",IFERROR(INDEX(Config!$B$12:$B$15,MATCH(IF(AND(D1169="Cartão de crédito",N(E1169)&gt;1),"Cartão de crédito parcelado",D1169),Config!$A$12:$A$15,0)),0)+IF(AND(Config!$B$17="Sim",LEFT(D1169,17)="Cartão de crédito"),Config!$B$18*IFERROR(INDEX(Config!$C$12:$C$15,MATCH(IF(AND(D1169="Cartão de crédito",N(E1169)&gt;1),"Cartão de crédito parcelado",D1169),Config!$A$12:$A$15,0)),0)/30*MAX(1,N(E1169)),0))</f>
        <v/>
      </c>
      <c r="I1169" s="29">
        <f>IF(OR(D1169="",F1169=""),"",ROUND(F1169*H1169,2))</f>
        <v/>
      </c>
      <c r="J1169" s="29">
        <f>IF(I1169="","",F1169-I1169)</f>
        <v/>
      </c>
      <c r="K1169" s="29">
        <f>IF(J1169="","",J1169/MAX(1,N(E1169)))</f>
        <v/>
      </c>
      <c r="L1169" s="37">
        <f>IF(OR(D1169="",A1169=""),"",A1169+IF(AND(Config!$B$17="Sim",LEFT(D1169,17)="Cartão de crédito"),1,IFERROR(INDEX(Config!$C$12:$C$15,MATCH(IF(AND(D1169="Cartão de crédito",N(E1169)&gt;1),"Cartão de crédito parcelado",D1169),Config!$A$12:$A$15,0)),0)))</f>
        <v/>
      </c>
      <c r="M1169" s="37">
        <f>IF(L1169="","",IF(AND(Config!$B$17="Sim",LEFT(D1169,17)="Cartão de crédito"),L1169,L1169+30*(MAX(1,N(E1169))-1)))</f>
        <v/>
      </c>
      <c r="N1169" s="29">
        <f>IF(OR(L1169="",K1169=""),"",K1169*MIN(MAX(1,N(E1169)),MAX(0,INT((Config!$B$8-L1169)/30)+1)))</f>
        <v/>
      </c>
      <c r="O1169" s="29">
        <f>IF(J1169="","",J1169-N(N1169))</f>
        <v/>
      </c>
      <c r="P1169" s="27">
        <f>IF(A1169="","",MONTH(A1169))</f>
        <v/>
      </c>
      <c r="Q1169" s="27">
        <f>IF(A1169="","",YEAR(A1169))</f>
        <v/>
      </c>
      <c r="R1169" s="27">
        <f>IF(L1169="","",IF(L1169&gt;Config!$B$8,"A cair",IF(N(G1169)&gt;=MIN(MAX(1,N(E1169)),MAX(0,INT((Config!$B$8-L1169)/30)+1)),IF(N(G1169)&gt;=MAX(1,N(E1169)),"Conferido","Conferido até aqui"),"A conferir")))</f>
        <v/>
      </c>
      <c r="S1169" s="51">
        <f>IF(R1169="A conferir",(Config!$B$8-L1169)*1000+N(F1169)/1000+ROW()/100000,0)</f>
        <v>0</v>
      </c>
      <c r="T1169" s="51">
        <f>IF(R1169="A conferir",N(N1169),0)</f>
        <v>0</v>
      </c>
      <c r="U1169" s="51">
        <f>IF(L1169="",0,L1169)</f>
        <v>0</v>
      </c>
      <c r="V1169" s="51">
        <f>IF(L1169="",0,MAX(1,N(E1169)))</f>
        <v>0</v>
      </c>
      <c r="W1169" s="51">
        <f>IF(K1169="",0,K1169)</f>
        <v>0</v>
      </c>
    </row>
    <row r="1170">
      <c r="A1170" s="49" t="n"/>
      <c r="B1170" s="41" t="n"/>
      <c r="C1170" s="41" t="n"/>
      <c r="D1170" s="42" t="n"/>
      <c r="E1170" s="42" t="n"/>
      <c r="F1170" s="50" t="n"/>
      <c r="G1170" s="42" t="n"/>
      <c r="H1170" s="30">
        <f>IF(D1170="","",IFERROR(INDEX(Config!$B$12:$B$15,MATCH(IF(AND(D1170="Cartão de crédito",N(E1170)&gt;1),"Cartão de crédito parcelado",D1170),Config!$A$12:$A$15,0)),0)+IF(AND(Config!$B$17="Sim",LEFT(D1170,17)="Cartão de crédito"),Config!$B$18*IFERROR(INDEX(Config!$C$12:$C$15,MATCH(IF(AND(D1170="Cartão de crédito",N(E1170)&gt;1),"Cartão de crédito parcelado",D1170),Config!$A$12:$A$15,0)),0)/30*MAX(1,N(E1170)),0))</f>
        <v/>
      </c>
      <c r="I1170" s="29">
        <f>IF(OR(D1170="",F1170=""),"",ROUND(F1170*H1170,2))</f>
        <v/>
      </c>
      <c r="J1170" s="29">
        <f>IF(I1170="","",F1170-I1170)</f>
        <v/>
      </c>
      <c r="K1170" s="29">
        <f>IF(J1170="","",J1170/MAX(1,N(E1170)))</f>
        <v/>
      </c>
      <c r="L1170" s="37">
        <f>IF(OR(D1170="",A1170=""),"",A1170+IF(AND(Config!$B$17="Sim",LEFT(D1170,17)="Cartão de crédito"),1,IFERROR(INDEX(Config!$C$12:$C$15,MATCH(IF(AND(D1170="Cartão de crédito",N(E1170)&gt;1),"Cartão de crédito parcelado",D1170),Config!$A$12:$A$15,0)),0)))</f>
        <v/>
      </c>
      <c r="M1170" s="37">
        <f>IF(L1170="","",IF(AND(Config!$B$17="Sim",LEFT(D1170,17)="Cartão de crédito"),L1170,L1170+30*(MAX(1,N(E1170))-1)))</f>
        <v/>
      </c>
      <c r="N1170" s="29">
        <f>IF(OR(L1170="",K1170=""),"",K1170*MIN(MAX(1,N(E1170)),MAX(0,INT((Config!$B$8-L1170)/30)+1)))</f>
        <v/>
      </c>
      <c r="O1170" s="29">
        <f>IF(J1170="","",J1170-N(N1170))</f>
        <v/>
      </c>
      <c r="P1170" s="27">
        <f>IF(A1170="","",MONTH(A1170))</f>
        <v/>
      </c>
      <c r="Q1170" s="27">
        <f>IF(A1170="","",YEAR(A1170))</f>
        <v/>
      </c>
      <c r="R1170" s="27">
        <f>IF(L1170="","",IF(L1170&gt;Config!$B$8,"A cair",IF(N(G1170)&gt;=MIN(MAX(1,N(E1170)),MAX(0,INT((Config!$B$8-L1170)/30)+1)),IF(N(G1170)&gt;=MAX(1,N(E1170)),"Conferido","Conferido até aqui"),"A conferir")))</f>
        <v/>
      </c>
      <c r="S1170" s="51">
        <f>IF(R1170="A conferir",(Config!$B$8-L1170)*1000+N(F1170)/1000+ROW()/100000,0)</f>
        <v>0</v>
      </c>
      <c r="T1170" s="51">
        <f>IF(R1170="A conferir",N(N1170),0)</f>
        <v>0</v>
      </c>
      <c r="U1170" s="51">
        <f>IF(L1170="",0,L1170)</f>
        <v>0</v>
      </c>
      <c r="V1170" s="51">
        <f>IF(L1170="",0,MAX(1,N(E1170)))</f>
        <v>0</v>
      </c>
      <c r="W1170" s="51">
        <f>IF(K1170="",0,K1170)</f>
        <v>0</v>
      </c>
    </row>
    <row r="1171">
      <c r="A1171" s="49" t="n"/>
      <c r="B1171" s="41" t="n"/>
      <c r="C1171" s="41" t="n"/>
      <c r="D1171" s="42" t="n"/>
      <c r="E1171" s="42" t="n"/>
      <c r="F1171" s="50" t="n"/>
      <c r="G1171" s="42" t="n"/>
      <c r="H1171" s="30">
        <f>IF(D1171="","",IFERROR(INDEX(Config!$B$12:$B$15,MATCH(IF(AND(D1171="Cartão de crédito",N(E1171)&gt;1),"Cartão de crédito parcelado",D1171),Config!$A$12:$A$15,0)),0)+IF(AND(Config!$B$17="Sim",LEFT(D1171,17)="Cartão de crédito"),Config!$B$18*IFERROR(INDEX(Config!$C$12:$C$15,MATCH(IF(AND(D1171="Cartão de crédito",N(E1171)&gt;1),"Cartão de crédito parcelado",D1171),Config!$A$12:$A$15,0)),0)/30*MAX(1,N(E1171)),0))</f>
        <v/>
      </c>
      <c r="I1171" s="29">
        <f>IF(OR(D1171="",F1171=""),"",ROUND(F1171*H1171,2))</f>
        <v/>
      </c>
      <c r="J1171" s="29">
        <f>IF(I1171="","",F1171-I1171)</f>
        <v/>
      </c>
      <c r="K1171" s="29">
        <f>IF(J1171="","",J1171/MAX(1,N(E1171)))</f>
        <v/>
      </c>
      <c r="L1171" s="37">
        <f>IF(OR(D1171="",A1171=""),"",A1171+IF(AND(Config!$B$17="Sim",LEFT(D1171,17)="Cartão de crédito"),1,IFERROR(INDEX(Config!$C$12:$C$15,MATCH(IF(AND(D1171="Cartão de crédito",N(E1171)&gt;1),"Cartão de crédito parcelado",D1171),Config!$A$12:$A$15,0)),0)))</f>
        <v/>
      </c>
      <c r="M1171" s="37">
        <f>IF(L1171="","",IF(AND(Config!$B$17="Sim",LEFT(D1171,17)="Cartão de crédito"),L1171,L1171+30*(MAX(1,N(E1171))-1)))</f>
        <v/>
      </c>
      <c r="N1171" s="29">
        <f>IF(OR(L1171="",K1171=""),"",K1171*MIN(MAX(1,N(E1171)),MAX(0,INT((Config!$B$8-L1171)/30)+1)))</f>
        <v/>
      </c>
      <c r="O1171" s="29">
        <f>IF(J1171="","",J1171-N(N1171))</f>
        <v/>
      </c>
      <c r="P1171" s="27">
        <f>IF(A1171="","",MONTH(A1171))</f>
        <v/>
      </c>
      <c r="Q1171" s="27">
        <f>IF(A1171="","",YEAR(A1171))</f>
        <v/>
      </c>
      <c r="R1171" s="27">
        <f>IF(L1171="","",IF(L1171&gt;Config!$B$8,"A cair",IF(N(G1171)&gt;=MIN(MAX(1,N(E1171)),MAX(0,INT((Config!$B$8-L1171)/30)+1)),IF(N(G1171)&gt;=MAX(1,N(E1171)),"Conferido","Conferido até aqui"),"A conferir")))</f>
        <v/>
      </c>
      <c r="S1171" s="51">
        <f>IF(R1171="A conferir",(Config!$B$8-L1171)*1000+N(F1171)/1000+ROW()/100000,0)</f>
        <v>0</v>
      </c>
      <c r="T1171" s="51">
        <f>IF(R1171="A conferir",N(N1171),0)</f>
        <v>0</v>
      </c>
      <c r="U1171" s="51">
        <f>IF(L1171="",0,L1171)</f>
        <v>0</v>
      </c>
      <c r="V1171" s="51">
        <f>IF(L1171="",0,MAX(1,N(E1171)))</f>
        <v>0</v>
      </c>
      <c r="W1171" s="51">
        <f>IF(K1171="",0,K1171)</f>
        <v>0</v>
      </c>
    </row>
    <row r="1172">
      <c r="A1172" s="49" t="n"/>
      <c r="B1172" s="41" t="n"/>
      <c r="C1172" s="41" t="n"/>
      <c r="D1172" s="42" t="n"/>
      <c r="E1172" s="42" t="n"/>
      <c r="F1172" s="50" t="n"/>
      <c r="G1172" s="42" t="n"/>
      <c r="H1172" s="30">
        <f>IF(D1172="","",IFERROR(INDEX(Config!$B$12:$B$15,MATCH(IF(AND(D1172="Cartão de crédito",N(E1172)&gt;1),"Cartão de crédito parcelado",D1172),Config!$A$12:$A$15,0)),0)+IF(AND(Config!$B$17="Sim",LEFT(D1172,17)="Cartão de crédito"),Config!$B$18*IFERROR(INDEX(Config!$C$12:$C$15,MATCH(IF(AND(D1172="Cartão de crédito",N(E1172)&gt;1),"Cartão de crédito parcelado",D1172),Config!$A$12:$A$15,0)),0)/30*MAX(1,N(E1172)),0))</f>
        <v/>
      </c>
      <c r="I1172" s="29">
        <f>IF(OR(D1172="",F1172=""),"",ROUND(F1172*H1172,2))</f>
        <v/>
      </c>
      <c r="J1172" s="29">
        <f>IF(I1172="","",F1172-I1172)</f>
        <v/>
      </c>
      <c r="K1172" s="29">
        <f>IF(J1172="","",J1172/MAX(1,N(E1172)))</f>
        <v/>
      </c>
      <c r="L1172" s="37">
        <f>IF(OR(D1172="",A1172=""),"",A1172+IF(AND(Config!$B$17="Sim",LEFT(D1172,17)="Cartão de crédito"),1,IFERROR(INDEX(Config!$C$12:$C$15,MATCH(IF(AND(D1172="Cartão de crédito",N(E1172)&gt;1),"Cartão de crédito parcelado",D1172),Config!$A$12:$A$15,0)),0)))</f>
        <v/>
      </c>
      <c r="M1172" s="37">
        <f>IF(L1172="","",IF(AND(Config!$B$17="Sim",LEFT(D1172,17)="Cartão de crédito"),L1172,L1172+30*(MAX(1,N(E1172))-1)))</f>
        <v/>
      </c>
      <c r="N1172" s="29">
        <f>IF(OR(L1172="",K1172=""),"",K1172*MIN(MAX(1,N(E1172)),MAX(0,INT((Config!$B$8-L1172)/30)+1)))</f>
        <v/>
      </c>
      <c r="O1172" s="29">
        <f>IF(J1172="","",J1172-N(N1172))</f>
        <v/>
      </c>
      <c r="P1172" s="27">
        <f>IF(A1172="","",MONTH(A1172))</f>
        <v/>
      </c>
      <c r="Q1172" s="27">
        <f>IF(A1172="","",YEAR(A1172))</f>
        <v/>
      </c>
      <c r="R1172" s="27">
        <f>IF(L1172="","",IF(L1172&gt;Config!$B$8,"A cair",IF(N(G1172)&gt;=MIN(MAX(1,N(E1172)),MAX(0,INT((Config!$B$8-L1172)/30)+1)),IF(N(G1172)&gt;=MAX(1,N(E1172)),"Conferido","Conferido até aqui"),"A conferir")))</f>
        <v/>
      </c>
      <c r="S1172" s="51">
        <f>IF(R1172="A conferir",(Config!$B$8-L1172)*1000+N(F1172)/1000+ROW()/100000,0)</f>
        <v>0</v>
      </c>
      <c r="T1172" s="51">
        <f>IF(R1172="A conferir",N(N1172),0)</f>
        <v>0</v>
      </c>
      <c r="U1172" s="51">
        <f>IF(L1172="",0,L1172)</f>
        <v>0</v>
      </c>
      <c r="V1172" s="51">
        <f>IF(L1172="",0,MAX(1,N(E1172)))</f>
        <v>0</v>
      </c>
      <c r="W1172" s="51">
        <f>IF(K1172="",0,K1172)</f>
        <v>0</v>
      </c>
    </row>
    <row r="1173">
      <c r="A1173" s="49" t="n"/>
      <c r="B1173" s="41" t="n"/>
      <c r="C1173" s="41" t="n"/>
      <c r="D1173" s="42" t="n"/>
      <c r="E1173" s="42" t="n"/>
      <c r="F1173" s="50" t="n"/>
      <c r="G1173" s="42" t="n"/>
      <c r="H1173" s="30">
        <f>IF(D1173="","",IFERROR(INDEX(Config!$B$12:$B$15,MATCH(IF(AND(D1173="Cartão de crédito",N(E1173)&gt;1),"Cartão de crédito parcelado",D1173),Config!$A$12:$A$15,0)),0)+IF(AND(Config!$B$17="Sim",LEFT(D1173,17)="Cartão de crédito"),Config!$B$18*IFERROR(INDEX(Config!$C$12:$C$15,MATCH(IF(AND(D1173="Cartão de crédito",N(E1173)&gt;1),"Cartão de crédito parcelado",D1173),Config!$A$12:$A$15,0)),0)/30*MAX(1,N(E1173)),0))</f>
        <v/>
      </c>
      <c r="I1173" s="29">
        <f>IF(OR(D1173="",F1173=""),"",ROUND(F1173*H1173,2))</f>
        <v/>
      </c>
      <c r="J1173" s="29">
        <f>IF(I1173="","",F1173-I1173)</f>
        <v/>
      </c>
      <c r="K1173" s="29">
        <f>IF(J1173="","",J1173/MAX(1,N(E1173)))</f>
        <v/>
      </c>
      <c r="L1173" s="37">
        <f>IF(OR(D1173="",A1173=""),"",A1173+IF(AND(Config!$B$17="Sim",LEFT(D1173,17)="Cartão de crédito"),1,IFERROR(INDEX(Config!$C$12:$C$15,MATCH(IF(AND(D1173="Cartão de crédito",N(E1173)&gt;1),"Cartão de crédito parcelado",D1173),Config!$A$12:$A$15,0)),0)))</f>
        <v/>
      </c>
      <c r="M1173" s="37">
        <f>IF(L1173="","",IF(AND(Config!$B$17="Sim",LEFT(D1173,17)="Cartão de crédito"),L1173,L1173+30*(MAX(1,N(E1173))-1)))</f>
        <v/>
      </c>
      <c r="N1173" s="29">
        <f>IF(OR(L1173="",K1173=""),"",K1173*MIN(MAX(1,N(E1173)),MAX(0,INT((Config!$B$8-L1173)/30)+1)))</f>
        <v/>
      </c>
      <c r="O1173" s="29">
        <f>IF(J1173="","",J1173-N(N1173))</f>
        <v/>
      </c>
      <c r="P1173" s="27">
        <f>IF(A1173="","",MONTH(A1173))</f>
        <v/>
      </c>
      <c r="Q1173" s="27">
        <f>IF(A1173="","",YEAR(A1173))</f>
        <v/>
      </c>
      <c r="R1173" s="27">
        <f>IF(L1173="","",IF(L1173&gt;Config!$B$8,"A cair",IF(N(G1173)&gt;=MIN(MAX(1,N(E1173)),MAX(0,INT((Config!$B$8-L1173)/30)+1)),IF(N(G1173)&gt;=MAX(1,N(E1173)),"Conferido","Conferido até aqui"),"A conferir")))</f>
        <v/>
      </c>
      <c r="S1173" s="51">
        <f>IF(R1173="A conferir",(Config!$B$8-L1173)*1000+N(F1173)/1000+ROW()/100000,0)</f>
        <v>0</v>
      </c>
      <c r="T1173" s="51">
        <f>IF(R1173="A conferir",N(N1173),0)</f>
        <v>0</v>
      </c>
      <c r="U1173" s="51">
        <f>IF(L1173="",0,L1173)</f>
        <v>0</v>
      </c>
      <c r="V1173" s="51">
        <f>IF(L1173="",0,MAX(1,N(E1173)))</f>
        <v>0</v>
      </c>
      <c r="W1173" s="51">
        <f>IF(K1173="",0,K1173)</f>
        <v>0</v>
      </c>
    </row>
    <row r="1174">
      <c r="A1174" s="49" t="n"/>
      <c r="B1174" s="41" t="n"/>
      <c r="C1174" s="41" t="n"/>
      <c r="D1174" s="42" t="n"/>
      <c r="E1174" s="42" t="n"/>
      <c r="F1174" s="50" t="n"/>
      <c r="G1174" s="42" t="n"/>
      <c r="H1174" s="30">
        <f>IF(D1174="","",IFERROR(INDEX(Config!$B$12:$B$15,MATCH(IF(AND(D1174="Cartão de crédito",N(E1174)&gt;1),"Cartão de crédito parcelado",D1174),Config!$A$12:$A$15,0)),0)+IF(AND(Config!$B$17="Sim",LEFT(D1174,17)="Cartão de crédito"),Config!$B$18*IFERROR(INDEX(Config!$C$12:$C$15,MATCH(IF(AND(D1174="Cartão de crédito",N(E1174)&gt;1),"Cartão de crédito parcelado",D1174),Config!$A$12:$A$15,0)),0)/30*MAX(1,N(E1174)),0))</f>
        <v/>
      </c>
      <c r="I1174" s="29">
        <f>IF(OR(D1174="",F1174=""),"",ROUND(F1174*H1174,2))</f>
        <v/>
      </c>
      <c r="J1174" s="29">
        <f>IF(I1174="","",F1174-I1174)</f>
        <v/>
      </c>
      <c r="K1174" s="29">
        <f>IF(J1174="","",J1174/MAX(1,N(E1174)))</f>
        <v/>
      </c>
      <c r="L1174" s="37">
        <f>IF(OR(D1174="",A1174=""),"",A1174+IF(AND(Config!$B$17="Sim",LEFT(D1174,17)="Cartão de crédito"),1,IFERROR(INDEX(Config!$C$12:$C$15,MATCH(IF(AND(D1174="Cartão de crédito",N(E1174)&gt;1),"Cartão de crédito parcelado",D1174),Config!$A$12:$A$15,0)),0)))</f>
        <v/>
      </c>
      <c r="M1174" s="37">
        <f>IF(L1174="","",IF(AND(Config!$B$17="Sim",LEFT(D1174,17)="Cartão de crédito"),L1174,L1174+30*(MAX(1,N(E1174))-1)))</f>
        <v/>
      </c>
      <c r="N1174" s="29">
        <f>IF(OR(L1174="",K1174=""),"",K1174*MIN(MAX(1,N(E1174)),MAX(0,INT((Config!$B$8-L1174)/30)+1)))</f>
        <v/>
      </c>
      <c r="O1174" s="29">
        <f>IF(J1174="","",J1174-N(N1174))</f>
        <v/>
      </c>
      <c r="P1174" s="27">
        <f>IF(A1174="","",MONTH(A1174))</f>
        <v/>
      </c>
      <c r="Q1174" s="27">
        <f>IF(A1174="","",YEAR(A1174))</f>
        <v/>
      </c>
      <c r="R1174" s="27">
        <f>IF(L1174="","",IF(L1174&gt;Config!$B$8,"A cair",IF(N(G1174)&gt;=MIN(MAX(1,N(E1174)),MAX(0,INT((Config!$B$8-L1174)/30)+1)),IF(N(G1174)&gt;=MAX(1,N(E1174)),"Conferido","Conferido até aqui"),"A conferir")))</f>
        <v/>
      </c>
      <c r="S1174" s="51">
        <f>IF(R1174="A conferir",(Config!$B$8-L1174)*1000+N(F1174)/1000+ROW()/100000,0)</f>
        <v>0</v>
      </c>
      <c r="T1174" s="51">
        <f>IF(R1174="A conferir",N(N1174),0)</f>
        <v>0</v>
      </c>
      <c r="U1174" s="51">
        <f>IF(L1174="",0,L1174)</f>
        <v>0</v>
      </c>
      <c r="V1174" s="51">
        <f>IF(L1174="",0,MAX(1,N(E1174)))</f>
        <v>0</v>
      </c>
      <c r="W1174" s="51">
        <f>IF(K1174="",0,K1174)</f>
        <v>0</v>
      </c>
    </row>
    <row r="1175">
      <c r="A1175" s="49" t="n"/>
      <c r="B1175" s="41" t="n"/>
      <c r="C1175" s="41" t="n"/>
      <c r="D1175" s="42" t="n"/>
      <c r="E1175" s="42" t="n"/>
      <c r="F1175" s="50" t="n"/>
      <c r="G1175" s="42" t="n"/>
      <c r="H1175" s="30">
        <f>IF(D1175="","",IFERROR(INDEX(Config!$B$12:$B$15,MATCH(IF(AND(D1175="Cartão de crédito",N(E1175)&gt;1),"Cartão de crédito parcelado",D1175),Config!$A$12:$A$15,0)),0)+IF(AND(Config!$B$17="Sim",LEFT(D1175,17)="Cartão de crédito"),Config!$B$18*IFERROR(INDEX(Config!$C$12:$C$15,MATCH(IF(AND(D1175="Cartão de crédito",N(E1175)&gt;1),"Cartão de crédito parcelado",D1175),Config!$A$12:$A$15,0)),0)/30*MAX(1,N(E1175)),0))</f>
        <v/>
      </c>
      <c r="I1175" s="29">
        <f>IF(OR(D1175="",F1175=""),"",ROUND(F1175*H1175,2))</f>
        <v/>
      </c>
      <c r="J1175" s="29">
        <f>IF(I1175="","",F1175-I1175)</f>
        <v/>
      </c>
      <c r="K1175" s="29">
        <f>IF(J1175="","",J1175/MAX(1,N(E1175)))</f>
        <v/>
      </c>
      <c r="L1175" s="37">
        <f>IF(OR(D1175="",A1175=""),"",A1175+IF(AND(Config!$B$17="Sim",LEFT(D1175,17)="Cartão de crédito"),1,IFERROR(INDEX(Config!$C$12:$C$15,MATCH(IF(AND(D1175="Cartão de crédito",N(E1175)&gt;1),"Cartão de crédito parcelado",D1175),Config!$A$12:$A$15,0)),0)))</f>
        <v/>
      </c>
      <c r="M1175" s="37">
        <f>IF(L1175="","",IF(AND(Config!$B$17="Sim",LEFT(D1175,17)="Cartão de crédito"),L1175,L1175+30*(MAX(1,N(E1175))-1)))</f>
        <v/>
      </c>
      <c r="N1175" s="29">
        <f>IF(OR(L1175="",K1175=""),"",K1175*MIN(MAX(1,N(E1175)),MAX(0,INT((Config!$B$8-L1175)/30)+1)))</f>
        <v/>
      </c>
      <c r="O1175" s="29">
        <f>IF(J1175="","",J1175-N(N1175))</f>
        <v/>
      </c>
      <c r="P1175" s="27">
        <f>IF(A1175="","",MONTH(A1175))</f>
        <v/>
      </c>
      <c r="Q1175" s="27">
        <f>IF(A1175="","",YEAR(A1175))</f>
        <v/>
      </c>
      <c r="R1175" s="27">
        <f>IF(L1175="","",IF(L1175&gt;Config!$B$8,"A cair",IF(N(G1175)&gt;=MIN(MAX(1,N(E1175)),MAX(0,INT((Config!$B$8-L1175)/30)+1)),IF(N(G1175)&gt;=MAX(1,N(E1175)),"Conferido","Conferido até aqui"),"A conferir")))</f>
        <v/>
      </c>
      <c r="S1175" s="51">
        <f>IF(R1175="A conferir",(Config!$B$8-L1175)*1000+N(F1175)/1000+ROW()/100000,0)</f>
        <v>0</v>
      </c>
      <c r="T1175" s="51">
        <f>IF(R1175="A conferir",N(N1175),0)</f>
        <v>0</v>
      </c>
      <c r="U1175" s="51">
        <f>IF(L1175="",0,L1175)</f>
        <v>0</v>
      </c>
      <c r="V1175" s="51">
        <f>IF(L1175="",0,MAX(1,N(E1175)))</f>
        <v>0</v>
      </c>
      <c r="W1175" s="51">
        <f>IF(K1175="",0,K1175)</f>
        <v>0</v>
      </c>
    </row>
    <row r="1176">
      <c r="A1176" s="49" t="n"/>
      <c r="B1176" s="41" t="n"/>
      <c r="C1176" s="41" t="n"/>
      <c r="D1176" s="42" t="n"/>
      <c r="E1176" s="42" t="n"/>
      <c r="F1176" s="50" t="n"/>
      <c r="G1176" s="42" t="n"/>
      <c r="H1176" s="30">
        <f>IF(D1176="","",IFERROR(INDEX(Config!$B$12:$B$15,MATCH(IF(AND(D1176="Cartão de crédito",N(E1176)&gt;1),"Cartão de crédito parcelado",D1176),Config!$A$12:$A$15,0)),0)+IF(AND(Config!$B$17="Sim",LEFT(D1176,17)="Cartão de crédito"),Config!$B$18*IFERROR(INDEX(Config!$C$12:$C$15,MATCH(IF(AND(D1176="Cartão de crédito",N(E1176)&gt;1),"Cartão de crédito parcelado",D1176),Config!$A$12:$A$15,0)),0)/30*MAX(1,N(E1176)),0))</f>
        <v/>
      </c>
      <c r="I1176" s="29">
        <f>IF(OR(D1176="",F1176=""),"",ROUND(F1176*H1176,2))</f>
        <v/>
      </c>
      <c r="J1176" s="29">
        <f>IF(I1176="","",F1176-I1176)</f>
        <v/>
      </c>
      <c r="K1176" s="29">
        <f>IF(J1176="","",J1176/MAX(1,N(E1176)))</f>
        <v/>
      </c>
      <c r="L1176" s="37">
        <f>IF(OR(D1176="",A1176=""),"",A1176+IF(AND(Config!$B$17="Sim",LEFT(D1176,17)="Cartão de crédito"),1,IFERROR(INDEX(Config!$C$12:$C$15,MATCH(IF(AND(D1176="Cartão de crédito",N(E1176)&gt;1),"Cartão de crédito parcelado",D1176),Config!$A$12:$A$15,0)),0)))</f>
        <v/>
      </c>
      <c r="M1176" s="37">
        <f>IF(L1176="","",IF(AND(Config!$B$17="Sim",LEFT(D1176,17)="Cartão de crédito"),L1176,L1176+30*(MAX(1,N(E1176))-1)))</f>
        <v/>
      </c>
      <c r="N1176" s="29">
        <f>IF(OR(L1176="",K1176=""),"",K1176*MIN(MAX(1,N(E1176)),MAX(0,INT((Config!$B$8-L1176)/30)+1)))</f>
        <v/>
      </c>
      <c r="O1176" s="29">
        <f>IF(J1176="","",J1176-N(N1176))</f>
        <v/>
      </c>
      <c r="P1176" s="27">
        <f>IF(A1176="","",MONTH(A1176))</f>
        <v/>
      </c>
      <c r="Q1176" s="27">
        <f>IF(A1176="","",YEAR(A1176))</f>
        <v/>
      </c>
      <c r="R1176" s="27">
        <f>IF(L1176="","",IF(L1176&gt;Config!$B$8,"A cair",IF(N(G1176)&gt;=MIN(MAX(1,N(E1176)),MAX(0,INT((Config!$B$8-L1176)/30)+1)),IF(N(G1176)&gt;=MAX(1,N(E1176)),"Conferido","Conferido até aqui"),"A conferir")))</f>
        <v/>
      </c>
      <c r="S1176" s="51">
        <f>IF(R1176="A conferir",(Config!$B$8-L1176)*1000+N(F1176)/1000+ROW()/100000,0)</f>
        <v>0</v>
      </c>
      <c r="T1176" s="51">
        <f>IF(R1176="A conferir",N(N1176),0)</f>
        <v>0</v>
      </c>
      <c r="U1176" s="51">
        <f>IF(L1176="",0,L1176)</f>
        <v>0</v>
      </c>
      <c r="V1176" s="51">
        <f>IF(L1176="",0,MAX(1,N(E1176)))</f>
        <v>0</v>
      </c>
      <c r="W1176" s="51">
        <f>IF(K1176="",0,K1176)</f>
        <v>0</v>
      </c>
    </row>
    <row r="1177">
      <c r="A1177" s="49" t="n"/>
      <c r="B1177" s="41" t="n"/>
      <c r="C1177" s="41" t="n"/>
      <c r="D1177" s="42" t="n"/>
      <c r="E1177" s="42" t="n"/>
      <c r="F1177" s="50" t="n"/>
      <c r="G1177" s="42" t="n"/>
      <c r="H1177" s="30">
        <f>IF(D1177="","",IFERROR(INDEX(Config!$B$12:$B$15,MATCH(IF(AND(D1177="Cartão de crédito",N(E1177)&gt;1),"Cartão de crédito parcelado",D1177),Config!$A$12:$A$15,0)),0)+IF(AND(Config!$B$17="Sim",LEFT(D1177,17)="Cartão de crédito"),Config!$B$18*IFERROR(INDEX(Config!$C$12:$C$15,MATCH(IF(AND(D1177="Cartão de crédito",N(E1177)&gt;1),"Cartão de crédito parcelado",D1177),Config!$A$12:$A$15,0)),0)/30*MAX(1,N(E1177)),0))</f>
        <v/>
      </c>
      <c r="I1177" s="29">
        <f>IF(OR(D1177="",F1177=""),"",ROUND(F1177*H1177,2))</f>
        <v/>
      </c>
      <c r="J1177" s="29">
        <f>IF(I1177="","",F1177-I1177)</f>
        <v/>
      </c>
      <c r="K1177" s="29">
        <f>IF(J1177="","",J1177/MAX(1,N(E1177)))</f>
        <v/>
      </c>
      <c r="L1177" s="37">
        <f>IF(OR(D1177="",A1177=""),"",A1177+IF(AND(Config!$B$17="Sim",LEFT(D1177,17)="Cartão de crédito"),1,IFERROR(INDEX(Config!$C$12:$C$15,MATCH(IF(AND(D1177="Cartão de crédito",N(E1177)&gt;1),"Cartão de crédito parcelado",D1177),Config!$A$12:$A$15,0)),0)))</f>
        <v/>
      </c>
      <c r="M1177" s="37">
        <f>IF(L1177="","",IF(AND(Config!$B$17="Sim",LEFT(D1177,17)="Cartão de crédito"),L1177,L1177+30*(MAX(1,N(E1177))-1)))</f>
        <v/>
      </c>
      <c r="N1177" s="29">
        <f>IF(OR(L1177="",K1177=""),"",K1177*MIN(MAX(1,N(E1177)),MAX(0,INT((Config!$B$8-L1177)/30)+1)))</f>
        <v/>
      </c>
      <c r="O1177" s="29">
        <f>IF(J1177="","",J1177-N(N1177))</f>
        <v/>
      </c>
      <c r="P1177" s="27">
        <f>IF(A1177="","",MONTH(A1177))</f>
        <v/>
      </c>
      <c r="Q1177" s="27">
        <f>IF(A1177="","",YEAR(A1177))</f>
        <v/>
      </c>
      <c r="R1177" s="27">
        <f>IF(L1177="","",IF(L1177&gt;Config!$B$8,"A cair",IF(N(G1177)&gt;=MIN(MAX(1,N(E1177)),MAX(0,INT((Config!$B$8-L1177)/30)+1)),IF(N(G1177)&gt;=MAX(1,N(E1177)),"Conferido","Conferido até aqui"),"A conferir")))</f>
        <v/>
      </c>
      <c r="S1177" s="51">
        <f>IF(R1177="A conferir",(Config!$B$8-L1177)*1000+N(F1177)/1000+ROW()/100000,0)</f>
        <v>0</v>
      </c>
      <c r="T1177" s="51">
        <f>IF(R1177="A conferir",N(N1177),0)</f>
        <v>0</v>
      </c>
      <c r="U1177" s="51">
        <f>IF(L1177="",0,L1177)</f>
        <v>0</v>
      </c>
      <c r="V1177" s="51">
        <f>IF(L1177="",0,MAX(1,N(E1177)))</f>
        <v>0</v>
      </c>
      <c r="W1177" s="51">
        <f>IF(K1177="",0,K1177)</f>
        <v>0</v>
      </c>
    </row>
    <row r="1178">
      <c r="A1178" s="49" t="n"/>
      <c r="B1178" s="41" t="n"/>
      <c r="C1178" s="41" t="n"/>
      <c r="D1178" s="42" t="n"/>
      <c r="E1178" s="42" t="n"/>
      <c r="F1178" s="50" t="n"/>
      <c r="G1178" s="42" t="n"/>
      <c r="H1178" s="30">
        <f>IF(D1178="","",IFERROR(INDEX(Config!$B$12:$B$15,MATCH(IF(AND(D1178="Cartão de crédito",N(E1178)&gt;1),"Cartão de crédito parcelado",D1178),Config!$A$12:$A$15,0)),0)+IF(AND(Config!$B$17="Sim",LEFT(D1178,17)="Cartão de crédito"),Config!$B$18*IFERROR(INDEX(Config!$C$12:$C$15,MATCH(IF(AND(D1178="Cartão de crédito",N(E1178)&gt;1),"Cartão de crédito parcelado",D1178),Config!$A$12:$A$15,0)),0)/30*MAX(1,N(E1178)),0))</f>
        <v/>
      </c>
      <c r="I1178" s="29">
        <f>IF(OR(D1178="",F1178=""),"",ROUND(F1178*H1178,2))</f>
        <v/>
      </c>
      <c r="J1178" s="29">
        <f>IF(I1178="","",F1178-I1178)</f>
        <v/>
      </c>
      <c r="K1178" s="29">
        <f>IF(J1178="","",J1178/MAX(1,N(E1178)))</f>
        <v/>
      </c>
      <c r="L1178" s="37">
        <f>IF(OR(D1178="",A1178=""),"",A1178+IF(AND(Config!$B$17="Sim",LEFT(D1178,17)="Cartão de crédito"),1,IFERROR(INDEX(Config!$C$12:$C$15,MATCH(IF(AND(D1178="Cartão de crédito",N(E1178)&gt;1),"Cartão de crédito parcelado",D1178),Config!$A$12:$A$15,0)),0)))</f>
        <v/>
      </c>
      <c r="M1178" s="37">
        <f>IF(L1178="","",IF(AND(Config!$B$17="Sim",LEFT(D1178,17)="Cartão de crédito"),L1178,L1178+30*(MAX(1,N(E1178))-1)))</f>
        <v/>
      </c>
      <c r="N1178" s="29">
        <f>IF(OR(L1178="",K1178=""),"",K1178*MIN(MAX(1,N(E1178)),MAX(0,INT((Config!$B$8-L1178)/30)+1)))</f>
        <v/>
      </c>
      <c r="O1178" s="29">
        <f>IF(J1178="","",J1178-N(N1178))</f>
        <v/>
      </c>
      <c r="P1178" s="27">
        <f>IF(A1178="","",MONTH(A1178))</f>
        <v/>
      </c>
      <c r="Q1178" s="27">
        <f>IF(A1178="","",YEAR(A1178))</f>
        <v/>
      </c>
      <c r="R1178" s="27">
        <f>IF(L1178="","",IF(L1178&gt;Config!$B$8,"A cair",IF(N(G1178)&gt;=MIN(MAX(1,N(E1178)),MAX(0,INT((Config!$B$8-L1178)/30)+1)),IF(N(G1178)&gt;=MAX(1,N(E1178)),"Conferido","Conferido até aqui"),"A conferir")))</f>
        <v/>
      </c>
      <c r="S1178" s="51">
        <f>IF(R1178="A conferir",(Config!$B$8-L1178)*1000+N(F1178)/1000+ROW()/100000,0)</f>
        <v>0</v>
      </c>
      <c r="T1178" s="51">
        <f>IF(R1178="A conferir",N(N1178),0)</f>
        <v>0</v>
      </c>
      <c r="U1178" s="51">
        <f>IF(L1178="",0,L1178)</f>
        <v>0</v>
      </c>
      <c r="V1178" s="51">
        <f>IF(L1178="",0,MAX(1,N(E1178)))</f>
        <v>0</v>
      </c>
      <c r="W1178" s="51">
        <f>IF(K1178="",0,K1178)</f>
        <v>0</v>
      </c>
    </row>
    <row r="1179">
      <c r="A1179" s="49" t="n"/>
      <c r="B1179" s="41" t="n"/>
      <c r="C1179" s="41" t="n"/>
      <c r="D1179" s="42" t="n"/>
      <c r="E1179" s="42" t="n"/>
      <c r="F1179" s="50" t="n"/>
      <c r="G1179" s="42" t="n"/>
      <c r="H1179" s="30">
        <f>IF(D1179="","",IFERROR(INDEX(Config!$B$12:$B$15,MATCH(IF(AND(D1179="Cartão de crédito",N(E1179)&gt;1),"Cartão de crédito parcelado",D1179),Config!$A$12:$A$15,0)),0)+IF(AND(Config!$B$17="Sim",LEFT(D1179,17)="Cartão de crédito"),Config!$B$18*IFERROR(INDEX(Config!$C$12:$C$15,MATCH(IF(AND(D1179="Cartão de crédito",N(E1179)&gt;1),"Cartão de crédito parcelado",D1179),Config!$A$12:$A$15,0)),0)/30*MAX(1,N(E1179)),0))</f>
        <v/>
      </c>
      <c r="I1179" s="29">
        <f>IF(OR(D1179="",F1179=""),"",ROUND(F1179*H1179,2))</f>
        <v/>
      </c>
      <c r="J1179" s="29">
        <f>IF(I1179="","",F1179-I1179)</f>
        <v/>
      </c>
      <c r="K1179" s="29">
        <f>IF(J1179="","",J1179/MAX(1,N(E1179)))</f>
        <v/>
      </c>
      <c r="L1179" s="37">
        <f>IF(OR(D1179="",A1179=""),"",A1179+IF(AND(Config!$B$17="Sim",LEFT(D1179,17)="Cartão de crédito"),1,IFERROR(INDEX(Config!$C$12:$C$15,MATCH(IF(AND(D1179="Cartão de crédito",N(E1179)&gt;1),"Cartão de crédito parcelado",D1179),Config!$A$12:$A$15,0)),0)))</f>
        <v/>
      </c>
      <c r="M1179" s="37">
        <f>IF(L1179="","",IF(AND(Config!$B$17="Sim",LEFT(D1179,17)="Cartão de crédito"),L1179,L1179+30*(MAX(1,N(E1179))-1)))</f>
        <v/>
      </c>
      <c r="N1179" s="29">
        <f>IF(OR(L1179="",K1179=""),"",K1179*MIN(MAX(1,N(E1179)),MAX(0,INT((Config!$B$8-L1179)/30)+1)))</f>
        <v/>
      </c>
      <c r="O1179" s="29">
        <f>IF(J1179="","",J1179-N(N1179))</f>
        <v/>
      </c>
      <c r="P1179" s="27">
        <f>IF(A1179="","",MONTH(A1179))</f>
        <v/>
      </c>
      <c r="Q1179" s="27">
        <f>IF(A1179="","",YEAR(A1179))</f>
        <v/>
      </c>
      <c r="R1179" s="27">
        <f>IF(L1179="","",IF(L1179&gt;Config!$B$8,"A cair",IF(N(G1179)&gt;=MIN(MAX(1,N(E1179)),MAX(0,INT((Config!$B$8-L1179)/30)+1)),IF(N(G1179)&gt;=MAX(1,N(E1179)),"Conferido","Conferido até aqui"),"A conferir")))</f>
        <v/>
      </c>
      <c r="S1179" s="51">
        <f>IF(R1179="A conferir",(Config!$B$8-L1179)*1000+N(F1179)/1000+ROW()/100000,0)</f>
        <v>0</v>
      </c>
      <c r="T1179" s="51">
        <f>IF(R1179="A conferir",N(N1179),0)</f>
        <v>0</v>
      </c>
      <c r="U1179" s="51">
        <f>IF(L1179="",0,L1179)</f>
        <v>0</v>
      </c>
      <c r="V1179" s="51">
        <f>IF(L1179="",0,MAX(1,N(E1179)))</f>
        <v>0</v>
      </c>
      <c r="W1179" s="51">
        <f>IF(K1179="",0,K1179)</f>
        <v>0</v>
      </c>
    </row>
    <row r="1180">
      <c r="A1180" s="49" t="n"/>
      <c r="B1180" s="41" t="n"/>
      <c r="C1180" s="41" t="n"/>
      <c r="D1180" s="42" t="n"/>
      <c r="E1180" s="42" t="n"/>
      <c r="F1180" s="50" t="n"/>
      <c r="G1180" s="42" t="n"/>
      <c r="H1180" s="30">
        <f>IF(D1180="","",IFERROR(INDEX(Config!$B$12:$B$15,MATCH(IF(AND(D1180="Cartão de crédito",N(E1180)&gt;1),"Cartão de crédito parcelado",D1180),Config!$A$12:$A$15,0)),0)+IF(AND(Config!$B$17="Sim",LEFT(D1180,17)="Cartão de crédito"),Config!$B$18*IFERROR(INDEX(Config!$C$12:$C$15,MATCH(IF(AND(D1180="Cartão de crédito",N(E1180)&gt;1),"Cartão de crédito parcelado",D1180),Config!$A$12:$A$15,0)),0)/30*MAX(1,N(E1180)),0))</f>
        <v/>
      </c>
      <c r="I1180" s="29">
        <f>IF(OR(D1180="",F1180=""),"",ROUND(F1180*H1180,2))</f>
        <v/>
      </c>
      <c r="J1180" s="29">
        <f>IF(I1180="","",F1180-I1180)</f>
        <v/>
      </c>
      <c r="K1180" s="29">
        <f>IF(J1180="","",J1180/MAX(1,N(E1180)))</f>
        <v/>
      </c>
      <c r="L1180" s="37">
        <f>IF(OR(D1180="",A1180=""),"",A1180+IF(AND(Config!$B$17="Sim",LEFT(D1180,17)="Cartão de crédito"),1,IFERROR(INDEX(Config!$C$12:$C$15,MATCH(IF(AND(D1180="Cartão de crédito",N(E1180)&gt;1),"Cartão de crédito parcelado",D1180),Config!$A$12:$A$15,0)),0)))</f>
        <v/>
      </c>
      <c r="M1180" s="37">
        <f>IF(L1180="","",IF(AND(Config!$B$17="Sim",LEFT(D1180,17)="Cartão de crédito"),L1180,L1180+30*(MAX(1,N(E1180))-1)))</f>
        <v/>
      </c>
      <c r="N1180" s="29">
        <f>IF(OR(L1180="",K1180=""),"",K1180*MIN(MAX(1,N(E1180)),MAX(0,INT((Config!$B$8-L1180)/30)+1)))</f>
        <v/>
      </c>
      <c r="O1180" s="29">
        <f>IF(J1180="","",J1180-N(N1180))</f>
        <v/>
      </c>
      <c r="P1180" s="27">
        <f>IF(A1180="","",MONTH(A1180))</f>
        <v/>
      </c>
      <c r="Q1180" s="27">
        <f>IF(A1180="","",YEAR(A1180))</f>
        <v/>
      </c>
      <c r="R1180" s="27">
        <f>IF(L1180="","",IF(L1180&gt;Config!$B$8,"A cair",IF(N(G1180)&gt;=MIN(MAX(1,N(E1180)),MAX(0,INT((Config!$B$8-L1180)/30)+1)),IF(N(G1180)&gt;=MAX(1,N(E1180)),"Conferido","Conferido até aqui"),"A conferir")))</f>
        <v/>
      </c>
      <c r="S1180" s="51">
        <f>IF(R1180="A conferir",(Config!$B$8-L1180)*1000+N(F1180)/1000+ROW()/100000,0)</f>
        <v>0</v>
      </c>
      <c r="T1180" s="51">
        <f>IF(R1180="A conferir",N(N1180),0)</f>
        <v>0</v>
      </c>
      <c r="U1180" s="51">
        <f>IF(L1180="",0,L1180)</f>
        <v>0</v>
      </c>
      <c r="V1180" s="51">
        <f>IF(L1180="",0,MAX(1,N(E1180)))</f>
        <v>0</v>
      </c>
      <c r="W1180" s="51">
        <f>IF(K1180="",0,K1180)</f>
        <v>0</v>
      </c>
    </row>
    <row r="1181">
      <c r="A1181" s="49" t="n"/>
      <c r="B1181" s="41" t="n"/>
      <c r="C1181" s="41" t="n"/>
      <c r="D1181" s="42" t="n"/>
      <c r="E1181" s="42" t="n"/>
      <c r="F1181" s="50" t="n"/>
      <c r="G1181" s="42" t="n"/>
      <c r="H1181" s="30">
        <f>IF(D1181="","",IFERROR(INDEX(Config!$B$12:$B$15,MATCH(IF(AND(D1181="Cartão de crédito",N(E1181)&gt;1),"Cartão de crédito parcelado",D1181),Config!$A$12:$A$15,0)),0)+IF(AND(Config!$B$17="Sim",LEFT(D1181,17)="Cartão de crédito"),Config!$B$18*IFERROR(INDEX(Config!$C$12:$C$15,MATCH(IF(AND(D1181="Cartão de crédito",N(E1181)&gt;1),"Cartão de crédito parcelado",D1181),Config!$A$12:$A$15,0)),0)/30*MAX(1,N(E1181)),0))</f>
        <v/>
      </c>
      <c r="I1181" s="29">
        <f>IF(OR(D1181="",F1181=""),"",ROUND(F1181*H1181,2))</f>
        <v/>
      </c>
      <c r="J1181" s="29">
        <f>IF(I1181="","",F1181-I1181)</f>
        <v/>
      </c>
      <c r="K1181" s="29">
        <f>IF(J1181="","",J1181/MAX(1,N(E1181)))</f>
        <v/>
      </c>
      <c r="L1181" s="37">
        <f>IF(OR(D1181="",A1181=""),"",A1181+IF(AND(Config!$B$17="Sim",LEFT(D1181,17)="Cartão de crédito"),1,IFERROR(INDEX(Config!$C$12:$C$15,MATCH(IF(AND(D1181="Cartão de crédito",N(E1181)&gt;1),"Cartão de crédito parcelado",D1181),Config!$A$12:$A$15,0)),0)))</f>
        <v/>
      </c>
      <c r="M1181" s="37">
        <f>IF(L1181="","",IF(AND(Config!$B$17="Sim",LEFT(D1181,17)="Cartão de crédito"),L1181,L1181+30*(MAX(1,N(E1181))-1)))</f>
        <v/>
      </c>
      <c r="N1181" s="29">
        <f>IF(OR(L1181="",K1181=""),"",K1181*MIN(MAX(1,N(E1181)),MAX(0,INT((Config!$B$8-L1181)/30)+1)))</f>
        <v/>
      </c>
      <c r="O1181" s="29">
        <f>IF(J1181="","",J1181-N(N1181))</f>
        <v/>
      </c>
      <c r="P1181" s="27">
        <f>IF(A1181="","",MONTH(A1181))</f>
        <v/>
      </c>
      <c r="Q1181" s="27">
        <f>IF(A1181="","",YEAR(A1181))</f>
        <v/>
      </c>
      <c r="R1181" s="27">
        <f>IF(L1181="","",IF(L1181&gt;Config!$B$8,"A cair",IF(N(G1181)&gt;=MIN(MAX(1,N(E1181)),MAX(0,INT((Config!$B$8-L1181)/30)+1)),IF(N(G1181)&gt;=MAX(1,N(E1181)),"Conferido","Conferido até aqui"),"A conferir")))</f>
        <v/>
      </c>
      <c r="S1181" s="51">
        <f>IF(R1181="A conferir",(Config!$B$8-L1181)*1000+N(F1181)/1000+ROW()/100000,0)</f>
        <v>0</v>
      </c>
      <c r="T1181" s="51">
        <f>IF(R1181="A conferir",N(N1181),0)</f>
        <v>0</v>
      </c>
      <c r="U1181" s="51">
        <f>IF(L1181="",0,L1181)</f>
        <v>0</v>
      </c>
      <c r="V1181" s="51">
        <f>IF(L1181="",0,MAX(1,N(E1181)))</f>
        <v>0</v>
      </c>
      <c r="W1181" s="51">
        <f>IF(K1181="",0,K1181)</f>
        <v>0</v>
      </c>
    </row>
    <row r="1182">
      <c r="A1182" s="49" t="n"/>
      <c r="B1182" s="41" t="n"/>
      <c r="C1182" s="41" t="n"/>
      <c r="D1182" s="42" t="n"/>
      <c r="E1182" s="42" t="n"/>
      <c r="F1182" s="50" t="n"/>
      <c r="G1182" s="42" t="n"/>
      <c r="H1182" s="30">
        <f>IF(D1182="","",IFERROR(INDEX(Config!$B$12:$B$15,MATCH(IF(AND(D1182="Cartão de crédito",N(E1182)&gt;1),"Cartão de crédito parcelado",D1182),Config!$A$12:$A$15,0)),0)+IF(AND(Config!$B$17="Sim",LEFT(D1182,17)="Cartão de crédito"),Config!$B$18*IFERROR(INDEX(Config!$C$12:$C$15,MATCH(IF(AND(D1182="Cartão de crédito",N(E1182)&gt;1),"Cartão de crédito parcelado",D1182),Config!$A$12:$A$15,0)),0)/30*MAX(1,N(E1182)),0))</f>
        <v/>
      </c>
      <c r="I1182" s="29">
        <f>IF(OR(D1182="",F1182=""),"",ROUND(F1182*H1182,2))</f>
        <v/>
      </c>
      <c r="J1182" s="29">
        <f>IF(I1182="","",F1182-I1182)</f>
        <v/>
      </c>
      <c r="K1182" s="29">
        <f>IF(J1182="","",J1182/MAX(1,N(E1182)))</f>
        <v/>
      </c>
      <c r="L1182" s="37">
        <f>IF(OR(D1182="",A1182=""),"",A1182+IF(AND(Config!$B$17="Sim",LEFT(D1182,17)="Cartão de crédito"),1,IFERROR(INDEX(Config!$C$12:$C$15,MATCH(IF(AND(D1182="Cartão de crédito",N(E1182)&gt;1),"Cartão de crédito parcelado",D1182),Config!$A$12:$A$15,0)),0)))</f>
        <v/>
      </c>
      <c r="M1182" s="37">
        <f>IF(L1182="","",IF(AND(Config!$B$17="Sim",LEFT(D1182,17)="Cartão de crédito"),L1182,L1182+30*(MAX(1,N(E1182))-1)))</f>
        <v/>
      </c>
      <c r="N1182" s="29">
        <f>IF(OR(L1182="",K1182=""),"",K1182*MIN(MAX(1,N(E1182)),MAX(0,INT((Config!$B$8-L1182)/30)+1)))</f>
        <v/>
      </c>
      <c r="O1182" s="29">
        <f>IF(J1182="","",J1182-N(N1182))</f>
        <v/>
      </c>
      <c r="P1182" s="27">
        <f>IF(A1182="","",MONTH(A1182))</f>
        <v/>
      </c>
      <c r="Q1182" s="27">
        <f>IF(A1182="","",YEAR(A1182))</f>
        <v/>
      </c>
      <c r="R1182" s="27">
        <f>IF(L1182="","",IF(L1182&gt;Config!$B$8,"A cair",IF(N(G1182)&gt;=MIN(MAX(1,N(E1182)),MAX(0,INT((Config!$B$8-L1182)/30)+1)),IF(N(G1182)&gt;=MAX(1,N(E1182)),"Conferido","Conferido até aqui"),"A conferir")))</f>
        <v/>
      </c>
      <c r="S1182" s="51">
        <f>IF(R1182="A conferir",(Config!$B$8-L1182)*1000+N(F1182)/1000+ROW()/100000,0)</f>
        <v>0</v>
      </c>
      <c r="T1182" s="51">
        <f>IF(R1182="A conferir",N(N1182),0)</f>
        <v>0</v>
      </c>
      <c r="U1182" s="51">
        <f>IF(L1182="",0,L1182)</f>
        <v>0</v>
      </c>
      <c r="V1182" s="51">
        <f>IF(L1182="",0,MAX(1,N(E1182)))</f>
        <v>0</v>
      </c>
      <c r="W1182" s="51">
        <f>IF(K1182="",0,K1182)</f>
        <v>0</v>
      </c>
    </row>
    <row r="1183">
      <c r="A1183" s="49" t="n"/>
      <c r="B1183" s="41" t="n"/>
      <c r="C1183" s="41" t="n"/>
      <c r="D1183" s="42" t="n"/>
      <c r="E1183" s="42" t="n"/>
      <c r="F1183" s="50" t="n"/>
      <c r="G1183" s="42" t="n"/>
      <c r="H1183" s="30">
        <f>IF(D1183="","",IFERROR(INDEX(Config!$B$12:$B$15,MATCH(IF(AND(D1183="Cartão de crédito",N(E1183)&gt;1),"Cartão de crédito parcelado",D1183),Config!$A$12:$A$15,0)),0)+IF(AND(Config!$B$17="Sim",LEFT(D1183,17)="Cartão de crédito"),Config!$B$18*IFERROR(INDEX(Config!$C$12:$C$15,MATCH(IF(AND(D1183="Cartão de crédito",N(E1183)&gt;1),"Cartão de crédito parcelado",D1183),Config!$A$12:$A$15,0)),0)/30*MAX(1,N(E1183)),0))</f>
        <v/>
      </c>
      <c r="I1183" s="29">
        <f>IF(OR(D1183="",F1183=""),"",ROUND(F1183*H1183,2))</f>
        <v/>
      </c>
      <c r="J1183" s="29">
        <f>IF(I1183="","",F1183-I1183)</f>
        <v/>
      </c>
      <c r="K1183" s="29">
        <f>IF(J1183="","",J1183/MAX(1,N(E1183)))</f>
        <v/>
      </c>
      <c r="L1183" s="37">
        <f>IF(OR(D1183="",A1183=""),"",A1183+IF(AND(Config!$B$17="Sim",LEFT(D1183,17)="Cartão de crédito"),1,IFERROR(INDEX(Config!$C$12:$C$15,MATCH(IF(AND(D1183="Cartão de crédito",N(E1183)&gt;1),"Cartão de crédito parcelado",D1183),Config!$A$12:$A$15,0)),0)))</f>
        <v/>
      </c>
      <c r="M1183" s="37">
        <f>IF(L1183="","",IF(AND(Config!$B$17="Sim",LEFT(D1183,17)="Cartão de crédito"),L1183,L1183+30*(MAX(1,N(E1183))-1)))</f>
        <v/>
      </c>
      <c r="N1183" s="29">
        <f>IF(OR(L1183="",K1183=""),"",K1183*MIN(MAX(1,N(E1183)),MAX(0,INT((Config!$B$8-L1183)/30)+1)))</f>
        <v/>
      </c>
      <c r="O1183" s="29">
        <f>IF(J1183="","",J1183-N(N1183))</f>
        <v/>
      </c>
      <c r="P1183" s="27">
        <f>IF(A1183="","",MONTH(A1183))</f>
        <v/>
      </c>
      <c r="Q1183" s="27">
        <f>IF(A1183="","",YEAR(A1183))</f>
        <v/>
      </c>
      <c r="R1183" s="27">
        <f>IF(L1183="","",IF(L1183&gt;Config!$B$8,"A cair",IF(N(G1183)&gt;=MIN(MAX(1,N(E1183)),MAX(0,INT((Config!$B$8-L1183)/30)+1)),IF(N(G1183)&gt;=MAX(1,N(E1183)),"Conferido","Conferido até aqui"),"A conferir")))</f>
        <v/>
      </c>
      <c r="S1183" s="51">
        <f>IF(R1183="A conferir",(Config!$B$8-L1183)*1000+N(F1183)/1000+ROW()/100000,0)</f>
        <v>0</v>
      </c>
      <c r="T1183" s="51">
        <f>IF(R1183="A conferir",N(N1183),0)</f>
        <v>0</v>
      </c>
      <c r="U1183" s="51">
        <f>IF(L1183="",0,L1183)</f>
        <v>0</v>
      </c>
      <c r="V1183" s="51">
        <f>IF(L1183="",0,MAX(1,N(E1183)))</f>
        <v>0</v>
      </c>
      <c r="W1183" s="51">
        <f>IF(K1183="",0,K1183)</f>
        <v>0</v>
      </c>
    </row>
    <row r="1184">
      <c r="A1184" s="49" t="n"/>
      <c r="B1184" s="41" t="n"/>
      <c r="C1184" s="41" t="n"/>
      <c r="D1184" s="42" t="n"/>
      <c r="E1184" s="42" t="n"/>
      <c r="F1184" s="50" t="n"/>
      <c r="G1184" s="42" t="n"/>
      <c r="H1184" s="30">
        <f>IF(D1184="","",IFERROR(INDEX(Config!$B$12:$B$15,MATCH(IF(AND(D1184="Cartão de crédito",N(E1184)&gt;1),"Cartão de crédito parcelado",D1184),Config!$A$12:$A$15,0)),0)+IF(AND(Config!$B$17="Sim",LEFT(D1184,17)="Cartão de crédito"),Config!$B$18*IFERROR(INDEX(Config!$C$12:$C$15,MATCH(IF(AND(D1184="Cartão de crédito",N(E1184)&gt;1),"Cartão de crédito parcelado",D1184),Config!$A$12:$A$15,0)),0)/30*MAX(1,N(E1184)),0))</f>
        <v/>
      </c>
      <c r="I1184" s="29">
        <f>IF(OR(D1184="",F1184=""),"",ROUND(F1184*H1184,2))</f>
        <v/>
      </c>
      <c r="J1184" s="29">
        <f>IF(I1184="","",F1184-I1184)</f>
        <v/>
      </c>
      <c r="K1184" s="29">
        <f>IF(J1184="","",J1184/MAX(1,N(E1184)))</f>
        <v/>
      </c>
      <c r="L1184" s="37">
        <f>IF(OR(D1184="",A1184=""),"",A1184+IF(AND(Config!$B$17="Sim",LEFT(D1184,17)="Cartão de crédito"),1,IFERROR(INDEX(Config!$C$12:$C$15,MATCH(IF(AND(D1184="Cartão de crédito",N(E1184)&gt;1),"Cartão de crédito parcelado",D1184),Config!$A$12:$A$15,0)),0)))</f>
        <v/>
      </c>
      <c r="M1184" s="37">
        <f>IF(L1184="","",IF(AND(Config!$B$17="Sim",LEFT(D1184,17)="Cartão de crédito"),L1184,L1184+30*(MAX(1,N(E1184))-1)))</f>
        <v/>
      </c>
      <c r="N1184" s="29">
        <f>IF(OR(L1184="",K1184=""),"",K1184*MIN(MAX(1,N(E1184)),MAX(0,INT((Config!$B$8-L1184)/30)+1)))</f>
        <v/>
      </c>
      <c r="O1184" s="29">
        <f>IF(J1184="","",J1184-N(N1184))</f>
        <v/>
      </c>
      <c r="P1184" s="27">
        <f>IF(A1184="","",MONTH(A1184))</f>
        <v/>
      </c>
      <c r="Q1184" s="27">
        <f>IF(A1184="","",YEAR(A1184))</f>
        <v/>
      </c>
      <c r="R1184" s="27">
        <f>IF(L1184="","",IF(L1184&gt;Config!$B$8,"A cair",IF(N(G1184)&gt;=MIN(MAX(1,N(E1184)),MAX(0,INT((Config!$B$8-L1184)/30)+1)),IF(N(G1184)&gt;=MAX(1,N(E1184)),"Conferido","Conferido até aqui"),"A conferir")))</f>
        <v/>
      </c>
      <c r="S1184" s="51">
        <f>IF(R1184="A conferir",(Config!$B$8-L1184)*1000+N(F1184)/1000+ROW()/100000,0)</f>
        <v>0</v>
      </c>
      <c r="T1184" s="51">
        <f>IF(R1184="A conferir",N(N1184),0)</f>
        <v>0</v>
      </c>
      <c r="U1184" s="51">
        <f>IF(L1184="",0,L1184)</f>
        <v>0</v>
      </c>
      <c r="V1184" s="51">
        <f>IF(L1184="",0,MAX(1,N(E1184)))</f>
        <v>0</v>
      </c>
      <c r="W1184" s="51">
        <f>IF(K1184="",0,K1184)</f>
        <v>0</v>
      </c>
    </row>
    <row r="1185">
      <c r="A1185" s="49" t="n"/>
      <c r="B1185" s="41" t="n"/>
      <c r="C1185" s="41" t="n"/>
      <c r="D1185" s="42" t="n"/>
      <c r="E1185" s="42" t="n"/>
      <c r="F1185" s="50" t="n"/>
      <c r="G1185" s="42" t="n"/>
      <c r="H1185" s="30">
        <f>IF(D1185="","",IFERROR(INDEX(Config!$B$12:$B$15,MATCH(IF(AND(D1185="Cartão de crédito",N(E1185)&gt;1),"Cartão de crédito parcelado",D1185),Config!$A$12:$A$15,0)),0)+IF(AND(Config!$B$17="Sim",LEFT(D1185,17)="Cartão de crédito"),Config!$B$18*IFERROR(INDEX(Config!$C$12:$C$15,MATCH(IF(AND(D1185="Cartão de crédito",N(E1185)&gt;1),"Cartão de crédito parcelado",D1185),Config!$A$12:$A$15,0)),0)/30*MAX(1,N(E1185)),0))</f>
        <v/>
      </c>
      <c r="I1185" s="29">
        <f>IF(OR(D1185="",F1185=""),"",ROUND(F1185*H1185,2))</f>
        <v/>
      </c>
      <c r="J1185" s="29">
        <f>IF(I1185="","",F1185-I1185)</f>
        <v/>
      </c>
      <c r="K1185" s="29">
        <f>IF(J1185="","",J1185/MAX(1,N(E1185)))</f>
        <v/>
      </c>
      <c r="L1185" s="37">
        <f>IF(OR(D1185="",A1185=""),"",A1185+IF(AND(Config!$B$17="Sim",LEFT(D1185,17)="Cartão de crédito"),1,IFERROR(INDEX(Config!$C$12:$C$15,MATCH(IF(AND(D1185="Cartão de crédito",N(E1185)&gt;1),"Cartão de crédito parcelado",D1185),Config!$A$12:$A$15,0)),0)))</f>
        <v/>
      </c>
      <c r="M1185" s="37">
        <f>IF(L1185="","",IF(AND(Config!$B$17="Sim",LEFT(D1185,17)="Cartão de crédito"),L1185,L1185+30*(MAX(1,N(E1185))-1)))</f>
        <v/>
      </c>
      <c r="N1185" s="29">
        <f>IF(OR(L1185="",K1185=""),"",K1185*MIN(MAX(1,N(E1185)),MAX(0,INT((Config!$B$8-L1185)/30)+1)))</f>
        <v/>
      </c>
      <c r="O1185" s="29">
        <f>IF(J1185="","",J1185-N(N1185))</f>
        <v/>
      </c>
      <c r="P1185" s="27">
        <f>IF(A1185="","",MONTH(A1185))</f>
        <v/>
      </c>
      <c r="Q1185" s="27">
        <f>IF(A1185="","",YEAR(A1185))</f>
        <v/>
      </c>
      <c r="R1185" s="27">
        <f>IF(L1185="","",IF(L1185&gt;Config!$B$8,"A cair",IF(N(G1185)&gt;=MIN(MAX(1,N(E1185)),MAX(0,INT((Config!$B$8-L1185)/30)+1)),IF(N(G1185)&gt;=MAX(1,N(E1185)),"Conferido","Conferido até aqui"),"A conferir")))</f>
        <v/>
      </c>
      <c r="S1185" s="51">
        <f>IF(R1185="A conferir",(Config!$B$8-L1185)*1000+N(F1185)/1000+ROW()/100000,0)</f>
        <v>0</v>
      </c>
      <c r="T1185" s="51">
        <f>IF(R1185="A conferir",N(N1185),0)</f>
        <v>0</v>
      </c>
      <c r="U1185" s="51">
        <f>IF(L1185="",0,L1185)</f>
        <v>0</v>
      </c>
      <c r="V1185" s="51">
        <f>IF(L1185="",0,MAX(1,N(E1185)))</f>
        <v>0</v>
      </c>
      <c r="W1185" s="51">
        <f>IF(K1185="",0,K1185)</f>
        <v>0</v>
      </c>
    </row>
    <row r="1186">
      <c r="A1186" s="49" t="n"/>
      <c r="B1186" s="41" t="n"/>
      <c r="C1186" s="41" t="n"/>
      <c r="D1186" s="42" t="n"/>
      <c r="E1186" s="42" t="n"/>
      <c r="F1186" s="50" t="n"/>
      <c r="G1186" s="42" t="n"/>
      <c r="H1186" s="30">
        <f>IF(D1186="","",IFERROR(INDEX(Config!$B$12:$B$15,MATCH(IF(AND(D1186="Cartão de crédito",N(E1186)&gt;1),"Cartão de crédito parcelado",D1186),Config!$A$12:$A$15,0)),0)+IF(AND(Config!$B$17="Sim",LEFT(D1186,17)="Cartão de crédito"),Config!$B$18*IFERROR(INDEX(Config!$C$12:$C$15,MATCH(IF(AND(D1186="Cartão de crédito",N(E1186)&gt;1),"Cartão de crédito parcelado",D1186),Config!$A$12:$A$15,0)),0)/30*MAX(1,N(E1186)),0))</f>
        <v/>
      </c>
      <c r="I1186" s="29">
        <f>IF(OR(D1186="",F1186=""),"",ROUND(F1186*H1186,2))</f>
        <v/>
      </c>
      <c r="J1186" s="29">
        <f>IF(I1186="","",F1186-I1186)</f>
        <v/>
      </c>
      <c r="K1186" s="29">
        <f>IF(J1186="","",J1186/MAX(1,N(E1186)))</f>
        <v/>
      </c>
      <c r="L1186" s="37">
        <f>IF(OR(D1186="",A1186=""),"",A1186+IF(AND(Config!$B$17="Sim",LEFT(D1186,17)="Cartão de crédito"),1,IFERROR(INDEX(Config!$C$12:$C$15,MATCH(IF(AND(D1186="Cartão de crédito",N(E1186)&gt;1),"Cartão de crédito parcelado",D1186),Config!$A$12:$A$15,0)),0)))</f>
        <v/>
      </c>
      <c r="M1186" s="37">
        <f>IF(L1186="","",IF(AND(Config!$B$17="Sim",LEFT(D1186,17)="Cartão de crédito"),L1186,L1186+30*(MAX(1,N(E1186))-1)))</f>
        <v/>
      </c>
      <c r="N1186" s="29">
        <f>IF(OR(L1186="",K1186=""),"",K1186*MIN(MAX(1,N(E1186)),MAX(0,INT((Config!$B$8-L1186)/30)+1)))</f>
        <v/>
      </c>
      <c r="O1186" s="29">
        <f>IF(J1186="","",J1186-N(N1186))</f>
        <v/>
      </c>
      <c r="P1186" s="27">
        <f>IF(A1186="","",MONTH(A1186))</f>
        <v/>
      </c>
      <c r="Q1186" s="27">
        <f>IF(A1186="","",YEAR(A1186))</f>
        <v/>
      </c>
      <c r="R1186" s="27">
        <f>IF(L1186="","",IF(L1186&gt;Config!$B$8,"A cair",IF(N(G1186)&gt;=MIN(MAX(1,N(E1186)),MAX(0,INT((Config!$B$8-L1186)/30)+1)),IF(N(G1186)&gt;=MAX(1,N(E1186)),"Conferido","Conferido até aqui"),"A conferir")))</f>
        <v/>
      </c>
      <c r="S1186" s="51">
        <f>IF(R1186="A conferir",(Config!$B$8-L1186)*1000+N(F1186)/1000+ROW()/100000,0)</f>
        <v>0</v>
      </c>
      <c r="T1186" s="51">
        <f>IF(R1186="A conferir",N(N1186),0)</f>
        <v>0</v>
      </c>
      <c r="U1186" s="51">
        <f>IF(L1186="",0,L1186)</f>
        <v>0</v>
      </c>
      <c r="V1186" s="51">
        <f>IF(L1186="",0,MAX(1,N(E1186)))</f>
        <v>0</v>
      </c>
      <c r="W1186" s="51">
        <f>IF(K1186="",0,K1186)</f>
        <v>0</v>
      </c>
    </row>
    <row r="1187">
      <c r="A1187" s="49" t="n"/>
      <c r="B1187" s="41" t="n"/>
      <c r="C1187" s="41" t="n"/>
      <c r="D1187" s="42" t="n"/>
      <c r="E1187" s="42" t="n"/>
      <c r="F1187" s="50" t="n"/>
      <c r="G1187" s="42" t="n"/>
      <c r="H1187" s="30">
        <f>IF(D1187="","",IFERROR(INDEX(Config!$B$12:$B$15,MATCH(IF(AND(D1187="Cartão de crédito",N(E1187)&gt;1),"Cartão de crédito parcelado",D1187),Config!$A$12:$A$15,0)),0)+IF(AND(Config!$B$17="Sim",LEFT(D1187,17)="Cartão de crédito"),Config!$B$18*IFERROR(INDEX(Config!$C$12:$C$15,MATCH(IF(AND(D1187="Cartão de crédito",N(E1187)&gt;1),"Cartão de crédito parcelado",D1187),Config!$A$12:$A$15,0)),0)/30*MAX(1,N(E1187)),0))</f>
        <v/>
      </c>
      <c r="I1187" s="29">
        <f>IF(OR(D1187="",F1187=""),"",ROUND(F1187*H1187,2))</f>
        <v/>
      </c>
      <c r="J1187" s="29">
        <f>IF(I1187="","",F1187-I1187)</f>
        <v/>
      </c>
      <c r="K1187" s="29">
        <f>IF(J1187="","",J1187/MAX(1,N(E1187)))</f>
        <v/>
      </c>
      <c r="L1187" s="37">
        <f>IF(OR(D1187="",A1187=""),"",A1187+IF(AND(Config!$B$17="Sim",LEFT(D1187,17)="Cartão de crédito"),1,IFERROR(INDEX(Config!$C$12:$C$15,MATCH(IF(AND(D1187="Cartão de crédito",N(E1187)&gt;1),"Cartão de crédito parcelado",D1187),Config!$A$12:$A$15,0)),0)))</f>
        <v/>
      </c>
      <c r="M1187" s="37">
        <f>IF(L1187="","",IF(AND(Config!$B$17="Sim",LEFT(D1187,17)="Cartão de crédito"),L1187,L1187+30*(MAX(1,N(E1187))-1)))</f>
        <v/>
      </c>
      <c r="N1187" s="29">
        <f>IF(OR(L1187="",K1187=""),"",K1187*MIN(MAX(1,N(E1187)),MAX(0,INT((Config!$B$8-L1187)/30)+1)))</f>
        <v/>
      </c>
      <c r="O1187" s="29">
        <f>IF(J1187="","",J1187-N(N1187))</f>
        <v/>
      </c>
      <c r="P1187" s="27">
        <f>IF(A1187="","",MONTH(A1187))</f>
        <v/>
      </c>
      <c r="Q1187" s="27">
        <f>IF(A1187="","",YEAR(A1187))</f>
        <v/>
      </c>
      <c r="R1187" s="27">
        <f>IF(L1187="","",IF(L1187&gt;Config!$B$8,"A cair",IF(N(G1187)&gt;=MIN(MAX(1,N(E1187)),MAX(0,INT((Config!$B$8-L1187)/30)+1)),IF(N(G1187)&gt;=MAX(1,N(E1187)),"Conferido","Conferido até aqui"),"A conferir")))</f>
        <v/>
      </c>
      <c r="S1187" s="51">
        <f>IF(R1187="A conferir",(Config!$B$8-L1187)*1000+N(F1187)/1000+ROW()/100000,0)</f>
        <v>0</v>
      </c>
      <c r="T1187" s="51">
        <f>IF(R1187="A conferir",N(N1187),0)</f>
        <v>0</v>
      </c>
      <c r="U1187" s="51">
        <f>IF(L1187="",0,L1187)</f>
        <v>0</v>
      </c>
      <c r="V1187" s="51">
        <f>IF(L1187="",0,MAX(1,N(E1187)))</f>
        <v>0</v>
      </c>
      <c r="W1187" s="51">
        <f>IF(K1187="",0,K1187)</f>
        <v>0</v>
      </c>
    </row>
    <row r="1188">
      <c r="A1188" s="49" t="n"/>
      <c r="B1188" s="41" t="n"/>
      <c r="C1188" s="41" t="n"/>
      <c r="D1188" s="42" t="n"/>
      <c r="E1188" s="42" t="n"/>
      <c r="F1188" s="50" t="n"/>
      <c r="G1188" s="42" t="n"/>
      <c r="H1188" s="30">
        <f>IF(D1188="","",IFERROR(INDEX(Config!$B$12:$B$15,MATCH(IF(AND(D1188="Cartão de crédito",N(E1188)&gt;1),"Cartão de crédito parcelado",D1188),Config!$A$12:$A$15,0)),0)+IF(AND(Config!$B$17="Sim",LEFT(D1188,17)="Cartão de crédito"),Config!$B$18*IFERROR(INDEX(Config!$C$12:$C$15,MATCH(IF(AND(D1188="Cartão de crédito",N(E1188)&gt;1),"Cartão de crédito parcelado",D1188),Config!$A$12:$A$15,0)),0)/30*MAX(1,N(E1188)),0))</f>
        <v/>
      </c>
      <c r="I1188" s="29">
        <f>IF(OR(D1188="",F1188=""),"",ROUND(F1188*H1188,2))</f>
        <v/>
      </c>
      <c r="J1188" s="29">
        <f>IF(I1188="","",F1188-I1188)</f>
        <v/>
      </c>
      <c r="K1188" s="29">
        <f>IF(J1188="","",J1188/MAX(1,N(E1188)))</f>
        <v/>
      </c>
      <c r="L1188" s="37">
        <f>IF(OR(D1188="",A1188=""),"",A1188+IF(AND(Config!$B$17="Sim",LEFT(D1188,17)="Cartão de crédito"),1,IFERROR(INDEX(Config!$C$12:$C$15,MATCH(IF(AND(D1188="Cartão de crédito",N(E1188)&gt;1),"Cartão de crédito parcelado",D1188),Config!$A$12:$A$15,0)),0)))</f>
        <v/>
      </c>
      <c r="M1188" s="37">
        <f>IF(L1188="","",IF(AND(Config!$B$17="Sim",LEFT(D1188,17)="Cartão de crédito"),L1188,L1188+30*(MAX(1,N(E1188))-1)))</f>
        <v/>
      </c>
      <c r="N1188" s="29">
        <f>IF(OR(L1188="",K1188=""),"",K1188*MIN(MAX(1,N(E1188)),MAX(0,INT((Config!$B$8-L1188)/30)+1)))</f>
        <v/>
      </c>
      <c r="O1188" s="29">
        <f>IF(J1188="","",J1188-N(N1188))</f>
        <v/>
      </c>
      <c r="P1188" s="27">
        <f>IF(A1188="","",MONTH(A1188))</f>
        <v/>
      </c>
      <c r="Q1188" s="27">
        <f>IF(A1188="","",YEAR(A1188))</f>
        <v/>
      </c>
      <c r="R1188" s="27">
        <f>IF(L1188="","",IF(L1188&gt;Config!$B$8,"A cair",IF(N(G1188)&gt;=MIN(MAX(1,N(E1188)),MAX(0,INT((Config!$B$8-L1188)/30)+1)),IF(N(G1188)&gt;=MAX(1,N(E1188)),"Conferido","Conferido até aqui"),"A conferir")))</f>
        <v/>
      </c>
      <c r="S1188" s="51">
        <f>IF(R1188="A conferir",(Config!$B$8-L1188)*1000+N(F1188)/1000+ROW()/100000,0)</f>
        <v>0</v>
      </c>
      <c r="T1188" s="51">
        <f>IF(R1188="A conferir",N(N1188),0)</f>
        <v>0</v>
      </c>
      <c r="U1188" s="51">
        <f>IF(L1188="",0,L1188)</f>
        <v>0</v>
      </c>
      <c r="V1188" s="51">
        <f>IF(L1188="",0,MAX(1,N(E1188)))</f>
        <v>0</v>
      </c>
      <c r="W1188" s="51">
        <f>IF(K1188="",0,K1188)</f>
        <v>0</v>
      </c>
    </row>
    <row r="1189">
      <c r="A1189" s="49" t="n"/>
      <c r="B1189" s="41" t="n"/>
      <c r="C1189" s="41" t="n"/>
      <c r="D1189" s="42" t="n"/>
      <c r="E1189" s="42" t="n"/>
      <c r="F1189" s="50" t="n"/>
      <c r="G1189" s="42" t="n"/>
      <c r="H1189" s="30">
        <f>IF(D1189="","",IFERROR(INDEX(Config!$B$12:$B$15,MATCH(IF(AND(D1189="Cartão de crédito",N(E1189)&gt;1),"Cartão de crédito parcelado",D1189),Config!$A$12:$A$15,0)),0)+IF(AND(Config!$B$17="Sim",LEFT(D1189,17)="Cartão de crédito"),Config!$B$18*IFERROR(INDEX(Config!$C$12:$C$15,MATCH(IF(AND(D1189="Cartão de crédito",N(E1189)&gt;1),"Cartão de crédito parcelado",D1189),Config!$A$12:$A$15,0)),0)/30*MAX(1,N(E1189)),0))</f>
        <v/>
      </c>
      <c r="I1189" s="29">
        <f>IF(OR(D1189="",F1189=""),"",ROUND(F1189*H1189,2))</f>
        <v/>
      </c>
      <c r="J1189" s="29">
        <f>IF(I1189="","",F1189-I1189)</f>
        <v/>
      </c>
      <c r="K1189" s="29">
        <f>IF(J1189="","",J1189/MAX(1,N(E1189)))</f>
        <v/>
      </c>
      <c r="L1189" s="37">
        <f>IF(OR(D1189="",A1189=""),"",A1189+IF(AND(Config!$B$17="Sim",LEFT(D1189,17)="Cartão de crédito"),1,IFERROR(INDEX(Config!$C$12:$C$15,MATCH(IF(AND(D1189="Cartão de crédito",N(E1189)&gt;1),"Cartão de crédito parcelado",D1189),Config!$A$12:$A$15,0)),0)))</f>
        <v/>
      </c>
      <c r="M1189" s="37">
        <f>IF(L1189="","",IF(AND(Config!$B$17="Sim",LEFT(D1189,17)="Cartão de crédito"),L1189,L1189+30*(MAX(1,N(E1189))-1)))</f>
        <v/>
      </c>
      <c r="N1189" s="29">
        <f>IF(OR(L1189="",K1189=""),"",K1189*MIN(MAX(1,N(E1189)),MAX(0,INT((Config!$B$8-L1189)/30)+1)))</f>
        <v/>
      </c>
      <c r="O1189" s="29">
        <f>IF(J1189="","",J1189-N(N1189))</f>
        <v/>
      </c>
      <c r="P1189" s="27">
        <f>IF(A1189="","",MONTH(A1189))</f>
        <v/>
      </c>
      <c r="Q1189" s="27">
        <f>IF(A1189="","",YEAR(A1189))</f>
        <v/>
      </c>
      <c r="R1189" s="27">
        <f>IF(L1189="","",IF(L1189&gt;Config!$B$8,"A cair",IF(N(G1189)&gt;=MIN(MAX(1,N(E1189)),MAX(0,INT((Config!$B$8-L1189)/30)+1)),IF(N(G1189)&gt;=MAX(1,N(E1189)),"Conferido","Conferido até aqui"),"A conferir")))</f>
        <v/>
      </c>
      <c r="S1189" s="51">
        <f>IF(R1189="A conferir",(Config!$B$8-L1189)*1000+N(F1189)/1000+ROW()/100000,0)</f>
        <v>0</v>
      </c>
      <c r="T1189" s="51">
        <f>IF(R1189="A conferir",N(N1189),0)</f>
        <v>0</v>
      </c>
      <c r="U1189" s="51">
        <f>IF(L1189="",0,L1189)</f>
        <v>0</v>
      </c>
      <c r="V1189" s="51">
        <f>IF(L1189="",0,MAX(1,N(E1189)))</f>
        <v>0</v>
      </c>
      <c r="W1189" s="51">
        <f>IF(K1189="",0,K1189)</f>
        <v>0</v>
      </c>
    </row>
    <row r="1190">
      <c r="A1190" s="49" t="n"/>
      <c r="B1190" s="41" t="n"/>
      <c r="C1190" s="41" t="n"/>
      <c r="D1190" s="42" t="n"/>
      <c r="E1190" s="42" t="n"/>
      <c r="F1190" s="50" t="n"/>
      <c r="G1190" s="42" t="n"/>
      <c r="H1190" s="30">
        <f>IF(D1190="","",IFERROR(INDEX(Config!$B$12:$B$15,MATCH(IF(AND(D1190="Cartão de crédito",N(E1190)&gt;1),"Cartão de crédito parcelado",D1190),Config!$A$12:$A$15,0)),0)+IF(AND(Config!$B$17="Sim",LEFT(D1190,17)="Cartão de crédito"),Config!$B$18*IFERROR(INDEX(Config!$C$12:$C$15,MATCH(IF(AND(D1190="Cartão de crédito",N(E1190)&gt;1),"Cartão de crédito parcelado",D1190),Config!$A$12:$A$15,0)),0)/30*MAX(1,N(E1190)),0))</f>
        <v/>
      </c>
      <c r="I1190" s="29">
        <f>IF(OR(D1190="",F1190=""),"",ROUND(F1190*H1190,2))</f>
        <v/>
      </c>
      <c r="J1190" s="29">
        <f>IF(I1190="","",F1190-I1190)</f>
        <v/>
      </c>
      <c r="K1190" s="29">
        <f>IF(J1190="","",J1190/MAX(1,N(E1190)))</f>
        <v/>
      </c>
      <c r="L1190" s="37">
        <f>IF(OR(D1190="",A1190=""),"",A1190+IF(AND(Config!$B$17="Sim",LEFT(D1190,17)="Cartão de crédito"),1,IFERROR(INDEX(Config!$C$12:$C$15,MATCH(IF(AND(D1190="Cartão de crédito",N(E1190)&gt;1),"Cartão de crédito parcelado",D1190),Config!$A$12:$A$15,0)),0)))</f>
        <v/>
      </c>
      <c r="M1190" s="37">
        <f>IF(L1190="","",IF(AND(Config!$B$17="Sim",LEFT(D1190,17)="Cartão de crédito"),L1190,L1190+30*(MAX(1,N(E1190))-1)))</f>
        <v/>
      </c>
      <c r="N1190" s="29">
        <f>IF(OR(L1190="",K1190=""),"",K1190*MIN(MAX(1,N(E1190)),MAX(0,INT((Config!$B$8-L1190)/30)+1)))</f>
        <v/>
      </c>
      <c r="O1190" s="29">
        <f>IF(J1190="","",J1190-N(N1190))</f>
        <v/>
      </c>
      <c r="P1190" s="27">
        <f>IF(A1190="","",MONTH(A1190))</f>
        <v/>
      </c>
      <c r="Q1190" s="27">
        <f>IF(A1190="","",YEAR(A1190))</f>
        <v/>
      </c>
      <c r="R1190" s="27">
        <f>IF(L1190="","",IF(L1190&gt;Config!$B$8,"A cair",IF(N(G1190)&gt;=MIN(MAX(1,N(E1190)),MAX(0,INT((Config!$B$8-L1190)/30)+1)),IF(N(G1190)&gt;=MAX(1,N(E1190)),"Conferido","Conferido até aqui"),"A conferir")))</f>
        <v/>
      </c>
      <c r="S1190" s="51">
        <f>IF(R1190="A conferir",(Config!$B$8-L1190)*1000+N(F1190)/1000+ROW()/100000,0)</f>
        <v>0</v>
      </c>
      <c r="T1190" s="51">
        <f>IF(R1190="A conferir",N(N1190),0)</f>
        <v>0</v>
      </c>
      <c r="U1190" s="51">
        <f>IF(L1190="",0,L1190)</f>
        <v>0</v>
      </c>
      <c r="V1190" s="51">
        <f>IF(L1190="",0,MAX(1,N(E1190)))</f>
        <v>0</v>
      </c>
      <c r="W1190" s="51">
        <f>IF(K1190="",0,K1190)</f>
        <v>0</v>
      </c>
    </row>
    <row r="1191">
      <c r="A1191" s="49" t="n"/>
      <c r="B1191" s="41" t="n"/>
      <c r="C1191" s="41" t="n"/>
      <c r="D1191" s="42" t="n"/>
      <c r="E1191" s="42" t="n"/>
      <c r="F1191" s="50" t="n"/>
      <c r="G1191" s="42" t="n"/>
      <c r="H1191" s="30">
        <f>IF(D1191="","",IFERROR(INDEX(Config!$B$12:$B$15,MATCH(IF(AND(D1191="Cartão de crédito",N(E1191)&gt;1),"Cartão de crédito parcelado",D1191),Config!$A$12:$A$15,0)),0)+IF(AND(Config!$B$17="Sim",LEFT(D1191,17)="Cartão de crédito"),Config!$B$18*IFERROR(INDEX(Config!$C$12:$C$15,MATCH(IF(AND(D1191="Cartão de crédito",N(E1191)&gt;1),"Cartão de crédito parcelado",D1191),Config!$A$12:$A$15,0)),0)/30*MAX(1,N(E1191)),0))</f>
        <v/>
      </c>
      <c r="I1191" s="29">
        <f>IF(OR(D1191="",F1191=""),"",ROUND(F1191*H1191,2))</f>
        <v/>
      </c>
      <c r="J1191" s="29">
        <f>IF(I1191="","",F1191-I1191)</f>
        <v/>
      </c>
      <c r="K1191" s="29">
        <f>IF(J1191="","",J1191/MAX(1,N(E1191)))</f>
        <v/>
      </c>
      <c r="L1191" s="37">
        <f>IF(OR(D1191="",A1191=""),"",A1191+IF(AND(Config!$B$17="Sim",LEFT(D1191,17)="Cartão de crédito"),1,IFERROR(INDEX(Config!$C$12:$C$15,MATCH(IF(AND(D1191="Cartão de crédito",N(E1191)&gt;1),"Cartão de crédito parcelado",D1191),Config!$A$12:$A$15,0)),0)))</f>
        <v/>
      </c>
      <c r="M1191" s="37">
        <f>IF(L1191="","",IF(AND(Config!$B$17="Sim",LEFT(D1191,17)="Cartão de crédito"),L1191,L1191+30*(MAX(1,N(E1191))-1)))</f>
        <v/>
      </c>
      <c r="N1191" s="29">
        <f>IF(OR(L1191="",K1191=""),"",K1191*MIN(MAX(1,N(E1191)),MAX(0,INT((Config!$B$8-L1191)/30)+1)))</f>
        <v/>
      </c>
      <c r="O1191" s="29">
        <f>IF(J1191="","",J1191-N(N1191))</f>
        <v/>
      </c>
      <c r="P1191" s="27">
        <f>IF(A1191="","",MONTH(A1191))</f>
        <v/>
      </c>
      <c r="Q1191" s="27">
        <f>IF(A1191="","",YEAR(A1191))</f>
        <v/>
      </c>
      <c r="R1191" s="27">
        <f>IF(L1191="","",IF(L1191&gt;Config!$B$8,"A cair",IF(N(G1191)&gt;=MIN(MAX(1,N(E1191)),MAX(0,INT((Config!$B$8-L1191)/30)+1)),IF(N(G1191)&gt;=MAX(1,N(E1191)),"Conferido","Conferido até aqui"),"A conferir")))</f>
        <v/>
      </c>
      <c r="S1191" s="51">
        <f>IF(R1191="A conferir",(Config!$B$8-L1191)*1000+N(F1191)/1000+ROW()/100000,0)</f>
        <v>0</v>
      </c>
      <c r="T1191" s="51">
        <f>IF(R1191="A conferir",N(N1191),0)</f>
        <v>0</v>
      </c>
      <c r="U1191" s="51">
        <f>IF(L1191="",0,L1191)</f>
        <v>0</v>
      </c>
      <c r="V1191" s="51">
        <f>IF(L1191="",0,MAX(1,N(E1191)))</f>
        <v>0</v>
      </c>
      <c r="W1191" s="51">
        <f>IF(K1191="",0,K1191)</f>
        <v>0</v>
      </c>
    </row>
    <row r="1192">
      <c r="A1192" s="49" t="n"/>
      <c r="B1192" s="41" t="n"/>
      <c r="C1192" s="41" t="n"/>
      <c r="D1192" s="42" t="n"/>
      <c r="E1192" s="42" t="n"/>
      <c r="F1192" s="50" t="n"/>
      <c r="G1192" s="42" t="n"/>
      <c r="H1192" s="30">
        <f>IF(D1192="","",IFERROR(INDEX(Config!$B$12:$B$15,MATCH(IF(AND(D1192="Cartão de crédito",N(E1192)&gt;1),"Cartão de crédito parcelado",D1192),Config!$A$12:$A$15,0)),0)+IF(AND(Config!$B$17="Sim",LEFT(D1192,17)="Cartão de crédito"),Config!$B$18*IFERROR(INDEX(Config!$C$12:$C$15,MATCH(IF(AND(D1192="Cartão de crédito",N(E1192)&gt;1),"Cartão de crédito parcelado",D1192),Config!$A$12:$A$15,0)),0)/30*MAX(1,N(E1192)),0))</f>
        <v/>
      </c>
      <c r="I1192" s="29">
        <f>IF(OR(D1192="",F1192=""),"",ROUND(F1192*H1192,2))</f>
        <v/>
      </c>
      <c r="J1192" s="29">
        <f>IF(I1192="","",F1192-I1192)</f>
        <v/>
      </c>
      <c r="K1192" s="29">
        <f>IF(J1192="","",J1192/MAX(1,N(E1192)))</f>
        <v/>
      </c>
      <c r="L1192" s="37">
        <f>IF(OR(D1192="",A1192=""),"",A1192+IF(AND(Config!$B$17="Sim",LEFT(D1192,17)="Cartão de crédito"),1,IFERROR(INDEX(Config!$C$12:$C$15,MATCH(IF(AND(D1192="Cartão de crédito",N(E1192)&gt;1),"Cartão de crédito parcelado",D1192),Config!$A$12:$A$15,0)),0)))</f>
        <v/>
      </c>
      <c r="M1192" s="37">
        <f>IF(L1192="","",IF(AND(Config!$B$17="Sim",LEFT(D1192,17)="Cartão de crédito"),L1192,L1192+30*(MAX(1,N(E1192))-1)))</f>
        <v/>
      </c>
      <c r="N1192" s="29">
        <f>IF(OR(L1192="",K1192=""),"",K1192*MIN(MAX(1,N(E1192)),MAX(0,INT((Config!$B$8-L1192)/30)+1)))</f>
        <v/>
      </c>
      <c r="O1192" s="29">
        <f>IF(J1192="","",J1192-N(N1192))</f>
        <v/>
      </c>
      <c r="P1192" s="27">
        <f>IF(A1192="","",MONTH(A1192))</f>
        <v/>
      </c>
      <c r="Q1192" s="27">
        <f>IF(A1192="","",YEAR(A1192))</f>
        <v/>
      </c>
      <c r="R1192" s="27">
        <f>IF(L1192="","",IF(L1192&gt;Config!$B$8,"A cair",IF(N(G1192)&gt;=MIN(MAX(1,N(E1192)),MAX(0,INT((Config!$B$8-L1192)/30)+1)),IF(N(G1192)&gt;=MAX(1,N(E1192)),"Conferido","Conferido até aqui"),"A conferir")))</f>
        <v/>
      </c>
      <c r="S1192" s="51">
        <f>IF(R1192="A conferir",(Config!$B$8-L1192)*1000+N(F1192)/1000+ROW()/100000,0)</f>
        <v>0</v>
      </c>
      <c r="T1192" s="51">
        <f>IF(R1192="A conferir",N(N1192),0)</f>
        <v>0</v>
      </c>
      <c r="U1192" s="51">
        <f>IF(L1192="",0,L1192)</f>
        <v>0</v>
      </c>
      <c r="V1192" s="51">
        <f>IF(L1192="",0,MAX(1,N(E1192)))</f>
        <v>0</v>
      </c>
      <c r="W1192" s="51">
        <f>IF(K1192="",0,K1192)</f>
        <v>0</v>
      </c>
    </row>
    <row r="1193">
      <c r="A1193" s="49" t="n"/>
      <c r="B1193" s="41" t="n"/>
      <c r="C1193" s="41" t="n"/>
      <c r="D1193" s="42" t="n"/>
      <c r="E1193" s="42" t="n"/>
      <c r="F1193" s="50" t="n"/>
      <c r="G1193" s="42" t="n"/>
      <c r="H1193" s="30">
        <f>IF(D1193="","",IFERROR(INDEX(Config!$B$12:$B$15,MATCH(IF(AND(D1193="Cartão de crédito",N(E1193)&gt;1),"Cartão de crédito parcelado",D1193),Config!$A$12:$A$15,0)),0)+IF(AND(Config!$B$17="Sim",LEFT(D1193,17)="Cartão de crédito"),Config!$B$18*IFERROR(INDEX(Config!$C$12:$C$15,MATCH(IF(AND(D1193="Cartão de crédito",N(E1193)&gt;1),"Cartão de crédito parcelado",D1193),Config!$A$12:$A$15,0)),0)/30*MAX(1,N(E1193)),0))</f>
        <v/>
      </c>
      <c r="I1193" s="29">
        <f>IF(OR(D1193="",F1193=""),"",ROUND(F1193*H1193,2))</f>
        <v/>
      </c>
      <c r="J1193" s="29">
        <f>IF(I1193="","",F1193-I1193)</f>
        <v/>
      </c>
      <c r="K1193" s="29">
        <f>IF(J1193="","",J1193/MAX(1,N(E1193)))</f>
        <v/>
      </c>
      <c r="L1193" s="37">
        <f>IF(OR(D1193="",A1193=""),"",A1193+IF(AND(Config!$B$17="Sim",LEFT(D1193,17)="Cartão de crédito"),1,IFERROR(INDEX(Config!$C$12:$C$15,MATCH(IF(AND(D1193="Cartão de crédito",N(E1193)&gt;1),"Cartão de crédito parcelado",D1193),Config!$A$12:$A$15,0)),0)))</f>
        <v/>
      </c>
      <c r="M1193" s="37">
        <f>IF(L1193="","",IF(AND(Config!$B$17="Sim",LEFT(D1193,17)="Cartão de crédito"),L1193,L1193+30*(MAX(1,N(E1193))-1)))</f>
        <v/>
      </c>
      <c r="N1193" s="29">
        <f>IF(OR(L1193="",K1193=""),"",K1193*MIN(MAX(1,N(E1193)),MAX(0,INT((Config!$B$8-L1193)/30)+1)))</f>
        <v/>
      </c>
      <c r="O1193" s="29">
        <f>IF(J1193="","",J1193-N(N1193))</f>
        <v/>
      </c>
      <c r="P1193" s="27">
        <f>IF(A1193="","",MONTH(A1193))</f>
        <v/>
      </c>
      <c r="Q1193" s="27">
        <f>IF(A1193="","",YEAR(A1193))</f>
        <v/>
      </c>
      <c r="R1193" s="27">
        <f>IF(L1193="","",IF(L1193&gt;Config!$B$8,"A cair",IF(N(G1193)&gt;=MIN(MAX(1,N(E1193)),MAX(0,INT((Config!$B$8-L1193)/30)+1)),IF(N(G1193)&gt;=MAX(1,N(E1193)),"Conferido","Conferido até aqui"),"A conferir")))</f>
        <v/>
      </c>
      <c r="S1193" s="51">
        <f>IF(R1193="A conferir",(Config!$B$8-L1193)*1000+N(F1193)/1000+ROW()/100000,0)</f>
        <v>0</v>
      </c>
      <c r="T1193" s="51">
        <f>IF(R1193="A conferir",N(N1193),0)</f>
        <v>0</v>
      </c>
      <c r="U1193" s="51">
        <f>IF(L1193="",0,L1193)</f>
        <v>0</v>
      </c>
      <c r="V1193" s="51">
        <f>IF(L1193="",0,MAX(1,N(E1193)))</f>
        <v>0</v>
      </c>
      <c r="W1193" s="51">
        <f>IF(K1193="",0,K1193)</f>
        <v>0</v>
      </c>
    </row>
    <row r="1194">
      <c r="A1194" s="49" t="n"/>
      <c r="B1194" s="41" t="n"/>
      <c r="C1194" s="41" t="n"/>
      <c r="D1194" s="42" t="n"/>
      <c r="E1194" s="42" t="n"/>
      <c r="F1194" s="50" t="n"/>
      <c r="G1194" s="42" t="n"/>
      <c r="H1194" s="30">
        <f>IF(D1194="","",IFERROR(INDEX(Config!$B$12:$B$15,MATCH(IF(AND(D1194="Cartão de crédito",N(E1194)&gt;1),"Cartão de crédito parcelado",D1194),Config!$A$12:$A$15,0)),0)+IF(AND(Config!$B$17="Sim",LEFT(D1194,17)="Cartão de crédito"),Config!$B$18*IFERROR(INDEX(Config!$C$12:$C$15,MATCH(IF(AND(D1194="Cartão de crédito",N(E1194)&gt;1),"Cartão de crédito parcelado",D1194),Config!$A$12:$A$15,0)),0)/30*MAX(1,N(E1194)),0))</f>
        <v/>
      </c>
      <c r="I1194" s="29">
        <f>IF(OR(D1194="",F1194=""),"",ROUND(F1194*H1194,2))</f>
        <v/>
      </c>
      <c r="J1194" s="29">
        <f>IF(I1194="","",F1194-I1194)</f>
        <v/>
      </c>
      <c r="K1194" s="29">
        <f>IF(J1194="","",J1194/MAX(1,N(E1194)))</f>
        <v/>
      </c>
      <c r="L1194" s="37">
        <f>IF(OR(D1194="",A1194=""),"",A1194+IF(AND(Config!$B$17="Sim",LEFT(D1194,17)="Cartão de crédito"),1,IFERROR(INDEX(Config!$C$12:$C$15,MATCH(IF(AND(D1194="Cartão de crédito",N(E1194)&gt;1),"Cartão de crédito parcelado",D1194),Config!$A$12:$A$15,0)),0)))</f>
        <v/>
      </c>
      <c r="M1194" s="37">
        <f>IF(L1194="","",IF(AND(Config!$B$17="Sim",LEFT(D1194,17)="Cartão de crédito"),L1194,L1194+30*(MAX(1,N(E1194))-1)))</f>
        <v/>
      </c>
      <c r="N1194" s="29">
        <f>IF(OR(L1194="",K1194=""),"",K1194*MIN(MAX(1,N(E1194)),MAX(0,INT((Config!$B$8-L1194)/30)+1)))</f>
        <v/>
      </c>
      <c r="O1194" s="29">
        <f>IF(J1194="","",J1194-N(N1194))</f>
        <v/>
      </c>
      <c r="P1194" s="27">
        <f>IF(A1194="","",MONTH(A1194))</f>
        <v/>
      </c>
      <c r="Q1194" s="27">
        <f>IF(A1194="","",YEAR(A1194))</f>
        <v/>
      </c>
      <c r="R1194" s="27">
        <f>IF(L1194="","",IF(L1194&gt;Config!$B$8,"A cair",IF(N(G1194)&gt;=MIN(MAX(1,N(E1194)),MAX(0,INT((Config!$B$8-L1194)/30)+1)),IF(N(G1194)&gt;=MAX(1,N(E1194)),"Conferido","Conferido até aqui"),"A conferir")))</f>
        <v/>
      </c>
      <c r="S1194" s="51">
        <f>IF(R1194="A conferir",(Config!$B$8-L1194)*1000+N(F1194)/1000+ROW()/100000,0)</f>
        <v>0</v>
      </c>
      <c r="T1194" s="51">
        <f>IF(R1194="A conferir",N(N1194),0)</f>
        <v>0</v>
      </c>
      <c r="U1194" s="51">
        <f>IF(L1194="",0,L1194)</f>
        <v>0</v>
      </c>
      <c r="V1194" s="51">
        <f>IF(L1194="",0,MAX(1,N(E1194)))</f>
        <v>0</v>
      </c>
      <c r="W1194" s="51">
        <f>IF(K1194="",0,K1194)</f>
        <v>0</v>
      </c>
    </row>
    <row r="1195">
      <c r="A1195" s="49" t="n"/>
      <c r="B1195" s="41" t="n"/>
      <c r="C1195" s="41" t="n"/>
      <c r="D1195" s="42" t="n"/>
      <c r="E1195" s="42" t="n"/>
      <c r="F1195" s="50" t="n"/>
      <c r="G1195" s="42" t="n"/>
      <c r="H1195" s="30">
        <f>IF(D1195="","",IFERROR(INDEX(Config!$B$12:$B$15,MATCH(IF(AND(D1195="Cartão de crédito",N(E1195)&gt;1),"Cartão de crédito parcelado",D1195),Config!$A$12:$A$15,0)),0)+IF(AND(Config!$B$17="Sim",LEFT(D1195,17)="Cartão de crédito"),Config!$B$18*IFERROR(INDEX(Config!$C$12:$C$15,MATCH(IF(AND(D1195="Cartão de crédito",N(E1195)&gt;1),"Cartão de crédito parcelado",D1195),Config!$A$12:$A$15,0)),0)/30*MAX(1,N(E1195)),0))</f>
        <v/>
      </c>
      <c r="I1195" s="29">
        <f>IF(OR(D1195="",F1195=""),"",ROUND(F1195*H1195,2))</f>
        <v/>
      </c>
      <c r="J1195" s="29">
        <f>IF(I1195="","",F1195-I1195)</f>
        <v/>
      </c>
      <c r="K1195" s="29">
        <f>IF(J1195="","",J1195/MAX(1,N(E1195)))</f>
        <v/>
      </c>
      <c r="L1195" s="37">
        <f>IF(OR(D1195="",A1195=""),"",A1195+IF(AND(Config!$B$17="Sim",LEFT(D1195,17)="Cartão de crédito"),1,IFERROR(INDEX(Config!$C$12:$C$15,MATCH(IF(AND(D1195="Cartão de crédito",N(E1195)&gt;1),"Cartão de crédito parcelado",D1195),Config!$A$12:$A$15,0)),0)))</f>
        <v/>
      </c>
      <c r="M1195" s="37">
        <f>IF(L1195="","",IF(AND(Config!$B$17="Sim",LEFT(D1195,17)="Cartão de crédito"),L1195,L1195+30*(MAX(1,N(E1195))-1)))</f>
        <v/>
      </c>
      <c r="N1195" s="29">
        <f>IF(OR(L1195="",K1195=""),"",K1195*MIN(MAX(1,N(E1195)),MAX(0,INT((Config!$B$8-L1195)/30)+1)))</f>
        <v/>
      </c>
      <c r="O1195" s="29">
        <f>IF(J1195="","",J1195-N(N1195))</f>
        <v/>
      </c>
      <c r="P1195" s="27">
        <f>IF(A1195="","",MONTH(A1195))</f>
        <v/>
      </c>
      <c r="Q1195" s="27">
        <f>IF(A1195="","",YEAR(A1195))</f>
        <v/>
      </c>
      <c r="R1195" s="27">
        <f>IF(L1195="","",IF(L1195&gt;Config!$B$8,"A cair",IF(N(G1195)&gt;=MIN(MAX(1,N(E1195)),MAX(0,INT((Config!$B$8-L1195)/30)+1)),IF(N(G1195)&gt;=MAX(1,N(E1195)),"Conferido","Conferido até aqui"),"A conferir")))</f>
        <v/>
      </c>
      <c r="S1195" s="51">
        <f>IF(R1195="A conferir",(Config!$B$8-L1195)*1000+N(F1195)/1000+ROW()/100000,0)</f>
        <v>0</v>
      </c>
      <c r="T1195" s="51">
        <f>IF(R1195="A conferir",N(N1195),0)</f>
        <v>0</v>
      </c>
      <c r="U1195" s="51">
        <f>IF(L1195="",0,L1195)</f>
        <v>0</v>
      </c>
      <c r="V1195" s="51">
        <f>IF(L1195="",0,MAX(1,N(E1195)))</f>
        <v>0</v>
      </c>
      <c r="W1195" s="51">
        <f>IF(K1195="",0,K1195)</f>
        <v>0</v>
      </c>
    </row>
    <row r="1196">
      <c r="A1196" s="49" t="n"/>
      <c r="B1196" s="41" t="n"/>
      <c r="C1196" s="41" t="n"/>
      <c r="D1196" s="42" t="n"/>
      <c r="E1196" s="42" t="n"/>
      <c r="F1196" s="50" t="n"/>
      <c r="G1196" s="42" t="n"/>
      <c r="H1196" s="30">
        <f>IF(D1196="","",IFERROR(INDEX(Config!$B$12:$B$15,MATCH(IF(AND(D1196="Cartão de crédito",N(E1196)&gt;1),"Cartão de crédito parcelado",D1196),Config!$A$12:$A$15,0)),0)+IF(AND(Config!$B$17="Sim",LEFT(D1196,17)="Cartão de crédito"),Config!$B$18*IFERROR(INDEX(Config!$C$12:$C$15,MATCH(IF(AND(D1196="Cartão de crédito",N(E1196)&gt;1),"Cartão de crédito parcelado",D1196),Config!$A$12:$A$15,0)),0)/30*MAX(1,N(E1196)),0))</f>
        <v/>
      </c>
      <c r="I1196" s="29">
        <f>IF(OR(D1196="",F1196=""),"",ROUND(F1196*H1196,2))</f>
        <v/>
      </c>
      <c r="J1196" s="29">
        <f>IF(I1196="","",F1196-I1196)</f>
        <v/>
      </c>
      <c r="K1196" s="29">
        <f>IF(J1196="","",J1196/MAX(1,N(E1196)))</f>
        <v/>
      </c>
      <c r="L1196" s="37">
        <f>IF(OR(D1196="",A1196=""),"",A1196+IF(AND(Config!$B$17="Sim",LEFT(D1196,17)="Cartão de crédito"),1,IFERROR(INDEX(Config!$C$12:$C$15,MATCH(IF(AND(D1196="Cartão de crédito",N(E1196)&gt;1),"Cartão de crédito parcelado",D1196),Config!$A$12:$A$15,0)),0)))</f>
        <v/>
      </c>
      <c r="M1196" s="37">
        <f>IF(L1196="","",IF(AND(Config!$B$17="Sim",LEFT(D1196,17)="Cartão de crédito"),L1196,L1196+30*(MAX(1,N(E1196))-1)))</f>
        <v/>
      </c>
      <c r="N1196" s="29">
        <f>IF(OR(L1196="",K1196=""),"",K1196*MIN(MAX(1,N(E1196)),MAX(0,INT((Config!$B$8-L1196)/30)+1)))</f>
        <v/>
      </c>
      <c r="O1196" s="29">
        <f>IF(J1196="","",J1196-N(N1196))</f>
        <v/>
      </c>
      <c r="P1196" s="27">
        <f>IF(A1196="","",MONTH(A1196))</f>
        <v/>
      </c>
      <c r="Q1196" s="27">
        <f>IF(A1196="","",YEAR(A1196))</f>
        <v/>
      </c>
      <c r="R1196" s="27">
        <f>IF(L1196="","",IF(L1196&gt;Config!$B$8,"A cair",IF(N(G1196)&gt;=MIN(MAX(1,N(E1196)),MAX(0,INT((Config!$B$8-L1196)/30)+1)),IF(N(G1196)&gt;=MAX(1,N(E1196)),"Conferido","Conferido até aqui"),"A conferir")))</f>
        <v/>
      </c>
      <c r="S1196" s="51">
        <f>IF(R1196="A conferir",(Config!$B$8-L1196)*1000+N(F1196)/1000+ROW()/100000,0)</f>
        <v>0</v>
      </c>
      <c r="T1196" s="51">
        <f>IF(R1196="A conferir",N(N1196),0)</f>
        <v>0</v>
      </c>
      <c r="U1196" s="51">
        <f>IF(L1196="",0,L1196)</f>
        <v>0</v>
      </c>
      <c r="V1196" s="51">
        <f>IF(L1196="",0,MAX(1,N(E1196)))</f>
        <v>0</v>
      </c>
      <c r="W1196" s="51">
        <f>IF(K1196="",0,K1196)</f>
        <v>0</v>
      </c>
    </row>
    <row r="1197">
      <c r="A1197" s="49" t="n"/>
      <c r="B1197" s="41" t="n"/>
      <c r="C1197" s="41" t="n"/>
      <c r="D1197" s="42" t="n"/>
      <c r="E1197" s="42" t="n"/>
      <c r="F1197" s="50" t="n"/>
      <c r="G1197" s="42" t="n"/>
      <c r="H1197" s="30">
        <f>IF(D1197="","",IFERROR(INDEX(Config!$B$12:$B$15,MATCH(IF(AND(D1197="Cartão de crédito",N(E1197)&gt;1),"Cartão de crédito parcelado",D1197),Config!$A$12:$A$15,0)),0)+IF(AND(Config!$B$17="Sim",LEFT(D1197,17)="Cartão de crédito"),Config!$B$18*IFERROR(INDEX(Config!$C$12:$C$15,MATCH(IF(AND(D1197="Cartão de crédito",N(E1197)&gt;1),"Cartão de crédito parcelado",D1197),Config!$A$12:$A$15,0)),0)/30*MAX(1,N(E1197)),0))</f>
        <v/>
      </c>
      <c r="I1197" s="29">
        <f>IF(OR(D1197="",F1197=""),"",ROUND(F1197*H1197,2))</f>
        <v/>
      </c>
      <c r="J1197" s="29">
        <f>IF(I1197="","",F1197-I1197)</f>
        <v/>
      </c>
      <c r="K1197" s="29">
        <f>IF(J1197="","",J1197/MAX(1,N(E1197)))</f>
        <v/>
      </c>
      <c r="L1197" s="37">
        <f>IF(OR(D1197="",A1197=""),"",A1197+IF(AND(Config!$B$17="Sim",LEFT(D1197,17)="Cartão de crédito"),1,IFERROR(INDEX(Config!$C$12:$C$15,MATCH(IF(AND(D1197="Cartão de crédito",N(E1197)&gt;1),"Cartão de crédito parcelado",D1197),Config!$A$12:$A$15,0)),0)))</f>
        <v/>
      </c>
      <c r="M1197" s="37">
        <f>IF(L1197="","",IF(AND(Config!$B$17="Sim",LEFT(D1197,17)="Cartão de crédito"),L1197,L1197+30*(MAX(1,N(E1197))-1)))</f>
        <v/>
      </c>
      <c r="N1197" s="29">
        <f>IF(OR(L1197="",K1197=""),"",K1197*MIN(MAX(1,N(E1197)),MAX(0,INT((Config!$B$8-L1197)/30)+1)))</f>
        <v/>
      </c>
      <c r="O1197" s="29">
        <f>IF(J1197="","",J1197-N(N1197))</f>
        <v/>
      </c>
      <c r="P1197" s="27">
        <f>IF(A1197="","",MONTH(A1197))</f>
        <v/>
      </c>
      <c r="Q1197" s="27">
        <f>IF(A1197="","",YEAR(A1197))</f>
        <v/>
      </c>
      <c r="R1197" s="27">
        <f>IF(L1197="","",IF(L1197&gt;Config!$B$8,"A cair",IF(N(G1197)&gt;=MIN(MAX(1,N(E1197)),MAX(0,INT((Config!$B$8-L1197)/30)+1)),IF(N(G1197)&gt;=MAX(1,N(E1197)),"Conferido","Conferido até aqui"),"A conferir")))</f>
        <v/>
      </c>
      <c r="S1197" s="51">
        <f>IF(R1197="A conferir",(Config!$B$8-L1197)*1000+N(F1197)/1000+ROW()/100000,0)</f>
        <v>0</v>
      </c>
      <c r="T1197" s="51">
        <f>IF(R1197="A conferir",N(N1197),0)</f>
        <v>0</v>
      </c>
      <c r="U1197" s="51">
        <f>IF(L1197="",0,L1197)</f>
        <v>0</v>
      </c>
      <c r="V1197" s="51">
        <f>IF(L1197="",0,MAX(1,N(E1197)))</f>
        <v>0</v>
      </c>
      <c r="W1197" s="51">
        <f>IF(K1197="",0,K1197)</f>
        <v>0</v>
      </c>
    </row>
    <row r="1198">
      <c r="A1198" s="49" t="n"/>
      <c r="B1198" s="41" t="n"/>
      <c r="C1198" s="41" t="n"/>
      <c r="D1198" s="42" t="n"/>
      <c r="E1198" s="42" t="n"/>
      <c r="F1198" s="50" t="n"/>
      <c r="G1198" s="42" t="n"/>
      <c r="H1198" s="30">
        <f>IF(D1198="","",IFERROR(INDEX(Config!$B$12:$B$15,MATCH(IF(AND(D1198="Cartão de crédito",N(E1198)&gt;1),"Cartão de crédito parcelado",D1198),Config!$A$12:$A$15,0)),0)+IF(AND(Config!$B$17="Sim",LEFT(D1198,17)="Cartão de crédito"),Config!$B$18*IFERROR(INDEX(Config!$C$12:$C$15,MATCH(IF(AND(D1198="Cartão de crédito",N(E1198)&gt;1),"Cartão de crédito parcelado",D1198),Config!$A$12:$A$15,0)),0)/30*MAX(1,N(E1198)),0))</f>
        <v/>
      </c>
      <c r="I1198" s="29">
        <f>IF(OR(D1198="",F1198=""),"",ROUND(F1198*H1198,2))</f>
        <v/>
      </c>
      <c r="J1198" s="29">
        <f>IF(I1198="","",F1198-I1198)</f>
        <v/>
      </c>
      <c r="K1198" s="29">
        <f>IF(J1198="","",J1198/MAX(1,N(E1198)))</f>
        <v/>
      </c>
      <c r="L1198" s="37">
        <f>IF(OR(D1198="",A1198=""),"",A1198+IF(AND(Config!$B$17="Sim",LEFT(D1198,17)="Cartão de crédito"),1,IFERROR(INDEX(Config!$C$12:$C$15,MATCH(IF(AND(D1198="Cartão de crédito",N(E1198)&gt;1),"Cartão de crédito parcelado",D1198),Config!$A$12:$A$15,0)),0)))</f>
        <v/>
      </c>
      <c r="M1198" s="37">
        <f>IF(L1198="","",IF(AND(Config!$B$17="Sim",LEFT(D1198,17)="Cartão de crédito"),L1198,L1198+30*(MAX(1,N(E1198))-1)))</f>
        <v/>
      </c>
      <c r="N1198" s="29">
        <f>IF(OR(L1198="",K1198=""),"",K1198*MIN(MAX(1,N(E1198)),MAX(0,INT((Config!$B$8-L1198)/30)+1)))</f>
        <v/>
      </c>
      <c r="O1198" s="29">
        <f>IF(J1198="","",J1198-N(N1198))</f>
        <v/>
      </c>
      <c r="P1198" s="27">
        <f>IF(A1198="","",MONTH(A1198))</f>
        <v/>
      </c>
      <c r="Q1198" s="27">
        <f>IF(A1198="","",YEAR(A1198))</f>
        <v/>
      </c>
      <c r="R1198" s="27">
        <f>IF(L1198="","",IF(L1198&gt;Config!$B$8,"A cair",IF(N(G1198)&gt;=MIN(MAX(1,N(E1198)),MAX(0,INT((Config!$B$8-L1198)/30)+1)),IF(N(G1198)&gt;=MAX(1,N(E1198)),"Conferido","Conferido até aqui"),"A conferir")))</f>
        <v/>
      </c>
      <c r="S1198" s="51">
        <f>IF(R1198="A conferir",(Config!$B$8-L1198)*1000+N(F1198)/1000+ROW()/100000,0)</f>
        <v>0</v>
      </c>
      <c r="T1198" s="51">
        <f>IF(R1198="A conferir",N(N1198),0)</f>
        <v>0</v>
      </c>
      <c r="U1198" s="51">
        <f>IF(L1198="",0,L1198)</f>
        <v>0</v>
      </c>
      <c r="V1198" s="51">
        <f>IF(L1198="",0,MAX(1,N(E1198)))</f>
        <v>0</v>
      </c>
      <c r="W1198" s="51">
        <f>IF(K1198="",0,K1198)</f>
        <v>0</v>
      </c>
    </row>
    <row r="1199">
      <c r="A1199" s="49" t="n"/>
      <c r="B1199" s="41" t="n"/>
      <c r="C1199" s="41" t="n"/>
      <c r="D1199" s="42" t="n"/>
      <c r="E1199" s="42" t="n"/>
      <c r="F1199" s="50" t="n"/>
      <c r="G1199" s="42" t="n"/>
      <c r="H1199" s="30">
        <f>IF(D1199="","",IFERROR(INDEX(Config!$B$12:$B$15,MATCH(IF(AND(D1199="Cartão de crédito",N(E1199)&gt;1),"Cartão de crédito parcelado",D1199),Config!$A$12:$A$15,0)),0)+IF(AND(Config!$B$17="Sim",LEFT(D1199,17)="Cartão de crédito"),Config!$B$18*IFERROR(INDEX(Config!$C$12:$C$15,MATCH(IF(AND(D1199="Cartão de crédito",N(E1199)&gt;1),"Cartão de crédito parcelado",D1199),Config!$A$12:$A$15,0)),0)/30*MAX(1,N(E1199)),0))</f>
        <v/>
      </c>
      <c r="I1199" s="29">
        <f>IF(OR(D1199="",F1199=""),"",ROUND(F1199*H1199,2))</f>
        <v/>
      </c>
      <c r="J1199" s="29">
        <f>IF(I1199="","",F1199-I1199)</f>
        <v/>
      </c>
      <c r="K1199" s="29">
        <f>IF(J1199="","",J1199/MAX(1,N(E1199)))</f>
        <v/>
      </c>
      <c r="L1199" s="37">
        <f>IF(OR(D1199="",A1199=""),"",A1199+IF(AND(Config!$B$17="Sim",LEFT(D1199,17)="Cartão de crédito"),1,IFERROR(INDEX(Config!$C$12:$C$15,MATCH(IF(AND(D1199="Cartão de crédito",N(E1199)&gt;1),"Cartão de crédito parcelado",D1199),Config!$A$12:$A$15,0)),0)))</f>
        <v/>
      </c>
      <c r="M1199" s="37">
        <f>IF(L1199="","",IF(AND(Config!$B$17="Sim",LEFT(D1199,17)="Cartão de crédito"),L1199,L1199+30*(MAX(1,N(E1199))-1)))</f>
        <v/>
      </c>
      <c r="N1199" s="29">
        <f>IF(OR(L1199="",K1199=""),"",K1199*MIN(MAX(1,N(E1199)),MAX(0,INT((Config!$B$8-L1199)/30)+1)))</f>
        <v/>
      </c>
      <c r="O1199" s="29">
        <f>IF(J1199="","",J1199-N(N1199))</f>
        <v/>
      </c>
      <c r="P1199" s="27">
        <f>IF(A1199="","",MONTH(A1199))</f>
        <v/>
      </c>
      <c r="Q1199" s="27">
        <f>IF(A1199="","",YEAR(A1199))</f>
        <v/>
      </c>
      <c r="R1199" s="27">
        <f>IF(L1199="","",IF(L1199&gt;Config!$B$8,"A cair",IF(N(G1199)&gt;=MIN(MAX(1,N(E1199)),MAX(0,INT((Config!$B$8-L1199)/30)+1)),IF(N(G1199)&gt;=MAX(1,N(E1199)),"Conferido","Conferido até aqui"),"A conferir")))</f>
        <v/>
      </c>
      <c r="S1199" s="51">
        <f>IF(R1199="A conferir",(Config!$B$8-L1199)*1000+N(F1199)/1000+ROW()/100000,0)</f>
        <v>0</v>
      </c>
      <c r="T1199" s="51">
        <f>IF(R1199="A conferir",N(N1199),0)</f>
        <v>0</v>
      </c>
      <c r="U1199" s="51">
        <f>IF(L1199="",0,L1199)</f>
        <v>0</v>
      </c>
      <c r="V1199" s="51">
        <f>IF(L1199="",0,MAX(1,N(E1199)))</f>
        <v>0</v>
      </c>
      <c r="W1199" s="51">
        <f>IF(K1199="",0,K1199)</f>
        <v>0</v>
      </c>
    </row>
    <row r="1200">
      <c r="A1200" s="49" t="n"/>
      <c r="B1200" s="41" t="n"/>
      <c r="C1200" s="41" t="n"/>
      <c r="D1200" s="42" t="n"/>
      <c r="E1200" s="42" t="n"/>
      <c r="F1200" s="50" t="n"/>
      <c r="G1200" s="42" t="n"/>
      <c r="H1200" s="30">
        <f>IF(D1200="","",IFERROR(INDEX(Config!$B$12:$B$15,MATCH(IF(AND(D1200="Cartão de crédito",N(E1200)&gt;1),"Cartão de crédito parcelado",D1200),Config!$A$12:$A$15,0)),0)+IF(AND(Config!$B$17="Sim",LEFT(D1200,17)="Cartão de crédito"),Config!$B$18*IFERROR(INDEX(Config!$C$12:$C$15,MATCH(IF(AND(D1200="Cartão de crédito",N(E1200)&gt;1),"Cartão de crédito parcelado",D1200),Config!$A$12:$A$15,0)),0)/30*MAX(1,N(E1200)),0))</f>
        <v/>
      </c>
      <c r="I1200" s="29">
        <f>IF(OR(D1200="",F1200=""),"",ROUND(F1200*H1200,2))</f>
        <v/>
      </c>
      <c r="J1200" s="29">
        <f>IF(I1200="","",F1200-I1200)</f>
        <v/>
      </c>
      <c r="K1200" s="29">
        <f>IF(J1200="","",J1200/MAX(1,N(E1200)))</f>
        <v/>
      </c>
      <c r="L1200" s="37">
        <f>IF(OR(D1200="",A1200=""),"",A1200+IF(AND(Config!$B$17="Sim",LEFT(D1200,17)="Cartão de crédito"),1,IFERROR(INDEX(Config!$C$12:$C$15,MATCH(IF(AND(D1200="Cartão de crédito",N(E1200)&gt;1),"Cartão de crédito parcelado",D1200),Config!$A$12:$A$15,0)),0)))</f>
        <v/>
      </c>
      <c r="M1200" s="37">
        <f>IF(L1200="","",IF(AND(Config!$B$17="Sim",LEFT(D1200,17)="Cartão de crédito"),L1200,L1200+30*(MAX(1,N(E1200))-1)))</f>
        <v/>
      </c>
      <c r="N1200" s="29">
        <f>IF(OR(L1200="",K1200=""),"",K1200*MIN(MAX(1,N(E1200)),MAX(0,INT((Config!$B$8-L1200)/30)+1)))</f>
        <v/>
      </c>
      <c r="O1200" s="29">
        <f>IF(J1200="","",J1200-N(N1200))</f>
        <v/>
      </c>
      <c r="P1200" s="27">
        <f>IF(A1200="","",MONTH(A1200))</f>
        <v/>
      </c>
      <c r="Q1200" s="27">
        <f>IF(A1200="","",YEAR(A1200))</f>
        <v/>
      </c>
      <c r="R1200" s="27">
        <f>IF(L1200="","",IF(L1200&gt;Config!$B$8,"A cair",IF(N(G1200)&gt;=MIN(MAX(1,N(E1200)),MAX(0,INT((Config!$B$8-L1200)/30)+1)),IF(N(G1200)&gt;=MAX(1,N(E1200)),"Conferido","Conferido até aqui"),"A conferir")))</f>
        <v/>
      </c>
      <c r="S1200" s="51">
        <f>IF(R1200="A conferir",(Config!$B$8-L1200)*1000+N(F1200)/1000+ROW()/100000,0)</f>
        <v>0</v>
      </c>
      <c r="T1200" s="51">
        <f>IF(R1200="A conferir",N(N1200),0)</f>
        <v>0</v>
      </c>
      <c r="U1200" s="51">
        <f>IF(L1200="",0,L1200)</f>
        <v>0</v>
      </c>
      <c r="V1200" s="51">
        <f>IF(L1200="",0,MAX(1,N(E1200)))</f>
        <v>0</v>
      </c>
      <c r="W1200" s="51">
        <f>IF(K1200="",0,K1200)</f>
        <v>0</v>
      </c>
    </row>
    <row r="1201">
      <c r="A1201" s="49" t="n"/>
      <c r="B1201" s="41" t="n"/>
      <c r="C1201" s="41" t="n"/>
      <c r="D1201" s="42" t="n"/>
      <c r="E1201" s="42" t="n"/>
      <c r="F1201" s="50" t="n"/>
      <c r="G1201" s="42" t="n"/>
      <c r="H1201" s="30">
        <f>IF(D1201="","",IFERROR(INDEX(Config!$B$12:$B$15,MATCH(IF(AND(D1201="Cartão de crédito",N(E1201)&gt;1),"Cartão de crédito parcelado",D1201),Config!$A$12:$A$15,0)),0)+IF(AND(Config!$B$17="Sim",LEFT(D1201,17)="Cartão de crédito"),Config!$B$18*IFERROR(INDEX(Config!$C$12:$C$15,MATCH(IF(AND(D1201="Cartão de crédito",N(E1201)&gt;1),"Cartão de crédito parcelado",D1201),Config!$A$12:$A$15,0)),0)/30*MAX(1,N(E1201)),0))</f>
        <v/>
      </c>
      <c r="I1201" s="29">
        <f>IF(OR(D1201="",F1201=""),"",ROUND(F1201*H1201,2))</f>
        <v/>
      </c>
      <c r="J1201" s="29">
        <f>IF(I1201="","",F1201-I1201)</f>
        <v/>
      </c>
      <c r="K1201" s="29">
        <f>IF(J1201="","",J1201/MAX(1,N(E1201)))</f>
        <v/>
      </c>
      <c r="L1201" s="37">
        <f>IF(OR(D1201="",A1201=""),"",A1201+IF(AND(Config!$B$17="Sim",LEFT(D1201,17)="Cartão de crédito"),1,IFERROR(INDEX(Config!$C$12:$C$15,MATCH(IF(AND(D1201="Cartão de crédito",N(E1201)&gt;1),"Cartão de crédito parcelado",D1201),Config!$A$12:$A$15,0)),0)))</f>
        <v/>
      </c>
      <c r="M1201" s="37">
        <f>IF(L1201="","",IF(AND(Config!$B$17="Sim",LEFT(D1201,17)="Cartão de crédito"),L1201,L1201+30*(MAX(1,N(E1201))-1)))</f>
        <v/>
      </c>
      <c r="N1201" s="29">
        <f>IF(OR(L1201="",K1201=""),"",K1201*MIN(MAX(1,N(E1201)),MAX(0,INT((Config!$B$8-L1201)/30)+1)))</f>
        <v/>
      </c>
      <c r="O1201" s="29">
        <f>IF(J1201="","",J1201-N(N1201))</f>
        <v/>
      </c>
      <c r="P1201" s="27">
        <f>IF(A1201="","",MONTH(A1201))</f>
        <v/>
      </c>
      <c r="Q1201" s="27">
        <f>IF(A1201="","",YEAR(A1201))</f>
        <v/>
      </c>
      <c r="R1201" s="27">
        <f>IF(L1201="","",IF(L1201&gt;Config!$B$8,"A cair",IF(N(G1201)&gt;=MIN(MAX(1,N(E1201)),MAX(0,INT((Config!$B$8-L1201)/30)+1)),IF(N(G1201)&gt;=MAX(1,N(E1201)),"Conferido","Conferido até aqui"),"A conferir")))</f>
        <v/>
      </c>
      <c r="S1201" s="51">
        <f>IF(R1201="A conferir",(Config!$B$8-L1201)*1000+N(F1201)/1000+ROW()/100000,0)</f>
        <v>0</v>
      </c>
      <c r="T1201" s="51">
        <f>IF(R1201="A conferir",N(N1201),0)</f>
        <v>0</v>
      </c>
      <c r="U1201" s="51">
        <f>IF(L1201="",0,L1201)</f>
        <v>0</v>
      </c>
      <c r="V1201" s="51">
        <f>IF(L1201="",0,MAX(1,N(E1201)))</f>
        <v>0</v>
      </c>
      <c r="W1201" s="51">
        <f>IF(K1201="",0,K1201)</f>
        <v>0</v>
      </c>
    </row>
    <row r="1202">
      <c r="A1202" s="49" t="n"/>
      <c r="B1202" s="41" t="n"/>
      <c r="C1202" s="41" t="n"/>
      <c r="D1202" s="42" t="n"/>
      <c r="E1202" s="42" t="n"/>
      <c r="F1202" s="50" t="n"/>
      <c r="G1202" s="42" t="n"/>
      <c r="H1202" s="30">
        <f>IF(D1202="","",IFERROR(INDEX(Config!$B$12:$B$15,MATCH(IF(AND(D1202="Cartão de crédito",N(E1202)&gt;1),"Cartão de crédito parcelado",D1202),Config!$A$12:$A$15,0)),0)+IF(AND(Config!$B$17="Sim",LEFT(D1202,17)="Cartão de crédito"),Config!$B$18*IFERROR(INDEX(Config!$C$12:$C$15,MATCH(IF(AND(D1202="Cartão de crédito",N(E1202)&gt;1),"Cartão de crédito parcelado",D1202),Config!$A$12:$A$15,0)),0)/30*MAX(1,N(E1202)),0))</f>
        <v/>
      </c>
      <c r="I1202" s="29">
        <f>IF(OR(D1202="",F1202=""),"",ROUND(F1202*H1202,2))</f>
        <v/>
      </c>
      <c r="J1202" s="29">
        <f>IF(I1202="","",F1202-I1202)</f>
        <v/>
      </c>
      <c r="K1202" s="29">
        <f>IF(J1202="","",J1202/MAX(1,N(E1202)))</f>
        <v/>
      </c>
      <c r="L1202" s="37">
        <f>IF(OR(D1202="",A1202=""),"",A1202+IF(AND(Config!$B$17="Sim",LEFT(D1202,17)="Cartão de crédito"),1,IFERROR(INDEX(Config!$C$12:$C$15,MATCH(IF(AND(D1202="Cartão de crédito",N(E1202)&gt;1),"Cartão de crédito parcelado",D1202),Config!$A$12:$A$15,0)),0)))</f>
        <v/>
      </c>
      <c r="M1202" s="37">
        <f>IF(L1202="","",IF(AND(Config!$B$17="Sim",LEFT(D1202,17)="Cartão de crédito"),L1202,L1202+30*(MAX(1,N(E1202))-1)))</f>
        <v/>
      </c>
      <c r="N1202" s="29">
        <f>IF(OR(L1202="",K1202=""),"",K1202*MIN(MAX(1,N(E1202)),MAX(0,INT((Config!$B$8-L1202)/30)+1)))</f>
        <v/>
      </c>
      <c r="O1202" s="29">
        <f>IF(J1202="","",J1202-N(N1202))</f>
        <v/>
      </c>
      <c r="P1202" s="27">
        <f>IF(A1202="","",MONTH(A1202))</f>
        <v/>
      </c>
      <c r="Q1202" s="27">
        <f>IF(A1202="","",YEAR(A1202))</f>
        <v/>
      </c>
      <c r="R1202" s="27">
        <f>IF(L1202="","",IF(L1202&gt;Config!$B$8,"A cair",IF(N(G1202)&gt;=MIN(MAX(1,N(E1202)),MAX(0,INT((Config!$B$8-L1202)/30)+1)),IF(N(G1202)&gt;=MAX(1,N(E1202)),"Conferido","Conferido até aqui"),"A conferir")))</f>
        <v/>
      </c>
      <c r="S1202" s="51">
        <f>IF(R1202="A conferir",(Config!$B$8-L1202)*1000+N(F1202)/1000+ROW()/100000,0)</f>
        <v>0</v>
      </c>
      <c r="T1202" s="51">
        <f>IF(R1202="A conferir",N(N1202),0)</f>
        <v>0</v>
      </c>
      <c r="U1202" s="51">
        <f>IF(L1202="",0,L1202)</f>
        <v>0</v>
      </c>
      <c r="V1202" s="51">
        <f>IF(L1202="",0,MAX(1,N(E1202)))</f>
        <v>0</v>
      </c>
      <c r="W1202" s="51">
        <f>IF(K1202="",0,K1202)</f>
        <v>0</v>
      </c>
    </row>
    <row r="1203">
      <c r="A1203" s="49" t="n"/>
      <c r="B1203" s="41" t="n"/>
      <c r="C1203" s="41" t="n"/>
      <c r="D1203" s="42" t="n"/>
      <c r="E1203" s="42" t="n"/>
      <c r="F1203" s="50" t="n"/>
      <c r="G1203" s="42" t="n"/>
      <c r="H1203" s="30">
        <f>IF(D1203="","",IFERROR(INDEX(Config!$B$12:$B$15,MATCH(IF(AND(D1203="Cartão de crédito",N(E1203)&gt;1),"Cartão de crédito parcelado",D1203),Config!$A$12:$A$15,0)),0)+IF(AND(Config!$B$17="Sim",LEFT(D1203,17)="Cartão de crédito"),Config!$B$18*IFERROR(INDEX(Config!$C$12:$C$15,MATCH(IF(AND(D1203="Cartão de crédito",N(E1203)&gt;1),"Cartão de crédito parcelado",D1203),Config!$A$12:$A$15,0)),0)/30*MAX(1,N(E1203)),0))</f>
        <v/>
      </c>
      <c r="I1203" s="29">
        <f>IF(OR(D1203="",F1203=""),"",ROUND(F1203*H1203,2))</f>
        <v/>
      </c>
      <c r="J1203" s="29">
        <f>IF(I1203="","",F1203-I1203)</f>
        <v/>
      </c>
      <c r="K1203" s="29">
        <f>IF(J1203="","",J1203/MAX(1,N(E1203)))</f>
        <v/>
      </c>
      <c r="L1203" s="37">
        <f>IF(OR(D1203="",A1203=""),"",A1203+IF(AND(Config!$B$17="Sim",LEFT(D1203,17)="Cartão de crédito"),1,IFERROR(INDEX(Config!$C$12:$C$15,MATCH(IF(AND(D1203="Cartão de crédito",N(E1203)&gt;1),"Cartão de crédito parcelado",D1203),Config!$A$12:$A$15,0)),0)))</f>
        <v/>
      </c>
      <c r="M1203" s="37">
        <f>IF(L1203="","",IF(AND(Config!$B$17="Sim",LEFT(D1203,17)="Cartão de crédito"),L1203,L1203+30*(MAX(1,N(E1203))-1)))</f>
        <v/>
      </c>
      <c r="N1203" s="29">
        <f>IF(OR(L1203="",K1203=""),"",K1203*MIN(MAX(1,N(E1203)),MAX(0,INT((Config!$B$8-L1203)/30)+1)))</f>
        <v/>
      </c>
      <c r="O1203" s="29">
        <f>IF(J1203="","",J1203-N(N1203))</f>
        <v/>
      </c>
      <c r="P1203" s="27">
        <f>IF(A1203="","",MONTH(A1203))</f>
        <v/>
      </c>
      <c r="Q1203" s="27">
        <f>IF(A1203="","",YEAR(A1203))</f>
        <v/>
      </c>
      <c r="R1203" s="27">
        <f>IF(L1203="","",IF(L1203&gt;Config!$B$8,"A cair",IF(N(G1203)&gt;=MIN(MAX(1,N(E1203)),MAX(0,INT((Config!$B$8-L1203)/30)+1)),IF(N(G1203)&gt;=MAX(1,N(E1203)),"Conferido","Conferido até aqui"),"A conferir")))</f>
        <v/>
      </c>
      <c r="S1203" s="51">
        <f>IF(R1203="A conferir",(Config!$B$8-L1203)*1000+N(F1203)/1000+ROW()/100000,0)</f>
        <v>0</v>
      </c>
      <c r="T1203" s="51">
        <f>IF(R1203="A conferir",N(N1203),0)</f>
        <v>0</v>
      </c>
      <c r="U1203" s="51">
        <f>IF(L1203="",0,L1203)</f>
        <v>0</v>
      </c>
      <c r="V1203" s="51">
        <f>IF(L1203="",0,MAX(1,N(E1203)))</f>
        <v>0</v>
      </c>
      <c r="W1203" s="51">
        <f>IF(K1203="",0,K1203)</f>
        <v>0</v>
      </c>
    </row>
    <row r="1204">
      <c r="A1204" s="49" t="n"/>
      <c r="B1204" s="41" t="n"/>
      <c r="C1204" s="41" t="n"/>
      <c r="D1204" s="42" t="n"/>
      <c r="E1204" s="42" t="n"/>
      <c r="F1204" s="50" t="n"/>
      <c r="G1204" s="42" t="n"/>
      <c r="H1204" s="30">
        <f>IF(D1204="","",IFERROR(INDEX(Config!$B$12:$B$15,MATCH(IF(AND(D1204="Cartão de crédito",N(E1204)&gt;1),"Cartão de crédito parcelado",D1204),Config!$A$12:$A$15,0)),0)+IF(AND(Config!$B$17="Sim",LEFT(D1204,17)="Cartão de crédito"),Config!$B$18*IFERROR(INDEX(Config!$C$12:$C$15,MATCH(IF(AND(D1204="Cartão de crédito",N(E1204)&gt;1),"Cartão de crédito parcelado",D1204),Config!$A$12:$A$15,0)),0)/30*MAX(1,N(E1204)),0))</f>
        <v/>
      </c>
      <c r="I1204" s="29">
        <f>IF(OR(D1204="",F1204=""),"",ROUND(F1204*H1204,2))</f>
        <v/>
      </c>
      <c r="J1204" s="29">
        <f>IF(I1204="","",F1204-I1204)</f>
        <v/>
      </c>
      <c r="K1204" s="29">
        <f>IF(J1204="","",J1204/MAX(1,N(E1204)))</f>
        <v/>
      </c>
      <c r="L1204" s="37">
        <f>IF(OR(D1204="",A1204=""),"",A1204+IF(AND(Config!$B$17="Sim",LEFT(D1204,17)="Cartão de crédito"),1,IFERROR(INDEX(Config!$C$12:$C$15,MATCH(IF(AND(D1204="Cartão de crédito",N(E1204)&gt;1),"Cartão de crédito parcelado",D1204),Config!$A$12:$A$15,0)),0)))</f>
        <v/>
      </c>
      <c r="M1204" s="37">
        <f>IF(L1204="","",IF(AND(Config!$B$17="Sim",LEFT(D1204,17)="Cartão de crédito"),L1204,L1204+30*(MAX(1,N(E1204))-1)))</f>
        <v/>
      </c>
      <c r="N1204" s="29">
        <f>IF(OR(L1204="",K1204=""),"",K1204*MIN(MAX(1,N(E1204)),MAX(0,INT((Config!$B$8-L1204)/30)+1)))</f>
        <v/>
      </c>
      <c r="O1204" s="29">
        <f>IF(J1204="","",J1204-N(N1204))</f>
        <v/>
      </c>
      <c r="P1204" s="27">
        <f>IF(A1204="","",MONTH(A1204))</f>
        <v/>
      </c>
      <c r="Q1204" s="27">
        <f>IF(A1204="","",YEAR(A1204))</f>
        <v/>
      </c>
      <c r="R1204" s="27">
        <f>IF(L1204="","",IF(L1204&gt;Config!$B$8,"A cair",IF(N(G1204)&gt;=MIN(MAX(1,N(E1204)),MAX(0,INT((Config!$B$8-L1204)/30)+1)),IF(N(G1204)&gt;=MAX(1,N(E1204)),"Conferido","Conferido até aqui"),"A conferir")))</f>
        <v/>
      </c>
      <c r="S1204" s="51">
        <f>IF(R1204="A conferir",(Config!$B$8-L1204)*1000+N(F1204)/1000+ROW()/100000,0)</f>
        <v>0</v>
      </c>
      <c r="T1204" s="51">
        <f>IF(R1204="A conferir",N(N1204),0)</f>
        <v>0</v>
      </c>
      <c r="U1204" s="51">
        <f>IF(L1204="",0,L1204)</f>
        <v>0</v>
      </c>
      <c r="V1204" s="51">
        <f>IF(L1204="",0,MAX(1,N(E1204)))</f>
        <v>0</v>
      </c>
      <c r="W1204" s="51">
        <f>IF(K1204="",0,K1204)</f>
        <v>0</v>
      </c>
    </row>
    <row r="1205">
      <c r="A1205" s="49" t="n"/>
      <c r="B1205" s="41" t="n"/>
      <c r="C1205" s="41" t="n"/>
      <c r="D1205" s="42" t="n"/>
      <c r="E1205" s="42" t="n"/>
      <c r="F1205" s="50" t="n"/>
      <c r="G1205" s="42" t="n"/>
      <c r="H1205" s="30">
        <f>IF(D1205="","",IFERROR(INDEX(Config!$B$12:$B$15,MATCH(IF(AND(D1205="Cartão de crédito",N(E1205)&gt;1),"Cartão de crédito parcelado",D1205),Config!$A$12:$A$15,0)),0)+IF(AND(Config!$B$17="Sim",LEFT(D1205,17)="Cartão de crédito"),Config!$B$18*IFERROR(INDEX(Config!$C$12:$C$15,MATCH(IF(AND(D1205="Cartão de crédito",N(E1205)&gt;1),"Cartão de crédito parcelado",D1205),Config!$A$12:$A$15,0)),0)/30*MAX(1,N(E1205)),0))</f>
        <v/>
      </c>
      <c r="I1205" s="29">
        <f>IF(OR(D1205="",F1205=""),"",ROUND(F1205*H1205,2))</f>
        <v/>
      </c>
      <c r="J1205" s="29">
        <f>IF(I1205="","",F1205-I1205)</f>
        <v/>
      </c>
      <c r="K1205" s="29">
        <f>IF(J1205="","",J1205/MAX(1,N(E1205)))</f>
        <v/>
      </c>
      <c r="L1205" s="37">
        <f>IF(OR(D1205="",A1205=""),"",A1205+IF(AND(Config!$B$17="Sim",LEFT(D1205,17)="Cartão de crédito"),1,IFERROR(INDEX(Config!$C$12:$C$15,MATCH(IF(AND(D1205="Cartão de crédito",N(E1205)&gt;1),"Cartão de crédito parcelado",D1205),Config!$A$12:$A$15,0)),0)))</f>
        <v/>
      </c>
      <c r="M1205" s="37">
        <f>IF(L1205="","",IF(AND(Config!$B$17="Sim",LEFT(D1205,17)="Cartão de crédito"),L1205,L1205+30*(MAX(1,N(E1205))-1)))</f>
        <v/>
      </c>
      <c r="N1205" s="29">
        <f>IF(OR(L1205="",K1205=""),"",K1205*MIN(MAX(1,N(E1205)),MAX(0,INT((Config!$B$8-L1205)/30)+1)))</f>
        <v/>
      </c>
      <c r="O1205" s="29">
        <f>IF(J1205="","",J1205-N(N1205))</f>
        <v/>
      </c>
      <c r="P1205" s="27">
        <f>IF(A1205="","",MONTH(A1205))</f>
        <v/>
      </c>
      <c r="Q1205" s="27">
        <f>IF(A1205="","",YEAR(A1205))</f>
        <v/>
      </c>
      <c r="R1205" s="27">
        <f>IF(L1205="","",IF(L1205&gt;Config!$B$8,"A cair",IF(N(G1205)&gt;=MIN(MAX(1,N(E1205)),MAX(0,INT((Config!$B$8-L1205)/30)+1)),IF(N(G1205)&gt;=MAX(1,N(E1205)),"Conferido","Conferido até aqui"),"A conferir")))</f>
        <v/>
      </c>
      <c r="S1205" s="51">
        <f>IF(R1205="A conferir",(Config!$B$8-L1205)*1000+N(F1205)/1000+ROW()/100000,0)</f>
        <v>0</v>
      </c>
      <c r="T1205" s="51">
        <f>IF(R1205="A conferir",N(N1205),0)</f>
        <v>0</v>
      </c>
      <c r="U1205" s="51">
        <f>IF(L1205="",0,L1205)</f>
        <v>0</v>
      </c>
      <c r="V1205" s="51">
        <f>IF(L1205="",0,MAX(1,N(E1205)))</f>
        <v>0</v>
      </c>
      <c r="W1205" s="51">
        <f>IF(K1205="",0,K1205)</f>
        <v>0</v>
      </c>
    </row>
    <row r="1206">
      <c r="A1206" s="49" t="n"/>
      <c r="B1206" s="41" t="n"/>
      <c r="C1206" s="41" t="n"/>
      <c r="D1206" s="42" t="n"/>
      <c r="E1206" s="42" t="n"/>
      <c r="F1206" s="50" t="n"/>
      <c r="G1206" s="42" t="n"/>
      <c r="H1206" s="30">
        <f>IF(D1206="","",IFERROR(INDEX(Config!$B$12:$B$15,MATCH(IF(AND(D1206="Cartão de crédito",N(E1206)&gt;1),"Cartão de crédito parcelado",D1206),Config!$A$12:$A$15,0)),0)+IF(AND(Config!$B$17="Sim",LEFT(D1206,17)="Cartão de crédito"),Config!$B$18*IFERROR(INDEX(Config!$C$12:$C$15,MATCH(IF(AND(D1206="Cartão de crédito",N(E1206)&gt;1),"Cartão de crédito parcelado",D1206),Config!$A$12:$A$15,0)),0)/30*MAX(1,N(E1206)),0))</f>
        <v/>
      </c>
      <c r="I1206" s="29">
        <f>IF(OR(D1206="",F1206=""),"",ROUND(F1206*H1206,2))</f>
        <v/>
      </c>
      <c r="J1206" s="29">
        <f>IF(I1206="","",F1206-I1206)</f>
        <v/>
      </c>
      <c r="K1206" s="29">
        <f>IF(J1206="","",J1206/MAX(1,N(E1206)))</f>
        <v/>
      </c>
      <c r="L1206" s="37">
        <f>IF(OR(D1206="",A1206=""),"",A1206+IF(AND(Config!$B$17="Sim",LEFT(D1206,17)="Cartão de crédito"),1,IFERROR(INDEX(Config!$C$12:$C$15,MATCH(IF(AND(D1206="Cartão de crédito",N(E1206)&gt;1),"Cartão de crédito parcelado",D1206),Config!$A$12:$A$15,0)),0)))</f>
        <v/>
      </c>
      <c r="M1206" s="37">
        <f>IF(L1206="","",IF(AND(Config!$B$17="Sim",LEFT(D1206,17)="Cartão de crédito"),L1206,L1206+30*(MAX(1,N(E1206))-1)))</f>
        <v/>
      </c>
      <c r="N1206" s="29">
        <f>IF(OR(L1206="",K1206=""),"",K1206*MIN(MAX(1,N(E1206)),MAX(0,INT((Config!$B$8-L1206)/30)+1)))</f>
        <v/>
      </c>
      <c r="O1206" s="29">
        <f>IF(J1206="","",J1206-N(N1206))</f>
        <v/>
      </c>
      <c r="P1206" s="27">
        <f>IF(A1206="","",MONTH(A1206))</f>
        <v/>
      </c>
      <c r="Q1206" s="27">
        <f>IF(A1206="","",YEAR(A1206))</f>
        <v/>
      </c>
      <c r="R1206" s="27">
        <f>IF(L1206="","",IF(L1206&gt;Config!$B$8,"A cair",IF(N(G1206)&gt;=MIN(MAX(1,N(E1206)),MAX(0,INT((Config!$B$8-L1206)/30)+1)),IF(N(G1206)&gt;=MAX(1,N(E1206)),"Conferido","Conferido até aqui"),"A conferir")))</f>
        <v/>
      </c>
      <c r="S1206" s="51">
        <f>IF(R1206="A conferir",(Config!$B$8-L1206)*1000+N(F1206)/1000+ROW()/100000,0)</f>
        <v>0</v>
      </c>
      <c r="T1206" s="51">
        <f>IF(R1206="A conferir",N(N1206),0)</f>
        <v>0</v>
      </c>
      <c r="U1206" s="51">
        <f>IF(L1206="",0,L1206)</f>
        <v>0</v>
      </c>
      <c r="V1206" s="51">
        <f>IF(L1206="",0,MAX(1,N(E1206)))</f>
        <v>0</v>
      </c>
      <c r="W1206" s="51">
        <f>IF(K1206="",0,K1206)</f>
        <v>0</v>
      </c>
    </row>
    <row r="1207">
      <c r="A1207" s="49" t="n"/>
      <c r="B1207" s="41" t="n"/>
      <c r="C1207" s="41" t="n"/>
      <c r="D1207" s="42" t="n"/>
      <c r="E1207" s="42" t="n"/>
      <c r="F1207" s="50" t="n"/>
      <c r="G1207" s="42" t="n"/>
      <c r="H1207" s="30">
        <f>IF(D1207="","",IFERROR(INDEX(Config!$B$12:$B$15,MATCH(IF(AND(D1207="Cartão de crédito",N(E1207)&gt;1),"Cartão de crédito parcelado",D1207),Config!$A$12:$A$15,0)),0)+IF(AND(Config!$B$17="Sim",LEFT(D1207,17)="Cartão de crédito"),Config!$B$18*IFERROR(INDEX(Config!$C$12:$C$15,MATCH(IF(AND(D1207="Cartão de crédito",N(E1207)&gt;1),"Cartão de crédito parcelado",D1207),Config!$A$12:$A$15,0)),0)/30*MAX(1,N(E1207)),0))</f>
        <v/>
      </c>
      <c r="I1207" s="29">
        <f>IF(OR(D1207="",F1207=""),"",ROUND(F1207*H1207,2))</f>
        <v/>
      </c>
      <c r="J1207" s="29">
        <f>IF(I1207="","",F1207-I1207)</f>
        <v/>
      </c>
      <c r="K1207" s="29">
        <f>IF(J1207="","",J1207/MAX(1,N(E1207)))</f>
        <v/>
      </c>
      <c r="L1207" s="37">
        <f>IF(OR(D1207="",A1207=""),"",A1207+IF(AND(Config!$B$17="Sim",LEFT(D1207,17)="Cartão de crédito"),1,IFERROR(INDEX(Config!$C$12:$C$15,MATCH(IF(AND(D1207="Cartão de crédito",N(E1207)&gt;1),"Cartão de crédito parcelado",D1207),Config!$A$12:$A$15,0)),0)))</f>
        <v/>
      </c>
      <c r="M1207" s="37">
        <f>IF(L1207="","",IF(AND(Config!$B$17="Sim",LEFT(D1207,17)="Cartão de crédito"),L1207,L1207+30*(MAX(1,N(E1207))-1)))</f>
        <v/>
      </c>
      <c r="N1207" s="29">
        <f>IF(OR(L1207="",K1207=""),"",K1207*MIN(MAX(1,N(E1207)),MAX(0,INT((Config!$B$8-L1207)/30)+1)))</f>
        <v/>
      </c>
      <c r="O1207" s="29">
        <f>IF(J1207="","",J1207-N(N1207))</f>
        <v/>
      </c>
      <c r="P1207" s="27">
        <f>IF(A1207="","",MONTH(A1207))</f>
        <v/>
      </c>
      <c r="Q1207" s="27">
        <f>IF(A1207="","",YEAR(A1207))</f>
        <v/>
      </c>
      <c r="R1207" s="27">
        <f>IF(L1207="","",IF(L1207&gt;Config!$B$8,"A cair",IF(N(G1207)&gt;=MIN(MAX(1,N(E1207)),MAX(0,INT((Config!$B$8-L1207)/30)+1)),IF(N(G1207)&gt;=MAX(1,N(E1207)),"Conferido","Conferido até aqui"),"A conferir")))</f>
        <v/>
      </c>
      <c r="S1207" s="51">
        <f>IF(R1207="A conferir",(Config!$B$8-L1207)*1000+N(F1207)/1000+ROW()/100000,0)</f>
        <v>0</v>
      </c>
      <c r="T1207" s="51">
        <f>IF(R1207="A conferir",N(N1207),0)</f>
        <v>0</v>
      </c>
      <c r="U1207" s="51">
        <f>IF(L1207="",0,L1207)</f>
        <v>0</v>
      </c>
      <c r="V1207" s="51">
        <f>IF(L1207="",0,MAX(1,N(E1207)))</f>
        <v>0</v>
      </c>
      <c r="W1207" s="51">
        <f>IF(K1207="",0,K1207)</f>
        <v>0</v>
      </c>
    </row>
    <row r="1208">
      <c r="A1208" s="49" t="n"/>
      <c r="B1208" s="41" t="n"/>
      <c r="C1208" s="41" t="n"/>
      <c r="D1208" s="42" t="n"/>
      <c r="E1208" s="42" t="n"/>
      <c r="F1208" s="50" t="n"/>
      <c r="G1208" s="42" t="n"/>
      <c r="H1208" s="30">
        <f>IF(D1208="","",IFERROR(INDEX(Config!$B$12:$B$15,MATCH(IF(AND(D1208="Cartão de crédito",N(E1208)&gt;1),"Cartão de crédito parcelado",D1208),Config!$A$12:$A$15,0)),0)+IF(AND(Config!$B$17="Sim",LEFT(D1208,17)="Cartão de crédito"),Config!$B$18*IFERROR(INDEX(Config!$C$12:$C$15,MATCH(IF(AND(D1208="Cartão de crédito",N(E1208)&gt;1),"Cartão de crédito parcelado",D1208),Config!$A$12:$A$15,0)),0)/30*MAX(1,N(E1208)),0))</f>
        <v/>
      </c>
      <c r="I1208" s="29">
        <f>IF(OR(D1208="",F1208=""),"",ROUND(F1208*H1208,2))</f>
        <v/>
      </c>
      <c r="J1208" s="29">
        <f>IF(I1208="","",F1208-I1208)</f>
        <v/>
      </c>
      <c r="K1208" s="29">
        <f>IF(J1208="","",J1208/MAX(1,N(E1208)))</f>
        <v/>
      </c>
      <c r="L1208" s="37">
        <f>IF(OR(D1208="",A1208=""),"",A1208+IF(AND(Config!$B$17="Sim",LEFT(D1208,17)="Cartão de crédito"),1,IFERROR(INDEX(Config!$C$12:$C$15,MATCH(IF(AND(D1208="Cartão de crédito",N(E1208)&gt;1),"Cartão de crédito parcelado",D1208),Config!$A$12:$A$15,0)),0)))</f>
        <v/>
      </c>
      <c r="M1208" s="37">
        <f>IF(L1208="","",IF(AND(Config!$B$17="Sim",LEFT(D1208,17)="Cartão de crédito"),L1208,L1208+30*(MAX(1,N(E1208))-1)))</f>
        <v/>
      </c>
      <c r="N1208" s="29">
        <f>IF(OR(L1208="",K1208=""),"",K1208*MIN(MAX(1,N(E1208)),MAX(0,INT((Config!$B$8-L1208)/30)+1)))</f>
        <v/>
      </c>
      <c r="O1208" s="29">
        <f>IF(J1208="","",J1208-N(N1208))</f>
        <v/>
      </c>
      <c r="P1208" s="27">
        <f>IF(A1208="","",MONTH(A1208))</f>
        <v/>
      </c>
      <c r="Q1208" s="27">
        <f>IF(A1208="","",YEAR(A1208))</f>
        <v/>
      </c>
      <c r="R1208" s="27">
        <f>IF(L1208="","",IF(L1208&gt;Config!$B$8,"A cair",IF(N(G1208)&gt;=MIN(MAX(1,N(E1208)),MAX(0,INT((Config!$B$8-L1208)/30)+1)),IF(N(G1208)&gt;=MAX(1,N(E1208)),"Conferido","Conferido até aqui"),"A conferir")))</f>
        <v/>
      </c>
      <c r="S1208" s="51">
        <f>IF(R1208="A conferir",(Config!$B$8-L1208)*1000+N(F1208)/1000+ROW()/100000,0)</f>
        <v>0</v>
      </c>
      <c r="T1208" s="51">
        <f>IF(R1208="A conferir",N(N1208),0)</f>
        <v>0</v>
      </c>
      <c r="U1208" s="51">
        <f>IF(L1208="",0,L1208)</f>
        <v>0</v>
      </c>
      <c r="V1208" s="51">
        <f>IF(L1208="",0,MAX(1,N(E1208)))</f>
        <v>0</v>
      </c>
      <c r="W1208" s="51">
        <f>IF(K1208="",0,K1208)</f>
        <v>0</v>
      </c>
    </row>
    <row r="1209">
      <c r="A1209" s="49" t="n"/>
      <c r="B1209" s="41" t="n"/>
      <c r="C1209" s="41" t="n"/>
      <c r="D1209" s="42" t="n"/>
      <c r="E1209" s="42" t="n"/>
      <c r="F1209" s="50" t="n"/>
      <c r="G1209" s="42" t="n"/>
      <c r="H1209" s="30">
        <f>IF(D1209="","",IFERROR(INDEX(Config!$B$12:$B$15,MATCH(IF(AND(D1209="Cartão de crédito",N(E1209)&gt;1),"Cartão de crédito parcelado",D1209),Config!$A$12:$A$15,0)),0)+IF(AND(Config!$B$17="Sim",LEFT(D1209,17)="Cartão de crédito"),Config!$B$18*IFERROR(INDEX(Config!$C$12:$C$15,MATCH(IF(AND(D1209="Cartão de crédito",N(E1209)&gt;1),"Cartão de crédito parcelado",D1209),Config!$A$12:$A$15,0)),0)/30*MAX(1,N(E1209)),0))</f>
        <v/>
      </c>
      <c r="I1209" s="29">
        <f>IF(OR(D1209="",F1209=""),"",ROUND(F1209*H1209,2))</f>
        <v/>
      </c>
      <c r="J1209" s="29">
        <f>IF(I1209="","",F1209-I1209)</f>
        <v/>
      </c>
      <c r="K1209" s="29">
        <f>IF(J1209="","",J1209/MAX(1,N(E1209)))</f>
        <v/>
      </c>
      <c r="L1209" s="37">
        <f>IF(OR(D1209="",A1209=""),"",A1209+IF(AND(Config!$B$17="Sim",LEFT(D1209,17)="Cartão de crédito"),1,IFERROR(INDEX(Config!$C$12:$C$15,MATCH(IF(AND(D1209="Cartão de crédito",N(E1209)&gt;1),"Cartão de crédito parcelado",D1209),Config!$A$12:$A$15,0)),0)))</f>
        <v/>
      </c>
      <c r="M1209" s="37">
        <f>IF(L1209="","",IF(AND(Config!$B$17="Sim",LEFT(D1209,17)="Cartão de crédito"),L1209,L1209+30*(MAX(1,N(E1209))-1)))</f>
        <v/>
      </c>
      <c r="N1209" s="29">
        <f>IF(OR(L1209="",K1209=""),"",K1209*MIN(MAX(1,N(E1209)),MAX(0,INT((Config!$B$8-L1209)/30)+1)))</f>
        <v/>
      </c>
      <c r="O1209" s="29">
        <f>IF(J1209="","",J1209-N(N1209))</f>
        <v/>
      </c>
      <c r="P1209" s="27">
        <f>IF(A1209="","",MONTH(A1209))</f>
        <v/>
      </c>
      <c r="Q1209" s="27">
        <f>IF(A1209="","",YEAR(A1209))</f>
        <v/>
      </c>
      <c r="R1209" s="27">
        <f>IF(L1209="","",IF(L1209&gt;Config!$B$8,"A cair",IF(N(G1209)&gt;=MIN(MAX(1,N(E1209)),MAX(0,INT((Config!$B$8-L1209)/30)+1)),IF(N(G1209)&gt;=MAX(1,N(E1209)),"Conferido","Conferido até aqui"),"A conferir")))</f>
        <v/>
      </c>
      <c r="S1209" s="51">
        <f>IF(R1209="A conferir",(Config!$B$8-L1209)*1000+N(F1209)/1000+ROW()/100000,0)</f>
        <v>0</v>
      </c>
      <c r="T1209" s="51">
        <f>IF(R1209="A conferir",N(N1209),0)</f>
        <v>0</v>
      </c>
      <c r="U1209" s="51">
        <f>IF(L1209="",0,L1209)</f>
        <v>0</v>
      </c>
      <c r="V1209" s="51">
        <f>IF(L1209="",0,MAX(1,N(E1209)))</f>
        <v>0</v>
      </c>
      <c r="W1209" s="51">
        <f>IF(K1209="",0,K1209)</f>
        <v>0</v>
      </c>
    </row>
    <row r="1210">
      <c r="A1210" s="49" t="n"/>
      <c r="B1210" s="41" t="n"/>
      <c r="C1210" s="41" t="n"/>
      <c r="D1210" s="42" t="n"/>
      <c r="E1210" s="42" t="n"/>
      <c r="F1210" s="50" t="n"/>
      <c r="G1210" s="42" t="n"/>
      <c r="H1210" s="30">
        <f>IF(D1210="","",IFERROR(INDEX(Config!$B$12:$B$15,MATCH(IF(AND(D1210="Cartão de crédito",N(E1210)&gt;1),"Cartão de crédito parcelado",D1210),Config!$A$12:$A$15,0)),0)+IF(AND(Config!$B$17="Sim",LEFT(D1210,17)="Cartão de crédito"),Config!$B$18*IFERROR(INDEX(Config!$C$12:$C$15,MATCH(IF(AND(D1210="Cartão de crédito",N(E1210)&gt;1),"Cartão de crédito parcelado",D1210),Config!$A$12:$A$15,0)),0)/30*MAX(1,N(E1210)),0))</f>
        <v/>
      </c>
      <c r="I1210" s="29">
        <f>IF(OR(D1210="",F1210=""),"",ROUND(F1210*H1210,2))</f>
        <v/>
      </c>
      <c r="J1210" s="29">
        <f>IF(I1210="","",F1210-I1210)</f>
        <v/>
      </c>
      <c r="K1210" s="29">
        <f>IF(J1210="","",J1210/MAX(1,N(E1210)))</f>
        <v/>
      </c>
      <c r="L1210" s="37">
        <f>IF(OR(D1210="",A1210=""),"",A1210+IF(AND(Config!$B$17="Sim",LEFT(D1210,17)="Cartão de crédito"),1,IFERROR(INDEX(Config!$C$12:$C$15,MATCH(IF(AND(D1210="Cartão de crédito",N(E1210)&gt;1),"Cartão de crédito parcelado",D1210),Config!$A$12:$A$15,0)),0)))</f>
        <v/>
      </c>
      <c r="M1210" s="37">
        <f>IF(L1210="","",IF(AND(Config!$B$17="Sim",LEFT(D1210,17)="Cartão de crédito"),L1210,L1210+30*(MAX(1,N(E1210))-1)))</f>
        <v/>
      </c>
      <c r="N1210" s="29">
        <f>IF(OR(L1210="",K1210=""),"",K1210*MIN(MAX(1,N(E1210)),MAX(0,INT((Config!$B$8-L1210)/30)+1)))</f>
        <v/>
      </c>
      <c r="O1210" s="29">
        <f>IF(J1210="","",J1210-N(N1210))</f>
        <v/>
      </c>
      <c r="P1210" s="27">
        <f>IF(A1210="","",MONTH(A1210))</f>
        <v/>
      </c>
      <c r="Q1210" s="27">
        <f>IF(A1210="","",YEAR(A1210))</f>
        <v/>
      </c>
      <c r="R1210" s="27">
        <f>IF(L1210="","",IF(L1210&gt;Config!$B$8,"A cair",IF(N(G1210)&gt;=MIN(MAX(1,N(E1210)),MAX(0,INT((Config!$B$8-L1210)/30)+1)),IF(N(G1210)&gt;=MAX(1,N(E1210)),"Conferido","Conferido até aqui"),"A conferir")))</f>
        <v/>
      </c>
      <c r="S1210" s="51">
        <f>IF(R1210="A conferir",(Config!$B$8-L1210)*1000+N(F1210)/1000+ROW()/100000,0)</f>
        <v>0</v>
      </c>
      <c r="T1210" s="51">
        <f>IF(R1210="A conferir",N(N1210),0)</f>
        <v>0</v>
      </c>
      <c r="U1210" s="51">
        <f>IF(L1210="",0,L1210)</f>
        <v>0</v>
      </c>
      <c r="V1210" s="51">
        <f>IF(L1210="",0,MAX(1,N(E1210)))</f>
        <v>0</v>
      </c>
      <c r="W1210" s="51">
        <f>IF(K1210="",0,K1210)</f>
        <v>0</v>
      </c>
    </row>
    <row r="1211">
      <c r="A1211" s="49" t="n"/>
      <c r="B1211" s="41" t="n"/>
      <c r="C1211" s="41" t="n"/>
      <c r="D1211" s="42" t="n"/>
      <c r="E1211" s="42" t="n"/>
      <c r="F1211" s="50" t="n"/>
      <c r="G1211" s="42" t="n"/>
      <c r="H1211" s="30">
        <f>IF(D1211="","",IFERROR(INDEX(Config!$B$12:$B$15,MATCH(IF(AND(D1211="Cartão de crédito",N(E1211)&gt;1),"Cartão de crédito parcelado",D1211),Config!$A$12:$A$15,0)),0)+IF(AND(Config!$B$17="Sim",LEFT(D1211,17)="Cartão de crédito"),Config!$B$18*IFERROR(INDEX(Config!$C$12:$C$15,MATCH(IF(AND(D1211="Cartão de crédito",N(E1211)&gt;1),"Cartão de crédito parcelado",D1211),Config!$A$12:$A$15,0)),0)/30*MAX(1,N(E1211)),0))</f>
        <v/>
      </c>
      <c r="I1211" s="29">
        <f>IF(OR(D1211="",F1211=""),"",ROUND(F1211*H1211,2))</f>
        <v/>
      </c>
      <c r="J1211" s="29">
        <f>IF(I1211="","",F1211-I1211)</f>
        <v/>
      </c>
      <c r="K1211" s="29">
        <f>IF(J1211="","",J1211/MAX(1,N(E1211)))</f>
        <v/>
      </c>
      <c r="L1211" s="37">
        <f>IF(OR(D1211="",A1211=""),"",A1211+IF(AND(Config!$B$17="Sim",LEFT(D1211,17)="Cartão de crédito"),1,IFERROR(INDEX(Config!$C$12:$C$15,MATCH(IF(AND(D1211="Cartão de crédito",N(E1211)&gt;1),"Cartão de crédito parcelado",D1211),Config!$A$12:$A$15,0)),0)))</f>
        <v/>
      </c>
      <c r="M1211" s="37">
        <f>IF(L1211="","",IF(AND(Config!$B$17="Sim",LEFT(D1211,17)="Cartão de crédito"),L1211,L1211+30*(MAX(1,N(E1211))-1)))</f>
        <v/>
      </c>
      <c r="N1211" s="29">
        <f>IF(OR(L1211="",K1211=""),"",K1211*MIN(MAX(1,N(E1211)),MAX(0,INT((Config!$B$8-L1211)/30)+1)))</f>
        <v/>
      </c>
      <c r="O1211" s="29">
        <f>IF(J1211="","",J1211-N(N1211))</f>
        <v/>
      </c>
      <c r="P1211" s="27">
        <f>IF(A1211="","",MONTH(A1211))</f>
        <v/>
      </c>
      <c r="Q1211" s="27">
        <f>IF(A1211="","",YEAR(A1211))</f>
        <v/>
      </c>
      <c r="R1211" s="27">
        <f>IF(L1211="","",IF(L1211&gt;Config!$B$8,"A cair",IF(N(G1211)&gt;=MIN(MAX(1,N(E1211)),MAX(0,INT((Config!$B$8-L1211)/30)+1)),IF(N(G1211)&gt;=MAX(1,N(E1211)),"Conferido","Conferido até aqui"),"A conferir")))</f>
        <v/>
      </c>
      <c r="S1211" s="51">
        <f>IF(R1211="A conferir",(Config!$B$8-L1211)*1000+N(F1211)/1000+ROW()/100000,0)</f>
        <v>0</v>
      </c>
      <c r="T1211" s="51">
        <f>IF(R1211="A conferir",N(N1211),0)</f>
        <v>0</v>
      </c>
      <c r="U1211" s="51">
        <f>IF(L1211="",0,L1211)</f>
        <v>0</v>
      </c>
      <c r="V1211" s="51">
        <f>IF(L1211="",0,MAX(1,N(E1211)))</f>
        <v>0</v>
      </c>
      <c r="W1211" s="51">
        <f>IF(K1211="",0,K1211)</f>
        <v>0</v>
      </c>
    </row>
    <row r="1212">
      <c r="A1212" s="49" t="n"/>
      <c r="B1212" s="41" t="n"/>
      <c r="C1212" s="41" t="n"/>
      <c r="D1212" s="42" t="n"/>
      <c r="E1212" s="42" t="n"/>
      <c r="F1212" s="50" t="n"/>
      <c r="G1212" s="42" t="n"/>
      <c r="H1212" s="30">
        <f>IF(D1212="","",IFERROR(INDEX(Config!$B$12:$B$15,MATCH(IF(AND(D1212="Cartão de crédito",N(E1212)&gt;1),"Cartão de crédito parcelado",D1212),Config!$A$12:$A$15,0)),0)+IF(AND(Config!$B$17="Sim",LEFT(D1212,17)="Cartão de crédito"),Config!$B$18*IFERROR(INDEX(Config!$C$12:$C$15,MATCH(IF(AND(D1212="Cartão de crédito",N(E1212)&gt;1),"Cartão de crédito parcelado",D1212),Config!$A$12:$A$15,0)),0)/30*MAX(1,N(E1212)),0))</f>
        <v/>
      </c>
      <c r="I1212" s="29">
        <f>IF(OR(D1212="",F1212=""),"",ROUND(F1212*H1212,2))</f>
        <v/>
      </c>
      <c r="J1212" s="29">
        <f>IF(I1212="","",F1212-I1212)</f>
        <v/>
      </c>
      <c r="K1212" s="29">
        <f>IF(J1212="","",J1212/MAX(1,N(E1212)))</f>
        <v/>
      </c>
      <c r="L1212" s="37">
        <f>IF(OR(D1212="",A1212=""),"",A1212+IF(AND(Config!$B$17="Sim",LEFT(D1212,17)="Cartão de crédito"),1,IFERROR(INDEX(Config!$C$12:$C$15,MATCH(IF(AND(D1212="Cartão de crédito",N(E1212)&gt;1),"Cartão de crédito parcelado",D1212),Config!$A$12:$A$15,0)),0)))</f>
        <v/>
      </c>
      <c r="M1212" s="37">
        <f>IF(L1212="","",IF(AND(Config!$B$17="Sim",LEFT(D1212,17)="Cartão de crédito"),L1212,L1212+30*(MAX(1,N(E1212))-1)))</f>
        <v/>
      </c>
      <c r="N1212" s="29">
        <f>IF(OR(L1212="",K1212=""),"",K1212*MIN(MAX(1,N(E1212)),MAX(0,INT((Config!$B$8-L1212)/30)+1)))</f>
        <v/>
      </c>
      <c r="O1212" s="29">
        <f>IF(J1212="","",J1212-N(N1212))</f>
        <v/>
      </c>
      <c r="P1212" s="27">
        <f>IF(A1212="","",MONTH(A1212))</f>
        <v/>
      </c>
      <c r="Q1212" s="27">
        <f>IF(A1212="","",YEAR(A1212))</f>
        <v/>
      </c>
      <c r="R1212" s="27">
        <f>IF(L1212="","",IF(L1212&gt;Config!$B$8,"A cair",IF(N(G1212)&gt;=MIN(MAX(1,N(E1212)),MAX(0,INT((Config!$B$8-L1212)/30)+1)),IF(N(G1212)&gt;=MAX(1,N(E1212)),"Conferido","Conferido até aqui"),"A conferir")))</f>
        <v/>
      </c>
      <c r="S1212" s="51">
        <f>IF(R1212="A conferir",(Config!$B$8-L1212)*1000+N(F1212)/1000+ROW()/100000,0)</f>
        <v>0</v>
      </c>
      <c r="T1212" s="51">
        <f>IF(R1212="A conferir",N(N1212),0)</f>
        <v>0</v>
      </c>
      <c r="U1212" s="51">
        <f>IF(L1212="",0,L1212)</f>
        <v>0</v>
      </c>
      <c r="V1212" s="51">
        <f>IF(L1212="",0,MAX(1,N(E1212)))</f>
        <v>0</v>
      </c>
      <c r="W1212" s="51">
        <f>IF(K1212="",0,K1212)</f>
        <v>0</v>
      </c>
    </row>
    <row r="1213">
      <c r="A1213" s="49" t="n"/>
      <c r="B1213" s="41" t="n"/>
      <c r="C1213" s="41" t="n"/>
      <c r="D1213" s="42" t="n"/>
      <c r="E1213" s="42" t="n"/>
      <c r="F1213" s="50" t="n"/>
      <c r="G1213" s="42" t="n"/>
      <c r="H1213" s="30">
        <f>IF(D1213="","",IFERROR(INDEX(Config!$B$12:$B$15,MATCH(IF(AND(D1213="Cartão de crédito",N(E1213)&gt;1),"Cartão de crédito parcelado",D1213),Config!$A$12:$A$15,0)),0)+IF(AND(Config!$B$17="Sim",LEFT(D1213,17)="Cartão de crédito"),Config!$B$18*IFERROR(INDEX(Config!$C$12:$C$15,MATCH(IF(AND(D1213="Cartão de crédito",N(E1213)&gt;1),"Cartão de crédito parcelado",D1213),Config!$A$12:$A$15,0)),0)/30*MAX(1,N(E1213)),0))</f>
        <v/>
      </c>
      <c r="I1213" s="29">
        <f>IF(OR(D1213="",F1213=""),"",ROUND(F1213*H1213,2))</f>
        <v/>
      </c>
      <c r="J1213" s="29">
        <f>IF(I1213="","",F1213-I1213)</f>
        <v/>
      </c>
      <c r="K1213" s="29">
        <f>IF(J1213="","",J1213/MAX(1,N(E1213)))</f>
        <v/>
      </c>
      <c r="L1213" s="37">
        <f>IF(OR(D1213="",A1213=""),"",A1213+IF(AND(Config!$B$17="Sim",LEFT(D1213,17)="Cartão de crédito"),1,IFERROR(INDEX(Config!$C$12:$C$15,MATCH(IF(AND(D1213="Cartão de crédito",N(E1213)&gt;1),"Cartão de crédito parcelado",D1213),Config!$A$12:$A$15,0)),0)))</f>
        <v/>
      </c>
      <c r="M1213" s="37">
        <f>IF(L1213="","",IF(AND(Config!$B$17="Sim",LEFT(D1213,17)="Cartão de crédito"),L1213,L1213+30*(MAX(1,N(E1213))-1)))</f>
        <v/>
      </c>
      <c r="N1213" s="29">
        <f>IF(OR(L1213="",K1213=""),"",K1213*MIN(MAX(1,N(E1213)),MAX(0,INT((Config!$B$8-L1213)/30)+1)))</f>
        <v/>
      </c>
      <c r="O1213" s="29">
        <f>IF(J1213="","",J1213-N(N1213))</f>
        <v/>
      </c>
      <c r="P1213" s="27">
        <f>IF(A1213="","",MONTH(A1213))</f>
        <v/>
      </c>
      <c r="Q1213" s="27">
        <f>IF(A1213="","",YEAR(A1213))</f>
        <v/>
      </c>
      <c r="R1213" s="27">
        <f>IF(L1213="","",IF(L1213&gt;Config!$B$8,"A cair",IF(N(G1213)&gt;=MIN(MAX(1,N(E1213)),MAX(0,INT((Config!$B$8-L1213)/30)+1)),IF(N(G1213)&gt;=MAX(1,N(E1213)),"Conferido","Conferido até aqui"),"A conferir")))</f>
        <v/>
      </c>
      <c r="S1213" s="51">
        <f>IF(R1213="A conferir",(Config!$B$8-L1213)*1000+N(F1213)/1000+ROW()/100000,0)</f>
        <v>0</v>
      </c>
      <c r="T1213" s="51">
        <f>IF(R1213="A conferir",N(N1213),0)</f>
        <v>0</v>
      </c>
      <c r="U1213" s="51">
        <f>IF(L1213="",0,L1213)</f>
        <v>0</v>
      </c>
      <c r="V1213" s="51">
        <f>IF(L1213="",0,MAX(1,N(E1213)))</f>
        <v>0</v>
      </c>
      <c r="W1213" s="51">
        <f>IF(K1213="",0,K1213)</f>
        <v>0</v>
      </c>
    </row>
    <row r="1214">
      <c r="A1214" s="49" t="n"/>
      <c r="B1214" s="41" t="n"/>
      <c r="C1214" s="41" t="n"/>
      <c r="D1214" s="42" t="n"/>
      <c r="E1214" s="42" t="n"/>
      <c r="F1214" s="50" t="n"/>
      <c r="G1214" s="42" t="n"/>
      <c r="H1214" s="30">
        <f>IF(D1214="","",IFERROR(INDEX(Config!$B$12:$B$15,MATCH(IF(AND(D1214="Cartão de crédito",N(E1214)&gt;1),"Cartão de crédito parcelado",D1214),Config!$A$12:$A$15,0)),0)+IF(AND(Config!$B$17="Sim",LEFT(D1214,17)="Cartão de crédito"),Config!$B$18*IFERROR(INDEX(Config!$C$12:$C$15,MATCH(IF(AND(D1214="Cartão de crédito",N(E1214)&gt;1),"Cartão de crédito parcelado",D1214),Config!$A$12:$A$15,0)),0)/30*MAX(1,N(E1214)),0))</f>
        <v/>
      </c>
      <c r="I1214" s="29">
        <f>IF(OR(D1214="",F1214=""),"",ROUND(F1214*H1214,2))</f>
        <v/>
      </c>
      <c r="J1214" s="29">
        <f>IF(I1214="","",F1214-I1214)</f>
        <v/>
      </c>
      <c r="K1214" s="29">
        <f>IF(J1214="","",J1214/MAX(1,N(E1214)))</f>
        <v/>
      </c>
      <c r="L1214" s="37">
        <f>IF(OR(D1214="",A1214=""),"",A1214+IF(AND(Config!$B$17="Sim",LEFT(D1214,17)="Cartão de crédito"),1,IFERROR(INDEX(Config!$C$12:$C$15,MATCH(IF(AND(D1214="Cartão de crédito",N(E1214)&gt;1),"Cartão de crédito parcelado",D1214),Config!$A$12:$A$15,0)),0)))</f>
        <v/>
      </c>
      <c r="M1214" s="37">
        <f>IF(L1214="","",IF(AND(Config!$B$17="Sim",LEFT(D1214,17)="Cartão de crédito"),L1214,L1214+30*(MAX(1,N(E1214))-1)))</f>
        <v/>
      </c>
      <c r="N1214" s="29">
        <f>IF(OR(L1214="",K1214=""),"",K1214*MIN(MAX(1,N(E1214)),MAX(0,INT((Config!$B$8-L1214)/30)+1)))</f>
        <v/>
      </c>
      <c r="O1214" s="29">
        <f>IF(J1214="","",J1214-N(N1214))</f>
        <v/>
      </c>
      <c r="P1214" s="27">
        <f>IF(A1214="","",MONTH(A1214))</f>
        <v/>
      </c>
      <c r="Q1214" s="27">
        <f>IF(A1214="","",YEAR(A1214))</f>
        <v/>
      </c>
      <c r="R1214" s="27">
        <f>IF(L1214="","",IF(L1214&gt;Config!$B$8,"A cair",IF(N(G1214)&gt;=MIN(MAX(1,N(E1214)),MAX(0,INT((Config!$B$8-L1214)/30)+1)),IF(N(G1214)&gt;=MAX(1,N(E1214)),"Conferido","Conferido até aqui"),"A conferir")))</f>
        <v/>
      </c>
      <c r="S1214" s="51">
        <f>IF(R1214="A conferir",(Config!$B$8-L1214)*1000+N(F1214)/1000+ROW()/100000,0)</f>
        <v>0</v>
      </c>
      <c r="T1214" s="51">
        <f>IF(R1214="A conferir",N(N1214),0)</f>
        <v>0</v>
      </c>
      <c r="U1214" s="51">
        <f>IF(L1214="",0,L1214)</f>
        <v>0</v>
      </c>
      <c r="V1214" s="51">
        <f>IF(L1214="",0,MAX(1,N(E1214)))</f>
        <v>0</v>
      </c>
      <c r="W1214" s="51">
        <f>IF(K1214="",0,K1214)</f>
        <v>0</v>
      </c>
    </row>
    <row r="1215">
      <c r="A1215" s="49" t="n"/>
      <c r="B1215" s="41" t="n"/>
      <c r="C1215" s="41" t="n"/>
      <c r="D1215" s="42" t="n"/>
      <c r="E1215" s="42" t="n"/>
      <c r="F1215" s="50" t="n"/>
      <c r="G1215" s="42" t="n"/>
      <c r="H1215" s="30">
        <f>IF(D1215="","",IFERROR(INDEX(Config!$B$12:$B$15,MATCH(IF(AND(D1215="Cartão de crédito",N(E1215)&gt;1),"Cartão de crédito parcelado",D1215),Config!$A$12:$A$15,0)),0)+IF(AND(Config!$B$17="Sim",LEFT(D1215,17)="Cartão de crédito"),Config!$B$18*IFERROR(INDEX(Config!$C$12:$C$15,MATCH(IF(AND(D1215="Cartão de crédito",N(E1215)&gt;1),"Cartão de crédito parcelado",D1215),Config!$A$12:$A$15,0)),0)/30*MAX(1,N(E1215)),0))</f>
        <v/>
      </c>
      <c r="I1215" s="29">
        <f>IF(OR(D1215="",F1215=""),"",ROUND(F1215*H1215,2))</f>
        <v/>
      </c>
      <c r="J1215" s="29">
        <f>IF(I1215="","",F1215-I1215)</f>
        <v/>
      </c>
      <c r="K1215" s="29">
        <f>IF(J1215="","",J1215/MAX(1,N(E1215)))</f>
        <v/>
      </c>
      <c r="L1215" s="37">
        <f>IF(OR(D1215="",A1215=""),"",A1215+IF(AND(Config!$B$17="Sim",LEFT(D1215,17)="Cartão de crédito"),1,IFERROR(INDEX(Config!$C$12:$C$15,MATCH(IF(AND(D1215="Cartão de crédito",N(E1215)&gt;1),"Cartão de crédito parcelado",D1215),Config!$A$12:$A$15,0)),0)))</f>
        <v/>
      </c>
      <c r="M1215" s="37">
        <f>IF(L1215="","",IF(AND(Config!$B$17="Sim",LEFT(D1215,17)="Cartão de crédito"),L1215,L1215+30*(MAX(1,N(E1215))-1)))</f>
        <v/>
      </c>
      <c r="N1215" s="29">
        <f>IF(OR(L1215="",K1215=""),"",K1215*MIN(MAX(1,N(E1215)),MAX(0,INT((Config!$B$8-L1215)/30)+1)))</f>
        <v/>
      </c>
      <c r="O1215" s="29">
        <f>IF(J1215="","",J1215-N(N1215))</f>
        <v/>
      </c>
      <c r="P1215" s="27">
        <f>IF(A1215="","",MONTH(A1215))</f>
        <v/>
      </c>
      <c r="Q1215" s="27">
        <f>IF(A1215="","",YEAR(A1215))</f>
        <v/>
      </c>
      <c r="R1215" s="27">
        <f>IF(L1215="","",IF(L1215&gt;Config!$B$8,"A cair",IF(N(G1215)&gt;=MIN(MAX(1,N(E1215)),MAX(0,INT((Config!$B$8-L1215)/30)+1)),IF(N(G1215)&gt;=MAX(1,N(E1215)),"Conferido","Conferido até aqui"),"A conferir")))</f>
        <v/>
      </c>
      <c r="S1215" s="51">
        <f>IF(R1215="A conferir",(Config!$B$8-L1215)*1000+N(F1215)/1000+ROW()/100000,0)</f>
        <v>0</v>
      </c>
      <c r="T1215" s="51">
        <f>IF(R1215="A conferir",N(N1215),0)</f>
        <v>0</v>
      </c>
      <c r="U1215" s="51">
        <f>IF(L1215="",0,L1215)</f>
        <v>0</v>
      </c>
      <c r="V1215" s="51">
        <f>IF(L1215="",0,MAX(1,N(E1215)))</f>
        <v>0</v>
      </c>
      <c r="W1215" s="51">
        <f>IF(K1215="",0,K1215)</f>
        <v>0</v>
      </c>
    </row>
    <row r="1216">
      <c r="A1216" s="49" t="n"/>
      <c r="B1216" s="41" t="n"/>
      <c r="C1216" s="41" t="n"/>
      <c r="D1216" s="42" t="n"/>
      <c r="E1216" s="42" t="n"/>
      <c r="F1216" s="50" t="n"/>
      <c r="G1216" s="42" t="n"/>
      <c r="H1216" s="30">
        <f>IF(D1216="","",IFERROR(INDEX(Config!$B$12:$B$15,MATCH(IF(AND(D1216="Cartão de crédito",N(E1216)&gt;1),"Cartão de crédito parcelado",D1216),Config!$A$12:$A$15,0)),0)+IF(AND(Config!$B$17="Sim",LEFT(D1216,17)="Cartão de crédito"),Config!$B$18*IFERROR(INDEX(Config!$C$12:$C$15,MATCH(IF(AND(D1216="Cartão de crédito",N(E1216)&gt;1),"Cartão de crédito parcelado",D1216),Config!$A$12:$A$15,0)),0)/30*MAX(1,N(E1216)),0))</f>
        <v/>
      </c>
      <c r="I1216" s="29">
        <f>IF(OR(D1216="",F1216=""),"",ROUND(F1216*H1216,2))</f>
        <v/>
      </c>
      <c r="J1216" s="29">
        <f>IF(I1216="","",F1216-I1216)</f>
        <v/>
      </c>
      <c r="K1216" s="29">
        <f>IF(J1216="","",J1216/MAX(1,N(E1216)))</f>
        <v/>
      </c>
      <c r="L1216" s="37">
        <f>IF(OR(D1216="",A1216=""),"",A1216+IF(AND(Config!$B$17="Sim",LEFT(D1216,17)="Cartão de crédito"),1,IFERROR(INDEX(Config!$C$12:$C$15,MATCH(IF(AND(D1216="Cartão de crédito",N(E1216)&gt;1),"Cartão de crédito parcelado",D1216),Config!$A$12:$A$15,0)),0)))</f>
        <v/>
      </c>
      <c r="M1216" s="37">
        <f>IF(L1216="","",IF(AND(Config!$B$17="Sim",LEFT(D1216,17)="Cartão de crédito"),L1216,L1216+30*(MAX(1,N(E1216))-1)))</f>
        <v/>
      </c>
      <c r="N1216" s="29">
        <f>IF(OR(L1216="",K1216=""),"",K1216*MIN(MAX(1,N(E1216)),MAX(0,INT((Config!$B$8-L1216)/30)+1)))</f>
        <v/>
      </c>
      <c r="O1216" s="29">
        <f>IF(J1216="","",J1216-N(N1216))</f>
        <v/>
      </c>
      <c r="P1216" s="27">
        <f>IF(A1216="","",MONTH(A1216))</f>
        <v/>
      </c>
      <c r="Q1216" s="27">
        <f>IF(A1216="","",YEAR(A1216))</f>
        <v/>
      </c>
      <c r="R1216" s="27">
        <f>IF(L1216="","",IF(L1216&gt;Config!$B$8,"A cair",IF(N(G1216)&gt;=MIN(MAX(1,N(E1216)),MAX(0,INT((Config!$B$8-L1216)/30)+1)),IF(N(G1216)&gt;=MAX(1,N(E1216)),"Conferido","Conferido até aqui"),"A conferir")))</f>
        <v/>
      </c>
      <c r="S1216" s="51">
        <f>IF(R1216="A conferir",(Config!$B$8-L1216)*1000+N(F1216)/1000+ROW()/100000,0)</f>
        <v>0</v>
      </c>
      <c r="T1216" s="51">
        <f>IF(R1216="A conferir",N(N1216),0)</f>
        <v>0</v>
      </c>
      <c r="U1216" s="51">
        <f>IF(L1216="",0,L1216)</f>
        <v>0</v>
      </c>
      <c r="V1216" s="51">
        <f>IF(L1216="",0,MAX(1,N(E1216)))</f>
        <v>0</v>
      </c>
      <c r="W1216" s="51">
        <f>IF(K1216="",0,K1216)</f>
        <v>0</v>
      </c>
    </row>
    <row r="1217">
      <c r="A1217" s="49" t="n"/>
      <c r="B1217" s="41" t="n"/>
      <c r="C1217" s="41" t="n"/>
      <c r="D1217" s="42" t="n"/>
      <c r="E1217" s="42" t="n"/>
      <c r="F1217" s="50" t="n"/>
      <c r="G1217" s="42" t="n"/>
      <c r="H1217" s="30">
        <f>IF(D1217="","",IFERROR(INDEX(Config!$B$12:$B$15,MATCH(IF(AND(D1217="Cartão de crédito",N(E1217)&gt;1),"Cartão de crédito parcelado",D1217),Config!$A$12:$A$15,0)),0)+IF(AND(Config!$B$17="Sim",LEFT(D1217,17)="Cartão de crédito"),Config!$B$18*IFERROR(INDEX(Config!$C$12:$C$15,MATCH(IF(AND(D1217="Cartão de crédito",N(E1217)&gt;1),"Cartão de crédito parcelado",D1217),Config!$A$12:$A$15,0)),0)/30*MAX(1,N(E1217)),0))</f>
        <v/>
      </c>
      <c r="I1217" s="29">
        <f>IF(OR(D1217="",F1217=""),"",ROUND(F1217*H1217,2))</f>
        <v/>
      </c>
      <c r="J1217" s="29">
        <f>IF(I1217="","",F1217-I1217)</f>
        <v/>
      </c>
      <c r="K1217" s="29">
        <f>IF(J1217="","",J1217/MAX(1,N(E1217)))</f>
        <v/>
      </c>
      <c r="L1217" s="37">
        <f>IF(OR(D1217="",A1217=""),"",A1217+IF(AND(Config!$B$17="Sim",LEFT(D1217,17)="Cartão de crédito"),1,IFERROR(INDEX(Config!$C$12:$C$15,MATCH(IF(AND(D1217="Cartão de crédito",N(E1217)&gt;1),"Cartão de crédito parcelado",D1217),Config!$A$12:$A$15,0)),0)))</f>
        <v/>
      </c>
      <c r="M1217" s="37">
        <f>IF(L1217="","",IF(AND(Config!$B$17="Sim",LEFT(D1217,17)="Cartão de crédito"),L1217,L1217+30*(MAX(1,N(E1217))-1)))</f>
        <v/>
      </c>
      <c r="N1217" s="29">
        <f>IF(OR(L1217="",K1217=""),"",K1217*MIN(MAX(1,N(E1217)),MAX(0,INT((Config!$B$8-L1217)/30)+1)))</f>
        <v/>
      </c>
      <c r="O1217" s="29">
        <f>IF(J1217="","",J1217-N(N1217))</f>
        <v/>
      </c>
      <c r="P1217" s="27">
        <f>IF(A1217="","",MONTH(A1217))</f>
        <v/>
      </c>
      <c r="Q1217" s="27">
        <f>IF(A1217="","",YEAR(A1217))</f>
        <v/>
      </c>
      <c r="R1217" s="27">
        <f>IF(L1217="","",IF(L1217&gt;Config!$B$8,"A cair",IF(N(G1217)&gt;=MIN(MAX(1,N(E1217)),MAX(0,INT((Config!$B$8-L1217)/30)+1)),IF(N(G1217)&gt;=MAX(1,N(E1217)),"Conferido","Conferido até aqui"),"A conferir")))</f>
        <v/>
      </c>
      <c r="S1217" s="51">
        <f>IF(R1217="A conferir",(Config!$B$8-L1217)*1000+N(F1217)/1000+ROW()/100000,0)</f>
        <v>0</v>
      </c>
      <c r="T1217" s="51">
        <f>IF(R1217="A conferir",N(N1217),0)</f>
        <v>0</v>
      </c>
      <c r="U1217" s="51">
        <f>IF(L1217="",0,L1217)</f>
        <v>0</v>
      </c>
      <c r="V1217" s="51">
        <f>IF(L1217="",0,MAX(1,N(E1217)))</f>
        <v>0</v>
      </c>
      <c r="W1217" s="51">
        <f>IF(K1217="",0,K1217)</f>
        <v>0</v>
      </c>
    </row>
    <row r="1218">
      <c r="A1218" s="49" t="n"/>
      <c r="B1218" s="41" t="n"/>
      <c r="C1218" s="41" t="n"/>
      <c r="D1218" s="42" t="n"/>
      <c r="E1218" s="42" t="n"/>
      <c r="F1218" s="50" t="n"/>
      <c r="G1218" s="42" t="n"/>
      <c r="H1218" s="30">
        <f>IF(D1218="","",IFERROR(INDEX(Config!$B$12:$B$15,MATCH(IF(AND(D1218="Cartão de crédito",N(E1218)&gt;1),"Cartão de crédito parcelado",D1218),Config!$A$12:$A$15,0)),0)+IF(AND(Config!$B$17="Sim",LEFT(D1218,17)="Cartão de crédito"),Config!$B$18*IFERROR(INDEX(Config!$C$12:$C$15,MATCH(IF(AND(D1218="Cartão de crédito",N(E1218)&gt;1),"Cartão de crédito parcelado",D1218),Config!$A$12:$A$15,0)),0)/30*MAX(1,N(E1218)),0))</f>
        <v/>
      </c>
      <c r="I1218" s="29">
        <f>IF(OR(D1218="",F1218=""),"",ROUND(F1218*H1218,2))</f>
        <v/>
      </c>
      <c r="J1218" s="29">
        <f>IF(I1218="","",F1218-I1218)</f>
        <v/>
      </c>
      <c r="K1218" s="29">
        <f>IF(J1218="","",J1218/MAX(1,N(E1218)))</f>
        <v/>
      </c>
      <c r="L1218" s="37">
        <f>IF(OR(D1218="",A1218=""),"",A1218+IF(AND(Config!$B$17="Sim",LEFT(D1218,17)="Cartão de crédito"),1,IFERROR(INDEX(Config!$C$12:$C$15,MATCH(IF(AND(D1218="Cartão de crédito",N(E1218)&gt;1),"Cartão de crédito parcelado",D1218),Config!$A$12:$A$15,0)),0)))</f>
        <v/>
      </c>
      <c r="M1218" s="37">
        <f>IF(L1218="","",IF(AND(Config!$B$17="Sim",LEFT(D1218,17)="Cartão de crédito"),L1218,L1218+30*(MAX(1,N(E1218))-1)))</f>
        <v/>
      </c>
      <c r="N1218" s="29">
        <f>IF(OR(L1218="",K1218=""),"",K1218*MIN(MAX(1,N(E1218)),MAX(0,INT((Config!$B$8-L1218)/30)+1)))</f>
        <v/>
      </c>
      <c r="O1218" s="29">
        <f>IF(J1218="","",J1218-N(N1218))</f>
        <v/>
      </c>
      <c r="P1218" s="27">
        <f>IF(A1218="","",MONTH(A1218))</f>
        <v/>
      </c>
      <c r="Q1218" s="27">
        <f>IF(A1218="","",YEAR(A1218))</f>
        <v/>
      </c>
      <c r="R1218" s="27">
        <f>IF(L1218="","",IF(L1218&gt;Config!$B$8,"A cair",IF(N(G1218)&gt;=MIN(MAX(1,N(E1218)),MAX(0,INT((Config!$B$8-L1218)/30)+1)),IF(N(G1218)&gt;=MAX(1,N(E1218)),"Conferido","Conferido até aqui"),"A conferir")))</f>
        <v/>
      </c>
      <c r="S1218" s="51">
        <f>IF(R1218="A conferir",(Config!$B$8-L1218)*1000+N(F1218)/1000+ROW()/100000,0)</f>
        <v>0</v>
      </c>
      <c r="T1218" s="51">
        <f>IF(R1218="A conferir",N(N1218),0)</f>
        <v>0</v>
      </c>
      <c r="U1218" s="51">
        <f>IF(L1218="",0,L1218)</f>
        <v>0</v>
      </c>
      <c r="V1218" s="51">
        <f>IF(L1218="",0,MAX(1,N(E1218)))</f>
        <v>0</v>
      </c>
      <c r="W1218" s="51">
        <f>IF(K1218="",0,K1218)</f>
        <v>0</v>
      </c>
    </row>
    <row r="1219">
      <c r="A1219" s="49" t="n"/>
      <c r="B1219" s="41" t="n"/>
      <c r="C1219" s="41" t="n"/>
      <c r="D1219" s="42" t="n"/>
      <c r="E1219" s="42" t="n"/>
      <c r="F1219" s="50" t="n"/>
      <c r="G1219" s="42" t="n"/>
      <c r="H1219" s="30">
        <f>IF(D1219="","",IFERROR(INDEX(Config!$B$12:$B$15,MATCH(IF(AND(D1219="Cartão de crédito",N(E1219)&gt;1),"Cartão de crédito parcelado",D1219),Config!$A$12:$A$15,0)),0)+IF(AND(Config!$B$17="Sim",LEFT(D1219,17)="Cartão de crédito"),Config!$B$18*IFERROR(INDEX(Config!$C$12:$C$15,MATCH(IF(AND(D1219="Cartão de crédito",N(E1219)&gt;1),"Cartão de crédito parcelado",D1219),Config!$A$12:$A$15,0)),0)/30*MAX(1,N(E1219)),0))</f>
        <v/>
      </c>
      <c r="I1219" s="29">
        <f>IF(OR(D1219="",F1219=""),"",ROUND(F1219*H1219,2))</f>
        <v/>
      </c>
      <c r="J1219" s="29">
        <f>IF(I1219="","",F1219-I1219)</f>
        <v/>
      </c>
      <c r="K1219" s="29">
        <f>IF(J1219="","",J1219/MAX(1,N(E1219)))</f>
        <v/>
      </c>
      <c r="L1219" s="37">
        <f>IF(OR(D1219="",A1219=""),"",A1219+IF(AND(Config!$B$17="Sim",LEFT(D1219,17)="Cartão de crédito"),1,IFERROR(INDEX(Config!$C$12:$C$15,MATCH(IF(AND(D1219="Cartão de crédito",N(E1219)&gt;1),"Cartão de crédito parcelado",D1219),Config!$A$12:$A$15,0)),0)))</f>
        <v/>
      </c>
      <c r="M1219" s="37">
        <f>IF(L1219="","",IF(AND(Config!$B$17="Sim",LEFT(D1219,17)="Cartão de crédito"),L1219,L1219+30*(MAX(1,N(E1219))-1)))</f>
        <v/>
      </c>
      <c r="N1219" s="29">
        <f>IF(OR(L1219="",K1219=""),"",K1219*MIN(MAX(1,N(E1219)),MAX(0,INT((Config!$B$8-L1219)/30)+1)))</f>
        <v/>
      </c>
      <c r="O1219" s="29">
        <f>IF(J1219="","",J1219-N(N1219))</f>
        <v/>
      </c>
      <c r="P1219" s="27">
        <f>IF(A1219="","",MONTH(A1219))</f>
        <v/>
      </c>
      <c r="Q1219" s="27">
        <f>IF(A1219="","",YEAR(A1219))</f>
        <v/>
      </c>
      <c r="R1219" s="27">
        <f>IF(L1219="","",IF(L1219&gt;Config!$B$8,"A cair",IF(N(G1219)&gt;=MIN(MAX(1,N(E1219)),MAX(0,INT((Config!$B$8-L1219)/30)+1)),IF(N(G1219)&gt;=MAX(1,N(E1219)),"Conferido","Conferido até aqui"),"A conferir")))</f>
        <v/>
      </c>
      <c r="S1219" s="51">
        <f>IF(R1219="A conferir",(Config!$B$8-L1219)*1000+N(F1219)/1000+ROW()/100000,0)</f>
        <v>0</v>
      </c>
      <c r="T1219" s="51">
        <f>IF(R1219="A conferir",N(N1219),0)</f>
        <v>0</v>
      </c>
      <c r="U1219" s="51">
        <f>IF(L1219="",0,L1219)</f>
        <v>0</v>
      </c>
      <c r="V1219" s="51">
        <f>IF(L1219="",0,MAX(1,N(E1219)))</f>
        <v>0</v>
      </c>
      <c r="W1219" s="51">
        <f>IF(K1219="",0,K1219)</f>
        <v>0</v>
      </c>
    </row>
    <row r="1220">
      <c r="A1220" s="49" t="n"/>
      <c r="B1220" s="41" t="n"/>
      <c r="C1220" s="41" t="n"/>
      <c r="D1220" s="42" t="n"/>
      <c r="E1220" s="42" t="n"/>
      <c r="F1220" s="50" t="n"/>
      <c r="G1220" s="42" t="n"/>
      <c r="H1220" s="30">
        <f>IF(D1220="","",IFERROR(INDEX(Config!$B$12:$B$15,MATCH(IF(AND(D1220="Cartão de crédito",N(E1220)&gt;1),"Cartão de crédito parcelado",D1220),Config!$A$12:$A$15,0)),0)+IF(AND(Config!$B$17="Sim",LEFT(D1220,17)="Cartão de crédito"),Config!$B$18*IFERROR(INDEX(Config!$C$12:$C$15,MATCH(IF(AND(D1220="Cartão de crédito",N(E1220)&gt;1),"Cartão de crédito parcelado",D1220),Config!$A$12:$A$15,0)),0)/30*MAX(1,N(E1220)),0))</f>
        <v/>
      </c>
      <c r="I1220" s="29">
        <f>IF(OR(D1220="",F1220=""),"",ROUND(F1220*H1220,2))</f>
        <v/>
      </c>
      <c r="J1220" s="29">
        <f>IF(I1220="","",F1220-I1220)</f>
        <v/>
      </c>
      <c r="K1220" s="29">
        <f>IF(J1220="","",J1220/MAX(1,N(E1220)))</f>
        <v/>
      </c>
      <c r="L1220" s="37">
        <f>IF(OR(D1220="",A1220=""),"",A1220+IF(AND(Config!$B$17="Sim",LEFT(D1220,17)="Cartão de crédito"),1,IFERROR(INDEX(Config!$C$12:$C$15,MATCH(IF(AND(D1220="Cartão de crédito",N(E1220)&gt;1),"Cartão de crédito parcelado",D1220),Config!$A$12:$A$15,0)),0)))</f>
        <v/>
      </c>
      <c r="M1220" s="37">
        <f>IF(L1220="","",IF(AND(Config!$B$17="Sim",LEFT(D1220,17)="Cartão de crédito"),L1220,L1220+30*(MAX(1,N(E1220))-1)))</f>
        <v/>
      </c>
      <c r="N1220" s="29">
        <f>IF(OR(L1220="",K1220=""),"",K1220*MIN(MAX(1,N(E1220)),MAX(0,INT((Config!$B$8-L1220)/30)+1)))</f>
        <v/>
      </c>
      <c r="O1220" s="29">
        <f>IF(J1220="","",J1220-N(N1220))</f>
        <v/>
      </c>
      <c r="P1220" s="27">
        <f>IF(A1220="","",MONTH(A1220))</f>
        <v/>
      </c>
      <c r="Q1220" s="27">
        <f>IF(A1220="","",YEAR(A1220))</f>
        <v/>
      </c>
      <c r="R1220" s="27">
        <f>IF(L1220="","",IF(L1220&gt;Config!$B$8,"A cair",IF(N(G1220)&gt;=MIN(MAX(1,N(E1220)),MAX(0,INT((Config!$B$8-L1220)/30)+1)),IF(N(G1220)&gt;=MAX(1,N(E1220)),"Conferido","Conferido até aqui"),"A conferir")))</f>
        <v/>
      </c>
      <c r="S1220" s="51">
        <f>IF(R1220="A conferir",(Config!$B$8-L1220)*1000+N(F1220)/1000+ROW()/100000,0)</f>
        <v>0</v>
      </c>
      <c r="T1220" s="51">
        <f>IF(R1220="A conferir",N(N1220),0)</f>
        <v>0</v>
      </c>
      <c r="U1220" s="51">
        <f>IF(L1220="",0,L1220)</f>
        <v>0</v>
      </c>
      <c r="V1220" s="51">
        <f>IF(L1220="",0,MAX(1,N(E1220)))</f>
        <v>0</v>
      </c>
      <c r="W1220" s="51">
        <f>IF(K1220="",0,K1220)</f>
        <v>0</v>
      </c>
    </row>
    <row r="1221">
      <c r="A1221" s="49" t="n"/>
      <c r="B1221" s="41" t="n"/>
      <c r="C1221" s="41" t="n"/>
      <c r="D1221" s="42" t="n"/>
      <c r="E1221" s="42" t="n"/>
      <c r="F1221" s="50" t="n"/>
      <c r="G1221" s="42" t="n"/>
      <c r="H1221" s="30">
        <f>IF(D1221="","",IFERROR(INDEX(Config!$B$12:$B$15,MATCH(IF(AND(D1221="Cartão de crédito",N(E1221)&gt;1),"Cartão de crédito parcelado",D1221),Config!$A$12:$A$15,0)),0)+IF(AND(Config!$B$17="Sim",LEFT(D1221,17)="Cartão de crédito"),Config!$B$18*IFERROR(INDEX(Config!$C$12:$C$15,MATCH(IF(AND(D1221="Cartão de crédito",N(E1221)&gt;1),"Cartão de crédito parcelado",D1221),Config!$A$12:$A$15,0)),0)/30*MAX(1,N(E1221)),0))</f>
        <v/>
      </c>
      <c r="I1221" s="29">
        <f>IF(OR(D1221="",F1221=""),"",ROUND(F1221*H1221,2))</f>
        <v/>
      </c>
      <c r="J1221" s="29">
        <f>IF(I1221="","",F1221-I1221)</f>
        <v/>
      </c>
      <c r="K1221" s="29">
        <f>IF(J1221="","",J1221/MAX(1,N(E1221)))</f>
        <v/>
      </c>
      <c r="L1221" s="37">
        <f>IF(OR(D1221="",A1221=""),"",A1221+IF(AND(Config!$B$17="Sim",LEFT(D1221,17)="Cartão de crédito"),1,IFERROR(INDEX(Config!$C$12:$C$15,MATCH(IF(AND(D1221="Cartão de crédito",N(E1221)&gt;1),"Cartão de crédito parcelado",D1221),Config!$A$12:$A$15,0)),0)))</f>
        <v/>
      </c>
      <c r="M1221" s="37">
        <f>IF(L1221="","",IF(AND(Config!$B$17="Sim",LEFT(D1221,17)="Cartão de crédito"),L1221,L1221+30*(MAX(1,N(E1221))-1)))</f>
        <v/>
      </c>
      <c r="N1221" s="29">
        <f>IF(OR(L1221="",K1221=""),"",K1221*MIN(MAX(1,N(E1221)),MAX(0,INT((Config!$B$8-L1221)/30)+1)))</f>
        <v/>
      </c>
      <c r="O1221" s="29">
        <f>IF(J1221="","",J1221-N(N1221))</f>
        <v/>
      </c>
      <c r="P1221" s="27">
        <f>IF(A1221="","",MONTH(A1221))</f>
        <v/>
      </c>
      <c r="Q1221" s="27">
        <f>IF(A1221="","",YEAR(A1221))</f>
        <v/>
      </c>
      <c r="R1221" s="27">
        <f>IF(L1221="","",IF(L1221&gt;Config!$B$8,"A cair",IF(N(G1221)&gt;=MIN(MAX(1,N(E1221)),MAX(0,INT((Config!$B$8-L1221)/30)+1)),IF(N(G1221)&gt;=MAX(1,N(E1221)),"Conferido","Conferido até aqui"),"A conferir")))</f>
        <v/>
      </c>
      <c r="S1221" s="51">
        <f>IF(R1221="A conferir",(Config!$B$8-L1221)*1000+N(F1221)/1000+ROW()/100000,0)</f>
        <v>0</v>
      </c>
      <c r="T1221" s="51">
        <f>IF(R1221="A conferir",N(N1221),0)</f>
        <v>0</v>
      </c>
      <c r="U1221" s="51">
        <f>IF(L1221="",0,L1221)</f>
        <v>0</v>
      </c>
      <c r="V1221" s="51">
        <f>IF(L1221="",0,MAX(1,N(E1221)))</f>
        <v>0</v>
      </c>
      <c r="W1221" s="51">
        <f>IF(K1221="",0,K1221)</f>
        <v>0</v>
      </c>
    </row>
    <row r="1222">
      <c r="A1222" s="49" t="n"/>
      <c r="B1222" s="41" t="n"/>
      <c r="C1222" s="41" t="n"/>
      <c r="D1222" s="42" t="n"/>
      <c r="E1222" s="42" t="n"/>
      <c r="F1222" s="50" t="n"/>
      <c r="G1222" s="42" t="n"/>
      <c r="H1222" s="30">
        <f>IF(D1222="","",IFERROR(INDEX(Config!$B$12:$B$15,MATCH(IF(AND(D1222="Cartão de crédito",N(E1222)&gt;1),"Cartão de crédito parcelado",D1222),Config!$A$12:$A$15,0)),0)+IF(AND(Config!$B$17="Sim",LEFT(D1222,17)="Cartão de crédito"),Config!$B$18*IFERROR(INDEX(Config!$C$12:$C$15,MATCH(IF(AND(D1222="Cartão de crédito",N(E1222)&gt;1),"Cartão de crédito parcelado",D1222),Config!$A$12:$A$15,0)),0)/30*MAX(1,N(E1222)),0))</f>
        <v/>
      </c>
      <c r="I1222" s="29">
        <f>IF(OR(D1222="",F1222=""),"",ROUND(F1222*H1222,2))</f>
        <v/>
      </c>
      <c r="J1222" s="29">
        <f>IF(I1222="","",F1222-I1222)</f>
        <v/>
      </c>
      <c r="K1222" s="29">
        <f>IF(J1222="","",J1222/MAX(1,N(E1222)))</f>
        <v/>
      </c>
      <c r="L1222" s="37">
        <f>IF(OR(D1222="",A1222=""),"",A1222+IF(AND(Config!$B$17="Sim",LEFT(D1222,17)="Cartão de crédito"),1,IFERROR(INDEX(Config!$C$12:$C$15,MATCH(IF(AND(D1222="Cartão de crédito",N(E1222)&gt;1),"Cartão de crédito parcelado",D1222),Config!$A$12:$A$15,0)),0)))</f>
        <v/>
      </c>
      <c r="M1222" s="37">
        <f>IF(L1222="","",IF(AND(Config!$B$17="Sim",LEFT(D1222,17)="Cartão de crédito"),L1222,L1222+30*(MAX(1,N(E1222))-1)))</f>
        <v/>
      </c>
      <c r="N1222" s="29">
        <f>IF(OR(L1222="",K1222=""),"",K1222*MIN(MAX(1,N(E1222)),MAX(0,INT((Config!$B$8-L1222)/30)+1)))</f>
        <v/>
      </c>
      <c r="O1222" s="29">
        <f>IF(J1222="","",J1222-N(N1222))</f>
        <v/>
      </c>
      <c r="P1222" s="27">
        <f>IF(A1222="","",MONTH(A1222))</f>
        <v/>
      </c>
      <c r="Q1222" s="27">
        <f>IF(A1222="","",YEAR(A1222))</f>
        <v/>
      </c>
      <c r="R1222" s="27">
        <f>IF(L1222="","",IF(L1222&gt;Config!$B$8,"A cair",IF(N(G1222)&gt;=MIN(MAX(1,N(E1222)),MAX(0,INT((Config!$B$8-L1222)/30)+1)),IF(N(G1222)&gt;=MAX(1,N(E1222)),"Conferido","Conferido até aqui"),"A conferir")))</f>
        <v/>
      </c>
      <c r="S1222" s="51">
        <f>IF(R1222="A conferir",(Config!$B$8-L1222)*1000+N(F1222)/1000+ROW()/100000,0)</f>
        <v>0</v>
      </c>
      <c r="T1222" s="51">
        <f>IF(R1222="A conferir",N(N1222),0)</f>
        <v>0</v>
      </c>
      <c r="U1222" s="51">
        <f>IF(L1222="",0,L1222)</f>
        <v>0</v>
      </c>
      <c r="V1222" s="51">
        <f>IF(L1222="",0,MAX(1,N(E1222)))</f>
        <v>0</v>
      </c>
      <c r="W1222" s="51">
        <f>IF(K1222="",0,K1222)</f>
        <v>0</v>
      </c>
    </row>
    <row r="1223">
      <c r="A1223" s="49" t="n"/>
      <c r="B1223" s="41" t="n"/>
      <c r="C1223" s="41" t="n"/>
      <c r="D1223" s="42" t="n"/>
      <c r="E1223" s="42" t="n"/>
      <c r="F1223" s="50" t="n"/>
      <c r="G1223" s="42" t="n"/>
      <c r="H1223" s="30">
        <f>IF(D1223="","",IFERROR(INDEX(Config!$B$12:$B$15,MATCH(IF(AND(D1223="Cartão de crédito",N(E1223)&gt;1),"Cartão de crédito parcelado",D1223),Config!$A$12:$A$15,0)),0)+IF(AND(Config!$B$17="Sim",LEFT(D1223,17)="Cartão de crédito"),Config!$B$18*IFERROR(INDEX(Config!$C$12:$C$15,MATCH(IF(AND(D1223="Cartão de crédito",N(E1223)&gt;1),"Cartão de crédito parcelado",D1223),Config!$A$12:$A$15,0)),0)/30*MAX(1,N(E1223)),0))</f>
        <v/>
      </c>
      <c r="I1223" s="29">
        <f>IF(OR(D1223="",F1223=""),"",ROUND(F1223*H1223,2))</f>
        <v/>
      </c>
      <c r="J1223" s="29">
        <f>IF(I1223="","",F1223-I1223)</f>
        <v/>
      </c>
      <c r="K1223" s="29">
        <f>IF(J1223="","",J1223/MAX(1,N(E1223)))</f>
        <v/>
      </c>
      <c r="L1223" s="37">
        <f>IF(OR(D1223="",A1223=""),"",A1223+IF(AND(Config!$B$17="Sim",LEFT(D1223,17)="Cartão de crédito"),1,IFERROR(INDEX(Config!$C$12:$C$15,MATCH(IF(AND(D1223="Cartão de crédito",N(E1223)&gt;1),"Cartão de crédito parcelado",D1223),Config!$A$12:$A$15,0)),0)))</f>
        <v/>
      </c>
      <c r="M1223" s="37">
        <f>IF(L1223="","",IF(AND(Config!$B$17="Sim",LEFT(D1223,17)="Cartão de crédito"),L1223,L1223+30*(MAX(1,N(E1223))-1)))</f>
        <v/>
      </c>
      <c r="N1223" s="29">
        <f>IF(OR(L1223="",K1223=""),"",K1223*MIN(MAX(1,N(E1223)),MAX(0,INT((Config!$B$8-L1223)/30)+1)))</f>
        <v/>
      </c>
      <c r="O1223" s="29">
        <f>IF(J1223="","",J1223-N(N1223))</f>
        <v/>
      </c>
      <c r="P1223" s="27">
        <f>IF(A1223="","",MONTH(A1223))</f>
        <v/>
      </c>
      <c r="Q1223" s="27">
        <f>IF(A1223="","",YEAR(A1223))</f>
        <v/>
      </c>
      <c r="R1223" s="27">
        <f>IF(L1223="","",IF(L1223&gt;Config!$B$8,"A cair",IF(N(G1223)&gt;=MIN(MAX(1,N(E1223)),MAX(0,INT((Config!$B$8-L1223)/30)+1)),IF(N(G1223)&gt;=MAX(1,N(E1223)),"Conferido","Conferido até aqui"),"A conferir")))</f>
        <v/>
      </c>
      <c r="S1223" s="51">
        <f>IF(R1223="A conferir",(Config!$B$8-L1223)*1000+N(F1223)/1000+ROW()/100000,0)</f>
        <v>0</v>
      </c>
      <c r="T1223" s="51">
        <f>IF(R1223="A conferir",N(N1223),0)</f>
        <v>0</v>
      </c>
      <c r="U1223" s="51">
        <f>IF(L1223="",0,L1223)</f>
        <v>0</v>
      </c>
      <c r="V1223" s="51">
        <f>IF(L1223="",0,MAX(1,N(E1223)))</f>
        <v>0</v>
      </c>
      <c r="W1223" s="51">
        <f>IF(K1223="",0,K1223)</f>
        <v>0</v>
      </c>
    </row>
    <row r="1224">
      <c r="A1224" s="49" t="n"/>
      <c r="B1224" s="41" t="n"/>
      <c r="C1224" s="41" t="n"/>
      <c r="D1224" s="42" t="n"/>
      <c r="E1224" s="42" t="n"/>
      <c r="F1224" s="50" t="n"/>
      <c r="G1224" s="42" t="n"/>
      <c r="H1224" s="30">
        <f>IF(D1224="","",IFERROR(INDEX(Config!$B$12:$B$15,MATCH(IF(AND(D1224="Cartão de crédito",N(E1224)&gt;1),"Cartão de crédito parcelado",D1224),Config!$A$12:$A$15,0)),0)+IF(AND(Config!$B$17="Sim",LEFT(D1224,17)="Cartão de crédito"),Config!$B$18*IFERROR(INDEX(Config!$C$12:$C$15,MATCH(IF(AND(D1224="Cartão de crédito",N(E1224)&gt;1),"Cartão de crédito parcelado",D1224),Config!$A$12:$A$15,0)),0)/30*MAX(1,N(E1224)),0))</f>
        <v/>
      </c>
      <c r="I1224" s="29">
        <f>IF(OR(D1224="",F1224=""),"",ROUND(F1224*H1224,2))</f>
        <v/>
      </c>
      <c r="J1224" s="29">
        <f>IF(I1224="","",F1224-I1224)</f>
        <v/>
      </c>
      <c r="K1224" s="29">
        <f>IF(J1224="","",J1224/MAX(1,N(E1224)))</f>
        <v/>
      </c>
      <c r="L1224" s="37">
        <f>IF(OR(D1224="",A1224=""),"",A1224+IF(AND(Config!$B$17="Sim",LEFT(D1224,17)="Cartão de crédito"),1,IFERROR(INDEX(Config!$C$12:$C$15,MATCH(IF(AND(D1224="Cartão de crédito",N(E1224)&gt;1),"Cartão de crédito parcelado",D1224),Config!$A$12:$A$15,0)),0)))</f>
        <v/>
      </c>
      <c r="M1224" s="37">
        <f>IF(L1224="","",IF(AND(Config!$B$17="Sim",LEFT(D1224,17)="Cartão de crédito"),L1224,L1224+30*(MAX(1,N(E1224))-1)))</f>
        <v/>
      </c>
      <c r="N1224" s="29">
        <f>IF(OR(L1224="",K1224=""),"",K1224*MIN(MAX(1,N(E1224)),MAX(0,INT((Config!$B$8-L1224)/30)+1)))</f>
        <v/>
      </c>
      <c r="O1224" s="29">
        <f>IF(J1224="","",J1224-N(N1224))</f>
        <v/>
      </c>
      <c r="P1224" s="27">
        <f>IF(A1224="","",MONTH(A1224))</f>
        <v/>
      </c>
      <c r="Q1224" s="27">
        <f>IF(A1224="","",YEAR(A1224))</f>
        <v/>
      </c>
      <c r="R1224" s="27">
        <f>IF(L1224="","",IF(L1224&gt;Config!$B$8,"A cair",IF(N(G1224)&gt;=MIN(MAX(1,N(E1224)),MAX(0,INT((Config!$B$8-L1224)/30)+1)),IF(N(G1224)&gt;=MAX(1,N(E1224)),"Conferido","Conferido até aqui"),"A conferir")))</f>
        <v/>
      </c>
      <c r="S1224" s="51">
        <f>IF(R1224="A conferir",(Config!$B$8-L1224)*1000+N(F1224)/1000+ROW()/100000,0)</f>
        <v>0</v>
      </c>
      <c r="T1224" s="51">
        <f>IF(R1224="A conferir",N(N1224),0)</f>
        <v>0</v>
      </c>
      <c r="U1224" s="51">
        <f>IF(L1224="",0,L1224)</f>
        <v>0</v>
      </c>
      <c r="V1224" s="51">
        <f>IF(L1224="",0,MAX(1,N(E1224)))</f>
        <v>0</v>
      </c>
      <c r="W1224" s="51">
        <f>IF(K1224="",0,K1224)</f>
        <v>0</v>
      </c>
    </row>
    <row r="1225">
      <c r="A1225" s="49" t="n"/>
      <c r="B1225" s="41" t="n"/>
      <c r="C1225" s="41" t="n"/>
      <c r="D1225" s="42" t="n"/>
      <c r="E1225" s="42" t="n"/>
      <c r="F1225" s="50" t="n"/>
      <c r="G1225" s="42" t="n"/>
      <c r="H1225" s="30">
        <f>IF(D1225="","",IFERROR(INDEX(Config!$B$12:$B$15,MATCH(IF(AND(D1225="Cartão de crédito",N(E1225)&gt;1),"Cartão de crédito parcelado",D1225),Config!$A$12:$A$15,0)),0)+IF(AND(Config!$B$17="Sim",LEFT(D1225,17)="Cartão de crédito"),Config!$B$18*IFERROR(INDEX(Config!$C$12:$C$15,MATCH(IF(AND(D1225="Cartão de crédito",N(E1225)&gt;1),"Cartão de crédito parcelado",D1225),Config!$A$12:$A$15,0)),0)/30*MAX(1,N(E1225)),0))</f>
        <v/>
      </c>
      <c r="I1225" s="29">
        <f>IF(OR(D1225="",F1225=""),"",ROUND(F1225*H1225,2))</f>
        <v/>
      </c>
      <c r="J1225" s="29">
        <f>IF(I1225="","",F1225-I1225)</f>
        <v/>
      </c>
      <c r="K1225" s="29">
        <f>IF(J1225="","",J1225/MAX(1,N(E1225)))</f>
        <v/>
      </c>
      <c r="L1225" s="37">
        <f>IF(OR(D1225="",A1225=""),"",A1225+IF(AND(Config!$B$17="Sim",LEFT(D1225,17)="Cartão de crédito"),1,IFERROR(INDEX(Config!$C$12:$C$15,MATCH(IF(AND(D1225="Cartão de crédito",N(E1225)&gt;1),"Cartão de crédito parcelado",D1225),Config!$A$12:$A$15,0)),0)))</f>
        <v/>
      </c>
      <c r="M1225" s="37">
        <f>IF(L1225="","",IF(AND(Config!$B$17="Sim",LEFT(D1225,17)="Cartão de crédito"),L1225,L1225+30*(MAX(1,N(E1225))-1)))</f>
        <v/>
      </c>
      <c r="N1225" s="29">
        <f>IF(OR(L1225="",K1225=""),"",K1225*MIN(MAX(1,N(E1225)),MAX(0,INT((Config!$B$8-L1225)/30)+1)))</f>
        <v/>
      </c>
      <c r="O1225" s="29">
        <f>IF(J1225="","",J1225-N(N1225))</f>
        <v/>
      </c>
      <c r="P1225" s="27">
        <f>IF(A1225="","",MONTH(A1225))</f>
        <v/>
      </c>
      <c r="Q1225" s="27">
        <f>IF(A1225="","",YEAR(A1225))</f>
        <v/>
      </c>
      <c r="R1225" s="27">
        <f>IF(L1225="","",IF(L1225&gt;Config!$B$8,"A cair",IF(N(G1225)&gt;=MIN(MAX(1,N(E1225)),MAX(0,INT((Config!$B$8-L1225)/30)+1)),IF(N(G1225)&gt;=MAX(1,N(E1225)),"Conferido","Conferido até aqui"),"A conferir")))</f>
        <v/>
      </c>
      <c r="S1225" s="51">
        <f>IF(R1225="A conferir",(Config!$B$8-L1225)*1000+N(F1225)/1000+ROW()/100000,0)</f>
        <v>0</v>
      </c>
      <c r="T1225" s="51">
        <f>IF(R1225="A conferir",N(N1225),0)</f>
        <v>0</v>
      </c>
      <c r="U1225" s="51">
        <f>IF(L1225="",0,L1225)</f>
        <v>0</v>
      </c>
      <c r="V1225" s="51">
        <f>IF(L1225="",0,MAX(1,N(E1225)))</f>
        <v>0</v>
      </c>
      <c r="W1225" s="51">
        <f>IF(K1225="",0,K1225)</f>
        <v>0</v>
      </c>
    </row>
    <row r="1226">
      <c r="A1226" s="49" t="n"/>
      <c r="B1226" s="41" t="n"/>
      <c r="C1226" s="41" t="n"/>
      <c r="D1226" s="42" t="n"/>
      <c r="E1226" s="42" t="n"/>
      <c r="F1226" s="50" t="n"/>
      <c r="G1226" s="42" t="n"/>
      <c r="H1226" s="30">
        <f>IF(D1226="","",IFERROR(INDEX(Config!$B$12:$B$15,MATCH(IF(AND(D1226="Cartão de crédito",N(E1226)&gt;1),"Cartão de crédito parcelado",D1226),Config!$A$12:$A$15,0)),0)+IF(AND(Config!$B$17="Sim",LEFT(D1226,17)="Cartão de crédito"),Config!$B$18*IFERROR(INDEX(Config!$C$12:$C$15,MATCH(IF(AND(D1226="Cartão de crédito",N(E1226)&gt;1),"Cartão de crédito parcelado",D1226),Config!$A$12:$A$15,0)),0)/30*MAX(1,N(E1226)),0))</f>
        <v/>
      </c>
      <c r="I1226" s="29">
        <f>IF(OR(D1226="",F1226=""),"",ROUND(F1226*H1226,2))</f>
        <v/>
      </c>
      <c r="J1226" s="29">
        <f>IF(I1226="","",F1226-I1226)</f>
        <v/>
      </c>
      <c r="K1226" s="29">
        <f>IF(J1226="","",J1226/MAX(1,N(E1226)))</f>
        <v/>
      </c>
      <c r="L1226" s="37">
        <f>IF(OR(D1226="",A1226=""),"",A1226+IF(AND(Config!$B$17="Sim",LEFT(D1226,17)="Cartão de crédito"),1,IFERROR(INDEX(Config!$C$12:$C$15,MATCH(IF(AND(D1226="Cartão de crédito",N(E1226)&gt;1),"Cartão de crédito parcelado",D1226),Config!$A$12:$A$15,0)),0)))</f>
        <v/>
      </c>
      <c r="M1226" s="37">
        <f>IF(L1226="","",IF(AND(Config!$B$17="Sim",LEFT(D1226,17)="Cartão de crédito"),L1226,L1226+30*(MAX(1,N(E1226))-1)))</f>
        <v/>
      </c>
      <c r="N1226" s="29">
        <f>IF(OR(L1226="",K1226=""),"",K1226*MIN(MAX(1,N(E1226)),MAX(0,INT((Config!$B$8-L1226)/30)+1)))</f>
        <v/>
      </c>
      <c r="O1226" s="29">
        <f>IF(J1226="","",J1226-N(N1226))</f>
        <v/>
      </c>
      <c r="P1226" s="27">
        <f>IF(A1226="","",MONTH(A1226))</f>
        <v/>
      </c>
      <c r="Q1226" s="27">
        <f>IF(A1226="","",YEAR(A1226))</f>
        <v/>
      </c>
      <c r="R1226" s="27">
        <f>IF(L1226="","",IF(L1226&gt;Config!$B$8,"A cair",IF(N(G1226)&gt;=MIN(MAX(1,N(E1226)),MAX(0,INT((Config!$B$8-L1226)/30)+1)),IF(N(G1226)&gt;=MAX(1,N(E1226)),"Conferido","Conferido até aqui"),"A conferir")))</f>
        <v/>
      </c>
      <c r="S1226" s="51">
        <f>IF(R1226="A conferir",(Config!$B$8-L1226)*1000+N(F1226)/1000+ROW()/100000,0)</f>
        <v>0</v>
      </c>
      <c r="T1226" s="51">
        <f>IF(R1226="A conferir",N(N1226),0)</f>
        <v>0</v>
      </c>
      <c r="U1226" s="51">
        <f>IF(L1226="",0,L1226)</f>
        <v>0</v>
      </c>
      <c r="V1226" s="51">
        <f>IF(L1226="",0,MAX(1,N(E1226)))</f>
        <v>0</v>
      </c>
      <c r="W1226" s="51">
        <f>IF(K1226="",0,K1226)</f>
        <v>0</v>
      </c>
    </row>
    <row r="1227">
      <c r="A1227" s="49" t="n"/>
      <c r="B1227" s="41" t="n"/>
      <c r="C1227" s="41" t="n"/>
      <c r="D1227" s="42" t="n"/>
      <c r="E1227" s="42" t="n"/>
      <c r="F1227" s="50" t="n"/>
      <c r="G1227" s="42" t="n"/>
      <c r="H1227" s="30">
        <f>IF(D1227="","",IFERROR(INDEX(Config!$B$12:$B$15,MATCH(IF(AND(D1227="Cartão de crédito",N(E1227)&gt;1),"Cartão de crédito parcelado",D1227),Config!$A$12:$A$15,0)),0)+IF(AND(Config!$B$17="Sim",LEFT(D1227,17)="Cartão de crédito"),Config!$B$18*IFERROR(INDEX(Config!$C$12:$C$15,MATCH(IF(AND(D1227="Cartão de crédito",N(E1227)&gt;1),"Cartão de crédito parcelado",D1227),Config!$A$12:$A$15,0)),0)/30*MAX(1,N(E1227)),0))</f>
        <v/>
      </c>
      <c r="I1227" s="29">
        <f>IF(OR(D1227="",F1227=""),"",ROUND(F1227*H1227,2))</f>
        <v/>
      </c>
      <c r="J1227" s="29">
        <f>IF(I1227="","",F1227-I1227)</f>
        <v/>
      </c>
      <c r="K1227" s="29">
        <f>IF(J1227="","",J1227/MAX(1,N(E1227)))</f>
        <v/>
      </c>
      <c r="L1227" s="37">
        <f>IF(OR(D1227="",A1227=""),"",A1227+IF(AND(Config!$B$17="Sim",LEFT(D1227,17)="Cartão de crédito"),1,IFERROR(INDEX(Config!$C$12:$C$15,MATCH(IF(AND(D1227="Cartão de crédito",N(E1227)&gt;1),"Cartão de crédito parcelado",D1227),Config!$A$12:$A$15,0)),0)))</f>
        <v/>
      </c>
      <c r="M1227" s="37">
        <f>IF(L1227="","",IF(AND(Config!$B$17="Sim",LEFT(D1227,17)="Cartão de crédito"),L1227,L1227+30*(MAX(1,N(E1227))-1)))</f>
        <v/>
      </c>
      <c r="N1227" s="29">
        <f>IF(OR(L1227="",K1227=""),"",K1227*MIN(MAX(1,N(E1227)),MAX(0,INT((Config!$B$8-L1227)/30)+1)))</f>
        <v/>
      </c>
      <c r="O1227" s="29">
        <f>IF(J1227="","",J1227-N(N1227))</f>
        <v/>
      </c>
      <c r="P1227" s="27">
        <f>IF(A1227="","",MONTH(A1227))</f>
        <v/>
      </c>
      <c r="Q1227" s="27">
        <f>IF(A1227="","",YEAR(A1227))</f>
        <v/>
      </c>
      <c r="R1227" s="27">
        <f>IF(L1227="","",IF(L1227&gt;Config!$B$8,"A cair",IF(N(G1227)&gt;=MIN(MAX(1,N(E1227)),MAX(0,INT((Config!$B$8-L1227)/30)+1)),IF(N(G1227)&gt;=MAX(1,N(E1227)),"Conferido","Conferido até aqui"),"A conferir")))</f>
        <v/>
      </c>
      <c r="S1227" s="51">
        <f>IF(R1227="A conferir",(Config!$B$8-L1227)*1000+N(F1227)/1000+ROW()/100000,0)</f>
        <v>0</v>
      </c>
      <c r="T1227" s="51">
        <f>IF(R1227="A conferir",N(N1227),0)</f>
        <v>0</v>
      </c>
      <c r="U1227" s="51">
        <f>IF(L1227="",0,L1227)</f>
        <v>0</v>
      </c>
      <c r="V1227" s="51">
        <f>IF(L1227="",0,MAX(1,N(E1227)))</f>
        <v>0</v>
      </c>
      <c r="W1227" s="51">
        <f>IF(K1227="",0,K1227)</f>
        <v>0</v>
      </c>
    </row>
    <row r="1228">
      <c r="A1228" s="49" t="n"/>
      <c r="B1228" s="41" t="n"/>
      <c r="C1228" s="41" t="n"/>
      <c r="D1228" s="42" t="n"/>
      <c r="E1228" s="42" t="n"/>
      <c r="F1228" s="50" t="n"/>
      <c r="G1228" s="42" t="n"/>
      <c r="H1228" s="30">
        <f>IF(D1228="","",IFERROR(INDEX(Config!$B$12:$B$15,MATCH(IF(AND(D1228="Cartão de crédito",N(E1228)&gt;1),"Cartão de crédito parcelado",D1228),Config!$A$12:$A$15,0)),0)+IF(AND(Config!$B$17="Sim",LEFT(D1228,17)="Cartão de crédito"),Config!$B$18*IFERROR(INDEX(Config!$C$12:$C$15,MATCH(IF(AND(D1228="Cartão de crédito",N(E1228)&gt;1),"Cartão de crédito parcelado",D1228),Config!$A$12:$A$15,0)),0)/30*MAX(1,N(E1228)),0))</f>
        <v/>
      </c>
      <c r="I1228" s="29">
        <f>IF(OR(D1228="",F1228=""),"",ROUND(F1228*H1228,2))</f>
        <v/>
      </c>
      <c r="J1228" s="29">
        <f>IF(I1228="","",F1228-I1228)</f>
        <v/>
      </c>
      <c r="K1228" s="29">
        <f>IF(J1228="","",J1228/MAX(1,N(E1228)))</f>
        <v/>
      </c>
      <c r="L1228" s="37">
        <f>IF(OR(D1228="",A1228=""),"",A1228+IF(AND(Config!$B$17="Sim",LEFT(D1228,17)="Cartão de crédito"),1,IFERROR(INDEX(Config!$C$12:$C$15,MATCH(IF(AND(D1228="Cartão de crédito",N(E1228)&gt;1),"Cartão de crédito parcelado",D1228),Config!$A$12:$A$15,0)),0)))</f>
        <v/>
      </c>
      <c r="M1228" s="37">
        <f>IF(L1228="","",IF(AND(Config!$B$17="Sim",LEFT(D1228,17)="Cartão de crédito"),L1228,L1228+30*(MAX(1,N(E1228))-1)))</f>
        <v/>
      </c>
      <c r="N1228" s="29">
        <f>IF(OR(L1228="",K1228=""),"",K1228*MIN(MAX(1,N(E1228)),MAX(0,INT((Config!$B$8-L1228)/30)+1)))</f>
        <v/>
      </c>
      <c r="O1228" s="29">
        <f>IF(J1228="","",J1228-N(N1228))</f>
        <v/>
      </c>
      <c r="P1228" s="27">
        <f>IF(A1228="","",MONTH(A1228))</f>
        <v/>
      </c>
      <c r="Q1228" s="27">
        <f>IF(A1228="","",YEAR(A1228))</f>
        <v/>
      </c>
      <c r="R1228" s="27">
        <f>IF(L1228="","",IF(L1228&gt;Config!$B$8,"A cair",IF(N(G1228)&gt;=MIN(MAX(1,N(E1228)),MAX(0,INT((Config!$B$8-L1228)/30)+1)),IF(N(G1228)&gt;=MAX(1,N(E1228)),"Conferido","Conferido até aqui"),"A conferir")))</f>
        <v/>
      </c>
      <c r="S1228" s="51">
        <f>IF(R1228="A conferir",(Config!$B$8-L1228)*1000+N(F1228)/1000+ROW()/100000,0)</f>
        <v>0</v>
      </c>
      <c r="T1228" s="51">
        <f>IF(R1228="A conferir",N(N1228),0)</f>
        <v>0</v>
      </c>
      <c r="U1228" s="51">
        <f>IF(L1228="",0,L1228)</f>
        <v>0</v>
      </c>
      <c r="V1228" s="51">
        <f>IF(L1228="",0,MAX(1,N(E1228)))</f>
        <v>0</v>
      </c>
      <c r="W1228" s="51">
        <f>IF(K1228="",0,K1228)</f>
        <v>0</v>
      </c>
    </row>
    <row r="1229">
      <c r="A1229" s="49" t="n"/>
      <c r="B1229" s="41" t="n"/>
      <c r="C1229" s="41" t="n"/>
      <c r="D1229" s="42" t="n"/>
      <c r="E1229" s="42" t="n"/>
      <c r="F1229" s="50" t="n"/>
      <c r="G1229" s="42" t="n"/>
      <c r="H1229" s="30">
        <f>IF(D1229="","",IFERROR(INDEX(Config!$B$12:$B$15,MATCH(IF(AND(D1229="Cartão de crédito",N(E1229)&gt;1),"Cartão de crédito parcelado",D1229),Config!$A$12:$A$15,0)),0)+IF(AND(Config!$B$17="Sim",LEFT(D1229,17)="Cartão de crédito"),Config!$B$18*IFERROR(INDEX(Config!$C$12:$C$15,MATCH(IF(AND(D1229="Cartão de crédito",N(E1229)&gt;1),"Cartão de crédito parcelado",D1229),Config!$A$12:$A$15,0)),0)/30*MAX(1,N(E1229)),0))</f>
        <v/>
      </c>
      <c r="I1229" s="29">
        <f>IF(OR(D1229="",F1229=""),"",ROUND(F1229*H1229,2))</f>
        <v/>
      </c>
      <c r="J1229" s="29">
        <f>IF(I1229="","",F1229-I1229)</f>
        <v/>
      </c>
      <c r="K1229" s="29">
        <f>IF(J1229="","",J1229/MAX(1,N(E1229)))</f>
        <v/>
      </c>
      <c r="L1229" s="37">
        <f>IF(OR(D1229="",A1229=""),"",A1229+IF(AND(Config!$B$17="Sim",LEFT(D1229,17)="Cartão de crédito"),1,IFERROR(INDEX(Config!$C$12:$C$15,MATCH(IF(AND(D1229="Cartão de crédito",N(E1229)&gt;1),"Cartão de crédito parcelado",D1229),Config!$A$12:$A$15,0)),0)))</f>
        <v/>
      </c>
      <c r="M1229" s="37">
        <f>IF(L1229="","",IF(AND(Config!$B$17="Sim",LEFT(D1229,17)="Cartão de crédito"),L1229,L1229+30*(MAX(1,N(E1229))-1)))</f>
        <v/>
      </c>
      <c r="N1229" s="29">
        <f>IF(OR(L1229="",K1229=""),"",K1229*MIN(MAX(1,N(E1229)),MAX(0,INT((Config!$B$8-L1229)/30)+1)))</f>
        <v/>
      </c>
      <c r="O1229" s="29">
        <f>IF(J1229="","",J1229-N(N1229))</f>
        <v/>
      </c>
      <c r="P1229" s="27">
        <f>IF(A1229="","",MONTH(A1229))</f>
        <v/>
      </c>
      <c r="Q1229" s="27">
        <f>IF(A1229="","",YEAR(A1229))</f>
        <v/>
      </c>
      <c r="R1229" s="27">
        <f>IF(L1229="","",IF(L1229&gt;Config!$B$8,"A cair",IF(N(G1229)&gt;=MIN(MAX(1,N(E1229)),MAX(0,INT((Config!$B$8-L1229)/30)+1)),IF(N(G1229)&gt;=MAX(1,N(E1229)),"Conferido","Conferido até aqui"),"A conferir")))</f>
        <v/>
      </c>
      <c r="S1229" s="51">
        <f>IF(R1229="A conferir",(Config!$B$8-L1229)*1000+N(F1229)/1000+ROW()/100000,0)</f>
        <v>0</v>
      </c>
      <c r="T1229" s="51">
        <f>IF(R1229="A conferir",N(N1229),0)</f>
        <v>0</v>
      </c>
      <c r="U1229" s="51">
        <f>IF(L1229="",0,L1229)</f>
        <v>0</v>
      </c>
      <c r="V1229" s="51">
        <f>IF(L1229="",0,MAX(1,N(E1229)))</f>
        <v>0</v>
      </c>
      <c r="W1229" s="51">
        <f>IF(K1229="",0,K1229)</f>
        <v>0</v>
      </c>
    </row>
    <row r="1230">
      <c r="A1230" s="49" t="n"/>
      <c r="B1230" s="41" t="n"/>
      <c r="C1230" s="41" t="n"/>
      <c r="D1230" s="42" t="n"/>
      <c r="E1230" s="42" t="n"/>
      <c r="F1230" s="50" t="n"/>
      <c r="G1230" s="42" t="n"/>
      <c r="H1230" s="30">
        <f>IF(D1230="","",IFERROR(INDEX(Config!$B$12:$B$15,MATCH(IF(AND(D1230="Cartão de crédito",N(E1230)&gt;1),"Cartão de crédito parcelado",D1230),Config!$A$12:$A$15,0)),0)+IF(AND(Config!$B$17="Sim",LEFT(D1230,17)="Cartão de crédito"),Config!$B$18*IFERROR(INDEX(Config!$C$12:$C$15,MATCH(IF(AND(D1230="Cartão de crédito",N(E1230)&gt;1),"Cartão de crédito parcelado",D1230),Config!$A$12:$A$15,0)),0)/30*MAX(1,N(E1230)),0))</f>
        <v/>
      </c>
      <c r="I1230" s="29">
        <f>IF(OR(D1230="",F1230=""),"",ROUND(F1230*H1230,2))</f>
        <v/>
      </c>
      <c r="J1230" s="29">
        <f>IF(I1230="","",F1230-I1230)</f>
        <v/>
      </c>
      <c r="K1230" s="29">
        <f>IF(J1230="","",J1230/MAX(1,N(E1230)))</f>
        <v/>
      </c>
      <c r="L1230" s="37">
        <f>IF(OR(D1230="",A1230=""),"",A1230+IF(AND(Config!$B$17="Sim",LEFT(D1230,17)="Cartão de crédito"),1,IFERROR(INDEX(Config!$C$12:$C$15,MATCH(IF(AND(D1230="Cartão de crédito",N(E1230)&gt;1),"Cartão de crédito parcelado",D1230),Config!$A$12:$A$15,0)),0)))</f>
        <v/>
      </c>
      <c r="M1230" s="37">
        <f>IF(L1230="","",IF(AND(Config!$B$17="Sim",LEFT(D1230,17)="Cartão de crédito"),L1230,L1230+30*(MAX(1,N(E1230))-1)))</f>
        <v/>
      </c>
      <c r="N1230" s="29">
        <f>IF(OR(L1230="",K1230=""),"",K1230*MIN(MAX(1,N(E1230)),MAX(0,INT((Config!$B$8-L1230)/30)+1)))</f>
        <v/>
      </c>
      <c r="O1230" s="29">
        <f>IF(J1230="","",J1230-N(N1230))</f>
        <v/>
      </c>
      <c r="P1230" s="27">
        <f>IF(A1230="","",MONTH(A1230))</f>
        <v/>
      </c>
      <c r="Q1230" s="27">
        <f>IF(A1230="","",YEAR(A1230))</f>
        <v/>
      </c>
      <c r="R1230" s="27">
        <f>IF(L1230="","",IF(L1230&gt;Config!$B$8,"A cair",IF(N(G1230)&gt;=MIN(MAX(1,N(E1230)),MAX(0,INT((Config!$B$8-L1230)/30)+1)),IF(N(G1230)&gt;=MAX(1,N(E1230)),"Conferido","Conferido até aqui"),"A conferir")))</f>
        <v/>
      </c>
      <c r="S1230" s="51">
        <f>IF(R1230="A conferir",(Config!$B$8-L1230)*1000+N(F1230)/1000+ROW()/100000,0)</f>
        <v>0</v>
      </c>
      <c r="T1230" s="51">
        <f>IF(R1230="A conferir",N(N1230),0)</f>
        <v>0</v>
      </c>
      <c r="U1230" s="51">
        <f>IF(L1230="",0,L1230)</f>
        <v>0</v>
      </c>
      <c r="V1230" s="51">
        <f>IF(L1230="",0,MAX(1,N(E1230)))</f>
        <v>0</v>
      </c>
      <c r="W1230" s="51">
        <f>IF(K1230="",0,K1230)</f>
        <v>0</v>
      </c>
    </row>
    <row r="1231">
      <c r="A1231" s="49" t="n"/>
      <c r="B1231" s="41" t="n"/>
      <c r="C1231" s="41" t="n"/>
      <c r="D1231" s="42" t="n"/>
      <c r="E1231" s="42" t="n"/>
      <c r="F1231" s="50" t="n"/>
      <c r="G1231" s="42" t="n"/>
      <c r="H1231" s="30">
        <f>IF(D1231="","",IFERROR(INDEX(Config!$B$12:$B$15,MATCH(IF(AND(D1231="Cartão de crédito",N(E1231)&gt;1),"Cartão de crédito parcelado",D1231),Config!$A$12:$A$15,0)),0)+IF(AND(Config!$B$17="Sim",LEFT(D1231,17)="Cartão de crédito"),Config!$B$18*IFERROR(INDEX(Config!$C$12:$C$15,MATCH(IF(AND(D1231="Cartão de crédito",N(E1231)&gt;1),"Cartão de crédito parcelado",D1231),Config!$A$12:$A$15,0)),0)/30*MAX(1,N(E1231)),0))</f>
        <v/>
      </c>
      <c r="I1231" s="29">
        <f>IF(OR(D1231="",F1231=""),"",ROUND(F1231*H1231,2))</f>
        <v/>
      </c>
      <c r="J1231" s="29">
        <f>IF(I1231="","",F1231-I1231)</f>
        <v/>
      </c>
      <c r="K1231" s="29">
        <f>IF(J1231="","",J1231/MAX(1,N(E1231)))</f>
        <v/>
      </c>
      <c r="L1231" s="37">
        <f>IF(OR(D1231="",A1231=""),"",A1231+IF(AND(Config!$B$17="Sim",LEFT(D1231,17)="Cartão de crédito"),1,IFERROR(INDEX(Config!$C$12:$C$15,MATCH(IF(AND(D1231="Cartão de crédito",N(E1231)&gt;1),"Cartão de crédito parcelado",D1231),Config!$A$12:$A$15,0)),0)))</f>
        <v/>
      </c>
      <c r="M1231" s="37">
        <f>IF(L1231="","",IF(AND(Config!$B$17="Sim",LEFT(D1231,17)="Cartão de crédito"),L1231,L1231+30*(MAX(1,N(E1231))-1)))</f>
        <v/>
      </c>
      <c r="N1231" s="29">
        <f>IF(OR(L1231="",K1231=""),"",K1231*MIN(MAX(1,N(E1231)),MAX(0,INT((Config!$B$8-L1231)/30)+1)))</f>
        <v/>
      </c>
      <c r="O1231" s="29">
        <f>IF(J1231="","",J1231-N(N1231))</f>
        <v/>
      </c>
      <c r="P1231" s="27">
        <f>IF(A1231="","",MONTH(A1231))</f>
        <v/>
      </c>
      <c r="Q1231" s="27">
        <f>IF(A1231="","",YEAR(A1231))</f>
        <v/>
      </c>
      <c r="R1231" s="27">
        <f>IF(L1231="","",IF(L1231&gt;Config!$B$8,"A cair",IF(N(G1231)&gt;=MIN(MAX(1,N(E1231)),MAX(0,INT((Config!$B$8-L1231)/30)+1)),IF(N(G1231)&gt;=MAX(1,N(E1231)),"Conferido","Conferido até aqui"),"A conferir")))</f>
        <v/>
      </c>
      <c r="S1231" s="51">
        <f>IF(R1231="A conferir",(Config!$B$8-L1231)*1000+N(F1231)/1000+ROW()/100000,0)</f>
        <v>0</v>
      </c>
      <c r="T1231" s="51">
        <f>IF(R1231="A conferir",N(N1231),0)</f>
        <v>0</v>
      </c>
      <c r="U1231" s="51">
        <f>IF(L1231="",0,L1231)</f>
        <v>0</v>
      </c>
      <c r="V1231" s="51">
        <f>IF(L1231="",0,MAX(1,N(E1231)))</f>
        <v>0</v>
      </c>
      <c r="W1231" s="51">
        <f>IF(K1231="",0,K1231)</f>
        <v>0</v>
      </c>
    </row>
    <row r="1232">
      <c r="A1232" s="49" t="n"/>
      <c r="B1232" s="41" t="n"/>
      <c r="C1232" s="41" t="n"/>
      <c r="D1232" s="42" t="n"/>
      <c r="E1232" s="42" t="n"/>
      <c r="F1232" s="50" t="n"/>
      <c r="G1232" s="42" t="n"/>
      <c r="H1232" s="30">
        <f>IF(D1232="","",IFERROR(INDEX(Config!$B$12:$B$15,MATCH(IF(AND(D1232="Cartão de crédito",N(E1232)&gt;1),"Cartão de crédito parcelado",D1232),Config!$A$12:$A$15,0)),0)+IF(AND(Config!$B$17="Sim",LEFT(D1232,17)="Cartão de crédito"),Config!$B$18*IFERROR(INDEX(Config!$C$12:$C$15,MATCH(IF(AND(D1232="Cartão de crédito",N(E1232)&gt;1),"Cartão de crédito parcelado",D1232),Config!$A$12:$A$15,0)),0)/30*MAX(1,N(E1232)),0))</f>
        <v/>
      </c>
      <c r="I1232" s="29">
        <f>IF(OR(D1232="",F1232=""),"",ROUND(F1232*H1232,2))</f>
        <v/>
      </c>
      <c r="J1232" s="29">
        <f>IF(I1232="","",F1232-I1232)</f>
        <v/>
      </c>
      <c r="K1232" s="29">
        <f>IF(J1232="","",J1232/MAX(1,N(E1232)))</f>
        <v/>
      </c>
      <c r="L1232" s="37">
        <f>IF(OR(D1232="",A1232=""),"",A1232+IF(AND(Config!$B$17="Sim",LEFT(D1232,17)="Cartão de crédito"),1,IFERROR(INDEX(Config!$C$12:$C$15,MATCH(IF(AND(D1232="Cartão de crédito",N(E1232)&gt;1),"Cartão de crédito parcelado",D1232),Config!$A$12:$A$15,0)),0)))</f>
        <v/>
      </c>
      <c r="M1232" s="37">
        <f>IF(L1232="","",IF(AND(Config!$B$17="Sim",LEFT(D1232,17)="Cartão de crédito"),L1232,L1232+30*(MAX(1,N(E1232))-1)))</f>
        <v/>
      </c>
      <c r="N1232" s="29">
        <f>IF(OR(L1232="",K1232=""),"",K1232*MIN(MAX(1,N(E1232)),MAX(0,INT((Config!$B$8-L1232)/30)+1)))</f>
        <v/>
      </c>
      <c r="O1232" s="29">
        <f>IF(J1232="","",J1232-N(N1232))</f>
        <v/>
      </c>
      <c r="P1232" s="27">
        <f>IF(A1232="","",MONTH(A1232))</f>
        <v/>
      </c>
      <c r="Q1232" s="27">
        <f>IF(A1232="","",YEAR(A1232))</f>
        <v/>
      </c>
      <c r="R1232" s="27">
        <f>IF(L1232="","",IF(L1232&gt;Config!$B$8,"A cair",IF(N(G1232)&gt;=MIN(MAX(1,N(E1232)),MAX(0,INT((Config!$B$8-L1232)/30)+1)),IF(N(G1232)&gt;=MAX(1,N(E1232)),"Conferido","Conferido até aqui"),"A conferir")))</f>
        <v/>
      </c>
      <c r="S1232" s="51">
        <f>IF(R1232="A conferir",(Config!$B$8-L1232)*1000+N(F1232)/1000+ROW()/100000,0)</f>
        <v>0</v>
      </c>
      <c r="T1232" s="51">
        <f>IF(R1232="A conferir",N(N1232),0)</f>
        <v>0</v>
      </c>
      <c r="U1232" s="51">
        <f>IF(L1232="",0,L1232)</f>
        <v>0</v>
      </c>
      <c r="V1232" s="51">
        <f>IF(L1232="",0,MAX(1,N(E1232)))</f>
        <v>0</v>
      </c>
      <c r="W1232" s="51">
        <f>IF(K1232="",0,K1232)</f>
        <v>0</v>
      </c>
    </row>
    <row r="1233">
      <c r="A1233" s="49" t="n"/>
      <c r="B1233" s="41" t="n"/>
      <c r="C1233" s="41" t="n"/>
      <c r="D1233" s="42" t="n"/>
      <c r="E1233" s="42" t="n"/>
      <c r="F1233" s="50" t="n"/>
      <c r="G1233" s="42" t="n"/>
      <c r="H1233" s="30">
        <f>IF(D1233="","",IFERROR(INDEX(Config!$B$12:$B$15,MATCH(IF(AND(D1233="Cartão de crédito",N(E1233)&gt;1),"Cartão de crédito parcelado",D1233),Config!$A$12:$A$15,0)),0)+IF(AND(Config!$B$17="Sim",LEFT(D1233,17)="Cartão de crédito"),Config!$B$18*IFERROR(INDEX(Config!$C$12:$C$15,MATCH(IF(AND(D1233="Cartão de crédito",N(E1233)&gt;1),"Cartão de crédito parcelado",D1233),Config!$A$12:$A$15,0)),0)/30*MAX(1,N(E1233)),0))</f>
        <v/>
      </c>
      <c r="I1233" s="29">
        <f>IF(OR(D1233="",F1233=""),"",ROUND(F1233*H1233,2))</f>
        <v/>
      </c>
      <c r="J1233" s="29">
        <f>IF(I1233="","",F1233-I1233)</f>
        <v/>
      </c>
      <c r="K1233" s="29">
        <f>IF(J1233="","",J1233/MAX(1,N(E1233)))</f>
        <v/>
      </c>
      <c r="L1233" s="37">
        <f>IF(OR(D1233="",A1233=""),"",A1233+IF(AND(Config!$B$17="Sim",LEFT(D1233,17)="Cartão de crédito"),1,IFERROR(INDEX(Config!$C$12:$C$15,MATCH(IF(AND(D1233="Cartão de crédito",N(E1233)&gt;1),"Cartão de crédito parcelado",D1233),Config!$A$12:$A$15,0)),0)))</f>
        <v/>
      </c>
      <c r="M1233" s="37">
        <f>IF(L1233="","",IF(AND(Config!$B$17="Sim",LEFT(D1233,17)="Cartão de crédito"),L1233,L1233+30*(MAX(1,N(E1233))-1)))</f>
        <v/>
      </c>
      <c r="N1233" s="29">
        <f>IF(OR(L1233="",K1233=""),"",K1233*MIN(MAX(1,N(E1233)),MAX(0,INT((Config!$B$8-L1233)/30)+1)))</f>
        <v/>
      </c>
      <c r="O1233" s="29">
        <f>IF(J1233="","",J1233-N(N1233))</f>
        <v/>
      </c>
      <c r="P1233" s="27">
        <f>IF(A1233="","",MONTH(A1233))</f>
        <v/>
      </c>
      <c r="Q1233" s="27">
        <f>IF(A1233="","",YEAR(A1233))</f>
        <v/>
      </c>
      <c r="R1233" s="27">
        <f>IF(L1233="","",IF(L1233&gt;Config!$B$8,"A cair",IF(N(G1233)&gt;=MIN(MAX(1,N(E1233)),MAX(0,INT((Config!$B$8-L1233)/30)+1)),IF(N(G1233)&gt;=MAX(1,N(E1233)),"Conferido","Conferido até aqui"),"A conferir")))</f>
        <v/>
      </c>
      <c r="S1233" s="51">
        <f>IF(R1233="A conferir",(Config!$B$8-L1233)*1000+N(F1233)/1000+ROW()/100000,0)</f>
        <v>0</v>
      </c>
      <c r="T1233" s="51">
        <f>IF(R1233="A conferir",N(N1233),0)</f>
        <v>0</v>
      </c>
      <c r="U1233" s="51">
        <f>IF(L1233="",0,L1233)</f>
        <v>0</v>
      </c>
      <c r="V1233" s="51">
        <f>IF(L1233="",0,MAX(1,N(E1233)))</f>
        <v>0</v>
      </c>
      <c r="W1233" s="51">
        <f>IF(K1233="",0,K1233)</f>
        <v>0</v>
      </c>
    </row>
    <row r="1234">
      <c r="A1234" s="49" t="n"/>
      <c r="B1234" s="41" t="n"/>
      <c r="C1234" s="41" t="n"/>
      <c r="D1234" s="42" t="n"/>
      <c r="E1234" s="42" t="n"/>
      <c r="F1234" s="50" t="n"/>
      <c r="G1234" s="42" t="n"/>
      <c r="H1234" s="30">
        <f>IF(D1234="","",IFERROR(INDEX(Config!$B$12:$B$15,MATCH(IF(AND(D1234="Cartão de crédito",N(E1234)&gt;1),"Cartão de crédito parcelado",D1234),Config!$A$12:$A$15,0)),0)+IF(AND(Config!$B$17="Sim",LEFT(D1234,17)="Cartão de crédito"),Config!$B$18*IFERROR(INDEX(Config!$C$12:$C$15,MATCH(IF(AND(D1234="Cartão de crédito",N(E1234)&gt;1),"Cartão de crédito parcelado",D1234),Config!$A$12:$A$15,0)),0)/30*MAX(1,N(E1234)),0))</f>
        <v/>
      </c>
      <c r="I1234" s="29">
        <f>IF(OR(D1234="",F1234=""),"",ROUND(F1234*H1234,2))</f>
        <v/>
      </c>
      <c r="J1234" s="29">
        <f>IF(I1234="","",F1234-I1234)</f>
        <v/>
      </c>
      <c r="K1234" s="29">
        <f>IF(J1234="","",J1234/MAX(1,N(E1234)))</f>
        <v/>
      </c>
      <c r="L1234" s="37">
        <f>IF(OR(D1234="",A1234=""),"",A1234+IF(AND(Config!$B$17="Sim",LEFT(D1234,17)="Cartão de crédito"),1,IFERROR(INDEX(Config!$C$12:$C$15,MATCH(IF(AND(D1234="Cartão de crédito",N(E1234)&gt;1),"Cartão de crédito parcelado",D1234),Config!$A$12:$A$15,0)),0)))</f>
        <v/>
      </c>
      <c r="M1234" s="37">
        <f>IF(L1234="","",IF(AND(Config!$B$17="Sim",LEFT(D1234,17)="Cartão de crédito"),L1234,L1234+30*(MAX(1,N(E1234))-1)))</f>
        <v/>
      </c>
      <c r="N1234" s="29">
        <f>IF(OR(L1234="",K1234=""),"",K1234*MIN(MAX(1,N(E1234)),MAX(0,INT((Config!$B$8-L1234)/30)+1)))</f>
        <v/>
      </c>
      <c r="O1234" s="29">
        <f>IF(J1234="","",J1234-N(N1234))</f>
        <v/>
      </c>
      <c r="P1234" s="27">
        <f>IF(A1234="","",MONTH(A1234))</f>
        <v/>
      </c>
      <c r="Q1234" s="27">
        <f>IF(A1234="","",YEAR(A1234))</f>
        <v/>
      </c>
      <c r="R1234" s="27">
        <f>IF(L1234="","",IF(L1234&gt;Config!$B$8,"A cair",IF(N(G1234)&gt;=MIN(MAX(1,N(E1234)),MAX(0,INT((Config!$B$8-L1234)/30)+1)),IF(N(G1234)&gt;=MAX(1,N(E1234)),"Conferido","Conferido até aqui"),"A conferir")))</f>
        <v/>
      </c>
      <c r="S1234" s="51">
        <f>IF(R1234="A conferir",(Config!$B$8-L1234)*1000+N(F1234)/1000+ROW()/100000,0)</f>
        <v>0</v>
      </c>
      <c r="T1234" s="51">
        <f>IF(R1234="A conferir",N(N1234),0)</f>
        <v>0</v>
      </c>
      <c r="U1234" s="51">
        <f>IF(L1234="",0,L1234)</f>
        <v>0</v>
      </c>
      <c r="V1234" s="51">
        <f>IF(L1234="",0,MAX(1,N(E1234)))</f>
        <v>0</v>
      </c>
      <c r="W1234" s="51">
        <f>IF(K1234="",0,K1234)</f>
        <v>0</v>
      </c>
    </row>
    <row r="1235">
      <c r="A1235" s="49" t="n"/>
      <c r="B1235" s="41" t="n"/>
      <c r="C1235" s="41" t="n"/>
      <c r="D1235" s="42" t="n"/>
      <c r="E1235" s="42" t="n"/>
      <c r="F1235" s="50" t="n"/>
      <c r="G1235" s="42" t="n"/>
      <c r="H1235" s="30">
        <f>IF(D1235="","",IFERROR(INDEX(Config!$B$12:$B$15,MATCH(IF(AND(D1235="Cartão de crédito",N(E1235)&gt;1),"Cartão de crédito parcelado",D1235),Config!$A$12:$A$15,0)),0)+IF(AND(Config!$B$17="Sim",LEFT(D1235,17)="Cartão de crédito"),Config!$B$18*IFERROR(INDEX(Config!$C$12:$C$15,MATCH(IF(AND(D1235="Cartão de crédito",N(E1235)&gt;1),"Cartão de crédito parcelado",D1235),Config!$A$12:$A$15,0)),0)/30*MAX(1,N(E1235)),0))</f>
        <v/>
      </c>
      <c r="I1235" s="29">
        <f>IF(OR(D1235="",F1235=""),"",ROUND(F1235*H1235,2))</f>
        <v/>
      </c>
      <c r="J1235" s="29">
        <f>IF(I1235="","",F1235-I1235)</f>
        <v/>
      </c>
      <c r="K1235" s="29">
        <f>IF(J1235="","",J1235/MAX(1,N(E1235)))</f>
        <v/>
      </c>
      <c r="L1235" s="37">
        <f>IF(OR(D1235="",A1235=""),"",A1235+IF(AND(Config!$B$17="Sim",LEFT(D1235,17)="Cartão de crédito"),1,IFERROR(INDEX(Config!$C$12:$C$15,MATCH(IF(AND(D1235="Cartão de crédito",N(E1235)&gt;1),"Cartão de crédito parcelado",D1235),Config!$A$12:$A$15,0)),0)))</f>
        <v/>
      </c>
      <c r="M1235" s="37">
        <f>IF(L1235="","",IF(AND(Config!$B$17="Sim",LEFT(D1235,17)="Cartão de crédito"),L1235,L1235+30*(MAX(1,N(E1235))-1)))</f>
        <v/>
      </c>
      <c r="N1235" s="29">
        <f>IF(OR(L1235="",K1235=""),"",K1235*MIN(MAX(1,N(E1235)),MAX(0,INT((Config!$B$8-L1235)/30)+1)))</f>
        <v/>
      </c>
      <c r="O1235" s="29">
        <f>IF(J1235="","",J1235-N(N1235))</f>
        <v/>
      </c>
      <c r="P1235" s="27">
        <f>IF(A1235="","",MONTH(A1235))</f>
        <v/>
      </c>
      <c r="Q1235" s="27">
        <f>IF(A1235="","",YEAR(A1235))</f>
        <v/>
      </c>
      <c r="R1235" s="27">
        <f>IF(L1235="","",IF(L1235&gt;Config!$B$8,"A cair",IF(N(G1235)&gt;=MIN(MAX(1,N(E1235)),MAX(0,INT((Config!$B$8-L1235)/30)+1)),IF(N(G1235)&gt;=MAX(1,N(E1235)),"Conferido","Conferido até aqui"),"A conferir")))</f>
        <v/>
      </c>
      <c r="S1235" s="51">
        <f>IF(R1235="A conferir",(Config!$B$8-L1235)*1000+N(F1235)/1000+ROW()/100000,0)</f>
        <v>0</v>
      </c>
      <c r="T1235" s="51">
        <f>IF(R1235="A conferir",N(N1235),0)</f>
        <v>0</v>
      </c>
      <c r="U1235" s="51">
        <f>IF(L1235="",0,L1235)</f>
        <v>0</v>
      </c>
      <c r="V1235" s="51">
        <f>IF(L1235="",0,MAX(1,N(E1235)))</f>
        <v>0</v>
      </c>
      <c r="W1235" s="51">
        <f>IF(K1235="",0,K1235)</f>
        <v>0</v>
      </c>
    </row>
    <row r="1236">
      <c r="A1236" s="49" t="n"/>
      <c r="B1236" s="41" t="n"/>
      <c r="C1236" s="41" t="n"/>
      <c r="D1236" s="42" t="n"/>
      <c r="E1236" s="42" t="n"/>
      <c r="F1236" s="50" t="n"/>
      <c r="G1236" s="42" t="n"/>
      <c r="H1236" s="30">
        <f>IF(D1236="","",IFERROR(INDEX(Config!$B$12:$B$15,MATCH(IF(AND(D1236="Cartão de crédito",N(E1236)&gt;1),"Cartão de crédito parcelado",D1236),Config!$A$12:$A$15,0)),0)+IF(AND(Config!$B$17="Sim",LEFT(D1236,17)="Cartão de crédito"),Config!$B$18*IFERROR(INDEX(Config!$C$12:$C$15,MATCH(IF(AND(D1236="Cartão de crédito",N(E1236)&gt;1),"Cartão de crédito parcelado",D1236),Config!$A$12:$A$15,0)),0)/30*MAX(1,N(E1236)),0))</f>
        <v/>
      </c>
      <c r="I1236" s="29">
        <f>IF(OR(D1236="",F1236=""),"",ROUND(F1236*H1236,2))</f>
        <v/>
      </c>
      <c r="J1236" s="29">
        <f>IF(I1236="","",F1236-I1236)</f>
        <v/>
      </c>
      <c r="K1236" s="29">
        <f>IF(J1236="","",J1236/MAX(1,N(E1236)))</f>
        <v/>
      </c>
      <c r="L1236" s="37">
        <f>IF(OR(D1236="",A1236=""),"",A1236+IF(AND(Config!$B$17="Sim",LEFT(D1236,17)="Cartão de crédito"),1,IFERROR(INDEX(Config!$C$12:$C$15,MATCH(IF(AND(D1236="Cartão de crédito",N(E1236)&gt;1),"Cartão de crédito parcelado",D1236),Config!$A$12:$A$15,0)),0)))</f>
        <v/>
      </c>
      <c r="M1236" s="37">
        <f>IF(L1236="","",IF(AND(Config!$B$17="Sim",LEFT(D1236,17)="Cartão de crédito"),L1236,L1236+30*(MAX(1,N(E1236))-1)))</f>
        <v/>
      </c>
      <c r="N1236" s="29">
        <f>IF(OR(L1236="",K1236=""),"",K1236*MIN(MAX(1,N(E1236)),MAX(0,INT((Config!$B$8-L1236)/30)+1)))</f>
        <v/>
      </c>
      <c r="O1236" s="29">
        <f>IF(J1236="","",J1236-N(N1236))</f>
        <v/>
      </c>
      <c r="P1236" s="27">
        <f>IF(A1236="","",MONTH(A1236))</f>
        <v/>
      </c>
      <c r="Q1236" s="27">
        <f>IF(A1236="","",YEAR(A1236))</f>
        <v/>
      </c>
      <c r="R1236" s="27">
        <f>IF(L1236="","",IF(L1236&gt;Config!$B$8,"A cair",IF(N(G1236)&gt;=MIN(MAX(1,N(E1236)),MAX(0,INT((Config!$B$8-L1236)/30)+1)),IF(N(G1236)&gt;=MAX(1,N(E1236)),"Conferido","Conferido até aqui"),"A conferir")))</f>
        <v/>
      </c>
      <c r="S1236" s="51">
        <f>IF(R1236="A conferir",(Config!$B$8-L1236)*1000+N(F1236)/1000+ROW()/100000,0)</f>
        <v>0</v>
      </c>
      <c r="T1236" s="51">
        <f>IF(R1236="A conferir",N(N1236),0)</f>
        <v>0</v>
      </c>
      <c r="U1236" s="51">
        <f>IF(L1236="",0,L1236)</f>
        <v>0</v>
      </c>
      <c r="V1236" s="51">
        <f>IF(L1236="",0,MAX(1,N(E1236)))</f>
        <v>0</v>
      </c>
      <c r="W1236" s="51">
        <f>IF(K1236="",0,K1236)</f>
        <v>0</v>
      </c>
    </row>
    <row r="1237">
      <c r="A1237" s="49" t="n"/>
      <c r="B1237" s="41" t="n"/>
      <c r="C1237" s="41" t="n"/>
      <c r="D1237" s="42" t="n"/>
      <c r="E1237" s="42" t="n"/>
      <c r="F1237" s="50" t="n"/>
      <c r="G1237" s="42" t="n"/>
      <c r="H1237" s="30">
        <f>IF(D1237="","",IFERROR(INDEX(Config!$B$12:$B$15,MATCH(IF(AND(D1237="Cartão de crédito",N(E1237)&gt;1),"Cartão de crédito parcelado",D1237),Config!$A$12:$A$15,0)),0)+IF(AND(Config!$B$17="Sim",LEFT(D1237,17)="Cartão de crédito"),Config!$B$18*IFERROR(INDEX(Config!$C$12:$C$15,MATCH(IF(AND(D1237="Cartão de crédito",N(E1237)&gt;1),"Cartão de crédito parcelado",D1237),Config!$A$12:$A$15,0)),0)/30*MAX(1,N(E1237)),0))</f>
        <v/>
      </c>
      <c r="I1237" s="29">
        <f>IF(OR(D1237="",F1237=""),"",ROUND(F1237*H1237,2))</f>
        <v/>
      </c>
      <c r="J1237" s="29">
        <f>IF(I1237="","",F1237-I1237)</f>
        <v/>
      </c>
      <c r="K1237" s="29">
        <f>IF(J1237="","",J1237/MAX(1,N(E1237)))</f>
        <v/>
      </c>
      <c r="L1237" s="37">
        <f>IF(OR(D1237="",A1237=""),"",A1237+IF(AND(Config!$B$17="Sim",LEFT(D1237,17)="Cartão de crédito"),1,IFERROR(INDEX(Config!$C$12:$C$15,MATCH(IF(AND(D1237="Cartão de crédito",N(E1237)&gt;1),"Cartão de crédito parcelado",D1237),Config!$A$12:$A$15,0)),0)))</f>
        <v/>
      </c>
      <c r="M1237" s="37">
        <f>IF(L1237="","",IF(AND(Config!$B$17="Sim",LEFT(D1237,17)="Cartão de crédito"),L1237,L1237+30*(MAX(1,N(E1237))-1)))</f>
        <v/>
      </c>
      <c r="N1237" s="29">
        <f>IF(OR(L1237="",K1237=""),"",K1237*MIN(MAX(1,N(E1237)),MAX(0,INT((Config!$B$8-L1237)/30)+1)))</f>
        <v/>
      </c>
      <c r="O1237" s="29">
        <f>IF(J1237="","",J1237-N(N1237))</f>
        <v/>
      </c>
      <c r="P1237" s="27">
        <f>IF(A1237="","",MONTH(A1237))</f>
        <v/>
      </c>
      <c r="Q1237" s="27">
        <f>IF(A1237="","",YEAR(A1237))</f>
        <v/>
      </c>
      <c r="R1237" s="27">
        <f>IF(L1237="","",IF(L1237&gt;Config!$B$8,"A cair",IF(N(G1237)&gt;=MIN(MAX(1,N(E1237)),MAX(0,INT((Config!$B$8-L1237)/30)+1)),IF(N(G1237)&gt;=MAX(1,N(E1237)),"Conferido","Conferido até aqui"),"A conferir")))</f>
        <v/>
      </c>
      <c r="S1237" s="51">
        <f>IF(R1237="A conferir",(Config!$B$8-L1237)*1000+N(F1237)/1000+ROW()/100000,0)</f>
        <v>0</v>
      </c>
      <c r="T1237" s="51">
        <f>IF(R1237="A conferir",N(N1237),0)</f>
        <v>0</v>
      </c>
      <c r="U1237" s="51">
        <f>IF(L1237="",0,L1237)</f>
        <v>0</v>
      </c>
      <c r="V1237" s="51">
        <f>IF(L1237="",0,MAX(1,N(E1237)))</f>
        <v>0</v>
      </c>
      <c r="W1237" s="51">
        <f>IF(K1237="",0,K1237)</f>
        <v>0</v>
      </c>
    </row>
    <row r="1238">
      <c r="A1238" s="49" t="n"/>
      <c r="B1238" s="41" t="n"/>
      <c r="C1238" s="41" t="n"/>
      <c r="D1238" s="42" t="n"/>
      <c r="E1238" s="42" t="n"/>
      <c r="F1238" s="50" t="n"/>
      <c r="G1238" s="42" t="n"/>
      <c r="H1238" s="30">
        <f>IF(D1238="","",IFERROR(INDEX(Config!$B$12:$B$15,MATCH(IF(AND(D1238="Cartão de crédito",N(E1238)&gt;1),"Cartão de crédito parcelado",D1238),Config!$A$12:$A$15,0)),0)+IF(AND(Config!$B$17="Sim",LEFT(D1238,17)="Cartão de crédito"),Config!$B$18*IFERROR(INDEX(Config!$C$12:$C$15,MATCH(IF(AND(D1238="Cartão de crédito",N(E1238)&gt;1),"Cartão de crédito parcelado",D1238),Config!$A$12:$A$15,0)),0)/30*MAX(1,N(E1238)),0))</f>
        <v/>
      </c>
      <c r="I1238" s="29">
        <f>IF(OR(D1238="",F1238=""),"",ROUND(F1238*H1238,2))</f>
        <v/>
      </c>
      <c r="J1238" s="29">
        <f>IF(I1238="","",F1238-I1238)</f>
        <v/>
      </c>
      <c r="K1238" s="29">
        <f>IF(J1238="","",J1238/MAX(1,N(E1238)))</f>
        <v/>
      </c>
      <c r="L1238" s="37">
        <f>IF(OR(D1238="",A1238=""),"",A1238+IF(AND(Config!$B$17="Sim",LEFT(D1238,17)="Cartão de crédito"),1,IFERROR(INDEX(Config!$C$12:$C$15,MATCH(IF(AND(D1238="Cartão de crédito",N(E1238)&gt;1),"Cartão de crédito parcelado",D1238),Config!$A$12:$A$15,0)),0)))</f>
        <v/>
      </c>
      <c r="M1238" s="37">
        <f>IF(L1238="","",IF(AND(Config!$B$17="Sim",LEFT(D1238,17)="Cartão de crédito"),L1238,L1238+30*(MAX(1,N(E1238))-1)))</f>
        <v/>
      </c>
      <c r="N1238" s="29">
        <f>IF(OR(L1238="",K1238=""),"",K1238*MIN(MAX(1,N(E1238)),MAX(0,INT((Config!$B$8-L1238)/30)+1)))</f>
        <v/>
      </c>
      <c r="O1238" s="29">
        <f>IF(J1238="","",J1238-N(N1238))</f>
        <v/>
      </c>
      <c r="P1238" s="27">
        <f>IF(A1238="","",MONTH(A1238))</f>
        <v/>
      </c>
      <c r="Q1238" s="27">
        <f>IF(A1238="","",YEAR(A1238))</f>
        <v/>
      </c>
      <c r="R1238" s="27">
        <f>IF(L1238="","",IF(L1238&gt;Config!$B$8,"A cair",IF(N(G1238)&gt;=MIN(MAX(1,N(E1238)),MAX(0,INT((Config!$B$8-L1238)/30)+1)),IF(N(G1238)&gt;=MAX(1,N(E1238)),"Conferido","Conferido até aqui"),"A conferir")))</f>
        <v/>
      </c>
      <c r="S1238" s="51">
        <f>IF(R1238="A conferir",(Config!$B$8-L1238)*1000+N(F1238)/1000+ROW()/100000,0)</f>
        <v>0</v>
      </c>
      <c r="T1238" s="51">
        <f>IF(R1238="A conferir",N(N1238),0)</f>
        <v>0</v>
      </c>
      <c r="U1238" s="51">
        <f>IF(L1238="",0,L1238)</f>
        <v>0</v>
      </c>
      <c r="V1238" s="51">
        <f>IF(L1238="",0,MAX(1,N(E1238)))</f>
        <v>0</v>
      </c>
      <c r="W1238" s="51">
        <f>IF(K1238="",0,K1238)</f>
        <v>0</v>
      </c>
    </row>
    <row r="1239">
      <c r="A1239" s="49" t="n"/>
      <c r="B1239" s="41" t="n"/>
      <c r="C1239" s="41" t="n"/>
      <c r="D1239" s="42" t="n"/>
      <c r="E1239" s="42" t="n"/>
      <c r="F1239" s="50" t="n"/>
      <c r="G1239" s="42" t="n"/>
      <c r="H1239" s="30">
        <f>IF(D1239="","",IFERROR(INDEX(Config!$B$12:$B$15,MATCH(IF(AND(D1239="Cartão de crédito",N(E1239)&gt;1),"Cartão de crédito parcelado",D1239),Config!$A$12:$A$15,0)),0)+IF(AND(Config!$B$17="Sim",LEFT(D1239,17)="Cartão de crédito"),Config!$B$18*IFERROR(INDEX(Config!$C$12:$C$15,MATCH(IF(AND(D1239="Cartão de crédito",N(E1239)&gt;1),"Cartão de crédito parcelado",D1239),Config!$A$12:$A$15,0)),0)/30*MAX(1,N(E1239)),0))</f>
        <v/>
      </c>
      <c r="I1239" s="29">
        <f>IF(OR(D1239="",F1239=""),"",ROUND(F1239*H1239,2))</f>
        <v/>
      </c>
      <c r="J1239" s="29">
        <f>IF(I1239="","",F1239-I1239)</f>
        <v/>
      </c>
      <c r="K1239" s="29">
        <f>IF(J1239="","",J1239/MAX(1,N(E1239)))</f>
        <v/>
      </c>
      <c r="L1239" s="37">
        <f>IF(OR(D1239="",A1239=""),"",A1239+IF(AND(Config!$B$17="Sim",LEFT(D1239,17)="Cartão de crédito"),1,IFERROR(INDEX(Config!$C$12:$C$15,MATCH(IF(AND(D1239="Cartão de crédito",N(E1239)&gt;1),"Cartão de crédito parcelado",D1239),Config!$A$12:$A$15,0)),0)))</f>
        <v/>
      </c>
      <c r="M1239" s="37">
        <f>IF(L1239="","",IF(AND(Config!$B$17="Sim",LEFT(D1239,17)="Cartão de crédito"),L1239,L1239+30*(MAX(1,N(E1239))-1)))</f>
        <v/>
      </c>
      <c r="N1239" s="29">
        <f>IF(OR(L1239="",K1239=""),"",K1239*MIN(MAX(1,N(E1239)),MAX(0,INT((Config!$B$8-L1239)/30)+1)))</f>
        <v/>
      </c>
      <c r="O1239" s="29">
        <f>IF(J1239="","",J1239-N(N1239))</f>
        <v/>
      </c>
      <c r="P1239" s="27">
        <f>IF(A1239="","",MONTH(A1239))</f>
        <v/>
      </c>
      <c r="Q1239" s="27">
        <f>IF(A1239="","",YEAR(A1239))</f>
        <v/>
      </c>
      <c r="R1239" s="27">
        <f>IF(L1239="","",IF(L1239&gt;Config!$B$8,"A cair",IF(N(G1239)&gt;=MIN(MAX(1,N(E1239)),MAX(0,INT((Config!$B$8-L1239)/30)+1)),IF(N(G1239)&gt;=MAX(1,N(E1239)),"Conferido","Conferido até aqui"),"A conferir")))</f>
        <v/>
      </c>
      <c r="S1239" s="51">
        <f>IF(R1239="A conferir",(Config!$B$8-L1239)*1000+N(F1239)/1000+ROW()/100000,0)</f>
        <v>0</v>
      </c>
      <c r="T1239" s="51">
        <f>IF(R1239="A conferir",N(N1239),0)</f>
        <v>0</v>
      </c>
      <c r="U1239" s="51">
        <f>IF(L1239="",0,L1239)</f>
        <v>0</v>
      </c>
      <c r="V1239" s="51">
        <f>IF(L1239="",0,MAX(1,N(E1239)))</f>
        <v>0</v>
      </c>
      <c r="W1239" s="51">
        <f>IF(K1239="",0,K1239)</f>
        <v>0</v>
      </c>
    </row>
    <row r="1240">
      <c r="A1240" s="49" t="n"/>
      <c r="B1240" s="41" t="n"/>
      <c r="C1240" s="41" t="n"/>
      <c r="D1240" s="42" t="n"/>
      <c r="E1240" s="42" t="n"/>
      <c r="F1240" s="50" t="n"/>
      <c r="G1240" s="42" t="n"/>
      <c r="H1240" s="30">
        <f>IF(D1240="","",IFERROR(INDEX(Config!$B$12:$B$15,MATCH(IF(AND(D1240="Cartão de crédito",N(E1240)&gt;1),"Cartão de crédito parcelado",D1240),Config!$A$12:$A$15,0)),0)+IF(AND(Config!$B$17="Sim",LEFT(D1240,17)="Cartão de crédito"),Config!$B$18*IFERROR(INDEX(Config!$C$12:$C$15,MATCH(IF(AND(D1240="Cartão de crédito",N(E1240)&gt;1),"Cartão de crédito parcelado",D1240),Config!$A$12:$A$15,0)),0)/30*MAX(1,N(E1240)),0))</f>
        <v/>
      </c>
      <c r="I1240" s="29">
        <f>IF(OR(D1240="",F1240=""),"",ROUND(F1240*H1240,2))</f>
        <v/>
      </c>
      <c r="J1240" s="29">
        <f>IF(I1240="","",F1240-I1240)</f>
        <v/>
      </c>
      <c r="K1240" s="29">
        <f>IF(J1240="","",J1240/MAX(1,N(E1240)))</f>
        <v/>
      </c>
      <c r="L1240" s="37">
        <f>IF(OR(D1240="",A1240=""),"",A1240+IF(AND(Config!$B$17="Sim",LEFT(D1240,17)="Cartão de crédito"),1,IFERROR(INDEX(Config!$C$12:$C$15,MATCH(IF(AND(D1240="Cartão de crédito",N(E1240)&gt;1),"Cartão de crédito parcelado",D1240),Config!$A$12:$A$15,0)),0)))</f>
        <v/>
      </c>
      <c r="M1240" s="37">
        <f>IF(L1240="","",IF(AND(Config!$B$17="Sim",LEFT(D1240,17)="Cartão de crédito"),L1240,L1240+30*(MAX(1,N(E1240))-1)))</f>
        <v/>
      </c>
      <c r="N1240" s="29">
        <f>IF(OR(L1240="",K1240=""),"",K1240*MIN(MAX(1,N(E1240)),MAX(0,INT((Config!$B$8-L1240)/30)+1)))</f>
        <v/>
      </c>
      <c r="O1240" s="29">
        <f>IF(J1240="","",J1240-N(N1240))</f>
        <v/>
      </c>
      <c r="P1240" s="27">
        <f>IF(A1240="","",MONTH(A1240))</f>
        <v/>
      </c>
      <c r="Q1240" s="27">
        <f>IF(A1240="","",YEAR(A1240))</f>
        <v/>
      </c>
      <c r="R1240" s="27">
        <f>IF(L1240="","",IF(L1240&gt;Config!$B$8,"A cair",IF(N(G1240)&gt;=MIN(MAX(1,N(E1240)),MAX(0,INT((Config!$B$8-L1240)/30)+1)),IF(N(G1240)&gt;=MAX(1,N(E1240)),"Conferido","Conferido até aqui"),"A conferir")))</f>
        <v/>
      </c>
      <c r="S1240" s="51">
        <f>IF(R1240="A conferir",(Config!$B$8-L1240)*1000+N(F1240)/1000+ROW()/100000,0)</f>
        <v>0</v>
      </c>
      <c r="T1240" s="51">
        <f>IF(R1240="A conferir",N(N1240),0)</f>
        <v>0</v>
      </c>
      <c r="U1240" s="51">
        <f>IF(L1240="",0,L1240)</f>
        <v>0</v>
      </c>
      <c r="V1240" s="51">
        <f>IF(L1240="",0,MAX(1,N(E1240)))</f>
        <v>0</v>
      </c>
      <c r="W1240" s="51">
        <f>IF(K1240="",0,K1240)</f>
        <v>0</v>
      </c>
    </row>
    <row r="1241">
      <c r="A1241" s="49" t="n"/>
      <c r="B1241" s="41" t="n"/>
      <c r="C1241" s="41" t="n"/>
      <c r="D1241" s="42" t="n"/>
      <c r="E1241" s="42" t="n"/>
      <c r="F1241" s="50" t="n"/>
      <c r="G1241" s="42" t="n"/>
      <c r="H1241" s="30">
        <f>IF(D1241="","",IFERROR(INDEX(Config!$B$12:$B$15,MATCH(IF(AND(D1241="Cartão de crédito",N(E1241)&gt;1),"Cartão de crédito parcelado",D1241),Config!$A$12:$A$15,0)),0)+IF(AND(Config!$B$17="Sim",LEFT(D1241,17)="Cartão de crédito"),Config!$B$18*IFERROR(INDEX(Config!$C$12:$C$15,MATCH(IF(AND(D1241="Cartão de crédito",N(E1241)&gt;1),"Cartão de crédito parcelado",D1241),Config!$A$12:$A$15,0)),0)/30*MAX(1,N(E1241)),0))</f>
        <v/>
      </c>
      <c r="I1241" s="29">
        <f>IF(OR(D1241="",F1241=""),"",ROUND(F1241*H1241,2))</f>
        <v/>
      </c>
      <c r="J1241" s="29">
        <f>IF(I1241="","",F1241-I1241)</f>
        <v/>
      </c>
      <c r="K1241" s="29">
        <f>IF(J1241="","",J1241/MAX(1,N(E1241)))</f>
        <v/>
      </c>
      <c r="L1241" s="37">
        <f>IF(OR(D1241="",A1241=""),"",A1241+IF(AND(Config!$B$17="Sim",LEFT(D1241,17)="Cartão de crédito"),1,IFERROR(INDEX(Config!$C$12:$C$15,MATCH(IF(AND(D1241="Cartão de crédito",N(E1241)&gt;1),"Cartão de crédito parcelado",D1241),Config!$A$12:$A$15,0)),0)))</f>
        <v/>
      </c>
      <c r="M1241" s="37">
        <f>IF(L1241="","",IF(AND(Config!$B$17="Sim",LEFT(D1241,17)="Cartão de crédito"),L1241,L1241+30*(MAX(1,N(E1241))-1)))</f>
        <v/>
      </c>
      <c r="N1241" s="29">
        <f>IF(OR(L1241="",K1241=""),"",K1241*MIN(MAX(1,N(E1241)),MAX(0,INT((Config!$B$8-L1241)/30)+1)))</f>
        <v/>
      </c>
      <c r="O1241" s="29">
        <f>IF(J1241="","",J1241-N(N1241))</f>
        <v/>
      </c>
      <c r="P1241" s="27">
        <f>IF(A1241="","",MONTH(A1241))</f>
        <v/>
      </c>
      <c r="Q1241" s="27">
        <f>IF(A1241="","",YEAR(A1241))</f>
        <v/>
      </c>
      <c r="R1241" s="27">
        <f>IF(L1241="","",IF(L1241&gt;Config!$B$8,"A cair",IF(N(G1241)&gt;=MIN(MAX(1,N(E1241)),MAX(0,INT((Config!$B$8-L1241)/30)+1)),IF(N(G1241)&gt;=MAX(1,N(E1241)),"Conferido","Conferido até aqui"),"A conferir")))</f>
        <v/>
      </c>
      <c r="S1241" s="51">
        <f>IF(R1241="A conferir",(Config!$B$8-L1241)*1000+N(F1241)/1000+ROW()/100000,0)</f>
        <v>0</v>
      </c>
      <c r="T1241" s="51">
        <f>IF(R1241="A conferir",N(N1241),0)</f>
        <v>0</v>
      </c>
      <c r="U1241" s="51">
        <f>IF(L1241="",0,L1241)</f>
        <v>0</v>
      </c>
      <c r="V1241" s="51">
        <f>IF(L1241="",0,MAX(1,N(E1241)))</f>
        <v>0</v>
      </c>
      <c r="W1241" s="51">
        <f>IF(K1241="",0,K1241)</f>
        <v>0</v>
      </c>
    </row>
    <row r="1242">
      <c r="A1242" s="49" t="n"/>
      <c r="B1242" s="41" t="n"/>
      <c r="C1242" s="41" t="n"/>
      <c r="D1242" s="42" t="n"/>
      <c r="E1242" s="42" t="n"/>
      <c r="F1242" s="50" t="n"/>
      <c r="G1242" s="42" t="n"/>
      <c r="H1242" s="30">
        <f>IF(D1242="","",IFERROR(INDEX(Config!$B$12:$B$15,MATCH(IF(AND(D1242="Cartão de crédito",N(E1242)&gt;1),"Cartão de crédito parcelado",D1242),Config!$A$12:$A$15,0)),0)+IF(AND(Config!$B$17="Sim",LEFT(D1242,17)="Cartão de crédito"),Config!$B$18*IFERROR(INDEX(Config!$C$12:$C$15,MATCH(IF(AND(D1242="Cartão de crédito",N(E1242)&gt;1),"Cartão de crédito parcelado",D1242),Config!$A$12:$A$15,0)),0)/30*MAX(1,N(E1242)),0))</f>
        <v/>
      </c>
      <c r="I1242" s="29">
        <f>IF(OR(D1242="",F1242=""),"",ROUND(F1242*H1242,2))</f>
        <v/>
      </c>
      <c r="J1242" s="29">
        <f>IF(I1242="","",F1242-I1242)</f>
        <v/>
      </c>
      <c r="K1242" s="29">
        <f>IF(J1242="","",J1242/MAX(1,N(E1242)))</f>
        <v/>
      </c>
      <c r="L1242" s="37">
        <f>IF(OR(D1242="",A1242=""),"",A1242+IF(AND(Config!$B$17="Sim",LEFT(D1242,17)="Cartão de crédito"),1,IFERROR(INDEX(Config!$C$12:$C$15,MATCH(IF(AND(D1242="Cartão de crédito",N(E1242)&gt;1),"Cartão de crédito parcelado",D1242),Config!$A$12:$A$15,0)),0)))</f>
        <v/>
      </c>
      <c r="M1242" s="37">
        <f>IF(L1242="","",IF(AND(Config!$B$17="Sim",LEFT(D1242,17)="Cartão de crédito"),L1242,L1242+30*(MAX(1,N(E1242))-1)))</f>
        <v/>
      </c>
      <c r="N1242" s="29">
        <f>IF(OR(L1242="",K1242=""),"",K1242*MIN(MAX(1,N(E1242)),MAX(0,INT((Config!$B$8-L1242)/30)+1)))</f>
        <v/>
      </c>
      <c r="O1242" s="29">
        <f>IF(J1242="","",J1242-N(N1242))</f>
        <v/>
      </c>
      <c r="P1242" s="27">
        <f>IF(A1242="","",MONTH(A1242))</f>
        <v/>
      </c>
      <c r="Q1242" s="27">
        <f>IF(A1242="","",YEAR(A1242))</f>
        <v/>
      </c>
      <c r="R1242" s="27">
        <f>IF(L1242="","",IF(L1242&gt;Config!$B$8,"A cair",IF(N(G1242)&gt;=MIN(MAX(1,N(E1242)),MAX(0,INT((Config!$B$8-L1242)/30)+1)),IF(N(G1242)&gt;=MAX(1,N(E1242)),"Conferido","Conferido até aqui"),"A conferir")))</f>
        <v/>
      </c>
      <c r="S1242" s="51">
        <f>IF(R1242="A conferir",(Config!$B$8-L1242)*1000+N(F1242)/1000+ROW()/100000,0)</f>
        <v>0</v>
      </c>
      <c r="T1242" s="51">
        <f>IF(R1242="A conferir",N(N1242),0)</f>
        <v>0</v>
      </c>
      <c r="U1242" s="51">
        <f>IF(L1242="",0,L1242)</f>
        <v>0</v>
      </c>
      <c r="V1242" s="51">
        <f>IF(L1242="",0,MAX(1,N(E1242)))</f>
        <v>0</v>
      </c>
      <c r="W1242" s="51">
        <f>IF(K1242="",0,K1242)</f>
        <v>0</v>
      </c>
    </row>
    <row r="1243">
      <c r="A1243" s="49" t="n"/>
      <c r="B1243" s="41" t="n"/>
      <c r="C1243" s="41" t="n"/>
      <c r="D1243" s="42" t="n"/>
      <c r="E1243" s="42" t="n"/>
      <c r="F1243" s="50" t="n"/>
      <c r="G1243" s="42" t="n"/>
      <c r="H1243" s="30">
        <f>IF(D1243="","",IFERROR(INDEX(Config!$B$12:$B$15,MATCH(IF(AND(D1243="Cartão de crédito",N(E1243)&gt;1),"Cartão de crédito parcelado",D1243),Config!$A$12:$A$15,0)),0)+IF(AND(Config!$B$17="Sim",LEFT(D1243,17)="Cartão de crédito"),Config!$B$18*IFERROR(INDEX(Config!$C$12:$C$15,MATCH(IF(AND(D1243="Cartão de crédito",N(E1243)&gt;1),"Cartão de crédito parcelado",D1243),Config!$A$12:$A$15,0)),0)/30*MAX(1,N(E1243)),0))</f>
        <v/>
      </c>
      <c r="I1243" s="29">
        <f>IF(OR(D1243="",F1243=""),"",ROUND(F1243*H1243,2))</f>
        <v/>
      </c>
      <c r="J1243" s="29">
        <f>IF(I1243="","",F1243-I1243)</f>
        <v/>
      </c>
      <c r="K1243" s="29">
        <f>IF(J1243="","",J1243/MAX(1,N(E1243)))</f>
        <v/>
      </c>
      <c r="L1243" s="37">
        <f>IF(OR(D1243="",A1243=""),"",A1243+IF(AND(Config!$B$17="Sim",LEFT(D1243,17)="Cartão de crédito"),1,IFERROR(INDEX(Config!$C$12:$C$15,MATCH(IF(AND(D1243="Cartão de crédito",N(E1243)&gt;1),"Cartão de crédito parcelado",D1243),Config!$A$12:$A$15,0)),0)))</f>
        <v/>
      </c>
      <c r="M1243" s="37">
        <f>IF(L1243="","",IF(AND(Config!$B$17="Sim",LEFT(D1243,17)="Cartão de crédito"),L1243,L1243+30*(MAX(1,N(E1243))-1)))</f>
        <v/>
      </c>
      <c r="N1243" s="29">
        <f>IF(OR(L1243="",K1243=""),"",K1243*MIN(MAX(1,N(E1243)),MAX(0,INT((Config!$B$8-L1243)/30)+1)))</f>
        <v/>
      </c>
      <c r="O1243" s="29">
        <f>IF(J1243="","",J1243-N(N1243))</f>
        <v/>
      </c>
      <c r="P1243" s="27">
        <f>IF(A1243="","",MONTH(A1243))</f>
        <v/>
      </c>
      <c r="Q1243" s="27">
        <f>IF(A1243="","",YEAR(A1243))</f>
        <v/>
      </c>
      <c r="R1243" s="27">
        <f>IF(L1243="","",IF(L1243&gt;Config!$B$8,"A cair",IF(N(G1243)&gt;=MIN(MAX(1,N(E1243)),MAX(0,INT((Config!$B$8-L1243)/30)+1)),IF(N(G1243)&gt;=MAX(1,N(E1243)),"Conferido","Conferido até aqui"),"A conferir")))</f>
        <v/>
      </c>
      <c r="S1243" s="51">
        <f>IF(R1243="A conferir",(Config!$B$8-L1243)*1000+N(F1243)/1000+ROW()/100000,0)</f>
        <v>0</v>
      </c>
      <c r="T1243" s="51">
        <f>IF(R1243="A conferir",N(N1243),0)</f>
        <v>0</v>
      </c>
      <c r="U1243" s="51">
        <f>IF(L1243="",0,L1243)</f>
        <v>0</v>
      </c>
      <c r="V1243" s="51">
        <f>IF(L1243="",0,MAX(1,N(E1243)))</f>
        <v>0</v>
      </c>
      <c r="W1243" s="51">
        <f>IF(K1243="",0,K1243)</f>
        <v>0</v>
      </c>
    </row>
    <row r="1244">
      <c r="A1244" s="49" t="n"/>
      <c r="B1244" s="41" t="n"/>
      <c r="C1244" s="41" t="n"/>
      <c r="D1244" s="42" t="n"/>
      <c r="E1244" s="42" t="n"/>
      <c r="F1244" s="50" t="n"/>
      <c r="G1244" s="42" t="n"/>
      <c r="H1244" s="30">
        <f>IF(D1244="","",IFERROR(INDEX(Config!$B$12:$B$15,MATCH(IF(AND(D1244="Cartão de crédito",N(E1244)&gt;1),"Cartão de crédito parcelado",D1244),Config!$A$12:$A$15,0)),0)+IF(AND(Config!$B$17="Sim",LEFT(D1244,17)="Cartão de crédito"),Config!$B$18*IFERROR(INDEX(Config!$C$12:$C$15,MATCH(IF(AND(D1244="Cartão de crédito",N(E1244)&gt;1),"Cartão de crédito parcelado",D1244),Config!$A$12:$A$15,0)),0)/30*MAX(1,N(E1244)),0))</f>
        <v/>
      </c>
      <c r="I1244" s="29">
        <f>IF(OR(D1244="",F1244=""),"",ROUND(F1244*H1244,2))</f>
        <v/>
      </c>
      <c r="J1244" s="29">
        <f>IF(I1244="","",F1244-I1244)</f>
        <v/>
      </c>
      <c r="K1244" s="29">
        <f>IF(J1244="","",J1244/MAX(1,N(E1244)))</f>
        <v/>
      </c>
      <c r="L1244" s="37">
        <f>IF(OR(D1244="",A1244=""),"",A1244+IF(AND(Config!$B$17="Sim",LEFT(D1244,17)="Cartão de crédito"),1,IFERROR(INDEX(Config!$C$12:$C$15,MATCH(IF(AND(D1244="Cartão de crédito",N(E1244)&gt;1),"Cartão de crédito parcelado",D1244),Config!$A$12:$A$15,0)),0)))</f>
        <v/>
      </c>
      <c r="M1244" s="37">
        <f>IF(L1244="","",IF(AND(Config!$B$17="Sim",LEFT(D1244,17)="Cartão de crédito"),L1244,L1244+30*(MAX(1,N(E1244))-1)))</f>
        <v/>
      </c>
      <c r="N1244" s="29">
        <f>IF(OR(L1244="",K1244=""),"",K1244*MIN(MAX(1,N(E1244)),MAX(0,INT((Config!$B$8-L1244)/30)+1)))</f>
        <v/>
      </c>
      <c r="O1244" s="29">
        <f>IF(J1244="","",J1244-N(N1244))</f>
        <v/>
      </c>
      <c r="P1244" s="27">
        <f>IF(A1244="","",MONTH(A1244))</f>
        <v/>
      </c>
      <c r="Q1244" s="27">
        <f>IF(A1244="","",YEAR(A1244))</f>
        <v/>
      </c>
      <c r="R1244" s="27">
        <f>IF(L1244="","",IF(L1244&gt;Config!$B$8,"A cair",IF(N(G1244)&gt;=MIN(MAX(1,N(E1244)),MAX(0,INT((Config!$B$8-L1244)/30)+1)),IF(N(G1244)&gt;=MAX(1,N(E1244)),"Conferido","Conferido até aqui"),"A conferir")))</f>
        <v/>
      </c>
      <c r="S1244" s="51">
        <f>IF(R1244="A conferir",(Config!$B$8-L1244)*1000+N(F1244)/1000+ROW()/100000,0)</f>
        <v>0</v>
      </c>
      <c r="T1244" s="51">
        <f>IF(R1244="A conferir",N(N1244),0)</f>
        <v>0</v>
      </c>
      <c r="U1244" s="51">
        <f>IF(L1244="",0,L1244)</f>
        <v>0</v>
      </c>
      <c r="V1244" s="51">
        <f>IF(L1244="",0,MAX(1,N(E1244)))</f>
        <v>0</v>
      </c>
      <c r="W1244" s="51">
        <f>IF(K1244="",0,K1244)</f>
        <v>0</v>
      </c>
    </row>
    <row r="1245">
      <c r="A1245" s="49" t="n"/>
      <c r="B1245" s="41" t="n"/>
      <c r="C1245" s="41" t="n"/>
      <c r="D1245" s="42" t="n"/>
      <c r="E1245" s="42" t="n"/>
      <c r="F1245" s="50" t="n"/>
      <c r="G1245" s="42" t="n"/>
      <c r="H1245" s="30">
        <f>IF(D1245="","",IFERROR(INDEX(Config!$B$12:$B$15,MATCH(IF(AND(D1245="Cartão de crédito",N(E1245)&gt;1),"Cartão de crédito parcelado",D1245),Config!$A$12:$A$15,0)),0)+IF(AND(Config!$B$17="Sim",LEFT(D1245,17)="Cartão de crédito"),Config!$B$18*IFERROR(INDEX(Config!$C$12:$C$15,MATCH(IF(AND(D1245="Cartão de crédito",N(E1245)&gt;1),"Cartão de crédito parcelado",D1245),Config!$A$12:$A$15,0)),0)/30*MAX(1,N(E1245)),0))</f>
        <v/>
      </c>
      <c r="I1245" s="29">
        <f>IF(OR(D1245="",F1245=""),"",ROUND(F1245*H1245,2))</f>
        <v/>
      </c>
      <c r="J1245" s="29">
        <f>IF(I1245="","",F1245-I1245)</f>
        <v/>
      </c>
      <c r="K1245" s="29">
        <f>IF(J1245="","",J1245/MAX(1,N(E1245)))</f>
        <v/>
      </c>
      <c r="L1245" s="37">
        <f>IF(OR(D1245="",A1245=""),"",A1245+IF(AND(Config!$B$17="Sim",LEFT(D1245,17)="Cartão de crédito"),1,IFERROR(INDEX(Config!$C$12:$C$15,MATCH(IF(AND(D1245="Cartão de crédito",N(E1245)&gt;1),"Cartão de crédito parcelado",D1245),Config!$A$12:$A$15,0)),0)))</f>
        <v/>
      </c>
      <c r="M1245" s="37">
        <f>IF(L1245="","",IF(AND(Config!$B$17="Sim",LEFT(D1245,17)="Cartão de crédito"),L1245,L1245+30*(MAX(1,N(E1245))-1)))</f>
        <v/>
      </c>
      <c r="N1245" s="29">
        <f>IF(OR(L1245="",K1245=""),"",K1245*MIN(MAX(1,N(E1245)),MAX(0,INT((Config!$B$8-L1245)/30)+1)))</f>
        <v/>
      </c>
      <c r="O1245" s="29">
        <f>IF(J1245="","",J1245-N(N1245))</f>
        <v/>
      </c>
      <c r="P1245" s="27">
        <f>IF(A1245="","",MONTH(A1245))</f>
        <v/>
      </c>
      <c r="Q1245" s="27">
        <f>IF(A1245="","",YEAR(A1245))</f>
        <v/>
      </c>
      <c r="R1245" s="27">
        <f>IF(L1245="","",IF(L1245&gt;Config!$B$8,"A cair",IF(N(G1245)&gt;=MIN(MAX(1,N(E1245)),MAX(0,INT((Config!$B$8-L1245)/30)+1)),IF(N(G1245)&gt;=MAX(1,N(E1245)),"Conferido","Conferido até aqui"),"A conferir")))</f>
        <v/>
      </c>
      <c r="S1245" s="51">
        <f>IF(R1245="A conferir",(Config!$B$8-L1245)*1000+N(F1245)/1000+ROW()/100000,0)</f>
        <v>0</v>
      </c>
      <c r="T1245" s="51">
        <f>IF(R1245="A conferir",N(N1245),0)</f>
        <v>0</v>
      </c>
      <c r="U1245" s="51">
        <f>IF(L1245="",0,L1245)</f>
        <v>0</v>
      </c>
      <c r="V1245" s="51">
        <f>IF(L1245="",0,MAX(1,N(E1245)))</f>
        <v>0</v>
      </c>
      <c r="W1245" s="51">
        <f>IF(K1245="",0,K1245)</f>
        <v>0</v>
      </c>
    </row>
    <row r="1246">
      <c r="A1246" s="49" t="n"/>
      <c r="B1246" s="41" t="n"/>
      <c r="C1246" s="41" t="n"/>
      <c r="D1246" s="42" t="n"/>
      <c r="E1246" s="42" t="n"/>
      <c r="F1246" s="50" t="n"/>
      <c r="G1246" s="42" t="n"/>
      <c r="H1246" s="30">
        <f>IF(D1246="","",IFERROR(INDEX(Config!$B$12:$B$15,MATCH(IF(AND(D1246="Cartão de crédito",N(E1246)&gt;1),"Cartão de crédito parcelado",D1246),Config!$A$12:$A$15,0)),0)+IF(AND(Config!$B$17="Sim",LEFT(D1246,17)="Cartão de crédito"),Config!$B$18*IFERROR(INDEX(Config!$C$12:$C$15,MATCH(IF(AND(D1246="Cartão de crédito",N(E1246)&gt;1),"Cartão de crédito parcelado",D1246),Config!$A$12:$A$15,0)),0)/30*MAX(1,N(E1246)),0))</f>
        <v/>
      </c>
      <c r="I1246" s="29">
        <f>IF(OR(D1246="",F1246=""),"",ROUND(F1246*H1246,2))</f>
        <v/>
      </c>
      <c r="J1246" s="29">
        <f>IF(I1246="","",F1246-I1246)</f>
        <v/>
      </c>
      <c r="K1246" s="29">
        <f>IF(J1246="","",J1246/MAX(1,N(E1246)))</f>
        <v/>
      </c>
      <c r="L1246" s="37">
        <f>IF(OR(D1246="",A1246=""),"",A1246+IF(AND(Config!$B$17="Sim",LEFT(D1246,17)="Cartão de crédito"),1,IFERROR(INDEX(Config!$C$12:$C$15,MATCH(IF(AND(D1246="Cartão de crédito",N(E1246)&gt;1),"Cartão de crédito parcelado",D1246),Config!$A$12:$A$15,0)),0)))</f>
        <v/>
      </c>
      <c r="M1246" s="37">
        <f>IF(L1246="","",IF(AND(Config!$B$17="Sim",LEFT(D1246,17)="Cartão de crédito"),L1246,L1246+30*(MAX(1,N(E1246))-1)))</f>
        <v/>
      </c>
      <c r="N1246" s="29">
        <f>IF(OR(L1246="",K1246=""),"",K1246*MIN(MAX(1,N(E1246)),MAX(0,INT((Config!$B$8-L1246)/30)+1)))</f>
        <v/>
      </c>
      <c r="O1246" s="29">
        <f>IF(J1246="","",J1246-N(N1246))</f>
        <v/>
      </c>
      <c r="P1246" s="27">
        <f>IF(A1246="","",MONTH(A1246))</f>
        <v/>
      </c>
      <c r="Q1246" s="27">
        <f>IF(A1246="","",YEAR(A1246))</f>
        <v/>
      </c>
      <c r="R1246" s="27">
        <f>IF(L1246="","",IF(L1246&gt;Config!$B$8,"A cair",IF(N(G1246)&gt;=MIN(MAX(1,N(E1246)),MAX(0,INT((Config!$B$8-L1246)/30)+1)),IF(N(G1246)&gt;=MAX(1,N(E1246)),"Conferido","Conferido até aqui"),"A conferir")))</f>
        <v/>
      </c>
      <c r="S1246" s="51">
        <f>IF(R1246="A conferir",(Config!$B$8-L1246)*1000+N(F1246)/1000+ROW()/100000,0)</f>
        <v>0</v>
      </c>
      <c r="T1246" s="51">
        <f>IF(R1246="A conferir",N(N1246),0)</f>
        <v>0</v>
      </c>
      <c r="U1246" s="51">
        <f>IF(L1246="",0,L1246)</f>
        <v>0</v>
      </c>
      <c r="V1246" s="51">
        <f>IF(L1246="",0,MAX(1,N(E1246)))</f>
        <v>0</v>
      </c>
      <c r="W1246" s="51">
        <f>IF(K1246="",0,K1246)</f>
        <v>0</v>
      </c>
    </row>
    <row r="1247">
      <c r="A1247" s="49" t="n"/>
      <c r="B1247" s="41" t="n"/>
      <c r="C1247" s="41" t="n"/>
      <c r="D1247" s="42" t="n"/>
      <c r="E1247" s="42" t="n"/>
      <c r="F1247" s="50" t="n"/>
      <c r="G1247" s="42" t="n"/>
      <c r="H1247" s="30">
        <f>IF(D1247="","",IFERROR(INDEX(Config!$B$12:$B$15,MATCH(IF(AND(D1247="Cartão de crédito",N(E1247)&gt;1),"Cartão de crédito parcelado",D1247),Config!$A$12:$A$15,0)),0)+IF(AND(Config!$B$17="Sim",LEFT(D1247,17)="Cartão de crédito"),Config!$B$18*IFERROR(INDEX(Config!$C$12:$C$15,MATCH(IF(AND(D1247="Cartão de crédito",N(E1247)&gt;1),"Cartão de crédito parcelado",D1247),Config!$A$12:$A$15,0)),0)/30*MAX(1,N(E1247)),0))</f>
        <v/>
      </c>
      <c r="I1247" s="29">
        <f>IF(OR(D1247="",F1247=""),"",ROUND(F1247*H1247,2))</f>
        <v/>
      </c>
      <c r="J1247" s="29">
        <f>IF(I1247="","",F1247-I1247)</f>
        <v/>
      </c>
      <c r="K1247" s="29">
        <f>IF(J1247="","",J1247/MAX(1,N(E1247)))</f>
        <v/>
      </c>
      <c r="L1247" s="37">
        <f>IF(OR(D1247="",A1247=""),"",A1247+IF(AND(Config!$B$17="Sim",LEFT(D1247,17)="Cartão de crédito"),1,IFERROR(INDEX(Config!$C$12:$C$15,MATCH(IF(AND(D1247="Cartão de crédito",N(E1247)&gt;1),"Cartão de crédito parcelado",D1247),Config!$A$12:$A$15,0)),0)))</f>
        <v/>
      </c>
      <c r="M1247" s="37">
        <f>IF(L1247="","",IF(AND(Config!$B$17="Sim",LEFT(D1247,17)="Cartão de crédito"),L1247,L1247+30*(MAX(1,N(E1247))-1)))</f>
        <v/>
      </c>
      <c r="N1247" s="29">
        <f>IF(OR(L1247="",K1247=""),"",K1247*MIN(MAX(1,N(E1247)),MAX(0,INT((Config!$B$8-L1247)/30)+1)))</f>
        <v/>
      </c>
      <c r="O1247" s="29">
        <f>IF(J1247="","",J1247-N(N1247))</f>
        <v/>
      </c>
      <c r="P1247" s="27">
        <f>IF(A1247="","",MONTH(A1247))</f>
        <v/>
      </c>
      <c r="Q1247" s="27">
        <f>IF(A1247="","",YEAR(A1247))</f>
        <v/>
      </c>
      <c r="R1247" s="27">
        <f>IF(L1247="","",IF(L1247&gt;Config!$B$8,"A cair",IF(N(G1247)&gt;=MIN(MAX(1,N(E1247)),MAX(0,INT((Config!$B$8-L1247)/30)+1)),IF(N(G1247)&gt;=MAX(1,N(E1247)),"Conferido","Conferido até aqui"),"A conferir")))</f>
        <v/>
      </c>
      <c r="S1247" s="51">
        <f>IF(R1247="A conferir",(Config!$B$8-L1247)*1000+N(F1247)/1000+ROW()/100000,0)</f>
        <v>0</v>
      </c>
      <c r="T1247" s="51">
        <f>IF(R1247="A conferir",N(N1247),0)</f>
        <v>0</v>
      </c>
      <c r="U1247" s="51">
        <f>IF(L1247="",0,L1247)</f>
        <v>0</v>
      </c>
      <c r="V1247" s="51">
        <f>IF(L1247="",0,MAX(1,N(E1247)))</f>
        <v>0</v>
      </c>
      <c r="W1247" s="51">
        <f>IF(K1247="",0,K1247)</f>
        <v>0</v>
      </c>
    </row>
    <row r="1248">
      <c r="A1248" s="49" t="n"/>
      <c r="B1248" s="41" t="n"/>
      <c r="C1248" s="41" t="n"/>
      <c r="D1248" s="42" t="n"/>
      <c r="E1248" s="42" t="n"/>
      <c r="F1248" s="50" t="n"/>
      <c r="G1248" s="42" t="n"/>
      <c r="H1248" s="30">
        <f>IF(D1248="","",IFERROR(INDEX(Config!$B$12:$B$15,MATCH(IF(AND(D1248="Cartão de crédito",N(E1248)&gt;1),"Cartão de crédito parcelado",D1248),Config!$A$12:$A$15,0)),0)+IF(AND(Config!$B$17="Sim",LEFT(D1248,17)="Cartão de crédito"),Config!$B$18*IFERROR(INDEX(Config!$C$12:$C$15,MATCH(IF(AND(D1248="Cartão de crédito",N(E1248)&gt;1),"Cartão de crédito parcelado",D1248),Config!$A$12:$A$15,0)),0)/30*MAX(1,N(E1248)),0))</f>
        <v/>
      </c>
      <c r="I1248" s="29">
        <f>IF(OR(D1248="",F1248=""),"",ROUND(F1248*H1248,2))</f>
        <v/>
      </c>
      <c r="J1248" s="29">
        <f>IF(I1248="","",F1248-I1248)</f>
        <v/>
      </c>
      <c r="K1248" s="29">
        <f>IF(J1248="","",J1248/MAX(1,N(E1248)))</f>
        <v/>
      </c>
      <c r="L1248" s="37">
        <f>IF(OR(D1248="",A1248=""),"",A1248+IF(AND(Config!$B$17="Sim",LEFT(D1248,17)="Cartão de crédito"),1,IFERROR(INDEX(Config!$C$12:$C$15,MATCH(IF(AND(D1248="Cartão de crédito",N(E1248)&gt;1),"Cartão de crédito parcelado",D1248),Config!$A$12:$A$15,0)),0)))</f>
        <v/>
      </c>
      <c r="M1248" s="37">
        <f>IF(L1248="","",IF(AND(Config!$B$17="Sim",LEFT(D1248,17)="Cartão de crédito"),L1248,L1248+30*(MAX(1,N(E1248))-1)))</f>
        <v/>
      </c>
      <c r="N1248" s="29">
        <f>IF(OR(L1248="",K1248=""),"",K1248*MIN(MAX(1,N(E1248)),MAX(0,INT((Config!$B$8-L1248)/30)+1)))</f>
        <v/>
      </c>
      <c r="O1248" s="29">
        <f>IF(J1248="","",J1248-N(N1248))</f>
        <v/>
      </c>
      <c r="P1248" s="27">
        <f>IF(A1248="","",MONTH(A1248))</f>
        <v/>
      </c>
      <c r="Q1248" s="27">
        <f>IF(A1248="","",YEAR(A1248))</f>
        <v/>
      </c>
      <c r="R1248" s="27">
        <f>IF(L1248="","",IF(L1248&gt;Config!$B$8,"A cair",IF(N(G1248)&gt;=MIN(MAX(1,N(E1248)),MAX(0,INT((Config!$B$8-L1248)/30)+1)),IF(N(G1248)&gt;=MAX(1,N(E1248)),"Conferido","Conferido até aqui"),"A conferir")))</f>
        <v/>
      </c>
      <c r="S1248" s="51">
        <f>IF(R1248="A conferir",(Config!$B$8-L1248)*1000+N(F1248)/1000+ROW()/100000,0)</f>
        <v>0</v>
      </c>
      <c r="T1248" s="51">
        <f>IF(R1248="A conferir",N(N1248),0)</f>
        <v>0</v>
      </c>
      <c r="U1248" s="51">
        <f>IF(L1248="",0,L1248)</f>
        <v>0</v>
      </c>
      <c r="V1248" s="51">
        <f>IF(L1248="",0,MAX(1,N(E1248)))</f>
        <v>0</v>
      </c>
      <c r="W1248" s="51">
        <f>IF(K1248="",0,K1248)</f>
        <v>0</v>
      </c>
    </row>
    <row r="1249">
      <c r="A1249" s="49" t="n"/>
      <c r="B1249" s="41" t="n"/>
      <c r="C1249" s="41" t="n"/>
      <c r="D1249" s="42" t="n"/>
      <c r="E1249" s="42" t="n"/>
      <c r="F1249" s="50" t="n"/>
      <c r="G1249" s="42" t="n"/>
      <c r="H1249" s="30">
        <f>IF(D1249="","",IFERROR(INDEX(Config!$B$12:$B$15,MATCH(IF(AND(D1249="Cartão de crédito",N(E1249)&gt;1),"Cartão de crédito parcelado",D1249),Config!$A$12:$A$15,0)),0)+IF(AND(Config!$B$17="Sim",LEFT(D1249,17)="Cartão de crédito"),Config!$B$18*IFERROR(INDEX(Config!$C$12:$C$15,MATCH(IF(AND(D1249="Cartão de crédito",N(E1249)&gt;1),"Cartão de crédito parcelado",D1249),Config!$A$12:$A$15,0)),0)/30*MAX(1,N(E1249)),0))</f>
        <v/>
      </c>
      <c r="I1249" s="29">
        <f>IF(OR(D1249="",F1249=""),"",ROUND(F1249*H1249,2))</f>
        <v/>
      </c>
      <c r="J1249" s="29">
        <f>IF(I1249="","",F1249-I1249)</f>
        <v/>
      </c>
      <c r="K1249" s="29">
        <f>IF(J1249="","",J1249/MAX(1,N(E1249)))</f>
        <v/>
      </c>
      <c r="L1249" s="37">
        <f>IF(OR(D1249="",A1249=""),"",A1249+IF(AND(Config!$B$17="Sim",LEFT(D1249,17)="Cartão de crédito"),1,IFERROR(INDEX(Config!$C$12:$C$15,MATCH(IF(AND(D1249="Cartão de crédito",N(E1249)&gt;1),"Cartão de crédito parcelado",D1249),Config!$A$12:$A$15,0)),0)))</f>
        <v/>
      </c>
      <c r="M1249" s="37">
        <f>IF(L1249="","",IF(AND(Config!$B$17="Sim",LEFT(D1249,17)="Cartão de crédito"),L1249,L1249+30*(MAX(1,N(E1249))-1)))</f>
        <v/>
      </c>
      <c r="N1249" s="29">
        <f>IF(OR(L1249="",K1249=""),"",K1249*MIN(MAX(1,N(E1249)),MAX(0,INT((Config!$B$8-L1249)/30)+1)))</f>
        <v/>
      </c>
      <c r="O1249" s="29">
        <f>IF(J1249="","",J1249-N(N1249))</f>
        <v/>
      </c>
      <c r="P1249" s="27">
        <f>IF(A1249="","",MONTH(A1249))</f>
        <v/>
      </c>
      <c r="Q1249" s="27">
        <f>IF(A1249="","",YEAR(A1249))</f>
        <v/>
      </c>
      <c r="R1249" s="27">
        <f>IF(L1249="","",IF(L1249&gt;Config!$B$8,"A cair",IF(N(G1249)&gt;=MIN(MAX(1,N(E1249)),MAX(0,INT((Config!$B$8-L1249)/30)+1)),IF(N(G1249)&gt;=MAX(1,N(E1249)),"Conferido","Conferido até aqui"),"A conferir")))</f>
        <v/>
      </c>
      <c r="S1249" s="51">
        <f>IF(R1249="A conferir",(Config!$B$8-L1249)*1000+N(F1249)/1000+ROW()/100000,0)</f>
        <v>0</v>
      </c>
      <c r="T1249" s="51">
        <f>IF(R1249="A conferir",N(N1249),0)</f>
        <v>0</v>
      </c>
      <c r="U1249" s="51">
        <f>IF(L1249="",0,L1249)</f>
        <v>0</v>
      </c>
      <c r="V1249" s="51">
        <f>IF(L1249="",0,MAX(1,N(E1249)))</f>
        <v>0</v>
      </c>
      <c r="W1249" s="51">
        <f>IF(K1249="",0,K1249)</f>
        <v>0</v>
      </c>
    </row>
    <row r="1250">
      <c r="A1250" s="49" t="n"/>
      <c r="B1250" s="41" t="n"/>
      <c r="C1250" s="41" t="n"/>
      <c r="D1250" s="42" t="n"/>
      <c r="E1250" s="42" t="n"/>
      <c r="F1250" s="50" t="n"/>
      <c r="G1250" s="42" t="n"/>
      <c r="H1250" s="30">
        <f>IF(D1250="","",IFERROR(INDEX(Config!$B$12:$B$15,MATCH(IF(AND(D1250="Cartão de crédito",N(E1250)&gt;1),"Cartão de crédito parcelado",D1250),Config!$A$12:$A$15,0)),0)+IF(AND(Config!$B$17="Sim",LEFT(D1250,17)="Cartão de crédito"),Config!$B$18*IFERROR(INDEX(Config!$C$12:$C$15,MATCH(IF(AND(D1250="Cartão de crédito",N(E1250)&gt;1),"Cartão de crédito parcelado",D1250),Config!$A$12:$A$15,0)),0)/30*MAX(1,N(E1250)),0))</f>
        <v/>
      </c>
      <c r="I1250" s="29">
        <f>IF(OR(D1250="",F1250=""),"",ROUND(F1250*H1250,2))</f>
        <v/>
      </c>
      <c r="J1250" s="29">
        <f>IF(I1250="","",F1250-I1250)</f>
        <v/>
      </c>
      <c r="K1250" s="29">
        <f>IF(J1250="","",J1250/MAX(1,N(E1250)))</f>
        <v/>
      </c>
      <c r="L1250" s="37">
        <f>IF(OR(D1250="",A1250=""),"",A1250+IF(AND(Config!$B$17="Sim",LEFT(D1250,17)="Cartão de crédito"),1,IFERROR(INDEX(Config!$C$12:$C$15,MATCH(IF(AND(D1250="Cartão de crédito",N(E1250)&gt;1),"Cartão de crédito parcelado",D1250),Config!$A$12:$A$15,0)),0)))</f>
        <v/>
      </c>
      <c r="M1250" s="37">
        <f>IF(L1250="","",IF(AND(Config!$B$17="Sim",LEFT(D1250,17)="Cartão de crédito"),L1250,L1250+30*(MAX(1,N(E1250))-1)))</f>
        <v/>
      </c>
      <c r="N1250" s="29">
        <f>IF(OR(L1250="",K1250=""),"",K1250*MIN(MAX(1,N(E1250)),MAX(0,INT((Config!$B$8-L1250)/30)+1)))</f>
        <v/>
      </c>
      <c r="O1250" s="29">
        <f>IF(J1250="","",J1250-N(N1250))</f>
        <v/>
      </c>
      <c r="P1250" s="27">
        <f>IF(A1250="","",MONTH(A1250))</f>
        <v/>
      </c>
      <c r="Q1250" s="27">
        <f>IF(A1250="","",YEAR(A1250))</f>
        <v/>
      </c>
      <c r="R1250" s="27">
        <f>IF(L1250="","",IF(L1250&gt;Config!$B$8,"A cair",IF(N(G1250)&gt;=MIN(MAX(1,N(E1250)),MAX(0,INT((Config!$B$8-L1250)/30)+1)),IF(N(G1250)&gt;=MAX(1,N(E1250)),"Conferido","Conferido até aqui"),"A conferir")))</f>
        <v/>
      </c>
      <c r="S1250" s="51">
        <f>IF(R1250="A conferir",(Config!$B$8-L1250)*1000+N(F1250)/1000+ROW()/100000,0)</f>
        <v>0</v>
      </c>
      <c r="T1250" s="51">
        <f>IF(R1250="A conferir",N(N1250),0)</f>
        <v>0</v>
      </c>
      <c r="U1250" s="51">
        <f>IF(L1250="",0,L1250)</f>
        <v>0</v>
      </c>
      <c r="V1250" s="51">
        <f>IF(L1250="",0,MAX(1,N(E1250)))</f>
        <v>0</v>
      </c>
      <c r="W1250" s="51">
        <f>IF(K1250="",0,K1250)</f>
        <v>0</v>
      </c>
    </row>
    <row r="1251">
      <c r="A1251" s="49" t="n"/>
      <c r="B1251" s="41" t="n"/>
      <c r="C1251" s="41" t="n"/>
      <c r="D1251" s="42" t="n"/>
      <c r="E1251" s="42" t="n"/>
      <c r="F1251" s="50" t="n"/>
      <c r="G1251" s="42" t="n"/>
      <c r="H1251" s="30">
        <f>IF(D1251="","",IFERROR(INDEX(Config!$B$12:$B$15,MATCH(IF(AND(D1251="Cartão de crédito",N(E1251)&gt;1),"Cartão de crédito parcelado",D1251),Config!$A$12:$A$15,0)),0)+IF(AND(Config!$B$17="Sim",LEFT(D1251,17)="Cartão de crédito"),Config!$B$18*IFERROR(INDEX(Config!$C$12:$C$15,MATCH(IF(AND(D1251="Cartão de crédito",N(E1251)&gt;1),"Cartão de crédito parcelado",D1251),Config!$A$12:$A$15,0)),0)/30*MAX(1,N(E1251)),0))</f>
        <v/>
      </c>
      <c r="I1251" s="29">
        <f>IF(OR(D1251="",F1251=""),"",ROUND(F1251*H1251,2))</f>
        <v/>
      </c>
      <c r="J1251" s="29">
        <f>IF(I1251="","",F1251-I1251)</f>
        <v/>
      </c>
      <c r="K1251" s="29">
        <f>IF(J1251="","",J1251/MAX(1,N(E1251)))</f>
        <v/>
      </c>
      <c r="L1251" s="37">
        <f>IF(OR(D1251="",A1251=""),"",A1251+IF(AND(Config!$B$17="Sim",LEFT(D1251,17)="Cartão de crédito"),1,IFERROR(INDEX(Config!$C$12:$C$15,MATCH(IF(AND(D1251="Cartão de crédito",N(E1251)&gt;1),"Cartão de crédito parcelado",D1251),Config!$A$12:$A$15,0)),0)))</f>
        <v/>
      </c>
      <c r="M1251" s="37">
        <f>IF(L1251="","",IF(AND(Config!$B$17="Sim",LEFT(D1251,17)="Cartão de crédito"),L1251,L1251+30*(MAX(1,N(E1251))-1)))</f>
        <v/>
      </c>
      <c r="N1251" s="29">
        <f>IF(OR(L1251="",K1251=""),"",K1251*MIN(MAX(1,N(E1251)),MAX(0,INT((Config!$B$8-L1251)/30)+1)))</f>
        <v/>
      </c>
      <c r="O1251" s="29">
        <f>IF(J1251="","",J1251-N(N1251))</f>
        <v/>
      </c>
      <c r="P1251" s="27">
        <f>IF(A1251="","",MONTH(A1251))</f>
        <v/>
      </c>
      <c r="Q1251" s="27">
        <f>IF(A1251="","",YEAR(A1251))</f>
        <v/>
      </c>
      <c r="R1251" s="27">
        <f>IF(L1251="","",IF(L1251&gt;Config!$B$8,"A cair",IF(N(G1251)&gt;=MIN(MAX(1,N(E1251)),MAX(0,INT((Config!$B$8-L1251)/30)+1)),IF(N(G1251)&gt;=MAX(1,N(E1251)),"Conferido","Conferido até aqui"),"A conferir")))</f>
        <v/>
      </c>
      <c r="S1251" s="51">
        <f>IF(R1251="A conferir",(Config!$B$8-L1251)*1000+N(F1251)/1000+ROW()/100000,0)</f>
        <v>0</v>
      </c>
      <c r="T1251" s="51">
        <f>IF(R1251="A conferir",N(N1251),0)</f>
        <v>0</v>
      </c>
      <c r="U1251" s="51">
        <f>IF(L1251="",0,L1251)</f>
        <v>0</v>
      </c>
      <c r="V1251" s="51">
        <f>IF(L1251="",0,MAX(1,N(E1251)))</f>
        <v>0</v>
      </c>
      <c r="W1251" s="51">
        <f>IF(K1251="",0,K1251)</f>
        <v>0</v>
      </c>
    </row>
    <row r="1252">
      <c r="A1252" s="49" t="n"/>
      <c r="B1252" s="41" t="n"/>
      <c r="C1252" s="41" t="n"/>
      <c r="D1252" s="42" t="n"/>
      <c r="E1252" s="42" t="n"/>
      <c r="F1252" s="50" t="n"/>
      <c r="G1252" s="42" t="n"/>
      <c r="H1252" s="30">
        <f>IF(D1252="","",IFERROR(INDEX(Config!$B$12:$B$15,MATCH(IF(AND(D1252="Cartão de crédito",N(E1252)&gt;1),"Cartão de crédito parcelado",D1252),Config!$A$12:$A$15,0)),0)+IF(AND(Config!$B$17="Sim",LEFT(D1252,17)="Cartão de crédito"),Config!$B$18*IFERROR(INDEX(Config!$C$12:$C$15,MATCH(IF(AND(D1252="Cartão de crédito",N(E1252)&gt;1),"Cartão de crédito parcelado",D1252),Config!$A$12:$A$15,0)),0)/30*MAX(1,N(E1252)),0))</f>
        <v/>
      </c>
      <c r="I1252" s="29">
        <f>IF(OR(D1252="",F1252=""),"",ROUND(F1252*H1252,2))</f>
        <v/>
      </c>
      <c r="J1252" s="29">
        <f>IF(I1252="","",F1252-I1252)</f>
        <v/>
      </c>
      <c r="K1252" s="29">
        <f>IF(J1252="","",J1252/MAX(1,N(E1252)))</f>
        <v/>
      </c>
      <c r="L1252" s="37">
        <f>IF(OR(D1252="",A1252=""),"",A1252+IF(AND(Config!$B$17="Sim",LEFT(D1252,17)="Cartão de crédito"),1,IFERROR(INDEX(Config!$C$12:$C$15,MATCH(IF(AND(D1252="Cartão de crédito",N(E1252)&gt;1),"Cartão de crédito parcelado",D1252),Config!$A$12:$A$15,0)),0)))</f>
        <v/>
      </c>
      <c r="M1252" s="37">
        <f>IF(L1252="","",IF(AND(Config!$B$17="Sim",LEFT(D1252,17)="Cartão de crédito"),L1252,L1252+30*(MAX(1,N(E1252))-1)))</f>
        <v/>
      </c>
      <c r="N1252" s="29">
        <f>IF(OR(L1252="",K1252=""),"",K1252*MIN(MAX(1,N(E1252)),MAX(0,INT((Config!$B$8-L1252)/30)+1)))</f>
        <v/>
      </c>
      <c r="O1252" s="29">
        <f>IF(J1252="","",J1252-N(N1252))</f>
        <v/>
      </c>
      <c r="P1252" s="27">
        <f>IF(A1252="","",MONTH(A1252))</f>
        <v/>
      </c>
      <c r="Q1252" s="27">
        <f>IF(A1252="","",YEAR(A1252))</f>
        <v/>
      </c>
      <c r="R1252" s="27">
        <f>IF(L1252="","",IF(L1252&gt;Config!$B$8,"A cair",IF(N(G1252)&gt;=MIN(MAX(1,N(E1252)),MAX(0,INT((Config!$B$8-L1252)/30)+1)),IF(N(G1252)&gt;=MAX(1,N(E1252)),"Conferido","Conferido até aqui"),"A conferir")))</f>
        <v/>
      </c>
      <c r="S1252" s="51">
        <f>IF(R1252="A conferir",(Config!$B$8-L1252)*1000+N(F1252)/1000+ROW()/100000,0)</f>
        <v>0</v>
      </c>
      <c r="T1252" s="51">
        <f>IF(R1252="A conferir",N(N1252),0)</f>
        <v>0</v>
      </c>
      <c r="U1252" s="51">
        <f>IF(L1252="",0,L1252)</f>
        <v>0</v>
      </c>
      <c r="V1252" s="51">
        <f>IF(L1252="",0,MAX(1,N(E1252)))</f>
        <v>0</v>
      </c>
      <c r="W1252" s="51">
        <f>IF(K1252="",0,K1252)</f>
        <v>0</v>
      </c>
    </row>
    <row r="1253">
      <c r="A1253" s="49" t="n"/>
      <c r="B1253" s="41" t="n"/>
      <c r="C1253" s="41" t="n"/>
      <c r="D1253" s="42" t="n"/>
      <c r="E1253" s="42" t="n"/>
      <c r="F1253" s="50" t="n"/>
      <c r="G1253" s="42" t="n"/>
      <c r="H1253" s="30">
        <f>IF(D1253="","",IFERROR(INDEX(Config!$B$12:$B$15,MATCH(IF(AND(D1253="Cartão de crédito",N(E1253)&gt;1),"Cartão de crédito parcelado",D1253),Config!$A$12:$A$15,0)),0)+IF(AND(Config!$B$17="Sim",LEFT(D1253,17)="Cartão de crédito"),Config!$B$18*IFERROR(INDEX(Config!$C$12:$C$15,MATCH(IF(AND(D1253="Cartão de crédito",N(E1253)&gt;1),"Cartão de crédito parcelado",D1253),Config!$A$12:$A$15,0)),0)/30*MAX(1,N(E1253)),0))</f>
        <v/>
      </c>
      <c r="I1253" s="29">
        <f>IF(OR(D1253="",F1253=""),"",ROUND(F1253*H1253,2))</f>
        <v/>
      </c>
      <c r="J1253" s="29">
        <f>IF(I1253="","",F1253-I1253)</f>
        <v/>
      </c>
      <c r="K1253" s="29">
        <f>IF(J1253="","",J1253/MAX(1,N(E1253)))</f>
        <v/>
      </c>
      <c r="L1253" s="37">
        <f>IF(OR(D1253="",A1253=""),"",A1253+IF(AND(Config!$B$17="Sim",LEFT(D1253,17)="Cartão de crédito"),1,IFERROR(INDEX(Config!$C$12:$C$15,MATCH(IF(AND(D1253="Cartão de crédito",N(E1253)&gt;1),"Cartão de crédito parcelado",D1253),Config!$A$12:$A$15,0)),0)))</f>
        <v/>
      </c>
      <c r="M1253" s="37">
        <f>IF(L1253="","",IF(AND(Config!$B$17="Sim",LEFT(D1253,17)="Cartão de crédito"),L1253,L1253+30*(MAX(1,N(E1253))-1)))</f>
        <v/>
      </c>
      <c r="N1253" s="29">
        <f>IF(OR(L1253="",K1253=""),"",K1253*MIN(MAX(1,N(E1253)),MAX(0,INT((Config!$B$8-L1253)/30)+1)))</f>
        <v/>
      </c>
      <c r="O1253" s="29">
        <f>IF(J1253="","",J1253-N(N1253))</f>
        <v/>
      </c>
      <c r="P1253" s="27">
        <f>IF(A1253="","",MONTH(A1253))</f>
        <v/>
      </c>
      <c r="Q1253" s="27">
        <f>IF(A1253="","",YEAR(A1253))</f>
        <v/>
      </c>
      <c r="R1253" s="27">
        <f>IF(L1253="","",IF(L1253&gt;Config!$B$8,"A cair",IF(N(G1253)&gt;=MIN(MAX(1,N(E1253)),MAX(0,INT((Config!$B$8-L1253)/30)+1)),IF(N(G1253)&gt;=MAX(1,N(E1253)),"Conferido","Conferido até aqui"),"A conferir")))</f>
        <v/>
      </c>
      <c r="S1253" s="51">
        <f>IF(R1253="A conferir",(Config!$B$8-L1253)*1000+N(F1253)/1000+ROW()/100000,0)</f>
        <v>0</v>
      </c>
      <c r="T1253" s="51">
        <f>IF(R1253="A conferir",N(N1253),0)</f>
        <v>0</v>
      </c>
      <c r="U1253" s="51">
        <f>IF(L1253="",0,L1253)</f>
        <v>0</v>
      </c>
      <c r="V1253" s="51">
        <f>IF(L1253="",0,MAX(1,N(E1253)))</f>
        <v>0</v>
      </c>
      <c r="W1253" s="51">
        <f>IF(K1253="",0,K1253)</f>
        <v>0</v>
      </c>
    </row>
    <row r="1254">
      <c r="A1254" s="49" t="n"/>
      <c r="B1254" s="41" t="n"/>
      <c r="C1254" s="41" t="n"/>
      <c r="D1254" s="42" t="n"/>
      <c r="E1254" s="42" t="n"/>
      <c r="F1254" s="50" t="n"/>
      <c r="G1254" s="42" t="n"/>
      <c r="H1254" s="30">
        <f>IF(D1254="","",IFERROR(INDEX(Config!$B$12:$B$15,MATCH(IF(AND(D1254="Cartão de crédito",N(E1254)&gt;1),"Cartão de crédito parcelado",D1254),Config!$A$12:$A$15,0)),0)+IF(AND(Config!$B$17="Sim",LEFT(D1254,17)="Cartão de crédito"),Config!$B$18*IFERROR(INDEX(Config!$C$12:$C$15,MATCH(IF(AND(D1254="Cartão de crédito",N(E1254)&gt;1),"Cartão de crédito parcelado",D1254),Config!$A$12:$A$15,0)),0)/30*MAX(1,N(E1254)),0))</f>
        <v/>
      </c>
      <c r="I1254" s="29">
        <f>IF(OR(D1254="",F1254=""),"",ROUND(F1254*H1254,2))</f>
        <v/>
      </c>
      <c r="J1254" s="29">
        <f>IF(I1254="","",F1254-I1254)</f>
        <v/>
      </c>
      <c r="K1254" s="29">
        <f>IF(J1254="","",J1254/MAX(1,N(E1254)))</f>
        <v/>
      </c>
      <c r="L1254" s="37">
        <f>IF(OR(D1254="",A1254=""),"",A1254+IF(AND(Config!$B$17="Sim",LEFT(D1254,17)="Cartão de crédito"),1,IFERROR(INDEX(Config!$C$12:$C$15,MATCH(IF(AND(D1254="Cartão de crédito",N(E1254)&gt;1),"Cartão de crédito parcelado",D1254),Config!$A$12:$A$15,0)),0)))</f>
        <v/>
      </c>
      <c r="M1254" s="37">
        <f>IF(L1254="","",IF(AND(Config!$B$17="Sim",LEFT(D1254,17)="Cartão de crédito"),L1254,L1254+30*(MAX(1,N(E1254))-1)))</f>
        <v/>
      </c>
      <c r="N1254" s="29">
        <f>IF(OR(L1254="",K1254=""),"",K1254*MIN(MAX(1,N(E1254)),MAX(0,INT((Config!$B$8-L1254)/30)+1)))</f>
        <v/>
      </c>
      <c r="O1254" s="29">
        <f>IF(J1254="","",J1254-N(N1254))</f>
        <v/>
      </c>
      <c r="P1254" s="27">
        <f>IF(A1254="","",MONTH(A1254))</f>
        <v/>
      </c>
      <c r="Q1254" s="27">
        <f>IF(A1254="","",YEAR(A1254))</f>
        <v/>
      </c>
      <c r="R1254" s="27">
        <f>IF(L1254="","",IF(L1254&gt;Config!$B$8,"A cair",IF(N(G1254)&gt;=MIN(MAX(1,N(E1254)),MAX(0,INT((Config!$B$8-L1254)/30)+1)),IF(N(G1254)&gt;=MAX(1,N(E1254)),"Conferido","Conferido até aqui"),"A conferir")))</f>
        <v/>
      </c>
      <c r="S1254" s="51">
        <f>IF(R1254="A conferir",(Config!$B$8-L1254)*1000+N(F1254)/1000+ROW()/100000,0)</f>
        <v>0</v>
      </c>
      <c r="T1254" s="51">
        <f>IF(R1254="A conferir",N(N1254),0)</f>
        <v>0</v>
      </c>
      <c r="U1254" s="51">
        <f>IF(L1254="",0,L1254)</f>
        <v>0</v>
      </c>
      <c r="V1254" s="51">
        <f>IF(L1254="",0,MAX(1,N(E1254)))</f>
        <v>0</v>
      </c>
      <c r="W1254" s="51">
        <f>IF(K1254="",0,K1254)</f>
        <v>0</v>
      </c>
    </row>
    <row r="1255">
      <c r="A1255" s="49" t="n"/>
      <c r="B1255" s="41" t="n"/>
      <c r="C1255" s="41" t="n"/>
      <c r="D1255" s="42" t="n"/>
      <c r="E1255" s="42" t="n"/>
      <c r="F1255" s="50" t="n"/>
      <c r="G1255" s="42" t="n"/>
      <c r="H1255" s="30">
        <f>IF(D1255="","",IFERROR(INDEX(Config!$B$12:$B$15,MATCH(IF(AND(D1255="Cartão de crédito",N(E1255)&gt;1),"Cartão de crédito parcelado",D1255),Config!$A$12:$A$15,0)),0)+IF(AND(Config!$B$17="Sim",LEFT(D1255,17)="Cartão de crédito"),Config!$B$18*IFERROR(INDEX(Config!$C$12:$C$15,MATCH(IF(AND(D1255="Cartão de crédito",N(E1255)&gt;1),"Cartão de crédito parcelado",D1255),Config!$A$12:$A$15,0)),0)/30*MAX(1,N(E1255)),0))</f>
        <v/>
      </c>
      <c r="I1255" s="29">
        <f>IF(OR(D1255="",F1255=""),"",ROUND(F1255*H1255,2))</f>
        <v/>
      </c>
      <c r="J1255" s="29">
        <f>IF(I1255="","",F1255-I1255)</f>
        <v/>
      </c>
      <c r="K1255" s="29">
        <f>IF(J1255="","",J1255/MAX(1,N(E1255)))</f>
        <v/>
      </c>
      <c r="L1255" s="37">
        <f>IF(OR(D1255="",A1255=""),"",A1255+IF(AND(Config!$B$17="Sim",LEFT(D1255,17)="Cartão de crédito"),1,IFERROR(INDEX(Config!$C$12:$C$15,MATCH(IF(AND(D1255="Cartão de crédito",N(E1255)&gt;1),"Cartão de crédito parcelado",D1255),Config!$A$12:$A$15,0)),0)))</f>
        <v/>
      </c>
      <c r="M1255" s="37">
        <f>IF(L1255="","",IF(AND(Config!$B$17="Sim",LEFT(D1255,17)="Cartão de crédito"),L1255,L1255+30*(MAX(1,N(E1255))-1)))</f>
        <v/>
      </c>
      <c r="N1255" s="29">
        <f>IF(OR(L1255="",K1255=""),"",K1255*MIN(MAX(1,N(E1255)),MAX(0,INT((Config!$B$8-L1255)/30)+1)))</f>
        <v/>
      </c>
      <c r="O1255" s="29">
        <f>IF(J1255="","",J1255-N(N1255))</f>
        <v/>
      </c>
      <c r="P1255" s="27">
        <f>IF(A1255="","",MONTH(A1255))</f>
        <v/>
      </c>
      <c r="Q1255" s="27">
        <f>IF(A1255="","",YEAR(A1255))</f>
        <v/>
      </c>
      <c r="R1255" s="27">
        <f>IF(L1255="","",IF(L1255&gt;Config!$B$8,"A cair",IF(N(G1255)&gt;=MIN(MAX(1,N(E1255)),MAX(0,INT((Config!$B$8-L1255)/30)+1)),IF(N(G1255)&gt;=MAX(1,N(E1255)),"Conferido","Conferido até aqui"),"A conferir")))</f>
        <v/>
      </c>
      <c r="S1255" s="51">
        <f>IF(R1255="A conferir",(Config!$B$8-L1255)*1000+N(F1255)/1000+ROW()/100000,0)</f>
        <v>0</v>
      </c>
      <c r="T1255" s="51">
        <f>IF(R1255="A conferir",N(N1255),0)</f>
        <v>0</v>
      </c>
      <c r="U1255" s="51">
        <f>IF(L1255="",0,L1255)</f>
        <v>0</v>
      </c>
      <c r="V1255" s="51">
        <f>IF(L1255="",0,MAX(1,N(E1255)))</f>
        <v>0</v>
      </c>
      <c r="W1255" s="51">
        <f>IF(K1255="",0,K1255)</f>
        <v>0</v>
      </c>
    </row>
    <row r="1256">
      <c r="A1256" s="49" t="n"/>
      <c r="B1256" s="41" t="n"/>
      <c r="C1256" s="41" t="n"/>
      <c r="D1256" s="42" t="n"/>
      <c r="E1256" s="42" t="n"/>
      <c r="F1256" s="50" t="n"/>
      <c r="G1256" s="42" t="n"/>
      <c r="H1256" s="30">
        <f>IF(D1256="","",IFERROR(INDEX(Config!$B$12:$B$15,MATCH(IF(AND(D1256="Cartão de crédito",N(E1256)&gt;1),"Cartão de crédito parcelado",D1256),Config!$A$12:$A$15,0)),0)+IF(AND(Config!$B$17="Sim",LEFT(D1256,17)="Cartão de crédito"),Config!$B$18*IFERROR(INDEX(Config!$C$12:$C$15,MATCH(IF(AND(D1256="Cartão de crédito",N(E1256)&gt;1),"Cartão de crédito parcelado",D1256),Config!$A$12:$A$15,0)),0)/30*MAX(1,N(E1256)),0))</f>
        <v/>
      </c>
      <c r="I1256" s="29">
        <f>IF(OR(D1256="",F1256=""),"",ROUND(F1256*H1256,2))</f>
        <v/>
      </c>
      <c r="J1256" s="29">
        <f>IF(I1256="","",F1256-I1256)</f>
        <v/>
      </c>
      <c r="K1256" s="29">
        <f>IF(J1256="","",J1256/MAX(1,N(E1256)))</f>
        <v/>
      </c>
      <c r="L1256" s="37">
        <f>IF(OR(D1256="",A1256=""),"",A1256+IF(AND(Config!$B$17="Sim",LEFT(D1256,17)="Cartão de crédito"),1,IFERROR(INDEX(Config!$C$12:$C$15,MATCH(IF(AND(D1256="Cartão de crédito",N(E1256)&gt;1),"Cartão de crédito parcelado",D1256),Config!$A$12:$A$15,0)),0)))</f>
        <v/>
      </c>
      <c r="M1256" s="37">
        <f>IF(L1256="","",IF(AND(Config!$B$17="Sim",LEFT(D1256,17)="Cartão de crédito"),L1256,L1256+30*(MAX(1,N(E1256))-1)))</f>
        <v/>
      </c>
      <c r="N1256" s="29">
        <f>IF(OR(L1256="",K1256=""),"",K1256*MIN(MAX(1,N(E1256)),MAX(0,INT((Config!$B$8-L1256)/30)+1)))</f>
        <v/>
      </c>
      <c r="O1256" s="29">
        <f>IF(J1256="","",J1256-N(N1256))</f>
        <v/>
      </c>
      <c r="P1256" s="27">
        <f>IF(A1256="","",MONTH(A1256))</f>
        <v/>
      </c>
      <c r="Q1256" s="27">
        <f>IF(A1256="","",YEAR(A1256))</f>
        <v/>
      </c>
      <c r="R1256" s="27">
        <f>IF(L1256="","",IF(L1256&gt;Config!$B$8,"A cair",IF(N(G1256)&gt;=MIN(MAX(1,N(E1256)),MAX(0,INT((Config!$B$8-L1256)/30)+1)),IF(N(G1256)&gt;=MAX(1,N(E1256)),"Conferido","Conferido até aqui"),"A conferir")))</f>
        <v/>
      </c>
      <c r="S1256" s="51">
        <f>IF(R1256="A conferir",(Config!$B$8-L1256)*1000+N(F1256)/1000+ROW()/100000,0)</f>
        <v>0</v>
      </c>
      <c r="T1256" s="51">
        <f>IF(R1256="A conferir",N(N1256),0)</f>
        <v>0</v>
      </c>
      <c r="U1256" s="51">
        <f>IF(L1256="",0,L1256)</f>
        <v>0</v>
      </c>
      <c r="V1256" s="51">
        <f>IF(L1256="",0,MAX(1,N(E1256)))</f>
        <v>0</v>
      </c>
      <c r="W1256" s="51">
        <f>IF(K1256="",0,K1256)</f>
        <v>0</v>
      </c>
    </row>
    <row r="1257">
      <c r="A1257" s="49" t="n"/>
      <c r="B1257" s="41" t="n"/>
      <c r="C1257" s="41" t="n"/>
      <c r="D1257" s="42" t="n"/>
      <c r="E1257" s="42" t="n"/>
      <c r="F1257" s="50" t="n"/>
      <c r="G1257" s="42" t="n"/>
      <c r="H1257" s="30">
        <f>IF(D1257="","",IFERROR(INDEX(Config!$B$12:$B$15,MATCH(IF(AND(D1257="Cartão de crédito",N(E1257)&gt;1),"Cartão de crédito parcelado",D1257),Config!$A$12:$A$15,0)),0)+IF(AND(Config!$B$17="Sim",LEFT(D1257,17)="Cartão de crédito"),Config!$B$18*IFERROR(INDEX(Config!$C$12:$C$15,MATCH(IF(AND(D1257="Cartão de crédito",N(E1257)&gt;1),"Cartão de crédito parcelado",D1257),Config!$A$12:$A$15,0)),0)/30*MAX(1,N(E1257)),0))</f>
        <v/>
      </c>
      <c r="I1257" s="29">
        <f>IF(OR(D1257="",F1257=""),"",ROUND(F1257*H1257,2))</f>
        <v/>
      </c>
      <c r="J1257" s="29">
        <f>IF(I1257="","",F1257-I1257)</f>
        <v/>
      </c>
      <c r="K1257" s="29">
        <f>IF(J1257="","",J1257/MAX(1,N(E1257)))</f>
        <v/>
      </c>
      <c r="L1257" s="37">
        <f>IF(OR(D1257="",A1257=""),"",A1257+IF(AND(Config!$B$17="Sim",LEFT(D1257,17)="Cartão de crédito"),1,IFERROR(INDEX(Config!$C$12:$C$15,MATCH(IF(AND(D1257="Cartão de crédito",N(E1257)&gt;1),"Cartão de crédito parcelado",D1257),Config!$A$12:$A$15,0)),0)))</f>
        <v/>
      </c>
      <c r="M1257" s="37">
        <f>IF(L1257="","",IF(AND(Config!$B$17="Sim",LEFT(D1257,17)="Cartão de crédito"),L1257,L1257+30*(MAX(1,N(E1257))-1)))</f>
        <v/>
      </c>
      <c r="N1257" s="29">
        <f>IF(OR(L1257="",K1257=""),"",K1257*MIN(MAX(1,N(E1257)),MAX(0,INT((Config!$B$8-L1257)/30)+1)))</f>
        <v/>
      </c>
      <c r="O1257" s="29">
        <f>IF(J1257="","",J1257-N(N1257))</f>
        <v/>
      </c>
      <c r="P1257" s="27">
        <f>IF(A1257="","",MONTH(A1257))</f>
        <v/>
      </c>
      <c r="Q1257" s="27">
        <f>IF(A1257="","",YEAR(A1257))</f>
        <v/>
      </c>
      <c r="R1257" s="27">
        <f>IF(L1257="","",IF(L1257&gt;Config!$B$8,"A cair",IF(N(G1257)&gt;=MIN(MAX(1,N(E1257)),MAX(0,INT((Config!$B$8-L1257)/30)+1)),IF(N(G1257)&gt;=MAX(1,N(E1257)),"Conferido","Conferido até aqui"),"A conferir")))</f>
        <v/>
      </c>
      <c r="S1257" s="51">
        <f>IF(R1257="A conferir",(Config!$B$8-L1257)*1000+N(F1257)/1000+ROW()/100000,0)</f>
        <v>0</v>
      </c>
      <c r="T1257" s="51">
        <f>IF(R1257="A conferir",N(N1257),0)</f>
        <v>0</v>
      </c>
      <c r="U1257" s="51">
        <f>IF(L1257="",0,L1257)</f>
        <v>0</v>
      </c>
      <c r="V1257" s="51">
        <f>IF(L1257="",0,MAX(1,N(E1257)))</f>
        <v>0</v>
      </c>
      <c r="W1257" s="51">
        <f>IF(K1257="",0,K1257)</f>
        <v>0</v>
      </c>
    </row>
    <row r="1258">
      <c r="A1258" s="49" t="n"/>
      <c r="B1258" s="41" t="n"/>
      <c r="C1258" s="41" t="n"/>
      <c r="D1258" s="42" t="n"/>
      <c r="E1258" s="42" t="n"/>
      <c r="F1258" s="50" t="n"/>
      <c r="G1258" s="42" t="n"/>
      <c r="H1258" s="30">
        <f>IF(D1258="","",IFERROR(INDEX(Config!$B$12:$B$15,MATCH(IF(AND(D1258="Cartão de crédito",N(E1258)&gt;1),"Cartão de crédito parcelado",D1258),Config!$A$12:$A$15,0)),0)+IF(AND(Config!$B$17="Sim",LEFT(D1258,17)="Cartão de crédito"),Config!$B$18*IFERROR(INDEX(Config!$C$12:$C$15,MATCH(IF(AND(D1258="Cartão de crédito",N(E1258)&gt;1),"Cartão de crédito parcelado",D1258),Config!$A$12:$A$15,0)),0)/30*MAX(1,N(E1258)),0))</f>
        <v/>
      </c>
      <c r="I1258" s="29">
        <f>IF(OR(D1258="",F1258=""),"",ROUND(F1258*H1258,2))</f>
        <v/>
      </c>
      <c r="J1258" s="29">
        <f>IF(I1258="","",F1258-I1258)</f>
        <v/>
      </c>
      <c r="K1258" s="29">
        <f>IF(J1258="","",J1258/MAX(1,N(E1258)))</f>
        <v/>
      </c>
      <c r="L1258" s="37">
        <f>IF(OR(D1258="",A1258=""),"",A1258+IF(AND(Config!$B$17="Sim",LEFT(D1258,17)="Cartão de crédito"),1,IFERROR(INDEX(Config!$C$12:$C$15,MATCH(IF(AND(D1258="Cartão de crédito",N(E1258)&gt;1),"Cartão de crédito parcelado",D1258),Config!$A$12:$A$15,0)),0)))</f>
        <v/>
      </c>
      <c r="M1258" s="37">
        <f>IF(L1258="","",IF(AND(Config!$B$17="Sim",LEFT(D1258,17)="Cartão de crédito"),L1258,L1258+30*(MAX(1,N(E1258))-1)))</f>
        <v/>
      </c>
      <c r="N1258" s="29">
        <f>IF(OR(L1258="",K1258=""),"",K1258*MIN(MAX(1,N(E1258)),MAX(0,INT((Config!$B$8-L1258)/30)+1)))</f>
        <v/>
      </c>
      <c r="O1258" s="29">
        <f>IF(J1258="","",J1258-N(N1258))</f>
        <v/>
      </c>
      <c r="P1258" s="27">
        <f>IF(A1258="","",MONTH(A1258))</f>
        <v/>
      </c>
      <c r="Q1258" s="27">
        <f>IF(A1258="","",YEAR(A1258))</f>
        <v/>
      </c>
      <c r="R1258" s="27">
        <f>IF(L1258="","",IF(L1258&gt;Config!$B$8,"A cair",IF(N(G1258)&gt;=MIN(MAX(1,N(E1258)),MAX(0,INT((Config!$B$8-L1258)/30)+1)),IF(N(G1258)&gt;=MAX(1,N(E1258)),"Conferido","Conferido até aqui"),"A conferir")))</f>
        <v/>
      </c>
      <c r="S1258" s="51">
        <f>IF(R1258="A conferir",(Config!$B$8-L1258)*1000+N(F1258)/1000+ROW()/100000,0)</f>
        <v>0</v>
      </c>
      <c r="T1258" s="51">
        <f>IF(R1258="A conferir",N(N1258),0)</f>
        <v>0</v>
      </c>
      <c r="U1258" s="51">
        <f>IF(L1258="",0,L1258)</f>
        <v>0</v>
      </c>
      <c r="V1258" s="51">
        <f>IF(L1258="",0,MAX(1,N(E1258)))</f>
        <v>0</v>
      </c>
      <c r="W1258" s="51">
        <f>IF(K1258="",0,K1258)</f>
        <v>0</v>
      </c>
    </row>
    <row r="1259">
      <c r="A1259" s="49" t="n"/>
      <c r="B1259" s="41" t="n"/>
      <c r="C1259" s="41" t="n"/>
      <c r="D1259" s="42" t="n"/>
      <c r="E1259" s="42" t="n"/>
      <c r="F1259" s="50" t="n"/>
      <c r="G1259" s="42" t="n"/>
      <c r="H1259" s="30">
        <f>IF(D1259="","",IFERROR(INDEX(Config!$B$12:$B$15,MATCH(IF(AND(D1259="Cartão de crédito",N(E1259)&gt;1),"Cartão de crédito parcelado",D1259),Config!$A$12:$A$15,0)),0)+IF(AND(Config!$B$17="Sim",LEFT(D1259,17)="Cartão de crédito"),Config!$B$18*IFERROR(INDEX(Config!$C$12:$C$15,MATCH(IF(AND(D1259="Cartão de crédito",N(E1259)&gt;1),"Cartão de crédito parcelado",D1259),Config!$A$12:$A$15,0)),0)/30*MAX(1,N(E1259)),0))</f>
        <v/>
      </c>
      <c r="I1259" s="29">
        <f>IF(OR(D1259="",F1259=""),"",ROUND(F1259*H1259,2))</f>
        <v/>
      </c>
      <c r="J1259" s="29">
        <f>IF(I1259="","",F1259-I1259)</f>
        <v/>
      </c>
      <c r="K1259" s="29">
        <f>IF(J1259="","",J1259/MAX(1,N(E1259)))</f>
        <v/>
      </c>
      <c r="L1259" s="37">
        <f>IF(OR(D1259="",A1259=""),"",A1259+IF(AND(Config!$B$17="Sim",LEFT(D1259,17)="Cartão de crédito"),1,IFERROR(INDEX(Config!$C$12:$C$15,MATCH(IF(AND(D1259="Cartão de crédito",N(E1259)&gt;1),"Cartão de crédito parcelado",D1259),Config!$A$12:$A$15,0)),0)))</f>
        <v/>
      </c>
      <c r="M1259" s="37">
        <f>IF(L1259="","",IF(AND(Config!$B$17="Sim",LEFT(D1259,17)="Cartão de crédito"),L1259,L1259+30*(MAX(1,N(E1259))-1)))</f>
        <v/>
      </c>
      <c r="N1259" s="29">
        <f>IF(OR(L1259="",K1259=""),"",K1259*MIN(MAX(1,N(E1259)),MAX(0,INT((Config!$B$8-L1259)/30)+1)))</f>
        <v/>
      </c>
      <c r="O1259" s="29">
        <f>IF(J1259="","",J1259-N(N1259))</f>
        <v/>
      </c>
      <c r="P1259" s="27">
        <f>IF(A1259="","",MONTH(A1259))</f>
        <v/>
      </c>
      <c r="Q1259" s="27">
        <f>IF(A1259="","",YEAR(A1259))</f>
        <v/>
      </c>
      <c r="R1259" s="27">
        <f>IF(L1259="","",IF(L1259&gt;Config!$B$8,"A cair",IF(N(G1259)&gt;=MIN(MAX(1,N(E1259)),MAX(0,INT((Config!$B$8-L1259)/30)+1)),IF(N(G1259)&gt;=MAX(1,N(E1259)),"Conferido","Conferido até aqui"),"A conferir")))</f>
        <v/>
      </c>
      <c r="S1259" s="51">
        <f>IF(R1259="A conferir",(Config!$B$8-L1259)*1000+N(F1259)/1000+ROW()/100000,0)</f>
        <v>0</v>
      </c>
      <c r="T1259" s="51">
        <f>IF(R1259="A conferir",N(N1259),0)</f>
        <v>0</v>
      </c>
      <c r="U1259" s="51">
        <f>IF(L1259="",0,L1259)</f>
        <v>0</v>
      </c>
      <c r="V1259" s="51">
        <f>IF(L1259="",0,MAX(1,N(E1259)))</f>
        <v>0</v>
      </c>
      <c r="W1259" s="51">
        <f>IF(K1259="",0,K1259)</f>
        <v>0</v>
      </c>
    </row>
    <row r="1260">
      <c r="A1260" s="49" t="n"/>
      <c r="B1260" s="41" t="n"/>
      <c r="C1260" s="41" t="n"/>
      <c r="D1260" s="42" t="n"/>
      <c r="E1260" s="42" t="n"/>
      <c r="F1260" s="50" t="n"/>
      <c r="G1260" s="42" t="n"/>
      <c r="H1260" s="30">
        <f>IF(D1260="","",IFERROR(INDEX(Config!$B$12:$B$15,MATCH(IF(AND(D1260="Cartão de crédito",N(E1260)&gt;1),"Cartão de crédito parcelado",D1260),Config!$A$12:$A$15,0)),0)+IF(AND(Config!$B$17="Sim",LEFT(D1260,17)="Cartão de crédito"),Config!$B$18*IFERROR(INDEX(Config!$C$12:$C$15,MATCH(IF(AND(D1260="Cartão de crédito",N(E1260)&gt;1),"Cartão de crédito parcelado",D1260),Config!$A$12:$A$15,0)),0)/30*MAX(1,N(E1260)),0))</f>
        <v/>
      </c>
      <c r="I1260" s="29">
        <f>IF(OR(D1260="",F1260=""),"",ROUND(F1260*H1260,2))</f>
        <v/>
      </c>
      <c r="J1260" s="29">
        <f>IF(I1260="","",F1260-I1260)</f>
        <v/>
      </c>
      <c r="K1260" s="29">
        <f>IF(J1260="","",J1260/MAX(1,N(E1260)))</f>
        <v/>
      </c>
      <c r="L1260" s="37">
        <f>IF(OR(D1260="",A1260=""),"",A1260+IF(AND(Config!$B$17="Sim",LEFT(D1260,17)="Cartão de crédito"),1,IFERROR(INDEX(Config!$C$12:$C$15,MATCH(IF(AND(D1260="Cartão de crédito",N(E1260)&gt;1),"Cartão de crédito parcelado",D1260),Config!$A$12:$A$15,0)),0)))</f>
        <v/>
      </c>
      <c r="M1260" s="37">
        <f>IF(L1260="","",IF(AND(Config!$B$17="Sim",LEFT(D1260,17)="Cartão de crédito"),L1260,L1260+30*(MAX(1,N(E1260))-1)))</f>
        <v/>
      </c>
      <c r="N1260" s="29">
        <f>IF(OR(L1260="",K1260=""),"",K1260*MIN(MAX(1,N(E1260)),MAX(0,INT((Config!$B$8-L1260)/30)+1)))</f>
        <v/>
      </c>
      <c r="O1260" s="29">
        <f>IF(J1260="","",J1260-N(N1260))</f>
        <v/>
      </c>
      <c r="P1260" s="27">
        <f>IF(A1260="","",MONTH(A1260))</f>
        <v/>
      </c>
      <c r="Q1260" s="27">
        <f>IF(A1260="","",YEAR(A1260))</f>
        <v/>
      </c>
      <c r="R1260" s="27">
        <f>IF(L1260="","",IF(L1260&gt;Config!$B$8,"A cair",IF(N(G1260)&gt;=MIN(MAX(1,N(E1260)),MAX(0,INT((Config!$B$8-L1260)/30)+1)),IF(N(G1260)&gt;=MAX(1,N(E1260)),"Conferido","Conferido até aqui"),"A conferir")))</f>
        <v/>
      </c>
      <c r="S1260" s="51">
        <f>IF(R1260="A conferir",(Config!$B$8-L1260)*1000+N(F1260)/1000+ROW()/100000,0)</f>
        <v>0</v>
      </c>
      <c r="T1260" s="51">
        <f>IF(R1260="A conferir",N(N1260),0)</f>
        <v>0</v>
      </c>
      <c r="U1260" s="51">
        <f>IF(L1260="",0,L1260)</f>
        <v>0</v>
      </c>
      <c r="V1260" s="51">
        <f>IF(L1260="",0,MAX(1,N(E1260)))</f>
        <v>0</v>
      </c>
      <c r="W1260" s="51">
        <f>IF(K1260="",0,K1260)</f>
        <v>0</v>
      </c>
    </row>
    <row r="1261">
      <c r="A1261" s="49" t="n"/>
      <c r="B1261" s="41" t="n"/>
      <c r="C1261" s="41" t="n"/>
      <c r="D1261" s="42" t="n"/>
      <c r="E1261" s="42" t="n"/>
      <c r="F1261" s="50" t="n"/>
      <c r="G1261" s="42" t="n"/>
      <c r="H1261" s="30">
        <f>IF(D1261="","",IFERROR(INDEX(Config!$B$12:$B$15,MATCH(IF(AND(D1261="Cartão de crédito",N(E1261)&gt;1),"Cartão de crédito parcelado",D1261),Config!$A$12:$A$15,0)),0)+IF(AND(Config!$B$17="Sim",LEFT(D1261,17)="Cartão de crédito"),Config!$B$18*IFERROR(INDEX(Config!$C$12:$C$15,MATCH(IF(AND(D1261="Cartão de crédito",N(E1261)&gt;1),"Cartão de crédito parcelado",D1261),Config!$A$12:$A$15,0)),0)/30*MAX(1,N(E1261)),0))</f>
        <v/>
      </c>
      <c r="I1261" s="29">
        <f>IF(OR(D1261="",F1261=""),"",ROUND(F1261*H1261,2))</f>
        <v/>
      </c>
      <c r="J1261" s="29">
        <f>IF(I1261="","",F1261-I1261)</f>
        <v/>
      </c>
      <c r="K1261" s="29">
        <f>IF(J1261="","",J1261/MAX(1,N(E1261)))</f>
        <v/>
      </c>
      <c r="L1261" s="37">
        <f>IF(OR(D1261="",A1261=""),"",A1261+IF(AND(Config!$B$17="Sim",LEFT(D1261,17)="Cartão de crédito"),1,IFERROR(INDEX(Config!$C$12:$C$15,MATCH(IF(AND(D1261="Cartão de crédito",N(E1261)&gt;1),"Cartão de crédito parcelado",D1261),Config!$A$12:$A$15,0)),0)))</f>
        <v/>
      </c>
      <c r="M1261" s="37">
        <f>IF(L1261="","",IF(AND(Config!$B$17="Sim",LEFT(D1261,17)="Cartão de crédito"),L1261,L1261+30*(MAX(1,N(E1261))-1)))</f>
        <v/>
      </c>
      <c r="N1261" s="29">
        <f>IF(OR(L1261="",K1261=""),"",K1261*MIN(MAX(1,N(E1261)),MAX(0,INT((Config!$B$8-L1261)/30)+1)))</f>
        <v/>
      </c>
      <c r="O1261" s="29">
        <f>IF(J1261="","",J1261-N(N1261))</f>
        <v/>
      </c>
      <c r="P1261" s="27">
        <f>IF(A1261="","",MONTH(A1261))</f>
        <v/>
      </c>
      <c r="Q1261" s="27">
        <f>IF(A1261="","",YEAR(A1261))</f>
        <v/>
      </c>
      <c r="R1261" s="27">
        <f>IF(L1261="","",IF(L1261&gt;Config!$B$8,"A cair",IF(N(G1261)&gt;=MIN(MAX(1,N(E1261)),MAX(0,INT((Config!$B$8-L1261)/30)+1)),IF(N(G1261)&gt;=MAX(1,N(E1261)),"Conferido","Conferido até aqui"),"A conferir")))</f>
        <v/>
      </c>
      <c r="S1261" s="51">
        <f>IF(R1261="A conferir",(Config!$B$8-L1261)*1000+N(F1261)/1000+ROW()/100000,0)</f>
        <v>0</v>
      </c>
      <c r="T1261" s="51">
        <f>IF(R1261="A conferir",N(N1261),0)</f>
        <v>0</v>
      </c>
      <c r="U1261" s="51">
        <f>IF(L1261="",0,L1261)</f>
        <v>0</v>
      </c>
      <c r="V1261" s="51">
        <f>IF(L1261="",0,MAX(1,N(E1261)))</f>
        <v>0</v>
      </c>
      <c r="W1261" s="51">
        <f>IF(K1261="",0,K1261)</f>
        <v>0</v>
      </c>
    </row>
    <row r="1262">
      <c r="A1262" s="49" t="n"/>
      <c r="B1262" s="41" t="n"/>
      <c r="C1262" s="41" t="n"/>
      <c r="D1262" s="42" t="n"/>
      <c r="E1262" s="42" t="n"/>
      <c r="F1262" s="50" t="n"/>
      <c r="G1262" s="42" t="n"/>
      <c r="H1262" s="30">
        <f>IF(D1262="","",IFERROR(INDEX(Config!$B$12:$B$15,MATCH(IF(AND(D1262="Cartão de crédito",N(E1262)&gt;1),"Cartão de crédito parcelado",D1262),Config!$A$12:$A$15,0)),0)+IF(AND(Config!$B$17="Sim",LEFT(D1262,17)="Cartão de crédito"),Config!$B$18*IFERROR(INDEX(Config!$C$12:$C$15,MATCH(IF(AND(D1262="Cartão de crédito",N(E1262)&gt;1),"Cartão de crédito parcelado",D1262),Config!$A$12:$A$15,0)),0)/30*MAX(1,N(E1262)),0))</f>
        <v/>
      </c>
      <c r="I1262" s="29">
        <f>IF(OR(D1262="",F1262=""),"",ROUND(F1262*H1262,2))</f>
        <v/>
      </c>
      <c r="J1262" s="29">
        <f>IF(I1262="","",F1262-I1262)</f>
        <v/>
      </c>
      <c r="K1262" s="29">
        <f>IF(J1262="","",J1262/MAX(1,N(E1262)))</f>
        <v/>
      </c>
      <c r="L1262" s="37">
        <f>IF(OR(D1262="",A1262=""),"",A1262+IF(AND(Config!$B$17="Sim",LEFT(D1262,17)="Cartão de crédito"),1,IFERROR(INDEX(Config!$C$12:$C$15,MATCH(IF(AND(D1262="Cartão de crédito",N(E1262)&gt;1),"Cartão de crédito parcelado",D1262),Config!$A$12:$A$15,0)),0)))</f>
        <v/>
      </c>
      <c r="M1262" s="37">
        <f>IF(L1262="","",IF(AND(Config!$B$17="Sim",LEFT(D1262,17)="Cartão de crédito"),L1262,L1262+30*(MAX(1,N(E1262))-1)))</f>
        <v/>
      </c>
      <c r="N1262" s="29">
        <f>IF(OR(L1262="",K1262=""),"",K1262*MIN(MAX(1,N(E1262)),MAX(0,INT((Config!$B$8-L1262)/30)+1)))</f>
        <v/>
      </c>
      <c r="O1262" s="29">
        <f>IF(J1262="","",J1262-N(N1262))</f>
        <v/>
      </c>
      <c r="P1262" s="27">
        <f>IF(A1262="","",MONTH(A1262))</f>
        <v/>
      </c>
      <c r="Q1262" s="27">
        <f>IF(A1262="","",YEAR(A1262))</f>
        <v/>
      </c>
      <c r="R1262" s="27">
        <f>IF(L1262="","",IF(L1262&gt;Config!$B$8,"A cair",IF(N(G1262)&gt;=MIN(MAX(1,N(E1262)),MAX(0,INT((Config!$B$8-L1262)/30)+1)),IF(N(G1262)&gt;=MAX(1,N(E1262)),"Conferido","Conferido até aqui"),"A conferir")))</f>
        <v/>
      </c>
      <c r="S1262" s="51">
        <f>IF(R1262="A conferir",(Config!$B$8-L1262)*1000+N(F1262)/1000+ROW()/100000,0)</f>
        <v>0</v>
      </c>
      <c r="T1262" s="51">
        <f>IF(R1262="A conferir",N(N1262),0)</f>
        <v>0</v>
      </c>
      <c r="U1262" s="51">
        <f>IF(L1262="",0,L1262)</f>
        <v>0</v>
      </c>
      <c r="V1262" s="51">
        <f>IF(L1262="",0,MAX(1,N(E1262)))</f>
        <v>0</v>
      </c>
      <c r="W1262" s="51">
        <f>IF(K1262="",0,K1262)</f>
        <v>0</v>
      </c>
    </row>
    <row r="1263">
      <c r="A1263" s="49" t="n"/>
      <c r="B1263" s="41" t="n"/>
      <c r="C1263" s="41" t="n"/>
      <c r="D1263" s="42" t="n"/>
      <c r="E1263" s="42" t="n"/>
      <c r="F1263" s="50" t="n"/>
      <c r="G1263" s="42" t="n"/>
      <c r="H1263" s="30">
        <f>IF(D1263="","",IFERROR(INDEX(Config!$B$12:$B$15,MATCH(IF(AND(D1263="Cartão de crédito",N(E1263)&gt;1),"Cartão de crédito parcelado",D1263),Config!$A$12:$A$15,0)),0)+IF(AND(Config!$B$17="Sim",LEFT(D1263,17)="Cartão de crédito"),Config!$B$18*IFERROR(INDEX(Config!$C$12:$C$15,MATCH(IF(AND(D1263="Cartão de crédito",N(E1263)&gt;1),"Cartão de crédito parcelado",D1263),Config!$A$12:$A$15,0)),0)/30*MAX(1,N(E1263)),0))</f>
        <v/>
      </c>
      <c r="I1263" s="29">
        <f>IF(OR(D1263="",F1263=""),"",ROUND(F1263*H1263,2))</f>
        <v/>
      </c>
      <c r="J1263" s="29">
        <f>IF(I1263="","",F1263-I1263)</f>
        <v/>
      </c>
      <c r="K1263" s="29">
        <f>IF(J1263="","",J1263/MAX(1,N(E1263)))</f>
        <v/>
      </c>
      <c r="L1263" s="37">
        <f>IF(OR(D1263="",A1263=""),"",A1263+IF(AND(Config!$B$17="Sim",LEFT(D1263,17)="Cartão de crédito"),1,IFERROR(INDEX(Config!$C$12:$C$15,MATCH(IF(AND(D1263="Cartão de crédito",N(E1263)&gt;1),"Cartão de crédito parcelado",D1263),Config!$A$12:$A$15,0)),0)))</f>
        <v/>
      </c>
      <c r="M1263" s="37">
        <f>IF(L1263="","",IF(AND(Config!$B$17="Sim",LEFT(D1263,17)="Cartão de crédito"),L1263,L1263+30*(MAX(1,N(E1263))-1)))</f>
        <v/>
      </c>
      <c r="N1263" s="29">
        <f>IF(OR(L1263="",K1263=""),"",K1263*MIN(MAX(1,N(E1263)),MAX(0,INT((Config!$B$8-L1263)/30)+1)))</f>
        <v/>
      </c>
      <c r="O1263" s="29">
        <f>IF(J1263="","",J1263-N(N1263))</f>
        <v/>
      </c>
      <c r="P1263" s="27">
        <f>IF(A1263="","",MONTH(A1263))</f>
        <v/>
      </c>
      <c r="Q1263" s="27">
        <f>IF(A1263="","",YEAR(A1263))</f>
        <v/>
      </c>
      <c r="R1263" s="27">
        <f>IF(L1263="","",IF(L1263&gt;Config!$B$8,"A cair",IF(N(G1263)&gt;=MIN(MAX(1,N(E1263)),MAX(0,INT((Config!$B$8-L1263)/30)+1)),IF(N(G1263)&gt;=MAX(1,N(E1263)),"Conferido","Conferido até aqui"),"A conferir")))</f>
        <v/>
      </c>
      <c r="S1263" s="51">
        <f>IF(R1263="A conferir",(Config!$B$8-L1263)*1000+N(F1263)/1000+ROW()/100000,0)</f>
        <v>0</v>
      </c>
      <c r="T1263" s="51">
        <f>IF(R1263="A conferir",N(N1263),0)</f>
        <v>0</v>
      </c>
      <c r="U1263" s="51">
        <f>IF(L1263="",0,L1263)</f>
        <v>0</v>
      </c>
      <c r="V1263" s="51">
        <f>IF(L1263="",0,MAX(1,N(E1263)))</f>
        <v>0</v>
      </c>
      <c r="W1263" s="51">
        <f>IF(K1263="",0,K1263)</f>
        <v>0</v>
      </c>
    </row>
    <row r="1264">
      <c r="A1264" s="49" t="n"/>
      <c r="B1264" s="41" t="n"/>
      <c r="C1264" s="41" t="n"/>
      <c r="D1264" s="42" t="n"/>
      <c r="E1264" s="42" t="n"/>
      <c r="F1264" s="50" t="n"/>
      <c r="G1264" s="42" t="n"/>
      <c r="H1264" s="30">
        <f>IF(D1264="","",IFERROR(INDEX(Config!$B$12:$B$15,MATCH(IF(AND(D1264="Cartão de crédito",N(E1264)&gt;1),"Cartão de crédito parcelado",D1264),Config!$A$12:$A$15,0)),0)+IF(AND(Config!$B$17="Sim",LEFT(D1264,17)="Cartão de crédito"),Config!$B$18*IFERROR(INDEX(Config!$C$12:$C$15,MATCH(IF(AND(D1264="Cartão de crédito",N(E1264)&gt;1),"Cartão de crédito parcelado",D1264),Config!$A$12:$A$15,0)),0)/30*MAX(1,N(E1264)),0))</f>
        <v/>
      </c>
      <c r="I1264" s="29">
        <f>IF(OR(D1264="",F1264=""),"",ROUND(F1264*H1264,2))</f>
        <v/>
      </c>
      <c r="J1264" s="29">
        <f>IF(I1264="","",F1264-I1264)</f>
        <v/>
      </c>
      <c r="K1264" s="29">
        <f>IF(J1264="","",J1264/MAX(1,N(E1264)))</f>
        <v/>
      </c>
      <c r="L1264" s="37">
        <f>IF(OR(D1264="",A1264=""),"",A1264+IF(AND(Config!$B$17="Sim",LEFT(D1264,17)="Cartão de crédito"),1,IFERROR(INDEX(Config!$C$12:$C$15,MATCH(IF(AND(D1264="Cartão de crédito",N(E1264)&gt;1),"Cartão de crédito parcelado",D1264),Config!$A$12:$A$15,0)),0)))</f>
        <v/>
      </c>
      <c r="M1264" s="37">
        <f>IF(L1264="","",IF(AND(Config!$B$17="Sim",LEFT(D1264,17)="Cartão de crédito"),L1264,L1264+30*(MAX(1,N(E1264))-1)))</f>
        <v/>
      </c>
      <c r="N1264" s="29">
        <f>IF(OR(L1264="",K1264=""),"",K1264*MIN(MAX(1,N(E1264)),MAX(0,INT((Config!$B$8-L1264)/30)+1)))</f>
        <v/>
      </c>
      <c r="O1264" s="29">
        <f>IF(J1264="","",J1264-N(N1264))</f>
        <v/>
      </c>
      <c r="P1264" s="27">
        <f>IF(A1264="","",MONTH(A1264))</f>
        <v/>
      </c>
      <c r="Q1264" s="27">
        <f>IF(A1264="","",YEAR(A1264))</f>
        <v/>
      </c>
      <c r="R1264" s="27">
        <f>IF(L1264="","",IF(L1264&gt;Config!$B$8,"A cair",IF(N(G1264)&gt;=MIN(MAX(1,N(E1264)),MAX(0,INT((Config!$B$8-L1264)/30)+1)),IF(N(G1264)&gt;=MAX(1,N(E1264)),"Conferido","Conferido até aqui"),"A conferir")))</f>
        <v/>
      </c>
      <c r="S1264" s="51">
        <f>IF(R1264="A conferir",(Config!$B$8-L1264)*1000+N(F1264)/1000+ROW()/100000,0)</f>
        <v>0</v>
      </c>
      <c r="T1264" s="51">
        <f>IF(R1264="A conferir",N(N1264),0)</f>
        <v>0</v>
      </c>
      <c r="U1264" s="51">
        <f>IF(L1264="",0,L1264)</f>
        <v>0</v>
      </c>
      <c r="V1264" s="51">
        <f>IF(L1264="",0,MAX(1,N(E1264)))</f>
        <v>0</v>
      </c>
      <c r="W1264" s="51">
        <f>IF(K1264="",0,K1264)</f>
        <v>0</v>
      </c>
    </row>
    <row r="1265">
      <c r="A1265" s="49" t="n"/>
      <c r="B1265" s="41" t="n"/>
      <c r="C1265" s="41" t="n"/>
      <c r="D1265" s="42" t="n"/>
      <c r="E1265" s="42" t="n"/>
      <c r="F1265" s="50" t="n"/>
      <c r="G1265" s="42" t="n"/>
      <c r="H1265" s="30">
        <f>IF(D1265="","",IFERROR(INDEX(Config!$B$12:$B$15,MATCH(IF(AND(D1265="Cartão de crédito",N(E1265)&gt;1),"Cartão de crédito parcelado",D1265),Config!$A$12:$A$15,0)),0)+IF(AND(Config!$B$17="Sim",LEFT(D1265,17)="Cartão de crédito"),Config!$B$18*IFERROR(INDEX(Config!$C$12:$C$15,MATCH(IF(AND(D1265="Cartão de crédito",N(E1265)&gt;1),"Cartão de crédito parcelado",D1265),Config!$A$12:$A$15,0)),0)/30*MAX(1,N(E1265)),0))</f>
        <v/>
      </c>
      <c r="I1265" s="29">
        <f>IF(OR(D1265="",F1265=""),"",ROUND(F1265*H1265,2))</f>
        <v/>
      </c>
      <c r="J1265" s="29">
        <f>IF(I1265="","",F1265-I1265)</f>
        <v/>
      </c>
      <c r="K1265" s="29">
        <f>IF(J1265="","",J1265/MAX(1,N(E1265)))</f>
        <v/>
      </c>
      <c r="L1265" s="37">
        <f>IF(OR(D1265="",A1265=""),"",A1265+IF(AND(Config!$B$17="Sim",LEFT(D1265,17)="Cartão de crédito"),1,IFERROR(INDEX(Config!$C$12:$C$15,MATCH(IF(AND(D1265="Cartão de crédito",N(E1265)&gt;1),"Cartão de crédito parcelado",D1265),Config!$A$12:$A$15,0)),0)))</f>
        <v/>
      </c>
      <c r="M1265" s="37">
        <f>IF(L1265="","",IF(AND(Config!$B$17="Sim",LEFT(D1265,17)="Cartão de crédito"),L1265,L1265+30*(MAX(1,N(E1265))-1)))</f>
        <v/>
      </c>
      <c r="N1265" s="29">
        <f>IF(OR(L1265="",K1265=""),"",K1265*MIN(MAX(1,N(E1265)),MAX(0,INT((Config!$B$8-L1265)/30)+1)))</f>
        <v/>
      </c>
      <c r="O1265" s="29">
        <f>IF(J1265="","",J1265-N(N1265))</f>
        <v/>
      </c>
      <c r="P1265" s="27">
        <f>IF(A1265="","",MONTH(A1265))</f>
        <v/>
      </c>
      <c r="Q1265" s="27">
        <f>IF(A1265="","",YEAR(A1265))</f>
        <v/>
      </c>
      <c r="R1265" s="27">
        <f>IF(L1265="","",IF(L1265&gt;Config!$B$8,"A cair",IF(N(G1265)&gt;=MIN(MAX(1,N(E1265)),MAX(0,INT((Config!$B$8-L1265)/30)+1)),IF(N(G1265)&gt;=MAX(1,N(E1265)),"Conferido","Conferido até aqui"),"A conferir")))</f>
        <v/>
      </c>
      <c r="S1265" s="51">
        <f>IF(R1265="A conferir",(Config!$B$8-L1265)*1000+N(F1265)/1000+ROW()/100000,0)</f>
        <v>0</v>
      </c>
      <c r="T1265" s="51">
        <f>IF(R1265="A conferir",N(N1265),0)</f>
        <v>0</v>
      </c>
      <c r="U1265" s="51">
        <f>IF(L1265="",0,L1265)</f>
        <v>0</v>
      </c>
      <c r="V1265" s="51">
        <f>IF(L1265="",0,MAX(1,N(E1265)))</f>
        <v>0</v>
      </c>
      <c r="W1265" s="51">
        <f>IF(K1265="",0,K1265)</f>
        <v>0</v>
      </c>
    </row>
    <row r="1266">
      <c r="A1266" s="49" t="n"/>
      <c r="B1266" s="41" t="n"/>
      <c r="C1266" s="41" t="n"/>
      <c r="D1266" s="42" t="n"/>
      <c r="E1266" s="42" t="n"/>
      <c r="F1266" s="50" t="n"/>
      <c r="G1266" s="42" t="n"/>
      <c r="H1266" s="30">
        <f>IF(D1266="","",IFERROR(INDEX(Config!$B$12:$B$15,MATCH(IF(AND(D1266="Cartão de crédito",N(E1266)&gt;1),"Cartão de crédito parcelado",D1266),Config!$A$12:$A$15,0)),0)+IF(AND(Config!$B$17="Sim",LEFT(D1266,17)="Cartão de crédito"),Config!$B$18*IFERROR(INDEX(Config!$C$12:$C$15,MATCH(IF(AND(D1266="Cartão de crédito",N(E1266)&gt;1),"Cartão de crédito parcelado",D1266),Config!$A$12:$A$15,0)),0)/30*MAX(1,N(E1266)),0))</f>
        <v/>
      </c>
      <c r="I1266" s="29">
        <f>IF(OR(D1266="",F1266=""),"",ROUND(F1266*H1266,2))</f>
        <v/>
      </c>
      <c r="J1266" s="29">
        <f>IF(I1266="","",F1266-I1266)</f>
        <v/>
      </c>
      <c r="K1266" s="29">
        <f>IF(J1266="","",J1266/MAX(1,N(E1266)))</f>
        <v/>
      </c>
      <c r="L1266" s="37">
        <f>IF(OR(D1266="",A1266=""),"",A1266+IF(AND(Config!$B$17="Sim",LEFT(D1266,17)="Cartão de crédito"),1,IFERROR(INDEX(Config!$C$12:$C$15,MATCH(IF(AND(D1266="Cartão de crédito",N(E1266)&gt;1),"Cartão de crédito parcelado",D1266),Config!$A$12:$A$15,0)),0)))</f>
        <v/>
      </c>
      <c r="M1266" s="37">
        <f>IF(L1266="","",IF(AND(Config!$B$17="Sim",LEFT(D1266,17)="Cartão de crédito"),L1266,L1266+30*(MAX(1,N(E1266))-1)))</f>
        <v/>
      </c>
      <c r="N1266" s="29">
        <f>IF(OR(L1266="",K1266=""),"",K1266*MIN(MAX(1,N(E1266)),MAX(0,INT((Config!$B$8-L1266)/30)+1)))</f>
        <v/>
      </c>
      <c r="O1266" s="29">
        <f>IF(J1266="","",J1266-N(N1266))</f>
        <v/>
      </c>
      <c r="P1266" s="27">
        <f>IF(A1266="","",MONTH(A1266))</f>
        <v/>
      </c>
      <c r="Q1266" s="27">
        <f>IF(A1266="","",YEAR(A1266))</f>
        <v/>
      </c>
      <c r="R1266" s="27">
        <f>IF(L1266="","",IF(L1266&gt;Config!$B$8,"A cair",IF(N(G1266)&gt;=MIN(MAX(1,N(E1266)),MAX(0,INT((Config!$B$8-L1266)/30)+1)),IF(N(G1266)&gt;=MAX(1,N(E1266)),"Conferido","Conferido até aqui"),"A conferir")))</f>
        <v/>
      </c>
      <c r="S1266" s="51">
        <f>IF(R1266="A conferir",(Config!$B$8-L1266)*1000+N(F1266)/1000+ROW()/100000,0)</f>
        <v>0</v>
      </c>
      <c r="T1266" s="51">
        <f>IF(R1266="A conferir",N(N1266),0)</f>
        <v>0</v>
      </c>
      <c r="U1266" s="51">
        <f>IF(L1266="",0,L1266)</f>
        <v>0</v>
      </c>
      <c r="V1266" s="51">
        <f>IF(L1266="",0,MAX(1,N(E1266)))</f>
        <v>0</v>
      </c>
      <c r="W1266" s="51">
        <f>IF(K1266="",0,K1266)</f>
        <v>0</v>
      </c>
    </row>
    <row r="1267">
      <c r="A1267" s="49" t="n"/>
      <c r="B1267" s="41" t="n"/>
      <c r="C1267" s="41" t="n"/>
      <c r="D1267" s="42" t="n"/>
      <c r="E1267" s="42" t="n"/>
      <c r="F1267" s="50" t="n"/>
      <c r="G1267" s="42" t="n"/>
      <c r="H1267" s="30">
        <f>IF(D1267="","",IFERROR(INDEX(Config!$B$12:$B$15,MATCH(IF(AND(D1267="Cartão de crédito",N(E1267)&gt;1),"Cartão de crédito parcelado",D1267),Config!$A$12:$A$15,0)),0)+IF(AND(Config!$B$17="Sim",LEFT(D1267,17)="Cartão de crédito"),Config!$B$18*IFERROR(INDEX(Config!$C$12:$C$15,MATCH(IF(AND(D1267="Cartão de crédito",N(E1267)&gt;1),"Cartão de crédito parcelado",D1267),Config!$A$12:$A$15,0)),0)/30*MAX(1,N(E1267)),0))</f>
        <v/>
      </c>
      <c r="I1267" s="29">
        <f>IF(OR(D1267="",F1267=""),"",ROUND(F1267*H1267,2))</f>
        <v/>
      </c>
      <c r="J1267" s="29">
        <f>IF(I1267="","",F1267-I1267)</f>
        <v/>
      </c>
      <c r="K1267" s="29">
        <f>IF(J1267="","",J1267/MAX(1,N(E1267)))</f>
        <v/>
      </c>
      <c r="L1267" s="37">
        <f>IF(OR(D1267="",A1267=""),"",A1267+IF(AND(Config!$B$17="Sim",LEFT(D1267,17)="Cartão de crédito"),1,IFERROR(INDEX(Config!$C$12:$C$15,MATCH(IF(AND(D1267="Cartão de crédito",N(E1267)&gt;1),"Cartão de crédito parcelado",D1267),Config!$A$12:$A$15,0)),0)))</f>
        <v/>
      </c>
      <c r="M1267" s="37">
        <f>IF(L1267="","",IF(AND(Config!$B$17="Sim",LEFT(D1267,17)="Cartão de crédito"),L1267,L1267+30*(MAX(1,N(E1267))-1)))</f>
        <v/>
      </c>
      <c r="N1267" s="29">
        <f>IF(OR(L1267="",K1267=""),"",K1267*MIN(MAX(1,N(E1267)),MAX(0,INT((Config!$B$8-L1267)/30)+1)))</f>
        <v/>
      </c>
      <c r="O1267" s="29">
        <f>IF(J1267="","",J1267-N(N1267))</f>
        <v/>
      </c>
      <c r="P1267" s="27">
        <f>IF(A1267="","",MONTH(A1267))</f>
        <v/>
      </c>
      <c r="Q1267" s="27">
        <f>IF(A1267="","",YEAR(A1267))</f>
        <v/>
      </c>
      <c r="R1267" s="27">
        <f>IF(L1267="","",IF(L1267&gt;Config!$B$8,"A cair",IF(N(G1267)&gt;=MIN(MAX(1,N(E1267)),MAX(0,INT((Config!$B$8-L1267)/30)+1)),IF(N(G1267)&gt;=MAX(1,N(E1267)),"Conferido","Conferido até aqui"),"A conferir")))</f>
        <v/>
      </c>
      <c r="S1267" s="51">
        <f>IF(R1267="A conferir",(Config!$B$8-L1267)*1000+N(F1267)/1000+ROW()/100000,0)</f>
        <v>0</v>
      </c>
      <c r="T1267" s="51">
        <f>IF(R1267="A conferir",N(N1267),0)</f>
        <v>0</v>
      </c>
      <c r="U1267" s="51">
        <f>IF(L1267="",0,L1267)</f>
        <v>0</v>
      </c>
      <c r="V1267" s="51">
        <f>IF(L1267="",0,MAX(1,N(E1267)))</f>
        <v>0</v>
      </c>
      <c r="W1267" s="51">
        <f>IF(K1267="",0,K1267)</f>
        <v>0</v>
      </c>
    </row>
    <row r="1268">
      <c r="A1268" s="49" t="n"/>
      <c r="B1268" s="41" t="n"/>
      <c r="C1268" s="41" t="n"/>
      <c r="D1268" s="42" t="n"/>
      <c r="E1268" s="42" t="n"/>
      <c r="F1268" s="50" t="n"/>
      <c r="G1268" s="42" t="n"/>
      <c r="H1268" s="30">
        <f>IF(D1268="","",IFERROR(INDEX(Config!$B$12:$B$15,MATCH(IF(AND(D1268="Cartão de crédito",N(E1268)&gt;1),"Cartão de crédito parcelado",D1268),Config!$A$12:$A$15,0)),0)+IF(AND(Config!$B$17="Sim",LEFT(D1268,17)="Cartão de crédito"),Config!$B$18*IFERROR(INDEX(Config!$C$12:$C$15,MATCH(IF(AND(D1268="Cartão de crédito",N(E1268)&gt;1),"Cartão de crédito parcelado",D1268),Config!$A$12:$A$15,0)),0)/30*MAX(1,N(E1268)),0))</f>
        <v/>
      </c>
      <c r="I1268" s="29">
        <f>IF(OR(D1268="",F1268=""),"",ROUND(F1268*H1268,2))</f>
        <v/>
      </c>
      <c r="J1268" s="29">
        <f>IF(I1268="","",F1268-I1268)</f>
        <v/>
      </c>
      <c r="K1268" s="29">
        <f>IF(J1268="","",J1268/MAX(1,N(E1268)))</f>
        <v/>
      </c>
      <c r="L1268" s="37">
        <f>IF(OR(D1268="",A1268=""),"",A1268+IF(AND(Config!$B$17="Sim",LEFT(D1268,17)="Cartão de crédito"),1,IFERROR(INDEX(Config!$C$12:$C$15,MATCH(IF(AND(D1268="Cartão de crédito",N(E1268)&gt;1),"Cartão de crédito parcelado",D1268),Config!$A$12:$A$15,0)),0)))</f>
        <v/>
      </c>
      <c r="M1268" s="37">
        <f>IF(L1268="","",IF(AND(Config!$B$17="Sim",LEFT(D1268,17)="Cartão de crédito"),L1268,L1268+30*(MAX(1,N(E1268))-1)))</f>
        <v/>
      </c>
      <c r="N1268" s="29">
        <f>IF(OR(L1268="",K1268=""),"",K1268*MIN(MAX(1,N(E1268)),MAX(0,INT((Config!$B$8-L1268)/30)+1)))</f>
        <v/>
      </c>
      <c r="O1268" s="29">
        <f>IF(J1268="","",J1268-N(N1268))</f>
        <v/>
      </c>
      <c r="P1268" s="27">
        <f>IF(A1268="","",MONTH(A1268))</f>
        <v/>
      </c>
      <c r="Q1268" s="27">
        <f>IF(A1268="","",YEAR(A1268))</f>
        <v/>
      </c>
      <c r="R1268" s="27">
        <f>IF(L1268="","",IF(L1268&gt;Config!$B$8,"A cair",IF(N(G1268)&gt;=MIN(MAX(1,N(E1268)),MAX(0,INT((Config!$B$8-L1268)/30)+1)),IF(N(G1268)&gt;=MAX(1,N(E1268)),"Conferido","Conferido até aqui"),"A conferir")))</f>
        <v/>
      </c>
      <c r="S1268" s="51">
        <f>IF(R1268="A conferir",(Config!$B$8-L1268)*1000+N(F1268)/1000+ROW()/100000,0)</f>
        <v>0</v>
      </c>
      <c r="T1268" s="51">
        <f>IF(R1268="A conferir",N(N1268),0)</f>
        <v>0</v>
      </c>
      <c r="U1268" s="51">
        <f>IF(L1268="",0,L1268)</f>
        <v>0</v>
      </c>
      <c r="V1268" s="51">
        <f>IF(L1268="",0,MAX(1,N(E1268)))</f>
        <v>0</v>
      </c>
      <c r="W1268" s="51">
        <f>IF(K1268="",0,K1268)</f>
        <v>0</v>
      </c>
    </row>
    <row r="1269">
      <c r="A1269" s="49" t="n"/>
      <c r="B1269" s="41" t="n"/>
      <c r="C1269" s="41" t="n"/>
      <c r="D1269" s="42" t="n"/>
      <c r="E1269" s="42" t="n"/>
      <c r="F1269" s="50" t="n"/>
      <c r="G1269" s="42" t="n"/>
      <c r="H1269" s="30">
        <f>IF(D1269="","",IFERROR(INDEX(Config!$B$12:$B$15,MATCH(IF(AND(D1269="Cartão de crédito",N(E1269)&gt;1),"Cartão de crédito parcelado",D1269),Config!$A$12:$A$15,0)),0)+IF(AND(Config!$B$17="Sim",LEFT(D1269,17)="Cartão de crédito"),Config!$B$18*IFERROR(INDEX(Config!$C$12:$C$15,MATCH(IF(AND(D1269="Cartão de crédito",N(E1269)&gt;1),"Cartão de crédito parcelado",D1269),Config!$A$12:$A$15,0)),0)/30*MAX(1,N(E1269)),0))</f>
        <v/>
      </c>
      <c r="I1269" s="29">
        <f>IF(OR(D1269="",F1269=""),"",ROUND(F1269*H1269,2))</f>
        <v/>
      </c>
      <c r="J1269" s="29">
        <f>IF(I1269="","",F1269-I1269)</f>
        <v/>
      </c>
      <c r="K1269" s="29">
        <f>IF(J1269="","",J1269/MAX(1,N(E1269)))</f>
        <v/>
      </c>
      <c r="L1269" s="37">
        <f>IF(OR(D1269="",A1269=""),"",A1269+IF(AND(Config!$B$17="Sim",LEFT(D1269,17)="Cartão de crédito"),1,IFERROR(INDEX(Config!$C$12:$C$15,MATCH(IF(AND(D1269="Cartão de crédito",N(E1269)&gt;1),"Cartão de crédito parcelado",D1269),Config!$A$12:$A$15,0)),0)))</f>
        <v/>
      </c>
      <c r="M1269" s="37">
        <f>IF(L1269="","",IF(AND(Config!$B$17="Sim",LEFT(D1269,17)="Cartão de crédito"),L1269,L1269+30*(MAX(1,N(E1269))-1)))</f>
        <v/>
      </c>
      <c r="N1269" s="29">
        <f>IF(OR(L1269="",K1269=""),"",K1269*MIN(MAX(1,N(E1269)),MAX(0,INT((Config!$B$8-L1269)/30)+1)))</f>
        <v/>
      </c>
      <c r="O1269" s="29">
        <f>IF(J1269="","",J1269-N(N1269))</f>
        <v/>
      </c>
      <c r="P1269" s="27">
        <f>IF(A1269="","",MONTH(A1269))</f>
        <v/>
      </c>
      <c r="Q1269" s="27">
        <f>IF(A1269="","",YEAR(A1269))</f>
        <v/>
      </c>
      <c r="R1269" s="27">
        <f>IF(L1269="","",IF(L1269&gt;Config!$B$8,"A cair",IF(N(G1269)&gt;=MIN(MAX(1,N(E1269)),MAX(0,INT((Config!$B$8-L1269)/30)+1)),IF(N(G1269)&gt;=MAX(1,N(E1269)),"Conferido","Conferido até aqui"),"A conferir")))</f>
        <v/>
      </c>
      <c r="S1269" s="51">
        <f>IF(R1269="A conferir",(Config!$B$8-L1269)*1000+N(F1269)/1000+ROW()/100000,0)</f>
        <v>0</v>
      </c>
      <c r="T1269" s="51">
        <f>IF(R1269="A conferir",N(N1269),0)</f>
        <v>0</v>
      </c>
      <c r="U1269" s="51">
        <f>IF(L1269="",0,L1269)</f>
        <v>0</v>
      </c>
      <c r="V1269" s="51">
        <f>IF(L1269="",0,MAX(1,N(E1269)))</f>
        <v>0</v>
      </c>
      <c r="W1269" s="51">
        <f>IF(K1269="",0,K1269)</f>
        <v>0</v>
      </c>
    </row>
    <row r="1270">
      <c r="A1270" s="49" t="n"/>
      <c r="B1270" s="41" t="n"/>
      <c r="C1270" s="41" t="n"/>
      <c r="D1270" s="42" t="n"/>
      <c r="E1270" s="42" t="n"/>
      <c r="F1270" s="50" t="n"/>
      <c r="G1270" s="42" t="n"/>
      <c r="H1270" s="30">
        <f>IF(D1270="","",IFERROR(INDEX(Config!$B$12:$B$15,MATCH(IF(AND(D1270="Cartão de crédito",N(E1270)&gt;1),"Cartão de crédito parcelado",D1270),Config!$A$12:$A$15,0)),0)+IF(AND(Config!$B$17="Sim",LEFT(D1270,17)="Cartão de crédito"),Config!$B$18*IFERROR(INDEX(Config!$C$12:$C$15,MATCH(IF(AND(D1270="Cartão de crédito",N(E1270)&gt;1),"Cartão de crédito parcelado",D1270),Config!$A$12:$A$15,0)),0)/30*MAX(1,N(E1270)),0))</f>
        <v/>
      </c>
      <c r="I1270" s="29">
        <f>IF(OR(D1270="",F1270=""),"",ROUND(F1270*H1270,2))</f>
        <v/>
      </c>
      <c r="J1270" s="29">
        <f>IF(I1270="","",F1270-I1270)</f>
        <v/>
      </c>
      <c r="K1270" s="29">
        <f>IF(J1270="","",J1270/MAX(1,N(E1270)))</f>
        <v/>
      </c>
      <c r="L1270" s="37">
        <f>IF(OR(D1270="",A1270=""),"",A1270+IF(AND(Config!$B$17="Sim",LEFT(D1270,17)="Cartão de crédito"),1,IFERROR(INDEX(Config!$C$12:$C$15,MATCH(IF(AND(D1270="Cartão de crédito",N(E1270)&gt;1),"Cartão de crédito parcelado",D1270),Config!$A$12:$A$15,0)),0)))</f>
        <v/>
      </c>
      <c r="M1270" s="37">
        <f>IF(L1270="","",IF(AND(Config!$B$17="Sim",LEFT(D1270,17)="Cartão de crédito"),L1270,L1270+30*(MAX(1,N(E1270))-1)))</f>
        <v/>
      </c>
      <c r="N1270" s="29">
        <f>IF(OR(L1270="",K1270=""),"",K1270*MIN(MAX(1,N(E1270)),MAX(0,INT((Config!$B$8-L1270)/30)+1)))</f>
        <v/>
      </c>
      <c r="O1270" s="29">
        <f>IF(J1270="","",J1270-N(N1270))</f>
        <v/>
      </c>
      <c r="P1270" s="27">
        <f>IF(A1270="","",MONTH(A1270))</f>
        <v/>
      </c>
      <c r="Q1270" s="27">
        <f>IF(A1270="","",YEAR(A1270))</f>
        <v/>
      </c>
      <c r="R1270" s="27">
        <f>IF(L1270="","",IF(L1270&gt;Config!$B$8,"A cair",IF(N(G1270)&gt;=MIN(MAX(1,N(E1270)),MAX(0,INT((Config!$B$8-L1270)/30)+1)),IF(N(G1270)&gt;=MAX(1,N(E1270)),"Conferido","Conferido até aqui"),"A conferir")))</f>
        <v/>
      </c>
      <c r="S1270" s="51">
        <f>IF(R1270="A conferir",(Config!$B$8-L1270)*1000+N(F1270)/1000+ROW()/100000,0)</f>
        <v>0</v>
      </c>
      <c r="T1270" s="51">
        <f>IF(R1270="A conferir",N(N1270),0)</f>
        <v>0</v>
      </c>
      <c r="U1270" s="51">
        <f>IF(L1270="",0,L1270)</f>
        <v>0</v>
      </c>
      <c r="V1270" s="51">
        <f>IF(L1270="",0,MAX(1,N(E1270)))</f>
        <v>0</v>
      </c>
      <c r="W1270" s="51">
        <f>IF(K1270="",0,K1270)</f>
        <v>0</v>
      </c>
    </row>
    <row r="1271">
      <c r="A1271" s="49" t="n"/>
      <c r="B1271" s="41" t="n"/>
      <c r="C1271" s="41" t="n"/>
      <c r="D1271" s="42" t="n"/>
      <c r="E1271" s="42" t="n"/>
      <c r="F1271" s="50" t="n"/>
      <c r="G1271" s="42" t="n"/>
      <c r="H1271" s="30">
        <f>IF(D1271="","",IFERROR(INDEX(Config!$B$12:$B$15,MATCH(IF(AND(D1271="Cartão de crédito",N(E1271)&gt;1),"Cartão de crédito parcelado",D1271),Config!$A$12:$A$15,0)),0)+IF(AND(Config!$B$17="Sim",LEFT(D1271,17)="Cartão de crédito"),Config!$B$18*IFERROR(INDEX(Config!$C$12:$C$15,MATCH(IF(AND(D1271="Cartão de crédito",N(E1271)&gt;1),"Cartão de crédito parcelado",D1271),Config!$A$12:$A$15,0)),0)/30*MAX(1,N(E1271)),0))</f>
        <v/>
      </c>
      <c r="I1271" s="29">
        <f>IF(OR(D1271="",F1271=""),"",ROUND(F1271*H1271,2))</f>
        <v/>
      </c>
      <c r="J1271" s="29">
        <f>IF(I1271="","",F1271-I1271)</f>
        <v/>
      </c>
      <c r="K1271" s="29">
        <f>IF(J1271="","",J1271/MAX(1,N(E1271)))</f>
        <v/>
      </c>
      <c r="L1271" s="37">
        <f>IF(OR(D1271="",A1271=""),"",A1271+IF(AND(Config!$B$17="Sim",LEFT(D1271,17)="Cartão de crédito"),1,IFERROR(INDEX(Config!$C$12:$C$15,MATCH(IF(AND(D1271="Cartão de crédito",N(E1271)&gt;1),"Cartão de crédito parcelado",D1271),Config!$A$12:$A$15,0)),0)))</f>
        <v/>
      </c>
      <c r="M1271" s="37">
        <f>IF(L1271="","",IF(AND(Config!$B$17="Sim",LEFT(D1271,17)="Cartão de crédito"),L1271,L1271+30*(MAX(1,N(E1271))-1)))</f>
        <v/>
      </c>
      <c r="N1271" s="29">
        <f>IF(OR(L1271="",K1271=""),"",K1271*MIN(MAX(1,N(E1271)),MAX(0,INT((Config!$B$8-L1271)/30)+1)))</f>
        <v/>
      </c>
      <c r="O1271" s="29">
        <f>IF(J1271="","",J1271-N(N1271))</f>
        <v/>
      </c>
      <c r="P1271" s="27">
        <f>IF(A1271="","",MONTH(A1271))</f>
        <v/>
      </c>
      <c r="Q1271" s="27">
        <f>IF(A1271="","",YEAR(A1271))</f>
        <v/>
      </c>
      <c r="R1271" s="27">
        <f>IF(L1271="","",IF(L1271&gt;Config!$B$8,"A cair",IF(N(G1271)&gt;=MIN(MAX(1,N(E1271)),MAX(0,INT((Config!$B$8-L1271)/30)+1)),IF(N(G1271)&gt;=MAX(1,N(E1271)),"Conferido","Conferido até aqui"),"A conferir")))</f>
        <v/>
      </c>
      <c r="S1271" s="51">
        <f>IF(R1271="A conferir",(Config!$B$8-L1271)*1000+N(F1271)/1000+ROW()/100000,0)</f>
        <v>0</v>
      </c>
      <c r="T1271" s="51">
        <f>IF(R1271="A conferir",N(N1271),0)</f>
        <v>0</v>
      </c>
      <c r="U1271" s="51">
        <f>IF(L1271="",0,L1271)</f>
        <v>0</v>
      </c>
      <c r="V1271" s="51">
        <f>IF(L1271="",0,MAX(1,N(E1271)))</f>
        <v>0</v>
      </c>
      <c r="W1271" s="51">
        <f>IF(K1271="",0,K1271)</f>
        <v>0</v>
      </c>
    </row>
    <row r="1272">
      <c r="A1272" s="49" t="n"/>
      <c r="B1272" s="41" t="n"/>
      <c r="C1272" s="41" t="n"/>
      <c r="D1272" s="42" t="n"/>
      <c r="E1272" s="42" t="n"/>
      <c r="F1272" s="50" t="n"/>
      <c r="G1272" s="42" t="n"/>
      <c r="H1272" s="30">
        <f>IF(D1272="","",IFERROR(INDEX(Config!$B$12:$B$15,MATCH(IF(AND(D1272="Cartão de crédito",N(E1272)&gt;1),"Cartão de crédito parcelado",D1272),Config!$A$12:$A$15,0)),0)+IF(AND(Config!$B$17="Sim",LEFT(D1272,17)="Cartão de crédito"),Config!$B$18*IFERROR(INDEX(Config!$C$12:$C$15,MATCH(IF(AND(D1272="Cartão de crédito",N(E1272)&gt;1),"Cartão de crédito parcelado",D1272),Config!$A$12:$A$15,0)),0)/30*MAX(1,N(E1272)),0))</f>
        <v/>
      </c>
      <c r="I1272" s="29">
        <f>IF(OR(D1272="",F1272=""),"",ROUND(F1272*H1272,2))</f>
        <v/>
      </c>
      <c r="J1272" s="29">
        <f>IF(I1272="","",F1272-I1272)</f>
        <v/>
      </c>
      <c r="K1272" s="29">
        <f>IF(J1272="","",J1272/MAX(1,N(E1272)))</f>
        <v/>
      </c>
      <c r="L1272" s="37">
        <f>IF(OR(D1272="",A1272=""),"",A1272+IF(AND(Config!$B$17="Sim",LEFT(D1272,17)="Cartão de crédito"),1,IFERROR(INDEX(Config!$C$12:$C$15,MATCH(IF(AND(D1272="Cartão de crédito",N(E1272)&gt;1),"Cartão de crédito parcelado",D1272),Config!$A$12:$A$15,0)),0)))</f>
        <v/>
      </c>
      <c r="M1272" s="37">
        <f>IF(L1272="","",IF(AND(Config!$B$17="Sim",LEFT(D1272,17)="Cartão de crédito"),L1272,L1272+30*(MAX(1,N(E1272))-1)))</f>
        <v/>
      </c>
      <c r="N1272" s="29">
        <f>IF(OR(L1272="",K1272=""),"",K1272*MIN(MAX(1,N(E1272)),MAX(0,INT((Config!$B$8-L1272)/30)+1)))</f>
        <v/>
      </c>
      <c r="O1272" s="29">
        <f>IF(J1272="","",J1272-N(N1272))</f>
        <v/>
      </c>
      <c r="P1272" s="27">
        <f>IF(A1272="","",MONTH(A1272))</f>
        <v/>
      </c>
      <c r="Q1272" s="27">
        <f>IF(A1272="","",YEAR(A1272))</f>
        <v/>
      </c>
      <c r="R1272" s="27">
        <f>IF(L1272="","",IF(L1272&gt;Config!$B$8,"A cair",IF(N(G1272)&gt;=MIN(MAX(1,N(E1272)),MAX(0,INT((Config!$B$8-L1272)/30)+1)),IF(N(G1272)&gt;=MAX(1,N(E1272)),"Conferido","Conferido até aqui"),"A conferir")))</f>
        <v/>
      </c>
      <c r="S1272" s="51">
        <f>IF(R1272="A conferir",(Config!$B$8-L1272)*1000+N(F1272)/1000+ROW()/100000,0)</f>
        <v>0</v>
      </c>
      <c r="T1272" s="51">
        <f>IF(R1272="A conferir",N(N1272),0)</f>
        <v>0</v>
      </c>
      <c r="U1272" s="51">
        <f>IF(L1272="",0,L1272)</f>
        <v>0</v>
      </c>
      <c r="V1272" s="51">
        <f>IF(L1272="",0,MAX(1,N(E1272)))</f>
        <v>0</v>
      </c>
      <c r="W1272" s="51">
        <f>IF(K1272="",0,K1272)</f>
        <v>0</v>
      </c>
    </row>
    <row r="1273">
      <c r="A1273" s="49" t="n"/>
      <c r="B1273" s="41" t="n"/>
      <c r="C1273" s="41" t="n"/>
      <c r="D1273" s="42" t="n"/>
      <c r="E1273" s="42" t="n"/>
      <c r="F1273" s="50" t="n"/>
      <c r="G1273" s="42" t="n"/>
      <c r="H1273" s="30">
        <f>IF(D1273="","",IFERROR(INDEX(Config!$B$12:$B$15,MATCH(IF(AND(D1273="Cartão de crédito",N(E1273)&gt;1),"Cartão de crédito parcelado",D1273),Config!$A$12:$A$15,0)),0)+IF(AND(Config!$B$17="Sim",LEFT(D1273,17)="Cartão de crédito"),Config!$B$18*IFERROR(INDEX(Config!$C$12:$C$15,MATCH(IF(AND(D1273="Cartão de crédito",N(E1273)&gt;1),"Cartão de crédito parcelado",D1273),Config!$A$12:$A$15,0)),0)/30*MAX(1,N(E1273)),0))</f>
        <v/>
      </c>
      <c r="I1273" s="29">
        <f>IF(OR(D1273="",F1273=""),"",ROUND(F1273*H1273,2))</f>
        <v/>
      </c>
      <c r="J1273" s="29">
        <f>IF(I1273="","",F1273-I1273)</f>
        <v/>
      </c>
      <c r="K1273" s="29">
        <f>IF(J1273="","",J1273/MAX(1,N(E1273)))</f>
        <v/>
      </c>
      <c r="L1273" s="37">
        <f>IF(OR(D1273="",A1273=""),"",A1273+IF(AND(Config!$B$17="Sim",LEFT(D1273,17)="Cartão de crédito"),1,IFERROR(INDEX(Config!$C$12:$C$15,MATCH(IF(AND(D1273="Cartão de crédito",N(E1273)&gt;1),"Cartão de crédito parcelado",D1273),Config!$A$12:$A$15,0)),0)))</f>
        <v/>
      </c>
      <c r="M1273" s="37">
        <f>IF(L1273="","",IF(AND(Config!$B$17="Sim",LEFT(D1273,17)="Cartão de crédito"),L1273,L1273+30*(MAX(1,N(E1273))-1)))</f>
        <v/>
      </c>
      <c r="N1273" s="29">
        <f>IF(OR(L1273="",K1273=""),"",K1273*MIN(MAX(1,N(E1273)),MAX(0,INT((Config!$B$8-L1273)/30)+1)))</f>
        <v/>
      </c>
      <c r="O1273" s="29">
        <f>IF(J1273="","",J1273-N(N1273))</f>
        <v/>
      </c>
      <c r="P1273" s="27">
        <f>IF(A1273="","",MONTH(A1273))</f>
        <v/>
      </c>
      <c r="Q1273" s="27">
        <f>IF(A1273="","",YEAR(A1273))</f>
        <v/>
      </c>
      <c r="R1273" s="27">
        <f>IF(L1273="","",IF(L1273&gt;Config!$B$8,"A cair",IF(N(G1273)&gt;=MIN(MAX(1,N(E1273)),MAX(0,INT((Config!$B$8-L1273)/30)+1)),IF(N(G1273)&gt;=MAX(1,N(E1273)),"Conferido","Conferido até aqui"),"A conferir")))</f>
        <v/>
      </c>
      <c r="S1273" s="51">
        <f>IF(R1273="A conferir",(Config!$B$8-L1273)*1000+N(F1273)/1000+ROW()/100000,0)</f>
        <v>0</v>
      </c>
      <c r="T1273" s="51">
        <f>IF(R1273="A conferir",N(N1273),0)</f>
        <v>0</v>
      </c>
      <c r="U1273" s="51">
        <f>IF(L1273="",0,L1273)</f>
        <v>0</v>
      </c>
      <c r="V1273" s="51">
        <f>IF(L1273="",0,MAX(1,N(E1273)))</f>
        <v>0</v>
      </c>
      <c r="W1273" s="51">
        <f>IF(K1273="",0,K1273)</f>
        <v>0</v>
      </c>
    </row>
    <row r="1274">
      <c r="A1274" s="49" t="n"/>
      <c r="B1274" s="41" t="n"/>
      <c r="C1274" s="41" t="n"/>
      <c r="D1274" s="42" t="n"/>
      <c r="E1274" s="42" t="n"/>
      <c r="F1274" s="50" t="n"/>
      <c r="G1274" s="42" t="n"/>
      <c r="H1274" s="30">
        <f>IF(D1274="","",IFERROR(INDEX(Config!$B$12:$B$15,MATCH(IF(AND(D1274="Cartão de crédito",N(E1274)&gt;1),"Cartão de crédito parcelado",D1274),Config!$A$12:$A$15,0)),0)+IF(AND(Config!$B$17="Sim",LEFT(D1274,17)="Cartão de crédito"),Config!$B$18*IFERROR(INDEX(Config!$C$12:$C$15,MATCH(IF(AND(D1274="Cartão de crédito",N(E1274)&gt;1),"Cartão de crédito parcelado",D1274),Config!$A$12:$A$15,0)),0)/30*MAX(1,N(E1274)),0))</f>
        <v/>
      </c>
      <c r="I1274" s="29">
        <f>IF(OR(D1274="",F1274=""),"",ROUND(F1274*H1274,2))</f>
        <v/>
      </c>
      <c r="J1274" s="29">
        <f>IF(I1274="","",F1274-I1274)</f>
        <v/>
      </c>
      <c r="K1274" s="29">
        <f>IF(J1274="","",J1274/MAX(1,N(E1274)))</f>
        <v/>
      </c>
      <c r="L1274" s="37">
        <f>IF(OR(D1274="",A1274=""),"",A1274+IF(AND(Config!$B$17="Sim",LEFT(D1274,17)="Cartão de crédito"),1,IFERROR(INDEX(Config!$C$12:$C$15,MATCH(IF(AND(D1274="Cartão de crédito",N(E1274)&gt;1),"Cartão de crédito parcelado",D1274),Config!$A$12:$A$15,0)),0)))</f>
        <v/>
      </c>
      <c r="M1274" s="37">
        <f>IF(L1274="","",IF(AND(Config!$B$17="Sim",LEFT(D1274,17)="Cartão de crédito"),L1274,L1274+30*(MAX(1,N(E1274))-1)))</f>
        <v/>
      </c>
      <c r="N1274" s="29">
        <f>IF(OR(L1274="",K1274=""),"",K1274*MIN(MAX(1,N(E1274)),MAX(0,INT((Config!$B$8-L1274)/30)+1)))</f>
        <v/>
      </c>
      <c r="O1274" s="29">
        <f>IF(J1274="","",J1274-N(N1274))</f>
        <v/>
      </c>
      <c r="P1274" s="27">
        <f>IF(A1274="","",MONTH(A1274))</f>
        <v/>
      </c>
      <c r="Q1274" s="27">
        <f>IF(A1274="","",YEAR(A1274))</f>
        <v/>
      </c>
      <c r="R1274" s="27">
        <f>IF(L1274="","",IF(L1274&gt;Config!$B$8,"A cair",IF(N(G1274)&gt;=MIN(MAX(1,N(E1274)),MAX(0,INT((Config!$B$8-L1274)/30)+1)),IF(N(G1274)&gt;=MAX(1,N(E1274)),"Conferido","Conferido até aqui"),"A conferir")))</f>
        <v/>
      </c>
      <c r="S1274" s="51">
        <f>IF(R1274="A conferir",(Config!$B$8-L1274)*1000+N(F1274)/1000+ROW()/100000,0)</f>
        <v>0</v>
      </c>
      <c r="T1274" s="51">
        <f>IF(R1274="A conferir",N(N1274),0)</f>
        <v>0</v>
      </c>
      <c r="U1274" s="51">
        <f>IF(L1274="",0,L1274)</f>
        <v>0</v>
      </c>
      <c r="V1274" s="51">
        <f>IF(L1274="",0,MAX(1,N(E1274)))</f>
        <v>0</v>
      </c>
      <c r="W1274" s="51">
        <f>IF(K1274="",0,K1274)</f>
        <v>0</v>
      </c>
    </row>
    <row r="1275">
      <c r="A1275" s="49" t="n"/>
      <c r="B1275" s="41" t="n"/>
      <c r="C1275" s="41" t="n"/>
      <c r="D1275" s="42" t="n"/>
      <c r="E1275" s="42" t="n"/>
      <c r="F1275" s="50" t="n"/>
      <c r="G1275" s="42" t="n"/>
      <c r="H1275" s="30">
        <f>IF(D1275="","",IFERROR(INDEX(Config!$B$12:$B$15,MATCH(IF(AND(D1275="Cartão de crédito",N(E1275)&gt;1),"Cartão de crédito parcelado",D1275),Config!$A$12:$A$15,0)),0)+IF(AND(Config!$B$17="Sim",LEFT(D1275,17)="Cartão de crédito"),Config!$B$18*IFERROR(INDEX(Config!$C$12:$C$15,MATCH(IF(AND(D1275="Cartão de crédito",N(E1275)&gt;1),"Cartão de crédito parcelado",D1275),Config!$A$12:$A$15,0)),0)/30*MAX(1,N(E1275)),0))</f>
        <v/>
      </c>
      <c r="I1275" s="29">
        <f>IF(OR(D1275="",F1275=""),"",ROUND(F1275*H1275,2))</f>
        <v/>
      </c>
      <c r="J1275" s="29">
        <f>IF(I1275="","",F1275-I1275)</f>
        <v/>
      </c>
      <c r="K1275" s="29">
        <f>IF(J1275="","",J1275/MAX(1,N(E1275)))</f>
        <v/>
      </c>
      <c r="L1275" s="37">
        <f>IF(OR(D1275="",A1275=""),"",A1275+IF(AND(Config!$B$17="Sim",LEFT(D1275,17)="Cartão de crédito"),1,IFERROR(INDEX(Config!$C$12:$C$15,MATCH(IF(AND(D1275="Cartão de crédito",N(E1275)&gt;1),"Cartão de crédito parcelado",D1275),Config!$A$12:$A$15,0)),0)))</f>
        <v/>
      </c>
      <c r="M1275" s="37">
        <f>IF(L1275="","",IF(AND(Config!$B$17="Sim",LEFT(D1275,17)="Cartão de crédito"),L1275,L1275+30*(MAX(1,N(E1275))-1)))</f>
        <v/>
      </c>
      <c r="N1275" s="29">
        <f>IF(OR(L1275="",K1275=""),"",K1275*MIN(MAX(1,N(E1275)),MAX(0,INT((Config!$B$8-L1275)/30)+1)))</f>
        <v/>
      </c>
      <c r="O1275" s="29">
        <f>IF(J1275="","",J1275-N(N1275))</f>
        <v/>
      </c>
      <c r="P1275" s="27">
        <f>IF(A1275="","",MONTH(A1275))</f>
        <v/>
      </c>
      <c r="Q1275" s="27">
        <f>IF(A1275="","",YEAR(A1275))</f>
        <v/>
      </c>
      <c r="R1275" s="27">
        <f>IF(L1275="","",IF(L1275&gt;Config!$B$8,"A cair",IF(N(G1275)&gt;=MIN(MAX(1,N(E1275)),MAX(0,INT((Config!$B$8-L1275)/30)+1)),IF(N(G1275)&gt;=MAX(1,N(E1275)),"Conferido","Conferido até aqui"),"A conferir")))</f>
        <v/>
      </c>
      <c r="S1275" s="51">
        <f>IF(R1275="A conferir",(Config!$B$8-L1275)*1000+N(F1275)/1000+ROW()/100000,0)</f>
        <v>0</v>
      </c>
      <c r="T1275" s="51">
        <f>IF(R1275="A conferir",N(N1275),0)</f>
        <v>0</v>
      </c>
      <c r="U1275" s="51">
        <f>IF(L1275="",0,L1275)</f>
        <v>0</v>
      </c>
      <c r="V1275" s="51">
        <f>IF(L1275="",0,MAX(1,N(E1275)))</f>
        <v>0</v>
      </c>
      <c r="W1275" s="51">
        <f>IF(K1275="",0,K1275)</f>
        <v>0</v>
      </c>
    </row>
    <row r="1276">
      <c r="A1276" s="49" t="n"/>
      <c r="B1276" s="41" t="n"/>
      <c r="C1276" s="41" t="n"/>
      <c r="D1276" s="42" t="n"/>
      <c r="E1276" s="42" t="n"/>
      <c r="F1276" s="50" t="n"/>
      <c r="G1276" s="42" t="n"/>
      <c r="H1276" s="30">
        <f>IF(D1276="","",IFERROR(INDEX(Config!$B$12:$B$15,MATCH(IF(AND(D1276="Cartão de crédito",N(E1276)&gt;1),"Cartão de crédito parcelado",D1276),Config!$A$12:$A$15,0)),0)+IF(AND(Config!$B$17="Sim",LEFT(D1276,17)="Cartão de crédito"),Config!$B$18*IFERROR(INDEX(Config!$C$12:$C$15,MATCH(IF(AND(D1276="Cartão de crédito",N(E1276)&gt;1),"Cartão de crédito parcelado",D1276),Config!$A$12:$A$15,0)),0)/30*MAX(1,N(E1276)),0))</f>
        <v/>
      </c>
      <c r="I1276" s="29">
        <f>IF(OR(D1276="",F1276=""),"",ROUND(F1276*H1276,2))</f>
        <v/>
      </c>
      <c r="J1276" s="29">
        <f>IF(I1276="","",F1276-I1276)</f>
        <v/>
      </c>
      <c r="K1276" s="29">
        <f>IF(J1276="","",J1276/MAX(1,N(E1276)))</f>
        <v/>
      </c>
      <c r="L1276" s="37">
        <f>IF(OR(D1276="",A1276=""),"",A1276+IF(AND(Config!$B$17="Sim",LEFT(D1276,17)="Cartão de crédito"),1,IFERROR(INDEX(Config!$C$12:$C$15,MATCH(IF(AND(D1276="Cartão de crédito",N(E1276)&gt;1),"Cartão de crédito parcelado",D1276),Config!$A$12:$A$15,0)),0)))</f>
        <v/>
      </c>
      <c r="M1276" s="37">
        <f>IF(L1276="","",IF(AND(Config!$B$17="Sim",LEFT(D1276,17)="Cartão de crédito"),L1276,L1276+30*(MAX(1,N(E1276))-1)))</f>
        <v/>
      </c>
      <c r="N1276" s="29">
        <f>IF(OR(L1276="",K1276=""),"",K1276*MIN(MAX(1,N(E1276)),MAX(0,INT((Config!$B$8-L1276)/30)+1)))</f>
        <v/>
      </c>
      <c r="O1276" s="29">
        <f>IF(J1276="","",J1276-N(N1276))</f>
        <v/>
      </c>
      <c r="P1276" s="27">
        <f>IF(A1276="","",MONTH(A1276))</f>
        <v/>
      </c>
      <c r="Q1276" s="27">
        <f>IF(A1276="","",YEAR(A1276))</f>
        <v/>
      </c>
      <c r="R1276" s="27">
        <f>IF(L1276="","",IF(L1276&gt;Config!$B$8,"A cair",IF(N(G1276)&gt;=MIN(MAX(1,N(E1276)),MAX(0,INT((Config!$B$8-L1276)/30)+1)),IF(N(G1276)&gt;=MAX(1,N(E1276)),"Conferido","Conferido até aqui"),"A conferir")))</f>
        <v/>
      </c>
      <c r="S1276" s="51">
        <f>IF(R1276="A conferir",(Config!$B$8-L1276)*1000+N(F1276)/1000+ROW()/100000,0)</f>
        <v>0</v>
      </c>
      <c r="T1276" s="51">
        <f>IF(R1276="A conferir",N(N1276),0)</f>
        <v>0</v>
      </c>
      <c r="U1276" s="51">
        <f>IF(L1276="",0,L1276)</f>
        <v>0</v>
      </c>
      <c r="V1276" s="51">
        <f>IF(L1276="",0,MAX(1,N(E1276)))</f>
        <v>0</v>
      </c>
      <c r="W1276" s="51">
        <f>IF(K1276="",0,K1276)</f>
        <v>0</v>
      </c>
    </row>
    <row r="1277">
      <c r="A1277" s="49" t="n"/>
      <c r="B1277" s="41" t="n"/>
      <c r="C1277" s="41" t="n"/>
      <c r="D1277" s="42" t="n"/>
      <c r="E1277" s="42" t="n"/>
      <c r="F1277" s="50" t="n"/>
      <c r="G1277" s="42" t="n"/>
      <c r="H1277" s="30">
        <f>IF(D1277="","",IFERROR(INDEX(Config!$B$12:$B$15,MATCH(IF(AND(D1277="Cartão de crédito",N(E1277)&gt;1),"Cartão de crédito parcelado",D1277),Config!$A$12:$A$15,0)),0)+IF(AND(Config!$B$17="Sim",LEFT(D1277,17)="Cartão de crédito"),Config!$B$18*IFERROR(INDEX(Config!$C$12:$C$15,MATCH(IF(AND(D1277="Cartão de crédito",N(E1277)&gt;1),"Cartão de crédito parcelado",D1277),Config!$A$12:$A$15,0)),0)/30*MAX(1,N(E1277)),0))</f>
        <v/>
      </c>
      <c r="I1277" s="29">
        <f>IF(OR(D1277="",F1277=""),"",ROUND(F1277*H1277,2))</f>
        <v/>
      </c>
      <c r="J1277" s="29">
        <f>IF(I1277="","",F1277-I1277)</f>
        <v/>
      </c>
      <c r="K1277" s="29">
        <f>IF(J1277="","",J1277/MAX(1,N(E1277)))</f>
        <v/>
      </c>
      <c r="L1277" s="37">
        <f>IF(OR(D1277="",A1277=""),"",A1277+IF(AND(Config!$B$17="Sim",LEFT(D1277,17)="Cartão de crédito"),1,IFERROR(INDEX(Config!$C$12:$C$15,MATCH(IF(AND(D1277="Cartão de crédito",N(E1277)&gt;1),"Cartão de crédito parcelado",D1277),Config!$A$12:$A$15,0)),0)))</f>
        <v/>
      </c>
      <c r="M1277" s="37">
        <f>IF(L1277="","",IF(AND(Config!$B$17="Sim",LEFT(D1277,17)="Cartão de crédito"),L1277,L1277+30*(MAX(1,N(E1277))-1)))</f>
        <v/>
      </c>
      <c r="N1277" s="29">
        <f>IF(OR(L1277="",K1277=""),"",K1277*MIN(MAX(1,N(E1277)),MAX(0,INT((Config!$B$8-L1277)/30)+1)))</f>
        <v/>
      </c>
      <c r="O1277" s="29">
        <f>IF(J1277="","",J1277-N(N1277))</f>
        <v/>
      </c>
      <c r="P1277" s="27">
        <f>IF(A1277="","",MONTH(A1277))</f>
        <v/>
      </c>
      <c r="Q1277" s="27">
        <f>IF(A1277="","",YEAR(A1277))</f>
        <v/>
      </c>
      <c r="R1277" s="27">
        <f>IF(L1277="","",IF(L1277&gt;Config!$B$8,"A cair",IF(N(G1277)&gt;=MIN(MAX(1,N(E1277)),MAX(0,INT((Config!$B$8-L1277)/30)+1)),IF(N(G1277)&gt;=MAX(1,N(E1277)),"Conferido","Conferido até aqui"),"A conferir")))</f>
        <v/>
      </c>
      <c r="S1277" s="51">
        <f>IF(R1277="A conferir",(Config!$B$8-L1277)*1000+N(F1277)/1000+ROW()/100000,0)</f>
        <v>0</v>
      </c>
      <c r="T1277" s="51">
        <f>IF(R1277="A conferir",N(N1277),0)</f>
        <v>0</v>
      </c>
      <c r="U1277" s="51">
        <f>IF(L1277="",0,L1277)</f>
        <v>0</v>
      </c>
      <c r="V1277" s="51">
        <f>IF(L1277="",0,MAX(1,N(E1277)))</f>
        <v>0</v>
      </c>
      <c r="W1277" s="51">
        <f>IF(K1277="",0,K1277)</f>
        <v>0</v>
      </c>
    </row>
    <row r="1278">
      <c r="A1278" s="49" t="n"/>
      <c r="B1278" s="41" t="n"/>
      <c r="C1278" s="41" t="n"/>
      <c r="D1278" s="42" t="n"/>
      <c r="E1278" s="42" t="n"/>
      <c r="F1278" s="50" t="n"/>
      <c r="G1278" s="42" t="n"/>
      <c r="H1278" s="30">
        <f>IF(D1278="","",IFERROR(INDEX(Config!$B$12:$B$15,MATCH(IF(AND(D1278="Cartão de crédito",N(E1278)&gt;1),"Cartão de crédito parcelado",D1278),Config!$A$12:$A$15,0)),0)+IF(AND(Config!$B$17="Sim",LEFT(D1278,17)="Cartão de crédito"),Config!$B$18*IFERROR(INDEX(Config!$C$12:$C$15,MATCH(IF(AND(D1278="Cartão de crédito",N(E1278)&gt;1),"Cartão de crédito parcelado",D1278),Config!$A$12:$A$15,0)),0)/30*MAX(1,N(E1278)),0))</f>
        <v/>
      </c>
      <c r="I1278" s="29">
        <f>IF(OR(D1278="",F1278=""),"",ROUND(F1278*H1278,2))</f>
        <v/>
      </c>
      <c r="J1278" s="29">
        <f>IF(I1278="","",F1278-I1278)</f>
        <v/>
      </c>
      <c r="K1278" s="29">
        <f>IF(J1278="","",J1278/MAX(1,N(E1278)))</f>
        <v/>
      </c>
      <c r="L1278" s="37">
        <f>IF(OR(D1278="",A1278=""),"",A1278+IF(AND(Config!$B$17="Sim",LEFT(D1278,17)="Cartão de crédito"),1,IFERROR(INDEX(Config!$C$12:$C$15,MATCH(IF(AND(D1278="Cartão de crédito",N(E1278)&gt;1),"Cartão de crédito parcelado",D1278),Config!$A$12:$A$15,0)),0)))</f>
        <v/>
      </c>
      <c r="M1278" s="37">
        <f>IF(L1278="","",IF(AND(Config!$B$17="Sim",LEFT(D1278,17)="Cartão de crédito"),L1278,L1278+30*(MAX(1,N(E1278))-1)))</f>
        <v/>
      </c>
      <c r="N1278" s="29">
        <f>IF(OR(L1278="",K1278=""),"",K1278*MIN(MAX(1,N(E1278)),MAX(0,INT((Config!$B$8-L1278)/30)+1)))</f>
        <v/>
      </c>
      <c r="O1278" s="29">
        <f>IF(J1278="","",J1278-N(N1278))</f>
        <v/>
      </c>
      <c r="P1278" s="27">
        <f>IF(A1278="","",MONTH(A1278))</f>
        <v/>
      </c>
      <c r="Q1278" s="27">
        <f>IF(A1278="","",YEAR(A1278))</f>
        <v/>
      </c>
      <c r="R1278" s="27">
        <f>IF(L1278="","",IF(L1278&gt;Config!$B$8,"A cair",IF(N(G1278)&gt;=MIN(MAX(1,N(E1278)),MAX(0,INT((Config!$B$8-L1278)/30)+1)),IF(N(G1278)&gt;=MAX(1,N(E1278)),"Conferido","Conferido até aqui"),"A conferir")))</f>
        <v/>
      </c>
      <c r="S1278" s="51">
        <f>IF(R1278="A conferir",(Config!$B$8-L1278)*1000+N(F1278)/1000+ROW()/100000,0)</f>
        <v>0</v>
      </c>
      <c r="T1278" s="51">
        <f>IF(R1278="A conferir",N(N1278),0)</f>
        <v>0</v>
      </c>
      <c r="U1278" s="51">
        <f>IF(L1278="",0,L1278)</f>
        <v>0</v>
      </c>
      <c r="V1278" s="51">
        <f>IF(L1278="",0,MAX(1,N(E1278)))</f>
        <v>0</v>
      </c>
      <c r="W1278" s="51">
        <f>IF(K1278="",0,K1278)</f>
        <v>0</v>
      </c>
    </row>
    <row r="1279">
      <c r="A1279" s="49" t="n"/>
      <c r="B1279" s="41" t="n"/>
      <c r="C1279" s="41" t="n"/>
      <c r="D1279" s="42" t="n"/>
      <c r="E1279" s="42" t="n"/>
      <c r="F1279" s="50" t="n"/>
      <c r="G1279" s="42" t="n"/>
      <c r="H1279" s="30">
        <f>IF(D1279="","",IFERROR(INDEX(Config!$B$12:$B$15,MATCH(IF(AND(D1279="Cartão de crédito",N(E1279)&gt;1),"Cartão de crédito parcelado",D1279),Config!$A$12:$A$15,0)),0)+IF(AND(Config!$B$17="Sim",LEFT(D1279,17)="Cartão de crédito"),Config!$B$18*IFERROR(INDEX(Config!$C$12:$C$15,MATCH(IF(AND(D1279="Cartão de crédito",N(E1279)&gt;1),"Cartão de crédito parcelado",D1279),Config!$A$12:$A$15,0)),0)/30*MAX(1,N(E1279)),0))</f>
        <v/>
      </c>
      <c r="I1279" s="29">
        <f>IF(OR(D1279="",F1279=""),"",ROUND(F1279*H1279,2))</f>
        <v/>
      </c>
      <c r="J1279" s="29">
        <f>IF(I1279="","",F1279-I1279)</f>
        <v/>
      </c>
      <c r="K1279" s="29">
        <f>IF(J1279="","",J1279/MAX(1,N(E1279)))</f>
        <v/>
      </c>
      <c r="L1279" s="37">
        <f>IF(OR(D1279="",A1279=""),"",A1279+IF(AND(Config!$B$17="Sim",LEFT(D1279,17)="Cartão de crédito"),1,IFERROR(INDEX(Config!$C$12:$C$15,MATCH(IF(AND(D1279="Cartão de crédito",N(E1279)&gt;1),"Cartão de crédito parcelado",D1279),Config!$A$12:$A$15,0)),0)))</f>
        <v/>
      </c>
      <c r="M1279" s="37">
        <f>IF(L1279="","",IF(AND(Config!$B$17="Sim",LEFT(D1279,17)="Cartão de crédito"),L1279,L1279+30*(MAX(1,N(E1279))-1)))</f>
        <v/>
      </c>
      <c r="N1279" s="29">
        <f>IF(OR(L1279="",K1279=""),"",K1279*MIN(MAX(1,N(E1279)),MAX(0,INT((Config!$B$8-L1279)/30)+1)))</f>
        <v/>
      </c>
      <c r="O1279" s="29">
        <f>IF(J1279="","",J1279-N(N1279))</f>
        <v/>
      </c>
      <c r="P1279" s="27">
        <f>IF(A1279="","",MONTH(A1279))</f>
        <v/>
      </c>
      <c r="Q1279" s="27">
        <f>IF(A1279="","",YEAR(A1279))</f>
        <v/>
      </c>
      <c r="R1279" s="27">
        <f>IF(L1279="","",IF(L1279&gt;Config!$B$8,"A cair",IF(N(G1279)&gt;=MIN(MAX(1,N(E1279)),MAX(0,INT((Config!$B$8-L1279)/30)+1)),IF(N(G1279)&gt;=MAX(1,N(E1279)),"Conferido","Conferido até aqui"),"A conferir")))</f>
        <v/>
      </c>
      <c r="S1279" s="51">
        <f>IF(R1279="A conferir",(Config!$B$8-L1279)*1000+N(F1279)/1000+ROW()/100000,0)</f>
        <v>0</v>
      </c>
      <c r="T1279" s="51">
        <f>IF(R1279="A conferir",N(N1279),0)</f>
        <v>0</v>
      </c>
      <c r="U1279" s="51">
        <f>IF(L1279="",0,L1279)</f>
        <v>0</v>
      </c>
      <c r="V1279" s="51">
        <f>IF(L1279="",0,MAX(1,N(E1279)))</f>
        <v>0</v>
      </c>
      <c r="W1279" s="51">
        <f>IF(K1279="",0,K1279)</f>
        <v>0</v>
      </c>
    </row>
    <row r="1280">
      <c r="A1280" s="49" t="n"/>
      <c r="B1280" s="41" t="n"/>
      <c r="C1280" s="41" t="n"/>
      <c r="D1280" s="42" t="n"/>
      <c r="E1280" s="42" t="n"/>
      <c r="F1280" s="50" t="n"/>
      <c r="G1280" s="42" t="n"/>
      <c r="H1280" s="30">
        <f>IF(D1280="","",IFERROR(INDEX(Config!$B$12:$B$15,MATCH(IF(AND(D1280="Cartão de crédito",N(E1280)&gt;1),"Cartão de crédito parcelado",D1280),Config!$A$12:$A$15,0)),0)+IF(AND(Config!$B$17="Sim",LEFT(D1280,17)="Cartão de crédito"),Config!$B$18*IFERROR(INDEX(Config!$C$12:$C$15,MATCH(IF(AND(D1280="Cartão de crédito",N(E1280)&gt;1),"Cartão de crédito parcelado",D1280),Config!$A$12:$A$15,0)),0)/30*MAX(1,N(E1280)),0))</f>
        <v/>
      </c>
      <c r="I1280" s="29">
        <f>IF(OR(D1280="",F1280=""),"",ROUND(F1280*H1280,2))</f>
        <v/>
      </c>
      <c r="J1280" s="29">
        <f>IF(I1280="","",F1280-I1280)</f>
        <v/>
      </c>
      <c r="K1280" s="29">
        <f>IF(J1280="","",J1280/MAX(1,N(E1280)))</f>
        <v/>
      </c>
      <c r="L1280" s="37">
        <f>IF(OR(D1280="",A1280=""),"",A1280+IF(AND(Config!$B$17="Sim",LEFT(D1280,17)="Cartão de crédito"),1,IFERROR(INDEX(Config!$C$12:$C$15,MATCH(IF(AND(D1280="Cartão de crédito",N(E1280)&gt;1),"Cartão de crédito parcelado",D1280),Config!$A$12:$A$15,0)),0)))</f>
        <v/>
      </c>
      <c r="M1280" s="37">
        <f>IF(L1280="","",IF(AND(Config!$B$17="Sim",LEFT(D1280,17)="Cartão de crédito"),L1280,L1280+30*(MAX(1,N(E1280))-1)))</f>
        <v/>
      </c>
      <c r="N1280" s="29">
        <f>IF(OR(L1280="",K1280=""),"",K1280*MIN(MAX(1,N(E1280)),MAX(0,INT((Config!$B$8-L1280)/30)+1)))</f>
        <v/>
      </c>
      <c r="O1280" s="29">
        <f>IF(J1280="","",J1280-N(N1280))</f>
        <v/>
      </c>
      <c r="P1280" s="27">
        <f>IF(A1280="","",MONTH(A1280))</f>
        <v/>
      </c>
      <c r="Q1280" s="27">
        <f>IF(A1280="","",YEAR(A1280))</f>
        <v/>
      </c>
      <c r="R1280" s="27">
        <f>IF(L1280="","",IF(L1280&gt;Config!$B$8,"A cair",IF(N(G1280)&gt;=MIN(MAX(1,N(E1280)),MAX(0,INT((Config!$B$8-L1280)/30)+1)),IF(N(G1280)&gt;=MAX(1,N(E1280)),"Conferido","Conferido até aqui"),"A conferir")))</f>
        <v/>
      </c>
      <c r="S1280" s="51">
        <f>IF(R1280="A conferir",(Config!$B$8-L1280)*1000+N(F1280)/1000+ROW()/100000,0)</f>
        <v>0</v>
      </c>
      <c r="T1280" s="51">
        <f>IF(R1280="A conferir",N(N1280),0)</f>
        <v>0</v>
      </c>
      <c r="U1280" s="51">
        <f>IF(L1280="",0,L1280)</f>
        <v>0</v>
      </c>
      <c r="V1280" s="51">
        <f>IF(L1280="",0,MAX(1,N(E1280)))</f>
        <v>0</v>
      </c>
      <c r="W1280" s="51">
        <f>IF(K1280="",0,K1280)</f>
        <v>0</v>
      </c>
    </row>
    <row r="1281">
      <c r="A1281" s="49" t="n"/>
      <c r="B1281" s="41" t="n"/>
      <c r="C1281" s="41" t="n"/>
      <c r="D1281" s="42" t="n"/>
      <c r="E1281" s="42" t="n"/>
      <c r="F1281" s="50" t="n"/>
      <c r="G1281" s="42" t="n"/>
      <c r="H1281" s="30">
        <f>IF(D1281="","",IFERROR(INDEX(Config!$B$12:$B$15,MATCH(IF(AND(D1281="Cartão de crédito",N(E1281)&gt;1),"Cartão de crédito parcelado",D1281),Config!$A$12:$A$15,0)),0)+IF(AND(Config!$B$17="Sim",LEFT(D1281,17)="Cartão de crédito"),Config!$B$18*IFERROR(INDEX(Config!$C$12:$C$15,MATCH(IF(AND(D1281="Cartão de crédito",N(E1281)&gt;1),"Cartão de crédito parcelado",D1281),Config!$A$12:$A$15,0)),0)/30*MAX(1,N(E1281)),0))</f>
        <v/>
      </c>
      <c r="I1281" s="29">
        <f>IF(OR(D1281="",F1281=""),"",ROUND(F1281*H1281,2))</f>
        <v/>
      </c>
      <c r="J1281" s="29">
        <f>IF(I1281="","",F1281-I1281)</f>
        <v/>
      </c>
      <c r="K1281" s="29">
        <f>IF(J1281="","",J1281/MAX(1,N(E1281)))</f>
        <v/>
      </c>
      <c r="L1281" s="37">
        <f>IF(OR(D1281="",A1281=""),"",A1281+IF(AND(Config!$B$17="Sim",LEFT(D1281,17)="Cartão de crédito"),1,IFERROR(INDEX(Config!$C$12:$C$15,MATCH(IF(AND(D1281="Cartão de crédito",N(E1281)&gt;1),"Cartão de crédito parcelado",D1281),Config!$A$12:$A$15,0)),0)))</f>
        <v/>
      </c>
      <c r="M1281" s="37">
        <f>IF(L1281="","",IF(AND(Config!$B$17="Sim",LEFT(D1281,17)="Cartão de crédito"),L1281,L1281+30*(MAX(1,N(E1281))-1)))</f>
        <v/>
      </c>
      <c r="N1281" s="29">
        <f>IF(OR(L1281="",K1281=""),"",K1281*MIN(MAX(1,N(E1281)),MAX(0,INT((Config!$B$8-L1281)/30)+1)))</f>
        <v/>
      </c>
      <c r="O1281" s="29">
        <f>IF(J1281="","",J1281-N(N1281))</f>
        <v/>
      </c>
      <c r="P1281" s="27">
        <f>IF(A1281="","",MONTH(A1281))</f>
        <v/>
      </c>
      <c r="Q1281" s="27">
        <f>IF(A1281="","",YEAR(A1281))</f>
        <v/>
      </c>
      <c r="R1281" s="27">
        <f>IF(L1281="","",IF(L1281&gt;Config!$B$8,"A cair",IF(N(G1281)&gt;=MIN(MAX(1,N(E1281)),MAX(0,INT((Config!$B$8-L1281)/30)+1)),IF(N(G1281)&gt;=MAX(1,N(E1281)),"Conferido","Conferido até aqui"),"A conferir")))</f>
        <v/>
      </c>
      <c r="S1281" s="51">
        <f>IF(R1281="A conferir",(Config!$B$8-L1281)*1000+N(F1281)/1000+ROW()/100000,0)</f>
        <v>0</v>
      </c>
      <c r="T1281" s="51">
        <f>IF(R1281="A conferir",N(N1281),0)</f>
        <v>0</v>
      </c>
      <c r="U1281" s="51">
        <f>IF(L1281="",0,L1281)</f>
        <v>0</v>
      </c>
      <c r="V1281" s="51">
        <f>IF(L1281="",0,MAX(1,N(E1281)))</f>
        <v>0</v>
      </c>
      <c r="W1281" s="51">
        <f>IF(K1281="",0,K1281)</f>
        <v>0</v>
      </c>
    </row>
    <row r="1282">
      <c r="A1282" s="49" t="n"/>
      <c r="B1282" s="41" t="n"/>
      <c r="C1282" s="41" t="n"/>
      <c r="D1282" s="42" t="n"/>
      <c r="E1282" s="42" t="n"/>
      <c r="F1282" s="50" t="n"/>
      <c r="G1282" s="42" t="n"/>
      <c r="H1282" s="30">
        <f>IF(D1282="","",IFERROR(INDEX(Config!$B$12:$B$15,MATCH(IF(AND(D1282="Cartão de crédito",N(E1282)&gt;1),"Cartão de crédito parcelado",D1282),Config!$A$12:$A$15,0)),0)+IF(AND(Config!$B$17="Sim",LEFT(D1282,17)="Cartão de crédito"),Config!$B$18*IFERROR(INDEX(Config!$C$12:$C$15,MATCH(IF(AND(D1282="Cartão de crédito",N(E1282)&gt;1),"Cartão de crédito parcelado",D1282),Config!$A$12:$A$15,0)),0)/30*MAX(1,N(E1282)),0))</f>
        <v/>
      </c>
      <c r="I1282" s="29">
        <f>IF(OR(D1282="",F1282=""),"",ROUND(F1282*H1282,2))</f>
        <v/>
      </c>
      <c r="J1282" s="29">
        <f>IF(I1282="","",F1282-I1282)</f>
        <v/>
      </c>
      <c r="K1282" s="29">
        <f>IF(J1282="","",J1282/MAX(1,N(E1282)))</f>
        <v/>
      </c>
      <c r="L1282" s="37">
        <f>IF(OR(D1282="",A1282=""),"",A1282+IF(AND(Config!$B$17="Sim",LEFT(D1282,17)="Cartão de crédito"),1,IFERROR(INDEX(Config!$C$12:$C$15,MATCH(IF(AND(D1282="Cartão de crédito",N(E1282)&gt;1),"Cartão de crédito parcelado",D1282),Config!$A$12:$A$15,0)),0)))</f>
        <v/>
      </c>
      <c r="M1282" s="37">
        <f>IF(L1282="","",IF(AND(Config!$B$17="Sim",LEFT(D1282,17)="Cartão de crédito"),L1282,L1282+30*(MAX(1,N(E1282))-1)))</f>
        <v/>
      </c>
      <c r="N1282" s="29">
        <f>IF(OR(L1282="",K1282=""),"",K1282*MIN(MAX(1,N(E1282)),MAX(0,INT((Config!$B$8-L1282)/30)+1)))</f>
        <v/>
      </c>
      <c r="O1282" s="29">
        <f>IF(J1282="","",J1282-N(N1282))</f>
        <v/>
      </c>
      <c r="P1282" s="27">
        <f>IF(A1282="","",MONTH(A1282))</f>
        <v/>
      </c>
      <c r="Q1282" s="27">
        <f>IF(A1282="","",YEAR(A1282))</f>
        <v/>
      </c>
      <c r="R1282" s="27">
        <f>IF(L1282="","",IF(L1282&gt;Config!$B$8,"A cair",IF(N(G1282)&gt;=MIN(MAX(1,N(E1282)),MAX(0,INT((Config!$B$8-L1282)/30)+1)),IF(N(G1282)&gt;=MAX(1,N(E1282)),"Conferido","Conferido até aqui"),"A conferir")))</f>
        <v/>
      </c>
      <c r="S1282" s="51">
        <f>IF(R1282="A conferir",(Config!$B$8-L1282)*1000+N(F1282)/1000+ROW()/100000,0)</f>
        <v>0</v>
      </c>
      <c r="T1282" s="51">
        <f>IF(R1282="A conferir",N(N1282),0)</f>
        <v>0</v>
      </c>
      <c r="U1282" s="51">
        <f>IF(L1282="",0,L1282)</f>
        <v>0</v>
      </c>
      <c r="V1282" s="51">
        <f>IF(L1282="",0,MAX(1,N(E1282)))</f>
        <v>0</v>
      </c>
      <c r="W1282" s="51">
        <f>IF(K1282="",0,K1282)</f>
        <v>0</v>
      </c>
    </row>
    <row r="1283">
      <c r="A1283" s="49" t="n"/>
      <c r="B1283" s="41" t="n"/>
      <c r="C1283" s="41" t="n"/>
      <c r="D1283" s="42" t="n"/>
      <c r="E1283" s="42" t="n"/>
      <c r="F1283" s="50" t="n"/>
      <c r="G1283" s="42" t="n"/>
      <c r="H1283" s="30">
        <f>IF(D1283="","",IFERROR(INDEX(Config!$B$12:$B$15,MATCH(IF(AND(D1283="Cartão de crédito",N(E1283)&gt;1),"Cartão de crédito parcelado",D1283),Config!$A$12:$A$15,0)),0)+IF(AND(Config!$B$17="Sim",LEFT(D1283,17)="Cartão de crédito"),Config!$B$18*IFERROR(INDEX(Config!$C$12:$C$15,MATCH(IF(AND(D1283="Cartão de crédito",N(E1283)&gt;1),"Cartão de crédito parcelado",D1283),Config!$A$12:$A$15,0)),0)/30*MAX(1,N(E1283)),0))</f>
        <v/>
      </c>
      <c r="I1283" s="29">
        <f>IF(OR(D1283="",F1283=""),"",ROUND(F1283*H1283,2))</f>
        <v/>
      </c>
      <c r="J1283" s="29">
        <f>IF(I1283="","",F1283-I1283)</f>
        <v/>
      </c>
      <c r="K1283" s="29">
        <f>IF(J1283="","",J1283/MAX(1,N(E1283)))</f>
        <v/>
      </c>
      <c r="L1283" s="37">
        <f>IF(OR(D1283="",A1283=""),"",A1283+IF(AND(Config!$B$17="Sim",LEFT(D1283,17)="Cartão de crédito"),1,IFERROR(INDEX(Config!$C$12:$C$15,MATCH(IF(AND(D1283="Cartão de crédito",N(E1283)&gt;1),"Cartão de crédito parcelado",D1283),Config!$A$12:$A$15,0)),0)))</f>
        <v/>
      </c>
      <c r="M1283" s="37">
        <f>IF(L1283="","",IF(AND(Config!$B$17="Sim",LEFT(D1283,17)="Cartão de crédito"),L1283,L1283+30*(MAX(1,N(E1283))-1)))</f>
        <v/>
      </c>
      <c r="N1283" s="29">
        <f>IF(OR(L1283="",K1283=""),"",K1283*MIN(MAX(1,N(E1283)),MAX(0,INT((Config!$B$8-L1283)/30)+1)))</f>
        <v/>
      </c>
      <c r="O1283" s="29">
        <f>IF(J1283="","",J1283-N(N1283))</f>
        <v/>
      </c>
      <c r="P1283" s="27">
        <f>IF(A1283="","",MONTH(A1283))</f>
        <v/>
      </c>
      <c r="Q1283" s="27">
        <f>IF(A1283="","",YEAR(A1283))</f>
        <v/>
      </c>
      <c r="R1283" s="27">
        <f>IF(L1283="","",IF(L1283&gt;Config!$B$8,"A cair",IF(N(G1283)&gt;=MIN(MAX(1,N(E1283)),MAX(0,INT((Config!$B$8-L1283)/30)+1)),IF(N(G1283)&gt;=MAX(1,N(E1283)),"Conferido","Conferido até aqui"),"A conferir")))</f>
        <v/>
      </c>
      <c r="S1283" s="51">
        <f>IF(R1283="A conferir",(Config!$B$8-L1283)*1000+N(F1283)/1000+ROW()/100000,0)</f>
        <v>0</v>
      </c>
      <c r="T1283" s="51">
        <f>IF(R1283="A conferir",N(N1283),0)</f>
        <v>0</v>
      </c>
      <c r="U1283" s="51">
        <f>IF(L1283="",0,L1283)</f>
        <v>0</v>
      </c>
      <c r="V1283" s="51">
        <f>IF(L1283="",0,MAX(1,N(E1283)))</f>
        <v>0</v>
      </c>
      <c r="W1283" s="51">
        <f>IF(K1283="",0,K1283)</f>
        <v>0</v>
      </c>
    </row>
    <row r="1284">
      <c r="A1284" s="49" t="n"/>
      <c r="B1284" s="41" t="n"/>
      <c r="C1284" s="41" t="n"/>
      <c r="D1284" s="42" t="n"/>
      <c r="E1284" s="42" t="n"/>
      <c r="F1284" s="50" t="n"/>
      <c r="G1284" s="42" t="n"/>
      <c r="H1284" s="30">
        <f>IF(D1284="","",IFERROR(INDEX(Config!$B$12:$B$15,MATCH(IF(AND(D1284="Cartão de crédito",N(E1284)&gt;1),"Cartão de crédito parcelado",D1284),Config!$A$12:$A$15,0)),0)+IF(AND(Config!$B$17="Sim",LEFT(D1284,17)="Cartão de crédito"),Config!$B$18*IFERROR(INDEX(Config!$C$12:$C$15,MATCH(IF(AND(D1284="Cartão de crédito",N(E1284)&gt;1),"Cartão de crédito parcelado",D1284),Config!$A$12:$A$15,0)),0)/30*MAX(1,N(E1284)),0))</f>
        <v/>
      </c>
      <c r="I1284" s="29">
        <f>IF(OR(D1284="",F1284=""),"",ROUND(F1284*H1284,2))</f>
        <v/>
      </c>
      <c r="J1284" s="29">
        <f>IF(I1284="","",F1284-I1284)</f>
        <v/>
      </c>
      <c r="K1284" s="29">
        <f>IF(J1284="","",J1284/MAX(1,N(E1284)))</f>
        <v/>
      </c>
      <c r="L1284" s="37">
        <f>IF(OR(D1284="",A1284=""),"",A1284+IF(AND(Config!$B$17="Sim",LEFT(D1284,17)="Cartão de crédito"),1,IFERROR(INDEX(Config!$C$12:$C$15,MATCH(IF(AND(D1284="Cartão de crédito",N(E1284)&gt;1),"Cartão de crédito parcelado",D1284),Config!$A$12:$A$15,0)),0)))</f>
        <v/>
      </c>
      <c r="M1284" s="37">
        <f>IF(L1284="","",IF(AND(Config!$B$17="Sim",LEFT(D1284,17)="Cartão de crédito"),L1284,L1284+30*(MAX(1,N(E1284))-1)))</f>
        <v/>
      </c>
      <c r="N1284" s="29">
        <f>IF(OR(L1284="",K1284=""),"",K1284*MIN(MAX(1,N(E1284)),MAX(0,INT((Config!$B$8-L1284)/30)+1)))</f>
        <v/>
      </c>
      <c r="O1284" s="29">
        <f>IF(J1284="","",J1284-N(N1284))</f>
        <v/>
      </c>
      <c r="P1284" s="27">
        <f>IF(A1284="","",MONTH(A1284))</f>
        <v/>
      </c>
      <c r="Q1284" s="27">
        <f>IF(A1284="","",YEAR(A1284))</f>
        <v/>
      </c>
      <c r="R1284" s="27">
        <f>IF(L1284="","",IF(L1284&gt;Config!$B$8,"A cair",IF(N(G1284)&gt;=MIN(MAX(1,N(E1284)),MAX(0,INT((Config!$B$8-L1284)/30)+1)),IF(N(G1284)&gt;=MAX(1,N(E1284)),"Conferido","Conferido até aqui"),"A conferir")))</f>
        <v/>
      </c>
      <c r="S1284" s="51">
        <f>IF(R1284="A conferir",(Config!$B$8-L1284)*1000+N(F1284)/1000+ROW()/100000,0)</f>
        <v>0</v>
      </c>
      <c r="T1284" s="51">
        <f>IF(R1284="A conferir",N(N1284),0)</f>
        <v>0</v>
      </c>
      <c r="U1284" s="51">
        <f>IF(L1284="",0,L1284)</f>
        <v>0</v>
      </c>
      <c r="V1284" s="51">
        <f>IF(L1284="",0,MAX(1,N(E1284)))</f>
        <v>0</v>
      </c>
      <c r="W1284" s="51">
        <f>IF(K1284="",0,K1284)</f>
        <v>0</v>
      </c>
    </row>
    <row r="1285">
      <c r="A1285" s="49" t="n"/>
      <c r="B1285" s="41" t="n"/>
      <c r="C1285" s="41" t="n"/>
      <c r="D1285" s="42" t="n"/>
      <c r="E1285" s="42" t="n"/>
      <c r="F1285" s="50" t="n"/>
      <c r="G1285" s="42" t="n"/>
      <c r="H1285" s="30">
        <f>IF(D1285="","",IFERROR(INDEX(Config!$B$12:$B$15,MATCH(IF(AND(D1285="Cartão de crédito",N(E1285)&gt;1),"Cartão de crédito parcelado",D1285),Config!$A$12:$A$15,0)),0)+IF(AND(Config!$B$17="Sim",LEFT(D1285,17)="Cartão de crédito"),Config!$B$18*IFERROR(INDEX(Config!$C$12:$C$15,MATCH(IF(AND(D1285="Cartão de crédito",N(E1285)&gt;1),"Cartão de crédito parcelado",D1285),Config!$A$12:$A$15,0)),0)/30*MAX(1,N(E1285)),0))</f>
        <v/>
      </c>
      <c r="I1285" s="29">
        <f>IF(OR(D1285="",F1285=""),"",ROUND(F1285*H1285,2))</f>
        <v/>
      </c>
      <c r="J1285" s="29">
        <f>IF(I1285="","",F1285-I1285)</f>
        <v/>
      </c>
      <c r="K1285" s="29">
        <f>IF(J1285="","",J1285/MAX(1,N(E1285)))</f>
        <v/>
      </c>
      <c r="L1285" s="37">
        <f>IF(OR(D1285="",A1285=""),"",A1285+IF(AND(Config!$B$17="Sim",LEFT(D1285,17)="Cartão de crédito"),1,IFERROR(INDEX(Config!$C$12:$C$15,MATCH(IF(AND(D1285="Cartão de crédito",N(E1285)&gt;1),"Cartão de crédito parcelado",D1285),Config!$A$12:$A$15,0)),0)))</f>
        <v/>
      </c>
      <c r="M1285" s="37">
        <f>IF(L1285="","",IF(AND(Config!$B$17="Sim",LEFT(D1285,17)="Cartão de crédito"),L1285,L1285+30*(MAX(1,N(E1285))-1)))</f>
        <v/>
      </c>
      <c r="N1285" s="29">
        <f>IF(OR(L1285="",K1285=""),"",K1285*MIN(MAX(1,N(E1285)),MAX(0,INT((Config!$B$8-L1285)/30)+1)))</f>
        <v/>
      </c>
      <c r="O1285" s="29">
        <f>IF(J1285="","",J1285-N(N1285))</f>
        <v/>
      </c>
      <c r="P1285" s="27">
        <f>IF(A1285="","",MONTH(A1285))</f>
        <v/>
      </c>
      <c r="Q1285" s="27">
        <f>IF(A1285="","",YEAR(A1285))</f>
        <v/>
      </c>
      <c r="R1285" s="27">
        <f>IF(L1285="","",IF(L1285&gt;Config!$B$8,"A cair",IF(N(G1285)&gt;=MIN(MAX(1,N(E1285)),MAX(0,INT((Config!$B$8-L1285)/30)+1)),IF(N(G1285)&gt;=MAX(1,N(E1285)),"Conferido","Conferido até aqui"),"A conferir")))</f>
        <v/>
      </c>
      <c r="S1285" s="51">
        <f>IF(R1285="A conferir",(Config!$B$8-L1285)*1000+N(F1285)/1000+ROW()/100000,0)</f>
        <v>0</v>
      </c>
      <c r="T1285" s="51">
        <f>IF(R1285="A conferir",N(N1285),0)</f>
        <v>0</v>
      </c>
      <c r="U1285" s="51">
        <f>IF(L1285="",0,L1285)</f>
        <v>0</v>
      </c>
      <c r="V1285" s="51">
        <f>IF(L1285="",0,MAX(1,N(E1285)))</f>
        <v>0</v>
      </c>
      <c r="W1285" s="51">
        <f>IF(K1285="",0,K1285)</f>
        <v>0</v>
      </c>
    </row>
    <row r="1286">
      <c r="A1286" s="49" t="n"/>
      <c r="B1286" s="41" t="n"/>
      <c r="C1286" s="41" t="n"/>
      <c r="D1286" s="42" t="n"/>
      <c r="E1286" s="42" t="n"/>
      <c r="F1286" s="50" t="n"/>
      <c r="G1286" s="42" t="n"/>
      <c r="H1286" s="30">
        <f>IF(D1286="","",IFERROR(INDEX(Config!$B$12:$B$15,MATCH(IF(AND(D1286="Cartão de crédito",N(E1286)&gt;1),"Cartão de crédito parcelado",D1286),Config!$A$12:$A$15,0)),0)+IF(AND(Config!$B$17="Sim",LEFT(D1286,17)="Cartão de crédito"),Config!$B$18*IFERROR(INDEX(Config!$C$12:$C$15,MATCH(IF(AND(D1286="Cartão de crédito",N(E1286)&gt;1),"Cartão de crédito parcelado",D1286),Config!$A$12:$A$15,0)),0)/30*MAX(1,N(E1286)),0))</f>
        <v/>
      </c>
      <c r="I1286" s="29">
        <f>IF(OR(D1286="",F1286=""),"",ROUND(F1286*H1286,2))</f>
        <v/>
      </c>
      <c r="J1286" s="29">
        <f>IF(I1286="","",F1286-I1286)</f>
        <v/>
      </c>
      <c r="K1286" s="29">
        <f>IF(J1286="","",J1286/MAX(1,N(E1286)))</f>
        <v/>
      </c>
      <c r="L1286" s="37">
        <f>IF(OR(D1286="",A1286=""),"",A1286+IF(AND(Config!$B$17="Sim",LEFT(D1286,17)="Cartão de crédito"),1,IFERROR(INDEX(Config!$C$12:$C$15,MATCH(IF(AND(D1286="Cartão de crédito",N(E1286)&gt;1),"Cartão de crédito parcelado",D1286),Config!$A$12:$A$15,0)),0)))</f>
        <v/>
      </c>
      <c r="M1286" s="37">
        <f>IF(L1286="","",IF(AND(Config!$B$17="Sim",LEFT(D1286,17)="Cartão de crédito"),L1286,L1286+30*(MAX(1,N(E1286))-1)))</f>
        <v/>
      </c>
      <c r="N1286" s="29">
        <f>IF(OR(L1286="",K1286=""),"",K1286*MIN(MAX(1,N(E1286)),MAX(0,INT((Config!$B$8-L1286)/30)+1)))</f>
        <v/>
      </c>
      <c r="O1286" s="29">
        <f>IF(J1286="","",J1286-N(N1286))</f>
        <v/>
      </c>
      <c r="P1286" s="27">
        <f>IF(A1286="","",MONTH(A1286))</f>
        <v/>
      </c>
      <c r="Q1286" s="27">
        <f>IF(A1286="","",YEAR(A1286))</f>
        <v/>
      </c>
      <c r="R1286" s="27">
        <f>IF(L1286="","",IF(L1286&gt;Config!$B$8,"A cair",IF(N(G1286)&gt;=MIN(MAX(1,N(E1286)),MAX(0,INT((Config!$B$8-L1286)/30)+1)),IF(N(G1286)&gt;=MAX(1,N(E1286)),"Conferido","Conferido até aqui"),"A conferir")))</f>
        <v/>
      </c>
      <c r="S1286" s="51">
        <f>IF(R1286="A conferir",(Config!$B$8-L1286)*1000+N(F1286)/1000+ROW()/100000,0)</f>
        <v>0</v>
      </c>
      <c r="T1286" s="51">
        <f>IF(R1286="A conferir",N(N1286),0)</f>
        <v>0</v>
      </c>
      <c r="U1286" s="51">
        <f>IF(L1286="",0,L1286)</f>
        <v>0</v>
      </c>
      <c r="V1286" s="51">
        <f>IF(L1286="",0,MAX(1,N(E1286)))</f>
        <v>0</v>
      </c>
      <c r="W1286" s="51">
        <f>IF(K1286="",0,K1286)</f>
        <v>0</v>
      </c>
    </row>
    <row r="1287">
      <c r="A1287" s="49" t="n"/>
      <c r="B1287" s="41" t="n"/>
      <c r="C1287" s="41" t="n"/>
      <c r="D1287" s="42" t="n"/>
      <c r="E1287" s="42" t="n"/>
      <c r="F1287" s="50" t="n"/>
      <c r="G1287" s="42" t="n"/>
      <c r="H1287" s="30">
        <f>IF(D1287="","",IFERROR(INDEX(Config!$B$12:$B$15,MATCH(IF(AND(D1287="Cartão de crédito",N(E1287)&gt;1),"Cartão de crédito parcelado",D1287),Config!$A$12:$A$15,0)),0)+IF(AND(Config!$B$17="Sim",LEFT(D1287,17)="Cartão de crédito"),Config!$B$18*IFERROR(INDEX(Config!$C$12:$C$15,MATCH(IF(AND(D1287="Cartão de crédito",N(E1287)&gt;1),"Cartão de crédito parcelado",D1287),Config!$A$12:$A$15,0)),0)/30*MAX(1,N(E1287)),0))</f>
        <v/>
      </c>
      <c r="I1287" s="29">
        <f>IF(OR(D1287="",F1287=""),"",ROUND(F1287*H1287,2))</f>
        <v/>
      </c>
      <c r="J1287" s="29">
        <f>IF(I1287="","",F1287-I1287)</f>
        <v/>
      </c>
      <c r="K1287" s="29">
        <f>IF(J1287="","",J1287/MAX(1,N(E1287)))</f>
        <v/>
      </c>
      <c r="L1287" s="37">
        <f>IF(OR(D1287="",A1287=""),"",A1287+IF(AND(Config!$B$17="Sim",LEFT(D1287,17)="Cartão de crédito"),1,IFERROR(INDEX(Config!$C$12:$C$15,MATCH(IF(AND(D1287="Cartão de crédito",N(E1287)&gt;1),"Cartão de crédito parcelado",D1287),Config!$A$12:$A$15,0)),0)))</f>
        <v/>
      </c>
      <c r="M1287" s="37">
        <f>IF(L1287="","",IF(AND(Config!$B$17="Sim",LEFT(D1287,17)="Cartão de crédito"),L1287,L1287+30*(MAX(1,N(E1287))-1)))</f>
        <v/>
      </c>
      <c r="N1287" s="29">
        <f>IF(OR(L1287="",K1287=""),"",K1287*MIN(MAX(1,N(E1287)),MAX(0,INT((Config!$B$8-L1287)/30)+1)))</f>
        <v/>
      </c>
      <c r="O1287" s="29">
        <f>IF(J1287="","",J1287-N(N1287))</f>
        <v/>
      </c>
      <c r="P1287" s="27">
        <f>IF(A1287="","",MONTH(A1287))</f>
        <v/>
      </c>
      <c r="Q1287" s="27">
        <f>IF(A1287="","",YEAR(A1287))</f>
        <v/>
      </c>
      <c r="R1287" s="27">
        <f>IF(L1287="","",IF(L1287&gt;Config!$B$8,"A cair",IF(N(G1287)&gt;=MIN(MAX(1,N(E1287)),MAX(0,INT((Config!$B$8-L1287)/30)+1)),IF(N(G1287)&gt;=MAX(1,N(E1287)),"Conferido","Conferido até aqui"),"A conferir")))</f>
        <v/>
      </c>
      <c r="S1287" s="51">
        <f>IF(R1287="A conferir",(Config!$B$8-L1287)*1000+N(F1287)/1000+ROW()/100000,0)</f>
        <v>0</v>
      </c>
      <c r="T1287" s="51">
        <f>IF(R1287="A conferir",N(N1287),0)</f>
        <v>0</v>
      </c>
      <c r="U1287" s="51">
        <f>IF(L1287="",0,L1287)</f>
        <v>0</v>
      </c>
      <c r="V1287" s="51">
        <f>IF(L1287="",0,MAX(1,N(E1287)))</f>
        <v>0</v>
      </c>
      <c r="W1287" s="51">
        <f>IF(K1287="",0,K1287)</f>
        <v>0</v>
      </c>
    </row>
    <row r="1288">
      <c r="A1288" s="49" t="n"/>
      <c r="B1288" s="41" t="n"/>
      <c r="C1288" s="41" t="n"/>
      <c r="D1288" s="42" t="n"/>
      <c r="E1288" s="42" t="n"/>
      <c r="F1288" s="50" t="n"/>
      <c r="G1288" s="42" t="n"/>
      <c r="H1288" s="30">
        <f>IF(D1288="","",IFERROR(INDEX(Config!$B$12:$B$15,MATCH(IF(AND(D1288="Cartão de crédito",N(E1288)&gt;1),"Cartão de crédito parcelado",D1288),Config!$A$12:$A$15,0)),0)+IF(AND(Config!$B$17="Sim",LEFT(D1288,17)="Cartão de crédito"),Config!$B$18*IFERROR(INDEX(Config!$C$12:$C$15,MATCH(IF(AND(D1288="Cartão de crédito",N(E1288)&gt;1),"Cartão de crédito parcelado",D1288),Config!$A$12:$A$15,0)),0)/30*MAX(1,N(E1288)),0))</f>
        <v/>
      </c>
      <c r="I1288" s="29">
        <f>IF(OR(D1288="",F1288=""),"",ROUND(F1288*H1288,2))</f>
        <v/>
      </c>
      <c r="J1288" s="29">
        <f>IF(I1288="","",F1288-I1288)</f>
        <v/>
      </c>
      <c r="K1288" s="29">
        <f>IF(J1288="","",J1288/MAX(1,N(E1288)))</f>
        <v/>
      </c>
      <c r="L1288" s="37">
        <f>IF(OR(D1288="",A1288=""),"",A1288+IF(AND(Config!$B$17="Sim",LEFT(D1288,17)="Cartão de crédito"),1,IFERROR(INDEX(Config!$C$12:$C$15,MATCH(IF(AND(D1288="Cartão de crédito",N(E1288)&gt;1),"Cartão de crédito parcelado",D1288),Config!$A$12:$A$15,0)),0)))</f>
        <v/>
      </c>
      <c r="M1288" s="37">
        <f>IF(L1288="","",IF(AND(Config!$B$17="Sim",LEFT(D1288,17)="Cartão de crédito"),L1288,L1288+30*(MAX(1,N(E1288))-1)))</f>
        <v/>
      </c>
      <c r="N1288" s="29">
        <f>IF(OR(L1288="",K1288=""),"",K1288*MIN(MAX(1,N(E1288)),MAX(0,INT((Config!$B$8-L1288)/30)+1)))</f>
        <v/>
      </c>
      <c r="O1288" s="29">
        <f>IF(J1288="","",J1288-N(N1288))</f>
        <v/>
      </c>
      <c r="P1288" s="27">
        <f>IF(A1288="","",MONTH(A1288))</f>
        <v/>
      </c>
      <c r="Q1288" s="27">
        <f>IF(A1288="","",YEAR(A1288))</f>
        <v/>
      </c>
      <c r="R1288" s="27">
        <f>IF(L1288="","",IF(L1288&gt;Config!$B$8,"A cair",IF(N(G1288)&gt;=MIN(MAX(1,N(E1288)),MAX(0,INT((Config!$B$8-L1288)/30)+1)),IF(N(G1288)&gt;=MAX(1,N(E1288)),"Conferido","Conferido até aqui"),"A conferir")))</f>
        <v/>
      </c>
      <c r="S1288" s="51">
        <f>IF(R1288="A conferir",(Config!$B$8-L1288)*1000+N(F1288)/1000+ROW()/100000,0)</f>
        <v>0</v>
      </c>
      <c r="T1288" s="51">
        <f>IF(R1288="A conferir",N(N1288),0)</f>
        <v>0</v>
      </c>
      <c r="U1288" s="51">
        <f>IF(L1288="",0,L1288)</f>
        <v>0</v>
      </c>
      <c r="V1288" s="51">
        <f>IF(L1288="",0,MAX(1,N(E1288)))</f>
        <v>0</v>
      </c>
      <c r="W1288" s="51">
        <f>IF(K1288="",0,K1288)</f>
        <v>0</v>
      </c>
    </row>
    <row r="1289">
      <c r="A1289" s="49" t="n"/>
      <c r="B1289" s="41" t="n"/>
      <c r="C1289" s="41" t="n"/>
      <c r="D1289" s="42" t="n"/>
      <c r="E1289" s="42" t="n"/>
      <c r="F1289" s="50" t="n"/>
      <c r="G1289" s="42" t="n"/>
      <c r="H1289" s="30">
        <f>IF(D1289="","",IFERROR(INDEX(Config!$B$12:$B$15,MATCH(IF(AND(D1289="Cartão de crédito",N(E1289)&gt;1),"Cartão de crédito parcelado",D1289),Config!$A$12:$A$15,0)),0)+IF(AND(Config!$B$17="Sim",LEFT(D1289,17)="Cartão de crédito"),Config!$B$18*IFERROR(INDEX(Config!$C$12:$C$15,MATCH(IF(AND(D1289="Cartão de crédito",N(E1289)&gt;1),"Cartão de crédito parcelado",D1289),Config!$A$12:$A$15,0)),0)/30*MAX(1,N(E1289)),0))</f>
        <v/>
      </c>
      <c r="I1289" s="29">
        <f>IF(OR(D1289="",F1289=""),"",ROUND(F1289*H1289,2))</f>
        <v/>
      </c>
      <c r="J1289" s="29">
        <f>IF(I1289="","",F1289-I1289)</f>
        <v/>
      </c>
      <c r="K1289" s="29">
        <f>IF(J1289="","",J1289/MAX(1,N(E1289)))</f>
        <v/>
      </c>
      <c r="L1289" s="37">
        <f>IF(OR(D1289="",A1289=""),"",A1289+IF(AND(Config!$B$17="Sim",LEFT(D1289,17)="Cartão de crédito"),1,IFERROR(INDEX(Config!$C$12:$C$15,MATCH(IF(AND(D1289="Cartão de crédito",N(E1289)&gt;1),"Cartão de crédito parcelado",D1289),Config!$A$12:$A$15,0)),0)))</f>
        <v/>
      </c>
      <c r="M1289" s="37">
        <f>IF(L1289="","",IF(AND(Config!$B$17="Sim",LEFT(D1289,17)="Cartão de crédito"),L1289,L1289+30*(MAX(1,N(E1289))-1)))</f>
        <v/>
      </c>
      <c r="N1289" s="29">
        <f>IF(OR(L1289="",K1289=""),"",K1289*MIN(MAX(1,N(E1289)),MAX(0,INT((Config!$B$8-L1289)/30)+1)))</f>
        <v/>
      </c>
      <c r="O1289" s="29">
        <f>IF(J1289="","",J1289-N(N1289))</f>
        <v/>
      </c>
      <c r="P1289" s="27">
        <f>IF(A1289="","",MONTH(A1289))</f>
        <v/>
      </c>
      <c r="Q1289" s="27">
        <f>IF(A1289="","",YEAR(A1289))</f>
        <v/>
      </c>
      <c r="R1289" s="27">
        <f>IF(L1289="","",IF(L1289&gt;Config!$B$8,"A cair",IF(N(G1289)&gt;=MIN(MAX(1,N(E1289)),MAX(0,INT((Config!$B$8-L1289)/30)+1)),IF(N(G1289)&gt;=MAX(1,N(E1289)),"Conferido","Conferido até aqui"),"A conferir")))</f>
        <v/>
      </c>
      <c r="S1289" s="51">
        <f>IF(R1289="A conferir",(Config!$B$8-L1289)*1000+N(F1289)/1000+ROW()/100000,0)</f>
        <v>0</v>
      </c>
      <c r="T1289" s="51">
        <f>IF(R1289="A conferir",N(N1289),0)</f>
        <v>0</v>
      </c>
      <c r="U1289" s="51">
        <f>IF(L1289="",0,L1289)</f>
        <v>0</v>
      </c>
      <c r="V1289" s="51">
        <f>IF(L1289="",0,MAX(1,N(E1289)))</f>
        <v>0</v>
      </c>
      <c r="W1289" s="51">
        <f>IF(K1289="",0,K1289)</f>
        <v>0</v>
      </c>
    </row>
    <row r="1290">
      <c r="A1290" s="49" t="n"/>
      <c r="B1290" s="41" t="n"/>
      <c r="C1290" s="41" t="n"/>
      <c r="D1290" s="42" t="n"/>
      <c r="E1290" s="42" t="n"/>
      <c r="F1290" s="50" t="n"/>
      <c r="G1290" s="42" t="n"/>
      <c r="H1290" s="30">
        <f>IF(D1290="","",IFERROR(INDEX(Config!$B$12:$B$15,MATCH(IF(AND(D1290="Cartão de crédito",N(E1290)&gt;1),"Cartão de crédito parcelado",D1290),Config!$A$12:$A$15,0)),0)+IF(AND(Config!$B$17="Sim",LEFT(D1290,17)="Cartão de crédito"),Config!$B$18*IFERROR(INDEX(Config!$C$12:$C$15,MATCH(IF(AND(D1290="Cartão de crédito",N(E1290)&gt;1),"Cartão de crédito parcelado",D1290),Config!$A$12:$A$15,0)),0)/30*MAX(1,N(E1290)),0))</f>
        <v/>
      </c>
      <c r="I1290" s="29">
        <f>IF(OR(D1290="",F1290=""),"",ROUND(F1290*H1290,2))</f>
        <v/>
      </c>
      <c r="J1290" s="29">
        <f>IF(I1290="","",F1290-I1290)</f>
        <v/>
      </c>
      <c r="K1290" s="29">
        <f>IF(J1290="","",J1290/MAX(1,N(E1290)))</f>
        <v/>
      </c>
      <c r="L1290" s="37">
        <f>IF(OR(D1290="",A1290=""),"",A1290+IF(AND(Config!$B$17="Sim",LEFT(D1290,17)="Cartão de crédito"),1,IFERROR(INDEX(Config!$C$12:$C$15,MATCH(IF(AND(D1290="Cartão de crédito",N(E1290)&gt;1),"Cartão de crédito parcelado",D1290),Config!$A$12:$A$15,0)),0)))</f>
        <v/>
      </c>
      <c r="M1290" s="37">
        <f>IF(L1290="","",IF(AND(Config!$B$17="Sim",LEFT(D1290,17)="Cartão de crédito"),L1290,L1290+30*(MAX(1,N(E1290))-1)))</f>
        <v/>
      </c>
      <c r="N1290" s="29">
        <f>IF(OR(L1290="",K1290=""),"",K1290*MIN(MAX(1,N(E1290)),MAX(0,INT((Config!$B$8-L1290)/30)+1)))</f>
        <v/>
      </c>
      <c r="O1290" s="29">
        <f>IF(J1290="","",J1290-N(N1290))</f>
        <v/>
      </c>
      <c r="P1290" s="27">
        <f>IF(A1290="","",MONTH(A1290))</f>
        <v/>
      </c>
      <c r="Q1290" s="27">
        <f>IF(A1290="","",YEAR(A1290))</f>
        <v/>
      </c>
      <c r="R1290" s="27">
        <f>IF(L1290="","",IF(L1290&gt;Config!$B$8,"A cair",IF(N(G1290)&gt;=MIN(MAX(1,N(E1290)),MAX(0,INT((Config!$B$8-L1290)/30)+1)),IF(N(G1290)&gt;=MAX(1,N(E1290)),"Conferido","Conferido até aqui"),"A conferir")))</f>
        <v/>
      </c>
      <c r="S1290" s="51">
        <f>IF(R1290="A conferir",(Config!$B$8-L1290)*1000+N(F1290)/1000+ROW()/100000,0)</f>
        <v>0</v>
      </c>
      <c r="T1290" s="51">
        <f>IF(R1290="A conferir",N(N1290),0)</f>
        <v>0</v>
      </c>
      <c r="U1290" s="51">
        <f>IF(L1290="",0,L1290)</f>
        <v>0</v>
      </c>
      <c r="V1290" s="51">
        <f>IF(L1290="",0,MAX(1,N(E1290)))</f>
        <v>0</v>
      </c>
      <c r="W1290" s="51">
        <f>IF(K1290="",0,K1290)</f>
        <v>0</v>
      </c>
    </row>
    <row r="1291">
      <c r="A1291" s="49" t="n"/>
      <c r="B1291" s="41" t="n"/>
      <c r="C1291" s="41" t="n"/>
      <c r="D1291" s="42" t="n"/>
      <c r="E1291" s="42" t="n"/>
      <c r="F1291" s="50" t="n"/>
      <c r="G1291" s="42" t="n"/>
      <c r="H1291" s="30">
        <f>IF(D1291="","",IFERROR(INDEX(Config!$B$12:$B$15,MATCH(IF(AND(D1291="Cartão de crédito",N(E1291)&gt;1),"Cartão de crédito parcelado",D1291),Config!$A$12:$A$15,0)),0)+IF(AND(Config!$B$17="Sim",LEFT(D1291,17)="Cartão de crédito"),Config!$B$18*IFERROR(INDEX(Config!$C$12:$C$15,MATCH(IF(AND(D1291="Cartão de crédito",N(E1291)&gt;1),"Cartão de crédito parcelado",D1291),Config!$A$12:$A$15,0)),0)/30*MAX(1,N(E1291)),0))</f>
        <v/>
      </c>
      <c r="I1291" s="29">
        <f>IF(OR(D1291="",F1291=""),"",ROUND(F1291*H1291,2))</f>
        <v/>
      </c>
      <c r="J1291" s="29">
        <f>IF(I1291="","",F1291-I1291)</f>
        <v/>
      </c>
      <c r="K1291" s="29">
        <f>IF(J1291="","",J1291/MAX(1,N(E1291)))</f>
        <v/>
      </c>
      <c r="L1291" s="37">
        <f>IF(OR(D1291="",A1291=""),"",A1291+IF(AND(Config!$B$17="Sim",LEFT(D1291,17)="Cartão de crédito"),1,IFERROR(INDEX(Config!$C$12:$C$15,MATCH(IF(AND(D1291="Cartão de crédito",N(E1291)&gt;1),"Cartão de crédito parcelado",D1291),Config!$A$12:$A$15,0)),0)))</f>
        <v/>
      </c>
      <c r="M1291" s="37">
        <f>IF(L1291="","",IF(AND(Config!$B$17="Sim",LEFT(D1291,17)="Cartão de crédito"),L1291,L1291+30*(MAX(1,N(E1291))-1)))</f>
        <v/>
      </c>
      <c r="N1291" s="29">
        <f>IF(OR(L1291="",K1291=""),"",K1291*MIN(MAX(1,N(E1291)),MAX(0,INT((Config!$B$8-L1291)/30)+1)))</f>
        <v/>
      </c>
      <c r="O1291" s="29">
        <f>IF(J1291="","",J1291-N(N1291))</f>
        <v/>
      </c>
      <c r="P1291" s="27">
        <f>IF(A1291="","",MONTH(A1291))</f>
        <v/>
      </c>
      <c r="Q1291" s="27">
        <f>IF(A1291="","",YEAR(A1291))</f>
        <v/>
      </c>
      <c r="R1291" s="27">
        <f>IF(L1291="","",IF(L1291&gt;Config!$B$8,"A cair",IF(N(G1291)&gt;=MIN(MAX(1,N(E1291)),MAX(0,INT((Config!$B$8-L1291)/30)+1)),IF(N(G1291)&gt;=MAX(1,N(E1291)),"Conferido","Conferido até aqui"),"A conferir")))</f>
        <v/>
      </c>
      <c r="S1291" s="51">
        <f>IF(R1291="A conferir",(Config!$B$8-L1291)*1000+N(F1291)/1000+ROW()/100000,0)</f>
        <v>0</v>
      </c>
      <c r="T1291" s="51">
        <f>IF(R1291="A conferir",N(N1291),0)</f>
        <v>0</v>
      </c>
      <c r="U1291" s="51">
        <f>IF(L1291="",0,L1291)</f>
        <v>0</v>
      </c>
      <c r="V1291" s="51">
        <f>IF(L1291="",0,MAX(1,N(E1291)))</f>
        <v>0</v>
      </c>
      <c r="W1291" s="51">
        <f>IF(K1291="",0,K1291)</f>
        <v>0</v>
      </c>
    </row>
    <row r="1292">
      <c r="A1292" s="49" t="n"/>
      <c r="B1292" s="41" t="n"/>
      <c r="C1292" s="41" t="n"/>
      <c r="D1292" s="42" t="n"/>
      <c r="E1292" s="42" t="n"/>
      <c r="F1292" s="50" t="n"/>
      <c r="G1292" s="42" t="n"/>
      <c r="H1292" s="30">
        <f>IF(D1292="","",IFERROR(INDEX(Config!$B$12:$B$15,MATCH(IF(AND(D1292="Cartão de crédito",N(E1292)&gt;1),"Cartão de crédito parcelado",D1292),Config!$A$12:$A$15,0)),0)+IF(AND(Config!$B$17="Sim",LEFT(D1292,17)="Cartão de crédito"),Config!$B$18*IFERROR(INDEX(Config!$C$12:$C$15,MATCH(IF(AND(D1292="Cartão de crédito",N(E1292)&gt;1),"Cartão de crédito parcelado",D1292),Config!$A$12:$A$15,0)),0)/30*MAX(1,N(E1292)),0))</f>
        <v/>
      </c>
      <c r="I1292" s="29">
        <f>IF(OR(D1292="",F1292=""),"",ROUND(F1292*H1292,2))</f>
        <v/>
      </c>
      <c r="J1292" s="29">
        <f>IF(I1292="","",F1292-I1292)</f>
        <v/>
      </c>
      <c r="K1292" s="29">
        <f>IF(J1292="","",J1292/MAX(1,N(E1292)))</f>
        <v/>
      </c>
      <c r="L1292" s="37">
        <f>IF(OR(D1292="",A1292=""),"",A1292+IF(AND(Config!$B$17="Sim",LEFT(D1292,17)="Cartão de crédito"),1,IFERROR(INDEX(Config!$C$12:$C$15,MATCH(IF(AND(D1292="Cartão de crédito",N(E1292)&gt;1),"Cartão de crédito parcelado",D1292),Config!$A$12:$A$15,0)),0)))</f>
        <v/>
      </c>
      <c r="M1292" s="37">
        <f>IF(L1292="","",IF(AND(Config!$B$17="Sim",LEFT(D1292,17)="Cartão de crédito"),L1292,L1292+30*(MAX(1,N(E1292))-1)))</f>
        <v/>
      </c>
      <c r="N1292" s="29">
        <f>IF(OR(L1292="",K1292=""),"",K1292*MIN(MAX(1,N(E1292)),MAX(0,INT((Config!$B$8-L1292)/30)+1)))</f>
        <v/>
      </c>
      <c r="O1292" s="29">
        <f>IF(J1292="","",J1292-N(N1292))</f>
        <v/>
      </c>
      <c r="P1292" s="27">
        <f>IF(A1292="","",MONTH(A1292))</f>
        <v/>
      </c>
      <c r="Q1292" s="27">
        <f>IF(A1292="","",YEAR(A1292))</f>
        <v/>
      </c>
      <c r="R1292" s="27">
        <f>IF(L1292="","",IF(L1292&gt;Config!$B$8,"A cair",IF(N(G1292)&gt;=MIN(MAX(1,N(E1292)),MAX(0,INT((Config!$B$8-L1292)/30)+1)),IF(N(G1292)&gt;=MAX(1,N(E1292)),"Conferido","Conferido até aqui"),"A conferir")))</f>
        <v/>
      </c>
      <c r="S1292" s="51">
        <f>IF(R1292="A conferir",(Config!$B$8-L1292)*1000+N(F1292)/1000+ROW()/100000,0)</f>
        <v>0</v>
      </c>
      <c r="T1292" s="51">
        <f>IF(R1292="A conferir",N(N1292),0)</f>
        <v>0</v>
      </c>
      <c r="U1292" s="51">
        <f>IF(L1292="",0,L1292)</f>
        <v>0</v>
      </c>
      <c r="V1292" s="51">
        <f>IF(L1292="",0,MAX(1,N(E1292)))</f>
        <v>0</v>
      </c>
      <c r="W1292" s="51">
        <f>IF(K1292="",0,K1292)</f>
        <v>0</v>
      </c>
    </row>
    <row r="1293">
      <c r="A1293" s="49" t="n"/>
      <c r="B1293" s="41" t="n"/>
      <c r="C1293" s="41" t="n"/>
      <c r="D1293" s="42" t="n"/>
      <c r="E1293" s="42" t="n"/>
      <c r="F1293" s="50" t="n"/>
      <c r="G1293" s="42" t="n"/>
      <c r="H1293" s="30">
        <f>IF(D1293="","",IFERROR(INDEX(Config!$B$12:$B$15,MATCH(IF(AND(D1293="Cartão de crédito",N(E1293)&gt;1),"Cartão de crédito parcelado",D1293),Config!$A$12:$A$15,0)),0)+IF(AND(Config!$B$17="Sim",LEFT(D1293,17)="Cartão de crédito"),Config!$B$18*IFERROR(INDEX(Config!$C$12:$C$15,MATCH(IF(AND(D1293="Cartão de crédito",N(E1293)&gt;1),"Cartão de crédito parcelado",D1293),Config!$A$12:$A$15,0)),0)/30*MAX(1,N(E1293)),0))</f>
        <v/>
      </c>
      <c r="I1293" s="29">
        <f>IF(OR(D1293="",F1293=""),"",ROUND(F1293*H1293,2))</f>
        <v/>
      </c>
      <c r="J1293" s="29">
        <f>IF(I1293="","",F1293-I1293)</f>
        <v/>
      </c>
      <c r="K1293" s="29">
        <f>IF(J1293="","",J1293/MAX(1,N(E1293)))</f>
        <v/>
      </c>
      <c r="L1293" s="37">
        <f>IF(OR(D1293="",A1293=""),"",A1293+IF(AND(Config!$B$17="Sim",LEFT(D1293,17)="Cartão de crédito"),1,IFERROR(INDEX(Config!$C$12:$C$15,MATCH(IF(AND(D1293="Cartão de crédito",N(E1293)&gt;1),"Cartão de crédito parcelado",D1293),Config!$A$12:$A$15,0)),0)))</f>
        <v/>
      </c>
      <c r="M1293" s="37">
        <f>IF(L1293="","",IF(AND(Config!$B$17="Sim",LEFT(D1293,17)="Cartão de crédito"),L1293,L1293+30*(MAX(1,N(E1293))-1)))</f>
        <v/>
      </c>
      <c r="N1293" s="29">
        <f>IF(OR(L1293="",K1293=""),"",K1293*MIN(MAX(1,N(E1293)),MAX(0,INT((Config!$B$8-L1293)/30)+1)))</f>
        <v/>
      </c>
      <c r="O1293" s="29">
        <f>IF(J1293="","",J1293-N(N1293))</f>
        <v/>
      </c>
      <c r="P1293" s="27">
        <f>IF(A1293="","",MONTH(A1293))</f>
        <v/>
      </c>
      <c r="Q1293" s="27">
        <f>IF(A1293="","",YEAR(A1293))</f>
        <v/>
      </c>
      <c r="R1293" s="27">
        <f>IF(L1293="","",IF(L1293&gt;Config!$B$8,"A cair",IF(N(G1293)&gt;=MIN(MAX(1,N(E1293)),MAX(0,INT((Config!$B$8-L1293)/30)+1)),IF(N(G1293)&gt;=MAX(1,N(E1293)),"Conferido","Conferido até aqui"),"A conferir")))</f>
        <v/>
      </c>
      <c r="S1293" s="51">
        <f>IF(R1293="A conferir",(Config!$B$8-L1293)*1000+N(F1293)/1000+ROW()/100000,0)</f>
        <v>0</v>
      </c>
      <c r="T1293" s="51">
        <f>IF(R1293="A conferir",N(N1293),0)</f>
        <v>0</v>
      </c>
      <c r="U1293" s="51">
        <f>IF(L1293="",0,L1293)</f>
        <v>0</v>
      </c>
      <c r="V1293" s="51">
        <f>IF(L1293="",0,MAX(1,N(E1293)))</f>
        <v>0</v>
      </c>
      <c r="W1293" s="51">
        <f>IF(K1293="",0,K1293)</f>
        <v>0</v>
      </c>
    </row>
    <row r="1294">
      <c r="A1294" s="49" t="n"/>
      <c r="B1294" s="41" t="n"/>
      <c r="C1294" s="41" t="n"/>
      <c r="D1294" s="42" t="n"/>
      <c r="E1294" s="42" t="n"/>
      <c r="F1294" s="50" t="n"/>
      <c r="G1294" s="42" t="n"/>
      <c r="H1294" s="30">
        <f>IF(D1294="","",IFERROR(INDEX(Config!$B$12:$B$15,MATCH(IF(AND(D1294="Cartão de crédito",N(E1294)&gt;1),"Cartão de crédito parcelado",D1294),Config!$A$12:$A$15,0)),0)+IF(AND(Config!$B$17="Sim",LEFT(D1294,17)="Cartão de crédito"),Config!$B$18*IFERROR(INDEX(Config!$C$12:$C$15,MATCH(IF(AND(D1294="Cartão de crédito",N(E1294)&gt;1),"Cartão de crédito parcelado",D1294),Config!$A$12:$A$15,0)),0)/30*MAX(1,N(E1294)),0))</f>
        <v/>
      </c>
      <c r="I1294" s="29">
        <f>IF(OR(D1294="",F1294=""),"",ROUND(F1294*H1294,2))</f>
        <v/>
      </c>
      <c r="J1294" s="29">
        <f>IF(I1294="","",F1294-I1294)</f>
        <v/>
      </c>
      <c r="K1294" s="29">
        <f>IF(J1294="","",J1294/MAX(1,N(E1294)))</f>
        <v/>
      </c>
      <c r="L1294" s="37">
        <f>IF(OR(D1294="",A1294=""),"",A1294+IF(AND(Config!$B$17="Sim",LEFT(D1294,17)="Cartão de crédito"),1,IFERROR(INDEX(Config!$C$12:$C$15,MATCH(IF(AND(D1294="Cartão de crédito",N(E1294)&gt;1),"Cartão de crédito parcelado",D1294),Config!$A$12:$A$15,0)),0)))</f>
        <v/>
      </c>
      <c r="M1294" s="37">
        <f>IF(L1294="","",IF(AND(Config!$B$17="Sim",LEFT(D1294,17)="Cartão de crédito"),L1294,L1294+30*(MAX(1,N(E1294))-1)))</f>
        <v/>
      </c>
      <c r="N1294" s="29">
        <f>IF(OR(L1294="",K1294=""),"",K1294*MIN(MAX(1,N(E1294)),MAX(0,INT((Config!$B$8-L1294)/30)+1)))</f>
        <v/>
      </c>
      <c r="O1294" s="29">
        <f>IF(J1294="","",J1294-N(N1294))</f>
        <v/>
      </c>
      <c r="P1294" s="27">
        <f>IF(A1294="","",MONTH(A1294))</f>
        <v/>
      </c>
      <c r="Q1294" s="27">
        <f>IF(A1294="","",YEAR(A1294))</f>
        <v/>
      </c>
      <c r="R1294" s="27">
        <f>IF(L1294="","",IF(L1294&gt;Config!$B$8,"A cair",IF(N(G1294)&gt;=MIN(MAX(1,N(E1294)),MAX(0,INT((Config!$B$8-L1294)/30)+1)),IF(N(G1294)&gt;=MAX(1,N(E1294)),"Conferido","Conferido até aqui"),"A conferir")))</f>
        <v/>
      </c>
      <c r="S1294" s="51">
        <f>IF(R1294="A conferir",(Config!$B$8-L1294)*1000+N(F1294)/1000+ROW()/100000,0)</f>
        <v>0</v>
      </c>
      <c r="T1294" s="51">
        <f>IF(R1294="A conferir",N(N1294),0)</f>
        <v>0</v>
      </c>
      <c r="U1294" s="51">
        <f>IF(L1294="",0,L1294)</f>
        <v>0</v>
      </c>
      <c r="V1294" s="51">
        <f>IF(L1294="",0,MAX(1,N(E1294)))</f>
        <v>0</v>
      </c>
      <c r="W1294" s="51">
        <f>IF(K1294="",0,K1294)</f>
        <v>0</v>
      </c>
    </row>
    <row r="1295">
      <c r="A1295" s="49" t="n"/>
      <c r="B1295" s="41" t="n"/>
      <c r="C1295" s="41" t="n"/>
      <c r="D1295" s="42" t="n"/>
      <c r="E1295" s="42" t="n"/>
      <c r="F1295" s="50" t="n"/>
      <c r="G1295" s="42" t="n"/>
      <c r="H1295" s="30">
        <f>IF(D1295="","",IFERROR(INDEX(Config!$B$12:$B$15,MATCH(IF(AND(D1295="Cartão de crédito",N(E1295)&gt;1),"Cartão de crédito parcelado",D1295),Config!$A$12:$A$15,0)),0)+IF(AND(Config!$B$17="Sim",LEFT(D1295,17)="Cartão de crédito"),Config!$B$18*IFERROR(INDEX(Config!$C$12:$C$15,MATCH(IF(AND(D1295="Cartão de crédito",N(E1295)&gt;1),"Cartão de crédito parcelado",D1295),Config!$A$12:$A$15,0)),0)/30*MAX(1,N(E1295)),0))</f>
        <v/>
      </c>
      <c r="I1295" s="29">
        <f>IF(OR(D1295="",F1295=""),"",ROUND(F1295*H1295,2))</f>
        <v/>
      </c>
      <c r="J1295" s="29">
        <f>IF(I1295="","",F1295-I1295)</f>
        <v/>
      </c>
      <c r="K1295" s="29">
        <f>IF(J1295="","",J1295/MAX(1,N(E1295)))</f>
        <v/>
      </c>
      <c r="L1295" s="37">
        <f>IF(OR(D1295="",A1295=""),"",A1295+IF(AND(Config!$B$17="Sim",LEFT(D1295,17)="Cartão de crédito"),1,IFERROR(INDEX(Config!$C$12:$C$15,MATCH(IF(AND(D1295="Cartão de crédito",N(E1295)&gt;1),"Cartão de crédito parcelado",D1295),Config!$A$12:$A$15,0)),0)))</f>
        <v/>
      </c>
      <c r="M1295" s="37">
        <f>IF(L1295="","",IF(AND(Config!$B$17="Sim",LEFT(D1295,17)="Cartão de crédito"),L1295,L1295+30*(MAX(1,N(E1295))-1)))</f>
        <v/>
      </c>
      <c r="N1295" s="29">
        <f>IF(OR(L1295="",K1295=""),"",K1295*MIN(MAX(1,N(E1295)),MAX(0,INT((Config!$B$8-L1295)/30)+1)))</f>
        <v/>
      </c>
      <c r="O1295" s="29">
        <f>IF(J1295="","",J1295-N(N1295))</f>
        <v/>
      </c>
      <c r="P1295" s="27">
        <f>IF(A1295="","",MONTH(A1295))</f>
        <v/>
      </c>
      <c r="Q1295" s="27">
        <f>IF(A1295="","",YEAR(A1295))</f>
        <v/>
      </c>
      <c r="R1295" s="27">
        <f>IF(L1295="","",IF(L1295&gt;Config!$B$8,"A cair",IF(N(G1295)&gt;=MIN(MAX(1,N(E1295)),MAX(0,INT((Config!$B$8-L1295)/30)+1)),IF(N(G1295)&gt;=MAX(1,N(E1295)),"Conferido","Conferido até aqui"),"A conferir")))</f>
        <v/>
      </c>
      <c r="S1295" s="51">
        <f>IF(R1295="A conferir",(Config!$B$8-L1295)*1000+N(F1295)/1000+ROW()/100000,0)</f>
        <v>0</v>
      </c>
      <c r="T1295" s="51">
        <f>IF(R1295="A conferir",N(N1295),0)</f>
        <v>0</v>
      </c>
      <c r="U1295" s="51">
        <f>IF(L1295="",0,L1295)</f>
        <v>0</v>
      </c>
      <c r="V1295" s="51">
        <f>IF(L1295="",0,MAX(1,N(E1295)))</f>
        <v>0</v>
      </c>
      <c r="W1295" s="51">
        <f>IF(K1295="",0,K1295)</f>
        <v>0</v>
      </c>
    </row>
    <row r="1296">
      <c r="A1296" s="49" t="n"/>
      <c r="B1296" s="41" t="n"/>
      <c r="C1296" s="41" t="n"/>
      <c r="D1296" s="42" t="n"/>
      <c r="E1296" s="42" t="n"/>
      <c r="F1296" s="50" t="n"/>
      <c r="G1296" s="42" t="n"/>
      <c r="H1296" s="30">
        <f>IF(D1296="","",IFERROR(INDEX(Config!$B$12:$B$15,MATCH(IF(AND(D1296="Cartão de crédito",N(E1296)&gt;1),"Cartão de crédito parcelado",D1296),Config!$A$12:$A$15,0)),0)+IF(AND(Config!$B$17="Sim",LEFT(D1296,17)="Cartão de crédito"),Config!$B$18*IFERROR(INDEX(Config!$C$12:$C$15,MATCH(IF(AND(D1296="Cartão de crédito",N(E1296)&gt;1),"Cartão de crédito parcelado",D1296),Config!$A$12:$A$15,0)),0)/30*MAX(1,N(E1296)),0))</f>
        <v/>
      </c>
      <c r="I1296" s="29">
        <f>IF(OR(D1296="",F1296=""),"",ROUND(F1296*H1296,2))</f>
        <v/>
      </c>
      <c r="J1296" s="29">
        <f>IF(I1296="","",F1296-I1296)</f>
        <v/>
      </c>
      <c r="K1296" s="29">
        <f>IF(J1296="","",J1296/MAX(1,N(E1296)))</f>
        <v/>
      </c>
      <c r="L1296" s="37">
        <f>IF(OR(D1296="",A1296=""),"",A1296+IF(AND(Config!$B$17="Sim",LEFT(D1296,17)="Cartão de crédito"),1,IFERROR(INDEX(Config!$C$12:$C$15,MATCH(IF(AND(D1296="Cartão de crédito",N(E1296)&gt;1),"Cartão de crédito parcelado",D1296),Config!$A$12:$A$15,0)),0)))</f>
        <v/>
      </c>
      <c r="M1296" s="37">
        <f>IF(L1296="","",IF(AND(Config!$B$17="Sim",LEFT(D1296,17)="Cartão de crédito"),L1296,L1296+30*(MAX(1,N(E1296))-1)))</f>
        <v/>
      </c>
      <c r="N1296" s="29">
        <f>IF(OR(L1296="",K1296=""),"",K1296*MIN(MAX(1,N(E1296)),MAX(0,INT((Config!$B$8-L1296)/30)+1)))</f>
        <v/>
      </c>
      <c r="O1296" s="29">
        <f>IF(J1296="","",J1296-N(N1296))</f>
        <v/>
      </c>
      <c r="P1296" s="27">
        <f>IF(A1296="","",MONTH(A1296))</f>
        <v/>
      </c>
      <c r="Q1296" s="27">
        <f>IF(A1296="","",YEAR(A1296))</f>
        <v/>
      </c>
      <c r="R1296" s="27">
        <f>IF(L1296="","",IF(L1296&gt;Config!$B$8,"A cair",IF(N(G1296)&gt;=MIN(MAX(1,N(E1296)),MAX(0,INT((Config!$B$8-L1296)/30)+1)),IF(N(G1296)&gt;=MAX(1,N(E1296)),"Conferido","Conferido até aqui"),"A conferir")))</f>
        <v/>
      </c>
      <c r="S1296" s="51">
        <f>IF(R1296="A conferir",(Config!$B$8-L1296)*1000+N(F1296)/1000+ROW()/100000,0)</f>
        <v>0</v>
      </c>
      <c r="T1296" s="51">
        <f>IF(R1296="A conferir",N(N1296),0)</f>
        <v>0</v>
      </c>
      <c r="U1296" s="51">
        <f>IF(L1296="",0,L1296)</f>
        <v>0</v>
      </c>
      <c r="V1296" s="51">
        <f>IF(L1296="",0,MAX(1,N(E1296)))</f>
        <v>0</v>
      </c>
      <c r="W1296" s="51">
        <f>IF(K1296="",0,K1296)</f>
        <v>0</v>
      </c>
    </row>
    <row r="1297">
      <c r="A1297" s="49" t="n"/>
      <c r="B1297" s="41" t="n"/>
      <c r="C1297" s="41" t="n"/>
      <c r="D1297" s="42" t="n"/>
      <c r="E1297" s="42" t="n"/>
      <c r="F1297" s="50" t="n"/>
      <c r="G1297" s="42" t="n"/>
      <c r="H1297" s="30">
        <f>IF(D1297="","",IFERROR(INDEX(Config!$B$12:$B$15,MATCH(IF(AND(D1297="Cartão de crédito",N(E1297)&gt;1),"Cartão de crédito parcelado",D1297),Config!$A$12:$A$15,0)),0)+IF(AND(Config!$B$17="Sim",LEFT(D1297,17)="Cartão de crédito"),Config!$B$18*IFERROR(INDEX(Config!$C$12:$C$15,MATCH(IF(AND(D1297="Cartão de crédito",N(E1297)&gt;1),"Cartão de crédito parcelado",D1297),Config!$A$12:$A$15,0)),0)/30*MAX(1,N(E1297)),0))</f>
        <v/>
      </c>
      <c r="I1297" s="29">
        <f>IF(OR(D1297="",F1297=""),"",ROUND(F1297*H1297,2))</f>
        <v/>
      </c>
      <c r="J1297" s="29">
        <f>IF(I1297="","",F1297-I1297)</f>
        <v/>
      </c>
      <c r="K1297" s="29">
        <f>IF(J1297="","",J1297/MAX(1,N(E1297)))</f>
        <v/>
      </c>
      <c r="L1297" s="37">
        <f>IF(OR(D1297="",A1297=""),"",A1297+IF(AND(Config!$B$17="Sim",LEFT(D1297,17)="Cartão de crédito"),1,IFERROR(INDEX(Config!$C$12:$C$15,MATCH(IF(AND(D1297="Cartão de crédito",N(E1297)&gt;1),"Cartão de crédito parcelado",D1297),Config!$A$12:$A$15,0)),0)))</f>
        <v/>
      </c>
      <c r="M1297" s="37">
        <f>IF(L1297="","",IF(AND(Config!$B$17="Sim",LEFT(D1297,17)="Cartão de crédito"),L1297,L1297+30*(MAX(1,N(E1297))-1)))</f>
        <v/>
      </c>
      <c r="N1297" s="29">
        <f>IF(OR(L1297="",K1297=""),"",K1297*MIN(MAX(1,N(E1297)),MAX(0,INT((Config!$B$8-L1297)/30)+1)))</f>
        <v/>
      </c>
      <c r="O1297" s="29">
        <f>IF(J1297="","",J1297-N(N1297))</f>
        <v/>
      </c>
      <c r="P1297" s="27">
        <f>IF(A1297="","",MONTH(A1297))</f>
        <v/>
      </c>
      <c r="Q1297" s="27">
        <f>IF(A1297="","",YEAR(A1297))</f>
        <v/>
      </c>
      <c r="R1297" s="27">
        <f>IF(L1297="","",IF(L1297&gt;Config!$B$8,"A cair",IF(N(G1297)&gt;=MIN(MAX(1,N(E1297)),MAX(0,INT((Config!$B$8-L1297)/30)+1)),IF(N(G1297)&gt;=MAX(1,N(E1297)),"Conferido","Conferido até aqui"),"A conferir")))</f>
        <v/>
      </c>
      <c r="S1297" s="51">
        <f>IF(R1297="A conferir",(Config!$B$8-L1297)*1000+N(F1297)/1000+ROW()/100000,0)</f>
        <v>0</v>
      </c>
      <c r="T1297" s="51">
        <f>IF(R1297="A conferir",N(N1297),0)</f>
        <v>0</v>
      </c>
      <c r="U1297" s="51">
        <f>IF(L1297="",0,L1297)</f>
        <v>0</v>
      </c>
      <c r="V1297" s="51">
        <f>IF(L1297="",0,MAX(1,N(E1297)))</f>
        <v>0</v>
      </c>
      <c r="W1297" s="51">
        <f>IF(K1297="",0,K1297)</f>
        <v>0</v>
      </c>
    </row>
    <row r="1298">
      <c r="A1298" s="49" t="n"/>
      <c r="B1298" s="41" t="n"/>
      <c r="C1298" s="41" t="n"/>
      <c r="D1298" s="42" t="n"/>
      <c r="E1298" s="42" t="n"/>
      <c r="F1298" s="50" t="n"/>
      <c r="G1298" s="42" t="n"/>
      <c r="H1298" s="30">
        <f>IF(D1298="","",IFERROR(INDEX(Config!$B$12:$B$15,MATCH(IF(AND(D1298="Cartão de crédito",N(E1298)&gt;1),"Cartão de crédito parcelado",D1298),Config!$A$12:$A$15,0)),0)+IF(AND(Config!$B$17="Sim",LEFT(D1298,17)="Cartão de crédito"),Config!$B$18*IFERROR(INDEX(Config!$C$12:$C$15,MATCH(IF(AND(D1298="Cartão de crédito",N(E1298)&gt;1),"Cartão de crédito parcelado",D1298),Config!$A$12:$A$15,0)),0)/30*MAX(1,N(E1298)),0))</f>
        <v/>
      </c>
      <c r="I1298" s="29">
        <f>IF(OR(D1298="",F1298=""),"",ROUND(F1298*H1298,2))</f>
        <v/>
      </c>
      <c r="J1298" s="29">
        <f>IF(I1298="","",F1298-I1298)</f>
        <v/>
      </c>
      <c r="K1298" s="29">
        <f>IF(J1298="","",J1298/MAX(1,N(E1298)))</f>
        <v/>
      </c>
      <c r="L1298" s="37">
        <f>IF(OR(D1298="",A1298=""),"",A1298+IF(AND(Config!$B$17="Sim",LEFT(D1298,17)="Cartão de crédito"),1,IFERROR(INDEX(Config!$C$12:$C$15,MATCH(IF(AND(D1298="Cartão de crédito",N(E1298)&gt;1),"Cartão de crédito parcelado",D1298),Config!$A$12:$A$15,0)),0)))</f>
        <v/>
      </c>
      <c r="M1298" s="37">
        <f>IF(L1298="","",IF(AND(Config!$B$17="Sim",LEFT(D1298,17)="Cartão de crédito"),L1298,L1298+30*(MAX(1,N(E1298))-1)))</f>
        <v/>
      </c>
      <c r="N1298" s="29">
        <f>IF(OR(L1298="",K1298=""),"",K1298*MIN(MAX(1,N(E1298)),MAX(0,INT((Config!$B$8-L1298)/30)+1)))</f>
        <v/>
      </c>
      <c r="O1298" s="29">
        <f>IF(J1298="","",J1298-N(N1298))</f>
        <v/>
      </c>
      <c r="P1298" s="27">
        <f>IF(A1298="","",MONTH(A1298))</f>
        <v/>
      </c>
      <c r="Q1298" s="27">
        <f>IF(A1298="","",YEAR(A1298))</f>
        <v/>
      </c>
      <c r="R1298" s="27">
        <f>IF(L1298="","",IF(L1298&gt;Config!$B$8,"A cair",IF(N(G1298)&gt;=MIN(MAX(1,N(E1298)),MAX(0,INT((Config!$B$8-L1298)/30)+1)),IF(N(G1298)&gt;=MAX(1,N(E1298)),"Conferido","Conferido até aqui"),"A conferir")))</f>
        <v/>
      </c>
      <c r="S1298" s="51">
        <f>IF(R1298="A conferir",(Config!$B$8-L1298)*1000+N(F1298)/1000+ROW()/100000,0)</f>
        <v>0</v>
      </c>
      <c r="T1298" s="51">
        <f>IF(R1298="A conferir",N(N1298),0)</f>
        <v>0</v>
      </c>
      <c r="U1298" s="51">
        <f>IF(L1298="",0,L1298)</f>
        <v>0</v>
      </c>
      <c r="V1298" s="51">
        <f>IF(L1298="",0,MAX(1,N(E1298)))</f>
        <v>0</v>
      </c>
      <c r="W1298" s="51">
        <f>IF(K1298="",0,K1298)</f>
        <v>0</v>
      </c>
    </row>
    <row r="1299">
      <c r="A1299" s="49" t="n"/>
      <c r="B1299" s="41" t="n"/>
      <c r="C1299" s="41" t="n"/>
      <c r="D1299" s="42" t="n"/>
      <c r="E1299" s="42" t="n"/>
      <c r="F1299" s="50" t="n"/>
      <c r="G1299" s="42" t="n"/>
      <c r="H1299" s="30">
        <f>IF(D1299="","",IFERROR(INDEX(Config!$B$12:$B$15,MATCH(IF(AND(D1299="Cartão de crédito",N(E1299)&gt;1),"Cartão de crédito parcelado",D1299),Config!$A$12:$A$15,0)),0)+IF(AND(Config!$B$17="Sim",LEFT(D1299,17)="Cartão de crédito"),Config!$B$18*IFERROR(INDEX(Config!$C$12:$C$15,MATCH(IF(AND(D1299="Cartão de crédito",N(E1299)&gt;1),"Cartão de crédito parcelado",D1299),Config!$A$12:$A$15,0)),0)/30*MAX(1,N(E1299)),0))</f>
        <v/>
      </c>
      <c r="I1299" s="29">
        <f>IF(OR(D1299="",F1299=""),"",ROUND(F1299*H1299,2))</f>
        <v/>
      </c>
      <c r="J1299" s="29">
        <f>IF(I1299="","",F1299-I1299)</f>
        <v/>
      </c>
      <c r="K1299" s="29">
        <f>IF(J1299="","",J1299/MAX(1,N(E1299)))</f>
        <v/>
      </c>
      <c r="L1299" s="37">
        <f>IF(OR(D1299="",A1299=""),"",A1299+IF(AND(Config!$B$17="Sim",LEFT(D1299,17)="Cartão de crédito"),1,IFERROR(INDEX(Config!$C$12:$C$15,MATCH(IF(AND(D1299="Cartão de crédito",N(E1299)&gt;1),"Cartão de crédito parcelado",D1299),Config!$A$12:$A$15,0)),0)))</f>
        <v/>
      </c>
      <c r="M1299" s="37">
        <f>IF(L1299="","",IF(AND(Config!$B$17="Sim",LEFT(D1299,17)="Cartão de crédito"),L1299,L1299+30*(MAX(1,N(E1299))-1)))</f>
        <v/>
      </c>
      <c r="N1299" s="29">
        <f>IF(OR(L1299="",K1299=""),"",K1299*MIN(MAX(1,N(E1299)),MAX(0,INT((Config!$B$8-L1299)/30)+1)))</f>
        <v/>
      </c>
      <c r="O1299" s="29">
        <f>IF(J1299="","",J1299-N(N1299))</f>
        <v/>
      </c>
      <c r="P1299" s="27">
        <f>IF(A1299="","",MONTH(A1299))</f>
        <v/>
      </c>
      <c r="Q1299" s="27">
        <f>IF(A1299="","",YEAR(A1299))</f>
        <v/>
      </c>
      <c r="R1299" s="27">
        <f>IF(L1299="","",IF(L1299&gt;Config!$B$8,"A cair",IF(N(G1299)&gt;=MIN(MAX(1,N(E1299)),MAX(0,INT((Config!$B$8-L1299)/30)+1)),IF(N(G1299)&gt;=MAX(1,N(E1299)),"Conferido","Conferido até aqui"),"A conferir")))</f>
        <v/>
      </c>
      <c r="S1299" s="51">
        <f>IF(R1299="A conferir",(Config!$B$8-L1299)*1000+N(F1299)/1000+ROW()/100000,0)</f>
        <v>0</v>
      </c>
      <c r="T1299" s="51">
        <f>IF(R1299="A conferir",N(N1299),0)</f>
        <v>0</v>
      </c>
      <c r="U1299" s="51">
        <f>IF(L1299="",0,L1299)</f>
        <v>0</v>
      </c>
      <c r="V1299" s="51">
        <f>IF(L1299="",0,MAX(1,N(E1299)))</f>
        <v>0</v>
      </c>
      <c r="W1299" s="51">
        <f>IF(K1299="",0,K1299)</f>
        <v>0</v>
      </c>
    </row>
    <row r="1300">
      <c r="A1300" s="49" t="n"/>
      <c r="B1300" s="41" t="n"/>
      <c r="C1300" s="41" t="n"/>
      <c r="D1300" s="42" t="n"/>
      <c r="E1300" s="42" t="n"/>
      <c r="F1300" s="50" t="n"/>
      <c r="G1300" s="42" t="n"/>
      <c r="H1300" s="30">
        <f>IF(D1300="","",IFERROR(INDEX(Config!$B$12:$B$15,MATCH(IF(AND(D1300="Cartão de crédito",N(E1300)&gt;1),"Cartão de crédito parcelado",D1300),Config!$A$12:$A$15,0)),0)+IF(AND(Config!$B$17="Sim",LEFT(D1300,17)="Cartão de crédito"),Config!$B$18*IFERROR(INDEX(Config!$C$12:$C$15,MATCH(IF(AND(D1300="Cartão de crédito",N(E1300)&gt;1),"Cartão de crédito parcelado",D1300),Config!$A$12:$A$15,0)),0)/30*MAX(1,N(E1300)),0))</f>
        <v/>
      </c>
      <c r="I1300" s="29">
        <f>IF(OR(D1300="",F1300=""),"",ROUND(F1300*H1300,2))</f>
        <v/>
      </c>
      <c r="J1300" s="29">
        <f>IF(I1300="","",F1300-I1300)</f>
        <v/>
      </c>
      <c r="K1300" s="29">
        <f>IF(J1300="","",J1300/MAX(1,N(E1300)))</f>
        <v/>
      </c>
      <c r="L1300" s="37">
        <f>IF(OR(D1300="",A1300=""),"",A1300+IF(AND(Config!$B$17="Sim",LEFT(D1300,17)="Cartão de crédito"),1,IFERROR(INDEX(Config!$C$12:$C$15,MATCH(IF(AND(D1300="Cartão de crédito",N(E1300)&gt;1),"Cartão de crédito parcelado",D1300),Config!$A$12:$A$15,0)),0)))</f>
        <v/>
      </c>
      <c r="M1300" s="37">
        <f>IF(L1300="","",IF(AND(Config!$B$17="Sim",LEFT(D1300,17)="Cartão de crédito"),L1300,L1300+30*(MAX(1,N(E1300))-1)))</f>
        <v/>
      </c>
      <c r="N1300" s="29">
        <f>IF(OR(L1300="",K1300=""),"",K1300*MIN(MAX(1,N(E1300)),MAX(0,INT((Config!$B$8-L1300)/30)+1)))</f>
        <v/>
      </c>
      <c r="O1300" s="29">
        <f>IF(J1300="","",J1300-N(N1300))</f>
        <v/>
      </c>
      <c r="P1300" s="27">
        <f>IF(A1300="","",MONTH(A1300))</f>
        <v/>
      </c>
      <c r="Q1300" s="27">
        <f>IF(A1300="","",YEAR(A1300))</f>
        <v/>
      </c>
      <c r="R1300" s="27">
        <f>IF(L1300="","",IF(L1300&gt;Config!$B$8,"A cair",IF(N(G1300)&gt;=MIN(MAX(1,N(E1300)),MAX(0,INT((Config!$B$8-L1300)/30)+1)),IF(N(G1300)&gt;=MAX(1,N(E1300)),"Conferido","Conferido até aqui"),"A conferir")))</f>
        <v/>
      </c>
      <c r="S1300" s="51">
        <f>IF(R1300="A conferir",(Config!$B$8-L1300)*1000+N(F1300)/1000+ROW()/100000,0)</f>
        <v>0</v>
      </c>
      <c r="T1300" s="51">
        <f>IF(R1300="A conferir",N(N1300),0)</f>
        <v>0</v>
      </c>
      <c r="U1300" s="51">
        <f>IF(L1300="",0,L1300)</f>
        <v>0</v>
      </c>
      <c r="V1300" s="51">
        <f>IF(L1300="",0,MAX(1,N(E1300)))</f>
        <v>0</v>
      </c>
      <c r="W1300" s="51">
        <f>IF(K1300="",0,K1300)</f>
        <v>0</v>
      </c>
    </row>
    <row r="1301">
      <c r="A1301" s="49" t="n"/>
      <c r="B1301" s="41" t="n"/>
      <c r="C1301" s="41" t="n"/>
      <c r="D1301" s="42" t="n"/>
      <c r="E1301" s="42" t="n"/>
      <c r="F1301" s="50" t="n"/>
      <c r="G1301" s="42" t="n"/>
      <c r="H1301" s="30">
        <f>IF(D1301="","",IFERROR(INDEX(Config!$B$12:$B$15,MATCH(IF(AND(D1301="Cartão de crédito",N(E1301)&gt;1),"Cartão de crédito parcelado",D1301),Config!$A$12:$A$15,0)),0)+IF(AND(Config!$B$17="Sim",LEFT(D1301,17)="Cartão de crédito"),Config!$B$18*IFERROR(INDEX(Config!$C$12:$C$15,MATCH(IF(AND(D1301="Cartão de crédito",N(E1301)&gt;1),"Cartão de crédito parcelado",D1301),Config!$A$12:$A$15,0)),0)/30*MAX(1,N(E1301)),0))</f>
        <v/>
      </c>
      <c r="I1301" s="29">
        <f>IF(OR(D1301="",F1301=""),"",ROUND(F1301*H1301,2))</f>
        <v/>
      </c>
      <c r="J1301" s="29">
        <f>IF(I1301="","",F1301-I1301)</f>
        <v/>
      </c>
      <c r="K1301" s="29">
        <f>IF(J1301="","",J1301/MAX(1,N(E1301)))</f>
        <v/>
      </c>
      <c r="L1301" s="37">
        <f>IF(OR(D1301="",A1301=""),"",A1301+IF(AND(Config!$B$17="Sim",LEFT(D1301,17)="Cartão de crédito"),1,IFERROR(INDEX(Config!$C$12:$C$15,MATCH(IF(AND(D1301="Cartão de crédito",N(E1301)&gt;1),"Cartão de crédito parcelado",D1301),Config!$A$12:$A$15,0)),0)))</f>
        <v/>
      </c>
      <c r="M1301" s="37">
        <f>IF(L1301="","",IF(AND(Config!$B$17="Sim",LEFT(D1301,17)="Cartão de crédito"),L1301,L1301+30*(MAX(1,N(E1301))-1)))</f>
        <v/>
      </c>
      <c r="N1301" s="29">
        <f>IF(OR(L1301="",K1301=""),"",K1301*MIN(MAX(1,N(E1301)),MAX(0,INT((Config!$B$8-L1301)/30)+1)))</f>
        <v/>
      </c>
      <c r="O1301" s="29">
        <f>IF(J1301="","",J1301-N(N1301))</f>
        <v/>
      </c>
      <c r="P1301" s="27">
        <f>IF(A1301="","",MONTH(A1301))</f>
        <v/>
      </c>
      <c r="Q1301" s="27">
        <f>IF(A1301="","",YEAR(A1301))</f>
        <v/>
      </c>
      <c r="R1301" s="27">
        <f>IF(L1301="","",IF(L1301&gt;Config!$B$8,"A cair",IF(N(G1301)&gt;=MIN(MAX(1,N(E1301)),MAX(0,INT((Config!$B$8-L1301)/30)+1)),IF(N(G1301)&gt;=MAX(1,N(E1301)),"Conferido","Conferido até aqui"),"A conferir")))</f>
        <v/>
      </c>
      <c r="S1301" s="51">
        <f>IF(R1301="A conferir",(Config!$B$8-L1301)*1000+N(F1301)/1000+ROW()/100000,0)</f>
        <v>0</v>
      </c>
      <c r="T1301" s="51">
        <f>IF(R1301="A conferir",N(N1301),0)</f>
        <v>0</v>
      </c>
      <c r="U1301" s="51">
        <f>IF(L1301="",0,L1301)</f>
        <v>0</v>
      </c>
      <c r="V1301" s="51">
        <f>IF(L1301="",0,MAX(1,N(E1301)))</f>
        <v>0</v>
      </c>
      <c r="W1301" s="51">
        <f>IF(K1301="",0,K1301)</f>
        <v>0</v>
      </c>
    </row>
    <row r="1302">
      <c r="A1302" s="49" t="n"/>
      <c r="B1302" s="41" t="n"/>
      <c r="C1302" s="41" t="n"/>
      <c r="D1302" s="42" t="n"/>
      <c r="E1302" s="42" t="n"/>
      <c r="F1302" s="50" t="n"/>
      <c r="G1302" s="42" t="n"/>
      <c r="H1302" s="30">
        <f>IF(D1302="","",IFERROR(INDEX(Config!$B$12:$B$15,MATCH(IF(AND(D1302="Cartão de crédito",N(E1302)&gt;1),"Cartão de crédito parcelado",D1302),Config!$A$12:$A$15,0)),0)+IF(AND(Config!$B$17="Sim",LEFT(D1302,17)="Cartão de crédito"),Config!$B$18*IFERROR(INDEX(Config!$C$12:$C$15,MATCH(IF(AND(D1302="Cartão de crédito",N(E1302)&gt;1),"Cartão de crédito parcelado",D1302),Config!$A$12:$A$15,0)),0)/30*MAX(1,N(E1302)),0))</f>
        <v/>
      </c>
      <c r="I1302" s="29">
        <f>IF(OR(D1302="",F1302=""),"",ROUND(F1302*H1302,2))</f>
        <v/>
      </c>
      <c r="J1302" s="29">
        <f>IF(I1302="","",F1302-I1302)</f>
        <v/>
      </c>
      <c r="K1302" s="29">
        <f>IF(J1302="","",J1302/MAX(1,N(E1302)))</f>
        <v/>
      </c>
      <c r="L1302" s="37">
        <f>IF(OR(D1302="",A1302=""),"",A1302+IF(AND(Config!$B$17="Sim",LEFT(D1302,17)="Cartão de crédito"),1,IFERROR(INDEX(Config!$C$12:$C$15,MATCH(IF(AND(D1302="Cartão de crédito",N(E1302)&gt;1),"Cartão de crédito parcelado",D1302),Config!$A$12:$A$15,0)),0)))</f>
        <v/>
      </c>
      <c r="M1302" s="37">
        <f>IF(L1302="","",IF(AND(Config!$B$17="Sim",LEFT(D1302,17)="Cartão de crédito"),L1302,L1302+30*(MAX(1,N(E1302))-1)))</f>
        <v/>
      </c>
      <c r="N1302" s="29">
        <f>IF(OR(L1302="",K1302=""),"",K1302*MIN(MAX(1,N(E1302)),MAX(0,INT((Config!$B$8-L1302)/30)+1)))</f>
        <v/>
      </c>
      <c r="O1302" s="29">
        <f>IF(J1302="","",J1302-N(N1302))</f>
        <v/>
      </c>
      <c r="P1302" s="27">
        <f>IF(A1302="","",MONTH(A1302))</f>
        <v/>
      </c>
      <c r="Q1302" s="27">
        <f>IF(A1302="","",YEAR(A1302))</f>
        <v/>
      </c>
      <c r="R1302" s="27">
        <f>IF(L1302="","",IF(L1302&gt;Config!$B$8,"A cair",IF(N(G1302)&gt;=MIN(MAX(1,N(E1302)),MAX(0,INT((Config!$B$8-L1302)/30)+1)),IF(N(G1302)&gt;=MAX(1,N(E1302)),"Conferido","Conferido até aqui"),"A conferir")))</f>
        <v/>
      </c>
      <c r="S1302" s="51">
        <f>IF(R1302="A conferir",(Config!$B$8-L1302)*1000+N(F1302)/1000+ROW()/100000,0)</f>
        <v>0</v>
      </c>
      <c r="T1302" s="51">
        <f>IF(R1302="A conferir",N(N1302),0)</f>
        <v>0</v>
      </c>
      <c r="U1302" s="51">
        <f>IF(L1302="",0,L1302)</f>
        <v>0</v>
      </c>
      <c r="V1302" s="51">
        <f>IF(L1302="",0,MAX(1,N(E1302)))</f>
        <v>0</v>
      </c>
      <c r="W1302" s="51">
        <f>IF(K1302="",0,K1302)</f>
        <v>0</v>
      </c>
    </row>
    <row r="1303">
      <c r="A1303" s="49" t="n"/>
      <c r="B1303" s="41" t="n"/>
      <c r="C1303" s="41" t="n"/>
      <c r="D1303" s="42" t="n"/>
      <c r="E1303" s="42" t="n"/>
      <c r="F1303" s="50" t="n"/>
      <c r="G1303" s="42" t="n"/>
      <c r="H1303" s="30">
        <f>IF(D1303="","",IFERROR(INDEX(Config!$B$12:$B$15,MATCH(IF(AND(D1303="Cartão de crédito",N(E1303)&gt;1),"Cartão de crédito parcelado",D1303),Config!$A$12:$A$15,0)),0)+IF(AND(Config!$B$17="Sim",LEFT(D1303,17)="Cartão de crédito"),Config!$B$18*IFERROR(INDEX(Config!$C$12:$C$15,MATCH(IF(AND(D1303="Cartão de crédito",N(E1303)&gt;1),"Cartão de crédito parcelado",D1303),Config!$A$12:$A$15,0)),0)/30*MAX(1,N(E1303)),0))</f>
        <v/>
      </c>
      <c r="I1303" s="29">
        <f>IF(OR(D1303="",F1303=""),"",ROUND(F1303*H1303,2))</f>
        <v/>
      </c>
      <c r="J1303" s="29">
        <f>IF(I1303="","",F1303-I1303)</f>
        <v/>
      </c>
      <c r="K1303" s="29">
        <f>IF(J1303="","",J1303/MAX(1,N(E1303)))</f>
        <v/>
      </c>
      <c r="L1303" s="37">
        <f>IF(OR(D1303="",A1303=""),"",A1303+IF(AND(Config!$B$17="Sim",LEFT(D1303,17)="Cartão de crédito"),1,IFERROR(INDEX(Config!$C$12:$C$15,MATCH(IF(AND(D1303="Cartão de crédito",N(E1303)&gt;1),"Cartão de crédito parcelado",D1303),Config!$A$12:$A$15,0)),0)))</f>
        <v/>
      </c>
      <c r="M1303" s="37">
        <f>IF(L1303="","",IF(AND(Config!$B$17="Sim",LEFT(D1303,17)="Cartão de crédito"),L1303,L1303+30*(MAX(1,N(E1303))-1)))</f>
        <v/>
      </c>
      <c r="N1303" s="29">
        <f>IF(OR(L1303="",K1303=""),"",K1303*MIN(MAX(1,N(E1303)),MAX(0,INT((Config!$B$8-L1303)/30)+1)))</f>
        <v/>
      </c>
      <c r="O1303" s="29">
        <f>IF(J1303="","",J1303-N(N1303))</f>
        <v/>
      </c>
      <c r="P1303" s="27">
        <f>IF(A1303="","",MONTH(A1303))</f>
        <v/>
      </c>
      <c r="Q1303" s="27">
        <f>IF(A1303="","",YEAR(A1303))</f>
        <v/>
      </c>
      <c r="R1303" s="27">
        <f>IF(L1303="","",IF(L1303&gt;Config!$B$8,"A cair",IF(N(G1303)&gt;=MIN(MAX(1,N(E1303)),MAX(0,INT((Config!$B$8-L1303)/30)+1)),IF(N(G1303)&gt;=MAX(1,N(E1303)),"Conferido","Conferido até aqui"),"A conferir")))</f>
        <v/>
      </c>
      <c r="S1303" s="51">
        <f>IF(R1303="A conferir",(Config!$B$8-L1303)*1000+N(F1303)/1000+ROW()/100000,0)</f>
        <v>0</v>
      </c>
      <c r="T1303" s="51">
        <f>IF(R1303="A conferir",N(N1303),0)</f>
        <v>0</v>
      </c>
      <c r="U1303" s="51">
        <f>IF(L1303="",0,L1303)</f>
        <v>0</v>
      </c>
      <c r="V1303" s="51">
        <f>IF(L1303="",0,MAX(1,N(E1303)))</f>
        <v>0</v>
      </c>
      <c r="W1303" s="51">
        <f>IF(K1303="",0,K1303)</f>
        <v>0</v>
      </c>
    </row>
    <row r="1304">
      <c r="A1304" s="49" t="n"/>
      <c r="B1304" s="41" t="n"/>
      <c r="C1304" s="41" t="n"/>
      <c r="D1304" s="42" t="n"/>
      <c r="E1304" s="42" t="n"/>
      <c r="F1304" s="50" t="n"/>
      <c r="G1304" s="42" t="n"/>
      <c r="H1304" s="30">
        <f>IF(D1304="","",IFERROR(INDEX(Config!$B$12:$B$15,MATCH(IF(AND(D1304="Cartão de crédito",N(E1304)&gt;1),"Cartão de crédito parcelado",D1304),Config!$A$12:$A$15,0)),0)+IF(AND(Config!$B$17="Sim",LEFT(D1304,17)="Cartão de crédito"),Config!$B$18*IFERROR(INDEX(Config!$C$12:$C$15,MATCH(IF(AND(D1304="Cartão de crédito",N(E1304)&gt;1),"Cartão de crédito parcelado",D1304),Config!$A$12:$A$15,0)),0)/30*MAX(1,N(E1304)),0))</f>
        <v/>
      </c>
      <c r="I1304" s="29">
        <f>IF(OR(D1304="",F1304=""),"",ROUND(F1304*H1304,2))</f>
        <v/>
      </c>
      <c r="J1304" s="29">
        <f>IF(I1304="","",F1304-I1304)</f>
        <v/>
      </c>
      <c r="K1304" s="29">
        <f>IF(J1304="","",J1304/MAX(1,N(E1304)))</f>
        <v/>
      </c>
      <c r="L1304" s="37">
        <f>IF(OR(D1304="",A1304=""),"",A1304+IF(AND(Config!$B$17="Sim",LEFT(D1304,17)="Cartão de crédito"),1,IFERROR(INDEX(Config!$C$12:$C$15,MATCH(IF(AND(D1304="Cartão de crédito",N(E1304)&gt;1),"Cartão de crédito parcelado",D1304),Config!$A$12:$A$15,0)),0)))</f>
        <v/>
      </c>
      <c r="M1304" s="37">
        <f>IF(L1304="","",IF(AND(Config!$B$17="Sim",LEFT(D1304,17)="Cartão de crédito"),L1304,L1304+30*(MAX(1,N(E1304))-1)))</f>
        <v/>
      </c>
      <c r="N1304" s="29">
        <f>IF(OR(L1304="",K1304=""),"",K1304*MIN(MAX(1,N(E1304)),MAX(0,INT((Config!$B$8-L1304)/30)+1)))</f>
        <v/>
      </c>
      <c r="O1304" s="29">
        <f>IF(J1304="","",J1304-N(N1304))</f>
        <v/>
      </c>
      <c r="P1304" s="27">
        <f>IF(A1304="","",MONTH(A1304))</f>
        <v/>
      </c>
      <c r="Q1304" s="27">
        <f>IF(A1304="","",YEAR(A1304))</f>
        <v/>
      </c>
      <c r="R1304" s="27">
        <f>IF(L1304="","",IF(L1304&gt;Config!$B$8,"A cair",IF(N(G1304)&gt;=MIN(MAX(1,N(E1304)),MAX(0,INT((Config!$B$8-L1304)/30)+1)),IF(N(G1304)&gt;=MAX(1,N(E1304)),"Conferido","Conferido até aqui"),"A conferir")))</f>
        <v/>
      </c>
      <c r="S1304" s="51">
        <f>IF(R1304="A conferir",(Config!$B$8-L1304)*1000+N(F1304)/1000+ROW()/100000,0)</f>
        <v>0</v>
      </c>
      <c r="T1304" s="51">
        <f>IF(R1304="A conferir",N(N1304),0)</f>
        <v>0</v>
      </c>
      <c r="U1304" s="51">
        <f>IF(L1304="",0,L1304)</f>
        <v>0</v>
      </c>
      <c r="V1304" s="51">
        <f>IF(L1304="",0,MAX(1,N(E1304)))</f>
        <v>0</v>
      </c>
      <c r="W1304" s="51">
        <f>IF(K1304="",0,K1304)</f>
        <v>0</v>
      </c>
    </row>
    <row r="1305">
      <c r="A1305" s="49" t="n"/>
      <c r="B1305" s="41" t="n"/>
      <c r="C1305" s="41" t="n"/>
      <c r="D1305" s="42" t="n"/>
      <c r="E1305" s="42" t="n"/>
      <c r="F1305" s="50" t="n"/>
      <c r="G1305" s="42" t="n"/>
      <c r="H1305" s="30">
        <f>IF(D1305="","",IFERROR(INDEX(Config!$B$12:$B$15,MATCH(IF(AND(D1305="Cartão de crédito",N(E1305)&gt;1),"Cartão de crédito parcelado",D1305),Config!$A$12:$A$15,0)),0)+IF(AND(Config!$B$17="Sim",LEFT(D1305,17)="Cartão de crédito"),Config!$B$18*IFERROR(INDEX(Config!$C$12:$C$15,MATCH(IF(AND(D1305="Cartão de crédito",N(E1305)&gt;1),"Cartão de crédito parcelado",D1305),Config!$A$12:$A$15,0)),0)/30*MAX(1,N(E1305)),0))</f>
        <v/>
      </c>
      <c r="I1305" s="29">
        <f>IF(OR(D1305="",F1305=""),"",ROUND(F1305*H1305,2))</f>
        <v/>
      </c>
      <c r="J1305" s="29">
        <f>IF(I1305="","",F1305-I1305)</f>
        <v/>
      </c>
      <c r="K1305" s="29">
        <f>IF(J1305="","",J1305/MAX(1,N(E1305)))</f>
        <v/>
      </c>
      <c r="L1305" s="37">
        <f>IF(OR(D1305="",A1305=""),"",A1305+IF(AND(Config!$B$17="Sim",LEFT(D1305,17)="Cartão de crédito"),1,IFERROR(INDEX(Config!$C$12:$C$15,MATCH(IF(AND(D1305="Cartão de crédito",N(E1305)&gt;1),"Cartão de crédito parcelado",D1305),Config!$A$12:$A$15,0)),0)))</f>
        <v/>
      </c>
      <c r="M1305" s="37">
        <f>IF(L1305="","",IF(AND(Config!$B$17="Sim",LEFT(D1305,17)="Cartão de crédito"),L1305,L1305+30*(MAX(1,N(E1305))-1)))</f>
        <v/>
      </c>
      <c r="N1305" s="29">
        <f>IF(OR(L1305="",K1305=""),"",K1305*MIN(MAX(1,N(E1305)),MAX(0,INT((Config!$B$8-L1305)/30)+1)))</f>
        <v/>
      </c>
      <c r="O1305" s="29">
        <f>IF(J1305="","",J1305-N(N1305))</f>
        <v/>
      </c>
      <c r="P1305" s="27">
        <f>IF(A1305="","",MONTH(A1305))</f>
        <v/>
      </c>
      <c r="Q1305" s="27">
        <f>IF(A1305="","",YEAR(A1305))</f>
        <v/>
      </c>
      <c r="R1305" s="27">
        <f>IF(L1305="","",IF(L1305&gt;Config!$B$8,"A cair",IF(N(G1305)&gt;=MIN(MAX(1,N(E1305)),MAX(0,INT((Config!$B$8-L1305)/30)+1)),IF(N(G1305)&gt;=MAX(1,N(E1305)),"Conferido","Conferido até aqui"),"A conferir")))</f>
        <v/>
      </c>
      <c r="S1305" s="51">
        <f>IF(R1305="A conferir",(Config!$B$8-L1305)*1000+N(F1305)/1000+ROW()/100000,0)</f>
        <v>0</v>
      </c>
      <c r="T1305" s="51">
        <f>IF(R1305="A conferir",N(N1305),0)</f>
        <v>0</v>
      </c>
      <c r="U1305" s="51">
        <f>IF(L1305="",0,L1305)</f>
        <v>0</v>
      </c>
      <c r="V1305" s="51">
        <f>IF(L1305="",0,MAX(1,N(E1305)))</f>
        <v>0</v>
      </c>
      <c r="W1305" s="51">
        <f>IF(K1305="",0,K1305)</f>
        <v>0</v>
      </c>
    </row>
    <row r="1306">
      <c r="A1306" s="49" t="n"/>
      <c r="B1306" s="41" t="n"/>
      <c r="C1306" s="41" t="n"/>
      <c r="D1306" s="42" t="n"/>
      <c r="E1306" s="42" t="n"/>
      <c r="F1306" s="50" t="n"/>
      <c r="G1306" s="42" t="n"/>
      <c r="H1306" s="30">
        <f>IF(D1306="","",IFERROR(INDEX(Config!$B$12:$B$15,MATCH(IF(AND(D1306="Cartão de crédito",N(E1306)&gt;1),"Cartão de crédito parcelado",D1306),Config!$A$12:$A$15,0)),0)+IF(AND(Config!$B$17="Sim",LEFT(D1306,17)="Cartão de crédito"),Config!$B$18*IFERROR(INDEX(Config!$C$12:$C$15,MATCH(IF(AND(D1306="Cartão de crédito",N(E1306)&gt;1),"Cartão de crédito parcelado",D1306),Config!$A$12:$A$15,0)),0)/30*MAX(1,N(E1306)),0))</f>
        <v/>
      </c>
      <c r="I1306" s="29">
        <f>IF(OR(D1306="",F1306=""),"",ROUND(F1306*H1306,2))</f>
        <v/>
      </c>
      <c r="J1306" s="29">
        <f>IF(I1306="","",F1306-I1306)</f>
        <v/>
      </c>
      <c r="K1306" s="29">
        <f>IF(J1306="","",J1306/MAX(1,N(E1306)))</f>
        <v/>
      </c>
      <c r="L1306" s="37">
        <f>IF(OR(D1306="",A1306=""),"",A1306+IF(AND(Config!$B$17="Sim",LEFT(D1306,17)="Cartão de crédito"),1,IFERROR(INDEX(Config!$C$12:$C$15,MATCH(IF(AND(D1306="Cartão de crédito",N(E1306)&gt;1),"Cartão de crédito parcelado",D1306),Config!$A$12:$A$15,0)),0)))</f>
        <v/>
      </c>
      <c r="M1306" s="37">
        <f>IF(L1306="","",IF(AND(Config!$B$17="Sim",LEFT(D1306,17)="Cartão de crédito"),L1306,L1306+30*(MAX(1,N(E1306))-1)))</f>
        <v/>
      </c>
      <c r="N1306" s="29">
        <f>IF(OR(L1306="",K1306=""),"",K1306*MIN(MAX(1,N(E1306)),MAX(0,INT((Config!$B$8-L1306)/30)+1)))</f>
        <v/>
      </c>
      <c r="O1306" s="29">
        <f>IF(J1306="","",J1306-N(N1306))</f>
        <v/>
      </c>
      <c r="P1306" s="27">
        <f>IF(A1306="","",MONTH(A1306))</f>
        <v/>
      </c>
      <c r="Q1306" s="27">
        <f>IF(A1306="","",YEAR(A1306))</f>
        <v/>
      </c>
      <c r="R1306" s="27">
        <f>IF(L1306="","",IF(L1306&gt;Config!$B$8,"A cair",IF(N(G1306)&gt;=MIN(MAX(1,N(E1306)),MAX(0,INT((Config!$B$8-L1306)/30)+1)),IF(N(G1306)&gt;=MAX(1,N(E1306)),"Conferido","Conferido até aqui"),"A conferir")))</f>
        <v/>
      </c>
      <c r="S1306" s="51">
        <f>IF(R1306="A conferir",(Config!$B$8-L1306)*1000+N(F1306)/1000+ROW()/100000,0)</f>
        <v>0</v>
      </c>
      <c r="T1306" s="51">
        <f>IF(R1306="A conferir",N(N1306),0)</f>
        <v>0</v>
      </c>
      <c r="U1306" s="51">
        <f>IF(L1306="",0,L1306)</f>
        <v>0</v>
      </c>
      <c r="V1306" s="51">
        <f>IF(L1306="",0,MAX(1,N(E1306)))</f>
        <v>0</v>
      </c>
      <c r="W1306" s="51">
        <f>IF(K1306="",0,K1306)</f>
        <v>0</v>
      </c>
    </row>
    <row r="1307">
      <c r="A1307" s="49" t="n"/>
      <c r="B1307" s="41" t="n"/>
      <c r="C1307" s="41" t="n"/>
      <c r="D1307" s="42" t="n"/>
      <c r="E1307" s="42" t="n"/>
      <c r="F1307" s="50" t="n"/>
      <c r="G1307" s="42" t="n"/>
      <c r="H1307" s="30">
        <f>IF(D1307="","",IFERROR(INDEX(Config!$B$12:$B$15,MATCH(IF(AND(D1307="Cartão de crédito",N(E1307)&gt;1),"Cartão de crédito parcelado",D1307),Config!$A$12:$A$15,0)),0)+IF(AND(Config!$B$17="Sim",LEFT(D1307,17)="Cartão de crédito"),Config!$B$18*IFERROR(INDEX(Config!$C$12:$C$15,MATCH(IF(AND(D1307="Cartão de crédito",N(E1307)&gt;1),"Cartão de crédito parcelado",D1307),Config!$A$12:$A$15,0)),0)/30*MAX(1,N(E1307)),0))</f>
        <v/>
      </c>
      <c r="I1307" s="29">
        <f>IF(OR(D1307="",F1307=""),"",ROUND(F1307*H1307,2))</f>
        <v/>
      </c>
      <c r="J1307" s="29">
        <f>IF(I1307="","",F1307-I1307)</f>
        <v/>
      </c>
      <c r="K1307" s="29">
        <f>IF(J1307="","",J1307/MAX(1,N(E1307)))</f>
        <v/>
      </c>
      <c r="L1307" s="37">
        <f>IF(OR(D1307="",A1307=""),"",A1307+IF(AND(Config!$B$17="Sim",LEFT(D1307,17)="Cartão de crédito"),1,IFERROR(INDEX(Config!$C$12:$C$15,MATCH(IF(AND(D1307="Cartão de crédito",N(E1307)&gt;1),"Cartão de crédito parcelado",D1307),Config!$A$12:$A$15,0)),0)))</f>
        <v/>
      </c>
      <c r="M1307" s="37">
        <f>IF(L1307="","",IF(AND(Config!$B$17="Sim",LEFT(D1307,17)="Cartão de crédito"),L1307,L1307+30*(MAX(1,N(E1307))-1)))</f>
        <v/>
      </c>
      <c r="N1307" s="29">
        <f>IF(OR(L1307="",K1307=""),"",K1307*MIN(MAX(1,N(E1307)),MAX(0,INT((Config!$B$8-L1307)/30)+1)))</f>
        <v/>
      </c>
      <c r="O1307" s="29">
        <f>IF(J1307="","",J1307-N(N1307))</f>
        <v/>
      </c>
      <c r="P1307" s="27">
        <f>IF(A1307="","",MONTH(A1307))</f>
        <v/>
      </c>
      <c r="Q1307" s="27">
        <f>IF(A1307="","",YEAR(A1307))</f>
        <v/>
      </c>
      <c r="R1307" s="27">
        <f>IF(L1307="","",IF(L1307&gt;Config!$B$8,"A cair",IF(N(G1307)&gt;=MIN(MAX(1,N(E1307)),MAX(0,INT((Config!$B$8-L1307)/30)+1)),IF(N(G1307)&gt;=MAX(1,N(E1307)),"Conferido","Conferido até aqui"),"A conferir")))</f>
        <v/>
      </c>
      <c r="S1307" s="51">
        <f>IF(R1307="A conferir",(Config!$B$8-L1307)*1000+N(F1307)/1000+ROW()/100000,0)</f>
        <v>0</v>
      </c>
      <c r="T1307" s="51">
        <f>IF(R1307="A conferir",N(N1307),0)</f>
        <v>0</v>
      </c>
      <c r="U1307" s="51">
        <f>IF(L1307="",0,L1307)</f>
        <v>0</v>
      </c>
      <c r="V1307" s="51">
        <f>IF(L1307="",0,MAX(1,N(E1307)))</f>
        <v>0</v>
      </c>
      <c r="W1307" s="51">
        <f>IF(K1307="",0,K1307)</f>
        <v>0</v>
      </c>
    </row>
    <row r="1308">
      <c r="A1308" s="49" t="n"/>
      <c r="B1308" s="41" t="n"/>
      <c r="C1308" s="41" t="n"/>
      <c r="D1308" s="42" t="n"/>
      <c r="E1308" s="42" t="n"/>
      <c r="F1308" s="50" t="n"/>
      <c r="G1308" s="42" t="n"/>
      <c r="H1308" s="30">
        <f>IF(D1308="","",IFERROR(INDEX(Config!$B$12:$B$15,MATCH(IF(AND(D1308="Cartão de crédito",N(E1308)&gt;1),"Cartão de crédito parcelado",D1308),Config!$A$12:$A$15,0)),0)+IF(AND(Config!$B$17="Sim",LEFT(D1308,17)="Cartão de crédito"),Config!$B$18*IFERROR(INDEX(Config!$C$12:$C$15,MATCH(IF(AND(D1308="Cartão de crédito",N(E1308)&gt;1),"Cartão de crédito parcelado",D1308),Config!$A$12:$A$15,0)),0)/30*MAX(1,N(E1308)),0))</f>
        <v/>
      </c>
      <c r="I1308" s="29">
        <f>IF(OR(D1308="",F1308=""),"",ROUND(F1308*H1308,2))</f>
        <v/>
      </c>
      <c r="J1308" s="29">
        <f>IF(I1308="","",F1308-I1308)</f>
        <v/>
      </c>
      <c r="K1308" s="29">
        <f>IF(J1308="","",J1308/MAX(1,N(E1308)))</f>
        <v/>
      </c>
      <c r="L1308" s="37">
        <f>IF(OR(D1308="",A1308=""),"",A1308+IF(AND(Config!$B$17="Sim",LEFT(D1308,17)="Cartão de crédito"),1,IFERROR(INDEX(Config!$C$12:$C$15,MATCH(IF(AND(D1308="Cartão de crédito",N(E1308)&gt;1),"Cartão de crédito parcelado",D1308),Config!$A$12:$A$15,0)),0)))</f>
        <v/>
      </c>
      <c r="M1308" s="37">
        <f>IF(L1308="","",IF(AND(Config!$B$17="Sim",LEFT(D1308,17)="Cartão de crédito"),L1308,L1308+30*(MAX(1,N(E1308))-1)))</f>
        <v/>
      </c>
      <c r="N1308" s="29">
        <f>IF(OR(L1308="",K1308=""),"",K1308*MIN(MAX(1,N(E1308)),MAX(0,INT((Config!$B$8-L1308)/30)+1)))</f>
        <v/>
      </c>
      <c r="O1308" s="29">
        <f>IF(J1308="","",J1308-N(N1308))</f>
        <v/>
      </c>
      <c r="P1308" s="27">
        <f>IF(A1308="","",MONTH(A1308))</f>
        <v/>
      </c>
      <c r="Q1308" s="27">
        <f>IF(A1308="","",YEAR(A1308))</f>
        <v/>
      </c>
      <c r="R1308" s="27">
        <f>IF(L1308="","",IF(L1308&gt;Config!$B$8,"A cair",IF(N(G1308)&gt;=MIN(MAX(1,N(E1308)),MAX(0,INT((Config!$B$8-L1308)/30)+1)),IF(N(G1308)&gt;=MAX(1,N(E1308)),"Conferido","Conferido até aqui"),"A conferir")))</f>
        <v/>
      </c>
      <c r="S1308" s="51">
        <f>IF(R1308="A conferir",(Config!$B$8-L1308)*1000+N(F1308)/1000+ROW()/100000,0)</f>
        <v>0</v>
      </c>
      <c r="T1308" s="51">
        <f>IF(R1308="A conferir",N(N1308),0)</f>
        <v>0</v>
      </c>
      <c r="U1308" s="51">
        <f>IF(L1308="",0,L1308)</f>
        <v>0</v>
      </c>
      <c r="V1308" s="51">
        <f>IF(L1308="",0,MAX(1,N(E1308)))</f>
        <v>0</v>
      </c>
      <c r="W1308" s="51">
        <f>IF(K1308="",0,K1308)</f>
        <v>0</v>
      </c>
    </row>
    <row r="1309">
      <c r="A1309" s="49" t="n"/>
      <c r="B1309" s="41" t="n"/>
      <c r="C1309" s="41" t="n"/>
      <c r="D1309" s="42" t="n"/>
      <c r="E1309" s="42" t="n"/>
      <c r="F1309" s="50" t="n"/>
      <c r="G1309" s="42" t="n"/>
      <c r="H1309" s="30">
        <f>IF(D1309="","",IFERROR(INDEX(Config!$B$12:$B$15,MATCH(IF(AND(D1309="Cartão de crédito",N(E1309)&gt;1),"Cartão de crédito parcelado",D1309),Config!$A$12:$A$15,0)),0)+IF(AND(Config!$B$17="Sim",LEFT(D1309,17)="Cartão de crédito"),Config!$B$18*IFERROR(INDEX(Config!$C$12:$C$15,MATCH(IF(AND(D1309="Cartão de crédito",N(E1309)&gt;1),"Cartão de crédito parcelado",D1309),Config!$A$12:$A$15,0)),0)/30*MAX(1,N(E1309)),0))</f>
        <v/>
      </c>
      <c r="I1309" s="29">
        <f>IF(OR(D1309="",F1309=""),"",ROUND(F1309*H1309,2))</f>
        <v/>
      </c>
      <c r="J1309" s="29">
        <f>IF(I1309="","",F1309-I1309)</f>
        <v/>
      </c>
      <c r="K1309" s="29">
        <f>IF(J1309="","",J1309/MAX(1,N(E1309)))</f>
        <v/>
      </c>
      <c r="L1309" s="37">
        <f>IF(OR(D1309="",A1309=""),"",A1309+IF(AND(Config!$B$17="Sim",LEFT(D1309,17)="Cartão de crédito"),1,IFERROR(INDEX(Config!$C$12:$C$15,MATCH(IF(AND(D1309="Cartão de crédito",N(E1309)&gt;1),"Cartão de crédito parcelado",D1309),Config!$A$12:$A$15,0)),0)))</f>
        <v/>
      </c>
      <c r="M1309" s="37">
        <f>IF(L1309="","",IF(AND(Config!$B$17="Sim",LEFT(D1309,17)="Cartão de crédito"),L1309,L1309+30*(MAX(1,N(E1309))-1)))</f>
        <v/>
      </c>
      <c r="N1309" s="29">
        <f>IF(OR(L1309="",K1309=""),"",K1309*MIN(MAX(1,N(E1309)),MAX(0,INT((Config!$B$8-L1309)/30)+1)))</f>
        <v/>
      </c>
      <c r="O1309" s="29">
        <f>IF(J1309="","",J1309-N(N1309))</f>
        <v/>
      </c>
      <c r="P1309" s="27">
        <f>IF(A1309="","",MONTH(A1309))</f>
        <v/>
      </c>
      <c r="Q1309" s="27">
        <f>IF(A1309="","",YEAR(A1309))</f>
        <v/>
      </c>
      <c r="R1309" s="27">
        <f>IF(L1309="","",IF(L1309&gt;Config!$B$8,"A cair",IF(N(G1309)&gt;=MIN(MAX(1,N(E1309)),MAX(0,INT((Config!$B$8-L1309)/30)+1)),IF(N(G1309)&gt;=MAX(1,N(E1309)),"Conferido","Conferido até aqui"),"A conferir")))</f>
        <v/>
      </c>
      <c r="S1309" s="51">
        <f>IF(R1309="A conferir",(Config!$B$8-L1309)*1000+N(F1309)/1000+ROW()/100000,0)</f>
        <v>0</v>
      </c>
      <c r="T1309" s="51">
        <f>IF(R1309="A conferir",N(N1309),0)</f>
        <v>0</v>
      </c>
      <c r="U1309" s="51">
        <f>IF(L1309="",0,L1309)</f>
        <v>0</v>
      </c>
      <c r="V1309" s="51">
        <f>IF(L1309="",0,MAX(1,N(E1309)))</f>
        <v>0</v>
      </c>
      <c r="W1309" s="51">
        <f>IF(K1309="",0,K1309)</f>
        <v>0</v>
      </c>
    </row>
    <row r="1310">
      <c r="A1310" s="49" t="n"/>
      <c r="B1310" s="41" t="n"/>
      <c r="C1310" s="41" t="n"/>
      <c r="D1310" s="42" t="n"/>
      <c r="E1310" s="42" t="n"/>
      <c r="F1310" s="50" t="n"/>
      <c r="G1310" s="42" t="n"/>
      <c r="H1310" s="30">
        <f>IF(D1310="","",IFERROR(INDEX(Config!$B$12:$B$15,MATCH(IF(AND(D1310="Cartão de crédito",N(E1310)&gt;1),"Cartão de crédito parcelado",D1310),Config!$A$12:$A$15,0)),0)+IF(AND(Config!$B$17="Sim",LEFT(D1310,17)="Cartão de crédito"),Config!$B$18*IFERROR(INDEX(Config!$C$12:$C$15,MATCH(IF(AND(D1310="Cartão de crédito",N(E1310)&gt;1),"Cartão de crédito parcelado",D1310),Config!$A$12:$A$15,0)),0)/30*MAX(1,N(E1310)),0))</f>
        <v/>
      </c>
      <c r="I1310" s="29">
        <f>IF(OR(D1310="",F1310=""),"",ROUND(F1310*H1310,2))</f>
        <v/>
      </c>
      <c r="J1310" s="29">
        <f>IF(I1310="","",F1310-I1310)</f>
        <v/>
      </c>
      <c r="K1310" s="29">
        <f>IF(J1310="","",J1310/MAX(1,N(E1310)))</f>
        <v/>
      </c>
      <c r="L1310" s="37">
        <f>IF(OR(D1310="",A1310=""),"",A1310+IF(AND(Config!$B$17="Sim",LEFT(D1310,17)="Cartão de crédito"),1,IFERROR(INDEX(Config!$C$12:$C$15,MATCH(IF(AND(D1310="Cartão de crédito",N(E1310)&gt;1),"Cartão de crédito parcelado",D1310),Config!$A$12:$A$15,0)),0)))</f>
        <v/>
      </c>
      <c r="M1310" s="37">
        <f>IF(L1310="","",IF(AND(Config!$B$17="Sim",LEFT(D1310,17)="Cartão de crédito"),L1310,L1310+30*(MAX(1,N(E1310))-1)))</f>
        <v/>
      </c>
      <c r="N1310" s="29">
        <f>IF(OR(L1310="",K1310=""),"",K1310*MIN(MAX(1,N(E1310)),MAX(0,INT((Config!$B$8-L1310)/30)+1)))</f>
        <v/>
      </c>
      <c r="O1310" s="29">
        <f>IF(J1310="","",J1310-N(N1310))</f>
        <v/>
      </c>
      <c r="P1310" s="27">
        <f>IF(A1310="","",MONTH(A1310))</f>
        <v/>
      </c>
      <c r="Q1310" s="27">
        <f>IF(A1310="","",YEAR(A1310))</f>
        <v/>
      </c>
      <c r="R1310" s="27">
        <f>IF(L1310="","",IF(L1310&gt;Config!$B$8,"A cair",IF(N(G1310)&gt;=MIN(MAX(1,N(E1310)),MAX(0,INT((Config!$B$8-L1310)/30)+1)),IF(N(G1310)&gt;=MAX(1,N(E1310)),"Conferido","Conferido até aqui"),"A conferir")))</f>
        <v/>
      </c>
      <c r="S1310" s="51">
        <f>IF(R1310="A conferir",(Config!$B$8-L1310)*1000+N(F1310)/1000+ROW()/100000,0)</f>
        <v>0</v>
      </c>
      <c r="T1310" s="51">
        <f>IF(R1310="A conferir",N(N1310),0)</f>
        <v>0</v>
      </c>
      <c r="U1310" s="51">
        <f>IF(L1310="",0,L1310)</f>
        <v>0</v>
      </c>
      <c r="V1310" s="51">
        <f>IF(L1310="",0,MAX(1,N(E1310)))</f>
        <v>0</v>
      </c>
      <c r="W1310" s="51">
        <f>IF(K1310="",0,K1310)</f>
        <v>0</v>
      </c>
    </row>
    <row r="1311">
      <c r="A1311" s="49" t="n"/>
      <c r="B1311" s="41" t="n"/>
      <c r="C1311" s="41" t="n"/>
      <c r="D1311" s="42" t="n"/>
      <c r="E1311" s="42" t="n"/>
      <c r="F1311" s="50" t="n"/>
      <c r="G1311" s="42" t="n"/>
      <c r="H1311" s="30">
        <f>IF(D1311="","",IFERROR(INDEX(Config!$B$12:$B$15,MATCH(IF(AND(D1311="Cartão de crédito",N(E1311)&gt;1),"Cartão de crédito parcelado",D1311),Config!$A$12:$A$15,0)),0)+IF(AND(Config!$B$17="Sim",LEFT(D1311,17)="Cartão de crédito"),Config!$B$18*IFERROR(INDEX(Config!$C$12:$C$15,MATCH(IF(AND(D1311="Cartão de crédito",N(E1311)&gt;1),"Cartão de crédito parcelado",D1311),Config!$A$12:$A$15,0)),0)/30*MAX(1,N(E1311)),0))</f>
        <v/>
      </c>
      <c r="I1311" s="29">
        <f>IF(OR(D1311="",F1311=""),"",ROUND(F1311*H1311,2))</f>
        <v/>
      </c>
      <c r="J1311" s="29">
        <f>IF(I1311="","",F1311-I1311)</f>
        <v/>
      </c>
      <c r="K1311" s="29">
        <f>IF(J1311="","",J1311/MAX(1,N(E1311)))</f>
        <v/>
      </c>
      <c r="L1311" s="37">
        <f>IF(OR(D1311="",A1311=""),"",A1311+IF(AND(Config!$B$17="Sim",LEFT(D1311,17)="Cartão de crédito"),1,IFERROR(INDEX(Config!$C$12:$C$15,MATCH(IF(AND(D1311="Cartão de crédito",N(E1311)&gt;1),"Cartão de crédito parcelado",D1311),Config!$A$12:$A$15,0)),0)))</f>
        <v/>
      </c>
      <c r="M1311" s="37">
        <f>IF(L1311="","",IF(AND(Config!$B$17="Sim",LEFT(D1311,17)="Cartão de crédito"),L1311,L1311+30*(MAX(1,N(E1311))-1)))</f>
        <v/>
      </c>
      <c r="N1311" s="29">
        <f>IF(OR(L1311="",K1311=""),"",K1311*MIN(MAX(1,N(E1311)),MAX(0,INT((Config!$B$8-L1311)/30)+1)))</f>
        <v/>
      </c>
      <c r="O1311" s="29">
        <f>IF(J1311="","",J1311-N(N1311))</f>
        <v/>
      </c>
      <c r="P1311" s="27">
        <f>IF(A1311="","",MONTH(A1311))</f>
        <v/>
      </c>
      <c r="Q1311" s="27">
        <f>IF(A1311="","",YEAR(A1311))</f>
        <v/>
      </c>
      <c r="R1311" s="27">
        <f>IF(L1311="","",IF(L1311&gt;Config!$B$8,"A cair",IF(N(G1311)&gt;=MIN(MAX(1,N(E1311)),MAX(0,INT((Config!$B$8-L1311)/30)+1)),IF(N(G1311)&gt;=MAX(1,N(E1311)),"Conferido","Conferido até aqui"),"A conferir")))</f>
        <v/>
      </c>
      <c r="S1311" s="51">
        <f>IF(R1311="A conferir",(Config!$B$8-L1311)*1000+N(F1311)/1000+ROW()/100000,0)</f>
        <v>0</v>
      </c>
      <c r="T1311" s="51">
        <f>IF(R1311="A conferir",N(N1311),0)</f>
        <v>0</v>
      </c>
      <c r="U1311" s="51">
        <f>IF(L1311="",0,L1311)</f>
        <v>0</v>
      </c>
      <c r="V1311" s="51">
        <f>IF(L1311="",0,MAX(1,N(E1311)))</f>
        <v>0</v>
      </c>
      <c r="W1311" s="51">
        <f>IF(K1311="",0,K1311)</f>
        <v>0</v>
      </c>
    </row>
    <row r="1312">
      <c r="A1312" s="49" t="n"/>
      <c r="B1312" s="41" t="n"/>
      <c r="C1312" s="41" t="n"/>
      <c r="D1312" s="42" t="n"/>
      <c r="E1312" s="42" t="n"/>
      <c r="F1312" s="50" t="n"/>
      <c r="G1312" s="42" t="n"/>
      <c r="H1312" s="30">
        <f>IF(D1312="","",IFERROR(INDEX(Config!$B$12:$B$15,MATCH(IF(AND(D1312="Cartão de crédito",N(E1312)&gt;1),"Cartão de crédito parcelado",D1312),Config!$A$12:$A$15,0)),0)+IF(AND(Config!$B$17="Sim",LEFT(D1312,17)="Cartão de crédito"),Config!$B$18*IFERROR(INDEX(Config!$C$12:$C$15,MATCH(IF(AND(D1312="Cartão de crédito",N(E1312)&gt;1),"Cartão de crédito parcelado",D1312),Config!$A$12:$A$15,0)),0)/30*MAX(1,N(E1312)),0))</f>
        <v/>
      </c>
      <c r="I1312" s="29">
        <f>IF(OR(D1312="",F1312=""),"",ROUND(F1312*H1312,2))</f>
        <v/>
      </c>
      <c r="J1312" s="29">
        <f>IF(I1312="","",F1312-I1312)</f>
        <v/>
      </c>
      <c r="K1312" s="29">
        <f>IF(J1312="","",J1312/MAX(1,N(E1312)))</f>
        <v/>
      </c>
      <c r="L1312" s="37">
        <f>IF(OR(D1312="",A1312=""),"",A1312+IF(AND(Config!$B$17="Sim",LEFT(D1312,17)="Cartão de crédito"),1,IFERROR(INDEX(Config!$C$12:$C$15,MATCH(IF(AND(D1312="Cartão de crédito",N(E1312)&gt;1),"Cartão de crédito parcelado",D1312),Config!$A$12:$A$15,0)),0)))</f>
        <v/>
      </c>
      <c r="M1312" s="37">
        <f>IF(L1312="","",IF(AND(Config!$B$17="Sim",LEFT(D1312,17)="Cartão de crédito"),L1312,L1312+30*(MAX(1,N(E1312))-1)))</f>
        <v/>
      </c>
      <c r="N1312" s="29">
        <f>IF(OR(L1312="",K1312=""),"",K1312*MIN(MAX(1,N(E1312)),MAX(0,INT((Config!$B$8-L1312)/30)+1)))</f>
        <v/>
      </c>
      <c r="O1312" s="29">
        <f>IF(J1312="","",J1312-N(N1312))</f>
        <v/>
      </c>
      <c r="P1312" s="27">
        <f>IF(A1312="","",MONTH(A1312))</f>
        <v/>
      </c>
      <c r="Q1312" s="27">
        <f>IF(A1312="","",YEAR(A1312))</f>
        <v/>
      </c>
      <c r="R1312" s="27">
        <f>IF(L1312="","",IF(L1312&gt;Config!$B$8,"A cair",IF(N(G1312)&gt;=MIN(MAX(1,N(E1312)),MAX(0,INT((Config!$B$8-L1312)/30)+1)),IF(N(G1312)&gt;=MAX(1,N(E1312)),"Conferido","Conferido até aqui"),"A conferir")))</f>
        <v/>
      </c>
      <c r="S1312" s="51">
        <f>IF(R1312="A conferir",(Config!$B$8-L1312)*1000+N(F1312)/1000+ROW()/100000,0)</f>
        <v>0</v>
      </c>
      <c r="T1312" s="51">
        <f>IF(R1312="A conferir",N(N1312),0)</f>
        <v>0</v>
      </c>
      <c r="U1312" s="51">
        <f>IF(L1312="",0,L1312)</f>
        <v>0</v>
      </c>
      <c r="V1312" s="51">
        <f>IF(L1312="",0,MAX(1,N(E1312)))</f>
        <v>0</v>
      </c>
      <c r="W1312" s="51">
        <f>IF(K1312="",0,K1312)</f>
        <v>0</v>
      </c>
    </row>
    <row r="1313">
      <c r="A1313" s="49" t="n"/>
      <c r="B1313" s="41" t="n"/>
      <c r="C1313" s="41" t="n"/>
      <c r="D1313" s="42" t="n"/>
      <c r="E1313" s="42" t="n"/>
      <c r="F1313" s="50" t="n"/>
      <c r="G1313" s="42" t="n"/>
      <c r="H1313" s="30">
        <f>IF(D1313="","",IFERROR(INDEX(Config!$B$12:$B$15,MATCH(IF(AND(D1313="Cartão de crédito",N(E1313)&gt;1),"Cartão de crédito parcelado",D1313),Config!$A$12:$A$15,0)),0)+IF(AND(Config!$B$17="Sim",LEFT(D1313,17)="Cartão de crédito"),Config!$B$18*IFERROR(INDEX(Config!$C$12:$C$15,MATCH(IF(AND(D1313="Cartão de crédito",N(E1313)&gt;1),"Cartão de crédito parcelado",D1313),Config!$A$12:$A$15,0)),0)/30*MAX(1,N(E1313)),0))</f>
        <v/>
      </c>
      <c r="I1313" s="29">
        <f>IF(OR(D1313="",F1313=""),"",ROUND(F1313*H1313,2))</f>
        <v/>
      </c>
      <c r="J1313" s="29">
        <f>IF(I1313="","",F1313-I1313)</f>
        <v/>
      </c>
      <c r="K1313" s="29">
        <f>IF(J1313="","",J1313/MAX(1,N(E1313)))</f>
        <v/>
      </c>
      <c r="L1313" s="37">
        <f>IF(OR(D1313="",A1313=""),"",A1313+IF(AND(Config!$B$17="Sim",LEFT(D1313,17)="Cartão de crédito"),1,IFERROR(INDEX(Config!$C$12:$C$15,MATCH(IF(AND(D1313="Cartão de crédito",N(E1313)&gt;1),"Cartão de crédito parcelado",D1313),Config!$A$12:$A$15,0)),0)))</f>
        <v/>
      </c>
      <c r="M1313" s="37">
        <f>IF(L1313="","",IF(AND(Config!$B$17="Sim",LEFT(D1313,17)="Cartão de crédito"),L1313,L1313+30*(MAX(1,N(E1313))-1)))</f>
        <v/>
      </c>
      <c r="N1313" s="29">
        <f>IF(OR(L1313="",K1313=""),"",K1313*MIN(MAX(1,N(E1313)),MAX(0,INT((Config!$B$8-L1313)/30)+1)))</f>
        <v/>
      </c>
      <c r="O1313" s="29">
        <f>IF(J1313="","",J1313-N(N1313))</f>
        <v/>
      </c>
      <c r="P1313" s="27">
        <f>IF(A1313="","",MONTH(A1313))</f>
        <v/>
      </c>
      <c r="Q1313" s="27">
        <f>IF(A1313="","",YEAR(A1313))</f>
        <v/>
      </c>
      <c r="R1313" s="27">
        <f>IF(L1313="","",IF(L1313&gt;Config!$B$8,"A cair",IF(N(G1313)&gt;=MIN(MAX(1,N(E1313)),MAX(0,INT((Config!$B$8-L1313)/30)+1)),IF(N(G1313)&gt;=MAX(1,N(E1313)),"Conferido","Conferido até aqui"),"A conferir")))</f>
        <v/>
      </c>
      <c r="S1313" s="51">
        <f>IF(R1313="A conferir",(Config!$B$8-L1313)*1000+N(F1313)/1000+ROW()/100000,0)</f>
        <v>0</v>
      </c>
      <c r="T1313" s="51">
        <f>IF(R1313="A conferir",N(N1313),0)</f>
        <v>0</v>
      </c>
      <c r="U1313" s="51">
        <f>IF(L1313="",0,L1313)</f>
        <v>0</v>
      </c>
      <c r="V1313" s="51">
        <f>IF(L1313="",0,MAX(1,N(E1313)))</f>
        <v>0</v>
      </c>
      <c r="W1313" s="51">
        <f>IF(K1313="",0,K1313)</f>
        <v>0</v>
      </c>
    </row>
    <row r="1314">
      <c r="A1314" s="49" t="n"/>
      <c r="B1314" s="41" t="n"/>
      <c r="C1314" s="41" t="n"/>
      <c r="D1314" s="42" t="n"/>
      <c r="E1314" s="42" t="n"/>
      <c r="F1314" s="50" t="n"/>
      <c r="G1314" s="42" t="n"/>
      <c r="H1314" s="30">
        <f>IF(D1314="","",IFERROR(INDEX(Config!$B$12:$B$15,MATCH(IF(AND(D1314="Cartão de crédito",N(E1314)&gt;1),"Cartão de crédito parcelado",D1314),Config!$A$12:$A$15,0)),0)+IF(AND(Config!$B$17="Sim",LEFT(D1314,17)="Cartão de crédito"),Config!$B$18*IFERROR(INDEX(Config!$C$12:$C$15,MATCH(IF(AND(D1314="Cartão de crédito",N(E1314)&gt;1),"Cartão de crédito parcelado",D1314),Config!$A$12:$A$15,0)),0)/30*MAX(1,N(E1314)),0))</f>
        <v/>
      </c>
      <c r="I1314" s="29">
        <f>IF(OR(D1314="",F1314=""),"",ROUND(F1314*H1314,2))</f>
        <v/>
      </c>
      <c r="J1314" s="29">
        <f>IF(I1314="","",F1314-I1314)</f>
        <v/>
      </c>
      <c r="K1314" s="29">
        <f>IF(J1314="","",J1314/MAX(1,N(E1314)))</f>
        <v/>
      </c>
      <c r="L1314" s="37">
        <f>IF(OR(D1314="",A1314=""),"",A1314+IF(AND(Config!$B$17="Sim",LEFT(D1314,17)="Cartão de crédito"),1,IFERROR(INDEX(Config!$C$12:$C$15,MATCH(IF(AND(D1314="Cartão de crédito",N(E1314)&gt;1),"Cartão de crédito parcelado",D1314),Config!$A$12:$A$15,0)),0)))</f>
        <v/>
      </c>
      <c r="M1314" s="37">
        <f>IF(L1314="","",IF(AND(Config!$B$17="Sim",LEFT(D1314,17)="Cartão de crédito"),L1314,L1314+30*(MAX(1,N(E1314))-1)))</f>
        <v/>
      </c>
      <c r="N1314" s="29">
        <f>IF(OR(L1314="",K1314=""),"",K1314*MIN(MAX(1,N(E1314)),MAX(0,INT((Config!$B$8-L1314)/30)+1)))</f>
        <v/>
      </c>
      <c r="O1314" s="29">
        <f>IF(J1314="","",J1314-N(N1314))</f>
        <v/>
      </c>
      <c r="P1314" s="27">
        <f>IF(A1314="","",MONTH(A1314))</f>
        <v/>
      </c>
      <c r="Q1314" s="27">
        <f>IF(A1314="","",YEAR(A1314))</f>
        <v/>
      </c>
      <c r="R1314" s="27">
        <f>IF(L1314="","",IF(L1314&gt;Config!$B$8,"A cair",IF(N(G1314)&gt;=MIN(MAX(1,N(E1314)),MAX(0,INT((Config!$B$8-L1314)/30)+1)),IF(N(G1314)&gt;=MAX(1,N(E1314)),"Conferido","Conferido até aqui"),"A conferir")))</f>
        <v/>
      </c>
      <c r="S1314" s="51">
        <f>IF(R1314="A conferir",(Config!$B$8-L1314)*1000+N(F1314)/1000+ROW()/100000,0)</f>
        <v>0</v>
      </c>
      <c r="T1314" s="51">
        <f>IF(R1314="A conferir",N(N1314),0)</f>
        <v>0</v>
      </c>
      <c r="U1314" s="51">
        <f>IF(L1314="",0,L1314)</f>
        <v>0</v>
      </c>
      <c r="V1314" s="51">
        <f>IF(L1314="",0,MAX(1,N(E1314)))</f>
        <v>0</v>
      </c>
      <c r="W1314" s="51">
        <f>IF(K1314="",0,K1314)</f>
        <v>0</v>
      </c>
    </row>
    <row r="1315">
      <c r="A1315" s="49" t="n"/>
      <c r="B1315" s="41" t="n"/>
      <c r="C1315" s="41" t="n"/>
      <c r="D1315" s="42" t="n"/>
      <c r="E1315" s="42" t="n"/>
      <c r="F1315" s="50" t="n"/>
      <c r="G1315" s="42" t="n"/>
      <c r="H1315" s="30">
        <f>IF(D1315="","",IFERROR(INDEX(Config!$B$12:$B$15,MATCH(IF(AND(D1315="Cartão de crédito",N(E1315)&gt;1),"Cartão de crédito parcelado",D1315),Config!$A$12:$A$15,0)),0)+IF(AND(Config!$B$17="Sim",LEFT(D1315,17)="Cartão de crédito"),Config!$B$18*IFERROR(INDEX(Config!$C$12:$C$15,MATCH(IF(AND(D1315="Cartão de crédito",N(E1315)&gt;1),"Cartão de crédito parcelado",D1315),Config!$A$12:$A$15,0)),0)/30*MAX(1,N(E1315)),0))</f>
        <v/>
      </c>
      <c r="I1315" s="29">
        <f>IF(OR(D1315="",F1315=""),"",ROUND(F1315*H1315,2))</f>
        <v/>
      </c>
      <c r="J1315" s="29">
        <f>IF(I1315="","",F1315-I1315)</f>
        <v/>
      </c>
      <c r="K1315" s="29">
        <f>IF(J1315="","",J1315/MAX(1,N(E1315)))</f>
        <v/>
      </c>
      <c r="L1315" s="37">
        <f>IF(OR(D1315="",A1315=""),"",A1315+IF(AND(Config!$B$17="Sim",LEFT(D1315,17)="Cartão de crédito"),1,IFERROR(INDEX(Config!$C$12:$C$15,MATCH(IF(AND(D1315="Cartão de crédito",N(E1315)&gt;1),"Cartão de crédito parcelado",D1315),Config!$A$12:$A$15,0)),0)))</f>
        <v/>
      </c>
      <c r="M1315" s="37">
        <f>IF(L1315="","",IF(AND(Config!$B$17="Sim",LEFT(D1315,17)="Cartão de crédito"),L1315,L1315+30*(MAX(1,N(E1315))-1)))</f>
        <v/>
      </c>
      <c r="N1315" s="29">
        <f>IF(OR(L1315="",K1315=""),"",K1315*MIN(MAX(1,N(E1315)),MAX(0,INT((Config!$B$8-L1315)/30)+1)))</f>
        <v/>
      </c>
      <c r="O1315" s="29">
        <f>IF(J1315="","",J1315-N(N1315))</f>
        <v/>
      </c>
      <c r="P1315" s="27">
        <f>IF(A1315="","",MONTH(A1315))</f>
        <v/>
      </c>
      <c r="Q1315" s="27">
        <f>IF(A1315="","",YEAR(A1315))</f>
        <v/>
      </c>
      <c r="R1315" s="27">
        <f>IF(L1315="","",IF(L1315&gt;Config!$B$8,"A cair",IF(N(G1315)&gt;=MIN(MAX(1,N(E1315)),MAX(0,INT((Config!$B$8-L1315)/30)+1)),IF(N(G1315)&gt;=MAX(1,N(E1315)),"Conferido","Conferido até aqui"),"A conferir")))</f>
        <v/>
      </c>
      <c r="S1315" s="51">
        <f>IF(R1315="A conferir",(Config!$B$8-L1315)*1000+N(F1315)/1000+ROW()/100000,0)</f>
        <v>0</v>
      </c>
      <c r="T1315" s="51">
        <f>IF(R1315="A conferir",N(N1315),0)</f>
        <v>0</v>
      </c>
      <c r="U1315" s="51">
        <f>IF(L1315="",0,L1315)</f>
        <v>0</v>
      </c>
      <c r="V1315" s="51">
        <f>IF(L1315="",0,MAX(1,N(E1315)))</f>
        <v>0</v>
      </c>
      <c r="W1315" s="51">
        <f>IF(K1315="",0,K1315)</f>
        <v>0</v>
      </c>
    </row>
    <row r="1316">
      <c r="A1316" s="49" t="n"/>
      <c r="B1316" s="41" t="n"/>
      <c r="C1316" s="41" t="n"/>
      <c r="D1316" s="42" t="n"/>
      <c r="E1316" s="42" t="n"/>
      <c r="F1316" s="50" t="n"/>
      <c r="G1316" s="42" t="n"/>
      <c r="H1316" s="30">
        <f>IF(D1316="","",IFERROR(INDEX(Config!$B$12:$B$15,MATCH(IF(AND(D1316="Cartão de crédito",N(E1316)&gt;1),"Cartão de crédito parcelado",D1316),Config!$A$12:$A$15,0)),0)+IF(AND(Config!$B$17="Sim",LEFT(D1316,17)="Cartão de crédito"),Config!$B$18*IFERROR(INDEX(Config!$C$12:$C$15,MATCH(IF(AND(D1316="Cartão de crédito",N(E1316)&gt;1),"Cartão de crédito parcelado",D1316),Config!$A$12:$A$15,0)),0)/30*MAX(1,N(E1316)),0))</f>
        <v/>
      </c>
      <c r="I1316" s="29">
        <f>IF(OR(D1316="",F1316=""),"",ROUND(F1316*H1316,2))</f>
        <v/>
      </c>
      <c r="J1316" s="29">
        <f>IF(I1316="","",F1316-I1316)</f>
        <v/>
      </c>
      <c r="K1316" s="29">
        <f>IF(J1316="","",J1316/MAX(1,N(E1316)))</f>
        <v/>
      </c>
      <c r="L1316" s="37">
        <f>IF(OR(D1316="",A1316=""),"",A1316+IF(AND(Config!$B$17="Sim",LEFT(D1316,17)="Cartão de crédito"),1,IFERROR(INDEX(Config!$C$12:$C$15,MATCH(IF(AND(D1316="Cartão de crédito",N(E1316)&gt;1),"Cartão de crédito parcelado",D1316),Config!$A$12:$A$15,0)),0)))</f>
        <v/>
      </c>
      <c r="M1316" s="37">
        <f>IF(L1316="","",IF(AND(Config!$B$17="Sim",LEFT(D1316,17)="Cartão de crédito"),L1316,L1316+30*(MAX(1,N(E1316))-1)))</f>
        <v/>
      </c>
      <c r="N1316" s="29">
        <f>IF(OR(L1316="",K1316=""),"",K1316*MIN(MAX(1,N(E1316)),MAX(0,INT((Config!$B$8-L1316)/30)+1)))</f>
        <v/>
      </c>
      <c r="O1316" s="29">
        <f>IF(J1316="","",J1316-N(N1316))</f>
        <v/>
      </c>
      <c r="P1316" s="27">
        <f>IF(A1316="","",MONTH(A1316))</f>
        <v/>
      </c>
      <c r="Q1316" s="27">
        <f>IF(A1316="","",YEAR(A1316))</f>
        <v/>
      </c>
      <c r="R1316" s="27">
        <f>IF(L1316="","",IF(L1316&gt;Config!$B$8,"A cair",IF(N(G1316)&gt;=MIN(MAX(1,N(E1316)),MAX(0,INT((Config!$B$8-L1316)/30)+1)),IF(N(G1316)&gt;=MAX(1,N(E1316)),"Conferido","Conferido até aqui"),"A conferir")))</f>
        <v/>
      </c>
      <c r="S1316" s="51">
        <f>IF(R1316="A conferir",(Config!$B$8-L1316)*1000+N(F1316)/1000+ROW()/100000,0)</f>
        <v>0</v>
      </c>
      <c r="T1316" s="51">
        <f>IF(R1316="A conferir",N(N1316),0)</f>
        <v>0</v>
      </c>
      <c r="U1316" s="51">
        <f>IF(L1316="",0,L1316)</f>
        <v>0</v>
      </c>
      <c r="V1316" s="51">
        <f>IF(L1316="",0,MAX(1,N(E1316)))</f>
        <v>0</v>
      </c>
      <c r="W1316" s="51">
        <f>IF(K1316="",0,K1316)</f>
        <v>0</v>
      </c>
    </row>
    <row r="1317">
      <c r="A1317" s="49" t="n"/>
      <c r="B1317" s="41" t="n"/>
      <c r="C1317" s="41" t="n"/>
      <c r="D1317" s="42" t="n"/>
      <c r="E1317" s="42" t="n"/>
      <c r="F1317" s="50" t="n"/>
      <c r="G1317" s="42" t="n"/>
      <c r="H1317" s="30">
        <f>IF(D1317="","",IFERROR(INDEX(Config!$B$12:$B$15,MATCH(IF(AND(D1317="Cartão de crédito",N(E1317)&gt;1),"Cartão de crédito parcelado",D1317),Config!$A$12:$A$15,0)),0)+IF(AND(Config!$B$17="Sim",LEFT(D1317,17)="Cartão de crédito"),Config!$B$18*IFERROR(INDEX(Config!$C$12:$C$15,MATCH(IF(AND(D1317="Cartão de crédito",N(E1317)&gt;1),"Cartão de crédito parcelado",D1317),Config!$A$12:$A$15,0)),0)/30*MAX(1,N(E1317)),0))</f>
        <v/>
      </c>
      <c r="I1317" s="29">
        <f>IF(OR(D1317="",F1317=""),"",ROUND(F1317*H1317,2))</f>
        <v/>
      </c>
      <c r="J1317" s="29">
        <f>IF(I1317="","",F1317-I1317)</f>
        <v/>
      </c>
      <c r="K1317" s="29">
        <f>IF(J1317="","",J1317/MAX(1,N(E1317)))</f>
        <v/>
      </c>
      <c r="L1317" s="37">
        <f>IF(OR(D1317="",A1317=""),"",A1317+IF(AND(Config!$B$17="Sim",LEFT(D1317,17)="Cartão de crédito"),1,IFERROR(INDEX(Config!$C$12:$C$15,MATCH(IF(AND(D1317="Cartão de crédito",N(E1317)&gt;1),"Cartão de crédito parcelado",D1317),Config!$A$12:$A$15,0)),0)))</f>
        <v/>
      </c>
      <c r="M1317" s="37">
        <f>IF(L1317="","",IF(AND(Config!$B$17="Sim",LEFT(D1317,17)="Cartão de crédito"),L1317,L1317+30*(MAX(1,N(E1317))-1)))</f>
        <v/>
      </c>
      <c r="N1317" s="29">
        <f>IF(OR(L1317="",K1317=""),"",K1317*MIN(MAX(1,N(E1317)),MAX(0,INT((Config!$B$8-L1317)/30)+1)))</f>
        <v/>
      </c>
      <c r="O1317" s="29">
        <f>IF(J1317="","",J1317-N(N1317))</f>
        <v/>
      </c>
      <c r="P1317" s="27">
        <f>IF(A1317="","",MONTH(A1317))</f>
        <v/>
      </c>
      <c r="Q1317" s="27">
        <f>IF(A1317="","",YEAR(A1317))</f>
        <v/>
      </c>
      <c r="R1317" s="27">
        <f>IF(L1317="","",IF(L1317&gt;Config!$B$8,"A cair",IF(N(G1317)&gt;=MIN(MAX(1,N(E1317)),MAX(0,INT((Config!$B$8-L1317)/30)+1)),IF(N(G1317)&gt;=MAX(1,N(E1317)),"Conferido","Conferido até aqui"),"A conferir")))</f>
        <v/>
      </c>
      <c r="S1317" s="51">
        <f>IF(R1317="A conferir",(Config!$B$8-L1317)*1000+N(F1317)/1000+ROW()/100000,0)</f>
        <v>0</v>
      </c>
      <c r="T1317" s="51">
        <f>IF(R1317="A conferir",N(N1317),0)</f>
        <v>0</v>
      </c>
      <c r="U1317" s="51">
        <f>IF(L1317="",0,L1317)</f>
        <v>0</v>
      </c>
      <c r="V1317" s="51">
        <f>IF(L1317="",0,MAX(1,N(E1317)))</f>
        <v>0</v>
      </c>
      <c r="W1317" s="51">
        <f>IF(K1317="",0,K1317)</f>
        <v>0</v>
      </c>
    </row>
    <row r="1318">
      <c r="A1318" s="49" t="n"/>
      <c r="B1318" s="41" t="n"/>
      <c r="C1318" s="41" t="n"/>
      <c r="D1318" s="42" t="n"/>
      <c r="E1318" s="42" t="n"/>
      <c r="F1318" s="50" t="n"/>
      <c r="G1318" s="42" t="n"/>
      <c r="H1318" s="30">
        <f>IF(D1318="","",IFERROR(INDEX(Config!$B$12:$B$15,MATCH(IF(AND(D1318="Cartão de crédito",N(E1318)&gt;1),"Cartão de crédito parcelado",D1318),Config!$A$12:$A$15,0)),0)+IF(AND(Config!$B$17="Sim",LEFT(D1318,17)="Cartão de crédito"),Config!$B$18*IFERROR(INDEX(Config!$C$12:$C$15,MATCH(IF(AND(D1318="Cartão de crédito",N(E1318)&gt;1),"Cartão de crédito parcelado",D1318),Config!$A$12:$A$15,0)),0)/30*MAX(1,N(E1318)),0))</f>
        <v/>
      </c>
      <c r="I1318" s="29">
        <f>IF(OR(D1318="",F1318=""),"",ROUND(F1318*H1318,2))</f>
        <v/>
      </c>
      <c r="J1318" s="29">
        <f>IF(I1318="","",F1318-I1318)</f>
        <v/>
      </c>
      <c r="K1318" s="29">
        <f>IF(J1318="","",J1318/MAX(1,N(E1318)))</f>
        <v/>
      </c>
      <c r="L1318" s="37">
        <f>IF(OR(D1318="",A1318=""),"",A1318+IF(AND(Config!$B$17="Sim",LEFT(D1318,17)="Cartão de crédito"),1,IFERROR(INDEX(Config!$C$12:$C$15,MATCH(IF(AND(D1318="Cartão de crédito",N(E1318)&gt;1),"Cartão de crédito parcelado",D1318),Config!$A$12:$A$15,0)),0)))</f>
        <v/>
      </c>
      <c r="M1318" s="37">
        <f>IF(L1318="","",IF(AND(Config!$B$17="Sim",LEFT(D1318,17)="Cartão de crédito"),L1318,L1318+30*(MAX(1,N(E1318))-1)))</f>
        <v/>
      </c>
      <c r="N1318" s="29">
        <f>IF(OR(L1318="",K1318=""),"",K1318*MIN(MAX(1,N(E1318)),MAX(0,INT((Config!$B$8-L1318)/30)+1)))</f>
        <v/>
      </c>
      <c r="O1318" s="29">
        <f>IF(J1318="","",J1318-N(N1318))</f>
        <v/>
      </c>
      <c r="P1318" s="27">
        <f>IF(A1318="","",MONTH(A1318))</f>
        <v/>
      </c>
      <c r="Q1318" s="27">
        <f>IF(A1318="","",YEAR(A1318))</f>
        <v/>
      </c>
      <c r="R1318" s="27">
        <f>IF(L1318="","",IF(L1318&gt;Config!$B$8,"A cair",IF(N(G1318)&gt;=MIN(MAX(1,N(E1318)),MAX(0,INT((Config!$B$8-L1318)/30)+1)),IF(N(G1318)&gt;=MAX(1,N(E1318)),"Conferido","Conferido até aqui"),"A conferir")))</f>
        <v/>
      </c>
      <c r="S1318" s="51">
        <f>IF(R1318="A conferir",(Config!$B$8-L1318)*1000+N(F1318)/1000+ROW()/100000,0)</f>
        <v>0</v>
      </c>
      <c r="T1318" s="51">
        <f>IF(R1318="A conferir",N(N1318),0)</f>
        <v>0</v>
      </c>
      <c r="U1318" s="51">
        <f>IF(L1318="",0,L1318)</f>
        <v>0</v>
      </c>
      <c r="V1318" s="51">
        <f>IF(L1318="",0,MAX(1,N(E1318)))</f>
        <v>0</v>
      </c>
      <c r="W1318" s="51">
        <f>IF(K1318="",0,K1318)</f>
        <v>0</v>
      </c>
    </row>
    <row r="1319">
      <c r="A1319" s="49" t="n"/>
      <c r="B1319" s="41" t="n"/>
      <c r="C1319" s="41" t="n"/>
      <c r="D1319" s="42" t="n"/>
      <c r="E1319" s="42" t="n"/>
      <c r="F1319" s="50" t="n"/>
      <c r="G1319" s="42" t="n"/>
      <c r="H1319" s="30">
        <f>IF(D1319="","",IFERROR(INDEX(Config!$B$12:$B$15,MATCH(IF(AND(D1319="Cartão de crédito",N(E1319)&gt;1),"Cartão de crédito parcelado",D1319),Config!$A$12:$A$15,0)),0)+IF(AND(Config!$B$17="Sim",LEFT(D1319,17)="Cartão de crédito"),Config!$B$18*IFERROR(INDEX(Config!$C$12:$C$15,MATCH(IF(AND(D1319="Cartão de crédito",N(E1319)&gt;1),"Cartão de crédito parcelado",D1319),Config!$A$12:$A$15,0)),0)/30*MAX(1,N(E1319)),0))</f>
        <v/>
      </c>
      <c r="I1319" s="29">
        <f>IF(OR(D1319="",F1319=""),"",ROUND(F1319*H1319,2))</f>
        <v/>
      </c>
      <c r="J1319" s="29">
        <f>IF(I1319="","",F1319-I1319)</f>
        <v/>
      </c>
      <c r="K1319" s="29">
        <f>IF(J1319="","",J1319/MAX(1,N(E1319)))</f>
        <v/>
      </c>
      <c r="L1319" s="37">
        <f>IF(OR(D1319="",A1319=""),"",A1319+IF(AND(Config!$B$17="Sim",LEFT(D1319,17)="Cartão de crédito"),1,IFERROR(INDEX(Config!$C$12:$C$15,MATCH(IF(AND(D1319="Cartão de crédito",N(E1319)&gt;1),"Cartão de crédito parcelado",D1319),Config!$A$12:$A$15,0)),0)))</f>
        <v/>
      </c>
      <c r="M1319" s="37">
        <f>IF(L1319="","",IF(AND(Config!$B$17="Sim",LEFT(D1319,17)="Cartão de crédito"),L1319,L1319+30*(MAX(1,N(E1319))-1)))</f>
        <v/>
      </c>
      <c r="N1319" s="29">
        <f>IF(OR(L1319="",K1319=""),"",K1319*MIN(MAX(1,N(E1319)),MAX(0,INT((Config!$B$8-L1319)/30)+1)))</f>
        <v/>
      </c>
      <c r="O1319" s="29">
        <f>IF(J1319="","",J1319-N(N1319))</f>
        <v/>
      </c>
      <c r="P1319" s="27">
        <f>IF(A1319="","",MONTH(A1319))</f>
        <v/>
      </c>
      <c r="Q1319" s="27">
        <f>IF(A1319="","",YEAR(A1319))</f>
        <v/>
      </c>
      <c r="R1319" s="27">
        <f>IF(L1319="","",IF(L1319&gt;Config!$B$8,"A cair",IF(N(G1319)&gt;=MIN(MAX(1,N(E1319)),MAX(0,INT((Config!$B$8-L1319)/30)+1)),IF(N(G1319)&gt;=MAX(1,N(E1319)),"Conferido","Conferido até aqui"),"A conferir")))</f>
        <v/>
      </c>
      <c r="S1319" s="51">
        <f>IF(R1319="A conferir",(Config!$B$8-L1319)*1000+N(F1319)/1000+ROW()/100000,0)</f>
        <v>0</v>
      </c>
      <c r="T1319" s="51">
        <f>IF(R1319="A conferir",N(N1319),0)</f>
        <v>0</v>
      </c>
      <c r="U1319" s="51">
        <f>IF(L1319="",0,L1319)</f>
        <v>0</v>
      </c>
      <c r="V1319" s="51">
        <f>IF(L1319="",0,MAX(1,N(E1319)))</f>
        <v>0</v>
      </c>
      <c r="W1319" s="51">
        <f>IF(K1319="",0,K1319)</f>
        <v>0</v>
      </c>
    </row>
    <row r="1320">
      <c r="A1320" s="49" t="n"/>
      <c r="B1320" s="41" t="n"/>
      <c r="C1320" s="41" t="n"/>
      <c r="D1320" s="42" t="n"/>
      <c r="E1320" s="42" t="n"/>
      <c r="F1320" s="50" t="n"/>
      <c r="G1320" s="42" t="n"/>
      <c r="H1320" s="30">
        <f>IF(D1320="","",IFERROR(INDEX(Config!$B$12:$B$15,MATCH(IF(AND(D1320="Cartão de crédito",N(E1320)&gt;1),"Cartão de crédito parcelado",D1320),Config!$A$12:$A$15,0)),0)+IF(AND(Config!$B$17="Sim",LEFT(D1320,17)="Cartão de crédito"),Config!$B$18*IFERROR(INDEX(Config!$C$12:$C$15,MATCH(IF(AND(D1320="Cartão de crédito",N(E1320)&gt;1),"Cartão de crédito parcelado",D1320),Config!$A$12:$A$15,0)),0)/30*MAX(1,N(E1320)),0))</f>
        <v/>
      </c>
      <c r="I1320" s="29">
        <f>IF(OR(D1320="",F1320=""),"",ROUND(F1320*H1320,2))</f>
        <v/>
      </c>
      <c r="J1320" s="29">
        <f>IF(I1320="","",F1320-I1320)</f>
        <v/>
      </c>
      <c r="K1320" s="29">
        <f>IF(J1320="","",J1320/MAX(1,N(E1320)))</f>
        <v/>
      </c>
      <c r="L1320" s="37">
        <f>IF(OR(D1320="",A1320=""),"",A1320+IF(AND(Config!$B$17="Sim",LEFT(D1320,17)="Cartão de crédito"),1,IFERROR(INDEX(Config!$C$12:$C$15,MATCH(IF(AND(D1320="Cartão de crédito",N(E1320)&gt;1),"Cartão de crédito parcelado",D1320),Config!$A$12:$A$15,0)),0)))</f>
        <v/>
      </c>
      <c r="M1320" s="37">
        <f>IF(L1320="","",IF(AND(Config!$B$17="Sim",LEFT(D1320,17)="Cartão de crédito"),L1320,L1320+30*(MAX(1,N(E1320))-1)))</f>
        <v/>
      </c>
      <c r="N1320" s="29">
        <f>IF(OR(L1320="",K1320=""),"",K1320*MIN(MAX(1,N(E1320)),MAX(0,INT((Config!$B$8-L1320)/30)+1)))</f>
        <v/>
      </c>
      <c r="O1320" s="29">
        <f>IF(J1320="","",J1320-N(N1320))</f>
        <v/>
      </c>
      <c r="P1320" s="27">
        <f>IF(A1320="","",MONTH(A1320))</f>
        <v/>
      </c>
      <c r="Q1320" s="27">
        <f>IF(A1320="","",YEAR(A1320))</f>
        <v/>
      </c>
      <c r="R1320" s="27">
        <f>IF(L1320="","",IF(L1320&gt;Config!$B$8,"A cair",IF(N(G1320)&gt;=MIN(MAX(1,N(E1320)),MAX(0,INT((Config!$B$8-L1320)/30)+1)),IF(N(G1320)&gt;=MAX(1,N(E1320)),"Conferido","Conferido até aqui"),"A conferir")))</f>
        <v/>
      </c>
      <c r="S1320" s="51">
        <f>IF(R1320="A conferir",(Config!$B$8-L1320)*1000+N(F1320)/1000+ROW()/100000,0)</f>
        <v>0</v>
      </c>
      <c r="T1320" s="51">
        <f>IF(R1320="A conferir",N(N1320),0)</f>
        <v>0</v>
      </c>
      <c r="U1320" s="51">
        <f>IF(L1320="",0,L1320)</f>
        <v>0</v>
      </c>
      <c r="V1320" s="51">
        <f>IF(L1320="",0,MAX(1,N(E1320)))</f>
        <v>0</v>
      </c>
      <c r="W1320" s="51">
        <f>IF(K1320="",0,K1320)</f>
        <v>0</v>
      </c>
    </row>
    <row r="1321">
      <c r="A1321" s="49" t="n"/>
      <c r="B1321" s="41" t="n"/>
      <c r="C1321" s="41" t="n"/>
      <c r="D1321" s="42" t="n"/>
      <c r="E1321" s="42" t="n"/>
      <c r="F1321" s="50" t="n"/>
      <c r="G1321" s="42" t="n"/>
      <c r="H1321" s="30">
        <f>IF(D1321="","",IFERROR(INDEX(Config!$B$12:$B$15,MATCH(IF(AND(D1321="Cartão de crédito",N(E1321)&gt;1),"Cartão de crédito parcelado",D1321),Config!$A$12:$A$15,0)),0)+IF(AND(Config!$B$17="Sim",LEFT(D1321,17)="Cartão de crédito"),Config!$B$18*IFERROR(INDEX(Config!$C$12:$C$15,MATCH(IF(AND(D1321="Cartão de crédito",N(E1321)&gt;1),"Cartão de crédito parcelado",D1321),Config!$A$12:$A$15,0)),0)/30*MAX(1,N(E1321)),0))</f>
        <v/>
      </c>
      <c r="I1321" s="29">
        <f>IF(OR(D1321="",F1321=""),"",ROUND(F1321*H1321,2))</f>
        <v/>
      </c>
      <c r="J1321" s="29">
        <f>IF(I1321="","",F1321-I1321)</f>
        <v/>
      </c>
      <c r="K1321" s="29">
        <f>IF(J1321="","",J1321/MAX(1,N(E1321)))</f>
        <v/>
      </c>
      <c r="L1321" s="37">
        <f>IF(OR(D1321="",A1321=""),"",A1321+IF(AND(Config!$B$17="Sim",LEFT(D1321,17)="Cartão de crédito"),1,IFERROR(INDEX(Config!$C$12:$C$15,MATCH(IF(AND(D1321="Cartão de crédito",N(E1321)&gt;1),"Cartão de crédito parcelado",D1321),Config!$A$12:$A$15,0)),0)))</f>
        <v/>
      </c>
      <c r="M1321" s="37">
        <f>IF(L1321="","",IF(AND(Config!$B$17="Sim",LEFT(D1321,17)="Cartão de crédito"),L1321,L1321+30*(MAX(1,N(E1321))-1)))</f>
        <v/>
      </c>
      <c r="N1321" s="29">
        <f>IF(OR(L1321="",K1321=""),"",K1321*MIN(MAX(1,N(E1321)),MAX(0,INT((Config!$B$8-L1321)/30)+1)))</f>
        <v/>
      </c>
      <c r="O1321" s="29">
        <f>IF(J1321="","",J1321-N(N1321))</f>
        <v/>
      </c>
      <c r="P1321" s="27">
        <f>IF(A1321="","",MONTH(A1321))</f>
        <v/>
      </c>
      <c r="Q1321" s="27">
        <f>IF(A1321="","",YEAR(A1321))</f>
        <v/>
      </c>
      <c r="R1321" s="27">
        <f>IF(L1321="","",IF(L1321&gt;Config!$B$8,"A cair",IF(N(G1321)&gt;=MIN(MAX(1,N(E1321)),MAX(0,INT((Config!$B$8-L1321)/30)+1)),IF(N(G1321)&gt;=MAX(1,N(E1321)),"Conferido","Conferido até aqui"),"A conferir")))</f>
        <v/>
      </c>
      <c r="S1321" s="51">
        <f>IF(R1321="A conferir",(Config!$B$8-L1321)*1000+N(F1321)/1000+ROW()/100000,0)</f>
        <v>0</v>
      </c>
      <c r="T1321" s="51">
        <f>IF(R1321="A conferir",N(N1321),0)</f>
        <v>0</v>
      </c>
      <c r="U1321" s="51">
        <f>IF(L1321="",0,L1321)</f>
        <v>0</v>
      </c>
      <c r="V1321" s="51">
        <f>IF(L1321="",0,MAX(1,N(E1321)))</f>
        <v>0</v>
      </c>
      <c r="W1321" s="51">
        <f>IF(K1321="",0,K1321)</f>
        <v>0</v>
      </c>
    </row>
    <row r="1322">
      <c r="A1322" s="49" t="n"/>
      <c r="B1322" s="41" t="n"/>
      <c r="C1322" s="41" t="n"/>
      <c r="D1322" s="42" t="n"/>
      <c r="E1322" s="42" t="n"/>
      <c r="F1322" s="50" t="n"/>
      <c r="G1322" s="42" t="n"/>
      <c r="H1322" s="30">
        <f>IF(D1322="","",IFERROR(INDEX(Config!$B$12:$B$15,MATCH(IF(AND(D1322="Cartão de crédito",N(E1322)&gt;1),"Cartão de crédito parcelado",D1322),Config!$A$12:$A$15,0)),0)+IF(AND(Config!$B$17="Sim",LEFT(D1322,17)="Cartão de crédito"),Config!$B$18*IFERROR(INDEX(Config!$C$12:$C$15,MATCH(IF(AND(D1322="Cartão de crédito",N(E1322)&gt;1),"Cartão de crédito parcelado",D1322),Config!$A$12:$A$15,0)),0)/30*MAX(1,N(E1322)),0))</f>
        <v/>
      </c>
      <c r="I1322" s="29">
        <f>IF(OR(D1322="",F1322=""),"",ROUND(F1322*H1322,2))</f>
        <v/>
      </c>
      <c r="J1322" s="29">
        <f>IF(I1322="","",F1322-I1322)</f>
        <v/>
      </c>
      <c r="K1322" s="29">
        <f>IF(J1322="","",J1322/MAX(1,N(E1322)))</f>
        <v/>
      </c>
      <c r="L1322" s="37">
        <f>IF(OR(D1322="",A1322=""),"",A1322+IF(AND(Config!$B$17="Sim",LEFT(D1322,17)="Cartão de crédito"),1,IFERROR(INDEX(Config!$C$12:$C$15,MATCH(IF(AND(D1322="Cartão de crédito",N(E1322)&gt;1),"Cartão de crédito parcelado",D1322),Config!$A$12:$A$15,0)),0)))</f>
        <v/>
      </c>
      <c r="M1322" s="37">
        <f>IF(L1322="","",IF(AND(Config!$B$17="Sim",LEFT(D1322,17)="Cartão de crédito"),L1322,L1322+30*(MAX(1,N(E1322))-1)))</f>
        <v/>
      </c>
      <c r="N1322" s="29">
        <f>IF(OR(L1322="",K1322=""),"",K1322*MIN(MAX(1,N(E1322)),MAX(0,INT((Config!$B$8-L1322)/30)+1)))</f>
        <v/>
      </c>
      <c r="O1322" s="29">
        <f>IF(J1322="","",J1322-N(N1322))</f>
        <v/>
      </c>
      <c r="P1322" s="27">
        <f>IF(A1322="","",MONTH(A1322))</f>
        <v/>
      </c>
      <c r="Q1322" s="27">
        <f>IF(A1322="","",YEAR(A1322))</f>
        <v/>
      </c>
      <c r="R1322" s="27">
        <f>IF(L1322="","",IF(L1322&gt;Config!$B$8,"A cair",IF(N(G1322)&gt;=MIN(MAX(1,N(E1322)),MAX(0,INT((Config!$B$8-L1322)/30)+1)),IF(N(G1322)&gt;=MAX(1,N(E1322)),"Conferido","Conferido até aqui"),"A conferir")))</f>
        <v/>
      </c>
      <c r="S1322" s="51">
        <f>IF(R1322="A conferir",(Config!$B$8-L1322)*1000+N(F1322)/1000+ROW()/100000,0)</f>
        <v>0</v>
      </c>
      <c r="T1322" s="51">
        <f>IF(R1322="A conferir",N(N1322),0)</f>
        <v>0</v>
      </c>
      <c r="U1322" s="51">
        <f>IF(L1322="",0,L1322)</f>
        <v>0</v>
      </c>
      <c r="V1322" s="51">
        <f>IF(L1322="",0,MAX(1,N(E1322)))</f>
        <v>0</v>
      </c>
      <c r="W1322" s="51">
        <f>IF(K1322="",0,K1322)</f>
        <v>0</v>
      </c>
    </row>
    <row r="1323">
      <c r="A1323" s="49" t="n"/>
      <c r="B1323" s="41" t="n"/>
      <c r="C1323" s="41" t="n"/>
      <c r="D1323" s="42" t="n"/>
      <c r="E1323" s="42" t="n"/>
      <c r="F1323" s="50" t="n"/>
      <c r="G1323" s="42" t="n"/>
      <c r="H1323" s="30">
        <f>IF(D1323="","",IFERROR(INDEX(Config!$B$12:$B$15,MATCH(IF(AND(D1323="Cartão de crédito",N(E1323)&gt;1),"Cartão de crédito parcelado",D1323),Config!$A$12:$A$15,0)),0)+IF(AND(Config!$B$17="Sim",LEFT(D1323,17)="Cartão de crédito"),Config!$B$18*IFERROR(INDEX(Config!$C$12:$C$15,MATCH(IF(AND(D1323="Cartão de crédito",N(E1323)&gt;1),"Cartão de crédito parcelado",D1323),Config!$A$12:$A$15,0)),0)/30*MAX(1,N(E1323)),0))</f>
        <v/>
      </c>
      <c r="I1323" s="29">
        <f>IF(OR(D1323="",F1323=""),"",ROUND(F1323*H1323,2))</f>
        <v/>
      </c>
      <c r="J1323" s="29">
        <f>IF(I1323="","",F1323-I1323)</f>
        <v/>
      </c>
      <c r="K1323" s="29">
        <f>IF(J1323="","",J1323/MAX(1,N(E1323)))</f>
        <v/>
      </c>
      <c r="L1323" s="37">
        <f>IF(OR(D1323="",A1323=""),"",A1323+IF(AND(Config!$B$17="Sim",LEFT(D1323,17)="Cartão de crédito"),1,IFERROR(INDEX(Config!$C$12:$C$15,MATCH(IF(AND(D1323="Cartão de crédito",N(E1323)&gt;1),"Cartão de crédito parcelado",D1323),Config!$A$12:$A$15,0)),0)))</f>
        <v/>
      </c>
      <c r="M1323" s="37">
        <f>IF(L1323="","",IF(AND(Config!$B$17="Sim",LEFT(D1323,17)="Cartão de crédito"),L1323,L1323+30*(MAX(1,N(E1323))-1)))</f>
        <v/>
      </c>
      <c r="N1323" s="29">
        <f>IF(OR(L1323="",K1323=""),"",K1323*MIN(MAX(1,N(E1323)),MAX(0,INT((Config!$B$8-L1323)/30)+1)))</f>
        <v/>
      </c>
      <c r="O1323" s="29">
        <f>IF(J1323="","",J1323-N(N1323))</f>
        <v/>
      </c>
      <c r="P1323" s="27">
        <f>IF(A1323="","",MONTH(A1323))</f>
        <v/>
      </c>
      <c r="Q1323" s="27">
        <f>IF(A1323="","",YEAR(A1323))</f>
        <v/>
      </c>
      <c r="R1323" s="27">
        <f>IF(L1323="","",IF(L1323&gt;Config!$B$8,"A cair",IF(N(G1323)&gt;=MIN(MAX(1,N(E1323)),MAX(0,INT((Config!$B$8-L1323)/30)+1)),IF(N(G1323)&gt;=MAX(1,N(E1323)),"Conferido","Conferido até aqui"),"A conferir")))</f>
        <v/>
      </c>
      <c r="S1323" s="51">
        <f>IF(R1323="A conferir",(Config!$B$8-L1323)*1000+N(F1323)/1000+ROW()/100000,0)</f>
        <v>0</v>
      </c>
      <c r="T1323" s="51">
        <f>IF(R1323="A conferir",N(N1323),0)</f>
        <v>0</v>
      </c>
      <c r="U1323" s="51">
        <f>IF(L1323="",0,L1323)</f>
        <v>0</v>
      </c>
      <c r="V1323" s="51">
        <f>IF(L1323="",0,MAX(1,N(E1323)))</f>
        <v>0</v>
      </c>
      <c r="W1323" s="51">
        <f>IF(K1323="",0,K1323)</f>
        <v>0</v>
      </c>
    </row>
    <row r="1324">
      <c r="A1324" s="49" t="n"/>
      <c r="B1324" s="41" t="n"/>
      <c r="C1324" s="41" t="n"/>
      <c r="D1324" s="42" t="n"/>
      <c r="E1324" s="42" t="n"/>
      <c r="F1324" s="50" t="n"/>
      <c r="G1324" s="42" t="n"/>
      <c r="H1324" s="30">
        <f>IF(D1324="","",IFERROR(INDEX(Config!$B$12:$B$15,MATCH(IF(AND(D1324="Cartão de crédito",N(E1324)&gt;1),"Cartão de crédito parcelado",D1324),Config!$A$12:$A$15,0)),0)+IF(AND(Config!$B$17="Sim",LEFT(D1324,17)="Cartão de crédito"),Config!$B$18*IFERROR(INDEX(Config!$C$12:$C$15,MATCH(IF(AND(D1324="Cartão de crédito",N(E1324)&gt;1),"Cartão de crédito parcelado",D1324),Config!$A$12:$A$15,0)),0)/30*MAX(1,N(E1324)),0))</f>
        <v/>
      </c>
      <c r="I1324" s="29">
        <f>IF(OR(D1324="",F1324=""),"",ROUND(F1324*H1324,2))</f>
        <v/>
      </c>
      <c r="J1324" s="29">
        <f>IF(I1324="","",F1324-I1324)</f>
        <v/>
      </c>
      <c r="K1324" s="29">
        <f>IF(J1324="","",J1324/MAX(1,N(E1324)))</f>
        <v/>
      </c>
      <c r="L1324" s="37">
        <f>IF(OR(D1324="",A1324=""),"",A1324+IF(AND(Config!$B$17="Sim",LEFT(D1324,17)="Cartão de crédito"),1,IFERROR(INDEX(Config!$C$12:$C$15,MATCH(IF(AND(D1324="Cartão de crédito",N(E1324)&gt;1),"Cartão de crédito parcelado",D1324),Config!$A$12:$A$15,0)),0)))</f>
        <v/>
      </c>
      <c r="M1324" s="37">
        <f>IF(L1324="","",IF(AND(Config!$B$17="Sim",LEFT(D1324,17)="Cartão de crédito"),L1324,L1324+30*(MAX(1,N(E1324))-1)))</f>
        <v/>
      </c>
      <c r="N1324" s="29">
        <f>IF(OR(L1324="",K1324=""),"",K1324*MIN(MAX(1,N(E1324)),MAX(0,INT((Config!$B$8-L1324)/30)+1)))</f>
        <v/>
      </c>
      <c r="O1324" s="29">
        <f>IF(J1324="","",J1324-N(N1324))</f>
        <v/>
      </c>
      <c r="P1324" s="27">
        <f>IF(A1324="","",MONTH(A1324))</f>
        <v/>
      </c>
      <c r="Q1324" s="27">
        <f>IF(A1324="","",YEAR(A1324))</f>
        <v/>
      </c>
      <c r="R1324" s="27">
        <f>IF(L1324="","",IF(L1324&gt;Config!$B$8,"A cair",IF(N(G1324)&gt;=MIN(MAX(1,N(E1324)),MAX(0,INT((Config!$B$8-L1324)/30)+1)),IF(N(G1324)&gt;=MAX(1,N(E1324)),"Conferido","Conferido até aqui"),"A conferir")))</f>
        <v/>
      </c>
      <c r="S1324" s="51">
        <f>IF(R1324="A conferir",(Config!$B$8-L1324)*1000+N(F1324)/1000+ROW()/100000,0)</f>
        <v>0</v>
      </c>
      <c r="T1324" s="51">
        <f>IF(R1324="A conferir",N(N1324),0)</f>
        <v>0</v>
      </c>
      <c r="U1324" s="51">
        <f>IF(L1324="",0,L1324)</f>
        <v>0</v>
      </c>
      <c r="V1324" s="51">
        <f>IF(L1324="",0,MAX(1,N(E1324)))</f>
        <v>0</v>
      </c>
      <c r="W1324" s="51">
        <f>IF(K1324="",0,K1324)</f>
        <v>0</v>
      </c>
    </row>
    <row r="1325">
      <c r="A1325" s="49" t="n"/>
      <c r="B1325" s="41" t="n"/>
      <c r="C1325" s="41" t="n"/>
      <c r="D1325" s="42" t="n"/>
      <c r="E1325" s="42" t="n"/>
      <c r="F1325" s="50" t="n"/>
      <c r="G1325" s="42" t="n"/>
      <c r="H1325" s="30">
        <f>IF(D1325="","",IFERROR(INDEX(Config!$B$12:$B$15,MATCH(IF(AND(D1325="Cartão de crédito",N(E1325)&gt;1),"Cartão de crédito parcelado",D1325),Config!$A$12:$A$15,0)),0)+IF(AND(Config!$B$17="Sim",LEFT(D1325,17)="Cartão de crédito"),Config!$B$18*IFERROR(INDEX(Config!$C$12:$C$15,MATCH(IF(AND(D1325="Cartão de crédito",N(E1325)&gt;1),"Cartão de crédito parcelado",D1325),Config!$A$12:$A$15,0)),0)/30*MAX(1,N(E1325)),0))</f>
        <v/>
      </c>
      <c r="I1325" s="29">
        <f>IF(OR(D1325="",F1325=""),"",ROUND(F1325*H1325,2))</f>
        <v/>
      </c>
      <c r="J1325" s="29">
        <f>IF(I1325="","",F1325-I1325)</f>
        <v/>
      </c>
      <c r="K1325" s="29">
        <f>IF(J1325="","",J1325/MAX(1,N(E1325)))</f>
        <v/>
      </c>
      <c r="L1325" s="37">
        <f>IF(OR(D1325="",A1325=""),"",A1325+IF(AND(Config!$B$17="Sim",LEFT(D1325,17)="Cartão de crédito"),1,IFERROR(INDEX(Config!$C$12:$C$15,MATCH(IF(AND(D1325="Cartão de crédito",N(E1325)&gt;1),"Cartão de crédito parcelado",D1325),Config!$A$12:$A$15,0)),0)))</f>
        <v/>
      </c>
      <c r="M1325" s="37">
        <f>IF(L1325="","",IF(AND(Config!$B$17="Sim",LEFT(D1325,17)="Cartão de crédito"),L1325,L1325+30*(MAX(1,N(E1325))-1)))</f>
        <v/>
      </c>
      <c r="N1325" s="29">
        <f>IF(OR(L1325="",K1325=""),"",K1325*MIN(MAX(1,N(E1325)),MAX(0,INT((Config!$B$8-L1325)/30)+1)))</f>
        <v/>
      </c>
      <c r="O1325" s="29">
        <f>IF(J1325="","",J1325-N(N1325))</f>
        <v/>
      </c>
      <c r="P1325" s="27">
        <f>IF(A1325="","",MONTH(A1325))</f>
        <v/>
      </c>
      <c r="Q1325" s="27">
        <f>IF(A1325="","",YEAR(A1325))</f>
        <v/>
      </c>
      <c r="R1325" s="27">
        <f>IF(L1325="","",IF(L1325&gt;Config!$B$8,"A cair",IF(N(G1325)&gt;=MIN(MAX(1,N(E1325)),MAX(0,INT((Config!$B$8-L1325)/30)+1)),IF(N(G1325)&gt;=MAX(1,N(E1325)),"Conferido","Conferido até aqui"),"A conferir")))</f>
        <v/>
      </c>
      <c r="S1325" s="51">
        <f>IF(R1325="A conferir",(Config!$B$8-L1325)*1000+N(F1325)/1000+ROW()/100000,0)</f>
        <v>0</v>
      </c>
      <c r="T1325" s="51">
        <f>IF(R1325="A conferir",N(N1325),0)</f>
        <v>0</v>
      </c>
      <c r="U1325" s="51">
        <f>IF(L1325="",0,L1325)</f>
        <v>0</v>
      </c>
      <c r="V1325" s="51">
        <f>IF(L1325="",0,MAX(1,N(E1325)))</f>
        <v>0</v>
      </c>
      <c r="W1325" s="51">
        <f>IF(K1325="",0,K1325)</f>
        <v>0</v>
      </c>
    </row>
    <row r="1326">
      <c r="A1326" s="49" t="n"/>
      <c r="B1326" s="41" t="n"/>
      <c r="C1326" s="41" t="n"/>
      <c r="D1326" s="42" t="n"/>
      <c r="E1326" s="42" t="n"/>
      <c r="F1326" s="50" t="n"/>
      <c r="G1326" s="42" t="n"/>
      <c r="H1326" s="30">
        <f>IF(D1326="","",IFERROR(INDEX(Config!$B$12:$B$15,MATCH(IF(AND(D1326="Cartão de crédito",N(E1326)&gt;1),"Cartão de crédito parcelado",D1326),Config!$A$12:$A$15,0)),0)+IF(AND(Config!$B$17="Sim",LEFT(D1326,17)="Cartão de crédito"),Config!$B$18*IFERROR(INDEX(Config!$C$12:$C$15,MATCH(IF(AND(D1326="Cartão de crédito",N(E1326)&gt;1),"Cartão de crédito parcelado",D1326),Config!$A$12:$A$15,0)),0)/30*MAX(1,N(E1326)),0))</f>
        <v/>
      </c>
      <c r="I1326" s="29">
        <f>IF(OR(D1326="",F1326=""),"",ROUND(F1326*H1326,2))</f>
        <v/>
      </c>
      <c r="J1326" s="29">
        <f>IF(I1326="","",F1326-I1326)</f>
        <v/>
      </c>
      <c r="K1326" s="29">
        <f>IF(J1326="","",J1326/MAX(1,N(E1326)))</f>
        <v/>
      </c>
      <c r="L1326" s="37">
        <f>IF(OR(D1326="",A1326=""),"",A1326+IF(AND(Config!$B$17="Sim",LEFT(D1326,17)="Cartão de crédito"),1,IFERROR(INDEX(Config!$C$12:$C$15,MATCH(IF(AND(D1326="Cartão de crédito",N(E1326)&gt;1),"Cartão de crédito parcelado",D1326),Config!$A$12:$A$15,0)),0)))</f>
        <v/>
      </c>
      <c r="M1326" s="37">
        <f>IF(L1326="","",IF(AND(Config!$B$17="Sim",LEFT(D1326,17)="Cartão de crédito"),L1326,L1326+30*(MAX(1,N(E1326))-1)))</f>
        <v/>
      </c>
      <c r="N1326" s="29">
        <f>IF(OR(L1326="",K1326=""),"",K1326*MIN(MAX(1,N(E1326)),MAX(0,INT((Config!$B$8-L1326)/30)+1)))</f>
        <v/>
      </c>
      <c r="O1326" s="29">
        <f>IF(J1326="","",J1326-N(N1326))</f>
        <v/>
      </c>
      <c r="P1326" s="27">
        <f>IF(A1326="","",MONTH(A1326))</f>
        <v/>
      </c>
      <c r="Q1326" s="27">
        <f>IF(A1326="","",YEAR(A1326))</f>
        <v/>
      </c>
      <c r="R1326" s="27">
        <f>IF(L1326="","",IF(L1326&gt;Config!$B$8,"A cair",IF(N(G1326)&gt;=MIN(MAX(1,N(E1326)),MAX(0,INT((Config!$B$8-L1326)/30)+1)),IF(N(G1326)&gt;=MAX(1,N(E1326)),"Conferido","Conferido até aqui"),"A conferir")))</f>
        <v/>
      </c>
      <c r="S1326" s="51">
        <f>IF(R1326="A conferir",(Config!$B$8-L1326)*1000+N(F1326)/1000+ROW()/100000,0)</f>
        <v>0</v>
      </c>
      <c r="T1326" s="51">
        <f>IF(R1326="A conferir",N(N1326),0)</f>
        <v>0</v>
      </c>
      <c r="U1326" s="51">
        <f>IF(L1326="",0,L1326)</f>
        <v>0</v>
      </c>
      <c r="V1326" s="51">
        <f>IF(L1326="",0,MAX(1,N(E1326)))</f>
        <v>0</v>
      </c>
      <c r="W1326" s="51">
        <f>IF(K1326="",0,K1326)</f>
        <v>0</v>
      </c>
    </row>
    <row r="1327">
      <c r="A1327" s="49" t="n"/>
      <c r="B1327" s="41" t="n"/>
      <c r="C1327" s="41" t="n"/>
      <c r="D1327" s="42" t="n"/>
      <c r="E1327" s="42" t="n"/>
      <c r="F1327" s="50" t="n"/>
      <c r="G1327" s="42" t="n"/>
      <c r="H1327" s="30">
        <f>IF(D1327="","",IFERROR(INDEX(Config!$B$12:$B$15,MATCH(IF(AND(D1327="Cartão de crédito",N(E1327)&gt;1),"Cartão de crédito parcelado",D1327),Config!$A$12:$A$15,0)),0)+IF(AND(Config!$B$17="Sim",LEFT(D1327,17)="Cartão de crédito"),Config!$B$18*IFERROR(INDEX(Config!$C$12:$C$15,MATCH(IF(AND(D1327="Cartão de crédito",N(E1327)&gt;1),"Cartão de crédito parcelado",D1327),Config!$A$12:$A$15,0)),0)/30*MAX(1,N(E1327)),0))</f>
        <v/>
      </c>
      <c r="I1327" s="29">
        <f>IF(OR(D1327="",F1327=""),"",ROUND(F1327*H1327,2))</f>
        <v/>
      </c>
      <c r="J1327" s="29">
        <f>IF(I1327="","",F1327-I1327)</f>
        <v/>
      </c>
      <c r="K1327" s="29">
        <f>IF(J1327="","",J1327/MAX(1,N(E1327)))</f>
        <v/>
      </c>
      <c r="L1327" s="37">
        <f>IF(OR(D1327="",A1327=""),"",A1327+IF(AND(Config!$B$17="Sim",LEFT(D1327,17)="Cartão de crédito"),1,IFERROR(INDEX(Config!$C$12:$C$15,MATCH(IF(AND(D1327="Cartão de crédito",N(E1327)&gt;1),"Cartão de crédito parcelado",D1327),Config!$A$12:$A$15,0)),0)))</f>
        <v/>
      </c>
      <c r="M1327" s="37">
        <f>IF(L1327="","",IF(AND(Config!$B$17="Sim",LEFT(D1327,17)="Cartão de crédito"),L1327,L1327+30*(MAX(1,N(E1327))-1)))</f>
        <v/>
      </c>
      <c r="N1327" s="29">
        <f>IF(OR(L1327="",K1327=""),"",K1327*MIN(MAX(1,N(E1327)),MAX(0,INT((Config!$B$8-L1327)/30)+1)))</f>
        <v/>
      </c>
      <c r="O1327" s="29">
        <f>IF(J1327="","",J1327-N(N1327))</f>
        <v/>
      </c>
      <c r="P1327" s="27">
        <f>IF(A1327="","",MONTH(A1327))</f>
        <v/>
      </c>
      <c r="Q1327" s="27">
        <f>IF(A1327="","",YEAR(A1327))</f>
        <v/>
      </c>
      <c r="R1327" s="27">
        <f>IF(L1327="","",IF(L1327&gt;Config!$B$8,"A cair",IF(N(G1327)&gt;=MIN(MAX(1,N(E1327)),MAX(0,INT((Config!$B$8-L1327)/30)+1)),IF(N(G1327)&gt;=MAX(1,N(E1327)),"Conferido","Conferido até aqui"),"A conferir")))</f>
        <v/>
      </c>
      <c r="S1327" s="51">
        <f>IF(R1327="A conferir",(Config!$B$8-L1327)*1000+N(F1327)/1000+ROW()/100000,0)</f>
        <v>0</v>
      </c>
      <c r="T1327" s="51">
        <f>IF(R1327="A conferir",N(N1327),0)</f>
        <v>0</v>
      </c>
      <c r="U1327" s="51">
        <f>IF(L1327="",0,L1327)</f>
        <v>0</v>
      </c>
      <c r="V1327" s="51">
        <f>IF(L1327="",0,MAX(1,N(E1327)))</f>
        <v>0</v>
      </c>
      <c r="W1327" s="51">
        <f>IF(K1327="",0,K1327)</f>
        <v>0</v>
      </c>
    </row>
    <row r="1328">
      <c r="A1328" s="49" t="n"/>
      <c r="B1328" s="41" t="n"/>
      <c r="C1328" s="41" t="n"/>
      <c r="D1328" s="42" t="n"/>
      <c r="E1328" s="42" t="n"/>
      <c r="F1328" s="50" t="n"/>
      <c r="G1328" s="42" t="n"/>
      <c r="H1328" s="30">
        <f>IF(D1328="","",IFERROR(INDEX(Config!$B$12:$B$15,MATCH(IF(AND(D1328="Cartão de crédito",N(E1328)&gt;1),"Cartão de crédito parcelado",D1328),Config!$A$12:$A$15,0)),0)+IF(AND(Config!$B$17="Sim",LEFT(D1328,17)="Cartão de crédito"),Config!$B$18*IFERROR(INDEX(Config!$C$12:$C$15,MATCH(IF(AND(D1328="Cartão de crédito",N(E1328)&gt;1),"Cartão de crédito parcelado",D1328),Config!$A$12:$A$15,0)),0)/30*MAX(1,N(E1328)),0))</f>
        <v/>
      </c>
      <c r="I1328" s="29">
        <f>IF(OR(D1328="",F1328=""),"",ROUND(F1328*H1328,2))</f>
        <v/>
      </c>
      <c r="J1328" s="29">
        <f>IF(I1328="","",F1328-I1328)</f>
        <v/>
      </c>
      <c r="K1328" s="29">
        <f>IF(J1328="","",J1328/MAX(1,N(E1328)))</f>
        <v/>
      </c>
      <c r="L1328" s="37">
        <f>IF(OR(D1328="",A1328=""),"",A1328+IF(AND(Config!$B$17="Sim",LEFT(D1328,17)="Cartão de crédito"),1,IFERROR(INDEX(Config!$C$12:$C$15,MATCH(IF(AND(D1328="Cartão de crédito",N(E1328)&gt;1),"Cartão de crédito parcelado",D1328),Config!$A$12:$A$15,0)),0)))</f>
        <v/>
      </c>
      <c r="M1328" s="37">
        <f>IF(L1328="","",IF(AND(Config!$B$17="Sim",LEFT(D1328,17)="Cartão de crédito"),L1328,L1328+30*(MAX(1,N(E1328))-1)))</f>
        <v/>
      </c>
      <c r="N1328" s="29">
        <f>IF(OR(L1328="",K1328=""),"",K1328*MIN(MAX(1,N(E1328)),MAX(0,INT((Config!$B$8-L1328)/30)+1)))</f>
        <v/>
      </c>
      <c r="O1328" s="29">
        <f>IF(J1328="","",J1328-N(N1328))</f>
        <v/>
      </c>
      <c r="P1328" s="27">
        <f>IF(A1328="","",MONTH(A1328))</f>
        <v/>
      </c>
      <c r="Q1328" s="27">
        <f>IF(A1328="","",YEAR(A1328))</f>
        <v/>
      </c>
      <c r="R1328" s="27">
        <f>IF(L1328="","",IF(L1328&gt;Config!$B$8,"A cair",IF(N(G1328)&gt;=MIN(MAX(1,N(E1328)),MAX(0,INT((Config!$B$8-L1328)/30)+1)),IF(N(G1328)&gt;=MAX(1,N(E1328)),"Conferido","Conferido até aqui"),"A conferir")))</f>
        <v/>
      </c>
      <c r="S1328" s="51">
        <f>IF(R1328="A conferir",(Config!$B$8-L1328)*1000+N(F1328)/1000+ROW()/100000,0)</f>
        <v>0</v>
      </c>
      <c r="T1328" s="51">
        <f>IF(R1328="A conferir",N(N1328),0)</f>
        <v>0</v>
      </c>
      <c r="U1328" s="51">
        <f>IF(L1328="",0,L1328)</f>
        <v>0</v>
      </c>
      <c r="V1328" s="51">
        <f>IF(L1328="",0,MAX(1,N(E1328)))</f>
        <v>0</v>
      </c>
      <c r="W1328" s="51">
        <f>IF(K1328="",0,K1328)</f>
        <v>0</v>
      </c>
    </row>
    <row r="1329">
      <c r="A1329" s="49" t="n"/>
      <c r="B1329" s="41" t="n"/>
      <c r="C1329" s="41" t="n"/>
      <c r="D1329" s="42" t="n"/>
      <c r="E1329" s="42" t="n"/>
      <c r="F1329" s="50" t="n"/>
      <c r="G1329" s="42" t="n"/>
      <c r="H1329" s="30">
        <f>IF(D1329="","",IFERROR(INDEX(Config!$B$12:$B$15,MATCH(IF(AND(D1329="Cartão de crédito",N(E1329)&gt;1),"Cartão de crédito parcelado",D1329),Config!$A$12:$A$15,0)),0)+IF(AND(Config!$B$17="Sim",LEFT(D1329,17)="Cartão de crédito"),Config!$B$18*IFERROR(INDEX(Config!$C$12:$C$15,MATCH(IF(AND(D1329="Cartão de crédito",N(E1329)&gt;1),"Cartão de crédito parcelado",D1329),Config!$A$12:$A$15,0)),0)/30*MAX(1,N(E1329)),0))</f>
        <v/>
      </c>
      <c r="I1329" s="29">
        <f>IF(OR(D1329="",F1329=""),"",ROUND(F1329*H1329,2))</f>
        <v/>
      </c>
      <c r="J1329" s="29">
        <f>IF(I1329="","",F1329-I1329)</f>
        <v/>
      </c>
      <c r="K1329" s="29">
        <f>IF(J1329="","",J1329/MAX(1,N(E1329)))</f>
        <v/>
      </c>
      <c r="L1329" s="37">
        <f>IF(OR(D1329="",A1329=""),"",A1329+IF(AND(Config!$B$17="Sim",LEFT(D1329,17)="Cartão de crédito"),1,IFERROR(INDEX(Config!$C$12:$C$15,MATCH(IF(AND(D1329="Cartão de crédito",N(E1329)&gt;1),"Cartão de crédito parcelado",D1329),Config!$A$12:$A$15,0)),0)))</f>
        <v/>
      </c>
      <c r="M1329" s="37">
        <f>IF(L1329="","",IF(AND(Config!$B$17="Sim",LEFT(D1329,17)="Cartão de crédito"),L1329,L1329+30*(MAX(1,N(E1329))-1)))</f>
        <v/>
      </c>
      <c r="N1329" s="29">
        <f>IF(OR(L1329="",K1329=""),"",K1329*MIN(MAX(1,N(E1329)),MAX(0,INT((Config!$B$8-L1329)/30)+1)))</f>
        <v/>
      </c>
      <c r="O1329" s="29">
        <f>IF(J1329="","",J1329-N(N1329))</f>
        <v/>
      </c>
      <c r="P1329" s="27">
        <f>IF(A1329="","",MONTH(A1329))</f>
        <v/>
      </c>
      <c r="Q1329" s="27">
        <f>IF(A1329="","",YEAR(A1329))</f>
        <v/>
      </c>
      <c r="R1329" s="27">
        <f>IF(L1329="","",IF(L1329&gt;Config!$B$8,"A cair",IF(N(G1329)&gt;=MIN(MAX(1,N(E1329)),MAX(0,INT((Config!$B$8-L1329)/30)+1)),IF(N(G1329)&gt;=MAX(1,N(E1329)),"Conferido","Conferido até aqui"),"A conferir")))</f>
        <v/>
      </c>
      <c r="S1329" s="51">
        <f>IF(R1329="A conferir",(Config!$B$8-L1329)*1000+N(F1329)/1000+ROW()/100000,0)</f>
        <v>0</v>
      </c>
      <c r="T1329" s="51">
        <f>IF(R1329="A conferir",N(N1329),0)</f>
        <v>0</v>
      </c>
      <c r="U1329" s="51">
        <f>IF(L1329="",0,L1329)</f>
        <v>0</v>
      </c>
      <c r="V1329" s="51">
        <f>IF(L1329="",0,MAX(1,N(E1329)))</f>
        <v>0</v>
      </c>
      <c r="W1329" s="51">
        <f>IF(K1329="",0,K1329)</f>
        <v>0</v>
      </c>
    </row>
    <row r="1330">
      <c r="A1330" s="49" t="n"/>
      <c r="B1330" s="41" t="n"/>
      <c r="C1330" s="41" t="n"/>
      <c r="D1330" s="42" t="n"/>
      <c r="E1330" s="42" t="n"/>
      <c r="F1330" s="50" t="n"/>
      <c r="G1330" s="42" t="n"/>
      <c r="H1330" s="30">
        <f>IF(D1330="","",IFERROR(INDEX(Config!$B$12:$B$15,MATCH(IF(AND(D1330="Cartão de crédito",N(E1330)&gt;1),"Cartão de crédito parcelado",D1330),Config!$A$12:$A$15,0)),0)+IF(AND(Config!$B$17="Sim",LEFT(D1330,17)="Cartão de crédito"),Config!$B$18*IFERROR(INDEX(Config!$C$12:$C$15,MATCH(IF(AND(D1330="Cartão de crédito",N(E1330)&gt;1),"Cartão de crédito parcelado",D1330),Config!$A$12:$A$15,0)),0)/30*MAX(1,N(E1330)),0))</f>
        <v/>
      </c>
      <c r="I1330" s="29">
        <f>IF(OR(D1330="",F1330=""),"",ROUND(F1330*H1330,2))</f>
        <v/>
      </c>
      <c r="J1330" s="29">
        <f>IF(I1330="","",F1330-I1330)</f>
        <v/>
      </c>
      <c r="K1330" s="29">
        <f>IF(J1330="","",J1330/MAX(1,N(E1330)))</f>
        <v/>
      </c>
      <c r="L1330" s="37">
        <f>IF(OR(D1330="",A1330=""),"",A1330+IF(AND(Config!$B$17="Sim",LEFT(D1330,17)="Cartão de crédito"),1,IFERROR(INDEX(Config!$C$12:$C$15,MATCH(IF(AND(D1330="Cartão de crédito",N(E1330)&gt;1),"Cartão de crédito parcelado",D1330),Config!$A$12:$A$15,0)),0)))</f>
        <v/>
      </c>
      <c r="M1330" s="37">
        <f>IF(L1330="","",IF(AND(Config!$B$17="Sim",LEFT(D1330,17)="Cartão de crédito"),L1330,L1330+30*(MAX(1,N(E1330))-1)))</f>
        <v/>
      </c>
      <c r="N1330" s="29">
        <f>IF(OR(L1330="",K1330=""),"",K1330*MIN(MAX(1,N(E1330)),MAX(0,INT((Config!$B$8-L1330)/30)+1)))</f>
        <v/>
      </c>
      <c r="O1330" s="29">
        <f>IF(J1330="","",J1330-N(N1330))</f>
        <v/>
      </c>
      <c r="P1330" s="27">
        <f>IF(A1330="","",MONTH(A1330))</f>
        <v/>
      </c>
      <c r="Q1330" s="27">
        <f>IF(A1330="","",YEAR(A1330))</f>
        <v/>
      </c>
      <c r="R1330" s="27">
        <f>IF(L1330="","",IF(L1330&gt;Config!$B$8,"A cair",IF(N(G1330)&gt;=MIN(MAX(1,N(E1330)),MAX(0,INT((Config!$B$8-L1330)/30)+1)),IF(N(G1330)&gt;=MAX(1,N(E1330)),"Conferido","Conferido até aqui"),"A conferir")))</f>
        <v/>
      </c>
      <c r="S1330" s="51">
        <f>IF(R1330="A conferir",(Config!$B$8-L1330)*1000+N(F1330)/1000+ROW()/100000,0)</f>
        <v>0</v>
      </c>
      <c r="T1330" s="51">
        <f>IF(R1330="A conferir",N(N1330),0)</f>
        <v>0</v>
      </c>
      <c r="U1330" s="51">
        <f>IF(L1330="",0,L1330)</f>
        <v>0</v>
      </c>
      <c r="V1330" s="51">
        <f>IF(L1330="",0,MAX(1,N(E1330)))</f>
        <v>0</v>
      </c>
      <c r="W1330" s="51">
        <f>IF(K1330="",0,K1330)</f>
        <v>0</v>
      </c>
    </row>
    <row r="1331">
      <c r="A1331" s="49" t="n"/>
      <c r="B1331" s="41" t="n"/>
      <c r="C1331" s="41" t="n"/>
      <c r="D1331" s="42" t="n"/>
      <c r="E1331" s="42" t="n"/>
      <c r="F1331" s="50" t="n"/>
      <c r="G1331" s="42" t="n"/>
      <c r="H1331" s="30">
        <f>IF(D1331="","",IFERROR(INDEX(Config!$B$12:$B$15,MATCH(IF(AND(D1331="Cartão de crédito",N(E1331)&gt;1),"Cartão de crédito parcelado",D1331),Config!$A$12:$A$15,0)),0)+IF(AND(Config!$B$17="Sim",LEFT(D1331,17)="Cartão de crédito"),Config!$B$18*IFERROR(INDEX(Config!$C$12:$C$15,MATCH(IF(AND(D1331="Cartão de crédito",N(E1331)&gt;1),"Cartão de crédito parcelado",D1331),Config!$A$12:$A$15,0)),0)/30*MAX(1,N(E1331)),0))</f>
        <v/>
      </c>
      <c r="I1331" s="29">
        <f>IF(OR(D1331="",F1331=""),"",ROUND(F1331*H1331,2))</f>
        <v/>
      </c>
      <c r="J1331" s="29">
        <f>IF(I1331="","",F1331-I1331)</f>
        <v/>
      </c>
      <c r="K1331" s="29">
        <f>IF(J1331="","",J1331/MAX(1,N(E1331)))</f>
        <v/>
      </c>
      <c r="L1331" s="37">
        <f>IF(OR(D1331="",A1331=""),"",A1331+IF(AND(Config!$B$17="Sim",LEFT(D1331,17)="Cartão de crédito"),1,IFERROR(INDEX(Config!$C$12:$C$15,MATCH(IF(AND(D1331="Cartão de crédito",N(E1331)&gt;1),"Cartão de crédito parcelado",D1331),Config!$A$12:$A$15,0)),0)))</f>
        <v/>
      </c>
      <c r="M1331" s="37">
        <f>IF(L1331="","",IF(AND(Config!$B$17="Sim",LEFT(D1331,17)="Cartão de crédito"),L1331,L1331+30*(MAX(1,N(E1331))-1)))</f>
        <v/>
      </c>
      <c r="N1331" s="29">
        <f>IF(OR(L1331="",K1331=""),"",K1331*MIN(MAX(1,N(E1331)),MAX(0,INT((Config!$B$8-L1331)/30)+1)))</f>
        <v/>
      </c>
      <c r="O1331" s="29">
        <f>IF(J1331="","",J1331-N(N1331))</f>
        <v/>
      </c>
      <c r="P1331" s="27">
        <f>IF(A1331="","",MONTH(A1331))</f>
        <v/>
      </c>
      <c r="Q1331" s="27">
        <f>IF(A1331="","",YEAR(A1331))</f>
        <v/>
      </c>
      <c r="R1331" s="27">
        <f>IF(L1331="","",IF(L1331&gt;Config!$B$8,"A cair",IF(N(G1331)&gt;=MIN(MAX(1,N(E1331)),MAX(0,INT((Config!$B$8-L1331)/30)+1)),IF(N(G1331)&gt;=MAX(1,N(E1331)),"Conferido","Conferido até aqui"),"A conferir")))</f>
        <v/>
      </c>
      <c r="S1331" s="51">
        <f>IF(R1331="A conferir",(Config!$B$8-L1331)*1000+N(F1331)/1000+ROW()/100000,0)</f>
        <v>0</v>
      </c>
      <c r="T1331" s="51">
        <f>IF(R1331="A conferir",N(N1331),0)</f>
        <v>0</v>
      </c>
      <c r="U1331" s="51">
        <f>IF(L1331="",0,L1331)</f>
        <v>0</v>
      </c>
      <c r="V1331" s="51">
        <f>IF(L1331="",0,MAX(1,N(E1331)))</f>
        <v>0</v>
      </c>
      <c r="W1331" s="51">
        <f>IF(K1331="",0,K1331)</f>
        <v>0</v>
      </c>
    </row>
    <row r="1332">
      <c r="A1332" s="49" t="n"/>
      <c r="B1332" s="41" t="n"/>
      <c r="C1332" s="41" t="n"/>
      <c r="D1332" s="42" t="n"/>
      <c r="E1332" s="42" t="n"/>
      <c r="F1332" s="50" t="n"/>
      <c r="G1332" s="42" t="n"/>
      <c r="H1332" s="30">
        <f>IF(D1332="","",IFERROR(INDEX(Config!$B$12:$B$15,MATCH(IF(AND(D1332="Cartão de crédito",N(E1332)&gt;1),"Cartão de crédito parcelado",D1332),Config!$A$12:$A$15,0)),0)+IF(AND(Config!$B$17="Sim",LEFT(D1332,17)="Cartão de crédito"),Config!$B$18*IFERROR(INDEX(Config!$C$12:$C$15,MATCH(IF(AND(D1332="Cartão de crédito",N(E1332)&gt;1),"Cartão de crédito parcelado",D1332),Config!$A$12:$A$15,0)),0)/30*MAX(1,N(E1332)),0))</f>
        <v/>
      </c>
      <c r="I1332" s="29">
        <f>IF(OR(D1332="",F1332=""),"",ROUND(F1332*H1332,2))</f>
        <v/>
      </c>
      <c r="J1332" s="29">
        <f>IF(I1332="","",F1332-I1332)</f>
        <v/>
      </c>
      <c r="K1332" s="29">
        <f>IF(J1332="","",J1332/MAX(1,N(E1332)))</f>
        <v/>
      </c>
      <c r="L1332" s="37">
        <f>IF(OR(D1332="",A1332=""),"",A1332+IF(AND(Config!$B$17="Sim",LEFT(D1332,17)="Cartão de crédito"),1,IFERROR(INDEX(Config!$C$12:$C$15,MATCH(IF(AND(D1332="Cartão de crédito",N(E1332)&gt;1),"Cartão de crédito parcelado",D1332),Config!$A$12:$A$15,0)),0)))</f>
        <v/>
      </c>
      <c r="M1332" s="37">
        <f>IF(L1332="","",IF(AND(Config!$B$17="Sim",LEFT(D1332,17)="Cartão de crédito"),L1332,L1332+30*(MAX(1,N(E1332))-1)))</f>
        <v/>
      </c>
      <c r="N1332" s="29">
        <f>IF(OR(L1332="",K1332=""),"",K1332*MIN(MAX(1,N(E1332)),MAX(0,INT((Config!$B$8-L1332)/30)+1)))</f>
        <v/>
      </c>
      <c r="O1332" s="29">
        <f>IF(J1332="","",J1332-N(N1332))</f>
        <v/>
      </c>
      <c r="P1332" s="27">
        <f>IF(A1332="","",MONTH(A1332))</f>
        <v/>
      </c>
      <c r="Q1332" s="27">
        <f>IF(A1332="","",YEAR(A1332))</f>
        <v/>
      </c>
      <c r="R1332" s="27">
        <f>IF(L1332="","",IF(L1332&gt;Config!$B$8,"A cair",IF(N(G1332)&gt;=MIN(MAX(1,N(E1332)),MAX(0,INT((Config!$B$8-L1332)/30)+1)),IF(N(G1332)&gt;=MAX(1,N(E1332)),"Conferido","Conferido até aqui"),"A conferir")))</f>
        <v/>
      </c>
      <c r="S1332" s="51">
        <f>IF(R1332="A conferir",(Config!$B$8-L1332)*1000+N(F1332)/1000+ROW()/100000,0)</f>
        <v>0</v>
      </c>
      <c r="T1332" s="51">
        <f>IF(R1332="A conferir",N(N1332),0)</f>
        <v>0</v>
      </c>
      <c r="U1332" s="51">
        <f>IF(L1332="",0,L1332)</f>
        <v>0</v>
      </c>
      <c r="V1332" s="51">
        <f>IF(L1332="",0,MAX(1,N(E1332)))</f>
        <v>0</v>
      </c>
      <c r="W1332" s="51">
        <f>IF(K1332="",0,K1332)</f>
        <v>0</v>
      </c>
    </row>
    <row r="1333">
      <c r="A1333" s="49" t="n"/>
      <c r="B1333" s="41" t="n"/>
      <c r="C1333" s="41" t="n"/>
      <c r="D1333" s="42" t="n"/>
      <c r="E1333" s="42" t="n"/>
      <c r="F1333" s="50" t="n"/>
      <c r="G1333" s="42" t="n"/>
      <c r="H1333" s="30">
        <f>IF(D1333="","",IFERROR(INDEX(Config!$B$12:$B$15,MATCH(IF(AND(D1333="Cartão de crédito",N(E1333)&gt;1),"Cartão de crédito parcelado",D1333),Config!$A$12:$A$15,0)),0)+IF(AND(Config!$B$17="Sim",LEFT(D1333,17)="Cartão de crédito"),Config!$B$18*IFERROR(INDEX(Config!$C$12:$C$15,MATCH(IF(AND(D1333="Cartão de crédito",N(E1333)&gt;1),"Cartão de crédito parcelado",D1333),Config!$A$12:$A$15,0)),0)/30*MAX(1,N(E1333)),0))</f>
        <v/>
      </c>
      <c r="I1333" s="29">
        <f>IF(OR(D1333="",F1333=""),"",ROUND(F1333*H1333,2))</f>
        <v/>
      </c>
      <c r="J1333" s="29">
        <f>IF(I1333="","",F1333-I1333)</f>
        <v/>
      </c>
      <c r="K1333" s="29">
        <f>IF(J1333="","",J1333/MAX(1,N(E1333)))</f>
        <v/>
      </c>
      <c r="L1333" s="37">
        <f>IF(OR(D1333="",A1333=""),"",A1333+IF(AND(Config!$B$17="Sim",LEFT(D1333,17)="Cartão de crédito"),1,IFERROR(INDEX(Config!$C$12:$C$15,MATCH(IF(AND(D1333="Cartão de crédito",N(E1333)&gt;1),"Cartão de crédito parcelado",D1333),Config!$A$12:$A$15,0)),0)))</f>
        <v/>
      </c>
      <c r="M1333" s="37">
        <f>IF(L1333="","",IF(AND(Config!$B$17="Sim",LEFT(D1333,17)="Cartão de crédito"),L1333,L1333+30*(MAX(1,N(E1333))-1)))</f>
        <v/>
      </c>
      <c r="N1333" s="29">
        <f>IF(OR(L1333="",K1333=""),"",K1333*MIN(MAX(1,N(E1333)),MAX(0,INT((Config!$B$8-L1333)/30)+1)))</f>
        <v/>
      </c>
      <c r="O1333" s="29">
        <f>IF(J1333="","",J1333-N(N1333))</f>
        <v/>
      </c>
      <c r="P1333" s="27">
        <f>IF(A1333="","",MONTH(A1333))</f>
        <v/>
      </c>
      <c r="Q1333" s="27">
        <f>IF(A1333="","",YEAR(A1333))</f>
        <v/>
      </c>
      <c r="R1333" s="27">
        <f>IF(L1333="","",IF(L1333&gt;Config!$B$8,"A cair",IF(N(G1333)&gt;=MIN(MAX(1,N(E1333)),MAX(0,INT((Config!$B$8-L1333)/30)+1)),IF(N(G1333)&gt;=MAX(1,N(E1333)),"Conferido","Conferido até aqui"),"A conferir")))</f>
        <v/>
      </c>
      <c r="S1333" s="51">
        <f>IF(R1333="A conferir",(Config!$B$8-L1333)*1000+N(F1333)/1000+ROW()/100000,0)</f>
        <v>0</v>
      </c>
      <c r="T1333" s="51">
        <f>IF(R1333="A conferir",N(N1333),0)</f>
        <v>0</v>
      </c>
      <c r="U1333" s="51">
        <f>IF(L1333="",0,L1333)</f>
        <v>0</v>
      </c>
      <c r="V1333" s="51">
        <f>IF(L1333="",0,MAX(1,N(E1333)))</f>
        <v>0</v>
      </c>
      <c r="W1333" s="51">
        <f>IF(K1333="",0,K1333)</f>
        <v>0</v>
      </c>
    </row>
    <row r="1334">
      <c r="A1334" s="49" t="n"/>
      <c r="B1334" s="41" t="n"/>
      <c r="C1334" s="41" t="n"/>
      <c r="D1334" s="42" t="n"/>
      <c r="E1334" s="42" t="n"/>
      <c r="F1334" s="50" t="n"/>
      <c r="G1334" s="42" t="n"/>
      <c r="H1334" s="30">
        <f>IF(D1334="","",IFERROR(INDEX(Config!$B$12:$B$15,MATCH(IF(AND(D1334="Cartão de crédito",N(E1334)&gt;1),"Cartão de crédito parcelado",D1334),Config!$A$12:$A$15,0)),0)+IF(AND(Config!$B$17="Sim",LEFT(D1334,17)="Cartão de crédito"),Config!$B$18*IFERROR(INDEX(Config!$C$12:$C$15,MATCH(IF(AND(D1334="Cartão de crédito",N(E1334)&gt;1),"Cartão de crédito parcelado",D1334),Config!$A$12:$A$15,0)),0)/30*MAX(1,N(E1334)),0))</f>
        <v/>
      </c>
      <c r="I1334" s="29">
        <f>IF(OR(D1334="",F1334=""),"",ROUND(F1334*H1334,2))</f>
        <v/>
      </c>
      <c r="J1334" s="29">
        <f>IF(I1334="","",F1334-I1334)</f>
        <v/>
      </c>
      <c r="K1334" s="29">
        <f>IF(J1334="","",J1334/MAX(1,N(E1334)))</f>
        <v/>
      </c>
      <c r="L1334" s="37">
        <f>IF(OR(D1334="",A1334=""),"",A1334+IF(AND(Config!$B$17="Sim",LEFT(D1334,17)="Cartão de crédito"),1,IFERROR(INDEX(Config!$C$12:$C$15,MATCH(IF(AND(D1334="Cartão de crédito",N(E1334)&gt;1),"Cartão de crédito parcelado",D1334),Config!$A$12:$A$15,0)),0)))</f>
        <v/>
      </c>
      <c r="M1334" s="37">
        <f>IF(L1334="","",IF(AND(Config!$B$17="Sim",LEFT(D1334,17)="Cartão de crédito"),L1334,L1334+30*(MAX(1,N(E1334))-1)))</f>
        <v/>
      </c>
      <c r="N1334" s="29">
        <f>IF(OR(L1334="",K1334=""),"",K1334*MIN(MAX(1,N(E1334)),MAX(0,INT((Config!$B$8-L1334)/30)+1)))</f>
        <v/>
      </c>
      <c r="O1334" s="29">
        <f>IF(J1334="","",J1334-N(N1334))</f>
        <v/>
      </c>
      <c r="P1334" s="27">
        <f>IF(A1334="","",MONTH(A1334))</f>
        <v/>
      </c>
      <c r="Q1334" s="27">
        <f>IF(A1334="","",YEAR(A1334))</f>
        <v/>
      </c>
      <c r="R1334" s="27">
        <f>IF(L1334="","",IF(L1334&gt;Config!$B$8,"A cair",IF(N(G1334)&gt;=MIN(MAX(1,N(E1334)),MAX(0,INT((Config!$B$8-L1334)/30)+1)),IF(N(G1334)&gt;=MAX(1,N(E1334)),"Conferido","Conferido até aqui"),"A conferir")))</f>
        <v/>
      </c>
      <c r="S1334" s="51">
        <f>IF(R1334="A conferir",(Config!$B$8-L1334)*1000+N(F1334)/1000+ROW()/100000,0)</f>
        <v>0</v>
      </c>
      <c r="T1334" s="51">
        <f>IF(R1334="A conferir",N(N1334),0)</f>
        <v>0</v>
      </c>
      <c r="U1334" s="51">
        <f>IF(L1334="",0,L1334)</f>
        <v>0</v>
      </c>
      <c r="V1334" s="51">
        <f>IF(L1334="",0,MAX(1,N(E1334)))</f>
        <v>0</v>
      </c>
      <c r="W1334" s="51">
        <f>IF(K1334="",0,K1334)</f>
        <v>0</v>
      </c>
    </row>
    <row r="1335">
      <c r="A1335" s="49" t="n"/>
      <c r="B1335" s="41" t="n"/>
      <c r="C1335" s="41" t="n"/>
      <c r="D1335" s="42" t="n"/>
      <c r="E1335" s="42" t="n"/>
      <c r="F1335" s="50" t="n"/>
      <c r="G1335" s="42" t="n"/>
      <c r="H1335" s="30">
        <f>IF(D1335="","",IFERROR(INDEX(Config!$B$12:$B$15,MATCH(IF(AND(D1335="Cartão de crédito",N(E1335)&gt;1),"Cartão de crédito parcelado",D1335),Config!$A$12:$A$15,0)),0)+IF(AND(Config!$B$17="Sim",LEFT(D1335,17)="Cartão de crédito"),Config!$B$18*IFERROR(INDEX(Config!$C$12:$C$15,MATCH(IF(AND(D1335="Cartão de crédito",N(E1335)&gt;1),"Cartão de crédito parcelado",D1335),Config!$A$12:$A$15,0)),0)/30*MAX(1,N(E1335)),0))</f>
        <v/>
      </c>
      <c r="I1335" s="29">
        <f>IF(OR(D1335="",F1335=""),"",ROUND(F1335*H1335,2))</f>
        <v/>
      </c>
      <c r="J1335" s="29">
        <f>IF(I1335="","",F1335-I1335)</f>
        <v/>
      </c>
      <c r="K1335" s="29">
        <f>IF(J1335="","",J1335/MAX(1,N(E1335)))</f>
        <v/>
      </c>
      <c r="L1335" s="37">
        <f>IF(OR(D1335="",A1335=""),"",A1335+IF(AND(Config!$B$17="Sim",LEFT(D1335,17)="Cartão de crédito"),1,IFERROR(INDEX(Config!$C$12:$C$15,MATCH(IF(AND(D1335="Cartão de crédito",N(E1335)&gt;1),"Cartão de crédito parcelado",D1335),Config!$A$12:$A$15,0)),0)))</f>
        <v/>
      </c>
      <c r="M1335" s="37">
        <f>IF(L1335="","",IF(AND(Config!$B$17="Sim",LEFT(D1335,17)="Cartão de crédito"),L1335,L1335+30*(MAX(1,N(E1335))-1)))</f>
        <v/>
      </c>
      <c r="N1335" s="29">
        <f>IF(OR(L1335="",K1335=""),"",K1335*MIN(MAX(1,N(E1335)),MAX(0,INT((Config!$B$8-L1335)/30)+1)))</f>
        <v/>
      </c>
      <c r="O1335" s="29">
        <f>IF(J1335="","",J1335-N(N1335))</f>
        <v/>
      </c>
      <c r="P1335" s="27">
        <f>IF(A1335="","",MONTH(A1335))</f>
        <v/>
      </c>
      <c r="Q1335" s="27">
        <f>IF(A1335="","",YEAR(A1335))</f>
        <v/>
      </c>
      <c r="R1335" s="27">
        <f>IF(L1335="","",IF(L1335&gt;Config!$B$8,"A cair",IF(N(G1335)&gt;=MIN(MAX(1,N(E1335)),MAX(0,INT((Config!$B$8-L1335)/30)+1)),IF(N(G1335)&gt;=MAX(1,N(E1335)),"Conferido","Conferido até aqui"),"A conferir")))</f>
        <v/>
      </c>
      <c r="S1335" s="51">
        <f>IF(R1335="A conferir",(Config!$B$8-L1335)*1000+N(F1335)/1000+ROW()/100000,0)</f>
        <v>0</v>
      </c>
      <c r="T1335" s="51">
        <f>IF(R1335="A conferir",N(N1335),0)</f>
        <v>0</v>
      </c>
      <c r="U1335" s="51">
        <f>IF(L1335="",0,L1335)</f>
        <v>0</v>
      </c>
      <c r="V1335" s="51">
        <f>IF(L1335="",0,MAX(1,N(E1335)))</f>
        <v>0</v>
      </c>
      <c r="W1335" s="51">
        <f>IF(K1335="",0,K1335)</f>
        <v>0</v>
      </c>
    </row>
    <row r="1336">
      <c r="A1336" s="49" t="n"/>
      <c r="B1336" s="41" t="n"/>
      <c r="C1336" s="41" t="n"/>
      <c r="D1336" s="42" t="n"/>
      <c r="E1336" s="42" t="n"/>
      <c r="F1336" s="50" t="n"/>
      <c r="G1336" s="42" t="n"/>
      <c r="H1336" s="30">
        <f>IF(D1336="","",IFERROR(INDEX(Config!$B$12:$B$15,MATCH(IF(AND(D1336="Cartão de crédito",N(E1336)&gt;1),"Cartão de crédito parcelado",D1336),Config!$A$12:$A$15,0)),0)+IF(AND(Config!$B$17="Sim",LEFT(D1336,17)="Cartão de crédito"),Config!$B$18*IFERROR(INDEX(Config!$C$12:$C$15,MATCH(IF(AND(D1336="Cartão de crédito",N(E1336)&gt;1),"Cartão de crédito parcelado",D1336),Config!$A$12:$A$15,0)),0)/30*MAX(1,N(E1336)),0))</f>
        <v/>
      </c>
      <c r="I1336" s="29">
        <f>IF(OR(D1336="",F1336=""),"",ROUND(F1336*H1336,2))</f>
        <v/>
      </c>
      <c r="J1336" s="29">
        <f>IF(I1336="","",F1336-I1336)</f>
        <v/>
      </c>
      <c r="K1336" s="29">
        <f>IF(J1336="","",J1336/MAX(1,N(E1336)))</f>
        <v/>
      </c>
      <c r="L1336" s="37">
        <f>IF(OR(D1336="",A1336=""),"",A1336+IF(AND(Config!$B$17="Sim",LEFT(D1336,17)="Cartão de crédito"),1,IFERROR(INDEX(Config!$C$12:$C$15,MATCH(IF(AND(D1336="Cartão de crédito",N(E1336)&gt;1),"Cartão de crédito parcelado",D1336),Config!$A$12:$A$15,0)),0)))</f>
        <v/>
      </c>
      <c r="M1336" s="37">
        <f>IF(L1336="","",IF(AND(Config!$B$17="Sim",LEFT(D1336,17)="Cartão de crédito"),L1336,L1336+30*(MAX(1,N(E1336))-1)))</f>
        <v/>
      </c>
      <c r="N1336" s="29">
        <f>IF(OR(L1336="",K1336=""),"",K1336*MIN(MAX(1,N(E1336)),MAX(0,INT((Config!$B$8-L1336)/30)+1)))</f>
        <v/>
      </c>
      <c r="O1336" s="29">
        <f>IF(J1336="","",J1336-N(N1336))</f>
        <v/>
      </c>
      <c r="P1336" s="27">
        <f>IF(A1336="","",MONTH(A1336))</f>
        <v/>
      </c>
      <c r="Q1336" s="27">
        <f>IF(A1336="","",YEAR(A1336))</f>
        <v/>
      </c>
      <c r="R1336" s="27">
        <f>IF(L1336="","",IF(L1336&gt;Config!$B$8,"A cair",IF(N(G1336)&gt;=MIN(MAX(1,N(E1336)),MAX(0,INT((Config!$B$8-L1336)/30)+1)),IF(N(G1336)&gt;=MAX(1,N(E1336)),"Conferido","Conferido até aqui"),"A conferir")))</f>
        <v/>
      </c>
      <c r="S1336" s="51">
        <f>IF(R1336="A conferir",(Config!$B$8-L1336)*1000+N(F1336)/1000+ROW()/100000,0)</f>
        <v>0</v>
      </c>
      <c r="T1336" s="51">
        <f>IF(R1336="A conferir",N(N1336),0)</f>
        <v>0</v>
      </c>
      <c r="U1336" s="51">
        <f>IF(L1336="",0,L1336)</f>
        <v>0</v>
      </c>
      <c r="V1336" s="51">
        <f>IF(L1336="",0,MAX(1,N(E1336)))</f>
        <v>0</v>
      </c>
      <c r="W1336" s="51">
        <f>IF(K1336="",0,K1336)</f>
        <v>0</v>
      </c>
    </row>
    <row r="1337">
      <c r="A1337" s="49" t="n"/>
      <c r="B1337" s="41" t="n"/>
      <c r="C1337" s="41" t="n"/>
      <c r="D1337" s="42" t="n"/>
      <c r="E1337" s="42" t="n"/>
      <c r="F1337" s="50" t="n"/>
      <c r="G1337" s="42" t="n"/>
      <c r="H1337" s="30">
        <f>IF(D1337="","",IFERROR(INDEX(Config!$B$12:$B$15,MATCH(IF(AND(D1337="Cartão de crédito",N(E1337)&gt;1),"Cartão de crédito parcelado",D1337),Config!$A$12:$A$15,0)),0)+IF(AND(Config!$B$17="Sim",LEFT(D1337,17)="Cartão de crédito"),Config!$B$18*IFERROR(INDEX(Config!$C$12:$C$15,MATCH(IF(AND(D1337="Cartão de crédito",N(E1337)&gt;1),"Cartão de crédito parcelado",D1337),Config!$A$12:$A$15,0)),0)/30*MAX(1,N(E1337)),0))</f>
        <v/>
      </c>
      <c r="I1337" s="29">
        <f>IF(OR(D1337="",F1337=""),"",ROUND(F1337*H1337,2))</f>
        <v/>
      </c>
      <c r="J1337" s="29">
        <f>IF(I1337="","",F1337-I1337)</f>
        <v/>
      </c>
      <c r="K1337" s="29">
        <f>IF(J1337="","",J1337/MAX(1,N(E1337)))</f>
        <v/>
      </c>
      <c r="L1337" s="37">
        <f>IF(OR(D1337="",A1337=""),"",A1337+IF(AND(Config!$B$17="Sim",LEFT(D1337,17)="Cartão de crédito"),1,IFERROR(INDEX(Config!$C$12:$C$15,MATCH(IF(AND(D1337="Cartão de crédito",N(E1337)&gt;1),"Cartão de crédito parcelado",D1337),Config!$A$12:$A$15,0)),0)))</f>
        <v/>
      </c>
      <c r="M1337" s="37">
        <f>IF(L1337="","",IF(AND(Config!$B$17="Sim",LEFT(D1337,17)="Cartão de crédito"),L1337,L1337+30*(MAX(1,N(E1337))-1)))</f>
        <v/>
      </c>
      <c r="N1337" s="29">
        <f>IF(OR(L1337="",K1337=""),"",K1337*MIN(MAX(1,N(E1337)),MAX(0,INT((Config!$B$8-L1337)/30)+1)))</f>
        <v/>
      </c>
      <c r="O1337" s="29">
        <f>IF(J1337="","",J1337-N(N1337))</f>
        <v/>
      </c>
      <c r="P1337" s="27">
        <f>IF(A1337="","",MONTH(A1337))</f>
        <v/>
      </c>
      <c r="Q1337" s="27">
        <f>IF(A1337="","",YEAR(A1337))</f>
        <v/>
      </c>
      <c r="R1337" s="27">
        <f>IF(L1337="","",IF(L1337&gt;Config!$B$8,"A cair",IF(N(G1337)&gt;=MIN(MAX(1,N(E1337)),MAX(0,INT((Config!$B$8-L1337)/30)+1)),IF(N(G1337)&gt;=MAX(1,N(E1337)),"Conferido","Conferido até aqui"),"A conferir")))</f>
        <v/>
      </c>
      <c r="S1337" s="51">
        <f>IF(R1337="A conferir",(Config!$B$8-L1337)*1000+N(F1337)/1000+ROW()/100000,0)</f>
        <v>0</v>
      </c>
      <c r="T1337" s="51">
        <f>IF(R1337="A conferir",N(N1337),0)</f>
        <v>0</v>
      </c>
      <c r="U1337" s="51">
        <f>IF(L1337="",0,L1337)</f>
        <v>0</v>
      </c>
      <c r="V1337" s="51">
        <f>IF(L1337="",0,MAX(1,N(E1337)))</f>
        <v>0</v>
      </c>
      <c r="W1337" s="51">
        <f>IF(K1337="",0,K1337)</f>
        <v>0</v>
      </c>
    </row>
    <row r="1338">
      <c r="A1338" s="49" t="n"/>
      <c r="B1338" s="41" t="n"/>
      <c r="C1338" s="41" t="n"/>
      <c r="D1338" s="42" t="n"/>
      <c r="E1338" s="42" t="n"/>
      <c r="F1338" s="50" t="n"/>
      <c r="G1338" s="42" t="n"/>
      <c r="H1338" s="30">
        <f>IF(D1338="","",IFERROR(INDEX(Config!$B$12:$B$15,MATCH(IF(AND(D1338="Cartão de crédito",N(E1338)&gt;1),"Cartão de crédito parcelado",D1338),Config!$A$12:$A$15,0)),0)+IF(AND(Config!$B$17="Sim",LEFT(D1338,17)="Cartão de crédito"),Config!$B$18*IFERROR(INDEX(Config!$C$12:$C$15,MATCH(IF(AND(D1338="Cartão de crédito",N(E1338)&gt;1),"Cartão de crédito parcelado",D1338),Config!$A$12:$A$15,0)),0)/30*MAX(1,N(E1338)),0))</f>
        <v/>
      </c>
      <c r="I1338" s="29">
        <f>IF(OR(D1338="",F1338=""),"",ROUND(F1338*H1338,2))</f>
        <v/>
      </c>
      <c r="J1338" s="29">
        <f>IF(I1338="","",F1338-I1338)</f>
        <v/>
      </c>
      <c r="K1338" s="29">
        <f>IF(J1338="","",J1338/MAX(1,N(E1338)))</f>
        <v/>
      </c>
      <c r="L1338" s="37">
        <f>IF(OR(D1338="",A1338=""),"",A1338+IF(AND(Config!$B$17="Sim",LEFT(D1338,17)="Cartão de crédito"),1,IFERROR(INDEX(Config!$C$12:$C$15,MATCH(IF(AND(D1338="Cartão de crédito",N(E1338)&gt;1),"Cartão de crédito parcelado",D1338),Config!$A$12:$A$15,0)),0)))</f>
        <v/>
      </c>
      <c r="M1338" s="37">
        <f>IF(L1338="","",IF(AND(Config!$B$17="Sim",LEFT(D1338,17)="Cartão de crédito"),L1338,L1338+30*(MAX(1,N(E1338))-1)))</f>
        <v/>
      </c>
      <c r="N1338" s="29">
        <f>IF(OR(L1338="",K1338=""),"",K1338*MIN(MAX(1,N(E1338)),MAX(0,INT((Config!$B$8-L1338)/30)+1)))</f>
        <v/>
      </c>
      <c r="O1338" s="29">
        <f>IF(J1338="","",J1338-N(N1338))</f>
        <v/>
      </c>
      <c r="P1338" s="27">
        <f>IF(A1338="","",MONTH(A1338))</f>
        <v/>
      </c>
      <c r="Q1338" s="27">
        <f>IF(A1338="","",YEAR(A1338))</f>
        <v/>
      </c>
      <c r="R1338" s="27">
        <f>IF(L1338="","",IF(L1338&gt;Config!$B$8,"A cair",IF(N(G1338)&gt;=MIN(MAX(1,N(E1338)),MAX(0,INT((Config!$B$8-L1338)/30)+1)),IF(N(G1338)&gt;=MAX(1,N(E1338)),"Conferido","Conferido até aqui"),"A conferir")))</f>
        <v/>
      </c>
      <c r="S1338" s="51">
        <f>IF(R1338="A conferir",(Config!$B$8-L1338)*1000+N(F1338)/1000+ROW()/100000,0)</f>
        <v>0</v>
      </c>
      <c r="T1338" s="51">
        <f>IF(R1338="A conferir",N(N1338),0)</f>
        <v>0</v>
      </c>
      <c r="U1338" s="51">
        <f>IF(L1338="",0,L1338)</f>
        <v>0</v>
      </c>
      <c r="V1338" s="51">
        <f>IF(L1338="",0,MAX(1,N(E1338)))</f>
        <v>0</v>
      </c>
      <c r="W1338" s="51">
        <f>IF(K1338="",0,K1338)</f>
        <v>0</v>
      </c>
    </row>
    <row r="1339">
      <c r="A1339" s="49" t="n"/>
      <c r="B1339" s="41" t="n"/>
      <c r="C1339" s="41" t="n"/>
      <c r="D1339" s="42" t="n"/>
      <c r="E1339" s="42" t="n"/>
      <c r="F1339" s="50" t="n"/>
      <c r="G1339" s="42" t="n"/>
      <c r="H1339" s="30">
        <f>IF(D1339="","",IFERROR(INDEX(Config!$B$12:$B$15,MATCH(IF(AND(D1339="Cartão de crédito",N(E1339)&gt;1),"Cartão de crédito parcelado",D1339),Config!$A$12:$A$15,0)),0)+IF(AND(Config!$B$17="Sim",LEFT(D1339,17)="Cartão de crédito"),Config!$B$18*IFERROR(INDEX(Config!$C$12:$C$15,MATCH(IF(AND(D1339="Cartão de crédito",N(E1339)&gt;1),"Cartão de crédito parcelado",D1339),Config!$A$12:$A$15,0)),0)/30*MAX(1,N(E1339)),0))</f>
        <v/>
      </c>
      <c r="I1339" s="29">
        <f>IF(OR(D1339="",F1339=""),"",ROUND(F1339*H1339,2))</f>
        <v/>
      </c>
      <c r="J1339" s="29">
        <f>IF(I1339="","",F1339-I1339)</f>
        <v/>
      </c>
      <c r="K1339" s="29">
        <f>IF(J1339="","",J1339/MAX(1,N(E1339)))</f>
        <v/>
      </c>
      <c r="L1339" s="37">
        <f>IF(OR(D1339="",A1339=""),"",A1339+IF(AND(Config!$B$17="Sim",LEFT(D1339,17)="Cartão de crédito"),1,IFERROR(INDEX(Config!$C$12:$C$15,MATCH(IF(AND(D1339="Cartão de crédito",N(E1339)&gt;1),"Cartão de crédito parcelado",D1339),Config!$A$12:$A$15,0)),0)))</f>
        <v/>
      </c>
      <c r="M1339" s="37">
        <f>IF(L1339="","",IF(AND(Config!$B$17="Sim",LEFT(D1339,17)="Cartão de crédito"),L1339,L1339+30*(MAX(1,N(E1339))-1)))</f>
        <v/>
      </c>
      <c r="N1339" s="29">
        <f>IF(OR(L1339="",K1339=""),"",K1339*MIN(MAX(1,N(E1339)),MAX(0,INT((Config!$B$8-L1339)/30)+1)))</f>
        <v/>
      </c>
      <c r="O1339" s="29">
        <f>IF(J1339="","",J1339-N(N1339))</f>
        <v/>
      </c>
      <c r="P1339" s="27">
        <f>IF(A1339="","",MONTH(A1339))</f>
        <v/>
      </c>
      <c r="Q1339" s="27">
        <f>IF(A1339="","",YEAR(A1339))</f>
        <v/>
      </c>
      <c r="R1339" s="27">
        <f>IF(L1339="","",IF(L1339&gt;Config!$B$8,"A cair",IF(N(G1339)&gt;=MIN(MAX(1,N(E1339)),MAX(0,INT((Config!$B$8-L1339)/30)+1)),IF(N(G1339)&gt;=MAX(1,N(E1339)),"Conferido","Conferido até aqui"),"A conferir")))</f>
        <v/>
      </c>
      <c r="S1339" s="51">
        <f>IF(R1339="A conferir",(Config!$B$8-L1339)*1000+N(F1339)/1000+ROW()/100000,0)</f>
        <v>0</v>
      </c>
      <c r="T1339" s="51">
        <f>IF(R1339="A conferir",N(N1339),0)</f>
        <v>0</v>
      </c>
      <c r="U1339" s="51">
        <f>IF(L1339="",0,L1339)</f>
        <v>0</v>
      </c>
      <c r="V1339" s="51">
        <f>IF(L1339="",0,MAX(1,N(E1339)))</f>
        <v>0</v>
      </c>
      <c r="W1339" s="51">
        <f>IF(K1339="",0,K1339)</f>
        <v>0</v>
      </c>
    </row>
    <row r="1340">
      <c r="A1340" s="49" t="n"/>
      <c r="B1340" s="41" t="n"/>
      <c r="C1340" s="41" t="n"/>
      <c r="D1340" s="42" t="n"/>
      <c r="E1340" s="42" t="n"/>
      <c r="F1340" s="50" t="n"/>
      <c r="G1340" s="42" t="n"/>
      <c r="H1340" s="30">
        <f>IF(D1340="","",IFERROR(INDEX(Config!$B$12:$B$15,MATCH(IF(AND(D1340="Cartão de crédito",N(E1340)&gt;1),"Cartão de crédito parcelado",D1340),Config!$A$12:$A$15,0)),0)+IF(AND(Config!$B$17="Sim",LEFT(D1340,17)="Cartão de crédito"),Config!$B$18*IFERROR(INDEX(Config!$C$12:$C$15,MATCH(IF(AND(D1340="Cartão de crédito",N(E1340)&gt;1),"Cartão de crédito parcelado",D1340),Config!$A$12:$A$15,0)),0)/30*MAX(1,N(E1340)),0))</f>
        <v/>
      </c>
      <c r="I1340" s="29">
        <f>IF(OR(D1340="",F1340=""),"",ROUND(F1340*H1340,2))</f>
        <v/>
      </c>
      <c r="J1340" s="29">
        <f>IF(I1340="","",F1340-I1340)</f>
        <v/>
      </c>
      <c r="K1340" s="29">
        <f>IF(J1340="","",J1340/MAX(1,N(E1340)))</f>
        <v/>
      </c>
      <c r="L1340" s="37">
        <f>IF(OR(D1340="",A1340=""),"",A1340+IF(AND(Config!$B$17="Sim",LEFT(D1340,17)="Cartão de crédito"),1,IFERROR(INDEX(Config!$C$12:$C$15,MATCH(IF(AND(D1340="Cartão de crédito",N(E1340)&gt;1),"Cartão de crédito parcelado",D1340),Config!$A$12:$A$15,0)),0)))</f>
        <v/>
      </c>
      <c r="M1340" s="37">
        <f>IF(L1340="","",IF(AND(Config!$B$17="Sim",LEFT(D1340,17)="Cartão de crédito"),L1340,L1340+30*(MAX(1,N(E1340))-1)))</f>
        <v/>
      </c>
      <c r="N1340" s="29">
        <f>IF(OR(L1340="",K1340=""),"",K1340*MIN(MAX(1,N(E1340)),MAX(0,INT((Config!$B$8-L1340)/30)+1)))</f>
        <v/>
      </c>
      <c r="O1340" s="29">
        <f>IF(J1340="","",J1340-N(N1340))</f>
        <v/>
      </c>
      <c r="P1340" s="27">
        <f>IF(A1340="","",MONTH(A1340))</f>
        <v/>
      </c>
      <c r="Q1340" s="27">
        <f>IF(A1340="","",YEAR(A1340))</f>
        <v/>
      </c>
      <c r="R1340" s="27">
        <f>IF(L1340="","",IF(L1340&gt;Config!$B$8,"A cair",IF(N(G1340)&gt;=MIN(MAX(1,N(E1340)),MAX(0,INT((Config!$B$8-L1340)/30)+1)),IF(N(G1340)&gt;=MAX(1,N(E1340)),"Conferido","Conferido até aqui"),"A conferir")))</f>
        <v/>
      </c>
      <c r="S1340" s="51">
        <f>IF(R1340="A conferir",(Config!$B$8-L1340)*1000+N(F1340)/1000+ROW()/100000,0)</f>
        <v>0</v>
      </c>
      <c r="T1340" s="51">
        <f>IF(R1340="A conferir",N(N1340),0)</f>
        <v>0</v>
      </c>
      <c r="U1340" s="51">
        <f>IF(L1340="",0,L1340)</f>
        <v>0</v>
      </c>
      <c r="V1340" s="51">
        <f>IF(L1340="",0,MAX(1,N(E1340)))</f>
        <v>0</v>
      </c>
      <c r="W1340" s="51">
        <f>IF(K1340="",0,K1340)</f>
        <v>0</v>
      </c>
    </row>
    <row r="1341">
      <c r="A1341" s="49" t="n"/>
      <c r="B1341" s="41" t="n"/>
      <c r="C1341" s="41" t="n"/>
      <c r="D1341" s="42" t="n"/>
      <c r="E1341" s="42" t="n"/>
      <c r="F1341" s="50" t="n"/>
      <c r="G1341" s="42" t="n"/>
      <c r="H1341" s="30">
        <f>IF(D1341="","",IFERROR(INDEX(Config!$B$12:$B$15,MATCH(IF(AND(D1341="Cartão de crédito",N(E1341)&gt;1),"Cartão de crédito parcelado",D1341),Config!$A$12:$A$15,0)),0)+IF(AND(Config!$B$17="Sim",LEFT(D1341,17)="Cartão de crédito"),Config!$B$18*IFERROR(INDEX(Config!$C$12:$C$15,MATCH(IF(AND(D1341="Cartão de crédito",N(E1341)&gt;1),"Cartão de crédito parcelado",D1341),Config!$A$12:$A$15,0)),0)/30*MAX(1,N(E1341)),0))</f>
        <v/>
      </c>
      <c r="I1341" s="29">
        <f>IF(OR(D1341="",F1341=""),"",ROUND(F1341*H1341,2))</f>
        <v/>
      </c>
      <c r="J1341" s="29">
        <f>IF(I1341="","",F1341-I1341)</f>
        <v/>
      </c>
      <c r="K1341" s="29">
        <f>IF(J1341="","",J1341/MAX(1,N(E1341)))</f>
        <v/>
      </c>
      <c r="L1341" s="37">
        <f>IF(OR(D1341="",A1341=""),"",A1341+IF(AND(Config!$B$17="Sim",LEFT(D1341,17)="Cartão de crédito"),1,IFERROR(INDEX(Config!$C$12:$C$15,MATCH(IF(AND(D1341="Cartão de crédito",N(E1341)&gt;1),"Cartão de crédito parcelado",D1341),Config!$A$12:$A$15,0)),0)))</f>
        <v/>
      </c>
      <c r="M1341" s="37">
        <f>IF(L1341="","",IF(AND(Config!$B$17="Sim",LEFT(D1341,17)="Cartão de crédito"),L1341,L1341+30*(MAX(1,N(E1341))-1)))</f>
        <v/>
      </c>
      <c r="N1341" s="29">
        <f>IF(OR(L1341="",K1341=""),"",K1341*MIN(MAX(1,N(E1341)),MAX(0,INT((Config!$B$8-L1341)/30)+1)))</f>
        <v/>
      </c>
      <c r="O1341" s="29">
        <f>IF(J1341="","",J1341-N(N1341))</f>
        <v/>
      </c>
      <c r="P1341" s="27">
        <f>IF(A1341="","",MONTH(A1341))</f>
        <v/>
      </c>
      <c r="Q1341" s="27">
        <f>IF(A1341="","",YEAR(A1341))</f>
        <v/>
      </c>
      <c r="R1341" s="27">
        <f>IF(L1341="","",IF(L1341&gt;Config!$B$8,"A cair",IF(N(G1341)&gt;=MIN(MAX(1,N(E1341)),MAX(0,INT((Config!$B$8-L1341)/30)+1)),IF(N(G1341)&gt;=MAX(1,N(E1341)),"Conferido","Conferido até aqui"),"A conferir")))</f>
        <v/>
      </c>
      <c r="S1341" s="51">
        <f>IF(R1341="A conferir",(Config!$B$8-L1341)*1000+N(F1341)/1000+ROW()/100000,0)</f>
        <v>0</v>
      </c>
      <c r="T1341" s="51">
        <f>IF(R1341="A conferir",N(N1341),0)</f>
        <v>0</v>
      </c>
      <c r="U1341" s="51">
        <f>IF(L1341="",0,L1341)</f>
        <v>0</v>
      </c>
      <c r="V1341" s="51">
        <f>IF(L1341="",0,MAX(1,N(E1341)))</f>
        <v>0</v>
      </c>
      <c r="W1341" s="51">
        <f>IF(K1341="",0,K1341)</f>
        <v>0</v>
      </c>
    </row>
    <row r="1342">
      <c r="A1342" s="49" t="n"/>
      <c r="B1342" s="41" t="n"/>
      <c r="C1342" s="41" t="n"/>
      <c r="D1342" s="42" t="n"/>
      <c r="E1342" s="42" t="n"/>
      <c r="F1342" s="50" t="n"/>
      <c r="G1342" s="42" t="n"/>
      <c r="H1342" s="30">
        <f>IF(D1342="","",IFERROR(INDEX(Config!$B$12:$B$15,MATCH(IF(AND(D1342="Cartão de crédito",N(E1342)&gt;1),"Cartão de crédito parcelado",D1342),Config!$A$12:$A$15,0)),0)+IF(AND(Config!$B$17="Sim",LEFT(D1342,17)="Cartão de crédito"),Config!$B$18*IFERROR(INDEX(Config!$C$12:$C$15,MATCH(IF(AND(D1342="Cartão de crédito",N(E1342)&gt;1),"Cartão de crédito parcelado",D1342),Config!$A$12:$A$15,0)),0)/30*MAX(1,N(E1342)),0))</f>
        <v/>
      </c>
      <c r="I1342" s="29">
        <f>IF(OR(D1342="",F1342=""),"",ROUND(F1342*H1342,2))</f>
        <v/>
      </c>
      <c r="J1342" s="29">
        <f>IF(I1342="","",F1342-I1342)</f>
        <v/>
      </c>
      <c r="K1342" s="29">
        <f>IF(J1342="","",J1342/MAX(1,N(E1342)))</f>
        <v/>
      </c>
      <c r="L1342" s="37">
        <f>IF(OR(D1342="",A1342=""),"",A1342+IF(AND(Config!$B$17="Sim",LEFT(D1342,17)="Cartão de crédito"),1,IFERROR(INDEX(Config!$C$12:$C$15,MATCH(IF(AND(D1342="Cartão de crédito",N(E1342)&gt;1),"Cartão de crédito parcelado",D1342),Config!$A$12:$A$15,0)),0)))</f>
        <v/>
      </c>
      <c r="M1342" s="37">
        <f>IF(L1342="","",IF(AND(Config!$B$17="Sim",LEFT(D1342,17)="Cartão de crédito"),L1342,L1342+30*(MAX(1,N(E1342))-1)))</f>
        <v/>
      </c>
      <c r="N1342" s="29">
        <f>IF(OR(L1342="",K1342=""),"",K1342*MIN(MAX(1,N(E1342)),MAX(0,INT((Config!$B$8-L1342)/30)+1)))</f>
        <v/>
      </c>
      <c r="O1342" s="29">
        <f>IF(J1342="","",J1342-N(N1342))</f>
        <v/>
      </c>
      <c r="P1342" s="27">
        <f>IF(A1342="","",MONTH(A1342))</f>
        <v/>
      </c>
      <c r="Q1342" s="27">
        <f>IF(A1342="","",YEAR(A1342))</f>
        <v/>
      </c>
      <c r="R1342" s="27">
        <f>IF(L1342="","",IF(L1342&gt;Config!$B$8,"A cair",IF(N(G1342)&gt;=MIN(MAX(1,N(E1342)),MAX(0,INT((Config!$B$8-L1342)/30)+1)),IF(N(G1342)&gt;=MAX(1,N(E1342)),"Conferido","Conferido até aqui"),"A conferir")))</f>
        <v/>
      </c>
      <c r="S1342" s="51">
        <f>IF(R1342="A conferir",(Config!$B$8-L1342)*1000+N(F1342)/1000+ROW()/100000,0)</f>
        <v>0</v>
      </c>
      <c r="T1342" s="51">
        <f>IF(R1342="A conferir",N(N1342),0)</f>
        <v>0</v>
      </c>
      <c r="U1342" s="51">
        <f>IF(L1342="",0,L1342)</f>
        <v>0</v>
      </c>
      <c r="V1342" s="51">
        <f>IF(L1342="",0,MAX(1,N(E1342)))</f>
        <v>0</v>
      </c>
      <c r="W1342" s="51">
        <f>IF(K1342="",0,K1342)</f>
        <v>0</v>
      </c>
    </row>
    <row r="1343">
      <c r="A1343" s="49" t="n"/>
      <c r="B1343" s="41" t="n"/>
      <c r="C1343" s="41" t="n"/>
      <c r="D1343" s="42" t="n"/>
      <c r="E1343" s="42" t="n"/>
      <c r="F1343" s="50" t="n"/>
      <c r="G1343" s="42" t="n"/>
      <c r="H1343" s="30">
        <f>IF(D1343="","",IFERROR(INDEX(Config!$B$12:$B$15,MATCH(IF(AND(D1343="Cartão de crédito",N(E1343)&gt;1),"Cartão de crédito parcelado",D1343),Config!$A$12:$A$15,0)),0)+IF(AND(Config!$B$17="Sim",LEFT(D1343,17)="Cartão de crédito"),Config!$B$18*IFERROR(INDEX(Config!$C$12:$C$15,MATCH(IF(AND(D1343="Cartão de crédito",N(E1343)&gt;1),"Cartão de crédito parcelado",D1343),Config!$A$12:$A$15,0)),0)/30*MAX(1,N(E1343)),0))</f>
        <v/>
      </c>
      <c r="I1343" s="29">
        <f>IF(OR(D1343="",F1343=""),"",ROUND(F1343*H1343,2))</f>
        <v/>
      </c>
      <c r="J1343" s="29">
        <f>IF(I1343="","",F1343-I1343)</f>
        <v/>
      </c>
      <c r="K1343" s="29">
        <f>IF(J1343="","",J1343/MAX(1,N(E1343)))</f>
        <v/>
      </c>
      <c r="L1343" s="37">
        <f>IF(OR(D1343="",A1343=""),"",A1343+IF(AND(Config!$B$17="Sim",LEFT(D1343,17)="Cartão de crédito"),1,IFERROR(INDEX(Config!$C$12:$C$15,MATCH(IF(AND(D1343="Cartão de crédito",N(E1343)&gt;1),"Cartão de crédito parcelado",D1343),Config!$A$12:$A$15,0)),0)))</f>
        <v/>
      </c>
      <c r="M1343" s="37">
        <f>IF(L1343="","",IF(AND(Config!$B$17="Sim",LEFT(D1343,17)="Cartão de crédito"),L1343,L1343+30*(MAX(1,N(E1343))-1)))</f>
        <v/>
      </c>
      <c r="N1343" s="29">
        <f>IF(OR(L1343="",K1343=""),"",K1343*MIN(MAX(1,N(E1343)),MAX(0,INT((Config!$B$8-L1343)/30)+1)))</f>
        <v/>
      </c>
      <c r="O1343" s="29">
        <f>IF(J1343="","",J1343-N(N1343))</f>
        <v/>
      </c>
      <c r="P1343" s="27">
        <f>IF(A1343="","",MONTH(A1343))</f>
        <v/>
      </c>
      <c r="Q1343" s="27">
        <f>IF(A1343="","",YEAR(A1343))</f>
        <v/>
      </c>
      <c r="R1343" s="27">
        <f>IF(L1343="","",IF(L1343&gt;Config!$B$8,"A cair",IF(N(G1343)&gt;=MIN(MAX(1,N(E1343)),MAX(0,INT((Config!$B$8-L1343)/30)+1)),IF(N(G1343)&gt;=MAX(1,N(E1343)),"Conferido","Conferido até aqui"),"A conferir")))</f>
        <v/>
      </c>
      <c r="S1343" s="51">
        <f>IF(R1343="A conferir",(Config!$B$8-L1343)*1000+N(F1343)/1000+ROW()/100000,0)</f>
        <v>0</v>
      </c>
      <c r="T1343" s="51">
        <f>IF(R1343="A conferir",N(N1343),0)</f>
        <v>0</v>
      </c>
      <c r="U1343" s="51">
        <f>IF(L1343="",0,L1343)</f>
        <v>0</v>
      </c>
      <c r="V1343" s="51">
        <f>IF(L1343="",0,MAX(1,N(E1343)))</f>
        <v>0</v>
      </c>
      <c r="W1343" s="51">
        <f>IF(K1343="",0,K1343)</f>
        <v>0</v>
      </c>
    </row>
    <row r="1344">
      <c r="A1344" s="49" t="n"/>
      <c r="B1344" s="41" t="n"/>
      <c r="C1344" s="41" t="n"/>
      <c r="D1344" s="42" t="n"/>
      <c r="E1344" s="42" t="n"/>
      <c r="F1344" s="50" t="n"/>
      <c r="G1344" s="42" t="n"/>
      <c r="H1344" s="30">
        <f>IF(D1344="","",IFERROR(INDEX(Config!$B$12:$B$15,MATCH(IF(AND(D1344="Cartão de crédito",N(E1344)&gt;1),"Cartão de crédito parcelado",D1344),Config!$A$12:$A$15,0)),0)+IF(AND(Config!$B$17="Sim",LEFT(D1344,17)="Cartão de crédito"),Config!$B$18*IFERROR(INDEX(Config!$C$12:$C$15,MATCH(IF(AND(D1344="Cartão de crédito",N(E1344)&gt;1),"Cartão de crédito parcelado",D1344),Config!$A$12:$A$15,0)),0)/30*MAX(1,N(E1344)),0))</f>
        <v/>
      </c>
      <c r="I1344" s="29">
        <f>IF(OR(D1344="",F1344=""),"",ROUND(F1344*H1344,2))</f>
        <v/>
      </c>
      <c r="J1344" s="29">
        <f>IF(I1344="","",F1344-I1344)</f>
        <v/>
      </c>
      <c r="K1344" s="29">
        <f>IF(J1344="","",J1344/MAX(1,N(E1344)))</f>
        <v/>
      </c>
      <c r="L1344" s="37">
        <f>IF(OR(D1344="",A1344=""),"",A1344+IF(AND(Config!$B$17="Sim",LEFT(D1344,17)="Cartão de crédito"),1,IFERROR(INDEX(Config!$C$12:$C$15,MATCH(IF(AND(D1344="Cartão de crédito",N(E1344)&gt;1),"Cartão de crédito parcelado",D1344),Config!$A$12:$A$15,0)),0)))</f>
        <v/>
      </c>
      <c r="M1344" s="37">
        <f>IF(L1344="","",IF(AND(Config!$B$17="Sim",LEFT(D1344,17)="Cartão de crédito"),L1344,L1344+30*(MAX(1,N(E1344))-1)))</f>
        <v/>
      </c>
      <c r="N1344" s="29">
        <f>IF(OR(L1344="",K1344=""),"",K1344*MIN(MAX(1,N(E1344)),MAX(0,INT((Config!$B$8-L1344)/30)+1)))</f>
        <v/>
      </c>
      <c r="O1344" s="29">
        <f>IF(J1344="","",J1344-N(N1344))</f>
        <v/>
      </c>
      <c r="P1344" s="27">
        <f>IF(A1344="","",MONTH(A1344))</f>
        <v/>
      </c>
      <c r="Q1344" s="27">
        <f>IF(A1344="","",YEAR(A1344))</f>
        <v/>
      </c>
      <c r="R1344" s="27">
        <f>IF(L1344="","",IF(L1344&gt;Config!$B$8,"A cair",IF(N(G1344)&gt;=MIN(MAX(1,N(E1344)),MAX(0,INT((Config!$B$8-L1344)/30)+1)),IF(N(G1344)&gt;=MAX(1,N(E1344)),"Conferido","Conferido até aqui"),"A conferir")))</f>
        <v/>
      </c>
      <c r="S1344" s="51">
        <f>IF(R1344="A conferir",(Config!$B$8-L1344)*1000+N(F1344)/1000+ROW()/100000,0)</f>
        <v>0</v>
      </c>
      <c r="T1344" s="51">
        <f>IF(R1344="A conferir",N(N1344),0)</f>
        <v>0</v>
      </c>
      <c r="U1344" s="51">
        <f>IF(L1344="",0,L1344)</f>
        <v>0</v>
      </c>
      <c r="V1344" s="51">
        <f>IF(L1344="",0,MAX(1,N(E1344)))</f>
        <v>0</v>
      </c>
      <c r="W1344" s="51">
        <f>IF(K1344="",0,K1344)</f>
        <v>0</v>
      </c>
    </row>
    <row r="1345">
      <c r="A1345" s="49" t="n"/>
      <c r="B1345" s="41" t="n"/>
      <c r="C1345" s="41" t="n"/>
      <c r="D1345" s="42" t="n"/>
      <c r="E1345" s="42" t="n"/>
      <c r="F1345" s="50" t="n"/>
      <c r="G1345" s="42" t="n"/>
      <c r="H1345" s="30">
        <f>IF(D1345="","",IFERROR(INDEX(Config!$B$12:$B$15,MATCH(IF(AND(D1345="Cartão de crédito",N(E1345)&gt;1),"Cartão de crédito parcelado",D1345),Config!$A$12:$A$15,0)),0)+IF(AND(Config!$B$17="Sim",LEFT(D1345,17)="Cartão de crédito"),Config!$B$18*IFERROR(INDEX(Config!$C$12:$C$15,MATCH(IF(AND(D1345="Cartão de crédito",N(E1345)&gt;1),"Cartão de crédito parcelado",D1345),Config!$A$12:$A$15,0)),0)/30*MAX(1,N(E1345)),0))</f>
        <v/>
      </c>
      <c r="I1345" s="29">
        <f>IF(OR(D1345="",F1345=""),"",ROUND(F1345*H1345,2))</f>
        <v/>
      </c>
      <c r="J1345" s="29">
        <f>IF(I1345="","",F1345-I1345)</f>
        <v/>
      </c>
      <c r="K1345" s="29">
        <f>IF(J1345="","",J1345/MAX(1,N(E1345)))</f>
        <v/>
      </c>
      <c r="L1345" s="37">
        <f>IF(OR(D1345="",A1345=""),"",A1345+IF(AND(Config!$B$17="Sim",LEFT(D1345,17)="Cartão de crédito"),1,IFERROR(INDEX(Config!$C$12:$C$15,MATCH(IF(AND(D1345="Cartão de crédito",N(E1345)&gt;1),"Cartão de crédito parcelado",D1345),Config!$A$12:$A$15,0)),0)))</f>
        <v/>
      </c>
      <c r="M1345" s="37">
        <f>IF(L1345="","",IF(AND(Config!$B$17="Sim",LEFT(D1345,17)="Cartão de crédito"),L1345,L1345+30*(MAX(1,N(E1345))-1)))</f>
        <v/>
      </c>
      <c r="N1345" s="29">
        <f>IF(OR(L1345="",K1345=""),"",K1345*MIN(MAX(1,N(E1345)),MAX(0,INT((Config!$B$8-L1345)/30)+1)))</f>
        <v/>
      </c>
      <c r="O1345" s="29">
        <f>IF(J1345="","",J1345-N(N1345))</f>
        <v/>
      </c>
      <c r="P1345" s="27">
        <f>IF(A1345="","",MONTH(A1345))</f>
        <v/>
      </c>
      <c r="Q1345" s="27">
        <f>IF(A1345="","",YEAR(A1345))</f>
        <v/>
      </c>
      <c r="R1345" s="27">
        <f>IF(L1345="","",IF(L1345&gt;Config!$B$8,"A cair",IF(N(G1345)&gt;=MIN(MAX(1,N(E1345)),MAX(0,INT((Config!$B$8-L1345)/30)+1)),IF(N(G1345)&gt;=MAX(1,N(E1345)),"Conferido","Conferido até aqui"),"A conferir")))</f>
        <v/>
      </c>
      <c r="S1345" s="51">
        <f>IF(R1345="A conferir",(Config!$B$8-L1345)*1000+N(F1345)/1000+ROW()/100000,0)</f>
        <v>0</v>
      </c>
      <c r="T1345" s="51">
        <f>IF(R1345="A conferir",N(N1345),0)</f>
        <v>0</v>
      </c>
      <c r="U1345" s="51">
        <f>IF(L1345="",0,L1345)</f>
        <v>0</v>
      </c>
      <c r="V1345" s="51">
        <f>IF(L1345="",0,MAX(1,N(E1345)))</f>
        <v>0</v>
      </c>
      <c r="W1345" s="51">
        <f>IF(K1345="",0,K1345)</f>
        <v>0</v>
      </c>
    </row>
    <row r="1346">
      <c r="A1346" s="49" t="n"/>
      <c r="B1346" s="41" t="n"/>
      <c r="C1346" s="41" t="n"/>
      <c r="D1346" s="42" t="n"/>
      <c r="E1346" s="42" t="n"/>
      <c r="F1346" s="50" t="n"/>
      <c r="G1346" s="42" t="n"/>
      <c r="H1346" s="30">
        <f>IF(D1346="","",IFERROR(INDEX(Config!$B$12:$B$15,MATCH(IF(AND(D1346="Cartão de crédito",N(E1346)&gt;1),"Cartão de crédito parcelado",D1346),Config!$A$12:$A$15,0)),0)+IF(AND(Config!$B$17="Sim",LEFT(D1346,17)="Cartão de crédito"),Config!$B$18*IFERROR(INDEX(Config!$C$12:$C$15,MATCH(IF(AND(D1346="Cartão de crédito",N(E1346)&gt;1),"Cartão de crédito parcelado",D1346),Config!$A$12:$A$15,0)),0)/30*MAX(1,N(E1346)),0))</f>
        <v/>
      </c>
      <c r="I1346" s="29">
        <f>IF(OR(D1346="",F1346=""),"",ROUND(F1346*H1346,2))</f>
        <v/>
      </c>
      <c r="J1346" s="29">
        <f>IF(I1346="","",F1346-I1346)</f>
        <v/>
      </c>
      <c r="K1346" s="29">
        <f>IF(J1346="","",J1346/MAX(1,N(E1346)))</f>
        <v/>
      </c>
      <c r="L1346" s="37">
        <f>IF(OR(D1346="",A1346=""),"",A1346+IF(AND(Config!$B$17="Sim",LEFT(D1346,17)="Cartão de crédito"),1,IFERROR(INDEX(Config!$C$12:$C$15,MATCH(IF(AND(D1346="Cartão de crédito",N(E1346)&gt;1),"Cartão de crédito parcelado",D1346),Config!$A$12:$A$15,0)),0)))</f>
        <v/>
      </c>
      <c r="M1346" s="37">
        <f>IF(L1346="","",IF(AND(Config!$B$17="Sim",LEFT(D1346,17)="Cartão de crédito"),L1346,L1346+30*(MAX(1,N(E1346))-1)))</f>
        <v/>
      </c>
      <c r="N1346" s="29">
        <f>IF(OR(L1346="",K1346=""),"",K1346*MIN(MAX(1,N(E1346)),MAX(0,INT((Config!$B$8-L1346)/30)+1)))</f>
        <v/>
      </c>
      <c r="O1346" s="29">
        <f>IF(J1346="","",J1346-N(N1346))</f>
        <v/>
      </c>
      <c r="P1346" s="27">
        <f>IF(A1346="","",MONTH(A1346))</f>
        <v/>
      </c>
      <c r="Q1346" s="27">
        <f>IF(A1346="","",YEAR(A1346))</f>
        <v/>
      </c>
      <c r="R1346" s="27">
        <f>IF(L1346="","",IF(L1346&gt;Config!$B$8,"A cair",IF(N(G1346)&gt;=MIN(MAX(1,N(E1346)),MAX(0,INT((Config!$B$8-L1346)/30)+1)),IF(N(G1346)&gt;=MAX(1,N(E1346)),"Conferido","Conferido até aqui"),"A conferir")))</f>
        <v/>
      </c>
      <c r="S1346" s="51">
        <f>IF(R1346="A conferir",(Config!$B$8-L1346)*1000+N(F1346)/1000+ROW()/100000,0)</f>
        <v>0</v>
      </c>
      <c r="T1346" s="51">
        <f>IF(R1346="A conferir",N(N1346),0)</f>
        <v>0</v>
      </c>
      <c r="U1346" s="51">
        <f>IF(L1346="",0,L1346)</f>
        <v>0</v>
      </c>
      <c r="V1346" s="51">
        <f>IF(L1346="",0,MAX(1,N(E1346)))</f>
        <v>0</v>
      </c>
      <c r="W1346" s="51">
        <f>IF(K1346="",0,K1346)</f>
        <v>0</v>
      </c>
    </row>
    <row r="1347">
      <c r="A1347" s="49" t="n"/>
      <c r="B1347" s="41" t="n"/>
      <c r="C1347" s="41" t="n"/>
      <c r="D1347" s="42" t="n"/>
      <c r="E1347" s="42" t="n"/>
      <c r="F1347" s="50" t="n"/>
      <c r="G1347" s="42" t="n"/>
      <c r="H1347" s="30">
        <f>IF(D1347="","",IFERROR(INDEX(Config!$B$12:$B$15,MATCH(IF(AND(D1347="Cartão de crédito",N(E1347)&gt;1),"Cartão de crédito parcelado",D1347),Config!$A$12:$A$15,0)),0)+IF(AND(Config!$B$17="Sim",LEFT(D1347,17)="Cartão de crédito"),Config!$B$18*IFERROR(INDEX(Config!$C$12:$C$15,MATCH(IF(AND(D1347="Cartão de crédito",N(E1347)&gt;1),"Cartão de crédito parcelado",D1347),Config!$A$12:$A$15,0)),0)/30*MAX(1,N(E1347)),0))</f>
        <v/>
      </c>
      <c r="I1347" s="29">
        <f>IF(OR(D1347="",F1347=""),"",ROUND(F1347*H1347,2))</f>
        <v/>
      </c>
      <c r="J1347" s="29">
        <f>IF(I1347="","",F1347-I1347)</f>
        <v/>
      </c>
      <c r="K1347" s="29">
        <f>IF(J1347="","",J1347/MAX(1,N(E1347)))</f>
        <v/>
      </c>
      <c r="L1347" s="37">
        <f>IF(OR(D1347="",A1347=""),"",A1347+IF(AND(Config!$B$17="Sim",LEFT(D1347,17)="Cartão de crédito"),1,IFERROR(INDEX(Config!$C$12:$C$15,MATCH(IF(AND(D1347="Cartão de crédito",N(E1347)&gt;1),"Cartão de crédito parcelado",D1347),Config!$A$12:$A$15,0)),0)))</f>
        <v/>
      </c>
      <c r="M1347" s="37">
        <f>IF(L1347="","",IF(AND(Config!$B$17="Sim",LEFT(D1347,17)="Cartão de crédito"),L1347,L1347+30*(MAX(1,N(E1347))-1)))</f>
        <v/>
      </c>
      <c r="N1347" s="29">
        <f>IF(OR(L1347="",K1347=""),"",K1347*MIN(MAX(1,N(E1347)),MAX(0,INT((Config!$B$8-L1347)/30)+1)))</f>
        <v/>
      </c>
      <c r="O1347" s="29">
        <f>IF(J1347="","",J1347-N(N1347))</f>
        <v/>
      </c>
      <c r="P1347" s="27">
        <f>IF(A1347="","",MONTH(A1347))</f>
        <v/>
      </c>
      <c r="Q1347" s="27">
        <f>IF(A1347="","",YEAR(A1347))</f>
        <v/>
      </c>
      <c r="R1347" s="27">
        <f>IF(L1347="","",IF(L1347&gt;Config!$B$8,"A cair",IF(N(G1347)&gt;=MIN(MAX(1,N(E1347)),MAX(0,INT((Config!$B$8-L1347)/30)+1)),IF(N(G1347)&gt;=MAX(1,N(E1347)),"Conferido","Conferido até aqui"),"A conferir")))</f>
        <v/>
      </c>
      <c r="S1347" s="51">
        <f>IF(R1347="A conferir",(Config!$B$8-L1347)*1000+N(F1347)/1000+ROW()/100000,0)</f>
        <v>0</v>
      </c>
      <c r="T1347" s="51">
        <f>IF(R1347="A conferir",N(N1347),0)</f>
        <v>0</v>
      </c>
      <c r="U1347" s="51">
        <f>IF(L1347="",0,L1347)</f>
        <v>0</v>
      </c>
      <c r="V1347" s="51">
        <f>IF(L1347="",0,MAX(1,N(E1347)))</f>
        <v>0</v>
      </c>
      <c r="W1347" s="51">
        <f>IF(K1347="",0,K1347)</f>
        <v>0</v>
      </c>
    </row>
    <row r="1348">
      <c r="A1348" s="49" t="n"/>
      <c r="B1348" s="41" t="n"/>
      <c r="C1348" s="41" t="n"/>
      <c r="D1348" s="42" t="n"/>
      <c r="E1348" s="42" t="n"/>
      <c r="F1348" s="50" t="n"/>
      <c r="G1348" s="42" t="n"/>
      <c r="H1348" s="30">
        <f>IF(D1348="","",IFERROR(INDEX(Config!$B$12:$B$15,MATCH(IF(AND(D1348="Cartão de crédito",N(E1348)&gt;1),"Cartão de crédito parcelado",D1348),Config!$A$12:$A$15,0)),0)+IF(AND(Config!$B$17="Sim",LEFT(D1348,17)="Cartão de crédito"),Config!$B$18*IFERROR(INDEX(Config!$C$12:$C$15,MATCH(IF(AND(D1348="Cartão de crédito",N(E1348)&gt;1),"Cartão de crédito parcelado",D1348),Config!$A$12:$A$15,0)),0)/30*MAX(1,N(E1348)),0))</f>
        <v/>
      </c>
      <c r="I1348" s="29">
        <f>IF(OR(D1348="",F1348=""),"",ROUND(F1348*H1348,2))</f>
        <v/>
      </c>
      <c r="J1348" s="29">
        <f>IF(I1348="","",F1348-I1348)</f>
        <v/>
      </c>
      <c r="K1348" s="29">
        <f>IF(J1348="","",J1348/MAX(1,N(E1348)))</f>
        <v/>
      </c>
      <c r="L1348" s="37">
        <f>IF(OR(D1348="",A1348=""),"",A1348+IF(AND(Config!$B$17="Sim",LEFT(D1348,17)="Cartão de crédito"),1,IFERROR(INDEX(Config!$C$12:$C$15,MATCH(IF(AND(D1348="Cartão de crédito",N(E1348)&gt;1),"Cartão de crédito parcelado",D1348),Config!$A$12:$A$15,0)),0)))</f>
        <v/>
      </c>
      <c r="M1348" s="37">
        <f>IF(L1348="","",IF(AND(Config!$B$17="Sim",LEFT(D1348,17)="Cartão de crédito"),L1348,L1348+30*(MAX(1,N(E1348))-1)))</f>
        <v/>
      </c>
      <c r="N1348" s="29">
        <f>IF(OR(L1348="",K1348=""),"",K1348*MIN(MAX(1,N(E1348)),MAX(0,INT((Config!$B$8-L1348)/30)+1)))</f>
        <v/>
      </c>
      <c r="O1348" s="29">
        <f>IF(J1348="","",J1348-N(N1348))</f>
        <v/>
      </c>
      <c r="P1348" s="27">
        <f>IF(A1348="","",MONTH(A1348))</f>
        <v/>
      </c>
      <c r="Q1348" s="27">
        <f>IF(A1348="","",YEAR(A1348))</f>
        <v/>
      </c>
      <c r="R1348" s="27">
        <f>IF(L1348="","",IF(L1348&gt;Config!$B$8,"A cair",IF(N(G1348)&gt;=MIN(MAX(1,N(E1348)),MAX(0,INT((Config!$B$8-L1348)/30)+1)),IF(N(G1348)&gt;=MAX(1,N(E1348)),"Conferido","Conferido até aqui"),"A conferir")))</f>
        <v/>
      </c>
      <c r="S1348" s="51">
        <f>IF(R1348="A conferir",(Config!$B$8-L1348)*1000+N(F1348)/1000+ROW()/100000,0)</f>
        <v>0</v>
      </c>
      <c r="T1348" s="51">
        <f>IF(R1348="A conferir",N(N1348),0)</f>
        <v>0</v>
      </c>
      <c r="U1348" s="51">
        <f>IF(L1348="",0,L1348)</f>
        <v>0</v>
      </c>
      <c r="V1348" s="51">
        <f>IF(L1348="",0,MAX(1,N(E1348)))</f>
        <v>0</v>
      </c>
      <c r="W1348" s="51">
        <f>IF(K1348="",0,K1348)</f>
        <v>0</v>
      </c>
    </row>
    <row r="1349">
      <c r="A1349" s="49" t="n"/>
      <c r="B1349" s="41" t="n"/>
      <c r="C1349" s="41" t="n"/>
      <c r="D1349" s="42" t="n"/>
      <c r="E1349" s="42" t="n"/>
      <c r="F1349" s="50" t="n"/>
      <c r="G1349" s="42" t="n"/>
      <c r="H1349" s="30">
        <f>IF(D1349="","",IFERROR(INDEX(Config!$B$12:$B$15,MATCH(IF(AND(D1349="Cartão de crédito",N(E1349)&gt;1),"Cartão de crédito parcelado",D1349),Config!$A$12:$A$15,0)),0)+IF(AND(Config!$B$17="Sim",LEFT(D1349,17)="Cartão de crédito"),Config!$B$18*IFERROR(INDEX(Config!$C$12:$C$15,MATCH(IF(AND(D1349="Cartão de crédito",N(E1349)&gt;1),"Cartão de crédito parcelado",D1349),Config!$A$12:$A$15,0)),0)/30*MAX(1,N(E1349)),0))</f>
        <v/>
      </c>
      <c r="I1349" s="29">
        <f>IF(OR(D1349="",F1349=""),"",ROUND(F1349*H1349,2))</f>
        <v/>
      </c>
      <c r="J1349" s="29">
        <f>IF(I1349="","",F1349-I1349)</f>
        <v/>
      </c>
      <c r="K1349" s="29">
        <f>IF(J1349="","",J1349/MAX(1,N(E1349)))</f>
        <v/>
      </c>
      <c r="L1349" s="37">
        <f>IF(OR(D1349="",A1349=""),"",A1349+IF(AND(Config!$B$17="Sim",LEFT(D1349,17)="Cartão de crédito"),1,IFERROR(INDEX(Config!$C$12:$C$15,MATCH(IF(AND(D1349="Cartão de crédito",N(E1349)&gt;1),"Cartão de crédito parcelado",D1349),Config!$A$12:$A$15,0)),0)))</f>
        <v/>
      </c>
      <c r="M1349" s="37">
        <f>IF(L1349="","",IF(AND(Config!$B$17="Sim",LEFT(D1349,17)="Cartão de crédito"),L1349,L1349+30*(MAX(1,N(E1349))-1)))</f>
        <v/>
      </c>
      <c r="N1349" s="29">
        <f>IF(OR(L1349="",K1349=""),"",K1349*MIN(MAX(1,N(E1349)),MAX(0,INT((Config!$B$8-L1349)/30)+1)))</f>
        <v/>
      </c>
      <c r="O1349" s="29">
        <f>IF(J1349="","",J1349-N(N1349))</f>
        <v/>
      </c>
      <c r="P1349" s="27">
        <f>IF(A1349="","",MONTH(A1349))</f>
        <v/>
      </c>
      <c r="Q1349" s="27">
        <f>IF(A1349="","",YEAR(A1349))</f>
        <v/>
      </c>
      <c r="R1349" s="27">
        <f>IF(L1349="","",IF(L1349&gt;Config!$B$8,"A cair",IF(N(G1349)&gt;=MIN(MAX(1,N(E1349)),MAX(0,INT((Config!$B$8-L1349)/30)+1)),IF(N(G1349)&gt;=MAX(1,N(E1349)),"Conferido","Conferido até aqui"),"A conferir")))</f>
        <v/>
      </c>
      <c r="S1349" s="51">
        <f>IF(R1349="A conferir",(Config!$B$8-L1349)*1000+N(F1349)/1000+ROW()/100000,0)</f>
        <v>0</v>
      </c>
      <c r="T1349" s="51">
        <f>IF(R1349="A conferir",N(N1349),0)</f>
        <v>0</v>
      </c>
      <c r="U1349" s="51">
        <f>IF(L1349="",0,L1349)</f>
        <v>0</v>
      </c>
      <c r="V1349" s="51">
        <f>IF(L1349="",0,MAX(1,N(E1349)))</f>
        <v>0</v>
      </c>
      <c r="W1349" s="51">
        <f>IF(K1349="",0,K1349)</f>
        <v>0</v>
      </c>
    </row>
    <row r="1350">
      <c r="A1350" s="49" t="n"/>
      <c r="B1350" s="41" t="n"/>
      <c r="C1350" s="41" t="n"/>
      <c r="D1350" s="42" t="n"/>
      <c r="E1350" s="42" t="n"/>
      <c r="F1350" s="50" t="n"/>
      <c r="G1350" s="42" t="n"/>
      <c r="H1350" s="30">
        <f>IF(D1350="","",IFERROR(INDEX(Config!$B$12:$B$15,MATCH(IF(AND(D1350="Cartão de crédito",N(E1350)&gt;1),"Cartão de crédito parcelado",D1350),Config!$A$12:$A$15,0)),0)+IF(AND(Config!$B$17="Sim",LEFT(D1350,17)="Cartão de crédito"),Config!$B$18*IFERROR(INDEX(Config!$C$12:$C$15,MATCH(IF(AND(D1350="Cartão de crédito",N(E1350)&gt;1),"Cartão de crédito parcelado",D1350),Config!$A$12:$A$15,0)),0)/30*MAX(1,N(E1350)),0))</f>
        <v/>
      </c>
      <c r="I1350" s="29">
        <f>IF(OR(D1350="",F1350=""),"",ROUND(F1350*H1350,2))</f>
        <v/>
      </c>
      <c r="J1350" s="29">
        <f>IF(I1350="","",F1350-I1350)</f>
        <v/>
      </c>
      <c r="K1350" s="29">
        <f>IF(J1350="","",J1350/MAX(1,N(E1350)))</f>
        <v/>
      </c>
      <c r="L1350" s="37">
        <f>IF(OR(D1350="",A1350=""),"",A1350+IF(AND(Config!$B$17="Sim",LEFT(D1350,17)="Cartão de crédito"),1,IFERROR(INDEX(Config!$C$12:$C$15,MATCH(IF(AND(D1350="Cartão de crédito",N(E1350)&gt;1),"Cartão de crédito parcelado",D1350),Config!$A$12:$A$15,0)),0)))</f>
        <v/>
      </c>
      <c r="M1350" s="37">
        <f>IF(L1350="","",IF(AND(Config!$B$17="Sim",LEFT(D1350,17)="Cartão de crédito"),L1350,L1350+30*(MAX(1,N(E1350))-1)))</f>
        <v/>
      </c>
      <c r="N1350" s="29">
        <f>IF(OR(L1350="",K1350=""),"",K1350*MIN(MAX(1,N(E1350)),MAX(0,INT((Config!$B$8-L1350)/30)+1)))</f>
        <v/>
      </c>
      <c r="O1350" s="29">
        <f>IF(J1350="","",J1350-N(N1350))</f>
        <v/>
      </c>
      <c r="P1350" s="27">
        <f>IF(A1350="","",MONTH(A1350))</f>
        <v/>
      </c>
      <c r="Q1350" s="27">
        <f>IF(A1350="","",YEAR(A1350))</f>
        <v/>
      </c>
      <c r="R1350" s="27">
        <f>IF(L1350="","",IF(L1350&gt;Config!$B$8,"A cair",IF(N(G1350)&gt;=MIN(MAX(1,N(E1350)),MAX(0,INT((Config!$B$8-L1350)/30)+1)),IF(N(G1350)&gt;=MAX(1,N(E1350)),"Conferido","Conferido até aqui"),"A conferir")))</f>
        <v/>
      </c>
      <c r="S1350" s="51">
        <f>IF(R1350="A conferir",(Config!$B$8-L1350)*1000+N(F1350)/1000+ROW()/100000,0)</f>
        <v>0</v>
      </c>
      <c r="T1350" s="51">
        <f>IF(R1350="A conferir",N(N1350),0)</f>
        <v>0</v>
      </c>
      <c r="U1350" s="51">
        <f>IF(L1350="",0,L1350)</f>
        <v>0</v>
      </c>
      <c r="V1350" s="51">
        <f>IF(L1350="",0,MAX(1,N(E1350)))</f>
        <v>0</v>
      </c>
      <c r="W1350" s="51">
        <f>IF(K1350="",0,K1350)</f>
        <v>0</v>
      </c>
    </row>
    <row r="1351">
      <c r="A1351" s="49" t="n"/>
      <c r="B1351" s="41" t="n"/>
      <c r="C1351" s="41" t="n"/>
      <c r="D1351" s="42" t="n"/>
      <c r="E1351" s="42" t="n"/>
      <c r="F1351" s="50" t="n"/>
      <c r="G1351" s="42" t="n"/>
      <c r="H1351" s="30">
        <f>IF(D1351="","",IFERROR(INDEX(Config!$B$12:$B$15,MATCH(IF(AND(D1351="Cartão de crédito",N(E1351)&gt;1),"Cartão de crédito parcelado",D1351),Config!$A$12:$A$15,0)),0)+IF(AND(Config!$B$17="Sim",LEFT(D1351,17)="Cartão de crédito"),Config!$B$18*IFERROR(INDEX(Config!$C$12:$C$15,MATCH(IF(AND(D1351="Cartão de crédito",N(E1351)&gt;1),"Cartão de crédito parcelado",D1351),Config!$A$12:$A$15,0)),0)/30*MAX(1,N(E1351)),0))</f>
        <v/>
      </c>
      <c r="I1351" s="29">
        <f>IF(OR(D1351="",F1351=""),"",ROUND(F1351*H1351,2))</f>
        <v/>
      </c>
      <c r="J1351" s="29">
        <f>IF(I1351="","",F1351-I1351)</f>
        <v/>
      </c>
      <c r="K1351" s="29">
        <f>IF(J1351="","",J1351/MAX(1,N(E1351)))</f>
        <v/>
      </c>
      <c r="L1351" s="37">
        <f>IF(OR(D1351="",A1351=""),"",A1351+IF(AND(Config!$B$17="Sim",LEFT(D1351,17)="Cartão de crédito"),1,IFERROR(INDEX(Config!$C$12:$C$15,MATCH(IF(AND(D1351="Cartão de crédito",N(E1351)&gt;1),"Cartão de crédito parcelado",D1351),Config!$A$12:$A$15,0)),0)))</f>
        <v/>
      </c>
      <c r="M1351" s="37">
        <f>IF(L1351="","",IF(AND(Config!$B$17="Sim",LEFT(D1351,17)="Cartão de crédito"),L1351,L1351+30*(MAX(1,N(E1351))-1)))</f>
        <v/>
      </c>
      <c r="N1351" s="29">
        <f>IF(OR(L1351="",K1351=""),"",K1351*MIN(MAX(1,N(E1351)),MAX(0,INT((Config!$B$8-L1351)/30)+1)))</f>
        <v/>
      </c>
      <c r="O1351" s="29">
        <f>IF(J1351="","",J1351-N(N1351))</f>
        <v/>
      </c>
      <c r="P1351" s="27">
        <f>IF(A1351="","",MONTH(A1351))</f>
        <v/>
      </c>
      <c r="Q1351" s="27">
        <f>IF(A1351="","",YEAR(A1351))</f>
        <v/>
      </c>
      <c r="R1351" s="27">
        <f>IF(L1351="","",IF(L1351&gt;Config!$B$8,"A cair",IF(N(G1351)&gt;=MIN(MAX(1,N(E1351)),MAX(0,INT((Config!$B$8-L1351)/30)+1)),IF(N(G1351)&gt;=MAX(1,N(E1351)),"Conferido","Conferido até aqui"),"A conferir")))</f>
        <v/>
      </c>
      <c r="S1351" s="51">
        <f>IF(R1351="A conferir",(Config!$B$8-L1351)*1000+N(F1351)/1000+ROW()/100000,0)</f>
        <v>0</v>
      </c>
      <c r="T1351" s="51">
        <f>IF(R1351="A conferir",N(N1351),0)</f>
        <v>0</v>
      </c>
      <c r="U1351" s="51">
        <f>IF(L1351="",0,L1351)</f>
        <v>0</v>
      </c>
      <c r="V1351" s="51">
        <f>IF(L1351="",0,MAX(1,N(E1351)))</f>
        <v>0</v>
      </c>
      <c r="W1351" s="51">
        <f>IF(K1351="",0,K1351)</f>
        <v>0</v>
      </c>
    </row>
    <row r="1352">
      <c r="A1352" s="49" t="n"/>
      <c r="B1352" s="41" t="n"/>
      <c r="C1352" s="41" t="n"/>
      <c r="D1352" s="42" t="n"/>
      <c r="E1352" s="42" t="n"/>
      <c r="F1352" s="50" t="n"/>
      <c r="G1352" s="42" t="n"/>
      <c r="H1352" s="30">
        <f>IF(D1352="","",IFERROR(INDEX(Config!$B$12:$B$15,MATCH(IF(AND(D1352="Cartão de crédito",N(E1352)&gt;1),"Cartão de crédito parcelado",D1352),Config!$A$12:$A$15,0)),0)+IF(AND(Config!$B$17="Sim",LEFT(D1352,17)="Cartão de crédito"),Config!$B$18*IFERROR(INDEX(Config!$C$12:$C$15,MATCH(IF(AND(D1352="Cartão de crédito",N(E1352)&gt;1),"Cartão de crédito parcelado",D1352),Config!$A$12:$A$15,0)),0)/30*MAX(1,N(E1352)),0))</f>
        <v/>
      </c>
      <c r="I1352" s="29">
        <f>IF(OR(D1352="",F1352=""),"",ROUND(F1352*H1352,2))</f>
        <v/>
      </c>
      <c r="J1352" s="29">
        <f>IF(I1352="","",F1352-I1352)</f>
        <v/>
      </c>
      <c r="K1352" s="29">
        <f>IF(J1352="","",J1352/MAX(1,N(E1352)))</f>
        <v/>
      </c>
      <c r="L1352" s="37">
        <f>IF(OR(D1352="",A1352=""),"",A1352+IF(AND(Config!$B$17="Sim",LEFT(D1352,17)="Cartão de crédito"),1,IFERROR(INDEX(Config!$C$12:$C$15,MATCH(IF(AND(D1352="Cartão de crédito",N(E1352)&gt;1),"Cartão de crédito parcelado",D1352),Config!$A$12:$A$15,0)),0)))</f>
        <v/>
      </c>
      <c r="M1352" s="37">
        <f>IF(L1352="","",IF(AND(Config!$B$17="Sim",LEFT(D1352,17)="Cartão de crédito"),L1352,L1352+30*(MAX(1,N(E1352))-1)))</f>
        <v/>
      </c>
      <c r="N1352" s="29">
        <f>IF(OR(L1352="",K1352=""),"",K1352*MIN(MAX(1,N(E1352)),MAX(0,INT((Config!$B$8-L1352)/30)+1)))</f>
        <v/>
      </c>
      <c r="O1352" s="29">
        <f>IF(J1352="","",J1352-N(N1352))</f>
        <v/>
      </c>
      <c r="P1352" s="27">
        <f>IF(A1352="","",MONTH(A1352))</f>
        <v/>
      </c>
      <c r="Q1352" s="27">
        <f>IF(A1352="","",YEAR(A1352))</f>
        <v/>
      </c>
      <c r="R1352" s="27">
        <f>IF(L1352="","",IF(L1352&gt;Config!$B$8,"A cair",IF(N(G1352)&gt;=MIN(MAX(1,N(E1352)),MAX(0,INT((Config!$B$8-L1352)/30)+1)),IF(N(G1352)&gt;=MAX(1,N(E1352)),"Conferido","Conferido até aqui"),"A conferir")))</f>
        <v/>
      </c>
      <c r="S1352" s="51">
        <f>IF(R1352="A conferir",(Config!$B$8-L1352)*1000+N(F1352)/1000+ROW()/100000,0)</f>
        <v>0</v>
      </c>
      <c r="T1352" s="51">
        <f>IF(R1352="A conferir",N(N1352),0)</f>
        <v>0</v>
      </c>
      <c r="U1352" s="51">
        <f>IF(L1352="",0,L1352)</f>
        <v>0</v>
      </c>
      <c r="V1352" s="51">
        <f>IF(L1352="",0,MAX(1,N(E1352)))</f>
        <v>0</v>
      </c>
      <c r="W1352" s="51">
        <f>IF(K1352="",0,K1352)</f>
        <v>0</v>
      </c>
    </row>
    <row r="1353">
      <c r="A1353" s="49" t="n"/>
      <c r="B1353" s="41" t="n"/>
      <c r="C1353" s="41" t="n"/>
      <c r="D1353" s="42" t="n"/>
      <c r="E1353" s="42" t="n"/>
      <c r="F1353" s="50" t="n"/>
      <c r="G1353" s="42" t="n"/>
      <c r="H1353" s="30">
        <f>IF(D1353="","",IFERROR(INDEX(Config!$B$12:$B$15,MATCH(IF(AND(D1353="Cartão de crédito",N(E1353)&gt;1),"Cartão de crédito parcelado",D1353),Config!$A$12:$A$15,0)),0)+IF(AND(Config!$B$17="Sim",LEFT(D1353,17)="Cartão de crédito"),Config!$B$18*IFERROR(INDEX(Config!$C$12:$C$15,MATCH(IF(AND(D1353="Cartão de crédito",N(E1353)&gt;1),"Cartão de crédito parcelado",D1353),Config!$A$12:$A$15,0)),0)/30*MAX(1,N(E1353)),0))</f>
        <v/>
      </c>
      <c r="I1353" s="29">
        <f>IF(OR(D1353="",F1353=""),"",ROUND(F1353*H1353,2))</f>
        <v/>
      </c>
      <c r="J1353" s="29">
        <f>IF(I1353="","",F1353-I1353)</f>
        <v/>
      </c>
      <c r="K1353" s="29">
        <f>IF(J1353="","",J1353/MAX(1,N(E1353)))</f>
        <v/>
      </c>
      <c r="L1353" s="37">
        <f>IF(OR(D1353="",A1353=""),"",A1353+IF(AND(Config!$B$17="Sim",LEFT(D1353,17)="Cartão de crédito"),1,IFERROR(INDEX(Config!$C$12:$C$15,MATCH(IF(AND(D1353="Cartão de crédito",N(E1353)&gt;1),"Cartão de crédito parcelado",D1353),Config!$A$12:$A$15,0)),0)))</f>
        <v/>
      </c>
      <c r="M1353" s="37">
        <f>IF(L1353="","",IF(AND(Config!$B$17="Sim",LEFT(D1353,17)="Cartão de crédito"),L1353,L1353+30*(MAX(1,N(E1353))-1)))</f>
        <v/>
      </c>
      <c r="N1353" s="29">
        <f>IF(OR(L1353="",K1353=""),"",K1353*MIN(MAX(1,N(E1353)),MAX(0,INT((Config!$B$8-L1353)/30)+1)))</f>
        <v/>
      </c>
      <c r="O1353" s="29">
        <f>IF(J1353="","",J1353-N(N1353))</f>
        <v/>
      </c>
      <c r="P1353" s="27">
        <f>IF(A1353="","",MONTH(A1353))</f>
        <v/>
      </c>
      <c r="Q1353" s="27">
        <f>IF(A1353="","",YEAR(A1353))</f>
        <v/>
      </c>
      <c r="R1353" s="27">
        <f>IF(L1353="","",IF(L1353&gt;Config!$B$8,"A cair",IF(N(G1353)&gt;=MIN(MAX(1,N(E1353)),MAX(0,INT((Config!$B$8-L1353)/30)+1)),IF(N(G1353)&gt;=MAX(1,N(E1353)),"Conferido","Conferido até aqui"),"A conferir")))</f>
        <v/>
      </c>
      <c r="S1353" s="51">
        <f>IF(R1353="A conferir",(Config!$B$8-L1353)*1000+N(F1353)/1000+ROW()/100000,0)</f>
        <v>0</v>
      </c>
      <c r="T1353" s="51">
        <f>IF(R1353="A conferir",N(N1353),0)</f>
        <v>0</v>
      </c>
      <c r="U1353" s="51">
        <f>IF(L1353="",0,L1353)</f>
        <v>0</v>
      </c>
      <c r="V1353" s="51">
        <f>IF(L1353="",0,MAX(1,N(E1353)))</f>
        <v>0</v>
      </c>
      <c r="W1353" s="51">
        <f>IF(K1353="",0,K1353)</f>
        <v>0</v>
      </c>
    </row>
    <row r="1354">
      <c r="A1354" s="49" t="n"/>
      <c r="B1354" s="41" t="n"/>
      <c r="C1354" s="41" t="n"/>
      <c r="D1354" s="42" t="n"/>
      <c r="E1354" s="42" t="n"/>
      <c r="F1354" s="50" t="n"/>
      <c r="G1354" s="42" t="n"/>
      <c r="H1354" s="30">
        <f>IF(D1354="","",IFERROR(INDEX(Config!$B$12:$B$15,MATCH(IF(AND(D1354="Cartão de crédito",N(E1354)&gt;1),"Cartão de crédito parcelado",D1354),Config!$A$12:$A$15,0)),0)+IF(AND(Config!$B$17="Sim",LEFT(D1354,17)="Cartão de crédito"),Config!$B$18*IFERROR(INDEX(Config!$C$12:$C$15,MATCH(IF(AND(D1354="Cartão de crédito",N(E1354)&gt;1),"Cartão de crédito parcelado",D1354),Config!$A$12:$A$15,0)),0)/30*MAX(1,N(E1354)),0))</f>
        <v/>
      </c>
      <c r="I1354" s="29">
        <f>IF(OR(D1354="",F1354=""),"",ROUND(F1354*H1354,2))</f>
        <v/>
      </c>
      <c r="J1354" s="29">
        <f>IF(I1354="","",F1354-I1354)</f>
        <v/>
      </c>
      <c r="K1354" s="29">
        <f>IF(J1354="","",J1354/MAX(1,N(E1354)))</f>
        <v/>
      </c>
      <c r="L1354" s="37">
        <f>IF(OR(D1354="",A1354=""),"",A1354+IF(AND(Config!$B$17="Sim",LEFT(D1354,17)="Cartão de crédito"),1,IFERROR(INDEX(Config!$C$12:$C$15,MATCH(IF(AND(D1354="Cartão de crédito",N(E1354)&gt;1),"Cartão de crédito parcelado",D1354),Config!$A$12:$A$15,0)),0)))</f>
        <v/>
      </c>
      <c r="M1354" s="37">
        <f>IF(L1354="","",IF(AND(Config!$B$17="Sim",LEFT(D1354,17)="Cartão de crédito"),L1354,L1354+30*(MAX(1,N(E1354))-1)))</f>
        <v/>
      </c>
      <c r="N1354" s="29">
        <f>IF(OR(L1354="",K1354=""),"",K1354*MIN(MAX(1,N(E1354)),MAX(0,INT((Config!$B$8-L1354)/30)+1)))</f>
        <v/>
      </c>
      <c r="O1354" s="29">
        <f>IF(J1354="","",J1354-N(N1354))</f>
        <v/>
      </c>
      <c r="P1354" s="27">
        <f>IF(A1354="","",MONTH(A1354))</f>
        <v/>
      </c>
      <c r="Q1354" s="27">
        <f>IF(A1354="","",YEAR(A1354))</f>
        <v/>
      </c>
      <c r="R1354" s="27">
        <f>IF(L1354="","",IF(L1354&gt;Config!$B$8,"A cair",IF(N(G1354)&gt;=MIN(MAX(1,N(E1354)),MAX(0,INT((Config!$B$8-L1354)/30)+1)),IF(N(G1354)&gt;=MAX(1,N(E1354)),"Conferido","Conferido até aqui"),"A conferir")))</f>
        <v/>
      </c>
      <c r="S1354" s="51">
        <f>IF(R1354="A conferir",(Config!$B$8-L1354)*1000+N(F1354)/1000+ROW()/100000,0)</f>
        <v>0</v>
      </c>
      <c r="T1354" s="51">
        <f>IF(R1354="A conferir",N(N1354),0)</f>
        <v>0</v>
      </c>
      <c r="U1354" s="51">
        <f>IF(L1354="",0,L1354)</f>
        <v>0</v>
      </c>
      <c r="V1354" s="51">
        <f>IF(L1354="",0,MAX(1,N(E1354)))</f>
        <v>0</v>
      </c>
      <c r="W1354" s="51">
        <f>IF(K1354="",0,K1354)</f>
        <v>0</v>
      </c>
    </row>
    <row r="1355">
      <c r="A1355" s="49" t="n"/>
      <c r="B1355" s="41" t="n"/>
      <c r="C1355" s="41" t="n"/>
      <c r="D1355" s="42" t="n"/>
      <c r="E1355" s="42" t="n"/>
      <c r="F1355" s="50" t="n"/>
      <c r="G1355" s="42" t="n"/>
      <c r="H1355" s="30">
        <f>IF(D1355="","",IFERROR(INDEX(Config!$B$12:$B$15,MATCH(IF(AND(D1355="Cartão de crédito",N(E1355)&gt;1),"Cartão de crédito parcelado",D1355),Config!$A$12:$A$15,0)),0)+IF(AND(Config!$B$17="Sim",LEFT(D1355,17)="Cartão de crédito"),Config!$B$18*IFERROR(INDEX(Config!$C$12:$C$15,MATCH(IF(AND(D1355="Cartão de crédito",N(E1355)&gt;1),"Cartão de crédito parcelado",D1355),Config!$A$12:$A$15,0)),0)/30*MAX(1,N(E1355)),0))</f>
        <v/>
      </c>
      <c r="I1355" s="29">
        <f>IF(OR(D1355="",F1355=""),"",ROUND(F1355*H1355,2))</f>
        <v/>
      </c>
      <c r="J1355" s="29">
        <f>IF(I1355="","",F1355-I1355)</f>
        <v/>
      </c>
      <c r="K1355" s="29">
        <f>IF(J1355="","",J1355/MAX(1,N(E1355)))</f>
        <v/>
      </c>
      <c r="L1355" s="37">
        <f>IF(OR(D1355="",A1355=""),"",A1355+IF(AND(Config!$B$17="Sim",LEFT(D1355,17)="Cartão de crédito"),1,IFERROR(INDEX(Config!$C$12:$C$15,MATCH(IF(AND(D1355="Cartão de crédito",N(E1355)&gt;1),"Cartão de crédito parcelado",D1355),Config!$A$12:$A$15,0)),0)))</f>
        <v/>
      </c>
      <c r="M1355" s="37">
        <f>IF(L1355="","",IF(AND(Config!$B$17="Sim",LEFT(D1355,17)="Cartão de crédito"),L1355,L1355+30*(MAX(1,N(E1355))-1)))</f>
        <v/>
      </c>
      <c r="N1355" s="29">
        <f>IF(OR(L1355="",K1355=""),"",K1355*MIN(MAX(1,N(E1355)),MAX(0,INT((Config!$B$8-L1355)/30)+1)))</f>
        <v/>
      </c>
      <c r="O1355" s="29">
        <f>IF(J1355="","",J1355-N(N1355))</f>
        <v/>
      </c>
      <c r="P1355" s="27">
        <f>IF(A1355="","",MONTH(A1355))</f>
        <v/>
      </c>
      <c r="Q1355" s="27">
        <f>IF(A1355="","",YEAR(A1355))</f>
        <v/>
      </c>
      <c r="R1355" s="27">
        <f>IF(L1355="","",IF(L1355&gt;Config!$B$8,"A cair",IF(N(G1355)&gt;=MIN(MAX(1,N(E1355)),MAX(0,INT((Config!$B$8-L1355)/30)+1)),IF(N(G1355)&gt;=MAX(1,N(E1355)),"Conferido","Conferido até aqui"),"A conferir")))</f>
        <v/>
      </c>
      <c r="S1355" s="51">
        <f>IF(R1355="A conferir",(Config!$B$8-L1355)*1000+N(F1355)/1000+ROW()/100000,0)</f>
        <v>0</v>
      </c>
      <c r="T1355" s="51">
        <f>IF(R1355="A conferir",N(N1355),0)</f>
        <v>0</v>
      </c>
      <c r="U1355" s="51">
        <f>IF(L1355="",0,L1355)</f>
        <v>0</v>
      </c>
      <c r="V1355" s="51">
        <f>IF(L1355="",0,MAX(1,N(E1355)))</f>
        <v>0</v>
      </c>
      <c r="W1355" s="51">
        <f>IF(K1355="",0,K1355)</f>
        <v>0</v>
      </c>
    </row>
    <row r="1356">
      <c r="A1356" s="49" t="n"/>
      <c r="B1356" s="41" t="n"/>
      <c r="C1356" s="41" t="n"/>
      <c r="D1356" s="42" t="n"/>
      <c r="E1356" s="42" t="n"/>
      <c r="F1356" s="50" t="n"/>
      <c r="G1356" s="42" t="n"/>
      <c r="H1356" s="30">
        <f>IF(D1356="","",IFERROR(INDEX(Config!$B$12:$B$15,MATCH(IF(AND(D1356="Cartão de crédito",N(E1356)&gt;1),"Cartão de crédito parcelado",D1356),Config!$A$12:$A$15,0)),0)+IF(AND(Config!$B$17="Sim",LEFT(D1356,17)="Cartão de crédito"),Config!$B$18*IFERROR(INDEX(Config!$C$12:$C$15,MATCH(IF(AND(D1356="Cartão de crédito",N(E1356)&gt;1),"Cartão de crédito parcelado",D1356),Config!$A$12:$A$15,0)),0)/30*MAX(1,N(E1356)),0))</f>
        <v/>
      </c>
      <c r="I1356" s="29">
        <f>IF(OR(D1356="",F1356=""),"",ROUND(F1356*H1356,2))</f>
        <v/>
      </c>
      <c r="J1356" s="29">
        <f>IF(I1356="","",F1356-I1356)</f>
        <v/>
      </c>
      <c r="K1356" s="29">
        <f>IF(J1356="","",J1356/MAX(1,N(E1356)))</f>
        <v/>
      </c>
      <c r="L1356" s="37">
        <f>IF(OR(D1356="",A1356=""),"",A1356+IF(AND(Config!$B$17="Sim",LEFT(D1356,17)="Cartão de crédito"),1,IFERROR(INDEX(Config!$C$12:$C$15,MATCH(IF(AND(D1356="Cartão de crédito",N(E1356)&gt;1),"Cartão de crédito parcelado",D1356),Config!$A$12:$A$15,0)),0)))</f>
        <v/>
      </c>
      <c r="M1356" s="37">
        <f>IF(L1356="","",IF(AND(Config!$B$17="Sim",LEFT(D1356,17)="Cartão de crédito"),L1356,L1356+30*(MAX(1,N(E1356))-1)))</f>
        <v/>
      </c>
      <c r="N1356" s="29">
        <f>IF(OR(L1356="",K1356=""),"",K1356*MIN(MAX(1,N(E1356)),MAX(0,INT((Config!$B$8-L1356)/30)+1)))</f>
        <v/>
      </c>
      <c r="O1356" s="29">
        <f>IF(J1356="","",J1356-N(N1356))</f>
        <v/>
      </c>
      <c r="P1356" s="27">
        <f>IF(A1356="","",MONTH(A1356))</f>
        <v/>
      </c>
      <c r="Q1356" s="27">
        <f>IF(A1356="","",YEAR(A1356))</f>
        <v/>
      </c>
      <c r="R1356" s="27">
        <f>IF(L1356="","",IF(L1356&gt;Config!$B$8,"A cair",IF(N(G1356)&gt;=MIN(MAX(1,N(E1356)),MAX(0,INT((Config!$B$8-L1356)/30)+1)),IF(N(G1356)&gt;=MAX(1,N(E1356)),"Conferido","Conferido até aqui"),"A conferir")))</f>
        <v/>
      </c>
      <c r="S1356" s="51">
        <f>IF(R1356="A conferir",(Config!$B$8-L1356)*1000+N(F1356)/1000+ROW()/100000,0)</f>
        <v>0</v>
      </c>
      <c r="T1356" s="51">
        <f>IF(R1356="A conferir",N(N1356),0)</f>
        <v>0</v>
      </c>
      <c r="U1356" s="51">
        <f>IF(L1356="",0,L1356)</f>
        <v>0</v>
      </c>
      <c r="V1356" s="51">
        <f>IF(L1356="",0,MAX(1,N(E1356)))</f>
        <v>0</v>
      </c>
      <c r="W1356" s="51">
        <f>IF(K1356="",0,K1356)</f>
        <v>0</v>
      </c>
    </row>
    <row r="1357">
      <c r="A1357" s="49" t="n"/>
      <c r="B1357" s="41" t="n"/>
      <c r="C1357" s="41" t="n"/>
      <c r="D1357" s="42" t="n"/>
      <c r="E1357" s="42" t="n"/>
      <c r="F1357" s="50" t="n"/>
      <c r="G1357" s="42" t="n"/>
      <c r="H1357" s="30">
        <f>IF(D1357="","",IFERROR(INDEX(Config!$B$12:$B$15,MATCH(IF(AND(D1357="Cartão de crédito",N(E1357)&gt;1),"Cartão de crédito parcelado",D1357),Config!$A$12:$A$15,0)),0)+IF(AND(Config!$B$17="Sim",LEFT(D1357,17)="Cartão de crédito"),Config!$B$18*IFERROR(INDEX(Config!$C$12:$C$15,MATCH(IF(AND(D1357="Cartão de crédito",N(E1357)&gt;1),"Cartão de crédito parcelado",D1357),Config!$A$12:$A$15,0)),0)/30*MAX(1,N(E1357)),0))</f>
        <v/>
      </c>
      <c r="I1357" s="29">
        <f>IF(OR(D1357="",F1357=""),"",ROUND(F1357*H1357,2))</f>
        <v/>
      </c>
      <c r="J1357" s="29">
        <f>IF(I1357="","",F1357-I1357)</f>
        <v/>
      </c>
      <c r="K1357" s="29">
        <f>IF(J1357="","",J1357/MAX(1,N(E1357)))</f>
        <v/>
      </c>
      <c r="L1357" s="37">
        <f>IF(OR(D1357="",A1357=""),"",A1357+IF(AND(Config!$B$17="Sim",LEFT(D1357,17)="Cartão de crédito"),1,IFERROR(INDEX(Config!$C$12:$C$15,MATCH(IF(AND(D1357="Cartão de crédito",N(E1357)&gt;1),"Cartão de crédito parcelado",D1357),Config!$A$12:$A$15,0)),0)))</f>
        <v/>
      </c>
      <c r="M1357" s="37">
        <f>IF(L1357="","",IF(AND(Config!$B$17="Sim",LEFT(D1357,17)="Cartão de crédito"),L1357,L1357+30*(MAX(1,N(E1357))-1)))</f>
        <v/>
      </c>
      <c r="N1357" s="29">
        <f>IF(OR(L1357="",K1357=""),"",K1357*MIN(MAX(1,N(E1357)),MAX(0,INT((Config!$B$8-L1357)/30)+1)))</f>
        <v/>
      </c>
      <c r="O1357" s="29">
        <f>IF(J1357="","",J1357-N(N1357))</f>
        <v/>
      </c>
      <c r="P1357" s="27">
        <f>IF(A1357="","",MONTH(A1357))</f>
        <v/>
      </c>
      <c r="Q1357" s="27">
        <f>IF(A1357="","",YEAR(A1357))</f>
        <v/>
      </c>
      <c r="R1357" s="27">
        <f>IF(L1357="","",IF(L1357&gt;Config!$B$8,"A cair",IF(N(G1357)&gt;=MIN(MAX(1,N(E1357)),MAX(0,INT((Config!$B$8-L1357)/30)+1)),IF(N(G1357)&gt;=MAX(1,N(E1357)),"Conferido","Conferido até aqui"),"A conferir")))</f>
        <v/>
      </c>
      <c r="S1357" s="51">
        <f>IF(R1357="A conferir",(Config!$B$8-L1357)*1000+N(F1357)/1000+ROW()/100000,0)</f>
        <v>0</v>
      </c>
      <c r="T1357" s="51">
        <f>IF(R1357="A conferir",N(N1357),0)</f>
        <v>0</v>
      </c>
      <c r="U1357" s="51">
        <f>IF(L1357="",0,L1357)</f>
        <v>0</v>
      </c>
      <c r="V1357" s="51">
        <f>IF(L1357="",0,MAX(1,N(E1357)))</f>
        <v>0</v>
      </c>
      <c r="W1357" s="51">
        <f>IF(K1357="",0,K1357)</f>
        <v>0</v>
      </c>
    </row>
    <row r="1358">
      <c r="A1358" s="49" t="n"/>
      <c r="B1358" s="41" t="n"/>
      <c r="C1358" s="41" t="n"/>
      <c r="D1358" s="42" t="n"/>
      <c r="E1358" s="42" t="n"/>
      <c r="F1358" s="50" t="n"/>
      <c r="G1358" s="42" t="n"/>
      <c r="H1358" s="30">
        <f>IF(D1358="","",IFERROR(INDEX(Config!$B$12:$B$15,MATCH(IF(AND(D1358="Cartão de crédito",N(E1358)&gt;1),"Cartão de crédito parcelado",D1358),Config!$A$12:$A$15,0)),0)+IF(AND(Config!$B$17="Sim",LEFT(D1358,17)="Cartão de crédito"),Config!$B$18*IFERROR(INDEX(Config!$C$12:$C$15,MATCH(IF(AND(D1358="Cartão de crédito",N(E1358)&gt;1),"Cartão de crédito parcelado",D1358),Config!$A$12:$A$15,0)),0)/30*MAX(1,N(E1358)),0))</f>
        <v/>
      </c>
      <c r="I1358" s="29">
        <f>IF(OR(D1358="",F1358=""),"",ROUND(F1358*H1358,2))</f>
        <v/>
      </c>
      <c r="J1358" s="29">
        <f>IF(I1358="","",F1358-I1358)</f>
        <v/>
      </c>
      <c r="K1358" s="29">
        <f>IF(J1358="","",J1358/MAX(1,N(E1358)))</f>
        <v/>
      </c>
      <c r="L1358" s="37">
        <f>IF(OR(D1358="",A1358=""),"",A1358+IF(AND(Config!$B$17="Sim",LEFT(D1358,17)="Cartão de crédito"),1,IFERROR(INDEX(Config!$C$12:$C$15,MATCH(IF(AND(D1358="Cartão de crédito",N(E1358)&gt;1),"Cartão de crédito parcelado",D1358),Config!$A$12:$A$15,0)),0)))</f>
        <v/>
      </c>
      <c r="M1358" s="37">
        <f>IF(L1358="","",IF(AND(Config!$B$17="Sim",LEFT(D1358,17)="Cartão de crédito"),L1358,L1358+30*(MAX(1,N(E1358))-1)))</f>
        <v/>
      </c>
      <c r="N1358" s="29">
        <f>IF(OR(L1358="",K1358=""),"",K1358*MIN(MAX(1,N(E1358)),MAX(0,INT((Config!$B$8-L1358)/30)+1)))</f>
        <v/>
      </c>
      <c r="O1358" s="29">
        <f>IF(J1358="","",J1358-N(N1358))</f>
        <v/>
      </c>
      <c r="P1358" s="27">
        <f>IF(A1358="","",MONTH(A1358))</f>
        <v/>
      </c>
      <c r="Q1358" s="27">
        <f>IF(A1358="","",YEAR(A1358))</f>
        <v/>
      </c>
      <c r="R1358" s="27">
        <f>IF(L1358="","",IF(L1358&gt;Config!$B$8,"A cair",IF(N(G1358)&gt;=MIN(MAX(1,N(E1358)),MAX(0,INT((Config!$B$8-L1358)/30)+1)),IF(N(G1358)&gt;=MAX(1,N(E1358)),"Conferido","Conferido até aqui"),"A conferir")))</f>
        <v/>
      </c>
      <c r="S1358" s="51">
        <f>IF(R1358="A conferir",(Config!$B$8-L1358)*1000+N(F1358)/1000+ROW()/100000,0)</f>
        <v>0</v>
      </c>
      <c r="T1358" s="51">
        <f>IF(R1358="A conferir",N(N1358),0)</f>
        <v>0</v>
      </c>
      <c r="U1358" s="51">
        <f>IF(L1358="",0,L1358)</f>
        <v>0</v>
      </c>
      <c r="V1358" s="51">
        <f>IF(L1358="",0,MAX(1,N(E1358)))</f>
        <v>0</v>
      </c>
      <c r="W1358" s="51">
        <f>IF(K1358="",0,K1358)</f>
        <v>0</v>
      </c>
    </row>
    <row r="1359">
      <c r="A1359" s="49" t="n"/>
      <c r="B1359" s="41" t="n"/>
      <c r="C1359" s="41" t="n"/>
      <c r="D1359" s="42" t="n"/>
      <c r="E1359" s="42" t="n"/>
      <c r="F1359" s="50" t="n"/>
      <c r="G1359" s="42" t="n"/>
      <c r="H1359" s="30">
        <f>IF(D1359="","",IFERROR(INDEX(Config!$B$12:$B$15,MATCH(IF(AND(D1359="Cartão de crédito",N(E1359)&gt;1),"Cartão de crédito parcelado",D1359),Config!$A$12:$A$15,0)),0)+IF(AND(Config!$B$17="Sim",LEFT(D1359,17)="Cartão de crédito"),Config!$B$18*IFERROR(INDEX(Config!$C$12:$C$15,MATCH(IF(AND(D1359="Cartão de crédito",N(E1359)&gt;1),"Cartão de crédito parcelado",D1359),Config!$A$12:$A$15,0)),0)/30*MAX(1,N(E1359)),0))</f>
        <v/>
      </c>
      <c r="I1359" s="29">
        <f>IF(OR(D1359="",F1359=""),"",ROUND(F1359*H1359,2))</f>
        <v/>
      </c>
      <c r="J1359" s="29">
        <f>IF(I1359="","",F1359-I1359)</f>
        <v/>
      </c>
      <c r="K1359" s="29">
        <f>IF(J1359="","",J1359/MAX(1,N(E1359)))</f>
        <v/>
      </c>
      <c r="L1359" s="37">
        <f>IF(OR(D1359="",A1359=""),"",A1359+IF(AND(Config!$B$17="Sim",LEFT(D1359,17)="Cartão de crédito"),1,IFERROR(INDEX(Config!$C$12:$C$15,MATCH(IF(AND(D1359="Cartão de crédito",N(E1359)&gt;1),"Cartão de crédito parcelado",D1359),Config!$A$12:$A$15,0)),0)))</f>
        <v/>
      </c>
      <c r="M1359" s="37">
        <f>IF(L1359="","",IF(AND(Config!$B$17="Sim",LEFT(D1359,17)="Cartão de crédito"),L1359,L1359+30*(MAX(1,N(E1359))-1)))</f>
        <v/>
      </c>
      <c r="N1359" s="29">
        <f>IF(OR(L1359="",K1359=""),"",K1359*MIN(MAX(1,N(E1359)),MAX(0,INT((Config!$B$8-L1359)/30)+1)))</f>
        <v/>
      </c>
      <c r="O1359" s="29">
        <f>IF(J1359="","",J1359-N(N1359))</f>
        <v/>
      </c>
      <c r="P1359" s="27">
        <f>IF(A1359="","",MONTH(A1359))</f>
        <v/>
      </c>
      <c r="Q1359" s="27">
        <f>IF(A1359="","",YEAR(A1359))</f>
        <v/>
      </c>
      <c r="R1359" s="27">
        <f>IF(L1359="","",IF(L1359&gt;Config!$B$8,"A cair",IF(N(G1359)&gt;=MIN(MAX(1,N(E1359)),MAX(0,INT((Config!$B$8-L1359)/30)+1)),IF(N(G1359)&gt;=MAX(1,N(E1359)),"Conferido","Conferido até aqui"),"A conferir")))</f>
        <v/>
      </c>
      <c r="S1359" s="51">
        <f>IF(R1359="A conferir",(Config!$B$8-L1359)*1000+N(F1359)/1000+ROW()/100000,0)</f>
        <v>0</v>
      </c>
      <c r="T1359" s="51">
        <f>IF(R1359="A conferir",N(N1359),0)</f>
        <v>0</v>
      </c>
      <c r="U1359" s="51">
        <f>IF(L1359="",0,L1359)</f>
        <v>0</v>
      </c>
      <c r="V1359" s="51">
        <f>IF(L1359="",0,MAX(1,N(E1359)))</f>
        <v>0</v>
      </c>
      <c r="W1359" s="51">
        <f>IF(K1359="",0,K1359)</f>
        <v>0</v>
      </c>
    </row>
    <row r="1360">
      <c r="A1360" s="49" t="n"/>
      <c r="B1360" s="41" t="n"/>
      <c r="C1360" s="41" t="n"/>
      <c r="D1360" s="42" t="n"/>
      <c r="E1360" s="42" t="n"/>
      <c r="F1360" s="50" t="n"/>
      <c r="G1360" s="42" t="n"/>
      <c r="H1360" s="30">
        <f>IF(D1360="","",IFERROR(INDEX(Config!$B$12:$B$15,MATCH(IF(AND(D1360="Cartão de crédito",N(E1360)&gt;1),"Cartão de crédito parcelado",D1360),Config!$A$12:$A$15,0)),0)+IF(AND(Config!$B$17="Sim",LEFT(D1360,17)="Cartão de crédito"),Config!$B$18*IFERROR(INDEX(Config!$C$12:$C$15,MATCH(IF(AND(D1360="Cartão de crédito",N(E1360)&gt;1),"Cartão de crédito parcelado",D1360),Config!$A$12:$A$15,0)),0)/30*MAX(1,N(E1360)),0))</f>
        <v/>
      </c>
      <c r="I1360" s="29">
        <f>IF(OR(D1360="",F1360=""),"",ROUND(F1360*H1360,2))</f>
        <v/>
      </c>
      <c r="J1360" s="29">
        <f>IF(I1360="","",F1360-I1360)</f>
        <v/>
      </c>
      <c r="K1360" s="29">
        <f>IF(J1360="","",J1360/MAX(1,N(E1360)))</f>
        <v/>
      </c>
      <c r="L1360" s="37">
        <f>IF(OR(D1360="",A1360=""),"",A1360+IF(AND(Config!$B$17="Sim",LEFT(D1360,17)="Cartão de crédito"),1,IFERROR(INDEX(Config!$C$12:$C$15,MATCH(IF(AND(D1360="Cartão de crédito",N(E1360)&gt;1),"Cartão de crédito parcelado",D1360),Config!$A$12:$A$15,0)),0)))</f>
        <v/>
      </c>
      <c r="M1360" s="37">
        <f>IF(L1360="","",IF(AND(Config!$B$17="Sim",LEFT(D1360,17)="Cartão de crédito"),L1360,L1360+30*(MAX(1,N(E1360))-1)))</f>
        <v/>
      </c>
      <c r="N1360" s="29">
        <f>IF(OR(L1360="",K1360=""),"",K1360*MIN(MAX(1,N(E1360)),MAX(0,INT((Config!$B$8-L1360)/30)+1)))</f>
        <v/>
      </c>
      <c r="O1360" s="29">
        <f>IF(J1360="","",J1360-N(N1360))</f>
        <v/>
      </c>
      <c r="P1360" s="27">
        <f>IF(A1360="","",MONTH(A1360))</f>
        <v/>
      </c>
      <c r="Q1360" s="27">
        <f>IF(A1360="","",YEAR(A1360))</f>
        <v/>
      </c>
      <c r="R1360" s="27">
        <f>IF(L1360="","",IF(L1360&gt;Config!$B$8,"A cair",IF(N(G1360)&gt;=MIN(MAX(1,N(E1360)),MAX(0,INT((Config!$B$8-L1360)/30)+1)),IF(N(G1360)&gt;=MAX(1,N(E1360)),"Conferido","Conferido até aqui"),"A conferir")))</f>
        <v/>
      </c>
      <c r="S1360" s="51">
        <f>IF(R1360="A conferir",(Config!$B$8-L1360)*1000+N(F1360)/1000+ROW()/100000,0)</f>
        <v>0</v>
      </c>
      <c r="T1360" s="51">
        <f>IF(R1360="A conferir",N(N1360),0)</f>
        <v>0</v>
      </c>
      <c r="U1360" s="51">
        <f>IF(L1360="",0,L1360)</f>
        <v>0</v>
      </c>
      <c r="V1360" s="51">
        <f>IF(L1360="",0,MAX(1,N(E1360)))</f>
        <v>0</v>
      </c>
      <c r="W1360" s="51">
        <f>IF(K1360="",0,K1360)</f>
        <v>0</v>
      </c>
    </row>
    <row r="1361">
      <c r="A1361" s="49" t="n"/>
      <c r="B1361" s="41" t="n"/>
      <c r="C1361" s="41" t="n"/>
      <c r="D1361" s="42" t="n"/>
      <c r="E1361" s="42" t="n"/>
      <c r="F1361" s="50" t="n"/>
      <c r="G1361" s="42" t="n"/>
      <c r="H1361" s="30">
        <f>IF(D1361="","",IFERROR(INDEX(Config!$B$12:$B$15,MATCH(IF(AND(D1361="Cartão de crédito",N(E1361)&gt;1),"Cartão de crédito parcelado",D1361),Config!$A$12:$A$15,0)),0)+IF(AND(Config!$B$17="Sim",LEFT(D1361,17)="Cartão de crédito"),Config!$B$18*IFERROR(INDEX(Config!$C$12:$C$15,MATCH(IF(AND(D1361="Cartão de crédito",N(E1361)&gt;1),"Cartão de crédito parcelado",D1361),Config!$A$12:$A$15,0)),0)/30*MAX(1,N(E1361)),0))</f>
        <v/>
      </c>
      <c r="I1361" s="29">
        <f>IF(OR(D1361="",F1361=""),"",ROUND(F1361*H1361,2))</f>
        <v/>
      </c>
      <c r="J1361" s="29">
        <f>IF(I1361="","",F1361-I1361)</f>
        <v/>
      </c>
      <c r="K1361" s="29">
        <f>IF(J1361="","",J1361/MAX(1,N(E1361)))</f>
        <v/>
      </c>
      <c r="L1361" s="37">
        <f>IF(OR(D1361="",A1361=""),"",A1361+IF(AND(Config!$B$17="Sim",LEFT(D1361,17)="Cartão de crédito"),1,IFERROR(INDEX(Config!$C$12:$C$15,MATCH(IF(AND(D1361="Cartão de crédito",N(E1361)&gt;1),"Cartão de crédito parcelado",D1361),Config!$A$12:$A$15,0)),0)))</f>
        <v/>
      </c>
      <c r="M1361" s="37">
        <f>IF(L1361="","",IF(AND(Config!$B$17="Sim",LEFT(D1361,17)="Cartão de crédito"),L1361,L1361+30*(MAX(1,N(E1361))-1)))</f>
        <v/>
      </c>
      <c r="N1361" s="29">
        <f>IF(OR(L1361="",K1361=""),"",K1361*MIN(MAX(1,N(E1361)),MAX(0,INT((Config!$B$8-L1361)/30)+1)))</f>
        <v/>
      </c>
      <c r="O1361" s="29">
        <f>IF(J1361="","",J1361-N(N1361))</f>
        <v/>
      </c>
      <c r="P1361" s="27">
        <f>IF(A1361="","",MONTH(A1361))</f>
        <v/>
      </c>
      <c r="Q1361" s="27">
        <f>IF(A1361="","",YEAR(A1361))</f>
        <v/>
      </c>
      <c r="R1361" s="27">
        <f>IF(L1361="","",IF(L1361&gt;Config!$B$8,"A cair",IF(N(G1361)&gt;=MIN(MAX(1,N(E1361)),MAX(0,INT((Config!$B$8-L1361)/30)+1)),IF(N(G1361)&gt;=MAX(1,N(E1361)),"Conferido","Conferido até aqui"),"A conferir")))</f>
        <v/>
      </c>
      <c r="S1361" s="51">
        <f>IF(R1361="A conferir",(Config!$B$8-L1361)*1000+N(F1361)/1000+ROW()/100000,0)</f>
        <v>0</v>
      </c>
      <c r="T1361" s="51">
        <f>IF(R1361="A conferir",N(N1361),0)</f>
        <v>0</v>
      </c>
      <c r="U1361" s="51">
        <f>IF(L1361="",0,L1361)</f>
        <v>0</v>
      </c>
      <c r="V1361" s="51">
        <f>IF(L1361="",0,MAX(1,N(E1361)))</f>
        <v>0</v>
      </c>
      <c r="W1361" s="51">
        <f>IF(K1361="",0,K1361)</f>
        <v>0</v>
      </c>
    </row>
    <row r="1362">
      <c r="A1362" s="49" t="n"/>
      <c r="B1362" s="41" t="n"/>
      <c r="C1362" s="41" t="n"/>
      <c r="D1362" s="42" t="n"/>
      <c r="E1362" s="42" t="n"/>
      <c r="F1362" s="50" t="n"/>
      <c r="G1362" s="42" t="n"/>
      <c r="H1362" s="30">
        <f>IF(D1362="","",IFERROR(INDEX(Config!$B$12:$B$15,MATCH(IF(AND(D1362="Cartão de crédito",N(E1362)&gt;1),"Cartão de crédito parcelado",D1362),Config!$A$12:$A$15,0)),0)+IF(AND(Config!$B$17="Sim",LEFT(D1362,17)="Cartão de crédito"),Config!$B$18*IFERROR(INDEX(Config!$C$12:$C$15,MATCH(IF(AND(D1362="Cartão de crédito",N(E1362)&gt;1),"Cartão de crédito parcelado",D1362),Config!$A$12:$A$15,0)),0)/30*MAX(1,N(E1362)),0))</f>
        <v/>
      </c>
      <c r="I1362" s="29">
        <f>IF(OR(D1362="",F1362=""),"",ROUND(F1362*H1362,2))</f>
        <v/>
      </c>
      <c r="J1362" s="29">
        <f>IF(I1362="","",F1362-I1362)</f>
        <v/>
      </c>
      <c r="K1362" s="29">
        <f>IF(J1362="","",J1362/MAX(1,N(E1362)))</f>
        <v/>
      </c>
      <c r="L1362" s="37">
        <f>IF(OR(D1362="",A1362=""),"",A1362+IF(AND(Config!$B$17="Sim",LEFT(D1362,17)="Cartão de crédito"),1,IFERROR(INDEX(Config!$C$12:$C$15,MATCH(IF(AND(D1362="Cartão de crédito",N(E1362)&gt;1),"Cartão de crédito parcelado",D1362),Config!$A$12:$A$15,0)),0)))</f>
        <v/>
      </c>
      <c r="M1362" s="37">
        <f>IF(L1362="","",IF(AND(Config!$B$17="Sim",LEFT(D1362,17)="Cartão de crédito"),L1362,L1362+30*(MAX(1,N(E1362))-1)))</f>
        <v/>
      </c>
      <c r="N1362" s="29">
        <f>IF(OR(L1362="",K1362=""),"",K1362*MIN(MAX(1,N(E1362)),MAX(0,INT((Config!$B$8-L1362)/30)+1)))</f>
        <v/>
      </c>
      <c r="O1362" s="29">
        <f>IF(J1362="","",J1362-N(N1362))</f>
        <v/>
      </c>
      <c r="P1362" s="27">
        <f>IF(A1362="","",MONTH(A1362))</f>
        <v/>
      </c>
      <c r="Q1362" s="27">
        <f>IF(A1362="","",YEAR(A1362))</f>
        <v/>
      </c>
      <c r="R1362" s="27">
        <f>IF(L1362="","",IF(L1362&gt;Config!$B$8,"A cair",IF(N(G1362)&gt;=MIN(MAX(1,N(E1362)),MAX(0,INT((Config!$B$8-L1362)/30)+1)),IF(N(G1362)&gt;=MAX(1,N(E1362)),"Conferido","Conferido até aqui"),"A conferir")))</f>
        <v/>
      </c>
      <c r="S1362" s="51">
        <f>IF(R1362="A conferir",(Config!$B$8-L1362)*1000+N(F1362)/1000+ROW()/100000,0)</f>
        <v>0</v>
      </c>
      <c r="T1362" s="51">
        <f>IF(R1362="A conferir",N(N1362),0)</f>
        <v>0</v>
      </c>
      <c r="U1362" s="51">
        <f>IF(L1362="",0,L1362)</f>
        <v>0</v>
      </c>
      <c r="V1362" s="51">
        <f>IF(L1362="",0,MAX(1,N(E1362)))</f>
        <v>0</v>
      </c>
      <c r="W1362" s="51">
        <f>IF(K1362="",0,K1362)</f>
        <v>0</v>
      </c>
    </row>
    <row r="1363">
      <c r="A1363" s="49" t="n"/>
      <c r="B1363" s="41" t="n"/>
      <c r="C1363" s="41" t="n"/>
      <c r="D1363" s="42" t="n"/>
      <c r="E1363" s="42" t="n"/>
      <c r="F1363" s="50" t="n"/>
      <c r="G1363" s="42" t="n"/>
      <c r="H1363" s="30">
        <f>IF(D1363="","",IFERROR(INDEX(Config!$B$12:$B$15,MATCH(IF(AND(D1363="Cartão de crédito",N(E1363)&gt;1),"Cartão de crédito parcelado",D1363),Config!$A$12:$A$15,0)),0)+IF(AND(Config!$B$17="Sim",LEFT(D1363,17)="Cartão de crédito"),Config!$B$18*IFERROR(INDEX(Config!$C$12:$C$15,MATCH(IF(AND(D1363="Cartão de crédito",N(E1363)&gt;1),"Cartão de crédito parcelado",D1363),Config!$A$12:$A$15,0)),0)/30*MAX(1,N(E1363)),0))</f>
        <v/>
      </c>
      <c r="I1363" s="29">
        <f>IF(OR(D1363="",F1363=""),"",ROUND(F1363*H1363,2))</f>
        <v/>
      </c>
      <c r="J1363" s="29">
        <f>IF(I1363="","",F1363-I1363)</f>
        <v/>
      </c>
      <c r="K1363" s="29">
        <f>IF(J1363="","",J1363/MAX(1,N(E1363)))</f>
        <v/>
      </c>
      <c r="L1363" s="37">
        <f>IF(OR(D1363="",A1363=""),"",A1363+IF(AND(Config!$B$17="Sim",LEFT(D1363,17)="Cartão de crédito"),1,IFERROR(INDEX(Config!$C$12:$C$15,MATCH(IF(AND(D1363="Cartão de crédito",N(E1363)&gt;1),"Cartão de crédito parcelado",D1363),Config!$A$12:$A$15,0)),0)))</f>
        <v/>
      </c>
      <c r="M1363" s="37">
        <f>IF(L1363="","",IF(AND(Config!$B$17="Sim",LEFT(D1363,17)="Cartão de crédito"),L1363,L1363+30*(MAX(1,N(E1363))-1)))</f>
        <v/>
      </c>
      <c r="N1363" s="29">
        <f>IF(OR(L1363="",K1363=""),"",K1363*MIN(MAX(1,N(E1363)),MAX(0,INT((Config!$B$8-L1363)/30)+1)))</f>
        <v/>
      </c>
      <c r="O1363" s="29">
        <f>IF(J1363="","",J1363-N(N1363))</f>
        <v/>
      </c>
      <c r="P1363" s="27">
        <f>IF(A1363="","",MONTH(A1363))</f>
        <v/>
      </c>
      <c r="Q1363" s="27">
        <f>IF(A1363="","",YEAR(A1363))</f>
        <v/>
      </c>
      <c r="R1363" s="27">
        <f>IF(L1363="","",IF(L1363&gt;Config!$B$8,"A cair",IF(N(G1363)&gt;=MIN(MAX(1,N(E1363)),MAX(0,INT((Config!$B$8-L1363)/30)+1)),IF(N(G1363)&gt;=MAX(1,N(E1363)),"Conferido","Conferido até aqui"),"A conferir")))</f>
        <v/>
      </c>
      <c r="S1363" s="51">
        <f>IF(R1363="A conferir",(Config!$B$8-L1363)*1000+N(F1363)/1000+ROW()/100000,0)</f>
        <v>0</v>
      </c>
      <c r="T1363" s="51">
        <f>IF(R1363="A conferir",N(N1363),0)</f>
        <v>0</v>
      </c>
      <c r="U1363" s="51">
        <f>IF(L1363="",0,L1363)</f>
        <v>0</v>
      </c>
      <c r="V1363" s="51">
        <f>IF(L1363="",0,MAX(1,N(E1363)))</f>
        <v>0</v>
      </c>
      <c r="W1363" s="51">
        <f>IF(K1363="",0,K1363)</f>
        <v>0</v>
      </c>
    </row>
    <row r="1364">
      <c r="A1364" s="49" t="n"/>
      <c r="B1364" s="41" t="n"/>
      <c r="C1364" s="41" t="n"/>
      <c r="D1364" s="42" t="n"/>
      <c r="E1364" s="42" t="n"/>
      <c r="F1364" s="50" t="n"/>
      <c r="G1364" s="42" t="n"/>
      <c r="H1364" s="30">
        <f>IF(D1364="","",IFERROR(INDEX(Config!$B$12:$B$15,MATCH(IF(AND(D1364="Cartão de crédito",N(E1364)&gt;1),"Cartão de crédito parcelado",D1364),Config!$A$12:$A$15,0)),0)+IF(AND(Config!$B$17="Sim",LEFT(D1364,17)="Cartão de crédito"),Config!$B$18*IFERROR(INDEX(Config!$C$12:$C$15,MATCH(IF(AND(D1364="Cartão de crédito",N(E1364)&gt;1),"Cartão de crédito parcelado",D1364),Config!$A$12:$A$15,0)),0)/30*MAX(1,N(E1364)),0))</f>
        <v/>
      </c>
      <c r="I1364" s="29">
        <f>IF(OR(D1364="",F1364=""),"",ROUND(F1364*H1364,2))</f>
        <v/>
      </c>
      <c r="J1364" s="29">
        <f>IF(I1364="","",F1364-I1364)</f>
        <v/>
      </c>
      <c r="K1364" s="29">
        <f>IF(J1364="","",J1364/MAX(1,N(E1364)))</f>
        <v/>
      </c>
      <c r="L1364" s="37">
        <f>IF(OR(D1364="",A1364=""),"",A1364+IF(AND(Config!$B$17="Sim",LEFT(D1364,17)="Cartão de crédito"),1,IFERROR(INDEX(Config!$C$12:$C$15,MATCH(IF(AND(D1364="Cartão de crédito",N(E1364)&gt;1),"Cartão de crédito parcelado",D1364),Config!$A$12:$A$15,0)),0)))</f>
        <v/>
      </c>
      <c r="M1364" s="37">
        <f>IF(L1364="","",IF(AND(Config!$B$17="Sim",LEFT(D1364,17)="Cartão de crédito"),L1364,L1364+30*(MAX(1,N(E1364))-1)))</f>
        <v/>
      </c>
      <c r="N1364" s="29">
        <f>IF(OR(L1364="",K1364=""),"",K1364*MIN(MAX(1,N(E1364)),MAX(0,INT((Config!$B$8-L1364)/30)+1)))</f>
        <v/>
      </c>
      <c r="O1364" s="29">
        <f>IF(J1364="","",J1364-N(N1364))</f>
        <v/>
      </c>
      <c r="P1364" s="27">
        <f>IF(A1364="","",MONTH(A1364))</f>
        <v/>
      </c>
      <c r="Q1364" s="27">
        <f>IF(A1364="","",YEAR(A1364))</f>
        <v/>
      </c>
      <c r="R1364" s="27">
        <f>IF(L1364="","",IF(L1364&gt;Config!$B$8,"A cair",IF(N(G1364)&gt;=MIN(MAX(1,N(E1364)),MAX(0,INT((Config!$B$8-L1364)/30)+1)),IF(N(G1364)&gt;=MAX(1,N(E1364)),"Conferido","Conferido até aqui"),"A conferir")))</f>
        <v/>
      </c>
      <c r="S1364" s="51">
        <f>IF(R1364="A conferir",(Config!$B$8-L1364)*1000+N(F1364)/1000+ROW()/100000,0)</f>
        <v>0</v>
      </c>
      <c r="T1364" s="51">
        <f>IF(R1364="A conferir",N(N1364),0)</f>
        <v>0</v>
      </c>
      <c r="U1364" s="51">
        <f>IF(L1364="",0,L1364)</f>
        <v>0</v>
      </c>
      <c r="V1364" s="51">
        <f>IF(L1364="",0,MAX(1,N(E1364)))</f>
        <v>0</v>
      </c>
      <c r="W1364" s="51">
        <f>IF(K1364="",0,K1364)</f>
        <v>0</v>
      </c>
    </row>
    <row r="1365">
      <c r="A1365" s="49" t="n"/>
      <c r="B1365" s="41" t="n"/>
      <c r="C1365" s="41" t="n"/>
      <c r="D1365" s="42" t="n"/>
      <c r="E1365" s="42" t="n"/>
      <c r="F1365" s="50" t="n"/>
      <c r="G1365" s="42" t="n"/>
      <c r="H1365" s="30">
        <f>IF(D1365="","",IFERROR(INDEX(Config!$B$12:$B$15,MATCH(IF(AND(D1365="Cartão de crédito",N(E1365)&gt;1),"Cartão de crédito parcelado",D1365),Config!$A$12:$A$15,0)),0)+IF(AND(Config!$B$17="Sim",LEFT(D1365,17)="Cartão de crédito"),Config!$B$18*IFERROR(INDEX(Config!$C$12:$C$15,MATCH(IF(AND(D1365="Cartão de crédito",N(E1365)&gt;1),"Cartão de crédito parcelado",D1365),Config!$A$12:$A$15,0)),0)/30*MAX(1,N(E1365)),0))</f>
        <v/>
      </c>
      <c r="I1365" s="29">
        <f>IF(OR(D1365="",F1365=""),"",ROUND(F1365*H1365,2))</f>
        <v/>
      </c>
      <c r="J1365" s="29">
        <f>IF(I1365="","",F1365-I1365)</f>
        <v/>
      </c>
      <c r="K1365" s="29">
        <f>IF(J1365="","",J1365/MAX(1,N(E1365)))</f>
        <v/>
      </c>
      <c r="L1365" s="37">
        <f>IF(OR(D1365="",A1365=""),"",A1365+IF(AND(Config!$B$17="Sim",LEFT(D1365,17)="Cartão de crédito"),1,IFERROR(INDEX(Config!$C$12:$C$15,MATCH(IF(AND(D1365="Cartão de crédito",N(E1365)&gt;1),"Cartão de crédito parcelado",D1365),Config!$A$12:$A$15,0)),0)))</f>
        <v/>
      </c>
      <c r="M1365" s="37">
        <f>IF(L1365="","",IF(AND(Config!$B$17="Sim",LEFT(D1365,17)="Cartão de crédito"),L1365,L1365+30*(MAX(1,N(E1365))-1)))</f>
        <v/>
      </c>
      <c r="N1365" s="29">
        <f>IF(OR(L1365="",K1365=""),"",K1365*MIN(MAX(1,N(E1365)),MAX(0,INT((Config!$B$8-L1365)/30)+1)))</f>
        <v/>
      </c>
      <c r="O1365" s="29">
        <f>IF(J1365="","",J1365-N(N1365))</f>
        <v/>
      </c>
      <c r="P1365" s="27">
        <f>IF(A1365="","",MONTH(A1365))</f>
        <v/>
      </c>
      <c r="Q1365" s="27">
        <f>IF(A1365="","",YEAR(A1365))</f>
        <v/>
      </c>
      <c r="R1365" s="27">
        <f>IF(L1365="","",IF(L1365&gt;Config!$B$8,"A cair",IF(N(G1365)&gt;=MIN(MAX(1,N(E1365)),MAX(0,INT((Config!$B$8-L1365)/30)+1)),IF(N(G1365)&gt;=MAX(1,N(E1365)),"Conferido","Conferido até aqui"),"A conferir")))</f>
        <v/>
      </c>
      <c r="S1365" s="51">
        <f>IF(R1365="A conferir",(Config!$B$8-L1365)*1000+N(F1365)/1000+ROW()/100000,0)</f>
        <v>0</v>
      </c>
      <c r="T1365" s="51">
        <f>IF(R1365="A conferir",N(N1365),0)</f>
        <v>0</v>
      </c>
      <c r="U1365" s="51">
        <f>IF(L1365="",0,L1365)</f>
        <v>0</v>
      </c>
      <c r="V1365" s="51">
        <f>IF(L1365="",0,MAX(1,N(E1365)))</f>
        <v>0</v>
      </c>
      <c r="W1365" s="51">
        <f>IF(K1365="",0,K1365)</f>
        <v>0</v>
      </c>
    </row>
    <row r="1366">
      <c r="A1366" s="49" t="n"/>
      <c r="B1366" s="41" t="n"/>
      <c r="C1366" s="41" t="n"/>
      <c r="D1366" s="42" t="n"/>
      <c r="E1366" s="42" t="n"/>
      <c r="F1366" s="50" t="n"/>
      <c r="G1366" s="42" t="n"/>
      <c r="H1366" s="30">
        <f>IF(D1366="","",IFERROR(INDEX(Config!$B$12:$B$15,MATCH(IF(AND(D1366="Cartão de crédito",N(E1366)&gt;1),"Cartão de crédito parcelado",D1366),Config!$A$12:$A$15,0)),0)+IF(AND(Config!$B$17="Sim",LEFT(D1366,17)="Cartão de crédito"),Config!$B$18*IFERROR(INDEX(Config!$C$12:$C$15,MATCH(IF(AND(D1366="Cartão de crédito",N(E1366)&gt;1),"Cartão de crédito parcelado",D1366),Config!$A$12:$A$15,0)),0)/30*MAX(1,N(E1366)),0))</f>
        <v/>
      </c>
      <c r="I1366" s="29">
        <f>IF(OR(D1366="",F1366=""),"",ROUND(F1366*H1366,2))</f>
        <v/>
      </c>
      <c r="J1366" s="29">
        <f>IF(I1366="","",F1366-I1366)</f>
        <v/>
      </c>
      <c r="K1366" s="29">
        <f>IF(J1366="","",J1366/MAX(1,N(E1366)))</f>
        <v/>
      </c>
      <c r="L1366" s="37">
        <f>IF(OR(D1366="",A1366=""),"",A1366+IF(AND(Config!$B$17="Sim",LEFT(D1366,17)="Cartão de crédito"),1,IFERROR(INDEX(Config!$C$12:$C$15,MATCH(IF(AND(D1366="Cartão de crédito",N(E1366)&gt;1),"Cartão de crédito parcelado",D1366),Config!$A$12:$A$15,0)),0)))</f>
        <v/>
      </c>
      <c r="M1366" s="37">
        <f>IF(L1366="","",IF(AND(Config!$B$17="Sim",LEFT(D1366,17)="Cartão de crédito"),L1366,L1366+30*(MAX(1,N(E1366))-1)))</f>
        <v/>
      </c>
      <c r="N1366" s="29">
        <f>IF(OR(L1366="",K1366=""),"",K1366*MIN(MAX(1,N(E1366)),MAX(0,INT((Config!$B$8-L1366)/30)+1)))</f>
        <v/>
      </c>
      <c r="O1366" s="29">
        <f>IF(J1366="","",J1366-N(N1366))</f>
        <v/>
      </c>
      <c r="P1366" s="27">
        <f>IF(A1366="","",MONTH(A1366))</f>
        <v/>
      </c>
      <c r="Q1366" s="27">
        <f>IF(A1366="","",YEAR(A1366))</f>
        <v/>
      </c>
      <c r="R1366" s="27">
        <f>IF(L1366="","",IF(L1366&gt;Config!$B$8,"A cair",IF(N(G1366)&gt;=MIN(MAX(1,N(E1366)),MAX(0,INT((Config!$B$8-L1366)/30)+1)),IF(N(G1366)&gt;=MAX(1,N(E1366)),"Conferido","Conferido até aqui"),"A conferir")))</f>
        <v/>
      </c>
      <c r="S1366" s="51">
        <f>IF(R1366="A conferir",(Config!$B$8-L1366)*1000+N(F1366)/1000+ROW()/100000,0)</f>
        <v>0</v>
      </c>
      <c r="T1366" s="51">
        <f>IF(R1366="A conferir",N(N1366),0)</f>
        <v>0</v>
      </c>
      <c r="U1366" s="51">
        <f>IF(L1366="",0,L1366)</f>
        <v>0</v>
      </c>
      <c r="V1366" s="51">
        <f>IF(L1366="",0,MAX(1,N(E1366)))</f>
        <v>0</v>
      </c>
      <c r="W1366" s="51">
        <f>IF(K1366="",0,K1366)</f>
        <v>0</v>
      </c>
    </row>
    <row r="1367">
      <c r="A1367" s="49" t="n"/>
      <c r="B1367" s="41" t="n"/>
      <c r="C1367" s="41" t="n"/>
      <c r="D1367" s="42" t="n"/>
      <c r="E1367" s="42" t="n"/>
      <c r="F1367" s="50" t="n"/>
      <c r="G1367" s="42" t="n"/>
      <c r="H1367" s="30">
        <f>IF(D1367="","",IFERROR(INDEX(Config!$B$12:$B$15,MATCH(IF(AND(D1367="Cartão de crédito",N(E1367)&gt;1),"Cartão de crédito parcelado",D1367),Config!$A$12:$A$15,0)),0)+IF(AND(Config!$B$17="Sim",LEFT(D1367,17)="Cartão de crédito"),Config!$B$18*IFERROR(INDEX(Config!$C$12:$C$15,MATCH(IF(AND(D1367="Cartão de crédito",N(E1367)&gt;1),"Cartão de crédito parcelado",D1367),Config!$A$12:$A$15,0)),0)/30*MAX(1,N(E1367)),0))</f>
        <v/>
      </c>
      <c r="I1367" s="29">
        <f>IF(OR(D1367="",F1367=""),"",ROUND(F1367*H1367,2))</f>
        <v/>
      </c>
      <c r="J1367" s="29">
        <f>IF(I1367="","",F1367-I1367)</f>
        <v/>
      </c>
      <c r="K1367" s="29">
        <f>IF(J1367="","",J1367/MAX(1,N(E1367)))</f>
        <v/>
      </c>
      <c r="L1367" s="37">
        <f>IF(OR(D1367="",A1367=""),"",A1367+IF(AND(Config!$B$17="Sim",LEFT(D1367,17)="Cartão de crédito"),1,IFERROR(INDEX(Config!$C$12:$C$15,MATCH(IF(AND(D1367="Cartão de crédito",N(E1367)&gt;1),"Cartão de crédito parcelado",D1367),Config!$A$12:$A$15,0)),0)))</f>
        <v/>
      </c>
      <c r="M1367" s="37">
        <f>IF(L1367="","",IF(AND(Config!$B$17="Sim",LEFT(D1367,17)="Cartão de crédito"),L1367,L1367+30*(MAX(1,N(E1367))-1)))</f>
        <v/>
      </c>
      <c r="N1367" s="29">
        <f>IF(OR(L1367="",K1367=""),"",K1367*MIN(MAX(1,N(E1367)),MAX(0,INT((Config!$B$8-L1367)/30)+1)))</f>
        <v/>
      </c>
      <c r="O1367" s="29">
        <f>IF(J1367="","",J1367-N(N1367))</f>
        <v/>
      </c>
      <c r="P1367" s="27">
        <f>IF(A1367="","",MONTH(A1367))</f>
        <v/>
      </c>
      <c r="Q1367" s="27">
        <f>IF(A1367="","",YEAR(A1367))</f>
        <v/>
      </c>
      <c r="R1367" s="27">
        <f>IF(L1367="","",IF(L1367&gt;Config!$B$8,"A cair",IF(N(G1367)&gt;=MIN(MAX(1,N(E1367)),MAX(0,INT((Config!$B$8-L1367)/30)+1)),IF(N(G1367)&gt;=MAX(1,N(E1367)),"Conferido","Conferido até aqui"),"A conferir")))</f>
        <v/>
      </c>
      <c r="S1367" s="51">
        <f>IF(R1367="A conferir",(Config!$B$8-L1367)*1000+N(F1367)/1000+ROW()/100000,0)</f>
        <v>0</v>
      </c>
      <c r="T1367" s="51">
        <f>IF(R1367="A conferir",N(N1367),0)</f>
        <v>0</v>
      </c>
      <c r="U1367" s="51">
        <f>IF(L1367="",0,L1367)</f>
        <v>0</v>
      </c>
      <c r="V1367" s="51">
        <f>IF(L1367="",0,MAX(1,N(E1367)))</f>
        <v>0</v>
      </c>
      <c r="W1367" s="51">
        <f>IF(K1367="",0,K1367)</f>
        <v>0</v>
      </c>
    </row>
    <row r="1368">
      <c r="A1368" s="49" t="n"/>
      <c r="B1368" s="41" t="n"/>
      <c r="C1368" s="41" t="n"/>
      <c r="D1368" s="42" t="n"/>
      <c r="E1368" s="42" t="n"/>
      <c r="F1368" s="50" t="n"/>
      <c r="G1368" s="42" t="n"/>
      <c r="H1368" s="30">
        <f>IF(D1368="","",IFERROR(INDEX(Config!$B$12:$B$15,MATCH(IF(AND(D1368="Cartão de crédito",N(E1368)&gt;1),"Cartão de crédito parcelado",D1368),Config!$A$12:$A$15,0)),0)+IF(AND(Config!$B$17="Sim",LEFT(D1368,17)="Cartão de crédito"),Config!$B$18*IFERROR(INDEX(Config!$C$12:$C$15,MATCH(IF(AND(D1368="Cartão de crédito",N(E1368)&gt;1),"Cartão de crédito parcelado",D1368),Config!$A$12:$A$15,0)),0)/30*MAX(1,N(E1368)),0))</f>
        <v/>
      </c>
      <c r="I1368" s="29">
        <f>IF(OR(D1368="",F1368=""),"",ROUND(F1368*H1368,2))</f>
        <v/>
      </c>
      <c r="J1368" s="29">
        <f>IF(I1368="","",F1368-I1368)</f>
        <v/>
      </c>
      <c r="K1368" s="29">
        <f>IF(J1368="","",J1368/MAX(1,N(E1368)))</f>
        <v/>
      </c>
      <c r="L1368" s="37">
        <f>IF(OR(D1368="",A1368=""),"",A1368+IF(AND(Config!$B$17="Sim",LEFT(D1368,17)="Cartão de crédito"),1,IFERROR(INDEX(Config!$C$12:$C$15,MATCH(IF(AND(D1368="Cartão de crédito",N(E1368)&gt;1),"Cartão de crédito parcelado",D1368),Config!$A$12:$A$15,0)),0)))</f>
        <v/>
      </c>
      <c r="M1368" s="37">
        <f>IF(L1368="","",IF(AND(Config!$B$17="Sim",LEFT(D1368,17)="Cartão de crédito"),L1368,L1368+30*(MAX(1,N(E1368))-1)))</f>
        <v/>
      </c>
      <c r="N1368" s="29">
        <f>IF(OR(L1368="",K1368=""),"",K1368*MIN(MAX(1,N(E1368)),MAX(0,INT((Config!$B$8-L1368)/30)+1)))</f>
        <v/>
      </c>
      <c r="O1368" s="29">
        <f>IF(J1368="","",J1368-N(N1368))</f>
        <v/>
      </c>
      <c r="P1368" s="27">
        <f>IF(A1368="","",MONTH(A1368))</f>
        <v/>
      </c>
      <c r="Q1368" s="27">
        <f>IF(A1368="","",YEAR(A1368))</f>
        <v/>
      </c>
      <c r="R1368" s="27">
        <f>IF(L1368="","",IF(L1368&gt;Config!$B$8,"A cair",IF(N(G1368)&gt;=MIN(MAX(1,N(E1368)),MAX(0,INT((Config!$B$8-L1368)/30)+1)),IF(N(G1368)&gt;=MAX(1,N(E1368)),"Conferido","Conferido até aqui"),"A conferir")))</f>
        <v/>
      </c>
      <c r="S1368" s="51">
        <f>IF(R1368="A conferir",(Config!$B$8-L1368)*1000+N(F1368)/1000+ROW()/100000,0)</f>
        <v>0</v>
      </c>
      <c r="T1368" s="51">
        <f>IF(R1368="A conferir",N(N1368),0)</f>
        <v>0</v>
      </c>
      <c r="U1368" s="51">
        <f>IF(L1368="",0,L1368)</f>
        <v>0</v>
      </c>
      <c r="V1368" s="51">
        <f>IF(L1368="",0,MAX(1,N(E1368)))</f>
        <v>0</v>
      </c>
      <c r="W1368" s="51">
        <f>IF(K1368="",0,K1368)</f>
        <v>0</v>
      </c>
    </row>
    <row r="1369">
      <c r="A1369" s="49" t="n"/>
      <c r="B1369" s="41" t="n"/>
      <c r="C1369" s="41" t="n"/>
      <c r="D1369" s="42" t="n"/>
      <c r="E1369" s="42" t="n"/>
      <c r="F1369" s="50" t="n"/>
      <c r="G1369" s="42" t="n"/>
      <c r="H1369" s="30">
        <f>IF(D1369="","",IFERROR(INDEX(Config!$B$12:$B$15,MATCH(IF(AND(D1369="Cartão de crédito",N(E1369)&gt;1),"Cartão de crédito parcelado",D1369),Config!$A$12:$A$15,0)),0)+IF(AND(Config!$B$17="Sim",LEFT(D1369,17)="Cartão de crédito"),Config!$B$18*IFERROR(INDEX(Config!$C$12:$C$15,MATCH(IF(AND(D1369="Cartão de crédito",N(E1369)&gt;1),"Cartão de crédito parcelado",D1369),Config!$A$12:$A$15,0)),0)/30*MAX(1,N(E1369)),0))</f>
        <v/>
      </c>
      <c r="I1369" s="29">
        <f>IF(OR(D1369="",F1369=""),"",ROUND(F1369*H1369,2))</f>
        <v/>
      </c>
      <c r="J1369" s="29">
        <f>IF(I1369="","",F1369-I1369)</f>
        <v/>
      </c>
      <c r="K1369" s="29">
        <f>IF(J1369="","",J1369/MAX(1,N(E1369)))</f>
        <v/>
      </c>
      <c r="L1369" s="37">
        <f>IF(OR(D1369="",A1369=""),"",A1369+IF(AND(Config!$B$17="Sim",LEFT(D1369,17)="Cartão de crédito"),1,IFERROR(INDEX(Config!$C$12:$C$15,MATCH(IF(AND(D1369="Cartão de crédito",N(E1369)&gt;1),"Cartão de crédito parcelado",D1369),Config!$A$12:$A$15,0)),0)))</f>
        <v/>
      </c>
      <c r="M1369" s="37">
        <f>IF(L1369="","",IF(AND(Config!$B$17="Sim",LEFT(D1369,17)="Cartão de crédito"),L1369,L1369+30*(MAX(1,N(E1369))-1)))</f>
        <v/>
      </c>
      <c r="N1369" s="29">
        <f>IF(OR(L1369="",K1369=""),"",K1369*MIN(MAX(1,N(E1369)),MAX(0,INT((Config!$B$8-L1369)/30)+1)))</f>
        <v/>
      </c>
      <c r="O1369" s="29">
        <f>IF(J1369="","",J1369-N(N1369))</f>
        <v/>
      </c>
      <c r="P1369" s="27">
        <f>IF(A1369="","",MONTH(A1369))</f>
        <v/>
      </c>
      <c r="Q1369" s="27">
        <f>IF(A1369="","",YEAR(A1369))</f>
        <v/>
      </c>
      <c r="R1369" s="27">
        <f>IF(L1369="","",IF(L1369&gt;Config!$B$8,"A cair",IF(N(G1369)&gt;=MIN(MAX(1,N(E1369)),MAX(0,INT((Config!$B$8-L1369)/30)+1)),IF(N(G1369)&gt;=MAX(1,N(E1369)),"Conferido","Conferido até aqui"),"A conferir")))</f>
        <v/>
      </c>
      <c r="S1369" s="51">
        <f>IF(R1369="A conferir",(Config!$B$8-L1369)*1000+N(F1369)/1000+ROW()/100000,0)</f>
        <v>0</v>
      </c>
      <c r="T1369" s="51">
        <f>IF(R1369="A conferir",N(N1369),0)</f>
        <v>0</v>
      </c>
      <c r="U1369" s="51">
        <f>IF(L1369="",0,L1369)</f>
        <v>0</v>
      </c>
      <c r="V1369" s="51">
        <f>IF(L1369="",0,MAX(1,N(E1369)))</f>
        <v>0</v>
      </c>
      <c r="W1369" s="51">
        <f>IF(K1369="",0,K1369)</f>
        <v>0</v>
      </c>
    </row>
    <row r="1370">
      <c r="A1370" s="49" t="n"/>
      <c r="B1370" s="41" t="n"/>
      <c r="C1370" s="41" t="n"/>
      <c r="D1370" s="42" t="n"/>
      <c r="E1370" s="42" t="n"/>
      <c r="F1370" s="50" t="n"/>
      <c r="G1370" s="42" t="n"/>
      <c r="H1370" s="30">
        <f>IF(D1370="","",IFERROR(INDEX(Config!$B$12:$B$15,MATCH(IF(AND(D1370="Cartão de crédito",N(E1370)&gt;1),"Cartão de crédito parcelado",D1370),Config!$A$12:$A$15,0)),0)+IF(AND(Config!$B$17="Sim",LEFT(D1370,17)="Cartão de crédito"),Config!$B$18*IFERROR(INDEX(Config!$C$12:$C$15,MATCH(IF(AND(D1370="Cartão de crédito",N(E1370)&gt;1),"Cartão de crédito parcelado",D1370),Config!$A$12:$A$15,0)),0)/30*MAX(1,N(E1370)),0))</f>
        <v/>
      </c>
      <c r="I1370" s="29">
        <f>IF(OR(D1370="",F1370=""),"",ROUND(F1370*H1370,2))</f>
        <v/>
      </c>
      <c r="J1370" s="29">
        <f>IF(I1370="","",F1370-I1370)</f>
        <v/>
      </c>
      <c r="K1370" s="29">
        <f>IF(J1370="","",J1370/MAX(1,N(E1370)))</f>
        <v/>
      </c>
      <c r="L1370" s="37">
        <f>IF(OR(D1370="",A1370=""),"",A1370+IF(AND(Config!$B$17="Sim",LEFT(D1370,17)="Cartão de crédito"),1,IFERROR(INDEX(Config!$C$12:$C$15,MATCH(IF(AND(D1370="Cartão de crédito",N(E1370)&gt;1),"Cartão de crédito parcelado",D1370),Config!$A$12:$A$15,0)),0)))</f>
        <v/>
      </c>
      <c r="M1370" s="37">
        <f>IF(L1370="","",IF(AND(Config!$B$17="Sim",LEFT(D1370,17)="Cartão de crédito"),L1370,L1370+30*(MAX(1,N(E1370))-1)))</f>
        <v/>
      </c>
      <c r="N1370" s="29">
        <f>IF(OR(L1370="",K1370=""),"",K1370*MIN(MAX(1,N(E1370)),MAX(0,INT((Config!$B$8-L1370)/30)+1)))</f>
        <v/>
      </c>
      <c r="O1370" s="29">
        <f>IF(J1370="","",J1370-N(N1370))</f>
        <v/>
      </c>
      <c r="P1370" s="27">
        <f>IF(A1370="","",MONTH(A1370))</f>
        <v/>
      </c>
      <c r="Q1370" s="27">
        <f>IF(A1370="","",YEAR(A1370))</f>
        <v/>
      </c>
      <c r="R1370" s="27">
        <f>IF(L1370="","",IF(L1370&gt;Config!$B$8,"A cair",IF(N(G1370)&gt;=MIN(MAX(1,N(E1370)),MAX(0,INT((Config!$B$8-L1370)/30)+1)),IF(N(G1370)&gt;=MAX(1,N(E1370)),"Conferido","Conferido até aqui"),"A conferir")))</f>
        <v/>
      </c>
      <c r="S1370" s="51">
        <f>IF(R1370="A conferir",(Config!$B$8-L1370)*1000+N(F1370)/1000+ROW()/100000,0)</f>
        <v>0</v>
      </c>
      <c r="T1370" s="51">
        <f>IF(R1370="A conferir",N(N1370),0)</f>
        <v>0</v>
      </c>
      <c r="U1370" s="51">
        <f>IF(L1370="",0,L1370)</f>
        <v>0</v>
      </c>
      <c r="V1370" s="51">
        <f>IF(L1370="",0,MAX(1,N(E1370)))</f>
        <v>0</v>
      </c>
      <c r="W1370" s="51">
        <f>IF(K1370="",0,K1370)</f>
        <v>0</v>
      </c>
    </row>
    <row r="1371">
      <c r="A1371" s="49" t="n"/>
      <c r="B1371" s="41" t="n"/>
      <c r="C1371" s="41" t="n"/>
      <c r="D1371" s="42" t="n"/>
      <c r="E1371" s="42" t="n"/>
      <c r="F1371" s="50" t="n"/>
      <c r="G1371" s="42" t="n"/>
      <c r="H1371" s="30">
        <f>IF(D1371="","",IFERROR(INDEX(Config!$B$12:$B$15,MATCH(IF(AND(D1371="Cartão de crédito",N(E1371)&gt;1),"Cartão de crédito parcelado",D1371),Config!$A$12:$A$15,0)),0)+IF(AND(Config!$B$17="Sim",LEFT(D1371,17)="Cartão de crédito"),Config!$B$18*IFERROR(INDEX(Config!$C$12:$C$15,MATCH(IF(AND(D1371="Cartão de crédito",N(E1371)&gt;1),"Cartão de crédito parcelado",D1371),Config!$A$12:$A$15,0)),0)/30*MAX(1,N(E1371)),0))</f>
        <v/>
      </c>
      <c r="I1371" s="29">
        <f>IF(OR(D1371="",F1371=""),"",ROUND(F1371*H1371,2))</f>
        <v/>
      </c>
      <c r="J1371" s="29">
        <f>IF(I1371="","",F1371-I1371)</f>
        <v/>
      </c>
      <c r="K1371" s="29">
        <f>IF(J1371="","",J1371/MAX(1,N(E1371)))</f>
        <v/>
      </c>
      <c r="L1371" s="37">
        <f>IF(OR(D1371="",A1371=""),"",A1371+IF(AND(Config!$B$17="Sim",LEFT(D1371,17)="Cartão de crédito"),1,IFERROR(INDEX(Config!$C$12:$C$15,MATCH(IF(AND(D1371="Cartão de crédito",N(E1371)&gt;1),"Cartão de crédito parcelado",D1371),Config!$A$12:$A$15,0)),0)))</f>
        <v/>
      </c>
      <c r="M1371" s="37">
        <f>IF(L1371="","",IF(AND(Config!$B$17="Sim",LEFT(D1371,17)="Cartão de crédito"),L1371,L1371+30*(MAX(1,N(E1371))-1)))</f>
        <v/>
      </c>
      <c r="N1371" s="29">
        <f>IF(OR(L1371="",K1371=""),"",K1371*MIN(MAX(1,N(E1371)),MAX(0,INT((Config!$B$8-L1371)/30)+1)))</f>
        <v/>
      </c>
      <c r="O1371" s="29">
        <f>IF(J1371="","",J1371-N(N1371))</f>
        <v/>
      </c>
      <c r="P1371" s="27">
        <f>IF(A1371="","",MONTH(A1371))</f>
        <v/>
      </c>
      <c r="Q1371" s="27">
        <f>IF(A1371="","",YEAR(A1371))</f>
        <v/>
      </c>
      <c r="R1371" s="27">
        <f>IF(L1371="","",IF(L1371&gt;Config!$B$8,"A cair",IF(N(G1371)&gt;=MIN(MAX(1,N(E1371)),MAX(0,INT((Config!$B$8-L1371)/30)+1)),IF(N(G1371)&gt;=MAX(1,N(E1371)),"Conferido","Conferido até aqui"),"A conferir")))</f>
        <v/>
      </c>
      <c r="S1371" s="51">
        <f>IF(R1371="A conferir",(Config!$B$8-L1371)*1000+N(F1371)/1000+ROW()/100000,0)</f>
        <v>0</v>
      </c>
      <c r="T1371" s="51">
        <f>IF(R1371="A conferir",N(N1371),0)</f>
        <v>0</v>
      </c>
      <c r="U1371" s="51">
        <f>IF(L1371="",0,L1371)</f>
        <v>0</v>
      </c>
      <c r="V1371" s="51">
        <f>IF(L1371="",0,MAX(1,N(E1371)))</f>
        <v>0</v>
      </c>
      <c r="W1371" s="51">
        <f>IF(K1371="",0,K1371)</f>
        <v>0</v>
      </c>
    </row>
    <row r="1372">
      <c r="A1372" s="49" t="n"/>
      <c r="B1372" s="41" t="n"/>
      <c r="C1372" s="41" t="n"/>
      <c r="D1372" s="42" t="n"/>
      <c r="E1372" s="42" t="n"/>
      <c r="F1372" s="50" t="n"/>
      <c r="G1372" s="42" t="n"/>
      <c r="H1372" s="30">
        <f>IF(D1372="","",IFERROR(INDEX(Config!$B$12:$B$15,MATCH(IF(AND(D1372="Cartão de crédito",N(E1372)&gt;1),"Cartão de crédito parcelado",D1372),Config!$A$12:$A$15,0)),0)+IF(AND(Config!$B$17="Sim",LEFT(D1372,17)="Cartão de crédito"),Config!$B$18*IFERROR(INDEX(Config!$C$12:$C$15,MATCH(IF(AND(D1372="Cartão de crédito",N(E1372)&gt;1),"Cartão de crédito parcelado",D1372),Config!$A$12:$A$15,0)),0)/30*MAX(1,N(E1372)),0))</f>
        <v/>
      </c>
      <c r="I1372" s="29">
        <f>IF(OR(D1372="",F1372=""),"",ROUND(F1372*H1372,2))</f>
        <v/>
      </c>
      <c r="J1372" s="29">
        <f>IF(I1372="","",F1372-I1372)</f>
        <v/>
      </c>
      <c r="K1372" s="29">
        <f>IF(J1372="","",J1372/MAX(1,N(E1372)))</f>
        <v/>
      </c>
      <c r="L1372" s="37">
        <f>IF(OR(D1372="",A1372=""),"",A1372+IF(AND(Config!$B$17="Sim",LEFT(D1372,17)="Cartão de crédito"),1,IFERROR(INDEX(Config!$C$12:$C$15,MATCH(IF(AND(D1372="Cartão de crédito",N(E1372)&gt;1),"Cartão de crédito parcelado",D1372),Config!$A$12:$A$15,0)),0)))</f>
        <v/>
      </c>
      <c r="M1372" s="37">
        <f>IF(L1372="","",IF(AND(Config!$B$17="Sim",LEFT(D1372,17)="Cartão de crédito"),L1372,L1372+30*(MAX(1,N(E1372))-1)))</f>
        <v/>
      </c>
      <c r="N1372" s="29">
        <f>IF(OR(L1372="",K1372=""),"",K1372*MIN(MAX(1,N(E1372)),MAX(0,INT((Config!$B$8-L1372)/30)+1)))</f>
        <v/>
      </c>
      <c r="O1372" s="29">
        <f>IF(J1372="","",J1372-N(N1372))</f>
        <v/>
      </c>
      <c r="P1372" s="27">
        <f>IF(A1372="","",MONTH(A1372))</f>
        <v/>
      </c>
      <c r="Q1372" s="27">
        <f>IF(A1372="","",YEAR(A1372))</f>
        <v/>
      </c>
      <c r="R1372" s="27">
        <f>IF(L1372="","",IF(L1372&gt;Config!$B$8,"A cair",IF(N(G1372)&gt;=MIN(MAX(1,N(E1372)),MAX(0,INT((Config!$B$8-L1372)/30)+1)),IF(N(G1372)&gt;=MAX(1,N(E1372)),"Conferido","Conferido até aqui"),"A conferir")))</f>
        <v/>
      </c>
      <c r="S1372" s="51">
        <f>IF(R1372="A conferir",(Config!$B$8-L1372)*1000+N(F1372)/1000+ROW()/100000,0)</f>
        <v>0</v>
      </c>
      <c r="T1372" s="51">
        <f>IF(R1372="A conferir",N(N1372),0)</f>
        <v>0</v>
      </c>
      <c r="U1372" s="51">
        <f>IF(L1372="",0,L1372)</f>
        <v>0</v>
      </c>
      <c r="V1372" s="51">
        <f>IF(L1372="",0,MAX(1,N(E1372)))</f>
        <v>0</v>
      </c>
      <c r="W1372" s="51">
        <f>IF(K1372="",0,K1372)</f>
        <v>0</v>
      </c>
    </row>
    <row r="1373">
      <c r="A1373" s="49" t="n"/>
      <c r="B1373" s="41" t="n"/>
      <c r="C1373" s="41" t="n"/>
      <c r="D1373" s="42" t="n"/>
      <c r="E1373" s="42" t="n"/>
      <c r="F1373" s="50" t="n"/>
      <c r="G1373" s="42" t="n"/>
      <c r="H1373" s="30">
        <f>IF(D1373="","",IFERROR(INDEX(Config!$B$12:$B$15,MATCH(IF(AND(D1373="Cartão de crédito",N(E1373)&gt;1),"Cartão de crédito parcelado",D1373),Config!$A$12:$A$15,0)),0)+IF(AND(Config!$B$17="Sim",LEFT(D1373,17)="Cartão de crédito"),Config!$B$18*IFERROR(INDEX(Config!$C$12:$C$15,MATCH(IF(AND(D1373="Cartão de crédito",N(E1373)&gt;1),"Cartão de crédito parcelado",D1373),Config!$A$12:$A$15,0)),0)/30*MAX(1,N(E1373)),0))</f>
        <v/>
      </c>
      <c r="I1373" s="29">
        <f>IF(OR(D1373="",F1373=""),"",ROUND(F1373*H1373,2))</f>
        <v/>
      </c>
      <c r="J1373" s="29">
        <f>IF(I1373="","",F1373-I1373)</f>
        <v/>
      </c>
      <c r="K1373" s="29">
        <f>IF(J1373="","",J1373/MAX(1,N(E1373)))</f>
        <v/>
      </c>
      <c r="L1373" s="37">
        <f>IF(OR(D1373="",A1373=""),"",A1373+IF(AND(Config!$B$17="Sim",LEFT(D1373,17)="Cartão de crédito"),1,IFERROR(INDEX(Config!$C$12:$C$15,MATCH(IF(AND(D1373="Cartão de crédito",N(E1373)&gt;1),"Cartão de crédito parcelado",D1373),Config!$A$12:$A$15,0)),0)))</f>
        <v/>
      </c>
      <c r="M1373" s="37">
        <f>IF(L1373="","",IF(AND(Config!$B$17="Sim",LEFT(D1373,17)="Cartão de crédito"),L1373,L1373+30*(MAX(1,N(E1373))-1)))</f>
        <v/>
      </c>
      <c r="N1373" s="29">
        <f>IF(OR(L1373="",K1373=""),"",K1373*MIN(MAX(1,N(E1373)),MAX(0,INT((Config!$B$8-L1373)/30)+1)))</f>
        <v/>
      </c>
      <c r="O1373" s="29">
        <f>IF(J1373="","",J1373-N(N1373))</f>
        <v/>
      </c>
      <c r="P1373" s="27">
        <f>IF(A1373="","",MONTH(A1373))</f>
        <v/>
      </c>
      <c r="Q1373" s="27">
        <f>IF(A1373="","",YEAR(A1373))</f>
        <v/>
      </c>
      <c r="R1373" s="27">
        <f>IF(L1373="","",IF(L1373&gt;Config!$B$8,"A cair",IF(N(G1373)&gt;=MIN(MAX(1,N(E1373)),MAX(0,INT((Config!$B$8-L1373)/30)+1)),IF(N(G1373)&gt;=MAX(1,N(E1373)),"Conferido","Conferido até aqui"),"A conferir")))</f>
        <v/>
      </c>
      <c r="S1373" s="51">
        <f>IF(R1373="A conferir",(Config!$B$8-L1373)*1000+N(F1373)/1000+ROW()/100000,0)</f>
        <v>0</v>
      </c>
      <c r="T1373" s="51">
        <f>IF(R1373="A conferir",N(N1373),0)</f>
        <v>0</v>
      </c>
      <c r="U1373" s="51">
        <f>IF(L1373="",0,L1373)</f>
        <v>0</v>
      </c>
      <c r="V1373" s="51">
        <f>IF(L1373="",0,MAX(1,N(E1373)))</f>
        <v>0</v>
      </c>
      <c r="W1373" s="51">
        <f>IF(K1373="",0,K1373)</f>
        <v>0</v>
      </c>
    </row>
    <row r="1374">
      <c r="A1374" s="49" t="n"/>
      <c r="B1374" s="41" t="n"/>
      <c r="C1374" s="41" t="n"/>
      <c r="D1374" s="42" t="n"/>
      <c r="E1374" s="42" t="n"/>
      <c r="F1374" s="50" t="n"/>
      <c r="G1374" s="42" t="n"/>
      <c r="H1374" s="30">
        <f>IF(D1374="","",IFERROR(INDEX(Config!$B$12:$B$15,MATCH(IF(AND(D1374="Cartão de crédito",N(E1374)&gt;1),"Cartão de crédito parcelado",D1374),Config!$A$12:$A$15,0)),0)+IF(AND(Config!$B$17="Sim",LEFT(D1374,17)="Cartão de crédito"),Config!$B$18*IFERROR(INDEX(Config!$C$12:$C$15,MATCH(IF(AND(D1374="Cartão de crédito",N(E1374)&gt;1),"Cartão de crédito parcelado",D1374),Config!$A$12:$A$15,0)),0)/30*MAX(1,N(E1374)),0))</f>
        <v/>
      </c>
      <c r="I1374" s="29">
        <f>IF(OR(D1374="",F1374=""),"",ROUND(F1374*H1374,2))</f>
        <v/>
      </c>
      <c r="J1374" s="29">
        <f>IF(I1374="","",F1374-I1374)</f>
        <v/>
      </c>
      <c r="K1374" s="29">
        <f>IF(J1374="","",J1374/MAX(1,N(E1374)))</f>
        <v/>
      </c>
      <c r="L1374" s="37">
        <f>IF(OR(D1374="",A1374=""),"",A1374+IF(AND(Config!$B$17="Sim",LEFT(D1374,17)="Cartão de crédito"),1,IFERROR(INDEX(Config!$C$12:$C$15,MATCH(IF(AND(D1374="Cartão de crédito",N(E1374)&gt;1),"Cartão de crédito parcelado",D1374),Config!$A$12:$A$15,0)),0)))</f>
        <v/>
      </c>
      <c r="M1374" s="37">
        <f>IF(L1374="","",IF(AND(Config!$B$17="Sim",LEFT(D1374,17)="Cartão de crédito"),L1374,L1374+30*(MAX(1,N(E1374))-1)))</f>
        <v/>
      </c>
      <c r="N1374" s="29">
        <f>IF(OR(L1374="",K1374=""),"",K1374*MIN(MAX(1,N(E1374)),MAX(0,INT((Config!$B$8-L1374)/30)+1)))</f>
        <v/>
      </c>
      <c r="O1374" s="29">
        <f>IF(J1374="","",J1374-N(N1374))</f>
        <v/>
      </c>
      <c r="P1374" s="27">
        <f>IF(A1374="","",MONTH(A1374))</f>
        <v/>
      </c>
      <c r="Q1374" s="27">
        <f>IF(A1374="","",YEAR(A1374))</f>
        <v/>
      </c>
      <c r="R1374" s="27">
        <f>IF(L1374="","",IF(L1374&gt;Config!$B$8,"A cair",IF(N(G1374)&gt;=MIN(MAX(1,N(E1374)),MAX(0,INT((Config!$B$8-L1374)/30)+1)),IF(N(G1374)&gt;=MAX(1,N(E1374)),"Conferido","Conferido até aqui"),"A conferir")))</f>
        <v/>
      </c>
      <c r="S1374" s="51">
        <f>IF(R1374="A conferir",(Config!$B$8-L1374)*1000+N(F1374)/1000+ROW()/100000,0)</f>
        <v>0</v>
      </c>
      <c r="T1374" s="51">
        <f>IF(R1374="A conferir",N(N1374),0)</f>
        <v>0</v>
      </c>
      <c r="U1374" s="51">
        <f>IF(L1374="",0,L1374)</f>
        <v>0</v>
      </c>
      <c r="V1374" s="51">
        <f>IF(L1374="",0,MAX(1,N(E1374)))</f>
        <v>0</v>
      </c>
      <c r="W1374" s="51">
        <f>IF(K1374="",0,K1374)</f>
        <v>0</v>
      </c>
    </row>
    <row r="1375">
      <c r="A1375" s="49" t="n"/>
      <c r="B1375" s="41" t="n"/>
      <c r="C1375" s="41" t="n"/>
      <c r="D1375" s="42" t="n"/>
      <c r="E1375" s="42" t="n"/>
      <c r="F1375" s="50" t="n"/>
      <c r="G1375" s="42" t="n"/>
      <c r="H1375" s="30">
        <f>IF(D1375="","",IFERROR(INDEX(Config!$B$12:$B$15,MATCH(IF(AND(D1375="Cartão de crédito",N(E1375)&gt;1),"Cartão de crédito parcelado",D1375),Config!$A$12:$A$15,0)),0)+IF(AND(Config!$B$17="Sim",LEFT(D1375,17)="Cartão de crédito"),Config!$B$18*IFERROR(INDEX(Config!$C$12:$C$15,MATCH(IF(AND(D1375="Cartão de crédito",N(E1375)&gt;1),"Cartão de crédito parcelado",D1375),Config!$A$12:$A$15,0)),0)/30*MAX(1,N(E1375)),0))</f>
        <v/>
      </c>
      <c r="I1375" s="29">
        <f>IF(OR(D1375="",F1375=""),"",ROUND(F1375*H1375,2))</f>
        <v/>
      </c>
      <c r="J1375" s="29">
        <f>IF(I1375="","",F1375-I1375)</f>
        <v/>
      </c>
      <c r="K1375" s="29">
        <f>IF(J1375="","",J1375/MAX(1,N(E1375)))</f>
        <v/>
      </c>
      <c r="L1375" s="37">
        <f>IF(OR(D1375="",A1375=""),"",A1375+IF(AND(Config!$B$17="Sim",LEFT(D1375,17)="Cartão de crédito"),1,IFERROR(INDEX(Config!$C$12:$C$15,MATCH(IF(AND(D1375="Cartão de crédito",N(E1375)&gt;1),"Cartão de crédito parcelado",D1375),Config!$A$12:$A$15,0)),0)))</f>
        <v/>
      </c>
      <c r="M1375" s="37">
        <f>IF(L1375="","",IF(AND(Config!$B$17="Sim",LEFT(D1375,17)="Cartão de crédito"),L1375,L1375+30*(MAX(1,N(E1375))-1)))</f>
        <v/>
      </c>
      <c r="N1375" s="29">
        <f>IF(OR(L1375="",K1375=""),"",K1375*MIN(MAX(1,N(E1375)),MAX(0,INT((Config!$B$8-L1375)/30)+1)))</f>
        <v/>
      </c>
      <c r="O1375" s="29">
        <f>IF(J1375="","",J1375-N(N1375))</f>
        <v/>
      </c>
      <c r="P1375" s="27">
        <f>IF(A1375="","",MONTH(A1375))</f>
        <v/>
      </c>
      <c r="Q1375" s="27">
        <f>IF(A1375="","",YEAR(A1375))</f>
        <v/>
      </c>
      <c r="R1375" s="27">
        <f>IF(L1375="","",IF(L1375&gt;Config!$B$8,"A cair",IF(N(G1375)&gt;=MIN(MAX(1,N(E1375)),MAX(0,INT((Config!$B$8-L1375)/30)+1)),IF(N(G1375)&gt;=MAX(1,N(E1375)),"Conferido","Conferido até aqui"),"A conferir")))</f>
        <v/>
      </c>
      <c r="S1375" s="51">
        <f>IF(R1375="A conferir",(Config!$B$8-L1375)*1000+N(F1375)/1000+ROW()/100000,0)</f>
        <v>0</v>
      </c>
      <c r="T1375" s="51">
        <f>IF(R1375="A conferir",N(N1375),0)</f>
        <v>0</v>
      </c>
      <c r="U1375" s="51">
        <f>IF(L1375="",0,L1375)</f>
        <v>0</v>
      </c>
      <c r="V1375" s="51">
        <f>IF(L1375="",0,MAX(1,N(E1375)))</f>
        <v>0</v>
      </c>
      <c r="W1375" s="51">
        <f>IF(K1375="",0,K1375)</f>
        <v>0</v>
      </c>
    </row>
    <row r="1376">
      <c r="A1376" s="49" t="n"/>
      <c r="B1376" s="41" t="n"/>
      <c r="C1376" s="41" t="n"/>
      <c r="D1376" s="42" t="n"/>
      <c r="E1376" s="42" t="n"/>
      <c r="F1376" s="50" t="n"/>
      <c r="G1376" s="42" t="n"/>
      <c r="H1376" s="30">
        <f>IF(D1376="","",IFERROR(INDEX(Config!$B$12:$B$15,MATCH(IF(AND(D1376="Cartão de crédito",N(E1376)&gt;1),"Cartão de crédito parcelado",D1376),Config!$A$12:$A$15,0)),0)+IF(AND(Config!$B$17="Sim",LEFT(D1376,17)="Cartão de crédito"),Config!$B$18*IFERROR(INDEX(Config!$C$12:$C$15,MATCH(IF(AND(D1376="Cartão de crédito",N(E1376)&gt;1),"Cartão de crédito parcelado",D1376),Config!$A$12:$A$15,0)),0)/30*MAX(1,N(E1376)),0))</f>
        <v/>
      </c>
      <c r="I1376" s="29">
        <f>IF(OR(D1376="",F1376=""),"",ROUND(F1376*H1376,2))</f>
        <v/>
      </c>
      <c r="J1376" s="29">
        <f>IF(I1376="","",F1376-I1376)</f>
        <v/>
      </c>
      <c r="K1376" s="29">
        <f>IF(J1376="","",J1376/MAX(1,N(E1376)))</f>
        <v/>
      </c>
      <c r="L1376" s="37">
        <f>IF(OR(D1376="",A1376=""),"",A1376+IF(AND(Config!$B$17="Sim",LEFT(D1376,17)="Cartão de crédito"),1,IFERROR(INDEX(Config!$C$12:$C$15,MATCH(IF(AND(D1376="Cartão de crédito",N(E1376)&gt;1),"Cartão de crédito parcelado",D1376),Config!$A$12:$A$15,0)),0)))</f>
        <v/>
      </c>
      <c r="M1376" s="37">
        <f>IF(L1376="","",IF(AND(Config!$B$17="Sim",LEFT(D1376,17)="Cartão de crédito"),L1376,L1376+30*(MAX(1,N(E1376))-1)))</f>
        <v/>
      </c>
      <c r="N1376" s="29">
        <f>IF(OR(L1376="",K1376=""),"",K1376*MIN(MAX(1,N(E1376)),MAX(0,INT((Config!$B$8-L1376)/30)+1)))</f>
        <v/>
      </c>
      <c r="O1376" s="29">
        <f>IF(J1376="","",J1376-N(N1376))</f>
        <v/>
      </c>
      <c r="P1376" s="27">
        <f>IF(A1376="","",MONTH(A1376))</f>
        <v/>
      </c>
      <c r="Q1376" s="27">
        <f>IF(A1376="","",YEAR(A1376))</f>
        <v/>
      </c>
      <c r="R1376" s="27">
        <f>IF(L1376="","",IF(L1376&gt;Config!$B$8,"A cair",IF(N(G1376)&gt;=MIN(MAX(1,N(E1376)),MAX(0,INT((Config!$B$8-L1376)/30)+1)),IF(N(G1376)&gt;=MAX(1,N(E1376)),"Conferido","Conferido até aqui"),"A conferir")))</f>
        <v/>
      </c>
      <c r="S1376" s="51">
        <f>IF(R1376="A conferir",(Config!$B$8-L1376)*1000+N(F1376)/1000+ROW()/100000,0)</f>
        <v>0</v>
      </c>
      <c r="T1376" s="51">
        <f>IF(R1376="A conferir",N(N1376),0)</f>
        <v>0</v>
      </c>
      <c r="U1376" s="51">
        <f>IF(L1376="",0,L1376)</f>
        <v>0</v>
      </c>
      <c r="V1376" s="51">
        <f>IF(L1376="",0,MAX(1,N(E1376)))</f>
        <v>0</v>
      </c>
      <c r="W1376" s="51">
        <f>IF(K1376="",0,K1376)</f>
        <v>0</v>
      </c>
    </row>
    <row r="1377">
      <c r="A1377" s="49" t="n"/>
      <c r="B1377" s="41" t="n"/>
      <c r="C1377" s="41" t="n"/>
      <c r="D1377" s="42" t="n"/>
      <c r="E1377" s="42" t="n"/>
      <c r="F1377" s="50" t="n"/>
      <c r="G1377" s="42" t="n"/>
      <c r="H1377" s="30">
        <f>IF(D1377="","",IFERROR(INDEX(Config!$B$12:$B$15,MATCH(IF(AND(D1377="Cartão de crédito",N(E1377)&gt;1),"Cartão de crédito parcelado",D1377),Config!$A$12:$A$15,0)),0)+IF(AND(Config!$B$17="Sim",LEFT(D1377,17)="Cartão de crédito"),Config!$B$18*IFERROR(INDEX(Config!$C$12:$C$15,MATCH(IF(AND(D1377="Cartão de crédito",N(E1377)&gt;1),"Cartão de crédito parcelado",D1377),Config!$A$12:$A$15,0)),0)/30*MAX(1,N(E1377)),0))</f>
        <v/>
      </c>
      <c r="I1377" s="29">
        <f>IF(OR(D1377="",F1377=""),"",ROUND(F1377*H1377,2))</f>
        <v/>
      </c>
      <c r="J1377" s="29">
        <f>IF(I1377="","",F1377-I1377)</f>
        <v/>
      </c>
      <c r="K1377" s="29">
        <f>IF(J1377="","",J1377/MAX(1,N(E1377)))</f>
        <v/>
      </c>
      <c r="L1377" s="37">
        <f>IF(OR(D1377="",A1377=""),"",A1377+IF(AND(Config!$B$17="Sim",LEFT(D1377,17)="Cartão de crédito"),1,IFERROR(INDEX(Config!$C$12:$C$15,MATCH(IF(AND(D1377="Cartão de crédito",N(E1377)&gt;1),"Cartão de crédito parcelado",D1377),Config!$A$12:$A$15,0)),0)))</f>
        <v/>
      </c>
      <c r="M1377" s="37">
        <f>IF(L1377="","",IF(AND(Config!$B$17="Sim",LEFT(D1377,17)="Cartão de crédito"),L1377,L1377+30*(MAX(1,N(E1377))-1)))</f>
        <v/>
      </c>
      <c r="N1377" s="29">
        <f>IF(OR(L1377="",K1377=""),"",K1377*MIN(MAX(1,N(E1377)),MAX(0,INT((Config!$B$8-L1377)/30)+1)))</f>
        <v/>
      </c>
      <c r="O1377" s="29">
        <f>IF(J1377="","",J1377-N(N1377))</f>
        <v/>
      </c>
      <c r="P1377" s="27">
        <f>IF(A1377="","",MONTH(A1377))</f>
        <v/>
      </c>
      <c r="Q1377" s="27">
        <f>IF(A1377="","",YEAR(A1377))</f>
        <v/>
      </c>
      <c r="R1377" s="27">
        <f>IF(L1377="","",IF(L1377&gt;Config!$B$8,"A cair",IF(N(G1377)&gt;=MIN(MAX(1,N(E1377)),MAX(0,INT((Config!$B$8-L1377)/30)+1)),IF(N(G1377)&gt;=MAX(1,N(E1377)),"Conferido","Conferido até aqui"),"A conferir")))</f>
        <v/>
      </c>
      <c r="S1377" s="51">
        <f>IF(R1377="A conferir",(Config!$B$8-L1377)*1000+N(F1377)/1000+ROW()/100000,0)</f>
        <v>0</v>
      </c>
      <c r="T1377" s="51">
        <f>IF(R1377="A conferir",N(N1377),0)</f>
        <v>0</v>
      </c>
      <c r="U1377" s="51">
        <f>IF(L1377="",0,L1377)</f>
        <v>0</v>
      </c>
      <c r="V1377" s="51">
        <f>IF(L1377="",0,MAX(1,N(E1377)))</f>
        <v>0</v>
      </c>
      <c r="W1377" s="51">
        <f>IF(K1377="",0,K1377)</f>
        <v>0</v>
      </c>
    </row>
    <row r="1378">
      <c r="A1378" s="49" t="n"/>
      <c r="B1378" s="41" t="n"/>
      <c r="C1378" s="41" t="n"/>
      <c r="D1378" s="42" t="n"/>
      <c r="E1378" s="42" t="n"/>
      <c r="F1378" s="50" t="n"/>
      <c r="G1378" s="42" t="n"/>
      <c r="H1378" s="30">
        <f>IF(D1378="","",IFERROR(INDEX(Config!$B$12:$B$15,MATCH(IF(AND(D1378="Cartão de crédito",N(E1378)&gt;1),"Cartão de crédito parcelado",D1378),Config!$A$12:$A$15,0)),0)+IF(AND(Config!$B$17="Sim",LEFT(D1378,17)="Cartão de crédito"),Config!$B$18*IFERROR(INDEX(Config!$C$12:$C$15,MATCH(IF(AND(D1378="Cartão de crédito",N(E1378)&gt;1),"Cartão de crédito parcelado",D1378),Config!$A$12:$A$15,0)),0)/30*MAX(1,N(E1378)),0))</f>
        <v/>
      </c>
      <c r="I1378" s="29">
        <f>IF(OR(D1378="",F1378=""),"",ROUND(F1378*H1378,2))</f>
        <v/>
      </c>
      <c r="J1378" s="29">
        <f>IF(I1378="","",F1378-I1378)</f>
        <v/>
      </c>
      <c r="K1378" s="29">
        <f>IF(J1378="","",J1378/MAX(1,N(E1378)))</f>
        <v/>
      </c>
      <c r="L1378" s="37">
        <f>IF(OR(D1378="",A1378=""),"",A1378+IF(AND(Config!$B$17="Sim",LEFT(D1378,17)="Cartão de crédito"),1,IFERROR(INDEX(Config!$C$12:$C$15,MATCH(IF(AND(D1378="Cartão de crédito",N(E1378)&gt;1),"Cartão de crédito parcelado",D1378),Config!$A$12:$A$15,0)),0)))</f>
        <v/>
      </c>
      <c r="M1378" s="37">
        <f>IF(L1378="","",IF(AND(Config!$B$17="Sim",LEFT(D1378,17)="Cartão de crédito"),L1378,L1378+30*(MAX(1,N(E1378))-1)))</f>
        <v/>
      </c>
      <c r="N1378" s="29">
        <f>IF(OR(L1378="",K1378=""),"",K1378*MIN(MAX(1,N(E1378)),MAX(0,INT((Config!$B$8-L1378)/30)+1)))</f>
        <v/>
      </c>
      <c r="O1378" s="29">
        <f>IF(J1378="","",J1378-N(N1378))</f>
        <v/>
      </c>
      <c r="P1378" s="27">
        <f>IF(A1378="","",MONTH(A1378))</f>
        <v/>
      </c>
      <c r="Q1378" s="27">
        <f>IF(A1378="","",YEAR(A1378))</f>
        <v/>
      </c>
      <c r="R1378" s="27">
        <f>IF(L1378="","",IF(L1378&gt;Config!$B$8,"A cair",IF(N(G1378)&gt;=MIN(MAX(1,N(E1378)),MAX(0,INT((Config!$B$8-L1378)/30)+1)),IF(N(G1378)&gt;=MAX(1,N(E1378)),"Conferido","Conferido até aqui"),"A conferir")))</f>
        <v/>
      </c>
      <c r="S1378" s="51">
        <f>IF(R1378="A conferir",(Config!$B$8-L1378)*1000+N(F1378)/1000+ROW()/100000,0)</f>
        <v>0</v>
      </c>
      <c r="T1378" s="51">
        <f>IF(R1378="A conferir",N(N1378),0)</f>
        <v>0</v>
      </c>
      <c r="U1378" s="51">
        <f>IF(L1378="",0,L1378)</f>
        <v>0</v>
      </c>
      <c r="V1378" s="51">
        <f>IF(L1378="",0,MAX(1,N(E1378)))</f>
        <v>0</v>
      </c>
      <c r="W1378" s="51">
        <f>IF(K1378="",0,K1378)</f>
        <v>0</v>
      </c>
    </row>
    <row r="1379">
      <c r="A1379" s="49" t="n"/>
      <c r="B1379" s="41" t="n"/>
      <c r="C1379" s="41" t="n"/>
      <c r="D1379" s="42" t="n"/>
      <c r="E1379" s="42" t="n"/>
      <c r="F1379" s="50" t="n"/>
      <c r="G1379" s="42" t="n"/>
      <c r="H1379" s="30">
        <f>IF(D1379="","",IFERROR(INDEX(Config!$B$12:$B$15,MATCH(IF(AND(D1379="Cartão de crédito",N(E1379)&gt;1),"Cartão de crédito parcelado",D1379),Config!$A$12:$A$15,0)),0)+IF(AND(Config!$B$17="Sim",LEFT(D1379,17)="Cartão de crédito"),Config!$B$18*IFERROR(INDEX(Config!$C$12:$C$15,MATCH(IF(AND(D1379="Cartão de crédito",N(E1379)&gt;1),"Cartão de crédito parcelado",D1379),Config!$A$12:$A$15,0)),0)/30*MAX(1,N(E1379)),0))</f>
        <v/>
      </c>
      <c r="I1379" s="29">
        <f>IF(OR(D1379="",F1379=""),"",ROUND(F1379*H1379,2))</f>
        <v/>
      </c>
      <c r="J1379" s="29">
        <f>IF(I1379="","",F1379-I1379)</f>
        <v/>
      </c>
      <c r="K1379" s="29">
        <f>IF(J1379="","",J1379/MAX(1,N(E1379)))</f>
        <v/>
      </c>
      <c r="L1379" s="37">
        <f>IF(OR(D1379="",A1379=""),"",A1379+IF(AND(Config!$B$17="Sim",LEFT(D1379,17)="Cartão de crédito"),1,IFERROR(INDEX(Config!$C$12:$C$15,MATCH(IF(AND(D1379="Cartão de crédito",N(E1379)&gt;1),"Cartão de crédito parcelado",D1379),Config!$A$12:$A$15,0)),0)))</f>
        <v/>
      </c>
      <c r="M1379" s="37">
        <f>IF(L1379="","",IF(AND(Config!$B$17="Sim",LEFT(D1379,17)="Cartão de crédito"),L1379,L1379+30*(MAX(1,N(E1379))-1)))</f>
        <v/>
      </c>
      <c r="N1379" s="29">
        <f>IF(OR(L1379="",K1379=""),"",K1379*MIN(MAX(1,N(E1379)),MAX(0,INT((Config!$B$8-L1379)/30)+1)))</f>
        <v/>
      </c>
      <c r="O1379" s="29">
        <f>IF(J1379="","",J1379-N(N1379))</f>
        <v/>
      </c>
      <c r="P1379" s="27">
        <f>IF(A1379="","",MONTH(A1379))</f>
        <v/>
      </c>
      <c r="Q1379" s="27">
        <f>IF(A1379="","",YEAR(A1379))</f>
        <v/>
      </c>
      <c r="R1379" s="27">
        <f>IF(L1379="","",IF(L1379&gt;Config!$B$8,"A cair",IF(N(G1379)&gt;=MIN(MAX(1,N(E1379)),MAX(0,INT((Config!$B$8-L1379)/30)+1)),IF(N(G1379)&gt;=MAX(1,N(E1379)),"Conferido","Conferido até aqui"),"A conferir")))</f>
        <v/>
      </c>
      <c r="S1379" s="51">
        <f>IF(R1379="A conferir",(Config!$B$8-L1379)*1000+N(F1379)/1000+ROW()/100000,0)</f>
        <v>0</v>
      </c>
      <c r="T1379" s="51">
        <f>IF(R1379="A conferir",N(N1379),0)</f>
        <v>0</v>
      </c>
      <c r="U1379" s="51">
        <f>IF(L1379="",0,L1379)</f>
        <v>0</v>
      </c>
      <c r="V1379" s="51">
        <f>IF(L1379="",0,MAX(1,N(E1379)))</f>
        <v>0</v>
      </c>
      <c r="W1379" s="51">
        <f>IF(K1379="",0,K1379)</f>
        <v>0</v>
      </c>
    </row>
    <row r="1380">
      <c r="A1380" s="49" t="n"/>
      <c r="B1380" s="41" t="n"/>
      <c r="C1380" s="41" t="n"/>
      <c r="D1380" s="42" t="n"/>
      <c r="E1380" s="42" t="n"/>
      <c r="F1380" s="50" t="n"/>
      <c r="G1380" s="42" t="n"/>
      <c r="H1380" s="30">
        <f>IF(D1380="","",IFERROR(INDEX(Config!$B$12:$B$15,MATCH(IF(AND(D1380="Cartão de crédito",N(E1380)&gt;1),"Cartão de crédito parcelado",D1380),Config!$A$12:$A$15,0)),0)+IF(AND(Config!$B$17="Sim",LEFT(D1380,17)="Cartão de crédito"),Config!$B$18*IFERROR(INDEX(Config!$C$12:$C$15,MATCH(IF(AND(D1380="Cartão de crédito",N(E1380)&gt;1),"Cartão de crédito parcelado",D1380),Config!$A$12:$A$15,0)),0)/30*MAX(1,N(E1380)),0))</f>
        <v/>
      </c>
      <c r="I1380" s="29">
        <f>IF(OR(D1380="",F1380=""),"",ROUND(F1380*H1380,2))</f>
        <v/>
      </c>
      <c r="J1380" s="29">
        <f>IF(I1380="","",F1380-I1380)</f>
        <v/>
      </c>
      <c r="K1380" s="29">
        <f>IF(J1380="","",J1380/MAX(1,N(E1380)))</f>
        <v/>
      </c>
      <c r="L1380" s="37">
        <f>IF(OR(D1380="",A1380=""),"",A1380+IF(AND(Config!$B$17="Sim",LEFT(D1380,17)="Cartão de crédito"),1,IFERROR(INDEX(Config!$C$12:$C$15,MATCH(IF(AND(D1380="Cartão de crédito",N(E1380)&gt;1),"Cartão de crédito parcelado",D1380),Config!$A$12:$A$15,0)),0)))</f>
        <v/>
      </c>
      <c r="M1380" s="37">
        <f>IF(L1380="","",IF(AND(Config!$B$17="Sim",LEFT(D1380,17)="Cartão de crédito"),L1380,L1380+30*(MAX(1,N(E1380))-1)))</f>
        <v/>
      </c>
      <c r="N1380" s="29">
        <f>IF(OR(L1380="",K1380=""),"",K1380*MIN(MAX(1,N(E1380)),MAX(0,INT((Config!$B$8-L1380)/30)+1)))</f>
        <v/>
      </c>
      <c r="O1380" s="29">
        <f>IF(J1380="","",J1380-N(N1380))</f>
        <v/>
      </c>
      <c r="P1380" s="27">
        <f>IF(A1380="","",MONTH(A1380))</f>
        <v/>
      </c>
      <c r="Q1380" s="27">
        <f>IF(A1380="","",YEAR(A1380))</f>
        <v/>
      </c>
      <c r="R1380" s="27">
        <f>IF(L1380="","",IF(L1380&gt;Config!$B$8,"A cair",IF(N(G1380)&gt;=MIN(MAX(1,N(E1380)),MAX(0,INT((Config!$B$8-L1380)/30)+1)),IF(N(G1380)&gt;=MAX(1,N(E1380)),"Conferido","Conferido até aqui"),"A conferir")))</f>
        <v/>
      </c>
      <c r="S1380" s="51">
        <f>IF(R1380="A conferir",(Config!$B$8-L1380)*1000+N(F1380)/1000+ROW()/100000,0)</f>
        <v>0</v>
      </c>
      <c r="T1380" s="51">
        <f>IF(R1380="A conferir",N(N1380),0)</f>
        <v>0</v>
      </c>
      <c r="U1380" s="51">
        <f>IF(L1380="",0,L1380)</f>
        <v>0</v>
      </c>
      <c r="V1380" s="51">
        <f>IF(L1380="",0,MAX(1,N(E1380)))</f>
        <v>0</v>
      </c>
      <c r="W1380" s="51">
        <f>IF(K1380="",0,K1380)</f>
        <v>0</v>
      </c>
    </row>
    <row r="1381">
      <c r="A1381" s="49" t="n"/>
      <c r="B1381" s="41" t="n"/>
      <c r="C1381" s="41" t="n"/>
      <c r="D1381" s="42" t="n"/>
      <c r="E1381" s="42" t="n"/>
      <c r="F1381" s="50" t="n"/>
      <c r="G1381" s="42" t="n"/>
      <c r="H1381" s="30">
        <f>IF(D1381="","",IFERROR(INDEX(Config!$B$12:$B$15,MATCH(IF(AND(D1381="Cartão de crédito",N(E1381)&gt;1),"Cartão de crédito parcelado",D1381),Config!$A$12:$A$15,0)),0)+IF(AND(Config!$B$17="Sim",LEFT(D1381,17)="Cartão de crédito"),Config!$B$18*IFERROR(INDEX(Config!$C$12:$C$15,MATCH(IF(AND(D1381="Cartão de crédito",N(E1381)&gt;1),"Cartão de crédito parcelado",D1381),Config!$A$12:$A$15,0)),0)/30*MAX(1,N(E1381)),0))</f>
        <v/>
      </c>
      <c r="I1381" s="29">
        <f>IF(OR(D1381="",F1381=""),"",ROUND(F1381*H1381,2))</f>
        <v/>
      </c>
      <c r="J1381" s="29">
        <f>IF(I1381="","",F1381-I1381)</f>
        <v/>
      </c>
      <c r="K1381" s="29">
        <f>IF(J1381="","",J1381/MAX(1,N(E1381)))</f>
        <v/>
      </c>
      <c r="L1381" s="37">
        <f>IF(OR(D1381="",A1381=""),"",A1381+IF(AND(Config!$B$17="Sim",LEFT(D1381,17)="Cartão de crédito"),1,IFERROR(INDEX(Config!$C$12:$C$15,MATCH(IF(AND(D1381="Cartão de crédito",N(E1381)&gt;1),"Cartão de crédito parcelado",D1381),Config!$A$12:$A$15,0)),0)))</f>
        <v/>
      </c>
      <c r="M1381" s="37">
        <f>IF(L1381="","",IF(AND(Config!$B$17="Sim",LEFT(D1381,17)="Cartão de crédito"),L1381,L1381+30*(MAX(1,N(E1381))-1)))</f>
        <v/>
      </c>
      <c r="N1381" s="29">
        <f>IF(OR(L1381="",K1381=""),"",K1381*MIN(MAX(1,N(E1381)),MAX(0,INT((Config!$B$8-L1381)/30)+1)))</f>
        <v/>
      </c>
      <c r="O1381" s="29">
        <f>IF(J1381="","",J1381-N(N1381))</f>
        <v/>
      </c>
      <c r="P1381" s="27">
        <f>IF(A1381="","",MONTH(A1381))</f>
        <v/>
      </c>
      <c r="Q1381" s="27">
        <f>IF(A1381="","",YEAR(A1381))</f>
        <v/>
      </c>
      <c r="R1381" s="27">
        <f>IF(L1381="","",IF(L1381&gt;Config!$B$8,"A cair",IF(N(G1381)&gt;=MIN(MAX(1,N(E1381)),MAX(0,INT((Config!$B$8-L1381)/30)+1)),IF(N(G1381)&gt;=MAX(1,N(E1381)),"Conferido","Conferido até aqui"),"A conferir")))</f>
        <v/>
      </c>
      <c r="S1381" s="51">
        <f>IF(R1381="A conferir",(Config!$B$8-L1381)*1000+N(F1381)/1000+ROW()/100000,0)</f>
        <v>0</v>
      </c>
      <c r="T1381" s="51">
        <f>IF(R1381="A conferir",N(N1381),0)</f>
        <v>0</v>
      </c>
      <c r="U1381" s="51">
        <f>IF(L1381="",0,L1381)</f>
        <v>0</v>
      </c>
      <c r="V1381" s="51">
        <f>IF(L1381="",0,MAX(1,N(E1381)))</f>
        <v>0</v>
      </c>
      <c r="W1381" s="51">
        <f>IF(K1381="",0,K1381)</f>
        <v>0</v>
      </c>
    </row>
    <row r="1382">
      <c r="A1382" s="49" t="n"/>
      <c r="B1382" s="41" t="n"/>
      <c r="C1382" s="41" t="n"/>
      <c r="D1382" s="42" t="n"/>
      <c r="E1382" s="42" t="n"/>
      <c r="F1382" s="50" t="n"/>
      <c r="G1382" s="42" t="n"/>
      <c r="H1382" s="30">
        <f>IF(D1382="","",IFERROR(INDEX(Config!$B$12:$B$15,MATCH(IF(AND(D1382="Cartão de crédito",N(E1382)&gt;1),"Cartão de crédito parcelado",D1382),Config!$A$12:$A$15,0)),0)+IF(AND(Config!$B$17="Sim",LEFT(D1382,17)="Cartão de crédito"),Config!$B$18*IFERROR(INDEX(Config!$C$12:$C$15,MATCH(IF(AND(D1382="Cartão de crédito",N(E1382)&gt;1),"Cartão de crédito parcelado",D1382),Config!$A$12:$A$15,0)),0)/30*MAX(1,N(E1382)),0))</f>
        <v/>
      </c>
      <c r="I1382" s="29">
        <f>IF(OR(D1382="",F1382=""),"",ROUND(F1382*H1382,2))</f>
        <v/>
      </c>
      <c r="J1382" s="29">
        <f>IF(I1382="","",F1382-I1382)</f>
        <v/>
      </c>
      <c r="K1382" s="29">
        <f>IF(J1382="","",J1382/MAX(1,N(E1382)))</f>
        <v/>
      </c>
      <c r="L1382" s="37">
        <f>IF(OR(D1382="",A1382=""),"",A1382+IF(AND(Config!$B$17="Sim",LEFT(D1382,17)="Cartão de crédito"),1,IFERROR(INDEX(Config!$C$12:$C$15,MATCH(IF(AND(D1382="Cartão de crédito",N(E1382)&gt;1),"Cartão de crédito parcelado",D1382),Config!$A$12:$A$15,0)),0)))</f>
        <v/>
      </c>
      <c r="M1382" s="37">
        <f>IF(L1382="","",IF(AND(Config!$B$17="Sim",LEFT(D1382,17)="Cartão de crédito"),L1382,L1382+30*(MAX(1,N(E1382))-1)))</f>
        <v/>
      </c>
      <c r="N1382" s="29">
        <f>IF(OR(L1382="",K1382=""),"",K1382*MIN(MAX(1,N(E1382)),MAX(0,INT((Config!$B$8-L1382)/30)+1)))</f>
        <v/>
      </c>
      <c r="O1382" s="29">
        <f>IF(J1382="","",J1382-N(N1382))</f>
        <v/>
      </c>
      <c r="P1382" s="27">
        <f>IF(A1382="","",MONTH(A1382))</f>
        <v/>
      </c>
      <c r="Q1382" s="27">
        <f>IF(A1382="","",YEAR(A1382))</f>
        <v/>
      </c>
      <c r="R1382" s="27">
        <f>IF(L1382="","",IF(L1382&gt;Config!$B$8,"A cair",IF(N(G1382)&gt;=MIN(MAX(1,N(E1382)),MAX(0,INT((Config!$B$8-L1382)/30)+1)),IF(N(G1382)&gt;=MAX(1,N(E1382)),"Conferido","Conferido até aqui"),"A conferir")))</f>
        <v/>
      </c>
      <c r="S1382" s="51">
        <f>IF(R1382="A conferir",(Config!$B$8-L1382)*1000+N(F1382)/1000+ROW()/100000,0)</f>
        <v>0</v>
      </c>
      <c r="T1382" s="51">
        <f>IF(R1382="A conferir",N(N1382),0)</f>
        <v>0</v>
      </c>
      <c r="U1382" s="51">
        <f>IF(L1382="",0,L1382)</f>
        <v>0</v>
      </c>
      <c r="V1382" s="51">
        <f>IF(L1382="",0,MAX(1,N(E1382)))</f>
        <v>0</v>
      </c>
      <c r="W1382" s="51">
        <f>IF(K1382="",0,K1382)</f>
        <v>0</v>
      </c>
    </row>
    <row r="1383">
      <c r="A1383" s="49" t="n"/>
      <c r="B1383" s="41" t="n"/>
      <c r="C1383" s="41" t="n"/>
      <c r="D1383" s="42" t="n"/>
      <c r="E1383" s="42" t="n"/>
      <c r="F1383" s="50" t="n"/>
      <c r="G1383" s="42" t="n"/>
      <c r="H1383" s="30">
        <f>IF(D1383="","",IFERROR(INDEX(Config!$B$12:$B$15,MATCH(IF(AND(D1383="Cartão de crédito",N(E1383)&gt;1),"Cartão de crédito parcelado",D1383),Config!$A$12:$A$15,0)),0)+IF(AND(Config!$B$17="Sim",LEFT(D1383,17)="Cartão de crédito"),Config!$B$18*IFERROR(INDEX(Config!$C$12:$C$15,MATCH(IF(AND(D1383="Cartão de crédito",N(E1383)&gt;1),"Cartão de crédito parcelado",D1383),Config!$A$12:$A$15,0)),0)/30*MAX(1,N(E1383)),0))</f>
        <v/>
      </c>
      <c r="I1383" s="29">
        <f>IF(OR(D1383="",F1383=""),"",ROUND(F1383*H1383,2))</f>
        <v/>
      </c>
      <c r="J1383" s="29">
        <f>IF(I1383="","",F1383-I1383)</f>
        <v/>
      </c>
      <c r="K1383" s="29">
        <f>IF(J1383="","",J1383/MAX(1,N(E1383)))</f>
        <v/>
      </c>
      <c r="L1383" s="37">
        <f>IF(OR(D1383="",A1383=""),"",A1383+IF(AND(Config!$B$17="Sim",LEFT(D1383,17)="Cartão de crédito"),1,IFERROR(INDEX(Config!$C$12:$C$15,MATCH(IF(AND(D1383="Cartão de crédito",N(E1383)&gt;1),"Cartão de crédito parcelado",D1383),Config!$A$12:$A$15,0)),0)))</f>
        <v/>
      </c>
      <c r="M1383" s="37">
        <f>IF(L1383="","",IF(AND(Config!$B$17="Sim",LEFT(D1383,17)="Cartão de crédito"),L1383,L1383+30*(MAX(1,N(E1383))-1)))</f>
        <v/>
      </c>
      <c r="N1383" s="29">
        <f>IF(OR(L1383="",K1383=""),"",K1383*MIN(MAX(1,N(E1383)),MAX(0,INT((Config!$B$8-L1383)/30)+1)))</f>
        <v/>
      </c>
      <c r="O1383" s="29">
        <f>IF(J1383="","",J1383-N(N1383))</f>
        <v/>
      </c>
      <c r="P1383" s="27">
        <f>IF(A1383="","",MONTH(A1383))</f>
        <v/>
      </c>
      <c r="Q1383" s="27">
        <f>IF(A1383="","",YEAR(A1383))</f>
        <v/>
      </c>
      <c r="R1383" s="27">
        <f>IF(L1383="","",IF(L1383&gt;Config!$B$8,"A cair",IF(N(G1383)&gt;=MIN(MAX(1,N(E1383)),MAX(0,INT((Config!$B$8-L1383)/30)+1)),IF(N(G1383)&gt;=MAX(1,N(E1383)),"Conferido","Conferido até aqui"),"A conferir")))</f>
        <v/>
      </c>
      <c r="S1383" s="51">
        <f>IF(R1383="A conferir",(Config!$B$8-L1383)*1000+N(F1383)/1000+ROW()/100000,0)</f>
        <v>0</v>
      </c>
      <c r="T1383" s="51">
        <f>IF(R1383="A conferir",N(N1383),0)</f>
        <v>0</v>
      </c>
      <c r="U1383" s="51">
        <f>IF(L1383="",0,L1383)</f>
        <v>0</v>
      </c>
      <c r="V1383" s="51">
        <f>IF(L1383="",0,MAX(1,N(E1383)))</f>
        <v>0</v>
      </c>
      <c r="W1383" s="51">
        <f>IF(K1383="",0,K1383)</f>
        <v>0</v>
      </c>
    </row>
    <row r="1384">
      <c r="A1384" s="49" t="n"/>
      <c r="B1384" s="41" t="n"/>
      <c r="C1384" s="41" t="n"/>
      <c r="D1384" s="42" t="n"/>
      <c r="E1384" s="42" t="n"/>
      <c r="F1384" s="50" t="n"/>
      <c r="G1384" s="42" t="n"/>
      <c r="H1384" s="30">
        <f>IF(D1384="","",IFERROR(INDEX(Config!$B$12:$B$15,MATCH(IF(AND(D1384="Cartão de crédito",N(E1384)&gt;1),"Cartão de crédito parcelado",D1384),Config!$A$12:$A$15,0)),0)+IF(AND(Config!$B$17="Sim",LEFT(D1384,17)="Cartão de crédito"),Config!$B$18*IFERROR(INDEX(Config!$C$12:$C$15,MATCH(IF(AND(D1384="Cartão de crédito",N(E1384)&gt;1),"Cartão de crédito parcelado",D1384),Config!$A$12:$A$15,0)),0)/30*MAX(1,N(E1384)),0))</f>
        <v/>
      </c>
      <c r="I1384" s="29">
        <f>IF(OR(D1384="",F1384=""),"",ROUND(F1384*H1384,2))</f>
        <v/>
      </c>
      <c r="J1384" s="29">
        <f>IF(I1384="","",F1384-I1384)</f>
        <v/>
      </c>
      <c r="K1384" s="29">
        <f>IF(J1384="","",J1384/MAX(1,N(E1384)))</f>
        <v/>
      </c>
      <c r="L1384" s="37">
        <f>IF(OR(D1384="",A1384=""),"",A1384+IF(AND(Config!$B$17="Sim",LEFT(D1384,17)="Cartão de crédito"),1,IFERROR(INDEX(Config!$C$12:$C$15,MATCH(IF(AND(D1384="Cartão de crédito",N(E1384)&gt;1),"Cartão de crédito parcelado",D1384),Config!$A$12:$A$15,0)),0)))</f>
        <v/>
      </c>
      <c r="M1384" s="37">
        <f>IF(L1384="","",IF(AND(Config!$B$17="Sim",LEFT(D1384,17)="Cartão de crédito"),L1384,L1384+30*(MAX(1,N(E1384))-1)))</f>
        <v/>
      </c>
      <c r="N1384" s="29">
        <f>IF(OR(L1384="",K1384=""),"",K1384*MIN(MAX(1,N(E1384)),MAX(0,INT((Config!$B$8-L1384)/30)+1)))</f>
        <v/>
      </c>
      <c r="O1384" s="29">
        <f>IF(J1384="","",J1384-N(N1384))</f>
        <v/>
      </c>
      <c r="P1384" s="27">
        <f>IF(A1384="","",MONTH(A1384))</f>
        <v/>
      </c>
      <c r="Q1384" s="27">
        <f>IF(A1384="","",YEAR(A1384))</f>
        <v/>
      </c>
      <c r="R1384" s="27">
        <f>IF(L1384="","",IF(L1384&gt;Config!$B$8,"A cair",IF(N(G1384)&gt;=MIN(MAX(1,N(E1384)),MAX(0,INT((Config!$B$8-L1384)/30)+1)),IF(N(G1384)&gt;=MAX(1,N(E1384)),"Conferido","Conferido até aqui"),"A conferir")))</f>
        <v/>
      </c>
      <c r="S1384" s="51">
        <f>IF(R1384="A conferir",(Config!$B$8-L1384)*1000+N(F1384)/1000+ROW()/100000,0)</f>
        <v>0</v>
      </c>
      <c r="T1384" s="51">
        <f>IF(R1384="A conferir",N(N1384),0)</f>
        <v>0</v>
      </c>
      <c r="U1384" s="51">
        <f>IF(L1384="",0,L1384)</f>
        <v>0</v>
      </c>
      <c r="V1384" s="51">
        <f>IF(L1384="",0,MAX(1,N(E1384)))</f>
        <v>0</v>
      </c>
      <c r="W1384" s="51">
        <f>IF(K1384="",0,K1384)</f>
        <v>0</v>
      </c>
    </row>
    <row r="1385">
      <c r="A1385" s="49" t="n"/>
      <c r="B1385" s="41" t="n"/>
      <c r="C1385" s="41" t="n"/>
      <c r="D1385" s="42" t="n"/>
      <c r="E1385" s="42" t="n"/>
      <c r="F1385" s="50" t="n"/>
      <c r="G1385" s="42" t="n"/>
      <c r="H1385" s="30">
        <f>IF(D1385="","",IFERROR(INDEX(Config!$B$12:$B$15,MATCH(IF(AND(D1385="Cartão de crédito",N(E1385)&gt;1),"Cartão de crédito parcelado",D1385),Config!$A$12:$A$15,0)),0)+IF(AND(Config!$B$17="Sim",LEFT(D1385,17)="Cartão de crédito"),Config!$B$18*IFERROR(INDEX(Config!$C$12:$C$15,MATCH(IF(AND(D1385="Cartão de crédito",N(E1385)&gt;1),"Cartão de crédito parcelado",D1385),Config!$A$12:$A$15,0)),0)/30*MAX(1,N(E1385)),0))</f>
        <v/>
      </c>
      <c r="I1385" s="29">
        <f>IF(OR(D1385="",F1385=""),"",ROUND(F1385*H1385,2))</f>
        <v/>
      </c>
      <c r="J1385" s="29">
        <f>IF(I1385="","",F1385-I1385)</f>
        <v/>
      </c>
      <c r="K1385" s="29">
        <f>IF(J1385="","",J1385/MAX(1,N(E1385)))</f>
        <v/>
      </c>
      <c r="L1385" s="37">
        <f>IF(OR(D1385="",A1385=""),"",A1385+IF(AND(Config!$B$17="Sim",LEFT(D1385,17)="Cartão de crédito"),1,IFERROR(INDEX(Config!$C$12:$C$15,MATCH(IF(AND(D1385="Cartão de crédito",N(E1385)&gt;1),"Cartão de crédito parcelado",D1385),Config!$A$12:$A$15,0)),0)))</f>
        <v/>
      </c>
      <c r="M1385" s="37">
        <f>IF(L1385="","",IF(AND(Config!$B$17="Sim",LEFT(D1385,17)="Cartão de crédito"),L1385,L1385+30*(MAX(1,N(E1385))-1)))</f>
        <v/>
      </c>
      <c r="N1385" s="29">
        <f>IF(OR(L1385="",K1385=""),"",K1385*MIN(MAX(1,N(E1385)),MAX(0,INT((Config!$B$8-L1385)/30)+1)))</f>
        <v/>
      </c>
      <c r="O1385" s="29">
        <f>IF(J1385="","",J1385-N(N1385))</f>
        <v/>
      </c>
      <c r="P1385" s="27">
        <f>IF(A1385="","",MONTH(A1385))</f>
        <v/>
      </c>
      <c r="Q1385" s="27">
        <f>IF(A1385="","",YEAR(A1385))</f>
        <v/>
      </c>
      <c r="R1385" s="27">
        <f>IF(L1385="","",IF(L1385&gt;Config!$B$8,"A cair",IF(N(G1385)&gt;=MIN(MAX(1,N(E1385)),MAX(0,INT((Config!$B$8-L1385)/30)+1)),IF(N(G1385)&gt;=MAX(1,N(E1385)),"Conferido","Conferido até aqui"),"A conferir")))</f>
        <v/>
      </c>
      <c r="S1385" s="51">
        <f>IF(R1385="A conferir",(Config!$B$8-L1385)*1000+N(F1385)/1000+ROW()/100000,0)</f>
        <v>0</v>
      </c>
      <c r="T1385" s="51">
        <f>IF(R1385="A conferir",N(N1385),0)</f>
        <v>0</v>
      </c>
      <c r="U1385" s="51">
        <f>IF(L1385="",0,L1385)</f>
        <v>0</v>
      </c>
      <c r="V1385" s="51">
        <f>IF(L1385="",0,MAX(1,N(E1385)))</f>
        <v>0</v>
      </c>
      <c r="W1385" s="51">
        <f>IF(K1385="",0,K1385)</f>
        <v>0</v>
      </c>
    </row>
    <row r="1386">
      <c r="A1386" s="49" t="n"/>
      <c r="B1386" s="41" t="n"/>
      <c r="C1386" s="41" t="n"/>
      <c r="D1386" s="42" t="n"/>
      <c r="E1386" s="42" t="n"/>
      <c r="F1386" s="50" t="n"/>
      <c r="G1386" s="42" t="n"/>
      <c r="H1386" s="30">
        <f>IF(D1386="","",IFERROR(INDEX(Config!$B$12:$B$15,MATCH(IF(AND(D1386="Cartão de crédito",N(E1386)&gt;1),"Cartão de crédito parcelado",D1386),Config!$A$12:$A$15,0)),0)+IF(AND(Config!$B$17="Sim",LEFT(D1386,17)="Cartão de crédito"),Config!$B$18*IFERROR(INDEX(Config!$C$12:$C$15,MATCH(IF(AND(D1386="Cartão de crédito",N(E1386)&gt;1),"Cartão de crédito parcelado",D1386),Config!$A$12:$A$15,0)),0)/30*MAX(1,N(E1386)),0))</f>
        <v/>
      </c>
      <c r="I1386" s="29">
        <f>IF(OR(D1386="",F1386=""),"",ROUND(F1386*H1386,2))</f>
        <v/>
      </c>
      <c r="J1386" s="29">
        <f>IF(I1386="","",F1386-I1386)</f>
        <v/>
      </c>
      <c r="K1386" s="29">
        <f>IF(J1386="","",J1386/MAX(1,N(E1386)))</f>
        <v/>
      </c>
      <c r="L1386" s="37">
        <f>IF(OR(D1386="",A1386=""),"",A1386+IF(AND(Config!$B$17="Sim",LEFT(D1386,17)="Cartão de crédito"),1,IFERROR(INDEX(Config!$C$12:$C$15,MATCH(IF(AND(D1386="Cartão de crédito",N(E1386)&gt;1),"Cartão de crédito parcelado",D1386),Config!$A$12:$A$15,0)),0)))</f>
        <v/>
      </c>
      <c r="M1386" s="37">
        <f>IF(L1386="","",IF(AND(Config!$B$17="Sim",LEFT(D1386,17)="Cartão de crédito"),L1386,L1386+30*(MAX(1,N(E1386))-1)))</f>
        <v/>
      </c>
      <c r="N1386" s="29">
        <f>IF(OR(L1386="",K1386=""),"",K1386*MIN(MAX(1,N(E1386)),MAX(0,INT((Config!$B$8-L1386)/30)+1)))</f>
        <v/>
      </c>
      <c r="O1386" s="29">
        <f>IF(J1386="","",J1386-N(N1386))</f>
        <v/>
      </c>
      <c r="P1386" s="27">
        <f>IF(A1386="","",MONTH(A1386))</f>
        <v/>
      </c>
      <c r="Q1386" s="27">
        <f>IF(A1386="","",YEAR(A1386))</f>
        <v/>
      </c>
      <c r="R1386" s="27">
        <f>IF(L1386="","",IF(L1386&gt;Config!$B$8,"A cair",IF(N(G1386)&gt;=MIN(MAX(1,N(E1386)),MAX(0,INT((Config!$B$8-L1386)/30)+1)),IF(N(G1386)&gt;=MAX(1,N(E1386)),"Conferido","Conferido até aqui"),"A conferir")))</f>
        <v/>
      </c>
      <c r="S1386" s="51">
        <f>IF(R1386="A conferir",(Config!$B$8-L1386)*1000+N(F1386)/1000+ROW()/100000,0)</f>
        <v>0</v>
      </c>
      <c r="T1386" s="51">
        <f>IF(R1386="A conferir",N(N1386),0)</f>
        <v>0</v>
      </c>
      <c r="U1386" s="51">
        <f>IF(L1386="",0,L1386)</f>
        <v>0</v>
      </c>
      <c r="V1386" s="51">
        <f>IF(L1386="",0,MAX(1,N(E1386)))</f>
        <v>0</v>
      </c>
      <c r="W1386" s="51">
        <f>IF(K1386="",0,K1386)</f>
        <v>0</v>
      </c>
    </row>
    <row r="1387">
      <c r="A1387" s="49" t="n"/>
      <c r="B1387" s="41" t="n"/>
      <c r="C1387" s="41" t="n"/>
      <c r="D1387" s="42" t="n"/>
      <c r="E1387" s="42" t="n"/>
      <c r="F1387" s="50" t="n"/>
      <c r="G1387" s="42" t="n"/>
      <c r="H1387" s="30">
        <f>IF(D1387="","",IFERROR(INDEX(Config!$B$12:$B$15,MATCH(IF(AND(D1387="Cartão de crédito",N(E1387)&gt;1),"Cartão de crédito parcelado",D1387),Config!$A$12:$A$15,0)),0)+IF(AND(Config!$B$17="Sim",LEFT(D1387,17)="Cartão de crédito"),Config!$B$18*IFERROR(INDEX(Config!$C$12:$C$15,MATCH(IF(AND(D1387="Cartão de crédito",N(E1387)&gt;1),"Cartão de crédito parcelado",D1387),Config!$A$12:$A$15,0)),0)/30*MAX(1,N(E1387)),0))</f>
        <v/>
      </c>
      <c r="I1387" s="29">
        <f>IF(OR(D1387="",F1387=""),"",ROUND(F1387*H1387,2))</f>
        <v/>
      </c>
      <c r="J1387" s="29">
        <f>IF(I1387="","",F1387-I1387)</f>
        <v/>
      </c>
      <c r="K1387" s="29">
        <f>IF(J1387="","",J1387/MAX(1,N(E1387)))</f>
        <v/>
      </c>
      <c r="L1387" s="37">
        <f>IF(OR(D1387="",A1387=""),"",A1387+IF(AND(Config!$B$17="Sim",LEFT(D1387,17)="Cartão de crédito"),1,IFERROR(INDEX(Config!$C$12:$C$15,MATCH(IF(AND(D1387="Cartão de crédito",N(E1387)&gt;1),"Cartão de crédito parcelado",D1387),Config!$A$12:$A$15,0)),0)))</f>
        <v/>
      </c>
      <c r="M1387" s="37">
        <f>IF(L1387="","",IF(AND(Config!$B$17="Sim",LEFT(D1387,17)="Cartão de crédito"),L1387,L1387+30*(MAX(1,N(E1387))-1)))</f>
        <v/>
      </c>
      <c r="N1387" s="29">
        <f>IF(OR(L1387="",K1387=""),"",K1387*MIN(MAX(1,N(E1387)),MAX(0,INT((Config!$B$8-L1387)/30)+1)))</f>
        <v/>
      </c>
      <c r="O1387" s="29">
        <f>IF(J1387="","",J1387-N(N1387))</f>
        <v/>
      </c>
      <c r="P1387" s="27">
        <f>IF(A1387="","",MONTH(A1387))</f>
        <v/>
      </c>
      <c r="Q1387" s="27">
        <f>IF(A1387="","",YEAR(A1387))</f>
        <v/>
      </c>
      <c r="R1387" s="27">
        <f>IF(L1387="","",IF(L1387&gt;Config!$B$8,"A cair",IF(N(G1387)&gt;=MIN(MAX(1,N(E1387)),MAX(0,INT((Config!$B$8-L1387)/30)+1)),IF(N(G1387)&gt;=MAX(1,N(E1387)),"Conferido","Conferido até aqui"),"A conferir")))</f>
        <v/>
      </c>
      <c r="S1387" s="51">
        <f>IF(R1387="A conferir",(Config!$B$8-L1387)*1000+N(F1387)/1000+ROW()/100000,0)</f>
        <v>0</v>
      </c>
      <c r="T1387" s="51">
        <f>IF(R1387="A conferir",N(N1387),0)</f>
        <v>0</v>
      </c>
      <c r="U1387" s="51">
        <f>IF(L1387="",0,L1387)</f>
        <v>0</v>
      </c>
      <c r="V1387" s="51">
        <f>IF(L1387="",0,MAX(1,N(E1387)))</f>
        <v>0</v>
      </c>
      <c r="W1387" s="51">
        <f>IF(K1387="",0,K1387)</f>
        <v>0</v>
      </c>
    </row>
    <row r="1388">
      <c r="A1388" s="49" t="n"/>
      <c r="B1388" s="41" t="n"/>
      <c r="C1388" s="41" t="n"/>
      <c r="D1388" s="42" t="n"/>
      <c r="E1388" s="42" t="n"/>
      <c r="F1388" s="50" t="n"/>
      <c r="G1388" s="42" t="n"/>
      <c r="H1388" s="30">
        <f>IF(D1388="","",IFERROR(INDEX(Config!$B$12:$B$15,MATCH(IF(AND(D1388="Cartão de crédito",N(E1388)&gt;1),"Cartão de crédito parcelado",D1388),Config!$A$12:$A$15,0)),0)+IF(AND(Config!$B$17="Sim",LEFT(D1388,17)="Cartão de crédito"),Config!$B$18*IFERROR(INDEX(Config!$C$12:$C$15,MATCH(IF(AND(D1388="Cartão de crédito",N(E1388)&gt;1),"Cartão de crédito parcelado",D1388),Config!$A$12:$A$15,0)),0)/30*MAX(1,N(E1388)),0))</f>
        <v/>
      </c>
      <c r="I1388" s="29">
        <f>IF(OR(D1388="",F1388=""),"",ROUND(F1388*H1388,2))</f>
        <v/>
      </c>
      <c r="J1388" s="29">
        <f>IF(I1388="","",F1388-I1388)</f>
        <v/>
      </c>
      <c r="K1388" s="29">
        <f>IF(J1388="","",J1388/MAX(1,N(E1388)))</f>
        <v/>
      </c>
      <c r="L1388" s="37">
        <f>IF(OR(D1388="",A1388=""),"",A1388+IF(AND(Config!$B$17="Sim",LEFT(D1388,17)="Cartão de crédito"),1,IFERROR(INDEX(Config!$C$12:$C$15,MATCH(IF(AND(D1388="Cartão de crédito",N(E1388)&gt;1),"Cartão de crédito parcelado",D1388),Config!$A$12:$A$15,0)),0)))</f>
        <v/>
      </c>
      <c r="M1388" s="37">
        <f>IF(L1388="","",IF(AND(Config!$B$17="Sim",LEFT(D1388,17)="Cartão de crédito"),L1388,L1388+30*(MAX(1,N(E1388))-1)))</f>
        <v/>
      </c>
      <c r="N1388" s="29">
        <f>IF(OR(L1388="",K1388=""),"",K1388*MIN(MAX(1,N(E1388)),MAX(0,INT((Config!$B$8-L1388)/30)+1)))</f>
        <v/>
      </c>
      <c r="O1388" s="29">
        <f>IF(J1388="","",J1388-N(N1388))</f>
        <v/>
      </c>
      <c r="P1388" s="27">
        <f>IF(A1388="","",MONTH(A1388))</f>
        <v/>
      </c>
      <c r="Q1388" s="27">
        <f>IF(A1388="","",YEAR(A1388))</f>
        <v/>
      </c>
      <c r="R1388" s="27">
        <f>IF(L1388="","",IF(L1388&gt;Config!$B$8,"A cair",IF(N(G1388)&gt;=MIN(MAX(1,N(E1388)),MAX(0,INT((Config!$B$8-L1388)/30)+1)),IF(N(G1388)&gt;=MAX(1,N(E1388)),"Conferido","Conferido até aqui"),"A conferir")))</f>
        <v/>
      </c>
      <c r="S1388" s="51">
        <f>IF(R1388="A conferir",(Config!$B$8-L1388)*1000+N(F1388)/1000+ROW()/100000,0)</f>
        <v>0</v>
      </c>
      <c r="T1388" s="51">
        <f>IF(R1388="A conferir",N(N1388),0)</f>
        <v>0</v>
      </c>
      <c r="U1388" s="51">
        <f>IF(L1388="",0,L1388)</f>
        <v>0</v>
      </c>
      <c r="V1388" s="51">
        <f>IF(L1388="",0,MAX(1,N(E1388)))</f>
        <v>0</v>
      </c>
      <c r="W1388" s="51">
        <f>IF(K1388="",0,K1388)</f>
        <v>0</v>
      </c>
    </row>
    <row r="1389">
      <c r="A1389" s="49" t="n"/>
      <c r="B1389" s="41" t="n"/>
      <c r="C1389" s="41" t="n"/>
      <c r="D1389" s="42" t="n"/>
      <c r="E1389" s="42" t="n"/>
      <c r="F1389" s="50" t="n"/>
      <c r="G1389" s="42" t="n"/>
      <c r="H1389" s="30">
        <f>IF(D1389="","",IFERROR(INDEX(Config!$B$12:$B$15,MATCH(IF(AND(D1389="Cartão de crédito",N(E1389)&gt;1),"Cartão de crédito parcelado",D1389),Config!$A$12:$A$15,0)),0)+IF(AND(Config!$B$17="Sim",LEFT(D1389,17)="Cartão de crédito"),Config!$B$18*IFERROR(INDEX(Config!$C$12:$C$15,MATCH(IF(AND(D1389="Cartão de crédito",N(E1389)&gt;1),"Cartão de crédito parcelado",D1389),Config!$A$12:$A$15,0)),0)/30*MAX(1,N(E1389)),0))</f>
        <v/>
      </c>
      <c r="I1389" s="29">
        <f>IF(OR(D1389="",F1389=""),"",ROUND(F1389*H1389,2))</f>
        <v/>
      </c>
      <c r="J1389" s="29">
        <f>IF(I1389="","",F1389-I1389)</f>
        <v/>
      </c>
      <c r="K1389" s="29">
        <f>IF(J1389="","",J1389/MAX(1,N(E1389)))</f>
        <v/>
      </c>
      <c r="L1389" s="37">
        <f>IF(OR(D1389="",A1389=""),"",A1389+IF(AND(Config!$B$17="Sim",LEFT(D1389,17)="Cartão de crédito"),1,IFERROR(INDEX(Config!$C$12:$C$15,MATCH(IF(AND(D1389="Cartão de crédito",N(E1389)&gt;1),"Cartão de crédito parcelado",D1389),Config!$A$12:$A$15,0)),0)))</f>
        <v/>
      </c>
      <c r="M1389" s="37">
        <f>IF(L1389="","",IF(AND(Config!$B$17="Sim",LEFT(D1389,17)="Cartão de crédito"),L1389,L1389+30*(MAX(1,N(E1389))-1)))</f>
        <v/>
      </c>
      <c r="N1389" s="29">
        <f>IF(OR(L1389="",K1389=""),"",K1389*MIN(MAX(1,N(E1389)),MAX(0,INT((Config!$B$8-L1389)/30)+1)))</f>
        <v/>
      </c>
      <c r="O1389" s="29">
        <f>IF(J1389="","",J1389-N(N1389))</f>
        <v/>
      </c>
      <c r="P1389" s="27">
        <f>IF(A1389="","",MONTH(A1389))</f>
        <v/>
      </c>
      <c r="Q1389" s="27">
        <f>IF(A1389="","",YEAR(A1389))</f>
        <v/>
      </c>
      <c r="R1389" s="27">
        <f>IF(L1389="","",IF(L1389&gt;Config!$B$8,"A cair",IF(N(G1389)&gt;=MIN(MAX(1,N(E1389)),MAX(0,INT((Config!$B$8-L1389)/30)+1)),IF(N(G1389)&gt;=MAX(1,N(E1389)),"Conferido","Conferido até aqui"),"A conferir")))</f>
        <v/>
      </c>
      <c r="S1389" s="51">
        <f>IF(R1389="A conferir",(Config!$B$8-L1389)*1000+N(F1389)/1000+ROW()/100000,0)</f>
        <v>0</v>
      </c>
      <c r="T1389" s="51">
        <f>IF(R1389="A conferir",N(N1389),0)</f>
        <v>0</v>
      </c>
      <c r="U1389" s="51">
        <f>IF(L1389="",0,L1389)</f>
        <v>0</v>
      </c>
      <c r="V1389" s="51">
        <f>IF(L1389="",0,MAX(1,N(E1389)))</f>
        <v>0</v>
      </c>
      <c r="W1389" s="51">
        <f>IF(K1389="",0,K1389)</f>
        <v>0</v>
      </c>
    </row>
    <row r="1390">
      <c r="A1390" s="49" t="n"/>
      <c r="B1390" s="41" t="n"/>
      <c r="C1390" s="41" t="n"/>
      <c r="D1390" s="42" t="n"/>
      <c r="E1390" s="42" t="n"/>
      <c r="F1390" s="50" t="n"/>
      <c r="G1390" s="42" t="n"/>
      <c r="H1390" s="30">
        <f>IF(D1390="","",IFERROR(INDEX(Config!$B$12:$B$15,MATCH(IF(AND(D1390="Cartão de crédito",N(E1390)&gt;1),"Cartão de crédito parcelado",D1390),Config!$A$12:$A$15,0)),0)+IF(AND(Config!$B$17="Sim",LEFT(D1390,17)="Cartão de crédito"),Config!$B$18*IFERROR(INDEX(Config!$C$12:$C$15,MATCH(IF(AND(D1390="Cartão de crédito",N(E1390)&gt;1),"Cartão de crédito parcelado",D1390),Config!$A$12:$A$15,0)),0)/30*MAX(1,N(E1390)),0))</f>
        <v/>
      </c>
      <c r="I1390" s="29">
        <f>IF(OR(D1390="",F1390=""),"",ROUND(F1390*H1390,2))</f>
        <v/>
      </c>
      <c r="J1390" s="29">
        <f>IF(I1390="","",F1390-I1390)</f>
        <v/>
      </c>
      <c r="K1390" s="29">
        <f>IF(J1390="","",J1390/MAX(1,N(E1390)))</f>
        <v/>
      </c>
      <c r="L1390" s="37">
        <f>IF(OR(D1390="",A1390=""),"",A1390+IF(AND(Config!$B$17="Sim",LEFT(D1390,17)="Cartão de crédito"),1,IFERROR(INDEX(Config!$C$12:$C$15,MATCH(IF(AND(D1390="Cartão de crédito",N(E1390)&gt;1),"Cartão de crédito parcelado",D1390),Config!$A$12:$A$15,0)),0)))</f>
        <v/>
      </c>
      <c r="M1390" s="37">
        <f>IF(L1390="","",IF(AND(Config!$B$17="Sim",LEFT(D1390,17)="Cartão de crédito"),L1390,L1390+30*(MAX(1,N(E1390))-1)))</f>
        <v/>
      </c>
      <c r="N1390" s="29">
        <f>IF(OR(L1390="",K1390=""),"",K1390*MIN(MAX(1,N(E1390)),MAX(0,INT((Config!$B$8-L1390)/30)+1)))</f>
        <v/>
      </c>
      <c r="O1390" s="29">
        <f>IF(J1390="","",J1390-N(N1390))</f>
        <v/>
      </c>
      <c r="P1390" s="27">
        <f>IF(A1390="","",MONTH(A1390))</f>
        <v/>
      </c>
      <c r="Q1390" s="27">
        <f>IF(A1390="","",YEAR(A1390))</f>
        <v/>
      </c>
      <c r="R1390" s="27">
        <f>IF(L1390="","",IF(L1390&gt;Config!$B$8,"A cair",IF(N(G1390)&gt;=MIN(MAX(1,N(E1390)),MAX(0,INT((Config!$B$8-L1390)/30)+1)),IF(N(G1390)&gt;=MAX(1,N(E1390)),"Conferido","Conferido até aqui"),"A conferir")))</f>
        <v/>
      </c>
      <c r="S1390" s="51">
        <f>IF(R1390="A conferir",(Config!$B$8-L1390)*1000+N(F1390)/1000+ROW()/100000,0)</f>
        <v>0</v>
      </c>
      <c r="T1390" s="51">
        <f>IF(R1390="A conferir",N(N1390),0)</f>
        <v>0</v>
      </c>
      <c r="U1390" s="51">
        <f>IF(L1390="",0,L1390)</f>
        <v>0</v>
      </c>
      <c r="V1390" s="51">
        <f>IF(L1390="",0,MAX(1,N(E1390)))</f>
        <v>0</v>
      </c>
      <c r="W1390" s="51">
        <f>IF(K1390="",0,K1390)</f>
        <v>0</v>
      </c>
    </row>
    <row r="1391">
      <c r="A1391" s="49" t="n"/>
      <c r="B1391" s="41" t="n"/>
      <c r="C1391" s="41" t="n"/>
      <c r="D1391" s="42" t="n"/>
      <c r="E1391" s="42" t="n"/>
      <c r="F1391" s="50" t="n"/>
      <c r="G1391" s="42" t="n"/>
      <c r="H1391" s="30">
        <f>IF(D1391="","",IFERROR(INDEX(Config!$B$12:$B$15,MATCH(IF(AND(D1391="Cartão de crédito",N(E1391)&gt;1),"Cartão de crédito parcelado",D1391),Config!$A$12:$A$15,0)),0)+IF(AND(Config!$B$17="Sim",LEFT(D1391,17)="Cartão de crédito"),Config!$B$18*IFERROR(INDEX(Config!$C$12:$C$15,MATCH(IF(AND(D1391="Cartão de crédito",N(E1391)&gt;1),"Cartão de crédito parcelado",D1391),Config!$A$12:$A$15,0)),0)/30*MAX(1,N(E1391)),0))</f>
        <v/>
      </c>
      <c r="I1391" s="29">
        <f>IF(OR(D1391="",F1391=""),"",ROUND(F1391*H1391,2))</f>
        <v/>
      </c>
      <c r="J1391" s="29">
        <f>IF(I1391="","",F1391-I1391)</f>
        <v/>
      </c>
      <c r="K1391" s="29">
        <f>IF(J1391="","",J1391/MAX(1,N(E1391)))</f>
        <v/>
      </c>
      <c r="L1391" s="37">
        <f>IF(OR(D1391="",A1391=""),"",A1391+IF(AND(Config!$B$17="Sim",LEFT(D1391,17)="Cartão de crédito"),1,IFERROR(INDEX(Config!$C$12:$C$15,MATCH(IF(AND(D1391="Cartão de crédito",N(E1391)&gt;1),"Cartão de crédito parcelado",D1391),Config!$A$12:$A$15,0)),0)))</f>
        <v/>
      </c>
      <c r="M1391" s="37">
        <f>IF(L1391="","",IF(AND(Config!$B$17="Sim",LEFT(D1391,17)="Cartão de crédito"),L1391,L1391+30*(MAX(1,N(E1391))-1)))</f>
        <v/>
      </c>
      <c r="N1391" s="29">
        <f>IF(OR(L1391="",K1391=""),"",K1391*MIN(MAX(1,N(E1391)),MAX(0,INT((Config!$B$8-L1391)/30)+1)))</f>
        <v/>
      </c>
      <c r="O1391" s="29">
        <f>IF(J1391="","",J1391-N(N1391))</f>
        <v/>
      </c>
      <c r="P1391" s="27">
        <f>IF(A1391="","",MONTH(A1391))</f>
        <v/>
      </c>
      <c r="Q1391" s="27">
        <f>IF(A1391="","",YEAR(A1391))</f>
        <v/>
      </c>
      <c r="R1391" s="27">
        <f>IF(L1391="","",IF(L1391&gt;Config!$B$8,"A cair",IF(N(G1391)&gt;=MIN(MAX(1,N(E1391)),MAX(0,INT((Config!$B$8-L1391)/30)+1)),IF(N(G1391)&gt;=MAX(1,N(E1391)),"Conferido","Conferido até aqui"),"A conferir")))</f>
        <v/>
      </c>
      <c r="S1391" s="51">
        <f>IF(R1391="A conferir",(Config!$B$8-L1391)*1000+N(F1391)/1000+ROW()/100000,0)</f>
        <v>0</v>
      </c>
      <c r="T1391" s="51">
        <f>IF(R1391="A conferir",N(N1391),0)</f>
        <v>0</v>
      </c>
      <c r="U1391" s="51">
        <f>IF(L1391="",0,L1391)</f>
        <v>0</v>
      </c>
      <c r="V1391" s="51">
        <f>IF(L1391="",0,MAX(1,N(E1391)))</f>
        <v>0</v>
      </c>
      <c r="W1391" s="51">
        <f>IF(K1391="",0,K1391)</f>
        <v>0</v>
      </c>
    </row>
    <row r="1392">
      <c r="A1392" s="49" t="n"/>
      <c r="B1392" s="41" t="n"/>
      <c r="C1392" s="41" t="n"/>
      <c r="D1392" s="42" t="n"/>
      <c r="E1392" s="42" t="n"/>
      <c r="F1392" s="50" t="n"/>
      <c r="G1392" s="42" t="n"/>
      <c r="H1392" s="30">
        <f>IF(D1392="","",IFERROR(INDEX(Config!$B$12:$B$15,MATCH(IF(AND(D1392="Cartão de crédito",N(E1392)&gt;1),"Cartão de crédito parcelado",D1392),Config!$A$12:$A$15,0)),0)+IF(AND(Config!$B$17="Sim",LEFT(D1392,17)="Cartão de crédito"),Config!$B$18*IFERROR(INDEX(Config!$C$12:$C$15,MATCH(IF(AND(D1392="Cartão de crédito",N(E1392)&gt;1),"Cartão de crédito parcelado",D1392),Config!$A$12:$A$15,0)),0)/30*MAX(1,N(E1392)),0))</f>
        <v/>
      </c>
      <c r="I1392" s="29">
        <f>IF(OR(D1392="",F1392=""),"",ROUND(F1392*H1392,2))</f>
        <v/>
      </c>
      <c r="J1392" s="29">
        <f>IF(I1392="","",F1392-I1392)</f>
        <v/>
      </c>
      <c r="K1392" s="29">
        <f>IF(J1392="","",J1392/MAX(1,N(E1392)))</f>
        <v/>
      </c>
      <c r="L1392" s="37">
        <f>IF(OR(D1392="",A1392=""),"",A1392+IF(AND(Config!$B$17="Sim",LEFT(D1392,17)="Cartão de crédito"),1,IFERROR(INDEX(Config!$C$12:$C$15,MATCH(IF(AND(D1392="Cartão de crédito",N(E1392)&gt;1),"Cartão de crédito parcelado",D1392),Config!$A$12:$A$15,0)),0)))</f>
        <v/>
      </c>
      <c r="M1392" s="37">
        <f>IF(L1392="","",IF(AND(Config!$B$17="Sim",LEFT(D1392,17)="Cartão de crédito"),L1392,L1392+30*(MAX(1,N(E1392))-1)))</f>
        <v/>
      </c>
      <c r="N1392" s="29">
        <f>IF(OR(L1392="",K1392=""),"",K1392*MIN(MAX(1,N(E1392)),MAX(0,INT((Config!$B$8-L1392)/30)+1)))</f>
        <v/>
      </c>
      <c r="O1392" s="29">
        <f>IF(J1392="","",J1392-N(N1392))</f>
        <v/>
      </c>
      <c r="P1392" s="27">
        <f>IF(A1392="","",MONTH(A1392))</f>
        <v/>
      </c>
      <c r="Q1392" s="27">
        <f>IF(A1392="","",YEAR(A1392))</f>
        <v/>
      </c>
      <c r="R1392" s="27">
        <f>IF(L1392="","",IF(L1392&gt;Config!$B$8,"A cair",IF(N(G1392)&gt;=MIN(MAX(1,N(E1392)),MAX(0,INT((Config!$B$8-L1392)/30)+1)),IF(N(G1392)&gt;=MAX(1,N(E1392)),"Conferido","Conferido até aqui"),"A conferir")))</f>
        <v/>
      </c>
      <c r="S1392" s="51">
        <f>IF(R1392="A conferir",(Config!$B$8-L1392)*1000+N(F1392)/1000+ROW()/100000,0)</f>
        <v>0</v>
      </c>
      <c r="T1392" s="51">
        <f>IF(R1392="A conferir",N(N1392),0)</f>
        <v>0</v>
      </c>
      <c r="U1392" s="51">
        <f>IF(L1392="",0,L1392)</f>
        <v>0</v>
      </c>
      <c r="V1392" s="51">
        <f>IF(L1392="",0,MAX(1,N(E1392)))</f>
        <v>0</v>
      </c>
      <c r="W1392" s="51">
        <f>IF(K1392="",0,K1392)</f>
        <v>0</v>
      </c>
    </row>
    <row r="1393">
      <c r="A1393" s="49" t="n"/>
      <c r="B1393" s="41" t="n"/>
      <c r="C1393" s="41" t="n"/>
      <c r="D1393" s="42" t="n"/>
      <c r="E1393" s="42" t="n"/>
      <c r="F1393" s="50" t="n"/>
      <c r="G1393" s="42" t="n"/>
      <c r="H1393" s="30">
        <f>IF(D1393="","",IFERROR(INDEX(Config!$B$12:$B$15,MATCH(IF(AND(D1393="Cartão de crédito",N(E1393)&gt;1),"Cartão de crédito parcelado",D1393),Config!$A$12:$A$15,0)),0)+IF(AND(Config!$B$17="Sim",LEFT(D1393,17)="Cartão de crédito"),Config!$B$18*IFERROR(INDEX(Config!$C$12:$C$15,MATCH(IF(AND(D1393="Cartão de crédito",N(E1393)&gt;1),"Cartão de crédito parcelado",D1393),Config!$A$12:$A$15,0)),0)/30*MAX(1,N(E1393)),0))</f>
        <v/>
      </c>
      <c r="I1393" s="29">
        <f>IF(OR(D1393="",F1393=""),"",ROUND(F1393*H1393,2))</f>
        <v/>
      </c>
      <c r="J1393" s="29">
        <f>IF(I1393="","",F1393-I1393)</f>
        <v/>
      </c>
      <c r="K1393" s="29">
        <f>IF(J1393="","",J1393/MAX(1,N(E1393)))</f>
        <v/>
      </c>
      <c r="L1393" s="37">
        <f>IF(OR(D1393="",A1393=""),"",A1393+IF(AND(Config!$B$17="Sim",LEFT(D1393,17)="Cartão de crédito"),1,IFERROR(INDEX(Config!$C$12:$C$15,MATCH(IF(AND(D1393="Cartão de crédito",N(E1393)&gt;1),"Cartão de crédito parcelado",D1393),Config!$A$12:$A$15,0)),0)))</f>
        <v/>
      </c>
      <c r="M1393" s="37">
        <f>IF(L1393="","",IF(AND(Config!$B$17="Sim",LEFT(D1393,17)="Cartão de crédito"),L1393,L1393+30*(MAX(1,N(E1393))-1)))</f>
        <v/>
      </c>
      <c r="N1393" s="29">
        <f>IF(OR(L1393="",K1393=""),"",K1393*MIN(MAX(1,N(E1393)),MAX(0,INT((Config!$B$8-L1393)/30)+1)))</f>
        <v/>
      </c>
      <c r="O1393" s="29">
        <f>IF(J1393="","",J1393-N(N1393))</f>
        <v/>
      </c>
      <c r="P1393" s="27">
        <f>IF(A1393="","",MONTH(A1393))</f>
        <v/>
      </c>
      <c r="Q1393" s="27">
        <f>IF(A1393="","",YEAR(A1393))</f>
        <v/>
      </c>
      <c r="R1393" s="27">
        <f>IF(L1393="","",IF(L1393&gt;Config!$B$8,"A cair",IF(N(G1393)&gt;=MIN(MAX(1,N(E1393)),MAX(0,INT((Config!$B$8-L1393)/30)+1)),IF(N(G1393)&gt;=MAX(1,N(E1393)),"Conferido","Conferido até aqui"),"A conferir")))</f>
        <v/>
      </c>
      <c r="S1393" s="51">
        <f>IF(R1393="A conferir",(Config!$B$8-L1393)*1000+N(F1393)/1000+ROW()/100000,0)</f>
        <v>0</v>
      </c>
      <c r="T1393" s="51">
        <f>IF(R1393="A conferir",N(N1393),0)</f>
        <v>0</v>
      </c>
      <c r="U1393" s="51">
        <f>IF(L1393="",0,L1393)</f>
        <v>0</v>
      </c>
      <c r="V1393" s="51">
        <f>IF(L1393="",0,MAX(1,N(E1393)))</f>
        <v>0</v>
      </c>
      <c r="W1393" s="51">
        <f>IF(K1393="",0,K1393)</f>
        <v>0</v>
      </c>
    </row>
    <row r="1394">
      <c r="A1394" s="49" t="n"/>
      <c r="B1394" s="41" t="n"/>
      <c r="C1394" s="41" t="n"/>
      <c r="D1394" s="42" t="n"/>
      <c r="E1394" s="42" t="n"/>
      <c r="F1394" s="50" t="n"/>
      <c r="G1394" s="42" t="n"/>
      <c r="H1394" s="30">
        <f>IF(D1394="","",IFERROR(INDEX(Config!$B$12:$B$15,MATCH(IF(AND(D1394="Cartão de crédito",N(E1394)&gt;1),"Cartão de crédito parcelado",D1394),Config!$A$12:$A$15,0)),0)+IF(AND(Config!$B$17="Sim",LEFT(D1394,17)="Cartão de crédito"),Config!$B$18*IFERROR(INDEX(Config!$C$12:$C$15,MATCH(IF(AND(D1394="Cartão de crédito",N(E1394)&gt;1),"Cartão de crédito parcelado",D1394),Config!$A$12:$A$15,0)),0)/30*MAX(1,N(E1394)),0))</f>
        <v/>
      </c>
      <c r="I1394" s="29">
        <f>IF(OR(D1394="",F1394=""),"",ROUND(F1394*H1394,2))</f>
        <v/>
      </c>
      <c r="J1394" s="29">
        <f>IF(I1394="","",F1394-I1394)</f>
        <v/>
      </c>
      <c r="K1394" s="29">
        <f>IF(J1394="","",J1394/MAX(1,N(E1394)))</f>
        <v/>
      </c>
      <c r="L1394" s="37">
        <f>IF(OR(D1394="",A1394=""),"",A1394+IF(AND(Config!$B$17="Sim",LEFT(D1394,17)="Cartão de crédito"),1,IFERROR(INDEX(Config!$C$12:$C$15,MATCH(IF(AND(D1394="Cartão de crédito",N(E1394)&gt;1),"Cartão de crédito parcelado",D1394),Config!$A$12:$A$15,0)),0)))</f>
        <v/>
      </c>
      <c r="M1394" s="37">
        <f>IF(L1394="","",IF(AND(Config!$B$17="Sim",LEFT(D1394,17)="Cartão de crédito"),L1394,L1394+30*(MAX(1,N(E1394))-1)))</f>
        <v/>
      </c>
      <c r="N1394" s="29">
        <f>IF(OR(L1394="",K1394=""),"",K1394*MIN(MAX(1,N(E1394)),MAX(0,INT((Config!$B$8-L1394)/30)+1)))</f>
        <v/>
      </c>
      <c r="O1394" s="29">
        <f>IF(J1394="","",J1394-N(N1394))</f>
        <v/>
      </c>
      <c r="P1394" s="27">
        <f>IF(A1394="","",MONTH(A1394))</f>
        <v/>
      </c>
      <c r="Q1394" s="27">
        <f>IF(A1394="","",YEAR(A1394))</f>
        <v/>
      </c>
      <c r="R1394" s="27">
        <f>IF(L1394="","",IF(L1394&gt;Config!$B$8,"A cair",IF(N(G1394)&gt;=MIN(MAX(1,N(E1394)),MAX(0,INT((Config!$B$8-L1394)/30)+1)),IF(N(G1394)&gt;=MAX(1,N(E1394)),"Conferido","Conferido até aqui"),"A conferir")))</f>
        <v/>
      </c>
      <c r="S1394" s="51">
        <f>IF(R1394="A conferir",(Config!$B$8-L1394)*1000+N(F1394)/1000+ROW()/100000,0)</f>
        <v>0</v>
      </c>
      <c r="T1394" s="51">
        <f>IF(R1394="A conferir",N(N1394),0)</f>
        <v>0</v>
      </c>
      <c r="U1394" s="51">
        <f>IF(L1394="",0,L1394)</f>
        <v>0</v>
      </c>
      <c r="V1394" s="51">
        <f>IF(L1394="",0,MAX(1,N(E1394)))</f>
        <v>0</v>
      </c>
      <c r="W1394" s="51">
        <f>IF(K1394="",0,K1394)</f>
        <v>0</v>
      </c>
    </row>
    <row r="1395">
      <c r="A1395" s="49" t="n"/>
      <c r="B1395" s="41" t="n"/>
      <c r="C1395" s="41" t="n"/>
      <c r="D1395" s="42" t="n"/>
      <c r="E1395" s="42" t="n"/>
      <c r="F1395" s="50" t="n"/>
      <c r="G1395" s="42" t="n"/>
      <c r="H1395" s="30">
        <f>IF(D1395="","",IFERROR(INDEX(Config!$B$12:$B$15,MATCH(IF(AND(D1395="Cartão de crédito",N(E1395)&gt;1),"Cartão de crédito parcelado",D1395),Config!$A$12:$A$15,0)),0)+IF(AND(Config!$B$17="Sim",LEFT(D1395,17)="Cartão de crédito"),Config!$B$18*IFERROR(INDEX(Config!$C$12:$C$15,MATCH(IF(AND(D1395="Cartão de crédito",N(E1395)&gt;1),"Cartão de crédito parcelado",D1395),Config!$A$12:$A$15,0)),0)/30*MAX(1,N(E1395)),0))</f>
        <v/>
      </c>
      <c r="I1395" s="29">
        <f>IF(OR(D1395="",F1395=""),"",ROUND(F1395*H1395,2))</f>
        <v/>
      </c>
      <c r="J1395" s="29">
        <f>IF(I1395="","",F1395-I1395)</f>
        <v/>
      </c>
      <c r="K1395" s="29">
        <f>IF(J1395="","",J1395/MAX(1,N(E1395)))</f>
        <v/>
      </c>
      <c r="L1395" s="37">
        <f>IF(OR(D1395="",A1395=""),"",A1395+IF(AND(Config!$B$17="Sim",LEFT(D1395,17)="Cartão de crédito"),1,IFERROR(INDEX(Config!$C$12:$C$15,MATCH(IF(AND(D1395="Cartão de crédito",N(E1395)&gt;1),"Cartão de crédito parcelado",D1395),Config!$A$12:$A$15,0)),0)))</f>
        <v/>
      </c>
      <c r="M1395" s="37">
        <f>IF(L1395="","",IF(AND(Config!$B$17="Sim",LEFT(D1395,17)="Cartão de crédito"),L1395,L1395+30*(MAX(1,N(E1395))-1)))</f>
        <v/>
      </c>
      <c r="N1395" s="29">
        <f>IF(OR(L1395="",K1395=""),"",K1395*MIN(MAX(1,N(E1395)),MAX(0,INT((Config!$B$8-L1395)/30)+1)))</f>
        <v/>
      </c>
      <c r="O1395" s="29">
        <f>IF(J1395="","",J1395-N(N1395))</f>
        <v/>
      </c>
      <c r="P1395" s="27">
        <f>IF(A1395="","",MONTH(A1395))</f>
        <v/>
      </c>
      <c r="Q1395" s="27">
        <f>IF(A1395="","",YEAR(A1395))</f>
        <v/>
      </c>
      <c r="R1395" s="27">
        <f>IF(L1395="","",IF(L1395&gt;Config!$B$8,"A cair",IF(N(G1395)&gt;=MIN(MAX(1,N(E1395)),MAX(0,INT((Config!$B$8-L1395)/30)+1)),IF(N(G1395)&gt;=MAX(1,N(E1395)),"Conferido","Conferido até aqui"),"A conferir")))</f>
        <v/>
      </c>
      <c r="S1395" s="51">
        <f>IF(R1395="A conferir",(Config!$B$8-L1395)*1000+N(F1395)/1000+ROW()/100000,0)</f>
        <v>0</v>
      </c>
      <c r="T1395" s="51">
        <f>IF(R1395="A conferir",N(N1395),0)</f>
        <v>0</v>
      </c>
      <c r="U1395" s="51">
        <f>IF(L1395="",0,L1395)</f>
        <v>0</v>
      </c>
      <c r="V1395" s="51">
        <f>IF(L1395="",0,MAX(1,N(E1395)))</f>
        <v>0</v>
      </c>
      <c r="W1395" s="51">
        <f>IF(K1395="",0,K1395)</f>
        <v>0</v>
      </c>
    </row>
    <row r="1396">
      <c r="A1396" s="49" t="n"/>
      <c r="B1396" s="41" t="n"/>
      <c r="C1396" s="41" t="n"/>
      <c r="D1396" s="42" t="n"/>
      <c r="E1396" s="42" t="n"/>
      <c r="F1396" s="50" t="n"/>
      <c r="G1396" s="42" t="n"/>
      <c r="H1396" s="30">
        <f>IF(D1396="","",IFERROR(INDEX(Config!$B$12:$B$15,MATCH(IF(AND(D1396="Cartão de crédito",N(E1396)&gt;1),"Cartão de crédito parcelado",D1396),Config!$A$12:$A$15,0)),0)+IF(AND(Config!$B$17="Sim",LEFT(D1396,17)="Cartão de crédito"),Config!$B$18*IFERROR(INDEX(Config!$C$12:$C$15,MATCH(IF(AND(D1396="Cartão de crédito",N(E1396)&gt;1),"Cartão de crédito parcelado",D1396),Config!$A$12:$A$15,0)),0)/30*MAX(1,N(E1396)),0))</f>
        <v/>
      </c>
      <c r="I1396" s="29">
        <f>IF(OR(D1396="",F1396=""),"",ROUND(F1396*H1396,2))</f>
        <v/>
      </c>
      <c r="J1396" s="29">
        <f>IF(I1396="","",F1396-I1396)</f>
        <v/>
      </c>
      <c r="K1396" s="29">
        <f>IF(J1396="","",J1396/MAX(1,N(E1396)))</f>
        <v/>
      </c>
      <c r="L1396" s="37">
        <f>IF(OR(D1396="",A1396=""),"",A1396+IF(AND(Config!$B$17="Sim",LEFT(D1396,17)="Cartão de crédito"),1,IFERROR(INDEX(Config!$C$12:$C$15,MATCH(IF(AND(D1396="Cartão de crédito",N(E1396)&gt;1),"Cartão de crédito parcelado",D1396),Config!$A$12:$A$15,0)),0)))</f>
        <v/>
      </c>
      <c r="M1396" s="37">
        <f>IF(L1396="","",IF(AND(Config!$B$17="Sim",LEFT(D1396,17)="Cartão de crédito"),L1396,L1396+30*(MAX(1,N(E1396))-1)))</f>
        <v/>
      </c>
      <c r="N1396" s="29">
        <f>IF(OR(L1396="",K1396=""),"",K1396*MIN(MAX(1,N(E1396)),MAX(0,INT((Config!$B$8-L1396)/30)+1)))</f>
        <v/>
      </c>
      <c r="O1396" s="29">
        <f>IF(J1396="","",J1396-N(N1396))</f>
        <v/>
      </c>
      <c r="P1396" s="27">
        <f>IF(A1396="","",MONTH(A1396))</f>
        <v/>
      </c>
      <c r="Q1396" s="27">
        <f>IF(A1396="","",YEAR(A1396))</f>
        <v/>
      </c>
      <c r="R1396" s="27">
        <f>IF(L1396="","",IF(L1396&gt;Config!$B$8,"A cair",IF(N(G1396)&gt;=MIN(MAX(1,N(E1396)),MAX(0,INT((Config!$B$8-L1396)/30)+1)),IF(N(G1396)&gt;=MAX(1,N(E1396)),"Conferido","Conferido até aqui"),"A conferir")))</f>
        <v/>
      </c>
      <c r="S1396" s="51">
        <f>IF(R1396="A conferir",(Config!$B$8-L1396)*1000+N(F1396)/1000+ROW()/100000,0)</f>
        <v>0</v>
      </c>
      <c r="T1396" s="51">
        <f>IF(R1396="A conferir",N(N1396),0)</f>
        <v>0</v>
      </c>
      <c r="U1396" s="51">
        <f>IF(L1396="",0,L1396)</f>
        <v>0</v>
      </c>
      <c r="V1396" s="51">
        <f>IF(L1396="",0,MAX(1,N(E1396)))</f>
        <v>0</v>
      </c>
      <c r="W1396" s="51">
        <f>IF(K1396="",0,K1396)</f>
        <v>0</v>
      </c>
    </row>
    <row r="1397">
      <c r="A1397" s="49" t="n"/>
      <c r="B1397" s="41" t="n"/>
      <c r="C1397" s="41" t="n"/>
      <c r="D1397" s="42" t="n"/>
      <c r="E1397" s="42" t="n"/>
      <c r="F1397" s="50" t="n"/>
      <c r="G1397" s="42" t="n"/>
      <c r="H1397" s="30">
        <f>IF(D1397="","",IFERROR(INDEX(Config!$B$12:$B$15,MATCH(IF(AND(D1397="Cartão de crédito",N(E1397)&gt;1),"Cartão de crédito parcelado",D1397),Config!$A$12:$A$15,0)),0)+IF(AND(Config!$B$17="Sim",LEFT(D1397,17)="Cartão de crédito"),Config!$B$18*IFERROR(INDEX(Config!$C$12:$C$15,MATCH(IF(AND(D1397="Cartão de crédito",N(E1397)&gt;1),"Cartão de crédito parcelado",D1397),Config!$A$12:$A$15,0)),0)/30*MAX(1,N(E1397)),0))</f>
        <v/>
      </c>
      <c r="I1397" s="29">
        <f>IF(OR(D1397="",F1397=""),"",ROUND(F1397*H1397,2))</f>
        <v/>
      </c>
      <c r="J1397" s="29">
        <f>IF(I1397="","",F1397-I1397)</f>
        <v/>
      </c>
      <c r="K1397" s="29">
        <f>IF(J1397="","",J1397/MAX(1,N(E1397)))</f>
        <v/>
      </c>
      <c r="L1397" s="37">
        <f>IF(OR(D1397="",A1397=""),"",A1397+IF(AND(Config!$B$17="Sim",LEFT(D1397,17)="Cartão de crédito"),1,IFERROR(INDEX(Config!$C$12:$C$15,MATCH(IF(AND(D1397="Cartão de crédito",N(E1397)&gt;1),"Cartão de crédito parcelado",D1397),Config!$A$12:$A$15,0)),0)))</f>
        <v/>
      </c>
      <c r="M1397" s="37">
        <f>IF(L1397="","",IF(AND(Config!$B$17="Sim",LEFT(D1397,17)="Cartão de crédito"),L1397,L1397+30*(MAX(1,N(E1397))-1)))</f>
        <v/>
      </c>
      <c r="N1397" s="29">
        <f>IF(OR(L1397="",K1397=""),"",K1397*MIN(MAX(1,N(E1397)),MAX(0,INT((Config!$B$8-L1397)/30)+1)))</f>
        <v/>
      </c>
      <c r="O1397" s="29">
        <f>IF(J1397="","",J1397-N(N1397))</f>
        <v/>
      </c>
      <c r="P1397" s="27">
        <f>IF(A1397="","",MONTH(A1397))</f>
        <v/>
      </c>
      <c r="Q1397" s="27">
        <f>IF(A1397="","",YEAR(A1397))</f>
        <v/>
      </c>
      <c r="R1397" s="27">
        <f>IF(L1397="","",IF(L1397&gt;Config!$B$8,"A cair",IF(N(G1397)&gt;=MIN(MAX(1,N(E1397)),MAX(0,INT((Config!$B$8-L1397)/30)+1)),IF(N(G1397)&gt;=MAX(1,N(E1397)),"Conferido","Conferido até aqui"),"A conferir")))</f>
        <v/>
      </c>
      <c r="S1397" s="51">
        <f>IF(R1397="A conferir",(Config!$B$8-L1397)*1000+N(F1397)/1000+ROW()/100000,0)</f>
        <v>0</v>
      </c>
      <c r="T1397" s="51">
        <f>IF(R1397="A conferir",N(N1397),0)</f>
        <v>0</v>
      </c>
      <c r="U1397" s="51">
        <f>IF(L1397="",0,L1397)</f>
        <v>0</v>
      </c>
      <c r="V1397" s="51">
        <f>IF(L1397="",0,MAX(1,N(E1397)))</f>
        <v>0</v>
      </c>
      <c r="W1397" s="51">
        <f>IF(K1397="",0,K1397)</f>
        <v>0</v>
      </c>
    </row>
    <row r="1398">
      <c r="A1398" s="49" t="n"/>
      <c r="B1398" s="41" t="n"/>
      <c r="C1398" s="41" t="n"/>
      <c r="D1398" s="42" t="n"/>
      <c r="E1398" s="42" t="n"/>
      <c r="F1398" s="50" t="n"/>
      <c r="G1398" s="42" t="n"/>
      <c r="H1398" s="30">
        <f>IF(D1398="","",IFERROR(INDEX(Config!$B$12:$B$15,MATCH(IF(AND(D1398="Cartão de crédito",N(E1398)&gt;1),"Cartão de crédito parcelado",D1398),Config!$A$12:$A$15,0)),0)+IF(AND(Config!$B$17="Sim",LEFT(D1398,17)="Cartão de crédito"),Config!$B$18*IFERROR(INDEX(Config!$C$12:$C$15,MATCH(IF(AND(D1398="Cartão de crédito",N(E1398)&gt;1),"Cartão de crédito parcelado",D1398),Config!$A$12:$A$15,0)),0)/30*MAX(1,N(E1398)),0))</f>
        <v/>
      </c>
      <c r="I1398" s="29">
        <f>IF(OR(D1398="",F1398=""),"",ROUND(F1398*H1398,2))</f>
        <v/>
      </c>
      <c r="J1398" s="29">
        <f>IF(I1398="","",F1398-I1398)</f>
        <v/>
      </c>
      <c r="K1398" s="29">
        <f>IF(J1398="","",J1398/MAX(1,N(E1398)))</f>
        <v/>
      </c>
      <c r="L1398" s="37">
        <f>IF(OR(D1398="",A1398=""),"",A1398+IF(AND(Config!$B$17="Sim",LEFT(D1398,17)="Cartão de crédito"),1,IFERROR(INDEX(Config!$C$12:$C$15,MATCH(IF(AND(D1398="Cartão de crédito",N(E1398)&gt;1),"Cartão de crédito parcelado",D1398),Config!$A$12:$A$15,0)),0)))</f>
        <v/>
      </c>
      <c r="M1398" s="37">
        <f>IF(L1398="","",IF(AND(Config!$B$17="Sim",LEFT(D1398,17)="Cartão de crédito"),L1398,L1398+30*(MAX(1,N(E1398))-1)))</f>
        <v/>
      </c>
      <c r="N1398" s="29">
        <f>IF(OR(L1398="",K1398=""),"",K1398*MIN(MAX(1,N(E1398)),MAX(0,INT((Config!$B$8-L1398)/30)+1)))</f>
        <v/>
      </c>
      <c r="O1398" s="29">
        <f>IF(J1398="","",J1398-N(N1398))</f>
        <v/>
      </c>
      <c r="P1398" s="27">
        <f>IF(A1398="","",MONTH(A1398))</f>
        <v/>
      </c>
      <c r="Q1398" s="27">
        <f>IF(A1398="","",YEAR(A1398))</f>
        <v/>
      </c>
      <c r="R1398" s="27">
        <f>IF(L1398="","",IF(L1398&gt;Config!$B$8,"A cair",IF(N(G1398)&gt;=MIN(MAX(1,N(E1398)),MAX(0,INT((Config!$B$8-L1398)/30)+1)),IF(N(G1398)&gt;=MAX(1,N(E1398)),"Conferido","Conferido até aqui"),"A conferir")))</f>
        <v/>
      </c>
      <c r="S1398" s="51">
        <f>IF(R1398="A conferir",(Config!$B$8-L1398)*1000+N(F1398)/1000+ROW()/100000,0)</f>
        <v>0</v>
      </c>
      <c r="T1398" s="51">
        <f>IF(R1398="A conferir",N(N1398),0)</f>
        <v>0</v>
      </c>
      <c r="U1398" s="51">
        <f>IF(L1398="",0,L1398)</f>
        <v>0</v>
      </c>
      <c r="V1398" s="51">
        <f>IF(L1398="",0,MAX(1,N(E1398)))</f>
        <v>0</v>
      </c>
      <c r="W1398" s="51">
        <f>IF(K1398="",0,K1398)</f>
        <v>0</v>
      </c>
    </row>
    <row r="1399">
      <c r="A1399" s="49" t="n"/>
      <c r="B1399" s="41" t="n"/>
      <c r="C1399" s="41" t="n"/>
      <c r="D1399" s="42" t="n"/>
      <c r="E1399" s="42" t="n"/>
      <c r="F1399" s="50" t="n"/>
      <c r="G1399" s="42" t="n"/>
      <c r="H1399" s="30">
        <f>IF(D1399="","",IFERROR(INDEX(Config!$B$12:$B$15,MATCH(IF(AND(D1399="Cartão de crédito",N(E1399)&gt;1),"Cartão de crédito parcelado",D1399),Config!$A$12:$A$15,0)),0)+IF(AND(Config!$B$17="Sim",LEFT(D1399,17)="Cartão de crédito"),Config!$B$18*IFERROR(INDEX(Config!$C$12:$C$15,MATCH(IF(AND(D1399="Cartão de crédito",N(E1399)&gt;1),"Cartão de crédito parcelado",D1399),Config!$A$12:$A$15,0)),0)/30*MAX(1,N(E1399)),0))</f>
        <v/>
      </c>
      <c r="I1399" s="29">
        <f>IF(OR(D1399="",F1399=""),"",ROUND(F1399*H1399,2))</f>
        <v/>
      </c>
      <c r="J1399" s="29">
        <f>IF(I1399="","",F1399-I1399)</f>
        <v/>
      </c>
      <c r="K1399" s="29">
        <f>IF(J1399="","",J1399/MAX(1,N(E1399)))</f>
        <v/>
      </c>
      <c r="L1399" s="37">
        <f>IF(OR(D1399="",A1399=""),"",A1399+IF(AND(Config!$B$17="Sim",LEFT(D1399,17)="Cartão de crédito"),1,IFERROR(INDEX(Config!$C$12:$C$15,MATCH(IF(AND(D1399="Cartão de crédito",N(E1399)&gt;1),"Cartão de crédito parcelado",D1399),Config!$A$12:$A$15,0)),0)))</f>
        <v/>
      </c>
      <c r="M1399" s="37">
        <f>IF(L1399="","",IF(AND(Config!$B$17="Sim",LEFT(D1399,17)="Cartão de crédito"),L1399,L1399+30*(MAX(1,N(E1399))-1)))</f>
        <v/>
      </c>
      <c r="N1399" s="29">
        <f>IF(OR(L1399="",K1399=""),"",K1399*MIN(MAX(1,N(E1399)),MAX(0,INT((Config!$B$8-L1399)/30)+1)))</f>
        <v/>
      </c>
      <c r="O1399" s="29">
        <f>IF(J1399="","",J1399-N(N1399))</f>
        <v/>
      </c>
      <c r="P1399" s="27">
        <f>IF(A1399="","",MONTH(A1399))</f>
        <v/>
      </c>
      <c r="Q1399" s="27">
        <f>IF(A1399="","",YEAR(A1399))</f>
        <v/>
      </c>
      <c r="R1399" s="27">
        <f>IF(L1399="","",IF(L1399&gt;Config!$B$8,"A cair",IF(N(G1399)&gt;=MIN(MAX(1,N(E1399)),MAX(0,INT((Config!$B$8-L1399)/30)+1)),IF(N(G1399)&gt;=MAX(1,N(E1399)),"Conferido","Conferido até aqui"),"A conferir")))</f>
        <v/>
      </c>
      <c r="S1399" s="51">
        <f>IF(R1399="A conferir",(Config!$B$8-L1399)*1000+N(F1399)/1000+ROW()/100000,0)</f>
        <v>0</v>
      </c>
      <c r="T1399" s="51">
        <f>IF(R1399="A conferir",N(N1399),0)</f>
        <v>0</v>
      </c>
      <c r="U1399" s="51">
        <f>IF(L1399="",0,L1399)</f>
        <v>0</v>
      </c>
      <c r="V1399" s="51">
        <f>IF(L1399="",0,MAX(1,N(E1399)))</f>
        <v>0</v>
      </c>
      <c r="W1399" s="51">
        <f>IF(K1399="",0,K1399)</f>
        <v>0</v>
      </c>
    </row>
    <row r="1400">
      <c r="A1400" s="49" t="n"/>
      <c r="B1400" s="41" t="n"/>
      <c r="C1400" s="41" t="n"/>
      <c r="D1400" s="42" t="n"/>
      <c r="E1400" s="42" t="n"/>
      <c r="F1400" s="50" t="n"/>
      <c r="G1400" s="42" t="n"/>
      <c r="H1400" s="30">
        <f>IF(D1400="","",IFERROR(INDEX(Config!$B$12:$B$15,MATCH(IF(AND(D1400="Cartão de crédito",N(E1400)&gt;1),"Cartão de crédito parcelado",D1400),Config!$A$12:$A$15,0)),0)+IF(AND(Config!$B$17="Sim",LEFT(D1400,17)="Cartão de crédito"),Config!$B$18*IFERROR(INDEX(Config!$C$12:$C$15,MATCH(IF(AND(D1400="Cartão de crédito",N(E1400)&gt;1),"Cartão de crédito parcelado",D1400),Config!$A$12:$A$15,0)),0)/30*MAX(1,N(E1400)),0))</f>
        <v/>
      </c>
      <c r="I1400" s="29">
        <f>IF(OR(D1400="",F1400=""),"",ROUND(F1400*H1400,2))</f>
        <v/>
      </c>
      <c r="J1400" s="29">
        <f>IF(I1400="","",F1400-I1400)</f>
        <v/>
      </c>
      <c r="K1400" s="29">
        <f>IF(J1400="","",J1400/MAX(1,N(E1400)))</f>
        <v/>
      </c>
      <c r="L1400" s="37">
        <f>IF(OR(D1400="",A1400=""),"",A1400+IF(AND(Config!$B$17="Sim",LEFT(D1400,17)="Cartão de crédito"),1,IFERROR(INDEX(Config!$C$12:$C$15,MATCH(IF(AND(D1400="Cartão de crédito",N(E1400)&gt;1),"Cartão de crédito parcelado",D1400),Config!$A$12:$A$15,0)),0)))</f>
        <v/>
      </c>
      <c r="M1400" s="37">
        <f>IF(L1400="","",IF(AND(Config!$B$17="Sim",LEFT(D1400,17)="Cartão de crédito"),L1400,L1400+30*(MAX(1,N(E1400))-1)))</f>
        <v/>
      </c>
      <c r="N1400" s="29">
        <f>IF(OR(L1400="",K1400=""),"",K1400*MIN(MAX(1,N(E1400)),MAX(0,INT((Config!$B$8-L1400)/30)+1)))</f>
        <v/>
      </c>
      <c r="O1400" s="29">
        <f>IF(J1400="","",J1400-N(N1400))</f>
        <v/>
      </c>
      <c r="P1400" s="27">
        <f>IF(A1400="","",MONTH(A1400))</f>
        <v/>
      </c>
      <c r="Q1400" s="27">
        <f>IF(A1400="","",YEAR(A1400))</f>
        <v/>
      </c>
      <c r="R1400" s="27">
        <f>IF(L1400="","",IF(L1400&gt;Config!$B$8,"A cair",IF(N(G1400)&gt;=MIN(MAX(1,N(E1400)),MAX(0,INT((Config!$B$8-L1400)/30)+1)),IF(N(G1400)&gt;=MAX(1,N(E1400)),"Conferido","Conferido até aqui"),"A conferir")))</f>
        <v/>
      </c>
      <c r="S1400" s="51">
        <f>IF(R1400="A conferir",(Config!$B$8-L1400)*1000+N(F1400)/1000+ROW()/100000,0)</f>
        <v>0</v>
      </c>
      <c r="T1400" s="51">
        <f>IF(R1400="A conferir",N(N1400),0)</f>
        <v>0</v>
      </c>
      <c r="U1400" s="51">
        <f>IF(L1400="",0,L1400)</f>
        <v>0</v>
      </c>
      <c r="V1400" s="51">
        <f>IF(L1400="",0,MAX(1,N(E1400)))</f>
        <v>0</v>
      </c>
      <c r="W1400" s="51">
        <f>IF(K1400="",0,K1400)</f>
        <v>0</v>
      </c>
    </row>
    <row r="1401">
      <c r="A1401" s="49" t="n"/>
      <c r="B1401" s="41" t="n"/>
      <c r="C1401" s="41" t="n"/>
      <c r="D1401" s="42" t="n"/>
      <c r="E1401" s="42" t="n"/>
      <c r="F1401" s="50" t="n"/>
      <c r="G1401" s="42" t="n"/>
      <c r="H1401" s="30">
        <f>IF(D1401="","",IFERROR(INDEX(Config!$B$12:$B$15,MATCH(IF(AND(D1401="Cartão de crédito",N(E1401)&gt;1),"Cartão de crédito parcelado",D1401),Config!$A$12:$A$15,0)),0)+IF(AND(Config!$B$17="Sim",LEFT(D1401,17)="Cartão de crédito"),Config!$B$18*IFERROR(INDEX(Config!$C$12:$C$15,MATCH(IF(AND(D1401="Cartão de crédito",N(E1401)&gt;1),"Cartão de crédito parcelado",D1401),Config!$A$12:$A$15,0)),0)/30*MAX(1,N(E1401)),0))</f>
        <v/>
      </c>
      <c r="I1401" s="29">
        <f>IF(OR(D1401="",F1401=""),"",ROUND(F1401*H1401,2))</f>
        <v/>
      </c>
      <c r="J1401" s="29">
        <f>IF(I1401="","",F1401-I1401)</f>
        <v/>
      </c>
      <c r="K1401" s="29">
        <f>IF(J1401="","",J1401/MAX(1,N(E1401)))</f>
        <v/>
      </c>
      <c r="L1401" s="37">
        <f>IF(OR(D1401="",A1401=""),"",A1401+IF(AND(Config!$B$17="Sim",LEFT(D1401,17)="Cartão de crédito"),1,IFERROR(INDEX(Config!$C$12:$C$15,MATCH(IF(AND(D1401="Cartão de crédito",N(E1401)&gt;1),"Cartão de crédito parcelado",D1401),Config!$A$12:$A$15,0)),0)))</f>
        <v/>
      </c>
      <c r="M1401" s="37">
        <f>IF(L1401="","",IF(AND(Config!$B$17="Sim",LEFT(D1401,17)="Cartão de crédito"),L1401,L1401+30*(MAX(1,N(E1401))-1)))</f>
        <v/>
      </c>
      <c r="N1401" s="29">
        <f>IF(OR(L1401="",K1401=""),"",K1401*MIN(MAX(1,N(E1401)),MAX(0,INT((Config!$B$8-L1401)/30)+1)))</f>
        <v/>
      </c>
      <c r="O1401" s="29">
        <f>IF(J1401="","",J1401-N(N1401))</f>
        <v/>
      </c>
      <c r="P1401" s="27">
        <f>IF(A1401="","",MONTH(A1401))</f>
        <v/>
      </c>
      <c r="Q1401" s="27">
        <f>IF(A1401="","",YEAR(A1401))</f>
        <v/>
      </c>
      <c r="R1401" s="27">
        <f>IF(L1401="","",IF(L1401&gt;Config!$B$8,"A cair",IF(N(G1401)&gt;=MIN(MAX(1,N(E1401)),MAX(0,INT((Config!$B$8-L1401)/30)+1)),IF(N(G1401)&gt;=MAX(1,N(E1401)),"Conferido","Conferido até aqui"),"A conferir")))</f>
        <v/>
      </c>
      <c r="S1401" s="51">
        <f>IF(R1401="A conferir",(Config!$B$8-L1401)*1000+N(F1401)/1000+ROW()/100000,0)</f>
        <v>0</v>
      </c>
      <c r="T1401" s="51">
        <f>IF(R1401="A conferir",N(N1401),0)</f>
        <v>0</v>
      </c>
      <c r="U1401" s="51">
        <f>IF(L1401="",0,L1401)</f>
        <v>0</v>
      </c>
      <c r="V1401" s="51">
        <f>IF(L1401="",0,MAX(1,N(E1401)))</f>
        <v>0</v>
      </c>
      <c r="W1401" s="51">
        <f>IF(K1401="",0,K1401)</f>
        <v>0</v>
      </c>
    </row>
    <row r="1402">
      <c r="A1402" s="49" t="n"/>
      <c r="B1402" s="41" t="n"/>
      <c r="C1402" s="41" t="n"/>
      <c r="D1402" s="42" t="n"/>
      <c r="E1402" s="42" t="n"/>
      <c r="F1402" s="50" t="n"/>
      <c r="G1402" s="42" t="n"/>
      <c r="H1402" s="30">
        <f>IF(D1402="","",IFERROR(INDEX(Config!$B$12:$B$15,MATCH(IF(AND(D1402="Cartão de crédito",N(E1402)&gt;1),"Cartão de crédito parcelado",D1402),Config!$A$12:$A$15,0)),0)+IF(AND(Config!$B$17="Sim",LEFT(D1402,17)="Cartão de crédito"),Config!$B$18*IFERROR(INDEX(Config!$C$12:$C$15,MATCH(IF(AND(D1402="Cartão de crédito",N(E1402)&gt;1),"Cartão de crédito parcelado",D1402),Config!$A$12:$A$15,0)),0)/30*MAX(1,N(E1402)),0))</f>
        <v/>
      </c>
      <c r="I1402" s="29">
        <f>IF(OR(D1402="",F1402=""),"",ROUND(F1402*H1402,2))</f>
        <v/>
      </c>
      <c r="J1402" s="29">
        <f>IF(I1402="","",F1402-I1402)</f>
        <v/>
      </c>
      <c r="K1402" s="29">
        <f>IF(J1402="","",J1402/MAX(1,N(E1402)))</f>
        <v/>
      </c>
      <c r="L1402" s="37">
        <f>IF(OR(D1402="",A1402=""),"",A1402+IF(AND(Config!$B$17="Sim",LEFT(D1402,17)="Cartão de crédito"),1,IFERROR(INDEX(Config!$C$12:$C$15,MATCH(IF(AND(D1402="Cartão de crédito",N(E1402)&gt;1),"Cartão de crédito parcelado",D1402),Config!$A$12:$A$15,0)),0)))</f>
        <v/>
      </c>
      <c r="M1402" s="37">
        <f>IF(L1402="","",IF(AND(Config!$B$17="Sim",LEFT(D1402,17)="Cartão de crédito"),L1402,L1402+30*(MAX(1,N(E1402))-1)))</f>
        <v/>
      </c>
      <c r="N1402" s="29">
        <f>IF(OR(L1402="",K1402=""),"",K1402*MIN(MAX(1,N(E1402)),MAX(0,INT((Config!$B$8-L1402)/30)+1)))</f>
        <v/>
      </c>
      <c r="O1402" s="29">
        <f>IF(J1402="","",J1402-N(N1402))</f>
        <v/>
      </c>
      <c r="P1402" s="27">
        <f>IF(A1402="","",MONTH(A1402))</f>
        <v/>
      </c>
      <c r="Q1402" s="27">
        <f>IF(A1402="","",YEAR(A1402))</f>
        <v/>
      </c>
      <c r="R1402" s="27">
        <f>IF(L1402="","",IF(L1402&gt;Config!$B$8,"A cair",IF(N(G1402)&gt;=MIN(MAX(1,N(E1402)),MAX(0,INT((Config!$B$8-L1402)/30)+1)),IF(N(G1402)&gt;=MAX(1,N(E1402)),"Conferido","Conferido até aqui"),"A conferir")))</f>
        <v/>
      </c>
      <c r="S1402" s="51">
        <f>IF(R1402="A conferir",(Config!$B$8-L1402)*1000+N(F1402)/1000+ROW()/100000,0)</f>
        <v>0</v>
      </c>
      <c r="T1402" s="51">
        <f>IF(R1402="A conferir",N(N1402),0)</f>
        <v>0</v>
      </c>
      <c r="U1402" s="51">
        <f>IF(L1402="",0,L1402)</f>
        <v>0</v>
      </c>
      <c r="V1402" s="51">
        <f>IF(L1402="",0,MAX(1,N(E1402)))</f>
        <v>0</v>
      </c>
      <c r="W1402" s="51">
        <f>IF(K1402="",0,K1402)</f>
        <v>0</v>
      </c>
    </row>
    <row r="1403">
      <c r="A1403" s="49" t="n"/>
      <c r="B1403" s="41" t="n"/>
      <c r="C1403" s="41" t="n"/>
      <c r="D1403" s="42" t="n"/>
      <c r="E1403" s="42" t="n"/>
      <c r="F1403" s="50" t="n"/>
      <c r="G1403" s="42" t="n"/>
      <c r="H1403" s="30">
        <f>IF(D1403="","",IFERROR(INDEX(Config!$B$12:$B$15,MATCH(IF(AND(D1403="Cartão de crédito",N(E1403)&gt;1),"Cartão de crédito parcelado",D1403),Config!$A$12:$A$15,0)),0)+IF(AND(Config!$B$17="Sim",LEFT(D1403,17)="Cartão de crédito"),Config!$B$18*IFERROR(INDEX(Config!$C$12:$C$15,MATCH(IF(AND(D1403="Cartão de crédito",N(E1403)&gt;1),"Cartão de crédito parcelado",D1403),Config!$A$12:$A$15,0)),0)/30*MAX(1,N(E1403)),0))</f>
        <v/>
      </c>
      <c r="I1403" s="29">
        <f>IF(OR(D1403="",F1403=""),"",ROUND(F1403*H1403,2))</f>
        <v/>
      </c>
      <c r="J1403" s="29">
        <f>IF(I1403="","",F1403-I1403)</f>
        <v/>
      </c>
      <c r="K1403" s="29">
        <f>IF(J1403="","",J1403/MAX(1,N(E1403)))</f>
        <v/>
      </c>
      <c r="L1403" s="37">
        <f>IF(OR(D1403="",A1403=""),"",A1403+IF(AND(Config!$B$17="Sim",LEFT(D1403,17)="Cartão de crédito"),1,IFERROR(INDEX(Config!$C$12:$C$15,MATCH(IF(AND(D1403="Cartão de crédito",N(E1403)&gt;1),"Cartão de crédito parcelado",D1403),Config!$A$12:$A$15,0)),0)))</f>
        <v/>
      </c>
      <c r="M1403" s="37">
        <f>IF(L1403="","",IF(AND(Config!$B$17="Sim",LEFT(D1403,17)="Cartão de crédito"),L1403,L1403+30*(MAX(1,N(E1403))-1)))</f>
        <v/>
      </c>
      <c r="N1403" s="29">
        <f>IF(OR(L1403="",K1403=""),"",K1403*MIN(MAX(1,N(E1403)),MAX(0,INT((Config!$B$8-L1403)/30)+1)))</f>
        <v/>
      </c>
      <c r="O1403" s="29">
        <f>IF(J1403="","",J1403-N(N1403))</f>
        <v/>
      </c>
      <c r="P1403" s="27">
        <f>IF(A1403="","",MONTH(A1403))</f>
        <v/>
      </c>
      <c r="Q1403" s="27">
        <f>IF(A1403="","",YEAR(A1403))</f>
        <v/>
      </c>
      <c r="R1403" s="27">
        <f>IF(L1403="","",IF(L1403&gt;Config!$B$8,"A cair",IF(N(G1403)&gt;=MIN(MAX(1,N(E1403)),MAX(0,INT((Config!$B$8-L1403)/30)+1)),IF(N(G1403)&gt;=MAX(1,N(E1403)),"Conferido","Conferido até aqui"),"A conferir")))</f>
        <v/>
      </c>
      <c r="S1403" s="51">
        <f>IF(R1403="A conferir",(Config!$B$8-L1403)*1000+N(F1403)/1000+ROW()/100000,0)</f>
        <v>0</v>
      </c>
      <c r="T1403" s="51">
        <f>IF(R1403="A conferir",N(N1403),0)</f>
        <v>0</v>
      </c>
      <c r="U1403" s="51">
        <f>IF(L1403="",0,L1403)</f>
        <v>0</v>
      </c>
      <c r="V1403" s="51">
        <f>IF(L1403="",0,MAX(1,N(E1403)))</f>
        <v>0</v>
      </c>
      <c r="W1403" s="51">
        <f>IF(K1403="",0,K1403)</f>
        <v>0</v>
      </c>
    </row>
    <row r="1404">
      <c r="A1404" s="49" t="n"/>
      <c r="B1404" s="41" t="n"/>
      <c r="C1404" s="41" t="n"/>
      <c r="D1404" s="42" t="n"/>
      <c r="E1404" s="42" t="n"/>
      <c r="F1404" s="50" t="n"/>
      <c r="G1404" s="42" t="n"/>
      <c r="H1404" s="30">
        <f>IF(D1404="","",IFERROR(INDEX(Config!$B$12:$B$15,MATCH(IF(AND(D1404="Cartão de crédito",N(E1404)&gt;1),"Cartão de crédito parcelado",D1404),Config!$A$12:$A$15,0)),0)+IF(AND(Config!$B$17="Sim",LEFT(D1404,17)="Cartão de crédito"),Config!$B$18*IFERROR(INDEX(Config!$C$12:$C$15,MATCH(IF(AND(D1404="Cartão de crédito",N(E1404)&gt;1),"Cartão de crédito parcelado",D1404),Config!$A$12:$A$15,0)),0)/30*MAX(1,N(E1404)),0))</f>
        <v/>
      </c>
      <c r="I1404" s="29">
        <f>IF(OR(D1404="",F1404=""),"",ROUND(F1404*H1404,2))</f>
        <v/>
      </c>
      <c r="J1404" s="29">
        <f>IF(I1404="","",F1404-I1404)</f>
        <v/>
      </c>
      <c r="K1404" s="29">
        <f>IF(J1404="","",J1404/MAX(1,N(E1404)))</f>
        <v/>
      </c>
      <c r="L1404" s="37">
        <f>IF(OR(D1404="",A1404=""),"",A1404+IF(AND(Config!$B$17="Sim",LEFT(D1404,17)="Cartão de crédito"),1,IFERROR(INDEX(Config!$C$12:$C$15,MATCH(IF(AND(D1404="Cartão de crédito",N(E1404)&gt;1),"Cartão de crédito parcelado",D1404),Config!$A$12:$A$15,0)),0)))</f>
        <v/>
      </c>
      <c r="M1404" s="37">
        <f>IF(L1404="","",IF(AND(Config!$B$17="Sim",LEFT(D1404,17)="Cartão de crédito"),L1404,L1404+30*(MAX(1,N(E1404))-1)))</f>
        <v/>
      </c>
      <c r="N1404" s="29">
        <f>IF(OR(L1404="",K1404=""),"",K1404*MIN(MAX(1,N(E1404)),MAX(0,INT((Config!$B$8-L1404)/30)+1)))</f>
        <v/>
      </c>
      <c r="O1404" s="29">
        <f>IF(J1404="","",J1404-N(N1404))</f>
        <v/>
      </c>
      <c r="P1404" s="27">
        <f>IF(A1404="","",MONTH(A1404))</f>
        <v/>
      </c>
      <c r="Q1404" s="27">
        <f>IF(A1404="","",YEAR(A1404))</f>
        <v/>
      </c>
      <c r="R1404" s="27">
        <f>IF(L1404="","",IF(L1404&gt;Config!$B$8,"A cair",IF(N(G1404)&gt;=MIN(MAX(1,N(E1404)),MAX(0,INT((Config!$B$8-L1404)/30)+1)),IF(N(G1404)&gt;=MAX(1,N(E1404)),"Conferido","Conferido até aqui"),"A conferir")))</f>
        <v/>
      </c>
      <c r="S1404" s="51">
        <f>IF(R1404="A conferir",(Config!$B$8-L1404)*1000+N(F1404)/1000+ROW()/100000,0)</f>
        <v>0</v>
      </c>
      <c r="T1404" s="51">
        <f>IF(R1404="A conferir",N(N1404),0)</f>
        <v>0</v>
      </c>
      <c r="U1404" s="51">
        <f>IF(L1404="",0,L1404)</f>
        <v>0</v>
      </c>
      <c r="V1404" s="51">
        <f>IF(L1404="",0,MAX(1,N(E1404)))</f>
        <v>0</v>
      </c>
      <c r="W1404" s="51">
        <f>IF(K1404="",0,K1404)</f>
        <v>0</v>
      </c>
    </row>
    <row r="1405">
      <c r="A1405" s="49" t="n"/>
      <c r="B1405" s="41" t="n"/>
      <c r="C1405" s="41" t="n"/>
      <c r="D1405" s="42" t="n"/>
      <c r="E1405" s="42" t="n"/>
      <c r="F1405" s="50" t="n"/>
      <c r="G1405" s="42" t="n"/>
      <c r="H1405" s="30">
        <f>IF(D1405="","",IFERROR(INDEX(Config!$B$12:$B$15,MATCH(IF(AND(D1405="Cartão de crédito",N(E1405)&gt;1),"Cartão de crédito parcelado",D1405),Config!$A$12:$A$15,0)),0)+IF(AND(Config!$B$17="Sim",LEFT(D1405,17)="Cartão de crédito"),Config!$B$18*IFERROR(INDEX(Config!$C$12:$C$15,MATCH(IF(AND(D1405="Cartão de crédito",N(E1405)&gt;1),"Cartão de crédito parcelado",D1405),Config!$A$12:$A$15,0)),0)/30*MAX(1,N(E1405)),0))</f>
        <v/>
      </c>
      <c r="I1405" s="29">
        <f>IF(OR(D1405="",F1405=""),"",ROUND(F1405*H1405,2))</f>
        <v/>
      </c>
      <c r="J1405" s="29">
        <f>IF(I1405="","",F1405-I1405)</f>
        <v/>
      </c>
      <c r="K1405" s="29">
        <f>IF(J1405="","",J1405/MAX(1,N(E1405)))</f>
        <v/>
      </c>
      <c r="L1405" s="37">
        <f>IF(OR(D1405="",A1405=""),"",A1405+IF(AND(Config!$B$17="Sim",LEFT(D1405,17)="Cartão de crédito"),1,IFERROR(INDEX(Config!$C$12:$C$15,MATCH(IF(AND(D1405="Cartão de crédito",N(E1405)&gt;1),"Cartão de crédito parcelado",D1405),Config!$A$12:$A$15,0)),0)))</f>
        <v/>
      </c>
      <c r="M1405" s="37">
        <f>IF(L1405="","",IF(AND(Config!$B$17="Sim",LEFT(D1405,17)="Cartão de crédito"),L1405,L1405+30*(MAX(1,N(E1405))-1)))</f>
        <v/>
      </c>
      <c r="N1405" s="29">
        <f>IF(OR(L1405="",K1405=""),"",K1405*MIN(MAX(1,N(E1405)),MAX(0,INT((Config!$B$8-L1405)/30)+1)))</f>
        <v/>
      </c>
      <c r="O1405" s="29">
        <f>IF(J1405="","",J1405-N(N1405))</f>
        <v/>
      </c>
      <c r="P1405" s="27">
        <f>IF(A1405="","",MONTH(A1405))</f>
        <v/>
      </c>
      <c r="Q1405" s="27">
        <f>IF(A1405="","",YEAR(A1405))</f>
        <v/>
      </c>
      <c r="R1405" s="27">
        <f>IF(L1405="","",IF(L1405&gt;Config!$B$8,"A cair",IF(N(G1405)&gt;=MIN(MAX(1,N(E1405)),MAX(0,INT((Config!$B$8-L1405)/30)+1)),IF(N(G1405)&gt;=MAX(1,N(E1405)),"Conferido","Conferido até aqui"),"A conferir")))</f>
        <v/>
      </c>
      <c r="S1405" s="51">
        <f>IF(R1405="A conferir",(Config!$B$8-L1405)*1000+N(F1405)/1000+ROW()/100000,0)</f>
        <v>0</v>
      </c>
      <c r="T1405" s="51">
        <f>IF(R1405="A conferir",N(N1405),0)</f>
        <v>0</v>
      </c>
      <c r="U1405" s="51">
        <f>IF(L1405="",0,L1405)</f>
        <v>0</v>
      </c>
      <c r="V1405" s="51">
        <f>IF(L1405="",0,MAX(1,N(E1405)))</f>
        <v>0</v>
      </c>
      <c r="W1405" s="51">
        <f>IF(K1405="",0,K1405)</f>
        <v>0</v>
      </c>
    </row>
    <row r="1406">
      <c r="A1406" s="49" t="n"/>
      <c r="B1406" s="41" t="n"/>
      <c r="C1406" s="41" t="n"/>
      <c r="D1406" s="42" t="n"/>
      <c r="E1406" s="42" t="n"/>
      <c r="F1406" s="50" t="n"/>
      <c r="G1406" s="42" t="n"/>
      <c r="H1406" s="30">
        <f>IF(D1406="","",IFERROR(INDEX(Config!$B$12:$B$15,MATCH(IF(AND(D1406="Cartão de crédito",N(E1406)&gt;1),"Cartão de crédito parcelado",D1406),Config!$A$12:$A$15,0)),0)+IF(AND(Config!$B$17="Sim",LEFT(D1406,17)="Cartão de crédito"),Config!$B$18*IFERROR(INDEX(Config!$C$12:$C$15,MATCH(IF(AND(D1406="Cartão de crédito",N(E1406)&gt;1),"Cartão de crédito parcelado",D1406),Config!$A$12:$A$15,0)),0)/30*MAX(1,N(E1406)),0))</f>
        <v/>
      </c>
      <c r="I1406" s="29">
        <f>IF(OR(D1406="",F1406=""),"",ROUND(F1406*H1406,2))</f>
        <v/>
      </c>
      <c r="J1406" s="29">
        <f>IF(I1406="","",F1406-I1406)</f>
        <v/>
      </c>
      <c r="K1406" s="29">
        <f>IF(J1406="","",J1406/MAX(1,N(E1406)))</f>
        <v/>
      </c>
      <c r="L1406" s="37">
        <f>IF(OR(D1406="",A1406=""),"",A1406+IF(AND(Config!$B$17="Sim",LEFT(D1406,17)="Cartão de crédito"),1,IFERROR(INDEX(Config!$C$12:$C$15,MATCH(IF(AND(D1406="Cartão de crédito",N(E1406)&gt;1),"Cartão de crédito parcelado",D1406),Config!$A$12:$A$15,0)),0)))</f>
        <v/>
      </c>
      <c r="M1406" s="37">
        <f>IF(L1406="","",IF(AND(Config!$B$17="Sim",LEFT(D1406,17)="Cartão de crédito"),L1406,L1406+30*(MAX(1,N(E1406))-1)))</f>
        <v/>
      </c>
      <c r="N1406" s="29">
        <f>IF(OR(L1406="",K1406=""),"",K1406*MIN(MAX(1,N(E1406)),MAX(0,INT((Config!$B$8-L1406)/30)+1)))</f>
        <v/>
      </c>
      <c r="O1406" s="29">
        <f>IF(J1406="","",J1406-N(N1406))</f>
        <v/>
      </c>
      <c r="P1406" s="27">
        <f>IF(A1406="","",MONTH(A1406))</f>
        <v/>
      </c>
      <c r="Q1406" s="27">
        <f>IF(A1406="","",YEAR(A1406))</f>
        <v/>
      </c>
      <c r="R1406" s="27">
        <f>IF(L1406="","",IF(L1406&gt;Config!$B$8,"A cair",IF(N(G1406)&gt;=MIN(MAX(1,N(E1406)),MAX(0,INT((Config!$B$8-L1406)/30)+1)),IF(N(G1406)&gt;=MAX(1,N(E1406)),"Conferido","Conferido até aqui"),"A conferir")))</f>
        <v/>
      </c>
      <c r="S1406" s="51">
        <f>IF(R1406="A conferir",(Config!$B$8-L1406)*1000+N(F1406)/1000+ROW()/100000,0)</f>
        <v>0</v>
      </c>
      <c r="T1406" s="51">
        <f>IF(R1406="A conferir",N(N1406),0)</f>
        <v>0</v>
      </c>
      <c r="U1406" s="51">
        <f>IF(L1406="",0,L1406)</f>
        <v>0</v>
      </c>
      <c r="V1406" s="51">
        <f>IF(L1406="",0,MAX(1,N(E1406)))</f>
        <v>0</v>
      </c>
      <c r="W1406" s="51">
        <f>IF(K1406="",0,K1406)</f>
        <v>0</v>
      </c>
    </row>
    <row r="1407">
      <c r="A1407" s="49" t="n"/>
      <c r="B1407" s="41" t="n"/>
      <c r="C1407" s="41" t="n"/>
      <c r="D1407" s="42" t="n"/>
      <c r="E1407" s="42" t="n"/>
      <c r="F1407" s="50" t="n"/>
      <c r="G1407" s="42" t="n"/>
      <c r="H1407" s="30">
        <f>IF(D1407="","",IFERROR(INDEX(Config!$B$12:$B$15,MATCH(IF(AND(D1407="Cartão de crédito",N(E1407)&gt;1),"Cartão de crédito parcelado",D1407),Config!$A$12:$A$15,0)),0)+IF(AND(Config!$B$17="Sim",LEFT(D1407,17)="Cartão de crédito"),Config!$B$18*IFERROR(INDEX(Config!$C$12:$C$15,MATCH(IF(AND(D1407="Cartão de crédito",N(E1407)&gt;1),"Cartão de crédito parcelado",D1407),Config!$A$12:$A$15,0)),0)/30*MAX(1,N(E1407)),0))</f>
        <v/>
      </c>
      <c r="I1407" s="29">
        <f>IF(OR(D1407="",F1407=""),"",ROUND(F1407*H1407,2))</f>
        <v/>
      </c>
      <c r="J1407" s="29">
        <f>IF(I1407="","",F1407-I1407)</f>
        <v/>
      </c>
      <c r="K1407" s="29">
        <f>IF(J1407="","",J1407/MAX(1,N(E1407)))</f>
        <v/>
      </c>
      <c r="L1407" s="37">
        <f>IF(OR(D1407="",A1407=""),"",A1407+IF(AND(Config!$B$17="Sim",LEFT(D1407,17)="Cartão de crédito"),1,IFERROR(INDEX(Config!$C$12:$C$15,MATCH(IF(AND(D1407="Cartão de crédito",N(E1407)&gt;1),"Cartão de crédito parcelado",D1407),Config!$A$12:$A$15,0)),0)))</f>
        <v/>
      </c>
      <c r="M1407" s="37">
        <f>IF(L1407="","",IF(AND(Config!$B$17="Sim",LEFT(D1407,17)="Cartão de crédito"),L1407,L1407+30*(MAX(1,N(E1407))-1)))</f>
        <v/>
      </c>
      <c r="N1407" s="29">
        <f>IF(OR(L1407="",K1407=""),"",K1407*MIN(MAX(1,N(E1407)),MAX(0,INT((Config!$B$8-L1407)/30)+1)))</f>
        <v/>
      </c>
      <c r="O1407" s="29">
        <f>IF(J1407="","",J1407-N(N1407))</f>
        <v/>
      </c>
      <c r="P1407" s="27">
        <f>IF(A1407="","",MONTH(A1407))</f>
        <v/>
      </c>
      <c r="Q1407" s="27">
        <f>IF(A1407="","",YEAR(A1407))</f>
        <v/>
      </c>
      <c r="R1407" s="27">
        <f>IF(L1407="","",IF(L1407&gt;Config!$B$8,"A cair",IF(N(G1407)&gt;=MIN(MAX(1,N(E1407)),MAX(0,INT((Config!$B$8-L1407)/30)+1)),IF(N(G1407)&gt;=MAX(1,N(E1407)),"Conferido","Conferido até aqui"),"A conferir")))</f>
        <v/>
      </c>
      <c r="S1407" s="51">
        <f>IF(R1407="A conferir",(Config!$B$8-L1407)*1000+N(F1407)/1000+ROW()/100000,0)</f>
        <v>0</v>
      </c>
      <c r="T1407" s="51">
        <f>IF(R1407="A conferir",N(N1407),0)</f>
        <v>0</v>
      </c>
      <c r="U1407" s="51">
        <f>IF(L1407="",0,L1407)</f>
        <v>0</v>
      </c>
      <c r="V1407" s="51">
        <f>IF(L1407="",0,MAX(1,N(E1407)))</f>
        <v>0</v>
      </c>
      <c r="W1407" s="51">
        <f>IF(K1407="",0,K1407)</f>
        <v>0</v>
      </c>
    </row>
    <row r="1408">
      <c r="A1408" s="49" t="n"/>
      <c r="B1408" s="41" t="n"/>
      <c r="C1408" s="41" t="n"/>
      <c r="D1408" s="42" t="n"/>
      <c r="E1408" s="42" t="n"/>
      <c r="F1408" s="50" t="n"/>
      <c r="G1408" s="42" t="n"/>
      <c r="H1408" s="30">
        <f>IF(D1408="","",IFERROR(INDEX(Config!$B$12:$B$15,MATCH(IF(AND(D1408="Cartão de crédito",N(E1408)&gt;1),"Cartão de crédito parcelado",D1408),Config!$A$12:$A$15,0)),0)+IF(AND(Config!$B$17="Sim",LEFT(D1408,17)="Cartão de crédito"),Config!$B$18*IFERROR(INDEX(Config!$C$12:$C$15,MATCH(IF(AND(D1408="Cartão de crédito",N(E1408)&gt;1),"Cartão de crédito parcelado",D1408),Config!$A$12:$A$15,0)),0)/30*MAX(1,N(E1408)),0))</f>
        <v/>
      </c>
      <c r="I1408" s="29">
        <f>IF(OR(D1408="",F1408=""),"",ROUND(F1408*H1408,2))</f>
        <v/>
      </c>
      <c r="J1408" s="29">
        <f>IF(I1408="","",F1408-I1408)</f>
        <v/>
      </c>
      <c r="K1408" s="29">
        <f>IF(J1408="","",J1408/MAX(1,N(E1408)))</f>
        <v/>
      </c>
      <c r="L1408" s="37">
        <f>IF(OR(D1408="",A1408=""),"",A1408+IF(AND(Config!$B$17="Sim",LEFT(D1408,17)="Cartão de crédito"),1,IFERROR(INDEX(Config!$C$12:$C$15,MATCH(IF(AND(D1408="Cartão de crédito",N(E1408)&gt;1),"Cartão de crédito parcelado",D1408),Config!$A$12:$A$15,0)),0)))</f>
        <v/>
      </c>
      <c r="M1408" s="37">
        <f>IF(L1408="","",IF(AND(Config!$B$17="Sim",LEFT(D1408,17)="Cartão de crédito"),L1408,L1408+30*(MAX(1,N(E1408))-1)))</f>
        <v/>
      </c>
      <c r="N1408" s="29">
        <f>IF(OR(L1408="",K1408=""),"",K1408*MIN(MAX(1,N(E1408)),MAX(0,INT((Config!$B$8-L1408)/30)+1)))</f>
        <v/>
      </c>
      <c r="O1408" s="29">
        <f>IF(J1408="","",J1408-N(N1408))</f>
        <v/>
      </c>
      <c r="P1408" s="27">
        <f>IF(A1408="","",MONTH(A1408))</f>
        <v/>
      </c>
      <c r="Q1408" s="27">
        <f>IF(A1408="","",YEAR(A1408))</f>
        <v/>
      </c>
      <c r="R1408" s="27">
        <f>IF(L1408="","",IF(L1408&gt;Config!$B$8,"A cair",IF(N(G1408)&gt;=MIN(MAX(1,N(E1408)),MAX(0,INT((Config!$B$8-L1408)/30)+1)),IF(N(G1408)&gt;=MAX(1,N(E1408)),"Conferido","Conferido até aqui"),"A conferir")))</f>
        <v/>
      </c>
      <c r="S1408" s="51">
        <f>IF(R1408="A conferir",(Config!$B$8-L1408)*1000+N(F1408)/1000+ROW()/100000,0)</f>
        <v>0</v>
      </c>
      <c r="T1408" s="51">
        <f>IF(R1408="A conferir",N(N1408),0)</f>
        <v>0</v>
      </c>
      <c r="U1408" s="51">
        <f>IF(L1408="",0,L1408)</f>
        <v>0</v>
      </c>
      <c r="V1408" s="51">
        <f>IF(L1408="",0,MAX(1,N(E1408)))</f>
        <v>0</v>
      </c>
      <c r="W1408" s="51">
        <f>IF(K1408="",0,K1408)</f>
        <v>0</v>
      </c>
    </row>
    <row r="1409">
      <c r="A1409" s="49" t="n"/>
      <c r="B1409" s="41" t="n"/>
      <c r="C1409" s="41" t="n"/>
      <c r="D1409" s="42" t="n"/>
      <c r="E1409" s="42" t="n"/>
      <c r="F1409" s="50" t="n"/>
      <c r="G1409" s="42" t="n"/>
      <c r="H1409" s="30">
        <f>IF(D1409="","",IFERROR(INDEX(Config!$B$12:$B$15,MATCH(IF(AND(D1409="Cartão de crédito",N(E1409)&gt;1),"Cartão de crédito parcelado",D1409),Config!$A$12:$A$15,0)),0)+IF(AND(Config!$B$17="Sim",LEFT(D1409,17)="Cartão de crédito"),Config!$B$18*IFERROR(INDEX(Config!$C$12:$C$15,MATCH(IF(AND(D1409="Cartão de crédito",N(E1409)&gt;1),"Cartão de crédito parcelado",D1409),Config!$A$12:$A$15,0)),0)/30*MAX(1,N(E1409)),0))</f>
        <v/>
      </c>
      <c r="I1409" s="29">
        <f>IF(OR(D1409="",F1409=""),"",ROUND(F1409*H1409,2))</f>
        <v/>
      </c>
      <c r="J1409" s="29">
        <f>IF(I1409="","",F1409-I1409)</f>
        <v/>
      </c>
      <c r="K1409" s="29">
        <f>IF(J1409="","",J1409/MAX(1,N(E1409)))</f>
        <v/>
      </c>
      <c r="L1409" s="37">
        <f>IF(OR(D1409="",A1409=""),"",A1409+IF(AND(Config!$B$17="Sim",LEFT(D1409,17)="Cartão de crédito"),1,IFERROR(INDEX(Config!$C$12:$C$15,MATCH(IF(AND(D1409="Cartão de crédito",N(E1409)&gt;1),"Cartão de crédito parcelado",D1409),Config!$A$12:$A$15,0)),0)))</f>
        <v/>
      </c>
      <c r="M1409" s="37">
        <f>IF(L1409="","",IF(AND(Config!$B$17="Sim",LEFT(D1409,17)="Cartão de crédito"),L1409,L1409+30*(MAX(1,N(E1409))-1)))</f>
        <v/>
      </c>
      <c r="N1409" s="29">
        <f>IF(OR(L1409="",K1409=""),"",K1409*MIN(MAX(1,N(E1409)),MAX(0,INT((Config!$B$8-L1409)/30)+1)))</f>
        <v/>
      </c>
      <c r="O1409" s="29">
        <f>IF(J1409="","",J1409-N(N1409))</f>
        <v/>
      </c>
      <c r="P1409" s="27">
        <f>IF(A1409="","",MONTH(A1409))</f>
        <v/>
      </c>
      <c r="Q1409" s="27">
        <f>IF(A1409="","",YEAR(A1409))</f>
        <v/>
      </c>
      <c r="R1409" s="27">
        <f>IF(L1409="","",IF(L1409&gt;Config!$B$8,"A cair",IF(N(G1409)&gt;=MIN(MAX(1,N(E1409)),MAX(0,INT((Config!$B$8-L1409)/30)+1)),IF(N(G1409)&gt;=MAX(1,N(E1409)),"Conferido","Conferido até aqui"),"A conferir")))</f>
        <v/>
      </c>
      <c r="S1409" s="51">
        <f>IF(R1409="A conferir",(Config!$B$8-L1409)*1000+N(F1409)/1000+ROW()/100000,0)</f>
        <v>0</v>
      </c>
      <c r="T1409" s="51">
        <f>IF(R1409="A conferir",N(N1409),0)</f>
        <v>0</v>
      </c>
      <c r="U1409" s="51">
        <f>IF(L1409="",0,L1409)</f>
        <v>0</v>
      </c>
      <c r="V1409" s="51">
        <f>IF(L1409="",0,MAX(1,N(E1409)))</f>
        <v>0</v>
      </c>
      <c r="W1409" s="51">
        <f>IF(K1409="",0,K1409)</f>
        <v>0</v>
      </c>
    </row>
    <row r="1410">
      <c r="A1410" s="49" t="n"/>
      <c r="B1410" s="41" t="n"/>
      <c r="C1410" s="41" t="n"/>
      <c r="D1410" s="42" t="n"/>
      <c r="E1410" s="42" t="n"/>
      <c r="F1410" s="50" t="n"/>
      <c r="G1410" s="42" t="n"/>
      <c r="H1410" s="30">
        <f>IF(D1410="","",IFERROR(INDEX(Config!$B$12:$B$15,MATCH(IF(AND(D1410="Cartão de crédito",N(E1410)&gt;1),"Cartão de crédito parcelado",D1410),Config!$A$12:$A$15,0)),0)+IF(AND(Config!$B$17="Sim",LEFT(D1410,17)="Cartão de crédito"),Config!$B$18*IFERROR(INDEX(Config!$C$12:$C$15,MATCH(IF(AND(D1410="Cartão de crédito",N(E1410)&gt;1),"Cartão de crédito parcelado",D1410),Config!$A$12:$A$15,0)),0)/30*MAX(1,N(E1410)),0))</f>
        <v/>
      </c>
      <c r="I1410" s="29">
        <f>IF(OR(D1410="",F1410=""),"",ROUND(F1410*H1410,2))</f>
        <v/>
      </c>
      <c r="J1410" s="29">
        <f>IF(I1410="","",F1410-I1410)</f>
        <v/>
      </c>
      <c r="K1410" s="29">
        <f>IF(J1410="","",J1410/MAX(1,N(E1410)))</f>
        <v/>
      </c>
      <c r="L1410" s="37">
        <f>IF(OR(D1410="",A1410=""),"",A1410+IF(AND(Config!$B$17="Sim",LEFT(D1410,17)="Cartão de crédito"),1,IFERROR(INDEX(Config!$C$12:$C$15,MATCH(IF(AND(D1410="Cartão de crédito",N(E1410)&gt;1),"Cartão de crédito parcelado",D1410),Config!$A$12:$A$15,0)),0)))</f>
        <v/>
      </c>
      <c r="M1410" s="37">
        <f>IF(L1410="","",IF(AND(Config!$B$17="Sim",LEFT(D1410,17)="Cartão de crédito"),L1410,L1410+30*(MAX(1,N(E1410))-1)))</f>
        <v/>
      </c>
      <c r="N1410" s="29">
        <f>IF(OR(L1410="",K1410=""),"",K1410*MIN(MAX(1,N(E1410)),MAX(0,INT((Config!$B$8-L1410)/30)+1)))</f>
        <v/>
      </c>
      <c r="O1410" s="29">
        <f>IF(J1410="","",J1410-N(N1410))</f>
        <v/>
      </c>
      <c r="P1410" s="27">
        <f>IF(A1410="","",MONTH(A1410))</f>
        <v/>
      </c>
      <c r="Q1410" s="27">
        <f>IF(A1410="","",YEAR(A1410))</f>
        <v/>
      </c>
      <c r="R1410" s="27">
        <f>IF(L1410="","",IF(L1410&gt;Config!$B$8,"A cair",IF(N(G1410)&gt;=MIN(MAX(1,N(E1410)),MAX(0,INT((Config!$B$8-L1410)/30)+1)),IF(N(G1410)&gt;=MAX(1,N(E1410)),"Conferido","Conferido até aqui"),"A conferir")))</f>
        <v/>
      </c>
      <c r="S1410" s="51">
        <f>IF(R1410="A conferir",(Config!$B$8-L1410)*1000+N(F1410)/1000+ROW()/100000,0)</f>
        <v>0</v>
      </c>
      <c r="T1410" s="51">
        <f>IF(R1410="A conferir",N(N1410),0)</f>
        <v>0</v>
      </c>
      <c r="U1410" s="51">
        <f>IF(L1410="",0,L1410)</f>
        <v>0</v>
      </c>
      <c r="V1410" s="51">
        <f>IF(L1410="",0,MAX(1,N(E1410)))</f>
        <v>0</v>
      </c>
      <c r="W1410" s="51">
        <f>IF(K1410="",0,K1410)</f>
        <v>0</v>
      </c>
    </row>
    <row r="1411">
      <c r="A1411" s="49" t="n"/>
      <c r="B1411" s="41" t="n"/>
      <c r="C1411" s="41" t="n"/>
      <c r="D1411" s="42" t="n"/>
      <c r="E1411" s="42" t="n"/>
      <c r="F1411" s="50" t="n"/>
      <c r="G1411" s="42" t="n"/>
      <c r="H1411" s="30">
        <f>IF(D1411="","",IFERROR(INDEX(Config!$B$12:$B$15,MATCH(IF(AND(D1411="Cartão de crédito",N(E1411)&gt;1),"Cartão de crédito parcelado",D1411),Config!$A$12:$A$15,0)),0)+IF(AND(Config!$B$17="Sim",LEFT(D1411,17)="Cartão de crédito"),Config!$B$18*IFERROR(INDEX(Config!$C$12:$C$15,MATCH(IF(AND(D1411="Cartão de crédito",N(E1411)&gt;1),"Cartão de crédito parcelado",D1411),Config!$A$12:$A$15,0)),0)/30*MAX(1,N(E1411)),0))</f>
        <v/>
      </c>
      <c r="I1411" s="29">
        <f>IF(OR(D1411="",F1411=""),"",ROUND(F1411*H1411,2))</f>
        <v/>
      </c>
      <c r="J1411" s="29">
        <f>IF(I1411="","",F1411-I1411)</f>
        <v/>
      </c>
      <c r="K1411" s="29">
        <f>IF(J1411="","",J1411/MAX(1,N(E1411)))</f>
        <v/>
      </c>
      <c r="L1411" s="37">
        <f>IF(OR(D1411="",A1411=""),"",A1411+IF(AND(Config!$B$17="Sim",LEFT(D1411,17)="Cartão de crédito"),1,IFERROR(INDEX(Config!$C$12:$C$15,MATCH(IF(AND(D1411="Cartão de crédito",N(E1411)&gt;1),"Cartão de crédito parcelado",D1411),Config!$A$12:$A$15,0)),0)))</f>
        <v/>
      </c>
      <c r="M1411" s="37">
        <f>IF(L1411="","",IF(AND(Config!$B$17="Sim",LEFT(D1411,17)="Cartão de crédito"),L1411,L1411+30*(MAX(1,N(E1411))-1)))</f>
        <v/>
      </c>
      <c r="N1411" s="29">
        <f>IF(OR(L1411="",K1411=""),"",K1411*MIN(MAX(1,N(E1411)),MAX(0,INT((Config!$B$8-L1411)/30)+1)))</f>
        <v/>
      </c>
      <c r="O1411" s="29">
        <f>IF(J1411="","",J1411-N(N1411))</f>
        <v/>
      </c>
      <c r="P1411" s="27">
        <f>IF(A1411="","",MONTH(A1411))</f>
        <v/>
      </c>
      <c r="Q1411" s="27">
        <f>IF(A1411="","",YEAR(A1411))</f>
        <v/>
      </c>
      <c r="R1411" s="27">
        <f>IF(L1411="","",IF(L1411&gt;Config!$B$8,"A cair",IF(N(G1411)&gt;=MIN(MAX(1,N(E1411)),MAX(0,INT((Config!$B$8-L1411)/30)+1)),IF(N(G1411)&gt;=MAX(1,N(E1411)),"Conferido","Conferido até aqui"),"A conferir")))</f>
        <v/>
      </c>
      <c r="S1411" s="51">
        <f>IF(R1411="A conferir",(Config!$B$8-L1411)*1000+N(F1411)/1000+ROW()/100000,0)</f>
        <v>0</v>
      </c>
      <c r="T1411" s="51">
        <f>IF(R1411="A conferir",N(N1411),0)</f>
        <v>0</v>
      </c>
      <c r="U1411" s="51">
        <f>IF(L1411="",0,L1411)</f>
        <v>0</v>
      </c>
      <c r="V1411" s="51">
        <f>IF(L1411="",0,MAX(1,N(E1411)))</f>
        <v>0</v>
      </c>
      <c r="W1411" s="51">
        <f>IF(K1411="",0,K1411)</f>
        <v>0</v>
      </c>
    </row>
    <row r="1412">
      <c r="A1412" s="49" t="n"/>
      <c r="B1412" s="41" t="n"/>
      <c r="C1412" s="41" t="n"/>
      <c r="D1412" s="42" t="n"/>
      <c r="E1412" s="42" t="n"/>
      <c r="F1412" s="50" t="n"/>
      <c r="G1412" s="42" t="n"/>
      <c r="H1412" s="30">
        <f>IF(D1412="","",IFERROR(INDEX(Config!$B$12:$B$15,MATCH(IF(AND(D1412="Cartão de crédito",N(E1412)&gt;1),"Cartão de crédito parcelado",D1412),Config!$A$12:$A$15,0)),0)+IF(AND(Config!$B$17="Sim",LEFT(D1412,17)="Cartão de crédito"),Config!$B$18*IFERROR(INDEX(Config!$C$12:$C$15,MATCH(IF(AND(D1412="Cartão de crédito",N(E1412)&gt;1),"Cartão de crédito parcelado",D1412),Config!$A$12:$A$15,0)),0)/30*MAX(1,N(E1412)),0))</f>
        <v/>
      </c>
      <c r="I1412" s="29">
        <f>IF(OR(D1412="",F1412=""),"",ROUND(F1412*H1412,2))</f>
        <v/>
      </c>
      <c r="J1412" s="29">
        <f>IF(I1412="","",F1412-I1412)</f>
        <v/>
      </c>
      <c r="K1412" s="29">
        <f>IF(J1412="","",J1412/MAX(1,N(E1412)))</f>
        <v/>
      </c>
      <c r="L1412" s="37">
        <f>IF(OR(D1412="",A1412=""),"",A1412+IF(AND(Config!$B$17="Sim",LEFT(D1412,17)="Cartão de crédito"),1,IFERROR(INDEX(Config!$C$12:$C$15,MATCH(IF(AND(D1412="Cartão de crédito",N(E1412)&gt;1),"Cartão de crédito parcelado",D1412),Config!$A$12:$A$15,0)),0)))</f>
        <v/>
      </c>
      <c r="M1412" s="37">
        <f>IF(L1412="","",IF(AND(Config!$B$17="Sim",LEFT(D1412,17)="Cartão de crédito"),L1412,L1412+30*(MAX(1,N(E1412))-1)))</f>
        <v/>
      </c>
      <c r="N1412" s="29">
        <f>IF(OR(L1412="",K1412=""),"",K1412*MIN(MAX(1,N(E1412)),MAX(0,INT((Config!$B$8-L1412)/30)+1)))</f>
        <v/>
      </c>
      <c r="O1412" s="29">
        <f>IF(J1412="","",J1412-N(N1412))</f>
        <v/>
      </c>
      <c r="P1412" s="27">
        <f>IF(A1412="","",MONTH(A1412))</f>
        <v/>
      </c>
      <c r="Q1412" s="27">
        <f>IF(A1412="","",YEAR(A1412))</f>
        <v/>
      </c>
      <c r="R1412" s="27">
        <f>IF(L1412="","",IF(L1412&gt;Config!$B$8,"A cair",IF(N(G1412)&gt;=MIN(MAX(1,N(E1412)),MAX(0,INT((Config!$B$8-L1412)/30)+1)),IF(N(G1412)&gt;=MAX(1,N(E1412)),"Conferido","Conferido até aqui"),"A conferir")))</f>
        <v/>
      </c>
      <c r="S1412" s="51">
        <f>IF(R1412="A conferir",(Config!$B$8-L1412)*1000+N(F1412)/1000+ROW()/100000,0)</f>
        <v>0</v>
      </c>
      <c r="T1412" s="51">
        <f>IF(R1412="A conferir",N(N1412),0)</f>
        <v>0</v>
      </c>
      <c r="U1412" s="51">
        <f>IF(L1412="",0,L1412)</f>
        <v>0</v>
      </c>
      <c r="V1412" s="51">
        <f>IF(L1412="",0,MAX(1,N(E1412)))</f>
        <v>0</v>
      </c>
      <c r="W1412" s="51">
        <f>IF(K1412="",0,K1412)</f>
        <v>0</v>
      </c>
    </row>
    <row r="1413">
      <c r="A1413" s="49" t="n"/>
      <c r="B1413" s="41" t="n"/>
      <c r="C1413" s="41" t="n"/>
      <c r="D1413" s="42" t="n"/>
      <c r="E1413" s="42" t="n"/>
      <c r="F1413" s="50" t="n"/>
      <c r="G1413" s="42" t="n"/>
      <c r="H1413" s="30">
        <f>IF(D1413="","",IFERROR(INDEX(Config!$B$12:$B$15,MATCH(IF(AND(D1413="Cartão de crédito",N(E1413)&gt;1),"Cartão de crédito parcelado",D1413),Config!$A$12:$A$15,0)),0)+IF(AND(Config!$B$17="Sim",LEFT(D1413,17)="Cartão de crédito"),Config!$B$18*IFERROR(INDEX(Config!$C$12:$C$15,MATCH(IF(AND(D1413="Cartão de crédito",N(E1413)&gt;1),"Cartão de crédito parcelado",D1413),Config!$A$12:$A$15,0)),0)/30*MAX(1,N(E1413)),0))</f>
        <v/>
      </c>
      <c r="I1413" s="29">
        <f>IF(OR(D1413="",F1413=""),"",ROUND(F1413*H1413,2))</f>
        <v/>
      </c>
      <c r="J1413" s="29">
        <f>IF(I1413="","",F1413-I1413)</f>
        <v/>
      </c>
      <c r="K1413" s="29">
        <f>IF(J1413="","",J1413/MAX(1,N(E1413)))</f>
        <v/>
      </c>
      <c r="L1413" s="37">
        <f>IF(OR(D1413="",A1413=""),"",A1413+IF(AND(Config!$B$17="Sim",LEFT(D1413,17)="Cartão de crédito"),1,IFERROR(INDEX(Config!$C$12:$C$15,MATCH(IF(AND(D1413="Cartão de crédito",N(E1413)&gt;1),"Cartão de crédito parcelado",D1413),Config!$A$12:$A$15,0)),0)))</f>
        <v/>
      </c>
      <c r="M1413" s="37">
        <f>IF(L1413="","",IF(AND(Config!$B$17="Sim",LEFT(D1413,17)="Cartão de crédito"),L1413,L1413+30*(MAX(1,N(E1413))-1)))</f>
        <v/>
      </c>
      <c r="N1413" s="29">
        <f>IF(OR(L1413="",K1413=""),"",K1413*MIN(MAX(1,N(E1413)),MAX(0,INT((Config!$B$8-L1413)/30)+1)))</f>
        <v/>
      </c>
      <c r="O1413" s="29">
        <f>IF(J1413="","",J1413-N(N1413))</f>
        <v/>
      </c>
      <c r="P1413" s="27">
        <f>IF(A1413="","",MONTH(A1413))</f>
        <v/>
      </c>
      <c r="Q1413" s="27">
        <f>IF(A1413="","",YEAR(A1413))</f>
        <v/>
      </c>
      <c r="R1413" s="27">
        <f>IF(L1413="","",IF(L1413&gt;Config!$B$8,"A cair",IF(N(G1413)&gt;=MIN(MAX(1,N(E1413)),MAX(0,INT((Config!$B$8-L1413)/30)+1)),IF(N(G1413)&gt;=MAX(1,N(E1413)),"Conferido","Conferido até aqui"),"A conferir")))</f>
        <v/>
      </c>
      <c r="S1413" s="51">
        <f>IF(R1413="A conferir",(Config!$B$8-L1413)*1000+N(F1413)/1000+ROW()/100000,0)</f>
        <v>0</v>
      </c>
      <c r="T1413" s="51">
        <f>IF(R1413="A conferir",N(N1413),0)</f>
        <v>0</v>
      </c>
      <c r="U1413" s="51">
        <f>IF(L1413="",0,L1413)</f>
        <v>0</v>
      </c>
      <c r="V1413" s="51">
        <f>IF(L1413="",0,MAX(1,N(E1413)))</f>
        <v>0</v>
      </c>
      <c r="W1413" s="51">
        <f>IF(K1413="",0,K1413)</f>
        <v>0</v>
      </c>
    </row>
    <row r="1414">
      <c r="A1414" s="49" t="n"/>
      <c r="B1414" s="41" t="n"/>
      <c r="C1414" s="41" t="n"/>
      <c r="D1414" s="42" t="n"/>
      <c r="E1414" s="42" t="n"/>
      <c r="F1414" s="50" t="n"/>
      <c r="G1414" s="42" t="n"/>
      <c r="H1414" s="30">
        <f>IF(D1414="","",IFERROR(INDEX(Config!$B$12:$B$15,MATCH(IF(AND(D1414="Cartão de crédito",N(E1414)&gt;1),"Cartão de crédito parcelado",D1414),Config!$A$12:$A$15,0)),0)+IF(AND(Config!$B$17="Sim",LEFT(D1414,17)="Cartão de crédito"),Config!$B$18*IFERROR(INDEX(Config!$C$12:$C$15,MATCH(IF(AND(D1414="Cartão de crédito",N(E1414)&gt;1),"Cartão de crédito parcelado",D1414),Config!$A$12:$A$15,0)),0)/30*MAX(1,N(E1414)),0))</f>
        <v/>
      </c>
      <c r="I1414" s="29">
        <f>IF(OR(D1414="",F1414=""),"",ROUND(F1414*H1414,2))</f>
        <v/>
      </c>
      <c r="J1414" s="29">
        <f>IF(I1414="","",F1414-I1414)</f>
        <v/>
      </c>
      <c r="K1414" s="29">
        <f>IF(J1414="","",J1414/MAX(1,N(E1414)))</f>
        <v/>
      </c>
      <c r="L1414" s="37">
        <f>IF(OR(D1414="",A1414=""),"",A1414+IF(AND(Config!$B$17="Sim",LEFT(D1414,17)="Cartão de crédito"),1,IFERROR(INDEX(Config!$C$12:$C$15,MATCH(IF(AND(D1414="Cartão de crédito",N(E1414)&gt;1),"Cartão de crédito parcelado",D1414),Config!$A$12:$A$15,0)),0)))</f>
        <v/>
      </c>
      <c r="M1414" s="37">
        <f>IF(L1414="","",IF(AND(Config!$B$17="Sim",LEFT(D1414,17)="Cartão de crédito"),L1414,L1414+30*(MAX(1,N(E1414))-1)))</f>
        <v/>
      </c>
      <c r="N1414" s="29">
        <f>IF(OR(L1414="",K1414=""),"",K1414*MIN(MAX(1,N(E1414)),MAX(0,INT((Config!$B$8-L1414)/30)+1)))</f>
        <v/>
      </c>
      <c r="O1414" s="29">
        <f>IF(J1414="","",J1414-N(N1414))</f>
        <v/>
      </c>
      <c r="P1414" s="27">
        <f>IF(A1414="","",MONTH(A1414))</f>
        <v/>
      </c>
      <c r="Q1414" s="27">
        <f>IF(A1414="","",YEAR(A1414))</f>
        <v/>
      </c>
      <c r="R1414" s="27">
        <f>IF(L1414="","",IF(L1414&gt;Config!$B$8,"A cair",IF(N(G1414)&gt;=MIN(MAX(1,N(E1414)),MAX(0,INT((Config!$B$8-L1414)/30)+1)),IF(N(G1414)&gt;=MAX(1,N(E1414)),"Conferido","Conferido até aqui"),"A conferir")))</f>
        <v/>
      </c>
      <c r="S1414" s="51">
        <f>IF(R1414="A conferir",(Config!$B$8-L1414)*1000+N(F1414)/1000+ROW()/100000,0)</f>
        <v>0</v>
      </c>
      <c r="T1414" s="51">
        <f>IF(R1414="A conferir",N(N1414),0)</f>
        <v>0</v>
      </c>
      <c r="U1414" s="51">
        <f>IF(L1414="",0,L1414)</f>
        <v>0</v>
      </c>
      <c r="V1414" s="51">
        <f>IF(L1414="",0,MAX(1,N(E1414)))</f>
        <v>0</v>
      </c>
      <c r="W1414" s="51">
        <f>IF(K1414="",0,K1414)</f>
        <v>0</v>
      </c>
    </row>
    <row r="1415">
      <c r="A1415" s="49" t="n"/>
      <c r="B1415" s="41" t="n"/>
      <c r="C1415" s="41" t="n"/>
      <c r="D1415" s="42" t="n"/>
      <c r="E1415" s="42" t="n"/>
      <c r="F1415" s="50" t="n"/>
      <c r="G1415" s="42" t="n"/>
      <c r="H1415" s="30">
        <f>IF(D1415="","",IFERROR(INDEX(Config!$B$12:$B$15,MATCH(IF(AND(D1415="Cartão de crédito",N(E1415)&gt;1),"Cartão de crédito parcelado",D1415),Config!$A$12:$A$15,0)),0)+IF(AND(Config!$B$17="Sim",LEFT(D1415,17)="Cartão de crédito"),Config!$B$18*IFERROR(INDEX(Config!$C$12:$C$15,MATCH(IF(AND(D1415="Cartão de crédito",N(E1415)&gt;1),"Cartão de crédito parcelado",D1415),Config!$A$12:$A$15,0)),0)/30*MAX(1,N(E1415)),0))</f>
        <v/>
      </c>
      <c r="I1415" s="29">
        <f>IF(OR(D1415="",F1415=""),"",ROUND(F1415*H1415,2))</f>
        <v/>
      </c>
      <c r="J1415" s="29">
        <f>IF(I1415="","",F1415-I1415)</f>
        <v/>
      </c>
      <c r="K1415" s="29">
        <f>IF(J1415="","",J1415/MAX(1,N(E1415)))</f>
        <v/>
      </c>
      <c r="L1415" s="37">
        <f>IF(OR(D1415="",A1415=""),"",A1415+IF(AND(Config!$B$17="Sim",LEFT(D1415,17)="Cartão de crédito"),1,IFERROR(INDEX(Config!$C$12:$C$15,MATCH(IF(AND(D1415="Cartão de crédito",N(E1415)&gt;1),"Cartão de crédito parcelado",D1415),Config!$A$12:$A$15,0)),0)))</f>
        <v/>
      </c>
      <c r="M1415" s="37">
        <f>IF(L1415="","",IF(AND(Config!$B$17="Sim",LEFT(D1415,17)="Cartão de crédito"),L1415,L1415+30*(MAX(1,N(E1415))-1)))</f>
        <v/>
      </c>
      <c r="N1415" s="29">
        <f>IF(OR(L1415="",K1415=""),"",K1415*MIN(MAX(1,N(E1415)),MAX(0,INT((Config!$B$8-L1415)/30)+1)))</f>
        <v/>
      </c>
      <c r="O1415" s="29">
        <f>IF(J1415="","",J1415-N(N1415))</f>
        <v/>
      </c>
      <c r="P1415" s="27">
        <f>IF(A1415="","",MONTH(A1415))</f>
        <v/>
      </c>
      <c r="Q1415" s="27">
        <f>IF(A1415="","",YEAR(A1415))</f>
        <v/>
      </c>
      <c r="R1415" s="27">
        <f>IF(L1415="","",IF(L1415&gt;Config!$B$8,"A cair",IF(N(G1415)&gt;=MIN(MAX(1,N(E1415)),MAX(0,INT((Config!$B$8-L1415)/30)+1)),IF(N(G1415)&gt;=MAX(1,N(E1415)),"Conferido","Conferido até aqui"),"A conferir")))</f>
        <v/>
      </c>
      <c r="S1415" s="51">
        <f>IF(R1415="A conferir",(Config!$B$8-L1415)*1000+N(F1415)/1000+ROW()/100000,0)</f>
        <v>0</v>
      </c>
      <c r="T1415" s="51">
        <f>IF(R1415="A conferir",N(N1415),0)</f>
        <v>0</v>
      </c>
      <c r="U1415" s="51">
        <f>IF(L1415="",0,L1415)</f>
        <v>0</v>
      </c>
      <c r="V1415" s="51">
        <f>IF(L1415="",0,MAX(1,N(E1415)))</f>
        <v>0</v>
      </c>
      <c r="W1415" s="51">
        <f>IF(K1415="",0,K1415)</f>
        <v>0</v>
      </c>
    </row>
    <row r="1416">
      <c r="A1416" s="49" t="n"/>
      <c r="B1416" s="41" t="n"/>
      <c r="C1416" s="41" t="n"/>
      <c r="D1416" s="42" t="n"/>
      <c r="E1416" s="42" t="n"/>
      <c r="F1416" s="50" t="n"/>
      <c r="G1416" s="42" t="n"/>
      <c r="H1416" s="30">
        <f>IF(D1416="","",IFERROR(INDEX(Config!$B$12:$B$15,MATCH(IF(AND(D1416="Cartão de crédito",N(E1416)&gt;1),"Cartão de crédito parcelado",D1416),Config!$A$12:$A$15,0)),0)+IF(AND(Config!$B$17="Sim",LEFT(D1416,17)="Cartão de crédito"),Config!$B$18*IFERROR(INDEX(Config!$C$12:$C$15,MATCH(IF(AND(D1416="Cartão de crédito",N(E1416)&gt;1),"Cartão de crédito parcelado",D1416),Config!$A$12:$A$15,0)),0)/30*MAX(1,N(E1416)),0))</f>
        <v/>
      </c>
      <c r="I1416" s="29">
        <f>IF(OR(D1416="",F1416=""),"",ROUND(F1416*H1416,2))</f>
        <v/>
      </c>
      <c r="J1416" s="29">
        <f>IF(I1416="","",F1416-I1416)</f>
        <v/>
      </c>
      <c r="K1416" s="29">
        <f>IF(J1416="","",J1416/MAX(1,N(E1416)))</f>
        <v/>
      </c>
      <c r="L1416" s="37">
        <f>IF(OR(D1416="",A1416=""),"",A1416+IF(AND(Config!$B$17="Sim",LEFT(D1416,17)="Cartão de crédito"),1,IFERROR(INDEX(Config!$C$12:$C$15,MATCH(IF(AND(D1416="Cartão de crédito",N(E1416)&gt;1),"Cartão de crédito parcelado",D1416),Config!$A$12:$A$15,0)),0)))</f>
        <v/>
      </c>
      <c r="M1416" s="37">
        <f>IF(L1416="","",IF(AND(Config!$B$17="Sim",LEFT(D1416,17)="Cartão de crédito"),L1416,L1416+30*(MAX(1,N(E1416))-1)))</f>
        <v/>
      </c>
      <c r="N1416" s="29">
        <f>IF(OR(L1416="",K1416=""),"",K1416*MIN(MAX(1,N(E1416)),MAX(0,INT((Config!$B$8-L1416)/30)+1)))</f>
        <v/>
      </c>
      <c r="O1416" s="29">
        <f>IF(J1416="","",J1416-N(N1416))</f>
        <v/>
      </c>
      <c r="P1416" s="27">
        <f>IF(A1416="","",MONTH(A1416))</f>
        <v/>
      </c>
      <c r="Q1416" s="27">
        <f>IF(A1416="","",YEAR(A1416))</f>
        <v/>
      </c>
      <c r="R1416" s="27">
        <f>IF(L1416="","",IF(L1416&gt;Config!$B$8,"A cair",IF(N(G1416)&gt;=MIN(MAX(1,N(E1416)),MAX(0,INT((Config!$B$8-L1416)/30)+1)),IF(N(G1416)&gt;=MAX(1,N(E1416)),"Conferido","Conferido até aqui"),"A conferir")))</f>
        <v/>
      </c>
      <c r="S1416" s="51">
        <f>IF(R1416="A conferir",(Config!$B$8-L1416)*1000+N(F1416)/1000+ROW()/100000,0)</f>
        <v>0</v>
      </c>
      <c r="T1416" s="51">
        <f>IF(R1416="A conferir",N(N1416),0)</f>
        <v>0</v>
      </c>
      <c r="U1416" s="51">
        <f>IF(L1416="",0,L1416)</f>
        <v>0</v>
      </c>
      <c r="V1416" s="51">
        <f>IF(L1416="",0,MAX(1,N(E1416)))</f>
        <v>0</v>
      </c>
      <c r="W1416" s="51">
        <f>IF(K1416="",0,K1416)</f>
        <v>0</v>
      </c>
    </row>
    <row r="1417">
      <c r="A1417" s="49" t="n"/>
      <c r="B1417" s="41" t="n"/>
      <c r="C1417" s="41" t="n"/>
      <c r="D1417" s="42" t="n"/>
      <c r="E1417" s="42" t="n"/>
      <c r="F1417" s="50" t="n"/>
      <c r="G1417" s="42" t="n"/>
      <c r="H1417" s="30">
        <f>IF(D1417="","",IFERROR(INDEX(Config!$B$12:$B$15,MATCH(IF(AND(D1417="Cartão de crédito",N(E1417)&gt;1),"Cartão de crédito parcelado",D1417),Config!$A$12:$A$15,0)),0)+IF(AND(Config!$B$17="Sim",LEFT(D1417,17)="Cartão de crédito"),Config!$B$18*IFERROR(INDEX(Config!$C$12:$C$15,MATCH(IF(AND(D1417="Cartão de crédito",N(E1417)&gt;1),"Cartão de crédito parcelado",D1417),Config!$A$12:$A$15,0)),0)/30*MAX(1,N(E1417)),0))</f>
        <v/>
      </c>
      <c r="I1417" s="29">
        <f>IF(OR(D1417="",F1417=""),"",ROUND(F1417*H1417,2))</f>
        <v/>
      </c>
      <c r="J1417" s="29">
        <f>IF(I1417="","",F1417-I1417)</f>
        <v/>
      </c>
      <c r="K1417" s="29">
        <f>IF(J1417="","",J1417/MAX(1,N(E1417)))</f>
        <v/>
      </c>
      <c r="L1417" s="37">
        <f>IF(OR(D1417="",A1417=""),"",A1417+IF(AND(Config!$B$17="Sim",LEFT(D1417,17)="Cartão de crédito"),1,IFERROR(INDEX(Config!$C$12:$C$15,MATCH(IF(AND(D1417="Cartão de crédito",N(E1417)&gt;1),"Cartão de crédito parcelado",D1417),Config!$A$12:$A$15,0)),0)))</f>
        <v/>
      </c>
      <c r="M1417" s="37">
        <f>IF(L1417="","",IF(AND(Config!$B$17="Sim",LEFT(D1417,17)="Cartão de crédito"),L1417,L1417+30*(MAX(1,N(E1417))-1)))</f>
        <v/>
      </c>
      <c r="N1417" s="29">
        <f>IF(OR(L1417="",K1417=""),"",K1417*MIN(MAX(1,N(E1417)),MAX(0,INT((Config!$B$8-L1417)/30)+1)))</f>
        <v/>
      </c>
      <c r="O1417" s="29">
        <f>IF(J1417="","",J1417-N(N1417))</f>
        <v/>
      </c>
      <c r="P1417" s="27">
        <f>IF(A1417="","",MONTH(A1417))</f>
        <v/>
      </c>
      <c r="Q1417" s="27">
        <f>IF(A1417="","",YEAR(A1417))</f>
        <v/>
      </c>
      <c r="R1417" s="27">
        <f>IF(L1417="","",IF(L1417&gt;Config!$B$8,"A cair",IF(N(G1417)&gt;=MIN(MAX(1,N(E1417)),MAX(0,INT((Config!$B$8-L1417)/30)+1)),IF(N(G1417)&gt;=MAX(1,N(E1417)),"Conferido","Conferido até aqui"),"A conferir")))</f>
        <v/>
      </c>
      <c r="S1417" s="51">
        <f>IF(R1417="A conferir",(Config!$B$8-L1417)*1000+N(F1417)/1000+ROW()/100000,0)</f>
        <v>0</v>
      </c>
      <c r="T1417" s="51">
        <f>IF(R1417="A conferir",N(N1417),0)</f>
        <v>0</v>
      </c>
      <c r="U1417" s="51">
        <f>IF(L1417="",0,L1417)</f>
        <v>0</v>
      </c>
      <c r="V1417" s="51">
        <f>IF(L1417="",0,MAX(1,N(E1417)))</f>
        <v>0</v>
      </c>
      <c r="W1417" s="51">
        <f>IF(K1417="",0,K1417)</f>
        <v>0</v>
      </c>
    </row>
    <row r="1418">
      <c r="A1418" s="49" t="n"/>
      <c r="B1418" s="41" t="n"/>
      <c r="C1418" s="41" t="n"/>
      <c r="D1418" s="42" t="n"/>
      <c r="E1418" s="42" t="n"/>
      <c r="F1418" s="50" t="n"/>
      <c r="G1418" s="42" t="n"/>
      <c r="H1418" s="30">
        <f>IF(D1418="","",IFERROR(INDEX(Config!$B$12:$B$15,MATCH(IF(AND(D1418="Cartão de crédito",N(E1418)&gt;1),"Cartão de crédito parcelado",D1418),Config!$A$12:$A$15,0)),0)+IF(AND(Config!$B$17="Sim",LEFT(D1418,17)="Cartão de crédito"),Config!$B$18*IFERROR(INDEX(Config!$C$12:$C$15,MATCH(IF(AND(D1418="Cartão de crédito",N(E1418)&gt;1),"Cartão de crédito parcelado",D1418),Config!$A$12:$A$15,0)),0)/30*MAX(1,N(E1418)),0))</f>
        <v/>
      </c>
      <c r="I1418" s="29">
        <f>IF(OR(D1418="",F1418=""),"",ROUND(F1418*H1418,2))</f>
        <v/>
      </c>
      <c r="J1418" s="29">
        <f>IF(I1418="","",F1418-I1418)</f>
        <v/>
      </c>
      <c r="K1418" s="29">
        <f>IF(J1418="","",J1418/MAX(1,N(E1418)))</f>
        <v/>
      </c>
      <c r="L1418" s="37">
        <f>IF(OR(D1418="",A1418=""),"",A1418+IF(AND(Config!$B$17="Sim",LEFT(D1418,17)="Cartão de crédito"),1,IFERROR(INDEX(Config!$C$12:$C$15,MATCH(IF(AND(D1418="Cartão de crédito",N(E1418)&gt;1),"Cartão de crédito parcelado",D1418),Config!$A$12:$A$15,0)),0)))</f>
        <v/>
      </c>
      <c r="M1418" s="37">
        <f>IF(L1418="","",IF(AND(Config!$B$17="Sim",LEFT(D1418,17)="Cartão de crédito"),L1418,L1418+30*(MAX(1,N(E1418))-1)))</f>
        <v/>
      </c>
      <c r="N1418" s="29">
        <f>IF(OR(L1418="",K1418=""),"",K1418*MIN(MAX(1,N(E1418)),MAX(0,INT((Config!$B$8-L1418)/30)+1)))</f>
        <v/>
      </c>
      <c r="O1418" s="29">
        <f>IF(J1418="","",J1418-N(N1418))</f>
        <v/>
      </c>
      <c r="P1418" s="27">
        <f>IF(A1418="","",MONTH(A1418))</f>
        <v/>
      </c>
      <c r="Q1418" s="27">
        <f>IF(A1418="","",YEAR(A1418))</f>
        <v/>
      </c>
      <c r="R1418" s="27">
        <f>IF(L1418="","",IF(L1418&gt;Config!$B$8,"A cair",IF(N(G1418)&gt;=MIN(MAX(1,N(E1418)),MAX(0,INT((Config!$B$8-L1418)/30)+1)),IF(N(G1418)&gt;=MAX(1,N(E1418)),"Conferido","Conferido até aqui"),"A conferir")))</f>
        <v/>
      </c>
      <c r="S1418" s="51">
        <f>IF(R1418="A conferir",(Config!$B$8-L1418)*1000+N(F1418)/1000+ROW()/100000,0)</f>
        <v>0</v>
      </c>
      <c r="T1418" s="51">
        <f>IF(R1418="A conferir",N(N1418),0)</f>
        <v>0</v>
      </c>
      <c r="U1418" s="51">
        <f>IF(L1418="",0,L1418)</f>
        <v>0</v>
      </c>
      <c r="V1418" s="51">
        <f>IF(L1418="",0,MAX(1,N(E1418)))</f>
        <v>0</v>
      </c>
      <c r="W1418" s="51">
        <f>IF(K1418="",0,K1418)</f>
        <v>0</v>
      </c>
    </row>
    <row r="1419">
      <c r="A1419" s="49" t="n"/>
      <c r="B1419" s="41" t="n"/>
      <c r="C1419" s="41" t="n"/>
      <c r="D1419" s="42" t="n"/>
      <c r="E1419" s="42" t="n"/>
      <c r="F1419" s="50" t="n"/>
      <c r="G1419" s="42" t="n"/>
      <c r="H1419" s="30">
        <f>IF(D1419="","",IFERROR(INDEX(Config!$B$12:$B$15,MATCH(IF(AND(D1419="Cartão de crédito",N(E1419)&gt;1),"Cartão de crédito parcelado",D1419),Config!$A$12:$A$15,0)),0)+IF(AND(Config!$B$17="Sim",LEFT(D1419,17)="Cartão de crédito"),Config!$B$18*IFERROR(INDEX(Config!$C$12:$C$15,MATCH(IF(AND(D1419="Cartão de crédito",N(E1419)&gt;1),"Cartão de crédito parcelado",D1419),Config!$A$12:$A$15,0)),0)/30*MAX(1,N(E1419)),0))</f>
        <v/>
      </c>
      <c r="I1419" s="29">
        <f>IF(OR(D1419="",F1419=""),"",ROUND(F1419*H1419,2))</f>
        <v/>
      </c>
      <c r="J1419" s="29">
        <f>IF(I1419="","",F1419-I1419)</f>
        <v/>
      </c>
      <c r="K1419" s="29">
        <f>IF(J1419="","",J1419/MAX(1,N(E1419)))</f>
        <v/>
      </c>
      <c r="L1419" s="37">
        <f>IF(OR(D1419="",A1419=""),"",A1419+IF(AND(Config!$B$17="Sim",LEFT(D1419,17)="Cartão de crédito"),1,IFERROR(INDEX(Config!$C$12:$C$15,MATCH(IF(AND(D1419="Cartão de crédito",N(E1419)&gt;1),"Cartão de crédito parcelado",D1419),Config!$A$12:$A$15,0)),0)))</f>
        <v/>
      </c>
      <c r="M1419" s="37">
        <f>IF(L1419="","",IF(AND(Config!$B$17="Sim",LEFT(D1419,17)="Cartão de crédito"),L1419,L1419+30*(MAX(1,N(E1419))-1)))</f>
        <v/>
      </c>
      <c r="N1419" s="29">
        <f>IF(OR(L1419="",K1419=""),"",K1419*MIN(MAX(1,N(E1419)),MAX(0,INT((Config!$B$8-L1419)/30)+1)))</f>
        <v/>
      </c>
      <c r="O1419" s="29">
        <f>IF(J1419="","",J1419-N(N1419))</f>
        <v/>
      </c>
      <c r="P1419" s="27">
        <f>IF(A1419="","",MONTH(A1419))</f>
        <v/>
      </c>
      <c r="Q1419" s="27">
        <f>IF(A1419="","",YEAR(A1419))</f>
        <v/>
      </c>
      <c r="R1419" s="27">
        <f>IF(L1419="","",IF(L1419&gt;Config!$B$8,"A cair",IF(N(G1419)&gt;=MIN(MAX(1,N(E1419)),MAX(0,INT((Config!$B$8-L1419)/30)+1)),IF(N(G1419)&gt;=MAX(1,N(E1419)),"Conferido","Conferido até aqui"),"A conferir")))</f>
        <v/>
      </c>
      <c r="S1419" s="51">
        <f>IF(R1419="A conferir",(Config!$B$8-L1419)*1000+N(F1419)/1000+ROW()/100000,0)</f>
        <v>0</v>
      </c>
      <c r="T1419" s="51">
        <f>IF(R1419="A conferir",N(N1419),0)</f>
        <v>0</v>
      </c>
      <c r="U1419" s="51">
        <f>IF(L1419="",0,L1419)</f>
        <v>0</v>
      </c>
      <c r="V1419" s="51">
        <f>IF(L1419="",0,MAX(1,N(E1419)))</f>
        <v>0</v>
      </c>
      <c r="W1419" s="51">
        <f>IF(K1419="",0,K1419)</f>
        <v>0</v>
      </c>
    </row>
    <row r="1420">
      <c r="A1420" s="49" t="n"/>
      <c r="B1420" s="41" t="n"/>
      <c r="C1420" s="41" t="n"/>
      <c r="D1420" s="42" t="n"/>
      <c r="E1420" s="42" t="n"/>
      <c r="F1420" s="50" t="n"/>
      <c r="G1420" s="42" t="n"/>
      <c r="H1420" s="30">
        <f>IF(D1420="","",IFERROR(INDEX(Config!$B$12:$B$15,MATCH(IF(AND(D1420="Cartão de crédito",N(E1420)&gt;1),"Cartão de crédito parcelado",D1420),Config!$A$12:$A$15,0)),0)+IF(AND(Config!$B$17="Sim",LEFT(D1420,17)="Cartão de crédito"),Config!$B$18*IFERROR(INDEX(Config!$C$12:$C$15,MATCH(IF(AND(D1420="Cartão de crédito",N(E1420)&gt;1),"Cartão de crédito parcelado",D1420),Config!$A$12:$A$15,0)),0)/30*MAX(1,N(E1420)),0))</f>
        <v/>
      </c>
      <c r="I1420" s="29">
        <f>IF(OR(D1420="",F1420=""),"",ROUND(F1420*H1420,2))</f>
        <v/>
      </c>
      <c r="J1420" s="29">
        <f>IF(I1420="","",F1420-I1420)</f>
        <v/>
      </c>
      <c r="K1420" s="29">
        <f>IF(J1420="","",J1420/MAX(1,N(E1420)))</f>
        <v/>
      </c>
      <c r="L1420" s="37">
        <f>IF(OR(D1420="",A1420=""),"",A1420+IF(AND(Config!$B$17="Sim",LEFT(D1420,17)="Cartão de crédito"),1,IFERROR(INDEX(Config!$C$12:$C$15,MATCH(IF(AND(D1420="Cartão de crédito",N(E1420)&gt;1),"Cartão de crédito parcelado",D1420),Config!$A$12:$A$15,0)),0)))</f>
        <v/>
      </c>
      <c r="M1420" s="37">
        <f>IF(L1420="","",IF(AND(Config!$B$17="Sim",LEFT(D1420,17)="Cartão de crédito"),L1420,L1420+30*(MAX(1,N(E1420))-1)))</f>
        <v/>
      </c>
      <c r="N1420" s="29">
        <f>IF(OR(L1420="",K1420=""),"",K1420*MIN(MAX(1,N(E1420)),MAX(0,INT((Config!$B$8-L1420)/30)+1)))</f>
        <v/>
      </c>
      <c r="O1420" s="29">
        <f>IF(J1420="","",J1420-N(N1420))</f>
        <v/>
      </c>
      <c r="P1420" s="27">
        <f>IF(A1420="","",MONTH(A1420))</f>
        <v/>
      </c>
      <c r="Q1420" s="27">
        <f>IF(A1420="","",YEAR(A1420))</f>
        <v/>
      </c>
      <c r="R1420" s="27">
        <f>IF(L1420="","",IF(L1420&gt;Config!$B$8,"A cair",IF(N(G1420)&gt;=MIN(MAX(1,N(E1420)),MAX(0,INT((Config!$B$8-L1420)/30)+1)),IF(N(G1420)&gt;=MAX(1,N(E1420)),"Conferido","Conferido até aqui"),"A conferir")))</f>
        <v/>
      </c>
      <c r="S1420" s="51">
        <f>IF(R1420="A conferir",(Config!$B$8-L1420)*1000+N(F1420)/1000+ROW()/100000,0)</f>
        <v>0</v>
      </c>
      <c r="T1420" s="51">
        <f>IF(R1420="A conferir",N(N1420),0)</f>
        <v>0</v>
      </c>
      <c r="U1420" s="51">
        <f>IF(L1420="",0,L1420)</f>
        <v>0</v>
      </c>
      <c r="V1420" s="51">
        <f>IF(L1420="",0,MAX(1,N(E1420)))</f>
        <v>0</v>
      </c>
      <c r="W1420" s="51">
        <f>IF(K1420="",0,K1420)</f>
        <v>0</v>
      </c>
    </row>
    <row r="1421">
      <c r="A1421" s="49" t="n"/>
      <c r="B1421" s="41" t="n"/>
      <c r="C1421" s="41" t="n"/>
      <c r="D1421" s="42" t="n"/>
      <c r="E1421" s="42" t="n"/>
      <c r="F1421" s="50" t="n"/>
      <c r="G1421" s="42" t="n"/>
      <c r="H1421" s="30">
        <f>IF(D1421="","",IFERROR(INDEX(Config!$B$12:$B$15,MATCH(IF(AND(D1421="Cartão de crédito",N(E1421)&gt;1),"Cartão de crédito parcelado",D1421),Config!$A$12:$A$15,0)),0)+IF(AND(Config!$B$17="Sim",LEFT(D1421,17)="Cartão de crédito"),Config!$B$18*IFERROR(INDEX(Config!$C$12:$C$15,MATCH(IF(AND(D1421="Cartão de crédito",N(E1421)&gt;1),"Cartão de crédito parcelado",D1421),Config!$A$12:$A$15,0)),0)/30*MAX(1,N(E1421)),0))</f>
        <v/>
      </c>
      <c r="I1421" s="29">
        <f>IF(OR(D1421="",F1421=""),"",ROUND(F1421*H1421,2))</f>
        <v/>
      </c>
      <c r="J1421" s="29">
        <f>IF(I1421="","",F1421-I1421)</f>
        <v/>
      </c>
      <c r="K1421" s="29">
        <f>IF(J1421="","",J1421/MAX(1,N(E1421)))</f>
        <v/>
      </c>
      <c r="L1421" s="37">
        <f>IF(OR(D1421="",A1421=""),"",A1421+IF(AND(Config!$B$17="Sim",LEFT(D1421,17)="Cartão de crédito"),1,IFERROR(INDEX(Config!$C$12:$C$15,MATCH(IF(AND(D1421="Cartão de crédito",N(E1421)&gt;1),"Cartão de crédito parcelado",D1421),Config!$A$12:$A$15,0)),0)))</f>
        <v/>
      </c>
      <c r="M1421" s="37">
        <f>IF(L1421="","",IF(AND(Config!$B$17="Sim",LEFT(D1421,17)="Cartão de crédito"),L1421,L1421+30*(MAX(1,N(E1421))-1)))</f>
        <v/>
      </c>
      <c r="N1421" s="29">
        <f>IF(OR(L1421="",K1421=""),"",K1421*MIN(MAX(1,N(E1421)),MAX(0,INT((Config!$B$8-L1421)/30)+1)))</f>
        <v/>
      </c>
      <c r="O1421" s="29">
        <f>IF(J1421="","",J1421-N(N1421))</f>
        <v/>
      </c>
      <c r="P1421" s="27">
        <f>IF(A1421="","",MONTH(A1421))</f>
        <v/>
      </c>
      <c r="Q1421" s="27">
        <f>IF(A1421="","",YEAR(A1421))</f>
        <v/>
      </c>
      <c r="R1421" s="27">
        <f>IF(L1421="","",IF(L1421&gt;Config!$B$8,"A cair",IF(N(G1421)&gt;=MIN(MAX(1,N(E1421)),MAX(0,INT((Config!$B$8-L1421)/30)+1)),IF(N(G1421)&gt;=MAX(1,N(E1421)),"Conferido","Conferido até aqui"),"A conferir")))</f>
        <v/>
      </c>
      <c r="S1421" s="51">
        <f>IF(R1421="A conferir",(Config!$B$8-L1421)*1000+N(F1421)/1000+ROW()/100000,0)</f>
        <v>0</v>
      </c>
      <c r="T1421" s="51">
        <f>IF(R1421="A conferir",N(N1421),0)</f>
        <v>0</v>
      </c>
      <c r="U1421" s="51">
        <f>IF(L1421="",0,L1421)</f>
        <v>0</v>
      </c>
      <c r="V1421" s="51">
        <f>IF(L1421="",0,MAX(1,N(E1421)))</f>
        <v>0</v>
      </c>
      <c r="W1421" s="51">
        <f>IF(K1421="",0,K1421)</f>
        <v>0</v>
      </c>
    </row>
    <row r="1422">
      <c r="A1422" s="49" t="n"/>
      <c r="B1422" s="41" t="n"/>
      <c r="C1422" s="41" t="n"/>
      <c r="D1422" s="42" t="n"/>
      <c r="E1422" s="42" t="n"/>
      <c r="F1422" s="50" t="n"/>
      <c r="G1422" s="42" t="n"/>
      <c r="H1422" s="30">
        <f>IF(D1422="","",IFERROR(INDEX(Config!$B$12:$B$15,MATCH(IF(AND(D1422="Cartão de crédito",N(E1422)&gt;1),"Cartão de crédito parcelado",D1422),Config!$A$12:$A$15,0)),0)+IF(AND(Config!$B$17="Sim",LEFT(D1422,17)="Cartão de crédito"),Config!$B$18*IFERROR(INDEX(Config!$C$12:$C$15,MATCH(IF(AND(D1422="Cartão de crédito",N(E1422)&gt;1),"Cartão de crédito parcelado",D1422),Config!$A$12:$A$15,0)),0)/30*MAX(1,N(E1422)),0))</f>
        <v/>
      </c>
      <c r="I1422" s="29">
        <f>IF(OR(D1422="",F1422=""),"",ROUND(F1422*H1422,2))</f>
        <v/>
      </c>
      <c r="J1422" s="29">
        <f>IF(I1422="","",F1422-I1422)</f>
        <v/>
      </c>
      <c r="K1422" s="29">
        <f>IF(J1422="","",J1422/MAX(1,N(E1422)))</f>
        <v/>
      </c>
      <c r="L1422" s="37">
        <f>IF(OR(D1422="",A1422=""),"",A1422+IF(AND(Config!$B$17="Sim",LEFT(D1422,17)="Cartão de crédito"),1,IFERROR(INDEX(Config!$C$12:$C$15,MATCH(IF(AND(D1422="Cartão de crédito",N(E1422)&gt;1),"Cartão de crédito parcelado",D1422),Config!$A$12:$A$15,0)),0)))</f>
        <v/>
      </c>
      <c r="M1422" s="37">
        <f>IF(L1422="","",IF(AND(Config!$B$17="Sim",LEFT(D1422,17)="Cartão de crédito"),L1422,L1422+30*(MAX(1,N(E1422))-1)))</f>
        <v/>
      </c>
      <c r="N1422" s="29">
        <f>IF(OR(L1422="",K1422=""),"",K1422*MIN(MAX(1,N(E1422)),MAX(0,INT((Config!$B$8-L1422)/30)+1)))</f>
        <v/>
      </c>
      <c r="O1422" s="29">
        <f>IF(J1422="","",J1422-N(N1422))</f>
        <v/>
      </c>
      <c r="P1422" s="27">
        <f>IF(A1422="","",MONTH(A1422))</f>
        <v/>
      </c>
      <c r="Q1422" s="27">
        <f>IF(A1422="","",YEAR(A1422))</f>
        <v/>
      </c>
      <c r="R1422" s="27">
        <f>IF(L1422="","",IF(L1422&gt;Config!$B$8,"A cair",IF(N(G1422)&gt;=MIN(MAX(1,N(E1422)),MAX(0,INT((Config!$B$8-L1422)/30)+1)),IF(N(G1422)&gt;=MAX(1,N(E1422)),"Conferido","Conferido até aqui"),"A conferir")))</f>
        <v/>
      </c>
      <c r="S1422" s="51">
        <f>IF(R1422="A conferir",(Config!$B$8-L1422)*1000+N(F1422)/1000+ROW()/100000,0)</f>
        <v>0</v>
      </c>
      <c r="T1422" s="51">
        <f>IF(R1422="A conferir",N(N1422),0)</f>
        <v>0</v>
      </c>
      <c r="U1422" s="51">
        <f>IF(L1422="",0,L1422)</f>
        <v>0</v>
      </c>
      <c r="V1422" s="51">
        <f>IF(L1422="",0,MAX(1,N(E1422)))</f>
        <v>0</v>
      </c>
      <c r="W1422" s="51">
        <f>IF(K1422="",0,K1422)</f>
        <v>0</v>
      </c>
    </row>
    <row r="1423">
      <c r="A1423" s="49" t="n"/>
      <c r="B1423" s="41" t="n"/>
      <c r="C1423" s="41" t="n"/>
      <c r="D1423" s="42" t="n"/>
      <c r="E1423" s="42" t="n"/>
      <c r="F1423" s="50" t="n"/>
      <c r="G1423" s="42" t="n"/>
      <c r="H1423" s="30">
        <f>IF(D1423="","",IFERROR(INDEX(Config!$B$12:$B$15,MATCH(IF(AND(D1423="Cartão de crédito",N(E1423)&gt;1),"Cartão de crédito parcelado",D1423),Config!$A$12:$A$15,0)),0)+IF(AND(Config!$B$17="Sim",LEFT(D1423,17)="Cartão de crédito"),Config!$B$18*IFERROR(INDEX(Config!$C$12:$C$15,MATCH(IF(AND(D1423="Cartão de crédito",N(E1423)&gt;1),"Cartão de crédito parcelado",D1423),Config!$A$12:$A$15,0)),0)/30*MAX(1,N(E1423)),0))</f>
        <v/>
      </c>
      <c r="I1423" s="29">
        <f>IF(OR(D1423="",F1423=""),"",ROUND(F1423*H1423,2))</f>
        <v/>
      </c>
      <c r="J1423" s="29">
        <f>IF(I1423="","",F1423-I1423)</f>
        <v/>
      </c>
      <c r="K1423" s="29">
        <f>IF(J1423="","",J1423/MAX(1,N(E1423)))</f>
        <v/>
      </c>
      <c r="L1423" s="37">
        <f>IF(OR(D1423="",A1423=""),"",A1423+IF(AND(Config!$B$17="Sim",LEFT(D1423,17)="Cartão de crédito"),1,IFERROR(INDEX(Config!$C$12:$C$15,MATCH(IF(AND(D1423="Cartão de crédito",N(E1423)&gt;1),"Cartão de crédito parcelado",D1423),Config!$A$12:$A$15,0)),0)))</f>
        <v/>
      </c>
      <c r="M1423" s="37">
        <f>IF(L1423="","",IF(AND(Config!$B$17="Sim",LEFT(D1423,17)="Cartão de crédito"),L1423,L1423+30*(MAX(1,N(E1423))-1)))</f>
        <v/>
      </c>
      <c r="N1423" s="29">
        <f>IF(OR(L1423="",K1423=""),"",K1423*MIN(MAX(1,N(E1423)),MAX(0,INT((Config!$B$8-L1423)/30)+1)))</f>
        <v/>
      </c>
      <c r="O1423" s="29">
        <f>IF(J1423="","",J1423-N(N1423))</f>
        <v/>
      </c>
      <c r="P1423" s="27">
        <f>IF(A1423="","",MONTH(A1423))</f>
        <v/>
      </c>
      <c r="Q1423" s="27">
        <f>IF(A1423="","",YEAR(A1423))</f>
        <v/>
      </c>
      <c r="R1423" s="27">
        <f>IF(L1423="","",IF(L1423&gt;Config!$B$8,"A cair",IF(N(G1423)&gt;=MIN(MAX(1,N(E1423)),MAX(0,INT((Config!$B$8-L1423)/30)+1)),IF(N(G1423)&gt;=MAX(1,N(E1423)),"Conferido","Conferido até aqui"),"A conferir")))</f>
        <v/>
      </c>
      <c r="S1423" s="51">
        <f>IF(R1423="A conferir",(Config!$B$8-L1423)*1000+N(F1423)/1000+ROW()/100000,0)</f>
        <v>0</v>
      </c>
      <c r="T1423" s="51">
        <f>IF(R1423="A conferir",N(N1423),0)</f>
        <v>0</v>
      </c>
      <c r="U1423" s="51">
        <f>IF(L1423="",0,L1423)</f>
        <v>0</v>
      </c>
      <c r="V1423" s="51">
        <f>IF(L1423="",0,MAX(1,N(E1423)))</f>
        <v>0</v>
      </c>
      <c r="W1423" s="51">
        <f>IF(K1423="",0,K1423)</f>
        <v>0</v>
      </c>
    </row>
    <row r="1424">
      <c r="A1424" s="49" t="n"/>
      <c r="B1424" s="41" t="n"/>
      <c r="C1424" s="41" t="n"/>
      <c r="D1424" s="42" t="n"/>
      <c r="E1424" s="42" t="n"/>
      <c r="F1424" s="50" t="n"/>
      <c r="G1424" s="42" t="n"/>
      <c r="H1424" s="30">
        <f>IF(D1424="","",IFERROR(INDEX(Config!$B$12:$B$15,MATCH(IF(AND(D1424="Cartão de crédito",N(E1424)&gt;1),"Cartão de crédito parcelado",D1424),Config!$A$12:$A$15,0)),0)+IF(AND(Config!$B$17="Sim",LEFT(D1424,17)="Cartão de crédito"),Config!$B$18*IFERROR(INDEX(Config!$C$12:$C$15,MATCH(IF(AND(D1424="Cartão de crédito",N(E1424)&gt;1),"Cartão de crédito parcelado",D1424),Config!$A$12:$A$15,0)),0)/30*MAX(1,N(E1424)),0))</f>
        <v/>
      </c>
      <c r="I1424" s="29">
        <f>IF(OR(D1424="",F1424=""),"",ROUND(F1424*H1424,2))</f>
        <v/>
      </c>
      <c r="J1424" s="29">
        <f>IF(I1424="","",F1424-I1424)</f>
        <v/>
      </c>
      <c r="K1424" s="29">
        <f>IF(J1424="","",J1424/MAX(1,N(E1424)))</f>
        <v/>
      </c>
      <c r="L1424" s="37">
        <f>IF(OR(D1424="",A1424=""),"",A1424+IF(AND(Config!$B$17="Sim",LEFT(D1424,17)="Cartão de crédito"),1,IFERROR(INDEX(Config!$C$12:$C$15,MATCH(IF(AND(D1424="Cartão de crédito",N(E1424)&gt;1),"Cartão de crédito parcelado",D1424),Config!$A$12:$A$15,0)),0)))</f>
        <v/>
      </c>
      <c r="M1424" s="37">
        <f>IF(L1424="","",IF(AND(Config!$B$17="Sim",LEFT(D1424,17)="Cartão de crédito"),L1424,L1424+30*(MAX(1,N(E1424))-1)))</f>
        <v/>
      </c>
      <c r="N1424" s="29">
        <f>IF(OR(L1424="",K1424=""),"",K1424*MIN(MAX(1,N(E1424)),MAX(0,INT((Config!$B$8-L1424)/30)+1)))</f>
        <v/>
      </c>
      <c r="O1424" s="29">
        <f>IF(J1424="","",J1424-N(N1424))</f>
        <v/>
      </c>
      <c r="P1424" s="27">
        <f>IF(A1424="","",MONTH(A1424))</f>
        <v/>
      </c>
      <c r="Q1424" s="27">
        <f>IF(A1424="","",YEAR(A1424))</f>
        <v/>
      </c>
      <c r="R1424" s="27">
        <f>IF(L1424="","",IF(L1424&gt;Config!$B$8,"A cair",IF(N(G1424)&gt;=MIN(MAX(1,N(E1424)),MAX(0,INT((Config!$B$8-L1424)/30)+1)),IF(N(G1424)&gt;=MAX(1,N(E1424)),"Conferido","Conferido até aqui"),"A conferir")))</f>
        <v/>
      </c>
      <c r="S1424" s="51">
        <f>IF(R1424="A conferir",(Config!$B$8-L1424)*1000+N(F1424)/1000+ROW()/100000,0)</f>
        <v>0</v>
      </c>
      <c r="T1424" s="51">
        <f>IF(R1424="A conferir",N(N1424),0)</f>
        <v>0</v>
      </c>
      <c r="U1424" s="51">
        <f>IF(L1424="",0,L1424)</f>
        <v>0</v>
      </c>
      <c r="V1424" s="51">
        <f>IF(L1424="",0,MAX(1,N(E1424)))</f>
        <v>0</v>
      </c>
      <c r="W1424" s="51">
        <f>IF(K1424="",0,K1424)</f>
        <v>0</v>
      </c>
    </row>
    <row r="1425">
      <c r="A1425" s="49" t="n"/>
      <c r="B1425" s="41" t="n"/>
      <c r="C1425" s="41" t="n"/>
      <c r="D1425" s="42" t="n"/>
      <c r="E1425" s="42" t="n"/>
      <c r="F1425" s="50" t="n"/>
      <c r="G1425" s="42" t="n"/>
      <c r="H1425" s="30">
        <f>IF(D1425="","",IFERROR(INDEX(Config!$B$12:$B$15,MATCH(IF(AND(D1425="Cartão de crédito",N(E1425)&gt;1),"Cartão de crédito parcelado",D1425),Config!$A$12:$A$15,0)),0)+IF(AND(Config!$B$17="Sim",LEFT(D1425,17)="Cartão de crédito"),Config!$B$18*IFERROR(INDEX(Config!$C$12:$C$15,MATCH(IF(AND(D1425="Cartão de crédito",N(E1425)&gt;1),"Cartão de crédito parcelado",D1425),Config!$A$12:$A$15,0)),0)/30*MAX(1,N(E1425)),0))</f>
        <v/>
      </c>
      <c r="I1425" s="29">
        <f>IF(OR(D1425="",F1425=""),"",ROUND(F1425*H1425,2))</f>
        <v/>
      </c>
      <c r="J1425" s="29">
        <f>IF(I1425="","",F1425-I1425)</f>
        <v/>
      </c>
      <c r="K1425" s="29">
        <f>IF(J1425="","",J1425/MAX(1,N(E1425)))</f>
        <v/>
      </c>
      <c r="L1425" s="37">
        <f>IF(OR(D1425="",A1425=""),"",A1425+IF(AND(Config!$B$17="Sim",LEFT(D1425,17)="Cartão de crédito"),1,IFERROR(INDEX(Config!$C$12:$C$15,MATCH(IF(AND(D1425="Cartão de crédito",N(E1425)&gt;1),"Cartão de crédito parcelado",D1425),Config!$A$12:$A$15,0)),0)))</f>
        <v/>
      </c>
      <c r="M1425" s="37">
        <f>IF(L1425="","",IF(AND(Config!$B$17="Sim",LEFT(D1425,17)="Cartão de crédito"),L1425,L1425+30*(MAX(1,N(E1425))-1)))</f>
        <v/>
      </c>
      <c r="N1425" s="29">
        <f>IF(OR(L1425="",K1425=""),"",K1425*MIN(MAX(1,N(E1425)),MAX(0,INT((Config!$B$8-L1425)/30)+1)))</f>
        <v/>
      </c>
      <c r="O1425" s="29">
        <f>IF(J1425="","",J1425-N(N1425))</f>
        <v/>
      </c>
      <c r="P1425" s="27">
        <f>IF(A1425="","",MONTH(A1425))</f>
        <v/>
      </c>
      <c r="Q1425" s="27">
        <f>IF(A1425="","",YEAR(A1425))</f>
        <v/>
      </c>
      <c r="R1425" s="27">
        <f>IF(L1425="","",IF(L1425&gt;Config!$B$8,"A cair",IF(N(G1425)&gt;=MIN(MAX(1,N(E1425)),MAX(0,INT((Config!$B$8-L1425)/30)+1)),IF(N(G1425)&gt;=MAX(1,N(E1425)),"Conferido","Conferido até aqui"),"A conferir")))</f>
        <v/>
      </c>
      <c r="S1425" s="51">
        <f>IF(R1425="A conferir",(Config!$B$8-L1425)*1000+N(F1425)/1000+ROW()/100000,0)</f>
        <v>0</v>
      </c>
      <c r="T1425" s="51">
        <f>IF(R1425="A conferir",N(N1425),0)</f>
        <v>0</v>
      </c>
      <c r="U1425" s="51">
        <f>IF(L1425="",0,L1425)</f>
        <v>0</v>
      </c>
      <c r="V1425" s="51">
        <f>IF(L1425="",0,MAX(1,N(E1425)))</f>
        <v>0</v>
      </c>
      <c r="W1425" s="51">
        <f>IF(K1425="",0,K1425)</f>
        <v>0</v>
      </c>
    </row>
    <row r="1426">
      <c r="A1426" s="49" t="n"/>
      <c r="B1426" s="41" t="n"/>
      <c r="C1426" s="41" t="n"/>
      <c r="D1426" s="42" t="n"/>
      <c r="E1426" s="42" t="n"/>
      <c r="F1426" s="50" t="n"/>
      <c r="G1426" s="42" t="n"/>
      <c r="H1426" s="30">
        <f>IF(D1426="","",IFERROR(INDEX(Config!$B$12:$B$15,MATCH(IF(AND(D1426="Cartão de crédito",N(E1426)&gt;1),"Cartão de crédito parcelado",D1426),Config!$A$12:$A$15,0)),0)+IF(AND(Config!$B$17="Sim",LEFT(D1426,17)="Cartão de crédito"),Config!$B$18*IFERROR(INDEX(Config!$C$12:$C$15,MATCH(IF(AND(D1426="Cartão de crédito",N(E1426)&gt;1),"Cartão de crédito parcelado",D1426),Config!$A$12:$A$15,0)),0)/30*MAX(1,N(E1426)),0))</f>
        <v/>
      </c>
      <c r="I1426" s="29">
        <f>IF(OR(D1426="",F1426=""),"",ROUND(F1426*H1426,2))</f>
        <v/>
      </c>
      <c r="J1426" s="29">
        <f>IF(I1426="","",F1426-I1426)</f>
        <v/>
      </c>
      <c r="K1426" s="29">
        <f>IF(J1426="","",J1426/MAX(1,N(E1426)))</f>
        <v/>
      </c>
      <c r="L1426" s="37">
        <f>IF(OR(D1426="",A1426=""),"",A1426+IF(AND(Config!$B$17="Sim",LEFT(D1426,17)="Cartão de crédito"),1,IFERROR(INDEX(Config!$C$12:$C$15,MATCH(IF(AND(D1426="Cartão de crédito",N(E1426)&gt;1),"Cartão de crédito parcelado",D1426),Config!$A$12:$A$15,0)),0)))</f>
        <v/>
      </c>
      <c r="M1426" s="37">
        <f>IF(L1426="","",IF(AND(Config!$B$17="Sim",LEFT(D1426,17)="Cartão de crédito"),L1426,L1426+30*(MAX(1,N(E1426))-1)))</f>
        <v/>
      </c>
      <c r="N1426" s="29">
        <f>IF(OR(L1426="",K1426=""),"",K1426*MIN(MAX(1,N(E1426)),MAX(0,INT((Config!$B$8-L1426)/30)+1)))</f>
        <v/>
      </c>
      <c r="O1426" s="29">
        <f>IF(J1426="","",J1426-N(N1426))</f>
        <v/>
      </c>
      <c r="P1426" s="27">
        <f>IF(A1426="","",MONTH(A1426))</f>
        <v/>
      </c>
      <c r="Q1426" s="27">
        <f>IF(A1426="","",YEAR(A1426))</f>
        <v/>
      </c>
      <c r="R1426" s="27">
        <f>IF(L1426="","",IF(L1426&gt;Config!$B$8,"A cair",IF(N(G1426)&gt;=MIN(MAX(1,N(E1426)),MAX(0,INT((Config!$B$8-L1426)/30)+1)),IF(N(G1426)&gt;=MAX(1,N(E1426)),"Conferido","Conferido até aqui"),"A conferir")))</f>
        <v/>
      </c>
      <c r="S1426" s="51">
        <f>IF(R1426="A conferir",(Config!$B$8-L1426)*1000+N(F1426)/1000+ROW()/100000,0)</f>
        <v>0</v>
      </c>
      <c r="T1426" s="51">
        <f>IF(R1426="A conferir",N(N1426),0)</f>
        <v>0</v>
      </c>
      <c r="U1426" s="51">
        <f>IF(L1426="",0,L1426)</f>
        <v>0</v>
      </c>
      <c r="V1426" s="51">
        <f>IF(L1426="",0,MAX(1,N(E1426)))</f>
        <v>0</v>
      </c>
      <c r="W1426" s="51">
        <f>IF(K1426="",0,K1426)</f>
        <v>0</v>
      </c>
    </row>
    <row r="1427">
      <c r="A1427" s="49" t="n"/>
      <c r="B1427" s="41" t="n"/>
      <c r="C1427" s="41" t="n"/>
      <c r="D1427" s="42" t="n"/>
      <c r="E1427" s="42" t="n"/>
      <c r="F1427" s="50" t="n"/>
      <c r="G1427" s="42" t="n"/>
      <c r="H1427" s="30">
        <f>IF(D1427="","",IFERROR(INDEX(Config!$B$12:$B$15,MATCH(IF(AND(D1427="Cartão de crédito",N(E1427)&gt;1),"Cartão de crédito parcelado",D1427),Config!$A$12:$A$15,0)),0)+IF(AND(Config!$B$17="Sim",LEFT(D1427,17)="Cartão de crédito"),Config!$B$18*IFERROR(INDEX(Config!$C$12:$C$15,MATCH(IF(AND(D1427="Cartão de crédito",N(E1427)&gt;1),"Cartão de crédito parcelado",D1427),Config!$A$12:$A$15,0)),0)/30*MAX(1,N(E1427)),0))</f>
        <v/>
      </c>
      <c r="I1427" s="29">
        <f>IF(OR(D1427="",F1427=""),"",ROUND(F1427*H1427,2))</f>
        <v/>
      </c>
      <c r="J1427" s="29">
        <f>IF(I1427="","",F1427-I1427)</f>
        <v/>
      </c>
      <c r="K1427" s="29">
        <f>IF(J1427="","",J1427/MAX(1,N(E1427)))</f>
        <v/>
      </c>
      <c r="L1427" s="37">
        <f>IF(OR(D1427="",A1427=""),"",A1427+IF(AND(Config!$B$17="Sim",LEFT(D1427,17)="Cartão de crédito"),1,IFERROR(INDEX(Config!$C$12:$C$15,MATCH(IF(AND(D1427="Cartão de crédito",N(E1427)&gt;1),"Cartão de crédito parcelado",D1427),Config!$A$12:$A$15,0)),0)))</f>
        <v/>
      </c>
      <c r="M1427" s="37">
        <f>IF(L1427="","",IF(AND(Config!$B$17="Sim",LEFT(D1427,17)="Cartão de crédito"),L1427,L1427+30*(MAX(1,N(E1427))-1)))</f>
        <v/>
      </c>
      <c r="N1427" s="29">
        <f>IF(OR(L1427="",K1427=""),"",K1427*MIN(MAX(1,N(E1427)),MAX(0,INT((Config!$B$8-L1427)/30)+1)))</f>
        <v/>
      </c>
      <c r="O1427" s="29">
        <f>IF(J1427="","",J1427-N(N1427))</f>
        <v/>
      </c>
      <c r="P1427" s="27">
        <f>IF(A1427="","",MONTH(A1427))</f>
        <v/>
      </c>
      <c r="Q1427" s="27">
        <f>IF(A1427="","",YEAR(A1427))</f>
        <v/>
      </c>
      <c r="R1427" s="27">
        <f>IF(L1427="","",IF(L1427&gt;Config!$B$8,"A cair",IF(N(G1427)&gt;=MIN(MAX(1,N(E1427)),MAX(0,INT((Config!$B$8-L1427)/30)+1)),IF(N(G1427)&gt;=MAX(1,N(E1427)),"Conferido","Conferido até aqui"),"A conferir")))</f>
        <v/>
      </c>
      <c r="S1427" s="51">
        <f>IF(R1427="A conferir",(Config!$B$8-L1427)*1000+N(F1427)/1000+ROW()/100000,0)</f>
        <v>0</v>
      </c>
      <c r="T1427" s="51">
        <f>IF(R1427="A conferir",N(N1427),0)</f>
        <v>0</v>
      </c>
      <c r="U1427" s="51">
        <f>IF(L1427="",0,L1427)</f>
        <v>0</v>
      </c>
      <c r="V1427" s="51">
        <f>IF(L1427="",0,MAX(1,N(E1427)))</f>
        <v>0</v>
      </c>
      <c r="W1427" s="51">
        <f>IF(K1427="",0,K1427)</f>
        <v>0</v>
      </c>
    </row>
    <row r="1428">
      <c r="A1428" s="49" t="n"/>
      <c r="B1428" s="41" t="n"/>
      <c r="C1428" s="41" t="n"/>
      <c r="D1428" s="42" t="n"/>
      <c r="E1428" s="42" t="n"/>
      <c r="F1428" s="50" t="n"/>
      <c r="G1428" s="42" t="n"/>
      <c r="H1428" s="30">
        <f>IF(D1428="","",IFERROR(INDEX(Config!$B$12:$B$15,MATCH(IF(AND(D1428="Cartão de crédito",N(E1428)&gt;1),"Cartão de crédito parcelado",D1428),Config!$A$12:$A$15,0)),0)+IF(AND(Config!$B$17="Sim",LEFT(D1428,17)="Cartão de crédito"),Config!$B$18*IFERROR(INDEX(Config!$C$12:$C$15,MATCH(IF(AND(D1428="Cartão de crédito",N(E1428)&gt;1),"Cartão de crédito parcelado",D1428),Config!$A$12:$A$15,0)),0)/30*MAX(1,N(E1428)),0))</f>
        <v/>
      </c>
      <c r="I1428" s="29">
        <f>IF(OR(D1428="",F1428=""),"",ROUND(F1428*H1428,2))</f>
        <v/>
      </c>
      <c r="J1428" s="29">
        <f>IF(I1428="","",F1428-I1428)</f>
        <v/>
      </c>
      <c r="K1428" s="29">
        <f>IF(J1428="","",J1428/MAX(1,N(E1428)))</f>
        <v/>
      </c>
      <c r="L1428" s="37">
        <f>IF(OR(D1428="",A1428=""),"",A1428+IF(AND(Config!$B$17="Sim",LEFT(D1428,17)="Cartão de crédito"),1,IFERROR(INDEX(Config!$C$12:$C$15,MATCH(IF(AND(D1428="Cartão de crédito",N(E1428)&gt;1),"Cartão de crédito parcelado",D1428),Config!$A$12:$A$15,0)),0)))</f>
        <v/>
      </c>
      <c r="M1428" s="37">
        <f>IF(L1428="","",IF(AND(Config!$B$17="Sim",LEFT(D1428,17)="Cartão de crédito"),L1428,L1428+30*(MAX(1,N(E1428))-1)))</f>
        <v/>
      </c>
      <c r="N1428" s="29">
        <f>IF(OR(L1428="",K1428=""),"",K1428*MIN(MAX(1,N(E1428)),MAX(0,INT((Config!$B$8-L1428)/30)+1)))</f>
        <v/>
      </c>
      <c r="O1428" s="29">
        <f>IF(J1428="","",J1428-N(N1428))</f>
        <v/>
      </c>
      <c r="P1428" s="27">
        <f>IF(A1428="","",MONTH(A1428))</f>
        <v/>
      </c>
      <c r="Q1428" s="27">
        <f>IF(A1428="","",YEAR(A1428))</f>
        <v/>
      </c>
      <c r="R1428" s="27">
        <f>IF(L1428="","",IF(L1428&gt;Config!$B$8,"A cair",IF(N(G1428)&gt;=MIN(MAX(1,N(E1428)),MAX(0,INT((Config!$B$8-L1428)/30)+1)),IF(N(G1428)&gt;=MAX(1,N(E1428)),"Conferido","Conferido até aqui"),"A conferir")))</f>
        <v/>
      </c>
      <c r="S1428" s="51">
        <f>IF(R1428="A conferir",(Config!$B$8-L1428)*1000+N(F1428)/1000+ROW()/100000,0)</f>
        <v>0</v>
      </c>
      <c r="T1428" s="51">
        <f>IF(R1428="A conferir",N(N1428),0)</f>
        <v>0</v>
      </c>
      <c r="U1428" s="51">
        <f>IF(L1428="",0,L1428)</f>
        <v>0</v>
      </c>
      <c r="V1428" s="51">
        <f>IF(L1428="",0,MAX(1,N(E1428)))</f>
        <v>0</v>
      </c>
      <c r="W1428" s="51">
        <f>IF(K1428="",0,K1428)</f>
        <v>0</v>
      </c>
    </row>
    <row r="1429">
      <c r="A1429" s="49" t="n"/>
      <c r="B1429" s="41" t="n"/>
      <c r="C1429" s="41" t="n"/>
      <c r="D1429" s="42" t="n"/>
      <c r="E1429" s="42" t="n"/>
      <c r="F1429" s="50" t="n"/>
      <c r="G1429" s="42" t="n"/>
      <c r="H1429" s="30">
        <f>IF(D1429="","",IFERROR(INDEX(Config!$B$12:$B$15,MATCH(IF(AND(D1429="Cartão de crédito",N(E1429)&gt;1),"Cartão de crédito parcelado",D1429),Config!$A$12:$A$15,0)),0)+IF(AND(Config!$B$17="Sim",LEFT(D1429,17)="Cartão de crédito"),Config!$B$18*IFERROR(INDEX(Config!$C$12:$C$15,MATCH(IF(AND(D1429="Cartão de crédito",N(E1429)&gt;1),"Cartão de crédito parcelado",D1429),Config!$A$12:$A$15,0)),0)/30*MAX(1,N(E1429)),0))</f>
        <v/>
      </c>
      <c r="I1429" s="29">
        <f>IF(OR(D1429="",F1429=""),"",ROUND(F1429*H1429,2))</f>
        <v/>
      </c>
      <c r="J1429" s="29">
        <f>IF(I1429="","",F1429-I1429)</f>
        <v/>
      </c>
      <c r="K1429" s="29">
        <f>IF(J1429="","",J1429/MAX(1,N(E1429)))</f>
        <v/>
      </c>
      <c r="L1429" s="37">
        <f>IF(OR(D1429="",A1429=""),"",A1429+IF(AND(Config!$B$17="Sim",LEFT(D1429,17)="Cartão de crédito"),1,IFERROR(INDEX(Config!$C$12:$C$15,MATCH(IF(AND(D1429="Cartão de crédito",N(E1429)&gt;1),"Cartão de crédito parcelado",D1429),Config!$A$12:$A$15,0)),0)))</f>
        <v/>
      </c>
      <c r="M1429" s="37">
        <f>IF(L1429="","",IF(AND(Config!$B$17="Sim",LEFT(D1429,17)="Cartão de crédito"),L1429,L1429+30*(MAX(1,N(E1429))-1)))</f>
        <v/>
      </c>
      <c r="N1429" s="29">
        <f>IF(OR(L1429="",K1429=""),"",K1429*MIN(MAX(1,N(E1429)),MAX(0,INT((Config!$B$8-L1429)/30)+1)))</f>
        <v/>
      </c>
      <c r="O1429" s="29">
        <f>IF(J1429="","",J1429-N(N1429))</f>
        <v/>
      </c>
      <c r="P1429" s="27">
        <f>IF(A1429="","",MONTH(A1429))</f>
        <v/>
      </c>
      <c r="Q1429" s="27">
        <f>IF(A1429="","",YEAR(A1429))</f>
        <v/>
      </c>
      <c r="R1429" s="27">
        <f>IF(L1429="","",IF(L1429&gt;Config!$B$8,"A cair",IF(N(G1429)&gt;=MIN(MAX(1,N(E1429)),MAX(0,INT((Config!$B$8-L1429)/30)+1)),IF(N(G1429)&gt;=MAX(1,N(E1429)),"Conferido","Conferido até aqui"),"A conferir")))</f>
        <v/>
      </c>
      <c r="S1429" s="51">
        <f>IF(R1429="A conferir",(Config!$B$8-L1429)*1000+N(F1429)/1000+ROW()/100000,0)</f>
        <v>0</v>
      </c>
      <c r="T1429" s="51">
        <f>IF(R1429="A conferir",N(N1429),0)</f>
        <v>0</v>
      </c>
      <c r="U1429" s="51">
        <f>IF(L1429="",0,L1429)</f>
        <v>0</v>
      </c>
      <c r="V1429" s="51">
        <f>IF(L1429="",0,MAX(1,N(E1429)))</f>
        <v>0</v>
      </c>
      <c r="W1429" s="51">
        <f>IF(K1429="",0,K1429)</f>
        <v>0</v>
      </c>
    </row>
    <row r="1430">
      <c r="A1430" s="49" t="n"/>
      <c r="B1430" s="41" t="n"/>
      <c r="C1430" s="41" t="n"/>
      <c r="D1430" s="42" t="n"/>
      <c r="E1430" s="42" t="n"/>
      <c r="F1430" s="50" t="n"/>
      <c r="G1430" s="42" t="n"/>
      <c r="H1430" s="30">
        <f>IF(D1430="","",IFERROR(INDEX(Config!$B$12:$B$15,MATCH(IF(AND(D1430="Cartão de crédito",N(E1430)&gt;1),"Cartão de crédito parcelado",D1430),Config!$A$12:$A$15,0)),0)+IF(AND(Config!$B$17="Sim",LEFT(D1430,17)="Cartão de crédito"),Config!$B$18*IFERROR(INDEX(Config!$C$12:$C$15,MATCH(IF(AND(D1430="Cartão de crédito",N(E1430)&gt;1),"Cartão de crédito parcelado",D1430),Config!$A$12:$A$15,0)),0)/30*MAX(1,N(E1430)),0))</f>
        <v/>
      </c>
      <c r="I1430" s="29">
        <f>IF(OR(D1430="",F1430=""),"",ROUND(F1430*H1430,2))</f>
        <v/>
      </c>
      <c r="J1430" s="29">
        <f>IF(I1430="","",F1430-I1430)</f>
        <v/>
      </c>
      <c r="K1430" s="29">
        <f>IF(J1430="","",J1430/MAX(1,N(E1430)))</f>
        <v/>
      </c>
      <c r="L1430" s="37">
        <f>IF(OR(D1430="",A1430=""),"",A1430+IF(AND(Config!$B$17="Sim",LEFT(D1430,17)="Cartão de crédito"),1,IFERROR(INDEX(Config!$C$12:$C$15,MATCH(IF(AND(D1430="Cartão de crédito",N(E1430)&gt;1),"Cartão de crédito parcelado",D1430),Config!$A$12:$A$15,0)),0)))</f>
        <v/>
      </c>
      <c r="M1430" s="37">
        <f>IF(L1430="","",IF(AND(Config!$B$17="Sim",LEFT(D1430,17)="Cartão de crédito"),L1430,L1430+30*(MAX(1,N(E1430))-1)))</f>
        <v/>
      </c>
      <c r="N1430" s="29">
        <f>IF(OR(L1430="",K1430=""),"",K1430*MIN(MAX(1,N(E1430)),MAX(0,INT((Config!$B$8-L1430)/30)+1)))</f>
        <v/>
      </c>
      <c r="O1430" s="29">
        <f>IF(J1430="","",J1430-N(N1430))</f>
        <v/>
      </c>
      <c r="P1430" s="27">
        <f>IF(A1430="","",MONTH(A1430))</f>
        <v/>
      </c>
      <c r="Q1430" s="27">
        <f>IF(A1430="","",YEAR(A1430))</f>
        <v/>
      </c>
      <c r="R1430" s="27">
        <f>IF(L1430="","",IF(L1430&gt;Config!$B$8,"A cair",IF(N(G1430)&gt;=MIN(MAX(1,N(E1430)),MAX(0,INT((Config!$B$8-L1430)/30)+1)),IF(N(G1430)&gt;=MAX(1,N(E1430)),"Conferido","Conferido até aqui"),"A conferir")))</f>
        <v/>
      </c>
      <c r="S1430" s="51">
        <f>IF(R1430="A conferir",(Config!$B$8-L1430)*1000+N(F1430)/1000+ROW()/100000,0)</f>
        <v>0</v>
      </c>
      <c r="T1430" s="51">
        <f>IF(R1430="A conferir",N(N1430),0)</f>
        <v>0</v>
      </c>
      <c r="U1430" s="51">
        <f>IF(L1430="",0,L1430)</f>
        <v>0</v>
      </c>
      <c r="V1430" s="51">
        <f>IF(L1430="",0,MAX(1,N(E1430)))</f>
        <v>0</v>
      </c>
      <c r="W1430" s="51">
        <f>IF(K1430="",0,K1430)</f>
        <v>0</v>
      </c>
    </row>
    <row r="1431">
      <c r="A1431" s="49" t="n"/>
      <c r="B1431" s="41" t="n"/>
      <c r="C1431" s="41" t="n"/>
      <c r="D1431" s="42" t="n"/>
      <c r="E1431" s="42" t="n"/>
      <c r="F1431" s="50" t="n"/>
      <c r="G1431" s="42" t="n"/>
      <c r="H1431" s="30">
        <f>IF(D1431="","",IFERROR(INDEX(Config!$B$12:$B$15,MATCH(IF(AND(D1431="Cartão de crédito",N(E1431)&gt;1),"Cartão de crédito parcelado",D1431),Config!$A$12:$A$15,0)),0)+IF(AND(Config!$B$17="Sim",LEFT(D1431,17)="Cartão de crédito"),Config!$B$18*IFERROR(INDEX(Config!$C$12:$C$15,MATCH(IF(AND(D1431="Cartão de crédito",N(E1431)&gt;1),"Cartão de crédito parcelado",D1431),Config!$A$12:$A$15,0)),0)/30*MAX(1,N(E1431)),0))</f>
        <v/>
      </c>
      <c r="I1431" s="29">
        <f>IF(OR(D1431="",F1431=""),"",ROUND(F1431*H1431,2))</f>
        <v/>
      </c>
      <c r="J1431" s="29">
        <f>IF(I1431="","",F1431-I1431)</f>
        <v/>
      </c>
      <c r="K1431" s="29">
        <f>IF(J1431="","",J1431/MAX(1,N(E1431)))</f>
        <v/>
      </c>
      <c r="L1431" s="37">
        <f>IF(OR(D1431="",A1431=""),"",A1431+IF(AND(Config!$B$17="Sim",LEFT(D1431,17)="Cartão de crédito"),1,IFERROR(INDEX(Config!$C$12:$C$15,MATCH(IF(AND(D1431="Cartão de crédito",N(E1431)&gt;1),"Cartão de crédito parcelado",D1431),Config!$A$12:$A$15,0)),0)))</f>
        <v/>
      </c>
      <c r="M1431" s="37">
        <f>IF(L1431="","",IF(AND(Config!$B$17="Sim",LEFT(D1431,17)="Cartão de crédito"),L1431,L1431+30*(MAX(1,N(E1431))-1)))</f>
        <v/>
      </c>
      <c r="N1431" s="29">
        <f>IF(OR(L1431="",K1431=""),"",K1431*MIN(MAX(1,N(E1431)),MAX(0,INT((Config!$B$8-L1431)/30)+1)))</f>
        <v/>
      </c>
      <c r="O1431" s="29">
        <f>IF(J1431="","",J1431-N(N1431))</f>
        <v/>
      </c>
      <c r="P1431" s="27">
        <f>IF(A1431="","",MONTH(A1431))</f>
        <v/>
      </c>
      <c r="Q1431" s="27">
        <f>IF(A1431="","",YEAR(A1431))</f>
        <v/>
      </c>
      <c r="R1431" s="27">
        <f>IF(L1431="","",IF(L1431&gt;Config!$B$8,"A cair",IF(N(G1431)&gt;=MIN(MAX(1,N(E1431)),MAX(0,INT((Config!$B$8-L1431)/30)+1)),IF(N(G1431)&gt;=MAX(1,N(E1431)),"Conferido","Conferido até aqui"),"A conferir")))</f>
        <v/>
      </c>
      <c r="S1431" s="51">
        <f>IF(R1431="A conferir",(Config!$B$8-L1431)*1000+N(F1431)/1000+ROW()/100000,0)</f>
        <v>0</v>
      </c>
      <c r="T1431" s="51">
        <f>IF(R1431="A conferir",N(N1431),0)</f>
        <v>0</v>
      </c>
      <c r="U1431" s="51">
        <f>IF(L1431="",0,L1431)</f>
        <v>0</v>
      </c>
      <c r="V1431" s="51">
        <f>IF(L1431="",0,MAX(1,N(E1431)))</f>
        <v>0</v>
      </c>
      <c r="W1431" s="51">
        <f>IF(K1431="",0,K1431)</f>
        <v>0</v>
      </c>
    </row>
    <row r="1432">
      <c r="A1432" s="49" t="n"/>
      <c r="B1432" s="41" t="n"/>
      <c r="C1432" s="41" t="n"/>
      <c r="D1432" s="42" t="n"/>
      <c r="E1432" s="42" t="n"/>
      <c r="F1432" s="50" t="n"/>
      <c r="G1432" s="42" t="n"/>
      <c r="H1432" s="30">
        <f>IF(D1432="","",IFERROR(INDEX(Config!$B$12:$B$15,MATCH(IF(AND(D1432="Cartão de crédito",N(E1432)&gt;1),"Cartão de crédito parcelado",D1432),Config!$A$12:$A$15,0)),0)+IF(AND(Config!$B$17="Sim",LEFT(D1432,17)="Cartão de crédito"),Config!$B$18*IFERROR(INDEX(Config!$C$12:$C$15,MATCH(IF(AND(D1432="Cartão de crédito",N(E1432)&gt;1),"Cartão de crédito parcelado",D1432),Config!$A$12:$A$15,0)),0)/30*MAX(1,N(E1432)),0))</f>
        <v/>
      </c>
      <c r="I1432" s="29">
        <f>IF(OR(D1432="",F1432=""),"",ROUND(F1432*H1432,2))</f>
        <v/>
      </c>
      <c r="J1432" s="29">
        <f>IF(I1432="","",F1432-I1432)</f>
        <v/>
      </c>
      <c r="K1432" s="29">
        <f>IF(J1432="","",J1432/MAX(1,N(E1432)))</f>
        <v/>
      </c>
      <c r="L1432" s="37">
        <f>IF(OR(D1432="",A1432=""),"",A1432+IF(AND(Config!$B$17="Sim",LEFT(D1432,17)="Cartão de crédito"),1,IFERROR(INDEX(Config!$C$12:$C$15,MATCH(IF(AND(D1432="Cartão de crédito",N(E1432)&gt;1),"Cartão de crédito parcelado",D1432),Config!$A$12:$A$15,0)),0)))</f>
        <v/>
      </c>
      <c r="M1432" s="37">
        <f>IF(L1432="","",IF(AND(Config!$B$17="Sim",LEFT(D1432,17)="Cartão de crédito"),L1432,L1432+30*(MAX(1,N(E1432))-1)))</f>
        <v/>
      </c>
      <c r="N1432" s="29">
        <f>IF(OR(L1432="",K1432=""),"",K1432*MIN(MAX(1,N(E1432)),MAX(0,INT((Config!$B$8-L1432)/30)+1)))</f>
        <v/>
      </c>
      <c r="O1432" s="29">
        <f>IF(J1432="","",J1432-N(N1432))</f>
        <v/>
      </c>
      <c r="P1432" s="27">
        <f>IF(A1432="","",MONTH(A1432))</f>
        <v/>
      </c>
      <c r="Q1432" s="27">
        <f>IF(A1432="","",YEAR(A1432))</f>
        <v/>
      </c>
      <c r="R1432" s="27">
        <f>IF(L1432="","",IF(L1432&gt;Config!$B$8,"A cair",IF(N(G1432)&gt;=MIN(MAX(1,N(E1432)),MAX(0,INT((Config!$B$8-L1432)/30)+1)),IF(N(G1432)&gt;=MAX(1,N(E1432)),"Conferido","Conferido até aqui"),"A conferir")))</f>
        <v/>
      </c>
      <c r="S1432" s="51">
        <f>IF(R1432="A conferir",(Config!$B$8-L1432)*1000+N(F1432)/1000+ROW()/100000,0)</f>
        <v>0</v>
      </c>
      <c r="T1432" s="51">
        <f>IF(R1432="A conferir",N(N1432),0)</f>
        <v>0</v>
      </c>
      <c r="U1432" s="51">
        <f>IF(L1432="",0,L1432)</f>
        <v>0</v>
      </c>
      <c r="V1432" s="51">
        <f>IF(L1432="",0,MAX(1,N(E1432)))</f>
        <v>0</v>
      </c>
      <c r="W1432" s="51">
        <f>IF(K1432="",0,K1432)</f>
        <v>0</v>
      </c>
    </row>
    <row r="1433">
      <c r="A1433" s="49" t="n"/>
      <c r="B1433" s="41" t="n"/>
      <c r="C1433" s="41" t="n"/>
      <c r="D1433" s="42" t="n"/>
      <c r="E1433" s="42" t="n"/>
      <c r="F1433" s="50" t="n"/>
      <c r="G1433" s="42" t="n"/>
      <c r="H1433" s="30">
        <f>IF(D1433="","",IFERROR(INDEX(Config!$B$12:$B$15,MATCH(IF(AND(D1433="Cartão de crédito",N(E1433)&gt;1),"Cartão de crédito parcelado",D1433),Config!$A$12:$A$15,0)),0)+IF(AND(Config!$B$17="Sim",LEFT(D1433,17)="Cartão de crédito"),Config!$B$18*IFERROR(INDEX(Config!$C$12:$C$15,MATCH(IF(AND(D1433="Cartão de crédito",N(E1433)&gt;1),"Cartão de crédito parcelado",D1433),Config!$A$12:$A$15,0)),0)/30*MAX(1,N(E1433)),0))</f>
        <v/>
      </c>
      <c r="I1433" s="29">
        <f>IF(OR(D1433="",F1433=""),"",ROUND(F1433*H1433,2))</f>
        <v/>
      </c>
      <c r="J1433" s="29">
        <f>IF(I1433="","",F1433-I1433)</f>
        <v/>
      </c>
      <c r="K1433" s="29">
        <f>IF(J1433="","",J1433/MAX(1,N(E1433)))</f>
        <v/>
      </c>
      <c r="L1433" s="37">
        <f>IF(OR(D1433="",A1433=""),"",A1433+IF(AND(Config!$B$17="Sim",LEFT(D1433,17)="Cartão de crédito"),1,IFERROR(INDEX(Config!$C$12:$C$15,MATCH(IF(AND(D1433="Cartão de crédito",N(E1433)&gt;1),"Cartão de crédito parcelado",D1433),Config!$A$12:$A$15,0)),0)))</f>
        <v/>
      </c>
      <c r="M1433" s="37">
        <f>IF(L1433="","",IF(AND(Config!$B$17="Sim",LEFT(D1433,17)="Cartão de crédito"),L1433,L1433+30*(MAX(1,N(E1433))-1)))</f>
        <v/>
      </c>
      <c r="N1433" s="29">
        <f>IF(OR(L1433="",K1433=""),"",K1433*MIN(MAX(1,N(E1433)),MAX(0,INT((Config!$B$8-L1433)/30)+1)))</f>
        <v/>
      </c>
      <c r="O1433" s="29">
        <f>IF(J1433="","",J1433-N(N1433))</f>
        <v/>
      </c>
      <c r="P1433" s="27">
        <f>IF(A1433="","",MONTH(A1433))</f>
        <v/>
      </c>
      <c r="Q1433" s="27">
        <f>IF(A1433="","",YEAR(A1433))</f>
        <v/>
      </c>
      <c r="R1433" s="27">
        <f>IF(L1433="","",IF(L1433&gt;Config!$B$8,"A cair",IF(N(G1433)&gt;=MIN(MAX(1,N(E1433)),MAX(0,INT((Config!$B$8-L1433)/30)+1)),IF(N(G1433)&gt;=MAX(1,N(E1433)),"Conferido","Conferido até aqui"),"A conferir")))</f>
        <v/>
      </c>
      <c r="S1433" s="51">
        <f>IF(R1433="A conferir",(Config!$B$8-L1433)*1000+N(F1433)/1000+ROW()/100000,0)</f>
        <v>0</v>
      </c>
      <c r="T1433" s="51">
        <f>IF(R1433="A conferir",N(N1433),0)</f>
        <v>0</v>
      </c>
      <c r="U1433" s="51">
        <f>IF(L1433="",0,L1433)</f>
        <v>0</v>
      </c>
      <c r="V1433" s="51">
        <f>IF(L1433="",0,MAX(1,N(E1433)))</f>
        <v>0</v>
      </c>
      <c r="W1433" s="51">
        <f>IF(K1433="",0,K1433)</f>
        <v>0</v>
      </c>
    </row>
    <row r="1434">
      <c r="A1434" s="49" t="n"/>
      <c r="B1434" s="41" t="n"/>
      <c r="C1434" s="41" t="n"/>
      <c r="D1434" s="42" t="n"/>
      <c r="E1434" s="42" t="n"/>
      <c r="F1434" s="50" t="n"/>
      <c r="G1434" s="42" t="n"/>
      <c r="H1434" s="30">
        <f>IF(D1434="","",IFERROR(INDEX(Config!$B$12:$B$15,MATCH(IF(AND(D1434="Cartão de crédito",N(E1434)&gt;1),"Cartão de crédito parcelado",D1434),Config!$A$12:$A$15,0)),0)+IF(AND(Config!$B$17="Sim",LEFT(D1434,17)="Cartão de crédito"),Config!$B$18*IFERROR(INDEX(Config!$C$12:$C$15,MATCH(IF(AND(D1434="Cartão de crédito",N(E1434)&gt;1),"Cartão de crédito parcelado",D1434),Config!$A$12:$A$15,0)),0)/30*MAX(1,N(E1434)),0))</f>
        <v/>
      </c>
      <c r="I1434" s="29">
        <f>IF(OR(D1434="",F1434=""),"",ROUND(F1434*H1434,2))</f>
        <v/>
      </c>
      <c r="J1434" s="29">
        <f>IF(I1434="","",F1434-I1434)</f>
        <v/>
      </c>
      <c r="K1434" s="29">
        <f>IF(J1434="","",J1434/MAX(1,N(E1434)))</f>
        <v/>
      </c>
      <c r="L1434" s="37">
        <f>IF(OR(D1434="",A1434=""),"",A1434+IF(AND(Config!$B$17="Sim",LEFT(D1434,17)="Cartão de crédito"),1,IFERROR(INDEX(Config!$C$12:$C$15,MATCH(IF(AND(D1434="Cartão de crédito",N(E1434)&gt;1),"Cartão de crédito parcelado",D1434),Config!$A$12:$A$15,0)),0)))</f>
        <v/>
      </c>
      <c r="M1434" s="37">
        <f>IF(L1434="","",IF(AND(Config!$B$17="Sim",LEFT(D1434,17)="Cartão de crédito"),L1434,L1434+30*(MAX(1,N(E1434))-1)))</f>
        <v/>
      </c>
      <c r="N1434" s="29">
        <f>IF(OR(L1434="",K1434=""),"",K1434*MIN(MAX(1,N(E1434)),MAX(0,INT((Config!$B$8-L1434)/30)+1)))</f>
        <v/>
      </c>
      <c r="O1434" s="29">
        <f>IF(J1434="","",J1434-N(N1434))</f>
        <v/>
      </c>
      <c r="P1434" s="27">
        <f>IF(A1434="","",MONTH(A1434))</f>
        <v/>
      </c>
      <c r="Q1434" s="27">
        <f>IF(A1434="","",YEAR(A1434))</f>
        <v/>
      </c>
      <c r="R1434" s="27">
        <f>IF(L1434="","",IF(L1434&gt;Config!$B$8,"A cair",IF(N(G1434)&gt;=MIN(MAX(1,N(E1434)),MAX(0,INT((Config!$B$8-L1434)/30)+1)),IF(N(G1434)&gt;=MAX(1,N(E1434)),"Conferido","Conferido até aqui"),"A conferir")))</f>
        <v/>
      </c>
      <c r="S1434" s="51">
        <f>IF(R1434="A conferir",(Config!$B$8-L1434)*1000+N(F1434)/1000+ROW()/100000,0)</f>
        <v>0</v>
      </c>
      <c r="T1434" s="51">
        <f>IF(R1434="A conferir",N(N1434),0)</f>
        <v>0</v>
      </c>
      <c r="U1434" s="51">
        <f>IF(L1434="",0,L1434)</f>
        <v>0</v>
      </c>
      <c r="V1434" s="51">
        <f>IF(L1434="",0,MAX(1,N(E1434)))</f>
        <v>0</v>
      </c>
      <c r="W1434" s="51">
        <f>IF(K1434="",0,K1434)</f>
        <v>0</v>
      </c>
    </row>
    <row r="1435">
      <c r="A1435" s="49" t="n"/>
      <c r="B1435" s="41" t="n"/>
      <c r="C1435" s="41" t="n"/>
      <c r="D1435" s="42" t="n"/>
      <c r="E1435" s="42" t="n"/>
      <c r="F1435" s="50" t="n"/>
      <c r="G1435" s="42" t="n"/>
      <c r="H1435" s="30">
        <f>IF(D1435="","",IFERROR(INDEX(Config!$B$12:$B$15,MATCH(IF(AND(D1435="Cartão de crédito",N(E1435)&gt;1),"Cartão de crédito parcelado",D1435),Config!$A$12:$A$15,0)),0)+IF(AND(Config!$B$17="Sim",LEFT(D1435,17)="Cartão de crédito"),Config!$B$18*IFERROR(INDEX(Config!$C$12:$C$15,MATCH(IF(AND(D1435="Cartão de crédito",N(E1435)&gt;1),"Cartão de crédito parcelado",D1435),Config!$A$12:$A$15,0)),0)/30*MAX(1,N(E1435)),0))</f>
        <v/>
      </c>
      <c r="I1435" s="29">
        <f>IF(OR(D1435="",F1435=""),"",ROUND(F1435*H1435,2))</f>
        <v/>
      </c>
      <c r="J1435" s="29">
        <f>IF(I1435="","",F1435-I1435)</f>
        <v/>
      </c>
      <c r="K1435" s="29">
        <f>IF(J1435="","",J1435/MAX(1,N(E1435)))</f>
        <v/>
      </c>
      <c r="L1435" s="37">
        <f>IF(OR(D1435="",A1435=""),"",A1435+IF(AND(Config!$B$17="Sim",LEFT(D1435,17)="Cartão de crédito"),1,IFERROR(INDEX(Config!$C$12:$C$15,MATCH(IF(AND(D1435="Cartão de crédito",N(E1435)&gt;1),"Cartão de crédito parcelado",D1435),Config!$A$12:$A$15,0)),0)))</f>
        <v/>
      </c>
      <c r="M1435" s="37">
        <f>IF(L1435="","",IF(AND(Config!$B$17="Sim",LEFT(D1435,17)="Cartão de crédito"),L1435,L1435+30*(MAX(1,N(E1435))-1)))</f>
        <v/>
      </c>
      <c r="N1435" s="29">
        <f>IF(OR(L1435="",K1435=""),"",K1435*MIN(MAX(1,N(E1435)),MAX(0,INT((Config!$B$8-L1435)/30)+1)))</f>
        <v/>
      </c>
      <c r="O1435" s="29">
        <f>IF(J1435="","",J1435-N(N1435))</f>
        <v/>
      </c>
      <c r="P1435" s="27">
        <f>IF(A1435="","",MONTH(A1435))</f>
        <v/>
      </c>
      <c r="Q1435" s="27">
        <f>IF(A1435="","",YEAR(A1435))</f>
        <v/>
      </c>
      <c r="R1435" s="27">
        <f>IF(L1435="","",IF(L1435&gt;Config!$B$8,"A cair",IF(N(G1435)&gt;=MIN(MAX(1,N(E1435)),MAX(0,INT((Config!$B$8-L1435)/30)+1)),IF(N(G1435)&gt;=MAX(1,N(E1435)),"Conferido","Conferido até aqui"),"A conferir")))</f>
        <v/>
      </c>
      <c r="S1435" s="51">
        <f>IF(R1435="A conferir",(Config!$B$8-L1435)*1000+N(F1435)/1000+ROW()/100000,0)</f>
        <v>0</v>
      </c>
      <c r="T1435" s="51">
        <f>IF(R1435="A conferir",N(N1435),0)</f>
        <v>0</v>
      </c>
      <c r="U1435" s="51">
        <f>IF(L1435="",0,L1435)</f>
        <v>0</v>
      </c>
      <c r="V1435" s="51">
        <f>IF(L1435="",0,MAX(1,N(E1435)))</f>
        <v>0</v>
      </c>
      <c r="W1435" s="51">
        <f>IF(K1435="",0,K1435)</f>
        <v>0</v>
      </c>
    </row>
    <row r="1436">
      <c r="A1436" s="49" t="n"/>
      <c r="B1436" s="41" t="n"/>
      <c r="C1436" s="41" t="n"/>
      <c r="D1436" s="42" t="n"/>
      <c r="E1436" s="42" t="n"/>
      <c r="F1436" s="50" t="n"/>
      <c r="G1436" s="42" t="n"/>
      <c r="H1436" s="30">
        <f>IF(D1436="","",IFERROR(INDEX(Config!$B$12:$B$15,MATCH(IF(AND(D1436="Cartão de crédito",N(E1436)&gt;1),"Cartão de crédito parcelado",D1436),Config!$A$12:$A$15,0)),0)+IF(AND(Config!$B$17="Sim",LEFT(D1436,17)="Cartão de crédito"),Config!$B$18*IFERROR(INDEX(Config!$C$12:$C$15,MATCH(IF(AND(D1436="Cartão de crédito",N(E1436)&gt;1),"Cartão de crédito parcelado",D1436),Config!$A$12:$A$15,0)),0)/30*MAX(1,N(E1436)),0))</f>
        <v/>
      </c>
      <c r="I1436" s="29">
        <f>IF(OR(D1436="",F1436=""),"",ROUND(F1436*H1436,2))</f>
        <v/>
      </c>
      <c r="J1436" s="29">
        <f>IF(I1436="","",F1436-I1436)</f>
        <v/>
      </c>
      <c r="K1436" s="29">
        <f>IF(J1436="","",J1436/MAX(1,N(E1436)))</f>
        <v/>
      </c>
      <c r="L1436" s="37">
        <f>IF(OR(D1436="",A1436=""),"",A1436+IF(AND(Config!$B$17="Sim",LEFT(D1436,17)="Cartão de crédito"),1,IFERROR(INDEX(Config!$C$12:$C$15,MATCH(IF(AND(D1436="Cartão de crédito",N(E1436)&gt;1),"Cartão de crédito parcelado",D1436),Config!$A$12:$A$15,0)),0)))</f>
        <v/>
      </c>
      <c r="M1436" s="37">
        <f>IF(L1436="","",IF(AND(Config!$B$17="Sim",LEFT(D1436,17)="Cartão de crédito"),L1436,L1436+30*(MAX(1,N(E1436))-1)))</f>
        <v/>
      </c>
      <c r="N1436" s="29">
        <f>IF(OR(L1436="",K1436=""),"",K1436*MIN(MAX(1,N(E1436)),MAX(0,INT((Config!$B$8-L1436)/30)+1)))</f>
        <v/>
      </c>
      <c r="O1436" s="29">
        <f>IF(J1436="","",J1436-N(N1436))</f>
        <v/>
      </c>
      <c r="P1436" s="27">
        <f>IF(A1436="","",MONTH(A1436))</f>
        <v/>
      </c>
      <c r="Q1436" s="27">
        <f>IF(A1436="","",YEAR(A1436))</f>
        <v/>
      </c>
      <c r="R1436" s="27">
        <f>IF(L1436="","",IF(L1436&gt;Config!$B$8,"A cair",IF(N(G1436)&gt;=MIN(MAX(1,N(E1436)),MAX(0,INT((Config!$B$8-L1436)/30)+1)),IF(N(G1436)&gt;=MAX(1,N(E1436)),"Conferido","Conferido até aqui"),"A conferir")))</f>
        <v/>
      </c>
      <c r="S1436" s="51">
        <f>IF(R1436="A conferir",(Config!$B$8-L1436)*1000+N(F1436)/1000+ROW()/100000,0)</f>
        <v>0</v>
      </c>
      <c r="T1436" s="51">
        <f>IF(R1436="A conferir",N(N1436),0)</f>
        <v>0</v>
      </c>
      <c r="U1436" s="51">
        <f>IF(L1436="",0,L1436)</f>
        <v>0</v>
      </c>
      <c r="V1436" s="51">
        <f>IF(L1436="",0,MAX(1,N(E1436)))</f>
        <v>0</v>
      </c>
      <c r="W1436" s="51">
        <f>IF(K1436="",0,K1436)</f>
        <v>0</v>
      </c>
    </row>
    <row r="1437">
      <c r="A1437" s="49" t="n"/>
      <c r="B1437" s="41" t="n"/>
      <c r="C1437" s="41" t="n"/>
      <c r="D1437" s="42" t="n"/>
      <c r="E1437" s="42" t="n"/>
      <c r="F1437" s="50" t="n"/>
      <c r="G1437" s="42" t="n"/>
      <c r="H1437" s="30">
        <f>IF(D1437="","",IFERROR(INDEX(Config!$B$12:$B$15,MATCH(IF(AND(D1437="Cartão de crédito",N(E1437)&gt;1),"Cartão de crédito parcelado",D1437),Config!$A$12:$A$15,0)),0)+IF(AND(Config!$B$17="Sim",LEFT(D1437,17)="Cartão de crédito"),Config!$B$18*IFERROR(INDEX(Config!$C$12:$C$15,MATCH(IF(AND(D1437="Cartão de crédito",N(E1437)&gt;1),"Cartão de crédito parcelado",D1437),Config!$A$12:$A$15,0)),0)/30*MAX(1,N(E1437)),0))</f>
        <v/>
      </c>
      <c r="I1437" s="29">
        <f>IF(OR(D1437="",F1437=""),"",ROUND(F1437*H1437,2))</f>
        <v/>
      </c>
      <c r="J1437" s="29">
        <f>IF(I1437="","",F1437-I1437)</f>
        <v/>
      </c>
      <c r="K1437" s="29">
        <f>IF(J1437="","",J1437/MAX(1,N(E1437)))</f>
        <v/>
      </c>
      <c r="L1437" s="37">
        <f>IF(OR(D1437="",A1437=""),"",A1437+IF(AND(Config!$B$17="Sim",LEFT(D1437,17)="Cartão de crédito"),1,IFERROR(INDEX(Config!$C$12:$C$15,MATCH(IF(AND(D1437="Cartão de crédito",N(E1437)&gt;1),"Cartão de crédito parcelado",D1437),Config!$A$12:$A$15,0)),0)))</f>
        <v/>
      </c>
      <c r="M1437" s="37">
        <f>IF(L1437="","",IF(AND(Config!$B$17="Sim",LEFT(D1437,17)="Cartão de crédito"),L1437,L1437+30*(MAX(1,N(E1437))-1)))</f>
        <v/>
      </c>
      <c r="N1437" s="29">
        <f>IF(OR(L1437="",K1437=""),"",K1437*MIN(MAX(1,N(E1437)),MAX(0,INT((Config!$B$8-L1437)/30)+1)))</f>
        <v/>
      </c>
      <c r="O1437" s="29">
        <f>IF(J1437="","",J1437-N(N1437))</f>
        <v/>
      </c>
      <c r="P1437" s="27">
        <f>IF(A1437="","",MONTH(A1437))</f>
        <v/>
      </c>
      <c r="Q1437" s="27">
        <f>IF(A1437="","",YEAR(A1437))</f>
        <v/>
      </c>
      <c r="R1437" s="27">
        <f>IF(L1437="","",IF(L1437&gt;Config!$B$8,"A cair",IF(N(G1437)&gt;=MIN(MAX(1,N(E1437)),MAX(0,INT((Config!$B$8-L1437)/30)+1)),IF(N(G1437)&gt;=MAX(1,N(E1437)),"Conferido","Conferido até aqui"),"A conferir")))</f>
        <v/>
      </c>
      <c r="S1437" s="51">
        <f>IF(R1437="A conferir",(Config!$B$8-L1437)*1000+N(F1437)/1000+ROW()/100000,0)</f>
        <v>0</v>
      </c>
      <c r="T1437" s="51">
        <f>IF(R1437="A conferir",N(N1437),0)</f>
        <v>0</v>
      </c>
      <c r="U1437" s="51">
        <f>IF(L1437="",0,L1437)</f>
        <v>0</v>
      </c>
      <c r="V1437" s="51">
        <f>IF(L1437="",0,MAX(1,N(E1437)))</f>
        <v>0</v>
      </c>
      <c r="W1437" s="51">
        <f>IF(K1437="",0,K1437)</f>
        <v>0</v>
      </c>
    </row>
    <row r="1438">
      <c r="A1438" s="49" t="n"/>
      <c r="B1438" s="41" t="n"/>
      <c r="C1438" s="41" t="n"/>
      <c r="D1438" s="42" t="n"/>
      <c r="E1438" s="42" t="n"/>
      <c r="F1438" s="50" t="n"/>
      <c r="G1438" s="42" t="n"/>
      <c r="H1438" s="30">
        <f>IF(D1438="","",IFERROR(INDEX(Config!$B$12:$B$15,MATCH(IF(AND(D1438="Cartão de crédito",N(E1438)&gt;1),"Cartão de crédito parcelado",D1438),Config!$A$12:$A$15,0)),0)+IF(AND(Config!$B$17="Sim",LEFT(D1438,17)="Cartão de crédito"),Config!$B$18*IFERROR(INDEX(Config!$C$12:$C$15,MATCH(IF(AND(D1438="Cartão de crédito",N(E1438)&gt;1),"Cartão de crédito parcelado",D1438),Config!$A$12:$A$15,0)),0)/30*MAX(1,N(E1438)),0))</f>
        <v/>
      </c>
      <c r="I1438" s="29">
        <f>IF(OR(D1438="",F1438=""),"",ROUND(F1438*H1438,2))</f>
        <v/>
      </c>
      <c r="J1438" s="29">
        <f>IF(I1438="","",F1438-I1438)</f>
        <v/>
      </c>
      <c r="K1438" s="29">
        <f>IF(J1438="","",J1438/MAX(1,N(E1438)))</f>
        <v/>
      </c>
      <c r="L1438" s="37">
        <f>IF(OR(D1438="",A1438=""),"",A1438+IF(AND(Config!$B$17="Sim",LEFT(D1438,17)="Cartão de crédito"),1,IFERROR(INDEX(Config!$C$12:$C$15,MATCH(IF(AND(D1438="Cartão de crédito",N(E1438)&gt;1),"Cartão de crédito parcelado",D1438),Config!$A$12:$A$15,0)),0)))</f>
        <v/>
      </c>
      <c r="M1438" s="37">
        <f>IF(L1438="","",IF(AND(Config!$B$17="Sim",LEFT(D1438,17)="Cartão de crédito"),L1438,L1438+30*(MAX(1,N(E1438))-1)))</f>
        <v/>
      </c>
      <c r="N1438" s="29">
        <f>IF(OR(L1438="",K1438=""),"",K1438*MIN(MAX(1,N(E1438)),MAX(0,INT((Config!$B$8-L1438)/30)+1)))</f>
        <v/>
      </c>
      <c r="O1438" s="29">
        <f>IF(J1438="","",J1438-N(N1438))</f>
        <v/>
      </c>
      <c r="P1438" s="27">
        <f>IF(A1438="","",MONTH(A1438))</f>
        <v/>
      </c>
      <c r="Q1438" s="27">
        <f>IF(A1438="","",YEAR(A1438))</f>
        <v/>
      </c>
      <c r="R1438" s="27">
        <f>IF(L1438="","",IF(L1438&gt;Config!$B$8,"A cair",IF(N(G1438)&gt;=MIN(MAX(1,N(E1438)),MAX(0,INT((Config!$B$8-L1438)/30)+1)),IF(N(G1438)&gt;=MAX(1,N(E1438)),"Conferido","Conferido até aqui"),"A conferir")))</f>
        <v/>
      </c>
      <c r="S1438" s="51">
        <f>IF(R1438="A conferir",(Config!$B$8-L1438)*1000+N(F1438)/1000+ROW()/100000,0)</f>
        <v>0</v>
      </c>
      <c r="T1438" s="51">
        <f>IF(R1438="A conferir",N(N1438),0)</f>
        <v>0</v>
      </c>
      <c r="U1438" s="51">
        <f>IF(L1438="",0,L1438)</f>
        <v>0</v>
      </c>
      <c r="V1438" s="51">
        <f>IF(L1438="",0,MAX(1,N(E1438)))</f>
        <v>0</v>
      </c>
      <c r="W1438" s="51">
        <f>IF(K1438="",0,K1438)</f>
        <v>0</v>
      </c>
    </row>
    <row r="1439">
      <c r="A1439" s="49" t="n"/>
      <c r="B1439" s="41" t="n"/>
      <c r="C1439" s="41" t="n"/>
      <c r="D1439" s="42" t="n"/>
      <c r="E1439" s="42" t="n"/>
      <c r="F1439" s="50" t="n"/>
      <c r="G1439" s="42" t="n"/>
      <c r="H1439" s="30">
        <f>IF(D1439="","",IFERROR(INDEX(Config!$B$12:$B$15,MATCH(IF(AND(D1439="Cartão de crédito",N(E1439)&gt;1),"Cartão de crédito parcelado",D1439),Config!$A$12:$A$15,0)),0)+IF(AND(Config!$B$17="Sim",LEFT(D1439,17)="Cartão de crédito"),Config!$B$18*IFERROR(INDEX(Config!$C$12:$C$15,MATCH(IF(AND(D1439="Cartão de crédito",N(E1439)&gt;1),"Cartão de crédito parcelado",D1439),Config!$A$12:$A$15,0)),0)/30*MAX(1,N(E1439)),0))</f>
        <v/>
      </c>
      <c r="I1439" s="29">
        <f>IF(OR(D1439="",F1439=""),"",ROUND(F1439*H1439,2))</f>
        <v/>
      </c>
      <c r="J1439" s="29">
        <f>IF(I1439="","",F1439-I1439)</f>
        <v/>
      </c>
      <c r="K1439" s="29">
        <f>IF(J1439="","",J1439/MAX(1,N(E1439)))</f>
        <v/>
      </c>
      <c r="L1439" s="37">
        <f>IF(OR(D1439="",A1439=""),"",A1439+IF(AND(Config!$B$17="Sim",LEFT(D1439,17)="Cartão de crédito"),1,IFERROR(INDEX(Config!$C$12:$C$15,MATCH(IF(AND(D1439="Cartão de crédito",N(E1439)&gt;1),"Cartão de crédito parcelado",D1439),Config!$A$12:$A$15,0)),0)))</f>
        <v/>
      </c>
      <c r="M1439" s="37">
        <f>IF(L1439="","",IF(AND(Config!$B$17="Sim",LEFT(D1439,17)="Cartão de crédito"),L1439,L1439+30*(MAX(1,N(E1439))-1)))</f>
        <v/>
      </c>
      <c r="N1439" s="29">
        <f>IF(OR(L1439="",K1439=""),"",K1439*MIN(MAX(1,N(E1439)),MAX(0,INT((Config!$B$8-L1439)/30)+1)))</f>
        <v/>
      </c>
      <c r="O1439" s="29">
        <f>IF(J1439="","",J1439-N(N1439))</f>
        <v/>
      </c>
      <c r="P1439" s="27">
        <f>IF(A1439="","",MONTH(A1439))</f>
        <v/>
      </c>
      <c r="Q1439" s="27">
        <f>IF(A1439="","",YEAR(A1439))</f>
        <v/>
      </c>
      <c r="R1439" s="27">
        <f>IF(L1439="","",IF(L1439&gt;Config!$B$8,"A cair",IF(N(G1439)&gt;=MIN(MAX(1,N(E1439)),MAX(0,INT((Config!$B$8-L1439)/30)+1)),IF(N(G1439)&gt;=MAX(1,N(E1439)),"Conferido","Conferido até aqui"),"A conferir")))</f>
        <v/>
      </c>
      <c r="S1439" s="51">
        <f>IF(R1439="A conferir",(Config!$B$8-L1439)*1000+N(F1439)/1000+ROW()/100000,0)</f>
        <v>0</v>
      </c>
      <c r="T1439" s="51">
        <f>IF(R1439="A conferir",N(N1439),0)</f>
        <v>0</v>
      </c>
      <c r="U1439" s="51">
        <f>IF(L1439="",0,L1439)</f>
        <v>0</v>
      </c>
      <c r="V1439" s="51">
        <f>IF(L1439="",0,MAX(1,N(E1439)))</f>
        <v>0</v>
      </c>
      <c r="W1439" s="51">
        <f>IF(K1439="",0,K1439)</f>
        <v>0</v>
      </c>
    </row>
    <row r="1440">
      <c r="A1440" s="49" t="n"/>
      <c r="B1440" s="41" t="n"/>
      <c r="C1440" s="41" t="n"/>
      <c r="D1440" s="42" t="n"/>
      <c r="E1440" s="42" t="n"/>
      <c r="F1440" s="50" t="n"/>
      <c r="G1440" s="42" t="n"/>
      <c r="H1440" s="30">
        <f>IF(D1440="","",IFERROR(INDEX(Config!$B$12:$B$15,MATCH(IF(AND(D1440="Cartão de crédito",N(E1440)&gt;1),"Cartão de crédito parcelado",D1440),Config!$A$12:$A$15,0)),0)+IF(AND(Config!$B$17="Sim",LEFT(D1440,17)="Cartão de crédito"),Config!$B$18*IFERROR(INDEX(Config!$C$12:$C$15,MATCH(IF(AND(D1440="Cartão de crédito",N(E1440)&gt;1),"Cartão de crédito parcelado",D1440),Config!$A$12:$A$15,0)),0)/30*MAX(1,N(E1440)),0))</f>
        <v/>
      </c>
      <c r="I1440" s="29">
        <f>IF(OR(D1440="",F1440=""),"",ROUND(F1440*H1440,2))</f>
        <v/>
      </c>
      <c r="J1440" s="29">
        <f>IF(I1440="","",F1440-I1440)</f>
        <v/>
      </c>
      <c r="K1440" s="29">
        <f>IF(J1440="","",J1440/MAX(1,N(E1440)))</f>
        <v/>
      </c>
      <c r="L1440" s="37">
        <f>IF(OR(D1440="",A1440=""),"",A1440+IF(AND(Config!$B$17="Sim",LEFT(D1440,17)="Cartão de crédito"),1,IFERROR(INDEX(Config!$C$12:$C$15,MATCH(IF(AND(D1440="Cartão de crédito",N(E1440)&gt;1),"Cartão de crédito parcelado",D1440),Config!$A$12:$A$15,0)),0)))</f>
        <v/>
      </c>
      <c r="M1440" s="37">
        <f>IF(L1440="","",IF(AND(Config!$B$17="Sim",LEFT(D1440,17)="Cartão de crédito"),L1440,L1440+30*(MAX(1,N(E1440))-1)))</f>
        <v/>
      </c>
      <c r="N1440" s="29">
        <f>IF(OR(L1440="",K1440=""),"",K1440*MIN(MAX(1,N(E1440)),MAX(0,INT((Config!$B$8-L1440)/30)+1)))</f>
        <v/>
      </c>
      <c r="O1440" s="29">
        <f>IF(J1440="","",J1440-N(N1440))</f>
        <v/>
      </c>
      <c r="P1440" s="27">
        <f>IF(A1440="","",MONTH(A1440))</f>
        <v/>
      </c>
      <c r="Q1440" s="27">
        <f>IF(A1440="","",YEAR(A1440))</f>
        <v/>
      </c>
      <c r="R1440" s="27">
        <f>IF(L1440="","",IF(L1440&gt;Config!$B$8,"A cair",IF(N(G1440)&gt;=MIN(MAX(1,N(E1440)),MAX(0,INT((Config!$B$8-L1440)/30)+1)),IF(N(G1440)&gt;=MAX(1,N(E1440)),"Conferido","Conferido até aqui"),"A conferir")))</f>
        <v/>
      </c>
      <c r="S1440" s="51">
        <f>IF(R1440="A conferir",(Config!$B$8-L1440)*1000+N(F1440)/1000+ROW()/100000,0)</f>
        <v>0</v>
      </c>
      <c r="T1440" s="51">
        <f>IF(R1440="A conferir",N(N1440),0)</f>
        <v>0</v>
      </c>
      <c r="U1440" s="51">
        <f>IF(L1440="",0,L1440)</f>
        <v>0</v>
      </c>
      <c r="V1440" s="51">
        <f>IF(L1440="",0,MAX(1,N(E1440)))</f>
        <v>0</v>
      </c>
      <c r="W1440" s="51">
        <f>IF(K1440="",0,K1440)</f>
        <v>0</v>
      </c>
    </row>
    <row r="1441">
      <c r="A1441" s="49" t="n"/>
      <c r="B1441" s="41" t="n"/>
      <c r="C1441" s="41" t="n"/>
      <c r="D1441" s="42" t="n"/>
      <c r="E1441" s="42" t="n"/>
      <c r="F1441" s="50" t="n"/>
      <c r="G1441" s="42" t="n"/>
      <c r="H1441" s="30">
        <f>IF(D1441="","",IFERROR(INDEX(Config!$B$12:$B$15,MATCH(IF(AND(D1441="Cartão de crédito",N(E1441)&gt;1),"Cartão de crédito parcelado",D1441),Config!$A$12:$A$15,0)),0)+IF(AND(Config!$B$17="Sim",LEFT(D1441,17)="Cartão de crédito"),Config!$B$18*IFERROR(INDEX(Config!$C$12:$C$15,MATCH(IF(AND(D1441="Cartão de crédito",N(E1441)&gt;1),"Cartão de crédito parcelado",D1441),Config!$A$12:$A$15,0)),0)/30*MAX(1,N(E1441)),0))</f>
        <v/>
      </c>
      <c r="I1441" s="29">
        <f>IF(OR(D1441="",F1441=""),"",ROUND(F1441*H1441,2))</f>
        <v/>
      </c>
      <c r="J1441" s="29">
        <f>IF(I1441="","",F1441-I1441)</f>
        <v/>
      </c>
      <c r="K1441" s="29">
        <f>IF(J1441="","",J1441/MAX(1,N(E1441)))</f>
        <v/>
      </c>
      <c r="L1441" s="37">
        <f>IF(OR(D1441="",A1441=""),"",A1441+IF(AND(Config!$B$17="Sim",LEFT(D1441,17)="Cartão de crédito"),1,IFERROR(INDEX(Config!$C$12:$C$15,MATCH(IF(AND(D1441="Cartão de crédito",N(E1441)&gt;1),"Cartão de crédito parcelado",D1441),Config!$A$12:$A$15,0)),0)))</f>
        <v/>
      </c>
      <c r="M1441" s="37">
        <f>IF(L1441="","",IF(AND(Config!$B$17="Sim",LEFT(D1441,17)="Cartão de crédito"),L1441,L1441+30*(MAX(1,N(E1441))-1)))</f>
        <v/>
      </c>
      <c r="N1441" s="29">
        <f>IF(OR(L1441="",K1441=""),"",K1441*MIN(MAX(1,N(E1441)),MAX(0,INT((Config!$B$8-L1441)/30)+1)))</f>
        <v/>
      </c>
      <c r="O1441" s="29">
        <f>IF(J1441="","",J1441-N(N1441))</f>
        <v/>
      </c>
      <c r="P1441" s="27">
        <f>IF(A1441="","",MONTH(A1441))</f>
        <v/>
      </c>
      <c r="Q1441" s="27">
        <f>IF(A1441="","",YEAR(A1441))</f>
        <v/>
      </c>
      <c r="R1441" s="27">
        <f>IF(L1441="","",IF(L1441&gt;Config!$B$8,"A cair",IF(N(G1441)&gt;=MIN(MAX(1,N(E1441)),MAX(0,INT((Config!$B$8-L1441)/30)+1)),IF(N(G1441)&gt;=MAX(1,N(E1441)),"Conferido","Conferido até aqui"),"A conferir")))</f>
        <v/>
      </c>
      <c r="S1441" s="51">
        <f>IF(R1441="A conferir",(Config!$B$8-L1441)*1000+N(F1441)/1000+ROW()/100000,0)</f>
        <v>0</v>
      </c>
      <c r="T1441" s="51">
        <f>IF(R1441="A conferir",N(N1441),0)</f>
        <v>0</v>
      </c>
      <c r="U1441" s="51">
        <f>IF(L1441="",0,L1441)</f>
        <v>0</v>
      </c>
      <c r="V1441" s="51">
        <f>IF(L1441="",0,MAX(1,N(E1441)))</f>
        <v>0</v>
      </c>
      <c r="W1441" s="51">
        <f>IF(K1441="",0,K1441)</f>
        <v>0</v>
      </c>
    </row>
    <row r="1442">
      <c r="A1442" s="49" t="n"/>
      <c r="B1442" s="41" t="n"/>
      <c r="C1442" s="41" t="n"/>
      <c r="D1442" s="42" t="n"/>
      <c r="E1442" s="42" t="n"/>
      <c r="F1442" s="50" t="n"/>
      <c r="G1442" s="42" t="n"/>
      <c r="H1442" s="30">
        <f>IF(D1442="","",IFERROR(INDEX(Config!$B$12:$B$15,MATCH(IF(AND(D1442="Cartão de crédito",N(E1442)&gt;1),"Cartão de crédito parcelado",D1442),Config!$A$12:$A$15,0)),0)+IF(AND(Config!$B$17="Sim",LEFT(D1442,17)="Cartão de crédito"),Config!$B$18*IFERROR(INDEX(Config!$C$12:$C$15,MATCH(IF(AND(D1442="Cartão de crédito",N(E1442)&gt;1),"Cartão de crédito parcelado",D1442),Config!$A$12:$A$15,0)),0)/30*MAX(1,N(E1442)),0))</f>
        <v/>
      </c>
      <c r="I1442" s="29">
        <f>IF(OR(D1442="",F1442=""),"",ROUND(F1442*H1442,2))</f>
        <v/>
      </c>
      <c r="J1442" s="29">
        <f>IF(I1442="","",F1442-I1442)</f>
        <v/>
      </c>
      <c r="K1442" s="29">
        <f>IF(J1442="","",J1442/MAX(1,N(E1442)))</f>
        <v/>
      </c>
      <c r="L1442" s="37">
        <f>IF(OR(D1442="",A1442=""),"",A1442+IF(AND(Config!$B$17="Sim",LEFT(D1442,17)="Cartão de crédito"),1,IFERROR(INDEX(Config!$C$12:$C$15,MATCH(IF(AND(D1442="Cartão de crédito",N(E1442)&gt;1),"Cartão de crédito parcelado",D1442),Config!$A$12:$A$15,0)),0)))</f>
        <v/>
      </c>
      <c r="M1442" s="37">
        <f>IF(L1442="","",IF(AND(Config!$B$17="Sim",LEFT(D1442,17)="Cartão de crédito"),L1442,L1442+30*(MAX(1,N(E1442))-1)))</f>
        <v/>
      </c>
      <c r="N1442" s="29">
        <f>IF(OR(L1442="",K1442=""),"",K1442*MIN(MAX(1,N(E1442)),MAX(0,INT((Config!$B$8-L1442)/30)+1)))</f>
        <v/>
      </c>
      <c r="O1442" s="29">
        <f>IF(J1442="","",J1442-N(N1442))</f>
        <v/>
      </c>
      <c r="P1442" s="27">
        <f>IF(A1442="","",MONTH(A1442))</f>
        <v/>
      </c>
      <c r="Q1442" s="27">
        <f>IF(A1442="","",YEAR(A1442))</f>
        <v/>
      </c>
      <c r="R1442" s="27">
        <f>IF(L1442="","",IF(L1442&gt;Config!$B$8,"A cair",IF(N(G1442)&gt;=MIN(MAX(1,N(E1442)),MAX(0,INT((Config!$B$8-L1442)/30)+1)),IF(N(G1442)&gt;=MAX(1,N(E1442)),"Conferido","Conferido até aqui"),"A conferir")))</f>
        <v/>
      </c>
      <c r="S1442" s="51">
        <f>IF(R1442="A conferir",(Config!$B$8-L1442)*1000+N(F1442)/1000+ROW()/100000,0)</f>
        <v>0</v>
      </c>
      <c r="T1442" s="51">
        <f>IF(R1442="A conferir",N(N1442),0)</f>
        <v>0</v>
      </c>
      <c r="U1442" s="51">
        <f>IF(L1442="",0,L1442)</f>
        <v>0</v>
      </c>
      <c r="V1442" s="51">
        <f>IF(L1442="",0,MAX(1,N(E1442)))</f>
        <v>0</v>
      </c>
      <c r="W1442" s="51">
        <f>IF(K1442="",0,K1442)</f>
        <v>0</v>
      </c>
    </row>
    <row r="1443">
      <c r="A1443" s="49" t="n"/>
      <c r="B1443" s="41" t="n"/>
      <c r="C1443" s="41" t="n"/>
      <c r="D1443" s="42" t="n"/>
      <c r="E1443" s="42" t="n"/>
      <c r="F1443" s="50" t="n"/>
      <c r="G1443" s="42" t="n"/>
      <c r="H1443" s="30">
        <f>IF(D1443="","",IFERROR(INDEX(Config!$B$12:$B$15,MATCH(IF(AND(D1443="Cartão de crédito",N(E1443)&gt;1),"Cartão de crédito parcelado",D1443),Config!$A$12:$A$15,0)),0)+IF(AND(Config!$B$17="Sim",LEFT(D1443,17)="Cartão de crédito"),Config!$B$18*IFERROR(INDEX(Config!$C$12:$C$15,MATCH(IF(AND(D1443="Cartão de crédito",N(E1443)&gt;1),"Cartão de crédito parcelado",D1443),Config!$A$12:$A$15,0)),0)/30*MAX(1,N(E1443)),0))</f>
        <v/>
      </c>
      <c r="I1443" s="29">
        <f>IF(OR(D1443="",F1443=""),"",ROUND(F1443*H1443,2))</f>
        <v/>
      </c>
      <c r="J1443" s="29">
        <f>IF(I1443="","",F1443-I1443)</f>
        <v/>
      </c>
      <c r="K1443" s="29">
        <f>IF(J1443="","",J1443/MAX(1,N(E1443)))</f>
        <v/>
      </c>
      <c r="L1443" s="37">
        <f>IF(OR(D1443="",A1443=""),"",A1443+IF(AND(Config!$B$17="Sim",LEFT(D1443,17)="Cartão de crédito"),1,IFERROR(INDEX(Config!$C$12:$C$15,MATCH(IF(AND(D1443="Cartão de crédito",N(E1443)&gt;1),"Cartão de crédito parcelado",D1443),Config!$A$12:$A$15,0)),0)))</f>
        <v/>
      </c>
      <c r="M1443" s="37">
        <f>IF(L1443="","",IF(AND(Config!$B$17="Sim",LEFT(D1443,17)="Cartão de crédito"),L1443,L1443+30*(MAX(1,N(E1443))-1)))</f>
        <v/>
      </c>
      <c r="N1443" s="29">
        <f>IF(OR(L1443="",K1443=""),"",K1443*MIN(MAX(1,N(E1443)),MAX(0,INT((Config!$B$8-L1443)/30)+1)))</f>
        <v/>
      </c>
      <c r="O1443" s="29">
        <f>IF(J1443="","",J1443-N(N1443))</f>
        <v/>
      </c>
      <c r="P1443" s="27">
        <f>IF(A1443="","",MONTH(A1443))</f>
        <v/>
      </c>
      <c r="Q1443" s="27">
        <f>IF(A1443="","",YEAR(A1443))</f>
        <v/>
      </c>
      <c r="R1443" s="27">
        <f>IF(L1443="","",IF(L1443&gt;Config!$B$8,"A cair",IF(N(G1443)&gt;=MIN(MAX(1,N(E1443)),MAX(0,INT((Config!$B$8-L1443)/30)+1)),IF(N(G1443)&gt;=MAX(1,N(E1443)),"Conferido","Conferido até aqui"),"A conferir")))</f>
        <v/>
      </c>
      <c r="S1443" s="51">
        <f>IF(R1443="A conferir",(Config!$B$8-L1443)*1000+N(F1443)/1000+ROW()/100000,0)</f>
        <v>0</v>
      </c>
      <c r="T1443" s="51">
        <f>IF(R1443="A conferir",N(N1443),0)</f>
        <v>0</v>
      </c>
      <c r="U1443" s="51">
        <f>IF(L1443="",0,L1443)</f>
        <v>0</v>
      </c>
      <c r="V1443" s="51">
        <f>IF(L1443="",0,MAX(1,N(E1443)))</f>
        <v>0</v>
      </c>
      <c r="W1443" s="51">
        <f>IF(K1443="",0,K1443)</f>
        <v>0</v>
      </c>
    </row>
    <row r="1444">
      <c r="A1444" s="49" t="n"/>
      <c r="B1444" s="41" t="n"/>
      <c r="C1444" s="41" t="n"/>
      <c r="D1444" s="42" t="n"/>
      <c r="E1444" s="42" t="n"/>
      <c r="F1444" s="50" t="n"/>
      <c r="G1444" s="42" t="n"/>
      <c r="H1444" s="30">
        <f>IF(D1444="","",IFERROR(INDEX(Config!$B$12:$B$15,MATCH(IF(AND(D1444="Cartão de crédito",N(E1444)&gt;1),"Cartão de crédito parcelado",D1444),Config!$A$12:$A$15,0)),0)+IF(AND(Config!$B$17="Sim",LEFT(D1444,17)="Cartão de crédito"),Config!$B$18*IFERROR(INDEX(Config!$C$12:$C$15,MATCH(IF(AND(D1444="Cartão de crédito",N(E1444)&gt;1),"Cartão de crédito parcelado",D1444),Config!$A$12:$A$15,0)),0)/30*MAX(1,N(E1444)),0))</f>
        <v/>
      </c>
      <c r="I1444" s="29">
        <f>IF(OR(D1444="",F1444=""),"",ROUND(F1444*H1444,2))</f>
        <v/>
      </c>
      <c r="J1444" s="29">
        <f>IF(I1444="","",F1444-I1444)</f>
        <v/>
      </c>
      <c r="K1444" s="29">
        <f>IF(J1444="","",J1444/MAX(1,N(E1444)))</f>
        <v/>
      </c>
      <c r="L1444" s="37">
        <f>IF(OR(D1444="",A1444=""),"",A1444+IF(AND(Config!$B$17="Sim",LEFT(D1444,17)="Cartão de crédito"),1,IFERROR(INDEX(Config!$C$12:$C$15,MATCH(IF(AND(D1444="Cartão de crédito",N(E1444)&gt;1),"Cartão de crédito parcelado",D1444),Config!$A$12:$A$15,0)),0)))</f>
        <v/>
      </c>
      <c r="M1444" s="37">
        <f>IF(L1444="","",IF(AND(Config!$B$17="Sim",LEFT(D1444,17)="Cartão de crédito"),L1444,L1444+30*(MAX(1,N(E1444))-1)))</f>
        <v/>
      </c>
      <c r="N1444" s="29">
        <f>IF(OR(L1444="",K1444=""),"",K1444*MIN(MAX(1,N(E1444)),MAX(0,INT((Config!$B$8-L1444)/30)+1)))</f>
        <v/>
      </c>
      <c r="O1444" s="29">
        <f>IF(J1444="","",J1444-N(N1444))</f>
        <v/>
      </c>
      <c r="P1444" s="27">
        <f>IF(A1444="","",MONTH(A1444))</f>
        <v/>
      </c>
      <c r="Q1444" s="27">
        <f>IF(A1444="","",YEAR(A1444))</f>
        <v/>
      </c>
      <c r="R1444" s="27">
        <f>IF(L1444="","",IF(L1444&gt;Config!$B$8,"A cair",IF(N(G1444)&gt;=MIN(MAX(1,N(E1444)),MAX(0,INT((Config!$B$8-L1444)/30)+1)),IF(N(G1444)&gt;=MAX(1,N(E1444)),"Conferido","Conferido até aqui"),"A conferir")))</f>
        <v/>
      </c>
      <c r="S1444" s="51">
        <f>IF(R1444="A conferir",(Config!$B$8-L1444)*1000+N(F1444)/1000+ROW()/100000,0)</f>
        <v>0</v>
      </c>
      <c r="T1444" s="51">
        <f>IF(R1444="A conferir",N(N1444),0)</f>
        <v>0</v>
      </c>
      <c r="U1444" s="51">
        <f>IF(L1444="",0,L1444)</f>
        <v>0</v>
      </c>
      <c r="V1444" s="51">
        <f>IF(L1444="",0,MAX(1,N(E1444)))</f>
        <v>0</v>
      </c>
      <c r="W1444" s="51">
        <f>IF(K1444="",0,K1444)</f>
        <v>0</v>
      </c>
    </row>
    <row r="1445">
      <c r="A1445" s="49" t="n"/>
      <c r="B1445" s="41" t="n"/>
      <c r="C1445" s="41" t="n"/>
      <c r="D1445" s="42" t="n"/>
      <c r="E1445" s="42" t="n"/>
      <c r="F1445" s="50" t="n"/>
      <c r="G1445" s="42" t="n"/>
      <c r="H1445" s="30">
        <f>IF(D1445="","",IFERROR(INDEX(Config!$B$12:$B$15,MATCH(IF(AND(D1445="Cartão de crédito",N(E1445)&gt;1),"Cartão de crédito parcelado",D1445),Config!$A$12:$A$15,0)),0)+IF(AND(Config!$B$17="Sim",LEFT(D1445,17)="Cartão de crédito"),Config!$B$18*IFERROR(INDEX(Config!$C$12:$C$15,MATCH(IF(AND(D1445="Cartão de crédito",N(E1445)&gt;1),"Cartão de crédito parcelado",D1445),Config!$A$12:$A$15,0)),0)/30*MAX(1,N(E1445)),0))</f>
        <v/>
      </c>
      <c r="I1445" s="29">
        <f>IF(OR(D1445="",F1445=""),"",ROUND(F1445*H1445,2))</f>
        <v/>
      </c>
      <c r="J1445" s="29">
        <f>IF(I1445="","",F1445-I1445)</f>
        <v/>
      </c>
      <c r="K1445" s="29">
        <f>IF(J1445="","",J1445/MAX(1,N(E1445)))</f>
        <v/>
      </c>
      <c r="L1445" s="37">
        <f>IF(OR(D1445="",A1445=""),"",A1445+IF(AND(Config!$B$17="Sim",LEFT(D1445,17)="Cartão de crédito"),1,IFERROR(INDEX(Config!$C$12:$C$15,MATCH(IF(AND(D1445="Cartão de crédito",N(E1445)&gt;1),"Cartão de crédito parcelado",D1445),Config!$A$12:$A$15,0)),0)))</f>
        <v/>
      </c>
      <c r="M1445" s="37">
        <f>IF(L1445="","",IF(AND(Config!$B$17="Sim",LEFT(D1445,17)="Cartão de crédito"),L1445,L1445+30*(MAX(1,N(E1445))-1)))</f>
        <v/>
      </c>
      <c r="N1445" s="29">
        <f>IF(OR(L1445="",K1445=""),"",K1445*MIN(MAX(1,N(E1445)),MAX(0,INT((Config!$B$8-L1445)/30)+1)))</f>
        <v/>
      </c>
      <c r="O1445" s="29">
        <f>IF(J1445="","",J1445-N(N1445))</f>
        <v/>
      </c>
      <c r="P1445" s="27">
        <f>IF(A1445="","",MONTH(A1445))</f>
        <v/>
      </c>
      <c r="Q1445" s="27">
        <f>IF(A1445="","",YEAR(A1445))</f>
        <v/>
      </c>
      <c r="R1445" s="27">
        <f>IF(L1445="","",IF(L1445&gt;Config!$B$8,"A cair",IF(N(G1445)&gt;=MIN(MAX(1,N(E1445)),MAX(0,INT((Config!$B$8-L1445)/30)+1)),IF(N(G1445)&gt;=MAX(1,N(E1445)),"Conferido","Conferido até aqui"),"A conferir")))</f>
        <v/>
      </c>
      <c r="S1445" s="51">
        <f>IF(R1445="A conferir",(Config!$B$8-L1445)*1000+N(F1445)/1000+ROW()/100000,0)</f>
        <v>0</v>
      </c>
      <c r="T1445" s="51">
        <f>IF(R1445="A conferir",N(N1445),0)</f>
        <v>0</v>
      </c>
      <c r="U1445" s="51">
        <f>IF(L1445="",0,L1445)</f>
        <v>0</v>
      </c>
      <c r="V1445" s="51">
        <f>IF(L1445="",0,MAX(1,N(E1445)))</f>
        <v>0</v>
      </c>
      <c r="W1445" s="51">
        <f>IF(K1445="",0,K1445)</f>
        <v>0</v>
      </c>
    </row>
    <row r="1446">
      <c r="A1446" s="49" t="n"/>
      <c r="B1446" s="41" t="n"/>
      <c r="C1446" s="41" t="n"/>
      <c r="D1446" s="42" t="n"/>
      <c r="E1446" s="42" t="n"/>
      <c r="F1446" s="50" t="n"/>
      <c r="G1446" s="42" t="n"/>
      <c r="H1446" s="30">
        <f>IF(D1446="","",IFERROR(INDEX(Config!$B$12:$B$15,MATCH(IF(AND(D1446="Cartão de crédito",N(E1446)&gt;1),"Cartão de crédito parcelado",D1446),Config!$A$12:$A$15,0)),0)+IF(AND(Config!$B$17="Sim",LEFT(D1446,17)="Cartão de crédito"),Config!$B$18*IFERROR(INDEX(Config!$C$12:$C$15,MATCH(IF(AND(D1446="Cartão de crédito",N(E1446)&gt;1),"Cartão de crédito parcelado",D1446),Config!$A$12:$A$15,0)),0)/30*MAX(1,N(E1446)),0))</f>
        <v/>
      </c>
      <c r="I1446" s="29">
        <f>IF(OR(D1446="",F1446=""),"",ROUND(F1446*H1446,2))</f>
        <v/>
      </c>
      <c r="J1446" s="29">
        <f>IF(I1446="","",F1446-I1446)</f>
        <v/>
      </c>
      <c r="K1446" s="29">
        <f>IF(J1446="","",J1446/MAX(1,N(E1446)))</f>
        <v/>
      </c>
      <c r="L1446" s="37">
        <f>IF(OR(D1446="",A1446=""),"",A1446+IF(AND(Config!$B$17="Sim",LEFT(D1446,17)="Cartão de crédito"),1,IFERROR(INDEX(Config!$C$12:$C$15,MATCH(IF(AND(D1446="Cartão de crédito",N(E1446)&gt;1),"Cartão de crédito parcelado",D1446),Config!$A$12:$A$15,0)),0)))</f>
        <v/>
      </c>
      <c r="M1446" s="37">
        <f>IF(L1446="","",IF(AND(Config!$B$17="Sim",LEFT(D1446,17)="Cartão de crédito"),L1446,L1446+30*(MAX(1,N(E1446))-1)))</f>
        <v/>
      </c>
      <c r="N1446" s="29">
        <f>IF(OR(L1446="",K1446=""),"",K1446*MIN(MAX(1,N(E1446)),MAX(0,INT((Config!$B$8-L1446)/30)+1)))</f>
        <v/>
      </c>
      <c r="O1446" s="29">
        <f>IF(J1446="","",J1446-N(N1446))</f>
        <v/>
      </c>
      <c r="P1446" s="27">
        <f>IF(A1446="","",MONTH(A1446))</f>
        <v/>
      </c>
      <c r="Q1446" s="27">
        <f>IF(A1446="","",YEAR(A1446))</f>
        <v/>
      </c>
      <c r="R1446" s="27">
        <f>IF(L1446="","",IF(L1446&gt;Config!$B$8,"A cair",IF(N(G1446)&gt;=MIN(MAX(1,N(E1446)),MAX(0,INT((Config!$B$8-L1446)/30)+1)),IF(N(G1446)&gt;=MAX(1,N(E1446)),"Conferido","Conferido até aqui"),"A conferir")))</f>
        <v/>
      </c>
      <c r="S1446" s="51">
        <f>IF(R1446="A conferir",(Config!$B$8-L1446)*1000+N(F1446)/1000+ROW()/100000,0)</f>
        <v>0</v>
      </c>
      <c r="T1446" s="51">
        <f>IF(R1446="A conferir",N(N1446),0)</f>
        <v>0</v>
      </c>
      <c r="U1446" s="51">
        <f>IF(L1446="",0,L1446)</f>
        <v>0</v>
      </c>
      <c r="V1446" s="51">
        <f>IF(L1446="",0,MAX(1,N(E1446)))</f>
        <v>0</v>
      </c>
      <c r="W1446" s="51">
        <f>IF(K1446="",0,K1446)</f>
        <v>0</v>
      </c>
    </row>
    <row r="1447">
      <c r="A1447" s="49" t="n"/>
      <c r="B1447" s="41" t="n"/>
      <c r="C1447" s="41" t="n"/>
      <c r="D1447" s="42" t="n"/>
      <c r="E1447" s="42" t="n"/>
      <c r="F1447" s="50" t="n"/>
      <c r="G1447" s="42" t="n"/>
      <c r="H1447" s="30">
        <f>IF(D1447="","",IFERROR(INDEX(Config!$B$12:$B$15,MATCH(IF(AND(D1447="Cartão de crédito",N(E1447)&gt;1),"Cartão de crédito parcelado",D1447),Config!$A$12:$A$15,0)),0)+IF(AND(Config!$B$17="Sim",LEFT(D1447,17)="Cartão de crédito"),Config!$B$18*IFERROR(INDEX(Config!$C$12:$C$15,MATCH(IF(AND(D1447="Cartão de crédito",N(E1447)&gt;1),"Cartão de crédito parcelado",D1447),Config!$A$12:$A$15,0)),0)/30*MAX(1,N(E1447)),0))</f>
        <v/>
      </c>
      <c r="I1447" s="29">
        <f>IF(OR(D1447="",F1447=""),"",ROUND(F1447*H1447,2))</f>
        <v/>
      </c>
      <c r="J1447" s="29">
        <f>IF(I1447="","",F1447-I1447)</f>
        <v/>
      </c>
      <c r="K1447" s="29">
        <f>IF(J1447="","",J1447/MAX(1,N(E1447)))</f>
        <v/>
      </c>
      <c r="L1447" s="37">
        <f>IF(OR(D1447="",A1447=""),"",A1447+IF(AND(Config!$B$17="Sim",LEFT(D1447,17)="Cartão de crédito"),1,IFERROR(INDEX(Config!$C$12:$C$15,MATCH(IF(AND(D1447="Cartão de crédito",N(E1447)&gt;1),"Cartão de crédito parcelado",D1447),Config!$A$12:$A$15,0)),0)))</f>
        <v/>
      </c>
      <c r="M1447" s="37">
        <f>IF(L1447="","",IF(AND(Config!$B$17="Sim",LEFT(D1447,17)="Cartão de crédito"),L1447,L1447+30*(MAX(1,N(E1447))-1)))</f>
        <v/>
      </c>
      <c r="N1447" s="29">
        <f>IF(OR(L1447="",K1447=""),"",K1447*MIN(MAX(1,N(E1447)),MAX(0,INT((Config!$B$8-L1447)/30)+1)))</f>
        <v/>
      </c>
      <c r="O1447" s="29">
        <f>IF(J1447="","",J1447-N(N1447))</f>
        <v/>
      </c>
      <c r="P1447" s="27">
        <f>IF(A1447="","",MONTH(A1447))</f>
        <v/>
      </c>
      <c r="Q1447" s="27">
        <f>IF(A1447="","",YEAR(A1447))</f>
        <v/>
      </c>
      <c r="R1447" s="27">
        <f>IF(L1447="","",IF(L1447&gt;Config!$B$8,"A cair",IF(N(G1447)&gt;=MIN(MAX(1,N(E1447)),MAX(0,INT((Config!$B$8-L1447)/30)+1)),IF(N(G1447)&gt;=MAX(1,N(E1447)),"Conferido","Conferido até aqui"),"A conferir")))</f>
        <v/>
      </c>
      <c r="S1447" s="51">
        <f>IF(R1447="A conferir",(Config!$B$8-L1447)*1000+N(F1447)/1000+ROW()/100000,0)</f>
        <v>0</v>
      </c>
      <c r="T1447" s="51">
        <f>IF(R1447="A conferir",N(N1447),0)</f>
        <v>0</v>
      </c>
      <c r="U1447" s="51">
        <f>IF(L1447="",0,L1447)</f>
        <v>0</v>
      </c>
      <c r="V1447" s="51">
        <f>IF(L1447="",0,MAX(1,N(E1447)))</f>
        <v>0</v>
      </c>
      <c r="W1447" s="51">
        <f>IF(K1447="",0,K1447)</f>
        <v>0</v>
      </c>
    </row>
    <row r="1448">
      <c r="A1448" s="49" t="n"/>
      <c r="B1448" s="41" t="n"/>
      <c r="C1448" s="41" t="n"/>
      <c r="D1448" s="42" t="n"/>
      <c r="E1448" s="42" t="n"/>
      <c r="F1448" s="50" t="n"/>
      <c r="G1448" s="42" t="n"/>
      <c r="H1448" s="30">
        <f>IF(D1448="","",IFERROR(INDEX(Config!$B$12:$B$15,MATCH(IF(AND(D1448="Cartão de crédito",N(E1448)&gt;1),"Cartão de crédito parcelado",D1448),Config!$A$12:$A$15,0)),0)+IF(AND(Config!$B$17="Sim",LEFT(D1448,17)="Cartão de crédito"),Config!$B$18*IFERROR(INDEX(Config!$C$12:$C$15,MATCH(IF(AND(D1448="Cartão de crédito",N(E1448)&gt;1),"Cartão de crédito parcelado",D1448),Config!$A$12:$A$15,0)),0)/30*MAX(1,N(E1448)),0))</f>
        <v/>
      </c>
      <c r="I1448" s="29">
        <f>IF(OR(D1448="",F1448=""),"",ROUND(F1448*H1448,2))</f>
        <v/>
      </c>
      <c r="J1448" s="29">
        <f>IF(I1448="","",F1448-I1448)</f>
        <v/>
      </c>
      <c r="K1448" s="29">
        <f>IF(J1448="","",J1448/MAX(1,N(E1448)))</f>
        <v/>
      </c>
      <c r="L1448" s="37">
        <f>IF(OR(D1448="",A1448=""),"",A1448+IF(AND(Config!$B$17="Sim",LEFT(D1448,17)="Cartão de crédito"),1,IFERROR(INDEX(Config!$C$12:$C$15,MATCH(IF(AND(D1448="Cartão de crédito",N(E1448)&gt;1),"Cartão de crédito parcelado",D1448),Config!$A$12:$A$15,0)),0)))</f>
        <v/>
      </c>
      <c r="M1448" s="37">
        <f>IF(L1448="","",IF(AND(Config!$B$17="Sim",LEFT(D1448,17)="Cartão de crédito"),L1448,L1448+30*(MAX(1,N(E1448))-1)))</f>
        <v/>
      </c>
      <c r="N1448" s="29">
        <f>IF(OR(L1448="",K1448=""),"",K1448*MIN(MAX(1,N(E1448)),MAX(0,INT((Config!$B$8-L1448)/30)+1)))</f>
        <v/>
      </c>
      <c r="O1448" s="29">
        <f>IF(J1448="","",J1448-N(N1448))</f>
        <v/>
      </c>
      <c r="P1448" s="27">
        <f>IF(A1448="","",MONTH(A1448))</f>
        <v/>
      </c>
      <c r="Q1448" s="27">
        <f>IF(A1448="","",YEAR(A1448))</f>
        <v/>
      </c>
      <c r="R1448" s="27">
        <f>IF(L1448="","",IF(L1448&gt;Config!$B$8,"A cair",IF(N(G1448)&gt;=MIN(MAX(1,N(E1448)),MAX(0,INT((Config!$B$8-L1448)/30)+1)),IF(N(G1448)&gt;=MAX(1,N(E1448)),"Conferido","Conferido até aqui"),"A conferir")))</f>
        <v/>
      </c>
      <c r="S1448" s="51">
        <f>IF(R1448="A conferir",(Config!$B$8-L1448)*1000+N(F1448)/1000+ROW()/100000,0)</f>
        <v>0</v>
      </c>
      <c r="T1448" s="51">
        <f>IF(R1448="A conferir",N(N1448),0)</f>
        <v>0</v>
      </c>
      <c r="U1448" s="51">
        <f>IF(L1448="",0,L1448)</f>
        <v>0</v>
      </c>
      <c r="V1448" s="51">
        <f>IF(L1448="",0,MAX(1,N(E1448)))</f>
        <v>0</v>
      </c>
      <c r="W1448" s="51">
        <f>IF(K1448="",0,K1448)</f>
        <v>0</v>
      </c>
    </row>
    <row r="1449">
      <c r="A1449" s="49" t="n"/>
      <c r="B1449" s="41" t="n"/>
      <c r="C1449" s="41" t="n"/>
      <c r="D1449" s="42" t="n"/>
      <c r="E1449" s="42" t="n"/>
      <c r="F1449" s="50" t="n"/>
      <c r="G1449" s="42" t="n"/>
      <c r="H1449" s="30">
        <f>IF(D1449="","",IFERROR(INDEX(Config!$B$12:$B$15,MATCH(IF(AND(D1449="Cartão de crédito",N(E1449)&gt;1),"Cartão de crédito parcelado",D1449),Config!$A$12:$A$15,0)),0)+IF(AND(Config!$B$17="Sim",LEFT(D1449,17)="Cartão de crédito"),Config!$B$18*IFERROR(INDEX(Config!$C$12:$C$15,MATCH(IF(AND(D1449="Cartão de crédito",N(E1449)&gt;1),"Cartão de crédito parcelado",D1449),Config!$A$12:$A$15,0)),0)/30*MAX(1,N(E1449)),0))</f>
        <v/>
      </c>
      <c r="I1449" s="29">
        <f>IF(OR(D1449="",F1449=""),"",ROUND(F1449*H1449,2))</f>
        <v/>
      </c>
      <c r="J1449" s="29">
        <f>IF(I1449="","",F1449-I1449)</f>
        <v/>
      </c>
      <c r="K1449" s="29">
        <f>IF(J1449="","",J1449/MAX(1,N(E1449)))</f>
        <v/>
      </c>
      <c r="L1449" s="37">
        <f>IF(OR(D1449="",A1449=""),"",A1449+IF(AND(Config!$B$17="Sim",LEFT(D1449,17)="Cartão de crédito"),1,IFERROR(INDEX(Config!$C$12:$C$15,MATCH(IF(AND(D1449="Cartão de crédito",N(E1449)&gt;1),"Cartão de crédito parcelado",D1449),Config!$A$12:$A$15,0)),0)))</f>
        <v/>
      </c>
      <c r="M1449" s="37">
        <f>IF(L1449="","",IF(AND(Config!$B$17="Sim",LEFT(D1449,17)="Cartão de crédito"),L1449,L1449+30*(MAX(1,N(E1449))-1)))</f>
        <v/>
      </c>
      <c r="N1449" s="29">
        <f>IF(OR(L1449="",K1449=""),"",K1449*MIN(MAX(1,N(E1449)),MAX(0,INT((Config!$B$8-L1449)/30)+1)))</f>
        <v/>
      </c>
      <c r="O1449" s="29">
        <f>IF(J1449="","",J1449-N(N1449))</f>
        <v/>
      </c>
      <c r="P1449" s="27">
        <f>IF(A1449="","",MONTH(A1449))</f>
        <v/>
      </c>
      <c r="Q1449" s="27">
        <f>IF(A1449="","",YEAR(A1449))</f>
        <v/>
      </c>
      <c r="R1449" s="27">
        <f>IF(L1449="","",IF(L1449&gt;Config!$B$8,"A cair",IF(N(G1449)&gt;=MIN(MAX(1,N(E1449)),MAX(0,INT((Config!$B$8-L1449)/30)+1)),IF(N(G1449)&gt;=MAX(1,N(E1449)),"Conferido","Conferido até aqui"),"A conferir")))</f>
        <v/>
      </c>
      <c r="S1449" s="51">
        <f>IF(R1449="A conferir",(Config!$B$8-L1449)*1000+N(F1449)/1000+ROW()/100000,0)</f>
        <v>0</v>
      </c>
      <c r="T1449" s="51">
        <f>IF(R1449="A conferir",N(N1449),0)</f>
        <v>0</v>
      </c>
      <c r="U1449" s="51">
        <f>IF(L1449="",0,L1449)</f>
        <v>0</v>
      </c>
      <c r="V1449" s="51">
        <f>IF(L1449="",0,MAX(1,N(E1449)))</f>
        <v>0</v>
      </c>
      <c r="W1449" s="51">
        <f>IF(K1449="",0,K1449)</f>
        <v>0</v>
      </c>
    </row>
    <row r="1450">
      <c r="A1450" s="49" t="n"/>
      <c r="B1450" s="41" t="n"/>
      <c r="C1450" s="41" t="n"/>
      <c r="D1450" s="42" t="n"/>
      <c r="E1450" s="42" t="n"/>
      <c r="F1450" s="50" t="n"/>
      <c r="G1450" s="42" t="n"/>
      <c r="H1450" s="30">
        <f>IF(D1450="","",IFERROR(INDEX(Config!$B$12:$B$15,MATCH(IF(AND(D1450="Cartão de crédito",N(E1450)&gt;1),"Cartão de crédito parcelado",D1450),Config!$A$12:$A$15,0)),0)+IF(AND(Config!$B$17="Sim",LEFT(D1450,17)="Cartão de crédito"),Config!$B$18*IFERROR(INDEX(Config!$C$12:$C$15,MATCH(IF(AND(D1450="Cartão de crédito",N(E1450)&gt;1),"Cartão de crédito parcelado",D1450),Config!$A$12:$A$15,0)),0)/30*MAX(1,N(E1450)),0))</f>
        <v/>
      </c>
      <c r="I1450" s="29">
        <f>IF(OR(D1450="",F1450=""),"",ROUND(F1450*H1450,2))</f>
        <v/>
      </c>
      <c r="J1450" s="29">
        <f>IF(I1450="","",F1450-I1450)</f>
        <v/>
      </c>
      <c r="K1450" s="29">
        <f>IF(J1450="","",J1450/MAX(1,N(E1450)))</f>
        <v/>
      </c>
      <c r="L1450" s="37">
        <f>IF(OR(D1450="",A1450=""),"",A1450+IF(AND(Config!$B$17="Sim",LEFT(D1450,17)="Cartão de crédito"),1,IFERROR(INDEX(Config!$C$12:$C$15,MATCH(IF(AND(D1450="Cartão de crédito",N(E1450)&gt;1),"Cartão de crédito parcelado",D1450),Config!$A$12:$A$15,0)),0)))</f>
        <v/>
      </c>
      <c r="M1450" s="37">
        <f>IF(L1450="","",IF(AND(Config!$B$17="Sim",LEFT(D1450,17)="Cartão de crédito"),L1450,L1450+30*(MAX(1,N(E1450))-1)))</f>
        <v/>
      </c>
      <c r="N1450" s="29">
        <f>IF(OR(L1450="",K1450=""),"",K1450*MIN(MAX(1,N(E1450)),MAX(0,INT((Config!$B$8-L1450)/30)+1)))</f>
        <v/>
      </c>
      <c r="O1450" s="29">
        <f>IF(J1450="","",J1450-N(N1450))</f>
        <v/>
      </c>
      <c r="P1450" s="27">
        <f>IF(A1450="","",MONTH(A1450))</f>
        <v/>
      </c>
      <c r="Q1450" s="27">
        <f>IF(A1450="","",YEAR(A1450))</f>
        <v/>
      </c>
      <c r="R1450" s="27">
        <f>IF(L1450="","",IF(L1450&gt;Config!$B$8,"A cair",IF(N(G1450)&gt;=MIN(MAX(1,N(E1450)),MAX(0,INT((Config!$B$8-L1450)/30)+1)),IF(N(G1450)&gt;=MAX(1,N(E1450)),"Conferido","Conferido até aqui"),"A conferir")))</f>
        <v/>
      </c>
      <c r="S1450" s="51">
        <f>IF(R1450="A conferir",(Config!$B$8-L1450)*1000+N(F1450)/1000+ROW()/100000,0)</f>
        <v>0</v>
      </c>
      <c r="T1450" s="51">
        <f>IF(R1450="A conferir",N(N1450),0)</f>
        <v>0</v>
      </c>
      <c r="U1450" s="51">
        <f>IF(L1450="",0,L1450)</f>
        <v>0</v>
      </c>
      <c r="V1450" s="51">
        <f>IF(L1450="",0,MAX(1,N(E1450)))</f>
        <v>0</v>
      </c>
      <c r="W1450" s="51">
        <f>IF(K1450="",0,K1450)</f>
        <v>0</v>
      </c>
    </row>
    <row r="1451">
      <c r="A1451" s="49" t="n"/>
      <c r="B1451" s="41" t="n"/>
      <c r="C1451" s="41" t="n"/>
      <c r="D1451" s="42" t="n"/>
      <c r="E1451" s="42" t="n"/>
      <c r="F1451" s="50" t="n"/>
      <c r="G1451" s="42" t="n"/>
      <c r="H1451" s="30">
        <f>IF(D1451="","",IFERROR(INDEX(Config!$B$12:$B$15,MATCH(IF(AND(D1451="Cartão de crédito",N(E1451)&gt;1),"Cartão de crédito parcelado",D1451),Config!$A$12:$A$15,0)),0)+IF(AND(Config!$B$17="Sim",LEFT(D1451,17)="Cartão de crédito"),Config!$B$18*IFERROR(INDEX(Config!$C$12:$C$15,MATCH(IF(AND(D1451="Cartão de crédito",N(E1451)&gt;1),"Cartão de crédito parcelado",D1451),Config!$A$12:$A$15,0)),0)/30*MAX(1,N(E1451)),0))</f>
        <v/>
      </c>
      <c r="I1451" s="29">
        <f>IF(OR(D1451="",F1451=""),"",ROUND(F1451*H1451,2))</f>
        <v/>
      </c>
      <c r="J1451" s="29">
        <f>IF(I1451="","",F1451-I1451)</f>
        <v/>
      </c>
      <c r="K1451" s="29">
        <f>IF(J1451="","",J1451/MAX(1,N(E1451)))</f>
        <v/>
      </c>
      <c r="L1451" s="37">
        <f>IF(OR(D1451="",A1451=""),"",A1451+IF(AND(Config!$B$17="Sim",LEFT(D1451,17)="Cartão de crédito"),1,IFERROR(INDEX(Config!$C$12:$C$15,MATCH(IF(AND(D1451="Cartão de crédito",N(E1451)&gt;1),"Cartão de crédito parcelado",D1451),Config!$A$12:$A$15,0)),0)))</f>
        <v/>
      </c>
      <c r="M1451" s="37">
        <f>IF(L1451="","",IF(AND(Config!$B$17="Sim",LEFT(D1451,17)="Cartão de crédito"),L1451,L1451+30*(MAX(1,N(E1451))-1)))</f>
        <v/>
      </c>
      <c r="N1451" s="29">
        <f>IF(OR(L1451="",K1451=""),"",K1451*MIN(MAX(1,N(E1451)),MAX(0,INT((Config!$B$8-L1451)/30)+1)))</f>
        <v/>
      </c>
      <c r="O1451" s="29">
        <f>IF(J1451="","",J1451-N(N1451))</f>
        <v/>
      </c>
      <c r="P1451" s="27">
        <f>IF(A1451="","",MONTH(A1451))</f>
        <v/>
      </c>
      <c r="Q1451" s="27">
        <f>IF(A1451="","",YEAR(A1451))</f>
        <v/>
      </c>
      <c r="R1451" s="27">
        <f>IF(L1451="","",IF(L1451&gt;Config!$B$8,"A cair",IF(N(G1451)&gt;=MIN(MAX(1,N(E1451)),MAX(0,INT((Config!$B$8-L1451)/30)+1)),IF(N(G1451)&gt;=MAX(1,N(E1451)),"Conferido","Conferido até aqui"),"A conferir")))</f>
        <v/>
      </c>
      <c r="S1451" s="51">
        <f>IF(R1451="A conferir",(Config!$B$8-L1451)*1000+N(F1451)/1000+ROW()/100000,0)</f>
        <v>0</v>
      </c>
      <c r="T1451" s="51">
        <f>IF(R1451="A conferir",N(N1451),0)</f>
        <v>0</v>
      </c>
      <c r="U1451" s="51">
        <f>IF(L1451="",0,L1451)</f>
        <v>0</v>
      </c>
      <c r="V1451" s="51">
        <f>IF(L1451="",0,MAX(1,N(E1451)))</f>
        <v>0</v>
      </c>
      <c r="W1451" s="51">
        <f>IF(K1451="",0,K1451)</f>
        <v>0</v>
      </c>
    </row>
    <row r="1452">
      <c r="A1452" s="49" t="n"/>
      <c r="B1452" s="41" t="n"/>
      <c r="C1452" s="41" t="n"/>
      <c r="D1452" s="42" t="n"/>
      <c r="E1452" s="42" t="n"/>
      <c r="F1452" s="50" t="n"/>
      <c r="G1452" s="42" t="n"/>
      <c r="H1452" s="30">
        <f>IF(D1452="","",IFERROR(INDEX(Config!$B$12:$B$15,MATCH(IF(AND(D1452="Cartão de crédito",N(E1452)&gt;1),"Cartão de crédito parcelado",D1452),Config!$A$12:$A$15,0)),0)+IF(AND(Config!$B$17="Sim",LEFT(D1452,17)="Cartão de crédito"),Config!$B$18*IFERROR(INDEX(Config!$C$12:$C$15,MATCH(IF(AND(D1452="Cartão de crédito",N(E1452)&gt;1),"Cartão de crédito parcelado",D1452),Config!$A$12:$A$15,0)),0)/30*MAX(1,N(E1452)),0))</f>
        <v/>
      </c>
      <c r="I1452" s="29">
        <f>IF(OR(D1452="",F1452=""),"",ROUND(F1452*H1452,2))</f>
        <v/>
      </c>
      <c r="J1452" s="29">
        <f>IF(I1452="","",F1452-I1452)</f>
        <v/>
      </c>
      <c r="K1452" s="29">
        <f>IF(J1452="","",J1452/MAX(1,N(E1452)))</f>
        <v/>
      </c>
      <c r="L1452" s="37">
        <f>IF(OR(D1452="",A1452=""),"",A1452+IF(AND(Config!$B$17="Sim",LEFT(D1452,17)="Cartão de crédito"),1,IFERROR(INDEX(Config!$C$12:$C$15,MATCH(IF(AND(D1452="Cartão de crédito",N(E1452)&gt;1),"Cartão de crédito parcelado",D1452),Config!$A$12:$A$15,0)),0)))</f>
        <v/>
      </c>
      <c r="M1452" s="37">
        <f>IF(L1452="","",IF(AND(Config!$B$17="Sim",LEFT(D1452,17)="Cartão de crédito"),L1452,L1452+30*(MAX(1,N(E1452))-1)))</f>
        <v/>
      </c>
      <c r="N1452" s="29">
        <f>IF(OR(L1452="",K1452=""),"",K1452*MIN(MAX(1,N(E1452)),MAX(0,INT((Config!$B$8-L1452)/30)+1)))</f>
        <v/>
      </c>
      <c r="O1452" s="29">
        <f>IF(J1452="","",J1452-N(N1452))</f>
        <v/>
      </c>
      <c r="P1452" s="27">
        <f>IF(A1452="","",MONTH(A1452))</f>
        <v/>
      </c>
      <c r="Q1452" s="27">
        <f>IF(A1452="","",YEAR(A1452))</f>
        <v/>
      </c>
      <c r="R1452" s="27">
        <f>IF(L1452="","",IF(L1452&gt;Config!$B$8,"A cair",IF(N(G1452)&gt;=MIN(MAX(1,N(E1452)),MAX(0,INT((Config!$B$8-L1452)/30)+1)),IF(N(G1452)&gt;=MAX(1,N(E1452)),"Conferido","Conferido até aqui"),"A conferir")))</f>
        <v/>
      </c>
      <c r="S1452" s="51">
        <f>IF(R1452="A conferir",(Config!$B$8-L1452)*1000+N(F1452)/1000+ROW()/100000,0)</f>
        <v>0</v>
      </c>
      <c r="T1452" s="51">
        <f>IF(R1452="A conferir",N(N1452),0)</f>
        <v>0</v>
      </c>
      <c r="U1452" s="51">
        <f>IF(L1452="",0,L1452)</f>
        <v>0</v>
      </c>
      <c r="V1452" s="51">
        <f>IF(L1452="",0,MAX(1,N(E1452)))</f>
        <v>0</v>
      </c>
      <c r="W1452" s="51">
        <f>IF(K1452="",0,K1452)</f>
        <v>0</v>
      </c>
    </row>
    <row r="1453">
      <c r="A1453" s="49" t="n"/>
      <c r="B1453" s="41" t="n"/>
      <c r="C1453" s="41" t="n"/>
      <c r="D1453" s="42" t="n"/>
      <c r="E1453" s="42" t="n"/>
      <c r="F1453" s="50" t="n"/>
      <c r="G1453" s="42" t="n"/>
      <c r="H1453" s="30">
        <f>IF(D1453="","",IFERROR(INDEX(Config!$B$12:$B$15,MATCH(IF(AND(D1453="Cartão de crédito",N(E1453)&gt;1),"Cartão de crédito parcelado",D1453),Config!$A$12:$A$15,0)),0)+IF(AND(Config!$B$17="Sim",LEFT(D1453,17)="Cartão de crédito"),Config!$B$18*IFERROR(INDEX(Config!$C$12:$C$15,MATCH(IF(AND(D1453="Cartão de crédito",N(E1453)&gt;1),"Cartão de crédito parcelado",D1453),Config!$A$12:$A$15,0)),0)/30*MAX(1,N(E1453)),0))</f>
        <v/>
      </c>
      <c r="I1453" s="29">
        <f>IF(OR(D1453="",F1453=""),"",ROUND(F1453*H1453,2))</f>
        <v/>
      </c>
      <c r="J1453" s="29">
        <f>IF(I1453="","",F1453-I1453)</f>
        <v/>
      </c>
      <c r="K1453" s="29">
        <f>IF(J1453="","",J1453/MAX(1,N(E1453)))</f>
        <v/>
      </c>
      <c r="L1453" s="37">
        <f>IF(OR(D1453="",A1453=""),"",A1453+IF(AND(Config!$B$17="Sim",LEFT(D1453,17)="Cartão de crédito"),1,IFERROR(INDEX(Config!$C$12:$C$15,MATCH(IF(AND(D1453="Cartão de crédito",N(E1453)&gt;1),"Cartão de crédito parcelado",D1453),Config!$A$12:$A$15,0)),0)))</f>
        <v/>
      </c>
      <c r="M1453" s="37">
        <f>IF(L1453="","",IF(AND(Config!$B$17="Sim",LEFT(D1453,17)="Cartão de crédito"),L1453,L1453+30*(MAX(1,N(E1453))-1)))</f>
        <v/>
      </c>
      <c r="N1453" s="29">
        <f>IF(OR(L1453="",K1453=""),"",K1453*MIN(MAX(1,N(E1453)),MAX(0,INT((Config!$B$8-L1453)/30)+1)))</f>
        <v/>
      </c>
      <c r="O1453" s="29">
        <f>IF(J1453="","",J1453-N(N1453))</f>
        <v/>
      </c>
      <c r="P1453" s="27">
        <f>IF(A1453="","",MONTH(A1453))</f>
        <v/>
      </c>
      <c r="Q1453" s="27">
        <f>IF(A1453="","",YEAR(A1453))</f>
        <v/>
      </c>
      <c r="R1453" s="27">
        <f>IF(L1453="","",IF(L1453&gt;Config!$B$8,"A cair",IF(N(G1453)&gt;=MIN(MAX(1,N(E1453)),MAX(0,INT((Config!$B$8-L1453)/30)+1)),IF(N(G1453)&gt;=MAX(1,N(E1453)),"Conferido","Conferido até aqui"),"A conferir")))</f>
        <v/>
      </c>
      <c r="S1453" s="51">
        <f>IF(R1453="A conferir",(Config!$B$8-L1453)*1000+N(F1453)/1000+ROW()/100000,0)</f>
        <v>0</v>
      </c>
      <c r="T1453" s="51">
        <f>IF(R1453="A conferir",N(N1453),0)</f>
        <v>0</v>
      </c>
      <c r="U1453" s="51">
        <f>IF(L1453="",0,L1453)</f>
        <v>0</v>
      </c>
      <c r="V1453" s="51">
        <f>IF(L1453="",0,MAX(1,N(E1453)))</f>
        <v>0</v>
      </c>
      <c r="W1453" s="51">
        <f>IF(K1453="",0,K1453)</f>
        <v>0</v>
      </c>
    </row>
    <row r="1454">
      <c r="A1454" s="49" t="n"/>
      <c r="B1454" s="41" t="n"/>
      <c r="C1454" s="41" t="n"/>
      <c r="D1454" s="42" t="n"/>
      <c r="E1454" s="42" t="n"/>
      <c r="F1454" s="50" t="n"/>
      <c r="G1454" s="42" t="n"/>
      <c r="H1454" s="30">
        <f>IF(D1454="","",IFERROR(INDEX(Config!$B$12:$B$15,MATCH(IF(AND(D1454="Cartão de crédito",N(E1454)&gt;1),"Cartão de crédito parcelado",D1454),Config!$A$12:$A$15,0)),0)+IF(AND(Config!$B$17="Sim",LEFT(D1454,17)="Cartão de crédito"),Config!$B$18*IFERROR(INDEX(Config!$C$12:$C$15,MATCH(IF(AND(D1454="Cartão de crédito",N(E1454)&gt;1),"Cartão de crédito parcelado",D1454),Config!$A$12:$A$15,0)),0)/30*MAX(1,N(E1454)),0))</f>
        <v/>
      </c>
      <c r="I1454" s="29">
        <f>IF(OR(D1454="",F1454=""),"",ROUND(F1454*H1454,2))</f>
        <v/>
      </c>
      <c r="J1454" s="29">
        <f>IF(I1454="","",F1454-I1454)</f>
        <v/>
      </c>
      <c r="K1454" s="29">
        <f>IF(J1454="","",J1454/MAX(1,N(E1454)))</f>
        <v/>
      </c>
      <c r="L1454" s="37">
        <f>IF(OR(D1454="",A1454=""),"",A1454+IF(AND(Config!$B$17="Sim",LEFT(D1454,17)="Cartão de crédito"),1,IFERROR(INDEX(Config!$C$12:$C$15,MATCH(IF(AND(D1454="Cartão de crédito",N(E1454)&gt;1),"Cartão de crédito parcelado",D1454),Config!$A$12:$A$15,0)),0)))</f>
        <v/>
      </c>
      <c r="M1454" s="37">
        <f>IF(L1454="","",IF(AND(Config!$B$17="Sim",LEFT(D1454,17)="Cartão de crédito"),L1454,L1454+30*(MAX(1,N(E1454))-1)))</f>
        <v/>
      </c>
      <c r="N1454" s="29">
        <f>IF(OR(L1454="",K1454=""),"",K1454*MIN(MAX(1,N(E1454)),MAX(0,INT((Config!$B$8-L1454)/30)+1)))</f>
        <v/>
      </c>
      <c r="O1454" s="29">
        <f>IF(J1454="","",J1454-N(N1454))</f>
        <v/>
      </c>
      <c r="P1454" s="27">
        <f>IF(A1454="","",MONTH(A1454))</f>
        <v/>
      </c>
      <c r="Q1454" s="27">
        <f>IF(A1454="","",YEAR(A1454))</f>
        <v/>
      </c>
      <c r="R1454" s="27">
        <f>IF(L1454="","",IF(L1454&gt;Config!$B$8,"A cair",IF(N(G1454)&gt;=MIN(MAX(1,N(E1454)),MAX(0,INT((Config!$B$8-L1454)/30)+1)),IF(N(G1454)&gt;=MAX(1,N(E1454)),"Conferido","Conferido até aqui"),"A conferir")))</f>
        <v/>
      </c>
      <c r="S1454" s="51">
        <f>IF(R1454="A conferir",(Config!$B$8-L1454)*1000+N(F1454)/1000+ROW()/100000,0)</f>
        <v>0</v>
      </c>
      <c r="T1454" s="51">
        <f>IF(R1454="A conferir",N(N1454),0)</f>
        <v>0</v>
      </c>
      <c r="U1454" s="51">
        <f>IF(L1454="",0,L1454)</f>
        <v>0</v>
      </c>
      <c r="V1454" s="51">
        <f>IF(L1454="",0,MAX(1,N(E1454)))</f>
        <v>0</v>
      </c>
      <c r="W1454" s="51">
        <f>IF(K1454="",0,K1454)</f>
        <v>0</v>
      </c>
    </row>
    <row r="1455">
      <c r="A1455" s="49" t="n"/>
      <c r="B1455" s="41" t="n"/>
      <c r="C1455" s="41" t="n"/>
      <c r="D1455" s="42" t="n"/>
      <c r="E1455" s="42" t="n"/>
      <c r="F1455" s="50" t="n"/>
      <c r="G1455" s="42" t="n"/>
      <c r="H1455" s="30">
        <f>IF(D1455="","",IFERROR(INDEX(Config!$B$12:$B$15,MATCH(IF(AND(D1455="Cartão de crédito",N(E1455)&gt;1),"Cartão de crédito parcelado",D1455),Config!$A$12:$A$15,0)),0)+IF(AND(Config!$B$17="Sim",LEFT(D1455,17)="Cartão de crédito"),Config!$B$18*IFERROR(INDEX(Config!$C$12:$C$15,MATCH(IF(AND(D1455="Cartão de crédito",N(E1455)&gt;1),"Cartão de crédito parcelado",D1455),Config!$A$12:$A$15,0)),0)/30*MAX(1,N(E1455)),0))</f>
        <v/>
      </c>
      <c r="I1455" s="29">
        <f>IF(OR(D1455="",F1455=""),"",ROUND(F1455*H1455,2))</f>
        <v/>
      </c>
      <c r="J1455" s="29">
        <f>IF(I1455="","",F1455-I1455)</f>
        <v/>
      </c>
      <c r="K1455" s="29">
        <f>IF(J1455="","",J1455/MAX(1,N(E1455)))</f>
        <v/>
      </c>
      <c r="L1455" s="37">
        <f>IF(OR(D1455="",A1455=""),"",A1455+IF(AND(Config!$B$17="Sim",LEFT(D1455,17)="Cartão de crédito"),1,IFERROR(INDEX(Config!$C$12:$C$15,MATCH(IF(AND(D1455="Cartão de crédito",N(E1455)&gt;1),"Cartão de crédito parcelado",D1455),Config!$A$12:$A$15,0)),0)))</f>
        <v/>
      </c>
      <c r="M1455" s="37">
        <f>IF(L1455="","",IF(AND(Config!$B$17="Sim",LEFT(D1455,17)="Cartão de crédito"),L1455,L1455+30*(MAX(1,N(E1455))-1)))</f>
        <v/>
      </c>
      <c r="N1455" s="29">
        <f>IF(OR(L1455="",K1455=""),"",K1455*MIN(MAX(1,N(E1455)),MAX(0,INT((Config!$B$8-L1455)/30)+1)))</f>
        <v/>
      </c>
      <c r="O1455" s="29">
        <f>IF(J1455="","",J1455-N(N1455))</f>
        <v/>
      </c>
      <c r="P1455" s="27">
        <f>IF(A1455="","",MONTH(A1455))</f>
        <v/>
      </c>
      <c r="Q1455" s="27">
        <f>IF(A1455="","",YEAR(A1455))</f>
        <v/>
      </c>
      <c r="R1455" s="27">
        <f>IF(L1455="","",IF(L1455&gt;Config!$B$8,"A cair",IF(N(G1455)&gt;=MIN(MAX(1,N(E1455)),MAX(0,INT((Config!$B$8-L1455)/30)+1)),IF(N(G1455)&gt;=MAX(1,N(E1455)),"Conferido","Conferido até aqui"),"A conferir")))</f>
        <v/>
      </c>
      <c r="S1455" s="51">
        <f>IF(R1455="A conferir",(Config!$B$8-L1455)*1000+N(F1455)/1000+ROW()/100000,0)</f>
        <v>0</v>
      </c>
      <c r="T1455" s="51">
        <f>IF(R1455="A conferir",N(N1455),0)</f>
        <v>0</v>
      </c>
      <c r="U1455" s="51">
        <f>IF(L1455="",0,L1455)</f>
        <v>0</v>
      </c>
      <c r="V1455" s="51">
        <f>IF(L1455="",0,MAX(1,N(E1455)))</f>
        <v>0</v>
      </c>
      <c r="W1455" s="51">
        <f>IF(K1455="",0,K1455)</f>
        <v>0</v>
      </c>
    </row>
    <row r="1456">
      <c r="A1456" s="49" t="n"/>
      <c r="B1456" s="41" t="n"/>
      <c r="C1456" s="41" t="n"/>
      <c r="D1456" s="42" t="n"/>
      <c r="E1456" s="42" t="n"/>
      <c r="F1456" s="50" t="n"/>
      <c r="G1456" s="42" t="n"/>
      <c r="H1456" s="30">
        <f>IF(D1456="","",IFERROR(INDEX(Config!$B$12:$B$15,MATCH(IF(AND(D1456="Cartão de crédito",N(E1456)&gt;1),"Cartão de crédito parcelado",D1456),Config!$A$12:$A$15,0)),0)+IF(AND(Config!$B$17="Sim",LEFT(D1456,17)="Cartão de crédito"),Config!$B$18*IFERROR(INDEX(Config!$C$12:$C$15,MATCH(IF(AND(D1456="Cartão de crédito",N(E1456)&gt;1),"Cartão de crédito parcelado",D1456),Config!$A$12:$A$15,0)),0)/30*MAX(1,N(E1456)),0))</f>
        <v/>
      </c>
      <c r="I1456" s="29">
        <f>IF(OR(D1456="",F1456=""),"",ROUND(F1456*H1456,2))</f>
        <v/>
      </c>
      <c r="J1456" s="29">
        <f>IF(I1456="","",F1456-I1456)</f>
        <v/>
      </c>
      <c r="K1456" s="29">
        <f>IF(J1456="","",J1456/MAX(1,N(E1456)))</f>
        <v/>
      </c>
      <c r="L1456" s="37">
        <f>IF(OR(D1456="",A1456=""),"",A1456+IF(AND(Config!$B$17="Sim",LEFT(D1456,17)="Cartão de crédito"),1,IFERROR(INDEX(Config!$C$12:$C$15,MATCH(IF(AND(D1456="Cartão de crédito",N(E1456)&gt;1),"Cartão de crédito parcelado",D1456),Config!$A$12:$A$15,0)),0)))</f>
        <v/>
      </c>
      <c r="M1456" s="37">
        <f>IF(L1456="","",IF(AND(Config!$B$17="Sim",LEFT(D1456,17)="Cartão de crédito"),L1456,L1456+30*(MAX(1,N(E1456))-1)))</f>
        <v/>
      </c>
      <c r="N1456" s="29">
        <f>IF(OR(L1456="",K1456=""),"",K1456*MIN(MAX(1,N(E1456)),MAX(0,INT((Config!$B$8-L1456)/30)+1)))</f>
        <v/>
      </c>
      <c r="O1456" s="29">
        <f>IF(J1456="","",J1456-N(N1456))</f>
        <v/>
      </c>
      <c r="P1456" s="27">
        <f>IF(A1456="","",MONTH(A1456))</f>
        <v/>
      </c>
      <c r="Q1456" s="27">
        <f>IF(A1456="","",YEAR(A1456))</f>
        <v/>
      </c>
      <c r="R1456" s="27">
        <f>IF(L1456="","",IF(L1456&gt;Config!$B$8,"A cair",IF(N(G1456)&gt;=MIN(MAX(1,N(E1456)),MAX(0,INT((Config!$B$8-L1456)/30)+1)),IF(N(G1456)&gt;=MAX(1,N(E1456)),"Conferido","Conferido até aqui"),"A conferir")))</f>
        <v/>
      </c>
      <c r="S1456" s="51">
        <f>IF(R1456="A conferir",(Config!$B$8-L1456)*1000+N(F1456)/1000+ROW()/100000,0)</f>
        <v>0</v>
      </c>
      <c r="T1456" s="51">
        <f>IF(R1456="A conferir",N(N1456),0)</f>
        <v>0</v>
      </c>
      <c r="U1456" s="51">
        <f>IF(L1456="",0,L1456)</f>
        <v>0</v>
      </c>
      <c r="V1456" s="51">
        <f>IF(L1456="",0,MAX(1,N(E1456)))</f>
        <v>0</v>
      </c>
      <c r="W1456" s="51">
        <f>IF(K1456="",0,K1456)</f>
        <v>0</v>
      </c>
    </row>
    <row r="1457">
      <c r="A1457" s="49" t="n"/>
      <c r="B1457" s="41" t="n"/>
      <c r="C1457" s="41" t="n"/>
      <c r="D1457" s="42" t="n"/>
      <c r="E1457" s="42" t="n"/>
      <c r="F1457" s="50" t="n"/>
      <c r="G1457" s="42" t="n"/>
      <c r="H1457" s="30">
        <f>IF(D1457="","",IFERROR(INDEX(Config!$B$12:$B$15,MATCH(IF(AND(D1457="Cartão de crédito",N(E1457)&gt;1),"Cartão de crédito parcelado",D1457),Config!$A$12:$A$15,0)),0)+IF(AND(Config!$B$17="Sim",LEFT(D1457,17)="Cartão de crédito"),Config!$B$18*IFERROR(INDEX(Config!$C$12:$C$15,MATCH(IF(AND(D1457="Cartão de crédito",N(E1457)&gt;1),"Cartão de crédito parcelado",D1457),Config!$A$12:$A$15,0)),0)/30*MAX(1,N(E1457)),0))</f>
        <v/>
      </c>
      <c r="I1457" s="29">
        <f>IF(OR(D1457="",F1457=""),"",ROUND(F1457*H1457,2))</f>
        <v/>
      </c>
      <c r="J1457" s="29">
        <f>IF(I1457="","",F1457-I1457)</f>
        <v/>
      </c>
      <c r="K1457" s="29">
        <f>IF(J1457="","",J1457/MAX(1,N(E1457)))</f>
        <v/>
      </c>
      <c r="L1457" s="37">
        <f>IF(OR(D1457="",A1457=""),"",A1457+IF(AND(Config!$B$17="Sim",LEFT(D1457,17)="Cartão de crédito"),1,IFERROR(INDEX(Config!$C$12:$C$15,MATCH(IF(AND(D1457="Cartão de crédito",N(E1457)&gt;1),"Cartão de crédito parcelado",D1457),Config!$A$12:$A$15,0)),0)))</f>
        <v/>
      </c>
      <c r="M1457" s="37">
        <f>IF(L1457="","",IF(AND(Config!$B$17="Sim",LEFT(D1457,17)="Cartão de crédito"),L1457,L1457+30*(MAX(1,N(E1457))-1)))</f>
        <v/>
      </c>
      <c r="N1457" s="29">
        <f>IF(OR(L1457="",K1457=""),"",K1457*MIN(MAX(1,N(E1457)),MAX(0,INT((Config!$B$8-L1457)/30)+1)))</f>
        <v/>
      </c>
      <c r="O1457" s="29">
        <f>IF(J1457="","",J1457-N(N1457))</f>
        <v/>
      </c>
      <c r="P1457" s="27">
        <f>IF(A1457="","",MONTH(A1457))</f>
        <v/>
      </c>
      <c r="Q1457" s="27">
        <f>IF(A1457="","",YEAR(A1457))</f>
        <v/>
      </c>
      <c r="R1457" s="27">
        <f>IF(L1457="","",IF(L1457&gt;Config!$B$8,"A cair",IF(N(G1457)&gt;=MIN(MAX(1,N(E1457)),MAX(0,INT((Config!$B$8-L1457)/30)+1)),IF(N(G1457)&gt;=MAX(1,N(E1457)),"Conferido","Conferido até aqui"),"A conferir")))</f>
        <v/>
      </c>
      <c r="S1457" s="51">
        <f>IF(R1457="A conferir",(Config!$B$8-L1457)*1000+N(F1457)/1000+ROW()/100000,0)</f>
        <v>0</v>
      </c>
      <c r="T1457" s="51">
        <f>IF(R1457="A conferir",N(N1457),0)</f>
        <v>0</v>
      </c>
      <c r="U1457" s="51">
        <f>IF(L1457="",0,L1457)</f>
        <v>0</v>
      </c>
      <c r="V1457" s="51">
        <f>IF(L1457="",0,MAX(1,N(E1457)))</f>
        <v>0</v>
      </c>
      <c r="W1457" s="51">
        <f>IF(K1457="",0,K1457)</f>
        <v>0</v>
      </c>
    </row>
    <row r="1458">
      <c r="A1458" s="49" t="n"/>
      <c r="B1458" s="41" t="n"/>
      <c r="C1458" s="41" t="n"/>
      <c r="D1458" s="42" t="n"/>
      <c r="E1458" s="42" t="n"/>
      <c r="F1458" s="50" t="n"/>
      <c r="G1458" s="42" t="n"/>
      <c r="H1458" s="30">
        <f>IF(D1458="","",IFERROR(INDEX(Config!$B$12:$B$15,MATCH(IF(AND(D1458="Cartão de crédito",N(E1458)&gt;1),"Cartão de crédito parcelado",D1458),Config!$A$12:$A$15,0)),0)+IF(AND(Config!$B$17="Sim",LEFT(D1458,17)="Cartão de crédito"),Config!$B$18*IFERROR(INDEX(Config!$C$12:$C$15,MATCH(IF(AND(D1458="Cartão de crédito",N(E1458)&gt;1),"Cartão de crédito parcelado",D1458),Config!$A$12:$A$15,0)),0)/30*MAX(1,N(E1458)),0))</f>
        <v/>
      </c>
      <c r="I1458" s="29">
        <f>IF(OR(D1458="",F1458=""),"",ROUND(F1458*H1458,2))</f>
        <v/>
      </c>
      <c r="J1458" s="29">
        <f>IF(I1458="","",F1458-I1458)</f>
        <v/>
      </c>
      <c r="K1458" s="29">
        <f>IF(J1458="","",J1458/MAX(1,N(E1458)))</f>
        <v/>
      </c>
      <c r="L1458" s="37">
        <f>IF(OR(D1458="",A1458=""),"",A1458+IF(AND(Config!$B$17="Sim",LEFT(D1458,17)="Cartão de crédito"),1,IFERROR(INDEX(Config!$C$12:$C$15,MATCH(IF(AND(D1458="Cartão de crédito",N(E1458)&gt;1),"Cartão de crédito parcelado",D1458),Config!$A$12:$A$15,0)),0)))</f>
        <v/>
      </c>
      <c r="M1458" s="37">
        <f>IF(L1458="","",IF(AND(Config!$B$17="Sim",LEFT(D1458,17)="Cartão de crédito"),L1458,L1458+30*(MAX(1,N(E1458))-1)))</f>
        <v/>
      </c>
      <c r="N1458" s="29">
        <f>IF(OR(L1458="",K1458=""),"",K1458*MIN(MAX(1,N(E1458)),MAX(0,INT((Config!$B$8-L1458)/30)+1)))</f>
        <v/>
      </c>
      <c r="O1458" s="29">
        <f>IF(J1458="","",J1458-N(N1458))</f>
        <v/>
      </c>
      <c r="P1458" s="27">
        <f>IF(A1458="","",MONTH(A1458))</f>
        <v/>
      </c>
      <c r="Q1458" s="27">
        <f>IF(A1458="","",YEAR(A1458))</f>
        <v/>
      </c>
      <c r="R1458" s="27">
        <f>IF(L1458="","",IF(L1458&gt;Config!$B$8,"A cair",IF(N(G1458)&gt;=MIN(MAX(1,N(E1458)),MAX(0,INT((Config!$B$8-L1458)/30)+1)),IF(N(G1458)&gt;=MAX(1,N(E1458)),"Conferido","Conferido até aqui"),"A conferir")))</f>
        <v/>
      </c>
      <c r="S1458" s="51">
        <f>IF(R1458="A conferir",(Config!$B$8-L1458)*1000+N(F1458)/1000+ROW()/100000,0)</f>
        <v>0</v>
      </c>
      <c r="T1458" s="51">
        <f>IF(R1458="A conferir",N(N1458),0)</f>
        <v>0</v>
      </c>
      <c r="U1458" s="51">
        <f>IF(L1458="",0,L1458)</f>
        <v>0</v>
      </c>
      <c r="V1458" s="51">
        <f>IF(L1458="",0,MAX(1,N(E1458)))</f>
        <v>0</v>
      </c>
      <c r="W1458" s="51">
        <f>IF(K1458="",0,K1458)</f>
        <v>0</v>
      </c>
    </row>
    <row r="1459">
      <c r="A1459" s="49" t="n"/>
      <c r="B1459" s="41" t="n"/>
      <c r="C1459" s="41" t="n"/>
      <c r="D1459" s="42" t="n"/>
      <c r="E1459" s="42" t="n"/>
      <c r="F1459" s="50" t="n"/>
      <c r="G1459" s="42" t="n"/>
      <c r="H1459" s="30">
        <f>IF(D1459="","",IFERROR(INDEX(Config!$B$12:$B$15,MATCH(IF(AND(D1459="Cartão de crédito",N(E1459)&gt;1),"Cartão de crédito parcelado",D1459),Config!$A$12:$A$15,0)),0)+IF(AND(Config!$B$17="Sim",LEFT(D1459,17)="Cartão de crédito"),Config!$B$18*IFERROR(INDEX(Config!$C$12:$C$15,MATCH(IF(AND(D1459="Cartão de crédito",N(E1459)&gt;1),"Cartão de crédito parcelado",D1459),Config!$A$12:$A$15,0)),0)/30*MAX(1,N(E1459)),0))</f>
        <v/>
      </c>
      <c r="I1459" s="29">
        <f>IF(OR(D1459="",F1459=""),"",ROUND(F1459*H1459,2))</f>
        <v/>
      </c>
      <c r="J1459" s="29">
        <f>IF(I1459="","",F1459-I1459)</f>
        <v/>
      </c>
      <c r="K1459" s="29">
        <f>IF(J1459="","",J1459/MAX(1,N(E1459)))</f>
        <v/>
      </c>
      <c r="L1459" s="37">
        <f>IF(OR(D1459="",A1459=""),"",A1459+IF(AND(Config!$B$17="Sim",LEFT(D1459,17)="Cartão de crédito"),1,IFERROR(INDEX(Config!$C$12:$C$15,MATCH(IF(AND(D1459="Cartão de crédito",N(E1459)&gt;1),"Cartão de crédito parcelado",D1459),Config!$A$12:$A$15,0)),0)))</f>
        <v/>
      </c>
      <c r="M1459" s="37">
        <f>IF(L1459="","",IF(AND(Config!$B$17="Sim",LEFT(D1459,17)="Cartão de crédito"),L1459,L1459+30*(MAX(1,N(E1459))-1)))</f>
        <v/>
      </c>
      <c r="N1459" s="29">
        <f>IF(OR(L1459="",K1459=""),"",K1459*MIN(MAX(1,N(E1459)),MAX(0,INT((Config!$B$8-L1459)/30)+1)))</f>
        <v/>
      </c>
      <c r="O1459" s="29">
        <f>IF(J1459="","",J1459-N(N1459))</f>
        <v/>
      </c>
      <c r="P1459" s="27">
        <f>IF(A1459="","",MONTH(A1459))</f>
        <v/>
      </c>
      <c r="Q1459" s="27">
        <f>IF(A1459="","",YEAR(A1459))</f>
        <v/>
      </c>
      <c r="R1459" s="27">
        <f>IF(L1459="","",IF(L1459&gt;Config!$B$8,"A cair",IF(N(G1459)&gt;=MIN(MAX(1,N(E1459)),MAX(0,INT((Config!$B$8-L1459)/30)+1)),IF(N(G1459)&gt;=MAX(1,N(E1459)),"Conferido","Conferido até aqui"),"A conferir")))</f>
        <v/>
      </c>
      <c r="S1459" s="51">
        <f>IF(R1459="A conferir",(Config!$B$8-L1459)*1000+N(F1459)/1000+ROW()/100000,0)</f>
        <v>0</v>
      </c>
      <c r="T1459" s="51">
        <f>IF(R1459="A conferir",N(N1459),0)</f>
        <v>0</v>
      </c>
      <c r="U1459" s="51">
        <f>IF(L1459="",0,L1459)</f>
        <v>0</v>
      </c>
      <c r="V1459" s="51">
        <f>IF(L1459="",0,MAX(1,N(E1459)))</f>
        <v>0</v>
      </c>
      <c r="W1459" s="51">
        <f>IF(K1459="",0,K1459)</f>
        <v>0</v>
      </c>
    </row>
    <row r="1460">
      <c r="A1460" s="49" t="n"/>
      <c r="B1460" s="41" t="n"/>
      <c r="C1460" s="41" t="n"/>
      <c r="D1460" s="42" t="n"/>
      <c r="E1460" s="42" t="n"/>
      <c r="F1460" s="50" t="n"/>
      <c r="G1460" s="42" t="n"/>
      <c r="H1460" s="30">
        <f>IF(D1460="","",IFERROR(INDEX(Config!$B$12:$B$15,MATCH(IF(AND(D1460="Cartão de crédito",N(E1460)&gt;1),"Cartão de crédito parcelado",D1460),Config!$A$12:$A$15,0)),0)+IF(AND(Config!$B$17="Sim",LEFT(D1460,17)="Cartão de crédito"),Config!$B$18*IFERROR(INDEX(Config!$C$12:$C$15,MATCH(IF(AND(D1460="Cartão de crédito",N(E1460)&gt;1),"Cartão de crédito parcelado",D1460),Config!$A$12:$A$15,0)),0)/30*MAX(1,N(E1460)),0))</f>
        <v/>
      </c>
      <c r="I1460" s="29">
        <f>IF(OR(D1460="",F1460=""),"",ROUND(F1460*H1460,2))</f>
        <v/>
      </c>
      <c r="J1460" s="29">
        <f>IF(I1460="","",F1460-I1460)</f>
        <v/>
      </c>
      <c r="K1460" s="29">
        <f>IF(J1460="","",J1460/MAX(1,N(E1460)))</f>
        <v/>
      </c>
      <c r="L1460" s="37">
        <f>IF(OR(D1460="",A1460=""),"",A1460+IF(AND(Config!$B$17="Sim",LEFT(D1460,17)="Cartão de crédito"),1,IFERROR(INDEX(Config!$C$12:$C$15,MATCH(IF(AND(D1460="Cartão de crédito",N(E1460)&gt;1),"Cartão de crédito parcelado",D1460),Config!$A$12:$A$15,0)),0)))</f>
        <v/>
      </c>
      <c r="M1460" s="37">
        <f>IF(L1460="","",IF(AND(Config!$B$17="Sim",LEFT(D1460,17)="Cartão de crédito"),L1460,L1460+30*(MAX(1,N(E1460))-1)))</f>
        <v/>
      </c>
      <c r="N1460" s="29">
        <f>IF(OR(L1460="",K1460=""),"",K1460*MIN(MAX(1,N(E1460)),MAX(0,INT((Config!$B$8-L1460)/30)+1)))</f>
        <v/>
      </c>
      <c r="O1460" s="29">
        <f>IF(J1460="","",J1460-N(N1460))</f>
        <v/>
      </c>
      <c r="P1460" s="27">
        <f>IF(A1460="","",MONTH(A1460))</f>
        <v/>
      </c>
      <c r="Q1460" s="27">
        <f>IF(A1460="","",YEAR(A1460))</f>
        <v/>
      </c>
      <c r="R1460" s="27">
        <f>IF(L1460="","",IF(L1460&gt;Config!$B$8,"A cair",IF(N(G1460)&gt;=MIN(MAX(1,N(E1460)),MAX(0,INT((Config!$B$8-L1460)/30)+1)),IF(N(G1460)&gt;=MAX(1,N(E1460)),"Conferido","Conferido até aqui"),"A conferir")))</f>
        <v/>
      </c>
      <c r="S1460" s="51">
        <f>IF(R1460="A conferir",(Config!$B$8-L1460)*1000+N(F1460)/1000+ROW()/100000,0)</f>
        <v>0</v>
      </c>
      <c r="T1460" s="51">
        <f>IF(R1460="A conferir",N(N1460),0)</f>
        <v>0</v>
      </c>
      <c r="U1460" s="51">
        <f>IF(L1460="",0,L1460)</f>
        <v>0</v>
      </c>
      <c r="V1460" s="51">
        <f>IF(L1460="",0,MAX(1,N(E1460)))</f>
        <v>0</v>
      </c>
      <c r="W1460" s="51">
        <f>IF(K1460="",0,K1460)</f>
        <v>0</v>
      </c>
    </row>
    <row r="1461">
      <c r="A1461" s="49" t="n"/>
      <c r="B1461" s="41" t="n"/>
      <c r="C1461" s="41" t="n"/>
      <c r="D1461" s="42" t="n"/>
      <c r="E1461" s="42" t="n"/>
      <c r="F1461" s="50" t="n"/>
      <c r="G1461" s="42" t="n"/>
      <c r="H1461" s="30">
        <f>IF(D1461="","",IFERROR(INDEX(Config!$B$12:$B$15,MATCH(IF(AND(D1461="Cartão de crédito",N(E1461)&gt;1),"Cartão de crédito parcelado",D1461),Config!$A$12:$A$15,0)),0)+IF(AND(Config!$B$17="Sim",LEFT(D1461,17)="Cartão de crédito"),Config!$B$18*IFERROR(INDEX(Config!$C$12:$C$15,MATCH(IF(AND(D1461="Cartão de crédito",N(E1461)&gt;1),"Cartão de crédito parcelado",D1461),Config!$A$12:$A$15,0)),0)/30*MAX(1,N(E1461)),0))</f>
        <v/>
      </c>
      <c r="I1461" s="29">
        <f>IF(OR(D1461="",F1461=""),"",ROUND(F1461*H1461,2))</f>
        <v/>
      </c>
      <c r="J1461" s="29">
        <f>IF(I1461="","",F1461-I1461)</f>
        <v/>
      </c>
      <c r="K1461" s="29">
        <f>IF(J1461="","",J1461/MAX(1,N(E1461)))</f>
        <v/>
      </c>
      <c r="L1461" s="37">
        <f>IF(OR(D1461="",A1461=""),"",A1461+IF(AND(Config!$B$17="Sim",LEFT(D1461,17)="Cartão de crédito"),1,IFERROR(INDEX(Config!$C$12:$C$15,MATCH(IF(AND(D1461="Cartão de crédito",N(E1461)&gt;1),"Cartão de crédito parcelado",D1461),Config!$A$12:$A$15,0)),0)))</f>
        <v/>
      </c>
      <c r="M1461" s="37">
        <f>IF(L1461="","",IF(AND(Config!$B$17="Sim",LEFT(D1461,17)="Cartão de crédito"),L1461,L1461+30*(MAX(1,N(E1461))-1)))</f>
        <v/>
      </c>
      <c r="N1461" s="29">
        <f>IF(OR(L1461="",K1461=""),"",K1461*MIN(MAX(1,N(E1461)),MAX(0,INT((Config!$B$8-L1461)/30)+1)))</f>
        <v/>
      </c>
      <c r="O1461" s="29">
        <f>IF(J1461="","",J1461-N(N1461))</f>
        <v/>
      </c>
      <c r="P1461" s="27">
        <f>IF(A1461="","",MONTH(A1461))</f>
        <v/>
      </c>
      <c r="Q1461" s="27">
        <f>IF(A1461="","",YEAR(A1461))</f>
        <v/>
      </c>
      <c r="R1461" s="27">
        <f>IF(L1461="","",IF(L1461&gt;Config!$B$8,"A cair",IF(N(G1461)&gt;=MIN(MAX(1,N(E1461)),MAX(0,INT((Config!$B$8-L1461)/30)+1)),IF(N(G1461)&gt;=MAX(1,N(E1461)),"Conferido","Conferido até aqui"),"A conferir")))</f>
        <v/>
      </c>
      <c r="S1461" s="51">
        <f>IF(R1461="A conferir",(Config!$B$8-L1461)*1000+N(F1461)/1000+ROW()/100000,0)</f>
        <v>0</v>
      </c>
      <c r="T1461" s="51">
        <f>IF(R1461="A conferir",N(N1461),0)</f>
        <v>0</v>
      </c>
      <c r="U1461" s="51">
        <f>IF(L1461="",0,L1461)</f>
        <v>0</v>
      </c>
      <c r="V1461" s="51">
        <f>IF(L1461="",0,MAX(1,N(E1461)))</f>
        <v>0</v>
      </c>
      <c r="W1461" s="51">
        <f>IF(K1461="",0,K1461)</f>
        <v>0</v>
      </c>
    </row>
    <row r="1462">
      <c r="A1462" s="49" t="n"/>
      <c r="B1462" s="41" t="n"/>
      <c r="C1462" s="41" t="n"/>
      <c r="D1462" s="42" t="n"/>
      <c r="E1462" s="42" t="n"/>
      <c r="F1462" s="50" t="n"/>
      <c r="G1462" s="42" t="n"/>
      <c r="H1462" s="30">
        <f>IF(D1462="","",IFERROR(INDEX(Config!$B$12:$B$15,MATCH(IF(AND(D1462="Cartão de crédito",N(E1462)&gt;1),"Cartão de crédito parcelado",D1462),Config!$A$12:$A$15,0)),0)+IF(AND(Config!$B$17="Sim",LEFT(D1462,17)="Cartão de crédito"),Config!$B$18*IFERROR(INDEX(Config!$C$12:$C$15,MATCH(IF(AND(D1462="Cartão de crédito",N(E1462)&gt;1),"Cartão de crédito parcelado",D1462),Config!$A$12:$A$15,0)),0)/30*MAX(1,N(E1462)),0))</f>
        <v/>
      </c>
      <c r="I1462" s="29">
        <f>IF(OR(D1462="",F1462=""),"",ROUND(F1462*H1462,2))</f>
        <v/>
      </c>
      <c r="J1462" s="29">
        <f>IF(I1462="","",F1462-I1462)</f>
        <v/>
      </c>
      <c r="K1462" s="29">
        <f>IF(J1462="","",J1462/MAX(1,N(E1462)))</f>
        <v/>
      </c>
      <c r="L1462" s="37">
        <f>IF(OR(D1462="",A1462=""),"",A1462+IF(AND(Config!$B$17="Sim",LEFT(D1462,17)="Cartão de crédito"),1,IFERROR(INDEX(Config!$C$12:$C$15,MATCH(IF(AND(D1462="Cartão de crédito",N(E1462)&gt;1),"Cartão de crédito parcelado",D1462),Config!$A$12:$A$15,0)),0)))</f>
        <v/>
      </c>
      <c r="M1462" s="37">
        <f>IF(L1462="","",IF(AND(Config!$B$17="Sim",LEFT(D1462,17)="Cartão de crédito"),L1462,L1462+30*(MAX(1,N(E1462))-1)))</f>
        <v/>
      </c>
      <c r="N1462" s="29">
        <f>IF(OR(L1462="",K1462=""),"",K1462*MIN(MAX(1,N(E1462)),MAX(0,INT((Config!$B$8-L1462)/30)+1)))</f>
        <v/>
      </c>
      <c r="O1462" s="29">
        <f>IF(J1462="","",J1462-N(N1462))</f>
        <v/>
      </c>
      <c r="P1462" s="27">
        <f>IF(A1462="","",MONTH(A1462))</f>
        <v/>
      </c>
      <c r="Q1462" s="27">
        <f>IF(A1462="","",YEAR(A1462))</f>
        <v/>
      </c>
      <c r="R1462" s="27">
        <f>IF(L1462="","",IF(L1462&gt;Config!$B$8,"A cair",IF(N(G1462)&gt;=MIN(MAX(1,N(E1462)),MAX(0,INT((Config!$B$8-L1462)/30)+1)),IF(N(G1462)&gt;=MAX(1,N(E1462)),"Conferido","Conferido até aqui"),"A conferir")))</f>
        <v/>
      </c>
      <c r="S1462" s="51">
        <f>IF(R1462="A conferir",(Config!$B$8-L1462)*1000+N(F1462)/1000+ROW()/100000,0)</f>
        <v>0</v>
      </c>
      <c r="T1462" s="51">
        <f>IF(R1462="A conferir",N(N1462),0)</f>
        <v>0</v>
      </c>
      <c r="U1462" s="51">
        <f>IF(L1462="",0,L1462)</f>
        <v>0</v>
      </c>
      <c r="V1462" s="51">
        <f>IF(L1462="",0,MAX(1,N(E1462)))</f>
        <v>0</v>
      </c>
      <c r="W1462" s="51">
        <f>IF(K1462="",0,K1462)</f>
        <v>0</v>
      </c>
    </row>
    <row r="1463">
      <c r="A1463" s="49" t="n"/>
      <c r="B1463" s="41" t="n"/>
      <c r="C1463" s="41" t="n"/>
      <c r="D1463" s="42" t="n"/>
      <c r="E1463" s="42" t="n"/>
      <c r="F1463" s="50" t="n"/>
      <c r="G1463" s="42" t="n"/>
      <c r="H1463" s="30">
        <f>IF(D1463="","",IFERROR(INDEX(Config!$B$12:$B$15,MATCH(IF(AND(D1463="Cartão de crédito",N(E1463)&gt;1),"Cartão de crédito parcelado",D1463),Config!$A$12:$A$15,0)),0)+IF(AND(Config!$B$17="Sim",LEFT(D1463,17)="Cartão de crédito"),Config!$B$18*IFERROR(INDEX(Config!$C$12:$C$15,MATCH(IF(AND(D1463="Cartão de crédito",N(E1463)&gt;1),"Cartão de crédito parcelado",D1463),Config!$A$12:$A$15,0)),0)/30*MAX(1,N(E1463)),0))</f>
        <v/>
      </c>
      <c r="I1463" s="29">
        <f>IF(OR(D1463="",F1463=""),"",ROUND(F1463*H1463,2))</f>
        <v/>
      </c>
      <c r="J1463" s="29">
        <f>IF(I1463="","",F1463-I1463)</f>
        <v/>
      </c>
      <c r="K1463" s="29">
        <f>IF(J1463="","",J1463/MAX(1,N(E1463)))</f>
        <v/>
      </c>
      <c r="L1463" s="37">
        <f>IF(OR(D1463="",A1463=""),"",A1463+IF(AND(Config!$B$17="Sim",LEFT(D1463,17)="Cartão de crédito"),1,IFERROR(INDEX(Config!$C$12:$C$15,MATCH(IF(AND(D1463="Cartão de crédito",N(E1463)&gt;1),"Cartão de crédito parcelado",D1463),Config!$A$12:$A$15,0)),0)))</f>
        <v/>
      </c>
      <c r="M1463" s="37">
        <f>IF(L1463="","",IF(AND(Config!$B$17="Sim",LEFT(D1463,17)="Cartão de crédito"),L1463,L1463+30*(MAX(1,N(E1463))-1)))</f>
        <v/>
      </c>
      <c r="N1463" s="29">
        <f>IF(OR(L1463="",K1463=""),"",K1463*MIN(MAX(1,N(E1463)),MAX(0,INT((Config!$B$8-L1463)/30)+1)))</f>
        <v/>
      </c>
      <c r="O1463" s="29">
        <f>IF(J1463="","",J1463-N(N1463))</f>
        <v/>
      </c>
      <c r="P1463" s="27">
        <f>IF(A1463="","",MONTH(A1463))</f>
        <v/>
      </c>
      <c r="Q1463" s="27">
        <f>IF(A1463="","",YEAR(A1463))</f>
        <v/>
      </c>
      <c r="R1463" s="27">
        <f>IF(L1463="","",IF(L1463&gt;Config!$B$8,"A cair",IF(N(G1463)&gt;=MIN(MAX(1,N(E1463)),MAX(0,INT((Config!$B$8-L1463)/30)+1)),IF(N(G1463)&gt;=MAX(1,N(E1463)),"Conferido","Conferido até aqui"),"A conferir")))</f>
        <v/>
      </c>
      <c r="S1463" s="51">
        <f>IF(R1463="A conferir",(Config!$B$8-L1463)*1000+N(F1463)/1000+ROW()/100000,0)</f>
        <v>0</v>
      </c>
      <c r="T1463" s="51">
        <f>IF(R1463="A conferir",N(N1463),0)</f>
        <v>0</v>
      </c>
      <c r="U1463" s="51">
        <f>IF(L1463="",0,L1463)</f>
        <v>0</v>
      </c>
      <c r="V1463" s="51">
        <f>IF(L1463="",0,MAX(1,N(E1463)))</f>
        <v>0</v>
      </c>
      <c r="W1463" s="51">
        <f>IF(K1463="",0,K1463)</f>
        <v>0</v>
      </c>
    </row>
    <row r="1464">
      <c r="A1464" s="49" t="n"/>
      <c r="B1464" s="41" t="n"/>
      <c r="C1464" s="41" t="n"/>
      <c r="D1464" s="42" t="n"/>
      <c r="E1464" s="42" t="n"/>
      <c r="F1464" s="50" t="n"/>
      <c r="G1464" s="42" t="n"/>
      <c r="H1464" s="30">
        <f>IF(D1464="","",IFERROR(INDEX(Config!$B$12:$B$15,MATCH(IF(AND(D1464="Cartão de crédito",N(E1464)&gt;1),"Cartão de crédito parcelado",D1464),Config!$A$12:$A$15,0)),0)+IF(AND(Config!$B$17="Sim",LEFT(D1464,17)="Cartão de crédito"),Config!$B$18*IFERROR(INDEX(Config!$C$12:$C$15,MATCH(IF(AND(D1464="Cartão de crédito",N(E1464)&gt;1),"Cartão de crédito parcelado",D1464),Config!$A$12:$A$15,0)),0)/30*MAX(1,N(E1464)),0))</f>
        <v/>
      </c>
      <c r="I1464" s="29">
        <f>IF(OR(D1464="",F1464=""),"",ROUND(F1464*H1464,2))</f>
        <v/>
      </c>
      <c r="J1464" s="29">
        <f>IF(I1464="","",F1464-I1464)</f>
        <v/>
      </c>
      <c r="K1464" s="29">
        <f>IF(J1464="","",J1464/MAX(1,N(E1464)))</f>
        <v/>
      </c>
      <c r="L1464" s="37">
        <f>IF(OR(D1464="",A1464=""),"",A1464+IF(AND(Config!$B$17="Sim",LEFT(D1464,17)="Cartão de crédito"),1,IFERROR(INDEX(Config!$C$12:$C$15,MATCH(IF(AND(D1464="Cartão de crédito",N(E1464)&gt;1),"Cartão de crédito parcelado",D1464),Config!$A$12:$A$15,0)),0)))</f>
        <v/>
      </c>
      <c r="M1464" s="37">
        <f>IF(L1464="","",IF(AND(Config!$B$17="Sim",LEFT(D1464,17)="Cartão de crédito"),L1464,L1464+30*(MAX(1,N(E1464))-1)))</f>
        <v/>
      </c>
      <c r="N1464" s="29">
        <f>IF(OR(L1464="",K1464=""),"",K1464*MIN(MAX(1,N(E1464)),MAX(0,INT((Config!$B$8-L1464)/30)+1)))</f>
        <v/>
      </c>
      <c r="O1464" s="29">
        <f>IF(J1464="","",J1464-N(N1464))</f>
        <v/>
      </c>
      <c r="P1464" s="27">
        <f>IF(A1464="","",MONTH(A1464))</f>
        <v/>
      </c>
      <c r="Q1464" s="27">
        <f>IF(A1464="","",YEAR(A1464))</f>
        <v/>
      </c>
      <c r="R1464" s="27">
        <f>IF(L1464="","",IF(L1464&gt;Config!$B$8,"A cair",IF(N(G1464)&gt;=MIN(MAX(1,N(E1464)),MAX(0,INT((Config!$B$8-L1464)/30)+1)),IF(N(G1464)&gt;=MAX(1,N(E1464)),"Conferido","Conferido até aqui"),"A conferir")))</f>
        <v/>
      </c>
      <c r="S1464" s="51">
        <f>IF(R1464="A conferir",(Config!$B$8-L1464)*1000+N(F1464)/1000+ROW()/100000,0)</f>
        <v>0</v>
      </c>
      <c r="T1464" s="51">
        <f>IF(R1464="A conferir",N(N1464),0)</f>
        <v>0</v>
      </c>
      <c r="U1464" s="51">
        <f>IF(L1464="",0,L1464)</f>
        <v>0</v>
      </c>
      <c r="V1464" s="51">
        <f>IF(L1464="",0,MAX(1,N(E1464)))</f>
        <v>0</v>
      </c>
      <c r="W1464" s="51">
        <f>IF(K1464="",0,K1464)</f>
        <v>0</v>
      </c>
    </row>
    <row r="1465">
      <c r="A1465" s="49" t="n"/>
      <c r="B1465" s="41" t="n"/>
      <c r="C1465" s="41" t="n"/>
      <c r="D1465" s="42" t="n"/>
      <c r="E1465" s="42" t="n"/>
      <c r="F1465" s="50" t="n"/>
      <c r="G1465" s="42" t="n"/>
      <c r="H1465" s="30">
        <f>IF(D1465="","",IFERROR(INDEX(Config!$B$12:$B$15,MATCH(IF(AND(D1465="Cartão de crédito",N(E1465)&gt;1),"Cartão de crédito parcelado",D1465),Config!$A$12:$A$15,0)),0)+IF(AND(Config!$B$17="Sim",LEFT(D1465,17)="Cartão de crédito"),Config!$B$18*IFERROR(INDEX(Config!$C$12:$C$15,MATCH(IF(AND(D1465="Cartão de crédito",N(E1465)&gt;1),"Cartão de crédito parcelado",D1465),Config!$A$12:$A$15,0)),0)/30*MAX(1,N(E1465)),0))</f>
        <v/>
      </c>
      <c r="I1465" s="29">
        <f>IF(OR(D1465="",F1465=""),"",ROUND(F1465*H1465,2))</f>
        <v/>
      </c>
      <c r="J1465" s="29">
        <f>IF(I1465="","",F1465-I1465)</f>
        <v/>
      </c>
      <c r="K1465" s="29">
        <f>IF(J1465="","",J1465/MAX(1,N(E1465)))</f>
        <v/>
      </c>
      <c r="L1465" s="37">
        <f>IF(OR(D1465="",A1465=""),"",A1465+IF(AND(Config!$B$17="Sim",LEFT(D1465,17)="Cartão de crédito"),1,IFERROR(INDEX(Config!$C$12:$C$15,MATCH(IF(AND(D1465="Cartão de crédito",N(E1465)&gt;1),"Cartão de crédito parcelado",D1465),Config!$A$12:$A$15,0)),0)))</f>
        <v/>
      </c>
      <c r="M1465" s="37">
        <f>IF(L1465="","",IF(AND(Config!$B$17="Sim",LEFT(D1465,17)="Cartão de crédito"),L1465,L1465+30*(MAX(1,N(E1465))-1)))</f>
        <v/>
      </c>
      <c r="N1465" s="29">
        <f>IF(OR(L1465="",K1465=""),"",K1465*MIN(MAX(1,N(E1465)),MAX(0,INT((Config!$B$8-L1465)/30)+1)))</f>
        <v/>
      </c>
      <c r="O1465" s="29">
        <f>IF(J1465="","",J1465-N(N1465))</f>
        <v/>
      </c>
      <c r="P1465" s="27">
        <f>IF(A1465="","",MONTH(A1465))</f>
        <v/>
      </c>
      <c r="Q1465" s="27">
        <f>IF(A1465="","",YEAR(A1465))</f>
        <v/>
      </c>
      <c r="R1465" s="27">
        <f>IF(L1465="","",IF(L1465&gt;Config!$B$8,"A cair",IF(N(G1465)&gt;=MIN(MAX(1,N(E1465)),MAX(0,INT((Config!$B$8-L1465)/30)+1)),IF(N(G1465)&gt;=MAX(1,N(E1465)),"Conferido","Conferido até aqui"),"A conferir")))</f>
        <v/>
      </c>
      <c r="S1465" s="51">
        <f>IF(R1465="A conferir",(Config!$B$8-L1465)*1000+N(F1465)/1000+ROW()/100000,0)</f>
        <v>0</v>
      </c>
      <c r="T1465" s="51">
        <f>IF(R1465="A conferir",N(N1465),0)</f>
        <v>0</v>
      </c>
      <c r="U1465" s="51">
        <f>IF(L1465="",0,L1465)</f>
        <v>0</v>
      </c>
      <c r="V1465" s="51">
        <f>IF(L1465="",0,MAX(1,N(E1465)))</f>
        <v>0</v>
      </c>
      <c r="W1465" s="51">
        <f>IF(K1465="",0,K1465)</f>
        <v>0</v>
      </c>
    </row>
    <row r="1466">
      <c r="A1466" s="49" t="n"/>
      <c r="B1466" s="41" t="n"/>
      <c r="C1466" s="41" t="n"/>
      <c r="D1466" s="42" t="n"/>
      <c r="E1466" s="42" t="n"/>
      <c r="F1466" s="50" t="n"/>
      <c r="G1466" s="42" t="n"/>
      <c r="H1466" s="30">
        <f>IF(D1466="","",IFERROR(INDEX(Config!$B$12:$B$15,MATCH(IF(AND(D1466="Cartão de crédito",N(E1466)&gt;1),"Cartão de crédito parcelado",D1466),Config!$A$12:$A$15,0)),0)+IF(AND(Config!$B$17="Sim",LEFT(D1466,17)="Cartão de crédito"),Config!$B$18*IFERROR(INDEX(Config!$C$12:$C$15,MATCH(IF(AND(D1466="Cartão de crédito",N(E1466)&gt;1),"Cartão de crédito parcelado",D1466),Config!$A$12:$A$15,0)),0)/30*MAX(1,N(E1466)),0))</f>
        <v/>
      </c>
      <c r="I1466" s="29">
        <f>IF(OR(D1466="",F1466=""),"",ROUND(F1466*H1466,2))</f>
        <v/>
      </c>
      <c r="J1466" s="29">
        <f>IF(I1466="","",F1466-I1466)</f>
        <v/>
      </c>
      <c r="K1466" s="29">
        <f>IF(J1466="","",J1466/MAX(1,N(E1466)))</f>
        <v/>
      </c>
      <c r="L1466" s="37">
        <f>IF(OR(D1466="",A1466=""),"",A1466+IF(AND(Config!$B$17="Sim",LEFT(D1466,17)="Cartão de crédito"),1,IFERROR(INDEX(Config!$C$12:$C$15,MATCH(IF(AND(D1466="Cartão de crédito",N(E1466)&gt;1),"Cartão de crédito parcelado",D1466),Config!$A$12:$A$15,0)),0)))</f>
        <v/>
      </c>
      <c r="M1466" s="37">
        <f>IF(L1466="","",IF(AND(Config!$B$17="Sim",LEFT(D1466,17)="Cartão de crédito"),L1466,L1466+30*(MAX(1,N(E1466))-1)))</f>
        <v/>
      </c>
      <c r="N1466" s="29">
        <f>IF(OR(L1466="",K1466=""),"",K1466*MIN(MAX(1,N(E1466)),MAX(0,INT((Config!$B$8-L1466)/30)+1)))</f>
        <v/>
      </c>
      <c r="O1466" s="29">
        <f>IF(J1466="","",J1466-N(N1466))</f>
        <v/>
      </c>
      <c r="P1466" s="27">
        <f>IF(A1466="","",MONTH(A1466))</f>
        <v/>
      </c>
      <c r="Q1466" s="27">
        <f>IF(A1466="","",YEAR(A1466))</f>
        <v/>
      </c>
      <c r="R1466" s="27">
        <f>IF(L1466="","",IF(L1466&gt;Config!$B$8,"A cair",IF(N(G1466)&gt;=MIN(MAX(1,N(E1466)),MAX(0,INT((Config!$B$8-L1466)/30)+1)),IF(N(G1466)&gt;=MAX(1,N(E1466)),"Conferido","Conferido até aqui"),"A conferir")))</f>
        <v/>
      </c>
      <c r="S1466" s="51">
        <f>IF(R1466="A conferir",(Config!$B$8-L1466)*1000+N(F1466)/1000+ROW()/100000,0)</f>
        <v>0</v>
      </c>
      <c r="T1466" s="51">
        <f>IF(R1466="A conferir",N(N1466),0)</f>
        <v>0</v>
      </c>
      <c r="U1466" s="51">
        <f>IF(L1466="",0,L1466)</f>
        <v>0</v>
      </c>
      <c r="V1466" s="51">
        <f>IF(L1466="",0,MAX(1,N(E1466)))</f>
        <v>0</v>
      </c>
      <c r="W1466" s="51">
        <f>IF(K1466="",0,K1466)</f>
        <v>0</v>
      </c>
    </row>
    <row r="1467">
      <c r="A1467" s="49" t="n"/>
      <c r="B1467" s="41" t="n"/>
      <c r="C1467" s="41" t="n"/>
      <c r="D1467" s="42" t="n"/>
      <c r="E1467" s="42" t="n"/>
      <c r="F1467" s="50" t="n"/>
      <c r="G1467" s="42" t="n"/>
      <c r="H1467" s="30">
        <f>IF(D1467="","",IFERROR(INDEX(Config!$B$12:$B$15,MATCH(IF(AND(D1467="Cartão de crédito",N(E1467)&gt;1),"Cartão de crédito parcelado",D1467),Config!$A$12:$A$15,0)),0)+IF(AND(Config!$B$17="Sim",LEFT(D1467,17)="Cartão de crédito"),Config!$B$18*IFERROR(INDEX(Config!$C$12:$C$15,MATCH(IF(AND(D1467="Cartão de crédito",N(E1467)&gt;1),"Cartão de crédito parcelado",D1467),Config!$A$12:$A$15,0)),0)/30*MAX(1,N(E1467)),0))</f>
        <v/>
      </c>
      <c r="I1467" s="29">
        <f>IF(OR(D1467="",F1467=""),"",ROUND(F1467*H1467,2))</f>
        <v/>
      </c>
      <c r="J1467" s="29">
        <f>IF(I1467="","",F1467-I1467)</f>
        <v/>
      </c>
      <c r="K1467" s="29">
        <f>IF(J1467="","",J1467/MAX(1,N(E1467)))</f>
        <v/>
      </c>
      <c r="L1467" s="37">
        <f>IF(OR(D1467="",A1467=""),"",A1467+IF(AND(Config!$B$17="Sim",LEFT(D1467,17)="Cartão de crédito"),1,IFERROR(INDEX(Config!$C$12:$C$15,MATCH(IF(AND(D1467="Cartão de crédito",N(E1467)&gt;1),"Cartão de crédito parcelado",D1467),Config!$A$12:$A$15,0)),0)))</f>
        <v/>
      </c>
      <c r="M1467" s="37">
        <f>IF(L1467="","",IF(AND(Config!$B$17="Sim",LEFT(D1467,17)="Cartão de crédito"),L1467,L1467+30*(MAX(1,N(E1467))-1)))</f>
        <v/>
      </c>
      <c r="N1467" s="29">
        <f>IF(OR(L1467="",K1467=""),"",K1467*MIN(MAX(1,N(E1467)),MAX(0,INT((Config!$B$8-L1467)/30)+1)))</f>
        <v/>
      </c>
      <c r="O1467" s="29">
        <f>IF(J1467="","",J1467-N(N1467))</f>
        <v/>
      </c>
      <c r="P1467" s="27">
        <f>IF(A1467="","",MONTH(A1467))</f>
        <v/>
      </c>
      <c r="Q1467" s="27">
        <f>IF(A1467="","",YEAR(A1467))</f>
        <v/>
      </c>
      <c r="R1467" s="27">
        <f>IF(L1467="","",IF(L1467&gt;Config!$B$8,"A cair",IF(N(G1467)&gt;=MIN(MAX(1,N(E1467)),MAX(0,INT((Config!$B$8-L1467)/30)+1)),IF(N(G1467)&gt;=MAX(1,N(E1467)),"Conferido","Conferido até aqui"),"A conferir")))</f>
        <v/>
      </c>
      <c r="S1467" s="51">
        <f>IF(R1467="A conferir",(Config!$B$8-L1467)*1000+N(F1467)/1000+ROW()/100000,0)</f>
        <v>0</v>
      </c>
      <c r="T1467" s="51">
        <f>IF(R1467="A conferir",N(N1467),0)</f>
        <v>0</v>
      </c>
      <c r="U1467" s="51">
        <f>IF(L1467="",0,L1467)</f>
        <v>0</v>
      </c>
      <c r="V1467" s="51">
        <f>IF(L1467="",0,MAX(1,N(E1467)))</f>
        <v>0</v>
      </c>
      <c r="W1467" s="51">
        <f>IF(K1467="",0,K1467)</f>
        <v>0</v>
      </c>
    </row>
    <row r="1468">
      <c r="A1468" s="49" t="n"/>
      <c r="B1468" s="41" t="n"/>
      <c r="C1468" s="41" t="n"/>
      <c r="D1468" s="42" t="n"/>
      <c r="E1468" s="42" t="n"/>
      <c r="F1468" s="50" t="n"/>
      <c r="G1468" s="42" t="n"/>
      <c r="H1468" s="30">
        <f>IF(D1468="","",IFERROR(INDEX(Config!$B$12:$B$15,MATCH(IF(AND(D1468="Cartão de crédito",N(E1468)&gt;1),"Cartão de crédito parcelado",D1468),Config!$A$12:$A$15,0)),0)+IF(AND(Config!$B$17="Sim",LEFT(D1468,17)="Cartão de crédito"),Config!$B$18*IFERROR(INDEX(Config!$C$12:$C$15,MATCH(IF(AND(D1468="Cartão de crédito",N(E1468)&gt;1),"Cartão de crédito parcelado",D1468),Config!$A$12:$A$15,0)),0)/30*MAX(1,N(E1468)),0))</f>
        <v/>
      </c>
      <c r="I1468" s="29">
        <f>IF(OR(D1468="",F1468=""),"",ROUND(F1468*H1468,2))</f>
        <v/>
      </c>
      <c r="J1468" s="29">
        <f>IF(I1468="","",F1468-I1468)</f>
        <v/>
      </c>
      <c r="K1468" s="29">
        <f>IF(J1468="","",J1468/MAX(1,N(E1468)))</f>
        <v/>
      </c>
      <c r="L1468" s="37">
        <f>IF(OR(D1468="",A1468=""),"",A1468+IF(AND(Config!$B$17="Sim",LEFT(D1468,17)="Cartão de crédito"),1,IFERROR(INDEX(Config!$C$12:$C$15,MATCH(IF(AND(D1468="Cartão de crédito",N(E1468)&gt;1),"Cartão de crédito parcelado",D1468),Config!$A$12:$A$15,0)),0)))</f>
        <v/>
      </c>
      <c r="M1468" s="37">
        <f>IF(L1468="","",IF(AND(Config!$B$17="Sim",LEFT(D1468,17)="Cartão de crédito"),L1468,L1468+30*(MAX(1,N(E1468))-1)))</f>
        <v/>
      </c>
      <c r="N1468" s="29">
        <f>IF(OR(L1468="",K1468=""),"",K1468*MIN(MAX(1,N(E1468)),MAX(0,INT((Config!$B$8-L1468)/30)+1)))</f>
        <v/>
      </c>
      <c r="O1468" s="29">
        <f>IF(J1468="","",J1468-N(N1468))</f>
        <v/>
      </c>
      <c r="P1468" s="27">
        <f>IF(A1468="","",MONTH(A1468))</f>
        <v/>
      </c>
      <c r="Q1468" s="27">
        <f>IF(A1468="","",YEAR(A1468))</f>
        <v/>
      </c>
      <c r="R1468" s="27">
        <f>IF(L1468="","",IF(L1468&gt;Config!$B$8,"A cair",IF(N(G1468)&gt;=MIN(MAX(1,N(E1468)),MAX(0,INT((Config!$B$8-L1468)/30)+1)),IF(N(G1468)&gt;=MAX(1,N(E1468)),"Conferido","Conferido até aqui"),"A conferir")))</f>
        <v/>
      </c>
      <c r="S1468" s="51">
        <f>IF(R1468="A conferir",(Config!$B$8-L1468)*1000+N(F1468)/1000+ROW()/100000,0)</f>
        <v>0</v>
      </c>
      <c r="T1468" s="51">
        <f>IF(R1468="A conferir",N(N1468),0)</f>
        <v>0</v>
      </c>
      <c r="U1468" s="51">
        <f>IF(L1468="",0,L1468)</f>
        <v>0</v>
      </c>
      <c r="V1468" s="51">
        <f>IF(L1468="",0,MAX(1,N(E1468)))</f>
        <v>0</v>
      </c>
      <c r="W1468" s="51">
        <f>IF(K1468="",0,K1468)</f>
        <v>0</v>
      </c>
    </row>
    <row r="1469">
      <c r="A1469" s="49" t="n"/>
      <c r="B1469" s="41" t="n"/>
      <c r="C1469" s="41" t="n"/>
      <c r="D1469" s="42" t="n"/>
      <c r="E1469" s="42" t="n"/>
      <c r="F1469" s="50" t="n"/>
      <c r="G1469" s="42" t="n"/>
      <c r="H1469" s="30">
        <f>IF(D1469="","",IFERROR(INDEX(Config!$B$12:$B$15,MATCH(IF(AND(D1469="Cartão de crédito",N(E1469)&gt;1),"Cartão de crédito parcelado",D1469),Config!$A$12:$A$15,0)),0)+IF(AND(Config!$B$17="Sim",LEFT(D1469,17)="Cartão de crédito"),Config!$B$18*IFERROR(INDEX(Config!$C$12:$C$15,MATCH(IF(AND(D1469="Cartão de crédito",N(E1469)&gt;1),"Cartão de crédito parcelado",D1469),Config!$A$12:$A$15,0)),0)/30*MAX(1,N(E1469)),0))</f>
        <v/>
      </c>
      <c r="I1469" s="29">
        <f>IF(OR(D1469="",F1469=""),"",ROUND(F1469*H1469,2))</f>
        <v/>
      </c>
      <c r="J1469" s="29">
        <f>IF(I1469="","",F1469-I1469)</f>
        <v/>
      </c>
      <c r="K1469" s="29">
        <f>IF(J1469="","",J1469/MAX(1,N(E1469)))</f>
        <v/>
      </c>
      <c r="L1469" s="37">
        <f>IF(OR(D1469="",A1469=""),"",A1469+IF(AND(Config!$B$17="Sim",LEFT(D1469,17)="Cartão de crédito"),1,IFERROR(INDEX(Config!$C$12:$C$15,MATCH(IF(AND(D1469="Cartão de crédito",N(E1469)&gt;1),"Cartão de crédito parcelado",D1469),Config!$A$12:$A$15,0)),0)))</f>
        <v/>
      </c>
      <c r="M1469" s="37">
        <f>IF(L1469="","",IF(AND(Config!$B$17="Sim",LEFT(D1469,17)="Cartão de crédito"),L1469,L1469+30*(MAX(1,N(E1469))-1)))</f>
        <v/>
      </c>
      <c r="N1469" s="29">
        <f>IF(OR(L1469="",K1469=""),"",K1469*MIN(MAX(1,N(E1469)),MAX(0,INT((Config!$B$8-L1469)/30)+1)))</f>
        <v/>
      </c>
      <c r="O1469" s="29">
        <f>IF(J1469="","",J1469-N(N1469))</f>
        <v/>
      </c>
      <c r="P1469" s="27">
        <f>IF(A1469="","",MONTH(A1469))</f>
        <v/>
      </c>
      <c r="Q1469" s="27">
        <f>IF(A1469="","",YEAR(A1469))</f>
        <v/>
      </c>
      <c r="R1469" s="27">
        <f>IF(L1469="","",IF(L1469&gt;Config!$B$8,"A cair",IF(N(G1469)&gt;=MIN(MAX(1,N(E1469)),MAX(0,INT((Config!$B$8-L1469)/30)+1)),IF(N(G1469)&gt;=MAX(1,N(E1469)),"Conferido","Conferido até aqui"),"A conferir")))</f>
        <v/>
      </c>
      <c r="S1469" s="51">
        <f>IF(R1469="A conferir",(Config!$B$8-L1469)*1000+N(F1469)/1000+ROW()/100000,0)</f>
        <v>0</v>
      </c>
      <c r="T1469" s="51">
        <f>IF(R1469="A conferir",N(N1469),0)</f>
        <v>0</v>
      </c>
      <c r="U1469" s="51">
        <f>IF(L1469="",0,L1469)</f>
        <v>0</v>
      </c>
      <c r="V1469" s="51">
        <f>IF(L1469="",0,MAX(1,N(E1469)))</f>
        <v>0</v>
      </c>
      <c r="W1469" s="51">
        <f>IF(K1469="",0,K1469)</f>
        <v>0</v>
      </c>
    </row>
    <row r="1470">
      <c r="A1470" s="49" t="n"/>
      <c r="B1470" s="41" t="n"/>
      <c r="C1470" s="41" t="n"/>
      <c r="D1470" s="42" t="n"/>
      <c r="E1470" s="42" t="n"/>
      <c r="F1470" s="50" t="n"/>
      <c r="G1470" s="42" t="n"/>
      <c r="H1470" s="30">
        <f>IF(D1470="","",IFERROR(INDEX(Config!$B$12:$B$15,MATCH(IF(AND(D1470="Cartão de crédito",N(E1470)&gt;1),"Cartão de crédito parcelado",D1470),Config!$A$12:$A$15,0)),0)+IF(AND(Config!$B$17="Sim",LEFT(D1470,17)="Cartão de crédito"),Config!$B$18*IFERROR(INDEX(Config!$C$12:$C$15,MATCH(IF(AND(D1470="Cartão de crédito",N(E1470)&gt;1),"Cartão de crédito parcelado",D1470),Config!$A$12:$A$15,0)),0)/30*MAX(1,N(E1470)),0))</f>
        <v/>
      </c>
      <c r="I1470" s="29">
        <f>IF(OR(D1470="",F1470=""),"",ROUND(F1470*H1470,2))</f>
        <v/>
      </c>
      <c r="J1470" s="29">
        <f>IF(I1470="","",F1470-I1470)</f>
        <v/>
      </c>
      <c r="K1470" s="29">
        <f>IF(J1470="","",J1470/MAX(1,N(E1470)))</f>
        <v/>
      </c>
      <c r="L1470" s="37">
        <f>IF(OR(D1470="",A1470=""),"",A1470+IF(AND(Config!$B$17="Sim",LEFT(D1470,17)="Cartão de crédito"),1,IFERROR(INDEX(Config!$C$12:$C$15,MATCH(IF(AND(D1470="Cartão de crédito",N(E1470)&gt;1),"Cartão de crédito parcelado",D1470),Config!$A$12:$A$15,0)),0)))</f>
        <v/>
      </c>
      <c r="M1470" s="37">
        <f>IF(L1470="","",IF(AND(Config!$B$17="Sim",LEFT(D1470,17)="Cartão de crédito"),L1470,L1470+30*(MAX(1,N(E1470))-1)))</f>
        <v/>
      </c>
      <c r="N1470" s="29">
        <f>IF(OR(L1470="",K1470=""),"",K1470*MIN(MAX(1,N(E1470)),MAX(0,INT((Config!$B$8-L1470)/30)+1)))</f>
        <v/>
      </c>
      <c r="O1470" s="29">
        <f>IF(J1470="","",J1470-N(N1470))</f>
        <v/>
      </c>
      <c r="P1470" s="27">
        <f>IF(A1470="","",MONTH(A1470))</f>
        <v/>
      </c>
      <c r="Q1470" s="27">
        <f>IF(A1470="","",YEAR(A1470))</f>
        <v/>
      </c>
      <c r="R1470" s="27">
        <f>IF(L1470="","",IF(L1470&gt;Config!$B$8,"A cair",IF(N(G1470)&gt;=MIN(MAX(1,N(E1470)),MAX(0,INT((Config!$B$8-L1470)/30)+1)),IF(N(G1470)&gt;=MAX(1,N(E1470)),"Conferido","Conferido até aqui"),"A conferir")))</f>
        <v/>
      </c>
      <c r="S1470" s="51">
        <f>IF(R1470="A conferir",(Config!$B$8-L1470)*1000+N(F1470)/1000+ROW()/100000,0)</f>
        <v>0</v>
      </c>
      <c r="T1470" s="51">
        <f>IF(R1470="A conferir",N(N1470),0)</f>
        <v>0</v>
      </c>
      <c r="U1470" s="51">
        <f>IF(L1470="",0,L1470)</f>
        <v>0</v>
      </c>
      <c r="V1470" s="51">
        <f>IF(L1470="",0,MAX(1,N(E1470)))</f>
        <v>0</v>
      </c>
      <c r="W1470" s="51">
        <f>IF(K1470="",0,K1470)</f>
        <v>0</v>
      </c>
    </row>
    <row r="1471">
      <c r="A1471" s="49" t="n"/>
      <c r="B1471" s="41" t="n"/>
      <c r="C1471" s="41" t="n"/>
      <c r="D1471" s="42" t="n"/>
      <c r="E1471" s="42" t="n"/>
      <c r="F1471" s="50" t="n"/>
      <c r="G1471" s="42" t="n"/>
      <c r="H1471" s="30">
        <f>IF(D1471="","",IFERROR(INDEX(Config!$B$12:$B$15,MATCH(IF(AND(D1471="Cartão de crédito",N(E1471)&gt;1),"Cartão de crédito parcelado",D1471),Config!$A$12:$A$15,0)),0)+IF(AND(Config!$B$17="Sim",LEFT(D1471,17)="Cartão de crédito"),Config!$B$18*IFERROR(INDEX(Config!$C$12:$C$15,MATCH(IF(AND(D1471="Cartão de crédito",N(E1471)&gt;1),"Cartão de crédito parcelado",D1471),Config!$A$12:$A$15,0)),0)/30*MAX(1,N(E1471)),0))</f>
        <v/>
      </c>
      <c r="I1471" s="29">
        <f>IF(OR(D1471="",F1471=""),"",ROUND(F1471*H1471,2))</f>
        <v/>
      </c>
      <c r="J1471" s="29">
        <f>IF(I1471="","",F1471-I1471)</f>
        <v/>
      </c>
      <c r="K1471" s="29">
        <f>IF(J1471="","",J1471/MAX(1,N(E1471)))</f>
        <v/>
      </c>
      <c r="L1471" s="37">
        <f>IF(OR(D1471="",A1471=""),"",A1471+IF(AND(Config!$B$17="Sim",LEFT(D1471,17)="Cartão de crédito"),1,IFERROR(INDEX(Config!$C$12:$C$15,MATCH(IF(AND(D1471="Cartão de crédito",N(E1471)&gt;1),"Cartão de crédito parcelado",D1471),Config!$A$12:$A$15,0)),0)))</f>
        <v/>
      </c>
      <c r="M1471" s="37">
        <f>IF(L1471="","",IF(AND(Config!$B$17="Sim",LEFT(D1471,17)="Cartão de crédito"),L1471,L1471+30*(MAX(1,N(E1471))-1)))</f>
        <v/>
      </c>
      <c r="N1471" s="29">
        <f>IF(OR(L1471="",K1471=""),"",K1471*MIN(MAX(1,N(E1471)),MAX(0,INT((Config!$B$8-L1471)/30)+1)))</f>
        <v/>
      </c>
      <c r="O1471" s="29">
        <f>IF(J1471="","",J1471-N(N1471))</f>
        <v/>
      </c>
      <c r="P1471" s="27">
        <f>IF(A1471="","",MONTH(A1471))</f>
        <v/>
      </c>
      <c r="Q1471" s="27">
        <f>IF(A1471="","",YEAR(A1471))</f>
        <v/>
      </c>
      <c r="R1471" s="27">
        <f>IF(L1471="","",IF(L1471&gt;Config!$B$8,"A cair",IF(N(G1471)&gt;=MIN(MAX(1,N(E1471)),MAX(0,INT((Config!$B$8-L1471)/30)+1)),IF(N(G1471)&gt;=MAX(1,N(E1471)),"Conferido","Conferido até aqui"),"A conferir")))</f>
        <v/>
      </c>
      <c r="S1471" s="51">
        <f>IF(R1471="A conferir",(Config!$B$8-L1471)*1000+N(F1471)/1000+ROW()/100000,0)</f>
        <v>0</v>
      </c>
      <c r="T1471" s="51">
        <f>IF(R1471="A conferir",N(N1471),0)</f>
        <v>0</v>
      </c>
      <c r="U1471" s="51">
        <f>IF(L1471="",0,L1471)</f>
        <v>0</v>
      </c>
      <c r="V1471" s="51">
        <f>IF(L1471="",0,MAX(1,N(E1471)))</f>
        <v>0</v>
      </c>
      <c r="W1471" s="51">
        <f>IF(K1471="",0,K1471)</f>
        <v>0</v>
      </c>
    </row>
    <row r="1472">
      <c r="A1472" s="49" t="n"/>
      <c r="B1472" s="41" t="n"/>
      <c r="C1472" s="41" t="n"/>
      <c r="D1472" s="42" t="n"/>
      <c r="E1472" s="42" t="n"/>
      <c r="F1472" s="50" t="n"/>
      <c r="G1472" s="42" t="n"/>
      <c r="H1472" s="30">
        <f>IF(D1472="","",IFERROR(INDEX(Config!$B$12:$B$15,MATCH(IF(AND(D1472="Cartão de crédito",N(E1472)&gt;1),"Cartão de crédito parcelado",D1472),Config!$A$12:$A$15,0)),0)+IF(AND(Config!$B$17="Sim",LEFT(D1472,17)="Cartão de crédito"),Config!$B$18*IFERROR(INDEX(Config!$C$12:$C$15,MATCH(IF(AND(D1472="Cartão de crédito",N(E1472)&gt;1),"Cartão de crédito parcelado",D1472),Config!$A$12:$A$15,0)),0)/30*MAX(1,N(E1472)),0))</f>
        <v/>
      </c>
      <c r="I1472" s="29">
        <f>IF(OR(D1472="",F1472=""),"",ROUND(F1472*H1472,2))</f>
        <v/>
      </c>
      <c r="J1472" s="29">
        <f>IF(I1472="","",F1472-I1472)</f>
        <v/>
      </c>
      <c r="K1472" s="29">
        <f>IF(J1472="","",J1472/MAX(1,N(E1472)))</f>
        <v/>
      </c>
      <c r="L1472" s="37">
        <f>IF(OR(D1472="",A1472=""),"",A1472+IF(AND(Config!$B$17="Sim",LEFT(D1472,17)="Cartão de crédito"),1,IFERROR(INDEX(Config!$C$12:$C$15,MATCH(IF(AND(D1472="Cartão de crédito",N(E1472)&gt;1),"Cartão de crédito parcelado",D1472),Config!$A$12:$A$15,0)),0)))</f>
        <v/>
      </c>
      <c r="M1472" s="37">
        <f>IF(L1472="","",IF(AND(Config!$B$17="Sim",LEFT(D1472,17)="Cartão de crédito"),L1472,L1472+30*(MAX(1,N(E1472))-1)))</f>
        <v/>
      </c>
      <c r="N1472" s="29">
        <f>IF(OR(L1472="",K1472=""),"",K1472*MIN(MAX(1,N(E1472)),MAX(0,INT((Config!$B$8-L1472)/30)+1)))</f>
        <v/>
      </c>
      <c r="O1472" s="29">
        <f>IF(J1472="","",J1472-N(N1472))</f>
        <v/>
      </c>
      <c r="P1472" s="27">
        <f>IF(A1472="","",MONTH(A1472))</f>
        <v/>
      </c>
      <c r="Q1472" s="27">
        <f>IF(A1472="","",YEAR(A1472))</f>
        <v/>
      </c>
      <c r="R1472" s="27">
        <f>IF(L1472="","",IF(L1472&gt;Config!$B$8,"A cair",IF(N(G1472)&gt;=MIN(MAX(1,N(E1472)),MAX(0,INT((Config!$B$8-L1472)/30)+1)),IF(N(G1472)&gt;=MAX(1,N(E1472)),"Conferido","Conferido até aqui"),"A conferir")))</f>
        <v/>
      </c>
      <c r="S1472" s="51">
        <f>IF(R1472="A conferir",(Config!$B$8-L1472)*1000+N(F1472)/1000+ROW()/100000,0)</f>
        <v>0</v>
      </c>
      <c r="T1472" s="51">
        <f>IF(R1472="A conferir",N(N1472),0)</f>
        <v>0</v>
      </c>
      <c r="U1472" s="51">
        <f>IF(L1472="",0,L1472)</f>
        <v>0</v>
      </c>
      <c r="V1472" s="51">
        <f>IF(L1472="",0,MAX(1,N(E1472)))</f>
        <v>0</v>
      </c>
      <c r="W1472" s="51">
        <f>IF(K1472="",0,K1472)</f>
        <v>0</v>
      </c>
    </row>
    <row r="1473">
      <c r="A1473" s="49" t="n"/>
      <c r="B1473" s="41" t="n"/>
      <c r="C1473" s="41" t="n"/>
      <c r="D1473" s="42" t="n"/>
      <c r="E1473" s="42" t="n"/>
      <c r="F1473" s="50" t="n"/>
      <c r="G1473" s="42" t="n"/>
      <c r="H1473" s="30">
        <f>IF(D1473="","",IFERROR(INDEX(Config!$B$12:$B$15,MATCH(IF(AND(D1473="Cartão de crédito",N(E1473)&gt;1),"Cartão de crédito parcelado",D1473),Config!$A$12:$A$15,0)),0)+IF(AND(Config!$B$17="Sim",LEFT(D1473,17)="Cartão de crédito"),Config!$B$18*IFERROR(INDEX(Config!$C$12:$C$15,MATCH(IF(AND(D1473="Cartão de crédito",N(E1473)&gt;1),"Cartão de crédito parcelado",D1473),Config!$A$12:$A$15,0)),0)/30*MAX(1,N(E1473)),0))</f>
        <v/>
      </c>
      <c r="I1473" s="29">
        <f>IF(OR(D1473="",F1473=""),"",ROUND(F1473*H1473,2))</f>
        <v/>
      </c>
      <c r="J1473" s="29">
        <f>IF(I1473="","",F1473-I1473)</f>
        <v/>
      </c>
      <c r="K1473" s="29">
        <f>IF(J1473="","",J1473/MAX(1,N(E1473)))</f>
        <v/>
      </c>
      <c r="L1473" s="37">
        <f>IF(OR(D1473="",A1473=""),"",A1473+IF(AND(Config!$B$17="Sim",LEFT(D1473,17)="Cartão de crédito"),1,IFERROR(INDEX(Config!$C$12:$C$15,MATCH(IF(AND(D1473="Cartão de crédito",N(E1473)&gt;1),"Cartão de crédito parcelado",D1473),Config!$A$12:$A$15,0)),0)))</f>
        <v/>
      </c>
      <c r="M1473" s="37">
        <f>IF(L1473="","",IF(AND(Config!$B$17="Sim",LEFT(D1473,17)="Cartão de crédito"),L1473,L1473+30*(MAX(1,N(E1473))-1)))</f>
        <v/>
      </c>
      <c r="N1473" s="29">
        <f>IF(OR(L1473="",K1473=""),"",K1473*MIN(MAX(1,N(E1473)),MAX(0,INT((Config!$B$8-L1473)/30)+1)))</f>
        <v/>
      </c>
      <c r="O1473" s="29">
        <f>IF(J1473="","",J1473-N(N1473))</f>
        <v/>
      </c>
      <c r="P1473" s="27">
        <f>IF(A1473="","",MONTH(A1473))</f>
        <v/>
      </c>
      <c r="Q1473" s="27">
        <f>IF(A1473="","",YEAR(A1473))</f>
        <v/>
      </c>
      <c r="R1473" s="27">
        <f>IF(L1473="","",IF(L1473&gt;Config!$B$8,"A cair",IF(N(G1473)&gt;=MIN(MAX(1,N(E1473)),MAX(0,INT((Config!$B$8-L1473)/30)+1)),IF(N(G1473)&gt;=MAX(1,N(E1473)),"Conferido","Conferido até aqui"),"A conferir")))</f>
        <v/>
      </c>
      <c r="S1473" s="51">
        <f>IF(R1473="A conferir",(Config!$B$8-L1473)*1000+N(F1473)/1000+ROW()/100000,0)</f>
        <v>0</v>
      </c>
      <c r="T1473" s="51">
        <f>IF(R1473="A conferir",N(N1473),0)</f>
        <v>0</v>
      </c>
      <c r="U1473" s="51">
        <f>IF(L1473="",0,L1473)</f>
        <v>0</v>
      </c>
      <c r="V1473" s="51">
        <f>IF(L1473="",0,MAX(1,N(E1473)))</f>
        <v>0</v>
      </c>
      <c r="W1473" s="51">
        <f>IF(K1473="",0,K1473)</f>
        <v>0</v>
      </c>
    </row>
    <row r="1474">
      <c r="A1474" s="49" t="n"/>
      <c r="B1474" s="41" t="n"/>
      <c r="C1474" s="41" t="n"/>
      <c r="D1474" s="42" t="n"/>
      <c r="E1474" s="42" t="n"/>
      <c r="F1474" s="50" t="n"/>
      <c r="G1474" s="42" t="n"/>
      <c r="H1474" s="30">
        <f>IF(D1474="","",IFERROR(INDEX(Config!$B$12:$B$15,MATCH(IF(AND(D1474="Cartão de crédito",N(E1474)&gt;1),"Cartão de crédito parcelado",D1474),Config!$A$12:$A$15,0)),0)+IF(AND(Config!$B$17="Sim",LEFT(D1474,17)="Cartão de crédito"),Config!$B$18*IFERROR(INDEX(Config!$C$12:$C$15,MATCH(IF(AND(D1474="Cartão de crédito",N(E1474)&gt;1),"Cartão de crédito parcelado",D1474),Config!$A$12:$A$15,0)),0)/30*MAX(1,N(E1474)),0))</f>
        <v/>
      </c>
      <c r="I1474" s="29">
        <f>IF(OR(D1474="",F1474=""),"",ROUND(F1474*H1474,2))</f>
        <v/>
      </c>
      <c r="J1474" s="29">
        <f>IF(I1474="","",F1474-I1474)</f>
        <v/>
      </c>
      <c r="K1474" s="29">
        <f>IF(J1474="","",J1474/MAX(1,N(E1474)))</f>
        <v/>
      </c>
      <c r="L1474" s="37">
        <f>IF(OR(D1474="",A1474=""),"",A1474+IF(AND(Config!$B$17="Sim",LEFT(D1474,17)="Cartão de crédito"),1,IFERROR(INDEX(Config!$C$12:$C$15,MATCH(IF(AND(D1474="Cartão de crédito",N(E1474)&gt;1),"Cartão de crédito parcelado",D1474),Config!$A$12:$A$15,0)),0)))</f>
        <v/>
      </c>
      <c r="M1474" s="37">
        <f>IF(L1474="","",IF(AND(Config!$B$17="Sim",LEFT(D1474,17)="Cartão de crédito"),L1474,L1474+30*(MAX(1,N(E1474))-1)))</f>
        <v/>
      </c>
      <c r="N1474" s="29">
        <f>IF(OR(L1474="",K1474=""),"",K1474*MIN(MAX(1,N(E1474)),MAX(0,INT((Config!$B$8-L1474)/30)+1)))</f>
        <v/>
      </c>
      <c r="O1474" s="29">
        <f>IF(J1474="","",J1474-N(N1474))</f>
        <v/>
      </c>
      <c r="P1474" s="27">
        <f>IF(A1474="","",MONTH(A1474))</f>
        <v/>
      </c>
      <c r="Q1474" s="27">
        <f>IF(A1474="","",YEAR(A1474))</f>
        <v/>
      </c>
      <c r="R1474" s="27">
        <f>IF(L1474="","",IF(L1474&gt;Config!$B$8,"A cair",IF(N(G1474)&gt;=MIN(MAX(1,N(E1474)),MAX(0,INT((Config!$B$8-L1474)/30)+1)),IF(N(G1474)&gt;=MAX(1,N(E1474)),"Conferido","Conferido até aqui"),"A conferir")))</f>
        <v/>
      </c>
      <c r="S1474" s="51">
        <f>IF(R1474="A conferir",(Config!$B$8-L1474)*1000+N(F1474)/1000+ROW()/100000,0)</f>
        <v>0</v>
      </c>
      <c r="T1474" s="51">
        <f>IF(R1474="A conferir",N(N1474),0)</f>
        <v>0</v>
      </c>
      <c r="U1474" s="51">
        <f>IF(L1474="",0,L1474)</f>
        <v>0</v>
      </c>
      <c r="V1474" s="51">
        <f>IF(L1474="",0,MAX(1,N(E1474)))</f>
        <v>0</v>
      </c>
      <c r="W1474" s="51">
        <f>IF(K1474="",0,K1474)</f>
        <v>0</v>
      </c>
    </row>
    <row r="1475">
      <c r="A1475" s="49" t="n"/>
      <c r="B1475" s="41" t="n"/>
      <c r="C1475" s="41" t="n"/>
      <c r="D1475" s="42" t="n"/>
      <c r="E1475" s="42" t="n"/>
      <c r="F1475" s="50" t="n"/>
      <c r="G1475" s="42" t="n"/>
      <c r="H1475" s="30">
        <f>IF(D1475="","",IFERROR(INDEX(Config!$B$12:$B$15,MATCH(IF(AND(D1475="Cartão de crédito",N(E1475)&gt;1),"Cartão de crédito parcelado",D1475),Config!$A$12:$A$15,0)),0)+IF(AND(Config!$B$17="Sim",LEFT(D1475,17)="Cartão de crédito"),Config!$B$18*IFERROR(INDEX(Config!$C$12:$C$15,MATCH(IF(AND(D1475="Cartão de crédito",N(E1475)&gt;1),"Cartão de crédito parcelado",D1475),Config!$A$12:$A$15,0)),0)/30*MAX(1,N(E1475)),0))</f>
        <v/>
      </c>
      <c r="I1475" s="29">
        <f>IF(OR(D1475="",F1475=""),"",ROUND(F1475*H1475,2))</f>
        <v/>
      </c>
      <c r="J1475" s="29">
        <f>IF(I1475="","",F1475-I1475)</f>
        <v/>
      </c>
      <c r="K1475" s="29">
        <f>IF(J1475="","",J1475/MAX(1,N(E1475)))</f>
        <v/>
      </c>
      <c r="L1475" s="37">
        <f>IF(OR(D1475="",A1475=""),"",A1475+IF(AND(Config!$B$17="Sim",LEFT(D1475,17)="Cartão de crédito"),1,IFERROR(INDEX(Config!$C$12:$C$15,MATCH(IF(AND(D1475="Cartão de crédito",N(E1475)&gt;1),"Cartão de crédito parcelado",D1475),Config!$A$12:$A$15,0)),0)))</f>
        <v/>
      </c>
      <c r="M1475" s="37">
        <f>IF(L1475="","",IF(AND(Config!$B$17="Sim",LEFT(D1475,17)="Cartão de crédito"),L1475,L1475+30*(MAX(1,N(E1475))-1)))</f>
        <v/>
      </c>
      <c r="N1475" s="29">
        <f>IF(OR(L1475="",K1475=""),"",K1475*MIN(MAX(1,N(E1475)),MAX(0,INT((Config!$B$8-L1475)/30)+1)))</f>
        <v/>
      </c>
      <c r="O1475" s="29">
        <f>IF(J1475="","",J1475-N(N1475))</f>
        <v/>
      </c>
      <c r="P1475" s="27">
        <f>IF(A1475="","",MONTH(A1475))</f>
        <v/>
      </c>
      <c r="Q1475" s="27">
        <f>IF(A1475="","",YEAR(A1475))</f>
        <v/>
      </c>
      <c r="R1475" s="27">
        <f>IF(L1475="","",IF(L1475&gt;Config!$B$8,"A cair",IF(N(G1475)&gt;=MIN(MAX(1,N(E1475)),MAX(0,INT((Config!$B$8-L1475)/30)+1)),IF(N(G1475)&gt;=MAX(1,N(E1475)),"Conferido","Conferido até aqui"),"A conferir")))</f>
        <v/>
      </c>
      <c r="S1475" s="51">
        <f>IF(R1475="A conferir",(Config!$B$8-L1475)*1000+N(F1475)/1000+ROW()/100000,0)</f>
        <v>0</v>
      </c>
      <c r="T1475" s="51">
        <f>IF(R1475="A conferir",N(N1475),0)</f>
        <v>0</v>
      </c>
      <c r="U1475" s="51">
        <f>IF(L1475="",0,L1475)</f>
        <v>0</v>
      </c>
      <c r="V1475" s="51">
        <f>IF(L1475="",0,MAX(1,N(E1475)))</f>
        <v>0</v>
      </c>
      <c r="W1475" s="51">
        <f>IF(K1475="",0,K1475)</f>
        <v>0</v>
      </c>
    </row>
    <row r="1476">
      <c r="A1476" s="49" t="n"/>
      <c r="B1476" s="41" t="n"/>
      <c r="C1476" s="41" t="n"/>
      <c r="D1476" s="42" t="n"/>
      <c r="E1476" s="42" t="n"/>
      <c r="F1476" s="50" t="n"/>
      <c r="G1476" s="42" t="n"/>
      <c r="H1476" s="30">
        <f>IF(D1476="","",IFERROR(INDEX(Config!$B$12:$B$15,MATCH(IF(AND(D1476="Cartão de crédito",N(E1476)&gt;1),"Cartão de crédito parcelado",D1476),Config!$A$12:$A$15,0)),0)+IF(AND(Config!$B$17="Sim",LEFT(D1476,17)="Cartão de crédito"),Config!$B$18*IFERROR(INDEX(Config!$C$12:$C$15,MATCH(IF(AND(D1476="Cartão de crédito",N(E1476)&gt;1),"Cartão de crédito parcelado",D1476),Config!$A$12:$A$15,0)),0)/30*MAX(1,N(E1476)),0))</f>
        <v/>
      </c>
      <c r="I1476" s="29">
        <f>IF(OR(D1476="",F1476=""),"",ROUND(F1476*H1476,2))</f>
        <v/>
      </c>
      <c r="J1476" s="29">
        <f>IF(I1476="","",F1476-I1476)</f>
        <v/>
      </c>
      <c r="K1476" s="29">
        <f>IF(J1476="","",J1476/MAX(1,N(E1476)))</f>
        <v/>
      </c>
      <c r="L1476" s="37">
        <f>IF(OR(D1476="",A1476=""),"",A1476+IF(AND(Config!$B$17="Sim",LEFT(D1476,17)="Cartão de crédito"),1,IFERROR(INDEX(Config!$C$12:$C$15,MATCH(IF(AND(D1476="Cartão de crédito",N(E1476)&gt;1),"Cartão de crédito parcelado",D1476),Config!$A$12:$A$15,0)),0)))</f>
        <v/>
      </c>
      <c r="M1476" s="37">
        <f>IF(L1476="","",IF(AND(Config!$B$17="Sim",LEFT(D1476,17)="Cartão de crédito"),L1476,L1476+30*(MAX(1,N(E1476))-1)))</f>
        <v/>
      </c>
      <c r="N1476" s="29">
        <f>IF(OR(L1476="",K1476=""),"",K1476*MIN(MAX(1,N(E1476)),MAX(0,INT((Config!$B$8-L1476)/30)+1)))</f>
        <v/>
      </c>
      <c r="O1476" s="29">
        <f>IF(J1476="","",J1476-N(N1476))</f>
        <v/>
      </c>
      <c r="P1476" s="27">
        <f>IF(A1476="","",MONTH(A1476))</f>
        <v/>
      </c>
      <c r="Q1476" s="27">
        <f>IF(A1476="","",YEAR(A1476))</f>
        <v/>
      </c>
      <c r="R1476" s="27">
        <f>IF(L1476="","",IF(L1476&gt;Config!$B$8,"A cair",IF(N(G1476)&gt;=MIN(MAX(1,N(E1476)),MAX(0,INT((Config!$B$8-L1476)/30)+1)),IF(N(G1476)&gt;=MAX(1,N(E1476)),"Conferido","Conferido até aqui"),"A conferir")))</f>
        <v/>
      </c>
      <c r="S1476" s="51">
        <f>IF(R1476="A conferir",(Config!$B$8-L1476)*1000+N(F1476)/1000+ROW()/100000,0)</f>
        <v>0</v>
      </c>
      <c r="T1476" s="51">
        <f>IF(R1476="A conferir",N(N1476),0)</f>
        <v>0</v>
      </c>
      <c r="U1476" s="51">
        <f>IF(L1476="",0,L1476)</f>
        <v>0</v>
      </c>
      <c r="V1476" s="51">
        <f>IF(L1476="",0,MAX(1,N(E1476)))</f>
        <v>0</v>
      </c>
      <c r="W1476" s="51">
        <f>IF(K1476="",0,K1476)</f>
        <v>0</v>
      </c>
    </row>
    <row r="1477">
      <c r="A1477" s="49" t="n"/>
      <c r="B1477" s="41" t="n"/>
      <c r="C1477" s="41" t="n"/>
      <c r="D1477" s="42" t="n"/>
      <c r="E1477" s="42" t="n"/>
      <c r="F1477" s="50" t="n"/>
      <c r="G1477" s="42" t="n"/>
      <c r="H1477" s="30">
        <f>IF(D1477="","",IFERROR(INDEX(Config!$B$12:$B$15,MATCH(IF(AND(D1477="Cartão de crédito",N(E1477)&gt;1),"Cartão de crédito parcelado",D1477),Config!$A$12:$A$15,0)),0)+IF(AND(Config!$B$17="Sim",LEFT(D1477,17)="Cartão de crédito"),Config!$B$18*IFERROR(INDEX(Config!$C$12:$C$15,MATCH(IF(AND(D1477="Cartão de crédito",N(E1477)&gt;1),"Cartão de crédito parcelado",D1477),Config!$A$12:$A$15,0)),0)/30*MAX(1,N(E1477)),0))</f>
        <v/>
      </c>
      <c r="I1477" s="29">
        <f>IF(OR(D1477="",F1477=""),"",ROUND(F1477*H1477,2))</f>
        <v/>
      </c>
      <c r="J1477" s="29">
        <f>IF(I1477="","",F1477-I1477)</f>
        <v/>
      </c>
      <c r="K1477" s="29">
        <f>IF(J1477="","",J1477/MAX(1,N(E1477)))</f>
        <v/>
      </c>
      <c r="L1477" s="37">
        <f>IF(OR(D1477="",A1477=""),"",A1477+IF(AND(Config!$B$17="Sim",LEFT(D1477,17)="Cartão de crédito"),1,IFERROR(INDEX(Config!$C$12:$C$15,MATCH(IF(AND(D1477="Cartão de crédito",N(E1477)&gt;1),"Cartão de crédito parcelado",D1477),Config!$A$12:$A$15,0)),0)))</f>
        <v/>
      </c>
      <c r="M1477" s="37">
        <f>IF(L1477="","",IF(AND(Config!$B$17="Sim",LEFT(D1477,17)="Cartão de crédito"),L1477,L1477+30*(MAX(1,N(E1477))-1)))</f>
        <v/>
      </c>
      <c r="N1477" s="29">
        <f>IF(OR(L1477="",K1477=""),"",K1477*MIN(MAX(1,N(E1477)),MAX(0,INT((Config!$B$8-L1477)/30)+1)))</f>
        <v/>
      </c>
      <c r="O1477" s="29">
        <f>IF(J1477="","",J1477-N(N1477))</f>
        <v/>
      </c>
      <c r="P1477" s="27">
        <f>IF(A1477="","",MONTH(A1477))</f>
        <v/>
      </c>
      <c r="Q1477" s="27">
        <f>IF(A1477="","",YEAR(A1477))</f>
        <v/>
      </c>
      <c r="R1477" s="27">
        <f>IF(L1477="","",IF(L1477&gt;Config!$B$8,"A cair",IF(N(G1477)&gt;=MIN(MAX(1,N(E1477)),MAX(0,INT((Config!$B$8-L1477)/30)+1)),IF(N(G1477)&gt;=MAX(1,N(E1477)),"Conferido","Conferido até aqui"),"A conferir")))</f>
        <v/>
      </c>
      <c r="S1477" s="51">
        <f>IF(R1477="A conferir",(Config!$B$8-L1477)*1000+N(F1477)/1000+ROW()/100000,0)</f>
        <v>0</v>
      </c>
      <c r="T1477" s="51">
        <f>IF(R1477="A conferir",N(N1477),0)</f>
        <v>0</v>
      </c>
      <c r="U1477" s="51">
        <f>IF(L1477="",0,L1477)</f>
        <v>0</v>
      </c>
      <c r="V1477" s="51">
        <f>IF(L1477="",0,MAX(1,N(E1477)))</f>
        <v>0</v>
      </c>
      <c r="W1477" s="51">
        <f>IF(K1477="",0,K1477)</f>
        <v>0</v>
      </c>
    </row>
    <row r="1478">
      <c r="A1478" s="49" t="n"/>
      <c r="B1478" s="41" t="n"/>
      <c r="C1478" s="41" t="n"/>
      <c r="D1478" s="42" t="n"/>
      <c r="E1478" s="42" t="n"/>
      <c r="F1478" s="50" t="n"/>
      <c r="G1478" s="42" t="n"/>
      <c r="H1478" s="30">
        <f>IF(D1478="","",IFERROR(INDEX(Config!$B$12:$B$15,MATCH(IF(AND(D1478="Cartão de crédito",N(E1478)&gt;1),"Cartão de crédito parcelado",D1478),Config!$A$12:$A$15,0)),0)+IF(AND(Config!$B$17="Sim",LEFT(D1478,17)="Cartão de crédito"),Config!$B$18*IFERROR(INDEX(Config!$C$12:$C$15,MATCH(IF(AND(D1478="Cartão de crédito",N(E1478)&gt;1),"Cartão de crédito parcelado",D1478),Config!$A$12:$A$15,0)),0)/30*MAX(1,N(E1478)),0))</f>
        <v/>
      </c>
      <c r="I1478" s="29">
        <f>IF(OR(D1478="",F1478=""),"",ROUND(F1478*H1478,2))</f>
        <v/>
      </c>
      <c r="J1478" s="29">
        <f>IF(I1478="","",F1478-I1478)</f>
        <v/>
      </c>
      <c r="K1478" s="29">
        <f>IF(J1478="","",J1478/MAX(1,N(E1478)))</f>
        <v/>
      </c>
      <c r="L1478" s="37">
        <f>IF(OR(D1478="",A1478=""),"",A1478+IF(AND(Config!$B$17="Sim",LEFT(D1478,17)="Cartão de crédito"),1,IFERROR(INDEX(Config!$C$12:$C$15,MATCH(IF(AND(D1478="Cartão de crédito",N(E1478)&gt;1),"Cartão de crédito parcelado",D1478),Config!$A$12:$A$15,0)),0)))</f>
        <v/>
      </c>
      <c r="M1478" s="37">
        <f>IF(L1478="","",IF(AND(Config!$B$17="Sim",LEFT(D1478,17)="Cartão de crédito"),L1478,L1478+30*(MAX(1,N(E1478))-1)))</f>
        <v/>
      </c>
      <c r="N1478" s="29">
        <f>IF(OR(L1478="",K1478=""),"",K1478*MIN(MAX(1,N(E1478)),MAX(0,INT((Config!$B$8-L1478)/30)+1)))</f>
        <v/>
      </c>
      <c r="O1478" s="29">
        <f>IF(J1478="","",J1478-N(N1478))</f>
        <v/>
      </c>
      <c r="P1478" s="27">
        <f>IF(A1478="","",MONTH(A1478))</f>
        <v/>
      </c>
      <c r="Q1478" s="27">
        <f>IF(A1478="","",YEAR(A1478))</f>
        <v/>
      </c>
      <c r="R1478" s="27">
        <f>IF(L1478="","",IF(L1478&gt;Config!$B$8,"A cair",IF(N(G1478)&gt;=MIN(MAX(1,N(E1478)),MAX(0,INT((Config!$B$8-L1478)/30)+1)),IF(N(G1478)&gt;=MAX(1,N(E1478)),"Conferido","Conferido até aqui"),"A conferir")))</f>
        <v/>
      </c>
      <c r="S1478" s="51">
        <f>IF(R1478="A conferir",(Config!$B$8-L1478)*1000+N(F1478)/1000+ROW()/100000,0)</f>
        <v>0</v>
      </c>
      <c r="T1478" s="51">
        <f>IF(R1478="A conferir",N(N1478),0)</f>
        <v>0</v>
      </c>
      <c r="U1478" s="51">
        <f>IF(L1478="",0,L1478)</f>
        <v>0</v>
      </c>
      <c r="V1478" s="51">
        <f>IF(L1478="",0,MAX(1,N(E1478)))</f>
        <v>0</v>
      </c>
      <c r="W1478" s="51">
        <f>IF(K1478="",0,K1478)</f>
        <v>0</v>
      </c>
    </row>
    <row r="1479">
      <c r="A1479" s="49" t="n"/>
      <c r="B1479" s="41" t="n"/>
      <c r="C1479" s="41" t="n"/>
      <c r="D1479" s="42" t="n"/>
      <c r="E1479" s="42" t="n"/>
      <c r="F1479" s="50" t="n"/>
      <c r="G1479" s="42" t="n"/>
      <c r="H1479" s="30">
        <f>IF(D1479="","",IFERROR(INDEX(Config!$B$12:$B$15,MATCH(IF(AND(D1479="Cartão de crédito",N(E1479)&gt;1),"Cartão de crédito parcelado",D1479),Config!$A$12:$A$15,0)),0)+IF(AND(Config!$B$17="Sim",LEFT(D1479,17)="Cartão de crédito"),Config!$B$18*IFERROR(INDEX(Config!$C$12:$C$15,MATCH(IF(AND(D1479="Cartão de crédito",N(E1479)&gt;1),"Cartão de crédito parcelado",D1479),Config!$A$12:$A$15,0)),0)/30*MAX(1,N(E1479)),0))</f>
        <v/>
      </c>
      <c r="I1479" s="29">
        <f>IF(OR(D1479="",F1479=""),"",ROUND(F1479*H1479,2))</f>
        <v/>
      </c>
      <c r="J1479" s="29">
        <f>IF(I1479="","",F1479-I1479)</f>
        <v/>
      </c>
      <c r="K1479" s="29">
        <f>IF(J1479="","",J1479/MAX(1,N(E1479)))</f>
        <v/>
      </c>
      <c r="L1479" s="37">
        <f>IF(OR(D1479="",A1479=""),"",A1479+IF(AND(Config!$B$17="Sim",LEFT(D1479,17)="Cartão de crédito"),1,IFERROR(INDEX(Config!$C$12:$C$15,MATCH(IF(AND(D1479="Cartão de crédito",N(E1479)&gt;1),"Cartão de crédito parcelado",D1479),Config!$A$12:$A$15,0)),0)))</f>
        <v/>
      </c>
      <c r="M1479" s="37">
        <f>IF(L1479="","",IF(AND(Config!$B$17="Sim",LEFT(D1479,17)="Cartão de crédito"),L1479,L1479+30*(MAX(1,N(E1479))-1)))</f>
        <v/>
      </c>
      <c r="N1479" s="29">
        <f>IF(OR(L1479="",K1479=""),"",K1479*MIN(MAX(1,N(E1479)),MAX(0,INT((Config!$B$8-L1479)/30)+1)))</f>
        <v/>
      </c>
      <c r="O1479" s="29">
        <f>IF(J1479="","",J1479-N(N1479))</f>
        <v/>
      </c>
      <c r="P1479" s="27">
        <f>IF(A1479="","",MONTH(A1479))</f>
        <v/>
      </c>
      <c r="Q1479" s="27">
        <f>IF(A1479="","",YEAR(A1479))</f>
        <v/>
      </c>
      <c r="R1479" s="27">
        <f>IF(L1479="","",IF(L1479&gt;Config!$B$8,"A cair",IF(N(G1479)&gt;=MIN(MAX(1,N(E1479)),MAX(0,INT((Config!$B$8-L1479)/30)+1)),IF(N(G1479)&gt;=MAX(1,N(E1479)),"Conferido","Conferido até aqui"),"A conferir")))</f>
        <v/>
      </c>
      <c r="S1479" s="51">
        <f>IF(R1479="A conferir",(Config!$B$8-L1479)*1000+N(F1479)/1000+ROW()/100000,0)</f>
        <v>0</v>
      </c>
      <c r="T1479" s="51">
        <f>IF(R1479="A conferir",N(N1479),0)</f>
        <v>0</v>
      </c>
      <c r="U1479" s="51">
        <f>IF(L1479="",0,L1479)</f>
        <v>0</v>
      </c>
      <c r="V1479" s="51">
        <f>IF(L1479="",0,MAX(1,N(E1479)))</f>
        <v>0</v>
      </c>
      <c r="W1479" s="51">
        <f>IF(K1479="",0,K1479)</f>
        <v>0</v>
      </c>
    </row>
    <row r="1480">
      <c r="A1480" s="49" t="n"/>
      <c r="B1480" s="41" t="n"/>
      <c r="C1480" s="41" t="n"/>
      <c r="D1480" s="42" t="n"/>
      <c r="E1480" s="42" t="n"/>
      <c r="F1480" s="50" t="n"/>
      <c r="G1480" s="42" t="n"/>
      <c r="H1480" s="30">
        <f>IF(D1480="","",IFERROR(INDEX(Config!$B$12:$B$15,MATCH(IF(AND(D1480="Cartão de crédito",N(E1480)&gt;1),"Cartão de crédito parcelado",D1480),Config!$A$12:$A$15,0)),0)+IF(AND(Config!$B$17="Sim",LEFT(D1480,17)="Cartão de crédito"),Config!$B$18*IFERROR(INDEX(Config!$C$12:$C$15,MATCH(IF(AND(D1480="Cartão de crédito",N(E1480)&gt;1),"Cartão de crédito parcelado",D1480),Config!$A$12:$A$15,0)),0)/30*MAX(1,N(E1480)),0))</f>
        <v/>
      </c>
      <c r="I1480" s="29">
        <f>IF(OR(D1480="",F1480=""),"",ROUND(F1480*H1480,2))</f>
        <v/>
      </c>
      <c r="J1480" s="29">
        <f>IF(I1480="","",F1480-I1480)</f>
        <v/>
      </c>
      <c r="K1480" s="29">
        <f>IF(J1480="","",J1480/MAX(1,N(E1480)))</f>
        <v/>
      </c>
      <c r="L1480" s="37">
        <f>IF(OR(D1480="",A1480=""),"",A1480+IF(AND(Config!$B$17="Sim",LEFT(D1480,17)="Cartão de crédito"),1,IFERROR(INDEX(Config!$C$12:$C$15,MATCH(IF(AND(D1480="Cartão de crédito",N(E1480)&gt;1),"Cartão de crédito parcelado",D1480),Config!$A$12:$A$15,0)),0)))</f>
        <v/>
      </c>
      <c r="M1480" s="37">
        <f>IF(L1480="","",IF(AND(Config!$B$17="Sim",LEFT(D1480,17)="Cartão de crédito"),L1480,L1480+30*(MAX(1,N(E1480))-1)))</f>
        <v/>
      </c>
      <c r="N1480" s="29">
        <f>IF(OR(L1480="",K1480=""),"",K1480*MIN(MAX(1,N(E1480)),MAX(0,INT((Config!$B$8-L1480)/30)+1)))</f>
        <v/>
      </c>
      <c r="O1480" s="29">
        <f>IF(J1480="","",J1480-N(N1480))</f>
        <v/>
      </c>
      <c r="P1480" s="27">
        <f>IF(A1480="","",MONTH(A1480))</f>
        <v/>
      </c>
      <c r="Q1480" s="27">
        <f>IF(A1480="","",YEAR(A1480))</f>
        <v/>
      </c>
      <c r="R1480" s="27">
        <f>IF(L1480="","",IF(L1480&gt;Config!$B$8,"A cair",IF(N(G1480)&gt;=MIN(MAX(1,N(E1480)),MAX(0,INT((Config!$B$8-L1480)/30)+1)),IF(N(G1480)&gt;=MAX(1,N(E1480)),"Conferido","Conferido até aqui"),"A conferir")))</f>
        <v/>
      </c>
      <c r="S1480" s="51">
        <f>IF(R1480="A conferir",(Config!$B$8-L1480)*1000+N(F1480)/1000+ROW()/100000,0)</f>
        <v>0</v>
      </c>
      <c r="T1480" s="51">
        <f>IF(R1480="A conferir",N(N1480),0)</f>
        <v>0</v>
      </c>
      <c r="U1480" s="51">
        <f>IF(L1480="",0,L1480)</f>
        <v>0</v>
      </c>
      <c r="V1480" s="51">
        <f>IF(L1480="",0,MAX(1,N(E1480)))</f>
        <v>0</v>
      </c>
      <c r="W1480" s="51">
        <f>IF(K1480="",0,K1480)</f>
        <v>0</v>
      </c>
    </row>
    <row r="1481">
      <c r="A1481" s="49" t="n"/>
      <c r="B1481" s="41" t="n"/>
      <c r="C1481" s="41" t="n"/>
      <c r="D1481" s="42" t="n"/>
      <c r="E1481" s="42" t="n"/>
      <c r="F1481" s="50" t="n"/>
      <c r="G1481" s="42" t="n"/>
      <c r="H1481" s="30">
        <f>IF(D1481="","",IFERROR(INDEX(Config!$B$12:$B$15,MATCH(IF(AND(D1481="Cartão de crédito",N(E1481)&gt;1),"Cartão de crédito parcelado",D1481),Config!$A$12:$A$15,0)),0)+IF(AND(Config!$B$17="Sim",LEFT(D1481,17)="Cartão de crédito"),Config!$B$18*IFERROR(INDEX(Config!$C$12:$C$15,MATCH(IF(AND(D1481="Cartão de crédito",N(E1481)&gt;1),"Cartão de crédito parcelado",D1481),Config!$A$12:$A$15,0)),0)/30*MAX(1,N(E1481)),0))</f>
        <v/>
      </c>
      <c r="I1481" s="29">
        <f>IF(OR(D1481="",F1481=""),"",ROUND(F1481*H1481,2))</f>
        <v/>
      </c>
      <c r="J1481" s="29">
        <f>IF(I1481="","",F1481-I1481)</f>
        <v/>
      </c>
      <c r="K1481" s="29">
        <f>IF(J1481="","",J1481/MAX(1,N(E1481)))</f>
        <v/>
      </c>
      <c r="L1481" s="37">
        <f>IF(OR(D1481="",A1481=""),"",A1481+IF(AND(Config!$B$17="Sim",LEFT(D1481,17)="Cartão de crédito"),1,IFERROR(INDEX(Config!$C$12:$C$15,MATCH(IF(AND(D1481="Cartão de crédito",N(E1481)&gt;1),"Cartão de crédito parcelado",D1481),Config!$A$12:$A$15,0)),0)))</f>
        <v/>
      </c>
      <c r="M1481" s="37">
        <f>IF(L1481="","",IF(AND(Config!$B$17="Sim",LEFT(D1481,17)="Cartão de crédito"),L1481,L1481+30*(MAX(1,N(E1481))-1)))</f>
        <v/>
      </c>
      <c r="N1481" s="29">
        <f>IF(OR(L1481="",K1481=""),"",K1481*MIN(MAX(1,N(E1481)),MAX(0,INT((Config!$B$8-L1481)/30)+1)))</f>
        <v/>
      </c>
      <c r="O1481" s="29">
        <f>IF(J1481="","",J1481-N(N1481))</f>
        <v/>
      </c>
      <c r="P1481" s="27">
        <f>IF(A1481="","",MONTH(A1481))</f>
        <v/>
      </c>
      <c r="Q1481" s="27">
        <f>IF(A1481="","",YEAR(A1481))</f>
        <v/>
      </c>
      <c r="R1481" s="27">
        <f>IF(L1481="","",IF(L1481&gt;Config!$B$8,"A cair",IF(N(G1481)&gt;=MIN(MAX(1,N(E1481)),MAX(0,INT((Config!$B$8-L1481)/30)+1)),IF(N(G1481)&gt;=MAX(1,N(E1481)),"Conferido","Conferido até aqui"),"A conferir")))</f>
        <v/>
      </c>
      <c r="S1481" s="51">
        <f>IF(R1481="A conferir",(Config!$B$8-L1481)*1000+N(F1481)/1000+ROW()/100000,0)</f>
        <v>0</v>
      </c>
      <c r="T1481" s="51">
        <f>IF(R1481="A conferir",N(N1481),0)</f>
        <v>0</v>
      </c>
      <c r="U1481" s="51">
        <f>IF(L1481="",0,L1481)</f>
        <v>0</v>
      </c>
      <c r="V1481" s="51">
        <f>IF(L1481="",0,MAX(1,N(E1481)))</f>
        <v>0</v>
      </c>
      <c r="W1481" s="51">
        <f>IF(K1481="",0,K1481)</f>
        <v>0</v>
      </c>
    </row>
    <row r="1482">
      <c r="A1482" s="49" t="n"/>
      <c r="B1482" s="41" t="n"/>
      <c r="C1482" s="41" t="n"/>
      <c r="D1482" s="42" t="n"/>
      <c r="E1482" s="42" t="n"/>
      <c r="F1482" s="50" t="n"/>
      <c r="G1482" s="42" t="n"/>
      <c r="H1482" s="30">
        <f>IF(D1482="","",IFERROR(INDEX(Config!$B$12:$B$15,MATCH(IF(AND(D1482="Cartão de crédito",N(E1482)&gt;1),"Cartão de crédito parcelado",D1482),Config!$A$12:$A$15,0)),0)+IF(AND(Config!$B$17="Sim",LEFT(D1482,17)="Cartão de crédito"),Config!$B$18*IFERROR(INDEX(Config!$C$12:$C$15,MATCH(IF(AND(D1482="Cartão de crédito",N(E1482)&gt;1),"Cartão de crédito parcelado",D1482),Config!$A$12:$A$15,0)),0)/30*MAX(1,N(E1482)),0))</f>
        <v/>
      </c>
      <c r="I1482" s="29">
        <f>IF(OR(D1482="",F1482=""),"",ROUND(F1482*H1482,2))</f>
        <v/>
      </c>
      <c r="J1482" s="29">
        <f>IF(I1482="","",F1482-I1482)</f>
        <v/>
      </c>
      <c r="K1482" s="29">
        <f>IF(J1482="","",J1482/MAX(1,N(E1482)))</f>
        <v/>
      </c>
      <c r="L1482" s="37">
        <f>IF(OR(D1482="",A1482=""),"",A1482+IF(AND(Config!$B$17="Sim",LEFT(D1482,17)="Cartão de crédito"),1,IFERROR(INDEX(Config!$C$12:$C$15,MATCH(IF(AND(D1482="Cartão de crédito",N(E1482)&gt;1),"Cartão de crédito parcelado",D1482),Config!$A$12:$A$15,0)),0)))</f>
        <v/>
      </c>
      <c r="M1482" s="37">
        <f>IF(L1482="","",IF(AND(Config!$B$17="Sim",LEFT(D1482,17)="Cartão de crédito"),L1482,L1482+30*(MAX(1,N(E1482))-1)))</f>
        <v/>
      </c>
      <c r="N1482" s="29">
        <f>IF(OR(L1482="",K1482=""),"",K1482*MIN(MAX(1,N(E1482)),MAX(0,INT((Config!$B$8-L1482)/30)+1)))</f>
        <v/>
      </c>
      <c r="O1482" s="29">
        <f>IF(J1482="","",J1482-N(N1482))</f>
        <v/>
      </c>
      <c r="P1482" s="27">
        <f>IF(A1482="","",MONTH(A1482))</f>
        <v/>
      </c>
      <c r="Q1482" s="27">
        <f>IF(A1482="","",YEAR(A1482))</f>
        <v/>
      </c>
      <c r="R1482" s="27">
        <f>IF(L1482="","",IF(L1482&gt;Config!$B$8,"A cair",IF(N(G1482)&gt;=MIN(MAX(1,N(E1482)),MAX(0,INT((Config!$B$8-L1482)/30)+1)),IF(N(G1482)&gt;=MAX(1,N(E1482)),"Conferido","Conferido até aqui"),"A conferir")))</f>
        <v/>
      </c>
      <c r="S1482" s="51">
        <f>IF(R1482="A conferir",(Config!$B$8-L1482)*1000+N(F1482)/1000+ROW()/100000,0)</f>
        <v>0</v>
      </c>
      <c r="T1482" s="51">
        <f>IF(R1482="A conferir",N(N1482),0)</f>
        <v>0</v>
      </c>
      <c r="U1482" s="51">
        <f>IF(L1482="",0,L1482)</f>
        <v>0</v>
      </c>
      <c r="V1482" s="51">
        <f>IF(L1482="",0,MAX(1,N(E1482)))</f>
        <v>0</v>
      </c>
      <c r="W1482" s="51">
        <f>IF(K1482="",0,K1482)</f>
        <v>0</v>
      </c>
    </row>
    <row r="1483">
      <c r="A1483" s="49" t="n"/>
      <c r="B1483" s="41" t="n"/>
      <c r="C1483" s="41" t="n"/>
      <c r="D1483" s="42" t="n"/>
      <c r="E1483" s="42" t="n"/>
      <c r="F1483" s="50" t="n"/>
      <c r="G1483" s="42" t="n"/>
      <c r="H1483" s="30">
        <f>IF(D1483="","",IFERROR(INDEX(Config!$B$12:$B$15,MATCH(IF(AND(D1483="Cartão de crédito",N(E1483)&gt;1),"Cartão de crédito parcelado",D1483),Config!$A$12:$A$15,0)),0)+IF(AND(Config!$B$17="Sim",LEFT(D1483,17)="Cartão de crédito"),Config!$B$18*IFERROR(INDEX(Config!$C$12:$C$15,MATCH(IF(AND(D1483="Cartão de crédito",N(E1483)&gt;1),"Cartão de crédito parcelado",D1483),Config!$A$12:$A$15,0)),0)/30*MAX(1,N(E1483)),0))</f>
        <v/>
      </c>
      <c r="I1483" s="29">
        <f>IF(OR(D1483="",F1483=""),"",ROUND(F1483*H1483,2))</f>
        <v/>
      </c>
      <c r="J1483" s="29">
        <f>IF(I1483="","",F1483-I1483)</f>
        <v/>
      </c>
      <c r="K1483" s="29">
        <f>IF(J1483="","",J1483/MAX(1,N(E1483)))</f>
        <v/>
      </c>
      <c r="L1483" s="37">
        <f>IF(OR(D1483="",A1483=""),"",A1483+IF(AND(Config!$B$17="Sim",LEFT(D1483,17)="Cartão de crédito"),1,IFERROR(INDEX(Config!$C$12:$C$15,MATCH(IF(AND(D1483="Cartão de crédito",N(E1483)&gt;1),"Cartão de crédito parcelado",D1483),Config!$A$12:$A$15,0)),0)))</f>
        <v/>
      </c>
      <c r="M1483" s="37">
        <f>IF(L1483="","",IF(AND(Config!$B$17="Sim",LEFT(D1483,17)="Cartão de crédito"),L1483,L1483+30*(MAX(1,N(E1483))-1)))</f>
        <v/>
      </c>
      <c r="N1483" s="29">
        <f>IF(OR(L1483="",K1483=""),"",K1483*MIN(MAX(1,N(E1483)),MAX(0,INT((Config!$B$8-L1483)/30)+1)))</f>
        <v/>
      </c>
      <c r="O1483" s="29">
        <f>IF(J1483="","",J1483-N(N1483))</f>
        <v/>
      </c>
      <c r="P1483" s="27">
        <f>IF(A1483="","",MONTH(A1483))</f>
        <v/>
      </c>
      <c r="Q1483" s="27">
        <f>IF(A1483="","",YEAR(A1483))</f>
        <v/>
      </c>
      <c r="R1483" s="27">
        <f>IF(L1483="","",IF(L1483&gt;Config!$B$8,"A cair",IF(N(G1483)&gt;=MIN(MAX(1,N(E1483)),MAX(0,INT((Config!$B$8-L1483)/30)+1)),IF(N(G1483)&gt;=MAX(1,N(E1483)),"Conferido","Conferido até aqui"),"A conferir")))</f>
        <v/>
      </c>
      <c r="S1483" s="51">
        <f>IF(R1483="A conferir",(Config!$B$8-L1483)*1000+N(F1483)/1000+ROW()/100000,0)</f>
        <v>0</v>
      </c>
      <c r="T1483" s="51">
        <f>IF(R1483="A conferir",N(N1483),0)</f>
        <v>0</v>
      </c>
      <c r="U1483" s="51">
        <f>IF(L1483="",0,L1483)</f>
        <v>0</v>
      </c>
      <c r="V1483" s="51">
        <f>IF(L1483="",0,MAX(1,N(E1483)))</f>
        <v>0</v>
      </c>
      <c r="W1483" s="51">
        <f>IF(K1483="",0,K1483)</f>
        <v>0</v>
      </c>
    </row>
    <row r="1484">
      <c r="A1484" s="49" t="n"/>
      <c r="B1484" s="41" t="n"/>
      <c r="C1484" s="41" t="n"/>
      <c r="D1484" s="42" t="n"/>
      <c r="E1484" s="42" t="n"/>
      <c r="F1484" s="50" t="n"/>
      <c r="G1484" s="42" t="n"/>
      <c r="H1484" s="30">
        <f>IF(D1484="","",IFERROR(INDEX(Config!$B$12:$B$15,MATCH(IF(AND(D1484="Cartão de crédito",N(E1484)&gt;1),"Cartão de crédito parcelado",D1484),Config!$A$12:$A$15,0)),0)+IF(AND(Config!$B$17="Sim",LEFT(D1484,17)="Cartão de crédito"),Config!$B$18*IFERROR(INDEX(Config!$C$12:$C$15,MATCH(IF(AND(D1484="Cartão de crédito",N(E1484)&gt;1),"Cartão de crédito parcelado",D1484),Config!$A$12:$A$15,0)),0)/30*MAX(1,N(E1484)),0))</f>
        <v/>
      </c>
      <c r="I1484" s="29">
        <f>IF(OR(D1484="",F1484=""),"",ROUND(F1484*H1484,2))</f>
        <v/>
      </c>
      <c r="J1484" s="29">
        <f>IF(I1484="","",F1484-I1484)</f>
        <v/>
      </c>
      <c r="K1484" s="29">
        <f>IF(J1484="","",J1484/MAX(1,N(E1484)))</f>
        <v/>
      </c>
      <c r="L1484" s="37">
        <f>IF(OR(D1484="",A1484=""),"",A1484+IF(AND(Config!$B$17="Sim",LEFT(D1484,17)="Cartão de crédito"),1,IFERROR(INDEX(Config!$C$12:$C$15,MATCH(IF(AND(D1484="Cartão de crédito",N(E1484)&gt;1),"Cartão de crédito parcelado",D1484),Config!$A$12:$A$15,0)),0)))</f>
        <v/>
      </c>
      <c r="M1484" s="37">
        <f>IF(L1484="","",IF(AND(Config!$B$17="Sim",LEFT(D1484,17)="Cartão de crédito"),L1484,L1484+30*(MAX(1,N(E1484))-1)))</f>
        <v/>
      </c>
      <c r="N1484" s="29">
        <f>IF(OR(L1484="",K1484=""),"",K1484*MIN(MAX(1,N(E1484)),MAX(0,INT((Config!$B$8-L1484)/30)+1)))</f>
        <v/>
      </c>
      <c r="O1484" s="29">
        <f>IF(J1484="","",J1484-N(N1484))</f>
        <v/>
      </c>
      <c r="P1484" s="27">
        <f>IF(A1484="","",MONTH(A1484))</f>
        <v/>
      </c>
      <c r="Q1484" s="27">
        <f>IF(A1484="","",YEAR(A1484))</f>
        <v/>
      </c>
      <c r="R1484" s="27">
        <f>IF(L1484="","",IF(L1484&gt;Config!$B$8,"A cair",IF(N(G1484)&gt;=MIN(MAX(1,N(E1484)),MAX(0,INT((Config!$B$8-L1484)/30)+1)),IF(N(G1484)&gt;=MAX(1,N(E1484)),"Conferido","Conferido até aqui"),"A conferir")))</f>
        <v/>
      </c>
      <c r="S1484" s="51">
        <f>IF(R1484="A conferir",(Config!$B$8-L1484)*1000+N(F1484)/1000+ROW()/100000,0)</f>
        <v>0</v>
      </c>
      <c r="T1484" s="51">
        <f>IF(R1484="A conferir",N(N1484),0)</f>
        <v>0</v>
      </c>
      <c r="U1484" s="51">
        <f>IF(L1484="",0,L1484)</f>
        <v>0</v>
      </c>
      <c r="V1484" s="51">
        <f>IF(L1484="",0,MAX(1,N(E1484)))</f>
        <v>0</v>
      </c>
      <c r="W1484" s="51">
        <f>IF(K1484="",0,K1484)</f>
        <v>0</v>
      </c>
    </row>
    <row r="1485">
      <c r="A1485" s="49" t="n"/>
      <c r="B1485" s="41" t="n"/>
      <c r="C1485" s="41" t="n"/>
      <c r="D1485" s="42" t="n"/>
      <c r="E1485" s="42" t="n"/>
      <c r="F1485" s="50" t="n"/>
      <c r="G1485" s="42" t="n"/>
      <c r="H1485" s="30">
        <f>IF(D1485="","",IFERROR(INDEX(Config!$B$12:$B$15,MATCH(IF(AND(D1485="Cartão de crédito",N(E1485)&gt;1),"Cartão de crédito parcelado",D1485),Config!$A$12:$A$15,0)),0)+IF(AND(Config!$B$17="Sim",LEFT(D1485,17)="Cartão de crédito"),Config!$B$18*IFERROR(INDEX(Config!$C$12:$C$15,MATCH(IF(AND(D1485="Cartão de crédito",N(E1485)&gt;1),"Cartão de crédito parcelado",D1485),Config!$A$12:$A$15,0)),0)/30*MAX(1,N(E1485)),0))</f>
        <v/>
      </c>
      <c r="I1485" s="29">
        <f>IF(OR(D1485="",F1485=""),"",ROUND(F1485*H1485,2))</f>
        <v/>
      </c>
      <c r="J1485" s="29">
        <f>IF(I1485="","",F1485-I1485)</f>
        <v/>
      </c>
      <c r="K1485" s="29">
        <f>IF(J1485="","",J1485/MAX(1,N(E1485)))</f>
        <v/>
      </c>
      <c r="L1485" s="37">
        <f>IF(OR(D1485="",A1485=""),"",A1485+IF(AND(Config!$B$17="Sim",LEFT(D1485,17)="Cartão de crédito"),1,IFERROR(INDEX(Config!$C$12:$C$15,MATCH(IF(AND(D1485="Cartão de crédito",N(E1485)&gt;1),"Cartão de crédito parcelado",D1485),Config!$A$12:$A$15,0)),0)))</f>
        <v/>
      </c>
      <c r="M1485" s="37">
        <f>IF(L1485="","",IF(AND(Config!$B$17="Sim",LEFT(D1485,17)="Cartão de crédito"),L1485,L1485+30*(MAX(1,N(E1485))-1)))</f>
        <v/>
      </c>
      <c r="N1485" s="29">
        <f>IF(OR(L1485="",K1485=""),"",K1485*MIN(MAX(1,N(E1485)),MAX(0,INT((Config!$B$8-L1485)/30)+1)))</f>
        <v/>
      </c>
      <c r="O1485" s="29">
        <f>IF(J1485="","",J1485-N(N1485))</f>
        <v/>
      </c>
      <c r="P1485" s="27">
        <f>IF(A1485="","",MONTH(A1485))</f>
        <v/>
      </c>
      <c r="Q1485" s="27">
        <f>IF(A1485="","",YEAR(A1485))</f>
        <v/>
      </c>
      <c r="R1485" s="27">
        <f>IF(L1485="","",IF(L1485&gt;Config!$B$8,"A cair",IF(N(G1485)&gt;=MIN(MAX(1,N(E1485)),MAX(0,INT((Config!$B$8-L1485)/30)+1)),IF(N(G1485)&gt;=MAX(1,N(E1485)),"Conferido","Conferido até aqui"),"A conferir")))</f>
        <v/>
      </c>
      <c r="S1485" s="51">
        <f>IF(R1485="A conferir",(Config!$B$8-L1485)*1000+N(F1485)/1000+ROW()/100000,0)</f>
        <v>0</v>
      </c>
      <c r="T1485" s="51">
        <f>IF(R1485="A conferir",N(N1485),0)</f>
        <v>0</v>
      </c>
      <c r="U1485" s="51">
        <f>IF(L1485="",0,L1485)</f>
        <v>0</v>
      </c>
      <c r="V1485" s="51">
        <f>IF(L1485="",0,MAX(1,N(E1485)))</f>
        <v>0</v>
      </c>
      <c r="W1485" s="51">
        <f>IF(K1485="",0,K1485)</f>
        <v>0</v>
      </c>
    </row>
    <row r="1486">
      <c r="A1486" s="49" t="n"/>
      <c r="B1486" s="41" t="n"/>
      <c r="C1486" s="41" t="n"/>
      <c r="D1486" s="42" t="n"/>
      <c r="E1486" s="42" t="n"/>
      <c r="F1486" s="50" t="n"/>
      <c r="G1486" s="42" t="n"/>
      <c r="H1486" s="30">
        <f>IF(D1486="","",IFERROR(INDEX(Config!$B$12:$B$15,MATCH(IF(AND(D1486="Cartão de crédito",N(E1486)&gt;1),"Cartão de crédito parcelado",D1486),Config!$A$12:$A$15,0)),0)+IF(AND(Config!$B$17="Sim",LEFT(D1486,17)="Cartão de crédito"),Config!$B$18*IFERROR(INDEX(Config!$C$12:$C$15,MATCH(IF(AND(D1486="Cartão de crédito",N(E1486)&gt;1),"Cartão de crédito parcelado",D1486),Config!$A$12:$A$15,0)),0)/30*MAX(1,N(E1486)),0))</f>
        <v/>
      </c>
      <c r="I1486" s="29">
        <f>IF(OR(D1486="",F1486=""),"",ROUND(F1486*H1486,2))</f>
        <v/>
      </c>
      <c r="J1486" s="29">
        <f>IF(I1486="","",F1486-I1486)</f>
        <v/>
      </c>
      <c r="K1486" s="29">
        <f>IF(J1486="","",J1486/MAX(1,N(E1486)))</f>
        <v/>
      </c>
      <c r="L1486" s="37">
        <f>IF(OR(D1486="",A1486=""),"",A1486+IF(AND(Config!$B$17="Sim",LEFT(D1486,17)="Cartão de crédito"),1,IFERROR(INDEX(Config!$C$12:$C$15,MATCH(IF(AND(D1486="Cartão de crédito",N(E1486)&gt;1),"Cartão de crédito parcelado",D1486),Config!$A$12:$A$15,0)),0)))</f>
        <v/>
      </c>
      <c r="M1486" s="37">
        <f>IF(L1486="","",IF(AND(Config!$B$17="Sim",LEFT(D1486,17)="Cartão de crédito"),L1486,L1486+30*(MAX(1,N(E1486))-1)))</f>
        <v/>
      </c>
      <c r="N1486" s="29">
        <f>IF(OR(L1486="",K1486=""),"",K1486*MIN(MAX(1,N(E1486)),MAX(0,INT((Config!$B$8-L1486)/30)+1)))</f>
        <v/>
      </c>
      <c r="O1486" s="29">
        <f>IF(J1486="","",J1486-N(N1486))</f>
        <v/>
      </c>
      <c r="P1486" s="27">
        <f>IF(A1486="","",MONTH(A1486))</f>
        <v/>
      </c>
      <c r="Q1486" s="27">
        <f>IF(A1486="","",YEAR(A1486))</f>
        <v/>
      </c>
      <c r="R1486" s="27">
        <f>IF(L1486="","",IF(L1486&gt;Config!$B$8,"A cair",IF(N(G1486)&gt;=MIN(MAX(1,N(E1486)),MAX(0,INT((Config!$B$8-L1486)/30)+1)),IF(N(G1486)&gt;=MAX(1,N(E1486)),"Conferido","Conferido até aqui"),"A conferir")))</f>
        <v/>
      </c>
      <c r="S1486" s="51">
        <f>IF(R1486="A conferir",(Config!$B$8-L1486)*1000+N(F1486)/1000+ROW()/100000,0)</f>
        <v>0</v>
      </c>
      <c r="T1486" s="51">
        <f>IF(R1486="A conferir",N(N1486),0)</f>
        <v>0</v>
      </c>
      <c r="U1486" s="51">
        <f>IF(L1486="",0,L1486)</f>
        <v>0</v>
      </c>
      <c r="V1486" s="51">
        <f>IF(L1486="",0,MAX(1,N(E1486)))</f>
        <v>0</v>
      </c>
      <c r="W1486" s="51">
        <f>IF(K1486="",0,K1486)</f>
        <v>0</v>
      </c>
    </row>
    <row r="1487">
      <c r="A1487" s="49" t="n"/>
      <c r="B1487" s="41" t="n"/>
      <c r="C1487" s="41" t="n"/>
      <c r="D1487" s="42" t="n"/>
      <c r="E1487" s="42" t="n"/>
      <c r="F1487" s="50" t="n"/>
      <c r="G1487" s="42" t="n"/>
      <c r="H1487" s="30">
        <f>IF(D1487="","",IFERROR(INDEX(Config!$B$12:$B$15,MATCH(IF(AND(D1487="Cartão de crédito",N(E1487)&gt;1),"Cartão de crédito parcelado",D1487),Config!$A$12:$A$15,0)),0)+IF(AND(Config!$B$17="Sim",LEFT(D1487,17)="Cartão de crédito"),Config!$B$18*IFERROR(INDEX(Config!$C$12:$C$15,MATCH(IF(AND(D1487="Cartão de crédito",N(E1487)&gt;1),"Cartão de crédito parcelado",D1487),Config!$A$12:$A$15,0)),0)/30*MAX(1,N(E1487)),0))</f>
        <v/>
      </c>
      <c r="I1487" s="29">
        <f>IF(OR(D1487="",F1487=""),"",ROUND(F1487*H1487,2))</f>
        <v/>
      </c>
      <c r="J1487" s="29">
        <f>IF(I1487="","",F1487-I1487)</f>
        <v/>
      </c>
      <c r="K1487" s="29">
        <f>IF(J1487="","",J1487/MAX(1,N(E1487)))</f>
        <v/>
      </c>
      <c r="L1487" s="37">
        <f>IF(OR(D1487="",A1487=""),"",A1487+IF(AND(Config!$B$17="Sim",LEFT(D1487,17)="Cartão de crédito"),1,IFERROR(INDEX(Config!$C$12:$C$15,MATCH(IF(AND(D1487="Cartão de crédito",N(E1487)&gt;1),"Cartão de crédito parcelado",D1487),Config!$A$12:$A$15,0)),0)))</f>
        <v/>
      </c>
      <c r="M1487" s="37">
        <f>IF(L1487="","",IF(AND(Config!$B$17="Sim",LEFT(D1487,17)="Cartão de crédito"),L1487,L1487+30*(MAX(1,N(E1487))-1)))</f>
        <v/>
      </c>
      <c r="N1487" s="29">
        <f>IF(OR(L1487="",K1487=""),"",K1487*MIN(MAX(1,N(E1487)),MAX(0,INT((Config!$B$8-L1487)/30)+1)))</f>
        <v/>
      </c>
      <c r="O1487" s="29">
        <f>IF(J1487="","",J1487-N(N1487))</f>
        <v/>
      </c>
      <c r="P1487" s="27">
        <f>IF(A1487="","",MONTH(A1487))</f>
        <v/>
      </c>
      <c r="Q1487" s="27">
        <f>IF(A1487="","",YEAR(A1487))</f>
        <v/>
      </c>
      <c r="R1487" s="27">
        <f>IF(L1487="","",IF(L1487&gt;Config!$B$8,"A cair",IF(N(G1487)&gt;=MIN(MAX(1,N(E1487)),MAX(0,INT((Config!$B$8-L1487)/30)+1)),IF(N(G1487)&gt;=MAX(1,N(E1487)),"Conferido","Conferido até aqui"),"A conferir")))</f>
        <v/>
      </c>
      <c r="S1487" s="51">
        <f>IF(R1487="A conferir",(Config!$B$8-L1487)*1000+N(F1487)/1000+ROW()/100000,0)</f>
        <v>0</v>
      </c>
      <c r="T1487" s="51">
        <f>IF(R1487="A conferir",N(N1487),0)</f>
        <v>0</v>
      </c>
      <c r="U1487" s="51">
        <f>IF(L1487="",0,L1487)</f>
        <v>0</v>
      </c>
      <c r="V1487" s="51">
        <f>IF(L1487="",0,MAX(1,N(E1487)))</f>
        <v>0</v>
      </c>
      <c r="W1487" s="51">
        <f>IF(K1487="",0,K1487)</f>
        <v>0</v>
      </c>
    </row>
    <row r="1488">
      <c r="A1488" s="49" t="n"/>
      <c r="B1488" s="41" t="n"/>
      <c r="C1488" s="41" t="n"/>
      <c r="D1488" s="42" t="n"/>
      <c r="E1488" s="42" t="n"/>
      <c r="F1488" s="50" t="n"/>
      <c r="G1488" s="42" t="n"/>
      <c r="H1488" s="30">
        <f>IF(D1488="","",IFERROR(INDEX(Config!$B$12:$B$15,MATCH(IF(AND(D1488="Cartão de crédito",N(E1488)&gt;1),"Cartão de crédito parcelado",D1488),Config!$A$12:$A$15,0)),0)+IF(AND(Config!$B$17="Sim",LEFT(D1488,17)="Cartão de crédito"),Config!$B$18*IFERROR(INDEX(Config!$C$12:$C$15,MATCH(IF(AND(D1488="Cartão de crédito",N(E1488)&gt;1),"Cartão de crédito parcelado",D1488),Config!$A$12:$A$15,0)),0)/30*MAX(1,N(E1488)),0))</f>
        <v/>
      </c>
      <c r="I1488" s="29">
        <f>IF(OR(D1488="",F1488=""),"",ROUND(F1488*H1488,2))</f>
        <v/>
      </c>
      <c r="J1488" s="29">
        <f>IF(I1488="","",F1488-I1488)</f>
        <v/>
      </c>
      <c r="K1488" s="29">
        <f>IF(J1488="","",J1488/MAX(1,N(E1488)))</f>
        <v/>
      </c>
      <c r="L1488" s="37">
        <f>IF(OR(D1488="",A1488=""),"",A1488+IF(AND(Config!$B$17="Sim",LEFT(D1488,17)="Cartão de crédito"),1,IFERROR(INDEX(Config!$C$12:$C$15,MATCH(IF(AND(D1488="Cartão de crédito",N(E1488)&gt;1),"Cartão de crédito parcelado",D1488),Config!$A$12:$A$15,0)),0)))</f>
        <v/>
      </c>
      <c r="M1488" s="37">
        <f>IF(L1488="","",IF(AND(Config!$B$17="Sim",LEFT(D1488,17)="Cartão de crédito"),L1488,L1488+30*(MAX(1,N(E1488))-1)))</f>
        <v/>
      </c>
      <c r="N1488" s="29">
        <f>IF(OR(L1488="",K1488=""),"",K1488*MIN(MAX(1,N(E1488)),MAX(0,INT((Config!$B$8-L1488)/30)+1)))</f>
        <v/>
      </c>
      <c r="O1488" s="29">
        <f>IF(J1488="","",J1488-N(N1488))</f>
        <v/>
      </c>
      <c r="P1488" s="27">
        <f>IF(A1488="","",MONTH(A1488))</f>
        <v/>
      </c>
      <c r="Q1488" s="27">
        <f>IF(A1488="","",YEAR(A1488))</f>
        <v/>
      </c>
      <c r="R1488" s="27">
        <f>IF(L1488="","",IF(L1488&gt;Config!$B$8,"A cair",IF(N(G1488)&gt;=MIN(MAX(1,N(E1488)),MAX(0,INT((Config!$B$8-L1488)/30)+1)),IF(N(G1488)&gt;=MAX(1,N(E1488)),"Conferido","Conferido até aqui"),"A conferir")))</f>
        <v/>
      </c>
      <c r="S1488" s="51">
        <f>IF(R1488="A conferir",(Config!$B$8-L1488)*1000+N(F1488)/1000+ROW()/100000,0)</f>
        <v>0</v>
      </c>
      <c r="T1488" s="51">
        <f>IF(R1488="A conferir",N(N1488),0)</f>
        <v>0</v>
      </c>
      <c r="U1488" s="51">
        <f>IF(L1488="",0,L1488)</f>
        <v>0</v>
      </c>
      <c r="V1488" s="51">
        <f>IF(L1488="",0,MAX(1,N(E1488)))</f>
        <v>0</v>
      </c>
      <c r="W1488" s="51">
        <f>IF(K1488="",0,K1488)</f>
        <v>0</v>
      </c>
    </row>
    <row r="1489">
      <c r="A1489" s="49" t="n"/>
      <c r="B1489" s="41" t="n"/>
      <c r="C1489" s="41" t="n"/>
      <c r="D1489" s="42" t="n"/>
      <c r="E1489" s="42" t="n"/>
      <c r="F1489" s="50" t="n"/>
      <c r="G1489" s="42" t="n"/>
      <c r="H1489" s="30">
        <f>IF(D1489="","",IFERROR(INDEX(Config!$B$12:$B$15,MATCH(IF(AND(D1489="Cartão de crédito",N(E1489)&gt;1),"Cartão de crédito parcelado",D1489),Config!$A$12:$A$15,0)),0)+IF(AND(Config!$B$17="Sim",LEFT(D1489,17)="Cartão de crédito"),Config!$B$18*IFERROR(INDEX(Config!$C$12:$C$15,MATCH(IF(AND(D1489="Cartão de crédito",N(E1489)&gt;1),"Cartão de crédito parcelado",D1489),Config!$A$12:$A$15,0)),0)/30*MAX(1,N(E1489)),0))</f>
        <v/>
      </c>
      <c r="I1489" s="29">
        <f>IF(OR(D1489="",F1489=""),"",ROUND(F1489*H1489,2))</f>
        <v/>
      </c>
      <c r="J1489" s="29">
        <f>IF(I1489="","",F1489-I1489)</f>
        <v/>
      </c>
      <c r="K1489" s="29">
        <f>IF(J1489="","",J1489/MAX(1,N(E1489)))</f>
        <v/>
      </c>
      <c r="L1489" s="37">
        <f>IF(OR(D1489="",A1489=""),"",A1489+IF(AND(Config!$B$17="Sim",LEFT(D1489,17)="Cartão de crédito"),1,IFERROR(INDEX(Config!$C$12:$C$15,MATCH(IF(AND(D1489="Cartão de crédito",N(E1489)&gt;1),"Cartão de crédito parcelado",D1489),Config!$A$12:$A$15,0)),0)))</f>
        <v/>
      </c>
      <c r="M1489" s="37">
        <f>IF(L1489="","",IF(AND(Config!$B$17="Sim",LEFT(D1489,17)="Cartão de crédito"),L1489,L1489+30*(MAX(1,N(E1489))-1)))</f>
        <v/>
      </c>
      <c r="N1489" s="29">
        <f>IF(OR(L1489="",K1489=""),"",K1489*MIN(MAX(1,N(E1489)),MAX(0,INT((Config!$B$8-L1489)/30)+1)))</f>
        <v/>
      </c>
      <c r="O1489" s="29">
        <f>IF(J1489="","",J1489-N(N1489))</f>
        <v/>
      </c>
      <c r="P1489" s="27">
        <f>IF(A1489="","",MONTH(A1489))</f>
        <v/>
      </c>
      <c r="Q1489" s="27">
        <f>IF(A1489="","",YEAR(A1489))</f>
        <v/>
      </c>
      <c r="R1489" s="27">
        <f>IF(L1489="","",IF(L1489&gt;Config!$B$8,"A cair",IF(N(G1489)&gt;=MIN(MAX(1,N(E1489)),MAX(0,INT((Config!$B$8-L1489)/30)+1)),IF(N(G1489)&gt;=MAX(1,N(E1489)),"Conferido","Conferido até aqui"),"A conferir")))</f>
        <v/>
      </c>
      <c r="S1489" s="51">
        <f>IF(R1489="A conferir",(Config!$B$8-L1489)*1000+N(F1489)/1000+ROW()/100000,0)</f>
        <v>0</v>
      </c>
      <c r="T1489" s="51">
        <f>IF(R1489="A conferir",N(N1489),0)</f>
        <v>0</v>
      </c>
      <c r="U1489" s="51">
        <f>IF(L1489="",0,L1489)</f>
        <v>0</v>
      </c>
      <c r="V1489" s="51">
        <f>IF(L1489="",0,MAX(1,N(E1489)))</f>
        <v>0</v>
      </c>
      <c r="W1489" s="51">
        <f>IF(K1489="",0,K1489)</f>
        <v>0</v>
      </c>
    </row>
    <row r="1490">
      <c r="A1490" s="49" t="n"/>
      <c r="B1490" s="41" t="n"/>
      <c r="C1490" s="41" t="n"/>
      <c r="D1490" s="42" t="n"/>
      <c r="E1490" s="42" t="n"/>
      <c r="F1490" s="50" t="n"/>
      <c r="G1490" s="42" t="n"/>
      <c r="H1490" s="30">
        <f>IF(D1490="","",IFERROR(INDEX(Config!$B$12:$B$15,MATCH(IF(AND(D1490="Cartão de crédito",N(E1490)&gt;1),"Cartão de crédito parcelado",D1490),Config!$A$12:$A$15,0)),0)+IF(AND(Config!$B$17="Sim",LEFT(D1490,17)="Cartão de crédito"),Config!$B$18*IFERROR(INDEX(Config!$C$12:$C$15,MATCH(IF(AND(D1490="Cartão de crédito",N(E1490)&gt;1),"Cartão de crédito parcelado",D1490),Config!$A$12:$A$15,0)),0)/30*MAX(1,N(E1490)),0))</f>
        <v/>
      </c>
      <c r="I1490" s="29">
        <f>IF(OR(D1490="",F1490=""),"",ROUND(F1490*H1490,2))</f>
        <v/>
      </c>
      <c r="J1490" s="29">
        <f>IF(I1490="","",F1490-I1490)</f>
        <v/>
      </c>
      <c r="K1490" s="29">
        <f>IF(J1490="","",J1490/MAX(1,N(E1490)))</f>
        <v/>
      </c>
      <c r="L1490" s="37">
        <f>IF(OR(D1490="",A1490=""),"",A1490+IF(AND(Config!$B$17="Sim",LEFT(D1490,17)="Cartão de crédito"),1,IFERROR(INDEX(Config!$C$12:$C$15,MATCH(IF(AND(D1490="Cartão de crédito",N(E1490)&gt;1),"Cartão de crédito parcelado",D1490),Config!$A$12:$A$15,0)),0)))</f>
        <v/>
      </c>
      <c r="M1490" s="37">
        <f>IF(L1490="","",IF(AND(Config!$B$17="Sim",LEFT(D1490,17)="Cartão de crédito"),L1490,L1490+30*(MAX(1,N(E1490))-1)))</f>
        <v/>
      </c>
      <c r="N1490" s="29">
        <f>IF(OR(L1490="",K1490=""),"",K1490*MIN(MAX(1,N(E1490)),MAX(0,INT((Config!$B$8-L1490)/30)+1)))</f>
        <v/>
      </c>
      <c r="O1490" s="29">
        <f>IF(J1490="","",J1490-N(N1490))</f>
        <v/>
      </c>
      <c r="P1490" s="27">
        <f>IF(A1490="","",MONTH(A1490))</f>
        <v/>
      </c>
      <c r="Q1490" s="27">
        <f>IF(A1490="","",YEAR(A1490))</f>
        <v/>
      </c>
      <c r="R1490" s="27">
        <f>IF(L1490="","",IF(L1490&gt;Config!$B$8,"A cair",IF(N(G1490)&gt;=MIN(MAX(1,N(E1490)),MAX(0,INT((Config!$B$8-L1490)/30)+1)),IF(N(G1490)&gt;=MAX(1,N(E1490)),"Conferido","Conferido até aqui"),"A conferir")))</f>
        <v/>
      </c>
      <c r="S1490" s="51">
        <f>IF(R1490="A conferir",(Config!$B$8-L1490)*1000+N(F1490)/1000+ROW()/100000,0)</f>
        <v>0</v>
      </c>
      <c r="T1490" s="51">
        <f>IF(R1490="A conferir",N(N1490),0)</f>
        <v>0</v>
      </c>
      <c r="U1490" s="51">
        <f>IF(L1490="",0,L1490)</f>
        <v>0</v>
      </c>
      <c r="V1490" s="51">
        <f>IF(L1490="",0,MAX(1,N(E1490)))</f>
        <v>0</v>
      </c>
      <c r="W1490" s="51">
        <f>IF(K1490="",0,K1490)</f>
        <v>0</v>
      </c>
    </row>
    <row r="1491">
      <c r="A1491" s="49" t="n"/>
      <c r="B1491" s="41" t="n"/>
      <c r="C1491" s="41" t="n"/>
      <c r="D1491" s="42" t="n"/>
      <c r="E1491" s="42" t="n"/>
      <c r="F1491" s="50" t="n"/>
      <c r="G1491" s="42" t="n"/>
      <c r="H1491" s="30">
        <f>IF(D1491="","",IFERROR(INDEX(Config!$B$12:$B$15,MATCH(IF(AND(D1491="Cartão de crédito",N(E1491)&gt;1),"Cartão de crédito parcelado",D1491),Config!$A$12:$A$15,0)),0)+IF(AND(Config!$B$17="Sim",LEFT(D1491,17)="Cartão de crédito"),Config!$B$18*IFERROR(INDEX(Config!$C$12:$C$15,MATCH(IF(AND(D1491="Cartão de crédito",N(E1491)&gt;1),"Cartão de crédito parcelado",D1491),Config!$A$12:$A$15,0)),0)/30*MAX(1,N(E1491)),0))</f>
        <v/>
      </c>
      <c r="I1491" s="29">
        <f>IF(OR(D1491="",F1491=""),"",ROUND(F1491*H1491,2))</f>
        <v/>
      </c>
      <c r="J1491" s="29">
        <f>IF(I1491="","",F1491-I1491)</f>
        <v/>
      </c>
      <c r="K1491" s="29">
        <f>IF(J1491="","",J1491/MAX(1,N(E1491)))</f>
        <v/>
      </c>
      <c r="L1491" s="37">
        <f>IF(OR(D1491="",A1491=""),"",A1491+IF(AND(Config!$B$17="Sim",LEFT(D1491,17)="Cartão de crédito"),1,IFERROR(INDEX(Config!$C$12:$C$15,MATCH(IF(AND(D1491="Cartão de crédito",N(E1491)&gt;1),"Cartão de crédito parcelado",D1491),Config!$A$12:$A$15,0)),0)))</f>
        <v/>
      </c>
      <c r="M1491" s="37">
        <f>IF(L1491="","",IF(AND(Config!$B$17="Sim",LEFT(D1491,17)="Cartão de crédito"),L1491,L1491+30*(MAX(1,N(E1491))-1)))</f>
        <v/>
      </c>
      <c r="N1491" s="29">
        <f>IF(OR(L1491="",K1491=""),"",K1491*MIN(MAX(1,N(E1491)),MAX(0,INT((Config!$B$8-L1491)/30)+1)))</f>
        <v/>
      </c>
      <c r="O1491" s="29">
        <f>IF(J1491="","",J1491-N(N1491))</f>
        <v/>
      </c>
      <c r="P1491" s="27">
        <f>IF(A1491="","",MONTH(A1491))</f>
        <v/>
      </c>
      <c r="Q1491" s="27">
        <f>IF(A1491="","",YEAR(A1491))</f>
        <v/>
      </c>
      <c r="R1491" s="27">
        <f>IF(L1491="","",IF(L1491&gt;Config!$B$8,"A cair",IF(N(G1491)&gt;=MIN(MAX(1,N(E1491)),MAX(0,INT((Config!$B$8-L1491)/30)+1)),IF(N(G1491)&gt;=MAX(1,N(E1491)),"Conferido","Conferido até aqui"),"A conferir")))</f>
        <v/>
      </c>
      <c r="S1491" s="51">
        <f>IF(R1491="A conferir",(Config!$B$8-L1491)*1000+N(F1491)/1000+ROW()/100000,0)</f>
        <v>0</v>
      </c>
      <c r="T1491" s="51">
        <f>IF(R1491="A conferir",N(N1491),0)</f>
        <v>0</v>
      </c>
      <c r="U1491" s="51">
        <f>IF(L1491="",0,L1491)</f>
        <v>0</v>
      </c>
      <c r="V1491" s="51">
        <f>IF(L1491="",0,MAX(1,N(E1491)))</f>
        <v>0</v>
      </c>
      <c r="W1491" s="51">
        <f>IF(K1491="",0,K1491)</f>
        <v>0</v>
      </c>
    </row>
    <row r="1492">
      <c r="A1492" s="49" t="n"/>
      <c r="B1492" s="41" t="n"/>
      <c r="C1492" s="41" t="n"/>
      <c r="D1492" s="42" t="n"/>
      <c r="E1492" s="42" t="n"/>
      <c r="F1492" s="50" t="n"/>
      <c r="G1492" s="42" t="n"/>
      <c r="H1492" s="30">
        <f>IF(D1492="","",IFERROR(INDEX(Config!$B$12:$B$15,MATCH(IF(AND(D1492="Cartão de crédito",N(E1492)&gt;1),"Cartão de crédito parcelado",D1492),Config!$A$12:$A$15,0)),0)+IF(AND(Config!$B$17="Sim",LEFT(D1492,17)="Cartão de crédito"),Config!$B$18*IFERROR(INDEX(Config!$C$12:$C$15,MATCH(IF(AND(D1492="Cartão de crédito",N(E1492)&gt;1),"Cartão de crédito parcelado",D1492),Config!$A$12:$A$15,0)),0)/30*MAX(1,N(E1492)),0))</f>
        <v/>
      </c>
      <c r="I1492" s="29">
        <f>IF(OR(D1492="",F1492=""),"",ROUND(F1492*H1492,2))</f>
        <v/>
      </c>
      <c r="J1492" s="29">
        <f>IF(I1492="","",F1492-I1492)</f>
        <v/>
      </c>
      <c r="K1492" s="29">
        <f>IF(J1492="","",J1492/MAX(1,N(E1492)))</f>
        <v/>
      </c>
      <c r="L1492" s="37">
        <f>IF(OR(D1492="",A1492=""),"",A1492+IF(AND(Config!$B$17="Sim",LEFT(D1492,17)="Cartão de crédito"),1,IFERROR(INDEX(Config!$C$12:$C$15,MATCH(IF(AND(D1492="Cartão de crédito",N(E1492)&gt;1),"Cartão de crédito parcelado",D1492),Config!$A$12:$A$15,0)),0)))</f>
        <v/>
      </c>
      <c r="M1492" s="37">
        <f>IF(L1492="","",IF(AND(Config!$B$17="Sim",LEFT(D1492,17)="Cartão de crédito"),L1492,L1492+30*(MAX(1,N(E1492))-1)))</f>
        <v/>
      </c>
      <c r="N1492" s="29">
        <f>IF(OR(L1492="",K1492=""),"",K1492*MIN(MAX(1,N(E1492)),MAX(0,INT((Config!$B$8-L1492)/30)+1)))</f>
        <v/>
      </c>
      <c r="O1492" s="29">
        <f>IF(J1492="","",J1492-N(N1492))</f>
        <v/>
      </c>
      <c r="P1492" s="27">
        <f>IF(A1492="","",MONTH(A1492))</f>
        <v/>
      </c>
      <c r="Q1492" s="27">
        <f>IF(A1492="","",YEAR(A1492))</f>
        <v/>
      </c>
      <c r="R1492" s="27">
        <f>IF(L1492="","",IF(L1492&gt;Config!$B$8,"A cair",IF(N(G1492)&gt;=MIN(MAX(1,N(E1492)),MAX(0,INT((Config!$B$8-L1492)/30)+1)),IF(N(G1492)&gt;=MAX(1,N(E1492)),"Conferido","Conferido até aqui"),"A conferir")))</f>
        <v/>
      </c>
      <c r="S1492" s="51">
        <f>IF(R1492="A conferir",(Config!$B$8-L1492)*1000+N(F1492)/1000+ROW()/100000,0)</f>
        <v>0</v>
      </c>
      <c r="T1492" s="51">
        <f>IF(R1492="A conferir",N(N1492),0)</f>
        <v>0</v>
      </c>
      <c r="U1492" s="51">
        <f>IF(L1492="",0,L1492)</f>
        <v>0</v>
      </c>
      <c r="V1492" s="51">
        <f>IF(L1492="",0,MAX(1,N(E1492)))</f>
        <v>0</v>
      </c>
      <c r="W1492" s="51">
        <f>IF(K1492="",0,K1492)</f>
        <v>0</v>
      </c>
    </row>
    <row r="1493">
      <c r="A1493" s="49" t="n"/>
      <c r="B1493" s="41" t="n"/>
      <c r="C1493" s="41" t="n"/>
      <c r="D1493" s="42" t="n"/>
      <c r="E1493" s="42" t="n"/>
      <c r="F1493" s="50" t="n"/>
      <c r="G1493" s="42" t="n"/>
      <c r="H1493" s="30">
        <f>IF(D1493="","",IFERROR(INDEX(Config!$B$12:$B$15,MATCH(IF(AND(D1493="Cartão de crédito",N(E1493)&gt;1),"Cartão de crédito parcelado",D1493),Config!$A$12:$A$15,0)),0)+IF(AND(Config!$B$17="Sim",LEFT(D1493,17)="Cartão de crédito"),Config!$B$18*IFERROR(INDEX(Config!$C$12:$C$15,MATCH(IF(AND(D1493="Cartão de crédito",N(E1493)&gt;1),"Cartão de crédito parcelado",D1493),Config!$A$12:$A$15,0)),0)/30*MAX(1,N(E1493)),0))</f>
        <v/>
      </c>
      <c r="I1493" s="29">
        <f>IF(OR(D1493="",F1493=""),"",ROUND(F1493*H1493,2))</f>
        <v/>
      </c>
      <c r="J1493" s="29">
        <f>IF(I1493="","",F1493-I1493)</f>
        <v/>
      </c>
      <c r="K1493" s="29">
        <f>IF(J1493="","",J1493/MAX(1,N(E1493)))</f>
        <v/>
      </c>
      <c r="L1493" s="37">
        <f>IF(OR(D1493="",A1493=""),"",A1493+IF(AND(Config!$B$17="Sim",LEFT(D1493,17)="Cartão de crédito"),1,IFERROR(INDEX(Config!$C$12:$C$15,MATCH(IF(AND(D1493="Cartão de crédito",N(E1493)&gt;1),"Cartão de crédito parcelado",D1493),Config!$A$12:$A$15,0)),0)))</f>
        <v/>
      </c>
      <c r="M1493" s="37">
        <f>IF(L1493="","",IF(AND(Config!$B$17="Sim",LEFT(D1493,17)="Cartão de crédito"),L1493,L1493+30*(MAX(1,N(E1493))-1)))</f>
        <v/>
      </c>
      <c r="N1493" s="29">
        <f>IF(OR(L1493="",K1493=""),"",K1493*MIN(MAX(1,N(E1493)),MAX(0,INT((Config!$B$8-L1493)/30)+1)))</f>
        <v/>
      </c>
      <c r="O1493" s="29">
        <f>IF(J1493="","",J1493-N(N1493))</f>
        <v/>
      </c>
      <c r="P1493" s="27">
        <f>IF(A1493="","",MONTH(A1493))</f>
        <v/>
      </c>
      <c r="Q1493" s="27">
        <f>IF(A1493="","",YEAR(A1493))</f>
        <v/>
      </c>
      <c r="R1493" s="27">
        <f>IF(L1493="","",IF(L1493&gt;Config!$B$8,"A cair",IF(N(G1493)&gt;=MIN(MAX(1,N(E1493)),MAX(0,INT((Config!$B$8-L1493)/30)+1)),IF(N(G1493)&gt;=MAX(1,N(E1493)),"Conferido","Conferido até aqui"),"A conferir")))</f>
        <v/>
      </c>
      <c r="S1493" s="51">
        <f>IF(R1493="A conferir",(Config!$B$8-L1493)*1000+N(F1493)/1000+ROW()/100000,0)</f>
        <v>0</v>
      </c>
      <c r="T1493" s="51">
        <f>IF(R1493="A conferir",N(N1493),0)</f>
        <v>0</v>
      </c>
      <c r="U1493" s="51">
        <f>IF(L1493="",0,L1493)</f>
        <v>0</v>
      </c>
      <c r="V1493" s="51">
        <f>IF(L1493="",0,MAX(1,N(E1493)))</f>
        <v>0</v>
      </c>
      <c r="W1493" s="51">
        <f>IF(K1493="",0,K1493)</f>
        <v>0</v>
      </c>
    </row>
    <row r="1494">
      <c r="A1494" s="49" t="n"/>
      <c r="B1494" s="41" t="n"/>
      <c r="C1494" s="41" t="n"/>
      <c r="D1494" s="42" t="n"/>
      <c r="E1494" s="42" t="n"/>
      <c r="F1494" s="50" t="n"/>
      <c r="G1494" s="42" t="n"/>
      <c r="H1494" s="30">
        <f>IF(D1494="","",IFERROR(INDEX(Config!$B$12:$B$15,MATCH(IF(AND(D1494="Cartão de crédito",N(E1494)&gt;1),"Cartão de crédito parcelado",D1494),Config!$A$12:$A$15,0)),0)+IF(AND(Config!$B$17="Sim",LEFT(D1494,17)="Cartão de crédito"),Config!$B$18*IFERROR(INDEX(Config!$C$12:$C$15,MATCH(IF(AND(D1494="Cartão de crédito",N(E1494)&gt;1),"Cartão de crédito parcelado",D1494),Config!$A$12:$A$15,0)),0)/30*MAX(1,N(E1494)),0))</f>
        <v/>
      </c>
      <c r="I1494" s="29">
        <f>IF(OR(D1494="",F1494=""),"",ROUND(F1494*H1494,2))</f>
        <v/>
      </c>
      <c r="J1494" s="29">
        <f>IF(I1494="","",F1494-I1494)</f>
        <v/>
      </c>
      <c r="K1494" s="29">
        <f>IF(J1494="","",J1494/MAX(1,N(E1494)))</f>
        <v/>
      </c>
      <c r="L1494" s="37">
        <f>IF(OR(D1494="",A1494=""),"",A1494+IF(AND(Config!$B$17="Sim",LEFT(D1494,17)="Cartão de crédito"),1,IFERROR(INDEX(Config!$C$12:$C$15,MATCH(IF(AND(D1494="Cartão de crédito",N(E1494)&gt;1),"Cartão de crédito parcelado",D1494),Config!$A$12:$A$15,0)),0)))</f>
        <v/>
      </c>
      <c r="M1494" s="37">
        <f>IF(L1494="","",IF(AND(Config!$B$17="Sim",LEFT(D1494,17)="Cartão de crédito"),L1494,L1494+30*(MAX(1,N(E1494))-1)))</f>
        <v/>
      </c>
      <c r="N1494" s="29">
        <f>IF(OR(L1494="",K1494=""),"",K1494*MIN(MAX(1,N(E1494)),MAX(0,INT((Config!$B$8-L1494)/30)+1)))</f>
        <v/>
      </c>
      <c r="O1494" s="29">
        <f>IF(J1494="","",J1494-N(N1494))</f>
        <v/>
      </c>
      <c r="P1494" s="27">
        <f>IF(A1494="","",MONTH(A1494))</f>
        <v/>
      </c>
      <c r="Q1494" s="27">
        <f>IF(A1494="","",YEAR(A1494))</f>
        <v/>
      </c>
      <c r="R1494" s="27">
        <f>IF(L1494="","",IF(L1494&gt;Config!$B$8,"A cair",IF(N(G1494)&gt;=MIN(MAX(1,N(E1494)),MAX(0,INT((Config!$B$8-L1494)/30)+1)),IF(N(G1494)&gt;=MAX(1,N(E1494)),"Conferido","Conferido até aqui"),"A conferir")))</f>
        <v/>
      </c>
      <c r="S1494" s="51">
        <f>IF(R1494="A conferir",(Config!$B$8-L1494)*1000+N(F1494)/1000+ROW()/100000,0)</f>
        <v>0</v>
      </c>
      <c r="T1494" s="51">
        <f>IF(R1494="A conferir",N(N1494),0)</f>
        <v>0</v>
      </c>
      <c r="U1494" s="51">
        <f>IF(L1494="",0,L1494)</f>
        <v>0</v>
      </c>
      <c r="V1494" s="51">
        <f>IF(L1494="",0,MAX(1,N(E1494)))</f>
        <v>0</v>
      </c>
      <c r="W1494" s="51">
        <f>IF(K1494="",0,K1494)</f>
        <v>0</v>
      </c>
    </row>
    <row r="1495">
      <c r="A1495" s="49" t="n"/>
      <c r="B1495" s="41" t="n"/>
      <c r="C1495" s="41" t="n"/>
      <c r="D1495" s="42" t="n"/>
      <c r="E1495" s="42" t="n"/>
      <c r="F1495" s="50" t="n"/>
      <c r="G1495" s="42" t="n"/>
      <c r="H1495" s="30">
        <f>IF(D1495="","",IFERROR(INDEX(Config!$B$12:$B$15,MATCH(IF(AND(D1495="Cartão de crédito",N(E1495)&gt;1),"Cartão de crédito parcelado",D1495),Config!$A$12:$A$15,0)),0)+IF(AND(Config!$B$17="Sim",LEFT(D1495,17)="Cartão de crédito"),Config!$B$18*IFERROR(INDEX(Config!$C$12:$C$15,MATCH(IF(AND(D1495="Cartão de crédito",N(E1495)&gt;1),"Cartão de crédito parcelado",D1495),Config!$A$12:$A$15,0)),0)/30*MAX(1,N(E1495)),0))</f>
        <v/>
      </c>
      <c r="I1495" s="29">
        <f>IF(OR(D1495="",F1495=""),"",ROUND(F1495*H1495,2))</f>
        <v/>
      </c>
      <c r="J1495" s="29">
        <f>IF(I1495="","",F1495-I1495)</f>
        <v/>
      </c>
      <c r="K1495" s="29">
        <f>IF(J1495="","",J1495/MAX(1,N(E1495)))</f>
        <v/>
      </c>
      <c r="L1495" s="37">
        <f>IF(OR(D1495="",A1495=""),"",A1495+IF(AND(Config!$B$17="Sim",LEFT(D1495,17)="Cartão de crédito"),1,IFERROR(INDEX(Config!$C$12:$C$15,MATCH(IF(AND(D1495="Cartão de crédito",N(E1495)&gt;1),"Cartão de crédito parcelado",D1495),Config!$A$12:$A$15,0)),0)))</f>
        <v/>
      </c>
      <c r="M1495" s="37">
        <f>IF(L1495="","",IF(AND(Config!$B$17="Sim",LEFT(D1495,17)="Cartão de crédito"),L1495,L1495+30*(MAX(1,N(E1495))-1)))</f>
        <v/>
      </c>
      <c r="N1495" s="29">
        <f>IF(OR(L1495="",K1495=""),"",K1495*MIN(MAX(1,N(E1495)),MAX(0,INT((Config!$B$8-L1495)/30)+1)))</f>
        <v/>
      </c>
      <c r="O1495" s="29">
        <f>IF(J1495="","",J1495-N(N1495))</f>
        <v/>
      </c>
      <c r="P1495" s="27">
        <f>IF(A1495="","",MONTH(A1495))</f>
        <v/>
      </c>
      <c r="Q1495" s="27">
        <f>IF(A1495="","",YEAR(A1495))</f>
        <v/>
      </c>
      <c r="R1495" s="27">
        <f>IF(L1495="","",IF(L1495&gt;Config!$B$8,"A cair",IF(N(G1495)&gt;=MIN(MAX(1,N(E1495)),MAX(0,INT((Config!$B$8-L1495)/30)+1)),IF(N(G1495)&gt;=MAX(1,N(E1495)),"Conferido","Conferido até aqui"),"A conferir")))</f>
        <v/>
      </c>
      <c r="S1495" s="51">
        <f>IF(R1495="A conferir",(Config!$B$8-L1495)*1000+N(F1495)/1000+ROW()/100000,0)</f>
        <v>0</v>
      </c>
      <c r="T1495" s="51">
        <f>IF(R1495="A conferir",N(N1495),0)</f>
        <v>0</v>
      </c>
      <c r="U1495" s="51">
        <f>IF(L1495="",0,L1495)</f>
        <v>0</v>
      </c>
      <c r="V1495" s="51">
        <f>IF(L1495="",0,MAX(1,N(E1495)))</f>
        <v>0</v>
      </c>
      <c r="W1495" s="51">
        <f>IF(K1495="",0,K1495)</f>
        <v>0</v>
      </c>
    </row>
    <row r="1496">
      <c r="A1496" s="49" t="n"/>
      <c r="B1496" s="41" t="n"/>
      <c r="C1496" s="41" t="n"/>
      <c r="D1496" s="42" t="n"/>
      <c r="E1496" s="42" t="n"/>
      <c r="F1496" s="50" t="n"/>
      <c r="G1496" s="42" t="n"/>
      <c r="H1496" s="30">
        <f>IF(D1496="","",IFERROR(INDEX(Config!$B$12:$B$15,MATCH(IF(AND(D1496="Cartão de crédito",N(E1496)&gt;1),"Cartão de crédito parcelado",D1496),Config!$A$12:$A$15,0)),0)+IF(AND(Config!$B$17="Sim",LEFT(D1496,17)="Cartão de crédito"),Config!$B$18*IFERROR(INDEX(Config!$C$12:$C$15,MATCH(IF(AND(D1496="Cartão de crédito",N(E1496)&gt;1),"Cartão de crédito parcelado",D1496),Config!$A$12:$A$15,0)),0)/30*MAX(1,N(E1496)),0))</f>
        <v/>
      </c>
      <c r="I1496" s="29">
        <f>IF(OR(D1496="",F1496=""),"",ROUND(F1496*H1496,2))</f>
        <v/>
      </c>
      <c r="J1496" s="29">
        <f>IF(I1496="","",F1496-I1496)</f>
        <v/>
      </c>
      <c r="K1496" s="29">
        <f>IF(J1496="","",J1496/MAX(1,N(E1496)))</f>
        <v/>
      </c>
      <c r="L1496" s="37">
        <f>IF(OR(D1496="",A1496=""),"",A1496+IF(AND(Config!$B$17="Sim",LEFT(D1496,17)="Cartão de crédito"),1,IFERROR(INDEX(Config!$C$12:$C$15,MATCH(IF(AND(D1496="Cartão de crédito",N(E1496)&gt;1),"Cartão de crédito parcelado",D1496),Config!$A$12:$A$15,0)),0)))</f>
        <v/>
      </c>
      <c r="M1496" s="37">
        <f>IF(L1496="","",IF(AND(Config!$B$17="Sim",LEFT(D1496,17)="Cartão de crédito"),L1496,L1496+30*(MAX(1,N(E1496))-1)))</f>
        <v/>
      </c>
      <c r="N1496" s="29">
        <f>IF(OR(L1496="",K1496=""),"",K1496*MIN(MAX(1,N(E1496)),MAX(0,INT((Config!$B$8-L1496)/30)+1)))</f>
        <v/>
      </c>
      <c r="O1496" s="29">
        <f>IF(J1496="","",J1496-N(N1496))</f>
        <v/>
      </c>
      <c r="P1496" s="27">
        <f>IF(A1496="","",MONTH(A1496))</f>
        <v/>
      </c>
      <c r="Q1496" s="27">
        <f>IF(A1496="","",YEAR(A1496))</f>
        <v/>
      </c>
      <c r="R1496" s="27">
        <f>IF(L1496="","",IF(L1496&gt;Config!$B$8,"A cair",IF(N(G1496)&gt;=MIN(MAX(1,N(E1496)),MAX(0,INT((Config!$B$8-L1496)/30)+1)),IF(N(G1496)&gt;=MAX(1,N(E1496)),"Conferido","Conferido até aqui"),"A conferir")))</f>
        <v/>
      </c>
      <c r="S1496" s="51">
        <f>IF(R1496="A conferir",(Config!$B$8-L1496)*1000+N(F1496)/1000+ROW()/100000,0)</f>
        <v>0</v>
      </c>
      <c r="T1496" s="51">
        <f>IF(R1496="A conferir",N(N1496),0)</f>
        <v>0</v>
      </c>
      <c r="U1496" s="51">
        <f>IF(L1496="",0,L1496)</f>
        <v>0</v>
      </c>
      <c r="V1496" s="51">
        <f>IF(L1496="",0,MAX(1,N(E1496)))</f>
        <v>0</v>
      </c>
      <c r="W1496" s="51">
        <f>IF(K1496="",0,K1496)</f>
        <v>0</v>
      </c>
    </row>
    <row r="1497">
      <c r="A1497" s="49" t="n"/>
      <c r="B1497" s="41" t="n"/>
      <c r="C1497" s="41" t="n"/>
      <c r="D1497" s="42" t="n"/>
      <c r="E1497" s="42" t="n"/>
      <c r="F1497" s="50" t="n"/>
      <c r="G1497" s="42" t="n"/>
      <c r="H1497" s="30">
        <f>IF(D1497="","",IFERROR(INDEX(Config!$B$12:$B$15,MATCH(IF(AND(D1497="Cartão de crédito",N(E1497)&gt;1),"Cartão de crédito parcelado",D1497),Config!$A$12:$A$15,0)),0)+IF(AND(Config!$B$17="Sim",LEFT(D1497,17)="Cartão de crédito"),Config!$B$18*IFERROR(INDEX(Config!$C$12:$C$15,MATCH(IF(AND(D1497="Cartão de crédito",N(E1497)&gt;1),"Cartão de crédito parcelado",D1497),Config!$A$12:$A$15,0)),0)/30*MAX(1,N(E1497)),0))</f>
        <v/>
      </c>
      <c r="I1497" s="29">
        <f>IF(OR(D1497="",F1497=""),"",ROUND(F1497*H1497,2))</f>
        <v/>
      </c>
      <c r="J1497" s="29">
        <f>IF(I1497="","",F1497-I1497)</f>
        <v/>
      </c>
      <c r="K1497" s="29">
        <f>IF(J1497="","",J1497/MAX(1,N(E1497)))</f>
        <v/>
      </c>
      <c r="L1497" s="37">
        <f>IF(OR(D1497="",A1497=""),"",A1497+IF(AND(Config!$B$17="Sim",LEFT(D1497,17)="Cartão de crédito"),1,IFERROR(INDEX(Config!$C$12:$C$15,MATCH(IF(AND(D1497="Cartão de crédito",N(E1497)&gt;1),"Cartão de crédito parcelado",D1497),Config!$A$12:$A$15,0)),0)))</f>
        <v/>
      </c>
      <c r="M1497" s="37">
        <f>IF(L1497="","",IF(AND(Config!$B$17="Sim",LEFT(D1497,17)="Cartão de crédito"),L1497,L1497+30*(MAX(1,N(E1497))-1)))</f>
        <v/>
      </c>
      <c r="N1497" s="29">
        <f>IF(OR(L1497="",K1497=""),"",K1497*MIN(MAX(1,N(E1497)),MAX(0,INT((Config!$B$8-L1497)/30)+1)))</f>
        <v/>
      </c>
      <c r="O1497" s="29">
        <f>IF(J1497="","",J1497-N(N1497))</f>
        <v/>
      </c>
      <c r="P1497" s="27">
        <f>IF(A1497="","",MONTH(A1497))</f>
        <v/>
      </c>
      <c r="Q1497" s="27">
        <f>IF(A1497="","",YEAR(A1497))</f>
        <v/>
      </c>
      <c r="R1497" s="27">
        <f>IF(L1497="","",IF(L1497&gt;Config!$B$8,"A cair",IF(N(G1497)&gt;=MIN(MAX(1,N(E1497)),MAX(0,INT((Config!$B$8-L1497)/30)+1)),IF(N(G1497)&gt;=MAX(1,N(E1497)),"Conferido","Conferido até aqui"),"A conferir")))</f>
        <v/>
      </c>
      <c r="S1497" s="51">
        <f>IF(R1497="A conferir",(Config!$B$8-L1497)*1000+N(F1497)/1000+ROW()/100000,0)</f>
        <v>0</v>
      </c>
      <c r="T1497" s="51">
        <f>IF(R1497="A conferir",N(N1497),0)</f>
        <v>0</v>
      </c>
      <c r="U1497" s="51">
        <f>IF(L1497="",0,L1497)</f>
        <v>0</v>
      </c>
      <c r="V1497" s="51">
        <f>IF(L1497="",0,MAX(1,N(E1497)))</f>
        <v>0</v>
      </c>
      <c r="W1497" s="51">
        <f>IF(K1497="",0,K1497)</f>
        <v>0</v>
      </c>
    </row>
    <row r="1498">
      <c r="A1498" s="49" t="n"/>
      <c r="B1498" s="41" t="n"/>
      <c r="C1498" s="41" t="n"/>
      <c r="D1498" s="42" t="n"/>
      <c r="E1498" s="42" t="n"/>
      <c r="F1498" s="50" t="n"/>
      <c r="G1498" s="42" t="n"/>
      <c r="H1498" s="30">
        <f>IF(D1498="","",IFERROR(INDEX(Config!$B$12:$B$15,MATCH(IF(AND(D1498="Cartão de crédito",N(E1498)&gt;1),"Cartão de crédito parcelado",D1498),Config!$A$12:$A$15,0)),0)+IF(AND(Config!$B$17="Sim",LEFT(D1498,17)="Cartão de crédito"),Config!$B$18*IFERROR(INDEX(Config!$C$12:$C$15,MATCH(IF(AND(D1498="Cartão de crédito",N(E1498)&gt;1),"Cartão de crédito parcelado",D1498),Config!$A$12:$A$15,0)),0)/30*MAX(1,N(E1498)),0))</f>
        <v/>
      </c>
      <c r="I1498" s="29">
        <f>IF(OR(D1498="",F1498=""),"",ROUND(F1498*H1498,2))</f>
        <v/>
      </c>
      <c r="J1498" s="29">
        <f>IF(I1498="","",F1498-I1498)</f>
        <v/>
      </c>
      <c r="K1498" s="29">
        <f>IF(J1498="","",J1498/MAX(1,N(E1498)))</f>
        <v/>
      </c>
      <c r="L1498" s="37">
        <f>IF(OR(D1498="",A1498=""),"",A1498+IF(AND(Config!$B$17="Sim",LEFT(D1498,17)="Cartão de crédito"),1,IFERROR(INDEX(Config!$C$12:$C$15,MATCH(IF(AND(D1498="Cartão de crédito",N(E1498)&gt;1),"Cartão de crédito parcelado",D1498),Config!$A$12:$A$15,0)),0)))</f>
        <v/>
      </c>
      <c r="M1498" s="37">
        <f>IF(L1498="","",IF(AND(Config!$B$17="Sim",LEFT(D1498,17)="Cartão de crédito"),L1498,L1498+30*(MAX(1,N(E1498))-1)))</f>
        <v/>
      </c>
      <c r="N1498" s="29">
        <f>IF(OR(L1498="",K1498=""),"",K1498*MIN(MAX(1,N(E1498)),MAX(0,INT((Config!$B$8-L1498)/30)+1)))</f>
        <v/>
      </c>
      <c r="O1498" s="29">
        <f>IF(J1498="","",J1498-N(N1498))</f>
        <v/>
      </c>
      <c r="P1498" s="27">
        <f>IF(A1498="","",MONTH(A1498))</f>
        <v/>
      </c>
      <c r="Q1498" s="27">
        <f>IF(A1498="","",YEAR(A1498))</f>
        <v/>
      </c>
      <c r="R1498" s="27">
        <f>IF(L1498="","",IF(L1498&gt;Config!$B$8,"A cair",IF(N(G1498)&gt;=MIN(MAX(1,N(E1498)),MAX(0,INT((Config!$B$8-L1498)/30)+1)),IF(N(G1498)&gt;=MAX(1,N(E1498)),"Conferido","Conferido até aqui"),"A conferir")))</f>
        <v/>
      </c>
      <c r="S1498" s="51">
        <f>IF(R1498="A conferir",(Config!$B$8-L1498)*1000+N(F1498)/1000+ROW()/100000,0)</f>
        <v>0</v>
      </c>
      <c r="T1498" s="51">
        <f>IF(R1498="A conferir",N(N1498),0)</f>
        <v>0</v>
      </c>
      <c r="U1498" s="51">
        <f>IF(L1498="",0,L1498)</f>
        <v>0</v>
      </c>
      <c r="V1498" s="51">
        <f>IF(L1498="",0,MAX(1,N(E1498)))</f>
        <v>0</v>
      </c>
      <c r="W1498" s="51">
        <f>IF(K1498="",0,K1498)</f>
        <v>0</v>
      </c>
    </row>
    <row r="1499">
      <c r="A1499" s="49" t="n"/>
      <c r="B1499" s="41" t="n"/>
      <c r="C1499" s="41" t="n"/>
      <c r="D1499" s="42" t="n"/>
      <c r="E1499" s="42" t="n"/>
      <c r="F1499" s="50" t="n"/>
      <c r="G1499" s="42" t="n"/>
      <c r="H1499" s="30">
        <f>IF(D1499="","",IFERROR(INDEX(Config!$B$12:$B$15,MATCH(IF(AND(D1499="Cartão de crédito",N(E1499)&gt;1),"Cartão de crédito parcelado",D1499),Config!$A$12:$A$15,0)),0)+IF(AND(Config!$B$17="Sim",LEFT(D1499,17)="Cartão de crédito"),Config!$B$18*IFERROR(INDEX(Config!$C$12:$C$15,MATCH(IF(AND(D1499="Cartão de crédito",N(E1499)&gt;1),"Cartão de crédito parcelado",D1499),Config!$A$12:$A$15,0)),0)/30*MAX(1,N(E1499)),0))</f>
        <v/>
      </c>
      <c r="I1499" s="29">
        <f>IF(OR(D1499="",F1499=""),"",ROUND(F1499*H1499,2))</f>
        <v/>
      </c>
      <c r="J1499" s="29">
        <f>IF(I1499="","",F1499-I1499)</f>
        <v/>
      </c>
      <c r="K1499" s="29">
        <f>IF(J1499="","",J1499/MAX(1,N(E1499)))</f>
        <v/>
      </c>
      <c r="L1499" s="37">
        <f>IF(OR(D1499="",A1499=""),"",A1499+IF(AND(Config!$B$17="Sim",LEFT(D1499,17)="Cartão de crédito"),1,IFERROR(INDEX(Config!$C$12:$C$15,MATCH(IF(AND(D1499="Cartão de crédito",N(E1499)&gt;1),"Cartão de crédito parcelado",D1499),Config!$A$12:$A$15,0)),0)))</f>
        <v/>
      </c>
      <c r="M1499" s="37">
        <f>IF(L1499="","",IF(AND(Config!$B$17="Sim",LEFT(D1499,17)="Cartão de crédito"),L1499,L1499+30*(MAX(1,N(E1499))-1)))</f>
        <v/>
      </c>
      <c r="N1499" s="29">
        <f>IF(OR(L1499="",K1499=""),"",K1499*MIN(MAX(1,N(E1499)),MAX(0,INT((Config!$B$8-L1499)/30)+1)))</f>
        <v/>
      </c>
      <c r="O1499" s="29">
        <f>IF(J1499="","",J1499-N(N1499))</f>
        <v/>
      </c>
      <c r="P1499" s="27">
        <f>IF(A1499="","",MONTH(A1499))</f>
        <v/>
      </c>
      <c r="Q1499" s="27">
        <f>IF(A1499="","",YEAR(A1499))</f>
        <v/>
      </c>
      <c r="R1499" s="27">
        <f>IF(L1499="","",IF(L1499&gt;Config!$B$8,"A cair",IF(N(G1499)&gt;=MIN(MAX(1,N(E1499)),MAX(0,INT((Config!$B$8-L1499)/30)+1)),IF(N(G1499)&gt;=MAX(1,N(E1499)),"Conferido","Conferido até aqui"),"A conferir")))</f>
        <v/>
      </c>
      <c r="S1499" s="51">
        <f>IF(R1499="A conferir",(Config!$B$8-L1499)*1000+N(F1499)/1000+ROW()/100000,0)</f>
        <v>0</v>
      </c>
      <c r="T1499" s="51">
        <f>IF(R1499="A conferir",N(N1499),0)</f>
        <v>0</v>
      </c>
      <c r="U1499" s="51">
        <f>IF(L1499="",0,L1499)</f>
        <v>0</v>
      </c>
      <c r="V1499" s="51">
        <f>IF(L1499="",0,MAX(1,N(E1499)))</f>
        <v>0</v>
      </c>
      <c r="W1499" s="51">
        <f>IF(K1499="",0,K1499)</f>
        <v>0</v>
      </c>
    </row>
    <row r="1500">
      <c r="A1500" s="49" t="n"/>
      <c r="B1500" s="41" t="n"/>
      <c r="C1500" s="41" t="n"/>
      <c r="D1500" s="42" t="n"/>
      <c r="E1500" s="42" t="n"/>
      <c r="F1500" s="50" t="n"/>
      <c r="G1500" s="42" t="n"/>
      <c r="H1500" s="30">
        <f>IF(D1500="","",IFERROR(INDEX(Config!$B$12:$B$15,MATCH(IF(AND(D1500="Cartão de crédito",N(E1500)&gt;1),"Cartão de crédito parcelado",D1500),Config!$A$12:$A$15,0)),0)+IF(AND(Config!$B$17="Sim",LEFT(D1500,17)="Cartão de crédito"),Config!$B$18*IFERROR(INDEX(Config!$C$12:$C$15,MATCH(IF(AND(D1500="Cartão de crédito",N(E1500)&gt;1),"Cartão de crédito parcelado",D1500),Config!$A$12:$A$15,0)),0)/30*MAX(1,N(E1500)),0))</f>
        <v/>
      </c>
      <c r="I1500" s="29">
        <f>IF(OR(D1500="",F1500=""),"",ROUND(F1500*H1500,2))</f>
        <v/>
      </c>
      <c r="J1500" s="29">
        <f>IF(I1500="","",F1500-I1500)</f>
        <v/>
      </c>
      <c r="K1500" s="29">
        <f>IF(J1500="","",J1500/MAX(1,N(E1500)))</f>
        <v/>
      </c>
      <c r="L1500" s="37">
        <f>IF(OR(D1500="",A1500=""),"",A1500+IF(AND(Config!$B$17="Sim",LEFT(D1500,17)="Cartão de crédito"),1,IFERROR(INDEX(Config!$C$12:$C$15,MATCH(IF(AND(D1500="Cartão de crédito",N(E1500)&gt;1),"Cartão de crédito parcelado",D1500),Config!$A$12:$A$15,0)),0)))</f>
        <v/>
      </c>
      <c r="M1500" s="37">
        <f>IF(L1500="","",IF(AND(Config!$B$17="Sim",LEFT(D1500,17)="Cartão de crédito"),L1500,L1500+30*(MAX(1,N(E1500))-1)))</f>
        <v/>
      </c>
      <c r="N1500" s="29">
        <f>IF(OR(L1500="",K1500=""),"",K1500*MIN(MAX(1,N(E1500)),MAX(0,INT((Config!$B$8-L1500)/30)+1)))</f>
        <v/>
      </c>
      <c r="O1500" s="29">
        <f>IF(J1500="","",J1500-N(N1500))</f>
        <v/>
      </c>
      <c r="P1500" s="27">
        <f>IF(A1500="","",MONTH(A1500))</f>
        <v/>
      </c>
      <c r="Q1500" s="27">
        <f>IF(A1500="","",YEAR(A1500))</f>
        <v/>
      </c>
      <c r="R1500" s="27">
        <f>IF(L1500="","",IF(L1500&gt;Config!$B$8,"A cair",IF(N(G1500)&gt;=MIN(MAX(1,N(E1500)),MAX(0,INT((Config!$B$8-L1500)/30)+1)),IF(N(G1500)&gt;=MAX(1,N(E1500)),"Conferido","Conferido até aqui"),"A conferir")))</f>
        <v/>
      </c>
      <c r="S1500" s="51">
        <f>IF(R1500="A conferir",(Config!$B$8-L1500)*1000+N(F1500)/1000+ROW()/100000,0)</f>
        <v>0</v>
      </c>
      <c r="T1500" s="51">
        <f>IF(R1500="A conferir",N(N1500),0)</f>
        <v>0</v>
      </c>
      <c r="U1500" s="51">
        <f>IF(L1500="",0,L1500)</f>
        <v>0</v>
      </c>
      <c r="V1500" s="51">
        <f>IF(L1500="",0,MAX(1,N(E1500)))</f>
        <v>0</v>
      </c>
      <c r="W1500" s="51">
        <f>IF(K1500="",0,K1500)</f>
        <v>0</v>
      </c>
    </row>
    <row r="1501">
      <c r="A1501" s="49" t="n"/>
      <c r="B1501" s="41" t="n"/>
      <c r="C1501" s="41" t="n"/>
      <c r="D1501" s="42" t="n"/>
      <c r="E1501" s="42" t="n"/>
      <c r="F1501" s="50" t="n"/>
      <c r="G1501" s="42" t="n"/>
      <c r="H1501" s="30">
        <f>IF(D1501="","",IFERROR(INDEX(Config!$B$12:$B$15,MATCH(IF(AND(D1501="Cartão de crédito",N(E1501)&gt;1),"Cartão de crédito parcelado",D1501),Config!$A$12:$A$15,0)),0)+IF(AND(Config!$B$17="Sim",LEFT(D1501,17)="Cartão de crédito"),Config!$B$18*IFERROR(INDEX(Config!$C$12:$C$15,MATCH(IF(AND(D1501="Cartão de crédito",N(E1501)&gt;1),"Cartão de crédito parcelado",D1501),Config!$A$12:$A$15,0)),0)/30*MAX(1,N(E1501)),0))</f>
        <v/>
      </c>
      <c r="I1501" s="29">
        <f>IF(OR(D1501="",F1501=""),"",ROUND(F1501*H1501,2))</f>
        <v/>
      </c>
      <c r="J1501" s="29">
        <f>IF(I1501="","",F1501-I1501)</f>
        <v/>
      </c>
      <c r="K1501" s="29">
        <f>IF(J1501="","",J1501/MAX(1,N(E1501)))</f>
        <v/>
      </c>
      <c r="L1501" s="37">
        <f>IF(OR(D1501="",A1501=""),"",A1501+IF(AND(Config!$B$17="Sim",LEFT(D1501,17)="Cartão de crédito"),1,IFERROR(INDEX(Config!$C$12:$C$15,MATCH(IF(AND(D1501="Cartão de crédito",N(E1501)&gt;1),"Cartão de crédito parcelado",D1501),Config!$A$12:$A$15,0)),0)))</f>
        <v/>
      </c>
      <c r="M1501" s="37">
        <f>IF(L1501="","",IF(AND(Config!$B$17="Sim",LEFT(D1501,17)="Cartão de crédito"),L1501,L1501+30*(MAX(1,N(E1501))-1)))</f>
        <v/>
      </c>
      <c r="N1501" s="29">
        <f>IF(OR(L1501="",K1501=""),"",K1501*MIN(MAX(1,N(E1501)),MAX(0,INT((Config!$B$8-L1501)/30)+1)))</f>
        <v/>
      </c>
      <c r="O1501" s="29">
        <f>IF(J1501="","",J1501-N(N1501))</f>
        <v/>
      </c>
      <c r="P1501" s="27">
        <f>IF(A1501="","",MONTH(A1501))</f>
        <v/>
      </c>
      <c r="Q1501" s="27">
        <f>IF(A1501="","",YEAR(A1501))</f>
        <v/>
      </c>
      <c r="R1501" s="27">
        <f>IF(L1501="","",IF(L1501&gt;Config!$B$8,"A cair",IF(N(G1501)&gt;=MIN(MAX(1,N(E1501)),MAX(0,INT((Config!$B$8-L1501)/30)+1)),IF(N(G1501)&gt;=MAX(1,N(E1501)),"Conferido","Conferido até aqui"),"A conferir")))</f>
        <v/>
      </c>
      <c r="S1501" s="51">
        <f>IF(R1501="A conferir",(Config!$B$8-L1501)*1000+N(F1501)/1000+ROW()/100000,0)</f>
        <v>0</v>
      </c>
      <c r="T1501" s="51">
        <f>IF(R1501="A conferir",N(N1501),0)</f>
        <v>0</v>
      </c>
      <c r="U1501" s="51">
        <f>IF(L1501="",0,L1501)</f>
        <v>0</v>
      </c>
      <c r="V1501" s="51">
        <f>IF(L1501="",0,MAX(1,N(E1501)))</f>
        <v>0</v>
      </c>
      <c r="W1501" s="51">
        <f>IF(K1501="",0,K1501)</f>
        <v>0</v>
      </c>
    </row>
    <row r="1502">
      <c r="A1502" s="49" t="n"/>
      <c r="B1502" s="41" t="n"/>
      <c r="C1502" s="41" t="n"/>
      <c r="D1502" s="42" t="n"/>
      <c r="E1502" s="42" t="n"/>
      <c r="F1502" s="50" t="n"/>
      <c r="G1502" s="42" t="n"/>
      <c r="H1502" s="30">
        <f>IF(D1502="","",IFERROR(INDEX(Config!$B$12:$B$15,MATCH(IF(AND(D1502="Cartão de crédito",N(E1502)&gt;1),"Cartão de crédito parcelado",D1502),Config!$A$12:$A$15,0)),0)+IF(AND(Config!$B$17="Sim",LEFT(D1502,17)="Cartão de crédito"),Config!$B$18*IFERROR(INDEX(Config!$C$12:$C$15,MATCH(IF(AND(D1502="Cartão de crédito",N(E1502)&gt;1),"Cartão de crédito parcelado",D1502),Config!$A$12:$A$15,0)),0)/30*MAX(1,N(E1502)),0))</f>
        <v/>
      </c>
      <c r="I1502" s="29">
        <f>IF(OR(D1502="",F1502=""),"",ROUND(F1502*H1502,2))</f>
        <v/>
      </c>
      <c r="J1502" s="29">
        <f>IF(I1502="","",F1502-I1502)</f>
        <v/>
      </c>
      <c r="K1502" s="29">
        <f>IF(J1502="","",J1502/MAX(1,N(E1502)))</f>
        <v/>
      </c>
      <c r="L1502" s="37">
        <f>IF(OR(D1502="",A1502=""),"",A1502+IF(AND(Config!$B$17="Sim",LEFT(D1502,17)="Cartão de crédito"),1,IFERROR(INDEX(Config!$C$12:$C$15,MATCH(IF(AND(D1502="Cartão de crédito",N(E1502)&gt;1),"Cartão de crédito parcelado",D1502),Config!$A$12:$A$15,0)),0)))</f>
        <v/>
      </c>
      <c r="M1502" s="37">
        <f>IF(L1502="","",IF(AND(Config!$B$17="Sim",LEFT(D1502,17)="Cartão de crédito"),L1502,L1502+30*(MAX(1,N(E1502))-1)))</f>
        <v/>
      </c>
      <c r="N1502" s="29">
        <f>IF(OR(L1502="",K1502=""),"",K1502*MIN(MAX(1,N(E1502)),MAX(0,INT((Config!$B$8-L1502)/30)+1)))</f>
        <v/>
      </c>
      <c r="O1502" s="29">
        <f>IF(J1502="","",J1502-N(N1502))</f>
        <v/>
      </c>
      <c r="P1502" s="27">
        <f>IF(A1502="","",MONTH(A1502))</f>
        <v/>
      </c>
      <c r="Q1502" s="27">
        <f>IF(A1502="","",YEAR(A1502))</f>
        <v/>
      </c>
      <c r="R1502" s="27">
        <f>IF(L1502="","",IF(L1502&gt;Config!$B$8,"A cair",IF(N(G1502)&gt;=MIN(MAX(1,N(E1502)),MAX(0,INT((Config!$B$8-L1502)/30)+1)),IF(N(G1502)&gt;=MAX(1,N(E1502)),"Conferido","Conferido até aqui"),"A conferir")))</f>
        <v/>
      </c>
      <c r="S1502" s="51">
        <f>IF(R1502="A conferir",(Config!$B$8-L1502)*1000+N(F1502)/1000+ROW()/100000,0)</f>
        <v>0</v>
      </c>
      <c r="T1502" s="51">
        <f>IF(R1502="A conferir",N(N1502),0)</f>
        <v>0</v>
      </c>
      <c r="U1502" s="51">
        <f>IF(L1502="",0,L1502)</f>
        <v>0</v>
      </c>
      <c r="V1502" s="51">
        <f>IF(L1502="",0,MAX(1,N(E1502)))</f>
        <v>0</v>
      </c>
      <c r="W1502" s="51">
        <f>IF(K1502="",0,K1502)</f>
        <v>0</v>
      </c>
    </row>
    <row r="1503">
      <c r="A1503" s="49" t="n"/>
      <c r="B1503" s="41" t="n"/>
      <c r="C1503" s="41" t="n"/>
      <c r="D1503" s="42" t="n"/>
      <c r="E1503" s="42" t="n"/>
      <c r="F1503" s="50" t="n"/>
      <c r="G1503" s="42" t="n"/>
      <c r="H1503" s="30">
        <f>IF(D1503="","",IFERROR(INDEX(Config!$B$12:$B$15,MATCH(IF(AND(D1503="Cartão de crédito",N(E1503)&gt;1),"Cartão de crédito parcelado",D1503),Config!$A$12:$A$15,0)),0)+IF(AND(Config!$B$17="Sim",LEFT(D1503,17)="Cartão de crédito"),Config!$B$18*IFERROR(INDEX(Config!$C$12:$C$15,MATCH(IF(AND(D1503="Cartão de crédito",N(E1503)&gt;1),"Cartão de crédito parcelado",D1503),Config!$A$12:$A$15,0)),0)/30*MAX(1,N(E1503)),0))</f>
        <v/>
      </c>
      <c r="I1503" s="29">
        <f>IF(OR(D1503="",F1503=""),"",ROUND(F1503*H1503,2))</f>
        <v/>
      </c>
      <c r="J1503" s="29">
        <f>IF(I1503="","",F1503-I1503)</f>
        <v/>
      </c>
      <c r="K1503" s="29">
        <f>IF(J1503="","",J1503/MAX(1,N(E1503)))</f>
        <v/>
      </c>
      <c r="L1503" s="37">
        <f>IF(OR(D1503="",A1503=""),"",A1503+IF(AND(Config!$B$17="Sim",LEFT(D1503,17)="Cartão de crédito"),1,IFERROR(INDEX(Config!$C$12:$C$15,MATCH(IF(AND(D1503="Cartão de crédito",N(E1503)&gt;1),"Cartão de crédito parcelado",D1503),Config!$A$12:$A$15,0)),0)))</f>
        <v/>
      </c>
      <c r="M1503" s="37">
        <f>IF(L1503="","",IF(AND(Config!$B$17="Sim",LEFT(D1503,17)="Cartão de crédito"),L1503,L1503+30*(MAX(1,N(E1503))-1)))</f>
        <v/>
      </c>
      <c r="N1503" s="29">
        <f>IF(OR(L1503="",K1503=""),"",K1503*MIN(MAX(1,N(E1503)),MAX(0,INT((Config!$B$8-L1503)/30)+1)))</f>
        <v/>
      </c>
      <c r="O1503" s="29">
        <f>IF(J1503="","",J1503-N(N1503))</f>
        <v/>
      </c>
      <c r="P1503" s="27">
        <f>IF(A1503="","",MONTH(A1503))</f>
        <v/>
      </c>
      <c r="Q1503" s="27">
        <f>IF(A1503="","",YEAR(A1503))</f>
        <v/>
      </c>
      <c r="R1503" s="27">
        <f>IF(L1503="","",IF(L1503&gt;Config!$B$8,"A cair",IF(N(G1503)&gt;=MIN(MAX(1,N(E1503)),MAX(0,INT((Config!$B$8-L1503)/30)+1)),IF(N(G1503)&gt;=MAX(1,N(E1503)),"Conferido","Conferido até aqui"),"A conferir")))</f>
        <v/>
      </c>
      <c r="S1503" s="51">
        <f>IF(R1503="A conferir",(Config!$B$8-L1503)*1000+N(F1503)/1000+ROW()/100000,0)</f>
        <v>0</v>
      </c>
      <c r="T1503" s="51">
        <f>IF(R1503="A conferir",N(N1503),0)</f>
        <v>0</v>
      </c>
      <c r="U1503" s="51">
        <f>IF(L1503="",0,L1503)</f>
        <v>0</v>
      </c>
      <c r="V1503" s="51">
        <f>IF(L1503="",0,MAX(1,N(E1503)))</f>
        <v>0</v>
      </c>
      <c r="W1503" s="51">
        <f>IF(K1503="",0,K1503)</f>
        <v>0</v>
      </c>
    </row>
    <row r="1504">
      <c r="A1504" s="49" t="n"/>
      <c r="B1504" s="41" t="n"/>
      <c r="C1504" s="41" t="n"/>
      <c r="D1504" s="42" t="n"/>
      <c r="E1504" s="42" t="n"/>
      <c r="F1504" s="50" t="n"/>
      <c r="G1504" s="42" t="n"/>
      <c r="H1504" s="30">
        <f>IF(D1504="","",IFERROR(INDEX(Config!$B$12:$B$15,MATCH(IF(AND(D1504="Cartão de crédito",N(E1504)&gt;1),"Cartão de crédito parcelado",D1504),Config!$A$12:$A$15,0)),0)+IF(AND(Config!$B$17="Sim",LEFT(D1504,17)="Cartão de crédito"),Config!$B$18*IFERROR(INDEX(Config!$C$12:$C$15,MATCH(IF(AND(D1504="Cartão de crédito",N(E1504)&gt;1),"Cartão de crédito parcelado",D1504),Config!$A$12:$A$15,0)),0)/30*MAX(1,N(E1504)),0))</f>
        <v/>
      </c>
      <c r="I1504" s="29">
        <f>IF(OR(D1504="",F1504=""),"",ROUND(F1504*H1504,2))</f>
        <v/>
      </c>
      <c r="J1504" s="29">
        <f>IF(I1504="","",F1504-I1504)</f>
        <v/>
      </c>
      <c r="K1504" s="29">
        <f>IF(J1504="","",J1504/MAX(1,N(E1504)))</f>
        <v/>
      </c>
      <c r="L1504" s="37">
        <f>IF(OR(D1504="",A1504=""),"",A1504+IF(AND(Config!$B$17="Sim",LEFT(D1504,17)="Cartão de crédito"),1,IFERROR(INDEX(Config!$C$12:$C$15,MATCH(IF(AND(D1504="Cartão de crédito",N(E1504)&gt;1),"Cartão de crédito parcelado",D1504),Config!$A$12:$A$15,0)),0)))</f>
        <v/>
      </c>
      <c r="M1504" s="37">
        <f>IF(L1504="","",IF(AND(Config!$B$17="Sim",LEFT(D1504,17)="Cartão de crédito"),L1504,L1504+30*(MAX(1,N(E1504))-1)))</f>
        <v/>
      </c>
      <c r="N1504" s="29">
        <f>IF(OR(L1504="",K1504=""),"",K1504*MIN(MAX(1,N(E1504)),MAX(0,INT((Config!$B$8-L1504)/30)+1)))</f>
        <v/>
      </c>
      <c r="O1504" s="29">
        <f>IF(J1504="","",J1504-N(N1504))</f>
        <v/>
      </c>
      <c r="P1504" s="27">
        <f>IF(A1504="","",MONTH(A1504))</f>
        <v/>
      </c>
      <c r="Q1504" s="27">
        <f>IF(A1504="","",YEAR(A1504))</f>
        <v/>
      </c>
      <c r="R1504" s="27">
        <f>IF(L1504="","",IF(L1504&gt;Config!$B$8,"A cair",IF(N(G1504)&gt;=MIN(MAX(1,N(E1504)),MAX(0,INT((Config!$B$8-L1504)/30)+1)),IF(N(G1504)&gt;=MAX(1,N(E1504)),"Conferido","Conferido até aqui"),"A conferir")))</f>
        <v/>
      </c>
      <c r="S1504" s="51">
        <f>IF(R1504="A conferir",(Config!$B$8-L1504)*1000+N(F1504)/1000+ROW()/100000,0)</f>
        <v>0</v>
      </c>
      <c r="T1504" s="51">
        <f>IF(R1504="A conferir",N(N1504),0)</f>
        <v>0</v>
      </c>
      <c r="U1504" s="51">
        <f>IF(L1504="",0,L1504)</f>
        <v>0</v>
      </c>
      <c r="V1504" s="51">
        <f>IF(L1504="",0,MAX(1,N(E1504)))</f>
        <v>0</v>
      </c>
      <c r="W1504" s="51">
        <f>IF(K1504="",0,K1504)</f>
        <v>0</v>
      </c>
    </row>
    <row r="1505">
      <c r="A1505" s="49" t="n"/>
      <c r="B1505" s="41" t="n"/>
      <c r="C1505" s="41" t="n"/>
      <c r="D1505" s="42" t="n"/>
      <c r="E1505" s="42" t="n"/>
      <c r="F1505" s="50" t="n"/>
      <c r="G1505" s="42" t="n"/>
      <c r="H1505" s="30">
        <f>IF(D1505="","",IFERROR(INDEX(Config!$B$12:$B$15,MATCH(IF(AND(D1505="Cartão de crédito",N(E1505)&gt;1),"Cartão de crédito parcelado",D1505),Config!$A$12:$A$15,0)),0)+IF(AND(Config!$B$17="Sim",LEFT(D1505,17)="Cartão de crédito"),Config!$B$18*IFERROR(INDEX(Config!$C$12:$C$15,MATCH(IF(AND(D1505="Cartão de crédito",N(E1505)&gt;1),"Cartão de crédito parcelado",D1505),Config!$A$12:$A$15,0)),0)/30*MAX(1,N(E1505)),0))</f>
        <v/>
      </c>
      <c r="I1505" s="29">
        <f>IF(OR(D1505="",F1505=""),"",ROUND(F1505*H1505,2))</f>
        <v/>
      </c>
      <c r="J1505" s="29">
        <f>IF(I1505="","",F1505-I1505)</f>
        <v/>
      </c>
      <c r="K1505" s="29">
        <f>IF(J1505="","",J1505/MAX(1,N(E1505)))</f>
        <v/>
      </c>
      <c r="L1505" s="37">
        <f>IF(OR(D1505="",A1505=""),"",A1505+IF(AND(Config!$B$17="Sim",LEFT(D1505,17)="Cartão de crédito"),1,IFERROR(INDEX(Config!$C$12:$C$15,MATCH(IF(AND(D1505="Cartão de crédito",N(E1505)&gt;1),"Cartão de crédito parcelado",D1505),Config!$A$12:$A$15,0)),0)))</f>
        <v/>
      </c>
      <c r="M1505" s="37">
        <f>IF(L1505="","",IF(AND(Config!$B$17="Sim",LEFT(D1505,17)="Cartão de crédito"),L1505,L1505+30*(MAX(1,N(E1505))-1)))</f>
        <v/>
      </c>
      <c r="N1505" s="29">
        <f>IF(OR(L1505="",K1505=""),"",K1505*MIN(MAX(1,N(E1505)),MAX(0,INT((Config!$B$8-L1505)/30)+1)))</f>
        <v/>
      </c>
      <c r="O1505" s="29">
        <f>IF(J1505="","",J1505-N(N1505))</f>
        <v/>
      </c>
      <c r="P1505" s="27">
        <f>IF(A1505="","",MONTH(A1505))</f>
        <v/>
      </c>
      <c r="Q1505" s="27">
        <f>IF(A1505="","",YEAR(A1505))</f>
        <v/>
      </c>
      <c r="R1505" s="27">
        <f>IF(L1505="","",IF(L1505&gt;Config!$B$8,"A cair",IF(N(G1505)&gt;=MIN(MAX(1,N(E1505)),MAX(0,INT((Config!$B$8-L1505)/30)+1)),IF(N(G1505)&gt;=MAX(1,N(E1505)),"Conferido","Conferido até aqui"),"A conferir")))</f>
        <v/>
      </c>
      <c r="S1505" s="51">
        <f>IF(R1505="A conferir",(Config!$B$8-L1505)*1000+N(F1505)/1000+ROW()/100000,0)</f>
        <v>0</v>
      </c>
      <c r="T1505" s="51">
        <f>IF(R1505="A conferir",N(N1505),0)</f>
        <v>0</v>
      </c>
      <c r="U1505" s="51">
        <f>IF(L1505="",0,L1505)</f>
        <v>0</v>
      </c>
      <c r="V1505" s="51">
        <f>IF(L1505="",0,MAX(1,N(E1505)))</f>
        <v>0</v>
      </c>
      <c r="W1505" s="51">
        <f>IF(K1505="",0,K1505)</f>
        <v>0</v>
      </c>
    </row>
    <row r="1506">
      <c r="A1506" s="49" t="n"/>
      <c r="B1506" s="41" t="n"/>
      <c r="C1506" s="41" t="n"/>
      <c r="D1506" s="42" t="n"/>
      <c r="E1506" s="42" t="n"/>
      <c r="F1506" s="50" t="n"/>
      <c r="G1506" s="42" t="n"/>
      <c r="H1506" s="30">
        <f>IF(D1506="","",IFERROR(INDEX(Config!$B$12:$B$15,MATCH(IF(AND(D1506="Cartão de crédito",N(E1506)&gt;1),"Cartão de crédito parcelado",D1506),Config!$A$12:$A$15,0)),0)+IF(AND(Config!$B$17="Sim",LEFT(D1506,17)="Cartão de crédito"),Config!$B$18*IFERROR(INDEX(Config!$C$12:$C$15,MATCH(IF(AND(D1506="Cartão de crédito",N(E1506)&gt;1),"Cartão de crédito parcelado",D1506),Config!$A$12:$A$15,0)),0)/30*MAX(1,N(E1506)),0))</f>
        <v/>
      </c>
      <c r="I1506" s="29">
        <f>IF(OR(D1506="",F1506=""),"",ROUND(F1506*H1506,2))</f>
        <v/>
      </c>
      <c r="J1506" s="29">
        <f>IF(I1506="","",F1506-I1506)</f>
        <v/>
      </c>
      <c r="K1506" s="29">
        <f>IF(J1506="","",J1506/MAX(1,N(E1506)))</f>
        <v/>
      </c>
      <c r="L1506" s="37">
        <f>IF(OR(D1506="",A1506=""),"",A1506+IF(AND(Config!$B$17="Sim",LEFT(D1506,17)="Cartão de crédito"),1,IFERROR(INDEX(Config!$C$12:$C$15,MATCH(IF(AND(D1506="Cartão de crédito",N(E1506)&gt;1),"Cartão de crédito parcelado",D1506),Config!$A$12:$A$15,0)),0)))</f>
        <v/>
      </c>
      <c r="M1506" s="37">
        <f>IF(L1506="","",IF(AND(Config!$B$17="Sim",LEFT(D1506,17)="Cartão de crédito"),L1506,L1506+30*(MAX(1,N(E1506))-1)))</f>
        <v/>
      </c>
      <c r="N1506" s="29">
        <f>IF(OR(L1506="",K1506=""),"",K1506*MIN(MAX(1,N(E1506)),MAX(0,INT((Config!$B$8-L1506)/30)+1)))</f>
        <v/>
      </c>
      <c r="O1506" s="29">
        <f>IF(J1506="","",J1506-N(N1506))</f>
        <v/>
      </c>
      <c r="P1506" s="27">
        <f>IF(A1506="","",MONTH(A1506))</f>
        <v/>
      </c>
      <c r="Q1506" s="27">
        <f>IF(A1506="","",YEAR(A1506))</f>
        <v/>
      </c>
      <c r="R1506" s="27">
        <f>IF(L1506="","",IF(L1506&gt;Config!$B$8,"A cair",IF(N(G1506)&gt;=MIN(MAX(1,N(E1506)),MAX(0,INT((Config!$B$8-L1506)/30)+1)),IF(N(G1506)&gt;=MAX(1,N(E1506)),"Conferido","Conferido até aqui"),"A conferir")))</f>
        <v/>
      </c>
      <c r="S1506" s="51">
        <f>IF(R1506="A conferir",(Config!$B$8-L1506)*1000+N(F1506)/1000+ROW()/100000,0)</f>
        <v>0</v>
      </c>
      <c r="T1506" s="51">
        <f>IF(R1506="A conferir",N(N1506),0)</f>
        <v>0</v>
      </c>
      <c r="U1506" s="51">
        <f>IF(L1506="",0,L1506)</f>
        <v>0</v>
      </c>
      <c r="V1506" s="51">
        <f>IF(L1506="",0,MAX(1,N(E1506)))</f>
        <v>0</v>
      </c>
      <c r="W1506" s="51">
        <f>IF(K1506="",0,K1506)</f>
        <v>0</v>
      </c>
    </row>
    <row r="1507">
      <c r="A1507" s="49" t="n"/>
      <c r="B1507" s="41" t="n"/>
      <c r="C1507" s="41" t="n"/>
      <c r="D1507" s="42" t="n"/>
      <c r="E1507" s="42" t="n"/>
      <c r="F1507" s="50" t="n"/>
      <c r="G1507" s="42" t="n"/>
      <c r="H1507" s="30">
        <f>IF(D1507="","",IFERROR(INDEX(Config!$B$12:$B$15,MATCH(IF(AND(D1507="Cartão de crédito",N(E1507)&gt;1),"Cartão de crédito parcelado",D1507),Config!$A$12:$A$15,0)),0)+IF(AND(Config!$B$17="Sim",LEFT(D1507,17)="Cartão de crédito"),Config!$B$18*IFERROR(INDEX(Config!$C$12:$C$15,MATCH(IF(AND(D1507="Cartão de crédito",N(E1507)&gt;1),"Cartão de crédito parcelado",D1507),Config!$A$12:$A$15,0)),0)/30*MAX(1,N(E1507)),0))</f>
        <v/>
      </c>
      <c r="I1507" s="29">
        <f>IF(OR(D1507="",F1507=""),"",ROUND(F1507*H1507,2))</f>
        <v/>
      </c>
      <c r="J1507" s="29">
        <f>IF(I1507="","",F1507-I1507)</f>
        <v/>
      </c>
      <c r="K1507" s="29">
        <f>IF(J1507="","",J1507/MAX(1,N(E1507)))</f>
        <v/>
      </c>
      <c r="L1507" s="37">
        <f>IF(OR(D1507="",A1507=""),"",A1507+IF(AND(Config!$B$17="Sim",LEFT(D1507,17)="Cartão de crédito"),1,IFERROR(INDEX(Config!$C$12:$C$15,MATCH(IF(AND(D1507="Cartão de crédito",N(E1507)&gt;1),"Cartão de crédito parcelado",D1507),Config!$A$12:$A$15,0)),0)))</f>
        <v/>
      </c>
      <c r="M1507" s="37">
        <f>IF(L1507="","",IF(AND(Config!$B$17="Sim",LEFT(D1507,17)="Cartão de crédito"),L1507,L1507+30*(MAX(1,N(E1507))-1)))</f>
        <v/>
      </c>
      <c r="N1507" s="29">
        <f>IF(OR(L1507="",K1507=""),"",K1507*MIN(MAX(1,N(E1507)),MAX(0,INT((Config!$B$8-L1507)/30)+1)))</f>
        <v/>
      </c>
      <c r="O1507" s="29">
        <f>IF(J1507="","",J1507-N(N1507))</f>
        <v/>
      </c>
      <c r="P1507" s="27">
        <f>IF(A1507="","",MONTH(A1507))</f>
        <v/>
      </c>
      <c r="Q1507" s="27">
        <f>IF(A1507="","",YEAR(A1507))</f>
        <v/>
      </c>
      <c r="R1507" s="27">
        <f>IF(L1507="","",IF(L1507&gt;Config!$B$8,"A cair",IF(N(G1507)&gt;=MIN(MAX(1,N(E1507)),MAX(0,INT((Config!$B$8-L1507)/30)+1)),IF(N(G1507)&gt;=MAX(1,N(E1507)),"Conferido","Conferido até aqui"),"A conferir")))</f>
        <v/>
      </c>
      <c r="S1507" s="51">
        <f>IF(R1507="A conferir",(Config!$B$8-L1507)*1000+N(F1507)/1000+ROW()/100000,0)</f>
        <v>0</v>
      </c>
      <c r="T1507" s="51">
        <f>IF(R1507="A conferir",N(N1507),0)</f>
        <v>0</v>
      </c>
      <c r="U1507" s="51">
        <f>IF(L1507="",0,L1507)</f>
        <v>0</v>
      </c>
      <c r="V1507" s="51">
        <f>IF(L1507="",0,MAX(1,N(E1507)))</f>
        <v>0</v>
      </c>
      <c r="W1507" s="51">
        <f>IF(K1507="",0,K1507)</f>
        <v>0</v>
      </c>
    </row>
    <row r="1508">
      <c r="A1508" s="49" t="n"/>
      <c r="B1508" s="41" t="n"/>
      <c r="C1508" s="41" t="n"/>
      <c r="D1508" s="42" t="n"/>
      <c r="E1508" s="42" t="n"/>
      <c r="F1508" s="50" t="n"/>
      <c r="G1508" s="42" t="n"/>
      <c r="H1508" s="30">
        <f>IF(D1508="","",IFERROR(INDEX(Config!$B$12:$B$15,MATCH(IF(AND(D1508="Cartão de crédito",N(E1508)&gt;1),"Cartão de crédito parcelado",D1508),Config!$A$12:$A$15,0)),0)+IF(AND(Config!$B$17="Sim",LEFT(D1508,17)="Cartão de crédito"),Config!$B$18*IFERROR(INDEX(Config!$C$12:$C$15,MATCH(IF(AND(D1508="Cartão de crédito",N(E1508)&gt;1),"Cartão de crédito parcelado",D1508),Config!$A$12:$A$15,0)),0)/30*MAX(1,N(E1508)),0))</f>
        <v/>
      </c>
      <c r="I1508" s="29">
        <f>IF(OR(D1508="",F1508=""),"",ROUND(F1508*H1508,2))</f>
        <v/>
      </c>
      <c r="J1508" s="29">
        <f>IF(I1508="","",F1508-I1508)</f>
        <v/>
      </c>
      <c r="K1508" s="29">
        <f>IF(J1508="","",J1508/MAX(1,N(E1508)))</f>
        <v/>
      </c>
      <c r="L1508" s="37">
        <f>IF(OR(D1508="",A1508=""),"",A1508+IF(AND(Config!$B$17="Sim",LEFT(D1508,17)="Cartão de crédito"),1,IFERROR(INDEX(Config!$C$12:$C$15,MATCH(IF(AND(D1508="Cartão de crédito",N(E1508)&gt;1),"Cartão de crédito parcelado",D1508),Config!$A$12:$A$15,0)),0)))</f>
        <v/>
      </c>
      <c r="M1508" s="37">
        <f>IF(L1508="","",IF(AND(Config!$B$17="Sim",LEFT(D1508,17)="Cartão de crédito"),L1508,L1508+30*(MAX(1,N(E1508))-1)))</f>
        <v/>
      </c>
      <c r="N1508" s="29">
        <f>IF(OR(L1508="",K1508=""),"",K1508*MIN(MAX(1,N(E1508)),MAX(0,INT((Config!$B$8-L1508)/30)+1)))</f>
        <v/>
      </c>
      <c r="O1508" s="29">
        <f>IF(J1508="","",J1508-N(N1508))</f>
        <v/>
      </c>
      <c r="P1508" s="27">
        <f>IF(A1508="","",MONTH(A1508))</f>
        <v/>
      </c>
      <c r="Q1508" s="27">
        <f>IF(A1508="","",YEAR(A1508))</f>
        <v/>
      </c>
      <c r="R1508" s="27">
        <f>IF(L1508="","",IF(L1508&gt;Config!$B$8,"A cair",IF(N(G1508)&gt;=MIN(MAX(1,N(E1508)),MAX(0,INT((Config!$B$8-L1508)/30)+1)),IF(N(G1508)&gt;=MAX(1,N(E1508)),"Conferido","Conferido até aqui"),"A conferir")))</f>
        <v/>
      </c>
      <c r="S1508" s="51">
        <f>IF(R1508="A conferir",(Config!$B$8-L1508)*1000+N(F1508)/1000+ROW()/100000,0)</f>
        <v>0</v>
      </c>
      <c r="T1508" s="51">
        <f>IF(R1508="A conferir",N(N1508),0)</f>
        <v>0</v>
      </c>
      <c r="U1508" s="51">
        <f>IF(L1508="",0,L1508)</f>
        <v>0</v>
      </c>
      <c r="V1508" s="51">
        <f>IF(L1508="",0,MAX(1,N(E1508)))</f>
        <v>0</v>
      </c>
      <c r="W1508" s="51">
        <f>IF(K1508="",0,K1508)</f>
        <v>0</v>
      </c>
    </row>
    <row r="1509">
      <c r="A1509" s="49" t="n"/>
      <c r="B1509" s="41" t="n"/>
      <c r="C1509" s="41" t="n"/>
      <c r="D1509" s="42" t="n"/>
      <c r="E1509" s="42" t="n"/>
      <c r="F1509" s="50" t="n"/>
      <c r="G1509" s="42" t="n"/>
      <c r="H1509" s="30">
        <f>IF(D1509="","",IFERROR(INDEX(Config!$B$12:$B$15,MATCH(IF(AND(D1509="Cartão de crédito",N(E1509)&gt;1),"Cartão de crédito parcelado",D1509),Config!$A$12:$A$15,0)),0)+IF(AND(Config!$B$17="Sim",LEFT(D1509,17)="Cartão de crédito"),Config!$B$18*IFERROR(INDEX(Config!$C$12:$C$15,MATCH(IF(AND(D1509="Cartão de crédito",N(E1509)&gt;1),"Cartão de crédito parcelado",D1509),Config!$A$12:$A$15,0)),0)/30*MAX(1,N(E1509)),0))</f>
        <v/>
      </c>
      <c r="I1509" s="29">
        <f>IF(OR(D1509="",F1509=""),"",ROUND(F1509*H1509,2))</f>
        <v/>
      </c>
      <c r="J1509" s="29">
        <f>IF(I1509="","",F1509-I1509)</f>
        <v/>
      </c>
      <c r="K1509" s="29">
        <f>IF(J1509="","",J1509/MAX(1,N(E1509)))</f>
        <v/>
      </c>
      <c r="L1509" s="37">
        <f>IF(OR(D1509="",A1509=""),"",A1509+IF(AND(Config!$B$17="Sim",LEFT(D1509,17)="Cartão de crédito"),1,IFERROR(INDEX(Config!$C$12:$C$15,MATCH(IF(AND(D1509="Cartão de crédito",N(E1509)&gt;1),"Cartão de crédito parcelado",D1509),Config!$A$12:$A$15,0)),0)))</f>
        <v/>
      </c>
      <c r="M1509" s="37">
        <f>IF(L1509="","",IF(AND(Config!$B$17="Sim",LEFT(D1509,17)="Cartão de crédito"),L1509,L1509+30*(MAX(1,N(E1509))-1)))</f>
        <v/>
      </c>
      <c r="N1509" s="29">
        <f>IF(OR(L1509="",K1509=""),"",K1509*MIN(MAX(1,N(E1509)),MAX(0,INT((Config!$B$8-L1509)/30)+1)))</f>
        <v/>
      </c>
      <c r="O1509" s="29">
        <f>IF(J1509="","",J1509-N(N1509))</f>
        <v/>
      </c>
      <c r="P1509" s="27">
        <f>IF(A1509="","",MONTH(A1509))</f>
        <v/>
      </c>
      <c r="Q1509" s="27">
        <f>IF(A1509="","",YEAR(A1509))</f>
        <v/>
      </c>
      <c r="R1509" s="27">
        <f>IF(L1509="","",IF(L1509&gt;Config!$B$8,"A cair",IF(N(G1509)&gt;=MIN(MAX(1,N(E1509)),MAX(0,INT((Config!$B$8-L1509)/30)+1)),IF(N(G1509)&gt;=MAX(1,N(E1509)),"Conferido","Conferido até aqui"),"A conferir")))</f>
        <v/>
      </c>
      <c r="S1509" s="51">
        <f>IF(R1509="A conferir",(Config!$B$8-L1509)*1000+N(F1509)/1000+ROW()/100000,0)</f>
        <v>0</v>
      </c>
      <c r="T1509" s="51">
        <f>IF(R1509="A conferir",N(N1509),0)</f>
        <v>0</v>
      </c>
      <c r="U1509" s="51">
        <f>IF(L1509="",0,L1509)</f>
        <v>0</v>
      </c>
      <c r="V1509" s="51">
        <f>IF(L1509="",0,MAX(1,N(E1509)))</f>
        <v>0</v>
      </c>
      <c r="W1509" s="51">
        <f>IF(K1509="",0,K1509)</f>
        <v>0</v>
      </c>
    </row>
    <row r="1510">
      <c r="A1510" s="49" t="n"/>
      <c r="B1510" s="41" t="n"/>
      <c r="C1510" s="41" t="n"/>
      <c r="D1510" s="42" t="n"/>
      <c r="E1510" s="42" t="n"/>
      <c r="F1510" s="50" t="n"/>
      <c r="G1510" s="42" t="n"/>
      <c r="H1510" s="30">
        <f>IF(D1510="","",IFERROR(INDEX(Config!$B$12:$B$15,MATCH(IF(AND(D1510="Cartão de crédito",N(E1510)&gt;1),"Cartão de crédito parcelado",D1510),Config!$A$12:$A$15,0)),0)+IF(AND(Config!$B$17="Sim",LEFT(D1510,17)="Cartão de crédito"),Config!$B$18*IFERROR(INDEX(Config!$C$12:$C$15,MATCH(IF(AND(D1510="Cartão de crédito",N(E1510)&gt;1),"Cartão de crédito parcelado",D1510),Config!$A$12:$A$15,0)),0)/30*MAX(1,N(E1510)),0))</f>
        <v/>
      </c>
      <c r="I1510" s="29">
        <f>IF(OR(D1510="",F1510=""),"",ROUND(F1510*H1510,2))</f>
        <v/>
      </c>
      <c r="J1510" s="29">
        <f>IF(I1510="","",F1510-I1510)</f>
        <v/>
      </c>
      <c r="K1510" s="29">
        <f>IF(J1510="","",J1510/MAX(1,N(E1510)))</f>
        <v/>
      </c>
      <c r="L1510" s="37">
        <f>IF(OR(D1510="",A1510=""),"",A1510+IF(AND(Config!$B$17="Sim",LEFT(D1510,17)="Cartão de crédito"),1,IFERROR(INDEX(Config!$C$12:$C$15,MATCH(IF(AND(D1510="Cartão de crédito",N(E1510)&gt;1),"Cartão de crédito parcelado",D1510),Config!$A$12:$A$15,0)),0)))</f>
        <v/>
      </c>
      <c r="M1510" s="37">
        <f>IF(L1510="","",IF(AND(Config!$B$17="Sim",LEFT(D1510,17)="Cartão de crédito"),L1510,L1510+30*(MAX(1,N(E1510))-1)))</f>
        <v/>
      </c>
      <c r="N1510" s="29">
        <f>IF(OR(L1510="",K1510=""),"",K1510*MIN(MAX(1,N(E1510)),MAX(0,INT((Config!$B$8-L1510)/30)+1)))</f>
        <v/>
      </c>
      <c r="O1510" s="29">
        <f>IF(J1510="","",J1510-N(N1510))</f>
        <v/>
      </c>
      <c r="P1510" s="27">
        <f>IF(A1510="","",MONTH(A1510))</f>
        <v/>
      </c>
      <c r="Q1510" s="27">
        <f>IF(A1510="","",YEAR(A1510))</f>
        <v/>
      </c>
      <c r="R1510" s="27">
        <f>IF(L1510="","",IF(L1510&gt;Config!$B$8,"A cair",IF(N(G1510)&gt;=MIN(MAX(1,N(E1510)),MAX(0,INT((Config!$B$8-L1510)/30)+1)),IF(N(G1510)&gt;=MAX(1,N(E1510)),"Conferido","Conferido até aqui"),"A conferir")))</f>
        <v/>
      </c>
      <c r="S1510" s="51">
        <f>IF(R1510="A conferir",(Config!$B$8-L1510)*1000+N(F1510)/1000+ROW()/100000,0)</f>
        <v>0</v>
      </c>
      <c r="T1510" s="51">
        <f>IF(R1510="A conferir",N(N1510),0)</f>
        <v>0</v>
      </c>
      <c r="U1510" s="51">
        <f>IF(L1510="",0,L1510)</f>
        <v>0</v>
      </c>
      <c r="V1510" s="51">
        <f>IF(L1510="",0,MAX(1,N(E1510)))</f>
        <v>0</v>
      </c>
      <c r="W1510" s="51">
        <f>IF(K1510="",0,K1510)</f>
        <v>0</v>
      </c>
    </row>
    <row r="1511">
      <c r="A1511" s="49" t="n"/>
      <c r="B1511" s="41" t="n"/>
      <c r="C1511" s="41" t="n"/>
      <c r="D1511" s="42" t="n"/>
      <c r="E1511" s="42" t="n"/>
      <c r="F1511" s="50" t="n"/>
      <c r="G1511" s="42" t="n"/>
      <c r="H1511" s="30">
        <f>IF(D1511="","",IFERROR(INDEX(Config!$B$12:$B$15,MATCH(IF(AND(D1511="Cartão de crédito",N(E1511)&gt;1),"Cartão de crédito parcelado",D1511),Config!$A$12:$A$15,0)),0)+IF(AND(Config!$B$17="Sim",LEFT(D1511,17)="Cartão de crédito"),Config!$B$18*IFERROR(INDEX(Config!$C$12:$C$15,MATCH(IF(AND(D1511="Cartão de crédito",N(E1511)&gt;1),"Cartão de crédito parcelado",D1511),Config!$A$12:$A$15,0)),0)/30*MAX(1,N(E1511)),0))</f>
        <v/>
      </c>
      <c r="I1511" s="29">
        <f>IF(OR(D1511="",F1511=""),"",ROUND(F1511*H1511,2))</f>
        <v/>
      </c>
      <c r="J1511" s="29">
        <f>IF(I1511="","",F1511-I1511)</f>
        <v/>
      </c>
      <c r="K1511" s="29">
        <f>IF(J1511="","",J1511/MAX(1,N(E1511)))</f>
        <v/>
      </c>
      <c r="L1511" s="37">
        <f>IF(OR(D1511="",A1511=""),"",A1511+IF(AND(Config!$B$17="Sim",LEFT(D1511,17)="Cartão de crédito"),1,IFERROR(INDEX(Config!$C$12:$C$15,MATCH(IF(AND(D1511="Cartão de crédito",N(E1511)&gt;1),"Cartão de crédito parcelado",D1511),Config!$A$12:$A$15,0)),0)))</f>
        <v/>
      </c>
      <c r="M1511" s="37">
        <f>IF(L1511="","",IF(AND(Config!$B$17="Sim",LEFT(D1511,17)="Cartão de crédito"),L1511,L1511+30*(MAX(1,N(E1511))-1)))</f>
        <v/>
      </c>
      <c r="N1511" s="29">
        <f>IF(OR(L1511="",K1511=""),"",K1511*MIN(MAX(1,N(E1511)),MAX(0,INT((Config!$B$8-L1511)/30)+1)))</f>
        <v/>
      </c>
      <c r="O1511" s="29">
        <f>IF(J1511="","",J1511-N(N1511))</f>
        <v/>
      </c>
      <c r="P1511" s="27">
        <f>IF(A1511="","",MONTH(A1511))</f>
        <v/>
      </c>
      <c r="Q1511" s="27">
        <f>IF(A1511="","",YEAR(A1511))</f>
        <v/>
      </c>
      <c r="R1511" s="27">
        <f>IF(L1511="","",IF(L1511&gt;Config!$B$8,"A cair",IF(N(G1511)&gt;=MIN(MAX(1,N(E1511)),MAX(0,INT((Config!$B$8-L1511)/30)+1)),IF(N(G1511)&gt;=MAX(1,N(E1511)),"Conferido","Conferido até aqui"),"A conferir")))</f>
        <v/>
      </c>
      <c r="S1511" s="51">
        <f>IF(R1511="A conferir",(Config!$B$8-L1511)*1000+N(F1511)/1000+ROW()/100000,0)</f>
        <v>0</v>
      </c>
      <c r="T1511" s="51">
        <f>IF(R1511="A conferir",N(N1511),0)</f>
        <v>0</v>
      </c>
      <c r="U1511" s="51">
        <f>IF(L1511="",0,L1511)</f>
        <v>0</v>
      </c>
      <c r="V1511" s="51">
        <f>IF(L1511="",0,MAX(1,N(E1511)))</f>
        <v>0</v>
      </c>
      <c r="W1511" s="51">
        <f>IF(K1511="",0,K1511)</f>
        <v>0</v>
      </c>
    </row>
    <row r="1512">
      <c r="A1512" s="49" t="n"/>
      <c r="B1512" s="41" t="n"/>
      <c r="C1512" s="41" t="n"/>
      <c r="D1512" s="42" t="n"/>
      <c r="E1512" s="42" t="n"/>
      <c r="F1512" s="50" t="n"/>
      <c r="G1512" s="42" t="n"/>
      <c r="H1512" s="30">
        <f>IF(D1512="","",IFERROR(INDEX(Config!$B$12:$B$15,MATCH(IF(AND(D1512="Cartão de crédito",N(E1512)&gt;1),"Cartão de crédito parcelado",D1512),Config!$A$12:$A$15,0)),0)+IF(AND(Config!$B$17="Sim",LEFT(D1512,17)="Cartão de crédito"),Config!$B$18*IFERROR(INDEX(Config!$C$12:$C$15,MATCH(IF(AND(D1512="Cartão de crédito",N(E1512)&gt;1),"Cartão de crédito parcelado",D1512),Config!$A$12:$A$15,0)),0)/30*MAX(1,N(E1512)),0))</f>
        <v/>
      </c>
      <c r="I1512" s="29">
        <f>IF(OR(D1512="",F1512=""),"",ROUND(F1512*H1512,2))</f>
        <v/>
      </c>
      <c r="J1512" s="29">
        <f>IF(I1512="","",F1512-I1512)</f>
        <v/>
      </c>
      <c r="K1512" s="29">
        <f>IF(J1512="","",J1512/MAX(1,N(E1512)))</f>
        <v/>
      </c>
      <c r="L1512" s="37">
        <f>IF(OR(D1512="",A1512=""),"",A1512+IF(AND(Config!$B$17="Sim",LEFT(D1512,17)="Cartão de crédito"),1,IFERROR(INDEX(Config!$C$12:$C$15,MATCH(IF(AND(D1512="Cartão de crédito",N(E1512)&gt;1),"Cartão de crédito parcelado",D1512),Config!$A$12:$A$15,0)),0)))</f>
        <v/>
      </c>
      <c r="M1512" s="37">
        <f>IF(L1512="","",IF(AND(Config!$B$17="Sim",LEFT(D1512,17)="Cartão de crédito"),L1512,L1512+30*(MAX(1,N(E1512))-1)))</f>
        <v/>
      </c>
      <c r="N1512" s="29">
        <f>IF(OR(L1512="",K1512=""),"",K1512*MIN(MAX(1,N(E1512)),MAX(0,INT((Config!$B$8-L1512)/30)+1)))</f>
        <v/>
      </c>
      <c r="O1512" s="29">
        <f>IF(J1512="","",J1512-N(N1512))</f>
        <v/>
      </c>
      <c r="P1512" s="27">
        <f>IF(A1512="","",MONTH(A1512))</f>
        <v/>
      </c>
      <c r="Q1512" s="27">
        <f>IF(A1512="","",YEAR(A1512))</f>
        <v/>
      </c>
      <c r="R1512" s="27">
        <f>IF(L1512="","",IF(L1512&gt;Config!$B$8,"A cair",IF(N(G1512)&gt;=MIN(MAX(1,N(E1512)),MAX(0,INT((Config!$B$8-L1512)/30)+1)),IF(N(G1512)&gt;=MAX(1,N(E1512)),"Conferido","Conferido até aqui"),"A conferir")))</f>
        <v/>
      </c>
      <c r="S1512" s="51">
        <f>IF(R1512="A conferir",(Config!$B$8-L1512)*1000+N(F1512)/1000+ROW()/100000,0)</f>
        <v>0</v>
      </c>
      <c r="T1512" s="51">
        <f>IF(R1512="A conferir",N(N1512),0)</f>
        <v>0</v>
      </c>
      <c r="U1512" s="51">
        <f>IF(L1512="",0,L1512)</f>
        <v>0</v>
      </c>
      <c r="V1512" s="51">
        <f>IF(L1512="",0,MAX(1,N(E1512)))</f>
        <v>0</v>
      </c>
      <c r="W1512" s="51">
        <f>IF(K1512="",0,K1512)</f>
        <v>0</v>
      </c>
    </row>
    <row r="1513">
      <c r="A1513" s="49" t="n"/>
      <c r="B1513" s="41" t="n"/>
      <c r="C1513" s="41" t="n"/>
      <c r="D1513" s="42" t="n"/>
      <c r="E1513" s="42" t="n"/>
      <c r="F1513" s="50" t="n"/>
      <c r="G1513" s="42" t="n"/>
      <c r="H1513" s="30">
        <f>IF(D1513="","",IFERROR(INDEX(Config!$B$12:$B$15,MATCH(IF(AND(D1513="Cartão de crédito",N(E1513)&gt;1),"Cartão de crédito parcelado",D1513),Config!$A$12:$A$15,0)),0)+IF(AND(Config!$B$17="Sim",LEFT(D1513,17)="Cartão de crédito"),Config!$B$18*IFERROR(INDEX(Config!$C$12:$C$15,MATCH(IF(AND(D1513="Cartão de crédito",N(E1513)&gt;1),"Cartão de crédito parcelado",D1513),Config!$A$12:$A$15,0)),0)/30*MAX(1,N(E1513)),0))</f>
        <v/>
      </c>
      <c r="I1513" s="29">
        <f>IF(OR(D1513="",F1513=""),"",ROUND(F1513*H1513,2))</f>
        <v/>
      </c>
      <c r="J1513" s="29">
        <f>IF(I1513="","",F1513-I1513)</f>
        <v/>
      </c>
      <c r="K1513" s="29">
        <f>IF(J1513="","",J1513/MAX(1,N(E1513)))</f>
        <v/>
      </c>
      <c r="L1513" s="37">
        <f>IF(OR(D1513="",A1513=""),"",A1513+IF(AND(Config!$B$17="Sim",LEFT(D1513,17)="Cartão de crédito"),1,IFERROR(INDEX(Config!$C$12:$C$15,MATCH(IF(AND(D1513="Cartão de crédito",N(E1513)&gt;1),"Cartão de crédito parcelado",D1513),Config!$A$12:$A$15,0)),0)))</f>
        <v/>
      </c>
      <c r="M1513" s="37">
        <f>IF(L1513="","",IF(AND(Config!$B$17="Sim",LEFT(D1513,17)="Cartão de crédito"),L1513,L1513+30*(MAX(1,N(E1513))-1)))</f>
        <v/>
      </c>
      <c r="N1513" s="29">
        <f>IF(OR(L1513="",K1513=""),"",K1513*MIN(MAX(1,N(E1513)),MAX(0,INT((Config!$B$8-L1513)/30)+1)))</f>
        <v/>
      </c>
      <c r="O1513" s="29">
        <f>IF(J1513="","",J1513-N(N1513))</f>
        <v/>
      </c>
      <c r="P1513" s="27">
        <f>IF(A1513="","",MONTH(A1513))</f>
        <v/>
      </c>
      <c r="Q1513" s="27">
        <f>IF(A1513="","",YEAR(A1513))</f>
        <v/>
      </c>
      <c r="R1513" s="27">
        <f>IF(L1513="","",IF(L1513&gt;Config!$B$8,"A cair",IF(N(G1513)&gt;=MIN(MAX(1,N(E1513)),MAX(0,INT((Config!$B$8-L1513)/30)+1)),IF(N(G1513)&gt;=MAX(1,N(E1513)),"Conferido","Conferido até aqui"),"A conferir")))</f>
        <v/>
      </c>
      <c r="S1513" s="51">
        <f>IF(R1513="A conferir",(Config!$B$8-L1513)*1000+N(F1513)/1000+ROW()/100000,0)</f>
        <v>0</v>
      </c>
      <c r="T1513" s="51">
        <f>IF(R1513="A conferir",N(N1513),0)</f>
        <v>0</v>
      </c>
      <c r="U1513" s="51">
        <f>IF(L1513="",0,L1513)</f>
        <v>0</v>
      </c>
      <c r="V1513" s="51">
        <f>IF(L1513="",0,MAX(1,N(E1513)))</f>
        <v>0</v>
      </c>
      <c r="W1513" s="51">
        <f>IF(K1513="",0,K1513)</f>
        <v>0</v>
      </c>
    </row>
    <row r="1514">
      <c r="A1514" s="49" t="n"/>
      <c r="B1514" s="41" t="n"/>
      <c r="C1514" s="41" t="n"/>
      <c r="D1514" s="42" t="n"/>
      <c r="E1514" s="42" t="n"/>
      <c r="F1514" s="50" t="n"/>
      <c r="G1514" s="42" t="n"/>
      <c r="H1514" s="30">
        <f>IF(D1514="","",IFERROR(INDEX(Config!$B$12:$B$15,MATCH(IF(AND(D1514="Cartão de crédito",N(E1514)&gt;1),"Cartão de crédito parcelado",D1514),Config!$A$12:$A$15,0)),0)+IF(AND(Config!$B$17="Sim",LEFT(D1514,17)="Cartão de crédito"),Config!$B$18*IFERROR(INDEX(Config!$C$12:$C$15,MATCH(IF(AND(D1514="Cartão de crédito",N(E1514)&gt;1),"Cartão de crédito parcelado",D1514),Config!$A$12:$A$15,0)),0)/30*MAX(1,N(E1514)),0))</f>
        <v/>
      </c>
      <c r="I1514" s="29">
        <f>IF(OR(D1514="",F1514=""),"",ROUND(F1514*H1514,2))</f>
        <v/>
      </c>
      <c r="J1514" s="29">
        <f>IF(I1514="","",F1514-I1514)</f>
        <v/>
      </c>
      <c r="K1514" s="29">
        <f>IF(J1514="","",J1514/MAX(1,N(E1514)))</f>
        <v/>
      </c>
      <c r="L1514" s="37">
        <f>IF(OR(D1514="",A1514=""),"",A1514+IF(AND(Config!$B$17="Sim",LEFT(D1514,17)="Cartão de crédito"),1,IFERROR(INDEX(Config!$C$12:$C$15,MATCH(IF(AND(D1514="Cartão de crédito",N(E1514)&gt;1),"Cartão de crédito parcelado",D1514),Config!$A$12:$A$15,0)),0)))</f>
        <v/>
      </c>
      <c r="M1514" s="37">
        <f>IF(L1514="","",IF(AND(Config!$B$17="Sim",LEFT(D1514,17)="Cartão de crédito"),L1514,L1514+30*(MAX(1,N(E1514))-1)))</f>
        <v/>
      </c>
      <c r="N1514" s="29">
        <f>IF(OR(L1514="",K1514=""),"",K1514*MIN(MAX(1,N(E1514)),MAX(0,INT((Config!$B$8-L1514)/30)+1)))</f>
        <v/>
      </c>
      <c r="O1514" s="29">
        <f>IF(J1514="","",J1514-N(N1514))</f>
        <v/>
      </c>
      <c r="P1514" s="27">
        <f>IF(A1514="","",MONTH(A1514))</f>
        <v/>
      </c>
      <c r="Q1514" s="27">
        <f>IF(A1514="","",YEAR(A1514))</f>
        <v/>
      </c>
      <c r="R1514" s="27">
        <f>IF(L1514="","",IF(L1514&gt;Config!$B$8,"A cair",IF(N(G1514)&gt;=MIN(MAX(1,N(E1514)),MAX(0,INT((Config!$B$8-L1514)/30)+1)),IF(N(G1514)&gt;=MAX(1,N(E1514)),"Conferido","Conferido até aqui"),"A conferir")))</f>
        <v/>
      </c>
      <c r="S1514" s="51">
        <f>IF(R1514="A conferir",(Config!$B$8-L1514)*1000+N(F1514)/1000+ROW()/100000,0)</f>
        <v>0</v>
      </c>
      <c r="T1514" s="51">
        <f>IF(R1514="A conferir",N(N1514),0)</f>
        <v>0</v>
      </c>
      <c r="U1514" s="51">
        <f>IF(L1514="",0,L1514)</f>
        <v>0</v>
      </c>
      <c r="V1514" s="51">
        <f>IF(L1514="",0,MAX(1,N(E1514)))</f>
        <v>0</v>
      </c>
      <c r="W1514" s="51">
        <f>IF(K1514="",0,K1514)</f>
        <v>0</v>
      </c>
    </row>
    <row r="1515">
      <c r="A1515" s="49" t="n"/>
      <c r="B1515" s="41" t="n"/>
      <c r="C1515" s="41" t="n"/>
      <c r="D1515" s="42" t="n"/>
      <c r="E1515" s="42" t="n"/>
      <c r="F1515" s="50" t="n"/>
      <c r="G1515" s="42" t="n"/>
      <c r="H1515" s="30">
        <f>IF(D1515="","",IFERROR(INDEX(Config!$B$12:$B$15,MATCH(IF(AND(D1515="Cartão de crédito",N(E1515)&gt;1),"Cartão de crédito parcelado",D1515),Config!$A$12:$A$15,0)),0)+IF(AND(Config!$B$17="Sim",LEFT(D1515,17)="Cartão de crédito"),Config!$B$18*IFERROR(INDEX(Config!$C$12:$C$15,MATCH(IF(AND(D1515="Cartão de crédito",N(E1515)&gt;1),"Cartão de crédito parcelado",D1515),Config!$A$12:$A$15,0)),0)/30*MAX(1,N(E1515)),0))</f>
        <v/>
      </c>
      <c r="I1515" s="29">
        <f>IF(OR(D1515="",F1515=""),"",ROUND(F1515*H1515,2))</f>
        <v/>
      </c>
      <c r="J1515" s="29">
        <f>IF(I1515="","",F1515-I1515)</f>
        <v/>
      </c>
      <c r="K1515" s="29">
        <f>IF(J1515="","",J1515/MAX(1,N(E1515)))</f>
        <v/>
      </c>
      <c r="L1515" s="37">
        <f>IF(OR(D1515="",A1515=""),"",A1515+IF(AND(Config!$B$17="Sim",LEFT(D1515,17)="Cartão de crédito"),1,IFERROR(INDEX(Config!$C$12:$C$15,MATCH(IF(AND(D1515="Cartão de crédito",N(E1515)&gt;1),"Cartão de crédito parcelado",D1515),Config!$A$12:$A$15,0)),0)))</f>
        <v/>
      </c>
      <c r="M1515" s="37">
        <f>IF(L1515="","",IF(AND(Config!$B$17="Sim",LEFT(D1515,17)="Cartão de crédito"),L1515,L1515+30*(MAX(1,N(E1515))-1)))</f>
        <v/>
      </c>
      <c r="N1515" s="29">
        <f>IF(OR(L1515="",K1515=""),"",K1515*MIN(MAX(1,N(E1515)),MAX(0,INT((Config!$B$8-L1515)/30)+1)))</f>
        <v/>
      </c>
      <c r="O1515" s="29">
        <f>IF(J1515="","",J1515-N(N1515))</f>
        <v/>
      </c>
      <c r="P1515" s="27">
        <f>IF(A1515="","",MONTH(A1515))</f>
        <v/>
      </c>
      <c r="Q1515" s="27">
        <f>IF(A1515="","",YEAR(A1515))</f>
        <v/>
      </c>
      <c r="R1515" s="27">
        <f>IF(L1515="","",IF(L1515&gt;Config!$B$8,"A cair",IF(N(G1515)&gt;=MIN(MAX(1,N(E1515)),MAX(0,INT((Config!$B$8-L1515)/30)+1)),IF(N(G1515)&gt;=MAX(1,N(E1515)),"Conferido","Conferido até aqui"),"A conferir")))</f>
        <v/>
      </c>
      <c r="S1515" s="51">
        <f>IF(R1515="A conferir",(Config!$B$8-L1515)*1000+N(F1515)/1000+ROW()/100000,0)</f>
        <v>0</v>
      </c>
      <c r="T1515" s="51">
        <f>IF(R1515="A conferir",N(N1515),0)</f>
        <v>0</v>
      </c>
      <c r="U1515" s="51">
        <f>IF(L1515="",0,L1515)</f>
        <v>0</v>
      </c>
      <c r="V1515" s="51">
        <f>IF(L1515="",0,MAX(1,N(E1515)))</f>
        <v>0</v>
      </c>
      <c r="W1515" s="51">
        <f>IF(K1515="",0,K1515)</f>
        <v>0</v>
      </c>
    </row>
    <row r="1516">
      <c r="A1516" s="49" t="n"/>
      <c r="B1516" s="41" t="n"/>
      <c r="C1516" s="41" t="n"/>
      <c r="D1516" s="42" t="n"/>
      <c r="E1516" s="42" t="n"/>
      <c r="F1516" s="50" t="n"/>
      <c r="G1516" s="42" t="n"/>
      <c r="H1516" s="30">
        <f>IF(D1516="","",IFERROR(INDEX(Config!$B$12:$B$15,MATCH(IF(AND(D1516="Cartão de crédito",N(E1516)&gt;1),"Cartão de crédito parcelado",D1516),Config!$A$12:$A$15,0)),0)+IF(AND(Config!$B$17="Sim",LEFT(D1516,17)="Cartão de crédito"),Config!$B$18*IFERROR(INDEX(Config!$C$12:$C$15,MATCH(IF(AND(D1516="Cartão de crédito",N(E1516)&gt;1),"Cartão de crédito parcelado",D1516),Config!$A$12:$A$15,0)),0)/30*MAX(1,N(E1516)),0))</f>
        <v/>
      </c>
      <c r="I1516" s="29">
        <f>IF(OR(D1516="",F1516=""),"",ROUND(F1516*H1516,2))</f>
        <v/>
      </c>
      <c r="J1516" s="29">
        <f>IF(I1516="","",F1516-I1516)</f>
        <v/>
      </c>
      <c r="K1516" s="29">
        <f>IF(J1516="","",J1516/MAX(1,N(E1516)))</f>
        <v/>
      </c>
      <c r="L1516" s="37">
        <f>IF(OR(D1516="",A1516=""),"",A1516+IF(AND(Config!$B$17="Sim",LEFT(D1516,17)="Cartão de crédito"),1,IFERROR(INDEX(Config!$C$12:$C$15,MATCH(IF(AND(D1516="Cartão de crédito",N(E1516)&gt;1),"Cartão de crédito parcelado",D1516),Config!$A$12:$A$15,0)),0)))</f>
        <v/>
      </c>
      <c r="M1516" s="37">
        <f>IF(L1516="","",IF(AND(Config!$B$17="Sim",LEFT(D1516,17)="Cartão de crédito"),L1516,L1516+30*(MAX(1,N(E1516))-1)))</f>
        <v/>
      </c>
      <c r="N1516" s="29">
        <f>IF(OR(L1516="",K1516=""),"",K1516*MIN(MAX(1,N(E1516)),MAX(0,INT((Config!$B$8-L1516)/30)+1)))</f>
        <v/>
      </c>
      <c r="O1516" s="29">
        <f>IF(J1516="","",J1516-N(N1516))</f>
        <v/>
      </c>
      <c r="P1516" s="27">
        <f>IF(A1516="","",MONTH(A1516))</f>
        <v/>
      </c>
      <c r="Q1516" s="27">
        <f>IF(A1516="","",YEAR(A1516))</f>
        <v/>
      </c>
      <c r="R1516" s="27">
        <f>IF(L1516="","",IF(L1516&gt;Config!$B$8,"A cair",IF(N(G1516)&gt;=MIN(MAX(1,N(E1516)),MAX(0,INT((Config!$B$8-L1516)/30)+1)),IF(N(G1516)&gt;=MAX(1,N(E1516)),"Conferido","Conferido até aqui"),"A conferir")))</f>
        <v/>
      </c>
      <c r="S1516" s="51">
        <f>IF(R1516="A conferir",(Config!$B$8-L1516)*1000+N(F1516)/1000+ROW()/100000,0)</f>
        <v>0</v>
      </c>
      <c r="T1516" s="51">
        <f>IF(R1516="A conferir",N(N1516),0)</f>
        <v>0</v>
      </c>
      <c r="U1516" s="51">
        <f>IF(L1516="",0,L1516)</f>
        <v>0</v>
      </c>
      <c r="V1516" s="51">
        <f>IF(L1516="",0,MAX(1,N(E1516)))</f>
        <v>0</v>
      </c>
      <c r="W1516" s="51">
        <f>IF(K1516="",0,K1516)</f>
        <v>0</v>
      </c>
    </row>
    <row r="1517">
      <c r="A1517" s="49" t="n"/>
      <c r="B1517" s="41" t="n"/>
      <c r="C1517" s="41" t="n"/>
      <c r="D1517" s="42" t="n"/>
      <c r="E1517" s="42" t="n"/>
      <c r="F1517" s="50" t="n"/>
      <c r="G1517" s="42" t="n"/>
      <c r="H1517" s="30">
        <f>IF(D1517="","",IFERROR(INDEX(Config!$B$12:$B$15,MATCH(IF(AND(D1517="Cartão de crédito",N(E1517)&gt;1),"Cartão de crédito parcelado",D1517),Config!$A$12:$A$15,0)),0)+IF(AND(Config!$B$17="Sim",LEFT(D1517,17)="Cartão de crédito"),Config!$B$18*IFERROR(INDEX(Config!$C$12:$C$15,MATCH(IF(AND(D1517="Cartão de crédito",N(E1517)&gt;1),"Cartão de crédito parcelado",D1517),Config!$A$12:$A$15,0)),0)/30*MAX(1,N(E1517)),0))</f>
        <v/>
      </c>
      <c r="I1517" s="29">
        <f>IF(OR(D1517="",F1517=""),"",ROUND(F1517*H1517,2))</f>
        <v/>
      </c>
      <c r="J1517" s="29">
        <f>IF(I1517="","",F1517-I1517)</f>
        <v/>
      </c>
      <c r="K1517" s="29">
        <f>IF(J1517="","",J1517/MAX(1,N(E1517)))</f>
        <v/>
      </c>
      <c r="L1517" s="37">
        <f>IF(OR(D1517="",A1517=""),"",A1517+IF(AND(Config!$B$17="Sim",LEFT(D1517,17)="Cartão de crédito"),1,IFERROR(INDEX(Config!$C$12:$C$15,MATCH(IF(AND(D1517="Cartão de crédito",N(E1517)&gt;1),"Cartão de crédito parcelado",D1517),Config!$A$12:$A$15,0)),0)))</f>
        <v/>
      </c>
      <c r="M1517" s="37">
        <f>IF(L1517="","",IF(AND(Config!$B$17="Sim",LEFT(D1517,17)="Cartão de crédito"),L1517,L1517+30*(MAX(1,N(E1517))-1)))</f>
        <v/>
      </c>
      <c r="N1517" s="29">
        <f>IF(OR(L1517="",K1517=""),"",K1517*MIN(MAX(1,N(E1517)),MAX(0,INT((Config!$B$8-L1517)/30)+1)))</f>
        <v/>
      </c>
      <c r="O1517" s="29">
        <f>IF(J1517="","",J1517-N(N1517))</f>
        <v/>
      </c>
      <c r="P1517" s="27">
        <f>IF(A1517="","",MONTH(A1517))</f>
        <v/>
      </c>
      <c r="Q1517" s="27">
        <f>IF(A1517="","",YEAR(A1517))</f>
        <v/>
      </c>
      <c r="R1517" s="27">
        <f>IF(L1517="","",IF(L1517&gt;Config!$B$8,"A cair",IF(N(G1517)&gt;=MIN(MAX(1,N(E1517)),MAX(0,INT((Config!$B$8-L1517)/30)+1)),IF(N(G1517)&gt;=MAX(1,N(E1517)),"Conferido","Conferido até aqui"),"A conferir")))</f>
        <v/>
      </c>
      <c r="S1517" s="51">
        <f>IF(R1517="A conferir",(Config!$B$8-L1517)*1000+N(F1517)/1000+ROW()/100000,0)</f>
        <v>0</v>
      </c>
      <c r="T1517" s="51">
        <f>IF(R1517="A conferir",N(N1517),0)</f>
        <v>0</v>
      </c>
      <c r="U1517" s="51">
        <f>IF(L1517="",0,L1517)</f>
        <v>0</v>
      </c>
      <c r="V1517" s="51">
        <f>IF(L1517="",0,MAX(1,N(E1517)))</f>
        <v>0</v>
      </c>
      <c r="W1517" s="51">
        <f>IF(K1517="",0,K1517)</f>
        <v>0</v>
      </c>
    </row>
    <row r="1518">
      <c r="A1518" s="49" t="n"/>
      <c r="B1518" s="41" t="n"/>
      <c r="C1518" s="41" t="n"/>
      <c r="D1518" s="42" t="n"/>
      <c r="E1518" s="42" t="n"/>
      <c r="F1518" s="50" t="n"/>
      <c r="G1518" s="42" t="n"/>
      <c r="H1518" s="30">
        <f>IF(D1518="","",IFERROR(INDEX(Config!$B$12:$B$15,MATCH(IF(AND(D1518="Cartão de crédito",N(E1518)&gt;1),"Cartão de crédito parcelado",D1518),Config!$A$12:$A$15,0)),0)+IF(AND(Config!$B$17="Sim",LEFT(D1518,17)="Cartão de crédito"),Config!$B$18*IFERROR(INDEX(Config!$C$12:$C$15,MATCH(IF(AND(D1518="Cartão de crédito",N(E1518)&gt;1),"Cartão de crédito parcelado",D1518),Config!$A$12:$A$15,0)),0)/30*MAX(1,N(E1518)),0))</f>
        <v/>
      </c>
      <c r="I1518" s="29">
        <f>IF(OR(D1518="",F1518=""),"",ROUND(F1518*H1518,2))</f>
        <v/>
      </c>
      <c r="J1518" s="29">
        <f>IF(I1518="","",F1518-I1518)</f>
        <v/>
      </c>
      <c r="K1518" s="29">
        <f>IF(J1518="","",J1518/MAX(1,N(E1518)))</f>
        <v/>
      </c>
      <c r="L1518" s="37">
        <f>IF(OR(D1518="",A1518=""),"",A1518+IF(AND(Config!$B$17="Sim",LEFT(D1518,17)="Cartão de crédito"),1,IFERROR(INDEX(Config!$C$12:$C$15,MATCH(IF(AND(D1518="Cartão de crédito",N(E1518)&gt;1),"Cartão de crédito parcelado",D1518),Config!$A$12:$A$15,0)),0)))</f>
        <v/>
      </c>
      <c r="M1518" s="37">
        <f>IF(L1518="","",IF(AND(Config!$B$17="Sim",LEFT(D1518,17)="Cartão de crédito"),L1518,L1518+30*(MAX(1,N(E1518))-1)))</f>
        <v/>
      </c>
      <c r="N1518" s="29">
        <f>IF(OR(L1518="",K1518=""),"",K1518*MIN(MAX(1,N(E1518)),MAX(0,INT((Config!$B$8-L1518)/30)+1)))</f>
        <v/>
      </c>
      <c r="O1518" s="29">
        <f>IF(J1518="","",J1518-N(N1518))</f>
        <v/>
      </c>
      <c r="P1518" s="27">
        <f>IF(A1518="","",MONTH(A1518))</f>
        <v/>
      </c>
      <c r="Q1518" s="27">
        <f>IF(A1518="","",YEAR(A1518))</f>
        <v/>
      </c>
      <c r="R1518" s="27">
        <f>IF(L1518="","",IF(L1518&gt;Config!$B$8,"A cair",IF(N(G1518)&gt;=MIN(MAX(1,N(E1518)),MAX(0,INT((Config!$B$8-L1518)/30)+1)),IF(N(G1518)&gt;=MAX(1,N(E1518)),"Conferido","Conferido até aqui"),"A conferir")))</f>
        <v/>
      </c>
      <c r="S1518" s="51">
        <f>IF(R1518="A conferir",(Config!$B$8-L1518)*1000+N(F1518)/1000+ROW()/100000,0)</f>
        <v>0</v>
      </c>
      <c r="T1518" s="51">
        <f>IF(R1518="A conferir",N(N1518),0)</f>
        <v>0</v>
      </c>
      <c r="U1518" s="51">
        <f>IF(L1518="",0,L1518)</f>
        <v>0</v>
      </c>
      <c r="V1518" s="51">
        <f>IF(L1518="",0,MAX(1,N(E1518)))</f>
        <v>0</v>
      </c>
      <c r="W1518" s="51">
        <f>IF(K1518="",0,K1518)</f>
        <v>0</v>
      </c>
    </row>
    <row r="1519">
      <c r="A1519" s="49" t="n"/>
      <c r="B1519" s="41" t="n"/>
      <c r="C1519" s="41" t="n"/>
      <c r="D1519" s="42" t="n"/>
      <c r="E1519" s="42" t="n"/>
      <c r="F1519" s="50" t="n"/>
      <c r="G1519" s="42" t="n"/>
      <c r="H1519" s="30">
        <f>IF(D1519="","",IFERROR(INDEX(Config!$B$12:$B$15,MATCH(IF(AND(D1519="Cartão de crédito",N(E1519)&gt;1),"Cartão de crédito parcelado",D1519),Config!$A$12:$A$15,0)),0)+IF(AND(Config!$B$17="Sim",LEFT(D1519,17)="Cartão de crédito"),Config!$B$18*IFERROR(INDEX(Config!$C$12:$C$15,MATCH(IF(AND(D1519="Cartão de crédito",N(E1519)&gt;1),"Cartão de crédito parcelado",D1519),Config!$A$12:$A$15,0)),0)/30*MAX(1,N(E1519)),0))</f>
        <v/>
      </c>
      <c r="I1519" s="29">
        <f>IF(OR(D1519="",F1519=""),"",ROUND(F1519*H1519,2))</f>
        <v/>
      </c>
      <c r="J1519" s="29">
        <f>IF(I1519="","",F1519-I1519)</f>
        <v/>
      </c>
      <c r="K1519" s="29">
        <f>IF(J1519="","",J1519/MAX(1,N(E1519)))</f>
        <v/>
      </c>
      <c r="L1519" s="37">
        <f>IF(OR(D1519="",A1519=""),"",A1519+IF(AND(Config!$B$17="Sim",LEFT(D1519,17)="Cartão de crédito"),1,IFERROR(INDEX(Config!$C$12:$C$15,MATCH(IF(AND(D1519="Cartão de crédito",N(E1519)&gt;1),"Cartão de crédito parcelado",D1519),Config!$A$12:$A$15,0)),0)))</f>
        <v/>
      </c>
      <c r="M1519" s="37">
        <f>IF(L1519="","",IF(AND(Config!$B$17="Sim",LEFT(D1519,17)="Cartão de crédito"),L1519,L1519+30*(MAX(1,N(E1519))-1)))</f>
        <v/>
      </c>
      <c r="N1519" s="29">
        <f>IF(OR(L1519="",K1519=""),"",K1519*MIN(MAX(1,N(E1519)),MAX(0,INT((Config!$B$8-L1519)/30)+1)))</f>
        <v/>
      </c>
      <c r="O1519" s="29">
        <f>IF(J1519="","",J1519-N(N1519))</f>
        <v/>
      </c>
      <c r="P1519" s="27">
        <f>IF(A1519="","",MONTH(A1519))</f>
        <v/>
      </c>
      <c r="Q1519" s="27">
        <f>IF(A1519="","",YEAR(A1519))</f>
        <v/>
      </c>
      <c r="R1519" s="27">
        <f>IF(L1519="","",IF(L1519&gt;Config!$B$8,"A cair",IF(N(G1519)&gt;=MIN(MAX(1,N(E1519)),MAX(0,INT((Config!$B$8-L1519)/30)+1)),IF(N(G1519)&gt;=MAX(1,N(E1519)),"Conferido","Conferido até aqui"),"A conferir")))</f>
        <v/>
      </c>
      <c r="S1519" s="51">
        <f>IF(R1519="A conferir",(Config!$B$8-L1519)*1000+N(F1519)/1000+ROW()/100000,0)</f>
        <v>0</v>
      </c>
      <c r="T1519" s="51">
        <f>IF(R1519="A conferir",N(N1519),0)</f>
        <v>0</v>
      </c>
      <c r="U1519" s="51">
        <f>IF(L1519="",0,L1519)</f>
        <v>0</v>
      </c>
      <c r="V1519" s="51">
        <f>IF(L1519="",0,MAX(1,N(E1519)))</f>
        <v>0</v>
      </c>
      <c r="W1519" s="51">
        <f>IF(K1519="",0,K1519)</f>
        <v>0</v>
      </c>
    </row>
    <row r="1520">
      <c r="A1520" s="49" t="n"/>
      <c r="B1520" s="41" t="n"/>
      <c r="C1520" s="41" t="n"/>
      <c r="D1520" s="42" t="n"/>
      <c r="E1520" s="42" t="n"/>
      <c r="F1520" s="50" t="n"/>
      <c r="G1520" s="42" t="n"/>
      <c r="H1520" s="30">
        <f>IF(D1520="","",IFERROR(INDEX(Config!$B$12:$B$15,MATCH(IF(AND(D1520="Cartão de crédito",N(E1520)&gt;1),"Cartão de crédito parcelado",D1520),Config!$A$12:$A$15,0)),0)+IF(AND(Config!$B$17="Sim",LEFT(D1520,17)="Cartão de crédito"),Config!$B$18*IFERROR(INDEX(Config!$C$12:$C$15,MATCH(IF(AND(D1520="Cartão de crédito",N(E1520)&gt;1),"Cartão de crédito parcelado",D1520),Config!$A$12:$A$15,0)),0)/30*MAX(1,N(E1520)),0))</f>
        <v/>
      </c>
      <c r="I1520" s="29">
        <f>IF(OR(D1520="",F1520=""),"",ROUND(F1520*H1520,2))</f>
        <v/>
      </c>
      <c r="J1520" s="29">
        <f>IF(I1520="","",F1520-I1520)</f>
        <v/>
      </c>
      <c r="K1520" s="29">
        <f>IF(J1520="","",J1520/MAX(1,N(E1520)))</f>
        <v/>
      </c>
      <c r="L1520" s="37">
        <f>IF(OR(D1520="",A1520=""),"",A1520+IF(AND(Config!$B$17="Sim",LEFT(D1520,17)="Cartão de crédito"),1,IFERROR(INDEX(Config!$C$12:$C$15,MATCH(IF(AND(D1520="Cartão de crédito",N(E1520)&gt;1),"Cartão de crédito parcelado",D1520),Config!$A$12:$A$15,0)),0)))</f>
        <v/>
      </c>
      <c r="M1520" s="37">
        <f>IF(L1520="","",IF(AND(Config!$B$17="Sim",LEFT(D1520,17)="Cartão de crédito"),L1520,L1520+30*(MAX(1,N(E1520))-1)))</f>
        <v/>
      </c>
      <c r="N1520" s="29">
        <f>IF(OR(L1520="",K1520=""),"",K1520*MIN(MAX(1,N(E1520)),MAX(0,INT((Config!$B$8-L1520)/30)+1)))</f>
        <v/>
      </c>
      <c r="O1520" s="29">
        <f>IF(J1520="","",J1520-N(N1520))</f>
        <v/>
      </c>
      <c r="P1520" s="27">
        <f>IF(A1520="","",MONTH(A1520))</f>
        <v/>
      </c>
      <c r="Q1520" s="27">
        <f>IF(A1520="","",YEAR(A1520))</f>
        <v/>
      </c>
      <c r="R1520" s="27">
        <f>IF(L1520="","",IF(L1520&gt;Config!$B$8,"A cair",IF(N(G1520)&gt;=MIN(MAX(1,N(E1520)),MAX(0,INT((Config!$B$8-L1520)/30)+1)),IF(N(G1520)&gt;=MAX(1,N(E1520)),"Conferido","Conferido até aqui"),"A conferir")))</f>
        <v/>
      </c>
      <c r="S1520" s="51">
        <f>IF(R1520="A conferir",(Config!$B$8-L1520)*1000+N(F1520)/1000+ROW()/100000,0)</f>
        <v>0</v>
      </c>
      <c r="T1520" s="51">
        <f>IF(R1520="A conferir",N(N1520),0)</f>
        <v>0</v>
      </c>
      <c r="U1520" s="51">
        <f>IF(L1520="",0,L1520)</f>
        <v>0</v>
      </c>
      <c r="V1520" s="51">
        <f>IF(L1520="",0,MAX(1,N(E1520)))</f>
        <v>0</v>
      </c>
      <c r="W1520" s="51">
        <f>IF(K1520="",0,K1520)</f>
        <v>0</v>
      </c>
    </row>
    <row r="1521">
      <c r="A1521" s="49" t="n"/>
      <c r="B1521" s="41" t="n"/>
      <c r="C1521" s="41" t="n"/>
      <c r="D1521" s="42" t="n"/>
      <c r="E1521" s="42" t="n"/>
      <c r="F1521" s="50" t="n"/>
      <c r="G1521" s="42" t="n"/>
      <c r="H1521" s="30">
        <f>IF(D1521="","",IFERROR(INDEX(Config!$B$12:$B$15,MATCH(IF(AND(D1521="Cartão de crédito",N(E1521)&gt;1),"Cartão de crédito parcelado",D1521),Config!$A$12:$A$15,0)),0)+IF(AND(Config!$B$17="Sim",LEFT(D1521,17)="Cartão de crédito"),Config!$B$18*IFERROR(INDEX(Config!$C$12:$C$15,MATCH(IF(AND(D1521="Cartão de crédito",N(E1521)&gt;1),"Cartão de crédito parcelado",D1521),Config!$A$12:$A$15,0)),0)/30*MAX(1,N(E1521)),0))</f>
        <v/>
      </c>
      <c r="I1521" s="29">
        <f>IF(OR(D1521="",F1521=""),"",ROUND(F1521*H1521,2))</f>
        <v/>
      </c>
      <c r="J1521" s="29">
        <f>IF(I1521="","",F1521-I1521)</f>
        <v/>
      </c>
      <c r="K1521" s="29">
        <f>IF(J1521="","",J1521/MAX(1,N(E1521)))</f>
        <v/>
      </c>
      <c r="L1521" s="37">
        <f>IF(OR(D1521="",A1521=""),"",A1521+IF(AND(Config!$B$17="Sim",LEFT(D1521,17)="Cartão de crédito"),1,IFERROR(INDEX(Config!$C$12:$C$15,MATCH(IF(AND(D1521="Cartão de crédito",N(E1521)&gt;1),"Cartão de crédito parcelado",D1521),Config!$A$12:$A$15,0)),0)))</f>
        <v/>
      </c>
      <c r="M1521" s="37">
        <f>IF(L1521="","",IF(AND(Config!$B$17="Sim",LEFT(D1521,17)="Cartão de crédito"),L1521,L1521+30*(MAX(1,N(E1521))-1)))</f>
        <v/>
      </c>
      <c r="N1521" s="29">
        <f>IF(OR(L1521="",K1521=""),"",K1521*MIN(MAX(1,N(E1521)),MAX(0,INT((Config!$B$8-L1521)/30)+1)))</f>
        <v/>
      </c>
      <c r="O1521" s="29">
        <f>IF(J1521="","",J1521-N(N1521))</f>
        <v/>
      </c>
      <c r="P1521" s="27">
        <f>IF(A1521="","",MONTH(A1521))</f>
        <v/>
      </c>
      <c r="Q1521" s="27">
        <f>IF(A1521="","",YEAR(A1521))</f>
        <v/>
      </c>
      <c r="R1521" s="27">
        <f>IF(L1521="","",IF(L1521&gt;Config!$B$8,"A cair",IF(N(G1521)&gt;=MIN(MAX(1,N(E1521)),MAX(0,INT((Config!$B$8-L1521)/30)+1)),IF(N(G1521)&gt;=MAX(1,N(E1521)),"Conferido","Conferido até aqui"),"A conferir")))</f>
        <v/>
      </c>
      <c r="S1521" s="51">
        <f>IF(R1521="A conferir",(Config!$B$8-L1521)*1000+N(F1521)/1000+ROW()/100000,0)</f>
        <v>0</v>
      </c>
      <c r="T1521" s="51">
        <f>IF(R1521="A conferir",N(N1521),0)</f>
        <v>0</v>
      </c>
      <c r="U1521" s="51">
        <f>IF(L1521="",0,L1521)</f>
        <v>0</v>
      </c>
      <c r="V1521" s="51">
        <f>IF(L1521="",0,MAX(1,N(E1521)))</f>
        <v>0</v>
      </c>
      <c r="W1521" s="51">
        <f>IF(K1521="",0,K1521)</f>
        <v>0</v>
      </c>
    </row>
    <row r="1522">
      <c r="A1522" s="49" t="n"/>
      <c r="B1522" s="41" t="n"/>
      <c r="C1522" s="41" t="n"/>
      <c r="D1522" s="42" t="n"/>
      <c r="E1522" s="42" t="n"/>
      <c r="F1522" s="50" t="n"/>
      <c r="G1522" s="42" t="n"/>
      <c r="H1522" s="30">
        <f>IF(D1522="","",IFERROR(INDEX(Config!$B$12:$B$15,MATCH(IF(AND(D1522="Cartão de crédito",N(E1522)&gt;1),"Cartão de crédito parcelado",D1522),Config!$A$12:$A$15,0)),0)+IF(AND(Config!$B$17="Sim",LEFT(D1522,17)="Cartão de crédito"),Config!$B$18*IFERROR(INDEX(Config!$C$12:$C$15,MATCH(IF(AND(D1522="Cartão de crédito",N(E1522)&gt;1),"Cartão de crédito parcelado",D1522),Config!$A$12:$A$15,0)),0)/30*MAX(1,N(E1522)),0))</f>
        <v/>
      </c>
      <c r="I1522" s="29">
        <f>IF(OR(D1522="",F1522=""),"",ROUND(F1522*H1522,2))</f>
        <v/>
      </c>
      <c r="J1522" s="29">
        <f>IF(I1522="","",F1522-I1522)</f>
        <v/>
      </c>
      <c r="K1522" s="29">
        <f>IF(J1522="","",J1522/MAX(1,N(E1522)))</f>
        <v/>
      </c>
      <c r="L1522" s="37">
        <f>IF(OR(D1522="",A1522=""),"",A1522+IF(AND(Config!$B$17="Sim",LEFT(D1522,17)="Cartão de crédito"),1,IFERROR(INDEX(Config!$C$12:$C$15,MATCH(IF(AND(D1522="Cartão de crédito",N(E1522)&gt;1),"Cartão de crédito parcelado",D1522),Config!$A$12:$A$15,0)),0)))</f>
        <v/>
      </c>
      <c r="M1522" s="37">
        <f>IF(L1522="","",IF(AND(Config!$B$17="Sim",LEFT(D1522,17)="Cartão de crédito"),L1522,L1522+30*(MAX(1,N(E1522))-1)))</f>
        <v/>
      </c>
      <c r="N1522" s="29">
        <f>IF(OR(L1522="",K1522=""),"",K1522*MIN(MAX(1,N(E1522)),MAX(0,INT((Config!$B$8-L1522)/30)+1)))</f>
        <v/>
      </c>
      <c r="O1522" s="29">
        <f>IF(J1522="","",J1522-N(N1522))</f>
        <v/>
      </c>
      <c r="P1522" s="27">
        <f>IF(A1522="","",MONTH(A1522))</f>
        <v/>
      </c>
      <c r="Q1522" s="27">
        <f>IF(A1522="","",YEAR(A1522))</f>
        <v/>
      </c>
      <c r="R1522" s="27">
        <f>IF(L1522="","",IF(L1522&gt;Config!$B$8,"A cair",IF(N(G1522)&gt;=MIN(MAX(1,N(E1522)),MAX(0,INT((Config!$B$8-L1522)/30)+1)),IF(N(G1522)&gt;=MAX(1,N(E1522)),"Conferido","Conferido até aqui"),"A conferir")))</f>
        <v/>
      </c>
      <c r="S1522" s="51">
        <f>IF(R1522="A conferir",(Config!$B$8-L1522)*1000+N(F1522)/1000+ROW()/100000,0)</f>
        <v>0</v>
      </c>
      <c r="T1522" s="51">
        <f>IF(R1522="A conferir",N(N1522),0)</f>
        <v>0</v>
      </c>
      <c r="U1522" s="51">
        <f>IF(L1522="",0,L1522)</f>
        <v>0</v>
      </c>
      <c r="V1522" s="51">
        <f>IF(L1522="",0,MAX(1,N(E1522)))</f>
        <v>0</v>
      </c>
      <c r="W1522" s="51">
        <f>IF(K1522="",0,K1522)</f>
        <v>0</v>
      </c>
    </row>
    <row r="1523">
      <c r="A1523" s="49" t="n"/>
      <c r="B1523" s="41" t="n"/>
      <c r="C1523" s="41" t="n"/>
      <c r="D1523" s="42" t="n"/>
      <c r="E1523" s="42" t="n"/>
      <c r="F1523" s="50" t="n"/>
      <c r="G1523" s="42" t="n"/>
      <c r="H1523" s="30">
        <f>IF(D1523="","",IFERROR(INDEX(Config!$B$12:$B$15,MATCH(IF(AND(D1523="Cartão de crédito",N(E1523)&gt;1),"Cartão de crédito parcelado",D1523),Config!$A$12:$A$15,0)),0)+IF(AND(Config!$B$17="Sim",LEFT(D1523,17)="Cartão de crédito"),Config!$B$18*IFERROR(INDEX(Config!$C$12:$C$15,MATCH(IF(AND(D1523="Cartão de crédito",N(E1523)&gt;1),"Cartão de crédito parcelado",D1523),Config!$A$12:$A$15,0)),0)/30*MAX(1,N(E1523)),0))</f>
        <v/>
      </c>
      <c r="I1523" s="29">
        <f>IF(OR(D1523="",F1523=""),"",ROUND(F1523*H1523,2))</f>
        <v/>
      </c>
      <c r="J1523" s="29">
        <f>IF(I1523="","",F1523-I1523)</f>
        <v/>
      </c>
      <c r="K1523" s="29">
        <f>IF(J1523="","",J1523/MAX(1,N(E1523)))</f>
        <v/>
      </c>
      <c r="L1523" s="37">
        <f>IF(OR(D1523="",A1523=""),"",A1523+IF(AND(Config!$B$17="Sim",LEFT(D1523,17)="Cartão de crédito"),1,IFERROR(INDEX(Config!$C$12:$C$15,MATCH(IF(AND(D1523="Cartão de crédito",N(E1523)&gt;1),"Cartão de crédito parcelado",D1523),Config!$A$12:$A$15,0)),0)))</f>
        <v/>
      </c>
      <c r="M1523" s="37">
        <f>IF(L1523="","",IF(AND(Config!$B$17="Sim",LEFT(D1523,17)="Cartão de crédito"),L1523,L1523+30*(MAX(1,N(E1523))-1)))</f>
        <v/>
      </c>
      <c r="N1523" s="29">
        <f>IF(OR(L1523="",K1523=""),"",K1523*MIN(MAX(1,N(E1523)),MAX(0,INT((Config!$B$8-L1523)/30)+1)))</f>
        <v/>
      </c>
      <c r="O1523" s="29">
        <f>IF(J1523="","",J1523-N(N1523))</f>
        <v/>
      </c>
      <c r="P1523" s="27">
        <f>IF(A1523="","",MONTH(A1523))</f>
        <v/>
      </c>
      <c r="Q1523" s="27">
        <f>IF(A1523="","",YEAR(A1523))</f>
        <v/>
      </c>
      <c r="R1523" s="27">
        <f>IF(L1523="","",IF(L1523&gt;Config!$B$8,"A cair",IF(N(G1523)&gt;=MIN(MAX(1,N(E1523)),MAX(0,INT((Config!$B$8-L1523)/30)+1)),IF(N(G1523)&gt;=MAX(1,N(E1523)),"Conferido","Conferido até aqui"),"A conferir")))</f>
        <v/>
      </c>
      <c r="S1523" s="51">
        <f>IF(R1523="A conferir",(Config!$B$8-L1523)*1000+N(F1523)/1000+ROW()/100000,0)</f>
        <v>0</v>
      </c>
      <c r="T1523" s="51">
        <f>IF(R1523="A conferir",N(N1523),0)</f>
        <v>0</v>
      </c>
      <c r="U1523" s="51">
        <f>IF(L1523="",0,L1523)</f>
        <v>0</v>
      </c>
      <c r="V1523" s="51">
        <f>IF(L1523="",0,MAX(1,N(E1523)))</f>
        <v>0</v>
      </c>
      <c r="W1523" s="51">
        <f>IF(K1523="",0,K1523)</f>
        <v>0</v>
      </c>
    </row>
    <row r="1524">
      <c r="A1524" s="49" t="n"/>
      <c r="B1524" s="41" t="n"/>
      <c r="C1524" s="41" t="n"/>
      <c r="D1524" s="42" t="n"/>
      <c r="E1524" s="42" t="n"/>
      <c r="F1524" s="50" t="n"/>
      <c r="G1524" s="42" t="n"/>
      <c r="H1524" s="30">
        <f>IF(D1524="","",IFERROR(INDEX(Config!$B$12:$B$15,MATCH(IF(AND(D1524="Cartão de crédito",N(E1524)&gt;1),"Cartão de crédito parcelado",D1524),Config!$A$12:$A$15,0)),0)+IF(AND(Config!$B$17="Sim",LEFT(D1524,17)="Cartão de crédito"),Config!$B$18*IFERROR(INDEX(Config!$C$12:$C$15,MATCH(IF(AND(D1524="Cartão de crédito",N(E1524)&gt;1),"Cartão de crédito parcelado",D1524),Config!$A$12:$A$15,0)),0)/30*MAX(1,N(E1524)),0))</f>
        <v/>
      </c>
      <c r="I1524" s="29">
        <f>IF(OR(D1524="",F1524=""),"",ROUND(F1524*H1524,2))</f>
        <v/>
      </c>
      <c r="J1524" s="29">
        <f>IF(I1524="","",F1524-I1524)</f>
        <v/>
      </c>
      <c r="K1524" s="29">
        <f>IF(J1524="","",J1524/MAX(1,N(E1524)))</f>
        <v/>
      </c>
      <c r="L1524" s="37">
        <f>IF(OR(D1524="",A1524=""),"",A1524+IF(AND(Config!$B$17="Sim",LEFT(D1524,17)="Cartão de crédito"),1,IFERROR(INDEX(Config!$C$12:$C$15,MATCH(IF(AND(D1524="Cartão de crédito",N(E1524)&gt;1),"Cartão de crédito parcelado",D1524),Config!$A$12:$A$15,0)),0)))</f>
        <v/>
      </c>
      <c r="M1524" s="37">
        <f>IF(L1524="","",IF(AND(Config!$B$17="Sim",LEFT(D1524,17)="Cartão de crédito"),L1524,L1524+30*(MAX(1,N(E1524))-1)))</f>
        <v/>
      </c>
      <c r="N1524" s="29">
        <f>IF(OR(L1524="",K1524=""),"",K1524*MIN(MAX(1,N(E1524)),MAX(0,INT((Config!$B$8-L1524)/30)+1)))</f>
        <v/>
      </c>
      <c r="O1524" s="29">
        <f>IF(J1524="","",J1524-N(N1524))</f>
        <v/>
      </c>
      <c r="P1524" s="27">
        <f>IF(A1524="","",MONTH(A1524))</f>
        <v/>
      </c>
      <c r="Q1524" s="27">
        <f>IF(A1524="","",YEAR(A1524))</f>
        <v/>
      </c>
      <c r="R1524" s="27">
        <f>IF(L1524="","",IF(L1524&gt;Config!$B$8,"A cair",IF(N(G1524)&gt;=MIN(MAX(1,N(E1524)),MAX(0,INT((Config!$B$8-L1524)/30)+1)),IF(N(G1524)&gt;=MAX(1,N(E1524)),"Conferido","Conferido até aqui"),"A conferir")))</f>
        <v/>
      </c>
      <c r="S1524" s="51">
        <f>IF(R1524="A conferir",(Config!$B$8-L1524)*1000+N(F1524)/1000+ROW()/100000,0)</f>
        <v>0</v>
      </c>
      <c r="T1524" s="51">
        <f>IF(R1524="A conferir",N(N1524),0)</f>
        <v>0</v>
      </c>
      <c r="U1524" s="51">
        <f>IF(L1524="",0,L1524)</f>
        <v>0</v>
      </c>
      <c r="V1524" s="51">
        <f>IF(L1524="",0,MAX(1,N(E1524)))</f>
        <v>0</v>
      </c>
      <c r="W1524" s="51">
        <f>IF(K1524="",0,K1524)</f>
        <v>0</v>
      </c>
    </row>
    <row r="1525">
      <c r="A1525" s="49" t="n"/>
      <c r="B1525" s="41" t="n"/>
      <c r="C1525" s="41" t="n"/>
      <c r="D1525" s="42" t="n"/>
      <c r="E1525" s="42" t="n"/>
      <c r="F1525" s="50" t="n"/>
      <c r="G1525" s="42" t="n"/>
      <c r="H1525" s="30">
        <f>IF(D1525="","",IFERROR(INDEX(Config!$B$12:$B$15,MATCH(IF(AND(D1525="Cartão de crédito",N(E1525)&gt;1),"Cartão de crédito parcelado",D1525),Config!$A$12:$A$15,0)),0)+IF(AND(Config!$B$17="Sim",LEFT(D1525,17)="Cartão de crédito"),Config!$B$18*IFERROR(INDEX(Config!$C$12:$C$15,MATCH(IF(AND(D1525="Cartão de crédito",N(E1525)&gt;1),"Cartão de crédito parcelado",D1525),Config!$A$12:$A$15,0)),0)/30*MAX(1,N(E1525)),0))</f>
        <v/>
      </c>
      <c r="I1525" s="29">
        <f>IF(OR(D1525="",F1525=""),"",ROUND(F1525*H1525,2))</f>
        <v/>
      </c>
      <c r="J1525" s="29">
        <f>IF(I1525="","",F1525-I1525)</f>
        <v/>
      </c>
      <c r="K1525" s="29">
        <f>IF(J1525="","",J1525/MAX(1,N(E1525)))</f>
        <v/>
      </c>
      <c r="L1525" s="37">
        <f>IF(OR(D1525="",A1525=""),"",A1525+IF(AND(Config!$B$17="Sim",LEFT(D1525,17)="Cartão de crédito"),1,IFERROR(INDEX(Config!$C$12:$C$15,MATCH(IF(AND(D1525="Cartão de crédito",N(E1525)&gt;1),"Cartão de crédito parcelado",D1525),Config!$A$12:$A$15,0)),0)))</f>
        <v/>
      </c>
      <c r="M1525" s="37">
        <f>IF(L1525="","",IF(AND(Config!$B$17="Sim",LEFT(D1525,17)="Cartão de crédito"),L1525,L1525+30*(MAX(1,N(E1525))-1)))</f>
        <v/>
      </c>
      <c r="N1525" s="29">
        <f>IF(OR(L1525="",K1525=""),"",K1525*MIN(MAX(1,N(E1525)),MAX(0,INT((Config!$B$8-L1525)/30)+1)))</f>
        <v/>
      </c>
      <c r="O1525" s="29">
        <f>IF(J1525="","",J1525-N(N1525))</f>
        <v/>
      </c>
      <c r="P1525" s="27">
        <f>IF(A1525="","",MONTH(A1525))</f>
        <v/>
      </c>
      <c r="Q1525" s="27">
        <f>IF(A1525="","",YEAR(A1525))</f>
        <v/>
      </c>
      <c r="R1525" s="27">
        <f>IF(L1525="","",IF(L1525&gt;Config!$B$8,"A cair",IF(N(G1525)&gt;=MIN(MAX(1,N(E1525)),MAX(0,INT((Config!$B$8-L1525)/30)+1)),IF(N(G1525)&gt;=MAX(1,N(E1525)),"Conferido","Conferido até aqui"),"A conferir")))</f>
        <v/>
      </c>
      <c r="S1525" s="51">
        <f>IF(R1525="A conferir",(Config!$B$8-L1525)*1000+N(F1525)/1000+ROW()/100000,0)</f>
        <v>0</v>
      </c>
      <c r="T1525" s="51">
        <f>IF(R1525="A conferir",N(N1525),0)</f>
        <v>0</v>
      </c>
      <c r="U1525" s="51">
        <f>IF(L1525="",0,L1525)</f>
        <v>0</v>
      </c>
      <c r="V1525" s="51">
        <f>IF(L1525="",0,MAX(1,N(E1525)))</f>
        <v>0</v>
      </c>
      <c r="W1525" s="51">
        <f>IF(K1525="",0,K1525)</f>
        <v>0</v>
      </c>
    </row>
    <row r="1526">
      <c r="A1526" s="49" t="n"/>
      <c r="B1526" s="41" t="n"/>
      <c r="C1526" s="41" t="n"/>
      <c r="D1526" s="42" t="n"/>
      <c r="E1526" s="42" t="n"/>
      <c r="F1526" s="50" t="n"/>
      <c r="G1526" s="42" t="n"/>
      <c r="H1526" s="30">
        <f>IF(D1526="","",IFERROR(INDEX(Config!$B$12:$B$15,MATCH(IF(AND(D1526="Cartão de crédito",N(E1526)&gt;1),"Cartão de crédito parcelado",D1526),Config!$A$12:$A$15,0)),0)+IF(AND(Config!$B$17="Sim",LEFT(D1526,17)="Cartão de crédito"),Config!$B$18*IFERROR(INDEX(Config!$C$12:$C$15,MATCH(IF(AND(D1526="Cartão de crédito",N(E1526)&gt;1),"Cartão de crédito parcelado",D1526),Config!$A$12:$A$15,0)),0)/30*MAX(1,N(E1526)),0))</f>
        <v/>
      </c>
      <c r="I1526" s="29">
        <f>IF(OR(D1526="",F1526=""),"",ROUND(F1526*H1526,2))</f>
        <v/>
      </c>
      <c r="J1526" s="29">
        <f>IF(I1526="","",F1526-I1526)</f>
        <v/>
      </c>
      <c r="K1526" s="29">
        <f>IF(J1526="","",J1526/MAX(1,N(E1526)))</f>
        <v/>
      </c>
      <c r="L1526" s="37">
        <f>IF(OR(D1526="",A1526=""),"",A1526+IF(AND(Config!$B$17="Sim",LEFT(D1526,17)="Cartão de crédito"),1,IFERROR(INDEX(Config!$C$12:$C$15,MATCH(IF(AND(D1526="Cartão de crédito",N(E1526)&gt;1),"Cartão de crédito parcelado",D1526),Config!$A$12:$A$15,0)),0)))</f>
        <v/>
      </c>
      <c r="M1526" s="37">
        <f>IF(L1526="","",IF(AND(Config!$B$17="Sim",LEFT(D1526,17)="Cartão de crédito"),L1526,L1526+30*(MAX(1,N(E1526))-1)))</f>
        <v/>
      </c>
      <c r="N1526" s="29">
        <f>IF(OR(L1526="",K1526=""),"",K1526*MIN(MAX(1,N(E1526)),MAX(0,INT((Config!$B$8-L1526)/30)+1)))</f>
        <v/>
      </c>
      <c r="O1526" s="29">
        <f>IF(J1526="","",J1526-N(N1526))</f>
        <v/>
      </c>
      <c r="P1526" s="27">
        <f>IF(A1526="","",MONTH(A1526))</f>
        <v/>
      </c>
      <c r="Q1526" s="27">
        <f>IF(A1526="","",YEAR(A1526))</f>
        <v/>
      </c>
      <c r="R1526" s="27">
        <f>IF(L1526="","",IF(L1526&gt;Config!$B$8,"A cair",IF(N(G1526)&gt;=MIN(MAX(1,N(E1526)),MAX(0,INT((Config!$B$8-L1526)/30)+1)),IF(N(G1526)&gt;=MAX(1,N(E1526)),"Conferido","Conferido até aqui"),"A conferir")))</f>
        <v/>
      </c>
      <c r="S1526" s="51">
        <f>IF(R1526="A conferir",(Config!$B$8-L1526)*1000+N(F1526)/1000+ROW()/100000,0)</f>
        <v>0</v>
      </c>
      <c r="T1526" s="51">
        <f>IF(R1526="A conferir",N(N1526),0)</f>
        <v>0</v>
      </c>
      <c r="U1526" s="51">
        <f>IF(L1526="",0,L1526)</f>
        <v>0</v>
      </c>
      <c r="V1526" s="51">
        <f>IF(L1526="",0,MAX(1,N(E1526)))</f>
        <v>0</v>
      </c>
      <c r="W1526" s="51">
        <f>IF(K1526="",0,K1526)</f>
        <v>0</v>
      </c>
    </row>
    <row r="1527">
      <c r="A1527" s="49" t="n"/>
      <c r="B1527" s="41" t="n"/>
      <c r="C1527" s="41" t="n"/>
      <c r="D1527" s="42" t="n"/>
      <c r="E1527" s="42" t="n"/>
      <c r="F1527" s="50" t="n"/>
      <c r="G1527" s="42" t="n"/>
      <c r="H1527" s="30">
        <f>IF(D1527="","",IFERROR(INDEX(Config!$B$12:$B$15,MATCH(IF(AND(D1527="Cartão de crédito",N(E1527)&gt;1),"Cartão de crédito parcelado",D1527),Config!$A$12:$A$15,0)),0)+IF(AND(Config!$B$17="Sim",LEFT(D1527,17)="Cartão de crédito"),Config!$B$18*IFERROR(INDEX(Config!$C$12:$C$15,MATCH(IF(AND(D1527="Cartão de crédito",N(E1527)&gt;1),"Cartão de crédito parcelado",D1527),Config!$A$12:$A$15,0)),0)/30*MAX(1,N(E1527)),0))</f>
        <v/>
      </c>
      <c r="I1527" s="29">
        <f>IF(OR(D1527="",F1527=""),"",ROUND(F1527*H1527,2))</f>
        <v/>
      </c>
      <c r="J1527" s="29">
        <f>IF(I1527="","",F1527-I1527)</f>
        <v/>
      </c>
      <c r="K1527" s="29">
        <f>IF(J1527="","",J1527/MAX(1,N(E1527)))</f>
        <v/>
      </c>
      <c r="L1527" s="37">
        <f>IF(OR(D1527="",A1527=""),"",A1527+IF(AND(Config!$B$17="Sim",LEFT(D1527,17)="Cartão de crédito"),1,IFERROR(INDEX(Config!$C$12:$C$15,MATCH(IF(AND(D1527="Cartão de crédito",N(E1527)&gt;1),"Cartão de crédito parcelado",D1527),Config!$A$12:$A$15,0)),0)))</f>
        <v/>
      </c>
      <c r="M1527" s="37">
        <f>IF(L1527="","",IF(AND(Config!$B$17="Sim",LEFT(D1527,17)="Cartão de crédito"),L1527,L1527+30*(MAX(1,N(E1527))-1)))</f>
        <v/>
      </c>
      <c r="N1527" s="29">
        <f>IF(OR(L1527="",K1527=""),"",K1527*MIN(MAX(1,N(E1527)),MAX(0,INT((Config!$B$8-L1527)/30)+1)))</f>
        <v/>
      </c>
      <c r="O1527" s="29">
        <f>IF(J1527="","",J1527-N(N1527))</f>
        <v/>
      </c>
      <c r="P1527" s="27">
        <f>IF(A1527="","",MONTH(A1527))</f>
        <v/>
      </c>
      <c r="Q1527" s="27">
        <f>IF(A1527="","",YEAR(A1527))</f>
        <v/>
      </c>
      <c r="R1527" s="27">
        <f>IF(L1527="","",IF(L1527&gt;Config!$B$8,"A cair",IF(N(G1527)&gt;=MIN(MAX(1,N(E1527)),MAX(0,INT((Config!$B$8-L1527)/30)+1)),IF(N(G1527)&gt;=MAX(1,N(E1527)),"Conferido","Conferido até aqui"),"A conferir")))</f>
        <v/>
      </c>
      <c r="S1527" s="51">
        <f>IF(R1527="A conferir",(Config!$B$8-L1527)*1000+N(F1527)/1000+ROW()/100000,0)</f>
        <v>0</v>
      </c>
      <c r="T1527" s="51">
        <f>IF(R1527="A conferir",N(N1527),0)</f>
        <v>0</v>
      </c>
      <c r="U1527" s="51">
        <f>IF(L1527="",0,L1527)</f>
        <v>0</v>
      </c>
      <c r="V1527" s="51">
        <f>IF(L1527="",0,MAX(1,N(E1527)))</f>
        <v>0</v>
      </c>
      <c r="W1527" s="51">
        <f>IF(K1527="",0,K1527)</f>
        <v>0</v>
      </c>
    </row>
    <row r="1528">
      <c r="A1528" s="49" t="n"/>
      <c r="B1528" s="41" t="n"/>
      <c r="C1528" s="41" t="n"/>
      <c r="D1528" s="42" t="n"/>
      <c r="E1528" s="42" t="n"/>
      <c r="F1528" s="50" t="n"/>
      <c r="G1528" s="42" t="n"/>
      <c r="H1528" s="30">
        <f>IF(D1528="","",IFERROR(INDEX(Config!$B$12:$B$15,MATCH(IF(AND(D1528="Cartão de crédito",N(E1528)&gt;1),"Cartão de crédito parcelado",D1528),Config!$A$12:$A$15,0)),0)+IF(AND(Config!$B$17="Sim",LEFT(D1528,17)="Cartão de crédito"),Config!$B$18*IFERROR(INDEX(Config!$C$12:$C$15,MATCH(IF(AND(D1528="Cartão de crédito",N(E1528)&gt;1),"Cartão de crédito parcelado",D1528),Config!$A$12:$A$15,0)),0)/30*MAX(1,N(E1528)),0))</f>
        <v/>
      </c>
      <c r="I1528" s="29">
        <f>IF(OR(D1528="",F1528=""),"",ROUND(F1528*H1528,2))</f>
        <v/>
      </c>
      <c r="J1528" s="29">
        <f>IF(I1528="","",F1528-I1528)</f>
        <v/>
      </c>
      <c r="K1528" s="29">
        <f>IF(J1528="","",J1528/MAX(1,N(E1528)))</f>
        <v/>
      </c>
      <c r="L1528" s="37">
        <f>IF(OR(D1528="",A1528=""),"",A1528+IF(AND(Config!$B$17="Sim",LEFT(D1528,17)="Cartão de crédito"),1,IFERROR(INDEX(Config!$C$12:$C$15,MATCH(IF(AND(D1528="Cartão de crédito",N(E1528)&gt;1),"Cartão de crédito parcelado",D1528),Config!$A$12:$A$15,0)),0)))</f>
        <v/>
      </c>
      <c r="M1528" s="37">
        <f>IF(L1528="","",IF(AND(Config!$B$17="Sim",LEFT(D1528,17)="Cartão de crédito"),L1528,L1528+30*(MAX(1,N(E1528))-1)))</f>
        <v/>
      </c>
      <c r="N1528" s="29">
        <f>IF(OR(L1528="",K1528=""),"",K1528*MIN(MAX(1,N(E1528)),MAX(0,INT((Config!$B$8-L1528)/30)+1)))</f>
        <v/>
      </c>
      <c r="O1528" s="29">
        <f>IF(J1528="","",J1528-N(N1528))</f>
        <v/>
      </c>
      <c r="P1528" s="27">
        <f>IF(A1528="","",MONTH(A1528))</f>
        <v/>
      </c>
      <c r="Q1528" s="27">
        <f>IF(A1528="","",YEAR(A1528))</f>
        <v/>
      </c>
      <c r="R1528" s="27">
        <f>IF(L1528="","",IF(L1528&gt;Config!$B$8,"A cair",IF(N(G1528)&gt;=MIN(MAX(1,N(E1528)),MAX(0,INT((Config!$B$8-L1528)/30)+1)),IF(N(G1528)&gt;=MAX(1,N(E1528)),"Conferido","Conferido até aqui"),"A conferir")))</f>
        <v/>
      </c>
      <c r="S1528" s="51">
        <f>IF(R1528="A conferir",(Config!$B$8-L1528)*1000+N(F1528)/1000+ROW()/100000,0)</f>
        <v>0</v>
      </c>
      <c r="T1528" s="51">
        <f>IF(R1528="A conferir",N(N1528),0)</f>
        <v>0</v>
      </c>
      <c r="U1528" s="51">
        <f>IF(L1528="",0,L1528)</f>
        <v>0</v>
      </c>
      <c r="V1528" s="51">
        <f>IF(L1528="",0,MAX(1,N(E1528)))</f>
        <v>0</v>
      </c>
      <c r="W1528" s="51">
        <f>IF(K1528="",0,K1528)</f>
        <v>0</v>
      </c>
    </row>
    <row r="1529">
      <c r="A1529" s="49" t="n"/>
      <c r="B1529" s="41" t="n"/>
      <c r="C1529" s="41" t="n"/>
      <c r="D1529" s="42" t="n"/>
      <c r="E1529" s="42" t="n"/>
      <c r="F1529" s="50" t="n"/>
      <c r="G1529" s="42" t="n"/>
      <c r="H1529" s="30">
        <f>IF(D1529="","",IFERROR(INDEX(Config!$B$12:$B$15,MATCH(IF(AND(D1529="Cartão de crédito",N(E1529)&gt;1),"Cartão de crédito parcelado",D1529),Config!$A$12:$A$15,0)),0)+IF(AND(Config!$B$17="Sim",LEFT(D1529,17)="Cartão de crédito"),Config!$B$18*IFERROR(INDEX(Config!$C$12:$C$15,MATCH(IF(AND(D1529="Cartão de crédito",N(E1529)&gt;1),"Cartão de crédito parcelado",D1529),Config!$A$12:$A$15,0)),0)/30*MAX(1,N(E1529)),0))</f>
        <v/>
      </c>
      <c r="I1529" s="29">
        <f>IF(OR(D1529="",F1529=""),"",ROUND(F1529*H1529,2))</f>
        <v/>
      </c>
      <c r="J1529" s="29">
        <f>IF(I1529="","",F1529-I1529)</f>
        <v/>
      </c>
      <c r="K1529" s="29">
        <f>IF(J1529="","",J1529/MAX(1,N(E1529)))</f>
        <v/>
      </c>
      <c r="L1529" s="37">
        <f>IF(OR(D1529="",A1529=""),"",A1529+IF(AND(Config!$B$17="Sim",LEFT(D1529,17)="Cartão de crédito"),1,IFERROR(INDEX(Config!$C$12:$C$15,MATCH(IF(AND(D1529="Cartão de crédito",N(E1529)&gt;1),"Cartão de crédito parcelado",D1529),Config!$A$12:$A$15,0)),0)))</f>
        <v/>
      </c>
      <c r="M1529" s="37">
        <f>IF(L1529="","",IF(AND(Config!$B$17="Sim",LEFT(D1529,17)="Cartão de crédito"),L1529,L1529+30*(MAX(1,N(E1529))-1)))</f>
        <v/>
      </c>
      <c r="N1529" s="29">
        <f>IF(OR(L1529="",K1529=""),"",K1529*MIN(MAX(1,N(E1529)),MAX(0,INT((Config!$B$8-L1529)/30)+1)))</f>
        <v/>
      </c>
      <c r="O1529" s="29">
        <f>IF(J1529="","",J1529-N(N1529))</f>
        <v/>
      </c>
      <c r="P1529" s="27">
        <f>IF(A1529="","",MONTH(A1529))</f>
        <v/>
      </c>
      <c r="Q1529" s="27">
        <f>IF(A1529="","",YEAR(A1529))</f>
        <v/>
      </c>
      <c r="R1529" s="27">
        <f>IF(L1529="","",IF(L1529&gt;Config!$B$8,"A cair",IF(N(G1529)&gt;=MIN(MAX(1,N(E1529)),MAX(0,INT((Config!$B$8-L1529)/30)+1)),IF(N(G1529)&gt;=MAX(1,N(E1529)),"Conferido","Conferido até aqui"),"A conferir")))</f>
        <v/>
      </c>
      <c r="S1529" s="51">
        <f>IF(R1529="A conferir",(Config!$B$8-L1529)*1000+N(F1529)/1000+ROW()/100000,0)</f>
        <v>0</v>
      </c>
      <c r="T1529" s="51">
        <f>IF(R1529="A conferir",N(N1529),0)</f>
        <v>0</v>
      </c>
      <c r="U1529" s="51">
        <f>IF(L1529="",0,L1529)</f>
        <v>0</v>
      </c>
      <c r="V1529" s="51">
        <f>IF(L1529="",0,MAX(1,N(E1529)))</f>
        <v>0</v>
      </c>
      <c r="W1529" s="51">
        <f>IF(K1529="",0,K1529)</f>
        <v>0</v>
      </c>
    </row>
    <row r="1530">
      <c r="A1530" s="49" t="n"/>
      <c r="B1530" s="41" t="n"/>
      <c r="C1530" s="41" t="n"/>
      <c r="D1530" s="42" t="n"/>
      <c r="E1530" s="42" t="n"/>
      <c r="F1530" s="50" t="n"/>
      <c r="G1530" s="42" t="n"/>
      <c r="H1530" s="30">
        <f>IF(D1530="","",IFERROR(INDEX(Config!$B$12:$B$15,MATCH(IF(AND(D1530="Cartão de crédito",N(E1530)&gt;1),"Cartão de crédito parcelado",D1530),Config!$A$12:$A$15,0)),0)+IF(AND(Config!$B$17="Sim",LEFT(D1530,17)="Cartão de crédito"),Config!$B$18*IFERROR(INDEX(Config!$C$12:$C$15,MATCH(IF(AND(D1530="Cartão de crédito",N(E1530)&gt;1),"Cartão de crédito parcelado",D1530),Config!$A$12:$A$15,0)),0)/30*MAX(1,N(E1530)),0))</f>
        <v/>
      </c>
      <c r="I1530" s="29">
        <f>IF(OR(D1530="",F1530=""),"",ROUND(F1530*H1530,2))</f>
        <v/>
      </c>
      <c r="J1530" s="29">
        <f>IF(I1530="","",F1530-I1530)</f>
        <v/>
      </c>
      <c r="K1530" s="29">
        <f>IF(J1530="","",J1530/MAX(1,N(E1530)))</f>
        <v/>
      </c>
      <c r="L1530" s="37">
        <f>IF(OR(D1530="",A1530=""),"",A1530+IF(AND(Config!$B$17="Sim",LEFT(D1530,17)="Cartão de crédito"),1,IFERROR(INDEX(Config!$C$12:$C$15,MATCH(IF(AND(D1530="Cartão de crédito",N(E1530)&gt;1),"Cartão de crédito parcelado",D1530),Config!$A$12:$A$15,0)),0)))</f>
        <v/>
      </c>
      <c r="M1530" s="37">
        <f>IF(L1530="","",IF(AND(Config!$B$17="Sim",LEFT(D1530,17)="Cartão de crédito"),L1530,L1530+30*(MAX(1,N(E1530))-1)))</f>
        <v/>
      </c>
      <c r="N1530" s="29">
        <f>IF(OR(L1530="",K1530=""),"",K1530*MIN(MAX(1,N(E1530)),MAX(0,INT((Config!$B$8-L1530)/30)+1)))</f>
        <v/>
      </c>
      <c r="O1530" s="29">
        <f>IF(J1530="","",J1530-N(N1530))</f>
        <v/>
      </c>
      <c r="P1530" s="27">
        <f>IF(A1530="","",MONTH(A1530))</f>
        <v/>
      </c>
      <c r="Q1530" s="27">
        <f>IF(A1530="","",YEAR(A1530))</f>
        <v/>
      </c>
      <c r="R1530" s="27">
        <f>IF(L1530="","",IF(L1530&gt;Config!$B$8,"A cair",IF(N(G1530)&gt;=MIN(MAX(1,N(E1530)),MAX(0,INT((Config!$B$8-L1530)/30)+1)),IF(N(G1530)&gt;=MAX(1,N(E1530)),"Conferido","Conferido até aqui"),"A conferir")))</f>
        <v/>
      </c>
      <c r="S1530" s="51">
        <f>IF(R1530="A conferir",(Config!$B$8-L1530)*1000+N(F1530)/1000+ROW()/100000,0)</f>
        <v>0</v>
      </c>
      <c r="T1530" s="51">
        <f>IF(R1530="A conferir",N(N1530),0)</f>
        <v>0</v>
      </c>
      <c r="U1530" s="51">
        <f>IF(L1530="",0,L1530)</f>
        <v>0</v>
      </c>
      <c r="V1530" s="51">
        <f>IF(L1530="",0,MAX(1,N(E1530)))</f>
        <v>0</v>
      </c>
      <c r="W1530" s="51">
        <f>IF(K1530="",0,K1530)</f>
        <v>0</v>
      </c>
    </row>
    <row r="1531">
      <c r="A1531" s="49" t="n"/>
      <c r="B1531" s="41" t="n"/>
      <c r="C1531" s="41" t="n"/>
      <c r="D1531" s="42" t="n"/>
      <c r="E1531" s="42" t="n"/>
      <c r="F1531" s="50" t="n"/>
      <c r="G1531" s="42" t="n"/>
      <c r="H1531" s="30">
        <f>IF(D1531="","",IFERROR(INDEX(Config!$B$12:$B$15,MATCH(IF(AND(D1531="Cartão de crédito",N(E1531)&gt;1),"Cartão de crédito parcelado",D1531),Config!$A$12:$A$15,0)),0)+IF(AND(Config!$B$17="Sim",LEFT(D1531,17)="Cartão de crédito"),Config!$B$18*IFERROR(INDEX(Config!$C$12:$C$15,MATCH(IF(AND(D1531="Cartão de crédito",N(E1531)&gt;1),"Cartão de crédito parcelado",D1531),Config!$A$12:$A$15,0)),0)/30*MAX(1,N(E1531)),0))</f>
        <v/>
      </c>
      <c r="I1531" s="29">
        <f>IF(OR(D1531="",F1531=""),"",ROUND(F1531*H1531,2))</f>
        <v/>
      </c>
      <c r="J1531" s="29">
        <f>IF(I1531="","",F1531-I1531)</f>
        <v/>
      </c>
      <c r="K1531" s="29">
        <f>IF(J1531="","",J1531/MAX(1,N(E1531)))</f>
        <v/>
      </c>
      <c r="L1531" s="37">
        <f>IF(OR(D1531="",A1531=""),"",A1531+IF(AND(Config!$B$17="Sim",LEFT(D1531,17)="Cartão de crédito"),1,IFERROR(INDEX(Config!$C$12:$C$15,MATCH(IF(AND(D1531="Cartão de crédito",N(E1531)&gt;1),"Cartão de crédito parcelado",D1531),Config!$A$12:$A$15,0)),0)))</f>
        <v/>
      </c>
      <c r="M1531" s="37">
        <f>IF(L1531="","",IF(AND(Config!$B$17="Sim",LEFT(D1531,17)="Cartão de crédito"),L1531,L1531+30*(MAX(1,N(E1531))-1)))</f>
        <v/>
      </c>
      <c r="N1531" s="29">
        <f>IF(OR(L1531="",K1531=""),"",K1531*MIN(MAX(1,N(E1531)),MAX(0,INT((Config!$B$8-L1531)/30)+1)))</f>
        <v/>
      </c>
      <c r="O1531" s="29">
        <f>IF(J1531="","",J1531-N(N1531))</f>
        <v/>
      </c>
      <c r="P1531" s="27">
        <f>IF(A1531="","",MONTH(A1531))</f>
        <v/>
      </c>
      <c r="Q1531" s="27">
        <f>IF(A1531="","",YEAR(A1531))</f>
        <v/>
      </c>
      <c r="R1531" s="27">
        <f>IF(L1531="","",IF(L1531&gt;Config!$B$8,"A cair",IF(N(G1531)&gt;=MIN(MAX(1,N(E1531)),MAX(0,INT((Config!$B$8-L1531)/30)+1)),IF(N(G1531)&gt;=MAX(1,N(E1531)),"Conferido","Conferido até aqui"),"A conferir")))</f>
        <v/>
      </c>
      <c r="S1531" s="51">
        <f>IF(R1531="A conferir",(Config!$B$8-L1531)*1000+N(F1531)/1000+ROW()/100000,0)</f>
        <v>0</v>
      </c>
      <c r="T1531" s="51">
        <f>IF(R1531="A conferir",N(N1531),0)</f>
        <v>0</v>
      </c>
      <c r="U1531" s="51">
        <f>IF(L1531="",0,L1531)</f>
        <v>0</v>
      </c>
      <c r="V1531" s="51">
        <f>IF(L1531="",0,MAX(1,N(E1531)))</f>
        <v>0</v>
      </c>
      <c r="W1531" s="51">
        <f>IF(K1531="",0,K1531)</f>
        <v>0</v>
      </c>
    </row>
    <row r="1532">
      <c r="A1532" s="49" t="n"/>
      <c r="B1532" s="41" t="n"/>
      <c r="C1532" s="41" t="n"/>
      <c r="D1532" s="42" t="n"/>
      <c r="E1532" s="42" t="n"/>
      <c r="F1532" s="50" t="n"/>
      <c r="G1532" s="42" t="n"/>
      <c r="H1532" s="30">
        <f>IF(D1532="","",IFERROR(INDEX(Config!$B$12:$B$15,MATCH(IF(AND(D1532="Cartão de crédito",N(E1532)&gt;1),"Cartão de crédito parcelado",D1532),Config!$A$12:$A$15,0)),0)+IF(AND(Config!$B$17="Sim",LEFT(D1532,17)="Cartão de crédito"),Config!$B$18*IFERROR(INDEX(Config!$C$12:$C$15,MATCH(IF(AND(D1532="Cartão de crédito",N(E1532)&gt;1),"Cartão de crédito parcelado",D1532),Config!$A$12:$A$15,0)),0)/30*MAX(1,N(E1532)),0))</f>
        <v/>
      </c>
      <c r="I1532" s="29">
        <f>IF(OR(D1532="",F1532=""),"",ROUND(F1532*H1532,2))</f>
        <v/>
      </c>
      <c r="J1532" s="29">
        <f>IF(I1532="","",F1532-I1532)</f>
        <v/>
      </c>
      <c r="K1532" s="29">
        <f>IF(J1532="","",J1532/MAX(1,N(E1532)))</f>
        <v/>
      </c>
      <c r="L1532" s="37">
        <f>IF(OR(D1532="",A1532=""),"",A1532+IF(AND(Config!$B$17="Sim",LEFT(D1532,17)="Cartão de crédito"),1,IFERROR(INDEX(Config!$C$12:$C$15,MATCH(IF(AND(D1532="Cartão de crédito",N(E1532)&gt;1),"Cartão de crédito parcelado",D1532),Config!$A$12:$A$15,0)),0)))</f>
        <v/>
      </c>
      <c r="M1532" s="37">
        <f>IF(L1532="","",IF(AND(Config!$B$17="Sim",LEFT(D1532,17)="Cartão de crédito"),L1532,L1532+30*(MAX(1,N(E1532))-1)))</f>
        <v/>
      </c>
      <c r="N1532" s="29">
        <f>IF(OR(L1532="",K1532=""),"",K1532*MIN(MAX(1,N(E1532)),MAX(0,INT((Config!$B$8-L1532)/30)+1)))</f>
        <v/>
      </c>
      <c r="O1532" s="29">
        <f>IF(J1532="","",J1532-N(N1532))</f>
        <v/>
      </c>
      <c r="P1532" s="27">
        <f>IF(A1532="","",MONTH(A1532))</f>
        <v/>
      </c>
      <c r="Q1532" s="27">
        <f>IF(A1532="","",YEAR(A1532))</f>
        <v/>
      </c>
      <c r="R1532" s="27">
        <f>IF(L1532="","",IF(L1532&gt;Config!$B$8,"A cair",IF(N(G1532)&gt;=MIN(MAX(1,N(E1532)),MAX(0,INT((Config!$B$8-L1532)/30)+1)),IF(N(G1532)&gt;=MAX(1,N(E1532)),"Conferido","Conferido até aqui"),"A conferir")))</f>
        <v/>
      </c>
      <c r="S1532" s="51">
        <f>IF(R1532="A conferir",(Config!$B$8-L1532)*1000+N(F1532)/1000+ROW()/100000,0)</f>
        <v>0</v>
      </c>
      <c r="T1532" s="51">
        <f>IF(R1532="A conferir",N(N1532),0)</f>
        <v>0</v>
      </c>
      <c r="U1532" s="51">
        <f>IF(L1532="",0,L1532)</f>
        <v>0</v>
      </c>
      <c r="V1532" s="51">
        <f>IF(L1532="",0,MAX(1,N(E1532)))</f>
        <v>0</v>
      </c>
      <c r="W1532" s="51">
        <f>IF(K1532="",0,K1532)</f>
        <v>0</v>
      </c>
    </row>
    <row r="1533">
      <c r="A1533" s="49" t="n"/>
      <c r="B1533" s="41" t="n"/>
      <c r="C1533" s="41" t="n"/>
      <c r="D1533" s="42" t="n"/>
      <c r="E1533" s="42" t="n"/>
      <c r="F1533" s="50" t="n"/>
      <c r="G1533" s="42" t="n"/>
      <c r="H1533" s="30">
        <f>IF(D1533="","",IFERROR(INDEX(Config!$B$12:$B$15,MATCH(IF(AND(D1533="Cartão de crédito",N(E1533)&gt;1),"Cartão de crédito parcelado",D1533),Config!$A$12:$A$15,0)),0)+IF(AND(Config!$B$17="Sim",LEFT(D1533,17)="Cartão de crédito"),Config!$B$18*IFERROR(INDEX(Config!$C$12:$C$15,MATCH(IF(AND(D1533="Cartão de crédito",N(E1533)&gt;1),"Cartão de crédito parcelado",D1533),Config!$A$12:$A$15,0)),0)/30*MAX(1,N(E1533)),0))</f>
        <v/>
      </c>
      <c r="I1533" s="29">
        <f>IF(OR(D1533="",F1533=""),"",ROUND(F1533*H1533,2))</f>
        <v/>
      </c>
      <c r="J1533" s="29">
        <f>IF(I1533="","",F1533-I1533)</f>
        <v/>
      </c>
      <c r="K1533" s="29">
        <f>IF(J1533="","",J1533/MAX(1,N(E1533)))</f>
        <v/>
      </c>
      <c r="L1533" s="37">
        <f>IF(OR(D1533="",A1533=""),"",A1533+IF(AND(Config!$B$17="Sim",LEFT(D1533,17)="Cartão de crédito"),1,IFERROR(INDEX(Config!$C$12:$C$15,MATCH(IF(AND(D1533="Cartão de crédito",N(E1533)&gt;1),"Cartão de crédito parcelado",D1533),Config!$A$12:$A$15,0)),0)))</f>
        <v/>
      </c>
      <c r="M1533" s="37">
        <f>IF(L1533="","",IF(AND(Config!$B$17="Sim",LEFT(D1533,17)="Cartão de crédito"),L1533,L1533+30*(MAX(1,N(E1533))-1)))</f>
        <v/>
      </c>
      <c r="N1533" s="29">
        <f>IF(OR(L1533="",K1533=""),"",K1533*MIN(MAX(1,N(E1533)),MAX(0,INT((Config!$B$8-L1533)/30)+1)))</f>
        <v/>
      </c>
      <c r="O1533" s="29">
        <f>IF(J1533="","",J1533-N(N1533))</f>
        <v/>
      </c>
      <c r="P1533" s="27">
        <f>IF(A1533="","",MONTH(A1533))</f>
        <v/>
      </c>
      <c r="Q1533" s="27">
        <f>IF(A1533="","",YEAR(A1533))</f>
        <v/>
      </c>
      <c r="R1533" s="27">
        <f>IF(L1533="","",IF(L1533&gt;Config!$B$8,"A cair",IF(N(G1533)&gt;=MIN(MAX(1,N(E1533)),MAX(0,INT((Config!$B$8-L1533)/30)+1)),IF(N(G1533)&gt;=MAX(1,N(E1533)),"Conferido","Conferido até aqui"),"A conferir")))</f>
        <v/>
      </c>
      <c r="S1533" s="51">
        <f>IF(R1533="A conferir",(Config!$B$8-L1533)*1000+N(F1533)/1000+ROW()/100000,0)</f>
        <v>0</v>
      </c>
      <c r="T1533" s="51">
        <f>IF(R1533="A conferir",N(N1533),0)</f>
        <v>0</v>
      </c>
      <c r="U1533" s="51">
        <f>IF(L1533="",0,L1533)</f>
        <v>0</v>
      </c>
      <c r="V1533" s="51">
        <f>IF(L1533="",0,MAX(1,N(E1533)))</f>
        <v>0</v>
      </c>
      <c r="W1533" s="51">
        <f>IF(K1533="",0,K1533)</f>
        <v>0</v>
      </c>
    </row>
    <row r="1534">
      <c r="A1534" s="49" t="n"/>
      <c r="B1534" s="41" t="n"/>
      <c r="C1534" s="41" t="n"/>
      <c r="D1534" s="42" t="n"/>
      <c r="E1534" s="42" t="n"/>
      <c r="F1534" s="50" t="n"/>
      <c r="G1534" s="42" t="n"/>
      <c r="H1534" s="30">
        <f>IF(D1534="","",IFERROR(INDEX(Config!$B$12:$B$15,MATCH(IF(AND(D1534="Cartão de crédito",N(E1534)&gt;1),"Cartão de crédito parcelado",D1534),Config!$A$12:$A$15,0)),0)+IF(AND(Config!$B$17="Sim",LEFT(D1534,17)="Cartão de crédito"),Config!$B$18*IFERROR(INDEX(Config!$C$12:$C$15,MATCH(IF(AND(D1534="Cartão de crédito",N(E1534)&gt;1),"Cartão de crédito parcelado",D1534),Config!$A$12:$A$15,0)),0)/30*MAX(1,N(E1534)),0))</f>
        <v/>
      </c>
      <c r="I1534" s="29">
        <f>IF(OR(D1534="",F1534=""),"",ROUND(F1534*H1534,2))</f>
        <v/>
      </c>
      <c r="J1534" s="29">
        <f>IF(I1534="","",F1534-I1534)</f>
        <v/>
      </c>
      <c r="K1534" s="29">
        <f>IF(J1534="","",J1534/MAX(1,N(E1534)))</f>
        <v/>
      </c>
      <c r="L1534" s="37">
        <f>IF(OR(D1534="",A1534=""),"",A1534+IF(AND(Config!$B$17="Sim",LEFT(D1534,17)="Cartão de crédito"),1,IFERROR(INDEX(Config!$C$12:$C$15,MATCH(IF(AND(D1534="Cartão de crédito",N(E1534)&gt;1),"Cartão de crédito parcelado",D1534),Config!$A$12:$A$15,0)),0)))</f>
        <v/>
      </c>
      <c r="M1534" s="37">
        <f>IF(L1534="","",IF(AND(Config!$B$17="Sim",LEFT(D1534,17)="Cartão de crédito"),L1534,L1534+30*(MAX(1,N(E1534))-1)))</f>
        <v/>
      </c>
      <c r="N1534" s="29">
        <f>IF(OR(L1534="",K1534=""),"",K1534*MIN(MAX(1,N(E1534)),MAX(0,INT((Config!$B$8-L1534)/30)+1)))</f>
        <v/>
      </c>
      <c r="O1534" s="29">
        <f>IF(J1534="","",J1534-N(N1534))</f>
        <v/>
      </c>
      <c r="P1534" s="27">
        <f>IF(A1534="","",MONTH(A1534))</f>
        <v/>
      </c>
      <c r="Q1534" s="27">
        <f>IF(A1534="","",YEAR(A1534))</f>
        <v/>
      </c>
      <c r="R1534" s="27">
        <f>IF(L1534="","",IF(L1534&gt;Config!$B$8,"A cair",IF(N(G1534)&gt;=MIN(MAX(1,N(E1534)),MAX(0,INT((Config!$B$8-L1534)/30)+1)),IF(N(G1534)&gt;=MAX(1,N(E1534)),"Conferido","Conferido até aqui"),"A conferir")))</f>
        <v/>
      </c>
      <c r="S1534" s="51">
        <f>IF(R1534="A conferir",(Config!$B$8-L1534)*1000+N(F1534)/1000+ROW()/100000,0)</f>
        <v>0</v>
      </c>
      <c r="T1534" s="51">
        <f>IF(R1534="A conferir",N(N1534),0)</f>
        <v>0</v>
      </c>
      <c r="U1534" s="51">
        <f>IF(L1534="",0,L1534)</f>
        <v>0</v>
      </c>
      <c r="V1534" s="51">
        <f>IF(L1534="",0,MAX(1,N(E1534)))</f>
        <v>0</v>
      </c>
      <c r="W1534" s="51">
        <f>IF(K1534="",0,K1534)</f>
        <v>0</v>
      </c>
    </row>
    <row r="1535">
      <c r="A1535" s="49" t="n"/>
      <c r="B1535" s="41" t="n"/>
      <c r="C1535" s="41" t="n"/>
      <c r="D1535" s="42" t="n"/>
      <c r="E1535" s="42" t="n"/>
      <c r="F1535" s="50" t="n"/>
      <c r="G1535" s="42" t="n"/>
      <c r="H1535" s="30">
        <f>IF(D1535="","",IFERROR(INDEX(Config!$B$12:$B$15,MATCH(IF(AND(D1535="Cartão de crédito",N(E1535)&gt;1),"Cartão de crédito parcelado",D1535),Config!$A$12:$A$15,0)),0)+IF(AND(Config!$B$17="Sim",LEFT(D1535,17)="Cartão de crédito"),Config!$B$18*IFERROR(INDEX(Config!$C$12:$C$15,MATCH(IF(AND(D1535="Cartão de crédito",N(E1535)&gt;1),"Cartão de crédito parcelado",D1535),Config!$A$12:$A$15,0)),0)/30*MAX(1,N(E1535)),0))</f>
        <v/>
      </c>
      <c r="I1535" s="29">
        <f>IF(OR(D1535="",F1535=""),"",ROUND(F1535*H1535,2))</f>
        <v/>
      </c>
      <c r="J1535" s="29">
        <f>IF(I1535="","",F1535-I1535)</f>
        <v/>
      </c>
      <c r="K1535" s="29">
        <f>IF(J1535="","",J1535/MAX(1,N(E1535)))</f>
        <v/>
      </c>
      <c r="L1535" s="37">
        <f>IF(OR(D1535="",A1535=""),"",A1535+IF(AND(Config!$B$17="Sim",LEFT(D1535,17)="Cartão de crédito"),1,IFERROR(INDEX(Config!$C$12:$C$15,MATCH(IF(AND(D1535="Cartão de crédito",N(E1535)&gt;1),"Cartão de crédito parcelado",D1535),Config!$A$12:$A$15,0)),0)))</f>
        <v/>
      </c>
      <c r="M1535" s="37">
        <f>IF(L1535="","",IF(AND(Config!$B$17="Sim",LEFT(D1535,17)="Cartão de crédito"),L1535,L1535+30*(MAX(1,N(E1535))-1)))</f>
        <v/>
      </c>
      <c r="N1535" s="29">
        <f>IF(OR(L1535="",K1535=""),"",K1535*MIN(MAX(1,N(E1535)),MAX(0,INT((Config!$B$8-L1535)/30)+1)))</f>
        <v/>
      </c>
      <c r="O1535" s="29">
        <f>IF(J1535="","",J1535-N(N1535))</f>
        <v/>
      </c>
      <c r="P1535" s="27">
        <f>IF(A1535="","",MONTH(A1535))</f>
        <v/>
      </c>
      <c r="Q1535" s="27">
        <f>IF(A1535="","",YEAR(A1535))</f>
        <v/>
      </c>
      <c r="R1535" s="27">
        <f>IF(L1535="","",IF(L1535&gt;Config!$B$8,"A cair",IF(N(G1535)&gt;=MIN(MAX(1,N(E1535)),MAX(0,INT((Config!$B$8-L1535)/30)+1)),IF(N(G1535)&gt;=MAX(1,N(E1535)),"Conferido","Conferido até aqui"),"A conferir")))</f>
        <v/>
      </c>
      <c r="S1535" s="51">
        <f>IF(R1535="A conferir",(Config!$B$8-L1535)*1000+N(F1535)/1000+ROW()/100000,0)</f>
        <v>0</v>
      </c>
      <c r="T1535" s="51">
        <f>IF(R1535="A conferir",N(N1535),0)</f>
        <v>0</v>
      </c>
      <c r="U1535" s="51">
        <f>IF(L1535="",0,L1535)</f>
        <v>0</v>
      </c>
      <c r="V1535" s="51">
        <f>IF(L1535="",0,MAX(1,N(E1535)))</f>
        <v>0</v>
      </c>
      <c r="W1535" s="51">
        <f>IF(K1535="",0,K1535)</f>
        <v>0</v>
      </c>
    </row>
    <row r="1536">
      <c r="A1536" s="49" t="n"/>
      <c r="B1536" s="41" t="n"/>
      <c r="C1536" s="41" t="n"/>
      <c r="D1536" s="42" t="n"/>
      <c r="E1536" s="42" t="n"/>
      <c r="F1536" s="50" t="n"/>
      <c r="G1536" s="42" t="n"/>
      <c r="H1536" s="30">
        <f>IF(D1536="","",IFERROR(INDEX(Config!$B$12:$B$15,MATCH(IF(AND(D1536="Cartão de crédito",N(E1536)&gt;1),"Cartão de crédito parcelado",D1536),Config!$A$12:$A$15,0)),0)+IF(AND(Config!$B$17="Sim",LEFT(D1536,17)="Cartão de crédito"),Config!$B$18*IFERROR(INDEX(Config!$C$12:$C$15,MATCH(IF(AND(D1536="Cartão de crédito",N(E1536)&gt;1),"Cartão de crédito parcelado",D1536),Config!$A$12:$A$15,0)),0)/30*MAX(1,N(E1536)),0))</f>
        <v/>
      </c>
      <c r="I1536" s="29">
        <f>IF(OR(D1536="",F1536=""),"",ROUND(F1536*H1536,2))</f>
        <v/>
      </c>
      <c r="J1536" s="29">
        <f>IF(I1536="","",F1536-I1536)</f>
        <v/>
      </c>
      <c r="K1536" s="29">
        <f>IF(J1536="","",J1536/MAX(1,N(E1536)))</f>
        <v/>
      </c>
      <c r="L1536" s="37">
        <f>IF(OR(D1536="",A1536=""),"",A1536+IF(AND(Config!$B$17="Sim",LEFT(D1536,17)="Cartão de crédito"),1,IFERROR(INDEX(Config!$C$12:$C$15,MATCH(IF(AND(D1536="Cartão de crédito",N(E1536)&gt;1),"Cartão de crédito parcelado",D1536),Config!$A$12:$A$15,0)),0)))</f>
        <v/>
      </c>
      <c r="M1536" s="37">
        <f>IF(L1536="","",IF(AND(Config!$B$17="Sim",LEFT(D1536,17)="Cartão de crédito"),L1536,L1536+30*(MAX(1,N(E1536))-1)))</f>
        <v/>
      </c>
      <c r="N1536" s="29">
        <f>IF(OR(L1536="",K1536=""),"",K1536*MIN(MAX(1,N(E1536)),MAX(0,INT((Config!$B$8-L1536)/30)+1)))</f>
        <v/>
      </c>
      <c r="O1536" s="29">
        <f>IF(J1536="","",J1536-N(N1536))</f>
        <v/>
      </c>
      <c r="P1536" s="27">
        <f>IF(A1536="","",MONTH(A1536))</f>
        <v/>
      </c>
      <c r="Q1536" s="27">
        <f>IF(A1536="","",YEAR(A1536))</f>
        <v/>
      </c>
      <c r="R1536" s="27">
        <f>IF(L1536="","",IF(L1536&gt;Config!$B$8,"A cair",IF(N(G1536)&gt;=MIN(MAX(1,N(E1536)),MAX(0,INT((Config!$B$8-L1536)/30)+1)),IF(N(G1536)&gt;=MAX(1,N(E1536)),"Conferido","Conferido até aqui"),"A conferir")))</f>
        <v/>
      </c>
      <c r="S1536" s="51">
        <f>IF(R1536="A conferir",(Config!$B$8-L1536)*1000+N(F1536)/1000+ROW()/100000,0)</f>
        <v>0</v>
      </c>
      <c r="T1536" s="51">
        <f>IF(R1536="A conferir",N(N1536),0)</f>
        <v>0</v>
      </c>
      <c r="U1536" s="51">
        <f>IF(L1536="",0,L1536)</f>
        <v>0</v>
      </c>
      <c r="V1536" s="51">
        <f>IF(L1536="",0,MAX(1,N(E1536)))</f>
        <v>0</v>
      </c>
      <c r="W1536" s="51">
        <f>IF(K1536="",0,K1536)</f>
        <v>0</v>
      </c>
    </row>
    <row r="1537">
      <c r="A1537" s="49" t="n"/>
      <c r="B1537" s="41" t="n"/>
      <c r="C1537" s="41" t="n"/>
      <c r="D1537" s="42" t="n"/>
      <c r="E1537" s="42" t="n"/>
      <c r="F1537" s="50" t="n"/>
      <c r="G1537" s="42" t="n"/>
      <c r="H1537" s="30">
        <f>IF(D1537="","",IFERROR(INDEX(Config!$B$12:$B$15,MATCH(IF(AND(D1537="Cartão de crédito",N(E1537)&gt;1),"Cartão de crédito parcelado",D1537),Config!$A$12:$A$15,0)),0)+IF(AND(Config!$B$17="Sim",LEFT(D1537,17)="Cartão de crédito"),Config!$B$18*IFERROR(INDEX(Config!$C$12:$C$15,MATCH(IF(AND(D1537="Cartão de crédito",N(E1537)&gt;1),"Cartão de crédito parcelado",D1537),Config!$A$12:$A$15,0)),0)/30*MAX(1,N(E1537)),0))</f>
        <v/>
      </c>
      <c r="I1537" s="29">
        <f>IF(OR(D1537="",F1537=""),"",ROUND(F1537*H1537,2))</f>
        <v/>
      </c>
      <c r="J1537" s="29">
        <f>IF(I1537="","",F1537-I1537)</f>
        <v/>
      </c>
      <c r="K1537" s="29">
        <f>IF(J1537="","",J1537/MAX(1,N(E1537)))</f>
        <v/>
      </c>
      <c r="L1537" s="37">
        <f>IF(OR(D1537="",A1537=""),"",A1537+IF(AND(Config!$B$17="Sim",LEFT(D1537,17)="Cartão de crédito"),1,IFERROR(INDEX(Config!$C$12:$C$15,MATCH(IF(AND(D1537="Cartão de crédito",N(E1537)&gt;1),"Cartão de crédito parcelado",D1537),Config!$A$12:$A$15,0)),0)))</f>
        <v/>
      </c>
      <c r="M1537" s="37">
        <f>IF(L1537="","",IF(AND(Config!$B$17="Sim",LEFT(D1537,17)="Cartão de crédito"),L1537,L1537+30*(MAX(1,N(E1537))-1)))</f>
        <v/>
      </c>
      <c r="N1537" s="29">
        <f>IF(OR(L1537="",K1537=""),"",K1537*MIN(MAX(1,N(E1537)),MAX(0,INT((Config!$B$8-L1537)/30)+1)))</f>
        <v/>
      </c>
      <c r="O1537" s="29">
        <f>IF(J1537="","",J1537-N(N1537))</f>
        <v/>
      </c>
      <c r="P1537" s="27">
        <f>IF(A1537="","",MONTH(A1537))</f>
        <v/>
      </c>
      <c r="Q1537" s="27">
        <f>IF(A1537="","",YEAR(A1537))</f>
        <v/>
      </c>
      <c r="R1537" s="27">
        <f>IF(L1537="","",IF(L1537&gt;Config!$B$8,"A cair",IF(N(G1537)&gt;=MIN(MAX(1,N(E1537)),MAX(0,INT((Config!$B$8-L1537)/30)+1)),IF(N(G1537)&gt;=MAX(1,N(E1537)),"Conferido","Conferido até aqui"),"A conferir")))</f>
        <v/>
      </c>
      <c r="S1537" s="51">
        <f>IF(R1537="A conferir",(Config!$B$8-L1537)*1000+N(F1537)/1000+ROW()/100000,0)</f>
        <v>0</v>
      </c>
      <c r="T1537" s="51">
        <f>IF(R1537="A conferir",N(N1537),0)</f>
        <v>0</v>
      </c>
      <c r="U1537" s="51">
        <f>IF(L1537="",0,L1537)</f>
        <v>0</v>
      </c>
      <c r="V1537" s="51">
        <f>IF(L1537="",0,MAX(1,N(E1537)))</f>
        <v>0</v>
      </c>
      <c r="W1537" s="51">
        <f>IF(K1537="",0,K1537)</f>
        <v>0</v>
      </c>
    </row>
    <row r="1538">
      <c r="A1538" s="49" t="n"/>
      <c r="B1538" s="41" t="n"/>
      <c r="C1538" s="41" t="n"/>
      <c r="D1538" s="42" t="n"/>
      <c r="E1538" s="42" t="n"/>
      <c r="F1538" s="50" t="n"/>
      <c r="G1538" s="42" t="n"/>
      <c r="H1538" s="30">
        <f>IF(D1538="","",IFERROR(INDEX(Config!$B$12:$B$15,MATCH(IF(AND(D1538="Cartão de crédito",N(E1538)&gt;1),"Cartão de crédito parcelado",D1538),Config!$A$12:$A$15,0)),0)+IF(AND(Config!$B$17="Sim",LEFT(D1538,17)="Cartão de crédito"),Config!$B$18*IFERROR(INDEX(Config!$C$12:$C$15,MATCH(IF(AND(D1538="Cartão de crédito",N(E1538)&gt;1),"Cartão de crédito parcelado",D1538),Config!$A$12:$A$15,0)),0)/30*MAX(1,N(E1538)),0))</f>
        <v/>
      </c>
      <c r="I1538" s="29">
        <f>IF(OR(D1538="",F1538=""),"",ROUND(F1538*H1538,2))</f>
        <v/>
      </c>
      <c r="J1538" s="29">
        <f>IF(I1538="","",F1538-I1538)</f>
        <v/>
      </c>
      <c r="K1538" s="29">
        <f>IF(J1538="","",J1538/MAX(1,N(E1538)))</f>
        <v/>
      </c>
      <c r="L1538" s="37">
        <f>IF(OR(D1538="",A1538=""),"",A1538+IF(AND(Config!$B$17="Sim",LEFT(D1538,17)="Cartão de crédito"),1,IFERROR(INDEX(Config!$C$12:$C$15,MATCH(IF(AND(D1538="Cartão de crédito",N(E1538)&gt;1),"Cartão de crédito parcelado",D1538),Config!$A$12:$A$15,0)),0)))</f>
        <v/>
      </c>
      <c r="M1538" s="37">
        <f>IF(L1538="","",IF(AND(Config!$B$17="Sim",LEFT(D1538,17)="Cartão de crédito"),L1538,L1538+30*(MAX(1,N(E1538))-1)))</f>
        <v/>
      </c>
      <c r="N1538" s="29">
        <f>IF(OR(L1538="",K1538=""),"",K1538*MIN(MAX(1,N(E1538)),MAX(0,INT((Config!$B$8-L1538)/30)+1)))</f>
        <v/>
      </c>
      <c r="O1538" s="29">
        <f>IF(J1538="","",J1538-N(N1538))</f>
        <v/>
      </c>
      <c r="P1538" s="27">
        <f>IF(A1538="","",MONTH(A1538))</f>
        <v/>
      </c>
      <c r="Q1538" s="27">
        <f>IF(A1538="","",YEAR(A1538))</f>
        <v/>
      </c>
      <c r="R1538" s="27">
        <f>IF(L1538="","",IF(L1538&gt;Config!$B$8,"A cair",IF(N(G1538)&gt;=MIN(MAX(1,N(E1538)),MAX(0,INT((Config!$B$8-L1538)/30)+1)),IF(N(G1538)&gt;=MAX(1,N(E1538)),"Conferido","Conferido até aqui"),"A conferir")))</f>
        <v/>
      </c>
      <c r="S1538" s="51">
        <f>IF(R1538="A conferir",(Config!$B$8-L1538)*1000+N(F1538)/1000+ROW()/100000,0)</f>
        <v>0</v>
      </c>
      <c r="T1538" s="51">
        <f>IF(R1538="A conferir",N(N1538),0)</f>
        <v>0</v>
      </c>
      <c r="U1538" s="51">
        <f>IF(L1538="",0,L1538)</f>
        <v>0</v>
      </c>
      <c r="V1538" s="51">
        <f>IF(L1538="",0,MAX(1,N(E1538)))</f>
        <v>0</v>
      </c>
      <c r="W1538" s="51">
        <f>IF(K1538="",0,K1538)</f>
        <v>0</v>
      </c>
    </row>
    <row r="1539">
      <c r="A1539" s="49" t="n"/>
      <c r="B1539" s="41" t="n"/>
      <c r="C1539" s="41" t="n"/>
      <c r="D1539" s="42" t="n"/>
      <c r="E1539" s="42" t="n"/>
      <c r="F1539" s="50" t="n"/>
      <c r="G1539" s="42" t="n"/>
      <c r="H1539" s="30">
        <f>IF(D1539="","",IFERROR(INDEX(Config!$B$12:$B$15,MATCH(IF(AND(D1539="Cartão de crédito",N(E1539)&gt;1),"Cartão de crédito parcelado",D1539),Config!$A$12:$A$15,0)),0)+IF(AND(Config!$B$17="Sim",LEFT(D1539,17)="Cartão de crédito"),Config!$B$18*IFERROR(INDEX(Config!$C$12:$C$15,MATCH(IF(AND(D1539="Cartão de crédito",N(E1539)&gt;1),"Cartão de crédito parcelado",D1539),Config!$A$12:$A$15,0)),0)/30*MAX(1,N(E1539)),0))</f>
        <v/>
      </c>
      <c r="I1539" s="29">
        <f>IF(OR(D1539="",F1539=""),"",ROUND(F1539*H1539,2))</f>
        <v/>
      </c>
      <c r="J1539" s="29">
        <f>IF(I1539="","",F1539-I1539)</f>
        <v/>
      </c>
      <c r="K1539" s="29">
        <f>IF(J1539="","",J1539/MAX(1,N(E1539)))</f>
        <v/>
      </c>
      <c r="L1539" s="37">
        <f>IF(OR(D1539="",A1539=""),"",A1539+IF(AND(Config!$B$17="Sim",LEFT(D1539,17)="Cartão de crédito"),1,IFERROR(INDEX(Config!$C$12:$C$15,MATCH(IF(AND(D1539="Cartão de crédito",N(E1539)&gt;1),"Cartão de crédito parcelado",D1539),Config!$A$12:$A$15,0)),0)))</f>
        <v/>
      </c>
      <c r="M1539" s="37">
        <f>IF(L1539="","",IF(AND(Config!$B$17="Sim",LEFT(D1539,17)="Cartão de crédito"),L1539,L1539+30*(MAX(1,N(E1539))-1)))</f>
        <v/>
      </c>
      <c r="N1539" s="29">
        <f>IF(OR(L1539="",K1539=""),"",K1539*MIN(MAX(1,N(E1539)),MAX(0,INT((Config!$B$8-L1539)/30)+1)))</f>
        <v/>
      </c>
      <c r="O1539" s="29">
        <f>IF(J1539="","",J1539-N(N1539))</f>
        <v/>
      </c>
      <c r="P1539" s="27">
        <f>IF(A1539="","",MONTH(A1539))</f>
        <v/>
      </c>
      <c r="Q1539" s="27">
        <f>IF(A1539="","",YEAR(A1539))</f>
        <v/>
      </c>
      <c r="R1539" s="27">
        <f>IF(L1539="","",IF(L1539&gt;Config!$B$8,"A cair",IF(N(G1539)&gt;=MIN(MAX(1,N(E1539)),MAX(0,INT((Config!$B$8-L1539)/30)+1)),IF(N(G1539)&gt;=MAX(1,N(E1539)),"Conferido","Conferido até aqui"),"A conferir")))</f>
        <v/>
      </c>
      <c r="S1539" s="51">
        <f>IF(R1539="A conferir",(Config!$B$8-L1539)*1000+N(F1539)/1000+ROW()/100000,0)</f>
        <v>0</v>
      </c>
      <c r="T1539" s="51">
        <f>IF(R1539="A conferir",N(N1539),0)</f>
        <v>0</v>
      </c>
      <c r="U1539" s="51">
        <f>IF(L1539="",0,L1539)</f>
        <v>0</v>
      </c>
      <c r="V1539" s="51">
        <f>IF(L1539="",0,MAX(1,N(E1539)))</f>
        <v>0</v>
      </c>
      <c r="W1539" s="51">
        <f>IF(K1539="",0,K1539)</f>
        <v>0</v>
      </c>
    </row>
    <row r="1540">
      <c r="A1540" s="49" t="n"/>
      <c r="B1540" s="41" t="n"/>
      <c r="C1540" s="41" t="n"/>
      <c r="D1540" s="42" t="n"/>
      <c r="E1540" s="42" t="n"/>
      <c r="F1540" s="50" t="n"/>
      <c r="G1540" s="42" t="n"/>
      <c r="H1540" s="30">
        <f>IF(D1540="","",IFERROR(INDEX(Config!$B$12:$B$15,MATCH(IF(AND(D1540="Cartão de crédito",N(E1540)&gt;1),"Cartão de crédito parcelado",D1540),Config!$A$12:$A$15,0)),0)+IF(AND(Config!$B$17="Sim",LEFT(D1540,17)="Cartão de crédito"),Config!$B$18*IFERROR(INDEX(Config!$C$12:$C$15,MATCH(IF(AND(D1540="Cartão de crédito",N(E1540)&gt;1),"Cartão de crédito parcelado",D1540),Config!$A$12:$A$15,0)),0)/30*MAX(1,N(E1540)),0))</f>
        <v/>
      </c>
      <c r="I1540" s="29">
        <f>IF(OR(D1540="",F1540=""),"",ROUND(F1540*H1540,2))</f>
        <v/>
      </c>
      <c r="J1540" s="29">
        <f>IF(I1540="","",F1540-I1540)</f>
        <v/>
      </c>
      <c r="K1540" s="29">
        <f>IF(J1540="","",J1540/MAX(1,N(E1540)))</f>
        <v/>
      </c>
      <c r="L1540" s="37">
        <f>IF(OR(D1540="",A1540=""),"",A1540+IF(AND(Config!$B$17="Sim",LEFT(D1540,17)="Cartão de crédito"),1,IFERROR(INDEX(Config!$C$12:$C$15,MATCH(IF(AND(D1540="Cartão de crédito",N(E1540)&gt;1),"Cartão de crédito parcelado",D1540),Config!$A$12:$A$15,0)),0)))</f>
        <v/>
      </c>
      <c r="M1540" s="37">
        <f>IF(L1540="","",IF(AND(Config!$B$17="Sim",LEFT(D1540,17)="Cartão de crédito"),L1540,L1540+30*(MAX(1,N(E1540))-1)))</f>
        <v/>
      </c>
      <c r="N1540" s="29">
        <f>IF(OR(L1540="",K1540=""),"",K1540*MIN(MAX(1,N(E1540)),MAX(0,INT((Config!$B$8-L1540)/30)+1)))</f>
        <v/>
      </c>
      <c r="O1540" s="29">
        <f>IF(J1540="","",J1540-N(N1540))</f>
        <v/>
      </c>
      <c r="P1540" s="27">
        <f>IF(A1540="","",MONTH(A1540))</f>
        <v/>
      </c>
      <c r="Q1540" s="27">
        <f>IF(A1540="","",YEAR(A1540))</f>
        <v/>
      </c>
      <c r="R1540" s="27">
        <f>IF(L1540="","",IF(L1540&gt;Config!$B$8,"A cair",IF(N(G1540)&gt;=MIN(MAX(1,N(E1540)),MAX(0,INT((Config!$B$8-L1540)/30)+1)),IF(N(G1540)&gt;=MAX(1,N(E1540)),"Conferido","Conferido até aqui"),"A conferir")))</f>
        <v/>
      </c>
      <c r="S1540" s="51">
        <f>IF(R1540="A conferir",(Config!$B$8-L1540)*1000+N(F1540)/1000+ROW()/100000,0)</f>
        <v>0</v>
      </c>
      <c r="T1540" s="51">
        <f>IF(R1540="A conferir",N(N1540),0)</f>
        <v>0</v>
      </c>
      <c r="U1540" s="51">
        <f>IF(L1540="",0,L1540)</f>
        <v>0</v>
      </c>
      <c r="V1540" s="51">
        <f>IF(L1540="",0,MAX(1,N(E1540)))</f>
        <v>0</v>
      </c>
      <c r="W1540" s="51">
        <f>IF(K1540="",0,K1540)</f>
        <v>0</v>
      </c>
    </row>
    <row r="1541">
      <c r="A1541" s="49" t="n"/>
      <c r="B1541" s="41" t="n"/>
      <c r="C1541" s="41" t="n"/>
      <c r="D1541" s="42" t="n"/>
      <c r="E1541" s="42" t="n"/>
      <c r="F1541" s="50" t="n"/>
      <c r="G1541" s="42" t="n"/>
      <c r="H1541" s="30">
        <f>IF(D1541="","",IFERROR(INDEX(Config!$B$12:$B$15,MATCH(IF(AND(D1541="Cartão de crédito",N(E1541)&gt;1),"Cartão de crédito parcelado",D1541),Config!$A$12:$A$15,0)),0)+IF(AND(Config!$B$17="Sim",LEFT(D1541,17)="Cartão de crédito"),Config!$B$18*IFERROR(INDEX(Config!$C$12:$C$15,MATCH(IF(AND(D1541="Cartão de crédito",N(E1541)&gt;1),"Cartão de crédito parcelado",D1541),Config!$A$12:$A$15,0)),0)/30*MAX(1,N(E1541)),0))</f>
        <v/>
      </c>
      <c r="I1541" s="29">
        <f>IF(OR(D1541="",F1541=""),"",ROUND(F1541*H1541,2))</f>
        <v/>
      </c>
      <c r="J1541" s="29">
        <f>IF(I1541="","",F1541-I1541)</f>
        <v/>
      </c>
      <c r="K1541" s="29">
        <f>IF(J1541="","",J1541/MAX(1,N(E1541)))</f>
        <v/>
      </c>
      <c r="L1541" s="37">
        <f>IF(OR(D1541="",A1541=""),"",A1541+IF(AND(Config!$B$17="Sim",LEFT(D1541,17)="Cartão de crédito"),1,IFERROR(INDEX(Config!$C$12:$C$15,MATCH(IF(AND(D1541="Cartão de crédito",N(E1541)&gt;1),"Cartão de crédito parcelado",D1541),Config!$A$12:$A$15,0)),0)))</f>
        <v/>
      </c>
      <c r="M1541" s="37">
        <f>IF(L1541="","",IF(AND(Config!$B$17="Sim",LEFT(D1541,17)="Cartão de crédito"),L1541,L1541+30*(MAX(1,N(E1541))-1)))</f>
        <v/>
      </c>
      <c r="N1541" s="29">
        <f>IF(OR(L1541="",K1541=""),"",K1541*MIN(MAX(1,N(E1541)),MAX(0,INT((Config!$B$8-L1541)/30)+1)))</f>
        <v/>
      </c>
      <c r="O1541" s="29">
        <f>IF(J1541="","",J1541-N(N1541))</f>
        <v/>
      </c>
      <c r="P1541" s="27">
        <f>IF(A1541="","",MONTH(A1541))</f>
        <v/>
      </c>
      <c r="Q1541" s="27">
        <f>IF(A1541="","",YEAR(A1541))</f>
        <v/>
      </c>
      <c r="R1541" s="27">
        <f>IF(L1541="","",IF(L1541&gt;Config!$B$8,"A cair",IF(N(G1541)&gt;=MIN(MAX(1,N(E1541)),MAX(0,INT((Config!$B$8-L1541)/30)+1)),IF(N(G1541)&gt;=MAX(1,N(E1541)),"Conferido","Conferido até aqui"),"A conferir")))</f>
        <v/>
      </c>
      <c r="S1541" s="51">
        <f>IF(R1541="A conferir",(Config!$B$8-L1541)*1000+N(F1541)/1000+ROW()/100000,0)</f>
        <v>0</v>
      </c>
      <c r="T1541" s="51">
        <f>IF(R1541="A conferir",N(N1541),0)</f>
        <v>0</v>
      </c>
      <c r="U1541" s="51">
        <f>IF(L1541="",0,L1541)</f>
        <v>0</v>
      </c>
      <c r="V1541" s="51">
        <f>IF(L1541="",0,MAX(1,N(E1541)))</f>
        <v>0</v>
      </c>
      <c r="W1541" s="51">
        <f>IF(K1541="",0,K1541)</f>
        <v>0</v>
      </c>
    </row>
    <row r="1542">
      <c r="A1542" s="49" t="n"/>
      <c r="B1542" s="41" t="n"/>
      <c r="C1542" s="41" t="n"/>
      <c r="D1542" s="42" t="n"/>
      <c r="E1542" s="42" t="n"/>
      <c r="F1542" s="50" t="n"/>
      <c r="G1542" s="42" t="n"/>
      <c r="H1542" s="30">
        <f>IF(D1542="","",IFERROR(INDEX(Config!$B$12:$B$15,MATCH(IF(AND(D1542="Cartão de crédito",N(E1542)&gt;1),"Cartão de crédito parcelado",D1542),Config!$A$12:$A$15,0)),0)+IF(AND(Config!$B$17="Sim",LEFT(D1542,17)="Cartão de crédito"),Config!$B$18*IFERROR(INDEX(Config!$C$12:$C$15,MATCH(IF(AND(D1542="Cartão de crédito",N(E1542)&gt;1),"Cartão de crédito parcelado",D1542),Config!$A$12:$A$15,0)),0)/30*MAX(1,N(E1542)),0))</f>
        <v/>
      </c>
      <c r="I1542" s="29">
        <f>IF(OR(D1542="",F1542=""),"",ROUND(F1542*H1542,2))</f>
        <v/>
      </c>
      <c r="J1542" s="29">
        <f>IF(I1542="","",F1542-I1542)</f>
        <v/>
      </c>
      <c r="K1542" s="29">
        <f>IF(J1542="","",J1542/MAX(1,N(E1542)))</f>
        <v/>
      </c>
      <c r="L1542" s="37">
        <f>IF(OR(D1542="",A1542=""),"",A1542+IF(AND(Config!$B$17="Sim",LEFT(D1542,17)="Cartão de crédito"),1,IFERROR(INDEX(Config!$C$12:$C$15,MATCH(IF(AND(D1542="Cartão de crédito",N(E1542)&gt;1),"Cartão de crédito parcelado",D1542),Config!$A$12:$A$15,0)),0)))</f>
        <v/>
      </c>
      <c r="M1542" s="37">
        <f>IF(L1542="","",IF(AND(Config!$B$17="Sim",LEFT(D1542,17)="Cartão de crédito"),L1542,L1542+30*(MAX(1,N(E1542))-1)))</f>
        <v/>
      </c>
      <c r="N1542" s="29">
        <f>IF(OR(L1542="",K1542=""),"",K1542*MIN(MAX(1,N(E1542)),MAX(0,INT((Config!$B$8-L1542)/30)+1)))</f>
        <v/>
      </c>
      <c r="O1542" s="29">
        <f>IF(J1542="","",J1542-N(N1542))</f>
        <v/>
      </c>
      <c r="P1542" s="27">
        <f>IF(A1542="","",MONTH(A1542))</f>
        <v/>
      </c>
      <c r="Q1542" s="27">
        <f>IF(A1542="","",YEAR(A1542))</f>
        <v/>
      </c>
      <c r="R1542" s="27">
        <f>IF(L1542="","",IF(L1542&gt;Config!$B$8,"A cair",IF(N(G1542)&gt;=MIN(MAX(1,N(E1542)),MAX(0,INT((Config!$B$8-L1542)/30)+1)),IF(N(G1542)&gt;=MAX(1,N(E1542)),"Conferido","Conferido até aqui"),"A conferir")))</f>
        <v/>
      </c>
      <c r="S1542" s="51">
        <f>IF(R1542="A conferir",(Config!$B$8-L1542)*1000+N(F1542)/1000+ROW()/100000,0)</f>
        <v>0</v>
      </c>
      <c r="T1542" s="51">
        <f>IF(R1542="A conferir",N(N1542),0)</f>
        <v>0</v>
      </c>
      <c r="U1542" s="51">
        <f>IF(L1542="",0,L1542)</f>
        <v>0</v>
      </c>
      <c r="V1542" s="51">
        <f>IF(L1542="",0,MAX(1,N(E1542)))</f>
        <v>0</v>
      </c>
      <c r="W1542" s="51">
        <f>IF(K1542="",0,K1542)</f>
        <v>0</v>
      </c>
    </row>
    <row r="1543">
      <c r="A1543" s="49" t="n"/>
      <c r="B1543" s="41" t="n"/>
      <c r="C1543" s="41" t="n"/>
      <c r="D1543" s="42" t="n"/>
      <c r="E1543" s="42" t="n"/>
      <c r="F1543" s="50" t="n"/>
      <c r="G1543" s="42" t="n"/>
      <c r="H1543" s="30">
        <f>IF(D1543="","",IFERROR(INDEX(Config!$B$12:$B$15,MATCH(IF(AND(D1543="Cartão de crédito",N(E1543)&gt;1),"Cartão de crédito parcelado",D1543),Config!$A$12:$A$15,0)),0)+IF(AND(Config!$B$17="Sim",LEFT(D1543,17)="Cartão de crédito"),Config!$B$18*IFERROR(INDEX(Config!$C$12:$C$15,MATCH(IF(AND(D1543="Cartão de crédito",N(E1543)&gt;1),"Cartão de crédito parcelado",D1543),Config!$A$12:$A$15,0)),0)/30*MAX(1,N(E1543)),0))</f>
        <v/>
      </c>
      <c r="I1543" s="29">
        <f>IF(OR(D1543="",F1543=""),"",ROUND(F1543*H1543,2))</f>
        <v/>
      </c>
      <c r="J1543" s="29">
        <f>IF(I1543="","",F1543-I1543)</f>
        <v/>
      </c>
      <c r="K1543" s="29">
        <f>IF(J1543="","",J1543/MAX(1,N(E1543)))</f>
        <v/>
      </c>
      <c r="L1543" s="37">
        <f>IF(OR(D1543="",A1543=""),"",A1543+IF(AND(Config!$B$17="Sim",LEFT(D1543,17)="Cartão de crédito"),1,IFERROR(INDEX(Config!$C$12:$C$15,MATCH(IF(AND(D1543="Cartão de crédito",N(E1543)&gt;1),"Cartão de crédito parcelado",D1543),Config!$A$12:$A$15,0)),0)))</f>
        <v/>
      </c>
      <c r="M1543" s="37">
        <f>IF(L1543="","",IF(AND(Config!$B$17="Sim",LEFT(D1543,17)="Cartão de crédito"),L1543,L1543+30*(MAX(1,N(E1543))-1)))</f>
        <v/>
      </c>
      <c r="N1543" s="29">
        <f>IF(OR(L1543="",K1543=""),"",K1543*MIN(MAX(1,N(E1543)),MAX(0,INT((Config!$B$8-L1543)/30)+1)))</f>
        <v/>
      </c>
      <c r="O1543" s="29">
        <f>IF(J1543="","",J1543-N(N1543))</f>
        <v/>
      </c>
      <c r="P1543" s="27">
        <f>IF(A1543="","",MONTH(A1543))</f>
        <v/>
      </c>
      <c r="Q1543" s="27">
        <f>IF(A1543="","",YEAR(A1543))</f>
        <v/>
      </c>
      <c r="R1543" s="27">
        <f>IF(L1543="","",IF(L1543&gt;Config!$B$8,"A cair",IF(N(G1543)&gt;=MIN(MAX(1,N(E1543)),MAX(0,INT((Config!$B$8-L1543)/30)+1)),IF(N(G1543)&gt;=MAX(1,N(E1543)),"Conferido","Conferido até aqui"),"A conferir")))</f>
        <v/>
      </c>
      <c r="S1543" s="51">
        <f>IF(R1543="A conferir",(Config!$B$8-L1543)*1000+N(F1543)/1000+ROW()/100000,0)</f>
        <v>0</v>
      </c>
      <c r="T1543" s="51">
        <f>IF(R1543="A conferir",N(N1543),0)</f>
        <v>0</v>
      </c>
      <c r="U1543" s="51">
        <f>IF(L1543="",0,L1543)</f>
        <v>0</v>
      </c>
      <c r="V1543" s="51">
        <f>IF(L1543="",0,MAX(1,N(E1543)))</f>
        <v>0</v>
      </c>
      <c r="W1543" s="51">
        <f>IF(K1543="",0,K1543)</f>
        <v>0</v>
      </c>
    </row>
    <row r="1544">
      <c r="A1544" s="49" t="n"/>
      <c r="B1544" s="41" t="n"/>
      <c r="C1544" s="41" t="n"/>
      <c r="D1544" s="42" t="n"/>
      <c r="E1544" s="42" t="n"/>
      <c r="F1544" s="50" t="n"/>
      <c r="G1544" s="42" t="n"/>
      <c r="H1544" s="30">
        <f>IF(D1544="","",IFERROR(INDEX(Config!$B$12:$B$15,MATCH(IF(AND(D1544="Cartão de crédito",N(E1544)&gt;1),"Cartão de crédito parcelado",D1544),Config!$A$12:$A$15,0)),0)+IF(AND(Config!$B$17="Sim",LEFT(D1544,17)="Cartão de crédito"),Config!$B$18*IFERROR(INDEX(Config!$C$12:$C$15,MATCH(IF(AND(D1544="Cartão de crédito",N(E1544)&gt;1),"Cartão de crédito parcelado",D1544),Config!$A$12:$A$15,0)),0)/30*MAX(1,N(E1544)),0))</f>
        <v/>
      </c>
      <c r="I1544" s="29">
        <f>IF(OR(D1544="",F1544=""),"",ROUND(F1544*H1544,2))</f>
        <v/>
      </c>
      <c r="J1544" s="29">
        <f>IF(I1544="","",F1544-I1544)</f>
        <v/>
      </c>
      <c r="K1544" s="29">
        <f>IF(J1544="","",J1544/MAX(1,N(E1544)))</f>
        <v/>
      </c>
      <c r="L1544" s="37">
        <f>IF(OR(D1544="",A1544=""),"",A1544+IF(AND(Config!$B$17="Sim",LEFT(D1544,17)="Cartão de crédito"),1,IFERROR(INDEX(Config!$C$12:$C$15,MATCH(IF(AND(D1544="Cartão de crédito",N(E1544)&gt;1),"Cartão de crédito parcelado",D1544),Config!$A$12:$A$15,0)),0)))</f>
        <v/>
      </c>
      <c r="M1544" s="37">
        <f>IF(L1544="","",IF(AND(Config!$B$17="Sim",LEFT(D1544,17)="Cartão de crédito"),L1544,L1544+30*(MAX(1,N(E1544))-1)))</f>
        <v/>
      </c>
      <c r="N1544" s="29">
        <f>IF(OR(L1544="",K1544=""),"",K1544*MIN(MAX(1,N(E1544)),MAX(0,INT((Config!$B$8-L1544)/30)+1)))</f>
        <v/>
      </c>
      <c r="O1544" s="29">
        <f>IF(J1544="","",J1544-N(N1544))</f>
        <v/>
      </c>
      <c r="P1544" s="27">
        <f>IF(A1544="","",MONTH(A1544))</f>
        <v/>
      </c>
      <c r="Q1544" s="27">
        <f>IF(A1544="","",YEAR(A1544))</f>
        <v/>
      </c>
      <c r="R1544" s="27">
        <f>IF(L1544="","",IF(L1544&gt;Config!$B$8,"A cair",IF(N(G1544)&gt;=MIN(MAX(1,N(E1544)),MAX(0,INT((Config!$B$8-L1544)/30)+1)),IF(N(G1544)&gt;=MAX(1,N(E1544)),"Conferido","Conferido até aqui"),"A conferir")))</f>
        <v/>
      </c>
      <c r="S1544" s="51">
        <f>IF(R1544="A conferir",(Config!$B$8-L1544)*1000+N(F1544)/1000+ROW()/100000,0)</f>
        <v>0</v>
      </c>
      <c r="T1544" s="51">
        <f>IF(R1544="A conferir",N(N1544),0)</f>
        <v>0</v>
      </c>
      <c r="U1544" s="51">
        <f>IF(L1544="",0,L1544)</f>
        <v>0</v>
      </c>
      <c r="V1544" s="51">
        <f>IF(L1544="",0,MAX(1,N(E1544)))</f>
        <v>0</v>
      </c>
      <c r="W1544" s="51">
        <f>IF(K1544="",0,K1544)</f>
        <v>0</v>
      </c>
    </row>
    <row r="1545">
      <c r="A1545" s="49" t="n"/>
      <c r="B1545" s="41" t="n"/>
      <c r="C1545" s="41" t="n"/>
      <c r="D1545" s="42" t="n"/>
      <c r="E1545" s="42" t="n"/>
      <c r="F1545" s="50" t="n"/>
      <c r="G1545" s="42" t="n"/>
      <c r="H1545" s="30">
        <f>IF(D1545="","",IFERROR(INDEX(Config!$B$12:$B$15,MATCH(IF(AND(D1545="Cartão de crédito",N(E1545)&gt;1),"Cartão de crédito parcelado",D1545),Config!$A$12:$A$15,0)),0)+IF(AND(Config!$B$17="Sim",LEFT(D1545,17)="Cartão de crédito"),Config!$B$18*IFERROR(INDEX(Config!$C$12:$C$15,MATCH(IF(AND(D1545="Cartão de crédito",N(E1545)&gt;1),"Cartão de crédito parcelado",D1545),Config!$A$12:$A$15,0)),0)/30*MAX(1,N(E1545)),0))</f>
        <v/>
      </c>
      <c r="I1545" s="29">
        <f>IF(OR(D1545="",F1545=""),"",ROUND(F1545*H1545,2))</f>
        <v/>
      </c>
      <c r="J1545" s="29">
        <f>IF(I1545="","",F1545-I1545)</f>
        <v/>
      </c>
      <c r="K1545" s="29">
        <f>IF(J1545="","",J1545/MAX(1,N(E1545)))</f>
        <v/>
      </c>
      <c r="L1545" s="37">
        <f>IF(OR(D1545="",A1545=""),"",A1545+IF(AND(Config!$B$17="Sim",LEFT(D1545,17)="Cartão de crédito"),1,IFERROR(INDEX(Config!$C$12:$C$15,MATCH(IF(AND(D1545="Cartão de crédito",N(E1545)&gt;1),"Cartão de crédito parcelado",D1545),Config!$A$12:$A$15,0)),0)))</f>
        <v/>
      </c>
      <c r="M1545" s="37">
        <f>IF(L1545="","",IF(AND(Config!$B$17="Sim",LEFT(D1545,17)="Cartão de crédito"),L1545,L1545+30*(MAX(1,N(E1545))-1)))</f>
        <v/>
      </c>
      <c r="N1545" s="29">
        <f>IF(OR(L1545="",K1545=""),"",K1545*MIN(MAX(1,N(E1545)),MAX(0,INT((Config!$B$8-L1545)/30)+1)))</f>
        <v/>
      </c>
      <c r="O1545" s="29">
        <f>IF(J1545="","",J1545-N(N1545))</f>
        <v/>
      </c>
      <c r="P1545" s="27">
        <f>IF(A1545="","",MONTH(A1545))</f>
        <v/>
      </c>
      <c r="Q1545" s="27">
        <f>IF(A1545="","",YEAR(A1545))</f>
        <v/>
      </c>
      <c r="R1545" s="27">
        <f>IF(L1545="","",IF(L1545&gt;Config!$B$8,"A cair",IF(N(G1545)&gt;=MIN(MAX(1,N(E1545)),MAX(0,INT((Config!$B$8-L1545)/30)+1)),IF(N(G1545)&gt;=MAX(1,N(E1545)),"Conferido","Conferido até aqui"),"A conferir")))</f>
        <v/>
      </c>
      <c r="S1545" s="51">
        <f>IF(R1545="A conferir",(Config!$B$8-L1545)*1000+N(F1545)/1000+ROW()/100000,0)</f>
        <v>0</v>
      </c>
      <c r="T1545" s="51">
        <f>IF(R1545="A conferir",N(N1545),0)</f>
        <v>0</v>
      </c>
      <c r="U1545" s="51">
        <f>IF(L1545="",0,L1545)</f>
        <v>0</v>
      </c>
      <c r="V1545" s="51">
        <f>IF(L1545="",0,MAX(1,N(E1545)))</f>
        <v>0</v>
      </c>
      <c r="W1545" s="51">
        <f>IF(K1545="",0,K1545)</f>
        <v>0</v>
      </c>
    </row>
    <row r="1546">
      <c r="A1546" s="49" t="n"/>
      <c r="B1546" s="41" t="n"/>
      <c r="C1546" s="41" t="n"/>
      <c r="D1546" s="42" t="n"/>
      <c r="E1546" s="42" t="n"/>
      <c r="F1546" s="50" t="n"/>
      <c r="G1546" s="42" t="n"/>
      <c r="H1546" s="30">
        <f>IF(D1546="","",IFERROR(INDEX(Config!$B$12:$B$15,MATCH(IF(AND(D1546="Cartão de crédito",N(E1546)&gt;1),"Cartão de crédito parcelado",D1546),Config!$A$12:$A$15,0)),0)+IF(AND(Config!$B$17="Sim",LEFT(D1546,17)="Cartão de crédito"),Config!$B$18*IFERROR(INDEX(Config!$C$12:$C$15,MATCH(IF(AND(D1546="Cartão de crédito",N(E1546)&gt;1),"Cartão de crédito parcelado",D1546),Config!$A$12:$A$15,0)),0)/30*MAX(1,N(E1546)),0))</f>
        <v/>
      </c>
      <c r="I1546" s="29">
        <f>IF(OR(D1546="",F1546=""),"",ROUND(F1546*H1546,2))</f>
        <v/>
      </c>
      <c r="J1546" s="29">
        <f>IF(I1546="","",F1546-I1546)</f>
        <v/>
      </c>
      <c r="K1546" s="29">
        <f>IF(J1546="","",J1546/MAX(1,N(E1546)))</f>
        <v/>
      </c>
      <c r="L1546" s="37">
        <f>IF(OR(D1546="",A1546=""),"",A1546+IF(AND(Config!$B$17="Sim",LEFT(D1546,17)="Cartão de crédito"),1,IFERROR(INDEX(Config!$C$12:$C$15,MATCH(IF(AND(D1546="Cartão de crédito",N(E1546)&gt;1),"Cartão de crédito parcelado",D1546),Config!$A$12:$A$15,0)),0)))</f>
        <v/>
      </c>
      <c r="M1546" s="37">
        <f>IF(L1546="","",IF(AND(Config!$B$17="Sim",LEFT(D1546,17)="Cartão de crédito"),L1546,L1546+30*(MAX(1,N(E1546))-1)))</f>
        <v/>
      </c>
      <c r="N1546" s="29">
        <f>IF(OR(L1546="",K1546=""),"",K1546*MIN(MAX(1,N(E1546)),MAX(0,INT((Config!$B$8-L1546)/30)+1)))</f>
        <v/>
      </c>
      <c r="O1546" s="29">
        <f>IF(J1546="","",J1546-N(N1546))</f>
        <v/>
      </c>
      <c r="P1546" s="27">
        <f>IF(A1546="","",MONTH(A1546))</f>
        <v/>
      </c>
      <c r="Q1546" s="27">
        <f>IF(A1546="","",YEAR(A1546))</f>
        <v/>
      </c>
      <c r="R1546" s="27">
        <f>IF(L1546="","",IF(L1546&gt;Config!$B$8,"A cair",IF(N(G1546)&gt;=MIN(MAX(1,N(E1546)),MAX(0,INT((Config!$B$8-L1546)/30)+1)),IF(N(G1546)&gt;=MAX(1,N(E1546)),"Conferido","Conferido até aqui"),"A conferir")))</f>
        <v/>
      </c>
      <c r="S1546" s="51">
        <f>IF(R1546="A conferir",(Config!$B$8-L1546)*1000+N(F1546)/1000+ROW()/100000,0)</f>
        <v>0</v>
      </c>
      <c r="T1546" s="51">
        <f>IF(R1546="A conferir",N(N1546),0)</f>
        <v>0</v>
      </c>
      <c r="U1546" s="51">
        <f>IF(L1546="",0,L1546)</f>
        <v>0</v>
      </c>
      <c r="V1546" s="51">
        <f>IF(L1546="",0,MAX(1,N(E1546)))</f>
        <v>0</v>
      </c>
      <c r="W1546" s="51">
        <f>IF(K1546="",0,K1546)</f>
        <v>0</v>
      </c>
    </row>
    <row r="1547">
      <c r="A1547" s="49" t="n"/>
      <c r="B1547" s="41" t="n"/>
      <c r="C1547" s="41" t="n"/>
      <c r="D1547" s="42" t="n"/>
      <c r="E1547" s="42" t="n"/>
      <c r="F1547" s="50" t="n"/>
      <c r="G1547" s="42" t="n"/>
      <c r="H1547" s="30">
        <f>IF(D1547="","",IFERROR(INDEX(Config!$B$12:$B$15,MATCH(IF(AND(D1547="Cartão de crédito",N(E1547)&gt;1),"Cartão de crédito parcelado",D1547),Config!$A$12:$A$15,0)),0)+IF(AND(Config!$B$17="Sim",LEFT(D1547,17)="Cartão de crédito"),Config!$B$18*IFERROR(INDEX(Config!$C$12:$C$15,MATCH(IF(AND(D1547="Cartão de crédito",N(E1547)&gt;1),"Cartão de crédito parcelado",D1547),Config!$A$12:$A$15,0)),0)/30*MAX(1,N(E1547)),0))</f>
        <v/>
      </c>
      <c r="I1547" s="29">
        <f>IF(OR(D1547="",F1547=""),"",ROUND(F1547*H1547,2))</f>
        <v/>
      </c>
      <c r="J1547" s="29">
        <f>IF(I1547="","",F1547-I1547)</f>
        <v/>
      </c>
      <c r="K1547" s="29">
        <f>IF(J1547="","",J1547/MAX(1,N(E1547)))</f>
        <v/>
      </c>
      <c r="L1547" s="37">
        <f>IF(OR(D1547="",A1547=""),"",A1547+IF(AND(Config!$B$17="Sim",LEFT(D1547,17)="Cartão de crédito"),1,IFERROR(INDEX(Config!$C$12:$C$15,MATCH(IF(AND(D1547="Cartão de crédito",N(E1547)&gt;1),"Cartão de crédito parcelado",D1547),Config!$A$12:$A$15,0)),0)))</f>
        <v/>
      </c>
      <c r="M1547" s="37">
        <f>IF(L1547="","",IF(AND(Config!$B$17="Sim",LEFT(D1547,17)="Cartão de crédito"),L1547,L1547+30*(MAX(1,N(E1547))-1)))</f>
        <v/>
      </c>
      <c r="N1547" s="29">
        <f>IF(OR(L1547="",K1547=""),"",K1547*MIN(MAX(1,N(E1547)),MAX(0,INT((Config!$B$8-L1547)/30)+1)))</f>
        <v/>
      </c>
      <c r="O1547" s="29">
        <f>IF(J1547="","",J1547-N(N1547))</f>
        <v/>
      </c>
      <c r="P1547" s="27">
        <f>IF(A1547="","",MONTH(A1547))</f>
        <v/>
      </c>
      <c r="Q1547" s="27">
        <f>IF(A1547="","",YEAR(A1547))</f>
        <v/>
      </c>
      <c r="R1547" s="27">
        <f>IF(L1547="","",IF(L1547&gt;Config!$B$8,"A cair",IF(N(G1547)&gt;=MIN(MAX(1,N(E1547)),MAX(0,INT((Config!$B$8-L1547)/30)+1)),IF(N(G1547)&gt;=MAX(1,N(E1547)),"Conferido","Conferido até aqui"),"A conferir")))</f>
        <v/>
      </c>
      <c r="S1547" s="51">
        <f>IF(R1547="A conferir",(Config!$B$8-L1547)*1000+N(F1547)/1000+ROW()/100000,0)</f>
        <v>0</v>
      </c>
      <c r="T1547" s="51">
        <f>IF(R1547="A conferir",N(N1547),0)</f>
        <v>0</v>
      </c>
      <c r="U1547" s="51">
        <f>IF(L1547="",0,L1547)</f>
        <v>0</v>
      </c>
      <c r="V1547" s="51">
        <f>IF(L1547="",0,MAX(1,N(E1547)))</f>
        <v>0</v>
      </c>
      <c r="W1547" s="51">
        <f>IF(K1547="",0,K1547)</f>
        <v>0</v>
      </c>
    </row>
    <row r="1548">
      <c r="A1548" s="49" t="n"/>
      <c r="B1548" s="41" t="n"/>
      <c r="C1548" s="41" t="n"/>
      <c r="D1548" s="42" t="n"/>
      <c r="E1548" s="42" t="n"/>
      <c r="F1548" s="50" t="n"/>
      <c r="G1548" s="42" t="n"/>
      <c r="H1548" s="30">
        <f>IF(D1548="","",IFERROR(INDEX(Config!$B$12:$B$15,MATCH(IF(AND(D1548="Cartão de crédito",N(E1548)&gt;1),"Cartão de crédito parcelado",D1548),Config!$A$12:$A$15,0)),0)+IF(AND(Config!$B$17="Sim",LEFT(D1548,17)="Cartão de crédito"),Config!$B$18*IFERROR(INDEX(Config!$C$12:$C$15,MATCH(IF(AND(D1548="Cartão de crédito",N(E1548)&gt;1),"Cartão de crédito parcelado",D1548),Config!$A$12:$A$15,0)),0)/30*MAX(1,N(E1548)),0))</f>
        <v/>
      </c>
      <c r="I1548" s="29">
        <f>IF(OR(D1548="",F1548=""),"",ROUND(F1548*H1548,2))</f>
        <v/>
      </c>
      <c r="J1548" s="29">
        <f>IF(I1548="","",F1548-I1548)</f>
        <v/>
      </c>
      <c r="K1548" s="29">
        <f>IF(J1548="","",J1548/MAX(1,N(E1548)))</f>
        <v/>
      </c>
      <c r="L1548" s="37">
        <f>IF(OR(D1548="",A1548=""),"",A1548+IF(AND(Config!$B$17="Sim",LEFT(D1548,17)="Cartão de crédito"),1,IFERROR(INDEX(Config!$C$12:$C$15,MATCH(IF(AND(D1548="Cartão de crédito",N(E1548)&gt;1),"Cartão de crédito parcelado",D1548),Config!$A$12:$A$15,0)),0)))</f>
        <v/>
      </c>
      <c r="M1548" s="37">
        <f>IF(L1548="","",IF(AND(Config!$B$17="Sim",LEFT(D1548,17)="Cartão de crédito"),L1548,L1548+30*(MAX(1,N(E1548))-1)))</f>
        <v/>
      </c>
      <c r="N1548" s="29">
        <f>IF(OR(L1548="",K1548=""),"",K1548*MIN(MAX(1,N(E1548)),MAX(0,INT((Config!$B$8-L1548)/30)+1)))</f>
        <v/>
      </c>
      <c r="O1548" s="29">
        <f>IF(J1548="","",J1548-N(N1548))</f>
        <v/>
      </c>
      <c r="P1548" s="27">
        <f>IF(A1548="","",MONTH(A1548))</f>
        <v/>
      </c>
      <c r="Q1548" s="27">
        <f>IF(A1548="","",YEAR(A1548))</f>
        <v/>
      </c>
      <c r="R1548" s="27">
        <f>IF(L1548="","",IF(L1548&gt;Config!$B$8,"A cair",IF(N(G1548)&gt;=MIN(MAX(1,N(E1548)),MAX(0,INT((Config!$B$8-L1548)/30)+1)),IF(N(G1548)&gt;=MAX(1,N(E1548)),"Conferido","Conferido até aqui"),"A conferir")))</f>
        <v/>
      </c>
      <c r="S1548" s="51">
        <f>IF(R1548="A conferir",(Config!$B$8-L1548)*1000+N(F1548)/1000+ROW()/100000,0)</f>
        <v>0</v>
      </c>
      <c r="T1548" s="51">
        <f>IF(R1548="A conferir",N(N1548),0)</f>
        <v>0</v>
      </c>
      <c r="U1548" s="51">
        <f>IF(L1548="",0,L1548)</f>
        <v>0</v>
      </c>
      <c r="V1548" s="51">
        <f>IF(L1548="",0,MAX(1,N(E1548)))</f>
        <v>0</v>
      </c>
      <c r="W1548" s="51">
        <f>IF(K1548="",0,K1548)</f>
        <v>0</v>
      </c>
    </row>
    <row r="1549">
      <c r="A1549" s="49" t="n"/>
      <c r="B1549" s="41" t="n"/>
      <c r="C1549" s="41" t="n"/>
      <c r="D1549" s="42" t="n"/>
      <c r="E1549" s="42" t="n"/>
      <c r="F1549" s="50" t="n"/>
      <c r="G1549" s="42" t="n"/>
      <c r="H1549" s="30">
        <f>IF(D1549="","",IFERROR(INDEX(Config!$B$12:$B$15,MATCH(IF(AND(D1549="Cartão de crédito",N(E1549)&gt;1),"Cartão de crédito parcelado",D1549),Config!$A$12:$A$15,0)),0)+IF(AND(Config!$B$17="Sim",LEFT(D1549,17)="Cartão de crédito"),Config!$B$18*IFERROR(INDEX(Config!$C$12:$C$15,MATCH(IF(AND(D1549="Cartão de crédito",N(E1549)&gt;1),"Cartão de crédito parcelado",D1549),Config!$A$12:$A$15,0)),0)/30*MAX(1,N(E1549)),0))</f>
        <v/>
      </c>
      <c r="I1549" s="29">
        <f>IF(OR(D1549="",F1549=""),"",ROUND(F1549*H1549,2))</f>
        <v/>
      </c>
      <c r="J1549" s="29">
        <f>IF(I1549="","",F1549-I1549)</f>
        <v/>
      </c>
      <c r="K1549" s="29">
        <f>IF(J1549="","",J1549/MAX(1,N(E1549)))</f>
        <v/>
      </c>
      <c r="L1549" s="37">
        <f>IF(OR(D1549="",A1549=""),"",A1549+IF(AND(Config!$B$17="Sim",LEFT(D1549,17)="Cartão de crédito"),1,IFERROR(INDEX(Config!$C$12:$C$15,MATCH(IF(AND(D1549="Cartão de crédito",N(E1549)&gt;1),"Cartão de crédito parcelado",D1549),Config!$A$12:$A$15,0)),0)))</f>
        <v/>
      </c>
      <c r="M1549" s="37">
        <f>IF(L1549="","",IF(AND(Config!$B$17="Sim",LEFT(D1549,17)="Cartão de crédito"),L1549,L1549+30*(MAX(1,N(E1549))-1)))</f>
        <v/>
      </c>
      <c r="N1549" s="29">
        <f>IF(OR(L1549="",K1549=""),"",K1549*MIN(MAX(1,N(E1549)),MAX(0,INT((Config!$B$8-L1549)/30)+1)))</f>
        <v/>
      </c>
      <c r="O1549" s="29">
        <f>IF(J1549="","",J1549-N(N1549))</f>
        <v/>
      </c>
      <c r="P1549" s="27">
        <f>IF(A1549="","",MONTH(A1549))</f>
        <v/>
      </c>
      <c r="Q1549" s="27">
        <f>IF(A1549="","",YEAR(A1549))</f>
        <v/>
      </c>
      <c r="R1549" s="27">
        <f>IF(L1549="","",IF(L1549&gt;Config!$B$8,"A cair",IF(N(G1549)&gt;=MIN(MAX(1,N(E1549)),MAX(0,INT((Config!$B$8-L1549)/30)+1)),IF(N(G1549)&gt;=MAX(1,N(E1549)),"Conferido","Conferido até aqui"),"A conferir")))</f>
        <v/>
      </c>
      <c r="S1549" s="51">
        <f>IF(R1549="A conferir",(Config!$B$8-L1549)*1000+N(F1549)/1000+ROW()/100000,0)</f>
        <v>0</v>
      </c>
      <c r="T1549" s="51">
        <f>IF(R1549="A conferir",N(N1549),0)</f>
        <v>0</v>
      </c>
      <c r="U1549" s="51">
        <f>IF(L1549="",0,L1549)</f>
        <v>0</v>
      </c>
      <c r="V1549" s="51">
        <f>IF(L1549="",0,MAX(1,N(E1549)))</f>
        <v>0</v>
      </c>
      <c r="W1549" s="51">
        <f>IF(K1549="",0,K1549)</f>
        <v>0</v>
      </c>
    </row>
    <row r="1550">
      <c r="A1550" s="49" t="n"/>
      <c r="B1550" s="41" t="n"/>
      <c r="C1550" s="41" t="n"/>
      <c r="D1550" s="42" t="n"/>
      <c r="E1550" s="42" t="n"/>
      <c r="F1550" s="50" t="n"/>
      <c r="G1550" s="42" t="n"/>
      <c r="H1550" s="30">
        <f>IF(D1550="","",IFERROR(INDEX(Config!$B$12:$B$15,MATCH(IF(AND(D1550="Cartão de crédito",N(E1550)&gt;1),"Cartão de crédito parcelado",D1550),Config!$A$12:$A$15,0)),0)+IF(AND(Config!$B$17="Sim",LEFT(D1550,17)="Cartão de crédito"),Config!$B$18*IFERROR(INDEX(Config!$C$12:$C$15,MATCH(IF(AND(D1550="Cartão de crédito",N(E1550)&gt;1),"Cartão de crédito parcelado",D1550),Config!$A$12:$A$15,0)),0)/30*MAX(1,N(E1550)),0))</f>
        <v/>
      </c>
      <c r="I1550" s="29">
        <f>IF(OR(D1550="",F1550=""),"",ROUND(F1550*H1550,2))</f>
        <v/>
      </c>
      <c r="J1550" s="29">
        <f>IF(I1550="","",F1550-I1550)</f>
        <v/>
      </c>
      <c r="K1550" s="29">
        <f>IF(J1550="","",J1550/MAX(1,N(E1550)))</f>
        <v/>
      </c>
      <c r="L1550" s="37">
        <f>IF(OR(D1550="",A1550=""),"",A1550+IF(AND(Config!$B$17="Sim",LEFT(D1550,17)="Cartão de crédito"),1,IFERROR(INDEX(Config!$C$12:$C$15,MATCH(IF(AND(D1550="Cartão de crédito",N(E1550)&gt;1),"Cartão de crédito parcelado",D1550),Config!$A$12:$A$15,0)),0)))</f>
        <v/>
      </c>
      <c r="M1550" s="37">
        <f>IF(L1550="","",IF(AND(Config!$B$17="Sim",LEFT(D1550,17)="Cartão de crédito"),L1550,L1550+30*(MAX(1,N(E1550))-1)))</f>
        <v/>
      </c>
      <c r="N1550" s="29">
        <f>IF(OR(L1550="",K1550=""),"",K1550*MIN(MAX(1,N(E1550)),MAX(0,INT((Config!$B$8-L1550)/30)+1)))</f>
        <v/>
      </c>
      <c r="O1550" s="29">
        <f>IF(J1550="","",J1550-N(N1550))</f>
        <v/>
      </c>
      <c r="P1550" s="27">
        <f>IF(A1550="","",MONTH(A1550))</f>
        <v/>
      </c>
      <c r="Q1550" s="27">
        <f>IF(A1550="","",YEAR(A1550))</f>
        <v/>
      </c>
      <c r="R1550" s="27">
        <f>IF(L1550="","",IF(L1550&gt;Config!$B$8,"A cair",IF(N(G1550)&gt;=MIN(MAX(1,N(E1550)),MAX(0,INT((Config!$B$8-L1550)/30)+1)),IF(N(G1550)&gt;=MAX(1,N(E1550)),"Conferido","Conferido até aqui"),"A conferir")))</f>
        <v/>
      </c>
      <c r="S1550" s="51">
        <f>IF(R1550="A conferir",(Config!$B$8-L1550)*1000+N(F1550)/1000+ROW()/100000,0)</f>
        <v>0</v>
      </c>
      <c r="T1550" s="51">
        <f>IF(R1550="A conferir",N(N1550),0)</f>
        <v>0</v>
      </c>
      <c r="U1550" s="51">
        <f>IF(L1550="",0,L1550)</f>
        <v>0</v>
      </c>
      <c r="V1550" s="51">
        <f>IF(L1550="",0,MAX(1,N(E1550)))</f>
        <v>0</v>
      </c>
      <c r="W1550" s="51">
        <f>IF(K1550="",0,K1550)</f>
        <v>0</v>
      </c>
    </row>
    <row r="1551">
      <c r="A1551" s="49" t="n"/>
      <c r="B1551" s="41" t="n"/>
      <c r="C1551" s="41" t="n"/>
      <c r="D1551" s="42" t="n"/>
      <c r="E1551" s="42" t="n"/>
      <c r="F1551" s="50" t="n"/>
      <c r="G1551" s="42" t="n"/>
      <c r="H1551" s="30">
        <f>IF(D1551="","",IFERROR(INDEX(Config!$B$12:$B$15,MATCH(IF(AND(D1551="Cartão de crédito",N(E1551)&gt;1),"Cartão de crédito parcelado",D1551),Config!$A$12:$A$15,0)),0)+IF(AND(Config!$B$17="Sim",LEFT(D1551,17)="Cartão de crédito"),Config!$B$18*IFERROR(INDEX(Config!$C$12:$C$15,MATCH(IF(AND(D1551="Cartão de crédito",N(E1551)&gt;1),"Cartão de crédito parcelado",D1551),Config!$A$12:$A$15,0)),0)/30*MAX(1,N(E1551)),0))</f>
        <v/>
      </c>
      <c r="I1551" s="29">
        <f>IF(OR(D1551="",F1551=""),"",ROUND(F1551*H1551,2))</f>
        <v/>
      </c>
      <c r="J1551" s="29">
        <f>IF(I1551="","",F1551-I1551)</f>
        <v/>
      </c>
      <c r="K1551" s="29">
        <f>IF(J1551="","",J1551/MAX(1,N(E1551)))</f>
        <v/>
      </c>
      <c r="L1551" s="37">
        <f>IF(OR(D1551="",A1551=""),"",A1551+IF(AND(Config!$B$17="Sim",LEFT(D1551,17)="Cartão de crédito"),1,IFERROR(INDEX(Config!$C$12:$C$15,MATCH(IF(AND(D1551="Cartão de crédito",N(E1551)&gt;1),"Cartão de crédito parcelado",D1551),Config!$A$12:$A$15,0)),0)))</f>
        <v/>
      </c>
      <c r="M1551" s="37">
        <f>IF(L1551="","",IF(AND(Config!$B$17="Sim",LEFT(D1551,17)="Cartão de crédito"),L1551,L1551+30*(MAX(1,N(E1551))-1)))</f>
        <v/>
      </c>
      <c r="N1551" s="29">
        <f>IF(OR(L1551="",K1551=""),"",K1551*MIN(MAX(1,N(E1551)),MAX(0,INT((Config!$B$8-L1551)/30)+1)))</f>
        <v/>
      </c>
      <c r="O1551" s="29">
        <f>IF(J1551="","",J1551-N(N1551))</f>
        <v/>
      </c>
      <c r="P1551" s="27">
        <f>IF(A1551="","",MONTH(A1551))</f>
        <v/>
      </c>
      <c r="Q1551" s="27">
        <f>IF(A1551="","",YEAR(A1551))</f>
        <v/>
      </c>
      <c r="R1551" s="27">
        <f>IF(L1551="","",IF(L1551&gt;Config!$B$8,"A cair",IF(N(G1551)&gt;=MIN(MAX(1,N(E1551)),MAX(0,INT((Config!$B$8-L1551)/30)+1)),IF(N(G1551)&gt;=MAX(1,N(E1551)),"Conferido","Conferido até aqui"),"A conferir")))</f>
        <v/>
      </c>
      <c r="S1551" s="51">
        <f>IF(R1551="A conferir",(Config!$B$8-L1551)*1000+N(F1551)/1000+ROW()/100000,0)</f>
        <v>0</v>
      </c>
      <c r="T1551" s="51">
        <f>IF(R1551="A conferir",N(N1551),0)</f>
        <v>0</v>
      </c>
      <c r="U1551" s="51">
        <f>IF(L1551="",0,L1551)</f>
        <v>0</v>
      </c>
      <c r="V1551" s="51">
        <f>IF(L1551="",0,MAX(1,N(E1551)))</f>
        <v>0</v>
      </c>
      <c r="W1551" s="51">
        <f>IF(K1551="",0,K1551)</f>
        <v>0</v>
      </c>
    </row>
    <row r="1552">
      <c r="A1552" s="49" t="n"/>
      <c r="B1552" s="41" t="n"/>
      <c r="C1552" s="41" t="n"/>
      <c r="D1552" s="42" t="n"/>
      <c r="E1552" s="42" t="n"/>
      <c r="F1552" s="50" t="n"/>
      <c r="G1552" s="42" t="n"/>
      <c r="H1552" s="30">
        <f>IF(D1552="","",IFERROR(INDEX(Config!$B$12:$B$15,MATCH(IF(AND(D1552="Cartão de crédito",N(E1552)&gt;1),"Cartão de crédito parcelado",D1552),Config!$A$12:$A$15,0)),0)+IF(AND(Config!$B$17="Sim",LEFT(D1552,17)="Cartão de crédito"),Config!$B$18*IFERROR(INDEX(Config!$C$12:$C$15,MATCH(IF(AND(D1552="Cartão de crédito",N(E1552)&gt;1),"Cartão de crédito parcelado",D1552),Config!$A$12:$A$15,0)),0)/30*MAX(1,N(E1552)),0))</f>
        <v/>
      </c>
      <c r="I1552" s="29">
        <f>IF(OR(D1552="",F1552=""),"",ROUND(F1552*H1552,2))</f>
        <v/>
      </c>
      <c r="J1552" s="29">
        <f>IF(I1552="","",F1552-I1552)</f>
        <v/>
      </c>
      <c r="K1552" s="29">
        <f>IF(J1552="","",J1552/MAX(1,N(E1552)))</f>
        <v/>
      </c>
      <c r="L1552" s="37">
        <f>IF(OR(D1552="",A1552=""),"",A1552+IF(AND(Config!$B$17="Sim",LEFT(D1552,17)="Cartão de crédito"),1,IFERROR(INDEX(Config!$C$12:$C$15,MATCH(IF(AND(D1552="Cartão de crédito",N(E1552)&gt;1),"Cartão de crédito parcelado",D1552),Config!$A$12:$A$15,0)),0)))</f>
        <v/>
      </c>
      <c r="M1552" s="37">
        <f>IF(L1552="","",IF(AND(Config!$B$17="Sim",LEFT(D1552,17)="Cartão de crédito"),L1552,L1552+30*(MAX(1,N(E1552))-1)))</f>
        <v/>
      </c>
      <c r="N1552" s="29">
        <f>IF(OR(L1552="",K1552=""),"",K1552*MIN(MAX(1,N(E1552)),MAX(0,INT((Config!$B$8-L1552)/30)+1)))</f>
        <v/>
      </c>
      <c r="O1552" s="29">
        <f>IF(J1552="","",J1552-N(N1552))</f>
        <v/>
      </c>
      <c r="P1552" s="27">
        <f>IF(A1552="","",MONTH(A1552))</f>
        <v/>
      </c>
      <c r="Q1552" s="27">
        <f>IF(A1552="","",YEAR(A1552))</f>
        <v/>
      </c>
      <c r="R1552" s="27">
        <f>IF(L1552="","",IF(L1552&gt;Config!$B$8,"A cair",IF(N(G1552)&gt;=MIN(MAX(1,N(E1552)),MAX(0,INT((Config!$B$8-L1552)/30)+1)),IF(N(G1552)&gt;=MAX(1,N(E1552)),"Conferido","Conferido até aqui"),"A conferir")))</f>
        <v/>
      </c>
      <c r="S1552" s="51">
        <f>IF(R1552="A conferir",(Config!$B$8-L1552)*1000+N(F1552)/1000+ROW()/100000,0)</f>
        <v>0</v>
      </c>
      <c r="T1552" s="51">
        <f>IF(R1552="A conferir",N(N1552),0)</f>
        <v>0</v>
      </c>
      <c r="U1552" s="51">
        <f>IF(L1552="",0,L1552)</f>
        <v>0</v>
      </c>
      <c r="V1552" s="51">
        <f>IF(L1552="",0,MAX(1,N(E1552)))</f>
        <v>0</v>
      </c>
      <c r="W1552" s="51">
        <f>IF(K1552="",0,K1552)</f>
        <v>0</v>
      </c>
    </row>
    <row r="1553">
      <c r="A1553" s="49" t="n"/>
      <c r="B1553" s="41" t="n"/>
      <c r="C1553" s="41" t="n"/>
      <c r="D1553" s="42" t="n"/>
      <c r="E1553" s="42" t="n"/>
      <c r="F1553" s="50" t="n"/>
      <c r="G1553" s="42" t="n"/>
      <c r="H1553" s="30">
        <f>IF(D1553="","",IFERROR(INDEX(Config!$B$12:$B$15,MATCH(IF(AND(D1553="Cartão de crédito",N(E1553)&gt;1),"Cartão de crédito parcelado",D1553),Config!$A$12:$A$15,0)),0)+IF(AND(Config!$B$17="Sim",LEFT(D1553,17)="Cartão de crédito"),Config!$B$18*IFERROR(INDEX(Config!$C$12:$C$15,MATCH(IF(AND(D1553="Cartão de crédito",N(E1553)&gt;1),"Cartão de crédito parcelado",D1553),Config!$A$12:$A$15,0)),0)/30*MAX(1,N(E1553)),0))</f>
        <v/>
      </c>
      <c r="I1553" s="29">
        <f>IF(OR(D1553="",F1553=""),"",ROUND(F1553*H1553,2))</f>
        <v/>
      </c>
      <c r="J1553" s="29">
        <f>IF(I1553="","",F1553-I1553)</f>
        <v/>
      </c>
      <c r="K1553" s="29">
        <f>IF(J1553="","",J1553/MAX(1,N(E1553)))</f>
        <v/>
      </c>
      <c r="L1553" s="37">
        <f>IF(OR(D1553="",A1553=""),"",A1553+IF(AND(Config!$B$17="Sim",LEFT(D1553,17)="Cartão de crédito"),1,IFERROR(INDEX(Config!$C$12:$C$15,MATCH(IF(AND(D1553="Cartão de crédito",N(E1553)&gt;1),"Cartão de crédito parcelado",D1553),Config!$A$12:$A$15,0)),0)))</f>
        <v/>
      </c>
      <c r="M1553" s="37">
        <f>IF(L1553="","",IF(AND(Config!$B$17="Sim",LEFT(D1553,17)="Cartão de crédito"),L1553,L1553+30*(MAX(1,N(E1553))-1)))</f>
        <v/>
      </c>
      <c r="N1553" s="29">
        <f>IF(OR(L1553="",K1553=""),"",K1553*MIN(MAX(1,N(E1553)),MAX(0,INT((Config!$B$8-L1553)/30)+1)))</f>
        <v/>
      </c>
      <c r="O1553" s="29">
        <f>IF(J1553="","",J1553-N(N1553))</f>
        <v/>
      </c>
      <c r="P1553" s="27">
        <f>IF(A1553="","",MONTH(A1553))</f>
        <v/>
      </c>
      <c r="Q1553" s="27">
        <f>IF(A1553="","",YEAR(A1553))</f>
        <v/>
      </c>
      <c r="R1553" s="27">
        <f>IF(L1553="","",IF(L1553&gt;Config!$B$8,"A cair",IF(N(G1553)&gt;=MIN(MAX(1,N(E1553)),MAX(0,INT((Config!$B$8-L1553)/30)+1)),IF(N(G1553)&gt;=MAX(1,N(E1553)),"Conferido","Conferido até aqui"),"A conferir")))</f>
        <v/>
      </c>
      <c r="S1553" s="51">
        <f>IF(R1553="A conferir",(Config!$B$8-L1553)*1000+N(F1553)/1000+ROW()/100000,0)</f>
        <v>0</v>
      </c>
      <c r="T1553" s="51">
        <f>IF(R1553="A conferir",N(N1553),0)</f>
        <v>0</v>
      </c>
      <c r="U1553" s="51">
        <f>IF(L1553="",0,L1553)</f>
        <v>0</v>
      </c>
      <c r="V1553" s="51">
        <f>IF(L1553="",0,MAX(1,N(E1553)))</f>
        <v>0</v>
      </c>
      <c r="W1553" s="51">
        <f>IF(K1553="",0,K1553)</f>
        <v>0</v>
      </c>
    </row>
    <row r="1554">
      <c r="A1554" s="49" t="n"/>
      <c r="B1554" s="41" t="n"/>
      <c r="C1554" s="41" t="n"/>
      <c r="D1554" s="42" t="n"/>
      <c r="E1554" s="42" t="n"/>
      <c r="F1554" s="50" t="n"/>
      <c r="G1554" s="42" t="n"/>
      <c r="H1554" s="30">
        <f>IF(D1554="","",IFERROR(INDEX(Config!$B$12:$B$15,MATCH(IF(AND(D1554="Cartão de crédito",N(E1554)&gt;1),"Cartão de crédito parcelado",D1554),Config!$A$12:$A$15,0)),0)+IF(AND(Config!$B$17="Sim",LEFT(D1554,17)="Cartão de crédito"),Config!$B$18*IFERROR(INDEX(Config!$C$12:$C$15,MATCH(IF(AND(D1554="Cartão de crédito",N(E1554)&gt;1),"Cartão de crédito parcelado",D1554),Config!$A$12:$A$15,0)),0)/30*MAX(1,N(E1554)),0))</f>
        <v/>
      </c>
      <c r="I1554" s="29">
        <f>IF(OR(D1554="",F1554=""),"",ROUND(F1554*H1554,2))</f>
        <v/>
      </c>
      <c r="J1554" s="29">
        <f>IF(I1554="","",F1554-I1554)</f>
        <v/>
      </c>
      <c r="K1554" s="29">
        <f>IF(J1554="","",J1554/MAX(1,N(E1554)))</f>
        <v/>
      </c>
      <c r="L1554" s="37">
        <f>IF(OR(D1554="",A1554=""),"",A1554+IF(AND(Config!$B$17="Sim",LEFT(D1554,17)="Cartão de crédito"),1,IFERROR(INDEX(Config!$C$12:$C$15,MATCH(IF(AND(D1554="Cartão de crédito",N(E1554)&gt;1),"Cartão de crédito parcelado",D1554),Config!$A$12:$A$15,0)),0)))</f>
        <v/>
      </c>
      <c r="M1554" s="37">
        <f>IF(L1554="","",IF(AND(Config!$B$17="Sim",LEFT(D1554,17)="Cartão de crédito"),L1554,L1554+30*(MAX(1,N(E1554))-1)))</f>
        <v/>
      </c>
      <c r="N1554" s="29">
        <f>IF(OR(L1554="",K1554=""),"",K1554*MIN(MAX(1,N(E1554)),MAX(0,INT((Config!$B$8-L1554)/30)+1)))</f>
        <v/>
      </c>
      <c r="O1554" s="29">
        <f>IF(J1554="","",J1554-N(N1554))</f>
        <v/>
      </c>
      <c r="P1554" s="27">
        <f>IF(A1554="","",MONTH(A1554))</f>
        <v/>
      </c>
      <c r="Q1554" s="27">
        <f>IF(A1554="","",YEAR(A1554))</f>
        <v/>
      </c>
      <c r="R1554" s="27">
        <f>IF(L1554="","",IF(L1554&gt;Config!$B$8,"A cair",IF(N(G1554)&gt;=MIN(MAX(1,N(E1554)),MAX(0,INT((Config!$B$8-L1554)/30)+1)),IF(N(G1554)&gt;=MAX(1,N(E1554)),"Conferido","Conferido até aqui"),"A conferir")))</f>
        <v/>
      </c>
      <c r="S1554" s="51">
        <f>IF(R1554="A conferir",(Config!$B$8-L1554)*1000+N(F1554)/1000+ROW()/100000,0)</f>
        <v>0</v>
      </c>
      <c r="T1554" s="51">
        <f>IF(R1554="A conferir",N(N1554),0)</f>
        <v>0</v>
      </c>
      <c r="U1554" s="51">
        <f>IF(L1554="",0,L1554)</f>
        <v>0</v>
      </c>
      <c r="V1554" s="51">
        <f>IF(L1554="",0,MAX(1,N(E1554)))</f>
        <v>0</v>
      </c>
      <c r="W1554" s="51">
        <f>IF(K1554="",0,K1554)</f>
        <v>0</v>
      </c>
    </row>
    <row r="1555">
      <c r="A1555" s="49" t="n"/>
      <c r="B1555" s="41" t="n"/>
      <c r="C1555" s="41" t="n"/>
      <c r="D1555" s="42" t="n"/>
      <c r="E1555" s="42" t="n"/>
      <c r="F1555" s="50" t="n"/>
      <c r="G1555" s="42" t="n"/>
      <c r="H1555" s="30">
        <f>IF(D1555="","",IFERROR(INDEX(Config!$B$12:$B$15,MATCH(IF(AND(D1555="Cartão de crédito",N(E1555)&gt;1),"Cartão de crédito parcelado",D1555),Config!$A$12:$A$15,0)),0)+IF(AND(Config!$B$17="Sim",LEFT(D1555,17)="Cartão de crédito"),Config!$B$18*IFERROR(INDEX(Config!$C$12:$C$15,MATCH(IF(AND(D1555="Cartão de crédito",N(E1555)&gt;1),"Cartão de crédito parcelado",D1555),Config!$A$12:$A$15,0)),0)/30*MAX(1,N(E1555)),0))</f>
        <v/>
      </c>
      <c r="I1555" s="29">
        <f>IF(OR(D1555="",F1555=""),"",ROUND(F1555*H1555,2))</f>
        <v/>
      </c>
      <c r="J1555" s="29">
        <f>IF(I1555="","",F1555-I1555)</f>
        <v/>
      </c>
      <c r="K1555" s="29">
        <f>IF(J1555="","",J1555/MAX(1,N(E1555)))</f>
        <v/>
      </c>
      <c r="L1555" s="37">
        <f>IF(OR(D1555="",A1555=""),"",A1555+IF(AND(Config!$B$17="Sim",LEFT(D1555,17)="Cartão de crédito"),1,IFERROR(INDEX(Config!$C$12:$C$15,MATCH(IF(AND(D1555="Cartão de crédito",N(E1555)&gt;1),"Cartão de crédito parcelado",D1555),Config!$A$12:$A$15,0)),0)))</f>
        <v/>
      </c>
      <c r="M1555" s="37">
        <f>IF(L1555="","",IF(AND(Config!$B$17="Sim",LEFT(D1555,17)="Cartão de crédito"),L1555,L1555+30*(MAX(1,N(E1555))-1)))</f>
        <v/>
      </c>
      <c r="N1555" s="29">
        <f>IF(OR(L1555="",K1555=""),"",K1555*MIN(MAX(1,N(E1555)),MAX(0,INT((Config!$B$8-L1555)/30)+1)))</f>
        <v/>
      </c>
      <c r="O1555" s="29">
        <f>IF(J1555="","",J1555-N(N1555))</f>
        <v/>
      </c>
      <c r="P1555" s="27">
        <f>IF(A1555="","",MONTH(A1555))</f>
        <v/>
      </c>
      <c r="Q1555" s="27">
        <f>IF(A1555="","",YEAR(A1555))</f>
        <v/>
      </c>
      <c r="R1555" s="27">
        <f>IF(L1555="","",IF(L1555&gt;Config!$B$8,"A cair",IF(N(G1555)&gt;=MIN(MAX(1,N(E1555)),MAX(0,INT((Config!$B$8-L1555)/30)+1)),IF(N(G1555)&gt;=MAX(1,N(E1555)),"Conferido","Conferido até aqui"),"A conferir")))</f>
        <v/>
      </c>
      <c r="S1555" s="51">
        <f>IF(R1555="A conferir",(Config!$B$8-L1555)*1000+N(F1555)/1000+ROW()/100000,0)</f>
        <v>0</v>
      </c>
      <c r="T1555" s="51">
        <f>IF(R1555="A conferir",N(N1555),0)</f>
        <v>0</v>
      </c>
      <c r="U1555" s="51">
        <f>IF(L1555="",0,L1555)</f>
        <v>0</v>
      </c>
      <c r="V1555" s="51">
        <f>IF(L1555="",0,MAX(1,N(E1555)))</f>
        <v>0</v>
      </c>
      <c r="W1555" s="51">
        <f>IF(K1555="",0,K1555)</f>
        <v>0</v>
      </c>
    </row>
    <row r="1556">
      <c r="A1556" s="49" t="n"/>
      <c r="B1556" s="41" t="n"/>
      <c r="C1556" s="41" t="n"/>
      <c r="D1556" s="42" t="n"/>
      <c r="E1556" s="42" t="n"/>
      <c r="F1556" s="50" t="n"/>
      <c r="G1556" s="42" t="n"/>
      <c r="H1556" s="30">
        <f>IF(D1556="","",IFERROR(INDEX(Config!$B$12:$B$15,MATCH(IF(AND(D1556="Cartão de crédito",N(E1556)&gt;1),"Cartão de crédito parcelado",D1556),Config!$A$12:$A$15,0)),0)+IF(AND(Config!$B$17="Sim",LEFT(D1556,17)="Cartão de crédito"),Config!$B$18*IFERROR(INDEX(Config!$C$12:$C$15,MATCH(IF(AND(D1556="Cartão de crédito",N(E1556)&gt;1),"Cartão de crédito parcelado",D1556),Config!$A$12:$A$15,0)),0)/30*MAX(1,N(E1556)),0))</f>
        <v/>
      </c>
      <c r="I1556" s="29">
        <f>IF(OR(D1556="",F1556=""),"",ROUND(F1556*H1556,2))</f>
        <v/>
      </c>
      <c r="J1556" s="29">
        <f>IF(I1556="","",F1556-I1556)</f>
        <v/>
      </c>
      <c r="K1556" s="29">
        <f>IF(J1556="","",J1556/MAX(1,N(E1556)))</f>
        <v/>
      </c>
      <c r="L1556" s="37">
        <f>IF(OR(D1556="",A1556=""),"",A1556+IF(AND(Config!$B$17="Sim",LEFT(D1556,17)="Cartão de crédito"),1,IFERROR(INDEX(Config!$C$12:$C$15,MATCH(IF(AND(D1556="Cartão de crédito",N(E1556)&gt;1),"Cartão de crédito parcelado",D1556),Config!$A$12:$A$15,0)),0)))</f>
        <v/>
      </c>
      <c r="M1556" s="37">
        <f>IF(L1556="","",IF(AND(Config!$B$17="Sim",LEFT(D1556,17)="Cartão de crédito"),L1556,L1556+30*(MAX(1,N(E1556))-1)))</f>
        <v/>
      </c>
      <c r="N1556" s="29">
        <f>IF(OR(L1556="",K1556=""),"",K1556*MIN(MAX(1,N(E1556)),MAX(0,INT((Config!$B$8-L1556)/30)+1)))</f>
        <v/>
      </c>
      <c r="O1556" s="29">
        <f>IF(J1556="","",J1556-N(N1556))</f>
        <v/>
      </c>
      <c r="P1556" s="27">
        <f>IF(A1556="","",MONTH(A1556))</f>
        <v/>
      </c>
      <c r="Q1556" s="27">
        <f>IF(A1556="","",YEAR(A1556))</f>
        <v/>
      </c>
      <c r="R1556" s="27">
        <f>IF(L1556="","",IF(L1556&gt;Config!$B$8,"A cair",IF(N(G1556)&gt;=MIN(MAX(1,N(E1556)),MAX(0,INT((Config!$B$8-L1556)/30)+1)),IF(N(G1556)&gt;=MAX(1,N(E1556)),"Conferido","Conferido até aqui"),"A conferir")))</f>
        <v/>
      </c>
      <c r="S1556" s="51">
        <f>IF(R1556="A conferir",(Config!$B$8-L1556)*1000+N(F1556)/1000+ROW()/100000,0)</f>
        <v>0</v>
      </c>
      <c r="T1556" s="51">
        <f>IF(R1556="A conferir",N(N1556),0)</f>
        <v>0</v>
      </c>
      <c r="U1556" s="51">
        <f>IF(L1556="",0,L1556)</f>
        <v>0</v>
      </c>
      <c r="V1556" s="51">
        <f>IF(L1556="",0,MAX(1,N(E1556)))</f>
        <v>0</v>
      </c>
      <c r="W1556" s="51">
        <f>IF(K1556="",0,K1556)</f>
        <v>0</v>
      </c>
    </row>
    <row r="1557">
      <c r="A1557" s="49" t="n"/>
      <c r="B1557" s="41" t="n"/>
      <c r="C1557" s="41" t="n"/>
      <c r="D1557" s="42" t="n"/>
      <c r="E1557" s="42" t="n"/>
      <c r="F1557" s="50" t="n"/>
      <c r="G1557" s="42" t="n"/>
      <c r="H1557" s="30">
        <f>IF(D1557="","",IFERROR(INDEX(Config!$B$12:$B$15,MATCH(IF(AND(D1557="Cartão de crédito",N(E1557)&gt;1),"Cartão de crédito parcelado",D1557),Config!$A$12:$A$15,0)),0)+IF(AND(Config!$B$17="Sim",LEFT(D1557,17)="Cartão de crédito"),Config!$B$18*IFERROR(INDEX(Config!$C$12:$C$15,MATCH(IF(AND(D1557="Cartão de crédito",N(E1557)&gt;1),"Cartão de crédito parcelado",D1557),Config!$A$12:$A$15,0)),0)/30*MAX(1,N(E1557)),0))</f>
        <v/>
      </c>
      <c r="I1557" s="29">
        <f>IF(OR(D1557="",F1557=""),"",ROUND(F1557*H1557,2))</f>
        <v/>
      </c>
      <c r="J1557" s="29">
        <f>IF(I1557="","",F1557-I1557)</f>
        <v/>
      </c>
      <c r="K1557" s="29">
        <f>IF(J1557="","",J1557/MAX(1,N(E1557)))</f>
        <v/>
      </c>
      <c r="L1557" s="37">
        <f>IF(OR(D1557="",A1557=""),"",A1557+IF(AND(Config!$B$17="Sim",LEFT(D1557,17)="Cartão de crédito"),1,IFERROR(INDEX(Config!$C$12:$C$15,MATCH(IF(AND(D1557="Cartão de crédito",N(E1557)&gt;1),"Cartão de crédito parcelado",D1557),Config!$A$12:$A$15,0)),0)))</f>
        <v/>
      </c>
      <c r="M1557" s="37">
        <f>IF(L1557="","",IF(AND(Config!$B$17="Sim",LEFT(D1557,17)="Cartão de crédito"),L1557,L1557+30*(MAX(1,N(E1557))-1)))</f>
        <v/>
      </c>
      <c r="N1557" s="29">
        <f>IF(OR(L1557="",K1557=""),"",K1557*MIN(MAX(1,N(E1557)),MAX(0,INT((Config!$B$8-L1557)/30)+1)))</f>
        <v/>
      </c>
      <c r="O1557" s="29">
        <f>IF(J1557="","",J1557-N(N1557))</f>
        <v/>
      </c>
      <c r="P1557" s="27">
        <f>IF(A1557="","",MONTH(A1557))</f>
        <v/>
      </c>
      <c r="Q1557" s="27">
        <f>IF(A1557="","",YEAR(A1557))</f>
        <v/>
      </c>
      <c r="R1557" s="27">
        <f>IF(L1557="","",IF(L1557&gt;Config!$B$8,"A cair",IF(N(G1557)&gt;=MIN(MAX(1,N(E1557)),MAX(0,INT((Config!$B$8-L1557)/30)+1)),IF(N(G1557)&gt;=MAX(1,N(E1557)),"Conferido","Conferido até aqui"),"A conferir")))</f>
        <v/>
      </c>
      <c r="S1557" s="51">
        <f>IF(R1557="A conferir",(Config!$B$8-L1557)*1000+N(F1557)/1000+ROW()/100000,0)</f>
        <v>0</v>
      </c>
      <c r="T1557" s="51">
        <f>IF(R1557="A conferir",N(N1557),0)</f>
        <v>0</v>
      </c>
      <c r="U1557" s="51">
        <f>IF(L1557="",0,L1557)</f>
        <v>0</v>
      </c>
      <c r="V1557" s="51">
        <f>IF(L1557="",0,MAX(1,N(E1557)))</f>
        <v>0</v>
      </c>
      <c r="W1557" s="51">
        <f>IF(K1557="",0,K1557)</f>
        <v>0</v>
      </c>
    </row>
    <row r="1558">
      <c r="A1558" s="49" t="n"/>
      <c r="B1558" s="41" t="n"/>
      <c r="C1558" s="41" t="n"/>
      <c r="D1558" s="42" t="n"/>
      <c r="E1558" s="42" t="n"/>
      <c r="F1558" s="50" t="n"/>
      <c r="G1558" s="42" t="n"/>
      <c r="H1558" s="30">
        <f>IF(D1558="","",IFERROR(INDEX(Config!$B$12:$B$15,MATCH(IF(AND(D1558="Cartão de crédito",N(E1558)&gt;1),"Cartão de crédito parcelado",D1558),Config!$A$12:$A$15,0)),0)+IF(AND(Config!$B$17="Sim",LEFT(D1558,17)="Cartão de crédito"),Config!$B$18*IFERROR(INDEX(Config!$C$12:$C$15,MATCH(IF(AND(D1558="Cartão de crédito",N(E1558)&gt;1),"Cartão de crédito parcelado",D1558),Config!$A$12:$A$15,0)),0)/30*MAX(1,N(E1558)),0))</f>
        <v/>
      </c>
      <c r="I1558" s="29">
        <f>IF(OR(D1558="",F1558=""),"",ROUND(F1558*H1558,2))</f>
        <v/>
      </c>
      <c r="J1558" s="29">
        <f>IF(I1558="","",F1558-I1558)</f>
        <v/>
      </c>
      <c r="K1558" s="29">
        <f>IF(J1558="","",J1558/MAX(1,N(E1558)))</f>
        <v/>
      </c>
      <c r="L1558" s="37">
        <f>IF(OR(D1558="",A1558=""),"",A1558+IF(AND(Config!$B$17="Sim",LEFT(D1558,17)="Cartão de crédito"),1,IFERROR(INDEX(Config!$C$12:$C$15,MATCH(IF(AND(D1558="Cartão de crédito",N(E1558)&gt;1),"Cartão de crédito parcelado",D1558),Config!$A$12:$A$15,0)),0)))</f>
        <v/>
      </c>
      <c r="M1558" s="37">
        <f>IF(L1558="","",IF(AND(Config!$B$17="Sim",LEFT(D1558,17)="Cartão de crédito"),L1558,L1558+30*(MAX(1,N(E1558))-1)))</f>
        <v/>
      </c>
      <c r="N1558" s="29">
        <f>IF(OR(L1558="",K1558=""),"",K1558*MIN(MAX(1,N(E1558)),MAX(0,INT((Config!$B$8-L1558)/30)+1)))</f>
        <v/>
      </c>
      <c r="O1558" s="29">
        <f>IF(J1558="","",J1558-N(N1558))</f>
        <v/>
      </c>
      <c r="P1558" s="27">
        <f>IF(A1558="","",MONTH(A1558))</f>
        <v/>
      </c>
      <c r="Q1558" s="27">
        <f>IF(A1558="","",YEAR(A1558))</f>
        <v/>
      </c>
      <c r="R1558" s="27">
        <f>IF(L1558="","",IF(L1558&gt;Config!$B$8,"A cair",IF(N(G1558)&gt;=MIN(MAX(1,N(E1558)),MAX(0,INT((Config!$B$8-L1558)/30)+1)),IF(N(G1558)&gt;=MAX(1,N(E1558)),"Conferido","Conferido até aqui"),"A conferir")))</f>
        <v/>
      </c>
      <c r="S1558" s="51">
        <f>IF(R1558="A conferir",(Config!$B$8-L1558)*1000+N(F1558)/1000+ROW()/100000,0)</f>
        <v>0</v>
      </c>
      <c r="T1558" s="51">
        <f>IF(R1558="A conferir",N(N1558),0)</f>
        <v>0</v>
      </c>
      <c r="U1558" s="51">
        <f>IF(L1558="",0,L1558)</f>
        <v>0</v>
      </c>
      <c r="V1558" s="51">
        <f>IF(L1558="",0,MAX(1,N(E1558)))</f>
        <v>0</v>
      </c>
      <c r="W1558" s="51">
        <f>IF(K1558="",0,K1558)</f>
        <v>0</v>
      </c>
    </row>
    <row r="1559">
      <c r="A1559" s="49" t="n"/>
      <c r="B1559" s="41" t="n"/>
      <c r="C1559" s="41" t="n"/>
      <c r="D1559" s="42" t="n"/>
      <c r="E1559" s="42" t="n"/>
      <c r="F1559" s="50" t="n"/>
      <c r="G1559" s="42" t="n"/>
      <c r="H1559" s="30">
        <f>IF(D1559="","",IFERROR(INDEX(Config!$B$12:$B$15,MATCH(IF(AND(D1559="Cartão de crédito",N(E1559)&gt;1),"Cartão de crédito parcelado",D1559),Config!$A$12:$A$15,0)),0)+IF(AND(Config!$B$17="Sim",LEFT(D1559,17)="Cartão de crédito"),Config!$B$18*IFERROR(INDEX(Config!$C$12:$C$15,MATCH(IF(AND(D1559="Cartão de crédito",N(E1559)&gt;1),"Cartão de crédito parcelado",D1559),Config!$A$12:$A$15,0)),0)/30*MAX(1,N(E1559)),0))</f>
        <v/>
      </c>
      <c r="I1559" s="29">
        <f>IF(OR(D1559="",F1559=""),"",ROUND(F1559*H1559,2))</f>
        <v/>
      </c>
      <c r="J1559" s="29">
        <f>IF(I1559="","",F1559-I1559)</f>
        <v/>
      </c>
      <c r="K1559" s="29">
        <f>IF(J1559="","",J1559/MAX(1,N(E1559)))</f>
        <v/>
      </c>
      <c r="L1559" s="37">
        <f>IF(OR(D1559="",A1559=""),"",A1559+IF(AND(Config!$B$17="Sim",LEFT(D1559,17)="Cartão de crédito"),1,IFERROR(INDEX(Config!$C$12:$C$15,MATCH(IF(AND(D1559="Cartão de crédito",N(E1559)&gt;1),"Cartão de crédito parcelado",D1559),Config!$A$12:$A$15,0)),0)))</f>
        <v/>
      </c>
      <c r="M1559" s="37">
        <f>IF(L1559="","",IF(AND(Config!$B$17="Sim",LEFT(D1559,17)="Cartão de crédito"),L1559,L1559+30*(MAX(1,N(E1559))-1)))</f>
        <v/>
      </c>
      <c r="N1559" s="29">
        <f>IF(OR(L1559="",K1559=""),"",K1559*MIN(MAX(1,N(E1559)),MAX(0,INT((Config!$B$8-L1559)/30)+1)))</f>
        <v/>
      </c>
      <c r="O1559" s="29">
        <f>IF(J1559="","",J1559-N(N1559))</f>
        <v/>
      </c>
      <c r="P1559" s="27">
        <f>IF(A1559="","",MONTH(A1559))</f>
        <v/>
      </c>
      <c r="Q1559" s="27">
        <f>IF(A1559="","",YEAR(A1559))</f>
        <v/>
      </c>
      <c r="R1559" s="27">
        <f>IF(L1559="","",IF(L1559&gt;Config!$B$8,"A cair",IF(N(G1559)&gt;=MIN(MAX(1,N(E1559)),MAX(0,INT((Config!$B$8-L1559)/30)+1)),IF(N(G1559)&gt;=MAX(1,N(E1559)),"Conferido","Conferido até aqui"),"A conferir")))</f>
        <v/>
      </c>
      <c r="S1559" s="51">
        <f>IF(R1559="A conferir",(Config!$B$8-L1559)*1000+N(F1559)/1000+ROW()/100000,0)</f>
        <v>0</v>
      </c>
      <c r="T1559" s="51">
        <f>IF(R1559="A conferir",N(N1559),0)</f>
        <v>0</v>
      </c>
      <c r="U1559" s="51">
        <f>IF(L1559="",0,L1559)</f>
        <v>0</v>
      </c>
      <c r="V1559" s="51">
        <f>IF(L1559="",0,MAX(1,N(E1559)))</f>
        <v>0</v>
      </c>
      <c r="W1559" s="51">
        <f>IF(K1559="",0,K1559)</f>
        <v>0</v>
      </c>
    </row>
    <row r="1560">
      <c r="A1560" s="49" t="n"/>
      <c r="B1560" s="41" t="n"/>
      <c r="C1560" s="41" t="n"/>
      <c r="D1560" s="42" t="n"/>
      <c r="E1560" s="42" t="n"/>
      <c r="F1560" s="50" t="n"/>
      <c r="G1560" s="42" t="n"/>
      <c r="H1560" s="30">
        <f>IF(D1560="","",IFERROR(INDEX(Config!$B$12:$B$15,MATCH(IF(AND(D1560="Cartão de crédito",N(E1560)&gt;1),"Cartão de crédito parcelado",D1560),Config!$A$12:$A$15,0)),0)+IF(AND(Config!$B$17="Sim",LEFT(D1560,17)="Cartão de crédito"),Config!$B$18*IFERROR(INDEX(Config!$C$12:$C$15,MATCH(IF(AND(D1560="Cartão de crédito",N(E1560)&gt;1),"Cartão de crédito parcelado",D1560),Config!$A$12:$A$15,0)),0)/30*MAX(1,N(E1560)),0))</f>
        <v/>
      </c>
      <c r="I1560" s="29">
        <f>IF(OR(D1560="",F1560=""),"",ROUND(F1560*H1560,2))</f>
        <v/>
      </c>
      <c r="J1560" s="29">
        <f>IF(I1560="","",F1560-I1560)</f>
        <v/>
      </c>
      <c r="K1560" s="29">
        <f>IF(J1560="","",J1560/MAX(1,N(E1560)))</f>
        <v/>
      </c>
      <c r="L1560" s="37">
        <f>IF(OR(D1560="",A1560=""),"",A1560+IF(AND(Config!$B$17="Sim",LEFT(D1560,17)="Cartão de crédito"),1,IFERROR(INDEX(Config!$C$12:$C$15,MATCH(IF(AND(D1560="Cartão de crédito",N(E1560)&gt;1),"Cartão de crédito parcelado",D1560),Config!$A$12:$A$15,0)),0)))</f>
        <v/>
      </c>
      <c r="M1560" s="37">
        <f>IF(L1560="","",IF(AND(Config!$B$17="Sim",LEFT(D1560,17)="Cartão de crédito"),L1560,L1560+30*(MAX(1,N(E1560))-1)))</f>
        <v/>
      </c>
      <c r="N1560" s="29">
        <f>IF(OR(L1560="",K1560=""),"",K1560*MIN(MAX(1,N(E1560)),MAX(0,INT((Config!$B$8-L1560)/30)+1)))</f>
        <v/>
      </c>
      <c r="O1560" s="29">
        <f>IF(J1560="","",J1560-N(N1560))</f>
        <v/>
      </c>
      <c r="P1560" s="27">
        <f>IF(A1560="","",MONTH(A1560))</f>
        <v/>
      </c>
      <c r="Q1560" s="27">
        <f>IF(A1560="","",YEAR(A1560))</f>
        <v/>
      </c>
      <c r="R1560" s="27">
        <f>IF(L1560="","",IF(L1560&gt;Config!$B$8,"A cair",IF(N(G1560)&gt;=MIN(MAX(1,N(E1560)),MAX(0,INT((Config!$B$8-L1560)/30)+1)),IF(N(G1560)&gt;=MAX(1,N(E1560)),"Conferido","Conferido até aqui"),"A conferir")))</f>
        <v/>
      </c>
      <c r="S1560" s="51">
        <f>IF(R1560="A conferir",(Config!$B$8-L1560)*1000+N(F1560)/1000+ROW()/100000,0)</f>
        <v>0</v>
      </c>
      <c r="T1560" s="51">
        <f>IF(R1560="A conferir",N(N1560),0)</f>
        <v>0</v>
      </c>
      <c r="U1560" s="51">
        <f>IF(L1560="",0,L1560)</f>
        <v>0</v>
      </c>
      <c r="V1560" s="51">
        <f>IF(L1560="",0,MAX(1,N(E1560)))</f>
        <v>0</v>
      </c>
      <c r="W1560" s="51">
        <f>IF(K1560="",0,K1560)</f>
        <v>0</v>
      </c>
    </row>
    <row r="1561">
      <c r="A1561" s="49" t="n"/>
      <c r="B1561" s="41" t="n"/>
      <c r="C1561" s="41" t="n"/>
      <c r="D1561" s="42" t="n"/>
      <c r="E1561" s="42" t="n"/>
      <c r="F1561" s="50" t="n"/>
      <c r="G1561" s="42" t="n"/>
      <c r="H1561" s="30">
        <f>IF(D1561="","",IFERROR(INDEX(Config!$B$12:$B$15,MATCH(IF(AND(D1561="Cartão de crédito",N(E1561)&gt;1),"Cartão de crédito parcelado",D1561),Config!$A$12:$A$15,0)),0)+IF(AND(Config!$B$17="Sim",LEFT(D1561,17)="Cartão de crédito"),Config!$B$18*IFERROR(INDEX(Config!$C$12:$C$15,MATCH(IF(AND(D1561="Cartão de crédito",N(E1561)&gt;1),"Cartão de crédito parcelado",D1561),Config!$A$12:$A$15,0)),0)/30*MAX(1,N(E1561)),0))</f>
        <v/>
      </c>
      <c r="I1561" s="29">
        <f>IF(OR(D1561="",F1561=""),"",ROUND(F1561*H1561,2))</f>
        <v/>
      </c>
      <c r="J1561" s="29">
        <f>IF(I1561="","",F1561-I1561)</f>
        <v/>
      </c>
      <c r="K1561" s="29">
        <f>IF(J1561="","",J1561/MAX(1,N(E1561)))</f>
        <v/>
      </c>
      <c r="L1561" s="37">
        <f>IF(OR(D1561="",A1561=""),"",A1561+IF(AND(Config!$B$17="Sim",LEFT(D1561,17)="Cartão de crédito"),1,IFERROR(INDEX(Config!$C$12:$C$15,MATCH(IF(AND(D1561="Cartão de crédito",N(E1561)&gt;1),"Cartão de crédito parcelado",D1561),Config!$A$12:$A$15,0)),0)))</f>
        <v/>
      </c>
      <c r="M1561" s="37">
        <f>IF(L1561="","",IF(AND(Config!$B$17="Sim",LEFT(D1561,17)="Cartão de crédito"),L1561,L1561+30*(MAX(1,N(E1561))-1)))</f>
        <v/>
      </c>
      <c r="N1561" s="29">
        <f>IF(OR(L1561="",K1561=""),"",K1561*MIN(MAX(1,N(E1561)),MAX(0,INT((Config!$B$8-L1561)/30)+1)))</f>
        <v/>
      </c>
      <c r="O1561" s="29">
        <f>IF(J1561="","",J1561-N(N1561))</f>
        <v/>
      </c>
      <c r="P1561" s="27">
        <f>IF(A1561="","",MONTH(A1561))</f>
        <v/>
      </c>
      <c r="Q1561" s="27">
        <f>IF(A1561="","",YEAR(A1561))</f>
        <v/>
      </c>
      <c r="R1561" s="27">
        <f>IF(L1561="","",IF(L1561&gt;Config!$B$8,"A cair",IF(N(G1561)&gt;=MIN(MAX(1,N(E1561)),MAX(0,INT((Config!$B$8-L1561)/30)+1)),IF(N(G1561)&gt;=MAX(1,N(E1561)),"Conferido","Conferido até aqui"),"A conferir")))</f>
        <v/>
      </c>
      <c r="S1561" s="51">
        <f>IF(R1561="A conferir",(Config!$B$8-L1561)*1000+N(F1561)/1000+ROW()/100000,0)</f>
        <v>0</v>
      </c>
      <c r="T1561" s="51">
        <f>IF(R1561="A conferir",N(N1561),0)</f>
        <v>0</v>
      </c>
      <c r="U1561" s="51">
        <f>IF(L1561="",0,L1561)</f>
        <v>0</v>
      </c>
      <c r="V1561" s="51">
        <f>IF(L1561="",0,MAX(1,N(E1561)))</f>
        <v>0</v>
      </c>
      <c r="W1561" s="51">
        <f>IF(K1561="",0,K1561)</f>
        <v>0</v>
      </c>
    </row>
    <row r="1562">
      <c r="A1562" s="49" t="n"/>
      <c r="B1562" s="41" t="n"/>
      <c r="C1562" s="41" t="n"/>
      <c r="D1562" s="42" t="n"/>
      <c r="E1562" s="42" t="n"/>
      <c r="F1562" s="50" t="n"/>
      <c r="G1562" s="42" t="n"/>
      <c r="H1562" s="30">
        <f>IF(D1562="","",IFERROR(INDEX(Config!$B$12:$B$15,MATCH(IF(AND(D1562="Cartão de crédito",N(E1562)&gt;1),"Cartão de crédito parcelado",D1562),Config!$A$12:$A$15,0)),0)+IF(AND(Config!$B$17="Sim",LEFT(D1562,17)="Cartão de crédito"),Config!$B$18*IFERROR(INDEX(Config!$C$12:$C$15,MATCH(IF(AND(D1562="Cartão de crédito",N(E1562)&gt;1),"Cartão de crédito parcelado",D1562),Config!$A$12:$A$15,0)),0)/30*MAX(1,N(E1562)),0))</f>
        <v/>
      </c>
      <c r="I1562" s="29">
        <f>IF(OR(D1562="",F1562=""),"",ROUND(F1562*H1562,2))</f>
        <v/>
      </c>
      <c r="J1562" s="29">
        <f>IF(I1562="","",F1562-I1562)</f>
        <v/>
      </c>
      <c r="K1562" s="29">
        <f>IF(J1562="","",J1562/MAX(1,N(E1562)))</f>
        <v/>
      </c>
      <c r="L1562" s="37">
        <f>IF(OR(D1562="",A1562=""),"",A1562+IF(AND(Config!$B$17="Sim",LEFT(D1562,17)="Cartão de crédito"),1,IFERROR(INDEX(Config!$C$12:$C$15,MATCH(IF(AND(D1562="Cartão de crédito",N(E1562)&gt;1),"Cartão de crédito parcelado",D1562),Config!$A$12:$A$15,0)),0)))</f>
        <v/>
      </c>
      <c r="M1562" s="37">
        <f>IF(L1562="","",IF(AND(Config!$B$17="Sim",LEFT(D1562,17)="Cartão de crédito"),L1562,L1562+30*(MAX(1,N(E1562))-1)))</f>
        <v/>
      </c>
      <c r="N1562" s="29">
        <f>IF(OR(L1562="",K1562=""),"",K1562*MIN(MAX(1,N(E1562)),MAX(0,INT((Config!$B$8-L1562)/30)+1)))</f>
        <v/>
      </c>
      <c r="O1562" s="29">
        <f>IF(J1562="","",J1562-N(N1562))</f>
        <v/>
      </c>
      <c r="P1562" s="27">
        <f>IF(A1562="","",MONTH(A1562))</f>
        <v/>
      </c>
      <c r="Q1562" s="27">
        <f>IF(A1562="","",YEAR(A1562))</f>
        <v/>
      </c>
      <c r="R1562" s="27">
        <f>IF(L1562="","",IF(L1562&gt;Config!$B$8,"A cair",IF(N(G1562)&gt;=MIN(MAX(1,N(E1562)),MAX(0,INT((Config!$B$8-L1562)/30)+1)),IF(N(G1562)&gt;=MAX(1,N(E1562)),"Conferido","Conferido até aqui"),"A conferir")))</f>
        <v/>
      </c>
      <c r="S1562" s="51">
        <f>IF(R1562="A conferir",(Config!$B$8-L1562)*1000+N(F1562)/1000+ROW()/100000,0)</f>
        <v>0</v>
      </c>
      <c r="T1562" s="51">
        <f>IF(R1562="A conferir",N(N1562),0)</f>
        <v>0</v>
      </c>
      <c r="U1562" s="51">
        <f>IF(L1562="",0,L1562)</f>
        <v>0</v>
      </c>
      <c r="V1562" s="51">
        <f>IF(L1562="",0,MAX(1,N(E1562)))</f>
        <v>0</v>
      </c>
      <c r="W1562" s="51">
        <f>IF(K1562="",0,K1562)</f>
        <v>0</v>
      </c>
    </row>
    <row r="1563">
      <c r="A1563" s="49" t="n"/>
      <c r="B1563" s="41" t="n"/>
      <c r="C1563" s="41" t="n"/>
      <c r="D1563" s="42" t="n"/>
      <c r="E1563" s="42" t="n"/>
      <c r="F1563" s="50" t="n"/>
      <c r="G1563" s="42" t="n"/>
      <c r="H1563" s="30">
        <f>IF(D1563="","",IFERROR(INDEX(Config!$B$12:$B$15,MATCH(IF(AND(D1563="Cartão de crédito",N(E1563)&gt;1),"Cartão de crédito parcelado",D1563),Config!$A$12:$A$15,0)),0)+IF(AND(Config!$B$17="Sim",LEFT(D1563,17)="Cartão de crédito"),Config!$B$18*IFERROR(INDEX(Config!$C$12:$C$15,MATCH(IF(AND(D1563="Cartão de crédito",N(E1563)&gt;1),"Cartão de crédito parcelado",D1563),Config!$A$12:$A$15,0)),0)/30*MAX(1,N(E1563)),0))</f>
        <v/>
      </c>
      <c r="I1563" s="29">
        <f>IF(OR(D1563="",F1563=""),"",ROUND(F1563*H1563,2))</f>
        <v/>
      </c>
      <c r="J1563" s="29">
        <f>IF(I1563="","",F1563-I1563)</f>
        <v/>
      </c>
      <c r="K1563" s="29">
        <f>IF(J1563="","",J1563/MAX(1,N(E1563)))</f>
        <v/>
      </c>
      <c r="L1563" s="37">
        <f>IF(OR(D1563="",A1563=""),"",A1563+IF(AND(Config!$B$17="Sim",LEFT(D1563,17)="Cartão de crédito"),1,IFERROR(INDEX(Config!$C$12:$C$15,MATCH(IF(AND(D1563="Cartão de crédito",N(E1563)&gt;1),"Cartão de crédito parcelado",D1563),Config!$A$12:$A$15,0)),0)))</f>
        <v/>
      </c>
      <c r="M1563" s="37">
        <f>IF(L1563="","",IF(AND(Config!$B$17="Sim",LEFT(D1563,17)="Cartão de crédito"),L1563,L1563+30*(MAX(1,N(E1563))-1)))</f>
        <v/>
      </c>
      <c r="N1563" s="29">
        <f>IF(OR(L1563="",K1563=""),"",K1563*MIN(MAX(1,N(E1563)),MAX(0,INT((Config!$B$8-L1563)/30)+1)))</f>
        <v/>
      </c>
      <c r="O1563" s="29">
        <f>IF(J1563="","",J1563-N(N1563))</f>
        <v/>
      </c>
      <c r="P1563" s="27">
        <f>IF(A1563="","",MONTH(A1563))</f>
        <v/>
      </c>
      <c r="Q1563" s="27">
        <f>IF(A1563="","",YEAR(A1563))</f>
        <v/>
      </c>
      <c r="R1563" s="27">
        <f>IF(L1563="","",IF(L1563&gt;Config!$B$8,"A cair",IF(N(G1563)&gt;=MIN(MAX(1,N(E1563)),MAX(0,INT((Config!$B$8-L1563)/30)+1)),IF(N(G1563)&gt;=MAX(1,N(E1563)),"Conferido","Conferido até aqui"),"A conferir")))</f>
        <v/>
      </c>
      <c r="S1563" s="51">
        <f>IF(R1563="A conferir",(Config!$B$8-L1563)*1000+N(F1563)/1000+ROW()/100000,0)</f>
        <v>0</v>
      </c>
      <c r="T1563" s="51">
        <f>IF(R1563="A conferir",N(N1563),0)</f>
        <v>0</v>
      </c>
      <c r="U1563" s="51">
        <f>IF(L1563="",0,L1563)</f>
        <v>0</v>
      </c>
      <c r="V1563" s="51">
        <f>IF(L1563="",0,MAX(1,N(E1563)))</f>
        <v>0</v>
      </c>
      <c r="W1563" s="51">
        <f>IF(K1563="",0,K1563)</f>
        <v>0</v>
      </c>
    </row>
    <row r="1564">
      <c r="A1564" s="49" t="n"/>
      <c r="B1564" s="41" t="n"/>
      <c r="C1564" s="41" t="n"/>
      <c r="D1564" s="42" t="n"/>
      <c r="E1564" s="42" t="n"/>
      <c r="F1564" s="50" t="n"/>
      <c r="G1564" s="42" t="n"/>
      <c r="H1564" s="30">
        <f>IF(D1564="","",IFERROR(INDEX(Config!$B$12:$B$15,MATCH(IF(AND(D1564="Cartão de crédito",N(E1564)&gt;1),"Cartão de crédito parcelado",D1564),Config!$A$12:$A$15,0)),0)+IF(AND(Config!$B$17="Sim",LEFT(D1564,17)="Cartão de crédito"),Config!$B$18*IFERROR(INDEX(Config!$C$12:$C$15,MATCH(IF(AND(D1564="Cartão de crédito",N(E1564)&gt;1),"Cartão de crédito parcelado",D1564),Config!$A$12:$A$15,0)),0)/30*MAX(1,N(E1564)),0))</f>
        <v/>
      </c>
      <c r="I1564" s="29">
        <f>IF(OR(D1564="",F1564=""),"",ROUND(F1564*H1564,2))</f>
        <v/>
      </c>
      <c r="J1564" s="29">
        <f>IF(I1564="","",F1564-I1564)</f>
        <v/>
      </c>
      <c r="K1564" s="29">
        <f>IF(J1564="","",J1564/MAX(1,N(E1564)))</f>
        <v/>
      </c>
      <c r="L1564" s="37">
        <f>IF(OR(D1564="",A1564=""),"",A1564+IF(AND(Config!$B$17="Sim",LEFT(D1564,17)="Cartão de crédito"),1,IFERROR(INDEX(Config!$C$12:$C$15,MATCH(IF(AND(D1564="Cartão de crédito",N(E1564)&gt;1),"Cartão de crédito parcelado",D1564),Config!$A$12:$A$15,0)),0)))</f>
        <v/>
      </c>
      <c r="M1564" s="37">
        <f>IF(L1564="","",IF(AND(Config!$B$17="Sim",LEFT(D1564,17)="Cartão de crédito"),L1564,L1564+30*(MAX(1,N(E1564))-1)))</f>
        <v/>
      </c>
      <c r="N1564" s="29">
        <f>IF(OR(L1564="",K1564=""),"",K1564*MIN(MAX(1,N(E1564)),MAX(0,INT((Config!$B$8-L1564)/30)+1)))</f>
        <v/>
      </c>
      <c r="O1564" s="29">
        <f>IF(J1564="","",J1564-N(N1564))</f>
        <v/>
      </c>
      <c r="P1564" s="27">
        <f>IF(A1564="","",MONTH(A1564))</f>
        <v/>
      </c>
      <c r="Q1564" s="27">
        <f>IF(A1564="","",YEAR(A1564))</f>
        <v/>
      </c>
      <c r="R1564" s="27">
        <f>IF(L1564="","",IF(L1564&gt;Config!$B$8,"A cair",IF(N(G1564)&gt;=MIN(MAX(1,N(E1564)),MAX(0,INT((Config!$B$8-L1564)/30)+1)),IF(N(G1564)&gt;=MAX(1,N(E1564)),"Conferido","Conferido até aqui"),"A conferir")))</f>
        <v/>
      </c>
      <c r="S1564" s="51">
        <f>IF(R1564="A conferir",(Config!$B$8-L1564)*1000+N(F1564)/1000+ROW()/100000,0)</f>
        <v>0</v>
      </c>
      <c r="T1564" s="51">
        <f>IF(R1564="A conferir",N(N1564),0)</f>
        <v>0</v>
      </c>
      <c r="U1564" s="51">
        <f>IF(L1564="",0,L1564)</f>
        <v>0</v>
      </c>
      <c r="V1564" s="51">
        <f>IF(L1564="",0,MAX(1,N(E1564)))</f>
        <v>0</v>
      </c>
      <c r="W1564" s="51">
        <f>IF(K1564="",0,K1564)</f>
        <v>0</v>
      </c>
    </row>
    <row r="1565">
      <c r="A1565" s="49" t="n"/>
      <c r="B1565" s="41" t="n"/>
      <c r="C1565" s="41" t="n"/>
      <c r="D1565" s="42" t="n"/>
      <c r="E1565" s="42" t="n"/>
      <c r="F1565" s="50" t="n"/>
      <c r="G1565" s="42" t="n"/>
      <c r="H1565" s="30">
        <f>IF(D1565="","",IFERROR(INDEX(Config!$B$12:$B$15,MATCH(IF(AND(D1565="Cartão de crédito",N(E1565)&gt;1),"Cartão de crédito parcelado",D1565),Config!$A$12:$A$15,0)),0)+IF(AND(Config!$B$17="Sim",LEFT(D1565,17)="Cartão de crédito"),Config!$B$18*IFERROR(INDEX(Config!$C$12:$C$15,MATCH(IF(AND(D1565="Cartão de crédito",N(E1565)&gt;1),"Cartão de crédito parcelado",D1565),Config!$A$12:$A$15,0)),0)/30*MAX(1,N(E1565)),0))</f>
        <v/>
      </c>
      <c r="I1565" s="29">
        <f>IF(OR(D1565="",F1565=""),"",ROUND(F1565*H1565,2))</f>
        <v/>
      </c>
      <c r="J1565" s="29">
        <f>IF(I1565="","",F1565-I1565)</f>
        <v/>
      </c>
      <c r="K1565" s="29">
        <f>IF(J1565="","",J1565/MAX(1,N(E1565)))</f>
        <v/>
      </c>
      <c r="L1565" s="37">
        <f>IF(OR(D1565="",A1565=""),"",A1565+IF(AND(Config!$B$17="Sim",LEFT(D1565,17)="Cartão de crédito"),1,IFERROR(INDEX(Config!$C$12:$C$15,MATCH(IF(AND(D1565="Cartão de crédito",N(E1565)&gt;1),"Cartão de crédito parcelado",D1565),Config!$A$12:$A$15,0)),0)))</f>
        <v/>
      </c>
      <c r="M1565" s="37">
        <f>IF(L1565="","",IF(AND(Config!$B$17="Sim",LEFT(D1565,17)="Cartão de crédito"),L1565,L1565+30*(MAX(1,N(E1565))-1)))</f>
        <v/>
      </c>
      <c r="N1565" s="29">
        <f>IF(OR(L1565="",K1565=""),"",K1565*MIN(MAX(1,N(E1565)),MAX(0,INT((Config!$B$8-L1565)/30)+1)))</f>
        <v/>
      </c>
      <c r="O1565" s="29">
        <f>IF(J1565="","",J1565-N(N1565))</f>
        <v/>
      </c>
      <c r="P1565" s="27">
        <f>IF(A1565="","",MONTH(A1565))</f>
        <v/>
      </c>
      <c r="Q1565" s="27">
        <f>IF(A1565="","",YEAR(A1565))</f>
        <v/>
      </c>
      <c r="R1565" s="27">
        <f>IF(L1565="","",IF(L1565&gt;Config!$B$8,"A cair",IF(N(G1565)&gt;=MIN(MAX(1,N(E1565)),MAX(0,INT((Config!$B$8-L1565)/30)+1)),IF(N(G1565)&gt;=MAX(1,N(E1565)),"Conferido","Conferido até aqui"),"A conferir")))</f>
        <v/>
      </c>
      <c r="S1565" s="51">
        <f>IF(R1565="A conferir",(Config!$B$8-L1565)*1000+N(F1565)/1000+ROW()/100000,0)</f>
        <v>0</v>
      </c>
      <c r="T1565" s="51">
        <f>IF(R1565="A conferir",N(N1565),0)</f>
        <v>0</v>
      </c>
      <c r="U1565" s="51">
        <f>IF(L1565="",0,L1565)</f>
        <v>0</v>
      </c>
      <c r="V1565" s="51">
        <f>IF(L1565="",0,MAX(1,N(E1565)))</f>
        <v>0</v>
      </c>
      <c r="W1565" s="51">
        <f>IF(K1565="",0,K1565)</f>
        <v>0</v>
      </c>
    </row>
    <row r="1566">
      <c r="A1566" s="49" t="n"/>
      <c r="B1566" s="41" t="n"/>
      <c r="C1566" s="41" t="n"/>
      <c r="D1566" s="42" t="n"/>
      <c r="E1566" s="42" t="n"/>
      <c r="F1566" s="50" t="n"/>
      <c r="G1566" s="42" t="n"/>
      <c r="H1566" s="30">
        <f>IF(D1566="","",IFERROR(INDEX(Config!$B$12:$B$15,MATCH(IF(AND(D1566="Cartão de crédito",N(E1566)&gt;1),"Cartão de crédito parcelado",D1566),Config!$A$12:$A$15,0)),0)+IF(AND(Config!$B$17="Sim",LEFT(D1566,17)="Cartão de crédito"),Config!$B$18*IFERROR(INDEX(Config!$C$12:$C$15,MATCH(IF(AND(D1566="Cartão de crédito",N(E1566)&gt;1),"Cartão de crédito parcelado",D1566),Config!$A$12:$A$15,0)),0)/30*MAX(1,N(E1566)),0))</f>
        <v/>
      </c>
      <c r="I1566" s="29">
        <f>IF(OR(D1566="",F1566=""),"",ROUND(F1566*H1566,2))</f>
        <v/>
      </c>
      <c r="J1566" s="29">
        <f>IF(I1566="","",F1566-I1566)</f>
        <v/>
      </c>
      <c r="K1566" s="29">
        <f>IF(J1566="","",J1566/MAX(1,N(E1566)))</f>
        <v/>
      </c>
      <c r="L1566" s="37">
        <f>IF(OR(D1566="",A1566=""),"",A1566+IF(AND(Config!$B$17="Sim",LEFT(D1566,17)="Cartão de crédito"),1,IFERROR(INDEX(Config!$C$12:$C$15,MATCH(IF(AND(D1566="Cartão de crédito",N(E1566)&gt;1),"Cartão de crédito parcelado",D1566),Config!$A$12:$A$15,0)),0)))</f>
        <v/>
      </c>
      <c r="M1566" s="37">
        <f>IF(L1566="","",IF(AND(Config!$B$17="Sim",LEFT(D1566,17)="Cartão de crédito"),L1566,L1566+30*(MAX(1,N(E1566))-1)))</f>
        <v/>
      </c>
      <c r="N1566" s="29">
        <f>IF(OR(L1566="",K1566=""),"",K1566*MIN(MAX(1,N(E1566)),MAX(0,INT((Config!$B$8-L1566)/30)+1)))</f>
        <v/>
      </c>
      <c r="O1566" s="29">
        <f>IF(J1566="","",J1566-N(N1566))</f>
        <v/>
      </c>
      <c r="P1566" s="27">
        <f>IF(A1566="","",MONTH(A1566))</f>
        <v/>
      </c>
      <c r="Q1566" s="27">
        <f>IF(A1566="","",YEAR(A1566))</f>
        <v/>
      </c>
      <c r="R1566" s="27">
        <f>IF(L1566="","",IF(L1566&gt;Config!$B$8,"A cair",IF(N(G1566)&gt;=MIN(MAX(1,N(E1566)),MAX(0,INT((Config!$B$8-L1566)/30)+1)),IF(N(G1566)&gt;=MAX(1,N(E1566)),"Conferido","Conferido até aqui"),"A conferir")))</f>
        <v/>
      </c>
      <c r="S1566" s="51">
        <f>IF(R1566="A conferir",(Config!$B$8-L1566)*1000+N(F1566)/1000+ROW()/100000,0)</f>
        <v>0</v>
      </c>
      <c r="T1566" s="51">
        <f>IF(R1566="A conferir",N(N1566),0)</f>
        <v>0</v>
      </c>
      <c r="U1566" s="51">
        <f>IF(L1566="",0,L1566)</f>
        <v>0</v>
      </c>
      <c r="V1566" s="51">
        <f>IF(L1566="",0,MAX(1,N(E1566)))</f>
        <v>0</v>
      </c>
      <c r="W1566" s="51">
        <f>IF(K1566="",0,K1566)</f>
        <v>0</v>
      </c>
    </row>
    <row r="1567">
      <c r="A1567" s="49" t="n"/>
      <c r="B1567" s="41" t="n"/>
      <c r="C1567" s="41" t="n"/>
      <c r="D1567" s="42" t="n"/>
      <c r="E1567" s="42" t="n"/>
      <c r="F1567" s="50" t="n"/>
      <c r="G1567" s="42" t="n"/>
      <c r="H1567" s="30">
        <f>IF(D1567="","",IFERROR(INDEX(Config!$B$12:$B$15,MATCH(IF(AND(D1567="Cartão de crédito",N(E1567)&gt;1),"Cartão de crédito parcelado",D1567),Config!$A$12:$A$15,0)),0)+IF(AND(Config!$B$17="Sim",LEFT(D1567,17)="Cartão de crédito"),Config!$B$18*IFERROR(INDEX(Config!$C$12:$C$15,MATCH(IF(AND(D1567="Cartão de crédito",N(E1567)&gt;1),"Cartão de crédito parcelado",D1567),Config!$A$12:$A$15,0)),0)/30*MAX(1,N(E1567)),0))</f>
        <v/>
      </c>
      <c r="I1567" s="29">
        <f>IF(OR(D1567="",F1567=""),"",ROUND(F1567*H1567,2))</f>
        <v/>
      </c>
      <c r="J1567" s="29">
        <f>IF(I1567="","",F1567-I1567)</f>
        <v/>
      </c>
      <c r="K1567" s="29">
        <f>IF(J1567="","",J1567/MAX(1,N(E1567)))</f>
        <v/>
      </c>
      <c r="L1567" s="37">
        <f>IF(OR(D1567="",A1567=""),"",A1567+IF(AND(Config!$B$17="Sim",LEFT(D1567,17)="Cartão de crédito"),1,IFERROR(INDEX(Config!$C$12:$C$15,MATCH(IF(AND(D1567="Cartão de crédito",N(E1567)&gt;1),"Cartão de crédito parcelado",D1567),Config!$A$12:$A$15,0)),0)))</f>
        <v/>
      </c>
      <c r="M1567" s="37">
        <f>IF(L1567="","",IF(AND(Config!$B$17="Sim",LEFT(D1567,17)="Cartão de crédito"),L1567,L1567+30*(MAX(1,N(E1567))-1)))</f>
        <v/>
      </c>
      <c r="N1567" s="29">
        <f>IF(OR(L1567="",K1567=""),"",K1567*MIN(MAX(1,N(E1567)),MAX(0,INT((Config!$B$8-L1567)/30)+1)))</f>
        <v/>
      </c>
      <c r="O1567" s="29">
        <f>IF(J1567="","",J1567-N(N1567))</f>
        <v/>
      </c>
      <c r="P1567" s="27">
        <f>IF(A1567="","",MONTH(A1567))</f>
        <v/>
      </c>
      <c r="Q1567" s="27">
        <f>IF(A1567="","",YEAR(A1567))</f>
        <v/>
      </c>
      <c r="R1567" s="27">
        <f>IF(L1567="","",IF(L1567&gt;Config!$B$8,"A cair",IF(N(G1567)&gt;=MIN(MAX(1,N(E1567)),MAX(0,INT((Config!$B$8-L1567)/30)+1)),IF(N(G1567)&gt;=MAX(1,N(E1567)),"Conferido","Conferido até aqui"),"A conferir")))</f>
        <v/>
      </c>
      <c r="S1567" s="51">
        <f>IF(R1567="A conferir",(Config!$B$8-L1567)*1000+N(F1567)/1000+ROW()/100000,0)</f>
        <v>0</v>
      </c>
      <c r="T1567" s="51">
        <f>IF(R1567="A conferir",N(N1567),0)</f>
        <v>0</v>
      </c>
      <c r="U1567" s="51">
        <f>IF(L1567="",0,L1567)</f>
        <v>0</v>
      </c>
      <c r="V1567" s="51">
        <f>IF(L1567="",0,MAX(1,N(E1567)))</f>
        <v>0</v>
      </c>
      <c r="W1567" s="51">
        <f>IF(K1567="",0,K1567)</f>
        <v>0</v>
      </c>
    </row>
    <row r="1568">
      <c r="A1568" s="49" t="n"/>
      <c r="B1568" s="41" t="n"/>
      <c r="C1568" s="41" t="n"/>
      <c r="D1568" s="42" t="n"/>
      <c r="E1568" s="42" t="n"/>
      <c r="F1568" s="50" t="n"/>
      <c r="G1568" s="42" t="n"/>
      <c r="H1568" s="30">
        <f>IF(D1568="","",IFERROR(INDEX(Config!$B$12:$B$15,MATCH(IF(AND(D1568="Cartão de crédito",N(E1568)&gt;1),"Cartão de crédito parcelado",D1568),Config!$A$12:$A$15,0)),0)+IF(AND(Config!$B$17="Sim",LEFT(D1568,17)="Cartão de crédito"),Config!$B$18*IFERROR(INDEX(Config!$C$12:$C$15,MATCH(IF(AND(D1568="Cartão de crédito",N(E1568)&gt;1),"Cartão de crédito parcelado",D1568),Config!$A$12:$A$15,0)),0)/30*MAX(1,N(E1568)),0))</f>
        <v/>
      </c>
      <c r="I1568" s="29">
        <f>IF(OR(D1568="",F1568=""),"",ROUND(F1568*H1568,2))</f>
        <v/>
      </c>
      <c r="J1568" s="29">
        <f>IF(I1568="","",F1568-I1568)</f>
        <v/>
      </c>
      <c r="K1568" s="29">
        <f>IF(J1568="","",J1568/MAX(1,N(E1568)))</f>
        <v/>
      </c>
      <c r="L1568" s="37">
        <f>IF(OR(D1568="",A1568=""),"",A1568+IF(AND(Config!$B$17="Sim",LEFT(D1568,17)="Cartão de crédito"),1,IFERROR(INDEX(Config!$C$12:$C$15,MATCH(IF(AND(D1568="Cartão de crédito",N(E1568)&gt;1),"Cartão de crédito parcelado",D1568),Config!$A$12:$A$15,0)),0)))</f>
        <v/>
      </c>
      <c r="M1568" s="37">
        <f>IF(L1568="","",IF(AND(Config!$B$17="Sim",LEFT(D1568,17)="Cartão de crédito"),L1568,L1568+30*(MAX(1,N(E1568))-1)))</f>
        <v/>
      </c>
      <c r="N1568" s="29">
        <f>IF(OR(L1568="",K1568=""),"",K1568*MIN(MAX(1,N(E1568)),MAX(0,INT((Config!$B$8-L1568)/30)+1)))</f>
        <v/>
      </c>
      <c r="O1568" s="29">
        <f>IF(J1568="","",J1568-N(N1568))</f>
        <v/>
      </c>
      <c r="P1568" s="27">
        <f>IF(A1568="","",MONTH(A1568))</f>
        <v/>
      </c>
      <c r="Q1568" s="27">
        <f>IF(A1568="","",YEAR(A1568))</f>
        <v/>
      </c>
      <c r="R1568" s="27">
        <f>IF(L1568="","",IF(L1568&gt;Config!$B$8,"A cair",IF(N(G1568)&gt;=MIN(MAX(1,N(E1568)),MAX(0,INT((Config!$B$8-L1568)/30)+1)),IF(N(G1568)&gt;=MAX(1,N(E1568)),"Conferido","Conferido até aqui"),"A conferir")))</f>
        <v/>
      </c>
      <c r="S1568" s="51">
        <f>IF(R1568="A conferir",(Config!$B$8-L1568)*1000+N(F1568)/1000+ROW()/100000,0)</f>
        <v>0</v>
      </c>
      <c r="T1568" s="51">
        <f>IF(R1568="A conferir",N(N1568),0)</f>
        <v>0</v>
      </c>
      <c r="U1568" s="51">
        <f>IF(L1568="",0,L1568)</f>
        <v>0</v>
      </c>
      <c r="V1568" s="51">
        <f>IF(L1568="",0,MAX(1,N(E1568)))</f>
        <v>0</v>
      </c>
      <c r="W1568" s="51">
        <f>IF(K1568="",0,K1568)</f>
        <v>0</v>
      </c>
    </row>
    <row r="1569">
      <c r="A1569" s="49" t="n"/>
      <c r="B1569" s="41" t="n"/>
      <c r="C1569" s="41" t="n"/>
      <c r="D1569" s="42" t="n"/>
      <c r="E1569" s="42" t="n"/>
      <c r="F1569" s="50" t="n"/>
      <c r="G1569" s="42" t="n"/>
      <c r="H1569" s="30">
        <f>IF(D1569="","",IFERROR(INDEX(Config!$B$12:$B$15,MATCH(IF(AND(D1569="Cartão de crédito",N(E1569)&gt;1),"Cartão de crédito parcelado",D1569),Config!$A$12:$A$15,0)),0)+IF(AND(Config!$B$17="Sim",LEFT(D1569,17)="Cartão de crédito"),Config!$B$18*IFERROR(INDEX(Config!$C$12:$C$15,MATCH(IF(AND(D1569="Cartão de crédito",N(E1569)&gt;1),"Cartão de crédito parcelado",D1569),Config!$A$12:$A$15,0)),0)/30*MAX(1,N(E1569)),0))</f>
        <v/>
      </c>
      <c r="I1569" s="29">
        <f>IF(OR(D1569="",F1569=""),"",ROUND(F1569*H1569,2))</f>
        <v/>
      </c>
      <c r="J1569" s="29">
        <f>IF(I1569="","",F1569-I1569)</f>
        <v/>
      </c>
      <c r="K1569" s="29">
        <f>IF(J1569="","",J1569/MAX(1,N(E1569)))</f>
        <v/>
      </c>
      <c r="L1569" s="37">
        <f>IF(OR(D1569="",A1569=""),"",A1569+IF(AND(Config!$B$17="Sim",LEFT(D1569,17)="Cartão de crédito"),1,IFERROR(INDEX(Config!$C$12:$C$15,MATCH(IF(AND(D1569="Cartão de crédito",N(E1569)&gt;1),"Cartão de crédito parcelado",D1569),Config!$A$12:$A$15,0)),0)))</f>
        <v/>
      </c>
      <c r="M1569" s="37">
        <f>IF(L1569="","",IF(AND(Config!$B$17="Sim",LEFT(D1569,17)="Cartão de crédito"),L1569,L1569+30*(MAX(1,N(E1569))-1)))</f>
        <v/>
      </c>
      <c r="N1569" s="29">
        <f>IF(OR(L1569="",K1569=""),"",K1569*MIN(MAX(1,N(E1569)),MAX(0,INT((Config!$B$8-L1569)/30)+1)))</f>
        <v/>
      </c>
      <c r="O1569" s="29">
        <f>IF(J1569="","",J1569-N(N1569))</f>
        <v/>
      </c>
      <c r="P1569" s="27">
        <f>IF(A1569="","",MONTH(A1569))</f>
        <v/>
      </c>
      <c r="Q1569" s="27">
        <f>IF(A1569="","",YEAR(A1569))</f>
        <v/>
      </c>
      <c r="R1569" s="27">
        <f>IF(L1569="","",IF(L1569&gt;Config!$B$8,"A cair",IF(N(G1569)&gt;=MIN(MAX(1,N(E1569)),MAX(0,INT((Config!$B$8-L1569)/30)+1)),IF(N(G1569)&gt;=MAX(1,N(E1569)),"Conferido","Conferido até aqui"),"A conferir")))</f>
        <v/>
      </c>
      <c r="S1569" s="51">
        <f>IF(R1569="A conferir",(Config!$B$8-L1569)*1000+N(F1569)/1000+ROW()/100000,0)</f>
        <v>0</v>
      </c>
      <c r="T1569" s="51">
        <f>IF(R1569="A conferir",N(N1569),0)</f>
        <v>0</v>
      </c>
      <c r="U1569" s="51">
        <f>IF(L1569="",0,L1569)</f>
        <v>0</v>
      </c>
      <c r="V1569" s="51">
        <f>IF(L1569="",0,MAX(1,N(E1569)))</f>
        <v>0</v>
      </c>
      <c r="W1569" s="51">
        <f>IF(K1569="",0,K1569)</f>
        <v>0</v>
      </c>
    </row>
    <row r="1570">
      <c r="A1570" s="49" t="n"/>
      <c r="B1570" s="41" t="n"/>
      <c r="C1570" s="41" t="n"/>
      <c r="D1570" s="42" t="n"/>
      <c r="E1570" s="42" t="n"/>
      <c r="F1570" s="50" t="n"/>
      <c r="G1570" s="42" t="n"/>
      <c r="H1570" s="30">
        <f>IF(D1570="","",IFERROR(INDEX(Config!$B$12:$B$15,MATCH(IF(AND(D1570="Cartão de crédito",N(E1570)&gt;1),"Cartão de crédito parcelado",D1570),Config!$A$12:$A$15,0)),0)+IF(AND(Config!$B$17="Sim",LEFT(D1570,17)="Cartão de crédito"),Config!$B$18*IFERROR(INDEX(Config!$C$12:$C$15,MATCH(IF(AND(D1570="Cartão de crédito",N(E1570)&gt;1),"Cartão de crédito parcelado",D1570),Config!$A$12:$A$15,0)),0)/30*MAX(1,N(E1570)),0))</f>
        <v/>
      </c>
      <c r="I1570" s="29">
        <f>IF(OR(D1570="",F1570=""),"",ROUND(F1570*H1570,2))</f>
        <v/>
      </c>
      <c r="J1570" s="29">
        <f>IF(I1570="","",F1570-I1570)</f>
        <v/>
      </c>
      <c r="K1570" s="29">
        <f>IF(J1570="","",J1570/MAX(1,N(E1570)))</f>
        <v/>
      </c>
      <c r="L1570" s="37">
        <f>IF(OR(D1570="",A1570=""),"",A1570+IF(AND(Config!$B$17="Sim",LEFT(D1570,17)="Cartão de crédito"),1,IFERROR(INDEX(Config!$C$12:$C$15,MATCH(IF(AND(D1570="Cartão de crédito",N(E1570)&gt;1),"Cartão de crédito parcelado",D1570),Config!$A$12:$A$15,0)),0)))</f>
        <v/>
      </c>
      <c r="M1570" s="37">
        <f>IF(L1570="","",IF(AND(Config!$B$17="Sim",LEFT(D1570,17)="Cartão de crédito"),L1570,L1570+30*(MAX(1,N(E1570))-1)))</f>
        <v/>
      </c>
      <c r="N1570" s="29">
        <f>IF(OR(L1570="",K1570=""),"",K1570*MIN(MAX(1,N(E1570)),MAX(0,INT((Config!$B$8-L1570)/30)+1)))</f>
        <v/>
      </c>
      <c r="O1570" s="29">
        <f>IF(J1570="","",J1570-N(N1570))</f>
        <v/>
      </c>
      <c r="P1570" s="27">
        <f>IF(A1570="","",MONTH(A1570))</f>
        <v/>
      </c>
      <c r="Q1570" s="27">
        <f>IF(A1570="","",YEAR(A1570))</f>
        <v/>
      </c>
      <c r="R1570" s="27">
        <f>IF(L1570="","",IF(L1570&gt;Config!$B$8,"A cair",IF(N(G1570)&gt;=MIN(MAX(1,N(E1570)),MAX(0,INT((Config!$B$8-L1570)/30)+1)),IF(N(G1570)&gt;=MAX(1,N(E1570)),"Conferido","Conferido até aqui"),"A conferir")))</f>
        <v/>
      </c>
      <c r="S1570" s="51">
        <f>IF(R1570="A conferir",(Config!$B$8-L1570)*1000+N(F1570)/1000+ROW()/100000,0)</f>
        <v>0</v>
      </c>
      <c r="T1570" s="51">
        <f>IF(R1570="A conferir",N(N1570),0)</f>
        <v>0</v>
      </c>
      <c r="U1570" s="51">
        <f>IF(L1570="",0,L1570)</f>
        <v>0</v>
      </c>
      <c r="V1570" s="51">
        <f>IF(L1570="",0,MAX(1,N(E1570)))</f>
        <v>0</v>
      </c>
      <c r="W1570" s="51">
        <f>IF(K1570="",0,K1570)</f>
        <v>0</v>
      </c>
    </row>
    <row r="1571">
      <c r="A1571" s="49" t="n"/>
      <c r="B1571" s="41" t="n"/>
      <c r="C1571" s="41" t="n"/>
      <c r="D1571" s="42" t="n"/>
      <c r="E1571" s="42" t="n"/>
      <c r="F1571" s="50" t="n"/>
      <c r="G1571" s="42" t="n"/>
      <c r="H1571" s="30">
        <f>IF(D1571="","",IFERROR(INDEX(Config!$B$12:$B$15,MATCH(IF(AND(D1571="Cartão de crédito",N(E1571)&gt;1),"Cartão de crédito parcelado",D1571),Config!$A$12:$A$15,0)),0)+IF(AND(Config!$B$17="Sim",LEFT(D1571,17)="Cartão de crédito"),Config!$B$18*IFERROR(INDEX(Config!$C$12:$C$15,MATCH(IF(AND(D1571="Cartão de crédito",N(E1571)&gt;1),"Cartão de crédito parcelado",D1571),Config!$A$12:$A$15,0)),0)/30*MAX(1,N(E1571)),0))</f>
        <v/>
      </c>
      <c r="I1571" s="29">
        <f>IF(OR(D1571="",F1571=""),"",ROUND(F1571*H1571,2))</f>
        <v/>
      </c>
      <c r="J1571" s="29">
        <f>IF(I1571="","",F1571-I1571)</f>
        <v/>
      </c>
      <c r="K1571" s="29">
        <f>IF(J1571="","",J1571/MAX(1,N(E1571)))</f>
        <v/>
      </c>
      <c r="L1571" s="37">
        <f>IF(OR(D1571="",A1571=""),"",A1571+IF(AND(Config!$B$17="Sim",LEFT(D1571,17)="Cartão de crédito"),1,IFERROR(INDEX(Config!$C$12:$C$15,MATCH(IF(AND(D1571="Cartão de crédito",N(E1571)&gt;1),"Cartão de crédito parcelado",D1571),Config!$A$12:$A$15,0)),0)))</f>
        <v/>
      </c>
      <c r="M1571" s="37">
        <f>IF(L1571="","",IF(AND(Config!$B$17="Sim",LEFT(D1571,17)="Cartão de crédito"),L1571,L1571+30*(MAX(1,N(E1571))-1)))</f>
        <v/>
      </c>
      <c r="N1571" s="29">
        <f>IF(OR(L1571="",K1571=""),"",K1571*MIN(MAX(1,N(E1571)),MAX(0,INT((Config!$B$8-L1571)/30)+1)))</f>
        <v/>
      </c>
      <c r="O1571" s="29">
        <f>IF(J1571="","",J1571-N(N1571))</f>
        <v/>
      </c>
      <c r="P1571" s="27">
        <f>IF(A1571="","",MONTH(A1571))</f>
        <v/>
      </c>
      <c r="Q1571" s="27">
        <f>IF(A1571="","",YEAR(A1571))</f>
        <v/>
      </c>
      <c r="R1571" s="27">
        <f>IF(L1571="","",IF(L1571&gt;Config!$B$8,"A cair",IF(N(G1571)&gt;=MIN(MAX(1,N(E1571)),MAX(0,INT((Config!$B$8-L1571)/30)+1)),IF(N(G1571)&gt;=MAX(1,N(E1571)),"Conferido","Conferido até aqui"),"A conferir")))</f>
        <v/>
      </c>
      <c r="S1571" s="51">
        <f>IF(R1571="A conferir",(Config!$B$8-L1571)*1000+N(F1571)/1000+ROW()/100000,0)</f>
        <v>0</v>
      </c>
      <c r="T1571" s="51">
        <f>IF(R1571="A conferir",N(N1571),0)</f>
        <v>0</v>
      </c>
      <c r="U1571" s="51">
        <f>IF(L1571="",0,L1571)</f>
        <v>0</v>
      </c>
      <c r="V1571" s="51">
        <f>IF(L1571="",0,MAX(1,N(E1571)))</f>
        <v>0</v>
      </c>
      <c r="W1571" s="51">
        <f>IF(K1571="",0,K1571)</f>
        <v>0</v>
      </c>
    </row>
    <row r="1572">
      <c r="A1572" s="49" t="n"/>
      <c r="B1572" s="41" t="n"/>
      <c r="C1572" s="41" t="n"/>
      <c r="D1572" s="42" t="n"/>
      <c r="E1572" s="42" t="n"/>
      <c r="F1572" s="50" t="n"/>
      <c r="G1572" s="42" t="n"/>
      <c r="H1572" s="30">
        <f>IF(D1572="","",IFERROR(INDEX(Config!$B$12:$B$15,MATCH(IF(AND(D1572="Cartão de crédito",N(E1572)&gt;1),"Cartão de crédito parcelado",D1572),Config!$A$12:$A$15,0)),0)+IF(AND(Config!$B$17="Sim",LEFT(D1572,17)="Cartão de crédito"),Config!$B$18*IFERROR(INDEX(Config!$C$12:$C$15,MATCH(IF(AND(D1572="Cartão de crédito",N(E1572)&gt;1),"Cartão de crédito parcelado",D1572),Config!$A$12:$A$15,0)),0)/30*MAX(1,N(E1572)),0))</f>
        <v/>
      </c>
      <c r="I1572" s="29">
        <f>IF(OR(D1572="",F1572=""),"",ROUND(F1572*H1572,2))</f>
        <v/>
      </c>
      <c r="J1572" s="29">
        <f>IF(I1572="","",F1572-I1572)</f>
        <v/>
      </c>
      <c r="K1572" s="29">
        <f>IF(J1572="","",J1572/MAX(1,N(E1572)))</f>
        <v/>
      </c>
      <c r="L1572" s="37">
        <f>IF(OR(D1572="",A1572=""),"",A1572+IF(AND(Config!$B$17="Sim",LEFT(D1572,17)="Cartão de crédito"),1,IFERROR(INDEX(Config!$C$12:$C$15,MATCH(IF(AND(D1572="Cartão de crédito",N(E1572)&gt;1),"Cartão de crédito parcelado",D1572),Config!$A$12:$A$15,0)),0)))</f>
        <v/>
      </c>
      <c r="M1572" s="37">
        <f>IF(L1572="","",IF(AND(Config!$B$17="Sim",LEFT(D1572,17)="Cartão de crédito"),L1572,L1572+30*(MAX(1,N(E1572))-1)))</f>
        <v/>
      </c>
      <c r="N1572" s="29">
        <f>IF(OR(L1572="",K1572=""),"",K1572*MIN(MAX(1,N(E1572)),MAX(0,INT((Config!$B$8-L1572)/30)+1)))</f>
        <v/>
      </c>
      <c r="O1572" s="29">
        <f>IF(J1572="","",J1572-N(N1572))</f>
        <v/>
      </c>
      <c r="P1572" s="27">
        <f>IF(A1572="","",MONTH(A1572))</f>
        <v/>
      </c>
      <c r="Q1572" s="27">
        <f>IF(A1572="","",YEAR(A1572))</f>
        <v/>
      </c>
      <c r="R1572" s="27">
        <f>IF(L1572="","",IF(L1572&gt;Config!$B$8,"A cair",IF(N(G1572)&gt;=MIN(MAX(1,N(E1572)),MAX(0,INT((Config!$B$8-L1572)/30)+1)),IF(N(G1572)&gt;=MAX(1,N(E1572)),"Conferido","Conferido até aqui"),"A conferir")))</f>
        <v/>
      </c>
      <c r="S1572" s="51">
        <f>IF(R1572="A conferir",(Config!$B$8-L1572)*1000+N(F1572)/1000+ROW()/100000,0)</f>
        <v>0</v>
      </c>
      <c r="T1572" s="51">
        <f>IF(R1572="A conferir",N(N1572),0)</f>
        <v>0</v>
      </c>
      <c r="U1572" s="51">
        <f>IF(L1572="",0,L1572)</f>
        <v>0</v>
      </c>
      <c r="V1572" s="51">
        <f>IF(L1572="",0,MAX(1,N(E1572)))</f>
        <v>0</v>
      </c>
      <c r="W1572" s="51">
        <f>IF(K1572="",0,K1572)</f>
        <v>0</v>
      </c>
    </row>
    <row r="1573">
      <c r="A1573" s="49" t="n"/>
      <c r="B1573" s="41" t="n"/>
      <c r="C1573" s="41" t="n"/>
      <c r="D1573" s="42" t="n"/>
      <c r="E1573" s="42" t="n"/>
      <c r="F1573" s="50" t="n"/>
      <c r="G1573" s="42" t="n"/>
      <c r="H1573" s="30">
        <f>IF(D1573="","",IFERROR(INDEX(Config!$B$12:$B$15,MATCH(IF(AND(D1573="Cartão de crédito",N(E1573)&gt;1),"Cartão de crédito parcelado",D1573),Config!$A$12:$A$15,0)),0)+IF(AND(Config!$B$17="Sim",LEFT(D1573,17)="Cartão de crédito"),Config!$B$18*IFERROR(INDEX(Config!$C$12:$C$15,MATCH(IF(AND(D1573="Cartão de crédito",N(E1573)&gt;1),"Cartão de crédito parcelado",D1573),Config!$A$12:$A$15,0)),0)/30*MAX(1,N(E1573)),0))</f>
        <v/>
      </c>
      <c r="I1573" s="29">
        <f>IF(OR(D1573="",F1573=""),"",ROUND(F1573*H1573,2))</f>
        <v/>
      </c>
      <c r="J1573" s="29">
        <f>IF(I1573="","",F1573-I1573)</f>
        <v/>
      </c>
      <c r="K1573" s="29">
        <f>IF(J1573="","",J1573/MAX(1,N(E1573)))</f>
        <v/>
      </c>
      <c r="L1573" s="37">
        <f>IF(OR(D1573="",A1573=""),"",A1573+IF(AND(Config!$B$17="Sim",LEFT(D1573,17)="Cartão de crédito"),1,IFERROR(INDEX(Config!$C$12:$C$15,MATCH(IF(AND(D1573="Cartão de crédito",N(E1573)&gt;1),"Cartão de crédito parcelado",D1573),Config!$A$12:$A$15,0)),0)))</f>
        <v/>
      </c>
      <c r="M1573" s="37">
        <f>IF(L1573="","",IF(AND(Config!$B$17="Sim",LEFT(D1573,17)="Cartão de crédito"),L1573,L1573+30*(MAX(1,N(E1573))-1)))</f>
        <v/>
      </c>
      <c r="N1573" s="29">
        <f>IF(OR(L1573="",K1573=""),"",K1573*MIN(MAX(1,N(E1573)),MAX(0,INT((Config!$B$8-L1573)/30)+1)))</f>
        <v/>
      </c>
      <c r="O1573" s="29">
        <f>IF(J1573="","",J1573-N(N1573))</f>
        <v/>
      </c>
      <c r="P1573" s="27">
        <f>IF(A1573="","",MONTH(A1573))</f>
        <v/>
      </c>
      <c r="Q1573" s="27">
        <f>IF(A1573="","",YEAR(A1573))</f>
        <v/>
      </c>
      <c r="R1573" s="27">
        <f>IF(L1573="","",IF(L1573&gt;Config!$B$8,"A cair",IF(N(G1573)&gt;=MIN(MAX(1,N(E1573)),MAX(0,INT((Config!$B$8-L1573)/30)+1)),IF(N(G1573)&gt;=MAX(1,N(E1573)),"Conferido","Conferido até aqui"),"A conferir")))</f>
        <v/>
      </c>
      <c r="S1573" s="51">
        <f>IF(R1573="A conferir",(Config!$B$8-L1573)*1000+N(F1573)/1000+ROW()/100000,0)</f>
        <v>0</v>
      </c>
      <c r="T1573" s="51">
        <f>IF(R1573="A conferir",N(N1573),0)</f>
        <v>0</v>
      </c>
      <c r="U1573" s="51">
        <f>IF(L1573="",0,L1573)</f>
        <v>0</v>
      </c>
      <c r="V1573" s="51">
        <f>IF(L1573="",0,MAX(1,N(E1573)))</f>
        <v>0</v>
      </c>
      <c r="W1573" s="51">
        <f>IF(K1573="",0,K1573)</f>
        <v>0</v>
      </c>
    </row>
    <row r="1574">
      <c r="A1574" s="49" t="n"/>
      <c r="B1574" s="41" t="n"/>
      <c r="C1574" s="41" t="n"/>
      <c r="D1574" s="42" t="n"/>
      <c r="E1574" s="42" t="n"/>
      <c r="F1574" s="50" t="n"/>
      <c r="G1574" s="42" t="n"/>
      <c r="H1574" s="30">
        <f>IF(D1574="","",IFERROR(INDEX(Config!$B$12:$B$15,MATCH(IF(AND(D1574="Cartão de crédito",N(E1574)&gt;1),"Cartão de crédito parcelado",D1574),Config!$A$12:$A$15,0)),0)+IF(AND(Config!$B$17="Sim",LEFT(D1574,17)="Cartão de crédito"),Config!$B$18*IFERROR(INDEX(Config!$C$12:$C$15,MATCH(IF(AND(D1574="Cartão de crédito",N(E1574)&gt;1),"Cartão de crédito parcelado",D1574),Config!$A$12:$A$15,0)),0)/30*MAX(1,N(E1574)),0))</f>
        <v/>
      </c>
      <c r="I1574" s="29">
        <f>IF(OR(D1574="",F1574=""),"",ROUND(F1574*H1574,2))</f>
        <v/>
      </c>
      <c r="J1574" s="29">
        <f>IF(I1574="","",F1574-I1574)</f>
        <v/>
      </c>
      <c r="K1574" s="29">
        <f>IF(J1574="","",J1574/MAX(1,N(E1574)))</f>
        <v/>
      </c>
      <c r="L1574" s="37">
        <f>IF(OR(D1574="",A1574=""),"",A1574+IF(AND(Config!$B$17="Sim",LEFT(D1574,17)="Cartão de crédito"),1,IFERROR(INDEX(Config!$C$12:$C$15,MATCH(IF(AND(D1574="Cartão de crédito",N(E1574)&gt;1),"Cartão de crédito parcelado",D1574),Config!$A$12:$A$15,0)),0)))</f>
        <v/>
      </c>
      <c r="M1574" s="37">
        <f>IF(L1574="","",IF(AND(Config!$B$17="Sim",LEFT(D1574,17)="Cartão de crédito"),L1574,L1574+30*(MAX(1,N(E1574))-1)))</f>
        <v/>
      </c>
      <c r="N1574" s="29">
        <f>IF(OR(L1574="",K1574=""),"",K1574*MIN(MAX(1,N(E1574)),MAX(0,INT((Config!$B$8-L1574)/30)+1)))</f>
        <v/>
      </c>
      <c r="O1574" s="29">
        <f>IF(J1574="","",J1574-N(N1574))</f>
        <v/>
      </c>
      <c r="P1574" s="27">
        <f>IF(A1574="","",MONTH(A1574))</f>
        <v/>
      </c>
      <c r="Q1574" s="27">
        <f>IF(A1574="","",YEAR(A1574))</f>
        <v/>
      </c>
      <c r="R1574" s="27">
        <f>IF(L1574="","",IF(L1574&gt;Config!$B$8,"A cair",IF(N(G1574)&gt;=MIN(MAX(1,N(E1574)),MAX(0,INT((Config!$B$8-L1574)/30)+1)),IF(N(G1574)&gt;=MAX(1,N(E1574)),"Conferido","Conferido até aqui"),"A conferir")))</f>
        <v/>
      </c>
      <c r="S1574" s="51">
        <f>IF(R1574="A conferir",(Config!$B$8-L1574)*1000+N(F1574)/1000+ROW()/100000,0)</f>
        <v>0</v>
      </c>
      <c r="T1574" s="51">
        <f>IF(R1574="A conferir",N(N1574),0)</f>
        <v>0</v>
      </c>
      <c r="U1574" s="51">
        <f>IF(L1574="",0,L1574)</f>
        <v>0</v>
      </c>
      <c r="V1574" s="51">
        <f>IF(L1574="",0,MAX(1,N(E1574)))</f>
        <v>0</v>
      </c>
      <c r="W1574" s="51">
        <f>IF(K1574="",0,K1574)</f>
        <v>0</v>
      </c>
    </row>
    <row r="1575">
      <c r="A1575" s="49" t="n"/>
      <c r="B1575" s="41" t="n"/>
      <c r="C1575" s="41" t="n"/>
      <c r="D1575" s="42" t="n"/>
      <c r="E1575" s="42" t="n"/>
      <c r="F1575" s="50" t="n"/>
      <c r="G1575" s="42" t="n"/>
      <c r="H1575" s="30">
        <f>IF(D1575="","",IFERROR(INDEX(Config!$B$12:$B$15,MATCH(IF(AND(D1575="Cartão de crédito",N(E1575)&gt;1),"Cartão de crédito parcelado",D1575),Config!$A$12:$A$15,0)),0)+IF(AND(Config!$B$17="Sim",LEFT(D1575,17)="Cartão de crédito"),Config!$B$18*IFERROR(INDEX(Config!$C$12:$C$15,MATCH(IF(AND(D1575="Cartão de crédito",N(E1575)&gt;1),"Cartão de crédito parcelado",D1575),Config!$A$12:$A$15,0)),0)/30*MAX(1,N(E1575)),0))</f>
        <v/>
      </c>
      <c r="I1575" s="29">
        <f>IF(OR(D1575="",F1575=""),"",ROUND(F1575*H1575,2))</f>
        <v/>
      </c>
      <c r="J1575" s="29">
        <f>IF(I1575="","",F1575-I1575)</f>
        <v/>
      </c>
      <c r="K1575" s="29">
        <f>IF(J1575="","",J1575/MAX(1,N(E1575)))</f>
        <v/>
      </c>
      <c r="L1575" s="37">
        <f>IF(OR(D1575="",A1575=""),"",A1575+IF(AND(Config!$B$17="Sim",LEFT(D1575,17)="Cartão de crédito"),1,IFERROR(INDEX(Config!$C$12:$C$15,MATCH(IF(AND(D1575="Cartão de crédito",N(E1575)&gt;1),"Cartão de crédito parcelado",D1575),Config!$A$12:$A$15,0)),0)))</f>
        <v/>
      </c>
      <c r="M1575" s="37">
        <f>IF(L1575="","",IF(AND(Config!$B$17="Sim",LEFT(D1575,17)="Cartão de crédito"),L1575,L1575+30*(MAX(1,N(E1575))-1)))</f>
        <v/>
      </c>
      <c r="N1575" s="29">
        <f>IF(OR(L1575="",K1575=""),"",K1575*MIN(MAX(1,N(E1575)),MAX(0,INT((Config!$B$8-L1575)/30)+1)))</f>
        <v/>
      </c>
      <c r="O1575" s="29">
        <f>IF(J1575="","",J1575-N(N1575))</f>
        <v/>
      </c>
      <c r="P1575" s="27">
        <f>IF(A1575="","",MONTH(A1575))</f>
        <v/>
      </c>
      <c r="Q1575" s="27">
        <f>IF(A1575="","",YEAR(A1575))</f>
        <v/>
      </c>
      <c r="R1575" s="27">
        <f>IF(L1575="","",IF(L1575&gt;Config!$B$8,"A cair",IF(N(G1575)&gt;=MIN(MAX(1,N(E1575)),MAX(0,INT((Config!$B$8-L1575)/30)+1)),IF(N(G1575)&gt;=MAX(1,N(E1575)),"Conferido","Conferido até aqui"),"A conferir")))</f>
        <v/>
      </c>
      <c r="S1575" s="51">
        <f>IF(R1575="A conferir",(Config!$B$8-L1575)*1000+N(F1575)/1000+ROW()/100000,0)</f>
        <v>0</v>
      </c>
      <c r="T1575" s="51">
        <f>IF(R1575="A conferir",N(N1575),0)</f>
        <v>0</v>
      </c>
      <c r="U1575" s="51">
        <f>IF(L1575="",0,L1575)</f>
        <v>0</v>
      </c>
      <c r="V1575" s="51">
        <f>IF(L1575="",0,MAX(1,N(E1575)))</f>
        <v>0</v>
      </c>
      <c r="W1575" s="51">
        <f>IF(K1575="",0,K1575)</f>
        <v>0</v>
      </c>
    </row>
    <row r="1576">
      <c r="A1576" s="49" t="n"/>
      <c r="B1576" s="41" t="n"/>
      <c r="C1576" s="41" t="n"/>
      <c r="D1576" s="42" t="n"/>
      <c r="E1576" s="42" t="n"/>
      <c r="F1576" s="50" t="n"/>
      <c r="G1576" s="42" t="n"/>
      <c r="H1576" s="30">
        <f>IF(D1576="","",IFERROR(INDEX(Config!$B$12:$B$15,MATCH(IF(AND(D1576="Cartão de crédito",N(E1576)&gt;1),"Cartão de crédito parcelado",D1576),Config!$A$12:$A$15,0)),0)+IF(AND(Config!$B$17="Sim",LEFT(D1576,17)="Cartão de crédito"),Config!$B$18*IFERROR(INDEX(Config!$C$12:$C$15,MATCH(IF(AND(D1576="Cartão de crédito",N(E1576)&gt;1),"Cartão de crédito parcelado",D1576),Config!$A$12:$A$15,0)),0)/30*MAX(1,N(E1576)),0))</f>
        <v/>
      </c>
      <c r="I1576" s="29">
        <f>IF(OR(D1576="",F1576=""),"",ROUND(F1576*H1576,2))</f>
        <v/>
      </c>
      <c r="J1576" s="29">
        <f>IF(I1576="","",F1576-I1576)</f>
        <v/>
      </c>
      <c r="K1576" s="29">
        <f>IF(J1576="","",J1576/MAX(1,N(E1576)))</f>
        <v/>
      </c>
      <c r="L1576" s="37">
        <f>IF(OR(D1576="",A1576=""),"",A1576+IF(AND(Config!$B$17="Sim",LEFT(D1576,17)="Cartão de crédito"),1,IFERROR(INDEX(Config!$C$12:$C$15,MATCH(IF(AND(D1576="Cartão de crédito",N(E1576)&gt;1),"Cartão de crédito parcelado",D1576),Config!$A$12:$A$15,0)),0)))</f>
        <v/>
      </c>
      <c r="M1576" s="37">
        <f>IF(L1576="","",IF(AND(Config!$B$17="Sim",LEFT(D1576,17)="Cartão de crédito"),L1576,L1576+30*(MAX(1,N(E1576))-1)))</f>
        <v/>
      </c>
      <c r="N1576" s="29">
        <f>IF(OR(L1576="",K1576=""),"",K1576*MIN(MAX(1,N(E1576)),MAX(0,INT((Config!$B$8-L1576)/30)+1)))</f>
        <v/>
      </c>
      <c r="O1576" s="29">
        <f>IF(J1576="","",J1576-N(N1576))</f>
        <v/>
      </c>
      <c r="P1576" s="27">
        <f>IF(A1576="","",MONTH(A1576))</f>
        <v/>
      </c>
      <c r="Q1576" s="27">
        <f>IF(A1576="","",YEAR(A1576))</f>
        <v/>
      </c>
      <c r="R1576" s="27">
        <f>IF(L1576="","",IF(L1576&gt;Config!$B$8,"A cair",IF(N(G1576)&gt;=MIN(MAX(1,N(E1576)),MAX(0,INT((Config!$B$8-L1576)/30)+1)),IF(N(G1576)&gt;=MAX(1,N(E1576)),"Conferido","Conferido até aqui"),"A conferir")))</f>
        <v/>
      </c>
      <c r="S1576" s="51">
        <f>IF(R1576="A conferir",(Config!$B$8-L1576)*1000+N(F1576)/1000+ROW()/100000,0)</f>
        <v>0</v>
      </c>
      <c r="T1576" s="51">
        <f>IF(R1576="A conferir",N(N1576),0)</f>
        <v>0</v>
      </c>
      <c r="U1576" s="51">
        <f>IF(L1576="",0,L1576)</f>
        <v>0</v>
      </c>
      <c r="V1576" s="51">
        <f>IF(L1576="",0,MAX(1,N(E1576)))</f>
        <v>0</v>
      </c>
      <c r="W1576" s="51">
        <f>IF(K1576="",0,K1576)</f>
        <v>0</v>
      </c>
    </row>
    <row r="1577">
      <c r="A1577" s="49" t="n"/>
      <c r="B1577" s="41" t="n"/>
      <c r="C1577" s="41" t="n"/>
      <c r="D1577" s="42" t="n"/>
      <c r="E1577" s="42" t="n"/>
      <c r="F1577" s="50" t="n"/>
      <c r="G1577" s="42" t="n"/>
      <c r="H1577" s="30">
        <f>IF(D1577="","",IFERROR(INDEX(Config!$B$12:$B$15,MATCH(IF(AND(D1577="Cartão de crédito",N(E1577)&gt;1),"Cartão de crédito parcelado",D1577),Config!$A$12:$A$15,0)),0)+IF(AND(Config!$B$17="Sim",LEFT(D1577,17)="Cartão de crédito"),Config!$B$18*IFERROR(INDEX(Config!$C$12:$C$15,MATCH(IF(AND(D1577="Cartão de crédito",N(E1577)&gt;1),"Cartão de crédito parcelado",D1577),Config!$A$12:$A$15,0)),0)/30*MAX(1,N(E1577)),0))</f>
        <v/>
      </c>
      <c r="I1577" s="29">
        <f>IF(OR(D1577="",F1577=""),"",ROUND(F1577*H1577,2))</f>
        <v/>
      </c>
      <c r="J1577" s="29">
        <f>IF(I1577="","",F1577-I1577)</f>
        <v/>
      </c>
      <c r="K1577" s="29">
        <f>IF(J1577="","",J1577/MAX(1,N(E1577)))</f>
        <v/>
      </c>
      <c r="L1577" s="37">
        <f>IF(OR(D1577="",A1577=""),"",A1577+IF(AND(Config!$B$17="Sim",LEFT(D1577,17)="Cartão de crédito"),1,IFERROR(INDEX(Config!$C$12:$C$15,MATCH(IF(AND(D1577="Cartão de crédito",N(E1577)&gt;1),"Cartão de crédito parcelado",D1577),Config!$A$12:$A$15,0)),0)))</f>
        <v/>
      </c>
      <c r="M1577" s="37">
        <f>IF(L1577="","",IF(AND(Config!$B$17="Sim",LEFT(D1577,17)="Cartão de crédito"),L1577,L1577+30*(MAX(1,N(E1577))-1)))</f>
        <v/>
      </c>
      <c r="N1577" s="29">
        <f>IF(OR(L1577="",K1577=""),"",K1577*MIN(MAX(1,N(E1577)),MAX(0,INT((Config!$B$8-L1577)/30)+1)))</f>
        <v/>
      </c>
      <c r="O1577" s="29">
        <f>IF(J1577="","",J1577-N(N1577))</f>
        <v/>
      </c>
      <c r="P1577" s="27">
        <f>IF(A1577="","",MONTH(A1577))</f>
        <v/>
      </c>
      <c r="Q1577" s="27">
        <f>IF(A1577="","",YEAR(A1577))</f>
        <v/>
      </c>
      <c r="R1577" s="27">
        <f>IF(L1577="","",IF(L1577&gt;Config!$B$8,"A cair",IF(N(G1577)&gt;=MIN(MAX(1,N(E1577)),MAX(0,INT((Config!$B$8-L1577)/30)+1)),IF(N(G1577)&gt;=MAX(1,N(E1577)),"Conferido","Conferido até aqui"),"A conferir")))</f>
        <v/>
      </c>
      <c r="S1577" s="51">
        <f>IF(R1577="A conferir",(Config!$B$8-L1577)*1000+N(F1577)/1000+ROW()/100000,0)</f>
        <v>0</v>
      </c>
      <c r="T1577" s="51">
        <f>IF(R1577="A conferir",N(N1577),0)</f>
        <v>0</v>
      </c>
      <c r="U1577" s="51">
        <f>IF(L1577="",0,L1577)</f>
        <v>0</v>
      </c>
      <c r="V1577" s="51">
        <f>IF(L1577="",0,MAX(1,N(E1577)))</f>
        <v>0</v>
      </c>
      <c r="W1577" s="51">
        <f>IF(K1577="",0,K1577)</f>
        <v>0</v>
      </c>
    </row>
    <row r="1578">
      <c r="A1578" s="49" t="n"/>
      <c r="B1578" s="41" t="n"/>
      <c r="C1578" s="41" t="n"/>
      <c r="D1578" s="42" t="n"/>
      <c r="E1578" s="42" t="n"/>
      <c r="F1578" s="50" t="n"/>
      <c r="G1578" s="42" t="n"/>
      <c r="H1578" s="30">
        <f>IF(D1578="","",IFERROR(INDEX(Config!$B$12:$B$15,MATCH(IF(AND(D1578="Cartão de crédito",N(E1578)&gt;1),"Cartão de crédito parcelado",D1578),Config!$A$12:$A$15,0)),0)+IF(AND(Config!$B$17="Sim",LEFT(D1578,17)="Cartão de crédito"),Config!$B$18*IFERROR(INDEX(Config!$C$12:$C$15,MATCH(IF(AND(D1578="Cartão de crédito",N(E1578)&gt;1),"Cartão de crédito parcelado",D1578),Config!$A$12:$A$15,0)),0)/30*MAX(1,N(E1578)),0))</f>
        <v/>
      </c>
      <c r="I1578" s="29">
        <f>IF(OR(D1578="",F1578=""),"",ROUND(F1578*H1578,2))</f>
        <v/>
      </c>
      <c r="J1578" s="29">
        <f>IF(I1578="","",F1578-I1578)</f>
        <v/>
      </c>
      <c r="K1578" s="29">
        <f>IF(J1578="","",J1578/MAX(1,N(E1578)))</f>
        <v/>
      </c>
      <c r="L1578" s="37">
        <f>IF(OR(D1578="",A1578=""),"",A1578+IF(AND(Config!$B$17="Sim",LEFT(D1578,17)="Cartão de crédito"),1,IFERROR(INDEX(Config!$C$12:$C$15,MATCH(IF(AND(D1578="Cartão de crédito",N(E1578)&gt;1),"Cartão de crédito parcelado",D1578),Config!$A$12:$A$15,0)),0)))</f>
        <v/>
      </c>
      <c r="M1578" s="37">
        <f>IF(L1578="","",IF(AND(Config!$B$17="Sim",LEFT(D1578,17)="Cartão de crédito"),L1578,L1578+30*(MAX(1,N(E1578))-1)))</f>
        <v/>
      </c>
      <c r="N1578" s="29">
        <f>IF(OR(L1578="",K1578=""),"",K1578*MIN(MAX(1,N(E1578)),MAX(0,INT((Config!$B$8-L1578)/30)+1)))</f>
        <v/>
      </c>
      <c r="O1578" s="29">
        <f>IF(J1578="","",J1578-N(N1578))</f>
        <v/>
      </c>
      <c r="P1578" s="27">
        <f>IF(A1578="","",MONTH(A1578))</f>
        <v/>
      </c>
      <c r="Q1578" s="27">
        <f>IF(A1578="","",YEAR(A1578))</f>
        <v/>
      </c>
      <c r="R1578" s="27">
        <f>IF(L1578="","",IF(L1578&gt;Config!$B$8,"A cair",IF(N(G1578)&gt;=MIN(MAX(1,N(E1578)),MAX(0,INT((Config!$B$8-L1578)/30)+1)),IF(N(G1578)&gt;=MAX(1,N(E1578)),"Conferido","Conferido até aqui"),"A conferir")))</f>
        <v/>
      </c>
      <c r="S1578" s="51">
        <f>IF(R1578="A conferir",(Config!$B$8-L1578)*1000+N(F1578)/1000+ROW()/100000,0)</f>
        <v>0</v>
      </c>
      <c r="T1578" s="51">
        <f>IF(R1578="A conferir",N(N1578),0)</f>
        <v>0</v>
      </c>
      <c r="U1578" s="51">
        <f>IF(L1578="",0,L1578)</f>
        <v>0</v>
      </c>
      <c r="V1578" s="51">
        <f>IF(L1578="",0,MAX(1,N(E1578)))</f>
        <v>0</v>
      </c>
      <c r="W1578" s="51">
        <f>IF(K1578="",0,K1578)</f>
        <v>0</v>
      </c>
    </row>
    <row r="1579">
      <c r="A1579" s="49" t="n"/>
      <c r="B1579" s="41" t="n"/>
      <c r="C1579" s="41" t="n"/>
      <c r="D1579" s="42" t="n"/>
      <c r="E1579" s="42" t="n"/>
      <c r="F1579" s="50" t="n"/>
      <c r="G1579" s="42" t="n"/>
      <c r="H1579" s="30">
        <f>IF(D1579="","",IFERROR(INDEX(Config!$B$12:$B$15,MATCH(IF(AND(D1579="Cartão de crédito",N(E1579)&gt;1),"Cartão de crédito parcelado",D1579),Config!$A$12:$A$15,0)),0)+IF(AND(Config!$B$17="Sim",LEFT(D1579,17)="Cartão de crédito"),Config!$B$18*IFERROR(INDEX(Config!$C$12:$C$15,MATCH(IF(AND(D1579="Cartão de crédito",N(E1579)&gt;1),"Cartão de crédito parcelado",D1579),Config!$A$12:$A$15,0)),0)/30*MAX(1,N(E1579)),0))</f>
        <v/>
      </c>
      <c r="I1579" s="29">
        <f>IF(OR(D1579="",F1579=""),"",ROUND(F1579*H1579,2))</f>
        <v/>
      </c>
      <c r="J1579" s="29">
        <f>IF(I1579="","",F1579-I1579)</f>
        <v/>
      </c>
      <c r="K1579" s="29">
        <f>IF(J1579="","",J1579/MAX(1,N(E1579)))</f>
        <v/>
      </c>
      <c r="L1579" s="37">
        <f>IF(OR(D1579="",A1579=""),"",A1579+IF(AND(Config!$B$17="Sim",LEFT(D1579,17)="Cartão de crédito"),1,IFERROR(INDEX(Config!$C$12:$C$15,MATCH(IF(AND(D1579="Cartão de crédito",N(E1579)&gt;1),"Cartão de crédito parcelado",D1579),Config!$A$12:$A$15,0)),0)))</f>
        <v/>
      </c>
      <c r="M1579" s="37">
        <f>IF(L1579="","",IF(AND(Config!$B$17="Sim",LEFT(D1579,17)="Cartão de crédito"),L1579,L1579+30*(MAX(1,N(E1579))-1)))</f>
        <v/>
      </c>
      <c r="N1579" s="29">
        <f>IF(OR(L1579="",K1579=""),"",K1579*MIN(MAX(1,N(E1579)),MAX(0,INT((Config!$B$8-L1579)/30)+1)))</f>
        <v/>
      </c>
      <c r="O1579" s="29">
        <f>IF(J1579="","",J1579-N(N1579))</f>
        <v/>
      </c>
      <c r="P1579" s="27">
        <f>IF(A1579="","",MONTH(A1579))</f>
        <v/>
      </c>
      <c r="Q1579" s="27">
        <f>IF(A1579="","",YEAR(A1579))</f>
        <v/>
      </c>
      <c r="R1579" s="27">
        <f>IF(L1579="","",IF(L1579&gt;Config!$B$8,"A cair",IF(N(G1579)&gt;=MIN(MAX(1,N(E1579)),MAX(0,INT((Config!$B$8-L1579)/30)+1)),IF(N(G1579)&gt;=MAX(1,N(E1579)),"Conferido","Conferido até aqui"),"A conferir")))</f>
        <v/>
      </c>
      <c r="S1579" s="51">
        <f>IF(R1579="A conferir",(Config!$B$8-L1579)*1000+N(F1579)/1000+ROW()/100000,0)</f>
        <v>0</v>
      </c>
      <c r="T1579" s="51">
        <f>IF(R1579="A conferir",N(N1579),0)</f>
        <v>0</v>
      </c>
      <c r="U1579" s="51">
        <f>IF(L1579="",0,L1579)</f>
        <v>0</v>
      </c>
      <c r="V1579" s="51">
        <f>IF(L1579="",0,MAX(1,N(E1579)))</f>
        <v>0</v>
      </c>
      <c r="W1579" s="51">
        <f>IF(K1579="",0,K1579)</f>
        <v>0</v>
      </c>
    </row>
    <row r="1580">
      <c r="A1580" s="49" t="n"/>
      <c r="B1580" s="41" t="n"/>
      <c r="C1580" s="41" t="n"/>
      <c r="D1580" s="42" t="n"/>
      <c r="E1580" s="42" t="n"/>
      <c r="F1580" s="50" t="n"/>
      <c r="G1580" s="42" t="n"/>
      <c r="H1580" s="30">
        <f>IF(D1580="","",IFERROR(INDEX(Config!$B$12:$B$15,MATCH(IF(AND(D1580="Cartão de crédito",N(E1580)&gt;1),"Cartão de crédito parcelado",D1580),Config!$A$12:$A$15,0)),0)+IF(AND(Config!$B$17="Sim",LEFT(D1580,17)="Cartão de crédito"),Config!$B$18*IFERROR(INDEX(Config!$C$12:$C$15,MATCH(IF(AND(D1580="Cartão de crédito",N(E1580)&gt;1),"Cartão de crédito parcelado",D1580),Config!$A$12:$A$15,0)),0)/30*MAX(1,N(E1580)),0))</f>
        <v/>
      </c>
      <c r="I1580" s="29">
        <f>IF(OR(D1580="",F1580=""),"",ROUND(F1580*H1580,2))</f>
        <v/>
      </c>
      <c r="J1580" s="29">
        <f>IF(I1580="","",F1580-I1580)</f>
        <v/>
      </c>
      <c r="K1580" s="29">
        <f>IF(J1580="","",J1580/MAX(1,N(E1580)))</f>
        <v/>
      </c>
      <c r="L1580" s="37">
        <f>IF(OR(D1580="",A1580=""),"",A1580+IF(AND(Config!$B$17="Sim",LEFT(D1580,17)="Cartão de crédito"),1,IFERROR(INDEX(Config!$C$12:$C$15,MATCH(IF(AND(D1580="Cartão de crédito",N(E1580)&gt;1),"Cartão de crédito parcelado",D1580),Config!$A$12:$A$15,0)),0)))</f>
        <v/>
      </c>
      <c r="M1580" s="37">
        <f>IF(L1580="","",IF(AND(Config!$B$17="Sim",LEFT(D1580,17)="Cartão de crédito"),L1580,L1580+30*(MAX(1,N(E1580))-1)))</f>
        <v/>
      </c>
      <c r="N1580" s="29">
        <f>IF(OR(L1580="",K1580=""),"",K1580*MIN(MAX(1,N(E1580)),MAX(0,INT((Config!$B$8-L1580)/30)+1)))</f>
        <v/>
      </c>
      <c r="O1580" s="29">
        <f>IF(J1580="","",J1580-N(N1580))</f>
        <v/>
      </c>
      <c r="P1580" s="27">
        <f>IF(A1580="","",MONTH(A1580))</f>
        <v/>
      </c>
      <c r="Q1580" s="27">
        <f>IF(A1580="","",YEAR(A1580))</f>
        <v/>
      </c>
      <c r="R1580" s="27">
        <f>IF(L1580="","",IF(L1580&gt;Config!$B$8,"A cair",IF(N(G1580)&gt;=MIN(MAX(1,N(E1580)),MAX(0,INT((Config!$B$8-L1580)/30)+1)),IF(N(G1580)&gt;=MAX(1,N(E1580)),"Conferido","Conferido até aqui"),"A conferir")))</f>
        <v/>
      </c>
      <c r="S1580" s="51">
        <f>IF(R1580="A conferir",(Config!$B$8-L1580)*1000+N(F1580)/1000+ROW()/100000,0)</f>
        <v>0</v>
      </c>
      <c r="T1580" s="51">
        <f>IF(R1580="A conferir",N(N1580),0)</f>
        <v>0</v>
      </c>
      <c r="U1580" s="51">
        <f>IF(L1580="",0,L1580)</f>
        <v>0</v>
      </c>
      <c r="V1580" s="51">
        <f>IF(L1580="",0,MAX(1,N(E1580)))</f>
        <v>0</v>
      </c>
      <c r="W1580" s="51">
        <f>IF(K1580="",0,K1580)</f>
        <v>0</v>
      </c>
    </row>
    <row r="1581">
      <c r="A1581" s="49" t="n"/>
      <c r="B1581" s="41" t="n"/>
      <c r="C1581" s="41" t="n"/>
      <c r="D1581" s="42" t="n"/>
      <c r="E1581" s="42" t="n"/>
      <c r="F1581" s="50" t="n"/>
      <c r="G1581" s="42" t="n"/>
      <c r="H1581" s="30">
        <f>IF(D1581="","",IFERROR(INDEX(Config!$B$12:$B$15,MATCH(IF(AND(D1581="Cartão de crédito",N(E1581)&gt;1),"Cartão de crédito parcelado",D1581),Config!$A$12:$A$15,0)),0)+IF(AND(Config!$B$17="Sim",LEFT(D1581,17)="Cartão de crédito"),Config!$B$18*IFERROR(INDEX(Config!$C$12:$C$15,MATCH(IF(AND(D1581="Cartão de crédito",N(E1581)&gt;1),"Cartão de crédito parcelado",D1581),Config!$A$12:$A$15,0)),0)/30*MAX(1,N(E1581)),0))</f>
        <v/>
      </c>
      <c r="I1581" s="29">
        <f>IF(OR(D1581="",F1581=""),"",ROUND(F1581*H1581,2))</f>
        <v/>
      </c>
      <c r="J1581" s="29">
        <f>IF(I1581="","",F1581-I1581)</f>
        <v/>
      </c>
      <c r="K1581" s="29">
        <f>IF(J1581="","",J1581/MAX(1,N(E1581)))</f>
        <v/>
      </c>
      <c r="L1581" s="37">
        <f>IF(OR(D1581="",A1581=""),"",A1581+IF(AND(Config!$B$17="Sim",LEFT(D1581,17)="Cartão de crédito"),1,IFERROR(INDEX(Config!$C$12:$C$15,MATCH(IF(AND(D1581="Cartão de crédito",N(E1581)&gt;1),"Cartão de crédito parcelado",D1581),Config!$A$12:$A$15,0)),0)))</f>
        <v/>
      </c>
      <c r="M1581" s="37">
        <f>IF(L1581="","",IF(AND(Config!$B$17="Sim",LEFT(D1581,17)="Cartão de crédito"),L1581,L1581+30*(MAX(1,N(E1581))-1)))</f>
        <v/>
      </c>
      <c r="N1581" s="29">
        <f>IF(OR(L1581="",K1581=""),"",K1581*MIN(MAX(1,N(E1581)),MAX(0,INT((Config!$B$8-L1581)/30)+1)))</f>
        <v/>
      </c>
      <c r="O1581" s="29">
        <f>IF(J1581="","",J1581-N(N1581))</f>
        <v/>
      </c>
      <c r="P1581" s="27">
        <f>IF(A1581="","",MONTH(A1581))</f>
        <v/>
      </c>
      <c r="Q1581" s="27">
        <f>IF(A1581="","",YEAR(A1581))</f>
        <v/>
      </c>
      <c r="R1581" s="27">
        <f>IF(L1581="","",IF(L1581&gt;Config!$B$8,"A cair",IF(N(G1581)&gt;=MIN(MAX(1,N(E1581)),MAX(0,INT((Config!$B$8-L1581)/30)+1)),IF(N(G1581)&gt;=MAX(1,N(E1581)),"Conferido","Conferido até aqui"),"A conferir")))</f>
        <v/>
      </c>
      <c r="S1581" s="51">
        <f>IF(R1581="A conferir",(Config!$B$8-L1581)*1000+N(F1581)/1000+ROW()/100000,0)</f>
        <v>0</v>
      </c>
      <c r="T1581" s="51">
        <f>IF(R1581="A conferir",N(N1581),0)</f>
        <v>0</v>
      </c>
      <c r="U1581" s="51">
        <f>IF(L1581="",0,L1581)</f>
        <v>0</v>
      </c>
      <c r="V1581" s="51">
        <f>IF(L1581="",0,MAX(1,N(E1581)))</f>
        <v>0</v>
      </c>
      <c r="W1581" s="51">
        <f>IF(K1581="",0,K1581)</f>
        <v>0</v>
      </c>
    </row>
    <row r="1582">
      <c r="A1582" s="49" t="n"/>
      <c r="B1582" s="41" t="n"/>
      <c r="C1582" s="41" t="n"/>
      <c r="D1582" s="42" t="n"/>
      <c r="E1582" s="42" t="n"/>
      <c r="F1582" s="50" t="n"/>
      <c r="G1582" s="42" t="n"/>
      <c r="H1582" s="30">
        <f>IF(D1582="","",IFERROR(INDEX(Config!$B$12:$B$15,MATCH(IF(AND(D1582="Cartão de crédito",N(E1582)&gt;1),"Cartão de crédito parcelado",D1582),Config!$A$12:$A$15,0)),0)+IF(AND(Config!$B$17="Sim",LEFT(D1582,17)="Cartão de crédito"),Config!$B$18*IFERROR(INDEX(Config!$C$12:$C$15,MATCH(IF(AND(D1582="Cartão de crédito",N(E1582)&gt;1),"Cartão de crédito parcelado",D1582),Config!$A$12:$A$15,0)),0)/30*MAX(1,N(E1582)),0))</f>
        <v/>
      </c>
      <c r="I1582" s="29">
        <f>IF(OR(D1582="",F1582=""),"",ROUND(F1582*H1582,2))</f>
        <v/>
      </c>
      <c r="J1582" s="29">
        <f>IF(I1582="","",F1582-I1582)</f>
        <v/>
      </c>
      <c r="K1582" s="29">
        <f>IF(J1582="","",J1582/MAX(1,N(E1582)))</f>
        <v/>
      </c>
      <c r="L1582" s="37">
        <f>IF(OR(D1582="",A1582=""),"",A1582+IF(AND(Config!$B$17="Sim",LEFT(D1582,17)="Cartão de crédito"),1,IFERROR(INDEX(Config!$C$12:$C$15,MATCH(IF(AND(D1582="Cartão de crédito",N(E1582)&gt;1),"Cartão de crédito parcelado",D1582),Config!$A$12:$A$15,0)),0)))</f>
        <v/>
      </c>
      <c r="M1582" s="37">
        <f>IF(L1582="","",IF(AND(Config!$B$17="Sim",LEFT(D1582,17)="Cartão de crédito"),L1582,L1582+30*(MAX(1,N(E1582))-1)))</f>
        <v/>
      </c>
      <c r="N1582" s="29">
        <f>IF(OR(L1582="",K1582=""),"",K1582*MIN(MAX(1,N(E1582)),MAX(0,INT((Config!$B$8-L1582)/30)+1)))</f>
        <v/>
      </c>
      <c r="O1582" s="29">
        <f>IF(J1582="","",J1582-N(N1582))</f>
        <v/>
      </c>
      <c r="P1582" s="27">
        <f>IF(A1582="","",MONTH(A1582))</f>
        <v/>
      </c>
      <c r="Q1582" s="27">
        <f>IF(A1582="","",YEAR(A1582))</f>
        <v/>
      </c>
      <c r="R1582" s="27">
        <f>IF(L1582="","",IF(L1582&gt;Config!$B$8,"A cair",IF(N(G1582)&gt;=MIN(MAX(1,N(E1582)),MAX(0,INT((Config!$B$8-L1582)/30)+1)),IF(N(G1582)&gt;=MAX(1,N(E1582)),"Conferido","Conferido até aqui"),"A conferir")))</f>
        <v/>
      </c>
      <c r="S1582" s="51">
        <f>IF(R1582="A conferir",(Config!$B$8-L1582)*1000+N(F1582)/1000+ROW()/100000,0)</f>
        <v>0</v>
      </c>
      <c r="T1582" s="51">
        <f>IF(R1582="A conferir",N(N1582),0)</f>
        <v>0</v>
      </c>
      <c r="U1582" s="51">
        <f>IF(L1582="",0,L1582)</f>
        <v>0</v>
      </c>
      <c r="V1582" s="51">
        <f>IF(L1582="",0,MAX(1,N(E1582)))</f>
        <v>0</v>
      </c>
      <c r="W1582" s="51">
        <f>IF(K1582="",0,K1582)</f>
        <v>0</v>
      </c>
    </row>
    <row r="1583">
      <c r="A1583" s="49" t="n"/>
      <c r="B1583" s="41" t="n"/>
      <c r="C1583" s="41" t="n"/>
      <c r="D1583" s="42" t="n"/>
      <c r="E1583" s="42" t="n"/>
      <c r="F1583" s="50" t="n"/>
      <c r="G1583" s="42" t="n"/>
      <c r="H1583" s="30">
        <f>IF(D1583="","",IFERROR(INDEX(Config!$B$12:$B$15,MATCH(IF(AND(D1583="Cartão de crédito",N(E1583)&gt;1),"Cartão de crédito parcelado",D1583),Config!$A$12:$A$15,0)),0)+IF(AND(Config!$B$17="Sim",LEFT(D1583,17)="Cartão de crédito"),Config!$B$18*IFERROR(INDEX(Config!$C$12:$C$15,MATCH(IF(AND(D1583="Cartão de crédito",N(E1583)&gt;1),"Cartão de crédito parcelado",D1583),Config!$A$12:$A$15,0)),0)/30*MAX(1,N(E1583)),0))</f>
        <v/>
      </c>
      <c r="I1583" s="29">
        <f>IF(OR(D1583="",F1583=""),"",ROUND(F1583*H1583,2))</f>
        <v/>
      </c>
      <c r="J1583" s="29">
        <f>IF(I1583="","",F1583-I1583)</f>
        <v/>
      </c>
      <c r="K1583" s="29">
        <f>IF(J1583="","",J1583/MAX(1,N(E1583)))</f>
        <v/>
      </c>
      <c r="L1583" s="37">
        <f>IF(OR(D1583="",A1583=""),"",A1583+IF(AND(Config!$B$17="Sim",LEFT(D1583,17)="Cartão de crédito"),1,IFERROR(INDEX(Config!$C$12:$C$15,MATCH(IF(AND(D1583="Cartão de crédito",N(E1583)&gt;1),"Cartão de crédito parcelado",D1583),Config!$A$12:$A$15,0)),0)))</f>
        <v/>
      </c>
      <c r="M1583" s="37">
        <f>IF(L1583="","",IF(AND(Config!$B$17="Sim",LEFT(D1583,17)="Cartão de crédito"),L1583,L1583+30*(MAX(1,N(E1583))-1)))</f>
        <v/>
      </c>
      <c r="N1583" s="29">
        <f>IF(OR(L1583="",K1583=""),"",K1583*MIN(MAX(1,N(E1583)),MAX(0,INT((Config!$B$8-L1583)/30)+1)))</f>
        <v/>
      </c>
      <c r="O1583" s="29">
        <f>IF(J1583="","",J1583-N(N1583))</f>
        <v/>
      </c>
      <c r="P1583" s="27">
        <f>IF(A1583="","",MONTH(A1583))</f>
        <v/>
      </c>
      <c r="Q1583" s="27">
        <f>IF(A1583="","",YEAR(A1583))</f>
        <v/>
      </c>
      <c r="R1583" s="27">
        <f>IF(L1583="","",IF(L1583&gt;Config!$B$8,"A cair",IF(N(G1583)&gt;=MIN(MAX(1,N(E1583)),MAX(0,INT((Config!$B$8-L1583)/30)+1)),IF(N(G1583)&gt;=MAX(1,N(E1583)),"Conferido","Conferido até aqui"),"A conferir")))</f>
        <v/>
      </c>
      <c r="S1583" s="51">
        <f>IF(R1583="A conferir",(Config!$B$8-L1583)*1000+N(F1583)/1000+ROW()/100000,0)</f>
        <v>0</v>
      </c>
      <c r="T1583" s="51">
        <f>IF(R1583="A conferir",N(N1583),0)</f>
        <v>0</v>
      </c>
      <c r="U1583" s="51">
        <f>IF(L1583="",0,L1583)</f>
        <v>0</v>
      </c>
      <c r="V1583" s="51">
        <f>IF(L1583="",0,MAX(1,N(E1583)))</f>
        <v>0</v>
      </c>
      <c r="W1583" s="51">
        <f>IF(K1583="",0,K1583)</f>
        <v>0</v>
      </c>
    </row>
    <row r="1584">
      <c r="A1584" s="49" t="n"/>
      <c r="B1584" s="41" t="n"/>
      <c r="C1584" s="41" t="n"/>
      <c r="D1584" s="42" t="n"/>
      <c r="E1584" s="42" t="n"/>
      <c r="F1584" s="50" t="n"/>
      <c r="G1584" s="42" t="n"/>
      <c r="H1584" s="30">
        <f>IF(D1584="","",IFERROR(INDEX(Config!$B$12:$B$15,MATCH(IF(AND(D1584="Cartão de crédito",N(E1584)&gt;1),"Cartão de crédito parcelado",D1584),Config!$A$12:$A$15,0)),0)+IF(AND(Config!$B$17="Sim",LEFT(D1584,17)="Cartão de crédito"),Config!$B$18*IFERROR(INDEX(Config!$C$12:$C$15,MATCH(IF(AND(D1584="Cartão de crédito",N(E1584)&gt;1),"Cartão de crédito parcelado",D1584),Config!$A$12:$A$15,0)),0)/30*MAX(1,N(E1584)),0))</f>
        <v/>
      </c>
      <c r="I1584" s="29">
        <f>IF(OR(D1584="",F1584=""),"",ROUND(F1584*H1584,2))</f>
        <v/>
      </c>
      <c r="J1584" s="29">
        <f>IF(I1584="","",F1584-I1584)</f>
        <v/>
      </c>
      <c r="K1584" s="29">
        <f>IF(J1584="","",J1584/MAX(1,N(E1584)))</f>
        <v/>
      </c>
      <c r="L1584" s="37">
        <f>IF(OR(D1584="",A1584=""),"",A1584+IF(AND(Config!$B$17="Sim",LEFT(D1584,17)="Cartão de crédito"),1,IFERROR(INDEX(Config!$C$12:$C$15,MATCH(IF(AND(D1584="Cartão de crédito",N(E1584)&gt;1),"Cartão de crédito parcelado",D1584),Config!$A$12:$A$15,0)),0)))</f>
        <v/>
      </c>
      <c r="M1584" s="37">
        <f>IF(L1584="","",IF(AND(Config!$B$17="Sim",LEFT(D1584,17)="Cartão de crédito"),L1584,L1584+30*(MAX(1,N(E1584))-1)))</f>
        <v/>
      </c>
      <c r="N1584" s="29">
        <f>IF(OR(L1584="",K1584=""),"",K1584*MIN(MAX(1,N(E1584)),MAX(0,INT((Config!$B$8-L1584)/30)+1)))</f>
        <v/>
      </c>
      <c r="O1584" s="29">
        <f>IF(J1584="","",J1584-N(N1584))</f>
        <v/>
      </c>
      <c r="P1584" s="27">
        <f>IF(A1584="","",MONTH(A1584))</f>
        <v/>
      </c>
      <c r="Q1584" s="27">
        <f>IF(A1584="","",YEAR(A1584))</f>
        <v/>
      </c>
      <c r="R1584" s="27">
        <f>IF(L1584="","",IF(L1584&gt;Config!$B$8,"A cair",IF(N(G1584)&gt;=MIN(MAX(1,N(E1584)),MAX(0,INT((Config!$B$8-L1584)/30)+1)),IF(N(G1584)&gt;=MAX(1,N(E1584)),"Conferido","Conferido até aqui"),"A conferir")))</f>
        <v/>
      </c>
      <c r="S1584" s="51">
        <f>IF(R1584="A conferir",(Config!$B$8-L1584)*1000+N(F1584)/1000+ROW()/100000,0)</f>
        <v>0</v>
      </c>
      <c r="T1584" s="51">
        <f>IF(R1584="A conferir",N(N1584),0)</f>
        <v>0</v>
      </c>
      <c r="U1584" s="51">
        <f>IF(L1584="",0,L1584)</f>
        <v>0</v>
      </c>
      <c r="V1584" s="51">
        <f>IF(L1584="",0,MAX(1,N(E1584)))</f>
        <v>0</v>
      </c>
      <c r="W1584" s="51">
        <f>IF(K1584="",0,K1584)</f>
        <v>0</v>
      </c>
    </row>
    <row r="1585">
      <c r="A1585" s="49" t="n"/>
      <c r="B1585" s="41" t="n"/>
      <c r="C1585" s="41" t="n"/>
      <c r="D1585" s="42" t="n"/>
      <c r="E1585" s="42" t="n"/>
      <c r="F1585" s="50" t="n"/>
      <c r="G1585" s="42" t="n"/>
      <c r="H1585" s="30">
        <f>IF(D1585="","",IFERROR(INDEX(Config!$B$12:$B$15,MATCH(IF(AND(D1585="Cartão de crédito",N(E1585)&gt;1),"Cartão de crédito parcelado",D1585),Config!$A$12:$A$15,0)),0)+IF(AND(Config!$B$17="Sim",LEFT(D1585,17)="Cartão de crédito"),Config!$B$18*IFERROR(INDEX(Config!$C$12:$C$15,MATCH(IF(AND(D1585="Cartão de crédito",N(E1585)&gt;1),"Cartão de crédito parcelado",D1585),Config!$A$12:$A$15,0)),0)/30*MAX(1,N(E1585)),0))</f>
        <v/>
      </c>
      <c r="I1585" s="29">
        <f>IF(OR(D1585="",F1585=""),"",ROUND(F1585*H1585,2))</f>
        <v/>
      </c>
      <c r="J1585" s="29">
        <f>IF(I1585="","",F1585-I1585)</f>
        <v/>
      </c>
      <c r="K1585" s="29">
        <f>IF(J1585="","",J1585/MAX(1,N(E1585)))</f>
        <v/>
      </c>
      <c r="L1585" s="37">
        <f>IF(OR(D1585="",A1585=""),"",A1585+IF(AND(Config!$B$17="Sim",LEFT(D1585,17)="Cartão de crédito"),1,IFERROR(INDEX(Config!$C$12:$C$15,MATCH(IF(AND(D1585="Cartão de crédito",N(E1585)&gt;1),"Cartão de crédito parcelado",D1585),Config!$A$12:$A$15,0)),0)))</f>
        <v/>
      </c>
      <c r="M1585" s="37">
        <f>IF(L1585="","",IF(AND(Config!$B$17="Sim",LEFT(D1585,17)="Cartão de crédito"),L1585,L1585+30*(MAX(1,N(E1585))-1)))</f>
        <v/>
      </c>
      <c r="N1585" s="29">
        <f>IF(OR(L1585="",K1585=""),"",K1585*MIN(MAX(1,N(E1585)),MAX(0,INT((Config!$B$8-L1585)/30)+1)))</f>
        <v/>
      </c>
      <c r="O1585" s="29">
        <f>IF(J1585="","",J1585-N(N1585))</f>
        <v/>
      </c>
      <c r="P1585" s="27">
        <f>IF(A1585="","",MONTH(A1585))</f>
        <v/>
      </c>
      <c r="Q1585" s="27">
        <f>IF(A1585="","",YEAR(A1585))</f>
        <v/>
      </c>
      <c r="R1585" s="27">
        <f>IF(L1585="","",IF(L1585&gt;Config!$B$8,"A cair",IF(N(G1585)&gt;=MIN(MAX(1,N(E1585)),MAX(0,INT((Config!$B$8-L1585)/30)+1)),IF(N(G1585)&gt;=MAX(1,N(E1585)),"Conferido","Conferido até aqui"),"A conferir")))</f>
        <v/>
      </c>
      <c r="S1585" s="51">
        <f>IF(R1585="A conferir",(Config!$B$8-L1585)*1000+N(F1585)/1000+ROW()/100000,0)</f>
        <v>0</v>
      </c>
      <c r="T1585" s="51">
        <f>IF(R1585="A conferir",N(N1585),0)</f>
        <v>0</v>
      </c>
      <c r="U1585" s="51">
        <f>IF(L1585="",0,L1585)</f>
        <v>0</v>
      </c>
      <c r="V1585" s="51">
        <f>IF(L1585="",0,MAX(1,N(E1585)))</f>
        <v>0</v>
      </c>
      <c r="W1585" s="51">
        <f>IF(K1585="",0,K1585)</f>
        <v>0</v>
      </c>
    </row>
    <row r="1586">
      <c r="A1586" s="49" t="n"/>
      <c r="B1586" s="41" t="n"/>
      <c r="C1586" s="41" t="n"/>
      <c r="D1586" s="42" t="n"/>
      <c r="E1586" s="42" t="n"/>
      <c r="F1586" s="50" t="n"/>
      <c r="G1586" s="42" t="n"/>
      <c r="H1586" s="30">
        <f>IF(D1586="","",IFERROR(INDEX(Config!$B$12:$B$15,MATCH(IF(AND(D1586="Cartão de crédito",N(E1586)&gt;1),"Cartão de crédito parcelado",D1586),Config!$A$12:$A$15,0)),0)+IF(AND(Config!$B$17="Sim",LEFT(D1586,17)="Cartão de crédito"),Config!$B$18*IFERROR(INDEX(Config!$C$12:$C$15,MATCH(IF(AND(D1586="Cartão de crédito",N(E1586)&gt;1),"Cartão de crédito parcelado",D1586),Config!$A$12:$A$15,0)),0)/30*MAX(1,N(E1586)),0))</f>
        <v/>
      </c>
      <c r="I1586" s="29">
        <f>IF(OR(D1586="",F1586=""),"",ROUND(F1586*H1586,2))</f>
        <v/>
      </c>
      <c r="J1586" s="29">
        <f>IF(I1586="","",F1586-I1586)</f>
        <v/>
      </c>
      <c r="K1586" s="29">
        <f>IF(J1586="","",J1586/MAX(1,N(E1586)))</f>
        <v/>
      </c>
      <c r="L1586" s="37">
        <f>IF(OR(D1586="",A1586=""),"",A1586+IF(AND(Config!$B$17="Sim",LEFT(D1586,17)="Cartão de crédito"),1,IFERROR(INDEX(Config!$C$12:$C$15,MATCH(IF(AND(D1586="Cartão de crédito",N(E1586)&gt;1),"Cartão de crédito parcelado",D1586),Config!$A$12:$A$15,0)),0)))</f>
        <v/>
      </c>
      <c r="M1586" s="37">
        <f>IF(L1586="","",IF(AND(Config!$B$17="Sim",LEFT(D1586,17)="Cartão de crédito"),L1586,L1586+30*(MAX(1,N(E1586))-1)))</f>
        <v/>
      </c>
      <c r="N1586" s="29">
        <f>IF(OR(L1586="",K1586=""),"",K1586*MIN(MAX(1,N(E1586)),MAX(0,INT((Config!$B$8-L1586)/30)+1)))</f>
        <v/>
      </c>
      <c r="O1586" s="29">
        <f>IF(J1586="","",J1586-N(N1586))</f>
        <v/>
      </c>
      <c r="P1586" s="27">
        <f>IF(A1586="","",MONTH(A1586))</f>
        <v/>
      </c>
      <c r="Q1586" s="27">
        <f>IF(A1586="","",YEAR(A1586))</f>
        <v/>
      </c>
      <c r="R1586" s="27">
        <f>IF(L1586="","",IF(L1586&gt;Config!$B$8,"A cair",IF(N(G1586)&gt;=MIN(MAX(1,N(E1586)),MAX(0,INT((Config!$B$8-L1586)/30)+1)),IF(N(G1586)&gt;=MAX(1,N(E1586)),"Conferido","Conferido até aqui"),"A conferir")))</f>
        <v/>
      </c>
      <c r="S1586" s="51">
        <f>IF(R1586="A conferir",(Config!$B$8-L1586)*1000+N(F1586)/1000+ROW()/100000,0)</f>
        <v>0</v>
      </c>
      <c r="T1586" s="51">
        <f>IF(R1586="A conferir",N(N1586),0)</f>
        <v>0</v>
      </c>
      <c r="U1586" s="51">
        <f>IF(L1586="",0,L1586)</f>
        <v>0</v>
      </c>
      <c r="V1586" s="51">
        <f>IF(L1586="",0,MAX(1,N(E1586)))</f>
        <v>0</v>
      </c>
      <c r="W1586" s="51">
        <f>IF(K1586="",0,K1586)</f>
        <v>0</v>
      </c>
    </row>
    <row r="1587">
      <c r="A1587" s="49" t="n"/>
      <c r="B1587" s="41" t="n"/>
      <c r="C1587" s="41" t="n"/>
      <c r="D1587" s="42" t="n"/>
      <c r="E1587" s="42" t="n"/>
      <c r="F1587" s="50" t="n"/>
      <c r="G1587" s="42" t="n"/>
      <c r="H1587" s="30">
        <f>IF(D1587="","",IFERROR(INDEX(Config!$B$12:$B$15,MATCH(IF(AND(D1587="Cartão de crédito",N(E1587)&gt;1),"Cartão de crédito parcelado",D1587),Config!$A$12:$A$15,0)),0)+IF(AND(Config!$B$17="Sim",LEFT(D1587,17)="Cartão de crédito"),Config!$B$18*IFERROR(INDEX(Config!$C$12:$C$15,MATCH(IF(AND(D1587="Cartão de crédito",N(E1587)&gt;1),"Cartão de crédito parcelado",D1587),Config!$A$12:$A$15,0)),0)/30*MAX(1,N(E1587)),0))</f>
        <v/>
      </c>
      <c r="I1587" s="29">
        <f>IF(OR(D1587="",F1587=""),"",ROUND(F1587*H1587,2))</f>
        <v/>
      </c>
      <c r="J1587" s="29">
        <f>IF(I1587="","",F1587-I1587)</f>
        <v/>
      </c>
      <c r="K1587" s="29">
        <f>IF(J1587="","",J1587/MAX(1,N(E1587)))</f>
        <v/>
      </c>
      <c r="L1587" s="37">
        <f>IF(OR(D1587="",A1587=""),"",A1587+IF(AND(Config!$B$17="Sim",LEFT(D1587,17)="Cartão de crédito"),1,IFERROR(INDEX(Config!$C$12:$C$15,MATCH(IF(AND(D1587="Cartão de crédito",N(E1587)&gt;1),"Cartão de crédito parcelado",D1587),Config!$A$12:$A$15,0)),0)))</f>
        <v/>
      </c>
      <c r="M1587" s="37">
        <f>IF(L1587="","",IF(AND(Config!$B$17="Sim",LEFT(D1587,17)="Cartão de crédito"),L1587,L1587+30*(MAX(1,N(E1587))-1)))</f>
        <v/>
      </c>
      <c r="N1587" s="29">
        <f>IF(OR(L1587="",K1587=""),"",K1587*MIN(MAX(1,N(E1587)),MAX(0,INT((Config!$B$8-L1587)/30)+1)))</f>
        <v/>
      </c>
      <c r="O1587" s="29">
        <f>IF(J1587="","",J1587-N(N1587))</f>
        <v/>
      </c>
      <c r="P1587" s="27">
        <f>IF(A1587="","",MONTH(A1587))</f>
        <v/>
      </c>
      <c r="Q1587" s="27">
        <f>IF(A1587="","",YEAR(A1587))</f>
        <v/>
      </c>
      <c r="R1587" s="27">
        <f>IF(L1587="","",IF(L1587&gt;Config!$B$8,"A cair",IF(N(G1587)&gt;=MIN(MAX(1,N(E1587)),MAX(0,INT((Config!$B$8-L1587)/30)+1)),IF(N(G1587)&gt;=MAX(1,N(E1587)),"Conferido","Conferido até aqui"),"A conferir")))</f>
        <v/>
      </c>
      <c r="S1587" s="51">
        <f>IF(R1587="A conferir",(Config!$B$8-L1587)*1000+N(F1587)/1000+ROW()/100000,0)</f>
        <v>0</v>
      </c>
      <c r="T1587" s="51">
        <f>IF(R1587="A conferir",N(N1587),0)</f>
        <v>0</v>
      </c>
      <c r="U1587" s="51">
        <f>IF(L1587="",0,L1587)</f>
        <v>0</v>
      </c>
      <c r="V1587" s="51">
        <f>IF(L1587="",0,MAX(1,N(E1587)))</f>
        <v>0</v>
      </c>
      <c r="W1587" s="51">
        <f>IF(K1587="",0,K1587)</f>
        <v>0</v>
      </c>
    </row>
    <row r="1588">
      <c r="A1588" s="49" t="n"/>
      <c r="B1588" s="41" t="n"/>
      <c r="C1588" s="41" t="n"/>
      <c r="D1588" s="42" t="n"/>
      <c r="E1588" s="42" t="n"/>
      <c r="F1588" s="50" t="n"/>
      <c r="G1588" s="42" t="n"/>
      <c r="H1588" s="30">
        <f>IF(D1588="","",IFERROR(INDEX(Config!$B$12:$B$15,MATCH(IF(AND(D1588="Cartão de crédito",N(E1588)&gt;1),"Cartão de crédito parcelado",D1588),Config!$A$12:$A$15,0)),0)+IF(AND(Config!$B$17="Sim",LEFT(D1588,17)="Cartão de crédito"),Config!$B$18*IFERROR(INDEX(Config!$C$12:$C$15,MATCH(IF(AND(D1588="Cartão de crédito",N(E1588)&gt;1),"Cartão de crédito parcelado",D1588),Config!$A$12:$A$15,0)),0)/30*MAX(1,N(E1588)),0))</f>
        <v/>
      </c>
      <c r="I1588" s="29">
        <f>IF(OR(D1588="",F1588=""),"",ROUND(F1588*H1588,2))</f>
        <v/>
      </c>
      <c r="J1588" s="29">
        <f>IF(I1588="","",F1588-I1588)</f>
        <v/>
      </c>
      <c r="K1588" s="29">
        <f>IF(J1588="","",J1588/MAX(1,N(E1588)))</f>
        <v/>
      </c>
      <c r="L1588" s="37">
        <f>IF(OR(D1588="",A1588=""),"",A1588+IF(AND(Config!$B$17="Sim",LEFT(D1588,17)="Cartão de crédito"),1,IFERROR(INDEX(Config!$C$12:$C$15,MATCH(IF(AND(D1588="Cartão de crédito",N(E1588)&gt;1),"Cartão de crédito parcelado",D1588),Config!$A$12:$A$15,0)),0)))</f>
        <v/>
      </c>
      <c r="M1588" s="37">
        <f>IF(L1588="","",IF(AND(Config!$B$17="Sim",LEFT(D1588,17)="Cartão de crédito"),L1588,L1588+30*(MAX(1,N(E1588))-1)))</f>
        <v/>
      </c>
      <c r="N1588" s="29">
        <f>IF(OR(L1588="",K1588=""),"",K1588*MIN(MAX(1,N(E1588)),MAX(0,INT((Config!$B$8-L1588)/30)+1)))</f>
        <v/>
      </c>
      <c r="O1588" s="29">
        <f>IF(J1588="","",J1588-N(N1588))</f>
        <v/>
      </c>
      <c r="P1588" s="27">
        <f>IF(A1588="","",MONTH(A1588))</f>
        <v/>
      </c>
      <c r="Q1588" s="27">
        <f>IF(A1588="","",YEAR(A1588))</f>
        <v/>
      </c>
      <c r="R1588" s="27">
        <f>IF(L1588="","",IF(L1588&gt;Config!$B$8,"A cair",IF(N(G1588)&gt;=MIN(MAX(1,N(E1588)),MAX(0,INT((Config!$B$8-L1588)/30)+1)),IF(N(G1588)&gt;=MAX(1,N(E1588)),"Conferido","Conferido até aqui"),"A conferir")))</f>
        <v/>
      </c>
      <c r="S1588" s="51">
        <f>IF(R1588="A conferir",(Config!$B$8-L1588)*1000+N(F1588)/1000+ROW()/100000,0)</f>
        <v>0</v>
      </c>
      <c r="T1588" s="51">
        <f>IF(R1588="A conferir",N(N1588),0)</f>
        <v>0</v>
      </c>
      <c r="U1588" s="51">
        <f>IF(L1588="",0,L1588)</f>
        <v>0</v>
      </c>
      <c r="V1588" s="51">
        <f>IF(L1588="",0,MAX(1,N(E1588)))</f>
        <v>0</v>
      </c>
      <c r="W1588" s="51">
        <f>IF(K1588="",0,K1588)</f>
        <v>0</v>
      </c>
    </row>
    <row r="1589">
      <c r="A1589" s="49" t="n"/>
      <c r="B1589" s="41" t="n"/>
      <c r="C1589" s="41" t="n"/>
      <c r="D1589" s="42" t="n"/>
      <c r="E1589" s="42" t="n"/>
      <c r="F1589" s="50" t="n"/>
      <c r="G1589" s="42" t="n"/>
      <c r="H1589" s="30">
        <f>IF(D1589="","",IFERROR(INDEX(Config!$B$12:$B$15,MATCH(IF(AND(D1589="Cartão de crédito",N(E1589)&gt;1),"Cartão de crédito parcelado",D1589),Config!$A$12:$A$15,0)),0)+IF(AND(Config!$B$17="Sim",LEFT(D1589,17)="Cartão de crédito"),Config!$B$18*IFERROR(INDEX(Config!$C$12:$C$15,MATCH(IF(AND(D1589="Cartão de crédito",N(E1589)&gt;1),"Cartão de crédito parcelado",D1589),Config!$A$12:$A$15,0)),0)/30*MAX(1,N(E1589)),0))</f>
        <v/>
      </c>
      <c r="I1589" s="29">
        <f>IF(OR(D1589="",F1589=""),"",ROUND(F1589*H1589,2))</f>
        <v/>
      </c>
      <c r="J1589" s="29">
        <f>IF(I1589="","",F1589-I1589)</f>
        <v/>
      </c>
      <c r="K1589" s="29">
        <f>IF(J1589="","",J1589/MAX(1,N(E1589)))</f>
        <v/>
      </c>
      <c r="L1589" s="37">
        <f>IF(OR(D1589="",A1589=""),"",A1589+IF(AND(Config!$B$17="Sim",LEFT(D1589,17)="Cartão de crédito"),1,IFERROR(INDEX(Config!$C$12:$C$15,MATCH(IF(AND(D1589="Cartão de crédito",N(E1589)&gt;1),"Cartão de crédito parcelado",D1589),Config!$A$12:$A$15,0)),0)))</f>
        <v/>
      </c>
      <c r="M1589" s="37">
        <f>IF(L1589="","",IF(AND(Config!$B$17="Sim",LEFT(D1589,17)="Cartão de crédito"),L1589,L1589+30*(MAX(1,N(E1589))-1)))</f>
        <v/>
      </c>
      <c r="N1589" s="29">
        <f>IF(OR(L1589="",K1589=""),"",K1589*MIN(MAX(1,N(E1589)),MAX(0,INT((Config!$B$8-L1589)/30)+1)))</f>
        <v/>
      </c>
      <c r="O1589" s="29">
        <f>IF(J1589="","",J1589-N(N1589))</f>
        <v/>
      </c>
      <c r="P1589" s="27">
        <f>IF(A1589="","",MONTH(A1589))</f>
        <v/>
      </c>
      <c r="Q1589" s="27">
        <f>IF(A1589="","",YEAR(A1589))</f>
        <v/>
      </c>
      <c r="R1589" s="27">
        <f>IF(L1589="","",IF(L1589&gt;Config!$B$8,"A cair",IF(N(G1589)&gt;=MIN(MAX(1,N(E1589)),MAX(0,INT((Config!$B$8-L1589)/30)+1)),IF(N(G1589)&gt;=MAX(1,N(E1589)),"Conferido","Conferido até aqui"),"A conferir")))</f>
        <v/>
      </c>
      <c r="S1589" s="51">
        <f>IF(R1589="A conferir",(Config!$B$8-L1589)*1000+N(F1589)/1000+ROW()/100000,0)</f>
        <v>0</v>
      </c>
      <c r="T1589" s="51">
        <f>IF(R1589="A conferir",N(N1589),0)</f>
        <v>0</v>
      </c>
      <c r="U1589" s="51">
        <f>IF(L1589="",0,L1589)</f>
        <v>0</v>
      </c>
      <c r="V1589" s="51">
        <f>IF(L1589="",0,MAX(1,N(E1589)))</f>
        <v>0</v>
      </c>
      <c r="W1589" s="51">
        <f>IF(K1589="",0,K1589)</f>
        <v>0</v>
      </c>
    </row>
    <row r="1590">
      <c r="A1590" s="49" t="n"/>
      <c r="B1590" s="41" t="n"/>
      <c r="C1590" s="41" t="n"/>
      <c r="D1590" s="42" t="n"/>
      <c r="E1590" s="42" t="n"/>
      <c r="F1590" s="50" t="n"/>
      <c r="G1590" s="42" t="n"/>
      <c r="H1590" s="30">
        <f>IF(D1590="","",IFERROR(INDEX(Config!$B$12:$B$15,MATCH(IF(AND(D1590="Cartão de crédito",N(E1590)&gt;1),"Cartão de crédito parcelado",D1590),Config!$A$12:$A$15,0)),0)+IF(AND(Config!$B$17="Sim",LEFT(D1590,17)="Cartão de crédito"),Config!$B$18*IFERROR(INDEX(Config!$C$12:$C$15,MATCH(IF(AND(D1590="Cartão de crédito",N(E1590)&gt;1),"Cartão de crédito parcelado",D1590),Config!$A$12:$A$15,0)),0)/30*MAX(1,N(E1590)),0))</f>
        <v/>
      </c>
      <c r="I1590" s="29">
        <f>IF(OR(D1590="",F1590=""),"",ROUND(F1590*H1590,2))</f>
        <v/>
      </c>
      <c r="J1590" s="29">
        <f>IF(I1590="","",F1590-I1590)</f>
        <v/>
      </c>
      <c r="K1590" s="29">
        <f>IF(J1590="","",J1590/MAX(1,N(E1590)))</f>
        <v/>
      </c>
      <c r="L1590" s="37">
        <f>IF(OR(D1590="",A1590=""),"",A1590+IF(AND(Config!$B$17="Sim",LEFT(D1590,17)="Cartão de crédito"),1,IFERROR(INDEX(Config!$C$12:$C$15,MATCH(IF(AND(D1590="Cartão de crédito",N(E1590)&gt;1),"Cartão de crédito parcelado",D1590),Config!$A$12:$A$15,0)),0)))</f>
        <v/>
      </c>
      <c r="M1590" s="37">
        <f>IF(L1590="","",IF(AND(Config!$B$17="Sim",LEFT(D1590,17)="Cartão de crédito"),L1590,L1590+30*(MAX(1,N(E1590))-1)))</f>
        <v/>
      </c>
      <c r="N1590" s="29">
        <f>IF(OR(L1590="",K1590=""),"",K1590*MIN(MAX(1,N(E1590)),MAX(0,INT((Config!$B$8-L1590)/30)+1)))</f>
        <v/>
      </c>
      <c r="O1590" s="29">
        <f>IF(J1590="","",J1590-N(N1590))</f>
        <v/>
      </c>
      <c r="P1590" s="27">
        <f>IF(A1590="","",MONTH(A1590))</f>
        <v/>
      </c>
      <c r="Q1590" s="27">
        <f>IF(A1590="","",YEAR(A1590))</f>
        <v/>
      </c>
      <c r="R1590" s="27">
        <f>IF(L1590="","",IF(L1590&gt;Config!$B$8,"A cair",IF(N(G1590)&gt;=MIN(MAX(1,N(E1590)),MAX(0,INT((Config!$B$8-L1590)/30)+1)),IF(N(G1590)&gt;=MAX(1,N(E1590)),"Conferido","Conferido até aqui"),"A conferir")))</f>
        <v/>
      </c>
      <c r="S1590" s="51">
        <f>IF(R1590="A conferir",(Config!$B$8-L1590)*1000+N(F1590)/1000+ROW()/100000,0)</f>
        <v>0</v>
      </c>
      <c r="T1590" s="51">
        <f>IF(R1590="A conferir",N(N1590),0)</f>
        <v>0</v>
      </c>
      <c r="U1590" s="51">
        <f>IF(L1590="",0,L1590)</f>
        <v>0</v>
      </c>
      <c r="V1590" s="51">
        <f>IF(L1590="",0,MAX(1,N(E1590)))</f>
        <v>0</v>
      </c>
      <c r="W1590" s="51">
        <f>IF(K1590="",0,K1590)</f>
        <v>0</v>
      </c>
    </row>
    <row r="1591">
      <c r="A1591" s="49" t="n"/>
      <c r="B1591" s="41" t="n"/>
      <c r="C1591" s="41" t="n"/>
      <c r="D1591" s="42" t="n"/>
      <c r="E1591" s="42" t="n"/>
      <c r="F1591" s="50" t="n"/>
      <c r="G1591" s="42" t="n"/>
      <c r="H1591" s="30">
        <f>IF(D1591="","",IFERROR(INDEX(Config!$B$12:$B$15,MATCH(IF(AND(D1591="Cartão de crédito",N(E1591)&gt;1),"Cartão de crédito parcelado",D1591),Config!$A$12:$A$15,0)),0)+IF(AND(Config!$B$17="Sim",LEFT(D1591,17)="Cartão de crédito"),Config!$B$18*IFERROR(INDEX(Config!$C$12:$C$15,MATCH(IF(AND(D1591="Cartão de crédito",N(E1591)&gt;1),"Cartão de crédito parcelado",D1591),Config!$A$12:$A$15,0)),0)/30*MAX(1,N(E1591)),0))</f>
        <v/>
      </c>
      <c r="I1591" s="29">
        <f>IF(OR(D1591="",F1591=""),"",ROUND(F1591*H1591,2))</f>
        <v/>
      </c>
      <c r="J1591" s="29">
        <f>IF(I1591="","",F1591-I1591)</f>
        <v/>
      </c>
      <c r="K1591" s="29">
        <f>IF(J1591="","",J1591/MAX(1,N(E1591)))</f>
        <v/>
      </c>
      <c r="L1591" s="37">
        <f>IF(OR(D1591="",A1591=""),"",A1591+IF(AND(Config!$B$17="Sim",LEFT(D1591,17)="Cartão de crédito"),1,IFERROR(INDEX(Config!$C$12:$C$15,MATCH(IF(AND(D1591="Cartão de crédito",N(E1591)&gt;1),"Cartão de crédito parcelado",D1591),Config!$A$12:$A$15,0)),0)))</f>
        <v/>
      </c>
      <c r="M1591" s="37">
        <f>IF(L1591="","",IF(AND(Config!$B$17="Sim",LEFT(D1591,17)="Cartão de crédito"),L1591,L1591+30*(MAX(1,N(E1591))-1)))</f>
        <v/>
      </c>
      <c r="N1591" s="29">
        <f>IF(OR(L1591="",K1591=""),"",K1591*MIN(MAX(1,N(E1591)),MAX(0,INT((Config!$B$8-L1591)/30)+1)))</f>
        <v/>
      </c>
      <c r="O1591" s="29">
        <f>IF(J1591="","",J1591-N(N1591))</f>
        <v/>
      </c>
      <c r="P1591" s="27">
        <f>IF(A1591="","",MONTH(A1591))</f>
        <v/>
      </c>
      <c r="Q1591" s="27">
        <f>IF(A1591="","",YEAR(A1591))</f>
        <v/>
      </c>
      <c r="R1591" s="27">
        <f>IF(L1591="","",IF(L1591&gt;Config!$B$8,"A cair",IF(N(G1591)&gt;=MIN(MAX(1,N(E1591)),MAX(0,INT((Config!$B$8-L1591)/30)+1)),IF(N(G1591)&gt;=MAX(1,N(E1591)),"Conferido","Conferido até aqui"),"A conferir")))</f>
        <v/>
      </c>
      <c r="S1591" s="51">
        <f>IF(R1591="A conferir",(Config!$B$8-L1591)*1000+N(F1591)/1000+ROW()/100000,0)</f>
        <v>0</v>
      </c>
      <c r="T1591" s="51">
        <f>IF(R1591="A conferir",N(N1591),0)</f>
        <v>0</v>
      </c>
      <c r="U1591" s="51">
        <f>IF(L1591="",0,L1591)</f>
        <v>0</v>
      </c>
      <c r="V1591" s="51">
        <f>IF(L1591="",0,MAX(1,N(E1591)))</f>
        <v>0</v>
      </c>
      <c r="W1591" s="51">
        <f>IF(K1591="",0,K1591)</f>
        <v>0</v>
      </c>
    </row>
    <row r="1592">
      <c r="A1592" s="49" t="n"/>
      <c r="B1592" s="41" t="n"/>
      <c r="C1592" s="41" t="n"/>
      <c r="D1592" s="42" t="n"/>
      <c r="E1592" s="42" t="n"/>
      <c r="F1592" s="50" t="n"/>
      <c r="G1592" s="42" t="n"/>
      <c r="H1592" s="30">
        <f>IF(D1592="","",IFERROR(INDEX(Config!$B$12:$B$15,MATCH(IF(AND(D1592="Cartão de crédito",N(E1592)&gt;1),"Cartão de crédito parcelado",D1592),Config!$A$12:$A$15,0)),0)+IF(AND(Config!$B$17="Sim",LEFT(D1592,17)="Cartão de crédito"),Config!$B$18*IFERROR(INDEX(Config!$C$12:$C$15,MATCH(IF(AND(D1592="Cartão de crédito",N(E1592)&gt;1),"Cartão de crédito parcelado",D1592),Config!$A$12:$A$15,0)),0)/30*MAX(1,N(E1592)),0))</f>
        <v/>
      </c>
      <c r="I1592" s="29">
        <f>IF(OR(D1592="",F1592=""),"",ROUND(F1592*H1592,2))</f>
        <v/>
      </c>
      <c r="J1592" s="29">
        <f>IF(I1592="","",F1592-I1592)</f>
        <v/>
      </c>
      <c r="K1592" s="29">
        <f>IF(J1592="","",J1592/MAX(1,N(E1592)))</f>
        <v/>
      </c>
      <c r="L1592" s="37">
        <f>IF(OR(D1592="",A1592=""),"",A1592+IF(AND(Config!$B$17="Sim",LEFT(D1592,17)="Cartão de crédito"),1,IFERROR(INDEX(Config!$C$12:$C$15,MATCH(IF(AND(D1592="Cartão de crédito",N(E1592)&gt;1),"Cartão de crédito parcelado",D1592),Config!$A$12:$A$15,0)),0)))</f>
        <v/>
      </c>
      <c r="M1592" s="37">
        <f>IF(L1592="","",IF(AND(Config!$B$17="Sim",LEFT(D1592,17)="Cartão de crédito"),L1592,L1592+30*(MAX(1,N(E1592))-1)))</f>
        <v/>
      </c>
      <c r="N1592" s="29">
        <f>IF(OR(L1592="",K1592=""),"",K1592*MIN(MAX(1,N(E1592)),MAX(0,INT((Config!$B$8-L1592)/30)+1)))</f>
        <v/>
      </c>
      <c r="O1592" s="29">
        <f>IF(J1592="","",J1592-N(N1592))</f>
        <v/>
      </c>
      <c r="P1592" s="27">
        <f>IF(A1592="","",MONTH(A1592))</f>
        <v/>
      </c>
      <c r="Q1592" s="27">
        <f>IF(A1592="","",YEAR(A1592))</f>
        <v/>
      </c>
      <c r="R1592" s="27">
        <f>IF(L1592="","",IF(L1592&gt;Config!$B$8,"A cair",IF(N(G1592)&gt;=MIN(MAX(1,N(E1592)),MAX(0,INT((Config!$B$8-L1592)/30)+1)),IF(N(G1592)&gt;=MAX(1,N(E1592)),"Conferido","Conferido até aqui"),"A conferir")))</f>
        <v/>
      </c>
      <c r="S1592" s="51">
        <f>IF(R1592="A conferir",(Config!$B$8-L1592)*1000+N(F1592)/1000+ROW()/100000,0)</f>
        <v>0</v>
      </c>
      <c r="T1592" s="51">
        <f>IF(R1592="A conferir",N(N1592),0)</f>
        <v>0</v>
      </c>
      <c r="U1592" s="51">
        <f>IF(L1592="",0,L1592)</f>
        <v>0</v>
      </c>
      <c r="V1592" s="51">
        <f>IF(L1592="",0,MAX(1,N(E1592)))</f>
        <v>0</v>
      </c>
      <c r="W1592" s="51">
        <f>IF(K1592="",0,K1592)</f>
        <v>0</v>
      </c>
    </row>
    <row r="1593">
      <c r="A1593" s="49" t="n"/>
      <c r="B1593" s="41" t="n"/>
      <c r="C1593" s="41" t="n"/>
      <c r="D1593" s="42" t="n"/>
      <c r="E1593" s="42" t="n"/>
      <c r="F1593" s="50" t="n"/>
      <c r="G1593" s="42" t="n"/>
      <c r="H1593" s="30">
        <f>IF(D1593="","",IFERROR(INDEX(Config!$B$12:$B$15,MATCH(IF(AND(D1593="Cartão de crédito",N(E1593)&gt;1),"Cartão de crédito parcelado",D1593),Config!$A$12:$A$15,0)),0)+IF(AND(Config!$B$17="Sim",LEFT(D1593,17)="Cartão de crédito"),Config!$B$18*IFERROR(INDEX(Config!$C$12:$C$15,MATCH(IF(AND(D1593="Cartão de crédito",N(E1593)&gt;1),"Cartão de crédito parcelado",D1593),Config!$A$12:$A$15,0)),0)/30*MAX(1,N(E1593)),0))</f>
        <v/>
      </c>
      <c r="I1593" s="29">
        <f>IF(OR(D1593="",F1593=""),"",ROUND(F1593*H1593,2))</f>
        <v/>
      </c>
      <c r="J1593" s="29">
        <f>IF(I1593="","",F1593-I1593)</f>
        <v/>
      </c>
      <c r="K1593" s="29">
        <f>IF(J1593="","",J1593/MAX(1,N(E1593)))</f>
        <v/>
      </c>
      <c r="L1593" s="37">
        <f>IF(OR(D1593="",A1593=""),"",A1593+IF(AND(Config!$B$17="Sim",LEFT(D1593,17)="Cartão de crédito"),1,IFERROR(INDEX(Config!$C$12:$C$15,MATCH(IF(AND(D1593="Cartão de crédito",N(E1593)&gt;1),"Cartão de crédito parcelado",D1593),Config!$A$12:$A$15,0)),0)))</f>
        <v/>
      </c>
      <c r="M1593" s="37">
        <f>IF(L1593="","",IF(AND(Config!$B$17="Sim",LEFT(D1593,17)="Cartão de crédito"),L1593,L1593+30*(MAX(1,N(E1593))-1)))</f>
        <v/>
      </c>
      <c r="N1593" s="29">
        <f>IF(OR(L1593="",K1593=""),"",K1593*MIN(MAX(1,N(E1593)),MAX(0,INT((Config!$B$8-L1593)/30)+1)))</f>
        <v/>
      </c>
      <c r="O1593" s="29">
        <f>IF(J1593="","",J1593-N(N1593))</f>
        <v/>
      </c>
      <c r="P1593" s="27">
        <f>IF(A1593="","",MONTH(A1593))</f>
        <v/>
      </c>
      <c r="Q1593" s="27">
        <f>IF(A1593="","",YEAR(A1593))</f>
        <v/>
      </c>
      <c r="R1593" s="27">
        <f>IF(L1593="","",IF(L1593&gt;Config!$B$8,"A cair",IF(N(G1593)&gt;=MIN(MAX(1,N(E1593)),MAX(0,INT((Config!$B$8-L1593)/30)+1)),IF(N(G1593)&gt;=MAX(1,N(E1593)),"Conferido","Conferido até aqui"),"A conferir")))</f>
        <v/>
      </c>
      <c r="S1593" s="51">
        <f>IF(R1593="A conferir",(Config!$B$8-L1593)*1000+N(F1593)/1000+ROW()/100000,0)</f>
        <v>0</v>
      </c>
      <c r="T1593" s="51">
        <f>IF(R1593="A conferir",N(N1593),0)</f>
        <v>0</v>
      </c>
      <c r="U1593" s="51">
        <f>IF(L1593="",0,L1593)</f>
        <v>0</v>
      </c>
      <c r="V1593" s="51">
        <f>IF(L1593="",0,MAX(1,N(E1593)))</f>
        <v>0</v>
      </c>
      <c r="W1593" s="51">
        <f>IF(K1593="",0,K1593)</f>
        <v>0</v>
      </c>
    </row>
    <row r="1594">
      <c r="A1594" s="49" t="n"/>
      <c r="B1594" s="41" t="n"/>
      <c r="C1594" s="41" t="n"/>
      <c r="D1594" s="42" t="n"/>
      <c r="E1594" s="42" t="n"/>
      <c r="F1594" s="50" t="n"/>
      <c r="G1594" s="42" t="n"/>
      <c r="H1594" s="30">
        <f>IF(D1594="","",IFERROR(INDEX(Config!$B$12:$B$15,MATCH(IF(AND(D1594="Cartão de crédito",N(E1594)&gt;1),"Cartão de crédito parcelado",D1594),Config!$A$12:$A$15,0)),0)+IF(AND(Config!$B$17="Sim",LEFT(D1594,17)="Cartão de crédito"),Config!$B$18*IFERROR(INDEX(Config!$C$12:$C$15,MATCH(IF(AND(D1594="Cartão de crédito",N(E1594)&gt;1),"Cartão de crédito parcelado",D1594),Config!$A$12:$A$15,0)),0)/30*MAX(1,N(E1594)),0))</f>
        <v/>
      </c>
      <c r="I1594" s="29">
        <f>IF(OR(D1594="",F1594=""),"",ROUND(F1594*H1594,2))</f>
        <v/>
      </c>
      <c r="J1594" s="29">
        <f>IF(I1594="","",F1594-I1594)</f>
        <v/>
      </c>
      <c r="K1594" s="29">
        <f>IF(J1594="","",J1594/MAX(1,N(E1594)))</f>
        <v/>
      </c>
      <c r="L1594" s="37">
        <f>IF(OR(D1594="",A1594=""),"",A1594+IF(AND(Config!$B$17="Sim",LEFT(D1594,17)="Cartão de crédito"),1,IFERROR(INDEX(Config!$C$12:$C$15,MATCH(IF(AND(D1594="Cartão de crédito",N(E1594)&gt;1),"Cartão de crédito parcelado",D1594),Config!$A$12:$A$15,0)),0)))</f>
        <v/>
      </c>
      <c r="M1594" s="37">
        <f>IF(L1594="","",IF(AND(Config!$B$17="Sim",LEFT(D1594,17)="Cartão de crédito"),L1594,L1594+30*(MAX(1,N(E1594))-1)))</f>
        <v/>
      </c>
      <c r="N1594" s="29">
        <f>IF(OR(L1594="",K1594=""),"",K1594*MIN(MAX(1,N(E1594)),MAX(0,INT((Config!$B$8-L1594)/30)+1)))</f>
        <v/>
      </c>
      <c r="O1594" s="29">
        <f>IF(J1594="","",J1594-N(N1594))</f>
        <v/>
      </c>
      <c r="P1594" s="27">
        <f>IF(A1594="","",MONTH(A1594))</f>
        <v/>
      </c>
      <c r="Q1594" s="27">
        <f>IF(A1594="","",YEAR(A1594))</f>
        <v/>
      </c>
      <c r="R1594" s="27">
        <f>IF(L1594="","",IF(L1594&gt;Config!$B$8,"A cair",IF(N(G1594)&gt;=MIN(MAX(1,N(E1594)),MAX(0,INT((Config!$B$8-L1594)/30)+1)),IF(N(G1594)&gt;=MAX(1,N(E1594)),"Conferido","Conferido até aqui"),"A conferir")))</f>
        <v/>
      </c>
      <c r="S1594" s="51">
        <f>IF(R1594="A conferir",(Config!$B$8-L1594)*1000+N(F1594)/1000+ROW()/100000,0)</f>
        <v>0</v>
      </c>
      <c r="T1594" s="51">
        <f>IF(R1594="A conferir",N(N1594),0)</f>
        <v>0</v>
      </c>
      <c r="U1594" s="51">
        <f>IF(L1594="",0,L1594)</f>
        <v>0</v>
      </c>
      <c r="V1594" s="51">
        <f>IF(L1594="",0,MAX(1,N(E1594)))</f>
        <v>0</v>
      </c>
      <c r="W1594" s="51">
        <f>IF(K1594="",0,K1594)</f>
        <v>0</v>
      </c>
    </row>
    <row r="1595">
      <c r="A1595" s="49" t="n"/>
      <c r="B1595" s="41" t="n"/>
      <c r="C1595" s="41" t="n"/>
      <c r="D1595" s="42" t="n"/>
      <c r="E1595" s="42" t="n"/>
      <c r="F1595" s="50" t="n"/>
      <c r="G1595" s="42" t="n"/>
      <c r="H1595" s="30">
        <f>IF(D1595="","",IFERROR(INDEX(Config!$B$12:$B$15,MATCH(IF(AND(D1595="Cartão de crédito",N(E1595)&gt;1),"Cartão de crédito parcelado",D1595),Config!$A$12:$A$15,0)),0)+IF(AND(Config!$B$17="Sim",LEFT(D1595,17)="Cartão de crédito"),Config!$B$18*IFERROR(INDEX(Config!$C$12:$C$15,MATCH(IF(AND(D1595="Cartão de crédito",N(E1595)&gt;1),"Cartão de crédito parcelado",D1595),Config!$A$12:$A$15,0)),0)/30*MAX(1,N(E1595)),0))</f>
        <v/>
      </c>
      <c r="I1595" s="29">
        <f>IF(OR(D1595="",F1595=""),"",ROUND(F1595*H1595,2))</f>
        <v/>
      </c>
      <c r="J1595" s="29">
        <f>IF(I1595="","",F1595-I1595)</f>
        <v/>
      </c>
      <c r="K1595" s="29">
        <f>IF(J1595="","",J1595/MAX(1,N(E1595)))</f>
        <v/>
      </c>
      <c r="L1595" s="37">
        <f>IF(OR(D1595="",A1595=""),"",A1595+IF(AND(Config!$B$17="Sim",LEFT(D1595,17)="Cartão de crédito"),1,IFERROR(INDEX(Config!$C$12:$C$15,MATCH(IF(AND(D1595="Cartão de crédito",N(E1595)&gt;1),"Cartão de crédito parcelado",D1595),Config!$A$12:$A$15,0)),0)))</f>
        <v/>
      </c>
      <c r="M1595" s="37">
        <f>IF(L1595="","",IF(AND(Config!$B$17="Sim",LEFT(D1595,17)="Cartão de crédito"),L1595,L1595+30*(MAX(1,N(E1595))-1)))</f>
        <v/>
      </c>
      <c r="N1595" s="29">
        <f>IF(OR(L1595="",K1595=""),"",K1595*MIN(MAX(1,N(E1595)),MAX(0,INT((Config!$B$8-L1595)/30)+1)))</f>
        <v/>
      </c>
      <c r="O1595" s="29">
        <f>IF(J1595="","",J1595-N(N1595))</f>
        <v/>
      </c>
      <c r="P1595" s="27">
        <f>IF(A1595="","",MONTH(A1595))</f>
        <v/>
      </c>
      <c r="Q1595" s="27">
        <f>IF(A1595="","",YEAR(A1595))</f>
        <v/>
      </c>
      <c r="R1595" s="27">
        <f>IF(L1595="","",IF(L1595&gt;Config!$B$8,"A cair",IF(N(G1595)&gt;=MIN(MAX(1,N(E1595)),MAX(0,INT((Config!$B$8-L1595)/30)+1)),IF(N(G1595)&gt;=MAX(1,N(E1595)),"Conferido","Conferido até aqui"),"A conferir")))</f>
        <v/>
      </c>
      <c r="S1595" s="51">
        <f>IF(R1595="A conferir",(Config!$B$8-L1595)*1000+N(F1595)/1000+ROW()/100000,0)</f>
        <v>0</v>
      </c>
      <c r="T1595" s="51">
        <f>IF(R1595="A conferir",N(N1595),0)</f>
        <v>0</v>
      </c>
      <c r="U1595" s="51">
        <f>IF(L1595="",0,L1595)</f>
        <v>0</v>
      </c>
      <c r="V1595" s="51">
        <f>IF(L1595="",0,MAX(1,N(E1595)))</f>
        <v>0</v>
      </c>
      <c r="W1595" s="51">
        <f>IF(K1595="",0,K1595)</f>
        <v>0</v>
      </c>
    </row>
    <row r="1596">
      <c r="A1596" s="49" t="n"/>
      <c r="B1596" s="41" t="n"/>
      <c r="C1596" s="41" t="n"/>
      <c r="D1596" s="42" t="n"/>
      <c r="E1596" s="42" t="n"/>
      <c r="F1596" s="50" t="n"/>
      <c r="G1596" s="42" t="n"/>
      <c r="H1596" s="30">
        <f>IF(D1596="","",IFERROR(INDEX(Config!$B$12:$B$15,MATCH(IF(AND(D1596="Cartão de crédito",N(E1596)&gt;1),"Cartão de crédito parcelado",D1596),Config!$A$12:$A$15,0)),0)+IF(AND(Config!$B$17="Sim",LEFT(D1596,17)="Cartão de crédito"),Config!$B$18*IFERROR(INDEX(Config!$C$12:$C$15,MATCH(IF(AND(D1596="Cartão de crédito",N(E1596)&gt;1),"Cartão de crédito parcelado",D1596),Config!$A$12:$A$15,0)),0)/30*MAX(1,N(E1596)),0))</f>
        <v/>
      </c>
      <c r="I1596" s="29">
        <f>IF(OR(D1596="",F1596=""),"",ROUND(F1596*H1596,2))</f>
        <v/>
      </c>
      <c r="J1596" s="29">
        <f>IF(I1596="","",F1596-I1596)</f>
        <v/>
      </c>
      <c r="K1596" s="29">
        <f>IF(J1596="","",J1596/MAX(1,N(E1596)))</f>
        <v/>
      </c>
      <c r="L1596" s="37">
        <f>IF(OR(D1596="",A1596=""),"",A1596+IF(AND(Config!$B$17="Sim",LEFT(D1596,17)="Cartão de crédito"),1,IFERROR(INDEX(Config!$C$12:$C$15,MATCH(IF(AND(D1596="Cartão de crédito",N(E1596)&gt;1),"Cartão de crédito parcelado",D1596),Config!$A$12:$A$15,0)),0)))</f>
        <v/>
      </c>
      <c r="M1596" s="37">
        <f>IF(L1596="","",IF(AND(Config!$B$17="Sim",LEFT(D1596,17)="Cartão de crédito"),L1596,L1596+30*(MAX(1,N(E1596))-1)))</f>
        <v/>
      </c>
      <c r="N1596" s="29">
        <f>IF(OR(L1596="",K1596=""),"",K1596*MIN(MAX(1,N(E1596)),MAX(0,INT((Config!$B$8-L1596)/30)+1)))</f>
        <v/>
      </c>
      <c r="O1596" s="29">
        <f>IF(J1596="","",J1596-N(N1596))</f>
        <v/>
      </c>
      <c r="P1596" s="27">
        <f>IF(A1596="","",MONTH(A1596))</f>
        <v/>
      </c>
      <c r="Q1596" s="27">
        <f>IF(A1596="","",YEAR(A1596))</f>
        <v/>
      </c>
      <c r="R1596" s="27">
        <f>IF(L1596="","",IF(L1596&gt;Config!$B$8,"A cair",IF(N(G1596)&gt;=MIN(MAX(1,N(E1596)),MAX(0,INT((Config!$B$8-L1596)/30)+1)),IF(N(G1596)&gt;=MAX(1,N(E1596)),"Conferido","Conferido até aqui"),"A conferir")))</f>
        <v/>
      </c>
      <c r="S1596" s="51">
        <f>IF(R1596="A conferir",(Config!$B$8-L1596)*1000+N(F1596)/1000+ROW()/100000,0)</f>
        <v>0</v>
      </c>
      <c r="T1596" s="51">
        <f>IF(R1596="A conferir",N(N1596),0)</f>
        <v>0</v>
      </c>
      <c r="U1596" s="51">
        <f>IF(L1596="",0,L1596)</f>
        <v>0</v>
      </c>
      <c r="V1596" s="51">
        <f>IF(L1596="",0,MAX(1,N(E1596)))</f>
        <v>0</v>
      </c>
      <c r="W1596" s="51">
        <f>IF(K1596="",0,K1596)</f>
        <v>0</v>
      </c>
    </row>
    <row r="1597">
      <c r="A1597" s="49" t="n"/>
      <c r="B1597" s="41" t="n"/>
      <c r="C1597" s="41" t="n"/>
      <c r="D1597" s="42" t="n"/>
      <c r="E1597" s="42" t="n"/>
      <c r="F1597" s="50" t="n"/>
      <c r="G1597" s="42" t="n"/>
      <c r="H1597" s="30">
        <f>IF(D1597="","",IFERROR(INDEX(Config!$B$12:$B$15,MATCH(IF(AND(D1597="Cartão de crédito",N(E1597)&gt;1),"Cartão de crédito parcelado",D1597),Config!$A$12:$A$15,0)),0)+IF(AND(Config!$B$17="Sim",LEFT(D1597,17)="Cartão de crédito"),Config!$B$18*IFERROR(INDEX(Config!$C$12:$C$15,MATCH(IF(AND(D1597="Cartão de crédito",N(E1597)&gt;1),"Cartão de crédito parcelado",D1597),Config!$A$12:$A$15,0)),0)/30*MAX(1,N(E1597)),0))</f>
        <v/>
      </c>
      <c r="I1597" s="29">
        <f>IF(OR(D1597="",F1597=""),"",ROUND(F1597*H1597,2))</f>
        <v/>
      </c>
      <c r="J1597" s="29">
        <f>IF(I1597="","",F1597-I1597)</f>
        <v/>
      </c>
      <c r="K1597" s="29">
        <f>IF(J1597="","",J1597/MAX(1,N(E1597)))</f>
        <v/>
      </c>
      <c r="L1597" s="37">
        <f>IF(OR(D1597="",A1597=""),"",A1597+IF(AND(Config!$B$17="Sim",LEFT(D1597,17)="Cartão de crédito"),1,IFERROR(INDEX(Config!$C$12:$C$15,MATCH(IF(AND(D1597="Cartão de crédito",N(E1597)&gt;1),"Cartão de crédito parcelado",D1597),Config!$A$12:$A$15,0)),0)))</f>
        <v/>
      </c>
      <c r="M1597" s="37">
        <f>IF(L1597="","",IF(AND(Config!$B$17="Sim",LEFT(D1597,17)="Cartão de crédito"),L1597,L1597+30*(MAX(1,N(E1597))-1)))</f>
        <v/>
      </c>
      <c r="N1597" s="29">
        <f>IF(OR(L1597="",K1597=""),"",K1597*MIN(MAX(1,N(E1597)),MAX(0,INT((Config!$B$8-L1597)/30)+1)))</f>
        <v/>
      </c>
      <c r="O1597" s="29">
        <f>IF(J1597="","",J1597-N(N1597))</f>
        <v/>
      </c>
      <c r="P1597" s="27">
        <f>IF(A1597="","",MONTH(A1597))</f>
        <v/>
      </c>
      <c r="Q1597" s="27">
        <f>IF(A1597="","",YEAR(A1597))</f>
        <v/>
      </c>
      <c r="R1597" s="27">
        <f>IF(L1597="","",IF(L1597&gt;Config!$B$8,"A cair",IF(N(G1597)&gt;=MIN(MAX(1,N(E1597)),MAX(0,INT((Config!$B$8-L1597)/30)+1)),IF(N(G1597)&gt;=MAX(1,N(E1597)),"Conferido","Conferido até aqui"),"A conferir")))</f>
        <v/>
      </c>
      <c r="S1597" s="51">
        <f>IF(R1597="A conferir",(Config!$B$8-L1597)*1000+N(F1597)/1000+ROW()/100000,0)</f>
        <v>0</v>
      </c>
      <c r="T1597" s="51">
        <f>IF(R1597="A conferir",N(N1597),0)</f>
        <v>0</v>
      </c>
      <c r="U1597" s="51">
        <f>IF(L1597="",0,L1597)</f>
        <v>0</v>
      </c>
      <c r="V1597" s="51">
        <f>IF(L1597="",0,MAX(1,N(E1597)))</f>
        <v>0</v>
      </c>
      <c r="W1597" s="51">
        <f>IF(K1597="",0,K1597)</f>
        <v>0</v>
      </c>
    </row>
    <row r="1598">
      <c r="A1598" s="49" t="n"/>
      <c r="B1598" s="41" t="n"/>
      <c r="C1598" s="41" t="n"/>
      <c r="D1598" s="42" t="n"/>
      <c r="E1598" s="42" t="n"/>
      <c r="F1598" s="50" t="n"/>
      <c r="G1598" s="42" t="n"/>
      <c r="H1598" s="30">
        <f>IF(D1598="","",IFERROR(INDEX(Config!$B$12:$B$15,MATCH(IF(AND(D1598="Cartão de crédito",N(E1598)&gt;1),"Cartão de crédito parcelado",D1598),Config!$A$12:$A$15,0)),0)+IF(AND(Config!$B$17="Sim",LEFT(D1598,17)="Cartão de crédito"),Config!$B$18*IFERROR(INDEX(Config!$C$12:$C$15,MATCH(IF(AND(D1598="Cartão de crédito",N(E1598)&gt;1),"Cartão de crédito parcelado",D1598),Config!$A$12:$A$15,0)),0)/30*MAX(1,N(E1598)),0))</f>
        <v/>
      </c>
      <c r="I1598" s="29">
        <f>IF(OR(D1598="",F1598=""),"",ROUND(F1598*H1598,2))</f>
        <v/>
      </c>
      <c r="J1598" s="29">
        <f>IF(I1598="","",F1598-I1598)</f>
        <v/>
      </c>
      <c r="K1598" s="29">
        <f>IF(J1598="","",J1598/MAX(1,N(E1598)))</f>
        <v/>
      </c>
      <c r="L1598" s="37">
        <f>IF(OR(D1598="",A1598=""),"",A1598+IF(AND(Config!$B$17="Sim",LEFT(D1598,17)="Cartão de crédito"),1,IFERROR(INDEX(Config!$C$12:$C$15,MATCH(IF(AND(D1598="Cartão de crédito",N(E1598)&gt;1),"Cartão de crédito parcelado",D1598),Config!$A$12:$A$15,0)),0)))</f>
        <v/>
      </c>
      <c r="M1598" s="37">
        <f>IF(L1598="","",IF(AND(Config!$B$17="Sim",LEFT(D1598,17)="Cartão de crédito"),L1598,L1598+30*(MAX(1,N(E1598))-1)))</f>
        <v/>
      </c>
      <c r="N1598" s="29">
        <f>IF(OR(L1598="",K1598=""),"",K1598*MIN(MAX(1,N(E1598)),MAX(0,INT((Config!$B$8-L1598)/30)+1)))</f>
        <v/>
      </c>
      <c r="O1598" s="29">
        <f>IF(J1598="","",J1598-N(N1598))</f>
        <v/>
      </c>
      <c r="P1598" s="27">
        <f>IF(A1598="","",MONTH(A1598))</f>
        <v/>
      </c>
      <c r="Q1598" s="27">
        <f>IF(A1598="","",YEAR(A1598))</f>
        <v/>
      </c>
      <c r="R1598" s="27">
        <f>IF(L1598="","",IF(L1598&gt;Config!$B$8,"A cair",IF(N(G1598)&gt;=MIN(MAX(1,N(E1598)),MAX(0,INT((Config!$B$8-L1598)/30)+1)),IF(N(G1598)&gt;=MAX(1,N(E1598)),"Conferido","Conferido até aqui"),"A conferir")))</f>
        <v/>
      </c>
      <c r="S1598" s="51">
        <f>IF(R1598="A conferir",(Config!$B$8-L1598)*1000+N(F1598)/1000+ROW()/100000,0)</f>
        <v>0</v>
      </c>
      <c r="T1598" s="51">
        <f>IF(R1598="A conferir",N(N1598),0)</f>
        <v>0</v>
      </c>
      <c r="U1598" s="51">
        <f>IF(L1598="",0,L1598)</f>
        <v>0</v>
      </c>
      <c r="V1598" s="51">
        <f>IF(L1598="",0,MAX(1,N(E1598)))</f>
        <v>0</v>
      </c>
      <c r="W1598" s="51">
        <f>IF(K1598="",0,K1598)</f>
        <v>0</v>
      </c>
    </row>
    <row r="1599">
      <c r="A1599" s="49" t="n"/>
      <c r="B1599" s="41" t="n"/>
      <c r="C1599" s="41" t="n"/>
      <c r="D1599" s="42" t="n"/>
      <c r="E1599" s="42" t="n"/>
      <c r="F1599" s="50" t="n"/>
      <c r="G1599" s="42" t="n"/>
      <c r="H1599" s="30">
        <f>IF(D1599="","",IFERROR(INDEX(Config!$B$12:$B$15,MATCH(IF(AND(D1599="Cartão de crédito",N(E1599)&gt;1),"Cartão de crédito parcelado",D1599),Config!$A$12:$A$15,0)),0)+IF(AND(Config!$B$17="Sim",LEFT(D1599,17)="Cartão de crédito"),Config!$B$18*IFERROR(INDEX(Config!$C$12:$C$15,MATCH(IF(AND(D1599="Cartão de crédito",N(E1599)&gt;1),"Cartão de crédito parcelado",D1599),Config!$A$12:$A$15,0)),0)/30*MAX(1,N(E1599)),0))</f>
        <v/>
      </c>
      <c r="I1599" s="29">
        <f>IF(OR(D1599="",F1599=""),"",ROUND(F1599*H1599,2))</f>
        <v/>
      </c>
      <c r="J1599" s="29">
        <f>IF(I1599="","",F1599-I1599)</f>
        <v/>
      </c>
      <c r="K1599" s="29">
        <f>IF(J1599="","",J1599/MAX(1,N(E1599)))</f>
        <v/>
      </c>
      <c r="L1599" s="37">
        <f>IF(OR(D1599="",A1599=""),"",A1599+IF(AND(Config!$B$17="Sim",LEFT(D1599,17)="Cartão de crédito"),1,IFERROR(INDEX(Config!$C$12:$C$15,MATCH(IF(AND(D1599="Cartão de crédito",N(E1599)&gt;1),"Cartão de crédito parcelado",D1599),Config!$A$12:$A$15,0)),0)))</f>
        <v/>
      </c>
      <c r="M1599" s="37">
        <f>IF(L1599="","",IF(AND(Config!$B$17="Sim",LEFT(D1599,17)="Cartão de crédito"),L1599,L1599+30*(MAX(1,N(E1599))-1)))</f>
        <v/>
      </c>
      <c r="N1599" s="29">
        <f>IF(OR(L1599="",K1599=""),"",K1599*MIN(MAX(1,N(E1599)),MAX(0,INT((Config!$B$8-L1599)/30)+1)))</f>
        <v/>
      </c>
      <c r="O1599" s="29">
        <f>IF(J1599="","",J1599-N(N1599))</f>
        <v/>
      </c>
      <c r="P1599" s="27">
        <f>IF(A1599="","",MONTH(A1599))</f>
        <v/>
      </c>
      <c r="Q1599" s="27">
        <f>IF(A1599="","",YEAR(A1599))</f>
        <v/>
      </c>
      <c r="R1599" s="27">
        <f>IF(L1599="","",IF(L1599&gt;Config!$B$8,"A cair",IF(N(G1599)&gt;=MIN(MAX(1,N(E1599)),MAX(0,INT((Config!$B$8-L1599)/30)+1)),IF(N(G1599)&gt;=MAX(1,N(E1599)),"Conferido","Conferido até aqui"),"A conferir")))</f>
        <v/>
      </c>
      <c r="S1599" s="51">
        <f>IF(R1599="A conferir",(Config!$B$8-L1599)*1000+N(F1599)/1000+ROW()/100000,0)</f>
        <v>0</v>
      </c>
      <c r="T1599" s="51">
        <f>IF(R1599="A conferir",N(N1599),0)</f>
        <v>0</v>
      </c>
      <c r="U1599" s="51">
        <f>IF(L1599="",0,L1599)</f>
        <v>0</v>
      </c>
      <c r="V1599" s="51">
        <f>IF(L1599="",0,MAX(1,N(E1599)))</f>
        <v>0</v>
      </c>
      <c r="W1599" s="51">
        <f>IF(K1599="",0,K1599)</f>
        <v>0</v>
      </c>
    </row>
    <row r="1600">
      <c r="A1600" s="49" t="n"/>
      <c r="B1600" s="41" t="n"/>
      <c r="C1600" s="41" t="n"/>
      <c r="D1600" s="42" t="n"/>
      <c r="E1600" s="42" t="n"/>
      <c r="F1600" s="50" t="n"/>
      <c r="G1600" s="42" t="n"/>
      <c r="H1600" s="30">
        <f>IF(D1600="","",IFERROR(INDEX(Config!$B$12:$B$15,MATCH(IF(AND(D1600="Cartão de crédito",N(E1600)&gt;1),"Cartão de crédito parcelado",D1600),Config!$A$12:$A$15,0)),0)+IF(AND(Config!$B$17="Sim",LEFT(D1600,17)="Cartão de crédito"),Config!$B$18*IFERROR(INDEX(Config!$C$12:$C$15,MATCH(IF(AND(D1600="Cartão de crédito",N(E1600)&gt;1),"Cartão de crédito parcelado",D1600),Config!$A$12:$A$15,0)),0)/30*MAX(1,N(E1600)),0))</f>
        <v/>
      </c>
      <c r="I1600" s="29">
        <f>IF(OR(D1600="",F1600=""),"",ROUND(F1600*H1600,2))</f>
        <v/>
      </c>
      <c r="J1600" s="29">
        <f>IF(I1600="","",F1600-I1600)</f>
        <v/>
      </c>
      <c r="K1600" s="29">
        <f>IF(J1600="","",J1600/MAX(1,N(E1600)))</f>
        <v/>
      </c>
      <c r="L1600" s="37">
        <f>IF(OR(D1600="",A1600=""),"",A1600+IF(AND(Config!$B$17="Sim",LEFT(D1600,17)="Cartão de crédito"),1,IFERROR(INDEX(Config!$C$12:$C$15,MATCH(IF(AND(D1600="Cartão de crédito",N(E1600)&gt;1),"Cartão de crédito parcelado",D1600),Config!$A$12:$A$15,0)),0)))</f>
        <v/>
      </c>
      <c r="M1600" s="37">
        <f>IF(L1600="","",IF(AND(Config!$B$17="Sim",LEFT(D1600,17)="Cartão de crédito"),L1600,L1600+30*(MAX(1,N(E1600))-1)))</f>
        <v/>
      </c>
      <c r="N1600" s="29">
        <f>IF(OR(L1600="",K1600=""),"",K1600*MIN(MAX(1,N(E1600)),MAX(0,INT((Config!$B$8-L1600)/30)+1)))</f>
        <v/>
      </c>
      <c r="O1600" s="29">
        <f>IF(J1600="","",J1600-N(N1600))</f>
        <v/>
      </c>
      <c r="P1600" s="27">
        <f>IF(A1600="","",MONTH(A1600))</f>
        <v/>
      </c>
      <c r="Q1600" s="27">
        <f>IF(A1600="","",YEAR(A1600))</f>
        <v/>
      </c>
      <c r="R1600" s="27">
        <f>IF(L1600="","",IF(L1600&gt;Config!$B$8,"A cair",IF(N(G1600)&gt;=MIN(MAX(1,N(E1600)),MAX(0,INT((Config!$B$8-L1600)/30)+1)),IF(N(G1600)&gt;=MAX(1,N(E1600)),"Conferido","Conferido até aqui"),"A conferir")))</f>
        <v/>
      </c>
      <c r="S1600" s="51">
        <f>IF(R1600="A conferir",(Config!$B$8-L1600)*1000+N(F1600)/1000+ROW()/100000,0)</f>
        <v>0</v>
      </c>
      <c r="T1600" s="51">
        <f>IF(R1600="A conferir",N(N1600),0)</f>
        <v>0</v>
      </c>
      <c r="U1600" s="51">
        <f>IF(L1600="",0,L1600)</f>
        <v>0</v>
      </c>
      <c r="V1600" s="51">
        <f>IF(L1600="",0,MAX(1,N(E1600)))</f>
        <v>0</v>
      </c>
      <c r="W1600" s="51">
        <f>IF(K1600="",0,K1600)</f>
        <v>0</v>
      </c>
    </row>
    <row r="1601">
      <c r="A1601" s="49" t="n"/>
      <c r="B1601" s="41" t="n"/>
      <c r="C1601" s="41" t="n"/>
      <c r="D1601" s="42" t="n"/>
      <c r="E1601" s="42" t="n"/>
      <c r="F1601" s="50" t="n"/>
      <c r="G1601" s="42" t="n"/>
      <c r="H1601" s="30">
        <f>IF(D1601="","",IFERROR(INDEX(Config!$B$12:$B$15,MATCH(IF(AND(D1601="Cartão de crédito",N(E1601)&gt;1),"Cartão de crédito parcelado",D1601),Config!$A$12:$A$15,0)),0)+IF(AND(Config!$B$17="Sim",LEFT(D1601,17)="Cartão de crédito"),Config!$B$18*IFERROR(INDEX(Config!$C$12:$C$15,MATCH(IF(AND(D1601="Cartão de crédito",N(E1601)&gt;1),"Cartão de crédito parcelado",D1601),Config!$A$12:$A$15,0)),0)/30*MAX(1,N(E1601)),0))</f>
        <v/>
      </c>
      <c r="I1601" s="29">
        <f>IF(OR(D1601="",F1601=""),"",ROUND(F1601*H1601,2))</f>
        <v/>
      </c>
      <c r="J1601" s="29">
        <f>IF(I1601="","",F1601-I1601)</f>
        <v/>
      </c>
      <c r="K1601" s="29">
        <f>IF(J1601="","",J1601/MAX(1,N(E1601)))</f>
        <v/>
      </c>
      <c r="L1601" s="37">
        <f>IF(OR(D1601="",A1601=""),"",A1601+IF(AND(Config!$B$17="Sim",LEFT(D1601,17)="Cartão de crédito"),1,IFERROR(INDEX(Config!$C$12:$C$15,MATCH(IF(AND(D1601="Cartão de crédito",N(E1601)&gt;1),"Cartão de crédito parcelado",D1601),Config!$A$12:$A$15,0)),0)))</f>
        <v/>
      </c>
      <c r="M1601" s="37">
        <f>IF(L1601="","",IF(AND(Config!$B$17="Sim",LEFT(D1601,17)="Cartão de crédito"),L1601,L1601+30*(MAX(1,N(E1601))-1)))</f>
        <v/>
      </c>
      <c r="N1601" s="29">
        <f>IF(OR(L1601="",K1601=""),"",K1601*MIN(MAX(1,N(E1601)),MAX(0,INT((Config!$B$8-L1601)/30)+1)))</f>
        <v/>
      </c>
      <c r="O1601" s="29">
        <f>IF(J1601="","",J1601-N(N1601))</f>
        <v/>
      </c>
      <c r="P1601" s="27">
        <f>IF(A1601="","",MONTH(A1601))</f>
        <v/>
      </c>
      <c r="Q1601" s="27">
        <f>IF(A1601="","",YEAR(A1601))</f>
        <v/>
      </c>
      <c r="R1601" s="27">
        <f>IF(L1601="","",IF(L1601&gt;Config!$B$8,"A cair",IF(N(G1601)&gt;=MIN(MAX(1,N(E1601)),MAX(0,INT((Config!$B$8-L1601)/30)+1)),IF(N(G1601)&gt;=MAX(1,N(E1601)),"Conferido","Conferido até aqui"),"A conferir")))</f>
        <v/>
      </c>
      <c r="S1601" s="51">
        <f>IF(R1601="A conferir",(Config!$B$8-L1601)*1000+N(F1601)/1000+ROW()/100000,0)</f>
        <v>0</v>
      </c>
      <c r="T1601" s="51">
        <f>IF(R1601="A conferir",N(N1601),0)</f>
        <v>0</v>
      </c>
      <c r="U1601" s="51">
        <f>IF(L1601="",0,L1601)</f>
        <v>0</v>
      </c>
      <c r="V1601" s="51">
        <f>IF(L1601="",0,MAX(1,N(E1601)))</f>
        <v>0</v>
      </c>
      <c r="W1601" s="51">
        <f>IF(K1601="",0,K1601)</f>
        <v>0</v>
      </c>
    </row>
    <row r="1602">
      <c r="A1602" s="49" t="n"/>
      <c r="B1602" s="41" t="n"/>
      <c r="C1602" s="41" t="n"/>
      <c r="D1602" s="42" t="n"/>
      <c r="E1602" s="42" t="n"/>
      <c r="F1602" s="50" t="n"/>
      <c r="G1602" s="42" t="n"/>
      <c r="H1602" s="30">
        <f>IF(D1602="","",IFERROR(INDEX(Config!$B$12:$B$15,MATCH(IF(AND(D1602="Cartão de crédito",N(E1602)&gt;1),"Cartão de crédito parcelado",D1602),Config!$A$12:$A$15,0)),0)+IF(AND(Config!$B$17="Sim",LEFT(D1602,17)="Cartão de crédito"),Config!$B$18*IFERROR(INDEX(Config!$C$12:$C$15,MATCH(IF(AND(D1602="Cartão de crédito",N(E1602)&gt;1),"Cartão de crédito parcelado",D1602),Config!$A$12:$A$15,0)),0)/30*MAX(1,N(E1602)),0))</f>
        <v/>
      </c>
      <c r="I1602" s="29">
        <f>IF(OR(D1602="",F1602=""),"",ROUND(F1602*H1602,2))</f>
        <v/>
      </c>
      <c r="J1602" s="29">
        <f>IF(I1602="","",F1602-I1602)</f>
        <v/>
      </c>
      <c r="K1602" s="29">
        <f>IF(J1602="","",J1602/MAX(1,N(E1602)))</f>
        <v/>
      </c>
      <c r="L1602" s="37">
        <f>IF(OR(D1602="",A1602=""),"",A1602+IF(AND(Config!$B$17="Sim",LEFT(D1602,17)="Cartão de crédito"),1,IFERROR(INDEX(Config!$C$12:$C$15,MATCH(IF(AND(D1602="Cartão de crédito",N(E1602)&gt;1),"Cartão de crédito parcelado",D1602),Config!$A$12:$A$15,0)),0)))</f>
        <v/>
      </c>
      <c r="M1602" s="37">
        <f>IF(L1602="","",IF(AND(Config!$B$17="Sim",LEFT(D1602,17)="Cartão de crédito"),L1602,L1602+30*(MAX(1,N(E1602))-1)))</f>
        <v/>
      </c>
      <c r="N1602" s="29">
        <f>IF(OR(L1602="",K1602=""),"",K1602*MIN(MAX(1,N(E1602)),MAX(0,INT((Config!$B$8-L1602)/30)+1)))</f>
        <v/>
      </c>
      <c r="O1602" s="29">
        <f>IF(J1602="","",J1602-N(N1602))</f>
        <v/>
      </c>
      <c r="P1602" s="27">
        <f>IF(A1602="","",MONTH(A1602))</f>
        <v/>
      </c>
      <c r="Q1602" s="27">
        <f>IF(A1602="","",YEAR(A1602))</f>
        <v/>
      </c>
      <c r="R1602" s="27">
        <f>IF(L1602="","",IF(L1602&gt;Config!$B$8,"A cair",IF(N(G1602)&gt;=MIN(MAX(1,N(E1602)),MAX(0,INT((Config!$B$8-L1602)/30)+1)),IF(N(G1602)&gt;=MAX(1,N(E1602)),"Conferido","Conferido até aqui"),"A conferir")))</f>
        <v/>
      </c>
      <c r="S1602" s="51">
        <f>IF(R1602="A conferir",(Config!$B$8-L1602)*1000+N(F1602)/1000+ROW()/100000,0)</f>
        <v>0</v>
      </c>
      <c r="T1602" s="51">
        <f>IF(R1602="A conferir",N(N1602),0)</f>
        <v>0</v>
      </c>
      <c r="U1602" s="51">
        <f>IF(L1602="",0,L1602)</f>
        <v>0</v>
      </c>
      <c r="V1602" s="51">
        <f>IF(L1602="",0,MAX(1,N(E1602)))</f>
        <v>0</v>
      </c>
      <c r="W1602" s="51">
        <f>IF(K1602="",0,K1602)</f>
        <v>0</v>
      </c>
    </row>
    <row r="1603">
      <c r="A1603" s="49" t="n"/>
      <c r="B1603" s="41" t="n"/>
      <c r="C1603" s="41" t="n"/>
      <c r="D1603" s="42" t="n"/>
      <c r="E1603" s="42" t="n"/>
      <c r="F1603" s="50" t="n"/>
      <c r="G1603" s="42" t="n"/>
      <c r="H1603" s="30">
        <f>IF(D1603="","",IFERROR(INDEX(Config!$B$12:$B$15,MATCH(IF(AND(D1603="Cartão de crédito",N(E1603)&gt;1),"Cartão de crédito parcelado",D1603),Config!$A$12:$A$15,0)),0)+IF(AND(Config!$B$17="Sim",LEFT(D1603,17)="Cartão de crédito"),Config!$B$18*IFERROR(INDEX(Config!$C$12:$C$15,MATCH(IF(AND(D1603="Cartão de crédito",N(E1603)&gt;1),"Cartão de crédito parcelado",D1603),Config!$A$12:$A$15,0)),0)/30*MAX(1,N(E1603)),0))</f>
        <v/>
      </c>
      <c r="I1603" s="29">
        <f>IF(OR(D1603="",F1603=""),"",ROUND(F1603*H1603,2))</f>
        <v/>
      </c>
      <c r="J1603" s="29">
        <f>IF(I1603="","",F1603-I1603)</f>
        <v/>
      </c>
      <c r="K1603" s="29">
        <f>IF(J1603="","",J1603/MAX(1,N(E1603)))</f>
        <v/>
      </c>
      <c r="L1603" s="37">
        <f>IF(OR(D1603="",A1603=""),"",A1603+IF(AND(Config!$B$17="Sim",LEFT(D1603,17)="Cartão de crédito"),1,IFERROR(INDEX(Config!$C$12:$C$15,MATCH(IF(AND(D1603="Cartão de crédito",N(E1603)&gt;1),"Cartão de crédito parcelado",D1603),Config!$A$12:$A$15,0)),0)))</f>
        <v/>
      </c>
      <c r="M1603" s="37">
        <f>IF(L1603="","",IF(AND(Config!$B$17="Sim",LEFT(D1603,17)="Cartão de crédito"),L1603,L1603+30*(MAX(1,N(E1603))-1)))</f>
        <v/>
      </c>
      <c r="N1603" s="29">
        <f>IF(OR(L1603="",K1603=""),"",K1603*MIN(MAX(1,N(E1603)),MAX(0,INT((Config!$B$8-L1603)/30)+1)))</f>
        <v/>
      </c>
      <c r="O1603" s="29">
        <f>IF(J1603="","",J1603-N(N1603))</f>
        <v/>
      </c>
      <c r="P1603" s="27">
        <f>IF(A1603="","",MONTH(A1603))</f>
        <v/>
      </c>
      <c r="Q1603" s="27">
        <f>IF(A1603="","",YEAR(A1603))</f>
        <v/>
      </c>
      <c r="R1603" s="27">
        <f>IF(L1603="","",IF(L1603&gt;Config!$B$8,"A cair",IF(N(G1603)&gt;=MIN(MAX(1,N(E1603)),MAX(0,INT((Config!$B$8-L1603)/30)+1)),IF(N(G1603)&gt;=MAX(1,N(E1603)),"Conferido","Conferido até aqui"),"A conferir")))</f>
        <v/>
      </c>
      <c r="S1603" s="51">
        <f>IF(R1603="A conferir",(Config!$B$8-L1603)*1000+N(F1603)/1000+ROW()/100000,0)</f>
        <v>0</v>
      </c>
      <c r="T1603" s="51">
        <f>IF(R1603="A conferir",N(N1603),0)</f>
        <v>0</v>
      </c>
      <c r="U1603" s="51">
        <f>IF(L1603="",0,L1603)</f>
        <v>0</v>
      </c>
      <c r="V1603" s="51">
        <f>IF(L1603="",0,MAX(1,N(E1603)))</f>
        <v>0</v>
      </c>
      <c r="W1603" s="51">
        <f>IF(K1603="",0,K1603)</f>
        <v>0</v>
      </c>
    </row>
    <row r="1604">
      <c r="A1604" s="49" t="n"/>
      <c r="B1604" s="41" t="n"/>
      <c r="C1604" s="41" t="n"/>
      <c r="D1604" s="42" t="n"/>
      <c r="E1604" s="42" t="n"/>
      <c r="F1604" s="50" t="n"/>
      <c r="G1604" s="42" t="n"/>
      <c r="H1604" s="30">
        <f>IF(D1604="","",IFERROR(INDEX(Config!$B$12:$B$15,MATCH(IF(AND(D1604="Cartão de crédito",N(E1604)&gt;1),"Cartão de crédito parcelado",D1604),Config!$A$12:$A$15,0)),0)+IF(AND(Config!$B$17="Sim",LEFT(D1604,17)="Cartão de crédito"),Config!$B$18*IFERROR(INDEX(Config!$C$12:$C$15,MATCH(IF(AND(D1604="Cartão de crédito",N(E1604)&gt;1),"Cartão de crédito parcelado",D1604),Config!$A$12:$A$15,0)),0)/30*MAX(1,N(E1604)),0))</f>
        <v/>
      </c>
      <c r="I1604" s="29">
        <f>IF(OR(D1604="",F1604=""),"",ROUND(F1604*H1604,2))</f>
        <v/>
      </c>
      <c r="J1604" s="29">
        <f>IF(I1604="","",F1604-I1604)</f>
        <v/>
      </c>
      <c r="K1604" s="29">
        <f>IF(J1604="","",J1604/MAX(1,N(E1604)))</f>
        <v/>
      </c>
      <c r="L1604" s="37">
        <f>IF(OR(D1604="",A1604=""),"",A1604+IF(AND(Config!$B$17="Sim",LEFT(D1604,17)="Cartão de crédito"),1,IFERROR(INDEX(Config!$C$12:$C$15,MATCH(IF(AND(D1604="Cartão de crédito",N(E1604)&gt;1),"Cartão de crédito parcelado",D1604),Config!$A$12:$A$15,0)),0)))</f>
        <v/>
      </c>
      <c r="M1604" s="37">
        <f>IF(L1604="","",IF(AND(Config!$B$17="Sim",LEFT(D1604,17)="Cartão de crédito"),L1604,L1604+30*(MAX(1,N(E1604))-1)))</f>
        <v/>
      </c>
      <c r="N1604" s="29">
        <f>IF(OR(L1604="",K1604=""),"",K1604*MIN(MAX(1,N(E1604)),MAX(0,INT((Config!$B$8-L1604)/30)+1)))</f>
        <v/>
      </c>
      <c r="O1604" s="29">
        <f>IF(J1604="","",J1604-N(N1604))</f>
        <v/>
      </c>
      <c r="P1604" s="27">
        <f>IF(A1604="","",MONTH(A1604))</f>
        <v/>
      </c>
      <c r="Q1604" s="27">
        <f>IF(A1604="","",YEAR(A1604))</f>
        <v/>
      </c>
      <c r="R1604" s="27">
        <f>IF(L1604="","",IF(L1604&gt;Config!$B$8,"A cair",IF(N(G1604)&gt;=MIN(MAX(1,N(E1604)),MAX(0,INT((Config!$B$8-L1604)/30)+1)),IF(N(G1604)&gt;=MAX(1,N(E1604)),"Conferido","Conferido até aqui"),"A conferir")))</f>
        <v/>
      </c>
      <c r="S1604" s="51">
        <f>IF(R1604="A conferir",(Config!$B$8-L1604)*1000+N(F1604)/1000+ROW()/100000,0)</f>
        <v>0</v>
      </c>
      <c r="T1604" s="51">
        <f>IF(R1604="A conferir",N(N1604),0)</f>
        <v>0</v>
      </c>
      <c r="U1604" s="51">
        <f>IF(L1604="",0,L1604)</f>
        <v>0</v>
      </c>
      <c r="V1604" s="51">
        <f>IF(L1604="",0,MAX(1,N(E1604)))</f>
        <v>0</v>
      </c>
      <c r="W1604" s="51">
        <f>IF(K1604="",0,K1604)</f>
        <v>0</v>
      </c>
    </row>
    <row r="1605">
      <c r="A1605" s="49" t="n"/>
      <c r="B1605" s="41" t="n"/>
      <c r="C1605" s="41" t="n"/>
      <c r="D1605" s="42" t="n"/>
      <c r="E1605" s="42" t="n"/>
      <c r="F1605" s="50" t="n"/>
      <c r="G1605" s="42" t="n"/>
      <c r="H1605" s="30">
        <f>IF(D1605="","",IFERROR(INDEX(Config!$B$12:$B$15,MATCH(IF(AND(D1605="Cartão de crédito",N(E1605)&gt;1),"Cartão de crédito parcelado",D1605),Config!$A$12:$A$15,0)),0)+IF(AND(Config!$B$17="Sim",LEFT(D1605,17)="Cartão de crédito"),Config!$B$18*IFERROR(INDEX(Config!$C$12:$C$15,MATCH(IF(AND(D1605="Cartão de crédito",N(E1605)&gt;1),"Cartão de crédito parcelado",D1605),Config!$A$12:$A$15,0)),0)/30*MAX(1,N(E1605)),0))</f>
        <v/>
      </c>
      <c r="I1605" s="29">
        <f>IF(OR(D1605="",F1605=""),"",ROUND(F1605*H1605,2))</f>
        <v/>
      </c>
      <c r="J1605" s="29">
        <f>IF(I1605="","",F1605-I1605)</f>
        <v/>
      </c>
      <c r="K1605" s="29">
        <f>IF(J1605="","",J1605/MAX(1,N(E1605)))</f>
        <v/>
      </c>
      <c r="L1605" s="37">
        <f>IF(OR(D1605="",A1605=""),"",A1605+IF(AND(Config!$B$17="Sim",LEFT(D1605,17)="Cartão de crédito"),1,IFERROR(INDEX(Config!$C$12:$C$15,MATCH(IF(AND(D1605="Cartão de crédito",N(E1605)&gt;1),"Cartão de crédito parcelado",D1605),Config!$A$12:$A$15,0)),0)))</f>
        <v/>
      </c>
      <c r="M1605" s="37">
        <f>IF(L1605="","",IF(AND(Config!$B$17="Sim",LEFT(D1605,17)="Cartão de crédito"),L1605,L1605+30*(MAX(1,N(E1605))-1)))</f>
        <v/>
      </c>
      <c r="N1605" s="29">
        <f>IF(OR(L1605="",K1605=""),"",K1605*MIN(MAX(1,N(E1605)),MAX(0,INT((Config!$B$8-L1605)/30)+1)))</f>
        <v/>
      </c>
      <c r="O1605" s="29">
        <f>IF(J1605="","",J1605-N(N1605))</f>
        <v/>
      </c>
      <c r="P1605" s="27">
        <f>IF(A1605="","",MONTH(A1605))</f>
        <v/>
      </c>
      <c r="Q1605" s="27">
        <f>IF(A1605="","",YEAR(A1605))</f>
        <v/>
      </c>
      <c r="R1605" s="27">
        <f>IF(L1605="","",IF(L1605&gt;Config!$B$8,"A cair",IF(N(G1605)&gt;=MIN(MAX(1,N(E1605)),MAX(0,INT((Config!$B$8-L1605)/30)+1)),IF(N(G1605)&gt;=MAX(1,N(E1605)),"Conferido","Conferido até aqui"),"A conferir")))</f>
        <v/>
      </c>
      <c r="S1605" s="51">
        <f>IF(R1605="A conferir",(Config!$B$8-L1605)*1000+N(F1605)/1000+ROW()/100000,0)</f>
        <v>0</v>
      </c>
      <c r="T1605" s="51">
        <f>IF(R1605="A conferir",N(N1605),0)</f>
        <v>0</v>
      </c>
      <c r="U1605" s="51">
        <f>IF(L1605="",0,L1605)</f>
        <v>0</v>
      </c>
      <c r="V1605" s="51">
        <f>IF(L1605="",0,MAX(1,N(E1605)))</f>
        <v>0</v>
      </c>
      <c r="W1605" s="51">
        <f>IF(K1605="",0,K1605)</f>
        <v>0</v>
      </c>
    </row>
    <row r="1606">
      <c r="A1606" s="49" t="n"/>
      <c r="B1606" s="41" t="n"/>
      <c r="C1606" s="41" t="n"/>
      <c r="D1606" s="42" t="n"/>
      <c r="E1606" s="42" t="n"/>
      <c r="F1606" s="50" t="n"/>
      <c r="G1606" s="42" t="n"/>
      <c r="H1606" s="30">
        <f>IF(D1606="","",IFERROR(INDEX(Config!$B$12:$B$15,MATCH(IF(AND(D1606="Cartão de crédito",N(E1606)&gt;1),"Cartão de crédito parcelado",D1606),Config!$A$12:$A$15,0)),0)+IF(AND(Config!$B$17="Sim",LEFT(D1606,17)="Cartão de crédito"),Config!$B$18*IFERROR(INDEX(Config!$C$12:$C$15,MATCH(IF(AND(D1606="Cartão de crédito",N(E1606)&gt;1),"Cartão de crédito parcelado",D1606),Config!$A$12:$A$15,0)),0)/30*MAX(1,N(E1606)),0))</f>
        <v/>
      </c>
      <c r="I1606" s="29">
        <f>IF(OR(D1606="",F1606=""),"",ROUND(F1606*H1606,2))</f>
        <v/>
      </c>
      <c r="J1606" s="29">
        <f>IF(I1606="","",F1606-I1606)</f>
        <v/>
      </c>
      <c r="K1606" s="29">
        <f>IF(J1606="","",J1606/MAX(1,N(E1606)))</f>
        <v/>
      </c>
      <c r="L1606" s="37">
        <f>IF(OR(D1606="",A1606=""),"",A1606+IF(AND(Config!$B$17="Sim",LEFT(D1606,17)="Cartão de crédito"),1,IFERROR(INDEX(Config!$C$12:$C$15,MATCH(IF(AND(D1606="Cartão de crédito",N(E1606)&gt;1),"Cartão de crédito parcelado",D1606),Config!$A$12:$A$15,0)),0)))</f>
        <v/>
      </c>
      <c r="M1606" s="37">
        <f>IF(L1606="","",IF(AND(Config!$B$17="Sim",LEFT(D1606,17)="Cartão de crédito"),L1606,L1606+30*(MAX(1,N(E1606))-1)))</f>
        <v/>
      </c>
      <c r="N1606" s="29">
        <f>IF(OR(L1606="",K1606=""),"",K1606*MIN(MAX(1,N(E1606)),MAX(0,INT((Config!$B$8-L1606)/30)+1)))</f>
        <v/>
      </c>
      <c r="O1606" s="29">
        <f>IF(J1606="","",J1606-N(N1606))</f>
        <v/>
      </c>
      <c r="P1606" s="27">
        <f>IF(A1606="","",MONTH(A1606))</f>
        <v/>
      </c>
      <c r="Q1606" s="27">
        <f>IF(A1606="","",YEAR(A1606))</f>
        <v/>
      </c>
      <c r="R1606" s="27">
        <f>IF(L1606="","",IF(L1606&gt;Config!$B$8,"A cair",IF(N(G1606)&gt;=MIN(MAX(1,N(E1606)),MAX(0,INT((Config!$B$8-L1606)/30)+1)),IF(N(G1606)&gt;=MAX(1,N(E1606)),"Conferido","Conferido até aqui"),"A conferir")))</f>
        <v/>
      </c>
      <c r="S1606" s="51">
        <f>IF(R1606="A conferir",(Config!$B$8-L1606)*1000+N(F1606)/1000+ROW()/100000,0)</f>
        <v>0</v>
      </c>
      <c r="T1606" s="51">
        <f>IF(R1606="A conferir",N(N1606),0)</f>
        <v>0</v>
      </c>
      <c r="U1606" s="51">
        <f>IF(L1606="",0,L1606)</f>
        <v>0</v>
      </c>
      <c r="V1606" s="51">
        <f>IF(L1606="",0,MAX(1,N(E1606)))</f>
        <v>0</v>
      </c>
      <c r="W1606" s="51">
        <f>IF(K1606="",0,K1606)</f>
        <v>0</v>
      </c>
    </row>
    <row r="1607">
      <c r="A1607" s="49" t="n"/>
      <c r="B1607" s="41" t="n"/>
      <c r="C1607" s="41" t="n"/>
      <c r="D1607" s="42" t="n"/>
      <c r="E1607" s="42" t="n"/>
      <c r="F1607" s="50" t="n"/>
      <c r="G1607" s="42" t="n"/>
      <c r="H1607" s="30">
        <f>IF(D1607="","",IFERROR(INDEX(Config!$B$12:$B$15,MATCH(IF(AND(D1607="Cartão de crédito",N(E1607)&gt;1),"Cartão de crédito parcelado",D1607),Config!$A$12:$A$15,0)),0)+IF(AND(Config!$B$17="Sim",LEFT(D1607,17)="Cartão de crédito"),Config!$B$18*IFERROR(INDEX(Config!$C$12:$C$15,MATCH(IF(AND(D1607="Cartão de crédito",N(E1607)&gt;1),"Cartão de crédito parcelado",D1607),Config!$A$12:$A$15,0)),0)/30*MAX(1,N(E1607)),0))</f>
        <v/>
      </c>
      <c r="I1607" s="29">
        <f>IF(OR(D1607="",F1607=""),"",ROUND(F1607*H1607,2))</f>
        <v/>
      </c>
      <c r="J1607" s="29">
        <f>IF(I1607="","",F1607-I1607)</f>
        <v/>
      </c>
      <c r="K1607" s="29">
        <f>IF(J1607="","",J1607/MAX(1,N(E1607)))</f>
        <v/>
      </c>
      <c r="L1607" s="37">
        <f>IF(OR(D1607="",A1607=""),"",A1607+IF(AND(Config!$B$17="Sim",LEFT(D1607,17)="Cartão de crédito"),1,IFERROR(INDEX(Config!$C$12:$C$15,MATCH(IF(AND(D1607="Cartão de crédito",N(E1607)&gt;1),"Cartão de crédito parcelado",D1607),Config!$A$12:$A$15,0)),0)))</f>
        <v/>
      </c>
      <c r="M1607" s="37">
        <f>IF(L1607="","",IF(AND(Config!$B$17="Sim",LEFT(D1607,17)="Cartão de crédito"),L1607,L1607+30*(MAX(1,N(E1607))-1)))</f>
        <v/>
      </c>
      <c r="N1607" s="29">
        <f>IF(OR(L1607="",K1607=""),"",K1607*MIN(MAX(1,N(E1607)),MAX(0,INT((Config!$B$8-L1607)/30)+1)))</f>
        <v/>
      </c>
      <c r="O1607" s="29">
        <f>IF(J1607="","",J1607-N(N1607))</f>
        <v/>
      </c>
      <c r="P1607" s="27">
        <f>IF(A1607="","",MONTH(A1607))</f>
        <v/>
      </c>
      <c r="Q1607" s="27">
        <f>IF(A1607="","",YEAR(A1607))</f>
        <v/>
      </c>
      <c r="R1607" s="27">
        <f>IF(L1607="","",IF(L1607&gt;Config!$B$8,"A cair",IF(N(G1607)&gt;=MIN(MAX(1,N(E1607)),MAX(0,INT((Config!$B$8-L1607)/30)+1)),IF(N(G1607)&gt;=MAX(1,N(E1607)),"Conferido","Conferido até aqui"),"A conferir")))</f>
        <v/>
      </c>
      <c r="S1607" s="51">
        <f>IF(R1607="A conferir",(Config!$B$8-L1607)*1000+N(F1607)/1000+ROW()/100000,0)</f>
        <v>0</v>
      </c>
      <c r="T1607" s="51">
        <f>IF(R1607="A conferir",N(N1607),0)</f>
        <v>0</v>
      </c>
      <c r="U1607" s="51">
        <f>IF(L1607="",0,L1607)</f>
        <v>0</v>
      </c>
      <c r="V1607" s="51">
        <f>IF(L1607="",0,MAX(1,N(E1607)))</f>
        <v>0</v>
      </c>
      <c r="W1607" s="51">
        <f>IF(K1607="",0,K1607)</f>
        <v>0</v>
      </c>
    </row>
    <row r="1608">
      <c r="A1608" s="49" t="n"/>
      <c r="B1608" s="41" t="n"/>
      <c r="C1608" s="41" t="n"/>
      <c r="D1608" s="42" t="n"/>
      <c r="E1608" s="42" t="n"/>
      <c r="F1608" s="50" t="n"/>
      <c r="G1608" s="42" t="n"/>
      <c r="H1608" s="30">
        <f>IF(D1608="","",IFERROR(INDEX(Config!$B$12:$B$15,MATCH(IF(AND(D1608="Cartão de crédito",N(E1608)&gt;1),"Cartão de crédito parcelado",D1608),Config!$A$12:$A$15,0)),0)+IF(AND(Config!$B$17="Sim",LEFT(D1608,17)="Cartão de crédito"),Config!$B$18*IFERROR(INDEX(Config!$C$12:$C$15,MATCH(IF(AND(D1608="Cartão de crédito",N(E1608)&gt;1),"Cartão de crédito parcelado",D1608),Config!$A$12:$A$15,0)),0)/30*MAX(1,N(E1608)),0))</f>
        <v/>
      </c>
      <c r="I1608" s="29">
        <f>IF(OR(D1608="",F1608=""),"",ROUND(F1608*H1608,2))</f>
        <v/>
      </c>
      <c r="J1608" s="29">
        <f>IF(I1608="","",F1608-I1608)</f>
        <v/>
      </c>
      <c r="K1608" s="29">
        <f>IF(J1608="","",J1608/MAX(1,N(E1608)))</f>
        <v/>
      </c>
      <c r="L1608" s="37">
        <f>IF(OR(D1608="",A1608=""),"",A1608+IF(AND(Config!$B$17="Sim",LEFT(D1608,17)="Cartão de crédito"),1,IFERROR(INDEX(Config!$C$12:$C$15,MATCH(IF(AND(D1608="Cartão de crédito",N(E1608)&gt;1),"Cartão de crédito parcelado",D1608),Config!$A$12:$A$15,0)),0)))</f>
        <v/>
      </c>
      <c r="M1608" s="37">
        <f>IF(L1608="","",IF(AND(Config!$B$17="Sim",LEFT(D1608,17)="Cartão de crédito"),L1608,L1608+30*(MAX(1,N(E1608))-1)))</f>
        <v/>
      </c>
      <c r="N1608" s="29">
        <f>IF(OR(L1608="",K1608=""),"",K1608*MIN(MAX(1,N(E1608)),MAX(0,INT((Config!$B$8-L1608)/30)+1)))</f>
        <v/>
      </c>
      <c r="O1608" s="29">
        <f>IF(J1608="","",J1608-N(N1608))</f>
        <v/>
      </c>
      <c r="P1608" s="27">
        <f>IF(A1608="","",MONTH(A1608))</f>
        <v/>
      </c>
      <c r="Q1608" s="27">
        <f>IF(A1608="","",YEAR(A1608))</f>
        <v/>
      </c>
      <c r="R1608" s="27">
        <f>IF(L1608="","",IF(L1608&gt;Config!$B$8,"A cair",IF(N(G1608)&gt;=MIN(MAX(1,N(E1608)),MAX(0,INT((Config!$B$8-L1608)/30)+1)),IF(N(G1608)&gt;=MAX(1,N(E1608)),"Conferido","Conferido até aqui"),"A conferir")))</f>
        <v/>
      </c>
      <c r="S1608" s="51">
        <f>IF(R1608="A conferir",(Config!$B$8-L1608)*1000+N(F1608)/1000+ROW()/100000,0)</f>
        <v>0</v>
      </c>
      <c r="T1608" s="51">
        <f>IF(R1608="A conferir",N(N1608),0)</f>
        <v>0</v>
      </c>
      <c r="U1608" s="51">
        <f>IF(L1608="",0,L1608)</f>
        <v>0</v>
      </c>
      <c r="V1608" s="51">
        <f>IF(L1608="",0,MAX(1,N(E1608)))</f>
        <v>0</v>
      </c>
      <c r="W1608" s="51">
        <f>IF(K1608="",0,K1608)</f>
        <v>0</v>
      </c>
    </row>
    <row r="1609">
      <c r="A1609" s="49" t="n"/>
      <c r="B1609" s="41" t="n"/>
      <c r="C1609" s="41" t="n"/>
      <c r="D1609" s="42" t="n"/>
      <c r="E1609" s="42" t="n"/>
      <c r="F1609" s="50" t="n"/>
      <c r="G1609" s="42" t="n"/>
      <c r="H1609" s="30">
        <f>IF(D1609="","",IFERROR(INDEX(Config!$B$12:$B$15,MATCH(IF(AND(D1609="Cartão de crédito",N(E1609)&gt;1),"Cartão de crédito parcelado",D1609),Config!$A$12:$A$15,0)),0)+IF(AND(Config!$B$17="Sim",LEFT(D1609,17)="Cartão de crédito"),Config!$B$18*IFERROR(INDEX(Config!$C$12:$C$15,MATCH(IF(AND(D1609="Cartão de crédito",N(E1609)&gt;1),"Cartão de crédito parcelado",D1609),Config!$A$12:$A$15,0)),0)/30*MAX(1,N(E1609)),0))</f>
        <v/>
      </c>
      <c r="I1609" s="29">
        <f>IF(OR(D1609="",F1609=""),"",ROUND(F1609*H1609,2))</f>
        <v/>
      </c>
      <c r="J1609" s="29">
        <f>IF(I1609="","",F1609-I1609)</f>
        <v/>
      </c>
      <c r="K1609" s="29">
        <f>IF(J1609="","",J1609/MAX(1,N(E1609)))</f>
        <v/>
      </c>
      <c r="L1609" s="37">
        <f>IF(OR(D1609="",A1609=""),"",A1609+IF(AND(Config!$B$17="Sim",LEFT(D1609,17)="Cartão de crédito"),1,IFERROR(INDEX(Config!$C$12:$C$15,MATCH(IF(AND(D1609="Cartão de crédito",N(E1609)&gt;1),"Cartão de crédito parcelado",D1609),Config!$A$12:$A$15,0)),0)))</f>
        <v/>
      </c>
      <c r="M1609" s="37">
        <f>IF(L1609="","",IF(AND(Config!$B$17="Sim",LEFT(D1609,17)="Cartão de crédito"),L1609,L1609+30*(MAX(1,N(E1609))-1)))</f>
        <v/>
      </c>
      <c r="N1609" s="29">
        <f>IF(OR(L1609="",K1609=""),"",K1609*MIN(MAX(1,N(E1609)),MAX(0,INT((Config!$B$8-L1609)/30)+1)))</f>
        <v/>
      </c>
      <c r="O1609" s="29">
        <f>IF(J1609="","",J1609-N(N1609))</f>
        <v/>
      </c>
      <c r="P1609" s="27">
        <f>IF(A1609="","",MONTH(A1609))</f>
        <v/>
      </c>
      <c r="Q1609" s="27">
        <f>IF(A1609="","",YEAR(A1609))</f>
        <v/>
      </c>
      <c r="R1609" s="27">
        <f>IF(L1609="","",IF(L1609&gt;Config!$B$8,"A cair",IF(N(G1609)&gt;=MIN(MAX(1,N(E1609)),MAX(0,INT((Config!$B$8-L1609)/30)+1)),IF(N(G1609)&gt;=MAX(1,N(E1609)),"Conferido","Conferido até aqui"),"A conferir")))</f>
        <v/>
      </c>
      <c r="S1609" s="51">
        <f>IF(R1609="A conferir",(Config!$B$8-L1609)*1000+N(F1609)/1000+ROW()/100000,0)</f>
        <v>0</v>
      </c>
      <c r="T1609" s="51">
        <f>IF(R1609="A conferir",N(N1609),0)</f>
        <v>0</v>
      </c>
      <c r="U1609" s="51">
        <f>IF(L1609="",0,L1609)</f>
        <v>0</v>
      </c>
      <c r="V1609" s="51">
        <f>IF(L1609="",0,MAX(1,N(E1609)))</f>
        <v>0</v>
      </c>
      <c r="W1609" s="51">
        <f>IF(K1609="",0,K1609)</f>
        <v>0</v>
      </c>
    </row>
    <row r="1610">
      <c r="A1610" s="49" t="n"/>
      <c r="B1610" s="41" t="n"/>
      <c r="C1610" s="41" t="n"/>
      <c r="D1610" s="42" t="n"/>
      <c r="E1610" s="42" t="n"/>
      <c r="F1610" s="50" t="n"/>
      <c r="G1610" s="42" t="n"/>
      <c r="H1610" s="30">
        <f>IF(D1610="","",IFERROR(INDEX(Config!$B$12:$B$15,MATCH(IF(AND(D1610="Cartão de crédito",N(E1610)&gt;1),"Cartão de crédito parcelado",D1610),Config!$A$12:$A$15,0)),0)+IF(AND(Config!$B$17="Sim",LEFT(D1610,17)="Cartão de crédito"),Config!$B$18*IFERROR(INDEX(Config!$C$12:$C$15,MATCH(IF(AND(D1610="Cartão de crédito",N(E1610)&gt;1),"Cartão de crédito parcelado",D1610),Config!$A$12:$A$15,0)),0)/30*MAX(1,N(E1610)),0))</f>
        <v/>
      </c>
      <c r="I1610" s="29">
        <f>IF(OR(D1610="",F1610=""),"",ROUND(F1610*H1610,2))</f>
        <v/>
      </c>
      <c r="J1610" s="29">
        <f>IF(I1610="","",F1610-I1610)</f>
        <v/>
      </c>
      <c r="K1610" s="29">
        <f>IF(J1610="","",J1610/MAX(1,N(E1610)))</f>
        <v/>
      </c>
      <c r="L1610" s="37">
        <f>IF(OR(D1610="",A1610=""),"",A1610+IF(AND(Config!$B$17="Sim",LEFT(D1610,17)="Cartão de crédito"),1,IFERROR(INDEX(Config!$C$12:$C$15,MATCH(IF(AND(D1610="Cartão de crédito",N(E1610)&gt;1),"Cartão de crédito parcelado",D1610),Config!$A$12:$A$15,0)),0)))</f>
        <v/>
      </c>
      <c r="M1610" s="37">
        <f>IF(L1610="","",IF(AND(Config!$B$17="Sim",LEFT(D1610,17)="Cartão de crédito"),L1610,L1610+30*(MAX(1,N(E1610))-1)))</f>
        <v/>
      </c>
      <c r="N1610" s="29">
        <f>IF(OR(L1610="",K1610=""),"",K1610*MIN(MAX(1,N(E1610)),MAX(0,INT((Config!$B$8-L1610)/30)+1)))</f>
        <v/>
      </c>
      <c r="O1610" s="29">
        <f>IF(J1610="","",J1610-N(N1610))</f>
        <v/>
      </c>
      <c r="P1610" s="27">
        <f>IF(A1610="","",MONTH(A1610))</f>
        <v/>
      </c>
      <c r="Q1610" s="27">
        <f>IF(A1610="","",YEAR(A1610))</f>
        <v/>
      </c>
      <c r="R1610" s="27">
        <f>IF(L1610="","",IF(L1610&gt;Config!$B$8,"A cair",IF(N(G1610)&gt;=MIN(MAX(1,N(E1610)),MAX(0,INT((Config!$B$8-L1610)/30)+1)),IF(N(G1610)&gt;=MAX(1,N(E1610)),"Conferido","Conferido até aqui"),"A conferir")))</f>
        <v/>
      </c>
      <c r="S1610" s="51">
        <f>IF(R1610="A conferir",(Config!$B$8-L1610)*1000+N(F1610)/1000+ROW()/100000,0)</f>
        <v>0</v>
      </c>
      <c r="T1610" s="51">
        <f>IF(R1610="A conferir",N(N1610),0)</f>
        <v>0</v>
      </c>
      <c r="U1610" s="51">
        <f>IF(L1610="",0,L1610)</f>
        <v>0</v>
      </c>
      <c r="V1610" s="51">
        <f>IF(L1610="",0,MAX(1,N(E1610)))</f>
        <v>0</v>
      </c>
      <c r="W1610" s="51">
        <f>IF(K1610="",0,K1610)</f>
        <v>0</v>
      </c>
    </row>
    <row r="1611">
      <c r="A1611" s="49" t="n"/>
      <c r="B1611" s="41" t="n"/>
      <c r="C1611" s="41" t="n"/>
      <c r="D1611" s="42" t="n"/>
      <c r="E1611" s="42" t="n"/>
      <c r="F1611" s="50" t="n"/>
      <c r="G1611" s="42" t="n"/>
      <c r="H1611" s="30">
        <f>IF(D1611="","",IFERROR(INDEX(Config!$B$12:$B$15,MATCH(IF(AND(D1611="Cartão de crédito",N(E1611)&gt;1),"Cartão de crédito parcelado",D1611),Config!$A$12:$A$15,0)),0)+IF(AND(Config!$B$17="Sim",LEFT(D1611,17)="Cartão de crédito"),Config!$B$18*IFERROR(INDEX(Config!$C$12:$C$15,MATCH(IF(AND(D1611="Cartão de crédito",N(E1611)&gt;1),"Cartão de crédito parcelado",D1611),Config!$A$12:$A$15,0)),0)/30*MAX(1,N(E1611)),0))</f>
        <v/>
      </c>
      <c r="I1611" s="29">
        <f>IF(OR(D1611="",F1611=""),"",ROUND(F1611*H1611,2))</f>
        <v/>
      </c>
      <c r="J1611" s="29">
        <f>IF(I1611="","",F1611-I1611)</f>
        <v/>
      </c>
      <c r="K1611" s="29">
        <f>IF(J1611="","",J1611/MAX(1,N(E1611)))</f>
        <v/>
      </c>
      <c r="L1611" s="37">
        <f>IF(OR(D1611="",A1611=""),"",A1611+IF(AND(Config!$B$17="Sim",LEFT(D1611,17)="Cartão de crédito"),1,IFERROR(INDEX(Config!$C$12:$C$15,MATCH(IF(AND(D1611="Cartão de crédito",N(E1611)&gt;1),"Cartão de crédito parcelado",D1611),Config!$A$12:$A$15,0)),0)))</f>
        <v/>
      </c>
      <c r="M1611" s="37">
        <f>IF(L1611="","",IF(AND(Config!$B$17="Sim",LEFT(D1611,17)="Cartão de crédito"),L1611,L1611+30*(MAX(1,N(E1611))-1)))</f>
        <v/>
      </c>
      <c r="N1611" s="29">
        <f>IF(OR(L1611="",K1611=""),"",K1611*MIN(MAX(1,N(E1611)),MAX(0,INT((Config!$B$8-L1611)/30)+1)))</f>
        <v/>
      </c>
      <c r="O1611" s="29">
        <f>IF(J1611="","",J1611-N(N1611))</f>
        <v/>
      </c>
      <c r="P1611" s="27">
        <f>IF(A1611="","",MONTH(A1611))</f>
        <v/>
      </c>
      <c r="Q1611" s="27">
        <f>IF(A1611="","",YEAR(A1611))</f>
        <v/>
      </c>
      <c r="R1611" s="27">
        <f>IF(L1611="","",IF(L1611&gt;Config!$B$8,"A cair",IF(N(G1611)&gt;=MIN(MAX(1,N(E1611)),MAX(0,INT((Config!$B$8-L1611)/30)+1)),IF(N(G1611)&gt;=MAX(1,N(E1611)),"Conferido","Conferido até aqui"),"A conferir")))</f>
        <v/>
      </c>
      <c r="S1611" s="51">
        <f>IF(R1611="A conferir",(Config!$B$8-L1611)*1000+N(F1611)/1000+ROW()/100000,0)</f>
        <v>0</v>
      </c>
      <c r="T1611" s="51">
        <f>IF(R1611="A conferir",N(N1611),0)</f>
        <v>0</v>
      </c>
      <c r="U1611" s="51">
        <f>IF(L1611="",0,L1611)</f>
        <v>0</v>
      </c>
      <c r="V1611" s="51">
        <f>IF(L1611="",0,MAX(1,N(E1611)))</f>
        <v>0</v>
      </c>
      <c r="W1611" s="51">
        <f>IF(K1611="",0,K1611)</f>
        <v>0</v>
      </c>
    </row>
    <row r="1612">
      <c r="A1612" s="49" t="n"/>
      <c r="B1612" s="41" t="n"/>
      <c r="C1612" s="41" t="n"/>
      <c r="D1612" s="42" t="n"/>
      <c r="E1612" s="42" t="n"/>
      <c r="F1612" s="50" t="n"/>
      <c r="G1612" s="42" t="n"/>
      <c r="H1612" s="30">
        <f>IF(D1612="","",IFERROR(INDEX(Config!$B$12:$B$15,MATCH(IF(AND(D1612="Cartão de crédito",N(E1612)&gt;1),"Cartão de crédito parcelado",D1612),Config!$A$12:$A$15,0)),0)+IF(AND(Config!$B$17="Sim",LEFT(D1612,17)="Cartão de crédito"),Config!$B$18*IFERROR(INDEX(Config!$C$12:$C$15,MATCH(IF(AND(D1612="Cartão de crédito",N(E1612)&gt;1),"Cartão de crédito parcelado",D1612),Config!$A$12:$A$15,0)),0)/30*MAX(1,N(E1612)),0))</f>
        <v/>
      </c>
      <c r="I1612" s="29">
        <f>IF(OR(D1612="",F1612=""),"",ROUND(F1612*H1612,2))</f>
        <v/>
      </c>
      <c r="J1612" s="29">
        <f>IF(I1612="","",F1612-I1612)</f>
        <v/>
      </c>
      <c r="K1612" s="29">
        <f>IF(J1612="","",J1612/MAX(1,N(E1612)))</f>
        <v/>
      </c>
      <c r="L1612" s="37">
        <f>IF(OR(D1612="",A1612=""),"",A1612+IF(AND(Config!$B$17="Sim",LEFT(D1612,17)="Cartão de crédito"),1,IFERROR(INDEX(Config!$C$12:$C$15,MATCH(IF(AND(D1612="Cartão de crédito",N(E1612)&gt;1),"Cartão de crédito parcelado",D1612),Config!$A$12:$A$15,0)),0)))</f>
        <v/>
      </c>
      <c r="M1612" s="37">
        <f>IF(L1612="","",IF(AND(Config!$B$17="Sim",LEFT(D1612,17)="Cartão de crédito"),L1612,L1612+30*(MAX(1,N(E1612))-1)))</f>
        <v/>
      </c>
      <c r="N1612" s="29">
        <f>IF(OR(L1612="",K1612=""),"",K1612*MIN(MAX(1,N(E1612)),MAX(0,INT((Config!$B$8-L1612)/30)+1)))</f>
        <v/>
      </c>
      <c r="O1612" s="29">
        <f>IF(J1612="","",J1612-N(N1612))</f>
        <v/>
      </c>
      <c r="P1612" s="27">
        <f>IF(A1612="","",MONTH(A1612))</f>
        <v/>
      </c>
      <c r="Q1612" s="27">
        <f>IF(A1612="","",YEAR(A1612))</f>
        <v/>
      </c>
      <c r="R1612" s="27">
        <f>IF(L1612="","",IF(L1612&gt;Config!$B$8,"A cair",IF(N(G1612)&gt;=MIN(MAX(1,N(E1612)),MAX(0,INT((Config!$B$8-L1612)/30)+1)),IF(N(G1612)&gt;=MAX(1,N(E1612)),"Conferido","Conferido até aqui"),"A conferir")))</f>
        <v/>
      </c>
      <c r="S1612" s="51">
        <f>IF(R1612="A conferir",(Config!$B$8-L1612)*1000+N(F1612)/1000+ROW()/100000,0)</f>
        <v>0</v>
      </c>
      <c r="T1612" s="51">
        <f>IF(R1612="A conferir",N(N1612),0)</f>
        <v>0</v>
      </c>
      <c r="U1612" s="51">
        <f>IF(L1612="",0,L1612)</f>
        <v>0</v>
      </c>
      <c r="V1612" s="51">
        <f>IF(L1612="",0,MAX(1,N(E1612)))</f>
        <v>0</v>
      </c>
      <c r="W1612" s="51">
        <f>IF(K1612="",0,K1612)</f>
        <v>0</v>
      </c>
    </row>
    <row r="1613">
      <c r="A1613" s="49" t="n"/>
      <c r="B1613" s="41" t="n"/>
      <c r="C1613" s="41" t="n"/>
      <c r="D1613" s="42" t="n"/>
      <c r="E1613" s="42" t="n"/>
      <c r="F1613" s="50" t="n"/>
      <c r="G1613" s="42" t="n"/>
      <c r="H1613" s="30">
        <f>IF(D1613="","",IFERROR(INDEX(Config!$B$12:$B$15,MATCH(IF(AND(D1613="Cartão de crédito",N(E1613)&gt;1),"Cartão de crédito parcelado",D1613),Config!$A$12:$A$15,0)),0)+IF(AND(Config!$B$17="Sim",LEFT(D1613,17)="Cartão de crédito"),Config!$B$18*IFERROR(INDEX(Config!$C$12:$C$15,MATCH(IF(AND(D1613="Cartão de crédito",N(E1613)&gt;1),"Cartão de crédito parcelado",D1613),Config!$A$12:$A$15,0)),0)/30*MAX(1,N(E1613)),0))</f>
        <v/>
      </c>
      <c r="I1613" s="29">
        <f>IF(OR(D1613="",F1613=""),"",ROUND(F1613*H1613,2))</f>
        <v/>
      </c>
      <c r="J1613" s="29">
        <f>IF(I1613="","",F1613-I1613)</f>
        <v/>
      </c>
      <c r="K1613" s="29">
        <f>IF(J1613="","",J1613/MAX(1,N(E1613)))</f>
        <v/>
      </c>
      <c r="L1613" s="37">
        <f>IF(OR(D1613="",A1613=""),"",A1613+IF(AND(Config!$B$17="Sim",LEFT(D1613,17)="Cartão de crédito"),1,IFERROR(INDEX(Config!$C$12:$C$15,MATCH(IF(AND(D1613="Cartão de crédito",N(E1613)&gt;1),"Cartão de crédito parcelado",D1613),Config!$A$12:$A$15,0)),0)))</f>
        <v/>
      </c>
      <c r="M1613" s="37">
        <f>IF(L1613="","",IF(AND(Config!$B$17="Sim",LEFT(D1613,17)="Cartão de crédito"),L1613,L1613+30*(MAX(1,N(E1613))-1)))</f>
        <v/>
      </c>
      <c r="N1613" s="29">
        <f>IF(OR(L1613="",K1613=""),"",K1613*MIN(MAX(1,N(E1613)),MAX(0,INT((Config!$B$8-L1613)/30)+1)))</f>
        <v/>
      </c>
      <c r="O1613" s="29">
        <f>IF(J1613="","",J1613-N(N1613))</f>
        <v/>
      </c>
      <c r="P1613" s="27">
        <f>IF(A1613="","",MONTH(A1613))</f>
        <v/>
      </c>
      <c r="Q1613" s="27">
        <f>IF(A1613="","",YEAR(A1613))</f>
        <v/>
      </c>
      <c r="R1613" s="27">
        <f>IF(L1613="","",IF(L1613&gt;Config!$B$8,"A cair",IF(N(G1613)&gt;=MIN(MAX(1,N(E1613)),MAX(0,INT((Config!$B$8-L1613)/30)+1)),IF(N(G1613)&gt;=MAX(1,N(E1613)),"Conferido","Conferido até aqui"),"A conferir")))</f>
        <v/>
      </c>
      <c r="S1613" s="51">
        <f>IF(R1613="A conferir",(Config!$B$8-L1613)*1000+N(F1613)/1000+ROW()/100000,0)</f>
        <v>0</v>
      </c>
      <c r="T1613" s="51">
        <f>IF(R1613="A conferir",N(N1613),0)</f>
        <v>0</v>
      </c>
      <c r="U1613" s="51">
        <f>IF(L1613="",0,L1613)</f>
        <v>0</v>
      </c>
      <c r="V1613" s="51">
        <f>IF(L1613="",0,MAX(1,N(E1613)))</f>
        <v>0</v>
      </c>
      <c r="W1613" s="51">
        <f>IF(K1613="",0,K1613)</f>
        <v>0</v>
      </c>
    </row>
    <row r="1614">
      <c r="A1614" s="49" t="n"/>
      <c r="B1614" s="41" t="n"/>
      <c r="C1614" s="41" t="n"/>
      <c r="D1614" s="42" t="n"/>
      <c r="E1614" s="42" t="n"/>
      <c r="F1614" s="50" t="n"/>
      <c r="G1614" s="42" t="n"/>
      <c r="H1614" s="30">
        <f>IF(D1614="","",IFERROR(INDEX(Config!$B$12:$B$15,MATCH(IF(AND(D1614="Cartão de crédito",N(E1614)&gt;1),"Cartão de crédito parcelado",D1614),Config!$A$12:$A$15,0)),0)+IF(AND(Config!$B$17="Sim",LEFT(D1614,17)="Cartão de crédito"),Config!$B$18*IFERROR(INDEX(Config!$C$12:$C$15,MATCH(IF(AND(D1614="Cartão de crédito",N(E1614)&gt;1),"Cartão de crédito parcelado",D1614),Config!$A$12:$A$15,0)),0)/30*MAX(1,N(E1614)),0))</f>
        <v/>
      </c>
      <c r="I1614" s="29">
        <f>IF(OR(D1614="",F1614=""),"",ROUND(F1614*H1614,2))</f>
        <v/>
      </c>
      <c r="J1614" s="29">
        <f>IF(I1614="","",F1614-I1614)</f>
        <v/>
      </c>
      <c r="K1614" s="29">
        <f>IF(J1614="","",J1614/MAX(1,N(E1614)))</f>
        <v/>
      </c>
      <c r="L1614" s="37">
        <f>IF(OR(D1614="",A1614=""),"",A1614+IF(AND(Config!$B$17="Sim",LEFT(D1614,17)="Cartão de crédito"),1,IFERROR(INDEX(Config!$C$12:$C$15,MATCH(IF(AND(D1614="Cartão de crédito",N(E1614)&gt;1),"Cartão de crédito parcelado",D1614),Config!$A$12:$A$15,0)),0)))</f>
        <v/>
      </c>
      <c r="M1614" s="37">
        <f>IF(L1614="","",IF(AND(Config!$B$17="Sim",LEFT(D1614,17)="Cartão de crédito"),L1614,L1614+30*(MAX(1,N(E1614))-1)))</f>
        <v/>
      </c>
      <c r="N1614" s="29">
        <f>IF(OR(L1614="",K1614=""),"",K1614*MIN(MAX(1,N(E1614)),MAX(0,INT((Config!$B$8-L1614)/30)+1)))</f>
        <v/>
      </c>
      <c r="O1614" s="29">
        <f>IF(J1614="","",J1614-N(N1614))</f>
        <v/>
      </c>
      <c r="P1614" s="27">
        <f>IF(A1614="","",MONTH(A1614))</f>
        <v/>
      </c>
      <c r="Q1614" s="27">
        <f>IF(A1614="","",YEAR(A1614))</f>
        <v/>
      </c>
      <c r="R1614" s="27">
        <f>IF(L1614="","",IF(L1614&gt;Config!$B$8,"A cair",IF(N(G1614)&gt;=MIN(MAX(1,N(E1614)),MAX(0,INT((Config!$B$8-L1614)/30)+1)),IF(N(G1614)&gt;=MAX(1,N(E1614)),"Conferido","Conferido até aqui"),"A conferir")))</f>
        <v/>
      </c>
      <c r="S1614" s="51">
        <f>IF(R1614="A conferir",(Config!$B$8-L1614)*1000+N(F1614)/1000+ROW()/100000,0)</f>
        <v>0</v>
      </c>
      <c r="T1614" s="51">
        <f>IF(R1614="A conferir",N(N1614),0)</f>
        <v>0</v>
      </c>
      <c r="U1614" s="51">
        <f>IF(L1614="",0,L1614)</f>
        <v>0</v>
      </c>
      <c r="V1614" s="51">
        <f>IF(L1614="",0,MAX(1,N(E1614)))</f>
        <v>0</v>
      </c>
      <c r="W1614" s="51">
        <f>IF(K1614="",0,K1614)</f>
        <v>0</v>
      </c>
    </row>
    <row r="1615">
      <c r="A1615" s="49" t="n"/>
      <c r="B1615" s="41" t="n"/>
      <c r="C1615" s="41" t="n"/>
      <c r="D1615" s="42" t="n"/>
      <c r="E1615" s="42" t="n"/>
      <c r="F1615" s="50" t="n"/>
      <c r="G1615" s="42" t="n"/>
      <c r="H1615" s="30">
        <f>IF(D1615="","",IFERROR(INDEX(Config!$B$12:$B$15,MATCH(IF(AND(D1615="Cartão de crédito",N(E1615)&gt;1),"Cartão de crédito parcelado",D1615),Config!$A$12:$A$15,0)),0)+IF(AND(Config!$B$17="Sim",LEFT(D1615,17)="Cartão de crédito"),Config!$B$18*IFERROR(INDEX(Config!$C$12:$C$15,MATCH(IF(AND(D1615="Cartão de crédito",N(E1615)&gt;1),"Cartão de crédito parcelado",D1615),Config!$A$12:$A$15,0)),0)/30*MAX(1,N(E1615)),0))</f>
        <v/>
      </c>
      <c r="I1615" s="29">
        <f>IF(OR(D1615="",F1615=""),"",ROUND(F1615*H1615,2))</f>
        <v/>
      </c>
      <c r="J1615" s="29">
        <f>IF(I1615="","",F1615-I1615)</f>
        <v/>
      </c>
      <c r="K1615" s="29">
        <f>IF(J1615="","",J1615/MAX(1,N(E1615)))</f>
        <v/>
      </c>
      <c r="L1615" s="37">
        <f>IF(OR(D1615="",A1615=""),"",A1615+IF(AND(Config!$B$17="Sim",LEFT(D1615,17)="Cartão de crédito"),1,IFERROR(INDEX(Config!$C$12:$C$15,MATCH(IF(AND(D1615="Cartão de crédito",N(E1615)&gt;1),"Cartão de crédito parcelado",D1615),Config!$A$12:$A$15,0)),0)))</f>
        <v/>
      </c>
      <c r="M1615" s="37">
        <f>IF(L1615="","",IF(AND(Config!$B$17="Sim",LEFT(D1615,17)="Cartão de crédito"),L1615,L1615+30*(MAX(1,N(E1615))-1)))</f>
        <v/>
      </c>
      <c r="N1615" s="29">
        <f>IF(OR(L1615="",K1615=""),"",K1615*MIN(MAX(1,N(E1615)),MAX(0,INT((Config!$B$8-L1615)/30)+1)))</f>
        <v/>
      </c>
      <c r="O1615" s="29">
        <f>IF(J1615="","",J1615-N(N1615))</f>
        <v/>
      </c>
      <c r="P1615" s="27">
        <f>IF(A1615="","",MONTH(A1615))</f>
        <v/>
      </c>
      <c r="Q1615" s="27">
        <f>IF(A1615="","",YEAR(A1615))</f>
        <v/>
      </c>
      <c r="R1615" s="27">
        <f>IF(L1615="","",IF(L1615&gt;Config!$B$8,"A cair",IF(N(G1615)&gt;=MIN(MAX(1,N(E1615)),MAX(0,INT((Config!$B$8-L1615)/30)+1)),IF(N(G1615)&gt;=MAX(1,N(E1615)),"Conferido","Conferido até aqui"),"A conferir")))</f>
        <v/>
      </c>
      <c r="S1615" s="51">
        <f>IF(R1615="A conferir",(Config!$B$8-L1615)*1000+N(F1615)/1000+ROW()/100000,0)</f>
        <v>0</v>
      </c>
      <c r="T1615" s="51">
        <f>IF(R1615="A conferir",N(N1615),0)</f>
        <v>0</v>
      </c>
      <c r="U1615" s="51">
        <f>IF(L1615="",0,L1615)</f>
        <v>0</v>
      </c>
      <c r="V1615" s="51">
        <f>IF(L1615="",0,MAX(1,N(E1615)))</f>
        <v>0</v>
      </c>
      <c r="W1615" s="51">
        <f>IF(K1615="",0,K1615)</f>
        <v>0</v>
      </c>
    </row>
    <row r="1616">
      <c r="A1616" s="49" t="n"/>
      <c r="B1616" s="41" t="n"/>
      <c r="C1616" s="41" t="n"/>
      <c r="D1616" s="42" t="n"/>
      <c r="E1616" s="42" t="n"/>
      <c r="F1616" s="50" t="n"/>
      <c r="G1616" s="42" t="n"/>
      <c r="H1616" s="30">
        <f>IF(D1616="","",IFERROR(INDEX(Config!$B$12:$B$15,MATCH(IF(AND(D1616="Cartão de crédito",N(E1616)&gt;1),"Cartão de crédito parcelado",D1616),Config!$A$12:$A$15,0)),0)+IF(AND(Config!$B$17="Sim",LEFT(D1616,17)="Cartão de crédito"),Config!$B$18*IFERROR(INDEX(Config!$C$12:$C$15,MATCH(IF(AND(D1616="Cartão de crédito",N(E1616)&gt;1),"Cartão de crédito parcelado",D1616),Config!$A$12:$A$15,0)),0)/30*MAX(1,N(E1616)),0))</f>
        <v/>
      </c>
      <c r="I1616" s="29">
        <f>IF(OR(D1616="",F1616=""),"",ROUND(F1616*H1616,2))</f>
        <v/>
      </c>
      <c r="J1616" s="29">
        <f>IF(I1616="","",F1616-I1616)</f>
        <v/>
      </c>
      <c r="K1616" s="29">
        <f>IF(J1616="","",J1616/MAX(1,N(E1616)))</f>
        <v/>
      </c>
      <c r="L1616" s="37">
        <f>IF(OR(D1616="",A1616=""),"",A1616+IF(AND(Config!$B$17="Sim",LEFT(D1616,17)="Cartão de crédito"),1,IFERROR(INDEX(Config!$C$12:$C$15,MATCH(IF(AND(D1616="Cartão de crédito",N(E1616)&gt;1),"Cartão de crédito parcelado",D1616),Config!$A$12:$A$15,0)),0)))</f>
        <v/>
      </c>
      <c r="M1616" s="37">
        <f>IF(L1616="","",IF(AND(Config!$B$17="Sim",LEFT(D1616,17)="Cartão de crédito"),L1616,L1616+30*(MAX(1,N(E1616))-1)))</f>
        <v/>
      </c>
      <c r="N1616" s="29">
        <f>IF(OR(L1616="",K1616=""),"",K1616*MIN(MAX(1,N(E1616)),MAX(0,INT((Config!$B$8-L1616)/30)+1)))</f>
        <v/>
      </c>
      <c r="O1616" s="29">
        <f>IF(J1616="","",J1616-N(N1616))</f>
        <v/>
      </c>
      <c r="P1616" s="27">
        <f>IF(A1616="","",MONTH(A1616))</f>
        <v/>
      </c>
      <c r="Q1616" s="27">
        <f>IF(A1616="","",YEAR(A1616))</f>
        <v/>
      </c>
      <c r="R1616" s="27">
        <f>IF(L1616="","",IF(L1616&gt;Config!$B$8,"A cair",IF(N(G1616)&gt;=MIN(MAX(1,N(E1616)),MAX(0,INT((Config!$B$8-L1616)/30)+1)),IF(N(G1616)&gt;=MAX(1,N(E1616)),"Conferido","Conferido até aqui"),"A conferir")))</f>
        <v/>
      </c>
      <c r="S1616" s="51">
        <f>IF(R1616="A conferir",(Config!$B$8-L1616)*1000+N(F1616)/1000+ROW()/100000,0)</f>
        <v>0</v>
      </c>
      <c r="T1616" s="51">
        <f>IF(R1616="A conferir",N(N1616),0)</f>
        <v>0</v>
      </c>
      <c r="U1616" s="51">
        <f>IF(L1616="",0,L1616)</f>
        <v>0</v>
      </c>
      <c r="V1616" s="51">
        <f>IF(L1616="",0,MAX(1,N(E1616)))</f>
        <v>0</v>
      </c>
      <c r="W1616" s="51">
        <f>IF(K1616="",0,K1616)</f>
        <v>0</v>
      </c>
    </row>
    <row r="1617">
      <c r="A1617" s="49" t="n"/>
      <c r="B1617" s="41" t="n"/>
      <c r="C1617" s="41" t="n"/>
      <c r="D1617" s="42" t="n"/>
      <c r="E1617" s="42" t="n"/>
      <c r="F1617" s="50" t="n"/>
      <c r="G1617" s="42" t="n"/>
      <c r="H1617" s="30">
        <f>IF(D1617="","",IFERROR(INDEX(Config!$B$12:$B$15,MATCH(IF(AND(D1617="Cartão de crédito",N(E1617)&gt;1),"Cartão de crédito parcelado",D1617),Config!$A$12:$A$15,0)),0)+IF(AND(Config!$B$17="Sim",LEFT(D1617,17)="Cartão de crédito"),Config!$B$18*IFERROR(INDEX(Config!$C$12:$C$15,MATCH(IF(AND(D1617="Cartão de crédito",N(E1617)&gt;1),"Cartão de crédito parcelado",D1617),Config!$A$12:$A$15,0)),0)/30*MAX(1,N(E1617)),0))</f>
        <v/>
      </c>
      <c r="I1617" s="29">
        <f>IF(OR(D1617="",F1617=""),"",ROUND(F1617*H1617,2))</f>
        <v/>
      </c>
      <c r="J1617" s="29">
        <f>IF(I1617="","",F1617-I1617)</f>
        <v/>
      </c>
      <c r="K1617" s="29">
        <f>IF(J1617="","",J1617/MAX(1,N(E1617)))</f>
        <v/>
      </c>
      <c r="L1617" s="37">
        <f>IF(OR(D1617="",A1617=""),"",A1617+IF(AND(Config!$B$17="Sim",LEFT(D1617,17)="Cartão de crédito"),1,IFERROR(INDEX(Config!$C$12:$C$15,MATCH(IF(AND(D1617="Cartão de crédito",N(E1617)&gt;1),"Cartão de crédito parcelado",D1617),Config!$A$12:$A$15,0)),0)))</f>
        <v/>
      </c>
      <c r="M1617" s="37">
        <f>IF(L1617="","",IF(AND(Config!$B$17="Sim",LEFT(D1617,17)="Cartão de crédito"),L1617,L1617+30*(MAX(1,N(E1617))-1)))</f>
        <v/>
      </c>
      <c r="N1617" s="29">
        <f>IF(OR(L1617="",K1617=""),"",K1617*MIN(MAX(1,N(E1617)),MAX(0,INT((Config!$B$8-L1617)/30)+1)))</f>
        <v/>
      </c>
      <c r="O1617" s="29">
        <f>IF(J1617="","",J1617-N(N1617))</f>
        <v/>
      </c>
      <c r="P1617" s="27">
        <f>IF(A1617="","",MONTH(A1617))</f>
        <v/>
      </c>
      <c r="Q1617" s="27">
        <f>IF(A1617="","",YEAR(A1617))</f>
        <v/>
      </c>
      <c r="R1617" s="27">
        <f>IF(L1617="","",IF(L1617&gt;Config!$B$8,"A cair",IF(N(G1617)&gt;=MIN(MAX(1,N(E1617)),MAX(0,INT((Config!$B$8-L1617)/30)+1)),IF(N(G1617)&gt;=MAX(1,N(E1617)),"Conferido","Conferido até aqui"),"A conferir")))</f>
        <v/>
      </c>
      <c r="S1617" s="51">
        <f>IF(R1617="A conferir",(Config!$B$8-L1617)*1000+N(F1617)/1000+ROW()/100000,0)</f>
        <v>0</v>
      </c>
      <c r="T1617" s="51">
        <f>IF(R1617="A conferir",N(N1617),0)</f>
        <v>0</v>
      </c>
      <c r="U1617" s="51">
        <f>IF(L1617="",0,L1617)</f>
        <v>0</v>
      </c>
      <c r="V1617" s="51">
        <f>IF(L1617="",0,MAX(1,N(E1617)))</f>
        <v>0</v>
      </c>
      <c r="W1617" s="51">
        <f>IF(K1617="",0,K1617)</f>
        <v>0</v>
      </c>
    </row>
    <row r="1618">
      <c r="A1618" s="49" t="n"/>
      <c r="B1618" s="41" t="n"/>
      <c r="C1618" s="41" t="n"/>
      <c r="D1618" s="42" t="n"/>
      <c r="E1618" s="42" t="n"/>
      <c r="F1618" s="50" t="n"/>
      <c r="G1618" s="42" t="n"/>
      <c r="H1618" s="30">
        <f>IF(D1618="","",IFERROR(INDEX(Config!$B$12:$B$15,MATCH(IF(AND(D1618="Cartão de crédito",N(E1618)&gt;1),"Cartão de crédito parcelado",D1618),Config!$A$12:$A$15,0)),0)+IF(AND(Config!$B$17="Sim",LEFT(D1618,17)="Cartão de crédito"),Config!$B$18*IFERROR(INDEX(Config!$C$12:$C$15,MATCH(IF(AND(D1618="Cartão de crédito",N(E1618)&gt;1),"Cartão de crédito parcelado",D1618),Config!$A$12:$A$15,0)),0)/30*MAX(1,N(E1618)),0))</f>
        <v/>
      </c>
      <c r="I1618" s="29">
        <f>IF(OR(D1618="",F1618=""),"",ROUND(F1618*H1618,2))</f>
        <v/>
      </c>
      <c r="J1618" s="29">
        <f>IF(I1618="","",F1618-I1618)</f>
        <v/>
      </c>
      <c r="K1618" s="29">
        <f>IF(J1618="","",J1618/MAX(1,N(E1618)))</f>
        <v/>
      </c>
      <c r="L1618" s="37">
        <f>IF(OR(D1618="",A1618=""),"",A1618+IF(AND(Config!$B$17="Sim",LEFT(D1618,17)="Cartão de crédito"),1,IFERROR(INDEX(Config!$C$12:$C$15,MATCH(IF(AND(D1618="Cartão de crédito",N(E1618)&gt;1),"Cartão de crédito parcelado",D1618),Config!$A$12:$A$15,0)),0)))</f>
        <v/>
      </c>
      <c r="M1618" s="37">
        <f>IF(L1618="","",IF(AND(Config!$B$17="Sim",LEFT(D1618,17)="Cartão de crédito"),L1618,L1618+30*(MAX(1,N(E1618))-1)))</f>
        <v/>
      </c>
      <c r="N1618" s="29">
        <f>IF(OR(L1618="",K1618=""),"",K1618*MIN(MAX(1,N(E1618)),MAX(0,INT((Config!$B$8-L1618)/30)+1)))</f>
        <v/>
      </c>
      <c r="O1618" s="29">
        <f>IF(J1618="","",J1618-N(N1618))</f>
        <v/>
      </c>
      <c r="P1618" s="27">
        <f>IF(A1618="","",MONTH(A1618))</f>
        <v/>
      </c>
      <c r="Q1618" s="27">
        <f>IF(A1618="","",YEAR(A1618))</f>
        <v/>
      </c>
      <c r="R1618" s="27">
        <f>IF(L1618="","",IF(L1618&gt;Config!$B$8,"A cair",IF(N(G1618)&gt;=MIN(MAX(1,N(E1618)),MAX(0,INT((Config!$B$8-L1618)/30)+1)),IF(N(G1618)&gt;=MAX(1,N(E1618)),"Conferido","Conferido até aqui"),"A conferir")))</f>
        <v/>
      </c>
      <c r="S1618" s="51">
        <f>IF(R1618="A conferir",(Config!$B$8-L1618)*1000+N(F1618)/1000+ROW()/100000,0)</f>
        <v>0</v>
      </c>
      <c r="T1618" s="51">
        <f>IF(R1618="A conferir",N(N1618),0)</f>
        <v>0</v>
      </c>
      <c r="U1618" s="51">
        <f>IF(L1618="",0,L1618)</f>
        <v>0</v>
      </c>
      <c r="V1618" s="51">
        <f>IF(L1618="",0,MAX(1,N(E1618)))</f>
        <v>0</v>
      </c>
      <c r="W1618" s="51">
        <f>IF(K1618="",0,K1618)</f>
        <v>0</v>
      </c>
    </row>
    <row r="1619">
      <c r="A1619" s="49" t="n"/>
      <c r="B1619" s="41" t="n"/>
      <c r="C1619" s="41" t="n"/>
      <c r="D1619" s="42" t="n"/>
      <c r="E1619" s="42" t="n"/>
      <c r="F1619" s="50" t="n"/>
      <c r="G1619" s="42" t="n"/>
      <c r="H1619" s="30">
        <f>IF(D1619="","",IFERROR(INDEX(Config!$B$12:$B$15,MATCH(IF(AND(D1619="Cartão de crédito",N(E1619)&gt;1),"Cartão de crédito parcelado",D1619),Config!$A$12:$A$15,0)),0)+IF(AND(Config!$B$17="Sim",LEFT(D1619,17)="Cartão de crédito"),Config!$B$18*IFERROR(INDEX(Config!$C$12:$C$15,MATCH(IF(AND(D1619="Cartão de crédito",N(E1619)&gt;1),"Cartão de crédito parcelado",D1619),Config!$A$12:$A$15,0)),0)/30*MAX(1,N(E1619)),0))</f>
        <v/>
      </c>
      <c r="I1619" s="29">
        <f>IF(OR(D1619="",F1619=""),"",ROUND(F1619*H1619,2))</f>
        <v/>
      </c>
      <c r="J1619" s="29">
        <f>IF(I1619="","",F1619-I1619)</f>
        <v/>
      </c>
      <c r="K1619" s="29">
        <f>IF(J1619="","",J1619/MAX(1,N(E1619)))</f>
        <v/>
      </c>
      <c r="L1619" s="37">
        <f>IF(OR(D1619="",A1619=""),"",A1619+IF(AND(Config!$B$17="Sim",LEFT(D1619,17)="Cartão de crédito"),1,IFERROR(INDEX(Config!$C$12:$C$15,MATCH(IF(AND(D1619="Cartão de crédito",N(E1619)&gt;1),"Cartão de crédito parcelado",D1619),Config!$A$12:$A$15,0)),0)))</f>
        <v/>
      </c>
      <c r="M1619" s="37">
        <f>IF(L1619="","",IF(AND(Config!$B$17="Sim",LEFT(D1619,17)="Cartão de crédito"),L1619,L1619+30*(MAX(1,N(E1619))-1)))</f>
        <v/>
      </c>
      <c r="N1619" s="29">
        <f>IF(OR(L1619="",K1619=""),"",K1619*MIN(MAX(1,N(E1619)),MAX(0,INT((Config!$B$8-L1619)/30)+1)))</f>
        <v/>
      </c>
      <c r="O1619" s="29">
        <f>IF(J1619="","",J1619-N(N1619))</f>
        <v/>
      </c>
      <c r="P1619" s="27">
        <f>IF(A1619="","",MONTH(A1619))</f>
        <v/>
      </c>
      <c r="Q1619" s="27">
        <f>IF(A1619="","",YEAR(A1619))</f>
        <v/>
      </c>
      <c r="R1619" s="27">
        <f>IF(L1619="","",IF(L1619&gt;Config!$B$8,"A cair",IF(N(G1619)&gt;=MIN(MAX(1,N(E1619)),MAX(0,INT((Config!$B$8-L1619)/30)+1)),IF(N(G1619)&gt;=MAX(1,N(E1619)),"Conferido","Conferido até aqui"),"A conferir")))</f>
        <v/>
      </c>
      <c r="S1619" s="51">
        <f>IF(R1619="A conferir",(Config!$B$8-L1619)*1000+N(F1619)/1000+ROW()/100000,0)</f>
        <v>0</v>
      </c>
      <c r="T1619" s="51">
        <f>IF(R1619="A conferir",N(N1619),0)</f>
        <v>0</v>
      </c>
      <c r="U1619" s="51">
        <f>IF(L1619="",0,L1619)</f>
        <v>0</v>
      </c>
      <c r="V1619" s="51">
        <f>IF(L1619="",0,MAX(1,N(E1619)))</f>
        <v>0</v>
      </c>
      <c r="W1619" s="51">
        <f>IF(K1619="",0,K1619)</f>
        <v>0</v>
      </c>
    </row>
    <row r="1620">
      <c r="A1620" s="49" t="n"/>
      <c r="B1620" s="41" t="n"/>
      <c r="C1620" s="41" t="n"/>
      <c r="D1620" s="42" t="n"/>
      <c r="E1620" s="42" t="n"/>
      <c r="F1620" s="50" t="n"/>
      <c r="G1620" s="42" t="n"/>
      <c r="H1620" s="30">
        <f>IF(D1620="","",IFERROR(INDEX(Config!$B$12:$B$15,MATCH(IF(AND(D1620="Cartão de crédito",N(E1620)&gt;1),"Cartão de crédito parcelado",D1620),Config!$A$12:$A$15,0)),0)+IF(AND(Config!$B$17="Sim",LEFT(D1620,17)="Cartão de crédito"),Config!$B$18*IFERROR(INDEX(Config!$C$12:$C$15,MATCH(IF(AND(D1620="Cartão de crédito",N(E1620)&gt;1),"Cartão de crédito parcelado",D1620),Config!$A$12:$A$15,0)),0)/30*MAX(1,N(E1620)),0))</f>
        <v/>
      </c>
      <c r="I1620" s="29">
        <f>IF(OR(D1620="",F1620=""),"",ROUND(F1620*H1620,2))</f>
        <v/>
      </c>
      <c r="J1620" s="29">
        <f>IF(I1620="","",F1620-I1620)</f>
        <v/>
      </c>
      <c r="K1620" s="29">
        <f>IF(J1620="","",J1620/MAX(1,N(E1620)))</f>
        <v/>
      </c>
      <c r="L1620" s="37">
        <f>IF(OR(D1620="",A1620=""),"",A1620+IF(AND(Config!$B$17="Sim",LEFT(D1620,17)="Cartão de crédito"),1,IFERROR(INDEX(Config!$C$12:$C$15,MATCH(IF(AND(D1620="Cartão de crédito",N(E1620)&gt;1),"Cartão de crédito parcelado",D1620),Config!$A$12:$A$15,0)),0)))</f>
        <v/>
      </c>
      <c r="M1620" s="37">
        <f>IF(L1620="","",IF(AND(Config!$B$17="Sim",LEFT(D1620,17)="Cartão de crédito"),L1620,L1620+30*(MAX(1,N(E1620))-1)))</f>
        <v/>
      </c>
      <c r="N1620" s="29">
        <f>IF(OR(L1620="",K1620=""),"",K1620*MIN(MAX(1,N(E1620)),MAX(0,INT((Config!$B$8-L1620)/30)+1)))</f>
        <v/>
      </c>
      <c r="O1620" s="29">
        <f>IF(J1620="","",J1620-N(N1620))</f>
        <v/>
      </c>
      <c r="P1620" s="27">
        <f>IF(A1620="","",MONTH(A1620))</f>
        <v/>
      </c>
      <c r="Q1620" s="27">
        <f>IF(A1620="","",YEAR(A1620))</f>
        <v/>
      </c>
      <c r="R1620" s="27">
        <f>IF(L1620="","",IF(L1620&gt;Config!$B$8,"A cair",IF(N(G1620)&gt;=MIN(MAX(1,N(E1620)),MAX(0,INT((Config!$B$8-L1620)/30)+1)),IF(N(G1620)&gt;=MAX(1,N(E1620)),"Conferido","Conferido até aqui"),"A conferir")))</f>
        <v/>
      </c>
      <c r="S1620" s="51">
        <f>IF(R1620="A conferir",(Config!$B$8-L1620)*1000+N(F1620)/1000+ROW()/100000,0)</f>
        <v>0</v>
      </c>
      <c r="T1620" s="51">
        <f>IF(R1620="A conferir",N(N1620),0)</f>
        <v>0</v>
      </c>
      <c r="U1620" s="51">
        <f>IF(L1620="",0,L1620)</f>
        <v>0</v>
      </c>
      <c r="V1620" s="51">
        <f>IF(L1620="",0,MAX(1,N(E1620)))</f>
        <v>0</v>
      </c>
      <c r="W1620" s="51">
        <f>IF(K1620="",0,K1620)</f>
        <v>0</v>
      </c>
    </row>
    <row r="1621">
      <c r="A1621" s="49" t="n"/>
      <c r="B1621" s="41" t="n"/>
      <c r="C1621" s="41" t="n"/>
      <c r="D1621" s="42" t="n"/>
      <c r="E1621" s="42" t="n"/>
      <c r="F1621" s="50" t="n"/>
      <c r="G1621" s="42" t="n"/>
      <c r="H1621" s="30">
        <f>IF(D1621="","",IFERROR(INDEX(Config!$B$12:$B$15,MATCH(IF(AND(D1621="Cartão de crédito",N(E1621)&gt;1),"Cartão de crédito parcelado",D1621),Config!$A$12:$A$15,0)),0)+IF(AND(Config!$B$17="Sim",LEFT(D1621,17)="Cartão de crédito"),Config!$B$18*IFERROR(INDEX(Config!$C$12:$C$15,MATCH(IF(AND(D1621="Cartão de crédito",N(E1621)&gt;1),"Cartão de crédito parcelado",D1621),Config!$A$12:$A$15,0)),0)/30*MAX(1,N(E1621)),0))</f>
        <v/>
      </c>
      <c r="I1621" s="29">
        <f>IF(OR(D1621="",F1621=""),"",ROUND(F1621*H1621,2))</f>
        <v/>
      </c>
      <c r="J1621" s="29">
        <f>IF(I1621="","",F1621-I1621)</f>
        <v/>
      </c>
      <c r="K1621" s="29">
        <f>IF(J1621="","",J1621/MAX(1,N(E1621)))</f>
        <v/>
      </c>
      <c r="L1621" s="37">
        <f>IF(OR(D1621="",A1621=""),"",A1621+IF(AND(Config!$B$17="Sim",LEFT(D1621,17)="Cartão de crédito"),1,IFERROR(INDEX(Config!$C$12:$C$15,MATCH(IF(AND(D1621="Cartão de crédito",N(E1621)&gt;1),"Cartão de crédito parcelado",D1621),Config!$A$12:$A$15,0)),0)))</f>
        <v/>
      </c>
      <c r="M1621" s="37">
        <f>IF(L1621="","",IF(AND(Config!$B$17="Sim",LEFT(D1621,17)="Cartão de crédito"),L1621,L1621+30*(MAX(1,N(E1621))-1)))</f>
        <v/>
      </c>
      <c r="N1621" s="29">
        <f>IF(OR(L1621="",K1621=""),"",K1621*MIN(MAX(1,N(E1621)),MAX(0,INT((Config!$B$8-L1621)/30)+1)))</f>
        <v/>
      </c>
      <c r="O1621" s="29">
        <f>IF(J1621="","",J1621-N(N1621))</f>
        <v/>
      </c>
      <c r="P1621" s="27">
        <f>IF(A1621="","",MONTH(A1621))</f>
        <v/>
      </c>
      <c r="Q1621" s="27">
        <f>IF(A1621="","",YEAR(A1621))</f>
        <v/>
      </c>
      <c r="R1621" s="27">
        <f>IF(L1621="","",IF(L1621&gt;Config!$B$8,"A cair",IF(N(G1621)&gt;=MIN(MAX(1,N(E1621)),MAX(0,INT((Config!$B$8-L1621)/30)+1)),IF(N(G1621)&gt;=MAX(1,N(E1621)),"Conferido","Conferido até aqui"),"A conferir")))</f>
        <v/>
      </c>
      <c r="S1621" s="51">
        <f>IF(R1621="A conferir",(Config!$B$8-L1621)*1000+N(F1621)/1000+ROW()/100000,0)</f>
        <v>0</v>
      </c>
      <c r="T1621" s="51">
        <f>IF(R1621="A conferir",N(N1621),0)</f>
        <v>0</v>
      </c>
      <c r="U1621" s="51">
        <f>IF(L1621="",0,L1621)</f>
        <v>0</v>
      </c>
      <c r="V1621" s="51">
        <f>IF(L1621="",0,MAX(1,N(E1621)))</f>
        <v>0</v>
      </c>
      <c r="W1621" s="51">
        <f>IF(K1621="",0,K1621)</f>
        <v>0</v>
      </c>
    </row>
    <row r="1622">
      <c r="A1622" s="49" t="n"/>
      <c r="B1622" s="41" t="n"/>
      <c r="C1622" s="41" t="n"/>
      <c r="D1622" s="42" t="n"/>
      <c r="E1622" s="42" t="n"/>
      <c r="F1622" s="50" t="n"/>
      <c r="G1622" s="42" t="n"/>
      <c r="H1622" s="30">
        <f>IF(D1622="","",IFERROR(INDEX(Config!$B$12:$B$15,MATCH(IF(AND(D1622="Cartão de crédito",N(E1622)&gt;1),"Cartão de crédito parcelado",D1622),Config!$A$12:$A$15,0)),0)+IF(AND(Config!$B$17="Sim",LEFT(D1622,17)="Cartão de crédito"),Config!$B$18*IFERROR(INDEX(Config!$C$12:$C$15,MATCH(IF(AND(D1622="Cartão de crédito",N(E1622)&gt;1),"Cartão de crédito parcelado",D1622),Config!$A$12:$A$15,0)),0)/30*MAX(1,N(E1622)),0))</f>
        <v/>
      </c>
      <c r="I1622" s="29">
        <f>IF(OR(D1622="",F1622=""),"",ROUND(F1622*H1622,2))</f>
        <v/>
      </c>
      <c r="J1622" s="29">
        <f>IF(I1622="","",F1622-I1622)</f>
        <v/>
      </c>
      <c r="K1622" s="29">
        <f>IF(J1622="","",J1622/MAX(1,N(E1622)))</f>
        <v/>
      </c>
      <c r="L1622" s="37">
        <f>IF(OR(D1622="",A1622=""),"",A1622+IF(AND(Config!$B$17="Sim",LEFT(D1622,17)="Cartão de crédito"),1,IFERROR(INDEX(Config!$C$12:$C$15,MATCH(IF(AND(D1622="Cartão de crédito",N(E1622)&gt;1),"Cartão de crédito parcelado",D1622),Config!$A$12:$A$15,0)),0)))</f>
        <v/>
      </c>
      <c r="M1622" s="37">
        <f>IF(L1622="","",IF(AND(Config!$B$17="Sim",LEFT(D1622,17)="Cartão de crédito"),L1622,L1622+30*(MAX(1,N(E1622))-1)))</f>
        <v/>
      </c>
      <c r="N1622" s="29">
        <f>IF(OR(L1622="",K1622=""),"",K1622*MIN(MAX(1,N(E1622)),MAX(0,INT((Config!$B$8-L1622)/30)+1)))</f>
        <v/>
      </c>
      <c r="O1622" s="29">
        <f>IF(J1622="","",J1622-N(N1622))</f>
        <v/>
      </c>
      <c r="P1622" s="27">
        <f>IF(A1622="","",MONTH(A1622))</f>
        <v/>
      </c>
      <c r="Q1622" s="27">
        <f>IF(A1622="","",YEAR(A1622))</f>
        <v/>
      </c>
      <c r="R1622" s="27">
        <f>IF(L1622="","",IF(L1622&gt;Config!$B$8,"A cair",IF(N(G1622)&gt;=MIN(MAX(1,N(E1622)),MAX(0,INT((Config!$B$8-L1622)/30)+1)),IF(N(G1622)&gt;=MAX(1,N(E1622)),"Conferido","Conferido até aqui"),"A conferir")))</f>
        <v/>
      </c>
      <c r="S1622" s="51">
        <f>IF(R1622="A conferir",(Config!$B$8-L1622)*1000+N(F1622)/1000+ROW()/100000,0)</f>
        <v>0</v>
      </c>
      <c r="T1622" s="51">
        <f>IF(R1622="A conferir",N(N1622),0)</f>
        <v>0</v>
      </c>
      <c r="U1622" s="51">
        <f>IF(L1622="",0,L1622)</f>
        <v>0</v>
      </c>
      <c r="V1622" s="51">
        <f>IF(L1622="",0,MAX(1,N(E1622)))</f>
        <v>0</v>
      </c>
      <c r="W1622" s="51">
        <f>IF(K1622="",0,K1622)</f>
        <v>0</v>
      </c>
    </row>
    <row r="1623">
      <c r="A1623" s="49" t="n"/>
      <c r="B1623" s="41" t="n"/>
      <c r="C1623" s="41" t="n"/>
      <c r="D1623" s="42" t="n"/>
      <c r="E1623" s="42" t="n"/>
      <c r="F1623" s="50" t="n"/>
      <c r="G1623" s="42" t="n"/>
      <c r="H1623" s="30">
        <f>IF(D1623="","",IFERROR(INDEX(Config!$B$12:$B$15,MATCH(IF(AND(D1623="Cartão de crédito",N(E1623)&gt;1),"Cartão de crédito parcelado",D1623),Config!$A$12:$A$15,0)),0)+IF(AND(Config!$B$17="Sim",LEFT(D1623,17)="Cartão de crédito"),Config!$B$18*IFERROR(INDEX(Config!$C$12:$C$15,MATCH(IF(AND(D1623="Cartão de crédito",N(E1623)&gt;1),"Cartão de crédito parcelado",D1623),Config!$A$12:$A$15,0)),0)/30*MAX(1,N(E1623)),0))</f>
        <v/>
      </c>
      <c r="I1623" s="29">
        <f>IF(OR(D1623="",F1623=""),"",ROUND(F1623*H1623,2))</f>
        <v/>
      </c>
      <c r="J1623" s="29">
        <f>IF(I1623="","",F1623-I1623)</f>
        <v/>
      </c>
      <c r="K1623" s="29">
        <f>IF(J1623="","",J1623/MAX(1,N(E1623)))</f>
        <v/>
      </c>
      <c r="L1623" s="37">
        <f>IF(OR(D1623="",A1623=""),"",A1623+IF(AND(Config!$B$17="Sim",LEFT(D1623,17)="Cartão de crédito"),1,IFERROR(INDEX(Config!$C$12:$C$15,MATCH(IF(AND(D1623="Cartão de crédito",N(E1623)&gt;1),"Cartão de crédito parcelado",D1623),Config!$A$12:$A$15,0)),0)))</f>
        <v/>
      </c>
      <c r="M1623" s="37">
        <f>IF(L1623="","",IF(AND(Config!$B$17="Sim",LEFT(D1623,17)="Cartão de crédito"),L1623,L1623+30*(MAX(1,N(E1623))-1)))</f>
        <v/>
      </c>
      <c r="N1623" s="29">
        <f>IF(OR(L1623="",K1623=""),"",K1623*MIN(MAX(1,N(E1623)),MAX(0,INT((Config!$B$8-L1623)/30)+1)))</f>
        <v/>
      </c>
      <c r="O1623" s="29">
        <f>IF(J1623="","",J1623-N(N1623))</f>
        <v/>
      </c>
      <c r="P1623" s="27">
        <f>IF(A1623="","",MONTH(A1623))</f>
        <v/>
      </c>
      <c r="Q1623" s="27">
        <f>IF(A1623="","",YEAR(A1623))</f>
        <v/>
      </c>
      <c r="R1623" s="27">
        <f>IF(L1623="","",IF(L1623&gt;Config!$B$8,"A cair",IF(N(G1623)&gt;=MIN(MAX(1,N(E1623)),MAX(0,INT((Config!$B$8-L1623)/30)+1)),IF(N(G1623)&gt;=MAX(1,N(E1623)),"Conferido","Conferido até aqui"),"A conferir")))</f>
        <v/>
      </c>
      <c r="S1623" s="51">
        <f>IF(R1623="A conferir",(Config!$B$8-L1623)*1000+N(F1623)/1000+ROW()/100000,0)</f>
        <v>0</v>
      </c>
      <c r="T1623" s="51">
        <f>IF(R1623="A conferir",N(N1623),0)</f>
        <v>0</v>
      </c>
      <c r="U1623" s="51">
        <f>IF(L1623="",0,L1623)</f>
        <v>0</v>
      </c>
      <c r="V1623" s="51">
        <f>IF(L1623="",0,MAX(1,N(E1623)))</f>
        <v>0</v>
      </c>
      <c r="W1623" s="51">
        <f>IF(K1623="",0,K1623)</f>
        <v>0</v>
      </c>
    </row>
    <row r="1624">
      <c r="A1624" s="49" t="n"/>
      <c r="B1624" s="41" t="n"/>
      <c r="C1624" s="41" t="n"/>
      <c r="D1624" s="42" t="n"/>
      <c r="E1624" s="42" t="n"/>
      <c r="F1624" s="50" t="n"/>
      <c r="G1624" s="42" t="n"/>
      <c r="H1624" s="30">
        <f>IF(D1624="","",IFERROR(INDEX(Config!$B$12:$B$15,MATCH(IF(AND(D1624="Cartão de crédito",N(E1624)&gt;1),"Cartão de crédito parcelado",D1624),Config!$A$12:$A$15,0)),0)+IF(AND(Config!$B$17="Sim",LEFT(D1624,17)="Cartão de crédito"),Config!$B$18*IFERROR(INDEX(Config!$C$12:$C$15,MATCH(IF(AND(D1624="Cartão de crédito",N(E1624)&gt;1),"Cartão de crédito parcelado",D1624),Config!$A$12:$A$15,0)),0)/30*MAX(1,N(E1624)),0))</f>
        <v/>
      </c>
      <c r="I1624" s="29">
        <f>IF(OR(D1624="",F1624=""),"",ROUND(F1624*H1624,2))</f>
        <v/>
      </c>
      <c r="J1624" s="29">
        <f>IF(I1624="","",F1624-I1624)</f>
        <v/>
      </c>
      <c r="K1624" s="29">
        <f>IF(J1624="","",J1624/MAX(1,N(E1624)))</f>
        <v/>
      </c>
      <c r="L1624" s="37">
        <f>IF(OR(D1624="",A1624=""),"",A1624+IF(AND(Config!$B$17="Sim",LEFT(D1624,17)="Cartão de crédito"),1,IFERROR(INDEX(Config!$C$12:$C$15,MATCH(IF(AND(D1624="Cartão de crédito",N(E1624)&gt;1),"Cartão de crédito parcelado",D1624),Config!$A$12:$A$15,0)),0)))</f>
        <v/>
      </c>
      <c r="M1624" s="37">
        <f>IF(L1624="","",IF(AND(Config!$B$17="Sim",LEFT(D1624,17)="Cartão de crédito"),L1624,L1624+30*(MAX(1,N(E1624))-1)))</f>
        <v/>
      </c>
      <c r="N1624" s="29">
        <f>IF(OR(L1624="",K1624=""),"",K1624*MIN(MAX(1,N(E1624)),MAX(0,INT((Config!$B$8-L1624)/30)+1)))</f>
        <v/>
      </c>
      <c r="O1624" s="29">
        <f>IF(J1624="","",J1624-N(N1624))</f>
        <v/>
      </c>
      <c r="P1624" s="27">
        <f>IF(A1624="","",MONTH(A1624))</f>
        <v/>
      </c>
      <c r="Q1624" s="27">
        <f>IF(A1624="","",YEAR(A1624))</f>
        <v/>
      </c>
      <c r="R1624" s="27">
        <f>IF(L1624="","",IF(L1624&gt;Config!$B$8,"A cair",IF(N(G1624)&gt;=MIN(MAX(1,N(E1624)),MAX(0,INT((Config!$B$8-L1624)/30)+1)),IF(N(G1624)&gt;=MAX(1,N(E1624)),"Conferido","Conferido até aqui"),"A conferir")))</f>
        <v/>
      </c>
      <c r="S1624" s="51">
        <f>IF(R1624="A conferir",(Config!$B$8-L1624)*1000+N(F1624)/1000+ROW()/100000,0)</f>
        <v>0</v>
      </c>
      <c r="T1624" s="51">
        <f>IF(R1624="A conferir",N(N1624),0)</f>
        <v>0</v>
      </c>
      <c r="U1624" s="51">
        <f>IF(L1624="",0,L1624)</f>
        <v>0</v>
      </c>
      <c r="V1624" s="51">
        <f>IF(L1624="",0,MAX(1,N(E1624)))</f>
        <v>0</v>
      </c>
      <c r="W1624" s="51">
        <f>IF(K1624="",0,K1624)</f>
        <v>0</v>
      </c>
    </row>
    <row r="1625">
      <c r="A1625" s="49" t="n"/>
      <c r="B1625" s="41" t="n"/>
      <c r="C1625" s="41" t="n"/>
      <c r="D1625" s="42" t="n"/>
      <c r="E1625" s="42" t="n"/>
      <c r="F1625" s="50" t="n"/>
      <c r="G1625" s="42" t="n"/>
      <c r="H1625" s="30">
        <f>IF(D1625="","",IFERROR(INDEX(Config!$B$12:$B$15,MATCH(IF(AND(D1625="Cartão de crédito",N(E1625)&gt;1),"Cartão de crédito parcelado",D1625),Config!$A$12:$A$15,0)),0)+IF(AND(Config!$B$17="Sim",LEFT(D1625,17)="Cartão de crédito"),Config!$B$18*IFERROR(INDEX(Config!$C$12:$C$15,MATCH(IF(AND(D1625="Cartão de crédito",N(E1625)&gt;1),"Cartão de crédito parcelado",D1625),Config!$A$12:$A$15,0)),0)/30*MAX(1,N(E1625)),0))</f>
        <v/>
      </c>
      <c r="I1625" s="29">
        <f>IF(OR(D1625="",F1625=""),"",ROUND(F1625*H1625,2))</f>
        <v/>
      </c>
      <c r="J1625" s="29">
        <f>IF(I1625="","",F1625-I1625)</f>
        <v/>
      </c>
      <c r="K1625" s="29">
        <f>IF(J1625="","",J1625/MAX(1,N(E1625)))</f>
        <v/>
      </c>
      <c r="L1625" s="37">
        <f>IF(OR(D1625="",A1625=""),"",A1625+IF(AND(Config!$B$17="Sim",LEFT(D1625,17)="Cartão de crédito"),1,IFERROR(INDEX(Config!$C$12:$C$15,MATCH(IF(AND(D1625="Cartão de crédito",N(E1625)&gt;1),"Cartão de crédito parcelado",D1625),Config!$A$12:$A$15,0)),0)))</f>
        <v/>
      </c>
      <c r="M1625" s="37">
        <f>IF(L1625="","",IF(AND(Config!$B$17="Sim",LEFT(D1625,17)="Cartão de crédito"),L1625,L1625+30*(MAX(1,N(E1625))-1)))</f>
        <v/>
      </c>
      <c r="N1625" s="29">
        <f>IF(OR(L1625="",K1625=""),"",K1625*MIN(MAX(1,N(E1625)),MAX(0,INT((Config!$B$8-L1625)/30)+1)))</f>
        <v/>
      </c>
      <c r="O1625" s="29">
        <f>IF(J1625="","",J1625-N(N1625))</f>
        <v/>
      </c>
      <c r="P1625" s="27">
        <f>IF(A1625="","",MONTH(A1625))</f>
        <v/>
      </c>
      <c r="Q1625" s="27">
        <f>IF(A1625="","",YEAR(A1625))</f>
        <v/>
      </c>
      <c r="R1625" s="27">
        <f>IF(L1625="","",IF(L1625&gt;Config!$B$8,"A cair",IF(N(G1625)&gt;=MIN(MAX(1,N(E1625)),MAX(0,INT((Config!$B$8-L1625)/30)+1)),IF(N(G1625)&gt;=MAX(1,N(E1625)),"Conferido","Conferido até aqui"),"A conferir")))</f>
        <v/>
      </c>
      <c r="S1625" s="51">
        <f>IF(R1625="A conferir",(Config!$B$8-L1625)*1000+N(F1625)/1000+ROW()/100000,0)</f>
        <v>0</v>
      </c>
      <c r="T1625" s="51">
        <f>IF(R1625="A conferir",N(N1625),0)</f>
        <v>0</v>
      </c>
      <c r="U1625" s="51">
        <f>IF(L1625="",0,L1625)</f>
        <v>0</v>
      </c>
      <c r="V1625" s="51">
        <f>IF(L1625="",0,MAX(1,N(E1625)))</f>
        <v>0</v>
      </c>
      <c r="W1625" s="51">
        <f>IF(K1625="",0,K1625)</f>
        <v>0</v>
      </c>
    </row>
    <row r="1626">
      <c r="A1626" s="49" t="n"/>
      <c r="B1626" s="41" t="n"/>
      <c r="C1626" s="41" t="n"/>
      <c r="D1626" s="42" t="n"/>
      <c r="E1626" s="42" t="n"/>
      <c r="F1626" s="50" t="n"/>
      <c r="G1626" s="42" t="n"/>
      <c r="H1626" s="30">
        <f>IF(D1626="","",IFERROR(INDEX(Config!$B$12:$B$15,MATCH(IF(AND(D1626="Cartão de crédito",N(E1626)&gt;1),"Cartão de crédito parcelado",D1626),Config!$A$12:$A$15,0)),0)+IF(AND(Config!$B$17="Sim",LEFT(D1626,17)="Cartão de crédito"),Config!$B$18*IFERROR(INDEX(Config!$C$12:$C$15,MATCH(IF(AND(D1626="Cartão de crédito",N(E1626)&gt;1),"Cartão de crédito parcelado",D1626),Config!$A$12:$A$15,0)),0)/30*MAX(1,N(E1626)),0))</f>
        <v/>
      </c>
      <c r="I1626" s="29">
        <f>IF(OR(D1626="",F1626=""),"",ROUND(F1626*H1626,2))</f>
        <v/>
      </c>
      <c r="J1626" s="29">
        <f>IF(I1626="","",F1626-I1626)</f>
        <v/>
      </c>
      <c r="K1626" s="29">
        <f>IF(J1626="","",J1626/MAX(1,N(E1626)))</f>
        <v/>
      </c>
      <c r="L1626" s="37">
        <f>IF(OR(D1626="",A1626=""),"",A1626+IF(AND(Config!$B$17="Sim",LEFT(D1626,17)="Cartão de crédito"),1,IFERROR(INDEX(Config!$C$12:$C$15,MATCH(IF(AND(D1626="Cartão de crédito",N(E1626)&gt;1),"Cartão de crédito parcelado",D1626),Config!$A$12:$A$15,0)),0)))</f>
        <v/>
      </c>
      <c r="M1626" s="37">
        <f>IF(L1626="","",IF(AND(Config!$B$17="Sim",LEFT(D1626,17)="Cartão de crédito"),L1626,L1626+30*(MAX(1,N(E1626))-1)))</f>
        <v/>
      </c>
      <c r="N1626" s="29">
        <f>IF(OR(L1626="",K1626=""),"",K1626*MIN(MAX(1,N(E1626)),MAX(0,INT((Config!$B$8-L1626)/30)+1)))</f>
        <v/>
      </c>
      <c r="O1626" s="29">
        <f>IF(J1626="","",J1626-N(N1626))</f>
        <v/>
      </c>
      <c r="P1626" s="27">
        <f>IF(A1626="","",MONTH(A1626))</f>
        <v/>
      </c>
      <c r="Q1626" s="27">
        <f>IF(A1626="","",YEAR(A1626))</f>
        <v/>
      </c>
      <c r="R1626" s="27">
        <f>IF(L1626="","",IF(L1626&gt;Config!$B$8,"A cair",IF(N(G1626)&gt;=MIN(MAX(1,N(E1626)),MAX(0,INT((Config!$B$8-L1626)/30)+1)),IF(N(G1626)&gt;=MAX(1,N(E1626)),"Conferido","Conferido até aqui"),"A conferir")))</f>
        <v/>
      </c>
      <c r="S1626" s="51">
        <f>IF(R1626="A conferir",(Config!$B$8-L1626)*1000+N(F1626)/1000+ROW()/100000,0)</f>
        <v>0</v>
      </c>
      <c r="T1626" s="51">
        <f>IF(R1626="A conferir",N(N1626),0)</f>
        <v>0</v>
      </c>
      <c r="U1626" s="51">
        <f>IF(L1626="",0,L1626)</f>
        <v>0</v>
      </c>
      <c r="V1626" s="51">
        <f>IF(L1626="",0,MAX(1,N(E1626)))</f>
        <v>0</v>
      </c>
      <c r="W1626" s="51">
        <f>IF(K1626="",0,K1626)</f>
        <v>0</v>
      </c>
    </row>
    <row r="1627">
      <c r="A1627" s="49" t="n"/>
      <c r="B1627" s="41" t="n"/>
      <c r="C1627" s="41" t="n"/>
      <c r="D1627" s="42" t="n"/>
      <c r="E1627" s="42" t="n"/>
      <c r="F1627" s="50" t="n"/>
      <c r="G1627" s="42" t="n"/>
      <c r="H1627" s="30">
        <f>IF(D1627="","",IFERROR(INDEX(Config!$B$12:$B$15,MATCH(IF(AND(D1627="Cartão de crédito",N(E1627)&gt;1),"Cartão de crédito parcelado",D1627),Config!$A$12:$A$15,0)),0)+IF(AND(Config!$B$17="Sim",LEFT(D1627,17)="Cartão de crédito"),Config!$B$18*IFERROR(INDEX(Config!$C$12:$C$15,MATCH(IF(AND(D1627="Cartão de crédito",N(E1627)&gt;1),"Cartão de crédito parcelado",D1627),Config!$A$12:$A$15,0)),0)/30*MAX(1,N(E1627)),0))</f>
        <v/>
      </c>
      <c r="I1627" s="29">
        <f>IF(OR(D1627="",F1627=""),"",ROUND(F1627*H1627,2))</f>
        <v/>
      </c>
      <c r="J1627" s="29">
        <f>IF(I1627="","",F1627-I1627)</f>
        <v/>
      </c>
      <c r="K1627" s="29">
        <f>IF(J1627="","",J1627/MAX(1,N(E1627)))</f>
        <v/>
      </c>
      <c r="L1627" s="37">
        <f>IF(OR(D1627="",A1627=""),"",A1627+IF(AND(Config!$B$17="Sim",LEFT(D1627,17)="Cartão de crédito"),1,IFERROR(INDEX(Config!$C$12:$C$15,MATCH(IF(AND(D1627="Cartão de crédito",N(E1627)&gt;1),"Cartão de crédito parcelado",D1627),Config!$A$12:$A$15,0)),0)))</f>
        <v/>
      </c>
      <c r="M1627" s="37">
        <f>IF(L1627="","",IF(AND(Config!$B$17="Sim",LEFT(D1627,17)="Cartão de crédito"),L1627,L1627+30*(MAX(1,N(E1627))-1)))</f>
        <v/>
      </c>
      <c r="N1627" s="29">
        <f>IF(OR(L1627="",K1627=""),"",K1627*MIN(MAX(1,N(E1627)),MAX(0,INT((Config!$B$8-L1627)/30)+1)))</f>
        <v/>
      </c>
      <c r="O1627" s="29">
        <f>IF(J1627="","",J1627-N(N1627))</f>
        <v/>
      </c>
      <c r="P1627" s="27">
        <f>IF(A1627="","",MONTH(A1627))</f>
        <v/>
      </c>
      <c r="Q1627" s="27">
        <f>IF(A1627="","",YEAR(A1627))</f>
        <v/>
      </c>
      <c r="R1627" s="27">
        <f>IF(L1627="","",IF(L1627&gt;Config!$B$8,"A cair",IF(N(G1627)&gt;=MIN(MAX(1,N(E1627)),MAX(0,INT((Config!$B$8-L1627)/30)+1)),IF(N(G1627)&gt;=MAX(1,N(E1627)),"Conferido","Conferido até aqui"),"A conferir")))</f>
        <v/>
      </c>
      <c r="S1627" s="51">
        <f>IF(R1627="A conferir",(Config!$B$8-L1627)*1000+N(F1627)/1000+ROW()/100000,0)</f>
        <v>0</v>
      </c>
      <c r="T1627" s="51">
        <f>IF(R1627="A conferir",N(N1627),0)</f>
        <v>0</v>
      </c>
      <c r="U1627" s="51">
        <f>IF(L1627="",0,L1627)</f>
        <v>0</v>
      </c>
      <c r="V1627" s="51">
        <f>IF(L1627="",0,MAX(1,N(E1627)))</f>
        <v>0</v>
      </c>
      <c r="W1627" s="51">
        <f>IF(K1627="",0,K1627)</f>
        <v>0</v>
      </c>
    </row>
    <row r="1628">
      <c r="A1628" s="49" t="n"/>
      <c r="B1628" s="41" t="n"/>
      <c r="C1628" s="41" t="n"/>
      <c r="D1628" s="42" t="n"/>
      <c r="E1628" s="42" t="n"/>
      <c r="F1628" s="50" t="n"/>
      <c r="G1628" s="42" t="n"/>
      <c r="H1628" s="30">
        <f>IF(D1628="","",IFERROR(INDEX(Config!$B$12:$B$15,MATCH(IF(AND(D1628="Cartão de crédito",N(E1628)&gt;1),"Cartão de crédito parcelado",D1628),Config!$A$12:$A$15,0)),0)+IF(AND(Config!$B$17="Sim",LEFT(D1628,17)="Cartão de crédito"),Config!$B$18*IFERROR(INDEX(Config!$C$12:$C$15,MATCH(IF(AND(D1628="Cartão de crédito",N(E1628)&gt;1),"Cartão de crédito parcelado",D1628),Config!$A$12:$A$15,0)),0)/30*MAX(1,N(E1628)),0))</f>
        <v/>
      </c>
      <c r="I1628" s="29">
        <f>IF(OR(D1628="",F1628=""),"",ROUND(F1628*H1628,2))</f>
        <v/>
      </c>
      <c r="J1628" s="29">
        <f>IF(I1628="","",F1628-I1628)</f>
        <v/>
      </c>
      <c r="K1628" s="29">
        <f>IF(J1628="","",J1628/MAX(1,N(E1628)))</f>
        <v/>
      </c>
      <c r="L1628" s="37">
        <f>IF(OR(D1628="",A1628=""),"",A1628+IF(AND(Config!$B$17="Sim",LEFT(D1628,17)="Cartão de crédito"),1,IFERROR(INDEX(Config!$C$12:$C$15,MATCH(IF(AND(D1628="Cartão de crédito",N(E1628)&gt;1),"Cartão de crédito parcelado",D1628),Config!$A$12:$A$15,0)),0)))</f>
        <v/>
      </c>
      <c r="M1628" s="37">
        <f>IF(L1628="","",IF(AND(Config!$B$17="Sim",LEFT(D1628,17)="Cartão de crédito"),L1628,L1628+30*(MAX(1,N(E1628))-1)))</f>
        <v/>
      </c>
      <c r="N1628" s="29">
        <f>IF(OR(L1628="",K1628=""),"",K1628*MIN(MAX(1,N(E1628)),MAX(0,INT((Config!$B$8-L1628)/30)+1)))</f>
        <v/>
      </c>
      <c r="O1628" s="29">
        <f>IF(J1628="","",J1628-N(N1628))</f>
        <v/>
      </c>
      <c r="P1628" s="27">
        <f>IF(A1628="","",MONTH(A1628))</f>
        <v/>
      </c>
      <c r="Q1628" s="27">
        <f>IF(A1628="","",YEAR(A1628))</f>
        <v/>
      </c>
      <c r="R1628" s="27">
        <f>IF(L1628="","",IF(L1628&gt;Config!$B$8,"A cair",IF(N(G1628)&gt;=MIN(MAX(1,N(E1628)),MAX(0,INT((Config!$B$8-L1628)/30)+1)),IF(N(G1628)&gt;=MAX(1,N(E1628)),"Conferido","Conferido até aqui"),"A conferir")))</f>
        <v/>
      </c>
      <c r="S1628" s="51">
        <f>IF(R1628="A conferir",(Config!$B$8-L1628)*1000+N(F1628)/1000+ROW()/100000,0)</f>
        <v>0</v>
      </c>
      <c r="T1628" s="51">
        <f>IF(R1628="A conferir",N(N1628),0)</f>
        <v>0</v>
      </c>
      <c r="U1628" s="51">
        <f>IF(L1628="",0,L1628)</f>
        <v>0</v>
      </c>
      <c r="V1628" s="51">
        <f>IF(L1628="",0,MAX(1,N(E1628)))</f>
        <v>0</v>
      </c>
      <c r="W1628" s="51">
        <f>IF(K1628="",0,K1628)</f>
        <v>0</v>
      </c>
    </row>
    <row r="1629">
      <c r="A1629" s="49" t="n"/>
      <c r="B1629" s="41" t="n"/>
      <c r="C1629" s="41" t="n"/>
      <c r="D1629" s="42" t="n"/>
      <c r="E1629" s="42" t="n"/>
      <c r="F1629" s="50" t="n"/>
      <c r="G1629" s="42" t="n"/>
      <c r="H1629" s="30">
        <f>IF(D1629="","",IFERROR(INDEX(Config!$B$12:$B$15,MATCH(IF(AND(D1629="Cartão de crédito",N(E1629)&gt;1),"Cartão de crédito parcelado",D1629),Config!$A$12:$A$15,0)),0)+IF(AND(Config!$B$17="Sim",LEFT(D1629,17)="Cartão de crédito"),Config!$B$18*IFERROR(INDEX(Config!$C$12:$C$15,MATCH(IF(AND(D1629="Cartão de crédito",N(E1629)&gt;1),"Cartão de crédito parcelado",D1629),Config!$A$12:$A$15,0)),0)/30*MAX(1,N(E1629)),0))</f>
        <v/>
      </c>
      <c r="I1629" s="29">
        <f>IF(OR(D1629="",F1629=""),"",ROUND(F1629*H1629,2))</f>
        <v/>
      </c>
      <c r="J1629" s="29">
        <f>IF(I1629="","",F1629-I1629)</f>
        <v/>
      </c>
      <c r="K1629" s="29">
        <f>IF(J1629="","",J1629/MAX(1,N(E1629)))</f>
        <v/>
      </c>
      <c r="L1629" s="37">
        <f>IF(OR(D1629="",A1629=""),"",A1629+IF(AND(Config!$B$17="Sim",LEFT(D1629,17)="Cartão de crédito"),1,IFERROR(INDEX(Config!$C$12:$C$15,MATCH(IF(AND(D1629="Cartão de crédito",N(E1629)&gt;1),"Cartão de crédito parcelado",D1629),Config!$A$12:$A$15,0)),0)))</f>
        <v/>
      </c>
      <c r="M1629" s="37">
        <f>IF(L1629="","",IF(AND(Config!$B$17="Sim",LEFT(D1629,17)="Cartão de crédito"),L1629,L1629+30*(MAX(1,N(E1629))-1)))</f>
        <v/>
      </c>
      <c r="N1629" s="29">
        <f>IF(OR(L1629="",K1629=""),"",K1629*MIN(MAX(1,N(E1629)),MAX(0,INT((Config!$B$8-L1629)/30)+1)))</f>
        <v/>
      </c>
      <c r="O1629" s="29">
        <f>IF(J1629="","",J1629-N(N1629))</f>
        <v/>
      </c>
      <c r="P1629" s="27">
        <f>IF(A1629="","",MONTH(A1629))</f>
        <v/>
      </c>
      <c r="Q1629" s="27">
        <f>IF(A1629="","",YEAR(A1629))</f>
        <v/>
      </c>
      <c r="R1629" s="27">
        <f>IF(L1629="","",IF(L1629&gt;Config!$B$8,"A cair",IF(N(G1629)&gt;=MIN(MAX(1,N(E1629)),MAX(0,INT((Config!$B$8-L1629)/30)+1)),IF(N(G1629)&gt;=MAX(1,N(E1629)),"Conferido","Conferido até aqui"),"A conferir")))</f>
        <v/>
      </c>
      <c r="S1629" s="51">
        <f>IF(R1629="A conferir",(Config!$B$8-L1629)*1000+N(F1629)/1000+ROW()/100000,0)</f>
        <v>0</v>
      </c>
      <c r="T1629" s="51">
        <f>IF(R1629="A conferir",N(N1629),0)</f>
        <v>0</v>
      </c>
      <c r="U1629" s="51">
        <f>IF(L1629="",0,L1629)</f>
        <v>0</v>
      </c>
      <c r="V1629" s="51">
        <f>IF(L1629="",0,MAX(1,N(E1629)))</f>
        <v>0</v>
      </c>
      <c r="W1629" s="51">
        <f>IF(K1629="",0,K1629)</f>
        <v>0</v>
      </c>
    </row>
    <row r="1630">
      <c r="A1630" s="49" t="n"/>
      <c r="B1630" s="41" t="n"/>
      <c r="C1630" s="41" t="n"/>
      <c r="D1630" s="42" t="n"/>
      <c r="E1630" s="42" t="n"/>
      <c r="F1630" s="50" t="n"/>
      <c r="G1630" s="42" t="n"/>
      <c r="H1630" s="30">
        <f>IF(D1630="","",IFERROR(INDEX(Config!$B$12:$B$15,MATCH(IF(AND(D1630="Cartão de crédito",N(E1630)&gt;1),"Cartão de crédito parcelado",D1630),Config!$A$12:$A$15,0)),0)+IF(AND(Config!$B$17="Sim",LEFT(D1630,17)="Cartão de crédito"),Config!$B$18*IFERROR(INDEX(Config!$C$12:$C$15,MATCH(IF(AND(D1630="Cartão de crédito",N(E1630)&gt;1),"Cartão de crédito parcelado",D1630),Config!$A$12:$A$15,0)),0)/30*MAX(1,N(E1630)),0))</f>
        <v/>
      </c>
      <c r="I1630" s="29">
        <f>IF(OR(D1630="",F1630=""),"",ROUND(F1630*H1630,2))</f>
        <v/>
      </c>
      <c r="J1630" s="29">
        <f>IF(I1630="","",F1630-I1630)</f>
        <v/>
      </c>
      <c r="K1630" s="29">
        <f>IF(J1630="","",J1630/MAX(1,N(E1630)))</f>
        <v/>
      </c>
      <c r="L1630" s="37">
        <f>IF(OR(D1630="",A1630=""),"",A1630+IF(AND(Config!$B$17="Sim",LEFT(D1630,17)="Cartão de crédito"),1,IFERROR(INDEX(Config!$C$12:$C$15,MATCH(IF(AND(D1630="Cartão de crédito",N(E1630)&gt;1),"Cartão de crédito parcelado",D1630),Config!$A$12:$A$15,0)),0)))</f>
        <v/>
      </c>
      <c r="M1630" s="37">
        <f>IF(L1630="","",IF(AND(Config!$B$17="Sim",LEFT(D1630,17)="Cartão de crédito"),L1630,L1630+30*(MAX(1,N(E1630))-1)))</f>
        <v/>
      </c>
      <c r="N1630" s="29">
        <f>IF(OR(L1630="",K1630=""),"",K1630*MIN(MAX(1,N(E1630)),MAX(0,INT((Config!$B$8-L1630)/30)+1)))</f>
        <v/>
      </c>
      <c r="O1630" s="29">
        <f>IF(J1630="","",J1630-N(N1630))</f>
        <v/>
      </c>
      <c r="P1630" s="27">
        <f>IF(A1630="","",MONTH(A1630))</f>
        <v/>
      </c>
      <c r="Q1630" s="27">
        <f>IF(A1630="","",YEAR(A1630))</f>
        <v/>
      </c>
      <c r="R1630" s="27">
        <f>IF(L1630="","",IF(L1630&gt;Config!$B$8,"A cair",IF(N(G1630)&gt;=MIN(MAX(1,N(E1630)),MAX(0,INT((Config!$B$8-L1630)/30)+1)),IF(N(G1630)&gt;=MAX(1,N(E1630)),"Conferido","Conferido até aqui"),"A conferir")))</f>
        <v/>
      </c>
      <c r="S1630" s="51">
        <f>IF(R1630="A conferir",(Config!$B$8-L1630)*1000+N(F1630)/1000+ROW()/100000,0)</f>
        <v>0</v>
      </c>
      <c r="T1630" s="51">
        <f>IF(R1630="A conferir",N(N1630),0)</f>
        <v>0</v>
      </c>
      <c r="U1630" s="51">
        <f>IF(L1630="",0,L1630)</f>
        <v>0</v>
      </c>
      <c r="V1630" s="51">
        <f>IF(L1630="",0,MAX(1,N(E1630)))</f>
        <v>0</v>
      </c>
      <c r="W1630" s="51">
        <f>IF(K1630="",0,K1630)</f>
        <v>0</v>
      </c>
    </row>
    <row r="1631">
      <c r="A1631" s="49" t="n"/>
      <c r="B1631" s="41" t="n"/>
      <c r="C1631" s="41" t="n"/>
      <c r="D1631" s="42" t="n"/>
      <c r="E1631" s="42" t="n"/>
      <c r="F1631" s="50" t="n"/>
      <c r="G1631" s="42" t="n"/>
      <c r="H1631" s="30">
        <f>IF(D1631="","",IFERROR(INDEX(Config!$B$12:$B$15,MATCH(IF(AND(D1631="Cartão de crédito",N(E1631)&gt;1),"Cartão de crédito parcelado",D1631),Config!$A$12:$A$15,0)),0)+IF(AND(Config!$B$17="Sim",LEFT(D1631,17)="Cartão de crédito"),Config!$B$18*IFERROR(INDEX(Config!$C$12:$C$15,MATCH(IF(AND(D1631="Cartão de crédito",N(E1631)&gt;1),"Cartão de crédito parcelado",D1631),Config!$A$12:$A$15,0)),0)/30*MAX(1,N(E1631)),0))</f>
        <v/>
      </c>
      <c r="I1631" s="29">
        <f>IF(OR(D1631="",F1631=""),"",ROUND(F1631*H1631,2))</f>
        <v/>
      </c>
      <c r="J1631" s="29">
        <f>IF(I1631="","",F1631-I1631)</f>
        <v/>
      </c>
      <c r="K1631" s="29">
        <f>IF(J1631="","",J1631/MAX(1,N(E1631)))</f>
        <v/>
      </c>
      <c r="L1631" s="37">
        <f>IF(OR(D1631="",A1631=""),"",A1631+IF(AND(Config!$B$17="Sim",LEFT(D1631,17)="Cartão de crédito"),1,IFERROR(INDEX(Config!$C$12:$C$15,MATCH(IF(AND(D1631="Cartão de crédito",N(E1631)&gt;1),"Cartão de crédito parcelado",D1631),Config!$A$12:$A$15,0)),0)))</f>
        <v/>
      </c>
      <c r="M1631" s="37">
        <f>IF(L1631="","",IF(AND(Config!$B$17="Sim",LEFT(D1631,17)="Cartão de crédito"),L1631,L1631+30*(MAX(1,N(E1631))-1)))</f>
        <v/>
      </c>
      <c r="N1631" s="29">
        <f>IF(OR(L1631="",K1631=""),"",K1631*MIN(MAX(1,N(E1631)),MAX(0,INT((Config!$B$8-L1631)/30)+1)))</f>
        <v/>
      </c>
      <c r="O1631" s="29">
        <f>IF(J1631="","",J1631-N(N1631))</f>
        <v/>
      </c>
      <c r="P1631" s="27">
        <f>IF(A1631="","",MONTH(A1631))</f>
        <v/>
      </c>
      <c r="Q1631" s="27">
        <f>IF(A1631="","",YEAR(A1631))</f>
        <v/>
      </c>
      <c r="R1631" s="27">
        <f>IF(L1631="","",IF(L1631&gt;Config!$B$8,"A cair",IF(N(G1631)&gt;=MIN(MAX(1,N(E1631)),MAX(0,INT((Config!$B$8-L1631)/30)+1)),IF(N(G1631)&gt;=MAX(1,N(E1631)),"Conferido","Conferido até aqui"),"A conferir")))</f>
        <v/>
      </c>
      <c r="S1631" s="51">
        <f>IF(R1631="A conferir",(Config!$B$8-L1631)*1000+N(F1631)/1000+ROW()/100000,0)</f>
        <v>0</v>
      </c>
      <c r="T1631" s="51">
        <f>IF(R1631="A conferir",N(N1631),0)</f>
        <v>0</v>
      </c>
      <c r="U1631" s="51">
        <f>IF(L1631="",0,L1631)</f>
        <v>0</v>
      </c>
      <c r="V1631" s="51">
        <f>IF(L1631="",0,MAX(1,N(E1631)))</f>
        <v>0</v>
      </c>
      <c r="W1631" s="51">
        <f>IF(K1631="",0,K1631)</f>
        <v>0</v>
      </c>
    </row>
    <row r="1632">
      <c r="A1632" s="49" t="n"/>
      <c r="B1632" s="41" t="n"/>
      <c r="C1632" s="41" t="n"/>
      <c r="D1632" s="42" t="n"/>
      <c r="E1632" s="42" t="n"/>
      <c r="F1632" s="50" t="n"/>
      <c r="G1632" s="42" t="n"/>
      <c r="H1632" s="30">
        <f>IF(D1632="","",IFERROR(INDEX(Config!$B$12:$B$15,MATCH(IF(AND(D1632="Cartão de crédito",N(E1632)&gt;1),"Cartão de crédito parcelado",D1632),Config!$A$12:$A$15,0)),0)+IF(AND(Config!$B$17="Sim",LEFT(D1632,17)="Cartão de crédito"),Config!$B$18*IFERROR(INDEX(Config!$C$12:$C$15,MATCH(IF(AND(D1632="Cartão de crédito",N(E1632)&gt;1),"Cartão de crédito parcelado",D1632),Config!$A$12:$A$15,0)),0)/30*MAX(1,N(E1632)),0))</f>
        <v/>
      </c>
      <c r="I1632" s="29">
        <f>IF(OR(D1632="",F1632=""),"",ROUND(F1632*H1632,2))</f>
        <v/>
      </c>
      <c r="J1632" s="29">
        <f>IF(I1632="","",F1632-I1632)</f>
        <v/>
      </c>
      <c r="K1632" s="29">
        <f>IF(J1632="","",J1632/MAX(1,N(E1632)))</f>
        <v/>
      </c>
      <c r="L1632" s="37">
        <f>IF(OR(D1632="",A1632=""),"",A1632+IF(AND(Config!$B$17="Sim",LEFT(D1632,17)="Cartão de crédito"),1,IFERROR(INDEX(Config!$C$12:$C$15,MATCH(IF(AND(D1632="Cartão de crédito",N(E1632)&gt;1),"Cartão de crédito parcelado",D1632),Config!$A$12:$A$15,0)),0)))</f>
        <v/>
      </c>
      <c r="M1632" s="37">
        <f>IF(L1632="","",IF(AND(Config!$B$17="Sim",LEFT(D1632,17)="Cartão de crédito"),L1632,L1632+30*(MAX(1,N(E1632))-1)))</f>
        <v/>
      </c>
      <c r="N1632" s="29">
        <f>IF(OR(L1632="",K1632=""),"",K1632*MIN(MAX(1,N(E1632)),MAX(0,INT((Config!$B$8-L1632)/30)+1)))</f>
        <v/>
      </c>
      <c r="O1632" s="29">
        <f>IF(J1632="","",J1632-N(N1632))</f>
        <v/>
      </c>
      <c r="P1632" s="27">
        <f>IF(A1632="","",MONTH(A1632))</f>
        <v/>
      </c>
      <c r="Q1632" s="27">
        <f>IF(A1632="","",YEAR(A1632))</f>
        <v/>
      </c>
      <c r="R1632" s="27">
        <f>IF(L1632="","",IF(L1632&gt;Config!$B$8,"A cair",IF(N(G1632)&gt;=MIN(MAX(1,N(E1632)),MAX(0,INT((Config!$B$8-L1632)/30)+1)),IF(N(G1632)&gt;=MAX(1,N(E1632)),"Conferido","Conferido até aqui"),"A conferir")))</f>
        <v/>
      </c>
      <c r="S1632" s="51">
        <f>IF(R1632="A conferir",(Config!$B$8-L1632)*1000+N(F1632)/1000+ROW()/100000,0)</f>
        <v>0</v>
      </c>
      <c r="T1632" s="51">
        <f>IF(R1632="A conferir",N(N1632),0)</f>
        <v>0</v>
      </c>
      <c r="U1632" s="51">
        <f>IF(L1632="",0,L1632)</f>
        <v>0</v>
      </c>
      <c r="V1632" s="51">
        <f>IF(L1632="",0,MAX(1,N(E1632)))</f>
        <v>0</v>
      </c>
      <c r="W1632" s="51">
        <f>IF(K1632="",0,K1632)</f>
        <v>0</v>
      </c>
    </row>
    <row r="1633">
      <c r="A1633" s="49" t="n"/>
      <c r="B1633" s="41" t="n"/>
      <c r="C1633" s="41" t="n"/>
      <c r="D1633" s="42" t="n"/>
      <c r="E1633" s="42" t="n"/>
      <c r="F1633" s="50" t="n"/>
      <c r="G1633" s="42" t="n"/>
      <c r="H1633" s="30">
        <f>IF(D1633="","",IFERROR(INDEX(Config!$B$12:$B$15,MATCH(IF(AND(D1633="Cartão de crédito",N(E1633)&gt;1),"Cartão de crédito parcelado",D1633),Config!$A$12:$A$15,0)),0)+IF(AND(Config!$B$17="Sim",LEFT(D1633,17)="Cartão de crédito"),Config!$B$18*IFERROR(INDEX(Config!$C$12:$C$15,MATCH(IF(AND(D1633="Cartão de crédito",N(E1633)&gt;1),"Cartão de crédito parcelado",D1633),Config!$A$12:$A$15,0)),0)/30*MAX(1,N(E1633)),0))</f>
        <v/>
      </c>
      <c r="I1633" s="29">
        <f>IF(OR(D1633="",F1633=""),"",ROUND(F1633*H1633,2))</f>
        <v/>
      </c>
      <c r="J1633" s="29">
        <f>IF(I1633="","",F1633-I1633)</f>
        <v/>
      </c>
      <c r="K1633" s="29">
        <f>IF(J1633="","",J1633/MAX(1,N(E1633)))</f>
        <v/>
      </c>
      <c r="L1633" s="37">
        <f>IF(OR(D1633="",A1633=""),"",A1633+IF(AND(Config!$B$17="Sim",LEFT(D1633,17)="Cartão de crédito"),1,IFERROR(INDEX(Config!$C$12:$C$15,MATCH(IF(AND(D1633="Cartão de crédito",N(E1633)&gt;1),"Cartão de crédito parcelado",D1633),Config!$A$12:$A$15,0)),0)))</f>
        <v/>
      </c>
      <c r="M1633" s="37">
        <f>IF(L1633="","",IF(AND(Config!$B$17="Sim",LEFT(D1633,17)="Cartão de crédito"),L1633,L1633+30*(MAX(1,N(E1633))-1)))</f>
        <v/>
      </c>
      <c r="N1633" s="29">
        <f>IF(OR(L1633="",K1633=""),"",K1633*MIN(MAX(1,N(E1633)),MAX(0,INT((Config!$B$8-L1633)/30)+1)))</f>
        <v/>
      </c>
      <c r="O1633" s="29">
        <f>IF(J1633="","",J1633-N(N1633))</f>
        <v/>
      </c>
      <c r="P1633" s="27">
        <f>IF(A1633="","",MONTH(A1633))</f>
        <v/>
      </c>
      <c r="Q1633" s="27">
        <f>IF(A1633="","",YEAR(A1633))</f>
        <v/>
      </c>
      <c r="R1633" s="27">
        <f>IF(L1633="","",IF(L1633&gt;Config!$B$8,"A cair",IF(N(G1633)&gt;=MIN(MAX(1,N(E1633)),MAX(0,INT((Config!$B$8-L1633)/30)+1)),IF(N(G1633)&gt;=MAX(1,N(E1633)),"Conferido","Conferido até aqui"),"A conferir")))</f>
        <v/>
      </c>
      <c r="S1633" s="51">
        <f>IF(R1633="A conferir",(Config!$B$8-L1633)*1000+N(F1633)/1000+ROW()/100000,0)</f>
        <v>0</v>
      </c>
      <c r="T1633" s="51">
        <f>IF(R1633="A conferir",N(N1633),0)</f>
        <v>0</v>
      </c>
      <c r="U1633" s="51">
        <f>IF(L1633="",0,L1633)</f>
        <v>0</v>
      </c>
      <c r="V1633" s="51">
        <f>IF(L1633="",0,MAX(1,N(E1633)))</f>
        <v>0</v>
      </c>
      <c r="W1633" s="51">
        <f>IF(K1633="",0,K1633)</f>
        <v>0</v>
      </c>
    </row>
    <row r="1634">
      <c r="A1634" s="49" t="n"/>
      <c r="B1634" s="41" t="n"/>
      <c r="C1634" s="41" t="n"/>
      <c r="D1634" s="42" t="n"/>
      <c r="E1634" s="42" t="n"/>
      <c r="F1634" s="50" t="n"/>
      <c r="G1634" s="42" t="n"/>
      <c r="H1634" s="30">
        <f>IF(D1634="","",IFERROR(INDEX(Config!$B$12:$B$15,MATCH(IF(AND(D1634="Cartão de crédito",N(E1634)&gt;1),"Cartão de crédito parcelado",D1634),Config!$A$12:$A$15,0)),0)+IF(AND(Config!$B$17="Sim",LEFT(D1634,17)="Cartão de crédito"),Config!$B$18*IFERROR(INDEX(Config!$C$12:$C$15,MATCH(IF(AND(D1634="Cartão de crédito",N(E1634)&gt;1),"Cartão de crédito parcelado",D1634),Config!$A$12:$A$15,0)),0)/30*MAX(1,N(E1634)),0))</f>
        <v/>
      </c>
      <c r="I1634" s="29">
        <f>IF(OR(D1634="",F1634=""),"",ROUND(F1634*H1634,2))</f>
        <v/>
      </c>
      <c r="J1634" s="29">
        <f>IF(I1634="","",F1634-I1634)</f>
        <v/>
      </c>
      <c r="K1634" s="29">
        <f>IF(J1634="","",J1634/MAX(1,N(E1634)))</f>
        <v/>
      </c>
      <c r="L1634" s="37">
        <f>IF(OR(D1634="",A1634=""),"",A1634+IF(AND(Config!$B$17="Sim",LEFT(D1634,17)="Cartão de crédito"),1,IFERROR(INDEX(Config!$C$12:$C$15,MATCH(IF(AND(D1634="Cartão de crédito",N(E1634)&gt;1),"Cartão de crédito parcelado",D1634),Config!$A$12:$A$15,0)),0)))</f>
        <v/>
      </c>
      <c r="M1634" s="37">
        <f>IF(L1634="","",IF(AND(Config!$B$17="Sim",LEFT(D1634,17)="Cartão de crédito"),L1634,L1634+30*(MAX(1,N(E1634))-1)))</f>
        <v/>
      </c>
      <c r="N1634" s="29">
        <f>IF(OR(L1634="",K1634=""),"",K1634*MIN(MAX(1,N(E1634)),MAX(0,INT((Config!$B$8-L1634)/30)+1)))</f>
        <v/>
      </c>
      <c r="O1634" s="29">
        <f>IF(J1634="","",J1634-N(N1634))</f>
        <v/>
      </c>
      <c r="P1634" s="27">
        <f>IF(A1634="","",MONTH(A1634))</f>
        <v/>
      </c>
      <c r="Q1634" s="27">
        <f>IF(A1634="","",YEAR(A1634))</f>
        <v/>
      </c>
      <c r="R1634" s="27">
        <f>IF(L1634="","",IF(L1634&gt;Config!$B$8,"A cair",IF(N(G1634)&gt;=MIN(MAX(1,N(E1634)),MAX(0,INT((Config!$B$8-L1634)/30)+1)),IF(N(G1634)&gt;=MAX(1,N(E1634)),"Conferido","Conferido até aqui"),"A conferir")))</f>
        <v/>
      </c>
      <c r="S1634" s="51">
        <f>IF(R1634="A conferir",(Config!$B$8-L1634)*1000+N(F1634)/1000+ROW()/100000,0)</f>
        <v>0</v>
      </c>
      <c r="T1634" s="51">
        <f>IF(R1634="A conferir",N(N1634),0)</f>
        <v>0</v>
      </c>
      <c r="U1634" s="51">
        <f>IF(L1634="",0,L1634)</f>
        <v>0</v>
      </c>
      <c r="V1634" s="51">
        <f>IF(L1634="",0,MAX(1,N(E1634)))</f>
        <v>0</v>
      </c>
      <c r="W1634" s="51">
        <f>IF(K1634="",0,K1634)</f>
        <v>0</v>
      </c>
    </row>
    <row r="1635">
      <c r="A1635" s="49" t="n"/>
      <c r="B1635" s="41" t="n"/>
      <c r="C1635" s="41" t="n"/>
      <c r="D1635" s="42" t="n"/>
      <c r="E1635" s="42" t="n"/>
      <c r="F1635" s="50" t="n"/>
      <c r="G1635" s="42" t="n"/>
      <c r="H1635" s="30">
        <f>IF(D1635="","",IFERROR(INDEX(Config!$B$12:$B$15,MATCH(IF(AND(D1635="Cartão de crédito",N(E1635)&gt;1),"Cartão de crédito parcelado",D1635),Config!$A$12:$A$15,0)),0)+IF(AND(Config!$B$17="Sim",LEFT(D1635,17)="Cartão de crédito"),Config!$B$18*IFERROR(INDEX(Config!$C$12:$C$15,MATCH(IF(AND(D1635="Cartão de crédito",N(E1635)&gt;1),"Cartão de crédito parcelado",D1635),Config!$A$12:$A$15,0)),0)/30*MAX(1,N(E1635)),0))</f>
        <v/>
      </c>
      <c r="I1635" s="29">
        <f>IF(OR(D1635="",F1635=""),"",ROUND(F1635*H1635,2))</f>
        <v/>
      </c>
      <c r="J1635" s="29">
        <f>IF(I1635="","",F1635-I1635)</f>
        <v/>
      </c>
      <c r="K1635" s="29">
        <f>IF(J1635="","",J1635/MAX(1,N(E1635)))</f>
        <v/>
      </c>
      <c r="L1635" s="37">
        <f>IF(OR(D1635="",A1635=""),"",A1635+IF(AND(Config!$B$17="Sim",LEFT(D1635,17)="Cartão de crédito"),1,IFERROR(INDEX(Config!$C$12:$C$15,MATCH(IF(AND(D1635="Cartão de crédito",N(E1635)&gt;1),"Cartão de crédito parcelado",D1635),Config!$A$12:$A$15,0)),0)))</f>
        <v/>
      </c>
      <c r="M1635" s="37">
        <f>IF(L1635="","",IF(AND(Config!$B$17="Sim",LEFT(D1635,17)="Cartão de crédito"),L1635,L1635+30*(MAX(1,N(E1635))-1)))</f>
        <v/>
      </c>
      <c r="N1635" s="29">
        <f>IF(OR(L1635="",K1635=""),"",K1635*MIN(MAX(1,N(E1635)),MAX(0,INT((Config!$B$8-L1635)/30)+1)))</f>
        <v/>
      </c>
      <c r="O1635" s="29">
        <f>IF(J1635="","",J1635-N(N1635))</f>
        <v/>
      </c>
      <c r="P1635" s="27">
        <f>IF(A1635="","",MONTH(A1635))</f>
        <v/>
      </c>
      <c r="Q1635" s="27">
        <f>IF(A1635="","",YEAR(A1635))</f>
        <v/>
      </c>
      <c r="R1635" s="27">
        <f>IF(L1635="","",IF(L1635&gt;Config!$B$8,"A cair",IF(N(G1635)&gt;=MIN(MAX(1,N(E1635)),MAX(0,INT((Config!$B$8-L1635)/30)+1)),IF(N(G1635)&gt;=MAX(1,N(E1635)),"Conferido","Conferido até aqui"),"A conferir")))</f>
        <v/>
      </c>
      <c r="S1635" s="51">
        <f>IF(R1635="A conferir",(Config!$B$8-L1635)*1000+N(F1635)/1000+ROW()/100000,0)</f>
        <v>0</v>
      </c>
      <c r="T1635" s="51">
        <f>IF(R1635="A conferir",N(N1635),0)</f>
        <v>0</v>
      </c>
      <c r="U1635" s="51">
        <f>IF(L1635="",0,L1635)</f>
        <v>0</v>
      </c>
      <c r="V1635" s="51">
        <f>IF(L1635="",0,MAX(1,N(E1635)))</f>
        <v>0</v>
      </c>
      <c r="W1635" s="51">
        <f>IF(K1635="",0,K1635)</f>
        <v>0</v>
      </c>
    </row>
    <row r="1636">
      <c r="A1636" s="49" t="n"/>
      <c r="B1636" s="41" t="n"/>
      <c r="C1636" s="41" t="n"/>
      <c r="D1636" s="42" t="n"/>
      <c r="E1636" s="42" t="n"/>
      <c r="F1636" s="50" t="n"/>
      <c r="G1636" s="42" t="n"/>
      <c r="H1636" s="30">
        <f>IF(D1636="","",IFERROR(INDEX(Config!$B$12:$B$15,MATCH(IF(AND(D1636="Cartão de crédito",N(E1636)&gt;1),"Cartão de crédito parcelado",D1636),Config!$A$12:$A$15,0)),0)+IF(AND(Config!$B$17="Sim",LEFT(D1636,17)="Cartão de crédito"),Config!$B$18*IFERROR(INDEX(Config!$C$12:$C$15,MATCH(IF(AND(D1636="Cartão de crédito",N(E1636)&gt;1),"Cartão de crédito parcelado",D1636),Config!$A$12:$A$15,0)),0)/30*MAX(1,N(E1636)),0))</f>
        <v/>
      </c>
      <c r="I1636" s="29">
        <f>IF(OR(D1636="",F1636=""),"",ROUND(F1636*H1636,2))</f>
        <v/>
      </c>
      <c r="J1636" s="29">
        <f>IF(I1636="","",F1636-I1636)</f>
        <v/>
      </c>
      <c r="K1636" s="29">
        <f>IF(J1636="","",J1636/MAX(1,N(E1636)))</f>
        <v/>
      </c>
      <c r="L1636" s="37">
        <f>IF(OR(D1636="",A1636=""),"",A1636+IF(AND(Config!$B$17="Sim",LEFT(D1636,17)="Cartão de crédito"),1,IFERROR(INDEX(Config!$C$12:$C$15,MATCH(IF(AND(D1636="Cartão de crédito",N(E1636)&gt;1),"Cartão de crédito parcelado",D1636),Config!$A$12:$A$15,0)),0)))</f>
        <v/>
      </c>
      <c r="M1636" s="37">
        <f>IF(L1636="","",IF(AND(Config!$B$17="Sim",LEFT(D1636,17)="Cartão de crédito"),L1636,L1636+30*(MAX(1,N(E1636))-1)))</f>
        <v/>
      </c>
      <c r="N1636" s="29">
        <f>IF(OR(L1636="",K1636=""),"",K1636*MIN(MAX(1,N(E1636)),MAX(0,INT((Config!$B$8-L1636)/30)+1)))</f>
        <v/>
      </c>
      <c r="O1636" s="29">
        <f>IF(J1636="","",J1636-N(N1636))</f>
        <v/>
      </c>
      <c r="P1636" s="27">
        <f>IF(A1636="","",MONTH(A1636))</f>
        <v/>
      </c>
      <c r="Q1636" s="27">
        <f>IF(A1636="","",YEAR(A1636))</f>
        <v/>
      </c>
      <c r="R1636" s="27">
        <f>IF(L1636="","",IF(L1636&gt;Config!$B$8,"A cair",IF(N(G1636)&gt;=MIN(MAX(1,N(E1636)),MAX(0,INT((Config!$B$8-L1636)/30)+1)),IF(N(G1636)&gt;=MAX(1,N(E1636)),"Conferido","Conferido até aqui"),"A conferir")))</f>
        <v/>
      </c>
      <c r="S1636" s="51">
        <f>IF(R1636="A conferir",(Config!$B$8-L1636)*1000+N(F1636)/1000+ROW()/100000,0)</f>
        <v>0</v>
      </c>
      <c r="T1636" s="51">
        <f>IF(R1636="A conferir",N(N1636),0)</f>
        <v>0</v>
      </c>
      <c r="U1636" s="51">
        <f>IF(L1636="",0,L1636)</f>
        <v>0</v>
      </c>
      <c r="V1636" s="51">
        <f>IF(L1636="",0,MAX(1,N(E1636)))</f>
        <v>0</v>
      </c>
      <c r="W1636" s="51">
        <f>IF(K1636="",0,K1636)</f>
        <v>0</v>
      </c>
    </row>
    <row r="1637">
      <c r="A1637" s="49" t="n"/>
      <c r="B1637" s="41" t="n"/>
      <c r="C1637" s="41" t="n"/>
      <c r="D1637" s="42" t="n"/>
      <c r="E1637" s="42" t="n"/>
      <c r="F1637" s="50" t="n"/>
      <c r="G1637" s="42" t="n"/>
      <c r="H1637" s="30">
        <f>IF(D1637="","",IFERROR(INDEX(Config!$B$12:$B$15,MATCH(IF(AND(D1637="Cartão de crédito",N(E1637)&gt;1),"Cartão de crédito parcelado",D1637),Config!$A$12:$A$15,0)),0)+IF(AND(Config!$B$17="Sim",LEFT(D1637,17)="Cartão de crédito"),Config!$B$18*IFERROR(INDEX(Config!$C$12:$C$15,MATCH(IF(AND(D1637="Cartão de crédito",N(E1637)&gt;1),"Cartão de crédito parcelado",D1637),Config!$A$12:$A$15,0)),0)/30*MAX(1,N(E1637)),0))</f>
        <v/>
      </c>
      <c r="I1637" s="29">
        <f>IF(OR(D1637="",F1637=""),"",ROUND(F1637*H1637,2))</f>
        <v/>
      </c>
      <c r="J1637" s="29">
        <f>IF(I1637="","",F1637-I1637)</f>
        <v/>
      </c>
      <c r="K1637" s="29">
        <f>IF(J1637="","",J1637/MAX(1,N(E1637)))</f>
        <v/>
      </c>
      <c r="L1637" s="37">
        <f>IF(OR(D1637="",A1637=""),"",A1637+IF(AND(Config!$B$17="Sim",LEFT(D1637,17)="Cartão de crédito"),1,IFERROR(INDEX(Config!$C$12:$C$15,MATCH(IF(AND(D1637="Cartão de crédito",N(E1637)&gt;1),"Cartão de crédito parcelado",D1637),Config!$A$12:$A$15,0)),0)))</f>
        <v/>
      </c>
      <c r="M1637" s="37">
        <f>IF(L1637="","",IF(AND(Config!$B$17="Sim",LEFT(D1637,17)="Cartão de crédito"),L1637,L1637+30*(MAX(1,N(E1637))-1)))</f>
        <v/>
      </c>
      <c r="N1637" s="29">
        <f>IF(OR(L1637="",K1637=""),"",K1637*MIN(MAX(1,N(E1637)),MAX(0,INT((Config!$B$8-L1637)/30)+1)))</f>
        <v/>
      </c>
      <c r="O1637" s="29">
        <f>IF(J1637="","",J1637-N(N1637))</f>
        <v/>
      </c>
      <c r="P1637" s="27">
        <f>IF(A1637="","",MONTH(A1637))</f>
        <v/>
      </c>
      <c r="Q1637" s="27">
        <f>IF(A1637="","",YEAR(A1637))</f>
        <v/>
      </c>
      <c r="R1637" s="27">
        <f>IF(L1637="","",IF(L1637&gt;Config!$B$8,"A cair",IF(N(G1637)&gt;=MIN(MAX(1,N(E1637)),MAX(0,INT((Config!$B$8-L1637)/30)+1)),IF(N(G1637)&gt;=MAX(1,N(E1637)),"Conferido","Conferido até aqui"),"A conferir")))</f>
        <v/>
      </c>
      <c r="S1637" s="51">
        <f>IF(R1637="A conferir",(Config!$B$8-L1637)*1000+N(F1637)/1000+ROW()/100000,0)</f>
        <v>0</v>
      </c>
      <c r="T1637" s="51">
        <f>IF(R1637="A conferir",N(N1637),0)</f>
        <v>0</v>
      </c>
      <c r="U1637" s="51">
        <f>IF(L1637="",0,L1637)</f>
        <v>0</v>
      </c>
      <c r="V1637" s="51">
        <f>IF(L1637="",0,MAX(1,N(E1637)))</f>
        <v>0</v>
      </c>
      <c r="W1637" s="51">
        <f>IF(K1637="",0,K1637)</f>
        <v>0</v>
      </c>
    </row>
    <row r="1638">
      <c r="A1638" s="49" t="n"/>
      <c r="B1638" s="41" t="n"/>
      <c r="C1638" s="41" t="n"/>
      <c r="D1638" s="42" t="n"/>
      <c r="E1638" s="42" t="n"/>
      <c r="F1638" s="50" t="n"/>
      <c r="G1638" s="42" t="n"/>
      <c r="H1638" s="30">
        <f>IF(D1638="","",IFERROR(INDEX(Config!$B$12:$B$15,MATCH(IF(AND(D1638="Cartão de crédito",N(E1638)&gt;1),"Cartão de crédito parcelado",D1638),Config!$A$12:$A$15,0)),0)+IF(AND(Config!$B$17="Sim",LEFT(D1638,17)="Cartão de crédito"),Config!$B$18*IFERROR(INDEX(Config!$C$12:$C$15,MATCH(IF(AND(D1638="Cartão de crédito",N(E1638)&gt;1),"Cartão de crédito parcelado",D1638),Config!$A$12:$A$15,0)),0)/30*MAX(1,N(E1638)),0))</f>
        <v/>
      </c>
      <c r="I1638" s="29">
        <f>IF(OR(D1638="",F1638=""),"",ROUND(F1638*H1638,2))</f>
        <v/>
      </c>
      <c r="J1638" s="29">
        <f>IF(I1638="","",F1638-I1638)</f>
        <v/>
      </c>
      <c r="K1638" s="29">
        <f>IF(J1638="","",J1638/MAX(1,N(E1638)))</f>
        <v/>
      </c>
      <c r="L1638" s="37">
        <f>IF(OR(D1638="",A1638=""),"",A1638+IF(AND(Config!$B$17="Sim",LEFT(D1638,17)="Cartão de crédito"),1,IFERROR(INDEX(Config!$C$12:$C$15,MATCH(IF(AND(D1638="Cartão de crédito",N(E1638)&gt;1),"Cartão de crédito parcelado",D1638),Config!$A$12:$A$15,0)),0)))</f>
        <v/>
      </c>
      <c r="M1638" s="37">
        <f>IF(L1638="","",IF(AND(Config!$B$17="Sim",LEFT(D1638,17)="Cartão de crédito"),L1638,L1638+30*(MAX(1,N(E1638))-1)))</f>
        <v/>
      </c>
      <c r="N1638" s="29">
        <f>IF(OR(L1638="",K1638=""),"",K1638*MIN(MAX(1,N(E1638)),MAX(0,INT((Config!$B$8-L1638)/30)+1)))</f>
        <v/>
      </c>
      <c r="O1638" s="29">
        <f>IF(J1638="","",J1638-N(N1638))</f>
        <v/>
      </c>
      <c r="P1638" s="27">
        <f>IF(A1638="","",MONTH(A1638))</f>
        <v/>
      </c>
      <c r="Q1638" s="27">
        <f>IF(A1638="","",YEAR(A1638))</f>
        <v/>
      </c>
      <c r="R1638" s="27">
        <f>IF(L1638="","",IF(L1638&gt;Config!$B$8,"A cair",IF(N(G1638)&gt;=MIN(MAX(1,N(E1638)),MAX(0,INT((Config!$B$8-L1638)/30)+1)),IF(N(G1638)&gt;=MAX(1,N(E1638)),"Conferido","Conferido até aqui"),"A conferir")))</f>
        <v/>
      </c>
      <c r="S1638" s="51">
        <f>IF(R1638="A conferir",(Config!$B$8-L1638)*1000+N(F1638)/1000+ROW()/100000,0)</f>
        <v>0</v>
      </c>
      <c r="T1638" s="51">
        <f>IF(R1638="A conferir",N(N1638),0)</f>
        <v>0</v>
      </c>
      <c r="U1638" s="51">
        <f>IF(L1638="",0,L1638)</f>
        <v>0</v>
      </c>
      <c r="V1638" s="51">
        <f>IF(L1638="",0,MAX(1,N(E1638)))</f>
        <v>0</v>
      </c>
      <c r="W1638" s="51">
        <f>IF(K1638="",0,K1638)</f>
        <v>0</v>
      </c>
    </row>
    <row r="1639">
      <c r="A1639" s="49" t="n"/>
      <c r="B1639" s="41" t="n"/>
      <c r="C1639" s="41" t="n"/>
      <c r="D1639" s="42" t="n"/>
      <c r="E1639" s="42" t="n"/>
      <c r="F1639" s="50" t="n"/>
      <c r="G1639" s="42" t="n"/>
      <c r="H1639" s="30">
        <f>IF(D1639="","",IFERROR(INDEX(Config!$B$12:$B$15,MATCH(IF(AND(D1639="Cartão de crédito",N(E1639)&gt;1),"Cartão de crédito parcelado",D1639),Config!$A$12:$A$15,0)),0)+IF(AND(Config!$B$17="Sim",LEFT(D1639,17)="Cartão de crédito"),Config!$B$18*IFERROR(INDEX(Config!$C$12:$C$15,MATCH(IF(AND(D1639="Cartão de crédito",N(E1639)&gt;1),"Cartão de crédito parcelado",D1639),Config!$A$12:$A$15,0)),0)/30*MAX(1,N(E1639)),0))</f>
        <v/>
      </c>
      <c r="I1639" s="29">
        <f>IF(OR(D1639="",F1639=""),"",ROUND(F1639*H1639,2))</f>
        <v/>
      </c>
      <c r="J1639" s="29">
        <f>IF(I1639="","",F1639-I1639)</f>
        <v/>
      </c>
      <c r="K1639" s="29">
        <f>IF(J1639="","",J1639/MAX(1,N(E1639)))</f>
        <v/>
      </c>
      <c r="L1639" s="37">
        <f>IF(OR(D1639="",A1639=""),"",A1639+IF(AND(Config!$B$17="Sim",LEFT(D1639,17)="Cartão de crédito"),1,IFERROR(INDEX(Config!$C$12:$C$15,MATCH(IF(AND(D1639="Cartão de crédito",N(E1639)&gt;1),"Cartão de crédito parcelado",D1639),Config!$A$12:$A$15,0)),0)))</f>
        <v/>
      </c>
      <c r="M1639" s="37">
        <f>IF(L1639="","",IF(AND(Config!$B$17="Sim",LEFT(D1639,17)="Cartão de crédito"),L1639,L1639+30*(MAX(1,N(E1639))-1)))</f>
        <v/>
      </c>
      <c r="N1639" s="29">
        <f>IF(OR(L1639="",K1639=""),"",K1639*MIN(MAX(1,N(E1639)),MAX(0,INT((Config!$B$8-L1639)/30)+1)))</f>
        <v/>
      </c>
      <c r="O1639" s="29">
        <f>IF(J1639="","",J1639-N(N1639))</f>
        <v/>
      </c>
      <c r="P1639" s="27">
        <f>IF(A1639="","",MONTH(A1639))</f>
        <v/>
      </c>
      <c r="Q1639" s="27">
        <f>IF(A1639="","",YEAR(A1639))</f>
        <v/>
      </c>
      <c r="R1639" s="27">
        <f>IF(L1639="","",IF(L1639&gt;Config!$B$8,"A cair",IF(N(G1639)&gt;=MIN(MAX(1,N(E1639)),MAX(0,INT((Config!$B$8-L1639)/30)+1)),IF(N(G1639)&gt;=MAX(1,N(E1639)),"Conferido","Conferido até aqui"),"A conferir")))</f>
        <v/>
      </c>
      <c r="S1639" s="51">
        <f>IF(R1639="A conferir",(Config!$B$8-L1639)*1000+N(F1639)/1000+ROW()/100000,0)</f>
        <v>0</v>
      </c>
      <c r="T1639" s="51">
        <f>IF(R1639="A conferir",N(N1639),0)</f>
        <v>0</v>
      </c>
      <c r="U1639" s="51">
        <f>IF(L1639="",0,L1639)</f>
        <v>0</v>
      </c>
      <c r="V1639" s="51">
        <f>IF(L1639="",0,MAX(1,N(E1639)))</f>
        <v>0</v>
      </c>
      <c r="W1639" s="51">
        <f>IF(K1639="",0,K1639)</f>
        <v>0</v>
      </c>
    </row>
    <row r="1640">
      <c r="A1640" s="49" t="n"/>
      <c r="B1640" s="41" t="n"/>
      <c r="C1640" s="41" t="n"/>
      <c r="D1640" s="42" t="n"/>
      <c r="E1640" s="42" t="n"/>
      <c r="F1640" s="50" t="n"/>
      <c r="G1640" s="42" t="n"/>
      <c r="H1640" s="30">
        <f>IF(D1640="","",IFERROR(INDEX(Config!$B$12:$B$15,MATCH(IF(AND(D1640="Cartão de crédito",N(E1640)&gt;1),"Cartão de crédito parcelado",D1640),Config!$A$12:$A$15,0)),0)+IF(AND(Config!$B$17="Sim",LEFT(D1640,17)="Cartão de crédito"),Config!$B$18*IFERROR(INDEX(Config!$C$12:$C$15,MATCH(IF(AND(D1640="Cartão de crédito",N(E1640)&gt;1),"Cartão de crédito parcelado",D1640),Config!$A$12:$A$15,0)),0)/30*MAX(1,N(E1640)),0))</f>
        <v/>
      </c>
      <c r="I1640" s="29">
        <f>IF(OR(D1640="",F1640=""),"",ROUND(F1640*H1640,2))</f>
        <v/>
      </c>
      <c r="J1640" s="29">
        <f>IF(I1640="","",F1640-I1640)</f>
        <v/>
      </c>
      <c r="K1640" s="29">
        <f>IF(J1640="","",J1640/MAX(1,N(E1640)))</f>
        <v/>
      </c>
      <c r="L1640" s="37">
        <f>IF(OR(D1640="",A1640=""),"",A1640+IF(AND(Config!$B$17="Sim",LEFT(D1640,17)="Cartão de crédito"),1,IFERROR(INDEX(Config!$C$12:$C$15,MATCH(IF(AND(D1640="Cartão de crédito",N(E1640)&gt;1),"Cartão de crédito parcelado",D1640),Config!$A$12:$A$15,0)),0)))</f>
        <v/>
      </c>
      <c r="M1640" s="37">
        <f>IF(L1640="","",IF(AND(Config!$B$17="Sim",LEFT(D1640,17)="Cartão de crédito"),L1640,L1640+30*(MAX(1,N(E1640))-1)))</f>
        <v/>
      </c>
      <c r="N1640" s="29">
        <f>IF(OR(L1640="",K1640=""),"",K1640*MIN(MAX(1,N(E1640)),MAX(0,INT((Config!$B$8-L1640)/30)+1)))</f>
        <v/>
      </c>
      <c r="O1640" s="29">
        <f>IF(J1640="","",J1640-N(N1640))</f>
        <v/>
      </c>
      <c r="P1640" s="27">
        <f>IF(A1640="","",MONTH(A1640))</f>
        <v/>
      </c>
      <c r="Q1640" s="27">
        <f>IF(A1640="","",YEAR(A1640))</f>
        <v/>
      </c>
      <c r="R1640" s="27">
        <f>IF(L1640="","",IF(L1640&gt;Config!$B$8,"A cair",IF(N(G1640)&gt;=MIN(MAX(1,N(E1640)),MAX(0,INT((Config!$B$8-L1640)/30)+1)),IF(N(G1640)&gt;=MAX(1,N(E1640)),"Conferido","Conferido até aqui"),"A conferir")))</f>
        <v/>
      </c>
      <c r="S1640" s="51">
        <f>IF(R1640="A conferir",(Config!$B$8-L1640)*1000+N(F1640)/1000+ROW()/100000,0)</f>
        <v>0</v>
      </c>
      <c r="T1640" s="51">
        <f>IF(R1640="A conferir",N(N1640),0)</f>
        <v>0</v>
      </c>
      <c r="U1640" s="51">
        <f>IF(L1640="",0,L1640)</f>
        <v>0</v>
      </c>
      <c r="V1640" s="51">
        <f>IF(L1640="",0,MAX(1,N(E1640)))</f>
        <v>0</v>
      </c>
      <c r="W1640" s="51">
        <f>IF(K1640="",0,K1640)</f>
        <v>0</v>
      </c>
    </row>
    <row r="1641">
      <c r="A1641" s="49" t="n"/>
      <c r="B1641" s="41" t="n"/>
      <c r="C1641" s="41" t="n"/>
      <c r="D1641" s="42" t="n"/>
      <c r="E1641" s="42" t="n"/>
      <c r="F1641" s="50" t="n"/>
      <c r="G1641" s="42" t="n"/>
      <c r="H1641" s="30">
        <f>IF(D1641="","",IFERROR(INDEX(Config!$B$12:$B$15,MATCH(IF(AND(D1641="Cartão de crédito",N(E1641)&gt;1),"Cartão de crédito parcelado",D1641),Config!$A$12:$A$15,0)),0)+IF(AND(Config!$B$17="Sim",LEFT(D1641,17)="Cartão de crédito"),Config!$B$18*IFERROR(INDEX(Config!$C$12:$C$15,MATCH(IF(AND(D1641="Cartão de crédito",N(E1641)&gt;1),"Cartão de crédito parcelado",D1641),Config!$A$12:$A$15,0)),0)/30*MAX(1,N(E1641)),0))</f>
        <v/>
      </c>
      <c r="I1641" s="29">
        <f>IF(OR(D1641="",F1641=""),"",ROUND(F1641*H1641,2))</f>
        <v/>
      </c>
      <c r="J1641" s="29">
        <f>IF(I1641="","",F1641-I1641)</f>
        <v/>
      </c>
      <c r="K1641" s="29">
        <f>IF(J1641="","",J1641/MAX(1,N(E1641)))</f>
        <v/>
      </c>
      <c r="L1641" s="37">
        <f>IF(OR(D1641="",A1641=""),"",A1641+IF(AND(Config!$B$17="Sim",LEFT(D1641,17)="Cartão de crédito"),1,IFERROR(INDEX(Config!$C$12:$C$15,MATCH(IF(AND(D1641="Cartão de crédito",N(E1641)&gt;1),"Cartão de crédito parcelado",D1641),Config!$A$12:$A$15,0)),0)))</f>
        <v/>
      </c>
      <c r="M1641" s="37">
        <f>IF(L1641="","",IF(AND(Config!$B$17="Sim",LEFT(D1641,17)="Cartão de crédito"),L1641,L1641+30*(MAX(1,N(E1641))-1)))</f>
        <v/>
      </c>
      <c r="N1641" s="29">
        <f>IF(OR(L1641="",K1641=""),"",K1641*MIN(MAX(1,N(E1641)),MAX(0,INT((Config!$B$8-L1641)/30)+1)))</f>
        <v/>
      </c>
      <c r="O1641" s="29">
        <f>IF(J1641="","",J1641-N(N1641))</f>
        <v/>
      </c>
      <c r="P1641" s="27">
        <f>IF(A1641="","",MONTH(A1641))</f>
        <v/>
      </c>
      <c r="Q1641" s="27">
        <f>IF(A1641="","",YEAR(A1641))</f>
        <v/>
      </c>
      <c r="R1641" s="27">
        <f>IF(L1641="","",IF(L1641&gt;Config!$B$8,"A cair",IF(N(G1641)&gt;=MIN(MAX(1,N(E1641)),MAX(0,INT((Config!$B$8-L1641)/30)+1)),IF(N(G1641)&gt;=MAX(1,N(E1641)),"Conferido","Conferido até aqui"),"A conferir")))</f>
        <v/>
      </c>
      <c r="S1641" s="51">
        <f>IF(R1641="A conferir",(Config!$B$8-L1641)*1000+N(F1641)/1000+ROW()/100000,0)</f>
        <v>0</v>
      </c>
      <c r="T1641" s="51">
        <f>IF(R1641="A conferir",N(N1641),0)</f>
        <v>0</v>
      </c>
      <c r="U1641" s="51">
        <f>IF(L1641="",0,L1641)</f>
        <v>0</v>
      </c>
      <c r="V1641" s="51">
        <f>IF(L1641="",0,MAX(1,N(E1641)))</f>
        <v>0</v>
      </c>
      <c r="W1641" s="51">
        <f>IF(K1641="",0,K1641)</f>
        <v>0</v>
      </c>
    </row>
    <row r="1642">
      <c r="A1642" s="49" t="n"/>
      <c r="B1642" s="41" t="n"/>
      <c r="C1642" s="41" t="n"/>
      <c r="D1642" s="42" t="n"/>
      <c r="E1642" s="42" t="n"/>
      <c r="F1642" s="50" t="n"/>
      <c r="G1642" s="42" t="n"/>
      <c r="H1642" s="30">
        <f>IF(D1642="","",IFERROR(INDEX(Config!$B$12:$B$15,MATCH(IF(AND(D1642="Cartão de crédito",N(E1642)&gt;1),"Cartão de crédito parcelado",D1642),Config!$A$12:$A$15,0)),0)+IF(AND(Config!$B$17="Sim",LEFT(D1642,17)="Cartão de crédito"),Config!$B$18*IFERROR(INDEX(Config!$C$12:$C$15,MATCH(IF(AND(D1642="Cartão de crédito",N(E1642)&gt;1),"Cartão de crédito parcelado",D1642),Config!$A$12:$A$15,0)),0)/30*MAX(1,N(E1642)),0))</f>
        <v/>
      </c>
      <c r="I1642" s="29">
        <f>IF(OR(D1642="",F1642=""),"",ROUND(F1642*H1642,2))</f>
        <v/>
      </c>
      <c r="J1642" s="29">
        <f>IF(I1642="","",F1642-I1642)</f>
        <v/>
      </c>
      <c r="K1642" s="29">
        <f>IF(J1642="","",J1642/MAX(1,N(E1642)))</f>
        <v/>
      </c>
      <c r="L1642" s="37">
        <f>IF(OR(D1642="",A1642=""),"",A1642+IF(AND(Config!$B$17="Sim",LEFT(D1642,17)="Cartão de crédito"),1,IFERROR(INDEX(Config!$C$12:$C$15,MATCH(IF(AND(D1642="Cartão de crédito",N(E1642)&gt;1),"Cartão de crédito parcelado",D1642),Config!$A$12:$A$15,0)),0)))</f>
        <v/>
      </c>
      <c r="M1642" s="37">
        <f>IF(L1642="","",IF(AND(Config!$B$17="Sim",LEFT(D1642,17)="Cartão de crédito"),L1642,L1642+30*(MAX(1,N(E1642))-1)))</f>
        <v/>
      </c>
      <c r="N1642" s="29">
        <f>IF(OR(L1642="",K1642=""),"",K1642*MIN(MAX(1,N(E1642)),MAX(0,INT((Config!$B$8-L1642)/30)+1)))</f>
        <v/>
      </c>
      <c r="O1642" s="29">
        <f>IF(J1642="","",J1642-N(N1642))</f>
        <v/>
      </c>
      <c r="P1642" s="27">
        <f>IF(A1642="","",MONTH(A1642))</f>
        <v/>
      </c>
      <c r="Q1642" s="27">
        <f>IF(A1642="","",YEAR(A1642))</f>
        <v/>
      </c>
      <c r="R1642" s="27">
        <f>IF(L1642="","",IF(L1642&gt;Config!$B$8,"A cair",IF(N(G1642)&gt;=MIN(MAX(1,N(E1642)),MAX(0,INT((Config!$B$8-L1642)/30)+1)),IF(N(G1642)&gt;=MAX(1,N(E1642)),"Conferido","Conferido até aqui"),"A conferir")))</f>
        <v/>
      </c>
      <c r="S1642" s="51">
        <f>IF(R1642="A conferir",(Config!$B$8-L1642)*1000+N(F1642)/1000+ROW()/100000,0)</f>
        <v>0</v>
      </c>
      <c r="T1642" s="51">
        <f>IF(R1642="A conferir",N(N1642),0)</f>
        <v>0</v>
      </c>
      <c r="U1642" s="51">
        <f>IF(L1642="",0,L1642)</f>
        <v>0</v>
      </c>
      <c r="V1642" s="51">
        <f>IF(L1642="",0,MAX(1,N(E1642)))</f>
        <v>0</v>
      </c>
      <c r="W1642" s="51">
        <f>IF(K1642="",0,K1642)</f>
        <v>0</v>
      </c>
    </row>
    <row r="1643">
      <c r="A1643" s="49" t="n"/>
      <c r="B1643" s="41" t="n"/>
      <c r="C1643" s="41" t="n"/>
      <c r="D1643" s="42" t="n"/>
      <c r="E1643" s="42" t="n"/>
      <c r="F1643" s="50" t="n"/>
      <c r="G1643" s="42" t="n"/>
      <c r="H1643" s="30">
        <f>IF(D1643="","",IFERROR(INDEX(Config!$B$12:$B$15,MATCH(IF(AND(D1643="Cartão de crédito",N(E1643)&gt;1),"Cartão de crédito parcelado",D1643),Config!$A$12:$A$15,0)),0)+IF(AND(Config!$B$17="Sim",LEFT(D1643,17)="Cartão de crédito"),Config!$B$18*IFERROR(INDEX(Config!$C$12:$C$15,MATCH(IF(AND(D1643="Cartão de crédito",N(E1643)&gt;1),"Cartão de crédito parcelado",D1643),Config!$A$12:$A$15,0)),0)/30*MAX(1,N(E1643)),0))</f>
        <v/>
      </c>
      <c r="I1643" s="29">
        <f>IF(OR(D1643="",F1643=""),"",ROUND(F1643*H1643,2))</f>
        <v/>
      </c>
      <c r="J1643" s="29">
        <f>IF(I1643="","",F1643-I1643)</f>
        <v/>
      </c>
      <c r="K1643" s="29">
        <f>IF(J1643="","",J1643/MAX(1,N(E1643)))</f>
        <v/>
      </c>
      <c r="L1643" s="37">
        <f>IF(OR(D1643="",A1643=""),"",A1643+IF(AND(Config!$B$17="Sim",LEFT(D1643,17)="Cartão de crédito"),1,IFERROR(INDEX(Config!$C$12:$C$15,MATCH(IF(AND(D1643="Cartão de crédito",N(E1643)&gt;1),"Cartão de crédito parcelado",D1643),Config!$A$12:$A$15,0)),0)))</f>
        <v/>
      </c>
      <c r="M1643" s="37">
        <f>IF(L1643="","",IF(AND(Config!$B$17="Sim",LEFT(D1643,17)="Cartão de crédito"),L1643,L1643+30*(MAX(1,N(E1643))-1)))</f>
        <v/>
      </c>
      <c r="N1643" s="29">
        <f>IF(OR(L1643="",K1643=""),"",K1643*MIN(MAX(1,N(E1643)),MAX(0,INT((Config!$B$8-L1643)/30)+1)))</f>
        <v/>
      </c>
      <c r="O1643" s="29">
        <f>IF(J1643="","",J1643-N(N1643))</f>
        <v/>
      </c>
      <c r="P1643" s="27">
        <f>IF(A1643="","",MONTH(A1643))</f>
        <v/>
      </c>
      <c r="Q1643" s="27">
        <f>IF(A1643="","",YEAR(A1643))</f>
        <v/>
      </c>
      <c r="R1643" s="27">
        <f>IF(L1643="","",IF(L1643&gt;Config!$B$8,"A cair",IF(N(G1643)&gt;=MIN(MAX(1,N(E1643)),MAX(0,INT((Config!$B$8-L1643)/30)+1)),IF(N(G1643)&gt;=MAX(1,N(E1643)),"Conferido","Conferido até aqui"),"A conferir")))</f>
        <v/>
      </c>
      <c r="S1643" s="51">
        <f>IF(R1643="A conferir",(Config!$B$8-L1643)*1000+N(F1643)/1000+ROW()/100000,0)</f>
        <v>0</v>
      </c>
      <c r="T1643" s="51">
        <f>IF(R1643="A conferir",N(N1643),0)</f>
        <v>0</v>
      </c>
      <c r="U1643" s="51">
        <f>IF(L1643="",0,L1643)</f>
        <v>0</v>
      </c>
      <c r="V1643" s="51">
        <f>IF(L1643="",0,MAX(1,N(E1643)))</f>
        <v>0</v>
      </c>
      <c r="W1643" s="51">
        <f>IF(K1643="",0,K1643)</f>
        <v>0</v>
      </c>
    </row>
    <row r="1644">
      <c r="A1644" s="49" t="n"/>
      <c r="B1644" s="41" t="n"/>
      <c r="C1644" s="41" t="n"/>
      <c r="D1644" s="42" t="n"/>
      <c r="E1644" s="42" t="n"/>
      <c r="F1644" s="50" t="n"/>
      <c r="G1644" s="42" t="n"/>
      <c r="H1644" s="30">
        <f>IF(D1644="","",IFERROR(INDEX(Config!$B$12:$B$15,MATCH(IF(AND(D1644="Cartão de crédito",N(E1644)&gt;1),"Cartão de crédito parcelado",D1644),Config!$A$12:$A$15,0)),0)+IF(AND(Config!$B$17="Sim",LEFT(D1644,17)="Cartão de crédito"),Config!$B$18*IFERROR(INDEX(Config!$C$12:$C$15,MATCH(IF(AND(D1644="Cartão de crédito",N(E1644)&gt;1),"Cartão de crédito parcelado",D1644),Config!$A$12:$A$15,0)),0)/30*MAX(1,N(E1644)),0))</f>
        <v/>
      </c>
      <c r="I1644" s="29">
        <f>IF(OR(D1644="",F1644=""),"",ROUND(F1644*H1644,2))</f>
        <v/>
      </c>
      <c r="J1644" s="29">
        <f>IF(I1644="","",F1644-I1644)</f>
        <v/>
      </c>
      <c r="K1644" s="29">
        <f>IF(J1644="","",J1644/MAX(1,N(E1644)))</f>
        <v/>
      </c>
      <c r="L1644" s="37">
        <f>IF(OR(D1644="",A1644=""),"",A1644+IF(AND(Config!$B$17="Sim",LEFT(D1644,17)="Cartão de crédito"),1,IFERROR(INDEX(Config!$C$12:$C$15,MATCH(IF(AND(D1644="Cartão de crédito",N(E1644)&gt;1),"Cartão de crédito parcelado",D1644),Config!$A$12:$A$15,0)),0)))</f>
        <v/>
      </c>
      <c r="M1644" s="37">
        <f>IF(L1644="","",IF(AND(Config!$B$17="Sim",LEFT(D1644,17)="Cartão de crédito"),L1644,L1644+30*(MAX(1,N(E1644))-1)))</f>
        <v/>
      </c>
      <c r="N1644" s="29">
        <f>IF(OR(L1644="",K1644=""),"",K1644*MIN(MAX(1,N(E1644)),MAX(0,INT((Config!$B$8-L1644)/30)+1)))</f>
        <v/>
      </c>
      <c r="O1644" s="29">
        <f>IF(J1644="","",J1644-N(N1644))</f>
        <v/>
      </c>
      <c r="P1644" s="27">
        <f>IF(A1644="","",MONTH(A1644))</f>
        <v/>
      </c>
      <c r="Q1644" s="27">
        <f>IF(A1644="","",YEAR(A1644))</f>
        <v/>
      </c>
      <c r="R1644" s="27">
        <f>IF(L1644="","",IF(L1644&gt;Config!$B$8,"A cair",IF(N(G1644)&gt;=MIN(MAX(1,N(E1644)),MAX(0,INT((Config!$B$8-L1644)/30)+1)),IF(N(G1644)&gt;=MAX(1,N(E1644)),"Conferido","Conferido até aqui"),"A conferir")))</f>
        <v/>
      </c>
      <c r="S1644" s="51">
        <f>IF(R1644="A conferir",(Config!$B$8-L1644)*1000+N(F1644)/1000+ROW()/100000,0)</f>
        <v>0</v>
      </c>
      <c r="T1644" s="51">
        <f>IF(R1644="A conferir",N(N1644),0)</f>
        <v>0</v>
      </c>
      <c r="U1644" s="51">
        <f>IF(L1644="",0,L1644)</f>
        <v>0</v>
      </c>
      <c r="V1644" s="51">
        <f>IF(L1644="",0,MAX(1,N(E1644)))</f>
        <v>0</v>
      </c>
      <c r="W1644" s="51">
        <f>IF(K1644="",0,K1644)</f>
        <v>0</v>
      </c>
    </row>
    <row r="1645">
      <c r="A1645" s="49" t="n"/>
      <c r="B1645" s="41" t="n"/>
      <c r="C1645" s="41" t="n"/>
      <c r="D1645" s="42" t="n"/>
      <c r="E1645" s="42" t="n"/>
      <c r="F1645" s="50" t="n"/>
      <c r="G1645" s="42" t="n"/>
      <c r="H1645" s="30">
        <f>IF(D1645="","",IFERROR(INDEX(Config!$B$12:$B$15,MATCH(IF(AND(D1645="Cartão de crédito",N(E1645)&gt;1),"Cartão de crédito parcelado",D1645),Config!$A$12:$A$15,0)),0)+IF(AND(Config!$B$17="Sim",LEFT(D1645,17)="Cartão de crédito"),Config!$B$18*IFERROR(INDEX(Config!$C$12:$C$15,MATCH(IF(AND(D1645="Cartão de crédito",N(E1645)&gt;1),"Cartão de crédito parcelado",D1645),Config!$A$12:$A$15,0)),0)/30*MAX(1,N(E1645)),0))</f>
        <v/>
      </c>
      <c r="I1645" s="29">
        <f>IF(OR(D1645="",F1645=""),"",ROUND(F1645*H1645,2))</f>
        <v/>
      </c>
      <c r="J1645" s="29">
        <f>IF(I1645="","",F1645-I1645)</f>
        <v/>
      </c>
      <c r="K1645" s="29">
        <f>IF(J1645="","",J1645/MAX(1,N(E1645)))</f>
        <v/>
      </c>
      <c r="L1645" s="37">
        <f>IF(OR(D1645="",A1645=""),"",A1645+IF(AND(Config!$B$17="Sim",LEFT(D1645,17)="Cartão de crédito"),1,IFERROR(INDEX(Config!$C$12:$C$15,MATCH(IF(AND(D1645="Cartão de crédito",N(E1645)&gt;1),"Cartão de crédito parcelado",D1645),Config!$A$12:$A$15,0)),0)))</f>
        <v/>
      </c>
      <c r="M1645" s="37">
        <f>IF(L1645="","",IF(AND(Config!$B$17="Sim",LEFT(D1645,17)="Cartão de crédito"),L1645,L1645+30*(MAX(1,N(E1645))-1)))</f>
        <v/>
      </c>
      <c r="N1645" s="29">
        <f>IF(OR(L1645="",K1645=""),"",K1645*MIN(MAX(1,N(E1645)),MAX(0,INT((Config!$B$8-L1645)/30)+1)))</f>
        <v/>
      </c>
      <c r="O1645" s="29">
        <f>IF(J1645="","",J1645-N(N1645))</f>
        <v/>
      </c>
      <c r="P1645" s="27">
        <f>IF(A1645="","",MONTH(A1645))</f>
        <v/>
      </c>
      <c r="Q1645" s="27">
        <f>IF(A1645="","",YEAR(A1645))</f>
        <v/>
      </c>
      <c r="R1645" s="27">
        <f>IF(L1645="","",IF(L1645&gt;Config!$B$8,"A cair",IF(N(G1645)&gt;=MIN(MAX(1,N(E1645)),MAX(0,INT((Config!$B$8-L1645)/30)+1)),IF(N(G1645)&gt;=MAX(1,N(E1645)),"Conferido","Conferido até aqui"),"A conferir")))</f>
        <v/>
      </c>
      <c r="S1645" s="51">
        <f>IF(R1645="A conferir",(Config!$B$8-L1645)*1000+N(F1645)/1000+ROW()/100000,0)</f>
        <v>0</v>
      </c>
      <c r="T1645" s="51">
        <f>IF(R1645="A conferir",N(N1645),0)</f>
        <v>0</v>
      </c>
      <c r="U1645" s="51">
        <f>IF(L1645="",0,L1645)</f>
        <v>0</v>
      </c>
      <c r="V1645" s="51">
        <f>IF(L1645="",0,MAX(1,N(E1645)))</f>
        <v>0</v>
      </c>
      <c r="W1645" s="51">
        <f>IF(K1645="",0,K1645)</f>
        <v>0</v>
      </c>
    </row>
    <row r="1646">
      <c r="A1646" s="49" t="n"/>
      <c r="B1646" s="41" t="n"/>
      <c r="C1646" s="41" t="n"/>
      <c r="D1646" s="42" t="n"/>
      <c r="E1646" s="42" t="n"/>
      <c r="F1646" s="50" t="n"/>
      <c r="G1646" s="42" t="n"/>
      <c r="H1646" s="30">
        <f>IF(D1646="","",IFERROR(INDEX(Config!$B$12:$B$15,MATCH(IF(AND(D1646="Cartão de crédito",N(E1646)&gt;1),"Cartão de crédito parcelado",D1646),Config!$A$12:$A$15,0)),0)+IF(AND(Config!$B$17="Sim",LEFT(D1646,17)="Cartão de crédito"),Config!$B$18*IFERROR(INDEX(Config!$C$12:$C$15,MATCH(IF(AND(D1646="Cartão de crédito",N(E1646)&gt;1),"Cartão de crédito parcelado",D1646),Config!$A$12:$A$15,0)),0)/30*MAX(1,N(E1646)),0))</f>
        <v/>
      </c>
      <c r="I1646" s="29">
        <f>IF(OR(D1646="",F1646=""),"",ROUND(F1646*H1646,2))</f>
        <v/>
      </c>
      <c r="J1646" s="29">
        <f>IF(I1646="","",F1646-I1646)</f>
        <v/>
      </c>
      <c r="K1646" s="29">
        <f>IF(J1646="","",J1646/MAX(1,N(E1646)))</f>
        <v/>
      </c>
      <c r="L1646" s="37">
        <f>IF(OR(D1646="",A1646=""),"",A1646+IF(AND(Config!$B$17="Sim",LEFT(D1646,17)="Cartão de crédito"),1,IFERROR(INDEX(Config!$C$12:$C$15,MATCH(IF(AND(D1646="Cartão de crédito",N(E1646)&gt;1),"Cartão de crédito parcelado",D1646),Config!$A$12:$A$15,0)),0)))</f>
        <v/>
      </c>
      <c r="M1646" s="37">
        <f>IF(L1646="","",IF(AND(Config!$B$17="Sim",LEFT(D1646,17)="Cartão de crédito"),L1646,L1646+30*(MAX(1,N(E1646))-1)))</f>
        <v/>
      </c>
      <c r="N1646" s="29">
        <f>IF(OR(L1646="",K1646=""),"",K1646*MIN(MAX(1,N(E1646)),MAX(0,INT((Config!$B$8-L1646)/30)+1)))</f>
        <v/>
      </c>
      <c r="O1646" s="29">
        <f>IF(J1646="","",J1646-N(N1646))</f>
        <v/>
      </c>
      <c r="P1646" s="27">
        <f>IF(A1646="","",MONTH(A1646))</f>
        <v/>
      </c>
      <c r="Q1646" s="27">
        <f>IF(A1646="","",YEAR(A1646))</f>
        <v/>
      </c>
      <c r="R1646" s="27">
        <f>IF(L1646="","",IF(L1646&gt;Config!$B$8,"A cair",IF(N(G1646)&gt;=MIN(MAX(1,N(E1646)),MAX(0,INT((Config!$B$8-L1646)/30)+1)),IF(N(G1646)&gt;=MAX(1,N(E1646)),"Conferido","Conferido até aqui"),"A conferir")))</f>
        <v/>
      </c>
      <c r="S1646" s="51">
        <f>IF(R1646="A conferir",(Config!$B$8-L1646)*1000+N(F1646)/1000+ROW()/100000,0)</f>
        <v>0</v>
      </c>
      <c r="T1646" s="51">
        <f>IF(R1646="A conferir",N(N1646),0)</f>
        <v>0</v>
      </c>
      <c r="U1646" s="51">
        <f>IF(L1646="",0,L1646)</f>
        <v>0</v>
      </c>
      <c r="V1646" s="51">
        <f>IF(L1646="",0,MAX(1,N(E1646)))</f>
        <v>0</v>
      </c>
      <c r="W1646" s="51">
        <f>IF(K1646="",0,K1646)</f>
        <v>0</v>
      </c>
    </row>
    <row r="1647">
      <c r="A1647" s="49" t="n"/>
      <c r="B1647" s="41" t="n"/>
      <c r="C1647" s="41" t="n"/>
      <c r="D1647" s="42" t="n"/>
      <c r="E1647" s="42" t="n"/>
      <c r="F1647" s="50" t="n"/>
      <c r="G1647" s="42" t="n"/>
      <c r="H1647" s="30">
        <f>IF(D1647="","",IFERROR(INDEX(Config!$B$12:$B$15,MATCH(IF(AND(D1647="Cartão de crédito",N(E1647)&gt;1),"Cartão de crédito parcelado",D1647),Config!$A$12:$A$15,0)),0)+IF(AND(Config!$B$17="Sim",LEFT(D1647,17)="Cartão de crédito"),Config!$B$18*IFERROR(INDEX(Config!$C$12:$C$15,MATCH(IF(AND(D1647="Cartão de crédito",N(E1647)&gt;1),"Cartão de crédito parcelado",D1647),Config!$A$12:$A$15,0)),0)/30*MAX(1,N(E1647)),0))</f>
        <v/>
      </c>
      <c r="I1647" s="29">
        <f>IF(OR(D1647="",F1647=""),"",ROUND(F1647*H1647,2))</f>
        <v/>
      </c>
      <c r="J1647" s="29">
        <f>IF(I1647="","",F1647-I1647)</f>
        <v/>
      </c>
      <c r="K1647" s="29">
        <f>IF(J1647="","",J1647/MAX(1,N(E1647)))</f>
        <v/>
      </c>
      <c r="L1647" s="37">
        <f>IF(OR(D1647="",A1647=""),"",A1647+IF(AND(Config!$B$17="Sim",LEFT(D1647,17)="Cartão de crédito"),1,IFERROR(INDEX(Config!$C$12:$C$15,MATCH(IF(AND(D1647="Cartão de crédito",N(E1647)&gt;1),"Cartão de crédito parcelado",D1647),Config!$A$12:$A$15,0)),0)))</f>
        <v/>
      </c>
      <c r="M1647" s="37">
        <f>IF(L1647="","",IF(AND(Config!$B$17="Sim",LEFT(D1647,17)="Cartão de crédito"),L1647,L1647+30*(MAX(1,N(E1647))-1)))</f>
        <v/>
      </c>
      <c r="N1647" s="29">
        <f>IF(OR(L1647="",K1647=""),"",K1647*MIN(MAX(1,N(E1647)),MAX(0,INT((Config!$B$8-L1647)/30)+1)))</f>
        <v/>
      </c>
      <c r="O1647" s="29">
        <f>IF(J1647="","",J1647-N(N1647))</f>
        <v/>
      </c>
      <c r="P1647" s="27">
        <f>IF(A1647="","",MONTH(A1647))</f>
        <v/>
      </c>
      <c r="Q1647" s="27">
        <f>IF(A1647="","",YEAR(A1647))</f>
        <v/>
      </c>
      <c r="R1647" s="27">
        <f>IF(L1647="","",IF(L1647&gt;Config!$B$8,"A cair",IF(N(G1647)&gt;=MIN(MAX(1,N(E1647)),MAX(0,INT((Config!$B$8-L1647)/30)+1)),IF(N(G1647)&gt;=MAX(1,N(E1647)),"Conferido","Conferido até aqui"),"A conferir")))</f>
        <v/>
      </c>
      <c r="S1647" s="51">
        <f>IF(R1647="A conferir",(Config!$B$8-L1647)*1000+N(F1647)/1000+ROW()/100000,0)</f>
        <v>0</v>
      </c>
      <c r="T1647" s="51">
        <f>IF(R1647="A conferir",N(N1647),0)</f>
        <v>0</v>
      </c>
      <c r="U1647" s="51">
        <f>IF(L1647="",0,L1647)</f>
        <v>0</v>
      </c>
      <c r="V1647" s="51">
        <f>IF(L1647="",0,MAX(1,N(E1647)))</f>
        <v>0</v>
      </c>
      <c r="W1647" s="51">
        <f>IF(K1647="",0,K1647)</f>
        <v>0</v>
      </c>
    </row>
    <row r="1648">
      <c r="A1648" s="49" t="n"/>
      <c r="B1648" s="41" t="n"/>
      <c r="C1648" s="41" t="n"/>
      <c r="D1648" s="42" t="n"/>
      <c r="E1648" s="42" t="n"/>
      <c r="F1648" s="50" t="n"/>
      <c r="G1648" s="42" t="n"/>
      <c r="H1648" s="30">
        <f>IF(D1648="","",IFERROR(INDEX(Config!$B$12:$B$15,MATCH(IF(AND(D1648="Cartão de crédito",N(E1648)&gt;1),"Cartão de crédito parcelado",D1648),Config!$A$12:$A$15,0)),0)+IF(AND(Config!$B$17="Sim",LEFT(D1648,17)="Cartão de crédito"),Config!$B$18*IFERROR(INDEX(Config!$C$12:$C$15,MATCH(IF(AND(D1648="Cartão de crédito",N(E1648)&gt;1),"Cartão de crédito parcelado",D1648),Config!$A$12:$A$15,0)),0)/30*MAX(1,N(E1648)),0))</f>
        <v/>
      </c>
      <c r="I1648" s="29">
        <f>IF(OR(D1648="",F1648=""),"",ROUND(F1648*H1648,2))</f>
        <v/>
      </c>
      <c r="J1648" s="29">
        <f>IF(I1648="","",F1648-I1648)</f>
        <v/>
      </c>
      <c r="K1648" s="29">
        <f>IF(J1648="","",J1648/MAX(1,N(E1648)))</f>
        <v/>
      </c>
      <c r="L1648" s="37">
        <f>IF(OR(D1648="",A1648=""),"",A1648+IF(AND(Config!$B$17="Sim",LEFT(D1648,17)="Cartão de crédito"),1,IFERROR(INDEX(Config!$C$12:$C$15,MATCH(IF(AND(D1648="Cartão de crédito",N(E1648)&gt;1),"Cartão de crédito parcelado",D1648),Config!$A$12:$A$15,0)),0)))</f>
        <v/>
      </c>
      <c r="M1648" s="37">
        <f>IF(L1648="","",IF(AND(Config!$B$17="Sim",LEFT(D1648,17)="Cartão de crédito"),L1648,L1648+30*(MAX(1,N(E1648))-1)))</f>
        <v/>
      </c>
      <c r="N1648" s="29">
        <f>IF(OR(L1648="",K1648=""),"",K1648*MIN(MAX(1,N(E1648)),MAX(0,INT((Config!$B$8-L1648)/30)+1)))</f>
        <v/>
      </c>
      <c r="O1648" s="29">
        <f>IF(J1648="","",J1648-N(N1648))</f>
        <v/>
      </c>
      <c r="P1648" s="27">
        <f>IF(A1648="","",MONTH(A1648))</f>
        <v/>
      </c>
      <c r="Q1648" s="27">
        <f>IF(A1648="","",YEAR(A1648))</f>
        <v/>
      </c>
      <c r="R1648" s="27">
        <f>IF(L1648="","",IF(L1648&gt;Config!$B$8,"A cair",IF(N(G1648)&gt;=MIN(MAX(1,N(E1648)),MAX(0,INT((Config!$B$8-L1648)/30)+1)),IF(N(G1648)&gt;=MAX(1,N(E1648)),"Conferido","Conferido até aqui"),"A conferir")))</f>
        <v/>
      </c>
      <c r="S1648" s="51">
        <f>IF(R1648="A conferir",(Config!$B$8-L1648)*1000+N(F1648)/1000+ROW()/100000,0)</f>
        <v>0</v>
      </c>
      <c r="T1648" s="51">
        <f>IF(R1648="A conferir",N(N1648),0)</f>
        <v>0</v>
      </c>
      <c r="U1648" s="51">
        <f>IF(L1648="",0,L1648)</f>
        <v>0</v>
      </c>
      <c r="V1648" s="51">
        <f>IF(L1648="",0,MAX(1,N(E1648)))</f>
        <v>0</v>
      </c>
      <c r="W1648" s="51">
        <f>IF(K1648="",0,K1648)</f>
        <v>0</v>
      </c>
    </row>
    <row r="1649">
      <c r="A1649" s="49" t="n"/>
      <c r="B1649" s="41" t="n"/>
      <c r="C1649" s="41" t="n"/>
      <c r="D1649" s="42" t="n"/>
      <c r="E1649" s="42" t="n"/>
      <c r="F1649" s="50" t="n"/>
      <c r="G1649" s="42" t="n"/>
      <c r="H1649" s="30">
        <f>IF(D1649="","",IFERROR(INDEX(Config!$B$12:$B$15,MATCH(IF(AND(D1649="Cartão de crédito",N(E1649)&gt;1),"Cartão de crédito parcelado",D1649),Config!$A$12:$A$15,0)),0)+IF(AND(Config!$B$17="Sim",LEFT(D1649,17)="Cartão de crédito"),Config!$B$18*IFERROR(INDEX(Config!$C$12:$C$15,MATCH(IF(AND(D1649="Cartão de crédito",N(E1649)&gt;1),"Cartão de crédito parcelado",D1649),Config!$A$12:$A$15,0)),0)/30*MAX(1,N(E1649)),0))</f>
        <v/>
      </c>
      <c r="I1649" s="29">
        <f>IF(OR(D1649="",F1649=""),"",ROUND(F1649*H1649,2))</f>
        <v/>
      </c>
      <c r="J1649" s="29">
        <f>IF(I1649="","",F1649-I1649)</f>
        <v/>
      </c>
      <c r="K1649" s="29">
        <f>IF(J1649="","",J1649/MAX(1,N(E1649)))</f>
        <v/>
      </c>
      <c r="L1649" s="37">
        <f>IF(OR(D1649="",A1649=""),"",A1649+IF(AND(Config!$B$17="Sim",LEFT(D1649,17)="Cartão de crédito"),1,IFERROR(INDEX(Config!$C$12:$C$15,MATCH(IF(AND(D1649="Cartão de crédito",N(E1649)&gt;1),"Cartão de crédito parcelado",D1649),Config!$A$12:$A$15,0)),0)))</f>
        <v/>
      </c>
      <c r="M1649" s="37">
        <f>IF(L1649="","",IF(AND(Config!$B$17="Sim",LEFT(D1649,17)="Cartão de crédito"),L1649,L1649+30*(MAX(1,N(E1649))-1)))</f>
        <v/>
      </c>
      <c r="N1649" s="29">
        <f>IF(OR(L1649="",K1649=""),"",K1649*MIN(MAX(1,N(E1649)),MAX(0,INT((Config!$B$8-L1649)/30)+1)))</f>
        <v/>
      </c>
      <c r="O1649" s="29">
        <f>IF(J1649="","",J1649-N(N1649))</f>
        <v/>
      </c>
      <c r="P1649" s="27">
        <f>IF(A1649="","",MONTH(A1649))</f>
        <v/>
      </c>
      <c r="Q1649" s="27">
        <f>IF(A1649="","",YEAR(A1649))</f>
        <v/>
      </c>
      <c r="R1649" s="27">
        <f>IF(L1649="","",IF(L1649&gt;Config!$B$8,"A cair",IF(N(G1649)&gt;=MIN(MAX(1,N(E1649)),MAX(0,INT((Config!$B$8-L1649)/30)+1)),IF(N(G1649)&gt;=MAX(1,N(E1649)),"Conferido","Conferido até aqui"),"A conferir")))</f>
        <v/>
      </c>
      <c r="S1649" s="51">
        <f>IF(R1649="A conferir",(Config!$B$8-L1649)*1000+N(F1649)/1000+ROW()/100000,0)</f>
        <v>0</v>
      </c>
      <c r="T1649" s="51">
        <f>IF(R1649="A conferir",N(N1649),0)</f>
        <v>0</v>
      </c>
      <c r="U1649" s="51">
        <f>IF(L1649="",0,L1649)</f>
        <v>0</v>
      </c>
      <c r="V1649" s="51">
        <f>IF(L1649="",0,MAX(1,N(E1649)))</f>
        <v>0</v>
      </c>
      <c r="W1649" s="51">
        <f>IF(K1649="",0,K1649)</f>
        <v>0</v>
      </c>
    </row>
    <row r="1650">
      <c r="A1650" s="49" t="n"/>
      <c r="B1650" s="41" t="n"/>
      <c r="C1650" s="41" t="n"/>
      <c r="D1650" s="42" t="n"/>
      <c r="E1650" s="42" t="n"/>
      <c r="F1650" s="50" t="n"/>
      <c r="G1650" s="42" t="n"/>
      <c r="H1650" s="30">
        <f>IF(D1650="","",IFERROR(INDEX(Config!$B$12:$B$15,MATCH(IF(AND(D1650="Cartão de crédito",N(E1650)&gt;1),"Cartão de crédito parcelado",D1650),Config!$A$12:$A$15,0)),0)+IF(AND(Config!$B$17="Sim",LEFT(D1650,17)="Cartão de crédito"),Config!$B$18*IFERROR(INDEX(Config!$C$12:$C$15,MATCH(IF(AND(D1650="Cartão de crédito",N(E1650)&gt;1),"Cartão de crédito parcelado",D1650),Config!$A$12:$A$15,0)),0)/30*MAX(1,N(E1650)),0))</f>
        <v/>
      </c>
      <c r="I1650" s="29">
        <f>IF(OR(D1650="",F1650=""),"",ROUND(F1650*H1650,2))</f>
        <v/>
      </c>
      <c r="J1650" s="29">
        <f>IF(I1650="","",F1650-I1650)</f>
        <v/>
      </c>
      <c r="K1650" s="29">
        <f>IF(J1650="","",J1650/MAX(1,N(E1650)))</f>
        <v/>
      </c>
      <c r="L1650" s="37">
        <f>IF(OR(D1650="",A1650=""),"",A1650+IF(AND(Config!$B$17="Sim",LEFT(D1650,17)="Cartão de crédito"),1,IFERROR(INDEX(Config!$C$12:$C$15,MATCH(IF(AND(D1650="Cartão de crédito",N(E1650)&gt;1),"Cartão de crédito parcelado",D1650),Config!$A$12:$A$15,0)),0)))</f>
        <v/>
      </c>
      <c r="M1650" s="37">
        <f>IF(L1650="","",IF(AND(Config!$B$17="Sim",LEFT(D1650,17)="Cartão de crédito"),L1650,L1650+30*(MAX(1,N(E1650))-1)))</f>
        <v/>
      </c>
      <c r="N1650" s="29">
        <f>IF(OR(L1650="",K1650=""),"",K1650*MIN(MAX(1,N(E1650)),MAX(0,INT((Config!$B$8-L1650)/30)+1)))</f>
        <v/>
      </c>
      <c r="O1650" s="29">
        <f>IF(J1650="","",J1650-N(N1650))</f>
        <v/>
      </c>
      <c r="P1650" s="27">
        <f>IF(A1650="","",MONTH(A1650))</f>
        <v/>
      </c>
      <c r="Q1650" s="27">
        <f>IF(A1650="","",YEAR(A1650))</f>
        <v/>
      </c>
      <c r="R1650" s="27">
        <f>IF(L1650="","",IF(L1650&gt;Config!$B$8,"A cair",IF(N(G1650)&gt;=MIN(MAX(1,N(E1650)),MAX(0,INT((Config!$B$8-L1650)/30)+1)),IF(N(G1650)&gt;=MAX(1,N(E1650)),"Conferido","Conferido até aqui"),"A conferir")))</f>
        <v/>
      </c>
      <c r="S1650" s="51">
        <f>IF(R1650="A conferir",(Config!$B$8-L1650)*1000+N(F1650)/1000+ROW()/100000,0)</f>
        <v>0</v>
      </c>
      <c r="T1650" s="51">
        <f>IF(R1650="A conferir",N(N1650),0)</f>
        <v>0</v>
      </c>
      <c r="U1650" s="51">
        <f>IF(L1650="",0,L1650)</f>
        <v>0</v>
      </c>
      <c r="V1650" s="51">
        <f>IF(L1650="",0,MAX(1,N(E1650)))</f>
        <v>0</v>
      </c>
      <c r="W1650" s="51">
        <f>IF(K1650="",0,K1650)</f>
        <v>0</v>
      </c>
    </row>
    <row r="1651">
      <c r="A1651" s="49" t="n"/>
      <c r="B1651" s="41" t="n"/>
      <c r="C1651" s="41" t="n"/>
      <c r="D1651" s="42" t="n"/>
      <c r="E1651" s="42" t="n"/>
      <c r="F1651" s="50" t="n"/>
      <c r="G1651" s="42" t="n"/>
      <c r="H1651" s="30">
        <f>IF(D1651="","",IFERROR(INDEX(Config!$B$12:$B$15,MATCH(IF(AND(D1651="Cartão de crédito",N(E1651)&gt;1),"Cartão de crédito parcelado",D1651),Config!$A$12:$A$15,0)),0)+IF(AND(Config!$B$17="Sim",LEFT(D1651,17)="Cartão de crédito"),Config!$B$18*IFERROR(INDEX(Config!$C$12:$C$15,MATCH(IF(AND(D1651="Cartão de crédito",N(E1651)&gt;1),"Cartão de crédito parcelado",D1651),Config!$A$12:$A$15,0)),0)/30*MAX(1,N(E1651)),0))</f>
        <v/>
      </c>
      <c r="I1651" s="29">
        <f>IF(OR(D1651="",F1651=""),"",ROUND(F1651*H1651,2))</f>
        <v/>
      </c>
      <c r="J1651" s="29">
        <f>IF(I1651="","",F1651-I1651)</f>
        <v/>
      </c>
      <c r="K1651" s="29">
        <f>IF(J1651="","",J1651/MAX(1,N(E1651)))</f>
        <v/>
      </c>
      <c r="L1651" s="37">
        <f>IF(OR(D1651="",A1651=""),"",A1651+IF(AND(Config!$B$17="Sim",LEFT(D1651,17)="Cartão de crédito"),1,IFERROR(INDEX(Config!$C$12:$C$15,MATCH(IF(AND(D1651="Cartão de crédito",N(E1651)&gt;1),"Cartão de crédito parcelado",D1651),Config!$A$12:$A$15,0)),0)))</f>
        <v/>
      </c>
      <c r="M1651" s="37">
        <f>IF(L1651="","",IF(AND(Config!$B$17="Sim",LEFT(D1651,17)="Cartão de crédito"),L1651,L1651+30*(MAX(1,N(E1651))-1)))</f>
        <v/>
      </c>
      <c r="N1651" s="29">
        <f>IF(OR(L1651="",K1651=""),"",K1651*MIN(MAX(1,N(E1651)),MAX(0,INT((Config!$B$8-L1651)/30)+1)))</f>
        <v/>
      </c>
      <c r="O1651" s="29">
        <f>IF(J1651="","",J1651-N(N1651))</f>
        <v/>
      </c>
      <c r="P1651" s="27">
        <f>IF(A1651="","",MONTH(A1651))</f>
        <v/>
      </c>
      <c r="Q1651" s="27">
        <f>IF(A1651="","",YEAR(A1651))</f>
        <v/>
      </c>
      <c r="R1651" s="27">
        <f>IF(L1651="","",IF(L1651&gt;Config!$B$8,"A cair",IF(N(G1651)&gt;=MIN(MAX(1,N(E1651)),MAX(0,INT((Config!$B$8-L1651)/30)+1)),IF(N(G1651)&gt;=MAX(1,N(E1651)),"Conferido","Conferido até aqui"),"A conferir")))</f>
        <v/>
      </c>
      <c r="S1651" s="51">
        <f>IF(R1651="A conferir",(Config!$B$8-L1651)*1000+N(F1651)/1000+ROW()/100000,0)</f>
        <v>0</v>
      </c>
      <c r="T1651" s="51">
        <f>IF(R1651="A conferir",N(N1651),0)</f>
        <v>0</v>
      </c>
      <c r="U1651" s="51">
        <f>IF(L1651="",0,L1651)</f>
        <v>0</v>
      </c>
      <c r="V1651" s="51">
        <f>IF(L1651="",0,MAX(1,N(E1651)))</f>
        <v>0</v>
      </c>
      <c r="W1651" s="51">
        <f>IF(K1651="",0,K1651)</f>
        <v>0</v>
      </c>
    </row>
    <row r="1652">
      <c r="A1652" s="49" t="n"/>
      <c r="B1652" s="41" t="n"/>
      <c r="C1652" s="41" t="n"/>
      <c r="D1652" s="42" t="n"/>
      <c r="E1652" s="42" t="n"/>
      <c r="F1652" s="50" t="n"/>
      <c r="G1652" s="42" t="n"/>
      <c r="H1652" s="30">
        <f>IF(D1652="","",IFERROR(INDEX(Config!$B$12:$B$15,MATCH(IF(AND(D1652="Cartão de crédito",N(E1652)&gt;1),"Cartão de crédito parcelado",D1652),Config!$A$12:$A$15,0)),0)+IF(AND(Config!$B$17="Sim",LEFT(D1652,17)="Cartão de crédito"),Config!$B$18*IFERROR(INDEX(Config!$C$12:$C$15,MATCH(IF(AND(D1652="Cartão de crédito",N(E1652)&gt;1),"Cartão de crédito parcelado",D1652),Config!$A$12:$A$15,0)),0)/30*MAX(1,N(E1652)),0))</f>
        <v/>
      </c>
      <c r="I1652" s="29">
        <f>IF(OR(D1652="",F1652=""),"",ROUND(F1652*H1652,2))</f>
        <v/>
      </c>
      <c r="J1652" s="29">
        <f>IF(I1652="","",F1652-I1652)</f>
        <v/>
      </c>
      <c r="K1652" s="29">
        <f>IF(J1652="","",J1652/MAX(1,N(E1652)))</f>
        <v/>
      </c>
      <c r="L1652" s="37">
        <f>IF(OR(D1652="",A1652=""),"",A1652+IF(AND(Config!$B$17="Sim",LEFT(D1652,17)="Cartão de crédito"),1,IFERROR(INDEX(Config!$C$12:$C$15,MATCH(IF(AND(D1652="Cartão de crédito",N(E1652)&gt;1),"Cartão de crédito parcelado",D1652),Config!$A$12:$A$15,0)),0)))</f>
        <v/>
      </c>
      <c r="M1652" s="37">
        <f>IF(L1652="","",IF(AND(Config!$B$17="Sim",LEFT(D1652,17)="Cartão de crédito"),L1652,L1652+30*(MAX(1,N(E1652))-1)))</f>
        <v/>
      </c>
      <c r="N1652" s="29">
        <f>IF(OR(L1652="",K1652=""),"",K1652*MIN(MAX(1,N(E1652)),MAX(0,INT((Config!$B$8-L1652)/30)+1)))</f>
        <v/>
      </c>
      <c r="O1652" s="29">
        <f>IF(J1652="","",J1652-N(N1652))</f>
        <v/>
      </c>
      <c r="P1652" s="27">
        <f>IF(A1652="","",MONTH(A1652))</f>
        <v/>
      </c>
      <c r="Q1652" s="27">
        <f>IF(A1652="","",YEAR(A1652))</f>
        <v/>
      </c>
      <c r="R1652" s="27">
        <f>IF(L1652="","",IF(L1652&gt;Config!$B$8,"A cair",IF(N(G1652)&gt;=MIN(MAX(1,N(E1652)),MAX(0,INT((Config!$B$8-L1652)/30)+1)),IF(N(G1652)&gt;=MAX(1,N(E1652)),"Conferido","Conferido até aqui"),"A conferir")))</f>
        <v/>
      </c>
      <c r="S1652" s="51">
        <f>IF(R1652="A conferir",(Config!$B$8-L1652)*1000+N(F1652)/1000+ROW()/100000,0)</f>
        <v>0</v>
      </c>
      <c r="T1652" s="51">
        <f>IF(R1652="A conferir",N(N1652),0)</f>
        <v>0</v>
      </c>
      <c r="U1652" s="51">
        <f>IF(L1652="",0,L1652)</f>
        <v>0</v>
      </c>
      <c r="V1652" s="51">
        <f>IF(L1652="",0,MAX(1,N(E1652)))</f>
        <v>0</v>
      </c>
      <c r="W1652" s="51">
        <f>IF(K1652="",0,K1652)</f>
        <v>0</v>
      </c>
    </row>
    <row r="1653">
      <c r="A1653" s="49" t="n"/>
      <c r="B1653" s="41" t="n"/>
      <c r="C1653" s="41" t="n"/>
      <c r="D1653" s="42" t="n"/>
      <c r="E1653" s="42" t="n"/>
      <c r="F1653" s="50" t="n"/>
      <c r="G1653" s="42" t="n"/>
      <c r="H1653" s="30">
        <f>IF(D1653="","",IFERROR(INDEX(Config!$B$12:$B$15,MATCH(IF(AND(D1653="Cartão de crédito",N(E1653)&gt;1),"Cartão de crédito parcelado",D1653),Config!$A$12:$A$15,0)),0)+IF(AND(Config!$B$17="Sim",LEFT(D1653,17)="Cartão de crédito"),Config!$B$18*IFERROR(INDEX(Config!$C$12:$C$15,MATCH(IF(AND(D1653="Cartão de crédito",N(E1653)&gt;1),"Cartão de crédito parcelado",D1653),Config!$A$12:$A$15,0)),0)/30*MAX(1,N(E1653)),0))</f>
        <v/>
      </c>
      <c r="I1653" s="29">
        <f>IF(OR(D1653="",F1653=""),"",ROUND(F1653*H1653,2))</f>
        <v/>
      </c>
      <c r="J1653" s="29">
        <f>IF(I1653="","",F1653-I1653)</f>
        <v/>
      </c>
      <c r="K1653" s="29">
        <f>IF(J1653="","",J1653/MAX(1,N(E1653)))</f>
        <v/>
      </c>
      <c r="L1653" s="37">
        <f>IF(OR(D1653="",A1653=""),"",A1653+IF(AND(Config!$B$17="Sim",LEFT(D1653,17)="Cartão de crédito"),1,IFERROR(INDEX(Config!$C$12:$C$15,MATCH(IF(AND(D1653="Cartão de crédito",N(E1653)&gt;1),"Cartão de crédito parcelado",D1653),Config!$A$12:$A$15,0)),0)))</f>
        <v/>
      </c>
      <c r="M1653" s="37">
        <f>IF(L1653="","",IF(AND(Config!$B$17="Sim",LEFT(D1653,17)="Cartão de crédito"),L1653,L1653+30*(MAX(1,N(E1653))-1)))</f>
        <v/>
      </c>
      <c r="N1653" s="29">
        <f>IF(OR(L1653="",K1653=""),"",K1653*MIN(MAX(1,N(E1653)),MAX(0,INT((Config!$B$8-L1653)/30)+1)))</f>
        <v/>
      </c>
      <c r="O1653" s="29">
        <f>IF(J1653="","",J1653-N(N1653))</f>
        <v/>
      </c>
      <c r="P1653" s="27">
        <f>IF(A1653="","",MONTH(A1653))</f>
        <v/>
      </c>
      <c r="Q1653" s="27">
        <f>IF(A1653="","",YEAR(A1653))</f>
        <v/>
      </c>
      <c r="R1653" s="27">
        <f>IF(L1653="","",IF(L1653&gt;Config!$B$8,"A cair",IF(N(G1653)&gt;=MIN(MAX(1,N(E1653)),MAX(0,INT((Config!$B$8-L1653)/30)+1)),IF(N(G1653)&gt;=MAX(1,N(E1653)),"Conferido","Conferido até aqui"),"A conferir")))</f>
        <v/>
      </c>
      <c r="S1653" s="51">
        <f>IF(R1653="A conferir",(Config!$B$8-L1653)*1000+N(F1653)/1000+ROW()/100000,0)</f>
        <v>0</v>
      </c>
      <c r="T1653" s="51">
        <f>IF(R1653="A conferir",N(N1653),0)</f>
        <v>0</v>
      </c>
      <c r="U1653" s="51">
        <f>IF(L1653="",0,L1653)</f>
        <v>0</v>
      </c>
      <c r="V1653" s="51">
        <f>IF(L1653="",0,MAX(1,N(E1653)))</f>
        <v>0</v>
      </c>
      <c r="W1653" s="51">
        <f>IF(K1653="",0,K1653)</f>
        <v>0</v>
      </c>
    </row>
    <row r="1654">
      <c r="A1654" s="49" t="n"/>
      <c r="B1654" s="41" t="n"/>
      <c r="C1654" s="41" t="n"/>
      <c r="D1654" s="42" t="n"/>
      <c r="E1654" s="42" t="n"/>
      <c r="F1654" s="50" t="n"/>
      <c r="G1654" s="42" t="n"/>
      <c r="H1654" s="30">
        <f>IF(D1654="","",IFERROR(INDEX(Config!$B$12:$B$15,MATCH(IF(AND(D1654="Cartão de crédito",N(E1654)&gt;1),"Cartão de crédito parcelado",D1654),Config!$A$12:$A$15,0)),0)+IF(AND(Config!$B$17="Sim",LEFT(D1654,17)="Cartão de crédito"),Config!$B$18*IFERROR(INDEX(Config!$C$12:$C$15,MATCH(IF(AND(D1654="Cartão de crédito",N(E1654)&gt;1),"Cartão de crédito parcelado",D1654),Config!$A$12:$A$15,0)),0)/30*MAX(1,N(E1654)),0))</f>
        <v/>
      </c>
      <c r="I1654" s="29">
        <f>IF(OR(D1654="",F1654=""),"",ROUND(F1654*H1654,2))</f>
        <v/>
      </c>
      <c r="J1654" s="29">
        <f>IF(I1654="","",F1654-I1654)</f>
        <v/>
      </c>
      <c r="K1654" s="29">
        <f>IF(J1654="","",J1654/MAX(1,N(E1654)))</f>
        <v/>
      </c>
      <c r="L1654" s="37">
        <f>IF(OR(D1654="",A1654=""),"",A1654+IF(AND(Config!$B$17="Sim",LEFT(D1654,17)="Cartão de crédito"),1,IFERROR(INDEX(Config!$C$12:$C$15,MATCH(IF(AND(D1654="Cartão de crédito",N(E1654)&gt;1),"Cartão de crédito parcelado",D1654),Config!$A$12:$A$15,0)),0)))</f>
        <v/>
      </c>
      <c r="M1654" s="37">
        <f>IF(L1654="","",IF(AND(Config!$B$17="Sim",LEFT(D1654,17)="Cartão de crédito"),L1654,L1654+30*(MAX(1,N(E1654))-1)))</f>
        <v/>
      </c>
      <c r="N1654" s="29">
        <f>IF(OR(L1654="",K1654=""),"",K1654*MIN(MAX(1,N(E1654)),MAX(0,INT((Config!$B$8-L1654)/30)+1)))</f>
        <v/>
      </c>
      <c r="O1654" s="29">
        <f>IF(J1654="","",J1654-N(N1654))</f>
        <v/>
      </c>
      <c r="P1654" s="27">
        <f>IF(A1654="","",MONTH(A1654))</f>
        <v/>
      </c>
      <c r="Q1654" s="27">
        <f>IF(A1654="","",YEAR(A1654))</f>
        <v/>
      </c>
      <c r="R1654" s="27">
        <f>IF(L1654="","",IF(L1654&gt;Config!$B$8,"A cair",IF(N(G1654)&gt;=MIN(MAX(1,N(E1654)),MAX(0,INT((Config!$B$8-L1654)/30)+1)),IF(N(G1654)&gt;=MAX(1,N(E1654)),"Conferido","Conferido até aqui"),"A conferir")))</f>
        <v/>
      </c>
      <c r="S1654" s="51">
        <f>IF(R1654="A conferir",(Config!$B$8-L1654)*1000+N(F1654)/1000+ROW()/100000,0)</f>
        <v>0</v>
      </c>
      <c r="T1654" s="51">
        <f>IF(R1654="A conferir",N(N1654),0)</f>
        <v>0</v>
      </c>
      <c r="U1654" s="51">
        <f>IF(L1654="",0,L1654)</f>
        <v>0</v>
      </c>
      <c r="V1654" s="51">
        <f>IF(L1654="",0,MAX(1,N(E1654)))</f>
        <v>0</v>
      </c>
      <c r="W1654" s="51">
        <f>IF(K1654="",0,K1654)</f>
        <v>0</v>
      </c>
    </row>
    <row r="1655">
      <c r="A1655" s="49" t="n"/>
      <c r="B1655" s="41" t="n"/>
      <c r="C1655" s="41" t="n"/>
      <c r="D1655" s="42" t="n"/>
      <c r="E1655" s="42" t="n"/>
      <c r="F1655" s="50" t="n"/>
      <c r="G1655" s="42" t="n"/>
      <c r="H1655" s="30">
        <f>IF(D1655="","",IFERROR(INDEX(Config!$B$12:$B$15,MATCH(IF(AND(D1655="Cartão de crédito",N(E1655)&gt;1),"Cartão de crédito parcelado",D1655),Config!$A$12:$A$15,0)),0)+IF(AND(Config!$B$17="Sim",LEFT(D1655,17)="Cartão de crédito"),Config!$B$18*IFERROR(INDEX(Config!$C$12:$C$15,MATCH(IF(AND(D1655="Cartão de crédito",N(E1655)&gt;1),"Cartão de crédito parcelado",D1655),Config!$A$12:$A$15,0)),0)/30*MAX(1,N(E1655)),0))</f>
        <v/>
      </c>
      <c r="I1655" s="29">
        <f>IF(OR(D1655="",F1655=""),"",ROUND(F1655*H1655,2))</f>
        <v/>
      </c>
      <c r="J1655" s="29">
        <f>IF(I1655="","",F1655-I1655)</f>
        <v/>
      </c>
      <c r="K1655" s="29">
        <f>IF(J1655="","",J1655/MAX(1,N(E1655)))</f>
        <v/>
      </c>
      <c r="L1655" s="37">
        <f>IF(OR(D1655="",A1655=""),"",A1655+IF(AND(Config!$B$17="Sim",LEFT(D1655,17)="Cartão de crédito"),1,IFERROR(INDEX(Config!$C$12:$C$15,MATCH(IF(AND(D1655="Cartão de crédito",N(E1655)&gt;1),"Cartão de crédito parcelado",D1655),Config!$A$12:$A$15,0)),0)))</f>
        <v/>
      </c>
      <c r="M1655" s="37">
        <f>IF(L1655="","",IF(AND(Config!$B$17="Sim",LEFT(D1655,17)="Cartão de crédito"),L1655,L1655+30*(MAX(1,N(E1655))-1)))</f>
        <v/>
      </c>
      <c r="N1655" s="29">
        <f>IF(OR(L1655="",K1655=""),"",K1655*MIN(MAX(1,N(E1655)),MAX(0,INT((Config!$B$8-L1655)/30)+1)))</f>
        <v/>
      </c>
      <c r="O1655" s="29">
        <f>IF(J1655="","",J1655-N(N1655))</f>
        <v/>
      </c>
      <c r="P1655" s="27">
        <f>IF(A1655="","",MONTH(A1655))</f>
        <v/>
      </c>
      <c r="Q1655" s="27">
        <f>IF(A1655="","",YEAR(A1655))</f>
        <v/>
      </c>
      <c r="R1655" s="27">
        <f>IF(L1655="","",IF(L1655&gt;Config!$B$8,"A cair",IF(N(G1655)&gt;=MIN(MAX(1,N(E1655)),MAX(0,INT((Config!$B$8-L1655)/30)+1)),IF(N(G1655)&gt;=MAX(1,N(E1655)),"Conferido","Conferido até aqui"),"A conferir")))</f>
        <v/>
      </c>
      <c r="S1655" s="51">
        <f>IF(R1655="A conferir",(Config!$B$8-L1655)*1000+N(F1655)/1000+ROW()/100000,0)</f>
        <v>0</v>
      </c>
      <c r="T1655" s="51">
        <f>IF(R1655="A conferir",N(N1655),0)</f>
        <v>0</v>
      </c>
      <c r="U1655" s="51">
        <f>IF(L1655="",0,L1655)</f>
        <v>0</v>
      </c>
      <c r="V1655" s="51">
        <f>IF(L1655="",0,MAX(1,N(E1655)))</f>
        <v>0</v>
      </c>
      <c r="W1655" s="51">
        <f>IF(K1655="",0,K1655)</f>
        <v>0</v>
      </c>
    </row>
    <row r="1656">
      <c r="A1656" s="49" t="n"/>
      <c r="B1656" s="41" t="n"/>
      <c r="C1656" s="41" t="n"/>
      <c r="D1656" s="42" t="n"/>
      <c r="E1656" s="42" t="n"/>
      <c r="F1656" s="50" t="n"/>
      <c r="G1656" s="42" t="n"/>
      <c r="H1656" s="30">
        <f>IF(D1656="","",IFERROR(INDEX(Config!$B$12:$B$15,MATCH(IF(AND(D1656="Cartão de crédito",N(E1656)&gt;1),"Cartão de crédito parcelado",D1656),Config!$A$12:$A$15,0)),0)+IF(AND(Config!$B$17="Sim",LEFT(D1656,17)="Cartão de crédito"),Config!$B$18*IFERROR(INDEX(Config!$C$12:$C$15,MATCH(IF(AND(D1656="Cartão de crédito",N(E1656)&gt;1),"Cartão de crédito parcelado",D1656),Config!$A$12:$A$15,0)),0)/30*MAX(1,N(E1656)),0))</f>
        <v/>
      </c>
      <c r="I1656" s="29">
        <f>IF(OR(D1656="",F1656=""),"",ROUND(F1656*H1656,2))</f>
        <v/>
      </c>
      <c r="J1656" s="29">
        <f>IF(I1656="","",F1656-I1656)</f>
        <v/>
      </c>
      <c r="K1656" s="29">
        <f>IF(J1656="","",J1656/MAX(1,N(E1656)))</f>
        <v/>
      </c>
      <c r="L1656" s="37">
        <f>IF(OR(D1656="",A1656=""),"",A1656+IF(AND(Config!$B$17="Sim",LEFT(D1656,17)="Cartão de crédito"),1,IFERROR(INDEX(Config!$C$12:$C$15,MATCH(IF(AND(D1656="Cartão de crédito",N(E1656)&gt;1),"Cartão de crédito parcelado",D1656),Config!$A$12:$A$15,0)),0)))</f>
        <v/>
      </c>
      <c r="M1656" s="37">
        <f>IF(L1656="","",IF(AND(Config!$B$17="Sim",LEFT(D1656,17)="Cartão de crédito"),L1656,L1656+30*(MAX(1,N(E1656))-1)))</f>
        <v/>
      </c>
      <c r="N1656" s="29">
        <f>IF(OR(L1656="",K1656=""),"",K1656*MIN(MAX(1,N(E1656)),MAX(0,INT((Config!$B$8-L1656)/30)+1)))</f>
        <v/>
      </c>
      <c r="O1656" s="29">
        <f>IF(J1656="","",J1656-N(N1656))</f>
        <v/>
      </c>
      <c r="P1656" s="27">
        <f>IF(A1656="","",MONTH(A1656))</f>
        <v/>
      </c>
      <c r="Q1656" s="27">
        <f>IF(A1656="","",YEAR(A1656))</f>
        <v/>
      </c>
      <c r="R1656" s="27">
        <f>IF(L1656="","",IF(L1656&gt;Config!$B$8,"A cair",IF(N(G1656)&gt;=MIN(MAX(1,N(E1656)),MAX(0,INT((Config!$B$8-L1656)/30)+1)),IF(N(G1656)&gt;=MAX(1,N(E1656)),"Conferido","Conferido até aqui"),"A conferir")))</f>
        <v/>
      </c>
      <c r="S1656" s="51">
        <f>IF(R1656="A conferir",(Config!$B$8-L1656)*1000+N(F1656)/1000+ROW()/100000,0)</f>
        <v>0</v>
      </c>
      <c r="T1656" s="51">
        <f>IF(R1656="A conferir",N(N1656),0)</f>
        <v>0</v>
      </c>
      <c r="U1656" s="51">
        <f>IF(L1656="",0,L1656)</f>
        <v>0</v>
      </c>
      <c r="V1656" s="51">
        <f>IF(L1656="",0,MAX(1,N(E1656)))</f>
        <v>0</v>
      </c>
      <c r="W1656" s="51">
        <f>IF(K1656="",0,K1656)</f>
        <v>0</v>
      </c>
    </row>
    <row r="1657">
      <c r="A1657" s="49" t="n"/>
      <c r="B1657" s="41" t="n"/>
      <c r="C1657" s="41" t="n"/>
      <c r="D1657" s="42" t="n"/>
      <c r="E1657" s="42" t="n"/>
      <c r="F1657" s="50" t="n"/>
      <c r="G1657" s="42" t="n"/>
      <c r="H1657" s="30">
        <f>IF(D1657="","",IFERROR(INDEX(Config!$B$12:$B$15,MATCH(IF(AND(D1657="Cartão de crédito",N(E1657)&gt;1),"Cartão de crédito parcelado",D1657),Config!$A$12:$A$15,0)),0)+IF(AND(Config!$B$17="Sim",LEFT(D1657,17)="Cartão de crédito"),Config!$B$18*IFERROR(INDEX(Config!$C$12:$C$15,MATCH(IF(AND(D1657="Cartão de crédito",N(E1657)&gt;1),"Cartão de crédito parcelado",D1657),Config!$A$12:$A$15,0)),0)/30*MAX(1,N(E1657)),0))</f>
        <v/>
      </c>
      <c r="I1657" s="29">
        <f>IF(OR(D1657="",F1657=""),"",ROUND(F1657*H1657,2))</f>
        <v/>
      </c>
      <c r="J1657" s="29">
        <f>IF(I1657="","",F1657-I1657)</f>
        <v/>
      </c>
      <c r="K1657" s="29">
        <f>IF(J1657="","",J1657/MAX(1,N(E1657)))</f>
        <v/>
      </c>
      <c r="L1657" s="37">
        <f>IF(OR(D1657="",A1657=""),"",A1657+IF(AND(Config!$B$17="Sim",LEFT(D1657,17)="Cartão de crédito"),1,IFERROR(INDEX(Config!$C$12:$C$15,MATCH(IF(AND(D1657="Cartão de crédito",N(E1657)&gt;1),"Cartão de crédito parcelado",D1657),Config!$A$12:$A$15,0)),0)))</f>
        <v/>
      </c>
      <c r="M1657" s="37">
        <f>IF(L1657="","",IF(AND(Config!$B$17="Sim",LEFT(D1657,17)="Cartão de crédito"),L1657,L1657+30*(MAX(1,N(E1657))-1)))</f>
        <v/>
      </c>
      <c r="N1657" s="29">
        <f>IF(OR(L1657="",K1657=""),"",K1657*MIN(MAX(1,N(E1657)),MAX(0,INT((Config!$B$8-L1657)/30)+1)))</f>
        <v/>
      </c>
      <c r="O1657" s="29">
        <f>IF(J1657="","",J1657-N(N1657))</f>
        <v/>
      </c>
      <c r="P1657" s="27">
        <f>IF(A1657="","",MONTH(A1657))</f>
        <v/>
      </c>
      <c r="Q1657" s="27">
        <f>IF(A1657="","",YEAR(A1657))</f>
        <v/>
      </c>
      <c r="R1657" s="27">
        <f>IF(L1657="","",IF(L1657&gt;Config!$B$8,"A cair",IF(N(G1657)&gt;=MIN(MAX(1,N(E1657)),MAX(0,INT((Config!$B$8-L1657)/30)+1)),IF(N(G1657)&gt;=MAX(1,N(E1657)),"Conferido","Conferido até aqui"),"A conferir")))</f>
        <v/>
      </c>
      <c r="S1657" s="51">
        <f>IF(R1657="A conferir",(Config!$B$8-L1657)*1000+N(F1657)/1000+ROW()/100000,0)</f>
        <v>0</v>
      </c>
      <c r="T1657" s="51">
        <f>IF(R1657="A conferir",N(N1657),0)</f>
        <v>0</v>
      </c>
      <c r="U1657" s="51">
        <f>IF(L1657="",0,L1657)</f>
        <v>0</v>
      </c>
      <c r="V1657" s="51">
        <f>IF(L1657="",0,MAX(1,N(E1657)))</f>
        <v>0</v>
      </c>
      <c r="W1657" s="51">
        <f>IF(K1657="",0,K1657)</f>
        <v>0</v>
      </c>
    </row>
    <row r="1658">
      <c r="A1658" s="49" t="n"/>
      <c r="B1658" s="41" t="n"/>
      <c r="C1658" s="41" t="n"/>
      <c r="D1658" s="42" t="n"/>
      <c r="E1658" s="42" t="n"/>
      <c r="F1658" s="50" t="n"/>
      <c r="G1658" s="42" t="n"/>
      <c r="H1658" s="30">
        <f>IF(D1658="","",IFERROR(INDEX(Config!$B$12:$B$15,MATCH(IF(AND(D1658="Cartão de crédito",N(E1658)&gt;1),"Cartão de crédito parcelado",D1658),Config!$A$12:$A$15,0)),0)+IF(AND(Config!$B$17="Sim",LEFT(D1658,17)="Cartão de crédito"),Config!$B$18*IFERROR(INDEX(Config!$C$12:$C$15,MATCH(IF(AND(D1658="Cartão de crédito",N(E1658)&gt;1),"Cartão de crédito parcelado",D1658),Config!$A$12:$A$15,0)),0)/30*MAX(1,N(E1658)),0))</f>
        <v/>
      </c>
      <c r="I1658" s="29">
        <f>IF(OR(D1658="",F1658=""),"",ROUND(F1658*H1658,2))</f>
        <v/>
      </c>
      <c r="J1658" s="29">
        <f>IF(I1658="","",F1658-I1658)</f>
        <v/>
      </c>
      <c r="K1658" s="29">
        <f>IF(J1658="","",J1658/MAX(1,N(E1658)))</f>
        <v/>
      </c>
      <c r="L1658" s="37">
        <f>IF(OR(D1658="",A1658=""),"",A1658+IF(AND(Config!$B$17="Sim",LEFT(D1658,17)="Cartão de crédito"),1,IFERROR(INDEX(Config!$C$12:$C$15,MATCH(IF(AND(D1658="Cartão de crédito",N(E1658)&gt;1),"Cartão de crédito parcelado",D1658),Config!$A$12:$A$15,0)),0)))</f>
        <v/>
      </c>
      <c r="M1658" s="37">
        <f>IF(L1658="","",IF(AND(Config!$B$17="Sim",LEFT(D1658,17)="Cartão de crédito"),L1658,L1658+30*(MAX(1,N(E1658))-1)))</f>
        <v/>
      </c>
      <c r="N1658" s="29">
        <f>IF(OR(L1658="",K1658=""),"",K1658*MIN(MAX(1,N(E1658)),MAX(0,INT((Config!$B$8-L1658)/30)+1)))</f>
        <v/>
      </c>
      <c r="O1658" s="29">
        <f>IF(J1658="","",J1658-N(N1658))</f>
        <v/>
      </c>
      <c r="P1658" s="27">
        <f>IF(A1658="","",MONTH(A1658))</f>
        <v/>
      </c>
      <c r="Q1658" s="27">
        <f>IF(A1658="","",YEAR(A1658))</f>
        <v/>
      </c>
      <c r="R1658" s="27">
        <f>IF(L1658="","",IF(L1658&gt;Config!$B$8,"A cair",IF(N(G1658)&gt;=MIN(MAX(1,N(E1658)),MAX(0,INT((Config!$B$8-L1658)/30)+1)),IF(N(G1658)&gt;=MAX(1,N(E1658)),"Conferido","Conferido até aqui"),"A conferir")))</f>
        <v/>
      </c>
      <c r="S1658" s="51">
        <f>IF(R1658="A conferir",(Config!$B$8-L1658)*1000+N(F1658)/1000+ROW()/100000,0)</f>
        <v>0</v>
      </c>
      <c r="T1658" s="51">
        <f>IF(R1658="A conferir",N(N1658),0)</f>
        <v>0</v>
      </c>
      <c r="U1658" s="51">
        <f>IF(L1658="",0,L1658)</f>
        <v>0</v>
      </c>
      <c r="V1658" s="51">
        <f>IF(L1658="",0,MAX(1,N(E1658)))</f>
        <v>0</v>
      </c>
      <c r="W1658" s="51">
        <f>IF(K1658="",0,K1658)</f>
        <v>0</v>
      </c>
    </row>
    <row r="1659">
      <c r="A1659" s="49" t="n"/>
      <c r="B1659" s="41" t="n"/>
      <c r="C1659" s="41" t="n"/>
      <c r="D1659" s="42" t="n"/>
      <c r="E1659" s="42" t="n"/>
      <c r="F1659" s="50" t="n"/>
      <c r="G1659" s="42" t="n"/>
      <c r="H1659" s="30">
        <f>IF(D1659="","",IFERROR(INDEX(Config!$B$12:$B$15,MATCH(IF(AND(D1659="Cartão de crédito",N(E1659)&gt;1),"Cartão de crédito parcelado",D1659),Config!$A$12:$A$15,0)),0)+IF(AND(Config!$B$17="Sim",LEFT(D1659,17)="Cartão de crédito"),Config!$B$18*IFERROR(INDEX(Config!$C$12:$C$15,MATCH(IF(AND(D1659="Cartão de crédito",N(E1659)&gt;1),"Cartão de crédito parcelado",D1659),Config!$A$12:$A$15,0)),0)/30*MAX(1,N(E1659)),0))</f>
        <v/>
      </c>
      <c r="I1659" s="29">
        <f>IF(OR(D1659="",F1659=""),"",ROUND(F1659*H1659,2))</f>
        <v/>
      </c>
      <c r="J1659" s="29">
        <f>IF(I1659="","",F1659-I1659)</f>
        <v/>
      </c>
      <c r="K1659" s="29">
        <f>IF(J1659="","",J1659/MAX(1,N(E1659)))</f>
        <v/>
      </c>
      <c r="L1659" s="37">
        <f>IF(OR(D1659="",A1659=""),"",A1659+IF(AND(Config!$B$17="Sim",LEFT(D1659,17)="Cartão de crédito"),1,IFERROR(INDEX(Config!$C$12:$C$15,MATCH(IF(AND(D1659="Cartão de crédito",N(E1659)&gt;1),"Cartão de crédito parcelado",D1659),Config!$A$12:$A$15,0)),0)))</f>
        <v/>
      </c>
      <c r="M1659" s="37">
        <f>IF(L1659="","",IF(AND(Config!$B$17="Sim",LEFT(D1659,17)="Cartão de crédito"),L1659,L1659+30*(MAX(1,N(E1659))-1)))</f>
        <v/>
      </c>
      <c r="N1659" s="29">
        <f>IF(OR(L1659="",K1659=""),"",K1659*MIN(MAX(1,N(E1659)),MAX(0,INT((Config!$B$8-L1659)/30)+1)))</f>
        <v/>
      </c>
      <c r="O1659" s="29">
        <f>IF(J1659="","",J1659-N(N1659))</f>
        <v/>
      </c>
      <c r="P1659" s="27">
        <f>IF(A1659="","",MONTH(A1659))</f>
        <v/>
      </c>
      <c r="Q1659" s="27">
        <f>IF(A1659="","",YEAR(A1659))</f>
        <v/>
      </c>
      <c r="R1659" s="27">
        <f>IF(L1659="","",IF(L1659&gt;Config!$B$8,"A cair",IF(N(G1659)&gt;=MIN(MAX(1,N(E1659)),MAX(0,INT((Config!$B$8-L1659)/30)+1)),IF(N(G1659)&gt;=MAX(1,N(E1659)),"Conferido","Conferido até aqui"),"A conferir")))</f>
        <v/>
      </c>
      <c r="S1659" s="51">
        <f>IF(R1659="A conferir",(Config!$B$8-L1659)*1000+N(F1659)/1000+ROW()/100000,0)</f>
        <v>0</v>
      </c>
      <c r="T1659" s="51">
        <f>IF(R1659="A conferir",N(N1659),0)</f>
        <v>0</v>
      </c>
      <c r="U1659" s="51">
        <f>IF(L1659="",0,L1659)</f>
        <v>0</v>
      </c>
      <c r="V1659" s="51">
        <f>IF(L1659="",0,MAX(1,N(E1659)))</f>
        <v>0</v>
      </c>
      <c r="W1659" s="51">
        <f>IF(K1659="",0,K1659)</f>
        <v>0</v>
      </c>
    </row>
    <row r="1660">
      <c r="A1660" s="49" t="n"/>
      <c r="B1660" s="41" t="n"/>
      <c r="C1660" s="41" t="n"/>
      <c r="D1660" s="42" t="n"/>
      <c r="E1660" s="42" t="n"/>
      <c r="F1660" s="50" t="n"/>
      <c r="G1660" s="42" t="n"/>
      <c r="H1660" s="30">
        <f>IF(D1660="","",IFERROR(INDEX(Config!$B$12:$B$15,MATCH(IF(AND(D1660="Cartão de crédito",N(E1660)&gt;1),"Cartão de crédito parcelado",D1660),Config!$A$12:$A$15,0)),0)+IF(AND(Config!$B$17="Sim",LEFT(D1660,17)="Cartão de crédito"),Config!$B$18*IFERROR(INDEX(Config!$C$12:$C$15,MATCH(IF(AND(D1660="Cartão de crédito",N(E1660)&gt;1),"Cartão de crédito parcelado",D1660),Config!$A$12:$A$15,0)),0)/30*MAX(1,N(E1660)),0))</f>
        <v/>
      </c>
      <c r="I1660" s="29">
        <f>IF(OR(D1660="",F1660=""),"",ROUND(F1660*H1660,2))</f>
        <v/>
      </c>
      <c r="J1660" s="29">
        <f>IF(I1660="","",F1660-I1660)</f>
        <v/>
      </c>
      <c r="K1660" s="29">
        <f>IF(J1660="","",J1660/MAX(1,N(E1660)))</f>
        <v/>
      </c>
      <c r="L1660" s="37">
        <f>IF(OR(D1660="",A1660=""),"",A1660+IF(AND(Config!$B$17="Sim",LEFT(D1660,17)="Cartão de crédito"),1,IFERROR(INDEX(Config!$C$12:$C$15,MATCH(IF(AND(D1660="Cartão de crédito",N(E1660)&gt;1),"Cartão de crédito parcelado",D1660),Config!$A$12:$A$15,0)),0)))</f>
        <v/>
      </c>
      <c r="M1660" s="37">
        <f>IF(L1660="","",IF(AND(Config!$B$17="Sim",LEFT(D1660,17)="Cartão de crédito"),L1660,L1660+30*(MAX(1,N(E1660))-1)))</f>
        <v/>
      </c>
      <c r="N1660" s="29">
        <f>IF(OR(L1660="",K1660=""),"",K1660*MIN(MAX(1,N(E1660)),MAX(0,INT((Config!$B$8-L1660)/30)+1)))</f>
        <v/>
      </c>
      <c r="O1660" s="29">
        <f>IF(J1660="","",J1660-N(N1660))</f>
        <v/>
      </c>
      <c r="P1660" s="27">
        <f>IF(A1660="","",MONTH(A1660))</f>
        <v/>
      </c>
      <c r="Q1660" s="27">
        <f>IF(A1660="","",YEAR(A1660))</f>
        <v/>
      </c>
      <c r="R1660" s="27">
        <f>IF(L1660="","",IF(L1660&gt;Config!$B$8,"A cair",IF(N(G1660)&gt;=MIN(MAX(1,N(E1660)),MAX(0,INT((Config!$B$8-L1660)/30)+1)),IF(N(G1660)&gt;=MAX(1,N(E1660)),"Conferido","Conferido até aqui"),"A conferir")))</f>
        <v/>
      </c>
      <c r="S1660" s="51">
        <f>IF(R1660="A conferir",(Config!$B$8-L1660)*1000+N(F1660)/1000+ROW()/100000,0)</f>
        <v>0</v>
      </c>
      <c r="T1660" s="51">
        <f>IF(R1660="A conferir",N(N1660),0)</f>
        <v>0</v>
      </c>
      <c r="U1660" s="51">
        <f>IF(L1660="",0,L1660)</f>
        <v>0</v>
      </c>
      <c r="V1660" s="51">
        <f>IF(L1660="",0,MAX(1,N(E1660)))</f>
        <v>0</v>
      </c>
      <c r="W1660" s="51">
        <f>IF(K1660="",0,K1660)</f>
        <v>0</v>
      </c>
    </row>
    <row r="1661">
      <c r="A1661" s="49" t="n"/>
      <c r="B1661" s="41" t="n"/>
      <c r="C1661" s="41" t="n"/>
      <c r="D1661" s="42" t="n"/>
      <c r="E1661" s="42" t="n"/>
      <c r="F1661" s="50" t="n"/>
      <c r="G1661" s="42" t="n"/>
      <c r="H1661" s="30">
        <f>IF(D1661="","",IFERROR(INDEX(Config!$B$12:$B$15,MATCH(IF(AND(D1661="Cartão de crédito",N(E1661)&gt;1),"Cartão de crédito parcelado",D1661),Config!$A$12:$A$15,0)),0)+IF(AND(Config!$B$17="Sim",LEFT(D1661,17)="Cartão de crédito"),Config!$B$18*IFERROR(INDEX(Config!$C$12:$C$15,MATCH(IF(AND(D1661="Cartão de crédito",N(E1661)&gt;1),"Cartão de crédito parcelado",D1661),Config!$A$12:$A$15,0)),0)/30*MAX(1,N(E1661)),0))</f>
        <v/>
      </c>
      <c r="I1661" s="29">
        <f>IF(OR(D1661="",F1661=""),"",ROUND(F1661*H1661,2))</f>
        <v/>
      </c>
      <c r="J1661" s="29">
        <f>IF(I1661="","",F1661-I1661)</f>
        <v/>
      </c>
      <c r="K1661" s="29">
        <f>IF(J1661="","",J1661/MAX(1,N(E1661)))</f>
        <v/>
      </c>
      <c r="L1661" s="37">
        <f>IF(OR(D1661="",A1661=""),"",A1661+IF(AND(Config!$B$17="Sim",LEFT(D1661,17)="Cartão de crédito"),1,IFERROR(INDEX(Config!$C$12:$C$15,MATCH(IF(AND(D1661="Cartão de crédito",N(E1661)&gt;1),"Cartão de crédito parcelado",D1661),Config!$A$12:$A$15,0)),0)))</f>
        <v/>
      </c>
      <c r="M1661" s="37">
        <f>IF(L1661="","",IF(AND(Config!$B$17="Sim",LEFT(D1661,17)="Cartão de crédito"),L1661,L1661+30*(MAX(1,N(E1661))-1)))</f>
        <v/>
      </c>
      <c r="N1661" s="29">
        <f>IF(OR(L1661="",K1661=""),"",K1661*MIN(MAX(1,N(E1661)),MAX(0,INT((Config!$B$8-L1661)/30)+1)))</f>
        <v/>
      </c>
      <c r="O1661" s="29">
        <f>IF(J1661="","",J1661-N(N1661))</f>
        <v/>
      </c>
      <c r="P1661" s="27">
        <f>IF(A1661="","",MONTH(A1661))</f>
        <v/>
      </c>
      <c r="Q1661" s="27">
        <f>IF(A1661="","",YEAR(A1661))</f>
        <v/>
      </c>
      <c r="R1661" s="27">
        <f>IF(L1661="","",IF(L1661&gt;Config!$B$8,"A cair",IF(N(G1661)&gt;=MIN(MAX(1,N(E1661)),MAX(0,INT((Config!$B$8-L1661)/30)+1)),IF(N(G1661)&gt;=MAX(1,N(E1661)),"Conferido","Conferido até aqui"),"A conferir")))</f>
        <v/>
      </c>
      <c r="S1661" s="51">
        <f>IF(R1661="A conferir",(Config!$B$8-L1661)*1000+N(F1661)/1000+ROW()/100000,0)</f>
        <v>0</v>
      </c>
      <c r="T1661" s="51">
        <f>IF(R1661="A conferir",N(N1661),0)</f>
        <v>0</v>
      </c>
      <c r="U1661" s="51">
        <f>IF(L1661="",0,L1661)</f>
        <v>0</v>
      </c>
      <c r="V1661" s="51">
        <f>IF(L1661="",0,MAX(1,N(E1661)))</f>
        <v>0</v>
      </c>
      <c r="W1661" s="51">
        <f>IF(K1661="",0,K1661)</f>
        <v>0</v>
      </c>
    </row>
    <row r="1662">
      <c r="A1662" s="49" t="n"/>
      <c r="B1662" s="41" t="n"/>
      <c r="C1662" s="41" t="n"/>
      <c r="D1662" s="42" t="n"/>
      <c r="E1662" s="42" t="n"/>
      <c r="F1662" s="50" t="n"/>
      <c r="G1662" s="42" t="n"/>
      <c r="H1662" s="30">
        <f>IF(D1662="","",IFERROR(INDEX(Config!$B$12:$B$15,MATCH(IF(AND(D1662="Cartão de crédito",N(E1662)&gt;1),"Cartão de crédito parcelado",D1662),Config!$A$12:$A$15,0)),0)+IF(AND(Config!$B$17="Sim",LEFT(D1662,17)="Cartão de crédito"),Config!$B$18*IFERROR(INDEX(Config!$C$12:$C$15,MATCH(IF(AND(D1662="Cartão de crédito",N(E1662)&gt;1),"Cartão de crédito parcelado",D1662),Config!$A$12:$A$15,0)),0)/30*MAX(1,N(E1662)),0))</f>
        <v/>
      </c>
      <c r="I1662" s="29">
        <f>IF(OR(D1662="",F1662=""),"",ROUND(F1662*H1662,2))</f>
        <v/>
      </c>
      <c r="J1662" s="29">
        <f>IF(I1662="","",F1662-I1662)</f>
        <v/>
      </c>
      <c r="K1662" s="29">
        <f>IF(J1662="","",J1662/MAX(1,N(E1662)))</f>
        <v/>
      </c>
      <c r="L1662" s="37">
        <f>IF(OR(D1662="",A1662=""),"",A1662+IF(AND(Config!$B$17="Sim",LEFT(D1662,17)="Cartão de crédito"),1,IFERROR(INDEX(Config!$C$12:$C$15,MATCH(IF(AND(D1662="Cartão de crédito",N(E1662)&gt;1),"Cartão de crédito parcelado",D1662),Config!$A$12:$A$15,0)),0)))</f>
        <v/>
      </c>
      <c r="M1662" s="37">
        <f>IF(L1662="","",IF(AND(Config!$B$17="Sim",LEFT(D1662,17)="Cartão de crédito"),L1662,L1662+30*(MAX(1,N(E1662))-1)))</f>
        <v/>
      </c>
      <c r="N1662" s="29">
        <f>IF(OR(L1662="",K1662=""),"",K1662*MIN(MAX(1,N(E1662)),MAX(0,INT((Config!$B$8-L1662)/30)+1)))</f>
        <v/>
      </c>
      <c r="O1662" s="29">
        <f>IF(J1662="","",J1662-N(N1662))</f>
        <v/>
      </c>
      <c r="P1662" s="27">
        <f>IF(A1662="","",MONTH(A1662))</f>
        <v/>
      </c>
      <c r="Q1662" s="27">
        <f>IF(A1662="","",YEAR(A1662))</f>
        <v/>
      </c>
      <c r="R1662" s="27">
        <f>IF(L1662="","",IF(L1662&gt;Config!$B$8,"A cair",IF(N(G1662)&gt;=MIN(MAX(1,N(E1662)),MAX(0,INT((Config!$B$8-L1662)/30)+1)),IF(N(G1662)&gt;=MAX(1,N(E1662)),"Conferido","Conferido até aqui"),"A conferir")))</f>
        <v/>
      </c>
      <c r="S1662" s="51">
        <f>IF(R1662="A conferir",(Config!$B$8-L1662)*1000+N(F1662)/1000+ROW()/100000,0)</f>
        <v>0</v>
      </c>
      <c r="T1662" s="51">
        <f>IF(R1662="A conferir",N(N1662),0)</f>
        <v>0</v>
      </c>
      <c r="U1662" s="51">
        <f>IF(L1662="",0,L1662)</f>
        <v>0</v>
      </c>
      <c r="V1662" s="51">
        <f>IF(L1662="",0,MAX(1,N(E1662)))</f>
        <v>0</v>
      </c>
      <c r="W1662" s="51">
        <f>IF(K1662="",0,K1662)</f>
        <v>0</v>
      </c>
    </row>
    <row r="1663">
      <c r="A1663" s="49" t="n"/>
      <c r="B1663" s="41" t="n"/>
      <c r="C1663" s="41" t="n"/>
      <c r="D1663" s="42" t="n"/>
      <c r="E1663" s="42" t="n"/>
      <c r="F1663" s="50" t="n"/>
      <c r="G1663" s="42" t="n"/>
      <c r="H1663" s="30">
        <f>IF(D1663="","",IFERROR(INDEX(Config!$B$12:$B$15,MATCH(IF(AND(D1663="Cartão de crédito",N(E1663)&gt;1),"Cartão de crédito parcelado",D1663),Config!$A$12:$A$15,0)),0)+IF(AND(Config!$B$17="Sim",LEFT(D1663,17)="Cartão de crédito"),Config!$B$18*IFERROR(INDEX(Config!$C$12:$C$15,MATCH(IF(AND(D1663="Cartão de crédito",N(E1663)&gt;1),"Cartão de crédito parcelado",D1663),Config!$A$12:$A$15,0)),0)/30*MAX(1,N(E1663)),0))</f>
        <v/>
      </c>
      <c r="I1663" s="29">
        <f>IF(OR(D1663="",F1663=""),"",ROUND(F1663*H1663,2))</f>
        <v/>
      </c>
      <c r="J1663" s="29">
        <f>IF(I1663="","",F1663-I1663)</f>
        <v/>
      </c>
      <c r="K1663" s="29">
        <f>IF(J1663="","",J1663/MAX(1,N(E1663)))</f>
        <v/>
      </c>
      <c r="L1663" s="37">
        <f>IF(OR(D1663="",A1663=""),"",A1663+IF(AND(Config!$B$17="Sim",LEFT(D1663,17)="Cartão de crédito"),1,IFERROR(INDEX(Config!$C$12:$C$15,MATCH(IF(AND(D1663="Cartão de crédito",N(E1663)&gt;1),"Cartão de crédito parcelado",D1663),Config!$A$12:$A$15,0)),0)))</f>
        <v/>
      </c>
      <c r="M1663" s="37">
        <f>IF(L1663="","",IF(AND(Config!$B$17="Sim",LEFT(D1663,17)="Cartão de crédito"),L1663,L1663+30*(MAX(1,N(E1663))-1)))</f>
        <v/>
      </c>
      <c r="N1663" s="29">
        <f>IF(OR(L1663="",K1663=""),"",K1663*MIN(MAX(1,N(E1663)),MAX(0,INT((Config!$B$8-L1663)/30)+1)))</f>
        <v/>
      </c>
      <c r="O1663" s="29">
        <f>IF(J1663="","",J1663-N(N1663))</f>
        <v/>
      </c>
      <c r="P1663" s="27">
        <f>IF(A1663="","",MONTH(A1663))</f>
        <v/>
      </c>
      <c r="Q1663" s="27">
        <f>IF(A1663="","",YEAR(A1663))</f>
        <v/>
      </c>
      <c r="R1663" s="27">
        <f>IF(L1663="","",IF(L1663&gt;Config!$B$8,"A cair",IF(N(G1663)&gt;=MIN(MAX(1,N(E1663)),MAX(0,INT((Config!$B$8-L1663)/30)+1)),IF(N(G1663)&gt;=MAX(1,N(E1663)),"Conferido","Conferido até aqui"),"A conferir")))</f>
        <v/>
      </c>
      <c r="S1663" s="51">
        <f>IF(R1663="A conferir",(Config!$B$8-L1663)*1000+N(F1663)/1000+ROW()/100000,0)</f>
        <v>0</v>
      </c>
      <c r="T1663" s="51">
        <f>IF(R1663="A conferir",N(N1663),0)</f>
        <v>0</v>
      </c>
      <c r="U1663" s="51">
        <f>IF(L1663="",0,L1663)</f>
        <v>0</v>
      </c>
      <c r="V1663" s="51">
        <f>IF(L1663="",0,MAX(1,N(E1663)))</f>
        <v>0</v>
      </c>
      <c r="W1663" s="51">
        <f>IF(K1663="",0,K1663)</f>
        <v>0</v>
      </c>
    </row>
    <row r="1664">
      <c r="A1664" s="49" t="n"/>
      <c r="B1664" s="41" t="n"/>
      <c r="C1664" s="41" t="n"/>
      <c r="D1664" s="42" t="n"/>
      <c r="E1664" s="42" t="n"/>
      <c r="F1664" s="50" t="n"/>
      <c r="G1664" s="42" t="n"/>
      <c r="H1664" s="30">
        <f>IF(D1664="","",IFERROR(INDEX(Config!$B$12:$B$15,MATCH(IF(AND(D1664="Cartão de crédito",N(E1664)&gt;1),"Cartão de crédito parcelado",D1664),Config!$A$12:$A$15,0)),0)+IF(AND(Config!$B$17="Sim",LEFT(D1664,17)="Cartão de crédito"),Config!$B$18*IFERROR(INDEX(Config!$C$12:$C$15,MATCH(IF(AND(D1664="Cartão de crédito",N(E1664)&gt;1),"Cartão de crédito parcelado",D1664),Config!$A$12:$A$15,0)),0)/30*MAX(1,N(E1664)),0))</f>
        <v/>
      </c>
      <c r="I1664" s="29">
        <f>IF(OR(D1664="",F1664=""),"",ROUND(F1664*H1664,2))</f>
        <v/>
      </c>
      <c r="J1664" s="29">
        <f>IF(I1664="","",F1664-I1664)</f>
        <v/>
      </c>
      <c r="K1664" s="29">
        <f>IF(J1664="","",J1664/MAX(1,N(E1664)))</f>
        <v/>
      </c>
      <c r="L1664" s="37">
        <f>IF(OR(D1664="",A1664=""),"",A1664+IF(AND(Config!$B$17="Sim",LEFT(D1664,17)="Cartão de crédito"),1,IFERROR(INDEX(Config!$C$12:$C$15,MATCH(IF(AND(D1664="Cartão de crédito",N(E1664)&gt;1),"Cartão de crédito parcelado",D1664),Config!$A$12:$A$15,0)),0)))</f>
        <v/>
      </c>
      <c r="M1664" s="37">
        <f>IF(L1664="","",IF(AND(Config!$B$17="Sim",LEFT(D1664,17)="Cartão de crédito"),L1664,L1664+30*(MAX(1,N(E1664))-1)))</f>
        <v/>
      </c>
      <c r="N1664" s="29">
        <f>IF(OR(L1664="",K1664=""),"",K1664*MIN(MAX(1,N(E1664)),MAX(0,INT((Config!$B$8-L1664)/30)+1)))</f>
        <v/>
      </c>
      <c r="O1664" s="29">
        <f>IF(J1664="","",J1664-N(N1664))</f>
        <v/>
      </c>
      <c r="P1664" s="27">
        <f>IF(A1664="","",MONTH(A1664))</f>
        <v/>
      </c>
      <c r="Q1664" s="27">
        <f>IF(A1664="","",YEAR(A1664))</f>
        <v/>
      </c>
      <c r="R1664" s="27">
        <f>IF(L1664="","",IF(L1664&gt;Config!$B$8,"A cair",IF(N(G1664)&gt;=MIN(MAX(1,N(E1664)),MAX(0,INT((Config!$B$8-L1664)/30)+1)),IF(N(G1664)&gt;=MAX(1,N(E1664)),"Conferido","Conferido até aqui"),"A conferir")))</f>
        <v/>
      </c>
      <c r="S1664" s="51">
        <f>IF(R1664="A conferir",(Config!$B$8-L1664)*1000+N(F1664)/1000+ROW()/100000,0)</f>
        <v>0</v>
      </c>
      <c r="T1664" s="51">
        <f>IF(R1664="A conferir",N(N1664),0)</f>
        <v>0</v>
      </c>
      <c r="U1664" s="51">
        <f>IF(L1664="",0,L1664)</f>
        <v>0</v>
      </c>
      <c r="V1664" s="51">
        <f>IF(L1664="",0,MAX(1,N(E1664)))</f>
        <v>0</v>
      </c>
      <c r="W1664" s="51">
        <f>IF(K1664="",0,K1664)</f>
        <v>0</v>
      </c>
    </row>
    <row r="1665">
      <c r="A1665" s="49" t="n"/>
      <c r="B1665" s="41" t="n"/>
      <c r="C1665" s="41" t="n"/>
      <c r="D1665" s="42" t="n"/>
      <c r="E1665" s="42" t="n"/>
      <c r="F1665" s="50" t="n"/>
      <c r="G1665" s="42" t="n"/>
      <c r="H1665" s="30">
        <f>IF(D1665="","",IFERROR(INDEX(Config!$B$12:$B$15,MATCH(IF(AND(D1665="Cartão de crédito",N(E1665)&gt;1),"Cartão de crédito parcelado",D1665),Config!$A$12:$A$15,0)),0)+IF(AND(Config!$B$17="Sim",LEFT(D1665,17)="Cartão de crédito"),Config!$B$18*IFERROR(INDEX(Config!$C$12:$C$15,MATCH(IF(AND(D1665="Cartão de crédito",N(E1665)&gt;1),"Cartão de crédito parcelado",D1665),Config!$A$12:$A$15,0)),0)/30*MAX(1,N(E1665)),0))</f>
        <v/>
      </c>
      <c r="I1665" s="29">
        <f>IF(OR(D1665="",F1665=""),"",ROUND(F1665*H1665,2))</f>
        <v/>
      </c>
      <c r="J1665" s="29">
        <f>IF(I1665="","",F1665-I1665)</f>
        <v/>
      </c>
      <c r="K1665" s="29">
        <f>IF(J1665="","",J1665/MAX(1,N(E1665)))</f>
        <v/>
      </c>
      <c r="L1665" s="37">
        <f>IF(OR(D1665="",A1665=""),"",A1665+IF(AND(Config!$B$17="Sim",LEFT(D1665,17)="Cartão de crédito"),1,IFERROR(INDEX(Config!$C$12:$C$15,MATCH(IF(AND(D1665="Cartão de crédito",N(E1665)&gt;1),"Cartão de crédito parcelado",D1665),Config!$A$12:$A$15,0)),0)))</f>
        <v/>
      </c>
      <c r="M1665" s="37">
        <f>IF(L1665="","",IF(AND(Config!$B$17="Sim",LEFT(D1665,17)="Cartão de crédito"),L1665,L1665+30*(MAX(1,N(E1665))-1)))</f>
        <v/>
      </c>
      <c r="N1665" s="29">
        <f>IF(OR(L1665="",K1665=""),"",K1665*MIN(MAX(1,N(E1665)),MAX(0,INT((Config!$B$8-L1665)/30)+1)))</f>
        <v/>
      </c>
      <c r="O1665" s="29">
        <f>IF(J1665="","",J1665-N(N1665))</f>
        <v/>
      </c>
      <c r="P1665" s="27">
        <f>IF(A1665="","",MONTH(A1665))</f>
        <v/>
      </c>
      <c r="Q1665" s="27">
        <f>IF(A1665="","",YEAR(A1665))</f>
        <v/>
      </c>
      <c r="R1665" s="27">
        <f>IF(L1665="","",IF(L1665&gt;Config!$B$8,"A cair",IF(N(G1665)&gt;=MIN(MAX(1,N(E1665)),MAX(0,INT((Config!$B$8-L1665)/30)+1)),IF(N(G1665)&gt;=MAX(1,N(E1665)),"Conferido","Conferido até aqui"),"A conferir")))</f>
        <v/>
      </c>
      <c r="S1665" s="51">
        <f>IF(R1665="A conferir",(Config!$B$8-L1665)*1000+N(F1665)/1000+ROW()/100000,0)</f>
        <v>0</v>
      </c>
      <c r="T1665" s="51">
        <f>IF(R1665="A conferir",N(N1665),0)</f>
        <v>0</v>
      </c>
      <c r="U1665" s="51">
        <f>IF(L1665="",0,L1665)</f>
        <v>0</v>
      </c>
      <c r="V1665" s="51">
        <f>IF(L1665="",0,MAX(1,N(E1665)))</f>
        <v>0</v>
      </c>
      <c r="W1665" s="51">
        <f>IF(K1665="",0,K1665)</f>
        <v>0</v>
      </c>
    </row>
    <row r="1666">
      <c r="A1666" s="49" t="n"/>
      <c r="B1666" s="41" t="n"/>
      <c r="C1666" s="41" t="n"/>
      <c r="D1666" s="42" t="n"/>
      <c r="E1666" s="42" t="n"/>
      <c r="F1666" s="50" t="n"/>
      <c r="G1666" s="42" t="n"/>
      <c r="H1666" s="30">
        <f>IF(D1666="","",IFERROR(INDEX(Config!$B$12:$B$15,MATCH(IF(AND(D1666="Cartão de crédito",N(E1666)&gt;1),"Cartão de crédito parcelado",D1666),Config!$A$12:$A$15,0)),0)+IF(AND(Config!$B$17="Sim",LEFT(D1666,17)="Cartão de crédito"),Config!$B$18*IFERROR(INDEX(Config!$C$12:$C$15,MATCH(IF(AND(D1666="Cartão de crédito",N(E1666)&gt;1),"Cartão de crédito parcelado",D1666),Config!$A$12:$A$15,0)),0)/30*MAX(1,N(E1666)),0))</f>
        <v/>
      </c>
      <c r="I1666" s="29">
        <f>IF(OR(D1666="",F1666=""),"",ROUND(F1666*H1666,2))</f>
        <v/>
      </c>
      <c r="J1666" s="29">
        <f>IF(I1666="","",F1666-I1666)</f>
        <v/>
      </c>
      <c r="K1666" s="29">
        <f>IF(J1666="","",J1666/MAX(1,N(E1666)))</f>
        <v/>
      </c>
      <c r="L1666" s="37">
        <f>IF(OR(D1666="",A1666=""),"",A1666+IF(AND(Config!$B$17="Sim",LEFT(D1666,17)="Cartão de crédito"),1,IFERROR(INDEX(Config!$C$12:$C$15,MATCH(IF(AND(D1666="Cartão de crédito",N(E1666)&gt;1),"Cartão de crédito parcelado",D1666),Config!$A$12:$A$15,0)),0)))</f>
        <v/>
      </c>
      <c r="M1666" s="37">
        <f>IF(L1666="","",IF(AND(Config!$B$17="Sim",LEFT(D1666,17)="Cartão de crédito"),L1666,L1666+30*(MAX(1,N(E1666))-1)))</f>
        <v/>
      </c>
      <c r="N1666" s="29">
        <f>IF(OR(L1666="",K1666=""),"",K1666*MIN(MAX(1,N(E1666)),MAX(0,INT((Config!$B$8-L1666)/30)+1)))</f>
        <v/>
      </c>
      <c r="O1666" s="29">
        <f>IF(J1666="","",J1666-N(N1666))</f>
        <v/>
      </c>
      <c r="P1666" s="27">
        <f>IF(A1666="","",MONTH(A1666))</f>
        <v/>
      </c>
      <c r="Q1666" s="27">
        <f>IF(A1666="","",YEAR(A1666))</f>
        <v/>
      </c>
      <c r="R1666" s="27">
        <f>IF(L1666="","",IF(L1666&gt;Config!$B$8,"A cair",IF(N(G1666)&gt;=MIN(MAX(1,N(E1666)),MAX(0,INT((Config!$B$8-L1666)/30)+1)),IF(N(G1666)&gt;=MAX(1,N(E1666)),"Conferido","Conferido até aqui"),"A conferir")))</f>
        <v/>
      </c>
      <c r="S1666" s="51">
        <f>IF(R1666="A conferir",(Config!$B$8-L1666)*1000+N(F1666)/1000+ROW()/100000,0)</f>
        <v>0</v>
      </c>
      <c r="T1666" s="51">
        <f>IF(R1666="A conferir",N(N1666),0)</f>
        <v>0</v>
      </c>
      <c r="U1666" s="51">
        <f>IF(L1666="",0,L1666)</f>
        <v>0</v>
      </c>
      <c r="V1666" s="51">
        <f>IF(L1666="",0,MAX(1,N(E1666)))</f>
        <v>0</v>
      </c>
      <c r="W1666" s="51">
        <f>IF(K1666="",0,K1666)</f>
        <v>0</v>
      </c>
    </row>
    <row r="1667">
      <c r="A1667" s="49" t="n"/>
      <c r="B1667" s="41" t="n"/>
      <c r="C1667" s="41" t="n"/>
      <c r="D1667" s="42" t="n"/>
      <c r="E1667" s="42" t="n"/>
      <c r="F1667" s="50" t="n"/>
      <c r="G1667" s="42" t="n"/>
      <c r="H1667" s="30">
        <f>IF(D1667="","",IFERROR(INDEX(Config!$B$12:$B$15,MATCH(IF(AND(D1667="Cartão de crédito",N(E1667)&gt;1),"Cartão de crédito parcelado",D1667),Config!$A$12:$A$15,0)),0)+IF(AND(Config!$B$17="Sim",LEFT(D1667,17)="Cartão de crédito"),Config!$B$18*IFERROR(INDEX(Config!$C$12:$C$15,MATCH(IF(AND(D1667="Cartão de crédito",N(E1667)&gt;1),"Cartão de crédito parcelado",D1667),Config!$A$12:$A$15,0)),0)/30*MAX(1,N(E1667)),0))</f>
        <v/>
      </c>
      <c r="I1667" s="29">
        <f>IF(OR(D1667="",F1667=""),"",ROUND(F1667*H1667,2))</f>
        <v/>
      </c>
      <c r="J1667" s="29">
        <f>IF(I1667="","",F1667-I1667)</f>
        <v/>
      </c>
      <c r="K1667" s="29">
        <f>IF(J1667="","",J1667/MAX(1,N(E1667)))</f>
        <v/>
      </c>
      <c r="L1667" s="37">
        <f>IF(OR(D1667="",A1667=""),"",A1667+IF(AND(Config!$B$17="Sim",LEFT(D1667,17)="Cartão de crédito"),1,IFERROR(INDEX(Config!$C$12:$C$15,MATCH(IF(AND(D1667="Cartão de crédito",N(E1667)&gt;1),"Cartão de crédito parcelado",D1667),Config!$A$12:$A$15,0)),0)))</f>
        <v/>
      </c>
      <c r="M1667" s="37">
        <f>IF(L1667="","",IF(AND(Config!$B$17="Sim",LEFT(D1667,17)="Cartão de crédito"),L1667,L1667+30*(MAX(1,N(E1667))-1)))</f>
        <v/>
      </c>
      <c r="N1667" s="29">
        <f>IF(OR(L1667="",K1667=""),"",K1667*MIN(MAX(1,N(E1667)),MAX(0,INT((Config!$B$8-L1667)/30)+1)))</f>
        <v/>
      </c>
      <c r="O1667" s="29">
        <f>IF(J1667="","",J1667-N(N1667))</f>
        <v/>
      </c>
      <c r="P1667" s="27">
        <f>IF(A1667="","",MONTH(A1667))</f>
        <v/>
      </c>
      <c r="Q1667" s="27">
        <f>IF(A1667="","",YEAR(A1667))</f>
        <v/>
      </c>
      <c r="R1667" s="27">
        <f>IF(L1667="","",IF(L1667&gt;Config!$B$8,"A cair",IF(N(G1667)&gt;=MIN(MAX(1,N(E1667)),MAX(0,INT((Config!$B$8-L1667)/30)+1)),IF(N(G1667)&gt;=MAX(1,N(E1667)),"Conferido","Conferido até aqui"),"A conferir")))</f>
        <v/>
      </c>
      <c r="S1667" s="51">
        <f>IF(R1667="A conferir",(Config!$B$8-L1667)*1000+N(F1667)/1000+ROW()/100000,0)</f>
        <v>0</v>
      </c>
      <c r="T1667" s="51">
        <f>IF(R1667="A conferir",N(N1667),0)</f>
        <v>0</v>
      </c>
      <c r="U1667" s="51">
        <f>IF(L1667="",0,L1667)</f>
        <v>0</v>
      </c>
      <c r="V1667" s="51">
        <f>IF(L1667="",0,MAX(1,N(E1667)))</f>
        <v>0</v>
      </c>
      <c r="W1667" s="51">
        <f>IF(K1667="",0,K1667)</f>
        <v>0</v>
      </c>
    </row>
    <row r="1668">
      <c r="A1668" s="49" t="n"/>
      <c r="B1668" s="41" t="n"/>
      <c r="C1668" s="41" t="n"/>
      <c r="D1668" s="42" t="n"/>
      <c r="E1668" s="42" t="n"/>
      <c r="F1668" s="50" t="n"/>
      <c r="G1668" s="42" t="n"/>
      <c r="H1668" s="30">
        <f>IF(D1668="","",IFERROR(INDEX(Config!$B$12:$B$15,MATCH(IF(AND(D1668="Cartão de crédito",N(E1668)&gt;1),"Cartão de crédito parcelado",D1668),Config!$A$12:$A$15,0)),0)+IF(AND(Config!$B$17="Sim",LEFT(D1668,17)="Cartão de crédito"),Config!$B$18*IFERROR(INDEX(Config!$C$12:$C$15,MATCH(IF(AND(D1668="Cartão de crédito",N(E1668)&gt;1),"Cartão de crédito parcelado",D1668),Config!$A$12:$A$15,0)),0)/30*MAX(1,N(E1668)),0))</f>
        <v/>
      </c>
      <c r="I1668" s="29">
        <f>IF(OR(D1668="",F1668=""),"",ROUND(F1668*H1668,2))</f>
        <v/>
      </c>
      <c r="J1668" s="29">
        <f>IF(I1668="","",F1668-I1668)</f>
        <v/>
      </c>
      <c r="K1668" s="29">
        <f>IF(J1668="","",J1668/MAX(1,N(E1668)))</f>
        <v/>
      </c>
      <c r="L1668" s="37">
        <f>IF(OR(D1668="",A1668=""),"",A1668+IF(AND(Config!$B$17="Sim",LEFT(D1668,17)="Cartão de crédito"),1,IFERROR(INDEX(Config!$C$12:$C$15,MATCH(IF(AND(D1668="Cartão de crédito",N(E1668)&gt;1),"Cartão de crédito parcelado",D1668),Config!$A$12:$A$15,0)),0)))</f>
        <v/>
      </c>
      <c r="M1668" s="37">
        <f>IF(L1668="","",IF(AND(Config!$B$17="Sim",LEFT(D1668,17)="Cartão de crédito"),L1668,L1668+30*(MAX(1,N(E1668))-1)))</f>
        <v/>
      </c>
      <c r="N1668" s="29">
        <f>IF(OR(L1668="",K1668=""),"",K1668*MIN(MAX(1,N(E1668)),MAX(0,INT((Config!$B$8-L1668)/30)+1)))</f>
        <v/>
      </c>
      <c r="O1668" s="29">
        <f>IF(J1668="","",J1668-N(N1668))</f>
        <v/>
      </c>
      <c r="P1668" s="27">
        <f>IF(A1668="","",MONTH(A1668))</f>
        <v/>
      </c>
      <c r="Q1668" s="27">
        <f>IF(A1668="","",YEAR(A1668))</f>
        <v/>
      </c>
      <c r="R1668" s="27">
        <f>IF(L1668="","",IF(L1668&gt;Config!$B$8,"A cair",IF(N(G1668)&gt;=MIN(MAX(1,N(E1668)),MAX(0,INT((Config!$B$8-L1668)/30)+1)),IF(N(G1668)&gt;=MAX(1,N(E1668)),"Conferido","Conferido até aqui"),"A conferir")))</f>
        <v/>
      </c>
      <c r="S1668" s="51">
        <f>IF(R1668="A conferir",(Config!$B$8-L1668)*1000+N(F1668)/1000+ROW()/100000,0)</f>
        <v>0</v>
      </c>
      <c r="T1668" s="51">
        <f>IF(R1668="A conferir",N(N1668),0)</f>
        <v>0</v>
      </c>
      <c r="U1668" s="51">
        <f>IF(L1668="",0,L1668)</f>
        <v>0</v>
      </c>
      <c r="V1668" s="51">
        <f>IF(L1668="",0,MAX(1,N(E1668)))</f>
        <v>0</v>
      </c>
      <c r="W1668" s="51">
        <f>IF(K1668="",0,K1668)</f>
        <v>0</v>
      </c>
    </row>
    <row r="1669">
      <c r="A1669" s="49" t="n"/>
      <c r="B1669" s="41" t="n"/>
      <c r="C1669" s="41" t="n"/>
      <c r="D1669" s="42" t="n"/>
      <c r="E1669" s="42" t="n"/>
      <c r="F1669" s="50" t="n"/>
      <c r="G1669" s="42" t="n"/>
      <c r="H1669" s="30">
        <f>IF(D1669="","",IFERROR(INDEX(Config!$B$12:$B$15,MATCH(IF(AND(D1669="Cartão de crédito",N(E1669)&gt;1),"Cartão de crédito parcelado",D1669),Config!$A$12:$A$15,0)),0)+IF(AND(Config!$B$17="Sim",LEFT(D1669,17)="Cartão de crédito"),Config!$B$18*IFERROR(INDEX(Config!$C$12:$C$15,MATCH(IF(AND(D1669="Cartão de crédito",N(E1669)&gt;1),"Cartão de crédito parcelado",D1669),Config!$A$12:$A$15,0)),0)/30*MAX(1,N(E1669)),0))</f>
        <v/>
      </c>
      <c r="I1669" s="29">
        <f>IF(OR(D1669="",F1669=""),"",ROUND(F1669*H1669,2))</f>
        <v/>
      </c>
      <c r="J1669" s="29">
        <f>IF(I1669="","",F1669-I1669)</f>
        <v/>
      </c>
      <c r="K1669" s="29">
        <f>IF(J1669="","",J1669/MAX(1,N(E1669)))</f>
        <v/>
      </c>
      <c r="L1669" s="37">
        <f>IF(OR(D1669="",A1669=""),"",A1669+IF(AND(Config!$B$17="Sim",LEFT(D1669,17)="Cartão de crédito"),1,IFERROR(INDEX(Config!$C$12:$C$15,MATCH(IF(AND(D1669="Cartão de crédito",N(E1669)&gt;1),"Cartão de crédito parcelado",D1669),Config!$A$12:$A$15,0)),0)))</f>
        <v/>
      </c>
      <c r="M1669" s="37">
        <f>IF(L1669="","",IF(AND(Config!$B$17="Sim",LEFT(D1669,17)="Cartão de crédito"),L1669,L1669+30*(MAX(1,N(E1669))-1)))</f>
        <v/>
      </c>
      <c r="N1669" s="29">
        <f>IF(OR(L1669="",K1669=""),"",K1669*MIN(MAX(1,N(E1669)),MAX(0,INT((Config!$B$8-L1669)/30)+1)))</f>
        <v/>
      </c>
      <c r="O1669" s="29">
        <f>IF(J1669="","",J1669-N(N1669))</f>
        <v/>
      </c>
      <c r="P1669" s="27">
        <f>IF(A1669="","",MONTH(A1669))</f>
        <v/>
      </c>
      <c r="Q1669" s="27">
        <f>IF(A1669="","",YEAR(A1669))</f>
        <v/>
      </c>
      <c r="R1669" s="27">
        <f>IF(L1669="","",IF(L1669&gt;Config!$B$8,"A cair",IF(N(G1669)&gt;=MIN(MAX(1,N(E1669)),MAX(0,INT((Config!$B$8-L1669)/30)+1)),IF(N(G1669)&gt;=MAX(1,N(E1669)),"Conferido","Conferido até aqui"),"A conferir")))</f>
        <v/>
      </c>
      <c r="S1669" s="51">
        <f>IF(R1669="A conferir",(Config!$B$8-L1669)*1000+N(F1669)/1000+ROW()/100000,0)</f>
        <v>0</v>
      </c>
      <c r="T1669" s="51">
        <f>IF(R1669="A conferir",N(N1669),0)</f>
        <v>0</v>
      </c>
      <c r="U1669" s="51">
        <f>IF(L1669="",0,L1669)</f>
        <v>0</v>
      </c>
      <c r="V1669" s="51">
        <f>IF(L1669="",0,MAX(1,N(E1669)))</f>
        <v>0</v>
      </c>
      <c r="W1669" s="51">
        <f>IF(K1669="",0,K1669)</f>
        <v>0</v>
      </c>
    </row>
    <row r="1670">
      <c r="A1670" s="49" t="n"/>
      <c r="B1670" s="41" t="n"/>
      <c r="C1670" s="41" t="n"/>
      <c r="D1670" s="42" t="n"/>
      <c r="E1670" s="42" t="n"/>
      <c r="F1670" s="50" t="n"/>
      <c r="G1670" s="42" t="n"/>
      <c r="H1670" s="30">
        <f>IF(D1670="","",IFERROR(INDEX(Config!$B$12:$B$15,MATCH(IF(AND(D1670="Cartão de crédito",N(E1670)&gt;1),"Cartão de crédito parcelado",D1670),Config!$A$12:$A$15,0)),0)+IF(AND(Config!$B$17="Sim",LEFT(D1670,17)="Cartão de crédito"),Config!$B$18*IFERROR(INDEX(Config!$C$12:$C$15,MATCH(IF(AND(D1670="Cartão de crédito",N(E1670)&gt;1),"Cartão de crédito parcelado",D1670),Config!$A$12:$A$15,0)),0)/30*MAX(1,N(E1670)),0))</f>
        <v/>
      </c>
      <c r="I1670" s="29">
        <f>IF(OR(D1670="",F1670=""),"",ROUND(F1670*H1670,2))</f>
        <v/>
      </c>
      <c r="J1670" s="29">
        <f>IF(I1670="","",F1670-I1670)</f>
        <v/>
      </c>
      <c r="K1670" s="29">
        <f>IF(J1670="","",J1670/MAX(1,N(E1670)))</f>
        <v/>
      </c>
      <c r="L1670" s="37">
        <f>IF(OR(D1670="",A1670=""),"",A1670+IF(AND(Config!$B$17="Sim",LEFT(D1670,17)="Cartão de crédito"),1,IFERROR(INDEX(Config!$C$12:$C$15,MATCH(IF(AND(D1670="Cartão de crédito",N(E1670)&gt;1),"Cartão de crédito parcelado",D1670),Config!$A$12:$A$15,0)),0)))</f>
        <v/>
      </c>
      <c r="M1670" s="37">
        <f>IF(L1670="","",IF(AND(Config!$B$17="Sim",LEFT(D1670,17)="Cartão de crédito"),L1670,L1670+30*(MAX(1,N(E1670))-1)))</f>
        <v/>
      </c>
      <c r="N1670" s="29">
        <f>IF(OR(L1670="",K1670=""),"",K1670*MIN(MAX(1,N(E1670)),MAX(0,INT((Config!$B$8-L1670)/30)+1)))</f>
        <v/>
      </c>
      <c r="O1670" s="29">
        <f>IF(J1670="","",J1670-N(N1670))</f>
        <v/>
      </c>
      <c r="P1670" s="27">
        <f>IF(A1670="","",MONTH(A1670))</f>
        <v/>
      </c>
      <c r="Q1670" s="27">
        <f>IF(A1670="","",YEAR(A1670))</f>
        <v/>
      </c>
      <c r="R1670" s="27">
        <f>IF(L1670="","",IF(L1670&gt;Config!$B$8,"A cair",IF(N(G1670)&gt;=MIN(MAX(1,N(E1670)),MAX(0,INT((Config!$B$8-L1670)/30)+1)),IF(N(G1670)&gt;=MAX(1,N(E1670)),"Conferido","Conferido até aqui"),"A conferir")))</f>
        <v/>
      </c>
      <c r="S1670" s="51">
        <f>IF(R1670="A conferir",(Config!$B$8-L1670)*1000+N(F1670)/1000+ROW()/100000,0)</f>
        <v>0</v>
      </c>
      <c r="T1670" s="51">
        <f>IF(R1670="A conferir",N(N1670),0)</f>
        <v>0</v>
      </c>
      <c r="U1670" s="51">
        <f>IF(L1670="",0,L1670)</f>
        <v>0</v>
      </c>
      <c r="V1670" s="51">
        <f>IF(L1670="",0,MAX(1,N(E1670)))</f>
        <v>0</v>
      </c>
      <c r="W1670" s="51">
        <f>IF(K1670="",0,K1670)</f>
        <v>0</v>
      </c>
    </row>
    <row r="1671">
      <c r="A1671" s="49" t="n"/>
      <c r="B1671" s="41" t="n"/>
      <c r="C1671" s="41" t="n"/>
      <c r="D1671" s="42" t="n"/>
      <c r="E1671" s="42" t="n"/>
      <c r="F1671" s="50" t="n"/>
      <c r="G1671" s="42" t="n"/>
      <c r="H1671" s="30">
        <f>IF(D1671="","",IFERROR(INDEX(Config!$B$12:$B$15,MATCH(IF(AND(D1671="Cartão de crédito",N(E1671)&gt;1),"Cartão de crédito parcelado",D1671),Config!$A$12:$A$15,0)),0)+IF(AND(Config!$B$17="Sim",LEFT(D1671,17)="Cartão de crédito"),Config!$B$18*IFERROR(INDEX(Config!$C$12:$C$15,MATCH(IF(AND(D1671="Cartão de crédito",N(E1671)&gt;1),"Cartão de crédito parcelado",D1671),Config!$A$12:$A$15,0)),0)/30*MAX(1,N(E1671)),0))</f>
        <v/>
      </c>
      <c r="I1671" s="29">
        <f>IF(OR(D1671="",F1671=""),"",ROUND(F1671*H1671,2))</f>
        <v/>
      </c>
      <c r="J1671" s="29">
        <f>IF(I1671="","",F1671-I1671)</f>
        <v/>
      </c>
      <c r="K1671" s="29">
        <f>IF(J1671="","",J1671/MAX(1,N(E1671)))</f>
        <v/>
      </c>
      <c r="L1671" s="37">
        <f>IF(OR(D1671="",A1671=""),"",A1671+IF(AND(Config!$B$17="Sim",LEFT(D1671,17)="Cartão de crédito"),1,IFERROR(INDEX(Config!$C$12:$C$15,MATCH(IF(AND(D1671="Cartão de crédito",N(E1671)&gt;1),"Cartão de crédito parcelado",D1671),Config!$A$12:$A$15,0)),0)))</f>
        <v/>
      </c>
      <c r="M1671" s="37">
        <f>IF(L1671="","",IF(AND(Config!$B$17="Sim",LEFT(D1671,17)="Cartão de crédito"),L1671,L1671+30*(MAX(1,N(E1671))-1)))</f>
        <v/>
      </c>
      <c r="N1671" s="29">
        <f>IF(OR(L1671="",K1671=""),"",K1671*MIN(MAX(1,N(E1671)),MAX(0,INT((Config!$B$8-L1671)/30)+1)))</f>
        <v/>
      </c>
      <c r="O1671" s="29">
        <f>IF(J1671="","",J1671-N(N1671))</f>
        <v/>
      </c>
      <c r="P1671" s="27">
        <f>IF(A1671="","",MONTH(A1671))</f>
        <v/>
      </c>
      <c r="Q1671" s="27">
        <f>IF(A1671="","",YEAR(A1671))</f>
        <v/>
      </c>
      <c r="R1671" s="27">
        <f>IF(L1671="","",IF(L1671&gt;Config!$B$8,"A cair",IF(N(G1671)&gt;=MIN(MAX(1,N(E1671)),MAX(0,INT((Config!$B$8-L1671)/30)+1)),IF(N(G1671)&gt;=MAX(1,N(E1671)),"Conferido","Conferido até aqui"),"A conferir")))</f>
        <v/>
      </c>
      <c r="S1671" s="51">
        <f>IF(R1671="A conferir",(Config!$B$8-L1671)*1000+N(F1671)/1000+ROW()/100000,0)</f>
        <v>0</v>
      </c>
      <c r="T1671" s="51">
        <f>IF(R1671="A conferir",N(N1671),0)</f>
        <v>0</v>
      </c>
      <c r="U1671" s="51">
        <f>IF(L1671="",0,L1671)</f>
        <v>0</v>
      </c>
      <c r="V1671" s="51">
        <f>IF(L1671="",0,MAX(1,N(E1671)))</f>
        <v>0</v>
      </c>
      <c r="W1671" s="51">
        <f>IF(K1671="",0,K1671)</f>
        <v>0</v>
      </c>
    </row>
    <row r="1672">
      <c r="A1672" s="49" t="n"/>
      <c r="B1672" s="41" t="n"/>
      <c r="C1672" s="41" t="n"/>
      <c r="D1672" s="42" t="n"/>
      <c r="E1672" s="42" t="n"/>
      <c r="F1672" s="50" t="n"/>
      <c r="G1672" s="42" t="n"/>
      <c r="H1672" s="30">
        <f>IF(D1672="","",IFERROR(INDEX(Config!$B$12:$B$15,MATCH(IF(AND(D1672="Cartão de crédito",N(E1672)&gt;1),"Cartão de crédito parcelado",D1672),Config!$A$12:$A$15,0)),0)+IF(AND(Config!$B$17="Sim",LEFT(D1672,17)="Cartão de crédito"),Config!$B$18*IFERROR(INDEX(Config!$C$12:$C$15,MATCH(IF(AND(D1672="Cartão de crédito",N(E1672)&gt;1),"Cartão de crédito parcelado",D1672),Config!$A$12:$A$15,0)),0)/30*MAX(1,N(E1672)),0))</f>
        <v/>
      </c>
      <c r="I1672" s="29">
        <f>IF(OR(D1672="",F1672=""),"",ROUND(F1672*H1672,2))</f>
        <v/>
      </c>
      <c r="J1672" s="29">
        <f>IF(I1672="","",F1672-I1672)</f>
        <v/>
      </c>
      <c r="K1672" s="29">
        <f>IF(J1672="","",J1672/MAX(1,N(E1672)))</f>
        <v/>
      </c>
      <c r="L1672" s="37">
        <f>IF(OR(D1672="",A1672=""),"",A1672+IF(AND(Config!$B$17="Sim",LEFT(D1672,17)="Cartão de crédito"),1,IFERROR(INDEX(Config!$C$12:$C$15,MATCH(IF(AND(D1672="Cartão de crédito",N(E1672)&gt;1),"Cartão de crédito parcelado",D1672),Config!$A$12:$A$15,0)),0)))</f>
        <v/>
      </c>
      <c r="M1672" s="37">
        <f>IF(L1672="","",IF(AND(Config!$B$17="Sim",LEFT(D1672,17)="Cartão de crédito"),L1672,L1672+30*(MAX(1,N(E1672))-1)))</f>
        <v/>
      </c>
      <c r="N1672" s="29">
        <f>IF(OR(L1672="",K1672=""),"",K1672*MIN(MAX(1,N(E1672)),MAX(0,INT((Config!$B$8-L1672)/30)+1)))</f>
        <v/>
      </c>
      <c r="O1672" s="29">
        <f>IF(J1672="","",J1672-N(N1672))</f>
        <v/>
      </c>
      <c r="P1672" s="27">
        <f>IF(A1672="","",MONTH(A1672))</f>
        <v/>
      </c>
      <c r="Q1672" s="27">
        <f>IF(A1672="","",YEAR(A1672))</f>
        <v/>
      </c>
      <c r="R1672" s="27">
        <f>IF(L1672="","",IF(L1672&gt;Config!$B$8,"A cair",IF(N(G1672)&gt;=MIN(MAX(1,N(E1672)),MAX(0,INT((Config!$B$8-L1672)/30)+1)),IF(N(G1672)&gt;=MAX(1,N(E1672)),"Conferido","Conferido até aqui"),"A conferir")))</f>
        <v/>
      </c>
      <c r="S1672" s="51">
        <f>IF(R1672="A conferir",(Config!$B$8-L1672)*1000+N(F1672)/1000+ROW()/100000,0)</f>
        <v>0</v>
      </c>
      <c r="T1672" s="51">
        <f>IF(R1672="A conferir",N(N1672),0)</f>
        <v>0</v>
      </c>
      <c r="U1672" s="51">
        <f>IF(L1672="",0,L1672)</f>
        <v>0</v>
      </c>
      <c r="V1672" s="51">
        <f>IF(L1672="",0,MAX(1,N(E1672)))</f>
        <v>0</v>
      </c>
      <c r="W1672" s="51">
        <f>IF(K1672="",0,K1672)</f>
        <v>0</v>
      </c>
    </row>
    <row r="1673">
      <c r="A1673" s="49" t="n"/>
      <c r="B1673" s="41" t="n"/>
      <c r="C1673" s="41" t="n"/>
      <c r="D1673" s="42" t="n"/>
      <c r="E1673" s="42" t="n"/>
      <c r="F1673" s="50" t="n"/>
      <c r="G1673" s="42" t="n"/>
      <c r="H1673" s="30">
        <f>IF(D1673="","",IFERROR(INDEX(Config!$B$12:$B$15,MATCH(IF(AND(D1673="Cartão de crédito",N(E1673)&gt;1),"Cartão de crédito parcelado",D1673),Config!$A$12:$A$15,0)),0)+IF(AND(Config!$B$17="Sim",LEFT(D1673,17)="Cartão de crédito"),Config!$B$18*IFERROR(INDEX(Config!$C$12:$C$15,MATCH(IF(AND(D1673="Cartão de crédito",N(E1673)&gt;1),"Cartão de crédito parcelado",D1673),Config!$A$12:$A$15,0)),0)/30*MAX(1,N(E1673)),0))</f>
        <v/>
      </c>
      <c r="I1673" s="29">
        <f>IF(OR(D1673="",F1673=""),"",ROUND(F1673*H1673,2))</f>
        <v/>
      </c>
      <c r="J1673" s="29">
        <f>IF(I1673="","",F1673-I1673)</f>
        <v/>
      </c>
      <c r="K1673" s="29">
        <f>IF(J1673="","",J1673/MAX(1,N(E1673)))</f>
        <v/>
      </c>
      <c r="L1673" s="37">
        <f>IF(OR(D1673="",A1673=""),"",A1673+IF(AND(Config!$B$17="Sim",LEFT(D1673,17)="Cartão de crédito"),1,IFERROR(INDEX(Config!$C$12:$C$15,MATCH(IF(AND(D1673="Cartão de crédito",N(E1673)&gt;1),"Cartão de crédito parcelado",D1673),Config!$A$12:$A$15,0)),0)))</f>
        <v/>
      </c>
      <c r="M1673" s="37">
        <f>IF(L1673="","",IF(AND(Config!$B$17="Sim",LEFT(D1673,17)="Cartão de crédito"),L1673,L1673+30*(MAX(1,N(E1673))-1)))</f>
        <v/>
      </c>
      <c r="N1673" s="29">
        <f>IF(OR(L1673="",K1673=""),"",K1673*MIN(MAX(1,N(E1673)),MAX(0,INT((Config!$B$8-L1673)/30)+1)))</f>
        <v/>
      </c>
      <c r="O1673" s="29">
        <f>IF(J1673="","",J1673-N(N1673))</f>
        <v/>
      </c>
      <c r="P1673" s="27">
        <f>IF(A1673="","",MONTH(A1673))</f>
        <v/>
      </c>
      <c r="Q1673" s="27">
        <f>IF(A1673="","",YEAR(A1673))</f>
        <v/>
      </c>
      <c r="R1673" s="27">
        <f>IF(L1673="","",IF(L1673&gt;Config!$B$8,"A cair",IF(N(G1673)&gt;=MIN(MAX(1,N(E1673)),MAX(0,INT((Config!$B$8-L1673)/30)+1)),IF(N(G1673)&gt;=MAX(1,N(E1673)),"Conferido","Conferido até aqui"),"A conferir")))</f>
        <v/>
      </c>
      <c r="S1673" s="51">
        <f>IF(R1673="A conferir",(Config!$B$8-L1673)*1000+N(F1673)/1000+ROW()/100000,0)</f>
        <v>0</v>
      </c>
      <c r="T1673" s="51">
        <f>IF(R1673="A conferir",N(N1673),0)</f>
        <v>0</v>
      </c>
      <c r="U1673" s="51">
        <f>IF(L1673="",0,L1673)</f>
        <v>0</v>
      </c>
      <c r="V1673" s="51">
        <f>IF(L1673="",0,MAX(1,N(E1673)))</f>
        <v>0</v>
      </c>
      <c r="W1673" s="51">
        <f>IF(K1673="",0,K1673)</f>
        <v>0</v>
      </c>
    </row>
    <row r="1674">
      <c r="A1674" s="49" t="n"/>
      <c r="B1674" s="41" t="n"/>
      <c r="C1674" s="41" t="n"/>
      <c r="D1674" s="42" t="n"/>
      <c r="E1674" s="42" t="n"/>
      <c r="F1674" s="50" t="n"/>
      <c r="G1674" s="42" t="n"/>
      <c r="H1674" s="30">
        <f>IF(D1674="","",IFERROR(INDEX(Config!$B$12:$B$15,MATCH(IF(AND(D1674="Cartão de crédito",N(E1674)&gt;1),"Cartão de crédito parcelado",D1674),Config!$A$12:$A$15,0)),0)+IF(AND(Config!$B$17="Sim",LEFT(D1674,17)="Cartão de crédito"),Config!$B$18*IFERROR(INDEX(Config!$C$12:$C$15,MATCH(IF(AND(D1674="Cartão de crédito",N(E1674)&gt;1),"Cartão de crédito parcelado",D1674),Config!$A$12:$A$15,0)),0)/30*MAX(1,N(E1674)),0))</f>
        <v/>
      </c>
      <c r="I1674" s="29">
        <f>IF(OR(D1674="",F1674=""),"",ROUND(F1674*H1674,2))</f>
        <v/>
      </c>
      <c r="J1674" s="29">
        <f>IF(I1674="","",F1674-I1674)</f>
        <v/>
      </c>
      <c r="K1674" s="29">
        <f>IF(J1674="","",J1674/MAX(1,N(E1674)))</f>
        <v/>
      </c>
      <c r="L1674" s="37">
        <f>IF(OR(D1674="",A1674=""),"",A1674+IF(AND(Config!$B$17="Sim",LEFT(D1674,17)="Cartão de crédito"),1,IFERROR(INDEX(Config!$C$12:$C$15,MATCH(IF(AND(D1674="Cartão de crédito",N(E1674)&gt;1),"Cartão de crédito parcelado",D1674),Config!$A$12:$A$15,0)),0)))</f>
        <v/>
      </c>
      <c r="M1674" s="37">
        <f>IF(L1674="","",IF(AND(Config!$B$17="Sim",LEFT(D1674,17)="Cartão de crédito"),L1674,L1674+30*(MAX(1,N(E1674))-1)))</f>
        <v/>
      </c>
      <c r="N1674" s="29">
        <f>IF(OR(L1674="",K1674=""),"",K1674*MIN(MAX(1,N(E1674)),MAX(0,INT((Config!$B$8-L1674)/30)+1)))</f>
        <v/>
      </c>
      <c r="O1674" s="29">
        <f>IF(J1674="","",J1674-N(N1674))</f>
        <v/>
      </c>
      <c r="P1674" s="27">
        <f>IF(A1674="","",MONTH(A1674))</f>
        <v/>
      </c>
      <c r="Q1674" s="27">
        <f>IF(A1674="","",YEAR(A1674))</f>
        <v/>
      </c>
      <c r="R1674" s="27">
        <f>IF(L1674="","",IF(L1674&gt;Config!$B$8,"A cair",IF(N(G1674)&gt;=MIN(MAX(1,N(E1674)),MAX(0,INT((Config!$B$8-L1674)/30)+1)),IF(N(G1674)&gt;=MAX(1,N(E1674)),"Conferido","Conferido até aqui"),"A conferir")))</f>
        <v/>
      </c>
      <c r="S1674" s="51">
        <f>IF(R1674="A conferir",(Config!$B$8-L1674)*1000+N(F1674)/1000+ROW()/100000,0)</f>
        <v>0</v>
      </c>
      <c r="T1674" s="51">
        <f>IF(R1674="A conferir",N(N1674),0)</f>
        <v>0</v>
      </c>
      <c r="U1674" s="51">
        <f>IF(L1674="",0,L1674)</f>
        <v>0</v>
      </c>
      <c r="V1674" s="51">
        <f>IF(L1674="",0,MAX(1,N(E1674)))</f>
        <v>0</v>
      </c>
      <c r="W1674" s="51">
        <f>IF(K1674="",0,K1674)</f>
        <v>0</v>
      </c>
    </row>
    <row r="1675">
      <c r="A1675" s="49" t="n"/>
      <c r="B1675" s="41" t="n"/>
      <c r="C1675" s="41" t="n"/>
      <c r="D1675" s="42" t="n"/>
      <c r="E1675" s="42" t="n"/>
      <c r="F1675" s="50" t="n"/>
      <c r="G1675" s="42" t="n"/>
      <c r="H1675" s="30">
        <f>IF(D1675="","",IFERROR(INDEX(Config!$B$12:$B$15,MATCH(IF(AND(D1675="Cartão de crédito",N(E1675)&gt;1),"Cartão de crédito parcelado",D1675),Config!$A$12:$A$15,0)),0)+IF(AND(Config!$B$17="Sim",LEFT(D1675,17)="Cartão de crédito"),Config!$B$18*IFERROR(INDEX(Config!$C$12:$C$15,MATCH(IF(AND(D1675="Cartão de crédito",N(E1675)&gt;1),"Cartão de crédito parcelado",D1675),Config!$A$12:$A$15,0)),0)/30*MAX(1,N(E1675)),0))</f>
        <v/>
      </c>
      <c r="I1675" s="29">
        <f>IF(OR(D1675="",F1675=""),"",ROUND(F1675*H1675,2))</f>
        <v/>
      </c>
      <c r="J1675" s="29">
        <f>IF(I1675="","",F1675-I1675)</f>
        <v/>
      </c>
      <c r="K1675" s="29">
        <f>IF(J1675="","",J1675/MAX(1,N(E1675)))</f>
        <v/>
      </c>
      <c r="L1675" s="37">
        <f>IF(OR(D1675="",A1675=""),"",A1675+IF(AND(Config!$B$17="Sim",LEFT(D1675,17)="Cartão de crédito"),1,IFERROR(INDEX(Config!$C$12:$C$15,MATCH(IF(AND(D1675="Cartão de crédito",N(E1675)&gt;1),"Cartão de crédito parcelado",D1675),Config!$A$12:$A$15,0)),0)))</f>
        <v/>
      </c>
      <c r="M1675" s="37">
        <f>IF(L1675="","",IF(AND(Config!$B$17="Sim",LEFT(D1675,17)="Cartão de crédito"),L1675,L1675+30*(MAX(1,N(E1675))-1)))</f>
        <v/>
      </c>
      <c r="N1675" s="29">
        <f>IF(OR(L1675="",K1675=""),"",K1675*MIN(MAX(1,N(E1675)),MAX(0,INT((Config!$B$8-L1675)/30)+1)))</f>
        <v/>
      </c>
      <c r="O1675" s="29">
        <f>IF(J1675="","",J1675-N(N1675))</f>
        <v/>
      </c>
      <c r="P1675" s="27">
        <f>IF(A1675="","",MONTH(A1675))</f>
        <v/>
      </c>
      <c r="Q1675" s="27">
        <f>IF(A1675="","",YEAR(A1675))</f>
        <v/>
      </c>
      <c r="R1675" s="27">
        <f>IF(L1675="","",IF(L1675&gt;Config!$B$8,"A cair",IF(N(G1675)&gt;=MIN(MAX(1,N(E1675)),MAX(0,INT((Config!$B$8-L1675)/30)+1)),IF(N(G1675)&gt;=MAX(1,N(E1675)),"Conferido","Conferido até aqui"),"A conferir")))</f>
        <v/>
      </c>
      <c r="S1675" s="51">
        <f>IF(R1675="A conferir",(Config!$B$8-L1675)*1000+N(F1675)/1000+ROW()/100000,0)</f>
        <v>0</v>
      </c>
      <c r="T1675" s="51">
        <f>IF(R1675="A conferir",N(N1675),0)</f>
        <v>0</v>
      </c>
      <c r="U1675" s="51">
        <f>IF(L1675="",0,L1675)</f>
        <v>0</v>
      </c>
      <c r="V1675" s="51">
        <f>IF(L1675="",0,MAX(1,N(E1675)))</f>
        <v>0</v>
      </c>
      <c r="W1675" s="51">
        <f>IF(K1675="",0,K1675)</f>
        <v>0</v>
      </c>
    </row>
    <row r="1676">
      <c r="A1676" s="49" t="n"/>
      <c r="B1676" s="41" t="n"/>
      <c r="C1676" s="41" t="n"/>
      <c r="D1676" s="42" t="n"/>
      <c r="E1676" s="42" t="n"/>
      <c r="F1676" s="50" t="n"/>
      <c r="G1676" s="42" t="n"/>
      <c r="H1676" s="30">
        <f>IF(D1676="","",IFERROR(INDEX(Config!$B$12:$B$15,MATCH(IF(AND(D1676="Cartão de crédito",N(E1676)&gt;1),"Cartão de crédito parcelado",D1676),Config!$A$12:$A$15,0)),0)+IF(AND(Config!$B$17="Sim",LEFT(D1676,17)="Cartão de crédito"),Config!$B$18*IFERROR(INDEX(Config!$C$12:$C$15,MATCH(IF(AND(D1676="Cartão de crédito",N(E1676)&gt;1),"Cartão de crédito parcelado",D1676),Config!$A$12:$A$15,0)),0)/30*MAX(1,N(E1676)),0))</f>
        <v/>
      </c>
      <c r="I1676" s="29">
        <f>IF(OR(D1676="",F1676=""),"",ROUND(F1676*H1676,2))</f>
        <v/>
      </c>
      <c r="J1676" s="29">
        <f>IF(I1676="","",F1676-I1676)</f>
        <v/>
      </c>
      <c r="K1676" s="29">
        <f>IF(J1676="","",J1676/MAX(1,N(E1676)))</f>
        <v/>
      </c>
      <c r="L1676" s="37">
        <f>IF(OR(D1676="",A1676=""),"",A1676+IF(AND(Config!$B$17="Sim",LEFT(D1676,17)="Cartão de crédito"),1,IFERROR(INDEX(Config!$C$12:$C$15,MATCH(IF(AND(D1676="Cartão de crédito",N(E1676)&gt;1),"Cartão de crédito parcelado",D1676),Config!$A$12:$A$15,0)),0)))</f>
        <v/>
      </c>
      <c r="M1676" s="37">
        <f>IF(L1676="","",IF(AND(Config!$B$17="Sim",LEFT(D1676,17)="Cartão de crédito"),L1676,L1676+30*(MAX(1,N(E1676))-1)))</f>
        <v/>
      </c>
      <c r="N1676" s="29">
        <f>IF(OR(L1676="",K1676=""),"",K1676*MIN(MAX(1,N(E1676)),MAX(0,INT((Config!$B$8-L1676)/30)+1)))</f>
        <v/>
      </c>
      <c r="O1676" s="29">
        <f>IF(J1676="","",J1676-N(N1676))</f>
        <v/>
      </c>
      <c r="P1676" s="27">
        <f>IF(A1676="","",MONTH(A1676))</f>
        <v/>
      </c>
      <c r="Q1676" s="27">
        <f>IF(A1676="","",YEAR(A1676))</f>
        <v/>
      </c>
      <c r="R1676" s="27">
        <f>IF(L1676="","",IF(L1676&gt;Config!$B$8,"A cair",IF(N(G1676)&gt;=MIN(MAX(1,N(E1676)),MAX(0,INT((Config!$B$8-L1676)/30)+1)),IF(N(G1676)&gt;=MAX(1,N(E1676)),"Conferido","Conferido até aqui"),"A conferir")))</f>
        <v/>
      </c>
      <c r="S1676" s="51">
        <f>IF(R1676="A conferir",(Config!$B$8-L1676)*1000+N(F1676)/1000+ROW()/100000,0)</f>
        <v>0</v>
      </c>
      <c r="T1676" s="51">
        <f>IF(R1676="A conferir",N(N1676),0)</f>
        <v>0</v>
      </c>
      <c r="U1676" s="51">
        <f>IF(L1676="",0,L1676)</f>
        <v>0</v>
      </c>
      <c r="V1676" s="51">
        <f>IF(L1676="",0,MAX(1,N(E1676)))</f>
        <v>0</v>
      </c>
      <c r="W1676" s="51">
        <f>IF(K1676="",0,K1676)</f>
        <v>0</v>
      </c>
    </row>
    <row r="1677">
      <c r="A1677" s="49" t="n"/>
      <c r="B1677" s="41" t="n"/>
      <c r="C1677" s="41" t="n"/>
      <c r="D1677" s="42" t="n"/>
      <c r="E1677" s="42" t="n"/>
      <c r="F1677" s="50" t="n"/>
      <c r="G1677" s="42" t="n"/>
      <c r="H1677" s="30">
        <f>IF(D1677="","",IFERROR(INDEX(Config!$B$12:$B$15,MATCH(IF(AND(D1677="Cartão de crédito",N(E1677)&gt;1),"Cartão de crédito parcelado",D1677),Config!$A$12:$A$15,0)),0)+IF(AND(Config!$B$17="Sim",LEFT(D1677,17)="Cartão de crédito"),Config!$B$18*IFERROR(INDEX(Config!$C$12:$C$15,MATCH(IF(AND(D1677="Cartão de crédito",N(E1677)&gt;1),"Cartão de crédito parcelado",D1677),Config!$A$12:$A$15,0)),0)/30*MAX(1,N(E1677)),0))</f>
        <v/>
      </c>
      <c r="I1677" s="29">
        <f>IF(OR(D1677="",F1677=""),"",ROUND(F1677*H1677,2))</f>
        <v/>
      </c>
      <c r="J1677" s="29">
        <f>IF(I1677="","",F1677-I1677)</f>
        <v/>
      </c>
      <c r="K1677" s="29">
        <f>IF(J1677="","",J1677/MAX(1,N(E1677)))</f>
        <v/>
      </c>
      <c r="L1677" s="37">
        <f>IF(OR(D1677="",A1677=""),"",A1677+IF(AND(Config!$B$17="Sim",LEFT(D1677,17)="Cartão de crédito"),1,IFERROR(INDEX(Config!$C$12:$C$15,MATCH(IF(AND(D1677="Cartão de crédito",N(E1677)&gt;1),"Cartão de crédito parcelado",D1677),Config!$A$12:$A$15,0)),0)))</f>
        <v/>
      </c>
      <c r="M1677" s="37">
        <f>IF(L1677="","",IF(AND(Config!$B$17="Sim",LEFT(D1677,17)="Cartão de crédito"),L1677,L1677+30*(MAX(1,N(E1677))-1)))</f>
        <v/>
      </c>
      <c r="N1677" s="29">
        <f>IF(OR(L1677="",K1677=""),"",K1677*MIN(MAX(1,N(E1677)),MAX(0,INT((Config!$B$8-L1677)/30)+1)))</f>
        <v/>
      </c>
      <c r="O1677" s="29">
        <f>IF(J1677="","",J1677-N(N1677))</f>
        <v/>
      </c>
      <c r="P1677" s="27">
        <f>IF(A1677="","",MONTH(A1677))</f>
        <v/>
      </c>
      <c r="Q1677" s="27">
        <f>IF(A1677="","",YEAR(A1677))</f>
        <v/>
      </c>
      <c r="R1677" s="27">
        <f>IF(L1677="","",IF(L1677&gt;Config!$B$8,"A cair",IF(N(G1677)&gt;=MIN(MAX(1,N(E1677)),MAX(0,INT((Config!$B$8-L1677)/30)+1)),IF(N(G1677)&gt;=MAX(1,N(E1677)),"Conferido","Conferido até aqui"),"A conferir")))</f>
        <v/>
      </c>
      <c r="S1677" s="51">
        <f>IF(R1677="A conferir",(Config!$B$8-L1677)*1000+N(F1677)/1000+ROW()/100000,0)</f>
        <v>0</v>
      </c>
      <c r="T1677" s="51">
        <f>IF(R1677="A conferir",N(N1677),0)</f>
        <v>0</v>
      </c>
      <c r="U1677" s="51">
        <f>IF(L1677="",0,L1677)</f>
        <v>0</v>
      </c>
      <c r="V1677" s="51">
        <f>IF(L1677="",0,MAX(1,N(E1677)))</f>
        <v>0</v>
      </c>
      <c r="W1677" s="51">
        <f>IF(K1677="",0,K1677)</f>
        <v>0</v>
      </c>
    </row>
    <row r="1678">
      <c r="A1678" s="49" t="n"/>
      <c r="B1678" s="41" t="n"/>
      <c r="C1678" s="41" t="n"/>
      <c r="D1678" s="42" t="n"/>
      <c r="E1678" s="42" t="n"/>
      <c r="F1678" s="50" t="n"/>
      <c r="G1678" s="42" t="n"/>
      <c r="H1678" s="30">
        <f>IF(D1678="","",IFERROR(INDEX(Config!$B$12:$B$15,MATCH(IF(AND(D1678="Cartão de crédito",N(E1678)&gt;1),"Cartão de crédito parcelado",D1678),Config!$A$12:$A$15,0)),0)+IF(AND(Config!$B$17="Sim",LEFT(D1678,17)="Cartão de crédito"),Config!$B$18*IFERROR(INDEX(Config!$C$12:$C$15,MATCH(IF(AND(D1678="Cartão de crédito",N(E1678)&gt;1),"Cartão de crédito parcelado",D1678),Config!$A$12:$A$15,0)),0)/30*MAX(1,N(E1678)),0))</f>
        <v/>
      </c>
      <c r="I1678" s="29">
        <f>IF(OR(D1678="",F1678=""),"",ROUND(F1678*H1678,2))</f>
        <v/>
      </c>
      <c r="J1678" s="29">
        <f>IF(I1678="","",F1678-I1678)</f>
        <v/>
      </c>
      <c r="K1678" s="29">
        <f>IF(J1678="","",J1678/MAX(1,N(E1678)))</f>
        <v/>
      </c>
      <c r="L1678" s="37">
        <f>IF(OR(D1678="",A1678=""),"",A1678+IF(AND(Config!$B$17="Sim",LEFT(D1678,17)="Cartão de crédito"),1,IFERROR(INDEX(Config!$C$12:$C$15,MATCH(IF(AND(D1678="Cartão de crédito",N(E1678)&gt;1),"Cartão de crédito parcelado",D1678),Config!$A$12:$A$15,0)),0)))</f>
        <v/>
      </c>
      <c r="M1678" s="37">
        <f>IF(L1678="","",IF(AND(Config!$B$17="Sim",LEFT(D1678,17)="Cartão de crédito"),L1678,L1678+30*(MAX(1,N(E1678))-1)))</f>
        <v/>
      </c>
      <c r="N1678" s="29">
        <f>IF(OR(L1678="",K1678=""),"",K1678*MIN(MAX(1,N(E1678)),MAX(0,INT((Config!$B$8-L1678)/30)+1)))</f>
        <v/>
      </c>
      <c r="O1678" s="29">
        <f>IF(J1678="","",J1678-N(N1678))</f>
        <v/>
      </c>
      <c r="P1678" s="27">
        <f>IF(A1678="","",MONTH(A1678))</f>
        <v/>
      </c>
      <c r="Q1678" s="27">
        <f>IF(A1678="","",YEAR(A1678))</f>
        <v/>
      </c>
      <c r="R1678" s="27">
        <f>IF(L1678="","",IF(L1678&gt;Config!$B$8,"A cair",IF(N(G1678)&gt;=MIN(MAX(1,N(E1678)),MAX(0,INT((Config!$B$8-L1678)/30)+1)),IF(N(G1678)&gt;=MAX(1,N(E1678)),"Conferido","Conferido até aqui"),"A conferir")))</f>
        <v/>
      </c>
      <c r="S1678" s="51">
        <f>IF(R1678="A conferir",(Config!$B$8-L1678)*1000+N(F1678)/1000+ROW()/100000,0)</f>
        <v>0</v>
      </c>
      <c r="T1678" s="51">
        <f>IF(R1678="A conferir",N(N1678),0)</f>
        <v>0</v>
      </c>
      <c r="U1678" s="51">
        <f>IF(L1678="",0,L1678)</f>
        <v>0</v>
      </c>
      <c r="V1678" s="51">
        <f>IF(L1678="",0,MAX(1,N(E1678)))</f>
        <v>0</v>
      </c>
      <c r="W1678" s="51">
        <f>IF(K1678="",0,K1678)</f>
        <v>0</v>
      </c>
    </row>
    <row r="1679">
      <c r="A1679" s="49" t="n"/>
      <c r="B1679" s="41" t="n"/>
      <c r="C1679" s="41" t="n"/>
      <c r="D1679" s="42" t="n"/>
      <c r="E1679" s="42" t="n"/>
      <c r="F1679" s="50" t="n"/>
      <c r="G1679" s="42" t="n"/>
      <c r="H1679" s="30">
        <f>IF(D1679="","",IFERROR(INDEX(Config!$B$12:$B$15,MATCH(IF(AND(D1679="Cartão de crédito",N(E1679)&gt;1),"Cartão de crédito parcelado",D1679),Config!$A$12:$A$15,0)),0)+IF(AND(Config!$B$17="Sim",LEFT(D1679,17)="Cartão de crédito"),Config!$B$18*IFERROR(INDEX(Config!$C$12:$C$15,MATCH(IF(AND(D1679="Cartão de crédito",N(E1679)&gt;1),"Cartão de crédito parcelado",D1679),Config!$A$12:$A$15,0)),0)/30*MAX(1,N(E1679)),0))</f>
        <v/>
      </c>
      <c r="I1679" s="29">
        <f>IF(OR(D1679="",F1679=""),"",ROUND(F1679*H1679,2))</f>
        <v/>
      </c>
      <c r="J1679" s="29">
        <f>IF(I1679="","",F1679-I1679)</f>
        <v/>
      </c>
      <c r="K1679" s="29">
        <f>IF(J1679="","",J1679/MAX(1,N(E1679)))</f>
        <v/>
      </c>
      <c r="L1679" s="37">
        <f>IF(OR(D1679="",A1679=""),"",A1679+IF(AND(Config!$B$17="Sim",LEFT(D1679,17)="Cartão de crédito"),1,IFERROR(INDEX(Config!$C$12:$C$15,MATCH(IF(AND(D1679="Cartão de crédito",N(E1679)&gt;1),"Cartão de crédito parcelado",D1679),Config!$A$12:$A$15,0)),0)))</f>
        <v/>
      </c>
      <c r="M1679" s="37">
        <f>IF(L1679="","",IF(AND(Config!$B$17="Sim",LEFT(D1679,17)="Cartão de crédito"),L1679,L1679+30*(MAX(1,N(E1679))-1)))</f>
        <v/>
      </c>
      <c r="N1679" s="29">
        <f>IF(OR(L1679="",K1679=""),"",K1679*MIN(MAX(1,N(E1679)),MAX(0,INT((Config!$B$8-L1679)/30)+1)))</f>
        <v/>
      </c>
      <c r="O1679" s="29">
        <f>IF(J1679="","",J1679-N(N1679))</f>
        <v/>
      </c>
      <c r="P1679" s="27">
        <f>IF(A1679="","",MONTH(A1679))</f>
        <v/>
      </c>
      <c r="Q1679" s="27">
        <f>IF(A1679="","",YEAR(A1679))</f>
        <v/>
      </c>
      <c r="R1679" s="27">
        <f>IF(L1679="","",IF(L1679&gt;Config!$B$8,"A cair",IF(N(G1679)&gt;=MIN(MAX(1,N(E1679)),MAX(0,INT((Config!$B$8-L1679)/30)+1)),IF(N(G1679)&gt;=MAX(1,N(E1679)),"Conferido","Conferido até aqui"),"A conferir")))</f>
        <v/>
      </c>
      <c r="S1679" s="51">
        <f>IF(R1679="A conferir",(Config!$B$8-L1679)*1000+N(F1679)/1000+ROW()/100000,0)</f>
        <v>0</v>
      </c>
      <c r="T1679" s="51">
        <f>IF(R1679="A conferir",N(N1679),0)</f>
        <v>0</v>
      </c>
      <c r="U1679" s="51">
        <f>IF(L1679="",0,L1679)</f>
        <v>0</v>
      </c>
      <c r="V1679" s="51">
        <f>IF(L1679="",0,MAX(1,N(E1679)))</f>
        <v>0</v>
      </c>
      <c r="W1679" s="51">
        <f>IF(K1679="",0,K1679)</f>
        <v>0</v>
      </c>
    </row>
    <row r="1680">
      <c r="A1680" s="49" t="n"/>
      <c r="B1680" s="41" t="n"/>
      <c r="C1680" s="41" t="n"/>
      <c r="D1680" s="42" t="n"/>
      <c r="E1680" s="42" t="n"/>
      <c r="F1680" s="50" t="n"/>
      <c r="G1680" s="42" t="n"/>
      <c r="H1680" s="30">
        <f>IF(D1680="","",IFERROR(INDEX(Config!$B$12:$B$15,MATCH(IF(AND(D1680="Cartão de crédito",N(E1680)&gt;1),"Cartão de crédito parcelado",D1680),Config!$A$12:$A$15,0)),0)+IF(AND(Config!$B$17="Sim",LEFT(D1680,17)="Cartão de crédito"),Config!$B$18*IFERROR(INDEX(Config!$C$12:$C$15,MATCH(IF(AND(D1680="Cartão de crédito",N(E1680)&gt;1),"Cartão de crédito parcelado",D1680),Config!$A$12:$A$15,0)),0)/30*MAX(1,N(E1680)),0))</f>
        <v/>
      </c>
      <c r="I1680" s="29">
        <f>IF(OR(D1680="",F1680=""),"",ROUND(F1680*H1680,2))</f>
        <v/>
      </c>
      <c r="J1680" s="29">
        <f>IF(I1680="","",F1680-I1680)</f>
        <v/>
      </c>
      <c r="K1680" s="29">
        <f>IF(J1680="","",J1680/MAX(1,N(E1680)))</f>
        <v/>
      </c>
      <c r="L1680" s="37">
        <f>IF(OR(D1680="",A1680=""),"",A1680+IF(AND(Config!$B$17="Sim",LEFT(D1680,17)="Cartão de crédito"),1,IFERROR(INDEX(Config!$C$12:$C$15,MATCH(IF(AND(D1680="Cartão de crédito",N(E1680)&gt;1),"Cartão de crédito parcelado",D1680),Config!$A$12:$A$15,0)),0)))</f>
        <v/>
      </c>
      <c r="M1680" s="37">
        <f>IF(L1680="","",IF(AND(Config!$B$17="Sim",LEFT(D1680,17)="Cartão de crédito"),L1680,L1680+30*(MAX(1,N(E1680))-1)))</f>
        <v/>
      </c>
      <c r="N1680" s="29">
        <f>IF(OR(L1680="",K1680=""),"",K1680*MIN(MAX(1,N(E1680)),MAX(0,INT((Config!$B$8-L1680)/30)+1)))</f>
        <v/>
      </c>
      <c r="O1680" s="29">
        <f>IF(J1680="","",J1680-N(N1680))</f>
        <v/>
      </c>
      <c r="P1680" s="27">
        <f>IF(A1680="","",MONTH(A1680))</f>
        <v/>
      </c>
      <c r="Q1680" s="27">
        <f>IF(A1680="","",YEAR(A1680))</f>
        <v/>
      </c>
      <c r="R1680" s="27">
        <f>IF(L1680="","",IF(L1680&gt;Config!$B$8,"A cair",IF(N(G1680)&gt;=MIN(MAX(1,N(E1680)),MAX(0,INT((Config!$B$8-L1680)/30)+1)),IF(N(G1680)&gt;=MAX(1,N(E1680)),"Conferido","Conferido até aqui"),"A conferir")))</f>
        <v/>
      </c>
      <c r="S1680" s="51">
        <f>IF(R1680="A conferir",(Config!$B$8-L1680)*1000+N(F1680)/1000+ROW()/100000,0)</f>
        <v>0</v>
      </c>
      <c r="T1680" s="51">
        <f>IF(R1680="A conferir",N(N1680),0)</f>
        <v>0</v>
      </c>
      <c r="U1680" s="51">
        <f>IF(L1680="",0,L1680)</f>
        <v>0</v>
      </c>
      <c r="V1680" s="51">
        <f>IF(L1680="",0,MAX(1,N(E1680)))</f>
        <v>0</v>
      </c>
      <c r="W1680" s="51">
        <f>IF(K1680="",0,K1680)</f>
        <v>0</v>
      </c>
    </row>
    <row r="1681">
      <c r="A1681" s="49" t="n"/>
      <c r="B1681" s="41" t="n"/>
      <c r="C1681" s="41" t="n"/>
      <c r="D1681" s="42" t="n"/>
      <c r="E1681" s="42" t="n"/>
      <c r="F1681" s="50" t="n"/>
      <c r="G1681" s="42" t="n"/>
      <c r="H1681" s="30">
        <f>IF(D1681="","",IFERROR(INDEX(Config!$B$12:$B$15,MATCH(IF(AND(D1681="Cartão de crédito",N(E1681)&gt;1),"Cartão de crédito parcelado",D1681),Config!$A$12:$A$15,0)),0)+IF(AND(Config!$B$17="Sim",LEFT(D1681,17)="Cartão de crédito"),Config!$B$18*IFERROR(INDEX(Config!$C$12:$C$15,MATCH(IF(AND(D1681="Cartão de crédito",N(E1681)&gt;1),"Cartão de crédito parcelado",D1681),Config!$A$12:$A$15,0)),0)/30*MAX(1,N(E1681)),0))</f>
        <v/>
      </c>
      <c r="I1681" s="29">
        <f>IF(OR(D1681="",F1681=""),"",ROUND(F1681*H1681,2))</f>
        <v/>
      </c>
      <c r="J1681" s="29">
        <f>IF(I1681="","",F1681-I1681)</f>
        <v/>
      </c>
      <c r="K1681" s="29">
        <f>IF(J1681="","",J1681/MAX(1,N(E1681)))</f>
        <v/>
      </c>
      <c r="L1681" s="37">
        <f>IF(OR(D1681="",A1681=""),"",A1681+IF(AND(Config!$B$17="Sim",LEFT(D1681,17)="Cartão de crédito"),1,IFERROR(INDEX(Config!$C$12:$C$15,MATCH(IF(AND(D1681="Cartão de crédito",N(E1681)&gt;1),"Cartão de crédito parcelado",D1681),Config!$A$12:$A$15,0)),0)))</f>
        <v/>
      </c>
      <c r="M1681" s="37">
        <f>IF(L1681="","",IF(AND(Config!$B$17="Sim",LEFT(D1681,17)="Cartão de crédito"),L1681,L1681+30*(MAX(1,N(E1681))-1)))</f>
        <v/>
      </c>
      <c r="N1681" s="29">
        <f>IF(OR(L1681="",K1681=""),"",K1681*MIN(MAX(1,N(E1681)),MAX(0,INT((Config!$B$8-L1681)/30)+1)))</f>
        <v/>
      </c>
      <c r="O1681" s="29">
        <f>IF(J1681="","",J1681-N(N1681))</f>
        <v/>
      </c>
      <c r="P1681" s="27">
        <f>IF(A1681="","",MONTH(A1681))</f>
        <v/>
      </c>
      <c r="Q1681" s="27">
        <f>IF(A1681="","",YEAR(A1681))</f>
        <v/>
      </c>
      <c r="R1681" s="27">
        <f>IF(L1681="","",IF(L1681&gt;Config!$B$8,"A cair",IF(N(G1681)&gt;=MIN(MAX(1,N(E1681)),MAX(0,INT((Config!$B$8-L1681)/30)+1)),IF(N(G1681)&gt;=MAX(1,N(E1681)),"Conferido","Conferido até aqui"),"A conferir")))</f>
        <v/>
      </c>
      <c r="S1681" s="51">
        <f>IF(R1681="A conferir",(Config!$B$8-L1681)*1000+N(F1681)/1000+ROW()/100000,0)</f>
        <v>0</v>
      </c>
      <c r="T1681" s="51">
        <f>IF(R1681="A conferir",N(N1681),0)</f>
        <v>0</v>
      </c>
      <c r="U1681" s="51">
        <f>IF(L1681="",0,L1681)</f>
        <v>0</v>
      </c>
      <c r="V1681" s="51">
        <f>IF(L1681="",0,MAX(1,N(E1681)))</f>
        <v>0</v>
      </c>
      <c r="W1681" s="51">
        <f>IF(K1681="",0,K1681)</f>
        <v>0</v>
      </c>
    </row>
    <row r="1682">
      <c r="A1682" s="49" t="n"/>
      <c r="B1682" s="41" t="n"/>
      <c r="C1682" s="41" t="n"/>
      <c r="D1682" s="42" t="n"/>
      <c r="E1682" s="42" t="n"/>
      <c r="F1682" s="50" t="n"/>
      <c r="G1682" s="42" t="n"/>
      <c r="H1682" s="30">
        <f>IF(D1682="","",IFERROR(INDEX(Config!$B$12:$B$15,MATCH(IF(AND(D1682="Cartão de crédito",N(E1682)&gt;1),"Cartão de crédito parcelado",D1682),Config!$A$12:$A$15,0)),0)+IF(AND(Config!$B$17="Sim",LEFT(D1682,17)="Cartão de crédito"),Config!$B$18*IFERROR(INDEX(Config!$C$12:$C$15,MATCH(IF(AND(D1682="Cartão de crédito",N(E1682)&gt;1),"Cartão de crédito parcelado",D1682),Config!$A$12:$A$15,0)),0)/30*MAX(1,N(E1682)),0))</f>
        <v/>
      </c>
      <c r="I1682" s="29">
        <f>IF(OR(D1682="",F1682=""),"",ROUND(F1682*H1682,2))</f>
        <v/>
      </c>
      <c r="J1682" s="29">
        <f>IF(I1682="","",F1682-I1682)</f>
        <v/>
      </c>
      <c r="K1682" s="29">
        <f>IF(J1682="","",J1682/MAX(1,N(E1682)))</f>
        <v/>
      </c>
      <c r="L1682" s="37">
        <f>IF(OR(D1682="",A1682=""),"",A1682+IF(AND(Config!$B$17="Sim",LEFT(D1682,17)="Cartão de crédito"),1,IFERROR(INDEX(Config!$C$12:$C$15,MATCH(IF(AND(D1682="Cartão de crédito",N(E1682)&gt;1),"Cartão de crédito parcelado",D1682),Config!$A$12:$A$15,0)),0)))</f>
        <v/>
      </c>
      <c r="M1682" s="37">
        <f>IF(L1682="","",IF(AND(Config!$B$17="Sim",LEFT(D1682,17)="Cartão de crédito"),L1682,L1682+30*(MAX(1,N(E1682))-1)))</f>
        <v/>
      </c>
      <c r="N1682" s="29">
        <f>IF(OR(L1682="",K1682=""),"",K1682*MIN(MAX(1,N(E1682)),MAX(0,INT((Config!$B$8-L1682)/30)+1)))</f>
        <v/>
      </c>
      <c r="O1682" s="29">
        <f>IF(J1682="","",J1682-N(N1682))</f>
        <v/>
      </c>
      <c r="P1682" s="27">
        <f>IF(A1682="","",MONTH(A1682))</f>
        <v/>
      </c>
      <c r="Q1682" s="27">
        <f>IF(A1682="","",YEAR(A1682))</f>
        <v/>
      </c>
      <c r="R1682" s="27">
        <f>IF(L1682="","",IF(L1682&gt;Config!$B$8,"A cair",IF(N(G1682)&gt;=MIN(MAX(1,N(E1682)),MAX(0,INT((Config!$B$8-L1682)/30)+1)),IF(N(G1682)&gt;=MAX(1,N(E1682)),"Conferido","Conferido até aqui"),"A conferir")))</f>
        <v/>
      </c>
      <c r="S1682" s="51">
        <f>IF(R1682="A conferir",(Config!$B$8-L1682)*1000+N(F1682)/1000+ROW()/100000,0)</f>
        <v>0</v>
      </c>
      <c r="T1682" s="51">
        <f>IF(R1682="A conferir",N(N1682),0)</f>
        <v>0</v>
      </c>
      <c r="U1682" s="51">
        <f>IF(L1682="",0,L1682)</f>
        <v>0</v>
      </c>
      <c r="V1682" s="51">
        <f>IF(L1682="",0,MAX(1,N(E1682)))</f>
        <v>0</v>
      </c>
      <c r="W1682" s="51">
        <f>IF(K1682="",0,K1682)</f>
        <v>0</v>
      </c>
    </row>
    <row r="1683">
      <c r="A1683" s="49" t="n"/>
      <c r="B1683" s="41" t="n"/>
      <c r="C1683" s="41" t="n"/>
      <c r="D1683" s="42" t="n"/>
      <c r="E1683" s="42" t="n"/>
      <c r="F1683" s="50" t="n"/>
      <c r="G1683" s="42" t="n"/>
      <c r="H1683" s="30">
        <f>IF(D1683="","",IFERROR(INDEX(Config!$B$12:$B$15,MATCH(IF(AND(D1683="Cartão de crédito",N(E1683)&gt;1),"Cartão de crédito parcelado",D1683),Config!$A$12:$A$15,0)),0)+IF(AND(Config!$B$17="Sim",LEFT(D1683,17)="Cartão de crédito"),Config!$B$18*IFERROR(INDEX(Config!$C$12:$C$15,MATCH(IF(AND(D1683="Cartão de crédito",N(E1683)&gt;1),"Cartão de crédito parcelado",D1683),Config!$A$12:$A$15,0)),0)/30*MAX(1,N(E1683)),0))</f>
        <v/>
      </c>
      <c r="I1683" s="29">
        <f>IF(OR(D1683="",F1683=""),"",ROUND(F1683*H1683,2))</f>
        <v/>
      </c>
      <c r="J1683" s="29">
        <f>IF(I1683="","",F1683-I1683)</f>
        <v/>
      </c>
      <c r="K1683" s="29">
        <f>IF(J1683="","",J1683/MAX(1,N(E1683)))</f>
        <v/>
      </c>
      <c r="L1683" s="37">
        <f>IF(OR(D1683="",A1683=""),"",A1683+IF(AND(Config!$B$17="Sim",LEFT(D1683,17)="Cartão de crédito"),1,IFERROR(INDEX(Config!$C$12:$C$15,MATCH(IF(AND(D1683="Cartão de crédito",N(E1683)&gt;1),"Cartão de crédito parcelado",D1683),Config!$A$12:$A$15,0)),0)))</f>
        <v/>
      </c>
      <c r="M1683" s="37">
        <f>IF(L1683="","",IF(AND(Config!$B$17="Sim",LEFT(D1683,17)="Cartão de crédito"),L1683,L1683+30*(MAX(1,N(E1683))-1)))</f>
        <v/>
      </c>
      <c r="N1683" s="29">
        <f>IF(OR(L1683="",K1683=""),"",K1683*MIN(MAX(1,N(E1683)),MAX(0,INT((Config!$B$8-L1683)/30)+1)))</f>
        <v/>
      </c>
      <c r="O1683" s="29">
        <f>IF(J1683="","",J1683-N(N1683))</f>
        <v/>
      </c>
      <c r="P1683" s="27">
        <f>IF(A1683="","",MONTH(A1683))</f>
        <v/>
      </c>
      <c r="Q1683" s="27">
        <f>IF(A1683="","",YEAR(A1683))</f>
        <v/>
      </c>
      <c r="R1683" s="27">
        <f>IF(L1683="","",IF(L1683&gt;Config!$B$8,"A cair",IF(N(G1683)&gt;=MIN(MAX(1,N(E1683)),MAX(0,INT((Config!$B$8-L1683)/30)+1)),IF(N(G1683)&gt;=MAX(1,N(E1683)),"Conferido","Conferido até aqui"),"A conferir")))</f>
        <v/>
      </c>
      <c r="S1683" s="51">
        <f>IF(R1683="A conferir",(Config!$B$8-L1683)*1000+N(F1683)/1000+ROW()/100000,0)</f>
        <v>0</v>
      </c>
      <c r="T1683" s="51">
        <f>IF(R1683="A conferir",N(N1683),0)</f>
        <v>0</v>
      </c>
      <c r="U1683" s="51">
        <f>IF(L1683="",0,L1683)</f>
        <v>0</v>
      </c>
      <c r="V1683" s="51">
        <f>IF(L1683="",0,MAX(1,N(E1683)))</f>
        <v>0</v>
      </c>
      <c r="W1683" s="51">
        <f>IF(K1683="",0,K1683)</f>
        <v>0</v>
      </c>
    </row>
    <row r="1684">
      <c r="A1684" s="49" t="n"/>
      <c r="B1684" s="41" t="n"/>
      <c r="C1684" s="41" t="n"/>
      <c r="D1684" s="42" t="n"/>
      <c r="E1684" s="42" t="n"/>
      <c r="F1684" s="50" t="n"/>
      <c r="G1684" s="42" t="n"/>
      <c r="H1684" s="30">
        <f>IF(D1684="","",IFERROR(INDEX(Config!$B$12:$B$15,MATCH(IF(AND(D1684="Cartão de crédito",N(E1684)&gt;1),"Cartão de crédito parcelado",D1684),Config!$A$12:$A$15,0)),0)+IF(AND(Config!$B$17="Sim",LEFT(D1684,17)="Cartão de crédito"),Config!$B$18*IFERROR(INDEX(Config!$C$12:$C$15,MATCH(IF(AND(D1684="Cartão de crédito",N(E1684)&gt;1),"Cartão de crédito parcelado",D1684),Config!$A$12:$A$15,0)),0)/30*MAX(1,N(E1684)),0))</f>
        <v/>
      </c>
      <c r="I1684" s="29">
        <f>IF(OR(D1684="",F1684=""),"",ROUND(F1684*H1684,2))</f>
        <v/>
      </c>
      <c r="J1684" s="29">
        <f>IF(I1684="","",F1684-I1684)</f>
        <v/>
      </c>
      <c r="K1684" s="29">
        <f>IF(J1684="","",J1684/MAX(1,N(E1684)))</f>
        <v/>
      </c>
      <c r="L1684" s="37">
        <f>IF(OR(D1684="",A1684=""),"",A1684+IF(AND(Config!$B$17="Sim",LEFT(D1684,17)="Cartão de crédito"),1,IFERROR(INDEX(Config!$C$12:$C$15,MATCH(IF(AND(D1684="Cartão de crédito",N(E1684)&gt;1),"Cartão de crédito parcelado",D1684),Config!$A$12:$A$15,0)),0)))</f>
        <v/>
      </c>
      <c r="M1684" s="37">
        <f>IF(L1684="","",IF(AND(Config!$B$17="Sim",LEFT(D1684,17)="Cartão de crédito"),L1684,L1684+30*(MAX(1,N(E1684))-1)))</f>
        <v/>
      </c>
      <c r="N1684" s="29">
        <f>IF(OR(L1684="",K1684=""),"",K1684*MIN(MAX(1,N(E1684)),MAX(0,INT((Config!$B$8-L1684)/30)+1)))</f>
        <v/>
      </c>
      <c r="O1684" s="29">
        <f>IF(J1684="","",J1684-N(N1684))</f>
        <v/>
      </c>
      <c r="P1684" s="27">
        <f>IF(A1684="","",MONTH(A1684))</f>
        <v/>
      </c>
      <c r="Q1684" s="27">
        <f>IF(A1684="","",YEAR(A1684))</f>
        <v/>
      </c>
      <c r="R1684" s="27">
        <f>IF(L1684="","",IF(L1684&gt;Config!$B$8,"A cair",IF(N(G1684)&gt;=MIN(MAX(1,N(E1684)),MAX(0,INT((Config!$B$8-L1684)/30)+1)),IF(N(G1684)&gt;=MAX(1,N(E1684)),"Conferido","Conferido até aqui"),"A conferir")))</f>
        <v/>
      </c>
      <c r="S1684" s="51">
        <f>IF(R1684="A conferir",(Config!$B$8-L1684)*1000+N(F1684)/1000+ROW()/100000,0)</f>
        <v>0</v>
      </c>
      <c r="T1684" s="51">
        <f>IF(R1684="A conferir",N(N1684),0)</f>
        <v>0</v>
      </c>
      <c r="U1684" s="51">
        <f>IF(L1684="",0,L1684)</f>
        <v>0</v>
      </c>
      <c r="V1684" s="51">
        <f>IF(L1684="",0,MAX(1,N(E1684)))</f>
        <v>0</v>
      </c>
      <c r="W1684" s="51">
        <f>IF(K1684="",0,K1684)</f>
        <v>0</v>
      </c>
    </row>
    <row r="1685">
      <c r="A1685" s="49" t="n"/>
      <c r="B1685" s="41" t="n"/>
      <c r="C1685" s="41" t="n"/>
      <c r="D1685" s="42" t="n"/>
      <c r="E1685" s="42" t="n"/>
      <c r="F1685" s="50" t="n"/>
      <c r="G1685" s="42" t="n"/>
      <c r="H1685" s="30">
        <f>IF(D1685="","",IFERROR(INDEX(Config!$B$12:$B$15,MATCH(IF(AND(D1685="Cartão de crédito",N(E1685)&gt;1),"Cartão de crédito parcelado",D1685),Config!$A$12:$A$15,0)),0)+IF(AND(Config!$B$17="Sim",LEFT(D1685,17)="Cartão de crédito"),Config!$B$18*IFERROR(INDEX(Config!$C$12:$C$15,MATCH(IF(AND(D1685="Cartão de crédito",N(E1685)&gt;1),"Cartão de crédito parcelado",D1685),Config!$A$12:$A$15,0)),0)/30*MAX(1,N(E1685)),0))</f>
        <v/>
      </c>
      <c r="I1685" s="29">
        <f>IF(OR(D1685="",F1685=""),"",ROUND(F1685*H1685,2))</f>
        <v/>
      </c>
      <c r="J1685" s="29">
        <f>IF(I1685="","",F1685-I1685)</f>
        <v/>
      </c>
      <c r="K1685" s="29">
        <f>IF(J1685="","",J1685/MAX(1,N(E1685)))</f>
        <v/>
      </c>
      <c r="L1685" s="37">
        <f>IF(OR(D1685="",A1685=""),"",A1685+IF(AND(Config!$B$17="Sim",LEFT(D1685,17)="Cartão de crédito"),1,IFERROR(INDEX(Config!$C$12:$C$15,MATCH(IF(AND(D1685="Cartão de crédito",N(E1685)&gt;1),"Cartão de crédito parcelado",D1685),Config!$A$12:$A$15,0)),0)))</f>
        <v/>
      </c>
      <c r="M1685" s="37">
        <f>IF(L1685="","",IF(AND(Config!$B$17="Sim",LEFT(D1685,17)="Cartão de crédito"),L1685,L1685+30*(MAX(1,N(E1685))-1)))</f>
        <v/>
      </c>
      <c r="N1685" s="29">
        <f>IF(OR(L1685="",K1685=""),"",K1685*MIN(MAX(1,N(E1685)),MAX(0,INT((Config!$B$8-L1685)/30)+1)))</f>
        <v/>
      </c>
      <c r="O1685" s="29">
        <f>IF(J1685="","",J1685-N(N1685))</f>
        <v/>
      </c>
      <c r="P1685" s="27">
        <f>IF(A1685="","",MONTH(A1685))</f>
        <v/>
      </c>
      <c r="Q1685" s="27">
        <f>IF(A1685="","",YEAR(A1685))</f>
        <v/>
      </c>
      <c r="R1685" s="27">
        <f>IF(L1685="","",IF(L1685&gt;Config!$B$8,"A cair",IF(N(G1685)&gt;=MIN(MAX(1,N(E1685)),MAX(0,INT((Config!$B$8-L1685)/30)+1)),IF(N(G1685)&gt;=MAX(1,N(E1685)),"Conferido","Conferido até aqui"),"A conferir")))</f>
        <v/>
      </c>
      <c r="S1685" s="51">
        <f>IF(R1685="A conferir",(Config!$B$8-L1685)*1000+N(F1685)/1000+ROW()/100000,0)</f>
        <v>0</v>
      </c>
      <c r="T1685" s="51">
        <f>IF(R1685="A conferir",N(N1685),0)</f>
        <v>0</v>
      </c>
      <c r="U1685" s="51">
        <f>IF(L1685="",0,L1685)</f>
        <v>0</v>
      </c>
      <c r="V1685" s="51">
        <f>IF(L1685="",0,MAX(1,N(E1685)))</f>
        <v>0</v>
      </c>
      <c r="W1685" s="51">
        <f>IF(K1685="",0,K1685)</f>
        <v>0</v>
      </c>
    </row>
    <row r="1686">
      <c r="A1686" s="49" t="n"/>
      <c r="B1686" s="41" t="n"/>
      <c r="C1686" s="41" t="n"/>
      <c r="D1686" s="42" t="n"/>
      <c r="E1686" s="42" t="n"/>
      <c r="F1686" s="50" t="n"/>
      <c r="G1686" s="42" t="n"/>
      <c r="H1686" s="30">
        <f>IF(D1686="","",IFERROR(INDEX(Config!$B$12:$B$15,MATCH(IF(AND(D1686="Cartão de crédito",N(E1686)&gt;1),"Cartão de crédito parcelado",D1686),Config!$A$12:$A$15,0)),0)+IF(AND(Config!$B$17="Sim",LEFT(D1686,17)="Cartão de crédito"),Config!$B$18*IFERROR(INDEX(Config!$C$12:$C$15,MATCH(IF(AND(D1686="Cartão de crédito",N(E1686)&gt;1),"Cartão de crédito parcelado",D1686),Config!$A$12:$A$15,0)),0)/30*MAX(1,N(E1686)),0))</f>
        <v/>
      </c>
      <c r="I1686" s="29">
        <f>IF(OR(D1686="",F1686=""),"",ROUND(F1686*H1686,2))</f>
        <v/>
      </c>
      <c r="J1686" s="29">
        <f>IF(I1686="","",F1686-I1686)</f>
        <v/>
      </c>
      <c r="K1686" s="29">
        <f>IF(J1686="","",J1686/MAX(1,N(E1686)))</f>
        <v/>
      </c>
      <c r="L1686" s="37">
        <f>IF(OR(D1686="",A1686=""),"",A1686+IF(AND(Config!$B$17="Sim",LEFT(D1686,17)="Cartão de crédito"),1,IFERROR(INDEX(Config!$C$12:$C$15,MATCH(IF(AND(D1686="Cartão de crédito",N(E1686)&gt;1),"Cartão de crédito parcelado",D1686),Config!$A$12:$A$15,0)),0)))</f>
        <v/>
      </c>
      <c r="M1686" s="37">
        <f>IF(L1686="","",IF(AND(Config!$B$17="Sim",LEFT(D1686,17)="Cartão de crédito"),L1686,L1686+30*(MAX(1,N(E1686))-1)))</f>
        <v/>
      </c>
      <c r="N1686" s="29">
        <f>IF(OR(L1686="",K1686=""),"",K1686*MIN(MAX(1,N(E1686)),MAX(0,INT((Config!$B$8-L1686)/30)+1)))</f>
        <v/>
      </c>
      <c r="O1686" s="29">
        <f>IF(J1686="","",J1686-N(N1686))</f>
        <v/>
      </c>
      <c r="P1686" s="27">
        <f>IF(A1686="","",MONTH(A1686))</f>
        <v/>
      </c>
      <c r="Q1686" s="27">
        <f>IF(A1686="","",YEAR(A1686))</f>
        <v/>
      </c>
      <c r="R1686" s="27">
        <f>IF(L1686="","",IF(L1686&gt;Config!$B$8,"A cair",IF(N(G1686)&gt;=MIN(MAX(1,N(E1686)),MAX(0,INT((Config!$B$8-L1686)/30)+1)),IF(N(G1686)&gt;=MAX(1,N(E1686)),"Conferido","Conferido até aqui"),"A conferir")))</f>
        <v/>
      </c>
      <c r="S1686" s="51">
        <f>IF(R1686="A conferir",(Config!$B$8-L1686)*1000+N(F1686)/1000+ROW()/100000,0)</f>
        <v>0</v>
      </c>
      <c r="T1686" s="51">
        <f>IF(R1686="A conferir",N(N1686),0)</f>
        <v>0</v>
      </c>
      <c r="U1686" s="51">
        <f>IF(L1686="",0,L1686)</f>
        <v>0</v>
      </c>
      <c r="V1686" s="51">
        <f>IF(L1686="",0,MAX(1,N(E1686)))</f>
        <v>0</v>
      </c>
      <c r="W1686" s="51">
        <f>IF(K1686="",0,K1686)</f>
        <v>0</v>
      </c>
    </row>
    <row r="1687">
      <c r="A1687" s="49" t="n"/>
      <c r="B1687" s="41" t="n"/>
      <c r="C1687" s="41" t="n"/>
      <c r="D1687" s="42" t="n"/>
      <c r="E1687" s="42" t="n"/>
      <c r="F1687" s="50" t="n"/>
      <c r="G1687" s="42" t="n"/>
      <c r="H1687" s="30">
        <f>IF(D1687="","",IFERROR(INDEX(Config!$B$12:$B$15,MATCH(IF(AND(D1687="Cartão de crédito",N(E1687)&gt;1),"Cartão de crédito parcelado",D1687),Config!$A$12:$A$15,0)),0)+IF(AND(Config!$B$17="Sim",LEFT(D1687,17)="Cartão de crédito"),Config!$B$18*IFERROR(INDEX(Config!$C$12:$C$15,MATCH(IF(AND(D1687="Cartão de crédito",N(E1687)&gt;1),"Cartão de crédito parcelado",D1687),Config!$A$12:$A$15,0)),0)/30*MAX(1,N(E1687)),0))</f>
        <v/>
      </c>
      <c r="I1687" s="29">
        <f>IF(OR(D1687="",F1687=""),"",ROUND(F1687*H1687,2))</f>
        <v/>
      </c>
      <c r="J1687" s="29">
        <f>IF(I1687="","",F1687-I1687)</f>
        <v/>
      </c>
      <c r="K1687" s="29">
        <f>IF(J1687="","",J1687/MAX(1,N(E1687)))</f>
        <v/>
      </c>
      <c r="L1687" s="37">
        <f>IF(OR(D1687="",A1687=""),"",A1687+IF(AND(Config!$B$17="Sim",LEFT(D1687,17)="Cartão de crédito"),1,IFERROR(INDEX(Config!$C$12:$C$15,MATCH(IF(AND(D1687="Cartão de crédito",N(E1687)&gt;1),"Cartão de crédito parcelado",D1687),Config!$A$12:$A$15,0)),0)))</f>
        <v/>
      </c>
      <c r="M1687" s="37">
        <f>IF(L1687="","",IF(AND(Config!$B$17="Sim",LEFT(D1687,17)="Cartão de crédito"),L1687,L1687+30*(MAX(1,N(E1687))-1)))</f>
        <v/>
      </c>
      <c r="N1687" s="29">
        <f>IF(OR(L1687="",K1687=""),"",K1687*MIN(MAX(1,N(E1687)),MAX(0,INT((Config!$B$8-L1687)/30)+1)))</f>
        <v/>
      </c>
      <c r="O1687" s="29">
        <f>IF(J1687="","",J1687-N(N1687))</f>
        <v/>
      </c>
      <c r="P1687" s="27">
        <f>IF(A1687="","",MONTH(A1687))</f>
        <v/>
      </c>
      <c r="Q1687" s="27">
        <f>IF(A1687="","",YEAR(A1687))</f>
        <v/>
      </c>
      <c r="R1687" s="27">
        <f>IF(L1687="","",IF(L1687&gt;Config!$B$8,"A cair",IF(N(G1687)&gt;=MIN(MAX(1,N(E1687)),MAX(0,INT((Config!$B$8-L1687)/30)+1)),IF(N(G1687)&gt;=MAX(1,N(E1687)),"Conferido","Conferido até aqui"),"A conferir")))</f>
        <v/>
      </c>
      <c r="S1687" s="51">
        <f>IF(R1687="A conferir",(Config!$B$8-L1687)*1000+N(F1687)/1000+ROW()/100000,0)</f>
        <v>0</v>
      </c>
      <c r="T1687" s="51">
        <f>IF(R1687="A conferir",N(N1687),0)</f>
        <v>0</v>
      </c>
      <c r="U1687" s="51">
        <f>IF(L1687="",0,L1687)</f>
        <v>0</v>
      </c>
      <c r="V1687" s="51">
        <f>IF(L1687="",0,MAX(1,N(E1687)))</f>
        <v>0</v>
      </c>
      <c r="W1687" s="51">
        <f>IF(K1687="",0,K1687)</f>
        <v>0</v>
      </c>
    </row>
    <row r="1688">
      <c r="A1688" s="49" t="n"/>
      <c r="B1688" s="41" t="n"/>
      <c r="C1688" s="41" t="n"/>
      <c r="D1688" s="42" t="n"/>
      <c r="E1688" s="42" t="n"/>
      <c r="F1688" s="50" t="n"/>
      <c r="G1688" s="42" t="n"/>
      <c r="H1688" s="30">
        <f>IF(D1688="","",IFERROR(INDEX(Config!$B$12:$B$15,MATCH(IF(AND(D1688="Cartão de crédito",N(E1688)&gt;1),"Cartão de crédito parcelado",D1688),Config!$A$12:$A$15,0)),0)+IF(AND(Config!$B$17="Sim",LEFT(D1688,17)="Cartão de crédito"),Config!$B$18*IFERROR(INDEX(Config!$C$12:$C$15,MATCH(IF(AND(D1688="Cartão de crédito",N(E1688)&gt;1),"Cartão de crédito parcelado",D1688),Config!$A$12:$A$15,0)),0)/30*MAX(1,N(E1688)),0))</f>
        <v/>
      </c>
      <c r="I1688" s="29">
        <f>IF(OR(D1688="",F1688=""),"",ROUND(F1688*H1688,2))</f>
        <v/>
      </c>
      <c r="J1688" s="29">
        <f>IF(I1688="","",F1688-I1688)</f>
        <v/>
      </c>
      <c r="K1688" s="29">
        <f>IF(J1688="","",J1688/MAX(1,N(E1688)))</f>
        <v/>
      </c>
      <c r="L1688" s="37">
        <f>IF(OR(D1688="",A1688=""),"",A1688+IF(AND(Config!$B$17="Sim",LEFT(D1688,17)="Cartão de crédito"),1,IFERROR(INDEX(Config!$C$12:$C$15,MATCH(IF(AND(D1688="Cartão de crédito",N(E1688)&gt;1),"Cartão de crédito parcelado",D1688),Config!$A$12:$A$15,0)),0)))</f>
        <v/>
      </c>
      <c r="M1688" s="37">
        <f>IF(L1688="","",IF(AND(Config!$B$17="Sim",LEFT(D1688,17)="Cartão de crédito"),L1688,L1688+30*(MAX(1,N(E1688))-1)))</f>
        <v/>
      </c>
      <c r="N1688" s="29">
        <f>IF(OR(L1688="",K1688=""),"",K1688*MIN(MAX(1,N(E1688)),MAX(0,INT((Config!$B$8-L1688)/30)+1)))</f>
        <v/>
      </c>
      <c r="O1688" s="29">
        <f>IF(J1688="","",J1688-N(N1688))</f>
        <v/>
      </c>
      <c r="P1688" s="27">
        <f>IF(A1688="","",MONTH(A1688))</f>
        <v/>
      </c>
      <c r="Q1688" s="27">
        <f>IF(A1688="","",YEAR(A1688))</f>
        <v/>
      </c>
      <c r="R1688" s="27">
        <f>IF(L1688="","",IF(L1688&gt;Config!$B$8,"A cair",IF(N(G1688)&gt;=MIN(MAX(1,N(E1688)),MAX(0,INT((Config!$B$8-L1688)/30)+1)),IF(N(G1688)&gt;=MAX(1,N(E1688)),"Conferido","Conferido até aqui"),"A conferir")))</f>
        <v/>
      </c>
      <c r="S1688" s="51">
        <f>IF(R1688="A conferir",(Config!$B$8-L1688)*1000+N(F1688)/1000+ROW()/100000,0)</f>
        <v>0</v>
      </c>
      <c r="T1688" s="51">
        <f>IF(R1688="A conferir",N(N1688),0)</f>
        <v>0</v>
      </c>
      <c r="U1688" s="51">
        <f>IF(L1688="",0,L1688)</f>
        <v>0</v>
      </c>
      <c r="V1688" s="51">
        <f>IF(L1688="",0,MAX(1,N(E1688)))</f>
        <v>0</v>
      </c>
      <c r="W1688" s="51">
        <f>IF(K1688="",0,K1688)</f>
        <v>0</v>
      </c>
    </row>
    <row r="1689">
      <c r="A1689" s="49" t="n"/>
      <c r="B1689" s="41" t="n"/>
      <c r="C1689" s="41" t="n"/>
      <c r="D1689" s="42" t="n"/>
      <c r="E1689" s="42" t="n"/>
      <c r="F1689" s="50" t="n"/>
      <c r="G1689" s="42" t="n"/>
      <c r="H1689" s="30">
        <f>IF(D1689="","",IFERROR(INDEX(Config!$B$12:$B$15,MATCH(IF(AND(D1689="Cartão de crédito",N(E1689)&gt;1),"Cartão de crédito parcelado",D1689),Config!$A$12:$A$15,0)),0)+IF(AND(Config!$B$17="Sim",LEFT(D1689,17)="Cartão de crédito"),Config!$B$18*IFERROR(INDEX(Config!$C$12:$C$15,MATCH(IF(AND(D1689="Cartão de crédito",N(E1689)&gt;1),"Cartão de crédito parcelado",D1689),Config!$A$12:$A$15,0)),0)/30*MAX(1,N(E1689)),0))</f>
        <v/>
      </c>
      <c r="I1689" s="29">
        <f>IF(OR(D1689="",F1689=""),"",ROUND(F1689*H1689,2))</f>
        <v/>
      </c>
      <c r="J1689" s="29">
        <f>IF(I1689="","",F1689-I1689)</f>
        <v/>
      </c>
      <c r="K1689" s="29">
        <f>IF(J1689="","",J1689/MAX(1,N(E1689)))</f>
        <v/>
      </c>
      <c r="L1689" s="37">
        <f>IF(OR(D1689="",A1689=""),"",A1689+IF(AND(Config!$B$17="Sim",LEFT(D1689,17)="Cartão de crédito"),1,IFERROR(INDEX(Config!$C$12:$C$15,MATCH(IF(AND(D1689="Cartão de crédito",N(E1689)&gt;1),"Cartão de crédito parcelado",D1689),Config!$A$12:$A$15,0)),0)))</f>
        <v/>
      </c>
      <c r="M1689" s="37">
        <f>IF(L1689="","",IF(AND(Config!$B$17="Sim",LEFT(D1689,17)="Cartão de crédito"),L1689,L1689+30*(MAX(1,N(E1689))-1)))</f>
        <v/>
      </c>
      <c r="N1689" s="29">
        <f>IF(OR(L1689="",K1689=""),"",K1689*MIN(MAX(1,N(E1689)),MAX(0,INT((Config!$B$8-L1689)/30)+1)))</f>
        <v/>
      </c>
      <c r="O1689" s="29">
        <f>IF(J1689="","",J1689-N(N1689))</f>
        <v/>
      </c>
      <c r="P1689" s="27">
        <f>IF(A1689="","",MONTH(A1689))</f>
        <v/>
      </c>
      <c r="Q1689" s="27">
        <f>IF(A1689="","",YEAR(A1689))</f>
        <v/>
      </c>
      <c r="R1689" s="27">
        <f>IF(L1689="","",IF(L1689&gt;Config!$B$8,"A cair",IF(N(G1689)&gt;=MIN(MAX(1,N(E1689)),MAX(0,INT((Config!$B$8-L1689)/30)+1)),IF(N(G1689)&gt;=MAX(1,N(E1689)),"Conferido","Conferido até aqui"),"A conferir")))</f>
        <v/>
      </c>
      <c r="S1689" s="51">
        <f>IF(R1689="A conferir",(Config!$B$8-L1689)*1000+N(F1689)/1000+ROW()/100000,0)</f>
        <v>0</v>
      </c>
      <c r="T1689" s="51">
        <f>IF(R1689="A conferir",N(N1689),0)</f>
        <v>0</v>
      </c>
      <c r="U1689" s="51">
        <f>IF(L1689="",0,L1689)</f>
        <v>0</v>
      </c>
      <c r="V1689" s="51">
        <f>IF(L1689="",0,MAX(1,N(E1689)))</f>
        <v>0</v>
      </c>
      <c r="W1689" s="51">
        <f>IF(K1689="",0,K1689)</f>
        <v>0</v>
      </c>
    </row>
    <row r="1690">
      <c r="A1690" s="49" t="n"/>
      <c r="B1690" s="41" t="n"/>
      <c r="C1690" s="41" t="n"/>
      <c r="D1690" s="42" t="n"/>
      <c r="E1690" s="42" t="n"/>
      <c r="F1690" s="50" t="n"/>
      <c r="G1690" s="42" t="n"/>
      <c r="H1690" s="30">
        <f>IF(D1690="","",IFERROR(INDEX(Config!$B$12:$B$15,MATCH(IF(AND(D1690="Cartão de crédito",N(E1690)&gt;1),"Cartão de crédito parcelado",D1690),Config!$A$12:$A$15,0)),0)+IF(AND(Config!$B$17="Sim",LEFT(D1690,17)="Cartão de crédito"),Config!$B$18*IFERROR(INDEX(Config!$C$12:$C$15,MATCH(IF(AND(D1690="Cartão de crédito",N(E1690)&gt;1),"Cartão de crédito parcelado",D1690),Config!$A$12:$A$15,0)),0)/30*MAX(1,N(E1690)),0))</f>
        <v/>
      </c>
      <c r="I1690" s="29">
        <f>IF(OR(D1690="",F1690=""),"",ROUND(F1690*H1690,2))</f>
        <v/>
      </c>
      <c r="J1690" s="29">
        <f>IF(I1690="","",F1690-I1690)</f>
        <v/>
      </c>
      <c r="K1690" s="29">
        <f>IF(J1690="","",J1690/MAX(1,N(E1690)))</f>
        <v/>
      </c>
      <c r="L1690" s="37">
        <f>IF(OR(D1690="",A1690=""),"",A1690+IF(AND(Config!$B$17="Sim",LEFT(D1690,17)="Cartão de crédito"),1,IFERROR(INDEX(Config!$C$12:$C$15,MATCH(IF(AND(D1690="Cartão de crédito",N(E1690)&gt;1),"Cartão de crédito parcelado",D1690),Config!$A$12:$A$15,0)),0)))</f>
        <v/>
      </c>
      <c r="M1690" s="37">
        <f>IF(L1690="","",IF(AND(Config!$B$17="Sim",LEFT(D1690,17)="Cartão de crédito"),L1690,L1690+30*(MAX(1,N(E1690))-1)))</f>
        <v/>
      </c>
      <c r="N1690" s="29">
        <f>IF(OR(L1690="",K1690=""),"",K1690*MIN(MAX(1,N(E1690)),MAX(0,INT((Config!$B$8-L1690)/30)+1)))</f>
        <v/>
      </c>
      <c r="O1690" s="29">
        <f>IF(J1690="","",J1690-N(N1690))</f>
        <v/>
      </c>
      <c r="P1690" s="27">
        <f>IF(A1690="","",MONTH(A1690))</f>
        <v/>
      </c>
      <c r="Q1690" s="27">
        <f>IF(A1690="","",YEAR(A1690))</f>
        <v/>
      </c>
      <c r="R1690" s="27">
        <f>IF(L1690="","",IF(L1690&gt;Config!$B$8,"A cair",IF(N(G1690)&gt;=MIN(MAX(1,N(E1690)),MAX(0,INT((Config!$B$8-L1690)/30)+1)),IF(N(G1690)&gt;=MAX(1,N(E1690)),"Conferido","Conferido até aqui"),"A conferir")))</f>
        <v/>
      </c>
      <c r="S1690" s="51">
        <f>IF(R1690="A conferir",(Config!$B$8-L1690)*1000+N(F1690)/1000+ROW()/100000,0)</f>
        <v>0</v>
      </c>
      <c r="T1690" s="51">
        <f>IF(R1690="A conferir",N(N1690),0)</f>
        <v>0</v>
      </c>
      <c r="U1690" s="51">
        <f>IF(L1690="",0,L1690)</f>
        <v>0</v>
      </c>
      <c r="V1690" s="51">
        <f>IF(L1690="",0,MAX(1,N(E1690)))</f>
        <v>0</v>
      </c>
      <c r="W1690" s="51">
        <f>IF(K1690="",0,K1690)</f>
        <v>0</v>
      </c>
    </row>
    <row r="1691">
      <c r="A1691" s="49" t="n"/>
      <c r="B1691" s="41" t="n"/>
      <c r="C1691" s="41" t="n"/>
      <c r="D1691" s="42" t="n"/>
      <c r="E1691" s="42" t="n"/>
      <c r="F1691" s="50" t="n"/>
      <c r="G1691" s="42" t="n"/>
      <c r="H1691" s="30">
        <f>IF(D1691="","",IFERROR(INDEX(Config!$B$12:$B$15,MATCH(IF(AND(D1691="Cartão de crédito",N(E1691)&gt;1),"Cartão de crédito parcelado",D1691),Config!$A$12:$A$15,0)),0)+IF(AND(Config!$B$17="Sim",LEFT(D1691,17)="Cartão de crédito"),Config!$B$18*IFERROR(INDEX(Config!$C$12:$C$15,MATCH(IF(AND(D1691="Cartão de crédito",N(E1691)&gt;1),"Cartão de crédito parcelado",D1691),Config!$A$12:$A$15,0)),0)/30*MAX(1,N(E1691)),0))</f>
        <v/>
      </c>
      <c r="I1691" s="29">
        <f>IF(OR(D1691="",F1691=""),"",ROUND(F1691*H1691,2))</f>
        <v/>
      </c>
      <c r="J1691" s="29">
        <f>IF(I1691="","",F1691-I1691)</f>
        <v/>
      </c>
      <c r="K1691" s="29">
        <f>IF(J1691="","",J1691/MAX(1,N(E1691)))</f>
        <v/>
      </c>
      <c r="L1691" s="37">
        <f>IF(OR(D1691="",A1691=""),"",A1691+IF(AND(Config!$B$17="Sim",LEFT(D1691,17)="Cartão de crédito"),1,IFERROR(INDEX(Config!$C$12:$C$15,MATCH(IF(AND(D1691="Cartão de crédito",N(E1691)&gt;1),"Cartão de crédito parcelado",D1691),Config!$A$12:$A$15,0)),0)))</f>
        <v/>
      </c>
      <c r="M1691" s="37">
        <f>IF(L1691="","",IF(AND(Config!$B$17="Sim",LEFT(D1691,17)="Cartão de crédito"),L1691,L1691+30*(MAX(1,N(E1691))-1)))</f>
        <v/>
      </c>
      <c r="N1691" s="29">
        <f>IF(OR(L1691="",K1691=""),"",K1691*MIN(MAX(1,N(E1691)),MAX(0,INT((Config!$B$8-L1691)/30)+1)))</f>
        <v/>
      </c>
      <c r="O1691" s="29">
        <f>IF(J1691="","",J1691-N(N1691))</f>
        <v/>
      </c>
      <c r="P1691" s="27">
        <f>IF(A1691="","",MONTH(A1691))</f>
        <v/>
      </c>
      <c r="Q1691" s="27">
        <f>IF(A1691="","",YEAR(A1691))</f>
        <v/>
      </c>
      <c r="R1691" s="27">
        <f>IF(L1691="","",IF(L1691&gt;Config!$B$8,"A cair",IF(N(G1691)&gt;=MIN(MAX(1,N(E1691)),MAX(0,INT((Config!$B$8-L1691)/30)+1)),IF(N(G1691)&gt;=MAX(1,N(E1691)),"Conferido","Conferido até aqui"),"A conferir")))</f>
        <v/>
      </c>
      <c r="S1691" s="51">
        <f>IF(R1691="A conferir",(Config!$B$8-L1691)*1000+N(F1691)/1000+ROW()/100000,0)</f>
        <v>0</v>
      </c>
      <c r="T1691" s="51">
        <f>IF(R1691="A conferir",N(N1691),0)</f>
        <v>0</v>
      </c>
      <c r="U1691" s="51">
        <f>IF(L1691="",0,L1691)</f>
        <v>0</v>
      </c>
      <c r="V1691" s="51">
        <f>IF(L1691="",0,MAX(1,N(E1691)))</f>
        <v>0</v>
      </c>
      <c r="W1691" s="51">
        <f>IF(K1691="",0,K1691)</f>
        <v>0</v>
      </c>
    </row>
    <row r="1692">
      <c r="A1692" s="49" t="n"/>
      <c r="B1692" s="41" t="n"/>
      <c r="C1692" s="41" t="n"/>
      <c r="D1692" s="42" t="n"/>
      <c r="E1692" s="42" t="n"/>
      <c r="F1692" s="50" t="n"/>
      <c r="G1692" s="42" t="n"/>
      <c r="H1692" s="30">
        <f>IF(D1692="","",IFERROR(INDEX(Config!$B$12:$B$15,MATCH(IF(AND(D1692="Cartão de crédito",N(E1692)&gt;1),"Cartão de crédito parcelado",D1692),Config!$A$12:$A$15,0)),0)+IF(AND(Config!$B$17="Sim",LEFT(D1692,17)="Cartão de crédito"),Config!$B$18*IFERROR(INDEX(Config!$C$12:$C$15,MATCH(IF(AND(D1692="Cartão de crédito",N(E1692)&gt;1),"Cartão de crédito parcelado",D1692),Config!$A$12:$A$15,0)),0)/30*MAX(1,N(E1692)),0))</f>
        <v/>
      </c>
      <c r="I1692" s="29">
        <f>IF(OR(D1692="",F1692=""),"",ROUND(F1692*H1692,2))</f>
        <v/>
      </c>
      <c r="J1692" s="29">
        <f>IF(I1692="","",F1692-I1692)</f>
        <v/>
      </c>
      <c r="K1692" s="29">
        <f>IF(J1692="","",J1692/MAX(1,N(E1692)))</f>
        <v/>
      </c>
      <c r="L1692" s="37">
        <f>IF(OR(D1692="",A1692=""),"",A1692+IF(AND(Config!$B$17="Sim",LEFT(D1692,17)="Cartão de crédito"),1,IFERROR(INDEX(Config!$C$12:$C$15,MATCH(IF(AND(D1692="Cartão de crédito",N(E1692)&gt;1),"Cartão de crédito parcelado",D1692),Config!$A$12:$A$15,0)),0)))</f>
        <v/>
      </c>
      <c r="M1692" s="37">
        <f>IF(L1692="","",IF(AND(Config!$B$17="Sim",LEFT(D1692,17)="Cartão de crédito"),L1692,L1692+30*(MAX(1,N(E1692))-1)))</f>
        <v/>
      </c>
      <c r="N1692" s="29">
        <f>IF(OR(L1692="",K1692=""),"",K1692*MIN(MAX(1,N(E1692)),MAX(0,INT((Config!$B$8-L1692)/30)+1)))</f>
        <v/>
      </c>
      <c r="O1692" s="29">
        <f>IF(J1692="","",J1692-N(N1692))</f>
        <v/>
      </c>
      <c r="P1692" s="27">
        <f>IF(A1692="","",MONTH(A1692))</f>
        <v/>
      </c>
      <c r="Q1692" s="27">
        <f>IF(A1692="","",YEAR(A1692))</f>
        <v/>
      </c>
      <c r="R1692" s="27">
        <f>IF(L1692="","",IF(L1692&gt;Config!$B$8,"A cair",IF(N(G1692)&gt;=MIN(MAX(1,N(E1692)),MAX(0,INT((Config!$B$8-L1692)/30)+1)),IF(N(G1692)&gt;=MAX(1,N(E1692)),"Conferido","Conferido até aqui"),"A conferir")))</f>
        <v/>
      </c>
      <c r="S1692" s="51">
        <f>IF(R1692="A conferir",(Config!$B$8-L1692)*1000+N(F1692)/1000+ROW()/100000,0)</f>
        <v>0</v>
      </c>
      <c r="T1692" s="51">
        <f>IF(R1692="A conferir",N(N1692),0)</f>
        <v>0</v>
      </c>
      <c r="U1692" s="51">
        <f>IF(L1692="",0,L1692)</f>
        <v>0</v>
      </c>
      <c r="V1692" s="51">
        <f>IF(L1692="",0,MAX(1,N(E1692)))</f>
        <v>0</v>
      </c>
      <c r="W1692" s="51">
        <f>IF(K1692="",0,K1692)</f>
        <v>0</v>
      </c>
    </row>
    <row r="1693">
      <c r="A1693" s="49" t="n"/>
      <c r="B1693" s="41" t="n"/>
      <c r="C1693" s="41" t="n"/>
      <c r="D1693" s="42" t="n"/>
      <c r="E1693" s="42" t="n"/>
      <c r="F1693" s="50" t="n"/>
      <c r="G1693" s="42" t="n"/>
      <c r="H1693" s="30">
        <f>IF(D1693="","",IFERROR(INDEX(Config!$B$12:$B$15,MATCH(IF(AND(D1693="Cartão de crédito",N(E1693)&gt;1),"Cartão de crédito parcelado",D1693),Config!$A$12:$A$15,0)),0)+IF(AND(Config!$B$17="Sim",LEFT(D1693,17)="Cartão de crédito"),Config!$B$18*IFERROR(INDEX(Config!$C$12:$C$15,MATCH(IF(AND(D1693="Cartão de crédito",N(E1693)&gt;1),"Cartão de crédito parcelado",D1693),Config!$A$12:$A$15,0)),0)/30*MAX(1,N(E1693)),0))</f>
        <v/>
      </c>
      <c r="I1693" s="29">
        <f>IF(OR(D1693="",F1693=""),"",ROUND(F1693*H1693,2))</f>
        <v/>
      </c>
      <c r="J1693" s="29">
        <f>IF(I1693="","",F1693-I1693)</f>
        <v/>
      </c>
      <c r="K1693" s="29">
        <f>IF(J1693="","",J1693/MAX(1,N(E1693)))</f>
        <v/>
      </c>
      <c r="L1693" s="37">
        <f>IF(OR(D1693="",A1693=""),"",A1693+IF(AND(Config!$B$17="Sim",LEFT(D1693,17)="Cartão de crédito"),1,IFERROR(INDEX(Config!$C$12:$C$15,MATCH(IF(AND(D1693="Cartão de crédito",N(E1693)&gt;1),"Cartão de crédito parcelado",D1693),Config!$A$12:$A$15,0)),0)))</f>
        <v/>
      </c>
      <c r="M1693" s="37">
        <f>IF(L1693="","",IF(AND(Config!$B$17="Sim",LEFT(D1693,17)="Cartão de crédito"),L1693,L1693+30*(MAX(1,N(E1693))-1)))</f>
        <v/>
      </c>
      <c r="N1693" s="29">
        <f>IF(OR(L1693="",K1693=""),"",K1693*MIN(MAX(1,N(E1693)),MAX(0,INT((Config!$B$8-L1693)/30)+1)))</f>
        <v/>
      </c>
      <c r="O1693" s="29">
        <f>IF(J1693="","",J1693-N(N1693))</f>
        <v/>
      </c>
      <c r="P1693" s="27">
        <f>IF(A1693="","",MONTH(A1693))</f>
        <v/>
      </c>
      <c r="Q1693" s="27">
        <f>IF(A1693="","",YEAR(A1693))</f>
        <v/>
      </c>
      <c r="R1693" s="27">
        <f>IF(L1693="","",IF(L1693&gt;Config!$B$8,"A cair",IF(N(G1693)&gt;=MIN(MAX(1,N(E1693)),MAX(0,INT((Config!$B$8-L1693)/30)+1)),IF(N(G1693)&gt;=MAX(1,N(E1693)),"Conferido","Conferido até aqui"),"A conferir")))</f>
        <v/>
      </c>
      <c r="S1693" s="51">
        <f>IF(R1693="A conferir",(Config!$B$8-L1693)*1000+N(F1693)/1000+ROW()/100000,0)</f>
        <v>0</v>
      </c>
      <c r="T1693" s="51">
        <f>IF(R1693="A conferir",N(N1693),0)</f>
        <v>0</v>
      </c>
      <c r="U1693" s="51">
        <f>IF(L1693="",0,L1693)</f>
        <v>0</v>
      </c>
      <c r="V1693" s="51">
        <f>IF(L1693="",0,MAX(1,N(E1693)))</f>
        <v>0</v>
      </c>
      <c r="W1693" s="51">
        <f>IF(K1693="",0,K1693)</f>
        <v>0</v>
      </c>
    </row>
    <row r="1694">
      <c r="A1694" s="49" t="n"/>
      <c r="B1694" s="41" t="n"/>
      <c r="C1694" s="41" t="n"/>
      <c r="D1694" s="42" t="n"/>
      <c r="E1694" s="42" t="n"/>
      <c r="F1694" s="50" t="n"/>
      <c r="G1694" s="42" t="n"/>
      <c r="H1694" s="30">
        <f>IF(D1694="","",IFERROR(INDEX(Config!$B$12:$B$15,MATCH(IF(AND(D1694="Cartão de crédito",N(E1694)&gt;1),"Cartão de crédito parcelado",D1694),Config!$A$12:$A$15,0)),0)+IF(AND(Config!$B$17="Sim",LEFT(D1694,17)="Cartão de crédito"),Config!$B$18*IFERROR(INDEX(Config!$C$12:$C$15,MATCH(IF(AND(D1694="Cartão de crédito",N(E1694)&gt;1),"Cartão de crédito parcelado",D1694),Config!$A$12:$A$15,0)),0)/30*MAX(1,N(E1694)),0))</f>
        <v/>
      </c>
      <c r="I1694" s="29">
        <f>IF(OR(D1694="",F1694=""),"",ROUND(F1694*H1694,2))</f>
        <v/>
      </c>
      <c r="J1694" s="29">
        <f>IF(I1694="","",F1694-I1694)</f>
        <v/>
      </c>
      <c r="K1694" s="29">
        <f>IF(J1694="","",J1694/MAX(1,N(E1694)))</f>
        <v/>
      </c>
      <c r="L1694" s="37">
        <f>IF(OR(D1694="",A1694=""),"",A1694+IF(AND(Config!$B$17="Sim",LEFT(D1694,17)="Cartão de crédito"),1,IFERROR(INDEX(Config!$C$12:$C$15,MATCH(IF(AND(D1694="Cartão de crédito",N(E1694)&gt;1),"Cartão de crédito parcelado",D1694),Config!$A$12:$A$15,0)),0)))</f>
        <v/>
      </c>
      <c r="M1694" s="37">
        <f>IF(L1694="","",IF(AND(Config!$B$17="Sim",LEFT(D1694,17)="Cartão de crédito"),L1694,L1694+30*(MAX(1,N(E1694))-1)))</f>
        <v/>
      </c>
      <c r="N1694" s="29">
        <f>IF(OR(L1694="",K1694=""),"",K1694*MIN(MAX(1,N(E1694)),MAX(0,INT((Config!$B$8-L1694)/30)+1)))</f>
        <v/>
      </c>
      <c r="O1694" s="29">
        <f>IF(J1694="","",J1694-N(N1694))</f>
        <v/>
      </c>
      <c r="P1694" s="27">
        <f>IF(A1694="","",MONTH(A1694))</f>
        <v/>
      </c>
      <c r="Q1694" s="27">
        <f>IF(A1694="","",YEAR(A1694))</f>
        <v/>
      </c>
      <c r="R1694" s="27">
        <f>IF(L1694="","",IF(L1694&gt;Config!$B$8,"A cair",IF(N(G1694)&gt;=MIN(MAX(1,N(E1694)),MAX(0,INT((Config!$B$8-L1694)/30)+1)),IF(N(G1694)&gt;=MAX(1,N(E1694)),"Conferido","Conferido até aqui"),"A conferir")))</f>
        <v/>
      </c>
      <c r="S1694" s="51">
        <f>IF(R1694="A conferir",(Config!$B$8-L1694)*1000+N(F1694)/1000+ROW()/100000,0)</f>
        <v>0</v>
      </c>
      <c r="T1694" s="51">
        <f>IF(R1694="A conferir",N(N1694),0)</f>
        <v>0</v>
      </c>
      <c r="U1694" s="51">
        <f>IF(L1694="",0,L1694)</f>
        <v>0</v>
      </c>
      <c r="V1694" s="51">
        <f>IF(L1694="",0,MAX(1,N(E1694)))</f>
        <v>0</v>
      </c>
      <c r="W1694" s="51">
        <f>IF(K1694="",0,K1694)</f>
        <v>0</v>
      </c>
    </row>
    <row r="1695">
      <c r="A1695" s="49" t="n"/>
      <c r="B1695" s="41" t="n"/>
      <c r="C1695" s="41" t="n"/>
      <c r="D1695" s="42" t="n"/>
      <c r="E1695" s="42" t="n"/>
      <c r="F1695" s="50" t="n"/>
      <c r="G1695" s="42" t="n"/>
      <c r="H1695" s="30">
        <f>IF(D1695="","",IFERROR(INDEX(Config!$B$12:$B$15,MATCH(IF(AND(D1695="Cartão de crédito",N(E1695)&gt;1),"Cartão de crédito parcelado",D1695),Config!$A$12:$A$15,0)),0)+IF(AND(Config!$B$17="Sim",LEFT(D1695,17)="Cartão de crédito"),Config!$B$18*IFERROR(INDEX(Config!$C$12:$C$15,MATCH(IF(AND(D1695="Cartão de crédito",N(E1695)&gt;1),"Cartão de crédito parcelado",D1695),Config!$A$12:$A$15,0)),0)/30*MAX(1,N(E1695)),0))</f>
        <v/>
      </c>
      <c r="I1695" s="29">
        <f>IF(OR(D1695="",F1695=""),"",ROUND(F1695*H1695,2))</f>
        <v/>
      </c>
      <c r="J1695" s="29">
        <f>IF(I1695="","",F1695-I1695)</f>
        <v/>
      </c>
      <c r="K1695" s="29">
        <f>IF(J1695="","",J1695/MAX(1,N(E1695)))</f>
        <v/>
      </c>
      <c r="L1695" s="37">
        <f>IF(OR(D1695="",A1695=""),"",A1695+IF(AND(Config!$B$17="Sim",LEFT(D1695,17)="Cartão de crédito"),1,IFERROR(INDEX(Config!$C$12:$C$15,MATCH(IF(AND(D1695="Cartão de crédito",N(E1695)&gt;1),"Cartão de crédito parcelado",D1695),Config!$A$12:$A$15,0)),0)))</f>
        <v/>
      </c>
      <c r="M1695" s="37">
        <f>IF(L1695="","",IF(AND(Config!$B$17="Sim",LEFT(D1695,17)="Cartão de crédito"),L1695,L1695+30*(MAX(1,N(E1695))-1)))</f>
        <v/>
      </c>
      <c r="N1695" s="29">
        <f>IF(OR(L1695="",K1695=""),"",K1695*MIN(MAX(1,N(E1695)),MAX(0,INT((Config!$B$8-L1695)/30)+1)))</f>
        <v/>
      </c>
      <c r="O1695" s="29">
        <f>IF(J1695="","",J1695-N(N1695))</f>
        <v/>
      </c>
      <c r="P1695" s="27">
        <f>IF(A1695="","",MONTH(A1695))</f>
        <v/>
      </c>
      <c r="Q1695" s="27">
        <f>IF(A1695="","",YEAR(A1695))</f>
        <v/>
      </c>
      <c r="R1695" s="27">
        <f>IF(L1695="","",IF(L1695&gt;Config!$B$8,"A cair",IF(N(G1695)&gt;=MIN(MAX(1,N(E1695)),MAX(0,INT((Config!$B$8-L1695)/30)+1)),IF(N(G1695)&gt;=MAX(1,N(E1695)),"Conferido","Conferido até aqui"),"A conferir")))</f>
        <v/>
      </c>
      <c r="S1695" s="51">
        <f>IF(R1695="A conferir",(Config!$B$8-L1695)*1000+N(F1695)/1000+ROW()/100000,0)</f>
        <v>0</v>
      </c>
      <c r="T1695" s="51">
        <f>IF(R1695="A conferir",N(N1695),0)</f>
        <v>0</v>
      </c>
      <c r="U1695" s="51">
        <f>IF(L1695="",0,L1695)</f>
        <v>0</v>
      </c>
      <c r="V1695" s="51">
        <f>IF(L1695="",0,MAX(1,N(E1695)))</f>
        <v>0</v>
      </c>
      <c r="W1695" s="51">
        <f>IF(K1695="",0,K1695)</f>
        <v>0</v>
      </c>
    </row>
    <row r="1696">
      <c r="A1696" s="49" t="n"/>
      <c r="B1696" s="41" t="n"/>
      <c r="C1696" s="41" t="n"/>
      <c r="D1696" s="42" t="n"/>
      <c r="E1696" s="42" t="n"/>
      <c r="F1696" s="50" t="n"/>
      <c r="G1696" s="42" t="n"/>
      <c r="H1696" s="30">
        <f>IF(D1696="","",IFERROR(INDEX(Config!$B$12:$B$15,MATCH(IF(AND(D1696="Cartão de crédito",N(E1696)&gt;1),"Cartão de crédito parcelado",D1696),Config!$A$12:$A$15,0)),0)+IF(AND(Config!$B$17="Sim",LEFT(D1696,17)="Cartão de crédito"),Config!$B$18*IFERROR(INDEX(Config!$C$12:$C$15,MATCH(IF(AND(D1696="Cartão de crédito",N(E1696)&gt;1),"Cartão de crédito parcelado",D1696),Config!$A$12:$A$15,0)),0)/30*MAX(1,N(E1696)),0))</f>
        <v/>
      </c>
      <c r="I1696" s="29">
        <f>IF(OR(D1696="",F1696=""),"",ROUND(F1696*H1696,2))</f>
        <v/>
      </c>
      <c r="J1696" s="29">
        <f>IF(I1696="","",F1696-I1696)</f>
        <v/>
      </c>
      <c r="K1696" s="29">
        <f>IF(J1696="","",J1696/MAX(1,N(E1696)))</f>
        <v/>
      </c>
      <c r="L1696" s="37">
        <f>IF(OR(D1696="",A1696=""),"",A1696+IF(AND(Config!$B$17="Sim",LEFT(D1696,17)="Cartão de crédito"),1,IFERROR(INDEX(Config!$C$12:$C$15,MATCH(IF(AND(D1696="Cartão de crédito",N(E1696)&gt;1),"Cartão de crédito parcelado",D1696),Config!$A$12:$A$15,0)),0)))</f>
        <v/>
      </c>
      <c r="M1696" s="37">
        <f>IF(L1696="","",IF(AND(Config!$B$17="Sim",LEFT(D1696,17)="Cartão de crédito"),L1696,L1696+30*(MAX(1,N(E1696))-1)))</f>
        <v/>
      </c>
      <c r="N1696" s="29">
        <f>IF(OR(L1696="",K1696=""),"",K1696*MIN(MAX(1,N(E1696)),MAX(0,INT((Config!$B$8-L1696)/30)+1)))</f>
        <v/>
      </c>
      <c r="O1696" s="29">
        <f>IF(J1696="","",J1696-N(N1696))</f>
        <v/>
      </c>
      <c r="P1696" s="27">
        <f>IF(A1696="","",MONTH(A1696))</f>
        <v/>
      </c>
      <c r="Q1696" s="27">
        <f>IF(A1696="","",YEAR(A1696))</f>
        <v/>
      </c>
      <c r="R1696" s="27">
        <f>IF(L1696="","",IF(L1696&gt;Config!$B$8,"A cair",IF(N(G1696)&gt;=MIN(MAX(1,N(E1696)),MAX(0,INT((Config!$B$8-L1696)/30)+1)),IF(N(G1696)&gt;=MAX(1,N(E1696)),"Conferido","Conferido até aqui"),"A conferir")))</f>
        <v/>
      </c>
      <c r="S1696" s="51">
        <f>IF(R1696="A conferir",(Config!$B$8-L1696)*1000+N(F1696)/1000+ROW()/100000,0)</f>
        <v>0</v>
      </c>
      <c r="T1696" s="51">
        <f>IF(R1696="A conferir",N(N1696),0)</f>
        <v>0</v>
      </c>
      <c r="U1696" s="51">
        <f>IF(L1696="",0,L1696)</f>
        <v>0</v>
      </c>
      <c r="V1696" s="51">
        <f>IF(L1696="",0,MAX(1,N(E1696)))</f>
        <v>0</v>
      </c>
      <c r="W1696" s="51">
        <f>IF(K1696="",0,K1696)</f>
        <v>0</v>
      </c>
    </row>
    <row r="1697">
      <c r="A1697" s="49" t="n"/>
      <c r="B1697" s="41" t="n"/>
      <c r="C1697" s="41" t="n"/>
      <c r="D1697" s="42" t="n"/>
      <c r="E1697" s="42" t="n"/>
      <c r="F1697" s="50" t="n"/>
      <c r="G1697" s="42" t="n"/>
      <c r="H1697" s="30">
        <f>IF(D1697="","",IFERROR(INDEX(Config!$B$12:$B$15,MATCH(IF(AND(D1697="Cartão de crédito",N(E1697)&gt;1),"Cartão de crédito parcelado",D1697),Config!$A$12:$A$15,0)),0)+IF(AND(Config!$B$17="Sim",LEFT(D1697,17)="Cartão de crédito"),Config!$B$18*IFERROR(INDEX(Config!$C$12:$C$15,MATCH(IF(AND(D1697="Cartão de crédito",N(E1697)&gt;1),"Cartão de crédito parcelado",D1697),Config!$A$12:$A$15,0)),0)/30*MAX(1,N(E1697)),0))</f>
        <v/>
      </c>
      <c r="I1697" s="29">
        <f>IF(OR(D1697="",F1697=""),"",ROUND(F1697*H1697,2))</f>
        <v/>
      </c>
      <c r="J1697" s="29">
        <f>IF(I1697="","",F1697-I1697)</f>
        <v/>
      </c>
      <c r="K1697" s="29">
        <f>IF(J1697="","",J1697/MAX(1,N(E1697)))</f>
        <v/>
      </c>
      <c r="L1697" s="37">
        <f>IF(OR(D1697="",A1697=""),"",A1697+IF(AND(Config!$B$17="Sim",LEFT(D1697,17)="Cartão de crédito"),1,IFERROR(INDEX(Config!$C$12:$C$15,MATCH(IF(AND(D1697="Cartão de crédito",N(E1697)&gt;1),"Cartão de crédito parcelado",D1697),Config!$A$12:$A$15,0)),0)))</f>
        <v/>
      </c>
      <c r="M1697" s="37">
        <f>IF(L1697="","",IF(AND(Config!$B$17="Sim",LEFT(D1697,17)="Cartão de crédito"),L1697,L1697+30*(MAX(1,N(E1697))-1)))</f>
        <v/>
      </c>
      <c r="N1697" s="29">
        <f>IF(OR(L1697="",K1697=""),"",K1697*MIN(MAX(1,N(E1697)),MAX(0,INT((Config!$B$8-L1697)/30)+1)))</f>
        <v/>
      </c>
      <c r="O1697" s="29">
        <f>IF(J1697="","",J1697-N(N1697))</f>
        <v/>
      </c>
      <c r="P1697" s="27">
        <f>IF(A1697="","",MONTH(A1697))</f>
        <v/>
      </c>
      <c r="Q1697" s="27">
        <f>IF(A1697="","",YEAR(A1697))</f>
        <v/>
      </c>
      <c r="R1697" s="27">
        <f>IF(L1697="","",IF(L1697&gt;Config!$B$8,"A cair",IF(N(G1697)&gt;=MIN(MAX(1,N(E1697)),MAX(0,INT((Config!$B$8-L1697)/30)+1)),IF(N(G1697)&gt;=MAX(1,N(E1697)),"Conferido","Conferido até aqui"),"A conferir")))</f>
        <v/>
      </c>
      <c r="S1697" s="51">
        <f>IF(R1697="A conferir",(Config!$B$8-L1697)*1000+N(F1697)/1000+ROW()/100000,0)</f>
        <v>0</v>
      </c>
      <c r="T1697" s="51">
        <f>IF(R1697="A conferir",N(N1697),0)</f>
        <v>0</v>
      </c>
      <c r="U1697" s="51">
        <f>IF(L1697="",0,L1697)</f>
        <v>0</v>
      </c>
      <c r="V1697" s="51">
        <f>IF(L1697="",0,MAX(1,N(E1697)))</f>
        <v>0</v>
      </c>
      <c r="W1697" s="51">
        <f>IF(K1697="",0,K1697)</f>
        <v>0</v>
      </c>
    </row>
    <row r="1698">
      <c r="A1698" s="49" t="n"/>
      <c r="B1698" s="41" t="n"/>
      <c r="C1698" s="41" t="n"/>
      <c r="D1698" s="42" t="n"/>
      <c r="E1698" s="42" t="n"/>
      <c r="F1698" s="50" t="n"/>
      <c r="G1698" s="42" t="n"/>
      <c r="H1698" s="30">
        <f>IF(D1698="","",IFERROR(INDEX(Config!$B$12:$B$15,MATCH(IF(AND(D1698="Cartão de crédito",N(E1698)&gt;1),"Cartão de crédito parcelado",D1698),Config!$A$12:$A$15,0)),0)+IF(AND(Config!$B$17="Sim",LEFT(D1698,17)="Cartão de crédito"),Config!$B$18*IFERROR(INDEX(Config!$C$12:$C$15,MATCH(IF(AND(D1698="Cartão de crédito",N(E1698)&gt;1),"Cartão de crédito parcelado",D1698),Config!$A$12:$A$15,0)),0)/30*MAX(1,N(E1698)),0))</f>
        <v/>
      </c>
      <c r="I1698" s="29">
        <f>IF(OR(D1698="",F1698=""),"",ROUND(F1698*H1698,2))</f>
        <v/>
      </c>
      <c r="J1698" s="29">
        <f>IF(I1698="","",F1698-I1698)</f>
        <v/>
      </c>
      <c r="K1698" s="29">
        <f>IF(J1698="","",J1698/MAX(1,N(E1698)))</f>
        <v/>
      </c>
      <c r="L1698" s="37">
        <f>IF(OR(D1698="",A1698=""),"",A1698+IF(AND(Config!$B$17="Sim",LEFT(D1698,17)="Cartão de crédito"),1,IFERROR(INDEX(Config!$C$12:$C$15,MATCH(IF(AND(D1698="Cartão de crédito",N(E1698)&gt;1),"Cartão de crédito parcelado",D1698),Config!$A$12:$A$15,0)),0)))</f>
        <v/>
      </c>
      <c r="M1698" s="37">
        <f>IF(L1698="","",IF(AND(Config!$B$17="Sim",LEFT(D1698,17)="Cartão de crédito"),L1698,L1698+30*(MAX(1,N(E1698))-1)))</f>
        <v/>
      </c>
      <c r="N1698" s="29">
        <f>IF(OR(L1698="",K1698=""),"",K1698*MIN(MAX(1,N(E1698)),MAX(0,INT((Config!$B$8-L1698)/30)+1)))</f>
        <v/>
      </c>
      <c r="O1698" s="29">
        <f>IF(J1698="","",J1698-N(N1698))</f>
        <v/>
      </c>
      <c r="P1698" s="27">
        <f>IF(A1698="","",MONTH(A1698))</f>
        <v/>
      </c>
      <c r="Q1698" s="27">
        <f>IF(A1698="","",YEAR(A1698))</f>
        <v/>
      </c>
      <c r="R1698" s="27">
        <f>IF(L1698="","",IF(L1698&gt;Config!$B$8,"A cair",IF(N(G1698)&gt;=MIN(MAX(1,N(E1698)),MAX(0,INT((Config!$B$8-L1698)/30)+1)),IF(N(G1698)&gt;=MAX(1,N(E1698)),"Conferido","Conferido até aqui"),"A conferir")))</f>
        <v/>
      </c>
      <c r="S1698" s="51">
        <f>IF(R1698="A conferir",(Config!$B$8-L1698)*1000+N(F1698)/1000+ROW()/100000,0)</f>
        <v>0</v>
      </c>
      <c r="T1698" s="51">
        <f>IF(R1698="A conferir",N(N1698),0)</f>
        <v>0</v>
      </c>
      <c r="U1698" s="51">
        <f>IF(L1698="",0,L1698)</f>
        <v>0</v>
      </c>
      <c r="V1698" s="51">
        <f>IF(L1698="",0,MAX(1,N(E1698)))</f>
        <v>0</v>
      </c>
      <c r="W1698" s="51">
        <f>IF(K1698="",0,K1698)</f>
        <v>0</v>
      </c>
    </row>
    <row r="1699">
      <c r="A1699" s="49" t="n"/>
      <c r="B1699" s="41" t="n"/>
      <c r="C1699" s="41" t="n"/>
      <c r="D1699" s="42" t="n"/>
      <c r="E1699" s="42" t="n"/>
      <c r="F1699" s="50" t="n"/>
      <c r="G1699" s="42" t="n"/>
      <c r="H1699" s="30">
        <f>IF(D1699="","",IFERROR(INDEX(Config!$B$12:$B$15,MATCH(IF(AND(D1699="Cartão de crédito",N(E1699)&gt;1),"Cartão de crédito parcelado",D1699),Config!$A$12:$A$15,0)),0)+IF(AND(Config!$B$17="Sim",LEFT(D1699,17)="Cartão de crédito"),Config!$B$18*IFERROR(INDEX(Config!$C$12:$C$15,MATCH(IF(AND(D1699="Cartão de crédito",N(E1699)&gt;1),"Cartão de crédito parcelado",D1699),Config!$A$12:$A$15,0)),0)/30*MAX(1,N(E1699)),0))</f>
        <v/>
      </c>
      <c r="I1699" s="29">
        <f>IF(OR(D1699="",F1699=""),"",ROUND(F1699*H1699,2))</f>
        <v/>
      </c>
      <c r="J1699" s="29">
        <f>IF(I1699="","",F1699-I1699)</f>
        <v/>
      </c>
      <c r="K1699" s="29">
        <f>IF(J1699="","",J1699/MAX(1,N(E1699)))</f>
        <v/>
      </c>
      <c r="L1699" s="37">
        <f>IF(OR(D1699="",A1699=""),"",A1699+IF(AND(Config!$B$17="Sim",LEFT(D1699,17)="Cartão de crédito"),1,IFERROR(INDEX(Config!$C$12:$C$15,MATCH(IF(AND(D1699="Cartão de crédito",N(E1699)&gt;1),"Cartão de crédito parcelado",D1699),Config!$A$12:$A$15,0)),0)))</f>
        <v/>
      </c>
      <c r="M1699" s="37">
        <f>IF(L1699="","",IF(AND(Config!$B$17="Sim",LEFT(D1699,17)="Cartão de crédito"),L1699,L1699+30*(MAX(1,N(E1699))-1)))</f>
        <v/>
      </c>
      <c r="N1699" s="29">
        <f>IF(OR(L1699="",K1699=""),"",K1699*MIN(MAX(1,N(E1699)),MAX(0,INT((Config!$B$8-L1699)/30)+1)))</f>
        <v/>
      </c>
      <c r="O1699" s="29">
        <f>IF(J1699="","",J1699-N(N1699))</f>
        <v/>
      </c>
      <c r="P1699" s="27">
        <f>IF(A1699="","",MONTH(A1699))</f>
        <v/>
      </c>
      <c r="Q1699" s="27">
        <f>IF(A1699="","",YEAR(A1699))</f>
        <v/>
      </c>
      <c r="R1699" s="27">
        <f>IF(L1699="","",IF(L1699&gt;Config!$B$8,"A cair",IF(N(G1699)&gt;=MIN(MAX(1,N(E1699)),MAX(0,INT((Config!$B$8-L1699)/30)+1)),IF(N(G1699)&gt;=MAX(1,N(E1699)),"Conferido","Conferido até aqui"),"A conferir")))</f>
        <v/>
      </c>
      <c r="S1699" s="51">
        <f>IF(R1699="A conferir",(Config!$B$8-L1699)*1000+N(F1699)/1000+ROW()/100000,0)</f>
        <v>0</v>
      </c>
      <c r="T1699" s="51">
        <f>IF(R1699="A conferir",N(N1699),0)</f>
        <v>0</v>
      </c>
      <c r="U1699" s="51">
        <f>IF(L1699="",0,L1699)</f>
        <v>0</v>
      </c>
      <c r="V1699" s="51">
        <f>IF(L1699="",0,MAX(1,N(E1699)))</f>
        <v>0</v>
      </c>
      <c r="W1699" s="51">
        <f>IF(K1699="",0,K1699)</f>
        <v>0</v>
      </c>
    </row>
    <row r="1700">
      <c r="A1700" s="49" t="n"/>
      <c r="B1700" s="41" t="n"/>
      <c r="C1700" s="41" t="n"/>
      <c r="D1700" s="42" t="n"/>
      <c r="E1700" s="42" t="n"/>
      <c r="F1700" s="50" t="n"/>
      <c r="G1700" s="42" t="n"/>
      <c r="H1700" s="30">
        <f>IF(D1700="","",IFERROR(INDEX(Config!$B$12:$B$15,MATCH(IF(AND(D1700="Cartão de crédito",N(E1700)&gt;1),"Cartão de crédito parcelado",D1700),Config!$A$12:$A$15,0)),0)+IF(AND(Config!$B$17="Sim",LEFT(D1700,17)="Cartão de crédito"),Config!$B$18*IFERROR(INDEX(Config!$C$12:$C$15,MATCH(IF(AND(D1700="Cartão de crédito",N(E1700)&gt;1),"Cartão de crédito parcelado",D1700),Config!$A$12:$A$15,0)),0)/30*MAX(1,N(E1700)),0))</f>
        <v/>
      </c>
      <c r="I1700" s="29">
        <f>IF(OR(D1700="",F1700=""),"",ROUND(F1700*H1700,2))</f>
        <v/>
      </c>
      <c r="J1700" s="29">
        <f>IF(I1700="","",F1700-I1700)</f>
        <v/>
      </c>
      <c r="K1700" s="29">
        <f>IF(J1700="","",J1700/MAX(1,N(E1700)))</f>
        <v/>
      </c>
      <c r="L1700" s="37">
        <f>IF(OR(D1700="",A1700=""),"",A1700+IF(AND(Config!$B$17="Sim",LEFT(D1700,17)="Cartão de crédito"),1,IFERROR(INDEX(Config!$C$12:$C$15,MATCH(IF(AND(D1700="Cartão de crédito",N(E1700)&gt;1),"Cartão de crédito parcelado",D1700),Config!$A$12:$A$15,0)),0)))</f>
        <v/>
      </c>
      <c r="M1700" s="37">
        <f>IF(L1700="","",IF(AND(Config!$B$17="Sim",LEFT(D1700,17)="Cartão de crédito"),L1700,L1700+30*(MAX(1,N(E1700))-1)))</f>
        <v/>
      </c>
      <c r="N1700" s="29">
        <f>IF(OR(L1700="",K1700=""),"",K1700*MIN(MAX(1,N(E1700)),MAX(0,INT((Config!$B$8-L1700)/30)+1)))</f>
        <v/>
      </c>
      <c r="O1700" s="29">
        <f>IF(J1700="","",J1700-N(N1700))</f>
        <v/>
      </c>
      <c r="P1700" s="27">
        <f>IF(A1700="","",MONTH(A1700))</f>
        <v/>
      </c>
      <c r="Q1700" s="27">
        <f>IF(A1700="","",YEAR(A1700))</f>
        <v/>
      </c>
      <c r="R1700" s="27">
        <f>IF(L1700="","",IF(L1700&gt;Config!$B$8,"A cair",IF(N(G1700)&gt;=MIN(MAX(1,N(E1700)),MAX(0,INT((Config!$B$8-L1700)/30)+1)),IF(N(G1700)&gt;=MAX(1,N(E1700)),"Conferido","Conferido até aqui"),"A conferir")))</f>
        <v/>
      </c>
      <c r="S1700" s="51">
        <f>IF(R1700="A conferir",(Config!$B$8-L1700)*1000+N(F1700)/1000+ROW()/100000,0)</f>
        <v>0</v>
      </c>
      <c r="T1700" s="51">
        <f>IF(R1700="A conferir",N(N1700),0)</f>
        <v>0</v>
      </c>
      <c r="U1700" s="51">
        <f>IF(L1700="",0,L1700)</f>
        <v>0</v>
      </c>
      <c r="V1700" s="51">
        <f>IF(L1700="",0,MAX(1,N(E1700)))</f>
        <v>0</v>
      </c>
      <c r="W1700" s="51">
        <f>IF(K1700="",0,K1700)</f>
        <v>0</v>
      </c>
    </row>
    <row r="1701">
      <c r="A1701" s="49" t="n"/>
      <c r="B1701" s="41" t="n"/>
      <c r="C1701" s="41" t="n"/>
      <c r="D1701" s="42" t="n"/>
      <c r="E1701" s="42" t="n"/>
      <c r="F1701" s="50" t="n"/>
      <c r="G1701" s="42" t="n"/>
      <c r="H1701" s="30">
        <f>IF(D1701="","",IFERROR(INDEX(Config!$B$12:$B$15,MATCH(IF(AND(D1701="Cartão de crédito",N(E1701)&gt;1),"Cartão de crédito parcelado",D1701),Config!$A$12:$A$15,0)),0)+IF(AND(Config!$B$17="Sim",LEFT(D1701,17)="Cartão de crédito"),Config!$B$18*IFERROR(INDEX(Config!$C$12:$C$15,MATCH(IF(AND(D1701="Cartão de crédito",N(E1701)&gt;1),"Cartão de crédito parcelado",D1701),Config!$A$12:$A$15,0)),0)/30*MAX(1,N(E1701)),0))</f>
        <v/>
      </c>
      <c r="I1701" s="29">
        <f>IF(OR(D1701="",F1701=""),"",ROUND(F1701*H1701,2))</f>
        <v/>
      </c>
      <c r="J1701" s="29">
        <f>IF(I1701="","",F1701-I1701)</f>
        <v/>
      </c>
      <c r="K1701" s="29">
        <f>IF(J1701="","",J1701/MAX(1,N(E1701)))</f>
        <v/>
      </c>
      <c r="L1701" s="37">
        <f>IF(OR(D1701="",A1701=""),"",A1701+IF(AND(Config!$B$17="Sim",LEFT(D1701,17)="Cartão de crédito"),1,IFERROR(INDEX(Config!$C$12:$C$15,MATCH(IF(AND(D1701="Cartão de crédito",N(E1701)&gt;1),"Cartão de crédito parcelado",D1701),Config!$A$12:$A$15,0)),0)))</f>
        <v/>
      </c>
      <c r="M1701" s="37">
        <f>IF(L1701="","",IF(AND(Config!$B$17="Sim",LEFT(D1701,17)="Cartão de crédito"),L1701,L1701+30*(MAX(1,N(E1701))-1)))</f>
        <v/>
      </c>
      <c r="N1701" s="29">
        <f>IF(OR(L1701="",K1701=""),"",K1701*MIN(MAX(1,N(E1701)),MAX(0,INT((Config!$B$8-L1701)/30)+1)))</f>
        <v/>
      </c>
      <c r="O1701" s="29">
        <f>IF(J1701="","",J1701-N(N1701))</f>
        <v/>
      </c>
      <c r="P1701" s="27">
        <f>IF(A1701="","",MONTH(A1701))</f>
        <v/>
      </c>
      <c r="Q1701" s="27">
        <f>IF(A1701="","",YEAR(A1701))</f>
        <v/>
      </c>
      <c r="R1701" s="27">
        <f>IF(L1701="","",IF(L1701&gt;Config!$B$8,"A cair",IF(N(G1701)&gt;=MIN(MAX(1,N(E1701)),MAX(0,INT((Config!$B$8-L1701)/30)+1)),IF(N(G1701)&gt;=MAX(1,N(E1701)),"Conferido","Conferido até aqui"),"A conferir")))</f>
        <v/>
      </c>
      <c r="S1701" s="51">
        <f>IF(R1701="A conferir",(Config!$B$8-L1701)*1000+N(F1701)/1000+ROW()/100000,0)</f>
        <v>0</v>
      </c>
      <c r="T1701" s="51">
        <f>IF(R1701="A conferir",N(N1701),0)</f>
        <v>0</v>
      </c>
      <c r="U1701" s="51">
        <f>IF(L1701="",0,L1701)</f>
        <v>0</v>
      </c>
      <c r="V1701" s="51">
        <f>IF(L1701="",0,MAX(1,N(E1701)))</f>
        <v>0</v>
      </c>
      <c r="W1701" s="51">
        <f>IF(K1701="",0,K1701)</f>
        <v>0</v>
      </c>
    </row>
    <row r="1702">
      <c r="A1702" s="49" t="n"/>
      <c r="B1702" s="41" t="n"/>
      <c r="C1702" s="41" t="n"/>
      <c r="D1702" s="42" t="n"/>
      <c r="E1702" s="42" t="n"/>
      <c r="F1702" s="50" t="n"/>
      <c r="G1702" s="42" t="n"/>
      <c r="H1702" s="30">
        <f>IF(D1702="","",IFERROR(INDEX(Config!$B$12:$B$15,MATCH(IF(AND(D1702="Cartão de crédito",N(E1702)&gt;1),"Cartão de crédito parcelado",D1702),Config!$A$12:$A$15,0)),0)+IF(AND(Config!$B$17="Sim",LEFT(D1702,17)="Cartão de crédito"),Config!$B$18*IFERROR(INDEX(Config!$C$12:$C$15,MATCH(IF(AND(D1702="Cartão de crédito",N(E1702)&gt;1),"Cartão de crédito parcelado",D1702),Config!$A$12:$A$15,0)),0)/30*MAX(1,N(E1702)),0))</f>
        <v/>
      </c>
      <c r="I1702" s="29">
        <f>IF(OR(D1702="",F1702=""),"",ROUND(F1702*H1702,2))</f>
        <v/>
      </c>
      <c r="J1702" s="29">
        <f>IF(I1702="","",F1702-I1702)</f>
        <v/>
      </c>
      <c r="K1702" s="29">
        <f>IF(J1702="","",J1702/MAX(1,N(E1702)))</f>
        <v/>
      </c>
      <c r="L1702" s="37">
        <f>IF(OR(D1702="",A1702=""),"",A1702+IF(AND(Config!$B$17="Sim",LEFT(D1702,17)="Cartão de crédito"),1,IFERROR(INDEX(Config!$C$12:$C$15,MATCH(IF(AND(D1702="Cartão de crédito",N(E1702)&gt;1),"Cartão de crédito parcelado",D1702),Config!$A$12:$A$15,0)),0)))</f>
        <v/>
      </c>
      <c r="M1702" s="37">
        <f>IF(L1702="","",IF(AND(Config!$B$17="Sim",LEFT(D1702,17)="Cartão de crédito"),L1702,L1702+30*(MAX(1,N(E1702))-1)))</f>
        <v/>
      </c>
      <c r="N1702" s="29">
        <f>IF(OR(L1702="",K1702=""),"",K1702*MIN(MAX(1,N(E1702)),MAX(0,INT((Config!$B$8-L1702)/30)+1)))</f>
        <v/>
      </c>
      <c r="O1702" s="29">
        <f>IF(J1702="","",J1702-N(N1702))</f>
        <v/>
      </c>
      <c r="P1702" s="27">
        <f>IF(A1702="","",MONTH(A1702))</f>
        <v/>
      </c>
      <c r="Q1702" s="27">
        <f>IF(A1702="","",YEAR(A1702))</f>
        <v/>
      </c>
      <c r="R1702" s="27">
        <f>IF(L1702="","",IF(L1702&gt;Config!$B$8,"A cair",IF(N(G1702)&gt;=MIN(MAX(1,N(E1702)),MAX(0,INT((Config!$B$8-L1702)/30)+1)),IF(N(G1702)&gt;=MAX(1,N(E1702)),"Conferido","Conferido até aqui"),"A conferir")))</f>
        <v/>
      </c>
      <c r="S1702" s="51">
        <f>IF(R1702="A conferir",(Config!$B$8-L1702)*1000+N(F1702)/1000+ROW()/100000,0)</f>
        <v>0</v>
      </c>
      <c r="T1702" s="51">
        <f>IF(R1702="A conferir",N(N1702),0)</f>
        <v>0</v>
      </c>
      <c r="U1702" s="51">
        <f>IF(L1702="",0,L1702)</f>
        <v>0</v>
      </c>
      <c r="V1702" s="51">
        <f>IF(L1702="",0,MAX(1,N(E1702)))</f>
        <v>0</v>
      </c>
      <c r="W1702" s="51">
        <f>IF(K1702="",0,K1702)</f>
        <v>0</v>
      </c>
    </row>
    <row r="1703">
      <c r="A1703" s="49" t="n"/>
      <c r="B1703" s="41" t="n"/>
      <c r="C1703" s="41" t="n"/>
      <c r="D1703" s="42" t="n"/>
      <c r="E1703" s="42" t="n"/>
      <c r="F1703" s="50" t="n"/>
      <c r="G1703" s="42" t="n"/>
      <c r="H1703" s="30">
        <f>IF(D1703="","",IFERROR(INDEX(Config!$B$12:$B$15,MATCH(IF(AND(D1703="Cartão de crédito",N(E1703)&gt;1),"Cartão de crédito parcelado",D1703),Config!$A$12:$A$15,0)),0)+IF(AND(Config!$B$17="Sim",LEFT(D1703,17)="Cartão de crédito"),Config!$B$18*IFERROR(INDEX(Config!$C$12:$C$15,MATCH(IF(AND(D1703="Cartão de crédito",N(E1703)&gt;1),"Cartão de crédito parcelado",D1703),Config!$A$12:$A$15,0)),0)/30*MAX(1,N(E1703)),0))</f>
        <v/>
      </c>
      <c r="I1703" s="29">
        <f>IF(OR(D1703="",F1703=""),"",ROUND(F1703*H1703,2))</f>
        <v/>
      </c>
      <c r="J1703" s="29">
        <f>IF(I1703="","",F1703-I1703)</f>
        <v/>
      </c>
      <c r="K1703" s="29">
        <f>IF(J1703="","",J1703/MAX(1,N(E1703)))</f>
        <v/>
      </c>
      <c r="L1703" s="37">
        <f>IF(OR(D1703="",A1703=""),"",A1703+IF(AND(Config!$B$17="Sim",LEFT(D1703,17)="Cartão de crédito"),1,IFERROR(INDEX(Config!$C$12:$C$15,MATCH(IF(AND(D1703="Cartão de crédito",N(E1703)&gt;1),"Cartão de crédito parcelado",D1703),Config!$A$12:$A$15,0)),0)))</f>
        <v/>
      </c>
      <c r="M1703" s="37">
        <f>IF(L1703="","",IF(AND(Config!$B$17="Sim",LEFT(D1703,17)="Cartão de crédito"),L1703,L1703+30*(MAX(1,N(E1703))-1)))</f>
        <v/>
      </c>
      <c r="N1703" s="29">
        <f>IF(OR(L1703="",K1703=""),"",K1703*MIN(MAX(1,N(E1703)),MAX(0,INT((Config!$B$8-L1703)/30)+1)))</f>
        <v/>
      </c>
      <c r="O1703" s="29">
        <f>IF(J1703="","",J1703-N(N1703))</f>
        <v/>
      </c>
      <c r="P1703" s="27">
        <f>IF(A1703="","",MONTH(A1703))</f>
        <v/>
      </c>
      <c r="Q1703" s="27">
        <f>IF(A1703="","",YEAR(A1703))</f>
        <v/>
      </c>
      <c r="R1703" s="27">
        <f>IF(L1703="","",IF(L1703&gt;Config!$B$8,"A cair",IF(N(G1703)&gt;=MIN(MAX(1,N(E1703)),MAX(0,INT((Config!$B$8-L1703)/30)+1)),IF(N(G1703)&gt;=MAX(1,N(E1703)),"Conferido","Conferido até aqui"),"A conferir")))</f>
        <v/>
      </c>
      <c r="S1703" s="51">
        <f>IF(R1703="A conferir",(Config!$B$8-L1703)*1000+N(F1703)/1000+ROW()/100000,0)</f>
        <v>0</v>
      </c>
      <c r="T1703" s="51">
        <f>IF(R1703="A conferir",N(N1703),0)</f>
        <v>0</v>
      </c>
      <c r="U1703" s="51">
        <f>IF(L1703="",0,L1703)</f>
        <v>0</v>
      </c>
      <c r="V1703" s="51">
        <f>IF(L1703="",0,MAX(1,N(E1703)))</f>
        <v>0</v>
      </c>
      <c r="W1703" s="51">
        <f>IF(K1703="",0,K1703)</f>
        <v>0</v>
      </c>
    </row>
    <row r="1704">
      <c r="A1704" s="49" t="n"/>
      <c r="B1704" s="41" t="n"/>
      <c r="C1704" s="41" t="n"/>
      <c r="D1704" s="42" t="n"/>
      <c r="E1704" s="42" t="n"/>
      <c r="F1704" s="50" t="n"/>
      <c r="G1704" s="42" t="n"/>
      <c r="H1704" s="30">
        <f>IF(D1704="","",IFERROR(INDEX(Config!$B$12:$B$15,MATCH(IF(AND(D1704="Cartão de crédito",N(E1704)&gt;1),"Cartão de crédito parcelado",D1704),Config!$A$12:$A$15,0)),0)+IF(AND(Config!$B$17="Sim",LEFT(D1704,17)="Cartão de crédito"),Config!$B$18*IFERROR(INDEX(Config!$C$12:$C$15,MATCH(IF(AND(D1704="Cartão de crédito",N(E1704)&gt;1),"Cartão de crédito parcelado",D1704),Config!$A$12:$A$15,0)),0)/30*MAX(1,N(E1704)),0))</f>
        <v/>
      </c>
      <c r="I1704" s="29">
        <f>IF(OR(D1704="",F1704=""),"",ROUND(F1704*H1704,2))</f>
        <v/>
      </c>
      <c r="J1704" s="29">
        <f>IF(I1704="","",F1704-I1704)</f>
        <v/>
      </c>
      <c r="K1704" s="29">
        <f>IF(J1704="","",J1704/MAX(1,N(E1704)))</f>
        <v/>
      </c>
      <c r="L1704" s="37">
        <f>IF(OR(D1704="",A1704=""),"",A1704+IF(AND(Config!$B$17="Sim",LEFT(D1704,17)="Cartão de crédito"),1,IFERROR(INDEX(Config!$C$12:$C$15,MATCH(IF(AND(D1704="Cartão de crédito",N(E1704)&gt;1),"Cartão de crédito parcelado",D1704),Config!$A$12:$A$15,0)),0)))</f>
        <v/>
      </c>
      <c r="M1704" s="37">
        <f>IF(L1704="","",IF(AND(Config!$B$17="Sim",LEFT(D1704,17)="Cartão de crédito"),L1704,L1704+30*(MAX(1,N(E1704))-1)))</f>
        <v/>
      </c>
      <c r="N1704" s="29">
        <f>IF(OR(L1704="",K1704=""),"",K1704*MIN(MAX(1,N(E1704)),MAX(0,INT((Config!$B$8-L1704)/30)+1)))</f>
        <v/>
      </c>
      <c r="O1704" s="29">
        <f>IF(J1704="","",J1704-N(N1704))</f>
        <v/>
      </c>
      <c r="P1704" s="27">
        <f>IF(A1704="","",MONTH(A1704))</f>
        <v/>
      </c>
      <c r="Q1704" s="27">
        <f>IF(A1704="","",YEAR(A1704))</f>
        <v/>
      </c>
      <c r="R1704" s="27">
        <f>IF(L1704="","",IF(L1704&gt;Config!$B$8,"A cair",IF(N(G1704)&gt;=MIN(MAX(1,N(E1704)),MAX(0,INT((Config!$B$8-L1704)/30)+1)),IF(N(G1704)&gt;=MAX(1,N(E1704)),"Conferido","Conferido até aqui"),"A conferir")))</f>
        <v/>
      </c>
      <c r="S1704" s="51">
        <f>IF(R1704="A conferir",(Config!$B$8-L1704)*1000+N(F1704)/1000+ROW()/100000,0)</f>
        <v>0</v>
      </c>
      <c r="T1704" s="51">
        <f>IF(R1704="A conferir",N(N1704),0)</f>
        <v>0</v>
      </c>
      <c r="U1704" s="51">
        <f>IF(L1704="",0,L1704)</f>
        <v>0</v>
      </c>
      <c r="V1704" s="51">
        <f>IF(L1704="",0,MAX(1,N(E1704)))</f>
        <v>0</v>
      </c>
      <c r="W1704" s="51">
        <f>IF(K1704="",0,K1704)</f>
        <v>0</v>
      </c>
    </row>
    <row r="1705">
      <c r="A1705" s="49" t="n"/>
      <c r="B1705" s="41" t="n"/>
      <c r="C1705" s="41" t="n"/>
      <c r="D1705" s="42" t="n"/>
      <c r="E1705" s="42" t="n"/>
      <c r="F1705" s="50" t="n"/>
      <c r="G1705" s="42" t="n"/>
      <c r="H1705" s="30">
        <f>IF(D1705="","",IFERROR(INDEX(Config!$B$12:$B$15,MATCH(IF(AND(D1705="Cartão de crédito",N(E1705)&gt;1),"Cartão de crédito parcelado",D1705),Config!$A$12:$A$15,0)),0)+IF(AND(Config!$B$17="Sim",LEFT(D1705,17)="Cartão de crédito"),Config!$B$18*IFERROR(INDEX(Config!$C$12:$C$15,MATCH(IF(AND(D1705="Cartão de crédito",N(E1705)&gt;1),"Cartão de crédito parcelado",D1705),Config!$A$12:$A$15,0)),0)/30*MAX(1,N(E1705)),0))</f>
        <v/>
      </c>
      <c r="I1705" s="29">
        <f>IF(OR(D1705="",F1705=""),"",ROUND(F1705*H1705,2))</f>
        <v/>
      </c>
      <c r="J1705" s="29">
        <f>IF(I1705="","",F1705-I1705)</f>
        <v/>
      </c>
      <c r="K1705" s="29">
        <f>IF(J1705="","",J1705/MAX(1,N(E1705)))</f>
        <v/>
      </c>
      <c r="L1705" s="37">
        <f>IF(OR(D1705="",A1705=""),"",A1705+IF(AND(Config!$B$17="Sim",LEFT(D1705,17)="Cartão de crédito"),1,IFERROR(INDEX(Config!$C$12:$C$15,MATCH(IF(AND(D1705="Cartão de crédito",N(E1705)&gt;1),"Cartão de crédito parcelado",D1705),Config!$A$12:$A$15,0)),0)))</f>
        <v/>
      </c>
      <c r="M1705" s="37">
        <f>IF(L1705="","",IF(AND(Config!$B$17="Sim",LEFT(D1705,17)="Cartão de crédito"),L1705,L1705+30*(MAX(1,N(E1705))-1)))</f>
        <v/>
      </c>
      <c r="N1705" s="29">
        <f>IF(OR(L1705="",K1705=""),"",K1705*MIN(MAX(1,N(E1705)),MAX(0,INT((Config!$B$8-L1705)/30)+1)))</f>
        <v/>
      </c>
      <c r="O1705" s="29">
        <f>IF(J1705="","",J1705-N(N1705))</f>
        <v/>
      </c>
      <c r="P1705" s="27">
        <f>IF(A1705="","",MONTH(A1705))</f>
        <v/>
      </c>
      <c r="Q1705" s="27">
        <f>IF(A1705="","",YEAR(A1705))</f>
        <v/>
      </c>
      <c r="R1705" s="27">
        <f>IF(L1705="","",IF(L1705&gt;Config!$B$8,"A cair",IF(N(G1705)&gt;=MIN(MAX(1,N(E1705)),MAX(0,INT((Config!$B$8-L1705)/30)+1)),IF(N(G1705)&gt;=MAX(1,N(E1705)),"Conferido","Conferido até aqui"),"A conferir")))</f>
        <v/>
      </c>
      <c r="S1705" s="51">
        <f>IF(R1705="A conferir",(Config!$B$8-L1705)*1000+N(F1705)/1000+ROW()/100000,0)</f>
        <v>0</v>
      </c>
      <c r="T1705" s="51">
        <f>IF(R1705="A conferir",N(N1705),0)</f>
        <v>0</v>
      </c>
      <c r="U1705" s="51">
        <f>IF(L1705="",0,L1705)</f>
        <v>0</v>
      </c>
      <c r="V1705" s="51">
        <f>IF(L1705="",0,MAX(1,N(E1705)))</f>
        <v>0</v>
      </c>
      <c r="W1705" s="51">
        <f>IF(K1705="",0,K1705)</f>
        <v>0</v>
      </c>
    </row>
    <row r="1706">
      <c r="A1706" s="49" t="n"/>
      <c r="B1706" s="41" t="n"/>
      <c r="C1706" s="41" t="n"/>
      <c r="D1706" s="42" t="n"/>
      <c r="E1706" s="42" t="n"/>
      <c r="F1706" s="50" t="n"/>
      <c r="G1706" s="42" t="n"/>
      <c r="H1706" s="30">
        <f>IF(D1706="","",IFERROR(INDEX(Config!$B$12:$B$15,MATCH(IF(AND(D1706="Cartão de crédito",N(E1706)&gt;1),"Cartão de crédito parcelado",D1706),Config!$A$12:$A$15,0)),0)+IF(AND(Config!$B$17="Sim",LEFT(D1706,17)="Cartão de crédito"),Config!$B$18*IFERROR(INDEX(Config!$C$12:$C$15,MATCH(IF(AND(D1706="Cartão de crédito",N(E1706)&gt;1),"Cartão de crédito parcelado",D1706),Config!$A$12:$A$15,0)),0)/30*MAX(1,N(E1706)),0))</f>
        <v/>
      </c>
      <c r="I1706" s="29">
        <f>IF(OR(D1706="",F1706=""),"",ROUND(F1706*H1706,2))</f>
        <v/>
      </c>
      <c r="J1706" s="29">
        <f>IF(I1706="","",F1706-I1706)</f>
        <v/>
      </c>
      <c r="K1706" s="29">
        <f>IF(J1706="","",J1706/MAX(1,N(E1706)))</f>
        <v/>
      </c>
      <c r="L1706" s="37">
        <f>IF(OR(D1706="",A1706=""),"",A1706+IF(AND(Config!$B$17="Sim",LEFT(D1706,17)="Cartão de crédito"),1,IFERROR(INDEX(Config!$C$12:$C$15,MATCH(IF(AND(D1706="Cartão de crédito",N(E1706)&gt;1),"Cartão de crédito parcelado",D1706),Config!$A$12:$A$15,0)),0)))</f>
        <v/>
      </c>
      <c r="M1706" s="37">
        <f>IF(L1706="","",IF(AND(Config!$B$17="Sim",LEFT(D1706,17)="Cartão de crédito"),L1706,L1706+30*(MAX(1,N(E1706))-1)))</f>
        <v/>
      </c>
      <c r="N1706" s="29">
        <f>IF(OR(L1706="",K1706=""),"",K1706*MIN(MAX(1,N(E1706)),MAX(0,INT((Config!$B$8-L1706)/30)+1)))</f>
        <v/>
      </c>
      <c r="O1706" s="29">
        <f>IF(J1706="","",J1706-N(N1706))</f>
        <v/>
      </c>
      <c r="P1706" s="27">
        <f>IF(A1706="","",MONTH(A1706))</f>
        <v/>
      </c>
      <c r="Q1706" s="27">
        <f>IF(A1706="","",YEAR(A1706))</f>
        <v/>
      </c>
      <c r="R1706" s="27">
        <f>IF(L1706="","",IF(L1706&gt;Config!$B$8,"A cair",IF(N(G1706)&gt;=MIN(MAX(1,N(E1706)),MAX(0,INT((Config!$B$8-L1706)/30)+1)),IF(N(G1706)&gt;=MAX(1,N(E1706)),"Conferido","Conferido até aqui"),"A conferir")))</f>
        <v/>
      </c>
      <c r="S1706" s="51">
        <f>IF(R1706="A conferir",(Config!$B$8-L1706)*1000+N(F1706)/1000+ROW()/100000,0)</f>
        <v>0</v>
      </c>
      <c r="T1706" s="51">
        <f>IF(R1706="A conferir",N(N1706),0)</f>
        <v>0</v>
      </c>
      <c r="U1706" s="51">
        <f>IF(L1706="",0,L1706)</f>
        <v>0</v>
      </c>
      <c r="V1706" s="51">
        <f>IF(L1706="",0,MAX(1,N(E1706)))</f>
        <v>0</v>
      </c>
      <c r="W1706" s="51">
        <f>IF(K1706="",0,K1706)</f>
        <v>0</v>
      </c>
    </row>
    <row r="1707">
      <c r="A1707" s="49" t="n"/>
      <c r="B1707" s="41" t="n"/>
      <c r="C1707" s="41" t="n"/>
      <c r="D1707" s="42" t="n"/>
      <c r="E1707" s="42" t="n"/>
      <c r="F1707" s="50" t="n"/>
      <c r="G1707" s="42" t="n"/>
      <c r="H1707" s="30">
        <f>IF(D1707="","",IFERROR(INDEX(Config!$B$12:$B$15,MATCH(IF(AND(D1707="Cartão de crédito",N(E1707)&gt;1),"Cartão de crédito parcelado",D1707),Config!$A$12:$A$15,0)),0)+IF(AND(Config!$B$17="Sim",LEFT(D1707,17)="Cartão de crédito"),Config!$B$18*IFERROR(INDEX(Config!$C$12:$C$15,MATCH(IF(AND(D1707="Cartão de crédito",N(E1707)&gt;1),"Cartão de crédito parcelado",D1707),Config!$A$12:$A$15,0)),0)/30*MAX(1,N(E1707)),0))</f>
        <v/>
      </c>
      <c r="I1707" s="29">
        <f>IF(OR(D1707="",F1707=""),"",ROUND(F1707*H1707,2))</f>
        <v/>
      </c>
      <c r="J1707" s="29">
        <f>IF(I1707="","",F1707-I1707)</f>
        <v/>
      </c>
      <c r="K1707" s="29">
        <f>IF(J1707="","",J1707/MAX(1,N(E1707)))</f>
        <v/>
      </c>
      <c r="L1707" s="37">
        <f>IF(OR(D1707="",A1707=""),"",A1707+IF(AND(Config!$B$17="Sim",LEFT(D1707,17)="Cartão de crédito"),1,IFERROR(INDEX(Config!$C$12:$C$15,MATCH(IF(AND(D1707="Cartão de crédito",N(E1707)&gt;1),"Cartão de crédito parcelado",D1707),Config!$A$12:$A$15,0)),0)))</f>
        <v/>
      </c>
      <c r="M1707" s="37">
        <f>IF(L1707="","",IF(AND(Config!$B$17="Sim",LEFT(D1707,17)="Cartão de crédito"),L1707,L1707+30*(MAX(1,N(E1707))-1)))</f>
        <v/>
      </c>
      <c r="N1707" s="29">
        <f>IF(OR(L1707="",K1707=""),"",K1707*MIN(MAX(1,N(E1707)),MAX(0,INT((Config!$B$8-L1707)/30)+1)))</f>
        <v/>
      </c>
      <c r="O1707" s="29">
        <f>IF(J1707="","",J1707-N(N1707))</f>
        <v/>
      </c>
      <c r="P1707" s="27">
        <f>IF(A1707="","",MONTH(A1707))</f>
        <v/>
      </c>
      <c r="Q1707" s="27">
        <f>IF(A1707="","",YEAR(A1707))</f>
        <v/>
      </c>
      <c r="R1707" s="27">
        <f>IF(L1707="","",IF(L1707&gt;Config!$B$8,"A cair",IF(N(G1707)&gt;=MIN(MAX(1,N(E1707)),MAX(0,INT((Config!$B$8-L1707)/30)+1)),IF(N(G1707)&gt;=MAX(1,N(E1707)),"Conferido","Conferido até aqui"),"A conferir")))</f>
        <v/>
      </c>
      <c r="S1707" s="51">
        <f>IF(R1707="A conferir",(Config!$B$8-L1707)*1000+N(F1707)/1000+ROW()/100000,0)</f>
        <v>0</v>
      </c>
      <c r="T1707" s="51">
        <f>IF(R1707="A conferir",N(N1707),0)</f>
        <v>0</v>
      </c>
      <c r="U1707" s="51">
        <f>IF(L1707="",0,L1707)</f>
        <v>0</v>
      </c>
      <c r="V1707" s="51">
        <f>IF(L1707="",0,MAX(1,N(E1707)))</f>
        <v>0</v>
      </c>
      <c r="W1707" s="51">
        <f>IF(K1707="",0,K1707)</f>
        <v>0</v>
      </c>
    </row>
    <row r="1708">
      <c r="A1708" s="49" t="n"/>
      <c r="B1708" s="41" t="n"/>
      <c r="C1708" s="41" t="n"/>
      <c r="D1708" s="42" t="n"/>
      <c r="E1708" s="42" t="n"/>
      <c r="F1708" s="50" t="n"/>
      <c r="G1708" s="42" t="n"/>
      <c r="H1708" s="30">
        <f>IF(D1708="","",IFERROR(INDEX(Config!$B$12:$B$15,MATCH(IF(AND(D1708="Cartão de crédito",N(E1708)&gt;1),"Cartão de crédito parcelado",D1708),Config!$A$12:$A$15,0)),0)+IF(AND(Config!$B$17="Sim",LEFT(D1708,17)="Cartão de crédito"),Config!$B$18*IFERROR(INDEX(Config!$C$12:$C$15,MATCH(IF(AND(D1708="Cartão de crédito",N(E1708)&gt;1),"Cartão de crédito parcelado",D1708),Config!$A$12:$A$15,0)),0)/30*MAX(1,N(E1708)),0))</f>
        <v/>
      </c>
      <c r="I1708" s="29">
        <f>IF(OR(D1708="",F1708=""),"",ROUND(F1708*H1708,2))</f>
        <v/>
      </c>
      <c r="J1708" s="29">
        <f>IF(I1708="","",F1708-I1708)</f>
        <v/>
      </c>
      <c r="K1708" s="29">
        <f>IF(J1708="","",J1708/MAX(1,N(E1708)))</f>
        <v/>
      </c>
      <c r="L1708" s="37">
        <f>IF(OR(D1708="",A1708=""),"",A1708+IF(AND(Config!$B$17="Sim",LEFT(D1708,17)="Cartão de crédito"),1,IFERROR(INDEX(Config!$C$12:$C$15,MATCH(IF(AND(D1708="Cartão de crédito",N(E1708)&gt;1),"Cartão de crédito parcelado",D1708),Config!$A$12:$A$15,0)),0)))</f>
        <v/>
      </c>
      <c r="M1708" s="37">
        <f>IF(L1708="","",IF(AND(Config!$B$17="Sim",LEFT(D1708,17)="Cartão de crédito"),L1708,L1708+30*(MAX(1,N(E1708))-1)))</f>
        <v/>
      </c>
      <c r="N1708" s="29">
        <f>IF(OR(L1708="",K1708=""),"",K1708*MIN(MAX(1,N(E1708)),MAX(0,INT((Config!$B$8-L1708)/30)+1)))</f>
        <v/>
      </c>
      <c r="O1708" s="29">
        <f>IF(J1708="","",J1708-N(N1708))</f>
        <v/>
      </c>
      <c r="P1708" s="27">
        <f>IF(A1708="","",MONTH(A1708))</f>
        <v/>
      </c>
      <c r="Q1708" s="27">
        <f>IF(A1708="","",YEAR(A1708))</f>
        <v/>
      </c>
      <c r="R1708" s="27">
        <f>IF(L1708="","",IF(L1708&gt;Config!$B$8,"A cair",IF(N(G1708)&gt;=MIN(MAX(1,N(E1708)),MAX(0,INT((Config!$B$8-L1708)/30)+1)),IF(N(G1708)&gt;=MAX(1,N(E1708)),"Conferido","Conferido até aqui"),"A conferir")))</f>
        <v/>
      </c>
      <c r="S1708" s="51">
        <f>IF(R1708="A conferir",(Config!$B$8-L1708)*1000+N(F1708)/1000+ROW()/100000,0)</f>
        <v>0</v>
      </c>
      <c r="T1708" s="51">
        <f>IF(R1708="A conferir",N(N1708),0)</f>
        <v>0</v>
      </c>
      <c r="U1708" s="51">
        <f>IF(L1708="",0,L1708)</f>
        <v>0</v>
      </c>
      <c r="V1708" s="51">
        <f>IF(L1708="",0,MAX(1,N(E1708)))</f>
        <v>0</v>
      </c>
      <c r="W1708" s="51">
        <f>IF(K1708="",0,K1708)</f>
        <v>0</v>
      </c>
    </row>
    <row r="1709">
      <c r="A1709" s="49" t="n"/>
      <c r="B1709" s="41" t="n"/>
      <c r="C1709" s="41" t="n"/>
      <c r="D1709" s="42" t="n"/>
      <c r="E1709" s="42" t="n"/>
      <c r="F1709" s="50" t="n"/>
      <c r="G1709" s="42" t="n"/>
      <c r="H1709" s="30">
        <f>IF(D1709="","",IFERROR(INDEX(Config!$B$12:$B$15,MATCH(IF(AND(D1709="Cartão de crédito",N(E1709)&gt;1),"Cartão de crédito parcelado",D1709),Config!$A$12:$A$15,0)),0)+IF(AND(Config!$B$17="Sim",LEFT(D1709,17)="Cartão de crédito"),Config!$B$18*IFERROR(INDEX(Config!$C$12:$C$15,MATCH(IF(AND(D1709="Cartão de crédito",N(E1709)&gt;1),"Cartão de crédito parcelado",D1709),Config!$A$12:$A$15,0)),0)/30*MAX(1,N(E1709)),0))</f>
        <v/>
      </c>
      <c r="I1709" s="29">
        <f>IF(OR(D1709="",F1709=""),"",ROUND(F1709*H1709,2))</f>
        <v/>
      </c>
      <c r="J1709" s="29">
        <f>IF(I1709="","",F1709-I1709)</f>
        <v/>
      </c>
      <c r="K1709" s="29">
        <f>IF(J1709="","",J1709/MAX(1,N(E1709)))</f>
        <v/>
      </c>
      <c r="L1709" s="37">
        <f>IF(OR(D1709="",A1709=""),"",A1709+IF(AND(Config!$B$17="Sim",LEFT(D1709,17)="Cartão de crédito"),1,IFERROR(INDEX(Config!$C$12:$C$15,MATCH(IF(AND(D1709="Cartão de crédito",N(E1709)&gt;1),"Cartão de crédito parcelado",D1709),Config!$A$12:$A$15,0)),0)))</f>
        <v/>
      </c>
      <c r="M1709" s="37">
        <f>IF(L1709="","",IF(AND(Config!$B$17="Sim",LEFT(D1709,17)="Cartão de crédito"),L1709,L1709+30*(MAX(1,N(E1709))-1)))</f>
        <v/>
      </c>
      <c r="N1709" s="29">
        <f>IF(OR(L1709="",K1709=""),"",K1709*MIN(MAX(1,N(E1709)),MAX(0,INT((Config!$B$8-L1709)/30)+1)))</f>
        <v/>
      </c>
      <c r="O1709" s="29">
        <f>IF(J1709="","",J1709-N(N1709))</f>
        <v/>
      </c>
      <c r="P1709" s="27">
        <f>IF(A1709="","",MONTH(A1709))</f>
        <v/>
      </c>
      <c r="Q1709" s="27">
        <f>IF(A1709="","",YEAR(A1709))</f>
        <v/>
      </c>
      <c r="R1709" s="27">
        <f>IF(L1709="","",IF(L1709&gt;Config!$B$8,"A cair",IF(N(G1709)&gt;=MIN(MAX(1,N(E1709)),MAX(0,INT((Config!$B$8-L1709)/30)+1)),IF(N(G1709)&gt;=MAX(1,N(E1709)),"Conferido","Conferido até aqui"),"A conferir")))</f>
        <v/>
      </c>
      <c r="S1709" s="51">
        <f>IF(R1709="A conferir",(Config!$B$8-L1709)*1000+N(F1709)/1000+ROW()/100000,0)</f>
        <v>0</v>
      </c>
      <c r="T1709" s="51">
        <f>IF(R1709="A conferir",N(N1709),0)</f>
        <v>0</v>
      </c>
      <c r="U1709" s="51">
        <f>IF(L1709="",0,L1709)</f>
        <v>0</v>
      </c>
      <c r="V1709" s="51">
        <f>IF(L1709="",0,MAX(1,N(E1709)))</f>
        <v>0</v>
      </c>
      <c r="W1709" s="51">
        <f>IF(K1709="",0,K1709)</f>
        <v>0</v>
      </c>
    </row>
    <row r="1710">
      <c r="A1710" s="49" t="n"/>
      <c r="B1710" s="41" t="n"/>
      <c r="C1710" s="41" t="n"/>
      <c r="D1710" s="42" t="n"/>
      <c r="E1710" s="42" t="n"/>
      <c r="F1710" s="50" t="n"/>
      <c r="G1710" s="42" t="n"/>
      <c r="H1710" s="30">
        <f>IF(D1710="","",IFERROR(INDEX(Config!$B$12:$B$15,MATCH(IF(AND(D1710="Cartão de crédito",N(E1710)&gt;1),"Cartão de crédito parcelado",D1710),Config!$A$12:$A$15,0)),0)+IF(AND(Config!$B$17="Sim",LEFT(D1710,17)="Cartão de crédito"),Config!$B$18*IFERROR(INDEX(Config!$C$12:$C$15,MATCH(IF(AND(D1710="Cartão de crédito",N(E1710)&gt;1),"Cartão de crédito parcelado",D1710),Config!$A$12:$A$15,0)),0)/30*MAX(1,N(E1710)),0))</f>
        <v/>
      </c>
      <c r="I1710" s="29">
        <f>IF(OR(D1710="",F1710=""),"",ROUND(F1710*H1710,2))</f>
        <v/>
      </c>
      <c r="J1710" s="29">
        <f>IF(I1710="","",F1710-I1710)</f>
        <v/>
      </c>
      <c r="K1710" s="29">
        <f>IF(J1710="","",J1710/MAX(1,N(E1710)))</f>
        <v/>
      </c>
      <c r="L1710" s="37">
        <f>IF(OR(D1710="",A1710=""),"",A1710+IF(AND(Config!$B$17="Sim",LEFT(D1710,17)="Cartão de crédito"),1,IFERROR(INDEX(Config!$C$12:$C$15,MATCH(IF(AND(D1710="Cartão de crédito",N(E1710)&gt;1),"Cartão de crédito parcelado",D1710),Config!$A$12:$A$15,0)),0)))</f>
        <v/>
      </c>
      <c r="M1710" s="37">
        <f>IF(L1710="","",IF(AND(Config!$B$17="Sim",LEFT(D1710,17)="Cartão de crédito"),L1710,L1710+30*(MAX(1,N(E1710))-1)))</f>
        <v/>
      </c>
      <c r="N1710" s="29">
        <f>IF(OR(L1710="",K1710=""),"",K1710*MIN(MAX(1,N(E1710)),MAX(0,INT((Config!$B$8-L1710)/30)+1)))</f>
        <v/>
      </c>
      <c r="O1710" s="29">
        <f>IF(J1710="","",J1710-N(N1710))</f>
        <v/>
      </c>
      <c r="P1710" s="27">
        <f>IF(A1710="","",MONTH(A1710))</f>
        <v/>
      </c>
      <c r="Q1710" s="27">
        <f>IF(A1710="","",YEAR(A1710))</f>
        <v/>
      </c>
      <c r="R1710" s="27">
        <f>IF(L1710="","",IF(L1710&gt;Config!$B$8,"A cair",IF(N(G1710)&gt;=MIN(MAX(1,N(E1710)),MAX(0,INT((Config!$B$8-L1710)/30)+1)),IF(N(G1710)&gt;=MAX(1,N(E1710)),"Conferido","Conferido até aqui"),"A conferir")))</f>
        <v/>
      </c>
      <c r="S1710" s="51">
        <f>IF(R1710="A conferir",(Config!$B$8-L1710)*1000+N(F1710)/1000+ROW()/100000,0)</f>
        <v>0</v>
      </c>
      <c r="T1710" s="51">
        <f>IF(R1710="A conferir",N(N1710),0)</f>
        <v>0</v>
      </c>
      <c r="U1710" s="51">
        <f>IF(L1710="",0,L1710)</f>
        <v>0</v>
      </c>
      <c r="V1710" s="51">
        <f>IF(L1710="",0,MAX(1,N(E1710)))</f>
        <v>0</v>
      </c>
      <c r="W1710" s="51">
        <f>IF(K1710="",0,K1710)</f>
        <v>0</v>
      </c>
    </row>
    <row r="1711">
      <c r="A1711" s="49" t="n"/>
      <c r="B1711" s="41" t="n"/>
      <c r="C1711" s="41" t="n"/>
      <c r="D1711" s="42" t="n"/>
      <c r="E1711" s="42" t="n"/>
      <c r="F1711" s="50" t="n"/>
      <c r="G1711" s="42" t="n"/>
      <c r="H1711" s="30">
        <f>IF(D1711="","",IFERROR(INDEX(Config!$B$12:$B$15,MATCH(IF(AND(D1711="Cartão de crédito",N(E1711)&gt;1),"Cartão de crédito parcelado",D1711),Config!$A$12:$A$15,0)),0)+IF(AND(Config!$B$17="Sim",LEFT(D1711,17)="Cartão de crédito"),Config!$B$18*IFERROR(INDEX(Config!$C$12:$C$15,MATCH(IF(AND(D1711="Cartão de crédito",N(E1711)&gt;1),"Cartão de crédito parcelado",D1711),Config!$A$12:$A$15,0)),0)/30*MAX(1,N(E1711)),0))</f>
        <v/>
      </c>
      <c r="I1711" s="29">
        <f>IF(OR(D1711="",F1711=""),"",ROUND(F1711*H1711,2))</f>
        <v/>
      </c>
      <c r="J1711" s="29">
        <f>IF(I1711="","",F1711-I1711)</f>
        <v/>
      </c>
      <c r="K1711" s="29">
        <f>IF(J1711="","",J1711/MAX(1,N(E1711)))</f>
        <v/>
      </c>
      <c r="L1711" s="37">
        <f>IF(OR(D1711="",A1711=""),"",A1711+IF(AND(Config!$B$17="Sim",LEFT(D1711,17)="Cartão de crédito"),1,IFERROR(INDEX(Config!$C$12:$C$15,MATCH(IF(AND(D1711="Cartão de crédito",N(E1711)&gt;1),"Cartão de crédito parcelado",D1711),Config!$A$12:$A$15,0)),0)))</f>
        <v/>
      </c>
      <c r="M1711" s="37">
        <f>IF(L1711="","",IF(AND(Config!$B$17="Sim",LEFT(D1711,17)="Cartão de crédito"),L1711,L1711+30*(MAX(1,N(E1711))-1)))</f>
        <v/>
      </c>
      <c r="N1711" s="29">
        <f>IF(OR(L1711="",K1711=""),"",K1711*MIN(MAX(1,N(E1711)),MAX(0,INT((Config!$B$8-L1711)/30)+1)))</f>
        <v/>
      </c>
      <c r="O1711" s="29">
        <f>IF(J1711="","",J1711-N(N1711))</f>
        <v/>
      </c>
      <c r="P1711" s="27">
        <f>IF(A1711="","",MONTH(A1711))</f>
        <v/>
      </c>
      <c r="Q1711" s="27">
        <f>IF(A1711="","",YEAR(A1711))</f>
        <v/>
      </c>
      <c r="R1711" s="27">
        <f>IF(L1711="","",IF(L1711&gt;Config!$B$8,"A cair",IF(N(G1711)&gt;=MIN(MAX(1,N(E1711)),MAX(0,INT((Config!$B$8-L1711)/30)+1)),IF(N(G1711)&gt;=MAX(1,N(E1711)),"Conferido","Conferido até aqui"),"A conferir")))</f>
        <v/>
      </c>
      <c r="S1711" s="51">
        <f>IF(R1711="A conferir",(Config!$B$8-L1711)*1000+N(F1711)/1000+ROW()/100000,0)</f>
        <v>0</v>
      </c>
      <c r="T1711" s="51">
        <f>IF(R1711="A conferir",N(N1711),0)</f>
        <v>0</v>
      </c>
      <c r="U1711" s="51">
        <f>IF(L1711="",0,L1711)</f>
        <v>0</v>
      </c>
      <c r="V1711" s="51">
        <f>IF(L1711="",0,MAX(1,N(E1711)))</f>
        <v>0</v>
      </c>
      <c r="W1711" s="51">
        <f>IF(K1711="",0,K1711)</f>
        <v>0</v>
      </c>
    </row>
    <row r="1712">
      <c r="A1712" s="49" t="n"/>
      <c r="B1712" s="41" t="n"/>
      <c r="C1712" s="41" t="n"/>
      <c r="D1712" s="42" t="n"/>
      <c r="E1712" s="42" t="n"/>
      <c r="F1712" s="50" t="n"/>
      <c r="G1712" s="42" t="n"/>
      <c r="H1712" s="30">
        <f>IF(D1712="","",IFERROR(INDEX(Config!$B$12:$B$15,MATCH(IF(AND(D1712="Cartão de crédito",N(E1712)&gt;1),"Cartão de crédito parcelado",D1712),Config!$A$12:$A$15,0)),0)+IF(AND(Config!$B$17="Sim",LEFT(D1712,17)="Cartão de crédito"),Config!$B$18*IFERROR(INDEX(Config!$C$12:$C$15,MATCH(IF(AND(D1712="Cartão de crédito",N(E1712)&gt;1),"Cartão de crédito parcelado",D1712),Config!$A$12:$A$15,0)),0)/30*MAX(1,N(E1712)),0))</f>
        <v/>
      </c>
      <c r="I1712" s="29">
        <f>IF(OR(D1712="",F1712=""),"",ROUND(F1712*H1712,2))</f>
        <v/>
      </c>
      <c r="J1712" s="29">
        <f>IF(I1712="","",F1712-I1712)</f>
        <v/>
      </c>
      <c r="K1712" s="29">
        <f>IF(J1712="","",J1712/MAX(1,N(E1712)))</f>
        <v/>
      </c>
      <c r="L1712" s="37">
        <f>IF(OR(D1712="",A1712=""),"",A1712+IF(AND(Config!$B$17="Sim",LEFT(D1712,17)="Cartão de crédito"),1,IFERROR(INDEX(Config!$C$12:$C$15,MATCH(IF(AND(D1712="Cartão de crédito",N(E1712)&gt;1),"Cartão de crédito parcelado",D1712),Config!$A$12:$A$15,0)),0)))</f>
        <v/>
      </c>
      <c r="M1712" s="37">
        <f>IF(L1712="","",IF(AND(Config!$B$17="Sim",LEFT(D1712,17)="Cartão de crédito"),L1712,L1712+30*(MAX(1,N(E1712))-1)))</f>
        <v/>
      </c>
      <c r="N1712" s="29">
        <f>IF(OR(L1712="",K1712=""),"",K1712*MIN(MAX(1,N(E1712)),MAX(0,INT((Config!$B$8-L1712)/30)+1)))</f>
        <v/>
      </c>
      <c r="O1712" s="29">
        <f>IF(J1712="","",J1712-N(N1712))</f>
        <v/>
      </c>
      <c r="P1712" s="27">
        <f>IF(A1712="","",MONTH(A1712))</f>
        <v/>
      </c>
      <c r="Q1712" s="27">
        <f>IF(A1712="","",YEAR(A1712))</f>
        <v/>
      </c>
      <c r="R1712" s="27">
        <f>IF(L1712="","",IF(L1712&gt;Config!$B$8,"A cair",IF(N(G1712)&gt;=MIN(MAX(1,N(E1712)),MAX(0,INT((Config!$B$8-L1712)/30)+1)),IF(N(G1712)&gt;=MAX(1,N(E1712)),"Conferido","Conferido até aqui"),"A conferir")))</f>
        <v/>
      </c>
      <c r="S1712" s="51">
        <f>IF(R1712="A conferir",(Config!$B$8-L1712)*1000+N(F1712)/1000+ROW()/100000,0)</f>
        <v>0</v>
      </c>
      <c r="T1712" s="51">
        <f>IF(R1712="A conferir",N(N1712),0)</f>
        <v>0</v>
      </c>
      <c r="U1712" s="51">
        <f>IF(L1712="",0,L1712)</f>
        <v>0</v>
      </c>
      <c r="V1712" s="51">
        <f>IF(L1712="",0,MAX(1,N(E1712)))</f>
        <v>0</v>
      </c>
      <c r="W1712" s="51">
        <f>IF(K1712="",0,K1712)</f>
        <v>0</v>
      </c>
    </row>
    <row r="1713">
      <c r="A1713" s="49" t="n"/>
      <c r="B1713" s="41" t="n"/>
      <c r="C1713" s="41" t="n"/>
      <c r="D1713" s="42" t="n"/>
      <c r="E1713" s="42" t="n"/>
      <c r="F1713" s="50" t="n"/>
      <c r="G1713" s="42" t="n"/>
      <c r="H1713" s="30">
        <f>IF(D1713="","",IFERROR(INDEX(Config!$B$12:$B$15,MATCH(IF(AND(D1713="Cartão de crédito",N(E1713)&gt;1),"Cartão de crédito parcelado",D1713),Config!$A$12:$A$15,0)),0)+IF(AND(Config!$B$17="Sim",LEFT(D1713,17)="Cartão de crédito"),Config!$B$18*IFERROR(INDEX(Config!$C$12:$C$15,MATCH(IF(AND(D1713="Cartão de crédito",N(E1713)&gt;1),"Cartão de crédito parcelado",D1713),Config!$A$12:$A$15,0)),0)/30*MAX(1,N(E1713)),0))</f>
        <v/>
      </c>
      <c r="I1713" s="29">
        <f>IF(OR(D1713="",F1713=""),"",ROUND(F1713*H1713,2))</f>
        <v/>
      </c>
      <c r="J1713" s="29">
        <f>IF(I1713="","",F1713-I1713)</f>
        <v/>
      </c>
      <c r="K1713" s="29">
        <f>IF(J1713="","",J1713/MAX(1,N(E1713)))</f>
        <v/>
      </c>
      <c r="L1713" s="37">
        <f>IF(OR(D1713="",A1713=""),"",A1713+IF(AND(Config!$B$17="Sim",LEFT(D1713,17)="Cartão de crédito"),1,IFERROR(INDEX(Config!$C$12:$C$15,MATCH(IF(AND(D1713="Cartão de crédito",N(E1713)&gt;1),"Cartão de crédito parcelado",D1713),Config!$A$12:$A$15,0)),0)))</f>
        <v/>
      </c>
      <c r="M1713" s="37">
        <f>IF(L1713="","",IF(AND(Config!$B$17="Sim",LEFT(D1713,17)="Cartão de crédito"),L1713,L1713+30*(MAX(1,N(E1713))-1)))</f>
        <v/>
      </c>
      <c r="N1713" s="29">
        <f>IF(OR(L1713="",K1713=""),"",K1713*MIN(MAX(1,N(E1713)),MAX(0,INT((Config!$B$8-L1713)/30)+1)))</f>
        <v/>
      </c>
      <c r="O1713" s="29">
        <f>IF(J1713="","",J1713-N(N1713))</f>
        <v/>
      </c>
      <c r="P1713" s="27">
        <f>IF(A1713="","",MONTH(A1713))</f>
        <v/>
      </c>
      <c r="Q1713" s="27">
        <f>IF(A1713="","",YEAR(A1713))</f>
        <v/>
      </c>
      <c r="R1713" s="27">
        <f>IF(L1713="","",IF(L1713&gt;Config!$B$8,"A cair",IF(N(G1713)&gt;=MIN(MAX(1,N(E1713)),MAX(0,INT((Config!$B$8-L1713)/30)+1)),IF(N(G1713)&gt;=MAX(1,N(E1713)),"Conferido","Conferido até aqui"),"A conferir")))</f>
        <v/>
      </c>
      <c r="S1713" s="51">
        <f>IF(R1713="A conferir",(Config!$B$8-L1713)*1000+N(F1713)/1000+ROW()/100000,0)</f>
        <v>0</v>
      </c>
      <c r="T1713" s="51">
        <f>IF(R1713="A conferir",N(N1713),0)</f>
        <v>0</v>
      </c>
      <c r="U1713" s="51">
        <f>IF(L1713="",0,L1713)</f>
        <v>0</v>
      </c>
      <c r="V1713" s="51">
        <f>IF(L1713="",0,MAX(1,N(E1713)))</f>
        <v>0</v>
      </c>
      <c r="W1713" s="51">
        <f>IF(K1713="",0,K1713)</f>
        <v>0</v>
      </c>
    </row>
    <row r="1714">
      <c r="A1714" s="49" t="n"/>
      <c r="B1714" s="41" t="n"/>
      <c r="C1714" s="41" t="n"/>
      <c r="D1714" s="42" t="n"/>
      <c r="E1714" s="42" t="n"/>
      <c r="F1714" s="50" t="n"/>
      <c r="G1714" s="42" t="n"/>
      <c r="H1714" s="30">
        <f>IF(D1714="","",IFERROR(INDEX(Config!$B$12:$B$15,MATCH(IF(AND(D1714="Cartão de crédito",N(E1714)&gt;1),"Cartão de crédito parcelado",D1714),Config!$A$12:$A$15,0)),0)+IF(AND(Config!$B$17="Sim",LEFT(D1714,17)="Cartão de crédito"),Config!$B$18*IFERROR(INDEX(Config!$C$12:$C$15,MATCH(IF(AND(D1714="Cartão de crédito",N(E1714)&gt;1),"Cartão de crédito parcelado",D1714),Config!$A$12:$A$15,0)),0)/30*MAX(1,N(E1714)),0))</f>
        <v/>
      </c>
      <c r="I1714" s="29">
        <f>IF(OR(D1714="",F1714=""),"",ROUND(F1714*H1714,2))</f>
        <v/>
      </c>
      <c r="J1714" s="29">
        <f>IF(I1714="","",F1714-I1714)</f>
        <v/>
      </c>
      <c r="K1714" s="29">
        <f>IF(J1714="","",J1714/MAX(1,N(E1714)))</f>
        <v/>
      </c>
      <c r="L1714" s="37">
        <f>IF(OR(D1714="",A1714=""),"",A1714+IF(AND(Config!$B$17="Sim",LEFT(D1714,17)="Cartão de crédito"),1,IFERROR(INDEX(Config!$C$12:$C$15,MATCH(IF(AND(D1714="Cartão de crédito",N(E1714)&gt;1),"Cartão de crédito parcelado",D1714),Config!$A$12:$A$15,0)),0)))</f>
        <v/>
      </c>
      <c r="M1714" s="37">
        <f>IF(L1714="","",IF(AND(Config!$B$17="Sim",LEFT(D1714,17)="Cartão de crédito"),L1714,L1714+30*(MAX(1,N(E1714))-1)))</f>
        <v/>
      </c>
      <c r="N1714" s="29">
        <f>IF(OR(L1714="",K1714=""),"",K1714*MIN(MAX(1,N(E1714)),MAX(0,INT((Config!$B$8-L1714)/30)+1)))</f>
        <v/>
      </c>
      <c r="O1714" s="29">
        <f>IF(J1714="","",J1714-N(N1714))</f>
        <v/>
      </c>
      <c r="P1714" s="27">
        <f>IF(A1714="","",MONTH(A1714))</f>
        <v/>
      </c>
      <c r="Q1714" s="27">
        <f>IF(A1714="","",YEAR(A1714))</f>
        <v/>
      </c>
      <c r="R1714" s="27">
        <f>IF(L1714="","",IF(L1714&gt;Config!$B$8,"A cair",IF(N(G1714)&gt;=MIN(MAX(1,N(E1714)),MAX(0,INT((Config!$B$8-L1714)/30)+1)),IF(N(G1714)&gt;=MAX(1,N(E1714)),"Conferido","Conferido até aqui"),"A conferir")))</f>
        <v/>
      </c>
      <c r="S1714" s="51">
        <f>IF(R1714="A conferir",(Config!$B$8-L1714)*1000+N(F1714)/1000+ROW()/100000,0)</f>
        <v>0</v>
      </c>
      <c r="T1714" s="51">
        <f>IF(R1714="A conferir",N(N1714),0)</f>
        <v>0</v>
      </c>
      <c r="U1714" s="51">
        <f>IF(L1714="",0,L1714)</f>
        <v>0</v>
      </c>
      <c r="V1714" s="51">
        <f>IF(L1714="",0,MAX(1,N(E1714)))</f>
        <v>0</v>
      </c>
      <c r="W1714" s="51">
        <f>IF(K1714="",0,K1714)</f>
        <v>0</v>
      </c>
    </row>
    <row r="1715">
      <c r="A1715" s="49" t="n"/>
      <c r="B1715" s="41" t="n"/>
      <c r="C1715" s="41" t="n"/>
      <c r="D1715" s="42" t="n"/>
      <c r="E1715" s="42" t="n"/>
      <c r="F1715" s="50" t="n"/>
      <c r="G1715" s="42" t="n"/>
      <c r="H1715" s="30">
        <f>IF(D1715="","",IFERROR(INDEX(Config!$B$12:$B$15,MATCH(IF(AND(D1715="Cartão de crédito",N(E1715)&gt;1),"Cartão de crédito parcelado",D1715),Config!$A$12:$A$15,0)),0)+IF(AND(Config!$B$17="Sim",LEFT(D1715,17)="Cartão de crédito"),Config!$B$18*IFERROR(INDEX(Config!$C$12:$C$15,MATCH(IF(AND(D1715="Cartão de crédito",N(E1715)&gt;1),"Cartão de crédito parcelado",D1715),Config!$A$12:$A$15,0)),0)/30*MAX(1,N(E1715)),0))</f>
        <v/>
      </c>
      <c r="I1715" s="29">
        <f>IF(OR(D1715="",F1715=""),"",ROUND(F1715*H1715,2))</f>
        <v/>
      </c>
      <c r="J1715" s="29">
        <f>IF(I1715="","",F1715-I1715)</f>
        <v/>
      </c>
      <c r="K1715" s="29">
        <f>IF(J1715="","",J1715/MAX(1,N(E1715)))</f>
        <v/>
      </c>
      <c r="L1715" s="37">
        <f>IF(OR(D1715="",A1715=""),"",A1715+IF(AND(Config!$B$17="Sim",LEFT(D1715,17)="Cartão de crédito"),1,IFERROR(INDEX(Config!$C$12:$C$15,MATCH(IF(AND(D1715="Cartão de crédito",N(E1715)&gt;1),"Cartão de crédito parcelado",D1715),Config!$A$12:$A$15,0)),0)))</f>
        <v/>
      </c>
      <c r="M1715" s="37">
        <f>IF(L1715="","",IF(AND(Config!$B$17="Sim",LEFT(D1715,17)="Cartão de crédito"),L1715,L1715+30*(MAX(1,N(E1715))-1)))</f>
        <v/>
      </c>
      <c r="N1715" s="29">
        <f>IF(OR(L1715="",K1715=""),"",K1715*MIN(MAX(1,N(E1715)),MAX(0,INT((Config!$B$8-L1715)/30)+1)))</f>
        <v/>
      </c>
      <c r="O1715" s="29">
        <f>IF(J1715="","",J1715-N(N1715))</f>
        <v/>
      </c>
      <c r="P1715" s="27">
        <f>IF(A1715="","",MONTH(A1715))</f>
        <v/>
      </c>
      <c r="Q1715" s="27">
        <f>IF(A1715="","",YEAR(A1715))</f>
        <v/>
      </c>
      <c r="R1715" s="27">
        <f>IF(L1715="","",IF(L1715&gt;Config!$B$8,"A cair",IF(N(G1715)&gt;=MIN(MAX(1,N(E1715)),MAX(0,INT((Config!$B$8-L1715)/30)+1)),IF(N(G1715)&gt;=MAX(1,N(E1715)),"Conferido","Conferido até aqui"),"A conferir")))</f>
        <v/>
      </c>
      <c r="S1715" s="51">
        <f>IF(R1715="A conferir",(Config!$B$8-L1715)*1000+N(F1715)/1000+ROW()/100000,0)</f>
        <v>0</v>
      </c>
      <c r="T1715" s="51">
        <f>IF(R1715="A conferir",N(N1715),0)</f>
        <v>0</v>
      </c>
      <c r="U1715" s="51">
        <f>IF(L1715="",0,L1715)</f>
        <v>0</v>
      </c>
      <c r="V1715" s="51">
        <f>IF(L1715="",0,MAX(1,N(E1715)))</f>
        <v>0</v>
      </c>
      <c r="W1715" s="51">
        <f>IF(K1715="",0,K1715)</f>
        <v>0</v>
      </c>
    </row>
    <row r="1716">
      <c r="A1716" s="49" t="n"/>
      <c r="B1716" s="41" t="n"/>
      <c r="C1716" s="41" t="n"/>
      <c r="D1716" s="42" t="n"/>
      <c r="E1716" s="42" t="n"/>
      <c r="F1716" s="50" t="n"/>
      <c r="G1716" s="42" t="n"/>
      <c r="H1716" s="30">
        <f>IF(D1716="","",IFERROR(INDEX(Config!$B$12:$B$15,MATCH(IF(AND(D1716="Cartão de crédito",N(E1716)&gt;1),"Cartão de crédito parcelado",D1716),Config!$A$12:$A$15,0)),0)+IF(AND(Config!$B$17="Sim",LEFT(D1716,17)="Cartão de crédito"),Config!$B$18*IFERROR(INDEX(Config!$C$12:$C$15,MATCH(IF(AND(D1716="Cartão de crédito",N(E1716)&gt;1),"Cartão de crédito parcelado",D1716),Config!$A$12:$A$15,0)),0)/30*MAX(1,N(E1716)),0))</f>
        <v/>
      </c>
      <c r="I1716" s="29">
        <f>IF(OR(D1716="",F1716=""),"",ROUND(F1716*H1716,2))</f>
        <v/>
      </c>
      <c r="J1716" s="29">
        <f>IF(I1716="","",F1716-I1716)</f>
        <v/>
      </c>
      <c r="K1716" s="29">
        <f>IF(J1716="","",J1716/MAX(1,N(E1716)))</f>
        <v/>
      </c>
      <c r="L1716" s="37">
        <f>IF(OR(D1716="",A1716=""),"",A1716+IF(AND(Config!$B$17="Sim",LEFT(D1716,17)="Cartão de crédito"),1,IFERROR(INDEX(Config!$C$12:$C$15,MATCH(IF(AND(D1716="Cartão de crédito",N(E1716)&gt;1),"Cartão de crédito parcelado",D1716),Config!$A$12:$A$15,0)),0)))</f>
        <v/>
      </c>
      <c r="M1716" s="37">
        <f>IF(L1716="","",IF(AND(Config!$B$17="Sim",LEFT(D1716,17)="Cartão de crédito"),L1716,L1716+30*(MAX(1,N(E1716))-1)))</f>
        <v/>
      </c>
      <c r="N1716" s="29">
        <f>IF(OR(L1716="",K1716=""),"",K1716*MIN(MAX(1,N(E1716)),MAX(0,INT((Config!$B$8-L1716)/30)+1)))</f>
        <v/>
      </c>
      <c r="O1716" s="29">
        <f>IF(J1716="","",J1716-N(N1716))</f>
        <v/>
      </c>
      <c r="P1716" s="27">
        <f>IF(A1716="","",MONTH(A1716))</f>
        <v/>
      </c>
      <c r="Q1716" s="27">
        <f>IF(A1716="","",YEAR(A1716))</f>
        <v/>
      </c>
      <c r="R1716" s="27">
        <f>IF(L1716="","",IF(L1716&gt;Config!$B$8,"A cair",IF(N(G1716)&gt;=MIN(MAX(1,N(E1716)),MAX(0,INT((Config!$B$8-L1716)/30)+1)),IF(N(G1716)&gt;=MAX(1,N(E1716)),"Conferido","Conferido até aqui"),"A conferir")))</f>
        <v/>
      </c>
      <c r="S1716" s="51">
        <f>IF(R1716="A conferir",(Config!$B$8-L1716)*1000+N(F1716)/1000+ROW()/100000,0)</f>
        <v>0</v>
      </c>
      <c r="T1716" s="51">
        <f>IF(R1716="A conferir",N(N1716),0)</f>
        <v>0</v>
      </c>
      <c r="U1716" s="51">
        <f>IF(L1716="",0,L1716)</f>
        <v>0</v>
      </c>
      <c r="V1716" s="51">
        <f>IF(L1716="",0,MAX(1,N(E1716)))</f>
        <v>0</v>
      </c>
      <c r="W1716" s="51">
        <f>IF(K1716="",0,K1716)</f>
        <v>0</v>
      </c>
    </row>
    <row r="1717">
      <c r="A1717" s="49" t="n"/>
      <c r="B1717" s="41" t="n"/>
      <c r="C1717" s="41" t="n"/>
      <c r="D1717" s="42" t="n"/>
      <c r="E1717" s="42" t="n"/>
      <c r="F1717" s="50" t="n"/>
      <c r="G1717" s="42" t="n"/>
      <c r="H1717" s="30">
        <f>IF(D1717="","",IFERROR(INDEX(Config!$B$12:$B$15,MATCH(IF(AND(D1717="Cartão de crédito",N(E1717)&gt;1),"Cartão de crédito parcelado",D1717),Config!$A$12:$A$15,0)),0)+IF(AND(Config!$B$17="Sim",LEFT(D1717,17)="Cartão de crédito"),Config!$B$18*IFERROR(INDEX(Config!$C$12:$C$15,MATCH(IF(AND(D1717="Cartão de crédito",N(E1717)&gt;1),"Cartão de crédito parcelado",D1717),Config!$A$12:$A$15,0)),0)/30*MAX(1,N(E1717)),0))</f>
        <v/>
      </c>
      <c r="I1717" s="29">
        <f>IF(OR(D1717="",F1717=""),"",ROUND(F1717*H1717,2))</f>
        <v/>
      </c>
      <c r="J1717" s="29">
        <f>IF(I1717="","",F1717-I1717)</f>
        <v/>
      </c>
      <c r="K1717" s="29">
        <f>IF(J1717="","",J1717/MAX(1,N(E1717)))</f>
        <v/>
      </c>
      <c r="L1717" s="37">
        <f>IF(OR(D1717="",A1717=""),"",A1717+IF(AND(Config!$B$17="Sim",LEFT(D1717,17)="Cartão de crédito"),1,IFERROR(INDEX(Config!$C$12:$C$15,MATCH(IF(AND(D1717="Cartão de crédito",N(E1717)&gt;1),"Cartão de crédito parcelado",D1717),Config!$A$12:$A$15,0)),0)))</f>
        <v/>
      </c>
      <c r="M1717" s="37">
        <f>IF(L1717="","",IF(AND(Config!$B$17="Sim",LEFT(D1717,17)="Cartão de crédito"),L1717,L1717+30*(MAX(1,N(E1717))-1)))</f>
        <v/>
      </c>
      <c r="N1717" s="29">
        <f>IF(OR(L1717="",K1717=""),"",K1717*MIN(MAX(1,N(E1717)),MAX(0,INT((Config!$B$8-L1717)/30)+1)))</f>
        <v/>
      </c>
      <c r="O1717" s="29">
        <f>IF(J1717="","",J1717-N(N1717))</f>
        <v/>
      </c>
      <c r="P1717" s="27">
        <f>IF(A1717="","",MONTH(A1717))</f>
        <v/>
      </c>
      <c r="Q1717" s="27">
        <f>IF(A1717="","",YEAR(A1717))</f>
        <v/>
      </c>
      <c r="R1717" s="27">
        <f>IF(L1717="","",IF(L1717&gt;Config!$B$8,"A cair",IF(N(G1717)&gt;=MIN(MAX(1,N(E1717)),MAX(0,INT((Config!$B$8-L1717)/30)+1)),IF(N(G1717)&gt;=MAX(1,N(E1717)),"Conferido","Conferido até aqui"),"A conferir")))</f>
        <v/>
      </c>
      <c r="S1717" s="51">
        <f>IF(R1717="A conferir",(Config!$B$8-L1717)*1000+N(F1717)/1000+ROW()/100000,0)</f>
        <v>0</v>
      </c>
      <c r="T1717" s="51">
        <f>IF(R1717="A conferir",N(N1717),0)</f>
        <v>0</v>
      </c>
      <c r="U1717" s="51">
        <f>IF(L1717="",0,L1717)</f>
        <v>0</v>
      </c>
      <c r="V1717" s="51">
        <f>IF(L1717="",0,MAX(1,N(E1717)))</f>
        <v>0</v>
      </c>
      <c r="W1717" s="51">
        <f>IF(K1717="",0,K1717)</f>
        <v>0</v>
      </c>
    </row>
    <row r="1718">
      <c r="A1718" s="49" t="n"/>
      <c r="B1718" s="41" t="n"/>
      <c r="C1718" s="41" t="n"/>
      <c r="D1718" s="42" t="n"/>
      <c r="E1718" s="42" t="n"/>
      <c r="F1718" s="50" t="n"/>
      <c r="G1718" s="42" t="n"/>
      <c r="H1718" s="30">
        <f>IF(D1718="","",IFERROR(INDEX(Config!$B$12:$B$15,MATCH(IF(AND(D1718="Cartão de crédito",N(E1718)&gt;1),"Cartão de crédito parcelado",D1718),Config!$A$12:$A$15,0)),0)+IF(AND(Config!$B$17="Sim",LEFT(D1718,17)="Cartão de crédito"),Config!$B$18*IFERROR(INDEX(Config!$C$12:$C$15,MATCH(IF(AND(D1718="Cartão de crédito",N(E1718)&gt;1),"Cartão de crédito parcelado",D1718),Config!$A$12:$A$15,0)),0)/30*MAX(1,N(E1718)),0))</f>
        <v/>
      </c>
      <c r="I1718" s="29">
        <f>IF(OR(D1718="",F1718=""),"",ROUND(F1718*H1718,2))</f>
        <v/>
      </c>
      <c r="J1718" s="29">
        <f>IF(I1718="","",F1718-I1718)</f>
        <v/>
      </c>
      <c r="K1718" s="29">
        <f>IF(J1718="","",J1718/MAX(1,N(E1718)))</f>
        <v/>
      </c>
      <c r="L1718" s="37">
        <f>IF(OR(D1718="",A1718=""),"",A1718+IF(AND(Config!$B$17="Sim",LEFT(D1718,17)="Cartão de crédito"),1,IFERROR(INDEX(Config!$C$12:$C$15,MATCH(IF(AND(D1718="Cartão de crédito",N(E1718)&gt;1),"Cartão de crédito parcelado",D1718),Config!$A$12:$A$15,0)),0)))</f>
        <v/>
      </c>
      <c r="M1718" s="37">
        <f>IF(L1718="","",IF(AND(Config!$B$17="Sim",LEFT(D1718,17)="Cartão de crédito"),L1718,L1718+30*(MAX(1,N(E1718))-1)))</f>
        <v/>
      </c>
      <c r="N1718" s="29">
        <f>IF(OR(L1718="",K1718=""),"",K1718*MIN(MAX(1,N(E1718)),MAX(0,INT((Config!$B$8-L1718)/30)+1)))</f>
        <v/>
      </c>
      <c r="O1718" s="29">
        <f>IF(J1718="","",J1718-N(N1718))</f>
        <v/>
      </c>
      <c r="P1718" s="27">
        <f>IF(A1718="","",MONTH(A1718))</f>
        <v/>
      </c>
      <c r="Q1718" s="27">
        <f>IF(A1718="","",YEAR(A1718))</f>
        <v/>
      </c>
      <c r="R1718" s="27">
        <f>IF(L1718="","",IF(L1718&gt;Config!$B$8,"A cair",IF(N(G1718)&gt;=MIN(MAX(1,N(E1718)),MAX(0,INT((Config!$B$8-L1718)/30)+1)),IF(N(G1718)&gt;=MAX(1,N(E1718)),"Conferido","Conferido até aqui"),"A conferir")))</f>
        <v/>
      </c>
      <c r="S1718" s="51">
        <f>IF(R1718="A conferir",(Config!$B$8-L1718)*1000+N(F1718)/1000+ROW()/100000,0)</f>
        <v>0</v>
      </c>
      <c r="T1718" s="51">
        <f>IF(R1718="A conferir",N(N1718),0)</f>
        <v>0</v>
      </c>
      <c r="U1718" s="51">
        <f>IF(L1718="",0,L1718)</f>
        <v>0</v>
      </c>
      <c r="V1718" s="51">
        <f>IF(L1718="",0,MAX(1,N(E1718)))</f>
        <v>0</v>
      </c>
      <c r="W1718" s="51">
        <f>IF(K1718="",0,K1718)</f>
        <v>0</v>
      </c>
    </row>
    <row r="1719">
      <c r="A1719" s="49" t="n"/>
      <c r="B1719" s="41" t="n"/>
      <c r="C1719" s="41" t="n"/>
      <c r="D1719" s="42" t="n"/>
      <c r="E1719" s="42" t="n"/>
      <c r="F1719" s="50" t="n"/>
      <c r="G1719" s="42" t="n"/>
      <c r="H1719" s="30">
        <f>IF(D1719="","",IFERROR(INDEX(Config!$B$12:$B$15,MATCH(IF(AND(D1719="Cartão de crédito",N(E1719)&gt;1),"Cartão de crédito parcelado",D1719),Config!$A$12:$A$15,0)),0)+IF(AND(Config!$B$17="Sim",LEFT(D1719,17)="Cartão de crédito"),Config!$B$18*IFERROR(INDEX(Config!$C$12:$C$15,MATCH(IF(AND(D1719="Cartão de crédito",N(E1719)&gt;1),"Cartão de crédito parcelado",D1719),Config!$A$12:$A$15,0)),0)/30*MAX(1,N(E1719)),0))</f>
        <v/>
      </c>
      <c r="I1719" s="29">
        <f>IF(OR(D1719="",F1719=""),"",ROUND(F1719*H1719,2))</f>
        <v/>
      </c>
      <c r="J1719" s="29">
        <f>IF(I1719="","",F1719-I1719)</f>
        <v/>
      </c>
      <c r="K1719" s="29">
        <f>IF(J1719="","",J1719/MAX(1,N(E1719)))</f>
        <v/>
      </c>
      <c r="L1719" s="37">
        <f>IF(OR(D1719="",A1719=""),"",A1719+IF(AND(Config!$B$17="Sim",LEFT(D1719,17)="Cartão de crédito"),1,IFERROR(INDEX(Config!$C$12:$C$15,MATCH(IF(AND(D1719="Cartão de crédito",N(E1719)&gt;1),"Cartão de crédito parcelado",D1719),Config!$A$12:$A$15,0)),0)))</f>
        <v/>
      </c>
      <c r="M1719" s="37">
        <f>IF(L1719="","",IF(AND(Config!$B$17="Sim",LEFT(D1719,17)="Cartão de crédito"),L1719,L1719+30*(MAX(1,N(E1719))-1)))</f>
        <v/>
      </c>
      <c r="N1719" s="29">
        <f>IF(OR(L1719="",K1719=""),"",K1719*MIN(MAX(1,N(E1719)),MAX(0,INT((Config!$B$8-L1719)/30)+1)))</f>
        <v/>
      </c>
      <c r="O1719" s="29">
        <f>IF(J1719="","",J1719-N(N1719))</f>
        <v/>
      </c>
      <c r="P1719" s="27">
        <f>IF(A1719="","",MONTH(A1719))</f>
        <v/>
      </c>
      <c r="Q1719" s="27">
        <f>IF(A1719="","",YEAR(A1719))</f>
        <v/>
      </c>
      <c r="R1719" s="27">
        <f>IF(L1719="","",IF(L1719&gt;Config!$B$8,"A cair",IF(N(G1719)&gt;=MIN(MAX(1,N(E1719)),MAX(0,INT((Config!$B$8-L1719)/30)+1)),IF(N(G1719)&gt;=MAX(1,N(E1719)),"Conferido","Conferido até aqui"),"A conferir")))</f>
        <v/>
      </c>
      <c r="S1719" s="51">
        <f>IF(R1719="A conferir",(Config!$B$8-L1719)*1000+N(F1719)/1000+ROW()/100000,0)</f>
        <v>0</v>
      </c>
      <c r="T1719" s="51">
        <f>IF(R1719="A conferir",N(N1719),0)</f>
        <v>0</v>
      </c>
      <c r="U1719" s="51">
        <f>IF(L1719="",0,L1719)</f>
        <v>0</v>
      </c>
      <c r="V1719" s="51">
        <f>IF(L1719="",0,MAX(1,N(E1719)))</f>
        <v>0</v>
      </c>
      <c r="W1719" s="51">
        <f>IF(K1719="",0,K1719)</f>
        <v>0</v>
      </c>
    </row>
    <row r="1720">
      <c r="A1720" s="49" t="n"/>
      <c r="B1720" s="41" t="n"/>
      <c r="C1720" s="41" t="n"/>
      <c r="D1720" s="42" t="n"/>
      <c r="E1720" s="42" t="n"/>
      <c r="F1720" s="50" t="n"/>
      <c r="G1720" s="42" t="n"/>
      <c r="H1720" s="30">
        <f>IF(D1720="","",IFERROR(INDEX(Config!$B$12:$B$15,MATCH(IF(AND(D1720="Cartão de crédito",N(E1720)&gt;1),"Cartão de crédito parcelado",D1720),Config!$A$12:$A$15,0)),0)+IF(AND(Config!$B$17="Sim",LEFT(D1720,17)="Cartão de crédito"),Config!$B$18*IFERROR(INDEX(Config!$C$12:$C$15,MATCH(IF(AND(D1720="Cartão de crédito",N(E1720)&gt;1),"Cartão de crédito parcelado",D1720),Config!$A$12:$A$15,0)),0)/30*MAX(1,N(E1720)),0))</f>
        <v/>
      </c>
      <c r="I1720" s="29">
        <f>IF(OR(D1720="",F1720=""),"",ROUND(F1720*H1720,2))</f>
        <v/>
      </c>
      <c r="J1720" s="29">
        <f>IF(I1720="","",F1720-I1720)</f>
        <v/>
      </c>
      <c r="K1720" s="29">
        <f>IF(J1720="","",J1720/MAX(1,N(E1720)))</f>
        <v/>
      </c>
      <c r="L1720" s="37">
        <f>IF(OR(D1720="",A1720=""),"",A1720+IF(AND(Config!$B$17="Sim",LEFT(D1720,17)="Cartão de crédito"),1,IFERROR(INDEX(Config!$C$12:$C$15,MATCH(IF(AND(D1720="Cartão de crédito",N(E1720)&gt;1),"Cartão de crédito parcelado",D1720),Config!$A$12:$A$15,0)),0)))</f>
        <v/>
      </c>
      <c r="M1720" s="37">
        <f>IF(L1720="","",IF(AND(Config!$B$17="Sim",LEFT(D1720,17)="Cartão de crédito"),L1720,L1720+30*(MAX(1,N(E1720))-1)))</f>
        <v/>
      </c>
      <c r="N1720" s="29">
        <f>IF(OR(L1720="",K1720=""),"",K1720*MIN(MAX(1,N(E1720)),MAX(0,INT((Config!$B$8-L1720)/30)+1)))</f>
        <v/>
      </c>
      <c r="O1720" s="29">
        <f>IF(J1720="","",J1720-N(N1720))</f>
        <v/>
      </c>
      <c r="P1720" s="27">
        <f>IF(A1720="","",MONTH(A1720))</f>
        <v/>
      </c>
      <c r="Q1720" s="27">
        <f>IF(A1720="","",YEAR(A1720))</f>
        <v/>
      </c>
      <c r="R1720" s="27">
        <f>IF(L1720="","",IF(L1720&gt;Config!$B$8,"A cair",IF(N(G1720)&gt;=MIN(MAX(1,N(E1720)),MAX(0,INT((Config!$B$8-L1720)/30)+1)),IF(N(G1720)&gt;=MAX(1,N(E1720)),"Conferido","Conferido até aqui"),"A conferir")))</f>
        <v/>
      </c>
      <c r="S1720" s="51">
        <f>IF(R1720="A conferir",(Config!$B$8-L1720)*1000+N(F1720)/1000+ROW()/100000,0)</f>
        <v>0</v>
      </c>
      <c r="T1720" s="51">
        <f>IF(R1720="A conferir",N(N1720),0)</f>
        <v>0</v>
      </c>
      <c r="U1720" s="51">
        <f>IF(L1720="",0,L1720)</f>
        <v>0</v>
      </c>
      <c r="V1720" s="51">
        <f>IF(L1720="",0,MAX(1,N(E1720)))</f>
        <v>0</v>
      </c>
      <c r="W1720" s="51">
        <f>IF(K1720="",0,K1720)</f>
        <v>0</v>
      </c>
    </row>
    <row r="1721">
      <c r="A1721" s="49" t="n"/>
      <c r="B1721" s="41" t="n"/>
      <c r="C1721" s="41" t="n"/>
      <c r="D1721" s="42" t="n"/>
      <c r="E1721" s="42" t="n"/>
      <c r="F1721" s="50" t="n"/>
      <c r="G1721" s="42" t="n"/>
      <c r="H1721" s="30">
        <f>IF(D1721="","",IFERROR(INDEX(Config!$B$12:$B$15,MATCH(IF(AND(D1721="Cartão de crédito",N(E1721)&gt;1),"Cartão de crédito parcelado",D1721),Config!$A$12:$A$15,0)),0)+IF(AND(Config!$B$17="Sim",LEFT(D1721,17)="Cartão de crédito"),Config!$B$18*IFERROR(INDEX(Config!$C$12:$C$15,MATCH(IF(AND(D1721="Cartão de crédito",N(E1721)&gt;1),"Cartão de crédito parcelado",D1721),Config!$A$12:$A$15,0)),0)/30*MAX(1,N(E1721)),0))</f>
        <v/>
      </c>
      <c r="I1721" s="29">
        <f>IF(OR(D1721="",F1721=""),"",ROUND(F1721*H1721,2))</f>
        <v/>
      </c>
      <c r="J1721" s="29">
        <f>IF(I1721="","",F1721-I1721)</f>
        <v/>
      </c>
      <c r="K1721" s="29">
        <f>IF(J1721="","",J1721/MAX(1,N(E1721)))</f>
        <v/>
      </c>
      <c r="L1721" s="37">
        <f>IF(OR(D1721="",A1721=""),"",A1721+IF(AND(Config!$B$17="Sim",LEFT(D1721,17)="Cartão de crédito"),1,IFERROR(INDEX(Config!$C$12:$C$15,MATCH(IF(AND(D1721="Cartão de crédito",N(E1721)&gt;1),"Cartão de crédito parcelado",D1721),Config!$A$12:$A$15,0)),0)))</f>
        <v/>
      </c>
      <c r="M1721" s="37">
        <f>IF(L1721="","",IF(AND(Config!$B$17="Sim",LEFT(D1721,17)="Cartão de crédito"),L1721,L1721+30*(MAX(1,N(E1721))-1)))</f>
        <v/>
      </c>
      <c r="N1721" s="29">
        <f>IF(OR(L1721="",K1721=""),"",K1721*MIN(MAX(1,N(E1721)),MAX(0,INT((Config!$B$8-L1721)/30)+1)))</f>
        <v/>
      </c>
      <c r="O1721" s="29">
        <f>IF(J1721="","",J1721-N(N1721))</f>
        <v/>
      </c>
      <c r="P1721" s="27">
        <f>IF(A1721="","",MONTH(A1721))</f>
        <v/>
      </c>
      <c r="Q1721" s="27">
        <f>IF(A1721="","",YEAR(A1721))</f>
        <v/>
      </c>
      <c r="R1721" s="27">
        <f>IF(L1721="","",IF(L1721&gt;Config!$B$8,"A cair",IF(N(G1721)&gt;=MIN(MAX(1,N(E1721)),MAX(0,INT((Config!$B$8-L1721)/30)+1)),IF(N(G1721)&gt;=MAX(1,N(E1721)),"Conferido","Conferido até aqui"),"A conferir")))</f>
        <v/>
      </c>
      <c r="S1721" s="51">
        <f>IF(R1721="A conferir",(Config!$B$8-L1721)*1000+N(F1721)/1000+ROW()/100000,0)</f>
        <v>0</v>
      </c>
      <c r="T1721" s="51">
        <f>IF(R1721="A conferir",N(N1721),0)</f>
        <v>0</v>
      </c>
      <c r="U1721" s="51">
        <f>IF(L1721="",0,L1721)</f>
        <v>0</v>
      </c>
      <c r="V1721" s="51">
        <f>IF(L1721="",0,MAX(1,N(E1721)))</f>
        <v>0</v>
      </c>
      <c r="W1721" s="51">
        <f>IF(K1721="",0,K1721)</f>
        <v>0</v>
      </c>
    </row>
    <row r="1722">
      <c r="A1722" s="49" t="n"/>
      <c r="B1722" s="41" t="n"/>
      <c r="C1722" s="41" t="n"/>
      <c r="D1722" s="42" t="n"/>
      <c r="E1722" s="42" t="n"/>
      <c r="F1722" s="50" t="n"/>
      <c r="G1722" s="42" t="n"/>
      <c r="H1722" s="30">
        <f>IF(D1722="","",IFERROR(INDEX(Config!$B$12:$B$15,MATCH(IF(AND(D1722="Cartão de crédito",N(E1722)&gt;1),"Cartão de crédito parcelado",D1722),Config!$A$12:$A$15,0)),0)+IF(AND(Config!$B$17="Sim",LEFT(D1722,17)="Cartão de crédito"),Config!$B$18*IFERROR(INDEX(Config!$C$12:$C$15,MATCH(IF(AND(D1722="Cartão de crédito",N(E1722)&gt;1),"Cartão de crédito parcelado",D1722),Config!$A$12:$A$15,0)),0)/30*MAX(1,N(E1722)),0))</f>
        <v/>
      </c>
      <c r="I1722" s="29">
        <f>IF(OR(D1722="",F1722=""),"",ROUND(F1722*H1722,2))</f>
        <v/>
      </c>
      <c r="J1722" s="29">
        <f>IF(I1722="","",F1722-I1722)</f>
        <v/>
      </c>
      <c r="K1722" s="29">
        <f>IF(J1722="","",J1722/MAX(1,N(E1722)))</f>
        <v/>
      </c>
      <c r="L1722" s="37">
        <f>IF(OR(D1722="",A1722=""),"",A1722+IF(AND(Config!$B$17="Sim",LEFT(D1722,17)="Cartão de crédito"),1,IFERROR(INDEX(Config!$C$12:$C$15,MATCH(IF(AND(D1722="Cartão de crédito",N(E1722)&gt;1),"Cartão de crédito parcelado",D1722),Config!$A$12:$A$15,0)),0)))</f>
        <v/>
      </c>
      <c r="M1722" s="37">
        <f>IF(L1722="","",IF(AND(Config!$B$17="Sim",LEFT(D1722,17)="Cartão de crédito"),L1722,L1722+30*(MAX(1,N(E1722))-1)))</f>
        <v/>
      </c>
      <c r="N1722" s="29">
        <f>IF(OR(L1722="",K1722=""),"",K1722*MIN(MAX(1,N(E1722)),MAX(0,INT((Config!$B$8-L1722)/30)+1)))</f>
        <v/>
      </c>
      <c r="O1722" s="29">
        <f>IF(J1722="","",J1722-N(N1722))</f>
        <v/>
      </c>
      <c r="P1722" s="27">
        <f>IF(A1722="","",MONTH(A1722))</f>
        <v/>
      </c>
      <c r="Q1722" s="27">
        <f>IF(A1722="","",YEAR(A1722))</f>
        <v/>
      </c>
      <c r="R1722" s="27">
        <f>IF(L1722="","",IF(L1722&gt;Config!$B$8,"A cair",IF(N(G1722)&gt;=MIN(MAX(1,N(E1722)),MAX(0,INT((Config!$B$8-L1722)/30)+1)),IF(N(G1722)&gt;=MAX(1,N(E1722)),"Conferido","Conferido até aqui"),"A conferir")))</f>
        <v/>
      </c>
      <c r="S1722" s="51">
        <f>IF(R1722="A conferir",(Config!$B$8-L1722)*1000+N(F1722)/1000+ROW()/100000,0)</f>
        <v>0</v>
      </c>
      <c r="T1722" s="51">
        <f>IF(R1722="A conferir",N(N1722),0)</f>
        <v>0</v>
      </c>
      <c r="U1722" s="51">
        <f>IF(L1722="",0,L1722)</f>
        <v>0</v>
      </c>
      <c r="V1722" s="51">
        <f>IF(L1722="",0,MAX(1,N(E1722)))</f>
        <v>0</v>
      </c>
      <c r="W1722" s="51">
        <f>IF(K1722="",0,K1722)</f>
        <v>0</v>
      </c>
    </row>
    <row r="1723">
      <c r="A1723" s="49" t="n"/>
      <c r="B1723" s="41" t="n"/>
      <c r="C1723" s="41" t="n"/>
      <c r="D1723" s="42" t="n"/>
      <c r="E1723" s="42" t="n"/>
      <c r="F1723" s="50" t="n"/>
      <c r="G1723" s="42" t="n"/>
      <c r="H1723" s="30">
        <f>IF(D1723="","",IFERROR(INDEX(Config!$B$12:$B$15,MATCH(IF(AND(D1723="Cartão de crédito",N(E1723)&gt;1),"Cartão de crédito parcelado",D1723),Config!$A$12:$A$15,0)),0)+IF(AND(Config!$B$17="Sim",LEFT(D1723,17)="Cartão de crédito"),Config!$B$18*IFERROR(INDEX(Config!$C$12:$C$15,MATCH(IF(AND(D1723="Cartão de crédito",N(E1723)&gt;1),"Cartão de crédito parcelado",D1723),Config!$A$12:$A$15,0)),0)/30*MAX(1,N(E1723)),0))</f>
        <v/>
      </c>
      <c r="I1723" s="29">
        <f>IF(OR(D1723="",F1723=""),"",ROUND(F1723*H1723,2))</f>
        <v/>
      </c>
      <c r="J1723" s="29">
        <f>IF(I1723="","",F1723-I1723)</f>
        <v/>
      </c>
      <c r="K1723" s="29">
        <f>IF(J1723="","",J1723/MAX(1,N(E1723)))</f>
        <v/>
      </c>
      <c r="L1723" s="37">
        <f>IF(OR(D1723="",A1723=""),"",A1723+IF(AND(Config!$B$17="Sim",LEFT(D1723,17)="Cartão de crédito"),1,IFERROR(INDEX(Config!$C$12:$C$15,MATCH(IF(AND(D1723="Cartão de crédito",N(E1723)&gt;1),"Cartão de crédito parcelado",D1723),Config!$A$12:$A$15,0)),0)))</f>
        <v/>
      </c>
      <c r="M1723" s="37">
        <f>IF(L1723="","",IF(AND(Config!$B$17="Sim",LEFT(D1723,17)="Cartão de crédito"),L1723,L1723+30*(MAX(1,N(E1723))-1)))</f>
        <v/>
      </c>
      <c r="N1723" s="29">
        <f>IF(OR(L1723="",K1723=""),"",K1723*MIN(MAX(1,N(E1723)),MAX(0,INT((Config!$B$8-L1723)/30)+1)))</f>
        <v/>
      </c>
      <c r="O1723" s="29">
        <f>IF(J1723="","",J1723-N(N1723))</f>
        <v/>
      </c>
      <c r="P1723" s="27">
        <f>IF(A1723="","",MONTH(A1723))</f>
        <v/>
      </c>
      <c r="Q1723" s="27">
        <f>IF(A1723="","",YEAR(A1723))</f>
        <v/>
      </c>
      <c r="R1723" s="27">
        <f>IF(L1723="","",IF(L1723&gt;Config!$B$8,"A cair",IF(N(G1723)&gt;=MIN(MAX(1,N(E1723)),MAX(0,INT((Config!$B$8-L1723)/30)+1)),IF(N(G1723)&gt;=MAX(1,N(E1723)),"Conferido","Conferido até aqui"),"A conferir")))</f>
        <v/>
      </c>
      <c r="S1723" s="51">
        <f>IF(R1723="A conferir",(Config!$B$8-L1723)*1000+N(F1723)/1000+ROW()/100000,0)</f>
        <v>0</v>
      </c>
      <c r="T1723" s="51">
        <f>IF(R1723="A conferir",N(N1723),0)</f>
        <v>0</v>
      </c>
      <c r="U1723" s="51">
        <f>IF(L1723="",0,L1723)</f>
        <v>0</v>
      </c>
      <c r="V1723" s="51">
        <f>IF(L1723="",0,MAX(1,N(E1723)))</f>
        <v>0</v>
      </c>
      <c r="W1723" s="51">
        <f>IF(K1723="",0,K1723)</f>
        <v>0</v>
      </c>
    </row>
    <row r="1724">
      <c r="A1724" s="49" t="n"/>
      <c r="B1724" s="41" t="n"/>
      <c r="C1724" s="41" t="n"/>
      <c r="D1724" s="42" t="n"/>
      <c r="E1724" s="42" t="n"/>
      <c r="F1724" s="50" t="n"/>
      <c r="G1724" s="42" t="n"/>
      <c r="H1724" s="30">
        <f>IF(D1724="","",IFERROR(INDEX(Config!$B$12:$B$15,MATCH(IF(AND(D1724="Cartão de crédito",N(E1724)&gt;1),"Cartão de crédito parcelado",D1724),Config!$A$12:$A$15,0)),0)+IF(AND(Config!$B$17="Sim",LEFT(D1724,17)="Cartão de crédito"),Config!$B$18*IFERROR(INDEX(Config!$C$12:$C$15,MATCH(IF(AND(D1724="Cartão de crédito",N(E1724)&gt;1),"Cartão de crédito parcelado",D1724),Config!$A$12:$A$15,0)),0)/30*MAX(1,N(E1724)),0))</f>
        <v/>
      </c>
      <c r="I1724" s="29">
        <f>IF(OR(D1724="",F1724=""),"",ROUND(F1724*H1724,2))</f>
        <v/>
      </c>
      <c r="J1724" s="29">
        <f>IF(I1724="","",F1724-I1724)</f>
        <v/>
      </c>
      <c r="K1724" s="29">
        <f>IF(J1724="","",J1724/MAX(1,N(E1724)))</f>
        <v/>
      </c>
      <c r="L1724" s="37">
        <f>IF(OR(D1724="",A1724=""),"",A1724+IF(AND(Config!$B$17="Sim",LEFT(D1724,17)="Cartão de crédito"),1,IFERROR(INDEX(Config!$C$12:$C$15,MATCH(IF(AND(D1724="Cartão de crédito",N(E1724)&gt;1),"Cartão de crédito parcelado",D1724),Config!$A$12:$A$15,0)),0)))</f>
        <v/>
      </c>
      <c r="M1724" s="37">
        <f>IF(L1724="","",IF(AND(Config!$B$17="Sim",LEFT(D1724,17)="Cartão de crédito"),L1724,L1724+30*(MAX(1,N(E1724))-1)))</f>
        <v/>
      </c>
      <c r="N1724" s="29">
        <f>IF(OR(L1724="",K1724=""),"",K1724*MIN(MAX(1,N(E1724)),MAX(0,INT((Config!$B$8-L1724)/30)+1)))</f>
        <v/>
      </c>
      <c r="O1724" s="29">
        <f>IF(J1724="","",J1724-N(N1724))</f>
        <v/>
      </c>
      <c r="P1724" s="27">
        <f>IF(A1724="","",MONTH(A1724))</f>
        <v/>
      </c>
      <c r="Q1724" s="27">
        <f>IF(A1724="","",YEAR(A1724))</f>
        <v/>
      </c>
      <c r="R1724" s="27">
        <f>IF(L1724="","",IF(L1724&gt;Config!$B$8,"A cair",IF(N(G1724)&gt;=MIN(MAX(1,N(E1724)),MAX(0,INT((Config!$B$8-L1724)/30)+1)),IF(N(G1724)&gt;=MAX(1,N(E1724)),"Conferido","Conferido até aqui"),"A conferir")))</f>
        <v/>
      </c>
      <c r="S1724" s="51">
        <f>IF(R1724="A conferir",(Config!$B$8-L1724)*1000+N(F1724)/1000+ROW()/100000,0)</f>
        <v>0</v>
      </c>
      <c r="T1724" s="51">
        <f>IF(R1724="A conferir",N(N1724),0)</f>
        <v>0</v>
      </c>
      <c r="U1724" s="51">
        <f>IF(L1724="",0,L1724)</f>
        <v>0</v>
      </c>
      <c r="V1724" s="51">
        <f>IF(L1724="",0,MAX(1,N(E1724)))</f>
        <v>0</v>
      </c>
      <c r="W1724" s="51">
        <f>IF(K1724="",0,K1724)</f>
        <v>0</v>
      </c>
    </row>
    <row r="1725">
      <c r="A1725" s="49" t="n"/>
      <c r="B1725" s="41" t="n"/>
      <c r="C1725" s="41" t="n"/>
      <c r="D1725" s="42" t="n"/>
      <c r="E1725" s="42" t="n"/>
      <c r="F1725" s="50" t="n"/>
      <c r="G1725" s="42" t="n"/>
      <c r="H1725" s="30">
        <f>IF(D1725="","",IFERROR(INDEX(Config!$B$12:$B$15,MATCH(IF(AND(D1725="Cartão de crédito",N(E1725)&gt;1),"Cartão de crédito parcelado",D1725),Config!$A$12:$A$15,0)),0)+IF(AND(Config!$B$17="Sim",LEFT(D1725,17)="Cartão de crédito"),Config!$B$18*IFERROR(INDEX(Config!$C$12:$C$15,MATCH(IF(AND(D1725="Cartão de crédito",N(E1725)&gt;1),"Cartão de crédito parcelado",D1725),Config!$A$12:$A$15,0)),0)/30*MAX(1,N(E1725)),0))</f>
        <v/>
      </c>
      <c r="I1725" s="29">
        <f>IF(OR(D1725="",F1725=""),"",ROUND(F1725*H1725,2))</f>
        <v/>
      </c>
      <c r="J1725" s="29">
        <f>IF(I1725="","",F1725-I1725)</f>
        <v/>
      </c>
      <c r="K1725" s="29">
        <f>IF(J1725="","",J1725/MAX(1,N(E1725)))</f>
        <v/>
      </c>
      <c r="L1725" s="37">
        <f>IF(OR(D1725="",A1725=""),"",A1725+IF(AND(Config!$B$17="Sim",LEFT(D1725,17)="Cartão de crédito"),1,IFERROR(INDEX(Config!$C$12:$C$15,MATCH(IF(AND(D1725="Cartão de crédito",N(E1725)&gt;1),"Cartão de crédito parcelado",D1725),Config!$A$12:$A$15,0)),0)))</f>
        <v/>
      </c>
      <c r="M1725" s="37">
        <f>IF(L1725="","",IF(AND(Config!$B$17="Sim",LEFT(D1725,17)="Cartão de crédito"),L1725,L1725+30*(MAX(1,N(E1725))-1)))</f>
        <v/>
      </c>
      <c r="N1725" s="29">
        <f>IF(OR(L1725="",K1725=""),"",K1725*MIN(MAX(1,N(E1725)),MAX(0,INT((Config!$B$8-L1725)/30)+1)))</f>
        <v/>
      </c>
      <c r="O1725" s="29">
        <f>IF(J1725="","",J1725-N(N1725))</f>
        <v/>
      </c>
      <c r="P1725" s="27">
        <f>IF(A1725="","",MONTH(A1725))</f>
        <v/>
      </c>
      <c r="Q1725" s="27">
        <f>IF(A1725="","",YEAR(A1725))</f>
        <v/>
      </c>
      <c r="R1725" s="27">
        <f>IF(L1725="","",IF(L1725&gt;Config!$B$8,"A cair",IF(N(G1725)&gt;=MIN(MAX(1,N(E1725)),MAX(0,INT((Config!$B$8-L1725)/30)+1)),IF(N(G1725)&gt;=MAX(1,N(E1725)),"Conferido","Conferido até aqui"),"A conferir")))</f>
        <v/>
      </c>
      <c r="S1725" s="51">
        <f>IF(R1725="A conferir",(Config!$B$8-L1725)*1000+N(F1725)/1000+ROW()/100000,0)</f>
        <v>0</v>
      </c>
      <c r="T1725" s="51">
        <f>IF(R1725="A conferir",N(N1725),0)</f>
        <v>0</v>
      </c>
      <c r="U1725" s="51">
        <f>IF(L1725="",0,L1725)</f>
        <v>0</v>
      </c>
      <c r="V1725" s="51">
        <f>IF(L1725="",0,MAX(1,N(E1725)))</f>
        <v>0</v>
      </c>
      <c r="W1725" s="51">
        <f>IF(K1725="",0,K1725)</f>
        <v>0</v>
      </c>
    </row>
    <row r="1726">
      <c r="A1726" s="49" t="n"/>
      <c r="B1726" s="41" t="n"/>
      <c r="C1726" s="41" t="n"/>
      <c r="D1726" s="42" t="n"/>
      <c r="E1726" s="42" t="n"/>
      <c r="F1726" s="50" t="n"/>
      <c r="G1726" s="42" t="n"/>
      <c r="H1726" s="30">
        <f>IF(D1726="","",IFERROR(INDEX(Config!$B$12:$B$15,MATCH(IF(AND(D1726="Cartão de crédito",N(E1726)&gt;1),"Cartão de crédito parcelado",D1726),Config!$A$12:$A$15,0)),0)+IF(AND(Config!$B$17="Sim",LEFT(D1726,17)="Cartão de crédito"),Config!$B$18*IFERROR(INDEX(Config!$C$12:$C$15,MATCH(IF(AND(D1726="Cartão de crédito",N(E1726)&gt;1),"Cartão de crédito parcelado",D1726),Config!$A$12:$A$15,0)),0)/30*MAX(1,N(E1726)),0))</f>
        <v/>
      </c>
      <c r="I1726" s="29">
        <f>IF(OR(D1726="",F1726=""),"",ROUND(F1726*H1726,2))</f>
        <v/>
      </c>
      <c r="J1726" s="29">
        <f>IF(I1726="","",F1726-I1726)</f>
        <v/>
      </c>
      <c r="K1726" s="29">
        <f>IF(J1726="","",J1726/MAX(1,N(E1726)))</f>
        <v/>
      </c>
      <c r="L1726" s="37">
        <f>IF(OR(D1726="",A1726=""),"",A1726+IF(AND(Config!$B$17="Sim",LEFT(D1726,17)="Cartão de crédito"),1,IFERROR(INDEX(Config!$C$12:$C$15,MATCH(IF(AND(D1726="Cartão de crédito",N(E1726)&gt;1),"Cartão de crédito parcelado",D1726),Config!$A$12:$A$15,0)),0)))</f>
        <v/>
      </c>
      <c r="M1726" s="37">
        <f>IF(L1726="","",IF(AND(Config!$B$17="Sim",LEFT(D1726,17)="Cartão de crédito"),L1726,L1726+30*(MAX(1,N(E1726))-1)))</f>
        <v/>
      </c>
      <c r="N1726" s="29">
        <f>IF(OR(L1726="",K1726=""),"",K1726*MIN(MAX(1,N(E1726)),MAX(0,INT((Config!$B$8-L1726)/30)+1)))</f>
        <v/>
      </c>
      <c r="O1726" s="29">
        <f>IF(J1726="","",J1726-N(N1726))</f>
        <v/>
      </c>
      <c r="P1726" s="27">
        <f>IF(A1726="","",MONTH(A1726))</f>
        <v/>
      </c>
      <c r="Q1726" s="27">
        <f>IF(A1726="","",YEAR(A1726))</f>
        <v/>
      </c>
      <c r="R1726" s="27">
        <f>IF(L1726="","",IF(L1726&gt;Config!$B$8,"A cair",IF(N(G1726)&gt;=MIN(MAX(1,N(E1726)),MAX(0,INT((Config!$B$8-L1726)/30)+1)),IF(N(G1726)&gt;=MAX(1,N(E1726)),"Conferido","Conferido até aqui"),"A conferir")))</f>
        <v/>
      </c>
      <c r="S1726" s="51">
        <f>IF(R1726="A conferir",(Config!$B$8-L1726)*1000+N(F1726)/1000+ROW()/100000,0)</f>
        <v>0</v>
      </c>
      <c r="T1726" s="51">
        <f>IF(R1726="A conferir",N(N1726),0)</f>
        <v>0</v>
      </c>
      <c r="U1726" s="51">
        <f>IF(L1726="",0,L1726)</f>
        <v>0</v>
      </c>
      <c r="V1726" s="51">
        <f>IF(L1726="",0,MAX(1,N(E1726)))</f>
        <v>0</v>
      </c>
      <c r="W1726" s="51">
        <f>IF(K1726="",0,K1726)</f>
        <v>0</v>
      </c>
    </row>
    <row r="1727">
      <c r="A1727" s="49" t="n"/>
      <c r="B1727" s="41" t="n"/>
      <c r="C1727" s="41" t="n"/>
      <c r="D1727" s="42" t="n"/>
      <c r="E1727" s="42" t="n"/>
      <c r="F1727" s="50" t="n"/>
      <c r="G1727" s="42" t="n"/>
      <c r="H1727" s="30">
        <f>IF(D1727="","",IFERROR(INDEX(Config!$B$12:$B$15,MATCH(IF(AND(D1727="Cartão de crédito",N(E1727)&gt;1),"Cartão de crédito parcelado",D1727),Config!$A$12:$A$15,0)),0)+IF(AND(Config!$B$17="Sim",LEFT(D1727,17)="Cartão de crédito"),Config!$B$18*IFERROR(INDEX(Config!$C$12:$C$15,MATCH(IF(AND(D1727="Cartão de crédito",N(E1727)&gt;1),"Cartão de crédito parcelado",D1727),Config!$A$12:$A$15,0)),0)/30*MAX(1,N(E1727)),0))</f>
        <v/>
      </c>
      <c r="I1727" s="29">
        <f>IF(OR(D1727="",F1727=""),"",ROUND(F1727*H1727,2))</f>
        <v/>
      </c>
      <c r="J1727" s="29">
        <f>IF(I1727="","",F1727-I1727)</f>
        <v/>
      </c>
      <c r="K1727" s="29">
        <f>IF(J1727="","",J1727/MAX(1,N(E1727)))</f>
        <v/>
      </c>
      <c r="L1727" s="37">
        <f>IF(OR(D1727="",A1727=""),"",A1727+IF(AND(Config!$B$17="Sim",LEFT(D1727,17)="Cartão de crédito"),1,IFERROR(INDEX(Config!$C$12:$C$15,MATCH(IF(AND(D1727="Cartão de crédito",N(E1727)&gt;1),"Cartão de crédito parcelado",D1727),Config!$A$12:$A$15,0)),0)))</f>
        <v/>
      </c>
      <c r="M1727" s="37">
        <f>IF(L1727="","",IF(AND(Config!$B$17="Sim",LEFT(D1727,17)="Cartão de crédito"),L1727,L1727+30*(MAX(1,N(E1727))-1)))</f>
        <v/>
      </c>
      <c r="N1727" s="29">
        <f>IF(OR(L1727="",K1727=""),"",K1727*MIN(MAX(1,N(E1727)),MAX(0,INT((Config!$B$8-L1727)/30)+1)))</f>
        <v/>
      </c>
      <c r="O1727" s="29">
        <f>IF(J1727="","",J1727-N(N1727))</f>
        <v/>
      </c>
      <c r="P1727" s="27">
        <f>IF(A1727="","",MONTH(A1727))</f>
        <v/>
      </c>
      <c r="Q1727" s="27">
        <f>IF(A1727="","",YEAR(A1727))</f>
        <v/>
      </c>
      <c r="R1727" s="27">
        <f>IF(L1727="","",IF(L1727&gt;Config!$B$8,"A cair",IF(N(G1727)&gt;=MIN(MAX(1,N(E1727)),MAX(0,INT((Config!$B$8-L1727)/30)+1)),IF(N(G1727)&gt;=MAX(1,N(E1727)),"Conferido","Conferido até aqui"),"A conferir")))</f>
        <v/>
      </c>
      <c r="S1727" s="51">
        <f>IF(R1727="A conferir",(Config!$B$8-L1727)*1000+N(F1727)/1000+ROW()/100000,0)</f>
        <v>0</v>
      </c>
      <c r="T1727" s="51">
        <f>IF(R1727="A conferir",N(N1727),0)</f>
        <v>0</v>
      </c>
      <c r="U1727" s="51">
        <f>IF(L1727="",0,L1727)</f>
        <v>0</v>
      </c>
      <c r="V1727" s="51">
        <f>IF(L1727="",0,MAX(1,N(E1727)))</f>
        <v>0</v>
      </c>
      <c r="W1727" s="51">
        <f>IF(K1727="",0,K1727)</f>
        <v>0</v>
      </c>
    </row>
    <row r="1728">
      <c r="A1728" s="49" t="n"/>
      <c r="B1728" s="41" t="n"/>
      <c r="C1728" s="41" t="n"/>
      <c r="D1728" s="42" t="n"/>
      <c r="E1728" s="42" t="n"/>
      <c r="F1728" s="50" t="n"/>
      <c r="G1728" s="42" t="n"/>
      <c r="H1728" s="30">
        <f>IF(D1728="","",IFERROR(INDEX(Config!$B$12:$B$15,MATCH(IF(AND(D1728="Cartão de crédito",N(E1728)&gt;1),"Cartão de crédito parcelado",D1728),Config!$A$12:$A$15,0)),0)+IF(AND(Config!$B$17="Sim",LEFT(D1728,17)="Cartão de crédito"),Config!$B$18*IFERROR(INDEX(Config!$C$12:$C$15,MATCH(IF(AND(D1728="Cartão de crédito",N(E1728)&gt;1),"Cartão de crédito parcelado",D1728),Config!$A$12:$A$15,0)),0)/30*MAX(1,N(E1728)),0))</f>
        <v/>
      </c>
      <c r="I1728" s="29">
        <f>IF(OR(D1728="",F1728=""),"",ROUND(F1728*H1728,2))</f>
        <v/>
      </c>
      <c r="J1728" s="29">
        <f>IF(I1728="","",F1728-I1728)</f>
        <v/>
      </c>
      <c r="K1728" s="29">
        <f>IF(J1728="","",J1728/MAX(1,N(E1728)))</f>
        <v/>
      </c>
      <c r="L1728" s="37">
        <f>IF(OR(D1728="",A1728=""),"",A1728+IF(AND(Config!$B$17="Sim",LEFT(D1728,17)="Cartão de crédito"),1,IFERROR(INDEX(Config!$C$12:$C$15,MATCH(IF(AND(D1728="Cartão de crédito",N(E1728)&gt;1),"Cartão de crédito parcelado",D1728),Config!$A$12:$A$15,0)),0)))</f>
        <v/>
      </c>
      <c r="M1728" s="37">
        <f>IF(L1728="","",IF(AND(Config!$B$17="Sim",LEFT(D1728,17)="Cartão de crédito"),L1728,L1728+30*(MAX(1,N(E1728))-1)))</f>
        <v/>
      </c>
      <c r="N1728" s="29">
        <f>IF(OR(L1728="",K1728=""),"",K1728*MIN(MAX(1,N(E1728)),MAX(0,INT((Config!$B$8-L1728)/30)+1)))</f>
        <v/>
      </c>
      <c r="O1728" s="29">
        <f>IF(J1728="","",J1728-N(N1728))</f>
        <v/>
      </c>
      <c r="P1728" s="27">
        <f>IF(A1728="","",MONTH(A1728))</f>
        <v/>
      </c>
      <c r="Q1728" s="27">
        <f>IF(A1728="","",YEAR(A1728))</f>
        <v/>
      </c>
      <c r="R1728" s="27">
        <f>IF(L1728="","",IF(L1728&gt;Config!$B$8,"A cair",IF(N(G1728)&gt;=MIN(MAX(1,N(E1728)),MAX(0,INT((Config!$B$8-L1728)/30)+1)),IF(N(G1728)&gt;=MAX(1,N(E1728)),"Conferido","Conferido até aqui"),"A conferir")))</f>
        <v/>
      </c>
      <c r="S1728" s="51">
        <f>IF(R1728="A conferir",(Config!$B$8-L1728)*1000+N(F1728)/1000+ROW()/100000,0)</f>
        <v>0</v>
      </c>
      <c r="T1728" s="51">
        <f>IF(R1728="A conferir",N(N1728),0)</f>
        <v>0</v>
      </c>
      <c r="U1728" s="51">
        <f>IF(L1728="",0,L1728)</f>
        <v>0</v>
      </c>
      <c r="V1728" s="51">
        <f>IF(L1728="",0,MAX(1,N(E1728)))</f>
        <v>0</v>
      </c>
      <c r="W1728" s="51">
        <f>IF(K1728="",0,K1728)</f>
        <v>0</v>
      </c>
    </row>
    <row r="1729">
      <c r="A1729" s="49" t="n"/>
      <c r="B1729" s="41" t="n"/>
      <c r="C1729" s="41" t="n"/>
      <c r="D1729" s="42" t="n"/>
      <c r="E1729" s="42" t="n"/>
      <c r="F1729" s="50" t="n"/>
      <c r="G1729" s="42" t="n"/>
      <c r="H1729" s="30">
        <f>IF(D1729="","",IFERROR(INDEX(Config!$B$12:$B$15,MATCH(IF(AND(D1729="Cartão de crédito",N(E1729)&gt;1),"Cartão de crédito parcelado",D1729),Config!$A$12:$A$15,0)),0)+IF(AND(Config!$B$17="Sim",LEFT(D1729,17)="Cartão de crédito"),Config!$B$18*IFERROR(INDEX(Config!$C$12:$C$15,MATCH(IF(AND(D1729="Cartão de crédito",N(E1729)&gt;1),"Cartão de crédito parcelado",D1729),Config!$A$12:$A$15,0)),0)/30*MAX(1,N(E1729)),0))</f>
        <v/>
      </c>
      <c r="I1729" s="29">
        <f>IF(OR(D1729="",F1729=""),"",ROUND(F1729*H1729,2))</f>
        <v/>
      </c>
      <c r="J1729" s="29">
        <f>IF(I1729="","",F1729-I1729)</f>
        <v/>
      </c>
      <c r="K1729" s="29">
        <f>IF(J1729="","",J1729/MAX(1,N(E1729)))</f>
        <v/>
      </c>
      <c r="L1729" s="37">
        <f>IF(OR(D1729="",A1729=""),"",A1729+IF(AND(Config!$B$17="Sim",LEFT(D1729,17)="Cartão de crédito"),1,IFERROR(INDEX(Config!$C$12:$C$15,MATCH(IF(AND(D1729="Cartão de crédito",N(E1729)&gt;1),"Cartão de crédito parcelado",D1729),Config!$A$12:$A$15,0)),0)))</f>
        <v/>
      </c>
      <c r="M1729" s="37">
        <f>IF(L1729="","",IF(AND(Config!$B$17="Sim",LEFT(D1729,17)="Cartão de crédito"),L1729,L1729+30*(MAX(1,N(E1729))-1)))</f>
        <v/>
      </c>
      <c r="N1729" s="29">
        <f>IF(OR(L1729="",K1729=""),"",K1729*MIN(MAX(1,N(E1729)),MAX(0,INT((Config!$B$8-L1729)/30)+1)))</f>
        <v/>
      </c>
      <c r="O1729" s="29">
        <f>IF(J1729="","",J1729-N(N1729))</f>
        <v/>
      </c>
      <c r="P1729" s="27">
        <f>IF(A1729="","",MONTH(A1729))</f>
        <v/>
      </c>
      <c r="Q1729" s="27">
        <f>IF(A1729="","",YEAR(A1729))</f>
        <v/>
      </c>
      <c r="R1729" s="27">
        <f>IF(L1729="","",IF(L1729&gt;Config!$B$8,"A cair",IF(N(G1729)&gt;=MIN(MAX(1,N(E1729)),MAX(0,INT((Config!$B$8-L1729)/30)+1)),IF(N(G1729)&gt;=MAX(1,N(E1729)),"Conferido","Conferido até aqui"),"A conferir")))</f>
        <v/>
      </c>
      <c r="S1729" s="51">
        <f>IF(R1729="A conferir",(Config!$B$8-L1729)*1000+N(F1729)/1000+ROW()/100000,0)</f>
        <v>0</v>
      </c>
      <c r="T1729" s="51">
        <f>IF(R1729="A conferir",N(N1729),0)</f>
        <v>0</v>
      </c>
      <c r="U1729" s="51">
        <f>IF(L1729="",0,L1729)</f>
        <v>0</v>
      </c>
      <c r="V1729" s="51">
        <f>IF(L1729="",0,MAX(1,N(E1729)))</f>
        <v>0</v>
      </c>
      <c r="W1729" s="51">
        <f>IF(K1729="",0,K1729)</f>
        <v>0</v>
      </c>
    </row>
    <row r="1730">
      <c r="A1730" s="49" t="n"/>
      <c r="B1730" s="41" t="n"/>
      <c r="C1730" s="41" t="n"/>
      <c r="D1730" s="42" t="n"/>
      <c r="E1730" s="42" t="n"/>
      <c r="F1730" s="50" t="n"/>
      <c r="G1730" s="42" t="n"/>
      <c r="H1730" s="30">
        <f>IF(D1730="","",IFERROR(INDEX(Config!$B$12:$B$15,MATCH(IF(AND(D1730="Cartão de crédito",N(E1730)&gt;1),"Cartão de crédito parcelado",D1730),Config!$A$12:$A$15,0)),0)+IF(AND(Config!$B$17="Sim",LEFT(D1730,17)="Cartão de crédito"),Config!$B$18*IFERROR(INDEX(Config!$C$12:$C$15,MATCH(IF(AND(D1730="Cartão de crédito",N(E1730)&gt;1),"Cartão de crédito parcelado",D1730),Config!$A$12:$A$15,0)),0)/30*MAX(1,N(E1730)),0))</f>
        <v/>
      </c>
      <c r="I1730" s="29">
        <f>IF(OR(D1730="",F1730=""),"",ROUND(F1730*H1730,2))</f>
        <v/>
      </c>
      <c r="J1730" s="29">
        <f>IF(I1730="","",F1730-I1730)</f>
        <v/>
      </c>
      <c r="K1730" s="29">
        <f>IF(J1730="","",J1730/MAX(1,N(E1730)))</f>
        <v/>
      </c>
      <c r="L1730" s="37">
        <f>IF(OR(D1730="",A1730=""),"",A1730+IF(AND(Config!$B$17="Sim",LEFT(D1730,17)="Cartão de crédito"),1,IFERROR(INDEX(Config!$C$12:$C$15,MATCH(IF(AND(D1730="Cartão de crédito",N(E1730)&gt;1),"Cartão de crédito parcelado",D1730),Config!$A$12:$A$15,0)),0)))</f>
        <v/>
      </c>
      <c r="M1730" s="37">
        <f>IF(L1730="","",IF(AND(Config!$B$17="Sim",LEFT(D1730,17)="Cartão de crédito"),L1730,L1730+30*(MAX(1,N(E1730))-1)))</f>
        <v/>
      </c>
      <c r="N1730" s="29">
        <f>IF(OR(L1730="",K1730=""),"",K1730*MIN(MAX(1,N(E1730)),MAX(0,INT((Config!$B$8-L1730)/30)+1)))</f>
        <v/>
      </c>
      <c r="O1730" s="29">
        <f>IF(J1730="","",J1730-N(N1730))</f>
        <v/>
      </c>
      <c r="P1730" s="27">
        <f>IF(A1730="","",MONTH(A1730))</f>
        <v/>
      </c>
      <c r="Q1730" s="27">
        <f>IF(A1730="","",YEAR(A1730))</f>
        <v/>
      </c>
      <c r="R1730" s="27">
        <f>IF(L1730="","",IF(L1730&gt;Config!$B$8,"A cair",IF(N(G1730)&gt;=MIN(MAX(1,N(E1730)),MAX(0,INT((Config!$B$8-L1730)/30)+1)),IF(N(G1730)&gt;=MAX(1,N(E1730)),"Conferido","Conferido até aqui"),"A conferir")))</f>
        <v/>
      </c>
      <c r="S1730" s="51">
        <f>IF(R1730="A conferir",(Config!$B$8-L1730)*1000+N(F1730)/1000+ROW()/100000,0)</f>
        <v>0</v>
      </c>
      <c r="T1730" s="51">
        <f>IF(R1730="A conferir",N(N1730),0)</f>
        <v>0</v>
      </c>
      <c r="U1730" s="51">
        <f>IF(L1730="",0,L1730)</f>
        <v>0</v>
      </c>
      <c r="V1730" s="51">
        <f>IF(L1730="",0,MAX(1,N(E1730)))</f>
        <v>0</v>
      </c>
      <c r="W1730" s="51">
        <f>IF(K1730="",0,K1730)</f>
        <v>0</v>
      </c>
    </row>
    <row r="1731">
      <c r="A1731" s="49" t="n"/>
      <c r="B1731" s="41" t="n"/>
      <c r="C1731" s="41" t="n"/>
      <c r="D1731" s="42" t="n"/>
      <c r="E1731" s="42" t="n"/>
      <c r="F1731" s="50" t="n"/>
      <c r="G1731" s="42" t="n"/>
      <c r="H1731" s="30">
        <f>IF(D1731="","",IFERROR(INDEX(Config!$B$12:$B$15,MATCH(IF(AND(D1731="Cartão de crédito",N(E1731)&gt;1),"Cartão de crédito parcelado",D1731),Config!$A$12:$A$15,0)),0)+IF(AND(Config!$B$17="Sim",LEFT(D1731,17)="Cartão de crédito"),Config!$B$18*IFERROR(INDEX(Config!$C$12:$C$15,MATCH(IF(AND(D1731="Cartão de crédito",N(E1731)&gt;1),"Cartão de crédito parcelado",D1731),Config!$A$12:$A$15,0)),0)/30*MAX(1,N(E1731)),0))</f>
        <v/>
      </c>
      <c r="I1731" s="29">
        <f>IF(OR(D1731="",F1731=""),"",ROUND(F1731*H1731,2))</f>
        <v/>
      </c>
      <c r="J1731" s="29">
        <f>IF(I1731="","",F1731-I1731)</f>
        <v/>
      </c>
      <c r="K1731" s="29">
        <f>IF(J1731="","",J1731/MAX(1,N(E1731)))</f>
        <v/>
      </c>
      <c r="L1731" s="37">
        <f>IF(OR(D1731="",A1731=""),"",A1731+IF(AND(Config!$B$17="Sim",LEFT(D1731,17)="Cartão de crédito"),1,IFERROR(INDEX(Config!$C$12:$C$15,MATCH(IF(AND(D1731="Cartão de crédito",N(E1731)&gt;1),"Cartão de crédito parcelado",D1731),Config!$A$12:$A$15,0)),0)))</f>
        <v/>
      </c>
      <c r="M1731" s="37">
        <f>IF(L1731="","",IF(AND(Config!$B$17="Sim",LEFT(D1731,17)="Cartão de crédito"),L1731,L1731+30*(MAX(1,N(E1731))-1)))</f>
        <v/>
      </c>
      <c r="N1731" s="29">
        <f>IF(OR(L1731="",K1731=""),"",K1731*MIN(MAX(1,N(E1731)),MAX(0,INT((Config!$B$8-L1731)/30)+1)))</f>
        <v/>
      </c>
      <c r="O1731" s="29">
        <f>IF(J1731="","",J1731-N(N1731))</f>
        <v/>
      </c>
      <c r="P1731" s="27">
        <f>IF(A1731="","",MONTH(A1731))</f>
        <v/>
      </c>
      <c r="Q1731" s="27">
        <f>IF(A1731="","",YEAR(A1731))</f>
        <v/>
      </c>
      <c r="R1731" s="27">
        <f>IF(L1731="","",IF(L1731&gt;Config!$B$8,"A cair",IF(N(G1731)&gt;=MIN(MAX(1,N(E1731)),MAX(0,INT((Config!$B$8-L1731)/30)+1)),IF(N(G1731)&gt;=MAX(1,N(E1731)),"Conferido","Conferido até aqui"),"A conferir")))</f>
        <v/>
      </c>
      <c r="S1731" s="51">
        <f>IF(R1731="A conferir",(Config!$B$8-L1731)*1000+N(F1731)/1000+ROW()/100000,0)</f>
        <v>0</v>
      </c>
      <c r="T1731" s="51">
        <f>IF(R1731="A conferir",N(N1731),0)</f>
        <v>0</v>
      </c>
      <c r="U1731" s="51">
        <f>IF(L1731="",0,L1731)</f>
        <v>0</v>
      </c>
      <c r="V1731" s="51">
        <f>IF(L1731="",0,MAX(1,N(E1731)))</f>
        <v>0</v>
      </c>
      <c r="W1731" s="51">
        <f>IF(K1731="",0,K1731)</f>
        <v>0</v>
      </c>
    </row>
    <row r="1732">
      <c r="A1732" s="49" t="n"/>
      <c r="B1732" s="41" t="n"/>
      <c r="C1732" s="41" t="n"/>
      <c r="D1732" s="42" t="n"/>
      <c r="E1732" s="42" t="n"/>
      <c r="F1732" s="50" t="n"/>
      <c r="G1732" s="42" t="n"/>
      <c r="H1732" s="30">
        <f>IF(D1732="","",IFERROR(INDEX(Config!$B$12:$B$15,MATCH(IF(AND(D1732="Cartão de crédito",N(E1732)&gt;1),"Cartão de crédito parcelado",D1732),Config!$A$12:$A$15,0)),0)+IF(AND(Config!$B$17="Sim",LEFT(D1732,17)="Cartão de crédito"),Config!$B$18*IFERROR(INDEX(Config!$C$12:$C$15,MATCH(IF(AND(D1732="Cartão de crédito",N(E1732)&gt;1),"Cartão de crédito parcelado",D1732),Config!$A$12:$A$15,0)),0)/30*MAX(1,N(E1732)),0))</f>
        <v/>
      </c>
      <c r="I1732" s="29">
        <f>IF(OR(D1732="",F1732=""),"",ROUND(F1732*H1732,2))</f>
        <v/>
      </c>
      <c r="J1732" s="29">
        <f>IF(I1732="","",F1732-I1732)</f>
        <v/>
      </c>
      <c r="K1732" s="29">
        <f>IF(J1732="","",J1732/MAX(1,N(E1732)))</f>
        <v/>
      </c>
      <c r="L1732" s="37">
        <f>IF(OR(D1732="",A1732=""),"",A1732+IF(AND(Config!$B$17="Sim",LEFT(D1732,17)="Cartão de crédito"),1,IFERROR(INDEX(Config!$C$12:$C$15,MATCH(IF(AND(D1732="Cartão de crédito",N(E1732)&gt;1),"Cartão de crédito parcelado",D1732),Config!$A$12:$A$15,0)),0)))</f>
        <v/>
      </c>
      <c r="M1732" s="37">
        <f>IF(L1732="","",IF(AND(Config!$B$17="Sim",LEFT(D1732,17)="Cartão de crédito"),L1732,L1732+30*(MAX(1,N(E1732))-1)))</f>
        <v/>
      </c>
      <c r="N1732" s="29">
        <f>IF(OR(L1732="",K1732=""),"",K1732*MIN(MAX(1,N(E1732)),MAX(0,INT((Config!$B$8-L1732)/30)+1)))</f>
        <v/>
      </c>
      <c r="O1732" s="29">
        <f>IF(J1732="","",J1732-N(N1732))</f>
        <v/>
      </c>
      <c r="P1732" s="27">
        <f>IF(A1732="","",MONTH(A1732))</f>
        <v/>
      </c>
      <c r="Q1732" s="27">
        <f>IF(A1732="","",YEAR(A1732))</f>
        <v/>
      </c>
      <c r="R1732" s="27">
        <f>IF(L1732="","",IF(L1732&gt;Config!$B$8,"A cair",IF(N(G1732)&gt;=MIN(MAX(1,N(E1732)),MAX(0,INT((Config!$B$8-L1732)/30)+1)),IF(N(G1732)&gt;=MAX(1,N(E1732)),"Conferido","Conferido até aqui"),"A conferir")))</f>
        <v/>
      </c>
      <c r="S1732" s="51">
        <f>IF(R1732="A conferir",(Config!$B$8-L1732)*1000+N(F1732)/1000+ROW()/100000,0)</f>
        <v>0</v>
      </c>
      <c r="T1732" s="51">
        <f>IF(R1732="A conferir",N(N1732),0)</f>
        <v>0</v>
      </c>
      <c r="U1732" s="51">
        <f>IF(L1732="",0,L1732)</f>
        <v>0</v>
      </c>
      <c r="V1732" s="51">
        <f>IF(L1732="",0,MAX(1,N(E1732)))</f>
        <v>0</v>
      </c>
      <c r="W1732" s="51">
        <f>IF(K1732="",0,K1732)</f>
        <v>0</v>
      </c>
    </row>
    <row r="1733">
      <c r="A1733" s="49" t="n"/>
      <c r="B1733" s="41" t="n"/>
      <c r="C1733" s="41" t="n"/>
      <c r="D1733" s="42" t="n"/>
      <c r="E1733" s="42" t="n"/>
      <c r="F1733" s="50" t="n"/>
      <c r="G1733" s="42" t="n"/>
      <c r="H1733" s="30">
        <f>IF(D1733="","",IFERROR(INDEX(Config!$B$12:$B$15,MATCH(IF(AND(D1733="Cartão de crédito",N(E1733)&gt;1),"Cartão de crédito parcelado",D1733),Config!$A$12:$A$15,0)),0)+IF(AND(Config!$B$17="Sim",LEFT(D1733,17)="Cartão de crédito"),Config!$B$18*IFERROR(INDEX(Config!$C$12:$C$15,MATCH(IF(AND(D1733="Cartão de crédito",N(E1733)&gt;1),"Cartão de crédito parcelado",D1733),Config!$A$12:$A$15,0)),0)/30*MAX(1,N(E1733)),0))</f>
        <v/>
      </c>
      <c r="I1733" s="29">
        <f>IF(OR(D1733="",F1733=""),"",ROUND(F1733*H1733,2))</f>
        <v/>
      </c>
      <c r="J1733" s="29">
        <f>IF(I1733="","",F1733-I1733)</f>
        <v/>
      </c>
      <c r="K1733" s="29">
        <f>IF(J1733="","",J1733/MAX(1,N(E1733)))</f>
        <v/>
      </c>
      <c r="L1733" s="37">
        <f>IF(OR(D1733="",A1733=""),"",A1733+IF(AND(Config!$B$17="Sim",LEFT(D1733,17)="Cartão de crédito"),1,IFERROR(INDEX(Config!$C$12:$C$15,MATCH(IF(AND(D1733="Cartão de crédito",N(E1733)&gt;1),"Cartão de crédito parcelado",D1733),Config!$A$12:$A$15,0)),0)))</f>
        <v/>
      </c>
      <c r="M1733" s="37">
        <f>IF(L1733="","",IF(AND(Config!$B$17="Sim",LEFT(D1733,17)="Cartão de crédito"),L1733,L1733+30*(MAX(1,N(E1733))-1)))</f>
        <v/>
      </c>
      <c r="N1733" s="29">
        <f>IF(OR(L1733="",K1733=""),"",K1733*MIN(MAX(1,N(E1733)),MAX(0,INT((Config!$B$8-L1733)/30)+1)))</f>
        <v/>
      </c>
      <c r="O1733" s="29">
        <f>IF(J1733="","",J1733-N(N1733))</f>
        <v/>
      </c>
      <c r="P1733" s="27">
        <f>IF(A1733="","",MONTH(A1733))</f>
        <v/>
      </c>
      <c r="Q1733" s="27">
        <f>IF(A1733="","",YEAR(A1733))</f>
        <v/>
      </c>
      <c r="R1733" s="27">
        <f>IF(L1733="","",IF(L1733&gt;Config!$B$8,"A cair",IF(N(G1733)&gt;=MIN(MAX(1,N(E1733)),MAX(0,INT((Config!$B$8-L1733)/30)+1)),IF(N(G1733)&gt;=MAX(1,N(E1733)),"Conferido","Conferido até aqui"),"A conferir")))</f>
        <v/>
      </c>
      <c r="S1733" s="51">
        <f>IF(R1733="A conferir",(Config!$B$8-L1733)*1000+N(F1733)/1000+ROW()/100000,0)</f>
        <v>0</v>
      </c>
      <c r="T1733" s="51">
        <f>IF(R1733="A conferir",N(N1733),0)</f>
        <v>0</v>
      </c>
      <c r="U1733" s="51">
        <f>IF(L1733="",0,L1733)</f>
        <v>0</v>
      </c>
      <c r="V1733" s="51">
        <f>IF(L1733="",0,MAX(1,N(E1733)))</f>
        <v>0</v>
      </c>
      <c r="W1733" s="51">
        <f>IF(K1733="",0,K1733)</f>
        <v>0</v>
      </c>
    </row>
    <row r="1734">
      <c r="A1734" s="49" t="n"/>
      <c r="B1734" s="41" t="n"/>
      <c r="C1734" s="41" t="n"/>
      <c r="D1734" s="42" t="n"/>
      <c r="E1734" s="42" t="n"/>
      <c r="F1734" s="50" t="n"/>
      <c r="G1734" s="42" t="n"/>
      <c r="H1734" s="30">
        <f>IF(D1734="","",IFERROR(INDEX(Config!$B$12:$B$15,MATCH(IF(AND(D1734="Cartão de crédito",N(E1734)&gt;1),"Cartão de crédito parcelado",D1734),Config!$A$12:$A$15,0)),0)+IF(AND(Config!$B$17="Sim",LEFT(D1734,17)="Cartão de crédito"),Config!$B$18*IFERROR(INDEX(Config!$C$12:$C$15,MATCH(IF(AND(D1734="Cartão de crédito",N(E1734)&gt;1),"Cartão de crédito parcelado",D1734),Config!$A$12:$A$15,0)),0)/30*MAX(1,N(E1734)),0))</f>
        <v/>
      </c>
      <c r="I1734" s="29">
        <f>IF(OR(D1734="",F1734=""),"",ROUND(F1734*H1734,2))</f>
        <v/>
      </c>
      <c r="J1734" s="29">
        <f>IF(I1734="","",F1734-I1734)</f>
        <v/>
      </c>
      <c r="K1734" s="29">
        <f>IF(J1734="","",J1734/MAX(1,N(E1734)))</f>
        <v/>
      </c>
      <c r="L1734" s="37">
        <f>IF(OR(D1734="",A1734=""),"",A1734+IF(AND(Config!$B$17="Sim",LEFT(D1734,17)="Cartão de crédito"),1,IFERROR(INDEX(Config!$C$12:$C$15,MATCH(IF(AND(D1734="Cartão de crédito",N(E1734)&gt;1),"Cartão de crédito parcelado",D1734),Config!$A$12:$A$15,0)),0)))</f>
        <v/>
      </c>
      <c r="M1734" s="37">
        <f>IF(L1734="","",IF(AND(Config!$B$17="Sim",LEFT(D1734,17)="Cartão de crédito"),L1734,L1734+30*(MAX(1,N(E1734))-1)))</f>
        <v/>
      </c>
      <c r="N1734" s="29">
        <f>IF(OR(L1734="",K1734=""),"",K1734*MIN(MAX(1,N(E1734)),MAX(0,INT((Config!$B$8-L1734)/30)+1)))</f>
        <v/>
      </c>
      <c r="O1734" s="29">
        <f>IF(J1734="","",J1734-N(N1734))</f>
        <v/>
      </c>
      <c r="P1734" s="27">
        <f>IF(A1734="","",MONTH(A1734))</f>
        <v/>
      </c>
      <c r="Q1734" s="27">
        <f>IF(A1734="","",YEAR(A1734))</f>
        <v/>
      </c>
      <c r="R1734" s="27">
        <f>IF(L1734="","",IF(L1734&gt;Config!$B$8,"A cair",IF(N(G1734)&gt;=MIN(MAX(1,N(E1734)),MAX(0,INT((Config!$B$8-L1734)/30)+1)),IF(N(G1734)&gt;=MAX(1,N(E1734)),"Conferido","Conferido até aqui"),"A conferir")))</f>
        <v/>
      </c>
      <c r="S1734" s="51">
        <f>IF(R1734="A conferir",(Config!$B$8-L1734)*1000+N(F1734)/1000+ROW()/100000,0)</f>
        <v>0</v>
      </c>
      <c r="T1734" s="51">
        <f>IF(R1734="A conferir",N(N1734),0)</f>
        <v>0</v>
      </c>
      <c r="U1734" s="51">
        <f>IF(L1734="",0,L1734)</f>
        <v>0</v>
      </c>
      <c r="V1734" s="51">
        <f>IF(L1734="",0,MAX(1,N(E1734)))</f>
        <v>0</v>
      </c>
      <c r="W1734" s="51">
        <f>IF(K1734="",0,K1734)</f>
        <v>0</v>
      </c>
    </row>
    <row r="1735">
      <c r="A1735" s="49" t="n"/>
      <c r="B1735" s="41" t="n"/>
      <c r="C1735" s="41" t="n"/>
      <c r="D1735" s="42" t="n"/>
      <c r="E1735" s="42" t="n"/>
      <c r="F1735" s="50" t="n"/>
      <c r="G1735" s="42" t="n"/>
      <c r="H1735" s="30">
        <f>IF(D1735="","",IFERROR(INDEX(Config!$B$12:$B$15,MATCH(IF(AND(D1735="Cartão de crédito",N(E1735)&gt;1),"Cartão de crédito parcelado",D1735),Config!$A$12:$A$15,0)),0)+IF(AND(Config!$B$17="Sim",LEFT(D1735,17)="Cartão de crédito"),Config!$B$18*IFERROR(INDEX(Config!$C$12:$C$15,MATCH(IF(AND(D1735="Cartão de crédito",N(E1735)&gt;1),"Cartão de crédito parcelado",D1735),Config!$A$12:$A$15,0)),0)/30*MAX(1,N(E1735)),0))</f>
        <v/>
      </c>
      <c r="I1735" s="29">
        <f>IF(OR(D1735="",F1735=""),"",ROUND(F1735*H1735,2))</f>
        <v/>
      </c>
      <c r="J1735" s="29">
        <f>IF(I1735="","",F1735-I1735)</f>
        <v/>
      </c>
      <c r="K1735" s="29">
        <f>IF(J1735="","",J1735/MAX(1,N(E1735)))</f>
        <v/>
      </c>
      <c r="L1735" s="37">
        <f>IF(OR(D1735="",A1735=""),"",A1735+IF(AND(Config!$B$17="Sim",LEFT(D1735,17)="Cartão de crédito"),1,IFERROR(INDEX(Config!$C$12:$C$15,MATCH(IF(AND(D1735="Cartão de crédito",N(E1735)&gt;1),"Cartão de crédito parcelado",D1735),Config!$A$12:$A$15,0)),0)))</f>
        <v/>
      </c>
      <c r="M1735" s="37">
        <f>IF(L1735="","",IF(AND(Config!$B$17="Sim",LEFT(D1735,17)="Cartão de crédito"),L1735,L1735+30*(MAX(1,N(E1735))-1)))</f>
        <v/>
      </c>
      <c r="N1735" s="29">
        <f>IF(OR(L1735="",K1735=""),"",K1735*MIN(MAX(1,N(E1735)),MAX(0,INT((Config!$B$8-L1735)/30)+1)))</f>
        <v/>
      </c>
      <c r="O1735" s="29">
        <f>IF(J1735="","",J1735-N(N1735))</f>
        <v/>
      </c>
      <c r="P1735" s="27">
        <f>IF(A1735="","",MONTH(A1735))</f>
        <v/>
      </c>
      <c r="Q1735" s="27">
        <f>IF(A1735="","",YEAR(A1735))</f>
        <v/>
      </c>
      <c r="R1735" s="27">
        <f>IF(L1735="","",IF(L1735&gt;Config!$B$8,"A cair",IF(N(G1735)&gt;=MIN(MAX(1,N(E1735)),MAX(0,INT((Config!$B$8-L1735)/30)+1)),IF(N(G1735)&gt;=MAX(1,N(E1735)),"Conferido","Conferido até aqui"),"A conferir")))</f>
        <v/>
      </c>
      <c r="S1735" s="51">
        <f>IF(R1735="A conferir",(Config!$B$8-L1735)*1000+N(F1735)/1000+ROW()/100000,0)</f>
        <v>0</v>
      </c>
      <c r="T1735" s="51">
        <f>IF(R1735="A conferir",N(N1735),0)</f>
        <v>0</v>
      </c>
      <c r="U1735" s="51">
        <f>IF(L1735="",0,L1735)</f>
        <v>0</v>
      </c>
      <c r="V1735" s="51">
        <f>IF(L1735="",0,MAX(1,N(E1735)))</f>
        <v>0</v>
      </c>
      <c r="W1735" s="51">
        <f>IF(K1735="",0,K1735)</f>
        <v>0</v>
      </c>
    </row>
    <row r="1736">
      <c r="A1736" s="49" t="n"/>
      <c r="B1736" s="41" t="n"/>
      <c r="C1736" s="41" t="n"/>
      <c r="D1736" s="42" t="n"/>
      <c r="E1736" s="42" t="n"/>
      <c r="F1736" s="50" t="n"/>
      <c r="G1736" s="42" t="n"/>
      <c r="H1736" s="30">
        <f>IF(D1736="","",IFERROR(INDEX(Config!$B$12:$B$15,MATCH(IF(AND(D1736="Cartão de crédito",N(E1736)&gt;1),"Cartão de crédito parcelado",D1736),Config!$A$12:$A$15,0)),0)+IF(AND(Config!$B$17="Sim",LEFT(D1736,17)="Cartão de crédito"),Config!$B$18*IFERROR(INDEX(Config!$C$12:$C$15,MATCH(IF(AND(D1736="Cartão de crédito",N(E1736)&gt;1),"Cartão de crédito parcelado",D1736),Config!$A$12:$A$15,0)),0)/30*MAX(1,N(E1736)),0))</f>
        <v/>
      </c>
      <c r="I1736" s="29">
        <f>IF(OR(D1736="",F1736=""),"",ROUND(F1736*H1736,2))</f>
        <v/>
      </c>
      <c r="J1736" s="29">
        <f>IF(I1736="","",F1736-I1736)</f>
        <v/>
      </c>
      <c r="K1736" s="29">
        <f>IF(J1736="","",J1736/MAX(1,N(E1736)))</f>
        <v/>
      </c>
      <c r="L1736" s="37">
        <f>IF(OR(D1736="",A1736=""),"",A1736+IF(AND(Config!$B$17="Sim",LEFT(D1736,17)="Cartão de crédito"),1,IFERROR(INDEX(Config!$C$12:$C$15,MATCH(IF(AND(D1736="Cartão de crédito",N(E1736)&gt;1),"Cartão de crédito parcelado",D1736),Config!$A$12:$A$15,0)),0)))</f>
        <v/>
      </c>
      <c r="M1736" s="37">
        <f>IF(L1736="","",IF(AND(Config!$B$17="Sim",LEFT(D1736,17)="Cartão de crédito"),L1736,L1736+30*(MAX(1,N(E1736))-1)))</f>
        <v/>
      </c>
      <c r="N1736" s="29">
        <f>IF(OR(L1736="",K1736=""),"",K1736*MIN(MAX(1,N(E1736)),MAX(0,INT((Config!$B$8-L1736)/30)+1)))</f>
        <v/>
      </c>
      <c r="O1736" s="29">
        <f>IF(J1736="","",J1736-N(N1736))</f>
        <v/>
      </c>
      <c r="P1736" s="27">
        <f>IF(A1736="","",MONTH(A1736))</f>
        <v/>
      </c>
      <c r="Q1736" s="27">
        <f>IF(A1736="","",YEAR(A1736))</f>
        <v/>
      </c>
      <c r="R1736" s="27">
        <f>IF(L1736="","",IF(L1736&gt;Config!$B$8,"A cair",IF(N(G1736)&gt;=MIN(MAX(1,N(E1736)),MAX(0,INT((Config!$B$8-L1736)/30)+1)),IF(N(G1736)&gt;=MAX(1,N(E1736)),"Conferido","Conferido até aqui"),"A conferir")))</f>
        <v/>
      </c>
      <c r="S1736" s="51">
        <f>IF(R1736="A conferir",(Config!$B$8-L1736)*1000+N(F1736)/1000+ROW()/100000,0)</f>
        <v>0</v>
      </c>
      <c r="T1736" s="51">
        <f>IF(R1736="A conferir",N(N1736),0)</f>
        <v>0</v>
      </c>
      <c r="U1736" s="51">
        <f>IF(L1736="",0,L1736)</f>
        <v>0</v>
      </c>
      <c r="V1736" s="51">
        <f>IF(L1736="",0,MAX(1,N(E1736)))</f>
        <v>0</v>
      </c>
      <c r="W1736" s="51">
        <f>IF(K1736="",0,K1736)</f>
        <v>0</v>
      </c>
    </row>
    <row r="1737">
      <c r="A1737" s="49" t="n"/>
      <c r="B1737" s="41" t="n"/>
      <c r="C1737" s="41" t="n"/>
      <c r="D1737" s="42" t="n"/>
      <c r="E1737" s="42" t="n"/>
      <c r="F1737" s="50" t="n"/>
      <c r="G1737" s="42" t="n"/>
      <c r="H1737" s="30">
        <f>IF(D1737="","",IFERROR(INDEX(Config!$B$12:$B$15,MATCH(IF(AND(D1737="Cartão de crédito",N(E1737)&gt;1),"Cartão de crédito parcelado",D1737),Config!$A$12:$A$15,0)),0)+IF(AND(Config!$B$17="Sim",LEFT(D1737,17)="Cartão de crédito"),Config!$B$18*IFERROR(INDEX(Config!$C$12:$C$15,MATCH(IF(AND(D1737="Cartão de crédito",N(E1737)&gt;1),"Cartão de crédito parcelado",D1737),Config!$A$12:$A$15,0)),0)/30*MAX(1,N(E1737)),0))</f>
        <v/>
      </c>
      <c r="I1737" s="29">
        <f>IF(OR(D1737="",F1737=""),"",ROUND(F1737*H1737,2))</f>
        <v/>
      </c>
      <c r="J1737" s="29">
        <f>IF(I1737="","",F1737-I1737)</f>
        <v/>
      </c>
      <c r="K1737" s="29">
        <f>IF(J1737="","",J1737/MAX(1,N(E1737)))</f>
        <v/>
      </c>
      <c r="L1737" s="37">
        <f>IF(OR(D1737="",A1737=""),"",A1737+IF(AND(Config!$B$17="Sim",LEFT(D1737,17)="Cartão de crédito"),1,IFERROR(INDEX(Config!$C$12:$C$15,MATCH(IF(AND(D1737="Cartão de crédito",N(E1737)&gt;1),"Cartão de crédito parcelado",D1737),Config!$A$12:$A$15,0)),0)))</f>
        <v/>
      </c>
      <c r="M1737" s="37">
        <f>IF(L1737="","",IF(AND(Config!$B$17="Sim",LEFT(D1737,17)="Cartão de crédito"),L1737,L1737+30*(MAX(1,N(E1737))-1)))</f>
        <v/>
      </c>
      <c r="N1737" s="29">
        <f>IF(OR(L1737="",K1737=""),"",K1737*MIN(MAX(1,N(E1737)),MAX(0,INT((Config!$B$8-L1737)/30)+1)))</f>
        <v/>
      </c>
      <c r="O1737" s="29">
        <f>IF(J1737="","",J1737-N(N1737))</f>
        <v/>
      </c>
      <c r="P1737" s="27">
        <f>IF(A1737="","",MONTH(A1737))</f>
        <v/>
      </c>
      <c r="Q1737" s="27">
        <f>IF(A1737="","",YEAR(A1737))</f>
        <v/>
      </c>
      <c r="R1737" s="27">
        <f>IF(L1737="","",IF(L1737&gt;Config!$B$8,"A cair",IF(N(G1737)&gt;=MIN(MAX(1,N(E1737)),MAX(0,INT((Config!$B$8-L1737)/30)+1)),IF(N(G1737)&gt;=MAX(1,N(E1737)),"Conferido","Conferido até aqui"),"A conferir")))</f>
        <v/>
      </c>
      <c r="S1737" s="51">
        <f>IF(R1737="A conferir",(Config!$B$8-L1737)*1000+N(F1737)/1000+ROW()/100000,0)</f>
        <v>0</v>
      </c>
      <c r="T1737" s="51">
        <f>IF(R1737="A conferir",N(N1737),0)</f>
        <v>0</v>
      </c>
      <c r="U1737" s="51">
        <f>IF(L1737="",0,L1737)</f>
        <v>0</v>
      </c>
      <c r="V1737" s="51">
        <f>IF(L1737="",0,MAX(1,N(E1737)))</f>
        <v>0</v>
      </c>
      <c r="W1737" s="51">
        <f>IF(K1737="",0,K1737)</f>
        <v>0</v>
      </c>
    </row>
    <row r="1738">
      <c r="A1738" s="49" t="n"/>
      <c r="B1738" s="41" t="n"/>
      <c r="C1738" s="41" t="n"/>
      <c r="D1738" s="42" t="n"/>
      <c r="E1738" s="42" t="n"/>
      <c r="F1738" s="50" t="n"/>
      <c r="G1738" s="42" t="n"/>
      <c r="H1738" s="30">
        <f>IF(D1738="","",IFERROR(INDEX(Config!$B$12:$B$15,MATCH(IF(AND(D1738="Cartão de crédito",N(E1738)&gt;1),"Cartão de crédito parcelado",D1738),Config!$A$12:$A$15,0)),0)+IF(AND(Config!$B$17="Sim",LEFT(D1738,17)="Cartão de crédito"),Config!$B$18*IFERROR(INDEX(Config!$C$12:$C$15,MATCH(IF(AND(D1738="Cartão de crédito",N(E1738)&gt;1),"Cartão de crédito parcelado",D1738),Config!$A$12:$A$15,0)),0)/30*MAX(1,N(E1738)),0))</f>
        <v/>
      </c>
      <c r="I1738" s="29">
        <f>IF(OR(D1738="",F1738=""),"",ROUND(F1738*H1738,2))</f>
        <v/>
      </c>
      <c r="J1738" s="29">
        <f>IF(I1738="","",F1738-I1738)</f>
        <v/>
      </c>
      <c r="K1738" s="29">
        <f>IF(J1738="","",J1738/MAX(1,N(E1738)))</f>
        <v/>
      </c>
      <c r="L1738" s="37">
        <f>IF(OR(D1738="",A1738=""),"",A1738+IF(AND(Config!$B$17="Sim",LEFT(D1738,17)="Cartão de crédito"),1,IFERROR(INDEX(Config!$C$12:$C$15,MATCH(IF(AND(D1738="Cartão de crédito",N(E1738)&gt;1),"Cartão de crédito parcelado",D1738),Config!$A$12:$A$15,0)),0)))</f>
        <v/>
      </c>
      <c r="M1738" s="37">
        <f>IF(L1738="","",IF(AND(Config!$B$17="Sim",LEFT(D1738,17)="Cartão de crédito"),L1738,L1738+30*(MAX(1,N(E1738))-1)))</f>
        <v/>
      </c>
      <c r="N1738" s="29">
        <f>IF(OR(L1738="",K1738=""),"",K1738*MIN(MAX(1,N(E1738)),MAX(0,INT((Config!$B$8-L1738)/30)+1)))</f>
        <v/>
      </c>
      <c r="O1738" s="29">
        <f>IF(J1738="","",J1738-N(N1738))</f>
        <v/>
      </c>
      <c r="P1738" s="27">
        <f>IF(A1738="","",MONTH(A1738))</f>
        <v/>
      </c>
      <c r="Q1738" s="27">
        <f>IF(A1738="","",YEAR(A1738))</f>
        <v/>
      </c>
      <c r="R1738" s="27">
        <f>IF(L1738="","",IF(L1738&gt;Config!$B$8,"A cair",IF(N(G1738)&gt;=MIN(MAX(1,N(E1738)),MAX(0,INT((Config!$B$8-L1738)/30)+1)),IF(N(G1738)&gt;=MAX(1,N(E1738)),"Conferido","Conferido até aqui"),"A conferir")))</f>
        <v/>
      </c>
      <c r="S1738" s="51">
        <f>IF(R1738="A conferir",(Config!$B$8-L1738)*1000+N(F1738)/1000+ROW()/100000,0)</f>
        <v>0</v>
      </c>
      <c r="T1738" s="51">
        <f>IF(R1738="A conferir",N(N1738),0)</f>
        <v>0</v>
      </c>
      <c r="U1738" s="51">
        <f>IF(L1738="",0,L1738)</f>
        <v>0</v>
      </c>
      <c r="V1738" s="51">
        <f>IF(L1738="",0,MAX(1,N(E1738)))</f>
        <v>0</v>
      </c>
      <c r="W1738" s="51">
        <f>IF(K1738="",0,K1738)</f>
        <v>0</v>
      </c>
    </row>
    <row r="1739">
      <c r="A1739" s="49" t="n"/>
      <c r="B1739" s="41" t="n"/>
      <c r="C1739" s="41" t="n"/>
      <c r="D1739" s="42" t="n"/>
      <c r="E1739" s="42" t="n"/>
      <c r="F1739" s="50" t="n"/>
      <c r="G1739" s="42" t="n"/>
      <c r="H1739" s="30">
        <f>IF(D1739="","",IFERROR(INDEX(Config!$B$12:$B$15,MATCH(IF(AND(D1739="Cartão de crédito",N(E1739)&gt;1),"Cartão de crédito parcelado",D1739),Config!$A$12:$A$15,0)),0)+IF(AND(Config!$B$17="Sim",LEFT(D1739,17)="Cartão de crédito"),Config!$B$18*IFERROR(INDEX(Config!$C$12:$C$15,MATCH(IF(AND(D1739="Cartão de crédito",N(E1739)&gt;1),"Cartão de crédito parcelado",D1739),Config!$A$12:$A$15,0)),0)/30*MAX(1,N(E1739)),0))</f>
        <v/>
      </c>
      <c r="I1739" s="29">
        <f>IF(OR(D1739="",F1739=""),"",ROUND(F1739*H1739,2))</f>
        <v/>
      </c>
      <c r="J1739" s="29">
        <f>IF(I1739="","",F1739-I1739)</f>
        <v/>
      </c>
      <c r="K1739" s="29">
        <f>IF(J1739="","",J1739/MAX(1,N(E1739)))</f>
        <v/>
      </c>
      <c r="L1739" s="37">
        <f>IF(OR(D1739="",A1739=""),"",A1739+IF(AND(Config!$B$17="Sim",LEFT(D1739,17)="Cartão de crédito"),1,IFERROR(INDEX(Config!$C$12:$C$15,MATCH(IF(AND(D1739="Cartão de crédito",N(E1739)&gt;1),"Cartão de crédito parcelado",D1739),Config!$A$12:$A$15,0)),0)))</f>
        <v/>
      </c>
      <c r="M1739" s="37">
        <f>IF(L1739="","",IF(AND(Config!$B$17="Sim",LEFT(D1739,17)="Cartão de crédito"),L1739,L1739+30*(MAX(1,N(E1739))-1)))</f>
        <v/>
      </c>
      <c r="N1739" s="29">
        <f>IF(OR(L1739="",K1739=""),"",K1739*MIN(MAX(1,N(E1739)),MAX(0,INT((Config!$B$8-L1739)/30)+1)))</f>
        <v/>
      </c>
      <c r="O1739" s="29">
        <f>IF(J1739="","",J1739-N(N1739))</f>
        <v/>
      </c>
      <c r="P1739" s="27">
        <f>IF(A1739="","",MONTH(A1739))</f>
        <v/>
      </c>
      <c r="Q1739" s="27">
        <f>IF(A1739="","",YEAR(A1739))</f>
        <v/>
      </c>
      <c r="R1739" s="27">
        <f>IF(L1739="","",IF(L1739&gt;Config!$B$8,"A cair",IF(N(G1739)&gt;=MIN(MAX(1,N(E1739)),MAX(0,INT((Config!$B$8-L1739)/30)+1)),IF(N(G1739)&gt;=MAX(1,N(E1739)),"Conferido","Conferido até aqui"),"A conferir")))</f>
        <v/>
      </c>
      <c r="S1739" s="51">
        <f>IF(R1739="A conferir",(Config!$B$8-L1739)*1000+N(F1739)/1000+ROW()/100000,0)</f>
        <v>0</v>
      </c>
      <c r="T1739" s="51">
        <f>IF(R1739="A conferir",N(N1739),0)</f>
        <v>0</v>
      </c>
      <c r="U1739" s="51">
        <f>IF(L1739="",0,L1739)</f>
        <v>0</v>
      </c>
      <c r="V1739" s="51">
        <f>IF(L1739="",0,MAX(1,N(E1739)))</f>
        <v>0</v>
      </c>
      <c r="W1739" s="51">
        <f>IF(K1739="",0,K1739)</f>
        <v>0</v>
      </c>
    </row>
    <row r="1740">
      <c r="A1740" s="49" t="n"/>
      <c r="B1740" s="41" t="n"/>
      <c r="C1740" s="41" t="n"/>
      <c r="D1740" s="42" t="n"/>
      <c r="E1740" s="42" t="n"/>
      <c r="F1740" s="50" t="n"/>
      <c r="G1740" s="42" t="n"/>
      <c r="H1740" s="30">
        <f>IF(D1740="","",IFERROR(INDEX(Config!$B$12:$B$15,MATCH(IF(AND(D1740="Cartão de crédito",N(E1740)&gt;1),"Cartão de crédito parcelado",D1740),Config!$A$12:$A$15,0)),0)+IF(AND(Config!$B$17="Sim",LEFT(D1740,17)="Cartão de crédito"),Config!$B$18*IFERROR(INDEX(Config!$C$12:$C$15,MATCH(IF(AND(D1740="Cartão de crédito",N(E1740)&gt;1),"Cartão de crédito parcelado",D1740),Config!$A$12:$A$15,0)),0)/30*MAX(1,N(E1740)),0))</f>
        <v/>
      </c>
      <c r="I1740" s="29">
        <f>IF(OR(D1740="",F1740=""),"",ROUND(F1740*H1740,2))</f>
        <v/>
      </c>
      <c r="J1740" s="29">
        <f>IF(I1740="","",F1740-I1740)</f>
        <v/>
      </c>
      <c r="K1740" s="29">
        <f>IF(J1740="","",J1740/MAX(1,N(E1740)))</f>
        <v/>
      </c>
      <c r="L1740" s="37">
        <f>IF(OR(D1740="",A1740=""),"",A1740+IF(AND(Config!$B$17="Sim",LEFT(D1740,17)="Cartão de crédito"),1,IFERROR(INDEX(Config!$C$12:$C$15,MATCH(IF(AND(D1740="Cartão de crédito",N(E1740)&gt;1),"Cartão de crédito parcelado",D1740),Config!$A$12:$A$15,0)),0)))</f>
        <v/>
      </c>
      <c r="M1740" s="37">
        <f>IF(L1740="","",IF(AND(Config!$B$17="Sim",LEFT(D1740,17)="Cartão de crédito"),L1740,L1740+30*(MAX(1,N(E1740))-1)))</f>
        <v/>
      </c>
      <c r="N1740" s="29">
        <f>IF(OR(L1740="",K1740=""),"",K1740*MIN(MAX(1,N(E1740)),MAX(0,INT((Config!$B$8-L1740)/30)+1)))</f>
        <v/>
      </c>
      <c r="O1740" s="29">
        <f>IF(J1740="","",J1740-N(N1740))</f>
        <v/>
      </c>
      <c r="P1740" s="27">
        <f>IF(A1740="","",MONTH(A1740))</f>
        <v/>
      </c>
      <c r="Q1740" s="27">
        <f>IF(A1740="","",YEAR(A1740))</f>
        <v/>
      </c>
      <c r="R1740" s="27">
        <f>IF(L1740="","",IF(L1740&gt;Config!$B$8,"A cair",IF(N(G1740)&gt;=MIN(MAX(1,N(E1740)),MAX(0,INT((Config!$B$8-L1740)/30)+1)),IF(N(G1740)&gt;=MAX(1,N(E1740)),"Conferido","Conferido até aqui"),"A conferir")))</f>
        <v/>
      </c>
      <c r="S1740" s="51">
        <f>IF(R1740="A conferir",(Config!$B$8-L1740)*1000+N(F1740)/1000+ROW()/100000,0)</f>
        <v>0</v>
      </c>
      <c r="T1740" s="51">
        <f>IF(R1740="A conferir",N(N1740),0)</f>
        <v>0</v>
      </c>
      <c r="U1740" s="51">
        <f>IF(L1740="",0,L1740)</f>
        <v>0</v>
      </c>
      <c r="V1740" s="51">
        <f>IF(L1740="",0,MAX(1,N(E1740)))</f>
        <v>0</v>
      </c>
      <c r="W1740" s="51">
        <f>IF(K1740="",0,K1740)</f>
        <v>0</v>
      </c>
    </row>
    <row r="1741">
      <c r="A1741" s="49" t="n"/>
      <c r="B1741" s="41" t="n"/>
      <c r="C1741" s="41" t="n"/>
      <c r="D1741" s="42" t="n"/>
      <c r="E1741" s="42" t="n"/>
      <c r="F1741" s="50" t="n"/>
      <c r="G1741" s="42" t="n"/>
      <c r="H1741" s="30">
        <f>IF(D1741="","",IFERROR(INDEX(Config!$B$12:$B$15,MATCH(IF(AND(D1741="Cartão de crédito",N(E1741)&gt;1),"Cartão de crédito parcelado",D1741),Config!$A$12:$A$15,0)),0)+IF(AND(Config!$B$17="Sim",LEFT(D1741,17)="Cartão de crédito"),Config!$B$18*IFERROR(INDEX(Config!$C$12:$C$15,MATCH(IF(AND(D1741="Cartão de crédito",N(E1741)&gt;1),"Cartão de crédito parcelado",D1741),Config!$A$12:$A$15,0)),0)/30*MAX(1,N(E1741)),0))</f>
        <v/>
      </c>
      <c r="I1741" s="29">
        <f>IF(OR(D1741="",F1741=""),"",ROUND(F1741*H1741,2))</f>
        <v/>
      </c>
      <c r="J1741" s="29">
        <f>IF(I1741="","",F1741-I1741)</f>
        <v/>
      </c>
      <c r="K1741" s="29">
        <f>IF(J1741="","",J1741/MAX(1,N(E1741)))</f>
        <v/>
      </c>
      <c r="L1741" s="37">
        <f>IF(OR(D1741="",A1741=""),"",A1741+IF(AND(Config!$B$17="Sim",LEFT(D1741,17)="Cartão de crédito"),1,IFERROR(INDEX(Config!$C$12:$C$15,MATCH(IF(AND(D1741="Cartão de crédito",N(E1741)&gt;1),"Cartão de crédito parcelado",D1741),Config!$A$12:$A$15,0)),0)))</f>
        <v/>
      </c>
      <c r="M1741" s="37">
        <f>IF(L1741="","",IF(AND(Config!$B$17="Sim",LEFT(D1741,17)="Cartão de crédito"),L1741,L1741+30*(MAX(1,N(E1741))-1)))</f>
        <v/>
      </c>
      <c r="N1741" s="29">
        <f>IF(OR(L1741="",K1741=""),"",K1741*MIN(MAX(1,N(E1741)),MAX(0,INT((Config!$B$8-L1741)/30)+1)))</f>
        <v/>
      </c>
      <c r="O1741" s="29">
        <f>IF(J1741="","",J1741-N(N1741))</f>
        <v/>
      </c>
      <c r="P1741" s="27">
        <f>IF(A1741="","",MONTH(A1741))</f>
        <v/>
      </c>
      <c r="Q1741" s="27">
        <f>IF(A1741="","",YEAR(A1741))</f>
        <v/>
      </c>
      <c r="R1741" s="27">
        <f>IF(L1741="","",IF(L1741&gt;Config!$B$8,"A cair",IF(N(G1741)&gt;=MIN(MAX(1,N(E1741)),MAX(0,INT((Config!$B$8-L1741)/30)+1)),IF(N(G1741)&gt;=MAX(1,N(E1741)),"Conferido","Conferido até aqui"),"A conferir")))</f>
        <v/>
      </c>
      <c r="S1741" s="51">
        <f>IF(R1741="A conferir",(Config!$B$8-L1741)*1000+N(F1741)/1000+ROW()/100000,0)</f>
        <v>0</v>
      </c>
      <c r="T1741" s="51">
        <f>IF(R1741="A conferir",N(N1741),0)</f>
        <v>0</v>
      </c>
      <c r="U1741" s="51">
        <f>IF(L1741="",0,L1741)</f>
        <v>0</v>
      </c>
      <c r="V1741" s="51">
        <f>IF(L1741="",0,MAX(1,N(E1741)))</f>
        <v>0</v>
      </c>
      <c r="W1741" s="51">
        <f>IF(K1741="",0,K1741)</f>
        <v>0</v>
      </c>
    </row>
    <row r="1742">
      <c r="A1742" s="49" t="n"/>
      <c r="B1742" s="41" t="n"/>
      <c r="C1742" s="41" t="n"/>
      <c r="D1742" s="42" t="n"/>
      <c r="E1742" s="42" t="n"/>
      <c r="F1742" s="50" t="n"/>
      <c r="G1742" s="42" t="n"/>
      <c r="H1742" s="30">
        <f>IF(D1742="","",IFERROR(INDEX(Config!$B$12:$B$15,MATCH(IF(AND(D1742="Cartão de crédito",N(E1742)&gt;1),"Cartão de crédito parcelado",D1742),Config!$A$12:$A$15,0)),0)+IF(AND(Config!$B$17="Sim",LEFT(D1742,17)="Cartão de crédito"),Config!$B$18*IFERROR(INDEX(Config!$C$12:$C$15,MATCH(IF(AND(D1742="Cartão de crédito",N(E1742)&gt;1),"Cartão de crédito parcelado",D1742),Config!$A$12:$A$15,0)),0)/30*MAX(1,N(E1742)),0))</f>
        <v/>
      </c>
      <c r="I1742" s="29">
        <f>IF(OR(D1742="",F1742=""),"",ROUND(F1742*H1742,2))</f>
        <v/>
      </c>
      <c r="J1742" s="29">
        <f>IF(I1742="","",F1742-I1742)</f>
        <v/>
      </c>
      <c r="K1742" s="29">
        <f>IF(J1742="","",J1742/MAX(1,N(E1742)))</f>
        <v/>
      </c>
      <c r="L1742" s="37">
        <f>IF(OR(D1742="",A1742=""),"",A1742+IF(AND(Config!$B$17="Sim",LEFT(D1742,17)="Cartão de crédito"),1,IFERROR(INDEX(Config!$C$12:$C$15,MATCH(IF(AND(D1742="Cartão de crédito",N(E1742)&gt;1),"Cartão de crédito parcelado",D1742),Config!$A$12:$A$15,0)),0)))</f>
        <v/>
      </c>
      <c r="M1742" s="37">
        <f>IF(L1742="","",IF(AND(Config!$B$17="Sim",LEFT(D1742,17)="Cartão de crédito"),L1742,L1742+30*(MAX(1,N(E1742))-1)))</f>
        <v/>
      </c>
      <c r="N1742" s="29">
        <f>IF(OR(L1742="",K1742=""),"",K1742*MIN(MAX(1,N(E1742)),MAX(0,INT((Config!$B$8-L1742)/30)+1)))</f>
        <v/>
      </c>
      <c r="O1742" s="29">
        <f>IF(J1742="","",J1742-N(N1742))</f>
        <v/>
      </c>
      <c r="P1742" s="27">
        <f>IF(A1742="","",MONTH(A1742))</f>
        <v/>
      </c>
      <c r="Q1742" s="27">
        <f>IF(A1742="","",YEAR(A1742))</f>
        <v/>
      </c>
      <c r="R1742" s="27">
        <f>IF(L1742="","",IF(L1742&gt;Config!$B$8,"A cair",IF(N(G1742)&gt;=MIN(MAX(1,N(E1742)),MAX(0,INT((Config!$B$8-L1742)/30)+1)),IF(N(G1742)&gt;=MAX(1,N(E1742)),"Conferido","Conferido até aqui"),"A conferir")))</f>
        <v/>
      </c>
      <c r="S1742" s="51">
        <f>IF(R1742="A conferir",(Config!$B$8-L1742)*1000+N(F1742)/1000+ROW()/100000,0)</f>
        <v>0</v>
      </c>
      <c r="T1742" s="51">
        <f>IF(R1742="A conferir",N(N1742),0)</f>
        <v>0</v>
      </c>
      <c r="U1742" s="51">
        <f>IF(L1742="",0,L1742)</f>
        <v>0</v>
      </c>
      <c r="V1742" s="51">
        <f>IF(L1742="",0,MAX(1,N(E1742)))</f>
        <v>0</v>
      </c>
      <c r="W1742" s="51">
        <f>IF(K1742="",0,K1742)</f>
        <v>0</v>
      </c>
    </row>
    <row r="1743">
      <c r="A1743" s="49" t="n"/>
      <c r="B1743" s="41" t="n"/>
      <c r="C1743" s="41" t="n"/>
      <c r="D1743" s="42" t="n"/>
      <c r="E1743" s="42" t="n"/>
      <c r="F1743" s="50" t="n"/>
      <c r="G1743" s="42" t="n"/>
      <c r="H1743" s="30">
        <f>IF(D1743="","",IFERROR(INDEX(Config!$B$12:$B$15,MATCH(IF(AND(D1743="Cartão de crédito",N(E1743)&gt;1),"Cartão de crédito parcelado",D1743),Config!$A$12:$A$15,0)),0)+IF(AND(Config!$B$17="Sim",LEFT(D1743,17)="Cartão de crédito"),Config!$B$18*IFERROR(INDEX(Config!$C$12:$C$15,MATCH(IF(AND(D1743="Cartão de crédito",N(E1743)&gt;1),"Cartão de crédito parcelado",D1743),Config!$A$12:$A$15,0)),0)/30*MAX(1,N(E1743)),0))</f>
        <v/>
      </c>
      <c r="I1743" s="29">
        <f>IF(OR(D1743="",F1743=""),"",ROUND(F1743*H1743,2))</f>
        <v/>
      </c>
      <c r="J1743" s="29">
        <f>IF(I1743="","",F1743-I1743)</f>
        <v/>
      </c>
      <c r="K1743" s="29">
        <f>IF(J1743="","",J1743/MAX(1,N(E1743)))</f>
        <v/>
      </c>
      <c r="L1743" s="37">
        <f>IF(OR(D1743="",A1743=""),"",A1743+IF(AND(Config!$B$17="Sim",LEFT(D1743,17)="Cartão de crédito"),1,IFERROR(INDEX(Config!$C$12:$C$15,MATCH(IF(AND(D1743="Cartão de crédito",N(E1743)&gt;1),"Cartão de crédito parcelado",D1743),Config!$A$12:$A$15,0)),0)))</f>
        <v/>
      </c>
      <c r="M1743" s="37">
        <f>IF(L1743="","",IF(AND(Config!$B$17="Sim",LEFT(D1743,17)="Cartão de crédito"),L1743,L1743+30*(MAX(1,N(E1743))-1)))</f>
        <v/>
      </c>
      <c r="N1743" s="29">
        <f>IF(OR(L1743="",K1743=""),"",K1743*MIN(MAX(1,N(E1743)),MAX(0,INT((Config!$B$8-L1743)/30)+1)))</f>
        <v/>
      </c>
      <c r="O1743" s="29">
        <f>IF(J1743="","",J1743-N(N1743))</f>
        <v/>
      </c>
      <c r="P1743" s="27">
        <f>IF(A1743="","",MONTH(A1743))</f>
        <v/>
      </c>
      <c r="Q1743" s="27">
        <f>IF(A1743="","",YEAR(A1743))</f>
        <v/>
      </c>
      <c r="R1743" s="27">
        <f>IF(L1743="","",IF(L1743&gt;Config!$B$8,"A cair",IF(N(G1743)&gt;=MIN(MAX(1,N(E1743)),MAX(0,INT((Config!$B$8-L1743)/30)+1)),IF(N(G1743)&gt;=MAX(1,N(E1743)),"Conferido","Conferido até aqui"),"A conferir")))</f>
        <v/>
      </c>
      <c r="S1743" s="51">
        <f>IF(R1743="A conferir",(Config!$B$8-L1743)*1000+N(F1743)/1000+ROW()/100000,0)</f>
        <v>0</v>
      </c>
      <c r="T1743" s="51">
        <f>IF(R1743="A conferir",N(N1743),0)</f>
        <v>0</v>
      </c>
      <c r="U1743" s="51">
        <f>IF(L1743="",0,L1743)</f>
        <v>0</v>
      </c>
      <c r="V1743" s="51">
        <f>IF(L1743="",0,MAX(1,N(E1743)))</f>
        <v>0</v>
      </c>
      <c r="W1743" s="51">
        <f>IF(K1743="",0,K1743)</f>
        <v>0</v>
      </c>
    </row>
    <row r="1744">
      <c r="A1744" s="49" t="n"/>
      <c r="B1744" s="41" t="n"/>
      <c r="C1744" s="41" t="n"/>
      <c r="D1744" s="42" t="n"/>
      <c r="E1744" s="42" t="n"/>
      <c r="F1744" s="50" t="n"/>
      <c r="G1744" s="42" t="n"/>
      <c r="H1744" s="30">
        <f>IF(D1744="","",IFERROR(INDEX(Config!$B$12:$B$15,MATCH(IF(AND(D1744="Cartão de crédito",N(E1744)&gt;1),"Cartão de crédito parcelado",D1744),Config!$A$12:$A$15,0)),0)+IF(AND(Config!$B$17="Sim",LEFT(D1744,17)="Cartão de crédito"),Config!$B$18*IFERROR(INDEX(Config!$C$12:$C$15,MATCH(IF(AND(D1744="Cartão de crédito",N(E1744)&gt;1),"Cartão de crédito parcelado",D1744),Config!$A$12:$A$15,0)),0)/30*MAX(1,N(E1744)),0))</f>
        <v/>
      </c>
      <c r="I1744" s="29">
        <f>IF(OR(D1744="",F1744=""),"",ROUND(F1744*H1744,2))</f>
        <v/>
      </c>
      <c r="J1744" s="29">
        <f>IF(I1744="","",F1744-I1744)</f>
        <v/>
      </c>
      <c r="K1744" s="29">
        <f>IF(J1744="","",J1744/MAX(1,N(E1744)))</f>
        <v/>
      </c>
      <c r="L1744" s="37">
        <f>IF(OR(D1744="",A1744=""),"",A1744+IF(AND(Config!$B$17="Sim",LEFT(D1744,17)="Cartão de crédito"),1,IFERROR(INDEX(Config!$C$12:$C$15,MATCH(IF(AND(D1744="Cartão de crédito",N(E1744)&gt;1),"Cartão de crédito parcelado",D1744),Config!$A$12:$A$15,0)),0)))</f>
        <v/>
      </c>
      <c r="M1744" s="37">
        <f>IF(L1744="","",IF(AND(Config!$B$17="Sim",LEFT(D1744,17)="Cartão de crédito"),L1744,L1744+30*(MAX(1,N(E1744))-1)))</f>
        <v/>
      </c>
      <c r="N1744" s="29">
        <f>IF(OR(L1744="",K1744=""),"",K1744*MIN(MAX(1,N(E1744)),MAX(0,INT((Config!$B$8-L1744)/30)+1)))</f>
        <v/>
      </c>
      <c r="O1744" s="29">
        <f>IF(J1744="","",J1744-N(N1744))</f>
        <v/>
      </c>
      <c r="P1744" s="27">
        <f>IF(A1744="","",MONTH(A1744))</f>
        <v/>
      </c>
      <c r="Q1744" s="27">
        <f>IF(A1744="","",YEAR(A1744))</f>
        <v/>
      </c>
      <c r="R1744" s="27">
        <f>IF(L1744="","",IF(L1744&gt;Config!$B$8,"A cair",IF(N(G1744)&gt;=MIN(MAX(1,N(E1744)),MAX(0,INT((Config!$B$8-L1744)/30)+1)),IF(N(G1744)&gt;=MAX(1,N(E1744)),"Conferido","Conferido até aqui"),"A conferir")))</f>
        <v/>
      </c>
      <c r="S1744" s="51">
        <f>IF(R1744="A conferir",(Config!$B$8-L1744)*1000+N(F1744)/1000+ROW()/100000,0)</f>
        <v>0</v>
      </c>
      <c r="T1744" s="51">
        <f>IF(R1744="A conferir",N(N1744),0)</f>
        <v>0</v>
      </c>
      <c r="U1744" s="51">
        <f>IF(L1744="",0,L1744)</f>
        <v>0</v>
      </c>
      <c r="V1744" s="51">
        <f>IF(L1744="",0,MAX(1,N(E1744)))</f>
        <v>0</v>
      </c>
      <c r="W1744" s="51">
        <f>IF(K1744="",0,K1744)</f>
        <v>0</v>
      </c>
    </row>
    <row r="1745">
      <c r="A1745" s="49" t="n"/>
      <c r="B1745" s="41" t="n"/>
      <c r="C1745" s="41" t="n"/>
      <c r="D1745" s="42" t="n"/>
      <c r="E1745" s="42" t="n"/>
      <c r="F1745" s="50" t="n"/>
      <c r="G1745" s="42" t="n"/>
      <c r="H1745" s="30">
        <f>IF(D1745="","",IFERROR(INDEX(Config!$B$12:$B$15,MATCH(IF(AND(D1745="Cartão de crédito",N(E1745)&gt;1),"Cartão de crédito parcelado",D1745),Config!$A$12:$A$15,0)),0)+IF(AND(Config!$B$17="Sim",LEFT(D1745,17)="Cartão de crédito"),Config!$B$18*IFERROR(INDEX(Config!$C$12:$C$15,MATCH(IF(AND(D1745="Cartão de crédito",N(E1745)&gt;1),"Cartão de crédito parcelado",D1745),Config!$A$12:$A$15,0)),0)/30*MAX(1,N(E1745)),0))</f>
        <v/>
      </c>
      <c r="I1745" s="29">
        <f>IF(OR(D1745="",F1745=""),"",ROUND(F1745*H1745,2))</f>
        <v/>
      </c>
      <c r="J1745" s="29">
        <f>IF(I1745="","",F1745-I1745)</f>
        <v/>
      </c>
      <c r="K1745" s="29">
        <f>IF(J1745="","",J1745/MAX(1,N(E1745)))</f>
        <v/>
      </c>
      <c r="L1745" s="37">
        <f>IF(OR(D1745="",A1745=""),"",A1745+IF(AND(Config!$B$17="Sim",LEFT(D1745,17)="Cartão de crédito"),1,IFERROR(INDEX(Config!$C$12:$C$15,MATCH(IF(AND(D1745="Cartão de crédito",N(E1745)&gt;1),"Cartão de crédito parcelado",D1745),Config!$A$12:$A$15,0)),0)))</f>
        <v/>
      </c>
      <c r="M1745" s="37">
        <f>IF(L1745="","",IF(AND(Config!$B$17="Sim",LEFT(D1745,17)="Cartão de crédito"),L1745,L1745+30*(MAX(1,N(E1745))-1)))</f>
        <v/>
      </c>
      <c r="N1745" s="29">
        <f>IF(OR(L1745="",K1745=""),"",K1745*MIN(MAX(1,N(E1745)),MAX(0,INT((Config!$B$8-L1745)/30)+1)))</f>
        <v/>
      </c>
      <c r="O1745" s="29">
        <f>IF(J1745="","",J1745-N(N1745))</f>
        <v/>
      </c>
      <c r="P1745" s="27">
        <f>IF(A1745="","",MONTH(A1745))</f>
        <v/>
      </c>
      <c r="Q1745" s="27">
        <f>IF(A1745="","",YEAR(A1745))</f>
        <v/>
      </c>
      <c r="R1745" s="27">
        <f>IF(L1745="","",IF(L1745&gt;Config!$B$8,"A cair",IF(N(G1745)&gt;=MIN(MAX(1,N(E1745)),MAX(0,INT((Config!$B$8-L1745)/30)+1)),IF(N(G1745)&gt;=MAX(1,N(E1745)),"Conferido","Conferido até aqui"),"A conferir")))</f>
        <v/>
      </c>
      <c r="S1745" s="51">
        <f>IF(R1745="A conferir",(Config!$B$8-L1745)*1000+N(F1745)/1000+ROW()/100000,0)</f>
        <v>0</v>
      </c>
      <c r="T1745" s="51">
        <f>IF(R1745="A conferir",N(N1745),0)</f>
        <v>0</v>
      </c>
      <c r="U1745" s="51">
        <f>IF(L1745="",0,L1745)</f>
        <v>0</v>
      </c>
      <c r="V1745" s="51">
        <f>IF(L1745="",0,MAX(1,N(E1745)))</f>
        <v>0</v>
      </c>
      <c r="W1745" s="51">
        <f>IF(K1745="",0,K1745)</f>
        <v>0</v>
      </c>
    </row>
    <row r="1746">
      <c r="A1746" s="49" t="n"/>
      <c r="B1746" s="41" t="n"/>
      <c r="C1746" s="41" t="n"/>
      <c r="D1746" s="42" t="n"/>
      <c r="E1746" s="42" t="n"/>
      <c r="F1746" s="50" t="n"/>
      <c r="G1746" s="42" t="n"/>
      <c r="H1746" s="30">
        <f>IF(D1746="","",IFERROR(INDEX(Config!$B$12:$B$15,MATCH(IF(AND(D1746="Cartão de crédito",N(E1746)&gt;1),"Cartão de crédito parcelado",D1746),Config!$A$12:$A$15,0)),0)+IF(AND(Config!$B$17="Sim",LEFT(D1746,17)="Cartão de crédito"),Config!$B$18*IFERROR(INDEX(Config!$C$12:$C$15,MATCH(IF(AND(D1746="Cartão de crédito",N(E1746)&gt;1),"Cartão de crédito parcelado",D1746),Config!$A$12:$A$15,0)),0)/30*MAX(1,N(E1746)),0))</f>
        <v/>
      </c>
      <c r="I1746" s="29">
        <f>IF(OR(D1746="",F1746=""),"",ROUND(F1746*H1746,2))</f>
        <v/>
      </c>
      <c r="J1746" s="29">
        <f>IF(I1746="","",F1746-I1746)</f>
        <v/>
      </c>
      <c r="K1746" s="29">
        <f>IF(J1746="","",J1746/MAX(1,N(E1746)))</f>
        <v/>
      </c>
      <c r="L1746" s="37">
        <f>IF(OR(D1746="",A1746=""),"",A1746+IF(AND(Config!$B$17="Sim",LEFT(D1746,17)="Cartão de crédito"),1,IFERROR(INDEX(Config!$C$12:$C$15,MATCH(IF(AND(D1746="Cartão de crédito",N(E1746)&gt;1),"Cartão de crédito parcelado",D1746),Config!$A$12:$A$15,0)),0)))</f>
        <v/>
      </c>
      <c r="M1746" s="37">
        <f>IF(L1746="","",IF(AND(Config!$B$17="Sim",LEFT(D1746,17)="Cartão de crédito"),L1746,L1746+30*(MAX(1,N(E1746))-1)))</f>
        <v/>
      </c>
      <c r="N1746" s="29">
        <f>IF(OR(L1746="",K1746=""),"",K1746*MIN(MAX(1,N(E1746)),MAX(0,INT((Config!$B$8-L1746)/30)+1)))</f>
        <v/>
      </c>
      <c r="O1746" s="29">
        <f>IF(J1746="","",J1746-N(N1746))</f>
        <v/>
      </c>
      <c r="P1746" s="27">
        <f>IF(A1746="","",MONTH(A1746))</f>
        <v/>
      </c>
      <c r="Q1746" s="27">
        <f>IF(A1746="","",YEAR(A1746))</f>
        <v/>
      </c>
      <c r="R1746" s="27">
        <f>IF(L1746="","",IF(L1746&gt;Config!$B$8,"A cair",IF(N(G1746)&gt;=MIN(MAX(1,N(E1746)),MAX(0,INT((Config!$B$8-L1746)/30)+1)),IF(N(G1746)&gt;=MAX(1,N(E1746)),"Conferido","Conferido até aqui"),"A conferir")))</f>
        <v/>
      </c>
      <c r="S1746" s="51">
        <f>IF(R1746="A conferir",(Config!$B$8-L1746)*1000+N(F1746)/1000+ROW()/100000,0)</f>
        <v>0</v>
      </c>
      <c r="T1746" s="51">
        <f>IF(R1746="A conferir",N(N1746),0)</f>
        <v>0</v>
      </c>
      <c r="U1746" s="51">
        <f>IF(L1746="",0,L1746)</f>
        <v>0</v>
      </c>
      <c r="V1746" s="51">
        <f>IF(L1746="",0,MAX(1,N(E1746)))</f>
        <v>0</v>
      </c>
      <c r="W1746" s="51">
        <f>IF(K1746="",0,K1746)</f>
        <v>0</v>
      </c>
    </row>
    <row r="1747">
      <c r="A1747" s="49" t="n"/>
      <c r="B1747" s="41" t="n"/>
      <c r="C1747" s="41" t="n"/>
      <c r="D1747" s="42" t="n"/>
      <c r="E1747" s="42" t="n"/>
      <c r="F1747" s="50" t="n"/>
      <c r="G1747" s="42" t="n"/>
      <c r="H1747" s="30">
        <f>IF(D1747="","",IFERROR(INDEX(Config!$B$12:$B$15,MATCH(IF(AND(D1747="Cartão de crédito",N(E1747)&gt;1),"Cartão de crédito parcelado",D1747),Config!$A$12:$A$15,0)),0)+IF(AND(Config!$B$17="Sim",LEFT(D1747,17)="Cartão de crédito"),Config!$B$18*IFERROR(INDEX(Config!$C$12:$C$15,MATCH(IF(AND(D1747="Cartão de crédito",N(E1747)&gt;1),"Cartão de crédito parcelado",D1747),Config!$A$12:$A$15,0)),0)/30*MAX(1,N(E1747)),0))</f>
        <v/>
      </c>
      <c r="I1747" s="29">
        <f>IF(OR(D1747="",F1747=""),"",ROUND(F1747*H1747,2))</f>
        <v/>
      </c>
      <c r="J1747" s="29">
        <f>IF(I1747="","",F1747-I1747)</f>
        <v/>
      </c>
      <c r="K1747" s="29">
        <f>IF(J1747="","",J1747/MAX(1,N(E1747)))</f>
        <v/>
      </c>
      <c r="L1747" s="37">
        <f>IF(OR(D1747="",A1747=""),"",A1747+IF(AND(Config!$B$17="Sim",LEFT(D1747,17)="Cartão de crédito"),1,IFERROR(INDEX(Config!$C$12:$C$15,MATCH(IF(AND(D1747="Cartão de crédito",N(E1747)&gt;1),"Cartão de crédito parcelado",D1747),Config!$A$12:$A$15,0)),0)))</f>
        <v/>
      </c>
      <c r="M1747" s="37">
        <f>IF(L1747="","",IF(AND(Config!$B$17="Sim",LEFT(D1747,17)="Cartão de crédito"),L1747,L1747+30*(MAX(1,N(E1747))-1)))</f>
        <v/>
      </c>
      <c r="N1747" s="29">
        <f>IF(OR(L1747="",K1747=""),"",K1747*MIN(MAX(1,N(E1747)),MAX(0,INT((Config!$B$8-L1747)/30)+1)))</f>
        <v/>
      </c>
      <c r="O1747" s="29">
        <f>IF(J1747="","",J1747-N(N1747))</f>
        <v/>
      </c>
      <c r="P1747" s="27">
        <f>IF(A1747="","",MONTH(A1747))</f>
        <v/>
      </c>
      <c r="Q1747" s="27">
        <f>IF(A1747="","",YEAR(A1747))</f>
        <v/>
      </c>
      <c r="R1747" s="27">
        <f>IF(L1747="","",IF(L1747&gt;Config!$B$8,"A cair",IF(N(G1747)&gt;=MIN(MAX(1,N(E1747)),MAX(0,INT((Config!$B$8-L1747)/30)+1)),IF(N(G1747)&gt;=MAX(1,N(E1747)),"Conferido","Conferido até aqui"),"A conferir")))</f>
        <v/>
      </c>
      <c r="S1747" s="51">
        <f>IF(R1747="A conferir",(Config!$B$8-L1747)*1000+N(F1747)/1000+ROW()/100000,0)</f>
        <v>0</v>
      </c>
      <c r="T1747" s="51">
        <f>IF(R1747="A conferir",N(N1747),0)</f>
        <v>0</v>
      </c>
      <c r="U1747" s="51">
        <f>IF(L1747="",0,L1747)</f>
        <v>0</v>
      </c>
      <c r="V1747" s="51">
        <f>IF(L1747="",0,MAX(1,N(E1747)))</f>
        <v>0</v>
      </c>
      <c r="W1747" s="51">
        <f>IF(K1747="",0,K1747)</f>
        <v>0</v>
      </c>
    </row>
    <row r="1748">
      <c r="A1748" s="49" t="n"/>
      <c r="B1748" s="41" t="n"/>
      <c r="C1748" s="41" t="n"/>
      <c r="D1748" s="42" t="n"/>
      <c r="E1748" s="42" t="n"/>
      <c r="F1748" s="50" t="n"/>
      <c r="G1748" s="42" t="n"/>
      <c r="H1748" s="30">
        <f>IF(D1748="","",IFERROR(INDEX(Config!$B$12:$B$15,MATCH(IF(AND(D1748="Cartão de crédito",N(E1748)&gt;1),"Cartão de crédito parcelado",D1748),Config!$A$12:$A$15,0)),0)+IF(AND(Config!$B$17="Sim",LEFT(D1748,17)="Cartão de crédito"),Config!$B$18*IFERROR(INDEX(Config!$C$12:$C$15,MATCH(IF(AND(D1748="Cartão de crédito",N(E1748)&gt;1),"Cartão de crédito parcelado",D1748),Config!$A$12:$A$15,0)),0)/30*MAX(1,N(E1748)),0))</f>
        <v/>
      </c>
      <c r="I1748" s="29">
        <f>IF(OR(D1748="",F1748=""),"",ROUND(F1748*H1748,2))</f>
        <v/>
      </c>
      <c r="J1748" s="29">
        <f>IF(I1748="","",F1748-I1748)</f>
        <v/>
      </c>
      <c r="K1748" s="29">
        <f>IF(J1748="","",J1748/MAX(1,N(E1748)))</f>
        <v/>
      </c>
      <c r="L1748" s="37">
        <f>IF(OR(D1748="",A1748=""),"",A1748+IF(AND(Config!$B$17="Sim",LEFT(D1748,17)="Cartão de crédito"),1,IFERROR(INDEX(Config!$C$12:$C$15,MATCH(IF(AND(D1748="Cartão de crédito",N(E1748)&gt;1),"Cartão de crédito parcelado",D1748),Config!$A$12:$A$15,0)),0)))</f>
        <v/>
      </c>
      <c r="M1748" s="37">
        <f>IF(L1748="","",IF(AND(Config!$B$17="Sim",LEFT(D1748,17)="Cartão de crédito"),L1748,L1748+30*(MAX(1,N(E1748))-1)))</f>
        <v/>
      </c>
      <c r="N1748" s="29">
        <f>IF(OR(L1748="",K1748=""),"",K1748*MIN(MAX(1,N(E1748)),MAX(0,INT((Config!$B$8-L1748)/30)+1)))</f>
        <v/>
      </c>
      <c r="O1748" s="29">
        <f>IF(J1748="","",J1748-N(N1748))</f>
        <v/>
      </c>
      <c r="P1748" s="27">
        <f>IF(A1748="","",MONTH(A1748))</f>
        <v/>
      </c>
      <c r="Q1748" s="27">
        <f>IF(A1748="","",YEAR(A1748))</f>
        <v/>
      </c>
      <c r="R1748" s="27">
        <f>IF(L1748="","",IF(L1748&gt;Config!$B$8,"A cair",IF(N(G1748)&gt;=MIN(MAX(1,N(E1748)),MAX(0,INT((Config!$B$8-L1748)/30)+1)),IF(N(G1748)&gt;=MAX(1,N(E1748)),"Conferido","Conferido até aqui"),"A conferir")))</f>
        <v/>
      </c>
      <c r="S1748" s="51">
        <f>IF(R1748="A conferir",(Config!$B$8-L1748)*1000+N(F1748)/1000+ROW()/100000,0)</f>
        <v>0</v>
      </c>
      <c r="T1748" s="51">
        <f>IF(R1748="A conferir",N(N1748),0)</f>
        <v>0</v>
      </c>
      <c r="U1748" s="51">
        <f>IF(L1748="",0,L1748)</f>
        <v>0</v>
      </c>
      <c r="V1748" s="51">
        <f>IF(L1748="",0,MAX(1,N(E1748)))</f>
        <v>0</v>
      </c>
      <c r="W1748" s="51">
        <f>IF(K1748="",0,K1748)</f>
        <v>0</v>
      </c>
    </row>
    <row r="1749">
      <c r="A1749" s="49" t="n"/>
      <c r="B1749" s="41" t="n"/>
      <c r="C1749" s="41" t="n"/>
      <c r="D1749" s="42" t="n"/>
      <c r="E1749" s="42" t="n"/>
      <c r="F1749" s="50" t="n"/>
      <c r="G1749" s="42" t="n"/>
      <c r="H1749" s="30">
        <f>IF(D1749="","",IFERROR(INDEX(Config!$B$12:$B$15,MATCH(IF(AND(D1749="Cartão de crédito",N(E1749)&gt;1),"Cartão de crédito parcelado",D1749),Config!$A$12:$A$15,0)),0)+IF(AND(Config!$B$17="Sim",LEFT(D1749,17)="Cartão de crédito"),Config!$B$18*IFERROR(INDEX(Config!$C$12:$C$15,MATCH(IF(AND(D1749="Cartão de crédito",N(E1749)&gt;1),"Cartão de crédito parcelado",D1749),Config!$A$12:$A$15,0)),0)/30*MAX(1,N(E1749)),0))</f>
        <v/>
      </c>
      <c r="I1749" s="29">
        <f>IF(OR(D1749="",F1749=""),"",ROUND(F1749*H1749,2))</f>
        <v/>
      </c>
      <c r="J1749" s="29">
        <f>IF(I1749="","",F1749-I1749)</f>
        <v/>
      </c>
      <c r="K1749" s="29">
        <f>IF(J1749="","",J1749/MAX(1,N(E1749)))</f>
        <v/>
      </c>
      <c r="L1749" s="37">
        <f>IF(OR(D1749="",A1749=""),"",A1749+IF(AND(Config!$B$17="Sim",LEFT(D1749,17)="Cartão de crédito"),1,IFERROR(INDEX(Config!$C$12:$C$15,MATCH(IF(AND(D1749="Cartão de crédito",N(E1749)&gt;1),"Cartão de crédito parcelado",D1749),Config!$A$12:$A$15,0)),0)))</f>
        <v/>
      </c>
      <c r="M1749" s="37">
        <f>IF(L1749="","",IF(AND(Config!$B$17="Sim",LEFT(D1749,17)="Cartão de crédito"),L1749,L1749+30*(MAX(1,N(E1749))-1)))</f>
        <v/>
      </c>
      <c r="N1749" s="29">
        <f>IF(OR(L1749="",K1749=""),"",K1749*MIN(MAX(1,N(E1749)),MAX(0,INT((Config!$B$8-L1749)/30)+1)))</f>
        <v/>
      </c>
      <c r="O1749" s="29">
        <f>IF(J1749="","",J1749-N(N1749))</f>
        <v/>
      </c>
      <c r="P1749" s="27">
        <f>IF(A1749="","",MONTH(A1749))</f>
        <v/>
      </c>
      <c r="Q1749" s="27">
        <f>IF(A1749="","",YEAR(A1749))</f>
        <v/>
      </c>
      <c r="R1749" s="27">
        <f>IF(L1749="","",IF(L1749&gt;Config!$B$8,"A cair",IF(N(G1749)&gt;=MIN(MAX(1,N(E1749)),MAX(0,INT((Config!$B$8-L1749)/30)+1)),IF(N(G1749)&gt;=MAX(1,N(E1749)),"Conferido","Conferido até aqui"),"A conferir")))</f>
        <v/>
      </c>
      <c r="S1749" s="51">
        <f>IF(R1749="A conferir",(Config!$B$8-L1749)*1000+N(F1749)/1000+ROW()/100000,0)</f>
        <v>0</v>
      </c>
      <c r="T1749" s="51">
        <f>IF(R1749="A conferir",N(N1749),0)</f>
        <v>0</v>
      </c>
      <c r="U1749" s="51">
        <f>IF(L1749="",0,L1749)</f>
        <v>0</v>
      </c>
      <c r="V1749" s="51">
        <f>IF(L1749="",0,MAX(1,N(E1749)))</f>
        <v>0</v>
      </c>
      <c r="W1749" s="51">
        <f>IF(K1749="",0,K1749)</f>
        <v>0</v>
      </c>
    </row>
    <row r="1750">
      <c r="A1750" s="49" t="n"/>
      <c r="B1750" s="41" t="n"/>
      <c r="C1750" s="41" t="n"/>
      <c r="D1750" s="42" t="n"/>
      <c r="E1750" s="42" t="n"/>
      <c r="F1750" s="50" t="n"/>
      <c r="G1750" s="42" t="n"/>
      <c r="H1750" s="30">
        <f>IF(D1750="","",IFERROR(INDEX(Config!$B$12:$B$15,MATCH(IF(AND(D1750="Cartão de crédito",N(E1750)&gt;1),"Cartão de crédito parcelado",D1750),Config!$A$12:$A$15,0)),0)+IF(AND(Config!$B$17="Sim",LEFT(D1750,17)="Cartão de crédito"),Config!$B$18*IFERROR(INDEX(Config!$C$12:$C$15,MATCH(IF(AND(D1750="Cartão de crédito",N(E1750)&gt;1),"Cartão de crédito parcelado",D1750),Config!$A$12:$A$15,0)),0)/30*MAX(1,N(E1750)),0))</f>
        <v/>
      </c>
      <c r="I1750" s="29">
        <f>IF(OR(D1750="",F1750=""),"",ROUND(F1750*H1750,2))</f>
        <v/>
      </c>
      <c r="J1750" s="29">
        <f>IF(I1750="","",F1750-I1750)</f>
        <v/>
      </c>
      <c r="K1750" s="29">
        <f>IF(J1750="","",J1750/MAX(1,N(E1750)))</f>
        <v/>
      </c>
      <c r="L1750" s="37">
        <f>IF(OR(D1750="",A1750=""),"",A1750+IF(AND(Config!$B$17="Sim",LEFT(D1750,17)="Cartão de crédito"),1,IFERROR(INDEX(Config!$C$12:$C$15,MATCH(IF(AND(D1750="Cartão de crédito",N(E1750)&gt;1),"Cartão de crédito parcelado",D1750),Config!$A$12:$A$15,0)),0)))</f>
        <v/>
      </c>
      <c r="M1750" s="37">
        <f>IF(L1750="","",IF(AND(Config!$B$17="Sim",LEFT(D1750,17)="Cartão de crédito"),L1750,L1750+30*(MAX(1,N(E1750))-1)))</f>
        <v/>
      </c>
      <c r="N1750" s="29">
        <f>IF(OR(L1750="",K1750=""),"",K1750*MIN(MAX(1,N(E1750)),MAX(0,INT((Config!$B$8-L1750)/30)+1)))</f>
        <v/>
      </c>
      <c r="O1750" s="29">
        <f>IF(J1750="","",J1750-N(N1750))</f>
        <v/>
      </c>
      <c r="P1750" s="27">
        <f>IF(A1750="","",MONTH(A1750))</f>
        <v/>
      </c>
      <c r="Q1750" s="27">
        <f>IF(A1750="","",YEAR(A1750))</f>
        <v/>
      </c>
      <c r="R1750" s="27">
        <f>IF(L1750="","",IF(L1750&gt;Config!$B$8,"A cair",IF(N(G1750)&gt;=MIN(MAX(1,N(E1750)),MAX(0,INT((Config!$B$8-L1750)/30)+1)),IF(N(G1750)&gt;=MAX(1,N(E1750)),"Conferido","Conferido até aqui"),"A conferir")))</f>
        <v/>
      </c>
      <c r="S1750" s="51">
        <f>IF(R1750="A conferir",(Config!$B$8-L1750)*1000+N(F1750)/1000+ROW()/100000,0)</f>
        <v>0</v>
      </c>
      <c r="T1750" s="51">
        <f>IF(R1750="A conferir",N(N1750),0)</f>
        <v>0</v>
      </c>
      <c r="U1750" s="51">
        <f>IF(L1750="",0,L1750)</f>
        <v>0</v>
      </c>
      <c r="V1750" s="51">
        <f>IF(L1750="",0,MAX(1,N(E1750)))</f>
        <v>0</v>
      </c>
      <c r="W1750" s="51">
        <f>IF(K1750="",0,K1750)</f>
        <v>0</v>
      </c>
    </row>
    <row r="1751">
      <c r="A1751" s="49" t="n"/>
      <c r="B1751" s="41" t="n"/>
      <c r="C1751" s="41" t="n"/>
      <c r="D1751" s="42" t="n"/>
      <c r="E1751" s="42" t="n"/>
      <c r="F1751" s="50" t="n"/>
      <c r="G1751" s="42" t="n"/>
      <c r="H1751" s="30">
        <f>IF(D1751="","",IFERROR(INDEX(Config!$B$12:$B$15,MATCH(IF(AND(D1751="Cartão de crédito",N(E1751)&gt;1),"Cartão de crédito parcelado",D1751),Config!$A$12:$A$15,0)),0)+IF(AND(Config!$B$17="Sim",LEFT(D1751,17)="Cartão de crédito"),Config!$B$18*IFERROR(INDEX(Config!$C$12:$C$15,MATCH(IF(AND(D1751="Cartão de crédito",N(E1751)&gt;1),"Cartão de crédito parcelado",D1751),Config!$A$12:$A$15,0)),0)/30*MAX(1,N(E1751)),0))</f>
        <v/>
      </c>
      <c r="I1751" s="29">
        <f>IF(OR(D1751="",F1751=""),"",ROUND(F1751*H1751,2))</f>
        <v/>
      </c>
      <c r="J1751" s="29">
        <f>IF(I1751="","",F1751-I1751)</f>
        <v/>
      </c>
      <c r="K1751" s="29">
        <f>IF(J1751="","",J1751/MAX(1,N(E1751)))</f>
        <v/>
      </c>
      <c r="L1751" s="37">
        <f>IF(OR(D1751="",A1751=""),"",A1751+IF(AND(Config!$B$17="Sim",LEFT(D1751,17)="Cartão de crédito"),1,IFERROR(INDEX(Config!$C$12:$C$15,MATCH(IF(AND(D1751="Cartão de crédito",N(E1751)&gt;1),"Cartão de crédito parcelado",D1751),Config!$A$12:$A$15,0)),0)))</f>
        <v/>
      </c>
      <c r="M1751" s="37">
        <f>IF(L1751="","",IF(AND(Config!$B$17="Sim",LEFT(D1751,17)="Cartão de crédito"),L1751,L1751+30*(MAX(1,N(E1751))-1)))</f>
        <v/>
      </c>
      <c r="N1751" s="29">
        <f>IF(OR(L1751="",K1751=""),"",K1751*MIN(MAX(1,N(E1751)),MAX(0,INT((Config!$B$8-L1751)/30)+1)))</f>
        <v/>
      </c>
      <c r="O1751" s="29">
        <f>IF(J1751="","",J1751-N(N1751))</f>
        <v/>
      </c>
      <c r="P1751" s="27">
        <f>IF(A1751="","",MONTH(A1751))</f>
        <v/>
      </c>
      <c r="Q1751" s="27">
        <f>IF(A1751="","",YEAR(A1751))</f>
        <v/>
      </c>
      <c r="R1751" s="27">
        <f>IF(L1751="","",IF(L1751&gt;Config!$B$8,"A cair",IF(N(G1751)&gt;=MIN(MAX(1,N(E1751)),MAX(0,INT((Config!$B$8-L1751)/30)+1)),IF(N(G1751)&gt;=MAX(1,N(E1751)),"Conferido","Conferido até aqui"),"A conferir")))</f>
        <v/>
      </c>
      <c r="S1751" s="51">
        <f>IF(R1751="A conferir",(Config!$B$8-L1751)*1000+N(F1751)/1000+ROW()/100000,0)</f>
        <v>0</v>
      </c>
      <c r="T1751" s="51">
        <f>IF(R1751="A conferir",N(N1751),0)</f>
        <v>0</v>
      </c>
      <c r="U1751" s="51">
        <f>IF(L1751="",0,L1751)</f>
        <v>0</v>
      </c>
      <c r="V1751" s="51">
        <f>IF(L1751="",0,MAX(1,N(E1751)))</f>
        <v>0</v>
      </c>
      <c r="W1751" s="51">
        <f>IF(K1751="",0,K1751)</f>
        <v>0</v>
      </c>
    </row>
    <row r="1752">
      <c r="A1752" s="49" t="n"/>
      <c r="B1752" s="41" t="n"/>
      <c r="C1752" s="41" t="n"/>
      <c r="D1752" s="42" t="n"/>
      <c r="E1752" s="42" t="n"/>
      <c r="F1752" s="50" t="n"/>
      <c r="G1752" s="42" t="n"/>
      <c r="H1752" s="30">
        <f>IF(D1752="","",IFERROR(INDEX(Config!$B$12:$B$15,MATCH(IF(AND(D1752="Cartão de crédito",N(E1752)&gt;1),"Cartão de crédito parcelado",D1752),Config!$A$12:$A$15,0)),0)+IF(AND(Config!$B$17="Sim",LEFT(D1752,17)="Cartão de crédito"),Config!$B$18*IFERROR(INDEX(Config!$C$12:$C$15,MATCH(IF(AND(D1752="Cartão de crédito",N(E1752)&gt;1),"Cartão de crédito parcelado",D1752),Config!$A$12:$A$15,0)),0)/30*MAX(1,N(E1752)),0))</f>
        <v/>
      </c>
      <c r="I1752" s="29">
        <f>IF(OR(D1752="",F1752=""),"",ROUND(F1752*H1752,2))</f>
        <v/>
      </c>
      <c r="J1752" s="29">
        <f>IF(I1752="","",F1752-I1752)</f>
        <v/>
      </c>
      <c r="K1752" s="29">
        <f>IF(J1752="","",J1752/MAX(1,N(E1752)))</f>
        <v/>
      </c>
      <c r="L1752" s="37">
        <f>IF(OR(D1752="",A1752=""),"",A1752+IF(AND(Config!$B$17="Sim",LEFT(D1752,17)="Cartão de crédito"),1,IFERROR(INDEX(Config!$C$12:$C$15,MATCH(IF(AND(D1752="Cartão de crédito",N(E1752)&gt;1),"Cartão de crédito parcelado",D1752),Config!$A$12:$A$15,0)),0)))</f>
        <v/>
      </c>
      <c r="M1752" s="37">
        <f>IF(L1752="","",IF(AND(Config!$B$17="Sim",LEFT(D1752,17)="Cartão de crédito"),L1752,L1752+30*(MAX(1,N(E1752))-1)))</f>
        <v/>
      </c>
      <c r="N1752" s="29">
        <f>IF(OR(L1752="",K1752=""),"",K1752*MIN(MAX(1,N(E1752)),MAX(0,INT((Config!$B$8-L1752)/30)+1)))</f>
        <v/>
      </c>
      <c r="O1752" s="29">
        <f>IF(J1752="","",J1752-N(N1752))</f>
        <v/>
      </c>
      <c r="P1752" s="27">
        <f>IF(A1752="","",MONTH(A1752))</f>
        <v/>
      </c>
      <c r="Q1752" s="27">
        <f>IF(A1752="","",YEAR(A1752))</f>
        <v/>
      </c>
      <c r="R1752" s="27">
        <f>IF(L1752="","",IF(L1752&gt;Config!$B$8,"A cair",IF(N(G1752)&gt;=MIN(MAX(1,N(E1752)),MAX(0,INT((Config!$B$8-L1752)/30)+1)),IF(N(G1752)&gt;=MAX(1,N(E1752)),"Conferido","Conferido até aqui"),"A conferir")))</f>
        <v/>
      </c>
      <c r="S1752" s="51">
        <f>IF(R1752="A conferir",(Config!$B$8-L1752)*1000+N(F1752)/1000+ROW()/100000,0)</f>
        <v>0</v>
      </c>
      <c r="T1752" s="51">
        <f>IF(R1752="A conferir",N(N1752),0)</f>
        <v>0</v>
      </c>
      <c r="U1752" s="51">
        <f>IF(L1752="",0,L1752)</f>
        <v>0</v>
      </c>
      <c r="V1752" s="51">
        <f>IF(L1752="",0,MAX(1,N(E1752)))</f>
        <v>0</v>
      </c>
      <c r="W1752" s="51">
        <f>IF(K1752="",0,K1752)</f>
        <v>0</v>
      </c>
    </row>
    <row r="1753">
      <c r="A1753" s="49" t="n"/>
      <c r="B1753" s="41" t="n"/>
      <c r="C1753" s="41" t="n"/>
      <c r="D1753" s="42" t="n"/>
      <c r="E1753" s="42" t="n"/>
      <c r="F1753" s="50" t="n"/>
      <c r="G1753" s="42" t="n"/>
      <c r="H1753" s="30">
        <f>IF(D1753="","",IFERROR(INDEX(Config!$B$12:$B$15,MATCH(IF(AND(D1753="Cartão de crédito",N(E1753)&gt;1),"Cartão de crédito parcelado",D1753),Config!$A$12:$A$15,0)),0)+IF(AND(Config!$B$17="Sim",LEFT(D1753,17)="Cartão de crédito"),Config!$B$18*IFERROR(INDEX(Config!$C$12:$C$15,MATCH(IF(AND(D1753="Cartão de crédito",N(E1753)&gt;1),"Cartão de crédito parcelado",D1753),Config!$A$12:$A$15,0)),0)/30*MAX(1,N(E1753)),0))</f>
        <v/>
      </c>
      <c r="I1753" s="29">
        <f>IF(OR(D1753="",F1753=""),"",ROUND(F1753*H1753,2))</f>
        <v/>
      </c>
      <c r="J1753" s="29">
        <f>IF(I1753="","",F1753-I1753)</f>
        <v/>
      </c>
      <c r="K1753" s="29">
        <f>IF(J1753="","",J1753/MAX(1,N(E1753)))</f>
        <v/>
      </c>
      <c r="L1753" s="37">
        <f>IF(OR(D1753="",A1753=""),"",A1753+IF(AND(Config!$B$17="Sim",LEFT(D1753,17)="Cartão de crédito"),1,IFERROR(INDEX(Config!$C$12:$C$15,MATCH(IF(AND(D1753="Cartão de crédito",N(E1753)&gt;1),"Cartão de crédito parcelado",D1753),Config!$A$12:$A$15,0)),0)))</f>
        <v/>
      </c>
      <c r="M1753" s="37">
        <f>IF(L1753="","",IF(AND(Config!$B$17="Sim",LEFT(D1753,17)="Cartão de crédito"),L1753,L1753+30*(MAX(1,N(E1753))-1)))</f>
        <v/>
      </c>
      <c r="N1753" s="29">
        <f>IF(OR(L1753="",K1753=""),"",K1753*MIN(MAX(1,N(E1753)),MAX(0,INT((Config!$B$8-L1753)/30)+1)))</f>
        <v/>
      </c>
      <c r="O1753" s="29">
        <f>IF(J1753="","",J1753-N(N1753))</f>
        <v/>
      </c>
      <c r="P1753" s="27">
        <f>IF(A1753="","",MONTH(A1753))</f>
        <v/>
      </c>
      <c r="Q1753" s="27">
        <f>IF(A1753="","",YEAR(A1753))</f>
        <v/>
      </c>
      <c r="R1753" s="27">
        <f>IF(L1753="","",IF(L1753&gt;Config!$B$8,"A cair",IF(N(G1753)&gt;=MIN(MAX(1,N(E1753)),MAX(0,INT((Config!$B$8-L1753)/30)+1)),IF(N(G1753)&gt;=MAX(1,N(E1753)),"Conferido","Conferido até aqui"),"A conferir")))</f>
        <v/>
      </c>
      <c r="S1753" s="51">
        <f>IF(R1753="A conferir",(Config!$B$8-L1753)*1000+N(F1753)/1000+ROW()/100000,0)</f>
        <v>0</v>
      </c>
      <c r="T1753" s="51">
        <f>IF(R1753="A conferir",N(N1753),0)</f>
        <v>0</v>
      </c>
      <c r="U1753" s="51">
        <f>IF(L1753="",0,L1753)</f>
        <v>0</v>
      </c>
      <c r="V1753" s="51">
        <f>IF(L1753="",0,MAX(1,N(E1753)))</f>
        <v>0</v>
      </c>
      <c r="W1753" s="51">
        <f>IF(K1753="",0,K1753)</f>
        <v>0</v>
      </c>
    </row>
    <row r="1754">
      <c r="A1754" s="49" t="n"/>
      <c r="B1754" s="41" t="n"/>
      <c r="C1754" s="41" t="n"/>
      <c r="D1754" s="42" t="n"/>
      <c r="E1754" s="42" t="n"/>
      <c r="F1754" s="50" t="n"/>
      <c r="G1754" s="42" t="n"/>
      <c r="H1754" s="30">
        <f>IF(D1754="","",IFERROR(INDEX(Config!$B$12:$B$15,MATCH(IF(AND(D1754="Cartão de crédito",N(E1754)&gt;1),"Cartão de crédito parcelado",D1754),Config!$A$12:$A$15,0)),0)+IF(AND(Config!$B$17="Sim",LEFT(D1754,17)="Cartão de crédito"),Config!$B$18*IFERROR(INDEX(Config!$C$12:$C$15,MATCH(IF(AND(D1754="Cartão de crédito",N(E1754)&gt;1),"Cartão de crédito parcelado",D1754),Config!$A$12:$A$15,0)),0)/30*MAX(1,N(E1754)),0))</f>
        <v/>
      </c>
      <c r="I1754" s="29">
        <f>IF(OR(D1754="",F1754=""),"",ROUND(F1754*H1754,2))</f>
        <v/>
      </c>
      <c r="J1754" s="29">
        <f>IF(I1754="","",F1754-I1754)</f>
        <v/>
      </c>
      <c r="K1754" s="29">
        <f>IF(J1754="","",J1754/MAX(1,N(E1754)))</f>
        <v/>
      </c>
      <c r="L1754" s="37">
        <f>IF(OR(D1754="",A1754=""),"",A1754+IF(AND(Config!$B$17="Sim",LEFT(D1754,17)="Cartão de crédito"),1,IFERROR(INDEX(Config!$C$12:$C$15,MATCH(IF(AND(D1754="Cartão de crédito",N(E1754)&gt;1),"Cartão de crédito parcelado",D1754),Config!$A$12:$A$15,0)),0)))</f>
        <v/>
      </c>
      <c r="M1754" s="37">
        <f>IF(L1754="","",IF(AND(Config!$B$17="Sim",LEFT(D1754,17)="Cartão de crédito"),L1754,L1754+30*(MAX(1,N(E1754))-1)))</f>
        <v/>
      </c>
      <c r="N1754" s="29">
        <f>IF(OR(L1754="",K1754=""),"",K1754*MIN(MAX(1,N(E1754)),MAX(0,INT((Config!$B$8-L1754)/30)+1)))</f>
        <v/>
      </c>
      <c r="O1754" s="29">
        <f>IF(J1754="","",J1754-N(N1754))</f>
        <v/>
      </c>
      <c r="P1754" s="27">
        <f>IF(A1754="","",MONTH(A1754))</f>
        <v/>
      </c>
      <c r="Q1754" s="27">
        <f>IF(A1754="","",YEAR(A1754))</f>
        <v/>
      </c>
      <c r="R1754" s="27">
        <f>IF(L1754="","",IF(L1754&gt;Config!$B$8,"A cair",IF(N(G1754)&gt;=MIN(MAX(1,N(E1754)),MAX(0,INT((Config!$B$8-L1754)/30)+1)),IF(N(G1754)&gt;=MAX(1,N(E1754)),"Conferido","Conferido até aqui"),"A conferir")))</f>
        <v/>
      </c>
      <c r="S1754" s="51">
        <f>IF(R1754="A conferir",(Config!$B$8-L1754)*1000+N(F1754)/1000+ROW()/100000,0)</f>
        <v>0</v>
      </c>
      <c r="T1754" s="51">
        <f>IF(R1754="A conferir",N(N1754),0)</f>
        <v>0</v>
      </c>
      <c r="U1754" s="51">
        <f>IF(L1754="",0,L1754)</f>
        <v>0</v>
      </c>
      <c r="V1754" s="51">
        <f>IF(L1754="",0,MAX(1,N(E1754)))</f>
        <v>0</v>
      </c>
      <c r="W1754" s="51">
        <f>IF(K1754="",0,K1754)</f>
        <v>0</v>
      </c>
    </row>
    <row r="1755">
      <c r="A1755" s="49" t="n"/>
      <c r="B1755" s="41" t="n"/>
      <c r="C1755" s="41" t="n"/>
      <c r="D1755" s="42" t="n"/>
      <c r="E1755" s="42" t="n"/>
      <c r="F1755" s="50" t="n"/>
      <c r="G1755" s="42" t="n"/>
      <c r="H1755" s="30">
        <f>IF(D1755="","",IFERROR(INDEX(Config!$B$12:$B$15,MATCH(IF(AND(D1755="Cartão de crédito",N(E1755)&gt;1),"Cartão de crédito parcelado",D1755),Config!$A$12:$A$15,0)),0)+IF(AND(Config!$B$17="Sim",LEFT(D1755,17)="Cartão de crédito"),Config!$B$18*IFERROR(INDEX(Config!$C$12:$C$15,MATCH(IF(AND(D1755="Cartão de crédito",N(E1755)&gt;1),"Cartão de crédito parcelado",D1755),Config!$A$12:$A$15,0)),0)/30*MAX(1,N(E1755)),0))</f>
        <v/>
      </c>
      <c r="I1755" s="29">
        <f>IF(OR(D1755="",F1755=""),"",ROUND(F1755*H1755,2))</f>
        <v/>
      </c>
      <c r="J1755" s="29">
        <f>IF(I1755="","",F1755-I1755)</f>
        <v/>
      </c>
      <c r="K1755" s="29">
        <f>IF(J1755="","",J1755/MAX(1,N(E1755)))</f>
        <v/>
      </c>
      <c r="L1755" s="37">
        <f>IF(OR(D1755="",A1755=""),"",A1755+IF(AND(Config!$B$17="Sim",LEFT(D1755,17)="Cartão de crédito"),1,IFERROR(INDEX(Config!$C$12:$C$15,MATCH(IF(AND(D1755="Cartão de crédito",N(E1755)&gt;1),"Cartão de crédito parcelado",D1755),Config!$A$12:$A$15,0)),0)))</f>
        <v/>
      </c>
      <c r="M1755" s="37">
        <f>IF(L1755="","",IF(AND(Config!$B$17="Sim",LEFT(D1755,17)="Cartão de crédito"),L1755,L1755+30*(MAX(1,N(E1755))-1)))</f>
        <v/>
      </c>
      <c r="N1755" s="29">
        <f>IF(OR(L1755="",K1755=""),"",K1755*MIN(MAX(1,N(E1755)),MAX(0,INT((Config!$B$8-L1755)/30)+1)))</f>
        <v/>
      </c>
      <c r="O1755" s="29">
        <f>IF(J1755="","",J1755-N(N1755))</f>
        <v/>
      </c>
      <c r="P1755" s="27">
        <f>IF(A1755="","",MONTH(A1755))</f>
        <v/>
      </c>
      <c r="Q1755" s="27">
        <f>IF(A1755="","",YEAR(A1755))</f>
        <v/>
      </c>
      <c r="R1755" s="27">
        <f>IF(L1755="","",IF(L1755&gt;Config!$B$8,"A cair",IF(N(G1755)&gt;=MIN(MAX(1,N(E1755)),MAX(0,INT((Config!$B$8-L1755)/30)+1)),IF(N(G1755)&gt;=MAX(1,N(E1755)),"Conferido","Conferido até aqui"),"A conferir")))</f>
        <v/>
      </c>
      <c r="S1755" s="51">
        <f>IF(R1755="A conferir",(Config!$B$8-L1755)*1000+N(F1755)/1000+ROW()/100000,0)</f>
        <v>0</v>
      </c>
      <c r="T1755" s="51">
        <f>IF(R1755="A conferir",N(N1755),0)</f>
        <v>0</v>
      </c>
      <c r="U1755" s="51">
        <f>IF(L1755="",0,L1755)</f>
        <v>0</v>
      </c>
      <c r="V1755" s="51">
        <f>IF(L1755="",0,MAX(1,N(E1755)))</f>
        <v>0</v>
      </c>
      <c r="W1755" s="51">
        <f>IF(K1755="",0,K1755)</f>
        <v>0</v>
      </c>
    </row>
    <row r="1756">
      <c r="A1756" s="49" t="n"/>
      <c r="B1756" s="41" t="n"/>
      <c r="C1756" s="41" t="n"/>
      <c r="D1756" s="42" t="n"/>
      <c r="E1756" s="42" t="n"/>
      <c r="F1756" s="50" t="n"/>
      <c r="G1756" s="42" t="n"/>
      <c r="H1756" s="30">
        <f>IF(D1756="","",IFERROR(INDEX(Config!$B$12:$B$15,MATCH(IF(AND(D1756="Cartão de crédito",N(E1756)&gt;1),"Cartão de crédito parcelado",D1756),Config!$A$12:$A$15,0)),0)+IF(AND(Config!$B$17="Sim",LEFT(D1756,17)="Cartão de crédito"),Config!$B$18*IFERROR(INDEX(Config!$C$12:$C$15,MATCH(IF(AND(D1756="Cartão de crédito",N(E1756)&gt;1),"Cartão de crédito parcelado",D1756),Config!$A$12:$A$15,0)),0)/30*MAX(1,N(E1756)),0))</f>
        <v/>
      </c>
      <c r="I1756" s="29">
        <f>IF(OR(D1756="",F1756=""),"",ROUND(F1756*H1756,2))</f>
        <v/>
      </c>
      <c r="J1756" s="29">
        <f>IF(I1756="","",F1756-I1756)</f>
        <v/>
      </c>
      <c r="K1756" s="29">
        <f>IF(J1756="","",J1756/MAX(1,N(E1756)))</f>
        <v/>
      </c>
      <c r="L1756" s="37">
        <f>IF(OR(D1756="",A1756=""),"",A1756+IF(AND(Config!$B$17="Sim",LEFT(D1756,17)="Cartão de crédito"),1,IFERROR(INDEX(Config!$C$12:$C$15,MATCH(IF(AND(D1756="Cartão de crédito",N(E1756)&gt;1),"Cartão de crédito parcelado",D1756),Config!$A$12:$A$15,0)),0)))</f>
        <v/>
      </c>
      <c r="M1756" s="37">
        <f>IF(L1756="","",IF(AND(Config!$B$17="Sim",LEFT(D1756,17)="Cartão de crédito"),L1756,L1756+30*(MAX(1,N(E1756))-1)))</f>
        <v/>
      </c>
      <c r="N1756" s="29">
        <f>IF(OR(L1756="",K1756=""),"",K1756*MIN(MAX(1,N(E1756)),MAX(0,INT((Config!$B$8-L1756)/30)+1)))</f>
        <v/>
      </c>
      <c r="O1756" s="29">
        <f>IF(J1756="","",J1756-N(N1756))</f>
        <v/>
      </c>
      <c r="P1756" s="27">
        <f>IF(A1756="","",MONTH(A1756))</f>
        <v/>
      </c>
      <c r="Q1756" s="27">
        <f>IF(A1756="","",YEAR(A1756))</f>
        <v/>
      </c>
      <c r="R1756" s="27">
        <f>IF(L1756="","",IF(L1756&gt;Config!$B$8,"A cair",IF(N(G1756)&gt;=MIN(MAX(1,N(E1756)),MAX(0,INT((Config!$B$8-L1756)/30)+1)),IF(N(G1756)&gt;=MAX(1,N(E1756)),"Conferido","Conferido até aqui"),"A conferir")))</f>
        <v/>
      </c>
      <c r="S1756" s="51">
        <f>IF(R1756="A conferir",(Config!$B$8-L1756)*1000+N(F1756)/1000+ROW()/100000,0)</f>
        <v>0</v>
      </c>
      <c r="T1756" s="51">
        <f>IF(R1756="A conferir",N(N1756),0)</f>
        <v>0</v>
      </c>
      <c r="U1756" s="51">
        <f>IF(L1756="",0,L1756)</f>
        <v>0</v>
      </c>
      <c r="V1756" s="51">
        <f>IF(L1756="",0,MAX(1,N(E1756)))</f>
        <v>0</v>
      </c>
      <c r="W1756" s="51">
        <f>IF(K1756="",0,K1756)</f>
        <v>0</v>
      </c>
    </row>
    <row r="1757">
      <c r="A1757" s="49" t="n"/>
      <c r="B1757" s="41" t="n"/>
      <c r="C1757" s="41" t="n"/>
      <c r="D1757" s="42" t="n"/>
      <c r="E1757" s="42" t="n"/>
      <c r="F1757" s="50" t="n"/>
      <c r="G1757" s="42" t="n"/>
      <c r="H1757" s="30">
        <f>IF(D1757="","",IFERROR(INDEX(Config!$B$12:$B$15,MATCH(IF(AND(D1757="Cartão de crédito",N(E1757)&gt;1),"Cartão de crédito parcelado",D1757),Config!$A$12:$A$15,0)),0)+IF(AND(Config!$B$17="Sim",LEFT(D1757,17)="Cartão de crédito"),Config!$B$18*IFERROR(INDEX(Config!$C$12:$C$15,MATCH(IF(AND(D1757="Cartão de crédito",N(E1757)&gt;1),"Cartão de crédito parcelado",D1757),Config!$A$12:$A$15,0)),0)/30*MAX(1,N(E1757)),0))</f>
        <v/>
      </c>
      <c r="I1757" s="29">
        <f>IF(OR(D1757="",F1757=""),"",ROUND(F1757*H1757,2))</f>
        <v/>
      </c>
      <c r="J1757" s="29">
        <f>IF(I1757="","",F1757-I1757)</f>
        <v/>
      </c>
      <c r="K1757" s="29">
        <f>IF(J1757="","",J1757/MAX(1,N(E1757)))</f>
        <v/>
      </c>
      <c r="L1757" s="37">
        <f>IF(OR(D1757="",A1757=""),"",A1757+IF(AND(Config!$B$17="Sim",LEFT(D1757,17)="Cartão de crédito"),1,IFERROR(INDEX(Config!$C$12:$C$15,MATCH(IF(AND(D1757="Cartão de crédito",N(E1757)&gt;1),"Cartão de crédito parcelado",D1757),Config!$A$12:$A$15,0)),0)))</f>
        <v/>
      </c>
      <c r="M1757" s="37">
        <f>IF(L1757="","",IF(AND(Config!$B$17="Sim",LEFT(D1757,17)="Cartão de crédito"),L1757,L1757+30*(MAX(1,N(E1757))-1)))</f>
        <v/>
      </c>
      <c r="N1757" s="29">
        <f>IF(OR(L1757="",K1757=""),"",K1757*MIN(MAX(1,N(E1757)),MAX(0,INT((Config!$B$8-L1757)/30)+1)))</f>
        <v/>
      </c>
      <c r="O1757" s="29">
        <f>IF(J1757="","",J1757-N(N1757))</f>
        <v/>
      </c>
      <c r="P1757" s="27">
        <f>IF(A1757="","",MONTH(A1757))</f>
        <v/>
      </c>
      <c r="Q1757" s="27">
        <f>IF(A1757="","",YEAR(A1757))</f>
        <v/>
      </c>
      <c r="R1757" s="27">
        <f>IF(L1757="","",IF(L1757&gt;Config!$B$8,"A cair",IF(N(G1757)&gt;=MIN(MAX(1,N(E1757)),MAX(0,INT((Config!$B$8-L1757)/30)+1)),IF(N(G1757)&gt;=MAX(1,N(E1757)),"Conferido","Conferido até aqui"),"A conferir")))</f>
        <v/>
      </c>
      <c r="S1757" s="51">
        <f>IF(R1757="A conferir",(Config!$B$8-L1757)*1000+N(F1757)/1000+ROW()/100000,0)</f>
        <v>0</v>
      </c>
      <c r="T1757" s="51">
        <f>IF(R1757="A conferir",N(N1757),0)</f>
        <v>0</v>
      </c>
      <c r="U1757" s="51">
        <f>IF(L1757="",0,L1757)</f>
        <v>0</v>
      </c>
      <c r="V1757" s="51">
        <f>IF(L1757="",0,MAX(1,N(E1757)))</f>
        <v>0</v>
      </c>
      <c r="W1757" s="51">
        <f>IF(K1757="",0,K1757)</f>
        <v>0</v>
      </c>
    </row>
    <row r="1758">
      <c r="A1758" s="49" t="n"/>
      <c r="B1758" s="41" t="n"/>
      <c r="C1758" s="41" t="n"/>
      <c r="D1758" s="42" t="n"/>
      <c r="E1758" s="42" t="n"/>
      <c r="F1758" s="50" t="n"/>
      <c r="G1758" s="42" t="n"/>
      <c r="H1758" s="30">
        <f>IF(D1758="","",IFERROR(INDEX(Config!$B$12:$B$15,MATCH(IF(AND(D1758="Cartão de crédito",N(E1758)&gt;1),"Cartão de crédito parcelado",D1758),Config!$A$12:$A$15,0)),0)+IF(AND(Config!$B$17="Sim",LEFT(D1758,17)="Cartão de crédito"),Config!$B$18*IFERROR(INDEX(Config!$C$12:$C$15,MATCH(IF(AND(D1758="Cartão de crédito",N(E1758)&gt;1),"Cartão de crédito parcelado",D1758),Config!$A$12:$A$15,0)),0)/30*MAX(1,N(E1758)),0))</f>
        <v/>
      </c>
      <c r="I1758" s="29">
        <f>IF(OR(D1758="",F1758=""),"",ROUND(F1758*H1758,2))</f>
        <v/>
      </c>
      <c r="J1758" s="29">
        <f>IF(I1758="","",F1758-I1758)</f>
        <v/>
      </c>
      <c r="K1758" s="29">
        <f>IF(J1758="","",J1758/MAX(1,N(E1758)))</f>
        <v/>
      </c>
      <c r="L1758" s="37">
        <f>IF(OR(D1758="",A1758=""),"",A1758+IF(AND(Config!$B$17="Sim",LEFT(D1758,17)="Cartão de crédito"),1,IFERROR(INDEX(Config!$C$12:$C$15,MATCH(IF(AND(D1758="Cartão de crédito",N(E1758)&gt;1),"Cartão de crédito parcelado",D1758),Config!$A$12:$A$15,0)),0)))</f>
        <v/>
      </c>
      <c r="M1758" s="37">
        <f>IF(L1758="","",IF(AND(Config!$B$17="Sim",LEFT(D1758,17)="Cartão de crédito"),L1758,L1758+30*(MAX(1,N(E1758))-1)))</f>
        <v/>
      </c>
      <c r="N1758" s="29">
        <f>IF(OR(L1758="",K1758=""),"",K1758*MIN(MAX(1,N(E1758)),MAX(0,INT((Config!$B$8-L1758)/30)+1)))</f>
        <v/>
      </c>
      <c r="O1758" s="29">
        <f>IF(J1758="","",J1758-N(N1758))</f>
        <v/>
      </c>
      <c r="P1758" s="27">
        <f>IF(A1758="","",MONTH(A1758))</f>
        <v/>
      </c>
      <c r="Q1758" s="27">
        <f>IF(A1758="","",YEAR(A1758))</f>
        <v/>
      </c>
      <c r="R1758" s="27">
        <f>IF(L1758="","",IF(L1758&gt;Config!$B$8,"A cair",IF(N(G1758)&gt;=MIN(MAX(1,N(E1758)),MAX(0,INT((Config!$B$8-L1758)/30)+1)),IF(N(G1758)&gt;=MAX(1,N(E1758)),"Conferido","Conferido até aqui"),"A conferir")))</f>
        <v/>
      </c>
      <c r="S1758" s="51">
        <f>IF(R1758="A conferir",(Config!$B$8-L1758)*1000+N(F1758)/1000+ROW()/100000,0)</f>
        <v>0</v>
      </c>
      <c r="T1758" s="51">
        <f>IF(R1758="A conferir",N(N1758),0)</f>
        <v>0</v>
      </c>
      <c r="U1758" s="51">
        <f>IF(L1758="",0,L1758)</f>
        <v>0</v>
      </c>
      <c r="V1758" s="51">
        <f>IF(L1758="",0,MAX(1,N(E1758)))</f>
        <v>0</v>
      </c>
      <c r="W1758" s="51">
        <f>IF(K1758="",0,K1758)</f>
        <v>0</v>
      </c>
    </row>
    <row r="1759">
      <c r="A1759" s="49" t="n"/>
      <c r="B1759" s="41" t="n"/>
      <c r="C1759" s="41" t="n"/>
      <c r="D1759" s="42" t="n"/>
      <c r="E1759" s="42" t="n"/>
      <c r="F1759" s="50" t="n"/>
      <c r="G1759" s="42" t="n"/>
      <c r="H1759" s="30">
        <f>IF(D1759="","",IFERROR(INDEX(Config!$B$12:$B$15,MATCH(IF(AND(D1759="Cartão de crédito",N(E1759)&gt;1),"Cartão de crédito parcelado",D1759),Config!$A$12:$A$15,0)),0)+IF(AND(Config!$B$17="Sim",LEFT(D1759,17)="Cartão de crédito"),Config!$B$18*IFERROR(INDEX(Config!$C$12:$C$15,MATCH(IF(AND(D1759="Cartão de crédito",N(E1759)&gt;1),"Cartão de crédito parcelado",D1759),Config!$A$12:$A$15,0)),0)/30*MAX(1,N(E1759)),0))</f>
        <v/>
      </c>
      <c r="I1759" s="29">
        <f>IF(OR(D1759="",F1759=""),"",ROUND(F1759*H1759,2))</f>
        <v/>
      </c>
      <c r="J1759" s="29">
        <f>IF(I1759="","",F1759-I1759)</f>
        <v/>
      </c>
      <c r="K1759" s="29">
        <f>IF(J1759="","",J1759/MAX(1,N(E1759)))</f>
        <v/>
      </c>
      <c r="L1759" s="37">
        <f>IF(OR(D1759="",A1759=""),"",A1759+IF(AND(Config!$B$17="Sim",LEFT(D1759,17)="Cartão de crédito"),1,IFERROR(INDEX(Config!$C$12:$C$15,MATCH(IF(AND(D1759="Cartão de crédito",N(E1759)&gt;1),"Cartão de crédito parcelado",D1759),Config!$A$12:$A$15,0)),0)))</f>
        <v/>
      </c>
      <c r="M1759" s="37">
        <f>IF(L1759="","",IF(AND(Config!$B$17="Sim",LEFT(D1759,17)="Cartão de crédito"),L1759,L1759+30*(MAX(1,N(E1759))-1)))</f>
        <v/>
      </c>
      <c r="N1759" s="29">
        <f>IF(OR(L1759="",K1759=""),"",K1759*MIN(MAX(1,N(E1759)),MAX(0,INT((Config!$B$8-L1759)/30)+1)))</f>
        <v/>
      </c>
      <c r="O1759" s="29">
        <f>IF(J1759="","",J1759-N(N1759))</f>
        <v/>
      </c>
      <c r="P1759" s="27">
        <f>IF(A1759="","",MONTH(A1759))</f>
        <v/>
      </c>
      <c r="Q1759" s="27">
        <f>IF(A1759="","",YEAR(A1759))</f>
        <v/>
      </c>
      <c r="R1759" s="27">
        <f>IF(L1759="","",IF(L1759&gt;Config!$B$8,"A cair",IF(N(G1759)&gt;=MIN(MAX(1,N(E1759)),MAX(0,INT((Config!$B$8-L1759)/30)+1)),IF(N(G1759)&gt;=MAX(1,N(E1759)),"Conferido","Conferido até aqui"),"A conferir")))</f>
        <v/>
      </c>
      <c r="S1759" s="51">
        <f>IF(R1759="A conferir",(Config!$B$8-L1759)*1000+N(F1759)/1000+ROW()/100000,0)</f>
        <v>0</v>
      </c>
      <c r="T1759" s="51">
        <f>IF(R1759="A conferir",N(N1759),0)</f>
        <v>0</v>
      </c>
      <c r="U1759" s="51">
        <f>IF(L1759="",0,L1759)</f>
        <v>0</v>
      </c>
      <c r="V1759" s="51">
        <f>IF(L1759="",0,MAX(1,N(E1759)))</f>
        <v>0</v>
      </c>
      <c r="W1759" s="51">
        <f>IF(K1759="",0,K1759)</f>
        <v>0</v>
      </c>
    </row>
    <row r="1760">
      <c r="A1760" s="49" t="n"/>
      <c r="B1760" s="41" t="n"/>
      <c r="C1760" s="41" t="n"/>
      <c r="D1760" s="42" t="n"/>
      <c r="E1760" s="42" t="n"/>
      <c r="F1760" s="50" t="n"/>
      <c r="G1760" s="42" t="n"/>
      <c r="H1760" s="30">
        <f>IF(D1760="","",IFERROR(INDEX(Config!$B$12:$B$15,MATCH(IF(AND(D1760="Cartão de crédito",N(E1760)&gt;1),"Cartão de crédito parcelado",D1760),Config!$A$12:$A$15,0)),0)+IF(AND(Config!$B$17="Sim",LEFT(D1760,17)="Cartão de crédito"),Config!$B$18*IFERROR(INDEX(Config!$C$12:$C$15,MATCH(IF(AND(D1760="Cartão de crédito",N(E1760)&gt;1),"Cartão de crédito parcelado",D1760),Config!$A$12:$A$15,0)),0)/30*MAX(1,N(E1760)),0))</f>
        <v/>
      </c>
      <c r="I1760" s="29">
        <f>IF(OR(D1760="",F1760=""),"",ROUND(F1760*H1760,2))</f>
        <v/>
      </c>
      <c r="J1760" s="29">
        <f>IF(I1760="","",F1760-I1760)</f>
        <v/>
      </c>
      <c r="K1760" s="29">
        <f>IF(J1760="","",J1760/MAX(1,N(E1760)))</f>
        <v/>
      </c>
      <c r="L1760" s="37">
        <f>IF(OR(D1760="",A1760=""),"",A1760+IF(AND(Config!$B$17="Sim",LEFT(D1760,17)="Cartão de crédito"),1,IFERROR(INDEX(Config!$C$12:$C$15,MATCH(IF(AND(D1760="Cartão de crédito",N(E1760)&gt;1),"Cartão de crédito parcelado",D1760),Config!$A$12:$A$15,0)),0)))</f>
        <v/>
      </c>
      <c r="M1760" s="37">
        <f>IF(L1760="","",IF(AND(Config!$B$17="Sim",LEFT(D1760,17)="Cartão de crédito"),L1760,L1760+30*(MAX(1,N(E1760))-1)))</f>
        <v/>
      </c>
      <c r="N1760" s="29">
        <f>IF(OR(L1760="",K1760=""),"",K1760*MIN(MAX(1,N(E1760)),MAX(0,INT((Config!$B$8-L1760)/30)+1)))</f>
        <v/>
      </c>
      <c r="O1760" s="29">
        <f>IF(J1760="","",J1760-N(N1760))</f>
        <v/>
      </c>
      <c r="P1760" s="27">
        <f>IF(A1760="","",MONTH(A1760))</f>
        <v/>
      </c>
      <c r="Q1760" s="27">
        <f>IF(A1760="","",YEAR(A1760))</f>
        <v/>
      </c>
      <c r="R1760" s="27">
        <f>IF(L1760="","",IF(L1760&gt;Config!$B$8,"A cair",IF(N(G1760)&gt;=MIN(MAX(1,N(E1760)),MAX(0,INT((Config!$B$8-L1760)/30)+1)),IF(N(G1760)&gt;=MAX(1,N(E1760)),"Conferido","Conferido até aqui"),"A conferir")))</f>
        <v/>
      </c>
      <c r="S1760" s="51">
        <f>IF(R1760="A conferir",(Config!$B$8-L1760)*1000+N(F1760)/1000+ROW()/100000,0)</f>
        <v>0</v>
      </c>
      <c r="T1760" s="51">
        <f>IF(R1760="A conferir",N(N1760),0)</f>
        <v>0</v>
      </c>
      <c r="U1760" s="51">
        <f>IF(L1760="",0,L1760)</f>
        <v>0</v>
      </c>
      <c r="V1760" s="51">
        <f>IF(L1760="",0,MAX(1,N(E1760)))</f>
        <v>0</v>
      </c>
      <c r="W1760" s="51">
        <f>IF(K1760="",0,K1760)</f>
        <v>0</v>
      </c>
    </row>
    <row r="1761">
      <c r="A1761" s="49" t="n"/>
      <c r="B1761" s="41" t="n"/>
      <c r="C1761" s="41" t="n"/>
      <c r="D1761" s="42" t="n"/>
      <c r="E1761" s="42" t="n"/>
      <c r="F1761" s="50" t="n"/>
      <c r="G1761" s="42" t="n"/>
      <c r="H1761" s="30">
        <f>IF(D1761="","",IFERROR(INDEX(Config!$B$12:$B$15,MATCH(IF(AND(D1761="Cartão de crédito",N(E1761)&gt;1),"Cartão de crédito parcelado",D1761),Config!$A$12:$A$15,0)),0)+IF(AND(Config!$B$17="Sim",LEFT(D1761,17)="Cartão de crédito"),Config!$B$18*IFERROR(INDEX(Config!$C$12:$C$15,MATCH(IF(AND(D1761="Cartão de crédito",N(E1761)&gt;1),"Cartão de crédito parcelado",D1761),Config!$A$12:$A$15,0)),0)/30*MAX(1,N(E1761)),0))</f>
        <v/>
      </c>
      <c r="I1761" s="29">
        <f>IF(OR(D1761="",F1761=""),"",ROUND(F1761*H1761,2))</f>
        <v/>
      </c>
      <c r="J1761" s="29">
        <f>IF(I1761="","",F1761-I1761)</f>
        <v/>
      </c>
      <c r="K1761" s="29">
        <f>IF(J1761="","",J1761/MAX(1,N(E1761)))</f>
        <v/>
      </c>
      <c r="L1761" s="37">
        <f>IF(OR(D1761="",A1761=""),"",A1761+IF(AND(Config!$B$17="Sim",LEFT(D1761,17)="Cartão de crédito"),1,IFERROR(INDEX(Config!$C$12:$C$15,MATCH(IF(AND(D1761="Cartão de crédito",N(E1761)&gt;1),"Cartão de crédito parcelado",D1761),Config!$A$12:$A$15,0)),0)))</f>
        <v/>
      </c>
      <c r="M1761" s="37">
        <f>IF(L1761="","",IF(AND(Config!$B$17="Sim",LEFT(D1761,17)="Cartão de crédito"),L1761,L1761+30*(MAX(1,N(E1761))-1)))</f>
        <v/>
      </c>
      <c r="N1761" s="29">
        <f>IF(OR(L1761="",K1761=""),"",K1761*MIN(MAX(1,N(E1761)),MAX(0,INT((Config!$B$8-L1761)/30)+1)))</f>
        <v/>
      </c>
      <c r="O1761" s="29">
        <f>IF(J1761="","",J1761-N(N1761))</f>
        <v/>
      </c>
      <c r="P1761" s="27">
        <f>IF(A1761="","",MONTH(A1761))</f>
        <v/>
      </c>
      <c r="Q1761" s="27">
        <f>IF(A1761="","",YEAR(A1761))</f>
        <v/>
      </c>
      <c r="R1761" s="27">
        <f>IF(L1761="","",IF(L1761&gt;Config!$B$8,"A cair",IF(N(G1761)&gt;=MIN(MAX(1,N(E1761)),MAX(0,INT((Config!$B$8-L1761)/30)+1)),IF(N(G1761)&gt;=MAX(1,N(E1761)),"Conferido","Conferido até aqui"),"A conferir")))</f>
        <v/>
      </c>
      <c r="S1761" s="51">
        <f>IF(R1761="A conferir",(Config!$B$8-L1761)*1000+N(F1761)/1000+ROW()/100000,0)</f>
        <v>0</v>
      </c>
      <c r="T1761" s="51">
        <f>IF(R1761="A conferir",N(N1761),0)</f>
        <v>0</v>
      </c>
      <c r="U1761" s="51">
        <f>IF(L1761="",0,L1761)</f>
        <v>0</v>
      </c>
      <c r="V1761" s="51">
        <f>IF(L1761="",0,MAX(1,N(E1761)))</f>
        <v>0</v>
      </c>
      <c r="W1761" s="51">
        <f>IF(K1761="",0,K1761)</f>
        <v>0</v>
      </c>
    </row>
    <row r="1762">
      <c r="A1762" s="49" t="n"/>
      <c r="B1762" s="41" t="n"/>
      <c r="C1762" s="41" t="n"/>
      <c r="D1762" s="42" t="n"/>
      <c r="E1762" s="42" t="n"/>
      <c r="F1762" s="50" t="n"/>
      <c r="G1762" s="42" t="n"/>
      <c r="H1762" s="30">
        <f>IF(D1762="","",IFERROR(INDEX(Config!$B$12:$B$15,MATCH(IF(AND(D1762="Cartão de crédito",N(E1762)&gt;1),"Cartão de crédito parcelado",D1762),Config!$A$12:$A$15,0)),0)+IF(AND(Config!$B$17="Sim",LEFT(D1762,17)="Cartão de crédito"),Config!$B$18*IFERROR(INDEX(Config!$C$12:$C$15,MATCH(IF(AND(D1762="Cartão de crédito",N(E1762)&gt;1),"Cartão de crédito parcelado",D1762),Config!$A$12:$A$15,0)),0)/30*MAX(1,N(E1762)),0))</f>
        <v/>
      </c>
      <c r="I1762" s="29">
        <f>IF(OR(D1762="",F1762=""),"",ROUND(F1762*H1762,2))</f>
        <v/>
      </c>
      <c r="J1762" s="29">
        <f>IF(I1762="","",F1762-I1762)</f>
        <v/>
      </c>
      <c r="K1762" s="29">
        <f>IF(J1762="","",J1762/MAX(1,N(E1762)))</f>
        <v/>
      </c>
      <c r="L1762" s="37">
        <f>IF(OR(D1762="",A1762=""),"",A1762+IF(AND(Config!$B$17="Sim",LEFT(D1762,17)="Cartão de crédito"),1,IFERROR(INDEX(Config!$C$12:$C$15,MATCH(IF(AND(D1762="Cartão de crédito",N(E1762)&gt;1),"Cartão de crédito parcelado",D1762),Config!$A$12:$A$15,0)),0)))</f>
        <v/>
      </c>
      <c r="M1762" s="37">
        <f>IF(L1762="","",IF(AND(Config!$B$17="Sim",LEFT(D1762,17)="Cartão de crédito"),L1762,L1762+30*(MAX(1,N(E1762))-1)))</f>
        <v/>
      </c>
      <c r="N1762" s="29">
        <f>IF(OR(L1762="",K1762=""),"",K1762*MIN(MAX(1,N(E1762)),MAX(0,INT((Config!$B$8-L1762)/30)+1)))</f>
        <v/>
      </c>
      <c r="O1762" s="29">
        <f>IF(J1762="","",J1762-N(N1762))</f>
        <v/>
      </c>
      <c r="P1762" s="27">
        <f>IF(A1762="","",MONTH(A1762))</f>
        <v/>
      </c>
      <c r="Q1762" s="27">
        <f>IF(A1762="","",YEAR(A1762))</f>
        <v/>
      </c>
      <c r="R1762" s="27">
        <f>IF(L1762="","",IF(L1762&gt;Config!$B$8,"A cair",IF(N(G1762)&gt;=MIN(MAX(1,N(E1762)),MAX(0,INT((Config!$B$8-L1762)/30)+1)),IF(N(G1762)&gt;=MAX(1,N(E1762)),"Conferido","Conferido até aqui"),"A conferir")))</f>
        <v/>
      </c>
      <c r="S1762" s="51">
        <f>IF(R1762="A conferir",(Config!$B$8-L1762)*1000+N(F1762)/1000+ROW()/100000,0)</f>
        <v>0</v>
      </c>
      <c r="T1762" s="51">
        <f>IF(R1762="A conferir",N(N1762),0)</f>
        <v>0</v>
      </c>
      <c r="U1762" s="51">
        <f>IF(L1762="",0,L1762)</f>
        <v>0</v>
      </c>
      <c r="V1762" s="51">
        <f>IF(L1762="",0,MAX(1,N(E1762)))</f>
        <v>0</v>
      </c>
      <c r="W1762" s="51">
        <f>IF(K1762="",0,K1762)</f>
        <v>0</v>
      </c>
    </row>
    <row r="1763">
      <c r="A1763" s="49" t="n"/>
      <c r="B1763" s="41" t="n"/>
      <c r="C1763" s="41" t="n"/>
      <c r="D1763" s="42" t="n"/>
      <c r="E1763" s="42" t="n"/>
      <c r="F1763" s="50" t="n"/>
      <c r="G1763" s="42" t="n"/>
      <c r="H1763" s="30">
        <f>IF(D1763="","",IFERROR(INDEX(Config!$B$12:$B$15,MATCH(IF(AND(D1763="Cartão de crédito",N(E1763)&gt;1),"Cartão de crédito parcelado",D1763),Config!$A$12:$A$15,0)),0)+IF(AND(Config!$B$17="Sim",LEFT(D1763,17)="Cartão de crédito"),Config!$B$18*IFERROR(INDEX(Config!$C$12:$C$15,MATCH(IF(AND(D1763="Cartão de crédito",N(E1763)&gt;1),"Cartão de crédito parcelado",D1763),Config!$A$12:$A$15,0)),0)/30*MAX(1,N(E1763)),0))</f>
        <v/>
      </c>
      <c r="I1763" s="29">
        <f>IF(OR(D1763="",F1763=""),"",ROUND(F1763*H1763,2))</f>
        <v/>
      </c>
      <c r="J1763" s="29">
        <f>IF(I1763="","",F1763-I1763)</f>
        <v/>
      </c>
      <c r="K1763" s="29">
        <f>IF(J1763="","",J1763/MAX(1,N(E1763)))</f>
        <v/>
      </c>
      <c r="L1763" s="37">
        <f>IF(OR(D1763="",A1763=""),"",A1763+IF(AND(Config!$B$17="Sim",LEFT(D1763,17)="Cartão de crédito"),1,IFERROR(INDEX(Config!$C$12:$C$15,MATCH(IF(AND(D1763="Cartão de crédito",N(E1763)&gt;1),"Cartão de crédito parcelado",D1763),Config!$A$12:$A$15,0)),0)))</f>
        <v/>
      </c>
      <c r="M1763" s="37">
        <f>IF(L1763="","",IF(AND(Config!$B$17="Sim",LEFT(D1763,17)="Cartão de crédito"),L1763,L1763+30*(MAX(1,N(E1763))-1)))</f>
        <v/>
      </c>
      <c r="N1763" s="29">
        <f>IF(OR(L1763="",K1763=""),"",K1763*MIN(MAX(1,N(E1763)),MAX(0,INT((Config!$B$8-L1763)/30)+1)))</f>
        <v/>
      </c>
      <c r="O1763" s="29">
        <f>IF(J1763="","",J1763-N(N1763))</f>
        <v/>
      </c>
      <c r="P1763" s="27">
        <f>IF(A1763="","",MONTH(A1763))</f>
        <v/>
      </c>
      <c r="Q1763" s="27">
        <f>IF(A1763="","",YEAR(A1763))</f>
        <v/>
      </c>
      <c r="R1763" s="27">
        <f>IF(L1763="","",IF(L1763&gt;Config!$B$8,"A cair",IF(N(G1763)&gt;=MIN(MAX(1,N(E1763)),MAX(0,INT((Config!$B$8-L1763)/30)+1)),IF(N(G1763)&gt;=MAX(1,N(E1763)),"Conferido","Conferido até aqui"),"A conferir")))</f>
        <v/>
      </c>
      <c r="S1763" s="51">
        <f>IF(R1763="A conferir",(Config!$B$8-L1763)*1000+N(F1763)/1000+ROW()/100000,0)</f>
        <v>0</v>
      </c>
      <c r="T1763" s="51">
        <f>IF(R1763="A conferir",N(N1763),0)</f>
        <v>0</v>
      </c>
      <c r="U1763" s="51">
        <f>IF(L1763="",0,L1763)</f>
        <v>0</v>
      </c>
      <c r="V1763" s="51">
        <f>IF(L1763="",0,MAX(1,N(E1763)))</f>
        <v>0</v>
      </c>
      <c r="W1763" s="51">
        <f>IF(K1763="",0,K1763)</f>
        <v>0</v>
      </c>
    </row>
    <row r="1764">
      <c r="A1764" s="49" t="n"/>
      <c r="B1764" s="41" t="n"/>
      <c r="C1764" s="41" t="n"/>
      <c r="D1764" s="42" t="n"/>
      <c r="E1764" s="42" t="n"/>
      <c r="F1764" s="50" t="n"/>
      <c r="G1764" s="42" t="n"/>
      <c r="H1764" s="30">
        <f>IF(D1764="","",IFERROR(INDEX(Config!$B$12:$B$15,MATCH(IF(AND(D1764="Cartão de crédito",N(E1764)&gt;1),"Cartão de crédito parcelado",D1764),Config!$A$12:$A$15,0)),0)+IF(AND(Config!$B$17="Sim",LEFT(D1764,17)="Cartão de crédito"),Config!$B$18*IFERROR(INDEX(Config!$C$12:$C$15,MATCH(IF(AND(D1764="Cartão de crédito",N(E1764)&gt;1),"Cartão de crédito parcelado",D1764),Config!$A$12:$A$15,0)),0)/30*MAX(1,N(E1764)),0))</f>
        <v/>
      </c>
      <c r="I1764" s="29">
        <f>IF(OR(D1764="",F1764=""),"",ROUND(F1764*H1764,2))</f>
        <v/>
      </c>
      <c r="J1764" s="29">
        <f>IF(I1764="","",F1764-I1764)</f>
        <v/>
      </c>
      <c r="K1764" s="29">
        <f>IF(J1764="","",J1764/MAX(1,N(E1764)))</f>
        <v/>
      </c>
      <c r="L1764" s="37">
        <f>IF(OR(D1764="",A1764=""),"",A1764+IF(AND(Config!$B$17="Sim",LEFT(D1764,17)="Cartão de crédito"),1,IFERROR(INDEX(Config!$C$12:$C$15,MATCH(IF(AND(D1764="Cartão de crédito",N(E1764)&gt;1),"Cartão de crédito parcelado",D1764),Config!$A$12:$A$15,0)),0)))</f>
        <v/>
      </c>
      <c r="M1764" s="37">
        <f>IF(L1764="","",IF(AND(Config!$B$17="Sim",LEFT(D1764,17)="Cartão de crédito"),L1764,L1764+30*(MAX(1,N(E1764))-1)))</f>
        <v/>
      </c>
      <c r="N1764" s="29">
        <f>IF(OR(L1764="",K1764=""),"",K1764*MIN(MAX(1,N(E1764)),MAX(0,INT((Config!$B$8-L1764)/30)+1)))</f>
        <v/>
      </c>
      <c r="O1764" s="29">
        <f>IF(J1764="","",J1764-N(N1764))</f>
        <v/>
      </c>
      <c r="P1764" s="27">
        <f>IF(A1764="","",MONTH(A1764))</f>
        <v/>
      </c>
      <c r="Q1764" s="27">
        <f>IF(A1764="","",YEAR(A1764))</f>
        <v/>
      </c>
      <c r="R1764" s="27">
        <f>IF(L1764="","",IF(L1764&gt;Config!$B$8,"A cair",IF(N(G1764)&gt;=MIN(MAX(1,N(E1764)),MAX(0,INT((Config!$B$8-L1764)/30)+1)),IF(N(G1764)&gt;=MAX(1,N(E1764)),"Conferido","Conferido até aqui"),"A conferir")))</f>
        <v/>
      </c>
      <c r="S1764" s="51">
        <f>IF(R1764="A conferir",(Config!$B$8-L1764)*1000+N(F1764)/1000+ROW()/100000,0)</f>
        <v>0</v>
      </c>
      <c r="T1764" s="51">
        <f>IF(R1764="A conferir",N(N1764),0)</f>
        <v>0</v>
      </c>
      <c r="U1764" s="51">
        <f>IF(L1764="",0,L1764)</f>
        <v>0</v>
      </c>
      <c r="V1764" s="51">
        <f>IF(L1764="",0,MAX(1,N(E1764)))</f>
        <v>0</v>
      </c>
      <c r="W1764" s="51">
        <f>IF(K1764="",0,K1764)</f>
        <v>0</v>
      </c>
    </row>
    <row r="1765">
      <c r="A1765" s="49" t="n"/>
      <c r="B1765" s="41" t="n"/>
      <c r="C1765" s="41" t="n"/>
      <c r="D1765" s="42" t="n"/>
      <c r="E1765" s="42" t="n"/>
      <c r="F1765" s="50" t="n"/>
      <c r="G1765" s="42" t="n"/>
      <c r="H1765" s="30">
        <f>IF(D1765="","",IFERROR(INDEX(Config!$B$12:$B$15,MATCH(IF(AND(D1765="Cartão de crédito",N(E1765)&gt;1),"Cartão de crédito parcelado",D1765),Config!$A$12:$A$15,0)),0)+IF(AND(Config!$B$17="Sim",LEFT(D1765,17)="Cartão de crédito"),Config!$B$18*IFERROR(INDEX(Config!$C$12:$C$15,MATCH(IF(AND(D1765="Cartão de crédito",N(E1765)&gt;1),"Cartão de crédito parcelado",D1765),Config!$A$12:$A$15,0)),0)/30*MAX(1,N(E1765)),0))</f>
        <v/>
      </c>
      <c r="I1765" s="29">
        <f>IF(OR(D1765="",F1765=""),"",ROUND(F1765*H1765,2))</f>
        <v/>
      </c>
      <c r="J1765" s="29">
        <f>IF(I1765="","",F1765-I1765)</f>
        <v/>
      </c>
      <c r="K1765" s="29">
        <f>IF(J1765="","",J1765/MAX(1,N(E1765)))</f>
        <v/>
      </c>
      <c r="L1765" s="37">
        <f>IF(OR(D1765="",A1765=""),"",A1765+IF(AND(Config!$B$17="Sim",LEFT(D1765,17)="Cartão de crédito"),1,IFERROR(INDEX(Config!$C$12:$C$15,MATCH(IF(AND(D1765="Cartão de crédito",N(E1765)&gt;1),"Cartão de crédito parcelado",D1765),Config!$A$12:$A$15,0)),0)))</f>
        <v/>
      </c>
      <c r="M1765" s="37">
        <f>IF(L1765="","",IF(AND(Config!$B$17="Sim",LEFT(D1765,17)="Cartão de crédito"),L1765,L1765+30*(MAX(1,N(E1765))-1)))</f>
        <v/>
      </c>
      <c r="N1765" s="29">
        <f>IF(OR(L1765="",K1765=""),"",K1765*MIN(MAX(1,N(E1765)),MAX(0,INT((Config!$B$8-L1765)/30)+1)))</f>
        <v/>
      </c>
      <c r="O1765" s="29">
        <f>IF(J1765="","",J1765-N(N1765))</f>
        <v/>
      </c>
      <c r="P1765" s="27">
        <f>IF(A1765="","",MONTH(A1765))</f>
        <v/>
      </c>
      <c r="Q1765" s="27">
        <f>IF(A1765="","",YEAR(A1765))</f>
        <v/>
      </c>
      <c r="R1765" s="27">
        <f>IF(L1765="","",IF(L1765&gt;Config!$B$8,"A cair",IF(N(G1765)&gt;=MIN(MAX(1,N(E1765)),MAX(0,INT((Config!$B$8-L1765)/30)+1)),IF(N(G1765)&gt;=MAX(1,N(E1765)),"Conferido","Conferido até aqui"),"A conferir")))</f>
        <v/>
      </c>
      <c r="S1765" s="51">
        <f>IF(R1765="A conferir",(Config!$B$8-L1765)*1000+N(F1765)/1000+ROW()/100000,0)</f>
        <v>0</v>
      </c>
      <c r="T1765" s="51">
        <f>IF(R1765="A conferir",N(N1765),0)</f>
        <v>0</v>
      </c>
      <c r="U1765" s="51">
        <f>IF(L1765="",0,L1765)</f>
        <v>0</v>
      </c>
      <c r="V1765" s="51">
        <f>IF(L1765="",0,MAX(1,N(E1765)))</f>
        <v>0</v>
      </c>
      <c r="W1765" s="51">
        <f>IF(K1765="",0,K1765)</f>
        <v>0</v>
      </c>
    </row>
    <row r="1766">
      <c r="A1766" s="49" t="n"/>
      <c r="B1766" s="41" t="n"/>
      <c r="C1766" s="41" t="n"/>
      <c r="D1766" s="42" t="n"/>
      <c r="E1766" s="42" t="n"/>
      <c r="F1766" s="50" t="n"/>
      <c r="G1766" s="42" t="n"/>
      <c r="H1766" s="30">
        <f>IF(D1766="","",IFERROR(INDEX(Config!$B$12:$B$15,MATCH(IF(AND(D1766="Cartão de crédito",N(E1766)&gt;1),"Cartão de crédito parcelado",D1766),Config!$A$12:$A$15,0)),0)+IF(AND(Config!$B$17="Sim",LEFT(D1766,17)="Cartão de crédito"),Config!$B$18*IFERROR(INDEX(Config!$C$12:$C$15,MATCH(IF(AND(D1766="Cartão de crédito",N(E1766)&gt;1),"Cartão de crédito parcelado",D1766),Config!$A$12:$A$15,0)),0)/30*MAX(1,N(E1766)),0))</f>
        <v/>
      </c>
      <c r="I1766" s="29">
        <f>IF(OR(D1766="",F1766=""),"",ROUND(F1766*H1766,2))</f>
        <v/>
      </c>
      <c r="J1766" s="29">
        <f>IF(I1766="","",F1766-I1766)</f>
        <v/>
      </c>
      <c r="K1766" s="29">
        <f>IF(J1766="","",J1766/MAX(1,N(E1766)))</f>
        <v/>
      </c>
      <c r="L1766" s="37">
        <f>IF(OR(D1766="",A1766=""),"",A1766+IF(AND(Config!$B$17="Sim",LEFT(D1766,17)="Cartão de crédito"),1,IFERROR(INDEX(Config!$C$12:$C$15,MATCH(IF(AND(D1766="Cartão de crédito",N(E1766)&gt;1),"Cartão de crédito parcelado",D1766),Config!$A$12:$A$15,0)),0)))</f>
        <v/>
      </c>
      <c r="M1766" s="37">
        <f>IF(L1766="","",IF(AND(Config!$B$17="Sim",LEFT(D1766,17)="Cartão de crédito"),L1766,L1766+30*(MAX(1,N(E1766))-1)))</f>
        <v/>
      </c>
      <c r="N1766" s="29">
        <f>IF(OR(L1766="",K1766=""),"",K1766*MIN(MAX(1,N(E1766)),MAX(0,INT((Config!$B$8-L1766)/30)+1)))</f>
        <v/>
      </c>
      <c r="O1766" s="29">
        <f>IF(J1766="","",J1766-N(N1766))</f>
        <v/>
      </c>
      <c r="P1766" s="27">
        <f>IF(A1766="","",MONTH(A1766))</f>
        <v/>
      </c>
      <c r="Q1766" s="27">
        <f>IF(A1766="","",YEAR(A1766))</f>
        <v/>
      </c>
      <c r="R1766" s="27">
        <f>IF(L1766="","",IF(L1766&gt;Config!$B$8,"A cair",IF(N(G1766)&gt;=MIN(MAX(1,N(E1766)),MAX(0,INT((Config!$B$8-L1766)/30)+1)),IF(N(G1766)&gt;=MAX(1,N(E1766)),"Conferido","Conferido até aqui"),"A conferir")))</f>
        <v/>
      </c>
      <c r="S1766" s="51">
        <f>IF(R1766="A conferir",(Config!$B$8-L1766)*1000+N(F1766)/1000+ROW()/100000,0)</f>
        <v>0</v>
      </c>
      <c r="T1766" s="51">
        <f>IF(R1766="A conferir",N(N1766),0)</f>
        <v>0</v>
      </c>
      <c r="U1766" s="51">
        <f>IF(L1766="",0,L1766)</f>
        <v>0</v>
      </c>
      <c r="V1766" s="51">
        <f>IF(L1766="",0,MAX(1,N(E1766)))</f>
        <v>0</v>
      </c>
      <c r="W1766" s="51">
        <f>IF(K1766="",0,K1766)</f>
        <v>0</v>
      </c>
    </row>
    <row r="1767">
      <c r="A1767" s="49" t="n"/>
      <c r="B1767" s="41" t="n"/>
      <c r="C1767" s="41" t="n"/>
      <c r="D1767" s="42" t="n"/>
      <c r="E1767" s="42" t="n"/>
      <c r="F1767" s="50" t="n"/>
      <c r="G1767" s="42" t="n"/>
      <c r="H1767" s="30">
        <f>IF(D1767="","",IFERROR(INDEX(Config!$B$12:$B$15,MATCH(IF(AND(D1767="Cartão de crédito",N(E1767)&gt;1),"Cartão de crédito parcelado",D1767),Config!$A$12:$A$15,0)),0)+IF(AND(Config!$B$17="Sim",LEFT(D1767,17)="Cartão de crédito"),Config!$B$18*IFERROR(INDEX(Config!$C$12:$C$15,MATCH(IF(AND(D1767="Cartão de crédito",N(E1767)&gt;1),"Cartão de crédito parcelado",D1767),Config!$A$12:$A$15,0)),0)/30*MAX(1,N(E1767)),0))</f>
        <v/>
      </c>
      <c r="I1767" s="29">
        <f>IF(OR(D1767="",F1767=""),"",ROUND(F1767*H1767,2))</f>
        <v/>
      </c>
      <c r="J1767" s="29">
        <f>IF(I1767="","",F1767-I1767)</f>
        <v/>
      </c>
      <c r="K1767" s="29">
        <f>IF(J1767="","",J1767/MAX(1,N(E1767)))</f>
        <v/>
      </c>
      <c r="L1767" s="37">
        <f>IF(OR(D1767="",A1767=""),"",A1767+IF(AND(Config!$B$17="Sim",LEFT(D1767,17)="Cartão de crédito"),1,IFERROR(INDEX(Config!$C$12:$C$15,MATCH(IF(AND(D1767="Cartão de crédito",N(E1767)&gt;1),"Cartão de crédito parcelado",D1767),Config!$A$12:$A$15,0)),0)))</f>
        <v/>
      </c>
      <c r="M1767" s="37">
        <f>IF(L1767="","",IF(AND(Config!$B$17="Sim",LEFT(D1767,17)="Cartão de crédito"),L1767,L1767+30*(MAX(1,N(E1767))-1)))</f>
        <v/>
      </c>
      <c r="N1767" s="29">
        <f>IF(OR(L1767="",K1767=""),"",K1767*MIN(MAX(1,N(E1767)),MAX(0,INT((Config!$B$8-L1767)/30)+1)))</f>
        <v/>
      </c>
      <c r="O1767" s="29">
        <f>IF(J1767="","",J1767-N(N1767))</f>
        <v/>
      </c>
      <c r="P1767" s="27">
        <f>IF(A1767="","",MONTH(A1767))</f>
        <v/>
      </c>
      <c r="Q1767" s="27">
        <f>IF(A1767="","",YEAR(A1767))</f>
        <v/>
      </c>
      <c r="R1767" s="27">
        <f>IF(L1767="","",IF(L1767&gt;Config!$B$8,"A cair",IF(N(G1767)&gt;=MIN(MAX(1,N(E1767)),MAX(0,INT((Config!$B$8-L1767)/30)+1)),IF(N(G1767)&gt;=MAX(1,N(E1767)),"Conferido","Conferido até aqui"),"A conferir")))</f>
        <v/>
      </c>
      <c r="S1767" s="51">
        <f>IF(R1767="A conferir",(Config!$B$8-L1767)*1000+N(F1767)/1000+ROW()/100000,0)</f>
        <v>0</v>
      </c>
      <c r="T1767" s="51">
        <f>IF(R1767="A conferir",N(N1767),0)</f>
        <v>0</v>
      </c>
      <c r="U1767" s="51">
        <f>IF(L1767="",0,L1767)</f>
        <v>0</v>
      </c>
      <c r="V1767" s="51">
        <f>IF(L1767="",0,MAX(1,N(E1767)))</f>
        <v>0</v>
      </c>
      <c r="W1767" s="51">
        <f>IF(K1767="",0,K1767)</f>
        <v>0</v>
      </c>
    </row>
    <row r="1768">
      <c r="A1768" s="49" t="n"/>
      <c r="B1768" s="41" t="n"/>
      <c r="C1768" s="41" t="n"/>
      <c r="D1768" s="42" t="n"/>
      <c r="E1768" s="42" t="n"/>
      <c r="F1768" s="50" t="n"/>
      <c r="G1768" s="42" t="n"/>
      <c r="H1768" s="30">
        <f>IF(D1768="","",IFERROR(INDEX(Config!$B$12:$B$15,MATCH(IF(AND(D1768="Cartão de crédito",N(E1768)&gt;1),"Cartão de crédito parcelado",D1768),Config!$A$12:$A$15,0)),0)+IF(AND(Config!$B$17="Sim",LEFT(D1768,17)="Cartão de crédito"),Config!$B$18*IFERROR(INDEX(Config!$C$12:$C$15,MATCH(IF(AND(D1768="Cartão de crédito",N(E1768)&gt;1),"Cartão de crédito parcelado",D1768),Config!$A$12:$A$15,0)),0)/30*MAX(1,N(E1768)),0))</f>
        <v/>
      </c>
      <c r="I1768" s="29">
        <f>IF(OR(D1768="",F1768=""),"",ROUND(F1768*H1768,2))</f>
        <v/>
      </c>
      <c r="J1768" s="29">
        <f>IF(I1768="","",F1768-I1768)</f>
        <v/>
      </c>
      <c r="K1768" s="29">
        <f>IF(J1768="","",J1768/MAX(1,N(E1768)))</f>
        <v/>
      </c>
      <c r="L1768" s="37">
        <f>IF(OR(D1768="",A1768=""),"",A1768+IF(AND(Config!$B$17="Sim",LEFT(D1768,17)="Cartão de crédito"),1,IFERROR(INDEX(Config!$C$12:$C$15,MATCH(IF(AND(D1768="Cartão de crédito",N(E1768)&gt;1),"Cartão de crédito parcelado",D1768),Config!$A$12:$A$15,0)),0)))</f>
        <v/>
      </c>
      <c r="M1768" s="37">
        <f>IF(L1768="","",IF(AND(Config!$B$17="Sim",LEFT(D1768,17)="Cartão de crédito"),L1768,L1768+30*(MAX(1,N(E1768))-1)))</f>
        <v/>
      </c>
      <c r="N1768" s="29">
        <f>IF(OR(L1768="",K1768=""),"",K1768*MIN(MAX(1,N(E1768)),MAX(0,INT((Config!$B$8-L1768)/30)+1)))</f>
        <v/>
      </c>
      <c r="O1768" s="29">
        <f>IF(J1768="","",J1768-N(N1768))</f>
        <v/>
      </c>
      <c r="P1768" s="27">
        <f>IF(A1768="","",MONTH(A1768))</f>
        <v/>
      </c>
      <c r="Q1768" s="27">
        <f>IF(A1768="","",YEAR(A1768))</f>
        <v/>
      </c>
      <c r="R1768" s="27">
        <f>IF(L1768="","",IF(L1768&gt;Config!$B$8,"A cair",IF(N(G1768)&gt;=MIN(MAX(1,N(E1768)),MAX(0,INT((Config!$B$8-L1768)/30)+1)),IF(N(G1768)&gt;=MAX(1,N(E1768)),"Conferido","Conferido até aqui"),"A conferir")))</f>
        <v/>
      </c>
      <c r="S1768" s="51">
        <f>IF(R1768="A conferir",(Config!$B$8-L1768)*1000+N(F1768)/1000+ROW()/100000,0)</f>
        <v>0</v>
      </c>
      <c r="T1768" s="51">
        <f>IF(R1768="A conferir",N(N1768),0)</f>
        <v>0</v>
      </c>
      <c r="U1768" s="51">
        <f>IF(L1768="",0,L1768)</f>
        <v>0</v>
      </c>
      <c r="V1768" s="51">
        <f>IF(L1768="",0,MAX(1,N(E1768)))</f>
        <v>0</v>
      </c>
      <c r="W1768" s="51">
        <f>IF(K1768="",0,K1768)</f>
        <v>0</v>
      </c>
    </row>
    <row r="1769">
      <c r="A1769" s="49" t="n"/>
      <c r="B1769" s="41" t="n"/>
      <c r="C1769" s="41" t="n"/>
      <c r="D1769" s="42" t="n"/>
      <c r="E1769" s="42" t="n"/>
      <c r="F1769" s="50" t="n"/>
      <c r="G1769" s="42" t="n"/>
      <c r="H1769" s="30">
        <f>IF(D1769="","",IFERROR(INDEX(Config!$B$12:$B$15,MATCH(IF(AND(D1769="Cartão de crédito",N(E1769)&gt;1),"Cartão de crédito parcelado",D1769),Config!$A$12:$A$15,0)),0)+IF(AND(Config!$B$17="Sim",LEFT(D1769,17)="Cartão de crédito"),Config!$B$18*IFERROR(INDEX(Config!$C$12:$C$15,MATCH(IF(AND(D1769="Cartão de crédito",N(E1769)&gt;1),"Cartão de crédito parcelado",D1769),Config!$A$12:$A$15,0)),0)/30*MAX(1,N(E1769)),0))</f>
        <v/>
      </c>
      <c r="I1769" s="29">
        <f>IF(OR(D1769="",F1769=""),"",ROUND(F1769*H1769,2))</f>
        <v/>
      </c>
      <c r="J1769" s="29">
        <f>IF(I1769="","",F1769-I1769)</f>
        <v/>
      </c>
      <c r="K1769" s="29">
        <f>IF(J1769="","",J1769/MAX(1,N(E1769)))</f>
        <v/>
      </c>
      <c r="L1769" s="37">
        <f>IF(OR(D1769="",A1769=""),"",A1769+IF(AND(Config!$B$17="Sim",LEFT(D1769,17)="Cartão de crédito"),1,IFERROR(INDEX(Config!$C$12:$C$15,MATCH(IF(AND(D1769="Cartão de crédito",N(E1769)&gt;1),"Cartão de crédito parcelado",D1769),Config!$A$12:$A$15,0)),0)))</f>
        <v/>
      </c>
      <c r="M1769" s="37">
        <f>IF(L1769="","",IF(AND(Config!$B$17="Sim",LEFT(D1769,17)="Cartão de crédito"),L1769,L1769+30*(MAX(1,N(E1769))-1)))</f>
        <v/>
      </c>
      <c r="N1769" s="29">
        <f>IF(OR(L1769="",K1769=""),"",K1769*MIN(MAX(1,N(E1769)),MAX(0,INT((Config!$B$8-L1769)/30)+1)))</f>
        <v/>
      </c>
      <c r="O1769" s="29">
        <f>IF(J1769="","",J1769-N(N1769))</f>
        <v/>
      </c>
      <c r="P1769" s="27">
        <f>IF(A1769="","",MONTH(A1769))</f>
        <v/>
      </c>
      <c r="Q1769" s="27">
        <f>IF(A1769="","",YEAR(A1769))</f>
        <v/>
      </c>
      <c r="R1769" s="27">
        <f>IF(L1769="","",IF(L1769&gt;Config!$B$8,"A cair",IF(N(G1769)&gt;=MIN(MAX(1,N(E1769)),MAX(0,INT((Config!$B$8-L1769)/30)+1)),IF(N(G1769)&gt;=MAX(1,N(E1769)),"Conferido","Conferido até aqui"),"A conferir")))</f>
        <v/>
      </c>
      <c r="S1769" s="51">
        <f>IF(R1769="A conferir",(Config!$B$8-L1769)*1000+N(F1769)/1000+ROW()/100000,0)</f>
        <v>0</v>
      </c>
      <c r="T1769" s="51">
        <f>IF(R1769="A conferir",N(N1769),0)</f>
        <v>0</v>
      </c>
      <c r="U1769" s="51">
        <f>IF(L1769="",0,L1769)</f>
        <v>0</v>
      </c>
      <c r="V1769" s="51">
        <f>IF(L1769="",0,MAX(1,N(E1769)))</f>
        <v>0</v>
      </c>
      <c r="W1769" s="51">
        <f>IF(K1769="",0,K1769)</f>
        <v>0</v>
      </c>
    </row>
    <row r="1770">
      <c r="A1770" s="49" t="n"/>
      <c r="B1770" s="41" t="n"/>
      <c r="C1770" s="41" t="n"/>
      <c r="D1770" s="42" t="n"/>
      <c r="E1770" s="42" t="n"/>
      <c r="F1770" s="50" t="n"/>
      <c r="G1770" s="42" t="n"/>
      <c r="H1770" s="30">
        <f>IF(D1770="","",IFERROR(INDEX(Config!$B$12:$B$15,MATCH(IF(AND(D1770="Cartão de crédito",N(E1770)&gt;1),"Cartão de crédito parcelado",D1770),Config!$A$12:$A$15,0)),0)+IF(AND(Config!$B$17="Sim",LEFT(D1770,17)="Cartão de crédito"),Config!$B$18*IFERROR(INDEX(Config!$C$12:$C$15,MATCH(IF(AND(D1770="Cartão de crédito",N(E1770)&gt;1),"Cartão de crédito parcelado",D1770),Config!$A$12:$A$15,0)),0)/30*MAX(1,N(E1770)),0))</f>
        <v/>
      </c>
      <c r="I1770" s="29">
        <f>IF(OR(D1770="",F1770=""),"",ROUND(F1770*H1770,2))</f>
        <v/>
      </c>
      <c r="J1770" s="29">
        <f>IF(I1770="","",F1770-I1770)</f>
        <v/>
      </c>
      <c r="K1770" s="29">
        <f>IF(J1770="","",J1770/MAX(1,N(E1770)))</f>
        <v/>
      </c>
      <c r="L1770" s="37">
        <f>IF(OR(D1770="",A1770=""),"",A1770+IF(AND(Config!$B$17="Sim",LEFT(D1770,17)="Cartão de crédito"),1,IFERROR(INDEX(Config!$C$12:$C$15,MATCH(IF(AND(D1770="Cartão de crédito",N(E1770)&gt;1),"Cartão de crédito parcelado",D1770),Config!$A$12:$A$15,0)),0)))</f>
        <v/>
      </c>
      <c r="M1770" s="37">
        <f>IF(L1770="","",IF(AND(Config!$B$17="Sim",LEFT(D1770,17)="Cartão de crédito"),L1770,L1770+30*(MAX(1,N(E1770))-1)))</f>
        <v/>
      </c>
      <c r="N1770" s="29">
        <f>IF(OR(L1770="",K1770=""),"",K1770*MIN(MAX(1,N(E1770)),MAX(0,INT((Config!$B$8-L1770)/30)+1)))</f>
        <v/>
      </c>
      <c r="O1770" s="29">
        <f>IF(J1770="","",J1770-N(N1770))</f>
        <v/>
      </c>
      <c r="P1770" s="27">
        <f>IF(A1770="","",MONTH(A1770))</f>
        <v/>
      </c>
      <c r="Q1770" s="27">
        <f>IF(A1770="","",YEAR(A1770))</f>
        <v/>
      </c>
      <c r="R1770" s="27">
        <f>IF(L1770="","",IF(L1770&gt;Config!$B$8,"A cair",IF(N(G1770)&gt;=MIN(MAX(1,N(E1770)),MAX(0,INT((Config!$B$8-L1770)/30)+1)),IF(N(G1770)&gt;=MAX(1,N(E1770)),"Conferido","Conferido até aqui"),"A conferir")))</f>
        <v/>
      </c>
      <c r="S1770" s="51">
        <f>IF(R1770="A conferir",(Config!$B$8-L1770)*1000+N(F1770)/1000+ROW()/100000,0)</f>
        <v>0</v>
      </c>
      <c r="T1770" s="51">
        <f>IF(R1770="A conferir",N(N1770),0)</f>
        <v>0</v>
      </c>
      <c r="U1770" s="51">
        <f>IF(L1770="",0,L1770)</f>
        <v>0</v>
      </c>
      <c r="V1770" s="51">
        <f>IF(L1770="",0,MAX(1,N(E1770)))</f>
        <v>0</v>
      </c>
      <c r="W1770" s="51">
        <f>IF(K1770="",0,K1770)</f>
        <v>0</v>
      </c>
    </row>
    <row r="1771">
      <c r="A1771" s="49" t="n"/>
      <c r="B1771" s="41" t="n"/>
      <c r="C1771" s="41" t="n"/>
      <c r="D1771" s="42" t="n"/>
      <c r="E1771" s="42" t="n"/>
      <c r="F1771" s="50" t="n"/>
      <c r="G1771" s="42" t="n"/>
      <c r="H1771" s="30">
        <f>IF(D1771="","",IFERROR(INDEX(Config!$B$12:$B$15,MATCH(IF(AND(D1771="Cartão de crédito",N(E1771)&gt;1),"Cartão de crédito parcelado",D1771),Config!$A$12:$A$15,0)),0)+IF(AND(Config!$B$17="Sim",LEFT(D1771,17)="Cartão de crédito"),Config!$B$18*IFERROR(INDEX(Config!$C$12:$C$15,MATCH(IF(AND(D1771="Cartão de crédito",N(E1771)&gt;1),"Cartão de crédito parcelado",D1771),Config!$A$12:$A$15,0)),0)/30*MAX(1,N(E1771)),0))</f>
        <v/>
      </c>
      <c r="I1771" s="29">
        <f>IF(OR(D1771="",F1771=""),"",ROUND(F1771*H1771,2))</f>
        <v/>
      </c>
      <c r="J1771" s="29">
        <f>IF(I1771="","",F1771-I1771)</f>
        <v/>
      </c>
      <c r="K1771" s="29">
        <f>IF(J1771="","",J1771/MAX(1,N(E1771)))</f>
        <v/>
      </c>
      <c r="L1771" s="37">
        <f>IF(OR(D1771="",A1771=""),"",A1771+IF(AND(Config!$B$17="Sim",LEFT(D1771,17)="Cartão de crédito"),1,IFERROR(INDEX(Config!$C$12:$C$15,MATCH(IF(AND(D1771="Cartão de crédito",N(E1771)&gt;1),"Cartão de crédito parcelado",D1771),Config!$A$12:$A$15,0)),0)))</f>
        <v/>
      </c>
      <c r="M1771" s="37">
        <f>IF(L1771="","",IF(AND(Config!$B$17="Sim",LEFT(D1771,17)="Cartão de crédito"),L1771,L1771+30*(MAX(1,N(E1771))-1)))</f>
        <v/>
      </c>
      <c r="N1771" s="29">
        <f>IF(OR(L1771="",K1771=""),"",K1771*MIN(MAX(1,N(E1771)),MAX(0,INT((Config!$B$8-L1771)/30)+1)))</f>
        <v/>
      </c>
      <c r="O1771" s="29">
        <f>IF(J1771="","",J1771-N(N1771))</f>
        <v/>
      </c>
      <c r="P1771" s="27">
        <f>IF(A1771="","",MONTH(A1771))</f>
        <v/>
      </c>
      <c r="Q1771" s="27">
        <f>IF(A1771="","",YEAR(A1771))</f>
        <v/>
      </c>
      <c r="R1771" s="27">
        <f>IF(L1771="","",IF(L1771&gt;Config!$B$8,"A cair",IF(N(G1771)&gt;=MIN(MAX(1,N(E1771)),MAX(0,INT((Config!$B$8-L1771)/30)+1)),IF(N(G1771)&gt;=MAX(1,N(E1771)),"Conferido","Conferido até aqui"),"A conferir")))</f>
        <v/>
      </c>
      <c r="S1771" s="51">
        <f>IF(R1771="A conferir",(Config!$B$8-L1771)*1000+N(F1771)/1000+ROW()/100000,0)</f>
        <v>0</v>
      </c>
      <c r="T1771" s="51">
        <f>IF(R1771="A conferir",N(N1771),0)</f>
        <v>0</v>
      </c>
      <c r="U1771" s="51">
        <f>IF(L1771="",0,L1771)</f>
        <v>0</v>
      </c>
      <c r="V1771" s="51">
        <f>IF(L1771="",0,MAX(1,N(E1771)))</f>
        <v>0</v>
      </c>
      <c r="W1771" s="51">
        <f>IF(K1771="",0,K1771)</f>
        <v>0</v>
      </c>
    </row>
    <row r="1772">
      <c r="A1772" s="49" t="n"/>
      <c r="B1772" s="41" t="n"/>
      <c r="C1772" s="41" t="n"/>
      <c r="D1772" s="42" t="n"/>
      <c r="E1772" s="42" t="n"/>
      <c r="F1772" s="50" t="n"/>
      <c r="G1772" s="42" t="n"/>
      <c r="H1772" s="30">
        <f>IF(D1772="","",IFERROR(INDEX(Config!$B$12:$B$15,MATCH(IF(AND(D1772="Cartão de crédito",N(E1772)&gt;1),"Cartão de crédito parcelado",D1772),Config!$A$12:$A$15,0)),0)+IF(AND(Config!$B$17="Sim",LEFT(D1772,17)="Cartão de crédito"),Config!$B$18*IFERROR(INDEX(Config!$C$12:$C$15,MATCH(IF(AND(D1772="Cartão de crédito",N(E1772)&gt;1),"Cartão de crédito parcelado",D1772),Config!$A$12:$A$15,0)),0)/30*MAX(1,N(E1772)),0))</f>
        <v/>
      </c>
      <c r="I1772" s="29">
        <f>IF(OR(D1772="",F1772=""),"",ROUND(F1772*H1772,2))</f>
        <v/>
      </c>
      <c r="J1772" s="29">
        <f>IF(I1772="","",F1772-I1772)</f>
        <v/>
      </c>
      <c r="K1772" s="29">
        <f>IF(J1772="","",J1772/MAX(1,N(E1772)))</f>
        <v/>
      </c>
      <c r="L1772" s="37">
        <f>IF(OR(D1772="",A1772=""),"",A1772+IF(AND(Config!$B$17="Sim",LEFT(D1772,17)="Cartão de crédito"),1,IFERROR(INDEX(Config!$C$12:$C$15,MATCH(IF(AND(D1772="Cartão de crédito",N(E1772)&gt;1),"Cartão de crédito parcelado",D1772),Config!$A$12:$A$15,0)),0)))</f>
        <v/>
      </c>
      <c r="M1772" s="37">
        <f>IF(L1772="","",IF(AND(Config!$B$17="Sim",LEFT(D1772,17)="Cartão de crédito"),L1772,L1772+30*(MAX(1,N(E1772))-1)))</f>
        <v/>
      </c>
      <c r="N1772" s="29">
        <f>IF(OR(L1772="",K1772=""),"",K1772*MIN(MAX(1,N(E1772)),MAX(0,INT((Config!$B$8-L1772)/30)+1)))</f>
        <v/>
      </c>
      <c r="O1772" s="29">
        <f>IF(J1772="","",J1772-N(N1772))</f>
        <v/>
      </c>
      <c r="P1772" s="27">
        <f>IF(A1772="","",MONTH(A1772))</f>
        <v/>
      </c>
      <c r="Q1772" s="27">
        <f>IF(A1772="","",YEAR(A1772))</f>
        <v/>
      </c>
      <c r="R1772" s="27">
        <f>IF(L1772="","",IF(L1772&gt;Config!$B$8,"A cair",IF(N(G1772)&gt;=MIN(MAX(1,N(E1772)),MAX(0,INT((Config!$B$8-L1772)/30)+1)),IF(N(G1772)&gt;=MAX(1,N(E1772)),"Conferido","Conferido até aqui"),"A conferir")))</f>
        <v/>
      </c>
      <c r="S1772" s="51">
        <f>IF(R1772="A conferir",(Config!$B$8-L1772)*1000+N(F1772)/1000+ROW()/100000,0)</f>
        <v>0</v>
      </c>
      <c r="T1772" s="51">
        <f>IF(R1772="A conferir",N(N1772),0)</f>
        <v>0</v>
      </c>
      <c r="U1772" s="51">
        <f>IF(L1772="",0,L1772)</f>
        <v>0</v>
      </c>
      <c r="V1772" s="51">
        <f>IF(L1772="",0,MAX(1,N(E1772)))</f>
        <v>0</v>
      </c>
      <c r="W1772" s="51">
        <f>IF(K1772="",0,K1772)</f>
        <v>0</v>
      </c>
    </row>
    <row r="1773">
      <c r="A1773" s="49" t="n"/>
      <c r="B1773" s="41" t="n"/>
      <c r="C1773" s="41" t="n"/>
      <c r="D1773" s="42" t="n"/>
      <c r="E1773" s="42" t="n"/>
      <c r="F1773" s="50" t="n"/>
      <c r="G1773" s="42" t="n"/>
      <c r="H1773" s="30">
        <f>IF(D1773="","",IFERROR(INDEX(Config!$B$12:$B$15,MATCH(IF(AND(D1773="Cartão de crédito",N(E1773)&gt;1),"Cartão de crédito parcelado",D1773),Config!$A$12:$A$15,0)),0)+IF(AND(Config!$B$17="Sim",LEFT(D1773,17)="Cartão de crédito"),Config!$B$18*IFERROR(INDEX(Config!$C$12:$C$15,MATCH(IF(AND(D1773="Cartão de crédito",N(E1773)&gt;1),"Cartão de crédito parcelado",D1773),Config!$A$12:$A$15,0)),0)/30*MAX(1,N(E1773)),0))</f>
        <v/>
      </c>
      <c r="I1773" s="29">
        <f>IF(OR(D1773="",F1773=""),"",ROUND(F1773*H1773,2))</f>
        <v/>
      </c>
      <c r="J1773" s="29">
        <f>IF(I1773="","",F1773-I1773)</f>
        <v/>
      </c>
      <c r="K1773" s="29">
        <f>IF(J1773="","",J1773/MAX(1,N(E1773)))</f>
        <v/>
      </c>
      <c r="L1773" s="37">
        <f>IF(OR(D1773="",A1773=""),"",A1773+IF(AND(Config!$B$17="Sim",LEFT(D1773,17)="Cartão de crédito"),1,IFERROR(INDEX(Config!$C$12:$C$15,MATCH(IF(AND(D1773="Cartão de crédito",N(E1773)&gt;1),"Cartão de crédito parcelado",D1773),Config!$A$12:$A$15,0)),0)))</f>
        <v/>
      </c>
      <c r="M1773" s="37">
        <f>IF(L1773="","",IF(AND(Config!$B$17="Sim",LEFT(D1773,17)="Cartão de crédito"),L1773,L1773+30*(MAX(1,N(E1773))-1)))</f>
        <v/>
      </c>
      <c r="N1773" s="29">
        <f>IF(OR(L1773="",K1773=""),"",K1773*MIN(MAX(1,N(E1773)),MAX(0,INT((Config!$B$8-L1773)/30)+1)))</f>
        <v/>
      </c>
      <c r="O1773" s="29">
        <f>IF(J1773="","",J1773-N(N1773))</f>
        <v/>
      </c>
      <c r="P1773" s="27">
        <f>IF(A1773="","",MONTH(A1773))</f>
        <v/>
      </c>
      <c r="Q1773" s="27">
        <f>IF(A1773="","",YEAR(A1773))</f>
        <v/>
      </c>
      <c r="R1773" s="27">
        <f>IF(L1773="","",IF(L1773&gt;Config!$B$8,"A cair",IF(N(G1773)&gt;=MIN(MAX(1,N(E1773)),MAX(0,INT((Config!$B$8-L1773)/30)+1)),IF(N(G1773)&gt;=MAX(1,N(E1773)),"Conferido","Conferido até aqui"),"A conferir")))</f>
        <v/>
      </c>
      <c r="S1773" s="51">
        <f>IF(R1773="A conferir",(Config!$B$8-L1773)*1000+N(F1773)/1000+ROW()/100000,0)</f>
        <v>0</v>
      </c>
      <c r="T1773" s="51">
        <f>IF(R1773="A conferir",N(N1773),0)</f>
        <v>0</v>
      </c>
      <c r="U1773" s="51">
        <f>IF(L1773="",0,L1773)</f>
        <v>0</v>
      </c>
      <c r="V1773" s="51">
        <f>IF(L1773="",0,MAX(1,N(E1773)))</f>
        <v>0</v>
      </c>
      <c r="W1773" s="51">
        <f>IF(K1773="",0,K1773)</f>
        <v>0</v>
      </c>
    </row>
    <row r="1774">
      <c r="A1774" s="49" t="n"/>
      <c r="B1774" s="41" t="n"/>
      <c r="C1774" s="41" t="n"/>
      <c r="D1774" s="42" t="n"/>
      <c r="E1774" s="42" t="n"/>
      <c r="F1774" s="50" t="n"/>
      <c r="G1774" s="42" t="n"/>
      <c r="H1774" s="30">
        <f>IF(D1774="","",IFERROR(INDEX(Config!$B$12:$B$15,MATCH(IF(AND(D1774="Cartão de crédito",N(E1774)&gt;1),"Cartão de crédito parcelado",D1774),Config!$A$12:$A$15,0)),0)+IF(AND(Config!$B$17="Sim",LEFT(D1774,17)="Cartão de crédito"),Config!$B$18*IFERROR(INDEX(Config!$C$12:$C$15,MATCH(IF(AND(D1774="Cartão de crédito",N(E1774)&gt;1),"Cartão de crédito parcelado",D1774),Config!$A$12:$A$15,0)),0)/30*MAX(1,N(E1774)),0))</f>
        <v/>
      </c>
      <c r="I1774" s="29">
        <f>IF(OR(D1774="",F1774=""),"",ROUND(F1774*H1774,2))</f>
        <v/>
      </c>
      <c r="J1774" s="29">
        <f>IF(I1774="","",F1774-I1774)</f>
        <v/>
      </c>
      <c r="K1774" s="29">
        <f>IF(J1774="","",J1774/MAX(1,N(E1774)))</f>
        <v/>
      </c>
      <c r="L1774" s="37">
        <f>IF(OR(D1774="",A1774=""),"",A1774+IF(AND(Config!$B$17="Sim",LEFT(D1774,17)="Cartão de crédito"),1,IFERROR(INDEX(Config!$C$12:$C$15,MATCH(IF(AND(D1774="Cartão de crédito",N(E1774)&gt;1),"Cartão de crédito parcelado",D1774),Config!$A$12:$A$15,0)),0)))</f>
        <v/>
      </c>
      <c r="M1774" s="37">
        <f>IF(L1774="","",IF(AND(Config!$B$17="Sim",LEFT(D1774,17)="Cartão de crédito"),L1774,L1774+30*(MAX(1,N(E1774))-1)))</f>
        <v/>
      </c>
      <c r="N1774" s="29">
        <f>IF(OR(L1774="",K1774=""),"",K1774*MIN(MAX(1,N(E1774)),MAX(0,INT((Config!$B$8-L1774)/30)+1)))</f>
        <v/>
      </c>
      <c r="O1774" s="29">
        <f>IF(J1774="","",J1774-N(N1774))</f>
        <v/>
      </c>
      <c r="P1774" s="27">
        <f>IF(A1774="","",MONTH(A1774))</f>
        <v/>
      </c>
      <c r="Q1774" s="27">
        <f>IF(A1774="","",YEAR(A1774))</f>
        <v/>
      </c>
      <c r="R1774" s="27">
        <f>IF(L1774="","",IF(L1774&gt;Config!$B$8,"A cair",IF(N(G1774)&gt;=MIN(MAX(1,N(E1774)),MAX(0,INT((Config!$B$8-L1774)/30)+1)),IF(N(G1774)&gt;=MAX(1,N(E1774)),"Conferido","Conferido até aqui"),"A conferir")))</f>
        <v/>
      </c>
      <c r="S1774" s="51">
        <f>IF(R1774="A conferir",(Config!$B$8-L1774)*1000+N(F1774)/1000+ROW()/100000,0)</f>
        <v>0</v>
      </c>
      <c r="T1774" s="51">
        <f>IF(R1774="A conferir",N(N1774),0)</f>
        <v>0</v>
      </c>
      <c r="U1774" s="51">
        <f>IF(L1774="",0,L1774)</f>
        <v>0</v>
      </c>
      <c r="V1774" s="51">
        <f>IF(L1774="",0,MAX(1,N(E1774)))</f>
        <v>0</v>
      </c>
      <c r="W1774" s="51">
        <f>IF(K1774="",0,K1774)</f>
        <v>0</v>
      </c>
    </row>
    <row r="1775">
      <c r="A1775" s="49" t="n"/>
      <c r="B1775" s="41" t="n"/>
      <c r="C1775" s="41" t="n"/>
      <c r="D1775" s="42" t="n"/>
      <c r="E1775" s="42" t="n"/>
      <c r="F1775" s="50" t="n"/>
      <c r="G1775" s="42" t="n"/>
      <c r="H1775" s="30">
        <f>IF(D1775="","",IFERROR(INDEX(Config!$B$12:$B$15,MATCH(IF(AND(D1775="Cartão de crédito",N(E1775)&gt;1),"Cartão de crédito parcelado",D1775),Config!$A$12:$A$15,0)),0)+IF(AND(Config!$B$17="Sim",LEFT(D1775,17)="Cartão de crédito"),Config!$B$18*IFERROR(INDEX(Config!$C$12:$C$15,MATCH(IF(AND(D1775="Cartão de crédito",N(E1775)&gt;1),"Cartão de crédito parcelado",D1775),Config!$A$12:$A$15,0)),0)/30*MAX(1,N(E1775)),0))</f>
        <v/>
      </c>
      <c r="I1775" s="29">
        <f>IF(OR(D1775="",F1775=""),"",ROUND(F1775*H1775,2))</f>
        <v/>
      </c>
      <c r="J1775" s="29">
        <f>IF(I1775="","",F1775-I1775)</f>
        <v/>
      </c>
      <c r="K1775" s="29">
        <f>IF(J1775="","",J1775/MAX(1,N(E1775)))</f>
        <v/>
      </c>
      <c r="L1775" s="37">
        <f>IF(OR(D1775="",A1775=""),"",A1775+IF(AND(Config!$B$17="Sim",LEFT(D1775,17)="Cartão de crédito"),1,IFERROR(INDEX(Config!$C$12:$C$15,MATCH(IF(AND(D1775="Cartão de crédito",N(E1775)&gt;1),"Cartão de crédito parcelado",D1775),Config!$A$12:$A$15,0)),0)))</f>
        <v/>
      </c>
      <c r="M1775" s="37">
        <f>IF(L1775="","",IF(AND(Config!$B$17="Sim",LEFT(D1775,17)="Cartão de crédito"),L1775,L1775+30*(MAX(1,N(E1775))-1)))</f>
        <v/>
      </c>
      <c r="N1775" s="29">
        <f>IF(OR(L1775="",K1775=""),"",K1775*MIN(MAX(1,N(E1775)),MAX(0,INT((Config!$B$8-L1775)/30)+1)))</f>
        <v/>
      </c>
      <c r="O1775" s="29">
        <f>IF(J1775="","",J1775-N(N1775))</f>
        <v/>
      </c>
      <c r="P1775" s="27">
        <f>IF(A1775="","",MONTH(A1775))</f>
        <v/>
      </c>
      <c r="Q1775" s="27">
        <f>IF(A1775="","",YEAR(A1775))</f>
        <v/>
      </c>
      <c r="R1775" s="27">
        <f>IF(L1775="","",IF(L1775&gt;Config!$B$8,"A cair",IF(N(G1775)&gt;=MIN(MAX(1,N(E1775)),MAX(0,INT((Config!$B$8-L1775)/30)+1)),IF(N(G1775)&gt;=MAX(1,N(E1775)),"Conferido","Conferido até aqui"),"A conferir")))</f>
        <v/>
      </c>
      <c r="S1775" s="51">
        <f>IF(R1775="A conferir",(Config!$B$8-L1775)*1000+N(F1775)/1000+ROW()/100000,0)</f>
        <v>0</v>
      </c>
      <c r="T1775" s="51">
        <f>IF(R1775="A conferir",N(N1775),0)</f>
        <v>0</v>
      </c>
      <c r="U1775" s="51">
        <f>IF(L1775="",0,L1775)</f>
        <v>0</v>
      </c>
      <c r="V1775" s="51">
        <f>IF(L1775="",0,MAX(1,N(E1775)))</f>
        <v>0</v>
      </c>
      <c r="W1775" s="51">
        <f>IF(K1775="",0,K1775)</f>
        <v>0</v>
      </c>
    </row>
    <row r="1776">
      <c r="A1776" s="49" t="n"/>
      <c r="B1776" s="41" t="n"/>
      <c r="C1776" s="41" t="n"/>
      <c r="D1776" s="42" t="n"/>
      <c r="E1776" s="42" t="n"/>
      <c r="F1776" s="50" t="n"/>
      <c r="G1776" s="42" t="n"/>
      <c r="H1776" s="30">
        <f>IF(D1776="","",IFERROR(INDEX(Config!$B$12:$B$15,MATCH(IF(AND(D1776="Cartão de crédito",N(E1776)&gt;1),"Cartão de crédito parcelado",D1776),Config!$A$12:$A$15,0)),0)+IF(AND(Config!$B$17="Sim",LEFT(D1776,17)="Cartão de crédito"),Config!$B$18*IFERROR(INDEX(Config!$C$12:$C$15,MATCH(IF(AND(D1776="Cartão de crédito",N(E1776)&gt;1),"Cartão de crédito parcelado",D1776),Config!$A$12:$A$15,0)),0)/30*MAX(1,N(E1776)),0))</f>
        <v/>
      </c>
      <c r="I1776" s="29">
        <f>IF(OR(D1776="",F1776=""),"",ROUND(F1776*H1776,2))</f>
        <v/>
      </c>
      <c r="J1776" s="29">
        <f>IF(I1776="","",F1776-I1776)</f>
        <v/>
      </c>
      <c r="K1776" s="29">
        <f>IF(J1776="","",J1776/MAX(1,N(E1776)))</f>
        <v/>
      </c>
      <c r="L1776" s="37">
        <f>IF(OR(D1776="",A1776=""),"",A1776+IF(AND(Config!$B$17="Sim",LEFT(D1776,17)="Cartão de crédito"),1,IFERROR(INDEX(Config!$C$12:$C$15,MATCH(IF(AND(D1776="Cartão de crédito",N(E1776)&gt;1),"Cartão de crédito parcelado",D1776),Config!$A$12:$A$15,0)),0)))</f>
        <v/>
      </c>
      <c r="M1776" s="37">
        <f>IF(L1776="","",IF(AND(Config!$B$17="Sim",LEFT(D1776,17)="Cartão de crédito"),L1776,L1776+30*(MAX(1,N(E1776))-1)))</f>
        <v/>
      </c>
      <c r="N1776" s="29">
        <f>IF(OR(L1776="",K1776=""),"",K1776*MIN(MAX(1,N(E1776)),MAX(0,INT((Config!$B$8-L1776)/30)+1)))</f>
        <v/>
      </c>
      <c r="O1776" s="29">
        <f>IF(J1776="","",J1776-N(N1776))</f>
        <v/>
      </c>
      <c r="P1776" s="27">
        <f>IF(A1776="","",MONTH(A1776))</f>
        <v/>
      </c>
      <c r="Q1776" s="27">
        <f>IF(A1776="","",YEAR(A1776))</f>
        <v/>
      </c>
      <c r="R1776" s="27">
        <f>IF(L1776="","",IF(L1776&gt;Config!$B$8,"A cair",IF(N(G1776)&gt;=MIN(MAX(1,N(E1776)),MAX(0,INT((Config!$B$8-L1776)/30)+1)),IF(N(G1776)&gt;=MAX(1,N(E1776)),"Conferido","Conferido até aqui"),"A conferir")))</f>
        <v/>
      </c>
      <c r="S1776" s="51">
        <f>IF(R1776="A conferir",(Config!$B$8-L1776)*1000+N(F1776)/1000+ROW()/100000,0)</f>
        <v>0</v>
      </c>
      <c r="T1776" s="51">
        <f>IF(R1776="A conferir",N(N1776),0)</f>
        <v>0</v>
      </c>
      <c r="U1776" s="51">
        <f>IF(L1776="",0,L1776)</f>
        <v>0</v>
      </c>
      <c r="V1776" s="51">
        <f>IF(L1776="",0,MAX(1,N(E1776)))</f>
        <v>0</v>
      </c>
      <c r="W1776" s="51">
        <f>IF(K1776="",0,K1776)</f>
        <v>0</v>
      </c>
    </row>
    <row r="1777">
      <c r="A1777" s="49" t="n"/>
      <c r="B1777" s="41" t="n"/>
      <c r="C1777" s="41" t="n"/>
      <c r="D1777" s="42" t="n"/>
      <c r="E1777" s="42" t="n"/>
      <c r="F1777" s="50" t="n"/>
      <c r="G1777" s="42" t="n"/>
      <c r="H1777" s="30">
        <f>IF(D1777="","",IFERROR(INDEX(Config!$B$12:$B$15,MATCH(IF(AND(D1777="Cartão de crédito",N(E1777)&gt;1),"Cartão de crédito parcelado",D1777),Config!$A$12:$A$15,0)),0)+IF(AND(Config!$B$17="Sim",LEFT(D1777,17)="Cartão de crédito"),Config!$B$18*IFERROR(INDEX(Config!$C$12:$C$15,MATCH(IF(AND(D1777="Cartão de crédito",N(E1777)&gt;1),"Cartão de crédito parcelado",D1777),Config!$A$12:$A$15,0)),0)/30*MAX(1,N(E1777)),0))</f>
        <v/>
      </c>
      <c r="I1777" s="29">
        <f>IF(OR(D1777="",F1777=""),"",ROUND(F1777*H1777,2))</f>
        <v/>
      </c>
      <c r="J1777" s="29">
        <f>IF(I1777="","",F1777-I1777)</f>
        <v/>
      </c>
      <c r="K1777" s="29">
        <f>IF(J1777="","",J1777/MAX(1,N(E1777)))</f>
        <v/>
      </c>
      <c r="L1777" s="37">
        <f>IF(OR(D1777="",A1777=""),"",A1777+IF(AND(Config!$B$17="Sim",LEFT(D1777,17)="Cartão de crédito"),1,IFERROR(INDEX(Config!$C$12:$C$15,MATCH(IF(AND(D1777="Cartão de crédito",N(E1777)&gt;1),"Cartão de crédito parcelado",D1777),Config!$A$12:$A$15,0)),0)))</f>
        <v/>
      </c>
      <c r="M1777" s="37">
        <f>IF(L1777="","",IF(AND(Config!$B$17="Sim",LEFT(D1777,17)="Cartão de crédito"),L1777,L1777+30*(MAX(1,N(E1777))-1)))</f>
        <v/>
      </c>
      <c r="N1777" s="29">
        <f>IF(OR(L1777="",K1777=""),"",K1777*MIN(MAX(1,N(E1777)),MAX(0,INT((Config!$B$8-L1777)/30)+1)))</f>
        <v/>
      </c>
      <c r="O1777" s="29">
        <f>IF(J1777="","",J1777-N(N1777))</f>
        <v/>
      </c>
      <c r="P1777" s="27">
        <f>IF(A1777="","",MONTH(A1777))</f>
        <v/>
      </c>
      <c r="Q1777" s="27">
        <f>IF(A1777="","",YEAR(A1777))</f>
        <v/>
      </c>
      <c r="R1777" s="27">
        <f>IF(L1777="","",IF(L1777&gt;Config!$B$8,"A cair",IF(N(G1777)&gt;=MIN(MAX(1,N(E1777)),MAX(0,INT((Config!$B$8-L1777)/30)+1)),IF(N(G1777)&gt;=MAX(1,N(E1777)),"Conferido","Conferido até aqui"),"A conferir")))</f>
        <v/>
      </c>
      <c r="S1777" s="51">
        <f>IF(R1777="A conferir",(Config!$B$8-L1777)*1000+N(F1777)/1000+ROW()/100000,0)</f>
        <v>0</v>
      </c>
      <c r="T1777" s="51">
        <f>IF(R1777="A conferir",N(N1777),0)</f>
        <v>0</v>
      </c>
      <c r="U1777" s="51">
        <f>IF(L1777="",0,L1777)</f>
        <v>0</v>
      </c>
      <c r="V1777" s="51">
        <f>IF(L1777="",0,MAX(1,N(E1777)))</f>
        <v>0</v>
      </c>
      <c r="W1777" s="51">
        <f>IF(K1777="",0,K1777)</f>
        <v>0</v>
      </c>
    </row>
    <row r="1778">
      <c r="A1778" s="49" t="n"/>
      <c r="B1778" s="41" t="n"/>
      <c r="C1778" s="41" t="n"/>
      <c r="D1778" s="42" t="n"/>
      <c r="E1778" s="42" t="n"/>
      <c r="F1778" s="50" t="n"/>
      <c r="G1778" s="42" t="n"/>
      <c r="H1778" s="30">
        <f>IF(D1778="","",IFERROR(INDEX(Config!$B$12:$B$15,MATCH(IF(AND(D1778="Cartão de crédito",N(E1778)&gt;1),"Cartão de crédito parcelado",D1778),Config!$A$12:$A$15,0)),0)+IF(AND(Config!$B$17="Sim",LEFT(D1778,17)="Cartão de crédito"),Config!$B$18*IFERROR(INDEX(Config!$C$12:$C$15,MATCH(IF(AND(D1778="Cartão de crédito",N(E1778)&gt;1),"Cartão de crédito parcelado",D1778),Config!$A$12:$A$15,0)),0)/30*MAX(1,N(E1778)),0))</f>
        <v/>
      </c>
      <c r="I1778" s="29">
        <f>IF(OR(D1778="",F1778=""),"",ROUND(F1778*H1778,2))</f>
        <v/>
      </c>
      <c r="J1778" s="29">
        <f>IF(I1778="","",F1778-I1778)</f>
        <v/>
      </c>
      <c r="K1778" s="29">
        <f>IF(J1778="","",J1778/MAX(1,N(E1778)))</f>
        <v/>
      </c>
      <c r="L1778" s="37">
        <f>IF(OR(D1778="",A1778=""),"",A1778+IF(AND(Config!$B$17="Sim",LEFT(D1778,17)="Cartão de crédito"),1,IFERROR(INDEX(Config!$C$12:$C$15,MATCH(IF(AND(D1778="Cartão de crédito",N(E1778)&gt;1),"Cartão de crédito parcelado",D1778),Config!$A$12:$A$15,0)),0)))</f>
        <v/>
      </c>
      <c r="M1778" s="37">
        <f>IF(L1778="","",IF(AND(Config!$B$17="Sim",LEFT(D1778,17)="Cartão de crédito"),L1778,L1778+30*(MAX(1,N(E1778))-1)))</f>
        <v/>
      </c>
      <c r="N1778" s="29">
        <f>IF(OR(L1778="",K1778=""),"",K1778*MIN(MAX(1,N(E1778)),MAX(0,INT((Config!$B$8-L1778)/30)+1)))</f>
        <v/>
      </c>
      <c r="O1778" s="29">
        <f>IF(J1778="","",J1778-N(N1778))</f>
        <v/>
      </c>
      <c r="P1778" s="27">
        <f>IF(A1778="","",MONTH(A1778))</f>
        <v/>
      </c>
      <c r="Q1778" s="27">
        <f>IF(A1778="","",YEAR(A1778))</f>
        <v/>
      </c>
      <c r="R1778" s="27">
        <f>IF(L1778="","",IF(L1778&gt;Config!$B$8,"A cair",IF(N(G1778)&gt;=MIN(MAX(1,N(E1778)),MAX(0,INT((Config!$B$8-L1778)/30)+1)),IF(N(G1778)&gt;=MAX(1,N(E1778)),"Conferido","Conferido até aqui"),"A conferir")))</f>
        <v/>
      </c>
      <c r="S1778" s="51">
        <f>IF(R1778="A conferir",(Config!$B$8-L1778)*1000+N(F1778)/1000+ROW()/100000,0)</f>
        <v>0</v>
      </c>
      <c r="T1778" s="51">
        <f>IF(R1778="A conferir",N(N1778),0)</f>
        <v>0</v>
      </c>
      <c r="U1778" s="51">
        <f>IF(L1778="",0,L1778)</f>
        <v>0</v>
      </c>
      <c r="V1778" s="51">
        <f>IF(L1778="",0,MAX(1,N(E1778)))</f>
        <v>0</v>
      </c>
      <c r="W1778" s="51">
        <f>IF(K1778="",0,K1778)</f>
        <v>0</v>
      </c>
    </row>
    <row r="1779">
      <c r="A1779" s="49" t="n"/>
      <c r="B1779" s="41" t="n"/>
      <c r="C1779" s="41" t="n"/>
      <c r="D1779" s="42" t="n"/>
      <c r="E1779" s="42" t="n"/>
      <c r="F1779" s="50" t="n"/>
      <c r="G1779" s="42" t="n"/>
      <c r="H1779" s="30">
        <f>IF(D1779="","",IFERROR(INDEX(Config!$B$12:$B$15,MATCH(IF(AND(D1779="Cartão de crédito",N(E1779)&gt;1),"Cartão de crédito parcelado",D1779),Config!$A$12:$A$15,0)),0)+IF(AND(Config!$B$17="Sim",LEFT(D1779,17)="Cartão de crédito"),Config!$B$18*IFERROR(INDEX(Config!$C$12:$C$15,MATCH(IF(AND(D1779="Cartão de crédito",N(E1779)&gt;1),"Cartão de crédito parcelado",D1779),Config!$A$12:$A$15,0)),0)/30*MAX(1,N(E1779)),0))</f>
        <v/>
      </c>
      <c r="I1779" s="29">
        <f>IF(OR(D1779="",F1779=""),"",ROUND(F1779*H1779,2))</f>
        <v/>
      </c>
      <c r="J1779" s="29">
        <f>IF(I1779="","",F1779-I1779)</f>
        <v/>
      </c>
      <c r="K1779" s="29">
        <f>IF(J1779="","",J1779/MAX(1,N(E1779)))</f>
        <v/>
      </c>
      <c r="L1779" s="37">
        <f>IF(OR(D1779="",A1779=""),"",A1779+IF(AND(Config!$B$17="Sim",LEFT(D1779,17)="Cartão de crédito"),1,IFERROR(INDEX(Config!$C$12:$C$15,MATCH(IF(AND(D1779="Cartão de crédito",N(E1779)&gt;1),"Cartão de crédito parcelado",D1779),Config!$A$12:$A$15,0)),0)))</f>
        <v/>
      </c>
      <c r="M1779" s="37">
        <f>IF(L1779="","",IF(AND(Config!$B$17="Sim",LEFT(D1779,17)="Cartão de crédito"),L1779,L1779+30*(MAX(1,N(E1779))-1)))</f>
        <v/>
      </c>
      <c r="N1779" s="29">
        <f>IF(OR(L1779="",K1779=""),"",K1779*MIN(MAX(1,N(E1779)),MAX(0,INT((Config!$B$8-L1779)/30)+1)))</f>
        <v/>
      </c>
      <c r="O1779" s="29">
        <f>IF(J1779="","",J1779-N(N1779))</f>
        <v/>
      </c>
      <c r="P1779" s="27">
        <f>IF(A1779="","",MONTH(A1779))</f>
        <v/>
      </c>
      <c r="Q1779" s="27">
        <f>IF(A1779="","",YEAR(A1779))</f>
        <v/>
      </c>
      <c r="R1779" s="27">
        <f>IF(L1779="","",IF(L1779&gt;Config!$B$8,"A cair",IF(N(G1779)&gt;=MIN(MAX(1,N(E1779)),MAX(0,INT((Config!$B$8-L1779)/30)+1)),IF(N(G1779)&gt;=MAX(1,N(E1779)),"Conferido","Conferido até aqui"),"A conferir")))</f>
        <v/>
      </c>
      <c r="S1779" s="51">
        <f>IF(R1779="A conferir",(Config!$B$8-L1779)*1000+N(F1779)/1000+ROW()/100000,0)</f>
        <v>0</v>
      </c>
      <c r="T1779" s="51">
        <f>IF(R1779="A conferir",N(N1779),0)</f>
        <v>0</v>
      </c>
      <c r="U1779" s="51">
        <f>IF(L1779="",0,L1779)</f>
        <v>0</v>
      </c>
      <c r="V1779" s="51">
        <f>IF(L1779="",0,MAX(1,N(E1779)))</f>
        <v>0</v>
      </c>
      <c r="W1779" s="51">
        <f>IF(K1779="",0,K1779)</f>
        <v>0</v>
      </c>
    </row>
    <row r="1780">
      <c r="A1780" s="49" t="n"/>
      <c r="B1780" s="41" t="n"/>
      <c r="C1780" s="41" t="n"/>
      <c r="D1780" s="42" t="n"/>
      <c r="E1780" s="42" t="n"/>
      <c r="F1780" s="50" t="n"/>
      <c r="G1780" s="42" t="n"/>
      <c r="H1780" s="30">
        <f>IF(D1780="","",IFERROR(INDEX(Config!$B$12:$B$15,MATCH(IF(AND(D1780="Cartão de crédito",N(E1780)&gt;1),"Cartão de crédito parcelado",D1780),Config!$A$12:$A$15,0)),0)+IF(AND(Config!$B$17="Sim",LEFT(D1780,17)="Cartão de crédito"),Config!$B$18*IFERROR(INDEX(Config!$C$12:$C$15,MATCH(IF(AND(D1780="Cartão de crédito",N(E1780)&gt;1),"Cartão de crédito parcelado",D1780),Config!$A$12:$A$15,0)),0)/30*MAX(1,N(E1780)),0))</f>
        <v/>
      </c>
      <c r="I1780" s="29">
        <f>IF(OR(D1780="",F1780=""),"",ROUND(F1780*H1780,2))</f>
        <v/>
      </c>
      <c r="J1780" s="29">
        <f>IF(I1780="","",F1780-I1780)</f>
        <v/>
      </c>
      <c r="K1780" s="29">
        <f>IF(J1780="","",J1780/MAX(1,N(E1780)))</f>
        <v/>
      </c>
      <c r="L1780" s="37">
        <f>IF(OR(D1780="",A1780=""),"",A1780+IF(AND(Config!$B$17="Sim",LEFT(D1780,17)="Cartão de crédito"),1,IFERROR(INDEX(Config!$C$12:$C$15,MATCH(IF(AND(D1780="Cartão de crédito",N(E1780)&gt;1),"Cartão de crédito parcelado",D1780),Config!$A$12:$A$15,0)),0)))</f>
        <v/>
      </c>
      <c r="M1780" s="37">
        <f>IF(L1780="","",IF(AND(Config!$B$17="Sim",LEFT(D1780,17)="Cartão de crédito"),L1780,L1780+30*(MAX(1,N(E1780))-1)))</f>
        <v/>
      </c>
      <c r="N1780" s="29">
        <f>IF(OR(L1780="",K1780=""),"",K1780*MIN(MAX(1,N(E1780)),MAX(0,INT((Config!$B$8-L1780)/30)+1)))</f>
        <v/>
      </c>
      <c r="O1780" s="29">
        <f>IF(J1780="","",J1780-N(N1780))</f>
        <v/>
      </c>
      <c r="P1780" s="27">
        <f>IF(A1780="","",MONTH(A1780))</f>
        <v/>
      </c>
      <c r="Q1780" s="27">
        <f>IF(A1780="","",YEAR(A1780))</f>
        <v/>
      </c>
      <c r="R1780" s="27">
        <f>IF(L1780="","",IF(L1780&gt;Config!$B$8,"A cair",IF(N(G1780)&gt;=MIN(MAX(1,N(E1780)),MAX(0,INT((Config!$B$8-L1780)/30)+1)),IF(N(G1780)&gt;=MAX(1,N(E1780)),"Conferido","Conferido até aqui"),"A conferir")))</f>
        <v/>
      </c>
      <c r="S1780" s="51">
        <f>IF(R1780="A conferir",(Config!$B$8-L1780)*1000+N(F1780)/1000+ROW()/100000,0)</f>
        <v>0</v>
      </c>
      <c r="T1780" s="51">
        <f>IF(R1780="A conferir",N(N1780),0)</f>
        <v>0</v>
      </c>
      <c r="U1780" s="51">
        <f>IF(L1780="",0,L1780)</f>
        <v>0</v>
      </c>
      <c r="V1780" s="51">
        <f>IF(L1780="",0,MAX(1,N(E1780)))</f>
        <v>0</v>
      </c>
      <c r="W1780" s="51">
        <f>IF(K1780="",0,K1780)</f>
        <v>0</v>
      </c>
    </row>
    <row r="1781">
      <c r="A1781" s="49" t="n"/>
      <c r="B1781" s="41" t="n"/>
      <c r="C1781" s="41" t="n"/>
      <c r="D1781" s="42" t="n"/>
      <c r="E1781" s="42" t="n"/>
      <c r="F1781" s="50" t="n"/>
      <c r="G1781" s="42" t="n"/>
      <c r="H1781" s="30">
        <f>IF(D1781="","",IFERROR(INDEX(Config!$B$12:$B$15,MATCH(IF(AND(D1781="Cartão de crédito",N(E1781)&gt;1),"Cartão de crédito parcelado",D1781),Config!$A$12:$A$15,0)),0)+IF(AND(Config!$B$17="Sim",LEFT(D1781,17)="Cartão de crédito"),Config!$B$18*IFERROR(INDEX(Config!$C$12:$C$15,MATCH(IF(AND(D1781="Cartão de crédito",N(E1781)&gt;1),"Cartão de crédito parcelado",D1781),Config!$A$12:$A$15,0)),0)/30*MAX(1,N(E1781)),0))</f>
        <v/>
      </c>
      <c r="I1781" s="29">
        <f>IF(OR(D1781="",F1781=""),"",ROUND(F1781*H1781,2))</f>
        <v/>
      </c>
      <c r="J1781" s="29">
        <f>IF(I1781="","",F1781-I1781)</f>
        <v/>
      </c>
      <c r="K1781" s="29">
        <f>IF(J1781="","",J1781/MAX(1,N(E1781)))</f>
        <v/>
      </c>
      <c r="L1781" s="37">
        <f>IF(OR(D1781="",A1781=""),"",A1781+IF(AND(Config!$B$17="Sim",LEFT(D1781,17)="Cartão de crédito"),1,IFERROR(INDEX(Config!$C$12:$C$15,MATCH(IF(AND(D1781="Cartão de crédito",N(E1781)&gt;1),"Cartão de crédito parcelado",D1781),Config!$A$12:$A$15,0)),0)))</f>
        <v/>
      </c>
      <c r="M1781" s="37">
        <f>IF(L1781="","",IF(AND(Config!$B$17="Sim",LEFT(D1781,17)="Cartão de crédito"),L1781,L1781+30*(MAX(1,N(E1781))-1)))</f>
        <v/>
      </c>
      <c r="N1781" s="29">
        <f>IF(OR(L1781="",K1781=""),"",K1781*MIN(MAX(1,N(E1781)),MAX(0,INT((Config!$B$8-L1781)/30)+1)))</f>
        <v/>
      </c>
      <c r="O1781" s="29">
        <f>IF(J1781="","",J1781-N(N1781))</f>
        <v/>
      </c>
      <c r="P1781" s="27">
        <f>IF(A1781="","",MONTH(A1781))</f>
        <v/>
      </c>
      <c r="Q1781" s="27">
        <f>IF(A1781="","",YEAR(A1781))</f>
        <v/>
      </c>
      <c r="R1781" s="27">
        <f>IF(L1781="","",IF(L1781&gt;Config!$B$8,"A cair",IF(N(G1781)&gt;=MIN(MAX(1,N(E1781)),MAX(0,INT((Config!$B$8-L1781)/30)+1)),IF(N(G1781)&gt;=MAX(1,N(E1781)),"Conferido","Conferido até aqui"),"A conferir")))</f>
        <v/>
      </c>
      <c r="S1781" s="51">
        <f>IF(R1781="A conferir",(Config!$B$8-L1781)*1000+N(F1781)/1000+ROW()/100000,0)</f>
        <v>0</v>
      </c>
      <c r="T1781" s="51">
        <f>IF(R1781="A conferir",N(N1781),0)</f>
        <v>0</v>
      </c>
      <c r="U1781" s="51">
        <f>IF(L1781="",0,L1781)</f>
        <v>0</v>
      </c>
      <c r="V1781" s="51">
        <f>IF(L1781="",0,MAX(1,N(E1781)))</f>
        <v>0</v>
      </c>
      <c r="W1781" s="51">
        <f>IF(K1781="",0,K1781)</f>
        <v>0</v>
      </c>
    </row>
    <row r="1782">
      <c r="A1782" s="49" t="n"/>
      <c r="B1782" s="41" t="n"/>
      <c r="C1782" s="41" t="n"/>
      <c r="D1782" s="42" t="n"/>
      <c r="E1782" s="42" t="n"/>
      <c r="F1782" s="50" t="n"/>
      <c r="G1782" s="42" t="n"/>
      <c r="H1782" s="30">
        <f>IF(D1782="","",IFERROR(INDEX(Config!$B$12:$B$15,MATCH(IF(AND(D1782="Cartão de crédito",N(E1782)&gt;1),"Cartão de crédito parcelado",D1782),Config!$A$12:$A$15,0)),0)+IF(AND(Config!$B$17="Sim",LEFT(D1782,17)="Cartão de crédito"),Config!$B$18*IFERROR(INDEX(Config!$C$12:$C$15,MATCH(IF(AND(D1782="Cartão de crédito",N(E1782)&gt;1),"Cartão de crédito parcelado",D1782),Config!$A$12:$A$15,0)),0)/30*MAX(1,N(E1782)),0))</f>
        <v/>
      </c>
      <c r="I1782" s="29">
        <f>IF(OR(D1782="",F1782=""),"",ROUND(F1782*H1782,2))</f>
        <v/>
      </c>
      <c r="J1782" s="29">
        <f>IF(I1782="","",F1782-I1782)</f>
        <v/>
      </c>
      <c r="K1782" s="29">
        <f>IF(J1782="","",J1782/MAX(1,N(E1782)))</f>
        <v/>
      </c>
      <c r="L1782" s="37">
        <f>IF(OR(D1782="",A1782=""),"",A1782+IF(AND(Config!$B$17="Sim",LEFT(D1782,17)="Cartão de crédito"),1,IFERROR(INDEX(Config!$C$12:$C$15,MATCH(IF(AND(D1782="Cartão de crédito",N(E1782)&gt;1),"Cartão de crédito parcelado",D1782),Config!$A$12:$A$15,0)),0)))</f>
        <v/>
      </c>
      <c r="M1782" s="37">
        <f>IF(L1782="","",IF(AND(Config!$B$17="Sim",LEFT(D1782,17)="Cartão de crédito"),L1782,L1782+30*(MAX(1,N(E1782))-1)))</f>
        <v/>
      </c>
      <c r="N1782" s="29">
        <f>IF(OR(L1782="",K1782=""),"",K1782*MIN(MAX(1,N(E1782)),MAX(0,INT((Config!$B$8-L1782)/30)+1)))</f>
        <v/>
      </c>
      <c r="O1782" s="29">
        <f>IF(J1782="","",J1782-N(N1782))</f>
        <v/>
      </c>
      <c r="P1782" s="27">
        <f>IF(A1782="","",MONTH(A1782))</f>
        <v/>
      </c>
      <c r="Q1782" s="27">
        <f>IF(A1782="","",YEAR(A1782))</f>
        <v/>
      </c>
      <c r="R1782" s="27">
        <f>IF(L1782="","",IF(L1782&gt;Config!$B$8,"A cair",IF(N(G1782)&gt;=MIN(MAX(1,N(E1782)),MAX(0,INT((Config!$B$8-L1782)/30)+1)),IF(N(G1782)&gt;=MAX(1,N(E1782)),"Conferido","Conferido até aqui"),"A conferir")))</f>
        <v/>
      </c>
      <c r="S1782" s="51">
        <f>IF(R1782="A conferir",(Config!$B$8-L1782)*1000+N(F1782)/1000+ROW()/100000,0)</f>
        <v>0</v>
      </c>
      <c r="T1782" s="51">
        <f>IF(R1782="A conferir",N(N1782),0)</f>
        <v>0</v>
      </c>
      <c r="U1782" s="51">
        <f>IF(L1782="",0,L1782)</f>
        <v>0</v>
      </c>
      <c r="V1782" s="51">
        <f>IF(L1782="",0,MAX(1,N(E1782)))</f>
        <v>0</v>
      </c>
      <c r="W1782" s="51">
        <f>IF(K1782="",0,K1782)</f>
        <v>0</v>
      </c>
    </row>
    <row r="1783">
      <c r="A1783" s="49" t="n"/>
      <c r="B1783" s="41" t="n"/>
      <c r="C1783" s="41" t="n"/>
      <c r="D1783" s="42" t="n"/>
      <c r="E1783" s="42" t="n"/>
      <c r="F1783" s="50" t="n"/>
      <c r="G1783" s="42" t="n"/>
      <c r="H1783" s="30">
        <f>IF(D1783="","",IFERROR(INDEX(Config!$B$12:$B$15,MATCH(IF(AND(D1783="Cartão de crédito",N(E1783)&gt;1),"Cartão de crédito parcelado",D1783),Config!$A$12:$A$15,0)),0)+IF(AND(Config!$B$17="Sim",LEFT(D1783,17)="Cartão de crédito"),Config!$B$18*IFERROR(INDEX(Config!$C$12:$C$15,MATCH(IF(AND(D1783="Cartão de crédito",N(E1783)&gt;1),"Cartão de crédito parcelado",D1783),Config!$A$12:$A$15,0)),0)/30*MAX(1,N(E1783)),0))</f>
        <v/>
      </c>
      <c r="I1783" s="29">
        <f>IF(OR(D1783="",F1783=""),"",ROUND(F1783*H1783,2))</f>
        <v/>
      </c>
      <c r="J1783" s="29">
        <f>IF(I1783="","",F1783-I1783)</f>
        <v/>
      </c>
      <c r="K1783" s="29">
        <f>IF(J1783="","",J1783/MAX(1,N(E1783)))</f>
        <v/>
      </c>
      <c r="L1783" s="37">
        <f>IF(OR(D1783="",A1783=""),"",A1783+IF(AND(Config!$B$17="Sim",LEFT(D1783,17)="Cartão de crédito"),1,IFERROR(INDEX(Config!$C$12:$C$15,MATCH(IF(AND(D1783="Cartão de crédito",N(E1783)&gt;1),"Cartão de crédito parcelado",D1783),Config!$A$12:$A$15,0)),0)))</f>
        <v/>
      </c>
      <c r="M1783" s="37">
        <f>IF(L1783="","",IF(AND(Config!$B$17="Sim",LEFT(D1783,17)="Cartão de crédito"),L1783,L1783+30*(MAX(1,N(E1783))-1)))</f>
        <v/>
      </c>
      <c r="N1783" s="29">
        <f>IF(OR(L1783="",K1783=""),"",K1783*MIN(MAX(1,N(E1783)),MAX(0,INT((Config!$B$8-L1783)/30)+1)))</f>
        <v/>
      </c>
      <c r="O1783" s="29">
        <f>IF(J1783="","",J1783-N(N1783))</f>
        <v/>
      </c>
      <c r="P1783" s="27">
        <f>IF(A1783="","",MONTH(A1783))</f>
        <v/>
      </c>
      <c r="Q1783" s="27">
        <f>IF(A1783="","",YEAR(A1783))</f>
        <v/>
      </c>
      <c r="R1783" s="27">
        <f>IF(L1783="","",IF(L1783&gt;Config!$B$8,"A cair",IF(N(G1783)&gt;=MIN(MAX(1,N(E1783)),MAX(0,INT((Config!$B$8-L1783)/30)+1)),IF(N(G1783)&gt;=MAX(1,N(E1783)),"Conferido","Conferido até aqui"),"A conferir")))</f>
        <v/>
      </c>
      <c r="S1783" s="51">
        <f>IF(R1783="A conferir",(Config!$B$8-L1783)*1000+N(F1783)/1000+ROW()/100000,0)</f>
        <v>0</v>
      </c>
      <c r="T1783" s="51">
        <f>IF(R1783="A conferir",N(N1783),0)</f>
        <v>0</v>
      </c>
      <c r="U1783" s="51">
        <f>IF(L1783="",0,L1783)</f>
        <v>0</v>
      </c>
      <c r="V1783" s="51">
        <f>IF(L1783="",0,MAX(1,N(E1783)))</f>
        <v>0</v>
      </c>
      <c r="W1783" s="51">
        <f>IF(K1783="",0,K1783)</f>
        <v>0</v>
      </c>
    </row>
    <row r="1784">
      <c r="A1784" s="49" t="n"/>
      <c r="B1784" s="41" t="n"/>
      <c r="C1784" s="41" t="n"/>
      <c r="D1784" s="42" t="n"/>
      <c r="E1784" s="42" t="n"/>
      <c r="F1784" s="50" t="n"/>
      <c r="G1784" s="42" t="n"/>
      <c r="H1784" s="30">
        <f>IF(D1784="","",IFERROR(INDEX(Config!$B$12:$B$15,MATCH(IF(AND(D1784="Cartão de crédito",N(E1784)&gt;1),"Cartão de crédito parcelado",D1784),Config!$A$12:$A$15,0)),0)+IF(AND(Config!$B$17="Sim",LEFT(D1784,17)="Cartão de crédito"),Config!$B$18*IFERROR(INDEX(Config!$C$12:$C$15,MATCH(IF(AND(D1784="Cartão de crédito",N(E1784)&gt;1),"Cartão de crédito parcelado",D1784),Config!$A$12:$A$15,0)),0)/30*MAX(1,N(E1784)),0))</f>
        <v/>
      </c>
      <c r="I1784" s="29">
        <f>IF(OR(D1784="",F1784=""),"",ROUND(F1784*H1784,2))</f>
        <v/>
      </c>
      <c r="J1784" s="29">
        <f>IF(I1784="","",F1784-I1784)</f>
        <v/>
      </c>
      <c r="K1784" s="29">
        <f>IF(J1784="","",J1784/MAX(1,N(E1784)))</f>
        <v/>
      </c>
      <c r="L1784" s="37">
        <f>IF(OR(D1784="",A1784=""),"",A1784+IF(AND(Config!$B$17="Sim",LEFT(D1784,17)="Cartão de crédito"),1,IFERROR(INDEX(Config!$C$12:$C$15,MATCH(IF(AND(D1784="Cartão de crédito",N(E1784)&gt;1),"Cartão de crédito parcelado",D1784),Config!$A$12:$A$15,0)),0)))</f>
        <v/>
      </c>
      <c r="M1784" s="37">
        <f>IF(L1784="","",IF(AND(Config!$B$17="Sim",LEFT(D1784,17)="Cartão de crédito"),L1784,L1784+30*(MAX(1,N(E1784))-1)))</f>
        <v/>
      </c>
      <c r="N1784" s="29">
        <f>IF(OR(L1784="",K1784=""),"",K1784*MIN(MAX(1,N(E1784)),MAX(0,INT((Config!$B$8-L1784)/30)+1)))</f>
        <v/>
      </c>
      <c r="O1784" s="29">
        <f>IF(J1784="","",J1784-N(N1784))</f>
        <v/>
      </c>
      <c r="P1784" s="27">
        <f>IF(A1784="","",MONTH(A1784))</f>
        <v/>
      </c>
      <c r="Q1784" s="27">
        <f>IF(A1784="","",YEAR(A1784))</f>
        <v/>
      </c>
      <c r="R1784" s="27">
        <f>IF(L1784="","",IF(L1784&gt;Config!$B$8,"A cair",IF(N(G1784)&gt;=MIN(MAX(1,N(E1784)),MAX(0,INT((Config!$B$8-L1784)/30)+1)),IF(N(G1784)&gt;=MAX(1,N(E1784)),"Conferido","Conferido até aqui"),"A conferir")))</f>
        <v/>
      </c>
      <c r="S1784" s="51">
        <f>IF(R1784="A conferir",(Config!$B$8-L1784)*1000+N(F1784)/1000+ROW()/100000,0)</f>
        <v>0</v>
      </c>
      <c r="T1784" s="51">
        <f>IF(R1784="A conferir",N(N1784),0)</f>
        <v>0</v>
      </c>
      <c r="U1784" s="51">
        <f>IF(L1784="",0,L1784)</f>
        <v>0</v>
      </c>
      <c r="V1784" s="51">
        <f>IF(L1784="",0,MAX(1,N(E1784)))</f>
        <v>0</v>
      </c>
      <c r="W1784" s="51">
        <f>IF(K1784="",0,K1784)</f>
        <v>0</v>
      </c>
    </row>
    <row r="1785">
      <c r="A1785" s="49" t="n"/>
      <c r="B1785" s="41" t="n"/>
      <c r="C1785" s="41" t="n"/>
      <c r="D1785" s="42" t="n"/>
      <c r="E1785" s="42" t="n"/>
      <c r="F1785" s="50" t="n"/>
      <c r="G1785" s="42" t="n"/>
      <c r="H1785" s="30">
        <f>IF(D1785="","",IFERROR(INDEX(Config!$B$12:$B$15,MATCH(IF(AND(D1785="Cartão de crédito",N(E1785)&gt;1),"Cartão de crédito parcelado",D1785),Config!$A$12:$A$15,0)),0)+IF(AND(Config!$B$17="Sim",LEFT(D1785,17)="Cartão de crédito"),Config!$B$18*IFERROR(INDEX(Config!$C$12:$C$15,MATCH(IF(AND(D1785="Cartão de crédito",N(E1785)&gt;1),"Cartão de crédito parcelado",D1785),Config!$A$12:$A$15,0)),0)/30*MAX(1,N(E1785)),0))</f>
        <v/>
      </c>
      <c r="I1785" s="29">
        <f>IF(OR(D1785="",F1785=""),"",ROUND(F1785*H1785,2))</f>
        <v/>
      </c>
      <c r="J1785" s="29">
        <f>IF(I1785="","",F1785-I1785)</f>
        <v/>
      </c>
      <c r="K1785" s="29">
        <f>IF(J1785="","",J1785/MAX(1,N(E1785)))</f>
        <v/>
      </c>
      <c r="L1785" s="37">
        <f>IF(OR(D1785="",A1785=""),"",A1785+IF(AND(Config!$B$17="Sim",LEFT(D1785,17)="Cartão de crédito"),1,IFERROR(INDEX(Config!$C$12:$C$15,MATCH(IF(AND(D1785="Cartão de crédito",N(E1785)&gt;1),"Cartão de crédito parcelado",D1785),Config!$A$12:$A$15,0)),0)))</f>
        <v/>
      </c>
      <c r="M1785" s="37">
        <f>IF(L1785="","",IF(AND(Config!$B$17="Sim",LEFT(D1785,17)="Cartão de crédito"),L1785,L1785+30*(MAX(1,N(E1785))-1)))</f>
        <v/>
      </c>
      <c r="N1785" s="29">
        <f>IF(OR(L1785="",K1785=""),"",K1785*MIN(MAX(1,N(E1785)),MAX(0,INT((Config!$B$8-L1785)/30)+1)))</f>
        <v/>
      </c>
      <c r="O1785" s="29">
        <f>IF(J1785="","",J1785-N(N1785))</f>
        <v/>
      </c>
      <c r="P1785" s="27">
        <f>IF(A1785="","",MONTH(A1785))</f>
        <v/>
      </c>
      <c r="Q1785" s="27">
        <f>IF(A1785="","",YEAR(A1785))</f>
        <v/>
      </c>
      <c r="R1785" s="27">
        <f>IF(L1785="","",IF(L1785&gt;Config!$B$8,"A cair",IF(N(G1785)&gt;=MIN(MAX(1,N(E1785)),MAX(0,INT((Config!$B$8-L1785)/30)+1)),IF(N(G1785)&gt;=MAX(1,N(E1785)),"Conferido","Conferido até aqui"),"A conferir")))</f>
        <v/>
      </c>
      <c r="S1785" s="51">
        <f>IF(R1785="A conferir",(Config!$B$8-L1785)*1000+N(F1785)/1000+ROW()/100000,0)</f>
        <v>0</v>
      </c>
      <c r="T1785" s="51">
        <f>IF(R1785="A conferir",N(N1785),0)</f>
        <v>0</v>
      </c>
      <c r="U1785" s="51">
        <f>IF(L1785="",0,L1785)</f>
        <v>0</v>
      </c>
      <c r="V1785" s="51">
        <f>IF(L1785="",0,MAX(1,N(E1785)))</f>
        <v>0</v>
      </c>
      <c r="W1785" s="51">
        <f>IF(K1785="",0,K1785)</f>
        <v>0</v>
      </c>
    </row>
    <row r="1786">
      <c r="A1786" s="49" t="n"/>
      <c r="B1786" s="41" t="n"/>
      <c r="C1786" s="41" t="n"/>
      <c r="D1786" s="42" t="n"/>
      <c r="E1786" s="42" t="n"/>
      <c r="F1786" s="50" t="n"/>
      <c r="G1786" s="42" t="n"/>
      <c r="H1786" s="30">
        <f>IF(D1786="","",IFERROR(INDEX(Config!$B$12:$B$15,MATCH(IF(AND(D1786="Cartão de crédito",N(E1786)&gt;1),"Cartão de crédito parcelado",D1786),Config!$A$12:$A$15,0)),0)+IF(AND(Config!$B$17="Sim",LEFT(D1786,17)="Cartão de crédito"),Config!$B$18*IFERROR(INDEX(Config!$C$12:$C$15,MATCH(IF(AND(D1786="Cartão de crédito",N(E1786)&gt;1),"Cartão de crédito parcelado",D1786),Config!$A$12:$A$15,0)),0)/30*MAX(1,N(E1786)),0))</f>
        <v/>
      </c>
      <c r="I1786" s="29">
        <f>IF(OR(D1786="",F1786=""),"",ROUND(F1786*H1786,2))</f>
        <v/>
      </c>
      <c r="J1786" s="29">
        <f>IF(I1786="","",F1786-I1786)</f>
        <v/>
      </c>
      <c r="K1786" s="29">
        <f>IF(J1786="","",J1786/MAX(1,N(E1786)))</f>
        <v/>
      </c>
      <c r="L1786" s="37">
        <f>IF(OR(D1786="",A1786=""),"",A1786+IF(AND(Config!$B$17="Sim",LEFT(D1786,17)="Cartão de crédito"),1,IFERROR(INDEX(Config!$C$12:$C$15,MATCH(IF(AND(D1786="Cartão de crédito",N(E1786)&gt;1),"Cartão de crédito parcelado",D1786),Config!$A$12:$A$15,0)),0)))</f>
        <v/>
      </c>
      <c r="M1786" s="37">
        <f>IF(L1786="","",IF(AND(Config!$B$17="Sim",LEFT(D1786,17)="Cartão de crédito"),L1786,L1786+30*(MAX(1,N(E1786))-1)))</f>
        <v/>
      </c>
      <c r="N1786" s="29">
        <f>IF(OR(L1786="",K1786=""),"",K1786*MIN(MAX(1,N(E1786)),MAX(0,INT((Config!$B$8-L1786)/30)+1)))</f>
        <v/>
      </c>
      <c r="O1786" s="29">
        <f>IF(J1786="","",J1786-N(N1786))</f>
        <v/>
      </c>
      <c r="P1786" s="27">
        <f>IF(A1786="","",MONTH(A1786))</f>
        <v/>
      </c>
      <c r="Q1786" s="27">
        <f>IF(A1786="","",YEAR(A1786))</f>
        <v/>
      </c>
      <c r="R1786" s="27">
        <f>IF(L1786="","",IF(L1786&gt;Config!$B$8,"A cair",IF(N(G1786)&gt;=MIN(MAX(1,N(E1786)),MAX(0,INT((Config!$B$8-L1786)/30)+1)),IF(N(G1786)&gt;=MAX(1,N(E1786)),"Conferido","Conferido até aqui"),"A conferir")))</f>
        <v/>
      </c>
      <c r="S1786" s="51">
        <f>IF(R1786="A conferir",(Config!$B$8-L1786)*1000+N(F1786)/1000+ROW()/100000,0)</f>
        <v>0</v>
      </c>
      <c r="T1786" s="51">
        <f>IF(R1786="A conferir",N(N1786),0)</f>
        <v>0</v>
      </c>
      <c r="U1786" s="51">
        <f>IF(L1786="",0,L1786)</f>
        <v>0</v>
      </c>
      <c r="V1786" s="51">
        <f>IF(L1786="",0,MAX(1,N(E1786)))</f>
        <v>0</v>
      </c>
      <c r="W1786" s="51">
        <f>IF(K1786="",0,K1786)</f>
        <v>0</v>
      </c>
    </row>
    <row r="1787">
      <c r="A1787" s="49" t="n"/>
      <c r="B1787" s="41" t="n"/>
      <c r="C1787" s="41" t="n"/>
      <c r="D1787" s="42" t="n"/>
      <c r="E1787" s="42" t="n"/>
      <c r="F1787" s="50" t="n"/>
      <c r="G1787" s="42" t="n"/>
      <c r="H1787" s="30">
        <f>IF(D1787="","",IFERROR(INDEX(Config!$B$12:$B$15,MATCH(IF(AND(D1787="Cartão de crédito",N(E1787)&gt;1),"Cartão de crédito parcelado",D1787),Config!$A$12:$A$15,0)),0)+IF(AND(Config!$B$17="Sim",LEFT(D1787,17)="Cartão de crédito"),Config!$B$18*IFERROR(INDEX(Config!$C$12:$C$15,MATCH(IF(AND(D1787="Cartão de crédito",N(E1787)&gt;1),"Cartão de crédito parcelado",D1787),Config!$A$12:$A$15,0)),0)/30*MAX(1,N(E1787)),0))</f>
        <v/>
      </c>
      <c r="I1787" s="29">
        <f>IF(OR(D1787="",F1787=""),"",ROUND(F1787*H1787,2))</f>
        <v/>
      </c>
      <c r="J1787" s="29">
        <f>IF(I1787="","",F1787-I1787)</f>
        <v/>
      </c>
      <c r="K1787" s="29">
        <f>IF(J1787="","",J1787/MAX(1,N(E1787)))</f>
        <v/>
      </c>
      <c r="L1787" s="37">
        <f>IF(OR(D1787="",A1787=""),"",A1787+IF(AND(Config!$B$17="Sim",LEFT(D1787,17)="Cartão de crédito"),1,IFERROR(INDEX(Config!$C$12:$C$15,MATCH(IF(AND(D1787="Cartão de crédito",N(E1787)&gt;1),"Cartão de crédito parcelado",D1787),Config!$A$12:$A$15,0)),0)))</f>
        <v/>
      </c>
      <c r="M1787" s="37">
        <f>IF(L1787="","",IF(AND(Config!$B$17="Sim",LEFT(D1787,17)="Cartão de crédito"),L1787,L1787+30*(MAX(1,N(E1787))-1)))</f>
        <v/>
      </c>
      <c r="N1787" s="29">
        <f>IF(OR(L1787="",K1787=""),"",K1787*MIN(MAX(1,N(E1787)),MAX(0,INT((Config!$B$8-L1787)/30)+1)))</f>
        <v/>
      </c>
      <c r="O1787" s="29">
        <f>IF(J1787="","",J1787-N(N1787))</f>
        <v/>
      </c>
      <c r="P1787" s="27">
        <f>IF(A1787="","",MONTH(A1787))</f>
        <v/>
      </c>
      <c r="Q1787" s="27">
        <f>IF(A1787="","",YEAR(A1787))</f>
        <v/>
      </c>
      <c r="R1787" s="27">
        <f>IF(L1787="","",IF(L1787&gt;Config!$B$8,"A cair",IF(N(G1787)&gt;=MIN(MAX(1,N(E1787)),MAX(0,INT((Config!$B$8-L1787)/30)+1)),IF(N(G1787)&gt;=MAX(1,N(E1787)),"Conferido","Conferido até aqui"),"A conferir")))</f>
        <v/>
      </c>
      <c r="S1787" s="51">
        <f>IF(R1787="A conferir",(Config!$B$8-L1787)*1000+N(F1787)/1000+ROW()/100000,0)</f>
        <v>0</v>
      </c>
      <c r="T1787" s="51">
        <f>IF(R1787="A conferir",N(N1787),0)</f>
        <v>0</v>
      </c>
      <c r="U1787" s="51">
        <f>IF(L1787="",0,L1787)</f>
        <v>0</v>
      </c>
      <c r="V1787" s="51">
        <f>IF(L1787="",0,MAX(1,N(E1787)))</f>
        <v>0</v>
      </c>
      <c r="W1787" s="51">
        <f>IF(K1787="",0,K1787)</f>
        <v>0</v>
      </c>
    </row>
    <row r="1788">
      <c r="A1788" s="49" t="n"/>
      <c r="B1788" s="41" t="n"/>
      <c r="C1788" s="41" t="n"/>
      <c r="D1788" s="42" t="n"/>
      <c r="E1788" s="42" t="n"/>
      <c r="F1788" s="50" t="n"/>
      <c r="G1788" s="42" t="n"/>
      <c r="H1788" s="30">
        <f>IF(D1788="","",IFERROR(INDEX(Config!$B$12:$B$15,MATCH(IF(AND(D1788="Cartão de crédito",N(E1788)&gt;1),"Cartão de crédito parcelado",D1788),Config!$A$12:$A$15,0)),0)+IF(AND(Config!$B$17="Sim",LEFT(D1788,17)="Cartão de crédito"),Config!$B$18*IFERROR(INDEX(Config!$C$12:$C$15,MATCH(IF(AND(D1788="Cartão de crédito",N(E1788)&gt;1),"Cartão de crédito parcelado",D1788),Config!$A$12:$A$15,0)),0)/30*MAX(1,N(E1788)),0))</f>
        <v/>
      </c>
      <c r="I1788" s="29">
        <f>IF(OR(D1788="",F1788=""),"",ROUND(F1788*H1788,2))</f>
        <v/>
      </c>
      <c r="J1788" s="29">
        <f>IF(I1788="","",F1788-I1788)</f>
        <v/>
      </c>
      <c r="K1788" s="29">
        <f>IF(J1788="","",J1788/MAX(1,N(E1788)))</f>
        <v/>
      </c>
      <c r="L1788" s="37">
        <f>IF(OR(D1788="",A1788=""),"",A1788+IF(AND(Config!$B$17="Sim",LEFT(D1788,17)="Cartão de crédito"),1,IFERROR(INDEX(Config!$C$12:$C$15,MATCH(IF(AND(D1788="Cartão de crédito",N(E1788)&gt;1),"Cartão de crédito parcelado",D1788),Config!$A$12:$A$15,0)),0)))</f>
        <v/>
      </c>
      <c r="M1788" s="37">
        <f>IF(L1788="","",IF(AND(Config!$B$17="Sim",LEFT(D1788,17)="Cartão de crédito"),L1788,L1788+30*(MAX(1,N(E1788))-1)))</f>
        <v/>
      </c>
      <c r="N1788" s="29">
        <f>IF(OR(L1788="",K1788=""),"",K1788*MIN(MAX(1,N(E1788)),MAX(0,INT((Config!$B$8-L1788)/30)+1)))</f>
        <v/>
      </c>
      <c r="O1788" s="29">
        <f>IF(J1788="","",J1788-N(N1788))</f>
        <v/>
      </c>
      <c r="P1788" s="27">
        <f>IF(A1788="","",MONTH(A1788))</f>
        <v/>
      </c>
      <c r="Q1788" s="27">
        <f>IF(A1788="","",YEAR(A1788))</f>
        <v/>
      </c>
      <c r="R1788" s="27">
        <f>IF(L1788="","",IF(L1788&gt;Config!$B$8,"A cair",IF(N(G1788)&gt;=MIN(MAX(1,N(E1788)),MAX(0,INT((Config!$B$8-L1788)/30)+1)),IF(N(G1788)&gt;=MAX(1,N(E1788)),"Conferido","Conferido até aqui"),"A conferir")))</f>
        <v/>
      </c>
      <c r="S1788" s="51">
        <f>IF(R1788="A conferir",(Config!$B$8-L1788)*1000+N(F1788)/1000+ROW()/100000,0)</f>
        <v>0</v>
      </c>
      <c r="T1788" s="51">
        <f>IF(R1788="A conferir",N(N1788),0)</f>
        <v>0</v>
      </c>
      <c r="U1788" s="51">
        <f>IF(L1788="",0,L1788)</f>
        <v>0</v>
      </c>
      <c r="V1788" s="51">
        <f>IF(L1788="",0,MAX(1,N(E1788)))</f>
        <v>0</v>
      </c>
      <c r="W1788" s="51">
        <f>IF(K1788="",0,K1788)</f>
        <v>0</v>
      </c>
    </row>
    <row r="1789">
      <c r="A1789" s="49" t="n"/>
      <c r="B1789" s="41" t="n"/>
      <c r="C1789" s="41" t="n"/>
      <c r="D1789" s="42" t="n"/>
      <c r="E1789" s="42" t="n"/>
      <c r="F1789" s="50" t="n"/>
      <c r="G1789" s="42" t="n"/>
      <c r="H1789" s="30">
        <f>IF(D1789="","",IFERROR(INDEX(Config!$B$12:$B$15,MATCH(IF(AND(D1789="Cartão de crédito",N(E1789)&gt;1),"Cartão de crédito parcelado",D1789),Config!$A$12:$A$15,0)),0)+IF(AND(Config!$B$17="Sim",LEFT(D1789,17)="Cartão de crédito"),Config!$B$18*IFERROR(INDEX(Config!$C$12:$C$15,MATCH(IF(AND(D1789="Cartão de crédito",N(E1789)&gt;1),"Cartão de crédito parcelado",D1789),Config!$A$12:$A$15,0)),0)/30*MAX(1,N(E1789)),0))</f>
        <v/>
      </c>
      <c r="I1789" s="29">
        <f>IF(OR(D1789="",F1789=""),"",ROUND(F1789*H1789,2))</f>
        <v/>
      </c>
      <c r="J1789" s="29">
        <f>IF(I1789="","",F1789-I1789)</f>
        <v/>
      </c>
      <c r="K1789" s="29">
        <f>IF(J1789="","",J1789/MAX(1,N(E1789)))</f>
        <v/>
      </c>
      <c r="L1789" s="37">
        <f>IF(OR(D1789="",A1789=""),"",A1789+IF(AND(Config!$B$17="Sim",LEFT(D1789,17)="Cartão de crédito"),1,IFERROR(INDEX(Config!$C$12:$C$15,MATCH(IF(AND(D1789="Cartão de crédito",N(E1789)&gt;1),"Cartão de crédito parcelado",D1789),Config!$A$12:$A$15,0)),0)))</f>
        <v/>
      </c>
      <c r="M1789" s="37">
        <f>IF(L1789="","",IF(AND(Config!$B$17="Sim",LEFT(D1789,17)="Cartão de crédito"),L1789,L1789+30*(MAX(1,N(E1789))-1)))</f>
        <v/>
      </c>
      <c r="N1789" s="29">
        <f>IF(OR(L1789="",K1789=""),"",K1789*MIN(MAX(1,N(E1789)),MAX(0,INT((Config!$B$8-L1789)/30)+1)))</f>
        <v/>
      </c>
      <c r="O1789" s="29">
        <f>IF(J1789="","",J1789-N(N1789))</f>
        <v/>
      </c>
      <c r="P1789" s="27">
        <f>IF(A1789="","",MONTH(A1789))</f>
        <v/>
      </c>
      <c r="Q1789" s="27">
        <f>IF(A1789="","",YEAR(A1789))</f>
        <v/>
      </c>
      <c r="R1789" s="27">
        <f>IF(L1789="","",IF(L1789&gt;Config!$B$8,"A cair",IF(N(G1789)&gt;=MIN(MAX(1,N(E1789)),MAX(0,INT((Config!$B$8-L1789)/30)+1)),IF(N(G1789)&gt;=MAX(1,N(E1789)),"Conferido","Conferido até aqui"),"A conferir")))</f>
        <v/>
      </c>
      <c r="S1789" s="51">
        <f>IF(R1789="A conferir",(Config!$B$8-L1789)*1000+N(F1789)/1000+ROW()/100000,0)</f>
        <v>0</v>
      </c>
      <c r="T1789" s="51">
        <f>IF(R1789="A conferir",N(N1789),0)</f>
        <v>0</v>
      </c>
      <c r="U1789" s="51">
        <f>IF(L1789="",0,L1789)</f>
        <v>0</v>
      </c>
      <c r="V1789" s="51">
        <f>IF(L1789="",0,MAX(1,N(E1789)))</f>
        <v>0</v>
      </c>
      <c r="W1789" s="51">
        <f>IF(K1789="",0,K1789)</f>
        <v>0</v>
      </c>
    </row>
    <row r="1790">
      <c r="A1790" s="49" t="n"/>
      <c r="B1790" s="41" t="n"/>
      <c r="C1790" s="41" t="n"/>
      <c r="D1790" s="42" t="n"/>
      <c r="E1790" s="42" t="n"/>
      <c r="F1790" s="50" t="n"/>
      <c r="G1790" s="42" t="n"/>
      <c r="H1790" s="30">
        <f>IF(D1790="","",IFERROR(INDEX(Config!$B$12:$B$15,MATCH(IF(AND(D1790="Cartão de crédito",N(E1790)&gt;1),"Cartão de crédito parcelado",D1790),Config!$A$12:$A$15,0)),0)+IF(AND(Config!$B$17="Sim",LEFT(D1790,17)="Cartão de crédito"),Config!$B$18*IFERROR(INDEX(Config!$C$12:$C$15,MATCH(IF(AND(D1790="Cartão de crédito",N(E1790)&gt;1),"Cartão de crédito parcelado",D1790),Config!$A$12:$A$15,0)),0)/30*MAX(1,N(E1790)),0))</f>
        <v/>
      </c>
      <c r="I1790" s="29">
        <f>IF(OR(D1790="",F1790=""),"",ROUND(F1790*H1790,2))</f>
        <v/>
      </c>
      <c r="J1790" s="29">
        <f>IF(I1790="","",F1790-I1790)</f>
        <v/>
      </c>
      <c r="K1790" s="29">
        <f>IF(J1790="","",J1790/MAX(1,N(E1790)))</f>
        <v/>
      </c>
      <c r="L1790" s="37">
        <f>IF(OR(D1790="",A1790=""),"",A1790+IF(AND(Config!$B$17="Sim",LEFT(D1790,17)="Cartão de crédito"),1,IFERROR(INDEX(Config!$C$12:$C$15,MATCH(IF(AND(D1790="Cartão de crédito",N(E1790)&gt;1),"Cartão de crédito parcelado",D1790),Config!$A$12:$A$15,0)),0)))</f>
        <v/>
      </c>
      <c r="M1790" s="37">
        <f>IF(L1790="","",IF(AND(Config!$B$17="Sim",LEFT(D1790,17)="Cartão de crédito"),L1790,L1790+30*(MAX(1,N(E1790))-1)))</f>
        <v/>
      </c>
      <c r="N1790" s="29">
        <f>IF(OR(L1790="",K1790=""),"",K1790*MIN(MAX(1,N(E1790)),MAX(0,INT((Config!$B$8-L1790)/30)+1)))</f>
        <v/>
      </c>
      <c r="O1790" s="29">
        <f>IF(J1790="","",J1790-N(N1790))</f>
        <v/>
      </c>
      <c r="P1790" s="27">
        <f>IF(A1790="","",MONTH(A1790))</f>
        <v/>
      </c>
      <c r="Q1790" s="27">
        <f>IF(A1790="","",YEAR(A1790))</f>
        <v/>
      </c>
      <c r="R1790" s="27">
        <f>IF(L1790="","",IF(L1790&gt;Config!$B$8,"A cair",IF(N(G1790)&gt;=MIN(MAX(1,N(E1790)),MAX(0,INT((Config!$B$8-L1790)/30)+1)),IF(N(G1790)&gt;=MAX(1,N(E1790)),"Conferido","Conferido até aqui"),"A conferir")))</f>
        <v/>
      </c>
      <c r="S1790" s="51">
        <f>IF(R1790="A conferir",(Config!$B$8-L1790)*1000+N(F1790)/1000+ROW()/100000,0)</f>
        <v>0</v>
      </c>
      <c r="T1790" s="51">
        <f>IF(R1790="A conferir",N(N1790),0)</f>
        <v>0</v>
      </c>
      <c r="U1790" s="51">
        <f>IF(L1790="",0,L1790)</f>
        <v>0</v>
      </c>
      <c r="V1790" s="51">
        <f>IF(L1790="",0,MAX(1,N(E1790)))</f>
        <v>0</v>
      </c>
      <c r="W1790" s="51">
        <f>IF(K1790="",0,K1790)</f>
        <v>0</v>
      </c>
    </row>
    <row r="1791">
      <c r="A1791" s="49" t="n"/>
      <c r="B1791" s="41" t="n"/>
      <c r="C1791" s="41" t="n"/>
      <c r="D1791" s="42" t="n"/>
      <c r="E1791" s="42" t="n"/>
      <c r="F1791" s="50" t="n"/>
      <c r="G1791" s="42" t="n"/>
      <c r="H1791" s="30">
        <f>IF(D1791="","",IFERROR(INDEX(Config!$B$12:$B$15,MATCH(IF(AND(D1791="Cartão de crédito",N(E1791)&gt;1),"Cartão de crédito parcelado",D1791),Config!$A$12:$A$15,0)),0)+IF(AND(Config!$B$17="Sim",LEFT(D1791,17)="Cartão de crédito"),Config!$B$18*IFERROR(INDEX(Config!$C$12:$C$15,MATCH(IF(AND(D1791="Cartão de crédito",N(E1791)&gt;1),"Cartão de crédito parcelado",D1791),Config!$A$12:$A$15,0)),0)/30*MAX(1,N(E1791)),0))</f>
        <v/>
      </c>
      <c r="I1791" s="29">
        <f>IF(OR(D1791="",F1791=""),"",ROUND(F1791*H1791,2))</f>
        <v/>
      </c>
      <c r="J1791" s="29">
        <f>IF(I1791="","",F1791-I1791)</f>
        <v/>
      </c>
      <c r="K1791" s="29">
        <f>IF(J1791="","",J1791/MAX(1,N(E1791)))</f>
        <v/>
      </c>
      <c r="L1791" s="37">
        <f>IF(OR(D1791="",A1791=""),"",A1791+IF(AND(Config!$B$17="Sim",LEFT(D1791,17)="Cartão de crédito"),1,IFERROR(INDEX(Config!$C$12:$C$15,MATCH(IF(AND(D1791="Cartão de crédito",N(E1791)&gt;1),"Cartão de crédito parcelado",D1791),Config!$A$12:$A$15,0)),0)))</f>
        <v/>
      </c>
      <c r="M1791" s="37">
        <f>IF(L1791="","",IF(AND(Config!$B$17="Sim",LEFT(D1791,17)="Cartão de crédito"),L1791,L1791+30*(MAX(1,N(E1791))-1)))</f>
        <v/>
      </c>
      <c r="N1791" s="29">
        <f>IF(OR(L1791="",K1791=""),"",K1791*MIN(MAX(1,N(E1791)),MAX(0,INT((Config!$B$8-L1791)/30)+1)))</f>
        <v/>
      </c>
      <c r="O1791" s="29">
        <f>IF(J1791="","",J1791-N(N1791))</f>
        <v/>
      </c>
      <c r="P1791" s="27">
        <f>IF(A1791="","",MONTH(A1791))</f>
        <v/>
      </c>
      <c r="Q1791" s="27">
        <f>IF(A1791="","",YEAR(A1791))</f>
        <v/>
      </c>
      <c r="R1791" s="27">
        <f>IF(L1791="","",IF(L1791&gt;Config!$B$8,"A cair",IF(N(G1791)&gt;=MIN(MAX(1,N(E1791)),MAX(0,INT((Config!$B$8-L1791)/30)+1)),IF(N(G1791)&gt;=MAX(1,N(E1791)),"Conferido","Conferido até aqui"),"A conferir")))</f>
        <v/>
      </c>
      <c r="S1791" s="51">
        <f>IF(R1791="A conferir",(Config!$B$8-L1791)*1000+N(F1791)/1000+ROW()/100000,0)</f>
        <v>0</v>
      </c>
      <c r="T1791" s="51">
        <f>IF(R1791="A conferir",N(N1791),0)</f>
        <v>0</v>
      </c>
      <c r="U1791" s="51">
        <f>IF(L1791="",0,L1791)</f>
        <v>0</v>
      </c>
      <c r="V1791" s="51">
        <f>IF(L1791="",0,MAX(1,N(E1791)))</f>
        <v>0</v>
      </c>
      <c r="W1791" s="51">
        <f>IF(K1791="",0,K1791)</f>
        <v>0</v>
      </c>
    </row>
    <row r="1792">
      <c r="A1792" s="49" t="n"/>
      <c r="B1792" s="41" t="n"/>
      <c r="C1792" s="41" t="n"/>
      <c r="D1792" s="42" t="n"/>
      <c r="E1792" s="42" t="n"/>
      <c r="F1792" s="50" t="n"/>
      <c r="G1792" s="42" t="n"/>
      <c r="H1792" s="30">
        <f>IF(D1792="","",IFERROR(INDEX(Config!$B$12:$B$15,MATCH(IF(AND(D1792="Cartão de crédito",N(E1792)&gt;1),"Cartão de crédito parcelado",D1792),Config!$A$12:$A$15,0)),0)+IF(AND(Config!$B$17="Sim",LEFT(D1792,17)="Cartão de crédito"),Config!$B$18*IFERROR(INDEX(Config!$C$12:$C$15,MATCH(IF(AND(D1792="Cartão de crédito",N(E1792)&gt;1),"Cartão de crédito parcelado",D1792),Config!$A$12:$A$15,0)),0)/30*MAX(1,N(E1792)),0))</f>
        <v/>
      </c>
      <c r="I1792" s="29">
        <f>IF(OR(D1792="",F1792=""),"",ROUND(F1792*H1792,2))</f>
        <v/>
      </c>
      <c r="J1792" s="29">
        <f>IF(I1792="","",F1792-I1792)</f>
        <v/>
      </c>
      <c r="K1792" s="29">
        <f>IF(J1792="","",J1792/MAX(1,N(E1792)))</f>
        <v/>
      </c>
      <c r="L1792" s="37">
        <f>IF(OR(D1792="",A1792=""),"",A1792+IF(AND(Config!$B$17="Sim",LEFT(D1792,17)="Cartão de crédito"),1,IFERROR(INDEX(Config!$C$12:$C$15,MATCH(IF(AND(D1792="Cartão de crédito",N(E1792)&gt;1),"Cartão de crédito parcelado",D1792),Config!$A$12:$A$15,0)),0)))</f>
        <v/>
      </c>
      <c r="M1792" s="37">
        <f>IF(L1792="","",IF(AND(Config!$B$17="Sim",LEFT(D1792,17)="Cartão de crédito"),L1792,L1792+30*(MAX(1,N(E1792))-1)))</f>
        <v/>
      </c>
      <c r="N1792" s="29">
        <f>IF(OR(L1792="",K1792=""),"",K1792*MIN(MAX(1,N(E1792)),MAX(0,INT((Config!$B$8-L1792)/30)+1)))</f>
        <v/>
      </c>
      <c r="O1792" s="29">
        <f>IF(J1792="","",J1792-N(N1792))</f>
        <v/>
      </c>
      <c r="P1792" s="27">
        <f>IF(A1792="","",MONTH(A1792))</f>
        <v/>
      </c>
      <c r="Q1792" s="27">
        <f>IF(A1792="","",YEAR(A1792))</f>
        <v/>
      </c>
      <c r="R1792" s="27">
        <f>IF(L1792="","",IF(L1792&gt;Config!$B$8,"A cair",IF(N(G1792)&gt;=MIN(MAX(1,N(E1792)),MAX(0,INT((Config!$B$8-L1792)/30)+1)),IF(N(G1792)&gt;=MAX(1,N(E1792)),"Conferido","Conferido até aqui"),"A conferir")))</f>
        <v/>
      </c>
      <c r="S1792" s="51">
        <f>IF(R1792="A conferir",(Config!$B$8-L1792)*1000+N(F1792)/1000+ROW()/100000,0)</f>
        <v>0</v>
      </c>
      <c r="T1792" s="51">
        <f>IF(R1792="A conferir",N(N1792),0)</f>
        <v>0</v>
      </c>
      <c r="U1792" s="51">
        <f>IF(L1792="",0,L1792)</f>
        <v>0</v>
      </c>
      <c r="V1792" s="51">
        <f>IF(L1792="",0,MAX(1,N(E1792)))</f>
        <v>0</v>
      </c>
      <c r="W1792" s="51">
        <f>IF(K1792="",0,K1792)</f>
        <v>0</v>
      </c>
    </row>
    <row r="1793">
      <c r="A1793" s="49" t="n"/>
      <c r="B1793" s="41" t="n"/>
      <c r="C1793" s="41" t="n"/>
      <c r="D1793" s="42" t="n"/>
      <c r="E1793" s="42" t="n"/>
      <c r="F1793" s="50" t="n"/>
      <c r="G1793" s="42" t="n"/>
      <c r="H1793" s="30">
        <f>IF(D1793="","",IFERROR(INDEX(Config!$B$12:$B$15,MATCH(IF(AND(D1793="Cartão de crédito",N(E1793)&gt;1),"Cartão de crédito parcelado",D1793),Config!$A$12:$A$15,0)),0)+IF(AND(Config!$B$17="Sim",LEFT(D1793,17)="Cartão de crédito"),Config!$B$18*IFERROR(INDEX(Config!$C$12:$C$15,MATCH(IF(AND(D1793="Cartão de crédito",N(E1793)&gt;1),"Cartão de crédito parcelado",D1793),Config!$A$12:$A$15,0)),0)/30*MAX(1,N(E1793)),0))</f>
        <v/>
      </c>
      <c r="I1793" s="29">
        <f>IF(OR(D1793="",F1793=""),"",ROUND(F1793*H1793,2))</f>
        <v/>
      </c>
      <c r="J1793" s="29">
        <f>IF(I1793="","",F1793-I1793)</f>
        <v/>
      </c>
      <c r="K1793" s="29">
        <f>IF(J1793="","",J1793/MAX(1,N(E1793)))</f>
        <v/>
      </c>
      <c r="L1793" s="37">
        <f>IF(OR(D1793="",A1793=""),"",A1793+IF(AND(Config!$B$17="Sim",LEFT(D1793,17)="Cartão de crédito"),1,IFERROR(INDEX(Config!$C$12:$C$15,MATCH(IF(AND(D1793="Cartão de crédito",N(E1793)&gt;1),"Cartão de crédito parcelado",D1793),Config!$A$12:$A$15,0)),0)))</f>
        <v/>
      </c>
      <c r="M1793" s="37">
        <f>IF(L1793="","",IF(AND(Config!$B$17="Sim",LEFT(D1793,17)="Cartão de crédito"),L1793,L1793+30*(MAX(1,N(E1793))-1)))</f>
        <v/>
      </c>
      <c r="N1793" s="29">
        <f>IF(OR(L1793="",K1793=""),"",K1793*MIN(MAX(1,N(E1793)),MAX(0,INT((Config!$B$8-L1793)/30)+1)))</f>
        <v/>
      </c>
      <c r="O1793" s="29">
        <f>IF(J1793="","",J1793-N(N1793))</f>
        <v/>
      </c>
      <c r="P1793" s="27">
        <f>IF(A1793="","",MONTH(A1793))</f>
        <v/>
      </c>
      <c r="Q1793" s="27">
        <f>IF(A1793="","",YEAR(A1793))</f>
        <v/>
      </c>
      <c r="R1793" s="27">
        <f>IF(L1793="","",IF(L1793&gt;Config!$B$8,"A cair",IF(N(G1793)&gt;=MIN(MAX(1,N(E1793)),MAX(0,INT((Config!$B$8-L1793)/30)+1)),IF(N(G1793)&gt;=MAX(1,N(E1793)),"Conferido","Conferido até aqui"),"A conferir")))</f>
        <v/>
      </c>
      <c r="S1793" s="51">
        <f>IF(R1793="A conferir",(Config!$B$8-L1793)*1000+N(F1793)/1000+ROW()/100000,0)</f>
        <v>0</v>
      </c>
      <c r="T1793" s="51">
        <f>IF(R1793="A conferir",N(N1793),0)</f>
        <v>0</v>
      </c>
      <c r="U1793" s="51">
        <f>IF(L1793="",0,L1793)</f>
        <v>0</v>
      </c>
      <c r="V1793" s="51">
        <f>IF(L1793="",0,MAX(1,N(E1793)))</f>
        <v>0</v>
      </c>
      <c r="W1793" s="51">
        <f>IF(K1793="",0,K1793)</f>
        <v>0</v>
      </c>
    </row>
    <row r="1794">
      <c r="A1794" s="49" t="n"/>
      <c r="B1794" s="41" t="n"/>
      <c r="C1794" s="41" t="n"/>
      <c r="D1794" s="42" t="n"/>
      <c r="E1794" s="42" t="n"/>
      <c r="F1794" s="50" t="n"/>
      <c r="G1794" s="42" t="n"/>
      <c r="H1794" s="30">
        <f>IF(D1794="","",IFERROR(INDEX(Config!$B$12:$B$15,MATCH(IF(AND(D1794="Cartão de crédito",N(E1794)&gt;1),"Cartão de crédito parcelado",D1794),Config!$A$12:$A$15,0)),0)+IF(AND(Config!$B$17="Sim",LEFT(D1794,17)="Cartão de crédito"),Config!$B$18*IFERROR(INDEX(Config!$C$12:$C$15,MATCH(IF(AND(D1794="Cartão de crédito",N(E1794)&gt;1),"Cartão de crédito parcelado",D1794),Config!$A$12:$A$15,0)),0)/30*MAX(1,N(E1794)),0))</f>
        <v/>
      </c>
      <c r="I1794" s="29">
        <f>IF(OR(D1794="",F1794=""),"",ROUND(F1794*H1794,2))</f>
        <v/>
      </c>
      <c r="J1794" s="29">
        <f>IF(I1794="","",F1794-I1794)</f>
        <v/>
      </c>
      <c r="K1794" s="29">
        <f>IF(J1794="","",J1794/MAX(1,N(E1794)))</f>
        <v/>
      </c>
      <c r="L1794" s="37">
        <f>IF(OR(D1794="",A1794=""),"",A1794+IF(AND(Config!$B$17="Sim",LEFT(D1794,17)="Cartão de crédito"),1,IFERROR(INDEX(Config!$C$12:$C$15,MATCH(IF(AND(D1794="Cartão de crédito",N(E1794)&gt;1),"Cartão de crédito parcelado",D1794),Config!$A$12:$A$15,0)),0)))</f>
        <v/>
      </c>
      <c r="M1794" s="37">
        <f>IF(L1794="","",IF(AND(Config!$B$17="Sim",LEFT(D1794,17)="Cartão de crédito"),L1794,L1794+30*(MAX(1,N(E1794))-1)))</f>
        <v/>
      </c>
      <c r="N1794" s="29">
        <f>IF(OR(L1794="",K1794=""),"",K1794*MIN(MAX(1,N(E1794)),MAX(0,INT((Config!$B$8-L1794)/30)+1)))</f>
        <v/>
      </c>
      <c r="O1794" s="29">
        <f>IF(J1794="","",J1794-N(N1794))</f>
        <v/>
      </c>
      <c r="P1794" s="27">
        <f>IF(A1794="","",MONTH(A1794))</f>
        <v/>
      </c>
      <c r="Q1794" s="27">
        <f>IF(A1794="","",YEAR(A1794))</f>
        <v/>
      </c>
      <c r="R1794" s="27">
        <f>IF(L1794="","",IF(L1794&gt;Config!$B$8,"A cair",IF(N(G1794)&gt;=MIN(MAX(1,N(E1794)),MAX(0,INT((Config!$B$8-L1794)/30)+1)),IF(N(G1794)&gt;=MAX(1,N(E1794)),"Conferido","Conferido até aqui"),"A conferir")))</f>
        <v/>
      </c>
      <c r="S1794" s="51">
        <f>IF(R1794="A conferir",(Config!$B$8-L1794)*1000+N(F1794)/1000+ROW()/100000,0)</f>
        <v>0</v>
      </c>
      <c r="T1794" s="51">
        <f>IF(R1794="A conferir",N(N1794),0)</f>
        <v>0</v>
      </c>
      <c r="U1794" s="51">
        <f>IF(L1794="",0,L1794)</f>
        <v>0</v>
      </c>
      <c r="V1794" s="51">
        <f>IF(L1794="",0,MAX(1,N(E1794)))</f>
        <v>0</v>
      </c>
      <c r="W1794" s="51">
        <f>IF(K1794="",0,K1794)</f>
        <v>0</v>
      </c>
    </row>
    <row r="1795">
      <c r="A1795" s="49" t="n"/>
      <c r="B1795" s="41" t="n"/>
      <c r="C1795" s="41" t="n"/>
      <c r="D1795" s="42" t="n"/>
      <c r="E1795" s="42" t="n"/>
      <c r="F1795" s="50" t="n"/>
      <c r="G1795" s="42" t="n"/>
      <c r="H1795" s="30">
        <f>IF(D1795="","",IFERROR(INDEX(Config!$B$12:$B$15,MATCH(IF(AND(D1795="Cartão de crédito",N(E1795)&gt;1),"Cartão de crédito parcelado",D1795),Config!$A$12:$A$15,0)),0)+IF(AND(Config!$B$17="Sim",LEFT(D1795,17)="Cartão de crédito"),Config!$B$18*IFERROR(INDEX(Config!$C$12:$C$15,MATCH(IF(AND(D1795="Cartão de crédito",N(E1795)&gt;1),"Cartão de crédito parcelado",D1795),Config!$A$12:$A$15,0)),0)/30*MAX(1,N(E1795)),0))</f>
        <v/>
      </c>
      <c r="I1795" s="29">
        <f>IF(OR(D1795="",F1795=""),"",ROUND(F1795*H1795,2))</f>
        <v/>
      </c>
      <c r="J1795" s="29">
        <f>IF(I1795="","",F1795-I1795)</f>
        <v/>
      </c>
      <c r="K1795" s="29">
        <f>IF(J1795="","",J1795/MAX(1,N(E1795)))</f>
        <v/>
      </c>
      <c r="L1795" s="37">
        <f>IF(OR(D1795="",A1795=""),"",A1795+IF(AND(Config!$B$17="Sim",LEFT(D1795,17)="Cartão de crédito"),1,IFERROR(INDEX(Config!$C$12:$C$15,MATCH(IF(AND(D1795="Cartão de crédito",N(E1795)&gt;1),"Cartão de crédito parcelado",D1795),Config!$A$12:$A$15,0)),0)))</f>
        <v/>
      </c>
      <c r="M1795" s="37">
        <f>IF(L1795="","",IF(AND(Config!$B$17="Sim",LEFT(D1795,17)="Cartão de crédito"),L1795,L1795+30*(MAX(1,N(E1795))-1)))</f>
        <v/>
      </c>
      <c r="N1795" s="29">
        <f>IF(OR(L1795="",K1795=""),"",K1795*MIN(MAX(1,N(E1795)),MAX(0,INT((Config!$B$8-L1795)/30)+1)))</f>
        <v/>
      </c>
      <c r="O1795" s="29">
        <f>IF(J1795="","",J1795-N(N1795))</f>
        <v/>
      </c>
      <c r="P1795" s="27">
        <f>IF(A1795="","",MONTH(A1795))</f>
        <v/>
      </c>
      <c r="Q1795" s="27">
        <f>IF(A1795="","",YEAR(A1795))</f>
        <v/>
      </c>
      <c r="R1795" s="27">
        <f>IF(L1795="","",IF(L1795&gt;Config!$B$8,"A cair",IF(N(G1795)&gt;=MIN(MAX(1,N(E1795)),MAX(0,INT((Config!$B$8-L1795)/30)+1)),IF(N(G1795)&gt;=MAX(1,N(E1795)),"Conferido","Conferido até aqui"),"A conferir")))</f>
        <v/>
      </c>
      <c r="S1795" s="51">
        <f>IF(R1795="A conferir",(Config!$B$8-L1795)*1000+N(F1795)/1000+ROW()/100000,0)</f>
        <v>0</v>
      </c>
      <c r="T1795" s="51">
        <f>IF(R1795="A conferir",N(N1795),0)</f>
        <v>0</v>
      </c>
      <c r="U1795" s="51">
        <f>IF(L1795="",0,L1795)</f>
        <v>0</v>
      </c>
      <c r="V1795" s="51">
        <f>IF(L1795="",0,MAX(1,N(E1795)))</f>
        <v>0</v>
      </c>
      <c r="W1795" s="51">
        <f>IF(K1795="",0,K1795)</f>
        <v>0</v>
      </c>
    </row>
    <row r="1796">
      <c r="A1796" s="49" t="n"/>
      <c r="B1796" s="41" t="n"/>
      <c r="C1796" s="41" t="n"/>
      <c r="D1796" s="42" t="n"/>
      <c r="E1796" s="42" t="n"/>
      <c r="F1796" s="50" t="n"/>
      <c r="G1796" s="42" t="n"/>
      <c r="H1796" s="30">
        <f>IF(D1796="","",IFERROR(INDEX(Config!$B$12:$B$15,MATCH(IF(AND(D1796="Cartão de crédito",N(E1796)&gt;1),"Cartão de crédito parcelado",D1796),Config!$A$12:$A$15,0)),0)+IF(AND(Config!$B$17="Sim",LEFT(D1796,17)="Cartão de crédito"),Config!$B$18*IFERROR(INDEX(Config!$C$12:$C$15,MATCH(IF(AND(D1796="Cartão de crédito",N(E1796)&gt;1),"Cartão de crédito parcelado",D1796),Config!$A$12:$A$15,0)),0)/30*MAX(1,N(E1796)),0))</f>
        <v/>
      </c>
      <c r="I1796" s="29">
        <f>IF(OR(D1796="",F1796=""),"",ROUND(F1796*H1796,2))</f>
        <v/>
      </c>
      <c r="J1796" s="29">
        <f>IF(I1796="","",F1796-I1796)</f>
        <v/>
      </c>
      <c r="K1796" s="29">
        <f>IF(J1796="","",J1796/MAX(1,N(E1796)))</f>
        <v/>
      </c>
      <c r="L1796" s="37">
        <f>IF(OR(D1796="",A1796=""),"",A1796+IF(AND(Config!$B$17="Sim",LEFT(D1796,17)="Cartão de crédito"),1,IFERROR(INDEX(Config!$C$12:$C$15,MATCH(IF(AND(D1796="Cartão de crédito",N(E1796)&gt;1),"Cartão de crédito parcelado",D1796),Config!$A$12:$A$15,0)),0)))</f>
        <v/>
      </c>
      <c r="M1796" s="37">
        <f>IF(L1796="","",IF(AND(Config!$B$17="Sim",LEFT(D1796,17)="Cartão de crédito"),L1796,L1796+30*(MAX(1,N(E1796))-1)))</f>
        <v/>
      </c>
      <c r="N1796" s="29">
        <f>IF(OR(L1796="",K1796=""),"",K1796*MIN(MAX(1,N(E1796)),MAX(0,INT((Config!$B$8-L1796)/30)+1)))</f>
        <v/>
      </c>
      <c r="O1796" s="29">
        <f>IF(J1796="","",J1796-N(N1796))</f>
        <v/>
      </c>
      <c r="P1796" s="27">
        <f>IF(A1796="","",MONTH(A1796))</f>
        <v/>
      </c>
      <c r="Q1796" s="27">
        <f>IF(A1796="","",YEAR(A1796))</f>
        <v/>
      </c>
      <c r="R1796" s="27">
        <f>IF(L1796="","",IF(L1796&gt;Config!$B$8,"A cair",IF(N(G1796)&gt;=MIN(MAX(1,N(E1796)),MAX(0,INT((Config!$B$8-L1796)/30)+1)),IF(N(G1796)&gt;=MAX(1,N(E1796)),"Conferido","Conferido até aqui"),"A conferir")))</f>
        <v/>
      </c>
      <c r="S1796" s="51">
        <f>IF(R1796="A conferir",(Config!$B$8-L1796)*1000+N(F1796)/1000+ROW()/100000,0)</f>
        <v>0</v>
      </c>
      <c r="T1796" s="51">
        <f>IF(R1796="A conferir",N(N1796),0)</f>
        <v>0</v>
      </c>
      <c r="U1796" s="51">
        <f>IF(L1796="",0,L1796)</f>
        <v>0</v>
      </c>
      <c r="V1796" s="51">
        <f>IF(L1796="",0,MAX(1,N(E1796)))</f>
        <v>0</v>
      </c>
      <c r="W1796" s="51">
        <f>IF(K1796="",0,K1796)</f>
        <v>0</v>
      </c>
    </row>
    <row r="1797">
      <c r="A1797" s="49" t="n"/>
      <c r="B1797" s="41" t="n"/>
      <c r="C1797" s="41" t="n"/>
      <c r="D1797" s="42" t="n"/>
      <c r="E1797" s="42" t="n"/>
      <c r="F1797" s="50" t="n"/>
      <c r="G1797" s="42" t="n"/>
      <c r="H1797" s="30">
        <f>IF(D1797="","",IFERROR(INDEX(Config!$B$12:$B$15,MATCH(IF(AND(D1797="Cartão de crédito",N(E1797)&gt;1),"Cartão de crédito parcelado",D1797),Config!$A$12:$A$15,0)),0)+IF(AND(Config!$B$17="Sim",LEFT(D1797,17)="Cartão de crédito"),Config!$B$18*IFERROR(INDEX(Config!$C$12:$C$15,MATCH(IF(AND(D1797="Cartão de crédito",N(E1797)&gt;1),"Cartão de crédito parcelado",D1797),Config!$A$12:$A$15,0)),0)/30*MAX(1,N(E1797)),0))</f>
        <v/>
      </c>
      <c r="I1797" s="29">
        <f>IF(OR(D1797="",F1797=""),"",ROUND(F1797*H1797,2))</f>
        <v/>
      </c>
      <c r="J1797" s="29">
        <f>IF(I1797="","",F1797-I1797)</f>
        <v/>
      </c>
      <c r="K1797" s="29">
        <f>IF(J1797="","",J1797/MAX(1,N(E1797)))</f>
        <v/>
      </c>
      <c r="L1797" s="37">
        <f>IF(OR(D1797="",A1797=""),"",A1797+IF(AND(Config!$B$17="Sim",LEFT(D1797,17)="Cartão de crédito"),1,IFERROR(INDEX(Config!$C$12:$C$15,MATCH(IF(AND(D1797="Cartão de crédito",N(E1797)&gt;1),"Cartão de crédito parcelado",D1797),Config!$A$12:$A$15,0)),0)))</f>
        <v/>
      </c>
      <c r="M1797" s="37">
        <f>IF(L1797="","",IF(AND(Config!$B$17="Sim",LEFT(D1797,17)="Cartão de crédito"),L1797,L1797+30*(MAX(1,N(E1797))-1)))</f>
        <v/>
      </c>
      <c r="N1797" s="29">
        <f>IF(OR(L1797="",K1797=""),"",K1797*MIN(MAX(1,N(E1797)),MAX(0,INT((Config!$B$8-L1797)/30)+1)))</f>
        <v/>
      </c>
      <c r="O1797" s="29">
        <f>IF(J1797="","",J1797-N(N1797))</f>
        <v/>
      </c>
      <c r="P1797" s="27">
        <f>IF(A1797="","",MONTH(A1797))</f>
        <v/>
      </c>
      <c r="Q1797" s="27">
        <f>IF(A1797="","",YEAR(A1797))</f>
        <v/>
      </c>
      <c r="R1797" s="27">
        <f>IF(L1797="","",IF(L1797&gt;Config!$B$8,"A cair",IF(N(G1797)&gt;=MIN(MAX(1,N(E1797)),MAX(0,INT((Config!$B$8-L1797)/30)+1)),IF(N(G1797)&gt;=MAX(1,N(E1797)),"Conferido","Conferido até aqui"),"A conferir")))</f>
        <v/>
      </c>
      <c r="S1797" s="51">
        <f>IF(R1797="A conferir",(Config!$B$8-L1797)*1000+N(F1797)/1000+ROW()/100000,0)</f>
        <v>0</v>
      </c>
      <c r="T1797" s="51">
        <f>IF(R1797="A conferir",N(N1797),0)</f>
        <v>0</v>
      </c>
      <c r="U1797" s="51">
        <f>IF(L1797="",0,L1797)</f>
        <v>0</v>
      </c>
      <c r="V1797" s="51">
        <f>IF(L1797="",0,MAX(1,N(E1797)))</f>
        <v>0</v>
      </c>
      <c r="W1797" s="51">
        <f>IF(K1797="",0,K1797)</f>
        <v>0</v>
      </c>
    </row>
    <row r="1798">
      <c r="A1798" s="49" t="n"/>
      <c r="B1798" s="41" t="n"/>
      <c r="C1798" s="41" t="n"/>
      <c r="D1798" s="42" t="n"/>
      <c r="E1798" s="42" t="n"/>
      <c r="F1798" s="50" t="n"/>
      <c r="G1798" s="42" t="n"/>
      <c r="H1798" s="30">
        <f>IF(D1798="","",IFERROR(INDEX(Config!$B$12:$B$15,MATCH(IF(AND(D1798="Cartão de crédito",N(E1798)&gt;1),"Cartão de crédito parcelado",D1798),Config!$A$12:$A$15,0)),0)+IF(AND(Config!$B$17="Sim",LEFT(D1798,17)="Cartão de crédito"),Config!$B$18*IFERROR(INDEX(Config!$C$12:$C$15,MATCH(IF(AND(D1798="Cartão de crédito",N(E1798)&gt;1),"Cartão de crédito parcelado",D1798),Config!$A$12:$A$15,0)),0)/30*MAX(1,N(E1798)),0))</f>
        <v/>
      </c>
      <c r="I1798" s="29">
        <f>IF(OR(D1798="",F1798=""),"",ROUND(F1798*H1798,2))</f>
        <v/>
      </c>
      <c r="J1798" s="29">
        <f>IF(I1798="","",F1798-I1798)</f>
        <v/>
      </c>
      <c r="K1798" s="29">
        <f>IF(J1798="","",J1798/MAX(1,N(E1798)))</f>
        <v/>
      </c>
      <c r="L1798" s="37">
        <f>IF(OR(D1798="",A1798=""),"",A1798+IF(AND(Config!$B$17="Sim",LEFT(D1798,17)="Cartão de crédito"),1,IFERROR(INDEX(Config!$C$12:$C$15,MATCH(IF(AND(D1798="Cartão de crédito",N(E1798)&gt;1),"Cartão de crédito parcelado",D1798),Config!$A$12:$A$15,0)),0)))</f>
        <v/>
      </c>
      <c r="M1798" s="37">
        <f>IF(L1798="","",IF(AND(Config!$B$17="Sim",LEFT(D1798,17)="Cartão de crédito"),L1798,L1798+30*(MAX(1,N(E1798))-1)))</f>
        <v/>
      </c>
      <c r="N1798" s="29">
        <f>IF(OR(L1798="",K1798=""),"",K1798*MIN(MAX(1,N(E1798)),MAX(0,INT((Config!$B$8-L1798)/30)+1)))</f>
        <v/>
      </c>
      <c r="O1798" s="29">
        <f>IF(J1798="","",J1798-N(N1798))</f>
        <v/>
      </c>
      <c r="P1798" s="27">
        <f>IF(A1798="","",MONTH(A1798))</f>
        <v/>
      </c>
      <c r="Q1798" s="27">
        <f>IF(A1798="","",YEAR(A1798))</f>
        <v/>
      </c>
      <c r="R1798" s="27">
        <f>IF(L1798="","",IF(L1798&gt;Config!$B$8,"A cair",IF(N(G1798)&gt;=MIN(MAX(1,N(E1798)),MAX(0,INT((Config!$B$8-L1798)/30)+1)),IF(N(G1798)&gt;=MAX(1,N(E1798)),"Conferido","Conferido até aqui"),"A conferir")))</f>
        <v/>
      </c>
      <c r="S1798" s="51">
        <f>IF(R1798="A conferir",(Config!$B$8-L1798)*1000+N(F1798)/1000+ROW()/100000,0)</f>
        <v>0</v>
      </c>
      <c r="T1798" s="51">
        <f>IF(R1798="A conferir",N(N1798),0)</f>
        <v>0</v>
      </c>
      <c r="U1798" s="51">
        <f>IF(L1798="",0,L1798)</f>
        <v>0</v>
      </c>
      <c r="V1798" s="51">
        <f>IF(L1798="",0,MAX(1,N(E1798)))</f>
        <v>0</v>
      </c>
      <c r="W1798" s="51">
        <f>IF(K1798="",0,K1798)</f>
        <v>0</v>
      </c>
    </row>
    <row r="1799">
      <c r="A1799" s="49" t="n"/>
      <c r="B1799" s="41" t="n"/>
      <c r="C1799" s="41" t="n"/>
      <c r="D1799" s="42" t="n"/>
      <c r="E1799" s="42" t="n"/>
      <c r="F1799" s="50" t="n"/>
      <c r="G1799" s="42" t="n"/>
      <c r="H1799" s="30">
        <f>IF(D1799="","",IFERROR(INDEX(Config!$B$12:$B$15,MATCH(IF(AND(D1799="Cartão de crédito",N(E1799)&gt;1),"Cartão de crédito parcelado",D1799),Config!$A$12:$A$15,0)),0)+IF(AND(Config!$B$17="Sim",LEFT(D1799,17)="Cartão de crédito"),Config!$B$18*IFERROR(INDEX(Config!$C$12:$C$15,MATCH(IF(AND(D1799="Cartão de crédito",N(E1799)&gt;1),"Cartão de crédito parcelado",D1799),Config!$A$12:$A$15,0)),0)/30*MAX(1,N(E1799)),0))</f>
        <v/>
      </c>
      <c r="I1799" s="29">
        <f>IF(OR(D1799="",F1799=""),"",ROUND(F1799*H1799,2))</f>
        <v/>
      </c>
      <c r="J1799" s="29">
        <f>IF(I1799="","",F1799-I1799)</f>
        <v/>
      </c>
      <c r="K1799" s="29">
        <f>IF(J1799="","",J1799/MAX(1,N(E1799)))</f>
        <v/>
      </c>
      <c r="L1799" s="37">
        <f>IF(OR(D1799="",A1799=""),"",A1799+IF(AND(Config!$B$17="Sim",LEFT(D1799,17)="Cartão de crédito"),1,IFERROR(INDEX(Config!$C$12:$C$15,MATCH(IF(AND(D1799="Cartão de crédito",N(E1799)&gt;1),"Cartão de crédito parcelado",D1799),Config!$A$12:$A$15,0)),0)))</f>
        <v/>
      </c>
      <c r="M1799" s="37">
        <f>IF(L1799="","",IF(AND(Config!$B$17="Sim",LEFT(D1799,17)="Cartão de crédito"),L1799,L1799+30*(MAX(1,N(E1799))-1)))</f>
        <v/>
      </c>
      <c r="N1799" s="29">
        <f>IF(OR(L1799="",K1799=""),"",K1799*MIN(MAX(1,N(E1799)),MAX(0,INT((Config!$B$8-L1799)/30)+1)))</f>
        <v/>
      </c>
      <c r="O1799" s="29">
        <f>IF(J1799="","",J1799-N(N1799))</f>
        <v/>
      </c>
      <c r="P1799" s="27">
        <f>IF(A1799="","",MONTH(A1799))</f>
        <v/>
      </c>
      <c r="Q1799" s="27">
        <f>IF(A1799="","",YEAR(A1799))</f>
        <v/>
      </c>
      <c r="R1799" s="27">
        <f>IF(L1799="","",IF(L1799&gt;Config!$B$8,"A cair",IF(N(G1799)&gt;=MIN(MAX(1,N(E1799)),MAX(0,INT((Config!$B$8-L1799)/30)+1)),IF(N(G1799)&gt;=MAX(1,N(E1799)),"Conferido","Conferido até aqui"),"A conferir")))</f>
        <v/>
      </c>
      <c r="S1799" s="51">
        <f>IF(R1799="A conferir",(Config!$B$8-L1799)*1000+N(F1799)/1000+ROW()/100000,0)</f>
        <v>0</v>
      </c>
      <c r="T1799" s="51">
        <f>IF(R1799="A conferir",N(N1799),0)</f>
        <v>0</v>
      </c>
      <c r="U1799" s="51">
        <f>IF(L1799="",0,L1799)</f>
        <v>0</v>
      </c>
      <c r="V1799" s="51">
        <f>IF(L1799="",0,MAX(1,N(E1799)))</f>
        <v>0</v>
      </c>
      <c r="W1799" s="51">
        <f>IF(K1799="",0,K1799)</f>
        <v>0</v>
      </c>
    </row>
    <row r="1800">
      <c r="A1800" s="49" t="n"/>
      <c r="B1800" s="41" t="n"/>
      <c r="C1800" s="41" t="n"/>
      <c r="D1800" s="42" t="n"/>
      <c r="E1800" s="42" t="n"/>
      <c r="F1800" s="50" t="n"/>
      <c r="G1800" s="42" t="n"/>
      <c r="H1800" s="30">
        <f>IF(D1800="","",IFERROR(INDEX(Config!$B$12:$B$15,MATCH(IF(AND(D1800="Cartão de crédito",N(E1800)&gt;1),"Cartão de crédito parcelado",D1800),Config!$A$12:$A$15,0)),0)+IF(AND(Config!$B$17="Sim",LEFT(D1800,17)="Cartão de crédito"),Config!$B$18*IFERROR(INDEX(Config!$C$12:$C$15,MATCH(IF(AND(D1800="Cartão de crédito",N(E1800)&gt;1),"Cartão de crédito parcelado",D1800),Config!$A$12:$A$15,0)),0)/30*MAX(1,N(E1800)),0))</f>
        <v/>
      </c>
      <c r="I1800" s="29">
        <f>IF(OR(D1800="",F1800=""),"",ROUND(F1800*H1800,2))</f>
        <v/>
      </c>
      <c r="J1800" s="29">
        <f>IF(I1800="","",F1800-I1800)</f>
        <v/>
      </c>
      <c r="K1800" s="29">
        <f>IF(J1800="","",J1800/MAX(1,N(E1800)))</f>
        <v/>
      </c>
      <c r="L1800" s="37">
        <f>IF(OR(D1800="",A1800=""),"",A1800+IF(AND(Config!$B$17="Sim",LEFT(D1800,17)="Cartão de crédito"),1,IFERROR(INDEX(Config!$C$12:$C$15,MATCH(IF(AND(D1800="Cartão de crédito",N(E1800)&gt;1),"Cartão de crédito parcelado",D1800),Config!$A$12:$A$15,0)),0)))</f>
        <v/>
      </c>
      <c r="M1800" s="37">
        <f>IF(L1800="","",IF(AND(Config!$B$17="Sim",LEFT(D1800,17)="Cartão de crédito"),L1800,L1800+30*(MAX(1,N(E1800))-1)))</f>
        <v/>
      </c>
      <c r="N1800" s="29">
        <f>IF(OR(L1800="",K1800=""),"",K1800*MIN(MAX(1,N(E1800)),MAX(0,INT((Config!$B$8-L1800)/30)+1)))</f>
        <v/>
      </c>
      <c r="O1800" s="29">
        <f>IF(J1800="","",J1800-N(N1800))</f>
        <v/>
      </c>
      <c r="P1800" s="27">
        <f>IF(A1800="","",MONTH(A1800))</f>
        <v/>
      </c>
      <c r="Q1800" s="27">
        <f>IF(A1800="","",YEAR(A1800))</f>
        <v/>
      </c>
      <c r="R1800" s="27">
        <f>IF(L1800="","",IF(L1800&gt;Config!$B$8,"A cair",IF(N(G1800)&gt;=MIN(MAX(1,N(E1800)),MAX(0,INT((Config!$B$8-L1800)/30)+1)),IF(N(G1800)&gt;=MAX(1,N(E1800)),"Conferido","Conferido até aqui"),"A conferir")))</f>
        <v/>
      </c>
      <c r="S1800" s="51">
        <f>IF(R1800="A conferir",(Config!$B$8-L1800)*1000+N(F1800)/1000+ROW()/100000,0)</f>
        <v>0</v>
      </c>
      <c r="T1800" s="51">
        <f>IF(R1800="A conferir",N(N1800),0)</f>
        <v>0</v>
      </c>
      <c r="U1800" s="51">
        <f>IF(L1800="",0,L1800)</f>
        <v>0</v>
      </c>
      <c r="V1800" s="51">
        <f>IF(L1800="",0,MAX(1,N(E1800)))</f>
        <v>0</v>
      </c>
      <c r="W1800" s="51">
        <f>IF(K1800="",0,K1800)</f>
        <v>0</v>
      </c>
    </row>
    <row r="1801">
      <c r="A1801" s="49" t="n"/>
      <c r="B1801" s="41" t="n"/>
      <c r="C1801" s="41" t="n"/>
      <c r="D1801" s="42" t="n"/>
      <c r="E1801" s="42" t="n"/>
      <c r="F1801" s="50" t="n"/>
      <c r="G1801" s="42" t="n"/>
      <c r="H1801" s="30">
        <f>IF(D1801="","",IFERROR(INDEX(Config!$B$12:$B$15,MATCH(IF(AND(D1801="Cartão de crédito",N(E1801)&gt;1),"Cartão de crédito parcelado",D1801),Config!$A$12:$A$15,0)),0)+IF(AND(Config!$B$17="Sim",LEFT(D1801,17)="Cartão de crédito"),Config!$B$18*IFERROR(INDEX(Config!$C$12:$C$15,MATCH(IF(AND(D1801="Cartão de crédito",N(E1801)&gt;1),"Cartão de crédito parcelado",D1801),Config!$A$12:$A$15,0)),0)/30*MAX(1,N(E1801)),0))</f>
        <v/>
      </c>
      <c r="I1801" s="29">
        <f>IF(OR(D1801="",F1801=""),"",ROUND(F1801*H1801,2))</f>
        <v/>
      </c>
      <c r="J1801" s="29">
        <f>IF(I1801="","",F1801-I1801)</f>
        <v/>
      </c>
      <c r="K1801" s="29">
        <f>IF(J1801="","",J1801/MAX(1,N(E1801)))</f>
        <v/>
      </c>
      <c r="L1801" s="37">
        <f>IF(OR(D1801="",A1801=""),"",A1801+IF(AND(Config!$B$17="Sim",LEFT(D1801,17)="Cartão de crédito"),1,IFERROR(INDEX(Config!$C$12:$C$15,MATCH(IF(AND(D1801="Cartão de crédito",N(E1801)&gt;1),"Cartão de crédito parcelado",D1801),Config!$A$12:$A$15,0)),0)))</f>
        <v/>
      </c>
      <c r="M1801" s="37">
        <f>IF(L1801="","",IF(AND(Config!$B$17="Sim",LEFT(D1801,17)="Cartão de crédito"),L1801,L1801+30*(MAX(1,N(E1801))-1)))</f>
        <v/>
      </c>
      <c r="N1801" s="29">
        <f>IF(OR(L1801="",K1801=""),"",K1801*MIN(MAX(1,N(E1801)),MAX(0,INT((Config!$B$8-L1801)/30)+1)))</f>
        <v/>
      </c>
      <c r="O1801" s="29">
        <f>IF(J1801="","",J1801-N(N1801))</f>
        <v/>
      </c>
      <c r="P1801" s="27">
        <f>IF(A1801="","",MONTH(A1801))</f>
        <v/>
      </c>
      <c r="Q1801" s="27">
        <f>IF(A1801="","",YEAR(A1801))</f>
        <v/>
      </c>
      <c r="R1801" s="27">
        <f>IF(L1801="","",IF(L1801&gt;Config!$B$8,"A cair",IF(N(G1801)&gt;=MIN(MAX(1,N(E1801)),MAX(0,INT((Config!$B$8-L1801)/30)+1)),IF(N(G1801)&gt;=MAX(1,N(E1801)),"Conferido","Conferido até aqui"),"A conferir")))</f>
        <v/>
      </c>
      <c r="S1801" s="51">
        <f>IF(R1801="A conferir",(Config!$B$8-L1801)*1000+N(F1801)/1000+ROW()/100000,0)</f>
        <v>0</v>
      </c>
      <c r="T1801" s="51">
        <f>IF(R1801="A conferir",N(N1801),0)</f>
        <v>0</v>
      </c>
      <c r="U1801" s="51">
        <f>IF(L1801="",0,L1801)</f>
        <v>0</v>
      </c>
      <c r="V1801" s="51">
        <f>IF(L1801="",0,MAX(1,N(E1801)))</f>
        <v>0</v>
      </c>
      <c r="W1801" s="51">
        <f>IF(K1801="",0,K1801)</f>
        <v>0</v>
      </c>
    </row>
    <row r="1802">
      <c r="A1802" s="49" t="n"/>
      <c r="B1802" s="41" t="n"/>
      <c r="C1802" s="41" t="n"/>
      <c r="D1802" s="42" t="n"/>
      <c r="E1802" s="42" t="n"/>
      <c r="F1802" s="50" t="n"/>
      <c r="G1802" s="42" t="n"/>
      <c r="H1802" s="30">
        <f>IF(D1802="","",IFERROR(INDEX(Config!$B$12:$B$15,MATCH(IF(AND(D1802="Cartão de crédito",N(E1802)&gt;1),"Cartão de crédito parcelado",D1802),Config!$A$12:$A$15,0)),0)+IF(AND(Config!$B$17="Sim",LEFT(D1802,17)="Cartão de crédito"),Config!$B$18*IFERROR(INDEX(Config!$C$12:$C$15,MATCH(IF(AND(D1802="Cartão de crédito",N(E1802)&gt;1),"Cartão de crédito parcelado",D1802),Config!$A$12:$A$15,0)),0)/30*MAX(1,N(E1802)),0))</f>
        <v/>
      </c>
      <c r="I1802" s="29">
        <f>IF(OR(D1802="",F1802=""),"",ROUND(F1802*H1802,2))</f>
        <v/>
      </c>
      <c r="J1802" s="29">
        <f>IF(I1802="","",F1802-I1802)</f>
        <v/>
      </c>
      <c r="K1802" s="29">
        <f>IF(J1802="","",J1802/MAX(1,N(E1802)))</f>
        <v/>
      </c>
      <c r="L1802" s="37">
        <f>IF(OR(D1802="",A1802=""),"",A1802+IF(AND(Config!$B$17="Sim",LEFT(D1802,17)="Cartão de crédito"),1,IFERROR(INDEX(Config!$C$12:$C$15,MATCH(IF(AND(D1802="Cartão de crédito",N(E1802)&gt;1),"Cartão de crédito parcelado",D1802),Config!$A$12:$A$15,0)),0)))</f>
        <v/>
      </c>
      <c r="M1802" s="37">
        <f>IF(L1802="","",IF(AND(Config!$B$17="Sim",LEFT(D1802,17)="Cartão de crédito"),L1802,L1802+30*(MAX(1,N(E1802))-1)))</f>
        <v/>
      </c>
      <c r="N1802" s="29">
        <f>IF(OR(L1802="",K1802=""),"",K1802*MIN(MAX(1,N(E1802)),MAX(0,INT((Config!$B$8-L1802)/30)+1)))</f>
        <v/>
      </c>
      <c r="O1802" s="29">
        <f>IF(J1802="","",J1802-N(N1802))</f>
        <v/>
      </c>
      <c r="P1802" s="27">
        <f>IF(A1802="","",MONTH(A1802))</f>
        <v/>
      </c>
      <c r="Q1802" s="27">
        <f>IF(A1802="","",YEAR(A1802))</f>
        <v/>
      </c>
      <c r="R1802" s="27">
        <f>IF(L1802="","",IF(L1802&gt;Config!$B$8,"A cair",IF(N(G1802)&gt;=MIN(MAX(1,N(E1802)),MAX(0,INT((Config!$B$8-L1802)/30)+1)),IF(N(G1802)&gt;=MAX(1,N(E1802)),"Conferido","Conferido até aqui"),"A conferir")))</f>
        <v/>
      </c>
      <c r="S1802" s="51">
        <f>IF(R1802="A conferir",(Config!$B$8-L1802)*1000+N(F1802)/1000+ROW()/100000,0)</f>
        <v>0</v>
      </c>
      <c r="T1802" s="51">
        <f>IF(R1802="A conferir",N(N1802),0)</f>
        <v>0</v>
      </c>
      <c r="U1802" s="51">
        <f>IF(L1802="",0,L1802)</f>
        <v>0</v>
      </c>
      <c r="V1802" s="51">
        <f>IF(L1802="",0,MAX(1,N(E1802)))</f>
        <v>0</v>
      </c>
      <c r="W1802" s="51">
        <f>IF(K1802="",0,K1802)</f>
        <v>0</v>
      </c>
    </row>
    <row r="1803">
      <c r="A1803" s="49" t="n"/>
      <c r="B1803" s="41" t="n"/>
      <c r="C1803" s="41" t="n"/>
      <c r="D1803" s="42" t="n"/>
      <c r="E1803" s="42" t="n"/>
      <c r="F1803" s="50" t="n"/>
      <c r="G1803" s="42" t="n"/>
      <c r="H1803" s="30">
        <f>IF(D1803="","",IFERROR(INDEX(Config!$B$12:$B$15,MATCH(IF(AND(D1803="Cartão de crédito",N(E1803)&gt;1),"Cartão de crédito parcelado",D1803),Config!$A$12:$A$15,0)),0)+IF(AND(Config!$B$17="Sim",LEFT(D1803,17)="Cartão de crédito"),Config!$B$18*IFERROR(INDEX(Config!$C$12:$C$15,MATCH(IF(AND(D1803="Cartão de crédito",N(E1803)&gt;1),"Cartão de crédito parcelado",D1803),Config!$A$12:$A$15,0)),0)/30*MAX(1,N(E1803)),0))</f>
        <v/>
      </c>
      <c r="I1803" s="29">
        <f>IF(OR(D1803="",F1803=""),"",ROUND(F1803*H1803,2))</f>
        <v/>
      </c>
      <c r="J1803" s="29">
        <f>IF(I1803="","",F1803-I1803)</f>
        <v/>
      </c>
      <c r="K1803" s="29">
        <f>IF(J1803="","",J1803/MAX(1,N(E1803)))</f>
        <v/>
      </c>
      <c r="L1803" s="37">
        <f>IF(OR(D1803="",A1803=""),"",A1803+IF(AND(Config!$B$17="Sim",LEFT(D1803,17)="Cartão de crédito"),1,IFERROR(INDEX(Config!$C$12:$C$15,MATCH(IF(AND(D1803="Cartão de crédito",N(E1803)&gt;1),"Cartão de crédito parcelado",D1803),Config!$A$12:$A$15,0)),0)))</f>
        <v/>
      </c>
      <c r="M1803" s="37">
        <f>IF(L1803="","",IF(AND(Config!$B$17="Sim",LEFT(D1803,17)="Cartão de crédito"),L1803,L1803+30*(MAX(1,N(E1803))-1)))</f>
        <v/>
      </c>
      <c r="N1803" s="29">
        <f>IF(OR(L1803="",K1803=""),"",K1803*MIN(MAX(1,N(E1803)),MAX(0,INT((Config!$B$8-L1803)/30)+1)))</f>
        <v/>
      </c>
      <c r="O1803" s="29">
        <f>IF(J1803="","",J1803-N(N1803))</f>
        <v/>
      </c>
      <c r="P1803" s="27">
        <f>IF(A1803="","",MONTH(A1803))</f>
        <v/>
      </c>
      <c r="Q1803" s="27">
        <f>IF(A1803="","",YEAR(A1803))</f>
        <v/>
      </c>
      <c r="R1803" s="27">
        <f>IF(L1803="","",IF(L1803&gt;Config!$B$8,"A cair",IF(N(G1803)&gt;=MIN(MAX(1,N(E1803)),MAX(0,INT((Config!$B$8-L1803)/30)+1)),IF(N(G1803)&gt;=MAX(1,N(E1803)),"Conferido","Conferido até aqui"),"A conferir")))</f>
        <v/>
      </c>
      <c r="S1803" s="51">
        <f>IF(R1803="A conferir",(Config!$B$8-L1803)*1000+N(F1803)/1000+ROW()/100000,0)</f>
        <v>0</v>
      </c>
      <c r="T1803" s="51">
        <f>IF(R1803="A conferir",N(N1803),0)</f>
        <v>0</v>
      </c>
      <c r="U1803" s="51">
        <f>IF(L1803="",0,L1803)</f>
        <v>0</v>
      </c>
      <c r="V1803" s="51">
        <f>IF(L1803="",0,MAX(1,N(E1803)))</f>
        <v>0</v>
      </c>
      <c r="W1803" s="51">
        <f>IF(K1803="",0,K1803)</f>
        <v>0</v>
      </c>
    </row>
    <row r="1804">
      <c r="A1804" s="49" t="n"/>
      <c r="B1804" s="41" t="n"/>
      <c r="C1804" s="41" t="n"/>
      <c r="D1804" s="42" t="n"/>
      <c r="E1804" s="42" t="n"/>
      <c r="F1804" s="50" t="n"/>
      <c r="G1804" s="42" t="n"/>
      <c r="H1804" s="30">
        <f>IF(D1804="","",IFERROR(INDEX(Config!$B$12:$B$15,MATCH(IF(AND(D1804="Cartão de crédito",N(E1804)&gt;1),"Cartão de crédito parcelado",D1804),Config!$A$12:$A$15,0)),0)+IF(AND(Config!$B$17="Sim",LEFT(D1804,17)="Cartão de crédito"),Config!$B$18*IFERROR(INDEX(Config!$C$12:$C$15,MATCH(IF(AND(D1804="Cartão de crédito",N(E1804)&gt;1),"Cartão de crédito parcelado",D1804),Config!$A$12:$A$15,0)),0)/30*MAX(1,N(E1804)),0))</f>
        <v/>
      </c>
      <c r="I1804" s="29">
        <f>IF(OR(D1804="",F1804=""),"",ROUND(F1804*H1804,2))</f>
        <v/>
      </c>
      <c r="J1804" s="29">
        <f>IF(I1804="","",F1804-I1804)</f>
        <v/>
      </c>
      <c r="K1804" s="29">
        <f>IF(J1804="","",J1804/MAX(1,N(E1804)))</f>
        <v/>
      </c>
      <c r="L1804" s="37">
        <f>IF(OR(D1804="",A1804=""),"",A1804+IF(AND(Config!$B$17="Sim",LEFT(D1804,17)="Cartão de crédito"),1,IFERROR(INDEX(Config!$C$12:$C$15,MATCH(IF(AND(D1804="Cartão de crédito",N(E1804)&gt;1),"Cartão de crédito parcelado",D1804),Config!$A$12:$A$15,0)),0)))</f>
        <v/>
      </c>
      <c r="M1804" s="37">
        <f>IF(L1804="","",IF(AND(Config!$B$17="Sim",LEFT(D1804,17)="Cartão de crédito"),L1804,L1804+30*(MAX(1,N(E1804))-1)))</f>
        <v/>
      </c>
      <c r="N1804" s="29">
        <f>IF(OR(L1804="",K1804=""),"",K1804*MIN(MAX(1,N(E1804)),MAX(0,INT((Config!$B$8-L1804)/30)+1)))</f>
        <v/>
      </c>
      <c r="O1804" s="29">
        <f>IF(J1804="","",J1804-N(N1804))</f>
        <v/>
      </c>
      <c r="P1804" s="27">
        <f>IF(A1804="","",MONTH(A1804))</f>
        <v/>
      </c>
      <c r="Q1804" s="27">
        <f>IF(A1804="","",YEAR(A1804))</f>
        <v/>
      </c>
      <c r="R1804" s="27">
        <f>IF(L1804="","",IF(L1804&gt;Config!$B$8,"A cair",IF(N(G1804)&gt;=MIN(MAX(1,N(E1804)),MAX(0,INT((Config!$B$8-L1804)/30)+1)),IF(N(G1804)&gt;=MAX(1,N(E1804)),"Conferido","Conferido até aqui"),"A conferir")))</f>
        <v/>
      </c>
      <c r="S1804" s="51">
        <f>IF(R1804="A conferir",(Config!$B$8-L1804)*1000+N(F1804)/1000+ROW()/100000,0)</f>
        <v>0</v>
      </c>
      <c r="T1804" s="51">
        <f>IF(R1804="A conferir",N(N1804),0)</f>
        <v>0</v>
      </c>
      <c r="U1804" s="51">
        <f>IF(L1804="",0,L1804)</f>
        <v>0</v>
      </c>
      <c r="V1804" s="51">
        <f>IF(L1804="",0,MAX(1,N(E1804)))</f>
        <v>0</v>
      </c>
      <c r="W1804" s="51">
        <f>IF(K1804="",0,K1804)</f>
        <v>0</v>
      </c>
    </row>
    <row r="1805">
      <c r="A1805" s="49" t="n"/>
      <c r="B1805" s="41" t="n"/>
      <c r="C1805" s="41" t="n"/>
      <c r="D1805" s="42" t="n"/>
      <c r="E1805" s="42" t="n"/>
      <c r="F1805" s="50" t="n"/>
      <c r="G1805" s="42" t="n"/>
      <c r="H1805" s="30">
        <f>IF(D1805="","",IFERROR(INDEX(Config!$B$12:$B$15,MATCH(IF(AND(D1805="Cartão de crédito",N(E1805)&gt;1),"Cartão de crédito parcelado",D1805),Config!$A$12:$A$15,0)),0)+IF(AND(Config!$B$17="Sim",LEFT(D1805,17)="Cartão de crédito"),Config!$B$18*IFERROR(INDEX(Config!$C$12:$C$15,MATCH(IF(AND(D1805="Cartão de crédito",N(E1805)&gt;1),"Cartão de crédito parcelado",D1805),Config!$A$12:$A$15,0)),0)/30*MAX(1,N(E1805)),0))</f>
        <v/>
      </c>
      <c r="I1805" s="29">
        <f>IF(OR(D1805="",F1805=""),"",ROUND(F1805*H1805,2))</f>
        <v/>
      </c>
      <c r="J1805" s="29">
        <f>IF(I1805="","",F1805-I1805)</f>
        <v/>
      </c>
      <c r="K1805" s="29">
        <f>IF(J1805="","",J1805/MAX(1,N(E1805)))</f>
        <v/>
      </c>
      <c r="L1805" s="37">
        <f>IF(OR(D1805="",A1805=""),"",A1805+IF(AND(Config!$B$17="Sim",LEFT(D1805,17)="Cartão de crédito"),1,IFERROR(INDEX(Config!$C$12:$C$15,MATCH(IF(AND(D1805="Cartão de crédito",N(E1805)&gt;1),"Cartão de crédito parcelado",D1805),Config!$A$12:$A$15,0)),0)))</f>
        <v/>
      </c>
      <c r="M1805" s="37">
        <f>IF(L1805="","",IF(AND(Config!$B$17="Sim",LEFT(D1805,17)="Cartão de crédito"),L1805,L1805+30*(MAX(1,N(E1805))-1)))</f>
        <v/>
      </c>
      <c r="N1805" s="29">
        <f>IF(OR(L1805="",K1805=""),"",K1805*MIN(MAX(1,N(E1805)),MAX(0,INT((Config!$B$8-L1805)/30)+1)))</f>
        <v/>
      </c>
      <c r="O1805" s="29">
        <f>IF(J1805="","",J1805-N(N1805))</f>
        <v/>
      </c>
      <c r="P1805" s="27">
        <f>IF(A1805="","",MONTH(A1805))</f>
        <v/>
      </c>
      <c r="Q1805" s="27">
        <f>IF(A1805="","",YEAR(A1805))</f>
        <v/>
      </c>
      <c r="R1805" s="27">
        <f>IF(L1805="","",IF(L1805&gt;Config!$B$8,"A cair",IF(N(G1805)&gt;=MIN(MAX(1,N(E1805)),MAX(0,INT((Config!$B$8-L1805)/30)+1)),IF(N(G1805)&gt;=MAX(1,N(E1805)),"Conferido","Conferido até aqui"),"A conferir")))</f>
        <v/>
      </c>
      <c r="S1805" s="51">
        <f>IF(R1805="A conferir",(Config!$B$8-L1805)*1000+N(F1805)/1000+ROW()/100000,0)</f>
        <v>0</v>
      </c>
      <c r="T1805" s="51">
        <f>IF(R1805="A conferir",N(N1805),0)</f>
        <v>0</v>
      </c>
      <c r="U1805" s="51">
        <f>IF(L1805="",0,L1805)</f>
        <v>0</v>
      </c>
      <c r="V1805" s="51">
        <f>IF(L1805="",0,MAX(1,N(E1805)))</f>
        <v>0</v>
      </c>
      <c r="W1805" s="51">
        <f>IF(K1805="",0,K1805)</f>
        <v>0</v>
      </c>
    </row>
    <row r="1806">
      <c r="A1806" s="49" t="n"/>
      <c r="B1806" s="41" t="n"/>
      <c r="C1806" s="41" t="n"/>
      <c r="D1806" s="42" t="n"/>
      <c r="E1806" s="42" t="n"/>
      <c r="F1806" s="50" t="n"/>
      <c r="G1806" s="42" t="n"/>
      <c r="H1806" s="30">
        <f>IF(D1806="","",IFERROR(INDEX(Config!$B$12:$B$15,MATCH(IF(AND(D1806="Cartão de crédito",N(E1806)&gt;1),"Cartão de crédito parcelado",D1806),Config!$A$12:$A$15,0)),0)+IF(AND(Config!$B$17="Sim",LEFT(D1806,17)="Cartão de crédito"),Config!$B$18*IFERROR(INDEX(Config!$C$12:$C$15,MATCH(IF(AND(D1806="Cartão de crédito",N(E1806)&gt;1),"Cartão de crédito parcelado",D1806),Config!$A$12:$A$15,0)),0)/30*MAX(1,N(E1806)),0))</f>
        <v/>
      </c>
      <c r="I1806" s="29">
        <f>IF(OR(D1806="",F1806=""),"",ROUND(F1806*H1806,2))</f>
        <v/>
      </c>
      <c r="J1806" s="29">
        <f>IF(I1806="","",F1806-I1806)</f>
        <v/>
      </c>
      <c r="K1806" s="29">
        <f>IF(J1806="","",J1806/MAX(1,N(E1806)))</f>
        <v/>
      </c>
      <c r="L1806" s="37">
        <f>IF(OR(D1806="",A1806=""),"",A1806+IF(AND(Config!$B$17="Sim",LEFT(D1806,17)="Cartão de crédito"),1,IFERROR(INDEX(Config!$C$12:$C$15,MATCH(IF(AND(D1806="Cartão de crédito",N(E1806)&gt;1),"Cartão de crédito parcelado",D1806),Config!$A$12:$A$15,0)),0)))</f>
        <v/>
      </c>
      <c r="M1806" s="37">
        <f>IF(L1806="","",IF(AND(Config!$B$17="Sim",LEFT(D1806,17)="Cartão de crédito"),L1806,L1806+30*(MAX(1,N(E1806))-1)))</f>
        <v/>
      </c>
      <c r="N1806" s="29">
        <f>IF(OR(L1806="",K1806=""),"",K1806*MIN(MAX(1,N(E1806)),MAX(0,INT((Config!$B$8-L1806)/30)+1)))</f>
        <v/>
      </c>
      <c r="O1806" s="29">
        <f>IF(J1806="","",J1806-N(N1806))</f>
        <v/>
      </c>
      <c r="P1806" s="27">
        <f>IF(A1806="","",MONTH(A1806))</f>
        <v/>
      </c>
      <c r="Q1806" s="27">
        <f>IF(A1806="","",YEAR(A1806))</f>
        <v/>
      </c>
      <c r="R1806" s="27">
        <f>IF(L1806="","",IF(L1806&gt;Config!$B$8,"A cair",IF(N(G1806)&gt;=MIN(MAX(1,N(E1806)),MAX(0,INT((Config!$B$8-L1806)/30)+1)),IF(N(G1806)&gt;=MAX(1,N(E1806)),"Conferido","Conferido até aqui"),"A conferir")))</f>
        <v/>
      </c>
      <c r="S1806" s="51">
        <f>IF(R1806="A conferir",(Config!$B$8-L1806)*1000+N(F1806)/1000+ROW()/100000,0)</f>
        <v>0</v>
      </c>
      <c r="T1806" s="51">
        <f>IF(R1806="A conferir",N(N1806),0)</f>
        <v>0</v>
      </c>
      <c r="U1806" s="51">
        <f>IF(L1806="",0,L1806)</f>
        <v>0</v>
      </c>
      <c r="V1806" s="51">
        <f>IF(L1806="",0,MAX(1,N(E1806)))</f>
        <v>0</v>
      </c>
      <c r="W1806" s="51">
        <f>IF(K1806="",0,K1806)</f>
        <v>0</v>
      </c>
    </row>
    <row r="1807">
      <c r="A1807" s="49" t="n"/>
      <c r="B1807" s="41" t="n"/>
      <c r="C1807" s="41" t="n"/>
      <c r="D1807" s="42" t="n"/>
      <c r="E1807" s="42" t="n"/>
      <c r="F1807" s="50" t="n"/>
      <c r="G1807" s="42" t="n"/>
      <c r="H1807" s="30">
        <f>IF(D1807="","",IFERROR(INDEX(Config!$B$12:$B$15,MATCH(IF(AND(D1807="Cartão de crédito",N(E1807)&gt;1),"Cartão de crédito parcelado",D1807),Config!$A$12:$A$15,0)),0)+IF(AND(Config!$B$17="Sim",LEFT(D1807,17)="Cartão de crédito"),Config!$B$18*IFERROR(INDEX(Config!$C$12:$C$15,MATCH(IF(AND(D1807="Cartão de crédito",N(E1807)&gt;1),"Cartão de crédito parcelado",D1807),Config!$A$12:$A$15,0)),0)/30*MAX(1,N(E1807)),0))</f>
        <v/>
      </c>
      <c r="I1807" s="29">
        <f>IF(OR(D1807="",F1807=""),"",ROUND(F1807*H1807,2))</f>
        <v/>
      </c>
      <c r="J1807" s="29">
        <f>IF(I1807="","",F1807-I1807)</f>
        <v/>
      </c>
      <c r="K1807" s="29">
        <f>IF(J1807="","",J1807/MAX(1,N(E1807)))</f>
        <v/>
      </c>
      <c r="L1807" s="37">
        <f>IF(OR(D1807="",A1807=""),"",A1807+IF(AND(Config!$B$17="Sim",LEFT(D1807,17)="Cartão de crédito"),1,IFERROR(INDEX(Config!$C$12:$C$15,MATCH(IF(AND(D1807="Cartão de crédito",N(E1807)&gt;1),"Cartão de crédito parcelado",D1807),Config!$A$12:$A$15,0)),0)))</f>
        <v/>
      </c>
      <c r="M1807" s="37">
        <f>IF(L1807="","",IF(AND(Config!$B$17="Sim",LEFT(D1807,17)="Cartão de crédito"),L1807,L1807+30*(MAX(1,N(E1807))-1)))</f>
        <v/>
      </c>
      <c r="N1807" s="29">
        <f>IF(OR(L1807="",K1807=""),"",K1807*MIN(MAX(1,N(E1807)),MAX(0,INT((Config!$B$8-L1807)/30)+1)))</f>
        <v/>
      </c>
      <c r="O1807" s="29">
        <f>IF(J1807="","",J1807-N(N1807))</f>
        <v/>
      </c>
      <c r="P1807" s="27">
        <f>IF(A1807="","",MONTH(A1807))</f>
        <v/>
      </c>
      <c r="Q1807" s="27">
        <f>IF(A1807="","",YEAR(A1807))</f>
        <v/>
      </c>
      <c r="R1807" s="27">
        <f>IF(L1807="","",IF(L1807&gt;Config!$B$8,"A cair",IF(N(G1807)&gt;=MIN(MAX(1,N(E1807)),MAX(0,INT((Config!$B$8-L1807)/30)+1)),IF(N(G1807)&gt;=MAX(1,N(E1807)),"Conferido","Conferido até aqui"),"A conferir")))</f>
        <v/>
      </c>
      <c r="S1807" s="51">
        <f>IF(R1807="A conferir",(Config!$B$8-L1807)*1000+N(F1807)/1000+ROW()/100000,0)</f>
        <v>0</v>
      </c>
      <c r="T1807" s="51">
        <f>IF(R1807="A conferir",N(N1807),0)</f>
        <v>0</v>
      </c>
      <c r="U1807" s="51">
        <f>IF(L1807="",0,L1807)</f>
        <v>0</v>
      </c>
      <c r="V1807" s="51">
        <f>IF(L1807="",0,MAX(1,N(E1807)))</f>
        <v>0</v>
      </c>
      <c r="W1807" s="51">
        <f>IF(K1807="",0,K1807)</f>
        <v>0</v>
      </c>
    </row>
    <row r="1808">
      <c r="A1808" s="49" t="n"/>
      <c r="B1808" s="41" t="n"/>
      <c r="C1808" s="41" t="n"/>
      <c r="D1808" s="42" t="n"/>
      <c r="E1808" s="42" t="n"/>
      <c r="F1808" s="50" t="n"/>
      <c r="G1808" s="42" t="n"/>
      <c r="H1808" s="30">
        <f>IF(D1808="","",IFERROR(INDEX(Config!$B$12:$B$15,MATCH(IF(AND(D1808="Cartão de crédito",N(E1808)&gt;1),"Cartão de crédito parcelado",D1808),Config!$A$12:$A$15,0)),0)+IF(AND(Config!$B$17="Sim",LEFT(D1808,17)="Cartão de crédito"),Config!$B$18*IFERROR(INDEX(Config!$C$12:$C$15,MATCH(IF(AND(D1808="Cartão de crédito",N(E1808)&gt;1),"Cartão de crédito parcelado",D1808),Config!$A$12:$A$15,0)),0)/30*MAX(1,N(E1808)),0))</f>
        <v/>
      </c>
      <c r="I1808" s="29">
        <f>IF(OR(D1808="",F1808=""),"",ROUND(F1808*H1808,2))</f>
        <v/>
      </c>
      <c r="J1808" s="29">
        <f>IF(I1808="","",F1808-I1808)</f>
        <v/>
      </c>
      <c r="K1808" s="29">
        <f>IF(J1808="","",J1808/MAX(1,N(E1808)))</f>
        <v/>
      </c>
      <c r="L1808" s="37">
        <f>IF(OR(D1808="",A1808=""),"",A1808+IF(AND(Config!$B$17="Sim",LEFT(D1808,17)="Cartão de crédito"),1,IFERROR(INDEX(Config!$C$12:$C$15,MATCH(IF(AND(D1808="Cartão de crédito",N(E1808)&gt;1),"Cartão de crédito parcelado",D1808),Config!$A$12:$A$15,0)),0)))</f>
        <v/>
      </c>
      <c r="M1808" s="37">
        <f>IF(L1808="","",IF(AND(Config!$B$17="Sim",LEFT(D1808,17)="Cartão de crédito"),L1808,L1808+30*(MAX(1,N(E1808))-1)))</f>
        <v/>
      </c>
      <c r="N1808" s="29">
        <f>IF(OR(L1808="",K1808=""),"",K1808*MIN(MAX(1,N(E1808)),MAX(0,INT((Config!$B$8-L1808)/30)+1)))</f>
        <v/>
      </c>
      <c r="O1808" s="29">
        <f>IF(J1808="","",J1808-N(N1808))</f>
        <v/>
      </c>
      <c r="P1808" s="27">
        <f>IF(A1808="","",MONTH(A1808))</f>
        <v/>
      </c>
      <c r="Q1808" s="27">
        <f>IF(A1808="","",YEAR(A1808))</f>
        <v/>
      </c>
      <c r="R1808" s="27">
        <f>IF(L1808="","",IF(L1808&gt;Config!$B$8,"A cair",IF(N(G1808)&gt;=MIN(MAX(1,N(E1808)),MAX(0,INT((Config!$B$8-L1808)/30)+1)),IF(N(G1808)&gt;=MAX(1,N(E1808)),"Conferido","Conferido até aqui"),"A conferir")))</f>
        <v/>
      </c>
      <c r="S1808" s="51">
        <f>IF(R1808="A conferir",(Config!$B$8-L1808)*1000+N(F1808)/1000+ROW()/100000,0)</f>
        <v>0</v>
      </c>
      <c r="T1808" s="51">
        <f>IF(R1808="A conferir",N(N1808),0)</f>
        <v>0</v>
      </c>
      <c r="U1808" s="51">
        <f>IF(L1808="",0,L1808)</f>
        <v>0</v>
      </c>
      <c r="V1808" s="51">
        <f>IF(L1808="",0,MAX(1,N(E1808)))</f>
        <v>0</v>
      </c>
      <c r="W1808" s="51">
        <f>IF(K1808="",0,K1808)</f>
        <v>0</v>
      </c>
    </row>
    <row r="1809">
      <c r="A1809" s="49" t="n"/>
      <c r="B1809" s="41" t="n"/>
      <c r="C1809" s="41" t="n"/>
      <c r="D1809" s="42" t="n"/>
      <c r="E1809" s="42" t="n"/>
      <c r="F1809" s="50" t="n"/>
      <c r="G1809" s="42" t="n"/>
      <c r="H1809" s="30">
        <f>IF(D1809="","",IFERROR(INDEX(Config!$B$12:$B$15,MATCH(IF(AND(D1809="Cartão de crédito",N(E1809)&gt;1),"Cartão de crédito parcelado",D1809),Config!$A$12:$A$15,0)),0)+IF(AND(Config!$B$17="Sim",LEFT(D1809,17)="Cartão de crédito"),Config!$B$18*IFERROR(INDEX(Config!$C$12:$C$15,MATCH(IF(AND(D1809="Cartão de crédito",N(E1809)&gt;1),"Cartão de crédito parcelado",D1809),Config!$A$12:$A$15,0)),0)/30*MAX(1,N(E1809)),0))</f>
        <v/>
      </c>
      <c r="I1809" s="29">
        <f>IF(OR(D1809="",F1809=""),"",ROUND(F1809*H1809,2))</f>
        <v/>
      </c>
      <c r="J1809" s="29">
        <f>IF(I1809="","",F1809-I1809)</f>
        <v/>
      </c>
      <c r="K1809" s="29">
        <f>IF(J1809="","",J1809/MAX(1,N(E1809)))</f>
        <v/>
      </c>
      <c r="L1809" s="37">
        <f>IF(OR(D1809="",A1809=""),"",A1809+IF(AND(Config!$B$17="Sim",LEFT(D1809,17)="Cartão de crédito"),1,IFERROR(INDEX(Config!$C$12:$C$15,MATCH(IF(AND(D1809="Cartão de crédito",N(E1809)&gt;1),"Cartão de crédito parcelado",D1809),Config!$A$12:$A$15,0)),0)))</f>
        <v/>
      </c>
      <c r="M1809" s="37">
        <f>IF(L1809="","",IF(AND(Config!$B$17="Sim",LEFT(D1809,17)="Cartão de crédito"),L1809,L1809+30*(MAX(1,N(E1809))-1)))</f>
        <v/>
      </c>
      <c r="N1809" s="29">
        <f>IF(OR(L1809="",K1809=""),"",K1809*MIN(MAX(1,N(E1809)),MAX(0,INT((Config!$B$8-L1809)/30)+1)))</f>
        <v/>
      </c>
      <c r="O1809" s="29">
        <f>IF(J1809="","",J1809-N(N1809))</f>
        <v/>
      </c>
      <c r="P1809" s="27">
        <f>IF(A1809="","",MONTH(A1809))</f>
        <v/>
      </c>
      <c r="Q1809" s="27">
        <f>IF(A1809="","",YEAR(A1809))</f>
        <v/>
      </c>
      <c r="R1809" s="27">
        <f>IF(L1809="","",IF(L1809&gt;Config!$B$8,"A cair",IF(N(G1809)&gt;=MIN(MAX(1,N(E1809)),MAX(0,INT((Config!$B$8-L1809)/30)+1)),IF(N(G1809)&gt;=MAX(1,N(E1809)),"Conferido","Conferido até aqui"),"A conferir")))</f>
        <v/>
      </c>
      <c r="S1809" s="51">
        <f>IF(R1809="A conferir",(Config!$B$8-L1809)*1000+N(F1809)/1000+ROW()/100000,0)</f>
        <v>0</v>
      </c>
      <c r="T1809" s="51">
        <f>IF(R1809="A conferir",N(N1809),0)</f>
        <v>0</v>
      </c>
      <c r="U1809" s="51">
        <f>IF(L1809="",0,L1809)</f>
        <v>0</v>
      </c>
      <c r="V1809" s="51">
        <f>IF(L1809="",0,MAX(1,N(E1809)))</f>
        <v>0</v>
      </c>
      <c r="W1809" s="51">
        <f>IF(K1809="",0,K1809)</f>
        <v>0</v>
      </c>
    </row>
    <row r="1810">
      <c r="A1810" s="49" t="n"/>
      <c r="B1810" s="41" t="n"/>
      <c r="C1810" s="41" t="n"/>
      <c r="D1810" s="42" t="n"/>
      <c r="E1810" s="42" t="n"/>
      <c r="F1810" s="50" t="n"/>
      <c r="G1810" s="42" t="n"/>
      <c r="H1810" s="30">
        <f>IF(D1810="","",IFERROR(INDEX(Config!$B$12:$B$15,MATCH(IF(AND(D1810="Cartão de crédito",N(E1810)&gt;1),"Cartão de crédito parcelado",D1810),Config!$A$12:$A$15,0)),0)+IF(AND(Config!$B$17="Sim",LEFT(D1810,17)="Cartão de crédito"),Config!$B$18*IFERROR(INDEX(Config!$C$12:$C$15,MATCH(IF(AND(D1810="Cartão de crédito",N(E1810)&gt;1),"Cartão de crédito parcelado",D1810),Config!$A$12:$A$15,0)),0)/30*MAX(1,N(E1810)),0))</f>
        <v/>
      </c>
      <c r="I1810" s="29">
        <f>IF(OR(D1810="",F1810=""),"",ROUND(F1810*H1810,2))</f>
        <v/>
      </c>
      <c r="J1810" s="29">
        <f>IF(I1810="","",F1810-I1810)</f>
        <v/>
      </c>
      <c r="K1810" s="29">
        <f>IF(J1810="","",J1810/MAX(1,N(E1810)))</f>
        <v/>
      </c>
      <c r="L1810" s="37">
        <f>IF(OR(D1810="",A1810=""),"",A1810+IF(AND(Config!$B$17="Sim",LEFT(D1810,17)="Cartão de crédito"),1,IFERROR(INDEX(Config!$C$12:$C$15,MATCH(IF(AND(D1810="Cartão de crédito",N(E1810)&gt;1),"Cartão de crédito parcelado",D1810),Config!$A$12:$A$15,0)),0)))</f>
        <v/>
      </c>
      <c r="M1810" s="37">
        <f>IF(L1810="","",IF(AND(Config!$B$17="Sim",LEFT(D1810,17)="Cartão de crédito"),L1810,L1810+30*(MAX(1,N(E1810))-1)))</f>
        <v/>
      </c>
      <c r="N1810" s="29">
        <f>IF(OR(L1810="",K1810=""),"",K1810*MIN(MAX(1,N(E1810)),MAX(0,INT((Config!$B$8-L1810)/30)+1)))</f>
        <v/>
      </c>
      <c r="O1810" s="29">
        <f>IF(J1810="","",J1810-N(N1810))</f>
        <v/>
      </c>
      <c r="P1810" s="27">
        <f>IF(A1810="","",MONTH(A1810))</f>
        <v/>
      </c>
      <c r="Q1810" s="27">
        <f>IF(A1810="","",YEAR(A1810))</f>
        <v/>
      </c>
      <c r="R1810" s="27">
        <f>IF(L1810="","",IF(L1810&gt;Config!$B$8,"A cair",IF(N(G1810)&gt;=MIN(MAX(1,N(E1810)),MAX(0,INT((Config!$B$8-L1810)/30)+1)),IF(N(G1810)&gt;=MAX(1,N(E1810)),"Conferido","Conferido até aqui"),"A conferir")))</f>
        <v/>
      </c>
      <c r="S1810" s="51">
        <f>IF(R1810="A conferir",(Config!$B$8-L1810)*1000+N(F1810)/1000+ROW()/100000,0)</f>
        <v>0</v>
      </c>
      <c r="T1810" s="51">
        <f>IF(R1810="A conferir",N(N1810),0)</f>
        <v>0</v>
      </c>
      <c r="U1810" s="51">
        <f>IF(L1810="",0,L1810)</f>
        <v>0</v>
      </c>
      <c r="V1810" s="51">
        <f>IF(L1810="",0,MAX(1,N(E1810)))</f>
        <v>0</v>
      </c>
      <c r="W1810" s="51">
        <f>IF(K1810="",0,K1810)</f>
        <v>0</v>
      </c>
    </row>
    <row r="1811">
      <c r="A1811" s="49" t="n"/>
      <c r="B1811" s="41" t="n"/>
      <c r="C1811" s="41" t="n"/>
      <c r="D1811" s="42" t="n"/>
      <c r="E1811" s="42" t="n"/>
      <c r="F1811" s="50" t="n"/>
      <c r="G1811" s="42" t="n"/>
      <c r="H1811" s="30">
        <f>IF(D1811="","",IFERROR(INDEX(Config!$B$12:$B$15,MATCH(IF(AND(D1811="Cartão de crédito",N(E1811)&gt;1),"Cartão de crédito parcelado",D1811),Config!$A$12:$A$15,0)),0)+IF(AND(Config!$B$17="Sim",LEFT(D1811,17)="Cartão de crédito"),Config!$B$18*IFERROR(INDEX(Config!$C$12:$C$15,MATCH(IF(AND(D1811="Cartão de crédito",N(E1811)&gt;1),"Cartão de crédito parcelado",D1811),Config!$A$12:$A$15,0)),0)/30*MAX(1,N(E1811)),0))</f>
        <v/>
      </c>
      <c r="I1811" s="29">
        <f>IF(OR(D1811="",F1811=""),"",ROUND(F1811*H1811,2))</f>
        <v/>
      </c>
      <c r="J1811" s="29">
        <f>IF(I1811="","",F1811-I1811)</f>
        <v/>
      </c>
      <c r="K1811" s="29">
        <f>IF(J1811="","",J1811/MAX(1,N(E1811)))</f>
        <v/>
      </c>
      <c r="L1811" s="37">
        <f>IF(OR(D1811="",A1811=""),"",A1811+IF(AND(Config!$B$17="Sim",LEFT(D1811,17)="Cartão de crédito"),1,IFERROR(INDEX(Config!$C$12:$C$15,MATCH(IF(AND(D1811="Cartão de crédito",N(E1811)&gt;1),"Cartão de crédito parcelado",D1811),Config!$A$12:$A$15,0)),0)))</f>
        <v/>
      </c>
      <c r="M1811" s="37">
        <f>IF(L1811="","",IF(AND(Config!$B$17="Sim",LEFT(D1811,17)="Cartão de crédito"),L1811,L1811+30*(MAX(1,N(E1811))-1)))</f>
        <v/>
      </c>
      <c r="N1811" s="29">
        <f>IF(OR(L1811="",K1811=""),"",K1811*MIN(MAX(1,N(E1811)),MAX(0,INT((Config!$B$8-L1811)/30)+1)))</f>
        <v/>
      </c>
      <c r="O1811" s="29">
        <f>IF(J1811="","",J1811-N(N1811))</f>
        <v/>
      </c>
      <c r="P1811" s="27">
        <f>IF(A1811="","",MONTH(A1811))</f>
        <v/>
      </c>
      <c r="Q1811" s="27">
        <f>IF(A1811="","",YEAR(A1811))</f>
        <v/>
      </c>
      <c r="R1811" s="27">
        <f>IF(L1811="","",IF(L1811&gt;Config!$B$8,"A cair",IF(N(G1811)&gt;=MIN(MAX(1,N(E1811)),MAX(0,INT((Config!$B$8-L1811)/30)+1)),IF(N(G1811)&gt;=MAX(1,N(E1811)),"Conferido","Conferido até aqui"),"A conferir")))</f>
        <v/>
      </c>
      <c r="S1811" s="51">
        <f>IF(R1811="A conferir",(Config!$B$8-L1811)*1000+N(F1811)/1000+ROW()/100000,0)</f>
        <v>0</v>
      </c>
      <c r="T1811" s="51">
        <f>IF(R1811="A conferir",N(N1811),0)</f>
        <v>0</v>
      </c>
      <c r="U1811" s="51">
        <f>IF(L1811="",0,L1811)</f>
        <v>0</v>
      </c>
      <c r="V1811" s="51">
        <f>IF(L1811="",0,MAX(1,N(E1811)))</f>
        <v>0</v>
      </c>
      <c r="W1811" s="51">
        <f>IF(K1811="",0,K1811)</f>
        <v>0</v>
      </c>
    </row>
    <row r="1812">
      <c r="A1812" s="49" t="n"/>
      <c r="B1812" s="41" t="n"/>
      <c r="C1812" s="41" t="n"/>
      <c r="D1812" s="42" t="n"/>
      <c r="E1812" s="42" t="n"/>
      <c r="F1812" s="50" t="n"/>
      <c r="G1812" s="42" t="n"/>
      <c r="H1812" s="30">
        <f>IF(D1812="","",IFERROR(INDEX(Config!$B$12:$B$15,MATCH(IF(AND(D1812="Cartão de crédito",N(E1812)&gt;1),"Cartão de crédito parcelado",D1812),Config!$A$12:$A$15,0)),0)+IF(AND(Config!$B$17="Sim",LEFT(D1812,17)="Cartão de crédito"),Config!$B$18*IFERROR(INDEX(Config!$C$12:$C$15,MATCH(IF(AND(D1812="Cartão de crédito",N(E1812)&gt;1),"Cartão de crédito parcelado",D1812),Config!$A$12:$A$15,0)),0)/30*MAX(1,N(E1812)),0))</f>
        <v/>
      </c>
      <c r="I1812" s="29">
        <f>IF(OR(D1812="",F1812=""),"",ROUND(F1812*H1812,2))</f>
        <v/>
      </c>
      <c r="J1812" s="29">
        <f>IF(I1812="","",F1812-I1812)</f>
        <v/>
      </c>
      <c r="K1812" s="29">
        <f>IF(J1812="","",J1812/MAX(1,N(E1812)))</f>
        <v/>
      </c>
      <c r="L1812" s="37">
        <f>IF(OR(D1812="",A1812=""),"",A1812+IF(AND(Config!$B$17="Sim",LEFT(D1812,17)="Cartão de crédito"),1,IFERROR(INDEX(Config!$C$12:$C$15,MATCH(IF(AND(D1812="Cartão de crédito",N(E1812)&gt;1),"Cartão de crédito parcelado",D1812),Config!$A$12:$A$15,0)),0)))</f>
        <v/>
      </c>
      <c r="M1812" s="37">
        <f>IF(L1812="","",IF(AND(Config!$B$17="Sim",LEFT(D1812,17)="Cartão de crédito"),L1812,L1812+30*(MAX(1,N(E1812))-1)))</f>
        <v/>
      </c>
      <c r="N1812" s="29">
        <f>IF(OR(L1812="",K1812=""),"",K1812*MIN(MAX(1,N(E1812)),MAX(0,INT((Config!$B$8-L1812)/30)+1)))</f>
        <v/>
      </c>
      <c r="O1812" s="29">
        <f>IF(J1812="","",J1812-N(N1812))</f>
        <v/>
      </c>
      <c r="P1812" s="27">
        <f>IF(A1812="","",MONTH(A1812))</f>
        <v/>
      </c>
      <c r="Q1812" s="27">
        <f>IF(A1812="","",YEAR(A1812))</f>
        <v/>
      </c>
      <c r="R1812" s="27">
        <f>IF(L1812="","",IF(L1812&gt;Config!$B$8,"A cair",IF(N(G1812)&gt;=MIN(MAX(1,N(E1812)),MAX(0,INT((Config!$B$8-L1812)/30)+1)),IF(N(G1812)&gt;=MAX(1,N(E1812)),"Conferido","Conferido até aqui"),"A conferir")))</f>
        <v/>
      </c>
      <c r="S1812" s="51">
        <f>IF(R1812="A conferir",(Config!$B$8-L1812)*1000+N(F1812)/1000+ROW()/100000,0)</f>
        <v>0</v>
      </c>
      <c r="T1812" s="51">
        <f>IF(R1812="A conferir",N(N1812),0)</f>
        <v>0</v>
      </c>
      <c r="U1812" s="51">
        <f>IF(L1812="",0,L1812)</f>
        <v>0</v>
      </c>
      <c r="V1812" s="51">
        <f>IF(L1812="",0,MAX(1,N(E1812)))</f>
        <v>0</v>
      </c>
      <c r="W1812" s="51">
        <f>IF(K1812="",0,K1812)</f>
        <v>0</v>
      </c>
    </row>
    <row r="1813">
      <c r="A1813" s="49" t="n"/>
      <c r="B1813" s="41" t="n"/>
      <c r="C1813" s="41" t="n"/>
      <c r="D1813" s="42" t="n"/>
      <c r="E1813" s="42" t="n"/>
      <c r="F1813" s="50" t="n"/>
      <c r="G1813" s="42" t="n"/>
      <c r="H1813" s="30">
        <f>IF(D1813="","",IFERROR(INDEX(Config!$B$12:$B$15,MATCH(IF(AND(D1813="Cartão de crédito",N(E1813)&gt;1),"Cartão de crédito parcelado",D1813),Config!$A$12:$A$15,0)),0)+IF(AND(Config!$B$17="Sim",LEFT(D1813,17)="Cartão de crédito"),Config!$B$18*IFERROR(INDEX(Config!$C$12:$C$15,MATCH(IF(AND(D1813="Cartão de crédito",N(E1813)&gt;1),"Cartão de crédito parcelado",D1813),Config!$A$12:$A$15,0)),0)/30*MAX(1,N(E1813)),0))</f>
        <v/>
      </c>
      <c r="I1813" s="29">
        <f>IF(OR(D1813="",F1813=""),"",ROUND(F1813*H1813,2))</f>
        <v/>
      </c>
      <c r="J1813" s="29">
        <f>IF(I1813="","",F1813-I1813)</f>
        <v/>
      </c>
      <c r="K1813" s="29">
        <f>IF(J1813="","",J1813/MAX(1,N(E1813)))</f>
        <v/>
      </c>
      <c r="L1813" s="37">
        <f>IF(OR(D1813="",A1813=""),"",A1813+IF(AND(Config!$B$17="Sim",LEFT(D1813,17)="Cartão de crédito"),1,IFERROR(INDEX(Config!$C$12:$C$15,MATCH(IF(AND(D1813="Cartão de crédito",N(E1813)&gt;1),"Cartão de crédito parcelado",D1813),Config!$A$12:$A$15,0)),0)))</f>
        <v/>
      </c>
      <c r="M1813" s="37">
        <f>IF(L1813="","",IF(AND(Config!$B$17="Sim",LEFT(D1813,17)="Cartão de crédito"),L1813,L1813+30*(MAX(1,N(E1813))-1)))</f>
        <v/>
      </c>
      <c r="N1813" s="29">
        <f>IF(OR(L1813="",K1813=""),"",K1813*MIN(MAX(1,N(E1813)),MAX(0,INT((Config!$B$8-L1813)/30)+1)))</f>
        <v/>
      </c>
      <c r="O1813" s="29">
        <f>IF(J1813="","",J1813-N(N1813))</f>
        <v/>
      </c>
      <c r="P1813" s="27">
        <f>IF(A1813="","",MONTH(A1813))</f>
        <v/>
      </c>
      <c r="Q1813" s="27">
        <f>IF(A1813="","",YEAR(A1813))</f>
        <v/>
      </c>
      <c r="R1813" s="27">
        <f>IF(L1813="","",IF(L1813&gt;Config!$B$8,"A cair",IF(N(G1813)&gt;=MIN(MAX(1,N(E1813)),MAX(0,INT((Config!$B$8-L1813)/30)+1)),IF(N(G1813)&gt;=MAX(1,N(E1813)),"Conferido","Conferido até aqui"),"A conferir")))</f>
        <v/>
      </c>
      <c r="S1813" s="51">
        <f>IF(R1813="A conferir",(Config!$B$8-L1813)*1000+N(F1813)/1000+ROW()/100000,0)</f>
        <v>0</v>
      </c>
      <c r="T1813" s="51">
        <f>IF(R1813="A conferir",N(N1813),0)</f>
        <v>0</v>
      </c>
      <c r="U1813" s="51">
        <f>IF(L1813="",0,L1813)</f>
        <v>0</v>
      </c>
      <c r="V1813" s="51">
        <f>IF(L1813="",0,MAX(1,N(E1813)))</f>
        <v>0</v>
      </c>
      <c r="W1813" s="51">
        <f>IF(K1813="",0,K1813)</f>
        <v>0</v>
      </c>
    </row>
    <row r="1814">
      <c r="A1814" s="49" t="n"/>
      <c r="B1814" s="41" t="n"/>
      <c r="C1814" s="41" t="n"/>
      <c r="D1814" s="42" t="n"/>
      <c r="E1814" s="42" t="n"/>
      <c r="F1814" s="50" t="n"/>
      <c r="G1814" s="42" t="n"/>
      <c r="H1814" s="30">
        <f>IF(D1814="","",IFERROR(INDEX(Config!$B$12:$B$15,MATCH(IF(AND(D1814="Cartão de crédito",N(E1814)&gt;1),"Cartão de crédito parcelado",D1814),Config!$A$12:$A$15,0)),0)+IF(AND(Config!$B$17="Sim",LEFT(D1814,17)="Cartão de crédito"),Config!$B$18*IFERROR(INDEX(Config!$C$12:$C$15,MATCH(IF(AND(D1814="Cartão de crédito",N(E1814)&gt;1),"Cartão de crédito parcelado",D1814),Config!$A$12:$A$15,0)),0)/30*MAX(1,N(E1814)),0))</f>
        <v/>
      </c>
      <c r="I1814" s="29">
        <f>IF(OR(D1814="",F1814=""),"",ROUND(F1814*H1814,2))</f>
        <v/>
      </c>
      <c r="J1814" s="29">
        <f>IF(I1814="","",F1814-I1814)</f>
        <v/>
      </c>
      <c r="K1814" s="29">
        <f>IF(J1814="","",J1814/MAX(1,N(E1814)))</f>
        <v/>
      </c>
      <c r="L1814" s="37">
        <f>IF(OR(D1814="",A1814=""),"",A1814+IF(AND(Config!$B$17="Sim",LEFT(D1814,17)="Cartão de crédito"),1,IFERROR(INDEX(Config!$C$12:$C$15,MATCH(IF(AND(D1814="Cartão de crédito",N(E1814)&gt;1),"Cartão de crédito parcelado",D1814),Config!$A$12:$A$15,0)),0)))</f>
        <v/>
      </c>
      <c r="M1814" s="37">
        <f>IF(L1814="","",IF(AND(Config!$B$17="Sim",LEFT(D1814,17)="Cartão de crédito"),L1814,L1814+30*(MAX(1,N(E1814))-1)))</f>
        <v/>
      </c>
      <c r="N1814" s="29">
        <f>IF(OR(L1814="",K1814=""),"",K1814*MIN(MAX(1,N(E1814)),MAX(0,INT((Config!$B$8-L1814)/30)+1)))</f>
        <v/>
      </c>
      <c r="O1814" s="29">
        <f>IF(J1814="","",J1814-N(N1814))</f>
        <v/>
      </c>
      <c r="P1814" s="27">
        <f>IF(A1814="","",MONTH(A1814))</f>
        <v/>
      </c>
      <c r="Q1814" s="27">
        <f>IF(A1814="","",YEAR(A1814))</f>
        <v/>
      </c>
      <c r="R1814" s="27">
        <f>IF(L1814="","",IF(L1814&gt;Config!$B$8,"A cair",IF(N(G1814)&gt;=MIN(MAX(1,N(E1814)),MAX(0,INT((Config!$B$8-L1814)/30)+1)),IF(N(G1814)&gt;=MAX(1,N(E1814)),"Conferido","Conferido até aqui"),"A conferir")))</f>
        <v/>
      </c>
      <c r="S1814" s="51">
        <f>IF(R1814="A conferir",(Config!$B$8-L1814)*1000+N(F1814)/1000+ROW()/100000,0)</f>
        <v>0</v>
      </c>
      <c r="T1814" s="51">
        <f>IF(R1814="A conferir",N(N1814),0)</f>
        <v>0</v>
      </c>
      <c r="U1814" s="51">
        <f>IF(L1814="",0,L1814)</f>
        <v>0</v>
      </c>
      <c r="V1814" s="51">
        <f>IF(L1814="",0,MAX(1,N(E1814)))</f>
        <v>0</v>
      </c>
      <c r="W1814" s="51">
        <f>IF(K1814="",0,K1814)</f>
        <v>0</v>
      </c>
    </row>
    <row r="1815">
      <c r="A1815" s="49" t="n"/>
      <c r="B1815" s="41" t="n"/>
      <c r="C1815" s="41" t="n"/>
      <c r="D1815" s="42" t="n"/>
      <c r="E1815" s="42" t="n"/>
      <c r="F1815" s="50" t="n"/>
      <c r="G1815" s="42" t="n"/>
      <c r="H1815" s="30">
        <f>IF(D1815="","",IFERROR(INDEX(Config!$B$12:$B$15,MATCH(IF(AND(D1815="Cartão de crédito",N(E1815)&gt;1),"Cartão de crédito parcelado",D1815),Config!$A$12:$A$15,0)),0)+IF(AND(Config!$B$17="Sim",LEFT(D1815,17)="Cartão de crédito"),Config!$B$18*IFERROR(INDEX(Config!$C$12:$C$15,MATCH(IF(AND(D1815="Cartão de crédito",N(E1815)&gt;1),"Cartão de crédito parcelado",D1815),Config!$A$12:$A$15,0)),0)/30*MAX(1,N(E1815)),0))</f>
        <v/>
      </c>
      <c r="I1815" s="29">
        <f>IF(OR(D1815="",F1815=""),"",ROUND(F1815*H1815,2))</f>
        <v/>
      </c>
      <c r="J1815" s="29">
        <f>IF(I1815="","",F1815-I1815)</f>
        <v/>
      </c>
      <c r="K1815" s="29">
        <f>IF(J1815="","",J1815/MAX(1,N(E1815)))</f>
        <v/>
      </c>
      <c r="L1815" s="37">
        <f>IF(OR(D1815="",A1815=""),"",A1815+IF(AND(Config!$B$17="Sim",LEFT(D1815,17)="Cartão de crédito"),1,IFERROR(INDEX(Config!$C$12:$C$15,MATCH(IF(AND(D1815="Cartão de crédito",N(E1815)&gt;1),"Cartão de crédito parcelado",D1815),Config!$A$12:$A$15,0)),0)))</f>
        <v/>
      </c>
      <c r="M1815" s="37">
        <f>IF(L1815="","",IF(AND(Config!$B$17="Sim",LEFT(D1815,17)="Cartão de crédito"),L1815,L1815+30*(MAX(1,N(E1815))-1)))</f>
        <v/>
      </c>
      <c r="N1815" s="29">
        <f>IF(OR(L1815="",K1815=""),"",K1815*MIN(MAX(1,N(E1815)),MAX(0,INT((Config!$B$8-L1815)/30)+1)))</f>
        <v/>
      </c>
      <c r="O1815" s="29">
        <f>IF(J1815="","",J1815-N(N1815))</f>
        <v/>
      </c>
      <c r="P1815" s="27">
        <f>IF(A1815="","",MONTH(A1815))</f>
        <v/>
      </c>
      <c r="Q1815" s="27">
        <f>IF(A1815="","",YEAR(A1815))</f>
        <v/>
      </c>
      <c r="R1815" s="27">
        <f>IF(L1815="","",IF(L1815&gt;Config!$B$8,"A cair",IF(N(G1815)&gt;=MIN(MAX(1,N(E1815)),MAX(0,INT((Config!$B$8-L1815)/30)+1)),IF(N(G1815)&gt;=MAX(1,N(E1815)),"Conferido","Conferido até aqui"),"A conferir")))</f>
        <v/>
      </c>
      <c r="S1815" s="51">
        <f>IF(R1815="A conferir",(Config!$B$8-L1815)*1000+N(F1815)/1000+ROW()/100000,0)</f>
        <v>0</v>
      </c>
      <c r="T1815" s="51">
        <f>IF(R1815="A conferir",N(N1815),0)</f>
        <v>0</v>
      </c>
      <c r="U1815" s="51">
        <f>IF(L1815="",0,L1815)</f>
        <v>0</v>
      </c>
      <c r="V1815" s="51">
        <f>IF(L1815="",0,MAX(1,N(E1815)))</f>
        <v>0</v>
      </c>
      <c r="W1815" s="51">
        <f>IF(K1815="",0,K1815)</f>
        <v>0</v>
      </c>
    </row>
    <row r="1816">
      <c r="A1816" s="49" t="n"/>
      <c r="B1816" s="41" t="n"/>
      <c r="C1816" s="41" t="n"/>
      <c r="D1816" s="42" t="n"/>
      <c r="E1816" s="42" t="n"/>
      <c r="F1816" s="50" t="n"/>
      <c r="G1816" s="42" t="n"/>
      <c r="H1816" s="30">
        <f>IF(D1816="","",IFERROR(INDEX(Config!$B$12:$B$15,MATCH(IF(AND(D1816="Cartão de crédito",N(E1816)&gt;1),"Cartão de crédito parcelado",D1816),Config!$A$12:$A$15,0)),0)+IF(AND(Config!$B$17="Sim",LEFT(D1816,17)="Cartão de crédito"),Config!$B$18*IFERROR(INDEX(Config!$C$12:$C$15,MATCH(IF(AND(D1816="Cartão de crédito",N(E1816)&gt;1),"Cartão de crédito parcelado",D1816),Config!$A$12:$A$15,0)),0)/30*MAX(1,N(E1816)),0))</f>
        <v/>
      </c>
      <c r="I1816" s="29">
        <f>IF(OR(D1816="",F1816=""),"",ROUND(F1816*H1816,2))</f>
        <v/>
      </c>
      <c r="J1816" s="29">
        <f>IF(I1816="","",F1816-I1816)</f>
        <v/>
      </c>
      <c r="K1816" s="29">
        <f>IF(J1816="","",J1816/MAX(1,N(E1816)))</f>
        <v/>
      </c>
      <c r="L1816" s="37">
        <f>IF(OR(D1816="",A1816=""),"",A1816+IF(AND(Config!$B$17="Sim",LEFT(D1816,17)="Cartão de crédito"),1,IFERROR(INDEX(Config!$C$12:$C$15,MATCH(IF(AND(D1816="Cartão de crédito",N(E1816)&gt;1),"Cartão de crédito parcelado",D1816),Config!$A$12:$A$15,0)),0)))</f>
        <v/>
      </c>
      <c r="M1816" s="37">
        <f>IF(L1816="","",IF(AND(Config!$B$17="Sim",LEFT(D1816,17)="Cartão de crédito"),L1816,L1816+30*(MAX(1,N(E1816))-1)))</f>
        <v/>
      </c>
      <c r="N1816" s="29">
        <f>IF(OR(L1816="",K1816=""),"",K1816*MIN(MAX(1,N(E1816)),MAX(0,INT((Config!$B$8-L1816)/30)+1)))</f>
        <v/>
      </c>
      <c r="O1816" s="29">
        <f>IF(J1816="","",J1816-N(N1816))</f>
        <v/>
      </c>
      <c r="P1816" s="27">
        <f>IF(A1816="","",MONTH(A1816))</f>
        <v/>
      </c>
      <c r="Q1816" s="27">
        <f>IF(A1816="","",YEAR(A1816))</f>
        <v/>
      </c>
      <c r="R1816" s="27">
        <f>IF(L1816="","",IF(L1816&gt;Config!$B$8,"A cair",IF(N(G1816)&gt;=MIN(MAX(1,N(E1816)),MAX(0,INT((Config!$B$8-L1816)/30)+1)),IF(N(G1816)&gt;=MAX(1,N(E1816)),"Conferido","Conferido até aqui"),"A conferir")))</f>
        <v/>
      </c>
      <c r="S1816" s="51">
        <f>IF(R1816="A conferir",(Config!$B$8-L1816)*1000+N(F1816)/1000+ROW()/100000,0)</f>
        <v>0</v>
      </c>
      <c r="T1816" s="51">
        <f>IF(R1816="A conferir",N(N1816),0)</f>
        <v>0</v>
      </c>
      <c r="U1816" s="51">
        <f>IF(L1816="",0,L1816)</f>
        <v>0</v>
      </c>
      <c r="V1816" s="51">
        <f>IF(L1816="",0,MAX(1,N(E1816)))</f>
        <v>0</v>
      </c>
      <c r="W1816" s="51">
        <f>IF(K1816="",0,K1816)</f>
        <v>0</v>
      </c>
    </row>
    <row r="1817">
      <c r="A1817" s="49" t="n"/>
      <c r="B1817" s="41" t="n"/>
      <c r="C1817" s="41" t="n"/>
      <c r="D1817" s="42" t="n"/>
      <c r="E1817" s="42" t="n"/>
      <c r="F1817" s="50" t="n"/>
      <c r="G1817" s="42" t="n"/>
      <c r="H1817" s="30">
        <f>IF(D1817="","",IFERROR(INDEX(Config!$B$12:$B$15,MATCH(IF(AND(D1817="Cartão de crédito",N(E1817)&gt;1),"Cartão de crédito parcelado",D1817),Config!$A$12:$A$15,0)),0)+IF(AND(Config!$B$17="Sim",LEFT(D1817,17)="Cartão de crédito"),Config!$B$18*IFERROR(INDEX(Config!$C$12:$C$15,MATCH(IF(AND(D1817="Cartão de crédito",N(E1817)&gt;1),"Cartão de crédito parcelado",D1817),Config!$A$12:$A$15,0)),0)/30*MAX(1,N(E1817)),0))</f>
        <v/>
      </c>
      <c r="I1817" s="29">
        <f>IF(OR(D1817="",F1817=""),"",ROUND(F1817*H1817,2))</f>
        <v/>
      </c>
      <c r="J1817" s="29">
        <f>IF(I1817="","",F1817-I1817)</f>
        <v/>
      </c>
      <c r="K1817" s="29">
        <f>IF(J1817="","",J1817/MAX(1,N(E1817)))</f>
        <v/>
      </c>
      <c r="L1817" s="37">
        <f>IF(OR(D1817="",A1817=""),"",A1817+IF(AND(Config!$B$17="Sim",LEFT(D1817,17)="Cartão de crédito"),1,IFERROR(INDEX(Config!$C$12:$C$15,MATCH(IF(AND(D1817="Cartão de crédito",N(E1817)&gt;1),"Cartão de crédito parcelado",D1817),Config!$A$12:$A$15,0)),0)))</f>
        <v/>
      </c>
      <c r="M1817" s="37">
        <f>IF(L1817="","",IF(AND(Config!$B$17="Sim",LEFT(D1817,17)="Cartão de crédito"),L1817,L1817+30*(MAX(1,N(E1817))-1)))</f>
        <v/>
      </c>
      <c r="N1817" s="29">
        <f>IF(OR(L1817="",K1817=""),"",K1817*MIN(MAX(1,N(E1817)),MAX(0,INT((Config!$B$8-L1817)/30)+1)))</f>
        <v/>
      </c>
      <c r="O1817" s="29">
        <f>IF(J1817="","",J1817-N(N1817))</f>
        <v/>
      </c>
      <c r="P1817" s="27">
        <f>IF(A1817="","",MONTH(A1817))</f>
        <v/>
      </c>
      <c r="Q1817" s="27">
        <f>IF(A1817="","",YEAR(A1817))</f>
        <v/>
      </c>
      <c r="R1817" s="27">
        <f>IF(L1817="","",IF(L1817&gt;Config!$B$8,"A cair",IF(N(G1817)&gt;=MIN(MAX(1,N(E1817)),MAX(0,INT((Config!$B$8-L1817)/30)+1)),IF(N(G1817)&gt;=MAX(1,N(E1817)),"Conferido","Conferido até aqui"),"A conferir")))</f>
        <v/>
      </c>
      <c r="S1817" s="51">
        <f>IF(R1817="A conferir",(Config!$B$8-L1817)*1000+N(F1817)/1000+ROW()/100000,0)</f>
        <v>0</v>
      </c>
      <c r="T1817" s="51">
        <f>IF(R1817="A conferir",N(N1817),0)</f>
        <v>0</v>
      </c>
      <c r="U1817" s="51">
        <f>IF(L1817="",0,L1817)</f>
        <v>0</v>
      </c>
      <c r="V1817" s="51">
        <f>IF(L1817="",0,MAX(1,N(E1817)))</f>
        <v>0</v>
      </c>
      <c r="W1817" s="51">
        <f>IF(K1817="",0,K1817)</f>
        <v>0</v>
      </c>
    </row>
    <row r="1818">
      <c r="A1818" s="49" t="n"/>
      <c r="B1818" s="41" t="n"/>
      <c r="C1818" s="41" t="n"/>
      <c r="D1818" s="42" t="n"/>
      <c r="E1818" s="42" t="n"/>
      <c r="F1818" s="50" t="n"/>
      <c r="G1818" s="42" t="n"/>
      <c r="H1818" s="30">
        <f>IF(D1818="","",IFERROR(INDEX(Config!$B$12:$B$15,MATCH(IF(AND(D1818="Cartão de crédito",N(E1818)&gt;1),"Cartão de crédito parcelado",D1818),Config!$A$12:$A$15,0)),0)+IF(AND(Config!$B$17="Sim",LEFT(D1818,17)="Cartão de crédito"),Config!$B$18*IFERROR(INDEX(Config!$C$12:$C$15,MATCH(IF(AND(D1818="Cartão de crédito",N(E1818)&gt;1),"Cartão de crédito parcelado",D1818),Config!$A$12:$A$15,0)),0)/30*MAX(1,N(E1818)),0))</f>
        <v/>
      </c>
      <c r="I1818" s="29">
        <f>IF(OR(D1818="",F1818=""),"",ROUND(F1818*H1818,2))</f>
        <v/>
      </c>
      <c r="J1818" s="29">
        <f>IF(I1818="","",F1818-I1818)</f>
        <v/>
      </c>
      <c r="K1818" s="29">
        <f>IF(J1818="","",J1818/MAX(1,N(E1818)))</f>
        <v/>
      </c>
      <c r="L1818" s="37">
        <f>IF(OR(D1818="",A1818=""),"",A1818+IF(AND(Config!$B$17="Sim",LEFT(D1818,17)="Cartão de crédito"),1,IFERROR(INDEX(Config!$C$12:$C$15,MATCH(IF(AND(D1818="Cartão de crédito",N(E1818)&gt;1),"Cartão de crédito parcelado",D1818),Config!$A$12:$A$15,0)),0)))</f>
        <v/>
      </c>
      <c r="M1818" s="37">
        <f>IF(L1818="","",IF(AND(Config!$B$17="Sim",LEFT(D1818,17)="Cartão de crédito"),L1818,L1818+30*(MAX(1,N(E1818))-1)))</f>
        <v/>
      </c>
      <c r="N1818" s="29">
        <f>IF(OR(L1818="",K1818=""),"",K1818*MIN(MAX(1,N(E1818)),MAX(0,INT((Config!$B$8-L1818)/30)+1)))</f>
        <v/>
      </c>
      <c r="O1818" s="29">
        <f>IF(J1818="","",J1818-N(N1818))</f>
        <v/>
      </c>
      <c r="P1818" s="27">
        <f>IF(A1818="","",MONTH(A1818))</f>
        <v/>
      </c>
      <c r="Q1818" s="27">
        <f>IF(A1818="","",YEAR(A1818))</f>
        <v/>
      </c>
      <c r="R1818" s="27">
        <f>IF(L1818="","",IF(L1818&gt;Config!$B$8,"A cair",IF(N(G1818)&gt;=MIN(MAX(1,N(E1818)),MAX(0,INT((Config!$B$8-L1818)/30)+1)),IF(N(G1818)&gt;=MAX(1,N(E1818)),"Conferido","Conferido até aqui"),"A conferir")))</f>
        <v/>
      </c>
      <c r="S1818" s="51">
        <f>IF(R1818="A conferir",(Config!$B$8-L1818)*1000+N(F1818)/1000+ROW()/100000,0)</f>
        <v>0</v>
      </c>
      <c r="T1818" s="51">
        <f>IF(R1818="A conferir",N(N1818),0)</f>
        <v>0</v>
      </c>
      <c r="U1818" s="51">
        <f>IF(L1818="",0,L1818)</f>
        <v>0</v>
      </c>
      <c r="V1818" s="51">
        <f>IF(L1818="",0,MAX(1,N(E1818)))</f>
        <v>0</v>
      </c>
      <c r="W1818" s="51">
        <f>IF(K1818="",0,K1818)</f>
        <v>0</v>
      </c>
    </row>
    <row r="1819">
      <c r="A1819" s="49" t="n"/>
      <c r="B1819" s="41" t="n"/>
      <c r="C1819" s="41" t="n"/>
      <c r="D1819" s="42" t="n"/>
      <c r="E1819" s="42" t="n"/>
      <c r="F1819" s="50" t="n"/>
      <c r="G1819" s="42" t="n"/>
      <c r="H1819" s="30">
        <f>IF(D1819="","",IFERROR(INDEX(Config!$B$12:$B$15,MATCH(IF(AND(D1819="Cartão de crédito",N(E1819)&gt;1),"Cartão de crédito parcelado",D1819),Config!$A$12:$A$15,0)),0)+IF(AND(Config!$B$17="Sim",LEFT(D1819,17)="Cartão de crédito"),Config!$B$18*IFERROR(INDEX(Config!$C$12:$C$15,MATCH(IF(AND(D1819="Cartão de crédito",N(E1819)&gt;1),"Cartão de crédito parcelado",D1819),Config!$A$12:$A$15,0)),0)/30*MAX(1,N(E1819)),0))</f>
        <v/>
      </c>
      <c r="I1819" s="29">
        <f>IF(OR(D1819="",F1819=""),"",ROUND(F1819*H1819,2))</f>
        <v/>
      </c>
      <c r="J1819" s="29">
        <f>IF(I1819="","",F1819-I1819)</f>
        <v/>
      </c>
      <c r="K1819" s="29">
        <f>IF(J1819="","",J1819/MAX(1,N(E1819)))</f>
        <v/>
      </c>
      <c r="L1819" s="37">
        <f>IF(OR(D1819="",A1819=""),"",A1819+IF(AND(Config!$B$17="Sim",LEFT(D1819,17)="Cartão de crédito"),1,IFERROR(INDEX(Config!$C$12:$C$15,MATCH(IF(AND(D1819="Cartão de crédito",N(E1819)&gt;1),"Cartão de crédito parcelado",D1819),Config!$A$12:$A$15,0)),0)))</f>
        <v/>
      </c>
      <c r="M1819" s="37">
        <f>IF(L1819="","",IF(AND(Config!$B$17="Sim",LEFT(D1819,17)="Cartão de crédito"),L1819,L1819+30*(MAX(1,N(E1819))-1)))</f>
        <v/>
      </c>
      <c r="N1819" s="29">
        <f>IF(OR(L1819="",K1819=""),"",K1819*MIN(MAX(1,N(E1819)),MAX(0,INT((Config!$B$8-L1819)/30)+1)))</f>
        <v/>
      </c>
      <c r="O1819" s="29">
        <f>IF(J1819="","",J1819-N(N1819))</f>
        <v/>
      </c>
      <c r="P1819" s="27">
        <f>IF(A1819="","",MONTH(A1819))</f>
        <v/>
      </c>
      <c r="Q1819" s="27">
        <f>IF(A1819="","",YEAR(A1819))</f>
        <v/>
      </c>
      <c r="R1819" s="27">
        <f>IF(L1819="","",IF(L1819&gt;Config!$B$8,"A cair",IF(N(G1819)&gt;=MIN(MAX(1,N(E1819)),MAX(0,INT((Config!$B$8-L1819)/30)+1)),IF(N(G1819)&gt;=MAX(1,N(E1819)),"Conferido","Conferido até aqui"),"A conferir")))</f>
        <v/>
      </c>
      <c r="S1819" s="51">
        <f>IF(R1819="A conferir",(Config!$B$8-L1819)*1000+N(F1819)/1000+ROW()/100000,0)</f>
        <v>0</v>
      </c>
      <c r="T1819" s="51">
        <f>IF(R1819="A conferir",N(N1819),0)</f>
        <v>0</v>
      </c>
      <c r="U1819" s="51">
        <f>IF(L1819="",0,L1819)</f>
        <v>0</v>
      </c>
      <c r="V1819" s="51">
        <f>IF(L1819="",0,MAX(1,N(E1819)))</f>
        <v>0</v>
      </c>
      <c r="W1819" s="51">
        <f>IF(K1819="",0,K1819)</f>
        <v>0</v>
      </c>
    </row>
    <row r="1820">
      <c r="A1820" s="49" t="n"/>
      <c r="B1820" s="41" t="n"/>
      <c r="C1820" s="41" t="n"/>
      <c r="D1820" s="42" t="n"/>
      <c r="E1820" s="42" t="n"/>
      <c r="F1820" s="50" t="n"/>
      <c r="G1820" s="42" t="n"/>
      <c r="H1820" s="30">
        <f>IF(D1820="","",IFERROR(INDEX(Config!$B$12:$B$15,MATCH(IF(AND(D1820="Cartão de crédito",N(E1820)&gt;1),"Cartão de crédito parcelado",D1820),Config!$A$12:$A$15,0)),0)+IF(AND(Config!$B$17="Sim",LEFT(D1820,17)="Cartão de crédito"),Config!$B$18*IFERROR(INDEX(Config!$C$12:$C$15,MATCH(IF(AND(D1820="Cartão de crédito",N(E1820)&gt;1),"Cartão de crédito parcelado",D1820),Config!$A$12:$A$15,0)),0)/30*MAX(1,N(E1820)),0))</f>
        <v/>
      </c>
      <c r="I1820" s="29">
        <f>IF(OR(D1820="",F1820=""),"",ROUND(F1820*H1820,2))</f>
        <v/>
      </c>
      <c r="J1820" s="29">
        <f>IF(I1820="","",F1820-I1820)</f>
        <v/>
      </c>
      <c r="K1820" s="29">
        <f>IF(J1820="","",J1820/MAX(1,N(E1820)))</f>
        <v/>
      </c>
      <c r="L1820" s="37">
        <f>IF(OR(D1820="",A1820=""),"",A1820+IF(AND(Config!$B$17="Sim",LEFT(D1820,17)="Cartão de crédito"),1,IFERROR(INDEX(Config!$C$12:$C$15,MATCH(IF(AND(D1820="Cartão de crédito",N(E1820)&gt;1),"Cartão de crédito parcelado",D1820),Config!$A$12:$A$15,0)),0)))</f>
        <v/>
      </c>
      <c r="M1820" s="37">
        <f>IF(L1820="","",IF(AND(Config!$B$17="Sim",LEFT(D1820,17)="Cartão de crédito"),L1820,L1820+30*(MAX(1,N(E1820))-1)))</f>
        <v/>
      </c>
      <c r="N1820" s="29">
        <f>IF(OR(L1820="",K1820=""),"",K1820*MIN(MAX(1,N(E1820)),MAX(0,INT((Config!$B$8-L1820)/30)+1)))</f>
        <v/>
      </c>
      <c r="O1820" s="29">
        <f>IF(J1820="","",J1820-N(N1820))</f>
        <v/>
      </c>
      <c r="P1820" s="27">
        <f>IF(A1820="","",MONTH(A1820))</f>
        <v/>
      </c>
      <c r="Q1820" s="27">
        <f>IF(A1820="","",YEAR(A1820))</f>
        <v/>
      </c>
      <c r="R1820" s="27">
        <f>IF(L1820="","",IF(L1820&gt;Config!$B$8,"A cair",IF(N(G1820)&gt;=MIN(MAX(1,N(E1820)),MAX(0,INT((Config!$B$8-L1820)/30)+1)),IF(N(G1820)&gt;=MAX(1,N(E1820)),"Conferido","Conferido até aqui"),"A conferir")))</f>
        <v/>
      </c>
      <c r="S1820" s="51">
        <f>IF(R1820="A conferir",(Config!$B$8-L1820)*1000+N(F1820)/1000+ROW()/100000,0)</f>
        <v>0</v>
      </c>
      <c r="T1820" s="51">
        <f>IF(R1820="A conferir",N(N1820),0)</f>
        <v>0</v>
      </c>
      <c r="U1820" s="51">
        <f>IF(L1820="",0,L1820)</f>
        <v>0</v>
      </c>
      <c r="V1820" s="51">
        <f>IF(L1820="",0,MAX(1,N(E1820)))</f>
        <v>0</v>
      </c>
      <c r="W1820" s="51">
        <f>IF(K1820="",0,K1820)</f>
        <v>0</v>
      </c>
    </row>
    <row r="1821">
      <c r="A1821" s="49" t="n"/>
      <c r="B1821" s="41" t="n"/>
      <c r="C1821" s="41" t="n"/>
      <c r="D1821" s="42" t="n"/>
      <c r="E1821" s="42" t="n"/>
      <c r="F1821" s="50" t="n"/>
      <c r="G1821" s="42" t="n"/>
      <c r="H1821" s="30">
        <f>IF(D1821="","",IFERROR(INDEX(Config!$B$12:$B$15,MATCH(IF(AND(D1821="Cartão de crédito",N(E1821)&gt;1),"Cartão de crédito parcelado",D1821),Config!$A$12:$A$15,0)),0)+IF(AND(Config!$B$17="Sim",LEFT(D1821,17)="Cartão de crédito"),Config!$B$18*IFERROR(INDEX(Config!$C$12:$C$15,MATCH(IF(AND(D1821="Cartão de crédito",N(E1821)&gt;1),"Cartão de crédito parcelado",D1821),Config!$A$12:$A$15,0)),0)/30*MAX(1,N(E1821)),0))</f>
        <v/>
      </c>
      <c r="I1821" s="29">
        <f>IF(OR(D1821="",F1821=""),"",ROUND(F1821*H1821,2))</f>
        <v/>
      </c>
      <c r="J1821" s="29">
        <f>IF(I1821="","",F1821-I1821)</f>
        <v/>
      </c>
      <c r="K1821" s="29">
        <f>IF(J1821="","",J1821/MAX(1,N(E1821)))</f>
        <v/>
      </c>
      <c r="L1821" s="37">
        <f>IF(OR(D1821="",A1821=""),"",A1821+IF(AND(Config!$B$17="Sim",LEFT(D1821,17)="Cartão de crédito"),1,IFERROR(INDEX(Config!$C$12:$C$15,MATCH(IF(AND(D1821="Cartão de crédito",N(E1821)&gt;1),"Cartão de crédito parcelado",D1821),Config!$A$12:$A$15,0)),0)))</f>
        <v/>
      </c>
      <c r="M1821" s="37">
        <f>IF(L1821="","",IF(AND(Config!$B$17="Sim",LEFT(D1821,17)="Cartão de crédito"),L1821,L1821+30*(MAX(1,N(E1821))-1)))</f>
        <v/>
      </c>
      <c r="N1821" s="29">
        <f>IF(OR(L1821="",K1821=""),"",K1821*MIN(MAX(1,N(E1821)),MAX(0,INT((Config!$B$8-L1821)/30)+1)))</f>
        <v/>
      </c>
      <c r="O1821" s="29">
        <f>IF(J1821="","",J1821-N(N1821))</f>
        <v/>
      </c>
      <c r="P1821" s="27">
        <f>IF(A1821="","",MONTH(A1821))</f>
        <v/>
      </c>
      <c r="Q1821" s="27">
        <f>IF(A1821="","",YEAR(A1821))</f>
        <v/>
      </c>
      <c r="R1821" s="27">
        <f>IF(L1821="","",IF(L1821&gt;Config!$B$8,"A cair",IF(N(G1821)&gt;=MIN(MAX(1,N(E1821)),MAX(0,INT((Config!$B$8-L1821)/30)+1)),IF(N(G1821)&gt;=MAX(1,N(E1821)),"Conferido","Conferido até aqui"),"A conferir")))</f>
        <v/>
      </c>
      <c r="S1821" s="51">
        <f>IF(R1821="A conferir",(Config!$B$8-L1821)*1000+N(F1821)/1000+ROW()/100000,0)</f>
        <v>0</v>
      </c>
      <c r="T1821" s="51">
        <f>IF(R1821="A conferir",N(N1821),0)</f>
        <v>0</v>
      </c>
      <c r="U1821" s="51">
        <f>IF(L1821="",0,L1821)</f>
        <v>0</v>
      </c>
      <c r="V1821" s="51">
        <f>IF(L1821="",0,MAX(1,N(E1821)))</f>
        <v>0</v>
      </c>
      <c r="W1821" s="51">
        <f>IF(K1821="",0,K1821)</f>
        <v>0</v>
      </c>
    </row>
    <row r="1822">
      <c r="A1822" s="49" t="n"/>
      <c r="B1822" s="41" t="n"/>
      <c r="C1822" s="41" t="n"/>
      <c r="D1822" s="42" t="n"/>
      <c r="E1822" s="42" t="n"/>
      <c r="F1822" s="50" t="n"/>
      <c r="G1822" s="42" t="n"/>
      <c r="H1822" s="30">
        <f>IF(D1822="","",IFERROR(INDEX(Config!$B$12:$B$15,MATCH(IF(AND(D1822="Cartão de crédito",N(E1822)&gt;1),"Cartão de crédito parcelado",D1822),Config!$A$12:$A$15,0)),0)+IF(AND(Config!$B$17="Sim",LEFT(D1822,17)="Cartão de crédito"),Config!$B$18*IFERROR(INDEX(Config!$C$12:$C$15,MATCH(IF(AND(D1822="Cartão de crédito",N(E1822)&gt;1),"Cartão de crédito parcelado",D1822),Config!$A$12:$A$15,0)),0)/30*MAX(1,N(E1822)),0))</f>
        <v/>
      </c>
      <c r="I1822" s="29">
        <f>IF(OR(D1822="",F1822=""),"",ROUND(F1822*H1822,2))</f>
        <v/>
      </c>
      <c r="J1822" s="29">
        <f>IF(I1822="","",F1822-I1822)</f>
        <v/>
      </c>
      <c r="K1822" s="29">
        <f>IF(J1822="","",J1822/MAX(1,N(E1822)))</f>
        <v/>
      </c>
      <c r="L1822" s="37">
        <f>IF(OR(D1822="",A1822=""),"",A1822+IF(AND(Config!$B$17="Sim",LEFT(D1822,17)="Cartão de crédito"),1,IFERROR(INDEX(Config!$C$12:$C$15,MATCH(IF(AND(D1822="Cartão de crédito",N(E1822)&gt;1),"Cartão de crédito parcelado",D1822),Config!$A$12:$A$15,0)),0)))</f>
        <v/>
      </c>
      <c r="M1822" s="37">
        <f>IF(L1822="","",IF(AND(Config!$B$17="Sim",LEFT(D1822,17)="Cartão de crédito"),L1822,L1822+30*(MAX(1,N(E1822))-1)))</f>
        <v/>
      </c>
      <c r="N1822" s="29">
        <f>IF(OR(L1822="",K1822=""),"",K1822*MIN(MAX(1,N(E1822)),MAX(0,INT((Config!$B$8-L1822)/30)+1)))</f>
        <v/>
      </c>
      <c r="O1822" s="29">
        <f>IF(J1822="","",J1822-N(N1822))</f>
        <v/>
      </c>
      <c r="P1822" s="27">
        <f>IF(A1822="","",MONTH(A1822))</f>
        <v/>
      </c>
      <c r="Q1822" s="27">
        <f>IF(A1822="","",YEAR(A1822))</f>
        <v/>
      </c>
      <c r="R1822" s="27">
        <f>IF(L1822="","",IF(L1822&gt;Config!$B$8,"A cair",IF(N(G1822)&gt;=MIN(MAX(1,N(E1822)),MAX(0,INT((Config!$B$8-L1822)/30)+1)),IF(N(G1822)&gt;=MAX(1,N(E1822)),"Conferido","Conferido até aqui"),"A conferir")))</f>
        <v/>
      </c>
      <c r="S1822" s="51">
        <f>IF(R1822="A conferir",(Config!$B$8-L1822)*1000+N(F1822)/1000+ROW()/100000,0)</f>
        <v>0</v>
      </c>
      <c r="T1822" s="51">
        <f>IF(R1822="A conferir",N(N1822),0)</f>
        <v>0</v>
      </c>
      <c r="U1822" s="51">
        <f>IF(L1822="",0,L1822)</f>
        <v>0</v>
      </c>
      <c r="V1822" s="51">
        <f>IF(L1822="",0,MAX(1,N(E1822)))</f>
        <v>0</v>
      </c>
      <c r="W1822" s="51">
        <f>IF(K1822="",0,K1822)</f>
        <v>0</v>
      </c>
    </row>
    <row r="1823">
      <c r="A1823" s="49" t="n"/>
      <c r="B1823" s="41" t="n"/>
      <c r="C1823" s="41" t="n"/>
      <c r="D1823" s="42" t="n"/>
      <c r="E1823" s="42" t="n"/>
      <c r="F1823" s="50" t="n"/>
      <c r="G1823" s="42" t="n"/>
      <c r="H1823" s="30">
        <f>IF(D1823="","",IFERROR(INDEX(Config!$B$12:$B$15,MATCH(IF(AND(D1823="Cartão de crédito",N(E1823)&gt;1),"Cartão de crédito parcelado",D1823),Config!$A$12:$A$15,0)),0)+IF(AND(Config!$B$17="Sim",LEFT(D1823,17)="Cartão de crédito"),Config!$B$18*IFERROR(INDEX(Config!$C$12:$C$15,MATCH(IF(AND(D1823="Cartão de crédito",N(E1823)&gt;1),"Cartão de crédito parcelado",D1823),Config!$A$12:$A$15,0)),0)/30*MAX(1,N(E1823)),0))</f>
        <v/>
      </c>
      <c r="I1823" s="29">
        <f>IF(OR(D1823="",F1823=""),"",ROUND(F1823*H1823,2))</f>
        <v/>
      </c>
      <c r="J1823" s="29">
        <f>IF(I1823="","",F1823-I1823)</f>
        <v/>
      </c>
      <c r="K1823" s="29">
        <f>IF(J1823="","",J1823/MAX(1,N(E1823)))</f>
        <v/>
      </c>
      <c r="L1823" s="37">
        <f>IF(OR(D1823="",A1823=""),"",A1823+IF(AND(Config!$B$17="Sim",LEFT(D1823,17)="Cartão de crédito"),1,IFERROR(INDEX(Config!$C$12:$C$15,MATCH(IF(AND(D1823="Cartão de crédito",N(E1823)&gt;1),"Cartão de crédito parcelado",D1823),Config!$A$12:$A$15,0)),0)))</f>
        <v/>
      </c>
      <c r="M1823" s="37">
        <f>IF(L1823="","",IF(AND(Config!$B$17="Sim",LEFT(D1823,17)="Cartão de crédito"),L1823,L1823+30*(MAX(1,N(E1823))-1)))</f>
        <v/>
      </c>
      <c r="N1823" s="29">
        <f>IF(OR(L1823="",K1823=""),"",K1823*MIN(MAX(1,N(E1823)),MAX(0,INT((Config!$B$8-L1823)/30)+1)))</f>
        <v/>
      </c>
      <c r="O1823" s="29">
        <f>IF(J1823="","",J1823-N(N1823))</f>
        <v/>
      </c>
      <c r="P1823" s="27">
        <f>IF(A1823="","",MONTH(A1823))</f>
        <v/>
      </c>
      <c r="Q1823" s="27">
        <f>IF(A1823="","",YEAR(A1823))</f>
        <v/>
      </c>
      <c r="R1823" s="27">
        <f>IF(L1823="","",IF(L1823&gt;Config!$B$8,"A cair",IF(N(G1823)&gt;=MIN(MAX(1,N(E1823)),MAX(0,INT((Config!$B$8-L1823)/30)+1)),IF(N(G1823)&gt;=MAX(1,N(E1823)),"Conferido","Conferido até aqui"),"A conferir")))</f>
        <v/>
      </c>
      <c r="S1823" s="51">
        <f>IF(R1823="A conferir",(Config!$B$8-L1823)*1000+N(F1823)/1000+ROW()/100000,0)</f>
        <v>0</v>
      </c>
      <c r="T1823" s="51">
        <f>IF(R1823="A conferir",N(N1823),0)</f>
        <v>0</v>
      </c>
      <c r="U1823" s="51">
        <f>IF(L1823="",0,L1823)</f>
        <v>0</v>
      </c>
      <c r="V1823" s="51">
        <f>IF(L1823="",0,MAX(1,N(E1823)))</f>
        <v>0</v>
      </c>
      <c r="W1823" s="51">
        <f>IF(K1823="",0,K1823)</f>
        <v>0</v>
      </c>
    </row>
    <row r="1824">
      <c r="A1824" s="49" t="n"/>
      <c r="B1824" s="41" t="n"/>
      <c r="C1824" s="41" t="n"/>
      <c r="D1824" s="42" t="n"/>
      <c r="E1824" s="42" t="n"/>
      <c r="F1824" s="50" t="n"/>
      <c r="G1824" s="42" t="n"/>
      <c r="H1824" s="30">
        <f>IF(D1824="","",IFERROR(INDEX(Config!$B$12:$B$15,MATCH(IF(AND(D1824="Cartão de crédito",N(E1824)&gt;1),"Cartão de crédito parcelado",D1824),Config!$A$12:$A$15,0)),0)+IF(AND(Config!$B$17="Sim",LEFT(D1824,17)="Cartão de crédito"),Config!$B$18*IFERROR(INDEX(Config!$C$12:$C$15,MATCH(IF(AND(D1824="Cartão de crédito",N(E1824)&gt;1),"Cartão de crédito parcelado",D1824),Config!$A$12:$A$15,0)),0)/30*MAX(1,N(E1824)),0))</f>
        <v/>
      </c>
      <c r="I1824" s="29">
        <f>IF(OR(D1824="",F1824=""),"",ROUND(F1824*H1824,2))</f>
        <v/>
      </c>
      <c r="J1824" s="29">
        <f>IF(I1824="","",F1824-I1824)</f>
        <v/>
      </c>
      <c r="K1824" s="29">
        <f>IF(J1824="","",J1824/MAX(1,N(E1824)))</f>
        <v/>
      </c>
      <c r="L1824" s="37">
        <f>IF(OR(D1824="",A1824=""),"",A1824+IF(AND(Config!$B$17="Sim",LEFT(D1824,17)="Cartão de crédito"),1,IFERROR(INDEX(Config!$C$12:$C$15,MATCH(IF(AND(D1824="Cartão de crédito",N(E1824)&gt;1),"Cartão de crédito parcelado",D1824),Config!$A$12:$A$15,0)),0)))</f>
        <v/>
      </c>
      <c r="M1824" s="37">
        <f>IF(L1824="","",IF(AND(Config!$B$17="Sim",LEFT(D1824,17)="Cartão de crédito"),L1824,L1824+30*(MAX(1,N(E1824))-1)))</f>
        <v/>
      </c>
      <c r="N1824" s="29">
        <f>IF(OR(L1824="",K1824=""),"",K1824*MIN(MAX(1,N(E1824)),MAX(0,INT((Config!$B$8-L1824)/30)+1)))</f>
        <v/>
      </c>
      <c r="O1824" s="29">
        <f>IF(J1824="","",J1824-N(N1824))</f>
        <v/>
      </c>
      <c r="P1824" s="27">
        <f>IF(A1824="","",MONTH(A1824))</f>
        <v/>
      </c>
      <c r="Q1824" s="27">
        <f>IF(A1824="","",YEAR(A1824))</f>
        <v/>
      </c>
      <c r="R1824" s="27">
        <f>IF(L1824="","",IF(L1824&gt;Config!$B$8,"A cair",IF(N(G1824)&gt;=MIN(MAX(1,N(E1824)),MAX(0,INT((Config!$B$8-L1824)/30)+1)),IF(N(G1824)&gt;=MAX(1,N(E1824)),"Conferido","Conferido até aqui"),"A conferir")))</f>
        <v/>
      </c>
      <c r="S1824" s="51">
        <f>IF(R1824="A conferir",(Config!$B$8-L1824)*1000+N(F1824)/1000+ROW()/100000,0)</f>
        <v>0</v>
      </c>
      <c r="T1824" s="51">
        <f>IF(R1824="A conferir",N(N1824),0)</f>
        <v>0</v>
      </c>
      <c r="U1824" s="51">
        <f>IF(L1824="",0,L1824)</f>
        <v>0</v>
      </c>
      <c r="V1824" s="51">
        <f>IF(L1824="",0,MAX(1,N(E1824)))</f>
        <v>0</v>
      </c>
      <c r="W1824" s="51">
        <f>IF(K1824="",0,K1824)</f>
        <v>0</v>
      </c>
    </row>
    <row r="1825">
      <c r="A1825" s="49" t="n"/>
      <c r="B1825" s="41" t="n"/>
      <c r="C1825" s="41" t="n"/>
      <c r="D1825" s="42" t="n"/>
      <c r="E1825" s="42" t="n"/>
      <c r="F1825" s="50" t="n"/>
      <c r="G1825" s="42" t="n"/>
      <c r="H1825" s="30">
        <f>IF(D1825="","",IFERROR(INDEX(Config!$B$12:$B$15,MATCH(IF(AND(D1825="Cartão de crédito",N(E1825)&gt;1),"Cartão de crédito parcelado",D1825),Config!$A$12:$A$15,0)),0)+IF(AND(Config!$B$17="Sim",LEFT(D1825,17)="Cartão de crédito"),Config!$B$18*IFERROR(INDEX(Config!$C$12:$C$15,MATCH(IF(AND(D1825="Cartão de crédito",N(E1825)&gt;1),"Cartão de crédito parcelado",D1825),Config!$A$12:$A$15,0)),0)/30*MAX(1,N(E1825)),0))</f>
        <v/>
      </c>
      <c r="I1825" s="29">
        <f>IF(OR(D1825="",F1825=""),"",ROUND(F1825*H1825,2))</f>
        <v/>
      </c>
      <c r="J1825" s="29">
        <f>IF(I1825="","",F1825-I1825)</f>
        <v/>
      </c>
      <c r="K1825" s="29">
        <f>IF(J1825="","",J1825/MAX(1,N(E1825)))</f>
        <v/>
      </c>
      <c r="L1825" s="37">
        <f>IF(OR(D1825="",A1825=""),"",A1825+IF(AND(Config!$B$17="Sim",LEFT(D1825,17)="Cartão de crédito"),1,IFERROR(INDEX(Config!$C$12:$C$15,MATCH(IF(AND(D1825="Cartão de crédito",N(E1825)&gt;1),"Cartão de crédito parcelado",D1825),Config!$A$12:$A$15,0)),0)))</f>
        <v/>
      </c>
      <c r="M1825" s="37">
        <f>IF(L1825="","",IF(AND(Config!$B$17="Sim",LEFT(D1825,17)="Cartão de crédito"),L1825,L1825+30*(MAX(1,N(E1825))-1)))</f>
        <v/>
      </c>
      <c r="N1825" s="29">
        <f>IF(OR(L1825="",K1825=""),"",K1825*MIN(MAX(1,N(E1825)),MAX(0,INT((Config!$B$8-L1825)/30)+1)))</f>
        <v/>
      </c>
      <c r="O1825" s="29">
        <f>IF(J1825="","",J1825-N(N1825))</f>
        <v/>
      </c>
      <c r="P1825" s="27">
        <f>IF(A1825="","",MONTH(A1825))</f>
        <v/>
      </c>
      <c r="Q1825" s="27">
        <f>IF(A1825="","",YEAR(A1825))</f>
        <v/>
      </c>
      <c r="R1825" s="27">
        <f>IF(L1825="","",IF(L1825&gt;Config!$B$8,"A cair",IF(N(G1825)&gt;=MIN(MAX(1,N(E1825)),MAX(0,INT((Config!$B$8-L1825)/30)+1)),IF(N(G1825)&gt;=MAX(1,N(E1825)),"Conferido","Conferido até aqui"),"A conferir")))</f>
        <v/>
      </c>
      <c r="S1825" s="51">
        <f>IF(R1825="A conferir",(Config!$B$8-L1825)*1000+N(F1825)/1000+ROW()/100000,0)</f>
        <v>0</v>
      </c>
      <c r="T1825" s="51">
        <f>IF(R1825="A conferir",N(N1825),0)</f>
        <v>0</v>
      </c>
      <c r="U1825" s="51">
        <f>IF(L1825="",0,L1825)</f>
        <v>0</v>
      </c>
      <c r="V1825" s="51">
        <f>IF(L1825="",0,MAX(1,N(E1825)))</f>
        <v>0</v>
      </c>
      <c r="W1825" s="51">
        <f>IF(K1825="",0,K1825)</f>
        <v>0</v>
      </c>
    </row>
    <row r="1826">
      <c r="A1826" s="49" t="n"/>
      <c r="B1826" s="41" t="n"/>
      <c r="C1826" s="41" t="n"/>
      <c r="D1826" s="42" t="n"/>
      <c r="E1826" s="42" t="n"/>
      <c r="F1826" s="50" t="n"/>
      <c r="G1826" s="42" t="n"/>
      <c r="H1826" s="30">
        <f>IF(D1826="","",IFERROR(INDEX(Config!$B$12:$B$15,MATCH(IF(AND(D1826="Cartão de crédito",N(E1826)&gt;1),"Cartão de crédito parcelado",D1826),Config!$A$12:$A$15,0)),0)+IF(AND(Config!$B$17="Sim",LEFT(D1826,17)="Cartão de crédito"),Config!$B$18*IFERROR(INDEX(Config!$C$12:$C$15,MATCH(IF(AND(D1826="Cartão de crédito",N(E1826)&gt;1),"Cartão de crédito parcelado",D1826),Config!$A$12:$A$15,0)),0)/30*MAX(1,N(E1826)),0))</f>
        <v/>
      </c>
      <c r="I1826" s="29">
        <f>IF(OR(D1826="",F1826=""),"",ROUND(F1826*H1826,2))</f>
        <v/>
      </c>
      <c r="J1826" s="29">
        <f>IF(I1826="","",F1826-I1826)</f>
        <v/>
      </c>
      <c r="K1826" s="29">
        <f>IF(J1826="","",J1826/MAX(1,N(E1826)))</f>
        <v/>
      </c>
      <c r="L1826" s="37">
        <f>IF(OR(D1826="",A1826=""),"",A1826+IF(AND(Config!$B$17="Sim",LEFT(D1826,17)="Cartão de crédito"),1,IFERROR(INDEX(Config!$C$12:$C$15,MATCH(IF(AND(D1826="Cartão de crédito",N(E1826)&gt;1),"Cartão de crédito parcelado",D1826),Config!$A$12:$A$15,0)),0)))</f>
        <v/>
      </c>
      <c r="M1826" s="37">
        <f>IF(L1826="","",IF(AND(Config!$B$17="Sim",LEFT(D1826,17)="Cartão de crédito"),L1826,L1826+30*(MAX(1,N(E1826))-1)))</f>
        <v/>
      </c>
      <c r="N1826" s="29">
        <f>IF(OR(L1826="",K1826=""),"",K1826*MIN(MAX(1,N(E1826)),MAX(0,INT((Config!$B$8-L1826)/30)+1)))</f>
        <v/>
      </c>
      <c r="O1826" s="29">
        <f>IF(J1826="","",J1826-N(N1826))</f>
        <v/>
      </c>
      <c r="P1826" s="27">
        <f>IF(A1826="","",MONTH(A1826))</f>
        <v/>
      </c>
      <c r="Q1826" s="27">
        <f>IF(A1826="","",YEAR(A1826))</f>
        <v/>
      </c>
      <c r="R1826" s="27">
        <f>IF(L1826="","",IF(L1826&gt;Config!$B$8,"A cair",IF(N(G1826)&gt;=MIN(MAX(1,N(E1826)),MAX(0,INT((Config!$B$8-L1826)/30)+1)),IF(N(G1826)&gt;=MAX(1,N(E1826)),"Conferido","Conferido até aqui"),"A conferir")))</f>
        <v/>
      </c>
      <c r="S1826" s="51">
        <f>IF(R1826="A conferir",(Config!$B$8-L1826)*1000+N(F1826)/1000+ROW()/100000,0)</f>
        <v>0</v>
      </c>
      <c r="T1826" s="51">
        <f>IF(R1826="A conferir",N(N1826),0)</f>
        <v>0</v>
      </c>
      <c r="U1826" s="51">
        <f>IF(L1826="",0,L1826)</f>
        <v>0</v>
      </c>
      <c r="V1826" s="51">
        <f>IF(L1826="",0,MAX(1,N(E1826)))</f>
        <v>0</v>
      </c>
      <c r="W1826" s="51">
        <f>IF(K1826="",0,K1826)</f>
        <v>0</v>
      </c>
    </row>
    <row r="1827">
      <c r="A1827" s="49" t="n"/>
      <c r="B1827" s="41" t="n"/>
      <c r="C1827" s="41" t="n"/>
      <c r="D1827" s="42" t="n"/>
      <c r="E1827" s="42" t="n"/>
      <c r="F1827" s="50" t="n"/>
      <c r="G1827" s="42" t="n"/>
      <c r="H1827" s="30">
        <f>IF(D1827="","",IFERROR(INDEX(Config!$B$12:$B$15,MATCH(IF(AND(D1827="Cartão de crédito",N(E1827)&gt;1),"Cartão de crédito parcelado",D1827),Config!$A$12:$A$15,0)),0)+IF(AND(Config!$B$17="Sim",LEFT(D1827,17)="Cartão de crédito"),Config!$B$18*IFERROR(INDEX(Config!$C$12:$C$15,MATCH(IF(AND(D1827="Cartão de crédito",N(E1827)&gt;1),"Cartão de crédito parcelado",D1827),Config!$A$12:$A$15,0)),0)/30*MAX(1,N(E1827)),0))</f>
        <v/>
      </c>
      <c r="I1827" s="29">
        <f>IF(OR(D1827="",F1827=""),"",ROUND(F1827*H1827,2))</f>
        <v/>
      </c>
      <c r="J1827" s="29">
        <f>IF(I1827="","",F1827-I1827)</f>
        <v/>
      </c>
      <c r="K1827" s="29">
        <f>IF(J1827="","",J1827/MAX(1,N(E1827)))</f>
        <v/>
      </c>
      <c r="L1827" s="37">
        <f>IF(OR(D1827="",A1827=""),"",A1827+IF(AND(Config!$B$17="Sim",LEFT(D1827,17)="Cartão de crédito"),1,IFERROR(INDEX(Config!$C$12:$C$15,MATCH(IF(AND(D1827="Cartão de crédito",N(E1827)&gt;1),"Cartão de crédito parcelado",D1827),Config!$A$12:$A$15,0)),0)))</f>
        <v/>
      </c>
      <c r="M1827" s="37">
        <f>IF(L1827="","",IF(AND(Config!$B$17="Sim",LEFT(D1827,17)="Cartão de crédito"),L1827,L1827+30*(MAX(1,N(E1827))-1)))</f>
        <v/>
      </c>
      <c r="N1827" s="29">
        <f>IF(OR(L1827="",K1827=""),"",K1827*MIN(MAX(1,N(E1827)),MAX(0,INT((Config!$B$8-L1827)/30)+1)))</f>
        <v/>
      </c>
      <c r="O1827" s="29">
        <f>IF(J1827="","",J1827-N(N1827))</f>
        <v/>
      </c>
      <c r="P1827" s="27">
        <f>IF(A1827="","",MONTH(A1827))</f>
        <v/>
      </c>
      <c r="Q1827" s="27">
        <f>IF(A1827="","",YEAR(A1827))</f>
        <v/>
      </c>
      <c r="R1827" s="27">
        <f>IF(L1827="","",IF(L1827&gt;Config!$B$8,"A cair",IF(N(G1827)&gt;=MIN(MAX(1,N(E1827)),MAX(0,INT((Config!$B$8-L1827)/30)+1)),IF(N(G1827)&gt;=MAX(1,N(E1827)),"Conferido","Conferido até aqui"),"A conferir")))</f>
        <v/>
      </c>
      <c r="S1827" s="51">
        <f>IF(R1827="A conferir",(Config!$B$8-L1827)*1000+N(F1827)/1000+ROW()/100000,0)</f>
        <v>0</v>
      </c>
      <c r="T1827" s="51">
        <f>IF(R1827="A conferir",N(N1827),0)</f>
        <v>0</v>
      </c>
      <c r="U1827" s="51">
        <f>IF(L1827="",0,L1827)</f>
        <v>0</v>
      </c>
      <c r="V1827" s="51">
        <f>IF(L1827="",0,MAX(1,N(E1827)))</f>
        <v>0</v>
      </c>
      <c r="W1827" s="51">
        <f>IF(K1827="",0,K1827)</f>
        <v>0</v>
      </c>
    </row>
    <row r="1828">
      <c r="A1828" s="49" t="n"/>
      <c r="B1828" s="41" t="n"/>
      <c r="C1828" s="41" t="n"/>
      <c r="D1828" s="42" t="n"/>
      <c r="E1828" s="42" t="n"/>
      <c r="F1828" s="50" t="n"/>
      <c r="G1828" s="42" t="n"/>
      <c r="H1828" s="30">
        <f>IF(D1828="","",IFERROR(INDEX(Config!$B$12:$B$15,MATCH(IF(AND(D1828="Cartão de crédito",N(E1828)&gt;1),"Cartão de crédito parcelado",D1828),Config!$A$12:$A$15,0)),0)+IF(AND(Config!$B$17="Sim",LEFT(D1828,17)="Cartão de crédito"),Config!$B$18*IFERROR(INDEX(Config!$C$12:$C$15,MATCH(IF(AND(D1828="Cartão de crédito",N(E1828)&gt;1),"Cartão de crédito parcelado",D1828),Config!$A$12:$A$15,0)),0)/30*MAX(1,N(E1828)),0))</f>
        <v/>
      </c>
      <c r="I1828" s="29">
        <f>IF(OR(D1828="",F1828=""),"",ROUND(F1828*H1828,2))</f>
        <v/>
      </c>
      <c r="J1828" s="29">
        <f>IF(I1828="","",F1828-I1828)</f>
        <v/>
      </c>
      <c r="K1828" s="29">
        <f>IF(J1828="","",J1828/MAX(1,N(E1828)))</f>
        <v/>
      </c>
      <c r="L1828" s="37">
        <f>IF(OR(D1828="",A1828=""),"",A1828+IF(AND(Config!$B$17="Sim",LEFT(D1828,17)="Cartão de crédito"),1,IFERROR(INDEX(Config!$C$12:$C$15,MATCH(IF(AND(D1828="Cartão de crédito",N(E1828)&gt;1),"Cartão de crédito parcelado",D1828),Config!$A$12:$A$15,0)),0)))</f>
        <v/>
      </c>
      <c r="M1828" s="37">
        <f>IF(L1828="","",IF(AND(Config!$B$17="Sim",LEFT(D1828,17)="Cartão de crédito"),L1828,L1828+30*(MAX(1,N(E1828))-1)))</f>
        <v/>
      </c>
      <c r="N1828" s="29">
        <f>IF(OR(L1828="",K1828=""),"",K1828*MIN(MAX(1,N(E1828)),MAX(0,INT((Config!$B$8-L1828)/30)+1)))</f>
        <v/>
      </c>
      <c r="O1828" s="29">
        <f>IF(J1828="","",J1828-N(N1828))</f>
        <v/>
      </c>
      <c r="P1828" s="27">
        <f>IF(A1828="","",MONTH(A1828))</f>
        <v/>
      </c>
      <c r="Q1828" s="27">
        <f>IF(A1828="","",YEAR(A1828))</f>
        <v/>
      </c>
      <c r="R1828" s="27">
        <f>IF(L1828="","",IF(L1828&gt;Config!$B$8,"A cair",IF(N(G1828)&gt;=MIN(MAX(1,N(E1828)),MAX(0,INT((Config!$B$8-L1828)/30)+1)),IF(N(G1828)&gt;=MAX(1,N(E1828)),"Conferido","Conferido até aqui"),"A conferir")))</f>
        <v/>
      </c>
      <c r="S1828" s="51">
        <f>IF(R1828="A conferir",(Config!$B$8-L1828)*1000+N(F1828)/1000+ROW()/100000,0)</f>
        <v>0</v>
      </c>
      <c r="T1828" s="51">
        <f>IF(R1828="A conferir",N(N1828),0)</f>
        <v>0</v>
      </c>
      <c r="U1828" s="51">
        <f>IF(L1828="",0,L1828)</f>
        <v>0</v>
      </c>
      <c r="V1828" s="51">
        <f>IF(L1828="",0,MAX(1,N(E1828)))</f>
        <v>0</v>
      </c>
      <c r="W1828" s="51">
        <f>IF(K1828="",0,K1828)</f>
        <v>0</v>
      </c>
    </row>
    <row r="1829">
      <c r="A1829" s="49" t="n"/>
      <c r="B1829" s="41" t="n"/>
      <c r="C1829" s="41" t="n"/>
      <c r="D1829" s="42" t="n"/>
      <c r="E1829" s="42" t="n"/>
      <c r="F1829" s="50" t="n"/>
      <c r="G1829" s="42" t="n"/>
      <c r="H1829" s="30">
        <f>IF(D1829="","",IFERROR(INDEX(Config!$B$12:$B$15,MATCH(IF(AND(D1829="Cartão de crédito",N(E1829)&gt;1),"Cartão de crédito parcelado",D1829),Config!$A$12:$A$15,0)),0)+IF(AND(Config!$B$17="Sim",LEFT(D1829,17)="Cartão de crédito"),Config!$B$18*IFERROR(INDEX(Config!$C$12:$C$15,MATCH(IF(AND(D1829="Cartão de crédito",N(E1829)&gt;1),"Cartão de crédito parcelado",D1829),Config!$A$12:$A$15,0)),0)/30*MAX(1,N(E1829)),0))</f>
        <v/>
      </c>
      <c r="I1829" s="29">
        <f>IF(OR(D1829="",F1829=""),"",ROUND(F1829*H1829,2))</f>
        <v/>
      </c>
      <c r="J1829" s="29">
        <f>IF(I1829="","",F1829-I1829)</f>
        <v/>
      </c>
      <c r="K1829" s="29">
        <f>IF(J1829="","",J1829/MAX(1,N(E1829)))</f>
        <v/>
      </c>
      <c r="L1829" s="37">
        <f>IF(OR(D1829="",A1829=""),"",A1829+IF(AND(Config!$B$17="Sim",LEFT(D1829,17)="Cartão de crédito"),1,IFERROR(INDEX(Config!$C$12:$C$15,MATCH(IF(AND(D1829="Cartão de crédito",N(E1829)&gt;1),"Cartão de crédito parcelado",D1829),Config!$A$12:$A$15,0)),0)))</f>
        <v/>
      </c>
      <c r="M1829" s="37">
        <f>IF(L1829="","",IF(AND(Config!$B$17="Sim",LEFT(D1829,17)="Cartão de crédito"),L1829,L1829+30*(MAX(1,N(E1829))-1)))</f>
        <v/>
      </c>
      <c r="N1829" s="29">
        <f>IF(OR(L1829="",K1829=""),"",K1829*MIN(MAX(1,N(E1829)),MAX(0,INT((Config!$B$8-L1829)/30)+1)))</f>
        <v/>
      </c>
      <c r="O1829" s="29">
        <f>IF(J1829="","",J1829-N(N1829))</f>
        <v/>
      </c>
      <c r="P1829" s="27">
        <f>IF(A1829="","",MONTH(A1829))</f>
        <v/>
      </c>
      <c r="Q1829" s="27">
        <f>IF(A1829="","",YEAR(A1829))</f>
        <v/>
      </c>
      <c r="R1829" s="27">
        <f>IF(L1829="","",IF(L1829&gt;Config!$B$8,"A cair",IF(N(G1829)&gt;=MIN(MAX(1,N(E1829)),MAX(0,INT((Config!$B$8-L1829)/30)+1)),IF(N(G1829)&gt;=MAX(1,N(E1829)),"Conferido","Conferido até aqui"),"A conferir")))</f>
        <v/>
      </c>
      <c r="S1829" s="51">
        <f>IF(R1829="A conferir",(Config!$B$8-L1829)*1000+N(F1829)/1000+ROW()/100000,0)</f>
        <v>0</v>
      </c>
      <c r="T1829" s="51">
        <f>IF(R1829="A conferir",N(N1829),0)</f>
        <v>0</v>
      </c>
      <c r="U1829" s="51">
        <f>IF(L1829="",0,L1829)</f>
        <v>0</v>
      </c>
      <c r="V1829" s="51">
        <f>IF(L1829="",0,MAX(1,N(E1829)))</f>
        <v>0</v>
      </c>
      <c r="W1829" s="51">
        <f>IF(K1829="",0,K1829)</f>
        <v>0</v>
      </c>
    </row>
    <row r="1830">
      <c r="A1830" s="49" t="n"/>
      <c r="B1830" s="41" t="n"/>
      <c r="C1830" s="41" t="n"/>
      <c r="D1830" s="42" t="n"/>
      <c r="E1830" s="42" t="n"/>
      <c r="F1830" s="50" t="n"/>
      <c r="G1830" s="42" t="n"/>
      <c r="H1830" s="30">
        <f>IF(D1830="","",IFERROR(INDEX(Config!$B$12:$B$15,MATCH(IF(AND(D1830="Cartão de crédito",N(E1830)&gt;1),"Cartão de crédito parcelado",D1830),Config!$A$12:$A$15,0)),0)+IF(AND(Config!$B$17="Sim",LEFT(D1830,17)="Cartão de crédito"),Config!$B$18*IFERROR(INDEX(Config!$C$12:$C$15,MATCH(IF(AND(D1830="Cartão de crédito",N(E1830)&gt;1),"Cartão de crédito parcelado",D1830),Config!$A$12:$A$15,0)),0)/30*MAX(1,N(E1830)),0))</f>
        <v/>
      </c>
      <c r="I1830" s="29">
        <f>IF(OR(D1830="",F1830=""),"",ROUND(F1830*H1830,2))</f>
        <v/>
      </c>
      <c r="J1830" s="29">
        <f>IF(I1830="","",F1830-I1830)</f>
        <v/>
      </c>
      <c r="K1830" s="29">
        <f>IF(J1830="","",J1830/MAX(1,N(E1830)))</f>
        <v/>
      </c>
      <c r="L1830" s="37">
        <f>IF(OR(D1830="",A1830=""),"",A1830+IF(AND(Config!$B$17="Sim",LEFT(D1830,17)="Cartão de crédito"),1,IFERROR(INDEX(Config!$C$12:$C$15,MATCH(IF(AND(D1830="Cartão de crédito",N(E1830)&gt;1),"Cartão de crédito parcelado",D1830),Config!$A$12:$A$15,0)),0)))</f>
        <v/>
      </c>
      <c r="M1830" s="37">
        <f>IF(L1830="","",IF(AND(Config!$B$17="Sim",LEFT(D1830,17)="Cartão de crédito"),L1830,L1830+30*(MAX(1,N(E1830))-1)))</f>
        <v/>
      </c>
      <c r="N1830" s="29">
        <f>IF(OR(L1830="",K1830=""),"",K1830*MIN(MAX(1,N(E1830)),MAX(0,INT((Config!$B$8-L1830)/30)+1)))</f>
        <v/>
      </c>
      <c r="O1830" s="29">
        <f>IF(J1830="","",J1830-N(N1830))</f>
        <v/>
      </c>
      <c r="P1830" s="27">
        <f>IF(A1830="","",MONTH(A1830))</f>
        <v/>
      </c>
      <c r="Q1830" s="27">
        <f>IF(A1830="","",YEAR(A1830))</f>
        <v/>
      </c>
      <c r="R1830" s="27">
        <f>IF(L1830="","",IF(L1830&gt;Config!$B$8,"A cair",IF(N(G1830)&gt;=MIN(MAX(1,N(E1830)),MAX(0,INT((Config!$B$8-L1830)/30)+1)),IF(N(G1830)&gt;=MAX(1,N(E1830)),"Conferido","Conferido até aqui"),"A conferir")))</f>
        <v/>
      </c>
      <c r="S1830" s="51">
        <f>IF(R1830="A conferir",(Config!$B$8-L1830)*1000+N(F1830)/1000+ROW()/100000,0)</f>
        <v>0</v>
      </c>
      <c r="T1830" s="51">
        <f>IF(R1830="A conferir",N(N1830),0)</f>
        <v>0</v>
      </c>
      <c r="U1830" s="51">
        <f>IF(L1830="",0,L1830)</f>
        <v>0</v>
      </c>
      <c r="V1830" s="51">
        <f>IF(L1830="",0,MAX(1,N(E1830)))</f>
        <v>0</v>
      </c>
      <c r="W1830" s="51">
        <f>IF(K1830="",0,K1830)</f>
        <v>0</v>
      </c>
    </row>
    <row r="1831">
      <c r="A1831" s="49" t="n"/>
      <c r="B1831" s="41" t="n"/>
      <c r="C1831" s="41" t="n"/>
      <c r="D1831" s="42" t="n"/>
      <c r="E1831" s="42" t="n"/>
      <c r="F1831" s="50" t="n"/>
      <c r="G1831" s="42" t="n"/>
      <c r="H1831" s="30">
        <f>IF(D1831="","",IFERROR(INDEX(Config!$B$12:$B$15,MATCH(IF(AND(D1831="Cartão de crédito",N(E1831)&gt;1),"Cartão de crédito parcelado",D1831),Config!$A$12:$A$15,0)),0)+IF(AND(Config!$B$17="Sim",LEFT(D1831,17)="Cartão de crédito"),Config!$B$18*IFERROR(INDEX(Config!$C$12:$C$15,MATCH(IF(AND(D1831="Cartão de crédito",N(E1831)&gt;1),"Cartão de crédito parcelado",D1831),Config!$A$12:$A$15,0)),0)/30*MAX(1,N(E1831)),0))</f>
        <v/>
      </c>
      <c r="I1831" s="29">
        <f>IF(OR(D1831="",F1831=""),"",ROUND(F1831*H1831,2))</f>
        <v/>
      </c>
      <c r="J1831" s="29">
        <f>IF(I1831="","",F1831-I1831)</f>
        <v/>
      </c>
      <c r="K1831" s="29">
        <f>IF(J1831="","",J1831/MAX(1,N(E1831)))</f>
        <v/>
      </c>
      <c r="L1831" s="37">
        <f>IF(OR(D1831="",A1831=""),"",A1831+IF(AND(Config!$B$17="Sim",LEFT(D1831,17)="Cartão de crédito"),1,IFERROR(INDEX(Config!$C$12:$C$15,MATCH(IF(AND(D1831="Cartão de crédito",N(E1831)&gt;1),"Cartão de crédito parcelado",D1831),Config!$A$12:$A$15,0)),0)))</f>
        <v/>
      </c>
      <c r="M1831" s="37">
        <f>IF(L1831="","",IF(AND(Config!$B$17="Sim",LEFT(D1831,17)="Cartão de crédito"),L1831,L1831+30*(MAX(1,N(E1831))-1)))</f>
        <v/>
      </c>
      <c r="N1831" s="29">
        <f>IF(OR(L1831="",K1831=""),"",K1831*MIN(MAX(1,N(E1831)),MAX(0,INT((Config!$B$8-L1831)/30)+1)))</f>
        <v/>
      </c>
      <c r="O1831" s="29">
        <f>IF(J1831="","",J1831-N(N1831))</f>
        <v/>
      </c>
      <c r="P1831" s="27">
        <f>IF(A1831="","",MONTH(A1831))</f>
        <v/>
      </c>
      <c r="Q1831" s="27">
        <f>IF(A1831="","",YEAR(A1831))</f>
        <v/>
      </c>
      <c r="R1831" s="27">
        <f>IF(L1831="","",IF(L1831&gt;Config!$B$8,"A cair",IF(N(G1831)&gt;=MIN(MAX(1,N(E1831)),MAX(0,INT((Config!$B$8-L1831)/30)+1)),IF(N(G1831)&gt;=MAX(1,N(E1831)),"Conferido","Conferido até aqui"),"A conferir")))</f>
        <v/>
      </c>
      <c r="S1831" s="51">
        <f>IF(R1831="A conferir",(Config!$B$8-L1831)*1000+N(F1831)/1000+ROW()/100000,0)</f>
        <v>0</v>
      </c>
      <c r="T1831" s="51">
        <f>IF(R1831="A conferir",N(N1831),0)</f>
        <v>0</v>
      </c>
      <c r="U1831" s="51">
        <f>IF(L1831="",0,L1831)</f>
        <v>0</v>
      </c>
      <c r="V1831" s="51">
        <f>IF(L1831="",0,MAX(1,N(E1831)))</f>
        <v>0</v>
      </c>
      <c r="W1831" s="51">
        <f>IF(K1831="",0,K1831)</f>
        <v>0</v>
      </c>
    </row>
    <row r="1832">
      <c r="A1832" s="49" t="n"/>
      <c r="B1832" s="41" t="n"/>
      <c r="C1832" s="41" t="n"/>
      <c r="D1832" s="42" t="n"/>
      <c r="E1832" s="42" t="n"/>
      <c r="F1832" s="50" t="n"/>
      <c r="G1832" s="42" t="n"/>
      <c r="H1832" s="30">
        <f>IF(D1832="","",IFERROR(INDEX(Config!$B$12:$B$15,MATCH(IF(AND(D1832="Cartão de crédito",N(E1832)&gt;1),"Cartão de crédito parcelado",D1832),Config!$A$12:$A$15,0)),0)+IF(AND(Config!$B$17="Sim",LEFT(D1832,17)="Cartão de crédito"),Config!$B$18*IFERROR(INDEX(Config!$C$12:$C$15,MATCH(IF(AND(D1832="Cartão de crédito",N(E1832)&gt;1),"Cartão de crédito parcelado",D1832),Config!$A$12:$A$15,0)),0)/30*MAX(1,N(E1832)),0))</f>
        <v/>
      </c>
      <c r="I1832" s="29">
        <f>IF(OR(D1832="",F1832=""),"",ROUND(F1832*H1832,2))</f>
        <v/>
      </c>
      <c r="J1832" s="29">
        <f>IF(I1832="","",F1832-I1832)</f>
        <v/>
      </c>
      <c r="K1832" s="29">
        <f>IF(J1832="","",J1832/MAX(1,N(E1832)))</f>
        <v/>
      </c>
      <c r="L1832" s="37">
        <f>IF(OR(D1832="",A1832=""),"",A1832+IF(AND(Config!$B$17="Sim",LEFT(D1832,17)="Cartão de crédito"),1,IFERROR(INDEX(Config!$C$12:$C$15,MATCH(IF(AND(D1832="Cartão de crédito",N(E1832)&gt;1),"Cartão de crédito parcelado",D1832),Config!$A$12:$A$15,0)),0)))</f>
        <v/>
      </c>
      <c r="M1832" s="37">
        <f>IF(L1832="","",IF(AND(Config!$B$17="Sim",LEFT(D1832,17)="Cartão de crédito"),L1832,L1832+30*(MAX(1,N(E1832))-1)))</f>
        <v/>
      </c>
      <c r="N1832" s="29">
        <f>IF(OR(L1832="",K1832=""),"",K1832*MIN(MAX(1,N(E1832)),MAX(0,INT((Config!$B$8-L1832)/30)+1)))</f>
        <v/>
      </c>
      <c r="O1832" s="29">
        <f>IF(J1832="","",J1832-N(N1832))</f>
        <v/>
      </c>
      <c r="P1832" s="27">
        <f>IF(A1832="","",MONTH(A1832))</f>
        <v/>
      </c>
      <c r="Q1832" s="27">
        <f>IF(A1832="","",YEAR(A1832))</f>
        <v/>
      </c>
      <c r="R1832" s="27">
        <f>IF(L1832="","",IF(L1832&gt;Config!$B$8,"A cair",IF(N(G1832)&gt;=MIN(MAX(1,N(E1832)),MAX(0,INT((Config!$B$8-L1832)/30)+1)),IF(N(G1832)&gt;=MAX(1,N(E1832)),"Conferido","Conferido até aqui"),"A conferir")))</f>
        <v/>
      </c>
      <c r="S1832" s="51">
        <f>IF(R1832="A conferir",(Config!$B$8-L1832)*1000+N(F1832)/1000+ROW()/100000,0)</f>
        <v>0</v>
      </c>
      <c r="T1832" s="51">
        <f>IF(R1832="A conferir",N(N1832),0)</f>
        <v>0</v>
      </c>
      <c r="U1832" s="51">
        <f>IF(L1832="",0,L1832)</f>
        <v>0</v>
      </c>
      <c r="V1832" s="51">
        <f>IF(L1832="",0,MAX(1,N(E1832)))</f>
        <v>0</v>
      </c>
      <c r="W1832" s="51">
        <f>IF(K1832="",0,K1832)</f>
        <v>0</v>
      </c>
    </row>
    <row r="1833">
      <c r="A1833" s="49" t="n"/>
      <c r="B1833" s="41" t="n"/>
      <c r="C1833" s="41" t="n"/>
      <c r="D1833" s="42" t="n"/>
      <c r="E1833" s="42" t="n"/>
      <c r="F1833" s="50" t="n"/>
      <c r="G1833" s="42" t="n"/>
      <c r="H1833" s="30">
        <f>IF(D1833="","",IFERROR(INDEX(Config!$B$12:$B$15,MATCH(IF(AND(D1833="Cartão de crédito",N(E1833)&gt;1),"Cartão de crédito parcelado",D1833),Config!$A$12:$A$15,0)),0)+IF(AND(Config!$B$17="Sim",LEFT(D1833,17)="Cartão de crédito"),Config!$B$18*IFERROR(INDEX(Config!$C$12:$C$15,MATCH(IF(AND(D1833="Cartão de crédito",N(E1833)&gt;1),"Cartão de crédito parcelado",D1833),Config!$A$12:$A$15,0)),0)/30*MAX(1,N(E1833)),0))</f>
        <v/>
      </c>
      <c r="I1833" s="29">
        <f>IF(OR(D1833="",F1833=""),"",ROUND(F1833*H1833,2))</f>
        <v/>
      </c>
      <c r="J1833" s="29">
        <f>IF(I1833="","",F1833-I1833)</f>
        <v/>
      </c>
      <c r="K1833" s="29">
        <f>IF(J1833="","",J1833/MAX(1,N(E1833)))</f>
        <v/>
      </c>
      <c r="L1833" s="37">
        <f>IF(OR(D1833="",A1833=""),"",A1833+IF(AND(Config!$B$17="Sim",LEFT(D1833,17)="Cartão de crédito"),1,IFERROR(INDEX(Config!$C$12:$C$15,MATCH(IF(AND(D1833="Cartão de crédito",N(E1833)&gt;1),"Cartão de crédito parcelado",D1833),Config!$A$12:$A$15,0)),0)))</f>
        <v/>
      </c>
      <c r="M1833" s="37">
        <f>IF(L1833="","",IF(AND(Config!$B$17="Sim",LEFT(D1833,17)="Cartão de crédito"),L1833,L1833+30*(MAX(1,N(E1833))-1)))</f>
        <v/>
      </c>
      <c r="N1833" s="29">
        <f>IF(OR(L1833="",K1833=""),"",K1833*MIN(MAX(1,N(E1833)),MAX(0,INT((Config!$B$8-L1833)/30)+1)))</f>
        <v/>
      </c>
      <c r="O1833" s="29">
        <f>IF(J1833="","",J1833-N(N1833))</f>
        <v/>
      </c>
      <c r="P1833" s="27">
        <f>IF(A1833="","",MONTH(A1833))</f>
        <v/>
      </c>
      <c r="Q1833" s="27">
        <f>IF(A1833="","",YEAR(A1833))</f>
        <v/>
      </c>
      <c r="R1833" s="27">
        <f>IF(L1833="","",IF(L1833&gt;Config!$B$8,"A cair",IF(N(G1833)&gt;=MIN(MAX(1,N(E1833)),MAX(0,INT((Config!$B$8-L1833)/30)+1)),IF(N(G1833)&gt;=MAX(1,N(E1833)),"Conferido","Conferido até aqui"),"A conferir")))</f>
        <v/>
      </c>
      <c r="S1833" s="51">
        <f>IF(R1833="A conferir",(Config!$B$8-L1833)*1000+N(F1833)/1000+ROW()/100000,0)</f>
        <v>0</v>
      </c>
      <c r="T1833" s="51">
        <f>IF(R1833="A conferir",N(N1833),0)</f>
        <v>0</v>
      </c>
      <c r="U1833" s="51">
        <f>IF(L1833="",0,L1833)</f>
        <v>0</v>
      </c>
      <c r="V1833" s="51">
        <f>IF(L1833="",0,MAX(1,N(E1833)))</f>
        <v>0</v>
      </c>
      <c r="W1833" s="51">
        <f>IF(K1833="",0,K1833)</f>
        <v>0</v>
      </c>
    </row>
    <row r="1834">
      <c r="A1834" s="49" t="n"/>
      <c r="B1834" s="41" t="n"/>
      <c r="C1834" s="41" t="n"/>
      <c r="D1834" s="42" t="n"/>
      <c r="E1834" s="42" t="n"/>
      <c r="F1834" s="50" t="n"/>
      <c r="G1834" s="42" t="n"/>
      <c r="H1834" s="30">
        <f>IF(D1834="","",IFERROR(INDEX(Config!$B$12:$B$15,MATCH(IF(AND(D1834="Cartão de crédito",N(E1834)&gt;1),"Cartão de crédito parcelado",D1834),Config!$A$12:$A$15,0)),0)+IF(AND(Config!$B$17="Sim",LEFT(D1834,17)="Cartão de crédito"),Config!$B$18*IFERROR(INDEX(Config!$C$12:$C$15,MATCH(IF(AND(D1834="Cartão de crédito",N(E1834)&gt;1),"Cartão de crédito parcelado",D1834),Config!$A$12:$A$15,0)),0)/30*MAX(1,N(E1834)),0))</f>
        <v/>
      </c>
      <c r="I1834" s="29">
        <f>IF(OR(D1834="",F1834=""),"",ROUND(F1834*H1834,2))</f>
        <v/>
      </c>
      <c r="J1834" s="29">
        <f>IF(I1834="","",F1834-I1834)</f>
        <v/>
      </c>
      <c r="K1834" s="29">
        <f>IF(J1834="","",J1834/MAX(1,N(E1834)))</f>
        <v/>
      </c>
      <c r="L1834" s="37">
        <f>IF(OR(D1834="",A1834=""),"",A1834+IF(AND(Config!$B$17="Sim",LEFT(D1834,17)="Cartão de crédito"),1,IFERROR(INDEX(Config!$C$12:$C$15,MATCH(IF(AND(D1834="Cartão de crédito",N(E1834)&gt;1),"Cartão de crédito parcelado",D1834),Config!$A$12:$A$15,0)),0)))</f>
        <v/>
      </c>
      <c r="M1834" s="37">
        <f>IF(L1834="","",IF(AND(Config!$B$17="Sim",LEFT(D1834,17)="Cartão de crédito"),L1834,L1834+30*(MAX(1,N(E1834))-1)))</f>
        <v/>
      </c>
      <c r="N1834" s="29">
        <f>IF(OR(L1834="",K1834=""),"",K1834*MIN(MAX(1,N(E1834)),MAX(0,INT((Config!$B$8-L1834)/30)+1)))</f>
        <v/>
      </c>
      <c r="O1834" s="29">
        <f>IF(J1834="","",J1834-N(N1834))</f>
        <v/>
      </c>
      <c r="P1834" s="27">
        <f>IF(A1834="","",MONTH(A1834))</f>
        <v/>
      </c>
      <c r="Q1834" s="27">
        <f>IF(A1834="","",YEAR(A1834))</f>
        <v/>
      </c>
      <c r="R1834" s="27">
        <f>IF(L1834="","",IF(L1834&gt;Config!$B$8,"A cair",IF(N(G1834)&gt;=MIN(MAX(1,N(E1834)),MAX(0,INT((Config!$B$8-L1834)/30)+1)),IF(N(G1834)&gt;=MAX(1,N(E1834)),"Conferido","Conferido até aqui"),"A conferir")))</f>
        <v/>
      </c>
      <c r="S1834" s="51">
        <f>IF(R1834="A conferir",(Config!$B$8-L1834)*1000+N(F1834)/1000+ROW()/100000,0)</f>
        <v>0</v>
      </c>
      <c r="T1834" s="51">
        <f>IF(R1834="A conferir",N(N1834),0)</f>
        <v>0</v>
      </c>
      <c r="U1834" s="51">
        <f>IF(L1834="",0,L1834)</f>
        <v>0</v>
      </c>
      <c r="V1834" s="51">
        <f>IF(L1834="",0,MAX(1,N(E1834)))</f>
        <v>0</v>
      </c>
      <c r="W1834" s="51">
        <f>IF(K1834="",0,K1834)</f>
        <v>0</v>
      </c>
    </row>
    <row r="1835">
      <c r="A1835" s="49" t="n"/>
      <c r="B1835" s="41" t="n"/>
      <c r="C1835" s="41" t="n"/>
      <c r="D1835" s="42" t="n"/>
      <c r="E1835" s="42" t="n"/>
      <c r="F1835" s="50" t="n"/>
      <c r="G1835" s="42" t="n"/>
      <c r="H1835" s="30">
        <f>IF(D1835="","",IFERROR(INDEX(Config!$B$12:$B$15,MATCH(IF(AND(D1835="Cartão de crédito",N(E1835)&gt;1),"Cartão de crédito parcelado",D1835),Config!$A$12:$A$15,0)),0)+IF(AND(Config!$B$17="Sim",LEFT(D1835,17)="Cartão de crédito"),Config!$B$18*IFERROR(INDEX(Config!$C$12:$C$15,MATCH(IF(AND(D1835="Cartão de crédito",N(E1835)&gt;1),"Cartão de crédito parcelado",D1835),Config!$A$12:$A$15,0)),0)/30*MAX(1,N(E1835)),0))</f>
        <v/>
      </c>
      <c r="I1835" s="29">
        <f>IF(OR(D1835="",F1835=""),"",ROUND(F1835*H1835,2))</f>
        <v/>
      </c>
      <c r="J1835" s="29">
        <f>IF(I1835="","",F1835-I1835)</f>
        <v/>
      </c>
      <c r="K1835" s="29">
        <f>IF(J1835="","",J1835/MAX(1,N(E1835)))</f>
        <v/>
      </c>
      <c r="L1835" s="37">
        <f>IF(OR(D1835="",A1835=""),"",A1835+IF(AND(Config!$B$17="Sim",LEFT(D1835,17)="Cartão de crédito"),1,IFERROR(INDEX(Config!$C$12:$C$15,MATCH(IF(AND(D1835="Cartão de crédito",N(E1835)&gt;1),"Cartão de crédito parcelado",D1835),Config!$A$12:$A$15,0)),0)))</f>
        <v/>
      </c>
      <c r="M1835" s="37">
        <f>IF(L1835="","",IF(AND(Config!$B$17="Sim",LEFT(D1835,17)="Cartão de crédito"),L1835,L1835+30*(MAX(1,N(E1835))-1)))</f>
        <v/>
      </c>
      <c r="N1835" s="29">
        <f>IF(OR(L1835="",K1835=""),"",K1835*MIN(MAX(1,N(E1835)),MAX(0,INT((Config!$B$8-L1835)/30)+1)))</f>
        <v/>
      </c>
      <c r="O1835" s="29">
        <f>IF(J1835="","",J1835-N(N1835))</f>
        <v/>
      </c>
      <c r="P1835" s="27">
        <f>IF(A1835="","",MONTH(A1835))</f>
        <v/>
      </c>
      <c r="Q1835" s="27">
        <f>IF(A1835="","",YEAR(A1835))</f>
        <v/>
      </c>
      <c r="R1835" s="27">
        <f>IF(L1835="","",IF(L1835&gt;Config!$B$8,"A cair",IF(N(G1835)&gt;=MIN(MAX(1,N(E1835)),MAX(0,INT((Config!$B$8-L1835)/30)+1)),IF(N(G1835)&gt;=MAX(1,N(E1835)),"Conferido","Conferido até aqui"),"A conferir")))</f>
        <v/>
      </c>
      <c r="S1835" s="51">
        <f>IF(R1835="A conferir",(Config!$B$8-L1835)*1000+N(F1835)/1000+ROW()/100000,0)</f>
        <v>0</v>
      </c>
      <c r="T1835" s="51">
        <f>IF(R1835="A conferir",N(N1835),0)</f>
        <v>0</v>
      </c>
      <c r="U1835" s="51">
        <f>IF(L1835="",0,L1835)</f>
        <v>0</v>
      </c>
      <c r="V1835" s="51">
        <f>IF(L1835="",0,MAX(1,N(E1835)))</f>
        <v>0</v>
      </c>
      <c r="W1835" s="51">
        <f>IF(K1835="",0,K1835)</f>
        <v>0</v>
      </c>
    </row>
    <row r="1836">
      <c r="A1836" s="49" t="n"/>
      <c r="B1836" s="41" t="n"/>
      <c r="C1836" s="41" t="n"/>
      <c r="D1836" s="42" t="n"/>
      <c r="E1836" s="42" t="n"/>
      <c r="F1836" s="50" t="n"/>
      <c r="G1836" s="42" t="n"/>
      <c r="H1836" s="30">
        <f>IF(D1836="","",IFERROR(INDEX(Config!$B$12:$B$15,MATCH(IF(AND(D1836="Cartão de crédito",N(E1836)&gt;1),"Cartão de crédito parcelado",D1836),Config!$A$12:$A$15,0)),0)+IF(AND(Config!$B$17="Sim",LEFT(D1836,17)="Cartão de crédito"),Config!$B$18*IFERROR(INDEX(Config!$C$12:$C$15,MATCH(IF(AND(D1836="Cartão de crédito",N(E1836)&gt;1),"Cartão de crédito parcelado",D1836),Config!$A$12:$A$15,0)),0)/30*MAX(1,N(E1836)),0))</f>
        <v/>
      </c>
      <c r="I1836" s="29">
        <f>IF(OR(D1836="",F1836=""),"",ROUND(F1836*H1836,2))</f>
        <v/>
      </c>
      <c r="J1836" s="29">
        <f>IF(I1836="","",F1836-I1836)</f>
        <v/>
      </c>
      <c r="K1836" s="29">
        <f>IF(J1836="","",J1836/MAX(1,N(E1836)))</f>
        <v/>
      </c>
      <c r="L1836" s="37">
        <f>IF(OR(D1836="",A1836=""),"",A1836+IF(AND(Config!$B$17="Sim",LEFT(D1836,17)="Cartão de crédito"),1,IFERROR(INDEX(Config!$C$12:$C$15,MATCH(IF(AND(D1836="Cartão de crédito",N(E1836)&gt;1),"Cartão de crédito parcelado",D1836),Config!$A$12:$A$15,0)),0)))</f>
        <v/>
      </c>
      <c r="M1836" s="37">
        <f>IF(L1836="","",IF(AND(Config!$B$17="Sim",LEFT(D1836,17)="Cartão de crédito"),L1836,L1836+30*(MAX(1,N(E1836))-1)))</f>
        <v/>
      </c>
      <c r="N1836" s="29">
        <f>IF(OR(L1836="",K1836=""),"",K1836*MIN(MAX(1,N(E1836)),MAX(0,INT((Config!$B$8-L1836)/30)+1)))</f>
        <v/>
      </c>
      <c r="O1836" s="29">
        <f>IF(J1836="","",J1836-N(N1836))</f>
        <v/>
      </c>
      <c r="P1836" s="27">
        <f>IF(A1836="","",MONTH(A1836))</f>
        <v/>
      </c>
      <c r="Q1836" s="27">
        <f>IF(A1836="","",YEAR(A1836))</f>
        <v/>
      </c>
      <c r="R1836" s="27">
        <f>IF(L1836="","",IF(L1836&gt;Config!$B$8,"A cair",IF(N(G1836)&gt;=MIN(MAX(1,N(E1836)),MAX(0,INT((Config!$B$8-L1836)/30)+1)),IF(N(G1836)&gt;=MAX(1,N(E1836)),"Conferido","Conferido até aqui"),"A conferir")))</f>
        <v/>
      </c>
      <c r="S1836" s="51">
        <f>IF(R1836="A conferir",(Config!$B$8-L1836)*1000+N(F1836)/1000+ROW()/100000,0)</f>
        <v>0</v>
      </c>
      <c r="T1836" s="51">
        <f>IF(R1836="A conferir",N(N1836),0)</f>
        <v>0</v>
      </c>
      <c r="U1836" s="51">
        <f>IF(L1836="",0,L1836)</f>
        <v>0</v>
      </c>
      <c r="V1836" s="51">
        <f>IF(L1836="",0,MAX(1,N(E1836)))</f>
        <v>0</v>
      </c>
      <c r="W1836" s="51">
        <f>IF(K1836="",0,K1836)</f>
        <v>0</v>
      </c>
    </row>
    <row r="1837">
      <c r="A1837" s="49" t="n"/>
      <c r="B1837" s="41" t="n"/>
      <c r="C1837" s="41" t="n"/>
      <c r="D1837" s="42" t="n"/>
      <c r="E1837" s="42" t="n"/>
      <c r="F1837" s="50" t="n"/>
      <c r="G1837" s="42" t="n"/>
      <c r="H1837" s="30">
        <f>IF(D1837="","",IFERROR(INDEX(Config!$B$12:$B$15,MATCH(IF(AND(D1837="Cartão de crédito",N(E1837)&gt;1),"Cartão de crédito parcelado",D1837),Config!$A$12:$A$15,0)),0)+IF(AND(Config!$B$17="Sim",LEFT(D1837,17)="Cartão de crédito"),Config!$B$18*IFERROR(INDEX(Config!$C$12:$C$15,MATCH(IF(AND(D1837="Cartão de crédito",N(E1837)&gt;1),"Cartão de crédito parcelado",D1837),Config!$A$12:$A$15,0)),0)/30*MAX(1,N(E1837)),0))</f>
        <v/>
      </c>
      <c r="I1837" s="29">
        <f>IF(OR(D1837="",F1837=""),"",ROUND(F1837*H1837,2))</f>
        <v/>
      </c>
      <c r="J1837" s="29">
        <f>IF(I1837="","",F1837-I1837)</f>
        <v/>
      </c>
      <c r="K1837" s="29">
        <f>IF(J1837="","",J1837/MAX(1,N(E1837)))</f>
        <v/>
      </c>
      <c r="L1837" s="37">
        <f>IF(OR(D1837="",A1837=""),"",A1837+IF(AND(Config!$B$17="Sim",LEFT(D1837,17)="Cartão de crédito"),1,IFERROR(INDEX(Config!$C$12:$C$15,MATCH(IF(AND(D1837="Cartão de crédito",N(E1837)&gt;1),"Cartão de crédito parcelado",D1837),Config!$A$12:$A$15,0)),0)))</f>
        <v/>
      </c>
      <c r="M1837" s="37">
        <f>IF(L1837="","",IF(AND(Config!$B$17="Sim",LEFT(D1837,17)="Cartão de crédito"),L1837,L1837+30*(MAX(1,N(E1837))-1)))</f>
        <v/>
      </c>
      <c r="N1837" s="29">
        <f>IF(OR(L1837="",K1837=""),"",K1837*MIN(MAX(1,N(E1837)),MAX(0,INT((Config!$B$8-L1837)/30)+1)))</f>
        <v/>
      </c>
      <c r="O1837" s="29">
        <f>IF(J1837="","",J1837-N(N1837))</f>
        <v/>
      </c>
      <c r="P1837" s="27">
        <f>IF(A1837="","",MONTH(A1837))</f>
        <v/>
      </c>
      <c r="Q1837" s="27">
        <f>IF(A1837="","",YEAR(A1837))</f>
        <v/>
      </c>
      <c r="R1837" s="27">
        <f>IF(L1837="","",IF(L1837&gt;Config!$B$8,"A cair",IF(N(G1837)&gt;=MIN(MAX(1,N(E1837)),MAX(0,INT((Config!$B$8-L1837)/30)+1)),IF(N(G1837)&gt;=MAX(1,N(E1837)),"Conferido","Conferido até aqui"),"A conferir")))</f>
        <v/>
      </c>
      <c r="S1837" s="51">
        <f>IF(R1837="A conferir",(Config!$B$8-L1837)*1000+N(F1837)/1000+ROW()/100000,0)</f>
        <v>0</v>
      </c>
      <c r="T1837" s="51">
        <f>IF(R1837="A conferir",N(N1837),0)</f>
        <v>0</v>
      </c>
      <c r="U1837" s="51">
        <f>IF(L1837="",0,L1837)</f>
        <v>0</v>
      </c>
      <c r="V1837" s="51">
        <f>IF(L1837="",0,MAX(1,N(E1837)))</f>
        <v>0</v>
      </c>
      <c r="W1837" s="51">
        <f>IF(K1837="",0,K1837)</f>
        <v>0</v>
      </c>
    </row>
    <row r="1838">
      <c r="A1838" s="49" t="n"/>
      <c r="B1838" s="41" t="n"/>
      <c r="C1838" s="41" t="n"/>
      <c r="D1838" s="42" t="n"/>
      <c r="E1838" s="42" t="n"/>
      <c r="F1838" s="50" t="n"/>
      <c r="G1838" s="42" t="n"/>
      <c r="H1838" s="30">
        <f>IF(D1838="","",IFERROR(INDEX(Config!$B$12:$B$15,MATCH(IF(AND(D1838="Cartão de crédito",N(E1838)&gt;1),"Cartão de crédito parcelado",D1838),Config!$A$12:$A$15,0)),0)+IF(AND(Config!$B$17="Sim",LEFT(D1838,17)="Cartão de crédito"),Config!$B$18*IFERROR(INDEX(Config!$C$12:$C$15,MATCH(IF(AND(D1838="Cartão de crédito",N(E1838)&gt;1),"Cartão de crédito parcelado",D1838),Config!$A$12:$A$15,0)),0)/30*MAX(1,N(E1838)),0))</f>
        <v/>
      </c>
      <c r="I1838" s="29">
        <f>IF(OR(D1838="",F1838=""),"",ROUND(F1838*H1838,2))</f>
        <v/>
      </c>
      <c r="J1838" s="29">
        <f>IF(I1838="","",F1838-I1838)</f>
        <v/>
      </c>
      <c r="K1838" s="29">
        <f>IF(J1838="","",J1838/MAX(1,N(E1838)))</f>
        <v/>
      </c>
      <c r="L1838" s="37">
        <f>IF(OR(D1838="",A1838=""),"",A1838+IF(AND(Config!$B$17="Sim",LEFT(D1838,17)="Cartão de crédito"),1,IFERROR(INDEX(Config!$C$12:$C$15,MATCH(IF(AND(D1838="Cartão de crédito",N(E1838)&gt;1),"Cartão de crédito parcelado",D1838),Config!$A$12:$A$15,0)),0)))</f>
        <v/>
      </c>
      <c r="M1838" s="37">
        <f>IF(L1838="","",IF(AND(Config!$B$17="Sim",LEFT(D1838,17)="Cartão de crédito"),L1838,L1838+30*(MAX(1,N(E1838))-1)))</f>
        <v/>
      </c>
      <c r="N1838" s="29">
        <f>IF(OR(L1838="",K1838=""),"",K1838*MIN(MAX(1,N(E1838)),MAX(0,INT((Config!$B$8-L1838)/30)+1)))</f>
        <v/>
      </c>
      <c r="O1838" s="29">
        <f>IF(J1838="","",J1838-N(N1838))</f>
        <v/>
      </c>
      <c r="P1838" s="27">
        <f>IF(A1838="","",MONTH(A1838))</f>
        <v/>
      </c>
      <c r="Q1838" s="27">
        <f>IF(A1838="","",YEAR(A1838))</f>
        <v/>
      </c>
      <c r="R1838" s="27">
        <f>IF(L1838="","",IF(L1838&gt;Config!$B$8,"A cair",IF(N(G1838)&gt;=MIN(MAX(1,N(E1838)),MAX(0,INT((Config!$B$8-L1838)/30)+1)),IF(N(G1838)&gt;=MAX(1,N(E1838)),"Conferido","Conferido até aqui"),"A conferir")))</f>
        <v/>
      </c>
      <c r="S1838" s="51">
        <f>IF(R1838="A conferir",(Config!$B$8-L1838)*1000+N(F1838)/1000+ROW()/100000,0)</f>
        <v>0</v>
      </c>
      <c r="T1838" s="51">
        <f>IF(R1838="A conferir",N(N1838),0)</f>
        <v>0</v>
      </c>
      <c r="U1838" s="51">
        <f>IF(L1838="",0,L1838)</f>
        <v>0</v>
      </c>
      <c r="V1838" s="51">
        <f>IF(L1838="",0,MAX(1,N(E1838)))</f>
        <v>0</v>
      </c>
      <c r="W1838" s="51">
        <f>IF(K1838="",0,K1838)</f>
        <v>0</v>
      </c>
    </row>
    <row r="1839">
      <c r="A1839" s="49" t="n"/>
      <c r="B1839" s="41" t="n"/>
      <c r="C1839" s="41" t="n"/>
      <c r="D1839" s="42" t="n"/>
      <c r="E1839" s="42" t="n"/>
      <c r="F1839" s="50" t="n"/>
      <c r="G1839" s="42" t="n"/>
      <c r="H1839" s="30">
        <f>IF(D1839="","",IFERROR(INDEX(Config!$B$12:$B$15,MATCH(IF(AND(D1839="Cartão de crédito",N(E1839)&gt;1),"Cartão de crédito parcelado",D1839),Config!$A$12:$A$15,0)),0)+IF(AND(Config!$B$17="Sim",LEFT(D1839,17)="Cartão de crédito"),Config!$B$18*IFERROR(INDEX(Config!$C$12:$C$15,MATCH(IF(AND(D1839="Cartão de crédito",N(E1839)&gt;1),"Cartão de crédito parcelado",D1839),Config!$A$12:$A$15,0)),0)/30*MAX(1,N(E1839)),0))</f>
        <v/>
      </c>
      <c r="I1839" s="29">
        <f>IF(OR(D1839="",F1839=""),"",ROUND(F1839*H1839,2))</f>
        <v/>
      </c>
      <c r="J1839" s="29">
        <f>IF(I1839="","",F1839-I1839)</f>
        <v/>
      </c>
      <c r="K1839" s="29">
        <f>IF(J1839="","",J1839/MAX(1,N(E1839)))</f>
        <v/>
      </c>
      <c r="L1839" s="37">
        <f>IF(OR(D1839="",A1839=""),"",A1839+IF(AND(Config!$B$17="Sim",LEFT(D1839,17)="Cartão de crédito"),1,IFERROR(INDEX(Config!$C$12:$C$15,MATCH(IF(AND(D1839="Cartão de crédito",N(E1839)&gt;1),"Cartão de crédito parcelado",D1839),Config!$A$12:$A$15,0)),0)))</f>
        <v/>
      </c>
      <c r="M1839" s="37">
        <f>IF(L1839="","",IF(AND(Config!$B$17="Sim",LEFT(D1839,17)="Cartão de crédito"),L1839,L1839+30*(MAX(1,N(E1839))-1)))</f>
        <v/>
      </c>
      <c r="N1839" s="29">
        <f>IF(OR(L1839="",K1839=""),"",K1839*MIN(MAX(1,N(E1839)),MAX(0,INT((Config!$B$8-L1839)/30)+1)))</f>
        <v/>
      </c>
      <c r="O1839" s="29">
        <f>IF(J1839="","",J1839-N(N1839))</f>
        <v/>
      </c>
      <c r="P1839" s="27">
        <f>IF(A1839="","",MONTH(A1839))</f>
        <v/>
      </c>
      <c r="Q1839" s="27">
        <f>IF(A1839="","",YEAR(A1839))</f>
        <v/>
      </c>
      <c r="R1839" s="27">
        <f>IF(L1839="","",IF(L1839&gt;Config!$B$8,"A cair",IF(N(G1839)&gt;=MIN(MAX(1,N(E1839)),MAX(0,INT((Config!$B$8-L1839)/30)+1)),IF(N(G1839)&gt;=MAX(1,N(E1839)),"Conferido","Conferido até aqui"),"A conferir")))</f>
        <v/>
      </c>
      <c r="S1839" s="51">
        <f>IF(R1839="A conferir",(Config!$B$8-L1839)*1000+N(F1839)/1000+ROW()/100000,0)</f>
        <v>0</v>
      </c>
      <c r="T1839" s="51">
        <f>IF(R1839="A conferir",N(N1839),0)</f>
        <v>0</v>
      </c>
      <c r="U1839" s="51">
        <f>IF(L1839="",0,L1839)</f>
        <v>0</v>
      </c>
      <c r="V1839" s="51">
        <f>IF(L1839="",0,MAX(1,N(E1839)))</f>
        <v>0</v>
      </c>
      <c r="W1839" s="51">
        <f>IF(K1839="",0,K1839)</f>
        <v>0</v>
      </c>
    </row>
    <row r="1840">
      <c r="A1840" s="49" t="n"/>
      <c r="B1840" s="41" t="n"/>
      <c r="C1840" s="41" t="n"/>
      <c r="D1840" s="42" t="n"/>
      <c r="E1840" s="42" t="n"/>
      <c r="F1840" s="50" t="n"/>
      <c r="G1840" s="42" t="n"/>
      <c r="H1840" s="30">
        <f>IF(D1840="","",IFERROR(INDEX(Config!$B$12:$B$15,MATCH(IF(AND(D1840="Cartão de crédito",N(E1840)&gt;1),"Cartão de crédito parcelado",D1840),Config!$A$12:$A$15,0)),0)+IF(AND(Config!$B$17="Sim",LEFT(D1840,17)="Cartão de crédito"),Config!$B$18*IFERROR(INDEX(Config!$C$12:$C$15,MATCH(IF(AND(D1840="Cartão de crédito",N(E1840)&gt;1),"Cartão de crédito parcelado",D1840),Config!$A$12:$A$15,0)),0)/30*MAX(1,N(E1840)),0))</f>
        <v/>
      </c>
      <c r="I1840" s="29">
        <f>IF(OR(D1840="",F1840=""),"",ROUND(F1840*H1840,2))</f>
        <v/>
      </c>
      <c r="J1840" s="29">
        <f>IF(I1840="","",F1840-I1840)</f>
        <v/>
      </c>
      <c r="K1840" s="29">
        <f>IF(J1840="","",J1840/MAX(1,N(E1840)))</f>
        <v/>
      </c>
      <c r="L1840" s="37">
        <f>IF(OR(D1840="",A1840=""),"",A1840+IF(AND(Config!$B$17="Sim",LEFT(D1840,17)="Cartão de crédito"),1,IFERROR(INDEX(Config!$C$12:$C$15,MATCH(IF(AND(D1840="Cartão de crédito",N(E1840)&gt;1),"Cartão de crédito parcelado",D1840),Config!$A$12:$A$15,0)),0)))</f>
        <v/>
      </c>
      <c r="M1840" s="37">
        <f>IF(L1840="","",IF(AND(Config!$B$17="Sim",LEFT(D1840,17)="Cartão de crédito"),L1840,L1840+30*(MAX(1,N(E1840))-1)))</f>
        <v/>
      </c>
      <c r="N1840" s="29">
        <f>IF(OR(L1840="",K1840=""),"",K1840*MIN(MAX(1,N(E1840)),MAX(0,INT((Config!$B$8-L1840)/30)+1)))</f>
        <v/>
      </c>
      <c r="O1840" s="29">
        <f>IF(J1840="","",J1840-N(N1840))</f>
        <v/>
      </c>
      <c r="P1840" s="27">
        <f>IF(A1840="","",MONTH(A1840))</f>
        <v/>
      </c>
      <c r="Q1840" s="27">
        <f>IF(A1840="","",YEAR(A1840))</f>
        <v/>
      </c>
      <c r="R1840" s="27">
        <f>IF(L1840="","",IF(L1840&gt;Config!$B$8,"A cair",IF(N(G1840)&gt;=MIN(MAX(1,N(E1840)),MAX(0,INT((Config!$B$8-L1840)/30)+1)),IF(N(G1840)&gt;=MAX(1,N(E1840)),"Conferido","Conferido até aqui"),"A conferir")))</f>
        <v/>
      </c>
      <c r="S1840" s="51">
        <f>IF(R1840="A conferir",(Config!$B$8-L1840)*1000+N(F1840)/1000+ROW()/100000,0)</f>
        <v>0</v>
      </c>
      <c r="T1840" s="51">
        <f>IF(R1840="A conferir",N(N1840),0)</f>
        <v>0</v>
      </c>
      <c r="U1840" s="51">
        <f>IF(L1840="",0,L1840)</f>
        <v>0</v>
      </c>
      <c r="V1840" s="51">
        <f>IF(L1840="",0,MAX(1,N(E1840)))</f>
        <v>0</v>
      </c>
      <c r="W1840" s="51">
        <f>IF(K1840="",0,K1840)</f>
        <v>0</v>
      </c>
    </row>
    <row r="1841">
      <c r="A1841" s="49" t="n"/>
      <c r="B1841" s="41" t="n"/>
      <c r="C1841" s="41" t="n"/>
      <c r="D1841" s="42" t="n"/>
      <c r="E1841" s="42" t="n"/>
      <c r="F1841" s="50" t="n"/>
      <c r="G1841" s="42" t="n"/>
      <c r="H1841" s="30">
        <f>IF(D1841="","",IFERROR(INDEX(Config!$B$12:$B$15,MATCH(IF(AND(D1841="Cartão de crédito",N(E1841)&gt;1),"Cartão de crédito parcelado",D1841),Config!$A$12:$A$15,0)),0)+IF(AND(Config!$B$17="Sim",LEFT(D1841,17)="Cartão de crédito"),Config!$B$18*IFERROR(INDEX(Config!$C$12:$C$15,MATCH(IF(AND(D1841="Cartão de crédito",N(E1841)&gt;1),"Cartão de crédito parcelado",D1841),Config!$A$12:$A$15,0)),0)/30*MAX(1,N(E1841)),0))</f>
        <v/>
      </c>
      <c r="I1841" s="29">
        <f>IF(OR(D1841="",F1841=""),"",ROUND(F1841*H1841,2))</f>
        <v/>
      </c>
      <c r="J1841" s="29">
        <f>IF(I1841="","",F1841-I1841)</f>
        <v/>
      </c>
      <c r="K1841" s="29">
        <f>IF(J1841="","",J1841/MAX(1,N(E1841)))</f>
        <v/>
      </c>
      <c r="L1841" s="37">
        <f>IF(OR(D1841="",A1841=""),"",A1841+IF(AND(Config!$B$17="Sim",LEFT(D1841,17)="Cartão de crédito"),1,IFERROR(INDEX(Config!$C$12:$C$15,MATCH(IF(AND(D1841="Cartão de crédito",N(E1841)&gt;1),"Cartão de crédito parcelado",D1841),Config!$A$12:$A$15,0)),0)))</f>
        <v/>
      </c>
      <c r="M1841" s="37">
        <f>IF(L1841="","",IF(AND(Config!$B$17="Sim",LEFT(D1841,17)="Cartão de crédito"),L1841,L1841+30*(MAX(1,N(E1841))-1)))</f>
        <v/>
      </c>
      <c r="N1841" s="29">
        <f>IF(OR(L1841="",K1841=""),"",K1841*MIN(MAX(1,N(E1841)),MAX(0,INT((Config!$B$8-L1841)/30)+1)))</f>
        <v/>
      </c>
      <c r="O1841" s="29">
        <f>IF(J1841="","",J1841-N(N1841))</f>
        <v/>
      </c>
      <c r="P1841" s="27">
        <f>IF(A1841="","",MONTH(A1841))</f>
        <v/>
      </c>
      <c r="Q1841" s="27">
        <f>IF(A1841="","",YEAR(A1841))</f>
        <v/>
      </c>
      <c r="R1841" s="27">
        <f>IF(L1841="","",IF(L1841&gt;Config!$B$8,"A cair",IF(N(G1841)&gt;=MIN(MAX(1,N(E1841)),MAX(0,INT((Config!$B$8-L1841)/30)+1)),IF(N(G1841)&gt;=MAX(1,N(E1841)),"Conferido","Conferido até aqui"),"A conferir")))</f>
        <v/>
      </c>
      <c r="S1841" s="51">
        <f>IF(R1841="A conferir",(Config!$B$8-L1841)*1000+N(F1841)/1000+ROW()/100000,0)</f>
        <v>0</v>
      </c>
      <c r="T1841" s="51">
        <f>IF(R1841="A conferir",N(N1841),0)</f>
        <v>0</v>
      </c>
      <c r="U1841" s="51">
        <f>IF(L1841="",0,L1841)</f>
        <v>0</v>
      </c>
      <c r="V1841" s="51">
        <f>IF(L1841="",0,MAX(1,N(E1841)))</f>
        <v>0</v>
      </c>
      <c r="W1841" s="51">
        <f>IF(K1841="",0,K1841)</f>
        <v>0</v>
      </c>
    </row>
    <row r="1842">
      <c r="A1842" s="49" t="n"/>
      <c r="B1842" s="41" t="n"/>
      <c r="C1842" s="41" t="n"/>
      <c r="D1842" s="42" t="n"/>
      <c r="E1842" s="42" t="n"/>
      <c r="F1842" s="50" t="n"/>
      <c r="G1842" s="42" t="n"/>
      <c r="H1842" s="30">
        <f>IF(D1842="","",IFERROR(INDEX(Config!$B$12:$B$15,MATCH(IF(AND(D1842="Cartão de crédito",N(E1842)&gt;1),"Cartão de crédito parcelado",D1842),Config!$A$12:$A$15,0)),0)+IF(AND(Config!$B$17="Sim",LEFT(D1842,17)="Cartão de crédito"),Config!$B$18*IFERROR(INDEX(Config!$C$12:$C$15,MATCH(IF(AND(D1842="Cartão de crédito",N(E1842)&gt;1),"Cartão de crédito parcelado",D1842),Config!$A$12:$A$15,0)),0)/30*MAX(1,N(E1842)),0))</f>
        <v/>
      </c>
      <c r="I1842" s="29">
        <f>IF(OR(D1842="",F1842=""),"",ROUND(F1842*H1842,2))</f>
        <v/>
      </c>
      <c r="J1842" s="29">
        <f>IF(I1842="","",F1842-I1842)</f>
        <v/>
      </c>
      <c r="K1842" s="29">
        <f>IF(J1842="","",J1842/MAX(1,N(E1842)))</f>
        <v/>
      </c>
      <c r="L1842" s="37">
        <f>IF(OR(D1842="",A1842=""),"",A1842+IF(AND(Config!$B$17="Sim",LEFT(D1842,17)="Cartão de crédito"),1,IFERROR(INDEX(Config!$C$12:$C$15,MATCH(IF(AND(D1842="Cartão de crédito",N(E1842)&gt;1),"Cartão de crédito parcelado",D1842),Config!$A$12:$A$15,0)),0)))</f>
        <v/>
      </c>
      <c r="M1842" s="37">
        <f>IF(L1842="","",IF(AND(Config!$B$17="Sim",LEFT(D1842,17)="Cartão de crédito"),L1842,L1842+30*(MAX(1,N(E1842))-1)))</f>
        <v/>
      </c>
      <c r="N1842" s="29">
        <f>IF(OR(L1842="",K1842=""),"",K1842*MIN(MAX(1,N(E1842)),MAX(0,INT((Config!$B$8-L1842)/30)+1)))</f>
        <v/>
      </c>
      <c r="O1842" s="29">
        <f>IF(J1842="","",J1842-N(N1842))</f>
        <v/>
      </c>
      <c r="P1842" s="27">
        <f>IF(A1842="","",MONTH(A1842))</f>
        <v/>
      </c>
      <c r="Q1842" s="27">
        <f>IF(A1842="","",YEAR(A1842))</f>
        <v/>
      </c>
      <c r="R1842" s="27">
        <f>IF(L1842="","",IF(L1842&gt;Config!$B$8,"A cair",IF(N(G1842)&gt;=MIN(MAX(1,N(E1842)),MAX(0,INT((Config!$B$8-L1842)/30)+1)),IF(N(G1842)&gt;=MAX(1,N(E1842)),"Conferido","Conferido até aqui"),"A conferir")))</f>
        <v/>
      </c>
      <c r="S1842" s="51">
        <f>IF(R1842="A conferir",(Config!$B$8-L1842)*1000+N(F1842)/1000+ROW()/100000,0)</f>
        <v>0</v>
      </c>
      <c r="T1842" s="51">
        <f>IF(R1842="A conferir",N(N1842),0)</f>
        <v>0</v>
      </c>
      <c r="U1842" s="51">
        <f>IF(L1842="",0,L1842)</f>
        <v>0</v>
      </c>
      <c r="V1842" s="51">
        <f>IF(L1842="",0,MAX(1,N(E1842)))</f>
        <v>0</v>
      </c>
      <c r="W1842" s="51">
        <f>IF(K1842="",0,K1842)</f>
        <v>0</v>
      </c>
    </row>
    <row r="1843">
      <c r="A1843" s="49" t="n"/>
      <c r="B1843" s="41" t="n"/>
      <c r="C1843" s="41" t="n"/>
      <c r="D1843" s="42" t="n"/>
      <c r="E1843" s="42" t="n"/>
      <c r="F1843" s="50" t="n"/>
      <c r="G1843" s="42" t="n"/>
      <c r="H1843" s="30">
        <f>IF(D1843="","",IFERROR(INDEX(Config!$B$12:$B$15,MATCH(IF(AND(D1843="Cartão de crédito",N(E1843)&gt;1),"Cartão de crédito parcelado",D1843),Config!$A$12:$A$15,0)),0)+IF(AND(Config!$B$17="Sim",LEFT(D1843,17)="Cartão de crédito"),Config!$B$18*IFERROR(INDEX(Config!$C$12:$C$15,MATCH(IF(AND(D1843="Cartão de crédito",N(E1843)&gt;1),"Cartão de crédito parcelado",D1843),Config!$A$12:$A$15,0)),0)/30*MAX(1,N(E1843)),0))</f>
        <v/>
      </c>
      <c r="I1843" s="29">
        <f>IF(OR(D1843="",F1843=""),"",ROUND(F1843*H1843,2))</f>
        <v/>
      </c>
      <c r="J1843" s="29">
        <f>IF(I1843="","",F1843-I1843)</f>
        <v/>
      </c>
      <c r="K1843" s="29">
        <f>IF(J1843="","",J1843/MAX(1,N(E1843)))</f>
        <v/>
      </c>
      <c r="L1843" s="37">
        <f>IF(OR(D1843="",A1843=""),"",A1843+IF(AND(Config!$B$17="Sim",LEFT(D1843,17)="Cartão de crédito"),1,IFERROR(INDEX(Config!$C$12:$C$15,MATCH(IF(AND(D1843="Cartão de crédito",N(E1843)&gt;1),"Cartão de crédito parcelado",D1843),Config!$A$12:$A$15,0)),0)))</f>
        <v/>
      </c>
      <c r="M1843" s="37">
        <f>IF(L1843="","",IF(AND(Config!$B$17="Sim",LEFT(D1843,17)="Cartão de crédito"),L1843,L1843+30*(MAX(1,N(E1843))-1)))</f>
        <v/>
      </c>
      <c r="N1843" s="29">
        <f>IF(OR(L1843="",K1843=""),"",K1843*MIN(MAX(1,N(E1843)),MAX(0,INT((Config!$B$8-L1843)/30)+1)))</f>
        <v/>
      </c>
      <c r="O1843" s="29">
        <f>IF(J1843="","",J1843-N(N1843))</f>
        <v/>
      </c>
      <c r="P1843" s="27">
        <f>IF(A1843="","",MONTH(A1843))</f>
        <v/>
      </c>
      <c r="Q1843" s="27">
        <f>IF(A1843="","",YEAR(A1843))</f>
        <v/>
      </c>
      <c r="R1843" s="27">
        <f>IF(L1843="","",IF(L1843&gt;Config!$B$8,"A cair",IF(N(G1843)&gt;=MIN(MAX(1,N(E1843)),MAX(0,INT((Config!$B$8-L1843)/30)+1)),IF(N(G1843)&gt;=MAX(1,N(E1843)),"Conferido","Conferido até aqui"),"A conferir")))</f>
        <v/>
      </c>
      <c r="S1843" s="51">
        <f>IF(R1843="A conferir",(Config!$B$8-L1843)*1000+N(F1843)/1000+ROW()/100000,0)</f>
        <v>0</v>
      </c>
      <c r="T1843" s="51">
        <f>IF(R1843="A conferir",N(N1843),0)</f>
        <v>0</v>
      </c>
      <c r="U1843" s="51">
        <f>IF(L1843="",0,L1843)</f>
        <v>0</v>
      </c>
      <c r="V1843" s="51">
        <f>IF(L1843="",0,MAX(1,N(E1843)))</f>
        <v>0</v>
      </c>
      <c r="W1843" s="51">
        <f>IF(K1843="",0,K1843)</f>
        <v>0</v>
      </c>
    </row>
    <row r="1844">
      <c r="A1844" s="49" t="n"/>
      <c r="B1844" s="41" t="n"/>
      <c r="C1844" s="41" t="n"/>
      <c r="D1844" s="42" t="n"/>
      <c r="E1844" s="42" t="n"/>
      <c r="F1844" s="50" t="n"/>
      <c r="G1844" s="42" t="n"/>
      <c r="H1844" s="30">
        <f>IF(D1844="","",IFERROR(INDEX(Config!$B$12:$B$15,MATCH(IF(AND(D1844="Cartão de crédito",N(E1844)&gt;1),"Cartão de crédito parcelado",D1844),Config!$A$12:$A$15,0)),0)+IF(AND(Config!$B$17="Sim",LEFT(D1844,17)="Cartão de crédito"),Config!$B$18*IFERROR(INDEX(Config!$C$12:$C$15,MATCH(IF(AND(D1844="Cartão de crédito",N(E1844)&gt;1),"Cartão de crédito parcelado",D1844),Config!$A$12:$A$15,0)),0)/30*MAX(1,N(E1844)),0))</f>
        <v/>
      </c>
      <c r="I1844" s="29">
        <f>IF(OR(D1844="",F1844=""),"",ROUND(F1844*H1844,2))</f>
        <v/>
      </c>
      <c r="J1844" s="29">
        <f>IF(I1844="","",F1844-I1844)</f>
        <v/>
      </c>
      <c r="K1844" s="29">
        <f>IF(J1844="","",J1844/MAX(1,N(E1844)))</f>
        <v/>
      </c>
      <c r="L1844" s="37">
        <f>IF(OR(D1844="",A1844=""),"",A1844+IF(AND(Config!$B$17="Sim",LEFT(D1844,17)="Cartão de crédito"),1,IFERROR(INDEX(Config!$C$12:$C$15,MATCH(IF(AND(D1844="Cartão de crédito",N(E1844)&gt;1),"Cartão de crédito parcelado",D1844),Config!$A$12:$A$15,0)),0)))</f>
        <v/>
      </c>
      <c r="M1844" s="37">
        <f>IF(L1844="","",IF(AND(Config!$B$17="Sim",LEFT(D1844,17)="Cartão de crédito"),L1844,L1844+30*(MAX(1,N(E1844))-1)))</f>
        <v/>
      </c>
      <c r="N1844" s="29">
        <f>IF(OR(L1844="",K1844=""),"",K1844*MIN(MAX(1,N(E1844)),MAX(0,INT((Config!$B$8-L1844)/30)+1)))</f>
        <v/>
      </c>
      <c r="O1844" s="29">
        <f>IF(J1844="","",J1844-N(N1844))</f>
        <v/>
      </c>
      <c r="P1844" s="27">
        <f>IF(A1844="","",MONTH(A1844))</f>
        <v/>
      </c>
      <c r="Q1844" s="27">
        <f>IF(A1844="","",YEAR(A1844))</f>
        <v/>
      </c>
      <c r="R1844" s="27">
        <f>IF(L1844="","",IF(L1844&gt;Config!$B$8,"A cair",IF(N(G1844)&gt;=MIN(MAX(1,N(E1844)),MAX(0,INT((Config!$B$8-L1844)/30)+1)),IF(N(G1844)&gt;=MAX(1,N(E1844)),"Conferido","Conferido até aqui"),"A conferir")))</f>
        <v/>
      </c>
      <c r="S1844" s="51">
        <f>IF(R1844="A conferir",(Config!$B$8-L1844)*1000+N(F1844)/1000+ROW()/100000,0)</f>
        <v>0</v>
      </c>
      <c r="T1844" s="51">
        <f>IF(R1844="A conferir",N(N1844),0)</f>
        <v>0</v>
      </c>
      <c r="U1844" s="51">
        <f>IF(L1844="",0,L1844)</f>
        <v>0</v>
      </c>
      <c r="V1844" s="51">
        <f>IF(L1844="",0,MAX(1,N(E1844)))</f>
        <v>0</v>
      </c>
      <c r="W1844" s="51">
        <f>IF(K1844="",0,K1844)</f>
        <v>0</v>
      </c>
    </row>
    <row r="1845">
      <c r="A1845" s="49" t="n"/>
      <c r="B1845" s="41" t="n"/>
      <c r="C1845" s="41" t="n"/>
      <c r="D1845" s="42" t="n"/>
      <c r="E1845" s="42" t="n"/>
      <c r="F1845" s="50" t="n"/>
      <c r="G1845" s="42" t="n"/>
      <c r="H1845" s="30">
        <f>IF(D1845="","",IFERROR(INDEX(Config!$B$12:$B$15,MATCH(IF(AND(D1845="Cartão de crédito",N(E1845)&gt;1),"Cartão de crédito parcelado",D1845),Config!$A$12:$A$15,0)),0)+IF(AND(Config!$B$17="Sim",LEFT(D1845,17)="Cartão de crédito"),Config!$B$18*IFERROR(INDEX(Config!$C$12:$C$15,MATCH(IF(AND(D1845="Cartão de crédito",N(E1845)&gt;1),"Cartão de crédito parcelado",D1845),Config!$A$12:$A$15,0)),0)/30*MAX(1,N(E1845)),0))</f>
        <v/>
      </c>
      <c r="I1845" s="29">
        <f>IF(OR(D1845="",F1845=""),"",ROUND(F1845*H1845,2))</f>
        <v/>
      </c>
      <c r="J1845" s="29">
        <f>IF(I1845="","",F1845-I1845)</f>
        <v/>
      </c>
      <c r="K1845" s="29">
        <f>IF(J1845="","",J1845/MAX(1,N(E1845)))</f>
        <v/>
      </c>
      <c r="L1845" s="37">
        <f>IF(OR(D1845="",A1845=""),"",A1845+IF(AND(Config!$B$17="Sim",LEFT(D1845,17)="Cartão de crédito"),1,IFERROR(INDEX(Config!$C$12:$C$15,MATCH(IF(AND(D1845="Cartão de crédito",N(E1845)&gt;1),"Cartão de crédito parcelado",D1845),Config!$A$12:$A$15,0)),0)))</f>
        <v/>
      </c>
      <c r="M1845" s="37">
        <f>IF(L1845="","",IF(AND(Config!$B$17="Sim",LEFT(D1845,17)="Cartão de crédito"),L1845,L1845+30*(MAX(1,N(E1845))-1)))</f>
        <v/>
      </c>
      <c r="N1845" s="29">
        <f>IF(OR(L1845="",K1845=""),"",K1845*MIN(MAX(1,N(E1845)),MAX(0,INT((Config!$B$8-L1845)/30)+1)))</f>
        <v/>
      </c>
      <c r="O1845" s="29">
        <f>IF(J1845="","",J1845-N(N1845))</f>
        <v/>
      </c>
      <c r="P1845" s="27">
        <f>IF(A1845="","",MONTH(A1845))</f>
        <v/>
      </c>
      <c r="Q1845" s="27">
        <f>IF(A1845="","",YEAR(A1845))</f>
        <v/>
      </c>
      <c r="R1845" s="27">
        <f>IF(L1845="","",IF(L1845&gt;Config!$B$8,"A cair",IF(N(G1845)&gt;=MIN(MAX(1,N(E1845)),MAX(0,INT((Config!$B$8-L1845)/30)+1)),IF(N(G1845)&gt;=MAX(1,N(E1845)),"Conferido","Conferido até aqui"),"A conferir")))</f>
        <v/>
      </c>
      <c r="S1845" s="51">
        <f>IF(R1845="A conferir",(Config!$B$8-L1845)*1000+N(F1845)/1000+ROW()/100000,0)</f>
        <v>0</v>
      </c>
      <c r="T1845" s="51">
        <f>IF(R1845="A conferir",N(N1845),0)</f>
        <v>0</v>
      </c>
      <c r="U1845" s="51">
        <f>IF(L1845="",0,L1845)</f>
        <v>0</v>
      </c>
      <c r="V1845" s="51">
        <f>IF(L1845="",0,MAX(1,N(E1845)))</f>
        <v>0</v>
      </c>
      <c r="W1845" s="51">
        <f>IF(K1845="",0,K1845)</f>
        <v>0</v>
      </c>
    </row>
    <row r="1846">
      <c r="A1846" s="49" t="n"/>
      <c r="B1846" s="41" t="n"/>
      <c r="C1846" s="41" t="n"/>
      <c r="D1846" s="42" t="n"/>
      <c r="E1846" s="42" t="n"/>
      <c r="F1846" s="50" t="n"/>
      <c r="G1846" s="42" t="n"/>
      <c r="H1846" s="30">
        <f>IF(D1846="","",IFERROR(INDEX(Config!$B$12:$B$15,MATCH(IF(AND(D1846="Cartão de crédito",N(E1846)&gt;1),"Cartão de crédito parcelado",D1846),Config!$A$12:$A$15,0)),0)+IF(AND(Config!$B$17="Sim",LEFT(D1846,17)="Cartão de crédito"),Config!$B$18*IFERROR(INDEX(Config!$C$12:$C$15,MATCH(IF(AND(D1846="Cartão de crédito",N(E1846)&gt;1),"Cartão de crédito parcelado",D1846),Config!$A$12:$A$15,0)),0)/30*MAX(1,N(E1846)),0))</f>
        <v/>
      </c>
      <c r="I1846" s="29">
        <f>IF(OR(D1846="",F1846=""),"",ROUND(F1846*H1846,2))</f>
        <v/>
      </c>
      <c r="J1846" s="29">
        <f>IF(I1846="","",F1846-I1846)</f>
        <v/>
      </c>
      <c r="K1846" s="29">
        <f>IF(J1846="","",J1846/MAX(1,N(E1846)))</f>
        <v/>
      </c>
      <c r="L1846" s="37">
        <f>IF(OR(D1846="",A1846=""),"",A1846+IF(AND(Config!$B$17="Sim",LEFT(D1846,17)="Cartão de crédito"),1,IFERROR(INDEX(Config!$C$12:$C$15,MATCH(IF(AND(D1846="Cartão de crédito",N(E1846)&gt;1),"Cartão de crédito parcelado",D1846),Config!$A$12:$A$15,0)),0)))</f>
        <v/>
      </c>
      <c r="M1846" s="37">
        <f>IF(L1846="","",IF(AND(Config!$B$17="Sim",LEFT(D1846,17)="Cartão de crédito"),L1846,L1846+30*(MAX(1,N(E1846))-1)))</f>
        <v/>
      </c>
      <c r="N1846" s="29">
        <f>IF(OR(L1846="",K1846=""),"",K1846*MIN(MAX(1,N(E1846)),MAX(0,INT((Config!$B$8-L1846)/30)+1)))</f>
        <v/>
      </c>
      <c r="O1846" s="29">
        <f>IF(J1846="","",J1846-N(N1846))</f>
        <v/>
      </c>
      <c r="P1846" s="27">
        <f>IF(A1846="","",MONTH(A1846))</f>
        <v/>
      </c>
      <c r="Q1846" s="27">
        <f>IF(A1846="","",YEAR(A1846))</f>
        <v/>
      </c>
      <c r="R1846" s="27">
        <f>IF(L1846="","",IF(L1846&gt;Config!$B$8,"A cair",IF(N(G1846)&gt;=MIN(MAX(1,N(E1846)),MAX(0,INT((Config!$B$8-L1846)/30)+1)),IF(N(G1846)&gt;=MAX(1,N(E1846)),"Conferido","Conferido até aqui"),"A conferir")))</f>
        <v/>
      </c>
      <c r="S1846" s="51">
        <f>IF(R1846="A conferir",(Config!$B$8-L1846)*1000+N(F1846)/1000+ROW()/100000,0)</f>
        <v>0</v>
      </c>
      <c r="T1846" s="51">
        <f>IF(R1846="A conferir",N(N1846),0)</f>
        <v>0</v>
      </c>
      <c r="U1846" s="51">
        <f>IF(L1846="",0,L1846)</f>
        <v>0</v>
      </c>
      <c r="V1846" s="51">
        <f>IF(L1846="",0,MAX(1,N(E1846)))</f>
        <v>0</v>
      </c>
      <c r="W1846" s="51">
        <f>IF(K1846="",0,K1846)</f>
        <v>0</v>
      </c>
    </row>
    <row r="1847">
      <c r="A1847" s="49" t="n"/>
      <c r="B1847" s="41" t="n"/>
      <c r="C1847" s="41" t="n"/>
      <c r="D1847" s="42" t="n"/>
      <c r="E1847" s="42" t="n"/>
      <c r="F1847" s="50" t="n"/>
      <c r="G1847" s="42" t="n"/>
      <c r="H1847" s="30">
        <f>IF(D1847="","",IFERROR(INDEX(Config!$B$12:$B$15,MATCH(IF(AND(D1847="Cartão de crédito",N(E1847)&gt;1),"Cartão de crédito parcelado",D1847),Config!$A$12:$A$15,0)),0)+IF(AND(Config!$B$17="Sim",LEFT(D1847,17)="Cartão de crédito"),Config!$B$18*IFERROR(INDEX(Config!$C$12:$C$15,MATCH(IF(AND(D1847="Cartão de crédito",N(E1847)&gt;1),"Cartão de crédito parcelado",D1847),Config!$A$12:$A$15,0)),0)/30*MAX(1,N(E1847)),0))</f>
        <v/>
      </c>
      <c r="I1847" s="29">
        <f>IF(OR(D1847="",F1847=""),"",ROUND(F1847*H1847,2))</f>
        <v/>
      </c>
      <c r="J1847" s="29">
        <f>IF(I1847="","",F1847-I1847)</f>
        <v/>
      </c>
      <c r="K1847" s="29">
        <f>IF(J1847="","",J1847/MAX(1,N(E1847)))</f>
        <v/>
      </c>
      <c r="L1847" s="37">
        <f>IF(OR(D1847="",A1847=""),"",A1847+IF(AND(Config!$B$17="Sim",LEFT(D1847,17)="Cartão de crédito"),1,IFERROR(INDEX(Config!$C$12:$C$15,MATCH(IF(AND(D1847="Cartão de crédito",N(E1847)&gt;1),"Cartão de crédito parcelado",D1847),Config!$A$12:$A$15,0)),0)))</f>
        <v/>
      </c>
      <c r="M1847" s="37">
        <f>IF(L1847="","",IF(AND(Config!$B$17="Sim",LEFT(D1847,17)="Cartão de crédito"),L1847,L1847+30*(MAX(1,N(E1847))-1)))</f>
        <v/>
      </c>
      <c r="N1847" s="29">
        <f>IF(OR(L1847="",K1847=""),"",K1847*MIN(MAX(1,N(E1847)),MAX(0,INT((Config!$B$8-L1847)/30)+1)))</f>
        <v/>
      </c>
      <c r="O1847" s="29">
        <f>IF(J1847="","",J1847-N(N1847))</f>
        <v/>
      </c>
      <c r="P1847" s="27">
        <f>IF(A1847="","",MONTH(A1847))</f>
        <v/>
      </c>
      <c r="Q1847" s="27">
        <f>IF(A1847="","",YEAR(A1847))</f>
        <v/>
      </c>
      <c r="R1847" s="27">
        <f>IF(L1847="","",IF(L1847&gt;Config!$B$8,"A cair",IF(N(G1847)&gt;=MIN(MAX(1,N(E1847)),MAX(0,INT((Config!$B$8-L1847)/30)+1)),IF(N(G1847)&gt;=MAX(1,N(E1847)),"Conferido","Conferido até aqui"),"A conferir")))</f>
        <v/>
      </c>
      <c r="S1847" s="51">
        <f>IF(R1847="A conferir",(Config!$B$8-L1847)*1000+N(F1847)/1000+ROW()/100000,0)</f>
        <v>0</v>
      </c>
      <c r="T1847" s="51">
        <f>IF(R1847="A conferir",N(N1847),0)</f>
        <v>0</v>
      </c>
      <c r="U1847" s="51">
        <f>IF(L1847="",0,L1847)</f>
        <v>0</v>
      </c>
      <c r="V1847" s="51">
        <f>IF(L1847="",0,MAX(1,N(E1847)))</f>
        <v>0</v>
      </c>
      <c r="W1847" s="51">
        <f>IF(K1847="",0,K1847)</f>
        <v>0</v>
      </c>
    </row>
    <row r="1848">
      <c r="A1848" s="49" t="n"/>
      <c r="B1848" s="41" t="n"/>
      <c r="C1848" s="41" t="n"/>
      <c r="D1848" s="42" t="n"/>
      <c r="E1848" s="42" t="n"/>
      <c r="F1848" s="50" t="n"/>
      <c r="G1848" s="42" t="n"/>
      <c r="H1848" s="30">
        <f>IF(D1848="","",IFERROR(INDEX(Config!$B$12:$B$15,MATCH(IF(AND(D1848="Cartão de crédito",N(E1848)&gt;1),"Cartão de crédito parcelado",D1848),Config!$A$12:$A$15,0)),0)+IF(AND(Config!$B$17="Sim",LEFT(D1848,17)="Cartão de crédito"),Config!$B$18*IFERROR(INDEX(Config!$C$12:$C$15,MATCH(IF(AND(D1848="Cartão de crédito",N(E1848)&gt;1),"Cartão de crédito parcelado",D1848),Config!$A$12:$A$15,0)),0)/30*MAX(1,N(E1848)),0))</f>
        <v/>
      </c>
      <c r="I1848" s="29">
        <f>IF(OR(D1848="",F1848=""),"",ROUND(F1848*H1848,2))</f>
        <v/>
      </c>
      <c r="J1848" s="29">
        <f>IF(I1848="","",F1848-I1848)</f>
        <v/>
      </c>
      <c r="K1848" s="29">
        <f>IF(J1848="","",J1848/MAX(1,N(E1848)))</f>
        <v/>
      </c>
      <c r="L1848" s="37">
        <f>IF(OR(D1848="",A1848=""),"",A1848+IF(AND(Config!$B$17="Sim",LEFT(D1848,17)="Cartão de crédito"),1,IFERROR(INDEX(Config!$C$12:$C$15,MATCH(IF(AND(D1848="Cartão de crédito",N(E1848)&gt;1),"Cartão de crédito parcelado",D1848),Config!$A$12:$A$15,0)),0)))</f>
        <v/>
      </c>
      <c r="M1848" s="37">
        <f>IF(L1848="","",IF(AND(Config!$B$17="Sim",LEFT(D1848,17)="Cartão de crédito"),L1848,L1848+30*(MAX(1,N(E1848))-1)))</f>
        <v/>
      </c>
      <c r="N1848" s="29">
        <f>IF(OR(L1848="",K1848=""),"",K1848*MIN(MAX(1,N(E1848)),MAX(0,INT((Config!$B$8-L1848)/30)+1)))</f>
        <v/>
      </c>
      <c r="O1848" s="29">
        <f>IF(J1848="","",J1848-N(N1848))</f>
        <v/>
      </c>
      <c r="P1848" s="27">
        <f>IF(A1848="","",MONTH(A1848))</f>
        <v/>
      </c>
      <c r="Q1848" s="27">
        <f>IF(A1848="","",YEAR(A1848))</f>
        <v/>
      </c>
      <c r="R1848" s="27">
        <f>IF(L1848="","",IF(L1848&gt;Config!$B$8,"A cair",IF(N(G1848)&gt;=MIN(MAX(1,N(E1848)),MAX(0,INT((Config!$B$8-L1848)/30)+1)),IF(N(G1848)&gt;=MAX(1,N(E1848)),"Conferido","Conferido até aqui"),"A conferir")))</f>
        <v/>
      </c>
      <c r="S1848" s="51">
        <f>IF(R1848="A conferir",(Config!$B$8-L1848)*1000+N(F1848)/1000+ROW()/100000,0)</f>
        <v>0</v>
      </c>
      <c r="T1848" s="51">
        <f>IF(R1848="A conferir",N(N1848),0)</f>
        <v>0</v>
      </c>
      <c r="U1848" s="51">
        <f>IF(L1848="",0,L1848)</f>
        <v>0</v>
      </c>
      <c r="V1848" s="51">
        <f>IF(L1848="",0,MAX(1,N(E1848)))</f>
        <v>0</v>
      </c>
      <c r="W1848" s="51">
        <f>IF(K1848="",0,K1848)</f>
        <v>0</v>
      </c>
    </row>
    <row r="1849">
      <c r="A1849" s="49" t="n"/>
      <c r="B1849" s="41" t="n"/>
      <c r="C1849" s="41" t="n"/>
      <c r="D1849" s="42" t="n"/>
      <c r="E1849" s="42" t="n"/>
      <c r="F1849" s="50" t="n"/>
      <c r="G1849" s="42" t="n"/>
      <c r="H1849" s="30">
        <f>IF(D1849="","",IFERROR(INDEX(Config!$B$12:$B$15,MATCH(IF(AND(D1849="Cartão de crédito",N(E1849)&gt;1),"Cartão de crédito parcelado",D1849),Config!$A$12:$A$15,0)),0)+IF(AND(Config!$B$17="Sim",LEFT(D1849,17)="Cartão de crédito"),Config!$B$18*IFERROR(INDEX(Config!$C$12:$C$15,MATCH(IF(AND(D1849="Cartão de crédito",N(E1849)&gt;1),"Cartão de crédito parcelado",D1849),Config!$A$12:$A$15,0)),0)/30*MAX(1,N(E1849)),0))</f>
        <v/>
      </c>
      <c r="I1849" s="29">
        <f>IF(OR(D1849="",F1849=""),"",ROUND(F1849*H1849,2))</f>
        <v/>
      </c>
      <c r="J1849" s="29">
        <f>IF(I1849="","",F1849-I1849)</f>
        <v/>
      </c>
      <c r="K1849" s="29">
        <f>IF(J1849="","",J1849/MAX(1,N(E1849)))</f>
        <v/>
      </c>
      <c r="L1849" s="37">
        <f>IF(OR(D1849="",A1849=""),"",A1849+IF(AND(Config!$B$17="Sim",LEFT(D1849,17)="Cartão de crédito"),1,IFERROR(INDEX(Config!$C$12:$C$15,MATCH(IF(AND(D1849="Cartão de crédito",N(E1849)&gt;1),"Cartão de crédito parcelado",D1849),Config!$A$12:$A$15,0)),0)))</f>
        <v/>
      </c>
      <c r="M1849" s="37">
        <f>IF(L1849="","",IF(AND(Config!$B$17="Sim",LEFT(D1849,17)="Cartão de crédito"),L1849,L1849+30*(MAX(1,N(E1849))-1)))</f>
        <v/>
      </c>
      <c r="N1849" s="29">
        <f>IF(OR(L1849="",K1849=""),"",K1849*MIN(MAX(1,N(E1849)),MAX(0,INT((Config!$B$8-L1849)/30)+1)))</f>
        <v/>
      </c>
      <c r="O1849" s="29">
        <f>IF(J1849="","",J1849-N(N1849))</f>
        <v/>
      </c>
      <c r="P1849" s="27">
        <f>IF(A1849="","",MONTH(A1849))</f>
        <v/>
      </c>
      <c r="Q1849" s="27">
        <f>IF(A1849="","",YEAR(A1849))</f>
        <v/>
      </c>
      <c r="R1849" s="27">
        <f>IF(L1849="","",IF(L1849&gt;Config!$B$8,"A cair",IF(N(G1849)&gt;=MIN(MAX(1,N(E1849)),MAX(0,INT((Config!$B$8-L1849)/30)+1)),IF(N(G1849)&gt;=MAX(1,N(E1849)),"Conferido","Conferido até aqui"),"A conferir")))</f>
        <v/>
      </c>
      <c r="S1849" s="51">
        <f>IF(R1849="A conferir",(Config!$B$8-L1849)*1000+N(F1849)/1000+ROW()/100000,0)</f>
        <v>0</v>
      </c>
      <c r="T1849" s="51">
        <f>IF(R1849="A conferir",N(N1849),0)</f>
        <v>0</v>
      </c>
      <c r="U1849" s="51">
        <f>IF(L1849="",0,L1849)</f>
        <v>0</v>
      </c>
      <c r="V1849" s="51">
        <f>IF(L1849="",0,MAX(1,N(E1849)))</f>
        <v>0</v>
      </c>
      <c r="W1849" s="51">
        <f>IF(K1849="",0,K1849)</f>
        <v>0</v>
      </c>
    </row>
    <row r="1850">
      <c r="A1850" s="49" t="n"/>
      <c r="B1850" s="41" t="n"/>
      <c r="C1850" s="41" t="n"/>
      <c r="D1850" s="42" t="n"/>
      <c r="E1850" s="42" t="n"/>
      <c r="F1850" s="50" t="n"/>
      <c r="G1850" s="42" t="n"/>
      <c r="H1850" s="30">
        <f>IF(D1850="","",IFERROR(INDEX(Config!$B$12:$B$15,MATCH(IF(AND(D1850="Cartão de crédito",N(E1850)&gt;1),"Cartão de crédito parcelado",D1850),Config!$A$12:$A$15,0)),0)+IF(AND(Config!$B$17="Sim",LEFT(D1850,17)="Cartão de crédito"),Config!$B$18*IFERROR(INDEX(Config!$C$12:$C$15,MATCH(IF(AND(D1850="Cartão de crédito",N(E1850)&gt;1),"Cartão de crédito parcelado",D1850),Config!$A$12:$A$15,0)),0)/30*MAX(1,N(E1850)),0))</f>
        <v/>
      </c>
      <c r="I1850" s="29">
        <f>IF(OR(D1850="",F1850=""),"",ROUND(F1850*H1850,2))</f>
        <v/>
      </c>
      <c r="J1850" s="29">
        <f>IF(I1850="","",F1850-I1850)</f>
        <v/>
      </c>
      <c r="K1850" s="29">
        <f>IF(J1850="","",J1850/MAX(1,N(E1850)))</f>
        <v/>
      </c>
      <c r="L1850" s="37">
        <f>IF(OR(D1850="",A1850=""),"",A1850+IF(AND(Config!$B$17="Sim",LEFT(D1850,17)="Cartão de crédito"),1,IFERROR(INDEX(Config!$C$12:$C$15,MATCH(IF(AND(D1850="Cartão de crédito",N(E1850)&gt;1),"Cartão de crédito parcelado",D1850),Config!$A$12:$A$15,0)),0)))</f>
        <v/>
      </c>
      <c r="M1850" s="37">
        <f>IF(L1850="","",IF(AND(Config!$B$17="Sim",LEFT(D1850,17)="Cartão de crédito"),L1850,L1850+30*(MAX(1,N(E1850))-1)))</f>
        <v/>
      </c>
      <c r="N1850" s="29">
        <f>IF(OR(L1850="",K1850=""),"",K1850*MIN(MAX(1,N(E1850)),MAX(0,INT((Config!$B$8-L1850)/30)+1)))</f>
        <v/>
      </c>
      <c r="O1850" s="29">
        <f>IF(J1850="","",J1850-N(N1850))</f>
        <v/>
      </c>
      <c r="P1850" s="27">
        <f>IF(A1850="","",MONTH(A1850))</f>
        <v/>
      </c>
      <c r="Q1850" s="27">
        <f>IF(A1850="","",YEAR(A1850))</f>
        <v/>
      </c>
      <c r="R1850" s="27">
        <f>IF(L1850="","",IF(L1850&gt;Config!$B$8,"A cair",IF(N(G1850)&gt;=MIN(MAX(1,N(E1850)),MAX(0,INT((Config!$B$8-L1850)/30)+1)),IF(N(G1850)&gt;=MAX(1,N(E1850)),"Conferido","Conferido até aqui"),"A conferir")))</f>
        <v/>
      </c>
      <c r="S1850" s="51">
        <f>IF(R1850="A conferir",(Config!$B$8-L1850)*1000+N(F1850)/1000+ROW()/100000,0)</f>
        <v>0</v>
      </c>
      <c r="T1850" s="51">
        <f>IF(R1850="A conferir",N(N1850),0)</f>
        <v>0</v>
      </c>
      <c r="U1850" s="51">
        <f>IF(L1850="",0,L1850)</f>
        <v>0</v>
      </c>
      <c r="V1850" s="51">
        <f>IF(L1850="",0,MAX(1,N(E1850)))</f>
        <v>0</v>
      </c>
      <c r="W1850" s="51">
        <f>IF(K1850="",0,K1850)</f>
        <v>0</v>
      </c>
    </row>
    <row r="1851">
      <c r="A1851" s="49" t="n"/>
      <c r="B1851" s="41" t="n"/>
      <c r="C1851" s="41" t="n"/>
      <c r="D1851" s="42" t="n"/>
      <c r="E1851" s="42" t="n"/>
      <c r="F1851" s="50" t="n"/>
      <c r="G1851" s="42" t="n"/>
      <c r="H1851" s="30">
        <f>IF(D1851="","",IFERROR(INDEX(Config!$B$12:$B$15,MATCH(IF(AND(D1851="Cartão de crédito",N(E1851)&gt;1),"Cartão de crédito parcelado",D1851),Config!$A$12:$A$15,0)),0)+IF(AND(Config!$B$17="Sim",LEFT(D1851,17)="Cartão de crédito"),Config!$B$18*IFERROR(INDEX(Config!$C$12:$C$15,MATCH(IF(AND(D1851="Cartão de crédito",N(E1851)&gt;1),"Cartão de crédito parcelado",D1851),Config!$A$12:$A$15,0)),0)/30*MAX(1,N(E1851)),0))</f>
        <v/>
      </c>
      <c r="I1851" s="29">
        <f>IF(OR(D1851="",F1851=""),"",ROUND(F1851*H1851,2))</f>
        <v/>
      </c>
      <c r="J1851" s="29">
        <f>IF(I1851="","",F1851-I1851)</f>
        <v/>
      </c>
      <c r="K1851" s="29">
        <f>IF(J1851="","",J1851/MAX(1,N(E1851)))</f>
        <v/>
      </c>
      <c r="L1851" s="37">
        <f>IF(OR(D1851="",A1851=""),"",A1851+IF(AND(Config!$B$17="Sim",LEFT(D1851,17)="Cartão de crédito"),1,IFERROR(INDEX(Config!$C$12:$C$15,MATCH(IF(AND(D1851="Cartão de crédito",N(E1851)&gt;1),"Cartão de crédito parcelado",D1851),Config!$A$12:$A$15,0)),0)))</f>
        <v/>
      </c>
      <c r="M1851" s="37">
        <f>IF(L1851="","",IF(AND(Config!$B$17="Sim",LEFT(D1851,17)="Cartão de crédito"),L1851,L1851+30*(MAX(1,N(E1851))-1)))</f>
        <v/>
      </c>
      <c r="N1851" s="29">
        <f>IF(OR(L1851="",K1851=""),"",K1851*MIN(MAX(1,N(E1851)),MAX(0,INT((Config!$B$8-L1851)/30)+1)))</f>
        <v/>
      </c>
      <c r="O1851" s="29">
        <f>IF(J1851="","",J1851-N(N1851))</f>
        <v/>
      </c>
      <c r="P1851" s="27">
        <f>IF(A1851="","",MONTH(A1851))</f>
        <v/>
      </c>
      <c r="Q1851" s="27">
        <f>IF(A1851="","",YEAR(A1851))</f>
        <v/>
      </c>
      <c r="R1851" s="27">
        <f>IF(L1851="","",IF(L1851&gt;Config!$B$8,"A cair",IF(N(G1851)&gt;=MIN(MAX(1,N(E1851)),MAX(0,INT((Config!$B$8-L1851)/30)+1)),IF(N(G1851)&gt;=MAX(1,N(E1851)),"Conferido","Conferido até aqui"),"A conferir")))</f>
        <v/>
      </c>
      <c r="S1851" s="51">
        <f>IF(R1851="A conferir",(Config!$B$8-L1851)*1000+N(F1851)/1000+ROW()/100000,0)</f>
        <v>0</v>
      </c>
      <c r="T1851" s="51">
        <f>IF(R1851="A conferir",N(N1851),0)</f>
        <v>0</v>
      </c>
      <c r="U1851" s="51">
        <f>IF(L1851="",0,L1851)</f>
        <v>0</v>
      </c>
      <c r="V1851" s="51">
        <f>IF(L1851="",0,MAX(1,N(E1851)))</f>
        <v>0</v>
      </c>
      <c r="W1851" s="51">
        <f>IF(K1851="",0,K1851)</f>
        <v>0</v>
      </c>
    </row>
    <row r="1852">
      <c r="A1852" s="49" t="n"/>
      <c r="B1852" s="41" t="n"/>
      <c r="C1852" s="41" t="n"/>
      <c r="D1852" s="42" t="n"/>
      <c r="E1852" s="42" t="n"/>
      <c r="F1852" s="50" t="n"/>
      <c r="G1852" s="42" t="n"/>
      <c r="H1852" s="30">
        <f>IF(D1852="","",IFERROR(INDEX(Config!$B$12:$B$15,MATCH(IF(AND(D1852="Cartão de crédito",N(E1852)&gt;1),"Cartão de crédito parcelado",D1852),Config!$A$12:$A$15,0)),0)+IF(AND(Config!$B$17="Sim",LEFT(D1852,17)="Cartão de crédito"),Config!$B$18*IFERROR(INDEX(Config!$C$12:$C$15,MATCH(IF(AND(D1852="Cartão de crédito",N(E1852)&gt;1),"Cartão de crédito parcelado",D1852),Config!$A$12:$A$15,0)),0)/30*MAX(1,N(E1852)),0))</f>
        <v/>
      </c>
      <c r="I1852" s="29">
        <f>IF(OR(D1852="",F1852=""),"",ROUND(F1852*H1852,2))</f>
        <v/>
      </c>
      <c r="J1852" s="29">
        <f>IF(I1852="","",F1852-I1852)</f>
        <v/>
      </c>
      <c r="K1852" s="29">
        <f>IF(J1852="","",J1852/MAX(1,N(E1852)))</f>
        <v/>
      </c>
      <c r="L1852" s="37">
        <f>IF(OR(D1852="",A1852=""),"",A1852+IF(AND(Config!$B$17="Sim",LEFT(D1852,17)="Cartão de crédito"),1,IFERROR(INDEX(Config!$C$12:$C$15,MATCH(IF(AND(D1852="Cartão de crédito",N(E1852)&gt;1),"Cartão de crédito parcelado",D1852),Config!$A$12:$A$15,0)),0)))</f>
        <v/>
      </c>
      <c r="M1852" s="37">
        <f>IF(L1852="","",IF(AND(Config!$B$17="Sim",LEFT(D1852,17)="Cartão de crédito"),L1852,L1852+30*(MAX(1,N(E1852))-1)))</f>
        <v/>
      </c>
      <c r="N1852" s="29">
        <f>IF(OR(L1852="",K1852=""),"",K1852*MIN(MAX(1,N(E1852)),MAX(0,INT((Config!$B$8-L1852)/30)+1)))</f>
        <v/>
      </c>
      <c r="O1852" s="29">
        <f>IF(J1852="","",J1852-N(N1852))</f>
        <v/>
      </c>
      <c r="P1852" s="27">
        <f>IF(A1852="","",MONTH(A1852))</f>
        <v/>
      </c>
      <c r="Q1852" s="27">
        <f>IF(A1852="","",YEAR(A1852))</f>
        <v/>
      </c>
      <c r="R1852" s="27">
        <f>IF(L1852="","",IF(L1852&gt;Config!$B$8,"A cair",IF(N(G1852)&gt;=MIN(MAX(1,N(E1852)),MAX(0,INT((Config!$B$8-L1852)/30)+1)),IF(N(G1852)&gt;=MAX(1,N(E1852)),"Conferido","Conferido até aqui"),"A conferir")))</f>
        <v/>
      </c>
      <c r="S1852" s="51">
        <f>IF(R1852="A conferir",(Config!$B$8-L1852)*1000+N(F1852)/1000+ROW()/100000,0)</f>
        <v>0</v>
      </c>
      <c r="T1852" s="51">
        <f>IF(R1852="A conferir",N(N1852),0)</f>
        <v>0</v>
      </c>
      <c r="U1852" s="51">
        <f>IF(L1852="",0,L1852)</f>
        <v>0</v>
      </c>
      <c r="V1852" s="51">
        <f>IF(L1852="",0,MAX(1,N(E1852)))</f>
        <v>0</v>
      </c>
      <c r="W1852" s="51">
        <f>IF(K1852="",0,K1852)</f>
        <v>0</v>
      </c>
    </row>
    <row r="1853">
      <c r="A1853" s="49" t="n"/>
      <c r="B1853" s="41" t="n"/>
      <c r="C1853" s="41" t="n"/>
      <c r="D1853" s="42" t="n"/>
      <c r="E1853" s="42" t="n"/>
      <c r="F1853" s="50" t="n"/>
      <c r="G1853" s="42" t="n"/>
      <c r="H1853" s="30">
        <f>IF(D1853="","",IFERROR(INDEX(Config!$B$12:$B$15,MATCH(IF(AND(D1853="Cartão de crédito",N(E1853)&gt;1),"Cartão de crédito parcelado",D1853),Config!$A$12:$A$15,0)),0)+IF(AND(Config!$B$17="Sim",LEFT(D1853,17)="Cartão de crédito"),Config!$B$18*IFERROR(INDEX(Config!$C$12:$C$15,MATCH(IF(AND(D1853="Cartão de crédito",N(E1853)&gt;1),"Cartão de crédito parcelado",D1853),Config!$A$12:$A$15,0)),0)/30*MAX(1,N(E1853)),0))</f>
        <v/>
      </c>
      <c r="I1853" s="29">
        <f>IF(OR(D1853="",F1853=""),"",ROUND(F1853*H1853,2))</f>
        <v/>
      </c>
      <c r="J1853" s="29">
        <f>IF(I1853="","",F1853-I1853)</f>
        <v/>
      </c>
      <c r="K1853" s="29">
        <f>IF(J1853="","",J1853/MAX(1,N(E1853)))</f>
        <v/>
      </c>
      <c r="L1853" s="37">
        <f>IF(OR(D1853="",A1853=""),"",A1853+IF(AND(Config!$B$17="Sim",LEFT(D1853,17)="Cartão de crédito"),1,IFERROR(INDEX(Config!$C$12:$C$15,MATCH(IF(AND(D1853="Cartão de crédito",N(E1853)&gt;1),"Cartão de crédito parcelado",D1853),Config!$A$12:$A$15,0)),0)))</f>
        <v/>
      </c>
      <c r="M1853" s="37">
        <f>IF(L1853="","",IF(AND(Config!$B$17="Sim",LEFT(D1853,17)="Cartão de crédito"),L1853,L1853+30*(MAX(1,N(E1853))-1)))</f>
        <v/>
      </c>
      <c r="N1853" s="29">
        <f>IF(OR(L1853="",K1853=""),"",K1853*MIN(MAX(1,N(E1853)),MAX(0,INT((Config!$B$8-L1853)/30)+1)))</f>
        <v/>
      </c>
      <c r="O1853" s="29">
        <f>IF(J1853="","",J1853-N(N1853))</f>
        <v/>
      </c>
      <c r="P1853" s="27">
        <f>IF(A1853="","",MONTH(A1853))</f>
        <v/>
      </c>
      <c r="Q1853" s="27">
        <f>IF(A1853="","",YEAR(A1853))</f>
        <v/>
      </c>
      <c r="R1853" s="27">
        <f>IF(L1853="","",IF(L1853&gt;Config!$B$8,"A cair",IF(N(G1853)&gt;=MIN(MAX(1,N(E1853)),MAX(0,INT((Config!$B$8-L1853)/30)+1)),IF(N(G1853)&gt;=MAX(1,N(E1853)),"Conferido","Conferido até aqui"),"A conferir")))</f>
        <v/>
      </c>
      <c r="S1853" s="51">
        <f>IF(R1853="A conferir",(Config!$B$8-L1853)*1000+N(F1853)/1000+ROW()/100000,0)</f>
        <v>0</v>
      </c>
      <c r="T1853" s="51">
        <f>IF(R1853="A conferir",N(N1853),0)</f>
        <v>0</v>
      </c>
      <c r="U1853" s="51">
        <f>IF(L1853="",0,L1853)</f>
        <v>0</v>
      </c>
      <c r="V1853" s="51">
        <f>IF(L1853="",0,MAX(1,N(E1853)))</f>
        <v>0</v>
      </c>
      <c r="W1853" s="51">
        <f>IF(K1853="",0,K1853)</f>
        <v>0</v>
      </c>
    </row>
    <row r="1854">
      <c r="A1854" s="49" t="n"/>
      <c r="B1854" s="41" t="n"/>
      <c r="C1854" s="41" t="n"/>
      <c r="D1854" s="42" t="n"/>
      <c r="E1854" s="42" t="n"/>
      <c r="F1854" s="50" t="n"/>
      <c r="G1854" s="42" t="n"/>
      <c r="H1854" s="30">
        <f>IF(D1854="","",IFERROR(INDEX(Config!$B$12:$B$15,MATCH(IF(AND(D1854="Cartão de crédito",N(E1854)&gt;1),"Cartão de crédito parcelado",D1854),Config!$A$12:$A$15,0)),0)+IF(AND(Config!$B$17="Sim",LEFT(D1854,17)="Cartão de crédito"),Config!$B$18*IFERROR(INDEX(Config!$C$12:$C$15,MATCH(IF(AND(D1854="Cartão de crédito",N(E1854)&gt;1),"Cartão de crédito parcelado",D1854),Config!$A$12:$A$15,0)),0)/30*MAX(1,N(E1854)),0))</f>
        <v/>
      </c>
      <c r="I1854" s="29">
        <f>IF(OR(D1854="",F1854=""),"",ROUND(F1854*H1854,2))</f>
        <v/>
      </c>
      <c r="J1854" s="29">
        <f>IF(I1854="","",F1854-I1854)</f>
        <v/>
      </c>
      <c r="K1854" s="29">
        <f>IF(J1854="","",J1854/MAX(1,N(E1854)))</f>
        <v/>
      </c>
      <c r="L1854" s="37">
        <f>IF(OR(D1854="",A1854=""),"",A1854+IF(AND(Config!$B$17="Sim",LEFT(D1854,17)="Cartão de crédito"),1,IFERROR(INDEX(Config!$C$12:$C$15,MATCH(IF(AND(D1854="Cartão de crédito",N(E1854)&gt;1),"Cartão de crédito parcelado",D1854),Config!$A$12:$A$15,0)),0)))</f>
        <v/>
      </c>
      <c r="M1854" s="37">
        <f>IF(L1854="","",IF(AND(Config!$B$17="Sim",LEFT(D1854,17)="Cartão de crédito"),L1854,L1854+30*(MAX(1,N(E1854))-1)))</f>
        <v/>
      </c>
      <c r="N1854" s="29">
        <f>IF(OR(L1854="",K1854=""),"",K1854*MIN(MAX(1,N(E1854)),MAX(0,INT((Config!$B$8-L1854)/30)+1)))</f>
        <v/>
      </c>
      <c r="O1854" s="29">
        <f>IF(J1854="","",J1854-N(N1854))</f>
        <v/>
      </c>
      <c r="P1854" s="27">
        <f>IF(A1854="","",MONTH(A1854))</f>
        <v/>
      </c>
      <c r="Q1854" s="27">
        <f>IF(A1854="","",YEAR(A1854))</f>
        <v/>
      </c>
      <c r="R1854" s="27">
        <f>IF(L1854="","",IF(L1854&gt;Config!$B$8,"A cair",IF(N(G1854)&gt;=MIN(MAX(1,N(E1854)),MAX(0,INT((Config!$B$8-L1854)/30)+1)),IF(N(G1854)&gt;=MAX(1,N(E1854)),"Conferido","Conferido até aqui"),"A conferir")))</f>
        <v/>
      </c>
      <c r="S1854" s="51">
        <f>IF(R1854="A conferir",(Config!$B$8-L1854)*1000+N(F1854)/1000+ROW()/100000,0)</f>
        <v>0</v>
      </c>
      <c r="T1854" s="51">
        <f>IF(R1854="A conferir",N(N1854),0)</f>
        <v>0</v>
      </c>
      <c r="U1854" s="51">
        <f>IF(L1854="",0,L1854)</f>
        <v>0</v>
      </c>
      <c r="V1854" s="51">
        <f>IF(L1854="",0,MAX(1,N(E1854)))</f>
        <v>0</v>
      </c>
      <c r="W1854" s="51">
        <f>IF(K1854="",0,K1854)</f>
        <v>0</v>
      </c>
    </row>
    <row r="1855">
      <c r="A1855" s="49" t="n"/>
      <c r="B1855" s="41" t="n"/>
      <c r="C1855" s="41" t="n"/>
      <c r="D1855" s="42" t="n"/>
      <c r="E1855" s="42" t="n"/>
      <c r="F1855" s="50" t="n"/>
      <c r="G1855" s="42" t="n"/>
      <c r="H1855" s="30">
        <f>IF(D1855="","",IFERROR(INDEX(Config!$B$12:$B$15,MATCH(IF(AND(D1855="Cartão de crédito",N(E1855)&gt;1),"Cartão de crédito parcelado",D1855),Config!$A$12:$A$15,0)),0)+IF(AND(Config!$B$17="Sim",LEFT(D1855,17)="Cartão de crédito"),Config!$B$18*IFERROR(INDEX(Config!$C$12:$C$15,MATCH(IF(AND(D1855="Cartão de crédito",N(E1855)&gt;1),"Cartão de crédito parcelado",D1855),Config!$A$12:$A$15,0)),0)/30*MAX(1,N(E1855)),0))</f>
        <v/>
      </c>
      <c r="I1855" s="29">
        <f>IF(OR(D1855="",F1855=""),"",ROUND(F1855*H1855,2))</f>
        <v/>
      </c>
      <c r="J1855" s="29">
        <f>IF(I1855="","",F1855-I1855)</f>
        <v/>
      </c>
      <c r="K1855" s="29">
        <f>IF(J1855="","",J1855/MAX(1,N(E1855)))</f>
        <v/>
      </c>
      <c r="L1855" s="37">
        <f>IF(OR(D1855="",A1855=""),"",A1855+IF(AND(Config!$B$17="Sim",LEFT(D1855,17)="Cartão de crédito"),1,IFERROR(INDEX(Config!$C$12:$C$15,MATCH(IF(AND(D1855="Cartão de crédito",N(E1855)&gt;1),"Cartão de crédito parcelado",D1855),Config!$A$12:$A$15,0)),0)))</f>
        <v/>
      </c>
      <c r="M1855" s="37">
        <f>IF(L1855="","",IF(AND(Config!$B$17="Sim",LEFT(D1855,17)="Cartão de crédito"),L1855,L1855+30*(MAX(1,N(E1855))-1)))</f>
        <v/>
      </c>
      <c r="N1855" s="29">
        <f>IF(OR(L1855="",K1855=""),"",K1855*MIN(MAX(1,N(E1855)),MAX(0,INT((Config!$B$8-L1855)/30)+1)))</f>
        <v/>
      </c>
      <c r="O1855" s="29">
        <f>IF(J1855="","",J1855-N(N1855))</f>
        <v/>
      </c>
      <c r="P1855" s="27">
        <f>IF(A1855="","",MONTH(A1855))</f>
        <v/>
      </c>
      <c r="Q1855" s="27">
        <f>IF(A1855="","",YEAR(A1855))</f>
        <v/>
      </c>
      <c r="R1855" s="27">
        <f>IF(L1855="","",IF(L1855&gt;Config!$B$8,"A cair",IF(N(G1855)&gt;=MIN(MAX(1,N(E1855)),MAX(0,INT((Config!$B$8-L1855)/30)+1)),IF(N(G1855)&gt;=MAX(1,N(E1855)),"Conferido","Conferido até aqui"),"A conferir")))</f>
        <v/>
      </c>
      <c r="S1855" s="51">
        <f>IF(R1855="A conferir",(Config!$B$8-L1855)*1000+N(F1855)/1000+ROW()/100000,0)</f>
        <v>0</v>
      </c>
      <c r="T1855" s="51">
        <f>IF(R1855="A conferir",N(N1855),0)</f>
        <v>0</v>
      </c>
      <c r="U1855" s="51">
        <f>IF(L1855="",0,L1855)</f>
        <v>0</v>
      </c>
      <c r="V1855" s="51">
        <f>IF(L1855="",0,MAX(1,N(E1855)))</f>
        <v>0</v>
      </c>
      <c r="W1855" s="51">
        <f>IF(K1855="",0,K1855)</f>
        <v>0</v>
      </c>
    </row>
    <row r="1856">
      <c r="A1856" s="49" t="n"/>
      <c r="B1856" s="41" t="n"/>
      <c r="C1856" s="41" t="n"/>
      <c r="D1856" s="42" t="n"/>
      <c r="E1856" s="42" t="n"/>
      <c r="F1856" s="50" t="n"/>
      <c r="G1856" s="42" t="n"/>
      <c r="H1856" s="30">
        <f>IF(D1856="","",IFERROR(INDEX(Config!$B$12:$B$15,MATCH(IF(AND(D1856="Cartão de crédito",N(E1856)&gt;1),"Cartão de crédito parcelado",D1856),Config!$A$12:$A$15,0)),0)+IF(AND(Config!$B$17="Sim",LEFT(D1856,17)="Cartão de crédito"),Config!$B$18*IFERROR(INDEX(Config!$C$12:$C$15,MATCH(IF(AND(D1856="Cartão de crédito",N(E1856)&gt;1),"Cartão de crédito parcelado",D1856),Config!$A$12:$A$15,0)),0)/30*MAX(1,N(E1856)),0))</f>
        <v/>
      </c>
      <c r="I1856" s="29">
        <f>IF(OR(D1856="",F1856=""),"",ROUND(F1856*H1856,2))</f>
        <v/>
      </c>
      <c r="J1856" s="29">
        <f>IF(I1856="","",F1856-I1856)</f>
        <v/>
      </c>
      <c r="K1856" s="29">
        <f>IF(J1856="","",J1856/MAX(1,N(E1856)))</f>
        <v/>
      </c>
      <c r="L1856" s="37">
        <f>IF(OR(D1856="",A1856=""),"",A1856+IF(AND(Config!$B$17="Sim",LEFT(D1856,17)="Cartão de crédito"),1,IFERROR(INDEX(Config!$C$12:$C$15,MATCH(IF(AND(D1856="Cartão de crédito",N(E1856)&gt;1),"Cartão de crédito parcelado",D1856),Config!$A$12:$A$15,0)),0)))</f>
        <v/>
      </c>
      <c r="M1856" s="37">
        <f>IF(L1856="","",IF(AND(Config!$B$17="Sim",LEFT(D1856,17)="Cartão de crédito"),L1856,L1856+30*(MAX(1,N(E1856))-1)))</f>
        <v/>
      </c>
      <c r="N1856" s="29">
        <f>IF(OR(L1856="",K1856=""),"",K1856*MIN(MAX(1,N(E1856)),MAX(0,INT((Config!$B$8-L1856)/30)+1)))</f>
        <v/>
      </c>
      <c r="O1856" s="29">
        <f>IF(J1856="","",J1856-N(N1856))</f>
        <v/>
      </c>
      <c r="P1856" s="27">
        <f>IF(A1856="","",MONTH(A1856))</f>
        <v/>
      </c>
      <c r="Q1856" s="27">
        <f>IF(A1856="","",YEAR(A1856))</f>
        <v/>
      </c>
      <c r="R1856" s="27">
        <f>IF(L1856="","",IF(L1856&gt;Config!$B$8,"A cair",IF(N(G1856)&gt;=MIN(MAX(1,N(E1856)),MAX(0,INT((Config!$B$8-L1856)/30)+1)),IF(N(G1856)&gt;=MAX(1,N(E1856)),"Conferido","Conferido até aqui"),"A conferir")))</f>
        <v/>
      </c>
      <c r="S1856" s="51">
        <f>IF(R1856="A conferir",(Config!$B$8-L1856)*1000+N(F1856)/1000+ROW()/100000,0)</f>
        <v>0</v>
      </c>
      <c r="T1856" s="51">
        <f>IF(R1856="A conferir",N(N1856),0)</f>
        <v>0</v>
      </c>
      <c r="U1856" s="51">
        <f>IF(L1856="",0,L1856)</f>
        <v>0</v>
      </c>
      <c r="V1856" s="51">
        <f>IF(L1856="",0,MAX(1,N(E1856)))</f>
        <v>0</v>
      </c>
      <c r="W1856" s="51">
        <f>IF(K1856="",0,K1856)</f>
        <v>0</v>
      </c>
    </row>
    <row r="1857">
      <c r="A1857" s="49" t="n"/>
      <c r="B1857" s="41" t="n"/>
      <c r="C1857" s="41" t="n"/>
      <c r="D1857" s="42" t="n"/>
      <c r="E1857" s="42" t="n"/>
      <c r="F1857" s="50" t="n"/>
      <c r="G1857" s="42" t="n"/>
      <c r="H1857" s="30">
        <f>IF(D1857="","",IFERROR(INDEX(Config!$B$12:$B$15,MATCH(IF(AND(D1857="Cartão de crédito",N(E1857)&gt;1),"Cartão de crédito parcelado",D1857),Config!$A$12:$A$15,0)),0)+IF(AND(Config!$B$17="Sim",LEFT(D1857,17)="Cartão de crédito"),Config!$B$18*IFERROR(INDEX(Config!$C$12:$C$15,MATCH(IF(AND(D1857="Cartão de crédito",N(E1857)&gt;1),"Cartão de crédito parcelado",D1857),Config!$A$12:$A$15,0)),0)/30*MAX(1,N(E1857)),0))</f>
        <v/>
      </c>
      <c r="I1857" s="29">
        <f>IF(OR(D1857="",F1857=""),"",ROUND(F1857*H1857,2))</f>
        <v/>
      </c>
      <c r="J1857" s="29">
        <f>IF(I1857="","",F1857-I1857)</f>
        <v/>
      </c>
      <c r="K1857" s="29">
        <f>IF(J1857="","",J1857/MAX(1,N(E1857)))</f>
        <v/>
      </c>
      <c r="L1857" s="37">
        <f>IF(OR(D1857="",A1857=""),"",A1857+IF(AND(Config!$B$17="Sim",LEFT(D1857,17)="Cartão de crédito"),1,IFERROR(INDEX(Config!$C$12:$C$15,MATCH(IF(AND(D1857="Cartão de crédito",N(E1857)&gt;1),"Cartão de crédito parcelado",D1857),Config!$A$12:$A$15,0)),0)))</f>
        <v/>
      </c>
      <c r="M1857" s="37">
        <f>IF(L1857="","",IF(AND(Config!$B$17="Sim",LEFT(D1857,17)="Cartão de crédito"),L1857,L1857+30*(MAX(1,N(E1857))-1)))</f>
        <v/>
      </c>
      <c r="N1857" s="29">
        <f>IF(OR(L1857="",K1857=""),"",K1857*MIN(MAX(1,N(E1857)),MAX(0,INT((Config!$B$8-L1857)/30)+1)))</f>
        <v/>
      </c>
      <c r="O1857" s="29">
        <f>IF(J1857="","",J1857-N(N1857))</f>
        <v/>
      </c>
      <c r="P1857" s="27">
        <f>IF(A1857="","",MONTH(A1857))</f>
        <v/>
      </c>
      <c r="Q1857" s="27">
        <f>IF(A1857="","",YEAR(A1857))</f>
        <v/>
      </c>
      <c r="R1857" s="27">
        <f>IF(L1857="","",IF(L1857&gt;Config!$B$8,"A cair",IF(N(G1857)&gt;=MIN(MAX(1,N(E1857)),MAX(0,INT((Config!$B$8-L1857)/30)+1)),IF(N(G1857)&gt;=MAX(1,N(E1857)),"Conferido","Conferido até aqui"),"A conferir")))</f>
        <v/>
      </c>
      <c r="S1857" s="51">
        <f>IF(R1857="A conferir",(Config!$B$8-L1857)*1000+N(F1857)/1000+ROW()/100000,0)</f>
        <v>0</v>
      </c>
      <c r="T1857" s="51">
        <f>IF(R1857="A conferir",N(N1857),0)</f>
        <v>0</v>
      </c>
      <c r="U1857" s="51">
        <f>IF(L1857="",0,L1857)</f>
        <v>0</v>
      </c>
      <c r="V1857" s="51">
        <f>IF(L1857="",0,MAX(1,N(E1857)))</f>
        <v>0</v>
      </c>
      <c r="W1857" s="51">
        <f>IF(K1857="",0,K1857)</f>
        <v>0</v>
      </c>
    </row>
    <row r="1858">
      <c r="A1858" s="49" t="n"/>
      <c r="B1858" s="41" t="n"/>
      <c r="C1858" s="41" t="n"/>
      <c r="D1858" s="42" t="n"/>
      <c r="E1858" s="42" t="n"/>
      <c r="F1858" s="50" t="n"/>
      <c r="G1858" s="42" t="n"/>
      <c r="H1858" s="30">
        <f>IF(D1858="","",IFERROR(INDEX(Config!$B$12:$B$15,MATCH(IF(AND(D1858="Cartão de crédito",N(E1858)&gt;1),"Cartão de crédito parcelado",D1858),Config!$A$12:$A$15,0)),0)+IF(AND(Config!$B$17="Sim",LEFT(D1858,17)="Cartão de crédito"),Config!$B$18*IFERROR(INDEX(Config!$C$12:$C$15,MATCH(IF(AND(D1858="Cartão de crédito",N(E1858)&gt;1),"Cartão de crédito parcelado",D1858),Config!$A$12:$A$15,0)),0)/30*MAX(1,N(E1858)),0))</f>
        <v/>
      </c>
      <c r="I1858" s="29">
        <f>IF(OR(D1858="",F1858=""),"",ROUND(F1858*H1858,2))</f>
        <v/>
      </c>
      <c r="J1858" s="29">
        <f>IF(I1858="","",F1858-I1858)</f>
        <v/>
      </c>
      <c r="K1858" s="29">
        <f>IF(J1858="","",J1858/MAX(1,N(E1858)))</f>
        <v/>
      </c>
      <c r="L1858" s="37">
        <f>IF(OR(D1858="",A1858=""),"",A1858+IF(AND(Config!$B$17="Sim",LEFT(D1858,17)="Cartão de crédito"),1,IFERROR(INDEX(Config!$C$12:$C$15,MATCH(IF(AND(D1858="Cartão de crédito",N(E1858)&gt;1),"Cartão de crédito parcelado",D1858),Config!$A$12:$A$15,0)),0)))</f>
        <v/>
      </c>
      <c r="M1858" s="37">
        <f>IF(L1858="","",IF(AND(Config!$B$17="Sim",LEFT(D1858,17)="Cartão de crédito"),L1858,L1858+30*(MAX(1,N(E1858))-1)))</f>
        <v/>
      </c>
      <c r="N1858" s="29">
        <f>IF(OR(L1858="",K1858=""),"",K1858*MIN(MAX(1,N(E1858)),MAX(0,INT((Config!$B$8-L1858)/30)+1)))</f>
        <v/>
      </c>
      <c r="O1858" s="29">
        <f>IF(J1858="","",J1858-N(N1858))</f>
        <v/>
      </c>
      <c r="P1858" s="27">
        <f>IF(A1858="","",MONTH(A1858))</f>
        <v/>
      </c>
      <c r="Q1858" s="27">
        <f>IF(A1858="","",YEAR(A1858))</f>
        <v/>
      </c>
      <c r="R1858" s="27">
        <f>IF(L1858="","",IF(L1858&gt;Config!$B$8,"A cair",IF(N(G1858)&gt;=MIN(MAX(1,N(E1858)),MAX(0,INT((Config!$B$8-L1858)/30)+1)),IF(N(G1858)&gt;=MAX(1,N(E1858)),"Conferido","Conferido até aqui"),"A conferir")))</f>
        <v/>
      </c>
      <c r="S1858" s="51">
        <f>IF(R1858="A conferir",(Config!$B$8-L1858)*1000+N(F1858)/1000+ROW()/100000,0)</f>
        <v>0</v>
      </c>
      <c r="T1858" s="51">
        <f>IF(R1858="A conferir",N(N1858),0)</f>
        <v>0</v>
      </c>
      <c r="U1858" s="51">
        <f>IF(L1858="",0,L1858)</f>
        <v>0</v>
      </c>
      <c r="V1858" s="51">
        <f>IF(L1858="",0,MAX(1,N(E1858)))</f>
        <v>0</v>
      </c>
      <c r="W1858" s="51">
        <f>IF(K1858="",0,K1858)</f>
        <v>0</v>
      </c>
    </row>
    <row r="1859">
      <c r="A1859" s="49" t="n"/>
      <c r="B1859" s="41" t="n"/>
      <c r="C1859" s="41" t="n"/>
      <c r="D1859" s="42" t="n"/>
      <c r="E1859" s="42" t="n"/>
      <c r="F1859" s="50" t="n"/>
      <c r="G1859" s="42" t="n"/>
      <c r="H1859" s="30">
        <f>IF(D1859="","",IFERROR(INDEX(Config!$B$12:$B$15,MATCH(IF(AND(D1859="Cartão de crédito",N(E1859)&gt;1),"Cartão de crédito parcelado",D1859),Config!$A$12:$A$15,0)),0)+IF(AND(Config!$B$17="Sim",LEFT(D1859,17)="Cartão de crédito"),Config!$B$18*IFERROR(INDEX(Config!$C$12:$C$15,MATCH(IF(AND(D1859="Cartão de crédito",N(E1859)&gt;1),"Cartão de crédito parcelado",D1859),Config!$A$12:$A$15,0)),0)/30*MAX(1,N(E1859)),0))</f>
        <v/>
      </c>
      <c r="I1859" s="29">
        <f>IF(OR(D1859="",F1859=""),"",ROUND(F1859*H1859,2))</f>
        <v/>
      </c>
      <c r="J1859" s="29">
        <f>IF(I1859="","",F1859-I1859)</f>
        <v/>
      </c>
      <c r="K1859" s="29">
        <f>IF(J1859="","",J1859/MAX(1,N(E1859)))</f>
        <v/>
      </c>
      <c r="L1859" s="37">
        <f>IF(OR(D1859="",A1859=""),"",A1859+IF(AND(Config!$B$17="Sim",LEFT(D1859,17)="Cartão de crédito"),1,IFERROR(INDEX(Config!$C$12:$C$15,MATCH(IF(AND(D1859="Cartão de crédito",N(E1859)&gt;1),"Cartão de crédito parcelado",D1859),Config!$A$12:$A$15,0)),0)))</f>
        <v/>
      </c>
      <c r="M1859" s="37">
        <f>IF(L1859="","",IF(AND(Config!$B$17="Sim",LEFT(D1859,17)="Cartão de crédito"),L1859,L1859+30*(MAX(1,N(E1859))-1)))</f>
        <v/>
      </c>
      <c r="N1859" s="29">
        <f>IF(OR(L1859="",K1859=""),"",K1859*MIN(MAX(1,N(E1859)),MAX(0,INT((Config!$B$8-L1859)/30)+1)))</f>
        <v/>
      </c>
      <c r="O1859" s="29">
        <f>IF(J1859="","",J1859-N(N1859))</f>
        <v/>
      </c>
      <c r="P1859" s="27">
        <f>IF(A1859="","",MONTH(A1859))</f>
        <v/>
      </c>
      <c r="Q1859" s="27">
        <f>IF(A1859="","",YEAR(A1859))</f>
        <v/>
      </c>
      <c r="R1859" s="27">
        <f>IF(L1859="","",IF(L1859&gt;Config!$B$8,"A cair",IF(N(G1859)&gt;=MIN(MAX(1,N(E1859)),MAX(0,INT((Config!$B$8-L1859)/30)+1)),IF(N(G1859)&gt;=MAX(1,N(E1859)),"Conferido","Conferido até aqui"),"A conferir")))</f>
        <v/>
      </c>
      <c r="S1859" s="51">
        <f>IF(R1859="A conferir",(Config!$B$8-L1859)*1000+N(F1859)/1000+ROW()/100000,0)</f>
        <v>0</v>
      </c>
      <c r="T1859" s="51">
        <f>IF(R1859="A conferir",N(N1859),0)</f>
        <v>0</v>
      </c>
      <c r="U1859" s="51">
        <f>IF(L1859="",0,L1859)</f>
        <v>0</v>
      </c>
      <c r="V1859" s="51">
        <f>IF(L1859="",0,MAX(1,N(E1859)))</f>
        <v>0</v>
      </c>
      <c r="W1859" s="51">
        <f>IF(K1859="",0,K1859)</f>
        <v>0</v>
      </c>
    </row>
    <row r="1860">
      <c r="A1860" s="49" t="n"/>
      <c r="B1860" s="41" t="n"/>
      <c r="C1860" s="41" t="n"/>
      <c r="D1860" s="42" t="n"/>
      <c r="E1860" s="42" t="n"/>
      <c r="F1860" s="50" t="n"/>
      <c r="G1860" s="42" t="n"/>
      <c r="H1860" s="30">
        <f>IF(D1860="","",IFERROR(INDEX(Config!$B$12:$B$15,MATCH(IF(AND(D1860="Cartão de crédito",N(E1860)&gt;1),"Cartão de crédito parcelado",D1860),Config!$A$12:$A$15,0)),0)+IF(AND(Config!$B$17="Sim",LEFT(D1860,17)="Cartão de crédito"),Config!$B$18*IFERROR(INDEX(Config!$C$12:$C$15,MATCH(IF(AND(D1860="Cartão de crédito",N(E1860)&gt;1),"Cartão de crédito parcelado",D1860),Config!$A$12:$A$15,0)),0)/30*MAX(1,N(E1860)),0))</f>
        <v/>
      </c>
      <c r="I1860" s="29">
        <f>IF(OR(D1860="",F1860=""),"",ROUND(F1860*H1860,2))</f>
        <v/>
      </c>
      <c r="J1860" s="29">
        <f>IF(I1860="","",F1860-I1860)</f>
        <v/>
      </c>
      <c r="K1860" s="29">
        <f>IF(J1860="","",J1860/MAX(1,N(E1860)))</f>
        <v/>
      </c>
      <c r="L1860" s="37">
        <f>IF(OR(D1860="",A1860=""),"",A1860+IF(AND(Config!$B$17="Sim",LEFT(D1860,17)="Cartão de crédito"),1,IFERROR(INDEX(Config!$C$12:$C$15,MATCH(IF(AND(D1860="Cartão de crédito",N(E1860)&gt;1),"Cartão de crédito parcelado",D1860),Config!$A$12:$A$15,0)),0)))</f>
        <v/>
      </c>
      <c r="M1860" s="37">
        <f>IF(L1860="","",IF(AND(Config!$B$17="Sim",LEFT(D1860,17)="Cartão de crédito"),L1860,L1860+30*(MAX(1,N(E1860))-1)))</f>
        <v/>
      </c>
      <c r="N1860" s="29">
        <f>IF(OR(L1860="",K1860=""),"",K1860*MIN(MAX(1,N(E1860)),MAX(0,INT((Config!$B$8-L1860)/30)+1)))</f>
        <v/>
      </c>
      <c r="O1860" s="29">
        <f>IF(J1860="","",J1860-N(N1860))</f>
        <v/>
      </c>
      <c r="P1860" s="27">
        <f>IF(A1860="","",MONTH(A1860))</f>
        <v/>
      </c>
      <c r="Q1860" s="27">
        <f>IF(A1860="","",YEAR(A1860))</f>
        <v/>
      </c>
      <c r="R1860" s="27">
        <f>IF(L1860="","",IF(L1860&gt;Config!$B$8,"A cair",IF(N(G1860)&gt;=MIN(MAX(1,N(E1860)),MAX(0,INT((Config!$B$8-L1860)/30)+1)),IF(N(G1860)&gt;=MAX(1,N(E1860)),"Conferido","Conferido até aqui"),"A conferir")))</f>
        <v/>
      </c>
      <c r="S1860" s="51">
        <f>IF(R1860="A conferir",(Config!$B$8-L1860)*1000+N(F1860)/1000+ROW()/100000,0)</f>
        <v>0</v>
      </c>
      <c r="T1860" s="51">
        <f>IF(R1860="A conferir",N(N1860),0)</f>
        <v>0</v>
      </c>
      <c r="U1860" s="51">
        <f>IF(L1860="",0,L1860)</f>
        <v>0</v>
      </c>
      <c r="V1860" s="51">
        <f>IF(L1860="",0,MAX(1,N(E1860)))</f>
        <v>0</v>
      </c>
      <c r="W1860" s="51">
        <f>IF(K1860="",0,K1860)</f>
        <v>0</v>
      </c>
    </row>
    <row r="1861">
      <c r="A1861" s="49" t="n"/>
      <c r="B1861" s="41" t="n"/>
      <c r="C1861" s="41" t="n"/>
      <c r="D1861" s="42" t="n"/>
      <c r="E1861" s="42" t="n"/>
      <c r="F1861" s="50" t="n"/>
      <c r="G1861" s="42" t="n"/>
      <c r="H1861" s="30">
        <f>IF(D1861="","",IFERROR(INDEX(Config!$B$12:$B$15,MATCH(IF(AND(D1861="Cartão de crédito",N(E1861)&gt;1),"Cartão de crédito parcelado",D1861),Config!$A$12:$A$15,0)),0)+IF(AND(Config!$B$17="Sim",LEFT(D1861,17)="Cartão de crédito"),Config!$B$18*IFERROR(INDEX(Config!$C$12:$C$15,MATCH(IF(AND(D1861="Cartão de crédito",N(E1861)&gt;1),"Cartão de crédito parcelado",D1861),Config!$A$12:$A$15,0)),0)/30*MAX(1,N(E1861)),0))</f>
        <v/>
      </c>
      <c r="I1861" s="29">
        <f>IF(OR(D1861="",F1861=""),"",ROUND(F1861*H1861,2))</f>
        <v/>
      </c>
      <c r="J1861" s="29">
        <f>IF(I1861="","",F1861-I1861)</f>
        <v/>
      </c>
      <c r="K1861" s="29">
        <f>IF(J1861="","",J1861/MAX(1,N(E1861)))</f>
        <v/>
      </c>
      <c r="L1861" s="37">
        <f>IF(OR(D1861="",A1861=""),"",A1861+IF(AND(Config!$B$17="Sim",LEFT(D1861,17)="Cartão de crédito"),1,IFERROR(INDEX(Config!$C$12:$C$15,MATCH(IF(AND(D1861="Cartão de crédito",N(E1861)&gt;1),"Cartão de crédito parcelado",D1861),Config!$A$12:$A$15,0)),0)))</f>
        <v/>
      </c>
      <c r="M1861" s="37">
        <f>IF(L1861="","",IF(AND(Config!$B$17="Sim",LEFT(D1861,17)="Cartão de crédito"),L1861,L1861+30*(MAX(1,N(E1861))-1)))</f>
        <v/>
      </c>
      <c r="N1861" s="29">
        <f>IF(OR(L1861="",K1861=""),"",K1861*MIN(MAX(1,N(E1861)),MAX(0,INT((Config!$B$8-L1861)/30)+1)))</f>
        <v/>
      </c>
      <c r="O1861" s="29">
        <f>IF(J1861="","",J1861-N(N1861))</f>
        <v/>
      </c>
      <c r="P1861" s="27">
        <f>IF(A1861="","",MONTH(A1861))</f>
        <v/>
      </c>
      <c r="Q1861" s="27">
        <f>IF(A1861="","",YEAR(A1861))</f>
        <v/>
      </c>
      <c r="R1861" s="27">
        <f>IF(L1861="","",IF(L1861&gt;Config!$B$8,"A cair",IF(N(G1861)&gt;=MIN(MAX(1,N(E1861)),MAX(0,INT((Config!$B$8-L1861)/30)+1)),IF(N(G1861)&gt;=MAX(1,N(E1861)),"Conferido","Conferido até aqui"),"A conferir")))</f>
        <v/>
      </c>
      <c r="S1861" s="51">
        <f>IF(R1861="A conferir",(Config!$B$8-L1861)*1000+N(F1861)/1000+ROW()/100000,0)</f>
        <v>0</v>
      </c>
      <c r="T1861" s="51">
        <f>IF(R1861="A conferir",N(N1861),0)</f>
        <v>0</v>
      </c>
      <c r="U1861" s="51">
        <f>IF(L1861="",0,L1861)</f>
        <v>0</v>
      </c>
      <c r="V1861" s="51">
        <f>IF(L1861="",0,MAX(1,N(E1861)))</f>
        <v>0</v>
      </c>
      <c r="W1861" s="51">
        <f>IF(K1861="",0,K1861)</f>
        <v>0</v>
      </c>
    </row>
    <row r="1862">
      <c r="A1862" s="49" t="n"/>
      <c r="B1862" s="41" t="n"/>
      <c r="C1862" s="41" t="n"/>
      <c r="D1862" s="42" t="n"/>
      <c r="E1862" s="42" t="n"/>
      <c r="F1862" s="50" t="n"/>
      <c r="G1862" s="42" t="n"/>
      <c r="H1862" s="30">
        <f>IF(D1862="","",IFERROR(INDEX(Config!$B$12:$B$15,MATCH(IF(AND(D1862="Cartão de crédito",N(E1862)&gt;1),"Cartão de crédito parcelado",D1862),Config!$A$12:$A$15,0)),0)+IF(AND(Config!$B$17="Sim",LEFT(D1862,17)="Cartão de crédito"),Config!$B$18*IFERROR(INDEX(Config!$C$12:$C$15,MATCH(IF(AND(D1862="Cartão de crédito",N(E1862)&gt;1),"Cartão de crédito parcelado",D1862),Config!$A$12:$A$15,0)),0)/30*MAX(1,N(E1862)),0))</f>
        <v/>
      </c>
      <c r="I1862" s="29">
        <f>IF(OR(D1862="",F1862=""),"",ROUND(F1862*H1862,2))</f>
        <v/>
      </c>
      <c r="J1862" s="29">
        <f>IF(I1862="","",F1862-I1862)</f>
        <v/>
      </c>
      <c r="K1862" s="29">
        <f>IF(J1862="","",J1862/MAX(1,N(E1862)))</f>
        <v/>
      </c>
      <c r="L1862" s="37">
        <f>IF(OR(D1862="",A1862=""),"",A1862+IF(AND(Config!$B$17="Sim",LEFT(D1862,17)="Cartão de crédito"),1,IFERROR(INDEX(Config!$C$12:$C$15,MATCH(IF(AND(D1862="Cartão de crédito",N(E1862)&gt;1),"Cartão de crédito parcelado",D1862),Config!$A$12:$A$15,0)),0)))</f>
        <v/>
      </c>
      <c r="M1862" s="37">
        <f>IF(L1862="","",IF(AND(Config!$B$17="Sim",LEFT(D1862,17)="Cartão de crédito"),L1862,L1862+30*(MAX(1,N(E1862))-1)))</f>
        <v/>
      </c>
      <c r="N1862" s="29">
        <f>IF(OR(L1862="",K1862=""),"",K1862*MIN(MAX(1,N(E1862)),MAX(0,INT((Config!$B$8-L1862)/30)+1)))</f>
        <v/>
      </c>
      <c r="O1862" s="29">
        <f>IF(J1862="","",J1862-N(N1862))</f>
        <v/>
      </c>
      <c r="P1862" s="27">
        <f>IF(A1862="","",MONTH(A1862))</f>
        <v/>
      </c>
      <c r="Q1862" s="27">
        <f>IF(A1862="","",YEAR(A1862))</f>
        <v/>
      </c>
      <c r="R1862" s="27">
        <f>IF(L1862="","",IF(L1862&gt;Config!$B$8,"A cair",IF(N(G1862)&gt;=MIN(MAX(1,N(E1862)),MAX(0,INT((Config!$B$8-L1862)/30)+1)),IF(N(G1862)&gt;=MAX(1,N(E1862)),"Conferido","Conferido até aqui"),"A conferir")))</f>
        <v/>
      </c>
      <c r="S1862" s="51">
        <f>IF(R1862="A conferir",(Config!$B$8-L1862)*1000+N(F1862)/1000+ROW()/100000,0)</f>
        <v>0</v>
      </c>
      <c r="T1862" s="51">
        <f>IF(R1862="A conferir",N(N1862),0)</f>
        <v>0</v>
      </c>
      <c r="U1862" s="51">
        <f>IF(L1862="",0,L1862)</f>
        <v>0</v>
      </c>
      <c r="V1862" s="51">
        <f>IF(L1862="",0,MAX(1,N(E1862)))</f>
        <v>0</v>
      </c>
      <c r="W1862" s="51">
        <f>IF(K1862="",0,K1862)</f>
        <v>0</v>
      </c>
    </row>
    <row r="1863">
      <c r="A1863" s="49" t="n"/>
      <c r="B1863" s="41" t="n"/>
      <c r="C1863" s="41" t="n"/>
      <c r="D1863" s="42" t="n"/>
      <c r="E1863" s="42" t="n"/>
      <c r="F1863" s="50" t="n"/>
      <c r="G1863" s="42" t="n"/>
      <c r="H1863" s="30">
        <f>IF(D1863="","",IFERROR(INDEX(Config!$B$12:$B$15,MATCH(IF(AND(D1863="Cartão de crédito",N(E1863)&gt;1),"Cartão de crédito parcelado",D1863),Config!$A$12:$A$15,0)),0)+IF(AND(Config!$B$17="Sim",LEFT(D1863,17)="Cartão de crédito"),Config!$B$18*IFERROR(INDEX(Config!$C$12:$C$15,MATCH(IF(AND(D1863="Cartão de crédito",N(E1863)&gt;1),"Cartão de crédito parcelado",D1863),Config!$A$12:$A$15,0)),0)/30*MAX(1,N(E1863)),0))</f>
        <v/>
      </c>
      <c r="I1863" s="29">
        <f>IF(OR(D1863="",F1863=""),"",ROUND(F1863*H1863,2))</f>
        <v/>
      </c>
      <c r="J1863" s="29">
        <f>IF(I1863="","",F1863-I1863)</f>
        <v/>
      </c>
      <c r="K1863" s="29">
        <f>IF(J1863="","",J1863/MAX(1,N(E1863)))</f>
        <v/>
      </c>
      <c r="L1863" s="37">
        <f>IF(OR(D1863="",A1863=""),"",A1863+IF(AND(Config!$B$17="Sim",LEFT(D1863,17)="Cartão de crédito"),1,IFERROR(INDEX(Config!$C$12:$C$15,MATCH(IF(AND(D1863="Cartão de crédito",N(E1863)&gt;1),"Cartão de crédito parcelado",D1863),Config!$A$12:$A$15,0)),0)))</f>
        <v/>
      </c>
      <c r="M1863" s="37">
        <f>IF(L1863="","",IF(AND(Config!$B$17="Sim",LEFT(D1863,17)="Cartão de crédito"),L1863,L1863+30*(MAX(1,N(E1863))-1)))</f>
        <v/>
      </c>
      <c r="N1863" s="29">
        <f>IF(OR(L1863="",K1863=""),"",K1863*MIN(MAX(1,N(E1863)),MAX(0,INT((Config!$B$8-L1863)/30)+1)))</f>
        <v/>
      </c>
      <c r="O1863" s="29">
        <f>IF(J1863="","",J1863-N(N1863))</f>
        <v/>
      </c>
      <c r="P1863" s="27">
        <f>IF(A1863="","",MONTH(A1863))</f>
        <v/>
      </c>
      <c r="Q1863" s="27">
        <f>IF(A1863="","",YEAR(A1863))</f>
        <v/>
      </c>
      <c r="R1863" s="27">
        <f>IF(L1863="","",IF(L1863&gt;Config!$B$8,"A cair",IF(N(G1863)&gt;=MIN(MAX(1,N(E1863)),MAX(0,INT((Config!$B$8-L1863)/30)+1)),IF(N(G1863)&gt;=MAX(1,N(E1863)),"Conferido","Conferido até aqui"),"A conferir")))</f>
        <v/>
      </c>
      <c r="S1863" s="51">
        <f>IF(R1863="A conferir",(Config!$B$8-L1863)*1000+N(F1863)/1000+ROW()/100000,0)</f>
        <v>0</v>
      </c>
      <c r="T1863" s="51">
        <f>IF(R1863="A conferir",N(N1863),0)</f>
        <v>0</v>
      </c>
      <c r="U1863" s="51">
        <f>IF(L1863="",0,L1863)</f>
        <v>0</v>
      </c>
      <c r="V1863" s="51">
        <f>IF(L1863="",0,MAX(1,N(E1863)))</f>
        <v>0</v>
      </c>
      <c r="W1863" s="51">
        <f>IF(K1863="",0,K1863)</f>
        <v>0</v>
      </c>
    </row>
    <row r="1864">
      <c r="A1864" s="49" t="n"/>
      <c r="B1864" s="41" t="n"/>
      <c r="C1864" s="41" t="n"/>
      <c r="D1864" s="42" t="n"/>
      <c r="E1864" s="42" t="n"/>
      <c r="F1864" s="50" t="n"/>
      <c r="G1864" s="42" t="n"/>
      <c r="H1864" s="30">
        <f>IF(D1864="","",IFERROR(INDEX(Config!$B$12:$B$15,MATCH(IF(AND(D1864="Cartão de crédito",N(E1864)&gt;1),"Cartão de crédito parcelado",D1864),Config!$A$12:$A$15,0)),0)+IF(AND(Config!$B$17="Sim",LEFT(D1864,17)="Cartão de crédito"),Config!$B$18*IFERROR(INDEX(Config!$C$12:$C$15,MATCH(IF(AND(D1864="Cartão de crédito",N(E1864)&gt;1),"Cartão de crédito parcelado",D1864),Config!$A$12:$A$15,0)),0)/30*MAX(1,N(E1864)),0))</f>
        <v/>
      </c>
      <c r="I1864" s="29">
        <f>IF(OR(D1864="",F1864=""),"",ROUND(F1864*H1864,2))</f>
        <v/>
      </c>
      <c r="J1864" s="29">
        <f>IF(I1864="","",F1864-I1864)</f>
        <v/>
      </c>
      <c r="K1864" s="29">
        <f>IF(J1864="","",J1864/MAX(1,N(E1864)))</f>
        <v/>
      </c>
      <c r="L1864" s="37">
        <f>IF(OR(D1864="",A1864=""),"",A1864+IF(AND(Config!$B$17="Sim",LEFT(D1864,17)="Cartão de crédito"),1,IFERROR(INDEX(Config!$C$12:$C$15,MATCH(IF(AND(D1864="Cartão de crédito",N(E1864)&gt;1),"Cartão de crédito parcelado",D1864),Config!$A$12:$A$15,0)),0)))</f>
        <v/>
      </c>
      <c r="M1864" s="37">
        <f>IF(L1864="","",IF(AND(Config!$B$17="Sim",LEFT(D1864,17)="Cartão de crédito"),L1864,L1864+30*(MAX(1,N(E1864))-1)))</f>
        <v/>
      </c>
      <c r="N1864" s="29">
        <f>IF(OR(L1864="",K1864=""),"",K1864*MIN(MAX(1,N(E1864)),MAX(0,INT((Config!$B$8-L1864)/30)+1)))</f>
        <v/>
      </c>
      <c r="O1864" s="29">
        <f>IF(J1864="","",J1864-N(N1864))</f>
        <v/>
      </c>
      <c r="P1864" s="27">
        <f>IF(A1864="","",MONTH(A1864))</f>
        <v/>
      </c>
      <c r="Q1864" s="27">
        <f>IF(A1864="","",YEAR(A1864))</f>
        <v/>
      </c>
      <c r="R1864" s="27">
        <f>IF(L1864="","",IF(L1864&gt;Config!$B$8,"A cair",IF(N(G1864)&gt;=MIN(MAX(1,N(E1864)),MAX(0,INT((Config!$B$8-L1864)/30)+1)),IF(N(G1864)&gt;=MAX(1,N(E1864)),"Conferido","Conferido até aqui"),"A conferir")))</f>
        <v/>
      </c>
      <c r="S1864" s="51">
        <f>IF(R1864="A conferir",(Config!$B$8-L1864)*1000+N(F1864)/1000+ROW()/100000,0)</f>
        <v>0</v>
      </c>
      <c r="T1864" s="51">
        <f>IF(R1864="A conferir",N(N1864),0)</f>
        <v>0</v>
      </c>
      <c r="U1864" s="51">
        <f>IF(L1864="",0,L1864)</f>
        <v>0</v>
      </c>
      <c r="V1864" s="51">
        <f>IF(L1864="",0,MAX(1,N(E1864)))</f>
        <v>0</v>
      </c>
      <c r="W1864" s="51">
        <f>IF(K1864="",0,K1864)</f>
        <v>0</v>
      </c>
    </row>
    <row r="1865">
      <c r="A1865" s="49" t="n"/>
      <c r="B1865" s="41" t="n"/>
      <c r="C1865" s="41" t="n"/>
      <c r="D1865" s="42" t="n"/>
      <c r="E1865" s="42" t="n"/>
      <c r="F1865" s="50" t="n"/>
      <c r="G1865" s="42" t="n"/>
      <c r="H1865" s="30">
        <f>IF(D1865="","",IFERROR(INDEX(Config!$B$12:$B$15,MATCH(IF(AND(D1865="Cartão de crédito",N(E1865)&gt;1),"Cartão de crédito parcelado",D1865),Config!$A$12:$A$15,0)),0)+IF(AND(Config!$B$17="Sim",LEFT(D1865,17)="Cartão de crédito"),Config!$B$18*IFERROR(INDEX(Config!$C$12:$C$15,MATCH(IF(AND(D1865="Cartão de crédito",N(E1865)&gt;1),"Cartão de crédito parcelado",D1865),Config!$A$12:$A$15,0)),0)/30*MAX(1,N(E1865)),0))</f>
        <v/>
      </c>
      <c r="I1865" s="29">
        <f>IF(OR(D1865="",F1865=""),"",ROUND(F1865*H1865,2))</f>
        <v/>
      </c>
      <c r="J1865" s="29">
        <f>IF(I1865="","",F1865-I1865)</f>
        <v/>
      </c>
      <c r="K1865" s="29">
        <f>IF(J1865="","",J1865/MAX(1,N(E1865)))</f>
        <v/>
      </c>
      <c r="L1865" s="37">
        <f>IF(OR(D1865="",A1865=""),"",A1865+IF(AND(Config!$B$17="Sim",LEFT(D1865,17)="Cartão de crédito"),1,IFERROR(INDEX(Config!$C$12:$C$15,MATCH(IF(AND(D1865="Cartão de crédito",N(E1865)&gt;1),"Cartão de crédito parcelado",D1865),Config!$A$12:$A$15,0)),0)))</f>
        <v/>
      </c>
      <c r="M1865" s="37">
        <f>IF(L1865="","",IF(AND(Config!$B$17="Sim",LEFT(D1865,17)="Cartão de crédito"),L1865,L1865+30*(MAX(1,N(E1865))-1)))</f>
        <v/>
      </c>
      <c r="N1865" s="29">
        <f>IF(OR(L1865="",K1865=""),"",K1865*MIN(MAX(1,N(E1865)),MAX(0,INT((Config!$B$8-L1865)/30)+1)))</f>
        <v/>
      </c>
      <c r="O1865" s="29">
        <f>IF(J1865="","",J1865-N(N1865))</f>
        <v/>
      </c>
      <c r="P1865" s="27">
        <f>IF(A1865="","",MONTH(A1865))</f>
        <v/>
      </c>
      <c r="Q1865" s="27">
        <f>IF(A1865="","",YEAR(A1865))</f>
        <v/>
      </c>
      <c r="R1865" s="27">
        <f>IF(L1865="","",IF(L1865&gt;Config!$B$8,"A cair",IF(N(G1865)&gt;=MIN(MAX(1,N(E1865)),MAX(0,INT((Config!$B$8-L1865)/30)+1)),IF(N(G1865)&gt;=MAX(1,N(E1865)),"Conferido","Conferido até aqui"),"A conferir")))</f>
        <v/>
      </c>
      <c r="S1865" s="51">
        <f>IF(R1865="A conferir",(Config!$B$8-L1865)*1000+N(F1865)/1000+ROW()/100000,0)</f>
        <v>0</v>
      </c>
      <c r="T1865" s="51">
        <f>IF(R1865="A conferir",N(N1865),0)</f>
        <v>0</v>
      </c>
      <c r="U1865" s="51">
        <f>IF(L1865="",0,L1865)</f>
        <v>0</v>
      </c>
      <c r="V1865" s="51">
        <f>IF(L1865="",0,MAX(1,N(E1865)))</f>
        <v>0</v>
      </c>
      <c r="W1865" s="51">
        <f>IF(K1865="",0,K1865)</f>
        <v>0</v>
      </c>
    </row>
    <row r="1866">
      <c r="A1866" s="49" t="n"/>
      <c r="B1866" s="41" t="n"/>
      <c r="C1866" s="41" t="n"/>
      <c r="D1866" s="42" t="n"/>
      <c r="E1866" s="42" t="n"/>
      <c r="F1866" s="50" t="n"/>
      <c r="G1866" s="42" t="n"/>
      <c r="H1866" s="30">
        <f>IF(D1866="","",IFERROR(INDEX(Config!$B$12:$B$15,MATCH(IF(AND(D1866="Cartão de crédito",N(E1866)&gt;1),"Cartão de crédito parcelado",D1866),Config!$A$12:$A$15,0)),0)+IF(AND(Config!$B$17="Sim",LEFT(D1866,17)="Cartão de crédito"),Config!$B$18*IFERROR(INDEX(Config!$C$12:$C$15,MATCH(IF(AND(D1866="Cartão de crédito",N(E1866)&gt;1),"Cartão de crédito parcelado",D1866),Config!$A$12:$A$15,0)),0)/30*MAX(1,N(E1866)),0))</f>
        <v/>
      </c>
      <c r="I1866" s="29">
        <f>IF(OR(D1866="",F1866=""),"",ROUND(F1866*H1866,2))</f>
        <v/>
      </c>
      <c r="J1866" s="29">
        <f>IF(I1866="","",F1866-I1866)</f>
        <v/>
      </c>
      <c r="K1866" s="29">
        <f>IF(J1866="","",J1866/MAX(1,N(E1866)))</f>
        <v/>
      </c>
      <c r="L1866" s="37">
        <f>IF(OR(D1866="",A1866=""),"",A1866+IF(AND(Config!$B$17="Sim",LEFT(D1866,17)="Cartão de crédito"),1,IFERROR(INDEX(Config!$C$12:$C$15,MATCH(IF(AND(D1866="Cartão de crédito",N(E1866)&gt;1),"Cartão de crédito parcelado",D1866),Config!$A$12:$A$15,0)),0)))</f>
        <v/>
      </c>
      <c r="M1866" s="37">
        <f>IF(L1866="","",IF(AND(Config!$B$17="Sim",LEFT(D1866,17)="Cartão de crédito"),L1866,L1866+30*(MAX(1,N(E1866))-1)))</f>
        <v/>
      </c>
      <c r="N1866" s="29">
        <f>IF(OR(L1866="",K1866=""),"",K1866*MIN(MAX(1,N(E1866)),MAX(0,INT((Config!$B$8-L1866)/30)+1)))</f>
        <v/>
      </c>
      <c r="O1866" s="29">
        <f>IF(J1866="","",J1866-N(N1866))</f>
        <v/>
      </c>
      <c r="P1866" s="27">
        <f>IF(A1866="","",MONTH(A1866))</f>
        <v/>
      </c>
      <c r="Q1866" s="27">
        <f>IF(A1866="","",YEAR(A1866))</f>
        <v/>
      </c>
      <c r="R1866" s="27">
        <f>IF(L1866="","",IF(L1866&gt;Config!$B$8,"A cair",IF(N(G1866)&gt;=MIN(MAX(1,N(E1866)),MAX(0,INT((Config!$B$8-L1866)/30)+1)),IF(N(G1866)&gt;=MAX(1,N(E1866)),"Conferido","Conferido até aqui"),"A conferir")))</f>
        <v/>
      </c>
      <c r="S1866" s="51">
        <f>IF(R1866="A conferir",(Config!$B$8-L1866)*1000+N(F1866)/1000+ROW()/100000,0)</f>
        <v>0</v>
      </c>
      <c r="T1866" s="51">
        <f>IF(R1866="A conferir",N(N1866),0)</f>
        <v>0</v>
      </c>
      <c r="U1866" s="51">
        <f>IF(L1866="",0,L1866)</f>
        <v>0</v>
      </c>
      <c r="V1866" s="51">
        <f>IF(L1866="",0,MAX(1,N(E1866)))</f>
        <v>0</v>
      </c>
      <c r="W1866" s="51">
        <f>IF(K1866="",0,K1866)</f>
        <v>0</v>
      </c>
    </row>
    <row r="1867">
      <c r="A1867" s="49" t="n"/>
      <c r="B1867" s="41" t="n"/>
      <c r="C1867" s="41" t="n"/>
      <c r="D1867" s="42" t="n"/>
      <c r="E1867" s="42" t="n"/>
      <c r="F1867" s="50" t="n"/>
      <c r="G1867" s="42" t="n"/>
      <c r="H1867" s="30">
        <f>IF(D1867="","",IFERROR(INDEX(Config!$B$12:$B$15,MATCH(IF(AND(D1867="Cartão de crédito",N(E1867)&gt;1),"Cartão de crédito parcelado",D1867),Config!$A$12:$A$15,0)),0)+IF(AND(Config!$B$17="Sim",LEFT(D1867,17)="Cartão de crédito"),Config!$B$18*IFERROR(INDEX(Config!$C$12:$C$15,MATCH(IF(AND(D1867="Cartão de crédito",N(E1867)&gt;1),"Cartão de crédito parcelado",D1867),Config!$A$12:$A$15,0)),0)/30*MAX(1,N(E1867)),0))</f>
        <v/>
      </c>
      <c r="I1867" s="29">
        <f>IF(OR(D1867="",F1867=""),"",ROUND(F1867*H1867,2))</f>
        <v/>
      </c>
      <c r="J1867" s="29">
        <f>IF(I1867="","",F1867-I1867)</f>
        <v/>
      </c>
      <c r="K1867" s="29">
        <f>IF(J1867="","",J1867/MAX(1,N(E1867)))</f>
        <v/>
      </c>
      <c r="L1867" s="37">
        <f>IF(OR(D1867="",A1867=""),"",A1867+IF(AND(Config!$B$17="Sim",LEFT(D1867,17)="Cartão de crédito"),1,IFERROR(INDEX(Config!$C$12:$C$15,MATCH(IF(AND(D1867="Cartão de crédito",N(E1867)&gt;1),"Cartão de crédito parcelado",D1867),Config!$A$12:$A$15,0)),0)))</f>
        <v/>
      </c>
      <c r="M1867" s="37">
        <f>IF(L1867="","",IF(AND(Config!$B$17="Sim",LEFT(D1867,17)="Cartão de crédito"),L1867,L1867+30*(MAX(1,N(E1867))-1)))</f>
        <v/>
      </c>
      <c r="N1867" s="29">
        <f>IF(OR(L1867="",K1867=""),"",K1867*MIN(MAX(1,N(E1867)),MAX(0,INT((Config!$B$8-L1867)/30)+1)))</f>
        <v/>
      </c>
      <c r="O1867" s="29">
        <f>IF(J1867="","",J1867-N(N1867))</f>
        <v/>
      </c>
      <c r="P1867" s="27">
        <f>IF(A1867="","",MONTH(A1867))</f>
        <v/>
      </c>
      <c r="Q1867" s="27">
        <f>IF(A1867="","",YEAR(A1867))</f>
        <v/>
      </c>
      <c r="R1867" s="27">
        <f>IF(L1867="","",IF(L1867&gt;Config!$B$8,"A cair",IF(N(G1867)&gt;=MIN(MAX(1,N(E1867)),MAX(0,INT((Config!$B$8-L1867)/30)+1)),IF(N(G1867)&gt;=MAX(1,N(E1867)),"Conferido","Conferido até aqui"),"A conferir")))</f>
        <v/>
      </c>
      <c r="S1867" s="51">
        <f>IF(R1867="A conferir",(Config!$B$8-L1867)*1000+N(F1867)/1000+ROW()/100000,0)</f>
        <v>0</v>
      </c>
      <c r="T1867" s="51">
        <f>IF(R1867="A conferir",N(N1867),0)</f>
        <v>0</v>
      </c>
      <c r="U1867" s="51">
        <f>IF(L1867="",0,L1867)</f>
        <v>0</v>
      </c>
      <c r="V1867" s="51">
        <f>IF(L1867="",0,MAX(1,N(E1867)))</f>
        <v>0</v>
      </c>
      <c r="W1867" s="51">
        <f>IF(K1867="",0,K1867)</f>
        <v>0</v>
      </c>
    </row>
    <row r="1868">
      <c r="A1868" s="49" t="n"/>
      <c r="B1868" s="41" t="n"/>
      <c r="C1868" s="41" t="n"/>
      <c r="D1868" s="42" t="n"/>
      <c r="E1868" s="42" t="n"/>
      <c r="F1868" s="50" t="n"/>
      <c r="G1868" s="42" t="n"/>
      <c r="H1868" s="30">
        <f>IF(D1868="","",IFERROR(INDEX(Config!$B$12:$B$15,MATCH(IF(AND(D1868="Cartão de crédito",N(E1868)&gt;1),"Cartão de crédito parcelado",D1868),Config!$A$12:$A$15,0)),0)+IF(AND(Config!$B$17="Sim",LEFT(D1868,17)="Cartão de crédito"),Config!$B$18*IFERROR(INDEX(Config!$C$12:$C$15,MATCH(IF(AND(D1868="Cartão de crédito",N(E1868)&gt;1),"Cartão de crédito parcelado",D1868),Config!$A$12:$A$15,0)),0)/30*MAX(1,N(E1868)),0))</f>
        <v/>
      </c>
      <c r="I1868" s="29">
        <f>IF(OR(D1868="",F1868=""),"",ROUND(F1868*H1868,2))</f>
        <v/>
      </c>
      <c r="J1868" s="29">
        <f>IF(I1868="","",F1868-I1868)</f>
        <v/>
      </c>
      <c r="K1868" s="29">
        <f>IF(J1868="","",J1868/MAX(1,N(E1868)))</f>
        <v/>
      </c>
      <c r="L1868" s="37">
        <f>IF(OR(D1868="",A1868=""),"",A1868+IF(AND(Config!$B$17="Sim",LEFT(D1868,17)="Cartão de crédito"),1,IFERROR(INDEX(Config!$C$12:$C$15,MATCH(IF(AND(D1868="Cartão de crédito",N(E1868)&gt;1),"Cartão de crédito parcelado",D1868),Config!$A$12:$A$15,0)),0)))</f>
        <v/>
      </c>
      <c r="M1868" s="37">
        <f>IF(L1868="","",IF(AND(Config!$B$17="Sim",LEFT(D1868,17)="Cartão de crédito"),L1868,L1868+30*(MAX(1,N(E1868))-1)))</f>
        <v/>
      </c>
      <c r="N1868" s="29">
        <f>IF(OR(L1868="",K1868=""),"",K1868*MIN(MAX(1,N(E1868)),MAX(0,INT((Config!$B$8-L1868)/30)+1)))</f>
        <v/>
      </c>
      <c r="O1868" s="29">
        <f>IF(J1868="","",J1868-N(N1868))</f>
        <v/>
      </c>
      <c r="P1868" s="27">
        <f>IF(A1868="","",MONTH(A1868))</f>
        <v/>
      </c>
      <c r="Q1868" s="27">
        <f>IF(A1868="","",YEAR(A1868))</f>
        <v/>
      </c>
      <c r="R1868" s="27">
        <f>IF(L1868="","",IF(L1868&gt;Config!$B$8,"A cair",IF(N(G1868)&gt;=MIN(MAX(1,N(E1868)),MAX(0,INT((Config!$B$8-L1868)/30)+1)),IF(N(G1868)&gt;=MAX(1,N(E1868)),"Conferido","Conferido até aqui"),"A conferir")))</f>
        <v/>
      </c>
      <c r="S1868" s="51">
        <f>IF(R1868="A conferir",(Config!$B$8-L1868)*1000+N(F1868)/1000+ROW()/100000,0)</f>
        <v>0</v>
      </c>
      <c r="T1868" s="51">
        <f>IF(R1868="A conferir",N(N1868),0)</f>
        <v>0</v>
      </c>
      <c r="U1868" s="51">
        <f>IF(L1868="",0,L1868)</f>
        <v>0</v>
      </c>
      <c r="V1868" s="51">
        <f>IF(L1868="",0,MAX(1,N(E1868)))</f>
        <v>0</v>
      </c>
      <c r="W1868" s="51">
        <f>IF(K1868="",0,K1868)</f>
        <v>0</v>
      </c>
    </row>
    <row r="1869">
      <c r="A1869" s="49" t="n"/>
      <c r="B1869" s="41" t="n"/>
      <c r="C1869" s="41" t="n"/>
      <c r="D1869" s="42" t="n"/>
      <c r="E1869" s="42" t="n"/>
      <c r="F1869" s="50" t="n"/>
      <c r="G1869" s="42" t="n"/>
      <c r="H1869" s="30">
        <f>IF(D1869="","",IFERROR(INDEX(Config!$B$12:$B$15,MATCH(IF(AND(D1869="Cartão de crédito",N(E1869)&gt;1),"Cartão de crédito parcelado",D1869),Config!$A$12:$A$15,0)),0)+IF(AND(Config!$B$17="Sim",LEFT(D1869,17)="Cartão de crédito"),Config!$B$18*IFERROR(INDEX(Config!$C$12:$C$15,MATCH(IF(AND(D1869="Cartão de crédito",N(E1869)&gt;1),"Cartão de crédito parcelado",D1869),Config!$A$12:$A$15,0)),0)/30*MAX(1,N(E1869)),0))</f>
        <v/>
      </c>
      <c r="I1869" s="29">
        <f>IF(OR(D1869="",F1869=""),"",ROUND(F1869*H1869,2))</f>
        <v/>
      </c>
      <c r="J1869" s="29">
        <f>IF(I1869="","",F1869-I1869)</f>
        <v/>
      </c>
      <c r="K1869" s="29">
        <f>IF(J1869="","",J1869/MAX(1,N(E1869)))</f>
        <v/>
      </c>
      <c r="L1869" s="37">
        <f>IF(OR(D1869="",A1869=""),"",A1869+IF(AND(Config!$B$17="Sim",LEFT(D1869,17)="Cartão de crédito"),1,IFERROR(INDEX(Config!$C$12:$C$15,MATCH(IF(AND(D1869="Cartão de crédito",N(E1869)&gt;1),"Cartão de crédito parcelado",D1869),Config!$A$12:$A$15,0)),0)))</f>
        <v/>
      </c>
      <c r="M1869" s="37">
        <f>IF(L1869="","",IF(AND(Config!$B$17="Sim",LEFT(D1869,17)="Cartão de crédito"),L1869,L1869+30*(MAX(1,N(E1869))-1)))</f>
        <v/>
      </c>
      <c r="N1869" s="29">
        <f>IF(OR(L1869="",K1869=""),"",K1869*MIN(MAX(1,N(E1869)),MAX(0,INT((Config!$B$8-L1869)/30)+1)))</f>
        <v/>
      </c>
      <c r="O1869" s="29">
        <f>IF(J1869="","",J1869-N(N1869))</f>
        <v/>
      </c>
      <c r="P1869" s="27">
        <f>IF(A1869="","",MONTH(A1869))</f>
        <v/>
      </c>
      <c r="Q1869" s="27">
        <f>IF(A1869="","",YEAR(A1869))</f>
        <v/>
      </c>
      <c r="R1869" s="27">
        <f>IF(L1869="","",IF(L1869&gt;Config!$B$8,"A cair",IF(N(G1869)&gt;=MIN(MAX(1,N(E1869)),MAX(0,INT((Config!$B$8-L1869)/30)+1)),IF(N(G1869)&gt;=MAX(1,N(E1869)),"Conferido","Conferido até aqui"),"A conferir")))</f>
        <v/>
      </c>
      <c r="S1869" s="51">
        <f>IF(R1869="A conferir",(Config!$B$8-L1869)*1000+N(F1869)/1000+ROW()/100000,0)</f>
        <v>0</v>
      </c>
      <c r="T1869" s="51">
        <f>IF(R1869="A conferir",N(N1869),0)</f>
        <v>0</v>
      </c>
      <c r="U1869" s="51">
        <f>IF(L1869="",0,L1869)</f>
        <v>0</v>
      </c>
      <c r="V1869" s="51">
        <f>IF(L1869="",0,MAX(1,N(E1869)))</f>
        <v>0</v>
      </c>
      <c r="W1869" s="51">
        <f>IF(K1869="",0,K1869)</f>
        <v>0</v>
      </c>
    </row>
    <row r="1870">
      <c r="A1870" s="49" t="n"/>
      <c r="B1870" s="41" t="n"/>
      <c r="C1870" s="41" t="n"/>
      <c r="D1870" s="42" t="n"/>
      <c r="E1870" s="42" t="n"/>
      <c r="F1870" s="50" t="n"/>
      <c r="G1870" s="42" t="n"/>
      <c r="H1870" s="30">
        <f>IF(D1870="","",IFERROR(INDEX(Config!$B$12:$B$15,MATCH(IF(AND(D1870="Cartão de crédito",N(E1870)&gt;1),"Cartão de crédito parcelado",D1870),Config!$A$12:$A$15,0)),0)+IF(AND(Config!$B$17="Sim",LEFT(D1870,17)="Cartão de crédito"),Config!$B$18*IFERROR(INDEX(Config!$C$12:$C$15,MATCH(IF(AND(D1870="Cartão de crédito",N(E1870)&gt;1),"Cartão de crédito parcelado",D1870),Config!$A$12:$A$15,0)),0)/30*MAX(1,N(E1870)),0))</f>
        <v/>
      </c>
      <c r="I1870" s="29">
        <f>IF(OR(D1870="",F1870=""),"",ROUND(F1870*H1870,2))</f>
        <v/>
      </c>
      <c r="J1870" s="29">
        <f>IF(I1870="","",F1870-I1870)</f>
        <v/>
      </c>
      <c r="K1870" s="29">
        <f>IF(J1870="","",J1870/MAX(1,N(E1870)))</f>
        <v/>
      </c>
      <c r="L1870" s="37">
        <f>IF(OR(D1870="",A1870=""),"",A1870+IF(AND(Config!$B$17="Sim",LEFT(D1870,17)="Cartão de crédito"),1,IFERROR(INDEX(Config!$C$12:$C$15,MATCH(IF(AND(D1870="Cartão de crédito",N(E1870)&gt;1),"Cartão de crédito parcelado",D1870),Config!$A$12:$A$15,0)),0)))</f>
        <v/>
      </c>
      <c r="M1870" s="37">
        <f>IF(L1870="","",IF(AND(Config!$B$17="Sim",LEFT(D1870,17)="Cartão de crédito"),L1870,L1870+30*(MAX(1,N(E1870))-1)))</f>
        <v/>
      </c>
      <c r="N1870" s="29">
        <f>IF(OR(L1870="",K1870=""),"",K1870*MIN(MAX(1,N(E1870)),MAX(0,INT((Config!$B$8-L1870)/30)+1)))</f>
        <v/>
      </c>
      <c r="O1870" s="29">
        <f>IF(J1870="","",J1870-N(N1870))</f>
        <v/>
      </c>
      <c r="P1870" s="27">
        <f>IF(A1870="","",MONTH(A1870))</f>
        <v/>
      </c>
      <c r="Q1870" s="27">
        <f>IF(A1870="","",YEAR(A1870))</f>
        <v/>
      </c>
      <c r="R1870" s="27">
        <f>IF(L1870="","",IF(L1870&gt;Config!$B$8,"A cair",IF(N(G1870)&gt;=MIN(MAX(1,N(E1870)),MAX(0,INT((Config!$B$8-L1870)/30)+1)),IF(N(G1870)&gt;=MAX(1,N(E1870)),"Conferido","Conferido até aqui"),"A conferir")))</f>
        <v/>
      </c>
      <c r="S1870" s="51">
        <f>IF(R1870="A conferir",(Config!$B$8-L1870)*1000+N(F1870)/1000+ROW()/100000,0)</f>
        <v>0</v>
      </c>
      <c r="T1870" s="51">
        <f>IF(R1870="A conferir",N(N1870),0)</f>
        <v>0</v>
      </c>
      <c r="U1870" s="51">
        <f>IF(L1870="",0,L1870)</f>
        <v>0</v>
      </c>
      <c r="V1870" s="51">
        <f>IF(L1870="",0,MAX(1,N(E1870)))</f>
        <v>0</v>
      </c>
      <c r="W1870" s="51">
        <f>IF(K1870="",0,K1870)</f>
        <v>0</v>
      </c>
    </row>
    <row r="1871">
      <c r="A1871" s="49" t="n"/>
      <c r="B1871" s="41" t="n"/>
      <c r="C1871" s="41" t="n"/>
      <c r="D1871" s="42" t="n"/>
      <c r="E1871" s="42" t="n"/>
      <c r="F1871" s="50" t="n"/>
      <c r="G1871" s="42" t="n"/>
      <c r="H1871" s="30">
        <f>IF(D1871="","",IFERROR(INDEX(Config!$B$12:$B$15,MATCH(IF(AND(D1871="Cartão de crédito",N(E1871)&gt;1),"Cartão de crédito parcelado",D1871),Config!$A$12:$A$15,0)),0)+IF(AND(Config!$B$17="Sim",LEFT(D1871,17)="Cartão de crédito"),Config!$B$18*IFERROR(INDEX(Config!$C$12:$C$15,MATCH(IF(AND(D1871="Cartão de crédito",N(E1871)&gt;1),"Cartão de crédito parcelado",D1871),Config!$A$12:$A$15,0)),0)/30*MAX(1,N(E1871)),0))</f>
        <v/>
      </c>
      <c r="I1871" s="29">
        <f>IF(OR(D1871="",F1871=""),"",ROUND(F1871*H1871,2))</f>
        <v/>
      </c>
      <c r="J1871" s="29">
        <f>IF(I1871="","",F1871-I1871)</f>
        <v/>
      </c>
      <c r="K1871" s="29">
        <f>IF(J1871="","",J1871/MAX(1,N(E1871)))</f>
        <v/>
      </c>
      <c r="L1871" s="37">
        <f>IF(OR(D1871="",A1871=""),"",A1871+IF(AND(Config!$B$17="Sim",LEFT(D1871,17)="Cartão de crédito"),1,IFERROR(INDEX(Config!$C$12:$C$15,MATCH(IF(AND(D1871="Cartão de crédito",N(E1871)&gt;1),"Cartão de crédito parcelado",D1871),Config!$A$12:$A$15,0)),0)))</f>
        <v/>
      </c>
      <c r="M1871" s="37">
        <f>IF(L1871="","",IF(AND(Config!$B$17="Sim",LEFT(D1871,17)="Cartão de crédito"),L1871,L1871+30*(MAX(1,N(E1871))-1)))</f>
        <v/>
      </c>
      <c r="N1871" s="29">
        <f>IF(OR(L1871="",K1871=""),"",K1871*MIN(MAX(1,N(E1871)),MAX(0,INT((Config!$B$8-L1871)/30)+1)))</f>
        <v/>
      </c>
      <c r="O1871" s="29">
        <f>IF(J1871="","",J1871-N(N1871))</f>
        <v/>
      </c>
      <c r="P1871" s="27">
        <f>IF(A1871="","",MONTH(A1871))</f>
        <v/>
      </c>
      <c r="Q1871" s="27">
        <f>IF(A1871="","",YEAR(A1871))</f>
        <v/>
      </c>
      <c r="R1871" s="27">
        <f>IF(L1871="","",IF(L1871&gt;Config!$B$8,"A cair",IF(N(G1871)&gt;=MIN(MAX(1,N(E1871)),MAX(0,INT((Config!$B$8-L1871)/30)+1)),IF(N(G1871)&gt;=MAX(1,N(E1871)),"Conferido","Conferido até aqui"),"A conferir")))</f>
        <v/>
      </c>
      <c r="S1871" s="51">
        <f>IF(R1871="A conferir",(Config!$B$8-L1871)*1000+N(F1871)/1000+ROW()/100000,0)</f>
        <v>0</v>
      </c>
      <c r="T1871" s="51">
        <f>IF(R1871="A conferir",N(N1871),0)</f>
        <v>0</v>
      </c>
      <c r="U1871" s="51">
        <f>IF(L1871="",0,L1871)</f>
        <v>0</v>
      </c>
      <c r="V1871" s="51">
        <f>IF(L1871="",0,MAX(1,N(E1871)))</f>
        <v>0</v>
      </c>
      <c r="W1871" s="51">
        <f>IF(K1871="",0,K1871)</f>
        <v>0</v>
      </c>
    </row>
    <row r="1872">
      <c r="A1872" s="49" t="n"/>
      <c r="B1872" s="41" t="n"/>
      <c r="C1872" s="41" t="n"/>
      <c r="D1872" s="42" t="n"/>
      <c r="E1872" s="42" t="n"/>
      <c r="F1872" s="50" t="n"/>
      <c r="G1872" s="42" t="n"/>
      <c r="H1872" s="30">
        <f>IF(D1872="","",IFERROR(INDEX(Config!$B$12:$B$15,MATCH(IF(AND(D1872="Cartão de crédito",N(E1872)&gt;1),"Cartão de crédito parcelado",D1872),Config!$A$12:$A$15,0)),0)+IF(AND(Config!$B$17="Sim",LEFT(D1872,17)="Cartão de crédito"),Config!$B$18*IFERROR(INDEX(Config!$C$12:$C$15,MATCH(IF(AND(D1872="Cartão de crédito",N(E1872)&gt;1),"Cartão de crédito parcelado",D1872),Config!$A$12:$A$15,0)),0)/30*MAX(1,N(E1872)),0))</f>
        <v/>
      </c>
      <c r="I1872" s="29">
        <f>IF(OR(D1872="",F1872=""),"",ROUND(F1872*H1872,2))</f>
        <v/>
      </c>
      <c r="J1872" s="29">
        <f>IF(I1872="","",F1872-I1872)</f>
        <v/>
      </c>
      <c r="K1872" s="29">
        <f>IF(J1872="","",J1872/MAX(1,N(E1872)))</f>
        <v/>
      </c>
      <c r="L1872" s="37">
        <f>IF(OR(D1872="",A1872=""),"",A1872+IF(AND(Config!$B$17="Sim",LEFT(D1872,17)="Cartão de crédito"),1,IFERROR(INDEX(Config!$C$12:$C$15,MATCH(IF(AND(D1872="Cartão de crédito",N(E1872)&gt;1),"Cartão de crédito parcelado",D1872),Config!$A$12:$A$15,0)),0)))</f>
        <v/>
      </c>
      <c r="M1872" s="37">
        <f>IF(L1872="","",IF(AND(Config!$B$17="Sim",LEFT(D1872,17)="Cartão de crédito"),L1872,L1872+30*(MAX(1,N(E1872))-1)))</f>
        <v/>
      </c>
      <c r="N1872" s="29">
        <f>IF(OR(L1872="",K1872=""),"",K1872*MIN(MAX(1,N(E1872)),MAX(0,INT((Config!$B$8-L1872)/30)+1)))</f>
        <v/>
      </c>
      <c r="O1872" s="29">
        <f>IF(J1872="","",J1872-N(N1872))</f>
        <v/>
      </c>
      <c r="P1872" s="27">
        <f>IF(A1872="","",MONTH(A1872))</f>
        <v/>
      </c>
      <c r="Q1872" s="27">
        <f>IF(A1872="","",YEAR(A1872))</f>
        <v/>
      </c>
      <c r="R1872" s="27">
        <f>IF(L1872="","",IF(L1872&gt;Config!$B$8,"A cair",IF(N(G1872)&gt;=MIN(MAX(1,N(E1872)),MAX(0,INT((Config!$B$8-L1872)/30)+1)),IF(N(G1872)&gt;=MAX(1,N(E1872)),"Conferido","Conferido até aqui"),"A conferir")))</f>
        <v/>
      </c>
      <c r="S1872" s="51">
        <f>IF(R1872="A conferir",(Config!$B$8-L1872)*1000+N(F1872)/1000+ROW()/100000,0)</f>
        <v>0</v>
      </c>
      <c r="T1872" s="51">
        <f>IF(R1872="A conferir",N(N1872),0)</f>
        <v>0</v>
      </c>
      <c r="U1872" s="51">
        <f>IF(L1872="",0,L1872)</f>
        <v>0</v>
      </c>
      <c r="V1872" s="51">
        <f>IF(L1872="",0,MAX(1,N(E1872)))</f>
        <v>0</v>
      </c>
      <c r="W1872" s="51">
        <f>IF(K1872="",0,K1872)</f>
        <v>0</v>
      </c>
    </row>
    <row r="1873">
      <c r="A1873" s="49" t="n"/>
      <c r="B1873" s="41" t="n"/>
      <c r="C1873" s="41" t="n"/>
      <c r="D1873" s="42" t="n"/>
      <c r="E1873" s="42" t="n"/>
      <c r="F1873" s="50" t="n"/>
      <c r="G1873" s="42" t="n"/>
      <c r="H1873" s="30">
        <f>IF(D1873="","",IFERROR(INDEX(Config!$B$12:$B$15,MATCH(IF(AND(D1873="Cartão de crédito",N(E1873)&gt;1),"Cartão de crédito parcelado",D1873),Config!$A$12:$A$15,0)),0)+IF(AND(Config!$B$17="Sim",LEFT(D1873,17)="Cartão de crédito"),Config!$B$18*IFERROR(INDEX(Config!$C$12:$C$15,MATCH(IF(AND(D1873="Cartão de crédito",N(E1873)&gt;1),"Cartão de crédito parcelado",D1873),Config!$A$12:$A$15,0)),0)/30*MAX(1,N(E1873)),0))</f>
        <v/>
      </c>
      <c r="I1873" s="29">
        <f>IF(OR(D1873="",F1873=""),"",ROUND(F1873*H1873,2))</f>
        <v/>
      </c>
      <c r="J1873" s="29">
        <f>IF(I1873="","",F1873-I1873)</f>
        <v/>
      </c>
      <c r="K1873" s="29">
        <f>IF(J1873="","",J1873/MAX(1,N(E1873)))</f>
        <v/>
      </c>
      <c r="L1873" s="37">
        <f>IF(OR(D1873="",A1873=""),"",A1873+IF(AND(Config!$B$17="Sim",LEFT(D1873,17)="Cartão de crédito"),1,IFERROR(INDEX(Config!$C$12:$C$15,MATCH(IF(AND(D1873="Cartão de crédito",N(E1873)&gt;1),"Cartão de crédito parcelado",D1873),Config!$A$12:$A$15,0)),0)))</f>
        <v/>
      </c>
      <c r="M1873" s="37">
        <f>IF(L1873="","",IF(AND(Config!$B$17="Sim",LEFT(D1873,17)="Cartão de crédito"),L1873,L1873+30*(MAX(1,N(E1873))-1)))</f>
        <v/>
      </c>
      <c r="N1873" s="29">
        <f>IF(OR(L1873="",K1873=""),"",K1873*MIN(MAX(1,N(E1873)),MAX(0,INT((Config!$B$8-L1873)/30)+1)))</f>
        <v/>
      </c>
      <c r="O1873" s="29">
        <f>IF(J1873="","",J1873-N(N1873))</f>
        <v/>
      </c>
      <c r="P1873" s="27">
        <f>IF(A1873="","",MONTH(A1873))</f>
        <v/>
      </c>
      <c r="Q1873" s="27">
        <f>IF(A1873="","",YEAR(A1873))</f>
        <v/>
      </c>
      <c r="R1873" s="27">
        <f>IF(L1873="","",IF(L1873&gt;Config!$B$8,"A cair",IF(N(G1873)&gt;=MIN(MAX(1,N(E1873)),MAX(0,INT((Config!$B$8-L1873)/30)+1)),IF(N(G1873)&gt;=MAX(1,N(E1873)),"Conferido","Conferido até aqui"),"A conferir")))</f>
        <v/>
      </c>
      <c r="S1873" s="51">
        <f>IF(R1873="A conferir",(Config!$B$8-L1873)*1000+N(F1873)/1000+ROW()/100000,0)</f>
        <v>0</v>
      </c>
      <c r="T1873" s="51">
        <f>IF(R1873="A conferir",N(N1873),0)</f>
        <v>0</v>
      </c>
      <c r="U1873" s="51">
        <f>IF(L1873="",0,L1873)</f>
        <v>0</v>
      </c>
      <c r="V1873" s="51">
        <f>IF(L1873="",0,MAX(1,N(E1873)))</f>
        <v>0</v>
      </c>
      <c r="W1873" s="51">
        <f>IF(K1873="",0,K1873)</f>
        <v>0</v>
      </c>
    </row>
    <row r="1874">
      <c r="A1874" s="49" t="n"/>
      <c r="B1874" s="41" t="n"/>
      <c r="C1874" s="41" t="n"/>
      <c r="D1874" s="42" t="n"/>
      <c r="E1874" s="42" t="n"/>
      <c r="F1874" s="50" t="n"/>
      <c r="G1874" s="42" t="n"/>
      <c r="H1874" s="30">
        <f>IF(D1874="","",IFERROR(INDEX(Config!$B$12:$B$15,MATCH(IF(AND(D1874="Cartão de crédito",N(E1874)&gt;1),"Cartão de crédito parcelado",D1874),Config!$A$12:$A$15,0)),0)+IF(AND(Config!$B$17="Sim",LEFT(D1874,17)="Cartão de crédito"),Config!$B$18*IFERROR(INDEX(Config!$C$12:$C$15,MATCH(IF(AND(D1874="Cartão de crédito",N(E1874)&gt;1),"Cartão de crédito parcelado",D1874),Config!$A$12:$A$15,0)),0)/30*MAX(1,N(E1874)),0))</f>
        <v/>
      </c>
      <c r="I1874" s="29">
        <f>IF(OR(D1874="",F1874=""),"",ROUND(F1874*H1874,2))</f>
        <v/>
      </c>
      <c r="J1874" s="29">
        <f>IF(I1874="","",F1874-I1874)</f>
        <v/>
      </c>
      <c r="K1874" s="29">
        <f>IF(J1874="","",J1874/MAX(1,N(E1874)))</f>
        <v/>
      </c>
      <c r="L1874" s="37">
        <f>IF(OR(D1874="",A1874=""),"",A1874+IF(AND(Config!$B$17="Sim",LEFT(D1874,17)="Cartão de crédito"),1,IFERROR(INDEX(Config!$C$12:$C$15,MATCH(IF(AND(D1874="Cartão de crédito",N(E1874)&gt;1),"Cartão de crédito parcelado",D1874),Config!$A$12:$A$15,0)),0)))</f>
        <v/>
      </c>
      <c r="M1874" s="37">
        <f>IF(L1874="","",IF(AND(Config!$B$17="Sim",LEFT(D1874,17)="Cartão de crédito"),L1874,L1874+30*(MAX(1,N(E1874))-1)))</f>
        <v/>
      </c>
      <c r="N1874" s="29">
        <f>IF(OR(L1874="",K1874=""),"",K1874*MIN(MAX(1,N(E1874)),MAX(0,INT((Config!$B$8-L1874)/30)+1)))</f>
        <v/>
      </c>
      <c r="O1874" s="29">
        <f>IF(J1874="","",J1874-N(N1874))</f>
        <v/>
      </c>
      <c r="P1874" s="27">
        <f>IF(A1874="","",MONTH(A1874))</f>
        <v/>
      </c>
      <c r="Q1874" s="27">
        <f>IF(A1874="","",YEAR(A1874))</f>
        <v/>
      </c>
      <c r="R1874" s="27">
        <f>IF(L1874="","",IF(L1874&gt;Config!$B$8,"A cair",IF(N(G1874)&gt;=MIN(MAX(1,N(E1874)),MAX(0,INT((Config!$B$8-L1874)/30)+1)),IF(N(G1874)&gt;=MAX(1,N(E1874)),"Conferido","Conferido até aqui"),"A conferir")))</f>
        <v/>
      </c>
      <c r="S1874" s="51">
        <f>IF(R1874="A conferir",(Config!$B$8-L1874)*1000+N(F1874)/1000+ROW()/100000,0)</f>
        <v>0</v>
      </c>
      <c r="T1874" s="51">
        <f>IF(R1874="A conferir",N(N1874),0)</f>
        <v>0</v>
      </c>
      <c r="U1874" s="51">
        <f>IF(L1874="",0,L1874)</f>
        <v>0</v>
      </c>
      <c r="V1874" s="51">
        <f>IF(L1874="",0,MAX(1,N(E1874)))</f>
        <v>0</v>
      </c>
      <c r="W1874" s="51">
        <f>IF(K1874="",0,K1874)</f>
        <v>0</v>
      </c>
    </row>
    <row r="1875">
      <c r="A1875" s="49" t="n"/>
      <c r="B1875" s="41" t="n"/>
      <c r="C1875" s="41" t="n"/>
      <c r="D1875" s="42" t="n"/>
      <c r="E1875" s="42" t="n"/>
      <c r="F1875" s="50" t="n"/>
      <c r="G1875" s="42" t="n"/>
      <c r="H1875" s="30">
        <f>IF(D1875="","",IFERROR(INDEX(Config!$B$12:$B$15,MATCH(IF(AND(D1875="Cartão de crédito",N(E1875)&gt;1),"Cartão de crédito parcelado",D1875),Config!$A$12:$A$15,0)),0)+IF(AND(Config!$B$17="Sim",LEFT(D1875,17)="Cartão de crédito"),Config!$B$18*IFERROR(INDEX(Config!$C$12:$C$15,MATCH(IF(AND(D1875="Cartão de crédito",N(E1875)&gt;1),"Cartão de crédito parcelado",D1875),Config!$A$12:$A$15,0)),0)/30*MAX(1,N(E1875)),0))</f>
        <v/>
      </c>
      <c r="I1875" s="29">
        <f>IF(OR(D1875="",F1875=""),"",ROUND(F1875*H1875,2))</f>
        <v/>
      </c>
      <c r="J1875" s="29">
        <f>IF(I1875="","",F1875-I1875)</f>
        <v/>
      </c>
      <c r="K1875" s="29">
        <f>IF(J1875="","",J1875/MAX(1,N(E1875)))</f>
        <v/>
      </c>
      <c r="L1875" s="37">
        <f>IF(OR(D1875="",A1875=""),"",A1875+IF(AND(Config!$B$17="Sim",LEFT(D1875,17)="Cartão de crédito"),1,IFERROR(INDEX(Config!$C$12:$C$15,MATCH(IF(AND(D1875="Cartão de crédito",N(E1875)&gt;1),"Cartão de crédito parcelado",D1875),Config!$A$12:$A$15,0)),0)))</f>
        <v/>
      </c>
      <c r="M1875" s="37">
        <f>IF(L1875="","",IF(AND(Config!$B$17="Sim",LEFT(D1875,17)="Cartão de crédito"),L1875,L1875+30*(MAX(1,N(E1875))-1)))</f>
        <v/>
      </c>
      <c r="N1875" s="29">
        <f>IF(OR(L1875="",K1875=""),"",K1875*MIN(MAX(1,N(E1875)),MAX(0,INT((Config!$B$8-L1875)/30)+1)))</f>
        <v/>
      </c>
      <c r="O1875" s="29">
        <f>IF(J1875="","",J1875-N(N1875))</f>
        <v/>
      </c>
      <c r="P1875" s="27">
        <f>IF(A1875="","",MONTH(A1875))</f>
        <v/>
      </c>
      <c r="Q1875" s="27">
        <f>IF(A1875="","",YEAR(A1875))</f>
        <v/>
      </c>
      <c r="R1875" s="27">
        <f>IF(L1875="","",IF(L1875&gt;Config!$B$8,"A cair",IF(N(G1875)&gt;=MIN(MAX(1,N(E1875)),MAX(0,INT((Config!$B$8-L1875)/30)+1)),IF(N(G1875)&gt;=MAX(1,N(E1875)),"Conferido","Conferido até aqui"),"A conferir")))</f>
        <v/>
      </c>
      <c r="S1875" s="51">
        <f>IF(R1875="A conferir",(Config!$B$8-L1875)*1000+N(F1875)/1000+ROW()/100000,0)</f>
        <v>0</v>
      </c>
      <c r="T1875" s="51">
        <f>IF(R1875="A conferir",N(N1875),0)</f>
        <v>0</v>
      </c>
      <c r="U1875" s="51">
        <f>IF(L1875="",0,L1875)</f>
        <v>0</v>
      </c>
      <c r="V1875" s="51">
        <f>IF(L1875="",0,MAX(1,N(E1875)))</f>
        <v>0</v>
      </c>
      <c r="W1875" s="51">
        <f>IF(K1875="",0,K1875)</f>
        <v>0</v>
      </c>
    </row>
    <row r="1876">
      <c r="A1876" s="49" t="n"/>
      <c r="B1876" s="41" t="n"/>
      <c r="C1876" s="41" t="n"/>
      <c r="D1876" s="42" t="n"/>
      <c r="E1876" s="42" t="n"/>
      <c r="F1876" s="50" t="n"/>
      <c r="G1876" s="42" t="n"/>
      <c r="H1876" s="30">
        <f>IF(D1876="","",IFERROR(INDEX(Config!$B$12:$B$15,MATCH(IF(AND(D1876="Cartão de crédito",N(E1876)&gt;1),"Cartão de crédito parcelado",D1876),Config!$A$12:$A$15,0)),0)+IF(AND(Config!$B$17="Sim",LEFT(D1876,17)="Cartão de crédito"),Config!$B$18*IFERROR(INDEX(Config!$C$12:$C$15,MATCH(IF(AND(D1876="Cartão de crédito",N(E1876)&gt;1),"Cartão de crédito parcelado",D1876),Config!$A$12:$A$15,0)),0)/30*MAX(1,N(E1876)),0))</f>
        <v/>
      </c>
      <c r="I1876" s="29">
        <f>IF(OR(D1876="",F1876=""),"",ROUND(F1876*H1876,2))</f>
        <v/>
      </c>
      <c r="J1876" s="29">
        <f>IF(I1876="","",F1876-I1876)</f>
        <v/>
      </c>
      <c r="K1876" s="29">
        <f>IF(J1876="","",J1876/MAX(1,N(E1876)))</f>
        <v/>
      </c>
      <c r="L1876" s="37">
        <f>IF(OR(D1876="",A1876=""),"",A1876+IF(AND(Config!$B$17="Sim",LEFT(D1876,17)="Cartão de crédito"),1,IFERROR(INDEX(Config!$C$12:$C$15,MATCH(IF(AND(D1876="Cartão de crédito",N(E1876)&gt;1),"Cartão de crédito parcelado",D1876),Config!$A$12:$A$15,0)),0)))</f>
        <v/>
      </c>
      <c r="M1876" s="37">
        <f>IF(L1876="","",IF(AND(Config!$B$17="Sim",LEFT(D1876,17)="Cartão de crédito"),L1876,L1876+30*(MAX(1,N(E1876))-1)))</f>
        <v/>
      </c>
      <c r="N1876" s="29">
        <f>IF(OR(L1876="",K1876=""),"",K1876*MIN(MAX(1,N(E1876)),MAX(0,INT((Config!$B$8-L1876)/30)+1)))</f>
        <v/>
      </c>
      <c r="O1876" s="29">
        <f>IF(J1876="","",J1876-N(N1876))</f>
        <v/>
      </c>
      <c r="P1876" s="27">
        <f>IF(A1876="","",MONTH(A1876))</f>
        <v/>
      </c>
      <c r="Q1876" s="27">
        <f>IF(A1876="","",YEAR(A1876))</f>
        <v/>
      </c>
      <c r="R1876" s="27">
        <f>IF(L1876="","",IF(L1876&gt;Config!$B$8,"A cair",IF(N(G1876)&gt;=MIN(MAX(1,N(E1876)),MAX(0,INT((Config!$B$8-L1876)/30)+1)),IF(N(G1876)&gt;=MAX(1,N(E1876)),"Conferido","Conferido até aqui"),"A conferir")))</f>
        <v/>
      </c>
      <c r="S1876" s="51">
        <f>IF(R1876="A conferir",(Config!$B$8-L1876)*1000+N(F1876)/1000+ROW()/100000,0)</f>
        <v>0</v>
      </c>
      <c r="T1876" s="51">
        <f>IF(R1876="A conferir",N(N1876),0)</f>
        <v>0</v>
      </c>
      <c r="U1876" s="51">
        <f>IF(L1876="",0,L1876)</f>
        <v>0</v>
      </c>
      <c r="V1876" s="51">
        <f>IF(L1876="",0,MAX(1,N(E1876)))</f>
        <v>0</v>
      </c>
      <c r="W1876" s="51">
        <f>IF(K1876="",0,K1876)</f>
        <v>0</v>
      </c>
    </row>
    <row r="1877">
      <c r="A1877" s="49" t="n"/>
      <c r="B1877" s="41" t="n"/>
      <c r="C1877" s="41" t="n"/>
      <c r="D1877" s="42" t="n"/>
      <c r="E1877" s="42" t="n"/>
      <c r="F1877" s="50" t="n"/>
      <c r="G1877" s="42" t="n"/>
      <c r="H1877" s="30">
        <f>IF(D1877="","",IFERROR(INDEX(Config!$B$12:$B$15,MATCH(IF(AND(D1877="Cartão de crédito",N(E1877)&gt;1),"Cartão de crédito parcelado",D1877),Config!$A$12:$A$15,0)),0)+IF(AND(Config!$B$17="Sim",LEFT(D1877,17)="Cartão de crédito"),Config!$B$18*IFERROR(INDEX(Config!$C$12:$C$15,MATCH(IF(AND(D1877="Cartão de crédito",N(E1877)&gt;1),"Cartão de crédito parcelado",D1877),Config!$A$12:$A$15,0)),0)/30*MAX(1,N(E1877)),0))</f>
        <v/>
      </c>
      <c r="I1877" s="29">
        <f>IF(OR(D1877="",F1877=""),"",ROUND(F1877*H1877,2))</f>
        <v/>
      </c>
      <c r="J1877" s="29">
        <f>IF(I1877="","",F1877-I1877)</f>
        <v/>
      </c>
      <c r="K1877" s="29">
        <f>IF(J1877="","",J1877/MAX(1,N(E1877)))</f>
        <v/>
      </c>
      <c r="L1877" s="37">
        <f>IF(OR(D1877="",A1877=""),"",A1877+IF(AND(Config!$B$17="Sim",LEFT(D1877,17)="Cartão de crédito"),1,IFERROR(INDEX(Config!$C$12:$C$15,MATCH(IF(AND(D1877="Cartão de crédito",N(E1877)&gt;1),"Cartão de crédito parcelado",D1877),Config!$A$12:$A$15,0)),0)))</f>
        <v/>
      </c>
      <c r="M1877" s="37">
        <f>IF(L1877="","",IF(AND(Config!$B$17="Sim",LEFT(D1877,17)="Cartão de crédito"),L1877,L1877+30*(MAX(1,N(E1877))-1)))</f>
        <v/>
      </c>
      <c r="N1877" s="29">
        <f>IF(OR(L1877="",K1877=""),"",K1877*MIN(MAX(1,N(E1877)),MAX(0,INT((Config!$B$8-L1877)/30)+1)))</f>
        <v/>
      </c>
      <c r="O1877" s="29">
        <f>IF(J1877="","",J1877-N(N1877))</f>
        <v/>
      </c>
      <c r="P1877" s="27">
        <f>IF(A1877="","",MONTH(A1877))</f>
        <v/>
      </c>
      <c r="Q1877" s="27">
        <f>IF(A1877="","",YEAR(A1877))</f>
        <v/>
      </c>
      <c r="R1877" s="27">
        <f>IF(L1877="","",IF(L1877&gt;Config!$B$8,"A cair",IF(N(G1877)&gt;=MIN(MAX(1,N(E1877)),MAX(0,INT((Config!$B$8-L1877)/30)+1)),IF(N(G1877)&gt;=MAX(1,N(E1877)),"Conferido","Conferido até aqui"),"A conferir")))</f>
        <v/>
      </c>
      <c r="S1877" s="51">
        <f>IF(R1877="A conferir",(Config!$B$8-L1877)*1000+N(F1877)/1000+ROW()/100000,0)</f>
        <v>0</v>
      </c>
      <c r="T1877" s="51">
        <f>IF(R1877="A conferir",N(N1877),0)</f>
        <v>0</v>
      </c>
      <c r="U1877" s="51">
        <f>IF(L1877="",0,L1877)</f>
        <v>0</v>
      </c>
      <c r="V1877" s="51">
        <f>IF(L1877="",0,MAX(1,N(E1877)))</f>
        <v>0</v>
      </c>
      <c r="W1877" s="51">
        <f>IF(K1877="",0,K1877)</f>
        <v>0</v>
      </c>
    </row>
    <row r="1878">
      <c r="A1878" s="49" t="n"/>
      <c r="B1878" s="41" t="n"/>
      <c r="C1878" s="41" t="n"/>
      <c r="D1878" s="42" t="n"/>
      <c r="E1878" s="42" t="n"/>
      <c r="F1878" s="50" t="n"/>
      <c r="G1878" s="42" t="n"/>
      <c r="H1878" s="30">
        <f>IF(D1878="","",IFERROR(INDEX(Config!$B$12:$B$15,MATCH(IF(AND(D1878="Cartão de crédito",N(E1878)&gt;1),"Cartão de crédito parcelado",D1878),Config!$A$12:$A$15,0)),0)+IF(AND(Config!$B$17="Sim",LEFT(D1878,17)="Cartão de crédito"),Config!$B$18*IFERROR(INDEX(Config!$C$12:$C$15,MATCH(IF(AND(D1878="Cartão de crédito",N(E1878)&gt;1),"Cartão de crédito parcelado",D1878),Config!$A$12:$A$15,0)),0)/30*MAX(1,N(E1878)),0))</f>
        <v/>
      </c>
      <c r="I1878" s="29">
        <f>IF(OR(D1878="",F1878=""),"",ROUND(F1878*H1878,2))</f>
        <v/>
      </c>
      <c r="J1878" s="29">
        <f>IF(I1878="","",F1878-I1878)</f>
        <v/>
      </c>
      <c r="K1878" s="29">
        <f>IF(J1878="","",J1878/MAX(1,N(E1878)))</f>
        <v/>
      </c>
      <c r="L1878" s="37">
        <f>IF(OR(D1878="",A1878=""),"",A1878+IF(AND(Config!$B$17="Sim",LEFT(D1878,17)="Cartão de crédito"),1,IFERROR(INDEX(Config!$C$12:$C$15,MATCH(IF(AND(D1878="Cartão de crédito",N(E1878)&gt;1),"Cartão de crédito parcelado",D1878),Config!$A$12:$A$15,0)),0)))</f>
        <v/>
      </c>
      <c r="M1878" s="37">
        <f>IF(L1878="","",IF(AND(Config!$B$17="Sim",LEFT(D1878,17)="Cartão de crédito"),L1878,L1878+30*(MAX(1,N(E1878))-1)))</f>
        <v/>
      </c>
      <c r="N1878" s="29">
        <f>IF(OR(L1878="",K1878=""),"",K1878*MIN(MAX(1,N(E1878)),MAX(0,INT((Config!$B$8-L1878)/30)+1)))</f>
        <v/>
      </c>
      <c r="O1878" s="29">
        <f>IF(J1878="","",J1878-N(N1878))</f>
        <v/>
      </c>
      <c r="P1878" s="27">
        <f>IF(A1878="","",MONTH(A1878))</f>
        <v/>
      </c>
      <c r="Q1878" s="27">
        <f>IF(A1878="","",YEAR(A1878))</f>
        <v/>
      </c>
      <c r="R1878" s="27">
        <f>IF(L1878="","",IF(L1878&gt;Config!$B$8,"A cair",IF(N(G1878)&gt;=MIN(MAX(1,N(E1878)),MAX(0,INT((Config!$B$8-L1878)/30)+1)),IF(N(G1878)&gt;=MAX(1,N(E1878)),"Conferido","Conferido até aqui"),"A conferir")))</f>
        <v/>
      </c>
      <c r="S1878" s="51">
        <f>IF(R1878="A conferir",(Config!$B$8-L1878)*1000+N(F1878)/1000+ROW()/100000,0)</f>
        <v>0</v>
      </c>
      <c r="T1878" s="51">
        <f>IF(R1878="A conferir",N(N1878),0)</f>
        <v>0</v>
      </c>
      <c r="U1878" s="51">
        <f>IF(L1878="",0,L1878)</f>
        <v>0</v>
      </c>
      <c r="V1878" s="51">
        <f>IF(L1878="",0,MAX(1,N(E1878)))</f>
        <v>0</v>
      </c>
      <c r="W1878" s="51">
        <f>IF(K1878="",0,K1878)</f>
        <v>0</v>
      </c>
    </row>
    <row r="1879">
      <c r="A1879" s="49" t="n"/>
      <c r="B1879" s="41" t="n"/>
      <c r="C1879" s="41" t="n"/>
      <c r="D1879" s="42" t="n"/>
      <c r="E1879" s="42" t="n"/>
      <c r="F1879" s="50" t="n"/>
      <c r="G1879" s="42" t="n"/>
      <c r="H1879" s="30">
        <f>IF(D1879="","",IFERROR(INDEX(Config!$B$12:$B$15,MATCH(IF(AND(D1879="Cartão de crédito",N(E1879)&gt;1),"Cartão de crédito parcelado",D1879),Config!$A$12:$A$15,0)),0)+IF(AND(Config!$B$17="Sim",LEFT(D1879,17)="Cartão de crédito"),Config!$B$18*IFERROR(INDEX(Config!$C$12:$C$15,MATCH(IF(AND(D1879="Cartão de crédito",N(E1879)&gt;1),"Cartão de crédito parcelado",D1879),Config!$A$12:$A$15,0)),0)/30*MAX(1,N(E1879)),0))</f>
        <v/>
      </c>
      <c r="I1879" s="29">
        <f>IF(OR(D1879="",F1879=""),"",ROUND(F1879*H1879,2))</f>
        <v/>
      </c>
      <c r="J1879" s="29">
        <f>IF(I1879="","",F1879-I1879)</f>
        <v/>
      </c>
      <c r="K1879" s="29">
        <f>IF(J1879="","",J1879/MAX(1,N(E1879)))</f>
        <v/>
      </c>
      <c r="L1879" s="37">
        <f>IF(OR(D1879="",A1879=""),"",A1879+IF(AND(Config!$B$17="Sim",LEFT(D1879,17)="Cartão de crédito"),1,IFERROR(INDEX(Config!$C$12:$C$15,MATCH(IF(AND(D1879="Cartão de crédito",N(E1879)&gt;1),"Cartão de crédito parcelado",D1879),Config!$A$12:$A$15,0)),0)))</f>
        <v/>
      </c>
      <c r="M1879" s="37">
        <f>IF(L1879="","",IF(AND(Config!$B$17="Sim",LEFT(D1879,17)="Cartão de crédito"),L1879,L1879+30*(MAX(1,N(E1879))-1)))</f>
        <v/>
      </c>
      <c r="N1879" s="29">
        <f>IF(OR(L1879="",K1879=""),"",K1879*MIN(MAX(1,N(E1879)),MAX(0,INT((Config!$B$8-L1879)/30)+1)))</f>
        <v/>
      </c>
      <c r="O1879" s="29">
        <f>IF(J1879="","",J1879-N(N1879))</f>
        <v/>
      </c>
      <c r="P1879" s="27">
        <f>IF(A1879="","",MONTH(A1879))</f>
        <v/>
      </c>
      <c r="Q1879" s="27">
        <f>IF(A1879="","",YEAR(A1879))</f>
        <v/>
      </c>
      <c r="R1879" s="27">
        <f>IF(L1879="","",IF(L1879&gt;Config!$B$8,"A cair",IF(N(G1879)&gt;=MIN(MAX(1,N(E1879)),MAX(0,INT((Config!$B$8-L1879)/30)+1)),IF(N(G1879)&gt;=MAX(1,N(E1879)),"Conferido","Conferido até aqui"),"A conferir")))</f>
        <v/>
      </c>
      <c r="S1879" s="51">
        <f>IF(R1879="A conferir",(Config!$B$8-L1879)*1000+N(F1879)/1000+ROW()/100000,0)</f>
        <v>0</v>
      </c>
      <c r="T1879" s="51">
        <f>IF(R1879="A conferir",N(N1879),0)</f>
        <v>0</v>
      </c>
      <c r="U1879" s="51">
        <f>IF(L1879="",0,L1879)</f>
        <v>0</v>
      </c>
      <c r="V1879" s="51">
        <f>IF(L1879="",0,MAX(1,N(E1879)))</f>
        <v>0</v>
      </c>
      <c r="W1879" s="51">
        <f>IF(K1879="",0,K1879)</f>
        <v>0</v>
      </c>
    </row>
    <row r="1880">
      <c r="A1880" s="49" t="n"/>
      <c r="B1880" s="41" t="n"/>
      <c r="C1880" s="41" t="n"/>
      <c r="D1880" s="42" t="n"/>
      <c r="E1880" s="42" t="n"/>
      <c r="F1880" s="50" t="n"/>
      <c r="G1880" s="42" t="n"/>
      <c r="H1880" s="30">
        <f>IF(D1880="","",IFERROR(INDEX(Config!$B$12:$B$15,MATCH(IF(AND(D1880="Cartão de crédito",N(E1880)&gt;1),"Cartão de crédito parcelado",D1880),Config!$A$12:$A$15,0)),0)+IF(AND(Config!$B$17="Sim",LEFT(D1880,17)="Cartão de crédito"),Config!$B$18*IFERROR(INDEX(Config!$C$12:$C$15,MATCH(IF(AND(D1880="Cartão de crédito",N(E1880)&gt;1),"Cartão de crédito parcelado",D1880),Config!$A$12:$A$15,0)),0)/30*MAX(1,N(E1880)),0))</f>
        <v/>
      </c>
      <c r="I1880" s="29">
        <f>IF(OR(D1880="",F1880=""),"",ROUND(F1880*H1880,2))</f>
        <v/>
      </c>
      <c r="J1880" s="29">
        <f>IF(I1880="","",F1880-I1880)</f>
        <v/>
      </c>
      <c r="K1880" s="29">
        <f>IF(J1880="","",J1880/MAX(1,N(E1880)))</f>
        <v/>
      </c>
      <c r="L1880" s="37">
        <f>IF(OR(D1880="",A1880=""),"",A1880+IF(AND(Config!$B$17="Sim",LEFT(D1880,17)="Cartão de crédito"),1,IFERROR(INDEX(Config!$C$12:$C$15,MATCH(IF(AND(D1880="Cartão de crédito",N(E1880)&gt;1),"Cartão de crédito parcelado",D1880),Config!$A$12:$A$15,0)),0)))</f>
        <v/>
      </c>
      <c r="M1880" s="37">
        <f>IF(L1880="","",IF(AND(Config!$B$17="Sim",LEFT(D1880,17)="Cartão de crédito"),L1880,L1880+30*(MAX(1,N(E1880))-1)))</f>
        <v/>
      </c>
      <c r="N1880" s="29">
        <f>IF(OR(L1880="",K1880=""),"",K1880*MIN(MAX(1,N(E1880)),MAX(0,INT((Config!$B$8-L1880)/30)+1)))</f>
        <v/>
      </c>
      <c r="O1880" s="29">
        <f>IF(J1880="","",J1880-N(N1880))</f>
        <v/>
      </c>
      <c r="P1880" s="27">
        <f>IF(A1880="","",MONTH(A1880))</f>
        <v/>
      </c>
      <c r="Q1880" s="27">
        <f>IF(A1880="","",YEAR(A1880))</f>
        <v/>
      </c>
      <c r="R1880" s="27">
        <f>IF(L1880="","",IF(L1880&gt;Config!$B$8,"A cair",IF(N(G1880)&gt;=MIN(MAX(1,N(E1880)),MAX(0,INT((Config!$B$8-L1880)/30)+1)),IF(N(G1880)&gt;=MAX(1,N(E1880)),"Conferido","Conferido até aqui"),"A conferir")))</f>
        <v/>
      </c>
      <c r="S1880" s="51">
        <f>IF(R1880="A conferir",(Config!$B$8-L1880)*1000+N(F1880)/1000+ROW()/100000,0)</f>
        <v>0</v>
      </c>
      <c r="T1880" s="51">
        <f>IF(R1880="A conferir",N(N1880),0)</f>
        <v>0</v>
      </c>
      <c r="U1880" s="51">
        <f>IF(L1880="",0,L1880)</f>
        <v>0</v>
      </c>
      <c r="V1880" s="51">
        <f>IF(L1880="",0,MAX(1,N(E1880)))</f>
        <v>0</v>
      </c>
      <c r="W1880" s="51">
        <f>IF(K1880="",0,K1880)</f>
        <v>0</v>
      </c>
    </row>
    <row r="1881">
      <c r="A1881" s="49" t="n"/>
      <c r="B1881" s="41" t="n"/>
      <c r="C1881" s="41" t="n"/>
      <c r="D1881" s="42" t="n"/>
      <c r="E1881" s="42" t="n"/>
      <c r="F1881" s="50" t="n"/>
      <c r="G1881" s="42" t="n"/>
      <c r="H1881" s="30">
        <f>IF(D1881="","",IFERROR(INDEX(Config!$B$12:$B$15,MATCH(IF(AND(D1881="Cartão de crédito",N(E1881)&gt;1),"Cartão de crédito parcelado",D1881),Config!$A$12:$A$15,0)),0)+IF(AND(Config!$B$17="Sim",LEFT(D1881,17)="Cartão de crédito"),Config!$B$18*IFERROR(INDEX(Config!$C$12:$C$15,MATCH(IF(AND(D1881="Cartão de crédito",N(E1881)&gt;1),"Cartão de crédito parcelado",D1881),Config!$A$12:$A$15,0)),0)/30*MAX(1,N(E1881)),0))</f>
        <v/>
      </c>
      <c r="I1881" s="29">
        <f>IF(OR(D1881="",F1881=""),"",ROUND(F1881*H1881,2))</f>
        <v/>
      </c>
      <c r="J1881" s="29">
        <f>IF(I1881="","",F1881-I1881)</f>
        <v/>
      </c>
      <c r="K1881" s="29">
        <f>IF(J1881="","",J1881/MAX(1,N(E1881)))</f>
        <v/>
      </c>
      <c r="L1881" s="37">
        <f>IF(OR(D1881="",A1881=""),"",A1881+IF(AND(Config!$B$17="Sim",LEFT(D1881,17)="Cartão de crédito"),1,IFERROR(INDEX(Config!$C$12:$C$15,MATCH(IF(AND(D1881="Cartão de crédito",N(E1881)&gt;1),"Cartão de crédito parcelado",D1881),Config!$A$12:$A$15,0)),0)))</f>
        <v/>
      </c>
      <c r="M1881" s="37">
        <f>IF(L1881="","",IF(AND(Config!$B$17="Sim",LEFT(D1881,17)="Cartão de crédito"),L1881,L1881+30*(MAX(1,N(E1881))-1)))</f>
        <v/>
      </c>
      <c r="N1881" s="29">
        <f>IF(OR(L1881="",K1881=""),"",K1881*MIN(MAX(1,N(E1881)),MAX(0,INT((Config!$B$8-L1881)/30)+1)))</f>
        <v/>
      </c>
      <c r="O1881" s="29">
        <f>IF(J1881="","",J1881-N(N1881))</f>
        <v/>
      </c>
      <c r="P1881" s="27">
        <f>IF(A1881="","",MONTH(A1881))</f>
        <v/>
      </c>
      <c r="Q1881" s="27">
        <f>IF(A1881="","",YEAR(A1881))</f>
        <v/>
      </c>
      <c r="R1881" s="27">
        <f>IF(L1881="","",IF(L1881&gt;Config!$B$8,"A cair",IF(N(G1881)&gt;=MIN(MAX(1,N(E1881)),MAX(0,INT((Config!$B$8-L1881)/30)+1)),IF(N(G1881)&gt;=MAX(1,N(E1881)),"Conferido","Conferido até aqui"),"A conferir")))</f>
        <v/>
      </c>
      <c r="S1881" s="51">
        <f>IF(R1881="A conferir",(Config!$B$8-L1881)*1000+N(F1881)/1000+ROW()/100000,0)</f>
        <v>0</v>
      </c>
      <c r="T1881" s="51">
        <f>IF(R1881="A conferir",N(N1881),0)</f>
        <v>0</v>
      </c>
      <c r="U1881" s="51">
        <f>IF(L1881="",0,L1881)</f>
        <v>0</v>
      </c>
      <c r="V1881" s="51">
        <f>IF(L1881="",0,MAX(1,N(E1881)))</f>
        <v>0</v>
      </c>
      <c r="W1881" s="51">
        <f>IF(K1881="",0,K1881)</f>
        <v>0</v>
      </c>
    </row>
    <row r="1882">
      <c r="A1882" s="49" t="n"/>
      <c r="B1882" s="41" t="n"/>
      <c r="C1882" s="41" t="n"/>
      <c r="D1882" s="42" t="n"/>
      <c r="E1882" s="42" t="n"/>
      <c r="F1882" s="50" t="n"/>
      <c r="G1882" s="42" t="n"/>
      <c r="H1882" s="30">
        <f>IF(D1882="","",IFERROR(INDEX(Config!$B$12:$B$15,MATCH(IF(AND(D1882="Cartão de crédito",N(E1882)&gt;1),"Cartão de crédito parcelado",D1882),Config!$A$12:$A$15,0)),0)+IF(AND(Config!$B$17="Sim",LEFT(D1882,17)="Cartão de crédito"),Config!$B$18*IFERROR(INDEX(Config!$C$12:$C$15,MATCH(IF(AND(D1882="Cartão de crédito",N(E1882)&gt;1),"Cartão de crédito parcelado",D1882),Config!$A$12:$A$15,0)),0)/30*MAX(1,N(E1882)),0))</f>
        <v/>
      </c>
      <c r="I1882" s="29">
        <f>IF(OR(D1882="",F1882=""),"",ROUND(F1882*H1882,2))</f>
        <v/>
      </c>
      <c r="J1882" s="29">
        <f>IF(I1882="","",F1882-I1882)</f>
        <v/>
      </c>
      <c r="K1882" s="29">
        <f>IF(J1882="","",J1882/MAX(1,N(E1882)))</f>
        <v/>
      </c>
      <c r="L1882" s="37">
        <f>IF(OR(D1882="",A1882=""),"",A1882+IF(AND(Config!$B$17="Sim",LEFT(D1882,17)="Cartão de crédito"),1,IFERROR(INDEX(Config!$C$12:$C$15,MATCH(IF(AND(D1882="Cartão de crédito",N(E1882)&gt;1),"Cartão de crédito parcelado",D1882),Config!$A$12:$A$15,0)),0)))</f>
        <v/>
      </c>
      <c r="M1882" s="37">
        <f>IF(L1882="","",IF(AND(Config!$B$17="Sim",LEFT(D1882,17)="Cartão de crédito"),L1882,L1882+30*(MAX(1,N(E1882))-1)))</f>
        <v/>
      </c>
      <c r="N1882" s="29">
        <f>IF(OR(L1882="",K1882=""),"",K1882*MIN(MAX(1,N(E1882)),MAX(0,INT((Config!$B$8-L1882)/30)+1)))</f>
        <v/>
      </c>
      <c r="O1882" s="29">
        <f>IF(J1882="","",J1882-N(N1882))</f>
        <v/>
      </c>
      <c r="P1882" s="27">
        <f>IF(A1882="","",MONTH(A1882))</f>
        <v/>
      </c>
      <c r="Q1882" s="27">
        <f>IF(A1882="","",YEAR(A1882))</f>
        <v/>
      </c>
      <c r="R1882" s="27">
        <f>IF(L1882="","",IF(L1882&gt;Config!$B$8,"A cair",IF(N(G1882)&gt;=MIN(MAX(1,N(E1882)),MAX(0,INT((Config!$B$8-L1882)/30)+1)),IF(N(G1882)&gt;=MAX(1,N(E1882)),"Conferido","Conferido até aqui"),"A conferir")))</f>
        <v/>
      </c>
      <c r="S1882" s="51">
        <f>IF(R1882="A conferir",(Config!$B$8-L1882)*1000+N(F1882)/1000+ROW()/100000,0)</f>
        <v>0</v>
      </c>
      <c r="T1882" s="51">
        <f>IF(R1882="A conferir",N(N1882),0)</f>
        <v>0</v>
      </c>
      <c r="U1882" s="51">
        <f>IF(L1882="",0,L1882)</f>
        <v>0</v>
      </c>
      <c r="V1882" s="51">
        <f>IF(L1882="",0,MAX(1,N(E1882)))</f>
        <v>0</v>
      </c>
      <c r="W1882" s="51">
        <f>IF(K1882="",0,K1882)</f>
        <v>0</v>
      </c>
    </row>
    <row r="1883">
      <c r="A1883" s="49" t="n"/>
      <c r="B1883" s="41" t="n"/>
      <c r="C1883" s="41" t="n"/>
      <c r="D1883" s="42" t="n"/>
      <c r="E1883" s="42" t="n"/>
      <c r="F1883" s="50" t="n"/>
      <c r="G1883" s="42" t="n"/>
      <c r="H1883" s="30">
        <f>IF(D1883="","",IFERROR(INDEX(Config!$B$12:$B$15,MATCH(IF(AND(D1883="Cartão de crédito",N(E1883)&gt;1),"Cartão de crédito parcelado",D1883),Config!$A$12:$A$15,0)),0)+IF(AND(Config!$B$17="Sim",LEFT(D1883,17)="Cartão de crédito"),Config!$B$18*IFERROR(INDEX(Config!$C$12:$C$15,MATCH(IF(AND(D1883="Cartão de crédito",N(E1883)&gt;1),"Cartão de crédito parcelado",D1883),Config!$A$12:$A$15,0)),0)/30*MAX(1,N(E1883)),0))</f>
        <v/>
      </c>
      <c r="I1883" s="29">
        <f>IF(OR(D1883="",F1883=""),"",ROUND(F1883*H1883,2))</f>
        <v/>
      </c>
      <c r="J1883" s="29">
        <f>IF(I1883="","",F1883-I1883)</f>
        <v/>
      </c>
      <c r="K1883" s="29">
        <f>IF(J1883="","",J1883/MAX(1,N(E1883)))</f>
        <v/>
      </c>
      <c r="L1883" s="37">
        <f>IF(OR(D1883="",A1883=""),"",A1883+IF(AND(Config!$B$17="Sim",LEFT(D1883,17)="Cartão de crédito"),1,IFERROR(INDEX(Config!$C$12:$C$15,MATCH(IF(AND(D1883="Cartão de crédito",N(E1883)&gt;1),"Cartão de crédito parcelado",D1883),Config!$A$12:$A$15,0)),0)))</f>
        <v/>
      </c>
      <c r="M1883" s="37">
        <f>IF(L1883="","",IF(AND(Config!$B$17="Sim",LEFT(D1883,17)="Cartão de crédito"),L1883,L1883+30*(MAX(1,N(E1883))-1)))</f>
        <v/>
      </c>
      <c r="N1883" s="29">
        <f>IF(OR(L1883="",K1883=""),"",K1883*MIN(MAX(1,N(E1883)),MAX(0,INT((Config!$B$8-L1883)/30)+1)))</f>
        <v/>
      </c>
      <c r="O1883" s="29">
        <f>IF(J1883="","",J1883-N(N1883))</f>
        <v/>
      </c>
      <c r="P1883" s="27">
        <f>IF(A1883="","",MONTH(A1883))</f>
        <v/>
      </c>
      <c r="Q1883" s="27">
        <f>IF(A1883="","",YEAR(A1883))</f>
        <v/>
      </c>
      <c r="R1883" s="27">
        <f>IF(L1883="","",IF(L1883&gt;Config!$B$8,"A cair",IF(N(G1883)&gt;=MIN(MAX(1,N(E1883)),MAX(0,INT((Config!$B$8-L1883)/30)+1)),IF(N(G1883)&gt;=MAX(1,N(E1883)),"Conferido","Conferido até aqui"),"A conferir")))</f>
        <v/>
      </c>
      <c r="S1883" s="51">
        <f>IF(R1883="A conferir",(Config!$B$8-L1883)*1000+N(F1883)/1000+ROW()/100000,0)</f>
        <v>0</v>
      </c>
      <c r="T1883" s="51">
        <f>IF(R1883="A conferir",N(N1883),0)</f>
        <v>0</v>
      </c>
      <c r="U1883" s="51">
        <f>IF(L1883="",0,L1883)</f>
        <v>0</v>
      </c>
      <c r="V1883" s="51">
        <f>IF(L1883="",0,MAX(1,N(E1883)))</f>
        <v>0</v>
      </c>
      <c r="W1883" s="51">
        <f>IF(K1883="",0,K1883)</f>
        <v>0</v>
      </c>
    </row>
    <row r="1884">
      <c r="A1884" s="49" t="n"/>
      <c r="B1884" s="41" t="n"/>
      <c r="C1884" s="41" t="n"/>
      <c r="D1884" s="42" t="n"/>
      <c r="E1884" s="42" t="n"/>
      <c r="F1884" s="50" t="n"/>
      <c r="G1884" s="42" t="n"/>
      <c r="H1884" s="30">
        <f>IF(D1884="","",IFERROR(INDEX(Config!$B$12:$B$15,MATCH(IF(AND(D1884="Cartão de crédito",N(E1884)&gt;1),"Cartão de crédito parcelado",D1884),Config!$A$12:$A$15,0)),0)+IF(AND(Config!$B$17="Sim",LEFT(D1884,17)="Cartão de crédito"),Config!$B$18*IFERROR(INDEX(Config!$C$12:$C$15,MATCH(IF(AND(D1884="Cartão de crédito",N(E1884)&gt;1),"Cartão de crédito parcelado",D1884),Config!$A$12:$A$15,0)),0)/30*MAX(1,N(E1884)),0))</f>
        <v/>
      </c>
      <c r="I1884" s="29">
        <f>IF(OR(D1884="",F1884=""),"",ROUND(F1884*H1884,2))</f>
        <v/>
      </c>
      <c r="J1884" s="29">
        <f>IF(I1884="","",F1884-I1884)</f>
        <v/>
      </c>
      <c r="K1884" s="29">
        <f>IF(J1884="","",J1884/MAX(1,N(E1884)))</f>
        <v/>
      </c>
      <c r="L1884" s="37">
        <f>IF(OR(D1884="",A1884=""),"",A1884+IF(AND(Config!$B$17="Sim",LEFT(D1884,17)="Cartão de crédito"),1,IFERROR(INDEX(Config!$C$12:$C$15,MATCH(IF(AND(D1884="Cartão de crédito",N(E1884)&gt;1),"Cartão de crédito parcelado",D1884),Config!$A$12:$A$15,0)),0)))</f>
        <v/>
      </c>
      <c r="M1884" s="37">
        <f>IF(L1884="","",IF(AND(Config!$B$17="Sim",LEFT(D1884,17)="Cartão de crédito"),L1884,L1884+30*(MAX(1,N(E1884))-1)))</f>
        <v/>
      </c>
      <c r="N1884" s="29">
        <f>IF(OR(L1884="",K1884=""),"",K1884*MIN(MAX(1,N(E1884)),MAX(0,INT((Config!$B$8-L1884)/30)+1)))</f>
        <v/>
      </c>
      <c r="O1884" s="29">
        <f>IF(J1884="","",J1884-N(N1884))</f>
        <v/>
      </c>
      <c r="P1884" s="27">
        <f>IF(A1884="","",MONTH(A1884))</f>
        <v/>
      </c>
      <c r="Q1884" s="27">
        <f>IF(A1884="","",YEAR(A1884))</f>
        <v/>
      </c>
      <c r="R1884" s="27">
        <f>IF(L1884="","",IF(L1884&gt;Config!$B$8,"A cair",IF(N(G1884)&gt;=MIN(MAX(1,N(E1884)),MAX(0,INT((Config!$B$8-L1884)/30)+1)),IF(N(G1884)&gt;=MAX(1,N(E1884)),"Conferido","Conferido até aqui"),"A conferir")))</f>
        <v/>
      </c>
      <c r="S1884" s="51">
        <f>IF(R1884="A conferir",(Config!$B$8-L1884)*1000+N(F1884)/1000+ROW()/100000,0)</f>
        <v>0</v>
      </c>
      <c r="T1884" s="51">
        <f>IF(R1884="A conferir",N(N1884),0)</f>
        <v>0</v>
      </c>
      <c r="U1884" s="51">
        <f>IF(L1884="",0,L1884)</f>
        <v>0</v>
      </c>
      <c r="V1884" s="51">
        <f>IF(L1884="",0,MAX(1,N(E1884)))</f>
        <v>0</v>
      </c>
      <c r="W1884" s="51">
        <f>IF(K1884="",0,K1884)</f>
        <v>0</v>
      </c>
    </row>
    <row r="1885">
      <c r="A1885" s="49" t="n"/>
      <c r="B1885" s="41" t="n"/>
      <c r="C1885" s="41" t="n"/>
      <c r="D1885" s="42" t="n"/>
      <c r="E1885" s="42" t="n"/>
      <c r="F1885" s="50" t="n"/>
      <c r="G1885" s="42" t="n"/>
      <c r="H1885" s="30">
        <f>IF(D1885="","",IFERROR(INDEX(Config!$B$12:$B$15,MATCH(IF(AND(D1885="Cartão de crédito",N(E1885)&gt;1),"Cartão de crédito parcelado",D1885),Config!$A$12:$A$15,0)),0)+IF(AND(Config!$B$17="Sim",LEFT(D1885,17)="Cartão de crédito"),Config!$B$18*IFERROR(INDEX(Config!$C$12:$C$15,MATCH(IF(AND(D1885="Cartão de crédito",N(E1885)&gt;1),"Cartão de crédito parcelado",D1885),Config!$A$12:$A$15,0)),0)/30*MAX(1,N(E1885)),0))</f>
        <v/>
      </c>
      <c r="I1885" s="29">
        <f>IF(OR(D1885="",F1885=""),"",ROUND(F1885*H1885,2))</f>
        <v/>
      </c>
      <c r="J1885" s="29">
        <f>IF(I1885="","",F1885-I1885)</f>
        <v/>
      </c>
      <c r="K1885" s="29">
        <f>IF(J1885="","",J1885/MAX(1,N(E1885)))</f>
        <v/>
      </c>
      <c r="L1885" s="37">
        <f>IF(OR(D1885="",A1885=""),"",A1885+IF(AND(Config!$B$17="Sim",LEFT(D1885,17)="Cartão de crédito"),1,IFERROR(INDEX(Config!$C$12:$C$15,MATCH(IF(AND(D1885="Cartão de crédito",N(E1885)&gt;1),"Cartão de crédito parcelado",D1885),Config!$A$12:$A$15,0)),0)))</f>
        <v/>
      </c>
      <c r="M1885" s="37">
        <f>IF(L1885="","",IF(AND(Config!$B$17="Sim",LEFT(D1885,17)="Cartão de crédito"),L1885,L1885+30*(MAX(1,N(E1885))-1)))</f>
        <v/>
      </c>
      <c r="N1885" s="29">
        <f>IF(OR(L1885="",K1885=""),"",K1885*MIN(MAX(1,N(E1885)),MAX(0,INT((Config!$B$8-L1885)/30)+1)))</f>
        <v/>
      </c>
      <c r="O1885" s="29">
        <f>IF(J1885="","",J1885-N(N1885))</f>
        <v/>
      </c>
      <c r="P1885" s="27">
        <f>IF(A1885="","",MONTH(A1885))</f>
        <v/>
      </c>
      <c r="Q1885" s="27">
        <f>IF(A1885="","",YEAR(A1885))</f>
        <v/>
      </c>
      <c r="R1885" s="27">
        <f>IF(L1885="","",IF(L1885&gt;Config!$B$8,"A cair",IF(N(G1885)&gt;=MIN(MAX(1,N(E1885)),MAX(0,INT((Config!$B$8-L1885)/30)+1)),IF(N(G1885)&gt;=MAX(1,N(E1885)),"Conferido","Conferido até aqui"),"A conferir")))</f>
        <v/>
      </c>
      <c r="S1885" s="51">
        <f>IF(R1885="A conferir",(Config!$B$8-L1885)*1000+N(F1885)/1000+ROW()/100000,0)</f>
        <v>0</v>
      </c>
      <c r="T1885" s="51">
        <f>IF(R1885="A conferir",N(N1885),0)</f>
        <v>0</v>
      </c>
      <c r="U1885" s="51">
        <f>IF(L1885="",0,L1885)</f>
        <v>0</v>
      </c>
      <c r="V1885" s="51">
        <f>IF(L1885="",0,MAX(1,N(E1885)))</f>
        <v>0</v>
      </c>
      <c r="W1885" s="51">
        <f>IF(K1885="",0,K1885)</f>
        <v>0</v>
      </c>
    </row>
    <row r="1886">
      <c r="A1886" s="49" t="n"/>
      <c r="B1886" s="41" t="n"/>
      <c r="C1886" s="41" t="n"/>
      <c r="D1886" s="42" t="n"/>
      <c r="E1886" s="42" t="n"/>
      <c r="F1886" s="50" t="n"/>
      <c r="G1886" s="42" t="n"/>
      <c r="H1886" s="30">
        <f>IF(D1886="","",IFERROR(INDEX(Config!$B$12:$B$15,MATCH(IF(AND(D1886="Cartão de crédito",N(E1886)&gt;1),"Cartão de crédito parcelado",D1886),Config!$A$12:$A$15,0)),0)+IF(AND(Config!$B$17="Sim",LEFT(D1886,17)="Cartão de crédito"),Config!$B$18*IFERROR(INDEX(Config!$C$12:$C$15,MATCH(IF(AND(D1886="Cartão de crédito",N(E1886)&gt;1),"Cartão de crédito parcelado",D1886),Config!$A$12:$A$15,0)),0)/30*MAX(1,N(E1886)),0))</f>
        <v/>
      </c>
      <c r="I1886" s="29">
        <f>IF(OR(D1886="",F1886=""),"",ROUND(F1886*H1886,2))</f>
        <v/>
      </c>
      <c r="J1886" s="29">
        <f>IF(I1886="","",F1886-I1886)</f>
        <v/>
      </c>
      <c r="K1886" s="29">
        <f>IF(J1886="","",J1886/MAX(1,N(E1886)))</f>
        <v/>
      </c>
      <c r="L1886" s="37">
        <f>IF(OR(D1886="",A1886=""),"",A1886+IF(AND(Config!$B$17="Sim",LEFT(D1886,17)="Cartão de crédito"),1,IFERROR(INDEX(Config!$C$12:$C$15,MATCH(IF(AND(D1886="Cartão de crédito",N(E1886)&gt;1),"Cartão de crédito parcelado",D1886),Config!$A$12:$A$15,0)),0)))</f>
        <v/>
      </c>
      <c r="M1886" s="37">
        <f>IF(L1886="","",IF(AND(Config!$B$17="Sim",LEFT(D1886,17)="Cartão de crédito"),L1886,L1886+30*(MAX(1,N(E1886))-1)))</f>
        <v/>
      </c>
      <c r="N1886" s="29">
        <f>IF(OR(L1886="",K1886=""),"",K1886*MIN(MAX(1,N(E1886)),MAX(0,INT((Config!$B$8-L1886)/30)+1)))</f>
        <v/>
      </c>
      <c r="O1886" s="29">
        <f>IF(J1886="","",J1886-N(N1886))</f>
        <v/>
      </c>
      <c r="P1886" s="27">
        <f>IF(A1886="","",MONTH(A1886))</f>
        <v/>
      </c>
      <c r="Q1886" s="27">
        <f>IF(A1886="","",YEAR(A1886))</f>
        <v/>
      </c>
      <c r="R1886" s="27">
        <f>IF(L1886="","",IF(L1886&gt;Config!$B$8,"A cair",IF(N(G1886)&gt;=MIN(MAX(1,N(E1886)),MAX(0,INT((Config!$B$8-L1886)/30)+1)),IF(N(G1886)&gt;=MAX(1,N(E1886)),"Conferido","Conferido até aqui"),"A conferir")))</f>
        <v/>
      </c>
      <c r="S1886" s="51">
        <f>IF(R1886="A conferir",(Config!$B$8-L1886)*1000+N(F1886)/1000+ROW()/100000,0)</f>
        <v>0</v>
      </c>
      <c r="T1886" s="51">
        <f>IF(R1886="A conferir",N(N1886),0)</f>
        <v>0</v>
      </c>
      <c r="U1886" s="51">
        <f>IF(L1886="",0,L1886)</f>
        <v>0</v>
      </c>
      <c r="V1886" s="51">
        <f>IF(L1886="",0,MAX(1,N(E1886)))</f>
        <v>0</v>
      </c>
      <c r="W1886" s="51">
        <f>IF(K1886="",0,K1886)</f>
        <v>0</v>
      </c>
    </row>
    <row r="1887">
      <c r="A1887" s="49" t="n"/>
      <c r="B1887" s="41" t="n"/>
      <c r="C1887" s="41" t="n"/>
      <c r="D1887" s="42" t="n"/>
      <c r="E1887" s="42" t="n"/>
      <c r="F1887" s="50" t="n"/>
      <c r="G1887" s="42" t="n"/>
      <c r="H1887" s="30">
        <f>IF(D1887="","",IFERROR(INDEX(Config!$B$12:$B$15,MATCH(IF(AND(D1887="Cartão de crédito",N(E1887)&gt;1),"Cartão de crédito parcelado",D1887),Config!$A$12:$A$15,0)),0)+IF(AND(Config!$B$17="Sim",LEFT(D1887,17)="Cartão de crédito"),Config!$B$18*IFERROR(INDEX(Config!$C$12:$C$15,MATCH(IF(AND(D1887="Cartão de crédito",N(E1887)&gt;1),"Cartão de crédito parcelado",D1887),Config!$A$12:$A$15,0)),0)/30*MAX(1,N(E1887)),0))</f>
        <v/>
      </c>
      <c r="I1887" s="29">
        <f>IF(OR(D1887="",F1887=""),"",ROUND(F1887*H1887,2))</f>
        <v/>
      </c>
      <c r="J1887" s="29">
        <f>IF(I1887="","",F1887-I1887)</f>
        <v/>
      </c>
      <c r="K1887" s="29">
        <f>IF(J1887="","",J1887/MAX(1,N(E1887)))</f>
        <v/>
      </c>
      <c r="L1887" s="37">
        <f>IF(OR(D1887="",A1887=""),"",A1887+IF(AND(Config!$B$17="Sim",LEFT(D1887,17)="Cartão de crédito"),1,IFERROR(INDEX(Config!$C$12:$C$15,MATCH(IF(AND(D1887="Cartão de crédito",N(E1887)&gt;1),"Cartão de crédito parcelado",D1887),Config!$A$12:$A$15,0)),0)))</f>
        <v/>
      </c>
      <c r="M1887" s="37">
        <f>IF(L1887="","",IF(AND(Config!$B$17="Sim",LEFT(D1887,17)="Cartão de crédito"),L1887,L1887+30*(MAX(1,N(E1887))-1)))</f>
        <v/>
      </c>
      <c r="N1887" s="29">
        <f>IF(OR(L1887="",K1887=""),"",K1887*MIN(MAX(1,N(E1887)),MAX(0,INT((Config!$B$8-L1887)/30)+1)))</f>
        <v/>
      </c>
      <c r="O1887" s="29">
        <f>IF(J1887="","",J1887-N(N1887))</f>
        <v/>
      </c>
      <c r="P1887" s="27">
        <f>IF(A1887="","",MONTH(A1887))</f>
        <v/>
      </c>
      <c r="Q1887" s="27">
        <f>IF(A1887="","",YEAR(A1887))</f>
        <v/>
      </c>
      <c r="R1887" s="27">
        <f>IF(L1887="","",IF(L1887&gt;Config!$B$8,"A cair",IF(N(G1887)&gt;=MIN(MAX(1,N(E1887)),MAX(0,INT((Config!$B$8-L1887)/30)+1)),IF(N(G1887)&gt;=MAX(1,N(E1887)),"Conferido","Conferido até aqui"),"A conferir")))</f>
        <v/>
      </c>
      <c r="S1887" s="51">
        <f>IF(R1887="A conferir",(Config!$B$8-L1887)*1000+N(F1887)/1000+ROW()/100000,0)</f>
        <v>0</v>
      </c>
      <c r="T1887" s="51">
        <f>IF(R1887="A conferir",N(N1887),0)</f>
        <v>0</v>
      </c>
      <c r="U1887" s="51">
        <f>IF(L1887="",0,L1887)</f>
        <v>0</v>
      </c>
      <c r="V1887" s="51">
        <f>IF(L1887="",0,MAX(1,N(E1887)))</f>
        <v>0</v>
      </c>
      <c r="W1887" s="51">
        <f>IF(K1887="",0,K1887)</f>
        <v>0</v>
      </c>
    </row>
    <row r="1888">
      <c r="A1888" s="49" t="n"/>
      <c r="B1888" s="41" t="n"/>
      <c r="C1888" s="41" t="n"/>
      <c r="D1888" s="42" t="n"/>
      <c r="E1888" s="42" t="n"/>
      <c r="F1888" s="50" t="n"/>
      <c r="G1888" s="42" t="n"/>
      <c r="H1888" s="30">
        <f>IF(D1888="","",IFERROR(INDEX(Config!$B$12:$B$15,MATCH(IF(AND(D1888="Cartão de crédito",N(E1888)&gt;1),"Cartão de crédito parcelado",D1888),Config!$A$12:$A$15,0)),0)+IF(AND(Config!$B$17="Sim",LEFT(D1888,17)="Cartão de crédito"),Config!$B$18*IFERROR(INDEX(Config!$C$12:$C$15,MATCH(IF(AND(D1888="Cartão de crédito",N(E1888)&gt;1),"Cartão de crédito parcelado",D1888),Config!$A$12:$A$15,0)),0)/30*MAX(1,N(E1888)),0))</f>
        <v/>
      </c>
      <c r="I1888" s="29">
        <f>IF(OR(D1888="",F1888=""),"",ROUND(F1888*H1888,2))</f>
        <v/>
      </c>
      <c r="J1888" s="29">
        <f>IF(I1888="","",F1888-I1888)</f>
        <v/>
      </c>
      <c r="K1888" s="29">
        <f>IF(J1888="","",J1888/MAX(1,N(E1888)))</f>
        <v/>
      </c>
      <c r="L1888" s="37">
        <f>IF(OR(D1888="",A1888=""),"",A1888+IF(AND(Config!$B$17="Sim",LEFT(D1888,17)="Cartão de crédito"),1,IFERROR(INDEX(Config!$C$12:$C$15,MATCH(IF(AND(D1888="Cartão de crédito",N(E1888)&gt;1),"Cartão de crédito parcelado",D1888),Config!$A$12:$A$15,0)),0)))</f>
        <v/>
      </c>
      <c r="M1888" s="37">
        <f>IF(L1888="","",IF(AND(Config!$B$17="Sim",LEFT(D1888,17)="Cartão de crédito"),L1888,L1888+30*(MAX(1,N(E1888))-1)))</f>
        <v/>
      </c>
      <c r="N1888" s="29">
        <f>IF(OR(L1888="",K1888=""),"",K1888*MIN(MAX(1,N(E1888)),MAX(0,INT((Config!$B$8-L1888)/30)+1)))</f>
        <v/>
      </c>
      <c r="O1888" s="29">
        <f>IF(J1888="","",J1888-N(N1888))</f>
        <v/>
      </c>
      <c r="P1888" s="27">
        <f>IF(A1888="","",MONTH(A1888))</f>
        <v/>
      </c>
      <c r="Q1888" s="27">
        <f>IF(A1888="","",YEAR(A1888))</f>
        <v/>
      </c>
      <c r="R1888" s="27">
        <f>IF(L1888="","",IF(L1888&gt;Config!$B$8,"A cair",IF(N(G1888)&gt;=MIN(MAX(1,N(E1888)),MAX(0,INT((Config!$B$8-L1888)/30)+1)),IF(N(G1888)&gt;=MAX(1,N(E1888)),"Conferido","Conferido até aqui"),"A conferir")))</f>
        <v/>
      </c>
      <c r="S1888" s="51">
        <f>IF(R1888="A conferir",(Config!$B$8-L1888)*1000+N(F1888)/1000+ROW()/100000,0)</f>
        <v>0</v>
      </c>
      <c r="T1888" s="51">
        <f>IF(R1888="A conferir",N(N1888),0)</f>
        <v>0</v>
      </c>
      <c r="U1888" s="51">
        <f>IF(L1888="",0,L1888)</f>
        <v>0</v>
      </c>
      <c r="V1888" s="51">
        <f>IF(L1888="",0,MAX(1,N(E1888)))</f>
        <v>0</v>
      </c>
      <c r="W1888" s="51">
        <f>IF(K1888="",0,K1888)</f>
        <v>0</v>
      </c>
    </row>
    <row r="1889">
      <c r="A1889" s="49" t="n"/>
      <c r="B1889" s="41" t="n"/>
      <c r="C1889" s="41" t="n"/>
      <c r="D1889" s="42" t="n"/>
      <c r="E1889" s="42" t="n"/>
      <c r="F1889" s="50" t="n"/>
      <c r="G1889" s="42" t="n"/>
      <c r="H1889" s="30">
        <f>IF(D1889="","",IFERROR(INDEX(Config!$B$12:$B$15,MATCH(IF(AND(D1889="Cartão de crédito",N(E1889)&gt;1),"Cartão de crédito parcelado",D1889),Config!$A$12:$A$15,0)),0)+IF(AND(Config!$B$17="Sim",LEFT(D1889,17)="Cartão de crédito"),Config!$B$18*IFERROR(INDEX(Config!$C$12:$C$15,MATCH(IF(AND(D1889="Cartão de crédito",N(E1889)&gt;1),"Cartão de crédito parcelado",D1889),Config!$A$12:$A$15,0)),0)/30*MAX(1,N(E1889)),0))</f>
        <v/>
      </c>
      <c r="I1889" s="29">
        <f>IF(OR(D1889="",F1889=""),"",ROUND(F1889*H1889,2))</f>
        <v/>
      </c>
      <c r="J1889" s="29">
        <f>IF(I1889="","",F1889-I1889)</f>
        <v/>
      </c>
      <c r="K1889" s="29">
        <f>IF(J1889="","",J1889/MAX(1,N(E1889)))</f>
        <v/>
      </c>
      <c r="L1889" s="37">
        <f>IF(OR(D1889="",A1889=""),"",A1889+IF(AND(Config!$B$17="Sim",LEFT(D1889,17)="Cartão de crédito"),1,IFERROR(INDEX(Config!$C$12:$C$15,MATCH(IF(AND(D1889="Cartão de crédito",N(E1889)&gt;1),"Cartão de crédito parcelado",D1889),Config!$A$12:$A$15,0)),0)))</f>
        <v/>
      </c>
      <c r="M1889" s="37">
        <f>IF(L1889="","",IF(AND(Config!$B$17="Sim",LEFT(D1889,17)="Cartão de crédito"),L1889,L1889+30*(MAX(1,N(E1889))-1)))</f>
        <v/>
      </c>
      <c r="N1889" s="29">
        <f>IF(OR(L1889="",K1889=""),"",K1889*MIN(MAX(1,N(E1889)),MAX(0,INT((Config!$B$8-L1889)/30)+1)))</f>
        <v/>
      </c>
      <c r="O1889" s="29">
        <f>IF(J1889="","",J1889-N(N1889))</f>
        <v/>
      </c>
      <c r="P1889" s="27">
        <f>IF(A1889="","",MONTH(A1889))</f>
        <v/>
      </c>
      <c r="Q1889" s="27">
        <f>IF(A1889="","",YEAR(A1889))</f>
        <v/>
      </c>
      <c r="R1889" s="27">
        <f>IF(L1889="","",IF(L1889&gt;Config!$B$8,"A cair",IF(N(G1889)&gt;=MIN(MAX(1,N(E1889)),MAX(0,INT((Config!$B$8-L1889)/30)+1)),IF(N(G1889)&gt;=MAX(1,N(E1889)),"Conferido","Conferido até aqui"),"A conferir")))</f>
        <v/>
      </c>
      <c r="S1889" s="51">
        <f>IF(R1889="A conferir",(Config!$B$8-L1889)*1000+N(F1889)/1000+ROW()/100000,0)</f>
        <v>0</v>
      </c>
      <c r="T1889" s="51">
        <f>IF(R1889="A conferir",N(N1889),0)</f>
        <v>0</v>
      </c>
      <c r="U1889" s="51">
        <f>IF(L1889="",0,L1889)</f>
        <v>0</v>
      </c>
      <c r="V1889" s="51">
        <f>IF(L1889="",0,MAX(1,N(E1889)))</f>
        <v>0</v>
      </c>
      <c r="W1889" s="51">
        <f>IF(K1889="",0,K1889)</f>
        <v>0</v>
      </c>
    </row>
    <row r="1890">
      <c r="A1890" s="49" t="n"/>
      <c r="B1890" s="41" t="n"/>
      <c r="C1890" s="41" t="n"/>
      <c r="D1890" s="42" t="n"/>
      <c r="E1890" s="42" t="n"/>
      <c r="F1890" s="50" t="n"/>
      <c r="G1890" s="42" t="n"/>
      <c r="H1890" s="30">
        <f>IF(D1890="","",IFERROR(INDEX(Config!$B$12:$B$15,MATCH(IF(AND(D1890="Cartão de crédito",N(E1890)&gt;1),"Cartão de crédito parcelado",D1890),Config!$A$12:$A$15,0)),0)+IF(AND(Config!$B$17="Sim",LEFT(D1890,17)="Cartão de crédito"),Config!$B$18*IFERROR(INDEX(Config!$C$12:$C$15,MATCH(IF(AND(D1890="Cartão de crédito",N(E1890)&gt;1),"Cartão de crédito parcelado",D1890),Config!$A$12:$A$15,0)),0)/30*MAX(1,N(E1890)),0))</f>
        <v/>
      </c>
      <c r="I1890" s="29">
        <f>IF(OR(D1890="",F1890=""),"",ROUND(F1890*H1890,2))</f>
        <v/>
      </c>
      <c r="J1890" s="29">
        <f>IF(I1890="","",F1890-I1890)</f>
        <v/>
      </c>
      <c r="K1890" s="29">
        <f>IF(J1890="","",J1890/MAX(1,N(E1890)))</f>
        <v/>
      </c>
      <c r="L1890" s="37">
        <f>IF(OR(D1890="",A1890=""),"",A1890+IF(AND(Config!$B$17="Sim",LEFT(D1890,17)="Cartão de crédito"),1,IFERROR(INDEX(Config!$C$12:$C$15,MATCH(IF(AND(D1890="Cartão de crédito",N(E1890)&gt;1),"Cartão de crédito parcelado",D1890),Config!$A$12:$A$15,0)),0)))</f>
        <v/>
      </c>
      <c r="M1890" s="37">
        <f>IF(L1890="","",IF(AND(Config!$B$17="Sim",LEFT(D1890,17)="Cartão de crédito"),L1890,L1890+30*(MAX(1,N(E1890))-1)))</f>
        <v/>
      </c>
      <c r="N1890" s="29">
        <f>IF(OR(L1890="",K1890=""),"",K1890*MIN(MAX(1,N(E1890)),MAX(0,INT((Config!$B$8-L1890)/30)+1)))</f>
        <v/>
      </c>
      <c r="O1890" s="29">
        <f>IF(J1890="","",J1890-N(N1890))</f>
        <v/>
      </c>
      <c r="P1890" s="27">
        <f>IF(A1890="","",MONTH(A1890))</f>
        <v/>
      </c>
      <c r="Q1890" s="27">
        <f>IF(A1890="","",YEAR(A1890))</f>
        <v/>
      </c>
      <c r="R1890" s="27">
        <f>IF(L1890="","",IF(L1890&gt;Config!$B$8,"A cair",IF(N(G1890)&gt;=MIN(MAX(1,N(E1890)),MAX(0,INT((Config!$B$8-L1890)/30)+1)),IF(N(G1890)&gt;=MAX(1,N(E1890)),"Conferido","Conferido até aqui"),"A conferir")))</f>
        <v/>
      </c>
      <c r="S1890" s="51">
        <f>IF(R1890="A conferir",(Config!$B$8-L1890)*1000+N(F1890)/1000+ROW()/100000,0)</f>
        <v>0</v>
      </c>
      <c r="T1890" s="51">
        <f>IF(R1890="A conferir",N(N1890),0)</f>
        <v>0</v>
      </c>
      <c r="U1890" s="51">
        <f>IF(L1890="",0,L1890)</f>
        <v>0</v>
      </c>
      <c r="V1890" s="51">
        <f>IF(L1890="",0,MAX(1,N(E1890)))</f>
        <v>0</v>
      </c>
      <c r="W1890" s="51">
        <f>IF(K1890="",0,K1890)</f>
        <v>0</v>
      </c>
    </row>
    <row r="1891">
      <c r="A1891" s="49" t="n"/>
      <c r="B1891" s="41" t="n"/>
      <c r="C1891" s="41" t="n"/>
      <c r="D1891" s="42" t="n"/>
      <c r="E1891" s="42" t="n"/>
      <c r="F1891" s="50" t="n"/>
      <c r="G1891" s="42" t="n"/>
      <c r="H1891" s="30">
        <f>IF(D1891="","",IFERROR(INDEX(Config!$B$12:$B$15,MATCH(IF(AND(D1891="Cartão de crédito",N(E1891)&gt;1),"Cartão de crédito parcelado",D1891),Config!$A$12:$A$15,0)),0)+IF(AND(Config!$B$17="Sim",LEFT(D1891,17)="Cartão de crédito"),Config!$B$18*IFERROR(INDEX(Config!$C$12:$C$15,MATCH(IF(AND(D1891="Cartão de crédito",N(E1891)&gt;1),"Cartão de crédito parcelado",D1891),Config!$A$12:$A$15,0)),0)/30*MAX(1,N(E1891)),0))</f>
        <v/>
      </c>
      <c r="I1891" s="29">
        <f>IF(OR(D1891="",F1891=""),"",ROUND(F1891*H1891,2))</f>
        <v/>
      </c>
      <c r="J1891" s="29">
        <f>IF(I1891="","",F1891-I1891)</f>
        <v/>
      </c>
      <c r="K1891" s="29">
        <f>IF(J1891="","",J1891/MAX(1,N(E1891)))</f>
        <v/>
      </c>
      <c r="L1891" s="37">
        <f>IF(OR(D1891="",A1891=""),"",A1891+IF(AND(Config!$B$17="Sim",LEFT(D1891,17)="Cartão de crédito"),1,IFERROR(INDEX(Config!$C$12:$C$15,MATCH(IF(AND(D1891="Cartão de crédito",N(E1891)&gt;1),"Cartão de crédito parcelado",D1891),Config!$A$12:$A$15,0)),0)))</f>
        <v/>
      </c>
      <c r="M1891" s="37">
        <f>IF(L1891="","",IF(AND(Config!$B$17="Sim",LEFT(D1891,17)="Cartão de crédito"),L1891,L1891+30*(MAX(1,N(E1891))-1)))</f>
        <v/>
      </c>
      <c r="N1891" s="29">
        <f>IF(OR(L1891="",K1891=""),"",K1891*MIN(MAX(1,N(E1891)),MAX(0,INT((Config!$B$8-L1891)/30)+1)))</f>
        <v/>
      </c>
      <c r="O1891" s="29">
        <f>IF(J1891="","",J1891-N(N1891))</f>
        <v/>
      </c>
      <c r="P1891" s="27">
        <f>IF(A1891="","",MONTH(A1891))</f>
        <v/>
      </c>
      <c r="Q1891" s="27">
        <f>IF(A1891="","",YEAR(A1891))</f>
        <v/>
      </c>
      <c r="R1891" s="27">
        <f>IF(L1891="","",IF(L1891&gt;Config!$B$8,"A cair",IF(N(G1891)&gt;=MIN(MAX(1,N(E1891)),MAX(0,INT((Config!$B$8-L1891)/30)+1)),IF(N(G1891)&gt;=MAX(1,N(E1891)),"Conferido","Conferido até aqui"),"A conferir")))</f>
        <v/>
      </c>
      <c r="S1891" s="51">
        <f>IF(R1891="A conferir",(Config!$B$8-L1891)*1000+N(F1891)/1000+ROW()/100000,0)</f>
        <v>0</v>
      </c>
      <c r="T1891" s="51">
        <f>IF(R1891="A conferir",N(N1891),0)</f>
        <v>0</v>
      </c>
      <c r="U1891" s="51">
        <f>IF(L1891="",0,L1891)</f>
        <v>0</v>
      </c>
      <c r="V1891" s="51">
        <f>IF(L1891="",0,MAX(1,N(E1891)))</f>
        <v>0</v>
      </c>
      <c r="W1891" s="51">
        <f>IF(K1891="",0,K1891)</f>
        <v>0</v>
      </c>
    </row>
    <row r="1892">
      <c r="A1892" s="49" t="n"/>
      <c r="B1892" s="41" t="n"/>
      <c r="C1892" s="41" t="n"/>
      <c r="D1892" s="42" t="n"/>
      <c r="E1892" s="42" t="n"/>
      <c r="F1892" s="50" t="n"/>
      <c r="G1892" s="42" t="n"/>
      <c r="H1892" s="30">
        <f>IF(D1892="","",IFERROR(INDEX(Config!$B$12:$B$15,MATCH(IF(AND(D1892="Cartão de crédito",N(E1892)&gt;1),"Cartão de crédito parcelado",D1892),Config!$A$12:$A$15,0)),0)+IF(AND(Config!$B$17="Sim",LEFT(D1892,17)="Cartão de crédito"),Config!$B$18*IFERROR(INDEX(Config!$C$12:$C$15,MATCH(IF(AND(D1892="Cartão de crédito",N(E1892)&gt;1),"Cartão de crédito parcelado",D1892),Config!$A$12:$A$15,0)),0)/30*MAX(1,N(E1892)),0))</f>
        <v/>
      </c>
      <c r="I1892" s="29">
        <f>IF(OR(D1892="",F1892=""),"",ROUND(F1892*H1892,2))</f>
        <v/>
      </c>
      <c r="J1892" s="29">
        <f>IF(I1892="","",F1892-I1892)</f>
        <v/>
      </c>
      <c r="K1892" s="29">
        <f>IF(J1892="","",J1892/MAX(1,N(E1892)))</f>
        <v/>
      </c>
      <c r="L1892" s="37">
        <f>IF(OR(D1892="",A1892=""),"",A1892+IF(AND(Config!$B$17="Sim",LEFT(D1892,17)="Cartão de crédito"),1,IFERROR(INDEX(Config!$C$12:$C$15,MATCH(IF(AND(D1892="Cartão de crédito",N(E1892)&gt;1),"Cartão de crédito parcelado",D1892),Config!$A$12:$A$15,0)),0)))</f>
        <v/>
      </c>
      <c r="M1892" s="37">
        <f>IF(L1892="","",IF(AND(Config!$B$17="Sim",LEFT(D1892,17)="Cartão de crédito"),L1892,L1892+30*(MAX(1,N(E1892))-1)))</f>
        <v/>
      </c>
      <c r="N1892" s="29">
        <f>IF(OR(L1892="",K1892=""),"",K1892*MIN(MAX(1,N(E1892)),MAX(0,INT((Config!$B$8-L1892)/30)+1)))</f>
        <v/>
      </c>
      <c r="O1892" s="29">
        <f>IF(J1892="","",J1892-N(N1892))</f>
        <v/>
      </c>
      <c r="P1892" s="27">
        <f>IF(A1892="","",MONTH(A1892))</f>
        <v/>
      </c>
      <c r="Q1892" s="27">
        <f>IF(A1892="","",YEAR(A1892))</f>
        <v/>
      </c>
      <c r="R1892" s="27">
        <f>IF(L1892="","",IF(L1892&gt;Config!$B$8,"A cair",IF(N(G1892)&gt;=MIN(MAX(1,N(E1892)),MAX(0,INT((Config!$B$8-L1892)/30)+1)),IF(N(G1892)&gt;=MAX(1,N(E1892)),"Conferido","Conferido até aqui"),"A conferir")))</f>
        <v/>
      </c>
      <c r="S1892" s="51">
        <f>IF(R1892="A conferir",(Config!$B$8-L1892)*1000+N(F1892)/1000+ROW()/100000,0)</f>
        <v>0</v>
      </c>
      <c r="T1892" s="51">
        <f>IF(R1892="A conferir",N(N1892),0)</f>
        <v>0</v>
      </c>
      <c r="U1892" s="51">
        <f>IF(L1892="",0,L1892)</f>
        <v>0</v>
      </c>
      <c r="V1892" s="51">
        <f>IF(L1892="",0,MAX(1,N(E1892)))</f>
        <v>0</v>
      </c>
      <c r="W1892" s="51">
        <f>IF(K1892="",0,K1892)</f>
        <v>0</v>
      </c>
    </row>
    <row r="1893">
      <c r="A1893" s="49" t="n"/>
      <c r="B1893" s="41" t="n"/>
      <c r="C1893" s="41" t="n"/>
      <c r="D1893" s="42" t="n"/>
      <c r="E1893" s="42" t="n"/>
      <c r="F1893" s="50" t="n"/>
      <c r="G1893" s="42" t="n"/>
      <c r="H1893" s="30">
        <f>IF(D1893="","",IFERROR(INDEX(Config!$B$12:$B$15,MATCH(IF(AND(D1893="Cartão de crédito",N(E1893)&gt;1),"Cartão de crédito parcelado",D1893),Config!$A$12:$A$15,0)),0)+IF(AND(Config!$B$17="Sim",LEFT(D1893,17)="Cartão de crédito"),Config!$B$18*IFERROR(INDEX(Config!$C$12:$C$15,MATCH(IF(AND(D1893="Cartão de crédito",N(E1893)&gt;1),"Cartão de crédito parcelado",D1893),Config!$A$12:$A$15,0)),0)/30*MAX(1,N(E1893)),0))</f>
        <v/>
      </c>
      <c r="I1893" s="29">
        <f>IF(OR(D1893="",F1893=""),"",ROUND(F1893*H1893,2))</f>
        <v/>
      </c>
      <c r="J1893" s="29">
        <f>IF(I1893="","",F1893-I1893)</f>
        <v/>
      </c>
      <c r="K1893" s="29">
        <f>IF(J1893="","",J1893/MAX(1,N(E1893)))</f>
        <v/>
      </c>
      <c r="L1893" s="37">
        <f>IF(OR(D1893="",A1893=""),"",A1893+IF(AND(Config!$B$17="Sim",LEFT(D1893,17)="Cartão de crédito"),1,IFERROR(INDEX(Config!$C$12:$C$15,MATCH(IF(AND(D1893="Cartão de crédito",N(E1893)&gt;1),"Cartão de crédito parcelado",D1893),Config!$A$12:$A$15,0)),0)))</f>
        <v/>
      </c>
      <c r="M1893" s="37">
        <f>IF(L1893="","",IF(AND(Config!$B$17="Sim",LEFT(D1893,17)="Cartão de crédito"),L1893,L1893+30*(MAX(1,N(E1893))-1)))</f>
        <v/>
      </c>
      <c r="N1893" s="29">
        <f>IF(OR(L1893="",K1893=""),"",K1893*MIN(MAX(1,N(E1893)),MAX(0,INT((Config!$B$8-L1893)/30)+1)))</f>
        <v/>
      </c>
      <c r="O1893" s="29">
        <f>IF(J1893="","",J1893-N(N1893))</f>
        <v/>
      </c>
      <c r="P1893" s="27">
        <f>IF(A1893="","",MONTH(A1893))</f>
        <v/>
      </c>
      <c r="Q1893" s="27">
        <f>IF(A1893="","",YEAR(A1893))</f>
        <v/>
      </c>
      <c r="R1893" s="27">
        <f>IF(L1893="","",IF(L1893&gt;Config!$B$8,"A cair",IF(N(G1893)&gt;=MIN(MAX(1,N(E1893)),MAX(0,INT((Config!$B$8-L1893)/30)+1)),IF(N(G1893)&gt;=MAX(1,N(E1893)),"Conferido","Conferido até aqui"),"A conferir")))</f>
        <v/>
      </c>
      <c r="S1893" s="51">
        <f>IF(R1893="A conferir",(Config!$B$8-L1893)*1000+N(F1893)/1000+ROW()/100000,0)</f>
        <v>0</v>
      </c>
      <c r="T1893" s="51">
        <f>IF(R1893="A conferir",N(N1893),0)</f>
        <v>0</v>
      </c>
      <c r="U1893" s="51">
        <f>IF(L1893="",0,L1893)</f>
        <v>0</v>
      </c>
      <c r="V1893" s="51">
        <f>IF(L1893="",0,MAX(1,N(E1893)))</f>
        <v>0</v>
      </c>
      <c r="W1893" s="51">
        <f>IF(K1893="",0,K1893)</f>
        <v>0</v>
      </c>
    </row>
    <row r="1894">
      <c r="A1894" s="49" t="n"/>
      <c r="B1894" s="41" t="n"/>
      <c r="C1894" s="41" t="n"/>
      <c r="D1894" s="42" t="n"/>
      <c r="E1894" s="42" t="n"/>
      <c r="F1894" s="50" t="n"/>
      <c r="G1894" s="42" t="n"/>
      <c r="H1894" s="30">
        <f>IF(D1894="","",IFERROR(INDEX(Config!$B$12:$B$15,MATCH(IF(AND(D1894="Cartão de crédito",N(E1894)&gt;1),"Cartão de crédito parcelado",D1894),Config!$A$12:$A$15,0)),0)+IF(AND(Config!$B$17="Sim",LEFT(D1894,17)="Cartão de crédito"),Config!$B$18*IFERROR(INDEX(Config!$C$12:$C$15,MATCH(IF(AND(D1894="Cartão de crédito",N(E1894)&gt;1),"Cartão de crédito parcelado",D1894),Config!$A$12:$A$15,0)),0)/30*MAX(1,N(E1894)),0))</f>
        <v/>
      </c>
      <c r="I1894" s="29">
        <f>IF(OR(D1894="",F1894=""),"",ROUND(F1894*H1894,2))</f>
        <v/>
      </c>
      <c r="J1894" s="29">
        <f>IF(I1894="","",F1894-I1894)</f>
        <v/>
      </c>
      <c r="K1894" s="29">
        <f>IF(J1894="","",J1894/MAX(1,N(E1894)))</f>
        <v/>
      </c>
      <c r="L1894" s="37">
        <f>IF(OR(D1894="",A1894=""),"",A1894+IF(AND(Config!$B$17="Sim",LEFT(D1894,17)="Cartão de crédito"),1,IFERROR(INDEX(Config!$C$12:$C$15,MATCH(IF(AND(D1894="Cartão de crédito",N(E1894)&gt;1),"Cartão de crédito parcelado",D1894),Config!$A$12:$A$15,0)),0)))</f>
        <v/>
      </c>
      <c r="M1894" s="37">
        <f>IF(L1894="","",IF(AND(Config!$B$17="Sim",LEFT(D1894,17)="Cartão de crédito"),L1894,L1894+30*(MAX(1,N(E1894))-1)))</f>
        <v/>
      </c>
      <c r="N1894" s="29">
        <f>IF(OR(L1894="",K1894=""),"",K1894*MIN(MAX(1,N(E1894)),MAX(0,INT((Config!$B$8-L1894)/30)+1)))</f>
        <v/>
      </c>
      <c r="O1894" s="29">
        <f>IF(J1894="","",J1894-N(N1894))</f>
        <v/>
      </c>
      <c r="P1894" s="27">
        <f>IF(A1894="","",MONTH(A1894))</f>
        <v/>
      </c>
      <c r="Q1894" s="27">
        <f>IF(A1894="","",YEAR(A1894))</f>
        <v/>
      </c>
      <c r="R1894" s="27">
        <f>IF(L1894="","",IF(L1894&gt;Config!$B$8,"A cair",IF(N(G1894)&gt;=MIN(MAX(1,N(E1894)),MAX(0,INT((Config!$B$8-L1894)/30)+1)),IF(N(G1894)&gt;=MAX(1,N(E1894)),"Conferido","Conferido até aqui"),"A conferir")))</f>
        <v/>
      </c>
      <c r="S1894" s="51">
        <f>IF(R1894="A conferir",(Config!$B$8-L1894)*1000+N(F1894)/1000+ROW()/100000,0)</f>
        <v>0</v>
      </c>
      <c r="T1894" s="51">
        <f>IF(R1894="A conferir",N(N1894),0)</f>
        <v>0</v>
      </c>
      <c r="U1894" s="51">
        <f>IF(L1894="",0,L1894)</f>
        <v>0</v>
      </c>
      <c r="V1894" s="51">
        <f>IF(L1894="",0,MAX(1,N(E1894)))</f>
        <v>0</v>
      </c>
      <c r="W1894" s="51">
        <f>IF(K1894="",0,K1894)</f>
        <v>0</v>
      </c>
    </row>
    <row r="1895">
      <c r="A1895" s="49" t="n"/>
      <c r="B1895" s="41" t="n"/>
      <c r="C1895" s="41" t="n"/>
      <c r="D1895" s="42" t="n"/>
      <c r="E1895" s="42" t="n"/>
      <c r="F1895" s="50" t="n"/>
      <c r="G1895" s="42" t="n"/>
      <c r="H1895" s="30">
        <f>IF(D1895="","",IFERROR(INDEX(Config!$B$12:$B$15,MATCH(IF(AND(D1895="Cartão de crédito",N(E1895)&gt;1),"Cartão de crédito parcelado",D1895),Config!$A$12:$A$15,0)),0)+IF(AND(Config!$B$17="Sim",LEFT(D1895,17)="Cartão de crédito"),Config!$B$18*IFERROR(INDEX(Config!$C$12:$C$15,MATCH(IF(AND(D1895="Cartão de crédito",N(E1895)&gt;1),"Cartão de crédito parcelado",D1895),Config!$A$12:$A$15,0)),0)/30*MAX(1,N(E1895)),0))</f>
        <v/>
      </c>
      <c r="I1895" s="29">
        <f>IF(OR(D1895="",F1895=""),"",ROUND(F1895*H1895,2))</f>
        <v/>
      </c>
      <c r="J1895" s="29">
        <f>IF(I1895="","",F1895-I1895)</f>
        <v/>
      </c>
      <c r="K1895" s="29">
        <f>IF(J1895="","",J1895/MAX(1,N(E1895)))</f>
        <v/>
      </c>
      <c r="L1895" s="37">
        <f>IF(OR(D1895="",A1895=""),"",A1895+IF(AND(Config!$B$17="Sim",LEFT(D1895,17)="Cartão de crédito"),1,IFERROR(INDEX(Config!$C$12:$C$15,MATCH(IF(AND(D1895="Cartão de crédito",N(E1895)&gt;1),"Cartão de crédito parcelado",D1895),Config!$A$12:$A$15,0)),0)))</f>
        <v/>
      </c>
      <c r="M1895" s="37">
        <f>IF(L1895="","",IF(AND(Config!$B$17="Sim",LEFT(D1895,17)="Cartão de crédito"),L1895,L1895+30*(MAX(1,N(E1895))-1)))</f>
        <v/>
      </c>
      <c r="N1895" s="29">
        <f>IF(OR(L1895="",K1895=""),"",K1895*MIN(MAX(1,N(E1895)),MAX(0,INT((Config!$B$8-L1895)/30)+1)))</f>
        <v/>
      </c>
      <c r="O1895" s="29">
        <f>IF(J1895="","",J1895-N(N1895))</f>
        <v/>
      </c>
      <c r="P1895" s="27">
        <f>IF(A1895="","",MONTH(A1895))</f>
        <v/>
      </c>
      <c r="Q1895" s="27">
        <f>IF(A1895="","",YEAR(A1895))</f>
        <v/>
      </c>
      <c r="R1895" s="27">
        <f>IF(L1895="","",IF(L1895&gt;Config!$B$8,"A cair",IF(N(G1895)&gt;=MIN(MAX(1,N(E1895)),MAX(0,INT((Config!$B$8-L1895)/30)+1)),IF(N(G1895)&gt;=MAX(1,N(E1895)),"Conferido","Conferido até aqui"),"A conferir")))</f>
        <v/>
      </c>
      <c r="S1895" s="51">
        <f>IF(R1895="A conferir",(Config!$B$8-L1895)*1000+N(F1895)/1000+ROW()/100000,0)</f>
        <v>0</v>
      </c>
      <c r="T1895" s="51">
        <f>IF(R1895="A conferir",N(N1895),0)</f>
        <v>0</v>
      </c>
      <c r="U1895" s="51">
        <f>IF(L1895="",0,L1895)</f>
        <v>0</v>
      </c>
      <c r="V1895" s="51">
        <f>IF(L1895="",0,MAX(1,N(E1895)))</f>
        <v>0</v>
      </c>
      <c r="W1895" s="51">
        <f>IF(K1895="",0,K1895)</f>
        <v>0</v>
      </c>
    </row>
    <row r="1896">
      <c r="A1896" s="49" t="n"/>
      <c r="B1896" s="41" t="n"/>
      <c r="C1896" s="41" t="n"/>
      <c r="D1896" s="42" t="n"/>
      <c r="E1896" s="42" t="n"/>
      <c r="F1896" s="50" t="n"/>
      <c r="G1896" s="42" t="n"/>
      <c r="H1896" s="30">
        <f>IF(D1896="","",IFERROR(INDEX(Config!$B$12:$B$15,MATCH(IF(AND(D1896="Cartão de crédito",N(E1896)&gt;1),"Cartão de crédito parcelado",D1896),Config!$A$12:$A$15,0)),0)+IF(AND(Config!$B$17="Sim",LEFT(D1896,17)="Cartão de crédito"),Config!$B$18*IFERROR(INDEX(Config!$C$12:$C$15,MATCH(IF(AND(D1896="Cartão de crédito",N(E1896)&gt;1),"Cartão de crédito parcelado",D1896),Config!$A$12:$A$15,0)),0)/30*MAX(1,N(E1896)),0))</f>
        <v/>
      </c>
      <c r="I1896" s="29">
        <f>IF(OR(D1896="",F1896=""),"",ROUND(F1896*H1896,2))</f>
        <v/>
      </c>
      <c r="J1896" s="29">
        <f>IF(I1896="","",F1896-I1896)</f>
        <v/>
      </c>
      <c r="K1896" s="29">
        <f>IF(J1896="","",J1896/MAX(1,N(E1896)))</f>
        <v/>
      </c>
      <c r="L1896" s="37">
        <f>IF(OR(D1896="",A1896=""),"",A1896+IF(AND(Config!$B$17="Sim",LEFT(D1896,17)="Cartão de crédito"),1,IFERROR(INDEX(Config!$C$12:$C$15,MATCH(IF(AND(D1896="Cartão de crédito",N(E1896)&gt;1),"Cartão de crédito parcelado",D1896),Config!$A$12:$A$15,0)),0)))</f>
        <v/>
      </c>
      <c r="M1896" s="37">
        <f>IF(L1896="","",IF(AND(Config!$B$17="Sim",LEFT(D1896,17)="Cartão de crédito"),L1896,L1896+30*(MAX(1,N(E1896))-1)))</f>
        <v/>
      </c>
      <c r="N1896" s="29">
        <f>IF(OR(L1896="",K1896=""),"",K1896*MIN(MAX(1,N(E1896)),MAX(0,INT((Config!$B$8-L1896)/30)+1)))</f>
        <v/>
      </c>
      <c r="O1896" s="29">
        <f>IF(J1896="","",J1896-N(N1896))</f>
        <v/>
      </c>
      <c r="P1896" s="27">
        <f>IF(A1896="","",MONTH(A1896))</f>
        <v/>
      </c>
      <c r="Q1896" s="27">
        <f>IF(A1896="","",YEAR(A1896))</f>
        <v/>
      </c>
      <c r="R1896" s="27">
        <f>IF(L1896="","",IF(L1896&gt;Config!$B$8,"A cair",IF(N(G1896)&gt;=MIN(MAX(1,N(E1896)),MAX(0,INT((Config!$B$8-L1896)/30)+1)),IF(N(G1896)&gt;=MAX(1,N(E1896)),"Conferido","Conferido até aqui"),"A conferir")))</f>
        <v/>
      </c>
      <c r="S1896" s="51">
        <f>IF(R1896="A conferir",(Config!$B$8-L1896)*1000+N(F1896)/1000+ROW()/100000,0)</f>
        <v>0</v>
      </c>
      <c r="T1896" s="51">
        <f>IF(R1896="A conferir",N(N1896),0)</f>
        <v>0</v>
      </c>
      <c r="U1896" s="51">
        <f>IF(L1896="",0,L1896)</f>
        <v>0</v>
      </c>
      <c r="V1896" s="51">
        <f>IF(L1896="",0,MAX(1,N(E1896)))</f>
        <v>0</v>
      </c>
      <c r="W1896" s="51">
        <f>IF(K1896="",0,K1896)</f>
        <v>0</v>
      </c>
    </row>
    <row r="1897">
      <c r="A1897" s="49" t="n"/>
      <c r="B1897" s="41" t="n"/>
      <c r="C1897" s="41" t="n"/>
      <c r="D1897" s="42" t="n"/>
      <c r="E1897" s="42" t="n"/>
      <c r="F1897" s="50" t="n"/>
      <c r="G1897" s="42" t="n"/>
      <c r="H1897" s="30">
        <f>IF(D1897="","",IFERROR(INDEX(Config!$B$12:$B$15,MATCH(IF(AND(D1897="Cartão de crédito",N(E1897)&gt;1),"Cartão de crédito parcelado",D1897),Config!$A$12:$A$15,0)),0)+IF(AND(Config!$B$17="Sim",LEFT(D1897,17)="Cartão de crédito"),Config!$B$18*IFERROR(INDEX(Config!$C$12:$C$15,MATCH(IF(AND(D1897="Cartão de crédito",N(E1897)&gt;1),"Cartão de crédito parcelado",D1897),Config!$A$12:$A$15,0)),0)/30*MAX(1,N(E1897)),0))</f>
        <v/>
      </c>
      <c r="I1897" s="29">
        <f>IF(OR(D1897="",F1897=""),"",ROUND(F1897*H1897,2))</f>
        <v/>
      </c>
      <c r="J1897" s="29">
        <f>IF(I1897="","",F1897-I1897)</f>
        <v/>
      </c>
      <c r="K1897" s="29">
        <f>IF(J1897="","",J1897/MAX(1,N(E1897)))</f>
        <v/>
      </c>
      <c r="L1897" s="37">
        <f>IF(OR(D1897="",A1897=""),"",A1897+IF(AND(Config!$B$17="Sim",LEFT(D1897,17)="Cartão de crédito"),1,IFERROR(INDEX(Config!$C$12:$C$15,MATCH(IF(AND(D1897="Cartão de crédito",N(E1897)&gt;1),"Cartão de crédito parcelado",D1897),Config!$A$12:$A$15,0)),0)))</f>
        <v/>
      </c>
      <c r="M1897" s="37">
        <f>IF(L1897="","",IF(AND(Config!$B$17="Sim",LEFT(D1897,17)="Cartão de crédito"),L1897,L1897+30*(MAX(1,N(E1897))-1)))</f>
        <v/>
      </c>
      <c r="N1897" s="29">
        <f>IF(OR(L1897="",K1897=""),"",K1897*MIN(MAX(1,N(E1897)),MAX(0,INT((Config!$B$8-L1897)/30)+1)))</f>
        <v/>
      </c>
      <c r="O1897" s="29">
        <f>IF(J1897="","",J1897-N(N1897))</f>
        <v/>
      </c>
      <c r="P1897" s="27">
        <f>IF(A1897="","",MONTH(A1897))</f>
        <v/>
      </c>
      <c r="Q1897" s="27">
        <f>IF(A1897="","",YEAR(A1897))</f>
        <v/>
      </c>
      <c r="R1897" s="27">
        <f>IF(L1897="","",IF(L1897&gt;Config!$B$8,"A cair",IF(N(G1897)&gt;=MIN(MAX(1,N(E1897)),MAX(0,INT((Config!$B$8-L1897)/30)+1)),IF(N(G1897)&gt;=MAX(1,N(E1897)),"Conferido","Conferido até aqui"),"A conferir")))</f>
        <v/>
      </c>
      <c r="S1897" s="51">
        <f>IF(R1897="A conferir",(Config!$B$8-L1897)*1000+N(F1897)/1000+ROW()/100000,0)</f>
        <v>0</v>
      </c>
      <c r="T1897" s="51">
        <f>IF(R1897="A conferir",N(N1897),0)</f>
        <v>0</v>
      </c>
      <c r="U1897" s="51">
        <f>IF(L1897="",0,L1897)</f>
        <v>0</v>
      </c>
      <c r="V1897" s="51">
        <f>IF(L1897="",0,MAX(1,N(E1897)))</f>
        <v>0</v>
      </c>
      <c r="W1897" s="51">
        <f>IF(K1897="",0,K1897)</f>
        <v>0</v>
      </c>
    </row>
    <row r="1898">
      <c r="A1898" s="49" t="n"/>
      <c r="B1898" s="41" t="n"/>
      <c r="C1898" s="41" t="n"/>
      <c r="D1898" s="42" t="n"/>
      <c r="E1898" s="42" t="n"/>
      <c r="F1898" s="50" t="n"/>
      <c r="G1898" s="42" t="n"/>
      <c r="H1898" s="30">
        <f>IF(D1898="","",IFERROR(INDEX(Config!$B$12:$B$15,MATCH(IF(AND(D1898="Cartão de crédito",N(E1898)&gt;1),"Cartão de crédito parcelado",D1898),Config!$A$12:$A$15,0)),0)+IF(AND(Config!$B$17="Sim",LEFT(D1898,17)="Cartão de crédito"),Config!$B$18*IFERROR(INDEX(Config!$C$12:$C$15,MATCH(IF(AND(D1898="Cartão de crédito",N(E1898)&gt;1),"Cartão de crédito parcelado",D1898),Config!$A$12:$A$15,0)),0)/30*MAX(1,N(E1898)),0))</f>
        <v/>
      </c>
      <c r="I1898" s="29">
        <f>IF(OR(D1898="",F1898=""),"",ROUND(F1898*H1898,2))</f>
        <v/>
      </c>
      <c r="J1898" s="29">
        <f>IF(I1898="","",F1898-I1898)</f>
        <v/>
      </c>
      <c r="K1898" s="29">
        <f>IF(J1898="","",J1898/MAX(1,N(E1898)))</f>
        <v/>
      </c>
      <c r="L1898" s="37">
        <f>IF(OR(D1898="",A1898=""),"",A1898+IF(AND(Config!$B$17="Sim",LEFT(D1898,17)="Cartão de crédito"),1,IFERROR(INDEX(Config!$C$12:$C$15,MATCH(IF(AND(D1898="Cartão de crédito",N(E1898)&gt;1),"Cartão de crédito parcelado",D1898),Config!$A$12:$A$15,0)),0)))</f>
        <v/>
      </c>
      <c r="M1898" s="37">
        <f>IF(L1898="","",IF(AND(Config!$B$17="Sim",LEFT(D1898,17)="Cartão de crédito"),L1898,L1898+30*(MAX(1,N(E1898))-1)))</f>
        <v/>
      </c>
      <c r="N1898" s="29">
        <f>IF(OR(L1898="",K1898=""),"",K1898*MIN(MAX(1,N(E1898)),MAX(0,INT((Config!$B$8-L1898)/30)+1)))</f>
        <v/>
      </c>
      <c r="O1898" s="29">
        <f>IF(J1898="","",J1898-N(N1898))</f>
        <v/>
      </c>
      <c r="P1898" s="27">
        <f>IF(A1898="","",MONTH(A1898))</f>
        <v/>
      </c>
      <c r="Q1898" s="27">
        <f>IF(A1898="","",YEAR(A1898))</f>
        <v/>
      </c>
      <c r="R1898" s="27">
        <f>IF(L1898="","",IF(L1898&gt;Config!$B$8,"A cair",IF(N(G1898)&gt;=MIN(MAX(1,N(E1898)),MAX(0,INT((Config!$B$8-L1898)/30)+1)),IF(N(G1898)&gt;=MAX(1,N(E1898)),"Conferido","Conferido até aqui"),"A conferir")))</f>
        <v/>
      </c>
      <c r="S1898" s="51">
        <f>IF(R1898="A conferir",(Config!$B$8-L1898)*1000+N(F1898)/1000+ROW()/100000,0)</f>
        <v>0</v>
      </c>
      <c r="T1898" s="51">
        <f>IF(R1898="A conferir",N(N1898),0)</f>
        <v>0</v>
      </c>
      <c r="U1898" s="51">
        <f>IF(L1898="",0,L1898)</f>
        <v>0</v>
      </c>
      <c r="V1898" s="51">
        <f>IF(L1898="",0,MAX(1,N(E1898)))</f>
        <v>0</v>
      </c>
      <c r="W1898" s="51">
        <f>IF(K1898="",0,K1898)</f>
        <v>0</v>
      </c>
    </row>
    <row r="1899">
      <c r="A1899" s="49" t="n"/>
      <c r="B1899" s="41" t="n"/>
      <c r="C1899" s="41" t="n"/>
      <c r="D1899" s="42" t="n"/>
      <c r="E1899" s="42" t="n"/>
      <c r="F1899" s="50" t="n"/>
      <c r="G1899" s="42" t="n"/>
      <c r="H1899" s="30">
        <f>IF(D1899="","",IFERROR(INDEX(Config!$B$12:$B$15,MATCH(IF(AND(D1899="Cartão de crédito",N(E1899)&gt;1),"Cartão de crédito parcelado",D1899),Config!$A$12:$A$15,0)),0)+IF(AND(Config!$B$17="Sim",LEFT(D1899,17)="Cartão de crédito"),Config!$B$18*IFERROR(INDEX(Config!$C$12:$C$15,MATCH(IF(AND(D1899="Cartão de crédito",N(E1899)&gt;1),"Cartão de crédito parcelado",D1899),Config!$A$12:$A$15,0)),0)/30*MAX(1,N(E1899)),0))</f>
        <v/>
      </c>
      <c r="I1899" s="29">
        <f>IF(OR(D1899="",F1899=""),"",ROUND(F1899*H1899,2))</f>
        <v/>
      </c>
      <c r="J1899" s="29">
        <f>IF(I1899="","",F1899-I1899)</f>
        <v/>
      </c>
      <c r="K1899" s="29">
        <f>IF(J1899="","",J1899/MAX(1,N(E1899)))</f>
        <v/>
      </c>
      <c r="L1899" s="37">
        <f>IF(OR(D1899="",A1899=""),"",A1899+IF(AND(Config!$B$17="Sim",LEFT(D1899,17)="Cartão de crédito"),1,IFERROR(INDEX(Config!$C$12:$C$15,MATCH(IF(AND(D1899="Cartão de crédito",N(E1899)&gt;1),"Cartão de crédito parcelado",D1899),Config!$A$12:$A$15,0)),0)))</f>
        <v/>
      </c>
      <c r="M1899" s="37">
        <f>IF(L1899="","",IF(AND(Config!$B$17="Sim",LEFT(D1899,17)="Cartão de crédito"),L1899,L1899+30*(MAX(1,N(E1899))-1)))</f>
        <v/>
      </c>
      <c r="N1899" s="29">
        <f>IF(OR(L1899="",K1899=""),"",K1899*MIN(MAX(1,N(E1899)),MAX(0,INT((Config!$B$8-L1899)/30)+1)))</f>
        <v/>
      </c>
      <c r="O1899" s="29">
        <f>IF(J1899="","",J1899-N(N1899))</f>
        <v/>
      </c>
      <c r="P1899" s="27">
        <f>IF(A1899="","",MONTH(A1899))</f>
        <v/>
      </c>
      <c r="Q1899" s="27">
        <f>IF(A1899="","",YEAR(A1899))</f>
        <v/>
      </c>
      <c r="R1899" s="27">
        <f>IF(L1899="","",IF(L1899&gt;Config!$B$8,"A cair",IF(N(G1899)&gt;=MIN(MAX(1,N(E1899)),MAX(0,INT((Config!$B$8-L1899)/30)+1)),IF(N(G1899)&gt;=MAX(1,N(E1899)),"Conferido","Conferido até aqui"),"A conferir")))</f>
        <v/>
      </c>
      <c r="S1899" s="51">
        <f>IF(R1899="A conferir",(Config!$B$8-L1899)*1000+N(F1899)/1000+ROW()/100000,0)</f>
        <v>0</v>
      </c>
      <c r="T1899" s="51">
        <f>IF(R1899="A conferir",N(N1899),0)</f>
        <v>0</v>
      </c>
      <c r="U1899" s="51">
        <f>IF(L1899="",0,L1899)</f>
        <v>0</v>
      </c>
      <c r="V1899" s="51">
        <f>IF(L1899="",0,MAX(1,N(E1899)))</f>
        <v>0</v>
      </c>
      <c r="W1899" s="51">
        <f>IF(K1899="",0,K1899)</f>
        <v>0</v>
      </c>
    </row>
    <row r="1900">
      <c r="A1900" s="49" t="n"/>
      <c r="B1900" s="41" t="n"/>
      <c r="C1900" s="41" t="n"/>
      <c r="D1900" s="42" t="n"/>
      <c r="E1900" s="42" t="n"/>
      <c r="F1900" s="50" t="n"/>
      <c r="G1900" s="42" t="n"/>
      <c r="H1900" s="30">
        <f>IF(D1900="","",IFERROR(INDEX(Config!$B$12:$B$15,MATCH(IF(AND(D1900="Cartão de crédito",N(E1900)&gt;1),"Cartão de crédito parcelado",D1900),Config!$A$12:$A$15,0)),0)+IF(AND(Config!$B$17="Sim",LEFT(D1900,17)="Cartão de crédito"),Config!$B$18*IFERROR(INDEX(Config!$C$12:$C$15,MATCH(IF(AND(D1900="Cartão de crédito",N(E1900)&gt;1),"Cartão de crédito parcelado",D1900),Config!$A$12:$A$15,0)),0)/30*MAX(1,N(E1900)),0))</f>
        <v/>
      </c>
      <c r="I1900" s="29">
        <f>IF(OR(D1900="",F1900=""),"",ROUND(F1900*H1900,2))</f>
        <v/>
      </c>
      <c r="J1900" s="29">
        <f>IF(I1900="","",F1900-I1900)</f>
        <v/>
      </c>
      <c r="K1900" s="29">
        <f>IF(J1900="","",J1900/MAX(1,N(E1900)))</f>
        <v/>
      </c>
      <c r="L1900" s="37">
        <f>IF(OR(D1900="",A1900=""),"",A1900+IF(AND(Config!$B$17="Sim",LEFT(D1900,17)="Cartão de crédito"),1,IFERROR(INDEX(Config!$C$12:$C$15,MATCH(IF(AND(D1900="Cartão de crédito",N(E1900)&gt;1),"Cartão de crédito parcelado",D1900),Config!$A$12:$A$15,0)),0)))</f>
        <v/>
      </c>
      <c r="M1900" s="37">
        <f>IF(L1900="","",IF(AND(Config!$B$17="Sim",LEFT(D1900,17)="Cartão de crédito"),L1900,L1900+30*(MAX(1,N(E1900))-1)))</f>
        <v/>
      </c>
      <c r="N1900" s="29">
        <f>IF(OR(L1900="",K1900=""),"",K1900*MIN(MAX(1,N(E1900)),MAX(0,INT((Config!$B$8-L1900)/30)+1)))</f>
        <v/>
      </c>
      <c r="O1900" s="29">
        <f>IF(J1900="","",J1900-N(N1900))</f>
        <v/>
      </c>
      <c r="P1900" s="27">
        <f>IF(A1900="","",MONTH(A1900))</f>
        <v/>
      </c>
      <c r="Q1900" s="27">
        <f>IF(A1900="","",YEAR(A1900))</f>
        <v/>
      </c>
      <c r="R1900" s="27">
        <f>IF(L1900="","",IF(L1900&gt;Config!$B$8,"A cair",IF(N(G1900)&gt;=MIN(MAX(1,N(E1900)),MAX(0,INT((Config!$B$8-L1900)/30)+1)),IF(N(G1900)&gt;=MAX(1,N(E1900)),"Conferido","Conferido até aqui"),"A conferir")))</f>
        <v/>
      </c>
      <c r="S1900" s="51">
        <f>IF(R1900="A conferir",(Config!$B$8-L1900)*1000+N(F1900)/1000+ROW()/100000,0)</f>
        <v>0</v>
      </c>
      <c r="T1900" s="51">
        <f>IF(R1900="A conferir",N(N1900),0)</f>
        <v>0</v>
      </c>
      <c r="U1900" s="51">
        <f>IF(L1900="",0,L1900)</f>
        <v>0</v>
      </c>
      <c r="V1900" s="51">
        <f>IF(L1900="",0,MAX(1,N(E1900)))</f>
        <v>0</v>
      </c>
      <c r="W1900" s="51">
        <f>IF(K1900="",0,K1900)</f>
        <v>0</v>
      </c>
    </row>
    <row r="1901">
      <c r="A1901" s="49" t="n"/>
      <c r="B1901" s="41" t="n"/>
      <c r="C1901" s="41" t="n"/>
      <c r="D1901" s="42" t="n"/>
      <c r="E1901" s="42" t="n"/>
      <c r="F1901" s="50" t="n"/>
      <c r="G1901" s="42" t="n"/>
      <c r="H1901" s="30">
        <f>IF(D1901="","",IFERROR(INDEX(Config!$B$12:$B$15,MATCH(IF(AND(D1901="Cartão de crédito",N(E1901)&gt;1),"Cartão de crédito parcelado",D1901),Config!$A$12:$A$15,0)),0)+IF(AND(Config!$B$17="Sim",LEFT(D1901,17)="Cartão de crédito"),Config!$B$18*IFERROR(INDEX(Config!$C$12:$C$15,MATCH(IF(AND(D1901="Cartão de crédito",N(E1901)&gt;1),"Cartão de crédito parcelado",D1901),Config!$A$12:$A$15,0)),0)/30*MAX(1,N(E1901)),0))</f>
        <v/>
      </c>
      <c r="I1901" s="29">
        <f>IF(OR(D1901="",F1901=""),"",ROUND(F1901*H1901,2))</f>
        <v/>
      </c>
      <c r="J1901" s="29">
        <f>IF(I1901="","",F1901-I1901)</f>
        <v/>
      </c>
      <c r="K1901" s="29">
        <f>IF(J1901="","",J1901/MAX(1,N(E1901)))</f>
        <v/>
      </c>
      <c r="L1901" s="37">
        <f>IF(OR(D1901="",A1901=""),"",A1901+IF(AND(Config!$B$17="Sim",LEFT(D1901,17)="Cartão de crédito"),1,IFERROR(INDEX(Config!$C$12:$C$15,MATCH(IF(AND(D1901="Cartão de crédito",N(E1901)&gt;1),"Cartão de crédito parcelado",D1901),Config!$A$12:$A$15,0)),0)))</f>
        <v/>
      </c>
      <c r="M1901" s="37">
        <f>IF(L1901="","",IF(AND(Config!$B$17="Sim",LEFT(D1901,17)="Cartão de crédito"),L1901,L1901+30*(MAX(1,N(E1901))-1)))</f>
        <v/>
      </c>
      <c r="N1901" s="29">
        <f>IF(OR(L1901="",K1901=""),"",K1901*MIN(MAX(1,N(E1901)),MAX(0,INT((Config!$B$8-L1901)/30)+1)))</f>
        <v/>
      </c>
      <c r="O1901" s="29">
        <f>IF(J1901="","",J1901-N(N1901))</f>
        <v/>
      </c>
      <c r="P1901" s="27">
        <f>IF(A1901="","",MONTH(A1901))</f>
        <v/>
      </c>
      <c r="Q1901" s="27">
        <f>IF(A1901="","",YEAR(A1901))</f>
        <v/>
      </c>
      <c r="R1901" s="27">
        <f>IF(L1901="","",IF(L1901&gt;Config!$B$8,"A cair",IF(N(G1901)&gt;=MIN(MAX(1,N(E1901)),MAX(0,INT((Config!$B$8-L1901)/30)+1)),IF(N(G1901)&gt;=MAX(1,N(E1901)),"Conferido","Conferido até aqui"),"A conferir")))</f>
        <v/>
      </c>
      <c r="S1901" s="51">
        <f>IF(R1901="A conferir",(Config!$B$8-L1901)*1000+N(F1901)/1000+ROW()/100000,0)</f>
        <v>0</v>
      </c>
      <c r="T1901" s="51">
        <f>IF(R1901="A conferir",N(N1901),0)</f>
        <v>0</v>
      </c>
      <c r="U1901" s="51">
        <f>IF(L1901="",0,L1901)</f>
        <v>0</v>
      </c>
      <c r="V1901" s="51">
        <f>IF(L1901="",0,MAX(1,N(E1901)))</f>
        <v>0</v>
      </c>
      <c r="W1901" s="51">
        <f>IF(K1901="",0,K1901)</f>
        <v>0</v>
      </c>
    </row>
    <row r="1902">
      <c r="A1902" s="49" t="n"/>
      <c r="B1902" s="41" t="n"/>
      <c r="C1902" s="41" t="n"/>
      <c r="D1902" s="42" t="n"/>
      <c r="E1902" s="42" t="n"/>
      <c r="F1902" s="50" t="n"/>
      <c r="G1902" s="42" t="n"/>
      <c r="H1902" s="30">
        <f>IF(D1902="","",IFERROR(INDEX(Config!$B$12:$B$15,MATCH(IF(AND(D1902="Cartão de crédito",N(E1902)&gt;1),"Cartão de crédito parcelado",D1902),Config!$A$12:$A$15,0)),0)+IF(AND(Config!$B$17="Sim",LEFT(D1902,17)="Cartão de crédito"),Config!$B$18*IFERROR(INDEX(Config!$C$12:$C$15,MATCH(IF(AND(D1902="Cartão de crédito",N(E1902)&gt;1),"Cartão de crédito parcelado",D1902),Config!$A$12:$A$15,0)),0)/30*MAX(1,N(E1902)),0))</f>
        <v/>
      </c>
      <c r="I1902" s="29">
        <f>IF(OR(D1902="",F1902=""),"",ROUND(F1902*H1902,2))</f>
        <v/>
      </c>
      <c r="J1902" s="29">
        <f>IF(I1902="","",F1902-I1902)</f>
        <v/>
      </c>
      <c r="K1902" s="29">
        <f>IF(J1902="","",J1902/MAX(1,N(E1902)))</f>
        <v/>
      </c>
      <c r="L1902" s="37">
        <f>IF(OR(D1902="",A1902=""),"",A1902+IF(AND(Config!$B$17="Sim",LEFT(D1902,17)="Cartão de crédito"),1,IFERROR(INDEX(Config!$C$12:$C$15,MATCH(IF(AND(D1902="Cartão de crédito",N(E1902)&gt;1),"Cartão de crédito parcelado",D1902),Config!$A$12:$A$15,0)),0)))</f>
        <v/>
      </c>
      <c r="M1902" s="37">
        <f>IF(L1902="","",IF(AND(Config!$B$17="Sim",LEFT(D1902,17)="Cartão de crédito"),L1902,L1902+30*(MAX(1,N(E1902))-1)))</f>
        <v/>
      </c>
      <c r="N1902" s="29">
        <f>IF(OR(L1902="",K1902=""),"",K1902*MIN(MAX(1,N(E1902)),MAX(0,INT((Config!$B$8-L1902)/30)+1)))</f>
        <v/>
      </c>
      <c r="O1902" s="29">
        <f>IF(J1902="","",J1902-N(N1902))</f>
        <v/>
      </c>
      <c r="P1902" s="27">
        <f>IF(A1902="","",MONTH(A1902))</f>
        <v/>
      </c>
      <c r="Q1902" s="27">
        <f>IF(A1902="","",YEAR(A1902))</f>
        <v/>
      </c>
      <c r="R1902" s="27">
        <f>IF(L1902="","",IF(L1902&gt;Config!$B$8,"A cair",IF(N(G1902)&gt;=MIN(MAX(1,N(E1902)),MAX(0,INT((Config!$B$8-L1902)/30)+1)),IF(N(G1902)&gt;=MAX(1,N(E1902)),"Conferido","Conferido até aqui"),"A conferir")))</f>
        <v/>
      </c>
      <c r="S1902" s="51">
        <f>IF(R1902="A conferir",(Config!$B$8-L1902)*1000+N(F1902)/1000+ROW()/100000,0)</f>
        <v>0</v>
      </c>
      <c r="T1902" s="51">
        <f>IF(R1902="A conferir",N(N1902),0)</f>
        <v>0</v>
      </c>
      <c r="U1902" s="51">
        <f>IF(L1902="",0,L1902)</f>
        <v>0</v>
      </c>
      <c r="V1902" s="51">
        <f>IF(L1902="",0,MAX(1,N(E1902)))</f>
        <v>0</v>
      </c>
      <c r="W1902" s="51">
        <f>IF(K1902="",0,K1902)</f>
        <v>0</v>
      </c>
    </row>
    <row r="1903">
      <c r="A1903" s="49" t="n"/>
      <c r="B1903" s="41" t="n"/>
      <c r="C1903" s="41" t="n"/>
      <c r="D1903" s="42" t="n"/>
      <c r="E1903" s="42" t="n"/>
      <c r="F1903" s="50" t="n"/>
      <c r="G1903" s="42" t="n"/>
      <c r="H1903" s="30">
        <f>IF(D1903="","",IFERROR(INDEX(Config!$B$12:$B$15,MATCH(IF(AND(D1903="Cartão de crédito",N(E1903)&gt;1),"Cartão de crédito parcelado",D1903),Config!$A$12:$A$15,0)),0)+IF(AND(Config!$B$17="Sim",LEFT(D1903,17)="Cartão de crédito"),Config!$B$18*IFERROR(INDEX(Config!$C$12:$C$15,MATCH(IF(AND(D1903="Cartão de crédito",N(E1903)&gt;1),"Cartão de crédito parcelado",D1903),Config!$A$12:$A$15,0)),0)/30*MAX(1,N(E1903)),0))</f>
        <v/>
      </c>
      <c r="I1903" s="29">
        <f>IF(OR(D1903="",F1903=""),"",ROUND(F1903*H1903,2))</f>
        <v/>
      </c>
      <c r="J1903" s="29">
        <f>IF(I1903="","",F1903-I1903)</f>
        <v/>
      </c>
      <c r="K1903" s="29">
        <f>IF(J1903="","",J1903/MAX(1,N(E1903)))</f>
        <v/>
      </c>
      <c r="L1903" s="37">
        <f>IF(OR(D1903="",A1903=""),"",A1903+IF(AND(Config!$B$17="Sim",LEFT(D1903,17)="Cartão de crédito"),1,IFERROR(INDEX(Config!$C$12:$C$15,MATCH(IF(AND(D1903="Cartão de crédito",N(E1903)&gt;1),"Cartão de crédito parcelado",D1903),Config!$A$12:$A$15,0)),0)))</f>
        <v/>
      </c>
      <c r="M1903" s="37">
        <f>IF(L1903="","",IF(AND(Config!$B$17="Sim",LEFT(D1903,17)="Cartão de crédito"),L1903,L1903+30*(MAX(1,N(E1903))-1)))</f>
        <v/>
      </c>
      <c r="N1903" s="29">
        <f>IF(OR(L1903="",K1903=""),"",K1903*MIN(MAX(1,N(E1903)),MAX(0,INT((Config!$B$8-L1903)/30)+1)))</f>
        <v/>
      </c>
      <c r="O1903" s="29">
        <f>IF(J1903="","",J1903-N(N1903))</f>
        <v/>
      </c>
      <c r="P1903" s="27">
        <f>IF(A1903="","",MONTH(A1903))</f>
        <v/>
      </c>
      <c r="Q1903" s="27">
        <f>IF(A1903="","",YEAR(A1903))</f>
        <v/>
      </c>
      <c r="R1903" s="27">
        <f>IF(L1903="","",IF(L1903&gt;Config!$B$8,"A cair",IF(N(G1903)&gt;=MIN(MAX(1,N(E1903)),MAX(0,INT((Config!$B$8-L1903)/30)+1)),IF(N(G1903)&gt;=MAX(1,N(E1903)),"Conferido","Conferido até aqui"),"A conferir")))</f>
        <v/>
      </c>
      <c r="S1903" s="51">
        <f>IF(R1903="A conferir",(Config!$B$8-L1903)*1000+N(F1903)/1000+ROW()/100000,0)</f>
        <v>0</v>
      </c>
      <c r="T1903" s="51">
        <f>IF(R1903="A conferir",N(N1903),0)</f>
        <v>0</v>
      </c>
      <c r="U1903" s="51">
        <f>IF(L1903="",0,L1903)</f>
        <v>0</v>
      </c>
      <c r="V1903" s="51">
        <f>IF(L1903="",0,MAX(1,N(E1903)))</f>
        <v>0</v>
      </c>
      <c r="W1903" s="51">
        <f>IF(K1903="",0,K1903)</f>
        <v>0</v>
      </c>
    </row>
    <row r="1904">
      <c r="A1904" s="49" t="n"/>
      <c r="B1904" s="41" t="n"/>
      <c r="C1904" s="41" t="n"/>
      <c r="D1904" s="42" t="n"/>
      <c r="E1904" s="42" t="n"/>
      <c r="F1904" s="50" t="n"/>
      <c r="G1904" s="42" t="n"/>
      <c r="H1904" s="30">
        <f>IF(D1904="","",IFERROR(INDEX(Config!$B$12:$B$15,MATCH(IF(AND(D1904="Cartão de crédito",N(E1904)&gt;1),"Cartão de crédito parcelado",D1904),Config!$A$12:$A$15,0)),0)+IF(AND(Config!$B$17="Sim",LEFT(D1904,17)="Cartão de crédito"),Config!$B$18*IFERROR(INDEX(Config!$C$12:$C$15,MATCH(IF(AND(D1904="Cartão de crédito",N(E1904)&gt;1),"Cartão de crédito parcelado",D1904),Config!$A$12:$A$15,0)),0)/30*MAX(1,N(E1904)),0))</f>
        <v/>
      </c>
      <c r="I1904" s="29">
        <f>IF(OR(D1904="",F1904=""),"",ROUND(F1904*H1904,2))</f>
        <v/>
      </c>
      <c r="J1904" s="29">
        <f>IF(I1904="","",F1904-I1904)</f>
        <v/>
      </c>
      <c r="K1904" s="29">
        <f>IF(J1904="","",J1904/MAX(1,N(E1904)))</f>
        <v/>
      </c>
      <c r="L1904" s="37">
        <f>IF(OR(D1904="",A1904=""),"",A1904+IF(AND(Config!$B$17="Sim",LEFT(D1904,17)="Cartão de crédito"),1,IFERROR(INDEX(Config!$C$12:$C$15,MATCH(IF(AND(D1904="Cartão de crédito",N(E1904)&gt;1),"Cartão de crédito parcelado",D1904),Config!$A$12:$A$15,0)),0)))</f>
        <v/>
      </c>
      <c r="M1904" s="37">
        <f>IF(L1904="","",IF(AND(Config!$B$17="Sim",LEFT(D1904,17)="Cartão de crédito"),L1904,L1904+30*(MAX(1,N(E1904))-1)))</f>
        <v/>
      </c>
      <c r="N1904" s="29">
        <f>IF(OR(L1904="",K1904=""),"",K1904*MIN(MAX(1,N(E1904)),MAX(0,INT((Config!$B$8-L1904)/30)+1)))</f>
        <v/>
      </c>
      <c r="O1904" s="29">
        <f>IF(J1904="","",J1904-N(N1904))</f>
        <v/>
      </c>
      <c r="P1904" s="27">
        <f>IF(A1904="","",MONTH(A1904))</f>
        <v/>
      </c>
      <c r="Q1904" s="27">
        <f>IF(A1904="","",YEAR(A1904))</f>
        <v/>
      </c>
      <c r="R1904" s="27">
        <f>IF(L1904="","",IF(L1904&gt;Config!$B$8,"A cair",IF(N(G1904)&gt;=MIN(MAX(1,N(E1904)),MAX(0,INT((Config!$B$8-L1904)/30)+1)),IF(N(G1904)&gt;=MAX(1,N(E1904)),"Conferido","Conferido até aqui"),"A conferir")))</f>
        <v/>
      </c>
      <c r="S1904" s="51">
        <f>IF(R1904="A conferir",(Config!$B$8-L1904)*1000+N(F1904)/1000+ROW()/100000,0)</f>
        <v>0</v>
      </c>
      <c r="T1904" s="51">
        <f>IF(R1904="A conferir",N(N1904),0)</f>
        <v>0</v>
      </c>
      <c r="U1904" s="51">
        <f>IF(L1904="",0,L1904)</f>
        <v>0</v>
      </c>
      <c r="V1904" s="51">
        <f>IF(L1904="",0,MAX(1,N(E1904)))</f>
        <v>0</v>
      </c>
      <c r="W1904" s="51">
        <f>IF(K1904="",0,K1904)</f>
        <v>0</v>
      </c>
    </row>
    <row r="1905">
      <c r="A1905" s="49" t="n"/>
      <c r="B1905" s="41" t="n"/>
      <c r="C1905" s="41" t="n"/>
      <c r="D1905" s="42" t="n"/>
      <c r="E1905" s="42" t="n"/>
      <c r="F1905" s="50" t="n"/>
      <c r="G1905" s="42" t="n"/>
      <c r="H1905" s="30">
        <f>IF(D1905="","",IFERROR(INDEX(Config!$B$12:$B$15,MATCH(IF(AND(D1905="Cartão de crédito",N(E1905)&gt;1),"Cartão de crédito parcelado",D1905),Config!$A$12:$A$15,0)),0)+IF(AND(Config!$B$17="Sim",LEFT(D1905,17)="Cartão de crédito"),Config!$B$18*IFERROR(INDEX(Config!$C$12:$C$15,MATCH(IF(AND(D1905="Cartão de crédito",N(E1905)&gt;1),"Cartão de crédito parcelado",D1905),Config!$A$12:$A$15,0)),0)/30*MAX(1,N(E1905)),0))</f>
        <v/>
      </c>
      <c r="I1905" s="29">
        <f>IF(OR(D1905="",F1905=""),"",ROUND(F1905*H1905,2))</f>
        <v/>
      </c>
      <c r="J1905" s="29">
        <f>IF(I1905="","",F1905-I1905)</f>
        <v/>
      </c>
      <c r="K1905" s="29">
        <f>IF(J1905="","",J1905/MAX(1,N(E1905)))</f>
        <v/>
      </c>
      <c r="L1905" s="37">
        <f>IF(OR(D1905="",A1905=""),"",A1905+IF(AND(Config!$B$17="Sim",LEFT(D1905,17)="Cartão de crédito"),1,IFERROR(INDEX(Config!$C$12:$C$15,MATCH(IF(AND(D1905="Cartão de crédito",N(E1905)&gt;1),"Cartão de crédito parcelado",D1905),Config!$A$12:$A$15,0)),0)))</f>
        <v/>
      </c>
      <c r="M1905" s="37">
        <f>IF(L1905="","",IF(AND(Config!$B$17="Sim",LEFT(D1905,17)="Cartão de crédito"),L1905,L1905+30*(MAX(1,N(E1905))-1)))</f>
        <v/>
      </c>
      <c r="N1905" s="29">
        <f>IF(OR(L1905="",K1905=""),"",K1905*MIN(MAX(1,N(E1905)),MAX(0,INT((Config!$B$8-L1905)/30)+1)))</f>
        <v/>
      </c>
      <c r="O1905" s="29">
        <f>IF(J1905="","",J1905-N(N1905))</f>
        <v/>
      </c>
      <c r="P1905" s="27">
        <f>IF(A1905="","",MONTH(A1905))</f>
        <v/>
      </c>
      <c r="Q1905" s="27">
        <f>IF(A1905="","",YEAR(A1905))</f>
        <v/>
      </c>
      <c r="R1905" s="27">
        <f>IF(L1905="","",IF(L1905&gt;Config!$B$8,"A cair",IF(N(G1905)&gt;=MIN(MAX(1,N(E1905)),MAX(0,INT((Config!$B$8-L1905)/30)+1)),IF(N(G1905)&gt;=MAX(1,N(E1905)),"Conferido","Conferido até aqui"),"A conferir")))</f>
        <v/>
      </c>
      <c r="S1905" s="51">
        <f>IF(R1905="A conferir",(Config!$B$8-L1905)*1000+N(F1905)/1000+ROW()/100000,0)</f>
        <v>0</v>
      </c>
      <c r="T1905" s="51">
        <f>IF(R1905="A conferir",N(N1905),0)</f>
        <v>0</v>
      </c>
      <c r="U1905" s="51">
        <f>IF(L1905="",0,L1905)</f>
        <v>0</v>
      </c>
      <c r="V1905" s="51">
        <f>IF(L1905="",0,MAX(1,N(E1905)))</f>
        <v>0</v>
      </c>
      <c r="W1905" s="51">
        <f>IF(K1905="",0,K1905)</f>
        <v>0</v>
      </c>
    </row>
    <row r="1906">
      <c r="A1906" s="49" t="n"/>
      <c r="B1906" s="41" t="n"/>
      <c r="C1906" s="41" t="n"/>
      <c r="D1906" s="42" t="n"/>
      <c r="E1906" s="42" t="n"/>
      <c r="F1906" s="50" t="n"/>
      <c r="G1906" s="42" t="n"/>
      <c r="H1906" s="30">
        <f>IF(D1906="","",IFERROR(INDEX(Config!$B$12:$B$15,MATCH(IF(AND(D1906="Cartão de crédito",N(E1906)&gt;1),"Cartão de crédito parcelado",D1906),Config!$A$12:$A$15,0)),0)+IF(AND(Config!$B$17="Sim",LEFT(D1906,17)="Cartão de crédito"),Config!$B$18*IFERROR(INDEX(Config!$C$12:$C$15,MATCH(IF(AND(D1906="Cartão de crédito",N(E1906)&gt;1),"Cartão de crédito parcelado",D1906),Config!$A$12:$A$15,0)),0)/30*MAX(1,N(E1906)),0))</f>
        <v/>
      </c>
      <c r="I1906" s="29">
        <f>IF(OR(D1906="",F1906=""),"",ROUND(F1906*H1906,2))</f>
        <v/>
      </c>
      <c r="J1906" s="29">
        <f>IF(I1906="","",F1906-I1906)</f>
        <v/>
      </c>
      <c r="K1906" s="29">
        <f>IF(J1906="","",J1906/MAX(1,N(E1906)))</f>
        <v/>
      </c>
      <c r="L1906" s="37">
        <f>IF(OR(D1906="",A1906=""),"",A1906+IF(AND(Config!$B$17="Sim",LEFT(D1906,17)="Cartão de crédito"),1,IFERROR(INDEX(Config!$C$12:$C$15,MATCH(IF(AND(D1906="Cartão de crédito",N(E1906)&gt;1),"Cartão de crédito parcelado",D1906),Config!$A$12:$A$15,0)),0)))</f>
        <v/>
      </c>
      <c r="M1906" s="37">
        <f>IF(L1906="","",IF(AND(Config!$B$17="Sim",LEFT(D1906,17)="Cartão de crédito"),L1906,L1906+30*(MAX(1,N(E1906))-1)))</f>
        <v/>
      </c>
      <c r="N1906" s="29">
        <f>IF(OR(L1906="",K1906=""),"",K1906*MIN(MAX(1,N(E1906)),MAX(0,INT((Config!$B$8-L1906)/30)+1)))</f>
        <v/>
      </c>
      <c r="O1906" s="29">
        <f>IF(J1906="","",J1906-N(N1906))</f>
        <v/>
      </c>
      <c r="P1906" s="27">
        <f>IF(A1906="","",MONTH(A1906))</f>
        <v/>
      </c>
      <c r="Q1906" s="27">
        <f>IF(A1906="","",YEAR(A1906))</f>
        <v/>
      </c>
      <c r="R1906" s="27">
        <f>IF(L1906="","",IF(L1906&gt;Config!$B$8,"A cair",IF(N(G1906)&gt;=MIN(MAX(1,N(E1906)),MAX(0,INT((Config!$B$8-L1906)/30)+1)),IF(N(G1906)&gt;=MAX(1,N(E1906)),"Conferido","Conferido até aqui"),"A conferir")))</f>
        <v/>
      </c>
      <c r="S1906" s="51">
        <f>IF(R1906="A conferir",(Config!$B$8-L1906)*1000+N(F1906)/1000+ROW()/100000,0)</f>
        <v>0</v>
      </c>
      <c r="T1906" s="51">
        <f>IF(R1906="A conferir",N(N1906),0)</f>
        <v>0</v>
      </c>
      <c r="U1906" s="51">
        <f>IF(L1906="",0,L1906)</f>
        <v>0</v>
      </c>
      <c r="V1906" s="51">
        <f>IF(L1906="",0,MAX(1,N(E1906)))</f>
        <v>0</v>
      </c>
      <c r="W1906" s="51">
        <f>IF(K1906="",0,K1906)</f>
        <v>0</v>
      </c>
    </row>
    <row r="1907">
      <c r="A1907" s="49" t="n"/>
      <c r="B1907" s="41" t="n"/>
      <c r="C1907" s="41" t="n"/>
      <c r="D1907" s="42" t="n"/>
      <c r="E1907" s="42" t="n"/>
      <c r="F1907" s="50" t="n"/>
      <c r="G1907" s="42" t="n"/>
      <c r="H1907" s="30">
        <f>IF(D1907="","",IFERROR(INDEX(Config!$B$12:$B$15,MATCH(IF(AND(D1907="Cartão de crédito",N(E1907)&gt;1),"Cartão de crédito parcelado",D1907),Config!$A$12:$A$15,0)),0)+IF(AND(Config!$B$17="Sim",LEFT(D1907,17)="Cartão de crédito"),Config!$B$18*IFERROR(INDEX(Config!$C$12:$C$15,MATCH(IF(AND(D1907="Cartão de crédito",N(E1907)&gt;1),"Cartão de crédito parcelado",D1907),Config!$A$12:$A$15,0)),0)/30*MAX(1,N(E1907)),0))</f>
        <v/>
      </c>
      <c r="I1907" s="29">
        <f>IF(OR(D1907="",F1907=""),"",ROUND(F1907*H1907,2))</f>
        <v/>
      </c>
      <c r="J1907" s="29">
        <f>IF(I1907="","",F1907-I1907)</f>
        <v/>
      </c>
      <c r="K1907" s="29">
        <f>IF(J1907="","",J1907/MAX(1,N(E1907)))</f>
        <v/>
      </c>
      <c r="L1907" s="37">
        <f>IF(OR(D1907="",A1907=""),"",A1907+IF(AND(Config!$B$17="Sim",LEFT(D1907,17)="Cartão de crédito"),1,IFERROR(INDEX(Config!$C$12:$C$15,MATCH(IF(AND(D1907="Cartão de crédito",N(E1907)&gt;1),"Cartão de crédito parcelado",D1907),Config!$A$12:$A$15,0)),0)))</f>
        <v/>
      </c>
      <c r="M1907" s="37">
        <f>IF(L1907="","",IF(AND(Config!$B$17="Sim",LEFT(D1907,17)="Cartão de crédito"),L1907,L1907+30*(MAX(1,N(E1907))-1)))</f>
        <v/>
      </c>
      <c r="N1907" s="29">
        <f>IF(OR(L1907="",K1907=""),"",K1907*MIN(MAX(1,N(E1907)),MAX(0,INT((Config!$B$8-L1907)/30)+1)))</f>
        <v/>
      </c>
      <c r="O1907" s="29">
        <f>IF(J1907="","",J1907-N(N1907))</f>
        <v/>
      </c>
      <c r="P1907" s="27">
        <f>IF(A1907="","",MONTH(A1907))</f>
        <v/>
      </c>
      <c r="Q1907" s="27">
        <f>IF(A1907="","",YEAR(A1907))</f>
        <v/>
      </c>
      <c r="R1907" s="27">
        <f>IF(L1907="","",IF(L1907&gt;Config!$B$8,"A cair",IF(N(G1907)&gt;=MIN(MAX(1,N(E1907)),MAX(0,INT((Config!$B$8-L1907)/30)+1)),IF(N(G1907)&gt;=MAX(1,N(E1907)),"Conferido","Conferido até aqui"),"A conferir")))</f>
        <v/>
      </c>
      <c r="S1907" s="51">
        <f>IF(R1907="A conferir",(Config!$B$8-L1907)*1000+N(F1907)/1000+ROW()/100000,0)</f>
        <v>0</v>
      </c>
      <c r="T1907" s="51">
        <f>IF(R1907="A conferir",N(N1907),0)</f>
        <v>0</v>
      </c>
      <c r="U1907" s="51">
        <f>IF(L1907="",0,L1907)</f>
        <v>0</v>
      </c>
      <c r="V1907" s="51">
        <f>IF(L1907="",0,MAX(1,N(E1907)))</f>
        <v>0</v>
      </c>
      <c r="W1907" s="51">
        <f>IF(K1907="",0,K1907)</f>
        <v>0</v>
      </c>
    </row>
    <row r="1908">
      <c r="A1908" s="49" t="n"/>
      <c r="B1908" s="41" t="n"/>
      <c r="C1908" s="41" t="n"/>
      <c r="D1908" s="42" t="n"/>
      <c r="E1908" s="42" t="n"/>
      <c r="F1908" s="50" t="n"/>
      <c r="G1908" s="42" t="n"/>
      <c r="H1908" s="30">
        <f>IF(D1908="","",IFERROR(INDEX(Config!$B$12:$B$15,MATCH(IF(AND(D1908="Cartão de crédito",N(E1908)&gt;1),"Cartão de crédito parcelado",D1908),Config!$A$12:$A$15,0)),0)+IF(AND(Config!$B$17="Sim",LEFT(D1908,17)="Cartão de crédito"),Config!$B$18*IFERROR(INDEX(Config!$C$12:$C$15,MATCH(IF(AND(D1908="Cartão de crédito",N(E1908)&gt;1),"Cartão de crédito parcelado",D1908),Config!$A$12:$A$15,0)),0)/30*MAX(1,N(E1908)),0))</f>
        <v/>
      </c>
      <c r="I1908" s="29">
        <f>IF(OR(D1908="",F1908=""),"",ROUND(F1908*H1908,2))</f>
        <v/>
      </c>
      <c r="J1908" s="29">
        <f>IF(I1908="","",F1908-I1908)</f>
        <v/>
      </c>
      <c r="K1908" s="29">
        <f>IF(J1908="","",J1908/MAX(1,N(E1908)))</f>
        <v/>
      </c>
      <c r="L1908" s="37">
        <f>IF(OR(D1908="",A1908=""),"",A1908+IF(AND(Config!$B$17="Sim",LEFT(D1908,17)="Cartão de crédito"),1,IFERROR(INDEX(Config!$C$12:$C$15,MATCH(IF(AND(D1908="Cartão de crédito",N(E1908)&gt;1),"Cartão de crédito parcelado",D1908),Config!$A$12:$A$15,0)),0)))</f>
        <v/>
      </c>
      <c r="M1908" s="37">
        <f>IF(L1908="","",IF(AND(Config!$B$17="Sim",LEFT(D1908,17)="Cartão de crédito"),L1908,L1908+30*(MAX(1,N(E1908))-1)))</f>
        <v/>
      </c>
      <c r="N1908" s="29">
        <f>IF(OR(L1908="",K1908=""),"",K1908*MIN(MAX(1,N(E1908)),MAX(0,INT((Config!$B$8-L1908)/30)+1)))</f>
        <v/>
      </c>
      <c r="O1908" s="29">
        <f>IF(J1908="","",J1908-N(N1908))</f>
        <v/>
      </c>
      <c r="P1908" s="27">
        <f>IF(A1908="","",MONTH(A1908))</f>
        <v/>
      </c>
      <c r="Q1908" s="27">
        <f>IF(A1908="","",YEAR(A1908))</f>
        <v/>
      </c>
      <c r="R1908" s="27">
        <f>IF(L1908="","",IF(L1908&gt;Config!$B$8,"A cair",IF(N(G1908)&gt;=MIN(MAX(1,N(E1908)),MAX(0,INT((Config!$B$8-L1908)/30)+1)),IF(N(G1908)&gt;=MAX(1,N(E1908)),"Conferido","Conferido até aqui"),"A conferir")))</f>
        <v/>
      </c>
      <c r="S1908" s="51">
        <f>IF(R1908="A conferir",(Config!$B$8-L1908)*1000+N(F1908)/1000+ROW()/100000,0)</f>
        <v>0</v>
      </c>
      <c r="T1908" s="51">
        <f>IF(R1908="A conferir",N(N1908),0)</f>
        <v>0</v>
      </c>
      <c r="U1908" s="51">
        <f>IF(L1908="",0,L1908)</f>
        <v>0</v>
      </c>
      <c r="V1908" s="51">
        <f>IF(L1908="",0,MAX(1,N(E1908)))</f>
        <v>0</v>
      </c>
      <c r="W1908" s="51">
        <f>IF(K1908="",0,K1908)</f>
        <v>0</v>
      </c>
    </row>
    <row r="1909">
      <c r="A1909" s="49" t="n"/>
      <c r="B1909" s="41" t="n"/>
      <c r="C1909" s="41" t="n"/>
      <c r="D1909" s="42" t="n"/>
      <c r="E1909" s="42" t="n"/>
      <c r="F1909" s="50" t="n"/>
      <c r="G1909" s="42" t="n"/>
      <c r="H1909" s="30">
        <f>IF(D1909="","",IFERROR(INDEX(Config!$B$12:$B$15,MATCH(IF(AND(D1909="Cartão de crédito",N(E1909)&gt;1),"Cartão de crédito parcelado",D1909),Config!$A$12:$A$15,0)),0)+IF(AND(Config!$B$17="Sim",LEFT(D1909,17)="Cartão de crédito"),Config!$B$18*IFERROR(INDEX(Config!$C$12:$C$15,MATCH(IF(AND(D1909="Cartão de crédito",N(E1909)&gt;1),"Cartão de crédito parcelado",D1909),Config!$A$12:$A$15,0)),0)/30*MAX(1,N(E1909)),0))</f>
        <v/>
      </c>
      <c r="I1909" s="29">
        <f>IF(OR(D1909="",F1909=""),"",ROUND(F1909*H1909,2))</f>
        <v/>
      </c>
      <c r="J1909" s="29">
        <f>IF(I1909="","",F1909-I1909)</f>
        <v/>
      </c>
      <c r="K1909" s="29">
        <f>IF(J1909="","",J1909/MAX(1,N(E1909)))</f>
        <v/>
      </c>
      <c r="L1909" s="37">
        <f>IF(OR(D1909="",A1909=""),"",A1909+IF(AND(Config!$B$17="Sim",LEFT(D1909,17)="Cartão de crédito"),1,IFERROR(INDEX(Config!$C$12:$C$15,MATCH(IF(AND(D1909="Cartão de crédito",N(E1909)&gt;1),"Cartão de crédito parcelado",D1909),Config!$A$12:$A$15,0)),0)))</f>
        <v/>
      </c>
      <c r="M1909" s="37">
        <f>IF(L1909="","",IF(AND(Config!$B$17="Sim",LEFT(D1909,17)="Cartão de crédito"),L1909,L1909+30*(MAX(1,N(E1909))-1)))</f>
        <v/>
      </c>
      <c r="N1909" s="29">
        <f>IF(OR(L1909="",K1909=""),"",K1909*MIN(MAX(1,N(E1909)),MAX(0,INT((Config!$B$8-L1909)/30)+1)))</f>
        <v/>
      </c>
      <c r="O1909" s="29">
        <f>IF(J1909="","",J1909-N(N1909))</f>
        <v/>
      </c>
      <c r="P1909" s="27">
        <f>IF(A1909="","",MONTH(A1909))</f>
        <v/>
      </c>
      <c r="Q1909" s="27">
        <f>IF(A1909="","",YEAR(A1909))</f>
        <v/>
      </c>
      <c r="R1909" s="27">
        <f>IF(L1909="","",IF(L1909&gt;Config!$B$8,"A cair",IF(N(G1909)&gt;=MIN(MAX(1,N(E1909)),MAX(0,INT((Config!$B$8-L1909)/30)+1)),IF(N(G1909)&gt;=MAX(1,N(E1909)),"Conferido","Conferido até aqui"),"A conferir")))</f>
        <v/>
      </c>
      <c r="S1909" s="51">
        <f>IF(R1909="A conferir",(Config!$B$8-L1909)*1000+N(F1909)/1000+ROW()/100000,0)</f>
        <v>0</v>
      </c>
      <c r="T1909" s="51">
        <f>IF(R1909="A conferir",N(N1909),0)</f>
        <v>0</v>
      </c>
      <c r="U1909" s="51">
        <f>IF(L1909="",0,L1909)</f>
        <v>0</v>
      </c>
      <c r="V1909" s="51">
        <f>IF(L1909="",0,MAX(1,N(E1909)))</f>
        <v>0</v>
      </c>
      <c r="W1909" s="51">
        <f>IF(K1909="",0,K1909)</f>
        <v>0</v>
      </c>
    </row>
    <row r="1910">
      <c r="A1910" s="49" t="n"/>
      <c r="B1910" s="41" t="n"/>
      <c r="C1910" s="41" t="n"/>
      <c r="D1910" s="42" t="n"/>
      <c r="E1910" s="42" t="n"/>
      <c r="F1910" s="50" t="n"/>
      <c r="G1910" s="42" t="n"/>
      <c r="H1910" s="30">
        <f>IF(D1910="","",IFERROR(INDEX(Config!$B$12:$B$15,MATCH(IF(AND(D1910="Cartão de crédito",N(E1910)&gt;1),"Cartão de crédito parcelado",D1910),Config!$A$12:$A$15,0)),0)+IF(AND(Config!$B$17="Sim",LEFT(D1910,17)="Cartão de crédito"),Config!$B$18*IFERROR(INDEX(Config!$C$12:$C$15,MATCH(IF(AND(D1910="Cartão de crédito",N(E1910)&gt;1),"Cartão de crédito parcelado",D1910),Config!$A$12:$A$15,0)),0)/30*MAX(1,N(E1910)),0))</f>
        <v/>
      </c>
      <c r="I1910" s="29">
        <f>IF(OR(D1910="",F1910=""),"",ROUND(F1910*H1910,2))</f>
        <v/>
      </c>
      <c r="J1910" s="29">
        <f>IF(I1910="","",F1910-I1910)</f>
        <v/>
      </c>
      <c r="K1910" s="29">
        <f>IF(J1910="","",J1910/MAX(1,N(E1910)))</f>
        <v/>
      </c>
      <c r="L1910" s="37">
        <f>IF(OR(D1910="",A1910=""),"",A1910+IF(AND(Config!$B$17="Sim",LEFT(D1910,17)="Cartão de crédito"),1,IFERROR(INDEX(Config!$C$12:$C$15,MATCH(IF(AND(D1910="Cartão de crédito",N(E1910)&gt;1),"Cartão de crédito parcelado",D1910),Config!$A$12:$A$15,0)),0)))</f>
        <v/>
      </c>
      <c r="M1910" s="37">
        <f>IF(L1910="","",IF(AND(Config!$B$17="Sim",LEFT(D1910,17)="Cartão de crédito"),L1910,L1910+30*(MAX(1,N(E1910))-1)))</f>
        <v/>
      </c>
      <c r="N1910" s="29">
        <f>IF(OR(L1910="",K1910=""),"",K1910*MIN(MAX(1,N(E1910)),MAX(0,INT((Config!$B$8-L1910)/30)+1)))</f>
        <v/>
      </c>
      <c r="O1910" s="29">
        <f>IF(J1910="","",J1910-N(N1910))</f>
        <v/>
      </c>
      <c r="P1910" s="27">
        <f>IF(A1910="","",MONTH(A1910))</f>
        <v/>
      </c>
      <c r="Q1910" s="27">
        <f>IF(A1910="","",YEAR(A1910))</f>
        <v/>
      </c>
      <c r="R1910" s="27">
        <f>IF(L1910="","",IF(L1910&gt;Config!$B$8,"A cair",IF(N(G1910)&gt;=MIN(MAX(1,N(E1910)),MAX(0,INT((Config!$B$8-L1910)/30)+1)),IF(N(G1910)&gt;=MAX(1,N(E1910)),"Conferido","Conferido até aqui"),"A conferir")))</f>
        <v/>
      </c>
      <c r="S1910" s="51">
        <f>IF(R1910="A conferir",(Config!$B$8-L1910)*1000+N(F1910)/1000+ROW()/100000,0)</f>
        <v>0</v>
      </c>
      <c r="T1910" s="51">
        <f>IF(R1910="A conferir",N(N1910),0)</f>
        <v>0</v>
      </c>
      <c r="U1910" s="51">
        <f>IF(L1910="",0,L1910)</f>
        <v>0</v>
      </c>
      <c r="V1910" s="51">
        <f>IF(L1910="",0,MAX(1,N(E1910)))</f>
        <v>0</v>
      </c>
      <c r="W1910" s="51">
        <f>IF(K1910="",0,K1910)</f>
        <v>0</v>
      </c>
    </row>
    <row r="1911">
      <c r="A1911" s="49" t="n"/>
      <c r="B1911" s="41" t="n"/>
      <c r="C1911" s="41" t="n"/>
      <c r="D1911" s="42" t="n"/>
      <c r="E1911" s="42" t="n"/>
      <c r="F1911" s="50" t="n"/>
      <c r="G1911" s="42" t="n"/>
      <c r="H1911" s="30">
        <f>IF(D1911="","",IFERROR(INDEX(Config!$B$12:$B$15,MATCH(IF(AND(D1911="Cartão de crédito",N(E1911)&gt;1),"Cartão de crédito parcelado",D1911),Config!$A$12:$A$15,0)),0)+IF(AND(Config!$B$17="Sim",LEFT(D1911,17)="Cartão de crédito"),Config!$B$18*IFERROR(INDEX(Config!$C$12:$C$15,MATCH(IF(AND(D1911="Cartão de crédito",N(E1911)&gt;1),"Cartão de crédito parcelado",D1911),Config!$A$12:$A$15,0)),0)/30*MAX(1,N(E1911)),0))</f>
        <v/>
      </c>
      <c r="I1911" s="29">
        <f>IF(OR(D1911="",F1911=""),"",ROUND(F1911*H1911,2))</f>
        <v/>
      </c>
      <c r="J1911" s="29">
        <f>IF(I1911="","",F1911-I1911)</f>
        <v/>
      </c>
      <c r="K1911" s="29">
        <f>IF(J1911="","",J1911/MAX(1,N(E1911)))</f>
        <v/>
      </c>
      <c r="L1911" s="37">
        <f>IF(OR(D1911="",A1911=""),"",A1911+IF(AND(Config!$B$17="Sim",LEFT(D1911,17)="Cartão de crédito"),1,IFERROR(INDEX(Config!$C$12:$C$15,MATCH(IF(AND(D1911="Cartão de crédito",N(E1911)&gt;1),"Cartão de crédito parcelado",D1911),Config!$A$12:$A$15,0)),0)))</f>
        <v/>
      </c>
      <c r="M1911" s="37">
        <f>IF(L1911="","",IF(AND(Config!$B$17="Sim",LEFT(D1911,17)="Cartão de crédito"),L1911,L1911+30*(MAX(1,N(E1911))-1)))</f>
        <v/>
      </c>
      <c r="N1911" s="29">
        <f>IF(OR(L1911="",K1911=""),"",K1911*MIN(MAX(1,N(E1911)),MAX(0,INT((Config!$B$8-L1911)/30)+1)))</f>
        <v/>
      </c>
      <c r="O1911" s="29">
        <f>IF(J1911="","",J1911-N(N1911))</f>
        <v/>
      </c>
      <c r="P1911" s="27">
        <f>IF(A1911="","",MONTH(A1911))</f>
        <v/>
      </c>
      <c r="Q1911" s="27">
        <f>IF(A1911="","",YEAR(A1911))</f>
        <v/>
      </c>
      <c r="R1911" s="27">
        <f>IF(L1911="","",IF(L1911&gt;Config!$B$8,"A cair",IF(N(G1911)&gt;=MIN(MAX(1,N(E1911)),MAX(0,INT((Config!$B$8-L1911)/30)+1)),IF(N(G1911)&gt;=MAX(1,N(E1911)),"Conferido","Conferido até aqui"),"A conferir")))</f>
        <v/>
      </c>
      <c r="S1911" s="51">
        <f>IF(R1911="A conferir",(Config!$B$8-L1911)*1000+N(F1911)/1000+ROW()/100000,0)</f>
        <v>0</v>
      </c>
      <c r="T1911" s="51">
        <f>IF(R1911="A conferir",N(N1911),0)</f>
        <v>0</v>
      </c>
      <c r="U1911" s="51">
        <f>IF(L1911="",0,L1911)</f>
        <v>0</v>
      </c>
      <c r="V1911" s="51">
        <f>IF(L1911="",0,MAX(1,N(E1911)))</f>
        <v>0</v>
      </c>
      <c r="W1911" s="51">
        <f>IF(K1911="",0,K1911)</f>
        <v>0</v>
      </c>
    </row>
    <row r="1912">
      <c r="A1912" s="49" t="n"/>
      <c r="B1912" s="41" t="n"/>
      <c r="C1912" s="41" t="n"/>
      <c r="D1912" s="42" t="n"/>
      <c r="E1912" s="42" t="n"/>
      <c r="F1912" s="50" t="n"/>
      <c r="G1912" s="42" t="n"/>
      <c r="H1912" s="30">
        <f>IF(D1912="","",IFERROR(INDEX(Config!$B$12:$B$15,MATCH(IF(AND(D1912="Cartão de crédito",N(E1912)&gt;1),"Cartão de crédito parcelado",D1912),Config!$A$12:$A$15,0)),0)+IF(AND(Config!$B$17="Sim",LEFT(D1912,17)="Cartão de crédito"),Config!$B$18*IFERROR(INDEX(Config!$C$12:$C$15,MATCH(IF(AND(D1912="Cartão de crédito",N(E1912)&gt;1),"Cartão de crédito parcelado",D1912),Config!$A$12:$A$15,0)),0)/30*MAX(1,N(E1912)),0))</f>
        <v/>
      </c>
      <c r="I1912" s="29">
        <f>IF(OR(D1912="",F1912=""),"",ROUND(F1912*H1912,2))</f>
        <v/>
      </c>
      <c r="J1912" s="29">
        <f>IF(I1912="","",F1912-I1912)</f>
        <v/>
      </c>
      <c r="K1912" s="29">
        <f>IF(J1912="","",J1912/MAX(1,N(E1912)))</f>
        <v/>
      </c>
      <c r="L1912" s="37">
        <f>IF(OR(D1912="",A1912=""),"",A1912+IF(AND(Config!$B$17="Sim",LEFT(D1912,17)="Cartão de crédito"),1,IFERROR(INDEX(Config!$C$12:$C$15,MATCH(IF(AND(D1912="Cartão de crédito",N(E1912)&gt;1),"Cartão de crédito parcelado",D1912),Config!$A$12:$A$15,0)),0)))</f>
        <v/>
      </c>
      <c r="M1912" s="37">
        <f>IF(L1912="","",IF(AND(Config!$B$17="Sim",LEFT(D1912,17)="Cartão de crédito"),L1912,L1912+30*(MAX(1,N(E1912))-1)))</f>
        <v/>
      </c>
      <c r="N1912" s="29">
        <f>IF(OR(L1912="",K1912=""),"",K1912*MIN(MAX(1,N(E1912)),MAX(0,INT((Config!$B$8-L1912)/30)+1)))</f>
        <v/>
      </c>
      <c r="O1912" s="29">
        <f>IF(J1912="","",J1912-N(N1912))</f>
        <v/>
      </c>
      <c r="P1912" s="27">
        <f>IF(A1912="","",MONTH(A1912))</f>
        <v/>
      </c>
      <c r="Q1912" s="27">
        <f>IF(A1912="","",YEAR(A1912))</f>
        <v/>
      </c>
      <c r="R1912" s="27">
        <f>IF(L1912="","",IF(L1912&gt;Config!$B$8,"A cair",IF(N(G1912)&gt;=MIN(MAX(1,N(E1912)),MAX(0,INT((Config!$B$8-L1912)/30)+1)),IF(N(G1912)&gt;=MAX(1,N(E1912)),"Conferido","Conferido até aqui"),"A conferir")))</f>
        <v/>
      </c>
      <c r="S1912" s="51">
        <f>IF(R1912="A conferir",(Config!$B$8-L1912)*1000+N(F1912)/1000+ROW()/100000,0)</f>
        <v>0</v>
      </c>
      <c r="T1912" s="51">
        <f>IF(R1912="A conferir",N(N1912),0)</f>
        <v>0</v>
      </c>
      <c r="U1912" s="51">
        <f>IF(L1912="",0,L1912)</f>
        <v>0</v>
      </c>
      <c r="V1912" s="51">
        <f>IF(L1912="",0,MAX(1,N(E1912)))</f>
        <v>0</v>
      </c>
      <c r="W1912" s="51">
        <f>IF(K1912="",0,K1912)</f>
        <v>0</v>
      </c>
    </row>
    <row r="1913">
      <c r="A1913" s="49" t="n"/>
      <c r="B1913" s="41" t="n"/>
      <c r="C1913" s="41" t="n"/>
      <c r="D1913" s="42" t="n"/>
      <c r="E1913" s="42" t="n"/>
      <c r="F1913" s="50" t="n"/>
      <c r="G1913" s="42" t="n"/>
      <c r="H1913" s="30">
        <f>IF(D1913="","",IFERROR(INDEX(Config!$B$12:$B$15,MATCH(IF(AND(D1913="Cartão de crédito",N(E1913)&gt;1),"Cartão de crédito parcelado",D1913),Config!$A$12:$A$15,0)),0)+IF(AND(Config!$B$17="Sim",LEFT(D1913,17)="Cartão de crédito"),Config!$B$18*IFERROR(INDEX(Config!$C$12:$C$15,MATCH(IF(AND(D1913="Cartão de crédito",N(E1913)&gt;1),"Cartão de crédito parcelado",D1913),Config!$A$12:$A$15,0)),0)/30*MAX(1,N(E1913)),0))</f>
        <v/>
      </c>
      <c r="I1913" s="29">
        <f>IF(OR(D1913="",F1913=""),"",ROUND(F1913*H1913,2))</f>
        <v/>
      </c>
      <c r="J1913" s="29">
        <f>IF(I1913="","",F1913-I1913)</f>
        <v/>
      </c>
      <c r="K1913" s="29">
        <f>IF(J1913="","",J1913/MAX(1,N(E1913)))</f>
        <v/>
      </c>
      <c r="L1913" s="37">
        <f>IF(OR(D1913="",A1913=""),"",A1913+IF(AND(Config!$B$17="Sim",LEFT(D1913,17)="Cartão de crédito"),1,IFERROR(INDEX(Config!$C$12:$C$15,MATCH(IF(AND(D1913="Cartão de crédito",N(E1913)&gt;1),"Cartão de crédito parcelado",D1913),Config!$A$12:$A$15,0)),0)))</f>
        <v/>
      </c>
      <c r="M1913" s="37">
        <f>IF(L1913="","",IF(AND(Config!$B$17="Sim",LEFT(D1913,17)="Cartão de crédito"),L1913,L1913+30*(MAX(1,N(E1913))-1)))</f>
        <v/>
      </c>
      <c r="N1913" s="29">
        <f>IF(OR(L1913="",K1913=""),"",K1913*MIN(MAX(1,N(E1913)),MAX(0,INT((Config!$B$8-L1913)/30)+1)))</f>
        <v/>
      </c>
      <c r="O1913" s="29">
        <f>IF(J1913="","",J1913-N(N1913))</f>
        <v/>
      </c>
      <c r="P1913" s="27">
        <f>IF(A1913="","",MONTH(A1913))</f>
        <v/>
      </c>
      <c r="Q1913" s="27">
        <f>IF(A1913="","",YEAR(A1913))</f>
        <v/>
      </c>
      <c r="R1913" s="27">
        <f>IF(L1913="","",IF(L1913&gt;Config!$B$8,"A cair",IF(N(G1913)&gt;=MIN(MAX(1,N(E1913)),MAX(0,INT((Config!$B$8-L1913)/30)+1)),IF(N(G1913)&gt;=MAX(1,N(E1913)),"Conferido","Conferido até aqui"),"A conferir")))</f>
        <v/>
      </c>
      <c r="S1913" s="51">
        <f>IF(R1913="A conferir",(Config!$B$8-L1913)*1000+N(F1913)/1000+ROW()/100000,0)</f>
        <v>0</v>
      </c>
      <c r="T1913" s="51">
        <f>IF(R1913="A conferir",N(N1913),0)</f>
        <v>0</v>
      </c>
      <c r="U1913" s="51">
        <f>IF(L1913="",0,L1913)</f>
        <v>0</v>
      </c>
      <c r="V1913" s="51">
        <f>IF(L1913="",0,MAX(1,N(E1913)))</f>
        <v>0</v>
      </c>
      <c r="W1913" s="51">
        <f>IF(K1913="",0,K1913)</f>
        <v>0</v>
      </c>
    </row>
    <row r="1914">
      <c r="A1914" s="49" t="n"/>
      <c r="B1914" s="41" t="n"/>
      <c r="C1914" s="41" t="n"/>
      <c r="D1914" s="42" t="n"/>
      <c r="E1914" s="42" t="n"/>
      <c r="F1914" s="50" t="n"/>
      <c r="G1914" s="42" t="n"/>
      <c r="H1914" s="30">
        <f>IF(D1914="","",IFERROR(INDEX(Config!$B$12:$B$15,MATCH(IF(AND(D1914="Cartão de crédito",N(E1914)&gt;1),"Cartão de crédito parcelado",D1914),Config!$A$12:$A$15,0)),0)+IF(AND(Config!$B$17="Sim",LEFT(D1914,17)="Cartão de crédito"),Config!$B$18*IFERROR(INDEX(Config!$C$12:$C$15,MATCH(IF(AND(D1914="Cartão de crédito",N(E1914)&gt;1),"Cartão de crédito parcelado",D1914),Config!$A$12:$A$15,0)),0)/30*MAX(1,N(E1914)),0))</f>
        <v/>
      </c>
      <c r="I1914" s="29">
        <f>IF(OR(D1914="",F1914=""),"",ROUND(F1914*H1914,2))</f>
        <v/>
      </c>
      <c r="J1914" s="29">
        <f>IF(I1914="","",F1914-I1914)</f>
        <v/>
      </c>
      <c r="K1914" s="29">
        <f>IF(J1914="","",J1914/MAX(1,N(E1914)))</f>
        <v/>
      </c>
      <c r="L1914" s="37">
        <f>IF(OR(D1914="",A1914=""),"",A1914+IF(AND(Config!$B$17="Sim",LEFT(D1914,17)="Cartão de crédito"),1,IFERROR(INDEX(Config!$C$12:$C$15,MATCH(IF(AND(D1914="Cartão de crédito",N(E1914)&gt;1),"Cartão de crédito parcelado",D1914),Config!$A$12:$A$15,0)),0)))</f>
        <v/>
      </c>
      <c r="M1914" s="37">
        <f>IF(L1914="","",IF(AND(Config!$B$17="Sim",LEFT(D1914,17)="Cartão de crédito"),L1914,L1914+30*(MAX(1,N(E1914))-1)))</f>
        <v/>
      </c>
      <c r="N1914" s="29">
        <f>IF(OR(L1914="",K1914=""),"",K1914*MIN(MAX(1,N(E1914)),MAX(0,INT((Config!$B$8-L1914)/30)+1)))</f>
        <v/>
      </c>
      <c r="O1914" s="29">
        <f>IF(J1914="","",J1914-N(N1914))</f>
        <v/>
      </c>
      <c r="P1914" s="27">
        <f>IF(A1914="","",MONTH(A1914))</f>
        <v/>
      </c>
      <c r="Q1914" s="27">
        <f>IF(A1914="","",YEAR(A1914))</f>
        <v/>
      </c>
      <c r="R1914" s="27">
        <f>IF(L1914="","",IF(L1914&gt;Config!$B$8,"A cair",IF(N(G1914)&gt;=MIN(MAX(1,N(E1914)),MAX(0,INT((Config!$B$8-L1914)/30)+1)),IF(N(G1914)&gt;=MAX(1,N(E1914)),"Conferido","Conferido até aqui"),"A conferir")))</f>
        <v/>
      </c>
      <c r="S1914" s="51">
        <f>IF(R1914="A conferir",(Config!$B$8-L1914)*1000+N(F1914)/1000+ROW()/100000,0)</f>
        <v>0</v>
      </c>
      <c r="T1914" s="51">
        <f>IF(R1914="A conferir",N(N1914),0)</f>
        <v>0</v>
      </c>
      <c r="U1914" s="51">
        <f>IF(L1914="",0,L1914)</f>
        <v>0</v>
      </c>
      <c r="V1914" s="51">
        <f>IF(L1914="",0,MAX(1,N(E1914)))</f>
        <v>0</v>
      </c>
      <c r="W1914" s="51">
        <f>IF(K1914="",0,K1914)</f>
        <v>0</v>
      </c>
    </row>
    <row r="1915">
      <c r="A1915" s="49" t="n"/>
      <c r="B1915" s="41" t="n"/>
      <c r="C1915" s="41" t="n"/>
      <c r="D1915" s="42" t="n"/>
      <c r="E1915" s="42" t="n"/>
      <c r="F1915" s="50" t="n"/>
      <c r="G1915" s="42" t="n"/>
      <c r="H1915" s="30">
        <f>IF(D1915="","",IFERROR(INDEX(Config!$B$12:$B$15,MATCH(IF(AND(D1915="Cartão de crédito",N(E1915)&gt;1),"Cartão de crédito parcelado",D1915),Config!$A$12:$A$15,0)),0)+IF(AND(Config!$B$17="Sim",LEFT(D1915,17)="Cartão de crédito"),Config!$B$18*IFERROR(INDEX(Config!$C$12:$C$15,MATCH(IF(AND(D1915="Cartão de crédito",N(E1915)&gt;1),"Cartão de crédito parcelado",D1915),Config!$A$12:$A$15,0)),0)/30*MAX(1,N(E1915)),0))</f>
        <v/>
      </c>
      <c r="I1915" s="29">
        <f>IF(OR(D1915="",F1915=""),"",ROUND(F1915*H1915,2))</f>
        <v/>
      </c>
      <c r="J1915" s="29">
        <f>IF(I1915="","",F1915-I1915)</f>
        <v/>
      </c>
      <c r="K1915" s="29">
        <f>IF(J1915="","",J1915/MAX(1,N(E1915)))</f>
        <v/>
      </c>
      <c r="L1915" s="37">
        <f>IF(OR(D1915="",A1915=""),"",A1915+IF(AND(Config!$B$17="Sim",LEFT(D1915,17)="Cartão de crédito"),1,IFERROR(INDEX(Config!$C$12:$C$15,MATCH(IF(AND(D1915="Cartão de crédito",N(E1915)&gt;1),"Cartão de crédito parcelado",D1915),Config!$A$12:$A$15,0)),0)))</f>
        <v/>
      </c>
      <c r="M1915" s="37">
        <f>IF(L1915="","",IF(AND(Config!$B$17="Sim",LEFT(D1915,17)="Cartão de crédito"),L1915,L1915+30*(MAX(1,N(E1915))-1)))</f>
        <v/>
      </c>
      <c r="N1915" s="29">
        <f>IF(OR(L1915="",K1915=""),"",K1915*MIN(MAX(1,N(E1915)),MAX(0,INT((Config!$B$8-L1915)/30)+1)))</f>
        <v/>
      </c>
      <c r="O1915" s="29">
        <f>IF(J1915="","",J1915-N(N1915))</f>
        <v/>
      </c>
      <c r="P1915" s="27">
        <f>IF(A1915="","",MONTH(A1915))</f>
        <v/>
      </c>
      <c r="Q1915" s="27">
        <f>IF(A1915="","",YEAR(A1915))</f>
        <v/>
      </c>
      <c r="R1915" s="27">
        <f>IF(L1915="","",IF(L1915&gt;Config!$B$8,"A cair",IF(N(G1915)&gt;=MIN(MAX(1,N(E1915)),MAX(0,INT((Config!$B$8-L1915)/30)+1)),IF(N(G1915)&gt;=MAX(1,N(E1915)),"Conferido","Conferido até aqui"),"A conferir")))</f>
        <v/>
      </c>
      <c r="S1915" s="51">
        <f>IF(R1915="A conferir",(Config!$B$8-L1915)*1000+N(F1915)/1000+ROW()/100000,0)</f>
        <v>0</v>
      </c>
      <c r="T1915" s="51">
        <f>IF(R1915="A conferir",N(N1915),0)</f>
        <v>0</v>
      </c>
      <c r="U1915" s="51">
        <f>IF(L1915="",0,L1915)</f>
        <v>0</v>
      </c>
      <c r="V1915" s="51">
        <f>IF(L1915="",0,MAX(1,N(E1915)))</f>
        <v>0</v>
      </c>
      <c r="W1915" s="51">
        <f>IF(K1915="",0,K1915)</f>
        <v>0</v>
      </c>
    </row>
    <row r="1916">
      <c r="A1916" s="49" t="n"/>
      <c r="B1916" s="41" t="n"/>
      <c r="C1916" s="41" t="n"/>
      <c r="D1916" s="42" t="n"/>
      <c r="E1916" s="42" t="n"/>
      <c r="F1916" s="50" t="n"/>
      <c r="G1916" s="42" t="n"/>
      <c r="H1916" s="30">
        <f>IF(D1916="","",IFERROR(INDEX(Config!$B$12:$B$15,MATCH(IF(AND(D1916="Cartão de crédito",N(E1916)&gt;1),"Cartão de crédito parcelado",D1916),Config!$A$12:$A$15,0)),0)+IF(AND(Config!$B$17="Sim",LEFT(D1916,17)="Cartão de crédito"),Config!$B$18*IFERROR(INDEX(Config!$C$12:$C$15,MATCH(IF(AND(D1916="Cartão de crédito",N(E1916)&gt;1),"Cartão de crédito parcelado",D1916),Config!$A$12:$A$15,0)),0)/30*MAX(1,N(E1916)),0))</f>
        <v/>
      </c>
      <c r="I1916" s="29">
        <f>IF(OR(D1916="",F1916=""),"",ROUND(F1916*H1916,2))</f>
        <v/>
      </c>
      <c r="J1916" s="29">
        <f>IF(I1916="","",F1916-I1916)</f>
        <v/>
      </c>
      <c r="K1916" s="29">
        <f>IF(J1916="","",J1916/MAX(1,N(E1916)))</f>
        <v/>
      </c>
      <c r="L1916" s="37">
        <f>IF(OR(D1916="",A1916=""),"",A1916+IF(AND(Config!$B$17="Sim",LEFT(D1916,17)="Cartão de crédito"),1,IFERROR(INDEX(Config!$C$12:$C$15,MATCH(IF(AND(D1916="Cartão de crédito",N(E1916)&gt;1),"Cartão de crédito parcelado",D1916),Config!$A$12:$A$15,0)),0)))</f>
        <v/>
      </c>
      <c r="M1916" s="37">
        <f>IF(L1916="","",IF(AND(Config!$B$17="Sim",LEFT(D1916,17)="Cartão de crédito"),L1916,L1916+30*(MAX(1,N(E1916))-1)))</f>
        <v/>
      </c>
      <c r="N1916" s="29">
        <f>IF(OR(L1916="",K1916=""),"",K1916*MIN(MAX(1,N(E1916)),MAX(0,INT((Config!$B$8-L1916)/30)+1)))</f>
        <v/>
      </c>
      <c r="O1916" s="29">
        <f>IF(J1916="","",J1916-N(N1916))</f>
        <v/>
      </c>
      <c r="P1916" s="27">
        <f>IF(A1916="","",MONTH(A1916))</f>
        <v/>
      </c>
      <c r="Q1916" s="27">
        <f>IF(A1916="","",YEAR(A1916))</f>
        <v/>
      </c>
      <c r="R1916" s="27">
        <f>IF(L1916="","",IF(L1916&gt;Config!$B$8,"A cair",IF(N(G1916)&gt;=MIN(MAX(1,N(E1916)),MAX(0,INT((Config!$B$8-L1916)/30)+1)),IF(N(G1916)&gt;=MAX(1,N(E1916)),"Conferido","Conferido até aqui"),"A conferir")))</f>
        <v/>
      </c>
      <c r="S1916" s="51">
        <f>IF(R1916="A conferir",(Config!$B$8-L1916)*1000+N(F1916)/1000+ROW()/100000,0)</f>
        <v>0</v>
      </c>
      <c r="T1916" s="51">
        <f>IF(R1916="A conferir",N(N1916),0)</f>
        <v>0</v>
      </c>
      <c r="U1916" s="51">
        <f>IF(L1916="",0,L1916)</f>
        <v>0</v>
      </c>
      <c r="V1916" s="51">
        <f>IF(L1916="",0,MAX(1,N(E1916)))</f>
        <v>0</v>
      </c>
      <c r="W1916" s="51">
        <f>IF(K1916="",0,K1916)</f>
        <v>0</v>
      </c>
    </row>
    <row r="1917">
      <c r="A1917" s="49" t="n"/>
      <c r="B1917" s="41" t="n"/>
      <c r="C1917" s="41" t="n"/>
      <c r="D1917" s="42" t="n"/>
      <c r="E1917" s="42" t="n"/>
      <c r="F1917" s="50" t="n"/>
      <c r="G1917" s="42" t="n"/>
      <c r="H1917" s="30">
        <f>IF(D1917="","",IFERROR(INDEX(Config!$B$12:$B$15,MATCH(IF(AND(D1917="Cartão de crédito",N(E1917)&gt;1),"Cartão de crédito parcelado",D1917),Config!$A$12:$A$15,0)),0)+IF(AND(Config!$B$17="Sim",LEFT(D1917,17)="Cartão de crédito"),Config!$B$18*IFERROR(INDEX(Config!$C$12:$C$15,MATCH(IF(AND(D1917="Cartão de crédito",N(E1917)&gt;1),"Cartão de crédito parcelado",D1917),Config!$A$12:$A$15,0)),0)/30*MAX(1,N(E1917)),0))</f>
        <v/>
      </c>
      <c r="I1917" s="29">
        <f>IF(OR(D1917="",F1917=""),"",ROUND(F1917*H1917,2))</f>
        <v/>
      </c>
      <c r="J1917" s="29">
        <f>IF(I1917="","",F1917-I1917)</f>
        <v/>
      </c>
      <c r="K1917" s="29">
        <f>IF(J1917="","",J1917/MAX(1,N(E1917)))</f>
        <v/>
      </c>
      <c r="L1917" s="37">
        <f>IF(OR(D1917="",A1917=""),"",A1917+IF(AND(Config!$B$17="Sim",LEFT(D1917,17)="Cartão de crédito"),1,IFERROR(INDEX(Config!$C$12:$C$15,MATCH(IF(AND(D1917="Cartão de crédito",N(E1917)&gt;1),"Cartão de crédito parcelado",D1917),Config!$A$12:$A$15,0)),0)))</f>
        <v/>
      </c>
      <c r="M1917" s="37">
        <f>IF(L1917="","",IF(AND(Config!$B$17="Sim",LEFT(D1917,17)="Cartão de crédito"),L1917,L1917+30*(MAX(1,N(E1917))-1)))</f>
        <v/>
      </c>
      <c r="N1917" s="29">
        <f>IF(OR(L1917="",K1917=""),"",K1917*MIN(MAX(1,N(E1917)),MAX(0,INT((Config!$B$8-L1917)/30)+1)))</f>
        <v/>
      </c>
      <c r="O1917" s="29">
        <f>IF(J1917="","",J1917-N(N1917))</f>
        <v/>
      </c>
      <c r="P1917" s="27">
        <f>IF(A1917="","",MONTH(A1917))</f>
        <v/>
      </c>
      <c r="Q1917" s="27">
        <f>IF(A1917="","",YEAR(A1917))</f>
        <v/>
      </c>
      <c r="R1917" s="27">
        <f>IF(L1917="","",IF(L1917&gt;Config!$B$8,"A cair",IF(N(G1917)&gt;=MIN(MAX(1,N(E1917)),MAX(0,INT((Config!$B$8-L1917)/30)+1)),IF(N(G1917)&gt;=MAX(1,N(E1917)),"Conferido","Conferido até aqui"),"A conferir")))</f>
        <v/>
      </c>
      <c r="S1917" s="51">
        <f>IF(R1917="A conferir",(Config!$B$8-L1917)*1000+N(F1917)/1000+ROW()/100000,0)</f>
        <v>0</v>
      </c>
      <c r="T1917" s="51">
        <f>IF(R1917="A conferir",N(N1917),0)</f>
        <v>0</v>
      </c>
      <c r="U1917" s="51">
        <f>IF(L1917="",0,L1917)</f>
        <v>0</v>
      </c>
      <c r="V1917" s="51">
        <f>IF(L1917="",0,MAX(1,N(E1917)))</f>
        <v>0</v>
      </c>
      <c r="W1917" s="51">
        <f>IF(K1917="",0,K1917)</f>
        <v>0</v>
      </c>
    </row>
    <row r="1918">
      <c r="A1918" s="49" t="n"/>
      <c r="B1918" s="41" t="n"/>
      <c r="C1918" s="41" t="n"/>
      <c r="D1918" s="42" t="n"/>
      <c r="E1918" s="42" t="n"/>
      <c r="F1918" s="50" t="n"/>
      <c r="G1918" s="42" t="n"/>
      <c r="H1918" s="30">
        <f>IF(D1918="","",IFERROR(INDEX(Config!$B$12:$B$15,MATCH(IF(AND(D1918="Cartão de crédito",N(E1918)&gt;1),"Cartão de crédito parcelado",D1918),Config!$A$12:$A$15,0)),0)+IF(AND(Config!$B$17="Sim",LEFT(D1918,17)="Cartão de crédito"),Config!$B$18*IFERROR(INDEX(Config!$C$12:$C$15,MATCH(IF(AND(D1918="Cartão de crédito",N(E1918)&gt;1),"Cartão de crédito parcelado",D1918),Config!$A$12:$A$15,0)),0)/30*MAX(1,N(E1918)),0))</f>
        <v/>
      </c>
      <c r="I1918" s="29">
        <f>IF(OR(D1918="",F1918=""),"",ROUND(F1918*H1918,2))</f>
        <v/>
      </c>
      <c r="J1918" s="29">
        <f>IF(I1918="","",F1918-I1918)</f>
        <v/>
      </c>
      <c r="K1918" s="29">
        <f>IF(J1918="","",J1918/MAX(1,N(E1918)))</f>
        <v/>
      </c>
      <c r="L1918" s="37">
        <f>IF(OR(D1918="",A1918=""),"",A1918+IF(AND(Config!$B$17="Sim",LEFT(D1918,17)="Cartão de crédito"),1,IFERROR(INDEX(Config!$C$12:$C$15,MATCH(IF(AND(D1918="Cartão de crédito",N(E1918)&gt;1),"Cartão de crédito parcelado",D1918),Config!$A$12:$A$15,0)),0)))</f>
        <v/>
      </c>
      <c r="M1918" s="37">
        <f>IF(L1918="","",IF(AND(Config!$B$17="Sim",LEFT(D1918,17)="Cartão de crédito"),L1918,L1918+30*(MAX(1,N(E1918))-1)))</f>
        <v/>
      </c>
      <c r="N1918" s="29">
        <f>IF(OR(L1918="",K1918=""),"",K1918*MIN(MAX(1,N(E1918)),MAX(0,INT((Config!$B$8-L1918)/30)+1)))</f>
        <v/>
      </c>
      <c r="O1918" s="29">
        <f>IF(J1918="","",J1918-N(N1918))</f>
        <v/>
      </c>
      <c r="P1918" s="27">
        <f>IF(A1918="","",MONTH(A1918))</f>
        <v/>
      </c>
      <c r="Q1918" s="27">
        <f>IF(A1918="","",YEAR(A1918))</f>
        <v/>
      </c>
      <c r="R1918" s="27">
        <f>IF(L1918="","",IF(L1918&gt;Config!$B$8,"A cair",IF(N(G1918)&gt;=MIN(MAX(1,N(E1918)),MAX(0,INT((Config!$B$8-L1918)/30)+1)),IF(N(G1918)&gt;=MAX(1,N(E1918)),"Conferido","Conferido até aqui"),"A conferir")))</f>
        <v/>
      </c>
      <c r="S1918" s="51">
        <f>IF(R1918="A conferir",(Config!$B$8-L1918)*1000+N(F1918)/1000+ROW()/100000,0)</f>
        <v>0</v>
      </c>
      <c r="T1918" s="51">
        <f>IF(R1918="A conferir",N(N1918),0)</f>
        <v>0</v>
      </c>
      <c r="U1918" s="51">
        <f>IF(L1918="",0,L1918)</f>
        <v>0</v>
      </c>
      <c r="V1918" s="51">
        <f>IF(L1918="",0,MAX(1,N(E1918)))</f>
        <v>0</v>
      </c>
      <c r="W1918" s="51">
        <f>IF(K1918="",0,K1918)</f>
        <v>0</v>
      </c>
    </row>
    <row r="1919">
      <c r="A1919" s="49" t="n"/>
      <c r="B1919" s="41" t="n"/>
      <c r="C1919" s="41" t="n"/>
      <c r="D1919" s="42" t="n"/>
      <c r="E1919" s="42" t="n"/>
      <c r="F1919" s="50" t="n"/>
      <c r="G1919" s="42" t="n"/>
      <c r="H1919" s="30">
        <f>IF(D1919="","",IFERROR(INDEX(Config!$B$12:$B$15,MATCH(IF(AND(D1919="Cartão de crédito",N(E1919)&gt;1),"Cartão de crédito parcelado",D1919),Config!$A$12:$A$15,0)),0)+IF(AND(Config!$B$17="Sim",LEFT(D1919,17)="Cartão de crédito"),Config!$B$18*IFERROR(INDEX(Config!$C$12:$C$15,MATCH(IF(AND(D1919="Cartão de crédito",N(E1919)&gt;1),"Cartão de crédito parcelado",D1919),Config!$A$12:$A$15,0)),0)/30*MAX(1,N(E1919)),0))</f>
        <v/>
      </c>
      <c r="I1919" s="29">
        <f>IF(OR(D1919="",F1919=""),"",ROUND(F1919*H1919,2))</f>
        <v/>
      </c>
      <c r="J1919" s="29">
        <f>IF(I1919="","",F1919-I1919)</f>
        <v/>
      </c>
      <c r="K1919" s="29">
        <f>IF(J1919="","",J1919/MAX(1,N(E1919)))</f>
        <v/>
      </c>
      <c r="L1919" s="37">
        <f>IF(OR(D1919="",A1919=""),"",A1919+IF(AND(Config!$B$17="Sim",LEFT(D1919,17)="Cartão de crédito"),1,IFERROR(INDEX(Config!$C$12:$C$15,MATCH(IF(AND(D1919="Cartão de crédito",N(E1919)&gt;1),"Cartão de crédito parcelado",D1919),Config!$A$12:$A$15,0)),0)))</f>
        <v/>
      </c>
      <c r="M1919" s="37">
        <f>IF(L1919="","",IF(AND(Config!$B$17="Sim",LEFT(D1919,17)="Cartão de crédito"),L1919,L1919+30*(MAX(1,N(E1919))-1)))</f>
        <v/>
      </c>
      <c r="N1919" s="29">
        <f>IF(OR(L1919="",K1919=""),"",K1919*MIN(MAX(1,N(E1919)),MAX(0,INT((Config!$B$8-L1919)/30)+1)))</f>
        <v/>
      </c>
      <c r="O1919" s="29">
        <f>IF(J1919="","",J1919-N(N1919))</f>
        <v/>
      </c>
      <c r="P1919" s="27">
        <f>IF(A1919="","",MONTH(A1919))</f>
        <v/>
      </c>
      <c r="Q1919" s="27">
        <f>IF(A1919="","",YEAR(A1919))</f>
        <v/>
      </c>
      <c r="R1919" s="27">
        <f>IF(L1919="","",IF(L1919&gt;Config!$B$8,"A cair",IF(N(G1919)&gt;=MIN(MAX(1,N(E1919)),MAX(0,INT((Config!$B$8-L1919)/30)+1)),IF(N(G1919)&gt;=MAX(1,N(E1919)),"Conferido","Conferido até aqui"),"A conferir")))</f>
        <v/>
      </c>
      <c r="S1919" s="51">
        <f>IF(R1919="A conferir",(Config!$B$8-L1919)*1000+N(F1919)/1000+ROW()/100000,0)</f>
        <v>0</v>
      </c>
      <c r="T1919" s="51">
        <f>IF(R1919="A conferir",N(N1919),0)</f>
        <v>0</v>
      </c>
      <c r="U1919" s="51">
        <f>IF(L1919="",0,L1919)</f>
        <v>0</v>
      </c>
      <c r="V1919" s="51">
        <f>IF(L1919="",0,MAX(1,N(E1919)))</f>
        <v>0</v>
      </c>
      <c r="W1919" s="51">
        <f>IF(K1919="",0,K1919)</f>
        <v>0</v>
      </c>
    </row>
    <row r="1920">
      <c r="A1920" s="49" t="n"/>
      <c r="B1920" s="41" t="n"/>
      <c r="C1920" s="41" t="n"/>
      <c r="D1920" s="42" t="n"/>
      <c r="E1920" s="42" t="n"/>
      <c r="F1920" s="50" t="n"/>
      <c r="G1920" s="42" t="n"/>
      <c r="H1920" s="30">
        <f>IF(D1920="","",IFERROR(INDEX(Config!$B$12:$B$15,MATCH(IF(AND(D1920="Cartão de crédito",N(E1920)&gt;1),"Cartão de crédito parcelado",D1920),Config!$A$12:$A$15,0)),0)+IF(AND(Config!$B$17="Sim",LEFT(D1920,17)="Cartão de crédito"),Config!$B$18*IFERROR(INDEX(Config!$C$12:$C$15,MATCH(IF(AND(D1920="Cartão de crédito",N(E1920)&gt;1),"Cartão de crédito parcelado",D1920),Config!$A$12:$A$15,0)),0)/30*MAX(1,N(E1920)),0))</f>
        <v/>
      </c>
      <c r="I1920" s="29">
        <f>IF(OR(D1920="",F1920=""),"",ROUND(F1920*H1920,2))</f>
        <v/>
      </c>
      <c r="J1920" s="29">
        <f>IF(I1920="","",F1920-I1920)</f>
        <v/>
      </c>
      <c r="K1920" s="29">
        <f>IF(J1920="","",J1920/MAX(1,N(E1920)))</f>
        <v/>
      </c>
      <c r="L1920" s="37">
        <f>IF(OR(D1920="",A1920=""),"",A1920+IF(AND(Config!$B$17="Sim",LEFT(D1920,17)="Cartão de crédito"),1,IFERROR(INDEX(Config!$C$12:$C$15,MATCH(IF(AND(D1920="Cartão de crédito",N(E1920)&gt;1),"Cartão de crédito parcelado",D1920),Config!$A$12:$A$15,0)),0)))</f>
        <v/>
      </c>
      <c r="M1920" s="37">
        <f>IF(L1920="","",IF(AND(Config!$B$17="Sim",LEFT(D1920,17)="Cartão de crédito"),L1920,L1920+30*(MAX(1,N(E1920))-1)))</f>
        <v/>
      </c>
      <c r="N1920" s="29">
        <f>IF(OR(L1920="",K1920=""),"",K1920*MIN(MAX(1,N(E1920)),MAX(0,INT((Config!$B$8-L1920)/30)+1)))</f>
        <v/>
      </c>
      <c r="O1920" s="29">
        <f>IF(J1920="","",J1920-N(N1920))</f>
        <v/>
      </c>
      <c r="P1920" s="27">
        <f>IF(A1920="","",MONTH(A1920))</f>
        <v/>
      </c>
      <c r="Q1920" s="27">
        <f>IF(A1920="","",YEAR(A1920))</f>
        <v/>
      </c>
      <c r="R1920" s="27">
        <f>IF(L1920="","",IF(L1920&gt;Config!$B$8,"A cair",IF(N(G1920)&gt;=MIN(MAX(1,N(E1920)),MAX(0,INT((Config!$B$8-L1920)/30)+1)),IF(N(G1920)&gt;=MAX(1,N(E1920)),"Conferido","Conferido até aqui"),"A conferir")))</f>
        <v/>
      </c>
      <c r="S1920" s="51">
        <f>IF(R1920="A conferir",(Config!$B$8-L1920)*1000+N(F1920)/1000+ROW()/100000,0)</f>
        <v>0</v>
      </c>
      <c r="T1920" s="51">
        <f>IF(R1920="A conferir",N(N1920),0)</f>
        <v>0</v>
      </c>
      <c r="U1920" s="51">
        <f>IF(L1920="",0,L1920)</f>
        <v>0</v>
      </c>
      <c r="V1920" s="51">
        <f>IF(L1920="",0,MAX(1,N(E1920)))</f>
        <v>0</v>
      </c>
      <c r="W1920" s="51">
        <f>IF(K1920="",0,K1920)</f>
        <v>0</v>
      </c>
    </row>
    <row r="1921">
      <c r="A1921" s="49" t="n"/>
      <c r="B1921" s="41" t="n"/>
      <c r="C1921" s="41" t="n"/>
      <c r="D1921" s="42" t="n"/>
      <c r="E1921" s="42" t="n"/>
      <c r="F1921" s="50" t="n"/>
      <c r="G1921" s="42" t="n"/>
      <c r="H1921" s="30">
        <f>IF(D1921="","",IFERROR(INDEX(Config!$B$12:$B$15,MATCH(IF(AND(D1921="Cartão de crédito",N(E1921)&gt;1),"Cartão de crédito parcelado",D1921),Config!$A$12:$A$15,0)),0)+IF(AND(Config!$B$17="Sim",LEFT(D1921,17)="Cartão de crédito"),Config!$B$18*IFERROR(INDEX(Config!$C$12:$C$15,MATCH(IF(AND(D1921="Cartão de crédito",N(E1921)&gt;1),"Cartão de crédito parcelado",D1921),Config!$A$12:$A$15,0)),0)/30*MAX(1,N(E1921)),0))</f>
        <v/>
      </c>
      <c r="I1921" s="29">
        <f>IF(OR(D1921="",F1921=""),"",ROUND(F1921*H1921,2))</f>
        <v/>
      </c>
      <c r="J1921" s="29">
        <f>IF(I1921="","",F1921-I1921)</f>
        <v/>
      </c>
      <c r="K1921" s="29">
        <f>IF(J1921="","",J1921/MAX(1,N(E1921)))</f>
        <v/>
      </c>
      <c r="L1921" s="37">
        <f>IF(OR(D1921="",A1921=""),"",A1921+IF(AND(Config!$B$17="Sim",LEFT(D1921,17)="Cartão de crédito"),1,IFERROR(INDEX(Config!$C$12:$C$15,MATCH(IF(AND(D1921="Cartão de crédito",N(E1921)&gt;1),"Cartão de crédito parcelado",D1921),Config!$A$12:$A$15,0)),0)))</f>
        <v/>
      </c>
      <c r="M1921" s="37">
        <f>IF(L1921="","",IF(AND(Config!$B$17="Sim",LEFT(D1921,17)="Cartão de crédito"),L1921,L1921+30*(MAX(1,N(E1921))-1)))</f>
        <v/>
      </c>
      <c r="N1921" s="29">
        <f>IF(OR(L1921="",K1921=""),"",K1921*MIN(MAX(1,N(E1921)),MAX(0,INT((Config!$B$8-L1921)/30)+1)))</f>
        <v/>
      </c>
      <c r="O1921" s="29">
        <f>IF(J1921="","",J1921-N(N1921))</f>
        <v/>
      </c>
      <c r="P1921" s="27">
        <f>IF(A1921="","",MONTH(A1921))</f>
        <v/>
      </c>
      <c r="Q1921" s="27">
        <f>IF(A1921="","",YEAR(A1921))</f>
        <v/>
      </c>
      <c r="R1921" s="27">
        <f>IF(L1921="","",IF(L1921&gt;Config!$B$8,"A cair",IF(N(G1921)&gt;=MIN(MAX(1,N(E1921)),MAX(0,INT((Config!$B$8-L1921)/30)+1)),IF(N(G1921)&gt;=MAX(1,N(E1921)),"Conferido","Conferido até aqui"),"A conferir")))</f>
        <v/>
      </c>
      <c r="S1921" s="51">
        <f>IF(R1921="A conferir",(Config!$B$8-L1921)*1000+N(F1921)/1000+ROW()/100000,0)</f>
        <v>0</v>
      </c>
      <c r="T1921" s="51">
        <f>IF(R1921="A conferir",N(N1921),0)</f>
        <v>0</v>
      </c>
      <c r="U1921" s="51">
        <f>IF(L1921="",0,L1921)</f>
        <v>0</v>
      </c>
      <c r="V1921" s="51">
        <f>IF(L1921="",0,MAX(1,N(E1921)))</f>
        <v>0</v>
      </c>
      <c r="W1921" s="51">
        <f>IF(K1921="",0,K1921)</f>
        <v>0</v>
      </c>
    </row>
    <row r="1922">
      <c r="A1922" s="49" t="n"/>
      <c r="B1922" s="41" t="n"/>
      <c r="C1922" s="41" t="n"/>
      <c r="D1922" s="42" t="n"/>
      <c r="E1922" s="42" t="n"/>
      <c r="F1922" s="50" t="n"/>
      <c r="G1922" s="42" t="n"/>
      <c r="H1922" s="30">
        <f>IF(D1922="","",IFERROR(INDEX(Config!$B$12:$B$15,MATCH(IF(AND(D1922="Cartão de crédito",N(E1922)&gt;1),"Cartão de crédito parcelado",D1922),Config!$A$12:$A$15,0)),0)+IF(AND(Config!$B$17="Sim",LEFT(D1922,17)="Cartão de crédito"),Config!$B$18*IFERROR(INDEX(Config!$C$12:$C$15,MATCH(IF(AND(D1922="Cartão de crédito",N(E1922)&gt;1),"Cartão de crédito parcelado",D1922),Config!$A$12:$A$15,0)),0)/30*MAX(1,N(E1922)),0))</f>
        <v/>
      </c>
      <c r="I1922" s="29">
        <f>IF(OR(D1922="",F1922=""),"",ROUND(F1922*H1922,2))</f>
        <v/>
      </c>
      <c r="J1922" s="29">
        <f>IF(I1922="","",F1922-I1922)</f>
        <v/>
      </c>
      <c r="K1922" s="29">
        <f>IF(J1922="","",J1922/MAX(1,N(E1922)))</f>
        <v/>
      </c>
      <c r="L1922" s="37">
        <f>IF(OR(D1922="",A1922=""),"",A1922+IF(AND(Config!$B$17="Sim",LEFT(D1922,17)="Cartão de crédito"),1,IFERROR(INDEX(Config!$C$12:$C$15,MATCH(IF(AND(D1922="Cartão de crédito",N(E1922)&gt;1),"Cartão de crédito parcelado",D1922),Config!$A$12:$A$15,0)),0)))</f>
        <v/>
      </c>
      <c r="M1922" s="37">
        <f>IF(L1922="","",IF(AND(Config!$B$17="Sim",LEFT(D1922,17)="Cartão de crédito"),L1922,L1922+30*(MAX(1,N(E1922))-1)))</f>
        <v/>
      </c>
      <c r="N1922" s="29">
        <f>IF(OR(L1922="",K1922=""),"",K1922*MIN(MAX(1,N(E1922)),MAX(0,INT((Config!$B$8-L1922)/30)+1)))</f>
        <v/>
      </c>
      <c r="O1922" s="29">
        <f>IF(J1922="","",J1922-N(N1922))</f>
        <v/>
      </c>
      <c r="P1922" s="27">
        <f>IF(A1922="","",MONTH(A1922))</f>
        <v/>
      </c>
      <c r="Q1922" s="27">
        <f>IF(A1922="","",YEAR(A1922))</f>
        <v/>
      </c>
      <c r="R1922" s="27">
        <f>IF(L1922="","",IF(L1922&gt;Config!$B$8,"A cair",IF(N(G1922)&gt;=MIN(MAX(1,N(E1922)),MAX(0,INT((Config!$B$8-L1922)/30)+1)),IF(N(G1922)&gt;=MAX(1,N(E1922)),"Conferido","Conferido até aqui"),"A conferir")))</f>
        <v/>
      </c>
      <c r="S1922" s="51">
        <f>IF(R1922="A conferir",(Config!$B$8-L1922)*1000+N(F1922)/1000+ROW()/100000,0)</f>
        <v>0</v>
      </c>
      <c r="T1922" s="51">
        <f>IF(R1922="A conferir",N(N1922),0)</f>
        <v>0</v>
      </c>
      <c r="U1922" s="51">
        <f>IF(L1922="",0,L1922)</f>
        <v>0</v>
      </c>
      <c r="V1922" s="51">
        <f>IF(L1922="",0,MAX(1,N(E1922)))</f>
        <v>0</v>
      </c>
      <c r="W1922" s="51">
        <f>IF(K1922="",0,K1922)</f>
        <v>0</v>
      </c>
    </row>
    <row r="1923">
      <c r="A1923" s="49" t="n"/>
      <c r="B1923" s="41" t="n"/>
      <c r="C1923" s="41" t="n"/>
      <c r="D1923" s="42" t="n"/>
      <c r="E1923" s="42" t="n"/>
      <c r="F1923" s="50" t="n"/>
      <c r="G1923" s="42" t="n"/>
      <c r="H1923" s="30">
        <f>IF(D1923="","",IFERROR(INDEX(Config!$B$12:$B$15,MATCH(IF(AND(D1923="Cartão de crédito",N(E1923)&gt;1),"Cartão de crédito parcelado",D1923),Config!$A$12:$A$15,0)),0)+IF(AND(Config!$B$17="Sim",LEFT(D1923,17)="Cartão de crédito"),Config!$B$18*IFERROR(INDEX(Config!$C$12:$C$15,MATCH(IF(AND(D1923="Cartão de crédito",N(E1923)&gt;1),"Cartão de crédito parcelado",D1923),Config!$A$12:$A$15,0)),0)/30*MAX(1,N(E1923)),0))</f>
        <v/>
      </c>
      <c r="I1923" s="29">
        <f>IF(OR(D1923="",F1923=""),"",ROUND(F1923*H1923,2))</f>
        <v/>
      </c>
      <c r="J1923" s="29">
        <f>IF(I1923="","",F1923-I1923)</f>
        <v/>
      </c>
      <c r="K1923" s="29">
        <f>IF(J1923="","",J1923/MAX(1,N(E1923)))</f>
        <v/>
      </c>
      <c r="L1923" s="37">
        <f>IF(OR(D1923="",A1923=""),"",A1923+IF(AND(Config!$B$17="Sim",LEFT(D1923,17)="Cartão de crédito"),1,IFERROR(INDEX(Config!$C$12:$C$15,MATCH(IF(AND(D1923="Cartão de crédito",N(E1923)&gt;1),"Cartão de crédito parcelado",D1923),Config!$A$12:$A$15,0)),0)))</f>
        <v/>
      </c>
      <c r="M1923" s="37">
        <f>IF(L1923="","",IF(AND(Config!$B$17="Sim",LEFT(D1923,17)="Cartão de crédito"),L1923,L1923+30*(MAX(1,N(E1923))-1)))</f>
        <v/>
      </c>
      <c r="N1923" s="29">
        <f>IF(OR(L1923="",K1923=""),"",K1923*MIN(MAX(1,N(E1923)),MAX(0,INT((Config!$B$8-L1923)/30)+1)))</f>
        <v/>
      </c>
      <c r="O1923" s="29">
        <f>IF(J1923="","",J1923-N(N1923))</f>
        <v/>
      </c>
      <c r="P1923" s="27">
        <f>IF(A1923="","",MONTH(A1923))</f>
        <v/>
      </c>
      <c r="Q1923" s="27">
        <f>IF(A1923="","",YEAR(A1923))</f>
        <v/>
      </c>
      <c r="R1923" s="27">
        <f>IF(L1923="","",IF(L1923&gt;Config!$B$8,"A cair",IF(N(G1923)&gt;=MIN(MAX(1,N(E1923)),MAX(0,INT((Config!$B$8-L1923)/30)+1)),IF(N(G1923)&gt;=MAX(1,N(E1923)),"Conferido","Conferido até aqui"),"A conferir")))</f>
        <v/>
      </c>
      <c r="S1923" s="51">
        <f>IF(R1923="A conferir",(Config!$B$8-L1923)*1000+N(F1923)/1000+ROW()/100000,0)</f>
        <v>0</v>
      </c>
      <c r="T1923" s="51">
        <f>IF(R1923="A conferir",N(N1923),0)</f>
        <v>0</v>
      </c>
      <c r="U1923" s="51">
        <f>IF(L1923="",0,L1923)</f>
        <v>0</v>
      </c>
      <c r="V1923" s="51">
        <f>IF(L1923="",0,MAX(1,N(E1923)))</f>
        <v>0</v>
      </c>
      <c r="W1923" s="51">
        <f>IF(K1923="",0,K1923)</f>
        <v>0</v>
      </c>
    </row>
    <row r="1924">
      <c r="A1924" s="49" t="n"/>
      <c r="B1924" s="41" t="n"/>
      <c r="C1924" s="41" t="n"/>
      <c r="D1924" s="42" t="n"/>
      <c r="E1924" s="42" t="n"/>
      <c r="F1924" s="50" t="n"/>
      <c r="G1924" s="42" t="n"/>
      <c r="H1924" s="30">
        <f>IF(D1924="","",IFERROR(INDEX(Config!$B$12:$B$15,MATCH(IF(AND(D1924="Cartão de crédito",N(E1924)&gt;1),"Cartão de crédito parcelado",D1924),Config!$A$12:$A$15,0)),0)+IF(AND(Config!$B$17="Sim",LEFT(D1924,17)="Cartão de crédito"),Config!$B$18*IFERROR(INDEX(Config!$C$12:$C$15,MATCH(IF(AND(D1924="Cartão de crédito",N(E1924)&gt;1),"Cartão de crédito parcelado",D1924),Config!$A$12:$A$15,0)),0)/30*MAX(1,N(E1924)),0))</f>
        <v/>
      </c>
      <c r="I1924" s="29">
        <f>IF(OR(D1924="",F1924=""),"",ROUND(F1924*H1924,2))</f>
        <v/>
      </c>
      <c r="J1924" s="29">
        <f>IF(I1924="","",F1924-I1924)</f>
        <v/>
      </c>
      <c r="K1924" s="29">
        <f>IF(J1924="","",J1924/MAX(1,N(E1924)))</f>
        <v/>
      </c>
      <c r="L1924" s="37">
        <f>IF(OR(D1924="",A1924=""),"",A1924+IF(AND(Config!$B$17="Sim",LEFT(D1924,17)="Cartão de crédito"),1,IFERROR(INDEX(Config!$C$12:$C$15,MATCH(IF(AND(D1924="Cartão de crédito",N(E1924)&gt;1),"Cartão de crédito parcelado",D1924),Config!$A$12:$A$15,0)),0)))</f>
        <v/>
      </c>
      <c r="M1924" s="37">
        <f>IF(L1924="","",IF(AND(Config!$B$17="Sim",LEFT(D1924,17)="Cartão de crédito"),L1924,L1924+30*(MAX(1,N(E1924))-1)))</f>
        <v/>
      </c>
      <c r="N1924" s="29">
        <f>IF(OR(L1924="",K1924=""),"",K1924*MIN(MAX(1,N(E1924)),MAX(0,INT((Config!$B$8-L1924)/30)+1)))</f>
        <v/>
      </c>
      <c r="O1924" s="29">
        <f>IF(J1924="","",J1924-N(N1924))</f>
        <v/>
      </c>
      <c r="P1924" s="27">
        <f>IF(A1924="","",MONTH(A1924))</f>
        <v/>
      </c>
      <c r="Q1924" s="27">
        <f>IF(A1924="","",YEAR(A1924))</f>
        <v/>
      </c>
      <c r="R1924" s="27">
        <f>IF(L1924="","",IF(L1924&gt;Config!$B$8,"A cair",IF(N(G1924)&gt;=MIN(MAX(1,N(E1924)),MAX(0,INT((Config!$B$8-L1924)/30)+1)),IF(N(G1924)&gt;=MAX(1,N(E1924)),"Conferido","Conferido até aqui"),"A conferir")))</f>
        <v/>
      </c>
      <c r="S1924" s="51">
        <f>IF(R1924="A conferir",(Config!$B$8-L1924)*1000+N(F1924)/1000+ROW()/100000,0)</f>
        <v>0</v>
      </c>
      <c r="T1924" s="51">
        <f>IF(R1924="A conferir",N(N1924),0)</f>
        <v>0</v>
      </c>
      <c r="U1924" s="51">
        <f>IF(L1924="",0,L1924)</f>
        <v>0</v>
      </c>
      <c r="V1924" s="51">
        <f>IF(L1924="",0,MAX(1,N(E1924)))</f>
        <v>0</v>
      </c>
      <c r="W1924" s="51">
        <f>IF(K1924="",0,K1924)</f>
        <v>0</v>
      </c>
    </row>
    <row r="1925">
      <c r="A1925" s="49" t="n"/>
      <c r="B1925" s="41" t="n"/>
      <c r="C1925" s="41" t="n"/>
      <c r="D1925" s="42" t="n"/>
      <c r="E1925" s="42" t="n"/>
      <c r="F1925" s="50" t="n"/>
      <c r="G1925" s="42" t="n"/>
      <c r="H1925" s="30">
        <f>IF(D1925="","",IFERROR(INDEX(Config!$B$12:$B$15,MATCH(IF(AND(D1925="Cartão de crédito",N(E1925)&gt;1),"Cartão de crédito parcelado",D1925),Config!$A$12:$A$15,0)),0)+IF(AND(Config!$B$17="Sim",LEFT(D1925,17)="Cartão de crédito"),Config!$B$18*IFERROR(INDEX(Config!$C$12:$C$15,MATCH(IF(AND(D1925="Cartão de crédito",N(E1925)&gt;1),"Cartão de crédito parcelado",D1925),Config!$A$12:$A$15,0)),0)/30*MAX(1,N(E1925)),0))</f>
        <v/>
      </c>
      <c r="I1925" s="29">
        <f>IF(OR(D1925="",F1925=""),"",ROUND(F1925*H1925,2))</f>
        <v/>
      </c>
      <c r="J1925" s="29">
        <f>IF(I1925="","",F1925-I1925)</f>
        <v/>
      </c>
      <c r="K1925" s="29">
        <f>IF(J1925="","",J1925/MAX(1,N(E1925)))</f>
        <v/>
      </c>
      <c r="L1925" s="37">
        <f>IF(OR(D1925="",A1925=""),"",A1925+IF(AND(Config!$B$17="Sim",LEFT(D1925,17)="Cartão de crédito"),1,IFERROR(INDEX(Config!$C$12:$C$15,MATCH(IF(AND(D1925="Cartão de crédito",N(E1925)&gt;1),"Cartão de crédito parcelado",D1925),Config!$A$12:$A$15,0)),0)))</f>
        <v/>
      </c>
      <c r="M1925" s="37">
        <f>IF(L1925="","",IF(AND(Config!$B$17="Sim",LEFT(D1925,17)="Cartão de crédito"),L1925,L1925+30*(MAX(1,N(E1925))-1)))</f>
        <v/>
      </c>
      <c r="N1925" s="29">
        <f>IF(OR(L1925="",K1925=""),"",K1925*MIN(MAX(1,N(E1925)),MAX(0,INT((Config!$B$8-L1925)/30)+1)))</f>
        <v/>
      </c>
      <c r="O1925" s="29">
        <f>IF(J1925="","",J1925-N(N1925))</f>
        <v/>
      </c>
      <c r="P1925" s="27">
        <f>IF(A1925="","",MONTH(A1925))</f>
        <v/>
      </c>
      <c r="Q1925" s="27">
        <f>IF(A1925="","",YEAR(A1925))</f>
        <v/>
      </c>
      <c r="R1925" s="27">
        <f>IF(L1925="","",IF(L1925&gt;Config!$B$8,"A cair",IF(N(G1925)&gt;=MIN(MAX(1,N(E1925)),MAX(0,INT((Config!$B$8-L1925)/30)+1)),IF(N(G1925)&gt;=MAX(1,N(E1925)),"Conferido","Conferido até aqui"),"A conferir")))</f>
        <v/>
      </c>
      <c r="S1925" s="51">
        <f>IF(R1925="A conferir",(Config!$B$8-L1925)*1000+N(F1925)/1000+ROW()/100000,0)</f>
        <v>0</v>
      </c>
      <c r="T1925" s="51">
        <f>IF(R1925="A conferir",N(N1925),0)</f>
        <v>0</v>
      </c>
      <c r="U1925" s="51">
        <f>IF(L1925="",0,L1925)</f>
        <v>0</v>
      </c>
      <c r="V1925" s="51">
        <f>IF(L1925="",0,MAX(1,N(E1925)))</f>
        <v>0</v>
      </c>
      <c r="W1925" s="51">
        <f>IF(K1925="",0,K1925)</f>
        <v>0</v>
      </c>
    </row>
    <row r="1926">
      <c r="A1926" s="49" t="n"/>
      <c r="B1926" s="41" t="n"/>
      <c r="C1926" s="41" t="n"/>
      <c r="D1926" s="42" t="n"/>
      <c r="E1926" s="42" t="n"/>
      <c r="F1926" s="50" t="n"/>
      <c r="G1926" s="42" t="n"/>
      <c r="H1926" s="30">
        <f>IF(D1926="","",IFERROR(INDEX(Config!$B$12:$B$15,MATCH(IF(AND(D1926="Cartão de crédito",N(E1926)&gt;1),"Cartão de crédito parcelado",D1926),Config!$A$12:$A$15,0)),0)+IF(AND(Config!$B$17="Sim",LEFT(D1926,17)="Cartão de crédito"),Config!$B$18*IFERROR(INDEX(Config!$C$12:$C$15,MATCH(IF(AND(D1926="Cartão de crédito",N(E1926)&gt;1),"Cartão de crédito parcelado",D1926),Config!$A$12:$A$15,0)),0)/30*MAX(1,N(E1926)),0))</f>
        <v/>
      </c>
      <c r="I1926" s="29">
        <f>IF(OR(D1926="",F1926=""),"",ROUND(F1926*H1926,2))</f>
        <v/>
      </c>
      <c r="J1926" s="29">
        <f>IF(I1926="","",F1926-I1926)</f>
        <v/>
      </c>
      <c r="K1926" s="29">
        <f>IF(J1926="","",J1926/MAX(1,N(E1926)))</f>
        <v/>
      </c>
      <c r="L1926" s="37">
        <f>IF(OR(D1926="",A1926=""),"",A1926+IF(AND(Config!$B$17="Sim",LEFT(D1926,17)="Cartão de crédito"),1,IFERROR(INDEX(Config!$C$12:$C$15,MATCH(IF(AND(D1926="Cartão de crédito",N(E1926)&gt;1),"Cartão de crédito parcelado",D1926),Config!$A$12:$A$15,0)),0)))</f>
        <v/>
      </c>
      <c r="M1926" s="37">
        <f>IF(L1926="","",IF(AND(Config!$B$17="Sim",LEFT(D1926,17)="Cartão de crédito"),L1926,L1926+30*(MAX(1,N(E1926))-1)))</f>
        <v/>
      </c>
      <c r="N1926" s="29">
        <f>IF(OR(L1926="",K1926=""),"",K1926*MIN(MAX(1,N(E1926)),MAX(0,INT((Config!$B$8-L1926)/30)+1)))</f>
        <v/>
      </c>
      <c r="O1926" s="29">
        <f>IF(J1926="","",J1926-N(N1926))</f>
        <v/>
      </c>
      <c r="P1926" s="27">
        <f>IF(A1926="","",MONTH(A1926))</f>
        <v/>
      </c>
      <c r="Q1926" s="27">
        <f>IF(A1926="","",YEAR(A1926))</f>
        <v/>
      </c>
      <c r="R1926" s="27">
        <f>IF(L1926="","",IF(L1926&gt;Config!$B$8,"A cair",IF(N(G1926)&gt;=MIN(MAX(1,N(E1926)),MAX(0,INT((Config!$B$8-L1926)/30)+1)),IF(N(G1926)&gt;=MAX(1,N(E1926)),"Conferido","Conferido até aqui"),"A conferir")))</f>
        <v/>
      </c>
      <c r="S1926" s="51">
        <f>IF(R1926="A conferir",(Config!$B$8-L1926)*1000+N(F1926)/1000+ROW()/100000,0)</f>
        <v>0</v>
      </c>
      <c r="T1926" s="51">
        <f>IF(R1926="A conferir",N(N1926),0)</f>
        <v>0</v>
      </c>
      <c r="U1926" s="51">
        <f>IF(L1926="",0,L1926)</f>
        <v>0</v>
      </c>
      <c r="V1926" s="51">
        <f>IF(L1926="",0,MAX(1,N(E1926)))</f>
        <v>0</v>
      </c>
      <c r="W1926" s="51">
        <f>IF(K1926="",0,K1926)</f>
        <v>0</v>
      </c>
    </row>
    <row r="1927">
      <c r="A1927" s="49" t="n"/>
      <c r="B1927" s="41" t="n"/>
      <c r="C1927" s="41" t="n"/>
      <c r="D1927" s="42" t="n"/>
      <c r="E1927" s="42" t="n"/>
      <c r="F1927" s="50" t="n"/>
      <c r="G1927" s="42" t="n"/>
      <c r="H1927" s="30">
        <f>IF(D1927="","",IFERROR(INDEX(Config!$B$12:$B$15,MATCH(IF(AND(D1927="Cartão de crédito",N(E1927)&gt;1),"Cartão de crédito parcelado",D1927),Config!$A$12:$A$15,0)),0)+IF(AND(Config!$B$17="Sim",LEFT(D1927,17)="Cartão de crédito"),Config!$B$18*IFERROR(INDEX(Config!$C$12:$C$15,MATCH(IF(AND(D1927="Cartão de crédito",N(E1927)&gt;1),"Cartão de crédito parcelado",D1927),Config!$A$12:$A$15,0)),0)/30*MAX(1,N(E1927)),0))</f>
        <v/>
      </c>
      <c r="I1927" s="29">
        <f>IF(OR(D1927="",F1927=""),"",ROUND(F1927*H1927,2))</f>
        <v/>
      </c>
      <c r="J1927" s="29">
        <f>IF(I1927="","",F1927-I1927)</f>
        <v/>
      </c>
      <c r="K1927" s="29">
        <f>IF(J1927="","",J1927/MAX(1,N(E1927)))</f>
        <v/>
      </c>
      <c r="L1927" s="37">
        <f>IF(OR(D1927="",A1927=""),"",A1927+IF(AND(Config!$B$17="Sim",LEFT(D1927,17)="Cartão de crédito"),1,IFERROR(INDEX(Config!$C$12:$C$15,MATCH(IF(AND(D1927="Cartão de crédito",N(E1927)&gt;1),"Cartão de crédito parcelado",D1927),Config!$A$12:$A$15,0)),0)))</f>
        <v/>
      </c>
      <c r="M1927" s="37">
        <f>IF(L1927="","",IF(AND(Config!$B$17="Sim",LEFT(D1927,17)="Cartão de crédito"),L1927,L1927+30*(MAX(1,N(E1927))-1)))</f>
        <v/>
      </c>
      <c r="N1927" s="29">
        <f>IF(OR(L1927="",K1927=""),"",K1927*MIN(MAX(1,N(E1927)),MAX(0,INT((Config!$B$8-L1927)/30)+1)))</f>
        <v/>
      </c>
      <c r="O1927" s="29">
        <f>IF(J1927="","",J1927-N(N1927))</f>
        <v/>
      </c>
      <c r="P1927" s="27">
        <f>IF(A1927="","",MONTH(A1927))</f>
        <v/>
      </c>
      <c r="Q1927" s="27">
        <f>IF(A1927="","",YEAR(A1927))</f>
        <v/>
      </c>
      <c r="R1927" s="27">
        <f>IF(L1927="","",IF(L1927&gt;Config!$B$8,"A cair",IF(N(G1927)&gt;=MIN(MAX(1,N(E1927)),MAX(0,INT((Config!$B$8-L1927)/30)+1)),IF(N(G1927)&gt;=MAX(1,N(E1927)),"Conferido","Conferido até aqui"),"A conferir")))</f>
        <v/>
      </c>
      <c r="S1927" s="51">
        <f>IF(R1927="A conferir",(Config!$B$8-L1927)*1000+N(F1927)/1000+ROW()/100000,0)</f>
        <v>0</v>
      </c>
      <c r="T1927" s="51">
        <f>IF(R1927="A conferir",N(N1927),0)</f>
        <v>0</v>
      </c>
      <c r="U1927" s="51">
        <f>IF(L1927="",0,L1927)</f>
        <v>0</v>
      </c>
      <c r="V1927" s="51">
        <f>IF(L1927="",0,MAX(1,N(E1927)))</f>
        <v>0</v>
      </c>
      <c r="W1927" s="51">
        <f>IF(K1927="",0,K1927)</f>
        <v>0</v>
      </c>
    </row>
    <row r="1928">
      <c r="A1928" s="49" t="n"/>
      <c r="B1928" s="41" t="n"/>
      <c r="C1928" s="41" t="n"/>
      <c r="D1928" s="42" t="n"/>
      <c r="E1928" s="42" t="n"/>
      <c r="F1928" s="50" t="n"/>
      <c r="G1928" s="42" t="n"/>
      <c r="H1928" s="30">
        <f>IF(D1928="","",IFERROR(INDEX(Config!$B$12:$B$15,MATCH(IF(AND(D1928="Cartão de crédito",N(E1928)&gt;1),"Cartão de crédito parcelado",D1928),Config!$A$12:$A$15,0)),0)+IF(AND(Config!$B$17="Sim",LEFT(D1928,17)="Cartão de crédito"),Config!$B$18*IFERROR(INDEX(Config!$C$12:$C$15,MATCH(IF(AND(D1928="Cartão de crédito",N(E1928)&gt;1),"Cartão de crédito parcelado",D1928),Config!$A$12:$A$15,0)),0)/30*MAX(1,N(E1928)),0))</f>
        <v/>
      </c>
      <c r="I1928" s="29">
        <f>IF(OR(D1928="",F1928=""),"",ROUND(F1928*H1928,2))</f>
        <v/>
      </c>
      <c r="J1928" s="29">
        <f>IF(I1928="","",F1928-I1928)</f>
        <v/>
      </c>
      <c r="K1928" s="29">
        <f>IF(J1928="","",J1928/MAX(1,N(E1928)))</f>
        <v/>
      </c>
      <c r="L1928" s="37">
        <f>IF(OR(D1928="",A1928=""),"",A1928+IF(AND(Config!$B$17="Sim",LEFT(D1928,17)="Cartão de crédito"),1,IFERROR(INDEX(Config!$C$12:$C$15,MATCH(IF(AND(D1928="Cartão de crédito",N(E1928)&gt;1),"Cartão de crédito parcelado",D1928),Config!$A$12:$A$15,0)),0)))</f>
        <v/>
      </c>
      <c r="M1928" s="37">
        <f>IF(L1928="","",IF(AND(Config!$B$17="Sim",LEFT(D1928,17)="Cartão de crédito"),L1928,L1928+30*(MAX(1,N(E1928))-1)))</f>
        <v/>
      </c>
      <c r="N1928" s="29">
        <f>IF(OR(L1928="",K1928=""),"",K1928*MIN(MAX(1,N(E1928)),MAX(0,INT((Config!$B$8-L1928)/30)+1)))</f>
        <v/>
      </c>
      <c r="O1928" s="29">
        <f>IF(J1928="","",J1928-N(N1928))</f>
        <v/>
      </c>
      <c r="P1928" s="27">
        <f>IF(A1928="","",MONTH(A1928))</f>
        <v/>
      </c>
      <c r="Q1928" s="27">
        <f>IF(A1928="","",YEAR(A1928))</f>
        <v/>
      </c>
      <c r="R1928" s="27">
        <f>IF(L1928="","",IF(L1928&gt;Config!$B$8,"A cair",IF(N(G1928)&gt;=MIN(MAX(1,N(E1928)),MAX(0,INT((Config!$B$8-L1928)/30)+1)),IF(N(G1928)&gt;=MAX(1,N(E1928)),"Conferido","Conferido até aqui"),"A conferir")))</f>
        <v/>
      </c>
      <c r="S1928" s="51">
        <f>IF(R1928="A conferir",(Config!$B$8-L1928)*1000+N(F1928)/1000+ROW()/100000,0)</f>
        <v>0</v>
      </c>
      <c r="T1928" s="51">
        <f>IF(R1928="A conferir",N(N1928),0)</f>
        <v>0</v>
      </c>
      <c r="U1928" s="51">
        <f>IF(L1928="",0,L1928)</f>
        <v>0</v>
      </c>
      <c r="V1928" s="51">
        <f>IF(L1928="",0,MAX(1,N(E1928)))</f>
        <v>0</v>
      </c>
      <c r="W1928" s="51">
        <f>IF(K1928="",0,K1928)</f>
        <v>0</v>
      </c>
    </row>
    <row r="1929">
      <c r="A1929" s="49" t="n"/>
      <c r="B1929" s="41" t="n"/>
      <c r="C1929" s="41" t="n"/>
      <c r="D1929" s="42" t="n"/>
      <c r="E1929" s="42" t="n"/>
      <c r="F1929" s="50" t="n"/>
      <c r="G1929" s="42" t="n"/>
      <c r="H1929" s="30">
        <f>IF(D1929="","",IFERROR(INDEX(Config!$B$12:$B$15,MATCH(IF(AND(D1929="Cartão de crédito",N(E1929)&gt;1),"Cartão de crédito parcelado",D1929),Config!$A$12:$A$15,0)),0)+IF(AND(Config!$B$17="Sim",LEFT(D1929,17)="Cartão de crédito"),Config!$B$18*IFERROR(INDEX(Config!$C$12:$C$15,MATCH(IF(AND(D1929="Cartão de crédito",N(E1929)&gt;1),"Cartão de crédito parcelado",D1929),Config!$A$12:$A$15,0)),0)/30*MAX(1,N(E1929)),0))</f>
        <v/>
      </c>
      <c r="I1929" s="29">
        <f>IF(OR(D1929="",F1929=""),"",ROUND(F1929*H1929,2))</f>
        <v/>
      </c>
      <c r="J1929" s="29">
        <f>IF(I1929="","",F1929-I1929)</f>
        <v/>
      </c>
      <c r="K1929" s="29">
        <f>IF(J1929="","",J1929/MAX(1,N(E1929)))</f>
        <v/>
      </c>
      <c r="L1929" s="37">
        <f>IF(OR(D1929="",A1929=""),"",A1929+IF(AND(Config!$B$17="Sim",LEFT(D1929,17)="Cartão de crédito"),1,IFERROR(INDEX(Config!$C$12:$C$15,MATCH(IF(AND(D1929="Cartão de crédito",N(E1929)&gt;1),"Cartão de crédito parcelado",D1929),Config!$A$12:$A$15,0)),0)))</f>
        <v/>
      </c>
      <c r="M1929" s="37">
        <f>IF(L1929="","",IF(AND(Config!$B$17="Sim",LEFT(D1929,17)="Cartão de crédito"),L1929,L1929+30*(MAX(1,N(E1929))-1)))</f>
        <v/>
      </c>
      <c r="N1929" s="29">
        <f>IF(OR(L1929="",K1929=""),"",K1929*MIN(MAX(1,N(E1929)),MAX(0,INT((Config!$B$8-L1929)/30)+1)))</f>
        <v/>
      </c>
      <c r="O1929" s="29">
        <f>IF(J1929="","",J1929-N(N1929))</f>
        <v/>
      </c>
      <c r="P1929" s="27">
        <f>IF(A1929="","",MONTH(A1929))</f>
        <v/>
      </c>
      <c r="Q1929" s="27">
        <f>IF(A1929="","",YEAR(A1929))</f>
        <v/>
      </c>
      <c r="R1929" s="27">
        <f>IF(L1929="","",IF(L1929&gt;Config!$B$8,"A cair",IF(N(G1929)&gt;=MIN(MAX(1,N(E1929)),MAX(0,INT((Config!$B$8-L1929)/30)+1)),IF(N(G1929)&gt;=MAX(1,N(E1929)),"Conferido","Conferido até aqui"),"A conferir")))</f>
        <v/>
      </c>
      <c r="S1929" s="51">
        <f>IF(R1929="A conferir",(Config!$B$8-L1929)*1000+N(F1929)/1000+ROW()/100000,0)</f>
        <v>0</v>
      </c>
      <c r="T1929" s="51">
        <f>IF(R1929="A conferir",N(N1929),0)</f>
        <v>0</v>
      </c>
      <c r="U1929" s="51">
        <f>IF(L1929="",0,L1929)</f>
        <v>0</v>
      </c>
      <c r="V1929" s="51">
        <f>IF(L1929="",0,MAX(1,N(E1929)))</f>
        <v>0</v>
      </c>
      <c r="W1929" s="51">
        <f>IF(K1929="",0,K1929)</f>
        <v>0</v>
      </c>
    </row>
    <row r="1930">
      <c r="A1930" s="49" t="n"/>
      <c r="B1930" s="41" t="n"/>
      <c r="C1930" s="41" t="n"/>
      <c r="D1930" s="42" t="n"/>
      <c r="E1930" s="42" t="n"/>
      <c r="F1930" s="50" t="n"/>
      <c r="G1930" s="42" t="n"/>
      <c r="H1930" s="30">
        <f>IF(D1930="","",IFERROR(INDEX(Config!$B$12:$B$15,MATCH(IF(AND(D1930="Cartão de crédito",N(E1930)&gt;1),"Cartão de crédito parcelado",D1930),Config!$A$12:$A$15,0)),0)+IF(AND(Config!$B$17="Sim",LEFT(D1930,17)="Cartão de crédito"),Config!$B$18*IFERROR(INDEX(Config!$C$12:$C$15,MATCH(IF(AND(D1930="Cartão de crédito",N(E1930)&gt;1),"Cartão de crédito parcelado",D1930),Config!$A$12:$A$15,0)),0)/30*MAX(1,N(E1930)),0))</f>
        <v/>
      </c>
      <c r="I1930" s="29">
        <f>IF(OR(D1930="",F1930=""),"",ROUND(F1930*H1930,2))</f>
        <v/>
      </c>
      <c r="J1930" s="29">
        <f>IF(I1930="","",F1930-I1930)</f>
        <v/>
      </c>
      <c r="K1930" s="29">
        <f>IF(J1930="","",J1930/MAX(1,N(E1930)))</f>
        <v/>
      </c>
      <c r="L1930" s="37">
        <f>IF(OR(D1930="",A1930=""),"",A1930+IF(AND(Config!$B$17="Sim",LEFT(D1930,17)="Cartão de crédito"),1,IFERROR(INDEX(Config!$C$12:$C$15,MATCH(IF(AND(D1930="Cartão de crédito",N(E1930)&gt;1),"Cartão de crédito parcelado",D1930),Config!$A$12:$A$15,0)),0)))</f>
        <v/>
      </c>
      <c r="M1930" s="37">
        <f>IF(L1930="","",IF(AND(Config!$B$17="Sim",LEFT(D1930,17)="Cartão de crédito"),L1930,L1930+30*(MAX(1,N(E1930))-1)))</f>
        <v/>
      </c>
      <c r="N1930" s="29">
        <f>IF(OR(L1930="",K1930=""),"",K1930*MIN(MAX(1,N(E1930)),MAX(0,INT((Config!$B$8-L1930)/30)+1)))</f>
        <v/>
      </c>
      <c r="O1930" s="29">
        <f>IF(J1930="","",J1930-N(N1930))</f>
        <v/>
      </c>
      <c r="P1930" s="27">
        <f>IF(A1930="","",MONTH(A1930))</f>
        <v/>
      </c>
      <c r="Q1930" s="27">
        <f>IF(A1930="","",YEAR(A1930))</f>
        <v/>
      </c>
      <c r="R1930" s="27">
        <f>IF(L1930="","",IF(L1930&gt;Config!$B$8,"A cair",IF(N(G1930)&gt;=MIN(MAX(1,N(E1930)),MAX(0,INT((Config!$B$8-L1930)/30)+1)),IF(N(G1930)&gt;=MAX(1,N(E1930)),"Conferido","Conferido até aqui"),"A conferir")))</f>
        <v/>
      </c>
      <c r="S1930" s="51">
        <f>IF(R1930="A conferir",(Config!$B$8-L1930)*1000+N(F1930)/1000+ROW()/100000,0)</f>
        <v>0</v>
      </c>
      <c r="T1930" s="51">
        <f>IF(R1930="A conferir",N(N1930),0)</f>
        <v>0</v>
      </c>
      <c r="U1930" s="51">
        <f>IF(L1930="",0,L1930)</f>
        <v>0</v>
      </c>
      <c r="V1930" s="51">
        <f>IF(L1930="",0,MAX(1,N(E1930)))</f>
        <v>0</v>
      </c>
      <c r="W1930" s="51">
        <f>IF(K1930="",0,K1930)</f>
        <v>0</v>
      </c>
    </row>
    <row r="1931">
      <c r="A1931" s="49" t="n"/>
      <c r="B1931" s="41" t="n"/>
      <c r="C1931" s="41" t="n"/>
      <c r="D1931" s="42" t="n"/>
      <c r="E1931" s="42" t="n"/>
      <c r="F1931" s="50" t="n"/>
      <c r="G1931" s="42" t="n"/>
      <c r="H1931" s="30">
        <f>IF(D1931="","",IFERROR(INDEX(Config!$B$12:$B$15,MATCH(IF(AND(D1931="Cartão de crédito",N(E1931)&gt;1),"Cartão de crédito parcelado",D1931),Config!$A$12:$A$15,0)),0)+IF(AND(Config!$B$17="Sim",LEFT(D1931,17)="Cartão de crédito"),Config!$B$18*IFERROR(INDEX(Config!$C$12:$C$15,MATCH(IF(AND(D1931="Cartão de crédito",N(E1931)&gt;1),"Cartão de crédito parcelado",D1931),Config!$A$12:$A$15,0)),0)/30*MAX(1,N(E1931)),0))</f>
        <v/>
      </c>
      <c r="I1931" s="29">
        <f>IF(OR(D1931="",F1931=""),"",ROUND(F1931*H1931,2))</f>
        <v/>
      </c>
      <c r="J1931" s="29">
        <f>IF(I1931="","",F1931-I1931)</f>
        <v/>
      </c>
      <c r="K1931" s="29">
        <f>IF(J1931="","",J1931/MAX(1,N(E1931)))</f>
        <v/>
      </c>
      <c r="L1931" s="37">
        <f>IF(OR(D1931="",A1931=""),"",A1931+IF(AND(Config!$B$17="Sim",LEFT(D1931,17)="Cartão de crédito"),1,IFERROR(INDEX(Config!$C$12:$C$15,MATCH(IF(AND(D1931="Cartão de crédito",N(E1931)&gt;1),"Cartão de crédito parcelado",D1931),Config!$A$12:$A$15,0)),0)))</f>
        <v/>
      </c>
      <c r="M1931" s="37">
        <f>IF(L1931="","",IF(AND(Config!$B$17="Sim",LEFT(D1931,17)="Cartão de crédito"),L1931,L1931+30*(MAX(1,N(E1931))-1)))</f>
        <v/>
      </c>
      <c r="N1931" s="29">
        <f>IF(OR(L1931="",K1931=""),"",K1931*MIN(MAX(1,N(E1931)),MAX(0,INT((Config!$B$8-L1931)/30)+1)))</f>
        <v/>
      </c>
      <c r="O1931" s="29">
        <f>IF(J1931="","",J1931-N(N1931))</f>
        <v/>
      </c>
      <c r="P1931" s="27">
        <f>IF(A1931="","",MONTH(A1931))</f>
        <v/>
      </c>
      <c r="Q1931" s="27">
        <f>IF(A1931="","",YEAR(A1931))</f>
        <v/>
      </c>
      <c r="R1931" s="27">
        <f>IF(L1931="","",IF(L1931&gt;Config!$B$8,"A cair",IF(N(G1931)&gt;=MIN(MAX(1,N(E1931)),MAX(0,INT((Config!$B$8-L1931)/30)+1)),IF(N(G1931)&gt;=MAX(1,N(E1931)),"Conferido","Conferido até aqui"),"A conferir")))</f>
        <v/>
      </c>
      <c r="S1931" s="51">
        <f>IF(R1931="A conferir",(Config!$B$8-L1931)*1000+N(F1931)/1000+ROW()/100000,0)</f>
        <v>0</v>
      </c>
      <c r="T1931" s="51">
        <f>IF(R1931="A conferir",N(N1931),0)</f>
        <v>0</v>
      </c>
      <c r="U1931" s="51">
        <f>IF(L1931="",0,L1931)</f>
        <v>0</v>
      </c>
      <c r="V1931" s="51">
        <f>IF(L1931="",0,MAX(1,N(E1931)))</f>
        <v>0</v>
      </c>
      <c r="W1931" s="51">
        <f>IF(K1931="",0,K1931)</f>
        <v>0</v>
      </c>
    </row>
    <row r="1932">
      <c r="A1932" s="49" t="n"/>
      <c r="B1932" s="41" t="n"/>
      <c r="C1932" s="41" t="n"/>
      <c r="D1932" s="42" t="n"/>
      <c r="E1932" s="42" t="n"/>
      <c r="F1932" s="50" t="n"/>
      <c r="G1932" s="42" t="n"/>
      <c r="H1932" s="30">
        <f>IF(D1932="","",IFERROR(INDEX(Config!$B$12:$B$15,MATCH(IF(AND(D1932="Cartão de crédito",N(E1932)&gt;1),"Cartão de crédito parcelado",D1932),Config!$A$12:$A$15,0)),0)+IF(AND(Config!$B$17="Sim",LEFT(D1932,17)="Cartão de crédito"),Config!$B$18*IFERROR(INDEX(Config!$C$12:$C$15,MATCH(IF(AND(D1932="Cartão de crédito",N(E1932)&gt;1),"Cartão de crédito parcelado",D1932),Config!$A$12:$A$15,0)),0)/30*MAX(1,N(E1932)),0))</f>
        <v/>
      </c>
      <c r="I1932" s="29">
        <f>IF(OR(D1932="",F1932=""),"",ROUND(F1932*H1932,2))</f>
        <v/>
      </c>
      <c r="J1932" s="29">
        <f>IF(I1932="","",F1932-I1932)</f>
        <v/>
      </c>
      <c r="K1932" s="29">
        <f>IF(J1932="","",J1932/MAX(1,N(E1932)))</f>
        <v/>
      </c>
      <c r="L1932" s="37">
        <f>IF(OR(D1932="",A1932=""),"",A1932+IF(AND(Config!$B$17="Sim",LEFT(D1932,17)="Cartão de crédito"),1,IFERROR(INDEX(Config!$C$12:$C$15,MATCH(IF(AND(D1932="Cartão de crédito",N(E1932)&gt;1),"Cartão de crédito parcelado",D1932),Config!$A$12:$A$15,0)),0)))</f>
        <v/>
      </c>
      <c r="M1932" s="37">
        <f>IF(L1932="","",IF(AND(Config!$B$17="Sim",LEFT(D1932,17)="Cartão de crédito"),L1932,L1932+30*(MAX(1,N(E1932))-1)))</f>
        <v/>
      </c>
      <c r="N1932" s="29">
        <f>IF(OR(L1932="",K1932=""),"",K1932*MIN(MAX(1,N(E1932)),MAX(0,INT((Config!$B$8-L1932)/30)+1)))</f>
        <v/>
      </c>
      <c r="O1932" s="29">
        <f>IF(J1932="","",J1932-N(N1932))</f>
        <v/>
      </c>
      <c r="P1932" s="27">
        <f>IF(A1932="","",MONTH(A1932))</f>
        <v/>
      </c>
      <c r="Q1932" s="27">
        <f>IF(A1932="","",YEAR(A1932))</f>
        <v/>
      </c>
      <c r="R1932" s="27">
        <f>IF(L1932="","",IF(L1932&gt;Config!$B$8,"A cair",IF(N(G1932)&gt;=MIN(MAX(1,N(E1932)),MAX(0,INT((Config!$B$8-L1932)/30)+1)),IF(N(G1932)&gt;=MAX(1,N(E1932)),"Conferido","Conferido até aqui"),"A conferir")))</f>
        <v/>
      </c>
      <c r="S1932" s="51">
        <f>IF(R1932="A conferir",(Config!$B$8-L1932)*1000+N(F1932)/1000+ROW()/100000,0)</f>
        <v>0</v>
      </c>
      <c r="T1932" s="51">
        <f>IF(R1932="A conferir",N(N1932),0)</f>
        <v>0</v>
      </c>
      <c r="U1932" s="51">
        <f>IF(L1932="",0,L1932)</f>
        <v>0</v>
      </c>
      <c r="V1932" s="51">
        <f>IF(L1932="",0,MAX(1,N(E1932)))</f>
        <v>0</v>
      </c>
      <c r="W1932" s="51">
        <f>IF(K1932="",0,K1932)</f>
        <v>0</v>
      </c>
    </row>
    <row r="1933">
      <c r="A1933" s="49" t="n"/>
      <c r="B1933" s="41" t="n"/>
      <c r="C1933" s="41" t="n"/>
      <c r="D1933" s="42" t="n"/>
      <c r="E1933" s="42" t="n"/>
      <c r="F1933" s="50" t="n"/>
      <c r="G1933" s="42" t="n"/>
      <c r="H1933" s="30">
        <f>IF(D1933="","",IFERROR(INDEX(Config!$B$12:$B$15,MATCH(IF(AND(D1933="Cartão de crédito",N(E1933)&gt;1),"Cartão de crédito parcelado",D1933),Config!$A$12:$A$15,0)),0)+IF(AND(Config!$B$17="Sim",LEFT(D1933,17)="Cartão de crédito"),Config!$B$18*IFERROR(INDEX(Config!$C$12:$C$15,MATCH(IF(AND(D1933="Cartão de crédito",N(E1933)&gt;1),"Cartão de crédito parcelado",D1933),Config!$A$12:$A$15,0)),0)/30*MAX(1,N(E1933)),0))</f>
        <v/>
      </c>
      <c r="I1933" s="29">
        <f>IF(OR(D1933="",F1933=""),"",ROUND(F1933*H1933,2))</f>
        <v/>
      </c>
      <c r="J1933" s="29">
        <f>IF(I1933="","",F1933-I1933)</f>
        <v/>
      </c>
      <c r="K1933" s="29">
        <f>IF(J1933="","",J1933/MAX(1,N(E1933)))</f>
        <v/>
      </c>
      <c r="L1933" s="37">
        <f>IF(OR(D1933="",A1933=""),"",A1933+IF(AND(Config!$B$17="Sim",LEFT(D1933,17)="Cartão de crédito"),1,IFERROR(INDEX(Config!$C$12:$C$15,MATCH(IF(AND(D1933="Cartão de crédito",N(E1933)&gt;1),"Cartão de crédito parcelado",D1933),Config!$A$12:$A$15,0)),0)))</f>
        <v/>
      </c>
      <c r="M1933" s="37">
        <f>IF(L1933="","",IF(AND(Config!$B$17="Sim",LEFT(D1933,17)="Cartão de crédito"),L1933,L1933+30*(MAX(1,N(E1933))-1)))</f>
        <v/>
      </c>
      <c r="N1933" s="29">
        <f>IF(OR(L1933="",K1933=""),"",K1933*MIN(MAX(1,N(E1933)),MAX(0,INT((Config!$B$8-L1933)/30)+1)))</f>
        <v/>
      </c>
      <c r="O1933" s="29">
        <f>IF(J1933="","",J1933-N(N1933))</f>
        <v/>
      </c>
      <c r="P1933" s="27">
        <f>IF(A1933="","",MONTH(A1933))</f>
        <v/>
      </c>
      <c r="Q1933" s="27">
        <f>IF(A1933="","",YEAR(A1933))</f>
        <v/>
      </c>
      <c r="R1933" s="27">
        <f>IF(L1933="","",IF(L1933&gt;Config!$B$8,"A cair",IF(N(G1933)&gt;=MIN(MAX(1,N(E1933)),MAX(0,INT((Config!$B$8-L1933)/30)+1)),IF(N(G1933)&gt;=MAX(1,N(E1933)),"Conferido","Conferido até aqui"),"A conferir")))</f>
        <v/>
      </c>
      <c r="S1933" s="51">
        <f>IF(R1933="A conferir",(Config!$B$8-L1933)*1000+N(F1933)/1000+ROW()/100000,0)</f>
        <v>0</v>
      </c>
      <c r="T1933" s="51">
        <f>IF(R1933="A conferir",N(N1933),0)</f>
        <v>0</v>
      </c>
      <c r="U1933" s="51">
        <f>IF(L1933="",0,L1933)</f>
        <v>0</v>
      </c>
      <c r="V1933" s="51">
        <f>IF(L1933="",0,MAX(1,N(E1933)))</f>
        <v>0</v>
      </c>
      <c r="W1933" s="51">
        <f>IF(K1933="",0,K1933)</f>
        <v>0</v>
      </c>
    </row>
    <row r="1934">
      <c r="A1934" s="49" t="n"/>
      <c r="B1934" s="41" t="n"/>
      <c r="C1934" s="41" t="n"/>
      <c r="D1934" s="42" t="n"/>
      <c r="E1934" s="42" t="n"/>
      <c r="F1934" s="50" t="n"/>
      <c r="G1934" s="42" t="n"/>
      <c r="H1934" s="30">
        <f>IF(D1934="","",IFERROR(INDEX(Config!$B$12:$B$15,MATCH(IF(AND(D1934="Cartão de crédito",N(E1934)&gt;1),"Cartão de crédito parcelado",D1934),Config!$A$12:$A$15,0)),0)+IF(AND(Config!$B$17="Sim",LEFT(D1934,17)="Cartão de crédito"),Config!$B$18*IFERROR(INDEX(Config!$C$12:$C$15,MATCH(IF(AND(D1934="Cartão de crédito",N(E1934)&gt;1),"Cartão de crédito parcelado",D1934),Config!$A$12:$A$15,0)),0)/30*MAX(1,N(E1934)),0))</f>
        <v/>
      </c>
      <c r="I1934" s="29">
        <f>IF(OR(D1934="",F1934=""),"",ROUND(F1934*H1934,2))</f>
        <v/>
      </c>
      <c r="J1934" s="29">
        <f>IF(I1934="","",F1934-I1934)</f>
        <v/>
      </c>
      <c r="K1934" s="29">
        <f>IF(J1934="","",J1934/MAX(1,N(E1934)))</f>
        <v/>
      </c>
      <c r="L1934" s="37">
        <f>IF(OR(D1934="",A1934=""),"",A1934+IF(AND(Config!$B$17="Sim",LEFT(D1934,17)="Cartão de crédito"),1,IFERROR(INDEX(Config!$C$12:$C$15,MATCH(IF(AND(D1934="Cartão de crédito",N(E1934)&gt;1),"Cartão de crédito parcelado",D1934),Config!$A$12:$A$15,0)),0)))</f>
        <v/>
      </c>
      <c r="M1934" s="37">
        <f>IF(L1934="","",IF(AND(Config!$B$17="Sim",LEFT(D1934,17)="Cartão de crédito"),L1934,L1934+30*(MAX(1,N(E1934))-1)))</f>
        <v/>
      </c>
      <c r="N1934" s="29">
        <f>IF(OR(L1934="",K1934=""),"",K1934*MIN(MAX(1,N(E1934)),MAX(0,INT((Config!$B$8-L1934)/30)+1)))</f>
        <v/>
      </c>
      <c r="O1934" s="29">
        <f>IF(J1934="","",J1934-N(N1934))</f>
        <v/>
      </c>
      <c r="P1934" s="27">
        <f>IF(A1934="","",MONTH(A1934))</f>
        <v/>
      </c>
      <c r="Q1934" s="27">
        <f>IF(A1934="","",YEAR(A1934))</f>
        <v/>
      </c>
      <c r="R1934" s="27">
        <f>IF(L1934="","",IF(L1934&gt;Config!$B$8,"A cair",IF(N(G1934)&gt;=MIN(MAX(1,N(E1934)),MAX(0,INT((Config!$B$8-L1934)/30)+1)),IF(N(G1934)&gt;=MAX(1,N(E1934)),"Conferido","Conferido até aqui"),"A conferir")))</f>
        <v/>
      </c>
      <c r="S1934" s="51">
        <f>IF(R1934="A conferir",(Config!$B$8-L1934)*1000+N(F1934)/1000+ROW()/100000,0)</f>
        <v>0</v>
      </c>
      <c r="T1934" s="51">
        <f>IF(R1934="A conferir",N(N1934),0)</f>
        <v>0</v>
      </c>
      <c r="U1934" s="51">
        <f>IF(L1934="",0,L1934)</f>
        <v>0</v>
      </c>
      <c r="V1934" s="51">
        <f>IF(L1934="",0,MAX(1,N(E1934)))</f>
        <v>0</v>
      </c>
      <c r="W1934" s="51">
        <f>IF(K1934="",0,K1934)</f>
        <v>0</v>
      </c>
    </row>
    <row r="1935">
      <c r="A1935" s="49" t="n"/>
      <c r="B1935" s="41" t="n"/>
      <c r="C1935" s="41" t="n"/>
      <c r="D1935" s="42" t="n"/>
      <c r="E1935" s="42" t="n"/>
      <c r="F1935" s="50" t="n"/>
      <c r="G1935" s="42" t="n"/>
      <c r="H1935" s="30">
        <f>IF(D1935="","",IFERROR(INDEX(Config!$B$12:$B$15,MATCH(IF(AND(D1935="Cartão de crédito",N(E1935)&gt;1),"Cartão de crédito parcelado",D1935),Config!$A$12:$A$15,0)),0)+IF(AND(Config!$B$17="Sim",LEFT(D1935,17)="Cartão de crédito"),Config!$B$18*IFERROR(INDEX(Config!$C$12:$C$15,MATCH(IF(AND(D1935="Cartão de crédito",N(E1935)&gt;1),"Cartão de crédito parcelado",D1935),Config!$A$12:$A$15,0)),0)/30*MAX(1,N(E1935)),0))</f>
        <v/>
      </c>
      <c r="I1935" s="29">
        <f>IF(OR(D1935="",F1935=""),"",ROUND(F1935*H1935,2))</f>
        <v/>
      </c>
      <c r="J1935" s="29">
        <f>IF(I1935="","",F1935-I1935)</f>
        <v/>
      </c>
      <c r="K1935" s="29">
        <f>IF(J1935="","",J1935/MAX(1,N(E1935)))</f>
        <v/>
      </c>
      <c r="L1935" s="37">
        <f>IF(OR(D1935="",A1935=""),"",A1935+IF(AND(Config!$B$17="Sim",LEFT(D1935,17)="Cartão de crédito"),1,IFERROR(INDEX(Config!$C$12:$C$15,MATCH(IF(AND(D1935="Cartão de crédito",N(E1935)&gt;1),"Cartão de crédito parcelado",D1935),Config!$A$12:$A$15,0)),0)))</f>
        <v/>
      </c>
      <c r="M1935" s="37">
        <f>IF(L1935="","",IF(AND(Config!$B$17="Sim",LEFT(D1935,17)="Cartão de crédito"),L1935,L1935+30*(MAX(1,N(E1935))-1)))</f>
        <v/>
      </c>
      <c r="N1935" s="29">
        <f>IF(OR(L1935="",K1935=""),"",K1935*MIN(MAX(1,N(E1935)),MAX(0,INT((Config!$B$8-L1935)/30)+1)))</f>
        <v/>
      </c>
      <c r="O1935" s="29">
        <f>IF(J1935="","",J1935-N(N1935))</f>
        <v/>
      </c>
      <c r="P1935" s="27">
        <f>IF(A1935="","",MONTH(A1935))</f>
        <v/>
      </c>
      <c r="Q1935" s="27">
        <f>IF(A1935="","",YEAR(A1935))</f>
        <v/>
      </c>
      <c r="R1935" s="27">
        <f>IF(L1935="","",IF(L1935&gt;Config!$B$8,"A cair",IF(N(G1935)&gt;=MIN(MAX(1,N(E1935)),MAX(0,INT((Config!$B$8-L1935)/30)+1)),IF(N(G1935)&gt;=MAX(1,N(E1935)),"Conferido","Conferido até aqui"),"A conferir")))</f>
        <v/>
      </c>
      <c r="S1935" s="51">
        <f>IF(R1935="A conferir",(Config!$B$8-L1935)*1000+N(F1935)/1000+ROW()/100000,0)</f>
        <v>0</v>
      </c>
      <c r="T1935" s="51">
        <f>IF(R1935="A conferir",N(N1935),0)</f>
        <v>0</v>
      </c>
      <c r="U1935" s="51">
        <f>IF(L1935="",0,L1935)</f>
        <v>0</v>
      </c>
      <c r="V1935" s="51">
        <f>IF(L1935="",0,MAX(1,N(E1935)))</f>
        <v>0</v>
      </c>
      <c r="W1935" s="51">
        <f>IF(K1935="",0,K1935)</f>
        <v>0</v>
      </c>
    </row>
    <row r="1936">
      <c r="A1936" s="49" t="n"/>
      <c r="B1936" s="41" t="n"/>
      <c r="C1936" s="41" t="n"/>
      <c r="D1936" s="42" t="n"/>
      <c r="E1936" s="42" t="n"/>
      <c r="F1936" s="50" t="n"/>
      <c r="G1936" s="42" t="n"/>
      <c r="H1936" s="30">
        <f>IF(D1936="","",IFERROR(INDEX(Config!$B$12:$B$15,MATCH(IF(AND(D1936="Cartão de crédito",N(E1936)&gt;1),"Cartão de crédito parcelado",D1936),Config!$A$12:$A$15,0)),0)+IF(AND(Config!$B$17="Sim",LEFT(D1936,17)="Cartão de crédito"),Config!$B$18*IFERROR(INDEX(Config!$C$12:$C$15,MATCH(IF(AND(D1936="Cartão de crédito",N(E1936)&gt;1),"Cartão de crédito parcelado",D1936),Config!$A$12:$A$15,0)),0)/30*MAX(1,N(E1936)),0))</f>
        <v/>
      </c>
      <c r="I1936" s="29">
        <f>IF(OR(D1936="",F1936=""),"",ROUND(F1936*H1936,2))</f>
        <v/>
      </c>
      <c r="J1936" s="29">
        <f>IF(I1936="","",F1936-I1936)</f>
        <v/>
      </c>
      <c r="K1936" s="29">
        <f>IF(J1936="","",J1936/MAX(1,N(E1936)))</f>
        <v/>
      </c>
      <c r="L1936" s="37">
        <f>IF(OR(D1936="",A1936=""),"",A1936+IF(AND(Config!$B$17="Sim",LEFT(D1936,17)="Cartão de crédito"),1,IFERROR(INDEX(Config!$C$12:$C$15,MATCH(IF(AND(D1936="Cartão de crédito",N(E1936)&gt;1),"Cartão de crédito parcelado",D1936),Config!$A$12:$A$15,0)),0)))</f>
        <v/>
      </c>
      <c r="M1936" s="37">
        <f>IF(L1936="","",IF(AND(Config!$B$17="Sim",LEFT(D1936,17)="Cartão de crédito"),L1936,L1936+30*(MAX(1,N(E1936))-1)))</f>
        <v/>
      </c>
      <c r="N1936" s="29">
        <f>IF(OR(L1936="",K1936=""),"",K1936*MIN(MAX(1,N(E1936)),MAX(0,INT((Config!$B$8-L1936)/30)+1)))</f>
        <v/>
      </c>
      <c r="O1936" s="29">
        <f>IF(J1936="","",J1936-N(N1936))</f>
        <v/>
      </c>
      <c r="P1936" s="27">
        <f>IF(A1936="","",MONTH(A1936))</f>
        <v/>
      </c>
      <c r="Q1936" s="27">
        <f>IF(A1936="","",YEAR(A1936))</f>
        <v/>
      </c>
      <c r="R1936" s="27">
        <f>IF(L1936="","",IF(L1936&gt;Config!$B$8,"A cair",IF(N(G1936)&gt;=MIN(MAX(1,N(E1936)),MAX(0,INT((Config!$B$8-L1936)/30)+1)),IF(N(G1936)&gt;=MAX(1,N(E1936)),"Conferido","Conferido até aqui"),"A conferir")))</f>
        <v/>
      </c>
      <c r="S1936" s="51">
        <f>IF(R1936="A conferir",(Config!$B$8-L1936)*1000+N(F1936)/1000+ROW()/100000,0)</f>
        <v>0</v>
      </c>
      <c r="T1936" s="51">
        <f>IF(R1936="A conferir",N(N1936),0)</f>
        <v>0</v>
      </c>
      <c r="U1936" s="51">
        <f>IF(L1936="",0,L1936)</f>
        <v>0</v>
      </c>
      <c r="V1936" s="51">
        <f>IF(L1936="",0,MAX(1,N(E1936)))</f>
        <v>0</v>
      </c>
      <c r="W1936" s="51">
        <f>IF(K1936="",0,K1936)</f>
        <v>0</v>
      </c>
    </row>
    <row r="1937">
      <c r="A1937" s="49" t="n"/>
      <c r="B1937" s="41" t="n"/>
      <c r="C1937" s="41" t="n"/>
      <c r="D1937" s="42" t="n"/>
      <c r="E1937" s="42" t="n"/>
      <c r="F1937" s="50" t="n"/>
      <c r="G1937" s="42" t="n"/>
      <c r="H1937" s="30">
        <f>IF(D1937="","",IFERROR(INDEX(Config!$B$12:$B$15,MATCH(IF(AND(D1937="Cartão de crédito",N(E1937)&gt;1),"Cartão de crédito parcelado",D1937),Config!$A$12:$A$15,0)),0)+IF(AND(Config!$B$17="Sim",LEFT(D1937,17)="Cartão de crédito"),Config!$B$18*IFERROR(INDEX(Config!$C$12:$C$15,MATCH(IF(AND(D1937="Cartão de crédito",N(E1937)&gt;1),"Cartão de crédito parcelado",D1937),Config!$A$12:$A$15,0)),0)/30*MAX(1,N(E1937)),0))</f>
        <v/>
      </c>
      <c r="I1937" s="29">
        <f>IF(OR(D1937="",F1937=""),"",ROUND(F1937*H1937,2))</f>
        <v/>
      </c>
      <c r="J1937" s="29">
        <f>IF(I1937="","",F1937-I1937)</f>
        <v/>
      </c>
      <c r="K1937" s="29">
        <f>IF(J1937="","",J1937/MAX(1,N(E1937)))</f>
        <v/>
      </c>
      <c r="L1937" s="37">
        <f>IF(OR(D1937="",A1937=""),"",A1937+IF(AND(Config!$B$17="Sim",LEFT(D1937,17)="Cartão de crédito"),1,IFERROR(INDEX(Config!$C$12:$C$15,MATCH(IF(AND(D1937="Cartão de crédito",N(E1937)&gt;1),"Cartão de crédito parcelado",D1937),Config!$A$12:$A$15,0)),0)))</f>
        <v/>
      </c>
      <c r="M1937" s="37">
        <f>IF(L1937="","",IF(AND(Config!$B$17="Sim",LEFT(D1937,17)="Cartão de crédito"),L1937,L1937+30*(MAX(1,N(E1937))-1)))</f>
        <v/>
      </c>
      <c r="N1937" s="29">
        <f>IF(OR(L1937="",K1937=""),"",K1937*MIN(MAX(1,N(E1937)),MAX(0,INT((Config!$B$8-L1937)/30)+1)))</f>
        <v/>
      </c>
      <c r="O1937" s="29">
        <f>IF(J1937="","",J1937-N(N1937))</f>
        <v/>
      </c>
      <c r="P1937" s="27">
        <f>IF(A1937="","",MONTH(A1937))</f>
        <v/>
      </c>
      <c r="Q1937" s="27">
        <f>IF(A1937="","",YEAR(A1937))</f>
        <v/>
      </c>
      <c r="R1937" s="27">
        <f>IF(L1937="","",IF(L1937&gt;Config!$B$8,"A cair",IF(N(G1937)&gt;=MIN(MAX(1,N(E1937)),MAX(0,INT((Config!$B$8-L1937)/30)+1)),IF(N(G1937)&gt;=MAX(1,N(E1937)),"Conferido","Conferido até aqui"),"A conferir")))</f>
        <v/>
      </c>
      <c r="S1937" s="51">
        <f>IF(R1937="A conferir",(Config!$B$8-L1937)*1000+N(F1937)/1000+ROW()/100000,0)</f>
        <v>0</v>
      </c>
      <c r="T1937" s="51">
        <f>IF(R1937="A conferir",N(N1937),0)</f>
        <v>0</v>
      </c>
      <c r="U1937" s="51">
        <f>IF(L1937="",0,L1937)</f>
        <v>0</v>
      </c>
      <c r="V1937" s="51">
        <f>IF(L1937="",0,MAX(1,N(E1937)))</f>
        <v>0</v>
      </c>
      <c r="W1937" s="51">
        <f>IF(K1937="",0,K1937)</f>
        <v>0</v>
      </c>
    </row>
    <row r="1938">
      <c r="A1938" s="49" t="n"/>
      <c r="B1938" s="41" t="n"/>
      <c r="C1938" s="41" t="n"/>
      <c r="D1938" s="42" t="n"/>
      <c r="E1938" s="42" t="n"/>
      <c r="F1938" s="50" t="n"/>
      <c r="G1938" s="42" t="n"/>
      <c r="H1938" s="30">
        <f>IF(D1938="","",IFERROR(INDEX(Config!$B$12:$B$15,MATCH(IF(AND(D1938="Cartão de crédito",N(E1938)&gt;1),"Cartão de crédito parcelado",D1938),Config!$A$12:$A$15,0)),0)+IF(AND(Config!$B$17="Sim",LEFT(D1938,17)="Cartão de crédito"),Config!$B$18*IFERROR(INDEX(Config!$C$12:$C$15,MATCH(IF(AND(D1938="Cartão de crédito",N(E1938)&gt;1),"Cartão de crédito parcelado",D1938),Config!$A$12:$A$15,0)),0)/30*MAX(1,N(E1938)),0))</f>
        <v/>
      </c>
      <c r="I1938" s="29">
        <f>IF(OR(D1938="",F1938=""),"",ROUND(F1938*H1938,2))</f>
        <v/>
      </c>
      <c r="J1938" s="29">
        <f>IF(I1938="","",F1938-I1938)</f>
        <v/>
      </c>
      <c r="K1938" s="29">
        <f>IF(J1938="","",J1938/MAX(1,N(E1938)))</f>
        <v/>
      </c>
      <c r="L1938" s="37">
        <f>IF(OR(D1938="",A1938=""),"",A1938+IF(AND(Config!$B$17="Sim",LEFT(D1938,17)="Cartão de crédito"),1,IFERROR(INDEX(Config!$C$12:$C$15,MATCH(IF(AND(D1938="Cartão de crédito",N(E1938)&gt;1),"Cartão de crédito parcelado",D1938),Config!$A$12:$A$15,0)),0)))</f>
        <v/>
      </c>
      <c r="M1938" s="37">
        <f>IF(L1938="","",IF(AND(Config!$B$17="Sim",LEFT(D1938,17)="Cartão de crédito"),L1938,L1938+30*(MAX(1,N(E1938))-1)))</f>
        <v/>
      </c>
      <c r="N1938" s="29">
        <f>IF(OR(L1938="",K1938=""),"",K1938*MIN(MAX(1,N(E1938)),MAX(0,INT((Config!$B$8-L1938)/30)+1)))</f>
        <v/>
      </c>
      <c r="O1938" s="29">
        <f>IF(J1938="","",J1938-N(N1938))</f>
        <v/>
      </c>
      <c r="P1938" s="27">
        <f>IF(A1938="","",MONTH(A1938))</f>
        <v/>
      </c>
      <c r="Q1938" s="27">
        <f>IF(A1938="","",YEAR(A1938))</f>
        <v/>
      </c>
      <c r="R1938" s="27">
        <f>IF(L1938="","",IF(L1938&gt;Config!$B$8,"A cair",IF(N(G1938)&gt;=MIN(MAX(1,N(E1938)),MAX(0,INT((Config!$B$8-L1938)/30)+1)),IF(N(G1938)&gt;=MAX(1,N(E1938)),"Conferido","Conferido até aqui"),"A conferir")))</f>
        <v/>
      </c>
      <c r="S1938" s="51">
        <f>IF(R1938="A conferir",(Config!$B$8-L1938)*1000+N(F1938)/1000+ROW()/100000,0)</f>
        <v>0</v>
      </c>
      <c r="T1938" s="51">
        <f>IF(R1938="A conferir",N(N1938),0)</f>
        <v>0</v>
      </c>
      <c r="U1938" s="51">
        <f>IF(L1938="",0,L1938)</f>
        <v>0</v>
      </c>
      <c r="V1938" s="51">
        <f>IF(L1938="",0,MAX(1,N(E1938)))</f>
        <v>0</v>
      </c>
      <c r="W1938" s="51">
        <f>IF(K1938="",0,K1938)</f>
        <v>0</v>
      </c>
    </row>
    <row r="1939">
      <c r="A1939" s="49" t="n"/>
      <c r="B1939" s="41" t="n"/>
      <c r="C1939" s="41" t="n"/>
      <c r="D1939" s="42" t="n"/>
      <c r="E1939" s="42" t="n"/>
      <c r="F1939" s="50" t="n"/>
      <c r="G1939" s="42" t="n"/>
      <c r="H1939" s="30">
        <f>IF(D1939="","",IFERROR(INDEX(Config!$B$12:$B$15,MATCH(IF(AND(D1939="Cartão de crédito",N(E1939)&gt;1),"Cartão de crédito parcelado",D1939),Config!$A$12:$A$15,0)),0)+IF(AND(Config!$B$17="Sim",LEFT(D1939,17)="Cartão de crédito"),Config!$B$18*IFERROR(INDEX(Config!$C$12:$C$15,MATCH(IF(AND(D1939="Cartão de crédito",N(E1939)&gt;1),"Cartão de crédito parcelado",D1939),Config!$A$12:$A$15,0)),0)/30*MAX(1,N(E1939)),0))</f>
        <v/>
      </c>
      <c r="I1939" s="29">
        <f>IF(OR(D1939="",F1939=""),"",ROUND(F1939*H1939,2))</f>
        <v/>
      </c>
      <c r="J1939" s="29">
        <f>IF(I1939="","",F1939-I1939)</f>
        <v/>
      </c>
      <c r="K1939" s="29">
        <f>IF(J1939="","",J1939/MAX(1,N(E1939)))</f>
        <v/>
      </c>
      <c r="L1939" s="37">
        <f>IF(OR(D1939="",A1939=""),"",A1939+IF(AND(Config!$B$17="Sim",LEFT(D1939,17)="Cartão de crédito"),1,IFERROR(INDEX(Config!$C$12:$C$15,MATCH(IF(AND(D1939="Cartão de crédito",N(E1939)&gt;1),"Cartão de crédito parcelado",D1939),Config!$A$12:$A$15,0)),0)))</f>
        <v/>
      </c>
      <c r="M1939" s="37">
        <f>IF(L1939="","",IF(AND(Config!$B$17="Sim",LEFT(D1939,17)="Cartão de crédito"),L1939,L1939+30*(MAX(1,N(E1939))-1)))</f>
        <v/>
      </c>
      <c r="N1939" s="29">
        <f>IF(OR(L1939="",K1939=""),"",K1939*MIN(MAX(1,N(E1939)),MAX(0,INT((Config!$B$8-L1939)/30)+1)))</f>
        <v/>
      </c>
      <c r="O1939" s="29">
        <f>IF(J1939="","",J1939-N(N1939))</f>
        <v/>
      </c>
      <c r="P1939" s="27">
        <f>IF(A1939="","",MONTH(A1939))</f>
        <v/>
      </c>
      <c r="Q1939" s="27">
        <f>IF(A1939="","",YEAR(A1939))</f>
        <v/>
      </c>
      <c r="R1939" s="27">
        <f>IF(L1939="","",IF(L1939&gt;Config!$B$8,"A cair",IF(N(G1939)&gt;=MIN(MAX(1,N(E1939)),MAX(0,INT((Config!$B$8-L1939)/30)+1)),IF(N(G1939)&gt;=MAX(1,N(E1939)),"Conferido","Conferido até aqui"),"A conferir")))</f>
        <v/>
      </c>
      <c r="S1939" s="51">
        <f>IF(R1939="A conferir",(Config!$B$8-L1939)*1000+N(F1939)/1000+ROW()/100000,0)</f>
        <v>0</v>
      </c>
      <c r="T1939" s="51">
        <f>IF(R1939="A conferir",N(N1939),0)</f>
        <v>0</v>
      </c>
      <c r="U1939" s="51">
        <f>IF(L1939="",0,L1939)</f>
        <v>0</v>
      </c>
      <c r="V1939" s="51">
        <f>IF(L1939="",0,MAX(1,N(E1939)))</f>
        <v>0</v>
      </c>
      <c r="W1939" s="51">
        <f>IF(K1939="",0,K1939)</f>
        <v>0</v>
      </c>
    </row>
    <row r="1940">
      <c r="A1940" s="49" t="n"/>
      <c r="B1940" s="41" t="n"/>
      <c r="C1940" s="41" t="n"/>
      <c r="D1940" s="42" t="n"/>
      <c r="E1940" s="42" t="n"/>
      <c r="F1940" s="50" t="n"/>
      <c r="G1940" s="42" t="n"/>
      <c r="H1940" s="30">
        <f>IF(D1940="","",IFERROR(INDEX(Config!$B$12:$B$15,MATCH(IF(AND(D1940="Cartão de crédito",N(E1940)&gt;1),"Cartão de crédito parcelado",D1940),Config!$A$12:$A$15,0)),0)+IF(AND(Config!$B$17="Sim",LEFT(D1940,17)="Cartão de crédito"),Config!$B$18*IFERROR(INDEX(Config!$C$12:$C$15,MATCH(IF(AND(D1940="Cartão de crédito",N(E1940)&gt;1),"Cartão de crédito parcelado",D1940),Config!$A$12:$A$15,0)),0)/30*MAX(1,N(E1940)),0))</f>
        <v/>
      </c>
      <c r="I1940" s="29">
        <f>IF(OR(D1940="",F1940=""),"",ROUND(F1940*H1940,2))</f>
        <v/>
      </c>
      <c r="J1940" s="29">
        <f>IF(I1940="","",F1940-I1940)</f>
        <v/>
      </c>
      <c r="K1940" s="29">
        <f>IF(J1940="","",J1940/MAX(1,N(E1940)))</f>
        <v/>
      </c>
      <c r="L1940" s="37">
        <f>IF(OR(D1940="",A1940=""),"",A1940+IF(AND(Config!$B$17="Sim",LEFT(D1940,17)="Cartão de crédito"),1,IFERROR(INDEX(Config!$C$12:$C$15,MATCH(IF(AND(D1940="Cartão de crédito",N(E1940)&gt;1),"Cartão de crédito parcelado",D1940),Config!$A$12:$A$15,0)),0)))</f>
        <v/>
      </c>
      <c r="M1940" s="37">
        <f>IF(L1940="","",IF(AND(Config!$B$17="Sim",LEFT(D1940,17)="Cartão de crédito"),L1940,L1940+30*(MAX(1,N(E1940))-1)))</f>
        <v/>
      </c>
      <c r="N1940" s="29">
        <f>IF(OR(L1940="",K1940=""),"",K1940*MIN(MAX(1,N(E1940)),MAX(0,INT((Config!$B$8-L1940)/30)+1)))</f>
        <v/>
      </c>
      <c r="O1940" s="29">
        <f>IF(J1940="","",J1940-N(N1940))</f>
        <v/>
      </c>
      <c r="P1940" s="27">
        <f>IF(A1940="","",MONTH(A1940))</f>
        <v/>
      </c>
      <c r="Q1940" s="27">
        <f>IF(A1940="","",YEAR(A1940))</f>
        <v/>
      </c>
      <c r="R1940" s="27">
        <f>IF(L1940="","",IF(L1940&gt;Config!$B$8,"A cair",IF(N(G1940)&gt;=MIN(MAX(1,N(E1940)),MAX(0,INT((Config!$B$8-L1940)/30)+1)),IF(N(G1940)&gt;=MAX(1,N(E1940)),"Conferido","Conferido até aqui"),"A conferir")))</f>
        <v/>
      </c>
      <c r="S1940" s="51">
        <f>IF(R1940="A conferir",(Config!$B$8-L1940)*1000+N(F1940)/1000+ROW()/100000,0)</f>
        <v>0</v>
      </c>
      <c r="T1940" s="51">
        <f>IF(R1940="A conferir",N(N1940),0)</f>
        <v>0</v>
      </c>
      <c r="U1940" s="51">
        <f>IF(L1940="",0,L1940)</f>
        <v>0</v>
      </c>
      <c r="V1940" s="51">
        <f>IF(L1940="",0,MAX(1,N(E1940)))</f>
        <v>0</v>
      </c>
      <c r="W1940" s="51">
        <f>IF(K1940="",0,K1940)</f>
        <v>0</v>
      </c>
    </row>
    <row r="1941">
      <c r="A1941" s="49" t="n"/>
      <c r="B1941" s="41" t="n"/>
      <c r="C1941" s="41" t="n"/>
      <c r="D1941" s="42" t="n"/>
      <c r="E1941" s="42" t="n"/>
      <c r="F1941" s="50" t="n"/>
      <c r="G1941" s="42" t="n"/>
      <c r="H1941" s="30">
        <f>IF(D1941="","",IFERROR(INDEX(Config!$B$12:$B$15,MATCH(IF(AND(D1941="Cartão de crédito",N(E1941)&gt;1),"Cartão de crédito parcelado",D1941),Config!$A$12:$A$15,0)),0)+IF(AND(Config!$B$17="Sim",LEFT(D1941,17)="Cartão de crédito"),Config!$B$18*IFERROR(INDEX(Config!$C$12:$C$15,MATCH(IF(AND(D1941="Cartão de crédito",N(E1941)&gt;1),"Cartão de crédito parcelado",D1941),Config!$A$12:$A$15,0)),0)/30*MAX(1,N(E1941)),0))</f>
        <v/>
      </c>
      <c r="I1941" s="29">
        <f>IF(OR(D1941="",F1941=""),"",ROUND(F1941*H1941,2))</f>
        <v/>
      </c>
      <c r="J1941" s="29">
        <f>IF(I1941="","",F1941-I1941)</f>
        <v/>
      </c>
      <c r="K1941" s="29">
        <f>IF(J1941="","",J1941/MAX(1,N(E1941)))</f>
        <v/>
      </c>
      <c r="L1941" s="37">
        <f>IF(OR(D1941="",A1941=""),"",A1941+IF(AND(Config!$B$17="Sim",LEFT(D1941,17)="Cartão de crédito"),1,IFERROR(INDEX(Config!$C$12:$C$15,MATCH(IF(AND(D1941="Cartão de crédito",N(E1941)&gt;1),"Cartão de crédito parcelado",D1941),Config!$A$12:$A$15,0)),0)))</f>
        <v/>
      </c>
      <c r="M1941" s="37">
        <f>IF(L1941="","",IF(AND(Config!$B$17="Sim",LEFT(D1941,17)="Cartão de crédito"),L1941,L1941+30*(MAX(1,N(E1941))-1)))</f>
        <v/>
      </c>
      <c r="N1941" s="29">
        <f>IF(OR(L1941="",K1941=""),"",K1941*MIN(MAX(1,N(E1941)),MAX(0,INT((Config!$B$8-L1941)/30)+1)))</f>
        <v/>
      </c>
      <c r="O1941" s="29">
        <f>IF(J1941="","",J1941-N(N1941))</f>
        <v/>
      </c>
      <c r="P1941" s="27">
        <f>IF(A1941="","",MONTH(A1941))</f>
        <v/>
      </c>
      <c r="Q1941" s="27">
        <f>IF(A1941="","",YEAR(A1941))</f>
        <v/>
      </c>
      <c r="R1941" s="27">
        <f>IF(L1941="","",IF(L1941&gt;Config!$B$8,"A cair",IF(N(G1941)&gt;=MIN(MAX(1,N(E1941)),MAX(0,INT((Config!$B$8-L1941)/30)+1)),IF(N(G1941)&gt;=MAX(1,N(E1941)),"Conferido","Conferido até aqui"),"A conferir")))</f>
        <v/>
      </c>
      <c r="S1941" s="51">
        <f>IF(R1941="A conferir",(Config!$B$8-L1941)*1000+N(F1941)/1000+ROW()/100000,0)</f>
        <v>0</v>
      </c>
      <c r="T1941" s="51">
        <f>IF(R1941="A conferir",N(N1941),0)</f>
        <v>0</v>
      </c>
      <c r="U1941" s="51">
        <f>IF(L1941="",0,L1941)</f>
        <v>0</v>
      </c>
      <c r="V1941" s="51">
        <f>IF(L1941="",0,MAX(1,N(E1941)))</f>
        <v>0</v>
      </c>
      <c r="W1941" s="51">
        <f>IF(K1941="",0,K1941)</f>
        <v>0</v>
      </c>
    </row>
    <row r="1942">
      <c r="A1942" s="49" t="n"/>
      <c r="B1942" s="41" t="n"/>
      <c r="C1942" s="41" t="n"/>
      <c r="D1942" s="42" t="n"/>
      <c r="E1942" s="42" t="n"/>
      <c r="F1942" s="50" t="n"/>
      <c r="G1942" s="42" t="n"/>
      <c r="H1942" s="30">
        <f>IF(D1942="","",IFERROR(INDEX(Config!$B$12:$B$15,MATCH(IF(AND(D1942="Cartão de crédito",N(E1942)&gt;1),"Cartão de crédito parcelado",D1942),Config!$A$12:$A$15,0)),0)+IF(AND(Config!$B$17="Sim",LEFT(D1942,17)="Cartão de crédito"),Config!$B$18*IFERROR(INDEX(Config!$C$12:$C$15,MATCH(IF(AND(D1942="Cartão de crédito",N(E1942)&gt;1),"Cartão de crédito parcelado",D1942),Config!$A$12:$A$15,0)),0)/30*MAX(1,N(E1942)),0))</f>
        <v/>
      </c>
      <c r="I1942" s="29">
        <f>IF(OR(D1942="",F1942=""),"",ROUND(F1942*H1942,2))</f>
        <v/>
      </c>
      <c r="J1942" s="29">
        <f>IF(I1942="","",F1942-I1942)</f>
        <v/>
      </c>
      <c r="K1942" s="29">
        <f>IF(J1942="","",J1942/MAX(1,N(E1942)))</f>
        <v/>
      </c>
      <c r="L1942" s="37">
        <f>IF(OR(D1942="",A1942=""),"",A1942+IF(AND(Config!$B$17="Sim",LEFT(D1942,17)="Cartão de crédito"),1,IFERROR(INDEX(Config!$C$12:$C$15,MATCH(IF(AND(D1942="Cartão de crédito",N(E1942)&gt;1),"Cartão de crédito parcelado",D1942),Config!$A$12:$A$15,0)),0)))</f>
        <v/>
      </c>
      <c r="M1942" s="37">
        <f>IF(L1942="","",IF(AND(Config!$B$17="Sim",LEFT(D1942,17)="Cartão de crédito"),L1942,L1942+30*(MAX(1,N(E1942))-1)))</f>
        <v/>
      </c>
      <c r="N1942" s="29">
        <f>IF(OR(L1942="",K1942=""),"",K1942*MIN(MAX(1,N(E1942)),MAX(0,INT((Config!$B$8-L1942)/30)+1)))</f>
        <v/>
      </c>
      <c r="O1942" s="29">
        <f>IF(J1942="","",J1942-N(N1942))</f>
        <v/>
      </c>
      <c r="P1942" s="27">
        <f>IF(A1942="","",MONTH(A1942))</f>
        <v/>
      </c>
      <c r="Q1942" s="27">
        <f>IF(A1942="","",YEAR(A1942))</f>
        <v/>
      </c>
      <c r="R1942" s="27">
        <f>IF(L1942="","",IF(L1942&gt;Config!$B$8,"A cair",IF(N(G1942)&gt;=MIN(MAX(1,N(E1942)),MAX(0,INT((Config!$B$8-L1942)/30)+1)),IF(N(G1942)&gt;=MAX(1,N(E1942)),"Conferido","Conferido até aqui"),"A conferir")))</f>
        <v/>
      </c>
      <c r="S1942" s="51">
        <f>IF(R1942="A conferir",(Config!$B$8-L1942)*1000+N(F1942)/1000+ROW()/100000,0)</f>
        <v>0</v>
      </c>
      <c r="T1942" s="51">
        <f>IF(R1942="A conferir",N(N1942),0)</f>
        <v>0</v>
      </c>
      <c r="U1942" s="51">
        <f>IF(L1942="",0,L1942)</f>
        <v>0</v>
      </c>
      <c r="V1942" s="51">
        <f>IF(L1942="",0,MAX(1,N(E1942)))</f>
        <v>0</v>
      </c>
      <c r="W1942" s="51">
        <f>IF(K1942="",0,K1942)</f>
        <v>0</v>
      </c>
    </row>
    <row r="1943">
      <c r="A1943" s="49" t="n"/>
      <c r="B1943" s="41" t="n"/>
      <c r="C1943" s="41" t="n"/>
      <c r="D1943" s="42" t="n"/>
      <c r="E1943" s="42" t="n"/>
      <c r="F1943" s="50" t="n"/>
      <c r="G1943" s="42" t="n"/>
      <c r="H1943" s="30">
        <f>IF(D1943="","",IFERROR(INDEX(Config!$B$12:$B$15,MATCH(IF(AND(D1943="Cartão de crédito",N(E1943)&gt;1),"Cartão de crédito parcelado",D1943),Config!$A$12:$A$15,0)),0)+IF(AND(Config!$B$17="Sim",LEFT(D1943,17)="Cartão de crédito"),Config!$B$18*IFERROR(INDEX(Config!$C$12:$C$15,MATCH(IF(AND(D1943="Cartão de crédito",N(E1943)&gt;1),"Cartão de crédito parcelado",D1943),Config!$A$12:$A$15,0)),0)/30*MAX(1,N(E1943)),0))</f>
        <v/>
      </c>
      <c r="I1943" s="29">
        <f>IF(OR(D1943="",F1943=""),"",ROUND(F1943*H1943,2))</f>
        <v/>
      </c>
      <c r="J1943" s="29">
        <f>IF(I1943="","",F1943-I1943)</f>
        <v/>
      </c>
      <c r="K1943" s="29">
        <f>IF(J1943="","",J1943/MAX(1,N(E1943)))</f>
        <v/>
      </c>
      <c r="L1943" s="37">
        <f>IF(OR(D1943="",A1943=""),"",A1943+IF(AND(Config!$B$17="Sim",LEFT(D1943,17)="Cartão de crédito"),1,IFERROR(INDEX(Config!$C$12:$C$15,MATCH(IF(AND(D1943="Cartão de crédito",N(E1943)&gt;1),"Cartão de crédito parcelado",D1943),Config!$A$12:$A$15,0)),0)))</f>
        <v/>
      </c>
      <c r="M1943" s="37">
        <f>IF(L1943="","",IF(AND(Config!$B$17="Sim",LEFT(D1943,17)="Cartão de crédito"),L1943,L1943+30*(MAX(1,N(E1943))-1)))</f>
        <v/>
      </c>
      <c r="N1943" s="29">
        <f>IF(OR(L1943="",K1943=""),"",K1943*MIN(MAX(1,N(E1943)),MAX(0,INT((Config!$B$8-L1943)/30)+1)))</f>
        <v/>
      </c>
      <c r="O1943" s="29">
        <f>IF(J1943="","",J1943-N(N1943))</f>
        <v/>
      </c>
      <c r="P1943" s="27">
        <f>IF(A1943="","",MONTH(A1943))</f>
        <v/>
      </c>
      <c r="Q1943" s="27">
        <f>IF(A1943="","",YEAR(A1943))</f>
        <v/>
      </c>
      <c r="R1943" s="27">
        <f>IF(L1943="","",IF(L1943&gt;Config!$B$8,"A cair",IF(N(G1943)&gt;=MIN(MAX(1,N(E1943)),MAX(0,INT((Config!$B$8-L1943)/30)+1)),IF(N(G1943)&gt;=MAX(1,N(E1943)),"Conferido","Conferido até aqui"),"A conferir")))</f>
        <v/>
      </c>
      <c r="S1943" s="51">
        <f>IF(R1943="A conferir",(Config!$B$8-L1943)*1000+N(F1943)/1000+ROW()/100000,0)</f>
        <v>0</v>
      </c>
      <c r="T1943" s="51">
        <f>IF(R1943="A conferir",N(N1943),0)</f>
        <v>0</v>
      </c>
      <c r="U1943" s="51">
        <f>IF(L1943="",0,L1943)</f>
        <v>0</v>
      </c>
      <c r="V1943" s="51">
        <f>IF(L1943="",0,MAX(1,N(E1943)))</f>
        <v>0</v>
      </c>
      <c r="W1943" s="51">
        <f>IF(K1943="",0,K1943)</f>
        <v>0</v>
      </c>
    </row>
    <row r="1944">
      <c r="A1944" s="49" t="n"/>
      <c r="B1944" s="41" t="n"/>
      <c r="C1944" s="41" t="n"/>
      <c r="D1944" s="42" t="n"/>
      <c r="E1944" s="42" t="n"/>
      <c r="F1944" s="50" t="n"/>
      <c r="G1944" s="42" t="n"/>
      <c r="H1944" s="30">
        <f>IF(D1944="","",IFERROR(INDEX(Config!$B$12:$B$15,MATCH(IF(AND(D1944="Cartão de crédito",N(E1944)&gt;1),"Cartão de crédito parcelado",D1944),Config!$A$12:$A$15,0)),0)+IF(AND(Config!$B$17="Sim",LEFT(D1944,17)="Cartão de crédito"),Config!$B$18*IFERROR(INDEX(Config!$C$12:$C$15,MATCH(IF(AND(D1944="Cartão de crédito",N(E1944)&gt;1),"Cartão de crédito parcelado",D1944),Config!$A$12:$A$15,0)),0)/30*MAX(1,N(E1944)),0))</f>
        <v/>
      </c>
      <c r="I1944" s="29">
        <f>IF(OR(D1944="",F1944=""),"",ROUND(F1944*H1944,2))</f>
        <v/>
      </c>
      <c r="J1944" s="29">
        <f>IF(I1944="","",F1944-I1944)</f>
        <v/>
      </c>
      <c r="K1944" s="29">
        <f>IF(J1944="","",J1944/MAX(1,N(E1944)))</f>
        <v/>
      </c>
      <c r="L1944" s="37">
        <f>IF(OR(D1944="",A1944=""),"",A1944+IF(AND(Config!$B$17="Sim",LEFT(D1944,17)="Cartão de crédito"),1,IFERROR(INDEX(Config!$C$12:$C$15,MATCH(IF(AND(D1944="Cartão de crédito",N(E1944)&gt;1),"Cartão de crédito parcelado",D1944),Config!$A$12:$A$15,0)),0)))</f>
        <v/>
      </c>
      <c r="M1944" s="37">
        <f>IF(L1944="","",IF(AND(Config!$B$17="Sim",LEFT(D1944,17)="Cartão de crédito"),L1944,L1944+30*(MAX(1,N(E1944))-1)))</f>
        <v/>
      </c>
      <c r="N1944" s="29">
        <f>IF(OR(L1944="",K1944=""),"",K1944*MIN(MAX(1,N(E1944)),MAX(0,INT((Config!$B$8-L1944)/30)+1)))</f>
        <v/>
      </c>
      <c r="O1944" s="29">
        <f>IF(J1944="","",J1944-N(N1944))</f>
        <v/>
      </c>
      <c r="P1944" s="27">
        <f>IF(A1944="","",MONTH(A1944))</f>
        <v/>
      </c>
      <c r="Q1944" s="27">
        <f>IF(A1944="","",YEAR(A1944))</f>
        <v/>
      </c>
      <c r="R1944" s="27">
        <f>IF(L1944="","",IF(L1944&gt;Config!$B$8,"A cair",IF(N(G1944)&gt;=MIN(MAX(1,N(E1944)),MAX(0,INT((Config!$B$8-L1944)/30)+1)),IF(N(G1944)&gt;=MAX(1,N(E1944)),"Conferido","Conferido até aqui"),"A conferir")))</f>
        <v/>
      </c>
      <c r="S1944" s="51">
        <f>IF(R1944="A conferir",(Config!$B$8-L1944)*1000+N(F1944)/1000+ROW()/100000,0)</f>
        <v>0</v>
      </c>
      <c r="T1944" s="51">
        <f>IF(R1944="A conferir",N(N1944),0)</f>
        <v>0</v>
      </c>
      <c r="U1944" s="51">
        <f>IF(L1944="",0,L1944)</f>
        <v>0</v>
      </c>
      <c r="V1944" s="51">
        <f>IF(L1944="",0,MAX(1,N(E1944)))</f>
        <v>0</v>
      </c>
      <c r="W1944" s="51">
        <f>IF(K1944="",0,K1944)</f>
        <v>0</v>
      </c>
    </row>
    <row r="1945">
      <c r="A1945" s="49" t="n"/>
      <c r="B1945" s="41" t="n"/>
      <c r="C1945" s="41" t="n"/>
      <c r="D1945" s="42" t="n"/>
      <c r="E1945" s="42" t="n"/>
      <c r="F1945" s="50" t="n"/>
      <c r="G1945" s="42" t="n"/>
      <c r="H1945" s="30">
        <f>IF(D1945="","",IFERROR(INDEX(Config!$B$12:$B$15,MATCH(IF(AND(D1945="Cartão de crédito",N(E1945)&gt;1),"Cartão de crédito parcelado",D1945),Config!$A$12:$A$15,0)),0)+IF(AND(Config!$B$17="Sim",LEFT(D1945,17)="Cartão de crédito"),Config!$B$18*IFERROR(INDEX(Config!$C$12:$C$15,MATCH(IF(AND(D1945="Cartão de crédito",N(E1945)&gt;1),"Cartão de crédito parcelado",D1945),Config!$A$12:$A$15,0)),0)/30*MAX(1,N(E1945)),0))</f>
        <v/>
      </c>
      <c r="I1945" s="29">
        <f>IF(OR(D1945="",F1945=""),"",ROUND(F1945*H1945,2))</f>
        <v/>
      </c>
      <c r="J1945" s="29">
        <f>IF(I1945="","",F1945-I1945)</f>
        <v/>
      </c>
      <c r="K1945" s="29">
        <f>IF(J1945="","",J1945/MAX(1,N(E1945)))</f>
        <v/>
      </c>
      <c r="L1945" s="37">
        <f>IF(OR(D1945="",A1945=""),"",A1945+IF(AND(Config!$B$17="Sim",LEFT(D1945,17)="Cartão de crédito"),1,IFERROR(INDEX(Config!$C$12:$C$15,MATCH(IF(AND(D1945="Cartão de crédito",N(E1945)&gt;1),"Cartão de crédito parcelado",D1945),Config!$A$12:$A$15,0)),0)))</f>
        <v/>
      </c>
      <c r="M1945" s="37">
        <f>IF(L1945="","",IF(AND(Config!$B$17="Sim",LEFT(D1945,17)="Cartão de crédito"),L1945,L1945+30*(MAX(1,N(E1945))-1)))</f>
        <v/>
      </c>
      <c r="N1945" s="29">
        <f>IF(OR(L1945="",K1945=""),"",K1945*MIN(MAX(1,N(E1945)),MAX(0,INT((Config!$B$8-L1945)/30)+1)))</f>
        <v/>
      </c>
      <c r="O1945" s="29">
        <f>IF(J1945="","",J1945-N(N1945))</f>
        <v/>
      </c>
      <c r="P1945" s="27">
        <f>IF(A1945="","",MONTH(A1945))</f>
        <v/>
      </c>
      <c r="Q1945" s="27">
        <f>IF(A1945="","",YEAR(A1945))</f>
        <v/>
      </c>
      <c r="R1945" s="27">
        <f>IF(L1945="","",IF(L1945&gt;Config!$B$8,"A cair",IF(N(G1945)&gt;=MIN(MAX(1,N(E1945)),MAX(0,INT((Config!$B$8-L1945)/30)+1)),IF(N(G1945)&gt;=MAX(1,N(E1945)),"Conferido","Conferido até aqui"),"A conferir")))</f>
        <v/>
      </c>
      <c r="S1945" s="51">
        <f>IF(R1945="A conferir",(Config!$B$8-L1945)*1000+N(F1945)/1000+ROW()/100000,0)</f>
        <v>0</v>
      </c>
      <c r="T1945" s="51">
        <f>IF(R1945="A conferir",N(N1945),0)</f>
        <v>0</v>
      </c>
      <c r="U1945" s="51">
        <f>IF(L1945="",0,L1945)</f>
        <v>0</v>
      </c>
      <c r="V1945" s="51">
        <f>IF(L1945="",0,MAX(1,N(E1945)))</f>
        <v>0</v>
      </c>
      <c r="W1945" s="51">
        <f>IF(K1945="",0,K1945)</f>
        <v>0</v>
      </c>
    </row>
    <row r="1946">
      <c r="A1946" s="49" t="n"/>
      <c r="B1946" s="41" t="n"/>
      <c r="C1946" s="41" t="n"/>
      <c r="D1946" s="42" t="n"/>
      <c r="E1946" s="42" t="n"/>
      <c r="F1946" s="50" t="n"/>
      <c r="G1946" s="42" t="n"/>
      <c r="H1946" s="30">
        <f>IF(D1946="","",IFERROR(INDEX(Config!$B$12:$B$15,MATCH(IF(AND(D1946="Cartão de crédito",N(E1946)&gt;1),"Cartão de crédito parcelado",D1946),Config!$A$12:$A$15,0)),0)+IF(AND(Config!$B$17="Sim",LEFT(D1946,17)="Cartão de crédito"),Config!$B$18*IFERROR(INDEX(Config!$C$12:$C$15,MATCH(IF(AND(D1946="Cartão de crédito",N(E1946)&gt;1),"Cartão de crédito parcelado",D1946),Config!$A$12:$A$15,0)),0)/30*MAX(1,N(E1946)),0))</f>
        <v/>
      </c>
      <c r="I1946" s="29">
        <f>IF(OR(D1946="",F1946=""),"",ROUND(F1946*H1946,2))</f>
        <v/>
      </c>
      <c r="J1946" s="29">
        <f>IF(I1946="","",F1946-I1946)</f>
        <v/>
      </c>
      <c r="K1946" s="29">
        <f>IF(J1946="","",J1946/MAX(1,N(E1946)))</f>
        <v/>
      </c>
      <c r="L1946" s="37">
        <f>IF(OR(D1946="",A1946=""),"",A1946+IF(AND(Config!$B$17="Sim",LEFT(D1946,17)="Cartão de crédito"),1,IFERROR(INDEX(Config!$C$12:$C$15,MATCH(IF(AND(D1946="Cartão de crédito",N(E1946)&gt;1),"Cartão de crédito parcelado",D1946),Config!$A$12:$A$15,0)),0)))</f>
        <v/>
      </c>
      <c r="M1946" s="37">
        <f>IF(L1946="","",IF(AND(Config!$B$17="Sim",LEFT(D1946,17)="Cartão de crédito"),L1946,L1946+30*(MAX(1,N(E1946))-1)))</f>
        <v/>
      </c>
      <c r="N1946" s="29">
        <f>IF(OR(L1946="",K1946=""),"",K1946*MIN(MAX(1,N(E1946)),MAX(0,INT((Config!$B$8-L1946)/30)+1)))</f>
        <v/>
      </c>
      <c r="O1946" s="29">
        <f>IF(J1946="","",J1946-N(N1946))</f>
        <v/>
      </c>
      <c r="P1946" s="27">
        <f>IF(A1946="","",MONTH(A1946))</f>
        <v/>
      </c>
      <c r="Q1946" s="27">
        <f>IF(A1946="","",YEAR(A1946))</f>
        <v/>
      </c>
      <c r="R1946" s="27">
        <f>IF(L1946="","",IF(L1946&gt;Config!$B$8,"A cair",IF(N(G1946)&gt;=MIN(MAX(1,N(E1946)),MAX(0,INT((Config!$B$8-L1946)/30)+1)),IF(N(G1946)&gt;=MAX(1,N(E1946)),"Conferido","Conferido até aqui"),"A conferir")))</f>
        <v/>
      </c>
      <c r="S1946" s="51">
        <f>IF(R1946="A conferir",(Config!$B$8-L1946)*1000+N(F1946)/1000+ROW()/100000,0)</f>
        <v>0</v>
      </c>
      <c r="T1946" s="51">
        <f>IF(R1946="A conferir",N(N1946),0)</f>
        <v>0</v>
      </c>
      <c r="U1946" s="51">
        <f>IF(L1946="",0,L1946)</f>
        <v>0</v>
      </c>
      <c r="V1946" s="51">
        <f>IF(L1946="",0,MAX(1,N(E1946)))</f>
        <v>0</v>
      </c>
      <c r="W1946" s="51">
        <f>IF(K1946="",0,K1946)</f>
        <v>0</v>
      </c>
    </row>
    <row r="1947">
      <c r="A1947" s="49" t="n"/>
      <c r="B1947" s="41" t="n"/>
      <c r="C1947" s="41" t="n"/>
      <c r="D1947" s="42" t="n"/>
      <c r="E1947" s="42" t="n"/>
      <c r="F1947" s="50" t="n"/>
      <c r="G1947" s="42" t="n"/>
      <c r="H1947" s="30">
        <f>IF(D1947="","",IFERROR(INDEX(Config!$B$12:$B$15,MATCH(IF(AND(D1947="Cartão de crédito",N(E1947)&gt;1),"Cartão de crédito parcelado",D1947),Config!$A$12:$A$15,0)),0)+IF(AND(Config!$B$17="Sim",LEFT(D1947,17)="Cartão de crédito"),Config!$B$18*IFERROR(INDEX(Config!$C$12:$C$15,MATCH(IF(AND(D1947="Cartão de crédito",N(E1947)&gt;1),"Cartão de crédito parcelado",D1947),Config!$A$12:$A$15,0)),0)/30*MAX(1,N(E1947)),0))</f>
        <v/>
      </c>
      <c r="I1947" s="29">
        <f>IF(OR(D1947="",F1947=""),"",ROUND(F1947*H1947,2))</f>
        <v/>
      </c>
      <c r="J1947" s="29">
        <f>IF(I1947="","",F1947-I1947)</f>
        <v/>
      </c>
      <c r="K1947" s="29">
        <f>IF(J1947="","",J1947/MAX(1,N(E1947)))</f>
        <v/>
      </c>
      <c r="L1947" s="37">
        <f>IF(OR(D1947="",A1947=""),"",A1947+IF(AND(Config!$B$17="Sim",LEFT(D1947,17)="Cartão de crédito"),1,IFERROR(INDEX(Config!$C$12:$C$15,MATCH(IF(AND(D1947="Cartão de crédito",N(E1947)&gt;1),"Cartão de crédito parcelado",D1947),Config!$A$12:$A$15,0)),0)))</f>
        <v/>
      </c>
      <c r="M1947" s="37">
        <f>IF(L1947="","",IF(AND(Config!$B$17="Sim",LEFT(D1947,17)="Cartão de crédito"),L1947,L1947+30*(MAX(1,N(E1947))-1)))</f>
        <v/>
      </c>
      <c r="N1947" s="29">
        <f>IF(OR(L1947="",K1947=""),"",K1947*MIN(MAX(1,N(E1947)),MAX(0,INT((Config!$B$8-L1947)/30)+1)))</f>
        <v/>
      </c>
      <c r="O1947" s="29">
        <f>IF(J1947="","",J1947-N(N1947))</f>
        <v/>
      </c>
      <c r="P1947" s="27">
        <f>IF(A1947="","",MONTH(A1947))</f>
        <v/>
      </c>
      <c r="Q1947" s="27">
        <f>IF(A1947="","",YEAR(A1947))</f>
        <v/>
      </c>
      <c r="R1947" s="27">
        <f>IF(L1947="","",IF(L1947&gt;Config!$B$8,"A cair",IF(N(G1947)&gt;=MIN(MAX(1,N(E1947)),MAX(0,INT((Config!$B$8-L1947)/30)+1)),IF(N(G1947)&gt;=MAX(1,N(E1947)),"Conferido","Conferido até aqui"),"A conferir")))</f>
        <v/>
      </c>
      <c r="S1947" s="51">
        <f>IF(R1947="A conferir",(Config!$B$8-L1947)*1000+N(F1947)/1000+ROW()/100000,0)</f>
        <v>0</v>
      </c>
      <c r="T1947" s="51">
        <f>IF(R1947="A conferir",N(N1947),0)</f>
        <v>0</v>
      </c>
      <c r="U1947" s="51">
        <f>IF(L1947="",0,L1947)</f>
        <v>0</v>
      </c>
      <c r="V1947" s="51">
        <f>IF(L1947="",0,MAX(1,N(E1947)))</f>
        <v>0</v>
      </c>
      <c r="W1947" s="51">
        <f>IF(K1947="",0,K1947)</f>
        <v>0</v>
      </c>
    </row>
    <row r="1948">
      <c r="A1948" s="49" t="n"/>
      <c r="B1948" s="41" t="n"/>
      <c r="C1948" s="41" t="n"/>
      <c r="D1948" s="42" t="n"/>
      <c r="E1948" s="42" t="n"/>
      <c r="F1948" s="50" t="n"/>
      <c r="G1948" s="42" t="n"/>
      <c r="H1948" s="30">
        <f>IF(D1948="","",IFERROR(INDEX(Config!$B$12:$B$15,MATCH(IF(AND(D1948="Cartão de crédito",N(E1948)&gt;1),"Cartão de crédito parcelado",D1948),Config!$A$12:$A$15,0)),0)+IF(AND(Config!$B$17="Sim",LEFT(D1948,17)="Cartão de crédito"),Config!$B$18*IFERROR(INDEX(Config!$C$12:$C$15,MATCH(IF(AND(D1948="Cartão de crédito",N(E1948)&gt;1),"Cartão de crédito parcelado",D1948),Config!$A$12:$A$15,0)),0)/30*MAX(1,N(E1948)),0))</f>
        <v/>
      </c>
      <c r="I1948" s="29">
        <f>IF(OR(D1948="",F1948=""),"",ROUND(F1948*H1948,2))</f>
        <v/>
      </c>
      <c r="J1948" s="29">
        <f>IF(I1948="","",F1948-I1948)</f>
        <v/>
      </c>
      <c r="K1948" s="29">
        <f>IF(J1948="","",J1948/MAX(1,N(E1948)))</f>
        <v/>
      </c>
      <c r="L1948" s="37">
        <f>IF(OR(D1948="",A1948=""),"",A1948+IF(AND(Config!$B$17="Sim",LEFT(D1948,17)="Cartão de crédito"),1,IFERROR(INDEX(Config!$C$12:$C$15,MATCH(IF(AND(D1948="Cartão de crédito",N(E1948)&gt;1),"Cartão de crédito parcelado",D1948),Config!$A$12:$A$15,0)),0)))</f>
        <v/>
      </c>
      <c r="M1948" s="37">
        <f>IF(L1948="","",IF(AND(Config!$B$17="Sim",LEFT(D1948,17)="Cartão de crédito"),L1948,L1948+30*(MAX(1,N(E1948))-1)))</f>
        <v/>
      </c>
      <c r="N1948" s="29">
        <f>IF(OR(L1948="",K1948=""),"",K1948*MIN(MAX(1,N(E1948)),MAX(0,INT((Config!$B$8-L1948)/30)+1)))</f>
        <v/>
      </c>
      <c r="O1948" s="29">
        <f>IF(J1948="","",J1948-N(N1948))</f>
        <v/>
      </c>
      <c r="P1948" s="27">
        <f>IF(A1948="","",MONTH(A1948))</f>
        <v/>
      </c>
      <c r="Q1948" s="27">
        <f>IF(A1948="","",YEAR(A1948))</f>
        <v/>
      </c>
      <c r="R1948" s="27">
        <f>IF(L1948="","",IF(L1948&gt;Config!$B$8,"A cair",IF(N(G1948)&gt;=MIN(MAX(1,N(E1948)),MAX(0,INT((Config!$B$8-L1948)/30)+1)),IF(N(G1948)&gt;=MAX(1,N(E1948)),"Conferido","Conferido até aqui"),"A conferir")))</f>
        <v/>
      </c>
      <c r="S1948" s="51">
        <f>IF(R1948="A conferir",(Config!$B$8-L1948)*1000+N(F1948)/1000+ROW()/100000,0)</f>
        <v>0</v>
      </c>
      <c r="T1948" s="51">
        <f>IF(R1948="A conferir",N(N1948),0)</f>
        <v>0</v>
      </c>
      <c r="U1948" s="51">
        <f>IF(L1948="",0,L1948)</f>
        <v>0</v>
      </c>
      <c r="V1948" s="51">
        <f>IF(L1948="",0,MAX(1,N(E1948)))</f>
        <v>0</v>
      </c>
      <c r="W1948" s="51">
        <f>IF(K1948="",0,K1948)</f>
        <v>0</v>
      </c>
    </row>
    <row r="1949">
      <c r="A1949" s="49" t="n"/>
      <c r="B1949" s="41" t="n"/>
      <c r="C1949" s="41" t="n"/>
      <c r="D1949" s="42" t="n"/>
      <c r="E1949" s="42" t="n"/>
      <c r="F1949" s="50" t="n"/>
      <c r="G1949" s="42" t="n"/>
      <c r="H1949" s="30">
        <f>IF(D1949="","",IFERROR(INDEX(Config!$B$12:$B$15,MATCH(IF(AND(D1949="Cartão de crédito",N(E1949)&gt;1),"Cartão de crédito parcelado",D1949),Config!$A$12:$A$15,0)),0)+IF(AND(Config!$B$17="Sim",LEFT(D1949,17)="Cartão de crédito"),Config!$B$18*IFERROR(INDEX(Config!$C$12:$C$15,MATCH(IF(AND(D1949="Cartão de crédito",N(E1949)&gt;1),"Cartão de crédito parcelado",D1949),Config!$A$12:$A$15,0)),0)/30*MAX(1,N(E1949)),0))</f>
        <v/>
      </c>
      <c r="I1949" s="29">
        <f>IF(OR(D1949="",F1949=""),"",ROUND(F1949*H1949,2))</f>
        <v/>
      </c>
      <c r="J1949" s="29">
        <f>IF(I1949="","",F1949-I1949)</f>
        <v/>
      </c>
      <c r="K1949" s="29">
        <f>IF(J1949="","",J1949/MAX(1,N(E1949)))</f>
        <v/>
      </c>
      <c r="L1949" s="37">
        <f>IF(OR(D1949="",A1949=""),"",A1949+IF(AND(Config!$B$17="Sim",LEFT(D1949,17)="Cartão de crédito"),1,IFERROR(INDEX(Config!$C$12:$C$15,MATCH(IF(AND(D1949="Cartão de crédito",N(E1949)&gt;1),"Cartão de crédito parcelado",D1949),Config!$A$12:$A$15,0)),0)))</f>
        <v/>
      </c>
      <c r="M1949" s="37">
        <f>IF(L1949="","",IF(AND(Config!$B$17="Sim",LEFT(D1949,17)="Cartão de crédito"),L1949,L1949+30*(MAX(1,N(E1949))-1)))</f>
        <v/>
      </c>
      <c r="N1949" s="29">
        <f>IF(OR(L1949="",K1949=""),"",K1949*MIN(MAX(1,N(E1949)),MAX(0,INT((Config!$B$8-L1949)/30)+1)))</f>
        <v/>
      </c>
      <c r="O1949" s="29">
        <f>IF(J1949="","",J1949-N(N1949))</f>
        <v/>
      </c>
      <c r="P1949" s="27">
        <f>IF(A1949="","",MONTH(A1949))</f>
        <v/>
      </c>
      <c r="Q1949" s="27">
        <f>IF(A1949="","",YEAR(A1949))</f>
        <v/>
      </c>
      <c r="R1949" s="27">
        <f>IF(L1949="","",IF(L1949&gt;Config!$B$8,"A cair",IF(N(G1949)&gt;=MIN(MAX(1,N(E1949)),MAX(0,INT((Config!$B$8-L1949)/30)+1)),IF(N(G1949)&gt;=MAX(1,N(E1949)),"Conferido","Conferido até aqui"),"A conferir")))</f>
        <v/>
      </c>
      <c r="S1949" s="51">
        <f>IF(R1949="A conferir",(Config!$B$8-L1949)*1000+N(F1949)/1000+ROW()/100000,0)</f>
        <v>0</v>
      </c>
      <c r="T1949" s="51">
        <f>IF(R1949="A conferir",N(N1949),0)</f>
        <v>0</v>
      </c>
      <c r="U1949" s="51">
        <f>IF(L1949="",0,L1949)</f>
        <v>0</v>
      </c>
      <c r="V1949" s="51">
        <f>IF(L1949="",0,MAX(1,N(E1949)))</f>
        <v>0</v>
      </c>
      <c r="W1949" s="51">
        <f>IF(K1949="",0,K1949)</f>
        <v>0</v>
      </c>
    </row>
    <row r="1950">
      <c r="A1950" s="49" t="n"/>
      <c r="B1950" s="41" t="n"/>
      <c r="C1950" s="41" t="n"/>
      <c r="D1950" s="42" t="n"/>
      <c r="E1950" s="42" t="n"/>
      <c r="F1950" s="50" t="n"/>
      <c r="G1950" s="42" t="n"/>
      <c r="H1950" s="30">
        <f>IF(D1950="","",IFERROR(INDEX(Config!$B$12:$B$15,MATCH(IF(AND(D1950="Cartão de crédito",N(E1950)&gt;1),"Cartão de crédito parcelado",D1950),Config!$A$12:$A$15,0)),0)+IF(AND(Config!$B$17="Sim",LEFT(D1950,17)="Cartão de crédito"),Config!$B$18*IFERROR(INDEX(Config!$C$12:$C$15,MATCH(IF(AND(D1950="Cartão de crédito",N(E1950)&gt;1),"Cartão de crédito parcelado",D1950),Config!$A$12:$A$15,0)),0)/30*MAX(1,N(E1950)),0))</f>
        <v/>
      </c>
      <c r="I1950" s="29">
        <f>IF(OR(D1950="",F1950=""),"",ROUND(F1950*H1950,2))</f>
        <v/>
      </c>
      <c r="J1950" s="29">
        <f>IF(I1950="","",F1950-I1950)</f>
        <v/>
      </c>
      <c r="K1950" s="29">
        <f>IF(J1950="","",J1950/MAX(1,N(E1950)))</f>
        <v/>
      </c>
      <c r="L1950" s="37">
        <f>IF(OR(D1950="",A1950=""),"",A1950+IF(AND(Config!$B$17="Sim",LEFT(D1950,17)="Cartão de crédito"),1,IFERROR(INDEX(Config!$C$12:$C$15,MATCH(IF(AND(D1950="Cartão de crédito",N(E1950)&gt;1),"Cartão de crédito parcelado",D1950),Config!$A$12:$A$15,0)),0)))</f>
        <v/>
      </c>
      <c r="M1950" s="37">
        <f>IF(L1950="","",IF(AND(Config!$B$17="Sim",LEFT(D1950,17)="Cartão de crédito"),L1950,L1950+30*(MAX(1,N(E1950))-1)))</f>
        <v/>
      </c>
      <c r="N1950" s="29">
        <f>IF(OR(L1950="",K1950=""),"",K1950*MIN(MAX(1,N(E1950)),MAX(0,INT((Config!$B$8-L1950)/30)+1)))</f>
        <v/>
      </c>
      <c r="O1950" s="29">
        <f>IF(J1950="","",J1950-N(N1950))</f>
        <v/>
      </c>
      <c r="P1950" s="27">
        <f>IF(A1950="","",MONTH(A1950))</f>
        <v/>
      </c>
      <c r="Q1950" s="27">
        <f>IF(A1950="","",YEAR(A1950))</f>
        <v/>
      </c>
      <c r="R1950" s="27">
        <f>IF(L1950="","",IF(L1950&gt;Config!$B$8,"A cair",IF(N(G1950)&gt;=MIN(MAX(1,N(E1950)),MAX(0,INT((Config!$B$8-L1950)/30)+1)),IF(N(G1950)&gt;=MAX(1,N(E1950)),"Conferido","Conferido até aqui"),"A conferir")))</f>
        <v/>
      </c>
      <c r="S1950" s="51">
        <f>IF(R1950="A conferir",(Config!$B$8-L1950)*1000+N(F1950)/1000+ROW()/100000,0)</f>
        <v>0</v>
      </c>
      <c r="T1950" s="51">
        <f>IF(R1950="A conferir",N(N1950),0)</f>
        <v>0</v>
      </c>
      <c r="U1950" s="51">
        <f>IF(L1950="",0,L1950)</f>
        <v>0</v>
      </c>
      <c r="V1950" s="51">
        <f>IF(L1950="",0,MAX(1,N(E1950)))</f>
        <v>0</v>
      </c>
      <c r="W1950" s="51">
        <f>IF(K1950="",0,K1950)</f>
        <v>0</v>
      </c>
    </row>
    <row r="1951">
      <c r="A1951" s="49" t="n"/>
      <c r="B1951" s="41" t="n"/>
      <c r="C1951" s="41" t="n"/>
      <c r="D1951" s="42" t="n"/>
      <c r="E1951" s="42" t="n"/>
      <c r="F1951" s="50" t="n"/>
      <c r="G1951" s="42" t="n"/>
      <c r="H1951" s="30">
        <f>IF(D1951="","",IFERROR(INDEX(Config!$B$12:$B$15,MATCH(IF(AND(D1951="Cartão de crédito",N(E1951)&gt;1),"Cartão de crédito parcelado",D1951),Config!$A$12:$A$15,0)),0)+IF(AND(Config!$B$17="Sim",LEFT(D1951,17)="Cartão de crédito"),Config!$B$18*IFERROR(INDEX(Config!$C$12:$C$15,MATCH(IF(AND(D1951="Cartão de crédito",N(E1951)&gt;1),"Cartão de crédito parcelado",D1951),Config!$A$12:$A$15,0)),0)/30*MAX(1,N(E1951)),0))</f>
        <v/>
      </c>
      <c r="I1951" s="29">
        <f>IF(OR(D1951="",F1951=""),"",ROUND(F1951*H1951,2))</f>
        <v/>
      </c>
      <c r="J1951" s="29">
        <f>IF(I1951="","",F1951-I1951)</f>
        <v/>
      </c>
      <c r="K1951" s="29">
        <f>IF(J1951="","",J1951/MAX(1,N(E1951)))</f>
        <v/>
      </c>
      <c r="L1951" s="37">
        <f>IF(OR(D1951="",A1951=""),"",A1951+IF(AND(Config!$B$17="Sim",LEFT(D1951,17)="Cartão de crédito"),1,IFERROR(INDEX(Config!$C$12:$C$15,MATCH(IF(AND(D1951="Cartão de crédito",N(E1951)&gt;1),"Cartão de crédito parcelado",D1951),Config!$A$12:$A$15,0)),0)))</f>
        <v/>
      </c>
      <c r="M1951" s="37">
        <f>IF(L1951="","",IF(AND(Config!$B$17="Sim",LEFT(D1951,17)="Cartão de crédito"),L1951,L1951+30*(MAX(1,N(E1951))-1)))</f>
        <v/>
      </c>
      <c r="N1951" s="29">
        <f>IF(OR(L1951="",K1951=""),"",K1951*MIN(MAX(1,N(E1951)),MAX(0,INT((Config!$B$8-L1951)/30)+1)))</f>
        <v/>
      </c>
      <c r="O1951" s="29">
        <f>IF(J1951="","",J1951-N(N1951))</f>
        <v/>
      </c>
      <c r="P1951" s="27">
        <f>IF(A1951="","",MONTH(A1951))</f>
        <v/>
      </c>
      <c r="Q1951" s="27">
        <f>IF(A1951="","",YEAR(A1951))</f>
        <v/>
      </c>
      <c r="R1951" s="27">
        <f>IF(L1951="","",IF(L1951&gt;Config!$B$8,"A cair",IF(N(G1951)&gt;=MIN(MAX(1,N(E1951)),MAX(0,INT((Config!$B$8-L1951)/30)+1)),IF(N(G1951)&gt;=MAX(1,N(E1951)),"Conferido","Conferido até aqui"),"A conferir")))</f>
        <v/>
      </c>
      <c r="S1951" s="51">
        <f>IF(R1951="A conferir",(Config!$B$8-L1951)*1000+N(F1951)/1000+ROW()/100000,0)</f>
        <v>0</v>
      </c>
      <c r="T1951" s="51">
        <f>IF(R1951="A conferir",N(N1951),0)</f>
        <v>0</v>
      </c>
      <c r="U1951" s="51">
        <f>IF(L1951="",0,L1951)</f>
        <v>0</v>
      </c>
      <c r="V1951" s="51">
        <f>IF(L1951="",0,MAX(1,N(E1951)))</f>
        <v>0</v>
      </c>
      <c r="W1951" s="51">
        <f>IF(K1951="",0,K1951)</f>
        <v>0</v>
      </c>
    </row>
    <row r="1952">
      <c r="A1952" s="49" t="n"/>
      <c r="B1952" s="41" t="n"/>
      <c r="C1952" s="41" t="n"/>
      <c r="D1952" s="42" t="n"/>
      <c r="E1952" s="42" t="n"/>
      <c r="F1952" s="50" t="n"/>
      <c r="G1952" s="42" t="n"/>
      <c r="H1952" s="30">
        <f>IF(D1952="","",IFERROR(INDEX(Config!$B$12:$B$15,MATCH(IF(AND(D1952="Cartão de crédito",N(E1952)&gt;1),"Cartão de crédito parcelado",D1952),Config!$A$12:$A$15,0)),0)+IF(AND(Config!$B$17="Sim",LEFT(D1952,17)="Cartão de crédito"),Config!$B$18*IFERROR(INDEX(Config!$C$12:$C$15,MATCH(IF(AND(D1952="Cartão de crédito",N(E1952)&gt;1),"Cartão de crédito parcelado",D1952),Config!$A$12:$A$15,0)),0)/30*MAX(1,N(E1952)),0))</f>
        <v/>
      </c>
      <c r="I1952" s="29">
        <f>IF(OR(D1952="",F1952=""),"",ROUND(F1952*H1952,2))</f>
        <v/>
      </c>
      <c r="J1952" s="29">
        <f>IF(I1952="","",F1952-I1952)</f>
        <v/>
      </c>
      <c r="K1952" s="29">
        <f>IF(J1952="","",J1952/MAX(1,N(E1952)))</f>
        <v/>
      </c>
      <c r="L1952" s="37">
        <f>IF(OR(D1952="",A1952=""),"",A1952+IF(AND(Config!$B$17="Sim",LEFT(D1952,17)="Cartão de crédito"),1,IFERROR(INDEX(Config!$C$12:$C$15,MATCH(IF(AND(D1952="Cartão de crédito",N(E1952)&gt;1),"Cartão de crédito parcelado",D1952),Config!$A$12:$A$15,0)),0)))</f>
        <v/>
      </c>
      <c r="M1952" s="37">
        <f>IF(L1952="","",IF(AND(Config!$B$17="Sim",LEFT(D1952,17)="Cartão de crédito"),L1952,L1952+30*(MAX(1,N(E1952))-1)))</f>
        <v/>
      </c>
      <c r="N1952" s="29">
        <f>IF(OR(L1952="",K1952=""),"",K1952*MIN(MAX(1,N(E1952)),MAX(0,INT((Config!$B$8-L1952)/30)+1)))</f>
        <v/>
      </c>
      <c r="O1952" s="29">
        <f>IF(J1952="","",J1952-N(N1952))</f>
        <v/>
      </c>
      <c r="P1952" s="27">
        <f>IF(A1952="","",MONTH(A1952))</f>
        <v/>
      </c>
      <c r="Q1952" s="27">
        <f>IF(A1952="","",YEAR(A1952))</f>
        <v/>
      </c>
      <c r="R1952" s="27">
        <f>IF(L1952="","",IF(L1952&gt;Config!$B$8,"A cair",IF(N(G1952)&gt;=MIN(MAX(1,N(E1952)),MAX(0,INT((Config!$B$8-L1952)/30)+1)),IF(N(G1952)&gt;=MAX(1,N(E1952)),"Conferido","Conferido até aqui"),"A conferir")))</f>
        <v/>
      </c>
      <c r="S1952" s="51">
        <f>IF(R1952="A conferir",(Config!$B$8-L1952)*1000+N(F1952)/1000+ROW()/100000,0)</f>
        <v>0</v>
      </c>
      <c r="T1952" s="51">
        <f>IF(R1952="A conferir",N(N1952),0)</f>
        <v>0</v>
      </c>
      <c r="U1952" s="51">
        <f>IF(L1952="",0,L1952)</f>
        <v>0</v>
      </c>
      <c r="V1952" s="51">
        <f>IF(L1952="",0,MAX(1,N(E1952)))</f>
        <v>0</v>
      </c>
      <c r="W1952" s="51">
        <f>IF(K1952="",0,K1952)</f>
        <v>0</v>
      </c>
    </row>
    <row r="1953">
      <c r="A1953" s="49" t="n"/>
      <c r="B1953" s="41" t="n"/>
      <c r="C1953" s="41" t="n"/>
      <c r="D1953" s="42" t="n"/>
      <c r="E1953" s="42" t="n"/>
      <c r="F1953" s="50" t="n"/>
      <c r="G1953" s="42" t="n"/>
      <c r="H1953" s="30">
        <f>IF(D1953="","",IFERROR(INDEX(Config!$B$12:$B$15,MATCH(IF(AND(D1953="Cartão de crédito",N(E1953)&gt;1),"Cartão de crédito parcelado",D1953),Config!$A$12:$A$15,0)),0)+IF(AND(Config!$B$17="Sim",LEFT(D1953,17)="Cartão de crédito"),Config!$B$18*IFERROR(INDEX(Config!$C$12:$C$15,MATCH(IF(AND(D1953="Cartão de crédito",N(E1953)&gt;1),"Cartão de crédito parcelado",D1953),Config!$A$12:$A$15,0)),0)/30*MAX(1,N(E1953)),0))</f>
        <v/>
      </c>
      <c r="I1953" s="29">
        <f>IF(OR(D1953="",F1953=""),"",ROUND(F1953*H1953,2))</f>
        <v/>
      </c>
      <c r="J1953" s="29">
        <f>IF(I1953="","",F1953-I1953)</f>
        <v/>
      </c>
      <c r="K1953" s="29">
        <f>IF(J1953="","",J1953/MAX(1,N(E1953)))</f>
        <v/>
      </c>
      <c r="L1953" s="37">
        <f>IF(OR(D1953="",A1953=""),"",A1953+IF(AND(Config!$B$17="Sim",LEFT(D1953,17)="Cartão de crédito"),1,IFERROR(INDEX(Config!$C$12:$C$15,MATCH(IF(AND(D1953="Cartão de crédito",N(E1953)&gt;1),"Cartão de crédito parcelado",D1953),Config!$A$12:$A$15,0)),0)))</f>
        <v/>
      </c>
      <c r="M1953" s="37">
        <f>IF(L1953="","",IF(AND(Config!$B$17="Sim",LEFT(D1953,17)="Cartão de crédito"),L1953,L1953+30*(MAX(1,N(E1953))-1)))</f>
        <v/>
      </c>
      <c r="N1953" s="29">
        <f>IF(OR(L1953="",K1953=""),"",K1953*MIN(MAX(1,N(E1953)),MAX(0,INT((Config!$B$8-L1953)/30)+1)))</f>
        <v/>
      </c>
      <c r="O1953" s="29">
        <f>IF(J1953="","",J1953-N(N1953))</f>
        <v/>
      </c>
      <c r="P1953" s="27">
        <f>IF(A1953="","",MONTH(A1953))</f>
        <v/>
      </c>
      <c r="Q1953" s="27">
        <f>IF(A1953="","",YEAR(A1953))</f>
        <v/>
      </c>
      <c r="R1953" s="27">
        <f>IF(L1953="","",IF(L1953&gt;Config!$B$8,"A cair",IF(N(G1953)&gt;=MIN(MAX(1,N(E1953)),MAX(0,INT((Config!$B$8-L1953)/30)+1)),IF(N(G1953)&gt;=MAX(1,N(E1953)),"Conferido","Conferido até aqui"),"A conferir")))</f>
        <v/>
      </c>
      <c r="S1953" s="51">
        <f>IF(R1953="A conferir",(Config!$B$8-L1953)*1000+N(F1953)/1000+ROW()/100000,0)</f>
        <v>0</v>
      </c>
      <c r="T1953" s="51">
        <f>IF(R1953="A conferir",N(N1953),0)</f>
        <v>0</v>
      </c>
      <c r="U1953" s="51">
        <f>IF(L1953="",0,L1953)</f>
        <v>0</v>
      </c>
      <c r="V1953" s="51">
        <f>IF(L1953="",0,MAX(1,N(E1953)))</f>
        <v>0</v>
      </c>
      <c r="W1953" s="51">
        <f>IF(K1953="",0,K1953)</f>
        <v>0</v>
      </c>
    </row>
    <row r="1954">
      <c r="A1954" s="49" t="n"/>
      <c r="B1954" s="41" t="n"/>
      <c r="C1954" s="41" t="n"/>
      <c r="D1954" s="42" t="n"/>
      <c r="E1954" s="42" t="n"/>
      <c r="F1954" s="50" t="n"/>
      <c r="G1954" s="42" t="n"/>
      <c r="H1954" s="30">
        <f>IF(D1954="","",IFERROR(INDEX(Config!$B$12:$B$15,MATCH(IF(AND(D1954="Cartão de crédito",N(E1954)&gt;1),"Cartão de crédito parcelado",D1954),Config!$A$12:$A$15,0)),0)+IF(AND(Config!$B$17="Sim",LEFT(D1954,17)="Cartão de crédito"),Config!$B$18*IFERROR(INDEX(Config!$C$12:$C$15,MATCH(IF(AND(D1954="Cartão de crédito",N(E1954)&gt;1),"Cartão de crédito parcelado",D1954),Config!$A$12:$A$15,0)),0)/30*MAX(1,N(E1954)),0))</f>
        <v/>
      </c>
      <c r="I1954" s="29">
        <f>IF(OR(D1954="",F1954=""),"",ROUND(F1954*H1954,2))</f>
        <v/>
      </c>
      <c r="J1954" s="29">
        <f>IF(I1954="","",F1954-I1954)</f>
        <v/>
      </c>
      <c r="K1954" s="29">
        <f>IF(J1954="","",J1954/MAX(1,N(E1954)))</f>
        <v/>
      </c>
      <c r="L1954" s="37">
        <f>IF(OR(D1954="",A1954=""),"",A1954+IF(AND(Config!$B$17="Sim",LEFT(D1954,17)="Cartão de crédito"),1,IFERROR(INDEX(Config!$C$12:$C$15,MATCH(IF(AND(D1954="Cartão de crédito",N(E1954)&gt;1),"Cartão de crédito parcelado",D1954),Config!$A$12:$A$15,0)),0)))</f>
        <v/>
      </c>
      <c r="M1954" s="37">
        <f>IF(L1954="","",IF(AND(Config!$B$17="Sim",LEFT(D1954,17)="Cartão de crédito"),L1954,L1954+30*(MAX(1,N(E1954))-1)))</f>
        <v/>
      </c>
      <c r="N1954" s="29">
        <f>IF(OR(L1954="",K1954=""),"",K1954*MIN(MAX(1,N(E1954)),MAX(0,INT((Config!$B$8-L1954)/30)+1)))</f>
        <v/>
      </c>
      <c r="O1954" s="29">
        <f>IF(J1954="","",J1954-N(N1954))</f>
        <v/>
      </c>
      <c r="P1954" s="27">
        <f>IF(A1954="","",MONTH(A1954))</f>
        <v/>
      </c>
      <c r="Q1954" s="27">
        <f>IF(A1954="","",YEAR(A1954))</f>
        <v/>
      </c>
      <c r="R1954" s="27">
        <f>IF(L1954="","",IF(L1954&gt;Config!$B$8,"A cair",IF(N(G1954)&gt;=MIN(MAX(1,N(E1954)),MAX(0,INT((Config!$B$8-L1954)/30)+1)),IF(N(G1954)&gt;=MAX(1,N(E1954)),"Conferido","Conferido até aqui"),"A conferir")))</f>
        <v/>
      </c>
      <c r="S1954" s="51">
        <f>IF(R1954="A conferir",(Config!$B$8-L1954)*1000+N(F1954)/1000+ROW()/100000,0)</f>
        <v>0</v>
      </c>
      <c r="T1954" s="51">
        <f>IF(R1954="A conferir",N(N1954),0)</f>
        <v>0</v>
      </c>
      <c r="U1954" s="51">
        <f>IF(L1954="",0,L1954)</f>
        <v>0</v>
      </c>
      <c r="V1954" s="51">
        <f>IF(L1954="",0,MAX(1,N(E1954)))</f>
        <v>0</v>
      </c>
      <c r="W1954" s="51">
        <f>IF(K1954="",0,K1954)</f>
        <v>0</v>
      </c>
    </row>
    <row r="1955">
      <c r="A1955" s="49" t="n"/>
      <c r="B1955" s="41" t="n"/>
      <c r="C1955" s="41" t="n"/>
      <c r="D1955" s="42" t="n"/>
      <c r="E1955" s="42" t="n"/>
      <c r="F1955" s="50" t="n"/>
      <c r="G1955" s="42" t="n"/>
      <c r="H1955" s="30">
        <f>IF(D1955="","",IFERROR(INDEX(Config!$B$12:$B$15,MATCH(IF(AND(D1955="Cartão de crédito",N(E1955)&gt;1),"Cartão de crédito parcelado",D1955),Config!$A$12:$A$15,0)),0)+IF(AND(Config!$B$17="Sim",LEFT(D1955,17)="Cartão de crédito"),Config!$B$18*IFERROR(INDEX(Config!$C$12:$C$15,MATCH(IF(AND(D1955="Cartão de crédito",N(E1955)&gt;1),"Cartão de crédito parcelado",D1955),Config!$A$12:$A$15,0)),0)/30*MAX(1,N(E1955)),0))</f>
        <v/>
      </c>
      <c r="I1955" s="29">
        <f>IF(OR(D1955="",F1955=""),"",ROUND(F1955*H1955,2))</f>
        <v/>
      </c>
      <c r="J1955" s="29">
        <f>IF(I1955="","",F1955-I1955)</f>
        <v/>
      </c>
      <c r="K1955" s="29">
        <f>IF(J1955="","",J1955/MAX(1,N(E1955)))</f>
        <v/>
      </c>
      <c r="L1955" s="37">
        <f>IF(OR(D1955="",A1955=""),"",A1955+IF(AND(Config!$B$17="Sim",LEFT(D1955,17)="Cartão de crédito"),1,IFERROR(INDEX(Config!$C$12:$C$15,MATCH(IF(AND(D1955="Cartão de crédito",N(E1955)&gt;1),"Cartão de crédito parcelado",D1955),Config!$A$12:$A$15,0)),0)))</f>
        <v/>
      </c>
      <c r="M1955" s="37">
        <f>IF(L1955="","",IF(AND(Config!$B$17="Sim",LEFT(D1955,17)="Cartão de crédito"),L1955,L1955+30*(MAX(1,N(E1955))-1)))</f>
        <v/>
      </c>
      <c r="N1955" s="29">
        <f>IF(OR(L1955="",K1955=""),"",K1955*MIN(MAX(1,N(E1955)),MAX(0,INT((Config!$B$8-L1955)/30)+1)))</f>
        <v/>
      </c>
      <c r="O1955" s="29">
        <f>IF(J1955="","",J1955-N(N1955))</f>
        <v/>
      </c>
      <c r="P1955" s="27">
        <f>IF(A1955="","",MONTH(A1955))</f>
        <v/>
      </c>
      <c r="Q1955" s="27">
        <f>IF(A1955="","",YEAR(A1955))</f>
        <v/>
      </c>
      <c r="R1955" s="27">
        <f>IF(L1955="","",IF(L1955&gt;Config!$B$8,"A cair",IF(N(G1955)&gt;=MIN(MAX(1,N(E1955)),MAX(0,INT((Config!$B$8-L1955)/30)+1)),IF(N(G1955)&gt;=MAX(1,N(E1955)),"Conferido","Conferido até aqui"),"A conferir")))</f>
        <v/>
      </c>
      <c r="S1955" s="51">
        <f>IF(R1955="A conferir",(Config!$B$8-L1955)*1000+N(F1955)/1000+ROW()/100000,0)</f>
        <v>0</v>
      </c>
      <c r="T1955" s="51">
        <f>IF(R1955="A conferir",N(N1955),0)</f>
        <v>0</v>
      </c>
      <c r="U1955" s="51">
        <f>IF(L1955="",0,L1955)</f>
        <v>0</v>
      </c>
      <c r="V1955" s="51">
        <f>IF(L1955="",0,MAX(1,N(E1955)))</f>
        <v>0</v>
      </c>
      <c r="W1955" s="51">
        <f>IF(K1955="",0,K1955)</f>
        <v>0</v>
      </c>
    </row>
    <row r="1956">
      <c r="A1956" s="49" t="n"/>
      <c r="B1956" s="41" t="n"/>
      <c r="C1956" s="41" t="n"/>
      <c r="D1956" s="42" t="n"/>
      <c r="E1956" s="42" t="n"/>
      <c r="F1956" s="50" t="n"/>
      <c r="G1956" s="42" t="n"/>
      <c r="H1956" s="30">
        <f>IF(D1956="","",IFERROR(INDEX(Config!$B$12:$B$15,MATCH(IF(AND(D1956="Cartão de crédito",N(E1956)&gt;1),"Cartão de crédito parcelado",D1956),Config!$A$12:$A$15,0)),0)+IF(AND(Config!$B$17="Sim",LEFT(D1956,17)="Cartão de crédito"),Config!$B$18*IFERROR(INDEX(Config!$C$12:$C$15,MATCH(IF(AND(D1956="Cartão de crédito",N(E1956)&gt;1),"Cartão de crédito parcelado",D1956),Config!$A$12:$A$15,0)),0)/30*MAX(1,N(E1956)),0))</f>
        <v/>
      </c>
      <c r="I1956" s="29">
        <f>IF(OR(D1956="",F1956=""),"",ROUND(F1956*H1956,2))</f>
        <v/>
      </c>
      <c r="J1956" s="29">
        <f>IF(I1956="","",F1956-I1956)</f>
        <v/>
      </c>
      <c r="K1956" s="29">
        <f>IF(J1956="","",J1956/MAX(1,N(E1956)))</f>
        <v/>
      </c>
      <c r="L1956" s="37">
        <f>IF(OR(D1956="",A1956=""),"",A1956+IF(AND(Config!$B$17="Sim",LEFT(D1956,17)="Cartão de crédito"),1,IFERROR(INDEX(Config!$C$12:$C$15,MATCH(IF(AND(D1956="Cartão de crédito",N(E1956)&gt;1),"Cartão de crédito parcelado",D1956),Config!$A$12:$A$15,0)),0)))</f>
        <v/>
      </c>
      <c r="M1956" s="37">
        <f>IF(L1956="","",IF(AND(Config!$B$17="Sim",LEFT(D1956,17)="Cartão de crédito"),L1956,L1956+30*(MAX(1,N(E1956))-1)))</f>
        <v/>
      </c>
      <c r="N1956" s="29">
        <f>IF(OR(L1956="",K1956=""),"",K1956*MIN(MAX(1,N(E1956)),MAX(0,INT((Config!$B$8-L1956)/30)+1)))</f>
        <v/>
      </c>
      <c r="O1956" s="29">
        <f>IF(J1956="","",J1956-N(N1956))</f>
        <v/>
      </c>
      <c r="P1956" s="27">
        <f>IF(A1956="","",MONTH(A1956))</f>
        <v/>
      </c>
      <c r="Q1956" s="27">
        <f>IF(A1956="","",YEAR(A1956))</f>
        <v/>
      </c>
      <c r="R1956" s="27">
        <f>IF(L1956="","",IF(L1956&gt;Config!$B$8,"A cair",IF(N(G1956)&gt;=MIN(MAX(1,N(E1956)),MAX(0,INT((Config!$B$8-L1956)/30)+1)),IF(N(G1956)&gt;=MAX(1,N(E1956)),"Conferido","Conferido até aqui"),"A conferir")))</f>
        <v/>
      </c>
      <c r="S1956" s="51">
        <f>IF(R1956="A conferir",(Config!$B$8-L1956)*1000+N(F1956)/1000+ROW()/100000,0)</f>
        <v>0</v>
      </c>
      <c r="T1956" s="51">
        <f>IF(R1956="A conferir",N(N1956),0)</f>
        <v>0</v>
      </c>
      <c r="U1956" s="51">
        <f>IF(L1956="",0,L1956)</f>
        <v>0</v>
      </c>
      <c r="V1956" s="51">
        <f>IF(L1956="",0,MAX(1,N(E1956)))</f>
        <v>0</v>
      </c>
      <c r="W1956" s="51">
        <f>IF(K1956="",0,K1956)</f>
        <v>0</v>
      </c>
    </row>
    <row r="1957">
      <c r="A1957" s="49" t="n"/>
      <c r="B1957" s="41" t="n"/>
      <c r="C1957" s="41" t="n"/>
      <c r="D1957" s="42" t="n"/>
      <c r="E1957" s="42" t="n"/>
      <c r="F1957" s="50" t="n"/>
      <c r="G1957" s="42" t="n"/>
      <c r="H1957" s="30">
        <f>IF(D1957="","",IFERROR(INDEX(Config!$B$12:$B$15,MATCH(IF(AND(D1957="Cartão de crédito",N(E1957)&gt;1),"Cartão de crédito parcelado",D1957),Config!$A$12:$A$15,0)),0)+IF(AND(Config!$B$17="Sim",LEFT(D1957,17)="Cartão de crédito"),Config!$B$18*IFERROR(INDEX(Config!$C$12:$C$15,MATCH(IF(AND(D1957="Cartão de crédito",N(E1957)&gt;1),"Cartão de crédito parcelado",D1957),Config!$A$12:$A$15,0)),0)/30*MAX(1,N(E1957)),0))</f>
        <v/>
      </c>
      <c r="I1957" s="29">
        <f>IF(OR(D1957="",F1957=""),"",ROUND(F1957*H1957,2))</f>
        <v/>
      </c>
      <c r="J1957" s="29">
        <f>IF(I1957="","",F1957-I1957)</f>
        <v/>
      </c>
      <c r="K1957" s="29">
        <f>IF(J1957="","",J1957/MAX(1,N(E1957)))</f>
        <v/>
      </c>
      <c r="L1957" s="37">
        <f>IF(OR(D1957="",A1957=""),"",A1957+IF(AND(Config!$B$17="Sim",LEFT(D1957,17)="Cartão de crédito"),1,IFERROR(INDEX(Config!$C$12:$C$15,MATCH(IF(AND(D1957="Cartão de crédito",N(E1957)&gt;1),"Cartão de crédito parcelado",D1957),Config!$A$12:$A$15,0)),0)))</f>
        <v/>
      </c>
      <c r="M1957" s="37">
        <f>IF(L1957="","",IF(AND(Config!$B$17="Sim",LEFT(D1957,17)="Cartão de crédito"),L1957,L1957+30*(MAX(1,N(E1957))-1)))</f>
        <v/>
      </c>
      <c r="N1957" s="29">
        <f>IF(OR(L1957="",K1957=""),"",K1957*MIN(MAX(1,N(E1957)),MAX(0,INT((Config!$B$8-L1957)/30)+1)))</f>
        <v/>
      </c>
      <c r="O1957" s="29">
        <f>IF(J1957="","",J1957-N(N1957))</f>
        <v/>
      </c>
      <c r="P1957" s="27">
        <f>IF(A1957="","",MONTH(A1957))</f>
        <v/>
      </c>
      <c r="Q1957" s="27">
        <f>IF(A1957="","",YEAR(A1957))</f>
        <v/>
      </c>
      <c r="R1957" s="27">
        <f>IF(L1957="","",IF(L1957&gt;Config!$B$8,"A cair",IF(N(G1957)&gt;=MIN(MAX(1,N(E1957)),MAX(0,INT((Config!$B$8-L1957)/30)+1)),IF(N(G1957)&gt;=MAX(1,N(E1957)),"Conferido","Conferido até aqui"),"A conferir")))</f>
        <v/>
      </c>
      <c r="S1957" s="51">
        <f>IF(R1957="A conferir",(Config!$B$8-L1957)*1000+N(F1957)/1000+ROW()/100000,0)</f>
        <v>0</v>
      </c>
      <c r="T1957" s="51">
        <f>IF(R1957="A conferir",N(N1957),0)</f>
        <v>0</v>
      </c>
      <c r="U1957" s="51">
        <f>IF(L1957="",0,L1957)</f>
        <v>0</v>
      </c>
      <c r="V1957" s="51">
        <f>IF(L1957="",0,MAX(1,N(E1957)))</f>
        <v>0</v>
      </c>
      <c r="W1957" s="51">
        <f>IF(K1957="",0,K1957)</f>
        <v>0</v>
      </c>
    </row>
    <row r="1958">
      <c r="A1958" s="49" t="n"/>
      <c r="B1958" s="41" t="n"/>
      <c r="C1958" s="41" t="n"/>
      <c r="D1958" s="42" t="n"/>
      <c r="E1958" s="42" t="n"/>
      <c r="F1958" s="50" t="n"/>
      <c r="G1958" s="42" t="n"/>
      <c r="H1958" s="30">
        <f>IF(D1958="","",IFERROR(INDEX(Config!$B$12:$B$15,MATCH(IF(AND(D1958="Cartão de crédito",N(E1958)&gt;1),"Cartão de crédito parcelado",D1958),Config!$A$12:$A$15,0)),0)+IF(AND(Config!$B$17="Sim",LEFT(D1958,17)="Cartão de crédito"),Config!$B$18*IFERROR(INDEX(Config!$C$12:$C$15,MATCH(IF(AND(D1958="Cartão de crédito",N(E1958)&gt;1),"Cartão de crédito parcelado",D1958),Config!$A$12:$A$15,0)),0)/30*MAX(1,N(E1958)),0))</f>
        <v/>
      </c>
      <c r="I1958" s="29">
        <f>IF(OR(D1958="",F1958=""),"",ROUND(F1958*H1958,2))</f>
        <v/>
      </c>
      <c r="J1958" s="29">
        <f>IF(I1958="","",F1958-I1958)</f>
        <v/>
      </c>
      <c r="K1958" s="29">
        <f>IF(J1958="","",J1958/MAX(1,N(E1958)))</f>
        <v/>
      </c>
      <c r="L1958" s="37">
        <f>IF(OR(D1958="",A1958=""),"",A1958+IF(AND(Config!$B$17="Sim",LEFT(D1958,17)="Cartão de crédito"),1,IFERROR(INDEX(Config!$C$12:$C$15,MATCH(IF(AND(D1958="Cartão de crédito",N(E1958)&gt;1),"Cartão de crédito parcelado",D1958),Config!$A$12:$A$15,0)),0)))</f>
        <v/>
      </c>
      <c r="M1958" s="37">
        <f>IF(L1958="","",IF(AND(Config!$B$17="Sim",LEFT(D1958,17)="Cartão de crédito"),L1958,L1958+30*(MAX(1,N(E1958))-1)))</f>
        <v/>
      </c>
      <c r="N1958" s="29">
        <f>IF(OR(L1958="",K1958=""),"",K1958*MIN(MAX(1,N(E1958)),MAX(0,INT((Config!$B$8-L1958)/30)+1)))</f>
        <v/>
      </c>
      <c r="O1958" s="29">
        <f>IF(J1958="","",J1958-N(N1958))</f>
        <v/>
      </c>
      <c r="P1958" s="27">
        <f>IF(A1958="","",MONTH(A1958))</f>
        <v/>
      </c>
      <c r="Q1958" s="27">
        <f>IF(A1958="","",YEAR(A1958))</f>
        <v/>
      </c>
      <c r="R1958" s="27">
        <f>IF(L1958="","",IF(L1958&gt;Config!$B$8,"A cair",IF(N(G1958)&gt;=MIN(MAX(1,N(E1958)),MAX(0,INT((Config!$B$8-L1958)/30)+1)),IF(N(G1958)&gt;=MAX(1,N(E1958)),"Conferido","Conferido até aqui"),"A conferir")))</f>
        <v/>
      </c>
      <c r="S1958" s="51">
        <f>IF(R1958="A conferir",(Config!$B$8-L1958)*1000+N(F1958)/1000+ROW()/100000,0)</f>
        <v>0</v>
      </c>
      <c r="T1958" s="51">
        <f>IF(R1958="A conferir",N(N1958),0)</f>
        <v>0</v>
      </c>
      <c r="U1958" s="51">
        <f>IF(L1958="",0,L1958)</f>
        <v>0</v>
      </c>
      <c r="V1958" s="51">
        <f>IF(L1958="",0,MAX(1,N(E1958)))</f>
        <v>0</v>
      </c>
      <c r="W1958" s="51">
        <f>IF(K1958="",0,K1958)</f>
        <v>0</v>
      </c>
    </row>
    <row r="1959">
      <c r="A1959" s="49" t="n"/>
      <c r="B1959" s="41" t="n"/>
      <c r="C1959" s="41" t="n"/>
      <c r="D1959" s="42" t="n"/>
      <c r="E1959" s="42" t="n"/>
      <c r="F1959" s="50" t="n"/>
      <c r="G1959" s="42" t="n"/>
      <c r="H1959" s="30">
        <f>IF(D1959="","",IFERROR(INDEX(Config!$B$12:$B$15,MATCH(IF(AND(D1959="Cartão de crédito",N(E1959)&gt;1),"Cartão de crédito parcelado",D1959),Config!$A$12:$A$15,0)),0)+IF(AND(Config!$B$17="Sim",LEFT(D1959,17)="Cartão de crédito"),Config!$B$18*IFERROR(INDEX(Config!$C$12:$C$15,MATCH(IF(AND(D1959="Cartão de crédito",N(E1959)&gt;1),"Cartão de crédito parcelado",D1959),Config!$A$12:$A$15,0)),0)/30*MAX(1,N(E1959)),0))</f>
        <v/>
      </c>
      <c r="I1959" s="29">
        <f>IF(OR(D1959="",F1959=""),"",ROUND(F1959*H1959,2))</f>
        <v/>
      </c>
      <c r="J1959" s="29">
        <f>IF(I1959="","",F1959-I1959)</f>
        <v/>
      </c>
      <c r="K1959" s="29">
        <f>IF(J1959="","",J1959/MAX(1,N(E1959)))</f>
        <v/>
      </c>
      <c r="L1959" s="37">
        <f>IF(OR(D1959="",A1959=""),"",A1959+IF(AND(Config!$B$17="Sim",LEFT(D1959,17)="Cartão de crédito"),1,IFERROR(INDEX(Config!$C$12:$C$15,MATCH(IF(AND(D1959="Cartão de crédito",N(E1959)&gt;1),"Cartão de crédito parcelado",D1959),Config!$A$12:$A$15,0)),0)))</f>
        <v/>
      </c>
      <c r="M1959" s="37">
        <f>IF(L1959="","",IF(AND(Config!$B$17="Sim",LEFT(D1959,17)="Cartão de crédito"),L1959,L1959+30*(MAX(1,N(E1959))-1)))</f>
        <v/>
      </c>
      <c r="N1959" s="29">
        <f>IF(OR(L1959="",K1959=""),"",K1959*MIN(MAX(1,N(E1959)),MAX(0,INT((Config!$B$8-L1959)/30)+1)))</f>
        <v/>
      </c>
      <c r="O1959" s="29">
        <f>IF(J1959="","",J1959-N(N1959))</f>
        <v/>
      </c>
      <c r="P1959" s="27">
        <f>IF(A1959="","",MONTH(A1959))</f>
        <v/>
      </c>
      <c r="Q1959" s="27">
        <f>IF(A1959="","",YEAR(A1959))</f>
        <v/>
      </c>
      <c r="R1959" s="27">
        <f>IF(L1959="","",IF(L1959&gt;Config!$B$8,"A cair",IF(N(G1959)&gt;=MIN(MAX(1,N(E1959)),MAX(0,INT((Config!$B$8-L1959)/30)+1)),IF(N(G1959)&gt;=MAX(1,N(E1959)),"Conferido","Conferido até aqui"),"A conferir")))</f>
        <v/>
      </c>
      <c r="S1959" s="51">
        <f>IF(R1959="A conferir",(Config!$B$8-L1959)*1000+N(F1959)/1000+ROW()/100000,0)</f>
        <v>0</v>
      </c>
      <c r="T1959" s="51">
        <f>IF(R1959="A conferir",N(N1959),0)</f>
        <v>0</v>
      </c>
      <c r="U1959" s="51">
        <f>IF(L1959="",0,L1959)</f>
        <v>0</v>
      </c>
      <c r="V1959" s="51">
        <f>IF(L1959="",0,MAX(1,N(E1959)))</f>
        <v>0</v>
      </c>
      <c r="W1959" s="51">
        <f>IF(K1959="",0,K1959)</f>
        <v>0</v>
      </c>
    </row>
    <row r="1960">
      <c r="A1960" s="49" t="n"/>
      <c r="B1960" s="41" t="n"/>
      <c r="C1960" s="41" t="n"/>
      <c r="D1960" s="42" t="n"/>
      <c r="E1960" s="42" t="n"/>
      <c r="F1960" s="50" t="n"/>
      <c r="G1960" s="42" t="n"/>
      <c r="H1960" s="30">
        <f>IF(D1960="","",IFERROR(INDEX(Config!$B$12:$B$15,MATCH(IF(AND(D1960="Cartão de crédito",N(E1960)&gt;1),"Cartão de crédito parcelado",D1960),Config!$A$12:$A$15,0)),0)+IF(AND(Config!$B$17="Sim",LEFT(D1960,17)="Cartão de crédito"),Config!$B$18*IFERROR(INDEX(Config!$C$12:$C$15,MATCH(IF(AND(D1960="Cartão de crédito",N(E1960)&gt;1),"Cartão de crédito parcelado",D1960),Config!$A$12:$A$15,0)),0)/30*MAX(1,N(E1960)),0))</f>
        <v/>
      </c>
      <c r="I1960" s="29">
        <f>IF(OR(D1960="",F1960=""),"",ROUND(F1960*H1960,2))</f>
        <v/>
      </c>
      <c r="J1960" s="29">
        <f>IF(I1960="","",F1960-I1960)</f>
        <v/>
      </c>
      <c r="K1960" s="29">
        <f>IF(J1960="","",J1960/MAX(1,N(E1960)))</f>
        <v/>
      </c>
      <c r="L1960" s="37">
        <f>IF(OR(D1960="",A1960=""),"",A1960+IF(AND(Config!$B$17="Sim",LEFT(D1960,17)="Cartão de crédito"),1,IFERROR(INDEX(Config!$C$12:$C$15,MATCH(IF(AND(D1960="Cartão de crédito",N(E1960)&gt;1),"Cartão de crédito parcelado",D1960),Config!$A$12:$A$15,0)),0)))</f>
        <v/>
      </c>
      <c r="M1960" s="37">
        <f>IF(L1960="","",IF(AND(Config!$B$17="Sim",LEFT(D1960,17)="Cartão de crédito"),L1960,L1960+30*(MAX(1,N(E1960))-1)))</f>
        <v/>
      </c>
      <c r="N1960" s="29">
        <f>IF(OR(L1960="",K1960=""),"",K1960*MIN(MAX(1,N(E1960)),MAX(0,INT((Config!$B$8-L1960)/30)+1)))</f>
        <v/>
      </c>
      <c r="O1960" s="29">
        <f>IF(J1960="","",J1960-N(N1960))</f>
        <v/>
      </c>
      <c r="P1960" s="27">
        <f>IF(A1960="","",MONTH(A1960))</f>
        <v/>
      </c>
      <c r="Q1960" s="27">
        <f>IF(A1960="","",YEAR(A1960))</f>
        <v/>
      </c>
      <c r="R1960" s="27">
        <f>IF(L1960="","",IF(L1960&gt;Config!$B$8,"A cair",IF(N(G1960)&gt;=MIN(MAX(1,N(E1960)),MAX(0,INT((Config!$B$8-L1960)/30)+1)),IF(N(G1960)&gt;=MAX(1,N(E1960)),"Conferido","Conferido até aqui"),"A conferir")))</f>
        <v/>
      </c>
      <c r="S1960" s="51">
        <f>IF(R1960="A conferir",(Config!$B$8-L1960)*1000+N(F1960)/1000+ROW()/100000,0)</f>
        <v>0</v>
      </c>
      <c r="T1960" s="51">
        <f>IF(R1960="A conferir",N(N1960),0)</f>
        <v>0</v>
      </c>
      <c r="U1960" s="51">
        <f>IF(L1960="",0,L1960)</f>
        <v>0</v>
      </c>
      <c r="V1960" s="51">
        <f>IF(L1960="",0,MAX(1,N(E1960)))</f>
        <v>0</v>
      </c>
      <c r="W1960" s="51">
        <f>IF(K1960="",0,K1960)</f>
        <v>0</v>
      </c>
    </row>
    <row r="1961">
      <c r="A1961" s="49" t="n"/>
      <c r="B1961" s="41" t="n"/>
      <c r="C1961" s="41" t="n"/>
      <c r="D1961" s="42" t="n"/>
      <c r="E1961" s="42" t="n"/>
      <c r="F1961" s="50" t="n"/>
      <c r="G1961" s="42" t="n"/>
      <c r="H1961" s="30">
        <f>IF(D1961="","",IFERROR(INDEX(Config!$B$12:$B$15,MATCH(IF(AND(D1961="Cartão de crédito",N(E1961)&gt;1),"Cartão de crédito parcelado",D1961),Config!$A$12:$A$15,0)),0)+IF(AND(Config!$B$17="Sim",LEFT(D1961,17)="Cartão de crédito"),Config!$B$18*IFERROR(INDEX(Config!$C$12:$C$15,MATCH(IF(AND(D1961="Cartão de crédito",N(E1961)&gt;1),"Cartão de crédito parcelado",D1961),Config!$A$12:$A$15,0)),0)/30*MAX(1,N(E1961)),0))</f>
        <v/>
      </c>
      <c r="I1961" s="29">
        <f>IF(OR(D1961="",F1961=""),"",ROUND(F1961*H1961,2))</f>
        <v/>
      </c>
      <c r="J1961" s="29">
        <f>IF(I1961="","",F1961-I1961)</f>
        <v/>
      </c>
      <c r="K1961" s="29">
        <f>IF(J1961="","",J1961/MAX(1,N(E1961)))</f>
        <v/>
      </c>
      <c r="L1961" s="37">
        <f>IF(OR(D1961="",A1961=""),"",A1961+IF(AND(Config!$B$17="Sim",LEFT(D1961,17)="Cartão de crédito"),1,IFERROR(INDEX(Config!$C$12:$C$15,MATCH(IF(AND(D1961="Cartão de crédito",N(E1961)&gt;1),"Cartão de crédito parcelado",D1961),Config!$A$12:$A$15,0)),0)))</f>
        <v/>
      </c>
      <c r="M1961" s="37">
        <f>IF(L1961="","",IF(AND(Config!$B$17="Sim",LEFT(D1961,17)="Cartão de crédito"),L1961,L1961+30*(MAX(1,N(E1961))-1)))</f>
        <v/>
      </c>
      <c r="N1961" s="29">
        <f>IF(OR(L1961="",K1961=""),"",K1961*MIN(MAX(1,N(E1961)),MAX(0,INT((Config!$B$8-L1961)/30)+1)))</f>
        <v/>
      </c>
      <c r="O1961" s="29">
        <f>IF(J1961="","",J1961-N(N1961))</f>
        <v/>
      </c>
      <c r="P1961" s="27">
        <f>IF(A1961="","",MONTH(A1961))</f>
        <v/>
      </c>
      <c r="Q1961" s="27">
        <f>IF(A1961="","",YEAR(A1961))</f>
        <v/>
      </c>
      <c r="R1961" s="27">
        <f>IF(L1961="","",IF(L1961&gt;Config!$B$8,"A cair",IF(N(G1961)&gt;=MIN(MAX(1,N(E1961)),MAX(0,INT((Config!$B$8-L1961)/30)+1)),IF(N(G1961)&gt;=MAX(1,N(E1961)),"Conferido","Conferido até aqui"),"A conferir")))</f>
        <v/>
      </c>
      <c r="S1961" s="51">
        <f>IF(R1961="A conferir",(Config!$B$8-L1961)*1000+N(F1961)/1000+ROW()/100000,0)</f>
        <v>0</v>
      </c>
      <c r="T1961" s="51">
        <f>IF(R1961="A conferir",N(N1961),0)</f>
        <v>0</v>
      </c>
      <c r="U1961" s="51">
        <f>IF(L1961="",0,L1961)</f>
        <v>0</v>
      </c>
      <c r="V1961" s="51">
        <f>IF(L1961="",0,MAX(1,N(E1961)))</f>
        <v>0</v>
      </c>
      <c r="W1961" s="51">
        <f>IF(K1961="",0,K1961)</f>
        <v>0</v>
      </c>
    </row>
    <row r="1962">
      <c r="A1962" s="49" t="n"/>
      <c r="B1962" s="41" t="n"/>
      <c r="C1962" s="41" t="n"/>
      <c r="D1962" s="42" t="n"/>
      <c r="E1962" s="42" t="n"/>
      <c r="F1962" s="50" t="n"/>
      <c r="G1962" s="42" t="n"/>
      <c r="H1962" s="30">
        <f>IF(D1962="","",IFERROR(INDEX(Config!$B$12:$B$15,MATCH(IF(AND(D1962="Cartão de crédito",N(E1962)&gt;1),"Cartão de crédito parcelado",D1962),Config!$A$12:$A$15,0)),0)+IF(AND(Config!$B$17="Sim",LEFT(D1962,17)="Cartão de crédito"),Config!$B$18*IFERROR(INDEX(Config!$C$12:$C$15,MATCH(IF(AND(D1962="Cartão de crédito",N(E1962)&gt;1),"Cartão de crédito parcelado",D1962),Config!$A$12:$A$15,0)),0)/30*MAX(1,N(E1962)),0))</f>
        <v/>
      </c>
      <c r="I1962" s="29">
        <f>IF(OR(D1962="",F1962=""),"",ROUND(F1962*H1962,2))</f>
        <v/>
      </c>
      <c r="J1962" s="29">
        <f>IF(I1962="","",F1962-I1962)</f>
        <v/>
      </c>
      <c r="K1962" s="29">
        <f>IF(J1962="","",J1962/MAX(1,N(E1962)))</f>
        <v/>
      </c>
      <c r="L1962" s="37">
        <f>IF(OR(D1962="",A1962=""),"",A1962+IF(AND(Config!$B$17="Sim",LEFT(D1962,17)="Cartão de crédito"),1,IFERROR(INDEX(Config!$C$12:$C$15,MATCH(IF(AND(D1962="Cartão de crédito",N(E1962)&gt;1),"Cartão de crédito parcelado",D1962),Config!$A$12:$A$15,0)),0)))</f>
        <v/>
      </c>
      <c r="M1962" s="37">
        <f>IF(L1962="","",IF(AND(Config!$B$17="Sim",LEFT(D1962,17)="Cartão de crédito"),L1962,L1962+30*(MAX(1,N(E1962))-1)))</f>
        <v/>
      </c>
      <c r="N1962" s="29">
        <f>IF(OR(L1962="",K1962=""),"",K1962*MIN(MAX(1,N(E1962)),MAX(0,INT((Config!$B$8-L1962)/30)+1)))</f>
        <v/>
      </c>
      <c r="O1962" s="29">
        <f>IF(J1962="","",J1962-N(N1962))</f>
        <v/>
      </c>
      <c r="P1962" s="27">
        <f>IF(A1962="","",MONTH(A1962))</f>
        <v/>
      </c>
      <c r="Q1962" s="27">
        <f>IF(A1962="","",YEAR(A1962))</f>
        <v/>
      </c>
      <c r="R1962" s="27">
        <f>IF(L1962="","",IF(L1962&gt;Config!$B$8,"A cair",IF(N(G1962)&gt;=MIN(MAX(1,N(E1962)),MAX(0,INT((Config!$B$8-L1962)/30)+1)),IF(N(G1962)&gt;=MAX(1,N(E1962)),"Conferido","Conferido até aqui"),"A conferir")))</f>
        <v/>
      </c>
      <c r="S1962" s="51">
        <f>IF(R1962="A conferir",(Config!$B$8-L1962)*1000+N(F1962)/1000+ROW()/100000,0)</f>
        <v>0</v>
      </c>
      <c r="T1962" s="51">
        <f>IF(R1962="A conferir",N(N1962),0)</f>
        <v>0</v>
      </c>
      <c r="U1962" s="51">
        <f>IF(L1962="",0,L1962)</f>
        <v>0</v>
      </c>
      <c r="V1962" s="51">
        <f>IF(L1962="",0,MAX(1,N(E1962)))</f>
        <v>0</v>
      </c>
      <c r="W1962" s="51">
        <f>IF(K1962="",0,K1962)</f>
        <v>0</v>
      </c>
    </row>
    <row r="1963">
      <c r="A1963" s="49" t="n"/>
      <c r="B1963" s="41" t="n"/>
      <c r="C1963" s="41" t="n"/>
      <c r="D1963" s="42" t="n"/>
      <c r="E1963" s="42" t="n"/>
      <c r="F1963" s="50" t="n"/>
      <c r="G1963" s="42" t="n"/>
      <c r="H1963" s="30">
        <f>IF(D1963="","",IFERROR(INDEX(Config!$B$12:$B$15,MATCH(IF(AND(D1963="Cartão de crédito",N(E1963)&gt;1),"Cartão de crédito parcelado",D1963),Config!$A$12:$A$15,0)),0)+IF(AND(Config!$B$17="Sim",LEFT(D1963,17)="Cartão de crédito"),Config!$B$18*IFERROR(INDEX(Config!$C$12:$C$15,MATCH(IF(AND(D1963="Cartão de crédito",N(E1963)&gt;1),"Cartão de crédito parcelado",D1963),Config!$A$12:$A$15,0)),0)/30*MAX(1,N(E1963)),0))</f>
        <v/>
      </c>
      <c r="I1963" s="29">
        <f>IF(OR(D1963="",F1963=""),"",ROUND(F1963*H1963,2))</f>
        <v/>
      </c>
      <c r="J1963" s="29">
        <f>IF(I1963="","",F1963-I1963)</f>
        <v/>
      </c>
      <c r="K1963" s="29">
        <f>IF(J1963="","",J1963/MAX(1,N(E1963)))</f>
        <v/>
      </c>
      <c r="L1963" s="37">
        <f>IF(OR(D1963="",A1963=""),"",A1963+IF(AND(Config!$B$17="Sim",LEFT(D1963,17)="Cartão de crédito"),1,IFERROR(INDEX(Config!$C$12:$C$15,MATCH(IF(AND(D1963="Cartão de crédito",N(E1963)&gt;1),"Cartão de crédito parcelado",D1963),Config!$A$12:$A$15,0)),0)))</f>
        <v/>
      </c>
      <c r="M1963" s="37">
        <f>IF(L1963="","",IF(AND(Config!$B$17="Sim",LEFT(D1963,17)="Cartão de crédito"),L1963,L1963+30*(MAX(1,N(E1963))-1)))</f>
        <v/>
      </c>
      <c r="N1963" s="29">
        <f>IF(OR(L1963="",K1963=""),"",K1963*MIN(MAX(1,N(E1963)),MAX(0,INT((Config!$B$8-L1963)/30)+1)))</f>
        <v/>
      </c>
      <c r="O1963" s="29">
        <f>IF(J1963="","",J1963-N(N1963))</f>
        <v/>
      </c>
      <c r="P1963" s="27">
        <f>IF(A1963="","",MONTH(A1963))</f>
        <v/>
      </c>
      <c r="Q1963" s="27">
        <f>IF(A1963="","",YEAR(A1963))</f>
        <v/>
      </c>
      <c r="R1963" s="27">
        <f>IF(L1963="","",IF(L1963&gt;Config!$B$8,"A cair",IF(N(G1963)&gt;=MIN(MAX(1,N(E1963)),MAX(0,INT((Config!$B$8-L1963)/30)+1)),IF(N(G1963)&gt;=MAX(1,N(E1963)),"Conferido","Conferido até aqui"),"A conferir")))</f>
        <v/>
      </c>
      <c r="S1963" s="51">
        <f>IF(R1963="A conferir",(Config!$B$8-L1963)*1000+N(F1963)/1000+ROW()/100000,0)</f>
        <v>0</v>
      </c>
      <c r="T1963" s="51">
        <f>IF(R1963="A conferir",N(N1963),0)</f>
        <v>0</v>
      </c>
      <c r="U1963" s="51">
        <f>IF(L1963="",0,L1963)</f>
        <v>0</v>
      </c>
      <c r="V1963" s="51">
        <f>IF(L1963="",0,MAX(1,N(E1963)))</f>
        <v>0</v>
      </c>
      <c r="W1963" s="51">
        <f>IF(K1963="",0,K1963)</f>
        <v>0</v>
      </c>
    </row>
    <row r="1964">
      <c r="A1964" s="49" t="n"/>
      <c r="B1964" s="41" t="n"/>
      <c r="C1964" s="41" t="n"/>
      <c r="D1964" s="42" t="n"/>
      <c r="E1964" s="42" t="n"/>
      <c r="F1964" s="50" t="n"/>
      <c r="G1964" s="42" t="n"/>
      <c r="H1964" s="30">
        <f>IF(D1964="","",IFERROR(INDEX(Config!$B$12:$B$15,MATCH(IF(AND(D1964="Cartão de crédito",N(E1964)&gt;1),"Cartão de crédito parcelado",D1964),Config!$A$12:$A$15,0)),0)+IF(AND(Config!$B$17="Sim",LEFT(D1964,17)="Cartão de crédito"),Config!$B$18*IFERROR(INDEX(Config!$C$12:$C$15,MATCH(IF(AND(D1964="Cartão de crédito",N(E1964)&gt;1),"Cartão de crédito parcelado",D1964),Config!$A$12:$A$15,0)),0)/30*MAX(1,N(E1964)),0))</f>
        <v/>
      </c>
      <c r="I1964" s="29">
        <f>IF(OR(D1964="",F1964=""),"",ROUND(F1964*H1964,2))</f>
        <v/>
      </c>
      <c r="J1964" s="29">
        <f>IF(I1964="","",F1964-I1964)</f>
        <v/>
      </c>
      <c r="K1964" s="29">
        <f>IF(J1964="","",J1964/MAX(1,N(E1964)))</f>
        <v/>
      </c>
      <c r="L1964" s="37">
        <f>IF(OR(D1964="",A1964=""),"",A1964+IF(AND(Config!$B$17="Sim",LEFT(D1964,17)="Cartão de crédito"),1,IFERROR(INDEX(Config!$C$12:$C$15,MATCH(IF(AND(D1964="Cartão de crédito",N(E1964)&gt;1),"Cartão de crédito parcelado",D1964),Config!$A$12:$A$15,0)),0)))</f>
        <v/>
      </c>
      <c r="M1964" s="37">
        <f>IF(L1964="","",IF(AND(Config!$B$17="Sim",LEFT(D1964,17)="Cartão de crédito"),L1964,L1964+30*(MAX(1,N(E1964))-1)))</f>
        <v/>
      </c>
      <c r="N1964" s="29">
        <f>IF(OR(L1964="",K1964=""),"",K1964*MIN(MAX(1,N(E1964)),MAX(0,INT((Config!$B$8-L1964)/30)+1)))</f>
        <v/>
      </c>
      <c r="O1964" s="29">
        <f>IF(J1964="","",J1964-N(N1964))</f>
        <v/>
      </c>
      <c r="P1964" s="27">
        <f>IF(A1964="","",MONTH(A1964))</f>
        <v/>
      </c>
      <c r="Q1964" s="27">
        <f>IF(A1964="","",YEAR(A1964))</f>
        <v/>
      </c>
      <c r="R1964" s="27">
        <f>IF(L1964="","",IF(L1964&gt;Config!$B$8,"A cair",IF(N(G1964)&gt;=MIN(MAX(1,N(E1964)),MAX(0,INT((Config!$B$8-L1964)/30)+1)),IF(N(G1964)&gt;=MAX(1,N(E1964)),"Conferido","Conferido até aqui"),"A conferir")))</f>
        <v/>
      </c>
      <c r="S1964" s="51">
        <f>IF(R1964="A conferir",(Config!$B$8-L1964)*1000+N(F1964)/1000+ROW()/100000,0)</f>
        <v>0</v>
      </c>
      <c r="T1964" s="51">
        <f>IF(R1964="A conferir",N(N1964),0)</f>
        <v>0</v>
      </c>
      <c r="U1964" s="51">
        <f>IF(L1964="",0,L1964)</f>
        <v>0</v>
      </c>
      <c r="V1964" s="51">
        <f>IF(L1964="",0,MAX(1,N(E1964)))</f>
        <v>0</v>
      </c>
      <c r="W1964" s="51">
        <f>IF(K1964="",0,K1964)</f>
        <v>0</v>
      </c>
    </row>
    <row r="1965">
      <c r="A1965" s="49" t="n"/>
      <c r="B1965" s="41" t="n"/>
      <c r="C1965" s="41" t="n"/>
      <c r="D1965" s="42" t="n"/>
      <c r="E1965" s="42" t="n"/>
      <c r="F1965" s="50" t="n"/>
      <c r="G1965" s="42" t="n"/>
      <c r="H1965" s="30">
        <f>IF(D1965="","",IFERROR(INDEX(Config!$B$12:$B$15,MATCH(IF(AND(D1965="Cartão de crédito",N(E1965)&gt;1),"Cartão de crédito parcelado",D1965),Config!$A$12:$A$15,0)),0)+IF(AND(Config!$B$17="Sim",LEFT(D1965,17)="Cartão de crédito"),Config!$B$18*IFERROR(INDEX(Config!$C$12:$C$15,MATCH(IF(AND(D1965="Cartão de crédito",N(E1965)&gt;1),"Cartão de crédito parcelado",D1965),Config!$A$12:$A$15,0)),0)/30*MAX(1,N(E1965)),0))</f>
        <v/>
      </c>
      <c r="I1965" s="29">
        <f>IF(OR(D1965="",F1965=""),"",ROUND(F1965*H1965,2))</f>
        <v/>
      </c>
      <c r="J1965" s="29">
        <f>IF(I1965="","",F1965-I1965)</f>
        <v/>
      </c>
      <c r="K1965" s="29">
        <f>IF(J1965="","",J1965/MAX(1,N(E1965)))</f>
        <v/>
      </c>
      <c r="L1965" s="37">
        <f>IF(OR(D1965="",A1965=""),"",A1965+IF(AND(Config!$B$17="Sim",LEFT(D1965,17)="Cartão de crédito"),1,IFERROR(INDEX(Config!$C$12:$C$15,MATCH(IF(AND(D1965="Cartão de crédito",N(E1965)&gt;1),"Cartão de crédito parcelado",D1965),Config!$A$12:$A$15,0)),0)))</f>
        <v/>
      </c>
      <c r="M1965" s="37">
        <f>IF(L1965="","",IF(AND(Config!$B$17="Sim",LEFT(D1965,17)="Cartão de crédito"),L1965,L1965+30*(MAX(1,N(E1965))-1)))</f>
        <v/>
      </c>
      <c r="N1965" s="29">
        <f>IF(OR(L1965="",K1965=""),"",K1965*MIN(MAX(1,N(E1965)),MAX(0,INT((Config!$B$8-L1965)/30)+1)))</f>
        <v/>
      </c>
      <c r="O1965" s="29">
        <f>IF(J1965="","",J1965-N(N1965))</f>
        <v/>
      </c>
      <c r="P1965" s="27">
        <f>IF(A1965="","",MONTH(A1965))</f>
        <v/>
      </c>
      <c r="Q1965" s="27">
        <f>IF(A1965="","",YEAR(A1965))</f>
        <v/>
      </c>
      <c r="R1965" s="27">
        <f>IF(L1965="","",IF(L1965&gt;Config!$B$8,"A cair",IF(N(G1965)&gt;=MIN(MAX(1,N(E1965)),MAX(0,INT((Config!$B$8-L1965)/30)+1)),IF(N(G1965)&gt;=MAX(1,N(E1965)),"Conferido","Conferido até aqui"),"A conferir")))</f>
        <v/>
      </c>
      <c r="S1965" s="51">
        <f>IF(R1965="A conferir",(Config!$B$8-L1965)*1000+N(F1965)/1000+ROW()/100000,0)</f>
        <v>0</v>
      </c>
      <c r="T1965" s="51">
        <f>IF(R1965="A conferir",N(N1965),0)</f>
        <v>0</v>
      </c>
      <c r="U1965" s="51">
        <f>IF(L1965="",0,L1965)</f>
        <v>0</v>
      </c>
      <c r="V1965" s="51">
        <f>IF(L1965="",0,MAX(1,N(E1965)))</f>
        <v>0</v>
      </c>
      <c r="W1965" s="51">
        <f>IF(K1965="",0,K1965)</f>
        <v>0</v>
      </c>
    </row>
    <row r="1966">
      <c r="A1966" s="49" t="n"/>
      <c r="B1966" s="41" t="n"/>
      <c r="C1966" s="41" t="n"/>
      <c r="D1966" s="42" t="n"/>
      <c r="E1966" s="42" t="n"/>
      <c r="F1966" s="50" t="n"/>
      <c r="G1966" s="42" t="n"/>
      <c r="H1966" s="30">
        <f>IF(D1966="","",IFERROR(INDEX(Config!$B$12:$B$15,MATCH(IF(AND(D1966="Cartão de crédito",N(E1966)&gt;1),"Cartão de crédito parcelado",D1966),Config!$A$12:$A$15,0)),0)+IF(AND(Config!$B$17="Sim",LEFT(D1966,17)="Cartão de crédito"),Config!$B$18*IFERROR(INDEX(Config!$C$12:$C$15,MATCH(IF(AND(D1966="Cartão de crédito",N(E1966)&gt;1),"Cartão de crédito parcelado",D1966),Config!$A$12:$A$15,0)),0)/30*MAX(1,N(E1966)),0))</f>
        <v/>
      </c>
      <c r="I1966" s="29">
        <f>IF(OR(D1966="",F1966=""),"",ROUND(F1966*H1966,2))</f>
        <v/>
      </c>
      <c r="J1966" s="29">
        <f>IF(I1966="","",F1966-I1966)</f>
        <v/>
      </c>
      <c r="K1966" s="29">
        <f>IF(J1966="","",J1966/MAX(1,N(E1966)))</f>
        <v/>
      </c>
      <c r="L1966" s="37">
        <f>IF(OR(D1966="",A1966=""),"",A1966+IF(AND(Config!$B$17="Sim",LEFT(D1966,17)="Cartão de crédito"),1,IFERROR(INDEX(Config!$C$12:$C$15,MATCH(IF(AND(D1966="Cartão de crédito",N(E1966)&gt;1),"Cartão de crédito parcelado",D1966),Config!$A$12:$A$15,0)),0)))</f>
        <v/>
      </c>
      <c r="M1966" s="37">
        <f>IF(L1966="","",IF(AND(Config!$B$17="Sim",LEFT(D1966,17)="Cartão de crédito"),L1966,L1966+30*(MAX(1,N(E1966))-1)))</f>
        <v/>
      </c>
      <c r="N1966" s="29">
        <f>IF(OR(L1966="",K1966=""),"",K1966*MIN(MAX(1,N(E1966)),MAX(0,INT((Config!$B$8-L1966)/30)+1)))</f>
        <v/>
      </c>
      <c r="O1966" s="29">
        <f>IF(J1966="","",J1966-N(N1966))</f>
        <v/>
      </c>
      <c r="P1966" s="27">
        <f>IF(A1966="","",MONTH(A1966))</f>
        <v/>
      </c>
      <c r="Q1966" s="27">
        <f>IF(A1966="","",YEAR(A1966))</f>
        <v/>
      </c>
      <c r="R1966" s="27">
        <f>IF(L1966="","",IF(L1966&gt;Config!$B$8,"A cair",IF(N(G1966)&gt;=MIN(MAX(1,N(E1966)),MAX(0,INT((Config!$B$8-L1966)/30)+1)),IF(N(G1966)&gt;=MAX(1,N(E1966)),"Conferido","Conferido até aqui"),"A conferir")))</f>
        <v/>
      </c>
      <c r="S1966" s="51">
        <f>IF(R1966="A conferir",(Config!$B$8-L1966)*1000+N(F1966)/1000+ROW()/100000,0)</f>
        <v>0</v>
      </c>
      <c r="T1966" s="51">
        <f>IF(R1966="A conferir",N(N1966),0)</f>
        <v>0</v>
      </c>
      <c r="U1966" s="51">
        <f>IF(L1966="",0,L1966)</f>
        <v>0</v>
      </c>
      <c r="V1966" s="51">
        <f>IF(L1966="",0,MAX(1,N(E1966)))</f>
        <v>0</v>
      </c>
      <c r="W1966" s="51">
        <f>IF(K1966="",0,K1966)</f>
        <v>0</v>
      </c>
    </row>
    <row r="1967">
      <c r="A1967" s="49" t="n"/>
      <c r="B1967" s="41" t="n"/>
      <c r="C1967" s="41" t="n"/>
      <c r="D1967" s="42" t="n"/>
      <c r="E1967" s="42" t="n"/>
      <c r="F1967" s="50" t="n"/>
      <c r="G1967" s="42" t="n"/>
      <c r="H1967" s="30">
        <f>IF(D1967="","",IFERROR(INDEX(Config!$B$12:$B$15,MATCH(IF(AND(D1967="Cartão de crédito",N(E1967)&gt;1),"Cartão de crédito parcelado",D1967),Config!$A$12:$A$15,0)),0)+IF(AND(Config!$B$17="Sim",LEFT(D1967,17)="Cartão de crédito"),Config!$B$18*IFERROR(INDEX(Config!$C$12:$C$15,MATCH(IF(AND(D1967="Cartão de crédito",N(E1967)&gt;1),"Cartão de crédito parcelado",D1967),Config!$A$12:$A$15,0)),0)/30*MAX(1,N(E1967)),0))</f>
        <v/>
      </c>
      <c r="I1967" s="29">
        <f>IF(OR(D1967="",F1967=""),"",ROUND(F1967*H1967,2))</f>
        <v/>
      </c>
      <c r="J1967" s="29">
        <f>IF(I1967="","",F1967-I1967)</f>
        <v/>
      </c>
      <c r="K1967" s="29">
        <f>IF(J1967="","",J1967/MAX(1,N(E1967)))</f>
        <v/>
      </c>
      <c r="L1967" s="37">
        <f>IF(OR(D1967="",A1967=""),"",A1967+IF(AND(Config!$B$17="Sim",LEFT(D1967,17)="Cartão de crédito"),1,IFERROR(INDEX(Config!$C$12:$C$15,MATCH(IF(AND(D1967="Cartão de crédito",N(E1967)&gt;1),"Cartão de crédito parcelado",D1967),Config!$A$12:$A$15,0)),0)))</f>
        <v/>
      </c>
      <c r="M1967" s="37">
        <f>IF(L1967="","",IF(AND(Config!$B$17="Sim",LEFT(D1967,17)="Cartão de crédito"),L1967,L1967+30*(MAX(1,N(E1967))-1)))</f>
        <v/>
      </c>
      <c r="N1967" s="29">
        <f>IF(OR(L1967="",K1967=""),"",K1967*MIN(MAX(1,N(E1967)),MAX(0,INT((Config!$B$8-L1967)/30)+1)))</f>
        <v/>
      </c>
      <c r="O1967" s="29">
        <f>IF(J1967="","",J1967-N(N1967))</f>
        <v/>
      </c>
      <c r="P1967" s="27">
        <f>IF(A1967="","",MONTH(A1967))</f>
        <v/>
      </c>
      <c r="Q1967" s="27">
        <f>IF(A1967="","",YEAR(A1967))</f>
        <v/>
      </c>
      <c r="R1967" s="27">
        <f>IF(L1967="","",IF(L1967&gt;Config!$B$8,"A cair",IF(N(G1967)&gt;=MIN(MAX(1,N(E1967)),MAX(0,INT((Config!$B$8-L1967)/30)+1)),IF(N(G1967)&gt;=MAX(1,N(E1967)),"Conferido","Conferido até aqui"),"A conferir")))</f>
        <v/>
      </c>
      <c r="S1967" s="51">
        <f>IF(R1967="A conferir",(Config!$B$8-L1967)*1000+N(F1967)/1000+ROW()/100000,0)</f>
        <v>0</v>
      </c>
      <c r="T1967" s="51">
        <f>IF(R1967="A conferir",N(N1967),0)</f>
        <v>0</v>
      </c>
      <c r="U1967" s="51">
        <f>IF(L1967="",0,L1967)</f>
        <v>0</v>
      </c>
      <c r="V1967" s="51">
        <f>IF(L1967="",0,MAX(1,N(E1967)))</f>
        <v>0</v>
      </c>
      <c r="W1967" s="51">
        <f>IF(K1967="",0,K1967)</f>
        <v>0</v>
      </c>
    </row>
    <row r="1968">
      <c r="A1968" s="49" t="n"/>
      <c r="B1968" s="41" t="n"/>
      <c r="C1968" s="41" t="n"/>
      <c r="D1968" s="42" t="n"/>
      <c r="E1968" s="42" t="n"/>
      <c r="F1968" s="50" t="n"/>
      <c r="G1968" s="42" t="n"/>
      <c r="H1968" s="30">
        <f>IF(D1968="","",IFERROR(INDEX(Config!$B$12:$B$15,MATCH(IF(AND(D1968="Cartão de crédito",N(E1968)&gt;1),"Cartão de crédito parcelado",D1968),Config!$A$12:$A$15,0)),0)+IF(AND(Config!$B$17="Sim",LEFT(D1968,17)="Cartão de crédito"),Config!$B$18*IFERROR(INDEX(Config!$C$12:$C$15,MATCH(IF(AND(D1968="Cartão de crédito",N(E1968)&gt;1),"Cartão de crédito parcelado",D1968),Config!$A$12:$A$15,0)),0)/30*MAX(1,N(E1968)),0))</f>
        <v/>
      </c>
      <c r="I1968" s="29">
        <f>IF(OR(D1968="",F1968=""),"",ROUND(F1968*H1968,2))</f>
        <v/>
      </c>
      <c r="J1968" s="29">
        <f>IF(I1968="","",F1968-I1968)</f>
        <v/>
      </c>
      <c r="K1968" s="29">
        <f>IF(J1968="","",J1968/MAX(1,N(E1968)))</f>
        <v/>
      </c>
      <c r="L1968" s="37">
        <f>IF(OR(D1968="",A1968=""),"",A1968+IF(AND(Config!$B$17="Sim",LEFT(D1968,17)="Cartão de crédito"),1,IFERROR(INDEX(Config!$C$12:$C$15,MATCH(IF(AND(D1968="Cartão de crédito",N(E1968)&gt;1),"Cartão de crédito parcelado",D1968),Config!$A$12:$A$15,0)),0)))</f>
        <v/>
      </c>
      <c r="M1968" s="37">
        <f>IF(L1968="","",IF(AND(Config!$B$17="Sim",LEFT(D1968,17)="Cartão de crédito"),L1968,L1968+30*(MAX(1,N(E1968))-1)))</f>
        <v/>
      </c>
      <c r="N1968" s="29">
        <f>IF(OR(L1968="",K1968=""),"",K1968*MIN(MAX(1,N(E1968)),MAX(0,INT((Config!$B$8-L1968)/30)+1)))</f>
        <v/>
      </c>
      <c r="O1968" s="29">
        <f>IF(J1968="","",J1968-N(N1968))</f>
        <v/>
      </c>
      <c r="P1968" s="27">
        <f>IF(A1968="","",MONTH(A1968))</f>
        <v/>
      </c>
      <c r="Q1968" s="27">
        <f>IF(A1968="","",YEAR(A1968))</f>
        <v/>
      </c>
      <c r="R1968" s="27">
        <f>IF(L1968="","",IF(L1968&gt;Config!$B$8,"A cair",IF(N(G1968)&gt;=MIN(MAX(1,N(E1968)),MAX(0,INT((Config!$B$8-L1968)/30)+1)),IF(N(G1968)&gt;=MAX(1,N(E1968)),"Conferido","Conferido até aqui"),"A conferir")))</f>
        <v/>
      </c>
      <c r="S1968" s="51">
        <f>IF(R1968="A conferir",(Config!$B$8-L1968)*1000+N(F1968)/1000+ROW()/100000,0)</f>
        <v>0</v>
      </c>
      <c r="T1968" s="51">
        <f>IF(R1968="A conferir",N(N1968),0)</f>
        <v>0</v>
      </c>
      <c r="U1968" s="51">
        <f>IF(L1968="",0,L1968)</f>
        <v>0</v>
      </c>
      <c r="V1968" s="51">
        <f>IF(L1968="",0,MAX(1,N(E1968)))</f>
        <v>0</v>
      </c>
      <c r="W1968" s="51">
        <f>IF(K1968="",0,K1968)</f>
        <v>0</v>
      </c>
    </row>
    <row r="1969">
      <c r="A1969" s="49" t="n"/>
      <c r="B1969" s="41" t="n"/>
      <c r="C1969" s="41" t="n"/>
      <c r="D1969" s="42" t="n"/>
      <c r="E1969" s="42" t="n"/>
      <c r="F1969" s="50" t="n"/>
      <c r="G1969" s="42" t="n"/>
      <c r="H1969" s="30">
        <f>IF(D1969="","",IFERROR(INDEX(Config!$B$12:$B$15,MATCH(IF(AND(D1969="Cartão de crédito",N(E1969)&gt;1),"Cartão de crédito parcelado",D1969),Config!$A$12:$A$15,0)),0)+IF(AND(Config!$B$17="Sim",LEFT(D1969,17)="Cartão de crédito"),Config!$B$18*IFERROR(INDEX(Config!$C$12:$C$15,MATCH(IF(AND(D1969="Cartão de crédito",N(E1969)&gt;1),"Cartão de crédito parcelado",D1969),Config!$A$12:$A$15,0)),0)/30*MAX(1,N(E1969)),0))</f>
        <v/>
      </c>
      <c r="I1969" s="29">
        <f>IF(OR(D1969="",F1969=""),"",ROUND(F1969*H1969,2))</f>
        <v/>
      </c>
      <c r="J1969" s="29">
        <f>IF(I1969="","",F1969-I1969)</f>
        <v/>
      </c>
      <c r="K1969" s="29">
        <f>IF(J1969="","",J1969/MAX(1,N(E1969)))</f>
        <v/>
      </c>
      <c r="L1969" s="37">
        <f>IF(OR(D1969="",A1969=""),"",A1969+IF(AND(Config!$B$17="Sim",LEFT(D1969,17)="Cartão de crédito"),1,IFERROR(INDEX(Config!$C$12:$C$15,MATCH(IF(AND(D1969="Cartão de crédito",N(E1969)&gt;1),"Cartão de crédito parcelado",D1969),Config!$A$12:$A$15,0)),0)))</f>
        <v/>
      </c>
      <c r="M1969" s="37">
        <f>IF(L1969="","",IF(AND(Config!$B$17="Sim",LEFT(D1969,17)="Cartão de crédito"),L1969,L1969+30*(MAX(1,N(E1969))-1)))</f>
        <v/>
      </c>
      <c r="N1969" s="29">
        <f>IF(OR(L1969="",K1969=""),"",K1969*MIN(MAX(1,N(E1969)),MAX(0,INT((Config!$B$8-L1969)/30)+1)))</f>
        <v/>
      </c>
      <c r="O1969" s="29">
        <f>IF(J1969="","",J1969-N(N1969))</f>
        <v/>
      </c>
      <c r="P1969" s="27">
        <f>IF(A1969="","",MONTH(A1969))</f>
        <v/>
      </c>
      <c r="Q1969" s="27">
        <f>IF(A1969="","",YEAR(A1969))</f>
        <v/>
      </c>
      <c r="R1969" s="27">
        <f>IF(L1969="","",IF(L1969&gt;Config!$B$8,"A cair",IF(N(G1969)&gt;=MIN(MAX(1,N(E1969)),MAX(0,INT((Config!$B$8-L1969)/30)+1)),IF(N(G1969)&gt;=MAX(1,N(E1969)),"Conferido","Conferido até aqui"),"A conferir")))</f>
        <v/>
      </c>
      <c r="S1969" s="51">
        <f>IF(R1969="A conferir",(Config!$B$8-L1969)*1000+N(F1969)/1000+ROW()/100000,0)</f>
        <v>0</v>
      </c>
      <c r="T1969" s="51">
        <f>IF(R1969="A conferir",N(N1969),0)</f>
        <v>0</v>
      </c>
      <c r="U1969" s="51">
        <f>IF(L1969="",0,L1969)</f>
        <v>0</v>
      </c>
      <c r="V1969" s="51">
        <f>IF(L1969="",0,MAX(1,N(E1969)))</f>
        <v>0</v>
      </c>
      <c r="W1969" s="51">
        <f>IF(K1969="",0,K1969)</f>
        <v>0</v>
      </c>
    </row>
    <row r="1970">
      <c r="A1970" s="49" t="n"/>
      <c r="B1970" s="41" t="n"/>
      <c r="C1970" s="41" t="n"/>
      <c r="D1970" s="42" t="n"/>
      <c r="E1970" s="42" t="n"/>
      <c r="F1970" s="50" t="n"/>
      <c r="G1970" s="42" t="n"/>
      <c r="H1970" s="30">
        <f>IF(D1970="","",IFERROR(INDEX(Config!$B$12:$B$15,MATCH(IF(AND(D1970="Cartão de crédito",N(E1970)&gt;1),"Cartão de crédito parcelado",D1970),Config!$A$12:$A$15,0)),0)+IF(AND(Config!$B$17="Sim",LEFT(D1970,17)="Cartão de crédito"),Config!$B$18*IFERROR(INDEX(Config!$C$12:$C$15,MATCH(IF(AND(D1970="Cartão de crédito",N(E1970)&gt;1),"Cartão de crédito parcelado",D1970),Config!$A$12:$A$15,0)),0)/30*MAX(1,N(E1970)),0))</f>
        <v/>
      </c>
      <c r="I1970" s="29">
        <f>IF(OR(D1970="",F1970=""),"",ROUND(F1970*H1970,2))</f>
        <v/>
      </c>
      <c r="J1970" s="29">
        <f>IF(I1970="","",F1970-I1970)</f>
        <v/>
      </c>
      <c r="K1970" s="29">
        <f>IF(J1970="","",J1970/MAX(1,N(E1970)))</f>
        <v/>
      </c>
      <c r="L1970" s="37">
        <f>IF(OR(D1970="",A1970=""),"",A1970+IF(AND(Config!$B$17="Sim",LEFT(D1970,17)="Cartão de crédito"),1,IFERROR(INDEX(Config!$C$12:$C$15,MATCH(IF(AND(D1970="Cartão de crédito",N(E1970)&gt;1),"Cartão de crédito parcelado",D1970),Config!$A$12:$A$15,0)),0)))</f>
        <v/>
      </c>
      <c r="M1970" s="37">
        <f>IF(L1970="","",IF(AND(Config!$B$17="Sim",LEFT(D1970,17)="Cartão de crédito"),L1970,L1970+30*(MAX(1,N(E1970))-1)))</f>
        <v/>
      </c>
      <c r="N1970" s="29">
        <f>IF(OR(L1970="",K1970=""),"",K1970*MIN(MAX(1,N(E1970)),MAX(0,INT((Config!$B$8-L1970)/30)+1)))</f>
        <v/>
      </c>
      <c r="O1970" s="29">
        <f>IF(J1970="","",J1970-N(N1970))</f>
        <v/>
      </c>
      <c r="P1970" s="27">
        <f>IF(A1970="","",MONTH(A1970))</f>
        <v/>
      </c>
      <c r="Q1970" s="27">
        <f>IF(A1970="","",YEAR(A1970))</f>
        <v/>
      </c>
      <c r="R1970" s="27">
        <f>IF(L1970="","",IF(L1970&gt;Config!$B$8,"A cair",IF(N(G1970)&gt;=MIN(MAX(1,N(E1970)),MAX(0,INT((Config!$B$8-L1970)/30)+1)),IF(N(G1970)&gt;=MAX(1,N(E1970)),"Conferido","Conferido até aqui"),"A conferir")))</f>
        <v/>
      </c>
      <c r="S1970" s="51">
        <f>IF(R1970="A conferir",(Config!$B$8-L1970)*1000+N(F1970)/1000+ROW()/100000,0)</f>
        <v>0</v>
      </c>
      <c r="T1970" s="51">
        <f>IF(R1970="A conferir",N(N1970),0)</f>
        <v>0</v>
      </c>
      <c r="U1970" s="51">
        <f>IF(L1970="",0,L1970)</f>
        <v>0</v>
      </c>
      <c r="V1970" s="51">
        <f>IF(L1970="",0,MAX(1,N(E1970)))</f>
        <v>0</v>
      </c>
      <c r="W1970" s="51">
        <f>IF(K1970="",0,K1970)</f>
        <v>0</v>
      </c>
    </row>
    <row r="1971">
      <c r="A1971" s="49" t="n"/>
      <c r="B1971" s="41" t="n"/>
      <c r="C1971" s="41" t="n"/>
      <c r="D1971" s="42" t="n"/>
      <c r="E1971" s="42" t="n"/>
      <c r="F1971" s="50" t="n"/>
      <c r="G1971" s="42" t="n"/>
      <c r="H1971" s="30">
        <f>IF(D1971="","",IFERROR(INDEX(Config!$B$12:$B$15,MATCH(IF(AND(D1971="Cartão de crédito",N(E1971)&gt;1),"Cartão de crédito parcelado",D1971),Config!$A$12:$A$15,0)),0)+IF(AND(Config!$B$17="Sim",LEFT(D1971,17)="Cartão de crédito"),Config!$B$18*IFERROR(INDEX(Config!$C$12:$C$15,MATCH(IF(AND(D1971="Cartão de crédito",N(E1971)&gt;1),"Cartão de crédito parcelado",D1971),Config!$A$12:$A$15,0)),0)/30*MAX(1,N(E1971)),0))</f>
        <v/>
      </c>
      <c r="I1971" s="29">
        <f>IF(OR(D1971="",F1971=""),"",ROUND(F1971*H1971,2))</f>
        <v/>
      </c>
      <c r="J1971" s="29">
        <f>IF(I1971="","",F1971-I1971)</f>
        <v/>
      </c>
      <c r="K1971" s="29">
        <f>IF(J1971="","",J1971/MAX(1,N(E1971)))</f>
        <v/>
      </c>
      <c r="L1971" s="37">
        <f>IF(OR(D1971="",A1971=""),"",A1971+IF(AND(Config!$B$17="Sim",LEFT(D1971,17)="Cartão de crédito"),1,IFERROR(INDEX(Config!$C$12:$C$15,MATCH(IF(AND(D1971="Cartão de crédito",N(E1971)&gt;1),"Cartão de crédito parcelado",D1971),Config!$A$12:$A$15,0)),0)))</f>
        <v/>
      </c>
      <c r="M1971" s="37">
        <f>IF(L1971="","",IF(AND(Config!$B$17="Sim",LEFT(D1971,17)="Cartão de crédito"),L1971,L1971+30*(MAX(1,N(E1971))-1)))</f>
        <v/>
      </c>
      <c r="N1971" s="29">
        <f>IF(OR(L1971="",K1971=""),"",K1971*MIN(MAX(1,N(E1971)),MAX(0,INT((Config!$B$8-L1971)/30)+1)))</f>
        <v/>
      </c>
      <c r="O1971" s="29">
        <f>IF(J1971="","",J1971-N(N1971))</f>
        <v/>
      </c>
      <c r="P1971" s="27">
        <f>IF(A1971="","",MONTH(A1971))</f>
        <v/>
      </c>
      <c r="Q1971" s="27">
        <f>IF(A1971="","",YEAR(A1971))</f>
        <v/>
      </c>
      <c r="R1971" s="27">
        <f>IF(L1971="","",IF(L1971&gt;Config!$B$8,"A cair",IF(N(G1971)&gt;=MIN(MAX(1,N(E1971)),MAX(0,INT((Config!$B$8-L1971)/30)+1)),IF(N(G1971)&gt;=MAX(1,N(E1971)),"Conferido","Conferido até aqui"),"A conferir")))</f>
        <v/>
      </c>
      <c r="S1971" s="51">
        <f>IF(R1971="A conferir",(Config!$B$8-L1971)*1000+N(F1971)/1000+ROW()/100000,0)</f>
        <v>0</v>
      </c>
      <c r="T1971" s="51">
        <f>IF(R1971="A conferir",N(N1971),0)</f>
        <v>0</v>
      </c>
      <c r="U1971" s="51">
        <f>IF(L1971="",0,L1971)</f>
        <v>0</v>
      </c>
      <c r="V1971" s="51">
        <f>IF(L1971="",0,MAX(1,N(E1971)))</f>
        <v>0</v>
      </c>
      <c r="W1971" s="51">
        <f>IF(K1971="",0,K1971)</f>
        <v>0</v>
      </c>
    </row>
    <row r="1972">
      <c r="A1972" s="49" t="n"/>
      <c r="B1972" s="41" t="n"/>
      <c r="C1972" s="41" t="n"/>
      <c r="D1972" s="42" t="n"/>
      <c r="E1972" s="42" t="n"/>
      <c r="F1972" s="50" t="n"/>
      <c r="G1972" s="42" t="n"/>
      <c r="H1972" s="30">
        <f>IF(D1972="","",IFERROR(INDEX(Config!$B$12:$B$15,MATCH(IF(AND(D1972="Cartão de crédito",N(E1972)&gt;1),"Cartão de crédito parcelado",D1972),Config!$A$12:$A$15,0)),0)+IF(AND(Config!$B$17="Sim",LEFT(D1972,17)="Cartão de crédito"),Config!$B$18*IFERROR(INDEX(Config!$C$12:$C$15,MATCH(IF(AND(D1972="Cartão de crédito",N(E1972)&gt;1),"Cartão de crédito parcelado",D1972),Config!$A$12:$A$15,0)),0)/30*MAX(1,N(E1972)),0))</f>
        <v/>
      </c>
      <c r="I1972" s="29">
        <f>IF(OR(D1972="",F1972=""),"",ROUND(F1972*H1972,2))</f>
        <v/>
      </c>
      <c r="J1972" s="29">
        <f>IF(I1972="","",F1972-I1972)</f>
        <v/>
      </c>
      <c r="K1972" s="29">
        <f>IF(J1972="","",J1972/MAX(1,N(E1972)))</f>
        <v/>
      </c>
      <c r="L1972" s="37">
        <f>IF(OR(D1972="",A1972=""),"",A1972+IF(AND(Config!$B$17="Sim",LEFT(D1972,17)="Cartão de crédito"),1,IFERROR(INDEX(Config!$C$12:$C$15,MATCH(IF(AND(D1972="Cartão de crédito",N(E1972)&gt;1),"Cartão de crédito parcelado",D1972),Config!$A$12:$A$15,0)),0)))</f>
        <v/>
      </c>
      <c r="M1972" s="37">
        <f>IF(L1972="","",IF(AND(Config!$B$17="Sim",LEFT(D1972,17)="Cartão de crédito"),L1972,L1972+30*(MAX(1,N(E1972))-1)))</f>
        <v/>
      </c>
      <c r="N1972" s="29">
        <f>IF(OR(L1972="",K1972=""),"",K1972*MIN(MAX(1,N(E1972)),MAX(0,INT((Config!$B$8-L1972)/30)+1)))</f>
        <v/>
      </c>
      <c r="O1972" s="29">
        <f>IF(J1972="","",J1972-N(N1972))</f>
        <v/>
      </c>
      <c r="P1972" s="27">
        <f>IF(A1972="","",MONTH(A1972))</f>
        <v/>
      </c>
      <c r="Q1972" s="27">
        <f>IF(A1972="","",YEAR(A1972))</f>
        <v/>
      </c>
      <c r="R1972" s="27">
        <f>IF(L1972="","",IF(L1972&gt;Config!$B$8,"A cair",IF(N(G1972)&gt;=MIN(MAX(1,N(E1972)),MAX(0,INT((Config!$B$8-L1972)/30)+1)),IF(N(G1972)&gt;=MAX(1,N(E1972)),"Conferido","Conferido até aqui"),"A conferir")))</f>
        <v/>
      </c>
      <c r="S1972" s="51">
        <f>IF(R1972="A conferir",(Config!$B$8-L1972)*1000+N(F1972)/1000+ROW()/100000,0)</f>
        <v>0</v>
      </c>
      <c r="T1972" s="51">
        <f>IF(R1972="A conferir",N(N1972),0)</f>
        <v>0</v>
      </c>
      <c r="U1972" s="51">
        <f>IF(L1972="",0,L1972)</f>
        <v>0</v>
      </c>
      <c r="V1972" s="51">
        <f>IF(L1972="",0,MAX(1,N(E1972)))</f>
        <v>0</v>
      </c>
      <c r="W1972" s="51">
        <f>IF(K1972="",0,K1972)</f>
        <v>0</v>
      </c>
    </row>
    <row r="1973">
      <c r="A1973" s="49" t="n"/>
      <c r="B1973" s="41" t="n"/>
      <c r="C1973" s="41" t="n"/>
      <c r="D1973" s="42" t="n"/>
      <c r="E1973" s="42" t="n"/>
      <c r="F1973" s="50" t="n"/>
      <c r="G1973" s="42" t="n"/>
      <c r="H1973" s="30">
        <f>IF(D1973="","",IFERROR(INDEX(Config!$B$12:$B$15,MATCH(IF(AND(D1973="Cartão de crédito",N(E1973)&gt;1),"Cartão de crédito parcelado",D1973),Config!$A$12:$A$15,0)),0)+IF(AND(Config!$B$17="Sim",LEFT(D1973,17)="Cartão de crédito"),Config!$B$18*IFERROR(INDEX(Config!$C$12:$C$15,MATCH(IF(AND(D1973="Cartão de crédito",N(E1973)&gt;1),"Cartão de crédito parcelado",D1973),Config!$A$12:$A$15,0)),0)/30*MAX(1,N(E1973)),0))</f>
        <v/>
      </c>
      <c r="I1973" s="29">
        <f>IF(OR(D1973="",F1973=""),"",ROUND(F1973*H1973,2))</f>
        <v/>
      </c>
      <c r="J1973" s="29">
        <f>IF(I1973="","",F1973-I1973)</f>
        <v/>
      </c>
      <c r="K1973" s="29">
        <f>IF(J1973="","",J1973/MAX(1,N(E1973)))</f>
        <v/>
      </c>
      <c r="L1973" s="37">
        <f>IF(OR(D1973="",A1973=""),"",A1973+IF(AND(Config!$B$17="Sim",LEFT(D1973,17)="Cartão de crédito"),1,IFERROR(INDEX(Config!$C$12:$C$15,MATCH(IF(AND(D1973="Cartão de crédito",N(E1973)&gt;1),"Cartão de crédito parcelado",D1973),Config!$A$12:$A$15,0)),0)))</f>
        <v/>
      </c>
      <c r="M1973" s="37">
        <f>IF(L1973="","",IF(AND(Config!$B$17="Sim",LEFT(D1973,17)="Cartão de crédito"),L1973,L1973+30*(MAX(1,N(E1973))-1)))</f>
        <v/>
      </c>
      <c r="N1973" s="29">
        <f>IF(OR(L1973="",K1973=""),"",K1973*MIN(MAX(1,N(E1973)),MAX(0,INT((Config!$B$8-L1973)/30)+1)))</f>
        <v/>
      </c>
      <c r="O1973" s="29">
        <f>IF(J1973="","",J1973-N(N1973))</f>
        <v/>
      </c>
      <c r="P1973" s="27">
        <f>IF(A1973="","",MONTH(A1973))</f>
        <v/>
      </c>
      <c r="Q1973" s="27">
        <f>IF(A1973="","",YEAR(A1973))</f>
        <v/>
      </c>
      <c r="R1973" s="27">
        <f>IF(L1973="","",IF(L1973&gt;Config!$B$8,"A cair",IF(N(G1973)&gt;=MIN(MAX(1,N(E1973)),MAX(0,INT((Config!$B$8-L1973)/30)+1)),IF(N(G1973)&gt;=MAX(1,N(E1973)),"Conferido","Conferido até aqui"),"A conferir")))</f>
        <v/>
      </c>
      <c r="S1973" s="51">
        <f>IF(R1973="A conferir",(Config!$B$8-L1973)*1000+N(F1973)/1000+ROW()/100000,0)</f>
        <v>0</v>
      </c>
      <c r="T1973" s="51">
        <f>IF(R1973="A conferir",N(N1973),0)</f>
        <v>0</v>
      </c>
      <c r="U1973" s="51">
        <f>IF(L1973="",0,L1973)</f>
        <v>0</v>
      </c>
      <c r="V1973" s="51">
        <f>IF(L1973="",0,MAX(1,N(E1973)))</f>
        <v>0</v>
      </c>
      <c r="W1973" s="51">
        <f>IF(K1973="",0,K1973)</f>
        <v>0</v>
      </c>
    </row>
    <row r="1974">
      <c r="A1974" s="49" t="n"/>
      <c r="B1974" s="41" t="n"/>
      <c r="C1974" s="41" t="n"/>
      <c r="D1974" s="42" t="n"/>
      <c r="E1974" s="42" t="n"/>
      <c r="F1974" s="50" t="n"/>
      <c r="G1974" s="42" t="n"/>
      <c r="H1974" s="30">
        <f>IF(D1974="","",IFERROR(INDEX(Config!$B$12:$B$15,MATCH(IF(AND(D1974="Cartão de crédito",N(E1974)&gt;1),"Cartão de crédito parcelado",D1974),Config!$A$12:$A$15,0)),0)+IF(AND(Config!$B$17="Sim",LEFT(D1974,17)="Cartão de crédito"),Config!$B$18*IFERROR(INDEX(Config!$C$12:$C$15,MATCH(IF(AND(D1974="Cartão de crédito",N(E1974)&gt;1),"Cartão de crédito parcelado",D1974),Config!$A$12:$A$15,0)),0)/30*MAX(1,N(E1974)),0))</f>
        <v/>
      </c>
      <c r="I1974" s="29">
        <f>IF(OR(D1974="",F1974=""),"",ROUND(F1974*H1974,2))</f>
        <v/>
      </c>
      <c r="J1974" s="29">
        <f>IF(I1974="","",F1974-I1974)</f>
        <v/>
      </c>
      <c r="K1974" s="29">
        <f>IF(J1974="","",J1974/MAX(1,N(E1974)))</f>
        <v/>
      </c>
      <c r="L1974" s="37">
        <f>IF(OR(D1974="",A1974=""),"",A1974+IF(AND(Config!$B$17="Sim",LEFT(D1974,17)="Cartão de crédito"),1,IFERROR(INDEX(Config!$C$12:$C$15,MATCH(IF(AND(D1974="Cartão de crédito",N(E1974)&gt;1),"Cartão de crédito parcelado",D1974),Config!$A$12:$A$15,0)),0)))</f>
        <v/>
      </c>
      <c r="M1974" s="37">
        <f>IF(L1974="","",IF(AND(Config!$B$17="Sim",LEFT(D1974,17)="Cartão de crédito"),L1974,L1974+30*(MAX(1,N(E1974))-1)))</f>
        <v/>
      </c>
      <c r="N1974" s="29">
        <f>IF(OR(L1974="",K1974=""),"",K1974*MIN(MAX(1,N(E1974)),MAX(0,INT((Config!$B$8-L1974)/30)+1)))</f>
        <v/>
      </c>
      <c r="O1974" s="29">
        <f>IF(J1974="","",J1974-N(N1974))</f>
        <v/>
      </c>
      <c r="P1974" s="27">
        <f>IF(A1974="","",MONTH(A1974))</f>
        <v/>
      </c>
      <c r="Q1974" s="27">
        <f>IF(A1974="","",YEAR(A1974))</f>
        <v/>
      </c>
      <c r="R1974" s="27">
        <f>IF(L1974="","",IF(L1974&gt;Config!$B$8,"A cair",IF(N(G1974)&gt;=MIN(MAX(1,N(E1974)),MAX(0,INT((Config!$B$8-L1974)/30)+1)),IF(N(G1974)&gt;=MAX(1,N(E1974)),"Conferido","Conferido até aqui"),"A conferir")))</f>
        <v/>
      </c>
      <c r="S1974" s="51">
        <f>IF(R1974="A conferir",(Config!$B$8-L1974)*1000+N(F1974)/1000+ROW()/100000,0)</f>
        <v>0</v>
      </c>
      <c r="T1974" s="51">
        <f>IF(R1974="A conferir",N(N1974),0)</f>
        <v>0</v>
      </c>
      <c r="U1974" s="51">
        <f>IF(L1974="",0,L1974)</f>
        <v>0</v>
      </c>
      <c r="V1974" s="51">
        <f>IF(L1974="",0,MAX(1,N(E1974)))</f>
        <v>0</v>
      </c>
      <c r="W1974" s="51">
        <f>IF(K1974="",0,K1974)</f>
        <v>0</v>
      </c>
    </row>
    <row r="1975">
      <c r="A1975" s="49" t="n"/>
      <c r="B1975" s="41" t="n"/>
      <c r="C1975" s="41" t="n"/>
      <c r="D1975" s="42" t="n"/>
      <c r="E1975" s="42" t="n"/>
      <c r="F1975" s="50" t="n"/>
      <c r="G1975" s="42" t="n"/>
      <c r="H1975" s="30">
        <f>IF(D1975="","",IFERROR(INDEX(Config!$B$12:$B$15,MATCH(IF(AND(D1975="Cartão de crédito",N(E1975)&gt;1),"Cartão de crédito parcelado",D1975),Config!$A$12:$A$15,0)),0)+IF(AND(Config!$B$17="Sim",LEFT(D1975,17)="Cartão de crédito"),Config!$B$18*IFERROR(INDEX(Config!$C$12:$C$15,MATCH(IF(AND(D1975="Cartão de crédito",N(E1975)&gt;1),"Cartão de crédito parcelado",D1975),Config!$A$12:$A$15,0)),0)/30*MAX(1,N(E1975)),0))</f>
        <v/>
      </c>
      <c r="I1975" s="29">
        <f>IF(OR(D1975="",F1975=""),"",ROUND(F1975*H1975,2))</f>
        <v/>
      </c>
      <c r="J1975" s="29">
        <f>IF(I1975="","",F1975-I1975)</f>
        <v/>
      </c>
      <c r="K1975" s="29">
        <f>IF(J1975="","",J1975/MAX(1,N(E1975)))</f>
        <v/>
      </c>
      <c r="L1975" s="37">
        <f>IF(OR(D1975="",A1975=""),"",A1975+IF(AND(Config!$B$17="Sim",LEFT(D1975,17)="Cartão de crédito"),1,IFERROR(INDEX(Config!$C$12:$C$15,MATCH(IF(AND(D1975="Cartão de crédito",N(E1975)&gt;1),"Cartão de crédito parcelado",D1975),Config!$A$12:$A$15,0)),0)))</f>
        <v/>
      </c>
      <c r="M1975" s="37">
        <f>IF(L1975="","",IF(AND(Config!$B$17="Sim",LEFT(D1975,17)="Cartão de crédito"),L1975,L1975+30*(MAX(1,N(E1975))-1)))</f>
        <v/>
      </c>
      <c r="N1975" s="29">
        <f>IF(OR(L1975="",K1975=""),"",K1975*MIN(MAX(1,N(E1975)),MAX(0,INT((Config!$B$8-L1975)/30)+1)))</f>
        <v/>
      </c>
      <c r="O1975" s="29">
        <f>IF(J1975="","",J1975-N(N1975))</f>
        <v/>
      </c>
      <c r="P1975" s="27">
        <f>IF(A1975="","",MONTH(A1975))</f>
        <v/>
      </c>
      <c r="Q1975" s="27">
        <f>IF(A1975="","",YEAR(A1975))</f>
        <v/>
      </c>
      <c r="R1975" s="27">
        <f>IF(L1975="","",IF(L1975&gt;Config!$B$8,"A cair",IF(N(G1975)&gt;=MIN(MAX(1,N(E1975)),MAX(0,INT((Config!$B$8-L1975)/30)+1)),IF(N(G1975)&gt;=MAX(1,N(E1975)),"Conferido","Conferido até aqui"),"A conferir")))</f>
        <v/>
      </c>
      <c r="S1975" s="51">
        <f>IF(R1975="A conferir",(Config!$B$8-L1975)*1000+N(F1975)/1000+ROW()/100000,0)</f>
        <v>0</v>
      </c>
      <c r="T1975" s="51">
        <f>IF(R1975="A conferir",N(N1975),0)</f>
        <v>0</v>
      </c>
      <c r="U1975" s="51">
        <f>IF(L1975="",0,L1975)</f>
        <v>0</v>
      </c>
      <c r="V1975" s="51">
        <f>IF(L1975="",0,MAX(1,N(E1975)))</f>
        <v>0</v>
      </c>
      <c r="W1975" s="51">
        <f>IF(K1975="",0,K1975)</f>
        <v>0</v>
      </c>
    </row>
    <row r="1976">
      <c r="A1976" s="49" t="n"/>
      <c r="B1976" s="41" t="n"/>
      <c r="C1976" s="41" t="n"/>
      <c r="D1976" s="42" t="n"/>
      <c r="E1976" s="42" t="n"/>
      <c r="F1976" s="50" t="n"/>
      <c r="G1976" s="42" t="n"/>
      <c r="H1976" s="30">
        <f>IF(D1976="","",IFERROR(INDEX(Config!$B$12:$B$15,MATCH(IF(AND(D1976="Cartão de crédito",N(E1976)&gt;1),"Cartão de crédito parcelado",D1976),Config!$A$12:$A$15,0)),0)+IF(AND(Config!$B$17="Sim",LEFT(D1976,17)="Cartão de crédito"),Config!$B$18*IFERROR(INDEX(Config!$C$12:$C$15,MATCH(IF(AND(D1976="Cartão de crédito",N(E1976)&gt;1),"Cartão de crédito parcelado",D1976),Config!$A$12:$A$15,0)),0)/30*MAX(1,N(E1976)),0))</f>
        <v/>
      </c>
      <c r="I1976" s="29">
        <f>IF(OR(D1976="",F1976=""),"",ROUND(F1976*H1976,2))</f>
        <v/>
      </c>
      <c r="J1976" s="29">
        <f>IF(I1976="","",F1976-I1976)</f>
        <v/>
      </c>
      <c r="K1976" s="29">
        <f>IF(J1976="","",J1976/MAX(1,N(E1976)))</f>
        <v/>
      </c>
      <c r="L1976" s="37">
        <f>IF(OR(D1976="",A1976=""),"",A1976+IF(AND(Config!$B$17="Sim",LEFT(D1976,17)="Cartão de crédito"),1,IFERROR(INDEX(Config!$C$12:$C$15,MATCH(IF(AND(D1976="Cartão de crédito",N(E1976)&gt;1),"Cartão de crédito parcelado",D1976),Config!$A$12:$A$15,0)),0)))</f>
        <v/>
      </c>
      <c r="M1976" s="37">
        <f>IF(L1976="","",IF(AND(Config!$B$17="Sim",LEFT(D1976,17)="Cartão de crédito"),L1976,L1976+30*(MAX(1,N(E1976))-1)))</f>
        <v/>
      </c>
      <c r="N1976" s="29">
        <f>IF(OR(L1976="",K1976=""),"",K1976*MIN(MAX(1,N(E1976)),MAX(0,INT((Config!$B$8-L1976)/30)+1)))</f>
        <v/>
      </c>
      <c r="O1976" s="29">
        <f>IF(J1976="","",J1976-N(N1976))</f>
        <v/>
      </c>
      <c r="P1976" s="27">
        <f>IF(A1976="","",MONTH(A1976))</f>
        <v/>
      </c>
      <c r="Q1976" s="27">
        <f>IF(A1976="","",YEAR(A1976))</f>
        <v/>
      </c>
      <c r="R1976" s="27">
        <f>IF(L1976="","",IF(L1976&gt;Config!$B$8,"A cair",IF(N(G1976)&gt;=MIN(MAX(1,N(E1976)),MAX(0,INT((Config!$B$8-L1976)/30)+1)),IF(N(G1976)&gt;=MAX(1,N(E1976)),"Conferido","Conferido até aqui"),"A conferir")))</f>
        <v/>
      </c>
      <c r="S1976" s="51">
        <f>IF(R1976="A conferir",(Config!$B$8-L1976)*1000+N(F1976)/1000+ROW()/100000,0)</f>
        <v>0</v>
      </c>
      <c r="T1976" s="51">
        <f>IF(R1976="A conferir",N(N1976),0)</f>
        <v>0</v>
      </c>
      <c r="U1976" s="51">
        <f>IF(L1976="",0,L1976)</f>
        <v>0</v>
      </c>
      <c r="V1976" s="51">
        <f>IF(L1976="",0,MAX(1,N(E1976)))</f>
        <v>0</v>
      </c>
      <c r="W1976" s="51">
        <f>IF(K1976="",0,K1976)</f>
        <v>0</v>
      </c>
    </row>
    <row r="1977">
      <c r="A1977" s="49" t="n"/>
      <c r="B1977" s="41" t="n"/>
      <c r="C1977" s="41" t="n"/>
      <c r="D1977" s="42" t="n"/>
      <c r="E1977" s="42" t="n"/>
      <c r="F1977" s="50" t="n"/>
      <c r="G1977" s="42" t="n"/>
      <c r="H1977" s="30">
        <f>IF(D1977="","",IFERROR(INDEX(Config!$B$12:$B$15,MATCH(IF(AND(D1977="Cartão de crédito",N(E1977)&gt;1),"Cartão de crédito parcelado",D1977),Config!$A$12:$A$15,0)),0)+IF(AND(Config!$B$17="Sim",LEFT(D1977,17)="Cartão de crédito"),Config!$B$18*IFERROR(INDEX(Config!$C$12:$C$15,MATCH(IF(AND(D1977="Cartão de crédito",N(E1977)&gt;1),"Cartão de crédito parcelado",D1977),Config!$A$12:$A$15,0)),0)/30*MAX(1,N(E1977)),0))</f>
        <v/>
      </c>
      <c r="I1977" s="29">
        <f>IF(OR(D1977="",F1977=""),"",ROUND(F1977*H1977,2))</f>
        <v/>
      </c>
      <c r="J1977" s="29">
        <f>IF(I1977="","",F1977-I1977)</f>
        <v/>
      </c>
      <c r="K1977" s="29">
        <f>IF(J1977="","",J1977/MAX(1,N(E1977)))</f>
        <v/>
      </c>
      <c r="L1977" s="37">
        <f>IF(OR(D1977="",A1977=""),"",A1977+IF(AND(Config!$B$17="Sim",LEFT(D1977,17)="Cartão de crédito"),1,IFERROR(INDEX(Config!$C$12:$C$15,MATCH(IF(AND(D1977="Cartão de crédito",N(E1977)&gt;1),"Cartão de crédito parcelado",D1977),Config!$A$12:$A$15,0)),0)))</f>
        <v/>
      </c>
      <c r="M1977" s="37">
        <f>IF(L1977="","",IF(AND(Config!$B$17="Sim",LEFT(D1977,17)="Cartão de crédito"),L1977,L1977+30*(MAX(1,N(E1977))-1)))</f>
        <v/>
      </c>
      <c r="N1977" s="29">
        <f>IF(OR(L1977="",K1977=""),"",K1977*MIN(MAX(1,N(E1977)),MAX(0,INT((Config!$B$8-L1977)/30)+1)))</f>
        <v/>
      </c>
      <c r="O1977" s="29">
        <f>IF(J1977="","",J1977-N(N1977))</f>
        <v/>
      </c>
      <c r="P1977" s="27">
        <f>IF(A1977="","",MONTH(A1977))</f>
        <v/>
      </c>
      <c r="Q1977" s="27">
        <f>IF(A1977="","",YEAR(A1977))</f>
        <v/>
      </c>
      <c r="R1977" s="27">
        <f>IF(L1977="","",IF(L1977&gt;Config!$B$8,"A cair",IF(N(G1977)&gt;=MIN(MAX(1,N(E1977)),MAX(0,INT((Config!$B$8-L1977)/30)+1)),IF(N(G1977)&gt;=MAX(1,N(E1977)),"Conferido","Conferido até aqui"),"A conferir")))</f>
        <v/>
      </c>
      <c r="S1977" s="51">
        <f>IF(R1977="A conferir",(Config!$B$8-L1977)*1000+N(F1977)/1000+ROW()/100000,0)</f>
        <v>0</v>
      </c>
      <c r="T1977" s="51">
        <f>IF(R1977="A conferir",N(N1977),0)</f>
        <v>0</v>
      </c>
      <c r="U1977" s="51">
        <f>IF(L1977="",0,L1977)</f>
        <v>0</v>
      </c>
      <c r="V1977" s="51">
        <f>IF(L1977="",0,MAX(1,N(E1977)))</f>
        <v>0</v>
      </c>
      <c r="W1977" s="51">
        <f>IF(K1977="",0,K1977)</f>
        <v>0</v>
      </c>
    </row>
    <row r="1978">
      <c r="A1978" s="49" t="n"/>
      <c r="B1978" s="41" t="n"/>
      <c r="C1978" s="41" t="n"/>
      <c r="D1978" s="42" t="n"/>
      <c r="E1978" s="42" t="n"/>
      <c r="F1978" s="50" t="n"/>
      <c r="G1978" s="42" t="n"/>
      <c r="H1978" s="30">
        <f>IF(D1978="","",IFERROR(INDEX(Config!$B$12:$B$15,MATCH(IF(AND(D1978="Cartão de crédito",N(E1978)&gt;1),"Cartão de crédito parcelado",D1978),Config!$A$12:$A$15,0)),0)+IF(AND(Config!$B$17="Sim",LEFT(D1978,17)="Cartão de crédito"),Config!$B$18*IFERROR(INDEX(Config!$C$12:$C$15,MATCH(IF(AND(D1978="Cartão de crédito",N(E1978)&gt;1),"Cartão de crédito parcelado",D1978),Config!$A$12:$A$15,0)),0)/30*MAX(1,N(E1978)),0))</f>
        <v/>
      </c>
      <c r="I1978" s="29">
        <f>IF(OR(D1978="",F1978=""),"",ROUND(F1978*H1978,2))</f>
        <v/>
      </c>
      <c r="J1978" s="29">
        <f>IF(I1978="","",F1978-I1978)</f>
        <v/>
      </c>
      <c r="K1978" s="29">
        <f>IF(J1978="","",J1978/MAX(1,N(E1978)))</f>
        <v/>
      </c>
      <c r="L1978" s="37">
        <f>IF(OR(D1978="",A1978=""),"",A1978+IF(AND(Config!$B$17="Sim",LEFT(D1978,17)="Cartão de crédito"),1,IFERROR(INDEX(Config!$C$12:$C$15,MATCH(IF(AND(D1978="Cartão de crédito",N(E1978)&gt;1),"Cartão de crédito parcelado",D1978),Config!$A$12:$A$15,0)),0)))</f>
        <v/>
      </c>
      <c r="M1978" s="37">
        <f>IF(L1978="","",IF(AND(Config!$B$17="Sim",LEFT(D1978,17)="Cartão de crédito"),L1978,L1978+30*(MAX(1,N(E1978))-1)))</f>
        <v/>
      </c>
      <c r="N1978" s="29">
        <f>IF(OR(L1978="",K1978=""),"",K1978*MIN(MAX(1,N(E1978)),MAX(0,INT((Config!$B$8-L1978)/30)+1)))</f>
        <v/>
      </c>
      <c r="O1978" s="29">
        <f>IF(J1978="","",J1978-N(N1978))</f>
        <v/>
      </c>
      <c r="P1978" s="27">
        <f>IF(A1978="","",MONTH(A1978))</f>
        <v/>
      </c>
      <c r="Q1978" s="27">
        <f>IF(A1978="","",YEAR(A1978))</f>
        <v/>
      </c>
      <c r="R1978" s="27">
        <f>IF(L1978="","",IF(L1978&gt;Config!$B$8,"A cair",IF(N(G1978)&gt;=MIN(MAX(1,N(E1978)),MAX(0,INT((Config!$B$8-L1978)/30)+1)),IF(N(G1978)&gt;=MAX(1,N(E1978)),"Conferido","Conferido até aqui"),"A conferir")))</f>
        <v/>
      </c>
      <c r="S1978" s="51">
        <f>IF(R1978="A conferir",(Config!$B$8-L1978)*1000+N(F1978)/1000+ROW()/100000,0)</f>
        <v>0</v>
      </c>
      <c r="T1978" s="51">
        <f>IF(R1978="A conferir",N(N1978),0)</f>
        <v>0</v>
      </c>
      <c r="U1978" s="51">
        <f>IF(L1978="",0,L1978)</f>
        <v>0</v>
      </c>
      <c r="V1978" s="51">
        <f>IF(L1978="",0,MAX(1,N(E1978)))</f>
        <v>0</v>
      </c>
      <c r="W1978" s="51">
        <f>IF(K1978="",0,K1978)</f>
        <v>0</v>
      </c>
    </row>
    <row r="1979">
      <c r="A1979" s="49" t="n"/>
      <c r="B1979" s="41" t="n"/>
      <c r="C1979" s="41" t="n"/>
      <c r="D1979" s="42" t="n"/>
      <c r="E1979" s="42" t="n"/>
      <c r="F1979" s="50" t="n"/>
      <c r="G1979" s="42" t="n"/>
      <c r="H1979" s="30">
        <f>IF(D1979="","",IFERROR(INDEX(Config!$B$12:$B$15,MATCH(IF(AND(D1979="Cartão de crédito",N(E1979)&gt;1),"Cartão de crédito parcelado",D1979),Config!$A$12:$A$15,0)),0)+IF(AND(Config!$B$17="Sim",LEFT(D1979,17)="Cartão de crédito"),Config!$B$18*IFERROR(INDEX(Config!$C$12:$C$15,MATCH(IF(AND(D1979="Cartão de crédito",N(E1979)&gt;1),"Cartão de crédito parcelado",D1979),Config!$A$12:$A$15,0)),0)/30*MAX(1,N(E1979)),0))</f>
        <v/>
      </c>
      <c r="I1979" s="29">
        <f>IF(OR(D1979="",F1979=""),"",ROUND(F1979*H1979,2))</f>
        <v/>
      </c>
      <c r="J1979" s="29">
        <f>IF(I1979="","",F1979-I1979)</f>
        <v/>
      </c>
      <c r="K1979" s="29">
        <f>IF(J1979="","",J1979/MAX(1,N(E1979)))</f>
        <v/>
      </c>
      <c r="L1979" s="37">
        <f>IF(OR(D1979="",A1979=""),"",A1979+IF(AND(Config!$B$17="Sim",LEFT(D1979,17)="Cartão de crédito"),1,IFERROR(INDEX(Config!$C$12:$C$15,MATCH(IF(AND(D1979="Cartão de crédito",N(E1979)&gt;1),"Cartão de crédito parcelado",D1979),Config!$A$12:$A$15,0)),0)))</f>
        <v/>
      </c>
      <c r="M1979" s="37">
        <f>IF(L1979="","",IF(AND(Config!$B$17="Sim",LEFT(D1979,17)="Cartão de crédito"),L1979,L1979+30*(MAX(1,N(E1979))-1)))</f>
        <v/>
      </c>
      <c r="N1979" s="29">
        <f>IF(OR(L1979="",K1979=""),"",K1979*MIN(MAX(1,N(E1979)),MAX(0,INT((Config!$B$8-L1979)/30)+1)))</f>
        <v/>
      </c>
      <c r="O1979" s="29">
        <f>IF(J1979="","",J1979-N(N1979))</f>
        <v/>
      </c>
      <c r="P1979" s="27">
        <f>IF(A1979="","",MONTH(A1979))</f>
        <v/>
      </c>
      <c r="Q1979" s="27">
        <f>IF(A1979="","",YEAR(A1979))</f>
        <v/>
      </c>
      <c r="R1979" s="27">
        <f>IF(L1979="","",IF(L1979&gt;Config!$B$8,"A cair",IF(N(G1979)&gt;=MIN(MAX(1,N(E1979)),MAX(0,INT((Config!$B$8-L1979)/30)+1)),IF(N(G1979)&gt;=MAX(1,N(E1979)),"Conferido","Conferido até aqui"),"A conferir")))</f>
        <v/>
      </c>
      <c r="S1979" s="51">
        <f>IF(R1979="A conferir",(Config!$B$8-L1979)*1000+N(F1979)/1000+ROW()/100000,0)</f>
        <v>0</v>
      </c>
      <c r="T1979" s="51">
        <f>IF(R1979="A conferir",N(N1979),0)</f>
        <v>0</v>
      </c>
      <c r="U1979" s="51">
        <f>IF(L1979="",0,L1979)</f>
        <v>0</v>
      </c>
      <c r="V1979" s="51">
        <f>IF(L1979="",0,MAX(1,N(E1979)))</f>
        <v>0</v>
      </c>
      <c r="W1979" s="51">
        <f>IF(K1979="",0,K1979)</f>
        <v>0</v>
      </c>
    </row>
    <row r="1980">
      <c r="A1980" s="49" t="n"/>
      <c r="B1980" s="41" t="n"/>
      <c r="C1980" s="41" t="n"/>
      <c r="D1980" s="42" t="n"/>
      <c r="E1980" s="42" t="n"/>
      <c r="F1980" s="50" t="n"/>
      <c r="G1980" s="42" t="n"/>
      <c r="H1980" s="30">
        <f>IF(D1980="","",IFERROR(INDEX(Config!$B$12:$B$15,MATCH(IF(AND(D1980="Cartão de crédito",N(E1980)&gt;1),"Cartão de crédito parcelado",D1980),Config!$A$12:$A$15,0)),0)+IF(AND(Config!$B$17="Sim",LEFT(D1980,17)="Cartão de crédito"),Config!$B$18*IFERROR(INDEX(Config!$C$12:$C$15,MATCH(IF(AND(D1980="Cartão de crédito",N(E1980)&gt;1),"Cartão de crédito parcelado",D1980),Config!$A$12:$A$15,0)),0)/30*MAX(1,N(E1980)),0))</f>
        <v/>
      </c>
      <c r="I1980" s="29">
        <f>IF(OR(D1980="",F1980=""),"",ROUND(F1980*H1980,2))</f>
        <v/>
      </c>
      <c r="J1980" s="29">
        <f>IF(I1980="","",F1980-I1980)</f>
        <v/>
      </c>
      <c r="K1980" s="29">
        <f>IF(J1980="","",J1980/MAX(1,N(E1980)))</f>
        <v/>
      </c>
      <c r="L1980" s="37">
        <f>IF(OR(D1980="",A1980=""),"",A1980+IF(AND(Config!$B$17="Sim",LEFT(D1980,17)="Cartão de crédito"),1,IFERROR(INDEX(Config!$C$12:$C$15,MATCH(IF(AND(D1980="Cartão de crédito",N(E1980)&gt;1),"Cartão de crédito parcelado",D1980),Config!$A$12:$A$15,0)),0)))</f>
        <v/>
      </c>
      <c r="M1980" s="37">
        <f>IF(L1980="","",IF(AND(Config!$B$17="Sim",LEFT(D1980,17)="Cartão de crédito"),L1980,L1980+30*(MAX(1,N(E1980))-1)))</f>
        <v/>
      </c>
      <c r="N1980" s="29">
        <f>IF(OR(L1980="",K1980=""),"",K1980*MIN(MAX(1,N(E1980)),MAX(0,INT((Config!$B$8-L1980)/30)+1)))</f>
        <v/>
      </c>
      <c r="O1980" s="29">
        <f>IF(J1980="","",J1980-N(N1980))</f>
        <v/>
      </c>
      <c r="P1980" s="27">
        <f>IF(A1980="","",MONTH(A1980))</f>
        <v/>
      </c>
      <c r="Q1980" s="27">
        <f>IF(A1980="","",YEAR(A1980))</f>
        <v/>
      </c>
      <c r="R1980" s="27">
        <f>IF(L1980="","",IF(L1980&gt;Config!$B$8,"A cair",IF(N(G1980)&gt;=MIN(MAX(1,N(E1980)),MAX(0,INT((Config!$B$8-L1980)/30)+1)),IF(N(G1980)&gt;=MAX(1,N(E1980)),"Conferido","Conferido até aqui"),"A conferir")))</f>
        <v/>
      </c>
      <c r="S1980" s="51">
        <f>IF(R1980="A conferir",(Config!$B$8-L1980)*1000+N(F1980)/1000+ROW()/100000,0)</f>
        <v>0</v>
      </c>
      <c r="T1980" s="51">
        <f>IF(R1980="A conferir",N(N1980),0)</f>
        <v>0</v>
      </c>
      <c r="U1980" s="51">
        <f>IF(L1980="",0,L1980)</f>
        <v>0</v>
      </c>
      <c r="V1980" s="51">
        <f>IF(L1980="",0,MAX(1,N(E1980)))</f>
        <v>0</v>
      </c>
      <c r="W1980" s="51">
        <f>IF(K1980="",0,K1980)</f>
        <v>0</v>
      </c>
    </row>
    <row r="1981">
      <c r="A1981" s="49" t="n"/>
      <c r="B1981" s="41" t="n"/>
      <c r="C1981" s="41" t="n"/>
      <c r="D1981" s="42" t="n"/>
      <c r="E1981" s="42" t="n"/>
      <c r="F1981" s="50" t="n"/>
      <c r="G1981" s="42" t="n"/>
      <c r="H1981" s="30">
        <f>IF(D1981="","",IFERROR(INDEX(Config!$B$12:$B$15,MATCH(IF(AND(D1981="Cartão de crédito",N(E1981)&gt;1),"Cartão de crédito parcelado",D1981),Config!$A$12:$A$15,0)),0)+IF(AND(Config!$B$17="Sim",LEFT(D1981,17)="Cartão de crédito"),Config!$B$18*IFERROR(INDEX(Config!$C$12:$C$15,MATCH(IF(AND(D1981="Cartão de crédito",N(E1981)&gt;1),"Cartão de crédito parcelado",D1981),Config!$A$12:$A$15,0)),0)/30*MAX(1,N(E1981)),0))</f>
        <v/>
      </c>
      <c r="I1981" s="29">
        <f>IF(OR(D1981="",F1981=""),"",ROUND(F1981*H1981,2))</f>
        <v/>
      </c>
      <c r="J1981" s="29">
        <f>IF(I1981="","",F1981-I1981)</f>
        <v/>
      </c>
      <c r="K1981" s="29">
        <f>IF(J1981="","",J1981/MAX(1,N(E1981)))</f>
        <v/>
      </c>
      <c r="L1981" s="37">
        <f>IF(OR(D1981="",A1981=""),"",A1981+IF(AND(Config!$B$17="Sim",LEFT(D1981,17)="Cartão de crédito"),1,IFERROR(INDEX(Config!$C$12:$C$15,MATCH(IF(AND(D1981="Cartão de crédito",N(E1981)&gt;1),"Cartão de crédito parcelado",D1981),Config!$A$12:$A$15,0)),0)))</f>
        <v/>
      </c>
      <c r="M1981" s="37">
        <f>IF(L1981="","",IF(AND(Config!$B$17="Sim",LEFT(D1981,17)="Cartão de crédito"),L1981,L1981+30*(MAX(1,N(E1981))-1)))</f>
        <v/>
      </c>
      <c r="N1981" s="29">
        <f>IF(OR(L1981="",K1981=""),"",K1981*MIN(MAX(1,N(E1981)),MAX(0,INT((Config!$B$8-L1981)/30)+1)))</f>
        <v/>
      </c>
      <c r="O1981" s="29">
        <f>IF(J1981="","",J1981-N(N1981))</f>
        <v/>
      </c>
      <c r="P1981" s="27">
        <f>IF(A1981="","",MONTH(A1981))</f>
        <v/>
      </c>
      <c r="Q1981" s="27">
        <f>IF(A1981="","",YEAR(A1981))</f>
        <v/>
      </c>
      <c r="R1981" s="27">
        <f>IF(L1981="","",IF(L1981&gt;Config!$B$8,"A cair",IF(N(G1981)&gt;=MIN(MAX(1,N(E1981)),MAX(0,INT((Config!$B$8-L1981)/30)+1)),IF(N(G1981)&gt;=MAX(1,N(E1981)),"Conferido","Conferido até aqui"),"A conferir")))</f>
        <v/>
      </c>
      <c r="S1981" s="51">
        <f>IF(R1981="A conferir",(Config!$B$8-L1981)*1000+N(F1981)/1000+ROW()/100000,0)</f>
        <v>0</v>
      </c>
      <c r="T1981" s="51">
        <f>IF(R1981="A conferir",N(N1981),0)</f>
        <v>0</v>
      </c>
      <c r="U1981" s="51">
        <f>IF(L1981="",0,L1981)</f>
        <v>0</v>
      </c>
      <c r="V1981" s="51">
        <f>IF(L1981="",0,MAX(1,N(E1981)))</f>
        <v>0</v>
      </c>
      <c r="W1981" s="51">
        <f>IF(K1981="",0,K1981)</f>
        <v>0</v>
      </c>
    </row>
    <row r="1982">
      <c r="A1982" s="49" t="n"/>
      <c r="B1982" s="41" t="n"/>
      <c r="C1982" s="41" t="n"/>
      <c r="D1982" s="42" t="n"/>
      <c r="E1982" s="42" t="n"/>
      <c r="F1982" s="50" t="n"/>
      <c r="G1982" s="42" t="n"/>
      <c r="H1982" s="30">
        <f>IF(D1982="","",IFERROR(INDEX(Config!$B$12:$B$15,MATCH(IF(AND(D1982="Cartão de crédito",N(E1982)&gt;1),"Cartão de crédito parcelado",D1982),Config!$A$12:$A$15,0)),0)+IF(AND(Config!$B$17="Sim",LEFT(D1982,17)="Cartão de crédito"),Config!$B$18*IFERROR(INDEX(Config!$C$12:$C$15,MATCH(IF(AND(D1982="Cartão de crédito",N(E1982)&gt;1),"Cartão de crédito parcelado",D1982),Config!$A$12:$A$15,0)),0)/30*MAX(1,N(E1982)),0))</f>
        <v/>
      </c>
      <c r="I1982" s="29">
        <f>IF(OR(D1982="",F1982=""),"",ROUND(F1982*H1982,2))</f>
        <v/>
      </c>
      <c r="J1982" s="29">
        <f>IF(I1982="","",F1982-I1982)</f>
        <v/>
      </c>
      <c r="K1982" s="29">
        <f>IF(J1982="","",J1982/MAX(1,N(E1982)))</f>
        <v/>
      </c>
      <c r="L1982" s="37">
        <f>IF(OR(D1982="",A1982=""),"",A1982+IF(AND(Config!$B$17="Sim",LEFT(D1982,17)="Cartão de crédito"),1,IFERROR(INDEX(Config!$C$12:$C$15,MATCH(IF(AND(D1982="Cartão de crédito",N(E1982)&gt;1),"Cartão de crédito parcelado",D1982),Config!$A$12:$A$15,0)),0)))</f>
        <v/>
      </c>
      <c r="M1982" s="37">
        <f>IF(L1982="","",IF(AND(Config!$B$17="Sim",LEFT(D1982,17)="Cartão de crédito"),L1982,L1982+30*(MAX(1,N(E1982))-1)))</f>
        <v/>
      </c>
      <c r="N1982" s="29">
        <f>IF(OR(L1982="",K1982=""),"",K1982*MIN(MAX(1,N(E1982)),MAX(0,INT((Config!$B$8-L1982)/30)+1)))</f>
        <v/>
      </c>
      <c r="O1982" s="29">
        <f>IF(J1982="","",J1982-N(N1982))</f>
        <v/>
      </c>
      <c r="P1982" s="27">
        <f>IF(A1982="","",MONTH(A1982))</f>
        <v/>
      </c>
      <c r="Q1982" s="27">
        <f>IF(A1982="","",YEAR(A1982))</f>
        <v/>
      </c>
      <c r="R1982" s="27">
        <f>IF(L1982="","",IF(L1982&gt;Config!$B$8,"A cair",IF(N(G1982)&gt;=MIN(MAX(1,N(E1982)),MAX(0,INT((Config!$B$8-L1982)/30)+1)),IF(N(G1982)&gt;=MAX(1,N(E1982)),"Conferido","Conferido até aqui"),"A conferir")))</f>
        <v/>
      </c>
      <c r="S1982" s="51">
        <f>IF(R1982="A conferir",(Config!$B$8-L1982)*1000+N(F1982)/1000+ROW()/100000,0)</f>
        <v>0</v>
      </c>
      <c r="T1982" s="51">
        <f>IF(R1982="A conferir",N(N1982),0)</f>
        <v>0</v>
      </c>
      <c r="U1982" s="51">
        <f>IF(L1982="",0,L1982)</f>
        <v>0</v>
      </c>
      <c r="V1982" s="51">
        <f>IF(L1982="",0,MAX(1,N(E1982)))</f>
        <v>0</v>
      </c>
      <c r="W1982" s="51">
        <f>IF(K1982="",0,K1982)</f>
        <v>0</v>
      </c>
    </row>
    <row r="1983">
      <c r="A1983" s="49" t="n"/>
      <c r="B1983" s="41" t="n"/>
      <c r="C1983" s="41" t="n"/>
      <c r="D1983" s="42" t="n"/>
      <c r="E1983" s="42" t="n"/>
      <c r="F1983" s="50" t="n"/>
      <c r="G1983" s="42" t="n"/>
      <c r="H1983" s="30">
        <f>IF(D1983="","",IFERROR(INDEX(Config!$B$12:$B$15,MATCH(IF(AND(D1983="Cartão de crédito",N(E1983)&gt;1),"Cartão de crédito parcelado",D1983),Config!$A$12:$A$15,0)),0)+IF(AND(Config!$B$17="Sim",LEFT(D1983,17)="Cartão de crédito"),Config!$B$18*IFERROR(INDEX(Config!$C$12:$C$15,MATCH(IF(AND(D1983="Cartão de crédito",N(E1983)&gt;1),"Cartão de crédito parcelado",D1983),Config!$A$12:$A$15,0)),0)/30*MAX(1,N(E1983)),0))</f>
        <v/>
      </c>
      <c r="I1983" s="29">
        <f>IF(OR(D1983="",F1983=""),"",ROUND(F1983*H1983,2))</f>
        <v/>
      </c>
      <c r="J1983" s="29">
        <f>IF(I1983="","",F1983-I1983)</f>
        <v/>
      </c>
      <c r="K1983" s="29">
        <f>IF(J1983="","",J1983/MAX(1,N(E1983)))</f>
        <v/>
      </c>
      <c r="L1983" s="37">
        <f>IF(OR(D1983="",A1983=""),"",A1983+IF(AND(Config!$B$17="Sim",LEFT(D1983,17)="Cartão de crédito"),1,IFERROR(INDEX(Config!$C$12:$C$15,MATCH(IF(AND(D1983="Cartão de crédito",N(E1983)&gt;1),"Cartão de crédito parcelado",D1983),Config!$A$12:$A$15,0)),0)))</f>
        <v/>
      </c>
      <c r="M1983" s="37">
        <f>IF(L1983="","",IF(AND(Config!$B$17="Sim",LEFT(D1983,17)="Cartão de crédito"),L1983,L1983+30*(MAX(1,N(E1983))-1)))</f>
        <v/>
      </c>
      <c r="N1983" s="29">
        <f>IF(OR(L1983="",K1983=""),"",K1983*MIN(MAX(1,N(E1983)),MAX(0,INT((Config!$B$8-L1983)/30)+1)))</f>
        <v/>
      </c>
      <c r="O1983" s="29">
        <f>IF(J1983="","",J1983-N(N1983))</f>
        <v/>
      </c>
      <c r="P1983" s="27">
        <f>IF(A1983="","",MONTH(A1983))</f>
        <v/>
      </c>
      <c r="Q1983" s="27">
        <f>IF(A1983="","",YEAR(A1983))</f>
        <v/>
      </c>
      <c r="R1983" s="27">
        <f>IF(L1983="","",IF(L1983&gt;Config!$B$8,"A cair",IF(N(G1983)&gt;=MIN(MAX(1,N(E1983)),MAX(0,INT((Config!$B$8-L1983)/30)+1)),IF(N(G1983)&gt;=MAX(1,N(E1983)),"Conferido","Conferido até aqui"),"A conferir")))</f>
        <v/>
      </c>
      <c r="S1983" s="51">
        <f>IF(R1983="A conferir",(Config!$B$8-L1983)*1000+N(F1983)/1000+ROW()/100000,0)</f>
        <v>0</v>
      </c>
      <c r="T1983" s="51">
        <f>IF(R1983="A conferir",N(N1983),0)</f>
        <v>0</v>
      </c>
      <c r="U1983" s="51">
        <f>IF(L1983="",0,L1983)</f>
        <v>0</v>
      </c>
      <c r="V1983" s="51">
        <f>IF(L1983="",0,MAX(1,N(E1983)))</f>
        <v>0</v>
      </c>
      <c r="W1983" s="51">
        <f>IF(K1983="",0,K1983)</f>
        <v>0</v>
      </c>
    </row>
    <row r="1984">
      <c r="A1984" s="49" t="n"/>
      <c r="B1984" s="41" t="n"/>
      <c r="C1984" s="41" t="n"/>
      <c r="D1984" s="42" t="n"/>
      <c r="E1984" s="42" t="n"/>
      <c r="F1984" s="50" t="n"/>
      <c r="G1984" s="42" t="n"/>
      <c r="H1984" s="30">
        <f>IF(D1984="","",IFERROR(INDEX(Config!$B$12:$B$15,MATCH(IF(AND(D1984="Cartão de crédito",N(E1984)&gt;1),"Cartão de crédito parcelado",D1984),Config!$A$12:$A$15,0)),0)+IF(AND(Config!$B$17="Sim",LEFT(D1984,17)="Cartão de crédito"),Config!$B$18*IFERROR(INDEX(Config!$C$12:$C$15,MATCH(IF(AND(D1984="Cartão de crédito",N(E1984)&gt;1),"Cartão de crédito parcelado",D1984),Config!$A$12:$A$15,0)),0)/30*MAX(1,N(E1984)),0))</f>
        <v/>
      </c>
      <c r="I1984" s="29">
        <f>IF(OR(D1984="",F1984=""),"",ROUND(F1984*H1984,2))</f>
        <v/>
      </c>
      <c r="J1984" s="29">
        <f>IF(I1984="","",F1984-I1984)</f>
        <v/>
      </c>
      <c r="K1984" s="29">
        <f>IF(J1984="","",J1984/MAX(1,N(E1984)))</f>
        <v/>
      </c>
      <c r="L1984" s="37">
        <f>IF(OR(D1984="",A1984=""),"",A1984+IF(AND(Config!$B$17="Sim",LEFT(D1984,17)="Cartão de crédito"),1,IFERROR(INDEX(Config!$C$12:$C$15,MATCH(IF(AND(D1984="Cartão de crédito",N(E1984)&gt;1),"Cartão de crédito parcelado",D1984),Config!$A$12:$A$15,0)),0)))</f>
        <v/>
      </c>
      <c r="M1984" s="37">
        <f>IF(L1984="","",IF(AND(Config!$B$17="Sim",LEFT(D1984,17)="Cartão de crédito"),L1984,L1984+30*(MAX(1,N(E1984))-1)))</f>
        <v/>
      </c>
      <c r="N1984" s="29">
        <f>IF(OR(L1984="",K1984=""),"",K1984*MIN(MAX(1,N(E1984)),MAX(0,INT((Config!$B$8-L1984)/30)+1)))</f>
        <v/>
      </c>
      <c r="O1984" s="29">
        <f>IF(J1984="","",J1984-N(N1984))</f>
        <v/>
      </c>
      <c r="P1984" s="27">
        <f>IF(A1984="","",MONTH(A1984))</f>
        <v/>
      </c>
      <c r="Q1984" s="27">
        <f>IF(A1984="","",YEAR(A1984))</f>
        <v/>
      </c>
      <c r="R1984" s="27">
        <f>IF(L1984="","",IF(L1984&gt;Config!$B$8,"A cair",IF(N(G1984)&gt;=MIN(MAX(1,N(E1984)),MAX(0,INT((Config!$B$8-L1984)/30)+1)),IF(N(G1984)&gt;=MAX(1,N(E1984)),"Conferido","Conferido até aqui"),"A conferir")))</f>
        <v/>
      </c>
      <c r="S1984" s="51">
        <f>IF(R1984="A conferir",(Config!$B$8-L1984)*1000+N(F1984)/1000+ROW()/100000,0)</f>
        <v>0</v>
      </c>
      <c r="T1984" s="51">
        <f>IF(R1984="A conferir",N(N1984),0)</f>
        <v>0</v>
      </c>
      <c r="U1984" s="51">
        <f>IF(L1984="",0,L1984)</f>
        <v>0</v>
      </c>
      <c r="V1984" s="51">
        <f>IF(L1984="",0,MAX(1,N(E1984)))</f>
        <v>0</v>
      </c>
      <c r="W1984" s="51">
        <f>IF(K1984="",0,K1984)</f>
        <v>0</v>
      </c>
    </row>
    <row r="1985">
      <c r="A1985" s="49" t="n"/>
      <c r="B1985" s="41" t="n"/>
      <c r="C1985" s="41" t="n"/>
      <c r="D1985" s="42" t="n"/>
      <c r="E1985" s="42" t="n"/>
      <c r="F1985" s="50" t="n"/>
      <c r="G1985" s="42" t="n"/>
      <c r="H1985" s="30">
        <f>IF(D1985="","",IFERROR(INDEX(Config!$B$12:$B$15,MATCH(IF(AND(D1985="Cartão de crédito",N(E1985)&gt;1),"Cartão de crédito parcelado",D1985),Config!$A$12:$A$15,0)),0)+IF(AND(Config!$B$17="Sim",LEFT(D1985,17)="Cartão de crédito"),Config!$B$18*IFERROR(INDEX(Config!$C$12:$C$15,MATCH(IF(AND(D1985="Cartão de crédito",N(E1985)&gt;1),"Cartão de crédito parcelado",D1985),Config!$A$12:$A$15,0)),0)/30*MAX(1,N(E1985)),0))</f>
        <v/>
      </c>
      <c r="I1985" s="29">
        <f>IF(OR(D1985="",F1985=""),"",ROUND(F1985*H1985,2))</f>
        <v/>
      </c>
      <c r="J1985" s="29">
        <f>IF(I1985="","",F1985-I1985)</f>
        <v/>
      </c>
      <c r="K1985" s="29">
        <f>IF(J1985="","",J1985/MAX(1,N(E1985)))</f>
        <v/>
      </c>
      <c r="L1985" s="37">
        <f>IF(OR(D1985="",A1985=""),"",A1985+IF(AND(Config!$B$17="Sim",LEFT(D1985,17)="Cartão de crédito"),1,IFERROR(INDEX(Config!$C$12:$C$15,MATCH(IF(AND(D1985="Cartão de crédito",N(E1985)&gt;1),"Cartão de crédito parcelado",D1985),Config!$A$12:$A$15,0)),0)))</f>
        <v/>
      </c>
      <c r="M1985" s="37">
        <f>IF(L1985="","",IF(AND(Config!$B$17="Sim",LEFT(D1985,17)="Cartão de crédito"),L1985,L1985+30*(MAX(1,N(E1985))-1)))</f>
        <v/>
      </c>
      <c r="N1985" s="29">
        <f>IF(OR(L1985="",K1985=""),"",K1985*MIN(MAX(1,N(E1985)),MAX(0,INT((Config!$B$8-L1985)/30)+1)))</f>
        <v/>
      </c>
      <c r="O1985" s="29">
        <f>IF(J1985="","",J1985-N(N1985))</f>
        <v/>
      </c>
      <c r="P1985" s="27">
        <f>IF(A1985="","",MONTH(A1985))</f>
        <v/>
      </c>
      <c r="Q1985" s="27">
        <f>IF(A1985="","",YEAR(A1985))</f>
        <v/>
      </c>
      <c r="R1985" s="27">
        <f>IF(L1985="","",IF(L1985&gt;Config!$B$8,"A cair",IF(N(G1985)&gt;=MIN(MAX(1,N(E1985)),MAX(0,INT((Config!$B$8-L1985)/30)+1)),IF(N(G1985)&gt;=MAX(1,N(E1985)),"Conferido","Conferido até aqui"),"A conferir")))</f>
        <v/>
      </c>
      <c r="S1985" s="51">
        <f>IF(R1985="A conferir",(Config!$B$8-L1985)*1000+N(F1985)/1000+ROW()/100000,0)</f>
        <v>0</v>
      </c>
      <c r="T1985" s="51">
        <f>IF(R1985="A conferir",N(N1985),0)</f>
        <v>0</v>
      </c>
      <c r="U1985" s="51">
        <f>IF(L1985="",0,L1985)</f>
        <v>0</v>
      </c>
      <c r="V1985" s="51">
        <f>IF(L1985="",0,MAX(1,N(E1985)))</f>
        <v>0</v>
      </c>
      <c r="W1985" s="51">
        <f>IF(K1985="",0,K1985)</f>
        <v>0</v>
      </c>
    </row>
    <row r="1986">
      <c r="A1986" s="49" t="n"/>
      <c r="B1986" s="41" t="n"/>
      <c r="C1986" s="41" t="n"/>
      <c r="D1986" s="42" t="n"/>
      <c r="E1986" s="42" t="n"/>
      <c r="F1986" s="50" t="n"/>
      <c r="G1986" s="42" t="n"/>
      <c r="H1986" s="30">
        <f>IF(D1986="","",IFERROR(INDEX(Config!$B$12:$B$15,MATCH(IF(AND(D1986="Cartão de crédito",N(E1986)&gt;1),"Cartão de crédito parcelado",D1986),Config!$A$12:$A$15,0)),0)+IF(AND(Config!$B$17="Sim",LEFT(D1986,17)="Cartão de crédito"),Config!$B$18*IFERROR(INDEX(Config!$C$12:$C$15,MATCH(IF(AND(D1986="Cartão de crédito",N(E1986)&gt;1),"Cartão de crédito parcelado",D1986),Config!$A$12:$A$15,0)),0)/30*MAX(1,N(E1986)),0))</f>
        <v/>
      </c>
      <c r="I1986" s="29">
        <f>IF(OR(D1986="",F1986=""),"",ROUND(F1986*H1986,2))</f>
        <v/>
      </c>
      <c r="J1986" s="29">
        <f>IF(I1986="","",F1986-I1986)</f>
        <v/>
      </c>
      <c r="K1986" s="29">
        <f>IF(J1986="","",J1986/MAX(1,N(E1986)))</f>
        <v/>
      </c>
      <c r="L1986" s="37">
        <f>IF(OR(D1986="",A1986=""),"",A1986+IF(AND(Config!$B$17="Sim",LEFT(D1986,17)="Cartão de crédito"),1,IFERROR(INDEX(Config!$C$12:$C$15,MATCH(IF(AND(D1986="Cartão de crédito",N(E1986)&gt;1),"Cartão de crédito parcelado",D1986),Config!$A$12:$A$15,0)),0)))</f>
        <v/>
      </c>
      <c r="M1986" s="37">
        <f>IF(L1986="","",IF(AND(Config!$B$17="Sim",LEFT(D1986,17)="Cartão de crédito"),L1986,L1986+30*(MAX(1,N(E1986))-1)))</f>
        <v/>
      </c>
      <c r="N1986" s="29">
        <f>IF(OR(L1986="",K1986=""),"",K1986*MIN(MAX(1,N(E1986)),MAX(0,INT((Config!$B$8-L1986)/30)+1)))</f>
        <v/>
      </c>
      <c r="O1986" s="29">
        <f>IF(J1986="","",J1986-N(N1986))</f>
        <v/>
      </c>
      <c r="P1986" s="27">
        <f>IF(A1986="","",MONTH(A1986))</f>
        <v/>
      </c>
      <c r="Q1986" s="27">
        <f>IF(A1986="","",YEAR(A1986))</f>
        <v/>
      </c>
      <c r="R1986" s="27">
        <f>IF(L1986="","",IF(L1986&gt;Config!$B$8,"A cair",IF(N(G1986)&gt;=MIN(MAX(1,N(E1986)),MAX(0,INT((Config!$B$8-L1986)/30)+1)),IF(N(G1986)&gt;=MAX(1,N(E1986)),"Conferido","Conferido até aqui"),"A conferir")))</f>
        <v/>
      </c>
      <c r="S1986" s="51">
        <f>IF(R1986="A conferir",(Config!$B$8-L1986)*1000+N(F1986)/1000+ROW()/100000,0)</f>
        <v>0</v>
      </c>
      <c r="T1986" s="51">
        <f>IF(R1986="A conferir",N(N1986),0)</f>
        <v>0</v>
      </c>
      <c r="U1986" s="51">
        <f>IF(L1986="",0,L1986)</f>
        <v>0</v>
      </c>
      <c r="V1986" s="51">
        <f>IF(L1986="",0,MAX(1,N(E1986)))</f>
        <v>0</v>
      </c>
      <c r="W1986" s="51">
        <f>IF(K1986="",0,K1986)</f>
        <v>0</v>
      </c>
    </row>
    <row r="1987">
      <c r="A1987" s="49" t="n"/>
      <c r="B1987" s="41" t="n"/>
      <c r="C1987" s="41" t="n"/>
      <c r="D1987" s="42" t="n"/>
      <c r="E1987" s="42" t="n"/>
      <c r="F1987" s="50" t="n"/>
      <c r="G1987" s="42" t="n"/>
      <c r="H1987" s="30">
        <f>IF(D1987="","",IFERROR(INDEX(Config!$B$12:$B$15,MATCH(IF(AND(D1987="Cartão de crédito",N(E1987)&gt;1),"Cartão de crédito parcelado",D1987),Config!$A$12:$A$15,0)),0)+IF(AND(Config!$B$17="Sim",LEFT(D1987,17)="Cartão de crédito"),Config!$B$18*IFERROR(INDEX(Config!$C$12:$C$15,MATCH(IF(AND(D1987="Cartão de crédito",N(E1987)&gt;1),"Cartão de crédito parcelado",D1987),Config!$A$12:$A$15,0)),0)/30*MAX(1,N(E1987)),0))</f>
        <v/>
      </c>
      <c r="I1987" s="29">
        <f>IF(OR(D1987="",F1987=""),"",ROUND(F1987*H1987,2))</f>
        <v/>
      </c>
      <c r="J1987" s="29">
        <f>IF(I1987="","",F1987-I1987)</f>
        <v/>
      </c>
      <c r="K1987" s="29">
        <f>IF(J1987="","",J1987/MAX(1,N(E1987)))</f>
        <v/>
      </c>
      <c r="L1987" s="37">
        <f>IF(OR(D1987="",A1987=""),"",A1987+IF(AND(Config!$B$17="Sim",LEFT(D1987,17)="Cartão de crédito"),1,IFERROR(INDEX(Config!$C$12:$C$15,MATCH(IF(AND(D1987="Cartão de crédito",N(E1987)&gt;1),"Cartão de crédito parcelado",D1987),Config!$A$12:$A$15,0)),0)))</f>
        <v/>
      </c>
      <c r="M1987" s="37">
        <f>IF(L1987="","",IF(AND(Config!$B$17="Sim",LEFT(D1987,17)="Cartão de crédito"),L1987,L1987+30*(MAX(1,N(E1987))-1)))</f>
        <v/>
      </c>
      <c r="N1987" s="29">
        <f>IF(OR(L1987="",K1987=""),"",K1987*MIN(MAX(1,N(E1987)),MAX(0,INT((Config!$B$8-L1987)/30)+1)))</f>
        <v/>
      </c>
      <c r="O1987" s="29">
        <f>IF(J1987="","",J1987-N(N1987))</f>
        <v/>
      </c>
      <c r="P1987" s="27">
        <f>IF(A1987="","",MONTH(A1987))</f>
        <v/>
      </c>
      <c r="Q1987" s="27">
        <f>IF(A1987="","",YEAR(A1987))</f>
        <v/>
      </c>
      <c r="R1987" s="27">
        <f>IF(L1987="","",IF(L1987&gt;Config!$B$8,"A cair",IF(N(G1987)&gt;=MIN(MAX(1,N(E1987)),MAX(0,INT((Config!$B$8-L1987)/30)+1)),IF(N(G1987)&gt;=MAX(1,N(E1987)),"Conferido","Conferido até aqui"),"A conferir")))</f>
        <v/>
      </c>
      <c r="S1987" s="51">
        <f>IF(R1987="A conferir",(Config!$B$8-L1987)*1000+N(F1987)/1000+ROW()/100000,0)</f>
        <v>0</v>
      </c>
      <c r="T1987" s="51">
        <f>IF(R1987="A conferir",N(N1987),0)</f>
        <v>0</v>
      </c>
      <c r="U1987" s="51">
        <f>IF(L1987="",0,L1987)</f>
        <v>0</v>
      </c>
      <c r="V1987" s="51">
        <f>IF(L1987="",0,MAX(1,N(E1987)))</f>
        <v>0</v>
      </c>
      <c r="W1987" s="51">
        <f>IF(K1987="",0,K1987)</f>
        <v>0</v>
      </c>
    </row>
    <row r="1988">
      <c r="A1988" s="49" t="n"/>
      <c r="B1988" s="41" t="n"/>
      <c r="C1988" s="41" t="n"/>
      <c r="D1988" s="42" t="n"/>
      <c r="E1988" s="42" t="n"/>
      <c r="F1988" s="50" t="n"/>
      <c r="G1988" s="42" t="n"/>
      <c r="H1988" s="30">
        <f>IF(D1988="","",IFERROR(INDEX(Config!$B$12:$B$15,MATCH(IF(AND(D1988="Cartão de crédito",N(E1988)&gt;1),"Cartão de crédito parcelado",D1988),Config!$A$12:$A$15,0)),0)+IF(AND(Config!$B$17="Sim",LEFT(D1988,17)="Cartão de crédito"),Config!$B$18*IFERROR(INDEX(Config!$C$12:$C$15,MATCH(IF(AND(D1988="Cartão de crédito",N(E1988)&gt;1),"Cartão de crédito parcelado",D1988),Config!$A$12:$A$15,0)),0)/30*MAX(1,N(E1988)),0))</f>
        <v/>
      </c>
      <c r="I1988" s="29">
        <f>IF(OR(D1988="",F1988=""),"",ROUND(F1988*H1988,2))</f>
        <v/>
      </c>
      <c r="J1988" s="29">
        <f>IF(I1988="","",F1988-I1988)</f>
        <v/>
      </c>
      <c r="K1988" s="29">
        <f>IF(J1988="","",J1988/MAX(1,N(E1988)))</f>
        <v/>
      </c>
      <c r="L1988" s="37">
        <f>IF(OR(D1988="",A1988=""),"",A1988+IF(AND(Config!$B$17="Sim",LEFT(D1988,17)="Cartão de crédito"),1,IFERROR(INDEX(Config!$C$12:$C$15,MATCH(IF(AND(D1988="Cartão de crédito",N(E1988)&gt;1),"Cartão de crédito parcelado",D1988),Config!$A$12:$A$15,0)),0)))</f>
        <v/>
      </c>
      <c r="M1988" s="37">
        <f>IF(L1988="","",IF(AND(Config!$B$17="Sim",LEFT(D1988,17)="Cartão de crédito"),L1988,L1988+30*(MAX(1,N(E1988))-1)))</f>
        <v/>
      </c>
      <c r="N1988" s="29">
        <f>IF(OR(L1988="",K1988=""),"",K1988*MIN(MAX(1,N(E1988)),MAX(0,INT((Config!$B$8-L1988)/30)+1)))</f>
        <v/>
      </c>
      <c r="O1988" s="29">
        <f>IF(J1988="","",J1988-N(N1988))</f>
        <v/>
      </c>
      <c r="P1988" s="27">
        <f>IF(A1988="","",MONTH(A1988))</f>
        <v/>
      </c>
      <c r="Q1988" s="27">
        <f>IF(A1988="","",YEAR(A1988))</f>
        <v/>
      </c>
      <c r="R1988" s="27">
        <f>IF(L1988="","",IF(L1988&gt;Config!$B$8,"A cair",IF(N(G1988)&gt;=MIN(MAX(1,N(E1988)),MAX(0,INT((Config!$B$8-L1988)/30)+1)),IF(N(G1988)&gt;=MAX(1,N(E1988)),"Conferido","Conferido até aqui"),"A conferir")))</f>
        <v/>
      </c>
      <c r="S1988" s="51">
        <f>IF(R1988="A conferir",(Config!$B$8-L1988)*1000+N(F1988)/1000+ROW()/100000,0)</f>
        <v>0</v>
      </c>
      <c r="T1988" s="51">
        <f>IF(R1988="A conferir",N(N1988),0)</f>
        <v>0</v>
      </c>
      <c r="U1988" s="51">
        <f>IF(L1988="",0,L1988)</f>
        <v>0</v>
      </c>
      <c r="V1988" s="51">
        <f>IF(L1988="",0,MAX(1,N(E1988)))</f>
        <v>0</v>
      </c>
      <c r="W1988" s="51">
        <f>IF(K1988="",0,K1988)</f>
        <v>0</v>
      </c>
    </row>
    <row r="1989">
      <c r="A1989" s="49" t="n"/>
      <c r="B1989" s="41" t="n"/>
      <c r="C1989" s="41" t="n"/>
      <c r="D1989" s="42" t="n"/>
      <c r="E1989" s="42" t="n"/>
      <c r="F1989" s="50" t="n"/>
      <c r="G1989" s="42" t="n"/>
      <c r="H1989" s="30">
        <f>IF(D1989="","",IFERROR(INDEX(Config!$B$12:$B$15,MATCH(IF(AND(D1989="Cartão de crédito",N(E1989)&gt;1),"Cartão de crédito parcelado",D1989),Config!$A$12:$A$15,0)),0)+IF(AND(Config!$B$17="Sim",LEFT(D1989,17)="Cartão de crédito"),Config!$B$18*IFERROR(INDEX(Config!$C$12:$C$15,MATCH(IF(AND(D1989="Cartão de crédito",N(E1989)&gt;1),"Cartão de crédito parcelado",D1989),Config!$A$12:$A$15,0)),0)/30*MAX(1,N(E1989)),0))</f>
        <v/>
      </c>
      <c r="I1989" s="29">
        <f>IF(OR(D1989="",F1989=""),"",ROUND(F1989*H1989,2))</f>
        <v/>
      </c>
      <c r="J1989" s="29">
        <f>IF(I1989="","",F1989-I1989)</f>
        <v/>
      </c>
      <c r="K1989" s="29">
        <f>IF(J1989="","",J1989/MAX(1,N(E1989)))</f>
        <v/>
      </c>
      <c r="L1989" s="37">
        <f>IF(OR(D1989="",A1989=""),"",A1989+IF(AND(Config!$B$17="Sim",LEFT(D1989,17)="Cartão de crédito"),1,IFERROR(INDEX(Config!$C$12:$C$15,MATCH(IF(AND(D1989="Cartão de crédito",N(E1989)&gt;1),"Cartão de crédito parcelado",D1989),Config!$A$12:$A$15,0)),0)))</f>
        <v/>
      </c>
      <c r="M1989" s="37">
        <f>IF(L1989="","",IF(AND(Config!$B$17="Sim",LEFT(D1989,17)="Cartão de crédito"),L1989,L1989+30*(MAX(1,N(E1989))-1)))</f>
        <v/>
      </c>
      <c r="N1989" s="29">
        <f>IF(OR(L1989="",K1989=""),"",K1989*MIN(MAX(1,N(E1989)),MAX(0,INT((Config!$B$8-L1989)/30)+1)))</f>
        <v/>
      </c>
      <c r="O1989" s="29">
        <f>IF(J1989="","",J1989-N(N1989))</f>
        <v/>
      </c>
      <c r="P1989" s="27">
        <f>IF(A1989="","",MONTH(A1989))</f>
        <v/>
      </c>
      <c r="Q1989" s="27">
        <f>IF(A1989="","",YEAR(A1989))</f>
        <v/>
      </c>
      <c r="R1989" s="27">
        <f>IF(L1989="","",IF(L1989&gt;Config!$B$8,"A cair",IF(N(G1989)&gt;=MIN(MAX(1,N(E1989)),MAX(0,INT((Config!$B$8-L1989)/30)+1)),IF(N(G1989)&gt;=MAX(1,N(E1989)),"Conferido","Conferido até aqui"),"A conferir")))</f>
        <v/>
      </c>
      <c r="S1989" s="51">
        <f>IF(R1989="A conferir",(Config!$B$8-L1989)*1000+N(F1989)/1000+ROW()/100000,0)</f>
        <v>0</v>
      </c>
      <c r="T1989" s="51">
        <f>IF(R1989="A conferir",N(N1989),0)</f>
        <v>0</v>
      </c>
      <c r="U1989" s="51">
        <f>IF(L1989="",0,L1989)</f>
        <v>0</v>
      </c>
      <c r="V1989" s="51">
        <f>IF(L1989="",0,MAX(1,N(E1989)))</f>
        <v>0</v>
      </c>
      <c r="W1989" s="51">
        <f>IF(K1989="",0,K1989)</f>
        <v>0</v>
      </c>
    </row>
    <row r="1990">
      <c r="A1990" s="49" t="n"/>
      <c r="B1990" s="41" t="n"/>
      <c r="C1990" s="41" t="n"/>
      <c r="D1990" s="42" t="n"/>
      <c r="E1990" s="42" t="n"/>
      <c r="F1990" s="50" t="n"/>
      <c r="G1990" s="42" t="n"/>
      <c r="H1990" s="30">
        <f>IF(D1990="","",IFERROR(INDEX(Config!$B$12:$B$15,MATCH(IF(AND(D1990="Cartão de crédito",N(E1990)&gt;1),"Cartão de crédito parcelado",D1990),Config!$A$12:$A$15,0)),0)+IF(AND(Config!$B$17="Sim",LEFT(D1990,17)="Cartão de crédito"),Config!$B$18*IFERROR(INDEX(Config!$C$12:$C$15,MATCH(IF(AND(D1990="Cartão de crédito",N(E1990)&gt;1),"Cartão de crédito parcelado",D1990),Config!$A$12:$A$15,0)),0)/30*MAX(1,N(E1990)),0))</f>
        <v/>
      </c>
      <c r="I1990" s="29">
        <f>IF(OR(D1990="",F1990=""),"",ROUND(F1990*H1990,2))</f>
        <v/>
      </c>
      <c r="J1990" s="29">
        <f>IF(I1990="","",F1990-I1990)</f>
        <v/>
      </c>
      <c r="K1990" s="29">
        <f>IF(J1990="","",J1990/MAX(1,N(E1990)))</f>
        <v/>
      </c>
      <c r="L1990" s="37">
        <f>IF(OR(D1990="",A1990=""),"",A1990+IF(AND(Config!$B$17="Sim",LEFT(D1990,17)="Cartão de crédito"),1,IFERROR(INDEX(Config!$C$12:$C$15,MATCH(IF(AND(D1990="Cartão de crédito",N(E1990)&gt;1),"Cartão de crédito parcelado",D1990),Config!$A$12:$A$15,0)),0)))</f>
        <v/>
      </c>
      <c r="M1990" s="37">
        <f>IF(L1990="","",IF(AND(Config!$B$17="Sim",LEFT(D1990,17)="Cartão de crédito"),L1990,L1990+30*(MAX(1,N(E1990))-1)))</f>
        <v/>
      </c>
      <c r="N1990" s="29">
        <f>IF(OR(L1990="",K1990=""),"",K1990*MIN(MAX(1,N(E1990)),MAX(0,INT((Config!$B$8-L1990)/30)+1)))</f>
        <v/>
      </c>
      <c r="O1990" s="29">
        <f>IF(J1990="","",J1990-N(N1990))</f>
        <v/>
      </c>
      <c r="P1990" s="27">
        <f>IF(A1990="","",MONTH(A1990))</f>
        <v/>
      </c>
      <c r="Q1990" s="27">
        <f>IF(A1990="","",YEAR(A1990))</f>
        <v/>
      </c>
      <c r="R1990" s="27">
        <f>IF(L1990="","",IF(L1990&gt;Config!$B$8,"A cair",IF(N(G1990)&gt;=MIN(MAX(1,N(E1990)),MAX(0,INT((Config!$B$8-L1990)/30)+1)),IF(N(G1990)&gt;=MAX(1,N(E1990)),"Conferido","Conferido até aqui"),"A conferir")))</f>
        <v/>
      </c>
      <c r="S1990" s="51">
        <f>IF(R1990="A conferir",(Config!$B$8-L1990)*1000+N(F1990)/1000+ROW()/100000,0)</f>
        <v>0</v>
      </c>
      <c r="T1990" s="51">
        <f>IF(R1990="A conferir",N(N1990),0)</f>
        <v>0</v>
      </c>
      <c r="U1990" s="51">
        <f>IF(L1990="",0,L1990)</f>
        <v>0</v>
      </c>
      <c r="V1990" s="51">
        <f>IF(L1990="",0,MAX(1,N(E1990)))</f>
        <v>0</v>
      </c>
      <c r="W1990" s="51">
        <f>IF(K1990="",0,K1990)</f>
        <v>0</v>
      </c>
    </row>
    <row r="1991">
      <c r="A1991" s="49" t="n"/>
      <c r="B1991" s="41" t="n"/>
      <c r="C1991" s="41" t="n"/>
      <c r="D1991" s="42" t="n"/>
      <c r="E1991" s="42" t="n"/>
      <c r="F1991" s="50" t="n"/>
      <c r="G1991" s="42" t="n"/>
      <c r="H1991" s="30">
        <f>IF(D1991="","",IFERROR(INDEX(Config!$B$12:$B$15,MATCH(IF(AND(D1991="Cartão de crédito",N(E1991)&gt;1),"Cartão de crédito parcelado",D1991),Config!$A$12:$A$15,0)),0)+IF(AND(Config!$B$17="Sim",LEFT(D1991,17)="Cartão de crédito"),Config!$B$18*IFERROR(INDEX(Config!$C$12:$C$15,MATCH(IF(AND(D1991="Cartão de crédito",N(E1991)&gt;1),"Cartão de crédito parcelado",D1991),Config!$A$12:$A$15,0)),0)/30*MAX(1,N(E1991)),0))</f>
        <v/>
      </c>
      <c r="I1991" s="29">
        <f>IF(OR(D1991="",F1991=""),"",ROUND(F1991*H1991,2))</f>
        <v/>
      </c>
      <c r="J1991" s="29">
        <f>IF(I1991="","",F1991-I1991)</f>
        <v/>
      </c>
      <c r="K1991" s="29">
        <f>IF(J1991="","",J1991/MAX(1,N(E1991)))</f>
        <v/>
      </c>
      <c r="L1991" s="37">
        <f>IF(OR(D1991="",A1991=""),"",A1991+IF(AND(Config!$B$17="Sim",LEFT(D1991,17)="Cartão de crédito"),1,IFERROR(INDEX(Config!$C$12:$C$15,MATCH(IF(AND(D1991="Cartão de crédito",N(E1991)&gt;1),"Cartão de crédito parcelado",D1991),Config!$A$12:$A$15,0)),0)))</f>
        <v/>
      </c>
      <c r="M1991" s="37">
        <f>IF(L1991="","",IF(AND(Config!$B$17="Sim",LEFT(D1991,17)="Cartão de crédito"),L1991,L1991+30*(MAX(1,N(E1991))-1)))</f>
        <v/>
      </c>
      <c r="N1991" s="29">
        <f>IF(OR(L1991="",K1991=""),"",K1991*MIN(MAX(1,N(E1991)),MAX(0,INT((Config!$B$8-L1991)/30)+1)))</f>
        <v/>
      </c>
      <c r="O1991" s="29">
        <f>IF(J1991="","",J1991-N(N1991))</f>
        <v/>
      </c>
      <c r="P1991" s="27">
        <f>IF(A1991="","",MONTH(A1991))</f>
        <v/>
      </c>
      <c r="Q1991" s="27">
        <f>IF(A1991="","",YEAR(A1991))</f>
        <v/>
      </c>
      <c r="R1991" s="27">
        <f>IF(L1991="","",IF(L1991&gt;Config!$B$8,"A cair",IF(N(G1991)&gt;=MIN(MAX(1,N(E1991)),MAX(0,INT((Config!$B$8-L1991)/30)+1)),IF(N(G1991)&gt;=MAX(1,N(E1991)),"Conferido","Conferido até aqui"),"A conferir")))</f>
        <v/>
      </c>
      <c r="S1991" s="51">
        <f>IF(R1991="A conferir",(Config!$B$8-L1991)*1000+N(F1991)/1000+ROW()/100000,0)</f>
        <v>0</v>
      </c>
      <c r="T1991" s="51">
        <f>IF(R1991="A conferir",N(N1991),0)</f>
        <v>0</v>
      </c>
      <c r="U1991" s="51">
        <f>IF(L1991="",0,L1991)</f>
        <v>0</v>
      </c>
      <c r="V1991" s="51">
        <f>IF(L1991="",0,MAX(1,N(E1991)))</f>
        <v>0</v>
      </c>
      <c r="W1991" s="51">
        <f>IF(K1991="",0,K1991)</f>
        <v>0</v>
      </c>
    </row>
    <row r="1992">
      <c r="A1992" s="49" t="n"/>
      <c r="B1992" s="41" t="n"/>
      <c r="C1992" s="41" t="n"/>
      <c r="D1992" s="42" t="n"/>
      <c r="E1992" s="42" t="n"/>
      <c r="F1992" s="50" t="n"/>
      <c r="G1992" s="42" t="n"/>
      <c r="H1992" s="30">
        <f>IF(D1992="","",IFERROR(INDEX(Config!$B$12:$B$15,MATCH(IF(AND(D1992="Cartão de crédito",N(E1992)&gt;1),"Cartão de crédito parcelado",D1992),Config!$A$12:$A$15,0)),0)+IF(AND(Config!$B$17="Sim",LEFT(D1992,17)="Cartão de crédito"),Config!$B$18*IFERROR(INDEX(Config!$C$12:$C$15,MATCH(IF(AND(D1992="Cartão de crédito",N(E1992)&gt;1),"Cartão de crédito parcelado",D1992),Config!$A$12:$A$15,0)),0)/30*MAX(1,N(E1992)),0))</f>
        <v/>
      </c>
      <c r="I1992" s="29">
        <f>IF(OR(D1992="",F1992=""),"",ROUND(F1992*H1992,2))</f>
        <v/>
      </c>
      <c r="J1992" s="29">
        <f>IF(I1992="","",F1992-I1992)</f>
        <v/>
      </c>
      <c r="K1992" s="29">
        <f>IF(J1992="","",J1992/MAX(1,N(E1992)))</f>
        <v/>
      </c>
      <c r="L1992" s="37">
        <f>IF(OR(D1992="",A1992=""),"",A1992+IF(AND(Config!$B$17="Sim",LEFT(D1992,17)="Cartão de crédito"),1,IFERROR(INDEX(Config!$C$12:$C$15,MATCH(IF(AND(D1992="Cartão de crédito",N(E1992)&gt;1),"Cartão de crédito parcelado",D1992),Config!$A$12:$A$15,0)),0)))</f>
        <v/>
      </c>
      <c r="M1992" s="37">
        <f>IF(L1992="","",IF(AND(Config!$B$17="Sim",LEFT(D1992,17)="Cartão de crédito"),L1992,L1992+30*(MAX(1,N(E1992))-1)))</f>
        <v/>
      </c>
      <c r="N1992" s="29">
        <f>IF(OR(L1992="",K1992=""),"",K1992*MIN(MAX(1,N(E1992)),MAX(0,INT((Config!$B$8-L1992)/30)+1)))</f>
        <v/>
      </c>
      <c r="O1992" s="29">
        <f>IF(J1992="","",J1992-N(N1992))</f>
        <v/>
      </c>
      <c r="P1992" s="27">
        <f>IF(A1992="","",MONTH(A1992))</f>
        <v/>
      </c>
      <c r="Q1992" s="27">
        <f>IF(A1992="","",YEAR(A1992))</f>
        <v/>
      </c>
      <c r="R1992" s="27">
        <f>IF(L1992="","",IF(L1992&gt;Config!$B$8,"A cair",IF(N(G1992)&gt;=MIN(MAX(1,N(E1992)),MAX(0,INT((Config!$B$8-L1992)/30)+1)),IF(N(G1992)&gt;=MAX(1,N(E1992)),"Conferido","Conferido até aqui"),"A conferir")))</f>
        <v/>
      </c>
      <c r="S1992" s="51">
        <f>IF(R1992="A conferir",(Config!$B$8-L1992)*1000+N(F1992)/1000+ROW()/100000,0)</f>
        <v>0</v>
      </c>
      <c r="T1992" s="51">
        <f>IF(R1992="A conferir",N(N1992),0)</f>
        <v>0</v>
      </c>
      <c r="U1992" s="51">
        <f>IF(L1992="",0,L1992)</f>
        <v>0</v>
      </c>
      <c r="V1992" s="51">
        <f>IF(L1992="",0,MAX(1,N(E1992)))</f>
        <v>0</v>
      </c>
      <c r="W1992" s="51">
        <f>IF(K1992="",0,K1992)</f>
        <v>0</v>
      </c>
    </row>
    <row r="1993">
      <c r="A1993" s="49" t="n"/>
      <c r="B1993" s="41" t="n"/>
      <c r="C1993" s="41" t="n"/>
      <c r="D1993" s="42" t="n"/>
      <c r="E1993" s="42" t="n"/>
      <c r="F1993" s="50" t="n"/>
      <c r="G1993" s="42" t="n"/>
      <c r="H1993" s="30">
        <f>IF(D1993="","",IFERROR(INDEX(Config!$B$12:$B$15,MATCH(IF(AND(D1993="Cartão de crédito",N(E1993)&gt;1),"Cartão de crédito parcelado",D1993),Config!$A$12:$A$15,0)),0)+IF(AND(Config!$B$17="Sim",LEFT(D1993,17)="Cartão de crédito"),Config!$B$18*IFERROR(INDEX(Config!$C$12:$C$15,MATCH(IF(AND(D1993="Cartão de crédito",N(E1993)&gt;1),"Cartão de crédito parcelado",D1993),Config!$A$12:$A$15,0)),0)/30*MAX(1,N(E1993)),0))</f>
        <v/>
      </c>
      <c r="I1993" s="29">
        <f>IF(OR(D1993="",F1993=""),"",ROUND(F1993*H1993,2))</f>
        <v/>
      </c>
      <c r="J1993" s="29">
        <f>IF(I1993="","",F1993-I1993)</f>
        <v/>
      </c>
      <c r="K1993" s="29">
        <f>IF(J1993="","",J1993/MAX(1,N(E1993)))</f>
        <v/>
      </c>
      <c r="L1993" s="37">
        <f>IF(OR(D1993="",A1993=""),"",A1993+IF(AND(Config!$B$17="Sim",LEFT(D1993,17)="Cartão de crédito"),1,IFERROR(INDEX(Config!$C$12:$C$15,MATCH(IF(AND(D1993="Cartão de crédito",N(E1993)&gt;1),"Cartão de crédito parcelado",D1993),Config!$A$12:$A$15,0)),0)))</f>
        <v/>
      </c>
      <c r="M1993" s="37">
        <f>IF(L1993="","",IF(AND(Config!$B$17="Sim",LEFT(D1993,17)="Cartão de crédito"),L1993,L1993+30*(MAX(1,N(E1993))-1)))</f>
        <v/>
      </c>
      <c r="N1993" s="29">
        <f>IF(OR(L1993="",K1993=""),"",K1993*MIN(MAX(1,N(E1993)),MAX(0,INT((Config!$B$8-L1993)/30)+1)))</f>
        <v/>
      </c>
      <c r="O1993" s="29">
        <f>IF(J1993="","",J1993-N(N1993))</f>
        <v/>
      </c>
      <c r="P1993" s="27">
        <f>IF(A1993="","",MONTH(A1993))</f>
        <v/>
      </c>
      <c r="Q1993" s="27">
        <f>IF(A1993="","",YEAR(A1993))</f>
        <v/>
      </c>
      <c r="R1993" s="27">
        <f>IF(L1993="","",IF(L1993&gt;Config!$B$8,"A cair",IF(N(G1993)&gt;=MIN(MAX(1,N(E1993)),MAX(0,INT((Config!$B$8-L1993)/30)+1)),IF(N(G1993)&gt;=MAX(1,N(E1993)),"Conferido","Conferido até aqui"),"A conferir")))</f>
        <v/>
      </c>
      <c r="S1993" s="51">
        <f>IF(R1993="A conferir",(Config!$B$8-L1993)*1000+N(F1993)/1000+ROW()/100000,0)</f>
        <v>0</v>
      </c>
      <c r="T1993" s="51">
        <f>IF(R1993="A conferir",N(N1993),0)</f>
        <v>0</v>
      </c>
      <c r="U1993" s="51">
        <f>IF(L1993="",0,L1993)</f>
        <v>0</v>
      </c>
      <c r="V1993" s="51">
        <f>IF(L1993="",0,MAX(1,N(E1993)))</f>
        <v>0</v>
      </c>
      <c r="W1993" s="51">
        <f>IF(K1993="",0,K1993)</f>
        <v>0</v>
      </c>
    </row>
    <row r="1994">
      <c r="A1994" s="49" t="n"/>
      <c r="B1994" s="41" t="n"/>
      <c r="C1994" s="41" t="n"/>
      <c r="D1994" s="42" t="n"/>
      <c r="E1994" s="42" t="n"/>
      <c r="F1994" s="50" t="n"/>
      <c r="G1994" s="42" t="n"/>
      <c r="H1994" s="30">
        <f>IF(D1994="","",IFERROR(INDEX(Config!$B$12:$B$15,MATCH(IF(AND(D1994="Cartão de crédito",N(E1994)&gt;1),"Cartão de crédito parcelado",D1994),Config!$A$12:$A$15,0)),0)+IF(AND(Config!$B$17="Sim",LEFT(D1994,17)="Cartão de crédito"),Config!$B$18*IFERROR(INDEX(Config!$C$12:$C$15,MATCH(IF(AND(D1994="Cartão de crédito",N(E1994)&gt;1),"Cartão de crédito parcelado",D1994),Config!$A$12:$A$15,0)),0)/30*MAX(1,N(E1994)),0))</f>
        <v/>
      </c>
      <c r="I1994" s="29">
        <f>IF(OR(D1994="",F1994=""),"",ROUND(F1994*H1994,2))</f>
        <v/>
      </c>
      <c r="J1994" s="29">
        <f>IF(I1994="","",F1994-I1994)</f>
        <v/>
      </c>
      <c r="K1994" s="29">
        <f>IF(J1994="","",J1994/MAX(1,N(E1994)))</f>
        <v/>
      </c>
      <c r="L1994" s="37">
        <f>IF(OR(D1994="",A1994=""),"",A1994+IF(AND(Config!$B$17="Sim",LEFT(D1994,17)="Cartão de crédito"),1,IFERROR(INDEX(Config!$C$12:$C$15,MATCH(IF(AND(D1994="Cartão de crédito",N(E1994)&gt;1),"Cartão de crédito parcelado",D1994),Config!$A$12:$A$15,0)),0)))</f>
        <v/>
      </c>
      <c r="M1994" s="37">
        <f>IF(L1994="","",IF(AND(Config!$B$17="Sim",LEFT(D1994,17)="Cartão de crédito"),L1994,L1994+30*(MAX(1,N(E1994))-1)))</f>
        <v/>
      </c>
      <c r="N1994" s="29">
        <f>IF(OR(L1994="",K1994=""),"",K1994*MIN(MAX(1,N(E1994)),MAX(0,INT((Config!$B$8-L1994)/30)+1)))</f>
        <v/>
      </c>
      <c r="O1994" s="29">
        <f>IF(J1994="","",J1994-N(N1994))</f>
        <v/>
      </c>
      <c r="P1994" s="27">
        <f>IF(A1994="","",MONTH(A1994))</f>
        <v/>
      </c>
      <c r="Q1994" s="27">
        <f>IF(A1994="","",YEAR(A1994))</f>
        <v/>
      </c>
      <c r="R1994" s="27">
        <f>IF(L1994="","",IF(L1994&gt;Config!$B$8,"A cair",IF(N(G1994)&gt;=MIN(MAX(1,N(E1994)),MAX(0,INT((Config!$B$8-L1994)/30)+1)),IF(N(G1994)&gt;=MAX(1,N(E1994)),"Conferido","Conferido até aqui"),"A conferir")))</f>
        <v/>
      </c>
      <c r="S1994" s="51">
        <f>IF(R1994="A conferir",(Config!$B$8-L1994)*1000+N(F1994)/1000+ROW()/100000,0)</f>
        <v>0</v>
      </c>
      <c r="T1994" s="51">
        <f>IF(R1994="A conferir",N(N1994),0)</f>
        <v>0</v>
      </c>
      <c r="U1994" s="51">
        <f>IF(L1994="",0,L1994)</f>
        <v>0</v>
      </c>
      <c r="V1994" s="51">
        <f>IF(L1994="",0,MAX(1,N(E1994)))</f>
        <v>0</v>
      </c>
      <c r="W1994" s="51">
        <f>IF(K1994="",0,K1994)</f>
        <v>0</v>
      </c>
    </row>
    <row r="1995">
      <c r="A1995" s="49" t="n"/>
      <c r="B1995" s="41" t="n"/>
      <c r="C1995" s="41" t="n"/>
      <c r="D1995" s="42" t="n"/>
      <c r="E1995" s="42" t="n"/>
      <c r="F1995" s="50" t="n"/>
      <c r="G1995" s="42" t="n"/>
      <c r="H1995" s="30">
        <f>IF(D1995="","",IFERROR(INDEX(Config!$B$12:$B$15,MATCH(IF(AND(D1995="Cartão de crédito",N(E1995)&gt;1),"Cartão de crédito parcelado",D1995),Config!$A$12:$A$15,0)),0)+IF(AND(Config!$B$17="Sim",LEFT(D1995,17)="Cartão de crédito"),Config!$B$18*IFERROR(INDEX(Config!$C$12:$C$15,MATCH(IF(AND(D1995="Cartão de crédito",N(E1995)&gt;1),"Cartão de crédito parcelado",D1995),Config!$A$12:$A$15,0)),0)/30*MAX(1,N(E1995)),0))</f>
        <v/>
      </c>
      <c r="I1995" s="29">
        <f>IF(OR(D1995="",F1995=""),"",ROUND(F1995*H1995,2))</f>
        <v/>
      </c>
      <c r="J1995" s="29">
        <f>IF(I1995="","",F1995-I1995)</f>
        <v/>
      </c>
      <c r="K1995" s="29">
        <f>IF(J1995="","",J1995/MAX(1,N(E1995)))</f>
        <v/>
      </c>
      <c r="L1995" s="37">
        <f>IF(OR(D1995="",A1995=""),"",A1995+IF(AND(Config!$B$17="Sim",LEFT(D1995,17)="Cartão de crédito"),1,IFERROR(INDEX(Config!$C$12:$C$15,MATCH(IF(AND(D1995="Cartão de crédito",N(E1995)&gt;1),"Cartão de crédito parcelado",D1995),Config!$A$12:$A$15,0)),0)))</f>
        <v/>
      </c>
      <c r="M1995" s="37">
        <f>IF(L1995="","",IF(AND(Config!$B$17="Sim",LEFT(D1995,17)="Cartão de crédito"),L1995,L1995+30*(MAX(1,N(E1995))-1)))</f>
        <v/>
      </c>
      <c r="N1995" s="29">
        <f>IF(OR(L1995="",K1995=""),"",K1995*MIN(MAX(1,N(E1995)),MAX(0,INT((Config!$B$8-L1995)/30)+1)))</f>
        <v/>
      </c>
      <c r="O1995" s="29">
        <f>IF(J1995="","",J1995-N(N1995))</f>
        <v/>
      </c>
      <c r="P1995" s="27">
        <f>IF(A1995="","",MONTH(A1995))</f>
        <v/>
      </c>
      <c r="Q1995" s="27">
        <f>IF(A1995="","",YEAR(A1995))</f>
        <v/>
      </c>
      <c r="R1995" s="27">
        <f>IF(L1995="","",IF(L1995&gt;Config!$B$8,"A cair",IF(N(G1995)&gt;=MIN(MAX(1,N(E1995)),MAX(0,INT((Config!$B$8-L1995)/30)+1)),IF(N(G1995)&gt;=MAX(1,N(E1995)),"Conferido","Conferido até aqui"),"A conferir")))</f>
        <v/>
      </c>
      <c r="S1995" s="51">
        <f>IF(R1995="A conferir",(Config!$B$8-L1995)*1000+N(F1995)/1000+ROW()/100000,0)</f>
        <v>0</v>
      </c>
      <c r="T1995" s="51">
        <f>IF(R1995="A conferir",N(N1995),0)</f>
        <v>0</v>
      </c>
      <c r="U1995" s="51">
        <f>IF(L1995="",0,L1995)</f>
        <v>0</v>
      </c>
      <c r="V1995" s="51">
        <f>IF(L1995="",0,MAX(1,N(E1995)))</f>
        <v>0</v>
      </c>
      <c r="W1995" s="51">
        <f>IF(K1995="",0,K1995)</f>
        <v>0</v>
      </c>
    </row>
    <row r="1996">
      <c r="A1996" s="49" t="n"/>
      <c r="B1996" s="41" t="n"/>
      <c r="C1996" s="41" t="n"/>
      <c r="D1996" s="42" t="n"/>
      <c r="E1996" s="42" t="n"/>
      <c r="F1996" s="50" t="n"/>
      <c r="G1996" s="42" t="n"/>
      <c r="H1996" s="30">
        <f>IF(D1996="","",IFERROR(INDEX(Config!$B$12:$B$15,MATCH(IF(AND(D1996="Cartão de crédito",N(E1996)&gt;1),"Cartão de crédito parcelado",D1996),Config!$A$12:$A$15,0)),0)+IF(AND(Config!$B$17="Sim",LEFT(D1996,17)="Cartão de crédito"),Config!$B$18*IFERROR(INDEX(Config!$C$12:$C$15,MATCH(IF(AND(D1996="Cartão de crédito",N(E1996)&gt;1),"Cartão de crédito parcelado",D1996),Config!$A$12:$A$15,0)),0)/30*MAX(1,N(E1996)),0))</f>
        <v/>
      </c>
      <c r="I1996" s="29">
        <f>IF(OR(D1996="",F1996=""),"",ROUND(F1996*H1996,2))</f>
        <v/>
      </c>
      <c r="J1996" s="29">
        <f>IF(I1996="","",F1996-I1996)</f>
        <v/>
      </c>
      <c r="K1996" s="29">
        <f>IF(J1996="","",J1996/MAX(1,N(E1996)))</f>
        <v/>
      </c>
      <c r="L1996" s="37">
        <f>IF(OR(D1996="",A1996=""),"",A1996+IF(AND(Config!$B$17="Sim",LEFT(D1996,17)="Cartão de crédito"),1,IFERROR(INDEX(Config!$C$12:$C$15,MATCH(IF(AND(D1996="Cartão de crédito",N(E1996)&gt;1),"Cartão de crédito parcelado",D1996),Config!$A$12:$A$15,0)),0)))</f>
        <v/>
      </c>
      <c r="M1996" s="37">
        <f>IF(L1996="","",IF(AND(Config!$B$17="Sim",LEFT(D1996,17)="Cartão de crédito"),L1996,L1996+30*(MAX(1,N(E1996))-1)))</f>
        <v/>
      </c>
      <c r="N1996" s="29">
        <f>IF(OR(L1996="",K1996=""),"",K1996*MIN(MAX(1,N(E1996)),MAX(0,INT((Config!$B$8-L1996)/30)+1)))</f>
        <v/>
      </c>
      <c r="O1996" s="29">
        <f>IF(J1996="","",J1996-N(N1996))</f>
        <v/>
      </c>
      <c r="P1996" s="27">
        <f>IF(A1996="","",MONTH(A1996))</f>
        <v/>
      </c>
      <c r="Q1996" s="27">
        <f>IF(A1996="","",YEAR(A1996))</f>
        <v/>
      </c>
      <c r="R1996" s="27">
        <f>IF(L1996="","",IF(L1996&gt;Config!$B$8,"A cair",IF(N(G1996)&gt;=MIN(MAX(1,N(E1996)),MAX(0,INT((Config!$B$8-L1996)/30)+1)),IF(N(G1996)&gt;=MAX(1,N(E1996)),"Conferido","Conferido até aqui"),"A conferir")))</f>
        <v/>
      </c>
      <c r="S1996" s="51">
        <f>IF(R1996="A conferir",(Config!$B$8-L1996)*1000+N(F1996)/1000+ROW()/100000,0)</f>
        <v>0</v>
      </c>
      <c r="T1996" s="51">
        <f>IF(R1996="A conferir",N(N1996),0)</f>
        <v>0</v>
      </c>
      <c r="U1996" s="51">
        <f>IF(L1996="",0,L1996)</f>
        <v>0</v>
      </c>
      <c r="V1996" s="51">
        <f>IF(L1996="",0,MAX(1,N(E1996)))</f>
        <v>0</v>
      </c>
      <c r="W1996" s="51">
        <f>IF(K1996="",0,K1996)</f>
        <v>0</v>
      </c>
    </row>
    <row r="1997">
      <c r="A1997" s="49" t="n"/>
      <c r="B1997" s="41" t="n"/>
      <c r="C1997" s="41" t="n"/>
      <c r="D1997" s="42" t="n"/>
      <c r="E1997" s="42" t="n"/>
      <c r="F1997" s="50" t="n"/>
      <c r="G1997" s="42" t="n"/>
      <c r="H1997" s="30">
        <f>IF(D1997="","",IFERROR(INDEX(Config!$B$12:$B$15,MATCH(IF(AND(D1997="Cartão de crédito",N(E1997)&gt;1),"Cartão de crédito parcelado",D1997),Config!$A$12:$A$15,0)),0)+IF(AND(Config!$B$17="Sim",LEFT(D1997,17)="Cartão de crédito"),Config!$B$18*IFERROR(INDEX(Config!$C$12:$C$15,MATCH(IF(AND(D1997="Cartão de crédito",N(E1997)&gt;1),"Cartão de crédito parcelado",D1997),Config!$A$12:$A$15,0)),0)/30*MAX(1,N(E1997)),0))</f>
        <v/>
      </c>
      <c r="I1997" s="29">
        <f>IF(OR(D1997="",F1997=""),"",ROUND(F1997*H1997,2))</f>
        <v/>
      </c>
      <c r="J1997" s="29">
        <f>IF(I1997="","",F1997-I1997)</f>
        <v/>
      </c>
      <c r="K1997" s="29">
        <f>IF(J1997="","",J1997/MAX(1,N(E1997)))</f>
        <v/>
      </c>
      <c r="L1997" s="37">
        <f>IF(OR(D1997="",A1997=""),"",A1997+IF(AND(Config!$B$17="Sim",LEFT(D1997,17)="Cartão de crédito"),1,IFERROR(INDEX(Config!$C$12:$C$15,MATCH(IF(AND(D1997="Cartão de crédito",N(E1997)&gt;1),"Cartão de crédito parcelado",D1997),Config!$A$12:$A$15,0)),0)))</f>
        <v/>
      </c>
      <c r="M1997" s="37">
        <f>IF(L1997="","",IF(AND(Config!$B$17="Sim",LEFT(D1997,17)="Cartão de crédito"),L1997,L1997+30*(MAX(1,N(E1997))-1)))</f>
        <v/>
      </c>
      <c r="N1997" s="29">
        <f>IF(OR(L1997="",K1997=""),"",K1997*MIN(MAX(1,N(E1997)),MAX(0,INT((Config!$B$8-L1997)/30)+1)))</f>
        <v/>
      </c>
      <c r="O1997" s="29">
        <f>IF(J1997="","",J1997-N(N1997))</f>
        <v/>
      </c>
      <c r="P1997" s="27">
        <f>IF(A1997="","",MONTH(A1997))</f>
        <v/>
      </c>
      <c r="Q1997" s="27">
        <f>IF(A1997="","",YEAR(A1997))</f>
        <v/>
      </c>
      <c r="R1997" s="27">
        <f>IF(L1997="","",IF(L1997&gt;Config!$B$8,"A cair",IF(N(G1997)&gt;=MIN(MAX(1,N(E1997)),MAX(0,INT((Config!$B$8-L1997)/30)+1)),IF(N(G1997)&gt;=MAX(1,N(E1997)),"Conferido","Conferido até aqui"),"A conferir")))</f>
        <v/>
      </c>
      <c r="S1997" s="51">
        <f>IF(R1997="A conferir",(Config!$B$8-L1997)*1000+N(F1997)/1000+ROW()/100000,0)</f>
        <v>0</v>
      </c>
      <c r="T1997" s="51">
        <f>IF(R1997="A conferir",N(N1997),0)</f>
        <v>0</v>
      </c>
      <c r="U1997" s="51">
        <f>IF(L1997="",0,L1997)</f>
        <v>0</v>
      </c>
      <c r="V1997" s="51">
        <f>IF(L1997="",0,MAX(1,N(E1997)))</f>
        <v>0</v>
      </c>
      <c r="W1997" s="51">
        <f>IF(K1997="",0,K1997)</f>
        <v>0</v>
      </c>
    </row>
    <row r="1998">
      <c r="A1998" s="49" t="n"/>
      <c r="B1998" s="41" t="n"/>
      <c r="C1998" s="41" t="n"/>
      <c r="D1998" s="42" t="n"/>
      <c r="E1998" s="42" t="n"/>
      <c r="F1998" s="50" t="n"/>
      <c r="G1998" s="42" t="n"/>
      <c r="H1998" s="30">
        <f>IF(D1998="","",IFERROR(INDEX(Config!$B$12:$B$15,MATCH(IF(AND(D1998="Cartão de crédito",N(E1998)&gt;1),"Cartão de crédito parcelado",D1998),Config!$A$12:$A$15,0)),0)+IF(AND(Config!$B$17="Sim",LEFT(D1998,17)="Cartão de crédito"),Config!$B$18*IFERROR(INDEX(Config!$C$12:$C$15,MATCH(IF(AND(D1998="Cartão de crédito",N(E1998)&gt;1),"Cartão de crédito parcelado",D1998),Config!$A$12:$A$15,0)),0)/30*MAX(1,N(E1998)),0))</f>
        <v/>
      </c>
      <c r="I1998" s="29">
        <f>IF(OR(D1998="",F1998=""),"",ROUND(F1998*H1998,2))</f>
        <v/>
      </c>
      <c r="J1998" s="29">
        <f>IF(I1998="","",F1998-I1998)</f>
        <v/>
      </c>
      <c r="K1998" s="29">
        <f>IF(J1998="","",J1998/MAX(1,N(E1998)))</f>
        <v/>
      </c>
      <c r="L1998" s="37">
        <f>IF(OR(D1998="",A1998=""),"",A1998+IF(AND(Config!$B$17="Sim",LEFT(D1998,17)="Cartão de crédito"),1,IFERROR(INDEX(Config!$C$12:$C$15,MATCH(IF(AND(D1998="Cartão de crédito",N(E1998)&gt;1),"Cartão de crédito parcelado",D1998),Config!$A$12:$A$15,0)),0)))</f>
        <v/>
      </c>
      <c r="M1998" s="37">
        <f>IF(L1998="","",IF(AND(Config!$B$17="Sim",LEFT(D1998,17)="Cartão de crédito"),L1998,L1998+30*(MAX(1,N(E1998))-1)))</f>
        <v/>
      </c>
      <c r="N1998" s="29">
        <f>IF(OR(L1998="",K1998=""),"",K1998*MIN(MAX(1,N(E1998)),MAX(0,INT((Config!$B$8-L1998)/30)+1)))</f>
        <v/>
      </c>
      <c r="O1998" s="29">
        <f>IF(J1998="","",J1998-N(N1998))</f>
        <v/>
      </c>
      <c r="P1998" s="27">
        <f>IF(A1998="","",MONTH(A1998))</f>
        <v/>
      </c>
      <c r="Q1998" s="27">
        <f>IF(A1998="","",YEAR(A1998))</f>
        <v/>
      </c>
      <c r="R1998" s="27">
        <f>IF(L1998="","",IF(L1998&gt;Config!$B$8,"A cair",IF(N(G1998)&gt;=MIN(MAX(1,N(E1998)),MAX(0,INT((Config!$B$8-L1998)/30)+1)),IF(N(G1998)&gt;=MAX(1,N(E1998)),"Conferido","Conferido até aqui"),"A conferir")))</f>
        <v/>
      </c>
      <c r="S1998" s="51">
        <f>IF(R1998="A conferir",(Config!$B$8-L1998)*1000+N(F1998)/1000+ROW()/100000,0)</f>
        <v>0</v>
      </c>
      <c r="T1998" s="51">
        <f>IF(R1998="A conferir",N(N1998),0)</f>
        <v>0</v>
      </c>
      <c r="U1998" s="51">
        <f>IF(L1998="",0,L1998)</f>
        <v>0</v>
      </c>
      <c r="V1998" s="51">
        <f>IF(L1998="",0,MAX(1,N(E1998)))</f>
        <v>0</v>
      </c>
      <c r="W1998" s="51">
        <f>IF(K1998="",0,K1998)</f>
        <v>0</v>
      </c>
    </row>
    <row r="1999">
      <c r="A1999" s="49" t="n"/>
      <c r="B1999" s="41" t="n"/>
      <c r="C1999" s="41" t="n"/>
      <c r="D1999" s="42" t="n"/>
      <c r="E1999" s="42" t="n"/>
      <c r="F1999" s="50" t="n"/>
      <c r="G1999" s="42" t="n"/>
      <c r="H1999" s="30">
        <f>IF(D1999="","",IFERROR(INDEX(Config!$B$12:$B$15,MATCH(IF(AND(D1999="Cartão de crédito",N(E1999)&gt;1),"Cartão de crédito parcelado",D1999),Config!$A$12:$A$15,0)),0)+IF(AND(Config!$B$17="Sim",LEFT(D1999,17)="Cartão de crédito"),Config!$B$18*IFERROR(INDEX(Config!$C$12:$C$15,MATCH(IF(AND(D1999="Cartão de crédito",N(E1999)&gt;1),"Cartão de crédito parcelado",D1999),Config!$A$12:$A$15,0)),0)/30*MAX(1,N(E1999)),0))</f>
        <v/>
      </c>
      <c r="I1999" s="29">
        <f>IF(OR(D1999="",F1999=""),"",ROUND(F1999*H1999,2))</f>
        <v/>
      </c>
      <c r="J1999" s="29">
        <f>IF(I1999="","",F1999-I1999)</f>
        <v/>
      </c>
      <c r="K1999" s="29">
        <f>IF(J1999="","",J1999/MAX(1,N(E1999)))</f>
        <v/>
      </c>
      <c r="L1999" s="37">
        <f>IF(OR(D1999="",A1999=""),"",A1999+IF(AND(Config!$B$17="Sim",LEFT(D1999,17)="Cartão de crédito"),1,IFERROR(INDEX(Config!$C$12:$C$15,MATCH(IF(AND(D1999="Cartão de crédito",N(E1999)&gt;1),"Cartão de crédito parcelado",D1999),Config!$A$12:$A$15,0)),0)))</f>
        <v/>
      </c>
      <c r="M1999" s="37">
        <f>IF(L1999="","",IF(AND(Config!$B$17="Sim",LEFT(D1999,17)="Cartão de crédito"),L1999,L1999+30*(MAX(1,N(E1999))-1)))</f>
        <v/>
      </c>
      <c r="N1999" s="29">
        <f>IF(OR(L1999="",K1999=""),"",K1999*MIN(MAX(1,N(E1999)),MAX(0,INT((Config!$B$8-L1999)/30)+1)))</f>
        <v/>
      </c>
      <c r="O1999" s="29">
        <f>IF(J1999="","",J1999-N(N1999))</f>
        <v/>
      </c>
      <c r="P1999" s="27">
        <f>IF(A1999="","",MONTH(A1999))</f>
        <v/>
      </c>
      <c r="Q1999" s="27">
        <f>IF(A1999="","",YEAR(A1999))</f>
        <v/>
      </c>
      <c r="R1999" s="27">
        <f>IF(L1999="","",IF(L1999&gt;Config!$B$8,"A cair",IF(N(G1999)&gt;=MIN(MAX(1,N(E1999)),MAX(0,INT((Config!$B$8-L1999)/30)+1)),IF(N(G1999)&gt;=MAX(1,N(E1999)),"Conferido","Conferido até aqui"),"A conferir")))</f>
        <v/>
      </c>
      <c r="S1999" s="51">
        <f>IF(R1999="A conferir",(Config!$B$8-L1999)*1000+N(F1999)/1000+ROW()/100000,0)</f>
        <v>0</v>
      </c>
      <c r="T1999" s="51">
        <f>IF(R1999="A conferir",N(N1999),0)</f>
        <v>0</v>
      </c>
      <c r="U1999" s="51">
        <f>IF(L1999="",0,L1999)</f>
        <v>0</v>
      </c>
      <c r="V1999" s="51">
        <f>IF(L1999="",0,MAX(1,N(E1999)))</f>
        <v>0</v>
      </c>
      <c r="W1999" s="51">
        <f>IF(K1999="",0,K1999)</f>
        <v>0</v>
      </c>
    </row>
    <row r="2000">
      <c r="A2000" s="49" t="n"/>
      <c r="B2000" s="41" t="n"/>
      <c r="C2000" s="41" t="n"/>
      <c r="D2000" s="42" t="n"/>
      <c r="E2000" s="42" t="n"/>
      <c r="F2000" s="50" t="n"/>
      <c r="G2000" s="42" t="n"/>
      <c r="H2000" s="30">
        <f>IF(D2000="","",IFERROR(INDEX(Config!$B$12:$B$15,MATCH(IF(AND(D2000="Cartão de crédito",N(E2000)&gt;1),"Cartão de crédito parcelado",D2000),Config!$A$12:$A$15,0)),0)+IF(AND(Config!$B$17="Sim",LEFT(D2000,17)="Cartão de crédito"),Config!$B$18*IFERROR(INDEX(Config!$C$12:$C$15,MATCH(IF(AND(D2000="Cartão de crédito",N(E2000)&gt;1),"Cartão de crédito parcelado",D2000),Config!$A$12:$A$15,0)),0)/30*MAX(1,N(E2000)),0))</f>
        <v/>
      </c>
      <c r="I2000" s="29">
        <f>IF(OR(D2000="",F2000=""),"",ROUND(F2000*H2000,2))</f>
        <v/>
      </c>
      <c r="J2000" s="29">
        <f>IF(I2000="","",F2000-I2000)</f>
        <v/>
      </c>
      <c r="K2000" s="29">
        <f>IF(J2000="","",J2000/MAX(1,N(E2000)))</f>
        <v/>
      </c>
      <c r="L2000" s="37">
        <f>IF(OR(D2000="",A2000=""),"",A2000+IF(AND(Config!$B$17="Sim",LEFT(D2000,17)="Cartão de crédito"),1,IFERROR(INDEX(Config!$C$12:$C$15,MATCH(IF(AND(D2000="Cartão de crédito",N(E2000)&gt;1),"Cartão de crédito parcelado",D2000),Config!$A$12:$A$15,0)),0)))</f>
        <v/>
      </c>
      <c r="M2000" s="37">
        <f>IF(L2000="","",IF(AND(Config!$B$17="Sim",LEFT(D2000,17)="Cartão de crédito"),L2000,L2000+30*(MAX(1,N(E2000))-1)))</f>
        <v/>
      </c>
      <c r="N2000" s="29">
        <f>IF(OR(L2000="",K2000=""),"",K2000*MIN(MAX(1,N(E2000)),MAX(0,INT((Config!$B$8-L2000)/30)+1)))</f>
        <v/>
      </c>
      <c r="O2000" s="29">
        <f>IF(J2000="","",J2000-N(N2000))</f>
        <v/>
      </c>
      <c r="P2000" s="27">
        <f>IF(A2000="","",MONTH(A2000))</f>
        <v/>
      </c>
      <c r="Q2000" s="27">
        <f>IF(A2000="","",YEAR(A2000))</f>
        <v/>
      </c>
      <c r="R2000" s="27">
        <f>IF(L2000="","",IF(L2000&gt;Config!$B$8,"A cair",IF(N(G2000)&gt;=MIN(MAX(1,N(E2000)),MAX(0,INT((Config!$B$8-L2000)/30)+1)),IF(N(G2000)&gt;=MAX(1,N(E2000)),"Conferido","Conferido até aqui"),"A conferir")))</f>
        <v/>
      </c>
      <c r="S2000" s="51">
        <f>IF(R2000="A conferir",(Config!$B$8-L2000)*1000+N(F2000)/1000+ROW()/100000,0)</f>
        <v>0</v>
      </c>
      <c r="T2000" s="51">
        <f>IF(R2000="A conferir",N(N2000),0)</f>
        <v>0</v>
      </c>
      <c r="U2000" s="51">
        <f>IF(L2000="",0,L2000)</f>
        <v>0</v>
      </c>
      <c r="V2000" s="51">
        <f>IF(L2000="",0,MAX(1,N(E2000)))</f>
        <v>0</v>
      </c>
      <c r="W2000" s="51">
        <f>IF(K2000="",0,K2000)</f>
        <v>0</v>
      </c>
    </row>
    <row r="2001">
      <c r="A2001" s="49" t="n"/>
      <c r="B2001" s="41" t="n"/>
      <c r="C2001" s="41" t="n"/>
      <c r="D2001" s="42" t="n"/>
      <c r="E2001" s="42" t="n"/>
      <c r="F2001" s="50" t="n"/>
      <c r="G2001" s="42" t="n"/>
      <c r="H2001" s="30">
        <f>IF(D2001="","",IFERROR(INDEX(Config!$B$12:$B$15,MATCH(IF(AND(D2001="Cartão de crédito",N(E2001)&gt;1),"Cartão de crédito parcelado",D2001),Config!$A$12:$A$15,0)),0)+IF(AND(Config!$B$17="Sim",LEFT(D2001,17)="Cartão de crédito"),Config!$B$18*IFERROR(INDEX(Config!$C$12:$C$15,MATCH(IF(AND(D2001="Cartão de crédito",N(E2001)&gt;1),"Cartão de crédito parcelado",D2001),Config!$A$12:$A$15,0)),0)/30*MAX(1,N(E2001)),0))</f>
        <v/>
      </c>
      <c r="I2001" s="29">
        <f>IF(OR(D2001="",F2001=""),"",ROUND(F2001*H2001,2))</f>
        <v/>
      </c>
      <c r="J2001" s="29">
        <f>IF(I2001="","",F2001-I2001)</f>
        <v/>
      </c>
      <c r="K2001" s="29">
        <f>IF(J2001="","",J2001/MAX(1,N(E2001)))</f>
        <v/>
      </c>
      <c r="L2001" s="37">
        <f>IF(OR(D2001="",A2001=""),"",A2001+IF(AND(Config!$B$17="Sim",LEFT(D2001,17)="Cartão de crédito"),1,IFERROR(INDEX(Config!$C$12:$C$15,MATCH(IF(AND(D2001="Cartão de crédito",N(E2001)&gt;1),"Cartão de crédito parcelado",D2001),Config!$A$12:$A$15,0)),0)))</f>
        <v/>
      </c>
      <c r="M2001" s="37">
        <f>IF(L2001="","",IF(AND(Config!$B$17="Sim",LEFT(D2001,17)="Cartão de crédito"),L2001,L2001+30*(MAX(1,N(E2001))-1)))</f>
        <v/>
      </c>
      <c r="N2001" s="29">
        <f>IF(OR(L2001="",K2001=""),"",K2001*MIN(MAX(1,N(E2001)),MAX(0,INT((Config!$B$8-L2001)/30)+1)))</f>
        <v/>
      </c>
      <c r="O2001" s="29">
        <f>IF(J2001="","",J2001-N(N2001))</f>
        <v/>
      </c>
      <c r="P2001" s="27">
        <f>IF(A2001="","",MONTH(A2001))</f>
        <v/>
      </c>
      <c r="Q2001" s="27">
        <f>IF(A2001="","",YEAR(A2001))</f>
        <v/>
      </c>
      <c r="R2001" s="27">
        <f>IF(L2001="","",IF(L2001&gt;Config!$B$8,"A cair",IF(N(G2001)&gt;=MIN(MAX(1,N(E2001)),MAX(0,INT((Config!$B$8-L2001)/30)+1)),IF(N(G2001)&gt;=MAX(1,N(E2001)),"Conferido","Conferido até aqui"),"A conferir")))</f>
        <v/>
      </c>
      <c r="S2001" s="51">
        <f>IF(R2001="A conferir",(Config!$B$8-L2001)*1000+N(F2001)/1000+ROW()/100000,0)</f>
        <v>0</v>
      </c>
      <c r="T2001" s="51">
        <f>IF(R2001="A conferir",N(N2001),0)</f>
        <v>0</v>
      </c>
      <c r="U2001" s="51">
        <f>IF(L2001="",0,L2001)</f>
        <v>0</v>
      </c>
      <c r="V2001" s="51">
        <f>IF(L2001="",0,MAX(1,N(E2001)))</f>
        <v>0</v>
      </c>
      <c r="W2001" s="51">
        <f>IF(K2001="",0,K2001)</f>
        <v>0</v>
      </c>
    </row>
    <row r="2002">
      <c r="A2002" s="49" t="n"/>
      <c r="B2002" s="41" t="n"/>
      <c r="C2002" s="41" t="n"/>
      <c r="D2002" s="42" t="n"/>
      <c r="E2002" s="42" t="n"/>
      <c r="F2002" s="50" t="n"/>
      <c r="G2002" s="42" t="n"/>
      <c r="H2002" s="30">
        <f>IF(D2002="","",IFERROR(INDEX(Config!$B$12:$B$15,MATCH(IF(AND(D2002="Cartão de crédito",N(E2002)&gt;1),"Cartão de crédito parcelado",D2002),Config!$A$12:$A$15,0)),0)+IF(AND(Config!$B$17="Sim",LEFT(D2002,17)="Cartão de crédito"),Config!$B$18*IFERROR(INDEX(Config!$C$12:$C$15,MATCH(IF(AND(D2002="Cartão de crédito",N(E2002)&gt;1),"Cartão de crédito parcelado",D2002),Config!$A$12:$A$15,0)),0)/30*MAX(1,N(E2002)),0))</f>
        <v/>
      </c>
      <c r="I2002" s="29">
        <f>IF(OR(D2002="",F2002=""),"",ROUND(F2002*H2002,2))</f>
        <v/>
      </c>
      <c r="J2002" s="29">
        <f>IF(I2002="","",F2002-I2002)</f>
        <v/>
      </c>
      <c r="K2002" s="29">
        <f>IF(J2002="","",J2002/MAX(1,N(E2002)))</f>
        <v/>
      </c>
      <c r="L2002" s="37">
        <f>IF(OR(D2002="",A2002=""),"",A2002+IF(AND(Config!$B$17="Sim",LEFT(D2002,17)="Cartão de crédito"),1,IFERROR(INDEX(Config!$C$12:$C$15,MATCH(IF(AND(D2002="Cartão de crédito",N(E2002)&gt;1),"Cartão de crédito parcelado",D2002),Config!$A$12:$A$15,0)),0)))</f>
        <v/>
      </c>
      <c r="M2002" s="37">
        <f>IF(L2002="","",IF(AND(Config!$B$17="Sim",LEFT(D2002,17)="Cartão de crédito"),L2002,L2002+30*(MAX(1,N(E2002))-1)))</f>
        <v/>
      </c>
      <c r="N2002" s="29">
        <f>IF(OR(L2002="",K2002=""),"",K2002*MIN(MAX(1,N(E2002)),MAX(0,INT((Config!$B$8-L2002)/30)+1)))</f>
        <v/>
      </c>
      <c r="O2002" s="29">
        <f>IF(J2002="","",J2002-N(N2002))</f>
        <v/>
      </c>
      <c r="P2002" s="27">
        <f>IF(A2002="","",MONTH(A2002))</f>
        <v/>
      </c>
      <c r="Q2002" s="27">
        <f>IF(A2002="","",YEAR(A2002))</f>
        <v/>
      </c>
      <c r="R2002" s="27">
        <f>IF(L2002="","",IF(L2002&gt;Config!$B$8,"A cair",IF(N(G2002)&gt;=MIN(MAX(1,N(E2002)),MAX(0,INT((Config!$B$8-L2002)/30)+1)),IF(N(G2002)&gt;=MAX(1,N(E2002)),"Conferido","Conferido até aqui"),"A conferir")))</f>
        <v/>
      </c>
      <c r="S2002" s="51">
        <f>IF(R2002="A conferir",(Config!$B$8-L2002)*1000+N(F2002)/1000+ROW()/100000,0)</f>
        <v>0</v>
      </c>
      <c r="T2002" s="51">
        <f>IF(R2002="A conferir",N(N2002),0)</f>
        <v>0</v>
      </c>
      <c r="U2002" s="51">
        <f>IF(L2002="",0,L2002)</f>
        <v>0</v>
      </c>
      <c r="V2002" s="51">
        <f>IF(L2002="",0,MAX(1,N(E2002)))</f>
        <v>0</v>
      </c>
      <c r="W2002" s="51">
        <f>IF(K2002="",0,K2002)</f>
        <v>0</v>
      </c>
    </row>
    <row r="2003">
      <c r="A2003" s="49" t="n"/>
      <c r="B2003" s="41" t="n"/>
      <c r="C2003" s="41" t="n"/>
      <c r="D2003" s="42" t="n"/>
      <c r="E2003" s="42" t="n"/>
      <c r="F2003" s="50" t="n"/>
      <c r="G2003" s="42" t="n"/>
      <c r="H2003" s="30">
        <f>IF(D2003="","",IFERROR(INDEX(Config!$B$12:$B$15,MATCH(IF(AND(D2003="Cartão de crédito",N(E2003)&gt;1),"Cartão de crédito parcelado",D2003),Config!$A$12:$A$15,0)),0)+IF(AND(Config!$B$17="Sim",LEFT(D2003,17)="Cartão de crédito"),Config!$B$18*IFERROR(INDEX(Config!$C$12:$C$15,MATCH(IF(AND(D2003="Cartão de crédito",N(E2003)&gt;1),"Cartão de crédito parcelado",D2003),Config!$A$12:$A$15,0)),0)/30*MAX(1,N(E2003)),0))</f>
        <v/>
      </c>
      <c r="I2003" s="29">
        <f>IF(OR(D2003="",F2003=""),"",ROUND(F2003*H2003,2))</f>
        <v/>
      </c>
      <c r="J2003" s="29">
        <f>IF(I2003="","",F2003-I2003)</f>
        <v/>
      </c>
      <c r="K2003" s="29">
        <f>IF(J2003="","",J2003/MAX(1,N(E2003)))</f>
        <v/>
      </c>
      <c r="L2003" s="37">
        <f>IF(OR(D2003="",A2003=""),"",A2003+IF(AND(Config!$B$17="Sim",LEFT(D2003,17)="Cartão de crédito"),1,IFERROR(INDEX(Config!$C$12:$C$15,MATCH(IF(AND(D2003="Cartão de crédito",N(E2003)&gt;1),"Cartão de crédito parcelado",D2003),Config!$A$12:$A$15,0)),0)))</f>
        <v/>
      </c>
      <c r="M2003" s="37">
        <f>IF(L2003="","",IF(AND(Config!$B$17="Sim",LEFT(D2003,17)="Cartão de crédito"),L2003,L2003+30*(MAX(1,N(E2003))-1)))</f>
        <v/>
      </c>
      <c r="N2003" s="29">
        <f>IF(OR(L2003="",K2003=""),"",K2003*MIN(MAX(1,N(E2003)),MAX(0,INT((Config!$B$8-L2003)/30)+1)))</f>
        <v/>
      </c>
      <c r="O2003" s="29">
        <f>IF(J2003="","",J2003-N(N2003))</f>
        <v/>
      </c>
      <c r="P2003" s="27">
        <f>IF(A2003="","",MONTH(A2003))</f>
        <v/>
      </c>
      <c r="Q2003" s="27">
        <f>IF(A2003="","",YEAR(A2003))</f>
        <v/>
      </c>
      <c r="R2003" s="27">
        <f>IF(L2003="","",IF(L2003&gt;Config!$B$8,"A cair",IF(N(G2003)&gt;=MIN(MAX(1,N(E2003)),MAX(0,INT((Config!$B$8-L2003)/30)+1)),IF(N(G2003)&gt;=MAX(1,N(E2003)),"Conferido","Conferido até aqui"),"A conferir")))</f>
        <v/>
      </c>
      <c r="S2003" s="51">
        <f>IF(R2003="A conferir",(Config!$B$8-L2003)*1000+N(F2003)/1000+ROW()/100000,0)</f>
        <v>0</v>
      </c>
      <c r="T2003" s="51">
        <f>IF(R2003="A conferir",N(N2003),0)</f>
        <v>0</v>
      </c>
      <c r="U2003" s="51">
        <f>IF(L2003="",0,L2003)</f>
        <v>0</v>
      </c>
      <c r="V2003" s="51">
        <f>IF(L2003="",0,MAX(1,N(E2003)))</f>
        <v>0</v>
      </c>
      <c r="W2003" s="51">
        <f>IF(K2003="",0,K2003)</f>
        <v>0</v>
      </c>
    </row>
    <row r="2004">
      <c r="A2004" s="49" t="n"/>
      <c r="B2004" s="41" t="n"/>
      <c r="C2004" s="41" t="n"/>
      <c r="D2004" s="42" t="n"/>
      <c r="E2004" s="42" t="n"/>
      <c r="F2004" s="50" t="n"/>
      <c r="G2004" s="42" t="n"/>
      <c r="H2004" s="30">
        <f>IF(D2004="","",IFERROR(INDEX(Config!$B$12:$B$15,MATCH(IF(AND(D2004="Cartão de crédito",N(E2004)&gt;1),"Cartão de crédito parcelado",D2004),Config!$A$12:$A$15,0)),0)+IF(AND(Config!$B$17="Sim",LEFT(D2004,17)="Cartão de crédito"),Config!$B$18*IFERROR(INDEX(Config!$C$12:$C$15,MATCH(IF(AND(D2004="Cartão de crédito",N(E2004)&gt;1),"Cartão de crédito parcelado",D2004),Config!$A$12:$A$15,0)),0)/30*MAX(1,N(E2004)),0))</f>
        <v/>
      </c>
      <c r="I2004" s="29">
        <f>IF(OR(D2004="",F2004=""),"",ROUND(F2004*H2004,2))</f>
        <v/>
      </c>
      <c r="J2004" s="29">
        <f>IF(I2004="","",F2004-I2004)</f>
        <v/>
      </c>
      <c r="K2004" s="29">
        <f>IF(J2004="","",J2004/MAX(1,N(E2004)))</f>
        <v/>
      </c>
      <c r="L2004" s="37">
        <f>IF(OR(D2004="",A2004=""),"",A2004+IF(AND(Config!$B$17="Sim",LEFT(D2004,17)="Cartão de crédito"),1,IFERROR(INDEX(Config!$C$12:$C$15,MATCH(IF(AND(D2004="Cartão de crédito",N(E2004)&gt;1),"Cartão de crédito parcelado",D2004),Config!$A$12:$A$15,0)),0)))</f>
        <v/>
      </c>
      <c r="M2004" s="37">
        <f>IF(L2004="","",IF(AND(Config!$B$17="Sim",LEFT(D2004,17)="Cartão de crédito"),L2004,L2004+30*(MAX(1,N(E2004))-1)))</f>
        <v/>
      </c>
      <c r="N2004" s="29">
        <f>IF(OR(L2004="",K2004=""),"",K2004*MIN(MAX(1,N(E2004)),MAX(0,INT((Config!$B$8-L2004)/30)+1)))</f>
        <v/>
      </c>
      <c r="O2004" s="29">
        <f>IF(J2004="","",J2004-N(N2004))</f>
        <v/>
      </c>
      <c r="P2004" s="27">
        <f>IF(A2004="","",MONTH(A2004))</f>
        <v/>
      </c>
      <c r="Q2004" s="27">
        <f>IF(A2004="","",YEAR(A2004))</f>
        <v/>
      </c>
      <c r="R2004" s="27">
        <f>IF(L2004="","",IF(L2004&gt;Config!$B$8,"A cair",IF(N(G2004)&gt;=MIN(MAX(1,N(E2004)),MAX(0,INT((Config!$B$8-L2004)/30)+1)),IF(N(G2004)&gt;=MAX(1,N(E2004)),"Conferido","Conferido até aqui"),"A conferir")))</f>
        <v/>
      </c>
      <c r="S2004" s="51">
        <f>IF(R2004="A conferir",(Config!$B$8-L2004)*1000+N(F2004)/1000+ROW()/100000,0)</f>
        <v>0</v>
      </c>
      <c r="T2004" s="51">
        <f>IF(R2004="A conferir",N(N2004),0)</f>
        <v>0</v>
      </c>
      <c r="U2004" s="51">
        <f>IF(L2004="",0,L2004)</f>
        <v>0</v>
      </c>
      <c r="V2004" s="51">
        <f>IF(L2004="",0,MAX(1,N(E2004)))</f>
        <v>0</v>
      </c>
      <c r="W2004" s="51">
        <f>IF(K2004="",0,K2004)</f>
        <v>0</v>
      </c>
    </row>
    <row r="2006" ht="30" customHeight="1">
      <c r="A2006" s="38" t="inlineStr">
        <is>
          <t>Vermelho: a previsão da 1ª parcela passou e ninguém conferiu no extrato (ou não caiu). Lilás: ainda vai cair. Verde: conferido. Parcelado: a planilha divide o líquido pelo número de parcelas e cada uma cai de 30 em 30 dias a partir da 1ª — "Já previsto até hoje" soma só as parcelas que já venceram e "Ainda vai cair" é o resto. Por isso uma venda em 2× aparece com metade do valor em cada dia, e não com o valor inteiro no primeiro.</t>
        </is>
      </c>
    </row>
    <row r="2007">
      <c r="A2007" s="21" t="inlineStr">
        <is>
          <t>No exemplo, as vendas vêm da Agenda da 01 (01/07 a 11/09/2026); conferidas as que tinham previsão até 09/09. O caixa (09) registra o valor bruto no dia da venda e as taxas do mês numa saída única no fim do mês.</t>
        </is>
      </c>
    </row>
    <row r="2008">
      <c r="A2008" s="21" t="inlineStr">
        <is>
          <t>Esta aba tem 2000 linhas (5 a 2004): com cerca de 100 pagamentos por mês no Pix e no cartão, passa de um ano. Para estender, desproteja a aba, copie a última linha para baixo e ajuste o número final nas fórmulas do Painel; ou comece um arquivo por ano, junto com a agenda (01).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R2004"/>
  <mergeCells count="3">
    <mergeCell ref="A1:O1"/>
    <mergeCell ref="A2:O2"/>
    <mergeCell ref="A2006:R2006"/>
  </mergeCells>
  <conditionalFormatting sqref="A5:R2004">
    <cfRule type="expression" priority="1" dxfId="3">
      <formula>$R5="A conferir"</formula>
    </cfRule>
    <cfRule type="expression" priority="2" dxfId="4">
      <formula>LEFT($R5,9)="Conferido"</formula>
    </cfRule>
    <cfRule type="expression" priority="3" dxfId="5">
      <formula>$R5="A cair"</formula>
    </cfRule>
  </conditionalFormatting>
  <dataValidations count="5">
    <dataValidation sqref="D5:D2004" showDropDown="0" showInputMessage="0" showErrorMessage="1" allowBlank="1" type="list">
      <formula1>"Pix,Cartão de débito,Cartão de crédito"</formula1>
    </dataValidation>
    <dataValidation sqref="G5:G2004" showDropDown="0" showInputMessage="0" showErrorMessage="1" allowBlank="1" type="list">
      <formula1>"Sim,Não"</formula1>
    </dataValidation>
    <dataValidation sqref="E5:E2004" showDropDown="0" showInputMessage="0" showErrorMessage="1" allowBlank="1" type="whole" operator="between">
      <formula1>1</formula1>
      <formula2>12</formula2>
    </dataValidation>
    <dataValidation sqref="A5:A2004" showDropDown="0" showInputMessage="0" showErrorMessage="1" allowBlank="1" type="date" operator="greaterThan">
      <formula1>1</formula1>
    </dataValidation>
    <dataValidation sqref="F5:F2004" showDropDown="0" showInputMessage="0" showErrorMessage="1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Conciliação de cartão e taxas · Kit de Gestão para Médicos</dc:title>
  <dcterms:created xmlns:dcterms="http://purl.org/dc/terms/" xmlns:xsi="http://www.w3.org/2001/XMLSchema-instance" xsi:type="dcterms:W3CDTF">2026-09-17T15:51:53Z</dcterms:created>
  <dcterms:modified xmlns:dcterms="http://purl.org/dc/terms/" xmlns:xsi="http://www.w3.org/2001/XMLSchema-instance" xsi:type="dcterms:W3CDTF">2026-09-17T15:51:56Z</dcterms:modified>
</cp:coreProperties>
</file>