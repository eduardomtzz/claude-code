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color rgb="008A86A0"/>
        <sz val="10"/>
      </font>
      <fill>
        <patternFill patternType="solid">
          <fgColor rgb="00EDEDED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IF(COUNT(Metas!$H$5:$H$13)=0,"Faltam dados",AVERAGEIFS(Metas!$H$5:$H$13,Metas!$B$5:$B$13,"&lt;&gt;"))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IF(OR(Metas!$A$5="",B9=0),"",IF(COUNT(Metas!$H$5:$H$7)=0,"Faltam dados",AVERAGEIFS(Metas!$H$5:$H$7,Metas!$B$5:$B$7,"&lt;&gt;")))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IF(ISNUMBER(C9),REPT("█",ROUND(C9*30,0)),"")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IF(OR(Metas!$A$8="",B10=0),"",IF(COUNT(Metas!$H$8:$H$10)=0,"Faltam dados",AVERAGEIFS(Metas!$H$8:$H$10,Metas!$B$8:$B$10,"&lt;&gt;")))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IF(ISNUMBER(C10),REPT("█",ROUND(C10*30,0)),"")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IF(OR(Metas!$A$11="",B11=0),"",IF(COUNT(Metas!$H$11:$H$13)=0,"Faltam dados",AVERAGEIFS(Metas!$H$11:$H$13,Metas!$B$11:$B$13,"&lt;&gt;")))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IF(ISNUMBER(C11),REPT("█",ROUND(C11*30,0)),"")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G15="Faltam dados"</formula>
    </cfRule>
    <cfRule type="expression" priority="2" dxfId="1">
      <formula>G15="Atingido"</formula>
    </cfRule>
    <cfRule type="expression" priority="3" dxfId="2">
      <formula>G15="No ritmo"</formula>
    </cfRule>
    <cfRule type="expression" priority="4" dxfId="3">
      <formula>G15="Atenção"</formula>
    </cfRule>
    <cfRule type="expression" priority="5" dxfId="4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IF(B5="","",IF(OR(NOT(ISNUMBER(E5)),NOT(ISNUMBER(F5)),NOT(ISNUMBER(G5)),AND(K5&lt;&gt;"Menor é melhor",K5&lt;&gt;"Maior é melhor")),"",IF(K5="Menor é melhor",IF(G5&lt;=F5,1,IF(E5&gt;F5,MAX(0,(E5-G5)/(E5-F5)),MAX(0,1-(G5-F5)/MAX(ABS(F5),ABS(G5))))),IF(G5&gt;=F5,1,IF(E5&lt;F5,MAX(0,(G5-E5)/(F5-E5)),MAX(0,1-(F5-G5)/MAX(ABS(F5),ABS(G5))))))))</f>
        <v>0</v>
      </c>
      <c r="I5" s="25">
        <f>IF(B5="","",Config!$B$10)</f>
        <v>0.824175824175824</v>
      </c>
      <c r="J5" s="24" t="str">
        <f>IF(B5="","",IF(H5="","Faltam dados",IF(H5&gt;=1,"Atingido",IF(H5&gt;=I5-0.1,"No ritmo",IF(H5&gt;=I5-0.25,"Atenção","Em risco")))))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IF(B6="","",IF(OR(NOT(ISNUMBER(E6)),NOT(ISNUMBER(F6)),NOT(ISNUMBER(G6)),AND(K6&lt;&gt;"Menor é melhor",K6&lt;&gt;"Maior é melhor")),"",IF(K6="Menor é melhor",IF(G6&lt;=F6,1,IF(E6&gt;F6,MAX(0,(E6-G6)/(E6-F6)),MAX(0,1-(G6-F6)/MAX(ABS(F6),ABS(G6))))),IF(G6&gt;=F6,1,IF(E6&lt;F6,MAX(0,(G6-E6)/(F6-E6)),MAX(0,1-(F6-G6)/MAX(ABS(F6),ABS(G6))))))))</f>
        <v>0</v>
      </c>
      <c r="I6" s="25">
        <f>IF(B6="","",Config!$B$10)</f>
        <v>0.824175824175824</v>
      </c>
      <c r="J6" s="24" t="str">
        <f>IF(B6="","",IF(H6="","Faltam dados",IF(H6&gt;=1,"Atingido",IF(H6&gt;=I6-0.1,"No ritmo",IF(H6&gt;=I6-0.25,"Atenção","Em risco")))))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IF(B7="","",IF(OR(NOT(ISNUMBER(E7)),NOT(ISNUMBER(F7)),NOT(ISNUMBER(G7)),AND(K7&lt;&gt;"Menor é melhor",K7&lt;&gt;"Maior é melhor")),"",IF(K7="Menor é melhor",IF(G7&lt;=F7,1,IF(E7&gt;F7,MAX(0,(E7-G7)/(E7-F7)),MAX(0,1-(G7-F7)/MAX(ABS(F7),ABS(G7))))),IF(G7&gt;=F7,1,IF(E7&lt;F7,MAX(0,(G7-E7)/(F7-E7)),MAX(0,1-(F7-G7)/MAX(ABS(F7),ABS(G7))))))))</f>
        <v>1</v>
      </c>
      <c r="I7" s="25">
        <f>IF(B7="","",Config!$B$10)</f>
        <v>0.824175824175824</v>
      </c>
      <c r="J7" s="24" t="str">
        <f>IF(B7="","",IF(H7="","Faltam dados",IF(H7&gt;=1,"Atingido",IF(H7&gt;=I7-0.1,"No ritmo",IF(H7&gt;=I7-0.25,"Atenção","Em risco")))))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IF(B8="","",IF(OR(NOT(ISNUMBER(E8)),NOT(ISNUMBER(F8)),NOT(ISNUMBER(G8)),AND(K8&lt;&gt;"Menor é melhor",K8&lt;&gt;"Maior é melhor")),"",IF(K8="Menor é melhor",IF(G8&lt;=F8,1,IF(E8&gt;F8,MAX(0,(E8-G8)/(E8-F8)),MAX(0,1-(G8-F8)/MAX(ABS(F8),ABS(G8))))),IF(G8&gt;=F8,1,IF(E8&lt;F8,MAX(0,(G8-E8)/(F8-E8)),MAX(0,1-(F8-G8)/MAX(ABS(F8),ABS(G8))))))))</f>
        <v>0.285714285714286</v>
      </c>
      <c r="I8" s="25">
        <f>IF(B8="","",Config!$B$10)</f>
        <v>0.824175824175824</v>
      </c>
      <c r="J8" s="24" t="str">
        <f>IF(B8="","",IF(H8="","Faltam dados",IF(H8&gt;=1,"Atingido",IF(H8&gt;=I8-0.1,"No ritmo",IF(H8&gt;=I8-0.25,"Atenção","Em risco")))))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IF(B9="","",IF(OR(NOT(ISNUMBER(E9)),NOT(ISNUMBER(F9)),NOT(ISNUMBER(G9)),AND(K9&lt;&gt;"Menor é melhor",K9&lt;&gt;"Maior é melhor")),"",IF(K9="Menor é melhor",IF(G9&lt;=F9,1,IF(E9&gt;F9,MAX(0,(E9-G9)/(E9-F9)),MAX(0,1-(G9-F9)/MAX(ABS(F9),ABS(G9))))),IF(G9&gt;=F9,1,IF(E9&lt;F9,MAX(0,(G9-E9)/(F9-E9)),MAX(0,1-(F9-G9)/MAX(ABS(F9),ABS(G9))))))))</f>
        <v>0.402985074626866</v>
      </c>
      <c r="I9" s="25">
        <f>IF(B9="","",Config!$B$10)</f>
        <v>0.824175824175824</v>
      </c>
      <c r="J9" s="24" t="str">
        <f>IF(B9="","",IF(H9="","Faltam dados",IF(H9&gt;=1,"Atingido",IF(H9&gt;=I9-0.1,"No ritmo",IF(H9&gt;=I9-0.25,"Atenção","Em risco")))))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IF(B10="","",IF(OR(NOT(ISNUMBER(E10)),NOT(ISNUMBER(F10)),NOT(ISNUMBER(G10)),AND(K10&lt;&gt;"Menor é melhor",K10&lt;&gt;"Maior é melhor")),"",IF(K10="Menor é melhor",IF(G10&lt;=F10,1,IF(E10&gt;F10,MAX(0,(E10-G10)/(E10-F10)),MAX(0,1-(G10-F10)/MAX(ABS(F10),ABS(G10))))),IF(G10&gt;=F10,1,IF(E10&lt;F10,MAX(0,(G10-E10)/(F10-E10)),MAX(0,1-(F10-G10)/MAX(ABS(F10),ABS(G10))))))))</f>
        <v>0.2</v>
      </c>
      <c r="I10" s="25">
        <f>IF(B10="","",Config!$B$10)</f>
        <v>0.824175824175824</v>
      </c>
      <c r="J10" s="24" t="str">
        <f>IF(B10="","",IF(H10="","Faltam dados",IF(H10&gt;=1,"Atingido",IF(H10&gt;=I10-0.1,"No ritmo",IF(H10&gt;=I10-0.25,"Atenção","Em risco")))))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IF(B11="","",IF(OR(NOT(ISNUMBER(E11)),NOT(ISNUMBER(F11)),NOT(ISNUMBER(G11)),AND(K11&lt;&gt;"Menor é melhor",K11&lt;&gt;"Maior é melhor")),"",IF(K11="Menor é melhor",IF(G11&lt;=F11,1,IF(E11&gt;F11,MAX(0,(E11-G11)/(E11-F11)),MAX(0,1-(G11-F11)/MAX(ABS(F11),ABS(G11))))),IF(G11&gt;=F11,1,IF(E11&lt;F11,MAX(0,(G11-E11)/(F11-E11)),MAX(0,1-(F11-G11)/MAX(ABS(F11),ABS(G11))))))))</f>
        <v>0.517241379310345</v>
      </c>
      <c r="I11" s="25">
        <f>IF(B11="","",Config!$B$10)</f>
        <v>0.824175824175824</v>
      </c>
      <c r="J11" s="24" t="str">
        <f>IF(B11="","",IF(H11="","Faltam dados",IF(H11&gt;=1,"Atingido",IF(H11&gt;=I11-0.1,"No ritmo",IF(H11&gt;=I11-0.25,"Atenção","Em risco")))))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IF(B12="","",IF(OR(NOT(ISNUMBER(E12)),NOT(ISNUMBER(F12)),NOT(ISNUMBER(G12)),AND(K12&lt;&gt;"Menor é melhor",K12&lt;&gt;"Maior é melhor")),"",IF(K12="Menor é melhor",IF(G12&lt;=F12,1,IF(E12&gt;F12,MAX(0,(E12-G12)/(E12-F12)),MAX(0,1-(G12-F12)/MAX(ABS(F12),ABS(G12))))),IF(G12&gt;=F12,1,IF(E12&lt;F12,MAX(0,(G12-E12)/(F12-E12)),MAX(0,1-(F12-G12)/MAX(ABS(F12),ABS(G12))))))))</f>
        <v>0.666666666666667</v>
      </c>
      <c r="I12" s="25">
        <f>IF(B12="","",Config!$B$10)</f>
        <v>0.824175824175824</v>
      </c>
      <c r="J12" s="24" t="str">
        <f>IF(B12="","",IF(H12="","Faltam dados",IF(H12&gt;=1,"Atingido",IF(H12&gt;=I12-0.1,"No ritmo",IF(H12&gt;=I12-0.25,"Atenção","Em risco")))))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IF(B13="","",IF(OR(NOT(ISNUMBER(E13)),NOT(ISNUMBER(F13)),NOT(ISNUMBER(G13)),AND(K13&lt;&gt;"Menor é melhor",K13&lt;&gt;"Maior é melhor")),"",IF(K13="Menor é melhor",IF(G13&lt;=F13,1,IF(E13&gt;F13,MAX(0,(E13-G13)/(E13-F13)),MAX(0,1-(G13-F13)/MAX(ABS(F13),ABS(G13))))),IF(G13&gt;=F13,1,IF(E13&lt;F13,MAX(0,(G13-E13)/(F13-E13)),MAX(0,1-(F13-G13)/MAX(ABS(F13),ABS(G13))))))))</f>
        <v>0.92916375262264</v>
      </c>
      <c r="I13" s="25">
        <f>IF(B13="","",Config!$B$10)</f>
        <v>0.824175824175824</v>
      </c>
      <c r="J13" s="24" t="str">
        <f>IF(B13="","",IF(H13="","Faltam dados",IF(H13&gt;=1,"Atingido",IF(H13&gt;=I13-0.1,"No ritmo",IF(H13&gt;=I13-0.25,"Atenção","Em risco")))))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Progresso: só é calculado com ponto de partida, meta, valor atual e sentido preenchidos (zero vale; vazio vira "Faltam dados" e fica fora das contagens; sem nenhuma medição, a média do Painel também diz "Faltam dados"). Valor atual no alvo = 100 %. Fora do alvo, é o caminho andado entre o ponto de partida e a meta; quando o ponto de partida já estava dentro da meta (um limite a manter), é a distância ao limite: para um teto ("Menor é melhor"), meta ÷ atual (16 para um teto de 8 = 50 %); para um piso ("Maior é melhor"), atual ÷ meta (4 para um piso de 8 = 50 %). Com zero ou valores negativos (um limite de prejuízo, por exemplo) a conta usa o maior valor absoluto como escala e nunca dá 100 % sem o alvo estar cumprido. 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J5="Faltam dados"</formula>
    </cfRule>
    <cfRule type="expression" priority="2" dxfId="1">
      <formula>J5="Atingido"</formula>
    </cfRule>
    <cfRule type="expression" priority="3" dxfId="2">
      <formula>J5="No ritmo"</formula>
    </cfRule>
    <cfRule type="expression" priority="4" dxfId="3">
      <formula>J5="Atenção"</formula>
    </cfRule>
    <cfRule type="expression" priority="5" dxfId="4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5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2026-09-19T03:59:35Z</dcterms:created>
  <dcterms:modified xmlns:dcterms="http://purl.org/dc/terms/" xmlns:xsi="http://www.w3.org/2001/XMLSchema-instance" xsi:type="dcterms:W3CDTF">2026-09-19T03:59:35Z</dcterms:modified>
</cp:coreProperties>
</file>