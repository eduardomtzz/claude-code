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Metas" sheetId="4" state="visible" r:id="rId4"/>
    <sheet xmlns:r="http://schemas.openxmlformats.org/officeDocument/2006/relationships" name="Seman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#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color rgb="003B1F5E"/>
      <sz val="10"/>
    </font>
    <font>
      <name val="Arial"/>
      <b val="1"/>
      <color rgb="00FFFFFF"/>
      <sz val="10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13"/>
    </font>
    <font>
      <name val="Arial"/>
      <color rgb="007A5AA8"/>
      <sz val="10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BE4E4"/>
      </patternFill>
    </fill>
    <fill>
      <patternFill patternType="solid">
        <fgColor rgb="00FFC83D"/>
      </patternFill>
    </fill>
  </fills>
  <borders count="9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 style="thin">
        <color rgb="00DCD2EC"/>
      </left>
      <right/>
      <top/>
      <bottom/>
      <diagonal/>
    </border>
    <border>
      <left style="thin">
        <color rgb="00DCD2EC"/>
      </left>
      <right style="thin">
        <color rgb="00DCD2EC"/>
      </right>
      <top/>
      <bottom/>
      <diagonal/>
    </border>
    <border>
      <left style="thin">
        <color rgb="00DCD2EC"/>
      </left>
      <right style="thin">
        <color rgb="00DCD2EC"/>
      </right>
      <top/>
      <bottom style="thin">
        <color rgb="00DCD2EC"/>
      </bottom>
      <diagonal/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5" fillId="0" borderId="0" pivotButton="0" quotePrefix="0" xfId="0"/>
    <xf numFmtId="0" fontId="14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11" fillId="6" borderId="0" applyAlignment="1" pivotButton="0" quotePrefix="0" xfId="0">
      <alignment horizontal="center"/>
    </xf>
    <xf numFmtId="0" fontId="0" fillId="6" borderId="0" pivotButton="0" quotePrefix="0" xfId="0"/>
    <xf numFmtId="0" fontId="8" fillId="7" borderId="0" applyAlignment="1" pivotButton="0" quotePrefix="0" xfId="0">
      <alignment horizontal="center"/>
    </xf>
    <xf numFmtId="0" fontId="0" fillId="7" borderId="0" pivotButton="0" quotePrefix="0" xfId="0"/>
    <xf numFmtId="3" fontId="1" fillId="4" borderId="0" applyAlignment="1" pivotButton="0" quotePrefix="0" xfId="0">
      <alignment horizontal="center"/>
    </xf>
    <xf numFmtId="3" fontId="10" fillId="5" borderId="0" applyAlignment="1" pivotButton="0" quotePrefix="0" xfId="0">
      <alignment horizontal="center"/>
    </xf>
    <xf numFmtId="3" fontId="12" fillId="6" borderId="0" applyAlignment="1" pivotButton="0" quotePrefix="0" xfId="0">
      <alignment horizontal="center"/>
    </xf>
    <xf numFmtId="9" fontId="1" fillId="7" borderId="0" applyAlignment="1" pivotButton="0" quotePrefix="0" xfId="0">
      <alignment horizontal="center"/>
    </xf>
    <xf numFmtId="0" fontId="13" fillId="0" borderId="0" applyAlignment="1" pivotButton="0" quotePrefix="0" xfId="0">
      <alignment horizontal="left" vertical="top"/>
    </xf>
    <xf numFmtId="0" fontId="7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14" fillId="0" borderId="1" pivotButton="0" quotePrefix="0" xfId="0"/>
    <xf numFmtId="0" fontId="4" fillId="0" borderId="1" pivotButton="0" quotePrefix="0" xfId="0"/>
    <xf numFmtId="166" fontId="4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6" fillId="0" borderId="0" pivotButton="0" quotePrefix="0" xfId="0"/>
    <xf numFmtId="0" fontId="4" fillId="2" borderId="1" applyAlignment="1" applyProtection="1" pivotButton="0" quotePrefix="0" xfId="0">
      <alignment vertical="top" wrapText="1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name val="Arial"/>
        <b val="1"/>
        <color rgb="00155E3C"/>
        <sz val="10"/>
      </font>
      <fill>
        <patternFill patternType="solid">
          <fgColor rgb="00DDF3E7"/>
        </patternFill>
      </fill>
    </dxf>
    <dxf>
      <font>
        <name val="Arial"/>
        <color rgb="00155E3C"/>
        <sz val="10"/>
      </font>
      <fill>
        <patternFill patternType="solid">
          <fgColor rgb="00E6F4EA"/>
        </patternFill>
      </fill>
    </dxf>
    <dxf>
      <font>
        <name val="Arial"/>
        <color rgb="007A5200"/>
        <sz val="10"/>
      </font>
      <fill>
        <patternFill patternType="solid">
          <fgColor rgb="00FFF4CC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b val="1"/>
        <color rgb="003B1F5E"/>
        <sz val="10"/>
      </font>
      <fill>
        <patternFill patternType="solid">
          <fgColor rgb="00FFC83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Metas do Trimestre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define até 3 objetivos da clínica com até 3 resultados-chave cada (ponto de partida, meta, valor atual). Ela calcula o progresso, compara com o tempo já decorrido do trimestre e acende o semáforo: atingido, no ritmo, atenção ou em risco.</t>
        </is>
      </c>
    </row>
    <row r="5" ht="46" customHeight="1">
      <c r="A5" s="3" t="inlineStr">
        <is>
          <t>Passo 1</t>
        </is>
      </c>
      <c r="B5" s="4" t="inlineStr">
        <is>
          <t>Em Config, preencha o trimestre, as datas de início e fim, troque a data de referência por =HOJE() (no exemplo ela está congelada em 14/09/2026) e liste as pessoas da clínica (de cima para baixo, sem pular linha).</t>
        </is>
      </c>
    </row>
    <row r="6" ht="46" customHeight="1">
      <c r="A6" s="3" t="inlineStr">
        <is>
          <t>Passo 2</t>
        </is>
      </c>
      <c r="B6" s="4" t="inlineStr">
        <is>
          <t>Em Metas, escreva cada objetivo e seus resultados-chave. Ponto de partida é o valor no dia 1; meta é onde quer chegar; valor atual é o número de hoje. Diga se maior ou menor é melhor. No exemplo, cada resultado-chave é um número de outra planilha do kit: ocupação e faltas (01, 02), glosa e atrasos (13), inadimplência, reserva e provisão (14, 12, 10).</t>
        </is>
      </c>
    </row>
    <row r="7" ht="46" customHeight="1">
      <c r="A7" s="3" t="inlineStr">
        <is>
          <t>Passo 3</t>
        </is>
      </c>
      <c r="B7" s="4" t="inlineStr">
        <is>
          <t>Toda sexta, atualize o valor atual (os números vêm do Painel da clínica, 17, ou dos painéis das planilhas de origem) e copie para a coluna da semana em Semanas. Semana sem número: escreva "—", não 0. O Painel mostra o resumo por objetivo e a lista completa com semáforo. No exemplo, S1 a S11 são as sextas de 03/07 a 11/09/2026.</t>
        </is>
      </c>
    </row>
    <row r="8" ht="46" customHeight="1">
      <c r="A8" s="3" t="inlineStr">
        <is>
          <t>Rotina</t>
        </is>
      </c>
      <c r="B8" s="4" t="inlineStr">
        <is>
          <t>Esta é uma planilha MENSAL. Na sexta, os valores já estão no Painel da clínica (17), que você atualiza em 3 minutos: copiar o número de cada resultado-chave para a coluna da semana em Semanas leva menos de um minuto e cabe nessa mesma parada. A conversa sobre as metas é mensal: primeira segunda do mês, 20 minutos entre os sócios olhando o Painel.</t>
        </is>
      </c>
    </row>
    <row r="9" ht="46" customHeight="1">
      <c r="A9" s="3" t="inlineStr">
        <is>
          <t>Com a IA</t>
        </is>
      </c>
      <c r="B9" s="4" t="inlineStr">
        <is>
          <t>Copie a tabela "Todos os resultados-chave" e use o prompt "Painel 05 · Meta realista para o trimestre" ou "Painel 06 · Meta × realizado: explicar o desvio" da biblioteca do kit. No fim do trimestre, o modelo de apresentação "Resultado do mês para os sócios".</t>
        </is>
      </c>
    </row>
    <row r="10" ht="46" customHeight="1">
      <c r="A10" s="3" t="inlineStr">
        <is>
          <t>Legenda</t>
        </is>
      </c>
      <c r="B10" s="4" t="inlineStr">
        <is>
          <t>Células amarelas: você preenche. Brancas: calculadas. Não é preciso mexer em nada fora do amarelo.</t>
        </is>
      </c>
    </row>
    <row r="11" ht="46" customHeight="1">
      <c r="A11" s="3" t="inlineStr">
        <is>
          <t>Proteção</t>
        </is>
      </c>
      <c r="B11" s="4" t="inlineStr">
        <is>
          <t>Fórmulas protegidas sem senha. Para editar: Revisar &gt; Desproteger planilha (Excel) ou Dados &gt; Proteger intervalos (Google Sheets).</t>
        </is>
      </c>
    </row>
    <row r="12" ht="46" customHeight="1">
      <c r="A12" s="3" t="inlineStr">
        <is>
          <t>Requisitos</t>
        </is>
      </c>
      <c r="B12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3" ht="46" customHeight="1">
      <c r="A13" s="3" t="inlineStr">
        <is>
          <t>Dados de pacientes</t>
        </is>
      </c>
      <c r="B13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5" ht="46" customHeight="1">
      <c r="A15" s="3" t="inlineStr">
        <is>
          <t>Exemplos</t>
        </is>
      </c>
      <c r="B15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6" ht="46" customHeight="1">
      <c r="A16" s="3" t="inlineStr">
        <is>
          <t>Data de referência</t>
        </is>
      </c>
      <c r="B16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10" customWidth="1" min="3" max="3"/>
    <col width="10" customWidth="1" min="4" max="4"/>
    <col width="11" customWidth="1" min="5" max="5"/>
    <col width="10" customWidth="1" min="6" max="6"/>
    <col width="11" customWidth="1" min="7" max="7"/>
    <col width="24" customWidth="1" min="8" max="8"/>
  </cols>
  <sheetData>
    <row r="1">
      <c r="A1" s="5" t="str">
        <f>Config!B4&amp;" · Metas do trimestre · "&amp;Config!B5</f>
        <v>Clínica Vida Plena (exemplo fictício) · Metas do trimestre · 3º trimestre de 2026</v>
      </c>
    </row>
    <row r="2">
      <c r="A2" s="6" t="str">
        <f>"Semana "&amp;Config!B9&amp;" de 13 · "&amp;TEXT(Config!B10,"0%")&amp;" do trimestre decorrido. Nada para preencher aqui."</f>
        <v>Semana 11 de 13 · 82% do trimestre decorrido. Nada para preencher aqui.</v>
      </c>
    </row>
    <row r="3"/>
    <row r="4">
      <c r="A4" s="7" t="inlineStr">
        <is>
          <t>Resultados-chave</t>
        </is>
      </c>
      <c r="B4" s="8" t="n"/>
      <c r="C4" s="9" t="inlineStr">
        <is>
          <t>Atingidos</t>
        </is>
      </c>
      <c r="D4" s="10" t="n"/>
      <c r="E4" s="11" t="inlineStr">
        <is>
          <t>Em risco</t>
        </is>
      </c>
      <c r="F4" s="12" t="n"/>
      <c r="G4" s="13" t="inlineStr">
        <is>
          <t>Progresso médio</t>
        </is>
      </c>
      <c r="H4" s="14" t="n"/>
    </row>
    <row r="5" ht="30" customHeight="1">
      <c r="A5" s="15">
        <f>COUNTIFS(Metas!$B$5:$B$13,"&lt;&gt;")</f>
        <v>9</v>
      </c>
      <c r="B5" s="8" t="n"/>
      <c r="C5" s="16">
        <f>COUNTIFS(Metas!$J$5:$J$13,"Atingido")</f>
        <v>1</v>
      </c>
      <c r="D5" s="10" t="n"/>
      <c r="E5" s="17">
        <f>COUNTIFS(Metas!$J$5:$J$13,"Em risco")</f>
        <v>6</v>
      </c>
      <c r="F5" s="12" t="n"/>
      <c r="G5" s="18">
        <f>IFERROR(AVERAGEIFS(Metas!$H$5:$H$13,Metas!$B$5:$B$13,"&lt;&gt;"),0)</f>
        <v>0.444641239882311</v>
      </c>
      <c r="H5" s="14" t="n"/>
    </row>
    <row r="6"/>
    <row r="7">
      <c r="A7" s="19" t="inlineStr">
        <is>
          <t>Por objetivo</t>
        </is>
      </c>
    </row>
    <row r="8" ht="26" customHeight="1">
      <c r="A8" s="20" t="inlineStr">
        <is>
          <t>Objetivo</t>
        </is>
      </c>
      <c r="B8" s="20" t="inlineStr">
        <is>
          <t>Resultados-chave</t>
        </is>
      </c>
      <c r="C8" s="20" t="inlineStr">
        <is>
          <t>Progresso médio</t>
        </is>
      </c>
      <c r="D8" s="20" t="inlineStr">
        <is>
          <t>Atingidos</t>
        </is>
      </c>
      <c r="E8" s="20" t="inlineStr">
        <is>
          <t>Em risco</t>
        </is>
      </c>
      <c r="F8" s="20" t="inlineStr">
        <is>
          <t>Barra</t>
        </is>
      </c>
      <c r="G8" s="21" t="n"/>
      <c r="H8" s="22" t="n"/>
    </row>
    <row r="9" ht="30" customHeight="1">
      <c r="A9" s="23" t="str">
        <f>IF(Metas!$A$5="","",Metas!$A$5)</f>
        <v>Agenda cheia, sem faltas</v>
      </c>
      <c r="B9" s="24">
        <f>IF(Metas!$A$5="","",COUNTIFS(Metas!$B$5:$B$7,"&lt;&gt;"))</f>
        <v>3</v>
      </c>
      <c r="C9" s="25">
        <f>IF(OR(Metas!$A$5="",B9=0),"",AVERAGEIFS(Metas!$H$5:$H$7,Metas!$B$5:$B$7,"&lt;&gt;"))</f>
        <v>0.333333333333333</v>
      </c>
      <c r="D9" s="24">
        <f>IF(Metas!$A$5="","",COUNTIFS(Metas!$J$5:$J$7,"Atingido"))</f>
        <v>1</v>
      </c>
      <c r="E9" s="24">
        <f>IF(Metas!$A$5="","",COUNTIFS(Metas!$J$5:$J$7,"Em risco"))</f>
        <v>2</v>
      </c>
      <c r="F9" s="26" t="str">
        <f>IF(C9="","",REPT("█",ROUND(C9*30,0)))</f>
        <v>██████████</v>
      </c>
      <c r="G9" s="21" t="n"/>
      <c r="H9" s="22" t="n"/>
    </row>
    <row r="10" ht="30" customHeight="1">
      <c r="A10" s="23" t="str">
        <f>IF(Metas!$A$8="","",Metas!$A$8)</f>
        <v>Convênio sob controle</v>
      </c>
      <c r="B10" s="24">
        <f>IF(Metas!$A$8="","",COUNTIFS(Metas!$B$8:$B$10,"&lt;&gt;"))</f>
        <v>3</v>
      </c>
      <c r="C10" s="25">
        <f>IF(OR(Metas!$A$8="",B10=0),"",AVERAGEIFS(Metas!$H$8:$H$10,Metas!$B$8:$B$10,"&lt;&gt;"))</f>
        <v>0.296233120113717</v>
      </c>
      <c r="D10" s="24">
        <f>IF(Metas!$A$8="","",COUNTIFS(Metas!$J$8:$J$10,"Atingido"))</f>
        <v>0</v>
      </c>
      <c r="E10" s="24">
        <f>IF(Metas!$A$8="","",COUNTIFS(Metas!$J$8:$J$10,"Em risco"))</f>
        <v>3</v>
      </c>
      <c r="F10" s="26" t="str">
        <f>IF(C10="","",REPT("█",ROUND(C10*30,0)))</f>
        <v>█████████</v>
      </c>
      <c r="G10" s="21" t="n"/>
      <c r="H10" s="22" t="n"/>
    </row>
    <row r="11" ht="30" customHeight="1">
      <c r="A11" s="23" t="str">
        <f>IF(Metas!$A$11="","",Metas!$A$11)</f>
        <v>Caixa previsível</v>
      </c>
      <c r="B11" s="24">
        <f>IF(Metas!$A$11="","",COUNTIFS(Metas!$B$11:$B$13,"&lt;&gt;"))</f>
        <v>3</v>
      </c>
      <c r="C11" s="25">
        <f>IF(OR(Metas!$A$11="",B11=0),"",AVERAGEIFS(Metas!$H$11:$H$13,Metas!$B$11:$B$13,"&lt;&gt;"))</f>
        <v>0.704357266199884</v>
      </c>
      <c r="D11" s="24">
        <f>IF(Metas!$A$11="","",COUNTIFS(Metas!$J$11:$J$13,"Atingido"))</f>
        <v>0</v>
      </c>
      <c r="E11" s="24">
        <f>IF(Metas!$A$11="","",COUNTIFS(Metas!$J$11:$J$13,"Em risco"))</f>
        <v>1</v>
      </c>
      <c r="F11" s="26" t="str">
        <f>IF(C11="","",REPT("█",ROUND(C11*30,0)))</f>
        <v>█████████████████████</v>
      </c>
      <c r="G11" s="21" t="n"/>
      <c r="H11" s="22" t="n"/>
    </row>
    <row r="12"/>
    <row r="13">
      <c r="A13" s="19" t="inlineStr">
        <is>
          <t>Todos os resultados-chave</t>
        </is>
      </c>
    </row>
    <row r="14" ht="26" customHeight="1">
      <c r="A14" s="20" t="inlineStr">
        <is>
          <t>Resultado-chave</t>
        </is>
      </c>
      <c r="B14" s="20" t="inlineStr">
        <is>
          <t>Dono</t>
        </is>
      </c>
      <c r="C14" s="20" t="inlineStr">
        <is>
          <t>Atual</t>
        </is>
      </c>
      <c r="D14" s="20" t="inlineStr">
        <is>
          <t>Meta</t>
        </is>
      </c>
      <c r="E14" s="20" t="inlineStr">
        <is>
          <t>Progresso</t>
        </is>
      </c>
      <c r="F14" s="20" t="inlineStr">
        <is>
          <t>Esperado</t>
        </is>
      </c>
      <c r="G14" s="20" t="inlineStr">
        <is>
          <t>Semáforo</t>
        </is>
      </c>
      <c r="H14" s="20" t="inlineStr">
        <is>
          <t>Barra</t>
        </is>
      </c>
    </row>
    <row r="15">
      <c r="A15" s="27" t="str">
        <f>IF(Metas!B5="","",Metas!B5)</f>
        <v>Ocupação da agenda nas últimas 4 semanas (%)</v>
      </c>
      <c r="B15" s="24" t="str">
        <f>IF(Metas!B5="","",Metas!C5)</f>
        <v>Bruna Carvalho</v>
      </c>
      <c r="C15" s="28">
        <f>IF(Metas!B5="","",Metas!G5)</f>
        <v>74.5</v>
      </c>
      <c r="D15" s="28">
        <f>IF(Metas!B5="","",Metas!F5)</f>
        <v>80</v>
      </c>
      <c r="E15" s="25">
        <f>IF(Metas!B5="","",Metas!H5)</f>
        <v>0</v>
      </c>
      <c r="F15" s="25">
        <f>IF(Metas!B5="","",Metas!I5)</f>
        <v>0.824175824175824</v>
      </c>
      <c r="G15" s="24" t="str">
        <f>IF(Metas!B5="","",Metas!J5)</f>
        <v>Em risco</v>
      </c>
      <c r="H15" s="26">
        <f>IF(E15="","",REPT("█",ROUND(E15*20,0)))</f>
        <v/>
      </c>
    </row>
    <row r="16">
      <c r="A16" s="27" t="str">
        <f>IF(Metas!B6="","",Metas!B6)</f>
        <v>Taxa de falta nas últimas 4 semanas (%)</v>
      </c>
      <c r="B16" s="24" t="str">
        <f>IF(Metas!B6="","",Metas!C6)</f>
        <v>Bruna Carvalho</v>
      </c>
      <c r="C16" s="28">
        <f>IF(Metas!B6="","",Metas!G6)</f>
        <v>7.1</v>
      </c>
      <c r="D16" s="28">
        <f>IF(Metas!B6="","",Metas!F6)</f>
        <v>5</v>
      </c>
      <c r="E16" s="25">
        <f>IF(Metas!B6="","",Metas!H6)</f>
        <v>0</v>
      </c>
      <c r="F16" s="25">
        <f>IF(Metas!B6="","",Metas!I6)</f>
        <v>0.824175824175824</v>
      </c>
      <c r="G16" s="24" t="str">
        <f>IF(Metas!B6="","",Metas!J6)</f>
        <v>Em risco</v>
      </c>
      <c r="H16" s="26">
        <f>IF(E16="","",REPT("█",ROUND(E16*20,0)))</f>
        <v/>
      </c>
    </row>
    <row r="17">
      <c r="A17" s="27" t="str">
        <f>IF(Metas!B7="","",Metas!B7)</f>
        <v>Pacientes na lista de retorno sem agendamento</v>
      </c>
      <c r="B17" s="24" t="str">
        <f>IF(Metas!B7="","",Metas!C7)</f>
        <v>Bruna Carvalho</v>
      </c>
      <c r="C17" s="28">
        <f>IF(Metas!B7="","",Metas!G7)</f>
        <v>8</v>
      </c>
      <c r="D17" s="28">
        <f>IF(Metas!B7="","",Metas!F7)</f>
        <v>8</v>
      </c>
      <c r="E17" s="25">
        <f>IF(Metas!B7="","",Metas!H7)</f>
        <v>1</v>
      </c>
      <c r="F17" s="25">
        <f>IF(Metas!B7="","",Metas!I7)</f>
        <v>0.824175824175824</v>
      </c>
      <c r="G17" s="24" t="str">
        <f>IF(Metas!B7="","",Metas!J7)</f>
        <v>Atingido</v>
      </c>
      <c r="H17" s="26" t="str">
        <f>IF(E17="","",REPT("█",ROUND(E17*20,0)))</f>
        <v>████████████████████</v>
      </c>
    </row>
    <row r="18">
      <c r="A18" s="27" t="str">
        <f>IF(Metas!B8="","",Metas!B8)</f>
        <v>Glosa nos lotes pagos no ano (%)</v>
      </c>
      <c r="B18" s="24" t="str">
        <f>IF(Metas!B8="","",Metas!C8)</f>
        <v>Dr. Paulo Andrade</v>
      </c>
      <c r="C18" s="28">
        <f>IF(Metas!B8="","",Metas!G8)</f>
        <v>5.5</v>
      </c>
      <c r="D18" s="28">
        <f>IF(Metas!B8="","",Metas!F8)</f>
        <v>4</v>
      </c>
      <c r="E18" s="25">
        <f>IF(Metas!B8="","",Metas!H8)</f>
        <v>0.285714285714286</v>
      </c>
      <c r="F18" s="25">
        <f>IF(Metas!B8="","",Metas!I8)</f>
        <v>0.824175824175824</v>
      </c>
      <c r="G18" s="24" t="str">
        <f>IF(Metas!B8="","",Metas!J8)</f>
        <v>Em risco</v>
      </c>
      <c r="H18" s="26" t="str">
        <f>IF(E18="","",REPT("█",ROUND(E18*20,0)))</f>
        <v>██████</v>
      </c>
    </row>
    <row r="19">
      <c r="A19" s="27" t="str">
        <f>IF(Metas!B9="","",Metas!B9)</f>
        <v>Prazo real médio de pagamento dos lotes (dias)</v>
      </c>
      <c r="B19" s="24" t="str">
        <f>IF(Metas!B9="","",Metas!C9)</f>
        <v>Dr. Paulo Andrade</v>
      </c>
      <c r="C19" s="28">
        <f>IF(Metas!B9="","",Metas!G9)</f>
        <v>44</v>
      </c>
      <c r="D19" s="28">
        <f>IF(Metas!B9="","",Metas!F9)</f>
        <v>40</v>
      </c>
      <c r="E19" s="25">
        <f>IF(Metas!B9="","",Metas!H9)</f>
        <v>0.402985074626866</v>
      </c>
      <c r="F19" s="25">
        <f>IF(Metas!B9="","",Metas!I9)</f>
        <v>0.824175824175824</v>
      </c>
      <c r="G19" s="24" t="str">
        <f>IF(Metas!B9="","",Metas!J9)</f>
        <v>Em risco</v>
      </c>
      <c r="H19" s="26" t="str">
        <f>IF(E19="","",REPT("█",ROUND(E19*20,0)))</f>
        <v>████████</v>
      </c>
    </row>
    <row r="20">
      <c r="A20" s="27" t="str">
        <f>IF(Metas!B10="","",Metas!B10)</f>
        <v>Glosa recuperada por recurso no trimestre (R$)</v>
      </c>
      <c r="B20" s="24" t="str">
        <f>IF(Metas!B10="","",Metas!C10)</f>
        <v>Dr. Paulo Andrade</v>
      </c>
      <c r="C20" s="28">
        <f>IF(Metas!B10="","",Metas!G10)</f>
        <v>200</v>
      </c>
      <c r="D20" s="28">
        <f>IF(Metas!B10="","",Metas!F10)</f>
        <v>1000</v>
      </c>
      <c r="E20" s="25">
        <f>IF(Metas!B10="","",Metas!H10)</f>
        <v>0.2</v>
      </c>
      <c r="F20" s="25">
        <f>IF(Metas!B10="","",Metas!I10)</f>
        <v>0.824175824175824</v>
      </c>
      <c r="G20" s="24" t="str">
        <f>IF(Metas!B10="","",Metas!J10)</f>
        <v>Em risco</v>
      </c>
      <c r="H20" s="26" t="str">
        <f>IF(E20="","",REPT("█",ROUND(E20*20,0)))</f>
        <v>████</v>
      </c>
    </row>
    <row r="21">
      <c r="A21" s="27" t="str">
        <f>IF(Metas!B11="","",Metas!B11)</f>
        <v>Inadimplência a prazo: vencido ÷ (pago + vencido) (%)</v>
      </c>
      <c r="B21" s="24" t="str">
        <f>IF(Metas!B11="","",Metas!C11)</f>
        <v>Dra. Carolina Mendes</v>
      </c>
      <c r="C21" s="28">
        <f>IF(Metas!B11="","",Metas!G11)</f>
        <v>9.4</v>
      </c>
      <c r="D21" s="28">
        <f>IF(Metas!B11="","",Metas!F11)</f>
        <v>8</v>
      </c>
      <c r="E21" s="25">
        <f>IF(Metas!B11="","",Metas!H11)</f>
        <v>0.517241379310345</v>
      </c>
      <c r="F21" s="25">
        <f>IF(Metas!B11="","",Metas!I11)</f>
        <v>0.824175824175824</v>
      </c>
      <c r="G21" s="24" t="str">
        <f>IF(Metas!B11="","",Metas!J11)</f>
        <v>Em risco</v>
      </c>
      <c r="H21" s="26" t="str">
        <f>IF(E21="","",REPT("█",ROUND(E21*20,0)))</f>
        <v>██████████</v>
      </c>
    </row>
    <row r="22">
      <c r="A22" s="27" t="str">
        <f>IF(Metas!B12="","",Metas!B12)</f>
        <v>Reserva guardada em conta separada (R$)</v>
      </c>
      <c r="B22" s="24" t="str">
        <f>IF(Metas!B12="","",Metas!C12)</f>
        <v>Dra. Carolina Mendes</v>
      </c>
      <c r="C22" s="28">
        <f>IF(Metas!B12="","",Metas!G12)</f>
        <v>14000</v>
      </c>
      <c r="D22" s="28">
        <f>IF(Metas!B12="","",Metas!F12)</f>
        <v>17000</v>
      </c>
      <c r="E22" s="25">
        <f>IF(Metas!B12="","",Metas!H12)</f>
        <v>0.666666666666667</v>
      </c>
      <c r="F22" s="25">
        <f>IF(Metas!B12="","",Metas!I12)</f>
        <v>0.824175824175824</v>
      </c>
      <c r="G22" s="24" t="str">
        <f>IF(Metas!B12="","",Metas!J12)</f>
        <v>Atenção</v>
      </c>
      <c r="H22" s="26" t="str">
        <f>IF(E22="","",REPT("█",ROUND(E22*20,0)))</f>
        <v>█████████████</v>
      </c>
    </row>
    <row r="23">
      <c r="A23" s="27" t="str">
        <f>IF(Metas!B13="","",Metas!B13)</f>
        <v>Conta de provisão de impostos, 13º e férias (R$)</v>
      </c>
      <c r="B23" s="24" t="str">
        <f>IF(Metas!B13="","",Metas!C13)</f>
        <v>Dra. Carolina Mendes</v>
      </c>
      <c r="C23" s="28">
        <f>IF(Metas!B13="","",Metas!G13)</f>
        <v>17500</v>
      </c>
      <c r="D23" s="28">
        <f>IF(Metas!B13="","",Metas!F13)</f>
        <v>18209</v>
      </c>
      <c r="E23" s="25">
        <f>IF(Metas!B13="","",Metas!H13)</f>
        <v>0.92916375262264</v>
      </c>
      <c r="F23" s="25">
        <f>IF(Metas!B13="","",Metas!I13)</f>
        <v>0.824175824175824</v>
      </c>
      <c r="G23" s="24" t="str">
        <f>IF(Metas!B13="","",Metas!J13)</f>
        <v>No ritmo</v>
      </c>
      <c r="H23" s="26" t="str">
        <f>IF(E23="","",REPT("█",ROUND(E23*20,0)))</f>
        <v>███████████████████</v>
      </c>
    </row>
    <row r="24"/>
    <row r="25">
      <c r="A25" s="6" t="inlineStr">
        <is>
          <t>Em risco primeiro: veja o que muda na rotina da semana (planilha 03) antes de mexer na meta.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7">
    <mergeCell ref="A4:B4"/>
    <mergeCell ref="G4:H4"/>
    <mergeCell ref="E4:F4"/>
    <mergeCell ref="F10:H10"/>
    <mergeCell ref="A25:H25"/>
    <mergeCell ref="A2:H2"/>
    <mergeCell ref="C5:D5"/>
    <mergeCell ref="A5:B5"/>
    <mergeCell ref="G5:H5"/>
    <mergeCell ref="E5:F5"/>
    <mergeCell ref="F8:H8"/>
    <mergeCell ref="A7:J7"/>
    <mergeCell ref="F9:H9"/>
    <mergeCell ref="A1:H1"/>
    <mergeCell ref="F11:H11"/>
    <mergeCell ref="A13:J13"/>
    <mergeCell ref="C4:D4"/>
  </mergeCells>
  <conditionalFormatting sqref="G15:G23">
    <cfRule type="expression" priority="1" dxfId="0">
      <formula>G15="Atingido"</formula>
    </cfRule>
    <cfRule type="expression" priority="2" dxfId="1">
      <formula>G15="No ritmo"</formula>
    </cfRule>
    <cfRule type="expression" priority="3" dxfId="2">
      <formula>G15="Atenção"</formula>
    </cfRule>
    <cfRule type="expression" priority="4" dxfId="3">
      <formula>G15="Em risco"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50" customWidth="1" min="3" max="3"/>
  </cols>
  <sheetData>
    <row r="1" ht="28" customHeight="1">
      <c r="A1" s="29" t="inlineStr">
        <is>
          <t>Configurações</t>
        </is>
      </c>
    </row>
    <row r="2">
      <c r="A2" s="30" t="inlineStr">
        <is>
          <t>Células amarelas: você preenche.</t>
        </is>
      </c>
    </row>
    <row r="4">
      <c r="A4" s="31" t="inlineStr">
        <is>
          <t>Clínica</t>
        </is>
      </c>
      <c r="B4" s="32" t="inlineStr">
        <is>
          <t>Clínica Vida Plena (exemplo fictício)</t>
        </is>
      </c>
    </row>
    <row r="5">
      <c r="A5" s="31" t="inlineStr">
        <is>
          <t>Trimestre</t>
        </is>
      </c>
      <c r="B5" s="32" t="inlineStr">
        <is>
          <t>3º trimestre de 2026</t>
        </is>
      </c>
    </row>
    <row r="6">
      <c r="A6" s="31" t="inlineStr">
        <is>
          <t>Início do trimestre</t>
        </is>
      </c>
      <c r="B6" s="33" t="n">
        <v>46204</v>
      </c>
    </row>
    <row r="7">
      <c r="A7" s="31" t="inlineStr">
        <is>
          <t>Fim do trimestre</t>
        </is>
      </c>
      <c r="B7" s="33" t="n">
        <v>46295</v>
      </c>
    </row>
    <row r="8">
      <c r="A8" s="31" t="inlineStr">
        <is>
          <t>Data de referência (hoje)</t>
        </is>
      </c>
      <c r="B8" s="33" t="n">
        <v>46279</v>
      </c>
      <c r="C8" s="6" t="inlineStr">
        <is>
          <t>Para simular o fim do trimestre, troque por uma data.</t>
        </is>
      </c>
    </row>
    <row r="9">
      <c r="A9" s="31" t="inlineStr">
        <is>
          <t>Semana atual do trimestre</t>
        </is>
      </c>
      <c r="B9" s="24">
        <f>IF(B8&lt;B6,0,MIN(13,INT((B8-B6)/7)+1))</f>
        <v>11</v>
      </c>
    </row>
    <row r="10">
      <c r="A10" s="31" t="inlineStr">
        <is>
          <t>% do trimestre decorrido</t>
        </is>
      </c>
      <c r="B10" s="25">
        <f>MAX(0,MIN(1,(B8-B6)/(B7-B6)))</f>
        <v>0.824175824175824</v>
      </c>
    </row>
    <row r="12">
      <c r="A12" s="31" t="inlineStr">
        <is>
          <t>Pessoas da clínica (donos dos resultados-chave)</t>
        </is>
      </c>
      <c r="C12" s="6" t="inlineStr">
        <is>
          <t>Preencha de cima para baixo, sem pular linha.</t>
        </is>
      </c>
    </row>
    <row r="13">
      <c r="A13" s="34" t="inlineStr">
        <is>
          <t>Nomes</t>
        </is>
      </c>
      <c r="B13" s="32" t="inlineStr">
        <is>
          <t>Dra. Carolina Mendes</t>
        </is>
      </c>
    </row>
    <row r="14">
      <c r="B14" s="32" t="inlineStr">
        <is>
          <t>Dr. Paulo Andrade</t>
        </is>
      </c>
    </row>
    <row r="15">
      <c r="B15" s="32" t="inlineStr">
        <is>
          <t>Bruna Carvalho</t>
        </is>
      </c>
    </row>
    <row r="16">
      <c r="B16" s="32" t="n"/>
    </row>
    <row r="17">
      <c r="B17" s="32" t="n"/>
    </row>
    <row r="18">
      <c r="B18" s="32" t="n"/>
    </row>
    <row r="19">
      <c r="B19" s="32" t="n"/>
    </row>
    <row r="20">
      <c r="B20" s="32" t="n"/>
    </row>
    <row r="21">
      <c r="B21" s="32" t="n"/>
    </row>
    <row r="22">
      <c r="B22" s="32" t="n"/>
    </row>
    <row r="23">
      <c r="B23" s="32" t="n"/>
    </row>
    <row r="24">
      <c r="B24" s="3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4" customWidth="1" min="2" max="2"/>
    <col width="16" customWidth="1" min="3" max="3"/>
    <col width="10" customWidth="1" min="4" max="4"/>
    <col width="12" customWidth="1" min="5" max="5"/>
    <col width="10" customWidth="1" min="6" max="6"/>
    <col width="11" customWidth="1" min="7" max="7"/>
    <col width="11" customWidth="1" min="8" max="8"/>
    <col width="12" customWidth="1" min="9" max="9"/>
    <col width="11" customWidth="1" min="10" max="10"/>
    <col width="16" customWidth="1" min="11" max="11"/>
    <col width="44" customWidth="1" min="12" max="12"/>
  </cols>
  <sheetData>
    <row r="1" ht="28" customHeight="1">
      <c r="A1" s="29" t="inlineStr">
        <is>
          <t>Metas do trimestre da clínica</t>
        </is>
      </c>
    </row>
    <row r="2">
      <c r="A2" s="30" t="inlineStr">
        <is>
          <t>Até 3 objetivos com até 3 resultados-chave cada. Preencha o amarelo; progresso e semáforo são calculados. Atualize o valor atual toda sexta.</t>
        </is>
      </c>
    </row>
    <row r="4" ht="26" customHeight="1">
      <c r="A4" s="20" t="inlineStr">
        <is>
          <t>Objetivo</t>
        </is>
      </c>
      <c r="B4" s="20" t="inlineStr">
        <is>
          <t>Resultado-chave</t>
        </is>
      </c>
      <c r="C4" s="20" t="inlineStr">
        <is>
          <t>Dono</t>
        </is>
      </c>
      <c r="D4" s="20" t="inlineStr">
        <is>
          <t>Unidade</t>
        </is>
      </c>
      <c r="E4" s="20" t="inlineStr">
        <is>
          <t>Ponto de partida</t>
        </is>
      </c>
      <c r="F4" s="20" t="inlineStr">
        <is>
          <t>Meta</t>
        </is>
      </c>
      <c r="G4" s="20" t="inlineStr">
        <is>
          <t>Valor atual</t>
        </is>
      </c>
      <c r="H4" s="20" t="inlineStr">
        <is>
          <t>Progresso</t>
        </is>
      </c>
      <c r="I4" s="20" t="inlineStr">
        <is>
          <t>Esperado até hoje</t>
        </is>
      </c>
      <c r="J4" s="20" t="inlineStr">
        <is>
          <t>Semáforo</t>
        </is>
      </c>
      <c r="K4" s="20" t="inlineStr">
        <is>
          <t>Sentido</t>
        </is>
      </c>
      <c r="L4" s="20" t="inlineStr">
        <is>
          <t>Observação</t>
        </is>
      </c>
    </row>
    <row r="5" ht="44" customHeight="1">
      <c r="A5" s="35" t="inlineStr">
        <is>
          <t>Agenda cheia, sem faltas</t>
        </is>
      </c>
      <c r="B5" s="35" t="inlineStr">
        <is>
          <t>Ocupação da agenda nas últimas 4 semanas (%)</t>
        </is>
      </c>
      <c r="C5" s="36" t="inlineStr">
        <is>
          <t>Bruna Carvalho</t>
        </is>
      </c>
      <c r="D5" s="36" t="inlineStr">
        <is>
          <t>%</t>
        </is>
      </c>
      <c r="E5" s="36" t="n">
        <v>75.2</v>
      </c>
      <c r="F5" s="36" t="n">
        <v>80</v>
      </c>
      <c r="G5" s="36" t="n">
        <v>74.5</v>
      </c>
      <c r="H5" s="25">
        <f>IF(OR(B5="",G5=""),"",IF(K5="Menor é melhor",IF(G5&lt;=F5,1,IF(E5&gt;F5,MAX(0,(E5-G5)/(E5-F5)),IF(G5=0,0,MAX(0,F5/G5)))),IF(G5&gt;=F5,1,IF(E5&lt;F5,MAX(0,(G5-E5)/(F5-E5)),IF(F5=0,0,MAX(0,G5/F5))))))</f>
        <v>0</v>
      </c>
      <c r="I5" s="25">
        <f>IF(B5="","",Config!$B$10)</f>
        <v>0.824175824175824</v>
      </c>
      <c r="J5" s="24" t="str">
        <f>IF(OR(B5="",H5=""),"",IF(H5&gt;=1,"Atingido",IF(H5&gt;=I5-0.1,"No ritmo",IF(H5&gt;=I5-0.25,"Atenção","Em risco"))))</f>
        <v>Em risco</v>
      </c>
      <c r="K5" s="36" t="inlineStr">
        <is>
          <t>Maior é melhor</t>
        </is>
      </c>
      <c r="L5" s="35" t="inlineStr">
        <is>
          <t>Horas atendidas ÷ disponíveis nas 4 semanas até a sexta (Agenda da planilha 01). Partida = sexta 03/07, que olha 06/06 a 03/07: a agenda da 01 começa em 01/06, então dá para refazer a conta.</t>
        </is>
      </c>
    </row>
    <row r="6" ht="44" customHeight="1">
      <c r="A6" s="37" t="n"/>
      <c r="B6" s="35" t="inlineStr">
        <is>
          <t>Taxa de falta nas últimas 4 semanas (%)</t>
        </is>
      </c>
      <c r="C6" s="36" t="inlineStr">
        <is>
          <t>Bruna Carvalho</t>
        </is>
      </c>
      <c r="D6" s="36" t="inlineStr">
        <is>
          <t>%</t>
        </is>
      </c>
      <c r="E6" s="36" t="n">
        <v>6.9</v>
      </c>
      <c r="F6" s="36" t="n">
        <v>5</v>
      </c>
      <c r="G6" s="36" t="n">
        <v>7.1</v>
      </c>
      <c r="H6" s="25">
        <f>IF(OR(B6="",G6=""),"",IF(K6="Menor é melhor",IF(G6&lt;=F6,1,IF(E6&gt;F6,MAX(0,(E6-G6)/(E6-F6)),IF(G6=0,0,MAX(0,F6/G6)))),IF(G6&gt;=F6,1,IF(E6&lt;F6,MAX(0,(G6-E6)/(F6-E6)),IF(F6=0,0,MAX(0,G6/F6))))))</f>
        <v>0</v>
      </c>
      <c r="I6" s="25">
        <f>IF(B6="","",Config!$B$10)</f>
        <v>0.824175824175824</v>
      </c>
      <c r="J6" s="24" t="str">
        <f>IF(OR(B6="",H6=""),"",IF(H6&gt;=1,"Atingido",IF(H6&gt;=I6-0.1,"No ritmo",IF(H6&gt;=I6-0.25,"Atenção","Em risco"))))</f>
        <v>Em risco</v>
      </c>
      <c r="K6" s="36" t="inlineStr">
        <is>
          <t>Menor é melhor</t>
        </is>
      </c>
      <c r="L6" s="35" t="inlineStr">
        <is>
          <t>Painel da planilha 02 (faltas ÷ (faltas + realizados)). Confirmação de véspera por mensagem e lista de espera.</t>
        </is>
      </c>
    </row>
    <row r="7" ht="44" customHeight="1">
      <c r="A7" s="38" t="n"/>
      <c r="B7" s="35" t="inlineStr">
        <is>
          <t>Pacientes na lista de retorno sem agendamento</t>
        </is>
      </c>
      <c r="C7" s="36" t="inlineStr">
        <is>
          <t>Bruna Carvalho</t>
        </is>
      </c>
      <c r="D7" s="36" t="inlineStr">
        <is>
          <t>pacientes</t>
        </is>
      </c>
      <c r="E7" s="36" t="n">
        <v>0</v>
      </c>
      <c r="F7" s="36" t="n">
        <v>8</v>
      </c>
      <c r="G7" s="36" t="n">
        <v>8</v>
      </c>
      <c r="H7" s="25">
        <f>IF(OR(B7="",G7=""),"",IF(K7="Menor é melhor",IF(G7&lt;=F7,1,IF(E7&gt;F7,MAX(0,(E7-G7)/(E7-F7)),IF(G7=0,0,MAX(0,F7/G7)))),IF(G7&gt;=F7,1,IF(E7&lt;F7,MAX(0,(G7-E7)/(F7-E7)),IF(F7=0,0,MAX(0,G7/F7))))))</f>
        <v>1</v>
      </c>
      <c r="I7" s="25">
        <f>IF(B7="","",Config!$B$10)</f>
        <v>0.824175824175824</v>
      </c>
      <c r="J7" s="24" t="str">
        <f>IF(OR(B7="",H7=""),"",IF(H7&gt;=1,"Atingido",IF(H7&gt;=I7-0.1,"No ritmo",IF(H7&gt;=I7-0.25,"Atenção","Em risco"))))</f>
        <v>Atingido</v>
      </c>
      <c r="K7" s="36" t="inlineStr">
        <is>
          <t>Menor é melhor</t>
        </is>
      </c>
      <c r="L7" s="35" t="inlineStr">
        <is>
          <t>Lista de retorno da planilha 02 (hoje). Ligar na segunda-feira; a rotina da semana (03) tem esse passo.</t>
        </is>
      </c>
    </row>
    <row r="8" ht="44" customHeight="1">
      <c r="A8" s="35" t="inlineStr">
        <is>
          <t>Convênio sob controle</t>
        </is>
      </c>
      <c r="B8" s="35" t="inlineStr">
        <is>
          <t>Glosa nos lotes pagos no ano (%)</t>
        </is>
      </c>
      <c r="C8" s="36" t="inlineStr">
        <is>
          <t>Dr. Paulo Andrade</t>
        </is>
      </c>
      <c r="D8" s="36" t="inlineStr">
        <is>
          <t>%</t>
        </is>
      </c>
      <c r="E8" s="36" t="n">
        <v>6.1</v>
      </c>
      <c r="F8" s="36" t="n">
        <v>4</v>
      </c>
      <c r="G8" s="36" t="n">
        <v>5.5</v>
      </c>
      <c r="H8" s="25">
        <f>IF(OR(B8="",G8=""),"",IF(K8="Menor é melhor",IF(G8&lt;=F8,1,IF(E8&gt;F8,MAX(0,(E8-G8)/(E8-F8)),IF(G8=0,0,MAX(0,F8/G8)))),IF(G8&gt;=F8,1,IF(E8&lt;F8,MAX(0,(G8-E8)/(F8-E8)),IF(F8=0,0,MAX(0,G8/F8))))))</f>
        <v>0.285714285714286</v>
      </c>
      <c r="I8" s="25">
        <f>IF(B8="","",Config!$B$10)</f>
        <v>0.824175824175824</v>
      </c>
      <c r="J8" s="24" t="str">
        <f>IF(OR(B8="",H8=""),"",IF(H8&gt;=1,"Atingido",IF(H8&gt;=I8-0.1,"No ritmo",IF(H8&gt;=I8-0.25,"Atenção","Em risco"))))</f>
        <v>Em risco</v>
      </c>
      <c r="K8" s="36" t="inlineStr">
        <is>
          <t>Menor é melhor</t>
        </is>
      </c>
      <c r="L8" s="35" t="inlineStr">
        <is>
          <t>Painel da planilha 13 ("Glosa no ano %": glosa ÷ (pago + glosa) dos lotes pagos no ano). Conferir guias antes do envio (checklist do dia, 04).</t>
        </is>
      </c>
    </row>
    <row r="9" ht="44" customHeight="1">
      <c r="A9" s="37" t="n"/>
      <c r="B9" s="35" t="inlineStr">
        <is>
          <t>Prazo real médio de pagamento dos lotes (dias)</t>
        </is>
      </c>
      <c r="C9" s="36" t="inlineStr">
        <is>
          <t>Dr. Paulo Andrade</t>
        </is>
      </c>
      <c r="D9" s="36" t="inlineStr">
        <is>
          <t>dias</t>
        </is>
      </c>
      <c r="E9" s="36" t="n">
        <v>46.7</v>
      </c>
      <c r="F9" s="36" t="n">
        <v>40</v>
      </c>
      <c r="G9" s="36" t="n">
        <v>44</v>
      </c>
      <c r="H9" s="25">
        <f>IF(OR(B9="",G9=""),"",IF(K9="Menor é melhor",IF(G9&lt;=F9,1,IF(E9&gt;F9,MAX(0,(E9-G9)/(E9-F9)),IF(G9=0,0,MAX(0,F9/G9)))),IF(G9&gt;=F9,1,IF(E9&lt;F9,MAX(0,(G9-E9)/(F9-E9)),IF(F9=0,0,MAX(0,G9/F9))))))</f>
        <v>0.402985074626866</v>
      </c>
      <c r="I9" s="25">
        <f>IF(B9="","",Config!$B$10)</f>
        <v>0.824175824175824</v>
      </c>
      <c r="J9" s="24" t="str">
        <f>IF(OR(B9="",H9=""),"",IF(H9&gt;=1,"Atingido",IF(H9&gt;=I9-0.1,"No ritmo",IF(H9&gt;=I9-0.25,"Atenção","Em risco"))))</f>
        <v>Em risco</v>
      </c>
      <c r="K9" s="36" t="inlineStr">
        <is>
          <t>Menor é melhor</t>
        </is>
      </c>
      <c r="L9" s="35" t="inlineStr">
        <is>
          <t>Dias entre o envio e o pagamento dos lotes pagos no trimestre (aba Lotes da 13, colunas Data de envio e Data do pagamento). Partida = mesma conta nos lotes pagos de janeiro a junho, que estão na mesma aba. Semana sem lote pago fica "—".</t>
        </is>
      </c>
    </row>
    <row r="10" ht="44" customHeight="1">
      <c r="A10" s="38" t="n"/>
      <c r="B10" s="35" t="inlineStr">
        <is>
          <t>Glosa recuperada por recurso no trimestre (R$)</t>
        </is>
      </c>
      <c r="C10" s="36" t="inlineStr">
        <is>
          <t>Dr. Paulo Andrade</t>
        </is>
      </c>
      <c r="D10" s="36" t="inlineStr">
        <is>
          <t>R$</t>
        </is>
      </c>
      <c r="E10" s="36" t="n">
        <v>0</v>
      </c>
      <c r="F10" s="36" t="n">
        <v>1000</v>
      </c>
      <c r="G10" s="36" t="n">
        <v>200</v>
      </c>
      <c r="H10" s="25">
        <f>IF(OR(B10="",G10=""),"",IF(K10="Menor é melhor",IF(G10&lt;=F10,1,IF(E10&gt;F10,MAX(0,(E10-G10)/(E10-F10)),IF(G10=0,0,MAX(0,F10/G10)))),IF(G10&gt;=F10,1,IF(E10&lt;F10,MAX(0,(G10-E10)/(F10-E10)),IF(F10=0,0,MAX(0,G10/F10))))))</f>
        <v>0.2</v>
      </c>
      <c r="I10" s="25">
        <f>IF(B10="","",Config!$B$10)</f>
        <v>0.824175824175824</v>
      </c>
      <c r="J10" s="24" t="str">
        <f>IF(OR(B10="",H10=""),"",IF(H10&gt;=1,"Atingido",IF(H10&gt;=I10-0.1,"No ritmo",IF(H10&gt;=I10-0.25,"Atenção","Em risco"))))</f>
        <v>Em risco</v>
      </c>
      <c r="K10" s="36" t="inlineStr">
        <is>
          <t>Maior é melhor</t>
        </is>
      </c>
      <c r="L10" s="35" t="inlineStr">
        <is>
          <t>Coluna "Valor recuperado" da planilha 13 (lotes com recurso aceito, recebido de julho a setembro).</t>
        </is>
      </c>
    </row>
    <row r="11" ht="44" customHeight="1">
      <c r="A11" s="35" t="inlineStr">
        <is>
          <t>Caixa previsível</t>
        </is>
      </c>
      <c r="B11" s="35" t="inlineStr">
        <is>
          <t>Inadimplência a prazo: vencido ÷ (pago + vencido) (%)</t>
        </is>
      </c>
      <c r="C11" s="36" t="inlineStr">
        <is>
          <t>Dra. Carolina Mendes</t>
        </is>
      </c>
      <c r="D11" s="36" t="inlineStr">
        <is>
          <t>%</t>
        </is>
      </c>
      <c r="E11" s="36" t="n">
        <v>10.9</v>
      </c>
      <c r="F11" s="36" t="n">
        <v>8</v>
      </c>
      <c r="G11" s="36" t="n">
        <v>9.4</v>
      </c>
      <c r="H11" s="25">
        <f>IF(OR(B11="",G11=""),"",IF(K11="Menor é melhor",IF(G11&lt;=F11,1,IF(E11&gt;F11,MAX(0,(E11-G11)/(E11-F11)),IF(G11=0,0,MAX(0,F11/G11)))),IF(G11&gt;=F11,1,IF(E11&lt;F11,MAX(0,(G11-E11)/(F11-E11)),IF(F11=0,0,MAX(0,G11/F11))))))</f>
        <v>0.517241379310345</v>
      </c>
      <c r="I11" s="25">
        <f>IF(B11="","",Config!$B$10)</f>
        <v>0.824175824175824</v>
      </c>
      <c r="J11" s="24" t="str">
        <f>IF(OR(B11="",H11=""),"",IF(H11&gt;=1,"Atingido",IF(H11&gt;=I11-0.1,"No ritmo",IF(H11&gt;=I11-0.25,"Atenção","Em risco"))))</f>
        <v>Em risco</v>
      </c>
      <c r="K11" s="36" t="inlineStr">
        <is>
          <t>Menor é melhor</t>
        </is>
      </c>
      <c r="L11" s="35" t="inlineStr">
        <is>
          <t>Painel da planilha 14 (só o que foi combinado a prazo). Régua de cobrança educada na 14.</t>
        </is>
      </c>
    </row>
    <row r="12" ht="44" customHeight="1">
      <c r="A12" s="37" t="n"/>
      <c r="B12" s="35" t="inlineStr">
        <is>
          <t>Reserva guardada em conta separada (R$)</t>
        </is>
      </c>
      <c r="C12" s="36" t="inlineStr">
        <is>
          <t>Dra. Carolina Mendes</t>
        </is>
      </c>
      <c r="D12" s="36" t="inlineStr">
        <is>
          <t>R$</t>
        </is>
      </c>
      <c r="E12" s="36" t="n">
        <v>8000</v>
      </c>
      <c r="F12" s="36" t="n">
        <v>17000</v>
      </c>
      <c r="G12" s="36" t="n">
        <v>14000</v>
      </c>
      <c r="H12" s="25">
        <f>IF(OR(B12="",G12=""),"",IF(K12="Menor é melhor",IF(G12&lt;=F12,1,IF(E12&gt;F12,MAX(0,(E12-G12)/(E12-F12)),IF(G12=0,0,MAX(0,F12/G12)))),IF(G12&gt;=F12,1,IF(E12&lt;F12,MAX(0,(G12-E12)/(F12-E12)),IF(F12=0,0,MAX(0,G12/F12))))))</f>
        <v>0.666666666666667</v>
      </c>
      <c r="I12" s="25">
        <f>IF(B12="","",Config!$B$10)</f>
        <v>0.824175824175824</v>
      </c>
      <c r="J12" s="24" t="str">
        <f>IF(OR(B12="",H12=""),"",IF(H12&gt;=1,"Atingido",IF(H12&gt;=I12-0.1,"No ritmo",IF(H12&gt;=I12-0.25,"Atenção","Em risco"))))</f>
        <v>Atenção</v>
      </c>
      <c r="K12" s="36" t="inlineStr">
        <is>
          <t>Maior é melhor</t>
        </is>
      </c>
      <c r="L12" s="35" t="inlineStr">
        <is>
          <t>Aporte de R$ 3.000 no fechamento de cada mês (planilha 12). A meta do ano é 1 mês de custo fixo com pró-labore (R$ 28.000); a do trimestre, três aportes.</t>
        </is>
      </c>
    </row>
    <row r="13" ht="44" customHeight="1">
      <c r="A13" s="38" t="n"/>
      <c r="B13" s="35" t="inlineStr">
        <is>
          <t>Conta de provisão de impostos, 13º e férias (R$)</t>
        </is>
      </c>
      <c r="C13" s="36" t="inlineStr">
        <is>
          <t>Dra. Carolina Mendes</t>
        </is>
      </c>
      <c r="D13" s="36" t="inlineStr">
        <is>
          <t>R$</t>
        </is>
      </c>
      <c r="E13" s="36" t="n">
        <v>8200</v>
      </c>
      <c r="F13" s="36" t="n">
        <v>18209</v>
      </c>
      <c r="G13" s="36" t="n">
        <v>17500</v>
      </c>
      <c r="H13" s="25">
        <f>IF(OR(B13="",G13=""),"",IF(K13="Menor é melhor",IF(G13&lt;=F13,1,IF(E13&gt;F13,MAX(0,(E13-G13)/(E13-F13)),IF(G13=0,0,MAX(0,F13/G13)))),IF(G13&gt;=F13,1,IF(E13&lt;F13,MAX(0,(G13-E13)/(F13-E13)),IF(F13=0,0,MAX(0,G13/F13))))))</f>
        <v>0.92916375262264</v>
      </c>
      <c r="I13" s="25">
        <f>IF(B13="","",Config!$B$10)</f>
        <v>0.824175824175824</v>
      </c>
      <c r="J13" s="24" t="str">
        <f>IF(OR(B13="",H13=""),"",IF(H13&gt;=1,"Atingido",IF(H13&gt;=I13-0.1,"No ritmo",IF(H13&gt;=I13-0.25,"Atenção","Em risco"))))</f>
        <v>No ritmo</v>
      </c>
      <c r="K13" s="36" t="inlineStr">
        <is>
          <t>Maior é melhor</t>
        </is>
      </c>
      <c r="L13" s="35" t="inlineStr">
        <is>
          <t>Meta = saldo provisionado de AGOSTO na planilha 10 (último mês fechado; o de setembro ainda muda até o dia 30). Atual = o que já está na conta separada (planilha 12).</t>
        </is>
      </c>
    </row>
    <row r="15">
      <c r="A15" s="6" t="inlineStr">
        <is>
          <t>Progresso: valor atual no alvo = 100 %; fora do alvo, é o caminho andado entre o ponto de partida e a meta — e, quando o ponto de partida já estava dentro da meta (um teto ou piso a manter), é meta ÷ atual (16 pacientes para um teto de 8 = 50 %). Semáforo: Atingido (100%); No ritmo (progresso até 10 pontos abaixo do tempo decorrido); Atenção (até 25 pontos abaixo); Em risco (mais que isso). A planilha avisa; a ação é da clínica.</t>
        </is>
      </c>
    </row>
    <row r="16">
      <c r="A16" s="6" t="inlineStr">
        <is>
          <t>Inadimplência = vencido ÷ (pago + vencido), a mesma conta das planilhas 14, 17 e 20 (só o que foi combinado a prazo). Valores em % digitados como 5,1 (não 0,051).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A15:L15"/>
    <mergeCell ref="A1:M1"/>
    <mergeCell ref="A8:A10"/>
    <mergeCell ref="A11:A13"/>
    <mergeCell ref="A5:A7"/>
    <mergeCell ref="A2:M2"/>
  </mergeCells>
  <conditionalFormatting sqref="J5:J13">
    <cfRule type="expression" priority="1" dxfId="0">
      <formula>J5="Atingido"</formula>
    </cfRule>
    <cfRule type="expression" priority="2" dxfId="1">
      <formula>J5="No ritmo"</formula>
    </cfRule>
    <cfRule type="expression" priority="3" dxfId="2">
      <formula>J5="Atenção"</formula>
    </cfRule>
    <cfRule type="expression" priority="4" dxfId="3">
      <formula>J5="Em risco"</formula>
    </cfRule>
  </conditionalFormatting>
  <dataValidations count="3">
    <dataValidation sqref="K5:K13" showDropDown="0" showInputMessage="0" showErrorMessage="1" allowBlank="1" type="list">
      <formula1>"Maior é melhor,Menor é melhor"</formula1>
    </dataValidation>
    <dataValidation sqref="C5:C13" showDropDown="0" showInputMessage="0" showErrorMessage="1" allowBlank="1" type="list">
      <formula1>=OFFSET(Config!$B$13,0,0,MAX(1,COUNTA(Config!$B$13:$B$24)),1)</formula1>
    </dataValidation>
    <dataValidation sqref="E5:G13" showDropDown="0" showInputMessage="0" showErrorMessage="1" allowBlank="1" type="decimal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8" customHeight="1">
      <c r="A1" s="29" t="inlineStr">
        <is>
          <t>Acompanhamento semanal</t>
        </is>
      </c>
    </row>
    <row r="2">
      <c r="A2" s="30" t="inlineStr">
        <is>
          <t>Toda sexta, copie o valor atual de cada resultado-chave para a coluna da semana. A linha fica com o histórico do trimestre.</t>
        </is>
      </c>
    </row>
    <row r="4" ht="26" customHeight="1">
      <c r="A4" s="20" t="inlineStr">
        <is>
          <t>Resultado-chave</t>
        </is>
      </c>
      <c r="B4" s="20" t="inlineStr">
        <is>
          <t>Meta</t>
        </is>
      </c>
      <c r="C4" s="20" t="inlineStr">
        <is>
          <t>S1</t>
        </is>
      </c>
      <c r="D4" s="20" t="inlineStr">
        <is>
          <t>S2</t>
        </is>
      </c>
      <c r="E4" s="20" t="inlineStr">
        <is>
          <t>S3</t>
        </is>
      </c>
      <c r="F4" s="20" t="inlineStr">
        <is>
          <t>S4</t>
        </is>
      </c>
      <c r="G4" s="20" t="inlineStr">
        <is>
          <t>S5</t>
        </is>
      </c>
      <c r="H4" s="20" t="inlineStr">
        <is>
          <t>S6</t>
        </is>
      </c>
      <c r="I4" s="20" t="inlineStr">
        <is>
          <t>S7</t>
        </is>
      </c>
      <c r="J4" s="20" t="inlineStr">
        <is>
          <t>S8</t>
        </is>
      </c>
      <c r="K4" s="20" t="inlineStr">
        <is>
          <t>S9</t>
        </is>
      </c>
      <c r="L4" s="20" t="inlineStr">
        <is>
          <t>S10</t>
        </is>
      </c>
      <c r="M4" s="20" t="inlineStr">
        <is>
          <t>S11</t>
        </is>
      </c>
      <c r="N4" s="20" t="inlineStr">
        <is>
          <t>S12</t>
        </is>
      </c>
      <c r="O4" s="20" t="inlineStr">
        <is>
          <t>S13</t>
        </is>
      </c>
    </row>
    <row r="5">
      <c r="A5" s="27" t="str">
        <f>IF(Metas!B5="","",Metas!B5)</f>
        <v>Ocupação da agenda nas últimas 4 semanas (%)</v>
      </c>
      <c r="B5" s="24">
        <f>IF(Metas!B5="","",Metas!F5)</f>
        <v>80</v>
      </c>
      <c r="C5" s="36" t="n">
        <v>75.2</v>
      </c>
      <c r="D5" s="36" t="n">
        <v>74.5</v>
      </c>
      <c r="E5" s="36" t="n">
        <v>71.7</v>
      </c>
      <c r="F5" s="36" t="n">
        <v>72.59999999999999</v>
      </c>
      <c r="G5" s="36" t="n">
        <v>71.7</v>
      </c>
      <c r="H5" s="36" t="n">
        <v>70.8</v>
      </c>
      <c r="I5" s="36" t="n">
        <v>72</v>
      </c>
      <c r="J5" s="36" t="n">
        <v>68.09999999999999</v>
      </c>
      <c r="K5" s="36" t="n">
        <v>70.3</v>
      </c>
      <c r="L5" s="36" t="n">
        <v>74.5</v>
      </c>
      <c r="M5" s="36" t="n">
        <v>74.5</v>
      </c>
      <c r="N5" s="36" t="n"/>
      <c r="O5" s="36" t="n"/>
    </row>
    <row r="6">
      <c r="A6" s="27" t="str">
        <f>IF(Metas!B6="","",Metas!B6)</f>
        <v>Taxa de falta nas últimas 4 semanas (%)</v>
      </c>
      <c r="B6" s="24">
        <f>IF(Metas!B6="","",Metas!F6)</f>
        <v>5</v>
      </c>
      <c r="C6" s="36" t="n">
        <v>6.9</v>
      </c>
      <c r="D6" s="36" t="n">
        <v>7.4</v>
      </c>
      <c r="E6" s="36" t="n">
        <v>8.699999999999999</v>
      </c>
      <c r="F6" s="36" t="n">
        <v>7.9</v>
      </c>
      <c r="G6" s="36" t="n">
        <v>9.1</v>
      </c>
      <c r="H6" s="36" t="n">
        <v>9.1</v>
      </c>
      <c r="I6" s="36" t="n">
        <v>8.6</v>
      </c>
      <c r="J6" s="36" t="n">
        <v>9.4</v>
      </c>
      <c r="K6" s="36" t="n">
        <v>8.800000000000001</v>
      </c>
      <c r="L6" s="36" t="n">
        <v>7.4</v>
      </c>
      <c r="M6" s="36" t="n">
        <v>7.1</v>
      </c>
      <c r="N6" s="36" t="n"/>
      <c r="O6" s="36" t="n"/>
    </row>
    <row r="7">
      <c r="A7" s="27" t="str">
        <f>IF(Metas!B7="","",Metas!B7)</f>
        <v>Pacientes na lista de retorno sem agendamento</v>
      </c>
      <c r="B7" s="24">
        <f>IF(Metas!B7="","",Metas!F7)</f>
        <v>8</v>
      </c>
      <c r="C7" s="36" t="n">
        <v>0</v>
      </c>
      <c r="D7" s="36" t="n">
        <v>0</v>
      </c>
      <c r="E7" s="36" t="n">
        <v>0</v>
      </c>
      <c r="F7" s="36" t="n">
        <v>0</v>
      </c>
      <c r="G7" s="36" t="n">
        <v>1</v>
      </c>
      <c r="H7" s="36" t="n">
        <v>1</v>
      </c>
      <c r="I7" s="36" t="n">
        <v>2</v>
      </c>
      <c r="J7" s="36" t="n">
        <v>2</v>
      </c>
      <c r="K7" s="36" t="n">
        <v>3</v>
      </c>
      <c r="L7" s="36" t="n">
        <v>5</v>
      </c>
      <c r="M7" s="36" t="n">
        <v>8</v>
      </c>
      <c r="N7" s="36" t="n"/>
      <c r="O7" s="36" t="n"/>
    </row>
    <row r="8">
      <c r="A8" s="27" t="str">
        <f>IF(Metas!B8="","",Metas!B8)</f>
        <v>Glosa nos lotes pagos no ano (%)</v>
      </c>
      <c r="B8" s="24">
        <f>IF(Metas!B8="","",Metas!F8)</f>
        <v>4</v>
      </c>
      <c r="C8" s="36" t="n">
        <v>6.1</v>
      </c>
      <c r="D8" s="36" t="n">
        <v>5.6</v>
      </c>
      <c r="E8" s="36" t="n">
        <v>5.6</v>
      </c>
      <c r="F8" s="36" t="n">
        <v>5.8</v>
      </c>
      <c r="G8" s="36" t="n">
        <v>5.8</v>
      </c>
      <c r="H8" s="36" t="n">
        <v>5.8</v>
      </c>
      <c r="I8" s="36" t="n">
        <v>5.8</v>
      </c>
      <c r="J8" s="36" t="n">
        <v>5.8</v>
      </c>
      <c r="K8" s="36" t="n">
        <v>5.8</v>
      </c>
      <c r="L8" s="36" t="n">
        <v>5.8</v>
      </c>
      <c r="M8" s="36" t="n">
        <v>5.5</v>
      </c>
      <c r="N8" s="36" t="n"/>
      <c r="O8" s="36" t="n"/>
    </row>
    <row r="9">
      <c r="A9" s="27" t="str">
        <f>IF(Metas!B9="","",Metas!B9)</f>
        <v>Prazo real médio de pagamento dos lotes (dias)</v>
      </c>
      <c r="B9" s="24">
        <f>IF(Metas!B9="","",Metas!F9)</f>
        <v>40</v>
      </c>
      <c r="C9" s="36" t="inlineStr">
        <is>
          <t>—</t>
        </is>
      </c>
      <c r="D9" s="36" t="n">
        <v>46.5</v>
      </c>
      <c r="E9" s="36" t="n">
        <v>46.5</v>
      </c>
      <c r="F9" s="36" t="n">
        <v>46</v>
      </c>
      <c r="G9" s="36" t="n">
        <v>46</v>
      </c>
      <c r="H9" s="36" t="n">
        <v>45.8</v>
      </c>
      <c r="I9" s="36" t="n">
        <v>45.8</v>
      </c>
      <c r="J9" s="36" t="n">
        <v>45.7</v>
      </c>
      <c r="K9" s="36" t="n">
        <v>45.7</v>
      </c>
      <c r="L9" s="36" t="n">
        <v>45.7</v>
      </c>
      <c r="M9" s="36" t="n">
        <v>44</v>
      </c>
      <c r="N9" s="36" t="n"/>
      <c r="O9" s="36" t="n"/>
    </row>
    <row r="10">
      <c r="A10" s="27" t="str">
        <f>IF(Metas!B10="","",Metas!B10)</f>
        <v>Glosa recuperada por recurso no trimestre (R$)</v>
      </c>
      <c r="B10" s="24">
        <f>IF(Metas!B10="","",Metas!F10)</f>
        <v>1000</v>
      </c>
      <c r="C10" s="36" t="n">
        <v>0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0</v>
      </c>
      <c r="K10" s="36" t="n">
        <v>0</v>
      </c>
      <c r="L10" s="36" t="n">
        <v>0</v>
      </c>
      <c r="M10" s="36" t="n">
        <v>200</v>
      </c>
      <c r="N10" s="36" t="n"/>
      <c r="O10" s="36" t="n"/>
    </row>
    <row r="11">
      <c r="A11" s="27" t="str">
        <f>IF(Metas!B11="","",Metas!B11)</f>
        <v>Inadimplência a prazo: vencido ÷ (pago + vencido) (%)</v>
      </c>
      <c r="B11" s="24">
        <f>IF(Metas!B11="","",Metas!F11)</f>
        <v>8</v>
      </c>
      <c r="C11" s="36" t="n">
        <v>10.6</v>
      </c>
      <c r="D11" s="36" t="n">
        <v>9.800000000000001</v>
      </c>
      <c r="E11" s="36" t="n">
        <v>10.9</v>
      </c>
      <c r="F11" s="36" t="n">
        <v>10.7</v>
      </c>
      <c r="G11" s="36" t="n">
        <v>10</v>
      </c>
      <c r="H11" s="36" t="n">
        <v>10.9</v>
      </c>
      <c r="I11" s="36" t="n">
        <v>9.5</v>
      </c>
      <c r="J11" s="36" t="n">
        <v>10.8</v>
      </c>
      <c r="K11" s="36" t="n">
        <v>10.1</v>
      </c>
      <c r="L11" s="36" t="n">
        <v>8.800000000000001</v>
      </c>
      <c r="M11" s="36" t="n">
        <v>9.4</v>
      </c>
      <c r="N11" s="36" t="n"/>
      <c r="O11" s="36" t="n"/>
    </row>
    <row r="12">
      <c r="A12" s="27" t="str">
        <f>IF(Metas!B12="","",Metas!B12)</f>
        <v>Reserva guardada em conta separada (R$)</v>
      </c>
      <c r="B12" s="24">
        <f>IF(Metas!B12="","",Metas!F12)</f>
        <v>17000</v>
      </c>
      <c r="C12" s="36" t="n">
        <v>8000</v>
      </c>
      <c r="D12" s="36" t="n">
        <v>8000</v>
      </c>
      <c r="E12" s="36" t="n">
        <v>8000</v>
      </c>
      <c r="F12" s="36" t="n">
        <v>8000</v>
      </c>
      <c r="G12" s="36" t="n">
        <v>11000</v>
      </c>
      <c r="H12" s="36" t="n">
        <v>11000</v>
      </c>
      <c r="I12" s="36" t="n">
        <v>11000</v>
      </c>
      <c r="J12" s="36" t="n">
        <v>11000</v>
      </c>
      <c r="K12" s="36" t="n">
        <v>11000</v>
      </c>
      <c r="L12" s="36" t="n">
        <v>14000</v>
      </c>
      <c r="M12" s="36" t="n">
        <v>14000</v>
      </c>
      <c r="N12" s="36" t="n"/>
      <c r="O12" s="36" t="n"/>
    </row>
    <row r="13">
      <c r="A13" s="27" t="str">
        <f>IF(Metas!B13="","",Metas!B13)</f>
        <v>Conta de provisão de impostos, 13º e férias (R$)</v>
      </c>
      <c r="B13" s="24">
        <f>IF(Metas!B13="","",Metas!F13)</f>
        <v>18209</v>
      </c>
      <c r="C13" s="36" t="n">
        <v>8200</v>
      </c>
      <c r="D13" s="36" t="n">
        <v>8200</v>
      </c>
      <c r="E13" s="36" t="n">
        <v>8200</v>
      </c>
      <c r="F13" s="36" t="n">
        <v>8200</v>
      </c>
      <c r="G13" s="36" t="n">
        <v>11300</v>
      </c>
      <c r="H13" s="36" t="n">
        <v>11300</v>
      </c>
      <c r="I13" s="36" t="n">
        <v>11300</v>
      </c>
      <c r="J13" s="36" t="n">
        <v>11300</v>
      </c>
      <c r="K13" s="36" t="n">
        <v>11300</v>
      </c>
      <c r="L13" s="36" t="n">
        <v>14400</v>
      </c>
      <c r="M13" s="36" t="n">
        <v>17500</v>
      </c>
      <c r="N13" s="36" t="n"/>
      <c r="O13" s="36" t="n"/>
    </row>
    <row r="15" ht="30" customHeight="1">
      <c r="A15" s="39" t="inlineStr">
        <is>
          <t>A coluna da semana atual fica destacada. Valores em % são digitados como 16,8 (não 0,168). Semana sem nada a medir: escreva "—" (não escreva 0, que puxa a série para baixo como se o resultado tivesse desabado). No exemplo, S1 a S11 são as sextas de 03/07 a 11/09/2026, e o prazo real dos lotes fica "—" na S1 porque nenhum lote foi pago naquela semana do trimestre.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15:O15"/>
    <mergeCell ref="A1:P1"/>
    <mergeCell ref="A2:P2"/>
  </mergeCells>
  <conditionalFormatting sqref="C4:O4">
    <cfRule type="expression" priority="1" dxfId="4">
      <formula>COLUMN()-2=INDIRECT("Config!$B$9")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Metas do Trimestre · Kit de Gestão para Médicos</dc:title>
  <dcterms:created xmlns:dcterms="http://purl.org/dc/terms/" xmlns:xsi="http://www.w3.org/2001/XMLSchema-instance" xsi:type="dcterms:W3CDTF">2026-09-19T02:57:39Z</dcterms:created>
  <dcterms:modified xmlns:dcterms="http://purl.org/dc/terms/" xmlns:xsi="http://www.w3.org/2001/XMLSchema-instance" xsi:type="dcterms:W3CDTF">2026-09-19T02:57:39Z</dcterms:modified>
</cp:coreProperties>
</file>