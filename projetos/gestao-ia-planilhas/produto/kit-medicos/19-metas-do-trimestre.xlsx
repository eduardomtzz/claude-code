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deixe a data de referência em =HOJE()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dos painéis das planilhas de origem ou do Painel da clínica, 17) e copie para a coluna da semana em Semanas.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0</v>
      </c>
      <c r="D5" s="10" t="n"/>
      <c r="E5" s="17">
        <f>COUNTIFS(Metas!$J$5:$J$13,"Em risco")</f>
        <v>6</v>
      </c>
      <c r="F5" s="12" t="n"/>
      <c r="G5" s="18">
        <f>IFERROR(AVERAGEIFS(Metas!$H$5:$H$13,Metas!$B$5:$B$13,"&lt;&gt;"),0)</f>
        <v>0.34526330440098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IF(OR(Metas!$A$5="",B9=0),"",AVERAGEIFS(Metas!$H$5:$H$7,Metas!$B$5:$B$7,"&lt;&gt;"))</f>
        <v>0.291666666666667</v>
      </c>
      <c r="D9" s="24">
        <f>IF(Metas!$A$5="","",COUNTIFS(Metas!$J$5:$J$7,"Atingido"))</f>
        <v>0</v>
      </c>
      <c r="E9" s="24">
        <f>IF(Metas!$A$5="","",COUNTIFS(Metas!$J$5:$J$7,"Em risco"))</f>
        <v>2</v>
      </c>
      <c r="F9" s="26" t="str">
        <f>IF(C9="","",REPT("█",ROUND(C9*30,0)))</f>
        <v>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IF(OR(Metas!$A$8="",B10=0),"",AVERAGEIFS(Metas!$H$8:$H$10,Metas!$B$8:$B$10,"&lt;&gt;"))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IF(C10="","",REPT("█",ROUND(C10*30,0)))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0.447890126422557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IF(Metas!B5="","",Metas!C5)</f>
        <v>Bruna Carvalho</v>
      </c>
      <c r="C15" s="28">
        <f>IF(Metas!B5="","",Metas!G5)</f>
        <v>74.5</v>
      </c>
      <c r="D15" s="28">
        <f>IF(Metas!B5="","",Metas!F5)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IF(Metas!B6="","",Metas!C6)</f>
        <v>Bruna Carvalho</v>
      </c>
      <c r="C16" s="28">
        <f>IF(Metas!B6="","",Metas!G6)</f>
        <v>7.1</v>
      </c>
      <c r="D16" s="28">
        <f>IF(Metas!B6="","",Metas!F6)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IF(Metas!B7="","",Metas!C7)</f>
        <v>Bruna Carvalho</v>
      </c>
      <c r="C17" s="28">
        <f>IF(Metas!B7="","",Metas!G7)</f>
        <v>7</v>
      </c>
      <c r="D17" s="28">
        <f>IF(Metas!B7="","",Metas!F7)</f>
        <v>8</v>
      </c>
      <c r="E17" s="25">
        <f>IF(Metas!B7="","",Metas!H7)</f>
        <v>0.875</v>
      </c>
      <c r="F17" s="25">
        <f>IF(Metas!B7="","",Metas!I7)</f>
        <v>0.824175824175824</v>
      </c>
      <c r="G17" s="24" t="str">
        <f>IF(Metas!B7="","",Metas!J7)</f>
        <v>No ritmo</v>
      </c>
      <c r="H17" s="26" t="str">
        <f>IF(E17="","",REPT("█",ROUND(E17*20,0)))</f>
        <v>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IF(Metas!B8="","",Metas!C8)</f>
        <v>Dr. Paulo Andrade</v>
      </c>
      <c r="C18" s="28">
        <f>IF(Metas!B8="","",Metas!G8)</f>
        <v>5.5</v>
      </c>
      <c r="D18" s="28">
        <f>IF(Metas!B8="","",Metas!F8)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IF(Metas!B9="","",Metas!C9)</f>
        <v>Dr. Paulo Andrade</v>
      </c>
      <c r="C19" s="28">
        <f>IF(Metas!B9="","",Metas!G9)</f>
        <v>44</v>
      </c>
      <c r="D19" s="28">
        <f>IF(Metas!B9="","",Metas!F9)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IF(Metas!B10="","",Metas!C10)</f>
        <v>Dr. Paulo Andrade</v>
      </c>
      <c r="C20" s="28">
        <f>IF(Metas!B10="","",Metas!G10)</f>
        <v>200</v>
      </c>
      <c r="D20" s="28">
        <f>IF(Metas!B10="","",Metas!F10)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IF(Metas!B11="","",Metas!C11)</f>
        <v>Dra. Carolina Mendes</v>
      </c>
      <c r="C21" s="28">
        <f>IF(Metas!B11="","",Metas!G11)</f>
        <v>10.4</v>
      </c>
      <c r="D21" s="28">
        <f>IF(Metas!B11="","",Metas!F11)</f>
        <v>8</v>
      </c>
      <c r="E21" s="25">
        <f>IF(Metas!B11="","",Metas!H11)</f>
        <v>0</v>
      </c>
      <c r="F21" s="25">
        <f>IF(Metas!B11="","",Metas!I11)</f>
        <v>0.824175824175824</v>
      </c>
      <c r="G21" s="24" t="str">
        <f>IF(Metas!B11="","",Metas!J11)</f>
        <v>Em risco</v>
      </c>
      <c r="H21" s="26">
        <f>IF(E21="","",REPT("█",ROUND(E21*20,0)))</f>
        <v/>
      </c>
    </row>
    <row r="22">
      <c r="A22" s="27" t="str">
        <f>IF(Metas!B12="","",Metas!B12)</f>
        <v>Reserva guardada em conta separada (R$)</v>
      </c>
      <c r="B22" s="24" t="str">
        <f>IF(Metas!B12="","",Metas!C12)</f>
        <v>Dra. Carolina Mendes</v>
      </c>
      <c r="C22" s="28">
        <f>IF(Metas!B12="","",Metas!G12)</f>
        <v>14000</v>
      </c>
      <c r="D22" s="28">
        <f>IF(Metas!B12="","",Metas!F12)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IF(Metas!B13="","",Metas!C13)</f>
        <v>Dra. Carolina Mendes</v>
      </c>
      <c r="C23" s="28">
        <f>IF(Metas!B13="","",Metas!G13)</f>
        <v>17500</v>
      </c>
      <c r="D23" s="28">
        <f>IF(Metas!B13="","",Metas!F13)</f>
        <v>21937</v>
      </c>
      <c r="E23" s="25">
        <f>IF(Metas!B13="","",Metas!H13)</f>
        <v>0.677003712601005</v>
      </c>
      <c r="F23" s="25">
        <f>IF(Metas!B13="","",Metas!I13)</f>
        <v>0.824175824175824</v>
      </c>
      <c r="G23" s="24" t="str">
        <f>IF(Metas!B13="","",Metas!J13)</f>
        <v>Atenção</v>
      </c>
      <c r="H23" s="26" t="str">
        <f>IF(E23="","",REPT("█",ROUND(E23*20,0)))</f>
        <v>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>
        <f>TODAY()</f>
        <v>46279.0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IF(B5="","",IF(F5=E5,"",IF(K5="Menor é melhor",MAX(0,MIN(1,(E5-G5)/(E5-F5))),MAX(0,MIN(1,(G5-E5)/(F5-E5))))))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Maior é melhor</t>
        </is>
      </c>
      <c r="L5" s="35" t="inlineStr">
        <is>
          <t>Painel da planilha 01 (horas atendidas ÷ disponíveis). Partida = primeira sexta de julho; atual = 4 semanas até 11/09.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IF(B6="","",IF(F6=E6,"",IF(K6="Menor é melhor",MAX(0,MIN(1,(E6-G6)/(E6-F6))),MAX(0,MIN(1,(G6-E6)/(F6-E6))))))</f>
        <v>0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7</v>
      </c>
      <c r="H7" s="25">
        <f>IF(B7="","",IF(F7=E7,"",IF(K7="Menor é melhor",MAX(0,MIN(1,(E7-G7)/(E7-F7))),MAX(0,MIN(1,(G7-E7)/(F7-E7))))))</f>
        <v>0.875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No ritmo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IF(B8="","",IF(F8=E8,"",IF(K8="Menor é melhor",MAX(0,MIN(1,(E8-G8)/(E8-F8))),MAX(0,MIN(1,(G8-E8)/(F8-E8))))))</f>
        <v>0.285714285714286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IF(B9="","",IF(F9=E9,"",IF(K9="Menor é melhor",MAX(0,MIN(1,(E9-G9)/(E9-F9))),MAX(0,MIN(1,(G9-E9)/(F9-E9))))))</f>
        <v>0.402985074626866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(Lotes da 13). Partida = média de janeiro a junho. Cobrar o convênio na sexta quando a previsão passar.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IF(B10="","",IF(F10=E10,"",IF(K10="Menor é melhor",MAX(0,MIN(1,(E10-G10)/(E10-F10))),MAX(0,MIN(1,(G10-E10)/(F10-E10))))))</f>
        <v>0.2</v>
      </c>
      <c r="I10" s="25">
        <f>IF(B10="","",Config!$B$10)</f>
        <v>0.824175824175824</v>
      </c>
      <c r="J10" s="24" t="str">
        <f>IF(OR(B10="",H10=""),"",IF(H10&gt;=1,"Atingido",IF(H10&gt;=I10-0.1,"No ritmo",IF(H10&gt;=I10-0.25,"Atenção","Em risco"))))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9.5</v>
      </c>
      <c r="F11" s="36" t="n">
        <v>8</v>
      </c>
      <c r="G11" s="36" t="n">
        <v>10.4</v>
      </c>
      <c r="H11" s="25">
        <f>IF(B11="","",IF(F11=E11,"",IF(K11="Menor é melhor",MAX(0,MIN(1,(E11-G11)/(E11-F11))),MAX(0,MIN(1,(G11-E11)/(F11-E11))))))</f>
        <v>0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IF(B12="","",IF(F12=E12,"",IF(K12="Menor é melhor",MAX(0,MIN(1,(E12-G12)/(E12-F12))),MAX(0,MIN(1,(G12-E12)/(F12-E12))))))</f>
        <v>0.666666666666667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21937</v>
      </c>
      <c r="G13" s="36" t="n">
        <v>17500</v>
      </c>
      <c r="H13" s="25">
        <f>IF(B13="","",IF(F13=E13,"",IF(K13="Menor é melhor",MAX(0,MIN(1,(E13-G13)/(E13-F13))),MAX(0,MIN(1,(G13-E13)/(F13-E13))))))</f>
        <v>0.677003712601005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Atenção</v>
      </c>
      <c r="K13" s="36" t="inlineStr">
        <is>
          <t>Maior é melhor</t>
        </is>
      </c>
      <c r="L13" s="35" t="inlineStr">
        <is>
          <t>Meta = saldo provisionado de setembro na planilha 10; atual = o que já está na conta separada (planilha 12).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0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IF(Metas!B5="","",Metas!F5)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IF(Metas!B6="","",Metas!F6)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IF(Metas!B7="","",Metas!F7)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0</v>
      </c>
      <c r="H7" s="36" t="n">
        <v>0</v>
      </c>
      <c r="I7" s="36" t="n">
        <v>1</v>
      </c>
      <c r="J7" s="36" t="n">
        <v>1</v>
      </c>
      <c r="K7" s="36" t="n">
        <v>2</v>
      </c>
      <c r="L7" s="36" t="n">
        <v>4</v>
      </c>
      <c r="M7" s="36" t="n">
        <v>7</v>
      </c>
      <c r="N7" s="36" t="n"/>
      <c r="O7" s="36" t="n"/>
    </row>
    <row r="8">
      <c r="A8" s="27" t="str">
        <f>IF(Metas!B8="","",Metas!B8)</f>
        <v>Glosa nos lotes pagos no ano (%)</v>
      </c>
      <c r="B8" s="24">
        <f>IF(Metas!B8="","",Metas!F8)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IF(Metas!B9="","",Metas!F9)</f>
        <v>40</v>
      </c>
      <c r="C9" s="36" t="n">
        <v>0</v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IF(Metas!B10="","",Metas!F10)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IF(Metas!B11="","",Metas!F11)</f>
        <v>8</v>
      </c>
      <c r="C11" s="36" t="n">
        <v>11</v>
      </c>
      <c r="D11" s="36" t="n">
        <v>9</v>
      </c>
      <c r="E11" s="36" t="n">
        <v>10.6</v>
      </c>
      <c r="F11" s="36" t="n">
        <v>10</v>
      </c>
      <c r="G11" s="36" t="n">
        <v>9.6</v>
      </c>
      <c r="H11" s="36" t="n">
        <v>10.5</v>
      </c>
      <c r="I11" s="36" t="n">
        <v>9.199999999999999</v>
      </c>
      <c r="J11" s="36" t="n">
        <v>9.4</v>
      </c>
      <c r="K11" s="36" t="n">
        <v>10.9</v>
      </c>
      <c r="L11" s="36" t="n">
        <v>9.699999999999999</v>
      </c>
      <c r="M11" s="36" t="n">
        <v>10.4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IF(Metas!B12="","",Metas!F12)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IF(Metas!B13="","",Metas!F13)</f>
        <v>21937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>
      <c r="A15" s="6" t="inlineStr">
        <is>
          <t>A coluna da semana atual fica destacada. Valores em % são digitados como 16,8 (não 0,168). No exemplo, S1 a S11 são as sextas de 03/07 a 11/09/2026.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P1"/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2026-09-14T21:29:18Z</dcterms:created>
  <dcterms:modified xmlns:dcterms="http://purl.org/dc/terms/" xmlns:xsi="http://www.w3.org/2001/XMLSchema-instance" xsi:type="dcterms:W3CDTF">2026-09-14T21:29:18Z</dcterms:modified>
</cp:coreProperties>
</file>