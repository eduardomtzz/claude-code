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ou o boleto chegou e reenviar,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>
        <f>TODAY()</f>
        <v>46279.0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ou o boleto chegou e reenviar,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pagamento a prazo. O próximo atendimento é à vista (Pix, dinheiro ou cartão) ou fica para depois de acertar o que está em atraso — sem constrangimento e em particular.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>
        <f>TODAY()-214</f>
        <v>46065.0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>
        <f>TODAY()-185</f>
        <v>46094.0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>
        <f>TODAY()-158</f>
        <v>46121.0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>
        <f>TODAY()-119</f>
        <v>46160.0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>
        <f>TODAY()-114</f>
        <v>46165.0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>
        <f>TODAY()-130</f>
        <v>46149.0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>
        <f>TODAY()-93</f>
        <v>46186.0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>
        <f>TODAY()-87</f>
        <v>46192.0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>
        <f>TODAY()-79</f>
        <v>46200.0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>
        <f>TODAY()-31</f>
        <v>46248.0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>
        <f>TODAY()-54</f>
        <v>46225.0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>
        <f>TODAY()-40</f>
        <v>46239.0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>
        <f>TODAY()-2</f>
        <v>46277.0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ou o boleto chegou e reenviar,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>
        <f>TODAY()+8</f>
        <v>46287.0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>
        <f>TODAY()+11</f>
        <v>46290.0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>
        <f>TODAY()+12</f>
        <v>46291.0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>
        <f>TODAY()+25</f>
        <v>46304.0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>
        <f>TODAY()+26</f>
        <v>46305.0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>
        <f>TODAY()-1</f>
        <v>46278.0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ou o boleto chegou e reenviar,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>
        <f>TODAY()+2</f>
        <v>46281.0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>
        <f>TODAY()+32</f>
        <v>46311.0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>
        <f>TODAY()+3</f>
        <v>46282.0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>
        <f>TODAY()+5</f>
        <v>46284.0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>
        <f>TODAY()+9</f>
        <v>46288.0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>
        <f>TODAY()+11</f>
        <v>46290.0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>
        <f>TODAY()+12</f>
        <v>46291.0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>
        <f>TODAY()+42</f>
        <v>46321.0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>
        <f>TODAY()+12</f>
        <v>46291.0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>
        <f>TODAY()+42</f>
        <v>46321.0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>
        <f>TODAY()+12</f>
        <v>46291.0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>
        <f>TODAY()+19</f>
        <v>46298.0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>
        <f>TODAY()+49</f>
        <v>46328.0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>
        <f>TODAY()+20</f>
        <v>46299.0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>
        <f>TODAY()+50</f>
        <v>46329.0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>
        <f>TODAY()+25</f>
        <v>46304.0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>
        <f>TODAY()+55</f>
        <v>46334.0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>
        <f>TODAY()+26</f>
        <v>46305.0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>
        <f>TODAY()+56</f>
        <v>46335.0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>
        <f>TODAY()+26</f>
        <v>46305.0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vencer",$K5&lt;=Config!$B$6)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0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0" allowBlank="1" type="date" operator="greaterThan">
      <formula1>1</formula1>
    </dataValidation>
    <dataValidation sqref="F5:F404" showDropDown="0" showInputMessage="0" showErrorMessage="0" allowBlank="1" type="decimal" operator="greaterThanOrEqual">
      <formula1>0</formula1>
    </dataValidation>
    <dataValidation sqref="D5:D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2026-09-14T23:05:34Z</dcterms:created>
  <dcterms:modified xmlns:dcterms="http://purl.org/dc/terms/" xmlns:xsi="http://www.w3.org/2001/XMLSchema-instance" xsi:type="dcterms:W3CDTF">2026-09-14T23:05:35Z</dcterms:modified>
</cp:coreProperties>
</file>