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acientes" sheetId="4" state="visible" r:id="rId4"/>
    <sheet xmlns:r="http://schemas.openxmlformats.org/officeDocument/2006/relationships" name="Parcelas" sheetId="5" state="visible" r:id="rId5"/>
  </sheets>
  <definedNames>
    <definedName name="_xlnm._FilterDatabase" localSheetId="3" hidden="1">'Pacientes'!$A$4:$H$404</definedName>
    <definedName name="_xlnm._FilterDatabase" localSheetId="4" hidden="1">'Parcelas'!$A$4:$M$404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;[Red]-&quot;R$&quot; #,##0"/>
    <numFmt numFmtId="167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FBE4E4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6" fontId="1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0" fillId="6" borderId="0" applyAlignment="1" pivotButton="0" quotePrefix="0" xfId="0">
      <alignment horizontal="center"/>
    </xf>
    <xf numFmtId="1" fontId="10" fillId="6" borderId="0" applyAlignment="1" pivotButton="0" quotePrefix="0" xfId="0">
      <alignment horizontal="center"/>
    </xf>
    <xf numFmtId="167" fontId="10" fillId="6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165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vertical="top" wrapText="1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166" fontId="4" fillId="2" borderId="1" applyProtection="1" pivotButton="0" quotePrefix="0" xfId="0"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Vencido por faixa de atraso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'Painel'!C10</f>
            </strRef>
          </tx>
          <spPr>
            <a:solidFill xmlns:a="http://schemas.openxmlformats.org/drawingml/2006/main">
              <a:srgbClr val="7A1F1F"/>
            </a:solidFill>
            <a:ln xmlns:a="http://schemas.openxmlformats.org/drawingml/2006/main">
              <a:prstDash val="solid"/>
            </a:ln>
          </spPr>
          <cat>
            <numRef>
              <f>'Painel'!$A$11:$A$15</f>
            </numRef>
          </cat>
          <val>
            <numRef>
              <f>'Painel'!$C$11:$C$15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Parcelas particulares e inadimplência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as parcelas combinadas a prazo com cada paciente e marca as pagas; ela mostra o que vence nos próximos dias, o que já venceu por faixa de atraso, a inadimplência e a lista de quem cobrar primeiro, com a ação sugerida da régua de cobrança.</t>
        </is>
      </c>
    </row>
    <row r="5" ht="46" customHeight="1">
      <c r="A5" s="3" t="inlineStr">
        <is>
          <t>Passo 1</t>
        </is>
      </c>
      <c r="B5" s="4" t="inlineStr">
        <is>
          <t>Em Config, ajuste as janelas (7 e 30 dias) e a régua: a partir de quantos dias de atraso fazer o quê. Escreva as ações do seu jeito, educadas e diretas.</t>
        </is>
      </c>
    </row>
    <row r="6" ht="46" customHeight="1">
      <c r="A6" s="3" t="inlineStr">
        <is>
          <t>Passo 2</t>
        </is>
      </c>
      <c r="B6" s="4" t="inlineStr">
        <is>
          <t>Em Pacientes, cole os nomes e contatos da planilha 01 (aba Pacientes; a 01 é a fonte) de quem paga a prazo. É a lista que alimenta a escolha do paciente em Parcelas.</t>
        </is>
      </c>
    </row>
    <row r="7" ht="46" customHeight="1">
      <c r="A7" s="3" t="inlineStr">
        <is>
          <t>Passo 3</t>
        </is>
      </c>
      <c r="B7" s="4" t="inlineStr">
        <is>
          <t>Em Parcelas, uma linha por parcela: paciente, procedimento, data do atendimento, número da parcela, vencimento e valor. Quando receber, marque Pago? = Sim e a data, e lance a mesma entrada no caixa (planilha 09, categoria "Particular a prazo"). O à vista não entra aqui.</t>
        </is>
      </c>
    </row>
    <row r="8" ht="46" customHeight="1">
      <c r="A8" s="3" t="inlineStr">
        <is>
          <t>Passo 4</t>
        </is>
      </c>
      <c r="B8" s="4" t="inlineStr">
        <is>
          <t>Em Painel, veja o que vence em 7 e 30 dias, o vencido por faixa, a inadimplência (vencido ÷ (pago + vencido), a mesma conta das planilhas 17, 19 e 20) e a lista "Cobrar primeiro" com o texto da régua para cada parcela.</t>
        </is>
      </c>
    </row>
    <row r="9" ht="46" customHeight="1">
      <c r="A9" s="3" t="inlineStr">
        <is>
          <t>Rotina</t>
        </is>
      </c>
      <c r="B9" s="4" t="inlineStr">
        <is>
          <t>Sexta-feira, 4 minutos (rotina da semana, planilha 03): conferir o extrato, marcar as parcelas pagas, mandar as mensagens da lista "Cobrar primeiro" e lembrar quem vence na semana seguinte. Tudo numa passada só, na sexta.</t>
        </is>
      </c>
    </row>
    <row r="10" ht="46" customHeight="1">
      <c r="A10" s="3" t="inlineStr">
        <is>
          <t>Com a IA</t>
        </is>
      </c>
      <c r="B10" s="4" t="inlineStr">
        <is>
          <t>Copie uma linha de "Cobrar primeiro" (sem o nome: procedimento, valor, dias, ação) e use o prompt "Recebíveis 04 · Cobrança educada em três versões" da biblioteca do kit, ou os 15 modelos de mensagem do bônus. Nunca cole dados do paciente que ele não autorizou.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9" customWidth="1" min="4" max="4"/>
    <col width="12" customWidth="1" min="5" max="5"/>
    <col width="14" customWidth="1" min="6" max="6"/>
    <col width="12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5" t="str">
        <f>Config!$B$4&amp;" · Parcelas e inadimplência · "&amp;TEXT(DAY(Config!$B$5),"00")&amp;"/"&amp;TEXT(MONTH(Config!$B$5),"00")&amp;"/"&amp;YEAR(Config!$B$5)</f>
        <v>Clínica Vida Plena (exemplo fictício) · Parcelas e inadimplência · 14/09/2026</v>
      </c>
    </row>
    <row r="2">
      <c r="A2" s="6" t="inlineStr">
        <is>
          <t>Nada para digitar aqui: tudo vem de Parcelas e da régua em Config. Só o que foi combinado a prazo entra aqui.</t>
        </is>
      </c>
    </row>
    <row r="3"/>
    <row r="4">
      <c r="A4" s="7" t="str">
        <f>"Vence em até "&amp;Config!$B$6&amp;" dias"</f>
        <v>Vence em até 7 dias</v>
      </c>
      <c r="B4" s="8" t="n"/>
      <c r="C4" s="9" t="str">
        <f>"Vence em até "&amp;Config!$B$7&amp;" dias"</f>
        <v>Vence em até 30 dias</v>
      </c>
      <c r="D4" s="10" t="n"/>
      <c r="E4" s="9" t="inlineStr">
        <is>
          <t>Em aberto (total)</t>
        </is>
      </c>
      <c r="F4" s="10" t="n"/>
      <c r="G4" s="11" t="inlineStr">
        <is>
          <t>Vencido (R$)</t>
        </is>
      </c>
      <c r="H4" s="12" t="n"/>
      <c r="I4" s="11" t="inlineStr">
        <is>
          <t>Parcelas vencidas</t>
        </is>
      </c>
      <c r="J4" s="12" t="n"/>
      <c r="K4" s="11" t="inlineStr">
        <is>
          <t>Inadimplência (vencido ÷ (pago + vencido))</t>
        </is>
      </c>
      <c r="L4" s="12" t="n"/>
    </row>
    <row r="5" ht="30" customHeight="1">
      <c r="A5" s="13">
        <f>SUMIFS(Parcelas!$F$5:$F$404,Parcelas!$I$5:$I$404,"A vencer",Parcelas!$K$5:$K$404,"&lt;="&amp;Config!$B$6)</f>
        <v>970</v>
      </c>
      <c r="B5" s="8" t="n"/>
      <c r="C5" s="14">
        <f>SUMIFS(Parcelas!$F$5:$F$404,Parcelas!$I$5:$I$404,"A vencer",Parcelas!$K$5:$K$404,"&lt;="&amp;Config!$B$7)</f>
        <v>4705</v>
      </c>
      <c r="D5" s="10" t="n"/>
      <c r="E5" s="14">
        <f>SUMIFS(Parcelas!$F$5:$F$404,Parcelas!$I$5:$I$404,"A vencer")+SUMIFS(Parcelas!$F$5:$F$404,Parcelas!$I$5:$I$404,"Vencida")</f>
        <v>9855</v>
      </c>
      <c r="F5" s="10" t="n"/>
      <c r="G5" s="15">
        <f>SUMIFS(Parcelas!$F$5:$F$404,Parcelas!$I$5:$I$404,"Vencida")</f>
        <v>3775</v>
      </c>
      <c r="H5" s="12" t="n"/>
      <c r="I5" s="16">
        <f>COUNTIFS(Parcelas!$I$5:$I$404,"Vencida")</f>
        <v>14</v>
      </c>
      <c r="J5" s="12" t="n"/>
      <c r="K5" s="17">
        <f>IFERROR(G5/(G5+SUMIFS(Parcelas!$F$5:$F$404,Parcelas!$I$5:$I$404,"Paga")),0)</f>
        <v>0.0935795736241944</v>
      </c>
      <c r="L5" s="12" t="n"/>
    </row>
    <row r="6"/>
    <row r="7" ht="30" customHeight="1">
      <c r="A7" s="18" t="inlineStr">
        <is>
          <t>Inadimplência = vencido ÷ (pago + vencido): de tudo o que já venceu, quanto ainda não entrou. É a definição usada em todo o kit (17, 19, 20) e vale só para o que foi combinado a prazo (o à vista entra direto no caixa). Outra conta possível, vencido ÷ em aberto, mede a carteira futura e dá um número maior; não a use para comparar com estas planilhas.</t>
        </is>
      </c>
    </row>
    <row r="8"/>
    <row r="9">
      <c r="A9" s="19" t="inlineStr">
        <is>
          <t>Vencidas por faixa de atraso</t>
        </is>
      </c>
    </row>
    <row r="10" ht="26" customHeight="1">
      <c r="A10" s="20" t="inlineStr">
        <is>
          <t>Faixa</t>
        </is>
      </c>
      <c r="B10" s="20" t="inlineStr">
        <is>
          <t>Parcelas</t>
        </is>
      </c>
      <c r="C10" s="20" t="inlineStr">
        <is>
          <t>Valor (R$)</t>
        </is>
      </c>
      <c r="D10" s="20" t="inlineStr">
        <is>
          <t>% do vencido</t>
        </is>
      </c>
      <c r="E10" s="20" t="inlineStr">
        <is>
          <t>Ação da régua</t>
        </is>
      </c>
      <c r="F10" s="21" t="n"/>
      <c r="G10" s="21" t="n"/>
      <c r="H10" s="22" t="n"/>
    </row>
    <row r="11" ht="32" customHeight="1">
      <c r="A11" s="23" t="str">
        <f>IF(Config!$C$10="","",Config!$C$10)</f>
        <v>1 a 6 dias</v>
      </c>
      <c r="B11" s="24">
        <f>IF(Config!$C$10="","",COUNTIFS(Parcelas!$L$5:$L$404,Config!$C$10))</f>
        <v>2</v>
      </c>
      <c r="C11" s="25">
        <f>IF(Config!$C$10="","",SUMIFS(Parcelas!$F$5:$F$404,Parcelas!$L$5:$L$404,Config!$C$10))</f>
        <v>320</v>
      </c>
      <c r="D11" s="26">
        <f>IF(Config!$C$10="","",IFERROR(C11/$G$5,0))</f>
        <v>0.0847682119205298</v>
      </c>
      <c r="E11" s="27" t="str">
        <f>IF(Config!$C$10="","",Config!$B$10)</f>
        <v>Lembrete gentil por WhatsApp: confirmar se o Pix chegou e reenviar o link de pagamento, se preciso.</v>
      </c>
      <c r="F11" s="21" t="n"/>
      <c r="G11" s="21" t="n"/>
      <c r="H11" s="22" t="n"/>
    </row>
    <row r="12" ht="32" customHeight="1">
      <c r="A12" s="23" t="str">
        <f>IF(Config!$C$11="","",Config!$C$11)</f>
        <v>7 a 14 dias</v>
      </c>
      <c r="B12" s="24">
        <f>IF(Config!$C$11="","",COUNTIFS(Parcelas!$L$5:$L$404,Config!$C$11))</f>
        <v>0</v>
      </c>
      <c r="C12" s="25">
        <f>IF(Config!$C$11="","",SUMIFS(Parcelas!$F$5:$F$404,Parcelas!$L$5:$L$404,Config!$C$11))</f>
        <v>0</v>
      </c>
      <c r="D12" s="26">
        <f>IF(Config!$C$11="","",IFERROR(C12/$G$5,0))</f>
        <v>0</v>
      </c>
      <c r="E12" s="27" t="str">
        <f>IF(Config!$C$11="","",Config!$B$11)</f>
        <v>Mensagem da recepção perguntando se houve algum imprevisto e oferecendo uma nova data para o pagamento.</v>
      </c>
      <c r="F12" s="21" t="n"/>
      <c r="G12" s="21" t="n"/>
      <c r="H12" s="22" t="n"/>
    </row>
    <row r="13" ht="32" customHeight="1">
      <c r="A13" s="23" t="str">
        <f>IF(Config!$C$12="","",Config!$C$12)</f>
        <v>15 a 29 dias</v>
      </c>
      <c r="B13" s="24">
        <f>IF(Config!$C$12="","",COUNTIFS(Parcelas!$L$5:$L$404,Config!$C$12))</f>
        <v>0</v>
      </c>
      <c r="C13" s="25">
        <f>IF(Config!$C$12="","",SUMIFS(Parcelas!$F$5:$F$404,Parcelas!$L$5:$L$404,Config!$C$12))</f>
        <v>0</v>
      </c>
      <c r="D13" s="26">
        <f>IF(Config!$C$12="","",IFERROR(C13/$G$5,0))</f>
        <v>0</v>
      </c>
      <c r="E13" s="27" t="str">
        <f>IF(Config!$C$12="","",Config!$B$12)</f>
        <v>Ligação da recepção com o demonstrativo das parcelas em aberto e proposta de nova data ou divisão do valor.</v>
      </c>
      <c r="F13" s="21" t="n"/>
      <c r="G13" s="21" t="n"/>
      <c r="H13" s="22" t="n"/>
    </row>
    <row r="14" ht="32" customHeight="1">
      <c r="A14" s="23" t="str">
        <f>IF(Config!$C$13="","",Config!$C$13)</f>
        <v>30 dias ou mais</v>
      </c>
      <c r="B14" s="24">
        <f>IF(Config!$C$13="","",COUNTIFS(Parcelas!$L$5:$L$404,Config!$C$13))</f>
        <v>12</v>
      </c>
      <c r="C14" s="25">
        <f>IF(Config!$C$13="","",SUMIFS(Parcelas!$F$5:$F$404,Parcelas!$L$5:$L$404,Config!$C$13))</f>
        <v>3455</v>
      </c>
      <c r="D14" s="26">
        <f>IF(Config!$C$13="","",IFERROR(C14/$G$5,0))</f>
        <v>0.91523178807947</v>
      </c>
      <c r="E14" s="27" t="str">
        <f>IF(Config!$C$13="","",Config!$B$13)</f>
        <v>Conversa do médico ou da administração para combinar um plano de pagamento; registrar por escrito o que foi combinado.</v>
      </c>
      <c r="F14" s="21" t="n"/>
      <c r="G14" s="21" t="n"/>
      <c r="H14" s="22" t="n"/>
    </row>
    <row r="15">
      <c r="A15" s="23" t="inlineStr">
        <is>
          <t>Antes da régua</t>
        </is>
      </c>
      <c r="B15" s="24">
        <f>COUNTIFS(Parcelas!$L$5:$L$404,"Antes da régua")</f>
        <v>0</v>
      </c>
      <c r="C15" s="25">
        <f>SUMIFS(Parcelas!$F$5:$F$404,Parcelas!$L$5:$L$404,"Antes da régua")</f>
        <v>0</v>
      </c>
      <c r="D15" s="26">
        <f>IFERROR(C15/$G$5,0)</f>
        <v>0</v>
      </c>
      <c r="E15" s="23" t="inlineStr">
        <is>
          <t>Vencidas há menos dias que o primeiro passo da régua.</t>
        </is>
      </c>
      <c r="F15" s="21" t="n"/>
      <c r="G15" s="21" t="n"/>
      <c r="H15" s="22" t="n"/>
    </row>
    <row r="16"/>
    <row r="17">
      <c r="A17" s="19" t="inlineStr">
        <is>
          <t>Cobrar primeiro</t>
        </is>
      </c>
    </row>
    <row r="18">
      <c r="A18" s="28" t="inlineStr">
        <is>
          <t>Parcelas vencidas em ordem de valor × dias de atraso: as que mais pesam no caixa vêm no topo. O texto da última coluna é a ação da régua para a faixa de cada uma.</t>
        </is>
      </c>
    </row>
    <row r="19" ht="26" customHeight="1">
      <c r="A19" s="20" t="inlineStr">
        <is>
          <t>#</t>
        </is>
      </c>
      <c r="B19" s="20" t="inlineStr">
        <is>
          <t>Paciente</t>
        </is>
      </c>
      <c r="C19" s="20" t="inlineStr">
        <is>
          <t>Procedimento</t>
        </is>
      </c>
      <c r="D19" s="20" t="inlineStr">
        <is>
          <t>Parcela</t>
        </is>
      </c>
      <c r="E19" s="20" t="inlineStr">
        <is>
          <t>Vencimento</t>
        </is>
      </c>
      <c r="F19" s="20" t="inlineStr">
        <is>
          <t>Valor (R$)</t>
        </is>
      </c>
      <c r="G19" s="20" t="inlineStr">
        <is>
          <t>Dias de atraso</t>
        </is>
      </c>
      <c r="H19" s="20" t="inlineStr">
        <is>
          <t>Faixa</t>
        </is>
      </c>
      <c r="I19" s="20" t="inlineStr">
        <is>
          <t>Ação sugerida</t>
        </is>
      </c>
      <c r="J19" s="21" t="n"/>
      <c r="K19" s="21" t="n"/>
      <c r="L19" s="22" t="n"/>
    </row>
    <row r="20" ht="32" customHeight="1">
      <c r="A20" s="24" t="n">
        <v>1</v>
      </c>
      <c r="B20" s="23" t="str">
        <f>IFERROR(IF(LARGE(Parcelas!$N$5:$N$404,1)&gt;0,INDEX(Parcelas!$A$5:$A$404,MATCH(LARGE(Parcelas!$N$5:$N$404,1),Parcelas!$N$5:$N$404,0)),""),"")</f>
        <v>Gabriel Reis</v>
      </c>
      <c r="C20" s="23" t="str">
        <f>IFERROR(IF(LARGE(Parcelas!$N$5:$N$404,1)&gt;0,INDEX(Parcelas!$B$5:$B$404,MATCH(LARGE(Parcelas!$N$5:$N$404,1),Parcelas!$N$5:$N$404,0)),""),"")</f>
        <v>Avaliação endócrina</v>
      </c>
      <c r="D20" s="24">
        <f>IFERROR(IF(LARGE(Parcelas!$N$5:$N$404,1)&gt;0,INDEX(Parcelas!$D$5:$D$404,MATCH(LARGE(Parcelas!$N$5:$N$404,1),Parcelas!$N$5:$N$404,0)),""),"")</f>
        <v>1</v>
      </c>
      <c r="E20" s="29">
        <f>IFERROR(IF(LARGE(Parcelas!$N$5:$N$404,1)&gt;0,INDEX(Parcelas!$E$5:$E$404,MATCH(LARGE(Parcelas!$N$5:$N$404,1),Parcelas!$N$5:$N$404,0)),""),"")</f>
        <v>46121.0</v>
      </c>
      <c r="F20" s="25">
        <f>IFERROR(IF(LARGE(Parcelas!$N$5:$N$404,1)&gt;0,INDEX(Parcelas!$F$5:$F$404,MATCH(LARGE(Parcelas!$N$5:$N$404,1),Parcelas!$N$5:$N$404,0)),""),"")</f>
        <v>400</v>
      </c>
      <c r="G20" s="30">
        <f>IFERROR(IF(LARGE(Parcelas!$N$5:$N$404,1)&gt;0,INDEX(Parcelas!$J$5:$J$404,MATCH(LARGE(Parcelas!$N$5:$N$404,1),Parcelas!$N$5:$N$404,0)),""),"")</f>
        <v>158</v>
      </c>
      <c r="H20" s="24" t="str">
        <f>IFERROR(IF(LARGE(Parcelas!$N$5:$N$404,1)&gt;0,INDEX(Parcelas!$L$5:$L$404,MATCH(LARGE(Parcelas!$N$5:$N$404,1),Parcelas!$N$5:$N$404,0)),""),"")</f>
        <v>30 dias ou mais</v>
      </c>
      <c r="I20" s="27" t="str">
        <f>IFERROR(IF(LARGE(Parcelas!$N$5:$N$404,1)&gt;0,INDEX(Parcelas!$M$5:$M$404,MATCH(LARGE(Parcelas!$N$5:$N$404,1),Parcelas!$N$5:$N$404,0)),""),"")</f>
        <v>Conversa do médico ou da administração para combinar um plano de pagamento; registrar por escrito o que foi combinado.</v>
      </c>
      <c r="J20" s="21" t="n"/>
      <c r="K20" s="21" t="n"/>
      <c r="L20" s="22" t="n"/>
    </row>
    <row r="21" ht="32" customHeight="1">
      <c r="A21" s="24" t="n">
        <v>2</v>
      </c>
      <c r="B21" s="23" t="str">
        <f>IFERROR(IF(LARGE(Parcelas!$N$5:$N$404,2)&gt;0,INDEX(Parcelas!$A$5:$A$404,MATCH(LARGE(Parcelas!$N$5:$N$404,2),Parcelas!$N$5:$N$404,0)),""),"")</f>
        <v>Priscila Reis</v>
      </c>
      <c r="C21" s="23" t="str">
        <f>IFERROR(IF(LARGE(Parcelas!$N$5:$N$404,2)&gt;0,INDEX(Parcelas!$B$5:$B$404,MATCH(LARGE(Parcelas!$N$5:$N$404,2),Parcelas!$N$5:$N$404,0)),""),"")</f>
        <v>Avaliação endócrina</v>
      </c>
      <c r="D21" s="24">
        <f>IFERROR(IF(LARGE(Parcelas!$N$5:$N$404,2)&gt;0,INDEX(Parcelas!$D$5:$D$404,MATCH(LARGE(Parcelas!$N$5:$N$404,2),Parcelas!$N$5:$N$404,0)),""),"")</f>
        <v>1</v>
      </c>
      <c r="E21" s="29">
        <f>IFERROR(IF(LARGE(Parcelas!$N$5:$N$404,2)&gt;0,INDEX(Parcelas!$E$5:$E$404,MATCH(LARGE(Parcelas!$N$5:$N$404,2),Parcelas!$N$5:$N$404,0)),""),"")</f>
        <v>46149.0</v>
      </c>
      <c r="F21" s="25">
        <f>IFERROR(IF(LARGE(Parcelas!$N$5:$N$404,2)&gt;0,INDEX(Parcelas!$F$5:$F$404,MATCH(LARGE(Parcelas!$N$5:$N$404,2),Parcelas!$N$5:$N$404,0)),""),"")</f>
        <v>400</v>
      </c>
      <c r="G21" s="30">
        <f>IFERROR(IF(LARGE(Parcelas!$N$5:$N$404,2)&gt;0,INDEX(Parcelas!$J$5:$J$404,MATCH(LARGE(Parcelas!$N$5:$N$404,2),Parcelas!$N$5:$N$404,0)),""),"")</f>
        <v>130</v>
      </c>
      <c r="H21" s="24" t="str">
        <f>IFERROR(IF(LARGE(Parcelas!$N$5:$N$404,2)&gt;0,INDEX(Parcelas!$L$5:$L$404,MATCH(LARGE(Parcelas!$N$5:$N$404,2),Parcelas!$N$5:$N$404,0)),""),"")</f>
        <v>30 dias ou mais</v>
      </c>
      <c r="I21" s="27" t="str">
        <f>IFERROR(IF(LARGE(Parcelas!$N$5:$N$404,2)&gt;0,INDEX(Parcelas!$M$5:$M$404,MATCH(LARGE(Parcelas!$N$5:$N$404,2),Parcelas!$N$5:$N$404,0)),""),"")</f>
        <v>Conversa do médico ou da administração para combinar um plano de pagamento; registrar por escrito o que foi combinado.</v>
      </c>
      <c r="J21" s="21" t="n"/>
      <c r="K21" s="21" t="n"/>
      <c r="L21" s="22" t="n"/>
    </row>
    <row r="22" ht="32" customHeight="1">
      <c r="A22" s="24" t="n">
        <v>3</v>
      </c>
      <c r="B22" s="23" t="str">
        <f>IFERROR(IF(LARGE(Parcelas!$N$5:$N$404,3)&gt;0,INDEX(Parcelas!$A$5:$A$404,MATCH(LARGE(Parcelas!$N$5:$N$404,3),Parcelas!$N$5:$N$404,0)),""),"")</f>
        <v>Márcia Duarte</v>
      </c>
      <c r="C22" s="23" t="str">
        <f>IFERROR(IF(LARGE(Parcelas!$N$5:$N$404,3)&gt;0,INDEX(Parcelas!$B$5:$B$404,MATCH(LARGE(Parcelas!$N$5:$N$404,3),Parcelas!$N$5:$N$404,0)),""),"")</f>
        <v>Avaliação endócrina</v>
      </c>
      <c r="D22" s="24">
        <f>IFERROR(IF(LARGE(Parcelas!$N$5:$N$404,3)&gt;0,INDEX(Parcelas!$D$5:$D$404,MATCH(LARGE(Parcelas!$N$5:$N$404,3),Parcelas!$N$5:$N$404,0)),""),"")</f>
        <v>1</v>
      </c>
      <c r="E22" s="29">
        <f>IFERROR(IF(LARGE(Parcelas!$N$5:$N$404,3)&gt;0,INDEX(Parcelas!$E$5:$E$404,MATCH(LARGE(Parcelas!$N$5:$N$404,3),Parcelas!$N$5:$N$404,0)),""),"")</f>
        <v>46065.0</v>
      </c>
      <c r="F22" s="25">
        <f>IFERROR(IF(LARGE(Parcelas!$N$5:$N$404,3)&gt;0,INDEX(Parcelas!$F$5:$F$404,MATCH(LARGE(Parcelas!$N$5:$N$404,3),Parcelas!$N$5:$N$404,0)),""),"")</f>
        <v>200</v>
      </c>
      <c r="G22" s="30">
        <f>IFERROR(IF(LARGE(Parcelas!$N$5:$N$404,3)&gt;0,INDEX(Parcelas!$J$5:$J$404,MATCH(LARGE(Parcelas!$N$5:$N$404,3),Parcelas!$N$5:$N$404,0)),""),"")</f>
        <v>214</v>
      </c>
      <c r="H22" s="24" t="str">
        <f>IFERROR(IF(LARGE(Parcelas!$N$5:$N$404,3)&gt;0,INDEX(Parcelas!$L$5:$L$404,MATCH(LARGE(Parcelas!$N$5:$N$404,3),Parcelas!$N$5:$N$404,0)),""),"")</f>
        <v>30 dias ou mais</v>
      </c>
      <c r="I22" s="27" t="str">
        <f>IFERROR(IF(LARGE(Parcelas!$N$5:$N$404,3)&gt;0,INDEX(Parcelas!$M$5:$M$404,MATCH(LARGE(Parcelas!$N$5:$N$404,3),Parcelas!$N$5:$N$404,0)),""),"")</f>
        <v>Conversa do médico ou da administração para combinar um plano de pagamento; registrar por escrito o que foi combinado.</v>
      </c>
      <c r="J22" s="21" t="n"/>
      <c r="K22" s="21" t="n"/>
      <c r="L22" s="22" t="n"/>
    </row>
    <row r="23" ht="32" customHeight="1">
      <c r="A23" s="24" t="n">
        <v>4</v>
      </c>
      <c r="B23" s="23" t="str">
        <f>IFERROR(IF(LARGE(Parcelas!$N$5:$N$404,4)&gt;0,INDEX(Parcelas!$A$5:$A$404,MATCH(LARGE(Parcelas!$N$5:$N$404,4),Parcelas!$N$5:$N$404,0)),""),"")</f>
        <v>Helena Moreira</v>
      </c>
      <c r="C23" s="23" t="str">
        <f>IFERROR(IF(LARGE(Parcelas!$N$5:$N$404,4)&gt;0,INDEX(Parcelas!$B$5:$B$404,MATCH(LARGE(Parcelas!$N$5:$N$404,4),Parcelas!$N$5:$N$404,0)),""),"")</f>
        <v>Consulta</v>
      </c>
      <c r="D23" s="24">
        <f>IFERROR(IF(LARGE(Parcelas!$N$5:$N$404,4)&gt;0,INDEX(Parcelas!$D$5:$D$404,MATCH(LARGE(Parcelas!$N$5:$N$404,4),Parcelas!$N$5:$N$404,0)),""),"")</f>
        <v>1</v>
      </c>
      <c r="E23" s="29">
        <f>IFERROR(IF(LARGE(Parcelas!$N$5:$N$404,4)&gt;0,INDEX(Parcelas!$E$5:$E$404,MATCH(LARGE(Parcelas!$N$5:$N$404,4),Parcelas!$N$5:$N$404,0)),""),"")</f>
        <v>46186.0</v>
      </c>
      <c r="F23" s="25">
        <f>IFERROR(IF(LARGE(Parcelas!$N$5:$N$404,4)&gt;0,INDEX(Parcelas!$F$5:$F$404,MATCH(LARGE(Parcelas!$N$5:$N$404,4),Parcelas!$N$5:$N$404,0)),""),"")</f>
        <v>380</v>
      </c>
      <c r="G23" s="30">
        <f>IFERROR(IF(LARGE(Parcelas!$N$5:$N$404,4)&gt;0,INDEX(Parcelas!$J$5:$J$404,MATCH(LARGE(Parcelas!$N$5:$N$404,4),Parcelas!$N$5:$N$404,0)),""),"")</f>
        <v>93</v>
      </c>
      <c r="H23" s="24" t="str">
        <f>IFERROR(IF(LARGE(Parcelas!$N$5:$N$404,4)&gt;0,INDEX(Parcelas!$L$5:$L$404,MATCH(LARGE(Parcelas!$N$5:$N$404,4),Parcelas!$N$5:$N$404,0)),""),"")</f>
        <v>30 dias ou mais</v>
      </c>
      <c r="I23" s="27" t="str">
        <f>IFERROR(IF(LARGE(Parcelas!$N$5:$N$404,4)&gt;0,INDEX(Parcelas!$M$5:$M$404,MATCH(LARGE(Parcelas!$N$5:$N$404,4),Parcelas!$N$5:$N$404,0)),""),"")</f>
        <v>Conversa do médico ou da administração para combinar um plano de pagamento; registrar por escrito o que foi combinado.</v>
      </c>
      <c r="J23" s="21" t="n"/>
      <c r="K23" s="21" t="n"/>
      <c r="L23" s="22" t="n"/>
    </row>
    <row r="24" ht="32" customHeight="1">
      <c r="A24" s="24" t="n">
        <v>5</v>
      </c>
      <c r="B24" s="23" t="str">
        <f>IFERROR(IF(LARGE(Parcelas!$N$5:$N$404,5)&gt;0,INDEX(Parcelas!$A$5:$A$404,MATCH(LARGE(Parcelas!$N$5:$N$404,5),Parcelas!$N$5:$N$404,0)),""),"")</f>
        <v>Mônica Martins</v>
      </c>
      <c r="C24" s="23" t="str">
        <f>IFERROR(IF(LARGE(Parcelas!$N$5:$N$404,5)&gt;0,INDEX(Parcelas!$B$5:$B$404,MATCH(LARGE(Parcelas!$N$5:$N$404,5),Parcelas!$N$5:$N$404,0)),""),"")</f>
        <v>Consulta</v>
      </c>
      <c r="D24" s="24">
        <f>IFERROR(IF(LARGE(Parcelas!$N$5:$N$404,5)&gt;0,INDEX(Parcelas!$D$5:$D$404,MATCH(LARGE(Parcelas!$N$5:$N$404,5),Parcelas!$N$5:$N$404,0)),""),"")</f>
        <v>1</v>
      </c>
      <c r="E24" s="29">
        <f>IFERROR(IF(LARGE(Parcelas!$N$5:$N$404,5)&gt;0,INDEX(Parcelas!$E$5:$E$404,MATCH(LARGE(Parcelas!$N$5:$N$404,5),Parcelas!$N$5:$N$404,0)),""),"")</f>
        <v>46094.0</v>
      </c>
      <c r="F24" s="25">
        <f>IFERROR(IF(LARGE(Parcelas!$N$5:$N$404,5)&gt;0,INDEX(Parcelas!$F$5:$F$404,MATCH(LARGE(Parcelas!$N$5:$N$404,5),Parcelas!$N$5:$N$404,0)),""),"")</f>
        <v>190</v>
      </c>
      <c r="G24" s="30">
        <f>IFERROR(IF(LARGE(Parcelas!$N$5:$N$404,5)&gt;0,INDEX(Parcelas!$J$5:$J$404,MATCH(LARGE(Parcelas!$N$5:$N$404,5),Parcelas!$N$5:$N$404,0)),""),"")</f>
        <v>185</v>
      </c>
      <c r="H24" s="24" t="str">
        <f>IFERROR(IF(LARGE(Parcelas!$N$5:$N$404,5)&gt;0,INDEX(Parcelas!$L$5:$L$404,MATCH(LARGE(Parcelas!$N$5:$N$404,5),Parcelas!$N$5:$N$404,0)),""),"")</f>
        <v>30 dias ou mais</v>
      </c>
      <c r="I24" s="27" t="str">
        <f>IFERROR(IF(LARGE(Parcelas!$N$5:$N$404,5)&gt;0,INDEX(Parcelas!$M$5:$M$404,MATCH(LARGE(Parcelas!$N$5:$N$404,5),Parcelas!$N$5:$N$404,0)),""),"")</f>
        <v>Conversa do médico ou da administração para combinar um plano de pagamento; registrar por escrito o que foi combinado.</v>
      </c>
      <c r="J24" s="21" t="n"/>
      <c r="K24" s="21" t="n"/>
      <c r="L24" s="22" t="n"/>
    </row>
    <row r="25" ht="32" customHeight="1">
      <c r="A25" s="24" t="n">
        <v>6</v>
      </c>
      <c r="B25" s="23" t="str">
        <f>IFERROR(IF(LARGE(Parcelas!$N$5:$N$404,6)&gt;0,INDEX(Parcelas!$A$5:$A$404,MATCH(LARGE(Parcelas!$N$5:$N$404,6),Parcelas!$N$5:$N$404,0)),""),"")</f>
        <v>Mariana Nascimento</v>
      </c>
      <c r="C25" s="23" t="str">
        <f>IFERROR(IF(LARGE(Parcelas!$N$5:$N$404,6)&gt;0,INDEX(Parcelas!$B$5:$B$404,MATCH(LARGE(Parcelas!$N$5:$N$404,6),Parcelas!$N$5:$N$404,0)),""),"")</f>
        <v>Consulta</v>
      </c>
      <c r="D25" s="24">
        <f>IFERROR(IF(LARGE(Parcelas!$N$5:$N$404,6)&gt;0,INDEX(Parcelas!$D$5:$D$404,MATCH(LARGE(Parcelas!$N$5:$N$404,6),Parcelas!$N$5:$N$404,0)),""),"")</f>
        <v>1</v>
      </c>
      <c r="E25" s="29">
        <f>IFERROR(IF(LARGE(Parcelas!$N$5:$N$404,6)&gt;0,INDEX(Parcelas!$E$5:$E$404,MATCH(LARGE(Parcelas!$N$5:$N$404,6),Parcelas!$N$5:$N$404,0)),""),"")</f>
        <v>46192.0</v>
      </c>
      <c r="F25" s="25">
        <f>IFERROR(IF(LARGE(Parcelas!$N$5:$N$404,6)&gt;0,INDEX(Parcelas!$F$5:$F$404,MATCH(LARGE(Parcelas!$N$5:$N$404,6),Parcelas!$N$5:$N$404,0)),""),"")</f>
        <v>380</v>
      </c>
      <c r="G25" s="30">
        <f>IFERROR(IF(LARGE(Parcelas!$N$5:$N$404,6)&gt;0,INDEX(Parcelas!$J$5:$J$404,MATCH(LARGE(Parcelas!$N$5:$N$404,6),Parcelas!$N$5:$N$404,0)),""),"")</f>
        <v>87</v>
      </c>
      <c r="H25" s="24" t="str">
        <f>IFERROR(IF(LARGE(Parcelas!$N$5:$N$404,6)&gt;0,INDEX(Parcelas!$L$5:$L$404,MATCH(LARGE(Parcelas!$N$5:$N$404,6),Parcelas!$N$5:$N$404,0)),""),"")</f>
        <v>30 dias ou mais</v>
      </c>
      <c r="I25" s="27" t="str">
        <f>IFERROR(IF(LARGE(Parcelas!$N$5:$N$404,6)&gt;0,INDEX(Parcelas!$M$5:$M$404,MATCH(LARGE(Parcelas!$N$5:$N$404,6),Parcelas!$N$5:$N$404,0)),""),"")</f>
        <v>Conversa do médico ou da administração para combinar um plano de pagamento; registrar por escrito o que foi combinado.</v>
      </c>
      <c r="J25" s="21" t="n"/>
      <c r="K25" s="21" t="n"/>
      <c r="L25" s="22" t="n"/>
    </row>
    <row r="26" ht="32" customHeight="1">
      <c r="A26" s="24" t="n">
        <v>7</v>
      </c>
      <c r="B26" s="23" t="str">
        <f>IFERROR(IF(LARGE(Parcelas!$N$5:$N$404,7)&gt;0,INDEX(Parcelas!$A$5:$A$404,MATCH(LARGE(Parcelas!$N$5:$N$404,7),Parcelas!$N$5:$N$404,0)),""),"")</f>
        <v>Mariana Nascimento</v>
      </c>
      <c r="C26" s="23" t="str">
        <f>IFERROR(IF(LARGE(Parcelas!$N$5:$N$404,7)&gt;0,INDEX(Parcelas!$B$5:$B$404,MATCH(LARGE(Parcelas!$N$5:$N$404,7),Parcelas!$N$5:$N$404,0)),""),"")</f>
        <v>Consulta</v>
      </c>
      <c r="D26" s="24">
        <f>IFERROR(IF(LARGE(Parcelas!$N$5:$N$404,7)&gt;0,INDEX(Parcelas!$D$5:$D$404,MATCH(LARGE(Parcelas!$N$5:$N$404,7),Parcelas!$N$5:$N$404,0)),""),"")</f>
        <v>1</v>
      </c>
      <c r="E26" s="29">
        <f>IFERROR(IF(LARGE(Parcelas!$N$5:$N$404,7)&gt;0,INDEX(Parcelas!$E$5:$E$404,MATCH(LARGE(Parcelas!$N$5:$N$404,7),Parcelas!$N$5:$N$404,0)),""),"")</f>
        <v>46200.0</v>
      </c>
      <c r="F26" s="25">
        <f>IFERROR(IF(LARGE(Parcelas!$N$5:$N$404,7)&gt;0,INDEX(Parcelas!$F$5:$F$404,MATCH(LARGE(Parcelas!$N$5:$N$404,7),Parcelas!$N$5:$N$404,0)),""),"")</f>
        <v>380</v>
      </c>
      <c r="G26" s="30">
        <f>IFERROR(IF(LARGE(Parcelas!$N$5:$N$404,7)&gt;0,INDEX(Parcelas!$J$5:$J$404,MATCH(LARGE(Parcelas!$N$5:$N$404,7),Parcelas!$N$5:$N$404,0)),""),"")</f>
        <v>79</v>
      </c>
      <c r="H26" s="24" t="str">
        <f>IFERROR(IF(LARGE(Parcelas!$N$5:$N$404,7)&gt;0,INDEX(Parcelas!$L$5:$L$404,MATCH(LARGE(Parcelas!$N$5:$N$404,7),Parcelas!$N$5:$N$404,0)),""),"")</f>
        <v>30 dias ou mais</v>
      </c>
      <c r="I26" s="27" t="str">
        <f>IFERROR(IF(LARGE(Parcelas!$N$5:$N$404,7)&gt;0,INDEX(Parcelas!$M$5:$M$404,MATCH(LARGE(Parcelas!$N$5:$N$404,7),Parcelas!$N$5:$N$404,0)),""),"")</f>
        <v>Conversa do médico ou da administração para combinar um plano de pagamento; registrar por escrito o que foi combinado.</v>
      </c>
      <c r="J26" s="21" t="n"/>
      <c r="K26" s="21" t="n"/>
      <c r="L26" s="22" t="n"/>
    </row>
    <row r="27" ht="32" customHeight="1">
      <c r="A27" s="24" t="n">
        <v>8</v>
      </c>
      <c r="B27" s="23" t="str">
        <f>IFERROR(IF(LARGE(Parcelas!$N$5:$N$404,8)&gt;0,INDEX(Parcelas!$A$5:$A$404,MATCH(LARGE(Parcelas!$N$5:$N$404,8),Parcelas!$N$5:$N$404,0)),""),"")</f>
        <v>Patrícia Fernandes</v>
      </c>
      <c r="C27" s="23" t="str">
        <f>IFERROR(IF(LARGE(Parcelas!$N$5:$N$404,8)&gt;0,INDEX(Parcelas!$B$5:$B$404,MATCH(LARGE(Parcelas!$N$5:$N$404,8),Parcelas!$N$5:$N$404,0)),""),"")</f>
        <v>Consulta</v>
      </c>
      <c r="D27" s="24">
        <f>IFERROR(IF(LARGE(Parcelas!$N$5:$N$404,8)&gt;0,INDEX(Parcelas!$D$5:$D$404,MATCH(LARGE(Parcelas!$N$5:$N$404,8),Parcelas!$N$5:$N$404,0)),""),"")</f>
        <v>2</v>
      </c>
      <c r="E27" s="29">
        <f>IFERROR(IF(LARGE(Parcelas!$N$5:$N$404,8)&gt;0,INDEX(Parcelas!$E$5:$E$404,MATCH(LARGE(Parcelas!$N$5:$N$404,8),Parcelas!$N$5:$N$404,0)),""),"")</f>
        <v>46160.0</v>
      </c>
      <c r="F27" s="25">
        <f>IFERROR(IF(LARGE(Parcelas!$N$5:$N$404,8)&gt;0,INDEX(Parcelas!$F$5:$F$404,MATCH(LARGE(Parcelas!$N$5:$N$404,8),Parcelas!$N$5:$N$404,0)),""),"")</f>
        <v>190</v>
      </c>
      <c r="G27" s="30">
        <f>IFERROR(IF(LARGE(Parcelas!$N$5:$N$404,8)&gt;0,INDEX(Parcelas!$J$5:$J$404,MATCH(LARGE(Parcelas!$N$5:$N$404,8),Parcelas!$N$5:$N$404,0)),""),"")</f>
        <v>119</v>
      </c>
      <c r="H27" s="24" t="str">
        <f>IFERROR(IF(LARGE(Parcelas!$N$5:$N$404,8)&gt;0,INDEX(Parcelas!$L$5:$L$404,MATCH(LARGE(Parcelas!$N$5:$N$404,8),Parcelas!$N$5:$N$404,0)),""),"")</f>
        <v>30 dias ou mais</v>
      </c>
      <c r="I27" s="27" t="str">
        <f>IFERROR(IF(LARGE(Parcelas!$N$5:$N$404,8)&gt;0,INDEX(Parcelas!$M$5:$M$404,MATCH(LARGE(Parcelas!$N$5:$N$404,8),Parcelas!$N$5:$N$404,0)),""),"")</f>
        <v>Conversa do médico ou da administração para combinar um plano de pagamento; registrar por escrito o que foi combinado.</v>
      </c>
      <c r="J27" s="21" t="n"/>
      <c r="K27" s="21" t="n"/>
      <c r="L27" s="22" t="n"/>
    </row>
    <row r="28" ht="32" customHeight="1">
      <c r="A28" s="24" t="n">
        <v>9</v>
      </c>
      <c r="B28" s="23" t="str">
        <f>IFERROR(IF(LARGE(Parcelas!$N$5:$N$404,9)&gt;0,INDEX(Parcelas!$A$5:$A$404,MATCH(LARGE(Parcelas!$N$5:$N$404,9),Parcelas!$N$5:$N$404,0)),""),"")</f>
        <v>Rafael Dias</v>
      </c>
      <c r="C28" s="23" t="str">
        <f>IFERROR(IF(LARGE(Parcelas!$N$5:$N$404,9)&gt;0,INDEX(Parcelas!$B$5:$B$404,MATCH(LARGE(Parcelas!$N$5:$N$404,9),Parcelas!$N$5:$N$404,0)),""),"")</f>
        <v>Consulta</v>
      </c>
      <c r="D28" s="24">
        <f>IFERROR(IF(LARGE(Parcelas!$N$5:$N$404,9)&gt;0,INDEX(Parcelas!$D$5:$D$404,MATCH(LARGE(Parcelas!$N$5:$N$404,9),Parcelas!$N$5:$N$404,0)),""),"")</f>
        <v>2</v>
      </c>
      <c r="E28" s="29">
        <f>IFERROR(IF(LARGE(Parcelas!$N$5:$N$404,9)&gt;0,INDEX(Parcelas!$E$5:$E$404,MATCH(LARGE(Parcelas!$N$5:$N$404,9),Parcelas!$N$5:$N$404,0)),""),"")</f>
        <v>46165.0</v>
      </c>
      <c r="F28" s="25">
        <f>IFERROR(IF(LARGE(Parcelas!$N$5:$N$404,9)&gt;0,INDEX(Parcelas!$F$5:$F$404,MATCH(LARGE(Parcelas!$N$5:$N$404,9),Parcelas!$N$5:$N$404,0)),""),"")</f>
        <v>190</v>
      </c>
      <c r="G28" s="30">
        <f>IFERROR(IF(LARGE(Parcelas!$N$5:$N$404,9)&gt;0,INDEX(Parcelas!$J$5:$J$404,MATCH(LARGE(Parcelas!$N$5:$N$404,9),Parcelas!$N$5:$N$404,0)),""),"")</f>
        <v>114</v>
      </c>
      <c r="H28" s="24" t="str">
        <f>IFERROR(IF(LARGE(Parcelas!$N$5:$N$404,9)&gt;0,INDEX(Parcelas!$L$5:$L$404,MATCH(LARGE(Parcelas!$N$5:$N$404,9),Parcelas!$N$5:$N$404,0)),""),"")</f>
        <v>30 dias ou mais</v>
      </c>
      <c r="I28" s="27" t="str">
        <f>IFERROR(IF(LARGE(Parcelas!$N$5:$N$404,9)&gt;0,INDEX(Parcelas!$M$5:$M$404,MATCH(LARGE(Parcelas!$N$5:$N$404,9),Parcelas!$N$5:$N$404,0)),""),"")</f>
        <v>Conversa do médico ou da administração para combinar um plano de pagamento; registrar por escrito o que foi combinado.</v>
      </c>
      <c r="J28" s="21" t="n"/>
      <c r="K28" s="21" t="n"/>
      <c r="L28" s="22" t="n"/>
    </row>
    <row r="29" ht="32" customHeight="1">
      <c r="A29" s="24" t="n">
        <v>10</v>
      </c>
      <c r="B29" s="23" t="str">
        <f>IFERROR(IF(LARGE(Parcelas!$N$5:$N$404,10)&gt;0,INDEX(Parcelas!$A$5:$A$404,MATCH(LARGE(Parcelas!$N$5:$N$404,10),Parcelas!$N$5:$N$404,0)),""),"")</f>
        <v>Cláudia Costa</v>
      </c>
      <c r="C29" s="23" t="str">
        <f>IFERROR(IF(LARGE(Parcelas!$N$5:$N$404,10)&gt;0,INDEX(Parcelas!$B$5:$B$404,MATCH(LARGE(Parcelas!$N$5:$N$404,10),Parcelas!$N$5:$N$404,0)),""),"")</f>
        <v>Consulta</v>
      </c>
      <c r="D29" s="24">
        <f>IFERROR(IF(LARGE(Parcelas!$N$5:$N$404,10)&gt;0,INDEX(Parcelas!$D$5:$D$404,MATCH(LARGE(Parcelas!$N$5:$N$404,10),Parcelas!$N$5:$N$404,0)),""),"")</f>
        <v>1</v>
      </c>
      <c r="E29" s="29">
        <f>IFERROR(IF(LARGE(Parcelas!$N$5:$N$404,10)&gt;0,INDEX(Parcelas!$E$5:$E$404,MATCH(LARGE(Parcelas!$N$5:$N$404,10),Parcelas!$N$5:$N$404,0)),""),"")</f>
        <v>46225.0</v>
      </c>
      <c r="F29" s="25">
        <f>IFERROR(IF(LARGE(Parcelas!$N$5:$N$404,10)&gt;0,INDEX(Parcelas!$F$5:$F$404,MATCH(LARGE(Parcelas!$N$5:$N$404,10),Parcelas!$N$5:$N$404,0)),""),"")</f>
        <v>380</v>
      </c>
      <c r="G29" s="30">
        <f>IFERROR(IF(LARGE(Parcelas!$N$5:$N$404,10)&gt;0,INDEX(Parcelas!$J$5:$J$404,MATCH(LARGE(Parcelas!$N$5:$N$404,10),Parcelas!$N$5:$N$404,0)),""),"")</f>
        <v>54</v>
      </c>
      <c r="H29" s="24" t="str">
        <f>IFERROR(IF(LARGE(Parcelas!$N$5:$N$404,10)&gt;0,INDEX(Parcelas!$L$5:$L$404,MATCH(LARGE(Parcelas!$N$5:$N$404,10),Parcelas!$N$5:$N$404,0)),""),"")</f>
        <v>30 dias ou mais</v>
      </c>
      <c r="I29" s="27" t="str">
        <f>IFERROR(IF(LARGE(Parcelas!$N$5:$N$404,10)&gt;0,INDEX(Parcelas!$M$5:$M$404,MATCH(LARGE(Parcelas!$N$5:$N$404,10),Parcelas!$N$5:$N$404,0)),""),"")</f>
        <v>Conversa do médico ou da administração para combinar um plano de pagamento; registrar por escrito o que foi combinado.</v>
      </c>
      <c r="J29" s="21" t="n"/>
      <c r="K29" s="21" t="n"/>
      <c r="L29" s="22" t="n"/>
    </row>
    <row r="30"/>
    <row r="31">
      <c r="A31" s="19" t="inlineStr">
        <is>
          <t>Vencem nos próximos dias</t>
        </is>
      </c>
    </row>
    <row r="32">
      <c r="A32" s="28" t="str">
        <f>"Parcelas a vencer em até "&amp;Config!$B$7&amp;" dias, a mais próxima primeiro. Bom momento para lembrar o paciente antes do vencimento."</f>
        <v>Parcelas a vencer em até 30 dias, a mais próxima primeiro. Bom momento para lembrar o paciente antes do vencimento.</v>
      </c>
    </row>
    <row r="33" ht="26" customHeight="1">
      <c r="A33" s="20" t="inlineStr">
        <is>
          <t>#</t>
        </is>
      </c>
      <c r="B33" s="20" t="inlineStr">
        <is>
          <t>Paciente</t>
        </is>
      </c>
      <c r="C33" s="20" t="inlineStr">
        <is>
          <t>Procedimento</t>
        </is>
      </c>
      <c r="D33" s="20" t="inlineStr">
        <is>
          <t>Parcela</t>
        </is>
      </c>
      <c r="E33" s="20" t="inlineStr">
        <is>
          <t>Vencimento</t>
        </is>
      </c>
      <c r="F33" s="20" t="inlineStr">
        <is>
          <t>Valor (R$)</t>
        </is>
      </c>
      <c r="G33" s="20" t="inlineStr">
        <is>
          <t>Dias para vencer</t>
        </is>
      </c>
    </row>
    <row r="34">
      <c r="A34" s="24" t="n">
        <v>1</v>
      </c>
      <c r="B34" s="23" t="str">
        <f>IFERROR(IF(LARGE(Parcelas!$O$5:$O$404,1)&gt;0,INDEX(Parcelas!$A$5:$A$404,MATCH(LARGE(Parcelas!$O$5:$O$404,1),Parcelas!$O$5:$O$404,0)),""),"")</f>
        <v>Elaine Cardoso</v>
      </c>
      <c r="C34" s="23" t="str">
        <f>IFERROR(IF(LARGE(Parcelas!$O$5:$O$404,1)&gt;0,INDEX(Parcelas!$B$5:$B$404,MATCH(LARGE(Parcelas!$O$5:$O$404,1),Parcelas!$O$5:$O$404,0)),""),"")</f>
        <v>Consulta</v>
      </c>
      <c r="D34" s="24">
        <f>IFERROR(IF(LARGE(Parcelas!$O$5:$O$404,1)&gt;0,INDEX(Parcelas!$D$5:$D$404,MATCH(LARGE(Parcelas!$O$5:$O$404,1),Parcelas!$O$5:$O$404,0)),""),"")</f>
        <v>1</v>
      </c>
      <c r="E34" s="29">
        <f>IFERROR(IF(LARGE(Parcelas!$O$5:$O$404,1)&gt;0,INDEX(Parcelas!$E$5:$E$404,MATCH(LARGE(Parcelas!$O$5:$O$404,1),Parcelas!$O$5:$O$404,0)),""),"")</f>
        <v>46281.0</v>
      </c>
      <c r="F34" s="25">
        <f>IFERROR(IF(LARGE(Parcelas!$O$5:$O$404,1)&gt;0,INDEX(Parcelas!$F$5:$F$404,MATCH(LARGE(Parcelas!$O$5:$O$404,1),Parcelas!$O$5:$O$404,0)),""),"")</f>
        <v>190</v>
      </c>
      <c r="G34" s="30">
        <f>IFERROR(IF(LARGE(Parcelas!$O$5:$O$404,1)&gt;0,INDEX(Parcelas!$K$5:$K$404,MATCH(LARGE(Parcelas!$O$5:$O$404,1),Parcelas!$O$5:$O$404,0)),""),"")</f>
        <v>2</v>
      </c>
    </row>
    <row r="35">
      <c r="A35" s="24" t="n">
        <v>2</v>
      </c>
      <c r="B35" s="23" t="str">
        <f>IFERROR(IF(LARGE(Parcelas!$O$5:$O$404,2)&gt;0,INDEX(Parcelas!$A$5:$A$404,MATCH(LARGE(Parcelas!$O$5:$O$404,2),Parcelas!$O$5:$O$404,0)),""),"")</f>
        <v>Fábio Gomes</v>
      </c>
      <c r="C35" s="23" t="str">
        <f>IFERROR(IF(LARGE(Parcelas!$O$5:$O$404,2)&gt;0,INDEX(Parcelas!$B$5:$B$404,MATCH(LARGE(Parcelas!$O$5:$O$404,2),Parcelas!$O$5:$O$404,0)),""),"")</f>
        <v>Avaliação endócrina</v>
      </c>
      <c r="D35" s="24">
        <f>IFERROR(IF(LARGE(Parcelas!$O$5:$O$404,2)&gt;0,INDEX(Parcelas!$D$5:$D$404,MATCH(LARGE(Parcelas!$O$5:$O$404,2),Parcelas!$O$5:$O$404,0)),""),"")</f>
        <v>1</v>
      </c>
      <c r="E35" s="29">
        <f>IFERROR(IF(LARGE(Parcelas!$O$5:$O$404,2)&gt;0,INDEX(Parcelas!$E$5:$E$404,MATCH(LARGE(Parcelas!$O$5:$O$404,2),Parcelas!$O$5:$O$404,0)),""),"")</f>
        <v>46282.0</v>
      </c>
      <c r="F35" s="25">
        <f>IFERROR(IF(LARGE(Parcelas!$O$5:$O$404,2)&gt;0,INDEX(Parcelas!$F$5:$F$404,MATCH(LARGE(Parcelas!$O$5:$O$404,2),Parcelas!$O$5:$O$404,0)),""),"")</f>
        <v>400</v>
      </c>
      <c r="G35" s="30">
        <f>IFERROR(IF(LARGE(Parcelas!$O$5:$O$404,2)&gt;0,INDEX(Parcelas!$K$5:$K$404,MATCH(LARGE(Parcelas!$O$5:$O$404,2),Parcelas!$O$5:$O$404,0)),""),"")</f>
        <v>3</v>
      </c>
    </row>
    <row r="36">
      <c r="A36" s="24" t="n">
        <v>3</v>
      </c>
      <c r="B36" s="23" t="str">
        <f>IFERROR(IF(LARGE(Parcelas!$O$5:$O$404,3)&gt;0,INDEX(Parcelas!$A$5:$A$404,MATCH(LARGE(Parcelas!$O$5:$O$404,3),Parcelas!$O$5:$O$404,0)),""),"")</f>
        <v>Eduardo Lima</v>
      </c>
      <c r="C36" s="23" t="str">
        <f>IFERROR(IF(LARGE(Parcelas!$O$5:$O$404,3)&gt;0,INDEX(Parcelas!$B$5:$B$404,MATCH(LARGE(Parcelas!$O$5:$O$404,3),Parcelas!$O$5:$O$404,0)),""),"")</f>
        <v>Consulta</v>
      </c>
      <c r="D36" s="24">
        <f>IFERROR(IF(LARGE(Parcelas!$O$5:$O$404,3)&gt;0,INDEX(Parcelas!$D$5:$D$404,MATCH(LARGE(Parcelas!$O$5:$O$404,3),Parcelas!$O$5:$O$404,0)),""),"")</f>
        <v>1</v>
      </c>
      <c r="E36" s="29">
        <f>IFERROR(IF(LARGE(Parcelas!$O$5:$O$404,3)&gt;0,INDEX(Parcelas!$E$5:$E$404,MATCH(LARGE(Parcelas!$O$5:$O$404,3),Parcelas!$O$5:$O$404,0)),""),"")</f>
        <v>46284.0</v>
      </c>
      <c r="F36" s="25">
        <f>IFERROR(IF(LARGE(Parcelas!$O$5:$O$404,3)&gt;0,INDEX(Parcelas!$F$5:$F$404,MATCH(LARGE(Parcelas!$O$5:$O$404,3),Parcelas!$O$5:$O$404,0)),""),"")</f>
        <v>380</v>
      </c>
      <c r="G36" s="30">
        <f>IFERROR(IF(LARGE(Parcelas!$O$5:$O$404,3)&gt;0,INDEX(Parcelas!$K$5:$K$404,MATCH(LARGE(Parcelas!$O$5:$O$404,3),Parcelas!$O$5:$O$404,0)),""),"")</f>
        <v>5</v>
      </c>
    </row>
    <row r="37">
      <c r="A37" s="24" t="n">
        <v>4</v>
      </c>
      <c r="B37" s="23" t="str">
        <f>IFERROR(IF(LARGE(Parcelas!$O$5:$O$404,4)&gt;0,INDEX(Parcelas!$A$5:$A$404,MATCH(LARGE(Parcelas!$O$5:$O$404,4),Parcelas!$O$5:$O$404,0)),""),"")</f>
        <v>Eduardo Lima</v>
      </c>
      <c r="C37" s="23" t="str">
        <f>IFERROR(IF(LARGE(Parcelas!$O$5:$O$404,4)&gt;0,INDEX(Parcelas!$B$5:$B$404,MATCH(LARGE(Parcelas!$O$5:$O$404,4),Parcelas!$O$5:$O$404,0)),""),"")</f>
        <v>Teste ergométrico</v>
      </c>
      <c r="D37" s="24">
        <f>IFERROR(IF(LARGE(Parcelas!$O$5:$O$404,4)&gt;0,INDEX(Parcelas!$D$5:$D$404,MATCH(LARGE(Parcelas!$O$5:$O$404,4),Parcelas!$O$5:$O$404,0)),""),"")</f>
        <v>2</v>
      </c>
      <c r="E37" s="29">
        <f>IFERROR(IF(LARGE(Parcelas!$O$5:$O$404,4)&gt;0,INDEX(Parcelas!$E$5:$E$404,MATCH(LARGE(Parcelas!$O$5:$O$404,4),Parcelas!$O$5:$O$404,0)),""),"")</f>
        <v>46287.0</v>
      </c>
      <c r="F37" s="25">
        <f>IFERROR(IF(LARGE(Parcelas!$O$5:$O$404,4)&gt;0,INDEX(Parcelas!$F$5:$F$404,MATCH(LARGE(Parcelas!$O$5:$O$404,4),Parcelas!$O$5:$O$404,0)),""),"")</f>
        <v>225</v>
      </c>
      <c r="G37" s="30">
        <f>IFERROR(IF(LARGE(Parcelas!$O$5:$O$404,4)&gt;0,INDEX(Parcelas!$K$5:$K$404,MATCH(LARGE(Parcelas!$O$5:$O$404,4),Parcelas!$O$5:$O$404,0)),""),"")</f>
        <v>8</v>
      </c>
    </row>
    <row r="38">
      <c r="A38" s="24" t="n">
        <v>5</v>
      </c>
      <c r="B38" s="23" t="str">
        <f>IFERROR(IF(LARGE(Parcelas!$O$5:$O$404,5)&gt;0,INDEX(Parcelas!$A$5:$A$404,MATCH(LARGE(Parcelas!$O$5:$O$404,5),Parcelas!$O$5:$O$404,0)),""),"")</f>
        <v>Cláudia Santos</v>
      </c>
      <c r="C38" s="23" t="str">
        <f>IFERROR(IF(LARGE(Parcelas!$O$5:$O$404,5)&gt;0,INDEX(Parcelas!$B$5:$B$404,MATCH(LARGE(Parcelas!$O$5:$O$404,5),Parcelas!$O$5:$O$404,0)),""),"")</f>
        <v>Consulta</v>
      </c>
      <c r="D38" s="24">
        <f>IFERROR(IF(LARGE(Parcelas!$O$5:$O$404,5)&gt;0,INDEX(Parcelas!$D$5:$D$404,MATCH(LARGE(Parcelas!$O$5:$O$404,5),Parcelas!$O$5:$O$404,0)),""),"")</f>
        <v>1</v>
      </c>
      <c r="E38" s="29">
        <f>IFERROR(IF(LARGE(Parcelas!$O$5:$O$404,5)&gt;0,INDEX(Parcelas!$E$5:$E$404,MATCH(LARGE(Parcelas!$O$5:$O$404,5),Parcelas!$O$5:$O$404,0)),""),"")</f>
        <v>46288.0</v>
      </c>
      <c r="F38" s="25">
        <f>IFERROR(IF(LARGE(Parcelas!$O$5:$O$404,5)&gt;0,INDEX(Parcelas!$F$5:$F$404,MATCH(LARGE(Parcelas!$O$5:$O$404,5),Parcelas!$O$5:$O$404,0)),""),"")</f>
        <v>380</v>
      </c>
      <c r="G38" s="30">
        <f>IFERROR(IF(LARGE(Parcelas!$O$5:$O$404,5)&gt;0,INDEX(Parcelas!$K$5:$K$404,MATCH(LARGE(Parcelas!$O$5:$O$404,5),Parcelas!$O$5:$O$404,0)),""),"")</f>
        <v>9</v>
      </c>
    </row>
    <row r="39">
      <c r="A39" s="24" t="n">
        <v>6</v>
      </c>
      <c r="B39" s="23" t="str">
        <f>IFERROR(IF(LARGE(Parcelas!$O$5:$O$404,6)&gt;0,INDEX(Parcelas!$A$5:$A$404,MATCH(LARGE(Parcelas!$O$5:$O$404,6),Parcelas!$O$5:$O$404,0)),""),"")</f>
        <v>Rodrigo Moreira</v>
      </c>
      <c r="C39" s="23" t="str">
        <f>IFERROR(IF(LARGE(Parcelas!$O$5:$O$404,6)&gt;0,INDEX(Parcelas!$B$5:$B$404,MATCH(LARGE(Parcelas!$O$5:$O$404,6),Parcelas!$O$5:$O$404,0)),""),"")</f>
        <v>Teste ergométrico</v>
      </c>
      <c r="D39" s="24">
        <f>IFERROR(IF(LARGE(Parcelas!$O$5:$O$404,6)&gt;0,INDEX(Parcelas!$D$5:$D$404,MATCH(LARGE(Parcelas!$O$5:$O$404,6),Parcelas!$O$5:$O$404,0)),""),"")</f>
        <v>2</v>
      </c>
      <c r="E39" s="29">
        <f>IFERROR(IF(LARGE(Parcelas!$O$5:$O$404,6)&gt;0,INDEX(Parcelas!$E$5:$E$404,MATCH(LARGE(Parcelas!$O$5:$O$404,6),Parcelas!$O$5:$O$404,0)),""),"")</f>
        <v>46290.0</v>
      </c>
      <c r="F39" s="25">
        <f>IFERROR(IF(LARGE(Parcelas!$O$5:$O$404,6)&gt;0,INDEX(Parcelas!$F$5:$F$404,MATCH(LARGE(Parcelas!$O$5:$O$404,6),Parcelas!$O$5:$O$404,0)),""),"")</f>
        <v>225</v>
      </c>
      <c r="G39" s="30">
        <f>IFERROR(IF(LARGE(Parcelas!$O$5:$O$404,6)&gt;0,INDEX(Parcelas!$K$5:$K$404,MATCH(LARGE(Parcelas!$O$5:$O$404,6),Parcelas!$O$5:$O$404,0)),""),"")</f>
        <v>11</v>
      </c>
    </row>
    <row r="40">
      <c r="A40" s="24" t="n">
        <v>7</v>
      </c>
      <c r="B40" s="23" t="str">
        <f>IFERROR(IF(LARGE(Parcelas!$O$5:$O$404,7)&gt;0,INDEX(Parcelas!$A$5:$A$404,MATCH(LARGE(Parcelas!$O$5:$O$404,7),Parcelas!$O$5:$O$404,0)),""),"")</f>
        <v>Sérgio Martins</v>
      </c>
      <c r="C40" s="23" t="str">
        <f>IFERROR(IF(LARGE(Parcelas!$O$5:$O$404,7)&gt;0,INDEX(Parcelas!$B$5:$B$404,MATCH(LARGE(Parcelas!$O$5:$O$404,7),Parcelas!$O$5:$O$404,0)),""),"")</f>
        <v>Consulta</v>
      </c>
      <c r="D40" s="24">
        <f>IFERROR(IF(LARGE(Parcelas!$O$5:$O$404,7)&gt;0,INDEX(Parcelas!$D$5:$D$404,MATCH(LARGE(Parcelas!$O$5:$O$404,7),Parcelas!$O$5:$O$404,0)),""),"")</f>
        <v>1</v>
      </c>
      <c r="E40" s="29">
        <f>IFERROR(IF(LARGE(Parcelas!$O$5:$O$404,7)&gt;0,INDEX(Parcelas!$E$5:$E$404,MATCH(LARGE(Parcelas!$O$5:$O$404,7),Parcelas!$O$5:$O$404,0)),""),"")</f>
        <v>46290.0</v>
      </c>
      <c r="F40" s="25">
        <f>IFERROR(IF(LARGE(Parcelas!$O$5:$O$404,7)&gt;0,INDEX(Parcelas!$F$5:$F$404,MATCH(LARGE(Parcelas!$O$5:$O$404,7),Parcelas!$O$5:$O$404,0)),""),"")</f>
        <v>380</v>
      </c>
      <c r="G40" s="30">
        <f>IFERROR(IF(LARGE(Parcelas!$O$5:$O$404,7)&gt;0,INDEX(Parcelas!$K$5:$K$404,MATCH(LARGE(Parcelas!$O$5:$O$404,7),Parcelas!$O$5:$O$404,0)),""),"")</f>
        <v>11</v>
      </c>
    </row>
    <row r="41">
      <c r="A41" s="24" t="n">
        <v>8</v>
      </c>
      <c r="B41" s="23" t="str">
        <f>IFERROR(IF(LARGE(Parcelas!$O$5:$O$404,8)&gt;0,INDEX(Parcelas!$A$5:$A$404,MATCH(LARGE(Parcelas!$O$5:$O$404,8),Parcelas!$O$5:$O$404,0)),""),"")</f>
        <v>Rafael Pereira</v>
      </c>
      <c r="C41" s="23" t="str">
        <f>IFERROR(IF(LARGE(Parcelas!$O$5:$O$404,8)&gt;0,INDEX(Parcelas!$B$5:$B$404,MATCH(LARGE(Parcelas!$O$5:$O$404,8),Parcelas!$O$5:$O$404,0)),""),"")</f>
        <v>Avaliação endócrina</v>
      </c>
      <c r="D41" s="24">
        <f>IFERROR(IF(LARGE(Parcelas!$O$5:$O$404,8)&gt;0,INDEX(Parcelas!$D$5:$D$404,MATCH(LARGE(Parcelas!$O$5:$O$404,8),Parcelas!$O$5:$O$404,0)),""),"")</f>
        <v>2</v>
      </c>
      <c r="E41" s="29">
        <f>IFERROR(IF(LARGE(Parcelas!$O$5:$O$404,8)&gt;0,INDEX(Parcelas!$E$5:$E$404,MATCH(LARGE(Parcelas!$O$5:$O$404,8),Parcelas!$O$5:$O$404,0)),""),"")</f>
        <v>46291.0</v>
      </c>
      <c r="F41" s="25">
        <f>IFERROR(IF(LARGE(Parcelas!$O$5:$O$404,8)&gt;0,INDEX(Parcelas!$F$5:$F$404,MATCH(LARGE(Parcelas!$O$5:$O$404,8),Parcelas!$O$5:$O$404,0)),""),"")</f>
        <v>200</v>
      </c>
      <c r="G41" s="30">
        <f>IFERROR(IF(LARGE(Parcelas!$O$5:$O$404,8)&gt;0,INDEX(Parcelas!$K$5:$K$404,MATCH(LARGE(Parcelas!$O$5:$O$404,8),Parcelas!$O$5:$O$404,0)),""),"")</f>
        <v>12</v>
      </c>
    </row>
    <row r="42"/>
    <row r="43">
      <c r="A43" s="31" t="inlineStr">
        <is>
          <t>Fonte: aba Parcelas. A planilha avisa e sugere; a conversa com o paciente é sua, sempre em particular e sem constrangimento.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8">
    <mergeCell ref="A7:L7"/>
    <mergeCell ref="A17:J17"/>
    <mergeCell ref="C5:D5"/>
    <mergeCell ref="E5:F5"/>
    <mergeCell ref="K5:L5"/>
    <mergeCell ref="I20:L20"/>
    <mergeCell ref="I29:L29"/>
    <mergeCell ref="A18:L18"/>
    <mergeCell ref="A43:J43"/>
    <mergeCell ref="I19:L19"/>
    <mergeCell ref="C4:D4"/>
    <mergeCell ref="A2:L2"/>
    <mergeCell ref="E4:F4"/>
    <mergeCell ref="A31:J31"/>
    <mergeCell ref="A9:J9"/>
    <mergeCell ref="E12:H12"/>
    <mergeCell ref="A32:L32"/>
    <mergeCell ref="I27:L27"/>
    <mergeCell ref="E14:H14"/>
    <mergeCell ref="I26:L26"/>
    <mergeCell ref="A5:B5"/>
    <mergeCell ref="G5:H5"/>
    <mergeCell ref="I5:J5"/>
    <mergeCell ref="I25:L25"/>
    <mergeCell ref="E10:H10"/>
    <mergeCell ref="E13:H13"/>
    <mergeCell ref="A4:B4"/>
    <mergeCell ref="G4:H4"/>
    <mergeCell ref="I22:L22"/>
    <mergeCell ref="I28:L28"/>
    <mergeCell ref="I4:J4"/>
    <mergeCell ref="I21:L21"/>
    <mergeCell ref="A1:L1"/>
    <mergeCell ref="E15:H15"/>
    <mergeCell ref="I24:L24"/>
    <mergeCell ref="K4:L4"/>
    <mergeCell ref="E11:H11"/>
    <mergeCell ref="I23:L23"/>
  </mergeCells>
  <conditionalFormatting sqref="A20:L29">
    <cfRule type="expression" priority="1" dxfId="0">
      <formula>$G20&gt;=30</formula>
    </cfRule>
  </conditionalFormatting>
  <conditionalFormatting sqref="A34:G41">
    <cfRule type="expression" priority="2" dxfId="1">
      <formula>AND(ISNUMBER($G34),$G34&lt;=INDIRECT("Config!$B$6"))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8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5" t="inlineStr">
        <is>
          <t>Configurações e régua de cobrança</t>
        </is>
      </c>
    </row>
    <row r="2">
      <c r="A2" s="6" t="inlineStr">
        <is>
          <t>Células amarelas: você preenche. A régua diz o que fazer em cada faixa de atraso; o texto aparece no Painel, parcela por parcela.</t>
        </is>
      </c>
    </row>
    <row r="4">
      <c r="A4" s="32" t="inlineStr">
        <is>
          <t>Clínica</t>
        </is>
      </c>
      <c r="B4" s="33" t="inlineStr">
        <is>
          <t>Clínica Vida Plena (exemplo fictício)</t>
        </is>
      </c>
    </row>
    <row r="5">
      <c r="A5" s="32" t="inlineStr">
        <is>
          <t>Data de referência (hoje)</t>
        </is>
      </c>
      <c r="B5" s="34" t="n">
        <v>46279</v>
      </c>
    </row>
    <row r="6">
      <c r="A6" s="32" t="inlineStr">
        <is>
          <t>Janela curta: vence em até (dias)</t>
        </is>
      </c>
      <c r="B6" s="35" t="n">
        <v>7</v>
      </c>
    </row>
    <row r="7">
      <c r="A7" s="32" t="inlineStr">
        <is>
          <t>Janela longa: vence em até (dias)</t>
        </is>
      </c>
      <c r="B7" s="35" t="n">
        <v>30</v>
      </c>
    </row>
    <row r="9" ht="26" customHeight="1">
      <c r="A9" s="20" t="inlineStr">
        <is>
          <t>A partir de (dias de atraso)</t>
        </is>
      </c>
      <c r="B9" s="20" t="inlineStr">
        <is>
          <t>Ação sugerida</t>
        </is>
      </c>
      <c r="C9" s="20" t="inlineStr">
        <is>
          <t>Faixa (calculada)</t>
        </is>
      </c>
    </row>
    <row r="10" ht="44" customHeight="1">
      <c r="A10" s="35" t="n">
        <v>1</v>
      </c>
      <c r="B10" s="36" t="inlineStr">
        <is>
          <t>Lembrete gentil por WhatsApp: confirmar se o Pix chegou e reenviar o link de pagamento, se preciso.</t>
        </is>
      </c>
      <c r="C10" s="24" t="str">
        <f>IF(A10="","",IF(A11-1=A10,A10&amp;" dia"&amp;IF(A10&gt;1,"s",""),A10&amp;" a "&amp;(A11-1)&amp;" dias"))</f>
        <v>1 a 6 dias</v>
      </c>
    </row>
    <row r="11" ht="44" customHeight="1">
      <c r="A11" s="35" t="n">
        <v>7</v>
      </c>
      <c r="B11" s="36" t="inlineStr">
        <is>
          <t>Mensagem da recepção perguntando se houve algum imprevisto e oferecendo uma nova data para o pagamento.</t>
        </is>
      </c>
      <c r="C11" s="24" t="str">
        <f>IF(A11="","",IF(A12-1=A11,A11&amp;" dia"&amp;IF(A11&gt;1,"s",""),A11&amp;" a "&amp;(A12-1)&amp;" dias"))</f>
        <v>7 a 14 dias</v>
      </c>
    </row>
    <row r="12" ht="44" customHeight="1">
      <c r="A12" s="35" t="n">
        <v>15</v>
      </c>
      <c r="B12" s="36" t="inlineStr">
        <is>
          <t>Ligação da recepção com o demonstrativo das parcelas em aberto e proposta de nova data ou divisão do valor.</t>
        </is>
      </c>
      <c r="C12" s="24" t="str">
        <f>IF(A12="","",IF(A13-1=A12,A12&amp;" dia"&amp;IF(A12&gt;1,"s",""),A12&amp;" a "&amp;(A13-1)&amp;" dias"))</f>
        <v>15 a 29 dias</v>
      </c>
    </row>
    <row r="13" ht="44" customHeight="1">
      <c r="A13" s="35" t="n">
        <v>30</v>
      </c>
      <c r="B13" s="36" t="inlineStr">
        <is>
          <t>Conversa do médico ou da administração para combinar um plano de pagamento; registrar por escrito o que foi combinado.</t>
        </is>
      </c>
      <c r="C13" s="24" t="str">
        <f>IF(A13="","",A13&amp;" dias ou mais")</f>
        <v>30 dias ou mais</v>
      </c>
    </row>
    <row r="15">
      <c r="A15" s="28" t="inlineStr">
        <is>
          <t>Os dias precisam estar em ordem crescente (ex.: 1, 7, 15, 30). Cada parcela vencida recebe a ação da maior faixa que ela já alcançou. Escreva as ações como você fala com o paciente: educado, direto e sem ameaça. Cobrança de paciente tem regras próprias (CDC e ética médica): nada de exposição ou constrangimento.</t>
        </is>
      </c>
    </row>
    <row r="16">
      <c r="A16" s="28" t="inlineStr">
        <is>
          <t>Os modelos de mensagem do bônus "15 modelos de mensagem" seguem esta mesma régua.</t>
        </is>
      </c>
    </row>
    <row r="17" ht="30" customHeight="1">
      <c r="A17" s="18" t="inlineStr">
        <is>
          <t>Regra que vale mais que a régua: quem tem parcela vencida em aberto não combina novo parcelamento. O atendimento acontece normalmente; o que muda é a forma de pagamento, que passa a ser à vista (Pix, dinheiro ou cartão), combinada em particular e sem constrangimento. Atendimento nunca é condicionado a pagamento. No exemplo do kit, nenhum paciente com parcela vencida recebeu crédito novo, e o mesmo vale para orçamento aprovado a prazo (planilha 15).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7:C17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9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28" customHeight="1">
      <c r="A1" s="5" t="inlineStr">
        <is>
          <t>Pacientes (entrada)</t>
        </is>
      </c>
    </row>
    <row r="2">
      <c r="A2" s="6" t="inlineStr">
        <is>
          <t>Copie da planilha 01 (aba Pacientes; a 01 é a fonte): nome e contato. As colunas brancas somam as parcelas de cada paciente.</t>
        </is>
      </c>
    </row>
    <row r="4" ht="26" customHeight="1">
      <c r="A4" s="20" t="inlineStr">
        <is>
          <t>Paciente</t>
        </is>
      </c>
      <c r="B4" s="20" t="inlineStr">
        <is>
          <t>Contato</t>
        </is>
      </c>
      <c r="C4" s="20" t="inlineStr">
        <is>
          <t>Parcelas</t>
        </is>
      </c>
      <c r="D4" s="20" t="inlineStr">
        <is>
          <t>Valor em parcelas (R$)</t>
        </is>
      </c>
      <c r="E4" s="20" t="inlineStr">
        <is>
          <t>Pago (R$)</t>
        </is>
      </c>
      <c r="F4" s="20" t="inlineStr">
        <is>
          <t>Em aberto (R$)</t>
        </is>
      </c>
      <c r="G4" s="20" t="inlineStr">
        <is>
          <t>Vencido (R$)</t>
        </is>
      </c>
      <c r="H4" s="20" t="inlineStr">
        <is>
          <t>Situação</t>
        </is>
      </c>
    </row>
    <row r="5">
      <c r="A5" s="33" t="inlineStr">
        <is>
          <t>Ana Costa</t>
        </is>
      </c>
      <c r="B5" s="35" t="inlineStr">
        <is>
          <t>(11) 90000-0147</t>
        </is>
      </c>
      <c r="C5" s="24">
        <f>IF(A5="","",COUNTIFS(Parcelas!$A$5:$A$404,A5))</f>
        <v>3</v>
      </c>
      <c r="D5" s="25">
        <f>IF(A5="","",SUMIFS(Parcelas!$F$5:$F$404,Parcelas!$A$5:$A$404,A5))</f>
        <v>760</v>
      </c>
      <c r="E5" s="25">
        <f>IF(A5="","",SUMIFS(Parcelas!$F$5:$F$404,Parcelas!$A$5:$A$404,A5,Parcelas!$I$5:$I$404,"Paga"))</f>
        <v>380</v>
      </c>
      <c r="F5" s="25">
        <f>IF(A5="","",D5-E5)</f>
        <v>380</v>
      </c>
      <c r="G5" s="25">
        <f>IF(A5="","",SUMIFS(Parcelas!$F$5:$F$404,Parcelas!$A$5:$A$404,A5,Parcelas!$I$5:$I$404,"Vencida"))</f>
        <v>0</v>
      </c>
      <c r="H5" s="24" t="str">
        <f>IF(A5="","",IF(G5&gt;0,"Em atraso",IF(F5&gt;0,"Em dia","Sem parcela em aberto")))</f>
        <v>Em dia</v>
      </c>
    </row>
    <row r="6">
      <c r="A6" s="33" t="inlineStr">
        <is>
          <t>Beatriz Gomes</t>
        </is>
      </c>
      <c r="B6" s="35" t="inlineStr">
        <is>
          <t>(11) 90000-0254</t>
        </is>
      </c>
      <c r="C6" s="24">
        <f>IF(A6="","",COUNTIFS(Parcelas!$A$5:$A$404,A6))</f>
        <v>2</v>
      </c>
      <c r="D6" s="25">
        <f>IF(A6="","",SUMIFS(Parcelas!$F$5:$F$404,Parcelas!$A$5:$A$404,A6))</f>
        <v>400</v>
      </c>
      <c r="E6" s="25">
        <f>IF(A6="","",SUMIFS(Parcelas!$F$5:$F$404,Parcelas!$A$5:$A$404,A6,Parcelas!$I$5:$I$404,"Paga"))</f>
        <v>400</v>
      </c>
      <c r="F6" s="25">
        <f>IF(A6="","",D6-E6)</f>
        <v>0</v>
      </c>
      <c r="G6" s="25">
        <f>IF(A6="","",SUMIFS(Parcelas!$F$5:$F$404,Parcelas!$A$5:$A$404,A6,Parcelas!$I$5:$I$404,"Vencida"))</f>
        <v>0</v>
      </c>
      <c r="H6" s="24" t="str">
        <f>IF(A6="","",IF(G6&gt;0,"Em atraso",IF(F6&gt;0,"Em dia","Sem parcela em aberto")))</f>
        <v>Sem parcela em aberto</v>
      </c>
    </row>
    <row r="7">
      <c r="A7" s="33" t="inlineStr">
        <is>
          <t>Camila Dias</t>
        </is>
      </c>
      <c r="B7" s="35" t="inlineStr">
        <is>
          <t>(11) 90000-0241</t>
        </is>
      </c>
      <c r="C7" s="24">
        <f>IF(A7="","",COUNTIFS(Parcelas!$A$5:$A$404,A7))</f>
        <v>3</v>
      </c>
      <c r="D7" s="25">
        <f>IF(A7="","",SUMIFS(Parcelas!$F$5:$F$404,Parcelas!$A$5:$A$404,A7))</f>
        <v>800</v>
      </c>
      <c r="E7" s="25">
        <f>IF(A7="","",SUMIFS(Parcelas!$F$5:$F$404,Parcelas!$A$5:$A$404,A7,Parcelas!$I$5:$I$404,"Paga"))</f>
        <v>800</v>
      </c>
      <c r="F7" s="25">
        <f>IF(A7="","",D7-E7)</f>
        <v>0</v>
      </c>
      <c r="G7" s="25">
        <f>IF(A7="","",SUMIFS(Parcelas!$F$5:$F$404,Parcelas!$A$5:$A$404,A7,Parcelas!$I$5:$I$404,"Vencida"))</f>
        <v>0</v>
      </c>
      <c r="H7" s="24" t="str">
        <f>IF(A7="","",IF(G7&gt;0,"Em atraso",IF(F7&gt;0,"Em dia","Sem parcela em aberto")))</f>
        <v>Sem parcela em aberto</v>
      </c>
    </row>
    <row r="8">
      <c r="A8" s="33" t="inlineStr">
        <is>
          <t>Camila Freitas</t>
        </is>
      </c>
      <c r="B8" s="35" t="inlineStr">
        <is>
          <t>(11) 90000-0212</t>
        </is>
      </c>
      <c r="C8" s="24">
        <f>IF(A8="","",COUNTIFS(Parcelas!$A$5:$A$404,A8))</f>
        <v>3</v>
      </c>
      <c r="D8" s="25">
        <f>IF(A8="","",SUMIFS(Parcelas!$F$5:$F$404,Parcelas!$A$5:$A$404,A8))</f>
        <v>760</v>
      </c>
      <c r="E8" s="25">
        <f>IF(A8="","",SUMIFS(Parcelas!$F$5:$F$404,Parcelas!$A$5:$A$404,A8,Parcelas!$I$5:$I$404,"Paga"))</f>
        <v>760</v>
      </c>
      <c r="F8" s="25">
        <f>IF(A8="","",D8-E8)</f>
        <v>0</v>
      </c>
      <c r="G8" s="25">
        <f>IF(A8="","",SUMIFS(Parcelas!$F$5:$F$404,Parcelas!$A$5:$A$404,A8,Parcelas!$I$5:$I$404,"Vencida"))</f>
        <v>0</v>
      </c>
      <c r="H8" s="24" t="str">
        <f>IF(A8="","",IF(G8&gt;0,"Em atraso",IF(F8&gt;0,"Em dia","Sem parcela em aberto")))</f>
        <v>Sem parcela em aberto</v>
      </c>
    </row>
    <row r="9">
      <c r="A9" s="33" t="inlineStr">
        <is>
          <t>Carlos Fernandes</t>
        </is>
      </c>
      <c r="B9" s="35" t="inlineStr">
        <is>
          <t>(11) 90000-0154</t>
        </is>
      </c>
      <c r="C9" s="24">
        <f>IF(A9="","",COUNTIFS(Parcelas!$A$5:$A$404,A9))</f>
        <v>2</v>
      </c>
      <c r="D9" s="25">
        <f>IF(A9="","",SUMIFS(Parcelas!$F$5:$F$404,Parcelas!$A$5:$A$404,A9))</f>
        <v>380</v>
      </c>
      <c r="E9" s="25">
        <f>IF(A9="","",SUMIFS(Parcelas!$F$5:$F$404,Parcelas!$A$5:$A$404,A9,Parcelas!$I$5:$I$404,"Paga"))</f>
        <v>190</v>
      </c>
      <c r="F9" s="25">
        <f>IF(A9="","",D9-E9)</f>
        <v>190</v>
      </c>
      <c r="G9" s="25">
        <f>IF(A9="","",SUMIFS(Parcelas!$F$5:$F$404,Parcelas!$A$5:$A$404,A9,Parcelas!$I$5:$I$404,"Vencida"))</f>
        <v>190</v>
      </c>
      <c r="H9" s="24" t="str">
        <f>IF(A9="","",IF(G9&gt;0,"Em atraso",IF(F9&gt;0,"Em dia","Sem parcela em aberto")))</f>
        <v>Em atraso</v>
      </c>
    </row>
    <row r="10">
      <c r="A10" s="33" t="inlineStr">
        <is>
          <t>Carlos Freitas</t>
        </is>
      </c>
      <c r="B10" s="35" t="inlineStr">
        <is>
          <t>(11) 90000-0223</t>
        </is>
      </c>
      <c r="C10" s="24">
        <f>IF(A10="","",COUNTIFS(Parcelas!$A$5:$A$404,A10))</f>
        <v>4</v>
      </c>
      <c r="D10" s="25">
        <f>IF(A10="","",SUMIFS(Parcelas!$F$5:$F$404,Parcelas!$A$5:$A$404,A10))</f>
        <v>800</v>
      </c>
      <c r="E10" s="25">
        <f>IF(A10="","",SUMIFS(Parcelas!$F$5:$F$404,Parcelas!$A$5:$A$404,A10,Parcelas!$I$5:$I$404,"Paga"))</f>
        <v>800</v>
      </c>
      <c r="F10" s="25">
        <f>IF(A10="","",D10-E10)</f>
        <v>0</v>
      </c>
      <c r="G10" s="25">
        <f>IF(A10="","",SUMIFS(Parcelas!$F$5:$F$404,Parcelas!$A$5:$A$404,A10,Parcelas!$I$5:$I$404,"Vencida"))</f>
        <v>0</v>
      </c>
      <c r="H10" s="24" t="str">
        <f>IF(A10="","",IF(G10&gt;0,"Em atraso",IF(F10&gt;0,"Em dia","Sem parcela em aberto")))</f>
        <v>Sem parcela em aberto</v>
      </c>
    </row>
    <row r="11">
      <c r="A11" s="33" t="inlineStr">
        <is>
          <t>Carlos Oliveira</t>
        </is>
      </c>
      <c r="B11" s="35" t="inlineStr">
        <is>
          <t>(11) 90000-0215</t>
        </is>
      </c>
      <c r="C11" s="24">
        <f>IF(A11="","",COUNTIFS(Parcelas!$A$5:$A$404,A11))</f>
        <v>4</v>
      </c>
      <c r="D11" s="25">
        <f>IF(A11="","",SUMIFS(Parcelas!$F$5:$F$404,Parcelas!$A$5:$A$404,A11))</f>
        <v>760</v>
      </c>
      <c r="E11" s="25">
        <f>IF(A11="","",SUMIFS(Parcelas!$F$5:$F$404,Parcelas!$A$5:$A$404,A11,Parcelas!$I$5:$I$404,"Paga"))</f>
        <v>760</v>
      </c>
      <c r="F11" s="25">
        <f>IF(A11="","",D11-E11)</f>
        <v>0</v>
      </c>
      <c r="G11" s="25">
        <f>IF(A11="","",SUMIFS(Parcelas!$F$5:$F$404,Parcelas!$A$5:$A$404,A11,Parcelas!$I$5:$I$404,"Vencida"))</f>
        <v>0</v>
      </c>
      <c r="H11" s="24" t="str">
        <f>IF(A11="","",IF(G11&gt;0,"Em atraso",IF(F11&gt;0,"Em dia","Sem parcela em aberto")))</f>
        <v>Sem parcela em aberto</v>
      </c>
    </row>
    <row r="12">
      <c r="A12" s="33" t="inlineStr">
        <is>
          <t>Cláudia Costa</t>
        </is>
      </c>
      <c r="B12" s="35" t="inlineStr">
        <is>
          <t>(11) 90000-0163</t>
        </is>
      </c>
      <c r="C12" s="24">
        <f>IF(A12="","",COUNTIFS(Parcelas!$A$5:$A$404,A12))</f>
        <v>3</v>
      </c>
      <c r="D12" s="25">
        <f>IF(A12="","",SUMIFS(Parcelas!$F$5:$F$404,Parcelas!$A$5:$A$404,A12))</f>
        <v>760</v>
      </c>
      <c r="E12" s="25">
        <f>IF(A12="","",SUMIFS(Parcelas!$F$5:$F$404,Parcelas!$A$5:$A$404,A12,Parcelas!$I$5:$I$404,"Paga"))</f>
        <v>380</v>
      </c>
      <c r="F12" s="25">
        <f>IF(A12="","",D12-E12)</f>
        <v>380</v>
      </c>
      <c r="G12" s="25">
        <f>IF(A12="","",SUMIFS(Parcelas!$F$5:$F$404,Parcelas!$A$5:$A$404,A12,Parcelas!$I$5:$I$404,"Vencida"))</f>
        <v>380</v>
      </c>
      <c r="H12" s="24" t="str">
        <f>IF(A12="","",IF(G12&gt;0,"Em atraso",IF(F12&gt;0,"Em dia","Sem parcela em aberto")))</f>
        <v>Em atraso</v>
      </c>
    </row>
    <row r="13">
      <c r="A13" s="33" t="inlineStr">
        <is>
          <t>Cláudia Santos</t>
        </is>
      </c>
      <c r="B13" s="35" t="inlineStr">
        <is>
          <t>(11) 90000-0106</t>
        </is>
      </c>
      <c r="C13" s="24">
        <f>IF(A13="","",COUNTIFS(Parcelas!$A$5:$A$404,A13))</f>
        <v>2</v>
      </c>
      <c r="D13" s="25">
        <f>IF(A13="","",SUMIFS(Parcelas!$F$5:$F$404,Parcelas!$A$5:$A$404,A13))</f>
        <v>760</v>
      </c>
      <c r="E13" s="25">
        <f>IF(A13="","",SUMIFS(Parcelas!$F$5:$F$404,Parcelas!$A$5:$A$404,A13,Parcelas!$I$5:$I$404,"Paga"))</f>
        <v>380</v>
      </c>
      <c r="F13" s="25">
        <f>IF(A13="","",D13-E13)</f>
        <v>380</v>
      </c>
      <c r="G13" s="25">
        <f>IF(A13="","",SUMIFS(Parcelas!$F$5:$F$404,Parcelas!$A$5:$A$404,A13,Parcelas!$I$5:$I$404,"Vencida"))</f>
        <v>0</v>
      </c>
      <c r="H13" s="24" t="str">
        <f>IF(A13="","",IF(G13&gt;0,"Em atraso",IF(F13&gt;0,"Em dia","Sem parcela em aberto")))</f>
        <v>Em dia</v>
      </c>
    </row>
    <row r="14">
      <c r="A14" s="33" t="inlineStr">
        <is>
          <t>Eduardo Lima</t>
        </is>
      </c>
      <c r="B14" s="35" t="inlineStr">
        <is>
          <t>(11) 90000-0111</t>
        </is>
      </c>
      <c r="C14" s="24">
        <f>IF(A14="","",COUNTIFS(Parcelas!$A$5:$A$404,A14))</f>
        <v>4</v>
      </c>
      <c r="D14" s="25">
        <f>IF(A14="","",SUMIFS(Parcelas!$F$5:$F$404,Parcelas!$A$5:$A$404,A14))</f>
        <v>1210</v>
      </c>
      <c r="E14" s="25">
        <f>IF(A14="","",SUMIFS(Parcelas!$F$5:$F$404,Parcelas!$A$5:$A$404,A14,Parcelas!$I$5:$I$404,"Paga"))</f>
        <v>605</v>
      </c>
      <c r="F14" s="25">
        <f>IF(A14="","",D14-E14)</f>
        <v>605</v>
      </c>
      <c r="G14" s="25">
        <f>IF(A14="","",SUMIFS(Parcelas!$F$5:$F$404,Parcelas!$A$5:$A$404,A14,Parcelas!$I$5:$I$404,"Vencida"))</f>
        <v>0</v>
      </c>
      <c r="H14" s="24" t="str">
        <f>IF(A14="","",IF(G14&gt;0,"Em atraso",IF(F14&gt;0,"Em dia","Sem parcela em aberto")))</f>
        <v>Em dia</v>
      </c>
    </row>
    <row r="15">
      <c r="A15" s="33" t="inlineStr">
        <is>
          <t>Elaine Cardoso</t>
        </is>
      </c>
      <c r="B15" s="35" t="inlineStr">
        <is>
          <t>(11) 90000-0144</t>
        </is>
      </c>
      <c r="C15" s="24">
        <f>IF(A15="","",COUNTIFS(Parcelas!$A$5:$A$404,A15))</f>
        <v>7</v>
      </c>
      <c r="D15" s="25">
        <f>IF(A15="","",SUMIFS(Parcelas!$F$5:$F$404,Parcelas!$A$5:$A$404,A15))</f>
        <v>1650</v>
      </c>
      <c r="E15" s="25">
        <f>IF(A15="","",SUMIFS(Parcelas!$F$5:$F$404,Parcelas!$A$5:$A$404,A15,Parcelas!$I$5:$I$404,"Paga"))</f>
        <v>1140</v>
      </c>
      <c r="F15" s="25">
        <f>IF(A15="","",D15-E15)</f>
        <v>510</v>
      </c>
      <c r="G15" s="25">
        <f>IF(A15="","",SUMIFS(Parcelas!$F$5:$F$404,Parcelas!$A$5:$A$404,A15,Parcelas!$I$5:$I$404,"Vencida"))</f>
        <v>130</v>
      </c>
      <c r="H15" s="24" t="str">
        <f>IF(A15="","",IF(G15&gt;0,"Em atraso",IF(F15&gt;0,"Em dia","Sem parcela em aberto")))</f>
        <v>Em atraso</v>
      </c>
    </row>
    <row r="16">
      <c r="A16" s="33" t="inlineStr">
        <is>
          <t>Fernanda Freitas</t>
        </is>
      </c>
      <c r="B16" s="35" t="inlineStr">
        <is>
          <t>(11) 90000-0120</t>
        </is>
      </c>
      <c r="C16" s="24">
        <f>IF(A16="","",COUNTIFS(Parcelas!$A$5:$A$404,A16))</f>
        <v>4</v>
      </c>
      <c r="D16" s="25">
        <f>IF(A16="","",SUMIFS(Parcelas!$F$5:$F$404,Parcelas!$A$5:$A$404,A16))</f>
        <v>1130</v>
      </c>
      <c r="E16" s="25">
        <f>IF(A16="","",SUMIFS(Parcelas!$F$5:$F$404,Parcelas!$A$5:$A$404,A16,Parcelas!$I$5:$I$404,"Paga"))</f>
        <v>680</v>
      </c>
      <c r="F16" s="25">
        <f>IF(A16="","",D16-E16)</f>
        <v>450</v>
      </c>
      <c r="G16" s="25">
        <f>IF(A16="","",SUMIFS(Parcelas!$F$5:$F$404,Parcelas!$A$5:$A$404,A16,Parcelas!$I$5:$I$404,"Vencida"))</f>
        <v>0</v>
      </c>
      <c r="H16" s="24" t="str">
        <f>IF(A16="","",IF(G16&gt;0,"Em atraso",IF(F16&gt;0,"Em dia","Sem parcela em aberto")))</f>
        <v>Em dia</v>
      </c>
    </row>
    <row r="17">
      <c r="A17" s="33" t="inlineStr">
        <is>
          <t>Fábio Correia</t>
        </is>
      </c>
      <c r="B17" s="35" t="inlineStr">
        <is>
          <t>(11) 90000-0191</t>
        </is>
      </c>
      <c r="C17" s="24">
        <f>IF(A17="","",COUNTIFS(Parcelas!$A$5:$A$404,A17))</f>
        <v>2</v>
      </c>
      <c r="D17" s="25">
        <f>IF(A17="","",SUMIFS(Parcelas!$F$5:$F$404,Parcelas!$A$5:$A$404,A17))</f>
        <v>760</v>
      </c>
      <c r="E17" s="25">
        <f>IF(A17="","",SUMIFS(Parcelas!$F$5:$F$404,Parcelas!$A$5:$A$404,A17,Parcelas!$I$5:$I$404,"Paga"))</f>
        <v>760</v>
      </c>
      <c r="F17" s="25">
        <f>IF(A17="","",D17-E17)</f>
        <v>0</v>
      </c>
      <c r="G17" s="25">
        <f>IF(A17="","",SUMIFS(Parcelas!$F$5:$F$404,Parcelas!$A$5:$A$404,A17,Parcelas!$I$5:$I$404,"Vencida"))</f>
        <v>0</v>
      </c>
      <c r="H17" s="24" t="str">
        <f>IF(A17="","",IF(G17&gt;0,"Em atraso",IF(F17&gt;0,"Em dia","Sem parcela em aberto")))</f>
        <v>Sem parcela em aberto</v>
      </c>
    </row>
    <row r="18">
      <c r="A18" s="33" t="inlineStr">
        <is>
          <t>Fábio Gomes</t>
        </is>
      </c>
      <c r="B18" s="35" t="inlineStr">
        <is>
          <t>(11) 90000-0250</t>
        </is>
      </c>
      <c r="C18" s="24">
        <f>IF(A18="","",COUNTIFS(Parcelas!$A$5:$A$404,A18))</f>
        <v>6</v>
      </c>
      <c r="D18" s="25">
        <f>IF(A18="","",SUMIFS(Parcelas!$F$5:$F$404,Parcelas!$A$5:$A$404,A18))</f>
        <v>1600</v>
      </c>
      <c r="E18" s="25">
        <f>IF(A18="","",SUMIFS(Parcelas!$F$5:$F$404,Parcelas!$A$5:$A$404,A18,Parcelas!$I$5:$I$404,"Paga"))</f>
        <v>1000</v>
      </c>
      <c r="F18" s="25">
        <f>IF(A18="","",D18-E18)</f>
        <v>600</v>
      </c>
      <c r="G18" s="25">
        <f>IF(A18="","",SUMIFS(Parcelas!$F$5:$F$404,Parcelas!$A$5:$A$404,A18,Parcelas!$I$5:$I$404,"Vencida"))</f>
        <v>0</v>
      </c>
      <c r="H18" s="24" t="str">
        <f>IF(A18="","",IF(G18&gt;0,"Em atraso",IF(F18&gt;0,"Em dia","Sem parcela em aberto")))</f>
        <v>Em dia</v>
      </c>
    </row>
    <row r="19">
      <c r="A19" s="33" t="inlineStr">
        <is>
          <t>Fábio Machado</t>
        </is>
      </c>
      <c r="B19" s="35" t="inlineStr">
        <is>
          <t>(11) 90000-0124</t>
        </is>
      </c>
      <c r="C19" s="24">
        <f>IF(A19="","",COUNTIFS(Parcelas!$A$5:$A$404,A19))</f>
        <v>1</v>
      </c>
      <c r="D19" s="25">
        <f>IF(A19="","",SUMIFS(Parcelas!$F$5:$F$404,Parcelas!$A$5:$A$404,A19))</f>
        <v>380</v>
      </c>
      <c r="E19" s="25">
        <f>IF(A19="","",SUMIFS(Parcelas!$F$5:$F$404,Parcelas!$A$5:$A$404,A19,Parcelas!$I$5:$I$404,"Paga"))</f>
        <v>380</v>
      </c>
      <c r="F19" s="25">
        <f>IF(A19="","",D19-E19)</f>
        <v>0</v>
      </c>
      <c r="G19" s="25">
        <f>IF(A19="","",SUMIFS(Parcelas!$F$5:$F$404,Parcelas!$A$5:$A$404,A19,Parcelas!$I$5:$I$404,"Vencida"))</f>
        <v>0</v>
      </c>
      <c r="H19" s="24" t="str">
        <f>IF(A19="","",IF(G19&gt;0,"Em atraso",IF(F19&gt;0,"Em dia","Sem parcela em aberto")))</f>
        <v>Sem parcela em aberto</v>
      </c>
    </row>
    <row r="20">
      <c r="A20" s="33" t="inlineStr">
        <is>
          <t>Gabriel Fernandes</t>
        </is>
      </c>
      <c r="B20" s="35" t="inlineStr">
        <is>
          <t>(11) 90000-0197</t>
        </is>
      </c>
      <c r="C20" s="24">
        <f>IF(A20="","",COUNTIFS(Parcelas!$A$5:$A$404,A20))</f>
        <v>1</v>
      </c>
      <c r="D20" s="25">
        <f>IF(A20="","",SUMIFS(Parcelas!$F$5:$F$404,Parcelas!$A$5:$A$404,A20))</f>
        <v>380</v>
      </c>
      <c r="E20" s="25">
        <f>IF(A20="","",SUMIFS(Parcelas!$F$5:$F$404,Parcelas!$A$5:$A$404,A20,Parcelas!$I$5:$I$404,"Paga"))</f>
        <v>380</v>
      </c>
      <c r="F20" s="25">
        <f>IF(A20="","",D20-E20)</f>
        <v>0</v>
      </c>
      <c r="G20" s="25">
        <f>IF(A20="","",SUMIFS(Parcelas!$F$5:$F$404,Parcelas!$A$5:$A$404,A20,Parcelas!$I$5:$I$404,"Vencida"))</f>
        <v>0</v>
      </c>
      <c r="H20" s="24" t="str">
        <f>IF(A20="","",IF(G20&gt;0,"Em atraso",IF(F20&gt;0,"Em dia","Sem parcela em aberto")))</f>
        <v>Sem parcela em aberto</v>
      </c>
    </row>
    <row r="21">
      <c r="A21" s="33" t="inlineStr">
        <is>
          <t>Gabriel Oliveira</t>
        </is>
      </c>
      <c r="B21" s="35" t="inlineStr">
        <is>
          <t>(11) 90000-0221</t>
        </is>
      </c>
      <c r="C21" s="24">
        <f>IF(A21="","",COUNTIFS(Parcelas!$A$5:$A$404,A21))</f>
        <v>1</v>
      </c>
      <c r="D21" s="25">
        <f>IF(A21="","",SUMIFS(Parcelas!$F$5:$F$404,Parcelas!$A$5:$A$404,A21))</f>
        <v>380</v>
      </c>
      <c r="E21" s="25">
        <f>IF(A21="","",SUMIFS(Parcelas!$F$5:$F$404,Parcelas!$A$5:$A$404,A21,Parcelas!$I$5:$I$404,"Paga"))</f>
        <v>380</v>
      </c>
      <c r="F21" s="25">
        <f>IF(A21="","",D21-E21)</f>
        <v>0</v>
      </c>
      <c r="G21" s="25">
        <f>IF(A21="","",SUMIFS(Parcelas!$F$5:$F$404,Parcelas!$A$5:$A$404,A21,Parcelas!$I$5:$I$404,"Vencida"))</f>
        <v>0</v>
      </c>
      <c r="H21" s="24" t="str">
        <f>IF(A21="","",IF(G21&gt;0,"Em atraso",IF(F21&gt;0,"Em dia","Sem parcela em aberto")))</f>
        <v>Sem parcela em aberto</v>
      </c>
    </row>
    <row r="22">
      <c r="A22" s="33" t="inlineStr">
        <is>
          <t>Gabriel Reis</t>
        </is>
      </c>
      <c r="B22" s="35" t="inlineStr">
        <is>
          <t>(11) 90000-0256</t>
        </is>
      </c>
      <c r="C22" s="24">
        <f>IF(A22="","",COUNTIFS(Parcelas!$A$5:$A$404,A22))</f>
        <v>2</v>
      </c>
      <c r="D22" s="25">
        <f>IF(A22="","",SUMIFS(Parcelas!$F$5:$F$404,Parcelas!$A$5:$A$404,A22))</f>
        <v>800</v>
      </c>
      <c r="E22" s="25">
        <f>IF(A22="","",SUMIFS(Parcelas!$F$5:$F$404,Parcelas!$A$5:$A$404,A22,Parcelas!$I$5:$I$404,"Paga"))</f>
        <v>400</v>
      </c>
      <c r="F22" s="25">
        <f>IF(A22="","",D22-E22)</f>
        <v>400</v>
      </c>
      <c r="G22" s="25">
        <f>IF(A22="","",SUMIFS(Parcelas!$F$5:$F$404,Parcelas!$A$5:$A$404,A22,Parcelas!$I$5:$I$404,"Vencida"))</f>
        <v>400</v>
      </c>
      <c r="H22" s="24" t="str">
        <f>IF(A22="","",IF(G22&gt;0,"Em atraso",IF(F22&gt;0,"Em dia","Sem parcela em aberto")))</f>
        <v>Em atraso</v>
      </c>
    </row>
    <row r="23">
      <c r="A23" s="33" t="inlineStr">
        <is>
          <t>Gisele Ribeiro</t>
        </is>
      </c>
      <c r="B23" s="35" t="inlineStr">
        <is>
          <t>(11) 90000-0166</t>
        </is>
      </c>
      <c r="C23" s="24">
        <f>IF(A23="","",COUNTIFS(Parcelas!$A$5:$A$404,A23))</f>
        <v>4</v>
      </c>
      <c r="D23" s="25">
        <f>IF(A23="","",SUMIFS(Parcelas!$F$5:$F$404,Parcelas!$A$5:$A$404,A23))</f>
        <v>1340</v>
      </c>
      <c r="E23" s="25">
        <f>IF(A23="","",SUMIFS(Parcelas!$F$5:$F$404,Parcelas!$A$5:$A$404,A23,Parcelas!$I$5:$I$404,"Paga"))</f>
        <v>960</v>
      </c>
      <c r="F23" s="25">
        <f>IF(A23="","",D23-E23)</f>
        <v>380</v>
      </c>
      <c r="G23" s="25">
        <f>IF(A23="","",SUMIFS(Parcelas!$F$5:$F$404,Parcelas!$A$5:$A$404,A23,Parcelas!$I$5:$I$404,"Vencida"))</f>
        <v>0</v>
      </c>
      <c r="H23" s="24" t="str">
        <f>IF(A23="","",IF(G23&gt;0,"Em atraso",IF(F23&gt;0,"Em dia","Sem parcela em aberto")))</f>
        <v>Em dia</v>
      </c>
    </row>
    <row r="24">
      <c r="A24" s="33" t="inlineStr">
        <is>
          <t>Gisele Xavier</t>
        </is>
      </c>
      <c r="B24" s="35" t="inlineStr">
        <is>
          <t>(11) 90000-0159</t>
        </is>
      </c>
      <c r="C24" s="24">
        <f>IF(A24="","",COUNTIFS(Parcelas!$A$5:$A$404,A24))</f>
        <v>2</v>
      </c>
      <c r="D24" s="25">
        <f>IF(A24="","",SUMIFS(Parcelas!$F$5:$F$404,Parcelas!$A$5:$A$404,A24))</f>
        <v>760</v>
      </c>
      <c r="E24" s="25">
        <f>IF(A24="","",SUMIFS(Parcelas!$F$5:$F$404,Parcelas!$A$5:$A$404,A24,Parcelas!$I$5:$I$404,"Paga"))</f>
        <v>760</v>
      </c>
      <c r="F24" s="25">
        <f>IF(A24="","",D24-E24)</f>
        <v>0</v>
      </c>
      <c r="G24" s="25">
        <f>IF(A24="","",SUMIFS(Parcelas!$F$5:$F$404,Parcelas!$A$5:$A$404,A24,Parcelas!$I$5:$I$404,"Vencida"))</f>
        <v>0</v>
      </c>
      <c r="H24" s="24" t="str">
        <f>IF(A24="","",IF(G24&gt;0,"Em atraso",IF(F24&gt;0,"Em dia","Sem parcela em aberto")))</f>
        <v>Sem parcela em aberto</v>
      </c>
    </row>
    <row r="25">
      <c r="A25" s="33" t="inlineStr">
        <is>
          <t>Gustavo Ferreira</t>
        </is>
      </c>
      <c r="B25" s="35" t="inlineStr">
        <is>
          <t>(11) 90000-0145</t>
        </is>
      </c>
      <c r="C25" s="24">
        <f>IF(A25="","",COUNTIFS(Parcelas!$A$5:$A$404,A25))</f>
        <v>3</v>
      </c>
      <c r="D25" s="25">
        <f>IF(A25="","",SUMIFS(Parcelas!$F$5:$F$404,Parcelas!$A$5:$A$404,A25))</f>
        <v>1140</v>
      </c>
      <c r="E25" s="25">
        <f>IF(A25="","",SUMIFS(Parcelas!$F$5:$F$404,Parcelas!$A$5:$A$404,A25,Parcelas!$I$5:$I$404,"Paga"))</f>
        <v>1140</v>
      </c>
      <c r="F25" s="25">
        <f>IF(A25="","",D25-E25)</f>
        <v>0</v>
      </c>
      <c r="G25" s="25">
        <f>IF(A25="","",SUMIFS(Parcelas!$F$5:$F$404,Parcelas!$A$5:$A$404,A25,Parcelas!$I$5:$I$404,"Vencida"))</f>
        <v>0</v>
      </c>
      <c r="H25" s="24" t="str">
        <f>IF(A25="","",IF(G25&gt;0,"Em atraso",IF(F25&gt;0,"Em dia","Sem parcela em aberto")))</f>
        <v>Sem parcela em aberto</v>
      </c>
    </row>
    <row r="26">
      <c r="A26" s="33" t="inlineStr">
        <is>
          <t>Gustavo Pinto</t>
        </is>
      </c>
      <c r="B26" s="35" t="inlineStr">
        <is>
          <t>(11) 90000-0181</t>
        </is>
      </c>
      <c r="C26" s="24">
        <f>IF(A26="","",COUNTIFS(Parcelas!$A$5:$A$404,A26))</f>
        <v>2</v>
      </c>
      <c r="D26" s="25">
        <f>IF(A26="","",SUMIFS(Parcelas!$F$5:$F$404,Parcelas!$A$5:$A$404,A26))</f>
        <v>380</v>
      </c>
      <c r="E26" s="25">
        <f>IF(A26="","",SUMIFS(Parcelas!$F$5:$F$404,Parcelas!$A$5:$A$404,A26,Parcelas!$I$5:$I$404,"Paga"))</f>
        <v>380</v>
      </c>
      <c r="F26" s="25">
        <f>IF(A26="","",D26-E26)</f>
        <v>0</v>
      </c>
      <c r="G26" s="25">
        <f>IF(A26="","",SUMIFS(Parcelas!$F$5:$F$404,Parcelas!$A$5:$A$404,A26,Parcelas!$I$5:$I$404,"Vencida"))</f>
        <v>0</v>
      </c>
      <c r="H26" s="24" t="str">
        <f>IF(A26="","",IF(G26&gt;0,"Em atraso",IF(F26&gt;0,"Em dia","Sem parcela em aberto")))</f>
        <v>Sem parcela em aberto</v>
      </c>
    </row>
    <row r="27">
      <c r="A27" s="33" t="inlineStr">
        <is>
          <t>Helena Moreira</t>
        </is>
      </c>
      <c r="B27" s="35" t="inlineStr">
        <is>
          <t>(11) 90000-0138</t>
        </is>
      </c>
      <c r="C27" s="24">
        <f>IF(A27="","",COUNTIFS(Parcelas!$A$5:$A$404,A27))</f>
        <v>4</v>
      </c>
      <c r="D27" s="25">
        <f>IF(A27="","",SUMIFS(Parcelas!$F$5:$F$404,Parcelas!$A$5:$A$404,A27))</f>
        <v>1140</v>
      </c>
      <c r="E27" s="25">
        <f>IF(A27="","",SUMIFS(Parcelas!$F$5:$F$404,Parcelas!$A$5:$A$404,A27,Parcelas!$I$5:$I$404,"Paga"))</f>
        <v>760</v>
      </c>
      <c r="F27" s="25">
        <f>IF(A27="","",D27-E27)</f>
        <v>380</v>
      </c>
      <c r="G27" s="25">
        <f>IF(A27="","",SUMIFS(Parcelas!$F$5:$F$404,Parcelas!$A$5:$A$404,A27,Parcelas!$I$5:$I$404,"Vencida"))</f>
        <v>380</v>
      </c>
      <c r="H27" s="24" t="str">
        <f>IF(A27="","",IF(G27&gt;0,"Em atraso",IF(F27&gt;0,"Em dia","Sem parcela em aberto")))</f>
        <v>Em atraso</v>
      </c>
    </row>
    <row r="28">
      <c r="A28" s="33" t="inlineStr">
        <is>
          <t>Henrique Ribeiro</t>
        </is>
      </c>
      <c r="B28" s="35" t="inlineStr">
        <is>
          <t>(11) 90000-0170</t>
        </is>
      </c>
      <c r="C28" s="24">
        <f>IF(A28="","",COUNTIFS(Parcelas!$A$5:$A$404,A28))</f>
        <v>3</v>
      </c>
      <c r="D28" s="25">
        <f>IF(A28="","",SUMIFS(Parcelas!$F$5:$F$404,Parcelas!$A$5:$A$404,A28))</f>
        <v>730</v>
      </c>
      <c r="E28" s="25">
        <f>IF(A28="","",SUMIFS(Parcelas!$F$5:$F$404,Parcelas!$A$5:$A$404,A28,Parcelas!$I$5:$I$404,"Paga"))</f>
        <v>730</v>
      </c>
      <c r="F28" s="25">
        <f>IF(A28="","",D28-E28)</f>
        <v>0</v>
      </c>
      <c r="G28" s="25">
        <f>IF(A28="","",SUMIFS(Parcelas!$F$5:$F$404,Parcelas!$A$5:$A$404,A28,Parcelas!$I$5:$I$404,"Vencida"))</f>
        <v>0</v>
      </c>
      <c r="H28" s="24" t="str">
        <f>IF(A28="","",IF(G28&gt;0,"Em atraso",IF(F28&gt;0,"Em dia","Sem parcela em aberto")))</f>
        <v>Sem parcela em aberto</v>
      </c>
    </row>
    <row r="29">
      <c r="A29" s="33" t="inlineStr">
        <is>
          <t>Isabela Xavier</t>
        </is>
      </c>
      <c r="B29" s="35" t="inlineStr">
        <is>
          <t>(11) 90000-0248</t>
        </is>
      </c>
      <c r="C29" s="24">
        <f>IF(A29="","",COUNTIFS(Parcelas!$A$5:$A$404,A29))</f>
        <v>1</v>
      </c>
      <c r="D29" s="25">
        <f>IF(A29="","",SUMIFS(Parcelas!$F$5:$F$404,Parcelas!$A$5:$A$404,A29))</f>
        <v>400</v>
      </c>
      <c r="E29" s="25">
        <f>IF(A29="","",SUMIFS(Parcelas!$F$5:$F$404,Parcelas!$A$5:$A$404,A29,Parcelas!$I$5:$I$404,"Paga"))</f>
        <v>400</v>
      </c>
      <c r="F29" s="25">
        <f>IF(A29="","",D29-E29)</f>
        <v>0</v>
      </c>
      <c r="G29" s="25">
        <f>IF(A29="","",SUMIFS(Parcelas!$F$5:$F$404,Parcelas!$A$5:$A$404,A29,Parcelas!$I$5:$I$404,"Vencida"))</f>
        <v>0</v>
      </c>
      <c r="H29" s="24" t="str">
        <f>IF(A29="","",IF(G29&gt;0,"Em atraso",IF(F29&gt;0,"Em dia","Sem parcela em aberto")))</f>
        <v>Sem parcela em aberto</v>
      </c>
    </row>
    <row r="30">
      <c r="A30" s="33" t="inlineStr">
        <is>
          <t>Larissa Costa</t>
        </is>
      </c>
      <c r="B30" s="35" t="inlineStr">
        <is>
          <t>(11) 90000-0101</t>
        </is>
      </c>
      <c r="C30" s="24">
        <f>IF(A30="","",COUNTIFS(Parcelas!$A$5:$A$404,A30))</f>
        <v>9</v>
      </c>
      <c r="D30" s="25">
        <f>IF(A30="","",SUMIFS(Parcelas!$F$5:$F$404,Parcelas!$A$5:$A$404,A30))</f>
        <v>1900</v>
      </c>
      <c r="E30" s="25">
        <f>IF(A30="","",SUMIFS(Parcelas!$F$5:$F$404,Parcelas!$A$5:$A$404,A30,Parcelas!$I$5:$I$404,"Paga"))</f>
        <v>1140</v>
      </c>
      <c r="F30" s="25">
        <f>IF(A30="","",D30-E30)</f>
        <v>760</v>
      </c>
      <c r="G30" s="25">
        <f>IF(A30="","",SUMIFS(Parcelas!$F$5:$F$404,Parcelas!$A$5:$A$404,A30,Parcelas!$I$5:$I$404,"Vencida"))</f>
        <v>0</v>
      </c>
      <c r="H30" s="24" t="str">
        <f>IF(A30="","",IF(G30&gt;0,"Em atraso",IF(F30&gt;0,"Em dia","Sem parcela em aberto")))</f>
        <v>Em dia</v>
      </c>
    </row>
    <row r="31">
      <c r="A31" s="33" t="inlineStr">
        <is>
          <t>Leandro Oliveira</t>
        </is>
      </c>
      <c r="B31" s="35" t="inlineStr">
        <is>
          <t>(11) 90000-0122</t>
        </is>
      </c>
      <c r="C31" s="24">
        <f>IF(A31="","",COUNTIFS(Parcelas!$A$5:$A$404,A31))</f>
        <v>3</v>
      </c>
      <c r="D31" s="25">
        <f>IF(A31="","",SUMIFS(Parcelas!$F$5:$F$404,Parcelas!$A$5:$A$404,A31))</f>
        <v>580</v>
      </c>
      <c r="E31" s="25">
        <f>IF(A31="","",SUMIFS(Parcelas!$F$5:$F$404,Parcelas!$A$5:$A$404,A31,Parcelas!$I$5:$I$404,"Paga"))</f>
        <v>580</v>
      </c>
      <c r="F31" s="25">
        <f>IF(A31="","",D31-E31)</f>
        <v>0</v>
      </c>
      <c r="G31" s="25">
        <f>IF(A31="","",SUMIFS(Parcelas!$F$5:$F$404,Parcelas!$A$5:$A$404,A31,Parcelas!$I$5:$I$404,"Vencida"))</f>
        <v>0</v>
      </c>
      <c r="H31" s="24" t="str">
        <f>IF(A31="","",IF(G31&gt;0,"Em atraso",IF(F31&gt;0,"Em dia","Sem parcela em aberto")))</f>
        <v>Sem parcela em aberto</v>
      </c>
    </row>
    <row r="32">
      <c r="A32" s="33" t="inlineStr">
        <is>
          <t>Lucas Lopes</t>
        </is>
      </c>
      <c r="B32" s="35" t="inlineStr">
        <is>
          <t>(11) 90000-0119</t>
        </is>
      </c>
      <c r="C32" s="24">
        <f>IF(A32="","",COUNTIFS(Parcelas!$A$5:$A$404,A32))</f>
        <v>1</v>
      </c>
      <c r="D32" s="25">
        <f>IF(A32="","",SUMIFS(Parcelas!$F$5:$F$404,Parcelas!$A$5:$A$404,A32))</f>
        <v>380</v>
      </c>
      <c r="E32" s="25">
        <f>IF(A32="","",SUMIFS(Parcelas!$F$5:$F$404,Parcelas!$A$5:$A$404,A32,Parcelas!$I$5:$I$404,"Paga"))</f>
        <v>380</v>
      </c>
      <c r="F32" s="25">
        <f>IF(A32="","",D32-E32)</f>
        <v>0</v>
      </c>
      <c r="G32" s="25">
        <f>IF(A32="","",SUMIFS(Parcelas!$F$5:$F$404,Parcelas!$A$5:$A$404,A32,Parcelas!$I$5:$I$404,"Vencida"))</f>
        <v>0</v>
      </c>
      <c r="H32" s="24" t="str">
        <f>IF(A32="","",IF(G32&gt;0,"Em atraso",IF(F32&gt;0,"Em dia","Sem parcela em aberto")))</f>
        <v>Sem parcela em aberto</v>
      </c>
    </row>
    <row r="33">
      <c r="A33" s="33" t="inlineStr">
        <is>
          <t>Marcelo Moreira</t>
        </is>
      </c>
      <c r="B33" s="35" t="inlineStr">
        <is>
          <t>(11) 90000-0152</t>
        </is>
      </c>
      <c r="C33" s="24">
        <f>IF(A33="","",COUNTIFS(Parcelas!$A$5:$A$404,A33))</f>
        <v>2</v>
      </c>
      <c r="D33" s="25">
        <f>IF(A33="","",SUMIFS(Parcelas!$F$5:$F$404,Parcelas!$A$5:$A$404,A33))</f>
        <v>300</v>
      </c>
      <c r="E33" s="25">
        <f>IF(A33="","",SUMIFS(Parcelas!$F$5:$F$404,Parcelas!$A$5:$A$404,A33,Parcelas!$I$5:$I$404,"Paga"))</f>
        <v>300</v>
      </c>
      <c r="F33" s="25">
        <f>IF(A33="","",D33-E33)</f>
        <v>0</v>
      </c>
      <c r="G33" s="25">
        <f>IF(A33="","",SUMIFS(Parcelas!$F$5:$F$404,Parcelas!$A$5:$A$404,A33,Parcelas!$I$5:$I$404,"Vencida"))</f>
        <v>0</v>
      </c>
      <c r="H33" s="24" t="str">
        <f>IF(A33="","",IF(G33&gt;0,"Em atraso",IF(F33&gt;0,"Em dia","Sem parcela em aberto")))</f>
        <v>Sem parcela em aberto</v>
      </c>
    </row>
    <row r="34">
      <c r="A34" s="33" t="inlineStr">
        <is>
          <t>Marcelo Santos</t>
        </is>
      </c>
      <c r="B34" s="35" t="inlineStr">
        <is>
          <t>(11) 90000-0140</t>
        </is>
      </c>
      <c r="C34" s="24">
        <f>IF(A34="","",COUNTIFS(Parcelas!$A$5:$A$404,A34))</f>
        <v>1</v>
      </c>
      <c r="D34" s="25">
        <f>IF(A34="","",SUMIFS(Parcelas!$F$5:$F$404,Parcelas!$A$5:$A$404,A34))</f>
        <v>350</v>
      </c>
      <c r="E34" s="25">
        <f>IF(A34="","",SUMIFS(Parcelas!$F$5:$F$404,Parcelas!$A$5:$A$404,A34,Parcelas!$I$5:$I$404,"Paga"))</f>
        <v>350</v>
      </c>
      <c r="F34" s="25">
        <f>IF(A34="","",D34-E34)</f>
        <v>0</v>
      </c>
      <c r="G34" s="25">
        <f>IF(A34="","",SUMIFS(Parcelas!$F$5:$F$404,Parcelas!$A$5:$A$404,A34,Parcelas!$I$5:$I$404,"Vencida"))</f>
        <v>0</v>
      </c>
      <c r="H34" s="24" t="str">
        <f>IF(A34="","",IF(G34&gt;0,"Em atraso",IF(F34&gt;0,"Em dia","Sem parcela em aberto")))</f>
        <v>Sem parcela em aberto</v>
      </c>
    </row>
    <row r="35">
      <c r="A35" s="33" t="inlineStr">
        <is>
          <t>Mariana Gomes</t>
        </is>
      </c>
      <c r="B35" s="35" t="inlineStr">
        <is>
          <t>(11) 90000-0238</t>
        </is>
      </c>
      <c r="C35" s="24">
        <f>IF(A35="","",COUNTIFS(Parcelas!$A$5:$A$404,A35))</f>
        <v>1</v>
      </c>
      <c r="D35" s="25">
        <f>IF(A35="","",SUMIFS(Parcelas!$F$5:$F$404,Parcelas!$A$5:$A$404,A35))</f>
        <v>400</v>
      </c>
      <c r="E35" s="25">
        <f>IF(A35="","",SUMIFS(Parcelas!$F$5:$F$404,Parcelas!$A$5:$A$404,A35,Parcelas!$I$5:$I$404,"Paga"))</f>
        <v>400</v>
      </c>
      <c r="F35" s="25">
        <f>IF(A35="","",D35-E35)</f>
        <v>0</v>
      </c>
      <c r="G35" s="25">
        <f>IF(A35="","",SUMIFS(Parcelas!$F$5:$F$404,Parcelas!$A$5:$A$404,A35,Parcelas!$I$5:$I$404,"Vencida"))</f>
        <v>0</v>
      </c>
      <c r="H35" s="24" t="str">
        <f>IF(A35="","",IF(G35&gt;0,"Em atraso",IF(F35&gt;0,"Em dia","Sem parcela em aberto")))</f>
        <v>Sem parcela em aberto</v>
      </c>
    </row>
    <row r="36">
      <c r="A36" s="33" t="inlineStr">
        <is>
          <t>Mariana Nascimento</t>
        </is>
      </c>
      <c r="B36" s="35" t="inlineStr">
        <is>
          <t>(11) 90000-0105</t>
        </is>
      </c>
      <c r="C36" s="24">
        <f>IF(A36="","",COUNTIFS(Parcelas!$A$5:$A$404,A36))</f>
        <v>6</v>
      </c>
      <c r="D36" s="25">
        <f>IF(A36="","",SUMIFS(Parcelas!$F$5:$F$404,Parcelas!$A$5:$A$404,A36))</f>
        <v>1440</v>
      </c>
      <c r="E36" s="25">
        <f>IF(A36="","",SUMIFS(Parcelas!$F$5:$F$404,Parcelas!$A$5:$A$404,A36,Parcelas!$I$5:$I$404,"Paga"))</f>
        <v>680</v>
      </c>
      <c r="F36" s="25">
        <f>IF(A36="","",D36-E36)</f>
        <v>760</v>
      </c>
      <c r="G36" s="25">
        <f>IF(A36="","",SUMIFS(Parcelas!$F$5:$F$404,Parcelas!$A$5:$A$404,A36,Parcelas!$I$5:$I$404,"Vencida"))</f>
        <v>760</v>
      </c>
      <c r="H36" s="24" t="str">
        <f>IF(A36="","",IF(G36&gt;0,"Em atraso",IF(F36&gt;0,"Em dia","Sem parcela em aberto")))</f>
        <v>Em atraso</v>
      </c>
    </row>
    <row r="37">
      <c r="A37" s="33" t="inlineStr">
        <is>
          <t>Mariana Reis</t>
        </is>
      </c>
      <c r="B37" s="35" t="inlineStr">
        <is>
          <t>(11) 90000-0229</t>
        </is>
      </c>
      <c r="C37" s="24">
        <f>IF(A37="","",COUNTIFS(Parcelas!$A$5:$A$404,A37))</f>
        <v>5</v>
      </c>
      <c r="D37" s="25">
        <f>IF(A37="","",SUMIFS(Parcelas!$F$5:$F$404,Parcelas!$A$5:$A$404,A37))</f>
        <v>1200</v>
      </c>
      <c r="E37" s="25">
        <f>IF(A37="","",SUMIFS(Parcelas!$F$5:$F$404,Parcelas!$A$5:$A$404,A37,Parcelas!$I$5:$I$404,"Paga"))</f>
        <v>800</v>
      </c>
      <c r="F37" s="25">
        <f>IF(A37="","",D37-E37)</f>
        <v>400</v>
      </c>
      <c r="G37" s="25">
        <f>IF(A37="","",SUMIFS(Parcelas!$F$5:$F$404,Parcelas!$A$5:$A$404,A37,Parcelas!$I$5:$I$404,"Vencida"))</f>
        <v>0</v>
      </c>
      <c r="H37" s="24" t="str">
        <f>IF(A37="","",IF(G37&gt;0,"Em atraso",IF(F37&gt;0,"Em dia","Sem parcela em aberto")))</f>
        <v>Em dia</v>
      </c>
    </row>
    <row r="38">
      <c r="A38" s="33" t="inlineStr">
        <is>
          <t>Márcia Duarte</t>
        </is>
      </c>
      <c r="B38" s="35" t="inlineStr">
        <is>
          <t>(11) 90000-0230</t>
        </is>
      </c>
      <c r="C38" s="24">
        <f>IF(A38="","",COUNTIFS(Parcelas!$A$5:$A$404,A38))</f>
        <v>2</v>
      </c>
      <c r="D38" s="25">
        <f>IF(A38="","",SUMIFS(Parcelas!$F$5:$F$404,Parcelas!$A$5:$A$404,A38))</f>
        <v>400</v>
      </c>
      <c r="E38" s="25">
        <f>IF(A38="","",SUMIFS(Parcelas!$F$5:$F$404,Parcelas!$A$5:$A$404,A38,Parcelas!$I$5:$I$404,"Paga"))</f>
        <v>200</v>
      </c>
      <c r="F38" s="25">
        <f>IF(A38="","",D38-E38)</f>
        <v>200</v>
      </c>
      <c r="G38" s="25">
        <f>IF(A38="","",SUMIFS(Parcelas!$F$5:$F$404,Parcelas!$A$5:$A$404,A38,Parcelas!$I$5:$I$404,"Vencida"))</f>
        <v>200</v>
      </c>
      <c r="H38" s="24" t="str">
        <f>IF(A38="","",IF(G38&gt;0,"Em atraso",IF(F38&gt;0,"Em dia","Sem parcela em aberto")))</f>
        <v>Em atraso</v>
      </c>
    </row>
    <row r="39">
      <c r="A39" s="33" t="inlineStr">
        <is>
          <t>Mônica Almeida</t>
        </is>
      </c>
      <c r="B39" s="35" t="inlineStr">
        <is>
          <t>(11) 90000-0246</t>
        </is>
      </c>
      <c r="C39" s="24">
        <f>IF(A39="","",COUNTIFS(Parcelas!$A$5:$A$404,A39))</f>
        <v>1</v>
      </c>
      <c r="D39" s="25">
        <f>IF(A39="","",SUMIFS(Parcelas!$F$5:$F$404,Parcelas!$A$5:$A$404,A39))</f>
        <v>400</v>
      </c>
      <c r="E39" s="25">
        <f>IF(A39="","",SUMIFS(Parcelas!$F$5:$F$404,Parcelas!$A$5:$A$404,A39,Parcelas!$I$5:$I$404,"Paga"))</f>
        <v>400</v>
      </c>
      <c r="F39" s="25">
        <f>IF(A39="","",D39-E39)</f>
        <v>0</v>
      </c>
      <c r="G39" s="25">
        <f>IF(A39="","",SUMIFS(Parcelas!$F$5:$F$404,Parcelas!$A$5:$A$404,A39,Parcelas!$I$5:$I$404,"Vencida"))</f>
        <v>0</v>
      </c>
      <c r="H39" s="24" t="str">
        <f>IF(A39="","",IF(G39&gt;0,"Em atraso",IF(F39&gt;0,"Em dia","Sem parcela em aberto")))</f>
        <v>Sem parcela em aberto</v>
      </c>
    </row>
    <row r="40">
      <c r="A40" s="33" t="inlineStr">
        <is>
          <t>Mônica Martins</t>
        </is>
      </c>
      <c r="B40" s="35" t="inlineStr">
        <is>
          <t>(11) 90000-0135</t>
        </is>
      </c>
      <c r="C40" s="24">
        <f>IF(A40="","",COUNTIFS(Parcelas!$A$5:$A$404,A40))</f>
        <v>2</v>
      </c>
      <c r="D40" s="25">
        <f>IF(A40="","",SUMIFS(Parcelas!$F$5:$F$404,Parcelas!$A$5:$A$404,A40))</f>
        <v>380</v>
      </c>
      <c r="E40" s="25">
        <f>IF(A40="","",SUMIFS(Parcelas!$F$5:$F$404,Parcelas!$A$5:$A$404,A40,Parcelas!$I$5:$I$404,"Paga"))</f>
        <v>190</v>
      </c>
      <c r="F40" s="25">
        <f>IF(A40="","",D40-E40)</f>
        <v>190</v>
      </c>
      <c r="G40" s="25">
        <f>IF(A40="","",SUMIFS(Parcelas!$F$5:$F$404,Parcelas!$A$5:$A$404,A40,Parcelas!$I$5:$I$404,"Vencida"))</f>
        <v>190</v>
      </c>
      <c r="H40" s="24" t="str">
        <f>IF(A40="","",IF(G40&gt;0,"Em atraso",IF(F40&gt;0,"Em dia","Sem parcela em aberto")))</f>
        <v>Em atraso</v>
      </c>
    </row>
    <row r="41">
      <c r="A41" s="33" t="inlineStr">
        <is>
          <t>Natália Martins</t>
        </is>
      </c>
      <c r="B41" s="35" t="inlineStr">
        <is>
          <t>(11) 90000-0194</t>
        </is>
      </c>
      <c r="C41" s="24">
        <f>IF(A41="","",COUNTIFS(Parcelas!$A$5:$A$404,A41))</f>
        <v>5</v>
      </c>
      <c r="D41" s="25">
        <f>IF(A41="","",SUMIFS(Parcelas!$F$5:$F$404,Parcelas!$A$5:$A$404,A41))</f>
        <v>1140</v>
      </c>
      <c r="E41" s="25">
        <f>IF(A41="","",SUMIFS(Parcelas!$F$5:$F$404,Parcelas!$A$5:$A$404,A41,Parcelas!$I$5:$I$404,"Paga"))</f>
        <v>1140</v>
      </c>
      <c r="F41" s="25">
        <f>IF(A41="","",D41-E41)</f>
        <v>0</v>
      </c>
      <c r="G41" s="25">
        <f>IF(A41="","",SUMIFS(Parcelas!$F$5:$F$404,Parcelas!$A$5:$A$404,A41,Parcelas!$I$5:$I$404,"Vencida"))</f>
        <v>0</v>
      </c>
      <c r="H41" s="24" t="str">
        <f>IF(A41="","",IF(G41&gt;0,"Em atraso",IF(F41&gt;0,"Em dia","Sem parcela em aberto")))</f>
        <v>Sem parcela em aberto</v>
      </c>
    </row>
    <row r="42">
      <c r="A42" s="33" t="inlineStr">
        <is>
          <t>Otávio Cardoso</t>
        </is>
      </c>
      <c r="B42" s="35" t="inlineStr">
        <is>
          <t>(11) 90000-0139</t>
        </is>
      </c>
      <c r="C42" s="24">
        <f>IF(A42="","",COUNTIFS(Parcelas!$A$5:$A$404,A42))</f>
        <v>4</v>
      </c>
      <c r="D42" s="25">
        <f>IF(A42="","",SUMIFS(Parcelas!$F$5:$F$404,Parcelas!$A$5:$A$404,A42))</f>
        <v>1140</v>
      </c>
      <c r="E42" s="25">
        <f>IF(A42="","",SUMIFS(Parcelas!$F$5:$F$404,Parcelas!$A$5:$A$404,A42,Parcelas!$I$5:$I$404,"Paga"))</f>
        <v>1140</v>
      </c>
      <c r="F42" s="25">
        <f>IF(A42="","",D42-E42)</f>
        <v>0</v>
      </c>
      <c r="G42" s="25">
        <f>IF(A42="","",SUMIFS(Parcelas!$F$5:$F$404,Parcelas!$A$5:$A$404,A42,Parcelas!$I$5:$I$404,"Vencida"))</f>
        <v>0</v>
      </c>
      <c r="H42" s="24" t="str">
        <f>IF(A42="","",IF(G42&gt;0,"Em atraso",IF(F42&gt;0,"Em dia","Sem parcela em aberto")))</f>
        <v>Sem parcela em aberto</v>
      </c>
    </row>
    <row r="43">
      <c r="A43" s="33" t="inlineStr">
        <is>
          <t>Otávio Nascimento</t>
        </is>
      </c>
      <c r="B43" s="35" t="inlineStr">
        <is>
          <t>(11) 90000-0125</t>
        </is>
      </c>
      <c r="C43" s="24">
        <f>IF(A43="","",COUNTIFS(Parcelas!$A$5:$A$404,A43))</f>
        <v>4</v>
      </c>
      <c r="D43" s="25">
        <f>IF(A43="","",SUMIFS(Parcelas!$F$5:$F$404,Parcelas!$A$5:$A$404,A43))</f>
        <v>1480</v>
      </c>
      <c r="E43" s="25">
        <f>IF(A43="","",SUMIFS(Parcelas!$F$5:$F$404,Parcelas!$A$5:$A$404,A43,Parcelas!$I$5:$I$404,"Paga"))</f>
        <v>1480</v>
      </c>
      <c r="F43" s="25">
        <f>IF(A43="","",D43-E43)</f>
        <v>0</v>
      </c>
      <c r="G43" s="25">
        <f>IF(A43="","",SUMIFS(Parcelas!$F$5:$F$404,Parcelas!$A$5:$A$404,A43,Parcelas!$I$5:$I$404,"Vencida"))</f>
        <v>0</v>
      </c>
      <c r="H43" s="24" t="str">
        <f>IF(A43="","",IF(G43&gt;0,"Em atraso",IF(F43&gt;0,"Em dia","Sem parcela em aberto")))</f>
        <v>Sem parcela em aberto</v>
      </c>
    </row>
    <row r="44">
      <c r="A44" s="33" t="inlineStr">
        <is>
          <t>Patrícia Dias</t>
        </is>
      </c>
      <c r="B44" s="35" t="inlineStr">
        <is>
          <t>(11) 90000-0253</t>
        </is>
      </c>
      <c r="C44" s="24">
        <f>IF(A44="","",COUNTIFS(Parcelas!$A$5:$A$404,A44))</f>
        <v>2</v>
      </c>
      <c r="D44" s="25">
        <f>IF(A44="","",SUMIFS(Parcelas!$F$5:$F$404,Parcelas!$A$5:$A$404,A44))</f>
        <v>400</v>
      </c>
      <c r="E44" s="25">
        <f>IF(A44="","",SUMIFS(Parcelas!$F$5:$F$404,Parcelas!$A$5:$A$404,A44,Parcelas!$I$5:$I$404,"Paga"))</f>
        <v>400</v>
      </c>
      <c r="F44" s="25">
        <f>IF(A44="","",D44-E44)</f>
        <v>0</v>
      </c>
      <c r="G44" s="25">
        <f>IF(A44="","",SUMIFS(Parcelas!$F$5:$F$404,Parcelas!$A$5:$A$404,A44,Parcelas!$I$5:$I$404,"Vencida"))</f>
        <v>0</v>
      </c>
      <c r="H44" s="24" t="str">
        <f>IF(A44="","",IF(G44&gt;0,"Em atraso",IF(F44&gt;0,"Em dia","Sem parcela em aberto")))</f>
        <v>Sem parcela em aberto</v>
      </c>
    </row>
    <row r="45">
      <c r="A45" s="33" t="inlineStr">
        <is>
          <t>Patrícia Fernandes</t>
        </is>
      </c>
      <c r="B45" s="35" t="inlineStr">
        <is>
          <t>(11) 90000-0104</t>
        </is>
      </c>
      <c r="C45" s="24">
        <f>IF(A45="","",COUNTIFS(Parcelas!$A$5:$A$404,A45))</f>
        <v>4</v>
      </c>
      <c r="D45" s="25">
        <f>IF(A45="","",SUMIFS(Parcelas!$F$5:$F$404,Parcelas!$A$5:$A$404,A45))</f>
        <v>760</v>
      </c>
      <c r="E45" s="25">
        <f>IF(A45="","",SUMIFS(Parcelas!$F$5:$F$404,Parcelas!$A$5:$A$404,A45,Parcelas!$I$5:$I$404,"Paga"))</f>
        <v>570</v>
      </c>
      <c r="F45" s="25">
        <f>IF(A45="","",D45-E45)</f>
        <v>190</v>
      </c>
      <c r="G45" s="25">
        <f>IF(A45="","",SUMIFS(Parcelas!$F$5:$F$404,Parcelas!$A$5:$A$404,A45,Parcelas!$I$5:$I$404,"Vencida"))</f>
        <v>190</v>
      </c>
      <c r="H45" s="24" t="str">
        <f>IF(A45="","",IF(G45&gt;0,"Em atraso",IF(F45&gt;0,"Em dia","Sem parcela em aberto")))</f>
        <v>Em atraso</v>
      </c>
    </row>
    <row r="46">
      <c r="A46" s="33" t="inlineStr">
        <is>
          <t>Paulo Fernandes</t>
        </is>
      </c>
      <c r="B46" s="35" t="inlineStr">
        <is>
          <t>(11) 90000-0252</t>
        </is>
      </c>
      <c r="C46" s="24">
        <f>IF(A46="","",COUNTIFS(Parcelas!$A$5:$A$404,A46))</f>
        <v>1</v>
      </c>
      <c r="D46" s="25">
        <f>IF(A46="","",SUMIFS(Parcelas!$F$5:$F$404,Parcelas!$A$5:$A$404,A46))</f>
        <v>400</v>
      </c>
      <c r="E46" s="25">
        <f>IF(A46="","",SUMIFS(Parcelas!$F$5:$F$404,Parcelas!$A$5:$A$404,A46,Parcelas!$I$5:$I$404,"Paga"))</f>
        <v>400</v>
      </c>
      <c r="F46" s="25">
        <f>IF(A46="","",D46-E46)</f>
        <v>0</v>
      </c>
      <c r="G46" s="25">
        <f>IF(A46="","",SUMIFS(Parcelas!$F$5:$F$404,Parcelas!$A$5:$A$404,A46,Parcelas!$I$5:$I$404,"Vencida"))</f>
        <v>0</v>
      </c>
      <c r="H46" s="24" t="str">
        <f>IF(A46="","",IF(G46&gt;0,"Em atraso",IF(F46&gt;0,"Em dia","Sem parcela em aberto")))</f>
        <v>Sem parcela em aberto</v>
      </c>
    </row>
    <row r="47">
      <c r="A47" s="33" t="inlineStr">
        <is>
          <t>Paulo Reis</t>
        </is>
      </c>
      <c r="B47" s="35" t="inlineStr">
        <is>
          <t>(11) 90000-0205</t>
        </is>
      </c>
      <c r="C47" s="24">
        <f>IF(A47="","",COUNTIFS(Parcelas!$A$5:$A$404,A47))</f>
        <v>3</v>
      </c>
      <c r="D47" s="25">
        <f>IF(A47="","",SUMIFS(Parcelas!$F$5:$F$404,Parcelas!$A$5:$A$404,A47))</f>
        <v>760</v>
      </c>
      <c r="E47" s="25">
        <f>IF(A47="","",SUMIFS(Parcelas!$F$5:$F$404,Parcelas!$A$5:$A$404,A47,Parcelas!$I$5:$I$404,"Paga"))</f>
        <v>570</v>
      </c>
      <c r="F47" s="25">
        <f>IF(A47="","",D47-E47)</f>
        <v>190</v>
      </c>
      <c r="G47" s="25">
        <f>IF(A47="","",SUMIFS(Parcelas!$F$5:$F$404,Parcelas!$A$5:$A$404,A47,Parcelas!$I$5:$I$404,"Vencida"))</f>
        <v>190</v>
      </c>
      <c r="H47" s="24" t="str">
        <f>IF(A47="","",IF(G47&gt;0,"Em atraso",IF(F47&gt;0,"Em dia","Sem parcela em aberto")))</f>
        <v>Em atraso</v>
      </c>
    </row>
    <row r="48">
      <c r="A48" s="33" t="inlineStr">
        <is>
          <t>Priscila Reis</t>
        </is>
      </c>
      <c r="B48" s="35" t="inlineStr">
        <is>
          <t>(11) 90000-0239</t>
        </is>
      </c>
      <c r="C48" s="24">
        <f>IF(A48="","",COUNTIFS(Parcelas!$A$5:$A$404,A48))</f>
        <v>1</v>
      </c>
      <c r="D48" s="25">
        <f>IF(A48="","",SUMIFS(Parcelas!$F$5:$F$404,Parcelas!$A$5:$A$404,A48))</f>
        <v>400</v>
      </c>
      <c r="E48" s="25">
        <f>IF(A48="","",SUMIFS(Parcelas!$F$5:$F$404,Parcelas!$A$5:$A$404,A48,Parcelas!$I$5:$I$404,"Paga"))</f>
        <v>0</v>
      </c>
      <c r="F48" s="25">
        <f>IF(A48="","",D48-E48)</f>
        <v>400</v>
      </c>
      <c r="G48" s="25">
        <f>IF(A48="","",SUMIFS(Parcelas!$F$5:$F$404,Parcelas!$A$5:$A$404,A48,Parcelas!$I$5:$I$404,"Vencida"))</f>
        <v>400</v>
      </c>
      <c r="H48" s="24" t="str">
        <f>IF(A48="","",IF(G48&gt;0,"Em atraso",IF(F48&gt;0,"Em dia","Sem parcela em aberto")))</f>
        <v>Em atraso</v>
      </c>
    </row>
    <row r="49">
      <c r="A49" s="33" t="inlineStr">
        <is>
          <t>Rafael Barros</t>
        </is>
      </c>
      <c r="B49" s="35" t="inlineStr">
        <is>
          <t>(11) 90000-0209</t>
        </is>
      </c>
      <c r="C49" s="24">
        <f>IF(A49="","",COUNTIFS(Parcelas!$A$5:$A$404,A49))</f>
        <v>4</v>
      </c>
      <c r="D49" s="25">
        <f>IF(A49="","",SUMIFS(Parcelas!$F$5:$F$404,Parcelas!$A$5:$A$404,A49))</f>
        <v>1110</v>
      </c>
      <c r="E49" s="25">
        <f>IF(A49="","",SUMIFS(Parcelas!$F$5:$F$404,Parcelas!$A$5:$A$404,A49,Parcelas!$I$5:$I$404,"Paga"))</f>
        <v>935</v>
      </c>
      <c r="F49" s="25">
        <f>IF(A49="","",D49-E49)</f>
        <v>175</v>
      </c>
      <c r="G49" s="25">
        <f>IF(A49="","",SUMIFS(Parcelas!$F$5:$F$404,Parcelas!$A$5:$A$404,A49,Parcelas!$I$5:$I$404,"Vencida"))</f>
        <v>175</v>
      </c>
      <c r="H49" s="24" t="str">
        <f>IF(A49="","",IF(G49&gt;0,"Em atraso",IF(F49&gt;0,"Em dia","Sem parcela em aberto")))</f>
        <v>Em atraso</v>
      </c>
    </row>
    <row r="50">
      <c r="A50" s="33" t="inlineStr">
        <is>
          <t>Rafael Correia</t>
        </is>
      </c>
      <c r="B50" s="35" t="inlineStr">
        <is>
          <t>(11) 90000-0195</t>
        </is>
      </c>
      <c r="C50" s="24">
        <f>IF(A50="","",COUNTIFS(Parcelas!$A$5:$A$404,A50))</f>
        <v>2</v>
      </c>
      <c r="D50" s="25">
        <f>IF(A50="","",SUMIFS(Parcelas!$F$5:$F$404,Parcelas!$A$5:$A$404,A50))</f>
        <v>380</v>
      </c>
      <c r="E50" s="25">
        <f>IF(A50="","",SUMIFS(Parcelas!$F$5:$F$404,Parcelas!$A$5:$A$404,A50,Parcelas!$I$5:$I$404,"Paga"))</f>
        <v>380</v>
      </c>
      <c r="F50" s="25">
        <f>IF(A50="","",D50-E50)</f>
        <v>0</v>
      </c>
      <c r="G50" s="25">
        <f>IF(A50="","",SUMIFS(Parcelas!$F$5:$F$404,Parcelas!$A$5:$A$404,A50,Parcelas!$I$5:$I$404,"Vencida"))</f>
        <v>0</v>
      </c>
      <c r="H50" s="24" t="str">
        <f>IF(A50="","",IF(G50&gt;0,"Em atraso",IF(F50&gt;0,"Em dia","Sem parcela em aberto")))</f>
        <v>Sem parcela em aberto</v>
      </c>
    </row>
    <row r="51">
      <c r="A51" s="33" t="inlineStr">
        <is>
          <t>Rafael Dias</t>
        </is>
      </c>
      <c r="B51" s="35" t="inlineStr">
        <is>
          <t>(11) 90000-0113</t>
        </is>
      </c>
      <c r="C51" s="24">
        <f>IF(A51="","",COUNTIFS(Parcelas!$A$5:$A$404,A51))</f>
        <v>4</v>
      </c>
      <c r="D51" s="25">
        <f>IF(A51="","",SUMIFS(Parcelas!$F$5:$F$404,Parcelas!$A$5:$A$404,A51))</f>
        <v>760</v>
      </c>
      <c r="E51" s="25">
        <f>IF(A51="","",SUMIFS(Parcelas!$F$5:$F$404,Parcelas!$A$5:$A$404,A51,Parcelas!$I$5:$I$404,"Paga"))</f>
        <v>570</v>
      </c>
      <c r="F51" s="25">
        <f>IF(A51="","",D51-E51)</f>
        <v>190</v>
      </c>
      <c r="G51" s="25">
        <f>IF(A51="","",SUMIFS(Parcelas!$F$5:$F$404,Parcelas!$A$5:$A$404,A51,Parcelas!$I$5:$I$404,"Vencida"))</f>
        <v>190</v>
      </c>
      <c r="H51" s="24" t="str">
        <f>IF(A51="","",IF(G51&gt;0,"Em atraso",IF(F51&gt;0,"Em dia","Sem parcela em aberto")))</f>
        <v>Em atraso</v>
      </c>
    </row>
    <row r="52">
      <c r="A52" s="33" t="inlineStr">
        <is>
          <t>Rafael Pereira</t>
        </is>
      </c>
      <c r="B52" s="35" t="inlineStr">
        <is>
          <t>(11) 90000-0232</t>
        </is>
      </c>
      <c r="C52" s="24">
        <f>IF(A52="","",COUNTIFS(Parcelas!$A$5:$A$404,A52))</f>
        <v>3</v>
      </c>
      <c r="D52" s="25">
        <f>IF(A52="","",SUMIFS(Parcelas!$F$5:$F$404,Parcelas!$A$5:$A$404,A52))</f>
        <v>800</v>
      </c>
      <c r="E52" s="25">
        <f>IF(A52="","",SUMIFS(Parcelas!$F$5:$F$404,Parcelas!$A$5:$A$404,A52,Parcelas!$I$5:$I$404,"Paga"))</f>
        <v>600</v>
      </c>
      <c r="F52" s="25">
        <f>IF(A52="","",D52-E52)</f>
        <v>200</v>
      </c>
      <c r="G52" s="25">
        <f>IF(A52="","",SUMIFS(Parcelas!$F$5:$F$404,Parcelas!$A$5:$A$404,A52,Parcelas!$I$5:$I$404,"Vencida"))</f>
        <v>0</v>
      </c>
      <c r="H52" s="24" t="str">
        <f>IF(A52="","",IF(G52&gt;0,"Em atraso",IF(F52&gt;0,"Em dia","Sem parcela em aberto")))</f>
        <v>Em dia</v>
      </c>
    </row>
    <row r="53">
      <c r="A53" s="33" t="inlineStr">
        <is>
          <t>Regina Duarte</t>
        </is>
      </c>
      <c r="B53" s="35" t="inlineStr">
        <is>
          <t>(11) 90000-0114</t>
        </is>
      </c>
      <c r="C53" s="24">
        <f>IF(A53="","",COUNTIFS(Parcelas!$A$5:$A$404,A53))</f>
        <v>1</v>
      </c>
      <c r="D53" s="25">
        <f>IF(A53="","",SUMIFS(Parcelas!$F$5:$F$404,Parcelas!$A$5:$A$404,A53))</f>
        <v>380</v>
      </c>
      <c r="E53" s="25">
        <f>IF(A53="","",SUMIFS(Parcelas!$F$5:$F$404,Parcelas!$A$5:$A$404,A53,Parcelas!$I$5:$I$404,"Paga"))</f>
        <v>380</v>
      </c>
      <c r="F53" s="25">
        <f>IF(A53="","",D53-E53)</f>
        <v>0</v>
      </c>
      <c r="G53" s="25">
        <f>IF(A53="","",SUMIFS(Parcelas!$F$5:$F$404,Parcelas!$A$5:$A$404,A53,Parcelas!$I$5:$I$404,"Vencida"))</f>
        <v>0</v>
      </c>
      <c r="H53" s="24" t="str">
        <f>IF(A53="","",IF(G53&gt;0,"Em atraso",IF(F53&gt;0,"Em dia","Sem parcela em aberto")))</f>
        <v>Sem parcela em aberto</v>
      </c>
    </row>
    <row r="54">
      <c r="A54" s="33" t="inlineStr">
        <is>
          <t>Regina Macedo</t>
        </is>
      </c>
      <c r="B54" s="35" t="inlineStr">
        <is>
          <t>(11) 90000-0127</t>
        </is>
      </c>
      <c r="C54" s="24">
        <f>IF(A54="","",COUNTIFS(Parcelas!$A$5:$A$404,A54))</f>
        <v>1</v>
      </c>
      <c r="D54" s="25">
        <f>IF(A54="","",SUMIFS(Parcelas!$F$5:$F$404,Parcelas!$A$5:$A$404,A54))</f>
        <v>380</v>
      </c>
      <c r="E54" s="25">
        <f>IF(A54="","",SUMIFS(Parcelas!$F$5:$F$404,Parcelas!$A$5:$A$404,A54,Parcelas!$I$5:$I$404,"Paga"))</f>
        <v>380</v>
      </c>
      <c r="F54" s="25">
        <f>IF(A54="","",D54-E54)</f>
        <v>0</v>
      </c>
      <c r="G54" s="25">
        <f>IF(A54="","",SUMIFS(Parcelas!$F$5:$F$404,Parcelas!$A$5:$A$404,A54,Parcelas!$I$5:$I$404,"Vencida"))</f>
        <v>0</v>
      </c>
      <c r="H54" s="24" t="str">
        <f>IF(A54="","",IF(G54&gt;0,"Em atraso",IF(F54&gt;0,"Em dia","Sem parcela em aberto")))</f>
        <v>Sem parcela em aberto</v>
      </c>
    </row>
    <row r="55">
      <c r="A55" s="33" t="inlineStr">
        <is>
          <t>Regina Teixeira</t>
        </is>
      </c>
      <c r="B55" s="35" t="inlineStr">
        <is>
          <t>(11) 90000-0109</t>
        </is>
      </c>
      <c r="C55" s="24">
        <f>IF(A55="","",COUNTIFS(Parcelas!$A$5:$A$404,A55))</f>
        <v>5</v>
      </c>
      <c r="D55" s="25">
        <f>IF(A55="","",SUMIFS(Parcelas!$F$5:$F$404,Parcelas!$A$5:$A$404,A55))</f>
        <v>1140</v>
      </c>
      <c r="E55" s="25">
        <f>IF(A55="","",SUMIFS(Parcelas!$F$5:$F$404,Parcelas!$A$5:$A$404,A55,Parcelas!$I$5:$I$404,"Paga"))</f>
        <v>1140</v>
      </c>
      <c r="F55" s="25">
        <f>IF(A55="","",D55-E55)</f>
        <v>0</v>
      </c>
      <c r="G55" s="25">
        <f>IF(A55="","",SUMIFS(Parcelas!$F$5:$F$404,Parcelas!$A$5:$A$404,A55,Parcelas!$I$5:$I$404,"Vencida"))</f>
        <v>0</v>
      </c>
      <c r="H55" s="24" t="str">
        <f>IF(A55="","",IF(G55&gt;0,"Em atraso",IF(F55&gt;0,"Em dia","Sem parcela em aberto")))</f>
        <v>Sem parcela em aberto</v>
      </c>
    </row>
    <row r="56">
      <c r="A56" s="33" t="inlineStr">
        <is>
          <t>Renato Dias</t>
        </is>
      </c>
      <c r="B56" s="35" t="inlineStr">
        <is>
          <t>(11) 90000-0146</t>
        </is>
      </c>
      <c r="C56" s="24">
        <f>IF(A56="","",COUNTIFS(Parcelas!$A$5:$A$404,A56))</f>
        <v>2</v>
      </c>
      <c r="D56" s="25">
        <f>IF(A56="","",SUMIFS(Parcelas!$F$5:$F$404,Parcelas!$A$5:$A$404,A56))</f>
        <v>730</v>
      </c>
      <c r="E56" s="25">
        <f>IF(A56="","",SUMIFS(Parcelas!$F$5:$F$404,Parcelas!$A$5:$A$404,A56,Parcelas!$I$5:$I$404,"Paga"))</f>
        <v>380</v>
      </c>
      <c r="F56" s="25">
        <f>IF(A56="","",D56-E56)</f>
        <v>350</v>
      </c>
      <c r="G56" s="25">
        <f>IF(A56="","",SUMIFS(Parcelas!$F$5:$F$404,Parcelas!$A$5:$A$404,A56,Parcelas!$I$5:$I$404,"Vencida"))</f>
        <v>0</v>
      </c>
      <c r="H56" s="24" t="str">
        <f>IF(A56="","",IF(G56&gt;0,"Em atraso",IF(F56&gt;0,"Em dia","Sem parcela em aberto")))</f>
        <v>Em dia</v>
      </c>
    </row>
    <row r="57">
      <c r="A57" s="33" t="inlineStr">
        <is>
          <t>Roberta Araújo</t>
        </is>
      </c>
      <c r="B57" s="35" t="inlineStr">
        <is>
          <t>(11) 90000-0158</t>
        </is>
      </c>
      <c r="C57" s="24">
        <f>IF(A57="","",COUNTIFS(Parcelas!$A$5:$A$404,A57))</f>
        <v>3</v>
      </c>
      <c r="D57" s="25">
        <f>IF(A57="","",SUMIFS(Parcelas!$F$5:$F$404,Parcelas!$A$5:$A$404,A57))</f>
        <v>1310</v>
      </c>
      <c r="E57" s="25">
        <f>IF(A57="","",SUMIFS(Parcelas!$F$5:$F$404,Parcelas!$A$5:$A$404,A57,Parcelas!$I$5:$I$404,"Paga"))</f>
        <v>1310</v>
      </c>
      <c r="F57" s="25">
        <f>IF(A57="","",D57-E57)</f>
        <v>0</v>
      </c>
      <c r="G57" s="25">
        <f>IF(A57="","",SUMIFS(Parcelas!$F$5:$F$404,Parcelas!$A$5:$A$404,A57,Parcelas!$I$5:$I$404,"Vencida"))</f>
        <v>0</v>
      </c>
      <c r="H57" s="24" t="str">
        <f>IF(A57="","",IF(G57&gt;0,"Em atraso",IF(F57&gt;0,"Em dia","Sem parcela em aberto")))</f>
        <v>Sem parcela em aberto</v>
      </c>
    </row>
    <row r="58">
      <c r="A58" s="33" t="inlineStr">
        <is>
          <t>Roberta Lima</t>
        </is>
      </c>
      <c r="B58" s="35" t="inlineStr">
        <is>
          <t>(11) 90000-0234</t>
        </is>
      </c>
      <c r="C58" s="24">
        <f>IF(A58="","",COUNTIFS(Parcelas!$A$5:$A$404,A58))</f>
        <v>3</v>
      </c>
      <c r="D58" s="25">
        <f>IF(A58="","",SUMIFS(Parcelas!$F$5:$F$404,Parcelas!$A$5:$A$404,A58))</f>
        <v>800</v>
      </c>
      <c r="E58" s="25">
        <f>IF(A58="","",SUMIFS(Parcelas!$F$5:$F$404,Parcelas!$A$5:$A$404,A58,Parcelas!$I$5:$I$404,"Paga"))</f>
        <v>800</v>
      </c>
      <c r="F58" s="25">
        <f>IF(A58="","",D58-E58)</f>
        <v>0</v>
      </c>
      <c r="G58" s="25">
        <f>IF(A58="","",SUMIFS(Parcelas!$F$5:$F$404,Parcelas!$A$5:$A$404,A58,Parcelas!$I$5:$I$404,"Vencida"))</f>
        <v>0</v>
      </c>
      <c r="H58" s="24" t="str">
        <f>IF(A58="","",IF(G58&gt;0,"Em atraso",IF(F58&gt;0,"Em dia","Sem parcela em aberto")))</f>
        <v>Sem parcela em aberto</v>
      </c>
    </row>
    <row r="59">
      <c r="A59" s="33" t="inlineStr">
        <is>
          <t>Rodrigo Moreira</t>
        </is>
      </c>
      <c r="B59" s="35" t="inlineStr">
        <is>
          <t>(11) 90000-0153</t>
        </is>
      </c>
      <c r="C59" s="24">
        <f>IF(A59="","",COUNTIFS(Parcelas!$A$5:$A$404,A59))</f>
        <v>4</v>
      </c>
      <c r="D59" s="25">
        <f>IF(A59="","",SUMIFS(Parcelas!$F$5:$F$404,Parcelas!$A$5:$A$404,A59))</f>
        <v>830</v>
      </c>
      <c r="E59" s="25">
        <f>IF(A59="","",SUMIFS(Parcelas!$F$5:$F$404,Parcelas!$A$5:$A$404,A59,Parcelas!$I$5:$I$404,"Paga"))</f>
        <v>605</v>
      </c>
      <c r="F59" s="25">
        <f>IF(A59="","",D59-E59)</f>
        <v>225</v>
      </c>
      <c r="G59" s="25">
        <f>IF(A59="","",SUMIFS(Parcelas!$F$5:$F$404,Parcelas!$A$5:$A$404,A59,Parcelas!$I$5:$I$404,"Vencida"))</f>
        <v>0</v>
      </c>
      <c r="H59" s="24" t="str">
        <f>IF(A59="","",IF(G59&gt;0,"Em atraso",IF(F59&gt;0,"Em dia","Sem parcela em aberto")))</f>
        <v>Em dia</v>
      </c>
    </row>
    <row r="60">
      <c r="A60" s="33" t="inlineStr">
        <is>
          <t>Sérgio Martins</t>
        </is>
      </c>
      <c r="B60" s="35" t="inlineStr">
        <is>
          <t>(11) 90000-0134</t>
        </is>
      </c>
      <c r="C60" s="24">
        <f>IF(A60="","",COUNTIFS(Parcelas!$A$5:$A$404,A60))</f>
        <v>3</v>
      </c>
      <c r="D60" s="25">
        <f>IF(A60="","",SUMIFS(Parcelas!$F$5:$F$404,Parcelas!$A$5:$A$404,A60))</f>
        <v>760</v>
      </c>
      <c r="E60" s="25">
        <f>IF(A60="","",SUMIFS(Parcelas!$F$5:$F$404,Parcelas!$A$5:$A$404,A60,Parcelas!$I$5:$I$404,"Paga"))</f>
        <v>190</v>
      </c>
      <c r="F60" s="25">
        <f>IF(A60="","",D60-E60)</f>
        <v>570</v>
      </c>
      <c r="G60" s="25">
        <f>IF(A60="","",SUMIFS(Parcelas!$F$5:$F$404,Parcelas!$A$5:$A$404,A60,Parcelas!$I$5:$I$404,"Vencida"))</f>
        <v>0</v>
      </c>
      <c r="H60" s="24" t="str">
        <f>IF(A60="","",IF(G60&gt;0,"Em atraso",IF(F60&gt;0,"Em dia","Sem parcela em aberto")))</f>
        <v>Em dia</v>
      </c>
    </row>
    <row r="61">
      <c r="A61" s="33" t="inlineStr">
        <is>
          <t>Tatiana Macedo</t>
        </is>
      </c>
      <c r="B61" s="35" t="inlineStr">
        <is>
          <t>(11) 90000-0240</t>
        </is>
      </c>
      <c r="C61" s="24">
        <f>IF(A61="","",COUNTIFS(Parcelas!$A$5:$A$404,A61))</f>
        <v>1</v>
      </c>
      <c r="D61" s="25">
        <f>IF(A61="","",SUMIFS(Parcelas!$F$5:$F$404,Parcelas!$A$5:$A$404,A61))</f>
        <v>400</v>
      </c>
      <c r="E61" s="25">
        <f>IF(A61="","",SUMIFS(Parcelas!$F$5:$F$404,Parcelas!$A$5:$A$404,A61,Parcelas!$I$5:$I$404,"Paga"))</f>
        <v>0</v>
      </c>
      <c r="F61" s="25">
        <f>IF(A61="","",D61-E61)</f>
        <v>400</v>
      </c>
      <c r="G61" s="25">
        <f>IF(A61="","",SUMIFS(Parcelas!$F$5:$F$404,Parcelas!$A$5:$A$404,A61,Parcelas!$I$5:$I$404,"Vencida"))</f>
        <v>0</v>
      </c>
      <c r="H61" s="24" t="str">
        <f>IF(A61="","",IF(G61&gt;0,"Em atraso",IF(F61&gt;0,"Em dia","Sem parcela em aberto")))</f>
        <v>Em dia</v>
      </c>
    </row>
    <row r="62">
      <c r="A62" s="33" t="inlineStr">
        <is>
          <t>Viviane Ribeiro</t>
        </is>
      </c>
      <c r="B62" s="35" t="inlineStr">
        <is>
          <t>(11) 90000-0168</t>
        </is>
      </c>
      <c r="C62" s="24">
        <f>IF(A62="","",COUNTIFS(Parcelas!$A$5:$A$404,A62))</f>
        <v>2</v>
      </c>
      <c r="D62" s="25">
        <f>IF(A62="","",SUMIFS(Parcelas!$F$5:$F$404,Parcelas!$A$5:$A$404,A62))</f>
        <v>380</v>
      </c>
      <c r="E62" s="25">
        <f>IF(A62="","",SUMIFS(Parcelas!$F$5:$F$404,Parcelas!$A$5:$A$404,A62,Parcelas!$I$5:$I$404,"Paga"))</f>
        <v>380</v>
      </c>
      <c r="F62" s="25">
        <f>IF(A62="","",D62-E62)</f>
        <v>0</v>
      </c>
      <c r="G62" s="25">
        <f>IF(A62="","",SUMIFS(Parcelas!$F$5:$F$404,Parcelas!$A$5:$A$404,A62,Parcelas!$I$5:$I$404,"Vencida"))</f>
        <v>0</v>
      </c>
      <c r="H62" s="24" t="str">
        <f>IF(A62="","",IF(G62&gt;0,"Em atraso",IF(F62&gt;0,"Em dia","Sem parcela em aberto")))</f>
        <v>Sem parcela em aberto</v>
      </c>
    </row>
    <row r="63">
      <c r="A63" s="33" t="inlineStr">
        <is>
          <t>Wagner Costa</t>
        </is>
      </c>
      <c r="B63" s="35" t="inlineStr">
        <is>
          <t>(11) 90000-0207</t>
        </is>
      </c>
      <c r="C63" s="24">
        <f>IF(A63="","",COUNTIFS(Parcelas!$A$5:$A$404,A63))</f>
        <v>1</v>
      </c>
      <c r="D63" s="25">
        <f>IF(A63="","",SUMIFS(Parcelas!$F$5:$F$404,Parcelas!$A$5:$A$404,A63))</f>
        <v>380</v>
      </c>
      <c r="E63" s="25">
        <f>IF(A63="","",SUMIFS(Parcelas!$F$5:$F$404,Parcelas!$A$5:$A$404,A63,Parcelas!$I$5:$I$404,"Paga"))</f>
        <v>380</v>
      </c>
      <c r="F63" s="25">
        <f>IF(A63="","",D63-E63)</f>
        <v>0</v>
      </c>
      <c r="G63" s="25">
        <f>IF(A63="","",SUMIFS(Parcelas!$F$5:$F$404,Parcelas!$A$5:$A$404,A63,Parcelas!$I$5:$I$404,"Vencida"))</f>
        <v>0</v>
      </c>
      <c r="H63" s="24" t="str">
        <f>IF(A63="","",IF(G63&gt;0,"Em atraso",IF(F63&gt;0,"Em dia","Sem parcela em aberto")))</f>
        <v>Sem parcela em aberto</v>
      </c>
    </row>
    <row r="64">
      <c r="A64" s="33" t="inlineStr">
        <is>
          <t>Wagner Lima</t>
        </is>
      </c>
      <c r="B64" s="35" t="inlineStr">
        <is>
          <t>(11) 90000-0137</t>
        </is>
      </c>
      <c r="C64" s="24">
        <f>IF(A64="","",COUNTIFS(Parcelas!$A$5:$A$404,A64))</f>
        <v>4</v>
      </c>
      <c r="D64" s="25">
        <f>IF(A64="","",SUMIFS(Parcelas!$F$5:$F$404,Parcelas!$A$5:$A$404,A64))</f>
        <v>1310</v>
      </c>
      <c r="E64" s="25">
        <f>IF(A64="","",SUMIFS(Parcelas!$F$5:$F$404,Parcelas!$A$5:$A$404,A64,Parcelas!$I$5:$I$404,"Paga"))</f>
        <v>1310</v>
      </c>
      <c r="F64" s="25">
        <f>IF(A64="","",D64-E64)</f>
        <v>0</v>
      </c>
      <c r="G64" s="25">
        <f>IF(A64="","",SUMIFS(Parcelas!$F$5:$F$404,Parcelas!$A$5:$A$404,A64,Parcelas!$I$5:$I$404,"Vencida"))</f>
        <v>0</v>
      </c>
      <c r="H64" s="24" t="str">
        <f>IF(A64="","",IF(G64&gt;0,"Em atraso",IF(F64&gt;0,"Em dia","Sem parcela em aberto")))</f>
        <v>Sem parcela em aberto</v>
      </c>
    </row>
    <row r="65">
      <c r="A65" s="33" t="n"/>
      <c r="B65" s="35" t="n"/>
      <c r="C65" s="24">
        <f>IF(A65="","",COUNTIFS(Parcelas!$A$5:$A$404,A65))</f>
        <v/>
      </c>
      <c r="D65" s="25">
        <f>IF(A65="","",SUMIFS(Parcelas!$F$5:$F$404,Parcelas!$A$5:$A$404,A65))</f>
        <v/>
      </c>
      <c r="E65" s="25">
        <f>IF(A65="","",SUMIFS(Parcelas!$F$5:$F$404,Parcelas!$A$5:$A$404,A65,Parcelas!$I$5:$I$404,"Paga"))</f>
        <v/>
      </c>
      <c r="F65" s="25">
        <f>IF(A65="","",D65-E65)</f>
        <v/>
      </c>
      <c r="G65" s="25">
        <f>IF(A65="","",SUMIFS(Parcelas!$F$5:$F$404,Parcelas!$A$5:$A$404,A65,Parcelas!$I$5:$I$404,"Vencida"))</f>
        <v/>
      </c>
      <c r="H65" s="24">
        <f>IF(A65="","",IF(G65&gt;0,"Em atraso",IF(F65&gt;0,"Em dia","Sem parcela em aberto")))</f>
        <v/>
      </c>
    </row>
    <row r="66">
      <c r="A66" s="33" t="n"/>
      <c r="B66" s="35" t="n"/>
      <c r="C66" s="24">
        <f>IF(A66="","",COUNTIFS(Parcelas!$A$5:$A$404,A66))</f>
        <v/>
      </c>
      <c r="D66" s="25">
        <f>IF(A66="","",SUMIFS(Parcelas!$F$5:$F$404,Parcelas!$A$5:$A$404,A66))</f>
        <v/>
      </c>
      <c r="E66" s="25">
        <f>IF(A66="","",SUMIFS(Parcelas!$F$5:$F$404,Parcelas!$A$5:$A$404,A66,Parcelas!$I$5:$I$404,"Paga"))</f>
        <v/>
      </c>
      <c r="F66" s="25">
        <f>IF(A66="","",D66-E66)</f>
        <v/>
      </c>
      <c r="G66" s="25">
        <f>IF(A66="","",SUMIFS(Parcelas!$F$5:$F$404,Parcelas!$A$5:$A$404,A66,Parcelas!$I$5:$I$404,"Vencida"))</f>
        <v/>
      </c>
      <c r="H66" s="24">
        <f>IF(A66="","",IF(G66&gt;0,"Em atraso",IF(F66&gt;0,"Em dia","Sem parcela em aberto")))</f>
        <v/>
      </c>
    </row>
    <row r="67">
      <c r="A67" s="33" t="n"/>
      <c r="B67" s="35" t="n"/>
      <c r="C67" s="24">
        <f>IF(A67="","",COUNTIFS(Parcelas!$A$5:$A$404,A67))</f>
        <v/>
      </c>
      <c r="D67" s="25">
        <f>IF(A67="","",SUMIFS(Parcelas!$F$5:$F$404,Parcelas!$A$5:$A$404,A67))</f>
        <v/>
      </c>
      <c r="E67" s="25">
        <f>IF(A67="","",SUMIFS(Parcelas!$F$5:$F$404,Parcelas!$A$5:$A$404,A67,Parcelas!$I$5:$I$404,"Paga"))</f>
        <v/>
      </c>
      <c r="F67" s="25">
        <f>IF(A67="","",D67-E67)</f>
        <v/>
      </c>
      <c r="G67" s="25">
        <f>IF(A67="","",SUMIFS(Parcelas!$F$5:$F$404,Parcelas!$A$5:$A$404,A67,Parcelas!$I$5:$I$404,"Vencida"))</f>
        <v/>
      </c>
      <c r="H67" s="24">
        <f>IF(A67="","",IF(G67&gt;0,"Em atraso",IF(F67&gt;0,"Em dia","Sem parcela em aberto")))</f>
        <v/>
      </c>
    </row>
    <row r="68">
      <c r="A68" s="33" t="n"/>
      <c r="B68" s="35" t="n"/>
      <c r="C68" s="24">
        <f>IF(A68="","",COUNTIFS(Parcelas!$A$5:$A$404,A68))</f>
        <v/>
      </c>
      <c r="D68" s="25">
        <f>IF(A68="","",SUMIFS(Parcelas!$F$5:$F$404,Parcelas!$A$5:$A$404,A68))</f>
        <v/>
      </c>
      <c r="E68" s="25">
        <f>IF(A68="","",SUMIFS(Parcelas!$F$5:$F$404,Parcelas!$A$5:$A$404,A68,Parcelas!$I$5:$I$404,"Paga"))</f>
        <v/>
      </c>
      <c r="F68" s="25">
        <f>IF(A68="","",D68-E68)</f>
        <v/>
      </c>
      <c r="G68" s="25">
        <f>IF(A68="","",SUMIFS(Parcelas!$F$5:$F$404,Parcelas!$A$5:$A$404,A68,Parcelas!$I$5:$I$404,"Vencida"))</f>
        <v/>
      </c>
      <c r="H68" s="24">
        <f>IF(A68="","",IF(G68&gt;0,"Em atraso",IF(F68&gt;0,"Em dia","Sem parcela em aberto")))</f>
        <v/>
      </c>
    </row>
    <row r="69">
      <c r="A69" s="33" t="n"/>
      <c r="B69" s="35" t="n"/>
      <c r="C69" s="24">
        <f>IF(A69="","",COUNTIFS(Parcelas!$A$5:$A$404,A69))</f>
        <v/>
      </c>
      <c r="D69" s="25">
        <f>IF(A69="","",SUMIFS(Parcelas!$F$5:$F$404,Parcelas!$A$5:$A$404,A69))</f>
        <v/>
      </c>
      <c r="E69" s="25">
        <f>IF(A69="","",SUMIFS(Parcelas!$F$5:$F$404,Parcelas!$A$5:$A$404,A69,Parcelas!$I$5:$I$404,"Paga"))</f>
        <v/>
      </c>
      <c r="F69" s="25">
        <f>IF(A69="","",D69-E69)</f>
        <v/>
      </c>
      <c r="G69" s="25">
        <f>IF(A69="","",SUMIFS(Parcelas!$F$5:$F$404,Parcelas!$A$5:$A$404,A69,Parcelas!$I$5:$I$404,"Vencida"))</f>
        <v/>
      </c>
      <c r="H69" s="24">
        <f>IF(A69="","",IF(G69&gt;0,"Em atraso",IF(F69&gt;0,"Em dia","Sem parcela em aberto")))</f>
        <v/>
      </c>
    </row>
    <row r="70">
      <c r="A70" s="33" t="n"/>
      <c r="B70" s="35" t="n"/>
      <c r="C70" s="24">
        <f>IF(A70="","",COUNTIFS(Parcelas!$A$5:$A$404,A70))</f>
        <v/>
      </c>
      <c r="D70" s="25">
        <f>IF(A70="","",SUMIFS(Parcelas!$F$5:$F$404,Parcelas!$A$5:$A$404,A70))</f>
        <v/>
      </c>
      <c r="E70" s="25">
        <f>IF(A70="","",SUMIFS(Parcelas!$F$5:$F$404,Parcelas!$A$5:$A$404,A70,Parcelas!$I$5:$I$404,"Paga"))</f>
        <v/>
      </c>
      <c r="F70" s="25">
        <f>IF(A70="","",D70-E70)</f>
        <v/>
      </c>
      <c r="G70" s="25">
        <f>IF(A70="","",SUMIFS(Parcelas!$F$5:$F$404,Parcelas!$A$5:$A$404,A70,Parcelas!$I$5:$I$404,"Vencida"))</f>
        <v/>
      </c>
      <c r="H70" s="24">
        <f>IF(A70="","",IF(G70&gt;0,"Em atraso",IF(F70&gt;0,"Em dia","Sem parcela em aberto")))</f>
        <v/>
      </c>
    </row>
    <row r="71">
      <c r="A71" s="33" t="n"/>
      <c r="B71" s="35" t="n"/>
      <c r="C71" s="24">
        <f>IF(A71="","",COUNTIFS(Parcelas!$A$5:$A$404,A71))</f>
        <v/>
      </c>
      <c r="D71" s="25">
        <f>IF(A71="","",SUMIFS(Parcelas!$F$5:$F$404,Parcelas!$A$5:$A$404,A71))</f>
        <v/>
      </c>
      <c r="E71" s="25">
        <f>IF(A71="","",SUMIFS(Parcelas!$F$5:$F$404,Parcelas!$A$5:$A$404,A71,Parcelas!$I$5:$I$404,"Paga"))</f>
        <v/>
      </c>
      <c r="F71" s="25">
        <f>IF(A71="","",D71-E71)</f>
        <v/>
      </c>
      <c r="G71" s="25">
        <f>IF(A71="","",SUMIFS(Parcelas!$F$5:$F$404,Parcelas!$A$5:$A$404,A71,Parcelas!$I$5:$I$404,"Vencida"))</f>
        <v/>
      </c>
      <c r="H71" s="24">
        <f>IF(A71="","",IF(G71&gt;0,"Em atraso",IF(F71&gt;0,"Em dia","Sem parcela em aberto")))</f>
        <v/>
      </c>
    </row>
    <row r="72">
      <c r="A72" s="33" t="n"/>
      <c r="B72" s="35" t="n"/>
      <c r="C72" s="24">
        <f>IF(A72="","",COUNTIFS(Parcelas!$A$5:$A$404,A72))</f>
        <v/>
      </c>
      <c r="D72" s="25">
        <f>IF(A72="","",SUMIFS(Parcelas!$F$5:$F$404,Parcelas!$A$5:$A$404,A72))</f>
        <v/>
      </c>
      <c r="E72" s="25">
        <f>IF(A72="","",SUMIFS(Parcelas!$F$5:$F$404,Parcelas!$A$5:$A$404,A72,Parcelas!$I$5:$I$404,"Paga"))</f>
        <v/>
      </c>
      <c r="F72" s="25">
        <f>IF(A72="","",D72-E72)</f>
        <v/>
      </c>
      <c r="G72" s="25">
        <f>IF(A72="","",SUMIFS(Parcelas!$F$5:$F$404,Parcelas!$A$5:$A$404,A72,Parcelas!$I$5:$I$404,"Vencida"))</f>
        <v/>
      </c>
      <c r="H72" s="24">
        <f>IF(A72="","",IF(G72&gt;0,"Em atraso",IF(F72&gt;0,"Em dia","Sem parcela em aberto")))</f>
        <v/>
      </c>
    </row>
    <row r="73">
      <c r="A73" s="33" t="n"/>
      <c r="B73" s="35" t="n"/>
      <c r="C73" s="24">
        <f>IF(A73="","",COUNTIFS(Parcelas!$A$5:$A$404,A73))</f>
        <v/>
      </c>
      <c r="D73" s="25">
        <f>IF(A73="","",SUMIFS(Parcelas!$F$5:$F$404,Parcelas!$A$5:$A$404,A73))</f>
        <v/>
      </c>
      <c r="E73" s="25">
        <f>IF(A73="","",SUMIFS(Parcelas!$F$5:$F$404,Parcelas!$A$5:$A$404,A73,Parcelas!$I$5:$I$404,"Paga"))</f>
        <v/>
      </c>
      <c r="F73" s="25">
        <f>IF(A73="","",D73-E73)</f>
        <v/>
      </c>
      <c r="G73" s="25">
        <f>IF(A73="","",SUMIFS(Parcelas!$F$5:$F$404,Parcelas!$A$5:$A$404,A73,Parcelas!$I$5:$I$404,"Vencida"))</f>
        <v/>
      </c>
      <c r="H73" s="24">
        <f>IF(A73="","",IF(G73&gt;0,"Em atraso",IF(F73&gt;0,"Em dia","Sem parcela em aberto")))</f>
        <v/>
      </c>
    </row>
    <row r="74">
      <c r="A74" s="33" t="n"/>
      <c r="B74" s="35" t="n"/>
      <c r="C74" s="24">
        <f>IF(A74="","",COUNTIFS(Parcelas!$A$5:$A$404,A74))</f>
        <v/>
      </c>
      <c r="D74" s="25">
        <f>IF(A74="","",SUMIFS(Parcelas!$F$5:$F$404,Parcelas!$A$5:$A$404,A74))</f>
        <v/>
      </c>
      <c r="E74" s="25">
        <f>IF(A74="","",SUMIFS(Parcelas!$F$5:$F$404,Parcelas!$A$5:$A$404,A74,Parcelas!$I$5:$I$404,"Paga"))</f>
        <v/>
      </c>
      <c r="F74" s="25">
        <f>IF(A74="","",D74-E74)</f>
        <v/>
      </c>
      <c r="G74" s="25">
        <f>IF(A74="","",SUMIFS(Parcelas!$F$5:$F$404,Parcelas!$A$5:$A$404,A74,Parcelas!$I$5:$I$404,"Vencida"))</f>
        <v/>
      </c>
      <c r="H74" s="24">
        <f>IF(A74="","",IF(G74&gt;0,"Em atraso",IF(F74&gt;0,"Em dia","Sem parcela em aberto")))</f>
        <v/>
      </c>
    </row>
    <row r="75">
      <c r="A75" s="33" t="n"/>
      <c r="B75" s="35" t="n"/>
      <c r="C75" s="24">
        <f>IF(A75="","",COUNTIFS(Parcelas!$A$5:$A$404,A75))</f>
        <v/>
      </c>
      <c r="D75" s="25">
        <f>IF(A75="","",SUMIFS(Parcelas!$F$5:$F$404,Parcelas!$A$5:$A$404,A75))</f>
        <v/>
      </c>
      <c r="E75" s="25">
        <f>IF(A75="","",SUMIFS(Parcelas!$F$5:$F$404,Parcelas!$A$5:$A$404,A75,Parcelas!$I$5:$I$404,"Paga"))</f>
        <v/>
      </c>
      <c r="F75" s="25">
        <f>IF(A75="","",D75-E75)</f>
        <v/>
      </c>
      <c r="G75" s="25">
        <f>IF(A75="","",SUMIFS(Parcelas!$F$5:$F$404,Parcelas!$A$5:$A$404,A75,Parcelas!$I$5:$I$404,"Vencida"))</f>
        <v/>
      </c>
      <c r="H75" s="24">
        <f>IF(A75="","",IF(G75&gt;0,"Em atraso",IF(F75&gt;0,"Em dia","Sem parcela em aberto")))</f>
        <v/>
      </c>
    </row>
    <row r="76">
      <c r="A76" s="33" t="n"/>
      <c r="B76" s="35" t="n"/>
      <c r="C76" s="24">
        <f>IF(A76="","",COUNTIFS(Parcelas!$A$5:$A$404,A76))</f>
        <v/>
      </c>
      <c r="D76" s="25">
        <f>IF(A76="","",SUMIFS(Parcelas!$F$5:$F$404,Parcelas!$A$5:$A$404,A76))</f>
        <v/>
      </c>
      <c r="E76" s="25">
        <f>IF(A76="","",SUMIFS(Parcelas!$F$5:$F$404,Parcelas!$A$5:$A$404,A76,Parcelas!$I$5:$I$404,"Paga"))</f>
        <v/>
      </c>
      <c r="F76" s="25">
        <f>IF(A76="","",D76-E76)</f>
        <v/>
      </c>
      <c r="G76" s="25">
        <f>IF(A76="","",SUMIFS(Parcelas!$F$5:$F$404,Parcelas!$A$5:$A$404,A76,Parcelas!$I$5:$I$404,"Vencida"))</f>
        <v/>
      </c>
      <c r="H76" s="24">
        <f>IF(A76="","",IF(G76&gt;0,"Em atraso",IF(F76&gt;0,"Em dia","Sem parcela em aberto")))</f>
        <v/>
      </c>
    </row>
    <row r="77">
      <c r="A77" s="33" t="n"/>
      <c r="B77" s="35" t="n"/>
      <c r="C77" s="24">
        <f>IF(A77="","",COUNTIFS(Parcelas!$A$5:$A$404,A77))</f>
        <v/>
      </c>
      <c r="D77" s="25">
        <f>IF(A77="","",SUMIFS(Parcelas!$F$5:$F$404,Parcelas!$A$5:$A$404,A77))</f>
        <v/>
      </c>
      <c r="E77" s="25">
        <f>IF(A77="","",SUMIFS(Parcelas!$F$5:$F$404,Parcelas!$A$5:$A$404,A77,Parcelas!$I$5:$I$404,"Paga"))</f>
        <v/>
      </c>
      <c r="F77" s="25">
        <f>IF(A77="","",D77-E77)</f>
        <v/>
      </c>
      <c r="G77" s="25">
        <f>IF(A77="","",SUMIFS(Parcelas!$F$5:$F$404,Parcelas!$A$5:$A$404,A77,Parcelas!$I$5:$I$404,"Vencida"))</f>
        <v/>
      </c>
      <c r="H77" s="24">
        <f>IF(A77="","",IF(G77&gt;0,"Em atraso",IF(F77&gt;0,"Em dia","Sem parcela em aberto")))</f>
        <v/>
      </c>
    </row>
    <row r="78">
      <c r="A78" s="33" t="n"/>
      <c r="B78" s="35" t="n"/>
      <c r="C78" s="24">
        <f>IF(A78="","",COUNTIFS(Parcelas!$A$5:$A$404,A78))</f>
        <v/>
      </c>
      <c r="D78" s="25">
        <f>IF(A78="","",SUMIFS(Parcelas!$F$5:$F$404,Parcelas!$A$5:$A$404,A78))</f>
        <v/>
      </c>
      <c r="E78" s="25">
        <f>IF(A78="","",SUMIFS(Parcelas!$F$5:$F$404,Parcelas!$A$5:$A$404,A78,Parcelas!$I$5:$I$404,"Paga"))</f>
        <v/>
      </c>
      <c r="F78" s="25">
        <f>IF(A78="","",D78-E78)</f>
        <v/>
      </c>
      <c r="G78" s="25">
        <f>IF(A78="","",SUMIFS(Parcelas!$F$5:$F$404,Parcelas!$A$5:$A$404,A78,Parcelas!$I$5:$I$404,"Vencida"))</f>
        <v/>
      </c>
      <c r="H78" s="24">
        <f>IF(A78="","",IF(G78&gt;0,"Em atraso",IF(F78&gt;0,"Em dia","Sem parcela em aberto")))</f>
        <v/>
      </c>
    </row>
    <row r="79">
      <c r="A79" s="33" t="n"/>
      <c r="B79" s="35" t="n"/>
      <c r="C79" s="24">
        <f>IF(A79="","",COUNTIFS(Parcelas!$A$5:$A$404,A79))</f>
        <v/>
      </c>
      <c r="D79" s="25">
        <f>IF(A79="","",SUMIFS(Parcelas!$F$5:$F$404,Parcelas!$A$5:$A$404,A79))</f>
        <v/>
      </c>
      <c r="E79" s="25">
        <f>IF(A79="","",SUMIFS(Parcelas!$F$5:$F$404,Parcelas!$A$5:$A$404,A79,Parcelas!$I$5:$I$404,"Paga"))</f>
        <v/>
      </c>
      <c r="F79" s="25">
        <f>IF(A79="","",D79-E79)</f>
        <v/>
      </c>
      <c r="G79" s="25">
        <f>IF(A79="","",SUMIFS(Parcelas!$F$5:$F$404,Parcelas!$A$5:$A$404,A79,Parcelas!$I$5:$I$404,"Vencida"))</f>
        <v/>
      </c>
      <c r="H79" s="24">
        <f>IF(A79="","",IF(G79&gt;0,"Em atraso",IF(F79&gt;0,"Em dia","Sem parcela em aberto")))</f>
        <v/>
      </c>
    </row>
    <row r="80">
      <c r="A80" s="33" t="n"/>
      <c r="B80" s="35" t="n"/>
      <c r="C80" s="24">
        <f>IF(A80="","",COUNTIFS(Parcelas!$A$5:$A$404,A80))</f>
        <v/>
      </c>
      <c r="D80" s="25">
        <f>IF(A80="","",SUMIFS(Parcelas!$F$5:$F$404,Parcelas!$A$5:$A$404,A80))</f>
        <v/>
      </c>
      <c r="E80" s="25">
        <f>IF(A80="","",SUMIFS(Parcelas!$F$5:$F$404,Parcelas!$A$5:$A$404,A80,Parcelas!$I$5:$I$404,"Paga"))</f>
        <v/>
      </c>
      <c r="F80" s="25">
        <f>IF(A80="","",D80-E80)</f>
        <v/>
      </c>
      <c r="G80" s="25">
        <f>IF(A80="","",SUMIFS(Parcelas!$F$5:$F$404,Parcelas!$A$5:$A$404,A80,Parcelas!$I$5:$I$404,"Vencida"))</f>
        <v/>
      </c>
      <c r="H80" s="24">
        <f>IF(A80="","",IF(G80&gt;0,"Em atraso",IF(F80&gt;0,"Em dia","Sem parcela em aberto")))</f>
        <v/>
      </c>
    </row>
    <row r="81">
      <c r="A81" s="33" t="n"/>
      <c r="B81" s="35" t="n"/>
      <c r="C81" s="24">
        <f>IF(A81="","",COUNTIFS(Parcelas!$A$5:$A$404,A81))</f>
        <v/>
      </c>
      <c r="D81" s="25">
        <f>IF(A81="","",SUMIFS(Parcelas!$F$5:$F$404,Parcelas!$A$5:$A$404,A81))</f>
        <v/>
      </c>
      <c r="E81" s="25">
        <f>IF(A81="","",SUMIFS(Parcelas!$F$5:$F$404,Parcelas!$A$5:$A$404,A81,Parcelas!$I$5:$I$404,"Paga"))</f>
        <v/>
      </c>
      <c r="F81" s="25">
        <f>IF(A81="","",D81-E81)</f>
        <v/>
      </c>
      <c r="G81" s="25">
        <f>IF(A81="","",SUMIFS(Parcelas!$F$5:$F$404,Parcelas!$A$5:$A$404,A81,Parcelas!$I$5:$I$404,"Vencida"))</f>
        <v/>
      </c>
      <c r="H81" s="24">
        <f>IF(A81="","",IF(G81&gt;0,"Em atraso",IF(F81&gt;0,"Em dia","Sem parcela em aberto")))</f>
        <v/>
      </c>
    </row>
    <row r="82">
      <c r="A82" s="33" t="n"/>
      <c r="B82" s="35" t="n"/>
      <c r="C82" s="24">
        <f>IF(A82="","",COUNTIFS(Parcelas!$A$5:$A$404,A82))</f>
        <v/>
      </c>
      <c r="D82" s="25">
        <f>IF(A82="","",SUMIFS(Parcelas!$F$5:$F$404,Parcelas!$A$5:$A$404,A82))</f>
        <v/>
      </c>
      <c r="E82" s="25">
        <f>IF(A82="","",SUMIFS(Parcelas!$F$5:$F$404,Parcelas!$A$5:$A$404,A82,Parcelas!$I$5:$I$404,"Paga"))</f>
        <v/>
      </c>
      <c r="F82" s="25">
        <f>IF(A82="","",D82-E82)</f>
        <v/>
      </c>
      <c r="G82" s="25">
        <f>IF(A82="","",SUMIFS(Parcelas!$F$5:$F$404,Parcelas!$A$5:$A$404,A82,Parcelas!$I$5:$I$404,"Vencida"))</f>
        <v/>
      </c>
      <c r="H82" s="24">
        <f>IF(A82="","",IF(G82&gt;0,"Em atraso",IF(F82&gt;0,"Em dia","Sem parcela em aberto")))</f>
        <v/>
      </c>
    </row>
    <row r="83">
      <c r="A83" s="33" t="n"/>
      <c r="B83" s="35" t="n"/>
      <c r="C83" s="24">
        <f>IF(A83="","",COUNTIFS(Parcelas!$A$5:$A$404,A83))</f>
        <v/>
      </c>
      <c r="D83" s="25">
        <f>IF(A83="","",SUMIFS(Parcelas!$F$5:$F$404,Parcelas!$A$5:$A$404,A83))</f>
        <v/>
      </c>
      <c r="E83" s="25">
        <f>IF(A83="","",SUMIFS(Parcelas!$F$5:$F$404,Parcelas!$A$5:$A$404,A83,Parcelas!$I$5:$I$404,"Paga"))</f>
        <v/>
      </c>
      <c r="F83" s="25">
        <f>IF(A83="","",D83-E83)</f>
        <v/>
      </c>
      <c r="G83" s="25">
        <f>IF(A83="","",SUMIFS(Parcelas!$F$5:$F$404,Parcelas!$A$5:$A$404,A83,Parcelas!$I$5:$I$404,"Vencida"))</f>
        <v/>
      </c>
      <c r="H83" s="24">
        <f>IF(A83="","",IF(G83&gt;0,"Em atraso",IF(F83&gt;0,"Em dia","Sem parcela em aberto")))</f>
        <v/>
      </c>
    </row>
    <row r="84">
      <c r="A84" s="33" t="n"/>
      <c r="B84" s="35" t="n"/>
      <c r="C84" s="24">
        <f>IF(A84="","",COUNTIFS(Parcelas!$A$5:$A$404,A84))</f>
        <v/>
      </c>
      <c r="D84" s="25">
        <f>IF(A84="","",SUMIFS(Parcelas!$F$5:$F$404,Parcelas!$A$5:$A$404,A84))</f>
        <v/>
      </c>
      <c r="E84" s="25">
        <f>IF(A84="","",SUMIFS(Parcelas!$F$5:$F$404,Parcelas!$A$5:$A$404,A84,Parcelas!$I$5:$I$404,"Paga"))</f>
        <v/>
      </c>
      <c r="F84" s="25">
        <f>IF(A84="","",D84-E84)</f>
        <v/>
      </c>
      <c r="G84" s="25">
        <f>IF(A84="","",SUMIFS(Parcelas!$F$5:$F$404,Parcelas!$A$5:$A$404,A84,Parcelas!$I$5:$I$404,"Vencida"))</f>
        <v/>
      </c>
      <c r="H84" s="24">
        <f>IF(A84="","",IF(G84&gt;0,"Em atraso",IF(F84&gt;0,"Em dia","Sem parcela em aberto")))</f>
        <v/>
      </c>
    </row>
    <row r="85">
      <c r="A85" s="33" t="n"/>
      <c r="B85" s="35" t="n"/>
      <c r="C85" s="24">
        <f>IF(A85="","",COUNTIFS(Parcelas!$A$5:$A$404,A85))</f>
        <v/>
      </c>
      <c r="D85" s="25">
        <f>IF(A85="","",SUMIFS(Parcelas!$F$5:$F$404,Parcelas!$A$5:$A$404,A85))</f>
        <v/>
      </c>
      <c r="E85" s="25">
        <f>IF(A85="","",SUMIFS(Parcelas!$F$5:$F$404,Parcelas!$A$5:$A$404,A85,Parcelas!$I$5:$I$404,"Paga"))</f>
        <v/>
      </c>
      <c r="F85" s="25">
        <f>IF(A85="","",D85-E85)</f>
        <v/>
      </c>
      <c r="G85" s="25">
        <f>IF(A85="","",SUMIFS(Parcelas!$F$5:$F$404,Parcelas!$A$5:$A$404,A85,Parcelas!$I$5:$I$404,"Vencida"))</f>
        <v/>
      </c>
      <c r="H85" s="24">
        <f>IF(A85="","",IF(G85&gt;0,"Em atraso",IF(F85&gt;0,"Em dia","Sem parcela em aberto")))</f>
        <v/>
      </c>
    </row>
    <row r="86">
      <c r="A86" s="33" t="n"/>
      <c r="B86" s="35" t="n"/>
      <c r="C86" s="24">
        <f>IF(A86="","",COUNTIFS(Parcelas!$A$5:$A$404,A86))</f>
        <v/>
      </c>
      <c r="D86" s="25">
        <f>IF(A86="","",SUMIFS(Parcelas!$F$5:$F$404,Parcelas!$A$5:$A$404,A86))</f>
        <v/>
      </c>
      <c r="E86" s="25">
        <f>IF(A86="","",SUMIFS(Parcelas!$F$5:$F$404,Parcelas!$A$5:$A$404,A86,Parcelas!$I$5:$I$404,"Paga"))</f>
        <v/>
      </c>
      <c r="F86" s="25">
        <f>IF(A86="","",D86-E86)</f>
        <v/>
      </c>
      <c r="G86" s="25">
        <f>IF(A86="","",SUMIFS(Parcelas!$F$5:$F$404,Parcelas!$A$5:$A$404,A86,Parcelas!$I$5:$I$404,"Vencida"))</f>
        <v/>
      </c>
      <c r="H86" s="24">
        <f>IF(A86="","",IF(G86&gt;0,"Em atraso",IF(F86&gt;0,"Em dia","Sem parcela em aberto")))</f>
        <v/>
      </c>
    </row>
    <row r="87">
      <c r="A87" s="33" t="n"/>
      <c r="B87" s="35" t="n"/>
      <c r="C87" s="24">
        <f>IF(A87="","",COUNTIFS(Parcelas!$A$5:$A$404,A87))</f>
        <v/>
      </c>
      <c r="D87" s="25">
        <f>IF(A87="","",SUMIFS(Parcelas!$F$5:$F$404,Parcelas!$A$5:$A$404,A87))</f>
        <v/>
      </c>
      <c r="E87" s="25">
        <f>IF(A87="","",SUMIFS(Parcelas!$F$5:$F$404,Parcelas!$A$5:$A$404,A87,Parcelas!$I$5:$I$404,"Paga"))</f>
        <v/>
      </c>
      <c r="F87" s="25">
        <f>IF(A87="","",D87-E87)</f>
        <v/>
      </c>
      <c r="G87" s="25">
        <f>IF(A87="","",SUMIFS(Parcelas!$F$5:$F$404,Parcelas!$A$5:$A$404,A87,Parcelas!$I$5:$I$404,"Vencida"))</f>
        <v/>
      </c>
      <c r="H87" s="24">
        <f>IF(A87="","",IF(G87&gt;0,"Em atraso",IF(F87&gt;0,"Em dia","Sem parcela em aberto")))</f>
        <v/>
      </c>
    </row>
    <row r="88">
      <c r="A88" s="33" t="n"/>
      <c r="B88" s="35" t="n"/>
      <c r="C88" s="24">
        <f>IF(A88="","",COUNTIFS(Parcelas!$A$5:$A$404,A88))</f>
        <v/>
      </c>
      <c r="D88" s="25">
        <f>IF(A88="","",SUMIFS(Parcelas!$F$5:$F$404,Parcelas!$A$5:$A$404,A88))</f>
        <v/>
      </c>
      <c r="E88" s="25">
        <f>IF(A88="","",SUMIFS(Parcelas!$F$5:$F$404,Parcelas!$A$5:$A$404,A88,Parcelas!$I$5:$I$404,"Paga"))</f>
        <v/>
      </c>
      <c r="F88" s="25">
        <f>IF(A88="","",D88-E88)</f>
        <v/>
      </c>
      <c r="G88" s="25">
        <f>IF(A88="","",SUMIFS(Parcelas!$F$5:$F$404,Parcelas!$A$5:$A$404,A88,Parcelas!$I$5:$I$404,"Vencida"))</f>
        <v/>
      </c>
      <c r="H88" s="24">
        <f>IF(A88="","",IF(G88&gt;0,"Em atraso",IF(F88&gt;0,"Em dia","Sem parcela em aberto")))</f>
        <v/>
      </c>
    </row>
    <row r="89">
      <c r="A89" s="33" t="n"/>
      <c r="B89" s="35" t="n"/>
      <c r="C89" s="24">
        <f>IF(A89="","",COUNTIFS(Parcelas!$A$5:$A$404,A89))</f>
        <v/>
      </c>
      <c r="D89" s="25">
        <f>IF(A89="","",SUMIFS(Parcelas!$F$5:$F$404,Parcelas!$A$5:$A$404,A89))</f>
        <v/>
      </c>
      <c r="E89" s="25">
        <f>IF(A89="","",SUMIFS(Parcelas!$F$5:$F$404,Parcelas!$A$5:$A$404,A89,Parcelas!$I$5:$I$404,"Paga"))</f>
        <v/>
      </c>
      <c r="F89" s="25">
        <f>IF(A89="","",D89-E89)</f>
        <v/>
      </c>
      <c r="G89" s="25">
        <f>IF(A89="","",SUMIFS(Parcelas!$F$5:$F$404,Parcelas!$A$5:$A$404,A89,Parcelas!$I$5:$I$404,"Vencida"))</f>
        <v/>
      </c>
      <c r="H89" s="24">
        <f>IF(A89="","",IF(G89&gt;0,"Em atraso",IF(F89&gt;0,"Em dia","Sem parcela em aberto")))</f>
        <v/>
      </c>
    </row>
    <row r="90">
      <c r="A90" s="33" t="n"/>
      <c r="B90" s="35" t="n"/>
      <c r="C90" s="24">
        <f>IF(A90="","",COUNTIFS(Parcelas!$A$5:$A$404,A90))</f>
        <v/>
      </c>
      <c r="D90" s="25">
        <f>IF(A90="","",SUMIFS(Parcelas!$F$5:$F$404,Parcelas!$A$5:$A$404,A90))</f>
        <v/>
      </c>
      <c r="E90" s="25">
        <f>IF(A90="","",SUMIFS(Parcelas!$F$5:$F$404,Parcelas!$A$5:$A$404,A90,Parcelas!$I$5:$I$404,"Paga"))</f>
        <v/>
      </c>
      <c r="F90" s="25">
        <f>IF(A90="","",D90-E90)</f>
        <v/>
      </c>
      <c r="G90" s="25">
        <f>IF(A90="","",SUMIFS(Parcelas!$F$5:$F$404,Parcelas!$A$5:$A$404,A90,Parcelas!$I$5:$I$404,"Vencida"))</f>
        <v/>
      </c>
      <c r="H90" s="24">
        <f>IF(A90="","",IF(G90&gt;0,"Em atraso",IF(F90&gt;0,"Em dia","Sem parcela em aberto")))</f>
        <v/>
      </c>
    </row>
    <row r="91">
      <c r="A91" s="33" t="n"/>
      <c r="B91" s="35" t="n"/>
      <c r="C91" s="24">
        <f>IF(A91="","",COUNTIFS(Parcelas!$A$5:$A$404,A91))</f>
        <v/>
      </c>
      <c r="D91" s="25">
        <f>IF(A91="","",SUMIFS(Parcelas!$F$5:$F$404,Parcelas!$A$5:$A$404,A91))</f>
        <v/>
      </c>
      <c r="E91" s="25">
        <f>IF(A91="","",SUMIFS(Parcelas!$F$5:$F$404,Parcelas!$A$5:$A$404,A91,Parcelas!$I$5:$I$404,"Paga"))</f>
        <v/>
      </c>
      <c r="F91" s="25">
        <f>IF(A91="","",D91-E91)</f>
        <v/>
      </c>
      <c r="G91" s="25">
        <f>IF(A91="","",SUMIFS(Parcelas!$F$5:$F$404,Parcelas!$A$5:$A$404,A91,Parcelas!$I$5:$I$404,"Vencida"))</f>
        <v/>
      </c>
      <c r="H91" s="24">
        <f>IF(A91="","",IF(G91&gt;0,"Em atraso",IF(F91&gt;0,"Em dia","Sem parcela em aberto")))</f>
        <v/>
      </c>
    </row>
    <row r="92">
      <c r="A92" s="33" t="n"/>
      <c r="B92" s="35" t="n"/>
      <c r="C92" s="24">
        <f>IF(A92="","",COUNTIFS(Parcelas!$A$5:$A$404,A92))</f>
        <v/>
      </c>
      <c r="D92" s="25">
        <f>IF(A92="","",SUMIFS(Parcelas!$F$5:$F$404,Parcelas!$A$5:$A$404,A92))</f>
        <v/>
      </c>
      <c r="E92" s="25">
        <f>IF(A92="","",SUMIFS(Parcelas!$F$5:$F$404,Parcelas!$A$5:$A$404,A92,Parcelas!$I$5:$I$404,"Paga"))</f>
        <v/>
      </c>
      <c r="F92" s="25">
        <f>IF(A92="","",D92-E92)</f>
        <v/>
      </c>
      <c r="G92" s="25">
        <f>IF(A92="","",SUMIFS(Parcelas!$F$5:$F$404,Parcelas!$A$5:$A$404,A92,Parcelas!$I$5:$I$404,"Vencida"))</f>
        <v/>
      </c>
      <c r="H92" s="24">
        <f>IF(A92="","",IF(G92&gt;0,"Em atraso",IF(F92&gt;0,"Em dia","Sem parcela em aberto")))</f>
        <v/>
      </c>
    </row>
    <row r="93">
      <c r="A93" s="33" t="n"/>
      <c r="B93" s="35" t="n"/>
      <c r="C93" s="24">
        <f>IF(A93="","",COUNTIFS(Parcelas!$A$5:$A$404,A93))</f>
        <v/>
      </c>
      <c r="D93" s="25">
        <f>IF(A93="","",SUMIFS(Parcelas!$F$5:$F$404,Parcelas!$A$5:$A$404,A93))</f>
        <v/>
      </c>
      <c r="E93" s="25">
        <f>IF(A93="","",SUMIFS(Parcelas!$F$5:$F$404,Parcelas!$A$5:$A$404,A93,Parcelas!$I$5:$I$404,"Paga"))</f>
        <v/>
      </c>
      <c r="F93" s="25">
        <f>IF(A93="","",D93-E93)</f>
        <v/>
      </c>
      <c r="G93" s="25">
        <f>IF(A93="","",SUMIFS(Parcelas!$F$5:$F$404,Parcelas!$A$5:$A$404,A93,Parcelas!$I$5:$I$404,"Vencida"))</f>
        <v/>
      </c>
      <c r="H93" s="24">
        <f>IF(A93="","",IF(G93&gt;0,"Em atraso",IF(F93&gt;0,"Em dia","Sem parcela em aberto")))</f>
        <v/>
      </c>
    </row>
    <row r="94">
      <c r="A94" s="33" t="n"/>
      <c r="B94" s="35" t="n"/>
      <c r="C94" s="24">
        <f>IF(A94="","",COUNTIFS(Parcelas!$A$5:$A$404,A94))</f>
        <v/>
      </c>
      <c r="D94" s="25">
        <f>IF(A94="","",SUMIFS(Parcelas!$F$5:$F$404,Parcelas!$A$5:$A$404,A94))</f>
        <v/>
      </c>
      <c r="E94" s="25">
        <f>IF(A94="","",SUMIFS(Parcelas!$F$5:$F$404,Parcelas!$A$5:$A$404,A94,Parcelas!$I$5:$I$404,"Paga"))</f>
        <v/>
      </c>
      <c r="F94" s="25">
        <f>IF(A94="","",D94-E94)</f>
        <v/>
      </c>
      <c r="G94" s="25">
        <f>IF(A94="","",SUMIFS(Parcelas!$F$5:$F$404,Parcelas!$A$5:$A$404,A94,Parcelas!$I$5:$I$404,"Vencida"))</f>
        <v/>
      </c>
      <c r="H94" s="24">
        <f>IF(A94="","",IF(G94&gt;0,"Em atraso",IF(F94&gt;0,"Em dia","Sem parcela em aberto")))</f>
        <v/>
      </c>
    </row>
    <row r="95">
      <c r="A95" s="33" t="n"/>
      <c r="B95" s="35" t="n"/>
      <c r="C95" s="24">
        <f>IF(A95="","",COUNTIFS(Parcelas!$A$5:$A$404,A95))</f>
        <v/>
      </c>
      <c r="D95" s="25">
        <f>IF(A95="","",SUMIFS(Parcelas!$F$5:$F$404,Parcelas!$A$5:$A$404,A95))</f>
        <v/>
      </c>
      <c r="E95" s="25">
        <f>IF(A95="","",SUMIFS(Parcelas!$F$5:$F$404,Parcelas!$A$5:$A$404,A95,Parcelas!$I$5:$I$404,"Paga"))</f>
        <v/>
      </c>
      <c r="F95" s="25">
        <f>IF(A95="","",D95-E95)</f>
        <v/>
      </c>
      <c r="G95" s="25">
        <f>IF(A95="","",SUMIFS(Parcelas!$F$5:$F$404,Parcelas!$A$5:$A$404,A95,Parcelas!$I$5:$I$404,"Vencida"))</f>
        <v/>
      </c>
      <c r="H95" s="24">
        <f>IF(A95="","",IF(G95&gt;0,"Em atraso",IF(F95&gt;0,"Em dia","Sem parcela em aberto")))</f>
        <v/>
      </c>
    </row>
    <row r="96">
      <c r="A96" s="33" t="n"/>
      <c r="B96" s="35" t="n"/>
      <c r="C96" s="24">
        <f>IF(A96="","",COUNTIFS(Parcelas!$A$5:$A$404,A96))</f>
        <v/>
      </c>
      <c r="D96" s="25">
        <f>IF(A96="","",SUMIFS(Parcelas!$F$5:$F$404,Parcelas!$A$5:$A$404,A96))</f>
        <v/>
      </c>
      <c r="E96" s="25">
        <f>IF(A96="","",SUMIFS(Parcelas!$F$5:$F$404,Parcelas!$A$5:$A$404,A96,Parcelas!$I$5:$I$404,"Paga"))</f>
        <v/>
      </c>
      <c r="F96" s="25">
        <f>IF(A96="","",D96-E96)</f>
        <v/>
      </c>
      <c r="G96" s="25">
        <f>IF(A96="","",SUMIFS(Parcelas!$F$5:$F$404,Parcelas!$A$5:$A$404,A96,Parcelas!$I$5:$I$404,"Vencida"))</f>
        <v/>
      </c>
      <c r="H96" s="24">
        <f>IF(A96="","",IF(G96&gt;0,"Em atraso",IF(F96&gt;0,"Em dia","Sem parcela em aberto")))</f>
        <v/>
      </c>
    </row>
    <row r="97">
      <c r="A97" s="33" t="n"/>
      <c r="B97" s="35" t="n"/>
      <c r="C97" s="24">
        <f>IF(A97="","",COUNTIFS(Parcelas!$A$5:$A$404,A97))</f>
        <v/>
      </c>
      <c r="D97" s="25">
        <f>IF(A97="","",SUMIFS(Parcelas!$F$5:$F$404,Parcelas!$A$5:$A$404,A97))</f>
        <v/>
      </c>
      <c r="E97" s="25">
        <f>IF(A97="","",SUMIFS(Parcelas!$F$5:$F$404,Parcelas!$A$5:$A$404,A97,Parcelas!$I$5:$I$404,"Paga"))</f>
        <v/>
      </c>
      <c r="F97" s="25">
        <f>IF(A97="","",D97-E97)</f>
        <v/>
      </c>
      <c r="G97" s="25">
        <f>IF(A97="","",SUMIFS(Parcelas!$F$5:$F$404,Parcelas!$A$5:$A$404,A97,Parcelas!$I$5:$I$404,"Vencida"))</f>
        <v/>
      </c>
      <c r="H97" s="24">
        <f>IF(A97="","",IF(G97&gt;0,"Em atraso",IF(F97&gt;0,"Em dia","Sem parcela em aberto")))</f>
        <v/>
      </c>
    </row>
    <row r="98">
      <c r="A98" s="33" t="n"/>
      <c r="B98" s="35" t="n"/>
      <c r="C98" s="24">
        <f>IF(A98="","",COUNTIFS(Parcelas!$A$5:$A$404,A98))</f>
        <v/>
      </c>
      <c r="D98" s="25">
        <f>IF(A98="","",SUMIFS(Parcelas!$F$5:$F$404,Parcelas!$A$5:$A$404,A98))</f>
        <v/>
      </c>
      <c r="E98" s="25">
        <f>IF(A98="","",SUMIFS(Parcelas!$F$5:$F$404,Parcelas!$A$5:$A$404,A98,Parcelas!$I$5:$I$404,"Paga"))</f>
        <v/>
      </c>
      <c r="F98" s="25">
        <f>IF(A98="","",D98-E98)</f>
        <v/>
      </c>
      <c r="G98" s="25">
        <f>IF(A98="","",SUMIFS(Parcelas!$F$5:$F$404,Parcelas!$A$5:$A$404,A98,Parcelas!$I$5:$I$404,"Vencida"))</f>
        <v/>
      </c>
      <c r="H98" s="24">
        <f>IF(A98="","",IF(G98&gt;0,"Em atraso",IF(F98&gt;0,"Em dia","Sem parcela em aberto")))</f>
        <v/>
      </c>
    </row>
    <row r="99">
      <c r="A99" s="33" t="n"/>
      <c r="B99" s="35" t="n"/>
      <c r="C99" s="24">
        <f>IF(A99="","",COUNTIFS(Parcelas!$A$5:$A$404,A99))</f>
        <v/>
      </c>
      <c r="D99" s="25">
        <f>IF(A99="","",SUMIFS(Parcelas!$F$5:$F$404,Parcelas!$A$5:$A$404,A99))</f>
        <v/>
      </c>
      <c r="E99" s="25">
        <f>IF(A99="","",SUMIFS(Parcelas!$F$5:$F$404,Parcelas!$A$5:$A$404,A99,Parcelas!$I$5:$I$404,"Paga"))</f>
        <v/>
      </c>
      <c r="F99" s="25">
        <f>IF(A99="","",D99-E99)</f>
        <v/>
      </c>
      <c r="G99" s="25">
        <f>IF(A99="","",SUMIFS(Parcelas!$F$5:$F$404,Parcelas!$A$5:$A$404,A99,Parcelas!$I$5:$I$404,"Vencida"))</f>
        <v/>
      </c>
      <c r="H99" s="24">
        <f>IF(A99="","",IF(G99&gt;0,"Em atraso",IF(F99&gt;0,"Em dia","Sem parcela em aberto")))</f>
        <v/>
      </c>
    </row>
    <row r="100">
      <c r="A100" s="33" t="n"/>
      <c r="B100" s="35" t="n"/>
      <c r="C100" s="24">
        <f>IF(A100="","",COUNTIFS(Parcelas!$A$5:$A$404,A100))</f>
        <v/>
      </c>
      <c r="D100" s="25">
        <f>IF(A100="","",SUMIFS(Parcelas!$F$5:$F$404,Parcelas!$A$5:$A$404,A100))</f>
        <v/>
      </c>
      <c r="E100" s="25">
        <f>IF(A100="","",SUMIFS(Parcelas!$F$5:$F$404,Parcelas!$A$5:$A$404,A100,Parcelas!$I$5:$I$404,"Paga"))</f>
        <v/>
      </c>
      <c r="F100" s="25">
        <f>IF(A100="","",D100-E100)</f>
        <v/>
      </c>
      <c r="G100" s="25">
        <f>IF(A100="","",SUMIFS(Parcelas!$F$5:$F$404,Parcelas!$A$5:$A$404,A100,Parcelas!$I$5:$I$404,"Vencida"))</f>
        <v/>
      </c>
      <c r="H100" s="24">
        <f>IF(A100="","",IF(G100&gt;0,"Em atraso",IF(F100&gt;0,"Em dia","Sem parcela em aberto")))</f>
        <v/>
      </c>
    </row>
    <row r="101">
      <c r="A101" s="33" t="n"/>
      <c r="B101" s="35" t="n"/>
      <c r="C101" s="24">
        <f>IF(A101="","",COUNTIFS(Parcelas!$A$5:$A$404,A101))</f>
        <v/>
      </c>
      <c r="D101" s="25">
        <f>IF(A101="","",SUMIFS(Parcelas!$F$5:$F$404,Parcelas!$A$5:$A$404,A101))</f>
        <v/>
      </c>
      <c r="E101" s="25">
        <f>IF(A101="","",SUMIFS(Parcelas!$F$5:$F$404,Parcelas!$A$5:$A$404,A101,Parcelas!$I$5:$I$404,"Paga"))</f>
        <v/>
      </c>
      <c r="F101" s="25">
        <f>IF(A101="","",D101-E101)</f>
        <v/>
      </c>
      <c r="G101" s="25">
        <f>IF(A101="","",SUMIFS(Parcelas!$F$5:$F$404,Parcelas!$A$5:$A$404,A101,Parcelas!$I$5:$I$404,"Vencida"))</f>
        <v/>
      </c>
      <c r="H101" s="24">
        <f>IF(A101="","",IF(G101&gt;0,"Em atraso",IF(F101&gt;0,"Em dia","Sem parcela em aberto")))</f>
        <v/>
      </c>
    </row>
    <row r="102">
      <c r="A102" s="33" t="n"/>
      <c r="B102" s="35" t="n"/>
      <c r="C102" s="24">
        <f>IF(A102="","",COUNTIFS(Parcelas!$A$5:$A$404,A102))</f>
        <v/>
      </c>
      <c r="D102" s="25">
        <f>IF(A102="","",SUMIFS(Parcelas!$F$5:$F$404,Parcelas!$A$5:$A$404,A102))</f>
        <v/>
      </c>
      <c r="E102" s="25">
        <f>IF(A102="","",SUMIFS(Parcelas!$F$5:$F$404,Parcelas!$A$5:$A$404,A102,Parcelas!$I$5:$I$404,"Paga"))</f>
        <v/>
      </c>
      <c r="F102" s="25">
        <f>IF(A102="","",D102-E102)</f>
        <v/>
      </c>
      <c r="G102" s="25">
        <f>IF(A102="","",SUMIFS(Parcelas!$F$5:$F$404,Parcelas!$A$5:$A$404,A102,Parcelas!$I$5:$I$404,"Vencida"))</f>
        <v/>
      </c>
      <c r="H102" s="24">
        <f>IF(A102="","",IF(G102&gt;0,"Em atraso",IF(F102&gt;0,"Em dia","Sem parcela em aberto")))</f>
        <v/>
      </c>
    </row>
    <row r="103">
      <c r="A103" s="33" t="n"/>
      <c r="B103" s="35" t="n"/>
      <c r="C103" s="24">
        <f>IF(A103="","",COUNTIFS(Parcelas!$A$5:$A$404,A103))</f>
        <v/>
      </c>
      <c r="D103" s="25">
        <f>IF(A103="","",SUMIFS(Parcelas!$F$5:$F$404,Parcelas!$A$5:$A$404,A103))</f>
        <v/>
      </c>
      <c r="E103" s="25">
        <f>IF(A103="","",SUMIFS(Parcelas!$F$5:$F$404,Parcelas!$A$5:$A$404,A103,Parcelas!$I$5:$I$404,"Paga"))</f>
        <v/>
      </c>
      <c r="F103" s="25">
        <f>IF(A103="","",D103-E103)</f>
        <v/>
      </c>
      <c r="G103" s="25">
        <f>IF(A103="","",SUMIFS(Parcelas!$F$5:$F$404,Parcelas!$A$5:$A$404,A103,Parcelas!$I$5:$I$404,"Vencida"))</f>
        <v/>
      </c>
      <c r="H103" s="24">
        <f>IF(A103="","",IF(G103&gt;0,"Em atraso",IF(F103&gt;0,"Em dia","Sem parcela em aberto")))</f>
        <v/>
      </c>
    </row>
    <row r="104">
      <c r="A104" s="33" t="n"/>
      <c r="B104" s="35" t="n"/>
      <c r="C104" s="24">
        <f>IF(A104="","",COUNTIFS(Parcelas!$A$5:$A$404,A104))</f>
        <v/>
      </c>
      <c r="D104" s="25">
        <f>IF(A104="","",SUMIFS(Parcelas!$F$5:$F$404,Parcelas!$A$5:$A$404,A104))</f>
        <v/>
      </c>
      <c r="E104" s="25">
        <f>IF(A104="","",SUMIFS(Parcelas!$F$5:$F$404,Parcelas!$A$5:$A$404,A104,Parcelas!$I$5:$I$404,"Paga"))</f>
        <v/>
      </c>
      <c r="F104" s="25">
        <f>IF(A104="","",D104-E104)</f>
        <v/>
      </c>
      <c r="G104" s="25">
        <f>IF(A104="","",SUMIFS(Parcelas!$F$5:$F$404,Parcelas!$A$5:$A$404,A104,Parcelas!$I$5:$I$404,"Vencida"))</f>
        <v/>
      </c>
      <c r="H104" s="24">
        <f>IF(A104="","",IF(G104&gt;0,"Em atraso",IF(F104&gt;0,"Em dia","Sem parcela em aberto")))</f>
        <v/>
      </c>
    </row>
    <row r="105">
      <c r="A105" s="33" t="n"/>
      <c r="B105" s="35" t="n"/>
      <c r="C105" s="24">
        <f>IF(A105="","",COUNTIFS(Parcelas!$A$5:$A$404,A105))</f>
        <v/>
      </c>
      <c r="D105" s="25">
        <f>IF(A105="","",SUMIFS(Parcelas!$F$5:$F$404,Parcelas!$A$5:$A$404,A105))</f>
        <v/>
      </c>
      <c r="E105" s="25">
        <f>IF(A105="","",SUMIFS(Parcelas!$F$5:$F$404,Parcelas!$A$5:$A$404,A105,Parcelas!$I$5:$I$404,"Paga"))</f>
        <v/>
      </c>
      <c r="F105" s="25">
        <f>IF(A105="","",D105-E105)</f>
        <v/>
      </c>
      <c r="G105" s="25">
        <f>IF(A105="","",SUMIFS(Parcelas!$F$5:$F$404,Parcelas!$A$5:$A$404,A105,Parcelas!$I$5:$I$404,"Vencida"))</f>
        <v/>
      </c>
      <c r="H105" s="24">
        <f>IF(A105="","",IF(G105&gt;0,"Em atraso",IF(F105&gt;0,"Em dia","Sem parcela em aberto")))</f>
        <v/>
      </c>
    </row>
    <row r="106">
      <c r="A106" s="33" t="n"/>
      <c r="B106" s="35" t="n"/>
      <c r="C106" s="24">
        <f>IF(A106="","",COUNTIFS(Parcelas!$A$5:$A$404,A106))</f>
        <v/>
      </c>
      <c r="D106" s="25">
        <f>IF(A106="","",SUMIFS(Parcelas!$F$5:$F$404,Parcelas!$A$5:$A$404,A106))</f>
        <v/>
      </c>
      <c r="E106" s="25">
        <f>IF(A106="","",SUMIFS(Parcelas!$F$5:$F$404,Parcelas!$A$5:$A$404,A106,Parcelas!$I$5:$I$404,"Paga"))</f>
        <v/>
      </c>
      <c r="F106" s="25">
        <f>IF(A106="","",D106-E106)</f>
        <v/>
      </c>
      <c r="G106" s="25">
        <f>IF(A106="","",SUMIFS(Parcelas!$F$5:$F$404,Parcelas!$A$5:$A$404,A106,Parcelas!$I$5:$I$404,"Vencida"))</f>
        <v/>
      </c>
      <c r="H106" s="24">
        <f>IF(A106="","",IF(G106&gt;0,"Em atraso",IF(F106&gt;0,"Em dia","Sem parcela em aberto")))</f>
        <v/>
      </c>
    </row>
    <row r="107">
      <c r="A107" s="33" t="n"/>
      <c r="B107" s="35" t="n"/>
      <c r="C107" s="24">
        <f>IF(A107="","",COUNTIFS(Parcelas!$A$5:$A$404,A107))</f>
        <v/>
      </c>
      <c r="D107" s="25">
        <f>IF(A107="","",SUMIFS(Parcelas!$F$5:$F$404,Parcelas!$A$5:$A$404,A107))</f>
        <v/>
      </c>
      <c r="E107" s="25">
        <f>IF(A107="","",SUMIFS(Parcelas!$F$5:$F$404,Parcelas!$A$5:$A$404,A107,Parcelas!$I$5:$I$404,"Paga"))</f>
        <v/>
      </c>
      <c r="F107" s="25">
        <f>IF(A107="","",D107-E107)</f>
        <v/>
      </c>
      <c r="G107" s="25">
        <f>IF(A107="","",SUMIFS(Parcelas!$F$5:$F$404,Parcelas!$A$5:$A$404,A107,Parcelas!$I$5:$I$404,"Vencida"))</f>
        <v/>
      </c>
      <c r="H107" s="24">
        <f>IF(A107="","",IF(G107&gt;0,"Em atraso",IF(F107&gt;0,"Em dia","Sem parcela em aberto")))</f>
        <v/>
      </c>
    </row>
    <row r="108">
      <c r="A108" s="33" t="n"/>
      <c r="B108" s="35" t="n"/>
      <c r="C108" s="24">
        <f>IF(A108="","",COUNTIFS(Parcelas!$A$5:$A$404,A108))</f>
        <v/>
      </c>
      <c r="D108" s="25">
        <f>IF(A108="","",SUMIFS(Parcelas!$F$5:$F$404,Parcelas!$A$5:$A$404,A108))</f>
        <v/>
      </c>
      <c r="E108" s="25">
        <f>IF(A108="","",SUMIFS(Parcelas!$F$5:$F$404,Parcelas!$A$5:$A$404,A108,Parcelas!$I$5:$I$404,"Paga"))</f>
        <v/>
      </c>
      <c r="F108" s="25">
        <f>IF(A108="","",D108-E108)</f>
        <v/>
      </c>
      <c r="G108" s="25">
        <f>IF(A108="","",SUMIFS(Parcelas!$F$5:$F$404,Parcelas!$A$5:$A$404,A108,Parcelas!$I$5:$I$404,"Vencida"))</f>
        <v/>
      </c>
      <c r="H108" s="24">
        <f>IF(A108="","",IF(G108&gt;0,"Em atraso",IF(F108&gt;0,"Em dia","Sem parcela em aberto")))</f>
        <v/>
      </c>
    </row>
    <row r="109">
      <c r="A109" s="33" t="n"/>
      <c r="B109" s="35" t="n"/>
      <c r="C109" s="24">
        <f>IF(A109="","",COUNTIFS(Parcelas!$A$5:$A$404,A109))</f>
        <v/>
      </c>
      <c r="D109" s="25">
        <f>IF(A109="","",SUMIFS(Parcelas!$F$5:$F$404,Parcelas!$A$5:$A$404,A109))</f>
        <v/>
      </c>
      <c r="E109" s="25">
        <f>IF(A109="","",SUMIFS(Parcelas!$F$5:$F$404,Parcelas!$A$5:$A$404,A109,Parcelas!$I$5:$I$404,"Paga"))</f>
        <v/>
      </c>
      <c r="F109" s="25">
        <f>IF(A109="","",D109-E109)</f>
        <v/>
      </c>
      <c r="G109" s="25">
        <f>IF(A109="","",SUMIFS(Parcelas!$F$5:$F$404,Parcelas!$A$5:$A$404,A109,Parcelas!$I$5:$I$404,"Vencida"))</f>
        <v/>
      </c>
      <c r="H109" s="24">
        <f>IF(A109="","",IF(G109&gt;0,"Em atraso",IF(F109&gt;0,"Em dia","Sem parcela em aberto")))</f>
        <v/>
      </c>
    </row>
    <row r="110">
      <c r="A110" s="33" t="n"/>
      <c r="B110" s="35" t="n"/>
      <c r="C110" s="24">
        <f>IF(A110="","",COUNTIFS(Parcelas!$A$5:$A$404,A110))</f>
        <v/>
      </c>
      <c r="D110" s="25">
        <f>IF(A110="","",SUMIFS(Parcelas!$F$5:$F$404,Parcelas!$A$5:$A$404,A110))</f>
        <v/>
      </c>
      <c r="E110" s="25">
        <f>IF(A110="","",SUMIFS(Parcelas!$F$5:$F$404,Parcelas!$A$5:$A$404,A110,Parcelas!$I$5:$I$404,"Paga"))</f>
        <v/>
      </c>
      <c r="F110" s="25">
        <f>IF(A110="","",D110-E110)</f>
        <v/>
      </c>
      <c r="G110" s="25">
        <f>IF(A110="","",SUMIFS(Parcelas!$F$5:$F$404,Parcelas!$A$5:$A$404,A110,Parcelas!$I$5:$I$404,"Vencida"))</f>
        <v/>
      </c>
      <c r="H110" s="24">
        <f>IF(A110="","",IF(G110&gt;0,"Em atraso",IF(F110&gt;0,"Em dia","Sem parcela em aberto")))</f>
        <v/>
      </c>
    </row>
    <row r="111">
      <c r="A111" s="33" t="n"/>
      <c r="B111" s="35" t="n"/>
      <c r="C111" s="24">
        <f>IF(A111="","",COUNTIFS(Parcelas!$A$5:$A$404,A111))</f>
        <v/>
      </c>
      <c r="D111" s="25">
        <f>IF(A111="","",SUMIFS(Parcelas!$F$5:$F$404,Parcelas!$A$5:$A$404,A111))</f>
        <v/>
      </c>
      <c r="E111" s="25">
        <f>IF(A111="","",SUMIFS(Parcelas!$F$5:$F$404,Parcelas!$A$5:$A$404,A111,Parcelas!$I$5:$I$404,"Paga"))</f>
        <v/>
      </c>
      <c r="F111" s="25">
        <f>IF(A111="","",D111-E111)</f>
        <v/>
      </c>
      <c r="G111" s="25">
        <f>IF(A111="","",SUMIFS(Parcelas!$F$5:$F$404,Parcelas!$A$5:$A$404,A111,Parcelas!$I$5:$I$404,"Vencida"))</f>
        <v/>
      </c>
      <c r="H111" s="24">
        <f>IF(A111="","",IF(G111&gt;0,"Em atraso",IF(F111&gt;0,"Em dia","Sem parcela em aberto")))</f>
        <v/>
      </c>
    </row>
    <row r="112">
      <c r="A112" s="33" t="n"/>
      <c r="B112" s="35" t="n"/>
      <c r="C112" s="24">
        <f>IF(A112="","",COUNTIFS(Parcelas!$A$5:$A$404,A112))</f>
        <v/>
      </c>
      <c r="D112" s="25">
        <f>IF(A112="","",SUMIFS(Parcelas!$F$5:$F$404,Parcelas!$A$5:$A$404,A112))</f>
        <v/>
      </c>
      <c r="E112" s="25">
        <f>IF(A112="","",SUMIFS(Parcelas!$F$5:$F$404,Parcelas!$A$5:$A$404,A112,Parcelas!$I$5:$I$404,"Paga"))</f>
        <v/>
      </c>
      <c r="F112" s="25">
        <f>IF(A112="","",D112-E112)</f>
        <v/>
      </c>
      <c r="G112" s="25">
        <f>IF(A112="","",SUMIFS(Parcelas!$F$5:$F$404,Parcelas!$A$5:$A$404,A112,Parcelas!$I$5:$I$404,"Vencida"))</f>
        <v/>
      </c>
      <c r="H112" s="24">
        <f>IF(A112="","",IF(G112&gt;0,"Em atraso",IF(F112&gt;0,"Em dia","Sem parcela em aberto")))</f>
        <v/>
      </c>
    </row>
    <row r="113">
      <c r="A113" s="33" t="n"/>
      <c r="B113" s="35" t="n"/>
      <c r="C113" s="24">
        <f>IF(A113="","",COUNTIFS(Parcelas!$A$5:$A$404,A113))</f>
        <v/>
      </c>
      <c r="D113" s="25">
        <f>IF(A113="","",SUMIFS(Parcelas!$F$5:$F$404,Parcelas!$A$5:$A$404,A113))</f>
        <v/>
      </c>
      <c r="E113" s="25">
        <f>IF(A113="","",SUMIFS(Parcelas!$F$5:$F$404,Parcelas!$A$5:$A$404,A113,Parcelas!$I$5:$I$404,"Paga"))</f>
        <v/>
      </c>
      <c r="F113" s="25">
        <f>IF(A113="","",D113-E113)</f>
        <v/>
      </c>
      <c r="G113" s="25">
        <f>IF(A113="","",SUMIFS(Parcelas!$F$5:$F$404,Parcelas!$A$5:$A$404,A113,Parcelas!$I$5:$I$404,"Vencida"))</f>
        <v/>
      </c>
      <c r="H113" s="24">
        <f>IF(A113="","",IF(G113&gt;0,"Em atraso",IF(F113&gt;0,"Em dia","Sem parcela em aberto")))</f>
        <v/>
      </c>
    </row>
    <row r="114">
      <c r="A114" s="33" t="n"/>
      <c r="B114" s="35" t="n"/>
      <c r="C114" s="24">
        <f>IF(A114="","",COUNTIFS(Parcelas!$A$5:$A$404,A114))</f>
        <v/>
      </c>
      <c r="D114" s="25">
        <f>IF(A114="","",SUMIFS(Parcelas!$F$5:$F$404,Parcelas!$A$5:$A$404,A114))</f>
        <v/>
      </c>
      <c r="E114" s="25">
        <f>IF(A114="","",SUMIFS(Parcelas!$F$5:$F$404,Parcelas!$A$5:$A$404,A114,Parcelas!$I$5:$I$404,"Paga"))</f>
        <v/>
      </c>
      <c r="F114" s="25">
        <f>IF(A114="","",D114-E114)</f>
        <v/>
      </c>
      <c r="G114" s="25">
        <f>IF(A114="","",SUMIFS(Parcelas!$F$5:$F$404,Parcelas!$A$5:$A$404,A114,Parcelas!$I$5:$I$404,"Vencida"))</f>
        <v/>
      </c>
      <c r="H114" s="24">
        <f>IF(A114="","",IF(G114&gt;0,"Em atraso",IF(F114&gt;0,"Em dia","Sem parcela em aberto")))</f>
        <v/>
      </c>
    </row>
    <row r="115">
      <c r="A115" s="33" t="n"/>
      <c r="B115" s="35" t="n"/>
      <c r="C115" s="24">
        <f>IF(A115="","",COUNTIFS(Parcelas!$A$5:$A$404,A115))</f>
        <v/>
      </c>
      <c r="D115" s="25">
        <f>IF(A115="","",SUMIFS(Parcelas!$F$5:$F$404,Parcelas!$A$5:$A$404,A115))</f>
        <v/>
      </c>
      <c r="E115" s="25">
        <f>IF(A115="","",SUMIFS(Parcelas!$F$5:$F$404,Parcelas!$A$5:$A$404,A115,Parcelas!$I$5:$I$404,"Paga"))</f>
        <v/>
      </c>
      <c r="F115" s="25">
        <f>IF(A115="","",D115-E115)</f>
        <v/>
      </c>
      <c r="G115" s="25">
        <f>IF(A115="","",SUMIFS(Parcelas!$F$5:$F$404,Parcelas!$A$5:$A$404,A115,Parcelas!$I$5:$I$404,"Vencida"))</f>
        <v/>
      </c>
      <c r="H115" s="24">
        <f>IF(A115="","",IF(G115&gt;0,"Em atraso",IF(F115&gt;0,"Em dia","Sem parcela em aberto")))</f>
        <v/>
      </c>
    </row>
    <row r="116">
      <c r="A116" s="33" t="n"/>
      <c r="B116" s="35" t="n"/>
      <c r="C116" s="24">
        <f>IF(A116="","",COUNTIFS(Parcelas!$A$5:$A$404,A116))</f>
        <v/>
      </c>
      <c r="D116" s="25">
        <f>IF(A116="","",SUMIFS(Parcelas!$F$5:$F$404,Parcelas!$A$5:$A$404,A116))</f>
        <v/>
      </c>
      <c r="E116" s="25">
        <f>IF(A116="","",SUMIFS(Parcelas!$F$5:$F$404,Parcelas!$A$5:$A$404,A116,Parcelas!$I$5:$I$404,"Paga"))</f>
        <v/>
      </c>
      <c r="F116" s="25">
        <f>IF(A116="","",D116-E116)</f>
        <v/>
      </c>
      <c r="G116" s="25">
        <f>IF(A116="","",SUMIFS(Parcelas!$F$5:$F$404,Parcelas!$A$5:$A$404,A116,Parcelas!$I$5:$I$404,"Vencida"))</f>
        <v/>
      </c>
      <c r="H116" s="24">
        <f>IF(A116="","",IF(G116&gt;0,"Em atraso",IF(F116&gt;0,"Em dia","Sem parcela em aberto")))</f>
        <v/>
      </c>
    </row>
    <row r="117">
      <c r="A117" s="33" t="n"/>
      <c r="B117" s="35" t="n"/>
      <c r="C117" s="24">
        <f>IF(A117="","",COUNTIFS(Parcelas!$A$5:$A$404,A117))</f>
        <v/>
      </c>
      <c r="D117" s="25">
        <f>IF(A117="","",SUMIFS(Parcelas!$F$5:$F$404,Parcelas!$A$5:$A$404,A117))</f>
        <v/>
      </c>
      <c r="E117" s="25">
        <f>IF(A117="","",SUMIFS(Parcelas!$F$5:$F$404,Parcelas!$A$5:$A$404,A117,Parcelas!$I$5:$I$404,"Paga"))</f>
        <v/>
      </c>
      <c r="F117" s="25">
        <f>IF(A117="","",D117-E117)</f>
        <v/>
      </c>
      <c r="G117" s="25">
        <f>IF(A117="","",SUMIFS(Parcelas!$F$5:$F$404,Parcelas!$A$5:$A$404,A117,Parcelas!$I$5:$I$404,"Vencida"))</f>
        <v/>
      </c>
      <c r="H117" s="24">
        <f>IF(A117="","",IF(G117&gt;0,"Em atraso",IF(F117&gt;0,"Em dia","Sem parcela em aberto")))</f>
        <v/>
      </c>
    </row>
    <row r="118">
      <c r="A118" s="33" t="n"/>
      <c r="B118" s="35" t="n"/>
      <c r="C118" s="24">
        <f>IF(A118="","",COUNTIFS(Parcelas!$A$5:$A$404,A118))</f>
        <v/>
      </c>
      <c r="D118" s="25">
        <f>IF(A118="","",SUMIFS(Parcelas!$F$5:$F$404,Parcelas!$A$5:$A$404,A118))</f>
        <v/>
      </c>
      <c r="E118" s="25">
        <f>IF(A118="","",SUMIFS(Parcelas!$F$5:$F$404,Parcelas!$A$5:$A$404,A118,Parcelas!$I$5:$I$404,"Paga"))</f>
        <v/>
      </c>
      <c r="F118" s="25">
        <f>IF(A118="","",D118-E118)</f>
        <v/>
      </c>
      <c r="G118" s="25">
        <f>IF(A118="","",SUMIFS(Parcelas!$F$5:$F$404,Parcelas!$A$5:$A$404,A118,Parcelas!$I$5:$I$404,"Vencida"))</f>
        <v/>
      </c>
      <c r="H118" s="24">
        <f>IF(A118="","",IF(G118&gt;0,"Em atraso",IF(F118&gt;0,"Em dia","Sem parcela em aberto")))</f>
        <v/>
      </c>
    </row>
    <row r="119">
      <c r="A119" s="33" t="n"/>
      <c r="B119" s="35" t="n"/>
      <c r="C119" s="24">
        <f>IF(A119="","",COUNTIFS(Parcelas!$A$5:$A$404,A119))</f>
        <v/>
      </c>
      <c r="D119" s="25">
        <f>IF(A119="","",SUMIFS(Parcelas!$F$5:$F$404,Parcelas!$A$5:$A$404,A119))</f>
        <v/>
      </c>
      <c r="E119" s="25">
        <f>IF(A119="","",SUMIFS(Parcelas!$F$5:$F$404,Parcelas!$A$5:$A$404,A119,Parcelas!$I$5:$I$404,"Paga"))</f>
        <v/>
      </c>
      <c r="F119" s="25">
        <f>IF(A119="","",D119-E119)</f>
        <v/>
      </c>
      <c r="G119" s="25">
        <f>IF(A119="","",SUMIFS(Parcelas!$F$5:$F$404,Parcelas!$A$5:$A$404,A119,Parcelas!$I$5:$I$404,"Vencida"))</f>
        <v/>
      </c>
      <c r="H119" s="24">
        <f>IF(A119="","",IF(G119&gt;0,"Em atraso",IF(F119&gt;0,"Em dia","Sem parcela em aberto")))</f>
        <v/>
      </c>
    </row>
    <row r="120">
      <c r="A120" s="33" t="n"/>
      <c r="B120" s="35" t="n"/>
      <c r="C120" s="24">
        <f>IF(A120="","",COUNTIFS(Parcelas!$A$5:$A$404,A120))</f>
        <v/>
      </c>
      <c r="D120" s="25">
        <f>IF(A120="","",SUMIFS(Parcelas!$F$5:$F$404,Parcelas!$A$5:$A$404,A120))</f>
        <v/>
      </c>
      <c r="E120" s="25">
        <f>IF(A120="","",SUMIFS(Parcelas!$F$5:$F$404,Parcelas!$A$5:$A$404,A120,Parcelas!$I$5:$I$404,"Paga"))</f>
        <v/>
      </c>
      <c r="F120" s="25">
        <f>IF(A120="","",D120-E120)</f>
        <v/>
      </c>
      <c r="G120" s="25">
        <f>IF(A120="","",SUMIFS(Parcelas!$F$5:$F$404,Parcelas!$A$5:$A$404,A120,Parcelas!$I$5:$I$404,"Vencida"))</f>
        <v/>
      </c>
      <c r="H120" s="24">
        <f>IF(A120="","",IF(G120&gt;0,"Em atraso",IF(F120&gt;0,"Em dia","Sem parcela em aberto")))</f>
        <v/>
      </c>
    </row>
    <row r="121">
      <c r="A121" s="33" t="n"/>
      <c r="B121" s="35" t="n"/>
      <c r="C121" s="24">
        <f>IF(A121="","",COUNTIFS(Parcelas!$A$5:$A$404,A121))</f>
        <v/>
      </c>
      <c r="D121" s="25">
        <f>IF(A121="","",SUMIFS(Parcelas!$F$5:$F$404,Parcelas!$A$5:$A$404,A121))</f>
        <v/>
      </c>
      <c r="E121" s="25">
        <f>IF(A121="","",SUMIFS(Parcelas!$F$5:$F$404,Parcelas!$A$5:$A$404,A121,Parcelas!$I$5:$I$404,"Paga"))</f>
        <v/>
      </c>
      <c r="F121" s="25">
        <f>IF(A121="","",D121-E121)</f>
        <v/>
      </c>
      <c r="G121" s="25">
        <f>IF(A121="","",SUMIFS(Parcelas!$F$5:$F$404,Parcelas!$A$5:$A$404,A121,Parcelas!$I$5:$I$404,"Vencida"))</f>
        <v/>
      </c>
      <c r="H121" s="24">
        <f>IF(A121="","",IF(G121&gt;0,"Em atraso",IF(F121&gt;0,"Em dia","Sem parcela em aberto")))</f>
        <v/>
      </c>
    </row>
    <row r="122">
      <c r="A122" s="33" t="n"/>
      <c r="B122" s="35" t="n"/>
      <c r="C122" s="24">
        <f>IF(A122="","",COUNTIFS(Parcelas!$A$5:$A$404,A122))</f>
        <v/>
      </c>
      <c r="D122" s="25">
        <f>IF(A122="","",SUMIFS(Parcelas!$F$5:$F$404,Parcelas!$A$5:$A$404,A122))</f>
        <v/>
      </c>
      <c r="E122" s="25">
        <f>IF(A122="","",SUMIFS(Parcelas!$F$5:$F$404,Parcelas!$A$5:$A$404,A122,Parcelas!$I$5:$I$404,"Paga"))</f>
        <v/>
      </c>
      <c r="F122" s="25">
        <f>IF(A122="","",D122-E122)</f>
        <v/>
      </c>
      <c r="G122" s="25">
        <f>IF(A122="","",SUMIFS(Parcelas!$F$5:$F$404,Parcelas!$A$5:$A$404,A122,Parcelas!$I$5:$I$404,"Vencida"))</f>
        <v/>
      </c>
      <c r="H122" s="24">
        <f>IF(A122="","",IF(G122&gt;0,"Em atraso",IF(F122&gt;0,"Em dia","Sem parcela em aberto")))</f>
        <v/>
      </c>
    </row>
    <row r="123">
      <c r="A123" s="33" t="n"/>
      <c r="B123" s="35" t="n"/>
      <c r="C123" s="24">
        <f>IF(A123="","",COUNTIFS(Parcelas!$A$5:$A$404,A123))</f>
        <v/>
      </c>
      <c r="D123" s="25">
        <f>IF(A123="","",SUMIFS(Parcelas!$F$5:$F$404,Parcelas!$A$5:$A$404,A123))</f>
        <v/>
      </c>
      <c r="E123" s="25">
        <f>IF(A123="","",SUMIFS(Parcelas!$F$5:$F$404,Parcelas!$A$5:$A$404,A123,Parcelas!$I$5:$I$404,"Paga"))</f>
        <v/>
      </c>
      <c r="F123" s="25">
        <f>IF(A123="","",D123-E123)</f>
        <v/>
      </c>
      <c r="G123" s="25">
        <f>IF(A123="","",SUMIFS(Parcelas!$F$5:$F$404,Parcelas!$A$5:$A$404,A123,Parcelas!$I$5:$I$404,"Vencida"))</f>
        <v/>
      </c>
      <c r="H123" s="24">
        <f>IF(A123="","",IF(G123&gt;0,"Em atraso",IF(F123&gt;0,"Em dia","Sem parcela em aberto")))</f>
        <v/>
      </c>
    </row>
    <row r="124">
      <c r="A124" s="33" t="n"/>
      <c r="B124" s="35" t="n"/>
      <c r="C124" s="24">
        <f>IF(A124="","",COUNTIFS(Parcelas!$A$5:$A$404,A124))</f>
        <v/>
      </c>
      <c r="D124" s="25">
        <f>IF(A124="","",SUMIFS(Parcelas!$F$5:$F$404,Parcelas!$A$5:$A$404,A124))</f>
        <v/>
      </c>
      <c r="E124" s="25">
        <f>IF(A124="","",SUMIFS(Parcelas!$F$5:$F$404,Parcelas!$A$5:$A$404,A124,Parcelas!$I$5:$I$404,"Paga"))</f>
        <v/>
      </c>
      <c r="F124" s="25">
        <f>IF(A124="","",D124-E124)</f>
        <v/>
      </c>
      <c r="G124" s="25">
        <f>IF(A124="","",SUMIFS(Parcelas!$F$5:$F$404,Parcelas!$A$5:$A$404,A124,Parcelas!$I$5:$I$404,"Vencida"))</f>
        <v/>
      </c>
      <c r="H124" s="24">
        <f>IF(A124="","",IF(G124&gt;0,"Em atraso",IF(F124&gt;0,"Em dia","Sem parcela em aberto")))</f>
        <v/>
      </c>
    </row>
    <row r="125">
      <c r="A125" s="33" t="n"/>
      <c r="B125" s="35" t="n"/>
      <c r="C125" s="24">
        <f>IF(A125="","",COUNTIFS(Parcelas!$A$5:$A$404,A125))</f>
        <v/>
      </c>
      <c r="D125" s="25">
        <f>IF(A125="","",SUMIFS(Parcelas!$F$5:$F$404,Parcelas!$A$5:$A$404,A125))</f>
        <v/>
      </c>
      <c r="E125" s="25">
        <f>IF(A125="","",SUMIFS(Parcelas!$F$5:$F$404,Parcelas!$A$5:$A$404,A125,Parcelas!$I$5:$I$404,"Paga"))</f>
        <v/>
      </c>
      <c r="F125" s="25">
        <f>IF(A125="","",D125-E125)</f>
        <v/>
      </c>
      <c r="G125" s="25">
        <f>IF(A125="","",SUMIFS(Parcelas!$F$5:$F$404,Parcelas!$A$5:$A$404,A125,Parcelas!$I$5:$I$404,"Vencida"))</f>
        <v/>
      </c>
      <c r="H125" s="24">
        <f>IF(A125="","",IF(G125&gt;0,"Em atraso",IF(F125&gt;0,"Em dia","Sem parcela em aberto")))</f>
        <v/>
      </c>
    </row>
    <row r="126">
      <c r="A126" s="33" t="n"/>
      <c r="B126" s="35" t="n"/>
      <c r="C126" s="24">
        <f>IF(A126="","",COUNTIFS(Parcelas!$A$5:$A$404,A126))</f>
        <v/>
      </c>
      <c r="D126" s="25">
        <f>IF(A126="","",SUMIFS(Parcelas!$F$5:$F$404,Parcelas!$A$5:$A$404,A126))</f>
        <v/>
      </c>
      <c r="E126" s="25">
        <f>IF(A126="","",SUMIFS(Parcelas!$F$5:$F$404,Parcelas!$A$5:$A$404,A126,Parcelas!$I$5:$I$404,"Paga"))</f>
        <v/>
      </c>
      <c r="F126" s="25">
        <f>IF(A126="","",D126-E126)</f>
        <v/>
      </c>
      <c r="G126" s="25">
        <f>IF(A126="","",SUMIFS(Parcelas!$F$5:$F$404,Parcelas!$A$5:$A$404,A126,Parcelas!$I$5:$I$404,"Vencida"))</f>
        <v/>
      </c>
      <c r="H126" s="24">
        <f>IF(A126="","",IF(G126&gt;0,"Em atraso",IF(F126&gt;0,"Em dia","Sem parcela em aberto")))</f>
        <v/>
      </c>
    </row>
    <row r="127">
      <c r="A127" s="33" t="n"/>
      <c r="B127" s="35" t="n"/>
      <c r="C127" s="24">
        <f>IF(A127="","",COUNTIFS(Parcelas!$A$5:$A$404,A127))</f>
        <v/>
      </c>
      <c r="D127" s="25">
        <f>IF(A127="","",SUMIFS(Parcelas!$F$5:$F$404,Parcelas!$A$5:$A$404,A127))</f>
        <v/>
      </c>
      <c r="E127" s="25">
        <f>IF(A127="","",SUMIFS(Parcelas!$F$5:$F$404,Parcelas!$A$5:$A$404,A127,Parcelas!$I$5:$I$404,"Paga"))</f>
        <v/>
      </c>
      <c r="F127" s="25">
        <f>IF(A127="","",D127-E127)</f>
        <v/>
      </c>
      <c r="G127" s="25">
        <f>IF(A127="","",SUMIFS(Parcelas!$F$5:$F$404,Parcelas!$A$5:$A$404,A127,Parcelas!$I$5:$I$404,"Vencida"))</f>
        <v/>
      </c>
      <c r="H127" s="24">
        <f>IF(A127="","",IF(G127&gt;0,"Em atraso",IF(F127&gt;0,"Em dia","Sem parcela em aberto")))</f>
        <v/>
      </c>
    </row>
    <row r="128">
      <c r="A128" s="33" t="n"/>
      <c r="B128" s="35" t="n"/>
      <c r="C128" s="24">
        <f>IF(A128="","",COUNTIFS(Parcelas!$A$5:$A$404,A128))</f>
        <v/>
      </c>
      <c r="D128" s="25">
        <f>IF(A128="","",SUMIFS(Parcelas!$F$5:$F$404,Parcelas!$A$5:$A$404,A128))</f>
        <v/>
      </c>
      <c r="E128" s="25">
        <f>IF(A128="","",SUMIFS(Parcelas!$F$5:$F$404,Parcelas!$A$5:$A$404,A128,Parcelas!$I$5:$I$404,"Paga"))</f>
        <v/>
      </c>
      <c r="F128" s="25">
        <f>IF(A128="","",D128-E128)</f>
        <v/>
      </c>
      <c r="G128" s="25">
        <f>IF(A128="","",SUMIFS(Parcelas!$F$5:$F$404,Parcelas!$A$5:$A$404,A128,Parcelas!$I$5:$I$404,"Vencida"))</f>
        <v/>
      </c>
      <c r="H128" s="24">
        <f>IF(A128="","",IF(G128&gt;0,"Em atraso",IF(F128&gt;0,"Em dia","Sem parcela em aberto")))</f>
        <v/>
      </c>
    </row>
    <row r="129">
      <c r="A129" s="33" t="n"/>
      <c r="B129" s="35" t="n"/>
      <c r="C129" s="24">
        <f>IF(A129="","",COUNTIFS(Parcelas!$A$5:$A$404,A129))</f>
        <v/>
      </c>
      <c r="D129" s="25">
        <f>IF(A129="","",SUMIFS(Parcelas!$F$5:$F$404,Parcelas!$A$5:$A$404,A129))</f>
        <v/>
      </c>
      <c r="E129" s="25">
        <f>IF(A129="","",SUMIFS(Parcelas!$F$5:$F$404,Parcelas!$A$5:$A$404,A129,Parcelas!$I$5:$I$404,"Paga"))</f>
        <v/>
      </c>
      <c r="F129" s="25">
        <f>IF(A129="","",D129-E129)</f>
        <v/>
      </c>
      <c r="G129" s="25">
        <f>IF(A129="","",SUMIFS(Parcelas!$F$5:$F$404,Parcelas!$A$5:$A$404,A129,Parcelas!$I$5:$I$404,"Vencida"))</f>
        <v/>
      </c>
      <c r="H129" s="24">
        <f>IF(A129="","",IF(G129&gt;0,"Em atraso",IF(F129&gt;0,"Em dia","Sem parcela em aberto")))</f>
        <v/>
      </c>
    </row>
    <row r="130">
      <c r="A130" s="33" t="n"/>
      <c r="B130" s="35" t="n"/>
      <c r="C130" s="24">
        <f>IF(A130="","",COUNTIFS(Parcelas!$A$5:$A$404,A130))</f>
        <v/>
      </c>
      <c r="D130" s="25">
        <f>IF(A130="","",SUMIFS(Parcelas!$F$5:$F$404,Parcelas!$A$5:$A$404,A130))</f>
        <v/>
      </c>
      <c r="E130" s="25">
        <f>IF(A130="","",SUMIFS(Parcelas!$F$5:$F$404,Parcelas!$A$5:$A$404,A130,Parcelas!$I$5:$I$404,"Paga"))</f>
        <v/>
      </c>
      <c r="F130" s="25">
        <f>IF(A130="","",D130-E130)</f>
        <v/>
      </c>
      <c r="G130" s="25">
        <f>IF(A130="","",SUMIFS(Parcelas!$F$5:$F$404,Parcelas!$A$5:$A$404,A130,Parcelas!$I$5:$I$404,"Vencida"))</f>
        <v/>
      </c>
      <c r="H130" s="24">
        <f>IF(A130="","",IF(G130&gt;0,"Em atraso",IF(F130&gt;0,"Em dia","Sem parcela em aberto")))</f>
        <v/>
      </c>
    </row>
    <row r="131">
      <c r="A131" s="33" t="n"/>
      <c r="B131" s="35" t="n"/>
      <c r="C131" s="24">
        <f>IF(A131="","",COUNTIFS(Parcelas!$A$5:$A$404,A131))</f>
        <v/>
      </c>
      <c r="D131" s="25">
        <f>IF(A131="","",SUMIFS(Parcelas!$F$5:$F$404,Parcelas!$A$5:$A$404,A131))</f>
        <v/>
      </c>
      <c r="E131" s="25">
        <f>IF(A131="","",SUMIFS(Parcelas!$F$5:$F$404,Parcelas!$A$5:$A$404,A131,Parcelas!$I$5:$I$404,"Paga"))</f>
        <v/>
      </c>
      <c r="F131" s="25">
        <f>IF(A131="","",D131-E131)</f>
        <v/>
      </c>
      <c r="G131" s="25">
        <f>IF(A131="","",SUMIFS(Parcelas!$F$5:$F$404,Parcelas!$A$5:$A$404,A131,Parcelas!$I$5:$I$404,"Vencida"))</f>
        <v/>
      </c>
      <c r="H131" s="24">
        <f>IF(A131="","",IF(G131&gt;0,"Em atraso",IF(F131&gt;0,"Em dia","Sem parcela em aberto")))</f>
        <v/>
      </c>
    </row>
    <row r="132">
      <c r="A132" s="33" t="n"/>
      <c r="B132" s="35" t="n"/>
      <c r="C132" s="24">
        <f>IF(A132="","",COUNTIFS(Parcelas!$A$5:$A$404,A132))</f>
        <v/>
      </c>
      <c r="D132" s="25">
        <f>IF(A132="","",SUMIFS(Parcelas!$F$5:$F$404,Parcelas!$A$5:$A$404,A132))</f>
        <v/>
      </c>
      <c r="E132" s="25">
        <f>IF(A132="","",SUMIFS(Parcelas!$F$5:$F$404,Parcelas!$A$5:$A$404,A132,Parcelas!$I$5:$I$404,"Paga"))</f>
        <v/>
      </c>
      <c r="F132" s="25">
        <f>IF(A132="","",D132-E132)</f>
        <v/>
      </c>
      <c r="G132" s="25">
        <f>IF(A132="","",SUMIFS(Parcelas!$F$5:$F$404,Parcelas!$A$5:$A$404,A132,Parcelas!$I$5:$I$404,"Vencida"))</f>
        <v/>
      </c>
      <c r="H132" s="24">
        <f>IF(A132="","",IF(G132&gt;0,"Em atraso",IF(F132&gt;0,"Em dia","Sem parcela em aberto")))</f>
        <v/>
      </c>
    </row>
    <row r="133">
      <c r="A133" s="33" t="n"/>
      <c r="B133" s="35" t="n"/>
      <c r="C133" s="24">
        <f>IF(A133="","",COUNTIFS(Parcelas!$A$5:$A$404,A133))</f>
        <v/>
      </c>
      <c r="D133" s="25">
        <f>IF(A133="","",SUMIFS(Parcelas!$F$5:$F$404,Parcelas!$A$5:$A$404,A133))</f>
        <v/>
      </c>
      <c r="E133" s="25">
        <f>IF(A133="","",SUMIFS(Parcelas!$F$5:$F$404,Parcelas!$A$5:$A$404,A133,Parcelas!$I$5:$I$404,"Paga"))</f>
        <v/>
      </c>
      <c r="F133" s="25">
        <f>IF(A133="","",D133-E133)</f>
        <v/>
      </c>
      <c r="G133" s="25">
        <f>IF(A133="","",SUMIFS(Parcelas!$F$5:$F$404,Parcelas!$A$5:$A$404,A133,Parcelas!$I$5:$I$404,"Vencida"))</f>
        <v/>
      </c>
      <c r="H133" s="24">
        <f>IF(A133="","",IF(G133&gt;0,"Em atraso",IF(F133&gt;0,"Em dia","Sem parcela em aberto")))</f>
        <v/>
      </c>
    </row>
    <row r="134">
      <c r="A134" s="33" t="n"/>
      <c r="B134" s="35" t="n"/>
      <c r="C134" s="24">
        <f>IF(A134="","",COUNTIFS(Parcelas!$A$5:$A$404,A134))</f>
        <v/>
      </c>
      <c r="D134" s="25">
        <f>IF(A134="","",SUMIFS(Parcelas!$F$5:$F$404,Parcelas!$A$5:$A$404,A134))</f>
        <v/>
      </c>
      <c r="E134" s="25">
        <f>IF(A134="","",SUMIFS(Parcelas!$F$5:$F$404,Parcelas!$A$5:$A$404,A134,Parcelas!$I$5:$I$404,"Paga"))</f>
        <v/>
      </c>
      <c r="F134" s="25">
        <f>IF(A134="","",D134-E134)</f>
        <v/>
      </c>
      <c r="G134" s="25">
        <f>IF(A134="","",SUMIFS(Parcelas!$F$5:$F$404,Parcelas!$A$5:$A$404,A134,Parcelas!$I$5:$I$404,"Vencida"))</f>
        <v/>
      </c>
      <c r="H134" s="24">
        <f>IF(A134="","",IF(G134&gt;0,"Em atraso",IF(F134&gt;0,"Em dia","Sem parcela em aberto")))</f>
        <v/>
      </c>
    </row>
    <row r="135">
      <c r="A135" s="33" t="n"/>
      <c r="B135" s="35" t="n"/>
      <c r="C135" s="24">
        <f>IF(A135="","",COUNTIFS(Parcelas!$A$5:$A$404,A135))</f>
        <v/>
      </c>
      <c r="D135" s="25">
        <f>IF(A135="","",SUMIFS(Parcelas!$F$5:$F$404,Parcelas!$A$5:$A$404,A135))</f>
        <v/>
      </c>
      <c r="E135" s="25">
        <f>IF(A135="","",SUMIFS(Parcelas!$F$5:$F$404,Parcelas!$A$5:$A$404,A135,Parcelas!$I$5:$I$404,"Paga"))</f>
        <v/>
      </c>
      <c r="F135" s="25">
        <f>IF(A135="","",D135-E135)</f>
        <v/>
      </c>
      <c r="G135" s="25">
        <f>IF(A135="","",SUMIFS(Parcelas!$F$5:$F$404,Parcelas!$A$5:$A$404,A135,Parcelas!$I$5:$I$404,"Vencida"))</f>
        <v/>
      </c>
      <c r="H135" s="24">
        <f>IF(A135="","",IF(G135&gt;0,"Em atraso",IF(F135&gt;0,"Em dia","Sem parcela em aberto")))</f>
        <v/>
      </c>
    </row>
    <row r="136">
      <c r="A136" s="33" t="n"/>
      <c r="B136" s="35" t="n"/>
      <c r="C136" s="24">
        <f>IF(A136="","",COUNTIFS(Parcelas!$A$5:$A$404,A136))</f>
        <v/>
      </c>
      <c r="D136" s="25">
        <f>IF(A136="","",SUMIFS(Parcelas!$F$5:$F$404,Parcelas!$A$5:$A$404,A136))</f>
        <v/>
      </c>
      <c r="E136" s="25">
        <f>IF(A136="","",SUMIFS(Parcelas!$F$5:$F$404,Parcelas!$A$5:$A$404,A136,Parcelas!$I$5:$I$404,"Paga"))</f>
        <v/>
      </c>
      <c r="F136" s="25">
        <f>IF(A136="","",D136-E136)</f>
        <v/>
      </c>
      <c r="G136" s="25">
        <f>IF(A136="","",SUMIFS(Parcelas!$F$5:$F$404,Parcelas!$A$5:$A$404,A136,Parcelas!$I$5:$I$404,"Vencida"))</f>
        <v/>
      </c>
      <c r="H136" s="24">
        <f>IF(A136="","",IF(G136&gt;0,"Em atraso",IF(F136&gt;0,"Em dia","Sem parcela em aberto")))</f>
        <v/>
      </c>
    </row>
    <row r="137">
      <c r="A137" s="33" t="n"/>
      <c r="B137" s="35" t="n"/>
      <c r="C137" s="24">
        <f>IF(A137="","",COUNTIFS(Parcelas!$A$5:$A$404,A137))</f>
        <v/>
      </c>
      <c r="D137" s="25">
        <f>IF(A137="","",SUMIFS(Parcelas!$F$5:$F$404,Parcelas!$A$5:$A$404,A137))</f>
        <v/>
      </c>
      <c r="E137" s="25">
        <f>IF(A137="","",SUMIFS(Parcelas!$F$5:$F$404,Parcelas!$A$5:$A$404,A137,Parcelas!$I$5:$I$404,"Paga"))</f>
        <v/>
      </c>
      <c r="F137" s="25">
        <f>IF(A137="","",D137-E137)</f>
        <v/>
      </c>
      <c r="G137" s="25">
        <f>IF(A137="","",SUMIFS(Parcelas!$F$5:$F$404,Parcelas!$A$5:$A$404,A137,Parcelas!$I$5:$I$404,"Vencida"))</f>
        <v/>
      </c>
      <c r="H137" s="24">
        <f>IF(A137="","",IF(G137&gt;0,"Em atraso",IF(F137&gt;0,"Em dia","Sem parcela em aberto")))</f>
        <v/>
      </c>
    </row>
    <row r="138">
      <c r="A138" s="33" t="n"/>
      <c r="B138" s="35" t="n"/>
      <c r="C138" s="24">
        <f>IF(A138="","",COUNTIFS(Parcelas!$A$5:$A$404,A138))</f>
        <v/>
      </c>
      <c r="D138" s="25">
        <f>IF(A138="","",SUMIFS(Parcelas!$F$5:$F$404,Parcelas!$A$5:$A$404,A138))</f>
        <v/>
      </c>
      <c r="E138" s="25">
        <f>IF(A138="","",SUMIFS(Parcelas!$F$5:$F$404,Parcelas!$A$5:$A$404,A138,Parcelas!$I$5:$I$404,"Paga"))</f>
        <v/>
      </c>
      <c r="F138" s="25">
        <f>IF(A138="","",D138-E138)</f>
        <v/>
      </c>
      <c r="G138" s="25">
        <f>IF(A138="","",SUMIFS(Parcelas!$F$5:$F$404,Parcelas!$A$5:$A$404,A138,Parcelas!$I$5:$I$404,"Vencida"))</f>
        <v/>
      </c>
      <c r="H138" s="24">
        <f>IF(A138="","",IF(G138&gt;0,"Em atraso",IF(F138&gt;0,"Em dia","Sem parcela em aberto")))</f>
        <v/>
      </c>
    </row>
    <row r="139">
      <c r="A139" s="33" t="n"/>
      <c r="B139" s="35" t="n"/>
      <c r="C139" s="24">
        <f>IF(A139="","",COUNTIFS(Parcelas!$A$5:$A$404,A139))</f>
        <v/>
      </c>
      <c r="D139" s="25">
        <f>IF(A139="","",SUMIFS(Parcelas!$F$5:$F$404,Parcelas!$A$5:$A$404,A139))</f>
        <v/>
      </c>
      <c r="E139" s="25">
        <f>IF(A139="","",SUMIFS(Parcelas!$F$5:$F$404,Parcelas!$A$5:$A$404,A139,Parcelas!$I$5:$I$404,"Paga"))</f>
        <v/>
      </c>
      <c r="F139" s="25">
        <f>IF(A139="","",D139-E139)</f>
        <v/>
      </c>
      <c r="G139" s="25">
        <f>IF(A139="","",SUMIFS(Parcelas!$F$5:$F$404,Parcelas!$A$5:$A$404,A139,Parcelas!$I$5:$I$404,"Vencida"))</f>
        <v/>
      </c>
      <c r="H139" s="24">
        <f>IF(A139="","",IF(G139&gt;0,"Em atraso",IF(F139&gt;0,"Em dia","Sem parcela em aberto")))</f>
        <v/>
      </c>
    </row>
    <row r="140">
      <c r="A140" s="33" t="n"/>
      <c r="B140" s="35" t="n"/>
      <c r="C140" s="24">
        <f>IF(A140="","",COUNTIFS(Parcelas!$A$5:$A$404,A140))</f>
        <v/>
      </c>
      <c r="D140" s="25">
        <f>IF(A140="","",SUMIFS(Parcelas!$F$5:$F$404,Parcelas!$A$5:$A$404,A140))</f>
        <v/>
      </c>
      <c r="E140" s="25">
        <f>IF(A140="","",SUMIFS(Parcelas!$F$5:$F$404,Parcelas!$A$5:$A$404,A140,Parcelas!$I$5:$I$404,"Paga"))</f>
        <v/>
      </c>
      <c r="F140" s="25">
        <f>IF(A140="","",D140-E140)</f>
        <v/>
      </c>
      <c r="G140" s="25">
        <f>IF(A140="","",SUMIFS(Parcelas!$F$5:$F$404,Parcelas!$A$5:$A$404,A140,Parcelas!$I$5:$I$404,"Vencida"))</f>
        <v/>
      </c>
      <c r="H140" s="24">
        <f>IF(A140="","",IF(G140&gt;0,"Em atraso",IF(F140&gt;0,"Em dia","Sem parcela em aberto")))</f>
        <v/>
      </c>
    </row>
    <row r="141">
      <c r="A141" s="33" t="n"/>
      <c r="B141" s="35" t="n"/>
      <c r="C141" s="24">
        <f>IF(A141="","",COUNTIFS(Parcelas!$A$5:$A$404,A141))</f>
        <v/>
      </c>
      <c r="D141" s="25">
        <f>IF(A141="","",SUMIFS(Parcelas!$F$5:$F$404,Parcelas!$A$5:$A$404,A141))</f>
        <v/>
      </c>
      <c r="E141" s="25">
        <f>IF(A141="","",SUMIFS(Parcelas!$F$5:$F$404,Parcelas!$A$5:$A$404,A141,Parcelas!$I$5:$I$404,"Paga"))</f>
        <v/>
      </c>
      <c r="F141" s="25">
        <f>IF(A141="","",D141-E141)</f>
        <v/>
      </c>
      <c r="G141" s="25">
        <f>IF(A141="","",SUMIFS(Parcelas!$F$5:$F$404,Parcelas!$A$5:$A$404,A141,Parcelas!$I$5:$I$404,"Vencida"))</f>
        <v/>
      </c>
      <c r="H141" s="24">
        <f>IF(A141="","",IF(G141&gt;0,"Em atraso",IF(F141&gt;0,"Em dia","Sem parcela em aberto")))</f>
        <v/>
      </c>
    </row>
    <row r="142">
      <c r="A142" s="33" t="n"/>
      <c r="B142" s="35" t="n"/>
      <c r="C142" s="24">
        <f>IF(A142="","",COUNTIFS(Parcelas!$A$5:$A$404,A142))</f>
        <v/>
      </c>
      <c r="D142" s="25">
        <f>IF(A142="","",SUMIFS(Parcelas!$F$5:$F$404,Parcelas!$A$5:$A$404,A142))</f>
        <v/>
      </c>
      <c r="E142" s="25">
        <f>IF(A142="","",SUMIFS(Parcelas!$F$5:$F$404,Parcelas!$A$5:$A$404,A142,Parcelas!$I$5:$I$404,"Paga"))</f>
        <v/>
      </c>
      <c r="F142" s="25">
        <f>IF(A142="","",D142-E142)</f>
        <v/>
      </c>
      <c r="G142" s="25">
        <f>IF(A142="","",SUMIFS(Parcelas!$F$5:$F$404,Parcelas!$A$5:$A$404,A142,Parcelas!$I$5:$I$404,"Vencida"))</f>
        <v/>
      </c>
      <c r="H142" s="24">
        <f>IF(A142="","",IF(G142&gt;0,"Em atraso",IF(F142&gt;0,"Em dia","Sem parcela em aberto")))</f>
        <v/>
      </c>
    </row>
    <row r="143">
      <c r="A143" s="33" t="n"/>
      <c r="B143" s="35" t="n"/>
      <c r="C143" s="24">
        <f>IF(A143="","",COUNTIFS(Parcelas!$A$5:$A$404,A143))</f>
        <v/>
      </c>
      <c r="D143" s="25">
        <f>IF(A143="","",SUMIFS(Parcelas!$F$5:$F$404,Parcelas!$A$5:$A$404,A143))</f>
        <v/>
      </c>
      <c r="E143" s="25">
        <f>IF(A143="","",SUMIFS(Parcelas!$F$5:$F$404,Parcelas!$A$5:$A$404,A143,Parcelas!$I$5:$I$404,"Paga"))</f>
        <v/>
      </c>
      <c r="F143" s="25">
        <f>IF(A143="","",D143-E143)</f>
        <v/>
      </c>
      <c r="G143" s="25">
        <f>IF(A143="","",SUMIFS(Parcelas!$F$5:$F$404,Parcelas!$A$5:$A$404,A143,Parcelas!$I$5:$I$404,"Vencida"))</f>
        <v/>
      </c>
      <c r="H143" s="24">
        <f>IF(A143="","",IF(G143&gt;0,"Em atraso",IF(F143&gt;0,"Em dia","Sem parcela em aberto")))</f>
        <v/>
      </c>
    </row>
    <row r="144">
      <c r="A144" s="33" t="n"/>
      <c r="B144" s="35" t="n"/>
      <c r="C144" s="24">
        <f>IF(A144="","",COUNTIFS(Parcelas!$A$5:$A$404,A144))</f>
        <v/>
      </c>
      <c r="D144" s="25">
        <f>IF(A144="","",SUMIFS(Parcelas!$F$5:$F$404,Parcelas!$A$5:$A$404,A144))</f>
        <v/>
      </c>
      <c r="E144" s="25">
        <f>IF(A144="","",SUMIFS(Parcelas!$F$5:$F$404,Parcelas!$A$5:$A$404,A144,Parcelas!$I$5:$I$404,"Paga"))</f>
        <v/>
      </c>
      <c r="F144" s="25">
        <f>IF(A144="","",D144-E144)</f>
        <v/>
      </c>
      <c r="G144" s="25">
        <f>IF(A144="","",SUMIFS(Parcelas!$F$5:$F$404,Parcelas!$A$5:$A$404,A144,Parcelas!$I$5:$I$404,"Vencida"))</f>
        <v/>
      </c>
      <c r="H144" s="24">
        <f>IF(A144="","",IF(G144&gt;0,"Em atraso",IF(F144&gt;0,"Em dia","Sem parcela em aberto")))</f>
        <v/>
      </c>
    </row>
    <row r="145">
      <c r="A145" s="33" t="n"/>
      <c r="B145" s="35" t="n"/>
      <c r="C145" s="24">
        <f>IF(A145="","",COUNTIFS(Parcelas!$A$5:$A$404,A145))</f>
        <v/>
      </c>
      <c r="D145" s="25">
        <f>IF(A145="","",SUMIFS(Parcelas!$F$5:$F$404,Parcelas!$A$5:$A$404,A145))</f>
        <v/>
      </c>
      <c r="E145" s="25">
        <f>IF(A145="","",SUMIFS(Parcelas!$F$5:$F$404,Parcelas!$A$5:$A$404,A145,Parcelas!$I$5:$I$404,"Paga"))</f>
        <v/>
      </c>
      <c r="F145" s="25">
        <f>IF(A145="","",D145-E145)</f>
        <v/>
      </c>
      <c r="G145" s="25">
        <f>IF(A145="","",SUMIFS(Parcelas!$F$5:$F$404,Parcelas!$A$5:$A$404,A145,Parcelas!$I$5:$I$404,"Vencida"))</f>
        <v/>
      </c>
      <c r="H145" s="24">
        <f>IF(A145="","",IF(G145&gt;0,"Em atraso",IF(F145&gt;0,"Em dia","Sem parcela em aberto")))</f>
        <v/>
      </c>
    </row>
    <row r="146">
      <c r="A146" s="33" t="n"/>
      <c r="B146" s="35" t="n"/>
      <c r="C146" s="24">
        <f>IF(A146="","",COUNTIFS(Parcelas!$A$5:$A$404,A146))</f>
        <v/>
      </c>
      <c r="D146" s="25">
        <f>IF(A146="","",SUMIFS(Parcelas!$F$5:$F$404,Parcelas!$A$5:$A$404,A146))</f>
        <v/>
      </c>
      <c r="E146" s="25">
        <f>IF(A146="","",SUMIFS(Parcelas!$F$5:$F$404,Parcelas!$A$5:$A$404,A146,Parcelas!$I$5:$I$404,"Paga"))</f>
        <v/>
      </c>
      <c r="F146" s="25">
        <f>IF(A146="","",D146-E146)</f>
        <v/>
      </c>
      <c r="G146" s="25">
        <f>IF(A146="","",SUMIFS(Parcelas!$F$5:$F$404,Parcelas!$A$5:$A$404,A146,Parcelas!$I$5:$I$404,"Vencida"))</f>
        <v/>
      </c>
      <c r="H146" s="24">
        <f>IF(A146="","",IF(G146&gt;0,"Em atraso",IF(F146&gt;0,"Em dia","Sem parcela em aberto")))</f>
        <v/>
      </c>
    </row>
    <row r="147">
      <c r="A147" s="33" t="n"/>
      <c r="B147" s="35" t="n"/>
      <c r="C147" s="24">
        <f>IF(A147="","",COUNTIFS(Parcelas!$A$5:$A$404,A147))</f>
        <v/>
      </c>
      <c r="D147" s="25">
        <f>IF(A147="","",SUMIFS(Parcelas!$F$5:$F$404,Parcelas!$A$5:$A$404,A147))</f>
        <v/>
      </c>
      <c r="E147" s="25">
        <f>IF(A147="","",SUMIFS(Parcelas!$F$5:$F$404,Parcelas!$A$5:$A$404,A147,Parcelas!$I$5:$I$404,"Paga"))</f>
        <v/>
      </c>
      <c r="F147" s="25">
        <f>IF(A147="","",D147-E147)</f>
        <v/>
      </c>
      <c r="G147" s="25">
        <f>IF(A147="","",SUMIFS(Parcelas!$F$5:$F$404,Parcelas!$A$5:$A$404,A147,Parcelas!$I$5:$I$404,"Vencida"))</f>
        <v/>
      </c>
      <c r="H147" s="24">
        <f>IF(A147="","",IF(G147&gt;0,"Em atraso",IF(F147&gt;0,"Em dia","Sem parcela em aberto")))</f>
        <v/>
      </c>
    </row>
    <row r="148">
      <c r="A148" s="33" t="n"/>
      <c r="B148" s="35" t="n"/>
      <c r="C148" s="24">
        <f>IF(A148="","",COUNTIFS(Parcelas!$A$5:$A$404,A148))</f>
        <v/>
      </c>
      <c r="D148" s="25">
        <f>IF(A148="","",SUMIFS(Parcelas!$F$5:$F$404,Parcelas!$A$5:$A$404,A148))</f>
        <v/>
      </c>
      <c r="E148" s="25">
        <f>IF(A148="","",SUMIFS(Parcelas!$F$5:$F$404,Parcelas!$A$5:$A$404,A148,Parcelas!$I$5:$I$404,"Paga"))</f>
        <v/>
      </c>
      <c r="F148" s="25">
        <f>IF(A148="","",D148-E148)</f>
        <v/>
      </c>
      <c r="G148" s="25">
        <f>IF(A148="","",SUMIFS(Parcelas!$F$5:$F$404,Parcelas!$A$5:$A$404,A148,Parcelas!$I$5:$I$404,"Vencida"))</f>
        <v/>
      </c>
      <c r="H148" s="24">
        <f>IF(A148="","",IF(G148&gt;0,"Em atraso",IF(F148&gt;0,"Em dia","Sem parcela em aberto")))</f>
        <v/>
      </c>
    </row>
    <row r="149">
      <c r="A149" s="33" t="n"/>
      <c r="B149" s="35" t="n"/>
      <c r="C149" s="24">
        <f>IF(A149="","",COUNTIFS(Parcelas!$A$5:$A$404,A149))</f>
        <v/>
      </c>
      <c r="D149" s="25">
        <f>IF(A149="","",SUMIFS(Parcelas!$F$5:$F$404,Parcelas!$A$5:$A$404,A149))</f>
        <v/>
      </c>
      <c r="E149" s="25">
        <f>IF(A149="","",SUMIFS(Parcelas!$F$5:$F$404,Parcelas!$A$5:$A$404,A149,Parcelas!$I$5:$I$404,"Paga"))</f>
        <v/>
      </c>
      <c r="F149" s="25">
        <f>IF(A149="","",D149-E149)</f>
        <v/>
      </c>
      <c r="G149" s="25">
        <f>IF(A149="","",SUMIFS(Parcelas!$F$5:$F$404,Parcelas!$A$5:$A$404,A149,Parcelas!$I$5:$I$404,"Vencida"))</f>
        <v/>
      </c>
      <c r="H149" s="24">
        <f>IF(A149="","",IF(G149&gt;0,"Em atraso",IF(F149&gt;0,"Em dia","Sem parcela em aberto")))</f>
        <v/>
      </c>
    </row>
    <row r="150">
      <c r="A150" s="33" t="n"/>
      <c r="B150" s="35" t="n"/>
      <c r="C150" s="24">
        <f>IF(A150="","",COUNTIFS(Parcelas!$A$5:$A$404,A150))</f>
        <v/>
      </c>
      <c r="D150" s="25">
        <f>IF(A150="","",SUMIFS(Parcelas!$F$5:$F$404,Parcelas!$A$5:$A$404,A150))</f>
        <v/>
      </c>
      <c r="E150" s="25">
        <f>IF(A150="","",SUMIFS(Parcelas!$F$5:$F$404,Parcelas!$A$5:$A$404,A150,Parcelas!$I$5:$I$404,"Paga"))</f>
        <v/>
      </c>
      <c r="F150" s="25">
        <f>IF(A150="","",D150-E150)</f>
        <v/>
      </c>
      <c r="G150" s="25">
        <f>IF(A150="","",SUMIFS(Parcelas!$F$5:$F$404,Parcelas!$A$5:$A$404,A150,Parcelas!$I$5:$I$404,"Vencida"))</f>
        <v/>
      </c>
      <c r="H150" s="24">
        <f>IF(A150="","",IF(G150&gt;0,"Em atraso",IF(F150&gt;0,"Em dia","Sem parcela em aberto")))</f>
        <v/>
      </c>
    </row>
    <row r="151">
      <c r="A151" s="33" t="n"/>
      <c r="B151" s="35" t="n"/>
      <c r="C151" s="24">
        <f>IF(A151="","",COUNTIFS(Parcelas!$A$5:$A$404,A151))</f>
        <v/>
      </c>
      <c r="D151" s="25">
        <f>IF(A151="","",SUMIFS(Parcelas!$F$5:$F$404,Parcelas!$A$5:$A$404,A151))</f>
        <v/>
      </c>
      <c r="E151" s="25">
        <f>IF(A151="","",SUMIFS(Parcelas!$F$5:$F$404,Parcelas!$A$5:$A$404,A151,Parcelas!$I$5:$I$404,"Paga"))</f>
        <v/>
      </c>
      <c r="F151" s="25">
        <f>IF(A151="","",D151-E151)</f>
        <v/>
      </c>
      <c r="G151" s="25">
        <f>IF(A151="","",SUMIFS(Parcelas!$F$5:$F$404,Parcelas!$A$5:$A$404,A151,Parcelas!$I$5:$I$404,"Vencida"))</f>
        <v/>
      </c>
      <c r="H151" s="24">
        <f>IF(A151="","",IF(G151&gt;0,"Em atraso",IF(F151&gt;0,"Em dia","Sem parcela em aberto")))</f>
        <v/>
      </c>
    </row>
    <row r="152">
      <c r="A152" s="33" t="n"/>
      <c r="B152" s="35" t="n"/>
      <c r="C152" s="24">
        <f>IF(A152="","",COUNTIFS(Parcelas!$A$5:$A$404,A152))</f>
        <v/>
      </c>
      <c r="D152" s="25">
        <f>IF(A152="","",SUMIFS(Parcelas!$F$5:$F$404,Parcelas!$A$5:$A$404,A152))</f>
        <v/>
      </c>
      <c r="E152" s="25">
        <f>IF(A152="","",SUMIFS(Parcelas!$F$5:$F$404,Parcelas!$A$5:$A$404,A152,Parcelas!$I$5:$I$404,"Paga"))</f>
        <v/>
      </c>
      <c r="F152" s="25">
        <f>IF(A152="","",D152-E152)</f>
        <v/>
      </c>
      <c r="G152" s="25">
        <f>IF(A152="","",SUMIFS(Parcelas!$F$5:$F$404,Parcelas!$A$5:$A$404,A152,Parcelas!$I$5:$I$404,"Vencida"))</f>
        <v/>
      </c>
      <c r="H152" s="24">
        <f>IF(A152="","",IF(G152&gt;0,"Em atraso",IF(F152&gt;0,"Em dia","Sem parcela em aberto")))</f>
        <v/>
      </c>
    </row>
    <row r="153">
      <c r="A153" s="33" t="n"/>
      <c r="B153" s="35" t="n"/>
      <c r="C153" s="24">
        <f>IF(A153="","",COUNTIFS(Parcelas!$A$5:$A$404,A153))</f>
        <v/>
      </c>
      <c r="D153" s="25">
        <f>IF(A153="","",SUMIFS(Parcelas!$F$5:$F$404,Parcelas!$A$5:$A$404,A153))</f>
        <v/>
      </c>
      <c r="E153" s="25">
        <f>IF(A153="","",SUMIFS(Parcelas!$F$5:$F$404,Parcelas!$A$5:$A$404,A153,Parcelas!$I$5:$I$404,"Paga"))</f>
        <v/>
      </c>
      <c r="F153" s="25">
        <f>IF(A153="","",D153-E153)</f>
        <v/>
      </c>
      <c r="G153" s="25">
        <f>IF(A153="","",SUMIFS(Parcelas!$F$5:$F$404,Parcelas!$A$5:$A$404,A153,Parcelas!$I$5:$I$404,"Vencida"))</f>
        <v/>
      </c>
      <c r="H153" s="24">
        <f>IF(A153="","",IF(G153&gt;0,"Em atraso",IF(F153&gt;0,"Em dia","Sem parcela em aberto")))</f>
        <v/>
      </c>
    </row>
    <row r="154">
      <c r="A154" s="33" t="n"/>
      <c r="B154" s="35" t="n"/>
      <c r="C154" s="24">
        <f>IF(A154="","",COUNTIFS(Parcelas!$A$5:$A$404,A154))</f>
        <v/>
      </c>
      <c r="D154" s="25">
        <f>IF(A154="","",SUMIFS(Parcelas!$F$5:$F$404,Parcelas!$A$5:$A$404,A154))</f>
        <v/>
      </c>
      <c r="E154" s="25">
        <f>IF(A154="","",SUMIFS(Parcelas!$F$5:$F$404,Parcelas!$A$5:$A$404,A154,Parcelas!$I$5:$I$404,"Paga"))</f>
        <v/>
      </c>
      <c r="F154" s="25">
        <f>IF(A154="","",D154-E154)</f>
        <v/>
      </c>
      <c r="G154" s="25">
        <f>IF(A154="","",SUMIFS(Parcelas!$F$5:$F$404,Parcelas!$A$5:$A$404,A154,Parcelas!$I$5:$I$404,"Vencida"))</f>
        <v/>
      </c>
      <c r="H154" s="24">
        <f>IF(A154="","",IF(G154&gt;0,"Em atraso",IF(F154&gt;0,"Em dia","Sem parcela em aberto")))</f>
        <v/>
      </c>
    </row>
    <row r="155">
      <c r="A155" s="33" t="n"/>
      <c r="B155" s="35" t="n"/>
      <c r="C155" s="24">
        <f>IF(A155="","",COUNTIFS(Parcelas!$A$5:$A$404,A155))</f>
        <v/>
      </c>
      <c r="D155" s="25">
        <f>IF(A155="","",SUMIFS(Parcelas!$F$5:$F$404,Parcelas!$A$5:$A$404,A155))</f>
        <v/>
      </c>
      <c r="E155" s="25">
        <f>IF(A155="","",SUMIFS(Parcelas!$F$5:$F$404,Parcelas!$A$5:$A$404,A155,Parcelas!$I$5:$I$404,"Paga"))</f>
        <v/>
      </c>
      <c r="F155" s="25">
        <f>IF(A155="","",D155-E155)</f>
        <v/>
      </c>
      <c r="G155" s="25">
        <f>IF(A155="","",SUMIFS(Parcelas!$F$5:$F$404,Parcelas!$A$5:$A$404,A155,Parcelas!$I$5:$I$404,"Vencida"))</f>
        <v/>
      </c>
      <c r="H155" s="24">
        <f>IF(A155="","",IF(G155&gt;0,"Em atraso",IF(F155&gt;0,"Em dia","Sem parcela em aberto")))</f>
        <v/>
      </c>
    </row>
    <row r="156">
      <c r="A156" s="33" t="n"/>
      <c r="B156" s="35" t="n"/>
      <c r="C156" s="24">
        <f>IF(A156="","",COUNTIFS(Parcelas!$A$5:$A$404,A156))</f>
        <v/>
      </c>
      <c r="D156" s="25">
        <f>IF(A156="","",SUMIFS(Parcelas!$F$5:$F$404,Parcelas!$A$5:$A$404,A156))</f>
        <v/>
      </c>
      <c r="E156" s="25">
        <f>IF(A156="","",SUMIFS(Parcelas!$F$5:$F$404,Parcelas!$A$5:$A$404,A156,Parcelas!$I$5:$I$404,"Paga"))</f>
        <v/>
      </c>
      <c r="F156" s="25">
        <f>IF(A156="","",D156-E156)</f>
        <v/>
      </c>
      <c r="G156" s="25">
        <f>IF(A156="","",SUMIFS(Parcelas!$F$5:$F$404,Parcelas!$A$5:$A$404,A156,Parcelas!$I$5:$I$404,"Vencida"))</f>
        <v/>
      </c>
      <c r="H156" s="24">
        <f>IF(A156="","",IF(G156&gt;0,"Em atraso",IF(F156&gt;0,"Em dia","Sem parcela em aberto")))</f>
        <v/>
      </c>
    </row>
    <row r="157">
      <c r="A157" s="33" t="n"/>
      <c r="B157" s="35" t="n"/>
      <c r="C157" s="24">
        <f>IF(A157="","",COUNTIFS(Parcelas!$A$5:$A$404,A157))</f>
        <v/>
      </c>
      <c r="D157" s="25">
        <f>IF(A157="","",SUMIFS(Parcelas!$F$5:$F$404,Parcelas!$A$5:$A$404,A157))</f>
        <v/>
      </c>
      <c r="E157" s="25">
        <f>IF(A157="","",SUMIFS(Parcelas!$F$5:$F$404,Parcelas!$A$5:$A$404,A157,Parcelas!$I$5:$I$404,"Paga"))</f>
        <v/>
      </c>
      <c r="F157" s="25">
        <f>IF(A157="","",D157-E157)</f>
        <v/>
      </c>
      <c r="G157" s="25">
        <f>IF(A157="","",SUMIFS(Parcelas!$F$5:$F$404,Parcelas!$A$5:$A$404,A157,Parcelas!$I$5:$I$404,"Vencida"))</f>
        <v/>
      </c>
      <c r="H157" s="24">
        <f>IF(A157="","",IF(G157&gt;0,"Em atraso",IF(F157&gt;0,"Em dia","Sem parcela em aberto")))</f>
        <v/>
      </c>
    </row>
    <row r="158">
      <c r="A158" s="33" t="n"/>
      <c r="B158" s="35" t="n"/>
      <c r="C158" s="24">
        <f>IF(A158="","",COUNTIFS(Parcelas!$A$5:$A$404,A158))</f>
        <v/>
      </c>
      <c r="D158" s="25">
        <f>IF(A158="","",SUMIFS(Parcelas!$F$5:$F$404,Parcelas!$A$5:$A$404,A158))</f>
        <v/>
      </c>
      <c r="E158" s="25">
        <f>IF(A158="","",SUMIFS(Parcelas!$F$5:$F$404,Parcelas!$A$5:$A$404,A158,Parcelas!$I$5:$I$404,"Paga"))</f>
        <v/>
      </c>
      <c r="F158" s="25">
        <f>IF(A158="","",D158-E158)</f>
        <v/>
      </c>
      <c r="G158" s="25">
        <f>IF(A158="","",SUMIFS(Parcelas!$F$5:$F$404,Parcelas!$A$5:$A$404,A158,Parcelas!$I$5:$I$404,"Vencida"))</f>
        <v/>
      </c>
      <c r="H158" s="24">
        <f>IF(A158="","",IF(G158&gt;0,"Em atraso",IF(F158&gt;0,"Em dia","Sem parcela em aberto")))</f>
        <v/>
      </c>
    </row>
    <row r="159">
      <c r="A159" s="33" t="n"/>
      <c r="B159" s="35" t="n"/>
      <c r="C159" s="24">
        <f>IF(A159="","",COUNTIFS(Parcelas!$A$5:$A$404,A159))</f>
        <v/>
      </c>
      <c r="D159" s="25">
        <f>IF(A159="","",SUMIFS(Parcelas!$F$5:$F$404,Parcelas!$A$5:$A$404,A159))</f>
        <v/>
      </c>
      <c r="E159" s="25">
        <f>IF(A159="","",SUMIFS(Parcelas!$F$5:$F$404,Parcelas!$A$5:$A$404,A159,Parcelas!$I$5:$I$404,"Paga"))</f>
        <v/>
      </c>
      <c r="F159" s="25">
        <f>IF(A159="","",D159-E159)</f>
        <v/>
      </c>
      <c r="G159" s="25">
        <f>IF(A159="","",SUMIFS(Parcelas!$F$5:$F$404,Parcelas!$A$5:$A$404,A159,Parcelas!$I$5:$I$404,"Vencida"))</f>
        <v/>
      </c>
      <c r="H159" s="24">
        <f>IF(A159="","",IF(G159&gt;0,"Em atraso",IF(F159&gt;0,"Em dia","Sem parcela em aberto")))</f>
        <v/>
      </c>
    </row>
    <row r="160">
      <c r="A160" s="33" t="n"/>
      <c r="B160" s="35" t="n"/>
      <c r="C160" s="24">
        <f>IF(A160="","",COUNTIFS(Parcelas!$A$5:$A$404,A160))</f>
        <v/>
      </c>
      <c r="D160" s="25">
        <f>IF(A160="","",SUMIFS(Parcelas!$F$5:$F$404,Parcelas!$A$5:$A$404,A160))</f>
        <v/>
      </c>
      <c r="E160" s="25">
        <f>IF(A160="","",SUMIFS(Parcelas!$F$5:$F$404,Parcelas!$A$5:$A$404,A160,Parcelas!$I$5:$I$404,"Paga"))</f>
        <v/>
      </c>
      <c r="F160" s="25">
        <f>IF(A160="","",D160-E160)</f>
        <v/>
      </c>
      <c r="G160" s="25">
        <f>IF(A160="","",SUMIFS(Parcelas!$F$5:$F$404,Parcelas!$A$5:$A$404,A160,Parcelas!$I$5:$I$404,"Vencida"))</f>
        <v/>
      </c>
      <c r="H160" s="24">
        <f>IF(A160="","",IF(G160&gt;0,"Em atraso",IF(F160&gt;0,"Em dia","Sem parcela em aberto")))</f>
        <v/>
      </c>
    </row>
    <row r="161">
      <c r="A161" s="33" t="n"/>
      <c r="B161" s="35" t="n"/>
      <c r="C161" s="24">
        <f>IF(A161="","",COUNTIFS(Parcelas!$A$5:$A$404,A161))</f>
        <v/>
      </c>
      <c r="D161" s="25">
        <f>IF(A161="","",SUMIFS(Parcelas!$F$5:$F$404,Parcelas!$A$5:$A$404,A161))</f>
        <v/>
      </c>
      <c r="E161" s="25">
        <f>IF(A161="","",SUMIFS(Parcelas!$F$5:$F$404,Parcelas!$A$5:$A$404,A161,Parcelas!$I$5:$I$404,"Paga"))</f>
        <v/>
      </c>
      <c r="F161" s="25">
        <f>IF(A161="","",D161-E161)</f>
        <v/>
      </c>
      <c r="G161" s="25">
        <f>IF(A161="","",SUMIFS(Parcelas!$F$5:$F$404,Parcelas!$A$5:$A$404,A161,Parcelas!$I$5:$I$404,"Vencida"))</f>
        <v/>
      </c>
      <c r="H161" s="24">
        <f>IF(A161="","",IF(G161&gt;0,"Em atraso",IF(F161&gt;0,"Em dia","Sem parcela em aberto")))</f>
        <v/>
      </c>
    </row>
    <row r="162">
      <c r="A162" s="33" t="n"/>
      <c r="B162" s="35" t="n"/>
      <c r="C162" s="24">
        <f>IF(A162="","",COUNTIFS(Parcelas!$A$5:$A$404,A162))</f>
        <v/>
      </c>
      <c r="D162" s="25">
        <f>IF(A162="","",SUMIFS(Parcelas!$F$5:$F$404,Parcelas!$A$5:$A$404,A162))</f>
        <v/>
      </c>
      <c r="E162" s="25">
        <f>IF(A162="","",SUMIFS(Parcelas!$F$5:$F$404,Parcelas!$A$5:$A$404,A162,Parcelas!$I$5:$I$404,"Paga"))</f>
        <v/>
      </c>
      <c r="F162" s="25">
        <f>IF(A162="","",D162-E162)</f>
        <v/>
      </c>
      <c r="G162" s="25">
        <f>IF(A162="","",SUMIFS(Parcelas!$F$5:$F$404,Parcelas!$A$5:$A$404,A162,Parcelas!$I$5:$I$404,"Vencida"))</f>
        <v/>
      </c>
      <c r="H162" s="24">
        <f>IF(A162="","",IF(G162&gt;0,"Em atraso",IF(F162&gt;0,"Em dia","Sem parcela em aberto")))</f>
        <v/>
      </c>
    </row>
    <row r="163">
      <c r="A163" s="33" t="n"/>
      <c r="B163" s="35" t="n"/>
      <c r="C163" s="24">
        <f>IF(A163="","",COUNTIFS(Parcelas!$A$5:$A$404,A163))</f>
        <v/>
      </c>
      <c r="D163" s="25">
        <f>IF(A163="","",SUMIFS(Parcelas!$F$5:$F$404,Parcelas!$A$5:$A$404,A163))</f>
        <v/>
      </c>
      <c r="E163" s="25">
        <f>IF(A163="","",SUMIFS(Parcelas!$F$5:$F$404,Parcelas!$A$5:$A$404,A163,Parcelas!$I$5:$I$404,"Paga"))</f>
        <v/>
      </c>
      <c r="F163" s="25">
        <f>IF(A163="","",D163-E163)</f>
        <v/>
      </c>
      <c r="G163" s="25">
        <f>IF(A163="","",SUMIFS(Parcelas!$F$5:$F$404,Parcelas!$A$5:$A$404,A163,Parcelas!$I$5:$I$404,"Vencida"))</f>
        <v/>
      </c>
      <c r="H163" s="24">
        <f>IF(A163="","",IF(G163&gt;0,"Em atraso",IF(F163&gt;0,"Em dia","Sem parcela em aberto")))</f>
        <v/>
      </c>
    </row>
    <row r="164">
      <c r="A164" s="33" t="n"/>
      <c r="B164" s="35" t="n"/>
      <c r="C164" s="24">
        <f>IF(A164="","",COUNTIFS(Parcelas!$A$5:$A$404,A164))</f>
        <v/>
      </c>
      <c r="D164" s="25">
        <f>IF(A164="","",SUMIFS(Parcelas!$F$5:$F$404,Parcelas!$A$5:$A$404,A164))</f>
        <v/>
      </c>
      <c r="E164" s="25">
        <f>IF(A164="","",SUMIFS(Parcelas!$F$5:$F$404,Parcelas!$A$5:$A$404,A164,Parcelas!$I$5:$I$404,"Paga"))</f>
        <v/>
      </c>
      <c r="F164" s="25">
        <f>IF(A164="","",D164-E164)</f>
        <v/>
      </c>
      <c r="G164" s="25">
        <f>IF(A164="","",SUMIFS(Parcelas!$F$5:$F$404,Parcelas!$A$5:$A$404,A164,Parcelas!$I$5:$I$404,"Vencida"))</f>
        <v/>
      </c>
      <c r="H164" s="24">
        <f>IF(A164="","",IF(G164&gt;0,"Em atraso",IF(F164&gt;0,"Em dia","Sem parcela em aberto")))</f>
        <v/>
      </c>
    </row>
    <row r="165">
      <c r="A165" s="33" t="n"/>
      <c r="B165" s="35" t="n"/>
      <c r="C165" s="24">
        <f>IF(A165="","",COUNTIFS(Parcelas!$A$5:$A$404,A165))</f>
        <v/>
      </c>
      <c r="D165" s="25">
        <f>IF(A165="","",SUMIFS(Parcelas!$F$5:$F$404,Parcelas!$A$5:$A$404,A165))</f>
        <v/>
      </c>
      <c r="E165" s="25">
        <f>IF(A165="","",SUMIFS(Parcelas!$F$5:$F$404,Parcelas!$A$5:$A$404,A165,Parcelas!$I$5:$I$404,"Paga"))</f>
        <v/>
      </c>
      <c r="F165" s="25">
        <f>IF(A165="","",D165-E165)</f>
        <v/>
      </c>
      <c r="G165" s="25">
        <f>IF(A165="","",SUMIFS(Parcelas!$F$5:$F$404,Parcelas!$A$5:$A$404,A165,Parcelas!$I$5:$I$404,"Vencida"))</f>
        <v/>
      </c>
      <c r="H165" s="24">
        <f>IF(A165="","",IF(G165&gt;0,"Em atraso",IF(F165&gt;0,"Em dia","Sem parcela em aberto")))</f>
        <v/>
      </c>
    </row>
    <row r="166">
      <c r="A166" s="33" t="n"/>
      <c r="B166" s="35" t="n"/>
      <c r="C166" s="24">
        <f>IF(A166="","",COUNTIFS(Parcelas!$A$5:$A$404,A166))</f>
        <v/>
      </c>
      <c r="D166" s="25">
        <f>IF(A166="","",SUMIFS(Parcelas!$F$5:$F$404,Parcelas!$A$5:$A$404,A166))</f>
        <v/>
      </c>
      <c r="E166" s="25">
        <f>IF(A166="","",SUMIFS(Parcelas!$F$5:$F$404,Parcelas!$A$5:$A$404,A166,Parcelas!$I$5:$I$404,"Paga"))</f>
        <v/>
      </c>
      <c r="F166" s="25">
        <f>IF(A166="","",D166-E166)</f>
        <v/>
      </c>
      <c r="G166" s="25">
        <f>IF(A166="","",SUMIFS(Parcelas!$F$5:$F$404,Parcelas!$A$5:$A$404,A166,Parcelas!$I$5:$I$404,"Vencida"))</f>
        <v/>
      </c>
      <c r="H166" s="24">
        <f>IF(A166="","",IF(G166&gt;0,"Em atraso",IF(F166&gt;0,"Em dia","Sem parcela em aberto")))</f>
        <v/>
      </c>
    </row>
    <row r="167">
      <c r="A167" s="33" t="n"/>
      <c r="B167" s="35" t="n"/>
      <c r="C167" s="24">
        <f>IF(A167="","",COUNTIFS(Parcelas!$A$5:$A$404,A167))</f>
        <v/>
      </c>
      <c r="D167" s="25">
        <f>IF(A167="","",SUMIFS(Parcelas!$F$5:$F$404,Parcelas!$A$5:$A$404,A167))</f>
        <v/>
      </c>
      <c r="E167" s="25">
        <f>IF(A167="","",SUMIFS(Parcelas!$F$5:$F$404,Parcelas!$A$5:$A$404,A167,Parcelas!$I$5:$I$404,"Paga"))</f>
        <v/>
      </c>
      <c r="F167" s="25">
        <f>IF(A167="","",D167-E167)</f>
        <v/>
      </c>
      <c r="G167" s="25">
        <f>IF(A167="","",SUMIFS(Parcelas!$F$5:$F$404,Parcelas!$A$5:$A$404,A167,Parcelas!$I$5:$I$404,"Vencida"))</f>
        <v/>
      </c>
      <c r="H167" s="24">
        <f>IF(A167="","",IF(G167&gt;0,"Em atraso",IF(F167&gt;0,"Em dia","Sem parcela em aberto")))</f>
        <v/>
      </c>
    </row>
    <row r="168">
      <c r="A168" s="33" t="n"/>
      <c r="B168" s="35" t="n"/>
      <c r="C168" s="24">
        <f>IF(A168="","",COUNTIFS(Parcelas!$A$5:$A$404,A168))</f>
        <v/>
      </c>
      <c r="D168" s="25">
        <f>IF(A168="","",SUMIFS(Parcelas!$F$5:$F$404,Parcelas!$A$5:$A$404,A168))</f>
        <v/>
      </c>
      <c r="E168" s="25">
        <f>IF(A168="","",SUMIFS(Parcelas!$F$5:$F$404,Parcelas!$A$5:$A$404,A168,Parcelas!$I$5:$I$404,"Paga"))</f>
        <v/>
      </c>
      <c r="F168" s="25">
        <f>IF(A168="","",D168-E168)</f>
        <v/>
      </c>
      <c r="G168" s="25">
        <f>IF(A168="","",SUMIFS(Parcelas!$F$5:$F$404,Parcelas!$A$5:$A$404,A168,Parcelas!$I$5:$I$404,"Vencida"))</f>
        <v/>
      </c>
      <c r="H168" s="24">
        <f>IF(A168="","",IF(G168&gt;0,"Em atraso",IF(F168&gt;0,"Em dia","Sem parcela em aberto")))</f>
        <v/>
      </c>
    </row>
    <row r="169">
      <c r="A169" s="33" t="n"/>
      <c r="B169" s="35" t="n"/>
      <c r="C169" s="24">
        <f>IF(A169="","",COUNTIFS(Parcelas!$A$5:$A$404,A169))</f>
        <v/>
      </c>
      <c r="D169" s="25">
        <f>IF(A169="","",SUMIFS(Parcelas!$F$5:$F$404,Parcelas!$A$5:$A$404,A169))</f>
        <v/>
      </c>
      <c r="E169" s="25">
        <f>IF(A169="","",SUMIFS(Parcelas!$F$5:$F$404,Parcelas!$A$5:$A$404,A169,Parcelas!$I$5:$I$404,"Paga"))</f>
        <v/>
      </c>
      <c r="F169" s="25">
        <f>IF(A169="","",D169-E169)</f>
        <v/>
      </c>
      <c r="G169" s="25">
        <f>IF(A169="","",SUMIFS(Parcelas!$F$5:$F$404,Parcelas!$A$5:$A$404,A169,Parcelas!$I$5:$I$404,"Vencida"))</f>
        <v/>
      </c>
      <c r="H169" s="24">
        <f>IF(A169="","",IF(G169&gt;0,"Em atraso",IF(F169&gt;0,"Em dia","Sem parcela em aberto")))</f>
        <v/>
      </c>
    </row>
    <row r="170">
      <c r="A170" s="33" t="n"/>
      <c r="B170" s="35" t="n"/>
      <c r="C170" s="24">
        <f>IF(A170="","",COUNTIFS(Parcelas!$A$5:$A$404,A170))</f>
        <v/>
      </c>
      <c r="D170" s="25">
        <f>IF(A170="","",SUMIFS(Parcelas!$F$5:$F$404,Parcelas!$A$5:$A$404,A170))</f>
        <v/>
      </c>
      <c r="E170" s="25">
        <f>IF(A170="","",SUMIFS(Parcelas!$F$5:$F$404,Parcelas!$A$5:$A$404,A170,Parcelas!$I$5:$I$404,"Paga"))</f>
        <v/>
      </c>
      <c r="F170" s="25">
        <f>IF(A170="","",D170-E170)</f>
        <v/>
      </c>
      <c r="G170" s="25">
        <f>IF(A170="","",SUMIFS(Parcelas!$F$5:$F$404,Parcelas!$A$5:$A$404,A170,Parcelas!$I$5:$I$404,"Vencida"))</f>
        <v/>
      </c>
      <c r="H170" s="24">
        <f>IF(A170="","",IF(G170&gt;0,"Em atraso",IF(F170&gt;0,"Em dia","Sem parcela em aberto")))</f>
        <v/>
      </c>
    </row>
    <row r="171">
      <c r="A171" s="33" t="n"/>
      <c r="B171" s="35" t="n"/>
      <c r="C171" s="24">
        <f>IF(A171="","",COUNTIFS(Parcelas!$A$5:$A$404,A171))</f>
        <v/>
      </c>
      <c r="D171" s="25">
        <f>IF(A171="","",SUMIFS(Parcelas!$F$5:$F$404,Parcelas!$A$5:$A$404,A171))</f>
        <v/>
      </c>
      <c r="E171" s="25">
        <f>IF(A171="","",SUMIFS(Parcelas!$F$5:$F$404,Parcelas!$A$5:$A$404,A171,Parcelas!$I$5:$I$404,"Paga"))</f>
        <v/>
      </c>
      <c r="F171" s="25">
        <f>IF(A171="","",D171-E171)</f>
        <v/>
      </c>
      <c r="G171" s="25">
        <f>IF(A171="","",SUMIFS(Parcelas!$F$5:$F$404,Parcelas!$A$5:$A$404,A171,Parcelas!$I$5:$I$404,"Vencida"))</f>
        <v/>
      </c>
      <c r="H171" s="24">
        <f>IF(A171="","",IF(G171&gt;0,"Em atraso",IF(F171&gt;0,"Em dia","Sem parcela em aberto")))</f>
        <v/>
      </c>
    </row>
    <row r="172">
      <c r="A172" s="33" t="n"/>
      <c r="B172" s="35" t="n"/>
      <c r="C172" s="24">
        <f>IF(A172="","",COUNTIFS(Parcelas!$A$5:$A$404,A172))</f>
        <v/>
      </c>
      <c r="D172" s="25">
        <f>IF(A172="","",SUMIFS(Parcelas!$F$5:$F$404,Parcelas!$A$5:$A$404,A172))</f>
        <v/>
      </c>
      <c r="E172" s="25">
        <f>IF(A172="","",SUMIFS(Parcelas!$F$5:$F$404,Parcelas!$A$5:$A$404,A172,Parcelas!$I$5:$I$404,"Paga"))</f>
        <v/>
      </c>
      <c r="F172" s="25">
        <f>IF(A172="","",D172-E172)</f>
        <v/>
      </c>
      <c r="G172" s="25">
        <f>IF(A172="","",SUMIFS(Parcelas!$F$5:$F$404,Parcelas!$A$5:$A$404,A172,Parcelas!$I$5:$I$404,"Vencida"))</f>
        <v/>
      </c>
      <c r="H172" s="24">
        <f>IF(A172="","",IF(G172&gt;0,"Em atraso",IF(F172&gt;0,"Em dia","Sem parcela em aberto")))</f>
        <v/>
      </c>
    </row>
    <row r="173">
      <c r="A173" s="33" t="n"/>
      <c r="B173" s="35" t="n"/>
      <c r="C173" s="24">
        <f>IF(A173="","",COUNTIFS(Parcelas!$A$5:$A$404,A173))</f>
        <v/>
      </c>
      <c r="D173" s="25">
        <f>IF(A173="","",SUMIFS(Parcelas!$F$5:$F$404,Parcelas!$A$5:$A$404,A173))</f>
        <v/>
      </c>
      <c r="E173" s="25">
        <f>IF(A173="","",SUMIFS(Parcelas!$F$5:$F$404,Parcelas!$A$5:$A$404,A173,Parcelas!$I$5:$I$404,"Paga"))</f>
        <v/>
      </c>
      <c r="F173" s="25">
        <f>IF(A173="","",D173-E173)</f>
        <v/>
      </c>
      <c r="G173" s="25">
        <f>IF(A173="","",SUMIFS(Parcelas!$F$5:$F$404,Parcelas!$A$5:$A$404,A173,Parcelas!$I$5:$I$404,"Vencida"))</f>
        <v/>
      </c>
      <c r="H173" s="24">
        <f>IF(A173="","",IF(G173&gt;0,"Em atraso",IF(F173&gt;0,"Em dia","Sem parcela em aberto")))</f>
        <v/>
      </c>
    </row>
    <row r="174">
      <c r="A174" s="33" t="n"/>
      <c r="B174" s="35" t="n"/>
      <c r="C174" s="24">
        <f>IF(A174="","",COUNTIFS(Parcelas!$A$5:$A$404,A174))</f>
        <v/>
      </c>
      <c r="D174" s="25">
        <f>IF(A174="","",SUMIFS(Parcelas!$F$5:$F$404,Parcelas!$A$5:$A$404,A174))</f>
        <v/>
      </c>
      <c r="E174" s="25">
        <f>IF(A174="","",SUMIFS(Parcelas!$F$5:$F$404,Parcelas!$A$5:$A$404,A174,Parcelas!$I$5:$I$404,"Paga"))</f>
        <v/>
      </c>
      <c r="F174" s="25">
        <f>IF(A174="","",D174-E174)</f>
        <v/>
      </c>
      <c r="G174" s="25">
        <f>IF(A174="","",SUMIFS(Parcelas!$F$5:$F$404,Parcelas!$A$5:$A$404,A174,Parcelas!$I$5:$I$404,"Vencida"))</f>
        <v/>
      </c>
      <c r="H174" s="24">
        <f>IF(A174="","",IF(G174&gt;0,"Em atraso",IF(F174&gt;0,"Em dia","Sem parcela em aberto")))</f>
        <v/>
      </c>
    </row>
    <row r="175">
      <c r="A175" s="33" t="n"/>
      <c r="B175" s="35" t="n"/>
      <c r="C175" s="24">
        <f>IF(A175="","",COUNTIFS(Parcelas!$A$5:$A$404,A175))</f>
        <v/>
      </c>
      <c r="D175" s="25">
        <f>IF(A175="","",SUMIFS(Parcelas!$F$5:$F$404,Parcelas!$A$5:$A$404,A175))</f>
        <v/>
      </c>
      <c r="E175" s="25">
        <f>IF(A175="","",SUMIFS(Parcelas!$F$5:$F$404,Parcelas!$A$5:$A$404,A175,Parcelas!$I$5:$I$404,"Paga"))</f>
        <v/>
      </c>
      <c r="F175" s="25">
        <f>IF(A175="","",D175-E175)</f>
        <v/>
      </c>
      <c r="G175" s="25">
        <f>IF(A175="","",SUMIFS(Parcelas!$F$5:$F$404,Parcelas!$A$5:$A$404,A175,Parcelas!$I$5:$I$404,"Vencida"))</f>
        <v/>
      </c>
      <c r="H175" s="24">
        <f>IF(A175="","",IF(G175&gt;0,"Em atraso",IF(F175&gt;0,"Em dia","Sem parcela em aberto")))</f>
        <v/>
      </c>
    </row>
    <row r="176">
      <c r="A176" s="33" t="n"/>
      <c r="B176" s="35" t="n"/>
      <c r="C176" s="24">
        <f>IF(A176="","",COUNTIFS(Parcelas!$A$5:$A$404,A176))</f>
        <v/>
      </c>
      <c r="D176" s="25">
        <f>IF(A176="","",SUMIFS(Parcelas!$F$5:$F$404,Parcelas!$A$5:$A$404,A176))</f>
        <v/>
      </c>
      <c r="E176" s="25">
        <f>IF(A176="","",SUMIFS(Parcelas!$F$5:$F$404,Parcelas!$A$5:$A$404,A176,Parcelas!$I$5:$I$404,"Paga"))</f>
        <v/>
      </c>
      <c r="F176" s="25">
        <f>IF(A176="","",D176-E176)</f>
        <v/>
      </c>
      <c r="G176" s="25">
        <f>IF(A176="","",SUMIFS(Parcelas!$F$5:$F$404,Parcelas!$A$5:$A$404,A176,Parcelas!$I$5:$I$404,"Vencida"))</f>
        <v/>
      </c>
      <c r="H176" s="24">
        <f>IF(A176="","",IF(G176&gt;0,"Em atraso",IF(F176&gt;0,"Em dia","Sem parcela em aberto")))</f>
        <v/>
      </c>
    </row>
    <row r="177">
      <c r="A177" s="33" t="n"/>
      <c r="B177" s="35" t="n"/>
      <c r="C177" s="24">
        <f>IF(A177="","",COUNTIFS(Parcelas!$A$5:$A$404,A177))</f>
        <v/>
      </c>
      <c r="D177" s="25">
        <f>IF(A177="","",SUMIFS(Parcelas!$F$5:$F$404,Parcelas!$A$5:$A$404,A177))</f>
        <v/>
      </c>
      <c r="E177" s="25">
        <f>IF(A177="","",SUMIFS(Parcelas!$F$5:$F$404,Parcelas!$A$5:$A$404,A177,Parcelas!$I$5:$I$404,"Paga"))</f>
        <v/>
      </c>
      <c r="F177" s="25">
        <f>IF(A177="","",D177-E177)</f>
        <v/>
      </c>
      <c r="G177" s="25">
        <f>IF(A177="","",SUMIFS(Parcelas!$F$5:$F$404,Parcelas!$A$5:$A$404,A177,Parcelas!$I$5:$I$404,"Vencida"))</f>
        <v/>
      </c>
      <c r="H177" s="24">
        <f>IF(A177="","",IF(G177&gt;0,"Em atraso",IF(F177&gt;0,"Em dia","Sem parcela em aberto")))</f>
        <v/>
      </c>
    </row>
    <row r="178">
      <c r="A178" s="33" t="n"/>
      <c r="B178" s="35" t="n"/>
      <c r="C178" s="24">
        <f>IF(A178="","",COUNTIFS(Parcelas!$A$5:$A$404,A178))</f>
        <v/>
      </c>
      <c r="D178" s="25">
        <f>IF(A178="","",SUMIFS(Parcelas!$F$5:$F$404,Parcelas!$A$5:$A$404,A178))</f>
        <v/>
      </c>
      <c r="E178" s="25">
        <f>IF(A178="","",SUMIFS(Parcelas!$F$5:$F$404,Parcelas!$A$5:$A$404,A178,Parcelas!$I$5:$I$404,"Paga"))</f>
        <v/>
      </c>
      <c r="F178" s="25">
        <f>IF(A178="","",D178-E178)</f>
        <v/>
      </c>
      <c r="G178" s="25">
        <f>IF(A178="","",SUMIFS(Parcelas!$F$5:$F$404,Parcelas!$A$5:$A$404,A178,Parcelas!$I$5:$I$404,"Vencida"))</f>
        <v/>
      </c>
      <c r="H178" s="24">
        <f>IF(A178="","",IF(G178&gt;0,"Em atraso",IF(F178&gt;0,"Em dia","Sem parcela em aberto")))</f>
        <v/>
      </c>
    </row>
    <row r="179">
      <c r="A179" s="33" t="n"/>
      <c r="B179" s="35" t="n"/>
      <c r="C179" s="24">
        <f>IF(A179="","",COUNTIFS(Parcelas!$A$5:$A$404,A179))</f>
        <v/>
      </c>
      <c r="D179" s="25">
        <f>IF(A179="","",SUMIFS(Parcelas!$F$5:$F$404,Parcelas!$A$5:$A$404,A179))</f>
        <v/>
      </c>
      <c r="E179" s="25">
        <f>IF(A179="","",SUMIFS(Parcelas!$F$5:$F$404,Parcelas!$A$5:$A$404,A179,Parcelas!$I$5:$I$404,"Paga"))</f>
        <v/>
      </c>
      <c r="F179" s="25">
        <f>IF(A179="","",D179-E179)</f>
        <v/>
      </c>
      <c r="G179" s="25">
        <f>IF(A179="","",SUMIFS(Parcelas!$F$5:$F$404,Parcelas!$A$5:$A$404,A179,Parcelas!$I$5:$I$404,"Vencida"))</f>
        <v/>
      </c>
      <c r="H179" s="24">
        <f>IF(A179="","",IF(G179&gt;0,"Em atraso",IF(F179&gt;0,"Em dia","Sem parcela em aberto")))</f>
        <v/>
      </c>
    </row>
    <row r="180">
      <c r="A180" s="33" t="n"/>
      <c r="B180" s="35" t="n"/>
      <c r="C180" s="24">
        <f>IF(A180="","",COUNTIFS(Parcelas!$A$5:$A$404,A180))</f>
        <v/>
      </c>
      <c r="D180" s="25">
        <f>IF(A180="","",SUMIFS(Parcelas!$F$5:$F$404,Parcelas!$A$5:$A$404,A180))</f>
        <v/>
      </c>
      <c r="E180" s="25">
        <f>IF(A180="","",SUMIFS(Parcelas!$F$5:$F$404,Parcelas!$A$5:$A$404,A180,Parcelas!$I$5:$I$404,"Paga"))</f>
        <v/>
      </c>
      <c r="F180" s="25">
        <f>IF(A180="","",D180-E180)</f>
        <v/>
      </c>
      <c r="G180" s="25">
        <f>IF(A180="","",SUMIFS(Parcelas!$F$5:$F$404,Parcelas!$A$5:$A$404,A180,Parcelas!$I$5:$I$404,"Vencida"))</f>
        <v/>
      </c>
      <c r="H180" s="24">
        <f>IF(A180="","",IF(G180&gt;0,"Em atraso",IF(F180&gt;0,"Em dia","Sem parcela em aberto")))</f>
        <v/>
      </c>
    </row>
    <row r="181">
      <c r="A181" s="33" t="n"/>
      <c r="B181" s="35" t="n"/>
      <c r="C181" s="24">
        <f>IF(A181="","",COUNTIFS(Parcelas!$A$5:$A$404,A181))</f>
        <v/>
      </c>
      <c r="D181" s="25">
        <f>IF(A181="","",SUMIFS(Parcelas!$F$5:$F$404,Parcelas!$A$5:$A$404,A181))</f>
        <v/>
      </c>
      <c r="E181" s="25">
        <f>IF(A181="","",SUMIFS(Parcelas!$F$5:$F$404,Parcelas!$A$5:$A$404,A181,Parcelas!$I$5:$I$404,"Paga"))</f>
        <v/>
      </c>
      <c r="F181" s="25">
        <f>IF(A181="","",D181-E181)</f>
        <v/>
      </c>
      <c r="G181" s="25">
        <f>IF(A181="","",SUMIFS(Parcelas!$F$5:$F$404,Parcelas!$A$5:$A$404,A181,Parcelas!$I$5:$I$404,"Vencida"))</f>
        <v/>
      </c>
      <c r="H181" s="24">
        <f>IF(A181="","",IF(G181&gt;0,"Em atraso",IF(F181&gt;0,"Em dia","Sem parcela em aberto")))</f>
        <v/>
      </c>
    </row>
    <row r="182">
      <c r="A182" s="33" t="n"/>
      <c r="B182" s="35" t="n"/>
      <c r="C182" s="24">
        <f>IF(A182="","",COUNTIFS(Parcelas!$A$5:$A$404,A182))</f>
        <v/>
      </c>
      <c r="D182" s="25">
        <f>IF(A182="","",SUMIFS(Parcelas!$F$5:$F$404,Parcelas!$A$5:$A$404,A182))</f>
        <v/>
      </c>
      <c r="E182" s="25">
        <f>IF(A182="","",SUMIFS(Parcelas!$F$5:$F$404,Parcelas!$A$5:$A$404,A182,Parcelas!$I$5:$I$404,"Paga"))</f>
        <v/>
      </c>
      <c r="F182" s="25">
        <f>IF(A182="","",D182-E182)</f>
        <v/>
      </c>
      <c r="G182" s="25">
        <f>IF(A182="","",SUMIFS(Parcelas!$F$5:$F$404,Parcelas!$A$5:$A$404,A182,Parcelas!$I$5:$I$404,"Vencida"))</f>
        <v/>
      </c>
      <c r="H182" s="24">
        <f>IF(A182="","",IF(G182&gt;0,"Em atraso",IF(F182&gt;0,"Em dia","Sem parcela em aberto")))</f>
        <v/>
      </c>
    </row>
    <row r="183">
      <c r="A183" s="33" t="n"/>
      <c r="B183" s="35" t="n"/>
      <c r="C183" s="24">
        <f>IF(A183="","",COUNTIFS(Parcelas!$A$5:$A$404,A183))</f>
        <v/>
      </c>
      <c r="D183" s="25">
        <f>IF(A183="","",SUMIFS(Parcelas!$F$5:$F$404,Parcelas!$A$5:$A$404,A183))</f>
        <v/>
      </c>
      <c r="E183" s="25">
        <f>IF(A183="","",SUMIFS(Parcelas!$F$5:$F$404,Parcelas!$A$5:$A$404,A183,Parcelas!$I$5:$I$404,"Paga"))</f>
        <v/>
      </c>
      <c r="F183" s="25">
        <f>IF(A183="","",D183-E183)</f>
        <v/>
      </c>
      <c r="G183" s="25">
        <f>IF(A183="","",SUMIFS(Parcelas!$F$5:$F$404,Parcelas!$A$5:$A$404,A183,Parcelas!$I$5:$I$404,"Vencida"))</f>
        <v/>
      </c>
      <c r="H183" s="24">
        <f>IF(A183="","",IF(G183&gt;0,"Em atraso",IF(F183&gt;0,"Em dia","Sem parcela em aberto")))</f>
        <v/>
      </c>
    </row>
    <row r="184">
      <c r="A184" s="33" t="n"/>
      <c r="B184" s="35" t="n"/>
      <c r="C184" s="24">
        <f>IF(A184="","",COUNTIFS(Parcelas!$A$5:$A$404,A184))</f>
        <v/>
      </c>
      <c r="D184" s="25">
        <f>IF(A184="","",SUMIFS(Parcelas!$F$5:$F$404,Parcelas!$A$5:$A$404,A184))</f>
        <v/>
      </c>
      <c r="E184" s="25">
        <f>IF(A184="","",SUMIFS(Parcelas!$F$5:$F$404,Parcelas!$A$5:$A$404,A184,Parcelas!$I$5:$I$404,"Paga"))</f>
        <v/>
      </c>
      <c r="F184" s="25">
        <f>IF(A184="","",D184-E184)</f>
        <v/>
      </c>
      <c r="G184" s="25">
        <f>IF(A184="","",SUMIFS(Parcelas!$F$5:$F$404,Parcelas!$A$5:$A$404,A184,Parcelas!$I$5:$I$404,"Vencida"))</f>
        <v/>
      </c>
      <c r="H184" s="24">
        <f>IF(A184="","",IF(G184&gt;0,"Em atraso",IF(F184&gt;0,"Em dia","Sem parcela em aberto")))</f>
        <v/>
      </c>
    </row>
    <row r="185">
      <c r="A185" s="33" t="n"/>
      <c r="B185" s="35" t="n"/>
      <c r="C185" s="24">
        <f>IF(A185="","",COUNTIFS(Parcelas!$A$5:$A$404,A185))</f>
        <v/>
      </c>
      <c r="D185" s="25">
        <f>IF(A185="","",SUMIFS(Parcelas!$F$5:$F$404,Parcelas!$A$5:$A$404,A185))</f>
        <v/>
      </c>
      <c r="E185" s="25">
        <f>IF(A185="","",SUMIFS(Parcelas!$F$5:$F$404,Parcelas!$A$5:$A$404,A185,Parcelas!$I$5:$I$404,"Paga"))</f>
        <v/>
      </c>
      <c r="F185" s="25">
        <f>IF(A185="","",D185-E185)</f>
        <v/>
      </c>
      <c r="G185" s="25">
        <f>IF(A185="","",SUMIFS(Parcelas!$F$5:$F$404,Parcelas!$A$5:$A$404,A185,Parcelas!$I$5:$I$404,"Vencida"))</f>
        <v/>
      </c>
      <c r="H185" s="24">
        <f>IF(A185="","",IF(G185&gt;0,"Em atraso",IF(F185&gt;0,"Em dia","Sem parcela em aberto")))</f>
        <v/>
      </c>
    </row>
    <row r="186">
      <c r="A186" s="33" t="n"/>
      <c r="B186" s="35" t="n"/>
      <c r="C186" s="24">
        <f>IF(A186="","",COUNTIFS(Parcelas!$A$5:$A$404,A186))</f>
        <v/>
      </c>
      <c r="D186" s="25">
        <f>IF(A186="","",SUMIFS(Parcelas!$F$5:$F$404,Parcelas!$A$5:$A$404,A186))</f>
        <v/>
      </c>
      <c r="E186" s="25">
        <f>IF(A186="","",SUMIFS(Parcelas!$F$5:$F$404,Parcelas!$A$5:$A$404,A186,Parcelas!$I$5:$I$404,"Paga"))</f>
        <v/>
      </c>
      <c r="F186" s="25">
        <f>IF(A186="","",D186-E186)</f>
        <v/>
      </c>
      <c r="G186" s="25">
        <f>IF(A186="","",SUMIFS(Parcelas!$F$5:$F$404,Parcelas!$A$5:$A$404,A186,Parcelas!$I$5:$I$404,"Vencida"))</f>
        <v/>
      </c>
      <c r="H186" s="24">
        <f>IF(A186="","",IF(G186&gt;0,"Em atraso",IF(F186&gt;0,"Em dia","Sem parcela em aberto")))</f>
        <v/>
      </c>
    </row>
    <row r="187">
      <c r="A187" s="33" t="n"/>
      <c r="B187" s="35" t="n"/>
      <c r="C187" s="24">
        <f>IF(A187="","",COUNTIFS(Parcelas!$A$5:$A$404,A187))</f>
        <v/>
      </c>
      <c r="D187" s="25">
        <f>IF(A187="","",SUMIFS(Parcelas!$F$5:$F$404,Parcelas!$A$5:$A$404,A187))</f>
        <v/>
      </c>
      <c r="E187" s="25">
        <f>IF(A187="","",SUMIFS(Parcelas!$F$5:$F$404,Parcelas!$A$5:$A$404,A187,Parcelas!$I$5:$I$404,"Paga"))</f>
        <v/>
      </c>
      <c r="F187" s="25">
        <f>IF(A187="","",D187-E187)</f>
        <v/>
      </c>
      <c r="G187" s="25">
        <f>IF(A187="","",SUMIFS(Parcelas!$F$5:$F$404,Parcelas!$A$5:$A$404,A187,Parcelas!$I$5:$I$404,"Vencida"))</f>
        <v/>
      </c>
      <c r="H187" s="24">
        <f>IF(A187="","",IF(G187&gt;0,"Em atraso",IF(F187&gt;0,"Em dia","Sem parcela em aberto")))</f>
        <v/>
      </c>
    </row>
    <row r="188">
      <c r="A188" s="33" t="n"/>
      <c r="B188" s="35" t="n"/>
      <c r="C188" s="24">
        <f>IF(A188="","",COUNTIFS(Parcelas!$A$5:$A$404,A188))</f>
        <v/>
      </c>
      <c r="D188" s="25">
        <f>IF(A188="","",SUMIFS(Parcelas!$F$5:$F$404,Parcelas!$A$5:$A$404,A188))</f>
        <v/>
      </c>
      <c r="E188" s="25">
        <f>IF(A188="","",SUMIFS(Parcelas!$F$5:$F$404,Parcelas!$A$5:$A$404,A188,Parcelas!$I$5:$I$404,"Paga"))</f>
        <v/>
      </c>
      <c r="F188" s="25">
        <f>IF(A188="","",D188-E188)</f>
        <v/>
      </c>
      <c r="G188" s="25">
        <f>IF(A188="","",SUMIFS(Parcelas!$F$5:$F$404,Parcelas!$A$5:$A$404,A188,Parcelas!$I$5:$I$404,"Vencida"))</f>
        <v/>
      </c>
      <c r="H188" s="24">
        <f>IF(A188="","",IF(G188&gt;0,"Em atraso",IF(F188&gt;0,"Em dia","Sem parcela em aberto")))</f>
        <v/>
      </c>
    </row>
    <row r="189">
      <c r="A189" s="33" t="n"/>
      <c r="B189" s="35" t="n"/>
      <c r="C189" s="24">
        <f>IF(A189="","",COUNTIFS(Parcelas!$A$5:$A$404,A189))</f>
        <v/>
      </c>
      <c r="D189" s="25">
        <f>IF(A189="","",SUMIFS(Parcelas!$F$5:$F$404,Parcelas!$A$5:$A$404,A189))</f>
        <v/>
      </c>
      <c r="E189" s="25">
        <f>IF(A189="","",SUMIFS(Parcelas!$F$5:$F$404,Parcelas!$A$5:$A$404,A189,Parcelas!$I$5:$I$404,"Paga"))</f>
        <v/>
      </c>
      <c r="F189" s="25">
        <f>IF(A189="","",D189-E189)</f>
        <v/>
      </c>
      <c r="G189" s="25">
        <f>IF(A189="","",SUMIFS(Parcelas!$F$5:$F$404,Parcelas!$A$5:$A$404,A189,Parcelas!$I$5:$I$404,"Vencida"))</f>
        <v/>
      </c>
      <c r="H189" s="24">
        <f>IF(A189="","",IF(G189&gt;0,"Em atraso",IF(F189&gt;0,"Em dia","Sem parcela em aberto")))</f>
        <v/>
      </c>
    </row>
    <row r="190">
      <c r="A190" s="33" t="n"/>
      <c r="B190" s="35" t="n"/>
      <c r="C190" s="24">
        <f>IF(A190="","",COUNTIFS(Parcelas!$A$5:$A$404,A190))</f>
        <v/>
      </c>
      <c r="D190" s="25">
        <f>IF(A190="","",SUMIFS(Parcelas!$F$5:$F$404,Parcelas!$A$5:$A$404,A190))</f>
        <v/>
      </c>
      <c r="E190" s="25">
        <f>IF(A190="","",SUMIFS(Parcelas!$F$5:$F$404,Parcelas!$A$5:$A$404,A190,Parcelas!$I$5:$I$404,"Paga"))</f>
        <v/>
      </c>
      <c r="F190" s="25">
        <f>IF(A190="","",D190-E190)</f>
        <v/>
      </c>
      <c r="G190" s="25">
        <f>IF(A190="","",SUMIFS(Parcelas!$F$5:$F$404,Parcelas!$A$5:$A$404,A190,Parcelas!$I$5:$I$404,"Vencida"))</f>
        <v/>
      </c>
      <c r="H190" s="24">
        <f>IF(A190="","",IF(G190&gt;0,"Em atraso",IF(F190&gt;0,"Em dia","Sem parcela em aberto")))</f>
        <v/>
      </c>
    </row>
    <row r="191">
      <c r="A191" s="33" t="n"/>
      <c r="B191" s="35" t="n"/>
      <c r="C191" s="24">
        <f>IF(A191="","",COUNTIFS(Parcelas!$A$5:$A$404,A191))</f>
        <v/>
      </c>
      <c r="D191" s="25">
        <f>IF(A191="","",SUMIFS(Parcelas!$F$5:$F$404,Parcelas!$A$5:$A$404,A191))</f>
        <v/>
      </c>
      <c r="E191" s="25">
        <f>IF(A191="","",SUMIFS(Parcelas!$F$5:$F$404,Parcelas!$A$5:$A$404,A191,Parcelas!$I$5:$I$404,"Paga"))</f>
        <v/>
      </c>
      <c r="F191" s="25">
        <f>IF(A191="","",D191-E191)</f>
        <v/>
      </c>
      <c r="G191" s="25">
        <f>IF(A191="","",SUMIFS(Parcelas!$F$5:$F$404,Parcelas!$A$5:$A$404,A191,Parcelas!$I$5:$I$404,"Vencida"))</f>
        <v/>
      </c>
      <c r="H191" s="24">
        <f>IF(A191="","",IF(G191&gt;0,"Em atraso",IF(F191&gt;0,"Em dia","Sem parcela em aberto")))</f>
        <v/>
      </c>
    </row>
    <row r="192">
      <c r="A192" s="33" t="n"/>
      <c r="B192" s="35" t="n"/>
      <c r="C192" s="24">
        <f>IF(A192="","",COUNTIFS(Parcelas!$A$5:$A$404,A192))</f>
        <v/>
      </c>
      <c r="D192" s="25">
        <f>IF(A192="","",SUMIFS(Parcelas!$F$5:$F$404,Parcelas!$A$5:$A$404,A192))</f>
        <v/>
      </c>
      <c r="E192" s="25">
        <f>IF(A192="","",SUMIFS(Parcelas!$F$5:$F$404,Parcelas!$A$5:$A$404,A192,Parcelas!$I$5:$I$404,"Paga"))</f>
        <v/>
      </c>
      <c r="F192" s="25">
        <f>IF(A192="","",D192-E192)</f>
        <v/>
      </c>
      <c r="G192" s="25">
        <f>IF(A192="","",SUMIFS(Parcelas!$F$5:$F$404,Parcelas!$A$5:$A$404,A192,Parcelas!$I$5:$I$404,"Vencida"))</f>
        <v/>
      </c>
      <c r="H192" s="24">
        <f>IF(A192="","",IF(G192&gt;0,"Em atraso",IF(F192&gt;0,"Em dia","Sem parcela em aberto")))</f>
        <v/>
      </c>
    </row>
    <row r="193">
      <c r="A193" s="33" t="n"/>
      <c r="B193" s="35" t="n"/>
      <c r="C193" s="24">
        <f>IF(A193="","",COUNTIFS(Parcelas!$A$5:$A$404,A193))</f>
        <v/>
      </c>
      <c r="D193" s="25">
        <f>IF(A193="","",SUMIFS(Parcelas!$F$5:$F$404,Parcelas!$A$5:$A$404,A193))</f>
        <v/>
      </c>
      <c r="E193" s="25">
        <f>IF(A193="","",SUMIFS(Parcelas!$F$5:$F$404,Parcelas!$A$5:$A$404,A193,Parcelas!$I$5:$I$404,"Paga"))</f>
        <v/>
      </c>
      <c r="F193" s="25">
        <f>IF(A193="","",D193-E193)</f>
        <v/>
      </c>
      <c r="G193" s="25">
        <f>IF(A193="","",SUMIFS(Parcelas!$F$5:$F$404,Parcelas!$A$5:$A$404,A193,Parcelas!$I$5:$I$404,"Vencida"))</f>
        <v/>
      </c>
      <c r="H193" s="24">
        <f>IF(A193="","",IF(G193&gt;0,"Em atraso",IF(F193&gt;0,"Em dia","Sem parcela em aberto")))</f>
        <v/>
      </c>
    </row>
    <row r="194">
      <c r="A194" s="33" t="n"/>
      <c r="B194" s="35" t="n"/>
      <c r="C194" s="24">
        <f>IF(A194="","",COUNTIFS(Parcelas!$A$5:$A$404,A194))</f>
        <v/>
      </c>
      <c r="D194" s="25">
        <f>IF(A194="","",SUMIFS(Parcelas!$F$5:$F$404,Parcelas!$A$5:$A$404,A194))</f>
        <v/>
      </c>
      <c r="E194" s="25">
        <f>IF(A194="","",SUMIFS(Parcelas!$F$5:$F$404,Parcelas!$A$5:$A$404,A194,Parcelas!$I$5:$I$404,"Paga"))</f>
        <v/>
      </c>
      <c r="F194" s="25">
        <f>IF(A194="","",D194-E194)</f>
        <v/>
      </c>
      <c r="G194" s="25">
        <f>IF(A194="","",SUMIFS(Parcelas!$F$5:$F$404,Parcelas!$A$5:$A$404,A194,Parcelas!$I$5:$I$404,"Vencida"))</f>
        <v/>
      </c>
      <c r="H194" s="24">
        <f>IF(A194="","",IF(G194&gt;0,"Em atraso",IF(F194&gt;0,"Em dia","Sem parcela em aberto")))</f>
        <v/>
      </c>
    </row>
    <row r="195">
      <c r="A195" s="33" t="n"/>
      <c r="B195" s="35" t="n"/>
      <c r="C195" s="24">
        <f>IF(A195="","",COUNTIFS(Parcelas!$A$5:$A$404,A195))</f>
        <v/>
      </c>
      <c r="D195" s="25">
        <f>IF(A195="","",SUMIFS(Parcelas!$F$5:$F$404,Parcelas!$A$5:$A$404,A195))</f>
        <v/>
      </c>
      <c r="E195" s="25">
        <f>IF(A195="","",SUMIFS(Parcelas!$F$5:$F$404,Parcelas!$A$5:$A$404,A195,Parcelas!$I$5:$I$404,"Paga"))</f>
        <v/>
      </c>
      <c r="F195" s="25">
        <f>IF(A195="","",D195-E195)</f>
        <v/>
      </c>
      <c r="G195" s="25">
        <f>IF(A195="","",SUMIFS(Parcelas!$F$5:$F$404,Parcelas!$A$5:$A$404,A195,Parcelas!$I$5:$I$404,"Vencida"))</f>
        <v/>
      </c>
      <c r="H195" s="24">
        <f>IF(A195="","",IF(G195&gt;0,"Em atraso",IF(F195&gt;0,"Em dia","Sem parcela em aberto")))</f>
        <v/>
      </c>
    </row>
    <row r="196">
      <c r="A196" s="33" t="n"/>
      <c r="B196" s="35" t="n"/>
      <c r="C196" s="24">
        <f>IF(A196="","",COUNTIFS(Parcelas!$A$5:$A$404,A196))</f>
        <v/>
      </c>
      <c r="D196" s="25">
        <f>IF(A196="","",SUMIFS(Parcelas!$F$5:$F$404,Parcelas!$A$5:$A$404,A196))</f>
        <v/>
      </c>
      <c r="E196" s="25">
        <f>IF(A196="","",SUMIFS(Parcelas!$F$5:$F$404,Parcelas!$A$5:$A$404,A196,Parcelas!$I$5:$I$404,"Paga"))</f>
        <v/>
      </c>
      <c r="F196" s="25">
        <f>IF(A196="","",D196-E196)</f>
        <v/>
      </c>
      <c r="G196" s="25">
        <f>IF(A196="","",SUMIFS(Parcelas!$F$5:$F$404,Parcelas!$A$5:$A$404,A196,Parcelas!$I$5:$I$404,"Vencida"))</f>
        <v/>
      </c>
      <c r="H196" s="24">
        <f>IF(A196="","",IF(G196&gt;0,"Em atraso",IF(F196&gt;0,"Em dia","Sem parcela em aberto")))</f>
        <v/>
      </c>
    </row>
    <row r="197">
      <c r="A197" s="33" t="n"/>
      <c r="B197" s="35" t="n"/>
      <c r="C197" s="24">
        <f>IF(A197="","",COUNTIFS(Parcelas!$A$5:$A$404,A197))</f>
        <v/>
      </c>
      <c r="D197" s="25">
        <f>IF(A197="","",SUMIFS(Parcelas!$F$5:$F$404,Parcelas!$A$5:$A$404,A197))</f>
        <v/>
      </c>
      <c r="E197" s="25">
        <f>IF(A197="","",SUMIFS(Parcelas!$F$5:$F$404,Parcelas!$A$5:$A$404,A197,Parcelas!$I$5:$I$404,"Paga"))</f>
        <v/>
      </c>
      <c r="F197" s="25">
        <f>IF(A197="","",D197-E197)</f>
        <v/>
      </c>
      <c r="G197" s="25">
        <f>IF(A197="","",SUMIFS(Parcelas!$F$5:$F$404,Parcelas!$A$5:$A$404,A197,Parcelas!$I$5:$I$404,"Vencida"))</f>
        <v/>
      </c>
      <c r="H197" s="24">
        <f>IF(A197="","",IF(G197&gt;0,"Em atraso",IF(F197&gt;0,"Em dia","Sem parcela em aberto")))</f>
        <v/>
      </c>
    </row>
    <row r="198">
      <c r="A198" s="33" t="n"/>
      <c r="B198" s="35" t="n"/>
      <c r="C198" s="24">
        <f>IF(A198="","",COUNTIFS(Parcelas!$A$5:$A$404,A198))</f>
        <v/>
      </c>
      <c r="D198" s="25">
        <f>IF(A198="","",SUMIFS(Parcelas!$F$5:$F$404,Parcelas!$A$5:$A$404,A198))</f>
        <v/>
      </c>
      <c r="E198" s="25">
        <f>IF(A198="","",SUMIFS(Parcelas!$F$5:$F$404,Parcelas!$A$5:$A$404,A198,Parcelas!$I$5:$I$404,"Paga"))</f>
        <v/>
      </c>
      <c r="F198" s="25">
        <f>IF(A198="","",D198-E198)</f>
        <v/>
      </c>
      <c r="G198" s="25">
        <f>IF(A198="","",SUMIFS(Parcelas!$F$5:$F$404,Parcelas!$A$5:$A$404,A198,Parcelas!$I$5:$I$404,"Vencida"))</f>
        <v/>
      </c>
      <c r="H198" s="24">
        <f>IF(A198="","",IF(G198&gt;0,"Em atraso",IF(F198&gt;0,"Em dia","Sem parcela em aberto")))</f>
        <v/>
      </c>
    </row>
    <row r="199">
      <c r="A199" s="33" t="n"/>
      <c r="B199" s="35" t="n"/>
      <c r="C199" s="24">
        <f>IF(A199="","",COUNTIFS(Parcelas!$A$5:$A$404,A199))</f>
        <v/>
      </c>
      <c r="D199" s="25">
        <f>IF(A199="","",SUMIFS(Parcelas!$F$5:$F$404,Parcelas!$A$5:$A$404,A199))</f>
        <v/>
      </c>
      <c r="E199" s="25">
        <f>IF(A199="","",SUMIFS(Parcelas!$F$5:$F$404,Parcelas!$A$5:$A$404,A199,Parcelas!$I$5:$I$404,"Paga"))</f>
        <v/>
      </c>
      <c r="F199" s="25">
        <f>IF(A199="","",D199-E199)</f>
        <v/>
      </c>
      <c r="G199" s="25">
        <f>IF(A199="","",SUMIFS(Parcelas!$F$5:$F$404,Parcelas!$A$5:$A$404,A199,Parcelas!$I$5:$I$404,"Vencida"))</f>
        <v/>
      </c>
      <c r="H199" s="24">
        <f>IF(A199="","",IF(G199&gt;0,"Em atraso",IF(F199&gt;0,"Em dia","Sem parcela em aberto")))</f>
        <v/>
      </c>
    </row>
    <row r="200">
      <c r="A200" s="33" t="n"/>
      <c r="B200" s="35" t="n"/>
      <c r="C200" s="24">
        <f>IF(A200="","",COUNTIFS(Parcelas!$A$5:$A$404,A200))</f>
        <v/>
      </c>
      <c r="D200" s="25">
        <f>IF(A200="","",SUMIFS(Parcelas!$F$5:$F$404,Parcelas!$A$5:$A$404,A200))</f>
        <v/>
      </c>
      <c r="E200" s="25">
        <f>IF(A200="","",SUMIFS(Parcelas!$F$5:$F$404,Parcelas!$A$5:$A$404,A200,Parcelas!$I$5:$I$404,"Paga"))</f>
        <v/>
      </c>
      <c r="F200" s="25">
        <f>IF(A200="","",D200-E200)</f>
        <v/>
      </c>
      <c r="G200" s="25">
        <f>IF(A200="","",SUMIFS(Parcelas!$F$5:$F$404,Parcelas!$A$5:$A$404,A200,Parcelas!$I$5:$I$404,"Vencida"))</f>
        <v/>
      </c>
      <c r="H200" s="24">
        <f>IF(A200="","",IF(G200&gt;0,"Em atraso",IF(F200&gt;0,"Em dia","Sem parcela em aberto")))</f>
        <v/>
      </c>
    </row>
    <row r="201">
      <c r="A201" s="33" t="n"/>
      <c r="B201" s="35" t="n"/>
      <c r="C201" s="24">
        <f>IF(A201="","",COUNTIFS(Parcelas!$A$5:$A$404,A201))</f>
        <v/>
      </c>
      <c r="D201" s="25">
        <f>IF(A201="","",SUMIFS(Parcelas!$F$5:$F$404,Parcelas!$A$5:$A$404,A201))</f>
        <v/>
      </c>
      <c r="E201" s="25">
        <f>IF(A201="","",SUMIFS(Parcelas!$F$5:$F$404,Parcelas!$A$5:$A$404,A201,Parcelas!$I$5:$I$404,"Paga"))</f>
        <v/>
      </c>
      <c r="F201" s="25">
        <f>IF(A201="","",D201-E201)</f>
        <v/>
      </c>
      <c r="G201" s="25">
        <f>IF(A201="","",SUMIFS(Parcelas!$F$5:$F$404,Parcelas!$A$5:$A$404,A201,Parcelas!$I$5:$I$404,"Vencida"))</f>
        <v/>
      </c>
      <c r="H201" s="24">
        <f>IF(A201="","",IF(G201&gt;0,"Em atraso",IF(F201&gt;0,"Em dia","Sem parcela em aberto")))</f>
        <v/>
      </c>
    </row>
    <row r="202">
      <c r="A202" s="33" t="n"/>
      <c r="B202" s="35" t="n"/>
      <c r="C202" s="24">
        <f>IF(A202="","",COUNTIFS(Parcelas!$A$5:$A$404,A202))</f>
        <v/>
      </c>
      <c r="D202" s="25">
        <f>IF(A202="","",SUMIFS(Parcelas!$F$5:$F$404,Parcelas!$A$5:$A$404,A202))</f>
        <v/>
      </c>
      <c r="E202" s="25">
        <f>IF(A202="","",SUMIFS(Parcelas!$F$5:$F$404,Parcelas!$A$5:$A$404,A202,Parcelas!$I$5:$I$404,"Paga"))</f>
        <v/>
      </c>
      <c r="F202" s="25">
        <f>IF(A202="","",D202-E202)</f>
        <v/>
      </c>
      <c r="G202" s="25">
        <f>IF(A202="","",SUMIFS(Parcelas!$F$5:$F$404,Parcelas!$A$5:$A$404,A202,Parcelas!$I$5:$I$404,"Vencida"))</f>
        <v/>
      </c>
      <c r="H202" s="24">
        <f>IF(A202="","",IF(G202&gt;0,"Em atraso",IF(F202&gt;0,"Em dia","Sem parcela em aberto")))</f>
        <v/>
      </c>
    </row>
    <row r="203">
      <c r="A203" s="33" t="n"/>
      <c r="B203" s="35" t="n"/>
      <c r="C203" s="24">
        <f>IF(A203="","",COUNTIFS(Parcelas!$A$5:$A$404,A203))</f>
        <v/>
      </c>
      <c r="D203" s="25">
        <f>IF(A203="","",SUMIFS(Parcelas!$F$5:$F$404,Parcelas!$A$5:$A$404,A203))</f>
        <v/>
      </c>
      <c r="E203" s="25">
        <f>IF(A203="","",SUMIFS(Parcelas!$F$5:$F$404,Parcelas!$A$5:$A$404,A203,Parcelas!$I$5:$I$404,"Paga"))</f>
        <v/>
      </c>
      <c r="F203" s="25">
        <f>IF(A203="","",D203-E203)</f>
        <v/>
      </c>
      <c r="G203" s="25">
        <f>IF(A203="","",SUMIFS(Parcelas!$F$5:$F$404,Parcelas!$A$5:$A$404,A203,Parcelas!$I$5:$I$404,"Vencida"))</f>
        <v/>
      </c>
      <c r="H203" s="24">
        <f>IF(A203="","",IF(G203&gt;0,"Em atraso",IF(F203&gt;0,"Em dia","Sem parcela em aberto")))</f>
        <v/>
      </c>
    </row>
    <row r="204">
      <c r="A204" s="33" t="n"/>
      <c r="B204" s="35" t="n"/>
      <c r="C204" s="24">
        <f>IF(A204="","",COUNTIFS(Parcelas!$A$5:$A$404,A204))</f>
        <v/>
      </c>
      <c r="D204" s="25">
        <f>IF(A204="","",SUMIFS(Parcelas!$F$5:$F$404,Parcelas!$A$5:$A$404,A204))</f>
        <v/>
      </c>
      <c r="E204" s="25">
        <f>IF(A204="","",SUMIFS(Parcelas!$F$5:$F$404,Parcelas!$A$5:$A$404,A204,Parcelas!$I$5:$I$404,"Paga"))</f>
        <v/>
      </c>
      <c r="F204" s="25">
        <f>IF(A204="","",D204-E204)</f>
        <v/>
      </c>
      <c r="G204" s="25">
        <f>IF(A204="","",SUMIFS(Parcelas!$F$5:$F$404,Parcelas!$A$5:$A$404,A204,Parcelas!$I$5:$I$404,"Vencida"))</f>
        <v/>
      </c>
      <c r="H204" s="24">
        <f>IF(A204="","",IF(G204&gt;0,"Em atraso",IF(F204&gt;0,"Em dia","Sem parcela em aberto")))</f>
        <v/>
      </c>
    </row>
    <row r="205">
      <c r="A205" s="33" t="n"/>
      <c r="B205" s="35" t="n"/>
      <c r="C205" s="24">
        <f>IF(A205="","",COUNTIFS(Parcelas!$A$5:$A$404,A205))</f>
        <v/>
      </c>
      <c r="D205" s="25">
        <f>IF(A205="","",SUMIFS(Parcelas!$F$5:$F$404,Parcelas!$A$5:$A$404,A205))</f>
        <v/>
      </c>
      <c r="E205" s="25">
        <f>IF(A205="","",SUMIFS(Parcelas!$F$5:$F$404,Parcelas!$A$5:$A$404,A205,Parcelas!$I$5:$I$404,"Paga"))</f>
        <v/>
      </c>
      <c r="F205" s="25">
        <f>IF(A205="","",D205-E205)</f>
        <v/>
      </c>
      <c r="G205" s="25">
        <f>IF(A205="","",SUMIFS(Parcelas!$F$5:$F$404,Parcelas!$A$5:$A$404,A205,Parcelas!$I$5:$I$404,"Vencida"))</f>
        <v/>
      </c>
      <c r="H205" s="24">
        <f>IF(A205="","",IF(G205&gt;0,"Em atraso",IF(F205&gt;0,"Em dia","Sem parcela em aberto")))</f>
        <v/>
      </c>
    </row>
    <row r="206">
      <c r="A206" s="33" t="n"/>
      <c r="B206" s="35" t="n"/>
      <c r="C206" s="24">
        <f>IF(A206="","",COUNTIFS(Parcelas!$A$5:$A$404,A206))</f>
        <v/>
      </c>
      <c r="D206" s="25">
        <f>IF(A206="","",SUMIFS(Parcelas!$F$5:$F$404,Parcelas!$A$5:$A$404,A206))</f>
        <v/>
      </c>
      <c r="E206" s="25">
        <f>IF(A206="","",SUMIFS(Parcelas!$F$5:$F$404,Parcelas!$A$5:$A$404,A206,Parcelas!$I$5:$I$404,"Paga"))</f>
        <v/>
      </c>
      <c r="F206" s="25">
        <f>IF(A206="","",D206-E206)</f>
        <v/>
      </c>
      <c r="G206" s="25">
        <f>IF(A206="","",SUMIFS(Parcelas!$F$5:$F$404,Parcelas!$A$5:$A$404,A206,Parcelas!$I$5:$I$404,"Vencida"))</f>
        <v/>
      </c>
      <c r="H206" s="24">
        <f>IF(A206="","",IF(G206&gt;0,"Em atraso",IF(F206&gt;0,"Em dia","Sem parcela em aberto")))</f>
        <v/>
      </c>
    </row>
    <row r="207">
      <c r="A207" s="33" t="n"/>
      <c r="B207" s="35" t="n"/>
      <c r="C207" s="24">
        <f>IF(A207="","",COUNTIFS(Parcelas!$A$5:$A$404,A207))</f>
        <v/>
      </c>
      <c r="D207" s="25">
        <f>IF(A207="","",SUMIFS(Parcelas!$F$5:$F$404,Parcelas!$A$5:$A$404,A207))</f>
        <v/>
      </c>
      <c r="E207" s="25">
        <f>IF(A207="","",SUMIFS(Parcelas!$F$5:$F$404,Parcelas!$A$5:$A$404,A207,Parcelas!$I$5:$I$404,"Paga"))</f>
        <v/>
      </c>
      <c r="F207" s="25">
        <f>IF(A207="","",D207-E207)</f>
        <v/>
      </c>
      <c r="G207" s="25">
        <f>IF(A207="","",SUMIFS(Parcelas!$F$5:$F$404,Parcelas!$A$5:$A$404,A207,Parcelas!$I$5:$I$404,"Vencida"))</f>
        <v/>
      </c>
      <c r="H207" s="24">
        <f>IF(A207="","",IF(G207&gt;0,"Em atraso",IF(F207&gt;0,"Em dia","Sem parcela em aberto")))</f>
        <v/>
      </c>
    </row>
    <row r="208">
      <c r="A208" s="33" t="n"/>
      <c r="B208" s="35" t="n"/>
      <c r="C208" s="24">
        <f>IF(A208="","",COUNTIFS(Parcelas!$A$5:$A$404,A208))</f>
        <v/>
      </c>
      <c r="D208" s="25">
        <f>IF(A208="","",SUMIFS(Parcelas!$F$5:$F$404,Parcelas!$A$5:$A$404,A208))</f>
        <v/>
      </c>
      <c r="E208" s="25">
        <f>IF(A208="","",SUMIFS(Parcelas!$F$5:$F$404,Parcelas!$A$5:$A$404,A208,Parcelas!$I$5:$I$404,"Paga"))</f>
        <v/>
      </c>
      <c r="F208" s="25">
        <f>IF(A208="","",D208-E208)</f>
        <v/>
      </c>
      <c r="G208" s="25">
        <f>IF(A208="","",SUMIFS(Parcelas!$F$5:$F$404,Parcelas!$A$5:$A$404,A208,Parcelas!$I$5:$I$404,"Vencida"))</f>
        <v/>
      </c>
      <c r="H208" s="24">
        <f>IF(A208="","",IF(G208&gt;0,"Em atraso",IF(F208&gt;0,"Em dia","Sem parcela em aberto")))</f>
        <v/>
      </c>
    </row>
    <row r="209">
      <c r="A209" s="33" t="n"/>
      <c r="B209" s="35" t="n"/>
      <c r="C209" s="24">
        <f>IF(A209="","",COUNTIFS(Parcelas!$A$5:$A$404,A209))</f>
        <v/>
      </c>
      <c r="D209" s="25">
        <f>IF(A209="","",SUMIFS(Parcelas!$F$5:$F$404,Parcelas!$A$5:$A$404,A209))</f>
        <v/>
      </c>
      <c r="E209" s="25">
        <f>IF(A209="","",SUMIFS(Parcelas!$F$5:$F$404,Parcelas!$A$5:$A$404,A209,Parcelas!$I$5:$I$404,"Paga"))</f>
        <v/>
      </c>
      <c r="F209" s="25">
        <f>IF(A209="","",D209-E209)</f>
        <v/>
      </c>
      <c r="G209" s="25">
        <f>IF(A209="","",SUMIFS(Parcelas!$F$5:$F$404,Parcelas!$A$5:$A$404,A209,Parcelas!$I$5:$I$404,"Vencida"))</f>
        <v/>
      </c>
      <c r="H209" s="24">
        <f>IF(A209="","",IF(G209&gt;0,"Em atraso",IF(F209&gt;0,"Em dia","Sem parcela em aberto")))</f>
        <v/>
      </c>
    </row>
    <row r="210">
      <c r="A210" s="33" t="n"/>
      <c r="B210" s="35" t="n"/>
      <c r="C210" s="24">
        <f>IF(A210="","",COUNTIFS(Parcelas!$A$5:$A$404,A210))</f>
        <v/>
      </c>
      <c r="D210" s="25">
        <f>IF(A210="","",SUMIFS(Parcelas!$F$5:$F$404,Parcelas!$A$5:$A$404,A210))</f>
        <v/>
      </c>
      <c r="E210" s="25">
        <f>IF(A210="","",SUMIFS(Parcelas!$F$5:$F$404,Parcelas!$A$5:$A$404,A210,Parcelas!$I$5:$I$404,"Paga"))</f>
        <v/>
      </c>
      <c r="F210" s="25">
        <f>IF(A210="","",D210-E210)</f>
        <v/>
      </c>
      <c r="G210" s="25">
        <f>IF(A210="","",SUMIFS(Parcelas!$F$5:$F$404,Parcelas!$A$5:$A$404,A210,Parcelas!$I$5:$I$404,"Vencida"))</f>
        <v/>
      </c>
      <c r="H210" s="24">
        <f>IF(A210="","",IF(G210&gt;0,"Em atraso",IF(F210&gt;0,"Em dia","Sem parcela em aberto")))</f>
        <v/>
      </c>
    </row>
    <row r="211">
      <c r="A211" s="33" t="n"/>
      <c r="B211" s="35" t="n"/>
      <c r="C211" s="24">
        <f>IF(A211="","",COUNTIFS(Parcelas!$A$5:$A$404,A211))</f>
        <v/>
      </c>
      <c r="D211" s="25">
        <f>IF(A211="","",SUMIFS(Parcelas!$F$5:$F$404,Parcelas!$A$5:$A$404,A211))</f>
        <v/>
      </c>
      <c r="E211" s="25">
        <f>IF(A211="","",SUMIFS(Parcelas!$F$5:$F$404,Parcelas!$A$5:$A$404,A211,Parcelas!$I$5:$I$404,"Paga"))</f>
        <v/>
      </c>
      <c r="F211" s="25">
        <f>IF(A211="","",D211-E211)</f>
        <v/>
      </c>
      <c r="G211" s="25">
        <f>IF(A211="","",SUMIFS(Parcelas!$F$5:$F$404,Parcelas!$A$5:$A$404,A211,Parcelas!$I$5:$I$404,"Vencida"))</f>
        <v/>
      </c>
      <c r="H211" s="24">
        <f>IF(A211="","",IF(G211&gt;0,"Em atraso",IF(F211&gt;0,"Em dia","Sem parcela em aberto")))</f>
        <v/>
      </c>
    </row>
    <row r="212">
      <c r="A212" s="33" t="n"/>
      <c r="B212" s="35" t="n"/>
      <c r="C212" s="24">
        <f>IF(A212="","",COUNTIFS(Parcelas!$A$5:$A$404,A212))</f>
        <v/>
      </c>
      <c r="D212" s="25">
        <f>IF(A212="","",SUMIFS(Parcelas!$F$5:$F$404,Parcelas!$A$5:$A$404,A212))</f>
        <v/>
      </c>
      <c r="E212" s="25">
        <f>IF(A212="","",SUMIFS(Parcelas!$F$5:$F$404,Parcelas!$A$5:$A$404,A212,Parcelas!$I$5:$I$404,"Paga"))</f>
        <v/>
      </c>
      <c r="F212" s="25">
        <f>IF(A212="","",D212-E212)</f>
        <v/>
      </c>
      <c r="G212" s="25">
        <f>IF(A212="","",SUMIFS(Parcelas!$F$5:$F$404,Parcelas!$A$5:$A$404,A212,Parcelas!$I$5:$I$404,"Vencida"))</f>
        <v/>
      </c>
      <c r="H212" s="24">
        <f>IF(A212="","",IF(G212&gt;0,"Em atraso",IF(F212&gt;0,"Em dia","Sem parcela em aberto")))</f>
        <v/>
      </c>
    </row>
    <row r="213">
      <c r="A213" s="33" t="n"/>
      <c r="B213" s="35" t="n"/>
      <c r="C213" s="24">
        <f>IF(A213="","",COUNTIFS(Parcelas!$A$5:$A$404,A213))</f>
        <v/>
      </c>
      <c r="D213" s="25">
        <f>IF(A213="","",SUMIFS(Parcelas!$F$5:$F$404,Parcelas!$A$5:$A$404,A213))</f>
        <v/>
      </c>
      <c r="E213" s="25">
        <f>IF(A213="","",SUMIFS(Parcelas!$F$5:$F$404,Parcelas!$A$5:$A$404,A213,Parcelas!$I$5:$I$404,"Paga"))</f>
        <v/>
      </c>
      <c r="F213" s="25">
        <f>IF(A213="","",D213-E213)</f>
        <v/>
      </c>
      <c r="G213" s="25">
        <f>IF(A213="","",SUMIFS(Parcelas!$F$5:$F$404,Parcelas!$A$5:$A$404,A213,Parcelas!$I$5:$I$404,"Vencida"))</f>
        <v/>
      </c>
      <c r="H213" s="24">
        <f>IF(A213="","",IF(G213&gt;0,"Em atraso",IF(F213&gt;0,"Em dia","Sem parcela em aberto")))</f>
        <v/>
      </c>
    </row>
    <row r="214">
      <c r="A214" s="33" t="n"/>
      <c r="B214" s="35" t="n"/>
      <c r="C214" s="24">
        <f>IF(A214="","",COUNTIFS(Parcelas!$A$5:$A$404,A214))</f>
        <v/>
      </c>
      <c r="D214" s="25">
        <f>IF(A214="","",SUMIFS(Parcelas!$F$5:$F$404,Parcelas!$A$5:$A$404,A214))</f>
        <v/>
      </c>
      <c r="E214" s="25">
        <f>IF(A214="","",SUMIFS(Parcelas!$F$5:$F$404,Parcelas!$A$5:$A$404,A214,Parcelas!$I$5:$I$404,"Paga"))</f>
        <v/>
      </c>
      <c r="F214" s="25">
        <f>IF(A214="","",D214-E214)</f>
        <v/>
      </c>
      <c r="G214" s="25">
        <f>IF(A214="","",SUMIFS(Parcelas!$F$5:$F$404,Parcelas!$A$5:$A$404,A214,Parcelas!$I$5:$I$404,"Vencida"))</f>
        <v/>
      </c>
      <c r="H214" s="24">
        <f>IF(A214="","",IF(G214&gt;0,"Em atraso",IF(F214&gt;0,"Em dia","Sem parcela em aberto")))</f>
        <v/>
      </c>
    </row>
    <row r="215">
      <c r="A215" s="33" t="n"/>
      <c r="B215" s="35" t="n"/>
      <c r="C215" s="24">
        <f>IF(A215="","",COUNTIFS(Parcelas!$A$5:$A$404,A215))</f>
        <v/>
      </c>
      <c r="D215" s="25">
        <f>IF(A215="","",SUMIFS(Parcelas!$F$5:$F$404,Parcelas!$A$5:$A$404,A215))</f>
        <v/>
      </c>
      <c r="E215" s="25">
        <f>IF(A215="","",SUMIFS(Parcelas!$F$5:$F$404,Parcelas!$A$5:$A$404,A215,Parcelas!$I$5:$I$404,"Paga"))</f>
        <v/>
      </c>
      <c r="F215" s="25">
        <f>IF(A215="","",D215-E215)</f>
        <v/>
      </c>
      <c r="G215" s="25">
        <f>IF(A215="","",SUMIFS(Parcelas!$F$5:$F$404,Parcelas!$A$5:$A$404,A215,Parcelas!$I$5:$I$404,"Vencida"))</f>
        <v/>
      </c>
      <c r="H215" s="24">
        <f>IF(A215="","",IF(G215&gt;0,"Em atraso",IF(F215&gt;0,"Em dia","Sem parcela em aberto")))</f>
        <v/>
      </c>
    </row>
    <row r="216">
      <c r="A216" s="33" t="n"/>
      <c r="B216" s="35" t="n"/>
      <c r="C216" s="24">
        <f>IF(A216="","",COUNTIFS(Parcelas!$A$5:$A$404,A216))</f>
        <v/>
      </c>
      <c r="D216" s="25">
        <f>IF(A216="","",SUMIFS(Parcelas!$F$5:$F$404,Parcelas!$A$5:$A$404,A216))</f>
        <v/>
      </c>
      <c r="E216" s="25">
        <f>IF(A216="","",SUMIFS(Parcelas!$F$5:$F$404,Parcelas!$A$5:$A$404,A216,Parcelas!$I$5:$I$404,"Paga"))</f>
        <v/>
      </c>
      <c r="F216" s="25">
        <f>IF(A216="","",D216-E216)</f>
        <v/>
      </c>
      <c r="G216" s="25">
        <f>IF(A216="","",SUMIFS(Parcelas!$F$5:$F$404,Parcelas!$A$5:$A$404,A216,Parcelas!$I$5:$I$404,"Vencida"))</f>
        <v/>
      </c>
      <c r="H216" s="24">
        <f>IF(A216="","",IF(G216&gt;0,"Em atraso",IF(F216&gt;0,"Em dia","Sem parcela em aberto")))</f>
        <v/>
      </c>
    </row>
    <row r="217">
      <c r="A217" s="33" t="n"/>
      <c r="B217" s="35" t="n"/>
      <c r="C217" s="24">
        <f>IF(A217="","",COUNTIFS(Parcelas!$A$5:$A$404,A217))</f>
        <v/>
      </c>
      <c r="D217" s="25">
        <f>IF(A217="","",SUMIFS(Parcelas!$F$5:$F$404,Parcelas!$A$5:$A$404,A217))</f>
        <v/>
      </c>
      <c r="E217" s="25">
        <f>IF(A217="","",SUMIFS(Parcelas!$F$5:$F$404,Parcelas!$A$5:$A$404,A217,Parcelas!$I$5:$I$404,"Paga"))</f>
        <v/>
      </c>
      <c r="F217" s="25">
        <f>IF(A217="","",D217-E217)</f>
        <v/>
      </c>
      <c r="G217" s="25">
        <f>IF(A217="","",SUMIFS(Parcelas!$F$5:$F$404,Parcelas!$A$5:$A$404,A217,Parcelas!$I$5:$I$404,"Vencida"))</f>
        <v/>
      </c>
      <c r="H217" s="24">
        <f>IF(A217="","",IF(G217&gt;0,"Em atraso",IF(F217&gt;0,"Em dia","Sem parcela em aberto")))</f>
        <v/>
      </c>
    </row>
    <row r="218">
      <c r="A218" s="33" t="n"/>
      <c r="B218" s="35" t="n"/>
      <c r="C218" s="24">
        <f>IF(A218="","",COUNTIFS(Parcelas!$A$5:$A$404,A218))</f>
        <v/>
      </c>
      <c r="D218" s="25">
        <f>IF(A218="","",SUMIFS(Parcelas!$F$5:$F$404,Parcelas!$A$5:$A$404,A218))</f>
        <v/>
      </c>
      <c r="E218" s="25">
        <f>IF(A218="","",SUMIFS(Parcelas!$F$5:$F$404,Parcelas!$A$5:$A$404,A218,Parcelas!$I$5:$I$404,"Paga"))</f>
        <v/>
      </c>
      <c r="F218" s="25">
        <f>IF(A218="","",D218-E218)</f>
        <v/>
      </c>
      <c r="G218" s="25">
        <f>IF(A218="","",SUMIFS(Parcelas!$F$5:$F$404,Parcelas!$A$5:$A$404,A218,Parcelas!$I$5:$I$404,"Vencida"))</f>
        <v/>
      </c>
      <c r="H218" s="24">
        <f>IF(A218="","",IF(G218&gt;0,"Em atraso",IF(F218&gt;0,"Em dia","Sem parcela em aberto")))</f>
        <v/>
      </c>
    </row>
    <row r="219">
      <c r="A219" s="33" t="n"/>
      <c r="B219" s="35" t="n"/>
      <c r="C219" s="24">
        <f>IF(A219="","",COUNTIFS(Parcelas!$A$5:$A$404,A219))</f>
        <v/>
      </c>
      <c r="D219" s="25">
        <f>IF(A219="","",SUMIFS(Parcelas!$F$5:$F$404,Parcelas!$A$5:$A$404,A219))</f>
        <v/>
      </c>
      <c r="E219" s="25">
        <f>IF(A219="","",SUMIFS(Parcelas!$F$5:$F$404,Parcelas!$A$5:$A$404,A219,Parcelas!$I$5:$I$404,"Paga"))</f>
        <v/>
      </c>
      <c r="F219" s="25">
        <f>IF(A219="","",D219-E219)</f>
        <v/>
      </c>
      <c r="G219" s="25">
        <f>IF(A219="","",SUMIFS(Parcelas!$F$5:$F$404,Parcelas!$A$5:$A$404,A219,Parcelas!$I$5:$I$404,"Vencida"))</f>
        <v/>
      </c>
      <c r="H219" s="24">
        <f>IF(A219="","",IF(G219&gt;0,"Em atraso",IF(F219&gt;0,"Em dia","Sem parcela em aberto")))</f>
        <v/>
      </c>
    </row>
    <row r="220">
      <c r="A220" s="33" t="n"/>
      <c r="B220" s="35" t="n"/>
      <c r="C220" s="24">
        <f>IF(A220="","",COUNTIFS(Parcelas!$A$5:$A$404,A220))</f>
        <v/>
      </c>
      <c r="D220" s="25">
        <f>IF(A220="","",SUMIFS(Parcelas!$F$5:$F$404,Parcelas!$A$5:$A$404,A220))</f>
        <v/>
      </c>
      <c r="E220" s="25">
        <f>IF(A220="","",SUMIFS(Parcelas!$F$5:$F$404,Parcelas!$A$5:$A$404,A220,Parcelas!$I$5:$I$404,"Paga"))</f>
        <v/>
      </c>
      <c r="F220" s="25">
        <f>IF(A220="","",D220-E220)</f>
        <v/>
      </c>
      <c r="G220" s="25">
        <f>IF(A220="","",SUMIFS(Parcelas!$F$5:$F$404,Parcelas!$A$5:$A$404,A220,Parcelas!$I$5:$I$404,"Vencida"))</f>
        <v/>
      </c>
      <c r="H220" s="24">
        <f>IF(A220="","",IF(G220&gt;0,"Em atraso",IF(F220&gt;0,"Em dia","Sem parcela em aberto")))</f>
        <v/>
      </c>
    </row>
    <row r="221">
      <c r="A221" s="33" t="n"/>
      <c r="B221" s="35" t="n"/>
      <c r="C221" s="24">
        <f>IF(A221="","",COUNTIFS(Parcelas!$A$5:$A$404,A221))</f>
        <v/>
      </c>
      <c r="D221" s="25">
        <f>IF(A221="","",SUMIFS(Parcelas!$F$5:$F$404,Parcelas!$A$5:$A$404,A221))</f>
        <v/>
      </c>
      <c r="E221" s="25">
        <f>IF(A221="","",SUMIFS(Parcelas!$F$5:$F$404,Parcelas!$A$5:$A$404,A221,Parcelas!$I$5:$I$404,"Paga"))</f>
        <v/>
      </c>
      <c r="F221" s="25">
        <f>IF(A221="","",D221-E221)</f>
        <v/>
      </c>
      <c r="G221" s="25">
        <f>IF(A221="","",SUMIFS(Parcelas!$F$5:$F$404,Parcelas!$A$5:$A$404,A221,Parcelas!$I$5:$I$404,"Vencida"))</f>
        <v/>
      </c>
      <c r="H221" s="24">
        <f>IF(A221="","",IF(G221&gt;0,"Em atraso",IF(F221&gt;0,"Em dia","Sem parcela em aberto")))</f>
        <v/>
      </c>
    </row>
    <row r="222">
      <c r="A222" s="33" t="n"/>
      <c r="B222" s="35" t="n"/>
      <c r="C222" s="24">
        <f>IF(A222="","",COUNTIFS(Parcelas!$A$5:$A$404,A222))</f>
        <v/>
      </c>
      <c r="D222" s="25">
        <f>IF(A222="","",SUMIFS(Parcelas!$F$5:$F$404,Parcelas!$A$5:$A$404,A222))</f>
        <v/>
      </c>
      <c r="E222" s="25">
        <f>IF(A222="","",SUMIFS(Parcelas!$F$5:$F$404,Parcelas!$A$5:$A$404,A222,Parcelas!$I$5:$I$404,"Paga"))</f>
        <v/>
      </c>
      <c r="F222" s="25">
        <f>IF(A222="","",D222-E222)</f>
        <v/>
      </c>
      <c r="G222" s="25">
        <f>IF(A222="","",SUMIFS(Parcelas!$F$5:$F$404,Parcelas!$A$5:$A$404,A222,Parcelas!$I$5:$I$404,"Vencida"))</f>
        <v/>
      </c>
      <c r="H222" s="24">
        <f>IF(A222="","",IF(G222&gt;0,"Em atraso",IF(F222&gt;0,"Em dia","Sem parcela em aberto")))</f>
        <v/>
      </c>
    </row>
    <row r="223">
      <c r="A223" s="33" t="n"/>
      <c r="B223" s="35" t="n"/>
      <c r="C223" s="24">
        <f>IF(A223="","",COUNTIFS(Parcelas!$A$5:$A$404,A223))</f>
        <v/>
      </c>
      <c r="D223" s="25">
        <f>IF(A223="","",SUMIFS(Parcelas!$F$5:$F$404,Parcelas!$A$5:$A$404,A223))</f>
        <v/>
      </c>
      <c r="E223" s="25">
        <f>IF(A223="","",SUMIFS(Parcelas!$F$5:$F$404,Parcelas!$A$5:$A$404,A223,Parcelas!$I$5:$I$404,"Paga"))</f>
        <v/>
      </c>
      <c r="F223" s="25">
        <f>IF(A223="","",D223-E223)</f>
        <v/>
      </c>
      <c r="G223" s="25">
        <f>IF(A223="","",SUMIFS(Parcelas!$F$5:$F$404,Parcelas!$A$5:$A$404,A223,Parcelas!$I$5:$I$404,"Vencida"))</f>
        <v/>
      </c>
      <c r="H223" s="24">
        <f>IF(A223="","",IF(G223&gt;0,"Em atraso",IF(F223&gt;0,"Em dia","Sem parcela em aberto")))</f>
        <v/>
      </c>
    </row>
    <row r="224">
      <c r="A224" s="33" t="n"/>
      <c r="B224" s="35" t="n"/>
      <c r="C224" s="24">
        <f>IF(A224="","",COUNTIFS(Parcelas!$A$5:$A$404,A224))</f>
        <v/>
      </c>
      <c r="D224" s="25">
        <f>IF(A224="","",SUMIFS(Parcelas!$F$5:$F$404,Parcelas!$A$5:$A$404,A224))</f>
        <v/>
      </c>
      <c r="E224" s="25">
        <f>IF(A224="","",SUMIFS(Parcelas!$F$5:$F$404,Parcelas!$A$5:$A$404,A224,Parcelas!$I$5:$I$404,"Paga"))</f>
        <v/>
      </c>
      <c r="F224" s="25">
        <f>IF(A224="","",D224-E224)</f>
        <v/>
      </c>
      <c r="G224" s="25">
        <f>IF(A224="","",SUMIFS(Parcelas!$F$5:$F$404,Parcelas!$A$5:$A$404,A224,Parcelas!$I$5:$I$404,"Vencida"))</f>
        <v/>
      </c>
      <c r="H224" s="24">
        <f>IF(A224="","",IF(G224&gt;0,"Em atraso",IF(F224&gt;0,"Em dia","Sem parcela em aberto")))</f>
        <v/>
      </c>
    </row>
    <row r="225">
      <c r="A225" s="33" t="n"/>
      <c r="B225" s="35" t="n"/>
      <c r="C225" s="24">
        <f>IF(A225="","",COUNTIFS(Parcelas!$A$5:$A$404,A225))</f>
        <v/>
      </c>
      <c r="D225" s="25">
        <f>IF(A225="","",SUMIFS(Parcelas!$F$5:$F$404,Parcelas!$A$5:$A$404,A225))</f>
        <v/>
      </c>
      <c r="E225" s="25">
        <f>IF(A225="","",SUMIFS(Parcelas!$F$5:$F$404,Parcelas!$A$5:$A$404,A225,Parcelas!$I$5:$I$404,"Paga"))</f>
        <v/>
      </c>
      <c r="F225" s="25">
        <f>IF(A225="","",D225-E225)</f>
        <v/>
      </c>
      <c r="G225" s="25">
        <f>IF(A225="","",SUMIFS(Parcelas!$F$5:$F$404,Parcelas!$A$5:$A$404,A225,Parcelas!$I$5:$I$404,"Vencida"))</f>
        <v/>
      </c>
      <c r="H225" s="24">
        <f>IF(A225="","",IF(G225&gt;0,"Em atraso",IF(F225&gt;0,"Em dia","Sem parcela em aberto")))</f>
        <v/>
      </c>
    </row>
    <row r="226">
      <c r="A226" s="33" t="n"/>
      <c r="B226" s="35" t="n"/>
      <c r="C226" s="24">
        <f>IF(A226="","",COUNTIFS(Parcelas!$A$5:$A$404,A226))</f>
        <v/>
      </c>
      <c r="D226" s="25">
        <f>IF(A226="","",SUMIFS(Parcelas!$F$5:$F$404,Parcelas!$A$5:$A$404,A226))</f>
        <v/>
      </c>
      <c r="E226" s="25">
        <f>IF(A226="","",SUMIFS(Parcelas!$F$5:$F$404,Parcelas!$A$5:$A$404,A226,Parcelas!$I$5:$I$404,"Paga"))</f>
        <v/>
      </c>
      <c r="F226" s="25">
        <f>IF(A226="","",D226-E226)</f>
        <v/>
      </c>
      <c r="G226" s="25">
        <f>IF(A226="","",SUMIFS(Parcelas!$F$5:$F$404,Parcelas!$A$5:$A$404,A226,Parcelas!$I$5:$I$404,"Vencida"))</f>
        <v/>
      </c>
      <c r="H226" s="24">
        <f>IF(A226="","",IF(G226&gt;0,"Em atraso",IF(F226&gt;0,"Em dia","Sem parcela em aberto")))</f>
        <v/>
      </c>
    </row>
    <row r="227">
      <c r="A227" s="33" t="n"/>
      <c r="B227" s="35" t="n"/>
      <c r="C227" s="24">
        <f>IF(A227="","",COUNTIFS(Parcelas!$A$5:$A$404,A227))</f>
        <v/>
      </c>
      <c r="D227" s="25">
        <f>IF(A227="","",SUMIFS(Parcelas!$F$5:$F$404,Parcelas!$A$5:$A$404,A227))</f>
        <v/>
      </c>
      <c r="E227" s="25">
        <f>IF(A227="","",SUMIFS(Parcelas!$F$5:$F$404,Parcelas!$A$5:$A$404,A227,Parcelas!$I$5:$I$404,"Paga"))</f>
        <v/>
      </c>
      <c r="F227" s="25">
        <f>IF(A227="","",D227-E227)</f>
        <v/>
      </c>
      <c r="G227" s="25">
        <f>IF(A227="","",SUMIFS(Parcelas!$F$5:$F$404,Parcelas!$A$5:$A$404,A227,Parcelas!$I$5:$I$404,"Vencida"))</f>
        <v/>
      </c>
      <c r="H227" s="24">
        <f>IF(A227="","",IF(G227&gt;0,"Em atraso",IF(F227&gt;0,"Em dia","Sem parcela em aberto")))</f>
        <v/>
      </c>
    </row>
    <row r="228">
      <c r="A228" s="33" t="n"/>
      <c r="B228" s="35" t="n"/>
      <c r="C228" s="24">
        <f>IF(A228="","",COUNTIFS(Parcelas!$A$5:$A$404,A228))</f>
        <v/>
      </c>
      <c r="D228" s="25">
        <f>IF(A228="","",SUMIFS(Parcelas!$F$5:$F$404,Parcelas!$A$5:$A$404,A228))</f>
        <v/>
      </c>
      <c r="E228" s="25">
        <f>IF(A228="","",SUMIFS(Parcelas!$F$5:$F$404,Parcelas!$A$5:$A$404,A228,Parcelas!$I$5:$I$404,"Paga"))</f>
        <v/>
      </c>
      <c r="F228" s="25">
        <f>IF(A228="","",D228-E228)</f>
        <v/>
      </c>
      <c r="G228" s="25">
        <f>IF(A228="","",SUMIFS(Parcelas!$F$5:$F$404,Parcelas!$A$5:$A$404,A228,Parcelas!$I$5:$I$404,"Vencida"))</f>
        <v/>
      </c>
      <c r="H228" s="24">
        <f>IF(A228="","",IF(G228&gt;0,"Em atraso",IF(F228&gt;0,"Em dia","Sem parcela em aberto")))</f>
        <v/>
      </c>
    </row>
    <row r="229">
      <c r="A229" s="33" t="n"/>
      <c r="B229" s="35" t="n"/>
      <c r="C229" s="24">
        <f>IF(A229="","",COUNTIFS(Parcelas!$A$5:$A$404,A229))</f>
        <v/>
      </c>
      <c r="D229" s="25">
        <f>IF(A229="","",SUMIFS(Parcelas!$F$5:$F$404,Parcelas!$A$5:$A$404,A229))</f>
        <v/>
      </c>
      <c r="E229" s="25">
        <f>IF(A229="","",SUMIFS(Parcelas!$F$5:$F$404,Parcelas!$A$5:$A$404,A229,Parcelas!$I$5:$I$404,"Paga"))</f>
        <v/>
      </c>
      <c r="F229" s="25">
        <f>IF(A229="","",D229-E229)</f>
        <v/>
      </c>
      <c r="G229" s="25">
        <f>IF(A229="","",SUMIFS(Parcelas!$F$5:$F$404,Parcelas!$A$5:$A$404,A229,Parcelas!$I$5:$I$404,"Vencida"))</f>
        <v/>
      </c>
      <c r="H229" s="24">
        <f>IF(A229="","",IF(G229&gt;0,"Em atraso",IF(F229&gt;0,"Em dia","Sem parcela em aberto")))</f>
        <v/>
      </c>
    </row>
    <row r="230">
      <c r="A230" s="33" t="n"/>
      <c r="B230" s="35" t="n"/>
      <c r="C230" s="24">
        <f>IF(A230="","",COUNTIFS(Parcelas!$A$5:$A$404,A230))</f>
        <v/>
      </c>
      <c r="D230" s="25">
        <f>IF(A230="","",SUMIFS(Parcelas!$F$5:$F$404,Parcelas!$A$5:$A$404,A230))</f>
        <v/>
      </c>
      <c r="E230" s="25">
        <f>IF(A230="","",SUMIFS(Parcelas!$F$5:$F$404,Parcelas!$A$5:$A$404,A230,Parcelas!$I$5:$I$404,"Paga"))</f>
        <v/>
      </c>
      <c r="F230" s="25">
        <f>IF(A230="","",D230-E230)</f>
        <v/>
      </c>
      <c r="G230" s="25">
        <f>IF(A230="","",SUMIFS(Parcelas!$F$5:$F$404,Parcelas!$A$5:$A$404,A230,Parcelas!$I$5:$I$404,"Vencida"))</f>
        <v/>
      </c>
      <c r="H230" s="24">
        <f>IF(A230="","",IF(G230&gt;0,"Em atraso",IF(F230&gt;0,"Em dia","Sem parcela em aberto")))</f>
        <v/>
      </c>
    </row>
    <row r="231">
      <c r="A231" s="33" t="n"/>
      <c r="B231" s="35" t="n"/>
      <c r="C231" s="24">
        <f>IF(A231="","",COUNTIFS(Parcelas!$A$5:$A$404,A231))</f>
        <v/>
      </c>
      <c r="D231" s="25">
        <f>IF(A231="","",SUMIFS(Parcelas!$F$5:$F$404,Parcelas!$A$5:$A$404,A231))</f>
        <v/>
      </c>
      <c r="E231" s="25">
        <f>IF(A231="","",SUMIFS(Parcelas!$F$5:$F$404,Parcelas!$A$5:$A$404,A231,Parcelas!$I$5:$I$404,"Paga"))</f>
        <v/>
      </c>
      <c r="F231" s="25">
        <f>IF(A231="","",D231-E231)</f>
        <v/>
      </c>
      <c r="G231" s="25">
        <f>IF(A231="","",SUMIFS(Parcelas!$F$5:$F$404,Parcelas!$A$5:$A$404,A231,Parcelas!$I$5:$I$404,"Vencida"))</f>
        <v/>
      </c>
      <c r="H231" s="24">
        <f>IF(A231="","",IF(G231&gt;0,"Em atraso",IF(F231&gt;0,"Em dia","Sem parcela em aberto")))</f>
        <v/>
      </c>
    </row>
    <row r="232">
      <c r="A232" s="33" t="n"/>
      <c r="B232" s="35" t="n"/>
      <c r="C232" s="24">
        <f>IF(A232="","",COUNTIFS(Parcelas!$A$5:$A$404,A232))</f>
        <v/>
      </c>
      <c r="D232" s="25">
        <f>IF(A232="","",SUMIFS(Parcelas!$F$5:$F$404,Parcelas!$A$5:$A$404,A232))</f>
        <v/>
      </c>
      <c r="E232" s="25">
        <f>IF(A232="","",SUMIFS(Parcelas!$F$5:$F$404,Parcelas!$A$5:$A$404,A232,Parcelas!$I$5:$I$404,"Paga"))</f>
        <v/>
      </c>
      <c r="F232" s="25">
        <f>IF(A232="","",D232-E232)</f>
        <v/>
      </c>
      <c r="G232" s="25">
        <f>IF(A232="","",SUMIFS(Parcelas!$F$5:$F$404,Parcelas!$A$5:$A$404,A232,Parcelas!$I$5:$I$404,"Vencida"))</f>
        <v/>
      </c>
      <c r="H232" s="24">
        <f>IF(A232="","",IF(G232&gt;0,"Em atraso",IF(F232&gt;0,"Em dia","Sem parcela em aberto")))</f>
        <v/>
      </c>
    </row>
    <row r="233">
      <c r="A233" s="33" t="n"/>
      <c r="B233" s="35" t="n"/>
      <c r="C233" s="24">
        <f>IF(A233="","",COUNTIFS(Parcelas!$A$5:$A$404,A233))</f>
        <v/>
      </c>
      <c r="D233" s="25">
        <f>IF(A233="","",SUMIFS(Parcelas!$F$5:$F$404,Parcelas!$A$5:$A$404,A233))</f>
        <v/>
      </c>
      <c r="E233" s="25">
        <f>IF(A233="","",SUMIFS(Parcelas!$F$5:$F$404,Parcelas!$A$5:$A$404,A233,Parcelas!$I$5:$I$404,"Paga"))</f>
        <v/>
      </c>
      <c r="F233" s="25">
        <f>IF(A233="","",D233-E233)</f>
        <v/>
      </c>
      <c r="G233" s="25">
        <f>IF(A233="","",SUMIFS(Parcelas!$F$5:$F$404,Parcelas!$A$5:$A$404,A233,Parcelas!$I$5:$I$404,"Vencida"))</f>
        <v/>
      </c>
      <c r="H233" s="24">
        <f>IF(A233="","",IF(G233&gt;0,"Em atraso",IF(F233&gt;0,"Em dia","Sem parcela em aberto")))</f>
        <v/>
      </c>
    </row>
    <row r="234">
      <c r="A234" s="33" t="n"/>
      <c r="B234" s="35" t="n"/>
      <c r="C234" s="24">
        <f>IF(A234="","",COUNTIFS(Parcelas!$A$5:$A$404,A234))</f>
        <v/>
      </c>
      <c r="D234" s="25">
        <f>IF(A234="","",SUMIFS(Parcelas!$F$5:$F$404,Parcelas!$A$5:$A$404,A234))</f>
        <v/>
      </c>
      <c r="E234" s="25">
        <f>IF(A234="","",SUMIFS(Parcelas!$F$5:$F$404,Parcelas!$A$5:$A$404,A234,Parcelas!$I$5:$I$404,"Paga"))</f>
        <v/>
      </c>
      <c r="F234" s="25">
        <f>IF(A234="","",D234-E234)</f>
        <v/>
      </c>
      <c r="G234" s="25">
        <f>IF(A234="","",SUMIFS(Parcelas!$F$5:$F$404,Parcelas!$A$5:$A$404,A234,Parcelas!$I$5:$I$404,"Vencida"))</f>
        <v/>
      </c>
      <c r="H234" s="24">
        <f>IF(A234="","",IF(G234&gt;0,"Em atraso",IF(F234&gt;0,"Em dia","Sem parcela em aberto")))</f>
        <v/>
      </c>
    </row>
    <row r="235">
      <c r="A235" s="33" t="n"/>
      <c r="B235" s="35" t="n"/>
      <c r="C235" s="24">
        <f>IF(A235="","",COUNTIFS(Parcelas!$A$5:$A$404,A235))</f>
        <v/>
      </c>
      <c r="D235" s="25">
        <f>IF(A235="","",SUMIFS(Parcelas!$F$5:$F$404,Parcelas!$A$5:$A$404,A235))</f>
        <v/>
      </c>
      <c r="E235" s="25">
        <f>IF(A235="","",SUMIFS(Parcelas!$F$5:$F$404,Parcelas!$A$5:$A$404,A235,Parcelas!$I$5:$I$404,"Paga"))</f>
        <v/>
      </c>
      <c r="F235" s="25">
        <f>IF(A235="","",D235-E235)</f>
        <v/>
      </c>
      <c r="G235" s="25">
        <f>IF(A235="","",SUMIFS(Parcelas!$F$5:$F$404,Parcelas!$A$5:$A$404,A235,Parcelas!$I$5:$I$404,"Vencida"))</f>
        <v/>
      </c>
      <c r="H235" s="24">
        <f>IF(A235="","",IF(G235&gt;0,"Em atraso",IF(F235&gt;0,"Em dia","Sem parcela em aberto")))</f>
        <v/>
      </c>
    </row>
    <row r="236">
      <c r="A236" s="33" t="n"/>
      <c r="B236" s="35" t="n"/>
      <c r="C236" s="24">
        <f>IF(A236="","",COUNTIFS(Parcelas!$A$5:$A$404,A236))</f>
        <v/>
      </c>
      <c r="D236" s="25">
        <f>IF(A236="","",SUMIFS(Parcelas!$F$5:$F$404,Parcelas!$A$5:$A$404,A236))</f>
        <v/>
      </c>
      <c r="E236" s="25">
        <f>IF(A236="","",SUMIFS(Parcelas!$F$5:$F$404,Parcelas!$A$5:$A$404,A236,Parcelas!$I$5:$I$404,"Paga"))</f>
        <v/>
      </c>
      <c r="F236" s="25">
        <f>IF(A236="","",D236-E236)</f>
        <v/>
      </c>
      <c r="G236" s="25">
        <f>IF(A236="","",SUMIFS(Parcelas!$F$5:$F$404,Parcelas!$A$5:$A$404,A236,Parcelas!$I$5:$I$404,"Vencida"))</f>
        <v/>
      </c>
      <c r="H236" s="24">
        <f>IF(A236="","",IF(G236&gt;0,"Em atraso",IF(F236&gt;0,"Em dia","Sem parcela em aberto")))</f>
        <v/>
      </c>
    </row>
    <row r="237">
      <c r="A237" s="33" t="n"/>
      <c r="B237" s="35" t="n"/>
      <c r="C237" s="24">
        <f>IF(A237="","",COUNTIFS(Parcelas!$A$5:$A$404,A237))</f>
        <v/>
      </c>
      <c r="D237" s="25">
        <f>IF(A237="","",SUMIFS(Parcelas!$F$5:$F$404,Parcelas!$A$5:$A$404,A237))</f>
        <v/>
      </c>
      <c r="E237" s="25">
        <f>IF(A237="","",SUMIFS(Parcelas!$F$5:$F$404,Parcelas!$A$5:$A$404,A237,Parcelas!$I$5:$I$404,"Paga"))</f>
        <v/>
      </c>
      <c r="F237" s="25">
        <f>IF(A237="","",D237-E237)</f>
        <v/>
      </c>
      <c r="G237" s="25">
        <f>IF(A237="","",SUMIFS(Parcelas!$F$5:$F$404,Parcelas!$A$5:$A$404,A237,Parcelas!$I$5:$I$404,"Vencida"))</f>
        <v/>
      </c>
      <c r="H237" s="24">
        <f>IF(A237="","",IF(G237&gt;0,"Em atraso",IF(F237&gt;0,"Em dia","Sem parcela em aberto")))</f>
        <v/>
      </c>
    </row>
    <row r="238">
      <c r="A238" s="33" t="n"/>
      <c r="B238" s="35" t="n"/>
      <c r="C238" s="24">
        <f>IF(A238="","",COUNTIFS(Parcelas!$A$5:$A$404,A238))</f>
        <v/>
      </c>
      <c r="D238" s="25">
        <f>IF(A238="","",SUMIFS(Parcelas!$F$5:$F$404,Parcelas!$A$5:$A$404,A238))</f>
        <v/>
      </c>
      <c r="E238" s="25">
        <f>IF(A238="","",SUMIFS(Parcelas!$F$5:$F$404,Parcelas!$A$5:$A$404,A238,Parcelas!$I$5:$I$404,"Paga"))</f>
        <v/>
      </c>
      <c r="F238" s="25">
        <f>IF(A238="","",D238-E238)</f>
        <v/>
      </c>
      <c r="G238" s="25">
        <f>IF(A238="","",SUMIFS(Parcelas!$F$5:$F$404,Parcelas!$A$5:$A$404,A238,Parcelas!$I$5:$I$404,"Vencida"))</f>
        <v/>
      </c>
      <c r="H238" s="24">
        <f>IF(A238="","",IF(G238&gt;0,"Em atraso",IF(F238&gt;0,"Em dia","Sem parcela em aberto")))</f>
        <v/>
      </c>
    </row>
    <row r="239">
      <c r="A239" s="33" t="n"/>
      <c r="B239" s="35" t="n"/>
      <c r="C239" s="24">
        <f>IF(A239="","",COUNTIFS(Parcelas!$A$5:$A$404,A239))</f>
        <v/>
      </c>
      <c r="D239" s="25">
        <f>IF(A239="","",SUMIFS(Parcelas!$F$5:$F$404,Parcelas!$A$5:$A$404,A239))</f>
        <v/>
      </c>
      <c r="E239" s="25">
        <f>IF(A239="","",SUMIFS(Parcelas!$F$5:$F$404,Parcelas!$A$5:$A$404,A239,Parcelas!$I$5:$I$404,"Paga"))</f>
        <v/>
      </c>
      <c r="F239" s="25">
        <f>IF(A239="","",D239-E239)</f>
        <v/>
      </c>
      <c r="G239" s="25">
        <f>IF(A239="","",SUMIFS(Parcelas!$F$5:$F$404,Parcelas!$A$5:$A$404,A239,Parcelas!$I$5:$I$404,"Vencida"))</f>
        <v/>
      </c>
      <c r="H239" s="24">
        <f>IF(A239="","",IF(G239&gt;0,"Em atraso",IF(F239&gt;0,"Em dia","Sem parcela em aberto")))</f>
        <v/>
      </c>
    </row>
    <row r="240">
      <c r="A240" s="33" t="n"/>
      <c r="B240" s="35" t="n"/>
      <c r="C240" s="24">
        <f>IF(A240="","",COUNTIFS(Parcelas!$A$5:$A$404,A240))</f>
        <v/>
      </c>
      <c r="D240" s="25">
        <f>IF(A240="","",SUMIFS(Parcelas!$F$5:$F$404,Parcelas!$A$5:$A$404,A240))</f>
        <v/>
      </c>
      <c r="E240" s="25">
        <f>IF(A240="","",SUMIFS(Parcelas!$F$5:$F$404,Parcelas!$A$5:$A$404,A240,Parcelas!$I$5:$I$404,"Paga"))</f>
        <v/>
      </c>
      <c r="F240" s="25">
        <f>IF(A240="","",D240-E240)</f>
        <v/>
      </c>
      <c r="G240" s="25">
        <f>IF(A240="","",SUMIFS(Parcelas!$F$5:$F$404,Parcelas!$A$5:$A$404,A240,Parcelas!$I$5:$I$404,"Vencida"))</f>
        <v/>
      </c>
      <c r="H240" s="24">
        <f>IF(A240="","",IF(G240&gt;0,"Em atraso",IF(F240&gt;0,"Em dia","Sem parcela em aberto")))</f>
        <v/>
      </c>
    </row>
    <row r="241">
      <c r="A241" s="33" t="n"/>
      <c r="B241" s="35" t="n"/>
      <c r="C241" s="24">
        <f>IF(A241="","",COUNTIFS(Parcelas!$A$5:$A$404,A241))</f>
        <v/>
      </c>
      <c r="D241" s="25">
        <f>IF(A241="","",SUMIFS(Parcelas!$F$5:$F$404,Parcelas!$A$5:$A$404,A241))</f>
        <v/>
      </c>
      <c r="E241" s="25">
        <f>IF(A241="","",SUMIFS(Parcelas!$F$5:$F$404,Parcelas!$A$5:$A$404,A241,Parcelas!$I$5:$I$404,"Paga"))</f>
        <v/>
      </c>
      <c r="F241" s="25">
        <f>IF(A241="","",D241-E241)</f>
        <v/>
      </c>
      <c r="G241" s="25">
        <f>IF(A241="","",SUMIFS(Parcelas!$F$5:$F$404,Parcelas!$A$5:$A$404,A241,Parcelas!$I$5:$I$404,"Vencida"))</f>
        <v/>
      </c>
      <c r="H241" s="24">
        <f>IF(A241="","",IF(G241&gt;0,"Em atraso",IF(F241&gt;0,"Em dia","Sem parcela em aberto")))</f>
        <v/>
      </c>
    </row>
    <row r="242">
      <c r="A242" s="33" t="n"/>
      <c r="B242" s="35" t="n"/>
      <c r="C242" s="24">
        <f>IF(A242="","",COUNTIFS(Parcelas!$A$5:$A$404,A242))</f>
        <v/>
      </c>
      <c r="D242" s="25">
        <f>IF(A242="","",SUMIFS(Parcelas!$F$5:$F$404,Parcelas!$A$5:$A$404,A242))</f>
        <v/>
      </c>
      <c r="E242" s="25">
        <f>IF(A242="","",SUMIFS(Parcelas!$F$5:$F$404,Parcelas!$A$5:$A$404,A242,Parcelas!$I$5:$I$404,"Paga"))</f>
        <v/>
      </c>
      <c r="F242" s="25">
        <f>IF(A242="","",D242-E242)</f>
        <v/>
      </c>
      <c r="G242" s="25">
        <f>IF(A242="","",SUMIFS(Parcelas!$F$5:$F$404,Parcelas!$A$5:$A$404,A242,Parcelas!$I$5:$I$404,"Vencida"))</f>
        <v/>
      </c>
      <c r="H242" s="24">
        <f>IF(A242="","",IF(G242&gt;0,"Em atraso",IF(F242&gt;0,"Em dia","Sem parcela em aberto")))</f>
        <v/>
      </c>
    </row>
    <row r="243">
      <c r="A243" s="33" t="n"/>
      <c r="B243" s="35" t="n"/>
      <c r="C243" s="24">
        <f>IF(A243="","",COUNTIFS(Parcelas!$A$5:$A$404,A243))</f>
        <v/>
      </c>
      <c r="D243" s="25">
        <f>IF(A243="","",SUMIFS(Parcelas!$F$5:$F$404,Parcelas!$A$5:$A$404,A243))</f>
        <v/>
      </c>
      <c r="E243" s="25">
        <f>IF(A243="","",SUMIFS(Parcelas!$F$5:$F$404,Parcelas!$A$5:$A$404,A243,Parcelas!$I$5:$I$404,"Paga"))</f>
        <v/>
      </c>
      <c r="F243" s="25">
        <f>IF(A243="","",D243-E243)</f>
        <v/>
      </c>
      <c r="G243" s="25">
        <f>IF(A243="","",SUMIFS(Parcelas!$F$5:$F$404,Parcelas!$A$5:$A$404,A243,Parcelas!$I$5:$I$404,"Vencida"))</f>
        <v/>
      </c>
      <c r="H243" s="24">
        <f>IF(A243="","",IF(G243&gt;0,"Em atraso",IF(F243&gt;0,"Em dia","Sem parcela em aberto")))</f>
        <v/>
      </c>
    </row>
    <row r="244">
      <c r="A244" s="33" t="n"/>
      <c r="B244" s="35" t="n"/>
      <c r="C244" s="24">
        <f>IF(A244="","",COUNTIFS(Parcelas!$A$5:$A$404,A244))</f>
        <v/>
      </c>
      <c r="D244" s="25">
        <f>IF(A244="","",SUMIFS(Parcelas!$F$5:$F$404,Parcelas!$A$5:$A$404,A244))</f>
        <v/>
      </c>
      <c r="E244" s="25">
        <f>IF(A244="","",SUMIFS(Parcelas!$F$5:$F$404,Parcelas!$A$5:$A$404,A244,Parcelas!$I$5:$I$404,"Paga"))</f>
        <v/>
      </c>
      <c r="F244" s="25">
        <f>IF(A244="","",D244-E244)</f>
        <v/>
      </c>
      <c r="G244" s="25">
        <f>IF(A244="","",SUMIFS(Parcelas!$F$5:$F$404,Parcelas!$A$5:$A$404,A244,Parcelas!$I$5:$I$404,"Vencida"))</f>
        <v/>
      </c>
      <c r="H244" s="24">
        <f>IF(A244="","",IF(G244&gt;0,"Em atraso",IF(F244&gt;0,"Em dia","Sem parcela em aberto")))</f>
        <v/>
      </c>
    </row>
    <row r="245">
      <c r="A245" s="33" t="n"/>
      <c r="B245" s="35" t="n"/>
      <c r="C245" s="24">
        <f>IF(A245="","",COUNTIFS(Parcelas!$A$5:$A$404,A245))</f>
        <v/>
      </c>
      <c r="D245" s="25">
        <f>IF(A245="","",SUMIFS(Parcelas!$F$5:$F$404,Parcelas!$A$5:$A$404,A245))</f>
        <v/>
      </c>
      <c r="E245" s="25">
        <f>IF(A245="","",SUMIFS(Parcelas!$F$5:$F$404,Parcelas!$A$5:$A$404,A245,Parcelas!$I$5:$I$404,"Paga"))</f>
        <v/>
      </c>
      <c r="F245" s="25">
        <f>IF(A245="","",D245-E245)</f>
        <v/>
      </c>
      <c r="G245" s="25">
        <f>IF(A245="","",SUMIFS(Parcelas!$F$5:$F$404,Parcelas!$A$5:$A$404,A245,Parcelas!$I$5:$I$404,"Vencida"))</f>
        <v/>
      </c>
      <c r="H245" s="24">
        <f>IF(A245="","",IF(G245&gt;0,"Em atraso",IF(F245&gt;0,"Em dia","Sem parcela em aberto")))</f>
        <v/>
      </c>
    </row>
    <row r="246">
      <c r="A246" s="33" t="n"/>
      <c r="B246" s="35" t="n"/>
      <c r="C246" s="24">
        <f>IF(A246="","",COUNTIFS(Parcelas!$A$5:$A$404,A246))</f>
        <v/>
      </c>
      <c r="D246" s="25">
        <f>IF(A246="","",SUMIFS(Parcelas!$F$5:$F$404,Parcelas!$A$5:$A$404,A246))</f>
        <v/>
      </c>
      <c r="E246" s="25">
        <f>IF(A246="","",SUMIFS(Parcelas!$F$5:$F$404,Parcelas!$A$5:$A$404,A246,Parcelas!$I$5:$I$404,"Paga"))</f>
        <v/>
      </c>
      <c r="F246" s="25">
        <f>IF(A246="","",D246-E246)</f>
        <v/>
      </c>
      <c r="G246" s="25">
        <f>IF(A246="","",SUMIFS(Parcelas!$F$5:$F$404,Parcelas!$A$5:$A$404,A246,Parcelas!$I$5:$I$404,"Vencida"))</f>
        <v/>
      </c>
      <c r="H246" s="24">
        <f>IF(A246="","",IF(G246&gt;0,"Em atraso",IF(F246&gt;0,"Em dia","Sem parcela em aberto")))</f>
        <v/>
      </c>
    </row>
    <row r="247">
      <c r="A247" s="33" t="n"/>
      <c r="B247" s="35" t="n"/>
      <c r="C247" s="24">
        <f>IF(A247="","",COUNTIFS(Parcelas!$A$5:$A$404,A247))</f>
        <v/>
      </c>
      <c r="D247" s="25">
        <f>IF(A247="","",SUMIFS(Parcelas!$F$5:$F$404,Parcelas!$A$5:$A$404,A247))</f>
        <v/>
      </c>
      <c r="E247" s="25">
        <f>IF(A247="","",SUMIFS(Parcelas!$F$5:$F$404,Parcelas!$A$5:$A$404,A247,Parcelas!$I$5:$I$404,"Paga"))</f>
        <v/>
      </c>
      <c r="F247" s="25">
        <f>IF(A247="","",D247-E247)</f>
        <v/>
      </c>
      <c r="G247" s="25">
        <f>IF(A247="","",SUMIFS(Parcelas!$F$5:$F$404,Parcelas!$A$5:$A$404,A247,Parcelas!$I$5:$I$404,"Vencida"))</f>
        <v/>
      </c>
      <c r="H247" s="24">
        <f>IF(A247="","",IF(G247&gt;0,"Em atraso",IF(F247&gt;0,"Em dia","Sem parcela em aberto")))</f>
        <v/>
      </c>
    </row>
    <row r="248">
      <c r="A248" s="33" t="n"/>
      <c r="B248" s="35" t="n"/>
      <c r="C248" s="24">
        <f>IF(A248="","",COUNTIFS(Parcelas!$A$5:$A$404,A248))</f>
        <v/>
      </c>
      <c r="D248" s="25">
        <f>IF(A248="","",SUMIFS(Parcelas!$F$5:$F$404,Parcelas!$A$5:$A$404,A248))</f>
        <v/>
      </c>
      <c r="E248" s="25">
        <f>IF(A248="","",SUMIFS(Parcelas!$F$5:$F$404,Parcelas!$A$5:$A$404,A248,Parcelas!$I$5:$I$404,"Paga"))</f>
        <v/>
      </c>
      <c r="F248" s="25">
        <f>IF(A248="","",D248-E248)</f>
        <v/>
      </c>
      <c r="G248" s="25">
        <f>IF(A248="","",SUMIFS(Parcelas!$F$5:$F$404,Parcelas!$A$5:$A$404,A248,Parcelas!$I$5:$I$404,"Vencida"))</f>
        <v/>
      </c>
      <c r="H248" s="24">
        <f>IF(A248="","",IF(G248&gt;0,"Em atraso",IF(F248&gt;0,"Em dia","Sem parcela em aberto")))</f>
        <v/>
      </c>
    </row>
    <row r="249">
      <c r="A249" s="33" t="n"/>
      <c r="B249" s="35" t="n"/>
      <c r="C249" s="24">
        <f>IF(A249="","",COUNTIFS(Parcelas!$A$5:$A$404,A249))</f>
        <v/>
      </c>
      <c r="D249" s="25">
        <f>IF(A249="","",SUMIFS(Parcelas!$F$5:$F$404,Parcelas!$A$5:$A$404,A249))</f>
        <v/>
      </c>
      <c r="E249" s="25">
        <f>IF(A249="","",SUMIFS(Parcelas!$F$5:$F$404,Parcelas!$A$5:$A$404,A249,Parcelas!$I$5:$I$404,"Paga"))</f>
        <v/>
      </c>
      <c r="F249" s="25">
        <f>IF(A249="","",D249-E249)</f>
        <v/>
      </c>
      <c r="G249" s="25">
        <f>IF(A249="","",SUMIFS(Parcelas!$F$5:$F$404,Parcelas!$A$5:$A$404,A249,Parcelas!$I$5:$I$404,"Vencida"))</f>
        <v/>
      </c>
      <c r="H249" s="24">
        <f>IF(A249="","",IF(G249&gt;0,"Em atraso",IF(F249&gt;0,"Em dia","Sem parcela em aberto")))</f>
        <v/>
      </c>
    </row>
    <row r="250">
      <c r="A250" s="33" t="n"/>
      <c r="B250" s="35" t="n"/>
      <c r="C250" s="24">
        <f>IF(A250="","",COUNTIFS(Parcelas!$A$5:$A$404,A250))</f>
        <v/>
      </c>
      <c r="D250" s="25">
        <f>IF(A250="","",SUMIFS(Parcelas!$F$5:$F$404,Parcelas!$A$5:$A$404,A250))</f>
        <v/>
      </c>
      <c r="E250" s="25">
        <f>IF(A250="","",SUMIFS(Parcelas!$F$5:$F$404,Parcelas!$A$5:$A$404,A250,Parcelas!$I$5:$I$404,"Paga"))</f>
        <v/>
      </c>
      <c r="F250" s="25">
        <f>IF(A250="","",D250-E250)</f>
        <v/>
      </c>
      <c r="G250" s="25">
        <f>IF(A250="","",SUMIFS(Parcelas!$F$5:$F$404,Parcelas!$A$5:$A$404,A250,Parcelas!$I$5:$I$404,"Vencida"))</f>
        <v/>
      </c>
      <c r="H250" s="24">
        <f>IF(A250="","",IF(G250&gt;0,"Em atraso",IF(F250&gt;0,"Em dia","Sem parcela em aberto")))</f>
        <v/>
      </c>
    </row>
    <row r="251">
      <c r="A251" s="33" t="n"/>
      <c r="B251" s="35" t="n"/>
      <c r="C251" s="24">
        <f>IF(A251="","",COUNTIFS(Parcelas!$A$5:$A$404,A251))</f>
        <v/>
      </c>
      <c r="D251" s="25">
        <f>IF(A251="","",SUMIFS(Parcelas!$F$5:$F$404,Parcelas!$A$5:$A$404,A251))</f>
        <v/>
      </c>
      <c r="E251" s="25">
        <f>IF(A251="","",SUMIFS(Parcelas!$F$5:$F$404,Parcelas!$A$5:$A$404,A251,Parcelas!$I$5:$I$404,"Paga"))</f>
        <v/>
      </c>
      <c r="F251" s="25">
        <f>IF(A251="","",D251-E251)</f>
        <v/>
      </c>
      <c r="G251" s="25">
        <f>IF(A251="","",SUMIFS(Parcelas!$F$5:$F$404,Parcelas!$A$5:$A$404,A251,Parcelas!$I$5:$I$404,"Vencida"))</f>
        <v/>
      </c>
      <c r="H251" s="24">
        <f>IF(A251="","",IF(G251&gt;0,"Em atraso",IF(F251&gt;0,"Em dia","Sem parcela em aberto")))</f>
        <v/>
      </c>
    </row>
    <row r="252">
      <c r="A252" s="33" t="n"/>
      <c r="B252" s="35" t="n"/>
      <c r="C252" s="24">
        <f>IF(A252="","",COUNTIFS(Parcelas!$A$5:$A$404,A252))</f>
        <v/>
      </c>
      <c r="D252" s="25">
        <f>IF(A252="","",SUMIFS(Parcelas!$F$5:$F$404,Parcelas!$A$5:$A$404,A252))</f>
        <v/>
      </c>
      <c r="E252" s="25">
        <f>IF(A252="","",SUMIFS(Parcelas!$F$5:$F$404,Parcelas!$A$5:$A$404,A252,Parcelas!$I$5:$I$404,"Paga"))</f>
        <v/>
      </c>
      <c r="F252" s="25">
        <f>IF(A252="","",D252-E252)</f>
        <v/>
      </c>
      <c r="G252" s="25">
        <f>IF(A252="","",SUMIFS(Parcelas!$F$5:$F$404,Parcelas!$A$5:$A$404,A252,Parcelas!$I$5:$I$404,"Vencida"))</f>
        <v/>
      </c>
      <c r="H252" s="24">
        <f>IF(A252="","",IF(G252&gt;0,"Em atraso",IF(F252&gt;0,"Em dia","Sem parcela em aberto")))</f>
        <v/>
      </c>
    </row>
    <row r="253">
      <c r="A253" s="33" t="n"/>
      <c r="B253" s="35" t="n"/>
      <c r="C253" s="24">
        <f>IF(A253="","",COUNTIFS(Parcelas!$A$5:$A$404,A253))</f>
        <v/>
      </c>
      <c r="D253" s="25">
        <f>IF(A253="","",SUMIFS(Parcelas!$F$5:$F$404,Parcelas!$A$5:$A$404,A253))</f>
        <v/>
      </c>
      <c r="E253" s="25">
        <f>IF(A253="","",SUMIFS(Parcelas!$F$5:$F$404,Parcelas!$A$5:$A$404,A253,Parcelas!$I$5:$I$404,"Paga"))</f>
        <v/>
      </c>
      <c r="F253" s="25">
        <f>IF(A253="","",D253-E253)</f>
        <v/>
      </c>
      <c r="G253" s="25">
        <f>IF(A253="","",SUMIFS(Parcelas!$F$5:$F$404,Parcelas!$A$5:$A$404,A253,Parcelas!$I$5:$I$404,"Vencida"))</f>
        <v/>
      </c>
      <c r="H253" s="24">
        <f>IF(A253="","",IF(G253&gt;0,"Em atraso",IF(F253&gt;0,"Em dia","Sem parcela em aberto")))</f>
        <v/>
      </c>
    </row>
    <row r="254">
      <c r="A254" s="33" t="n"/>
      <c r="B254" s="35" t="n"/>
      <c r="C254" s="24">
        <f>IF(A254="","",COUNTIFS(Parcelas!$A$5:$A$404,A254))</f>
        <v/>
      </c>
      <c r="D254" s="25">
        <f>IF(A254="","",SUMIFS(Parcelas!$F$5:$F$404,Parcelas!$A$5:$A$404,A254))</f>
        <v/>
      </c>
      <c r="E254" s="25">
        <f>IF(A254="","",SUMIFS(Parcelas!$F$5:$F$404,Parcelas!$A$5:$A$404,A254,Parcelas!$I$5:$I$404,"Paga"))</f>
        <v/>
      </c>
      <c r="F254" s="25">
        <f>IF(A254="","",D254-E254)</f>
        <v/>
      </c>
      <c r="G254" s="25">
        <f>IF(A254="","",SUMIFS(Parcelas!$F$5:$F$404,Parcelas!$A$5:$A$404,A254,Parcelas!$I$5:$I$404,"Vencida"))</f>
        <v/>
      </c>
      <c r="H254" s="24">
        <f>IF(A254="","",IF(G254&gt;0,"Em atraso",IF(F254&gt;0,"Em dia","Sem parcela em aberto")))</f>
        <v/>
      </c>
    </row>
    <row r="255">
      <c r="A255" s="33" t="n"/>
      <c r="B255" s="35" t="n"/>
      <c r="C255" s="24">
        <f>IF(A255="","",COUNTIFS(Parcelas!$A$5:$A$404,A255))</f>
        <v/>
      </c>
      <c r="D255" s="25">
        <f>IF(A255="","",SUMIFS(Parcelas!$F$5:$F$404,Parcelas!$A$5:$A$404,A255))</f>
        <v/>
      </c>
      <c r="E255" s="25">
        <f>IF(A255="","",SUMIFS(Parcelas!$F$5:$F$404,Parcelas!$A$5:$A$404,A255,Parcelas!$I$5:$I$404,"Paga"))</f>
        <v/>
      </c>
      <c r="F255" s="25">
        <f>IF(A255="","",D255-E255)</f>
        <v/>
      </c>
      <c r="G255" s="25">
        <f>IF(A255="","",SUMIFS(Parcelas!$F$5:$F$404,Parcelas!$A$5:$A$404,A255,Parcelas!$I$5:$I$404,"Vencida"))</f>
        <v/>
      </c>
      <c r="H255" s="24">
        <f>IF(A255="","",IF(G255&gt;0,"Em atraso",IF(F255&gt;0,"Em dia","Sem parcela em aberto")))</f>
        <v/>
      </c>
    </row>
    <row r="256">
      <c r="A256" s="33" t="n"/>
      <c r="B256" s="35" t="n"/>
      <c r="C256" s="24">
        <f>IF(A256="","",COUNTIFS(Parcelas!$A$5:$A$404,A256))</f>
        <v/>
      </c>
      <c r="D256" s="25">
        <f>IF(A256="","",SUMIFS(Parcelas!$F$5:$F$404,Parcelas!$A$5:$A$404,A256))</f>
        <v/>
      </c>
      <c r="E256" s="25">
        <f>IF(A256="","",SUMIFS(Parcelas!$F$5:$F$404,Parcelas!$A$5:$A$404,A256,Parcelas!$I$5:$I$404,"Paga"))</f>
        <v/>
      </c>
      <c r="F256" s="25">
        <f>IF(A256="","",D256-E256)</f>
        <v/>
      </c>
      <c r="G256" s="25">
        <f>IF(A256="","",SUMIFS(Parcelas!$F$5:$F$404,Parcelas!$A$5:$A$404,A256,Parcelas!$I$5:$I$404,"Vencida"))</f>
        <v/>
      </c>
      <c r="H256" s="24">
        <f>IF(A256="","",IF(G256&gt;0,"Em atraso",IF(F256&gt;0,"Em dia","Sem parcela em aberto")))</f>
        <v/>
      </c>
    </row>
    <row r="257">
      <c r="A257" s="33" t="n"/>
      <c r="B257" s="35" t="n"/>
      <c r="C257" s="24">
        <f>IF(A257="","",COUNTIFS(Parcelas!$A$5:$A$404,A257))</f>
        <v/>
      </c>
      <c r="D257" s="25">
        <f>IF(A257="","",SUMIFS(Parcelas!$F$5:$F$404,Parcelas!$A$5:$A$404,A257))</f>
        <v/>
      </c>
      <c r="E257" s="25">
        <f>IF(A257="","",SUMIFS(Parcelas!$F$5:$F$404,Parcelas!$A$5:$A$404,A257,Parcelas!$I$5:$I$404,"Paga"))</f>
        <v/>
      </c>
      <c r="F257" s="25">
        <f>IF(A257="","",D257-E257)</f>
        <v/>
      </c>
      <c r="G257" s="25">
        <f>IF(A257="","",SUMIFS(Parcelas!$F$5:$F$404,Parcelas!$A$5:$A$404,A257,Parcelas!$I$5:$I$404,"Vencida"))</f>
        <v/>
      </c>
      <c r="H257" s="24">
        <f>IF(A257="","",IF(G257&gt;0,"Em atraso",IF(F257&gt;0,"Em dia","Sem parcela em aberto")))</f>
        <v/>
      </c>
    </row>
    <row r="258">
      <c r="A258" s="33" t="n"/>
      <c r="B258" s="35" t="n"/>
      <c r="C258" s="24">
        <f>IF(A258="","",COUNTIFS(Parcelas!$A$5:$A$404,A258))</f>
        <v/>
      </c>
      <c r="D258" s="25">
        <f>IF(A258="","",SUMIFS(Parcelas!$F$5:$F$404,Parcelas!$A$5:$A$404,A258))</f>
        <v/>
      </c>
      <c r="E258" s="25">
        <f>IF(A258="","",SUMIFS(Parcelas!$F$5:$F$404,Parcelas!$A$5:$A$404,A258,Parcelas!$I$5:$I$404,"Paga"))</f>
        <v/>
      </c>
      <c r="F258" s="25">
        <f>IF(A258="","",D258-E258)</f>
        <v/>
      </c>
      <c r="G258" s="25">
        <f>IF(A258="","",SUMIFS(Parcelas!$F$5:$F$404,Parcelas!$A$5:$A$404,A258,Parcelas!$I$5:$I$404,"Vencida"))</f>
        <v/>
      </c>
      <c r="H258" s="24">
        <f>IF(A258="","",IF(G258&gt;0,"Em atraso",IF(F258&gt;0,"Em dia","Sem parcela em aberto")))</f>
        <v/>
      </c>
    </row>
    <row r="259">
      <c r="A259" s="33" t="n"/>
      <c r="B259" s="35" t="n"/>
      <c r="C259" s="24">
        <f>IF(A259="","",COUNTIFS(Parcelas!$A$5:$A$404,A259))</f>
        <v/>
      </c>
      <c r="D259" s="25">
        <f>IF(A259="","",SUMIFS(Parcelas!$F$5:$F$404,Parcelas!$A$5:$A$404,A259))</f>
        <v/>
      </c>
      <c r="E259" s="25">
        <f>IF(A259="","",SUMIFS(Parcelas!$F$5:$F$404,Parcelas!$A$5:$A$404,A259,Parcelas!$I$5:$I$404,"Paga"))</f>
        <v/>
      </c>
      <c r="F259" s="25">
        <f>IF(A259="","",D259-E259)</f>
        <v/>
      </c>
      <c r="G259" s="25">
        <f>IF(A259="","",SUMIFS(Parcelas!$F$5:$F$404,Parcelas!$A$5:$A$404,A259,Parcelas!$I$5:$I$404,"Vencida"))</f>
        <v/>
      </c>
      <c r="H259" s="24">
        <f>IF(A259="","",IF(G259&gt;0,"Em atraso",IF(F259&gt;0,"Em dia","Sem parcela em aberto")))</f>
        <v/>
      </c>
    </row>
    <row r="260">
      <c r="A260" s="33" t="n"/>
      <c r="B260" s="35" t="n"/>
      <c r="C260" s="24">
        <f>IF(A260="","",COUNTIFS(Parcelas!$A$5:$A$404,A260))</f>
        <v/>
      </c>
      <c r="D260" s="25">
        <f>IF(A260="","",SUMIFS(Parcelas!$F$5:$F$404,Parcelas!$A$5:$A$404,A260))</f>
        <v/>
      </c>
      <c r="E260" s="25">
        <f>IF(A260="","",SUMIFS(Parcelas!$F$5:$F$404,Parcelas!$A$5:$A$404,A260,Parcelas!$I$5:$I$404,"Paga"))</f>
        <v/>
      </c>
      <c r="F260" s="25">
        <f>IF(A260="","",D260-E260)</f>
        <v/>
      </c>
      <c r="G260" s="25">
        <f>IF(A260="","",SUMIFS(Parcelas!$F$5:$F$404,Parcelas!$A$5:$A$404,A260,Parcelas!$I$5:$I$404,"Vencida"))</f>
        <v/>
      </c>
      <c r="H260" s="24">
        <f>IF(A260="","",IF(G260&gt;0,"Em atraso",IF(F260&gt;0,"Em dia","Sem parcela em aberto")))</f>
        <v/>
      </c>
    </row>
    <row r="261">
      <c r="A261" s="33" t="n"/>
      <c r="B261" s="35" t="n"/>
      <c r="C261" s="24">
        <f>IF(A261="","",COUNTIFS(Parcelas!$A$5:$A$404,A261))</f>
        <v/>
      </c>
      <c r="D261" s="25">
        <f>IF(A261="","",SUMIFS(Parcelas!$F$5:$F$404,Parcelas!$A$5:$A$404,A261))</f>
        <v/>
      </c>
      <c r="E261" s="25">
        <f>IF(A261="","",SUMIFS(Parcelas!$F$5:$F$404,Parcelas!$A$5:$A$404,A261,Parcelas!$I$5:$I$404,"Paga"))</f>
        <v/>
      </c>
      <c r="F261" s="25">
        <f>IF(A261="","",D261-E261)</f>
        <v/>
      </c>
      <c r="G261" s="25">
        <f>IF(A261="","",SUMIFS(Parcelas!$F$5:$F$404,Parcelas!$A$5:$A$404,A261,Parcelas!$I$5:$I$404,"Vencida"))</f>
        <v/>
      </c>
      <c r="H261" s="24">
        <f>IF(A261="","",IF(G261&gt;0,"Em atraso",IF(F261&gt;0,"Em dia","Sem parcela em aberto")))</f>
        <v/>
      </c>
    </row>
    <row r="262">
      <c r="A262" s="33" t="n"/>
      <c r="B262" s="35" t="n"/>
      <c r="C262" s="24">
        <f>IF(A262="","",COUNTIFS(Parcelas!$A$5:$A$404,A262))</f>
        <v/>
      </c>
      <c r="D262" s="25">
        <f>IF(A262="","",SUMIFS(Parcelas!$F$5:$F$404,Parcelas!$A$5:$A$404,A262))</f>
        <v/>
      </c>
      <c r="E262" s="25">
        <f>IF(A262="","",SUMIFS(Parcelas!$F$5:$F$404,Parcelas!$A$5:$A$404,A262,Parcelas!$I$5:$I$404,"Paga"))</f>
        <v/>
      </c>
      <c r="F262" s="25">
        <f>IF(A262="","",D262-E262)</f>
        <v/>
      </c>
      <c r="G262" s="25">
        <f>IF(A262="","",SUMIFS(Parcelas!$F$5:$F$404,Parcelas!$A$5:$A$404,A262,Parcelas!$I$5:$I$404,"Vencida"))</f>
        <v/>
      </c>
      <c r="H262" s="24">
        <f>IF(A262="","",IF(G262&gt;0,"Em atraso",IF(F262&gt;0,"Em dia","Sem parcela em aberto")))</f>
        <v/>
      </c>
    </row>
    <row r="263">
      <c r="A263" s="33" t="n"/>
      <c r="B263" s="35" t="n"/>
      <c r="C263" s="24">
        <f>IF(A263="","",COUNTIFS(Parcelas!$A$5:$A$404,A263))</f>
        <v/>
      </c>
      <c r="D263" s="25">
        <f>IF(A263="","",SUMIFS(Parcelas!$F$5:$F$404,Parcelas!$A$5:$A$404,A263))</f>
        <v/>
      </c>
      <c r="E263" s="25">
        <f>IF(A263="","",SUMIFS(Parcelas!$F$5:$F$404,Parcelas!$A$5:$A$404,A263,Parcelas!$I$5:$I$404,"Paga"))</f>
        <v/>
      </c>
      <c r="F263" s="25">
        <f>IF(A263="","",D263-E263)</f>
        <v/>
      </c>
      <c r="G263" s="25">
        <f>IF(A263="","",SUMIFS(Parcelas!$F$5:$F$404,Parcelas!$A$5:$A$404,A263,Parcelas!$I$5:$I$404,"Vencida"))</f>
        <v/>
      </c>
      <c r="H263" s="24">
        <f>IF(A263="","",IF(G263&gt;0,"Em atraso",IF(F263&gt;0,"Em dia","Sem parcela em aberto")))</f>
        <v/>
      </c>
    </row>
    <row r="264">
      <c r="A264" s="33" t="n"/>
      <c r="B264" s="35" t="n"/>
      <c r="C264" s="24">
        <f>IF(A264="","",COUNTIFS(Parcelas!$A$5:$A$404,A264))</f>
        <v/>
      </c>
      <c r="D264" s="25">
        <f>IF(A264="","",SUMIFS(Parcelas!$F$5:$F$404,Parcelas!$A$5:$A$404,A264))</f>
        <v/>
      </c>
      <c r="E264" s="25">
        <f>IF(A264="","",SUMIFS(Parcelas!$F$5:$F$404,Parcelas!$A$5:$A$404,A264,Parcelas!$I$5:$I$404,"Paga"))</f>
        <v/>
      </c>
      <c r="F264" s="25">
        <f>IF(A264="","",D264-E264)</f>
        <v/>
      </c>
      <c r="G264" s="25">
        <f>IF(A264="","",SUMIFS(Parcelas!$F$5:$F$404,Parcelas!$A$5:$A$404,A264,Parcelas!$I$5:$I$404,"Vencida"))</f>
        <v/>
      </c>
      <c r="H264" s="24">
        <f>IF(A264="","",IF(G264&gt;0,"Em atraso",IF(F264&gt;0,"Em dia","Sem parcela em aberto")))</f>
        <v/>
      </c>
    </row>
    <row r="265">
      <c r="A265" s="33" t="n"/>
      <c r="B265" s="35" t="n"/>
      <c r="C265" s="24">
        <f>IF(A265="","",COUNTIFS(Parcelas!$A$5:$A$404,A265))</f>
        <v/>
      </c>
      <c r="D265" s="25">
        <f>IF(A265="","",SUMIFS(Parcelas!$F$5:$F$404,Parcelas!$A$5:$A$404,A265))</f>
        <v/>
      </c>
      <c r="E265" s="25">
        <f>IF(A265="","",SUMIFS(Parcelas!$F$5:$F$404,Parcelas!$A$5:$A$404,A265,Parcelas!$I$5:$I$404,"Paga"))</f>
        <v/>
      </c>
      <c r="F265" s="25">
        <f>IF(A265="","",D265-E265)</f>
        <v/>
      </c>
      <c r="G265" s="25">
        <f>IF(A265="","",SUMIFS(Parcelas!$F$5:$F$404,Parcelas!$A$5:$A$404,A265,Parcelas!$I$5:$I$404,"Vencida"))</f>
        <v/>
      </c>
      <c r="H265" s="24">
        <f>IF(A265="","",IF(G265&gt;0,"Em atraso",IF(F265&gt;0,"Em dia","Sem parcela em aberto")))</f>
        <v/>
      </c>
    </row>
    <row r="266">
      <c r="A266" s="33" t="n"/>
      <c r="B266" s="35" t="n"/>
      <c r="C266" s="24">
        <f>IF(A266="","",COUNTIFS(Parcelas!$A$5:$A$404,A266))</f>
        <v/>
      </c>
      <c r="D266" s="25">
        <f>IF(A266="","",SUMIFS(Parcelas!$F$5:$F$404,Parcelas!$A$5:$A$404,A266))</f>
        <v/>
      </c>
      <c r="E266" s="25">
        <f>IF(A266="","",SUMIFS(Parcelas!$F$5:$F$404,Parcelas!$A$5:$A$404,A266,Parcelas!$I$5:$I$404,"Paga"))</f>
        <v/>
      </c>
      <c r="F266" s="25">
        <f>IF(A266="","",D266-E266)</f>
        <v/>
      </c>
      <c r="G266" s="25">
        <f>IF(A266="","",SUMIFS(Parcelas!$F$5:$F$404,Parcelas!$A$5:$A$404,A266,Parcelas!$I$5:$I$404,"Vencida"))</f>
        <v/>
      </c>
      <c r="H266" s="24">
        <f>IF(A266="","",IF(G266&gt;0,"Em atraso",IF(F266&gt;0,"Em dia","Sem parcela em aberto")))</f>
        <v/>
      </c>
    </row>
    <row r="267">
      <c r="A267" s="33" t="n"/>
      <c r="B267" s="35" t="n"/>
      <c r="C267" s="24">
        <f>IF(A267="","",COUNTIFS(Parcelas!$A$5:$A$404,A267))</f>
        <v/>
      </c>
      <c r="D267" s="25">
        <f>IF(A267="","",SUMIFS(Parcelas!$F$5:$F$404,Parcelas!$A$5:$A$404,A267))</f>
        <v/>
      </c>
      <c r="E267" s="25">
        <f>IF(A267="","",SUMIFS(Parcelas!$F$5:$F$404,Parcelas!$A$5:$A$404,A267,Parcelas!$I$5:$I$404,"Paga"))</f>
        <v/>
      </c>
      <c r="F267" s="25">
        <f>IF(A267="","",D267-E267)</f>
        <v/>
      </c>
      <c r="G267" s="25">
        <f>IF(A267="","",SUMIFS(Parcelas!$F$5:$F$404,Parcelas!$A$5:$A$404,A267,Parcelas!$I$5:$I$404,"Vencida"))</f>
        <v/>
      </c>
      <c r="H267" s="24">
        <f>IF(A267="","",IF(G267&gt;0,"Em atraso",IF(F267&gt;0,"Em dia","Sem parcela em aberto")))</f>
        <v/>
      </c>
    </row>
    <row r="268">
      <c r="A268" s="33" t="n"/>
      <c r="B268" s="35" t="n"/>
      <c r="C268" s="24">
        <f>IF(A268="","",COUNTIFS(Parcelas!$A$5:$A$404,A268))</f>
        <v/>
      </c>
      <c r="D268" s="25">
        <f>IF(A268="","",SUMIFS(Parcelas!$F$5:$F$404,Parcelas!$A$5:$A$404,A268))</f>
        <v/>
      </c>
      <c r="E268" s="25">
        <f>IF(A268="","",SUMIFS(Parcelas!$F$5:$F$404,Parcelas!$A$5:$A$404,A268,Parcelas!$I$5:$I$404,"Paga"))</f>
        <v/>
      </c>
      <c r="F268" s="25">
        <f>IF(A268="","",D268-E268)</f>
        <v/>
      </c>
      <c r="G268" s="25">
        <f>IF(A268="","",SUMIFS(Parcelas!$F$5:$F$404,Parcelas!$A$5:$A$404,A268,Parcelas!$I$5:$I$404,"Vencida"))</f>
        <v/>
      </c>
      <c r="H268" s="24">
        <f>IF(A268="","",IF(G268&gt;0,"Em atraso",IF(F268&gt;0,"Em dia","Sem parcela em aberto")))</f>
        <v/>
      </c>
    </row>
    <row r="269">
      <c r="A269" s="33" t="n"/>
      <c r="B269" s="35" t="n"/>
      <c r="C269" s="24">
        <f>IF(A269="","",COUNTIFS(Parcelas!$A$5:$A$404,A269))</f>
        <v/>
      </c>
      <c r="D269" s="25">
        <f>IF(A269="","",SUMIFS(Parcelas!$F$5:$F$404,Parcelas!$A$5:$A$404,A269))</f>
        <v/>
      </c>
      <c r="E269" s="25">
        <f>IF(A269="","",SUMIFS(Parcelas!$F$5:$F$404,Parcelas!$A$5:$A$404,A269,Parcelas!$I$5:$I$404,"Paga"))</f>
        <v/>
      </c>
      <c r="F269" s="25">
        <f>IF(A269="","",D269-E269)</f>
        <v/>
      </c>
      <c r="G269" s="25">
        <f>IF(A269="","",SUMIFS(Parcelas!$F$5:$F$404,Parcelas!$A$5:$A$404,A269,Parcelas!$I$5:$I$404,"Vencida"))</f>
        <v/>
      </c>
      <c r="H269" s="24">
        <f>IF(A269="","",IF(G269&gt;0,"Em atraso",IF(F269&gt;0,"Em dia","Sem parcela em aberto")))</f>
        <v/>
      </c>
    </row>
    <row r="270">
      <c r="A270" s="33" t="n"/>
      <c r="B270" s="35" t="n"/>
      <c r="C270" s="24">
        <f>IF(A270="","",COUNTIFS(Parcelas!$A$5:$A$404,A270))</f>
        <v/>
      </c>
      <c r="D270" s="25">
        <f>IF(A270="","",SUMIFS(Parcelas!$F$5:$F$404,Parcelas!$A$5:$A$404,A270))</f>
        <v/>
      </c>
      <c r="E270" s="25">
        <f>IF(A270="","",SUMIFS(Parcelas!$F$5:$F$404,Parcelas!$A$5:$A$404,A270,Parcelas!$I$5:$I$404,"Paga"))</f>
        <v/>
      </c>
      <c r="F270" s="25">
        <f>IF(A270="","",D270-E270)</f>
        <v/>
      </c>
      <c r="G270" s="25">
        <f>IF(A270="","",SUMIFS(Parcelas!$F$5:$F$404,Parcelas!$A$5:$A$404,A270,Parcelas!$I$5:$I$404,"Vencida"))</f>
        <v/>
      </c>
      <c r="H270" s="24">
        <f>IF(A270="","",IF(G270&gt;0,"Em atraso",IF(F270&gt;0,"Em dia","Sem parcela em aberto")))</f>
        <v/>
      </c>
    </row>
    <row r="271">
      <c r="A271" s="33" t="n"/>
      <c r="B271" s="35" t="n"/>
      <c r="C271" s="24">
        <f>IF(A271="","",COUNTIFS(Parcelas!$A$5:$A$404,A271))</f>
        <v/>
      </c>
      <c r="D271" s="25">
        <f>IF(A271="","",SUMIFS(Parcelas!$F$5:$F$404,Parcelas!$A$5:$A$404,A271))</f>
        <v/>
      </c>
      <c r="E271" s="25">
        <f>IF(A271="","",SUMIFS(Parcelas!$F$5:$F$404,Parcelas!$A$5:$A$404,A271,Parcelas!$I$5:$I$404,"Paga"))</f>
        <v/>
      </c>
      <c r="F271" s="25">
        <f>IF(A271="","",D271-E271)</f>
        <v/>
      </c>
      <c r="G271" s="25">
        <f>IF(A271="","",SUMIFS(Parcelas!$F$5:$F$404,Parcelas!$A$5:$A$404,A271,Parcelas!$I$5:$I$404,"Vencida"))</f>
        <v/>
      </c>
      <c r="H271" s="24">
        <f>IF(A271="","",IF(G271&gt;0,"Em atraso",IF(F271&gt;0,"Em dia","Sem parcela em aberto")))</f>
        <v/>
      </c>
    </row>
    <row r="272">
      <c r="A272" s="33" t="n"/>
      <c r="B272" s="35" t="n"/>
      <c r="C272" s="24">
        <f>IF(A272="","",COUNTIFS(Parcelas!$A$5:$A$404,A272))</f>
        <v/>
      </c>
      <c r="D272" s="25">
        <f>IF(A272="","",SUMIFS(Parcelas!$F$5:$F$404,Parcelas!$A$5:$A$404,A272))</f>
        <v/>
      </c>
      <c r="E272" s="25">
        <f>IF(A272="","",SUMIFS(Parcelas!$F$5:$F$404,Parcelas!$A$5:$A$404,A272,Parcelas!$I$5:$I$404,"Paga"))</f>
        <v/>
      </c>
      <c r="F272" s="25">
        <f>IF(A272="","",D272-E272)</f>
        <v/>
      </c>
      <c r="G272" s="25">
        <f>IF(A272="","",SUMIFS(Parcelas!$F$5:$F$404,Parcelas!$A$5:$A$404,A272,Parcelas!$I$5:$I$404,"Vencida"))</f>
        <v/>
      </c>
      <c r="H272" s="24">
        <f>IF(A272="","",IF(G272&gt;0,"Em atraso",IF(F272&gt;0,"Em dia","Sem parcela em aberto")))</f>
        <v/>
      </c>
    </row>
    <row r="273">
      <c r="A273" s="33" t="n"/>
      <c r="B273" s="35" t="n"/>
      <c r="C273" s="24">
        <f>IF(A273="","",COUNTIFS(Parcelas!$A$5:$A$404,A273))</f>
        <v/>
      </c>
      <c r="D273" s="25">
        <f>IF(A273="","",SUMIFS(Parcelas!$F$5:$F$404,Parcelas!$A$5:$A$404,A273))</f>
        <v/>
      </c>
      <c r="E273" s="25">
        <f>IF(A273="","",SUMIFS(Parcelas!$F$5:$F$404,Parcelas!$A$5:$A$404,A273,Parcelas!$I$5:$I$404,"Paga"))</f>
        <v/>
      </c>
      <c r="F273" s="25">
        <f>IF(A273="","",D273-E273)</f>
        <v/>
      </c>
      <c r="G273" s="25">
        <f>IF(A273="","",SUMIFS(Parcelas!$F$5:$F$404,Parcelas!$A$5:$A$404,A273,Parcelas!$I$5:$I$404,"Vencida"))</f>
        <v/>
      </c>
      <c r="H273" s="24">
        <f>IF(A273="","",IF(G273&gt;0,"Em atraso",IF(F273&gt;0,"Em dia","Sem parcela em aberto")))</f>
        <v/>
      </c>
    </row>
    <row r="274">
      <c r="A274" s="33" t="n"/>
      <c r="B274" s="35" t="n"/>
      <c r="C274" s="24">
        <f>IF(A274="","",COUNTIFS(Parcelas!$A$5:$A$404,A274))</f>
        <v/>
      </c>
      <c r="D274" s="25">
        <f>IF(A274="","",SUMIFS(Parcelas!$F$5:$F$404,Parcelas!$A$5:$A$404,A274))</f>
        <v/>
      </c>
      <c r="E274" s="25">
        <f>IF(A274="","",SUMIFS(Parcelas!$F$5:$F$404,Parcelas!$A$5:$A$404,A274,Parcelas!$I$5:$I$404,"Paga"))</f>
        <v/>
      </c>
      <c r="F274" s="25">
        <f>IF(A274="","",D274-E274)</f>
        <v/>
      </c>
      <c r="G274" s="25">
        <f>IF(A274="","",SUMIFS(Parcelas!$F$5:$F$404,Parcelas!$A$5:$A$404,A274,Parcelas!$I$5:$I$404,"Vencida"))</f>
        <v/>
      </c>
      <c r="H274" s="24">
        <f>IF(A274="","",IF(G274&gt;0,"Em atraso",IF(F274&gt;0,"Em dia","Sem parcela em aberto")))</f>
        <v/>
      </c>
    </row>
    <row r="275">
      <c r="A275" s="33" t="n"/>
      <c r="B275" s="35" t="n"/>
      <c r="C275" s="24">
        <f>IF(A275="","",COUNTIFS(Parcelas!$A$5:$A$404,A275))</f>
        <v/>
      </c>
      <c r="D275" s="25">
        <f>IF(A275="","",SUMIFS(Parcelas!$F$5:$F$404,Parcelas!$A$5:$A$404,A275))</f>
        <v/>
      </c>
      <c r="E275" s="25">
        <f>IF(A275="","",SUMIFS(Parcelas!$F$5:$F$404,Parcelas!$A$5:$A$404,A275,Parcelas!$I$5:$I$404,"Paga"))</f>
        <v/>
      </c>
      <c r="F275" s="25">
        <f>IF(A275="","",D275-E275)</f>
        <v/>
      </c>
      <c r="G275" s="25">
        <f>IF(A275="","",SUMIFS(Parcelas!$F$5:$F$404,Parcelas!$A$5:$A$404,A275,Parcelas!$I$5:$I$404,"Vencida"))</f>
        <v/>
      </c>
      <c r="H275" s="24">
        <f>IF(A275="","",IF(G275&gt;0,"Em atraso",IF(F275&gt;0,"Em dia","Sem parcela em aberto")))</f>
        <v/>
      </c>
    </row>
    <row r="276">
      <c r="A276" s="33" t="n"/>
      <c r="B276" s="35" t="n"/>
      <c r="C276" s="24">
        <f>IF(A276="","",COUNTIFS(Parcelas!$A$5:$A$404,A276))</f>
        <v/>
      </c>
      <c r="D276" s="25">
        <f>IF(A276="","",SUMIFS(Parcelas!$F$5:$F$404,Parcelas!$A$5:$A$404,A276))</f>
        <v/>
      </c>
      <c r="E276" s="25">
        <f>IF(A276="","",SUMIFS(Parcelas!$F$5:$F$404,Parcelas!$A$5:$A$404,A276,Parcelas!$I$5:$I$404,"Paga"))</f>
        <v/>
      </c>
      <c r="F276" s="25">
        <f>IF(A276="","",D276-E276)</f>
        <v/>
      </c>
      <c r="G276" s="25">
        <f>IF(A276="","",SUMIFS(Parcelas!$F$5:$F$404,Parcelas!$A$5:$A$404,A276,Parcelas!$I$5:$I$404,"Vencida"))</f>
        <v/>
      </c>
      <c r="H276" s="24">
        <f>IF(A276="","",IF(G276&gt;0,"Em atraso",IF(F276&gt;0,"Em dia","Sem parcela em aberto")))</f>
        <v/>
      </c>
    </row>
    <row r="277">
      <c r="A277" s="33" t="n"/>
      <c r="B277" s="35" t="n"/>
      <c r="C277" s="24">
        <f>IF(A277="","",COUNTIFS(Parcelas!$A$5:$A$404,A277))</f>
        <v/>
      </c>
      <c r="D277" s="25">
        <f>IF(A277="","",SUMIFS(Parcelas!$F$5:$F$404,Parcelas!$A$5:$A$404,A277))</f>
        <v/>
      </c>
      <c r="E277" s="25">
        <f>IF(A277="","",SUMIFS(Parcelas!$F$5:$F$404,Parcelas!$A$5:$A$404,A277,Parcelas!$I$5:$I$404,"Paga"))</f>
        <v/>
      </c>
      <c r="F277" s="25">
        <f>IF(A277="","",D277-E277)</f>
        <v/>
      </c>
      <c r="G277" s="25">
        <f>IF(A277="","",SUMIFS(Parcelas!$F$5:$F$404,Parcelas!$A$5:$A$404,A277,Parcelas!$I$5:$I$404,"Vencida"))</f>
        <v/>
      </c>
      <c r="H277" s="24">
        <f>IF(A277="","",IF(G277&gt;0,"Em atraso",IF(F277&gt;0,"Em dia","Sem parcela em aberto")))</f>
        <v/>
      </c>
    </row>
    <row r="278">
      <c r="A278" s="33" t="n"/>
      <c r="B278" s="35" t="n"/>
      <c r="C278" s="24">
        <f>IF(A278="","",COUNTIFS(Parcelas!$A$5:$A$404,A278))</f>
        <v/>
      </c>
      <c r="D278" s="25">
        <f>IF(A278="","",SUMIFS(Parcelas!$F$5:$F$404,Parcelas!$A$5:$A$404,A278))</f>
        <v/>
      </c>
      <c r="E278" s="25">
        <f>IF(A278="","",SUMIFS(Parcelas!$F$5:$F$404,Parcelas!$A$5:$A$404,A278,Parcelas!$I$5:$I$404,"Paga"))</f>
        <v/>
      </c>
      <c r="F278" s="25">
        <f>IF(A278="","",D278-E278)</f>
        <v/>
      </c>
      <c r="G278" s="25">
        <f>IF(A278="","",SUMIFS(Parcelas!$F$5:$F$404,Parcelas!$A$5:$A$404,A278,Parcelas!$I$5:$I$404,"Vencida"))</f>
        <v/>
      </c>
      <c r="H278" s="24">
        <f>IF(A278="","",IF(G278&gt;0,"Em atraso",IF(F278&gt;0,"Em dia","Sem parcela em aberto")))</f>
        <v/>
      </c>
    </row>
    <row r="279">
      <c r="A279" s="33" t="n"/>
      <c r="B279" s="35" t="n"/>
      <c r="C279" s="24">
        <f>IF(A279="","",COUNTIFS(Parcelas!$A$5:$A$404,A279))</f>
        <v/>
      </c>
      <c r="D279" s="25">
        <f>IF(A279="","",SUMIFS(Parcelas!$F$5:$F$404,Parcelas!$A$5:$A$404,A279))</f>
        <v/>
      </c>
      <c r="E279" s="25">
        <f>IF(A279="","",SUMIFS(Parcelas!$F$5:$F$404,Parcelas!$A$5:$A$404,A279,Parcelas!$I$5:$I$404,"Paga"))</f>
        <v/>
      </c>
      <c r="F279" s="25">
        <f>IF(A279="","",D279-E279)</f>
        <v/>
      </c>
      <c r="G279" s="25">
        <f>IF(A279="","",SUMIFS(Parcelas!$F$5:$F$404,Parcelas!$A$5:$A$404,A279,Parcelas!$I$5:$I$404,"Vencida"))</f>
        <v/>
      </c>
      <c r="H279" s="24">
        <f>IF(A279="","",IF(G279&gt;0,"Em atraso",IF(F279&gt;0,"Em dia","Sem parcela em aberto")))</f>
        <v/>
      </c>
    </row>
    <row r="280">
      <c r="A280" s="33" t="n"/>
      <c r="B280" s="35" t="n"/>
      <c r="C280" s="24">
        <f>IF(A280="","",COUNTIFS(Parcelas!$A$5:$A$404,A280))</f>
        <v/>
      </c>
      <c r="D280" s="25">
        <f>IF(A280="","",SUMIFS(Parcelas!$F$5:$F$404,Parcelas!$A$5:$A$404,A280))</f>
        <v/>
      </c>
      <c r="E280" s="25">
        <f>IF(A280="","",SUMIFS(Parcelas!$F$5:$F$404,Parcelas!$A$5:$A$404,A280,Parcelas!$I$5:$I$404,"Paga"))</f>
        <v/>
      </c>
      <c r="F280" s="25">
        <f>IF(A280="","",D280-E280)</f>
        <v/>
      </c>
      <c r="G280" s="25">
        <f>IF(A280="","",SUMIFS(Parcelas!$F$5:$F$404,Parcelas!$A$5:$A$404,A280,Parcelas!$I$5:$I$404,"Vencida"))</f>
        <v/>
      </c>
      <c r="H280" s="24">
        <f>IF(A280="","",IF(G280&gt;0,"Em atraso",IF(F280&gt;0,"Em dia","Sem parcela em aberto")))</f>
        <v/>
      </c>
    </row>
    <row r="281">
      <c r="A281" s="33" t="n"/>
      <c r="B281" s="35" t="n"/>
      <c r="C281" s="24">
        <f>IF(A281="","",COUNTIFS(Parcelas!$A$5:$A$404,A281))</f>
        <v/>
      </c>
      <c r="D281" s="25">
        <f>IF(A281="","",SUMIFS(Parcelas!$F$5:$F$404,Parcelas!$A$5:$A$404,A281))</f>
        <v/>
      </c>
      <c r="E281" s="25">
        <f>IF(A281="","",SUMIFS(Parcelas!$F$5:$F$404,Parcelas!$A$5:$A$404,A281,Parcelas!$I$5:$I$404,"Paga"))</f>
        <v/>
      </c>
      <c r="F281" s="25">
        <f>IF(A281="","",D281-E281)</f>
        <v/>
      </c>
      <c r="G281" s="25">
        <f>IF(A281="","",SUMIFS(Parcelas!$F$5:$F$404,Parcelas!$A$5:$A$404,A281,Parcelas!$I$5:$I$404,"Vencida"))</f>
        <v/>
      </c>
      <c r="H281" s="24">
        <f>IF(A281="","",IF(G281&gt;0,"Em atraso",IF(F281&gt;0,"Em dia","Sem parcela em aberto")))</f>
        <v/>
      </c>
    </row>
    <row r="282">
      <c r="A282" s="33" t="n"/>
      <c r="B282" s="35" t="n"/>
      <c r="C282" s="24">
        <f>IF(A282="","",COUNTIFS(Parcelas!$A$5:$A$404,A282))</f>
        <v/>
      </c>
      <c r="D282" s="25">
        <f>IF(A282="","",SUMIFS(Parcelas!$F$5:$F$404,Parcelas!$A$5:$A$404,A282))</f>
        <v/>
      </c>
      <c r="E282" s="25">
        <f>IF(A282="","",SUMIFS(Parcelas!$F$5:$F$404,Parcelas!$A$5:$A$404,A282,Parcelas!$I$5:$I$404,"Paga"))</f>
        <v/>
      </c>
      <c r="F282" s="25">
        <f>IF(A282="","",D282-E282)</f>
        <v/>
      </c>
      <c r="G282" s="25">
        <f>IF(A282="","",SUMIFS(Parcelas!$F$5:$F$404,Parcelas!$A$5:$A$404,A282,Parcelas!$I$5:$I$404,"Vencida"))</f>
        <v/>
      </c>
      <c r="H282" s="24">
        <f>IF(A282="","",IF(G282&gt;0,"Em atraso",IF(F282&gt;0,"Em dia","Sem parcela em aberto")))</f>
        <v/>
      </c>
    </row>
    <row r="283">
      <c r="A283" s="33" t="n"/>
      <c r="B283" s="35" t="n"/>
      <c r="C283" s="24">
        <f>IF(A283="","",COUNTIFS(Parcelas!$A$5:$A$404,A283))</f>
        <v/>
      </c>
      <c r="D283" s="25">
        <f>IF(A283="","",SUMIFS(Parcelas!$F$5:$F$404,Parcelas!$A$5:$A$404,A283))</f>
        <v/>
      </c>
      <c r="E283" s="25">
        <f>IF(A283="","",SUMIFS(Parcelas!$F$5:$F$404,Parcelas!$A$5:$A$404,A283,Parcelas!$I$5:$I$404,"Paga"))</f>
        <v/>
      </c>
      <c r="F283" s="25">
        <f>IF(A283="","",D283-E283)</f>
        <v/>
      </c>
      <c r="G283" s="25">
        <f>IF(A283="","",SUMIFS(Parcelas!$F$5:$F$404,Parcelas!$A$5:$A$404,A283,Parcelas!$I$5:$I$404,"Vencida"))</f>
        <v/>
      </c>
      <c r="H283" s="24">
        <f>IF(A283="","",IF(G283&gt;0,"Em atraso",IF(F283&gt;0,"Em dia","Sem parcela em aberto")))</f>
        <v/>
      </c>
    </row>
    <row r="284">
      <c r="A284" s="33" t="n"/>
      <c r="B284" s="35" t="n"/>
      <c r="C284" s="24">
        <f>IF(A284="","",COUNTIFS(Parcelas!$A$5:$A$404,A284))</f>
        <v/>
      </c>
      <c r="D284" s="25">
        <f>IF(A284="","",SUMIFS(Parcelas!$F$5:$F$404,Parcelas!$A$5:$A$404,A284))</f>
        <v/>
      </c>
      <c r="E284" s="25">
        <f>IF(A284="","",SUMIFS(Parcelas!$F$5:$F$404,Parcelas!$A$5:$A$404,A284,Parcelas!$I$5:$I$404,"Paga"))</f>
        <v/>
      </c>
      <c r="F284" s="25">
        <f>IF(A284="","",D284-E284)</f>
        <v/>
      </c>
      <c r="G284" s="25">
        <f>IF(A284="","",SUMIFS(Parcelas!$F$5:$F$404,Parcelas!$A$5:$A$404,A284,Parcelas!$I$5:$I$404,"Vencida"))</f>
        <v/>
      </c>
      <c r="H284" s="24">
        <f>IF(A284="","",IF(G284&gt;0,"Em atraso",IF(F284&gt;0,"Em dia","Sem parcela em aberto")))</f>
        <v/>
      </c>
    </row>
    <row r="285">
      <c r="A285" s="33" t="n"/>
      <c r="B285" s="35" t="n"/>
      <c r="C285" s="24">
        <f>IF(A285="","",COUNTIFS(Parcelas!$A$5:$A$404,A285))</f>
        <v/>
      </c>
      <c r="D285" s="25">
        <f>IF(A285="","",SUMIFS(Parcelas!$F$5:$F$404,Parcelas!$A$5:$A$404,A285))</f>
        <v/>
      </c>
      <c r="E285" s="25">
        <f>IF(A285="","",SUMIFS(Parcelas!$F$5:$F$404,Parcelas!$A$5:$A$404,A285,Parcelas!$I$5:$I$404,"Paga"))</f>
        <v/>
      </c>
      <c r="F285" s="25">
        <f>IF(A285="","",D285-E285)</f>
        <v/>
      </c>
      <c r="G285" s="25">
        <f>IF(A285="","",SUMIFS(Parcelas!$F$5:$F$404,Parcelas!$A$5:$A$404,A285,Parcelas!$I$5:$I$404,"Vencida"))</f>
        <v/>
      </c>
      <c r="H285" s="24">
        <f>IF(A285="","",IF(G285&gt;0,"Em atraso",IF(F285&gt;0,"Em dia","Sem parcela em aberto")))</f>
        <v/>
      </c>
    </row>
    <row r="286">
      <c r="A286" s="33" t="n"/>
      <c r="B286" s="35" t="n"/>
      <c r="C286" s="24">
        <f>IF(A286="","",COUNTIFS(Parcelas!$A$5:$A$404,A286))</f>
        <v/>
      </c>
      <c r="D286" s="25">
        <f>IF(A286="","",SUMIFS(Parcelas!$F$5:$F$404,Parcelas!$A$5:$A$404,A286))</f>
        <v/>
      </c>
      <c r="E286" s="25">
        <f>IF(A286="","",SUMIFS(Parcelas!$F$5:$F$404,Parcelas!$A$5:$A$404,A286,Parcelas!$I$5:$I$404,"Paga"))</f>
        <v/>
      </c>
      <c r="F286" s="25">
        <f>IF(A286="","",D286-E286)</f>
        <v/>
      </c>
      <c r="G286" s="25">
        <f>IF(A286="","",SUMIFS(Parcelas!$F$5:$F$404,Parcelas!$A$5:$A$404,A286,Parcelas!$I$5:$I$404,"Vencida"))</f>
        <v/>
      </c>
      <c r="H286" s="24">
        <f>IF(A286="","",IF(G286&gt;0,"Em atraso",IF(F286&gt;0,"Em dia","Sem parcela em aberto")))</f>
        <v/>
      </c>
    </row>
    <row r="287">
      <c r="A287" s="33" t="n"/>
      <c r="B287" s="35" t="n"/>
      <c r="C287" s="24">
        <f>IF(A287="","",COUNTIFS(Parcelas!$A$5:$A$404,A287))</f>
        <v/>
      </c>
      <c r="D287" s="25">
        <f>IF(A287="","",SUMIFS(Parcelas!$F$5:$F$404,Parcelas!$A$5:$A$404,A287))</f>
        <v/>
      </c>
      <c r="E287" s="25">
        <f>IF(A287="","",SUMIFS(Parcelas!$F$5:$F$404,Parcelas!$A$5:$A$404,A287,Parcelas!$I$5:$I$404,"Paga"))</f>
        <v/>
      </c>
      <c r="F287" s="25">
        <f>IF(A287="","",D287-E287)</f>
        <v/>
      </c>
      <c r="G287" s="25">
        <f>IF(A287="","",SUMIFS(Parcelas!$F$5:$F$404,Parcelas!$A$5:$A$404,A287,Parcelas!$I$5:$I$404,"Vencida"))</f>
        <v/>
      </c>
      <c r="H287" s="24">
        <f>IF(A287="","",IF(G287&gt;0,"Em atraso",IF(F287&gt;0,"Em dia","Sem parcela em aberto")))</f>
        <v/>
      </c>
    </row>
    <row r="288">
      <c r="A288" s="33" t="n"/>
      <c r="B288" s="35" t="n"/>
      <c r="C288" s="24">
        <f>IF(A288="","",COUNTIFS(Parcelas!$A$5:$A$404,A288))</f>
        <v/>
      </c>
      <c r="D288" s="25">
        <f>IF(A288="","",SUMIFS(Parcelas!$F$5:$F$404,Parcelas!$A$5:$A$404,A288))</f>
        <v/>
      </c>
      <c r="E288" s="25">
        <f>IF(A288="","",SUMIFS(Parcelas!$F$5:$F$404,Parcelas!$A$5:$A$404,A288,Parcelas!$I$5:$I$404,"Paga"))</f>
        <v/>
      </c>
      <c r="F288" s="25">
        <f>IF(A288="","",D288-E288)</f>
        <v/>
      </c>
      <c r="G288" s="25">
        <f>IF(A288="","",SUMIFS(Parcelas!$F$5:$F$404,Parcelas!$A$5:$A$404,A288,Parcelas!$I$5:$I$404,"Vencida"))</f>
        <v/>
      </c>
      <c r="H288" s="24">
        <f>IF(A288="","",IF(G288&gt;0,"Em atraso",IF(F288&gt;0,"Em dia","Sem parcela em aberto")))</f>
        <v/>
      </c>
    </row>
    <row r="289">
      <c r="A289" s="33" t="n"/>
      <c r="B289" s="35" t="n"/>
      <c r="C289" s="24">
        <f>IF(A289="","",COUNTIFS(Parcelas!$A$5:$A$404,A289))</f>
        <v/>
      </c>
      <c r="D289" s="25">
        <f>IF(A289="","",SUMIFS(Parcelas!$F$5:$F$404,Parcelas!$A$5:$A$404,A289))</f>
        <v/>
      </c>
      <c r="E289" s="25">
        <f>IF(A289="","",SUMIFS(Parcelas!$F$5:$F$404,Parcelas!$A$5:$A$404,A289,Parcelas!$I$5:$I$404,"Paga"))</f>
        <v/>
      </c>
      <c r="F289" s="25">
        <f>IF(A289="","",D289-E289)</f>
        <v/>
      </c>
      <c r="G289" s="25">
        <f>IF(A289="","",SUMIFS(Parcelas!$F$5:$F$404,Parcelas!$A$5:$A$404,A289,Parcelas!$I$5:$I$404,"Vencida"))</f>
        <v/>
      </c>
      <c r="H289" s="24">
        <f>IF(A289="","",IF(G289&gt;0,"Em atraso",IF(F289&gt;0,"Em dia","Sem parcela em aberto")))</f>
        <v/>
      </c>
    </row>
    <row r="290">
      <c r="A290" s="33" t="n"/>
      <c r="B290" s="35" t="n"/>
      <c r="C290" s="24">
        <f>IF(A290="","",COUNTIFS(Parcelas!$A$5:$A$404,A290))</f>
        <v/>
      </c>
      <c r="D290" s="25">
        <f>IF(A290="","",SUMIFS(Parcelas!$F$5:$F$404,Parcelas!$A$5:$A$404,A290))</f>
        <v/>
      </c>
      <c r="E290" s="25">
        <f>IF(A290="","",SUMIFS(Parcelas!$F$5:$F$404,Parcelas!$A$5:$A$404,A290,Parcelas!$I$5:$I$404,"Paga"))</f>
        <v/>
      </c>
      <c r="F290" s="25">
        <f>IF(A290="","",D290-E290)</f>
        <v/>
      </c>
      <c r="G290" s="25">
        <f>IF(A290="","",SUMIFS(Parcelas!$F$5:$F$404,Parcelas!$A$5:$A$404,A290,Parcelas!$I$5:$I$404,"Vencida"))</f>
        <v/>
      </c>
      <c r="H290" s="24">
        <f>IF(A290="","",IF(G290&gt;0,"Em atraso",IF(F290&gt;0,"Em dia","Sem parcela em aberto")))</f>
        <v/>
      </c>
    </row>
    <row r="291">
      <c r="A291" s="33" t="n"/>
      <c r="B291" s="35" t="n"/>
      <c r="C291" s="24">
        <f>IF(A291="","",COUNTIFS(Parcelas!$A$5:$A$404,A291))</f>
        <v/>
      </c>
      <c r="D291" s="25">
        <f>IF(A291="","",SUMIFS(Parcelas!$F$5:$F$404,Parcelas!$A$5:$A$404,A291))</f>
        <v/>
      </c>
      <c r="E291" s="25">
        <f>IF(A291="","",SUMIFS(Parcelas!$F$5:$F$404,Parcelas!$A$5:$A$404,A291,Parcelas!$I$5:$I$404,"Paga"))</f>
        <v/>
      </c>
      <c r="F291" s="25">
        <f>IF(A291="","",D291-E291)</f>
        <v/>
      </c>
      <c r="G291" s="25">
        <f>IF(A291="","",SUMIFS(Parcelas!$F$5:$F$404,Parcelas!$A$5:$A$404,A291,Parcelas!$I$5:$I$404,"Vencida"))</f>
        <v/>
      </c>
      <c r="H291" s="24">
        <f>IF(A291="","",IF(G291&gt;0,"Em atraso",IF(F291&gt;0,"Em dia","Sem parcela em aberto")))</f>
        <v/>
      </c>
    </row>
    <row r="292">
      <c r="A292" s="33" t="n"/>
      <c r="B292" s="35" t="n"/>
      <c r="C292" s="24">
        <f>IF(A292="","",COUNTIFS(Parcelas!$A$5:$A$404,A292))</f>
        <v/>
      </c>
      <c r="D292" s="25">
        <f>IF(A292="","",SUMIFS(Parcelas!$F$5:$F$404,Parcelas!$A$5:$A$404,A292))</f>
        <v/>
      </c>
      <c r="E292" s="25">
        <f>IF(A292="","",SUMIFS(Parcelas!$F$5:$F$404,Parcelas!$A$5:$A$404,A292,Parcelas!$I$5:$I$404,"Paga"))</f>
        <v/>
      </c>
      <c r="F292" s="25">
        <f>IF(A292="","",D292-E292)</f>
        <v/>
      </c>
      <c r="G292" s="25">
        <f>IF(A292="","",SUMIFS(Parcelas!$F$5:$F$404,Parcelas!$A$5:$A$404,A292,Parcelas!$I$5:$I$404,"Vencida"))</f>
        <v/>
      </c>
      <c r="H292" s="24">
        <f>IF(A292="","",IF(G292&gt;0,"Em atraso",IF(F292&gt;0,"Em dia","Sem parcela em aberto")))</f>
        <v/>
      </c>
    </row>
    <row r="293">
      <c r="A293" s="33" t="n"/>
      <c r="B293" s="35" t="n"/>
      <c r="C293" s="24">
        <f>IF(A293="","",COUNTIFS(Parcelas!$A$5:$A$404,A293))</f>
        <v/>
      </c>
      <c r="D293" s="25">
        <f>IF(A293="","",SUMIFS(Parcelas!$F$5:$F$404,Parcelas!$A$5:$A$404,A293))</f>
        <v/>
      </c>
      <c r="E293" s="25">
        <f>IF(A293="","",SUMIFS(Parcelas!$F$5:$F$404,Parcelas!$A$5:$A$404,A293,Parcelas!$I$5:$I$404,"Paga"))</f>
        <v/>
      </c>
      <c r="F293" s="25">
        <f>IF(A293="","",D293-E293)</f>
        <v/>
      </c>
      <c r="G293" s="25">
        <f>IF(A293="","",SUMIFS(Parcelas!$F$5:$F$404,Parcelas!$A$5:$A$404,A293,Parcelas!$I$5:$I$404,"Vencida"))</f>
        <v/>
      </c>
      <c r="H293" s="24">
        <f>IF(A293="","",IF(G293&gt;0,"Em atraso",IF(F293&gt;0,"Em dia","Sem parcela em aberto")))</f>
        <v/>
      </c>
    </row>
    <row r="294">
      <c r="A294" s="33" t="n"/>
      <c r="B294" s="35" t="n"/>
      <c r="C294" s="24">
        <f>IF(A294="","",COUNTIFS(Parcelas!$A$5:$A$404,A294))</f>
        <v/>
      </c>
      <c r="D294" s="25">
        <f>IF(A294="","",SUMIFS(Parcelas!$F$5:$F$404,Parcelas!$A$5:$A$404,A294))</f>
        <v/>
      </c>
      <c r="E294" s="25">
        <f>IF(A294="","",SUMIFS(Parcelas!$F$5:$F$404,Parcelas!$A$5:$A$404,A294,Parcelas!$I$5:$I$404,"Paga"))</f>
        <v/>
      </c>
      <c r="F294" s="25">
        <f>IF(A294="","",D294-E294)</f>
        <v/>
      </c>
      <c r="G294" s="25">
        <f>IF(A294="","",SUMIFS(Parcelas!$F$5:$F$404,Parcelas!$A$5:$A$404,A294,Parcelas!$I$5:$I$404,"Vencida"))</f>
        <v/>
      </c>
      <c r="H294" s="24">
        <f>IF(A294="","",IF(G294&gt;0,"Em atraso",IF(F294&gt;0,"Em dia","Sem parcela em aberto")))</f>
        <v/>
      </c>
    </row>
    <row r="295">
      <c r="A295" s="33" t="n"/>
      <c r="B295" s="35" t="n"/>
      <c r="C295" s="24">
        <f>IF(A295="","",COUNTIFS(Parcelas!$A$5:$A$404,A295))</f>
        <v/>
      </c>
      <c r="D295" s="25">
        <f>IF(A295="","",SUMIFS(Parcelas!$F$5:$F$404,Parcelas!$A$5:$A$404,A295))</f>
        <v/>
      </c>
      <c r="E295" s="25">
        <f>IF(A295="","",SUMIFS(Parcelas!$F$5:$F$404,Parcelas!$A$5:$A$404,A295,Parcelas!$I$5:$I$404,"Paga"))</f>
        <v/>
      </c>
      <c r="F295" s="25">
        <f>IF(A295="","",D295-E295)</f>
        <v/>
      </c>
      <c r="G295" s="25">
        <f>IF(A295="","",SUMIFS(Parcelas!$F$5:$F$404,Parcelas!$A$5:$A$404,A295,Parcelas!$I$5:$I$404,"Vencida"))</f>
        <v/>
      </c>
      <c r="H295" s="24">
        <f>IF(A295="","",IF(G295&gt;0,"Em atraso",IF(F295&gt;0,"Em dia","Sem parcela em aberto")))</f>
        <v/>
      </c>
    </row>
    <row r="296">
      <c r="A296" s="33" t="n"/>
      <c r="B296" s="35" t="n"/>
      <c r="C296" s="24">
        <f>IF(A296="","",COUNTIFS(Parcelas!$A$5:$A$404,A296))</f>
        <v/>
      </c>
      <c r="D296" s="25">
        <f>IF(A296="","",SUMIFS(Parcelas!$F$5:$F$404,Parcelas!$A$5:$A$404,A296))</f>
        <v/>
      </c>
      <c r="E296" s="25">
        <f>IF(A296="","",SUMIFS(Parcelas!$F$5:$F$404,Parcelas!$A$5:$A$404,A296,Parcelas!$I$5:$I$404,"Paga"))</f>
        <v/>
      </c>
      <c r="F296" s="25">
        <f>IF(A296="","",D296-E296)</f>
        <v/>
      </c>
      <c r="G296" s="25">
        <f>IF(A296="","",SUMIFS(Parcelas!$F$5:$F$404,Parcelas!$A$5:$A$404,A296,Parcelas!$I$5:$I$404,"Vencida"))</f>
        <v/>
      </c>
      <c r="H296" s="24">
        <f>IF(A296="","",IF(G296&gt;0,"Em atraso",IF(F296&gt;0,"Em dia","Sem parcela em aberto")))</f>
        <v/>
      </c>
    </row>
    <row r="297">
      <c r="A297" s="33" t="n"/>
      <c r="B297" s="35" t="n"/>
      <c r="C297" s="24">
        <f>IF(A297="","",COUNTIFS(Parcelas!$A$5:$A$404,A297))</f>
        <v/>
      </c>
      <c r="D297" s="25">
        <f>IF(A297="","",SUMIFS(Parcelas!$F$5:$F$404,Parcelas!$A$5:$A$404,A297))</f>
        <v/>
      </c>
      <c r="E297" s="25">
        <f>IF(A297="","",SUMIFS(Parcelas!$F$5:$F$404,Parcelas!$A$5:$A$404,A297,Parcelas!$I$5:$I$404,"Paga"))</f>
        <v/>
      </c>
      <c r="F297" s="25">
        <f>IF(A297="","",D297-E297)</f>
        <v/>
      </c>
      <c r="G297" s="25">
        <f>IF(A297="","",SUMIFS(Parcelas!$F$5:$F$404,Parcelas!$A$5:$A$404,A297,Parcelas!$I$5:$I$404,"Vencida"))</f>
        <v/>
      </c>
      <c r="H297" s="24">
        <f>IF(A297="","",IF(G297&gt;0,"Em atraso",IF(F297&gt;0,"Em dia","Sem parcela em aberto")))</f>
        <v/>
      </c>
    </row>
    <row r="298">
      <c r="A298" s="33" t="n"/>
      <c r="B298" s="35" t="n"/>
      <c r="C298" s="24">
        <f>IF(A298="","",COUNTIFS(Parcelas!$A$5:$A$404,A298))</f>
        <v/>
      </c>
      <c r="D298" s="25">
        <f>IF(A298="","",SUMIFS(Parcelas!$F$5:$F$404,Parcelas!$A$5:$A$404,A298))</f>
        <v/>
      </c>
      <c r="E298" s="25">
        <f>IF(A298="","",SUMIFS(Parcelas!$F$5:$F$404,Parcelas!$A$5:$A$404,A298,Parcelas!$I$5:$I$404,"Paga"))</f>
        <v/>
      </c>
      <c r="F298" s="25">
        <f>IF(A298="","",D298-E298)</f>
        <v/>
      </c>
      <c r="G298" s="25">
        <f>IF(A298="","",SUMIFS(Parcelas!$F$5:$F$404,Parcelas!$A$5:$A$404,A298,Parcelas!$I$5:$I$404,"Vencida"))</f>
        <v/>
      </c>
      <c r="H298" s="24">
        <f>IF(A298="","",IF(G298&gt;0,"Em atraso",IF(F298&gt;0,"Em dia","Sem parcela em aberto")))</f>
        <v/>
      </c>
    </row>
    <row r="299">
      <c r="A299" s="33" t="n"/>
      <c r="B299" s="35" t="n"/>
      <c r="C299" s="24">
        <f>IF(A299="","",COUNTIFS(Parcelas!$A$5:$A$404,A299))</f>
        <v/>
      </c>
      <c r="D299" s="25">
        <f>IF(A299="","",SUMIFS(Parcelas!$F$5:$F$404,Parcelas!$A$5:$A$404,A299))</f>
        <v/>
      </c>
      <c r="E299" s="25">
        <f>IF(A299="","",SUMIFS(Parcelas!$F$5:$F$404,Parcelas!$A$5:$A$404,A299,Parcelas!$I$5:$I$404,"Paga"))</f>
        <v/>
      </c>
      <c r="F299" s="25">
        <f>IF(A299="","",D299-E299)</f>
        <v/>
      </c>
      <c r="G299" s="25">
        <f>IF(A299="","",SUMIFS(Parcelas!$F$5:$F$404,Parcelas!$A$5:$A$404,A299,Parcelas!$I$5:$I$404,"Vencida"))</f>
        <v/>
      </c>
      <c r="H299" s="24">
        <f>IF(A299="","",IF(G299&gt;0,"Em atraso",IF(F299&gt;0,"Em dia","Sem parcela em aberto")))</f>
        <v/>
      </c>
    </row>
    <row r="300">
      <c r="A300" s="33" t="n"/>
      <c r="B300" s="35" t="n"/>
      <c r="C300" s="24">
        <f>IF(A300="","",COUNTIFS(Parcelas!$A$5:$A$404,A300))</f>
        <v/>
      </c>
      <c r="D300" s="25">
        <f>IF(A300="","",SUMIFS(Parcelas!$F$5:$F$404,Parcelas!$A$5:$A$404,A300))</f>
        <v/>
      </c>
      <c r="E300" s="25">
        <f>IF(A300="","",SUMIFS(Parcelas!$F$5:$F$404,Parcelas!$A$5:$A$404,A300,Parcelas!$I$5:$I$404,"Paga"))</f>
        <v/>
      </c>
      <c r="F300" s="25">
        <f>IF(A300="","",D300-E300)</f>
        <v/>
      </c>
      <c r="G300" s="25">
        <f>IF(A300="","",SUMIFS(Parcelas!$F$5:$F$404,Parcelas!$A$5:$A$404,A300,Parcelas!$I$5:$I$404,"Vencida"))</f>
        <v/>
      </c>
      <c r="H300" s="24">
        <f>IF(A300="","",IF(G300&gt;0,"Em atraso",IF(F300&gt;0,"Em dia","Sem parcela em aberto")))</f>
        <v/>
      </c>
    </row>
    <row r="301">
      <c r="A301" s="33" t="n"/>
      <c r="B301" s="35" t="n"/>
      <c r="C301" s="24">
        <f>IF(A301="","",COUNTIFS(Parcelas!$A$5:$A$404,A301))</f>
        <v/>
      </c>
      <c r="D301" s="25">
        <f>IF(A301="","",SUMIFS(Parcelas!$F$5:$F$404,Parcelas!$A$5:$A$404,A301))</f>
        <v/>
      </c>
      <c r="E301" s="25">
        <f>IF(A301="","",SUMIFS(Parcelas!$F$5:$F$404,Parcelas!$A$5:$A$404,A301,Parcelas!$I$5:$I$404,"Paga"))</f>
        <v/>
      </c>
      <c r="F301" s="25">
        <f>IF(A301="","",D301-E301)</f>
        <v/>
      </c>
      <c r="G301" s="25">
        <f>IF(A301="","",SUMIFS(Parcelas!$F$5:$F$404,Parcelas!$A$5:$A$404,A301,Parcelas!$I$5:$I$404,"Vencida"))</f>
        <v/>
      </c>
      <c r="H301" s="24">
        <f>IF(A301="","",IF(G301&gt;0,"Em atraso",IF(F301&gt;0,"Em dia","Sem parcela em aberto")))</f>
        <v/>
      </c>
    </row>
    <row r="302">
      <c r="A302" s="33" t="n"/>
      <c r="B302" s="35" t="n"/>
      <c r="C302" s="24">
        <f>IF(A302="","",COUNTIFS(Parcelas!$A$5:$A$404,A302))</f>
        <v/>
      </c>
      <c r="D302" s="25">
        <f>IF(A302="","",SUMIFS(Parcelas!$F$5:$F$404,Parcelas!$A$5:$A$404,A302))</f>
        <v/>
      </c>
      <c r="E302" s="25">
        <f>IF(A302="","",SUMIFS(Parcelas!$F$5:$F$404,Parcelas!$A$5:$A$404,A302,Parcelas!$I$5:$I$404,"Paga"))</f>
        <v/>
      </c>
      <c r="F302" s="25">
        <f>IF(A302="","",D302-E302)</f>
        <v/>
      </c>
      <c r="G302" s="25">
        <f>IF(A302="","",SUMIFS(Parcelas!$F$5:$F$404,Parcelas!$A$5:$A$404,A302,Parcelas!$I$5:$I$404,"Vencida"))</f>
        <v/>
      </c>
      <c r="H302" s="24">
        <f>IF(A302="","",IF(G302&gt;0,"Em atraso",IF(F302&gt;0,"Em dia","Sem parcela em aberto")))</f>
        <v/>
      </c>
    </row>
    <row r="303">
      <c r="A303" s="33" t="n"/>
      <c r="B303" s="35" t="n"/>
      <c r="C303" s="24">
        <f>IF(A303="","",COUNTIFS(Parcelas!$A$5:$A$404,A303))</f>
        <v/>
      </c>
      <c r="D303" s="25">
        <f>IF(A303="","",SUMIFS(Parcelas!$F$5:$F$404,Parcelas!$A$5:$A$404,A303))</f>
        <v/>
      </c>
      <c r="E303" s="25">
        <f>IF(A303="","",SUMIFS(Parcelas!$F$5:$F$404,Parcelas!$A$5:$A$404,A303,Parcelas!$I$5:$I$404,"Paga"))</f>
        <v/>
      </c>
      <c r="F303" s="25">
        <f>IF(A303="","",D303-E303)</f>
        <v/>
      </c>
      <c r="G303" s="25">
        <f>IF(A303="","",SUMIFS(Parcelas!$F$5:$F$404,Parcelas!$A$5:$A$404,A303,Parcelas!$I$5:$I$404,"Vencida"))</f>
        <v/>
      </c>
      <c r="H303" s="24">
        <f>IF(A303="","",IF(G303&gt;0,"Em atraso",IF(F303&gt;0,"Em dia","Sem parcela em aberto")))</f>
        <v/>
      </c>
    </row>
    <row r="304">
      <c r="A304" s="33" t="n"/>
      <c r="B304" s="35" t="n"/>
      <c r="C304" s="24">
        <f>IF(A304="","",COUNTIFS(Parcelas!$A$5:$A$404,A304))</f>
        <v/>
      </c>
      <c r="D304" s="25">
        <f>IF(A304="","",SUMIFS(Parcelas!$F$5:$F$404,Parcelas!$A$5:$A$404,A304))</f>
        <v/>
      </c>
      <c r="E304" s="25">
        <f>IF(A304="","",SUMIFS(Parcelas!$F$5:$F$404,Parcelas!$A$5:$A$404,A304,Parcelas!$I$5:$I$404,"Paga"))</f>
        <v/>
      </c>
      <c r="F304" s="25">
        <f>IF(A304="","",D304-E304)</f>
        <v/>
      </c>
      <c r="G304" s="25">
        <f>IF(A304="","",SUMIFS(Parcelas!$F$5:$F$404,Parcelas!$A$5:$A$404,A304,Parcelas!$I$5:$I$404,"Vencida"))</f>
        <v/>
      </c>
      <c r="H304" s="24">
        <f>IF(A304="","",IF(G304&gt;0,"Em atraso",IF(F304&gt;0,"Em dia","Sem parcela em aberto")))</f>
        <v/>
      </c>
    </row>
    <row r="305">
      <c r="A305" s="33" t="n"/>
      <c r="B305" s="35" t="n"/>
      <c r="C305" s="24">
        <f>IF(A305="","",COUNTIFS(Parcelas!$A$5:$A$404,A305))</f>
        <v/>
      </c>
      <c r="D305" s="25">
        <f>IF(A305="","",SUMIFS(Parcelas!$F$5:$F$404,Parcelas!$A$5:$A$404,A305))</f>
        <v/>
      </c>
      <c r="E305" s="25">
        <f>IF(A305="","",SUMIFS(Parcelas!$F$5:$F$404,Parcelas!$A$5:$A$404,A305,Parcelas!$I$5:$I$404,"Paga"))</f>
        <v/>
      </c>
      <c r="F305" s="25">
        <f>IF(A305="","",D305-E305)</f>
        <v/>
      </c>
      <c r="G305" s="25">
        <f>IF(A305="","",SUMIFS(Parcelas!$F$5:$F$404,Parcelas!$A$5:$A$404,A305,Parcelas!$I$5:$I$404,"Vencida"))</f>
        <v/>
      </c>
      <c r="H305" s="24">
        <f>IF(A305="","",IF(G305&gt;0,"Em atraso",IF(F305&gt;0,"Em dia","Sem parcela em aberto")))</f>
        <v/>
      </c>
    </row>
    <row r="306">
      <c r="A306" s="33" t="n"/>
      <c r="B306" s="35" t="n"/>
      <c r="C306" s="24">
        <f>IF(A306="","",COUNTIFS(Parcelas!$A$5:$A$404,A306))</f>
        <v/>
      </c>
      <c r="D306" s="25">
        <f>IF(A306="","",SUMIFS(Parcelas!$F$5:$F$404,Parcelas!$A$5:$A$404,A306))</f>
        <v/>
      </c>
      <c r="E306" s="25">
        <f>IF(A306="","",SUMIFS(Parcelas!$F$5:$F$404,Parcelas!$A$5:$A$404,A306,Parcelas!$I$5:$I$404,"Paga"))</f>
        <v/>
      </c>
      <c r="F306" s="25">
        <f>IF(A306="","",D306-E306)</f>
        <v/>
      </c>
      <c r="G306" s="25">
        <f>IF(A306="","",SUMIFS(Parcelas!$F$5:$F$404,Parcelas!$A$5:$A$404,A306,Parcelas!$I$5:$I$404,"Vencida"))</f>
        <v/>
      </c>
      <c r="H306" s="24">
        <f>IF(A306="","",IF(G306&gt;0,"Em atraso",IF(F306&gt;0,"Em dia","Sem parcela em aberto")))</f>
        <v/>
      </c>
    </row>
    <row r="307">
      <c r="A307" s="33" t="n"/>
      <c r="B307" s="35" t="n"/>
      <c r="C307" s="24">
        <f>IF(A307="","",COUNTIFS(Parcelas!$A$5:$A$404,A307))</f>
        <v/>
      </c>
      <c r="D307" s="25">
        <f>IF(A307="","",SUMIFS(Parcelas!$F$5:$F$404,Parcelas!$A$5:$A$404,A307))</f>
        <v/>
      </c>
      <c r="E307" s="25">
        <f>IF(A307="","",SUMIFS(Parcelas!$F$5:$F$404,Parcelas!$A$5:$A$404,A307,Parcelas!$I$5:$I$404,"Paga"))</f>
        <v/>
      </c>
      <c r="F307" s="25">
        <f>IF(A307="","",D307-E307)</f>
        <v/>
      </c>
      <c r="G307" s="25">
        <f>IF(A307="","",SUMIFS(Parcelas!$F$5:$F$404,Parcelas!$A$5:$A$404,A307,Parcelas!$I$5:$I$404,"Vencida"))</f>
        <v/>
      </c>
      <c r="H307" s="24">
        <f>IF(A307="","",IF(G307&gt;0,"Em atraso",IF(F307&gt;0,"Em dia","Sem parcela em aberto")))</f>
        <v/>
      </c>
    </row>
    <row r="308">
      <c r="A308" s="33" t="n"/>
      <c r="B308" s="35" t="n"/>
      <c r="C308" s="24">
        <f>IF(A308="","",COUNTIFS(Parcelas!$A$5:$A$404,A308))</f>
        <v/>
      </c>
      <c r="D308" s="25">
        <f>IF(A308="","",SUMIFS(Parcelas!$F$5:$F$404,Parcelas!$A$5:$A$404,A308))</f>
        <v/>
      </c>
      <c r="E308" s="25">
        <f>IF(A308="","",SUMIFS(Parcelas!$F$5:$F$404,Parcelas!$A$5:$A$404,A308,Parcelas!$I$5:$I$404,"Paga"))</f>
        <v/>
      </c>
      <c r="F308" s="25">
        <f>IF(A308="","",D308-E308)</f>
        <v/>
      </c>
      <c r="G308" s="25">
        <f>IF(A308="","",SUMIFS(Parcelas!$F$5:$F$404,Parcelas!$A$5:$A$404,A308,Parcelas!$I$5:$I$404,"Vencida"))</f>
        <v/>
      </c>
      <c r="H308" s="24">
        <f>IF(A308="","",IF(G308&gt;0,"Em atraso",IF(F308&gt;0,"Em dia","Sem parcela em aberto")))</f>
        <v/>
      </c>
    </row>
    <row r="309">
      <c r="A309" s="33" t="n"/>
      <c r="B309" s="35" t="n"/>
      <c r="C309" s="24">
        <f>IF(A309="","",COUNTIFS(Parcelas!$A$5:$A$404,A309))</f>
        <v/>
      </c>
      <c r="D309" s="25">
        <f>IF(A309="","",SUMIFS(Parcelas!$F$5:$F$404,Parcelas!$A$5:$A$404,A309))</f>
        <v/>
      </c>
      <c r="E309" s="25">
        <f>IF(A309="","",SUMIFS(Parcelas!$F$5:$F$404,Parcelas!$A$5:$A$404,A309,Parcelas!$I$5:$I$404,"Paga"))</f>
        <v/>
      </c>
      <c r="F309" s="25">
        <f>IF(A309="","",D309-E309)</f>
        <v/>
      </c>
      <c r="G309" s="25">
        <f>IF(A309="","",SUMIFS(Parcelas!$F$5:$F$404,Parcelas!$A$5:$A$404,A309,Parcelas!$I$5:$I$404,"Vencida"))</f>
        <v/>
      </c>
      <c r="H309" s="24">
        <f>IF(A309="","",IF(G309&gt;0,"Em atraso",IF(F309&gt;0,"Em dia","Sem parcela em aberto")))</f>
        <v/>
      </c>
    </row>
    <row r="310">
      <c r="A310" s="33" t="n"/>
      <c r="B310" s="35" t="n"/>
      <c r="C310" s="24">
        <f>IF(A310="","",COUNTIFS(Parcelas!$A$5:$A$404,A310))</f>
        <v/>
      </c>
      <c r="D310" s="25">
        <f>IF(A310="","",SUMIFS(Parcelas!$F$5:$F$404,Parcelas!$A$5:$A$404,A310))</f>
        <v/>
      </c>
      <c r="E310" s="25">
        <f>IF(A310="","",SUMIFS(Parcelas!$F$5:$F$404,Parcelas!$A$5:$A$404,A310,Parcelas!$I$5:$I$404,"Paga"))</f>
        <v/>
      </c>
      <c r="F310" s="25">
        <f>IF(A310="","",D310-E310)</f>
        <v/>
      </c>
      <c r="G310" s="25">
        <f>IF(A310="","",SUMIFS(Parcelas!$F$5:$F$404,Parcelas!$A$5:$A$404,A310,Parcelas!$I$5:$I$404,"Vencida"))</f>
        <v/>
      </c>
      <c r="H310" s="24">
        <f>IF(A310="","",IF(G310&gt;0,"Em atraso",IF(F310&gt;0,"Em dia","Sem parcela em aberto")))</f>
        <v/>
      </c>
    </row>
    <row r="311">
      <c r="A311" s="33" t="n"/>
      <c r="B311" s="35" t="n"/>
      <c r="C311" s="24">
        <f>IF(A311="","",COUNTIFS(Parcelas!$A$5:$A$404,A311))</f>
        <v/>
      </c>
      <c r="D311" s="25">
        <f>IF(A311="","",SUMIFS(Parcelas!$F$5:$F$404,Parcelas!$A$5:$A$404,A311))</f>
        <v/>
      </c>
      <c r="E311" s="25">
        <f>IF(A311="","",SUMIFS(Parcelas!$F$5:$F$404,Parcelas!$A$5:$A$404,A311,Parcelas!$I$5:$I$404,"Paga"))</f>
        <v/>
      </c>
      <c r="F311" s="25">
        <f>IF(A311="","",D311-E311)</f>
        <v/>
      </c>
      <c r="G311" s="25">
        <f>IF(A311="","",SUMIFS(Parcelas!$F$5:$F$404,Parcelas!$A$5:$A$404,A311,Parcelas!$I$5:$I$404,"Vencida"))</f>
        <v/>
      </c>
      <c r="H311" s="24">
        <f>IF(A311="","",IF(G311&gt;0,"Em atraso",IF(F311&gt;0,"Em dia","Sem parcela em aberto")))</f>
        <v/>
      </c>
    </row>
    <row r="312">
      <c r="A312" s="33" t="n"/>
      <c r="B312" s="35" t="n"/>
      <c r="C312" s="24">
        <f>IF(A312="","",COUNTIFS(Parcelas!$A$5:$A$404,A312))</f>
        <v/>
      </c>
      <c r="D312" s="25">
        <f>IF(A312="","",SUMIFS(Parcelas!$F$5:$F$404,Parcelas!$A$5:$A$404,A312))</f>
        <v/>
      </c>
      <c r="E312" s="25">
        <f>IF(A312="","",SUMIFS(Parcelas!$F$5:$F$404,Parcelas!$A$5:$A$404,A312,Parcelas!$I$5:$I$404,"Paga"))</f>
        <v/>
      </c>
      <c r="F312" s="25">
        <f>IF(A312="","",D312-E312)</f>
        <v/>
      </c>
      <c r="G312" s="25">
        <f>IF(A312="","",SUMIFS(Parcelas!$F$5:$F$404,Parcelas!$A$5:$A$404,A312,Parcelas!$I$5:$I$404,"Vencida"))</f>
        <v/>
      </c>
      <c r="H312" s="24">
        <f>IF(A312="","",IF(G312&gt;0,"Em atraso",IF(F312&gt;0,"Em dia","Sem parcela em aberto")))</f>
        <v/>
      </c>
    </row>
    <row r="313">
      <c r="A313" s="33" t="n"/>
      <c r="B313" s="35" t="n"/>
      <c r="C313" s="24">
        <f>IF(A313="","",COUNTIFS(Parcelas!$A$5:$A$404,A313))</f>
        <v/>
      </c>
      <c r="D313" s="25">
        <f>IF(A313="","",SUMIFS(Parcelas!$F$5:$F$404,Parcelas!$A$5:$A$404,A313))</f>
        <v/>
      </c>
      <c r="E313" s="25">
        <f>IF(A313="","",SUMIFS(Parcelas!$F$5:$F$404,Parcelas!$A$5:$A$404,A313,Parcelas!$I$5:$I$404,"Paga"))</f>
        <v/>
      </c>
      <c r="F313" s="25">
        <f>IF(A313="","",D313-E313)</f>
        <v/>
      </c>
      <c r="G313" s="25">
        <f>IF(A313="","",SUMIFS(Parcelas!$F$5:$F$404,Parcelas!$A$5:$A$404,A313,Parcelas!$I$5:$I$404,"Vencida"))</f>
        <v/>
      </c>
      <c r="H313" s="24">
        <f>IF(A313="","",IF(G313&gt;0,"Em atraso",IF(F313&gt;0,"Em dia","Sem parcela em aberto")))</f>
        <v/>
      </c>
    </row>
    <row r="314">
      <c r="A314" s="33" t="n"/>
      <c r="B314" s="35" t="n"/>
      <c r="C314" s="24">
        <f>IF(A314="","",COUNTIFS(Parcelas!$A$5:$A$404,A314))</f>
        <v/>
      </c>
      <c r="D314" s="25">
        <f>IF(A314="","",SUMIFS(Parcelas!$F$5:$F$404,Parcelas!$A$5:$A$404,A314))</f>
        <v/>
      </c>
      <c r="E314" s="25">
        <f>IF(A314="","",SUMIFS(Parcelas!$F$5:$F$404,Parcelas!$A$5:$A$404,A314,Parcelas!$I$5:$I$404,"Paga"))</f>
        <v/>
      </c>
      <c r="F314" s="25">
        <f>IF(A314="","",D314-E314)</f>
        <v/>
      </c>
      <c r="G314" s="25">
        <f>IF(A314="","",SUMIFS(Parcelas!$F$5:$F$404,Parcelas!$A$5:$A$404,A314,Parcelas!$I$5:$I$404,"Vencida"))</f>
        <v/>
      </c>
      <c r="H314" s="24">
        <f>IF(A314="","",IF(G314&gt;0,"Em atraso",IF(F314&gt;0,"Em dia","Sem parcela em aberto")))</f>
        <v/>
      </c>
    </row>
    <row r="315">
      <c r="A315" s="33" t="n"/>
      <c r="B315" s="35" t="n"/>
      <c r="C315" s="24">
        <f>IF(A315="","",COUNTIFS(Parcelas!$A$5:$A$404,A315))</f>
        <v/>
      </c>
      <c r="D315" s="25">
        <f>IF(A315="","",SUMIFS(Parcelas!$F$5:$F$404,Parcelas!$A$5:$A$404,A315))</f>
        <v/>
      </c>
      <c r="E315" s="25">
        <f>IF(A315="","",SUMIFS(Parcelas!$F$5:$F$404,Parcelas!$A$5:$A$404,A315,Parcelas!$I$5:$I$404,"Paga"))</f>
        <v/>
      </c>
      <c r="F315" s="25">
        <f>IF(A315="","",D315-E315)</f>
        <v/>
      </c>
      <c r="G315" s="25">
        <f>IF(A315="","",SUMIFS(Parcelas!$F$5:$F$404,Parcelas!$A$5:$A$404,A315,Parcelas!$I$5:$I$404,"Vencida"))</f>
        <v/>
      </c>
      <c r="H315" s="24">
        <f>IF(A315="","",IF(G315&gt;0,"Em atraso",IF(F315&gt;0,"Em dia","Sem parcela em aberto")))</f>
        <v/>
      </c>
    </row>
    <row r="316">
      <c r="A316" s="33" t="n"/>
      <c r="B316" s="35" t="n"/>
      <c r="C316" s="24">
        <f>IF(A316="","",COUNTIFS(Parcelas!$A$5:$A$404,A316))</f>
        <v/>
      </c>
      <c r="D316" s="25">
        <f>IF(A316="","",SUMIFS(Parcelas!$F$5:$F$404,Parcelas!$A$5:$A$404,A316))</f>
        <v/>
      </c>
      <c r="E316" s="25">
        <f>IF(A316="","",SUMIFS(Parcelas!$F$5:$F$404,Parcelas!$A$5:$A$404,A316,Parcelas!$I$5:$I$404,"Paga"))</f>
        <v/>
      </c>
      <c r="F316" s="25">
        <f>IF(A316="","",D316-E316)</f>
        <v/>
      </c>
      <c r="G316" s="25">
        <f>IF(A316="","",SUMIFS(Parcelas!$F$5:$F$404,Parcelas!$A$5:$A$404,A316,Parcelas!$I$5:$I$404,"Vencida"))</f>
        <v/>
      </c>
      <c r="H316" s="24">
        <f>IF(A316="","",IF(G316&gt;0,"Em atraso",IF(F316&gt;0,"Em dia","Sem parcela em aberto")))</f>
        <v/>
      </c>
    </row>
    <row r="317">
      <c r="A317" s="33" t="n"/>
      <c r="B317" s="35" t="n"/>
      <c r="C317" s="24">
        <f>IF(A317="","",COUNTIFS(Parcelas!$A$5:$A$404,A317))</f>
        <v/>
      </c>
      <c r="D317" s="25">
        <f>IF(A317="","",SUMIFS(Parcelas!$F$5:$F$404,Parcelas!$A$5:$A$404,A317))</f>
        <v/>
      </c>
      <c r="E317" s="25">
        <f>IF(A317="","",SUMIFS(Parcelas!$F$5:$F$404,Parcelas!$A$5:$A$404,A317,Parcelas!$I$5:$I$404,"Paga"))</f>
        <v/>
      </c>
      <c r="F317" s="25">
        <f>IF(A317="","",D317-E317)</f>
        <v/>
      </c>
      <c r="G317" s="25">
        <f>IF(A317="","",SUMIFS(Parcelas!$F$5:$F$404,Parcelas!$A$5:$A$404,A317,Parcelas!$I$5:$I$404,"Vencida"))</f>
        <v/>
      </c>
      <c r="H317" s="24">
        <f>IF(A317="","",IF(G317&gt;0,"Em atraso",IF(F317&gt;0,"Em dia","Sem parcela em aberto")))</f>
        <v/>
      </c>
    </row>
    <row r="318">
      <c r="A318" s="33" t="n"/>
      <c r="B318" s="35" t="n"/>
      <c r="C318" s="24">
        <f>IF(A318="","",COUNTIFS(Parcelas!$A$5:$A$404,A318))</f>
        <v/>
      </c>
      <c r="D318" s="25">
        <f>IF(A318="","",SUMIFS(Parcelas!$F$5:$F$404,Parcelas!$A$5:$A$404,A318))</f>
        <v/>
      </c>
      <c r="E318" s="25">
        <f>IF(A318="","",SUMIFS(Parcelas!$F$5:$F$404,Parcelas!$A$5:$A$404,A318,Parcelas!$I$5:$I$404,"Paga"))</f>
        <v/>
      </c>
      <c r="F318" s="25">
        <f>IF(A318="","",D318-E318)</f>
        <v/>
      </c>
      <c r="G318" s="25">
        <f>IF(A318="","",SUMIFS(Parcelas!$F$5:$F$404,Parcelas!$A$5:$A$404,A318,Parcelas!$I$5:$I$404,"Vencida"))</f>
        <v/>
      </c>
      <c r="H318" s="24">
        <f>IF(A318="","",IF(G318&gt;0,"Em atraso",IF(F318&gt;0,"Em dia","Sem parcela em aberto")))</f>
        <v/>
      </c>
    </row>
    <row r="319">
      <c r="A319" s="33" t="n"/>
      <c r="B319" s="35" t="n"/>
      <c r="C319" s="24">
        <f>IF(A319="","",COUNTIFS(Parcelas!$A$5:$A$404,A319))</f>
        <v/>
      </c>
      <c r="D319" s="25">
        <f>IF(A319="","",SUMIFS(Parcelas!$F$5:$F$404,Parcelas!$A$5:$A$404,A319))</f>
        <v/>
      </c>
      <c r="E319" s="25">
        <f>IF(A319="","",SUMIFS(Parcelas!$F$5:$F$404,Parcelas!$A$5:$A$404,A319,Parcelas!$I$5:$I$404,"Paga"))</f>
        <v/>
      </c>
      <c r="F319" s="25">
        <f>IF(A319="","",D319-E319)</f>
        <v/>
      </c>
      <c r="G319" s="25">
        <f>IF(A319="","",SUMIFS(Parcelas!$F$5:$F$404,Parcelas!$A$5:$A$404,A319,Parcelas!$I$5:$I$404,"Vencida"))</f>
        <v/>
      </c>
      <c r="H319" s="24">
        <f>IF(A319="","",IF(G319&gt;0,"Em atraso",IF(F319&gt;0,"Em dia","Sem parcela em aberto")))</f>
        <v/>
      </c>
    </row>
    <row r="320">
      <c r="A320" s="33" t="n"/>
      <c r="B320" s="35" t="n"/>
      <c r="C320" s="24">
        <f>IF(A320="","",COUNTIFS(Parcelas!$A$5:$A$404,A320))</f>
        <v/>
      </c>
      <c r="D320" s="25">
        <f>IF(A320="","",SUMIFS(Parcelas!$F$5:$F$404,Parcelas!$A$5:$A$404,A320))</f>
        <v/>
      </c>
      <c r="E320" s="25">
        <f>IF(A320="","",SUMIFS(Parcelas!$F$5:$F$404,Parcelas!$A$5:$A$404,A320,Parcelas!$I$5:$I$404,"Paga"))</f>
        <v/>
      </c>
      <c r="F320" s="25">
        <f>IF(A320="","",D320-E320)</f>
        <v/>
      </c>
      <c r="G320" s="25">
        <f>IF(A320="","",SUMIFS(Parcelas!$F$5:$F$404,Parcelas!$A$5:$A$404,A320,Parcelas!$I$5:$I$404,"Vencida"))</f>
        <v/>
      </c>
      <c r="H320" s="24">
        <f>IF(A320="","",IF(G320&gt;0,"Em atraso",IF(F320&gt;0,"Em dia","Sem parcela em aberto")))</f>
        <v/>
      </c>
    </row>
    <row r="321">
      <c r="A321" s="33" t="n"/>
      <c r="B321" s="35" t="n"/>
      <c r="C321" s="24">
        <f>IF(A321="","",COUNTIFS(Parcelas!$A$5:$A$404,A321))</f>
        <v/>
      </c>
      <c r="D321" s="25">
        <f>IF(A321="","",SUMIFS(Parcelas!$F$5:$F$404,Parcelas!$A$5:$A$404,A321))</f>
        <v/>
      </c>
      <c r="E321" s="25">
        <f>IF(A321="","",SUMIFS(Parcelas!$F$5:$F$404,Parcelas!$A$5:$A$404,A321,Parcelas!$I$5:$I$404,"Paga"))</f>
        <v/>
      </c>
      <c r="F321" s="25">
        <f>IF(A321="","",D321-E321)</f>
        <v/>
      </c>
      <c r="G321" s="25">
        <f>IF(A321="","",SUMIFS(Parcelas!$F$5:$F$404,Parcelas!$A$5:$A$404,A321,Parcelas!$I$5:$I$404,"Vencida"))</f>
        <v/>
      </c>
      <c r="H321" s="24">
        <f>IF(A321="","",IF(G321&gt;0,"Em atraso",IF(F321&gt;0,"Em dia","Sem parcela em aberto")))</f>
        <v/>
      </c>
    </row>
    <row r="322">
      <c r="A322" s="33" t="n"/>
      <c r="B322" s="35" t="n"/>
      <c r="C322" s="24">
        <f>IF(A322="","",COUNTIFS(Parcelas!$A$5:$A$404,A322))</f>
        <v/>
      </c>
      <c r="D322" s="25">
        <f>IF(A322="","",SUMIFS(Parcelas!$F$5:$F$404,Parcelas!$A$5:$A$404,A322))</f>
        <v/>
      </c>
      <c r="E322" s="25">
        <f>IF(A322="","",SUMIFS(Parcelas!$F$5:$F$404,Parcelas!$A$5:$A$404,A322,Parcelas!$I$5:$I$404,"Paga"))</f>
        <v/>
      </c>
      <c r="F322" s="25">
        <f>IF(A322="","",D322-E322)</f>
        <v/>
      </c>
      <c r="G322" s="25">
        <f>IF(A322="","",SUMIFS(Parcelas!$F$5:$F$404,Parcelas!$A$5:$A$404,A322,Parcelas!$I$5:$I$404,"Vencida"))</f>
        <v/>
      </c>
      <c r="H322" s="24">
        <f>IF(A322="","",IF(G322&gt;0,"Em atraso",IF(F322&gt;0,"Em dia","Sem parcela em aberto")))</f>
        <v/>
      </c>
    </row>
    <row r="323">
      <c r="A323" s="33" t="n"/>
      <c r="B323" s="35" t="n"/>
      <c r="C323" s="24">
        <f>IF(A323="","",COUNTIFS(Parcelas!$A$5:$A$404,A323))</f>
        <v/>
      </c>
      <c r="D323" s="25">
        <f>IF(A323="","",SUMIFS(Parcelas!$F$5:$F$404,Parcelas!$A$5:$A$404,A323))</f>
        <v/>
      </c>
      <c r="E323" s="25">
        <f>IF(A323="","",SUMIFS(Parcelas!$F$5:$F$404,Parcelas!$A$5:$A$404,A323,Parcelas!$I$5:$I$404,"Paga"))</f>
        <v/>
      </c>
      <c r="F323" s="25">
        <f>IF(A323="","",D323-E323)</f>
        <v/>
      </c>
      <c r="G323" s="25">
        <f>IF(A323="","",SUMIFS(Parcelas!$F$5:$F$404,Parcelas!$A$5:$A$404,A323,Parcelas!$I$5:$I$404,"Vencida"))</f>
        <v/>
      </c>
      <c r="H323" s="24">
        <f>IF(A323="","",IF(G323&gt;0,"Em atraso",IF(F323&gt;0,"Em dia","Sem parcela em aberto")))</f>
        <v/>
      </c>
    </row>
    <row r="324">
      <c r="A324" s="33" t="n"/>
      <c r="B324" s="35" t="n"/>
      <c r="C324" s="24">
        <f>IF(A324="","",COUNTIFS(Parcelas!$A$5:$A$404,A324))</f>
        <v/>
      </c>
      <c r="D324" s="25">
        <f>IF(A324="","",SUMIFS(Parcelas!$F$5:$F$404,Parcelas!$A$5:$A$404,A324))</f>
        <v/>
      </c>
      <c r="E324" s="25">
        <f>IF(A324="","",SUMIFS(Parcelas!$F$5:$F$404,Parcelas!$A$5:$A$404,A324,Parcelas!$I$5:$I$404,"Paga"))</f>
        <v/>
      </c>
      <c r="F324" s="25">
        <f>IF(A324="","",D324-E324)</f>
        <v/>
      </c>
      <c r="G324" s="25">
        <f>IF(A324="","",SUMIFS(Parcelas!$F$5:$F$404,Parcelas!$A$5:$A$404,A324,Parcelas!$I$5:$I$404,"Vencida"))</f>
        <v/>
      </c>
      <c r="H324" s="24">
        <f>IF(A324="","",IF(G324&gt;0,"Em atraso",IF(F324&gt;0,"Em dia","Sem parcela em aberto")))</f>
        <v/>
      </c>
    </row>
    <row r="325">
      <c r="A325" s="33" t="n"/>
      <c r="B325" s="35" t="n"/>
      <c r="C325" s="24">
        <f>IF(A325="","",COUNTIFS(Parcelas!$A$5:$A$404,A325))</f>
        <v/>
      </c>
      <c r="D325" s="25">
        <f>IF(A325="","",SUMIFS(Parcelas!$F$5:$F$404,Parcelas!$A$5:$A$404,A325))</f>
        <v/>
      </c>
      <c r="E325" s="25">
        <f>IF(A325="","",SUMIFS(Parcelas!$F$5:$F$404,Parcelas!$A$5:$A$404,A325,Parcelas!$I$5:$I$404,"Paga"))</f>
        <v/>
      </c>
      <c r="F325" s="25">
        <f>IF(A325="","",D325-E325)</f>
        <v/>
      </c>
      <c r="G325" s="25">
        <f>IF(A325="","",SUMIFS(Parcelas!$F$5:$F$404,Parcelas!$A$5:$A$404,A325,Parcelas!$I$5:$I$404,"Vencida"))</f>
        <v/>
      </c>
      <c r="H325" s="24">
        <f>IF(A325="","",IF(G325&gt;0,"Em atraso",IF(F325&gt;0,"Em dia","Sem parcela em aberto")))</f>
        <v/>
      </c>
    </row>
    <row r="326">
      <c r="A326" s="33" t="n"/>
      <c r="B326" s="35" t="n"/>
      <c r="C326" s="24">
        <f>IF(A326="","",COUNTIFS(Parcelas!$A$5:$A$404,A326))</f>
        <v/>
      </c>
      <c r="D326" s="25">
        <f>IF(A326="","",SUMIFS(Parcelas!$F$5:$F$404,Parcelas!$A$5:$A$404,A326))</f>
        <v/>
      </c>
      <c r="E326" s="25">
        <f>IF(A326="","",SUMIFS(Parcelas!$F$5:$F$404,Parcelas!$A$5:$A$404,A326,Parcelas!$I$5:$I$404,"Paga"))</f>
        <v/>
      </c>
      <c r="F326" s="25">
        <f>IF(A326="","",D326-E326)</f>
        <v/>
      </c>
      <c r="G326" s="25">
        <f>IF(A326="","",SUMIFS(Parcelas!$F$5:$F$404,Parcelas!$A$5:$A$404,A326,Parcelas!$I$5:$I$404,"Vencida"))</f>
        <v/>
      </c>
      <c r="H326" s="24">
        <f>IF(A326="","",IF(G326&gt;0,"Em atraso",IF(F326&gt;0,"Em dia","Sem parcela em aberto")))</f>
        <v/>
      </c>
    </row>
    <row r="327">
      <c r="A327" s="33" t="n"/>
      <c r="B327" s="35" t="n"/>
      <c r="C327" s="24">
        <f>IF(A327="","",COUNTIFS(Parcelas!$A$5:$A$404,A327))</f>
        <v/>
      </c>
      <c r="D327" s="25">
        <f>IF(A327="","",SUMIFS(Parcelas!$F$5:$F$404,Parcelas!$A$5:$A$404,A327))</f>
        <v/>
      </c>
      <c r="E327" s="25">
        <f>IF(A327="","",SUMIFS(Parcelas!$F$5:$F$404,Parcelas!$A$5:$A$404,A327,Parcelas!$I$5:$I$404,"Paga"))</f>
        <v/>
      </c>
      <c r="F327" s="25">
        <f>IF(A327="","",D327-E327)</f>
        <v/>
      </c>
      <c r="G327" s="25">
        <f>IF(A327="","",SUMIFS(Parcelas!$F$5:$F$404,Parcelas!$A$5:$A$404,A327,Parcelas!$I$5:$I$404,"Vencida"))</f>
        <v/>
      </c>
      <c r="H327" s="24">
        <f>IF(A327="","",IF(G327&gt;0,"Em atraso",IF(F327&gt;0,"Em dia","Sem parcela em aberto")))</f>
        <v/>
      </c>
    </row>
    <row r="328">
      <c r="A328" s="33" t="n"/>
      <c r="B328" s="35" t="n"/>
      <c r="C328" s="24">
        <f>IF(A328="","",COUNTIFS(Parcelas!$A$5:$A$404,A328))</f>
        <v/>
      </c>
      <c r="D328" s="25">
        <f>IF(A328="","",SUMIFS(Parcelas!$F$5:$F$404,Parcelas!$A$5:$A$404,A328))</f>
        <v/>
      </c>
      <c r="E328" s="25">
        <f>IF(A328="","",SUMIFS(Parcelas!$F$5:$F$404,Parcelas!$A$5:$A$404,A328,Parcelas!$I$5:$I$404,"Paga"))</f>
        <v/>
      </c>
      <c r="F328" s="25">
        <f>IF(A328="","",D328-E328)</f>
        <v/>
      </c>
      <c r="G328" s="25">
        <f>IF(A328="","",SUMIFS(Parcelas!$F$5:$F$404,Parcelas!$A$5:$A$404,A328,Parcelas!$I$5:$I$404,"Vencida"))</f>
        <v/>
      </c>
      <c r="H328" s="24">
        <f>IF(A328="","",IF(G328&gt;0,"Em atraso",IF(F328&gt;0,"Em dia","Sem parcela em aberto")))</f>
        <v/>
      </c>
    </row>
    <row r="329">
      <c r="A329" s="33" t="n"/>
      <c r="B329" s="35" t="n"/>
      <c r="C329" s="24">
        <f>IF(A329="","",COUNTIFS(Parcelas!$A$5:$A$404,A329))</f>
        <v/>
      </c>
      <c r="D329" s="25">
        <f>IF(A329="","",SUMIFS(Parcelas!$F$5:$F$404,Parcelas!$A$5:$A$404,A329))</f>
        <v/>
      </c>
      <c r="E329" s="25">
        <f>IF(A329="","",SUMIFS(Parcelas!$F$5:$F$404,Parcelas!$A$5:$A$404,A329,Parcelas!$I$5:$I$404,"Paga"))</f>
        <v/>
      </c>
      <c r="F329" s="25">
        <f>IF(A329="","",D329-E329)</f>
        <v/>
      </c>
      <c r="G329" s="25">
        <f>IF(A329="","",SUMIFS(Parcelas!$F$5:$F$404,Parcelas!$A$5:$A$404,A329,Parcelas!$I$5:$I$404,"Vencida"))</f>
        <v/>
      </c>
      <c r="H329" s="24">
        <f>IF(A329="","",IF(G329&gt;0,"Em atraso",IF(F329&gt;0,"Em dia","Sem parcela em aberto")))</f>
        <v/>
      </c>
    </row>
    <row r="330">
      <c r="A330" s="33" t="n"/>
      <c r="B330" s="35" t="n"/>
      <c r="C330" s="24">
        <f>IF(A330="","",COUNTIFS(Parcelas!$A$5:$A$404,A330))</f>
        <v/>
      </c>
      <c r="D330" s="25">
        <f>IF(A330="","",SUMIFS(Parcelas!$F$5:$F$404,Parcelas!$A$5:$A$404,A330))</f>
        <v/>
      </c>
      <c r="E330" s="25">
        <f>IF(A330="","",SUMIFS(Parcelas!$F$5:$F$404,Parcelas!$A$5:$A$404,A330,Parcelas!$I$5:$I$404,"Paga"))</f>
        <v/>
      </c>
      <c r="F330" s="25">
        <f>IF(A330="","",D330-E330)</f>
        <v/>
      </c>
      <c r="G330" s="25">
        <f>IF(A330="","",SUMIFS(Parcelas!$F$5:$F$404,Parcelas!$A$5:$A$404,A330,Parcelas!$I$5:$I$404,"Vencida"))</f>
        <v/>
      </c>
      <c r="H330" s="24">
        <f>IF(A330="","",IF(G330&gt;0,"Em atraso",IF(F330&gt;0,"Em dia","Sem parcela em aberto")))</f>
        <v/>
      </c>
    </row>
    <row r="331">
      <c r="A331" s="33" t="n"/>
      <c r="B331" s="35" t="n"/>
      <c r="C331" s="24">
        <f>IF(A331="","",COUNTIFS(Parcelas!$A$5:$A$404,A331))</f>
        <v/>
      </c>
      <c r="D331" s="25">
        <f>IF(A331="","",SUMIFS(Parcelas!$F$5:$F$404,Parcelas!$A$5:$A$404,A331))</f>
        <v/>
      </c>
      <c r="E331" s="25">
        <f>IF(A331="","",SUMIFS(Parcelas!$F$5:$F$404,Parcelas!$A$5:$A$404,A331,Parcelas!$I$5:$I$404,"Paga"))</f>
        <v/>
      </c>
      <c r="F331" s="25">
        <f>IF(A331="","",D331-E331)</f>
        <v/>
      </c>
      <c r="G331" s="25">
        <f>IF(A331="","",SUMIFS(Parcelas!$F$5:$F$404,Parcelas!$A$5:$A$404,A331,Parcelas!$I$5:$I$404,"Vencida"))</f>
        <v/>
      </c>
      <c r="H331" s="24">
        <f>IF(A331="","",IF(G331&gt;0,"Em atraso",IF(F331&gt;0,"Em dia","Sem parcela em aberto")))</f>
        <v/>
      </c>
    </row>
    <row r="332">
      <c r="A332" s="33" t="n"/>
      <c r="B332" s="35" t="n"/>
      <c r="C332" s="24">
        <f>IF(A332="","",COUNTIFS(Parcelas!$A$5:$A$404,A332))</f>
        <v/>
      </c>
      <c r="D332" s="25">
        <f>IF(A332="","",SUMIFS(Parcelas!$F$5:$F$404,Parcelas!$A$5:$A$404,A332))</f>
        <v/>
      </c>
      <c r="E332" s="25">
        <f>IF(A332="","",SUMIFS(Parcelas!$F$5:$F$404,Parcelas!$A$5:$A$404,A332,Parcelas!$I$5:$I$404,"Paga"))</f>
        <v/>
      </c>
      <c r="F332" s="25">
        <f>IF(A332="","",D332-E332)</f>
        <v/>
      </c>
      <c r="G332" s="25">
        <f>IF(A332="","",SUMIFS(Parcelas!$F$5:$F$404,Parcelas!$A$5:$A$404,A332,Parcelas!$I$5:$I$404,"Vencida"))</f>
        <v/>
      </c>
      <c r="H332" s="24">
        <f>IF(A332="","",IF(G332&gt;0,"Em atraso",IF(F332&gt;0,"Em dia","Sem parcela em aberto")))</f>
        <v/>
      </c>
    </row>
    <row r="333">
      <c r="A333" s="33" t="n"/>
      <c r="B333" s="35" t="n"/>
      <c r="C333" s="24">
        <f>IF(A333="","",COUNTIFS(Parcelas!$A$5:$A$404,A333))</f>
        <v/>
      </c>
      <c r="D333" s="25">
        <f>IF(A333="","",SUMIFS(Parcelas!$F$5:$F$404,Parcelas!$A$5:$A$404,A333))</f>
        <v/>
      </c>
      <c r="E333" s="25">
        <f>IF(A333="","",SUMIFS(Parcelas!$F$5:$F$404,Parcelas!$A$5:$A$404,A333,Parcelas!$I$5:$I$404,"Paga"))</f>
        <v/>
      </c>
      <c r="F333" s="25">
        <f>IF(A333="","",D333-E333)</f>
        <v/>
      </c>
      <c r="G333" s="25">
        <f>IF(A333="","",SUMIFS(Parcelas!$F$5:$F$404,Parcelas!$A$5:$A$404,A333,Parcelas!$I$5:$I$404,"Vencida"))</f>
        <v/>
      </c>
      <c r="H333" s="24">
        <f>IF(A333="","",IF(G333&gt;0,"Em atraso",IF(F333&gt;0,"Em dia","Sem parcela em aberto")))</f>
        <v/>
      </c>
    </row>
    <row r="334">
      <c r="A334" s="33" t="n"/>
      <c r="B334" s="35" t="n"/>
      <c r="C334" s="24">
        <f>IF(A334="","",COUNTIFS(Parcelas!$A$5:$A$404,A334))</f>
        <v/>
      </c>
      <c r="D334" s="25">
        <f>IF(A334="","",SUMIFS(Parcelas!$F$5:$F$404,Parcelas!$A$5:$A$404,A334))</f>
        <v/>
      </c>
      <c r="E334" s="25">
        <f>IF(A334="","",SUMIFS(Parcelas!$F$5:$F$404,Parcelas!$A$5:$A$404,A334,Parcelas!$I$5:$I$404,"Paga"))</f>
        <v/>
      </c>
      <c r="F334" s="25">
        <f>IF(A334="","",D334-E334)</f>
        <v/>
      </c>
      <c r="G334" s="25">
        <f>IF(A334="","",SUMIFS(Parcelas!$F$5:$F$404,Parcelas!$A$5:$A$404,A334,Parcelas!$I$5:$I$404,"Vencida"))</f>
        <v/>
      </c>
      <c r="H334" s="24">
        <f>IF(A334="","",IF(G334&gt;0,"Em atraso",IF(F334&gt;0,"Em dia","Sem parcela em aberto")))</f>
        <v/>
      </c>
    </row>
    <row r="335">
      <c r="A335" s="33" t="n"/>
      <c r="B335" s="35" t="n"/>
      <c r="C335" s="24">
        <f>IF(A335="","",COUNTIFS(Parcelas!$A$5:$A$404,A335))</f>
        <v/>
      </c>
      <c r="D335" s="25">
        <f>IF(A335="","",SUMIFS(Parcelas!$F$5:$F$404,Parcelas!$A$5:$A$404,A335))</f>
        <v/>
      </c>
      <c r="E335" s="25">
        <f>IF(A335="","",SUMIFS(Parcelas!$F$5:$F$404,Parcelas!$A$5:$A$404,A335,Parcelas!$I$5:$I$404,"Paga"))</f>
        <v/>
      </c>
      <c r="F335" s="25">
        <f>IF(A335="","",D335-E335)</f>
        <v/>
      </c>
      <c r="G335" s="25">
        <f>IF(A335="","",SUMIFS(Parcelas!$F$5:$F$404,Parcelas!$A$5:$A$404,A335,Parcelas!$I$5:$I$404,"Vencida"))</f>
        <v/>
      </c>
      <c r="H335" s="24">
        <f>IF(A335="","",IF(G335&gt;0,"Em atraso",IF(F335&gt;0,"Em dia","Sem parcela em aberto")))</f>
        <v/>
      </c>
    </row>
    <row r="336">
      <c r="A336" s="33" t="n"/>
      <c r="B336" s="35" t="n"/>
      <c r="C336" s="24">
        <f>IF(A336="","",COUNTIFS(Parcelas!$A$5:$A$404,A336))</f>
        <v/>
      </c>
      <c r="D336" s="25">
        <f>IF(A336="","",SUMIFS(Parcelas!$F$5:$F$404,Parcelas!$A$5:$A$404,A336))</f>
        <v/>
      </c>
      <c r="E336" s="25">
        <f>IF(A336="","",SUMIFS(Parcelas!$F$5:$F$404,Parcelas!$A$5:$A$404,A336,Parcelas!$I$5:$I$404,"Paga"))</f>
        <v/>
      </c>
      <c r="F336" s="25">
        <f>IF(A336="","",D336-E336)</f>
        <v/>
      </c>
      <c r="G336" s="25">
        <f>IF(A336="","",SUMIFS(Parcelas!$F$5:$F$404,Parcelas!$A$5:$A$404,A336,Parcelas!$I$5:$I$404,"Vencida"))</f>
        <v/>
      </c>
      <c r="H336" s="24">
        <f>IF(A336="","",IF(G336&gt;0,"Em atraso",IF(F336&gt;0,"Em dia","Sem parcela em aberto")))</f>
        <v/>
      </c>
    </row>
    <row r="337">
      <c r="A337" s="33" t="n"/>
      <c r="B337" s="35" t="n"/>
      <c r="C337" s="24">
        <f>IF(A337="","",COUNTIFS(Parcelas!$A$5:$A$404,A337))</f>
        <v/>
      </c>
      <c r="D337" s="25">
        <f>IF(A337="","",SUMIFS(Parcelas!$F$5:$F$404,Parcelas!$A$5:$A$404,A337))</f>
        <v/>
      </c>
      <c r="E337" s="25">
        <f>IF(A337="","",SUMIFS(Parcelas!$F$5:$F$404,Parcelas!$A$5:$A$404,A337,Parcelas!$I$5:$I$404,"Paga"))</f>
        <v/>
      </c>
      <c r="F337" s="25">
        <f>IF(A337="","",D337-E337)</f>
        <v/>
      </c>
      <c r="G337" s="25">
        <f>IF(A337="","",SUMIFS(Parcelas!$F$5:$F$404,Parcelas!$A$5:$A$404,A337,Parcelas!$I$5:$I$404,"Vencida"))</f>
        <v/>
      </c>
      <c r="H337" s="24">
        <f>IF(A337="","",IF(G337&gt;0,"Em atraso",IF(F337&gt;0,"Em dia","Sem parcela em aberto")))</f>
        <v/>
      </c>
    </row>
    <row r="338">
      <c r="A338" s="33" t="n"/>
      <c r="B338" s="35" t="n"/>
      <c r="C338" s="24">
        <f>IF(A338="","",COUNTIFS(Parcelas!$A$5:$A$404,A338))</f>
        <v/>
      </c>
      <c r="D338" s="25">
        <f>IF(A338="","",SUMIFS(Parcelas!$F$5:$F$404,Parcelas!$A$5:$A$404,A338))</f>
        <v/>
      </c>
      <c r="E338" s="25">
        <f>IF(A338="","",SUMIFS(Parcelas!$F$5:$F$404,Parcelas!$A$5:$A$404,A338,Parcelas!$I$5:$I$404,"Paga"))</f>
        <v/>
      </c>
      <c r="F338" s="25">
        <f>IF(A338="","",D338-E338)</f>
        <v/>
      </c>
      <c r="G338" s="25">
        <f>IF(A338="","",SUMIFS(Parcelas!$F$5:$F$404,Parcelas!$A$5:$A$404,A338,Parcelas!$I$5:$I$404,"Vencida"))</f>
        <v/>
      </c>
      <c r="H338" s="24">
        <f>IF(A338="","",IF(G338&gt;0,"Em atraso",IF(F338&gt;0,"Em dia","Sem parcela em aberto")))</f>
        <v/>
      </c>
    </row>
    <row r="339">
      <c r="A339" s="33" t="n"/>
      <c r="B339" s="35" t="n"/>
      <c r="C339" s="24">
        <f>IF(A339="","",COUNTIFS(Parcelas!$A$5:$A$404,A339))</f>
        <v/>
      </c>
      <c r="D339" s="25">
        <f>IF(A339="","",SUMIFS(Parcelas!$F$5:$F$404,Parcelas!$A$5:$A$404,A339))</f>
        <v/>
      </c>
      <c r="E339" s="25">
        <f>IF(A339="","",SUMIFS(Parcelas!$F$5:$F$404,Parcelas!$A$5:$A$404,A339,Parcelas!$I$5:$I$404,"Paga"))</f>
        <v/>
      </c>
      <c r="F339" s="25">
        <f>IF(A339="","",D339-E339)</f>
        <v/>
      </c>
      <c r="G339" s="25">
        <f>IF(A339="","",SUMIFS(Parcelas!$F$5:$F$404,Parcelas!$A$5:$A$404,A339,Parcelas!$I$5:$I$404,"Vencida"))</f>
        <v/>
      </c>
      <c r="H339" s="24">
        <f>IF(A339="","",IF(G339&gt;0,"Em atraso",IF(F339&gt;0,"Em dia","Sem parcela em aberto")))</f>
        <v/>
      </c>
    </row>
    <row r="340">
      <c r="A340" s="33" t="n"/>
      <c r="B340" s="35" t="n"/>
      <c r="C340" s="24">
        <f>IF(A340="","",COUNTIFS(Parcelas!$A$5:$A$404,A340))</f>
        <v/>
      </c>
      <c r="D340" s="25">
        <f>IF(A340="","",SUMIFS(Parcelas!$F$5:$F$404,Parcelas!$A$5:$A$404,A340))</f>
        <v/>
      </c>
      <c r="E340" s="25">
        <f>IF(A340="","",SUMIFS(Parcelas!$F$5:$F$404,Parcelas!$A$5:$A$404,A340,Parcelas!$I$5:$I$404,"Paga"))</f>
        <v/>
      </c>
      <c r="F340" s="25">
        <f>IF(A340="","",D340-E340)</f>
        <v/>
      </c>
      <c r="G340" s="25">
        <f>IF(A340="","",SUMIFS(Parcelas!$F$5:$F$404,Parcelas!$A$5:$A$404,A340,Parcelas!$I$5:$I$404,"Vencida"))</f>
        <v/>
      </c>
      <c r="H340" s="24">
        <f>IF(A340="","",IF(G340&gt;0,"Em atraso",IF(F340&gt;0,"Em dia","Sem parcela em aberto")))</f>
        <v/>
      </c>
    </row>
    <row r="341">
      <c r="A341" s="33" t="n"/>
      <c r="B341" s="35" t="n"/>
      <c r="C341" s="24">
        <f>IF(A341="","",COUNTIFS(Parcelas!$A$5:$A$404,A341))</f>
        <v/>
      </c>
      <c r="D341" s="25">
        <f>IF(A341="","",SUMIFS(Parcelas!$F$5:$F$404,Parcelas!$A$5:$A$404,A341))</f>
        <v/>
      </c>
      <c r="E341" s="25">
        <f>IF(A341="","",SUMIFS(Parcelas!$F$5:$F$404,Parcelas!$A$5:$A$404,A341,Parcelas!$I$5:$I$404,"Paga"))</f>
        <v/>
      </c>
      <c r="F341" s="25">
        <f>IF(A341="","",D341-E341)</f>
        <v/>
      </c>
      <c r="G341" s="25">
        <f>IF(A341="","",SUMIFS(Parcelas!$F$5:$F$404,Parcelas!$A$5:$A$404,A341,Parcelas!$I$5:$I$404,"Vencida"))</f>
        <v/>
      </c>
      <c r="H341" s="24">
        <f>IF(A341="","",IF(G341&gt;0,"Em atraso",IF(F341&gt;0,"Em dia","Sem parcela em aberto")))</f>
        <v/>
      </c>
    </row>
    <row r="342">
      <c r="A342" s="33" t="n"/>
      <c r="B342" s="35" t="n"/>
      <c r="C342" s="24">
        <f>IF(A342="","",COUNTIFS(Parcelas!$A$5:$A$404,A342))</f>
        <v/>
      </c>
      <c r="D342" s="25">
        <f>IF(A342="","",SUMIFS(Parcelas!$F$5:$F$404,Parcelas!$A$5:$A$404,A342))</f>
        <v/>
      </c>
      <c r="E342" s="25">
        <f>IF(A342="","",SUMIFS(Parcelas!$F$5:$F$404,Parcelas!$A$5:$A$404,A342,Parcelas!$I$5:$I$404,"Paga"))</f>
        <v/>
      </c>
      <c r="F342" s="25">
        <f>IF(A342="","",D342-E342)</f>
        <v/>
      </c>
      <c r="G342" s="25">
        <f>IF(A342="","",SUMIFS(Parcelas!$F$5:$F$404,Parcelas!$A$5:$A$404,A342,Parcelas!$I$5:$I$404,"Vencida"))</f>
        <v/>
      </c>
      <c r="H342" s="24">
        <f>IF(A342="","",IF(G342&gt;0,"Em atraso",IF(F342&gt;0,"Em dia","Sem parcela em aberto")))</f>
        <v/>
      </c>
    </row>
    <row r="343">
      <c r="A343" s="33" t="n"/>
      <c r="B343" s="35" t="n"/>
      <c r="C343" s="24">
        <f>IF(A343="","",COUNTIFS(Parcelas!$A$5:$A$404,A343))</f>
        <v/>
      </c>
      <c r="D343" s="25">
        <f>IF(A343="","",SUMIFS(Parcelas!$F$5:$F$404,Parcelas!$A$5:$A$404,A343))</f>
        <v/>
      </c>
      <c r="E343" s="25">
        <f>IF(A343="","",SUMIFS(Parcelas!$F$5:$F$404,Parcelas!$A$5:$A$404,A343,Parcelas!$I$5:$I$404,"Paga"))</f>
        <v/>
      </c>
      <c r="F343" s="25">
        <f>IF(A343="","",D343-E343)</f>
        <v/>
      </c>
      <c r="G343" s="25">
        <f>IF(A343="","",SUMIFS(Parcelas!$F$5:$F$404,Parcelas!$A$5:$A$404,A343,Parcelas!$I$5:$I$404,"Vencida"))</f>
        <v/>
      </c>
      <c r="H343" s="24">
        <f>IF(A343="","",IF(G343&gt;0,"Em atraso",IF(F343&gt;0,"Em dia","Sem parcela em aberto")))</f>
        <v/>
      </c>
    </row>
    <row r="344">
      <c r="A344" s="33" t="n"/>
      <c r="B344" s="35" t="n"/>
      <c r="C344" s="24">
        <f>IF(A344="","",COUNTIFS(Parcelas!$A$5:$A$404,A344))</f>
        <v/>
      </c>
      <c r="D344" s="25">
        <f>IF(A344="","",SUMIFS(Parcelas!$F$5:$F$404,Parcelas!$A$5:$A$404,A344))</f>
        <v/>
      </c>
      <c r="E344" s="25">
        <f>IF(A344="","",SUMIFS(Parcelas!$F$5:$F$404,Parcelas!$A$5:$A$404,A344,Parcelas!$I$5:$I$404,"Paga"))</f>
        <v/>
      </c>
      <c r="F344" s="25">
        <f>IF(A344="","",D344-E344)</f>
        <v/>
      </c>
      <c r="G344" s="25">
        <f>IF(A344="","",SUMIFS(Parcelas!$F$5:$F$404,Parcelas!$A$5:$A$404,A344,Parcelas!$I$5:$I$404,"Vencida"))</f>
        <v/>
      </c>
      <c r="H344" s="24">
        <f>IF(A344="","",IF(G344&gt;0,"Em atraso",IF(F344&gt;0,"Em dia","Sem parcela em aberto")))</f>
        <v/>
      </c>
    </row>
    <row r="345">
      <c r="A345" s="33" t="n"/>
      <c r="B345" s="35" t="n"/>
      <c r="C345" s="24">
        <f>IF(A345="","",COUNTIFS(Parcelas!$A$5:$A$404,A345))</f>
        <v/>
      </c>
      <c r="D345" s="25">
        <f>IF(A345="","",SUMIFS(Parcelas!$F$5:$F$404,Parcelas!$A$5:$A$404,A345))</f>
        <v/>
      </c>
      <c r="E345" s="25">
        <f>IF(A345="","",SUMIFS(Parcelas!$F$5:$F$404,Parcelas!$A$5:$A$404,A345,Parcelas!$I$5:$I$404,"Paga"))</f>
        <v/>
      </c>
      <c r="F345" s="25">
        <f>IF(A345="","",D345-E345)</f>
        <v/>
      </c>
      <c r="G345" s="25">
        <f>IF(A345="","",SUMIFS(Parcelas!$F$5:$F$404,Parcelas!$A$5:$A$404,A345,Parcelas!$I$5:$I$404,"Vencida"))</f>
        <v/>
      </c>
      <c r="H345" s="24">
        <f>IF(A345="","",IF(G345&gt;0,"Em atraso",IF(F345&gt;0,"Em dia","Sem parcela em aberto")))</f>
        <v/>
      </c>
    </row>
    <row r="346">
      <c r="A346" s="33" t="n"/>
      <c r="B346" s="35" t="n"/>
      <c r="C346" s="24">
        <f>IF(A346="","",COUNTIFS(Parcelas!$A$5:$A$404,A346))</f>
        <v/>
      </c>
      <c r="D346" s="25">
        <f>IF(A346="","",SUMIFS(Parcelas!$F$5:$F$404,Parcelas!$A$5:$A$404,A346))</f>
        <v/>
      </c>
      <c r="E346" s="25">
        <f>IF(A346="","",SUMIFS(Parcelas!$F$5:$F$404,Parcelas!$A$5:$A$404,A346,Parcelas!$I$5:$I$404,"Paga"))</f>
        <v/>
      </c>
      <c r="F346" s="25">
        <f>IF(A346="","",D346-E346)</f>
        <v/>
      </c>
      <c r="G346" s="25">
        <f>IF(A346="","",SUMIFS(Parcelas!$F$5:$F$404,Parcelas!$A$5:$A$404,A346,Parcelas!$I$5:$I$404,"Vencida"))</f>
        <v/>
      </c>
      <c r="H346" s="24">
        <f>IF(A346="","",IF(G346&gt;0,"Em atraso",IF(F346&gt;0,"Em dia","Sem parcela em aberto")))</f>
        <v/>
      </c>
    </row>
    <row r="347">
      <c r="A347" s="33" t="n"/>
      <c r="B347" s="35" t="n"/>
      <c r="C347" s="24">
        <f>IF(A347="","",COUNTIFS(Parcelas!$A$5:$A$404,A347))</f>
        <v/>
      </c>
      <c r="D347" s="25">
        <f>IF(A347="","",SUMIFS(Parcelas!$F$5:$F$404,Parcelas!$A$5:$A$404,A347))</f>
        <v/>
      </c>
      <c r="E347" s="25">
        <f>IF(A347="","",SUMIFS(Parcelas!$F$5:$F$404,Parcelas!$A$5:$A$404,A347,Parcelas!$I$5:$I$404,"Paga"))</f>
        <v/>
      </c>
      <c r="F347" s="25">
        <f>IF(A347="","",D347-E347)</f>
        <v/>
      </c>
      <c r="G347" s="25">
        <f>IF(A347="","",SUMIFS(Parcelas!$F$5:$F$404,Parcelas!$A$5:$A$404,A347,Parcelas!$I$5:$I$404,"Vencida"))</f>
        <v/>
      </c>
      <c r="H347" s="24">
        <f>IF(A347="","",IF(G347&gt;0,"Em atraso",IF(F347&gt;0,"Em dia","Sem parcela em aberto")))</f>
        <v/>
      </c>
    </row>
    <row r="348">
      <c r="A348" s="33" t="n"/>
      <c r="B348" s="35" t="n"/>
      <c r="C348" s="24">
        <f>IF(A348="","",COUNTIFS(Parcelas!$A$5:$A$404,A348))</f>
        <v/>
      </c>
      <c r="D348" s="25">
        <f>IF(A348="","",SUMIFS(Parcelas!$F$5:$F$404,Parcelas!$A$5:$A$404,A348))</f>
        <v/>
      </c>
      <c r="E348" s="25">
        <f>IF(A348="","",SUMIFS(Parcelas!$F$5:$F$404,Parcelas!$A$5:$A$404,A348,Parcelas!$I$5:$I$404,"Paga"))</f>
        <v/>
      </c>
      <c r="F348" s="25">
        <f>IF(A348="","",D348-E348)</f>
        <v/>
      </c>
      <c r="G348" s="25">
        <f>IF(A348="","",SUMIFS(Parcelas!$F$5:$F$404,Parcelas!$A$5:$A$404,A348,Parcelas!$I$5:$I$404,"Vencida"))</f>
        <v/>
      </c>
      <c r="H348" s="24">
        <f>IF(A348="","",IF(G348&gt;0,"Em atraso",IF(F348&gt;0,"Em dia","Sem parcela em aberto")))</f>
        <v/>
      </c>
    </row>
    <row r="349">
      <c r="A349" s="33" t="n"/>
      <c r="B349" s="35" t="n"/>
      <c r="C349" s="24">
        <f>IF(A349="","",COUNTIFS(Parcelas!$A$5:$A$404,A349))</f>
        <v/>
      </c>
      <c r="D349" s="25">
        <f>IF(A349="","",SUMIFS(Parcelas!$F$5:$F$404,Parcelas!$A$5:$A$404,A349))</f>
        <v/>
      </c>
      <c r="E349" s="25">
        <f>IF(A349="","",SUMIFS(Parcelas!$F$5:$F$404,Parcelas!$A$5:$A$404,A349,Parcelas!$I$5:$I$404,"Paga"))</f>
        <v/>
      </c>
      <c r="F349" s="25">
        <f>IF(A349="","",D349-E349)</f>
        <v/>
      </c>
      <c r="G349" s="25">
        <f>IF(A349="","",SUMIFS(Parcelas!$F$5:$F$404,Parcelas!$A$5:$A$404,A349,Parcelas!$I$5:$I$404,"Vencida"))</f>
        <v/>
      </c>
      <c r="H349" s="24">
        <f>IF(A349="","",IF(G349&gt;0,"Em atraso",IF(F349&gt;0,"Em dia","Sem parcela em aberto")))</f>
        <v/>
      </c>
    </row>
    <row r="350">
      <c r="A350" s="33" t="n"/>
      <c r="B350" s="35" t="n"/>
      <c r="C350" s="24">
        <f>IF(A350="","",COUNTIFS(Parcelas!$A$5:$A$404,A350))</f>
        <v/>
      </c>
      <c r="D350" s="25">
        <f>IF(A350="","",SUMIFS(Parcelas!$F$5:$F$404,Parcelas!$A$5:$A$404,A350))</f>
        <v/>
      </c>
      <c r="E350" s="25">
        <f>IF(A350="","",SUMIFS(Parcelas!$F$5:$F$404,Parcelas!$A$5:$A$404,A350,Parcelas!$I$5:$I$404,"Paga"))</f>
        <v/>
      </c>
      <c r="F350" s="25">
        <f>IF(A350="","",D350-E350)</f>
        <v/>
      </c>
      <c r="G350" s="25">
        <f>IF(A350="","",SUMIFS(Parcelas!$F$5:$F$404,Parcelas!$A$5:$A$404,A350,Parcelas!$I$5:$I$404,"Vencida"))</f>
        <v/>
      </c>
      <c r="H350" s="24">
        <f>IF(A350="","",IF(G350&gt;0,"Em atraso",IF(F350&gt;0,"Em dia","Sem parcela em aberto")))</f>
        <v/>
      </c>
    </row>
    <row r="351">
      <c r="A351" s="33" t="n"/>
      <c r="B351" s="35" t="n"/>
      <c r="C351" s="24">
        <f>IF(A351="","",COUNTIFS(Parcelas!$A$5:$A$404,A351))</f>
        <v/>
      </c>
      <c r="D351" s="25">
        <f>IF(A351="","",SUMIFS(Parcelas!$F$5:$F$404,Parcelas!$A$5:$A$404,A351))</f>
        <v/>
      </c>
      <c r="E351" s="25">
        <f>IF(A351="","",SUMIFS(Parcelas!$F$5:$F$404,Parcelas!$A$5:$A$404,A351,Parcelas!$I$5:$I$404,"Paga"))</f>
        <v/>
      </c>
      <c r="F351" s="25">
        <f>IF(A351="","",D351-E351)</f>
        <v/>
      </c>
      <c r="G351" s="25">
        <f>IF(A351="","",SUMIFS(Parcelas!$F$5:$F$404,Parcelas!$A$5:$A$404,A351,Parcelas!$I$5:$I$404,"Vencida"))</f>
        <v/>
      </c>
      <c r="H351" s="24">
        <f>IF(A351="","",IF(G351&gt;0,"Em atraso",IF(F351&gt;0,"Em dia","Sem parcela em aberto")))</f>
        <v/>
      </c>
    </row>
    <row r="352">
      <c r="A352" s="33" t="n"/>
      <c r="B352" s="35" t="n"/>
      <c r="C352" s="24">
        <f>IF(A352="","",COUNTIFS(Parcelas!$A$5:$A$404,A352))</f>
        <v/>
      </c>
      <c r="D352" s="25">
        <f>IF(A352="","",SUMIFS(Parcelas!$F$5:$F$404,Parcelas!$A$5:$A$404,A352))</f>
        <v/>
      </c>
      <c r="E352" s="25">
        <f>IF(A352="","",SUMIFS(Parcelas!$F$5:$F$404,Parcelas!$A$5:$A$404,A352,Parcelas!$I$5:$I$404,"Paga"))</f>
        <v/>
      </c>
      <c r="F352" s="25">
        <f>IF(A352="","",D352-E352)</f>
        <v/>
      </c>
      <c r="G352" s="25">
        <f>IF(A352="","",SUMIFS(Parcelas!$F$5:$F$404,Parcelas!$A$5:$A$404,A352,Parcelas!$I$5:$I$404,"Vencida"))</f>
        <v/>
      </c>
      <c r="H352" s="24">
        <f>IF(A352="","",IF(G352&gt;0,"Em atraso",IF(F352&gt;0,"Em dia","Sem parcela em aberto")))</f>
        <v/>
      </c>
    </row>
    <row r="353">
      <c r="A353" s="33" t="n"/>
      <c r="B353" s="35" t="n"/>
      <c r="C353" s="24">
        <f>IF(A353="","",COUNTIFS(Parcelas!$A$5:$A$404,A353))</f>
        <v/>
      </c>
      <c r="D353" s="25">
        <f>IF(A353="","",SUMIFS(Parcelas!$F$5:$F$404,Parcelas!$A$5:$A$404,A353))</f>
        <v/>
      </c>
      <c r="E353" s="25">
        <f>IF(A353="","",SUMIFS(Parcelas!$F$5:$F$404,Parcelas!$A$5:$A$404,A353,Parcelas!$I$5:$I$404,"Paga"))</f>
        <v/>
      </c>
      <c r="F353" s="25">
        <f>IF(A353="","",D353-E353)</f>
        <v/>
      </c>
      <c r="G353" s="25">
        <f>IF(A353="","",SUMIFS(Parcelas!$F$5:$F$404,Parcelas!$A$5:$A$404,A353,Parcelas!$I$5:$I$404,"Vencida"))</f>
        <v/>
      </c>
      <c r="H353" s="24">
        <f>IF(A353="","",IF(G353&gt;0,"Em atraso",IF(F353&gt;0,"Em dia","Sem parcela em aberto")))</f>
        <v/>
      </c>
    </row>
    <row r="354">
      <c r="A354" s="33" t="n"/>
      <c r="B354" s="35" t="n"/>
      <c r="C354" s="24">
        <f>IF(A354="","",COUNTIFS(Parcelas!$A$5:$A$404,A354))</f>
        <v/>
      </c>
      <c r="D354" s="25">
        <f>IF(A354="","",SUMIFS(Parcelas!$F$5:$F$404,Parcelas!$A$5:$A$404,A354))</f>
        <v/>
      </c>
      <c r="E354" s="25">
        <f>IF(A354="","",SUMIFS(Parcelas!$F$5:$F$404,Parcelas!$A$5:$A$404,A354,Parcelas!$I$5:$I$404,"Paga"))</f>
        <v/>
      </c>
      <c r="F354" s="25">
        <f>IF(A354="","",D354-E354)</f>
        <v/>
      </c>
      <c r="G354" s="25">
        <f>IF(A354="","",SUMIFS(Parcelas!$F$5:$F$404,Parcelas!$A$5:$A$404,A354,Parcelas!$I$5:$I$404,"Vencida"))</f>
        <v/>
      </c>
      <c r="H354" s="24">
        <f>IF(A354="","",IF(G354&gt;0,"Em atraso",IF(F354&gt;0,"Em dia","Sem parcela em aberto")))</f>
        <v/>
      </c>
    </row>
    <row r="355">
      <c r="A355" s="33" t="n"/>
      <c r="B355" s="35" t="n"/>
      <c r="C355" s="24">
        <f>IF(A355="","",COUNTIFS(Parcelas!$A$5:$A$404,A355))</f>
        <v/>
      </c>
      <c r="D355" s="25">
        <f>IF(A355="","",SUMIFS(Parcelas!$F$5:$F$404,Parcelas!$A$5:$A$404,A355))</f>
        <v/>
      </c>
      <c r="E355" s="25">
        <f>IF(A355="","",SUMIFS(Parcelas!$F$5:$F$404,Parcelas!$A$5:$A$404,A355,Parcelas!$I$5:$I$404,"Paga"))</f>
        <v/>
      </c>
      <c r="F355" s="25">
        <f>IF(A355="","",D355-E355)</f>
        <v/>
      </c>
      <c r="G355" s="25">
        <f>IF(A355="","",SUMIFS(Parcelas!$F$5:$F$404,Parcelas!$A$5:$A$404,A355,Parcelas!$I$5:$I$404,"Vencida"))</f>
        <v/>
      </c>
      <c r="H355" s="24">
        <f>IF(A355="","",IF(G355&gt;0,"Em atraso",IF(F355&gt;0,"Em dia","Sem parcela em aberto")))</f>
        <v/>
      </c>
    </row>
    <row r="356">
      <c r="A356" s="33" t="n"/>
      <c r="B356" s="35" t="n"/>
      <c r="C356" s="24">
        <f>IF(A356="","",COUNTIFS(Parcelas!$A$5:$A$404,A356))</f>
        <v/>
      </c>
      <c r="D356" s="25">
        <f>IF(A356="","",SUMIFS(Parcelas!$F$5:$F$404,Parcelas!$A$5:$A$404,A356))</f>
        <v/>
      </c>
      <c r="E356" s="25">
        <f>IF(A356="","",SUMIFS(Parcelas!$F$5:$F$404,Parcelas!$A$5:$A$404,A356,Parcelas!$I$5:$I$404,"Paga"))</f>
        <v/>
      </c>
      <c r="F356" s="25">
        <f>IF(A356="","",D356-E356)</f>
        <v/>
      </c>
      <c r="G356" s="25">
        <f>IF(A356="","",SUMIFS(Parcelas!$F$5:$F$404,Parcelas!$A$5:$A$404,A356,Parcelas!$I$5:$I$404,"Vencida"))</f>
        <v/>
      </c>
      <c r="H356" s="24">
        <f>IF(A356="","",IF(G356&gt;0,"Em atraso",IF(F356&gt;0,"Em dia","Sem parcela em aberto")))</f>
        <v/>
      </c>
    </row>
    <row r="357">
      <c r="A357" s="33" t="n"/>
      <c r="B357" s="35" t="n"/>
      <c r="C357" s="24">
        <f>IF(A357="","",COUNTIFS(Parcelas!$A$5:$A$404,A357))</f>
        <v/>
      </c>
      <c r="D357" s="25">
        <f>IF(A357="","",SUMIFS(Parcelas!$F$5:$F$404,Parcelas!$A$5:$A$404,A357))</f>
        <v/>
      </c>
      <c r="E357" s="25">
        <f>IF(A357="","",SUMIFS(Parcelas!$F$5:$F$404,Parcelas!$A$5:$A$404,A357,Parcelas!$I$5:$I$404,"Paga"))</f>
        <v/>
      </c>
      <c r="F357" s="25">
        <f>IF(A357="","",D357-E357)</f>
        <v/>
      </c>
      <c r="G357" s="25">
        <f>IF(A357="","",SUMIFS(Parcelas!$F$5:$F$404,Parcelas!$A$5:$A$404,A357,Parcelas!$I$5:$I$404,"Vencida"))</f>
        <v/>
      </c>
      <c r="H357" s="24">
        <f>IF(A357="","",IF(G357&gt;0,"Em atraso",IF(F357&gt;0,"Em dia","Sem parcela em aberto")))</f>
        <v/>
      </c>
    </row>
    <row r="358">
      <c r="A358" s="33" t="n"/>
      <c r="B358" s="35" t="n"/>
      <c r="C358" s="24">
        <f>IF(A358="","",COUNTIFS(Parcelas!$A$5:$A$404,A358))</f>
        <v/>
      </c>
      <c r="D358" s="25">
        <f>IF(A358="","",SUMIFS(Parcelas!$F$5:$F$404,Parcelas!$A$5:$A$404,A358))</f>
        <v/>
      </c>
      <c r="E358" s="25">
        <f>IF(A358="","",SUMIFS(Parcelas!$F$5:$F$404,Parcelas!$A$5:$A$404,A358,Parcelas!$I$5:$I$404,"Paga"))</f>
        <v/>
      </c>
      <c r="F358" s="25">
        <f>IF(A358="","",D358-E358)</f>
        <v/>
      </c>
      <c r="G358" s="25">
        <f>IF(A358="","",SUMIFS(Parcelas!$F$5:$F$404,Parcelas!$A$5:$A$404,A358,Parcelas!$I$5:$I$404,"Vencida"))</f>
        <v/>
      </c>
      <c r="H358" s="24">
        <f>IF(A358="","",IF(G358&gt;0,"Em atraso",IF(F358&gt;0,"Em dia","Sem parcela em aberto")))</f>
        <v/>
      </c>
    </row>
    <row r="359">
      <c r="A359" s="33" t="n"/>
      <c r="B359" s="35" t="n"/>
      <c r="C359" s="24">
        <f>IF(A359="","",COUNTIFS(Parcelas!$A$5:$A$404,A359))</f>
        <v/>
      </c>
      <c r="D359" s="25">
        <f>IF(A359="","",SUMIFS(Parcelas!$F$5:$F$404,Parcelas!$A$5:$A$404,A359))</f>
        <v/>
      </c>
      <c r="E359" s="25">
        <f>IF(A359="","",SUMIFS(Parcelas!$F$5:$F$404,Parcelas!$A$5:$A$404,A359,Parcelas!$I$5:$I$404,"Paga"))</f>
        <v/>
      </c>
      <c r="F359" s="25">
        <f>IF(A359="","",D359-E359)</f>
        <v/>
      </c>
      <c r="G359" s="25">
        <f>IF(A359="","",SUMIFS(Parcelas!$F$5:$F$404,Parcelas!$A$5:$A$404,A359,Parcelas!$I$5:$I$404,"Vencida"))</f>
        <v/>
      </c>
      <c r="H359" s="24">
        <f>IF(A359="","",IF(G359&gt;0,"Em atraso",IF(F359&gt;0,"Em dia","Sem parcela em aberto")))</f>
        <v/>
      </c>
    </row>
    <row r="360">
      <c r="A360" s="33" t="n"/>
      <c r="B360" s="35" t="n"/>
      <c r="C360" s="24">
        <f>IF(A360="","",COUNTIFS(Parcelas!$A$5:$A$404,A360))</f>
        <v/>
      </c>
      <c r="D360" s="25">
        <f>IF(A360="","",SUMIFS(Parcelas!$F$5:$F$404,Parcelas!$A$5:$A$404,A360))</f>
        <v/>
      </c>
      <c r="E360" s="25">
        <f>IF(A360="","",SUMIFS(Parcelas!$F$5:$F$404,Parcelas!$A$5:$A$404,A360,Parcelas!$I$5:$I$404,"Paga"))</f>
        <v/>
      </c>
      <c r="F360" s="25">
        <f>IF(A360="","",D360-E360)</f>
        <v/>
      </c>
      <c r="G360" s="25">
        <f>IF(A360="","",SUMIFS(Parcelas!$F$5:$F$404,Parcelas!$A$5:$A$404,A360,Parcelas!$I$5:$I$404,"Vencida"))</f>
        <v/>
      </c>
      <c r="H360" s="24">
        <f>IF(A360="","",IF(G360&gt;0,"Em atraso",IF(F360&gt;0,"Em dia","Sem parcela em aberto")))</f>
        <v/>
      </c>
    </row>
    <row r="361">
      <c r="A361" s="33" t="n"/>
      <c r="B361" s="35" t="n"/>
      <c r="C361" s="24">
        <f>IF(A361="","",COUNTIFS(Parcelas!$A$5:$A$404,A361))</f>
        <v/>
      </c>
      <c r="D361" s="25">
        <f>IF(A361="","",SUMIFS(Parcelas!$F$5:$F$404,Parcelas!$A$5:$A$404,A361))</f>
        <v/>
      </c>
      <c r="E361" s="25">
        <f>IF(A361="","",SUMIFS(Parcelas!$F$5:$F$404,Parcelas!$A$5:$A$404,A361,Parcelas!$I$5:$I$404,"Paga"))</f>
        <v/>
      </c>
      <c r="F361" s="25">
        <f>IF(A361="","",D361-E361)</f>
        <v/>
      </c>
      <c r="G361" s="25">
        <f>IF(A361="","",SUMIFS(Parcelas!$F$5:$F$404,Parcelas!$A$5:$A$404,A361,Parcelas!$I$5:$I$404,"Vencida"))</f>
        <v/>
      </c>
      <c r="H361" s="24">
        <f>IF(A361="","",IF(G361&gt;0,"Em atraso",IF(F361&gt;0,"Em dia","Sem parcela em aberto")))</f>
        <v/>
      </c>
    </row>
    <row r="362">
      <c r="A362" s="33" t="n"/>
      <c r="B362" s="35" t="n"/>
      <c r="C362" s="24">
        <f>IF(A362="","",COUNTIFS(Parcelas!$A$5:$A$404,A362))</f>
        <v/>
      </c>
      <c r="D362" s="25">
        <f>IF(A362="","",SUMIFS(Parcelas!$F$5:$F$404,Parcelas!$A$5:$A$404,A362))</f>
        <v/>
      </c>
      <c r="E362" s="25">
        <f>IF(A362="","",SUMIFS(Parcelas!$F$5:$F$404,Parcelas!$A$5:$A$404,A362,Parcelas!$I$5:$I$404,"Paga"))</f>
        <v/>
      </c>
      <c r="F362" s="25">
        <f>IF(A362="","",D362-E362)</f>
        <v/>
      </c>
      <c r="G362" s="25">
        <f>IF(A362="","",SUMIFS(Parcelas!$F$5:$F$404,Parcelas!$A$5:$A$404,A362,Parcelas!$I$5:$I$404,"Vencida"))</f>
        <v/>
      </c>
      <c r="H362" s="24">
        <f>IF(A362="","",IF(G362&gt;0,"Em atraso",IF(F362&gt;0,"Em dia","Sem parcela em aberto")))</f>
        <v/>
      </c>
    </row>
    <row r="363">
      <c r="A363" s="33" t="n"/>
      <c r="B363" s="35" t="n"/>
      <c r="C363" s="24">
        <f>IF(A363="","",COUNTIFS(Parcelas!$A$5:$A$404,A363))</f>
        <v/>
      </c>
      <c r="D363" s="25">
        <f>IF(A363="","",SUMIFS(Parcelas!$F$5:$F$404,Parcelas!$A$5:$A$404,A363))</f>
        <v/>
      </c>
      <c r="E363" s="25">
        <f>IF(A363="","",SUMIFS(Parcelas!$F$5:$F$404,Parcelas!$A$5:$A$404,A363,Parcelas!$I$5:$I$404,"Paga"))</f>
        <v/>
      </c>
      <c r="F363" s="25">
        <f>IF(A363="","",D363-E363)</f>
        <v/>
      </c>
      <c r="G363" s="25">
        <f>IF(A363="","",SUMIFS(Parcelas!$F$5:$F$404,Parcelas!$A$5:$A$404,A363,Parcelas!$I$5:$I$404,"Vencida"))</f>
        <v/>
      </c>
      <c r="H363" s="24">
        <f>IF(A363="","",IF(G363&gt;0,"Em atraso",IF(F363&gt;0,"Em dia","Sem parcela em aberto")))</f>
        <v/>
      </c>
    </row>
    <row r="364">
      <c r="A364" s="33" t="n"/>
      <c r="B364" s="35" t="n"/>
      <c r="C364" s="24">
        <f>IF(A364="","",COUNTIFS(Parcelas!$A$5:$A$404,A364))</f>
        <v/>
      </c>
      <c r="D364" s="25">
        <f>IF(A364="","",SUMIFS(Parcelas!$F$5:$F$404,Parcelas!$A$5:$A$404,A364))</f>
        <v/>
      </c>
      <c r="E364" s="25">
        <f>IF(A364="","",SUMIFS(Parcelas!$F$5:$F$404,Parcelas!$A$5:$A$404,A364,Parcelas!$I$5:$I$404,"Paga"))</f>
        <v/>
      </c>
      <c r="F364" s="25">
        <f>IF(A364="","",D364-E364)</f>
        <v/>
      </c>
      <c r="G364" s="25">
        <f>IF(A364="","",SUMIFS(Parcelas!$F$5:$F$404,Parcelas!$A$5:$A$404,A364,Parcelas!$I$5:$I$404,"Vencida"))</f>
        <v/>
      </c>
      <c r="H364" s="24">
        <f>IF(A364="","",IF(G364&gt;0,"Em atraso",IF(F364&gt;0,"Em dia","Sem parcela em aberto")))</f>
        <v/>
      </c>
    </row>
    <row r="365">
      <c r="A365" s="33" t="n"/>
      <c r="B365" s="35" t="n"/>
      <c r="C365" s="24">
        <f>IF(A365="","",COUNTIFS(Parcelas!$A$5:$A$404,A365))</f>
        <v/>
      </c>
      <c r="D365" s="25">
        <f>IF(A365="","",SUMIFS(Parcelas!$F$5:$F$404,Parcelas!$A$5:$A$404,A365))</f>
        <v/>
      </c>
      <c r="E365" s="25">
        <f>IF(A365="","",SUMIFS(Parcelas!$F$5:$F$404,Parcelas!$A$5:$A$404,A365,Parcelas!$I$5:$I$404,"Paga"))</f>
        <v/>
      </c>
      <c r="F365" s="25">
        <f>IF(A365="","",D365-E365)</f>
        <v/>
      </c>
      <c r="G365" s="25">
        <f>IF(A365="","",SUMIFS(Parcelas!$F$5:$F$404,Parcelas!$A$5:$A$404,A365,Parcelas!$I$5:$I$404,"Vencida"))</f>
        <v/>
      </c>
      <c r="H365" s="24">
        <f>IF(A365="","",IF(G365&gt;0,"Em atraso",IF(F365&gt;0,"Em dia","Sem parcela em aberto")))</f>
        <v/>
      </c>
    </row>
    <row r="366">
      <c r="A366" s="33" t="n"/>
      <c r="B366" s="35" t="n"/>
      <c r="C366" s="24">
        <f>IF(A366="","",COUNTIFS(Parcelas!$A$5:$A$404,A366))</f>
        <v/>
      </c>
      <c r="D366" s="25">
        <f>IF(A366="","",SUMIFS(Parcelas!$F$5:$F$404,Parcelas!$A$5:$A$404,A366))</f>
        <v/>
      </c>
      <c r="E366" s="25">
        <f>IF(A366="","",SUMIFS(Parcelas!$F$5:$F$404,Parcelas!$A$5:$A$404,A366,Parcelas!$I$5:$I$404,"Paga"))</f>
        <v/>
      </c>
      <c r="F366" s="25">
        <f>IF(A366="","",D366-E366)</f>
        <v/>
      </c>
      <c r="G366" s="25">
        <f>IF(A366="","",SUMIFS(Parcelas!$F$5:$F$404,Parcelas!$A$5:$A$404,A366,Parcelas!$I$5:$I$404,"Vencida"))</f>
        <v/>
      </c>
      <c r="H366" s="24">
        <f>IF(A366="","",IF(G366&gt;0,"Em atraso",IF(F366&gt;0,"Em dia","Sem parcela em aberto")))</f>
        <v/>
      </c>
    </row>
    <row r="367">
      <c r="A367" s="33" t="n"/>
      <c r="B367" s="35" t="n"/>
      <c r="C367" s="24">
        <f>IF(A367="","",COUNTIFS(Parcelas!$A$5:$A$404,A367))</f>
        <v/>
      </c>
      <c r="D367" s="25">
        <f>IF(A367="","",SUMIFS(Parcelas!$F$5:$F$404,Parcelas!$A$5:$A$404,A367))</f>
        <v/>
      </c>
      <c r="E367" s="25">
        <f>IF(A367="","",SUMIFS(Parcelas!$F$5:$F$404,Parcelas!$A$5:$A$404,A367,Parcelas!$I$5:$I$404,"Paga"))</f>
        <v/>
      </c>
      <c r="F367" s="25">
        <f>IF(A367="","",D367-E367)</f>
        <v/>
      </c>
      <c r="G367" s="25">
        <f>IF(A367="","",SUMIFS(Parcelas!$F$5:$F$404,Parcelas!$A$5:$A$404,A367,Parcelas!$I$5:$I$404,"Vencida"))</f>
        <v/>
      </c>
      <c r="H367" s="24">
        <f>IF(A367="","",IF(G367&gt;0,"Em atraso",IF(F367&gt;0,"Em dia","Sem parcela em aberto")))</f>
        <v/>
      </c>
    </row>
    <row r="368">
      <c r="A368" s="33" t="n"/>
      <c r="B368" s="35" t="n"/>
      <c r="C368" s="24">
        <f>IF(A368="","",COUNTIFS(Parcelas!$A$5:$A$404,A368))</f>
        <v/>
      </c>
      <c r="D368" s="25">
        <f>IF(A368="","",SUMIFS(Parcelas!$F$5:$F$404,Parcelas!$A$5:$A$404,A368))</f>
        <v/>
      </c>
      <c r="E368" s="25">
        <f>IF(A368="","",SUMIFS(Parcelas!$F$5:$F$404,Parcelas!$A$5:$A$404,A368,Parcelas!$I$5:$I$404,"Paga"))</f>
        <v/>
      </c>
      <c r="F368" s="25">
        <f>IF(A368="","",D368-E368)</f>
        <v/>
      </c>
      <c r="G368" s="25">
        <f>IF(A368="","",SUMIFS(Parcelas!$F$5:$F$404,Parcelas!$A$5:$A$404,A368,Parcelas!$I$5:$I$404,"Vencida"))</f>
        <v/>
      </c>
      <c r="H368" s="24">
        <f>IF(A368="","",IF(G368&gt;0,"Em atraso",IF(F368&gt;0,"Em dia","Sem parcela em aberto")))</f>
        <v/>
      </c>
    </row>
    <row r="369">
      <c r="A369" s="33" t="n"/>
      <c r="B369" s="35" t="n"/>
      <c r="C369" s="24">
        <f>IF(A369="","",COUNTIFS(Parcelas!$A$5:$A$404,A369))</f>
        <v/>
      </c>
      <c r="D369" s="25">
        <f>IF(A369="","",SUMIFS(Parcelas!$F$5:$F$404,Parcelas!$A$5:$A$404,A369))</f>
        <v/>
      </c>
      <c r="E369" s="25">
        <f>IF(A369="","",SUMIFS(Parcelas!$F$5:$F$404,Parcelas!$A$5:$A$404,A369,Parcelas!$I$5:$I$404,"Paga"))</f>
        <v/>
      </c>
      <c r="F369" s="25">
        <f>IF(A369="","",D369-E369)</f>
        <v/>
      </c>
      <c r="G369" s="25">
        <f>IF(A369="","",SUMIFS(Parcelas!$F$5:$F$404,Parcelas!$A$5:$A$404,A369,Parcelas!$I$5:$I$404,"Vencida"))</f>
        <v/>
      </c>
      <c r="H369" s="24">
        <f>IF(A369="","",IF(G369&gt;0,"Em atraso",IF(F369&gt;0,"Em dia","Sem parcela em aberto")))</f>
        <v/>
      </c>
    </row>
    <row r="370">
      <c r="A370" s="33" t="n"/>
      <c r="B370" s="35" t="n"/>
      <c r="C370" s="24">
        <f>IF(A370="","",COUNTIFS(Parcelas!$A$5:$A$404,A370))</f>
        <v/>
      </c>
      <c r="D370" s="25">
        <f>IF(A370="","",SUMIFS(Parcelas!$F$5:$F$404,Parcelas!$A$5:$A$404,A370))</f>
        <v/>
      </c>
      <c r="E370" s="25">
        <f>IF(A370="","",SUMIFS(Parcelas!$F$5:$F$404,Parcelas!$A$5:$A$404,A370,Parcelas!$I$5:$I$404,"Paga"))</f>
        <v/>
      </c>
      <c r="F370" s="25">
        <f>IF(A370="","",D370-E370)</f>
        <v/>
      </c>
      <c r="G370" s="25">
        <f>IF(A370="","",SUMIFS(Parcelas!$F$5:$F$404,Parcelas!$A$5:$A$404,A370,Parcelas!$I$5:$I$404,"Vencida"))</f>
        <v/>
      </c>
      <c r="H370" s="24">
        <f>IF(A370="","",IF(G370&gt;0,"Em atraso",IF(F370&gt;0,"Em dia","Sem parcela em aberto")))</f>
        <v/>
      </c>
    </row>
    <row r="371">
      <c r="A371" s="33" t="n"/>
      <c r="B371" s="35" t="n"/>
      <c r="C371" s="24">
        <f>IF(A371="","",COUNTIFS(Parcelas!$A$5:$A$404,A371))</f>
        <v/>
      </c>
      <c r="D371" s="25">
        <f>IF(A371="","",SUMIFS(Parcelas!$F$5:$F$404,Parcelas!$A$5:$A$404,A371))</f>
        <v/>
      </c>
      <c r="E371" s="25">
        <f>IF(A371="","",SUMIFS(Parcelas!$F$5:$F$404,Parcelas!$A$5:$A$404,A371,Parcelas!$I$5:$I$404,"Paga"))</f>
        <v/>
      </c>
      <c r="F371" s="25">
        <f>IF(A371="","",D371-E371)</f>
        <v/>
      </c>
      <c r="G371" s="25">
        <f>IF(A371="","",SUMIFS(Parcelas!$F$5:$F$404,Parcelas!$A$5:$A$404,A371,Parcelas!$I$5:$I$404,"Vencida"))</f>
        <v/>
      </c>
      <c r="H371" s="24">
        <f>IF(A371="","",IF(G371&gt;0,"Em atraso",IF(F371&gt;0,"Em dia","Sem parcela em aberto")))</f>
        <v/>
      </c>
    </row>
    <row r="372">
      <c r="A372" s="33" t="n"/>
      <c r="B372" s="35" t="n"/>
      <c r="C372" s="24">
        <f>IF(A372="","",COUNTIFS(Parcelas!$A$5:$A$404,A372))</f>
        <v/>
      </c>
      <c r="D372" s="25">
        <f>IF(A372="","",SUMIFS(Parcelas!$F$5:$F$404,Parcelas!$A$5:$A$404,A372))</f>
        <v/>
      </c>
      <c r="E372" s="25">
        <f>IF(A372="","",SUMIFS(Parcelas!$F$5:$F$404,Parcelas!$A$5:$A$404,A372,Parcelas!$I$5:$I$404,"Paga"))</f>
        <v/>
      </c>
      <c r="F372" s="25">
        <f>IF(A372="","",D372-E372)</f>
        <v/>
      </c>
      <c r="G372" s="25">
        <f>IF(A372="","",SUMIFS(Parcelas!$F$5:$F$404,Parcelas!$A$5:$A$404,A372,Parcelas!$I$5:$I$404,"Vencida"))</f>
        <v/>
      </c>
      <c r="H372" s="24">
        <f>IF(A372="","",IF(G372&gt;0,"Em atraso",IF(F372&gt;0,"Em dia","Sem parcela em aberto")))</f>
        <v/>
      </c>
    </row>
    <row r="373">
      <c r="A373" s="33" t="n"/>
      <c r="B373" s="35" t="n"/>
      <c r="C373" s="24">
        <f>IF(A373="","",COUNTIFS(Parcelas!$A$5:$A$404,A373))</f>
        <v/>
      </c>
      <c r="D373" s="25">
        <f>IF(A373="","",SUMIFS(Parcelas!$F$5:$F$404,Parcelas!$A$5:$A$404,A373))</f>
        <v/>
      </c>
      <c r="E373" s="25">
        <f>IF(A373="","",SUMIFS(Parcelas!$F$5:$F$404,Parcelas!$A$5:$A$404,A373,Parcelas!$I$5:$I$404,"Paga"))</f>
        <v/>
      </c>
      <c r="F373" s="25">
        <f>IF(A373="","",D373-E373)</f>
        <v/>
      </c>
      <c r="G373" s="25">
        <f>IF(A373="","",SUMIFS(Parcelas!$F$5:$F$404,Parcelas!$A$5:$A$404,A373,Parcelas!$I$5:$I$404,"Vencida"))</f>
        <v/>
      </c>
      <c r="H373" s="24">
        <f>IF(A373="","",IF(G373&gt;0,"Em atraso",IF(F373&gt;0,"Em dia","Sem parcela em aberto")))</f>
        <v/>
      </c>
    </row>
    <row r="374">
      <c r="A374" s="33" t="n"/>
      <c r="B374" s="35" t="n"/>
      <c r="C374" s="24">
        <f>IF(A374="","",COUNTIFS(Parcelas!$A$5:$A$404,A374))</f>
        <v/>
      </c>
      <c r="D374" s="25">
        <f>IF(A374="","",SUMIFS(Parcelas!$F$5:$F$404,Parcelas!$A$5:$A$404,A374))</f>
        <v/>
      </c>
      <c r="E374" s="25">
        <f>IF(A374="","",SUMIFS(Parcelas!$F$5:$F$404,Parcelas!$A$5:$A$404,A374,Parcelas!$I$5:$I$404,"Paga"))</f>
        <v/>
      </c>
      <c r="F374" s="25">
        <f>IF(A374="","",D374-E374)</f>
        <v/>
      </c>
      <c r="G374" s="25">
        <f>IF(A374="","",SUMIFS(Parcelas!$F$5:$F$404,Parcelas!$A$5:$A$404,A374,Parcelas!$I$5:$I$404,"Vencida"))</f>
        <v/>
      </c>
      <c r="H374" s="24">
        <f>IF(A374="","",IF(G374&gt;0,"Em atraso",IF(F374&gt;0,"Em dia","Sem parcela em aberto")))</f>
        <v/>
      </c>
    </row>
    <row r="375">
      <c r="A375" s="33" t="n"/>
      <c r="B375" s="35" t="n"/>
      <c r="C375" s="24">
        <f>IF(A375="","",COUNTIFS(Parcelas!$A$5:$A$404,A375))</f>
        <v/>
      </c>
      <c r="D375" s="25">
        <f>IF(A375="","",SUMIFS(Parcelas!$F$5:$F$404,Parcelas!$A$5:$A$404,A375))</f>
        <v/>
      </c>
      <c r="E375" s="25">
        <f>IF(A375="","",SUMIFS(Parcelas!$F$5:$F$404,Parcelas!$A$5:$A$404,A375,Parcelas!$I$5:$I$404,"Paga"))</f>
        <v/>
      </c>
      <c r="F375" s="25">
        <f>IF(A375="","",D375-E375)</f>
        <v/>
      </c>
      <c r="G375" s="25">
        <f>IF(A375="","",SUMIFS(Parcelas!$F$5:$F$404,Parcelas!$A$5:$A$404,A375,Parcelas!$I$5:$I$404,"Vencida"))</f>
        <v/>
      </c>
      <c r="H375" s="24">
        <f>IF(A375="","",IF(G375&gt;0,"Em atraso",IF(F375&gt;0,"Em dia","Sem parcela em aberto")))</f>
        <v/>
      </c>
    </row>
    <row r="376">
      <c r="A376" s="33" t="n"/>
      <c r="B376" s="35" t="n"/>
      <c r="C376" s="24">
        <f>IF(A376="","",COUNTIFS(Parcelas!$A$5:$A$404,A376))</f>
        <v/>
      </c>
      <c r="D376" s="25">
        <f>IF(A376="","",SUMIFS(Parcelas!$F$5:$F$404,Parcelas!$A$5:$A$404,A376))</f>
        <v/>
      </c>
      <c r="E376" s="25">
        <f>IF(A376="","",SUMIFS(Parcelas!$F$5:$F$404,Parcelas!$A$5:$A$404,A376,Parcelas!$I$5:$I$404,"Paga"))</f>
        <v/>
      </c>
      <c r="F376" s="25">
        <f>IF(A376="","",D376-E376)</f>
        <v/>
      </c>
      <c r="G376" s="25">
        <f>IF(A376="","",SUMIFS(Parcelas!$F$5:$F$404,Parcelas!$A$5:$A$404,A376,Parcelas!$I$5:$I$404,"Vencida"))</f>
        <v/>
      </c>
      <c r="H376" s="24">
        <f>IF(A376="","",IF(G376&gt;0,"Em atraso",IF(F376&gt;0,"Em dia","Sem parcela em aberto")))</f>
        <v/>
      </c>
    </row>
    <row r="377">
      <c r="A377" s="33" t="n"/>
      <c r="B377" s="35" t="n"/>
      <c r="C377" s="24">
        <f>IF(A377="","",COUNTIFS(Parcelas!$A$5:$A$404,A377))</f>
        <v/>
      </c>
      <c r="D377" s="25">
        <f>IF(A377="","",SUMIFS(Parcelas!$F$5:$F$404,Parcelas!$A$5:$A$404,A377))</f>
        <v/>
      </c>
      <c r="E377" s="25">
        <f>IF(A377="","",SUMIFS(Parcelas!$F$5:$F$404,Parcelas!$A$5:$A$404,A377,Parcelas!$I$5:$I$404,"Paga"))</f>
        <v/>
      </c>
      <c r="F377" s="25">
        <f>IF(A377="","",D377-E377)</f>
        <v/>
      </c>
      <c r="G377" s="25">
        <f>IF(A377="","",SUMIFS(Parcelas!$F$5:$F$404,Parcelas!$A$5:$A$404,A377,Parcelas!$I$5:$I$404,"Vencida"))</f>
        <v/>
      </c>
      <c r="H377" s="24">
        <f>IF(A377="","",IF(G377&gt;0,"Em atraso",IF(F377&gt;0,"Em dia","Sem parcela em aberto")))</f>
        <v/>
      </c>
    </row>
    <row r="378">
      <c r="A378" s="33" t="n"/>
      <c r="B378" s="35" t="n"/>
      <c r="C378" s="24">
        <f>IF(A378="","",COUNTIFS(Parcelas!$A$5:$A$404,A378))</f>
        <v/>
      </c>
      <c r="D378" s="25">
        <f>IF(A378="","",SUMIFS(Parcelas!$F$5:$F$404,Parcelas!$A$5:$A$404,A378))</f>
        <v/>
      </c>
      <c r="E378" s="25">
        <f>IF(A378="","",SUMIFS(Parcelas!$F$5:$F$404,Parcelas!$A$5:$A$404,A378,Parcelas!$I$5:$I$404,"Paga"))</f>
        <v/>
      </c>
      <c r="F378" s="25">
        <f>IF(A378="","",D378-E378)</f>
        <v/>
      </c>
      <c r="G378" s="25">
        <f>IF(A378="","",SUMIFS(Parcelas!$F$5:$F$404,Parcelas!$A$5:$A$404,A378,Parcelas!$I$5:$I$404,"Vencida"))</f>
        <v/>
      </c>
      <c r="H378" s="24">
        <f>IF(A378="","",IF(G378&gt;0,"Em atraso",IF(F378&gt;0,"Em dia","Sem parcela em aberto")))</f>
        <v/>
      </c>
    </row>
    <row r="379">
      <c r="A379" s="33" t="n"/>
      <c r="B379" s="35" t="n"/>
      <c r="C379" s="24">
        <f>IF(A379="","",COUNTIFS(Parcelas!$A$5:$A$404,A379))</f>
        <v/>
      </c>
      <c r="D379" s="25">
        <f>IF(A379="","",SUMIFS(Parcelas!$F$5:$F$404,Parcelas!$A$5:$A$404,A379))</f>
        <v/>
      </c>
      <c r="E379" s="25">
        <f>IF(A379="","",SUMIFS(Parcelas!$F$5:$F$404,Parcelas!$A$5:$A$404,A379,Parcelas!$I$5:$I$404,"Paga"))</f>
        <v/>
      </c>
      <c r="F379" s="25">
        <f>IF(A379="","",D379-E379)</f>
        <v/>
      </c>
      <c r="G379" s="25">
        <f>IF(A379="","",SUMIFS(Parcelas!$F$5:$F$404,Parcelas!$A$5:$A$404,A379,Parcelas!$I$5:$I$404,"Vencida"))</f>
        <v/>
      </c>
      <c r="H379" s="24">
        <f>IF(A379="","",IF(G379&gt;0,"Em atraso",IF(F379&gt;0,"Em dia","Sem parcela em aberto")))</f>
        <v/>
      </c>
    </row>
    <row r="380">
      <c r="A380" s="33" t="n"/>
      <c r="B380" s="35" t="n"/>
      <c r="C380" s="24">
        <f>IF(A380="","",COUNTIFS(Parcelas!$A$5:$A$404,A380))</f>
        <v/>
      </c>
      <c r="D380" s="25">
        <f>IF(A380="","",SUMIFS(Parcelas!$F$5:$F$404,Parcelas!$A$5:$A$404,A380))</f>
        <v/>
      </c>
      <c r="E380" s="25">
        <f>IF(A380="","",SUMIFS(Parcelas!$F$5:$F$404,Parcelas!$A$5:$A$404,A380,Parcelas!$I$5:$I$404,"Paga"))</f>
        <v/>
      </c>
      <c r="F380" s="25">
        <f>IF(A380="","",D380-E380)</f>
        <v/>
      </c>
      <c r="G380" s="25">
        <f>IF(A380="","",SUMIFS(Parcelas!$F$5:$F$404,Parcelas!$A$5:$A$404,A380,Parcelas!$I$5:$I$404,"Vencida"))</f>
        <v/>
      </c>
      <c r="H380" s="24">
        <f>IF(A380="","",IF(G380&gt;0,"Em atraso",IF(F380&gt;0,"Em dia","Sem parcela em aberto")))</f>
        <v/>
      </c>
    </row>
    <row r="381">
      <c r="A381" s="33" t="n"/>
      <c r="B381" s="35" t="n"/>
      <c r="C381" s="24">
        <f>IF(A381="","",COUNTIFS(Parcelas!$A$5:$A$404,A381))</f>
        <v/>
      </c>
      <c r="D381" s="25">
        <f>IF(A381="","",SUMIFS(Parcelas!$F$5:$F$404,Parcelas!$A$5:$A$404,A381))</f>
        <v/>
      </c>
      <c r="E381" s="25">
        <f>IF(A381="","",SUMIFS(Parcelas!$F$5:$F$404,Parcelas!$A$5:$A$404,A381,Parcelas!$I$5:$I$404,"Paga"))</f>
        <v/>
      </c>
      <c r="F381" s="25">
        <f>IF(A381="","",D381-E381)</f>
        <v/>
      </c>
      <c r="G381" s="25">
        <f>IF(A381="","",SUMIFS(Parcelas!$F$5:$F$404,Parcelas!$A$5:$A$404,A381,Parcelas!$I$5:$I$404,"Vencida"))</f>
        <v/>
      </c>
      <c r="H381" s="24">
        <f>IF(A381="","",IF(G381&gt;0,"Em atraso",IF(F381&gt;0,"Em dia","Sem parcela em aberto")))</f>
        <v/>
      </c>
    </row>
    <row r="382">
      <c r="A382" s="33" t="n"/>
      <c r="B382" s="35" t="n"/>
      <c r="C382" s="24">
        <f>IF(A382="","",COUNTIFS(Parcelas!$A$5:$A$404,A382))</f>
        <v/>
      </c>
      <c r="D382" s="25">
        <f>IF(A382="","",SUMIFS(Parcelas!$F$5:$F$404,Parcelas!$A$5:$A$404,A382))</f>
        <v/>
      </c>
      <c r="E382" s="25">
        <f>IF(A382="","",SUMIFS(Parcelas!$F$5:$F$404,Parcelas!$A$5:$A$404,A382,Parcelas!$I$5:$I$404,"Paga"))</f>
        <v/>
      </c>
      <c r="F382" s="25">
        <f>IF(A382="","",D382-E382)</f>
        <v/>
      </c>
      <c r="G382" s="25">
        <f>IF(A382="","",SUMIFS(Parcelas!$F$5:$F$404,Parcelas!$A$5:$A$404,A382,Parcelas!$I$5:$I$404,"Vencida"))</f>
        <v/>
      </c>
      <c r="H382" s="24">
        <f>IF(A382="","",IF(G382&gt;0,"Em atraso",IF(F382&gt;0,"Em dia","Sem parcela em aberto")))</f>
        <v/>
      </c>
    </row>
    <row r="383">
      <c r="A383" s="33" t="n"/>
      <c r="B383" s="35" t="n"/>
      <c r="C383" s="24">
        <f>IF(A383="","",COUNTIFS(Parcelas!$A$5:$A$404,A383))</f>
        <v/>
      </c>
      <c r="D383" s="25">
        <f>IF(A383="","",SUMIFS(Parcelas!$F$5:$F$404,Parcelas!$A$5:$A$404,A383))</f>
        <v/>
      </c>
      <c r="E383" s="25">
        <f>IF(A383="","",SUMIFS(Parcelas!$F$5:$F$404,Parcelas!$A$5:$A$404,A383,Parcelas!$I$5:$I$404,"Paga"))</f>
        <v/>
      </c>
      <c r="F383" s="25">
        <f>IF(A383="","",D383-E383)</f>
        <v/>
      </c>
      <c r="G383" s="25">
        <f>IF(A383="","",SUMIFS(Parcelas!$F$5:$F$404,Parcelas!$A$5:$A$404,A383,Parcelas!$I$5:$I$404,"Vencida"))</f>
        <v/>
      </c>
      <c r="H383" s="24">
        <f>IF(A383="","",IF(G383&gt;0,"Em atraso",IF(F383&gt;0,"Em dia","Sem parcela em aberto")))</f>
        <v/>
      </c>
    </row>
    <row r="384">
      <c r="A384" s="33" t="n"/>
      <c r="B384" s="35" t="n"/>
      <c r="C384" s="24">
        <f>IF(A384="","",COUNTIFS(Parcelas!$A$5:$A$404,A384))</f>
        <v/>
      </c>
      <c r="D384" s="25">
        <f>IF(A384="","",SUMIFS(Parcelas!$F$5:$F$404,Parcelas!$A$5:$A$404,A384))</f>
        <v/>
      </c>
      <c r="E384" s="25">
        <f>IF(A384="","",SUMIFS(Parcelas!$F$5:$F$404,Parcelas!$A$5:$A$404,A384,Parcelas!$I$5:$I$404,"Paga"))</f>
        <v/>
      </c>
      <c r="F384" s="25">
        <f>IF(A384="","",D384-E384)</f>
        <v/>
      </c>
      <c r="G384" s="25">
        <f>IF(A384="","",SUMIFS(Parcelas!$F$5:$F$404,Parcelas!$A$5:$A$404,A384,Parcelas!$I$5:$I$404,"Vencida"))</f>
        <v/>
      </c>
      <c r="H384" s="24">
        <f>IF(A384="","",IF(G384&gt;0,"Em atraso",IF(F384&gt;0,"Em dia","Sem parcela em aberto")))</f>
        <v/>
      </c>
    </row>
    <row r="385">
      <c r="A385" s="33" t="n"/>
      <c r="B385" s="35" t="n"/>
      <c r="C385" s="24">
        <f>IF(A385="","",COUNTIFS(Parcelas!$A$5:$A$404,A385))</f>
        <v/>
      </c>
      <c r="D385" s="25">
        <f>IF(A385="","",SUMIFS(Parcelas!$F$5:$F$404,Parcelas!$A$5:$A$404,A385))</f>
        <v/>
      </c>
      <c r="E385" s="25">
        <f>IF(A385="","",SUMIFS(Parcelas!$F$5:$F$404,Parcelas!$A$5:$A$404,A385,Parcelas!$I$5:$I$404,"Paga"))</f>
        <v/>
      </c>
      <c r="F385" s="25">
        <f>IF(A385="","",D385-E385)</f>
        <v/>
      </c>
      <c r="G385" s="25">
        <f>IF(A385="","",SUMIFS(Parcelas!$F$5:$F$404,Parcelas!$A$5:$A$404,A385,Parcelas!$I$5:$I$404,"Vencida"))</f>
        <v/>
      </c>
      <c r="H385" s="24">
        <f>IF(A385="","",IF(G385&gt;0,"Em atraso",IF(F385&gt;0,"Em dia","Sem parcela em aberto")))</f>
        <v/>
      </c>
    </row>
    <row r="386">
      <c r="A386" s="33" t="n"/>
      <c r="B386" s="35" t="n"/>
      <c r="C386" s="24">
        <f>IF(A386="","",COUNTIFS(Parcelas!$A$5:$A$404,A386))</f>
        <v/>
      </c>
      <c r="D386" s="25">
        <f>IF(A386="","",SUMIFS(Parcelas!$F$5:$F$404,Parcelas!$A$5:$A$404,A386))</f>
        <v/>
      </c>
      <c r="E386" s="25">
        <f>IF(A386="","",SUMIFS(Parcelas!$F$5:$F$404,Parcelas!$A$5:$A$404,A386,Parcelas!$I$5:$I$404,"Paga"))</f>
        <v/>
      </c>
      <c r="F386" s="25">
        <f>IF(A386="","",D386-E386)</f>
        <v/>
      </c>
      <c r="G386" s="25">
        <f>IF(A386="","",SUMIFS(Parcelas!$F$5:$F$404,Parcelas!$A$5:$A$404,A386,Parcelas!$I$5:$I$404,"Vencida"))</f>
        <v/>
      </c>
      <c r="H386" s="24">
        <f>IF(A386="","",IF(G386&gt;0,"Em atraso",IF(F386&gt;0,"Em dia","Sem parcela em aberto")))</f>
        <v/>
      </c>
    </row>
    <row r="387">
      <c r="A387" s="33" t="n"/>
      <c r="B387" s="35" t="n"/>
      <c r="C387" s="24">
        <f>IF(A387="","",COUNTIFS(Parcelas!$A$5:$A$404,A387))</f>
        <v/>
      </c>
      <c r="D387" s="25">
        <f>IF(A387="","",SUMIFS(Parcelas!$F$5:$F$404,Parcelas!$A$5:$A$404,A387))</f>
        <v/>
      </c>
      <c r="E387" s="25">
        <f>IF(A387="","",SUMIFS(Parcelas!$F$5:$F$404,Parcelas!$A$5:$A$404,A387,Parcelas!$I$5:$I$404,"Paga"))</f>
        <v/>
      </c>
      <c r="F387" s="25">
        <f>IF(A387="","",D387-E387)</f>
        <v/>
      </c>
      <c r="G387" s="25">
        <f>IF(A387="","",SUMIFS(Parcelas!$F$5:$F$404,Parcelas!$A$5:$A$404,A387,Parcelas!$I$5:$I$404,"Vencida"))</f>
        <v/>
      </c>
      <c r="H387" s="24">
        <f>IF(A387="","",IF(G387&gt;0,"Em atraso",IF(F387&gt;0,"Em dia","Sem parcela em aberto")))</f>
        <v/>
      </c>
    </row>
    <row r="388">
      <c r="A388" s="33" t="n"/>
      <c r="B388" s="35" t="n"/>
      <c r="C388" s="24">
        <f>IF(A388="","",COUNTIFS(Parcelas!$A$5:$A$404,A388))</f>
        <v/>
      </c>
      <c r="D388" s="25">
        <f>IF(A388="","",SUMIFS(Parcelas!$F$5:$F$404,Parcelas!$A$5:$A$404,A388))</f>
        <v/>
      </c>
      <c r="E388" s="25">
        <f>IF(A388="","",SUMIFS(Parcelas!$F$5:$F$404,Parcelas!$A$5:$A$404,A388,Parcelas!$I$5:$I$404,"Paga"))</f>
        <v/>
      </c>
      <c r="F388" s="25">
        <f>IF(A388="","",D388-E388)</f>
        <v/>
      </c>
      <c r="G388" s="25">
        <f>IF(A388="","",SUMIFS(Parcelas!$F$5:$F$404,Parcelas!$A$5:$A$404,A388,Parcelas!$I$5:$I$404,"Vencida"))</f>
        <v/>
      </c>
      <c r="H388" s="24">
        <f>IF(A388="","",IF(G388&gt;0,"Em atraso",IF(F388&gt;0,"Em dia","Sem parcela em aberto")))</f>
        <v/>
      </c>
    </row>
    <row r="389">
      <c r="A389" s="33" t="n"/>
      <c r="B389" s="35" t="n"/>
      <c r="C389" s="24">
        <f>IF(A389="","",COUNTIFS(Parcelas!$A$5:$A$404,A389))</f>
        <v/>
      </c>
      <c r="D389" s="25">
        <f>IF(A389="","",SUMIFS(Parcelas!$F$5:$F$404,Parcelas!$A$5:$A$404,A389))</f>
        <v/>
      </c>
      <c r="E389" s="25">
        <f>IF(A389="","",SUMIFS(Parcelas!$F$5:$F$404,Parcelas!$A$5:$A$404,A389,Parcelas!$I$5:$I$404,"Paga"))</f>
        <v/>
      </c>
      <c r="F389" s="25">
        <f>IF(A389="","",D389-E389)</f>
        <v/>
      </c>
      <c r="G389" s="25">
        <f>IF(A389="","",SUMIFS(Parcelas!$F$5:$F$404,Parcelas!$A$5:$A$404,A389,Parcelas!$I$5:$I$404,"Vencida"))</f>
        <v/>
      </c>
      <c r="H389" s="24">
        <f>IF(A389="","",IF(G389&gt;0,"Em atraso",IF(F389&gt;0,"Em dia","Sem parcela em aberto")))</f>
        <v/>
      </c>
    </row>
    <row r="390">
      <c r="A390" s="33" t="n"/>
      <c r="B390" s="35" t="n"/>
      <c r="C390" s="24">
        <f>IF(A390="","",COUNTIFS(Parcelas!$A$5:$A$404,A390))</f>
        <v/>
      </c>
      <c r="D390" s="25">
        <f>IF(A390="","",SUMIFS(Parcelas!$F$5:$F$404,Parcelas!$A$5:$A$404,A390))</f>
        <v/>
      </c>
      <c r="E390" s="25">
        <f>IF(A390="","",SUMIFS(Parcelas!$F$5:$F$404,Parcelas!$A$5:$A$404,A390,Parcelas!$I$5:$I$404,"Paga"))</f>
        <v/>
      </c>
      <c r="F390" s="25">
        <f>IF(A390="","",D390-E390)</f>
        <v/>
      </c>
      <c r="G390" s="25">
        <f>IF(A390="","",SUMIFS(Parcelas!$F$5:$F$404,Parcelas!$A$5:$A$404,A390,Parcelas!$I$5:$I$404,"Vencida"))</f>
        <v/>
      </c>
      <c r="H390" s="24">
        <f>IF(A390="","",IF(G390&gt;0,"Em atraso",IF(F390&gt;0,"Em dia","Sem parcela em aberto")))</f>
        <v/>
      </c>
    </row>
    <row r="391">
      <c r="A391" s="33" t="n"/>
      <c r="B391" s="35" t="n"/>
      <c r="C391" s="24">
        <f>IF(A391="","",COUNTIFS(Parcelas!$A$5:$A$404,A391))</f>
        <v/>
      </c>
      <c r="D391" s="25">
        <f>IF(A391="","",SUMIFS(Parcelas!$F$5:$F$404,Parcelas!$A$5:$A$404,A391))</f>
        <v/>
      </c>
      <c r="E391" s="25">
        <f>IF(A391="","",SUMIFS(Parcelas!$F$5:$F$404,Parcelas!$A$5:$A$404,A391,Parcelas!$I$5:$I$404,"Paga"))</f>
        <v/>
      </c>
      <c r="F391" s="25">
        <f>IF(A391="","",D391-E391)</f>
        <v/>
      </c>
      <c r="G391" s="25">
        <f>IF(A391="","",SUMIFS(Parcelas!$F$5:$F$404,Parcelas!$A$5:$A$404,A391,Parcelas!$I$5:$I$404,"Vencida"))</f>
        <v/>
      </c>
      <c r="H391" s="24">
        <f>IF(A391="","",IF(G391&gt;0,"Em atraso",IF(F391&gt;0,"Em dia","Sem parcela em aberto")))</f>
        <v/>
      </c>
    </row>
    <row r="392">
      <c r="A392" s="33" t="n"/>
      <c r="B392" s="35" t="n"/>
      <c r="C392" s="24">
        <f>IF(A392="","",COUNTIFS(Parcelas!$A$5:$A$404,A392))</f>
        <v/>
      </c>
      <c r="D392" s="25">
        <f>IF(A392="","",SUMIFS(Parcelas!$F$5:$F$404,Parcelas!$A$5:$A$404,A392))</f>
        <v/>
      </c>
      <c r="E392" s="25">
        <f>IF(A392="","",SUMIFS(Parcelas!$F$5:$F$404,Parcelas!$A$5:$A$404,A392,Parcelas!$I$5:$I$404,"Paga"))</f>
        <v/>
      </c>
      <c r="F392" s="25">
        <f>IF(A392="","",D392-E392)</f>
        <v/>
      </c>
      <c r="G392" s="25">
        <f>IF(A392="","",SUMIFS(Parcelas!$F$5:$F$404,Parcelas!$A$5:$A$404,A392,Parcelas!$I$5:$I$404,"Vencida"))</f>
        <v/>
      </c>
      <c r="H392" s="24">
        <f>IF(A392="","",IF(G392&gt;0,"Em atraso",IF(F392&gt;0,"Em dia","Sem parcela em aberto")))</f>
        <v/>
      </c>
    </row>
    <row r="393">
      <c r="A393" s="33" t="n"/>
      <c r="B393" s="35" t="n"/>
      <c r="C393" s="24">
        <f>IF(A393="","",COUNTIFS(Parcelas!$A$5:$A$404,A393))</f>
        <v/>
      </c>
      <c r="D393" s="25">
        <f>IF(A393="","",SUMIFS(Parcelas!$F$5:$F$404,Parcelas!$A$5:$A$404,A393))</f>
        <v/>
      </c>
      <c r="E393" s="25">
        <f>IF(A393="","",SUMIFS(Parcelas!$F$5:$F$404,Parcelas!$A$5:$A$404,A393,Parcelas!$I$5:$I$404,"Paga"))</f>
        <v/>
      </c>
      <c r="F393" s="25">
        <f>IF(A393="","",D393-E393)</f>
        <v/>
      </c>
      <c r="G393" s="25">
        <f>IF(A393="","",SUMIFS(Parcelas!$F$5:$F$404,Parcelas!$A$5:$A$404,A393,Parcelas!$I$5:$I$404,"Vencida"))</f>
        <v/>
      </c>
      <c r="H393" s="24">
        <f>IF(A393="","",IF(G393&gt;0,"Em atraso",IF(F393&gt;0,"Em dia","Sem parcela em aberto")))</f>
        <v/>
      </c>
    </row>
    <row r="394">
      <c r="A394" s="33" t="n"/>
      <c r="B394" s="35" t="n"/>
      <c r="C394" s="24">
        <f>IF(A394="","",COUNTIFS(Parcelas!$A$5:$A$404,A394))</f>
        <v/>
      </c>
      <c r="D394" s="25">
        <f>IF(A394="","",SUMIFS(Parcelas!$F$5:$F$404,Parcelas!$A$5:$A$404,A394))</f>
        <v/>
      </c>
      <c r="E394" s="25">
        <f>IF(A394="","",SUMIFS(Parcelas!$F$5:$F$404,Parcelas!$A$5:$A$404,A394,Parcelas!$I$5:$I$404,"Paga"))</f>
        <v/>
      </c>
      <c r="F394" s="25">
        <f>IF(A394="","",D394-E394)</f>
        <v/>
      </c>
      <c r="G394" s="25">
        <f>IF(A394="","",SUMIFS(Parcelas!$F$5:$F$404,Parcelas!$A$5:$A$404,A394,Parcelas!$I$5:$I$404,"Vencida"))</f>
        <v/>
      </c>
      <c r="H394" s="24">
        <f>IF(A394="","",IF(G394&gt;0,"Em atraso",IF(F394&gt;0,"Em dia","Sem parcela em aberto")))</f>
        <v/>
      </c>
    </row>
    <row r="395">
      <c r="A395" s="33" t="n"/>
      <c r="B395" s="35" t="n"/>
      <c r="C395" s="24">
        <f>IF(A395="","",COUNTIFS(Parcelas!$A$5:$A$404,A395))</f>
        <v/>
      </c>
      <c r="D395" s="25">
        <f>IF(A395="","",SUMIFS(Parcelas!$F$5:$F$404,Parcelas!$A$5:$A$404,A395))</f>
        <v/>
      </c>
      <c r="E395" s="25">
        <f>IF(A395="","",SUMIFS(Parcelas!$F$5:$F$404,Parcelas!$A$5:$A$404,A395,Parcelas!$I$5:$I$404,"Paga"))</f>
        <v/>
      </c>
      <c r="F395" s="25">
        <f>IF(A395="","",D395-E395)</f>
        <v/>
      </c>
      <c r="G395" s="25">
        <f>IF(A395="","",SUMIFS(Parcelas!$F$5:$F$404,Parcelas!$A$5:$A$404,A395,Parcelas!$I$5:$I$404,"Vencida"))</f>
        <v/>
      </c>
      <c r="H395" s="24">
        <f>IF(A395="","",IF(G395&gt;0,"Em atraso",IF(F395&gt;0,"Em dia","Sem parcela em aberto")))</f>
        <v/>
      </c>
    </row>
    <row r="396">
      <c r="A396" s="33" t="n"/>
      <c r="B396" s="35" t="n"/>
      <c r="C396" s="24">
        <f>IF(A396="","",COUNTIFS(Parcelas!$A$5:$A$404,A396))</f>
        <v/>
      </c>
      <c r="D396" s="25">
        <f>IF(A396="","",SUMIFS(Parcelas!$F$5:$F$404,Parcelas!$A$5:$A$404,A396))</f>
        <v/>
      </c>
      <c r="E396" s="25">
        <f>IF(A396="","",SUMIFS(Parcelas!$F$5:$F$404,Parcelas!$A$5:$A$404,A396,Parcelas!$I$5:$I$404,"Paga"))</f>
        <v/>
      </c>
      <c r="F396" s="25">
        <f>IF(A396="","",D396-E396)</f>
        <v/>
      </c>
      <c r="G396" s="25">
        <f>IF(A396="","",SUMIFS(Parcelas!$F$5:$F$404,Parcelas!$A$5:$A$404,A396,Parcelas!$I$5:$I$404,"Vencida"))</f>
        <v/>
      </c>
      <c r="H396" s="24">
        <f>IF(A396="","",IF(G396&gt;0,"Em atraso",IF(F396&gt;0,"Em dia","Sem parcela em aberto")))</f>
        <v/>
      </c>
    </row>
    <row r="397">
      <c r="A397" s="33" t="n"/>
      <c r="B397" s="35" t="n"/>
      <c r="C397" s="24">
        <f>IF(A397="","",COUNTIFS(Parcelas!$A$5:$A$404,A397))</f>
        <v/>
      </c>
      <c r="D397" s="25">
        <f>IF(A397="","",SUMIFS(Parcelas!$F$5:$F$404,Parcelas!$A$5:$A$404,A397))</f>
        <v/>
      </c>
      <c r="E397" s="25">
        <f>IF(A397="","",SUMIFS(Parcelas!$F$5:$F$404,Parcelas!$A$5:$A$404,A397,Parcelas!$I$5:$I$404,"Paga"))</f>
        <v/>
      </c>
      <c r="F397" s="25">
        <f>IF(A397="","",D397-E397)</f>
        <v/>
      </c>
      <c r="G397" s="25">
        <f>IF(A397="","",SUMIFS(Parcelas!$F$5:$F$404,Parcelas!$A$5:$A$404,A397,Parcelas!$I$5:$I$404,"Vencida"))</f>
        <v/>
      </c>
      <c r="H397" s="24">
        <f>IF(A397="","",IF(G397&gt;0,"Em atraso",IF(F397&gt;0,"Em dia","Sem parcela em aberto")))</f>
        <v/>
      </c>
    </row>
    <row r="398">
      <c r="A398" s="33" t="n"/>
      <c r="B398" s="35" t="n"/>
      <c r="C398" s="24">
        <f>IF(A398="","",COUNTIFS(Parcelas!$A$5:$A$404,A398))</f>
        <v/>
      </c>
      <c r="D398" s="25">
        <f>IF(A398="","",SUMIFS(Parcelas!$F$5:$F$404,Parcelas!$A$5:$A$404,A398))</f>
        <v/>
      </c>
      <c r="E398" s="25">
        <f>IF(A398="","",SUMIFS(Parcelas!$F$5:$F$404,Parcelas!$A$5:$A$404,A398,Parcelas!$I$5:$I$404,"Paga"))</f>
        <v/>
      </c>
      <c r="F398" s="25">
        <f>IF(A398="","",D398-E398)</f>
        <v/>
      </c>
      <c r="G398" s="25">
        <f>IF(A398="","",SUMIFS(Parcelas!$F$5:$F$404,Parcelas!$A$5:$A$404,A398,Parcelas!$I$5:$I$404,"Vencida"))</f>
        <v/>
      </c>
      <c r="H398" s="24">
        <f>IF(A398="","",IF(G398&gt;0,"Em atraso",IF(F398&gt;0,"Em dia","Sem parcela em aberto")))</f>
        <v/>
      </c>
    </row>
    <row r="399">
      <c r="A399" s="33" t="n"/>
      <c r="B399" s="35" t="n"/>
      <c r="C399" s="24">
        <f>IF(A399="","",COUNTIFS(Parcelas!$A$5:$A$404,A399))</f>
        <v/>
      </c>
      <c r="D399" s="25">
        <f>IF(A399="","",SUMIFS(Parcelas!$F$5:$F$404,Parcelas!$A$5:$A$404,A399))</f>
        <v/>
      </c>
      <c r="E399" s="25">
        <f>IF(A399="","",SUMIFS(Parcelas!$F$5:$F$404,Parcelas!$A$5:$A$404,A399,Parcelas!$I$5:$I$404,"Paga"))</f>
        <v/>
      </c>
      <c r="F399" s="25">
        <f>IF(A399="","",D399-E399)</f>
        <v/>
      </c>
      <c r="G399" s="25">
        <f>IF(A399="","",SUMIFS(Parcelas!$F$5:$F$404,Parcelas!$A$5:$A$404,A399,Parcelas!$I$5:$I$404,"Vencida"))</f>
        <v/>
      </c>
      <c r="H399" s="24">
        <f>IF(A399="","",IF(G399&gt;0,"Em atraso",IF(F399&gt;0,"Em dia","Sem parcela em aberto")))</f>
        <v/>
      </c>
    </row>
    <row r="400">
      <c r="A400" s="33" t="n"/>
      <c r="B400" s="35" t="n"/>
      <c r="C400" s="24">
        <f>IF(A400="","",COUNTIFS(Parcelas!$A$5:$A$404,A400))</f>
        <v/>
      </c>
      <c r="D400" s="25">
        <f>IF(A400="","",SUMIFS(Parcelas!$F$5:$F$404,Parcelas!$A$5:$A$404,A400))</f>
        <v/>
      </c>
      <c r="E400" s="25">
        <f>IF(A400="","",SUMIFS(Parcelas!$F$5:$F$404,Parcelas!$A$5:$A$404,A400,Parcelas!$I$5:$I$404,"Paga"))</f>
        <v/>
      </c>
      <c r="F400" s="25">
        <f>IF(A400="","",D400-E400)</f>
        <v/>
      </c>
      <c r="G400" s="25">
        <f>IF(A400="","",SUMIFS(Parcelas!$F$5:$F$404,Parcelas!$A$5:$A$404,A400,Parcelas!$I$5:$I$404,"Vencida"))</f>
        <v/>
      </c>
      <c r="H400" s="24">
        <f>IF(A400="","",IF(G400&gt;0,"Em atraso",IF(F400&gt;0,"Em dia","Sem parcela em aberto")))</f>
        <v/>
      </c>
    </row>
    <row r="401">
      <c r="A401" s="33" t="n"/>
      <c r="B401" s="35" t="n"/>
      <c r="C401" s="24">
        <f>IF(A401="","",COUNTIFS(Parcelas!$A$5:$A$404,A401))</f>
        <v/>
      </c>
      <c r="D401" s="25">
        <f>IF(A401="","",SUMIFS(Parcelas!$F$5:$F$404,Parcelas!$A$5:$A$404,A401))</f>
        <v/>
      </c>
      <c r="E401" s="25">
        <f>IF(A401="","",SUMIFS(Parcelas!$F$5:$F$404,Parcelas!$A$5:$A$404,A401,Parcelas!$I$5:$I$404,"Paga"))</f>
        <v/>
      </c>
      <c r="F401" s="25">
        <f>IF(A401="","",D401-E401)</f>
        <v/>
      </c>
      <c r="G401" s="25">
        <f>IF(A401="","",SUMIFS(Parcelas!$F$5:$F$404,Parcelas!$A$5:$A$404,A401,Parcelas!$I$5:$I$404,"Vencida"))</f>
        <v/>
      </c>
      <c r="H401" s="24">
        <f>IF(A401="","",IF(G401&gt;0,"Em atraso",IF(F401&gt;0,"Em dia","Sem parcela em aberto")))</f>
        <v/>
      </c>
    </row>
    <row r="402">
      <c r="A402" s="33" t="n"/>
      <c r="B402" s="35" t="n"/>
      <c r="C402" s="24">
        <f>IF(A402="","",COUNTIFS(Parcelas!$A$5:$A$404,A402))</f>
        <v/>
      </c>
      <c r="D402" s="25">
        <f>IF(A402="","",SUMIFS(Parcelas!$F$5:$F$404,Parcelas!$A$5:$A$404,A402))</f>
        <v/>
      </c>
      <c r="E402" s="25">
        <f>IF(A402="","",SUMIFS(Parcelas!$F$5:$F$404,Parcelas!$A$5:$A$404,A402,Parcelas!$I$5:$I$404,"Paga"))</f>
        <v/>
      </c>
      <c r="F402" s="25">
        <f>IF(A402="","",D402-E402)</f>
        <v/>
      </c>
      <c r="G402" s="25">
        <f>IF(A402="","",SUMIFS(Parcelas!$F$5:$F$404,Parcelas!$A$5:$A$404,A402,Parcelas!$I$5:$I$404,"Vencida"))</f>
        <v/>
      </c>
      <c r="H402" s="24">
        <f>IF(A402="","",IF(G402&gt;0,"Em atraso",IF(F402&gt;0,"Em dia","Sem parcela em aberto")))</f>
        <v/>
      </c>
    </row>
    <row r="403">
      <c r="A403" s="33" t="n"/>
      <c r="B403" s="35" t="n"/>
      <c r="C403" s="24">
        <f>IF(A403="","",COUNTIFS(Parcelas!$A$5:$A$404,A403))</f>
        <v/>
      </c>
      <c r="D403" s="25">
        <f>IF(A403="","",SUMIFS(Parcelas!$F$5:$F$404,Parcelas!$A$5:$A$404,A403))</f>
        <v/>
      </c>
      <c r="E403" s="25">
        <f>IF(A403="","",SUMIFS(Parcelas!$F$5:$F$404,Parcelas!$A$5:$A$404,A403,Parcelas!$I$5:$I$404,"Paga"))</f>
        <v/>
      </c>
      <c r="F403" s="25">
        <f>IF(A403="","",D403-E403)</f>
        <v/>
      </c>
      <c r="G403" s="25">
        <f>IF(A403="","",SUMIFS(Parcelas!$F$5:$F$404,Parcelas!$A$5:$A$404,A403,Parcelas!$I$5:$I$404,"Vencida"))</f>
        <v/>
      </c>
      <c r="H403" s="24">
        <f>IF(A403="","",IF(G403&gt;0,"Em atraso",IF(F403&gt;0,"Em dia","Sem parcela em aberto")))</f>
        <v/>
      </c>
    </row>
    <row r="404">
      <c r="A404" s="33" t="n"/>
      <c r="B404" s="35" t="n"/>
      <c r="C404" s="24">
        <f>IF(A404="","",COUNTIFS(Parcelas!$A$5:$A$404,A404))</f>
        <v/>
      </c>
      <c r="D404" s="25">
        <f>IF(A404="","",SUMIFS(Parcelas!$F$5:$F$404,Parcelas!$A$5:$A$404,A404))</f>
        <v/>
      </c>
      <c r="E404" s="25">
        <f>IF(A404="","",SUMIFS(Parcelas!$F$5:$F$404,Parcelas!$A$5:$A$404,A404,Parcelas!$I$5:$I$404,"Paga"))</f>
        <v/>
      </c>
      <c r="F404" s="25">
        <f>IF(A404="","",D404-E404)</f>
        <v/>
      </c>
      <c r="G404" s="25">
        <f>IF(A404="","",SUMIFS(Parcelas!$F$5:$F$404,Parcelas!$A$5:$A$404,A404,Parcelas!$I$5:$I$404,"Vencida"))</f>
        <v/>
      </c>
      <c r="H404" s="24">
        <f>IF(A404="","",IF(G404&gt;0,"Em atraso",IF(F404&gt;0,"Em dia","Sem parcela em aberto")))</f>
        <v/>
      </c>
    </row>
    <row r="406">
      <c r="A406" s="28" t="inlineStr">
        <is>
          <t>Cadastre aqui todos os pacientes que já pagaram a prazo alguma vez (a lista alimenta a escolha do paciente em Parcelas). Só nome e contato: nada clínico.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H404"/>
  <mergeCells count="2">
    <mergeCell ref="A1:I1"/>
    <mergeCell ref="A2:I2"/>
  </mergeCells>
  <conditionalFormatting sqref="H5:H404">
    <cfRule type="expression" priority="1" dxfId="2">
      <formula>H5="Em atraso"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9" customWidth="1" min="4" max="4"/>
    <col width="12" customWidth="1" min="5" max="5"/>
    <col width="12" customWidth="1" min="6" max="6"/>
    <col width="8" customWidth="1" min="7" max="7"/>
    <col width="13" customWidth="1" min="8" max="8"/>
    <col width="13" customWidth="1" min="9" max="9"/>
    <col width="9" customWidth="1" min="10" max="10"/>
    <col width="9" customWidth="1" min="11" max="11"/>
    <col width="16" customWidth="1" min="12" max="12"/>
    <col width="60" customWidth="1" min="13" max="13"/>
    <col hidden="1" width="13" customWidth="1" min="14" max="14"/>
    <col hidden="1" width="13" customWidth="1" min="15" max="15"/>
  </cols>
  <sheetData>
    <row r="1" ht="28" customHeight="1">
      <c r="A1" s="5" t="inlineStr">
        <is>
          <t>Parcelas</t>
        </is>
      </c>
    </row>
    <row r="2">
      <c r="A2" s="6" t="inlineStr">
        <is>
          <t>Uma linha por parcela combinada a prazo. Escolha o paciente na lista; situação, dias e ação da régua são calculados.</t>
        </is>
      </c>
    </row>
    <row r="4" ht="32" customHeight="1">
      <c r="A4" s="20" t="inlineStr">
        <is>
          <t>Paciente</t>
        </is>
      </c>
      <c r="B4" s="20" t="inlineStr">
        <is>
          <t>Procedimento</t>
        </is>
      </c>
      <c r="C4" s="20" t="inlineStr">
        <is>
          <t>Data do atendimento</t>
        </is>
      </c>
      <c r="D4" s="20" t="inlineStr">
        <is>
          <t>Nº da parcela</t>
        </is>
      </c>
      <c r="E4" s="20" t="inlineStr">
        <is>
          <t>Vencimento</t>
        </is>
      </c>
      <c r="F4" s="20" t="inlineStr">
        <is>
          <t>Valor (R$)</t>
        </is>
      </c>
      <c r="G4" s="20" t="inlineStr">
        <is>
          <t>Pago?</t>
        </is>
      </c>
      <c r="H4" s="20" t="inlineStr">
        <is>
          <t>Data do pagamento</t>
        </is>
      </c>
      <c r="I4" s="20" t="inlineStr">
        <is>
          <t>Situação</t>
        </is>
      </c>
      <c r="J4" s="20" t="inlineStr">
        <is>
          <t>Dias de atraso</t>
        </is>
      </c>
      <c r="K4" s="20" t="inlineStr">
        <is>
          <t>Dias para vencer</t>
        </is>
      </c>
      <c r="L4" s="20" t="inlineStr">
        <is>
          <t>Faixa de atraso</t>
        </is>
      </c>
      <c r="M4" s="20" t="inlineStr">
        <is>
          <t>Ação sugerida (régua)</t>
        </is>
      </c>
    </row>
    <row r="5">
      <c r="A5" s="33" t="inlineStr">
        <is>
          <t>Fábio Gomes</t>
        </is>
      </c>
      <c r="B5" s="33" t="inlineStr">
        <is>
          <t>Avaliação endócrina</t>
        </is>
      </c>
      <c r="C5" s="37" t="n">
        <v>46028</v>
      </c>
      <c r="D5" s="35" t="n">
        <v>1</v>
      </c>
      <c r="E5" s="37" t="n">
        <v>46058</v>
      </c>
      <c r="F5" s="38" t="n">
        <v>200</v>
      </c>
      <c r="G5" s="35" t="inlineStr">
        <is>
          <t>Sim</t>
        </is>
      </c>
      <c r="H5" s="37" t="n">
        <v>46061</v>
      </c>
      <c r="I5" s="24" t="str">
        <f>IF(A5="","",IF(G5="Sim","Paga",IF(E5="","Sem vencimento",IF(E5&lt;Config!$B$5,"Vencida","A vencer"))))</f>
        <v>Paga</v>
      </c>
      <c r="J5" s="30">
        <f>IF(I5="Vencida",Config!$B$5-E5,"")</f>
        <v/>
      </c>
      <c r="K5" s="30">
        <f>IF(I5="A vencer",E5-Config!$B$5,"")</f>
        <v/>
      </c>
      <c r="L5" s="24">
        <f>IF(I5&lt;&gt;"Vencida","",IF(COUNTIF(Config!$A$10:$A$13,"&lt;="&amp;J5)=0,"Antes da régua",INDEX(Config!$C$10:$C$13,COUNTIF(Config!$A$10:$A$13,"&lt;="&amp;J5))))</f>
        <v/>
      </c>
      <c r="M5" s="23">
        <f>IF(I5&lt;&gt;"Vencida","",IF(COUNTIF(Config!$A$10:$A$13,"&lt;="&amp;J5)=0,"Aguardar: ainda não chegou ao primeiro passo da régua.",INDEX(Config!$B$10:$B$13,COUNTIF(Config!$A$10:$A$13,"&lt;="&amp;J5))))</f>
        <v/>
      </c>
      <c r="N5" s="39">
        <f>IF(I5="Vencida",F5*J5+ROW()/100000,0)</f>
        <v>0</v>
      </c>
      <c r="O5" s="39">
        <f>IF(AND(I5="A vencer",K5&lt;=Config!$B$7),100000-K5-ROW()/100000,0)</f>
        <v>0</v>
      </c>
    </row>
    <row r="6">
      <c r="A6" s="33" t="inlineStr">
        <is>
          <t>Fábio Gomes</t>
        </is>
      </c>
      <c r="B6" s="33" t="inlineStr">
        <is>
          <t>Avaliação endócrina</t>
        </is>
      </c>
      <c r="C6" s="37" t="n">
        <v>46028</v>
      </c>
      <c r="D6" s="35" t="n">
        <v>2</v>
      </c>
      <c r="E6" s="37" t="n">
        <v>46088</v>
      </c>
      <c r="F6" s="38" t="n">
        <v>200</v>
      </c>
      <c r="G6" s="35" t="inlineStr">
        <is>
          <t>Sim</t>
        </is>
      </c>
      <c r="H6" s="37" t="n">
        <v>46088</v>
      </c>
      <c r="I6" s="24" t="str">
        <f>IF(A6="","",IF(G6="Sim","Paga",IF(E6="","Sem vencimento",IF(E6&lt;Config!$B$5,"Vencida","A vencer"))))</f>
        <v>Paga</v>
      </c>
      <c r="J6" s="30">
        <f>IF(I6="Vencida",Config!$B$5-E6,"")</f>
        <v/>
      </c>
      <c r="K6" s="30">
        <f>IF(I6="A vencer",E6-Config!$B$5,"")</f>
        <v/>
      </c>
      <c r="L6" s="24">
        <f>IF(I6&lt;&gt;"Vencida","",IF(COUNTIF(Config!$A$10:$A$13,"&lt;="&amp;J6)=0,"Antes da régua",INDEX(Config!$C$10:$C$13,COUNTIF(Config!$A$10:$A$13,"&lt;="&amp;J6))))</f>
        <v/>
      </c>
      <c r="M6" s="23">
        <f>IF(I6&lt;&gt;"Vencida","",IF(COUNTIF(Config!$A$10:$A$13,"&lt;="&amp;J6)=0,"Aguardar: ainda não chegou ao primeiro passo da régua.",INDEX(Config!$B$10:$B$13,COUNTIF(Config!$A$10:$A$13,"&lt;="&amp;J6))))</f>
        <v/>
      </c>
      <c r="N6" s="39">
        <f>IF(I6="Vencida",F6*J6+ROW()/100000,0)</f>
        <v>0</v>
      </c>
      <c r="O6" s="39">
        <f>IF(AND(I6="A vencer",K6&lt;=Config!$B$7),100000-K6-ROW()/100000,0)</f>
        <v>0</v>
      </c>
    </row>
    <row r="7">
      <c r="A7" s="33" t="inlineStr">
        <is>
          <t>Larissa Costa</t>
        </is>
      </c>
      <c r="B7" s="33" t="inlineStr">
        <is>
          <t>Consulta</t>
        </is>
      </c>
      <c r="C7" s="37" t="n">
        <v>46030</v>
      </c>
      <c r="D7" s="35" t="n">
        <v>1</v>
      </c>
      <c r="E7" s="37" t="n">
        <v>46060</v>
      </c>
      <c r="F7" s="38" t="n">
        <v>190</v>
      </c>
      <c r="G7" s="35" t="inlineStr">
        <is>
          <t>Sim</t>
        </is>
      </c>
      <c r="H7" s="37" t="n">
        <v>46063</v>
      </c>
      <c r="I7" s="24" t="str">
        <f>IF(A7="","",IF(G7="Sim","Paga",IF(E7="","Sem vencimento",IF(E7&lt;Config!$B$5,"Vencida","A vencer"))))</f>
        <v>Paga</v>
      </c>
      <c r="J7" s="30">
        <f>IF(I7="Vencida",Config!$B$5-E7,"")</f>
        <v/>
      </c>
      <c r="K7" s="30">
        <f>IF(I7="A vencer",E7-Config!$B$5,"")</f>
        <v/>
      </c>
      <c r="L7" s="24">
        <f>IF(I7&lt;&gt;"Vencida","",IF(COUNTIF(Config!$A$10:$A$13,"&lt;="&amp;J7)=0,"Antes da régua",INDEX(Config!$C$10:$C$13,COUNTIF(Config!$A$10:$A$13,"&lt;="&amp;J7))))</f>
        <v/>
      </c>
      <c r="M7" s="23">
        <f>IF(I7&lt;&gt;"Vencida","",IF(COUNTIF(Config!$A$10:$A$13,"&lt;="&amp;J7)=0,"Aguardar: ainda não chegou ao primeiro passo da régua.",INDEX(Config!$B$10:$B$13,COUNTIF(Config!$A$10:$A$13,"&lt;="&amp;J7))))</f>
        <v/>
      </c>
      <c r="N7" s="39">
        <f>IF(I7="Vencida",F7*J7+ROW()/100000,0)</f>
        <v>0</v>
      </c>
      <c r="O7" s="39">
        <f>IF(AND(I7="A vencer",K7&lt;=Config!$B$7),100000-K7-ROW()/100000,0)</f>
        <v>0</v>
      </c>
    </row>
    <row r="8">
      <c r="A8" s="33" t="inlineStr">
        <is>
          <t>Larissa Costa</t>
        </is>
      </c>
      <c r="B8" s="33" t="inlineStr">
        <is>
          <t>Consulta</t>
        </is>
      </c>
      <c r="C8" s="37" t="n">
        <v>46030</v>
      </c>
      <c r="D8" s="35" t="n">
        <v>2</v>
      </c>
      <c r="E8" s="37" t="n">
        <v>46090</v>
      </c>
      <c r="F8" s="38" t="n">
        <v>190</v>
      </c>
      <c r="G8" s="35" t="inlineStr">
        <is>
          <t>Sim</t>
        </is>
      </c>
      <c r="H8" s="37" t="n">
        <v>46091</v>
      </c>
      <c r="I8" s="24" t="str">
        <f>IF(A8="","",IF(G8="Sim","Paga",IF(E8="","Sem vencimento",IF(E8&lt;Config!$B$5,"Vencida","A vencer"))))</f>
        <v>Paga</v>
      </c>
      <c r="J8" s="30">
        <f>IF(I8="Vencida",Config!$B$5-E8,"")</f>
        <v/>
      </c>
      <c r="K8" s="30">
        <f>IF(I8="A vencer",E8-Config!$B$5,"")</f>
        <v/>
      </c>
      <c r="L8" s="24">
        <f>IF(I8&lt;&gt;"Vencida","",IF(COUNTIF(Config!$A$10:$A$13,"&lt;="&amp;J8)=0,"Antes da régua",INDEX(Config!$C$10:$C$13,COUNTIF(Config!$A$10:$A$13,"&lt;="&amp;J8))))</f>
        <v/>
      </c>
      <c r="M8" s="23">
        <f>IF(I8&lt;&gt;"Vencida","",IF(COUNTIF(Config!$A$10:$A$13,"&lt;="&amp;J8)=0,"Aguardar: ainda não chegou ao primeiro passo da régua.",INDEX(Config!$B$10:$B$13,COUNTIF(Config!$A$10:$A$13,"&lt;="&amp;J8))))</f>
        <v/>
      </c>
      <c r="N8" s="39">
        <f>IF(I8="Vencida",F8*J8+ROW()/100000,0)</f>
        <v>0</v>
      </c>
      <c r="O8" s="39">
        <f>IF(AND(I8="A vencer",K8&lt;=Config!$B$7),100000-K8-ROW()/100000,0)</f>
        <v>0</v>
      </c>
    </row>
    <row r="9">
      <c r="A9" s="33" t="inlineStr">
        <is>
          <t>Gisele Ribeiro</t>
        </is>
      </c>
      <c r="B9" s="33" t="inlineStr">
        <is>
          <t>Check-up cardiológico (consulta + ECG + teste ergométrico)</t>
        </is>
      </c>
      <c r="C9" s="37" t="n">
        <v>46034</v>
      </c>
      <c r="D9" s="35" t="n">
        <v>1</v>
      </c>
      <c r="E9" s="37" t="n">
        <v>46064</v>
      </c>
      <c r="F9" s="38" t="n">
        <v>480</v>
      </c>
      <c r="G9" s="35" t="inlineStr">
        <is>
          <t>Sim</t>
        </is>
      </c>
      <c r="H9" s="37" t="n">
        <v>46065</v>
      </c>
      <c r="I9" s="24" t="str">
        <f>IF(A9="","",IF(G9="Sim","Paga",IF(E9="","Sem vencimento",IF(E9&lt;Config!$B$5,"Vencida","A vencer"))))</f>
        <v>Paga</v>
      </c>
      <c r="J9" s="30">
        <f>IF(I9="Vencida",Config!$B$5-E9,"")</f>
        <v/>
      </c>
      <c r="K9" s="30">
        <f>IF(I9="A vencer",E9-Config!$B$5,"")</f>
        <v/>
      </c>
      <c r="L9" s="24">
        <f>IF(I9&lt;&gt;"Vencida","",IF(COUNTIF(Config!$A$10:$A$13,"&lt;="&amp;J9)=0,"Antes da régua",INDEX(Config!$C$10:$C$13,COUNTIF(Config!$A$10:$A$13,"&lt;="&amp;J9))))</f>
        <v/>
      </c>
      <c r="M9" s="23">
        <f>IF(I9&lt;&gt;"Vencida","",IF(COUNTIF(Config!$A$10:$A$13,"&lt;="&amp;J9)=0,"Aguardar: ainda não chegou ao primeiro passo da régua.",INDEX(Config!$B$10:$B$13,COUNTIF(Config!$A$10:$A$13,"&lt;="&amp;J9))))</f>
        <v/>
      </c>
      <c r="N9" s="39">
        <f>IF(I9="Vencida",F9*J9+ROW()/100000,0)</f>
        <v>0</v>
      </c>
      <c r="O9" s="39">
        <f>IF(AND(I9="A vencer",K9&lt;=Config!$B$7),100000-K9-ROW()/100000,0)</f>
        <v>0</v>
      </c>
    </row>
    <row r="10">
      <c r="A10" s="33" t="inlineStr">
        <is>
          <t>Gisele Ribeiro</t>
        </is>
      </c>
      <c r="B10" s="33" t="inlineStr">
        <is>
          <t>Check-up cardiológico (consulta + ECG + teste ergométrico)</t>
        </is>
      </c>
      <c r="C10" s="37" t="n">
        <v>46034</v>
      </c>
      <c r="D10" s="35" t="n">
        <v>2</v>
      </c>
      <c r="E10" s="37" t="n">
        <v>46094</v>
      </c>
      <c r="F10" s="38" t="n">
        <v>480</v>
      </c>
      <c r="G10" s="35" t="inlineStr">
        <is>
          <t>Sim</t>
        </is>
      </c>
      <c r="H10" s="37" t="n">
        <v>46094</v>
      </c>
      <c r="I10" s="24" t="str">
        <f>IF(A10="","",IF(G10="Sim","Paga",IF(E10="","Sem vencimento",IF(E10&lt;Config!$B$5,"Vencida","A vencer"))))</f>
        <v>Paga</v>
      </c>
      <c r="J10" s="30">
        <f>IF(I10="Vencida",Config!$B$5-E10,"")</f>
        <v/>
      </c>
      <c r="K10" s="30">
        <f>IF(I10="A vencer",E10-Config!$B$5,"")</f>
        <v/>
      </c>
      <c r="L10" s="24">
        <f>IF(I10&lt;&gt;"Vencida","",IF(COUNTIF(Config!$A$10:$A$13,"&lt;="&amp;J10)=0,"Antes da régua",INDEX(Config!$C$10:$C$13,COUNTIF(Config!$A$10:$A$13,"&lt;="&amp;J10))))</f>
        <v/>
      </c>
      <c r="M10" s="23">
        <f>IF(I10&lt;&gt;"Vencida","",IF(COUNTIF(Config!$A$10:$A$13,"&lt;="&amp;J10)=0,"Aguardar: ainda não chegou ao primeiro passo da régua.",INDEX(Config!$B$10:$B$13,COUNTIF(Config!$A$10:$A$13,"&lt;="&amp;J10))))</f>
        <v/>
      </c>
      <c r="N10" s="39">
        <f>IF(I10="Vencida",F10*J10+ROW()/100000,0)</f>
        <v>0</v>
      </c>
      <c r="O10" s="39">
        <f>IF(AND(I10="A vencer",K10&lt;=Config!$B$7),100000-K10-ROW()/100000,0)</f>
        <v>0</v>
      </c>
    </row>
    <row r="11">
      <c r="A11" s="33" t="inlineStr">
        <is>
          <t>Márcia Duarte</t>
        </is>
      </c>
      <c r="B11" s="33" t="inlineStr">
        <is>
          <t>Avaliação endócrina</t>
        </is>
      </c>
      <c r="C11" s="37" t="n">
        <v>46035</v>
      </c>
      <c r="D11" s="35" t="n">
        <v>1</v>
      </c>
      <c r="E11" s="37" t="n">
        <v>46065</v>
      </c>
      <c r="F11" s="38" t="n">
        <v>200</v>
      </c>
      <c r="G11" s="35" t="inlineStr">
        <is>
          <t>Não</t>
        </is>
      </c>
      <c r="H11" s="37" t="n"/>
      <c r="I11" s="24" t="str">
        <f>IF(A11="","",IF(G11="Sim","Paga",IF(E11="","Sem vencimento",IF(E11&lt;Config!$B$5,"Vencida","A vencer"))))</f>
        <v>Vencida</v>
      </c>
      <c r="J11" s="30">
        <f>IF(I11="Vencida",Config!$B$5-E11,"")</f>
        <v>214</v>
      </c>
      <c r="K11" s="30">
        <f>IF(I11="A vencer",E11-Config!$B$5,"")</f>
        <v/>
      </c>
      <c r="L11" s="24" t="str">
        <f>IF(I11&lt;&gt;"Vencida","",IF(COUNTIF(Config!$A$10:$A$13,"&lt;="&amp;J11)=0,"Antes da régua",INDEX(Config!$C$10:$C$13,COUNTIF(Config!$A$10:$A$13,"&lt;="&amp;J11))))</f>
        <v>30 dias ou mais</v>
      </c>
      <c r="M11" s="23" t="str">
        <f>IF(I11&lt;&gt;"Vencida","",IF(COUNTIF(Config!$A$10:$A$13,"&lt;="&amp;J11)=0,"Aguardar: ainda não chegou ao primeiro passo da régua.",INDEX(Config!$B$10:$B$13,COUNTIF(Config!$A$10:$A$13,"&lt;="&amp;J11))))</f>
        <v>Conversa do médico ou da administração para combinar um plano de pagamento; registrar por escrito o que foi combinado.</v>
      </c>
      <c r="N11" s="39">
        <f>IF(I11="Vencida",F11*J11+ROW()/100000,0)</f>
        <v>42800.00011</v>
      </c>
      <c r="O11" s="39">
        <f>IF(AND(I11="A vencer",K11&lt;=Config!$B$7),100000-K11-ROW()/100000,0)</f>
        <v>0</v>
      </c>
    </row>
    <row r="12">
      <c r="A12" s="33" t="inlineStr">
        <is>
          <t>Márcia Duarte</t>
        </is>
      </c>
      <c r="B12" s="33" t="inlineStr">
        <is>
          <t>Avaliação endócrina</t>
        </is>
      </c>
      <c r="C12" s="37" t="n">
        <v>46035</v>
      </c>
      <c r="D12" s="35" t="n">
        <v>2</v>
      </c>
      <c r="E12" s="37" t="n">
        <v>46095</v>
      </c>
      <c r="F12" s="38" t="n">
        <v>200</v>
      </c>
      <c r="G12" s="35" t="inlineStr">
        <is>
          <t>Sim</t>
        </is>
      </c>
      <c r="H12" s="37" t="n">
        <v>46100</v>
      </c>
      <c r="I12" s="24" t="str">
        <f>IF(A12="","",IF(G12="Sim","Paga",IF(E12="","Sem vencimento",IF(E12&lt;Config!$B$5,"Vencida","A vencer"))))</f>
        <v>Paga</v>
      </c>
      <c r="J12" s="30">
        <f>IF(I12="Vencida",Config!$B$5-E12,"")</f>
        <v/>
      </c>
      <c r="K12" s="30">
        <f>IF(I12="A vencer",E12-Config!$B$5,"")</f>
        <v/>
      </c>
      <c r="L12" s="24">
        <f>IF(I12&lt;&gt;"Vencida","",IF(COUNTIF(Config!$A$10:$A$13,"&lt;="&amp;J12)=0,"Antes da régua",INDEX(Config!$C$10:$C$13,COUNTIF(Config!$A$10:$A$13,"&lt;="&amp;J12))))</f>
        <v/>
      </c>
      <c r="M12" s="23">
        <f>IF(I12&lt;&gt;"Vencida","",IF(COUNTIF(Config!$A$10:$A$13,"&lt;="&amp;J12)=0,"Aguardar: ainda não chegou ao primeiro passo da régua.",INDEX(Config!$B$10:$B$13,COUNTIF(Config!$A$10:$A$13,"&lt;="&amp;J12))))</f>
        <v/>
      </c>
      <c r="N12" s="39">
        <f>IF(I12="Vencida",F12*J12+ROW()/100000,0)</f>
        <v>0</v>
      </c>
      <c r="O12" s="39">
        <f>IF(AND(I12="A vencer",K12&lt;=Config!$B$7),100000-K12-ROW()/100000,0)</f>
        <v>0</v>
      </c>
    </row>
    <row r="13">
      <c r="A13" s="33" t="inlineStr">
        <is>
          <t>Wagner Lima</t>
        </is>
      </c>
      <c r="B13" s="33" t="inlineStr">
        <is>
          <t>Holter</t>
        </is>
      </c>
      <c r="C13" s="37" t="n">
        <v>46038</v>
      </c>
      <c r="D13" s="35" t="n">
        <v>1</v>
      </c>
      <c r="E13" s="37" t="n">
        <v>46068</v>
      </c>
      <c r="F13" s="38" t="n">
        <v>175</v>
      </c>
      <c r="G13" s="35" t="inlineStr">
        <is>
          <t>Sim</t>
        </is>
      </c>
      <c r="H13" s="37" t="n">
        <v>46071</v>
      </c>
      <c r="I13" s="24" t="str">
        <f>IF(A13="","",IF(G13="Sim","Paga",IF(E13="","Sem vencimento",IF(E13&lt;Config!$B$5,"Vencida","A vencer"))))</f>
        <v>Paga</v>
      </c>
      <c r="J13" s="30">
        <f>IF(I13="Vencida",Config!$B$5-E13,"")</f>
        <v/>
      </c>
      <c r="K13" s="30">
        <f>IF(I13="A vencer",E13-Config!$B$5,"")</f>
        <v/>
      </c>
      <c r="L13" s="24">
        <f>IF(I13&lt;&gt;"Vencida","",IF(COUNTIF(Config!$A$10:$A$13,"&lt;="&amp;J13)=0,"Antes da régua",INDEX(Config!$C$10:$C$13,COUNTIF(Config!$A$10:$A$13,"&lt;="&amp;J13))))</f>
        <v/>
      </c>
      <c r="M13" s="23">
        <f>IF(I13&lt;&gt;"Vencida","",IF(COUNTIF(Config!$A$10:$A$13,"&lt;="&amp;J13)=0,"Aguardar: ainda não chegou ao primeiro passo da régua.",INDEX(Config!$B$10:$B$13,COUNTIF(Config!$A$10:$A$13,"&lt;="&amp;J13))))</f>
        <v/>
      </c>
      <c r="N13" s="39">
        <f>IF(I13="Vencida",F13*J13+ROW()/100000,0)</f>
        <v>0</v>
      </c>
      <c r="O13" s="39">
        <f>IF(AND(I13="A vencer",K13&lt;=Config!$B$7),100000-K13-ROW()/100000,0)</f>
        <v>0</v>
      </c>
    </row>
    <row r="14">
      <c r="A14" s="33" t="inlineStr">
        <is>
          <t>Wagner Lima</t>
        </is>
      </c>
      <c r="B14" s="33" t="inlineStr">
        <is>
          <t>Holter</t>
        </is>
      </c>
      <c r="C14" s="37" t="n">
        <v>46038</v>
      </c>
      <c r="D14" s="35" t="n">
        <v>2</v>
      </c>
      <c r="E14" s="37" t="n">
        <v>46098</v>
      </c>
      <c r="F14" s="38" t="n">
        <v>175</v>
      </c>
      <c r="G14" s="35" t="inlineStr">
        <is>
          <t>Sim</t>
        </is>
      </c>
      <c r="H14" s="37" t="n">
        <v>46098</v>
      </c>
      <c r="I14" s="24" t="str">
        <f>IF(A14="","",IF(G14="Sim","Paga",IF(E14="","Sem vencimento",IF(E14&lt;Config!$B$5,"Vencida","A vencer"))))</f>
        <v>Paga</v>
      </c>
      <c r="J14" s="30">
        <f>IF(I14="Vencida",Config!$B$5-E14,"")</f>
        <v/>
      </c>
      <c r="K14" s="30">
        <f>IF(I14="A vencer",E14-Config!$B$5,"")</f>
        <v/>
      </c>
      <c r="L14" s="24">
        <f>IF(I14&lt;&gt;"Vencida","",IF(COUNTIF(Config!$A$10:$A$13,"&lt;="&amp;J14)=0,"Antes da régua",INDEX(Config!$C$10:$C$13,COUNTIF(Config!$A$10:$A$13,"&lt;="&amp;J14))))</f>
        <v/>
      </c>
      <c r="M14" s="23">
        <f>IF(I14&lt;&gt;"Vencida","",IF(COUNTIF(Config!$A$10:$A$13,"&lt;="&amp;J14)=0,"Aguardar: ainda não chegou ao primeiro passo da régua.",INDEX(Config!$B$10:$B$13,COUNTIF(Config!$A$10:$A$13,"&lt;="&amp;J14))))</f>
        <v/>
      </c>
      <c r="N14" s="39">
        <f>IF(I14="Vencida",F14*J14+ROW()/100000,0)</f>
        <v>0</v>
      </c>
      <c r="O14" s="39">
        <f>IF(AND(I14="A vencer",K14&lt;=Config!$B$7),100000-K14-ROW()/100000,0)</f>
        <v>0</v>
      </c>
    </row>
    <row r="15">
      <c r="A15" s="33" t="inlineStr">
        <is>
          <t>Carlos Oliveira</t>
        </is>
      </c>
      <c r="B15" s="33" t="inlineStr">
        <is>
          <t>Consulta</t>
        </is>
      </c>
      <c r="C15" s="37" t="n">
        <v>46044</v>
      </c>
      <c r="D15" s="35" t="n">
        <v>1</v>
      </c>
      <c r="E15" s="37" t="n">
        <v>46074</v>
      </c>
      <c r="F15" s="38" t="n">
        <v>190</v>
      </c>
      <c r="G15" s="35" t="inlineStr">
        <is>
          <t>Sim</t>
        </is>
      </c>
      <c r="H15" s="37" t="n">
        <v>46076</v>
      </c>
      <c r="I15" s="24" t="str">
        <f>IF(A15="","",IF(G15="Sim","Paga",IF(E15="","Sem vencimento",IF(E15&lt;Config!$B$5,"Vencida","A vencer"))))</f>
        <v>Paga</v>
      </c>
      <c r="J15" s="30">
        <f>IF(I15="Vencida",Config!$B$5-E15,"")</f>
        <v/>
      </c>
      <c r="K15" s="30">
        <f>IF(I15="A vencer",E15-Config!$B$5,"")</f>
        <v/>
      </c>
      <c r="L15" s="24">
        <f>IF(I15&lt;&gt;"Vencida","",IF(COUNTIF(Config!$A$10:$A$13,"&lt;="&amp;J15)=0,"Antes da régua",INDEX(Config!$C$10:$C$13,COUNTIF(Config!$A$10:$A$13,"&lt;="&amp;J15))))</f>
        <v/>
      </c>
      <c r="M15" s="23">
        <f>IF(I15&lt;&gt;"Vencida","",IF(COUNTIF(Config!$A$10:$A$13,"&lt;="&amp;J15)=0,"Aguardar: ainda não chegou ao primeiro passo da régua.",INDEX(Config!$B$10:$B$13,COUNTIF(Config!$A$10:$A$13,"&lt;="&amp;J15))))</f>
        <v/>
      </c>
      <c r="N15" s="39">
        <f>IF(I15="Vencida",F15*J15+ROW()/100000,0)</f>
        <v>0</v>
      </c>
      <c r="O15" s="39">
        <f>IF(AND(I15="A vencer",K15&lt;=Config!$B$7),100000-K15-ROW()/100000,0)</f>
        <v>0</v>
      </c>
    </row>
    <row r="16">
      <c r="A16" s="33" t="inlineStr">
        <is>
          <t>Carlos Oliveira</t>
        </is>
      </c>
      <c r="B16" s="33" t="inlineStr">
        <is>
          <t>Consulta</t>
        </is>
      </c>
      <c r="C16" s="37" t="n">
        <v>46044</v>
      </c>
      <c r="D16" s="35" t="n">
        <v>2</v>
      </c>
      <c r="E16" s="37" t="n">
        <v>46104</v>
      </c>
      <c r="F16" s="38" t="n">
        <v>190</v>
      </c>
      <c r="G16" s="35" t="inlineStr">
        <is>
          <t>Sim</t>
        </is>
      </c>
      <c r="H16" s="37" t="n">
        <v>46104</v>
      </c>
      <c r="I16" s="24" t="str">
        <f>IF(A16="","",IF(G16="Sim","Paga",IF(E16="","Sem vencimento",IF(E16&lt;Config!$B$5,"Vencida","A vencer"))))</f>
        <v>Paga</v>
      </c>
      <c r="J16" s="30">
        <f>IF(I16="Vencida",Config!$B$5-E16,"")</f>
        <v/>
      </c>
      <c r="K16" s="30">
        <f>IF(I16="A vencer",E16-Config!$B$5,"")</f>
        <v/>
      </c>
      <c r="L16" s="24">
        <f>IF(I16&lt;&gt;"Vencida","",IF(COUNTIF(Config!$A$10:$A$13,"&lt;="&amp;J16)=0,"Antes da régua",INDEX(Config!$C$10:$C$13,COUNTIF(Config!$A$10:$A$13,"&lt;="&amp;J16))))</f>
        <v/>
      </c>
      <c r="M16" s="23">
        <f>IF(I16&lt;&gt;"Vencida","",IF(COUNTIF(Config!$A$10:$A$13,"&lt;="&amp;J16)=0,"Aguardar: ainda não chegou ao primeiro passo da régua.",INDEX(Config!$B$10:$B$13,COUNTIF(Config!$A$10:$A$13,"&lt;="&amp;J16))))</f>
        <v/>
      </c>
      <c r="N16" s="39">
        <f>IF(I16="Vencida",F16*J16+ROW()/100000,0)</f>
        <v>0</v>
      </c>
      <c r="O16" s="39">
        <f>IF(AND(I16="A vencer",K16&lt;=Config!$B$7),100000-K16-ROW()/100000,0)</f>
        <v>0</v>
      </c>
    </row>
    <row r="17">
      <c r="A17" s="33" t="inlineStr">
        <is>
          <t>Gabriel Reis</t>
        </is>
      </c>
      <c r="B17" s="33" t="inlineStr">
        <is>
          <t>Avaliação endócrina</t>
        </is>
      </c>
      <c r="C17" s="37" t="n">
        <v>46044</v>
      </c>
      <c r="D17" s="35" t="n">
        <v>1</v>
      </c>
      <c r="E17" s="37" t="n">
        <v>46074</v>
      </c>
      <c r="F17" s="38" t="n">
        <v>400</v>
      </c>
      <c r="G17" s="35" t="inlineStr">
        <is>
          <t>Sim</t>
        </is>
      </c>
      <c r="H17" s="37" t="n">
        <v>46074</v>
      </c>
      <c r="I17" s="24" t="str">
        <f>IF(A17="","",IF(G17="Sim","Paga",IF(E17="","Sem vencimento",IF(E17&lt;Config!$B$5,"Vencida","A vencer"))))</f>
        <v>Paga</v>
      </c>
      <c r="J17" s="30">
        <f>IF(I17="Vencida",Config!$B$5-E17,"")</f>
        <v/>
      </c>
      <c r="K17" s="30">
        <f>IF(I17="A vencer",E17-Config!$B$5,"")</f>
        <v/>
      </c>
      <c r="L17" s="24">
        <f>IF(I17&lt;&gt;"Vencida","",IF(COUNTIF(Config!$A$10:$A$13,"&lt;="&amp;J17)=0,"Antes da régua",INDEX(Config!$C$10:$C$13,COUNTIF(Config!$A$10:$A$13,"&lt;="&amp;J17))))</f>
        <v/>
      </c>
      <c r="M17" s="23">
        <f>IF(I17&lt;&gt;"Vencida","",IF(COUNTIF(Config!$A$10:$A$13,"&lt;="&amp;J17)=0,"Aguardar: ainda não chegou ao primeiro passo da régua.",INDEX(Config!$B$10:$B$13,COUNTIF(Config!$A$10:$A$13,"&lt;="&amp;J17))))</f>
        <v/>
      </c>
      <c r="N17" s="39">
        <f>IF(I17="Vencida",F17*J17+ROW()/100000,0)</f>
        <v>0</v>
      </c>
      <c r="O17" s="39">
        <f>IF(AND(I17="A vencer",K17&lt;=Config!$B$7),100000-K17-ROW()/100000,0)</f>
        <v>0</v>
      </c>
    </row>
    <row r="18">
      <c r="A18" s="33" t="inlineStr">
        <is>
          <t>Helena Moreira</t>
        </is>
      </c>
      <c r="B18" s="33" t="inlineStr">
        <is>
          <t>Consulta</t>
        </is>
      </c>
      <c r="C18" s="37" t="n">
        <v>46049</v>
      </c>
      <c r="D18" s="35" t="n">
        <v>1</v>
      </c>
      <c r="E18" s="37" t="n">
        <v>46079</v>
      </c>
      <c r="F18" s="38" t="n">
        <v>190</v>
      </c>
      <c r="G18" s="35" t="inlineStr">
        <is>
          <t>Sim</t>
        </is>
      </c>
      <c r="H18" s="37" t="n">
        <v>46080</v>
      </c>
      <c r="I18" s="24" t="str">
        <f>IF(A18="","",IF(G18="Sim","Paga",IF(E18="","Sem vencimento",IF(E18&lt;Config!$B$5,"Vencida","A vencer"))))</f>
        <v>Paga</v>
      </c>
      <c r="J18" s="30">
        <f>IF(I18="Vencida",Config!$B$5-E18,"")</f>
        <v/>
      </c>
      <c r="K18" s="30">
        <f>IF(I18="A vencer",E18-Config!$B$5,"")</f>
        <v/>
      </c>
      <c r="L18" s="24">
        <f>IF(I18&lt;&gt;"Vencida","",IF(COUNTIF(Config!$A$10:$A$13,"&lt;="&amp;J18)=0,"Antes da régua",INDEX(Config!$C$10:$C$13,COUNTIF(Config!$A$10:$A$13,"&lt;="&amp;J18))))</f>
        <v/>
      </c>
      <c r="M18" s="23">
        <f>IF(I18&lt;&gt;"Vencida","",IF(COUNTIF(Config!$A$10:$A$13,"&lt;="&amp;J18)=0,"Aguardar: ainda não chegou ao primeiro passo da régua.",INDEX(Config!$B$10:$B$13,COUNTIF(Config!$A$10:$A$13,"&lt;="&amp;J18))))</f>
        <v/>
      </c>
      <c r="N18" s="39">
        <f>IF(I18="Vencida",F18*J18+ROW()/100000,0)</f>
        <v>0</v>
      </c>
      <c r="O18" s="39">
        <f>IF(AND(I18="A vencer",K18&lt;=Config!$B$7),100000-K18-ROW()/100000,0)</f>
        <v>0</v>
      </c>
    </row>
    <row r="19">
      <c r="A19" s="33" t="inlineStr">
        <is>
          <t>Helena Moreira</t>
        </is>
      </c>
      <c r="B19" s="33" t="inlineStr">
        <is>
          <t>Consulta</t>
        </is>
      </c>
      <c r="C19" s="37" t="n">
        <v>46049</v>
      </c>
      <c r="D19" s="35" t="n">
        <v>2</v>
      </c>
      <c r="E19" s="37" t="n">
        <v>46109</v>
      </c>
      <c r="F19" s="38" t="n">
        <v>190</v>
      </c>
      <c r="G19" s="35" t="inlineStr">
        <is>
          <t>Sim</t>
        </is>
      </c>
      <c r="H19" s="37" t="n">
        <v>46110</v>
      </c>
      <c r="I19" s="24" t="str">
        <f>IF(A19="","",IF(G19="Sim","Paga",IF(E19="","Sem vencimento",IF(E19&lt;Config!$B$5,"Vencida","A vencer"))))</f>
        <v>Paga</v>
      </c>
      <c r="J19" s="30">
        <f>IF(I19="Vencida",Config!$B$5-E19,"")</f>
        <v/>
      </c>
      <c r="K19" s="30">
        <f>IF(I19="A vencer",E19-Config!$B$5,"")</f>
        <v/>
      </c>
      <c r="L19" s="24">
        <f>IF(I19&lt;&gt;"Vencida","",IF(COUNTIF(Config!$A$10:$A$13,"&lt;="&amp;J19)=0,"Antes da régua",INDEX(Config!$C$10:$C$13,COUNTIF(Config!$A$10:$A$13,"&lt;="&amp;J19))))</f>
        <v/>
      </c>
      <c r="M19" s="23">
        <f>IF(I19&lt;&gt;"Vencida","",IF(COUNTIF(Config!$A$10:$A$13,"&lt;="&amp;J19)=0,"Aguardar: ainda não chegou ao primeiro passo da régua.",INDEX(Config!$B$10:$B$13,COUNTIF(Config!$A$10:$A$13,"&lt;="&amp;J19))))</f>
        <v/>
      </c>
      <c r="N19" s="39">
        <f>IF(I19="Vencida",F19*J19+ROW()/100000,0)</f>
        <v>0</v>
      </c>
      <c r="O19" s="39">
        <f>IF(AND(I19="A vencer",K19&lt;=Config!$B$7),100000-K19-ROW()/100000,0)</f>
        <v>0</v>
      </c>
    </row>
    <row r="20">
      <c r="A20" s="33" t="inlineStr">
        <is>
          <t>Otávio Nascimento</t>
        </is>
      </c>
      <c r="B20" s="33" t="inlineStr">
        <is>
          <t>Teste ergométrico</t>
        </is>
      </c>
      <c r="C20" s="37" t="n">
        <v>46051</v>
      </c>
      <c r="D20" s="35" t="n">
        <v>1</v>
      </c>
      <c r="E20" s="37" t="n">
        <v>46081</v>
      </c>
      <c r="F20" s="38" t="n">
        <v>450</v>
      </c>
      <c r="G20" s="35" t="inlineStr">
        <is>
          <t>Sim</t>
        </is>
      </c>
      <c r="H20" s="37" t="n">
        <v>46084</v>
      </c>
      <c r="I20" s="24" t="str">
        <f>IF(A20="","",IF(G20="Sim","Paga",IF(E20="","Sem vencimento",IF(E20&lt;Config!$B$5,"Vencida","A vencer"))))</f>
        <v>Paga</v>
      </c>
      <c r="J20" s="30">
        <f>IF(I20="Vencida",Config!$B$5-E20,"")</f>
        <v/>
      </c>
      <c r="K20" s="30">
        <f>IF(I20="A vencer",E20-Config!$B$5,"")</f>
        <v/>
      </c>
      <c r="L20" s="24">
        <f>IF(I20&lt;&gt;"Vencida","",IF(COUNTIF(Config!$A$10:$A$13,"&lt;="&amp;J20)=0,"Antes da régua",INDEX(Config!$C$10:$C$13,COUNTIF(Config!$A$10:$A$13,"&lt;="&amp;J20))))</f>
        <v/>
      </c>
      <c r="M20" s="23">
        <f>IF(I20&lt;&gt;"Vencida","",IF(COUNTIF(Config!$A$10:$A$13,"&lt;="&amp;J20)=0,"Aguardar: ainda não chegou ao primeiro passo da régua.",INDEX(Config!$B$10:$B$13,COUNTIF(Config!$A$10:$A$13,"&lt;="&amp;J20))))</f>
        <v/>
      </c>
      <c r="N20" s="39">
        <f>IF(I20="Vencida",F20*J20+ROW()/100000,0)</f>
        <v>0</v>
      </c>
      <c r="O20" s="39">
        <f>IF(AND(I20="A vencer",K20&lt;=Config!$B$7),100000-K20-ROW()/100000,0)</f>
        <v>0</v>
      </c>
    </row>
    <row r="21">
      <c r="A21" s="33" t="inlineStr">
        <is>
          <t>Rafael Pereira</t>
        </is>
      </c>
      <c r="B21" s="33" t="inlineStr">
        <is>
          <t>Avaliação endócrina</t>
        </is>
      </c>
      <c r="C21" s="37" t="n">
        <v>46056</v>
      </c>
      <c r="D21" s="35" t="n">
        <v>1</v>
      </c>
      <c r="E21" s="37" t="n">
        <v>46086</v>
      </c>
      <c r="F21" s="38" t="n">
        <v>400</v>
      </c>
      <c r="G21" s="35" t="inlineStr">
        <is>
          <t>Sim</t>
        </is>
      </c>
      <c r="H21" s="37" t="n">
        <v>46088</v>
      </c>
      <c r="I21" s="24" t="str">
        <f>IF(A21="","",IF(G21="Sim","Paga",IF(E21="","Sem vencimento",IF(E21&lt;Config!$B$5,"Vencida","A vencer"))))</f>
        <v>Paga</v>
      </c>
      <c r="J21" s="30">
        <f>IF(I21="Vencida",Config!$B$5-E21,"")</f>
        <v/>
      </c>
      <c r="K21" s="30">
        <f>IF(I21="A vencer",E21-Config!$B$5,"")</f>
        <v/>
      </c>
      <c r="L21" s="24">
        <f>IF(I21&lt;&gt;"Vencida","",IF(COUNTIF(Config!$A$10:$A$13,"&lt;="&amp;J21)=0,"Antes da régua",INDEX(Config!$C$10:$C$13,COUNTIF(Config!$A$10:$A$13,"&lt;="&amp;J21))))</f>
        <v/>
      </c>
      <c r="M21" s="23">
        <f>IF(I21&lt;&gt;"Vencida","",IF(COUNTIF(Config!$A$10:$A$13,"&lt;="&amp;J21)=0,"Aguardar: ainda não chegou ao primeiro passo da régua.",INDEX(Config!$B$10:$B$13,COUNTIF(Config!$A$10:$A$13,"&lt;="&amp;J21))))</f>
        <v/>
      </c>
      <c r="N21" s="39">
        <f>IF(I21="Vencida",F21*J21+ROW()/100000,0)</f>
        <v>0</v>
      </c>
      <c r="O21" s="39">
        <f>IF(AND(I21="A vencer",K21&lt;=Config!$B$7),100000-K21-ROW()/100000,0)</f>
        <v>0</v>
      </c>
    </row>
    <row r="22">
      <c r="A22" s="33" t="inlineStr">
        <is>
          <t>Fernanda Freitas</t>
        </is>
      </c>
      <c r="B22" s="33" t="inlineStr">
        <is>
          <t>Consulta</t>
        </is>
      </c>
      <c r="C22" s="37" t="n">
        <v>46063</v>
      </c>
      <c r="D22" s="35" t="n">
        <v>1</v>
      </c>
      <c r="E22" s="37" t="n">
        <v>46093</v>
      </c>
      <c r="F22" s="38" t="n">
        <v>380</v>
      </c>
      <c r="G22" s="35" t="inlineStr">
        <is>
          <t>Sim</t>
        </is>
      </c>
      <c r="H22" s="37" t="n">
        <v>46098</v>
      </c>
      <c r="I22" s="24" t="str">
        <f>IF(A22="","",IF(G22="Sim","Paga",IF(E22="","Sem vencimento",IF(E22&lt;Config!$B$5,"Vencida","A vencer"))))</f>
        <v>Paga</v>
      </c>
      <c r="J22" s="30">
        <f>IF(I22="Vencida",Config!$B$5-E22,"")</f>
        <v/>
      </c>
      <c r="K22" s="30">
        <f>IF(I22="A vencer",E22-Config!$B$5,"")</f>
        <v/>
      </c>
      <c r="L22" s="24">
        <f>IF(I22&lt;&gt;"Vencida","",IF(COUNTIF(Config!$A$10:$A$13,"&lt;="&amp;J22)=0,"Antes da régua",INDEX(Config!$C$10:$C$13,COUNTIF(Config!$A$10:$A$13,"&lt;="&amp;J22))))</f>
        <v/>
      </c>
      <c r="M22" s="23">
        <f>IF(I22&lt;&gt;"Vencida","",IF(COUNTIF(Config!$A$10:$A$13,"&lt;="&amp;J22)=0,"Aguardar: ainda não chegou ao primeiro passo da régua.",INDEX(Config!$B$10:$B$13,COUNTIF(Config!$A$10:$A$13,"&lt;="&amp;J22))))</f>
        <v/>
      </c>
      <c r="N22" s="39">
        <f>IF(I22="Vencida",F22*J22+ROW()/100000,0)</f>
        <v>0</v>
      </c>
      <c r="O22" s="39">
        <f>IF(AND(I22="A vencer",K22&lt;=Config!$B$7),100000-K22-ROW()/100000,0)</f>
        <v>0</v>
      </c>
    </row>
    <row r="23">
      <c r="A23" s="33" t="inlineStr">
        <is>
          <t>Mônica Martins</t>
        </is>
      </c>
      <c r="B23" s="33" t="inlineStr">
        <is>
          <t>Consulta</t>
        </is>
      </c>
      <c r="C23" s="37" t="n">
        <v>46064</v>
      </c>
      <c r="D23" s="35" t="n">
        <v>1</v>
      </c>
      <c r="E23" s="37" t="n">
        <v>46094</v>
      </c>
      <c r="F23" s="38" t="n">
        <v>190</v>
      </c>
      <c r="G23" s="35" t="inlineStr">
        <is>
          <t>Não</t>
        </is>
      </c>
      <c r="H23" s="37" t="n"/>
      <c r="I23" s="24" t="str">
        <f>IF(A23="","",IF(G23="Sim","Paga",IF(E23="","Sem vencimento",IF(E23&lt;Config!$B$5,"Vencida","A vencer"))))</f>
        <v>Vencida</v>
      </c>
      <c r="J23" s="30">
        <f>IF(I23="Vencida",Config!$B$5-E23,"")</f>
        <v>185</v>
      </c>
      <c r="K23" s="30">
        <f>IF(I23="A vencer",E23-Config!$B$5,"")</f>
        <v/>
      </c>
      <c r="L23" s="24" t="str">
        <f>IF(I23&lt;&gt;"Vencida","",IF(COUNTIF(Config!$A$10:$A$13,"&lt;="&amp;J23)=0,"Antes da régua",INDEX(Config!$C$10:$C$13,COUNTIF(Config!$A$10:$A$13,"&lt;="&amp;J23))))</f>
        <v>30 dias ou mais</v>
      </c>
      <c r="M23" s="23" t="str">
        <f>IF(I23&lt;&gt;"Vencida","",IF(COUNTIF(Config!$A$10:$A$13,"&lt;="&amp;J23)=0,"Aguardar: ainda não chegou ao primeiro passo da régua.",INDEX(Config!$B$10:$B$13,COUNTIF(Config!$A$10:$A$13,"&lt;="&amp;J23))))</f>
        <v>Conversa do médico ou da administração para combinar um plano de pagamento; registrar por escrito o que foi combinado.</v>
      </c>
      <c r="N23" s="39">
        <f>IF(I23="Vencida",F23*J23+ROW()/100000,0)</f>
        <v>35150.00023</v>
      </c>
      <c r="O23" s="39">
        <f>IF(AND(I23="A vencer",K23&lt;=Config!$B$7),100000-K23-ROW()/100000,0)</f>
        <v>0</v>
      </c>
    </row>
    <row r="24">
      <c r="A24" s="33" t="inlineStr">
        <is>
          <t>Mônica Martins</t>
        </is>
      </c>
      <c r="B24" s="33" t="inlineStr">
        <is>
          <t>Consulta</t>
        </is>
      </c>
      <c r="C24" s="37" t="n">
        <v>46064</v>
      </c>
      <c r="D24" s="35" t="n">
        <v>2</v>
      </c>
      <c r="E24" s="37" t="n">
        <v>46124</v>
      </c>
      <c r="F24" s="38" t="n">
        <v>190</v>
      </c>
      <c r="G24" s="35" t="inlineStr">
        <is>
          <t>Sim</t>
        </is>
      </c>
      <c r="H24" s="37" t="n">
        <v>46124</v>
      </c>
      <c r="I24" s="24" t="str">
        <f>IF(A24="","",IF(G24="Sim","Paga",IF(E24="","Sem vencimento",IF(E24&lt;Config!$B$5,"Vencida","A vencer"))))</f>
        <v>Paga</v>
      </c>
      <c r="J24" s="30">
        <f>IF(I24="Vencida",Config!$B$5-E24,"")</f>
        <v/>
      </c>
      <c r="K24" s="30">
        <f>IF(I24="A vencer",E24-Config!$B$5,"")</f>
        <v/>
      </c>
      <c r="L24" s="24">
        <f>IF(I24&lt;&gt;"Vencida","",IF(COUNTIF(Config!$A$10:$A$13,"&lt;="&amp;J24)=0,"Antes da régua",INDEX(Config!$C$10:$C$13,COUNTIF(Config!$A$10:$A$13,"&lt;="&amp;J24))))</f>
        <v/>
      </c>
      <c r="M24" s="23">
        <f>IF(I24&lt;&gt;"Vencida","",IF(COUNTIF(Config!$A$10:$A$13,"&lt;="&amp;J24)=0,"Aguardar: ainda não chegou ao primeiro passo da régua.",INDEX(Config!$B$10:$B$13,COUNTIF(Config!$A$10:$A$13,"&lt;="&amp;J24))))</f>
        <v/>
      </c>
      <c r="N24" s="39">
        <f>IF(I24="Vencida",F24*J24+ROW()/100000,0)</f>
        <v>0</v>
      </c>
      <c r="O24" s="39">
        <f>IF(AND(I24="A vencer",K24&lt;=Config!$B$7),100000-K24-ROW()/100000,0)</f>
        <v>0</v>
      </c>
    </row>
    <row r="25">
      <c r="A25" s="33" t="inlineStr">
        <is>
          <t>Carlos Oliveira</t>
        </is>
      </c>
      <c r="B25" s="33" t="inlineStr">
        <is>
          <t>Consulta</t>
        </is>
      </c>
      <c r="C25" s="37" t="n">
        <v>46066</v>
      </c>
      <c r="D25" s="35" t="n">
        <v>1</v>
      </c>
      <c r="E25" s="37" t="n">
        <v>46096</v>
      </c>
      <c r="F25" s="38" t="n">
        <v>190</v>
      </c>
      <c r="G25" s="35" t="inlineStr">
        <is>
          <t>Sim</t>
        </is>
      </c>
      <c r="H25" s="37" t="n">
        <v>46097</v>
      </c>
      <c r="I25" s="24" t="str">
        <f>IF(A25="","",IF(G25="Sim","Paga",IF(E25="","Sem vencimento",IF(E25&lt;Config!$B$5,"Vencida","A vencer"))))</f>
        <v>Paga</v>
      </c>
      <c r="J25" s="30">
        <f>IF(I25="Vencida",Config!$B$5-E25,"")</f>
        <v/>
      </c>
      <c r="K25" s="30">
        <f>IF(I25="A vencer",E25-Config!$B$5,"")</f>
        <v/>
      </c>
      <c r="L25" s="24">
        <f>IF(I25&lt;&gt;"Vencida","",IF(COUNTIF(Config!$A$10:$A$13,"&lt;="&amp;J25)=0,"Antes da régua",INDEX(Config!$C$10:$C$13,COUNTIF(Config!$A$10:$A$13,"&lt;="&amp;J25))))</f>
        <v/>
      </c>
      <c r="M25" s="23">
        <f>IF(I25&lt;&gt;"Vencida","",IF(COUNTIF(Config!$A$10:$A$13,"&lt;="&amp;J25)=0,"Aguardar: ainda não chegou ao primeiro passo da régua.",INDEX(Config!$B$10:$B$13,COUNTIF(Config!$A$10:$A$13,"&lt;="&amp;J25))))</f>
        <v/>
      </c>
      <c r="N25" s="39">
        <f>IF(I25="Vencida",F25*J25+ROW()/100000,0)</f>
        <v>0</v>
      </c>
      <c r="O25" s="39">
        <f>IF(AND(I25="A vencer",K25&lt;=Config!$B$7),100000-K25-ROW()/100000,0)</f>
        <v>0</v>
      </c>
    </row>
    <row r="26">
      <c r="A26" s="33" t="inlineStr">
        <is>
          <t>Carlos Oliveira</t>
        </is>
      </c>
      <c r="B26" s="33" t="inlineStr">
        <is>
          <t>Consulta</t>
        </is>
      </c>
      <c r="C26" s="37" t="n">
        <v>46066</v>
      </c>
      <c r="D26" s="35" t="n">
        <v>2</v>
      </c>
      <c r="E26" s="37" t="n">
        <v>46126</v>
      </c>
      <c r="F26" s="38" t="n">
        <v>190</v>
      </c>
      <c r="G26" s="35" t="inlineStr">
        <is>
          <t>Sim</t>
        </is>
      </c>
      <c r="H26" s="37" t="n">
        <v>46128</v>
      </c>
      <c r="I26" s="24" t="str">
        <f>IF(A26="","",IF(G26="Sim","Paga",IF(E26="","Sem vencimento",IF(E26&lt;Config!$B$5,"Vencida","A vencer"))))</f>
        <v>Paga</v>
      </c>
      <c r="J26" s="30">
        <f>IF(I26="Vencida",Config!$B$5-E26,"")</f>
        <v/>
      </c>
      <c r="K26" s="30">
        <f>IF(I26="A vencer",E26-Config!$B$5,"")</f>
        <v/>
      </c>
      <c r="L26" s="24">
        <f>IF(I26&lt;&gt;"Vencida","",IF(COUNTIF(Config!$A$10:$A$13,"&lt;="&amp;J26)=0,"Antes da régua",INDEX(Config!$C$10:$C$13,COUNTIF(Config!$A$10:$A$13,"&lt;="&amp;J26))))</f>
        <v/>
      </c>
      <c r="M26" s="23">
        <f>IF(I26&lt;&gt;"Vencida","",IF(COUNTIF(Config!$A$10:$A$13,"&lt;="&amp;J26)=0,"Aguardar: ainda não chegou ao primeiro passo da régua.",INDEX(Config!$B$10:$B$13,COUNTIF(Config!$A$10:$A$13,"&lt;="&amp;J26))))</f>
        <v/>
      </c>
      <c r="N26" s="39">
        <f>IF(I26="Vencida",F26*J26+ROW()/100000,0)</f>
        <v>0</v>
      </c>
      <c r="O26" s="39">
        <f>IF(AND(I26="A vencer",K26&lt;=Config!$B$7),100000-K26-ROW()/100000,0)</f>
        <v>0</v>
      </c>
    </row>
    <row r="27">
      <c r="A27" s="33" t="inlineStr">
        <is>
          <t>Henrique Ribeiro</t>
        </is>
      </c>
      <c r="B27" s="33" t="inlineStr">
        <is>
          <t>Holter</t>
        </is>
      </c>
      <c r="C27" s="37" t="n">
        <v>46066</v>
      </c>
      <c r="D27" s="35" t="n">
        <v>1</v>
      </c>
      <c r="E27" s="37" t="n">
        <v>46096</v>
      </c>
      <c r="F27" s="38" t="n">
        <v>175</v>
      </c>
      <c r="G27" s="35" t="inlineStr">
        <is>
          <t>Sim</t>
        </is>
      </c>
      <c r="H27" s="37" t="n">
        <v>46096</v>
      </c>
      <c r="I27" s="24" t="str">
        <f>IF(A27="","",IF(G27="Sim","Paga",IF(E27="","Sem vencimento",IF(E27&lt;Config!$B$5,"Vencida","A vencer"))))</f>
        <v>Paga</v>
      </c>
      <c r="J27" s="30">
        <f>IF(I27="Vencida",Config!$B$5-E27,"")</f>
        <v/>
      </c>
      <c r="K27" s="30">
        <f>IF(I27="A vencer",E27-Config!$B$5,"")</f>
        <v/>
      </c>
      <c r="L27" s="24">
        <f>IF(I27&lt;&gt;"Vencida","",IF(COUNTIF(Config!$A$10:$A$13,"&lt;="&amp;J27)=0,"Antes da régua",INDEX(Config!$C$10:$C$13,COUNTIF(Config!$A$10:$A$13,"&lt;="&amp;J27))))</f>
        <v/>
      </c>
      <c r="M27" s="23">
        <f>IF(I27&lt;&gt;"Vencida","",IF(COUNTIF(Config!$A$10:$A$13,"&lt;="&amp;J27)=0,"Aguardar: ainda não chegou ao primeiro passo da régua.",INDEX(Config!$B$10:$B$13,COUNTIF(Config!$A$10:$A$13,"&lt;="&amp;J27))))</f>
        <v/>
      </c>
      <c r="N27" s="39">
        <f>IF(I27="Vencida",F27*J27+ROW()/100000,0)</f>
        <v>0</v>
      </c>
      <c r="O27" s="39">
        <f>IF(AND(I27="A vencer",K27&lt;=Config!$B$7),100000-K27-ROW()/100000,0)</f>
        <v>0</v>
      </c>
    </row>
    <row r="28">
      <c r="A28" s="33" t="inlineStr">
        <is>
          <t>Henrique Ribeiro</t>
        </is>
      </c>
      <c r="B28" s="33" t="inlineStr">
        <is>
          <t>Holter</t>
        </is>
      </c>
      <c r="C28" s="37" t="n">
        <v>46066</v>
      </c>
      <c r="D28" s="35" t="n">
        <v>2</v>
      </c>
      <c r="E28" s="37" t="n">
        <v>46126</v>
      </c>
      <c r="F28" s="38" t="n">
        <v>175</v>
      </c>
      <c r="G28" s="35" t="inlineStr">
        <is>
          <t>Sim</t>
        </is>
      </c>
      <c r="H28" s="37" t="n">
        <v>46126</v>
      </c>
      <c r="I28" s="24" t="str">
        <f>IF(A28="","",IF(G28="Sim","Paga",IF(E28="","Sem vencimento",IF(E28&lt;Config!$B$5,"Vencida","A vencer"))))</f>
        <v>Paga</v>
      </c>
      <c r="J28" s="30">
        <f>IF(I28="Vencida",Config!$B$5-E28,"")</f>
        <v/>
      </c>
      <c r="K28" s="30">
        <f>IF(I28="A vencer",E28-Config!$B$5,"")</f>
        <v/>
      </c>
      <c r="L28" s="24">
        <f>IF(I28&lt;&gt;"Vencida","",IF(COUNTIF(Config!$A$10:$A$13,"&lt;="&amp;J28)=0,"Antes da régua",INDEX(Config!$C$10:$C$13,COUNTIF(Config!$A$10:$A$13,"&lt;="&amp;J28))))</f>
        <v/>
      </c>
      <c r="M28" s="23">
        <f>IF(I28&lt;&gt;"Vencida","",IF(COUNTIF(Config!$A$10:$A$13,"&lt;="&amp;J28)=0,"Aguardar: ainda não chegou ao primeiro passo da régua.",INDEX(Config!$B$10:$B$13,COUNTIF(Config!$A$10:$A$13,"&lt;="&amp;J28))))</f>
        <v/>
      </c>
      <c r="N28" s="39">
        <f>IF(I28="Vencida",F28*J28+ROW()/100000,0)</f>
        <v>0</v>
      </c>
      <c r="O28" s="39">
        <f>IF(AND(I28="A vencer",K28&lt;=Config!$B$7),100000-K28-ROW()/100000,0)</f>
        <v>0</v>
      </c>
    </row>
    <row r="29">
      <c r="A29" s="33" t="inlineStr">
        <is>
          <t>Natália Martins</t>
        </is>
      </c>
      <c r="B29" s="33" t="inlineStr">
        <is>
          <t>Consulta</t>
        </is>
      </c>
      <c r="C29" s="37" t="n">
        <v>46076</v>
      </c>
      <c r="D29" s="35" t="n">
        <v>1</v>
      </c>
      <c r="E29" s="37" t="n">
        <v>46106</v>
      </c>
      <c r="F29" s="38" t="n">
        <v>190</v>
      </c>
      <c r="G29" s="35" t="inlineStr">
        <is>
          <t>Sim</t>
        </is>
      </c>
      <c r="H29" s="37" t="n">
        <v>46106</v>
      </c>
      <c r="I29" s="24" t="str">
        <f>IF(A29="","",IF(G29="Sim","Paga",IF(E29="","Sem vencimento",IF(E29&lt;Config!$B$5,"Vencida","A vencer"))))</f>
        <v>Paga</v>
      </c>
      <c r="J29" s="30">
        <f>IF(I29="Vencida",Config!$B$5-E29,"")</f>
        <v/>
      </c>
      <c r="K29" s="30">
        <f>IF(I29="A vencer",E29-Config!$B$5,"")</f>
        <v/>
      </c>
      <c r="L29" s="24">
        <f>IF(I29&lt;&gt;"Vencida","",IF(COUNTIF(Config!$A$10:$A$13,"&lt;="&amp;J29)=0,"Antes da régua",INDEX(Config!$C$10:$C$13,COUNTIF(Config!$A$10:$A$13,"&lt;="&amp;J29))))</f>
        <v/>
      </c>
      <c r="M29" s="23">
        <f>IF(I29&lt;&gt;"Vencida","",IF(COUNTIF(Config!$A$10:$A$13,"&lt;="&amp;J29)=0,"Aguardar: ainda não chegou ao primeiro passo da régua.",INDEX(Config!$B$10:$B$13,COUNTIF(Config!$A$10:$A$13,"&lt;="&amp;J29))))</f>
        <v/>
      </c>
      <c r="N29" s="39">
        <f>IF(I29="Vencida",F29*J29+ROW()/100000,0)</f>
        <v>0</v>
      </c>
      <c r="O29" s="39">
        <f>IF(AND(I29="A vencer",K29&lt;=Config!$B$7),100000-K29-ROW()/100000,0)</f>
        <v>0</v>
      </c>
    </row>
    <row r="30">
      <c r="A30" s="33" t="inlineStr">
        <is>
          <t>Natália Martins</t>
        </is>
      </c>
      <c r="B30" s="33" t="inlineStr">
        <is>
          <t>Consulta</t>
        </is>
      </c>
      <c r="C30" s="37" t="n">
        <v>46076</v>
      </c>
      <c r="D30" s="35" t="n">
        <v>2</v>
      </c>
      <c r="E30" s="37" t="n">
        <v>46136</v>
      </c>
      <c r="F30" s="38" t="n">
        <v>190</v>
      </c>
      <c r="G30" s="35" t="inlineStr">
        <is>
          <t>Sim</t>
        </is>
      </c>
      <c r="H30" s="37" t="n">
        <v>46138</v>
      </c>
      <c r="I30" s="24" t="str">
        <f>IF(A30="","",IF(G30="Sim","Paga",IF(E30="","Sem vencimento",IF(E30&lt;Config!$B$5,"Vencida","A vencer"))))</f>
        <v>Paga</v>
      </c>
      <c r="J30" s="30">
        <f>IF(I30="Vencida",Config!$B$5-E30,"")</f>
        <v/>
      </c>
      <c r="K30" s="30">
        <f>IF(I30="A vencer",E30-Config!$B$5,"")</f>
        <v/>
      </c>
      <c r="L30" s="24">
        <f>IF(I30&lt;&gt;"Vencida","",IF(COUNTIF(Config!$A$10:$A$13,"&lt;="&amp;J30)=0,"Antes da régua",INDEX(Config!$C$10:$C$13,COUNTIF(Config!$A$10:$A$13,"&lt;="&amp;J30))))</f>
        <v/>
      </c>
      <c r="M30" s="23">
        <f>IF(I30&lt;&gt;"Vencida","",IF(COUNTIF(Config!$A$10:$A$13,"&lt;="&amp;J30)=0,"Aguardar: ainda não chegou ao primeiro passo da régua.",INDEX(Config!$B$10:$B$13,COUNTIF(Config!$A$10:$A$13,"&lt;="&amp;J30))))</f>
        <v/>
      </c>
      <c r="N30" s="39">
        <f>IF(I30="Vencida",F30*J30+ROW()/100000,0)</f>
        <v>0</v>
      </c>
      <c r="O30" s="39">
        <f>IF(AND(I30="A vencer",K30&lt;=Config!$B$7),100000-K30-ROW()/100000,0)</f>
        <v>0</v>
      </c>
    </row>
    <row r="31">
      <c r="A31" s="33" t="inlineStr">
        <is>
          <t>Carlos Freitas</t>
        </is>
      </c>
      <c r="B31" s="33" t="inlineStr">
        <is>
          <t>Avaliação endócrina</t>
        </is>
      </c>
      <c r="C31" s="37" t="n">
        <v>46077</v>
      </c>
      <c r="D31" s="35" t="n">
        <v>1</v>
      </c>
      <c r="E31" s="37" t="n">
        <v>46107</v>
      </c>
      <c r="F31" s="38" t="n">
        <v>200</v>
      </c>
      <c r="G31" s="35" t="inlineStr">
        <is>
          <t>Sim</t>
        </is>
      </c>
      <c r="H31" s="37" t="n">
        <v>46110</v>
      </c>
      <c r="I31" s="24" t="str">
        <f>IF(A31="","",IF(G31="Sim","Paga",IF(E31="","Sem vencimento",IF(E31&lt;Config!$B$5,"Vencida","A vencer"))))</f>
        <v>Paga</v>
      </c>
      <c r="J31" s="30">
        <f>IF(I31="Vencida",Config!$B$5-E31,"")</f>
        <v/>
      </c>
      <c r="K31" s="30">
        <f>IF(I31="A vencer",E31-Config!$B$5,"")</f>
        <v/>
      </c>
      <c r="L31" s="24">
        <f>IF(I31&lt;&gt;"Vencida","",IF(COUNTIF(Config!$A$10:$A$13,"&lt;="&amp;J31)=0,"Antes da régua",INDEX(Config!$C$10:$C$13,COUNTIF(Config!$A$10:$A$13,"&lt;="&amp;J31))))</f>
        <v/>
      </c>
      <c r="M31" s="23">
        <f>IF(I31&lt;&gt;"Vencida","",IF(COUNTIF(Config!$A$10:$A$13,"&lt;="&amp;J31)=0,"Aguardar: ainda não chegou ao primeiro passo da régua.",INDEX(Config!$B$10:$B$13,COUNTIF(Config!$A$10:$A$13,"&lt;="&amp;J31))))</f>
        <v/>
      </c>
      <c r="N31" s="39">
        <f>IF(I31="Vencida",F31*J31+ROW()/100000,0)</f>
        <v>0</v>
      </c>
      <c r="O31" s="39">
        <f>IF(AND(I31="A vencer",K31&lt;=Config!$B$7),100000-K31-ROW()/100000,0)</f>
        <v>0</v>
      </c>
    </row>
    <row r="32">
      <c r="A32" s="33" t="inlineStr">
        <is>
          <t>Carlos Freitas</t>
        </is>
      </c>
      <c r="B32" s="33" t="inlineStr">
        <is>
          <t>Avaliação endócrina</t>
        </is>
      </c>
      <c r="C32" s="37" t="n">
        <v>46077</v>
      </c>
      <c r="D32" s="35" t="n">
        <v>2</v>
      </c>
      <c r="E32" s="37" t="n">
        <v>46137</v>
      </c>
      <c r="F32" s="38" t="n">
        <v>200</v>
      </c>
      <c r="G32" s="35" t="inlineStr">
        <is>
          <t>Sim</t>
        </is>
      </c>
      <c r="H32" s="37" t="n">
        <v>46138</v>
      </c>
      <c r="I32" s="24" t="str">
        <f>IF(A32="","",IF(G32="Sim","Paga",IF(E32="","Sem vencimento",IF(E32&lt;Config!$B$5,"Vencida","A vencer"))))</f>
        <v>Paga</v>
      </c>
      <c r="J32" s="30">
        <f>IF(I32="Vencida",Config!$B$5-E32,"")</f>
        <v/>
      </c>
      <c r="K32" s="30">
        <f>IF(I32="A vencer",E32-Config!$B$5,"")</f>
        <v/>
      </c>
      <c r="L32" s="24">
        <f>IF(I32&lt;&gt;"Vencida","",IF(COUNTIF(Config!$A$10:$A$13,"&lt;="&amp;J32)=0,"Antes da régua",INDEX(Config!$C$10:$C$13,COUNTIF(Config!$A$10:$A$13,"&lt;="&amp;J32))))</f>
        <v/>
      </c>
      <c r="M32" s="23">
        <f>IF(I32&lt;&gt;"Vencida","",IF(COUNTIF(Config!$A$10:$A$13,"&lt;="&amp;J32)=0,"Aguardar: ainda não chegou ao primeiro passo da régua.",INDEX(Config!$B$10:$B$13,COUNTIF(Config!$A$10:$A$13,"&lt;="&amp;J32))))</f>
        <v/>
      </c>
      <c r="N32" s="39">
        <f>IF(I32="Vencida",F32*J32+ROW()/100000,0)</f>
        <v>0</v>
      </c>
      <c r="O32" s="39">
        <f>IF(AND(I32="A vencer",K32&lt;=Config!$B$7),100000-K32-ROW()/100000,0)</f>
        <v>0</v>
      </c>
    </row>
    <row r="33">
      <c r="A33" s="33" t="inlineStr">
        <is>
          <t>Otávio Nascimento</t>
        </is>
      </c>
      <c r="B33" s="33" t="inlineStr">
        <is>
          <t>Consulta</t>
        </is>
      </c>
      <c r="C33" s="37" t="n">
        <v>46079</v>
      </c>
      <c r="D33" s="35" t="n">
        <v>1</v>
      </c>
      <c r="E33" s="37" t="n">
        <v>46109</v>
      </c>
      <c r="F33" s="38" t="n">
        <v>380</v>
      </c>
      <c r="G33" s="35" t="inlineStr">
        <is>
          <t>Sim</t>
        </is>
      </c>
      <c r="H33" s="37" t="n">
        <v>46110</v>
      </c>
      <c r="I33" s="24" t="str">
        <f>IF(A33="","",IF(G33="Sim","Paga",IF(E33="","Sem vencimento",IF(E33&lt;Config!$B$5,"Vencida","A vencer"))))</f>
        <v>Paga</v>
      </c>
      <c r="J33" s="30">
        <f>IF(I33="Vencida",Config!$B$5-E33,"")</f>
        <v/>
      </c>
      <c r="K33" s="30">
        <f>IF(I33="A vencer",E33-Config!$B$5,"")</f>
        <v/>
      </c>
      <c r="L33" s="24">
        <f>IF(I33&lt;&gt;"Vencida","",IF(COUNTIF(Config!$A$10:$A$13,"&lt;="&amp;J33)=0,"Antes da régua",INDEX(Config!$C$10:$C$13,COUNTIF(Config!$A$10:$A$13,"&lt;="&amp;J33))))</f>
        <v/>
      </c>
      <c r="M33" s="23">
        <f>IF(I33&lt;&gt;"Vencida","",IF(COUNTIF(Config!$A$10:$A$13,"&lt;="&amp;J33)=0,"Aguardar: ainda não chegou ao primeiro passo da régua.",INDEX(Config!$B$10:$B$13,COUNTIF(Config!$A$10:$A$13,"&lt;="&amp;J33))))</f>
        <v/>
      </c>
      <c r="N33" s="39">
        <f>IF(I33="Vencida",F33*J33+ROW()/100000,0)</f>
        <v>0</v>
      </c>
      <c r="O33" s="39">
        <f>IF(AND(I33="A vencer",K33&lt;=Config!$B$7),100000-K33-ROW()/100000,0)</f>
        <v>0</v>
      </c>
    </row>
    <row r="34">
      <c r="A34" s="33" t="inlineStr">
        <is>
          <t>Elaine Cardoso</t>
        </is>
      </c>
      <c r="B34" s="33" t="inlineStr">
        <is>
          <t>Consulta</t>
        </is>
      </c>
      <c r="C34" s="37" t="n">
        <v>46084</v>
      </c>
      <c r="D34" s="35" t="n">
        <v>1</v>
      </c>
      <c r="E34" s="37" t="n">
        <v>46114</v>
      </c>
      <c r="F34" s="38" t="n">
        <v>190</v>
      </c>
      <c r="G34" s="35" t="inlineStr">
        <is>
          <t>Sim</t>
        </is>
      </c>
      <c r="H34" s="37" t="n">
        <v>46114</v>
      </c>
      <c r="I34" s="24" t="str">
        <f>IF(A34="","",IF(G34="Sim","Paga",IF(E34="","Sem vencimento",IF(E34&lt;Config!$B$5,"Vencida","A vencer"))))</f>
        <v>Paga</v>
      </c>
      <c r="J34" s="30">
        <f>IF(I34="Vencida",Config!$B$5-E34,"")</f>
        <v/>
      </c>
      <c r="K34" s="30">
        <f>IF(I34="A vencer",E34-Config!$B$5,"")</f>
        <v/>
      </c>
      <c r="L34" s="24">
        <f>IF(I34&lt;&gt;"Vencida","",IF(COUNTIF(Config!$A$10:$A$13,"&lt;="&amp;J34)=0,"Antes da régua",INDEX(Config!$C$10:$C$13,COUNTIF(Config!$A$10:$A$13,"&lt;="&amp;J34))))</f>
        <v/>
      </c>
      <c r="M34" s="23">
        <f>IF(I34&lt;&gt;"Vencida","",IF(COUNTIF(Config!$A$10:$A$13,"&lt;="&amp;J34)=0,"Aguardar: ainda não chegou ao primeiro passo da régua.",INDEX(Config!$B$10:$B$13,COUNTIF(Config!$A$10:$A$13,"&lt;="&amp;J34))))</f>
        <v/>
      </c>
      <c r="N34" s="39">
        <f>IF(I34="Vencida",F34*J34+ROW()/100000,0)</f>
        <v>0</v>
      </c>
      <c r="O34" s="39">
        <f>IF(AND(I34="A vencer",K34&lt;=Config!$B$7),100000-K34-ROW()/100000,0)</f>
        <v>0</v>
      </c>
    </row>
    <row r="35">
      <c r="A35" s="33" t="inlineStr">
        <is>
          <t>Elaine Cardoso</t>
        </is>
      </c>
      <c r="B35" s="33" t="inlineStr">
        <is>
          <t>Consulta</t>
        </is>
      </c>
      <c r="C35" s="37" t="n">
        <v>46084</v>
      </c>
      <c r="D35" s="35" t="n">
        <v>2</v>
      </c>
      <c r="E35" s="37" t="n">
        <v>46144</v>
      </c>
      <c r="F35" s="38" t="n">
        <v>190</v>
      </c>
      <c r="G35" s="35" t="inlineStr">
        <is>
          <t>Sim</t>
        </is>
      </c>
      <c r="H35" s="37" t="n">
        <v>46144</v>
      </c>
      <c r="I35" s="24" t="str">
        <f>IF(A35="","",IF(G35="Sim","Paga",IF(E35="","Sem vencimento",IF(E35&lt;Config!$B$5,"Vencida","A vencer"))))</f>
        <v>Paga</v>
      </c>
      <c r="J35" s="30">
        <f>IF(I35="Vencida",Config!$B$5-E35,"")</f>
        <v/>
      </c>
      <c r="K35" s="30">
        <f>IF(I35="A vencer",E35-Config!$B$5,"")</f>
        <v/>
      </c>
      <c r="L35" s="24">
        <f>IF(I35&lt;&gt;"Vencida","",IF(COUNTIF(Config!$A$10:$A$13,"&lt;="&amp;J35)=0,"Antes da régua",INDEX(Config!$C$10:$C$13,COUNTIF(Config!$A$10:$A$13,"&lt;="&amp;J35))))</f>
        <v/>
      </c>
      <c r="M35" s="23">
        <f>IF(I35&lt;&gt;"Vencida","",IF(COUNTIF(Config!$A$10:$A$13,"&lt;="&amp;J35)=0,"Aguardar: ainda não chegou ao primeiro passo da régua.",INDEX(Config!$B$10:$B$13,COUNTIF(Config!$A$10:$A$13,"&lt;="&amp;J35))))</f>
        <v/>
      </c>
      <c r="N35" s="39">
        <f>IF(I35="Vencida",F35*J35+ROW()/100000,0)</f>
        <v>0</v>
      </c>
      <c r="O35" s="39">
        <f>IF(AND(I35="A vencer",K35&lt;=Config!$B$7),100000-K35-ROW()/100000,0)</f>
        <v>0</v>
      </c>
    </row>
    <row r="36">
      <c r="A36" s="33" t="inlineStr">
        <is>
          <t>Roberta Araújo</t>
        </is>
      </c>
      <c r="B36" s="33" t="inlineStr">
        <is>
          <t>Holter</t>
        </is>
      </c>
      <c r="C36" s="37" t="n">
        <v>46084</v>
      </c>
      <c r="D36" s="35" t="n">
        <v>1</v>
      </c>
      <c r="E36" s="37" t="n">
        <v>46114</v>
      </c>
      <c r="F36" s="38" t="n">
        <v>175</v>
      </c>
      <c r="G36" s="35" t="inlineStr">
        <is>
          <t>Sim</t>
        </is>
      </c>
      <c r="H36" s="37" t="n">
        <v>46115</v>
      </c>
      <c r="I36" s="24" t="str">
        <f>IF(A36="","",IF(G36="Sim","Paga",IF(E36="","Sem vencimento",IF(E36&lt;Config!$B$5,"Vencida","A vencer"))))</f>
        <v>Paga</v>
      </c>
      <c r="J36" s="30">
        <f>IF(I36="Vencida",Config!$B$5-E36,"")</f>
        <v/>
      </c>
      <c r="K36" s="30">
        <f>IF(I36="A vencer",E36-Config!$B$5,"")</f>
        <v/>
      </c>
      <c r="L36" s="24">
        <f>IF(I36&lt;&gt;"Vencida","",IF(COUNTIF(Config!$A$10:$A$13,"&lt;="&amp;J36)=0,"Antes da régua",INDEX(Config!$C$10:$C$13,COUNTIF(Config!$A$10:$A$13,"&lt;="&amp;J36))))</f>
        <v/>
      </c>
      <c r="M36" s="23">
        <f>IF(I36&lt;&gt;"Vencida","",IF(COUNTIF(Config!$A$10:$A$13,"&lt;="&amp;J36)=0,"Aguardar: ainda não chegou ao primeiro passo da régua.",INDEX(Config!$B$10:$B$13,COUNTIF(Config!$A$10:$A$13,"&lt;="&amp;J36))))</f>
        <v/>
      </c>
      <c r="N36" s="39">
        <f>IF(I36="Vencida",F36*J36+ROW()/100000,0)</f>
        <v>0</v>
      </c>
      <c r="O36" s="39">
        <f>IF(AND(I36="A vencer",K36&lt;=Config!$B$7),100000-K36-ROW()/100000,0)</f>
        <v>0</v>
      </c>
    </row>
    <row r="37">
      <c r="A37" s="33" t="inlineStr">
        <is>
          <t>Roberta Araújo</t>
        </is>
      </c>
      <c r="B37" s="33" t="inlineStr">
        <is>
          <t>Holter</t>
        </is>
      </c>
      <c r="C37" s="37" t="n">
        <v>46084</v>
      </c>
      <c r="D37" s="35" t="n">
        <v>2</v>
      </c>
      <c r="E37" s="37" t="n">
        <v>46144</v>
      </c>
      <c r="F37" s="38" t="n">
        <v>175</v>
      </c>
      <c r="G37" s="35" t="inlineStr">
        <is>
          <t>Sim</t>
        </is>
      </c>
      <c r="H37" s="37" t="n">
        <v>46144</v>
      </c>
      <c r="I37" s="24" t="str">
        <f>IF(A37="","",IF(G37="Sim","Paga",IF(E37="","Sem vencimento",IF(E37&lt;Config!$B$5,"Vencida","A vencer"))))</f>
        <v>Paga</v>
      </c>
      <c r="J37" s="30">
        <f>IF(I37="Vencida",Config!$B$5-E37,"")</f>
        <v/>
      </c>
      <c r="K37" s="30">
        <f>IF(I37="A vencer",E37-Config!$B$5,"")</f>
        <v/>
      </c>
      <c r="L37" s="24">
        <f>IF(I37&lt;&gt;"Vencida","",IF(COUNTIF(Config!$A$10:$A$13,"&lt;="&amp;J37)=0,"Antes da régua",INDEX(Config!$C$10:$C$13,COUNTIF(Config!$A$10:$A$13,"&lt;="&amp;J37))))</f>
        <v/>
      </c>
      <c r="M37" s="23">
        <f>IF(I37&lt;&gt;"Vencida","",IF(COUNTIF(Config!$A$10:$A$13,"&lt;="&amp;J37)=0,"Aguardar: ainda não chegou ao primeiro passo da régua.",INDEX(Config!$B$10:$B$13,COUNTIF(Config!$A$10:$A$13,"&lt;="&amp;J37))))</f>
        <v/>
      </c>
      <c r="N37" s="39">
        <f>IF(I37="Vencida",F37*J37+ROW()/100000,0)</f>
        <v>0</v>
      </c>
      <c r="O37" s="39">
        <f>IF(AND(I37="A vencer",K37&lt;=Config!$B$7),100000-K37-ROW()/100000,0)</f>
        <v>0</v>
      </c>
    </row>
    <row r="38">
      <c r="A38" s="33" t="inlineStr">
        <is>
          <t>Gisele Xavier</t>
        </is>
      </c>
      <c r="B38" s="33" t="inlineStr">
        <is>
          <t>Consulta</t>
        </is>
      </c>
      <c r="C38" s="37" t="n">
        <v>46086</v>
      </c>
      <c r="D38" s="35" t="n">
        <v>1</v>
      </c>
      <c r="E38" s="37" t="n">
        <v>46116</v>
      </c>
      <c r="F38" s="38" t="n">
        <v>380</v>
      </c>
      <c r="G38" s="35" t="inlineStr">
        <is>
          <t>Sim</t>
        </is>
      </c>
      <c r="H38" s="37" t="n">
        <v>46117</v>
      </c>
      <c r="I38" s="24" t="str">
        <f>IF(A38="","",IF(G38="Sim","Paga",IF(E38="","Sem vencimento",IF(E38&lt;Config!$B$5,"Vencida","A vencer"))))</f>
        <v>Paga</v>
      </c>
      <c r="J38" s="30">
        <f>IF(I38="Vencida",Config!$B$5-E38,"")</f>
        <v/>
      </c>
      <c r="K38" s="30">
        <f>IF(I38="A vencer",E38-Config!$B$5,"")</f>
        <v/>
      </c>
      <c r="L38" s="24">
        <f>IF(I38&lt;&gt;"Vencida","",IF(COUNTIF(Config!$A$10:$A$13,"&lt;="&amp;J38)=0,"Antes da régua",INDEX(Config!$C$10:$C$13,COUNTIF(Config!$A$10:$A$13,"&lt;="&amp;J38))))</f>
        <v/>
      </c>
      <c r="M38" s="23">
        <f>IF(I38&lt;&gt;"Vencida","",IF(COUNTIF(Config!$A$10:$A$13,"&lt;="&amp;J38)=0,"Aguardar: ainda não chegou ao primeiro passo da régua.",INDEX(Config!$B$10:$B$13,COUNTIF(Config!$A$10:$A$13,"&lt;="&amp;J38))))</f>
        <v/>
      </c>
      <c r="N38" s="39">
        <f>IF(I38="Vencida",F38*J38+ROW()/100000,0)</f>
        <v>0</v>
      </c>
      <c r="O38" s="39">
        <f>IF(AND(I38="A vencer",K38&lt;=Config!$B$7),100000-K38-ROW()/100000,0)</f>
        <v>0</v>
      </c>
    </row>
    <row r="39">
      <c r="A39" s="33" t="inlineStr">
        <is>
          <t>Rafael Correia</t>
        </is>
      </c>
      <c r="B39" s="33" t="inlineStr">
        <is>
          <t>Consulta</t>
        </is>
      </c>
      <c r="C39" s="37" t="n">
        <v>46090</v>
      </c>
      <c r="D39" s="35" t="n">
        <v>1</v>
      </c>
      <c r="E39" s="37" t="n">
        <v>46120</v>
      </c>
      <c r="F39" s="38" t="n">
        <v>190</v>
      </c>
      <c r="G39" s="35" t="inlineStr">
        <is>
          <t>Sim</t>
        </is>
      </c>
      <c r="H39" s="37" t="n">
        <v>46121</v>
      </c>
      <c r="I39" s="24" t="str">
        <f>IF(A39="","",IF(G39="Sim","Paga",IF(E39="","Sem vencimento",IF(E39&lt;Config!$B$5,"Vencida","A vencer"))))</f>
        <v>Paga</v>
      </c>
      <c r="J39" s="30">
        <f>IF(I39="Vencida",Config!$B$5-E39,"")</f>
        <v/>
      </c>
      <c r="K39" s="30">
        <f>IF(I39="A vencer",E39-Config!$B$5,"")</f>
        <v/>
      </c>
      <c r="L39" s="24">
        <f>IF(I39&lt;&gt;"Vencida","",IF(COUNTIF(Config!$A$10:$A$13,"&lt;="&amp;J39)=0,"Antes da régua",INDEX(Config!$C$10:$C$13,COUNTIF(Config!$A$10:$A$13,"&lt;="&amp;J39))))</f>
        <v/>
      </c>
      <c r="M39" s="23">
        <f>IF(I39&lt;&gt;"Vencida","",IF(COUNTIF(Config!$A$10:$A$13,"&lt;="&amp;J39)=0,"Aguardar: ainda não chegou ao primeiro passo da régua.",INDEX(Config!$B$10:$B$13,COUNTIF(Config!$A$10:$A$13,"&lt;="&amp;J39))))</f>
        <v/>
      </c>
      <c r="N39" s="39">
        <f>IF(I39="Vencida",F39*J39+ROW()/100000,0)</f>
        <v>0</v>
      </c>
      <c r="O39" s="39">
        <f>IF(AND(I39="A vencer",K39&lt;=Config!$B$7),100000-K39-ROW()/100000,0)</f>
        <v>0</v>
      </c>
    </row>
    <row r="40">
      <c r="A40" s="33" t="inlineStr">
        <is>
          <t>Rafael Correia</t>
        </is>
      </c>
      <c r="B40" s="33" t="inlineStr">
        <is>
          <t>Consulta</t>
        </is>
      </c>
      <c r="C40" s="37" t="n">
        <v>46090</v>
      </c>
      <c r="D40" s="35" t="n">
        <v>2</v>
      </c>
      <c r="E40" s="37" t="n">
        <v>46150</v>
      </c>
      <c r="F40" s="38" t="n">
        <v>190</v>
      </c>
      <c r="G40" s="35" t="inlineStr">
        <is>
          <t>Sim</t>
        </is>
      </c>
      <c r="H40" s="37" t="n">
        <v>46153</v>
      </c>
      <c r="I40" s="24" t="str">
        <f>IF(A40="","",IF(G40="Sim","Paga",IF(E40="","Sem vencimento",IF(E40&lt;Config!$B$5,"Vencida","A vencer"))))</f>
        <v>Paga</v>
      </c>
      <c r="J40" s="30">
        <f>IF(I40="Vencida",Config!$B$5-E40,"")</f>
        <v/>
      </c>
      <c r="K40" s="30">
        <f>IF(I40="A vencer",E40-Config!$B$5,"")</f>
        <v/>
      </c>
      <c r="L40" s="24">
        <f>IF(I40&lt;&gt;"Vencida","",IF(COUNTIF(Config!$A$10:$A$13,"&lt;="&amp;J40)=0,"Antes da régua",INDEX(Config!$C$10:$C$13,COUNTIF(Config!$A$10:$A$13,"&lt;="&amp;J40))))</f>
        <v/>
      </c>
      <c r="M40" s="23">
        <f>IF(I40&lt;&gt;"Vencida","",IF(COUNTIF(Config!$A$10:$A$13,"&lt;="&amp;J40)=0,"Aguardar: ainda não chegou ao primeiro passo da régua.",INDEX(Config!$B$10:$B$13,COUNTIF(Config!$A$10:$A$13,"&lt;="&amp;J40))))</f>
        <v/>
      </c>
      <c r="N40" s="39">
        <f>IF(I40="Vencida",F40*J40+ROW()/100000,0)</f>
        <v>0</v>
      </c>
      <c r="O40" s="39">
        <f>IF(AND(I40="A vencer",K40&lt;=Config!$B$7),100000-K40-ROW()/100000,0)</f>
        <v>0</v>
      </c>
    </row>
    <row r="41">
      <c r="A41" s="33" t="inlineStr">
        <is>
          <t>Gabriel Reis</t>
        </is>
      </c>
      <c r="B41" s="33" t="inlineStr">
        <is>
          <t>Avaliação endócrina</t>
        </is>
      </c>
      <c r="C41" s="37" t="n">
        <v>46091</v>
      </c>
      <c r="D41" s="35" t="n">
        <v>1</v>
      </c>
      <c r="E41" s="37" t="n">
        <v>46121</v>
      </c>
      <c r="F41" s="38" t="n">
        <v>400</v>
      </c>
      <c r="G41" s="35" t="inlineStr">
        <is>
          <t>Não</t>
        </is>
      </c>
      <c r="H41" s="37" t="n"/>
      <c r="I41" s="24" t="str">
        <f>IF(A41="","",IF(G41="Sim","Paga",IF(E41="","Sem vencimento",IF(E41&lt;Config!$B$5,"Vencida","A vencer"))))</f>
        <v>Vencida</v>
      </c>
      <c r="J41" s="30">
        <f>IF(I41="Vencida",Config!$B$5-E41,"")</f>
        <v>158</v>
      </c>
      <c r="K41" s="30">
        <f>IF(I41="A vencer",E41-Config!$B$5,"")</f>
        <v/>
      </c>
      <c r="L41" s="24" t="str">
        <f>IF(I41&lt;&gt;"Vencida","",IF(COUNTIF(Config!$A$10:$A$13,"&lt;="&amp;J41)=0,"Antes da régua",INDEX(Config!$C$10:$C$13,COUNTIF(Config!$A$10:$A$13,"&lt;="&amp;J41))))</f>
        <v>30 dias ou mais</v>
      </c>
      <c r="M41" s="23" t="str">
        <f>IF(I41&lt;&gt;"Vencida","",IF(COUNTIF(Config!$A$10:$A$13,"&lt;="&amp;J41)=0,"Aguardar: ainda não chegou ao primeiro passo da régua.",INDEX(Config!$B$10:$B$13,COUNTIF(Config!$A$10:$A$13,"&lt;="&amp;J41))))</f>
        <v>Conversa do médico ou da administração para combinar um plano de pagamento; registrar por escrito o que foi combinado.</v>
      </c>
      <c r="N41" s="39">
        <f>IF(I41="Vencida",F41*J41+ROW()/100000,0)</f>
        <v>63200.00041</v>
      </c>
      <c r="O41" s="39">
        <f>IF(AND(I41="A vencer",K41&lt;=Config!$B$7),100000-K41-ROW()/100000,0)</f>
        <v>0</v>
      </c>
    </row>
    <row r="42">
      <c r="A42" s="33" t="inlineStr">
        <is>
          <t>Natália Martins</t>
        </is>
      </c>
      <c r="B42" s="33" t="inlineStr">
        <is>
          <t>Consulta</t>
        </is>
      </c>
      <c r="C42" s="37" t="n">
        <v>46097</v>
      </c>
      <c r="D42" s="35" t="n">
        <v>1</v>
      </c>
      <c r="E42" s="37" t="n">
        <v>46127</v>
      </c>
      <c r="F42" s="38" t="n">
        <v>190</v>
      </c>
      <c r="G42" s="35" t="inlineStr">
        <is>
          <t>Sim</t>
        </is>
      </c>
      <c r="H42" s="37" t="n">
        <v>46127</v>
      </c>
      <c r="I42" s="24" t="str">
        <f>IF(A42="","",IF(G42="Sim","Paga",IF(E42="","Sem vencimento",IF(E42&lt;Config!$B$5,"Vencida","A vencer"))))</f>
        <v>Paga</v>
      </c>
      <c r="J42" s="30">
        <f>IF(I42="Vencida",Config!$B$5-E42,"")</f>
        <v/>
      </c>
      <c r="K42" s="30">
        <f>IF(I42="A vencer",E42-Config!$B$5,"")</f>
        <v/>
      </c>
      <c r="L42" s="24">
        <f>IF(I42&lt;&gt;"Vencida","",IF(COUNTIF(Config!$A$10:$A$13,"&lt;="&amp;J42)=0,"Antes da régua",INDEX(Config!$C$10:$C$13,COUNTIF(Config!$A$10:$A$13,"&lt;="&amp;J42))))</f>
        <v/>
      </c>
      <c r="M42" s="23">
        <f>IF(I42&lt;&gt;"Vencida","",IF(COUNTIF(Config!$A$10:$A$13,"&lt;="&amp;J42)=0,"Aguardar: ainda não chegou ao primeiro passo da régua.",INDEX(Config!$B$10:$B$13,COUNTIF(Config!$A$10:$A$13,"&lt;="&amp;J42))))</f>
        <v/>
      </c>
      <c r="N42" s="39">
        <f>IF(I42="Vencida",F42*J42+ROW()/100000,0)</f>
        <v>0</v>
      </c>
      <c r="O42" s="39">
        <f>IF(AND(I42="A vencer",K42&lt;=Config!$B$7),100000-K42-ROW()/100000,0)</f>
        <v>0</v>
      </c>
    </row>
    <row r="43">
      <c r="A43" s="33" t="inlineStr">
        <is>
          <t>Natália Martins</t>
        </is>
      </c>
      <c r="B43" s="33" t="inlineStr">
        <is>
          <t>Consulta</t>
        </is>
      </c>
      <c r="C43" s="37" t="n">
        <v>46097</v>
      </c>
      <c r="D43" s="35" t="n">
        <v>2</v>
      </c>
      <c r="E43" s="37" t="n">
        <v>46157</v>
      </c>
      <c r="F43" s="38" t="n">
        <v>190</v>
      </c>
      <c r="G43" s="35" t="inlineStr">
        <is>
          <t>Sim</t>
        </is>
      </c>
      <c r="H43" s="37" t="n">
        <v>46159</v>
      </c>
      <c r="I43" s="24" t="str">
        <f>IF(A43="","",IF(G43="Sim","Paga",IF(E43="","Sem vencimento",IF(E43&lt;Config!$B$5,"Vencida","A vencer"))))</f>
        <v>Paga</v>
      </c>
      <c r="J43" s="30">
        <f>IF(I43="Vencida",Config!$B$5-E43,"")</f>
        <v/>
      </c>
      <c r="K43" s="30">
        <f>IF(I43="A vencer",E43-Config!$B$5,"")</f>
        <v/>
      </c>
      <c r="L43" s="24">
        <f>IF(I43&lt;&gt;"Vencida","",IF(COUNTIF(Config!$A$10:$A$13,"&lt;="&amp;J43)=0,"Antes da régua",INDEX(Config!$C$10:$C$13,COUNTIF(Config!$A$10:$A$13,"&lt;="&amp;J43))))</f>
        <v/>
      </c>
      <c r="M43" s="23">
        <f>IF(I43&lt;&gt;"Vencida","",IF(COUNTIF(Config!$A$10:$A$13,"&lt;="&amp;J43)=0,"Aguardar: ainda não chegou ao primeiro passo da régua.",INDEX(Config!$B$10:$B$13,COUNTIF(Config!$A$10:$A$13,"&lt;="&amp;J43))))</f>
        <v/>
      </c>
      <c r="N43" s="39">
        <f>IF(I43="Vencida",F43*J43+ROW()/100000,0)</f>
        <v>0</v>
      </c>
      <c r="O43" s="39">
        <f>IF(AND(I43="A vencer",K43&lt;=Config!$B$7),100000-K43-ROW()/100000,0)</f>
        <v>0</v>
      </c>
    </row>
    <row r="44">
      <c r="A44" s="33" t="inlineStr">
        <is>
          <t>Otávio Cardoso</t>
        </is>
      </c>
      <c r="B44" s="33" t="inlineStr">
        <is>
          <t>Consulta</t>
        </is>
      </c>
      <c r="C44" s="37" t="n">
        <v>46098</v>
      </c>
      <c r="D44" s="35" t="n">
        <v>1</v>
      </c>
      <c r="E44" s="37" t="n">
        <v>46128</v>
      </c>
      <c r="F44" s="38" t="n">
        <v>380</v>
      </c>
      <c r="G44" s="35" t="inlineStr">
        <is>
          <t>Sim</t>
        </is>
      </c>
      <c r="H44" s="37" t="n">
        <v>46129</v>
      </c>
      <c r="I44" s="24" t="str">
        <f>IF(A44="","",IF(G44="Sim","Paga",IF(E44="","Sem vencimento",IF(E44&lt;Config!$B$5,"Vencida","A vencer"))))</f>
        <v>Paga</v>
      </c>
      <c r="J44" s="30">
        <f>IF(I44="Vencida",Config!$B$5-E44,"")</f>
        <v/>
      </c>
      <c r="K44" s="30">
        <f>IF(I44="A vencer",E44-Config!$B$5,"")</f>
        <v/>
      </c>
      <c r="L44" s="24">
        <f>IF(I44&lt;&gt;"Vencida","",IF(COUNTIF(Config!$A$10:$A$13,"&lt;="&amp;J44)=0,"Antes da régua",INDEX(Config!$C$10:$C$13,COUNTIF(Config!$A$10:$A$13,"&lt;="&amp;J44))))</f>
        <v/>
      </c>
      <c r="M44" s="23">
        <f>IF(I44&lt;&gt;"Vencida","",IF(COUNTIF(Config!$A$10:$A$13,"&lt;="&amp;J44)=0,"Aguardar: ainda não chegou ao primeiro passo da régua.",INDEX(Config!$B$10:$B$13,COUNTIF(Config!$A$10:$A$13,"&lt;="&amp;J44))))</f>
        <v/>
      </c>
      <c r="N44" s="39">
        <f>IF(I44="Vencida",F44*J44+ROW()/100000,0)</f>
        <v>0</v>
      </c>
      <c r="O44" s="39">
        <f>IF(AND(I44="A vencer",K44&lt;=Config!$B$7),100000-K44-ROW()/100000,0)</f>
        <v>0</v>
      </c>
    </row>
    <row r="45">
      <c r="A45" s="33" t="inlineStr">
        <is>
          <t>Patrícia Fernandes</t>
        </is>
      </c>
      <c r="B45" s="33" t="inlineStr">
        <is>
          <t>Consulta</t>
        </is>
      </c>
      <c r="C45" s="37" t="n">
        <v>46100</v>
      </c>
      <c r="D45" s="35" t="n">
        <v>1</v>
      </c>
      <c r="E45" s="37" t="n">
        <v>46130</v>
      </c>
      <c r="F45" s="38" t="n">
        <v>190</v>
      </c>
      <c r="G45" s="35" t="inlineStr">
        <is>
          <t>Sim</t>
        </is>
      </c>
      <c r="H45" s="37" t="n">
        <v>46130</v>
      </c>
      <c r="I45" s="24" t="str">
        <f>IF(A45="","",IF(G45="Sim","Paga",IF(E45="","Sem vencimento",IF(E45&lt;Config!$B$5,"Vencida","A vencer"))))</f>
        <v>Paga</v>
      </c>
      <c r="J45" s="30">
        <f>IF(I45="Vencida",Config!$B$5-E45,"")</f>
        <v/>
      </c>
      <c r="K45" s="30">
        <f>IF(I45="A vencer",E45-Config!$B$5,"")</f>
        <v/>
      </c>
      <c r="L45" s="24">
        <f>IF(I45&lt;&gt;"Vencida","",IF(COUNTIF(Config!$A$10:$A$13,"&lt;="&amp;J45)=0,"Antes da régua",INDEX(Config!$C$10:$C$13,COUNTIF(Config!$A$10:$A$13,"&lt;="&amp;J45))))</f>
        <v/>
      </c>
      <c r="M45" s="23">
        <f>IF(I45&lt;&gt;"Vencida","",IF(COUNTIF(Config!$A$10:$A$13,"&lt;="&amp;J45)=0,"Aguardar: ainda não chegou ao primeiro passo da régua.",INDEX(Config!$B$10:$B$13,COUNTIF(Config!$A$10:$A$13,"&lt;="&amp;J45))))</f>
        <v/>
      </c>
      <c r="N45" s="39">
        <f>IF(I45="Vencida",F45*J45+ROW()/100000,0)</f>
        <v>0</v>
      </c>
      <c r="O45" s="39">
        <f>IF(AND(I45="A vencer",K45&lt;=Config!$B$7),100000-K45-ROW()/100000,0)</f>
        <v>0</v>
      </c>
    </row>
    <row r="46">
      <c r="A46" s="33" t="inlineStr">
        <is>
          <t>Patrícia Fernandes</t>
        </is>
      </c>
      <c r="B46" s="33" t="inlineStr">
        <is>
          <t>Consulta</t>
        </is>
      </c>
      <c r="C46" s="37" t="n">
        <v>46100</v>
      </c>
      <c r="D46" s="35" t="n">
        <v>2</v>
      </c>
      <c r="E46" s="37" t="n">
        <v>46160</v>
      </c>
      <c r="F46" s="38" t="n">
        <v>190</v>
      </c>
      <c r="G46" s="35" t="inlineStr">
        <is>
          <t>Não</t>
        </is>
      </c>
      <c r="H46" s="37" t="n"/>
      <c r="I46" s="24" t="str">
        <f>IF(A46="","",IF(G46="Sim","Paga",IF(E46="","Sem vencimento",IF(E46&lt;Config!$B$5,"Vencida","A vencer"))))</f>
        <v>Vencida</v>
      </c>
      <c r="J46" s="30">
        <f>IF(I46="Vencida",Config!$B$5-E46,"")</f>
        <v>119</v>
      </c>
      <c r="K46" s="30">
        <f>IF(I46="A vencer",E46-Config!$B$5,"")</f>
        <v/>
      </c>
      <c r="L46" s="24" t="str">
        <f>IF(I46&lt;&gt;"Vencida","",IF(COUNTIF(Config!$A$10:$A$13,"&lt;="&amp;J46)=0,"Antes da régua",INDEX(Config!$C$10:$C$13,COUNTIF(Config!$A$10:$A$13,"&lt;="&amp;J46))))</f>
        <v>30 dias ou mais</v>
      </c>
      <c r="M46" s="23" t="str">
        <f>IF(I46&lt;&gt;"Vencida","",IF(COUNTIF(Config!$A$10:$A$13,"&lt;="&amp;J46)=0,"Aguardar: ainda não chegou ao primeiro passo da régua.",INDEX(Config!$B$10:$B$13,COUNTIF(Config!$A$10:$A$13,"&lt;="&amp;J46))))</f>
        <v>Conversa do médico ou da administração para combinar um plano de pagamento; registrar por escrito o que foi combinado.</v>
      </c>
      <c r="N46" s="39">
        <f>IF(I46="Vencida",F46*J46+ROW()/100000,0)</f>
        <v>22610.00046</v>
      </c>
      <c r="O46" s="39">
        <f>IF(AND(I46="A vencer",K46&lt;=Config!$B$7),100000-K46-ROW()/100000,0)</f>
        <v>0</v>
      </c>
    </row>
    <row r="47">
      <c r="A47" s="33" t="inlineStr">
        <is>
          <t>Camila Freitas</t>
        </is>
      </c>
      <c r="B47" s="33" t="inlineStr">
        <is>
          <t>Consulta</t>
        </is>
      </c>
      <c r="C47" s="37" t="n">
        <v>46101</v>
      </c>
      <c r="D47" s="35" t="n">
        <v>1</v>
      </c>
      <c r="E47" s="37" t="n">
        <v>46131</v>
      </c>
      <c r="F47" s="38" t="n">
        <v>380</v>
      </c>
      <c r="G47" s="35" t="inlineStr">
        <is>
          <t>Sim</t>
        </is>
      </c>
      <c r="H47" s="37" t="n">
        <v>46136</v>
      </c>
      <c r="I47" s="24" t="str">
        <f>IF(A47="","",IF(G47="Sim","Paga",IF(E47="","Sem vencimento",IF(E47&lt;Config!$B$5,"Vencida","A vencer"))))</f>
        <v>Paga</v>
      </c>
      <c r="J47" s="30">
        <f>IF(I47="Vencida",Config!$B$5-E47,"")</f>
        <v/>
      </c>
      <c r="K47" s="30">
        <f>IF(I47="A vencer",E47-Config!$B$5,"")</f>
        <v/>
      </c>
      <c r="L47" s="24">
        <f>IF(I47&lt;&gt;"Vencida","",IF(COUNTIF(Config!$A$10:$A$13,"&lt;="&amp;J47)=0,"Antes da régua",INDEX(Config!$C$10:$C$13,COUNTIF(Config!$A$10:$A$13,"&lt;="&amp;J47))))</f>
        <v/>
      </c>
      <c r="M47" s="23">
        <f>IF(I47&lt;&gt;"Vencida","",IF(COUNTIF(Config!$A$10:$A$13,"&lt;="&amp;J47)=0,"Aguardar: ainda não chegou ao primeiro passo da régua.",INDEX(Config!$B$10:$B$13,COUNTIF(Config!$A$10:$A$13,"&lt;="&amp;J47))))</f>
        <v/>
      </c>
      <c r="N47" s="39">
        <f>IF(I47="Vencida",F47*J47+ROW()/100000,0)</f>
        <v>0</v>
      </c>
      <c r="O47" s="39">
        <f>IF(AND(I47="A vencer",K47&lt;=Config!$B$7),100000-K47-ROW()/100000,0)</f>
        <v>0</v>
      </c>
    </row>
    <row r="48">
      <c r="A48" s="33" t="inlineStr">
        <is>
          <t>Rafael Dias</t>
        </is>
      </c>
      <c r="B48" s="33" t="inlineStr">
        <is>
          <t>Consulta</t>
        </is>
      </c>
      <c r="C48" s="37" t="n">
        <v>46105</v>
      </c>
      <c r="D48" s="35" t="n">
        <v>1</v>
      </c>
      <c r="E48" s="37" t="n">
        <v>46135</v>
      </c>
      <c r="F48" s="38" t="n">
        <v>190</v>
      </c>
      <c r="G48" s="35" t="inlineStr">
        <is>
          <t>Sim</t>
        </is>
      </c>
      <c r="H48" s="37" t="n">
        <v>46135</v>
      </c>
      <c r="I48" s="24" t="str">
        <f>IF(A48="","",IF(G48="Sim","Paga",IF(E48="","Sem vencimento",IF(E48&lt;Config!$B$5,"Vencida","A vencer"))))</f>
        <v>Paga</v>
      </c>
      <c r="J48" s="30">
        <f>IF(I48="Vencida",Config!$B$5-E48,"")</f>
        <v/>
      </c>
      <c r="K48" s="30">
        <f>IF(I48="A vencer",E48-Config!$B$5,"")</f>
        <v/>
      </c>
      <c r="L48" s="24">
        <f>IF(I48&lt;&gt;"Vencida","",IF(COUNTIF(Config!$A$10:$A$13,"&lt;="&amp;J48)=0,"Antes da régua",INDEX(Config!$C$10:$C$13,COUNTIF(Config!$A$10:$A$13,"&lt;="&amp;J48))))</f>
        <v/>
      </c>
      <c r="M48" s="23">
        <f>IF(I48&lt;&gt;"Vencida","",IF(COUNTIF(Config!$A$10:$A$13,"&lt;="&amp;J48)=0,"Aguardar: ainda não chegou ao primeiro passo da régua.",INDEX(Config!$B$10:$B$13,COUNTIF(Config!$A$10:$A$13,"&lt;="&amp;J48))))</f>
        <v/>
      </c>
      <c r="N48" s="39">
        <f>IF(I48="Vencida",F48*J48+ROW()/100000,0)</f>
        <v>0</v>
      </c>
      <c r="O48" s="39">
        <f>IF(AND(I48="A vencer",K48&lt;=Config!$B$7),100000-K48-ROW()/100000,0)</f>
        <v>0</v>
      </c>
    </row>
    <row r="49">
      <c r="A49" s="33" t="inlineStr">
        <is>
          <t>Rafael Dias</t>
        </is>
      </c>
      <c r="B49" s="33" t="inlineStr">
        <is>
          <t>Consulta</t>
        </is>
      </c>
      <c r="C49" s="37" t="n">
        <v>46105</v>
      </c>
      <c r="D49" s="35" t="n">
        <v>2</v>
      </c>
      <c r="E49" s="37" t="n">
        <v>46165</v>
      </c>
      <c r="F49" s="38" t="n">
        <v>190</v>
      </c>
      <c r="G49" s="35" t="inlineStr">
        <is>
          <t>Não</t>
        </is>
      </c>
      <c r="H49" s="37" t="n"/>
      <c r="I49" s="24" t="str">
        <f>IF(A49="","",IF(G49="Sim","Paga",IF(E49="","Sem vencimento",IF(E49&lt;Config!$B$5,"Vencida","A vencer"))))</f>
        <v>Vencida</v>
      </c>
      <c r="J49" s="30">
        <f>IF(I49="Vencida",Config!$B$5-E49,"")</f>
        <v>114</v>
      </c>
      <c r="K49" s="30">
        <f>IF(I49="A vencer",E49-Config!$B$5,"")</f>
        <v/>
      </c>
      <c r="L49" s="24" t="str">
        <f>IF(I49&lt;&gt;"Vencida","",IF(COUNTIF(Config!$A$10:$A$13,"&lt;="&amp;J49)=0,"Antes da régua",INDEX(Config!$C$10:$C$13,COUNTIF(Config!$A$10:$A$13,"&lt;="&amp;J49))))</f>
        <v>30 dias ou mais</v>
      </c>
      <c r="M49" s="23" t="str">
        <f>IF(I49&lt;&gt;"Vencida","",IF(COUNTIF(Config!$A$10:$A$13,"&lt;="&amp;J49)=0,"Aguardar: ainda não chegou ao primeiro passo da régua.",INDEX(Config!$B$10:$B$13,COUNTIF(Config!$A$10:$A$13,"&lt;="&amp;J49))))</f>
        <v>Conversa do médico ou da administração para combinar um plano de pagamento; registrar por escrito o que foi combinado.</v>
      </c>
      <c r="N49" s="39">
        <f>IF(I49="Vencida",F49*J49+ROW()/100000,0)</f>
        <v>21660.00049</v>
      </c>
      <c r="O49" s="39">
        <f>IF(AND(I49="A vencer",K49&lt;=Config!$B$7),100000-K49-ROW()/100000,0)</f>
        <v>0</v>
      </c>
    </row>
    <row r="50">
      <c r="A50" s="33" t="inlineStr">
        <is>
          <t>Renato Dias</t>
        </is>
      </c>
      <c r="B50" s="33" t="inlineStr">
        <is>
          <t>Consulta</t>
        </is>
      </c>
      <c r="C50" s="37" t="n">
        <v>46107</v>
      </c>
      <c r="D50" s="35" t="n">
        <v>1</v>
      </c>
      <c r="E50" s="37" t="n">
        <v>46137</v>
      </c>
      <c r="F50" s="38" t="n">
        <v>380</v>
      </c>
      <c r="G50" s="35" t="inlineStr">
        <is>
          <t>Sim</t>
        </is>
      </c>
      <c r="H50" s="37" t="n">
        <v>46137</v>
      </c>
      <c r="I50" s="24" t="str">
        <f>IF(A50="","",IF(G50="Sim","Paga",IF(E50="","Sem vencimento",IF(E50&lt;Config!$B$5,"Vencida","A vencer"))))</f>
        <v>Paga</v>
      </c>
      <c r="J50" s="30">
        <f>IF(I50="Vencida",Config!$B$5-E50,"")</f>
        <v/>
      </c>
      <c r="K50" s="30">
        <f>IF(I50="A vencer",E50-Config!$B$5,"")</f>
        <v/>
      </c>
      <c r="L50" s="24">
        <f>IF(I50&lt;&gt;"Vencida","",IF(COUNTIF(Config!$A$10:$A$13,"&lt;="&amp;J50)=0,"Antes da régua",INDEX(Config!$C$10:$C$13,COUNTIF(Config!$A$10:$A$13,"&lt;="&amp;J50))))</f>
        <v/>
      </c>
      <c r="M50" s="23">
        <f>IF(I50&lt;&gt;"Vencida","",IF(COUNTIF(Config!$A$10:$A$13,"&lt;="&amp;J50)=0,"Aguardar: ainda não chegou ao primeiro passo da régua.",INDEX(Config!$B$10:$B$13,COUNTIF(Config!$A$10:$A$13,"&lt;="&amp;J50))))</f>
        <v/>
      </c>
      <c r="N50" s="39">
        <f>IF(I50="Vencida",F50*J50+ROW()/100000,0)</f>
        <v>0</v>
      </c>
      <c r="O50" s="39">
        <f>IF(AND(I50="A vencer",K50&lt;=Config!$B$7),100000-K50-ROW()/100000,0)</f>
        <v>0</v>
      </c>
    </row>
    <row r="51">
      <c r="A51" s="33" t="inlineStr">
        <is>
          <t>Fábio Correia</t>
        </is>
      </c>
      <c r="B51" s="33" t="inlineStr">
        <is>
          <t>Consulta</t>
        </is>
      </c>
      <c r="C51" s="37" t="n">
        <v>46111</v>
      </c>
      <c r="D51" s="35" t="n">
        <v>1</v>
      </c>
      <c r="E51" s="37" t="n">
        <v>46141</v>
      </c>
      <c r="F51" s="38" t="n">
        <v>380</v>
      </c>
      <c r="G51" s="35" t="inlineStr">
        <is>
          <t>Sim</t>
        </is>
      </c>
      <c r="H51" s="37" t="n">
        <v>46141</v>
      </c>
      <c r="I51" s="24" t="str">
        <f>IF(A51="","",IF(G51="Sim","Paga",IF(E51="","Sem vencimento",IF(E51&lt;Config!$B$5,"Vencida","A vencer"))))</f>
        <v>Paga</v>
      </c>
      <c r="J51" s="30">
        <f>IF(I51="Vencida",Config!$B$5-E51,"")</f>
        <v/>
      </c>
      <c r="K51" s="30">
        <f>IF(I51="A vencer",E51-Config!$B$5,"")</f>
        <v/>
      </c>
      <c r="L51" s="24">
        <f>IF(I51&lt;&gt;"Vencida","",IF(COUNTIF(Config!$A$10:$A$13,"&lt;="&amp;J51)=0,"Antes da régua",INDEX(Config!$C$10:$C$13,COUNTIF(Config!$A$10:$A$13,"&lt;="&amp;J51))))</f>
        <v/>
      </c>
      <c r="M51" s="23">
        <f>IF(I51&lt;&gt;"Vencida","",IF(COUNTIF(Config!$A$10:$A$13,"&lt;="&amp;J51)=0,"Aguardar: ainda não chegou ao primeiro passo da régua.",INDEX(Config!$B$10:$B$13,COUNTIF(Config!$A$10:$A$13,"&lt;="&amp;J51))))</f>
        <v/>
      </c>
      <c r="N51" s="39">
        <f>IF(I51="Vencida",F51*J51+ROW()/100000,0)</f>
        <v>0</v>
      </c>
      <c r="O51" s="39">
        <f>IF(AND(I51="A vencer",K51&lt;=Config!$B$7),100000-K51-ROW()/100000,0)</f>
        <v>0</v>
      </c>
    </row>
    <row r="52">
      <c r="A52" s="33" t="inlineStr">
        <is>
          <t>Regina Teixeira</t>
        </is>
      </c>
      <c r="B52" s="33" t="inlineStr">
        <is>
          <t>Consulta</t>
        </is>
      </c>
      <c r="C52" s="37" t="n">
        <v>46112</v>
      </c>
      <c r="D52" s="35" t="n">
        <v>1</v>
      </c>
      <c r="E52" s="37" t="n">
        <v>46142</v>
      </c>
      <c r="F52" s="38" t="n">
        <v>190</v>
      </c>
      <c r="G52" s="35" t="inlineStr">
        <is>
          <t>Sim</t>
        </is>
      </c>
      <c r="H52" s="37" t="n">
        <v>46142</v>
      </c>
      <c r="I52" s="24" t="str">
        <f>IF(A52="","",IF(G52="Sim","Paga",IF(E52="","Sem vencimento",IF(E52&lt;Config!$B$5,"Vencida","A vencer"))))</f>
        <v>Paga</v>
      </c>
      <c r="J52" s="30">
        <f>IF(I52="Vencida",Config!$B$5-E52,"")</f>
        <v/>
      </c>
      <c r="K52" s="30">
        <f>IF(I52="A vencer",E52-Config!$B$5,"")</f>
        <v/>
      </c>
      <c r="L52" s="24">
        <f>IF(I52&lt;&gt;"Vencida","",IF(COUNTIF(Config!$A$10:$A$13,"&lt;="&amp;J52)=0,"Antes da régua",INDEX(Config!$C$10:$C$13,COUNTIF(Config!$A$10:$A$13,"&lt;="&amp;J52))))</f>
        <v/>
      </c>
      <c r="M52" s="23">
        <f>IF(I52&lt;&gt;"Vencida","",IF(COUNTIF(Config!$A$10:$A$13,"&lt;="&amp;J52)=0,"Aguardar: ainda não chegou ao primeiro passo da régua.",INDEX(Config!$B$10:$B$13,COUNTIF(Config!$A$10:$A$13,"&lt;="&amp;J52))))</f>
        <v/>
      </c>
      <c r="N52" s="39">
        <f>IF(I52="Vencida",F52*J52+ROW()/100000,0)</f>
        <v>0</v>
      </c>
      <c r="O52" s="39">
        <f>IF(AND(I52="A vencer",K52&lt;=Config!$B$7),100000-K52-ROW()/100000,0)</f>
        <v>0</v>
      </c>
    </row>
    <row r="53">
      <c r="A53" s="33" t="inlineStr">
        <is>
          <t>Regina Teixeira</t>
        </is>
      </c>
      <c r="B53" s="33" t="inlineStr">
        <is>
          <t>Consulta</t>
        </is>
      </c>
      <c r="C53" s="37" t="n">
        <v>46112</v>
      </c>
      <c r="D53" s="35" t="n">
        <v>2</v>
      </c>
      <c r="E53" s="37" t="n">
        <v>46172</v>
      </c>
      <c r="F53" s="38" t="n">
        <v>190</v>
      </c>
      <c r="G53" s="35" t="inlineStr">
        <is>
          <t>Sim</t>
        </is>
      </c>
      <c r="H53" s="37" t="n">
        <v>46177</v>
      </c>
      <c r="I53" s="24" t="str">
        <f>IF(A53="","",IF(G53="Sim","Paga",IF(E53="","Sem vencimento",IF(E53&lt;Config!$B$5,"Vencida","A vencer"))))</f>
        <v>Paga</v>
      </c>
      <c r="J53" s="30">
        <f>IF(I53="Vencida",Config!$B$5-E53,"")</f>
        <v/>
      </c>
      <c r="K53" s="30">
        <f>IF(I53="A vencer",E53-Config!$B$5,"")</f>
        <v/>
      </c>
      <c r="L53" s="24">
        <f>IF(I53&lt;&gt;"Vencida","",IF(COUNTIF(Config!$A$10:$A$13,"&lt;="&amp;J53)=0,"Antes da régua",INDEX(Config!$C$10:$C$13,COUNTIF(Config!$A$10:$A$13,"&lt;="&amp;J53))))</f>
        <v/>
      </c>
      <c r="M53" s="23">
        <f>IF(I53&lt;&gt;"Vencida","",IF(COUNTIF(Config!$A$10:$A$13,"&lt;="&amp;J53)=0,"Aguardar: ainda não chegou ao primeiro passo da régua.",INDEX(Config!$B$10:$B$13,COUNTIF(Config!$A$10:$A$13,"&lt;="&amp;J53))))</f>
        <v/>
      </c>
      <c r="N53" s="39">
        <f>IF(I53="Vencida",F53*J53+ROW()/100000,0)</f>
        <v>0</v>
      </c>
      <c r="O53" s="39">
        <f>IF(AND(I53="A vencer",K53&lt;=Config!$B$7),100000-K53-ROW()/100000,0)</f>
        <v>0</v>
      </c>
    </row>
    <row r="54">
      <c r="A54" s="33" t="inlineStr">
        <is>
          <t>Gabriel Fernandes</t>
        </is>
      </c>
      <c r="B54" s="33" t="inlineStr">
        <is>
          <t>Consulta</t>
        </is>
      </c>
      <c r="C54" s="37" t="n">
        <v>46114</v>
      </c>
      <c r="D54" s="35" t="n">
        <v>1</v>
      </c>
      <c r="E54" s="37" t="n">
        <v>46144</v>
      </c>
      <c r="F54" s="38" t="n">
        <v>380</v>
      </c>
      <c r="G54" s="35" t="inlineStr">
        <is>
          <t>Sim</t>
        </is>
      </c>
      <c r="H54" s="37" t="n">
        <v>46146</v>
      </c>
      <c r="I54" s="24" t="str">
        <f>IF(A54="","",IF(G54="Sim","Paga",IF(E54="","Sem vencimento",IF(E54&lt;Config!$B$5,"Vencida","A vencer"))))</f>
        <v>Paga</v>
      </c>
      <c r="J54" s="30">
        <f>IF(I54="Vencida",Config!$B$5-E54,"")</f>
        <v/>
      </c>
      <c r="K54" s="30">
        <f>IF(I54="A vencer",E54-Config!$B$5,"")</f>
        <v/>
      </c>
      <c r="L54" s="24">
        <f>IF(I54&lt;&gt;"Vencida","",IF(COUNTIF(Config!$A$10:$A$13,"&lt;="&amp;J54)=0,"Antes da régua",INDEX(Config!$C$10:$C$13,COUNTIF(Config!$A$10:$A$13,"&lt;="&amp;J54))))</f>
        <v/>
      </c>
      <c r="M54" s="23">
        <f>IF(I54&lt;&gt;"Vencida","",IF(COUNTIF(Config!$A$10:$A$13,"&lt;="&amp;J54)=0,"Aguardar: ainda não chegou ao primeiro passo da régua.",INDEX(Config!$B$10:$B$13,COUNTIF(Config!$A$10:$A$13,"&lt;="&amp;J54))))</f>
        <v/>
      </c>
      <c r="N54" s="39">
        <f>IF(I54="Vencida",F54*J54+ROW()/100000,0)</f>
        <v>0</v>
      </c>
      <c r="O54" s="39">
        <f>IF(AND(I54="A vencer",K54&lt;=Config!$B$7),100000-K54-ROW()/100000,0)</f>
        <v>0</v>
      </c>
    </row>
    <row r="55">
      <c r="A55" s="33" t="inlineStr">
        <is>
          <t>Gisele Xavier</t>
        </is>
      </c>
      <c r="B55" s="33" t="inlineStr">
        <is>
          <t>Consulta</t>
        </is>
      </c>
      <c r="C55" s="37" t="n">
        <v>46118</v>
      </c>
      <c r="D55" s="35" t="n">
        <v>1</v>
      </c>
      <c r="E55" s="37" t="n">
        <v>46148</v>
      </c>
      <c r="F55" s="38" t="n">
        <v>380</v>
      </c>
      <c r="G55" s="35" t="inlineStr">
        <is>
          <t>Sim</t>
        </is>
      </c>
      <c r="H55" s="37" t="n">
        <v>46148</v>
      </c>
      <c r="I55" s="24" t="str">
        <f>IF(A55="","",IF(G55="Sim","Paga",IF(E55="","Sem vencimento",IF(E55&lt;Config!$B$5,"Vencida","A vencer"))))</f>
        <v>Paga</v>
      </c>
      <c r="J55" s="30">
        <f>IF(I55="Vencida",Config!$B$5-E55,"")</f>
        <v/>
      </c>
      <c r="K55" s="30">
        <f>IF(I55="A vencer",E55-Config!$B$5,"")</f>
        <v/>
      </c>
      <c r="L55" s="24">
        <f>IF(I55&lt;&gt;"Vencida","",IF(COUNTIF(Config!$A$10:$A$13,"&lt;="&amp;J55)=0,"Antes da régua",INDEX(Config!$C$10:$C$13,COUNTIF(Config!$A$10:$A$13,"&lt;="&amp;J55))))</f>
        <v/>
      </c>
      <c r="M55" s="23">
        <f>IF(I55&lt;&gt;"Vencida","",IF(COUNTIF(Config!$A$10:$A$13,"&lt;="&amp;J55)=0,"Aguardar: ainda não chegou ao primeiro passo da régua.",INDEX(Config!$B$10:$B$13,COUNTIF(Config!$A$10:$A$13,"&lt;="&amp;J55))))</f>
        <v/>
      </c>
      <c r="N55" s="39">
        <f>IF(I55="Vencida",F55*J55+ROW()/100000,0)</f>
        <v>0</v>
      </c>
      <c r="O55" s="39">
        <f>IF(AND(I55="A vencer",K55&lt;=Config!$B$7),100000-K55-ROW()/100000,0)</f>
        <v>0</v>
      </c>
    </row>
    <row r="56">
      <c r="A56" s="33" t="inlineStr">
        <is>
          <t>Marcelo Santos</t>
        </is>
      </c>
      <c r="B56" s="33" t="inlineStr">
        <is>
          <t>Holter</t>
        </is>
      </c>
      <c r="C56" s="37" t="n">
        <v>46118</v>
      </c>
      <c r="D56" s="35" t="n">
        <v>1</v>
      </c>
      <c r="E56" s="37" t="n">
        <v>46148</v>
      </c>
      <c r="F56" s="38" t="n">
        <v>350</v>
      </c>
      <c r="G56" s="35" t="inlineStr">
        <is>
          <t>Sim</t>
        </is>
      </c>
      <c r="H56" s="37" t="n">
        <v>46149</v>
      </c>
      <c r="I56" s="24" t="str">
        <f>IF(A56="","",IF(G56="Sim","Paga",IF(E56="","Sem vencimento",IF(E56&lt;Config!$B$5,"Vencida","A vencer"))))</f>
        <v>Paga</v>
      </c>
      <c r="J56" s="30">
        <f>IF(I56="Vencida",Config!$B$5-E56,"")</f>
        <v/>
      </c>
      <c r="K56" s="30">
        <f>IF(I56="A vencer",E56-Config!$B$5,"")</f>
        <v/>
      </c>
      <c r="L56" s="24">
        <f>IF(I56&lt;&gt;"Vencida","",IF(COUNTIF(Config!$A$10:$A$13,"&lt;="&amp;J56)=0,"Antes da régua",INDEX(Config!$C$10:$C$13,COUNTIF(Config!$A$10:$A$13,"&lt;="&amp;J56))))</f>
        <v/>
      </c>
      <c r="M56" s="23">
        <f>IF(I56&lt;&gt;"Vencida","",IF(COUNTIF(Config!$A$10:$A$13,"&lt;="&amp;J56)=0,"Aguardar: ainda não chegou ao primeiro passo da régua.",INDEX(Config!$B$10:$B$13,COUNTIF(Config!$A$10:$A$13,"&lt;="&amp;J56))))</f>
        <v/>
      </c>
      <c r="N56" s="39">
        <f>IF(I56="Vencida",F56*J56+ROW()/100000,0)</f>
        <v>0</v>
      </c>
      <c r="O56" s="39">
        <f>IF(AND(I56="A vencer",K56&lt;=Config!$B$7),100000-K56-ROW()/100000,0)</f>
        <v>0</v>
      </c>
    </row>
    <row r="57">
      <c r="A57" s="33" t="inlineStr">
        <is>
          <t>Natália Martins</t>
        </is>
      </c>
      <c r="B57" s="33" t="inlineStr">
        <is>
          <t>Consulta</t>
        </is>
      </c>
      <c r="C57" s="37" t="n">
        <v>46118</v>
      </c>
      <c r="D57" s="35" t="n">
        <v>1</v>
      </c>
      <c r="E57" s="37" t="n">
        <v>46148</v>
      </c>
      <c r="F57" s="38" t="n">
        <v>380</v>
      </c>
      <c r="G57" s="35" t="inlineStr">
        <is>
          <t>Sim</t>
        </is>
      </c>
      <c r="H57" s="37" t="n">
        <v>46148</v>
      </c>
      <c r="I57" s="24" t="str">
        <f>IF(A57="","",IF(G57="Sim","Paga",IF(E57="","Sem vencimento",IF(E57&lt;Config!$B$5,"Vencida","A vencer"))))</f>
        <v>Paga</v>
      </c>
      <c r="J57" s="30">
        <f>IF(I57="Vencida",Config!$B$5-E57,"")</f>
        <v/>
      </c>
      <c r="K57" s="30">
        <f>IF(I57="A vencer",E57-Config!$B$5,"")</f>
        <v/>
      </c>
      <c r="L57" s="24">
        <f>IF(I57&lt;&gt;"Vencida","",IF(COUNTIF(Config!$A$10:$A$13,"&lt;="&amp;J57)=0,"Antes da régua",INDEX(Config!$C$10:$C$13,COUNTIF(Config!$A$10:$A$13,"&lt;="&amp;J57))))</f>
        <v/>
      </c>
      <c r="M57" s="23">
        <f>IF(I57&lt;&gt;"Vencida","",IF(COUNTIF(Config!$A$10:$A$13,"&lt;="&amp;J57)=0,"Aguardar: ainda não chegou ao primeiro passo da régua.",INDEX(Config!$B$10:$B$13,COUNTIF(Config!$A$10:$A$13,"&lt;="&amp;J57))))</f>
        <v/>
      </c>
      <c r="N57" s="39">
        <f>IF(I57="Vencida",F57*J57+ROW()/100000,0)</f>
        <v>0</v>
      </c>
      <c r="O57" s="39">
        <f>IF(AND(I57="A vencer",K57&lt;=Config!$B$7),100000-K57-ROW()/100000,0)</f>
        <v>0</v>
      </c>
    </row>
    <row r="58">
      <c r="A58" s="33" t="inlineStr">
        <is>
          <t>Priscila Reis</t>
        </is>
      </c>
      <c r="B58" s="33" t="inlineStr">
        <is>
          <t>Avaliação endócrina</t>
        </is>
      </c>
      <c r="C58" s="37" t="n">
        <v>46119</v>
      </c>
      <c r="D58" s="35" t="n">
        <v>1</v>
      </c>
      <c r="E58" s="37" t="n">
        <v>46149</v>
      </c>
      <c r="F58" s="38" t="n">
        <v>400</v>
      </c>
      <c r="G58" s="35" t="inlineStr">
        <is>
          <t>Não</t>
        </is>
      </c>
      <c r="H58" s="37" t="n"/>
      <c r="I58" s="24" t="str">
        <f>IF(A58="","",IF(G58="Sim","Paga",IF(E58="","Sem vencimento",IF(E58&lt;Config!$B$5,"Vencida","A vencer"))))</f>
        <v>Vencida</v>
      </c>
      <c r="J58" s="30">
        <f>IF(I58="Vencida",Config!$B$5-E58,"")</f>
        <v>130</v>
      </c>
      <c r="K58" s="30">
        <f>IF(I58="A vencer",E58-Config!$B$5,"")</f>
        <v/>
      </c>
      <c r="L58" s="24" t="str">
        <f>IF(I58&lt;&gt;"Vencida","",IF(COUNTIF(Config!$A$10:$A$13,"&lt;="&amp;J58)=0,"Antes da régua",INDEX(Config!$C$10:$C$13,COUNTIF(Config!$A$10:$A$13,"&lt;="&amp;J58))))</f>
        <v>30 dias ou mais</v>
      </c>
      <c r="M58" s="23" t="str">
        <f>IF(I58&lt;&gt;"Vencida","",IF(COUNTIF(Config!$A$10:$A$13,"&lt;="&amp;J58)=0,"Aguardar: ainda não chegou ao primeiro passo da régua.",INDEX(Config!$B$10:$B$13,COUNTIF(Config!$A$10:$A$13,"&lt;="&amp;J58))))</f>
        <v>Conversa do médico ou da administração para combinar um plano de pagamento; registrar por escrito o que foi combinado.</v>
      </c>
      <c r="N58" s="39">
        <f>IF(I58="Vencida",F58*J58+ROW()/100000,0)</f>
        <v>52000.00058</v>
      </c>
      <c r="O58" s="39">
        <f>IF(AND(I58="A vencer",K58&lt;=Config!$B$7),100000-K58-ROW()/100000,0)</f>
        <v>0</v>
      </c>
    </row>
    <row r="59">
      <c r="A59" s="33" t="inlineStr">
        <is>
          <t>Regina Teixeira</t>
        </is>
      </c>
      <c r="B59" s="33" t="inlineStr">
        <is>
          <t>Consulta</t>
        </is>
      </c>
      <c r="C59" s="37" t="n">
        <v>46119</v>
      </c>
      <c r="D59" s="35" t="n">
        <v>1</v>
      </c>
      <c r="E59" s="37" t="n">
        <v>46149</v>
      </c>
      <c r="F59" s="38" t="n">
        <v>380</v>
      </c>
      <c r="G59" s="35" t="inlineStr">
        <is>
          <t>Sim</t>
        </is>
      </c>
      <c r="H59" s="37" t="n">
        <v>46149</v>
      </c>
      <c r="I59" s="24" t="str">
        <f>IF(A59="","",IF(G59="Sim","Paga",IF(E59="","Sem vencimento",IF(E59&lt;Config!$B$5,"Vencida","A vencer"))))</f>
        <v>Paga</v>
      </c>
      <c r="J59" s="30">
        <f>IF(I59="Vencida",Config!$B$5-E59,"")</f>
        <v/>
      </c>
      <c r="K59" s="30">
        <f>IF(I59="A vencer",E59-Config!$B$5,"")</f>
        <v/>
      </c>
      <c r="L59" s="24">
        <f>IF(I59&lt;&gt;"Vencida","",IF(COUNTIF(Config!$A$10:$A$13,"&lt;="&amp;J59)=0,"Antes da régua",INDEX(Config!$C$10:$C$13,COUNTIF(Config!$A$10:$A$13,"&lt;="&amp;J59))))</f>
        <v/>
      </c>
      <c r="M59" s="23">
        <f>IF(I59&lt;&gt;"Vencida","",IF(COUNTIF(Config!$A$10:$A$13,"&lt;="&amp;J59)=0,"Aguardar: ainda não chegou ao primeiro passo da régua.",INDEX(Config!$B$10:$B$13,COUNTIF(Config!$A$10:$A$13,"&lt;="&amp;J59))))</f>
        <v/>
      </c>
      <c r="N59" s="39">
        <f>IF(I59="Vencida",F59*J59+ROW()/100000,0)</f>
        <v>0</v>
      </c>
      <c r="O59" s="39">
        <f>IF(AND(I59="A vencer",K59&lt;=Config!$B$7),100000-K59-ROW()/100000,0)</f>
        <v>0</v>
      </c>
    </row>
    <row r="60">
      <c r="A60" s="33" t="inlineStr">
        <is>
          <t>Mariana Nascimento</t>
        </is>
      </c>
      <c r="B60" s="33" t="inlineStr">
        <is>
          <t>MAPA</t>
        </is>
      </c>
      <c r="C60" s="37" t="n">
        <v>46121</v>
      </c>
      <c r="D60" s="35" t="n">
        <v>1</v>
      </c>
      <c r="E60" s="37" t="n">
        <v>46151</v>
      </c>
      <c r="F60" s="38" t="n">
        <v>150</v>
      </c>
      <c r="G60" s="35" t="inlineStr">
        <is>
          <t>Sim</t>
        </is>
      </c>
      <c r="H60" s="37" t="n">
        <v>46152</v>
      </c>
      <c r="I60" s="24" t="str">
        <f>IF(A60="","",IF(G60="Sim","Paga",IF(E60="","Sem vencimento",IF(E60&lt;Config!$B$5,"Vencida","A vencer"))))</f>
        <v>Paga</v>
      </c>
      <c r="J60" s="30">
        <f>IF(I60="Vencida",Config!$B$5-E60,"")</f>
        <v/>
      </c>
      <c r="K60" s="30">
        <f>IF(I60="A vencer",E60-Config!$B$5,"")</f>
        <v/>
      </c>
      <c r="L60" s="24">
        <f>IF(I60&lt;&gt;"Vencida","",IF(COUNTIF(Config!$A$10:$A$13,"&lt;="&amp;J60)=0,"Antes da régua",INDEX(Config!$C$10:$C$13,COUNTIF(Config!$A$10:$A$13,"&lt;="&amp;J60))))</f>
        <v/>
      </c>
      <c r="M60" s="23">
        <f>IF(I60&lt;&gt;"Vencida","",IF(COUNTIF(Config!$A$10:$A$13,"&lt;="&amp;J60)=0,"Aguardar: ainda não chegou ao primeiro passo da régua.",INDEX(Config!$B$10:$B$13,COUNTIF(Config!$A$10:$A$13,"&lt;="&amp;J60))))</f>
        <v/>
      </c>
      <c r="N60" s="39">
        <f>IF(I60="Vencida",F60*J60+ROW()/100000,0)</f>
        <v>0</v>
      </c>
      <c r="O60" s="39">
        <f>IF(AND(I60="A vencer",K60&lt;=Config!$B$7),100000-K60-ROW()/100000,0)</f>
        <v>0</v>
      </c>
    </row>
    <row r="61">
      <c r="A61" s="33" t="inlineStr">
        <is>
          <t>Mariana Nascimento</t>
        </is>
      </c>
      <c r="B61" s="33" t="inlineStr">
        <is>
          <t>MAPA</t>
        </is>
      </c>
      <c r="C61" s="37" t="n">
        <v>46121</v>
      </c>
      <c r="D61" s="35" t="n">
        <v>2</v>
      </c>
      <c r="E61" s="37" t="n">
        <v>46181</v>
      </c>
      <c r="F61" s="38" t="n">
        <v>150</v>
      </c>
      <c r="G61" s="35" t="inlineStr">
        <is>
          <t>Sim</t>
        </is>
      </c>
      <c r="H61" s="37" t="n">
        <v>46181</v>
      </c>
      <c r="I61" s="24" t="str">
        <f>IF(A61="","",IF(G61="Sim","Paga",IF(E61="","Sem vencimento",IF(E61&lt;Config!$B$5,"Vencida","A vencer"))))</f>
        <v>Paga</v>
      </c>
      <c r="J61" s="30">
        <f>IF(I61="Vencida",Config!$B$5-E61,"")</f>
        <v/>
      </c>
      <c r="K61" s="30">
        <f>IF(I61="A vencer",E61-Config!$B$5,"")</f>
        <v/>
      </c>
      <c r="L61" s="24">
        <f>IF(I61&lt;&gt;"Vencida","",IF(COUNTIF(Config!$A$10:$A$13,"&lt;="&amp;J61)=0,"Antes da régua",INDEX(Config!$C$10:$C$13,COUNTIF(Config!$A$10:$A$13,"&lt;="&amp;J61))))</f>
        <v/>
      </c>
      <c r="M61" s="23">
        <f>IF(I61&lt;&gt;"Vencida","",IF(COUNTIF(Config!$A$10:$A$13,"&lt;="&amp;J61)=0,"Aguardar: ainda não chegou ao primeiro passo da régua.",INDEX(Config!$B$10:$B$13,COUNTIF(Config!$A$10:$A$13,"&lt;="&amp;J61))))</f>
        <v/>
      </c>
      <c r="N61" s="39">
        <f>IF(I61="Vencida",F61*J61+ROW()/100000,0)</f>
        <v>0</v>
      </c>
      <c r="O61" s="39">
        <f>IF(AND(I61="A vencer",K61&lt;=Config!$B$7),100000-K61-ROW()/100000,0)</f>
        <v>0</v>
      </c>
    </row>
    <row r="62">
      <c r="A62" s="33" t="inlineStr">
        <is>
          <t>Larissa Costa</t>
        </is>
      </c>
      <c r="B62" s="33" t="inlineStr">
        <is>
          <t>Consulta</t>
        </is>
      </c>
      <c r="C62" s="37" t="n">
        <v>46125</v>
      </c>
      <c r="D62" s="35" t="n">
        <v>1</v>
      </c>
      <c r="E62" s="37" t="n">
        <v>46155</v>
      </c>
      <c r="F62" s="38" t="n">
        <v>190</v>
      </c>
      <c r="G62" s="35" t="inlineStr">
        <is>
          <t>Sim</t>
        </is>
      </c>
      <c r="H62" s="37" t="n">
        <v>46155</v>
      </c>
      <c r="I62" s="24" t="str">
        <f>IF(A62="","",IF(G62="Sim","Paga",IF(E62="","Sem vencimento",IF(E62&lt;Config!$B$5,"Vencida","A vencer"))))</f>
        <v>Paga</v>
      </c>
      <c r="J62" s="30">
        <f>IF(I62="Vencida",Config!$B$5-E62,"")</f>
        <v/>
      </c>
      <c r="K62" s="30">
        <f>IF(I62="A vencer",E62-Config!$B$5,"")</f>
        <v/>
      </c>
      <c r="L62" s="24">
        <f>IF(I62&lt;&gt;"Vencida","",IF(COUNTIF(Config!$A$10:$A$13,"&lt;="&amp;J62)=0,"Antes da régua",INDEX(Config!$C$10:$C$13,COUNTIF(Config!$A$10:$A$13,"&lt;="&amp;J62))))</f>
        <v/>
      </c>
      <c r="M62" s="23">
        <f>IF(I62&lt;&gt;"Vencida","",IF(COUNTIF(Config!$A$10:$A$13,"&lt;="&amp;J62)=0,"Aguardar: ainda não chegou ao primeiro passo da régua.",INDEX(Config!$B$10:$B$13,COUNTIF(Config!$A$10:$A$13,"&lt;="&amp;J62))))</f>
        <v/>
      </c>
      <c r="N62" s="39">
        <f>IF(I62="Vencida",F62*J62+ROW()/100000,0)</f>
        <v>0</v>
      </c>
      <c r="O62" s="39">
        <f>IF(AND(I62="A vencer",K62&lt;=Config!$B$7),100000-K62-ROW()/100000,0)</f>
        <v>0</v>
      </c>
    </row>
    <row r="63">
      <c r="A63" s="33" t="inlineStr">
        <is>
          <t>Larissa Costa</t>
        </is>
      </c>
      <c r="B63" s="33" t="inlineStr">
        <is>
          <t>Consulta</t>
        </is>
      </c>
      <c r="C63" s="37" t="n">
        <v>46125</v>
      </c>
      <c r="D63" s="35" t="n">
        <v>2</v>
      </c>
      <c r="E63" s="37" t="n">
        <v>46185</v>
      </c>
      <c r="F63" s="38" t="n">
        <v>190</v>
      </c>
      <c r="G63" s="35" t="inlineStr">
        <is>
          <t>Sim</t>
        </is>
      </c>
      <c r="H63" s="37" t="n">
        <v>46188</v>
      </c>
      <c r="I63" s="24" t="str">
        <f>IF(A63="","",IF(G63="Sim","Paga",IF(E63="","Sem vencimento",IF(E63&lt;Config!$B$5,"Vencida","A vencer"))))</f>
        <v>Paga</v>
      </c>
      <c r="J63" s="30">
        <f>IF(I63="Vencida",Config!$B$5-E63,"")</f>
        <v/>
      </c>
      <c r="K63" s="30">
        <f>IF(I63="A vencer",E63-Config!$B$5,"")</f>
        <v/>
      </c>
      <c r="L63" s="24">
        <f>IF(I63&lt;&gt;"Vencida","",IF(COUNTIF(Config!$A$10:$A$13,"&lt;="&amp;J63)=0,"Antes da régua",INDEX(Config!$C$10:$C$13,COUNTIF(Config!$A$10:$A$13,"&lt;="&amp;J63))))</f>
        <v/>
      </c>
      <c r="M63" s="23">
        <f>IF(I63&lt;&gt;"Vencida","",IF(COUNTIF(Config!$A$10:$A$13,"&lt;="&amp;J63)=0,"Aguardar: ainda não chegou ao primeiro passo da régua.",INDEX(Config!$B$10:$B$13,COUNTIF(Config!$A$10:$A$13,"&lt;="&amp;J63))))</f>
        <v/>
      </c>
      <c r="N63" s="39">
        <f>IF(I63="Vencida",F63*J63+ROW()/100000,0)</f>
        <v>0</v>
      </c>
      <c r="O63" s="39">
        <f>IF(AND(I63="A vencer",K63&lt;=Config!$B$7),100000-K63-ROW()/100000,0)</f>
        <v>0</v>
      </c>
    </row>
    <row r="64">
      <c r="A64" s="33" t="inlineStr">
        <is>
          <t>Camila Dias</t>
        </is>
      </c>
      <c r="B64" s="33" t="inlineStr">
        <is>
          <t>Avaliação endócrina</t>
        </is>
      </c>
      <c r="C64" s="37" t="n">
        <v>46126</v>
      </c>
      <c r="D64" s="35" t="n">
        <v>1</v>
      </c>
      <c r="E64" s="37" t="n">
        <v>46156</v>
      </c>
      <c r="F64" s="38" t="n">
        <v>200</v>
      </c>
      <c r="G64" s="35" t="inlineStr">
        <is>
          <t>Sim</t>
        </is>
      </c>
      <c r="H64" s="37" t="n">
        <v>46157</v>
      </c>
      <c r="I64" s="24" t="str">
        <f>IF(A64="","",IF(G64="Sim","Paga",IF(E64="","Sem vencimento",IF(E64&lt;Config!$B$5,"Vencida","A vencer"))))</f>
        <v>Paga</v>
      </c>
      <c r="J64" s="30">
        <f>IF(I64="Vencida",Config!$B$5-E64,"")</f>
        <v/>
      </c>
      <c r="K64" s="30">
        <f>IF(I64="A vencer",E64-Config!$B$5,"")</f>
        <v/>
      </c>
      <c r="L64" s="24">
        <f>IF(I64&lt;&gt;"Vencida","",IF(COUNTIF(Config!$A$10:$A$13,"&lt;="&amp;J64)=0,"Antes da régua",INDEX(Config!$C$10:$C$13,COUNTIF(Config!$A$10:$A$13,"&lt;="&amp;J64))))</f>
        <v/>
      </c>
      <c r="M64" s="23">
        <f>IF(I64&lt;&gt;"Vencida","",IF(COUNTIF(Config!$A$10:$A$13,"&lt;="&amp;J64)=0,"Aguardar: ainda não chegou ao primeiro passo da régua.",INDEX(Config!$B$10:$B$13,COUNTIF(Config!$A$10:$A$13,"&lt;="&amp;J64))))</f>
        <v/>
      </c>
      <c r="N64" s="39">
        <f>IF(I64="Vencida",F64*J64+ROW()/100000,0)</f>
        <v>0</v>
      </c>
      <c r="O64" s="39">
        <f>IF(AND(I64="A vencer",K64&lt;=Config!$B$7),100000-K64-ROW()/100000,0)</f>
        <v>0</v>
      </c>
    </row>
    <row r="65">
      <c r="A65" s="33" t="inlineStr">
        <is>
          <t>Camila Dias</t>
        </is>
      </c>
      <c r="B65" s="33" t="inlineStr">
        <is>
          <t>Avaliação endócrina</t>
        </is>
      </c>
      <c r="C65" s="37" t="n">
        <v>46126</v>
      </c>
      <c r="D65" s="35" t="n">
        <v>2</v>
      </c>
      <c r="E65" s="37" t="n">
        <v>46186</v>
      </c>
      <c r="F65" s="38" t="n">
        <v>200</v>
      </c>
      <c r="G65" s="35" t="inlineStr">
        <is>
          <t>Sim</t>
        </is>
      </c>
      <c r="H65" s="37" t="n">
        <v>46186</v>
      </c>
      <c r="I65" s="24" t="str">
        <f>IF(A65="","",IF(G65="Sim","Paga",IF(E65="","Sem vencimento",IF(E65&lt;Config!$B$5,"Vencida","A vencer"))))</f>
        <v>Paga</v>
      </c>
      <c r="J65" s="30">
        <f>IF(I65="Vencida",Config!$B$5-E65,"")</f>
        <v/>
      </c>
      <c r="K65" s="30">
        <f>IF(I65="A vencer",E65-Config!$B$5,"")</f>
        <v/>
      </c>
      <c r="L65" s="24">
        <f>IF(I65&lt;&gt;"Vencida","",IF(COUNTIF(Config!$A$10:$A$13,"&lt;="&amp;J65)=0,"Antes da régua",INDEX(Config!$C$10:$C$13,COUNTIF(Config!$A$10:$A$13,"&lt;="&amp;J65))))</f>
        <v/>
      </c>
      <c r="M65" s="23">
        <f>IF(I65&lt;&gt;"Vencida","",IF(COUNTIF(Config!$A$10:$A$13,"&lt;="&amp;J65)=0,"Aguardar: ainda não chegou ao primeiro passo da régua.",INDEX(Config!$B$10:$B$13,COUNTIF(Config!$A$10:$A$13,"&lt;="&amp;J65))))</f>
        <v/>
      </c>
      <c r="N65" s="39">
        <f>IF(I65="Vencida",F65*J65+ROW()/100000,0)</f>
        <v>0</v>
      </c>
      <c r="O65" s="39">
        <f>IF(AND(I65="A vencer",K65&lt;=Config!$B$7),100000-K65-ROW()/100000,0)</f>
        <v>0</v>
      </c>
    </row>
    <row r="66">
      <c r="A66" s="33" t="inlineStr">
        <is>
          <t>Carlos Freitas</t>
        </is>
      </c>
      <c r="B66" s="33" t="inlineStr">
        <is>
          <t>Avaliação endócrina</t>
        </is>
      </c>
      <c r="C66" s="37" t="n">
        <v>46126</v>
      </c>
      <c r="D66" s="35" t="n">
        <v>1</v>
      </c>
      <c r="E66" s="37" t="n">
        <v>46156</v>
      </c>
      <c r="F66" s="38" t="n">
        <v>200</v>
      </c>
      <c r="G66" s="35" t="inlineStr">
        <is>
          <t>Sim</t>
        </is>
      </c>
      <c r="H66" s="37" t="n">
        <v>46157</v>
      </c>
      <c r="I66" s="24" t="str">
        <f>IF(A66="","",IF(G66="Sim","Paga",IF(E66="","Sem vencimento",IF(E66&lt;Config!$B$5,"Vencida","A vencer"))))</f>
        <v>Paga</v>
      </c>
      <c r="J66" s="30">
        <f>IF(I66="Vencida",Config!$B$5-E66,"")</f>
        <v/>
      </c>
      <c r="K66" s="30">
        <f>IF(I66="A vencer",E66-Config!$B$5,"")</f>
        <v/>
      </c>
      <c r="L66" s="24">
        <f>IF(I66&lt;&gt;"Vencida","",IF(COUNTIF(Config!$A$10:$A$13,"&lt;="&amp;J66)=0,"Antes da régua",INDEX(Config!$C$10:$C$13,COUNTIF(Config!$A$10:$A$13,"&lt;="&amp;J66))))</f>
        <v/>
      </c>
      <c r="M66" s="23">
        <f>IF(I66&lt;&gt;"Vencida","",IF(COUNTIF(Config!$A$10:$A$13,"&lt;="&amp;J66)=0,"Aguardar: ainda não chegou ao primeiro passo da régua.",INDEX(Config!$B$10:$B$13,COUNTIF(Config!$A$10:$A$13,"&lt;="&amp;J66))))</f>
        <v/>
      </c>
      <c r="N66" s="39">
        <f>IF(I66="Vencida",F66*J66+ROW()/100000,0)</f>
        <v>0</v>
      </c>
      <c r="O66" s="39">
        <f>IF(AND(I66="A vencer",K66&lt;=Config!$B$7),100000-K66-ROW()/100000,0)</f>
        <v>0</v>
      </c>
    </row>
    <row r="67">
      <c r="A67" s="33" t="inlineStr">
        <is>
          <t>Carlos Freitas</t>
        </is>
      </c>
      <c r="B67" s="33" t="inlineStr">
        <is>
          <t>Avaliação endócrina</t>
        </is>
      </c>
      <c r="C67" s="37" t="n">
        <v>46126</v>
      </c>
      <c r="D67" s="35" t="n">
        <v>2</v>
      </c>
      <c r="E67" s="37" t="n">
        <v>46186</v>
      </c>
      <c r="F67" s="38" t="n">
        <v>200</v>
      </c>
      <c r="G67" s="35" t="inlineStr">
        <is>
          <t>Sim</t>
        </is>
      </c>
      <c r="H67" s="37" t="n">
        <v>46187</v>
      </c>
      <c r="I67" s="24" t="str">
        <f>IF(A67="","",IF(G67="Sim","Paga",IF(E67="","Sem vencimento",IF(E67&lt;Config!$B$5,"Vencida","A vencer"))))</f>
        <v>Paga</v>
      </c>
      <c r="J67" s="30">
        <f>IF(I67="Vencida",Config!$B$5-E67,"")</f>
        <v/>
      </c>
      <c r="K67" s="30">
        <f>IF(I67="A vencer",E67-Config!$B$5,"")</f>
        <v/>
      </c>
      <c r="L67" s="24">
        <f>IF(I67&lt;&gt;"Vencida","",IF(COUNTIF(Config!$A$10:$A$13,"&lt;="&amp;J67)=0,"Antes da régua",INDEX(Config!$C$10:$C$13,COUNTIF(Config!$A$10:$A$13,"&lt;="&amp;J67))))</f>
        <v/>
      </c>
      <c r="M67" s="23">
        <f>IF(I67&lt;&gt;"Vencida","",IF(COUNTIF(Config!$A$10:$A$13,"&lt;="&amp;J67)=0,"Aguardar: ainda não chegou ao primeiro passo da régua.",INDEX(Config!$B$10:$B$13,COUNTIF(Config!$A$10:$A$13,"&lt;="&amp;J67))))</f>
        <v/>
      </c>
      <c r="N67" s="39">
        <f>IF(I67="Vencida",F67*J67+ROW()/100000,0)</f>
        <v>0</v>
      </c>
      <c r="O67" s="39">
        <f>IF(AND(I67="A vencer",K67&lt;=Config!$B$7),100000-K67-ROW()/100000,0)</f>
        <v>0</v>
      </c>
    </row>
    <row r="68">
      <c r="A68" s="33" t="inlineStr">
        <is>
          <t>Mariana Reis</t>
        </is>
      </c>
      <c r="B68" s="33" t="inlineStr">
        <is>
          <t>Avaliação endócrina</t>
        </is>
      </c>
      <c r="C68" s="37" t="n">
        <v>46126</v>
      </c>
      <c r="D68" s="35" t="n">
        <v>1</v>
      </c>
      <c r="E68" s="37" t="n">
        <v>46156</v>
      </c>
      <c r="F68" s="38" t="n">
        <v>400</v>
      </c>
      <c r="G68" s="35" t="inlineStr">
        <is>
          <t>Sim</t>
        </is>
      </c>
      <c r="H68" s="37" t="n">
        <v>46157</v>
      </c>
      <c r="I68" s="24" t="str">
        <f>IF(A68="","",IF(G68="Sim","Paga",IF(E68="","Sem vencimento",IF(E68&lt;Config!$B$5,"Vencida","A vencer"))))</f>
        <v>Paga</v>
      </c>
      <c r="J68" s="30">
        <f>IF(I68="Vencida",Config!$B$5-E68,"")</f>
        <v/>
      </c>
      <c r="K68" s="30">
        <f>IF(I68="A vencer",E68-Config!$B$5,"")</f>
        <v/>
      </c>
      <c r="L68" s="24">
        <f>IF(I68&lt;&gt;"Vencida","",IF(COUNTIF(Config!$A$10:$A$13,"&lt;="&amp;J68)=0,"Antes da régua",INDEX(Config!$C$10:$C$13,COUNTIF(Config!$A$10:$A$13,"&lt;="&amp;J68))))</f>
        <v/>
      </c>
      <c r="M68" s="23">
        <f>IF(I68&lt;&gt;"Vencida","",IF(COUNTIF(Config!$A$10:$A$13,"&lt;="&amp;J68)=0,"Aguardar: ainda não chegou ao primeiro passo da régua.",INDEX(Config!$B$10:$B$13,COUNTIF(Config!$A$10:$A$13,"&lt;="&amp;J68))))</f>
        <v/>
      </c>
      <c r="N68" s="39">
        <f>IF(I68="Vencida",F68*J68+ROW()/100000,0)</f>
        <v>0</v>
      </c>
      <c r="O68" s="39">
        <f>IF(AND(I68="A vencer",K68&lt;=Config!$B$7),100000-K68-ROW()/100000,0)</f>
        <v>0</v>
      </c>
    </row>
    <row r="69">
      <c r="A69" s="33" t="inlineStr">
        <is>
          <t>Patrícia Fernandes</t>
        </is>
      </c>
      <c r="B69" s="33" t="inlineStr">
        <is>
          <t>Consulta</t>
        </is>
      </c>
      <c r="C69" s="37" t="n">
        <v>46132</v>
      </c>
      <c r="D69" s="35" t="n">
        <v>1</v>
      </c>
      <c r="E69" s="37" t="n">
        <v>46162</v>
      </c>
      <c r="F69" s="38" t="n">
        <v>190</v>
      </c>
      <c r="G69" s="35" t="inlineStr">
        <is>
          <t>Sim</t>
        </is>
      </c>
      <c r="H69" s="37" t="n">
        <v>46165</v>
      </c>
      <c r="I69" s="24" t="str">
        <f>IF(A69="","",IF(G69="Sim","Paga",IF(E69="","Sem vencimento",IF(E69&lt;Config!$B$5,"Vencida","A vencer"))))</f>
        <v>Paga</v>
      </c>
      <c r="J69" s="30">
        <f>IF(I69="Vencida",Config!$B$5-E69,"")</f>
        <v/>
      </c>
      <c r="K69" s="30">
        <f>IF(I69="A vencer",E69-Config!$B$5,"")</f>
        <v/>
      </c>
      <c r="L69" s="24">
        <f>IF(I69&lt;&gt;"Vencida","",IF(COUNTIF(Config!$A$10:$A$13,"&lt;="&amp;J69)=0,"Antes da régua",INDEX(Config!$C$10:$C$13,COUNTIF(Config!$A$10:$A$13,"&lt;="&amp;J69))))</f>
        <v/>
      </c>
      <c r="M69" s="23">
        <f>IF(I69&lt;&gt;"Vencida","",IF(COUNTIF(Config!$A$10:$A$13,"&lt;="&amp;J69)=0,"Aguardar: ainda não chegou ao primeiro passo da régua.",INDEX(Config!$B$10:$B$13,COUNTIF(Config!$A$10:$A$13,"&lt;="&amp;J69))))</f>
        <v/>
      </c>
      <c r="N69" s="39">
        <f>IF(I69="Vencida",F69*J69+ROW()/100000,0)</f>
        <v>0</v>
      </c>
      <c r="O69" s="39">
        <f>IF(AND(I69="A vencer",K69&lt;=Config!$B$7),100000-K69-ROW()/100000,0)</f>
        <v>0</v>
      </c>
    </row>
    <row r="70">
      <c r="A70" s="33" t="inlineStr">
        <is>
          <t>Patrícia Fernandes</t>
        </is>
      </c>
      <c r="B70" s="33" t="inlineStr">
        <is>
          <t>Consulta</t>
        </is>
      </c>
      <c r="C70" s="37" t="n">
        <v>46132</v>
      </c>
      <c r="D70" s="35" t="n">
        <v>2</v>
      </c>
      <c r="E70" s="37" t="n">
        <v>46192</v>
      </c>
      <c r="F70" s="38" t="n">
        <v>190</v>
      </c>
      <c r="G70" s="35" t="inlineStr">
        <is>
          <t>Sim</t>
        </is>
      </c>
      <c r="H70" s="37" t="n">
        <v>46192</v>
      </c>
      <c r="I70" s="24" t="str">
        <f>IF(A70="","",IF(G70="Sim","Paga",IF(E70="","Sem vencimento",IF(E70&lt;Config!$B$5,"Vencida","A vencer"))))</f>
        <v>Paga</v>
      </c>
      <c r="J70" s="30">
        <f>IF(I70="Vencida",Config!$B$5-E70,"")</f>
        <v/>
      </c>
      <c r="K70" s="30">
        <f>IF(I70="A vencer",E70-Config!$B$5,"")</f>
        <v/>
      </c>
      <c r="L70" s="24">
        <f>IF(I70&lt;&gt;"Vencida","",IF(COUNTIF(Config!$A$10:$A$13,"&lt;="&amp;J70)=0,"Antes da régua",INDEX(Config!$C$10:$C$13,COUNTIF(Config!$A$10:$A$13,"&lt;="&amp;J70))))</f>
        <v/>
      </c>
      <c r="M70" s="23">
        <f>IF(I70&lt;&gt;"Vencida","",IF(COUNTIF(Config!$A$10:$A$13,"&lt;="&amp;J70)=0,"Aguardar: ainda não chegou ao primeiro passo da régua.",INDEX(Config!$B$10:$B$13,COUNTIF(Config!$A$10:$A$13,"&lt;="&amp;J70))))</f>
        <v/>
      </c>
      <c r="N70" s="39">
        <f>IF(I70="Vencida",F70*J70+ROW()/100000,0)</f>
        <v>0</v>
      </c>
      <c r="O70" s="39">
        <f>IF(AND(I70="A vencer",K70&lt;=Config!$B$7),100000-K70-ROW()/100000,0)</f>
        <v>0</v>
      </c>
    </row>
    <row r="71">
      <c r="A71" s="33" t="inlineStr">
        <is>
          <t>Fábio Gomes</t>
        </is>
      </c>
      <c r="B71" s="33" t="inlineStr">
        <is>
          <t>Avaliação endócrina</t>
        </is>
      </c>
      <c r="C71" s="37" t="n">
        <v>46135</v>
      </c>
      <c r="D71" s="35" t="n">
        <v>1</v>
      </c>
      <c r="E71" s="37" t="n">
        <v>46165</v>
      </c>
      <c r="F71" s="38" t="n">
        <v>400</v>
      </c>
      <c r="G71" s="35" t="inlineStr">
        <is>
          <t>Sim</t>
        </is>
      </c>
      <c r="H71" s="37" t="n">
        <v>46168</v>
      </c>
      <c r="I71" s="24" t="str">
        <f>IF(A71="","",IF(G71="Sim","Paga",IF(E71="","Sem vencimento",IF(E71&lt;Config!$B$5,"Vencida","A vencer"))))</f>
        <v>Paga</v>
      </c>
      <c r="J71" s="30">
        <f>IF(I71="Vencida",Config!$B$5-E71,"")</f>
        <v/>
      </c>
      <c r="K71" s="30">
        <f>IF(I71="A vencer",E71-Config!$B$5,"")</f>
        <v/>
      </c>
      <c r="L71" s="24">
        <f>IF(I71&lt;&gt;"Vencida","",IF(COUNTIF(Config!$A$10:$A$13,"&lt;="&amp;J71)=0,"Antes da régua",INDEX(Config!$C$10:$C$13,COUNTIF(Config!$A$10:$A$13,"&lt;="&amp;J71))))</f>
        <v/>
      </c>
      <c r="M71" s="23">
        <f>IF(I71&lt;&gt;"Vencida","",IF(COUNTIF(Config!$A$10:$A$13,"&lt;="&amp;J71)=0,"Aguardar: ainda não chegou ao primeiro passo da régua.",INDEX(Config!$B$10:$B$13,COUNTIF(Config!$A$10:$A$13,"&lt;="&amp;J71))))</f>
        <v/>
      </c>
      <c r="N71" s="39">
        <f>IF(I71="Vencida",F71*J71+ROW()/100000,0)</f>
        <v>0</v>
      </c>
      <c r="O71" s="39">
        <f>IF(AND(I71="A vencer",K71&lt;=Config!$B$7),100000-K71-ROW()/100000,0)</f>
        <v>0</v>
      </c>
    </row>
    <row r="72">
      <c r="A72" s="33" t="inlineStr">
        <is>
          <t>Henrique Ribeiro</t>
        </is>
      </c>
      <c r="B72" s="33" t="inlineStr">
        <is>
          <t>Consulta</t>
        </is>
      </c>
      <c r="C72" s="37" t="n">
        <v>46136</v>
      </c>
      <c r="D72" s="35" t="n">
        <v>1</v>
      </c>
      <c r="E72" s="37" t="n">
        <v>46166</v>
      </c>
      <c r="F72" s="38" t="n">
        <v>380</v>
      </c>
      <c r="G72" s="35" t="inlineStr">
        <is>
          <t>Sim</t>
        </is>
      </c>
      <c r="H72" s="37" t="n">
        <v>46168</v>
      </c>
      <c r="I72" s="24" t="str">
        <f>IF(A72="","",IF(G72="Sim","Paga",IF(E72="","Sem vencimento",IF(E72&lt;Config!$B$5,"Vencida","A vencer"))))</f>
        <v>Paga</v>
      </c>
      <c r="J72" s="30">
        <f>IF(I72="Vencida",Config!$B$5-E72,"")</f>
        <v/>
      </c>
      <c r="K72" s="30">
        <f>IF(I72="A vencer",E72-Config!$B$5,"")</f>
        <v/>
      </c>
      <c r="L72" s="24">
        <f>IF(I72&lt;&gt;"Vencida","",IF(COUNTIF(Config!$A$10:$A$13,"&lt;="&amp;J72)=0,"Antes da régua",INDEX(Config!$C$10:$C$13,COUNTIF(Config!$A$10:$A$13,"&lt;="&amp;J72))))</f>
        <v/>
      </c>
      <c r="M72" s="23">
        <f>IF(I72&lt;&gt;"Vencida","",IF(COUNTIF(Config!$A$10:$A$13,"&lt;="&amp;J72)=0,"Aguardar: ainda não chegou ao primeiro passo da régua.",INDEX(Config!$B$10:$B$13,COUNTIF(Config!$A$10:$A$13,"&lt;="&amp;J72))))</f>
        <v/>
      </c>
      <c r="N72" s="39">
        <f>IF(I72="Vencida",F72*J72+ROW()/100000,0)</f>
        <v>0</v>
      </c>
      <c r="O72" s="39">
        <f>IF(AND(I72="A vencer",K72&lt;=Config!$B$7),100000-K72-ROW()/100000,0)</f>
        <v>0</v>
      </c>
    </row>
    <row r="73">
      <c r="A73" s="33" t="inlineStr">
        <is>
          <t>Otávio Cardoso</t>
        </is>
      </c>
      <c r="B73" s="33" t="inlineStr">
        <is>
          <t>Consulta</t>
        </is>
      </c>
      <c r="C73" s="37" t="n">
        <v>46139</v>
      </c>
      <c r="D73" s="35" t="n">
        <v>1</v>
      </c>
      <c r="E73" s="37" t="n">
        <v>46169</v>
      </c>
      <c r="F73" s="38" t="n">
        <v>380</v>
      </c>
      <c r="G73" s="35" t="inlineStr">
        <is>
          <t>Sim</t>
        </is>
      </c>
      <c r="H73" s="37" t="n">
        <v>46169</v>
      </c>
      <c r="I73" s="24" t="str">
        <f>IF(A73="","",IF(G73="Sim","Paga",IF(E73="","Sem vencimento",IF(E73&lt;Config!$B$5,"Vencida","A vencer"))))</f>
        <v>Paga</v>
      </c>
      <c r="J73" s="30">
        <f>IF(I73="Vencida",Config!$B$5-E73,"")</f>
        <v/>
      </c>
      <c r="K73" s="30">
        <f>IF(I73="A vencer",E73-Config!$B$5,"")</f>
        <v/>
      </c>
      <c r="L73" s="24">
        <f>IF(I73&lt;&gt;"Vencida","",IF(COUNTIF(Config!$A$10:$A$13,"&lt;="&amp;J73)=0,"Antes da régua",INDEX(Config!$C$10:$C$13,COUNTIF(Config!$A$10:$A$13,"&lt;="&amp;J73))))</f>
        <v/>
      </c>
      <c r="M73" s="23">
        <f>IF(I73&lt;&gt;"Vencida","",IF(COUNTIF(Config!$A$10:$A$13,"&lt;="&amp;J73)=0,"Aguardar: ainda não chegou ao primeiro passo da régua.",INDEX(Config!$B$10:$B$13,COUNTIF(Config!$A$10:$A$13,"&lt;="&amp;J73))))</f>
        <v/>
      </c>
      <c r="N73" s="39">
        <f>IF(I73="Vencida",F73*J73+ROW()/100000,0)</f>
        <v>0</v>
      </c>
      <c r="O73" s="39">
        <f>IF(AND(I73="A vencer",K73&lt;=Config!$B$7),100000-K73-ROW()/100000,0)</f>
        <v>0</v>
      </c>
    </row>
    <row r="74">
      <c r="A74" s="33" t="inlineStr">
        <is>
          <t>Rafael Barros</t>
        </is>
      </c>
      <c r="B74" s="33" t="inlineStr">
        <is>
          <t>Consulta</t>
        </is>
      </c>
      <c r="C74" s="37" t="n">
        <v>46140</v>
      </c>
      <c r="D74" s="35" t="n">
        <v>1</v>
      </c>
      <c r="E74" s="37" t="n">
        <v>46170</v>
      </c>
      <c r="F74" s="38" t="n">
        <v>380</v>
      </c>
      <c r="G74" s="35" t="inlineStr">
        <is>
          <t>Sim</t>
        </is>
      </c>
      <c r="H74" s="37" t="n">
        <v>46171</v>
      </c>
      <c r="I74" s="24" t="str">
        <f>IF(A74="","",IF(G74="Sim","Paga",IF(E74="","Sem vencimento",IF(E74&lt;Config!$B$5,"Vencida","A vencer"))))</f>
        <v>Paga</v>
      </c>
      <c r="J74" s="30">
        <f>IF(I74="Vencida",Config!$B$5-E74,"")</f>
        <v/>
      </c>
      <c r="K74" s="30">
        <f>IF(I74="A vencer",E74-Config!$B$5,"")</f>
        <v/>
      </c>
      <c r="L74" s="24">
        <f>IF(I74&lt;&gt;"Vencida","",IF(COUNTIF(Config!$A$10:$A$13,"&lt;="&amp;J74)=0,"Antes da régua",INDEX(Config!$C$10:$C$13,COUNTIF(Config!$A$10:$A$13,"&lt;="&amp;J74))))</f>
        <v/>
      </c>
      <c r="M74" s="23">
        <f>IF(I74&lt;&gt;"Vencida","",IF(COUNTIF(Config!$A$10:$A$13,"&lt;="&amp;J74)=0,"Aguardar: ainda não chegou ao primeiro passo da régua.",INDEX(Config!$B$10:$B$13,COUNTIF(Config!$A$10:$A$13,"&lt;="&amp;J74))))</f>
        <v/>
      </c>
      <c r="N74" s="39">
        <f>IF(I74="Vencida",F74*J74+ROW()/100000,0)</f>
        <v>0</v>
      </c>
      <c r="O74" s="39">
        <f>IF(AND(I74="A vencer",K74&lt;=Config!$B$7),100000-K74-ROW()/100000,0)</f>
        <v>0</v>
      </c>
    </row>
    <row r="75">
      <c r="A75" s="33" t="inlineStr">
        <is>
          <t>Mariana Nascimento</t>
        </is>
      </c>
      <c r="B75" s="33" t="inlineStr">
        <is>
          <t>Consulta</t>
        </is>
      </c>
      <c r="C75" s="37" t="n">
        <v>46141</v>
      </c>
      <c r="D75" s="35" t="n">
        <v>1</v>
      </c>
      <c r="E75" s="37" t="n">
        <v>46171</v>
      </c>
      <c r="F75" s="38" t="n">
        <v>190</v>
      </c>
      <c r="G75" s="35" t="inlineStr">
        <is>
          <t>Sim</t>
        </is>
      </c>
      <c r="H75" s="37" t="n">
        <v>46171</v>
      </c>
      <c r="I75" s="24" t="str">
        <f>IF(A75="","",IF(G75="Sim","Paga",IF(E75="","Sem vencimento",IF(E75&lt;Config!$B$5,"Vencida","A vencer"))))</f>
        <v>Paga</v>
      </c>
      <c r="J75" s="30">
        <f>IF(I75="Vencida",Config!$B$5-E75,"")</f>
        <v/>
      </c>
      <c r="K75" s="30">
        <f>IF(I75="A vencer",E75-Config!$B$5,"")</f>
        <v/>
      </c>
      <c r="L75" s="24">
        <f>IF(I75&lt;&gt;"Vencida","",IF(COUNTIF(Config!$A$10:$A$13,"&lt;="&amp;J75)=0,"Antes da régua",INDEX(Config!$C$10:$C$13,COUNTIF(Config!$A$10:$A$13,"&lt;="&amp;J75))))</f>
        <v/>
      </c>
      <c r="M75" s="23">
        <f>IF(I75&lt;&gt;"Vencida","",IF(COUNTIF(Config!$A$10:$A$13,"&lt;="&amp;J75)=0,"Aguardar: ainda não chegou ao primeiro passo da régua.",INDEX(Config!$B$10:$B$13,COUNTIF(Config!$A$10:$A$13,"&lt;="&amp;J75))))</f>
        <v/>
      </c>
      <c r="N75" s="39">
        <f>IF(I75="Vencida",F75*J75+ROW()/100000,0)</f>
        <v>0</v>
      </c>
      <c r="O75" s="39">
        <f>IF(AND(I75="A vencer",K75&lt;=Config!$B$7),100000-K75-ROW()/100000,0)</f>
        <v>0</v>
      </c>
    </row>
    <row r="76">
      <c r="A76" s="33" t="inlineStr">
        <is>
          <t>Mariana Nascimento</t>
        </is>
      </c>
      <c r="B76" s="33" t="inlineStr">
        <is>
          <t>Consulta</t>
        </is>
      </c>
      <c r="C76" s="37" t="n">
        <v>46141</v>
      </c>
      <c r="D76" s="35" t="n">
        <v>2</v>
      </c>
      <c r="E76" s="37" t="n">
        <v>46201</v>
      </c>
      <c r="F76" s="38" t="n">
        <v>190</v>
      </c>
      <c r="G76" s="35" t="inlineStr">
        <is>
          <t>Sim</t>
        </is>
      </c>
      <c r="H76" s="37" t="n">
        <v>46204</v>
      </c>
      <c r="I76" s="24" t="str">
        <f>IF(A76="","",IF(G76="Sim","Paga",IF(E76="","Sem vencimento",IF(E76&lt;Config!$B$5,"Vencida","A vencer"))))</f>
        <v>Paga</v>
      </c>
      <c r="J76" s="30">
        <f>IF(I76="Vencida",Config!$B$5-E76,"")</f>
        <v/>
      </c>
      <c r="K76" s="30">
        <f>IF(I76="A vencer",E76-Config!$B$5,"")</f>
        <v/>
      </c>
      <c r="L76" s="24">
        <f>IF(I76&lt;&gt;"Vencida","",IF(COUNTIF(Config!$A$10:$A$13,"&lt;="&amp;J76)=0,"Antes da régua",INDEX(Config!$C$10:$C$13,COUNTIF(Config!$A$10:$A$13,"&lt;="&amp;J76))))</f>
        <v/>
      </c>
      <c r="M76" s="23">
        <f>IF(I76&lt;&gt;"Vencida","",IF(COUNTIF(Config!$A$10:$A$13,"&lt;="&amp;J76)=0,"Aguardar: ainda não chegou ao primeiro passo da régua.",INDEX(Config!$B$10:$B$13,COUNTIF(Config!$A$10:$A$13,"&lt;="&amp;J76))))</f>
        <v/>
      </c>
      <c r="N76" s="39">
        <f>IF(I76="Vencida",F76*J76+ROW()/100000,0)</f>
        <v>0</v>
      </c>
      <c r="O76" s="39">
        <f>IF(AND(I76="A vencer",K76&lt;=Config!$B$7),100000-K76-ROW()/100000,0)</f>
        <v>0</v>
      </c>
    </row>
    <row r="77">
      <c r="A77" s="33" t="inlineStr">
        <is>
          <t>Helena Moreira</t>
        </is>
      </c>
      <c r="B77" s="33" t="inlineStr">
        <is>
          <t>Consulta</t>
        </is>
      </c>
      <c r="C77" s="37" t="n">
        <v>46142</v>
      </c>
      <c r="D77" s="35" t="n">
        <v>1</v>
      </c>
      <c r="E77" s="37" t="n">
        <v>46172</v>
      </c>
      <c r="F77" s="38" t="n">
        <v>380</v>
      </c>
      <c r="G77" s="35" t="inlineStr">
        <is>
          <t>Sim</t>
        </is>
      </c>
      <c r="H77" s="37" t="n">
        <v>46177</v>
      </c>
      <c r="I77" s="24" t="str">
        <f>IF(A77="","",IF(G77="Sim","Paga",IF(E77="","Sem vencimento",IF(E77&lt;Config!$B$5,"Vencida","A vencer"))))</f>
        <v>Paga</v>
      </c>
      <c r="J77" s="30">
        <f>IF(I77="Vencida",Config!$B$5-E77,"")</f>
        <v/>
      </c>
      <c r="K77" s="30">
        <f>IF(I77="A vencer",E77-Config!$B$5,"")</f>
        <v/>
      </c>
      <c r="L77" s="24">
        <f>IF(I77&lt;&gt;"Vencida","",IF(COUNTIF(Config!$A$10:$A$13,"&lt;="&amp;J77)=0,"Antes da régua",INDEX(Config!$C$10:$C$13,COUNTIF(Config!$A$10:$A$13,"&lt;="&amp;J77))))</f>
        <v/>
      </c>
      <c r="M77" s="23">
        <f>IF(I77&lt;&gt;"Vencida","",IF(COUNTIF(Config!$A$10:$A$13,"&lt;="&amp;J77)=0,"Aguardar: ainda não chegou ao primeiro passo da régua.",INDEX(Config!$B$10:$B$13,COUNTIF(Config!$A$10:$A$13,"&lt;="&amp;J77))))</f>
        <v/>
      </c>
      <c r="N77" s="39">
        <f>IF(I77="Vencida",F77*J77+ROW()/100000,0)</f>
        <v>0</v>
      </c>
      <c r="O77" s="39">
        <f>IF(AND(I77="A vencer",K77&lt;=Config!$B$7),100000-K77-ROW()/100000,0)</f>
        <v>0</v>
      </c>
    </row>
    <row r="78">
      <c r="A78" s="33" t="inlineStr">
        <is>
          <t>Rafael Dias</t>
        </is>
      </c>
      <c r="B78" s="33" t="inlineStr">
        <is>
          <t>Consulta</t>
        </is>
      </c>
      <c r="C78" s="37" t="n">
        <v>46142</v>
      </c>
      <c r="D78" s="35" t="n">
        <v>1</v>
      </c>
      <c r="E78" s="37" t="n">
        <v>46172</v>
      </c>
      <c r="F78" s="38" t="n">
        <v>190</v>
      </c>
      <c r="G78" s="35" t="inlineStr">
        <is>
          <t>Sim</t>
        </is>
      </c>
      <c r="H78" s="37" t="n">
        <v>46173</v>
      </c>
      <c r="I78" s="24" t="str">
        <f>IF(A78="","",IF(G78="Sim","Paga",IF(E78="","Sem vencimento",IF(E78&lt;Config!$B$5,"Vencida","A vencer"))))</f>
        <v>Paga</v>
      </c>
      <c r="J78" s="30">
        <f>IF(I78="Vencida",Config!$B$5-E78,"")</f>
        <v/>
      </c>
      <c r="K78" s="30">
        <f>IF(I78="A vencer",E78-Config!$B$5,"")</f>
        <v/>
      </c>
      <c r="L78" s="24">
        <f>IF(I78&lt;&gt;"Vencida","",IF(COUNTIF(Config!$A$10:$A$13,"&lt;="&amp;J78)=0,"Antes da régua",INDEX(Config!$C$10:$C$13,COUNTIF(Config!$A$10:$A$13,"&lt;="&amp;J78))))</f>
        <v/>
      </c>
      <c r="M78" s="23">
        <f>IF(I78&lt;&gt;"Vencida","",IF(COUNTIF(Config!$A$10:$A$13,"&lt;="&amp;J78)=0,"Aguardar: ainda não chegou ao primeiro passo da régua.",INDEX(Config!$B$10:$B$13,COUNTIF(Config!$A$10:$A$13,"&lt;="&amp;J78))))</f>
        <v/>
      </c>
      <c r="N78" s="39">
        <f>IF(I78="Vencida",F78*J78+ROW()/100000,0)</f>
        <v>0</v>
      </c>
      <c r="O78" s="39">
        <f>IF(AND(I78="A vencer",K78&lt;=Config!$B$7),100000-K78-ROW()/100000,0)</f>
        <v>0</v>
      </c>
    </row>
    <row r="79">
      <c r="A79" s="33" t="inlineStr">
        <is>
          <t>Rafael Dias</t>
        </is>
      </c>
      <c r="B79" s="33" t="inlineStr">
        <is>
          <t>Consulta</t>
        </is>
      </c>
      <c r="C79" s="37" t="n">
        <v>46142</v>
      </c>
      <c r="D79" s="35" t="n">
        <v>2</v>
      </c>
      <c r="E79" s="37" t="n">
        <v>46202</v>
      </c>
      <c r="F79" s="38" t="n">
        <v>190</v>
      </c>
      <c r="G79" s="35" t="inlineStr">
        <is>
          <t>Sim</t>
        </is>
      </c>
      <c r="H79" s="37" t="n">
        <v>46202</v>
      </c>
      <c r="I79" s="24" t="str">
        <f>IF(A79="","",IF(G79="Sim","Paga",IF(E79="","Sem vencimento",IF(E79&lt;Config!$B$5,"Vencida","A vencer"))))</f>
        <v>Paga</v>
      </c>
      <c r="J79" s="30">
        <f>IF(I79="Vencida",Config!$B$5-E79,"")</f>
        <v/>
      </c>
      <c r="K79" s="30">
        <f>IF(I79="A vencer",E79-Config!$B$5,"")</f>
        <v/>
      </c>
      <c r="L79" s="24">
        <f>IF(I79&lt;&gt;"Vencida","",IF(COUNTIF(Config!$A$10:$A$13,"&lt;="&amp;J79)=0,"Antes da régua",INDEX(Config!$C$10:$C$13,COUNTIF(Config!$A$10:$A$13,"&lt;="&amp;J79))))</f>
        <v/>
      </c>
      <c r="M79" s="23">
        <f>IF(I79&lt;&gt;"Vencida","",IF(COUNTIF(Config!$A$10:$A$13,"&lt;="&amp;J79)=0,"Aguardar: ainda não chegou ao primeiro passo da régua.",INDEX(Config!$B$10:$B$13,COUNTIF(Config!$A$10:$A$13,"&lt;="&amp;J79))))</f>
        <v/>
      </c>
      <c r="N79" s="39">
        <f>IF(I79="Vencida",F79*J79+ROW()/100000,0)</f>
        <v>0</v>
      </c>
      <c r="O79" s="39">
        <f>IF(AND(I79="A vencer",K79&lt;=Config!$B$7),100000-K79-ROW()/100000,0)</f>
        <v>0</v>
      </c>
    </row>
    <row r="80">
      <c r="A80" s="33" t="inlineStr">
        <is>
          <t>Fernanda Freitas</t>
        </is>
      </c>
      <c r="B80" s="33" t="inlineStr">
        <is>
          <t>MAPA</t>
        </is>
      </c>
      <c r="C80" s="37" t="n">
        <v>46146</v>
      </c>
      <c r="D80" s="35" t="n">
        <v>1</v>
      </c>
      <c r="E80" s="37" t="n">
        <v>46176</v>
      </c>
      <c r="F80" s="38" t="n">
        <v>300</v>
      </c>
      <c r="G80" s="35" t="inlineStr">
        <is>
          <t>Sim</t>
        </is>
      </c>
      <c r="H80" s="37" t="n">
        <v>46176</v>
      </c>
      <c r="I80" s="24" t="str">
        <f>IF(A80="","",IF(G80="Sim","Paga",IF(E80="","Sem vencimento",IF(E80&lt;Config!$B$5,"Vencida","A vencer"))))</f>
        <v>Paga</v>
      </c>
      <c r="J80" s="30">
        <f>IF(I80="Vencida",Config!$B$5-E80,"")</f>
        <v/>
      </c>
      <c r="K80" s="30">
        <f>IF(I80="A vencer",E80-Config!$B$5,"")</f>
        <v/>
      </c>
      <c r="L80" s="24">
        <f>IF(I80&lt;&gt;"Vencida","",IF(COUNTIF(Config!$A$10:$A$13,"&lt;="&amp;J80)=0,"Antes da régua",INDEX(Config!$C$10:$C$13,COUNTIF(Config!$A$10:$A$13,"&lt;="&amp;J80))))</f>
        <v/>
      </c>
      <c r="M80" s="23">
        <f>IF(I80&lt;&gt;"Vencida","",IF(COUNTIF(Config!$A$10:$A$13,"&lt;="&amp;J80)=0,"Aguardar: ainda não chegou ao primeiro passo da régua.",INDEX(Config!$B$10:$B$13,COUNTIF(Config!$A$10:$A$13,"&lt;="&amp;J80))))</f>
        <v/>
      </c>
      <c r="N80" s="39">
        <f>IF(I80="Vencida",F80*J80+ROW()/100000,0)</f>
        <v>0</v>
      </c>
      <c r="O80" s="39">
        <f>IF(AND(I80="A vencer",K80&lt;=Config!$B$7),100000-K80-ROW()/100000,0)</f>
        <v>0</v>
      </c>
    </row>
    <row r="81">
      <c r="A81" s="33" t="inlineStr">
        <is>
          <t>Rodrigo Moreira</t>
        </is>
      </c>
      <c r="B81" s="33" t="inlineStr">
        <is>
          <t>Consulta</t>
        </is>
      </c>
      <c r="C81" s="37" t="n">
        <v>46149</v>
      </c>
      <c r="D81" s="35" t="n">
        <v>1</v>
      </c>
      <c r="E81" s="37" t="n">
        <v>46179</v>
      </c>
      <c r="F81" s="38" t="n">
        <v>190</v>
      </c>
      <c r="G81" s="35" t="inlineStr">
        <is>
          <t>Sim</t>
        </is>
      </c>
      <c r="H81" s="37" t="n">
        <v>46179</v>
      </c>
      <c r="I81" s="24" t="str">
        <f>IF(A81="","",IF(G81="Sim","Paga",IF(E81="","Sem vencimento",IF(E81&lt;Config!$B$5,"Vencida","A vencer"))))</f>
        <v>Paga</v>
      </c>
      <c r="J81" s="30">
        <f>IF(I81="Vencida",Config!$B$5-E81,"")</f>
        <v/>
      </c>
      <c r="K81" s="30">
        <f>IF(I81="A vencer",E81-Config!$B$5,"")</f>
        <v/>
      </c>
      <c r="L81" s="24">
        <f>IF(I81&lt;&gt;"Vencida","",IF(COUNTIF(Config!$A$10:$A$13,"&lt;="&amp;J81)=0,"Antes da régua",INDEX(Config!$C$10:$C$13,COUNTIF(Config!$A$10:$A$13,"&lt;="&amp;J81))))</f>
        <v/>
      </c>
      <c r="M81" s="23">
        <f>IF(I81&lt;&gt;"Vencida","",IF(COUNTIF(Config!$A$10:$A$13,"&lt;="&amp;J81)=0,"Aguardar: ainda não chegou ao primeiro passo da régua.",INDEX(Config!$B$10:$B$13,COUNTIF(Config!$A$10:$A$13,"&lt;="&amp;J81))))</f>
        <v/>
      </c>
      <c r="N81" s="39">
        <f>IF(I81="Vencida",F81*J81+ROW()/100000,0)</f>
        <v>0</v>
      </c>
      <c r="O81" s="39">
        <f>IF(AND(I81="A vencer",K81&lt;=Config!$B$7),100000-K81-ROW()/100000,0)</f>
        <v>0</v>
      </c>
    </row>
    <row r="82">
      <c r="A82" s="33" t="inlineStr">
        <is>
          <t>Rodrigo Moreira</t>
        </is>
      </c>
      <c r="B82" s="33" t="inlineStr">
        <is>
          <t>Consulta</t>
        </is>
      </c>
      <c r="C82" s="37" t="n">
        <v>46149</v>
      </c>
      <c r="D82" s="35" t="n">
        <v>2</v>
      </c>
      <c r="E82" s="37" t="n">
        <v>46209</v>
      </c>
      <c r="F82" s="38" t="n">
        <v>190</v>
      </c>
      <c r="G82" s="35" t="inlineStr">
        <is>
          <t>Sim</t>
        </is>
      </c>
      <c r="H82" s="37" t="n">
        <v>46210</v>
      </c>
      <c r="I82" s="24" t="str">
        <f>IF(A82="","",IF(G82="Sim","Paga",IF(E82="","Sem vencimento",IF(E82&lt;Config!$B$5,"Vencida","A vencer"))))</f>
        <v>Paga</v>
      </c>
      <c r="J82" s="30">
        <f>IF(I82="Vencida",Config!$B$5-E82,"")</f>
        <v/>
      </c>
      <c r="K82" s="30">
        <f>IF(I82="A vencer",E82-Config!$B$5,"")</f>
        <v/>
      </c>
      <c r="L82" s="24">
        <f>IF(I82&lt;&gt;"Vencida","",IF(COUNTIF(Config!$A$10:$A$13,"&lt;="&amp;J82)=0,"Antes da régua",INDEX(Config!$C$10:$C$13,COUNTIF(Config!$A$10:$A$13,"&lt;="&amp;J82))))</f>
        <v/>
      </c>
      <c r="M82" s="23">
        <f>IF(I82&lt;&gt;"Vencida","",IF(COUNTIF(Config!$A$10:$A$13,"&lt;="&amp;J82)=0,"Aguardar: ainda não chegou ao primeiro passo da régua.",INDEX(Config!$B$10:$B$13,COUNTIF(Config!$A$10:$A$13,"&lt;="&amp;J82))))</f>
        <v/>
      </c>
      <c r="N82" s="39">
        <f>IF(I82="Vencida",F82*J82+ROW()/100000,0)</f>
        <v>0</v>
      </c>
      <c r="O82" s="39">
        <f>IF(AND(I82="A vencer",K82&lt;=Config!$B$7),100000-K82-ROW()/100000,0)</f>
        <v>0</v>
      </c>
    </row>
    <row r="83">
      <c r="A83" s="33" t="inlineStr">
        <is>
          <t>Roberta Araújo</t>
        </is>
      </c>
      <c r="B83" s="33" t="inlineStr">
        <is>
          <t>Check-up cardiológico (consulta + ECG + teste ergométrico)</t>
        </is>
      </c>
      <c r="C83" s="37" t="n">
        <v>46150</v>
      </c>
      <c r="D83" s="35" t="n">
        <v>1</v>
      </c>
      <c r="E83" s="37" t="n">
        <v>46180</v>
      </c>
      <c r="F83" s="38" t="n">
        <v>960</v>
      </c>
      <c r="G83" s="35" t="inlineStr">
        <is>
          <t>Sim</t>
        </is>
      </c>
      <c r="H83" s="37" t="n">
        <v>46181</v>
      </c>
      <c r="I83" s="24" t="str">
        <f>IF(A83="","",IF(G83="Sim","Paga",IF(E83="","Sem vencimento",IF(E83&lt;Config!$B$5,"Vencida","A vencer"))))</f>
        <v>Paga</v>
      </c>
      <c r="J83" s="30">
        <f>IF(I83="Vencida",Config!$B$5-E83,"")</f>
        <v/>
      </c>
      <c r="K83" s="30">
        <f>IF(I83="A vencer",E83-Config!$B$5,"")</f>
        <v/>
      </c>
      <c r="L83" s="24">
        <f>IF(I83&lt;&gt;"Vencida","",IF(COUNTIF(Config!$A$10:$A$13,"&lt;="&amp;J83)=0,"Antes da régua",INDEX(Config!$C$10:$C$13,COUNTIF(Config!$A$10:$A$13,"&lt;="&amp;J83))))</f>
        <v/>
      </c>
      <c r="M83" s="23">
        <f>IF(I83&lt;&gt;"Vencida","",IF(COUNTIF(Config!$A$10:$A$13,"&lt;="&amp;J83)=0,"Aguardar: ainda não chegou ao primeiro passo da régua.",INDEX(Config!$B$10:$B$13,COUNTIF(Config!$A$10:$A$13,"&lt;="&amp;J83))))</f>
        <v/>
      </c>
      <c r="N83" s="39">
        <f>IF(I83="Vencida",F83*J83+ROW()/100000,0)</f>
        <v>0</v>
      </c>
      <c r="O83" s="39">
        <f>IF(AND(I83="A vencer",K83&lt;=Config!$B$7),100000-K83-ROW()/100000,0)</f>
        <v>0</v>
      </c>
    </row>
    <row r="84">
      <c r="A84" s="33" t="inlineStr">
        <is>
          <t>Camila Freitas</t>
        </is>
      </c>
      <c r="B84" s="33" t="inlineStr">
        <is>
          <t>Consulta</t>
        </is>
      </c>
      <c r="C84" s="37" t="n">
        <v>46154</v>
      </c>
      <c r="D84" s="35" t="n">
        <v>1</v>
      </c>
      <c r="E84" s="37" t="n">
        <v>46184</v>
      </c>
      <c r="F84" s="38" t="n">
        <v>190</v>
      </c>
      <c r="G84" s="35" t="inlineStr">
        <is>
          <t>Sim</t>
        </is>
      </c>
      <c r="H84" s="37" t="n">
        <v>46187</v>
      </c>
      <c r="I84" s="24" t="str">
        <f>IF(A84="","",IF(G84="Sim","Paga",IF(E84="","Sem vencimento",IF(E84&lt;Config!$B$5,"Vencida","A vencer"))))</f>
        <v>Paga</v>
      </c>
      <c r="J84" s="30">
        <f>IF(I84="Vencida",Config!$B$5-E84,"")</f>
        <v/>
      </c>
      <c r="K84" s="30">
        <f>IF(I84="A vencer",E84-Config!$B$5,"")</f>
        <v/>
      </c>
      <c r="L84" s="24">
        <f>IF(I84&lt;&gt;"Vencida","",IF(COUNTIF(Config!$A$10:$A$13,"&lt;="&amp;J84)=0,"Antes da régua",INDEX(Config!$C$10:$C$13,COUNTIF(Config!$A$10:$A$13,"&lt;="&amp;J84))))</f>
        <v/>
      </c>
      <c r="M84" s="23">
        <f>IF(I84&lt;&gt;"Vencida","",IF(COUNTIF(Config!$A$10:$A$13,"&lt;="&amp;J84)=0,"Aguardar: ainda não chegou ao primeiro passo da régua.",INDEX(Config!$B$10:$B$13,COUNTIF(Config!$A$10:$A$13,"&lt;="&amp;J84))))</f>
        <v/>
      </c>
      <c r="N84" s="39">
        <f>IF(I84="Vencida",F84*J84+ROW()/100000,0)</f>
        <v>0</v>
      </c>
      <c r="O84" s="39">
        <f>IF(AND(I84="A vencer",K84&lt;=Config!$B$7),100000-K84-ROW()/100000,0)</f>
        <v>0</v>
      </c>
    </row>
    <row r="85">
      <c r="A85" s="33" t="inlineStr">
        <is>
          <t>Camila Freitas</t>
        </is>
      </c>
      <c r="B85" s="33" t="inlineStr">
        <is>
          <t>Consulta</t>
        </is>
      </c>
      <c r="C85" s="37" t="n">
        <v>46154</v>
      </c>
      <c r="D85" s="35" t="n">
        <v>2</v>
      </c>
      <c r="E85" s="37" t="n">
        <v>46214</v>
      </c>
      <c r="F85" s="38" t="n">
        <v>190</v>
      </c>
      <c r="G85" s="35" t="inlineStr">
        <is>
          <t>Sim</t>
        </is>
      </c>
      <c r="H85" s="37" t="n">
        <v>46216</v>
      </c>
      <c r="I85" s="24" t="str">
        <f>IF(A85="","",IF(G85="Sim","Paga",IF(E85="","Sem vencimento",IF(E85&lt;Config!$B$5,"Vencida","A vencer"))))</f>
        <v>Paga</v>
      </c>
      <c r="J85" s="30">
        <f>IF(I85="Vencida",Config!$B$5-E85,"")</f>
        <v/>
      </c>
      <c r="K85" s="30">
        <f>IF(I85="A vencer",E85-Config!$B$5,"")</f>
        <v/>
      </c>
      <c r="L85" s="24">
        <f>IF(I85&lt;&gt;"Vencida","",IF(COUNTIF(Config!$A$10:$A$13,"&lt;="&amp;J85)=0,"Antes da régua",INDEX(Config!$C$10:$C$13,COUNTIF(Config!$A$10:$A$13,"&lt;="&amp;J85))))</f>
        <v/>
      </c>
      <c r="M85" s="23">
        <f>IF(I85&lt;&gt;"Vencida","",IF(COUNTIF(Config!$A$10:$A$13,"&lt;="&amp;J85)=0,"Aguardar: ainda não chegou ao primeiro passo da régua.",INDEX(Config!$B$10:$B$13,COUNTIF(Config!$A$10:$A$13,"&lt;="&amp;J85))))</f>
        <v/>
      </c>
      <c r="N85" s="39">
        <f>IF(I85="Vencida",F85*J85+ROW()/100000,0)</f>
        <v>0</v>
      </c>
      <c r="O85" s="39">
        <f>IF(AND(I85="A vencer",K85&lt;=Config!$B$7),100000-K85-ROW()/100000,0)</f>
        <v>0</v>
      </c>
    </row>
    <row r="86">
      <c r="A86" s="33" t="inlineStr">
        <is>
          <t>Mônica Almeida</t>
        </is>
      </c>
      <c r="B86" s="33" t="inlineStr">
        <is>
          <t>Avaliação endócrina</t>
        </is>
      </c>
      <c r="C86" s="37" t="n">
        <v>46154</v>
      </c>
      <c r="D86" s="35" t="n">
        <v>1</v>
      </c>
      <c r="E86" s="37" t="n">
        <v>46184</v>
      </c>
      <c r="F86" s="38" t="n">
        <v>400</v>
      </c>
      <c r="G86" s="35" t="inlineStr">
        <is>
          <t>Sim</t>
        </is>
      </c>
      <c r="H86" s="37" t="n">
        <v>46187</v>
      </c>
      <c r="I86" s="24" t="str">
        <f>IF(A86="","",IF(G86="Sim","Paga",IF(E86="","Sem vencimento",IF(E86&lt;Config!$B$5,"Vencida","A vencer"))))</f>
        <v>Paga</v>
      </c>
      <c r="J86" s="30">
        <f>IF(I86="Vencida",Config!$B$5-E86,"")</f>
        <v/>
      </c>
      <c r="K86" s="30">
        <f>IF(I86="A vencer",E86-Config!$B$5,"")</f>
        <v/>
      </c>
      <c r="L86" s="24">
        <f>IF(I86&lt;&gt;"Vencida","",IF(COUNTIF(Config!$A$10:$A$13,"&lt;="&amp;J86)=0,"Antes da régua",INDEX(Config!$C$10:$C$13,COUNTIF(Config!$A$10:$A$13,"&lt;="&amp;J86))))</f>
        <v/>
      </c>
      <c r="M86" s="23">
        <f>IF(I86&lt;&gt;"Vencida","",IF(COUNTIF(Config!$A$10:$A$13,"&lt;="&amp;J86)=0,"Aguardar: ainda não chegou ao primeiro passo da régua.",INDEX(Config!$B$10:$B$13,COUNTIF(Config!$A$10:$A$13,"&lt;="&amp;J86))))</f>
        <v/>
      </c>
      <c r="N86" s="39">
        <f>IF(I86="Vencida",F86*J86+ROW()/100000,0)</f>
        <v>0</v>
      </c>
      <c r="O86" s="39">
        <f>IF(AND(I86="A vencer",K86&lt;=Config!$B$7),100000-K86-ROW()/100000,0)</f>
        <v>0</v>
      </c>
    </row>
    <row r="87">
      <c r="A87" s="33" t="inlineStr">
        <is>
          <t>Paulo Fernandes</t>
        </is>
      </c>
      <c r="B87" s="33" t="inlineStr">
        <is>
          <t>Avaliação endócrina</t>
        </is>
      </c>
      <c r="C87" s="37" t="n">
        <v>46154</v>
      </c>
      <c r="D87" s="35" t="n">
        <v>1</v>
      </c>
      <c r="E87" s="37" t="n">
        <v>46184</v>
      </c>
      <c r="F87" s="38" t="n">
        <v>400</v>
      </c>
      <c r="G87" s="35" t="inlineStr">
        <is>
          <t>Sim</t>
        </is>
      </c>
      <c r="H87" s="37" t="n">
        <v>46184</v>
      </c>
      <c r="I87" s="24" t="str">
        <f>IF(A87="","",IF(G87="Sim","Paga",IF(E87="","Sem vencimento",IF(E87&lt;Config!$B$5,"Vencida","A vencer"))))</f>
        <v>Paga</v>
      </c>
      <c r="J87" s="30">
        <f>IF(I87="Vencida",Config!$B$5-E87,"")</f>
        <v/>
      </c>
      <c r="K87" s="30">
        <f>IF(I87="A vencer",E87-Config!$B$5,"")</f>
        <v/>
      </c>
      <c r="L87" s="24">
        <f>IF(I87&lt;&gt;"Vencida","",IF(COUNTIF(Config!$A$10:$A$13,"&lt;="&amp;J87)=0,"Antes da régua",INDEX(Config!$C$10:$C$13,COUNTIF(Config!$A$10:$A$13,"&lt;="&amp;J87))))</f>
        <v/>
      </c>
      <c r="M87" s="23">
        <f>IF(I87&lt;&gt;"Vencida","",IF(COUNTIF(Config!$A$10:$A$13,"&lt;="&amp;J87)=0,"Aguardar: ainda não chegou ao primeiro passo da régua.",INDEX(Config!$B$10:$B$13,COUNTIF(Config!$A$10:$A$13,"&lt;="&amp;J87))))</f>
        <v/>
      </c>
      <c r="N87" s="39">
        <f>IF(I87="Vencida",F87*J87+ROW()/100000,0)</f>
        <v>0</v>
      </c>
      <c r="O87" s="39">
        <f>IF(AND(I87="A vencer",K87&lt;=Config!$B$7),100000-K87-ROW()/100000,0)</f>
        <v>0</v>
      </c>
    </row>
    <row r="88">
      <c r="A88" s="33" t="inlineStr">
        <is>
          <t>Eduardo Lima</t>
        </is>
      </c>
      <c r="B88" s="33" t="inlineStr">
        <is>
          <t>Consulta</t>
        </is>
      </c>
      <c r="C88" s="37" t="n">
        <v>46155</v>
      </c>
      <c r="D88" s="35" t="n">
        <v>1</v>
      </c>
      <c r="E88" s="37" t="n">
        <v>46185</v>
      </c>
      <c r="F88" s="38" t="n">
        <v>380</v>
      </c>
      <c r="G88" s="35" t="inlineStr">
        <is>
          <t>Sim</t>
        </is>
      </c>
      <c r="H88" s="37" t="n">
        <v>46185</v>
      </c>
      <c r="I88" s="24" t="str">
        <f>IF(A88="","",IF(G88="Sim","Paga",IF(E88="","Sem vencimento",IF(E88&lt;Config!$B$5,"Vencida","A vencer"))))</f>
        <v>Paga</v>
      </c>
      <c r="J88" s="30">
        <f>IF(I88="Vencida",Config!$B$5-E88,"")</f>
        <v/>
      </c>
      <c r="K88" s="30">
        <f>IF(I88="A vencer",E88-Config!$B$5,"")</f>
        <v/>
      </c>
      <c r="L88" s="24">
        <f>IF(I88&lt;&gt;"Vencida","",IF(COUNTIF(Config!$A$10:$A$13,"&lt;="&amp;J88)=0,"Antes da régua",INDEX(Config!$C$10:$C$13,COUNTIF(Config!$A$10:$A$13,"&lt;="&amp;J88))))</f>
        <v/>
      </c>
      <c r="M88" s="23">
        <f>IF(I88&lt;&gt;"Vencida","",IF(COUNTIF(Config!$A$10:$A$13,"&lt;="&amp;J88)=0,"Aguardar: ainda não chegou ao primeiro passo da régua.",INDEX(Config!$B$10:$B$13,COUNTIF(Config!$A$10:$A$13,"&lt;="&amp;J88))))</f>
        <v/>
      </c>
      <c r="N88" s="39">
        <f>IF(I88="Vencida",F88*J88+ROW()/100000,0)</f>
        <v>0</v>
      </c>
      <c r="O88" s="39">
        <f>IF(AND(I88="A vencer",K88&lt;=Config!$B$7),100000-K88-ROW()/100000,0)</f>
        <v>0</v>
      </c>
    </row>
    <row r="89">
      <c r="A89" s="33" t="inlineStr">
        <is>
          <t>Beatriz Gomes</t>
        </is>
      </c>
      <c r="B89" s="33" t="inlineStr">
        <is>
          <t>Avaliação endócrina</t>
        </is>
      </c>
      <c r="C89" s="37" t="n">
        <v>46156</v>
      </c>
      <c r="D89" s="35" t="n">
        <v>1</v>
      </c>
      <c r="E89" s="37" t="n">
        <v>46186</v>
      </c>
      <c r="F89" s="38" t="n">
        <v>200</v>
      </c>
      <c r="G89" s="35" t="inlineStr">
        <is>
          <t>Sim</t>
        </is>
      </c>
      <c r="H89" s="37" t="n">
        <v>46186</v>
      </c>
      <c r="I89" s="24" t="str">
        <f>IF(A89="","",IF(G89="Sim","Paga",IF(E89="","Sem vencimento",IF(E89&lt;Config!$B$5,"Vencida","A vencer"))))</f>
        <v>Paga</v>
      </c>
      <c r="J89" s="30">
        <f>IF(I89="Vencida",Config!$B$5-E89,"")</f>
        <v/>
      </c>
      <c r="K89" s="30">
        <f>IF(I89="A vencer",E89-Config!$B$5,"")</f>
        <v/>
      </c>
      <c r="L89" s="24">
        <f>IF(I89&lt;&gt;"Vencida","",IF(COUNTIF(Config!$A$10:$A$13,"&lt;="&amp;J89)=0,"Antes da régua",INDEX(Config!$C$10:$C$13,COUNTIF(Config!$A$10:$A$13,"&lt;="&amp;J89))))</f>
        <v/>
      </c>
      <c r="M89" s="23">
        <f>IF(I89&lt;&gt;"Vencida","",IF(COUNTIF(Config!$A$10:$A$13,"&lt;="&amp;J89)=0,"Aguardar: ainda não chegou ao primeiro passo da régua.",INDEX(Config!$B$10:$B$13,COUNTIF(Config!$A$10:$A$13,"&lt;="&amp;J89))))</f>
        <v/>
      </c>
      <c r="N89" s="39">
        <f>IF(I89="Vencida",F89*J89+ROW()/100000,0)</f>
        <v>0</v>
      </c>
      <c r="O89" s="39">
        <f>IF(AND(I89="A vencer",K89&lt;=Config!$B$7),100000-K89-ROW()/100000,0)</f>
        <v>0</v>
      </c>
    </row>
    <row r="90">
      <c r="A90" s="33" t="inlineStr">
        <is>
          <t>Beatriz Gomes</t>
        </is>
      </c>
      <c r="B90" s="33" t="inlineStr">
        <is>
          <t>Avaliação endócrina</t>
        </is>
      </c>
      <c r="C90" s="37" t="n">
        <v>46156</v>
      </c>
      <c r="D90" s="35" t="n">
        <v>2</v>
      </c>
      <c r="E90" s="37" t="n">
        <v>46216</v>
      </c>
      <c r="F90" s="38" t="n">
        <v>200</v>
      </c>
      <c r="G90" s="35" t="inlineStr">
        <is>
          <t>Sim</t>
        </is>
      </c>
      <c r="H90" s="37" t="n">
        <v>46216</v>
      </c>
      <c r="I90" s="24" t="str">
        <f>IF(A90="","",IF(G90="Sim","Paga",IF(E90="","Sem vencimento",IF(E90&lt;Config!$B$5,"Vencida","A vencer"))))</f>
        <v>Paga</v>
      </c>
      <c r="J90" s="30">
        <f>IF(I90="Vencida",Config!$B$5-E90,"")</f>
        <v/>
      </c>
      <c r="K90" s="30">
        <f>IF(I90="A vencer",E90-Config!$B$5,"")</f>
        <v/>
      </c>
      <c r="L90" s="24">
        <f>IF(I90&lt;&gt;"Vencida","",IF(COUNTIF(Config!$A$10:$A$13,"&lt;="&amp;J90)=0,"Antes da régua",INDEX(Config!$C$10:$C$13,COUNTIF(Config!$A$10:$A$13,"&lt;="&amp;J90))))</f>
        <v/>
      </c>
      <c r="M90" s="23">
        <f>IF(I90&lt;&gt;"Vencida","",IF(COUNTIF(Config!$A$10:$A$13,"&lt;="&amp;J90)=0,"Aguardar: ainda não chegou ao primeiro passo da régua.",INDEX(Config!$B$10:$B$13,COUNTIF(Config!$A$10:$A$13,"&lt;="&amp;J90))))</f>
        <v/>
      </c>
      <c r="N90" s="39">
        <f>IF(I90="Vencida",F90*J90+ROW()/100000,0)</f>
        <v>0</v>
      </c>
      <c r="O90" s="39">
        <f>IF(AND(I90="A vencer",K90&lt;=Config!$B$7),100000-K90-ROW()/100000,0)</f>
        <v>0</v>
      </c>
    </row>
    <row r="91">
      <c r="A91" s="33" t="inlineStr">
        <is>
          <t>Helena Moreira</t>
        </is>
      </c>
      <c r="B91" s="33" t="inlineStr">
        <is>
          <t>Consulta</t>
        </is>
      </c>
      <c r="C91" s="37" t="n">
        <v>46156</v>
      </c>
      <c r="D91" s="35" t="n">
        <v>1</v>
      </c>
      <c r="E91" s="37" t="n">
        <v>46186</v>
      </c>
      <c r="F91" s="38" t="n">
        <v>380</v>
      </c>
      <c r="G91" s="35" t="inlineStr">
        <is>
          <t>Não</t>
        </is>
      </c>
      <c r="H91" s="37" t="n"/>
      <c r="I91" s="24" t="str">
        <f>IF(A91="","",IF(G91="Sim","Paga",IF(E91="","Sem vencimento",IF(E91&lt;Config!$B$5,"Vencida","A vencer"))))</f>
        <v>Vencida</v>
      </c>
      <c r="J91" s="30">
        <f>IF(I91="Vencida",Config!$B$5-E91,"")</f>
        <v>93</v>
      </c>
      <c r="K91" s="30">
        <f>IF(I91="A vencer",E91-Config!$B$5,"")</f>
        <v/>
      </c>
      <c r="L91" s="24" t="str">
        <f>IF(I91&lt;&gt;"Vencida","",IF(COUNTIF(Config!$A$10:$A$13,"&lt;="&amp;J91)=0,"Antes da régua",INDEX(Config!$C$10:$C$13,COUNTIF(Config!$A$10:$A$13,"&lt;="&amp;J91))))</f>
        <v>30 dias ou mais</v>
      </c>
      <c r="M91" s="23" t="str">
        <f>IF(I91&lt;&gt;"Vencida","",IF(COUNTIF(Config!$A$10:$A$13,"&lt;="&amp;J91)=0,"Aguardar: ainda não chegou ao primeiro passo da régua.",INDEX(Config!$B$10:$B$13,COUNTIF(Config!$A$10:$A$13,"&lt;="&amp;J91))))</f>
        <v>Conversa do médico ou da administração para combinar um plano de pagamento; registrar por escrito o que foi combinado.</v>
      </c>
      <c r="N91" s="39">
        <f>IF(I91="Vencida",F91*J91+ROW()/100000,0)</f>
        <v>35340.00091</v>
      </c>
      <c r="O91" s="39">
        <f>IF(AND(I91="A vencer",K91&lt;=Config!$B$7),100000-K91-ROW()/100000,0)</f>
        <v>0</v>
      </c>
    </row>
    <row r="92">
      <c r="A92" s="33" t="inlineStr">
        <is>
          <t>Regina Macedo</t>
        </is>
      </c>
      <c r="B92" s="33" t="inlineStr">
        <is>
          <t>Consulta</t>
        </is>
      </c>
      <c r="C92" s="37" t="n">
        <v>46156</v>
      </c>
      <c r="D92" s="35" t="n">
        <v>1</v>
      </c>
      <c r="E92" s="37" t="n">
        <v>46186</v>
      </c>
      <c r="F92" s="38" t="n">
        <v>380</v>
      </c>
      <c r="G92" s="35" t="inlineStr">
        <is>
          <t>Sim</t>
        </is>
      </c>
      <c r="H92" s="37" t="n">
        <v>46187</v>
      </c>
      <c r="I92" s="24" t="str">
        <f>IF(A92="","",IF(G92="Sim","Paga",IF(E92="","Sem vencimento",IF(E92&lt;Config!$B$5,"Vencida","A vencer"))))</f>
        <v>Paga</v>
      </c>
      <c r="J92" s="30">
        <f>IF(I92="Vencida",Config!$B$5-E92,"")</f>
        <v/>
      </c>
      <c r="K92" s="30">
        <f>IF(I92="A vencer",E92-Config!$B$5,"")</f>
        <v/>
      </c>
      <c r="L92" s="24">
        <f>IF(I92&lt;&gt;"Vencida","",IF(COUNTIF(Config!$A$10:$A$13,"&lt;="&amp;J92)=0,"Antes da régua",INDEX(Config!$C$10:$C$13,COUNTIF(Config!$A$10:$A$13,"&lt;="&amp;J92))))</f>
        <v/>
      </c>
      <c r="M92" s="23">
        <f>IF(I92&lt;&gt;"Vencida","",IF(COUNTIF(Config!$A$10:$A$13,"&lt;="&amp;J92)=0,"Aguardar: ainda não chegou ao primeiro passo da régua.",INDEX(Config!$B$10:$B$13,COUNTIF(Config!$A$10:$A$13,"&lt;="&amp;J92))))</f>
        <v/>
      </c>
      <c r="N92" s="39">
        <f>IF(I92="Vencida",F92*J92+ROW()/100000,0)</f>
        <v>0</v>
      </c>
      <c r="O92" s="39">
        <f>IF(AND(I92="A vencer",K92&lt;=Config!$B$7),100000-K92-ROW()/100000,0)</f>
        <v>0</v>
      </c>
    </row>
    <row r="93">
      <c r="A93" s="33" t="inlineStr">
        <is>
          <t>Leandro Oliveira</t>
        </is>
      </c>
      <c r="B93" s="33" t="inlineStr">
        <is>
          <t>Teste ergométrico</t>
        </is>
      </c>
      <c r="C93" s="37" t="n">
        <v>46157</v>
      </c>
      <c r="D93" s="35" t="n">
        <v>1</v>
      </c>
      <c r="E93" s="37" t="n">
        <v>46187</v>
      </c>
      <c r="F93" s="38" t="n">
        <v>225</v>
      </c>
      <c r="G93" s="35" t="inlineStr">
        <is>
          <t>Sim</t>
        </is>
      </c>
      <c r="H93" s="37" t="n">
        <v>46192</v>
      </c>
      <c r="I93" s="24" t="str">
        <f>IF(A93="","",IF(G93="Sim","Paga",IF(E93="","Sem vencimento",IF(E93&lt;Config!$B$5,"Vencida","A vencer"))))</f>
        <v>Paga</v>
      </c>
      <c r="J93" s="30">
        <f>IF(I93="Vencida",Config!$B$5-E93,"")</f>
        <v/>
      </c>
      <c r="K93" s="30">
        <f>IF(I93="A vencer",E93-Config!$B$5,"")</f>
        <v/>
      </c>
      <c r="L93" s="24">
        <f>IF(I93&lt;&gt;"Vencida","",IF(COUNTIF(Config!$A$10:$A$13,"&lt;="&amp;J93)=0,"Antes da régua",INDEX(Config!$C$10:$C$13,COUNTIF(Config!$A$10:$A$13,"&lt;="&amp;J93))))</f>
        <v/>
      </c>
      <c r="M93" s="23">
        <f>IF(I93&lt;&gt;"Vencida","",IF(COUNTIF(Config!$A$10:$A$13,"&lt;="&amp;J93)=0,"Aguardar: ainda não chegou ao primeiro passo da régua.",INDEX(Config!$B$10:$B$13,COUNTIF(Config!$A$10:$A$13,"&lt;="&amp;J93))))</f>
        <v/>
      </c>
      <c r="N93" s="39">
        <f>IF(I93="Vencida",F93*J93+ROW()/100000,0)</f>
        <v>0</v>
      </c>
      <c r="O93" s="39">
        <f>IF(AND(I93="A vencer",K93&lt;=Config!$B$7),100000-K93-ROW()/100000,0)</f>
        <v>0</v>
      </c>
    </row>
    <row r="94">
      <c r="A94" s="33" t="inlineStr">
        <is>
          <t>Leandro Oliveira</t>
        </is>
      </c>
      <c r="B94" s="33" t="inlineStr">
        <is>
          <t>Teste ergométrico</t>
        </is>
      </c>
      <c r="C94" s="37" t="n">
        <v>46157</v>
      </c>
      <c r="D94" s="35" t="n">
        <v>2</v>
      </c>
      <c r="E94" s="37" t="n">
        <v>46217</v>
      </c>
      <c r="F94" s="38" t="n">
        <v>225</v>
      </c>
      <c r="G94" s="35" t="inlineStr">
        <is>
          <t>Sim</t>
        </is>
      </c>
      <c r="H94" s="37" t="n">
        <v>46217</v>
      </c>
      <c r="I94" s="24" t="str">
        <f>IF(A94="","",IF(G94="Sim","Paga",IF(E94="","Sem vencimento",IF(E94&lt;Config!$B$5,"Vencida","A vencer"))))</f>
        <v>Paga</v>
      </c>
      <c r="J94" s="30">
        <f>IF(I94="Vencida",Config!$B$5-E94,"")</f>
        <v/>
      </c>
      <c r="K94" s="30">
        <f>IF(I94="A vencer",E94-Config!$B$5,"")</f>
        <v/>
      </c>
      <c r="L94" s="24">
        <f>IF(I94&lt;&gt;"Vencida","",IF(COUNTIF(Config!$A$10:$A$13,"&lt;="&amp;J94)=0,"Antes da régua",INDEX(Config!$C$10:$C$13,COUNTIF(Config!$A$10:$A$13,"&lt;="&amp;J94))))</f>
        <v/>
      </c>
      <c r="M94" s="23">
        <f>IF(I94&lt;&gt;"Vencida","",IF(COUNTIF(Config!$A$10:$A$13,"&lt;="&amp;J94)=0,"Aguardar: ainda não chegou ao primeiro passo da régua.",INDEX(Config!$B$10:$B$13,COUNTIF(Config!$A$10:$A$13,"&lt;="&amp;J94))))</f>
        <v/>
      </c>
      <c r="N94" s="39">
        <f>IF(I94="Vencida",F94*J94+ROW()/100000,0)</f>
        <v>0</v>
      </c>
      <c r="O94" s="39">
        <f>IF(AND(I94="A vencer",K94&lt;=Config!$B$7),100000-K94-ROW()/100000,0)</f>
        <v>0</v>
      </c>
    </row>
    <row r="95">
      <c r="A95" s="33" t="inlineStr">
        <is>
          <t>Fábio Correia</t>
        </is>
      </c>
      <c r="B95" s="33" t="inlineStr">
        <is>
          <t>Consulta</t>
        </is>
      </c>
      <c r="C95" s="37" t="n">
        <v>46160</v>
      </c>
      <c r="D95" s="35" t="n">
        <v>1</v>
      </c>
      <c r="E95" s="37" t="n">
        <v>46190</v>
      </c>
      <c r="F95" s="38" t="n">
        <v>380</v>
      </c>
      <c r="G95" s="35" t="inlineStr">
        <is>
          <t>Sim</t>
        </is>
      </c>
      <c r="H95" s="37" t="n">
        <v>46191</v>
      </c>
      <c r="I95" s="24" t="str">
        <f>IF(A95="","",IF(G95="Sim","Paga",IF(E95="","Sem vencimento",IF(E95&lt;Config!$B$5,"Vencida","A vencer"))))</f>
        <v>Paga</v>
      </c>
      <c r="J95" s="30">
        <f>IF(I95="Vencida",Config!$B$5-E95,"")</f>
        <v/>
      </c>
      <c r="K95" s="30">
        <f>IF(I95="A vencer",E95-Config!$B$5,"")</f>
        <v/>
      </c>
      <c r="L95" s="24">
        <f>IF(I95&lt;&gt;"Vencida","",IF(COUNTIF(Config!$A$10:$A$13,"&lt;="&amp;J95)=0,"Antes da régua",INDEX(Config!$C$10:$C$13,COUNTIF(Config!$A$10:$A$13,"&lt;="&amp;J95))))</f>
        <v/>
      </c>
      <c r="M95" s="23">
        <f>IF(I95&lt;&gt;"Vencida","",IF(COUNTIF(Config!$A$10:$A$13,"&lt;="&amp;J95)=0,"Aguardar: ainda não chegou ao primeiro passo da régua.",INDEX(Config!$B$10:$B$13,COUNTIF(Config!$A$10:$A$13,"&lt;="&amp;J95))))</f>
        <v/>
      </c>
      <c r="N95" s="39">
        <f>IF(I95="Vencida",F95*J95+ROW()/100000,0)</f>
        <v>0</v>
      </c>
      <c r="O95" s="39">
        <f>IF(AND(I95="A vencer",K95&lt;=Config!$B$7),100000-K95-ROW()/100000,0)</f>
        <v>0</v>
      </c>
    </row>
    <row r="96">
      <c r="A96" s="33" t="inlineStr">
        <is>
          <t>Wagner Lima</t>
        </is>
      </c>
      <c r="B96" s="33" t="inlineStr">
        <is>
          <t>Check-up cardiológico (consulta + ECG + teste ergométrico)</t>
        </is>
      </c>
      <c r="C96" s="37" t="n">
        <v>46160</v>
      </c>
      <c r="D96" s="35" t="n">
        <v>1</v>
      </c>
      <c r="E96" s="37" t="n">
        <v>46190</v>
      </c>
      <c r="F96" s="38" t="n">
        <v>480</v>
      </c>
      <c r="G96" s="35" t="inlineStr">
        <is>
          <t>Sim</t>
        </is>
      </c>
      <c r="H96" s="37" t="n">
        <v>46191</v>
      </c>
      <c r="I96" s="24" t="str">
        <f>IF(A96="","",IF(G96="Sim","Paga",IF(E96="","Sem vencimento",IF(E96&lt;Config!$B$5,"Vencida","A vencer"))))</f>
        <v>Paga</v>
      </c>
      <c r="J96" s="30">
        <f>IF(I96="Vencida",Config!$B$5-E96,"")</f>
        <v/>
      </c>
      <c r="K96" s="30">
        <f>IF(I96="A vencer",E96-Config!$B$5,"")</f>
        <v/>
      </c>
      <c r="L96" s="24">
        <f>IF(I96&lt;&gt;"Vencida","",IF(COUNTIF(Config!$A$10:$A$13,"&lt;="&amp;J96)=0,"Antes da régua",INDEX(Config!$C$10:$C$13,COUNTIF(Config!$A$10:$A$13,"&lt;="&amp;J96))))</f>
        <v/>
      </c>
      <c r="M96" s="23">
        <f>IF(I96&lt;&gt;"Vencida","",IF(COUNTIF(Config!$A$10:$A$13,"&lt;="&amp;J96)=0,"Aguardar: ainda não chegou ao primeiro passo da régua.",INDEX(Config!$B$10:$B$13,COUNTIF(Config!$A$10:$A$13,"&lt;="&amp;J96))))</f>
        <v/>
      </c>
      <c r="N96" s="39">
        <f>IF(I96="Vencida",F96*J96+ROW()/100000,0)</f>
        <v>0</v>
      </c>
      <c r="O96" s="39">
        <f>IF(AND(I96="A vencer",K96&lt;=Config!$B$7),100000-K96-ROW()/100000,0)</f>
        <v>0</v>
      </c>
    </row>
    <row r="97">
      <c r="A97" s="33" t="inlineStr">
        <is>
          <t>Wagner Lima</t>
        </is>
      </c>
      <c r="B97" s="33" t="inlineStr">
        <is>
          <t>Check-up cardiológico (consulta + ECG + teste ergométrico)</t>
        </is>
      </c>
      <c r="C97" s="37" t="n">
        <v>46160</v>
      </c>
      <c r="D97" s="35" t="n">
        <v>2</v>
      </c>
      <c r="E97" s="37" t="n">
        <v>46220</v>
      </c>
      <c r="F97" s="38" t="n">
        <v>480</v>
      </c>
      <c r="G97" s="35" t="inlineStr">
        <is>
          <t>Sim</t>
        </is>
      </c>
      <c r="H97" s="37" t="n">
        <v>46221</v>
      </c>
      <c r="I97" s="24" t="str">
        <f>IF(A97="","",IF(G97="Sim","Paga",IF(E97="","Sem vencimento",IF(E97&lt;Config!$B$5,"Vencida","A vencer"))))</f>
        <v>Paga</v>
      </c>
      <c r="J97" s="30">
        <f>IF(I97="Vencida",Config!$B$5-E97,"")</f>
        <v/>
      </c>
      <c r="K97" s="30">
        <f>IF(I97="A vencer",E97-Config!$B$5,"")</f>
        <v/>
      </c>
      <c r="L97" s="24">
        <f>IF(I97&lt;&gt;"Vencida","",IF(COUNTIF(Config!$A$10:$A$13,"&lt;="&amp;J97)=0,"Antes da régua",INDEX(Config!$C$10:$C$13,COUNTIF(Config!$A$10:$A$13,"&lt;="&amp;J97))))</f>
        <v/>
      </c>
      <c r="M97" s="23">
        <f>IF(I97&lt;&gt;"Vencida","",IF(COUNTIF(Config!$A$10:$A$13,"&lt;="&amp;J97)=0,"Aguardar: ainda não chegou ao primeiro passo da régua.",INDEX(Config!$B$10:$B$13,COUNTIF(Config!$A$10:$A$13,"&lt;="&amp;J97))))</f>
        <v/>
      </c>
      <c r="N97" s="39">
        <f>IF(I97="Vencida",F97*J97+ROW()/100000,0)</f>
        <v>0</v>
      </c>
      <c r="O97" s="39">
        <f>IF(AND(I97="A vencer",K97&lt;=Config!$B$7),100000-K97-ROW()/100000,0)</f>
        <v>0</v>
      </c>
    </row>
    <row r="98">
      <c r="A98" s="33" t="inlineStr">
        <is>
          <t>Otávio Nascimento</t>
        </is>
      </c>
      <c r="B98" s="33" t="inlineStr">
        <is>
          <t>MAPA</t>
        </is>
      </c>
      <c r="C98" s="37" t="n">
        <v>46161</v>
      </c>
      <c r="D98" s="35" t="n">
        <v>1</v>
      </c>
      <c r="E98" s="37" t="n">
        <v>46191</v>
      </c>
      <c r="F98" s="38" t="n">
        <v>300</v>
      </c>
      <c r="G98" s="35" t="inlineStr">
        <is>
          <t>Sim</t>
        </is>
      </c>
      <c r="H98" s="37" t="n">
        <v>46194</v>
      </c>
      <c r="I98" s="24" t="str">
        <f>IF(A98="","",IF(G98="Sim","Paga",IF(E98="","Sem vencimento",IF(E98&lt;Config!$B$5,"Vencida","A vencer"))))</f>
        <v>Paga</v>
      </c>
      <c r="J98" s="30">
        <f>IF(I98="Vencida",Config!$B$5-E98,"")</f>
        <v/>
      </c>
      <c r="K98" s="30">
        <f>IF(I98="A vencer",E98-Config!$B$5,"")</f>
        <v/>
      </c>
      <c r="L98" s="24">
        <f>IF(I98&lt;&gt;"Vencida","",IF(COUNTIF(Config!$A$10:$A$13,"&lt;="&amp;J98)=0,"Antes da régua",INDEX(Config!$C$10:$C$13,COUNTIF(Config!$A$10:$A$13,"&lt;="&amp;J98))))</f>
        <v/>
      </c>
      <c r="M98" s="23">
        <f>IF(I98&lt;&gt;"Vencida","",IF(COUNTIF(Config!$A$10:$A$13,"&lt;="&amp;J98)=0,"Aguardar: ainda não chegou ao primeiro passo da régua.",INDEX(Config!$B$10:$B$13,COUNTIF(Config!$A$10:$A$13,"&lt;="&amp;J98))))</f>
        <v/>
      </c>
      <c r="N98" s="39">
        <f>IF(I98="Vencida",F98*J98+ROW()/100000,0)</f>
        <v>0</v>
      </c>
      <c r="O98" s="39">
        <f>IF(AND(I98="A vencer",K98&lt;=Config!$B$7),100000-K98-ROW()/100000,0)</f>
        <v>0</v>
      </c>
    </row>
    <row r="99">
      <c r="A99" s="33" t="inlineStr">
        <is>
          <t>Mariana Nascimento</t>
        </is>
      </c>
      <c r="B99" s="33" t="inlineStr">
        <is>
          <t>Consulta</t>
        </is>
      </c>
      <c r="C99" s="37" t="n">
        <v>46162</v>
      </c>
      <c r="D99" s="35" t="n">
        <v>1</v>
      </c>
      <c r="E99" s="37" t="n">
        <v>46192</v>
      </c>
      <c r="F99" s="38" t="n">
        <v>380</v>
      </c>
      <c r="G99" s="35" t="inlineStr">
        <is>
          <t>Não</t>
        </is>
      </c>
      <c r="H99" s="37" t="n"/>
      <c r="I99" s="24" t="str">
        <f>IF(A99="","",IF(G99="Sim","Paga",IF(E99="","Sem vencimento",IF(E99&lt;Config!$B$5,"Vencida","A vencer"))))</f>
        <v>Vencida</v>
      </c>
      <c r="J99" s="30">
        <f>IF(I99="Vencida",Config!$B$5-E99,"")</f>
        <v>87</v>
      </c>
      <c r="K99" s="30">
        <f>IF(I99="A vencer",E99-Config!$B$5,"")</f>
        <v/>
      </c>
      <c r="L99" s="24" t="str">
        <f>IF(I99&lt;&gt;"Vencida","",IF(COUNTIF(Config!$A$10:$A$13,"&lt;="&amp;J99)=0,"Antes da régua",INDEX(Config!$C$10:$C$13,COUNTIF(Config!$A$10:$A$13,"&lt;="&amp;J99))))</f>
        <v>30 dias ou mais</v>
      </c>
      <c r="M99" s="23" t="str">
        <f>IF(I99&lt;&gt;"Vencida","",IF(COUNTIF(Config!$A$10:$A$13,"&lt;="&amp;J99)=0,"Aguardar: ainda não chegou ao primeiro passo da régua.",INDEX(Config!$B$10:$B$13,COUNTIF(Config!$A$10:$A$13,"&lt;="&amp;J99))))</f>
        <v>Conversa do médico ou da administração para combinar um plano de pagamento; registrar por escrito o que foi combinado.</v>
      </c>
      <c r="N99" s="39">
        <f>IF(I99="Vencida",F99*J99+ROW()/100000,0)</f>
        <v>33060.00099</v>
      </c>
      <c r="O99" s="39">
        <f>IF(AND(I99="A vencer",K99&lt;=Config!$B$7),100000-K99-ROW()/100000,0)</f>
        <v>0</v>
      </c>
    </row>
    <row r="100">
      <c r="A100" s="33" t="inlineStr">
        <is>
          <t>Paulo Reis</t>
        </is>
      </c>
      <c r="B100" s="33" t="inlineStr">
        <is>
          <t>Consulta</t>
        </is>
      </c>
      <c r="C100" s="37" t="n">
        <v>46167</v>
      </c>
      <c r="D100" s="35" t="n">
        <v>1</v>
      </c>
      <c r="E100" s="37" t="n">
        <v>46197</v>
      </c>
      <c r="F100" s="38" t="n">
        <v>380</v>
      </c>
      <c r="G100" s="35" t="inlineStr">
        <is>
          <t>Sim</t>
        </is>
      </c>
      <c r="H100" s="37" t="n">
        <v>46198</v>
      </c>
      <c r="I100" s="24" t="str">
        <f>IF(A100="","",IF(G100="Sim","Paga",IF(E100="","Sem vencimento",IF(E100&lt;Config!$B$5,"Vencida","A vencer"))))</f>
        <v>Paga</v>
      </c>
      <c r="J100" s="30">
        <f>IF(I100="Vencida",Config!$B$5-E100,"")</f>
        <v/>
      </c>
      <c r="K100" s="30">
        <f>IF(I100="A vencer",E100-Config!$B$5,"")</f>
        <v/>
      </c>
      <c r="L100" s="24">
        <f>IF(I100&lt;&gt;"Vencida","",IF(COUNTIF(Config!$A$10:$A$13,"&lt;="&amp;J100)=0,"Antes da régua",INDEX(Config!$C$10:$C$13,COUNTIF(Config!$A$10:$A$13,"&lt;="&amp;J100))))</f>
        <v/>
      </c>
      <c r="M100" s="23">
        <f>IF(I100&lt;&gt;"Vencida","",IF(COUNTIF(Config!$A$10:$A$13,"&lt;="&amp;J100)=0,"Aguardar: ainda não chegou ao primeiro passo da régua.",INDEX(Config!$B$10:$B$13,COUNTIF(Config!$A$10:$A$13,"&lt;="&amp;J100))))</f>
        <v/>
      </c>
      <c r="N100" s="39">
        <f>IF(I100="Vencida",F100*J100+ROW()/100000,0)</f>
        <v>0</v>
      </c>
      <c r="O100" s="39">
        <f>IF(AND(I100="A vencer",K100&lt;=Config!$B$7),100000-K100-ROW()/100000,0)</f>
        <v>0</v>
      </c>
    </row>
    <row r="101">
      <c r="A101" s="33" t="inlineStr">
        <is>
          <t>Camila Dias</t>
        </is>
      </c>
      <c r="B101" s="33" t="inlineStr">
        <is>
          <t>Avaliação endócrina</t>
        </is>
      </c>
      <c r="C101" s="37" t="n">
        <v>46170</v>
      </c>
      <c r="D101" s="35" t="n">
        <v>1</v>
      </c>
      <c r="E101" s="37" t="n">
        <v>46200</v>
      </c>
      <c r="F101" s="38" t="n">
        <v>400</v>
      </c>
      <c r="G101" s="35" t="inlineStr">
        <is>
          <t>Sim</t>
        </is>
      </c>
      <c r="H101" s="37" t="n">
        <v>46200</v>
      </c>
      <c r="I101" s="24" t="str">
        <f>IF(A101="","",IF(G101="Sim","Paga",IF(E101="","Sem vencimento",IF(E101&lt;Config!$B$5,"Vencida","A vencer"))))</f>
        <v>Paga</v>
      </c>
      <c r="J101" s="30">
        <f>IF(I101="Vencida",Config!$B$5-E101,"")</f>
        <v/>
      </c>
      <c r="K101" s="30">
        <f>IF(I101="A vencer",E101-Config!$B$5,"")</f>
        <v/>
      </c>
      <c r="L101" s="24">
        <f>IF(I101&lt;&gt;"Vencida","",IF(COUNTIF(Config!$A$10:$A$13,"&lt;="&amp;J101)=0,"Antes da régua",INDEX(Config!$C$10:$C$13,COUNTIF(Config!$A$10:$A$13,"&lt;="&amp;J101))))</f>
        <v/>
      </c>
      <c r="M101" s="23">
        <f>IF(I101&lt;&gt;"Vencida","",IF(COUNTIF(Config!$A$10:$A$13,"&lt;="&amp;J101)=0,"Aguardar: ainda não chegou ao primeiro passo da régua.",INDEX(Config!$B$10:$B$13,COUNTIF(Config!$A$10:$A$13,"&lt;="&amp;J101))))</f>
        <v/>
      </c>
      <c r="N101" s="39">
        <f>IF(I101="Vencida",F101*J101+ROW()/100000,0)</f>
        <v>0</v>
      </c>
      <c r="O101" s="39">
        <f>IF(AND(I101="A vencer",K101&lt;=Config!$B$7),100000-K101-ROW()/100000,0)</f>
        <v>0</v>
      </c>
    </row>
    <row r="102">
      <c r="A102" s="33" t="inlineStr">
        <is>
          <t>Elaine Cardoso</t>
        </is>
      </c>
      <c r="B102" s="33" t="inlineStr">
        <is>
          <t>Consulta</t>
        </is>
      </c>
      <c r="C102" s="37" t="n">
        <v>46170</v>
      </c>
      <c r="D102" s="35" t="n">
        <v>1</v>
      </c>
      <c r="E102" s="37" t="n">
        <v>46200</v>
      </c>
      <c r="F102" s="38" t="n">
        <v>380</v>
      </c>
      <c r="G102" s="35" t="inlineStr">
        <is>
          <t>Sim</t>
        </is>
      </c>
      <c r="H102" s="37" t="n">
        <v>46201</v>
      </c>
      <c r="I102" s="24" t="str">
        <f>IF(A102="","",IF(G102="Sim","Paga",IF(E102="","Sem vencimento",IF(E102&lt;Config!$B$5,"Vencida","A vencer"))))</f>
        <v>Paga</v>
      </c>
      <c r="J102" s="30">
        <f>IF(I102="Vencida",Config!$B$5-E102,"")</f>
        <v/>
      </c>
      <c r="K102" s="30">
        <f>IF(I102="A vencer",E102-Config!$B$5,"")</f>
        <v/>
      </c>
      <c r="L102" s="24">
        <f>IF(I102&lt;&gt;"Vencida","",IF(COUNTIF(Config!$A$10:$A$13,"&lt;="&amp;J102)=0,"Antes da régua",INDEX(Config!$C$10:$C$13,COUNTIF(Config!$A$10:$A$13,"&lt;="&amp;J102))))</f>
        <v/>
      </c>
      <c r="M102" s="23">
        <f>IF(I102&lt;&gt;"Vencida","",IF(COUNTIF(Config!$A$10:$A$13,"&lt;="&amp;J102)=0,"Aguardar: ainda não chegou ao primeiro passo da régua.",INDEX(Config!$B$10:$B$13,COUNTIF(Config!$A$10:$A$13,"&lt;="&amp;J102))))</f>
        <v/>
      </c>
      <c r="N102" s="39">
        <f>IF(I102="Vencida",F102*J102+ROW()/100000,0)</f>
        <v>0</v>
      </c>
      <c r="O102" s="39">
        <f>IF(AND(I102="A vencer",K102&lt;=Config!$B$7),100000-K102-ROW()/100000,0)</f>
        <v>0</v>
      </c>
    </row>
    <row r="103">
      <c r="A103" s="33" t="inlineStr">
        <is>
          <t>Mariana Nascimento</t>
        </is>
      </c>
      <c r="B103" s="33" t="inlineStr">
        <is>
          <t>Consulta</t>
        </is>
      </c>
      <c r="C103" s="37" t="n">
        <v>46170</v>
      </c>
      <c r="D103" s="35" t="n">
        <v>1</v>
      </c>
      <c r="E103" s="37" t="n">
        <v>46200</v>
      </c>
      <c r="F103" s="38" t="n">
        <v>380</v>
      </c>
      <c r="G103" s="35" t="inlineStr">
        <is>
          <t>Não</t>
        </is>
      </c>
      <c r="H103" s="37" t="n"/>
      <c r="I103" s="24" t="str">
        <f>IF(A103="","",IF(G103="Sim","Paga",IF(E103="","Sem vencimento",IF(E103&lt;Config!$B$5,"Vencida","A vencer"))))</f>
        <v>Vencida</v>
      </c>
      <c r="J103" s="30">
        <f>IF(I103="Vencida",Config!$B$5-E103,"")</f>
        <v>79</v>
      </c>
      <c r="K103" s="30">
        <f>IF(I103="A vencer",E103-Config!$B$5,"")</f>
        <v/>
      </c>
      <c r="L103" s="24" t="str">
        <f>IF(I103&lt;&gt;"Vencida","",IF(COUNTIF(Config!$A$10:$A$13,"&lt;="&amp;J103)=0,"Antes da régua",INDEX(Config!$C$10:$C$13,COUNTIF(Config!$A$10:$A$13,"&lt;="&amp;J103))))</f>
        <v>30 dias ou mais</v>
      </c>
      <c r="M103" s="23" t="str">
        <f>IF(I103&lt;&gt;"Vencida","",IF(COUNTIF(Config!$A$10:$A$13,"&lt;="&amp;J103)=0,"Aguardar: ainda não chegou ao primeiro passo da régua.",INDEX(Config!$B$10:$B$13,COUNTIF(Config!$A$10:$A$13,"&lt;="&amp;J103))))</f>
        <v>Conversa do médico ou da administração para combinar um plano de pagamento; registrar por escrito o que foi combinado.</v>
      </c>
      <c r="N103" s="39">
        <f>IF(I103="Vencida",F103*J103+ROW()/100000,0)</f>
        <v>30020.00103</v>
      </c>
      <c r="O103" s="39">
        <f>IF(AND(I103="A vencer",K103&lt;=Config!$B$7),100000-K103-ROW()/100000,0)</f>
        <v>0</v>
      </c>
    </row>
    <row r="104">
      <c r="A104" s="33" t="inlineStr">
        <is>
          <t>Gustavo Pinto</t>
        </is>
      </c>
      <c r="B104" s="33" t="inlineStr">
        <is>
          <t>Consulta</t>
        </is>
      </c>
      <c r="C104" s="37" t="n">
        <v>46171</v>
      </c>
      <c r="D104" s="35" t="n">
        <v>1</v>
      </c>
      <c r="E104" s="37" t="n">
        <v>46201</v>
      </c>
      <c r="F104" s="38" t="n">
        <v>190</v>
      </c>
      <c r="G104" s="35" t="inlineStr">
        <is>
          <t>Sim</t>
        </is>
      </c>
      <c r="H104" s="37" t="n">
        <v>46201</v>
      </c>
      <c r="I104" s="24" t="str">
        <f>IF(A104="","",IF(G104="Sim","Paga",IF(E104="","Sem vencimento",IF(E104&lt;Config!$B$5,"Vencida","A vencer"))))</f>
        <v>Paga</v>
      </c>
      <c r="J104" s="30">
        <f>IF(I104="Vencida",Config!$B$5-E104,"")</f>
        <v/>
      </c>
      <c r="K104" s="30">
        <f>IF(I104="A vencer",E104-Config!$B$5,"")</f>
        <v/>
      </c>
      <c r="L104" s="24">
        <f>IF(I104&lt;&gt;"Vencida","",IF(COUNTIF(Config!$A$10:$A$13,"&lt;="&amp;J104)=0,"Antes da régua",INDEX(Config!$C$10:$C$13,COUNTIF(Config!$A$10:$A$13,"&lt;="&amp;J104))))</f>
        <v/>
      </c>
      <c r="M104" s="23">
        <f>IF(I104&lt;&gt;"Vencida","",IF(COUNTIF(Config!$A$10:$A$13,"&lt;="&amp;J104)=0,"Aguardar: ainda não chegou ao primeiro passo da régua.",INDEX(Config!$B$10:$B$13,COUNTIF(Config!$A$10:$A$13,"&lt;="&amp;J104))))</f>
        <v/>
      </c>
      <c r="N104" s="39">
        <f>IF(I104="Vencida",F104*J104+ROW()/100000,0)</f>
        <v>0</v>
      </c>
      <c r="O104" s="39">
        <f>IF(AND(I104="A vencer",K104&lt;=Config!$B$7),100000-K104-ROW()/100000,0)</f>
        <v>0</v>
      </c>
    </row>
    <row r="105">
      <c r="A105" s="33" t="inlineStr">
        <is>
          <t>Gustavo Pinto</t>
        </is>
      </c>
      <c r="B105" s="33" t="inlineStr">
        <is>
          <t>Consulta</t>
        </is>
      </c>
      <c r="C105" s="37" t="n">
        <v>46171</v>
      </c>
      <c r="D105" s="35" t="n">
        <v>2</v>
      </c>
      <c r="E105" s="37" t="n">
        <v>46231</v>
      </c>
      <c r="F105" s="38" t="n">
        <v>190</v>
      </c>
      <c r="G105" s="35" t="inlineStr">
        <is>
          <t>Sim</t>
        </is>
      </c>
      <c r="H105" s="37" t="n">
        <v>46232</v>
      </c>
      <c r="I105" s="24" t="str">
        <f>IF(A105="","",IF(G105="Sim","Paga",IF(E105="","Sem vencimento",IF(E105&lt;Config!$B$5,"Vencida","A vencer"))))</f>
        <v>Paga</v>
      </c>
      <c r="J105" s="30">
        <f>IF(I105="Vencida",Config!$B$5-E105,"")</f>
        <v/>
      </c>
      <c r="K105" s="30">
        <f>IF(I105="A vencer",E105-Config!$B$5,"")</f>
        <v/>
      </c>
      <c r="L105" s="24">
        <f>IF(I105&lt;&gt;"Vencida","",IF(COUNTIF(Config!$A$10:$A$13,"&lt;="&amp;J105)=0,"Antes da régua",INDEX(Config!$C$10:$C$13,COUNTIF(Config!$A$10:$A$13,"&lt;="&amp;J105))))</f>
        <v/>
      </c>
      <c r="M105" s="23">
        <f>IF(I105&lt;&gt;"Vencida","",IF(COUNTIF(Config!$A$10:$A$13,"&lt;="&amp;J105)=0,"Aguardar: ainda não chegou ao primeiro passo da régua.",INDEX(Config!$B$10:$B$13,COUNTIF(Config!$A$10:$A$13,"&lt;="&amp;J105))))</f>
        <v/>
      </c>
      <c r="N105" s="39">
        <f>IF(I105="Vencida",F105*J105+ROW()/100000,0)</f>
        <v>0</v>
      </c>
      <c r="O105" s="39">
        <f>IF(AND(I105="A vencer",K105&lt;=Config!$B$7),100000-K105-ROW()/100000,0)</f>
        <v>0</v>
      </c>
    </row>
    <row r="106">
      <c r="A106" s="33" t="inlineStr">
        <is>
          <t>Marcelo Moreira</t>
        </is>
      </c>
      <c r="B106" s="33" t="inlineStr">
        <is>
          <t>MAPA</t>
        </is>
      </c>
      <c r="C106" s="37" t="n">
        <v>46175</v>
      </c>
      <c r="D106" s="35" t="n">
        <v>1</v>
      </c>
      <c r="E106" s="37" t="n">
        <v>46205</v>
      </c>
      <c r="F106" s="38" t="n">
        <v>150</v>
      </c>
      <c r="G106" s="35" t="inlineStr">
        <is>
          <t>Sim</t>
        </is>
      </c>
      <c r="H106" s="37" t="n">
        <v>46207</v>
      </c>
      <c r="I106" s="24" t="str">
        <f>IF(A106="","",IF(G106="Sim","Paga",IF(E106="","Sem vencimento",IF(E106&lt;Config!$B$5,"Vencida","A vencer"))))</f>
        <v>Paga</v>
      </c>
      <c r="J106" s="30">
        <f>IF(I106="Vencida",Config!$B$5-E106,"")</f>
        <v/>
      </c>
      <c r="K106" s="30">
        <f>IF(I106="A vencer",E106-Config!$B$5,"")</f>
        <v/>
      </c>
      <c r="L106" s="24">
        <f>IF(I106&lt;&gt;"Vencida","",IF(COUNTIF(Config!$A$10:$A$13,"&lt;="&amp;J106)=0,"Antes da régua",INDEX(Config!$C$10:$C$13,COUNTIF(Config!$A$10:$A$13,"&lt;="&amp;J106))))</f>
        <v/>
      </c>
      <c r="M106" s="23">
        <f>IF(I106&lt;&gt;"Vencida","",IF(COUNTIF(Config!$A$10:$A$13,"&lt;="&amp;J106)=0,"Aguardar: ainda não chegou ao primeiro passo da régua.",INDEX(Config!$B$10:$B$13,COUNTIF(Config!$A$10:$A$13,"&lt;="&amp;J106))))</f>
        <v/>
      </c>
      <c r="N106" s="39">
        <f>IF(I106="Vencida",F106*J106+ROW()/100000,0)</f>
        <v>0</v>
      </c>
      <c r="O106" s="39">
        <f>IF(AND(I106="A vencer",K106&lt;=Config!$B$7),100000-K106-ROW()/100000,0)</f>
        <v>0</v>
      </c>
    </row>
    <row r="107">
      <c r="A107" s="33" t="inlineStr">
        <is>
          <t>Marcelo Moreira</t>
        </is>
      </c>
      <c r="B107" s="33" t="inlineStr">
        <is>
          <t>MAPA</t>
        </is>
      </c>
      <c r="C107" s="37" t="n">
        <v>46175</v>
      </c>
      <c r="D107" s="35" t="n">
        <v>2</v>
      </c>
      <c r="E107" s="37" t="n">
        <v>46235</v>
      </c>
      <c r="F107" s="38" t="n">
        <v>150</v>
      </c>
      <c r="G107" s="35" t="inlineStr">
        <is>
          <t>Sim</t>
        </is>
      </c>
      <c r="H107" s="37" t="n">
        <v>46240</v>
      </c>
      <c r="I107" s="24" t="str">
        <f>IF(A107="","",IF(G107="Sim","Paga",IF(E107="","Sem vencimento",IF(E107&lt;Config!$B$5,"Vencida","A vencer"))))</f>
        <v>Paga</v>
      </c>
      <c r="J107" s="30">
        <f>IF(I107="Vencida",Config!$B$5-E107,"")</f>
        <v/>
      </c>
      <c r="K107" s="30">
        <f>IF(I107="A vencer",E107-Config!$B$5,"")</f>
        <v/>
      </c>
      <c r="L107" s="24">
        <f>IF(I107&lt;&gt;"Vencida","",IF(COUNTIF(Config!$A$10:$A$13,"&lt;="&amp;J107)=0,"Antes da régua",INDEX(Config!$C$10:$C$13,COUNTIF(Config!$A$10:$A$13,"&lt;="&amp;J107))))</f>
        <v/>
      </c>
      <c r="M107" s="23">
        <f>IF(I107&lt;&gt;"Vencida","",IF(COUNTIF(Config!$A$10:$A$13,"&lt;="&amp;J107)=0,"Aguardar: ainda não chegou ao primeiro passo da régua.",INDEX(Config!$B$10:$B$13,COUNTIF(Config!$A$10:$A$13,"&lt;="&amp;J107))))</f>
        <v/>
      </c>
      <c r="N107" s="39">
        <f>IF(I107="Vencida",F107*J107+ROW()/100000,0)</f>
        <v>0</v>
      </c>
      <c r="O107" s="39">
        <f>IF(AND(I107="A vencer",K107&lt;=Config!$B$7),100000-K107-ROW()/100000,0)</f>
        <v>0</v>
      </c>
    </row>
    <row r="108">
      <c r="A108" s="33" t="inlineStr">
        <is>
          <t>Wagner Costa</t>
        </is>
      </c>
      <c r="B108" s="33" t="inlineStr">
        <is>
          <t>Consulta</t>
        </is>
      </c>
      <c r="C108" s="37" t="n">
        <v>46175</v>
      </c>
      <c r="D108" s="35" t="n">
        <v>1</v>
      </c>
      <c r="E108" s="37" t="n">
        <v>46205</v>
      </c>
      <c r="F108" s="38" t="n">
        <v>380</v>
      </c>
      <c r="G108" s="35" t="inlineStr">
        <is>
          <t>Sim</t>
        </is>
      </c>
      <c r="H108" s="37" t="n">
        <v>46205</v>
      </c>
      <c r="I108" s="24" t="str">
        <f>IF(A108="","",IF(G108="Sim","Paga",IF(E108="","Sem vencimento",IF(E108&lt;Config!$B$5,"Vencida","A vencer"))))</f>
        <v>Paga</v>
      </c>
      <c r="J108" s="30">
        <f>IF(I108="Vencida",Config!$B$5-E108,"")</f>
        <v/>
      </c>
      <c r="K108" s="30">
        <f>IF(I108="A vencer",E108-Config!$B$5,"")</f>
        <v/>
      </c>
      <c r="L108" s="24">
        <f>IF(I108&lt;&gt;"Vencida","",IF(COUNTIF(Config!$A$10:$A$13,"&lt;="&amp;J108)=0,"Antes da régua",INDEX(Config!$C$10:$C$13,COUNTIF(Config!$A$10:$A$13,"&lt;="&amp;J108))))</f>
        <v/>
      </c>
      <c r="M108" s="23">
        <f>IF(I108&lt;&gt;"Vencida","",IF(COUNTIF(Config!$A$10:$A$13,"&lt;="&amp;J108)=0,"Aguardar: ainda não chegou ao primeiro passo da régua.",INDEX(Config!$B$10:$B$13,COUNTIF(Config!$A$10:$A$13,"&lt;="&amp;J108))))</f>
        <v/>
      </c>
      <c r="N108" s="39">
        <f>IF(I108="Vencida",F108*J108+ROW()/100000,0)</f>
        <v>0</v>
      </c>
      <c r="O108" s="39">
        <f>IF(AND(I108="A vencer",K108&lt;=Config!$B$7),100000-K108-ROW()/100000,0)</f>
        <v>0</v>
      </c>
    </row>
    <row r="109">
      <c r="A109" s="33" t="inlineStr">
        <is>
          <t>Ana Costa</t>
        </is>
      </c>
      <c r="B109" s="33" t="inlineStr">
        <is>
          <t>Consulta</t>
        </is>
      </c>
      <c r="C109" s="37" t="n">
        <v>46176</v>
      </c>
      <c r="D109" s="35" t="n">
        <v>1</v>
      </c>
      <c r="E109" s="37" t="n">
        <v>46206</v>
      </c>
      <c r="F109" s="38" t="n">
        <v>380</v>
      </c>
      <c r="G109" s="35" t="inlineStr">
        <is>
          <t>Sim</t>
        </is>
      </c>
      <c r="H109" s="37" t="n">
        <v>46209</v>
      </c>
      <c r="I109" s="24" t="str">
        <f>IF(A109="","",IF(G109="Sim","Paga",IF(E109="","Sem vencimento",IF(E109&lt;Config!$B$5,"Vencida","A vencer"))))</f>
        <v>Paga</v>
      </c>
      <c r="J109" s="30">
        <f>IF(I109="Vencida",Config!$B$5-E109,"")</f>
        <v/>
      </c>
      <c r="K109" s="30">
        <f>IF(I109="A vencer",E109-Config!$B$5,"")</f>
        <v/>
      </c>
      <c r="L109" s="24">
        <f>IF(I109&lt;&gt;"Vencida","",IF(COUNTIF(Config!$A$10:$A$13,"&lt;="&amp;J109)=0,"Antes da régua",INDEX(Config!$C$10:$C$13,COUNTIF(Config!$A$10:$A$13,"&lt;="&amp;J109))))</f>
        <v/>
      </c>
      <c r="M109" s="23">
        <f>IF(I109&lt;&gt;"Vencida","",IF(COUNTIF(Config!$A$10:$A$13,"&lt;="&amp;J109)=0,"Aguardar: ainda não chegou ao primeiro passo da régua.",INDEX(Config!$B$10:$B$13,COUNTIF(Config!$A$10:$A$13,"&lt;="&amp;J109))))</f>
        <v/>
      </c>
      <c r="N109" s="39">
        <f>IF(I109="Vencida",F109*J109+ROW()/100000,0)</f>
        <v>0</v>
      </c>
      <c r="O109" s="39">
        <f>IF(AND(I109="A vencer",K109&lt;=Config!$B$7),100000-K109-ROW()/100000,0)</f>
        <v>0</v>
      </c>
    </row>
    <row r="110">
      <c r="A110" s="33" t="inlineStr">
        <is>
          <t>Regina Teixeira</t>
        </is>
      </c>
      <c r="B110" s="33" t="inlineStr">
        <is>
          <t>Consulta</t>
        </is>
      </c>
      <c r="C110" s="37" t="n">
        <v>46183</v>
      </c>
      <c r="D110" s="35" t="n">
        <v>1</v>
      </c>
      <c r="E110" s="37" t="n">
        <v>46213</v>
      </c>
      <c r="F110" s="38" t="n">
        <v>190</v>
      </c>
      <c r="G110" s="35" t="inlineStr">
        <is>
          <t>Sim</t>
        </is>
      </c>
      <c r="H110" s="37" t="n">
        <v>46216</v>
      </c>
      <c r="I110" s="24" t="str">
        <f>IF(A110="","",IF(G110="Sim","Paga",IF(E110="","Sem vencimento",IF(E110&lt;Config!$B$5,"Vencida","A vencer"))))</f>
        <v>Paga</v>
      </c>
      <c r="J110" s="30">
        <f>IF(I110="Vencida",Config!$B$5-E110,"")</f>
        <v/>
      </c>
      <c r="K110" s="30">
        <f>IF(I110="A vencer",E110-Config!$B$5,"")</f>
        <v/>
      </c>
      <c r="L110" s="24">
        <f>IF(I110&lt;&gt;"Vencida","",IF(COUNTIF(Config!$A$10:$A$13,"&lt;="&amp;J110)=0,"Antes da régua",INDEX(Config!$C$10:$C$13,COUNTIF(Config!$A$10:$A$13,"&lt;="&amp;J110))))</f>
        <v/>
      </c>
      <c r="M110" s="23">
        <f>IF(I110&lt;&gt;"Vencida","",IF(COUNTIF(Config!$A$10:$A$13,"&lt;="&amp;J110)=0,"Aguardar: ainda não chegou ao primeiro passo da régua.",INDEX(Config!$B$10:$B$13,COUNTIF(Config!$A$10:$A$13,"&lt;="&amp;J110))))</f>
        <v/>
      </c>
      <c r="N110" s="39">
        <f>IF(I110="Vencida",F110*J110+ROW()/100000,0)</f>
        <v>0</v>
      </c>
      <c r="O110" s="39">
        <f>IF(AND(I110="A vencer",K110&lt;=Config!$B$7),100000-K110-ROW()/100000,0)</f>
        <v>0</v>
      </c>
    </row>
    <row r="111">
      <c r="A111" s="33" t="inlineStr">
        <is>
          <t>Regina Teixeira</t>
        </is>
      </c>
      <c r="B111" s="33" t="inlineStr">
        <is>
          <t>Consulta</t>
        </is>
      </c>
      <c r="C111" s="37" t="n">
        <v>46183</v>
      </c>
      <c r="D111" s="35" t="n">
        <v>2</v>
      </c>
      <c r="E111" s="37" t="n">
        <v>46243</v>
      </c>
      <c r="F111" s="38" t="n">
        <v>190</v>
      </c>
      <c r="G111" s="35" t="inlineStr">
        <is>
          <t>Sim</t>
        </is>
      </c>
      <c r="H111" s="37" t="n">
        <v>46243</v>
      </c>
      <c r="I111" s="24" t="str">
        <f>IF(A111="","",IF(G111="Sim","Paga",IF(E111="","Sem vencimento",IF(E111&lt;Config!$B$5,"Vencida","A vencer"))))</f>
        <v>Paga</v>
      </c>
      <c r="J111" s="30">
        <f>IF(I111="Vencida",Config!$B$5-E111,"")</f>
        <v/>
      </c>
      <c r="K111" s="30">
        <f>IF(I111="A vencer",E111-Config!$B$5,"")</f>
        <v/>
      </c>
      <c r="L111" s="24">
        <f>IF(I111&lt;&gt;"Vencida","",IF(COUNTIF(Config!$A$10:$A$13,"&lt;="&amp;J111)=0,"Antes da régua",INDEX(Config!$C$10:$C$13,COUNTIF(Config!$A$10:$A$13,"&lt;="&amp;J111))))</f>
        <v/>
      </c>
      <c r="M111" s="23">
        <f>IF(I111&lt;&gt;"Vencida","",IF(COUNTIF(Config!$A$10:$A$13,"&lt;="&amp;J111)=0,"Aguardar: ainda não chegou ao primeiro passo da régua.",INDEX(Config!$B$10:$B$13,COUNTIF(Config!$A$10:$A$13,"&lt;="&amp;J111))))</f>
        <v/>
      </c>
      <c r="N111" s="39">
        <f>IF(I111="Vencida",F111*J111+ROW()/100000,0)</f>
        <v>0</v>
      </c>
      <c r="O111" s="39">
        <f>IF(AND(I111="A vencer",K111&lt;=Config!$B$7),100000-K111-ROW()/100000,0)</f>
        <v>0</v>
      </c>
    </row>
    <row r="112">
      <c r="A112" s="33" t="inlineStr">
        <is>
          <t>Leandro Oliveira</t>
        </is>
      </c>
      <c r="B112" s="33" t="inlineStr">
        <is>
          <t>ECG</t>
        </is>
      </c>
      <c r="C112" s="37" t="n">
        <v>46185</v>
      </c>
      <c r="D112" s="35" t="n">
        <v>1</v>
      </c>
      <c r="E112" s="37" t="n">
        <v>46215</v>
      </c>
      <c r="F112" s="38" t="n">
        <v>130</v>
      </c>
      <c r="G112" s="35" t="inlineStr">
        <is>
          <t>Sim</t>
        </is>
      </c>
      <c r="H112" s="37" t="n">
        <v>46215</v>
      </c>
      <c r="I112" s="24" t="str">
        <f>IF(A112="","",IF(G112="Sim","Paga",IF(E112="","Sem vencimento",IF(E112&lt;Config!$B$5,"Vencida","A vencer"))))</f>
        <v>Paga</v>
      </c>
      <c r="J112" s="30">
        <f>IF(I112="Vencida",Config!$B$5-E112,"")</f>
        <v/>
      </c>
      <c r="K112" s="30">
        <f>IF(I112="A vencer",E112-Config!$B$5,"")</f>
        <v/>
      </c>
      <c r="L112" s="24">
        <f>IF(I112&lt;&gt;"Vencida","",IF(COUNTIF(Config!$A$10:$A$13,"&lt;="&amp;J112)=0,"Antes da régua",INDEX(Config!$C$10:$C$13,COUNTIF(Config!$A$10:$A$13,"&lt;="&amp;J112))))</f>
        <v/>
      </c>
      <c r="M112" s="23">
        <f>IF(I112&lt;&gt;"Vencida","",IF(COUNTIF(Config!$A$10:$A$13,"&lt;="&amp;J112)=0,"Aguardar: ainda não chegou ao primeiro passo da régua.",INDEX(Config!$B$10:$B$13,COUNTIF(Config!$A$10:$A$13,"&lt;="&amp;J112))))</f>
        <v/>
      </c>
      <c r="N112" s="39">
        <f>IF(I112="Vencida",F112*J112+ROW()/100000,0)</f>
        <v>0</v>
      </c>
      <c r="O112" s="39">
        <f>IF(AND(I112="A vencer",K112&lt;=Config!$B$7),100000-K112-ROW()/100000,0)</f>
        <v>0</v>
      </c>
    </row>
    <row r="113">
      <c r="A113" s="33" t="inlineStr">
        <is>
          <t>Cláudia Costa</t>
        </is>
      </c>
      <c r="B113" s="33" t="inlineStr">
        <is>
          <t>Consulta</t>
        </is>
      </c>
      <c r="C113" s="37" t="n">
        <v>46188</v>
      </c>
      <c r="D113" s="35" t="n">
        <v>1</v>
      </c>
      <c r="E113" s="37" t="n">
        <v>46218</v>
      </c>
      <c r="F113" s="38" t="n">
        <v>190</v>
      </c>
      <c r="G113" s="35" t="inlineStr">
        <is>
          <t>Sim</t>
        </is>
      </c>
      <c r="H113" s="37" t="n">
        <v>46219</v>
      </c>
      <c r="I113" s="24" t="str">
        <f>IF(A113="","",IF(G113="Sim","Paga",IF(E113="","Sem vencimento",IF(E113&lt;Config!$B$5,"Vencida","A vencer"))))</f>
        <v>Paga</v>
      </c>
      <c r="J113" s="30">
        <f>IF(I113="Vencida",Config!$B$5-E113,"")</f>
        <v/>
      </c>
      <c r="K113" s="30">
        <f>IF(I113="A vencer",E113-Config!$B$5,"")</f>
        <v/>
      </c>
      <c r="L113" s="24">
        <f>IF(I113&lt;&gt;"Vencida","",IF(COUNTIF(Config!$A$10:$A$13,"&lt;="&amp;J113)=0,"Antes da régua",INDEX(Config!$C$10:$C$13,COUNTIF(Config!$A$10:$A$13,"&lt;="&amp;J113))))</f>
        <v/>
      </c>
      <c r="M113" s="23">
        <f>IF(I113&lt;&gt;"Vencida","",IF(COUNTIF(Config!$A$10:$A$13,"&lt;="&amp;J113)=0,"Aguardar: ainda não chegou ao primeiro passo da régua.",INDEX(Config!$B$10:$B$13,COUNTIF(Config!$A$10:$A$13,"&lt;="&amp;J113))))</f>
        <v/>
      </c>
      <c r="N113" s="39">
        <f>IF(I113="Vencida",F113*J113+ROW()/100000,0)</f>
        <v>0</v>
      </c>
      <c r="O113" s="39">
        <f>IF(AND(I113="A vencer",K113&lt;=Config!$B$7),100000-K113-ROW()/100000,0)</f>
        <v>0</v>
      </c>
    </row>
    <row r="114">
      <c r="A114" s="33" t="inlineStr">
        <is>
          <t>Cláudia Costa</t>
        </is>
      </c>
      <c r="B114" s="33" t="inlineStr">
        <is>
          <t>Consulta</t>
        </is>
      </c>
      <c r="C114" s="37" t="n">
        <v>46188</v>
      </c>
      <c r="D114" s="35" t="n">
        <v>2</v>
      </c>
      <c r="E114" s="37" t="n">
        <v>46248</v>
      </c>
      <c r="F114" s="38" t="n">
        <v>190</v>
      </c>
      <c r="G114" s="35" t="inlineStr">
        <is>
          <t>Sim</t>
        </is>
      </c>
      <c r="H114" s="37" t="n">
        <v>46251</v>
      </c>
      <c r="I114" s="24" t="str">
        <f>IF(A114="","",IF(G114="Sim","Paga",IF(E114="","Sem vencimento",IF(E114&lt;Config!$B$5,"Vencida","A vencer"))))</f>
        <v>Paga</v>
      </c>
      <c r="J114" s="30">
        <f>IF(I114="Vencida",Config!$B$5-E114,"")</f>
        <v/>
      </c>
      <c r="K114" s="30">
        <f>IF(I114="A vencer",E114-Config!$B$5,"")</f>
        <v/>
      </c>
      <c r="L114" s="24">
        <f>IF(I114&lt;&gt;"Vencida","",IF(COUNTIF(Config!$A$10:$A$13,"&lt;="&amp;J114)=0,"Antes da régua",INDEX(Config!$C$10:$C$13,COUNTIF(Config!$A$10:$A$13,"&lt;="&amp;J114))))</f>
        <v/>
      </c>
      <c r="M114" s="23">
        <f>IF(I114&lt;&gt;"Vencida","",IF(COUNTIF(Config!$A$10:$A$13,"&lt;="&amp;J114)=0,"Aguardar: ainda não chegou ao primeiro passo da régua.",INDEX(Config!$B$10:$B$13,COUNTIF(Config!$A$10:$A$13,"&lt;="&amp;J114))))</f>
        <v/>
      </c>
      <c r="N114" s="39">
        <f>IF(I114="Vencida",F114*J114+ROW()/100000,0)</f>
        <v>0</v>
      </c>
      <c r="O114" s="39">
        <f>IF(AND(I114="A vencer",K114&lt;=Config!$B$7),100000-K114-ROW()/100000,0)</f>
        <v>0</v>
      </c>
    </row>
    <row r="115">
      <c r="A115" s="33" t="inlineStr">
        <is>
          <t>Rafael Barros</t>
        </is>
      </c>
      <c r="B115" s="33" t="inlineStr">
        <is>
          <t>Holter</t>
        </is>
      </c>
      <c r="C115" s="37" t="n">
        <v>46188</v>
      </c>
      <c r="D115" s="35" t="n">
        <v>1</v>
      </c>
      <c r="E115" s="37" t="n">
        <v>46218</v>
      </c>
      <c r="F115" s="38" t="n">
        <v>175</v>
      </c>
      <c r="G115" s="35" t="inlineStr">
        <is>
          <t>Sim</t>
        </is>
      </c>
      <c r="H115" s="37" t="n">
        <v>46223</v>
      </c>
      <c r="I115" s="24" t="str">
        <f>IF(A115="","",IF(G115="Sim","Paga",IF(E115="","Sem vencimento",IF(E115&lt;Config!$B$5,"Vencida","A vencer"))))</f>
        <v>Paga</v>
      </c>
      <c r="J115" s="30">
        <f>IF(I115="Vencida",Config!$B$5-E115,"")</f>
        <v/>
      </c>
      <c r="K115" s="30">
        <f>IF(I115="A vencer",E115-Config!$B$5,"")</f>
        <v/>
      </c>
      <c r="L115" s="24">
        <f>IF(I115&lt;&gt;"Vencida","",IF(COUNTIF(Config!$A$10:$A$13,"&lt;="&amp;J115)=0,"Antes da régua",INDEX(Config!$C$10:$C$13,COUNTIF(Config!$A$10:$A$13,"&lt;="&amp;J115))))</f>
        <v/>
      </c>
      <c r="M115" s="23">
        <f>IF(I115&lt;&gt;"Vencida","",IF(COUNTIF(Config!$A$10:$A$13,"&lt;="&amp;J115)=0,"Aguardar: ainda não chegou ao primeiro passo da régua.",INDEX(Config!$B$10:$B$13,COUNTIF(Config!$A$10:$A$13,"&lt;="&amp;J115))))</f>
        <v/>
      </c>
      <c r="N115" s="39">
        <f>IF(I115="Vencida",F115*J115+ROW()/100000,0)</f>
        <v>0</v>
      </c>
      <c r="O115" s="39">
        <f>IF(AND(I115="A vencer",K115&lt;=Config!$B$7),100000-K115-ROW()/100000,0)</f>
        <v>0</v>
      </c>
    </row>
    <row r="116">
      <c r="A116" s="33" t="inlineStr">
        <is>
          <t>Rafael Barros</t>
        </is>
      </c>
      <c r="B116" s="33" t="inlineStr">
        <is>
          <t>Holter</t>
        </is>
      </c>
      <c r="C116" s="37" t="n">
        <v>46188</v>
      </c>
      <c r="D116" s="35" t="n">
        <v>2</v>
      </c>
      <c r="E116" s="37" t="n">
        <v>46248</v>
      </c>
      <c r="F116" s="38" t="n">
        <v>175</v>
      </c>
      <c r="G116" s="35" t="inlineStr">
        <is>
          <t>Não</t>
        </is>
      </c>
      <c r="H116" s="37" t="n"/>
      <c r="I116" s="24" t="str">
        <f>IF(A116="","",IF(G116="Sim","Paga",IF(E116="","Sem vencimento",IF(E116&lt;Config!$B$5,"Vencida","A vencer"))))</f>
        <v>Vencida</v>
      </c>
      <c r="J116" s="30">
        <f>IF(I116="Vencida",Config!$B$5-E116,"")</f>
        <v>31</v>
      </c>
      <c r="K116" s="30">
        <f>IF(I116="A vencer",E116-Config!$B$5,"")</f>
        <v/>
      </c>
      <c r="L116" s="24" t="str">
        <f>IF(I116&lt;&gt;"Vencida","",IF(COUNTIF(Config!$A$10:$A$13,"&lt;="&amp;J116)=0,"Antes da régua",INDEX(Config!$C$10:$C$13,COUNTIF(Config!$A$10:$A$13,"&lt;="&amp;J116))))</f>
        <v>30 dias ou mais</v>
      </c>
      <c r="M116" s="23" t="str">
        <f>IF(I116&lt;&gt;"Vencida","",IF(COUNTIF(Config!$A$10:$A$13,"&lt;="&amp;J116)=0,"Aguardar: ainda não chegou ao primeiro passo da régua.",INDEX(Config!$B$10:$B$13,COUNTIF(Config!$A$10:$A$13,"&lt;="&amp;J116))))</f>
        <v>Conversa do médico ou da administração para combinar um plano de pagamento; registrar por escrito o que foi combinado.</v>
      </c>
      <c r="N116" s="39">
        <f>IF(I116="Vencida",F116*J116+ROW()/100000,0)</f>
        <v>5425.00116</v>
      </c>
      <c r="O116" s="39">
        <f>IF(AND(I116="A vencer",K116&lt;=Config!$B$7),100000-K116-ROW()/100000,0)</f>
        <v>0</v>
      </c>
    </row>
    <row r="117">
      <c r="A117" s="33" t="inlineStr">
        <is>
          <t>Gabriel Oliveira</t>
        </is>
      </c>
      <c r="B117" s="33" t="inlineStr">
        <is>
          <t>Consulta</t>
        </is>
      </c>
      <c r="C117" s="37" t="n">
        <v>46189</v>
      </c>
      <c r="D117" s="35" t="n">
        <v>1</v>
      </c>
      <c r="E117" s="37" t="n">
        <v>46219</v>
      </c>
      <c r="F117" s="38" t="n">
        <v>380</v>
      </c>
      <c r="G117" s="35" t="inlineStr">
        <is>
          <t>Sim</t>
        </is>
      </c>
      <c r="H117" s="37" t="n">
        <v>46219</v>
      </c>
      <c r="I117" s="24" t="str">
        <f>IF(A117="","",IF(G117="Sim","Paga",IF(E117="","Sem vencimento",IF(E117&lt;Config!$B$5,"Vencida","A vencer"))))</f>
        <v>Paga</v>
      </c>
      <c r="J117" s="30">
        <f>IF(I117="Vencida",Config!$B$5-E117,"")</f>
        <v/>
      </c>
      <c r="K117" s="30">
        <f>IF(I117="A vencer",E117-Config!$B$5,"")</f>
        <v/>
      </c>
      <c r="L117" s="24">
        <f>IF(I117&lt;&gt;"Vencida","",IF(COUNTIF(Config!$A$10:$A$13,"&lt;="&amp;J117)=0,"Antes da régua",INDEX(Config!$C$10:$C$13,COUNTIF(Config!$A$10:$A$13,"&lt;="&amp;J117))))</f>
        <v/>
      </c>
      <c r="M117" s="23">
        <f>IF(I117&lt;&gt;"Vencida","",IF(COUNTIF(Config!$A$10:$A$13,"&lt;="&amp;J117)=0,"Aguardar: ainda não chegou ao primeiro passo da régua.",INDEX(Config!$B$10:$B$13,COUNTIF(Config!$A$10:$A$13,"&lt;="&amp;J117))))</f>
        <v/>
      </c>
      <c r="N117" s="39">
        <f>IF(I117="Vencida",F117*J117+ROW()/100000,0)</f>
        <v>0</v>
      </c>
      <c r="O117" s="39">
        <f>IF(AND(I117="A vencer",K117&lt;=Config!$B$7),100000-K117-ROW()/100000,0)</f>
        <v>0</v>
      </c>
    </row>
    <row r="118">
      <c r="A118" s="33" t="inlineStr">
        <is>
          <t>Mariana Gomes</t>
        </is>
      </c>
      <c r="B118" s="33" t="inlineStr">
        <is>
          <t>Avaliação endócrina</t>
        </is>
      </c>
      <c r="C118" s="37" t="n">
        <v>46189</v>
      </c>
      <c r="D118" s="35" t="n">
        <v>1</v>
      </c>
      <c r="E118" s="37" t="n">
        <v>46219</v>
      </c>
      <c r="F118" s="38" t="n">
        <v>400</v>
      </c>
      <c r="G118" s="35" t="inlineStr">
        <is>
          <t>Sim</t>
        </is>
      </c>
      <c r="H118" s="37" t="n">
        <v>46221</v>
      </c>
      <c r="I118" s="24" t="str">
        <f>IF(A118="","",IF(G118="Sim","Paga",IF(E118="","Sem vencimento",IF(E118&lt;Config!$B$5,"Vencida","A vencer"))))</f>
        <v>Paga</v>
      </c>
      <c r="J118" s="30">
        <f>IF(I118="Vencida",Config!$B$5-E118,"")</f>
        <v/>
      </c>
      <c r="K118" s="30">
        <f>IF(I118="A vencer",E118-Config!$B$5,"")</f>
        <v/>
      </c>
      <c r="L118" s="24">
        <f>IF(I118&lt;&gt;"Vencida","",IF(COUNTIF(Config!$A$10:$A$13,"&lt;="&amp;J118)=0,"Antes da régua",INDEX(Config!$C$10:$C$13,COUNTIF(Config!$A$10:$A$13,"&lt;="&amp;J118))))</f>
        <v/>
      </c>
      <c r="M118" s="23">
        <f>IF(I118&lt;&gt;"Vencida","",IF(COUNTIF(Config!$A$10:$A$13,"&lt;="&amp;J118)=0,"Aguardar: ainda não chegou ao primeiro passo da régua.",INDEX(Config!$B$10:$B$13,COUNTIF(Config!$A$10:$A$13,"&lt;="&amp;J118))))</f>
        <v/>
      </c>
      <c r="N118" s="39">
        <f>IF(I118="Vencida",F118*J118+ROW()/100000,0)</f>
        <v>0</v>
      </c>
      <c r="O118" s="39">
        <f>IF(AND(I118="A vencer",K118&lt;=Config!$B$7),100000-K118-ROW()/100000,0)</f>
        <v>0</v>
      </c>
    </row>
    <row r="119">
      <c r="A119" s="33" t="inlineStr">
        <is>
          <t>Otávio Cardoso</t>
        </is>
      </c>
      <c r="B119" s="33" t="inlineStr">
        <is>
          <t>Consulta</t>
        </is>
      </c>
      <c r="C119" s="37" t="n">
        <v>46189</v>
      </c>
      <c r="D119" s="35" t="n">
        <v>1</v>
      </c>
      <c r="E119" s="37" t="n">
        <v>46219</v>
      </c>
      <c r="F119" s="38" t="n">
        <v>190</v>
      </c>
      <c r="G119" s="35" t="inlineStr">
        <is>
          <t>Sim</t>
        </is>
      </c>
      <c r="H119" s="37" t="n">
        <v>46220</v>
      </c>
      <c r="I119" s="24" t="str">
        <f>IF(A119="","",IF(G119="Sim","Paga",IF(E119="","Sem vencimento",IF(E119&lt;Config!$B$5,"Vencida","A vencer"))))</f>
        <v>Paga</v>
      </c>
      <c r="J119" s="30">
        <f>IF(I119="Vencida",Config!$B$5-E119,"")</f>
        <v/>
      </c>
      <c r="K119" s="30">
        <f>IF(I119="A vencer",E119-Config!$B$5,"")</f>
        <v/>
      </c>
      <c r="L119" s="24">
        <f>IF(I119&lt;&gt;"Vencida","",IF(COUNTIF(Config!$A$10:$A$13,"&lt;="&amp;J119)=0,"Antes da régua",INDEX(Config!$C$10:$C$13,COUNTIF(Config!$A$10:$A$13,"&lt;="&amp;J119))))</f>
        <v/>
      </c>
      <c r="M119" s="23">
        <f>IF(I119&lt;&gt;"Vencida","",IF(COUNTIF(Config!$A$10:$A$13,"&lt;="&amp;J119)=0,"Aguardar: ainda não chegou ao primeiro passo da régua.",INDEX(Config!$B$10:$B$13,COUNTIF(Config!$A$10:$A$13,"&lt;="&amp;J119))))</f>
        <v/>
      </c>
      <c r="N119" s="39">
        <f>IF(I119="Vencida",F119*J119+ROW()/100000,0)</f>
        <v>0</v>
      </c>
      <c r="O119" s="39">
        <f>IF(AND(I119="A vencer",K119&lt;=Config!$B$7),100000-K119-ROW()/100000,0)</f>
        <v>0</v>
      </c>
    </row>
    <row r="120">
      <c r="A120" s="33" t="inlineStr">
        <is>
          <t>Otávio Cardoso</t>
        </is>
      </c>
      <c r="B120" s="33" t="inlineStr">
        <is>
          <t>Consulta</t>
        </is>
      </c>
      <c r="C120" s="37" t="n">
        <v>46189</v>
      </c>
      <c r="D120" s="35" t="n">
        <v>2</v>
      </c>
      <c r="E120" s="37" t="n">
        <v>46249</v>
      </c>
      <c r="F120" s="38" t="n">
        <v>190</v>
      </c>
      <c r="G120" s="35" t="inlineStr">
        <is>
          <t>Sim</t>
        </is>
      </c>
      <c r="H120" s="37" t="n">
        <v>46254</v>
      </c>
      <c r="I120" s="24" t="str">
        <f>IF(A120="","",IF(G120="Sim","Paga",IF(E120="","Sem vencimento",IF(E120&lt;Config!$B$5,"Vencida","A vencer"))))</f>
        <v>Paga</v>
      </c>
      <c r="J120" s="30">
        <f>IF(I120="Vencida",Config!$B$5-E120,"")</f>
        <v/>
      </c>
      <c r="K120" s="30">
        <f>IF(I120="A vencer",E120-Config!$B$5,"")</f>
        <v/>
      </c>
      <c r="L120" s="24">
        <f>IF(I120&lt;&gt;"Vencida","",IF(COUNTIF(Config!$A$10:$A$13,"&lt;="&amp;J120)=0,"Antes da régua",INDEX(Config!$C$10:$C$13,COUNTIF(Config!$A$10:$A$13,"&lt;="&amp;J120))))</f>
        <v/>
      </c>
      <c r="M120" s="23">
        <f>IF(I120&lt;&gt;"Vencida","",IF(COUNTIF(Config!$A$10:$A$13,"&lt;="&amp;J120)=0,"Aguardar: ainda não chegou ao primeiro passo da régua.",INDEX(Config!$B$10:$B$13,COUNTIF(Config!$A$10:$A$13,"&lt;="&amp;J120))))</f>
        <v/>
      </c>
      <c r="N120" s="39">
        <f>IF(I120="Vencida",F120*J120+ROW()/100000,0)</f>
        <v>0</v>
      </c>
      <c r="O120" s="39">
        <f>IF(AND(I120="A vencer",K120&lt;=Config!$B$7),100000-K120-ROW()/100000,0)</f>
        <v>0</v>
      </c>
    </row>
    <row r="121">
      <c r="A121" s="33" t="inlineStr">
        <is>
          <t>Viviane Ribeiro</t>
        </is>
      </c>
      <c r="B121" s="33" t="inlineStr">
        <is>
          <t>Consulta</t>
        </is>
      </c>
      <c r="C121" s="37" t="n">
        <v>46190</v>
      </c>
      <c r="D121" s="35" t="n">
        <v>1</v>
      </c>
      <c r="E121" s="37" t="n">
        <v>46220</v>
      </c>
      <c r="F121" s="38" t="n">
        <v>190</v>
      </c>
      <c r="G121" s="35" t="inlineStr">
        <is>
          <t>Sim</t>
        </is>
      </c>
      <c r="H121" s="37" t="n">
        <v>46220</v>
      </c>
      <c r="I121" s="24" t="str">
        <f>IF(A121="","",IF(G121="Sim","Paga",IF(E121="","Sem vencimento",IF(E121&lt;Config!$B$5,"Vencida","A vencer"))))</f>
        <v>Paga</v>
      </c>
      <c r="J121" s="30">
        <f>IF(I121="Vencida",Config!$B$5-E121,"")</f>
        <v/>
      </c>
      <c r="K121" s="30">
        <f>IF(I121="A vencer",E121-Config!$B$5,"")</f>
        <v/>
      </c>
      <c r="L121" s="24">
        <f>IF(I121&lt;&gt;"Vencida","",IF(COUNTIF(Config!$A$10:$A$13,"&lt;="&amp;J121)=0,"Antes da régua",INDEX(Config!$C$10:$C$13,COUNTIF(Config!$A$10:$A$13,"&lt;="&amp;J121))))</f>
        <v/>
      </c>
      <c r="M121" s="23">
        <f>IF(I121&lt;&gt;"Vencida","",IF(COUNTIF(Config!$A$10:$A$13,"&lt;="&amp;J121)=0,"Aguardar: ainda não chegou ao primeiro passo da régua.",INDEX(Config!$B$10:$B$13,COUNTIF(Config!$A$10:$A$13,"&lt;="&amp;J121))))</f>
        <v/>
      </c>
      <c r="N121" s="39">
        <f>IF(I121="Vencida",F121*J121+ROW()/100000,0)</f>
        <v>0</v>
      </c>
      <c r="O121" s="39">
        <f>IF(AND(I121="A vencer",K121&lt;=Config!$B$7),100000-K121-ROW()/100000,0)</f>
        <v>0</v>
      </c>
    </row>
    <row r="122">
      <c r="A122" s="33" t="inlineStr">
        <is>
          <t>Viviane Ribeiro</t>
        </is>
      </c>
      <c r="B122" s="33" t="inlineStr">
        <is>
          <t>Consulta</t>
        </is>
      </c>
      <c r="C122" s="37" t="n">
        <v>46190</v>
      </c>
      <c r="D122" s="35" t="n">
        <v>2</v>
      </c>
      <c r="E122" s="37" t="n">
        <v>46250</v>
      </c>
      <c r="F122" s="38" t="n">
        <v>190</v>
      </c>
      <c r="G122" s="35" t="inlineStr">
        <is>
          <t>Sim</t>
        </is>
      </c>
      <c r="H122" s="37" t="n">
        <v>46250</v>
      </c>
      <c r="I122" s="24" t="str">
        <f>IF(A122="","",IF(G122="Sim","Paga",IF(E122="","Sem vencimento",IF(E122&lt;Config!$B$5,"Vencida","A vencer"))))</f>
        <v>Paga</v>
      </c>
      <c r="J122" s="30">
        <f>IF(I122="Vencida",Config!$B$5-E122,"")</f>
        <v/>
      </c>
      <c r="K122" s="30">
        <f>IF(I122="A vencer",E122-Config!$B$5,"")</f>
        <v/>
      </c>
      <c r="L122" s="24">
        <f>IF(I122&lt;&gt;"Vencida","",IF(COUNTIF(Config!$A$10:$A$13,"&lt;="&amp;J122)=0,"Antes da régua",INDEX(Config!$C$10:$C$13,COUNTIF(Config!$A$10:$A$13,"&lt;="&amp;J122))))</f>
        <v/>
      </c>
      <c r="M122" s="23">
        <f>IF(I122&lt;&gt;"Vencida","",IF(COUNTIF(Config!$A$10:$A$13,"&lt;="&amp;J122)=0,"Aguardar: ainda não chegou ao primeiro passo da régua.",INDEX(Config!$B$10:$B$13,COUNTIF(Config!$A$10:$A$13,"&lt;="&amp;J122))))</f>
        <v/>
      </c>
      <c r="N122" s="39">
        <f>IF(I122="Vencida",F122*J122+ROW()/100000,0)</f>
        <v>0</v>
      </c>
      <c r="O122" s="39">
        <f>IF(AND(I122="A vencer",K122&lt;=Config!$B$7),100000-K122-ROW()/100000,0)</f>
        <v>0</v>
      </c>
    </row>
    <row r="123">
      <c r="A123" s="33" t="inlineStr">
        <is>
          <t>Gustavo Ferreira</t>
        </is>
      </c>
      <c r="B123" s="33" t="inlineStr">
        <is>
          <t>Consulta</t>
        </is>
      </c>
      <c r="C123" s="37" t="n">
        <v>46191</v>
      </c>
      <c r="D123" s="35" t="n">
        <v>1</v>
      </c>
      <c r="E123" s="37" t="n">
        <v>46221</v>
      </c>
      <c r="F123" s="38" t="n">
        <v>380</v>
      </c>
      <c r="G123" s="35" t="inlineStr">
        <is>
          <t>Sim</t>
        </is>
      </c>
      <c r="H123" s="37" t="n">
        <v>46221</v>
      </c>
      <c r="I123" s="24" t="str">
        <f>IF(A123="","",IF(G123="Sim","Paga",IF(E123="","Sem vencimento",IF(E123&lt;Config!$B$5,"Vencida","A vencer"))))</f>
        <v>Paga</v>
      </c>
      <c r="J123" s="30">
        <f>IF(I123="Vencida",Config!$B$5-E123,"")</f>
        <v/>
      </c>
      <c r="K123" s="30">
        <f>IF(I123="A vencer",E123-Config!$B$5,"")</f>
        <v/>
      </c>
      <c r="L123" s="24">
        <f>IF(I123&lt;&gt;"Vencida","",IF(COUNTIF(Config!$A$10:$A$13,"&lt;="&amp;J123)=0,"Antes da régua",INDEX(Config!$C$10:$C$13,COUNTIF(Config!$A$10:$A$13,"&lt;="&amp;J123))))</f>
        <v/>
      </c>
      <c r="M123" s="23">
        <f>IF(I123&lt;&gt;"Vencida","",IF(COUNTIF(Config!$A$10:$A$13,"&lt;="&amp;J123)=0,"Aguardar: ainda não chegou ao primeiro passo da régua.",INDEX(Config!$B$10:$B$13,COUNTIF(Config!$A$10:$A$13,"&lt;="&amp;J123))))</f>
        <v/>
      </c>
      <c r="N123" s="39">
        <f>IF(I123="Vencida",F123*J123+ROW()/100000,0)</f>
        <v>0</v>
      </c>
      <c r="O123" s="39">
        <f>IF(AND(I123="A vencer",K123&lt;=Config!$B$7),100000-K123-ROW()/100000,0)</f>
        <v>0</v>
      </c>
    </row>
    <row r="124">
      <c r="A124" s="33" t="inlineStr">
        <is>
          <t>Cláudia Costa</t>
        </is>
      </c>
      <c r="B124" s="33" t="inlineStr">
        <is>
          <t>Consulta</t>
        </is>
      </c>
      <c r="C124" s="37" t="n">
        <v>46195</v>
      </c>
      <c r="D124" s="35" t="n">
        <v>1</v>
      </c>
      <c r="E124" s="37" t="n">
        <v>46225</v>
      </c>
      <c r="F124" s="38" t="n">
        <v>380</v>
      </c>
      <c r="G124" s="35" t="inlineStr">
        <is>
          <t>Não</t>
        </is>
      </c>
      <c r="H124" s="37" t="n"/>
      <c r="I124" s="24" t="str">
        <f>IF(A124="","",IF(G124="Sim","Paga",IF(E124="","Sem vencimento",IF(E124&lt;Config!$B$5,"Vencida","A vencer"))))</f>
        <v>Vencida</v>
      </c>
      <c r="J124" s="30">
        <f>IF(I124="Vencida",Config!$B$5-E124,"")</f>
        <v>54</v>
      </c>
      <c r="K124" s="30">
        <f>IF(I124="A vencer",E124-Config!$B$5,"")</f>
        <v/>
      </c>
      <c r="L124" s="24" t="str">
        <f>IF(I124&lt;&gt;"Vencida","",IF(COUNTIF(Config!$A$10:$A$13,"&lt;="&amp;J124)=0,"Antes da régua",INDEX(Config!$C$10:$C$13,COUNTIF(Config!$A$10:$A$13,"&lt;="&amp;J124))))</f>
        <v>30 dias ou mais</v>
      </c>
      <c r="M124" s="23" t="str">
        <f>IF(I124&lt;&gt;"Vencida","",IF(COUNTIF(Config!$A$10:$A$13,"&lt;="&amp;J124)=0,"Aguardar: ainda não chegou ao primeiro passo da régua.",INDEX(Config!$B$10:$B$13,COUNTIF(Config!$A$10:$A$13,"&lt;="&amp;J124))))</f>
        <v>Conversa do médico ou da administração para combinar um plano de pagamento; registrar por escrito o que foi combinado.</v>
      </c>
      <c r="N124" s="39">
        <f>IF(I124="Vencida",F124*J124+ROW()/100000,0)</f>
        <v>20520.00124</v>
      </c>
      <c r="O124" s="39">
        <f>IF(AND(I124="A vencer",K124&lt;=Config!$B$7),100000-K124-ROW()/100000,0)</f>
        <v>0</v>
      </c>
    </row>
    <row r="125">
      <c r="A125" s="33" t="inlineStr">
        <is>
          <t>Elaine Cardoso</t>
        </is>
      </c>
      <c r="B125" s="33" t="inlineStr">
        <is>
          <t>Consulta</t>
        </is>
      </c>
      <c r="C125" s="37" t="n">
        <v>46195</v>
      </c>
      <c r="D125" s="35" t="n">
        <v>1</v>
      </c>
      <c r="E125" s="37" t="n">
        <v>46225</v>
      </c>
      <c r="F125" s="38" t="n">
        <v>380</v>
      </c>
      <c r="G125" s="35" t="inlineStr">
        <is>
          <t>Sim</t>
        </is>
      </c>
      <c r="H125" s="37" t="n">
        <v>46227</v>
      </c>
      <c r="I125" s="24" t="str">
        <f>IF(A125="","",IF(G125="Sim","Paga",IF(E125="","Sem vencimento",IF(E125&lt;Config!$B$5,"Vencida","A vencer"))))</f>
        <v>Paga</v>
      </c>
      <c r="J125" s="30">
        <f>IF(I125="Vencida",Config!$B$5-E125,"")</f>
        <v/>
      </c>
      <c r="K125" s="30">
        <f>IF(I125="A vencer",E125-Config!$B$5,"")</f>
        <v/>
      </c>
      <c r="L125" s="24">
        <f>IF(I125&lt;&gt;"Vencida","",IF(COUNTIF(Config!$A$10:$A$13,"&lt;="&amp;J125)=0,"Antes da régua",INDEX(Config!$C$10:$C$13,COUNTIF(Config!$A$10:$A$13,"&lt;="&amp;J125))))</f>
        <v/>
      </c>
      <c r="M125" s="23">
        <f>IF(I125&lt;&gt;"Vencida","",IF(COUNTIF(Config!$A$10:$A$13,"&lt;="&amp;J125)=0,"Aguardar: ainda não chegou ao primeiro passo da régua.",INDEX(Config!$B$10:$B$13,COUNTIF(Config!$A$10:$A$13,"&lt;="&amp;J125))))</f>
        <v/>
      </c>
      <c r="N125" s="39">
        <f>IF(I125="Vencida",F125*J125+ROW()/100000,0)</f>
        <v>0</v>
      </c>
      <c r="O125" s="39">
        <f>IF(AND(I125="A vencer",K125&lt;=Config!$B$7),100000-K125-ROW()/100000,0)</f>
        <v>0</v>
      </c>
    </row>
    <row r="126">
      <c r="A126" s="33" t="inlineStr">
        <is>
          <t>Fábio Machado</t>
        </is>
      </c>
      <c r="B126" s="33" t="inlineStr">
        <is>
          <t>Consulta</t>
        </is>
      </c>
      <c r="C126" s="37" t="n">
        <v>46196</v>
      </c>
      <c r="D126" s="35" t="n">
        <v>1</v>
      </c>
      <c r="E126" s="37" t="n">
        <v>46226</v>
      </c>
      <c r="F126" s="38" t="n">
        <v>380</v>
      </c>
      <c r="G126" s="35" t="inlineStr">
        <is>
          <t>Sim</t>
        </is>
      </c>
      <c r="H126" s="37" t="n">
        <v>46231</v>
      </c>
      <c r="I126" s="24" t="str">
        <f>IF(A126="","",IF(G126="Sim","Paga",IF(E126="","Sem vencimento",IF(E126&lt;Config!$B$5,"Vencida","A vencer"))))</f>
        <v>Paga</v>
      </c>
      <c r="J126" s="30">
        <f>IF(I126="Vencida",Config!$B$5-E126,"")</f>
        <v/>
      </c>
      <c r="K126" s="30">
        <f>IF(I126="A vencer",E126-Config!$B$5,"")</f>
        <v/>
      </c>
      <c r="L126" s="24">
        <f>IF(I126&lt;&gt;"Vencida","",IF(COUNTIF(Config!$A$10:$A$13,"&lt;="&amp;J126)=0,"Antes da régua",INDEX(Config!$C$10:$C$13,COUNTIF(Config!$A$10:$A$13,"&lt;="&amp;J126))))</f>
        <v/>
      </c>
      <c r="M126" s="23">
        <f>IF(I126&lt;&gt;"Vencida","",IF(COUNTIF(Config!$A$10:$A$13,"&lt;="&amp;J126)=0,"Aguardar: ainda não chegou ao primeiro passo da régua.",INDEX(Config!$B$10:$B$13,COUNTIF(Config!$A$10:$A$13,"&lt;="&amp;J126))))</f>
        <v/>
      </c>
      <c r="N126" s="39">
        <f>IF(I126="Vencida",F126*J126+ROW()/100000,0)</f>
        <v>0</v>
      </c>
      <c r="O126" s="39">
        <f>IF(AND(I126="A vencer",K126&lt;=Config!$B$7),100000-K126-ROW()/100000,0)</f>
        <v>0</v>
      </c>
    </row>
    <row r="127">
      <c r="A127" s="33" t="inlineStr">
        <is>
          <t>Mariana Reis</t>
        </is>
      </c>
      <c r="B127" s="33" t="inlineStr">
        <is>
          <t>Avaliação endócrina</t>
        </is>
      </c>
      <c r="C127" s="37" t="n">
        <v>46196</v>
      </c>
      <c r="D127" s="35" t="n">
        <v>1</v>
      </c>
      <c r="E127" s="37" t="n">
        <v>46226</v>
      </c>
      <c r="F127" s="38" t="n">
        <v>200</v>
      </c>
      <c r="G127" s="35" t="inlineStr">
        <is>
          <t>Sim</t>
        </is>
      </c>
      <c r="H127" s="37" t="n">
        <v>46227</v>
      </c>
      <c r="I127" s="24" t="str">
        <f>IF(A127="","",IF(G127="Sim","Paga",IF(E127="","Sem vencimento",IF(E127&lt;Config!$B$5,"Vencida","A vencer"))))</f>
        <v>Paga</v>
      </c>
      <c r="J127" s="30">
        <f>IF(I127="Vencida",Config!$B$5-E127,"")</f>
        <v/>
      </c>
      <c r="K127" s="30">
        <f>IF(I127="A vencer",E127-Config!$B$5,"")</f>
        <v/>
      </c>
      <c r="L127" s="24">
        <f>IF(I127&lt;&gt;"Vencida","",IF(COUNTIF(Config!$A$10:$A$13,"&lt;="&amp;J127)=0,"Antes da régua",INDEX(Config!$C$10:$C$13,COUNTIF(Config!$A$10:$A$13,"&lt;="&amp;J127))))</f>
        <v/>
      </c>
      <c r="M127" s="23">
        <f>IF(I127&lt;&gt;"Vencida","",IF(COUNTIF(Config!$A$10:$A$13,"&lt;="&amp;J127)=0,"Aguardar: ainda não chegou ao primeiro passo da régua.",INDEX(Config!$B$10:$B$13,COUNTIF(Config!$A$10:$A$13,"&lt;="&amp;J127))))</f>
        <v/>
      </c>
      <c r="N127" s="39">
        <f>IF(I127="Vencida",F127*J127+ROW()/100000,0)</f>
        <v>0</v>
      </c>
      <c r="O127" s="39">
        <f>IF(AND(I127="A vencer",K127&lt;=Config!$B$7),100000-K127-ROW()/100000,0)</f>
        <v>0</v>
      </c>
    </row>
    <row r="128">
      <c r="A128" s="33" t="inlineStr">
        <is>
          <t>Mariana Reis</t>
        </is>
      </c>
      <c r="B128" s="33" t="inlineStr">
        <is>
          <t>Avaliação endócrina</t>
        </is>
      </c>
      <c r="C128" s="37" t="n">
        <v>46196</v>
      </c>
      <c r="D128" s="35" t="n">
        <v>2</v>
      </c>
      <c r="E128" s="37" t="n">
        <v>46256</v>
      </c>
      <c r="F128" s="38" t="n">
        <v>200</v>
      </c>
      <c r="G128" s="35" t="inlineStr">
        <is>
          <t>Sim</t>
        </is>
      </c>
      <c r="H128" s="37" t="n">
        <v>46261</v>
      </c>
      <c r="I128" s="24" t="str">
        <f>IF(A128="","",IF(G128="Sim","Paga",IF(E128="","Sem vencimento",IF(E128&lt;Config!$B$5,"Vencida","A vencer"))))</f>
        <v>Paga</v>
      </c>
      <c r="J128" s="30">
        <f>IF(I128="Vencida",Config!$B$5-E128,"")</f>
        <v/>
      </c>
      <c r="K128" s="30">
        <f>IF(I128="A vencer",E128-Config!$B$5,"")</f>
        <v/>
      </c>
      <c r="L128" s="24">
        <f>IF(I128&lt;&gt;"Vencida","",IF(COUNTIF(Config!$A$10:$A$13,"&lt;="&amp;J128)=0,"Antes da régua",INDEX(Config!$C$10:$C$13,COUNTIF(Config!$A$10:$A$13,"&lt;="&amp;J128))))</f>
        <v/>
      </c>
      <c r="M128" s="23">
        <f>IF(I128&lt;&gt;"Vencida","",IF(COUNTIF(Config!$A$10:$A$13,"&lt;="&amp;J128)=0,"Aguardar: ainda não chegou ao primeiro passo da régua.",INDEX(Config!$B$10:$B$13,COUNTIF(Config!$A$10:$A$13,"&lt;="&amp;J128))))</f>
        <v/>
      </c>
      <c r="N128" s="39">
        <f>IF(I128="Vencida",F128*J128+ROW()/100000,0)</f>
        <v>0</v>
      </c>
      <c r="O128" s="39">
        <f>IF(AND(I128="A vencer",K128&lt;=Config!$B$7),100000-K128-ROW()/100000,0)</f>
        <v>0</v>
      </c>
    </row>
    <row r="129">
      <c r="A129" s="33" t="inlineStr">
        <is>
          <t>Patrícia Dias</t>
        </is>
      </c>
      <c r="B129" s="33" t="inlineStr">
        <is>
          <t>Avaliação endócrina</t>
        </is>
      </c>
      <c r="C129" s="37" t="n">
        <v>46203</v>
      </c>
      <c r="D129" s="35" t="n">
        <v>1</v>
      </c>
      <c r="E129" s="37" t="n">
        <v>46233</v>
      </c>
      <c r="F129" s="38" t="n">
        <v>200</v>
      </c>
      <c r="G129" s="35" t="inlineStr">
        <is>
          <t>Sim</t>
        </is>
      </c>
      <c r="H129" s="37" t="n">
        <v>46238</v>
      </c>
      <c r="I129" s="24" t="str">
        <f>IF(A129="","",IF(G129="Sim","Paga",IF(E129="","Sem vencimento",IF(E129&lt;Config!$B$5,"Vencida","A vencer"))))</f>
        <v>Paga</v>
      </c>
      <c r="J129" s="30">
        <f>IF(I129="Vencida",Config!$B$5-E129,"")</f>
        <v/>
      </c>
      <c r="K129" s="30">
        <f>IF(I129="A vencer",E129-Config!$B$5,"")</f>
        <v/>
      </c>
      <c r="L129" s="24">
        <f>IF(I129&lt;&gt;"Vencida","",IF(COUNTIF(Config!$A$10:$A$13,"&lt;="&amp;J129)=0,"Antes da régua",INDEX(Config!$C$10:$C$13,COUNTIF(Config!$A$10:$A$13,"&lt;="&amp;J129))))</f>
        <v/>
      </c>
      <c r="M129" s="23">
        <f>IF(I129&lt;&gt;"Vencida","",IF(COUNTIF(Config!$A$10:$A$13,"&lt;="&amp;J129)=0,"Aguardar: ainda não chegou ao primeiro passo da régua.",INDEX(Config!$B$10:$B$13,COUNTIF(Config!$A$10:$A$13,"&lt;="&amp;J129))))</f>
        <v/>
      </c>
      <c r="N129" s="39">
        <f>IF(I129="Vencida",F129*J129+ROW()/100000,0)</f>
        <v>0</v>
      </c>
      <c r="O129" s="39">
        <f>IF(AND(I129="A vencer",K129&lt;=Config!$B$7),100000-K129-ROW()/100000,0)</f>
        <v>0</v>
      </c>
    </row>
    <row r="130">
      <c r="A130" s="33" t="inlineStr">
        <is>
          <t>Patrícia Dias</t>
        </is>
      </c>
      <c r="B130" s="33" t="inlineStr">
        <is>
          <t>Avaliação endócrina</t>
        </is>
      </c>
      <c r="C130" s="37" t="n">
        <v>46203</v>
      </c>
      <c r="D130" s="35" t="n">
        <v>2</v>
      </c>
      <c r="E130" s="37" t="n">
        <v>46263</v>
      </c>
      <c r="F130" s="38" t="n">
        <v>200</v>
      </c>
      <c r="G130" s="35" t="inlineStr">
        <is>
          <t>Sim</t>
        </is>
      </c>
      <c r="H130" s="37" t="n">
        <v>46266</v>
      </c>
      <c r="I130" s="24" t="str">
        <f>IF(A130="","",IF(G130="Sim","Paga",IF(E130="","Sem vencimento",IF(E130&lt;Config!$B$5,"Vencida","A vencer"))))</f>
        <v>Paga</v>
      </c>
      <c r="J130" s="30">
        <f>IF(I130="Vencida",Config!$B$5-E130,"")</f>
        <v/>
      </c>
      <c r="K130" s="30">
        <f>IF(I130="A vencer",E130-Config!$B$5,"")</f>
        <v/>
      </c>
      <c r="L130" s="24">
        <f>IF(I130&lt;&gt;"Vencida","",IF(COUNTIF(Config!$A$10:$A$13,"&lt;="&amp;J130)=0,"Antes da régua",INDEX(Config!$C$10:$C$13,COUNTIF(Config!$A$10:$A$13,"&lt;="&amp;J130))))</f>
        <v/>
      </c>
      <c r="M130" s="23">
        <f>IF(I130&lt;&gt;"Vencida","",IF(COUNTIF(Config!$A$10:$A$13,"&lt;="&amp;J130)=0,"Aguardar: ainda não chegou ao primeiro passo da régua.",INDEX(Config!$B$10:$B$13,COUNTIF(Config!$A$10:$A$13,"&lt;="&amp;J130))))</f>
        <v/>
      </c>
      <c r="N130" s="39">
        <f>IF(I130="Vencida",F130*J130+ROW()/100000,0)</f>
        <v>0</v>
      </c>
      <c r="O130" s="39">
        <f>IF(AND(I130="A vencer",K130&lt;=Config!$B$7),100000-K130-ROW()/100000,0)</f>
        <v>0</v>
      </c>
    </row>
    <row r="131">
      <c r="A131" s="33" t="inlineStr">
        <is>
          <t>Roberta Lima</t>
        </is>
      </c>
      <c r="B131" s="33" t="inlineStr">
        <is>
          <t>Avaliação endócrina</t>
        </is>
      </c>
      <c r="C131" s="37" t="n">
        <v>46203</v>
      </c>
      <c r="D131" s="35" t="n">
        <v>1</v>
      </c>
      <c r="E131" s="37" t="n">
        <v>46233</v>
      </c>
      <c r="F131" s="38" t="n">
        <v>200</v>
      </c>
      <c r="G131" s="35" t="inlineStr">
        <is>
          <t>Sim</t>
        </is>
      </c>
      <c r="H131" s="37" t="n">
        <v>46234</v>
      </c>
      <c r="I131" s="24" t="str">
        <f>IF(A131="","",IF(G131="Sim","Paga",IF(E131="","Sem vencimento",IF(E131&lt;Config!$B$5,"Vencida","A vencer"))))</f>
        <v>Paga</v>
      </c>
      <c r="J131" s="30">
        <f>IF(I131="Vencida",Config!$B$5-E131,"")</f>
        <v/>
      </c>
      <c r="K131" s="30">
        <f>IF(I131="A vencer",E131-Config!$B$5,"")</f>
        <v/>
      </c>
      <c r="L131" s="24">
        <f>IF(I131&lt;&gt;"Vencida","",IF(COUNTIF(Config!$A$10:$A$13,"&lt;="&amp;J131)=0,"Antes da régua",INDEX(Config!$C$10:$C$13,COUNTIF(Config!$A$10:$A$13,"&lt;="&amp;J131))))</f>
        <v/>
      </c>
      <c r="M131" s="23">
        <f>IF(I131&lt;&gt;"Vencida","",IF(COUNTIF(Config!$A$10:$A$13,"&lt;="&amp;J131)=0,"Aguardar: ainda não chegou ao primeiro passo da régua.",INDEX(Config!$B$10:$B$13,COUNTIF(Config!$A$10:$A$13,"&lt;="&amp;J131))))</f>
        <v/>
      </c>
      <c r="N131" s="39">
        <f>IF(I131="Vencida",F131*J131+ROW()/100000,0)</f>
        <v>0</v>
      </c>
      <c r="O131" s="39">
        <f>IF(AND(I131="A vencer",K131&lt;=Config!$B$7),100000-K131-ROW()/100000,0)</f>
        <v>0</v>
      </c>
    </row>
    <row r="132">
      <c r="A132" s="33" t="inlineStr">
        <is>
          <t>Roberta Lima</t>
        </is>
      </c>
      <c r="B132" s="33" t="inlineStr">
        <is>
          <t>Avaliação endócrina</t>
        </is>
      </c>
      <c r="C132" s="37" t="n">
        <v>46203</v>
      </c>
      <c r="D132" s="35" t="n">
        <v>2</v>
      </c>
      <c r="E132" s="37" t="n">
        <v>46263</v>
      </c>
      <c r="F132" s="38" t="n">
        <v>200</v>
      </c>
      <c r="G132" s="35" t="inlineStr">
        <is>
          <t>Sim</t>
        </is>
      </c>
      <c r="H132" s="37" t="n">
        <v>46263</v>
      </c>
      <c r="I132" s="24" t="str">
        <f>IF(A132="","",IF(G132="Sim","Paga",IF(E132="","Sem vencimento",IF(E132&lt;Config!$B$5,"Vencida","A vencer"))))</f>
        <v>Paga</v>
      </c>
      <c r="J132" s="30">
        <f>IF(I132="Vencida",Config!$B$5-E132,"")</f>
        <v/>
      </c>
      <c r="K132" s="30">
        <f>IF(I132="A vencer",E132-Config!$B$5,"")</f>
        <v/>
      </c>
      <c r="L132" s="24">
        <f>IF(I132&lt;&gt;"Vencida","",IF(COUNTIF(Config!$A$10:$A$13,"&lt;="&amp;J132)=0,"Antes da régua",INDEX(Config!$C$10:$C$13,COUNTIF(Config!$A$10:$A$13,"&lt;="&amp;J132))))</f>
        <v/>
      </c>
      <c r="M132" s="23">
        <f>IF(I132&lt;&gt;"Vencida","",IF(COUNTIF(Config!$A$10:$A$13,"&lt;="&amp;J132)=0,"Aguardar: ainda não chegou ao primeiro passo da régua.",INDEX(Config!$B$10:$B$13,COUNTIF(Config!$A$10:$A$13,"&lt;="&amp;J132))))</f>
        <v/>
      </c>
      <c r="N132" s="39">
        <f>IF(I132="Vencida",F132*J132+ROW()/100000,0)</f>
        <v>0</v>
      </c>
      <c r="O132" s="39">
        <f>IF(AND(I132="A vencer",K132&lt;=Config!$B$7),100000-K132-ROW()/100000,0)</f>
        <v>0</v>
      </c>
    </row>
    <row r="133">
      <c r="A133" s="33" t="inlineStr">
        <is>
          <t>Carlos Fernandes</t>
        </is>
      </c>
      <c r="B133" s="33" t="inlineStr">
        <is>
          <t>Consulta</t>
        </is>
      </c>
      <c r="C133" s="37" t="n">
        <v>46209</v>
      </c>
      <c r="D133" s="35" t="n">
        <v>1</v>
      </c>
      <c r="E133" s="37" t="n">
        <v>46239</v>
      </c>
      <c r="F133" s="38" t="n">
        <v>190</v>
      </c>
      <c r="G133" s="35" t="inlineStr">
        <is>
          <t>Não</t>
        </is>
      </c>
      <c r="H133" s="37" t="n"/>
      <c r="I133" s="24" t="str">
        <f>IF(A133="","",IF(G133="Sim","Paga",IF(E133="","Sem vencimento",IF(E133&lt;Config!$B$5,"Vencida","A vencer"))))</f>
        <v>Vencida</v>
      </c>
      <c r="J133" s="30">
        <f>IF(I133="Vencida",Config!$B$5-E133,"")</f>
        <v>40</v>
      </c>
      <c r="K133" s="30">
        <f>IF(I133="A vencer",E133-Config!$B$5,"")</f>
        <v/>
      </c>
      <c r="L133" s="24" t="str">
        <f>IF(I133&lt;&gt;"Vencida","",IF(COUNTIF(Config!$A$10:$A$13,"&lt;="&amp;J133)=0,"Antes da régua",INDEX(Config!$C$10:$C$13,COUNTIF(Config!$A$10:$A$13,"&lt;="&amp;J133))))</f>
        <v>30 dias ou mais</v>
      </c>
      <c r="M133" s="23" t="str">
        <f>IF(I133&lt;&gt;"Vencida","",IF(COUNTIF(Config!$A$10:$A$13,"&lt;="&amp;J133)=0,"Aguardar: ainda não chegou ao primeiro passo da régua.",INDEX(Config!$B$10:$B$13,COUNTIF(Config!$A$10:$A$13,"&lt;="&amp;J133))))</f>
        <v>Conversa do médico ou da administração para combinar um plano de pagamento; registrar por escrito o que foi combinado.</v>
      </c>
      <c r="N133" s="39">
        <f>IF(I133="Vencida",F133*J133+ROW()/100000,0)</f>
        <v>7600.00133</v>
      </c>
      <c r="O133" s="39">
        <f>IF(AND(I133="A vencer",K133&lt;=Config!$B$7),100000-K133-ROW()/100000,0)</f>
        <v>0</v>
      </c>
    </row>
    <row r="134">
      <c r="A134" s="33" t="inlineStr">
        <is>
          <t>Carlos Fernandes</t>
        </is>
      </c>
      <c r="B134" s="33" t="inlineStr">
        <is>
          <t>Consulta</t>
        </is>
      </c>
      <c r="C134" s="37" t="n">
        <v>46209</v>
      </c>
      <c r="D134" s="35" t="n">
        <v>2</v>
      </c>
      <c r="E134" s="37" t="n">
        <v>46269</v>
      </c>
      <c r="F134" s="38" t="n">
        <v>190</v>
      </c>
      <c r="G134" s="35" t="inlineStr">
        <is>
          <t>Sim</t>
        </is>
      </c>
      <c r="H134" s="37" t="n">
        <v>46269</v>
      </c>
      <c r="I134" s="24" t="str">
        <f>IF(A134="","",IF(G134="Sim","Paga",IF(E134="","Sem vencimento",IF(E134&lt;Config!$B$5,"Vencida","A vencer"))))</f>
        <v>Paga</v>
      </c>
      <c r="J134" s="30">
        <f>IF(I134="Vencida",Config!$B$5-E134,"")</f>
        <v/>
      </c>
      <c r="K134" s="30">
        <f>IF(I134="A vencer",E134-Config!$B$5,"")</f>
        <v/>
      </c>
      <c r="L134" s="24">
        <f>IF(I134&lt;&gt;"Vencida","",IF(COUNTIF(Config!$A$10:$A$13,"&lt;="&amp;J134)=0,"Antes da régua",INDEX(Config!$C$10:$C$13,COUNTIF(Config!$A$10:$A$13,"&lt;="&amp;J134))))</f>
        <v/>
      </c>
      <c r="M134" s="23">
        <f>IF(I134&lt;&gt;"Vencida","",IF(COUNTIF(Config!$A$10:$A$13,"&lt;="&amp;J134)=0,"Aguardar: ainda não chegou ao primeiro passo da régua.",INDEX(Config!$B$10:$B$13,COUNTIF(Config!$A$10:$A$13,"&lt;="&amp;J134))))</f>
        <v/>
      </c>
      <c r="N134" s="39">
        <f>IF(I134="Vencida",F134*J134+ROW()/100000,0)</f>
        <v>0</v>
      </c>
      <c r="O134" s="39">
        <f>IF(AND(I134="A vencer",K134&lt;=Config!$B$7),100000-K134-ROW()/100000,0)</f>
        <v>0</v>
      </c>
    </row>
    <row r="135">
      <c r="A135" s="33" t="inlineStr">
        <is>
          <t>Gustavo Ferreira</t>
        </is>
      </c>
      <c r="B135" s="33" t="inlineStr">
        <is>
          <t>Consulta</t>
        </is>
      </c>
      <c r="C135" s="37" t="n">
        <v>46210</v>
      </c>
      <c r="D135" s="35" t="n">
        <v>1</v>
      </c>
      <c r="E135" s="37" t="n">
        <v>46240</v>
      </c>
      <c r="F135" s="38" t="n">
        <v>380</v>
      </c>
      <c r="G135" s="35" t="inlineStr">
        <is>
          <t>Sim</t>
        </is>
      </c>
      <c r="H135" s="37" t="n">
        <v>46242</v>
      </c>
      <c r="I135" s="24" t="str">
        <f>IF(A135="","",IF(G135="Sim","Paga",IF(E135="","Sem vencimento",IF(E135&lt;Config!$B$5,"Vencida","A vencer"))))</f>
        <v>Paga</v>
      </c>
      <c r="J135" s="30">
        <f>IF(I135="Vencida",Config!$B$5-E135,"")</f>
        <v/>
      </c>
      <c r="K135" s="30">
        <f>IF(I135="A vencer",E135-Config!$B$5,"")</f>
        <v/>
      </c>
      <c r="L135" s="24">
        <f>IF(I135&lt;&gt;"Vencida","",IF(COUNTIF(Config!$A$10:$A$13,"&lt;="&amp;J135)=0,"Antes da régua",INDEX(Config!$C$10:$C$13,COUNTIF(Config!$A$10:$A$13,"&lt;="&amp;J135))))</f>
        <v/>
      </c>
      <c r="M135" s="23">
        <f>IF(I135&lt;&gt;"Vencida","",IF(COUNTIF(Config!$A$10:$A$13,"&lt;="&amp;J135)=0,"Aguardar: ainda não chegou ao primeiro passo da régua.",INDEX(Config!$B$10:$B$13,COUNTIF(Config!$A$10:$A$13,"&lt;="&amp;J135))))</f>
        <v/>
      </c>
      <c r="N135" s="39">
        <f>IF(I135="Vencida",F135*J135+ROW()/100000,0)</f>
        <v>0</v>
      </c>
      <c r="O135" s="39">
        <f>IF(AND(I135="A vencer",K135&lt;=Config!$B$7),100000-K135-ROW()/100000,0)</f>
        <v>0</v>
      </c>
    </row>
    <row r="136">
      <c r="A136" s="33" t="inlineStr">
        <is>
          <t>Lucas Lopes</t>
        </is>
      </c>
      <c r="B136" s="33" t="inlineStr">
        <is>
          <t>Consulta</t>
        </is>
      </c>
      <c r="C136" s="37" t="n">
        <v>46217</v>
      </c>
      <c r="D136" s="35" t="n">
        <v>1</v>
      </c>
      <c r="E136" s="37" t="n">
        <v>46247</v>
      </c>
      <c r="F136" s="38" t="n">
        <v>380</v>
      </c>
      <c r="G136" s="35" t="inlineStr">
        <is>
          <t>Sim</t>
        </is>
      </c>
      <c r="H136" s="37" t="n">
        <v>46248</v>
      </c>
      <c r="I136" s="24" t="str">
        <f>IF(A136="","",IF(G136="Sim","Paga",IF(E136="","Sem vencimento",IF(E136&lt;Config!$B$5,"Vencida","A vencer"))))</f>
        <v>Paga</v>
      </c>
      <c r="J136" s="30">
        <f>IF(I136="Vencida",Config!$B$5-E136,"")</f>
        <v/>
      </c>
      <c r="K136" s="30">
        <f>IF(I136="A vencer",E136-Config!$B$5,"")</f>
        <v/>
      </c>
      <c r="L136" s="24">
        <f>IF(I136&lt;&gt;"Vencida","",IF(COUNTIF(Config!$A$10:$A$13,"&lt;="&amp;J136)=0,"Antes da régua",INDEX(Config!$C$10:$C$13,COUNTIF(Config!$A$10:$A$13,"&lt;="&amp;J136))))</f>
        <v/>
      </c>
      <c r="M136" s="23">
        <f>IF(I136&lt;&gt;"Vencida","",IF(COUNTIF(Config!$A$10:$A$13,"&lt;="&amp;J136)=0,"Aguardar: ainda não chegou ao primeiro passo da régua.",INDEX(Config!$B$10:$B$13,COUNTIF(Config!$A$10:$A$13,"&lt;="&amp;J136))))</f>
        <v/>
      </c>
      <c r="N136" s="39">
        <f>IF(I136="Vencida",F136*J136+ROW()/100000,0)</f>
        <v>0</v>
      </c>
      <c r="O136" s="39">
        <f>IF(AND(I136="A vencer",K136&lt;=Config!$B$7),100000-K136-ROW()/100000,0)</f>
        <v>0</v>
      </c>
    </row>
    <row r="137">
      <c r="A137" s="33" t="inlineStr">
        <is>
          <t>Paulo Reis</t>
        </is>
      </c>
      <c r="B137" s="33" t="inlineStr">
        <is>
          <t>Consulta</t>
        </is>
      </c>
      <c r="C137" s="37" t="n">
        <v>46217</v>
      </c>
      <c r="D137" s="35" t="n">
        <v>1</v>
      </c>
      <c r="E137" s="37" t="n">
        <v>46247</v>
      </c>
      <c r="F137" s="38" t="n">
        <v>190</v>
      </c>
      <c r="G137" s="35" t="inlineStr">
        <is>
          <t>Sim</t>
        </is>
      </c>
      <c r="H137" s="37" t="n">
        <v>46248</v>
      </c>
      <c r="I137" s="24" t="str">
        <f>IF(A137="","",IF(G137="Sim","Paga",IF(E137="","Sem vencimento",IF(E137&lt;Config!$B$5,"Vencida","A vencer"))))</f>
        <v>Paga</v>
      </c>
      <c r="J137" s="30">
        <f>IF(I137="Vencida",Config!$B$5-E137,"")</f>
        <v/>
      </c>
      <c r="K137" s="30">
        <f>IF(I137="A vencer",E137-Config!$B$5,"")</f>
        <v/>
      </c>
      <c r="L137" s="24">
        <f>IF(I137&lt;&gt;"Vencida","",IF(COUNTIF(Config!$A$10:$A$13,"&lt;="&amp;J137)=0,"Antes da régua",INDEX(Config!$C$10:$C$13,COUNTIF(Config!$A$10:$A$13,"&lt;="&amp;J137))))</f>
        <v/>
      </c>
      <c r="M137" s="23">
        <f>IF(I137&lt;&gt;"Vencida","",IF(COUNTIF(Config!$A$10:$A$13,"&lt;="&amp;J137)=0,"Aguardar: ainda não chegou ao primeiro passo da régua.",INDEX(Config!$B$10:$B$13,COUNTIF(Config!$A$10:$A$13,"&lt;="&amp;J137))))</f>
        <v/>
      </c>
      <c r="N137" s="39">
        <f>IF(I137="Vencida",F137*J137+ROW()/100000,0)</f>
        <v>0</v>
      </c>
      <c r="O137" s="39">
        <f>IF(AND(I137="A vencer",K137&lt;=Config!$B$7),100000-K137-ROW()/100000,0)</f>
        <v>0</v>
      </c>
    </row>
    <row r="138">
      <c r="A138" s="33" t="inlineStr">
        <is>
          <t>Paulo Reis</t>
        </is>
      </c>
      <c r="B138" s="33" t="inlineStr">
        <is>
          <t>Consulta</t>
        </is>
      </c>
      <c r="C138" s="37" t="n">
        <v>46217</v>
      </c>
      <c r="D138" s="35" t="n">
        <v>2</v>
      </c>
      <c r="E138" s="37" t="n">
        <v>46277</v>
      </c>
      <c r="F138" s="38" t="n">
        <v>190</v>
      </c>
      <c r="G138" s="35" t="inlineStr">
        <is>
          <t>Não</t>
        </is>
      </c>
      <c r="H138" s="37" t="n"/>
      <c r="I138" s="24" t="str">
        <f>IF(A138="","",IF(G138="Sim","Paga",IF(E138="","Sem vencimento",IF(E138&lt;Config!$B$5,"Vencida","A vencer"))))</f>
        <v>Vencida</v>
      </c>
      <c r="J138" s="30">
        <f>IF(I138="Vencida",Config!$B$5-E138,"")</f>
        <v>2</v>
      </c>
      <c r="K138" s="30">
        <f>IF(I138="A vencer",E138-Config!$B$5,"")</f>
        <v/>
      </c>
      <c r="L138" s="24" t="str">
        <f>IF(I138&lt;&gt;"Vencida","",IF(COUNTIF(Config!$A$10:$A$13,"&lt;="&amp;J138)=0,"Antes da régua",INDEX(Config!$C$10:$C$13,COUNTIF(Config!$A$10:$A$13,"&lt;="&amp;J138))))</f>
        <v>1 a 6 dias</v>
      </c>
      <c r="M138" s="23" t="str">
        <f>IF(I138&lt;&gt;"Vencida","",IF(COUNTIF(Config!$A$10:$A$13,"&lt;="&amp;J138)=0,"Aguardar: ainda não chegou ao primeiro passo da régua.",INDEX(Config!$B$10:$B$13,COUNTIF(Config!$A$10:$A$13,"&lt;="&amp;J138))))</f>
        <v>Lembrete gentil por WhatsApp: confirmar se o Pix chegou e reenviar o link de pagamento, se preciso.</v>
      </c>
      <c r="N138" s="39">
        <f>IF(I138="Vencida",F138*J138+ROW()/100000,0)</f>
        <v>380.00138</v>
      </c>
      <c r="O138" s="39">
        <f>IF(AND(I138="A vencer",K138&lt;=Config!$B$7),100000-K138-ROW()/100000,0)</f>
        <v>0</v>
      </c>
    </row>
    <row r="139">
      <c r="A139" s="33" t="inlineStr">
        <is>
          <t>Cláudia Santos</t>
        </is>
      </c>
      <c r="B139" s="33" t="inlineStr">
        <is>
          <t>Consulta</t>
        </is>
      </c>
      <c r="C139" s="37" t="n">
        <v>46223</v>
      </c>
      <c r="D139" s="35" t="n">
        <v>1</v>
      </c>
      <c r="E139" s="37" t="n">
        <v>46253</v>
      </c>
      <c r="F139" s="38" t="n">
        <v>380</v>
      </c>
      <c r="G139" s="35" t="inlineStr">
        <is>
          <t>Sim</t>
        </is>
      </c>
      <c r="H139" s="37" t="n">
        <v>46258</v>
      </c>
      <c r="I139" s="24" t="str">
        <f>IF(A139="","",IF(G139="Sim","Paga",IF(E139="","Sem vencimento",IF(E139&lt;Config!$B$5,"Vencida","A vencer"))))</f>
        <v>Paga</v>
      </c>
      <c r="J139" s="30">
        <f>IF(I139="Vencida",Config!$B$5-E139,"")</f>
        <v/>
      </c>
      <c r="K139" s="30">
        <f>IF(I139="A vencer",E139-Config!$B$5,"")</f>
        <v/>
      </c>
      <c r="L139" s="24">
        <f>IF(I139&lt;&gt;"Vencida","",IF(COUNTIF(Config!$A$10:$A$13,"&lt;="&amp;J139)=0,"Antes da régua",INDEX(Config!$C$10:$C$13,COUNTIF(Config!$A$10:$A$13,"&lt;="&amp;J139))))</f>
        <v/>
      </c>
      <c r="M139" s="23">
        <f>IF(I139&lt;&gt;"Vencida","",IF(COUNTIF(Config!$A$10:$A$13,"&lt;="&amp;J139)=0,"Aguardar: ainda não chegou ao primeiro passo da régua.",INDEX(Config!$B$10:$B$13,COUNTIF(Config!$A$10:$A$13,"&lt;="&amp;J139))))</f>
        <v/>
      </c>
      <c r="N139" s="39">
        <f>IF(I139="Vencida",F139*J139+ROW()/100000,0)</f>
        <v>0</v>
      </c>
      <c r="O139" s="39">
        <f>IF(AND(I139="A vencer",K139&lt;=Config!$B$7),100000-K139-ROW()/100000,0)</f>
        <v>0</v>
      </c>
    </row>
    <row r="140">
      <c r="A140" s="33" t="inlineStr">
        <is>
          <t>Gustavo Ferreira</t>
        </is>
      </c>
      <c r="B140" s="33" t="inlineStr">
        <is>
          <t>Consulta</t>
        </is>
      </c>
      <c r="C140" s="37" t="n">
        <v>46225</v>
      </c>
      <c r="D140" s="35" t="n">
        <v>1</v>
      </c>
      <c r="E140" s="37" t="n">
        <v>46255</v>
      </c>
      <c r="F140" s="38" t="n">
        <v>380</v>
      </c>
      <c r="G140" s="35" t="inlineStr">
        <is>
          <t>Sim</t>
        </is>
      </c>
      <c r="H140" s="37" t="n">
        <v>46258</v>
      </c>
      <c r="I140" s="24" t="str">
        <f>IF(A140="","",IF(G140="Sim","Paga",IF(E140="","Sem vencimento",IF(E140&lt;Config!$B$5,"Vencida","A vencer"))))</f>
        <v>Paga</v>
      </c>
      <c r="J140" s="30">
        <f>IF(I140="Vencida",Config!$B$5-E140,"")</f>
        <v/>
      </c>
      <c r="K140" s="30">
        <f>IF(I140="A vencer",E140-Config!$B$5,"")</f>
        <v/>
      </c>
      <c r="L140" s="24">
        <f>IF(I140&lt;&gt;"Vencida","",IF(COUNTIF(Config!$A$10:$A$13,"&lt;="&amp;J140)=0,"Antes da régua",INDEX(Config!$C$10:$C$13,COUNTIF(Config!$A$10:$A$13,"&lt;="&amp;J140))))</f>
        <v/>
      </c>
      <c r="M140" s="23">
        <f>IF(I140&lt;&gt;"Vencida","",IF(COUNTIF(Config!$A$10:$A$13,"&lt;="&amp;J140)=0,"Aguardar: ainda não chegou ao primeiro passo da régua.",INDEX(Config!$B$10:$B$13,COUNTIF(Config!$A$10:$A$13,"&lt;="&amp;J140))))</f>
        <v/>
      </c>
      <c r="N140" s="39">
        <f>IF(I140="Vencida",F140*J140+ROW()/100000,0)</f>
        <v>0</v>
      </c>
      <c r="O140" s="39">
        <f>IF(AND(I140="A vencer",K140&lt;=Config!$B$7),100000-K140-ROW()/100000,0)</f>
        <v>0</v>
      </c>
    </row>
    <row r="141">
      <c r="A141" s="33" t="inlineStr">
        <is>
          <t>Rafael Barros</t>
        </is>
      </c>
      <c r="B141" s="33" t="inlineStr">
        <is>
          <t>Consulta</t>
        </is>
      </c>
      <c r="C141" s="37" t="n">
        <v>46226</v>
      </c>
      <c r="D141" s="35" t="n">
        <v>1</v>
      </c>
      <c r="E141" s="37" t="n">
        <v>46256</v>
      </c>
      <c r="F141" s="38" t="n">
        <v>380</v>
      </c>
      <c r="G141" s="35" t="inlineStr">
        <is>
          <t>Sim</t>
        </is>
      </c>
      <c r="H141" s="37" t="n">
        <v>46256</v>
      </c>
      <c r="I141" s="24" t="str">
        <f>IF(A141="","",IF(G141="Sim","Paga",IF(E141="","Sem vencimento",IF(E141&lt;Config!$B$5,"Vencida","A vencer"))))</f>
        <v>Paga</v>
      </c>
      <c r="J141" s="30">
        <f>IF(I141="Vencida",Config!$B$5-E141,"")</f>
        <v/>
      </c>
      <c r="K141" s="30">
        <f>IF(I141="A vencer",E141-Config!$B$5,"")</f>
        <v/>
      </c>
      <c r="L141" s="24">
        <f>IF(I141&lt;&gt;"Vencida","",IF(COUNTIF(Config!$A$10:$A$13,"&lt;="&amp;J141)=0,"Antes da régua",INDEX(Config!$C$10:$C$13,COUNTIF(Config!$A$10:$A$13,"&lt;="&amp;J141))))</f>
        <v/>
      </c>
      <c r="M141" s="23">
        <f>IF(I141&lt;&gt;"Vencida","",IF(COUNTIF(Config!$A$10:$A$13,"&lt;="&amp;J141)=0,"Aguardar: ainda não chegou ao primeiro passo da régua.",INDEX(Config!$B$10:$B$13,COUNTIF(Config!$A$10:$A$13,"&lt;="&amp;J141))))</f>
        <v/>
      </c>
      <c r="N141" s="39">
        <f>IF(I141="Vencida",F141*J141+ROW()/100000,0)</f>
        <v>0</v>
      </c>
      <c r="O141" s="39">
        <f>IF(AND(I141="A vencer",K141&lt;=Config!$B$7),100000-K141-ROW()/100000,0)</f>
        <v>0</v>
      </c>
    </row>
    <row r="142">
      <c r="A142" s="33" t="inlineStr">
        <is>
          <t>Eduardo Lima</t>
        </is>
      </c>
      <c r="B142" s="33" t="inlineStr">
        <is>
          <t>Teste ergométrico</t>
        </is>
      </c>
      <c r="C142" s="37" t="n">
        <v>46227</v>
      </c>
      <c r="D142" s="35" t="n">
        <v>1</v>
      </c>
      <c r="E142" s="37" t="n">
        <v>46257</v>
      </c>
      <c r="F142" s="38" t="n">
        <v>225</v>
      </c>
      <c r="G142" s="35" t="inlineStr">
        <is>
          <t>Sim</t>
        </is>
      </c>
      <c r="H142" s="37" t="n">
        <v>46259</v>
      </c>
      <c r="I142" s="24" t="str">
        <f>IF(A142="","",IF(G142="Sim","Paga",IF(E142="","Sem vencimento",IF(E142&lt;Config!$B$5,"Vencida","A vencer"))))</f>
        <v>Paga</v>
      </c>
      <c r="J142" s="30">
        <f>IF(I142="Vencida",Config!$B$5-E142,"")</f>
        <v/>
      </c>
      <c r="K142" s="30">
        <f>IF(I142="A vencer",E142-Config!$B$5,"")</f>
        <v/>
      </c>
      <c r="L142" s="24">
        <f>IF(I142&lt;&gt;"Vencida","",IF(COUNTIF(Config!$A$10:$A$13,"&lt;="&amp;J142)=0,"Antes da régua",INDEX(Config!$C$10:$C$13,COUNTIF(Config!$A$10:$A$13,"&lt;="&amp;J142))))</f>
        <v/>
      </c>
      <c r="M142" s="23">
        <f>IF(I142&lt;&gt;"Vencida","",IF(COUNTIF(Config!$A$10:$A$13,"&lt;="&amp;J142)=0,"Aguardar: ainda não chegou ao primeiro passo da régua.",INDEX(Config!$B$10:$B$13,COUNTIF(Config!$A$10:$A$13,"&lt;="&amp;J142))))</f>
        <v/>
      </c>
      <c r="N142" s="39">
        <f>IF(I142="Vencida",F142*J142+ROW()/100000,0)</f>
        <v>0</v>
      </c>
      <c r="O142" s="39">
        <f>IF(AND(I142="A vencer",K142&lt;=Config!$B$7),100000-K142-ROW()/100000,0)</f>
        <v>0</v>
      </c>
    </row>
    <row r="143">
      <c r="A143" s="33" t="inlineStr">
        <is>
          <t>Eduardo Lima</t>
        </is>
      </c>
      <c r="B143" s="33" t="inlineStr">
        <is>
          <t>Teste ergométrico</t>
        </is>
      </c>
      <c r="C143" s="37" t="n">
        <v>46227</v>
      </c>
      <c r="D143" s="35" t="n">
        <v>2</v>
      </c>
      <c r="E143" s="37" t="n">
        <v>46287</v>
      </c>
      <c r="F143" s="38" t="n">
        <v>225</v>
      </c>
      <c r="G143" s="35" t="inlineStr">
        <is>
          <t>Não</t>
        </is>
      </c>
      <c r="H143" s="37" t="n"/>
      <c r="I143" s="24" t="str">
        <f>IF(A143="","",IF(G143="Sim","Paga",IF(E143="","Sem vencimento",IF(E143&lt;Config!$B$5,"Vencida","A vencer"))))</f>
        <v>A vencer</v>
      </c>
      <c r="J143" s="30">
        <f>IF(I143="Vencida",Config!$B$5-E143,"")</f>
        <v/>
      </c>
      <c r="K143" s="30">
        <f>IF(I143="A vencer",E143-Config!$B$5,"")</f>
        <v>8</v>
      </c>
      <c r="L143" s="24">
        <f>IF(I143&lt;&gt;"Vencida","",IF(COUNTIF(Config!$A$10:$A$13,"&lt;="&amp;J143)=0,"Antes da régua",INDEX(Config!$C$10:$C$13,COUNTIF(Config!$A$10:$A$13,"&lt;="&amp;J143))))</f>
        <v/>
      </c>
      <c r="M143" s="23">
        <f>IF(I143&lt;&gt;"Vencida","",IF(COUNTIF(Config!$A$10:$A$13,"&lt;="&amp;J143)=0,"Aguardar: ainda não chegou ao primeiro passo da régua.",INDEX(Config!$B$10:$B$13,COUNTIF(Config!$A$10:$A$13,"&lt;="&amp;J143))))</f>
        <v/>
      </c>
      <c r="N143" s="39">
        <f>IF(I143="Vencida",F143*J143+ROW()/100000,0)</f>
        <v>0</v>
      </c>
      <c r="O143" s="39">
        <f>IF(AND(I143="A vencer",K143&lt;=Config!$B$7),100000-K143-ROW()/100000,0)</f>
        <v>99991.99857</v>
      </c>
    </row>
    <row r="144">
      <c r="A144" s="33" t="inlineStr">
        <is>
          <t>Regina Duarte</t>
        </is>
      </c>
      <c r="B144" s="33" t="inlineStr">
        <is>
          <t>Consulta</t>
        </is>
      </c>
      <c r="C144" s="37" t="n">
        <v>46230</v>
      </c>
      <c r="D144" s="35" t="n">
        <v>1</v>
      </c>
      <c r="E144" s="37" t="n">
        <v>46260</v>
      </c>
      <c r="F144" s="38" t="n">
        <v>380</v>
      </c>
      <c r="G144" s="35" t="inlineStr">
        <is>
          <t>Sim</t>
        </is>
      </c>
      <c r="H144" s="37" t="n">
        <v>46261</v>
      </c>
      <c r="I144" s="24" t="str">
        <f>IF(A144="","",IF(G144="Sim","Paga",IF(E144="","Sem vencimento",IF(E144&lt;Config!$B$5,"Vencida","A vencer"))))</f>
        <v>Paga</v>
      </c>
      <c r="J144" s="30">
        <f>IF(I144="Vencida",Config!$B$5-E144,"")</f>
        <v/>
      </c>
      <c r="K144" s="30">
        <f>IF(I144="A vencer",E144-Config!$B$5,"")</f>
        <v/>
      </c>
      <c r="L144" s="24">
        <f>IF(I144&lt;&gt;"Vencida","",IF(COUNTIF(Config!$A$10:$A$13,"&lt;="&amp;J144)=0,"Antes da régua",INDEX(Config!$C$10:$C$13,COUNTIF(Config!$A$10:$A$13,"&lt;="&amp;J144))))</f>
        <v/>
      </c>
      <c r="M144" s="23">
        <f>IF(I144&lt;&gt;"Vencida","",IF(COUNTIF(Config!$A$10:$A$13,"&lt;="&amp;J144)=0,"Aguardar: ainda não chegou ao primeiro passo da régua.",INDEX(Config!$B$10:$B$13,COUNTIF(Config!$A$10:$A$13,"&lt;="&amp;J144))))</f>
        <v/>
      </c>
      <c r="N144" s="39">
        <f>IF(I144="Vencida",F144*J144+ROW()/100000,0)</f>
        <v>0</v>
      </c>
      <c r="O144" s="39">
        <f>IF(AND(I144="A vencer",K144&lt;=Config!$B$7),100000-K144-ROW()/100000,0)</f>
        <v>0</v>
      </c>
    </row>
    <row r="145">
      <c r="A145" s="33" t="inlineStr">
        <is>
          <t>Rodrigo Moreira</t>
        </is>
      </c>
      <c r="B145" s="33" t="inlineStr">
        <is>
          <t>Teste ergométrico</t>
        </is>
      </c>
      <c r="C145" s="37" t="n">
        <v>46230</v>
      </c>
      <c r="D145" s="35" t="n">
        <v>1</v>
      </c>
      <c r="E145" s="37" t="n">
        <v>46260</v>
      </c>
      <c r="F145" s="38" t="n">
        <v>225</v>
      </c>
      <c r="G145" s="35" t="inlineStr">
        <is>
          <t>Sim</t>
        </is>
      </c>
      <c r="H145" s="37" t="n">
        <v>46260</v>
      </c>
      <c r="I145" s="24" t="str">
        <f>IF(A145="","",IF(G145="Sim","Paga",IF(E145="","Sem vencimento",IF(E145&lt;Config!$B$5,"Vencida","A vencer"))))</f>
        <v>Paga</v>
      </c>
      <c r="J145" s="30">
        <f>IF(I145="Vencida",Config!$B$5-E145,"")</f>
        <v/>
      </c>
      <c r="K145" s="30">
        <f>IF(I145="A vencer",E145-Config!$B$5,"")</f>
        <v/>
      </c>
      <c r="L145" s="24">
        <f>IF(I145&lt;&gt;"Vencida","",IF(COUNTIF(Config!$A$10:$A$13,"&lt;="&amp;J145)=0,"Antes da régua",INDEX(Config!$C$10:$C$13,COUNTIF(Config!$A$10:$A$13,"&lt;="&amp;J145))))</f>
        <v/>
      </c>
      <c r="M145" s="23">
        <f>IF(I145&lt;&gt;"Vencida","",IF(COUNTIF(Config!$A$10:$A$13,"&lt;="&amp;J145)=0,"Aguardar: ainda não chegou ao primeiro passo da régua.",INDEX(Config!$B$10:$B$13,COUNTIF(Config!$A$10:$A$13,"&lt;="&amp;J145))))</f>
        <v/>
      </c>
      <c r="N145" s="39">
        <f>IF(I145="Vencida",F145*J145+ROW()/100000,0)</f>
        <v>0</v>
      </c>
      <c r="O145" s="39">
        <f>IF(AND(I145="A vencer",K145&lt;=Config!$B$7),100000-K145-ROW()/100000,0)</f>
        <v>0</v>
      </c>
    </row>
    <row r="146">
      <c r="A146" s="33" t="inlineStr">
        <is>
          <t>Rodrigo Moreira</t>
        </is>
      </c>
      <c r="B146" s="33" t="inlineStr">
        <is>
          <t>Teste ergométrico</t>
        </is>
      </c>
      <c r="C146" s="37" t="n">
        <v>46230</v>
      </c>
      <c r="D146" s="35" t="n">
        <v>2</v>
      </c>
      <c r="E146" s="37" t="n">
        <v>46290</v>
      </c>
      <c r="F146" s="38" t="n">
        <v>225</v>
      </c>
      <c r="G146" s="35" t="inlineStr">
        <is>
          <t>Não</t>
        </is>
      </c>
      <c r="H146" s="37" t="n"/>
      <c r="I146" s="24" t="str">
        <f>IF(A146="","",IF(G146="Sim","Paga",IF(E146="","Sem vencimento",IF(E146&lt;Config!$B$5,"Vencida","A vencer"))))</f>
        <v>A vencer</v>
      </c>
      <c r="J146" s="30">
        <f>IF(I146="Vencida",Config!$B$5-E146,"")</f>
        <v/>
      </c>
      <c r="K146" s="30">
        <f>IF(I146="A vencer",E146-Config!$B$5,"")</f>
        <v>11</v>
      </c>
      <c r="L146" s="24">
        <f>IF(I146&lt;&gt;"Vencida","",IF(COUNTIF(Config!$A$10:$A$13,"&lt;="&amp;J146)=0,"Antes da régua",INDEX(Config!$C$10:$C$13,COUNTIF(Config!$A$10:$A$13,"&lt;="&amp;J146))))</f>
        <v/>
      </c>
      <c r="M146" s="23">
        <f>IF(I146&lt;&gt;"Vencida","",IF(COUNTIF(Config!$A$10:$A$13,"&lt;="&amp;J146)=0,"Aguardar: ainda não chegou ao primeiro passo da régua.",INDEX(Config!$B$10:$B$13,COUNTIF(Config!$A$10:$A$13,"&lt;="&amp;J146))))</f>
        <v/>
      </c>
      <c r="N146" s="39">
        <f>IF(I146="Vencida",F146*J146+ROW()/100000,0)</f>
        <v>0</v>
      </c>
      <c r="O146" s="39">
        <f>IF(AND(I146="A vencer",K146&lt;=Config!$B$7),100000-K146-ROW()/100000,0)</f>
        <v>99988.99854</v>
      </c>
    </row>
    <row r="147">
      <c r="A147" s="33" t="inlineStr">
        <is>
          <t>Otávio Nascimento</t>
        </is>
      </c>
      <c r="B147" s="33" t="inlineStr">
        <is>
          <t>Holter</t>
        </is>
      </c>
      <c r="C147" s="37" t="n">
        <v>46231</v>
      </c>
      <c r="D147" s="35" t="n">
        <v>1</v>
      </c>
      <c r="E147" s="37" t="n">
        <v>46261</v>
      </c>
      <c r="F147" s="38" t="n">
        <v>350</v>
      </c>
      <c r="G147" s="35" t="inlineStr">
        <is>
          <t>Sim</t>
        </is>
      </c>
      <c r="H147" s="37" t="n">
        <v>46266</v>
      </c>
      <c r="I147" s="24" t="str">
        <f>IF(A147="","",IF(G147="Sim","Paga",IF(E147="","Sem vencimento",IF(E147&lt;Config!$B$5,"Vencida","A vencer"))))</f>
        <v>Paga</v>
      </c>
      <c r="J147" s="30">
        <f>IF(I147="Vencida",Config!$B$5-E147,"")</f>
        <v/>
      </c>
      <c r="K147" s="30">
        <f>IF(I147="A vencer",E147-Config!$B$5,"")</f>
        <v/>
      </c>
      <c r="L147" s="24">
        <f>IF(I147&lt;&gt;"Vencida","",IF(COUNTIF(Config!$A$10:$A$13,"&lt;="&amp;J147)=0,"Antes da régua",INDEX(Config!$C$10:$C$13,COUNTIF(Config!$A$10:$A$13,"&lt;="&amp;J147))))</f>
        <v/>
      </c>
      <c r="M147" s="23">
        <f>IF(I147&lt;&gt;"Vencida","",IF(COUNTIF(Config!$A$10:$A$13,"&lt;="&amp;J147)=0,"Aguardar: ainda não chegou ao primeiro passo da régua.",INDEX(Config!$B$10:$B$13,COUNTIF(Config!$A$10:$A$13,"&lt;="&amp;J147))))</f>
        <v/>
      </c>
      <c r="N147" s="39">
        <f>IF(I147="Vencida",F147*J147+ROW()/100000,0)</f>
        <v>0</v>
      </c>
      <c r="O147" s="39">
        <f>IF(AND(I147="A vencer",K147&lt;=Config!$B$7),100000-K147-ROW()/100000,0)</f>
        <v>0</v>
      </c>
    </row>
    <row r="148">
      <c r="A148" s="33" t="inlineStr">
        <is>
          <t>Rafael Pereira</t>
        </is>
      </c>
      <c r="B148" s="33" t="inlineStr">
        <is>
          <t>Avaliação endócrina</t>
        </is>
      </c>
      <c r="C148" s="37" t="n">
        <v>46231</v>
      </c>
      <c r="D148" s="35" t="n">
        <v>1</v>
      </c>
      <c r="E148" s="37" t="n">
        <v>46261</v>
      </c>
      <c r="F148" s="38" t="n">
        <v>200</v>
      </c>
      <c r="G148" s="35" t="inlineStr">
        <is>
          <t>Sim</t>
        </is>
      </c>
      <c r="H148" s="37" t="n">
        <v>46261</v>
      </c>
      <c r="I148" s="24" t="str">
        <f>IF(A148="","",IF(G148="Sim","Paga",IF(E148="","Sem vencimento",IF(E148&lt;Config!$B$5,"Vencida","A vencer"))))</f>
        <v>Paga</v>
      </c>
      <c r="J148" s="30">
        <f>IF(I148="Vencida",Config!$B$5-E148,"")</f>
        <v/>
      </c>
      <c r="K148" s="30">
        <f>IF(I148="A vencer",E148-Config!$B$5,"")</f>
        <v/>
      </c>
      <c r="L148" s="24">
        <f>IF(I148&lt;&gt;"Vencida","",IF(COUNTIF(Config!$A$10:$A$13,"&lt;="&amp;J148)=0,"Antes da régua",INDEX(Config!$C$10:$C$13,COUNTIF(Config!$A$10:$A$13,"&lt;="&amp;J148))))</f>
        <v/>
      </c>
      <c r="M148" s="23">
        <f>IF(I148&lt;&gt;"Vencida","",IF(COUNTIF(Config!$A$10:$A$13,"&lt;="&amp;J148)=0,"Aguardar: ainda não chegou ao primeiro passo da régua.",INDEX(Config!$B$10:$B$13,COUNTIF(Config!$A$10:$A$13,"&lt;="&amp;J148))))</f>
        <v/>
      </c>
      <c r="N148" s="39">
        <f>IF(I148="Vencida",F148*J148+ROW()/100000,0)</f>
        <v>0</v>
      </c>
      <c r="O148" s="39">
        <f>IF(AND(I148="A vencer",K148&lt;=Config!$B$7),100000-K148-ROW()/100000,0)</f>
        <v>0</v>
      </c>
    </row>
    <row r="149">
      <c r="A149" s="33" t="inlineStr">
        <is>
          <t>Rafael Pereira</t>
        </is>
      </c>
      <c r="B149" s="33" t="inlineStr">
        <is>
          <t>Avaliação endócrina</t>
        </is>
      </c>
      <c r="C149" s="37" t="n">
        <v>46231</v>
      </c>
      <c r="D149" s="35" t="n">
        <v>2</v>
      </c>
      <c r="E149" s="37" t="n">
        <v>46291</v>
      </c>
      <c r="F149" s="38" t="n">
        <v>200</v>
      </c>
      <c r="G149" s="35" t="inlineStr">
        <is>
          <t>Não</t>
        </is>
      </c>
      <c r="H149" s="37" t="n"/>
      <c r="I149" s="24" t="str">
        <f>IF(A149="","",IF(G149="Sim","Paga",IF(E149="","Sem vencimento",IF(E149&lt;Config!$B$5,"Vencida","A vencer"))))</f>
        <v>A vencer</v>
      </c>
      <c r="J149" s="30">
        <f>IF(I149="Vencida",Config!$B$5-E149,"")</f>
        <v/>
      </c>
      <c r="K149" s="30">
        <f>IF(I149="A vencer",E149-Config!$B$5,"")</f>
        <v>12</v>
      </c>
      <c r="L149" s="24">
        <f>IF(I149&lt;&gt;"Vencida","",IF(COUNTIF(Config!$A$10:$A$13,"&lt;="&amp;J149)=0,"Antes da régua",INDEX(Config!$C$10:$C$13,COUNTIF(Config!$A$10:$A$13,"&lt;="&amp;J149))))</f>
        <v/>
      </c>
      <c r="M149" s="23">
        <f>IF(I149&lt;&gt;"Vencida","",IF(COUNTIF(Config!$A$10:$A$13,"&lt;="&amp;J149)=0,"Aguardar: ainda não chegou ao primeiro passo da régua.",INDEX(Config!$B$10:$B$13,COUNTIF(Config!$A$10:$A$13,"&lt;="&amp;J149))))</f>
        <v/>
      </c>
      <c r="N149" s="39">
        <f>IF(I149="Vencida",F149*J149+ROW()/100000,0)</f>
        <v>0</v>
      </c>
      <c r="O149" s="39">
        <f>IF(AND(I149="A vencer",K149&lt;=Config!$B$7),100000-K149-ROW()/100000,0)</f>
        <v>99987.99851</v>
      </c>
    </row>
    <row r="150">
      <c r="A150" s="33" t="inlineStr">
        <is>
          <t>Larissa Costa</t>
        </is>
      </c>
      <c r="B150" s="33" t="inlineStr">
        <is>
          <t>Consulta</t>
        </is>
      </c>
      <c r="C150" s="37" t="n">
        <v>46237</v>
      </c>
      <c r="D150" s="35" t="n">
        <v>1</v>
      </c>
      <c r="E150" s="37" t="n">
        <v>46267</v>
      </c>
      <c r="F150" s="38" t="n">
        <v>380</v>
      </c>
      <c r="G150" s="35" t="inlineStr">
        <is>
          <t>Sim</t>
        </is>
      </c>
      <c r="H150" s="37" t="n">
        <v>46267</v>
      </c>
      <c r="I150" s="24" t="str">
        <f>IF(A150="","",IF(G150="Sim","Paga",IF(E150="","Sem vencimento",IF(E150&lt;Config!$B$5,"Vencida","A vencer"))))</f>
        <v>Paga</v>
      </c>
      <c r="J150" s="30">
        <f>IF(I150="Vencida",Config!$B$5-E150,"")</f>
        <v/>
      </c>
      <c r="K150" s="30">
        <f>IF(I150="A vencer",E150-Config!$B$5,"")</f>
        <v/>
      </c>
      <c r="L150" s="24">
        <f>IF(I150&lt;&gt;"Vencida","",IF(COUNTIF(Config!$A$10:$A$13,"&lt;="&amp;J150)=0,"Antes da régua",INDEX(Config!$C$10:$C$13,COUNTIF(Config!$A$10:$A$13,"&lt;="&amp;J150))))</f>
        <v/>
      </c>
      <c r="M150" s="23">
        <f>IF(I150&lt;&gt;"Vencida","",IF(COUNTIF(Config!$A$10:$A$13,"&lt;="&amp;J150)=0,"Aguardar: ainda não chegou ao primeiro passo da régua.",INDEX(Config!$B$10:$B$13,COUNTIF(Config!$A$10:$A$13,"&lt;="&amp;J150))))</f>
        <v/>
      </c>
      <c r="N150" s="39">
        <f>IF(I150="Vencida",F150*J150+ROW()/100000,0)</f>
        <v>0</v>
      </c>
      <c r="O150" s="39">
        <f>IF(AND(I150="A vencer",K150&lt;=Config!$B$7),100000-K150-ROW()/100000,0)</f>
        <v>0</v>
      </c>
    </row>
    <row r="151">
      <c r="A151" s="33" t="inlineStr">
        <is>
          <t>Isabela Xavier</t>
        </is>
      </c>
      <c r="B151" s="33" t="inlineStr">
        <is>
          <t>Avaliação endócrina</t>
        </is>
      </c>
      <c r="C151" s="37" t="n">
        <v>46238</v>
      </c>
      <c r="D151" s="35" t="n">
        <v>1</v>
      </c>
      <c r="E151" s="37" t="n">
        <v>46268</v>
      </c>
      <c r="F151" s="38" t="n">
        <v>400</v>
      </c>
      <c r="G151" s="35" t="inlineStr">
        <is>
          <t>Sim</t>
        </is>
      </c>
      <c r="H151" s="37" t="n">
        <v>46269</v>
      </c>
      <c r="I151" s="24" t="str">
        <f>IF(A151="","",IF(G151="Sim","Paga",IF(E151="","Sem vencimento",IF(E151&lt;Config!$B$5,"Vencida","A vencer"))))</f>
        <v>Paga</v>
      </c>
      <c r="J151" s="30">
        <f>IF(I151="Vencida",Config!$B$5-E151,"")</f>
        <v/>
      </c>
      <c r="K151" s="30">
        <f>IF(I151="A vencer",E151-Config!$B$5,"")</f>
        <v/>
      </c>
      <c r="L151" s="24">
        <f>IF(I151&lt;&gt;"Vencida","",IF(COUNTIF(Config!$A$10:$A$13,"&lt;="&amp;J151)=0,"Antes da régua",INDEX(Config!$C$10:$C$13,COUNTIF(Config!$A$10:$A$13,"&lt;="&amp;J151))))</f>
        <v/>
      </c>
      <c r="M151" s="23">
        <f>IF(I151&lt;&gt;"Vencida","",IF(COUNTIF(Config!$A$10:$A$13,"&lt;="&amp;J151)=0,"Aguardar: ainda não chegou ao primeiro passo da régua.",INDEX(Config!$B$10:$B$13,COUNTIF(Config!$A$10:$A$13,"&lt;="&amp;J151))))</f>
        <v/>
      </c>
      <c r="N151" s="39">
        <f>IF(I151="Vencida",F151*J151+ROW()/100000,0)</f>
        <v>0</v>
      </c>
      <c r="O151" s="39">
        <f>IF(AND(I151="A vencer",K151&lt;=Config!$B$7),100000-K151-ROW()/100000,0)</f>
        <v>0</v>
      </c>
    </row>
    <row r="152">
      <c r="A152" s="33" t="inlineStr">
        <is>
          <t>Roberta Lima</t>
        </is>
      </c>
      <c r="B152" s="33" t="inlineStr">
        <is>
          <t>Avaliação endócrina</t>
        </is>
      </c>
      <c r="C152" s="37" t="n">
        <v>46240</v>
      </c>
      <c r="D152" s="35" t="n">
        <v>1</v>
      </c>
      <c r="E152" s="37" t="n">
        <v>46270</v>
      </c>
      <c r="F152" s="38" t="n">
        <v>400</v>
      </c>
      <c r="G152" s="35" t="inlineStr">
        <is>
          <t>Sim</t>
        </is>
      </c>
      <c r="H152" s="37" t="n">
        <v>46272</v>
      </c>
      <c r="I152" s="24" t="str">
        <f>IF(A152="","",IF(G152="Sim","Paga",IF(E152="","Sem vencimento",IF(E152&lt;Config!$B$5,"Vencida","A vencer"))))</f>
        <v>Paga</v>
      </c>
      <c r="J152" s="30">
        <f>IF(I152="Vencida",Config!$B$5-E152,"")</f>
        <v/>
      </c>
      <c r="K152" s="30">
        <f>IF(I152="A vencer",E152-Config!$B$5,"")</f>
        <v/>
      </c>
      <c r="L152" s="24">
        <f>IF(I152&lt;&gt;"Vencida","",IF(COUNTIF(Config!$A$10:$A$13,"&lt;="&amp;J152)=0,"Antes da régua",INDEX(Config!$C$10:$C$13,COUNTIF(Config!$A$10:$A$13,"&lt;="&amp;J152))))</f>
        <v/>
      </c>
      <c r="M152" s="23">
        <f>IF(I152&lt;&gt;"Vencida","",IF(COUNTIF(Config!$A$10:$A$13,"&lt;="&amp;J152)=0,"Aguardar: ainda não chegou ao primeiro passo da régua.",INDEX(Config!$B$10:$B$13,COUNTIF(Config!$A$10:$A$13,"&lt;="&amp;J152))))</f>
        <v/>
      </c>
      <c r="N152" s="39">
        <f>IF(I152="Vencida",F152*J152+ROW()/100000,0)</f>
        <v>0</v>
      </c>
      <c r="O152" s="39">
        <f>IF(AND(I152="A vencer",K152&lt;=Config!$B$7),100000-K152-ROW()/100000,0)</f>
        <v>0</v>
      </c>
    </row>
    <row r="153">
      <c r="A153" s="33" t="inlineStr">
        <is>
          <t>Sérgio Martins</t>
        </is>
      </c>
      <c r="B153" s="33" t="inlineStr">
        <is>
          <t>Consulta</t>
        </is>
      </c>
      <c r="C153" s="37" t="n">
        <v>46244</v>
      </c>
      <c r="D153" s="35" t="n">
        <v>1</v>
      </c>
      <c r="E153" s="37" t="n">
        <v>46274</v>
      </c>
      <c r="F153" s="38" t="n">
        <v>190</v>
      </c>
      <c r="G153" s="35" t="inlineStr">
        <is>
          <t>Sim</t>
        </is>
      </c>
      <c r="H153" s="37" t="n">
        <v>46274</v>
      </c>
      <c r="I153" s="24" t="str">
        <f>IF(A153="","",IF(G153="Sim","Paga",IF(E153="","Sem vencimento",IF(E153&lt;Config!$B$5,"Vencida","A vencer"))))</f>
        <v>Paga</v>
      </c>
      <c r="J153" s="30">
        <f>IF(I153="Vencida",Config!$B$5-E153,"")</f>
        <v/>
      </c>
      <c r="K153" s="30">
        <f>IF(I153="A vencer",E153-Config!$B$5,"")</f>
        <v/>
      </c>
      <c r="L153" s="24">
        <f>IF(I153&lt;&gt;"Vencida","",IF(COUNTIF(Config!$A$10:$A$13,"&lt;="&amp;J153)=0,"Antes da régua",INDEX(Config!$C$10:$C$13,COUNTIF(Config!$A$10:$A$13,"&lt;="&amp;J153))))</f>
        <v/>
      </c>
      <c r="M153" s="23">
        <f>IF(I153&lt;&gt;"Vencida","",IF(COUNTIF(Config!$A$10:$A$13,"&lt;="&amp;J153)=0,"Aguardar: ainda não chegou ao primeiro passo da régua.",INDEX(Config!$B$10:$B$13,COUNTIF(Config!$A$10:$A$13,"&lt;="&amp;J153))))</f>
        <v/>
      </c>
      <c r="N153" s="39">
        <f>IF(I153="Vencida",F153*J153+ROW()/100000,0)</f>
        <v>0</v>
      </c>
      <c r="O153" s="39">
        <f>IF(AND(I153="A vencer",K153&lt;=Config!$B$7),100000-K153-ROW()/100000,0)</f>
        <v>0</v>
      </c>
    </row>
    <row r="154">
      <c r="A154" s="33" t="inlineStr">
        <is>
          <t>Sérgio Martins</t>
        </is>
      </c>
      <c r="B154" s="33" t="inlineStr">
        <is>
          <t>Consulta</t>
        </is>
      </c>
      <c r="C154" s="37" t="n">
        <v>46244</v>
      </c>
      <c r="D154" s="35" t="n">
        <v>2</v>
      </c>
      <c r="E154" s="37" t="n">
        <v>46304</v>
      </c>
      <c r="F154" s="38" t="n">
        <v>190</v>
      </c>
      <c r="G154" s="35" t="inlineStr">
        <is>
          <t>Não</t>
        </is>
      </c>
      <c r="H154" s="37" t="n"/>
      <c r="I154" s="24" t="str">
        <f>IF(A154="","",IF(G154="Sim","Paga",IF(E154="","Sem vencimento",IF(E154&lt;Config!$B$5,"Vencida","A vencer"))))</f>
        <v>A vencer</v>
      </c>
      <c r="J154" s="30">
        <f>IF(I154="Vencida",Config!$B$5-E154,"")</f>
        <v/>
      </c>
      <c r="K154" s="30">
        <f>IF(I154="A vencer",E154-Config!$B$5,"")</f>
        <v>25</v>
      </c>
      <c r="L154" s="24">
        <f>IF(I154&lt;&gt;"Vencida","",IF(COUNTIF(Config!$A$10:$A$13,"&lt;="&amp;J154)=0,"Antes da régua",INDEX(Config!$C$10:$C$13,COUNTIF(Config!$A$10:$A$13,"&lt;="&amp;J154))))</f>
        <v/>
      </c>
      <c r="M154" s="23">
        <f>IF(I154&lt;&gt;"Vencida","",IF(COUNTIF(Config!$A$10:$A$13,"&lt;="&amp;J154)=0,"Aguardar: ainda não chegou ao primeiro passo da régua.",INDEX(Config!$B$10:$B$13,COUNTIF(Config!$A$10:$A$13,"&lt;="&amp;J154))))</f>
        <v/>
      </c>
      <c r="N154" s="39">
        <f>IF(I154="Vencida",F154*J154+ROW()/100000,0)</f>
        <v>0</v>
      </c>
      <c r="O154" s="39">
        <f>IF(AND(I154="A vencer",K154&lt;=Config!$B$7),100000-K154-ROW()/100000,0)</f>
        <v>99974.99846</v>
      </c>
    </row>
    <row r="155">
      <c r="A155" s="33" t="inlineStr">
        <is>
          <t>Fábio Gomes</t>
        </is>
      </c>
      <c r="B155" s="33" t="inlineStr">
        <is>
          <t>Avaliação endócrina</t>
        </is>
      </c>
      <c r="C155" s="37" t="n">
        <v>46245</v>
      </c>
      <c r="D155" s="35" t="n">
        <v>1</v>
      </c>
      <c r="E155" s="37" t="n">
        <v>46275</v>
      </c>
      <c r="F155" s="38" t="n">
        <v>200</v>
      </c>
      <c r="G155" s="35" t="inlineStr">
        <is>
          <t>Sim</t>
        </is>
      </c>
      <c r="H155" s="37" t="n">
        <v>46276</v>
      </c>
      <c r="I155" s="24" t="str">
        <f>IF(A155="","",IF(G155="Sim","Paga",IF(E155="","Sem vencimento",IF(E155&lt;Config!$B$5,"Vencida","A vencer"))))</f>
        <v>Paga</v>
      </c>
      <c r="J155" s="30">
        <f>IF(I155="Vencida",Config!$B$5-E155,"")</f>
        <v/>
      </c>
      <c r="K155" s="30">
        <f>IF(I155="A vencer",E155-Config!$B$5,"")</f>
        <v/>
      </c>
      <c r="L155" s="24">
        <f>IF(I155&lt;&gt;"Vencida","",IF(COUNTIF(Config!$A$10:$A$13,"&lt;="&amp;J155)=0,"Antes da régua",INDEX(Config!$C$10:$C$13,COUNTIF(Config!$A$10:$A$13,"&lt;="&amp;J155))))</f>
        <v/>
      </c>
      <c r="M155" s="23">
        <f>IF(I155&lt;&gt;"Vencida","",IF(COUNTIF(Config!$A$10:$A$13,"&lt;="&amp;J155)=0,"Aguardar: ainda não chegou ao primeiro passo da régua.",INDEX(Config!$B$10:$B$13,COUNTIF(Config!$A$10:$A$13,"&lt;="&amp;J155))))</f>
        <v/>
      </c>
      <c r="N155" s="39">
        <f>IF(I155="Vencida",F155*J155+ROW()/100000,0)</f>
        <v>0</v>
      </c>
      <c r="O155" s="39">
        <f>IF(AND(I155="A vencer",K155&lt;=Config!$B$7),100000-K155-ROW()/100000,0)</f>
        <v>0</v>
      </c>
    </row>
    <row r="156">
      <c r="A156" s="33" t="inlineStr">
        <is>
          <t>Fábio Gomes</t>
        </is>
      </c>
      <c r="B156" s="33" t="inlineStr">
        <is>
          <t>Avaliação endócrina</t>
        </is>
      </c>
      <c r="C156" s="37" t="n">
        <v>46245</v>
      </c>
      <c r="D156" s="35" t="n">
        <v>2</v>
      </c>
      <c r="E156" s="37" t="n">
        <v>46305</v>
      </c>
      <c r="F156" s="38" t="n">
        <v>200</v>
      </c>
      <c r="G156" s="35" t="inlineStr">
        <is>
          <t>Não</t>
        </is>
      </c>
      <c r="H156" s="37" t="n"/>
      <c r="I156" s="24" t="str">
        <f>IF(A156="","",IF(G156="Sim","Paga",IF(E156="","Sem vencimento",IF(E156&lt;Config!$B$5,"Vencida","A vencer"))))</f>
        <v>A vencer</v>
      </c>
      <c r="J156" s="30">
        <f>IF(I156="Vencida",Config!$B$5-E156,"")</f>
        <v/>
      </c>
      <c r="K156" s="30">
        <f>IF(I156="A vencer",E156-Config!$B$5,"")</f>
        <v>26</v>
      </c>
      <c r="L156" s="24">
        <f>IF(I156&lt;&gt;"Vencida","",IF(COUNTIF(Config!$A$10:$A$13,"&lt;="&amp;J156)=0,"Antes da régua",INDEX(Config!$C$10:$C$13,COUNTIF(Config!$A$10:$A$13,"&lt;="&amp;J156))))</f>
        <v/>
      </c>
      <c r="M156" s="23">
        <f>IF(I156&lt;&gt;"Vencida","",IF(COUNTIF(Config!$A$10:$A$13,"&lt;="&amp;J156)=0,"Aguardar: ainda não chegou ao primeiro passo da régua.",INDEX(Config!$B$10:$B$13,COUNTIF(Config!$A$10:$A$13,"&lt;="&amp;J156))))</f>
        <v/>
      </c>
      <c r="N156" s="39">
        <f>IF(I156="Vencida",F156*J156+ROW()/100000,0)</f>
        <v>0</v>
      </c>
      <c r="O156" s="39">
        <f>IF(AND(I156="A vencer",K156&lt;=Config!$B$7),100000-K156-ROW()/100000,0)</f>
        <v>99973.99844</v>
      </c>
    </row>
    <row r="157">
      <c r="A157" s="33" t="inlineStr">
        <is>
          <t>Elaine Cardoso</t>
        </is>
      </c>
      <c r="B157" s="33" t="inlineStr">
        <is>
          <t>ECG</t>
        </is>
      </c>
      <c r="C157" s="37" t="n">
        <v>46248</v>
      </c>
      <c r="D157" s="35" t="n">
        <v>1</v>
      </c>
      <c r="E157" s="37" t="n">
        <v>46278</v>
      </c>
      <c r="F157" s="38" t="n">
        <v>130</v>
      </c>
      <c r="G157" s="35" t="inlineStr">
        <is>
          <t>Não</t>
        </is>
      </c>
      <c r="H157" s="37" t="n"/>
      <c r="I157" s="24" t="str">
        <f>IF(A157="","",IF(G157="Sim","Paga",IF(E157="","Sem vencimento",IF(E157&lt;Config!$B$5,"Vencida","A vencer"))))</f>
        <v>Vencida</v>
      </c>
      <c r="J157" s="30">
        <f>IF(I157="Vencida",Config!$B$5-E157,"")</f>
        <v>1</v>
      </c>
      <c r="K157" s="30">
        <f>IF(I157="A vencer",E157-Config!$B$5,"")</f>
        <v/>
      </c>
      <c r="L157" s="24" t="str">
        <f>IF(I157&lt;&gt;"Vencida","",IF(COUNTIF(Config!$A$10:$A$13,"&lt;="&amp;J157)=0,"Antes da régua",INDEX(Config!$C$10:$C$13,COUNTIF(Config!$A$10:$A$13,"&lt;="&amp;J157))))</f>
        <v>1 a 6 dias</v>
      </c>
      <c r="M157" s="23" t="str">
        <f>IF(I157&lt;&gt;"Vencida","",IF(COUNTIF(Config!$A$10:$A$13,"&lt;="&amp;J157)=0,"Aguardar: ainda não chegou ao primeiro passo da régua.",INDEX(Config!$B$10:$B$13,COUNTIF(Config!$A$10:$A$13,"&lt;="&amp;J157))))</f>
        <v>Lembrete gentil por WhatsApp: confirmar se o Pix chegou e reenviar o link de pagamento, se preciso.</v>
      </c>
      <c r="N157" s="39">
        <f>IF(I157="Vencida",F157*J157+ROW()/100000,0)</f>
        <v>130.00157</v>
      </c>
      <c r="O157" s="39">
        <f>IF(AND(I157="A vencer",K157&lt;=Config!$B$7),100000-K157-ROW()/100000,0)</f>
        <v>0</v>
      </c>
    </row>
    <row r="158">
      <c r="A158" s="33" t="inlineStr">
        <is>
          <t>Elaine Cardoso</t>
        </is>
      </c>
      <c r="B158" s="33" t="inlineStr">
        <is>
          <t>Consulta</t>
        </is>
      </c>
      <c r="C158" s="37" t="n">
        <v>46251</v>
      </c>
      <c r="D158" s="35" t="n">
        <v>1</v>
      </c>
      <c r="E158" s="37" t="n">
        <v>46281</v>
      </c>
      <c r="F158" s="38" t="n">
        <v>190</v>
      </c>
      <c r="G158" s="35" t="inlineStr">
        <is>
          <t>Não</t>
        </is>
      </c>
      <c r="H158" s="37" t="n"/>
      <c r="I158" s="24" t="str">
        <f>IF(A158="","",IF(G158="Sim","Paga",IF(E158="","Sem vencimento",IF(E158&lt;Config!$B$5,"Vencida","A vencer"))))</f>
        <v>A vencer</v>
      </c>
      <c r="J158" s="30">
        <f>IF(I158="Vencida",Config!$B$5-E158,"")</f>
        <v/>
      </c>
      <c r="K158" s="30">
        <f>IF(I158="A vencer",E158-Config!$B$5,"")</f>
        <v>2</v>
      </c>
      <c r="L158" s="24">
        <f>IF(I158&lt;&gt;"Vencida","",IF(COUNTIF(Config!$A$10:$A$13,"&lt;="&amp;J158)=0,"Antes da régua",INDEX(Config!$C$10:$C$13,COUNTIF(Config!$A$10:$A$13,"&lt;="&amp;J158))))</f>
        <v/>
      </c>
      <c r="M158" s="23">
        <f>IF(I158&lt;&gt;"Vencida","",IF(COUNTIF(Config!$A$10:$A$13,"&lt;="&amp;J158)=0,"Aguardar: ainda não chegou ao primeiro passo da régua.",INDEX(Config!$B$10:$B$13,COUNTIF(Config!$A$10:$A$13,"&lt;="&amp;J158))))</f>
        <v/>
      </c>
      <c r="N158" s="39">
        <f>IF(I158="Vencida",F158*J158+ROW()/100000,0)</f>
        <v>0</v>
      </c>
      <c r="O158" s="39">
        <f>IF(AND(I158="A vencer",K158&lt;=Config!$B$7),100000-K158-ROW()/100000,0)</f>
        <v>99997.99842</v>
      </c>
    </row>
    <row r="159">
      <c r="A159" s="33" t="inlineStr">
        <is>
          <t>Elaine Cardoso</t>
        </is>
      </c>
      <c r="B159" s="33" t="inlineStr">
        <is>
          <t>Consulta</t>
        </is>
      </c>
      <c r="C159" s="37" t="n">
        <v>46251</v>
      </c>
      <c r="D159" s="35" t="n">
        <v>2</v>
      </c>
      <c r="E159" s="37" t="n">
        <v>46311</v>
      </c>
      <c r="F159" s="38" t="n">
        <v>190</v>
      </c>
      <c r="G159" s="35" t="inlineStr">
        <is>
          <t>Não</t>
        </is>
      </c>
      <c r="H159" s="37" t="n"/>
      <c r="I159" s="24" t="str">
        <f>IF(A159="","",IF(G159="Sim","Paga",IF(E159="","Sem vencimento",IF(E159&lt;Config!$B$5,"Vencida","A vencer"))))</f>
        <v>A vencer</v>
      </c>
      <c r="J159" s="30">
        <f>IF(I159="Vencida",Config!$B$5-E159,"")</f>
        <v/>
      </c>
      <c r="K159" s="30">
        <f>IF(I159="A vencer",E159-Config!$B$5,"")</f>
        <v>32</v>
      </c>
      <c r="L159" s="24">
        <f>IF(I159&lt;&gt;"Vencida","",IF(COUNTIF(Config!$A$10:$A$13,"&lt;="&amp;J159)=0,"Antes da régua",INDEX(Config!$C$10:$C$13,COUNTIF(Config!$A$10:$A$13,"&lt;="&amp;J159))))</f>
        <v/>
      </c>
      <c r="M159" s="23">
        <f>IF(I159&lt;&gt;"Vencida","",IF(COUNTIF(Config!$A$10:$A$13,"&lt;="&amp;J159)=0,"Aguardar: ainda não chegou ao primeiro passo da régua.",INDEX(Config!$B$10:$B$13,COUNTIF(Config!$A$10:$A$13,"&lt;="&amp;J159))))</f>
        <v/>
      </c>
      <c r="N159" s="39">
        <f>IF(I159="Vencida",F159*J159+ROW()/100000,0)</f>
        <v>0</v>
      </c>
      <c r="O159" s="39">
        <f>IF(AND(I159="A vencer",K159&lt;=Config!$B$7),100000-K159-ROW()/100000,0)</f>
        <v>0</v>
      </c>
    </row>
    <row r="160">
      <c r="A160" s="33" t="inlineStr">
        <is>
          <t>Fábio Gomes</t>
        </is>
      </c>
      <c r="B160" s="33" t="inlineStr">
        <is>
          <t>Avaliação endócrina</t>
        </is>
      </c>
      <c r="C160" s="37" t="n">
        <v>46252</v>
      </c>
      <c r="D160" s="35" t="n">
        <v>1</v>
      </c>
      <c r="E160" s="37" t="n">
        <v>46282</v>
      </c>
      <c r="F160" s="38" t="n">
        <v>400</v>
      </c>
      <c r="G160" s="35" t="inlineStr">
        <is>
          <t>Não</t>
        </is>
      </c>
      <c r="H160" s="37" t="n"/>
      <c r="I160" s="24" t="str">
        <f>IF(A160="","",IF(G160="Sim","Paga",IF(E160="","Sem vencimento",IF(E160&lt;Config!$B$5,"Vencida","A vencer"))))</f>
        <v>A vencer</v>
      </c>
      <c r="J160" s="30">
        <f>IF(I160="Vencida",Config!$B$5-E160,"")</f>
        <v/>
      </c>
      <c r="K160" s="30">
        <f>IF(I160="A vencer",E160-Config!$B$5,"")</f>
        <v>3</v>
      </c>
      <c r="L160" s="24">
        <f>IF(I160&lt;&gt;"Vencida","",IF(COUNTIF(Config!$A$10:$A$13,"&lt;="&amp;J160)=0,"Antes da régua",INDEX(Config!$C$10:$C$13,COUNTIF(Config!$A$10:$A$13,"&lt;="&amp;J160))))</f>
        <v/>
      </c>
      <c r="M160" s="23">
        <f>IF(I160&lt;&gt;"Vencida","",IF(COUNTIF(Config!$A$10:$A$13,"&lt;="&amp;J160)=0,"Aguardar: ainda não chegou ao primeiro passo da régua.",INDEX(Config!$B$10:$B$13,COUNTIF(Config!$A$10:$A$13,"&lt;="&amp;J160))))</f>
        <v/>
      </c>
      <c r="N160" s="39">
        <f>IF(I160="Vencida",F160*J160+ROW()/100000,0)</f>
        <v>0</v>
      </c>
      <c r="O160" s="39">
        <f>IF(AND(I160="A vencer",K160&lt;=Config!$B$7),100000-K160-ROW()/100000,0)</f>
        <v>99996.9984</v>
      </c>
    </row>
    <row r="161">
      <c r="A161" s="33" t="inlineStr">
        <is>
          <t>Eduardo Lima</t>
        </is>
      </c>
      <c r="B161" s="33" t="inlineStr">
        <is>
          <t>Consulta</t>
        </is>
      </c>
      <c r="C161" s="37" t="n">
        <v>46254</v>
      </c>
      <c r="D161" s="35" t="n">
        <v>1</v>
      </c>
      <c r="E161" s="37" t="n">
        <v>46284</v>
      </c>
      <c r="F161" s="38" t="n">
        <v>380</v>
      </c>
      <c r="G161" s="35" t="inlineStr">
        <is>
          <t>Não</t>
        </is>
      </c>
      <c r="H161" s="37" t="n"/>
      <c r="I161" s="24" t="str">
        <f>IF(A161="","",IF(G161="Sim","Paga",IF(E161="","Sem vencimento",IF(E161&lt;Config!$B$5,"Vencida","A vencer"))))</f>
        <v>A vencer</v>
      </c>
      <c r="J161" s="30">
        <f>IF(I161="Vencida",Config!$B$5-E161,"")</f>
        <v/>
      </c>
      <c r="K161" s="30">
        <f>IF(I161="A vencer",E161-Config!$B$5,"")</f>
        <v>5</v>
      </c>
      <c r="L161" s="24">
        <f>IF(I161&lt;&gt;"Vencida","",IF(COUNTIF(Config!$A$10:$A$13,"&lt;="&amp;J161)=0,"Antes da régua",INDEX(Config!$C$10:$C$13,COUNTIF(Config!$A$10:$A$13,"&lt;="&amp;J161))))</f>
        <v/>
      </c>
      <c r="M161" s="23">
        <f>IF(I161&lt;&gt;"Vencida","",IF(COUNTIF(Config!$A$10:$A$13,"&lt;="&amp;J161)=0,"Aguardar: ainda não chegou ao primeiro passo da régua.",INDEX(Config!$B$10:$B$13,COUNTIF(Config!$A$10:$A$13,"&lt;="&amp;J161))))</f>
        <v/>
      </c>
      <c r="N161" s="39">
        <f>IF(I161="Vencida",F161*J161+ROW()/100000,0)</f>
        <v>0</v>
      </c>
      <c r="O161" s="39">
        <f>IF(AND(I161="A vencer",K161&lt;=Config!$B$7),100000-K161-ROW()/100000,0)</f>
        <v>99994.99839</v>
      </c>
    </row>
    <row r="162">
      <c r="A162" s="33" t="inlineStr">
        <is>
          <t>Cláudia Santos</t>
        </is>
      </c>
      <c r="B162" s="33" t="inlineStr">
        <is>
          <t>Consulta</t>
        </is>
      </c>
      <c r="C162" s="37" t="n">
        <v>46258</v>
      </c>
      <c r="D162" s="35" t="n">
        <v>1</v>
      </c>
      <c r="E162" s="37" t="n">
        <v>46288</v>
      </c>
      <c r="F162" s="38" t="n">
        <v>380</v>
      </c>
      <c r="G162" s="35" t="inlineStr">
        <is>
          <t>Não</t>
        </is>
      </c>
      <c r="H162" s="37" t="n"/>
      <c r="I162" s="24" t="str">
        <f>IF(A162="","",IF(G162="Sim","Paga",IF(E162="","Sem vencimento",IF(E162&lt;Config!$B$5,"Vencida","A vencer"))))</f>
        <v>A vencer</v>
      </c>
      <c r="J162" s="30">
        <f>IF(I162="Vencida",Config!$B$5-E162,"")</f>
        <v/>
      </c>
      <c r="K162" s="30">
        <f>IF(I162="A vencer",E162-Config!$B$5,"")</f>
        <v>9</v>
      </c>
      <c r="L162" s="24">
        <f>IF(I162&lt;&gt;"Vencida","",IF(COUNTIF(Config!$A$10:$A$13,"&lt;="&amp;J162)=0,"Antes da régua",INDEX(Config!$C$10:$C$13,COUNTIF(Config!$A$10:$A$13,"&lt;="&amp;J162))))</f>
        <v/>
      </c>
      <c r="M162" s="23">
        <f>IF(I162&lt;&gt;"Vencida","",IF(COUNTIF(Config!$A$10:$A$13,"&lt;="&amp;J162)=0,"Aguardar: ainda não chegou ao primeiro passo da régua.",INDEX(Config!$B$10:$B$13,COUNTIF(Config!$A$10:$A$13,"&lt;="&amp;J162))))</f>
        <v/>
      </c>
      <c r="N162" s="39">
        <f>IF(I162="Vencida",F162*J162+ROW()/100000,0)</f>
        <v>0</v>
      </c>
      <c r="O162" s="39">
        <f>IF(AND(I162="A vencer",K162&lt;=Config!$B$7),100000-K162-ROW()/100000,0)</f>
        <v>99990.99838</v>
      </c>
    </row>
    <row r="163">
      <c r="A163" s="33" t="inlineStr">
        <is>
          <t>Sérgio Martins</t>
        </is>
      </c>
      <c r="B163" s="33" t="inlineStr">
        <is>
          <t>Consulta</t>
        </is>
      </c>
      <c r="C163" s="37" t="n">
        <v>46260</v>
      </c>
      <c r="D163" s="35" t="n">
        <v>1</v>
      </c>
      <c r="E163" s="37" t="n">
        <v>46290</v>
      </c>
      <c r="F163" s="38" t="n">
        <v>380</v>
      </c>
      <c r="G163" s="35" t="inlineStr">
        <is>
          <t>Não</t>
        </is>
      </c>
      <c r="H163" s="37" t="n"/>
      <c r="I163" s="24" t="str">
        <f>IF(A163="","",IF(G163="Sim","Paga",IF(E163="","Sem vencimento",IF(E163&lt;Config!$B$5,"Vencida","A vencer"))))</f>
        <v>A vencer</v>
      </c>
      <c r="J163" s="30">
        <f>IF(I163="Vencida",Config!$B$5-E163,"")</f>
        <v/>
      </c>
      <c r="K163" s="30">
        <f>IF(I163="A vencer",E163-Config!$B$5,"")</f>
        <v>11</v>
      </c>
      <c r="L163" s="24">
        <f>IF(I163&lt;&gt;"Vencida","",IF(COUNTIF(Config!$A$10:$A$13,"&lt;="&amp;J163)=0,"Antes da régua",INDEX(Config!$C$10:$C$13,COUNTIF(Config!$A$10:$A$13,"&lt;="&amp;J163))))</f>
        <v/>
      </c>
      <c r="M163" s="23">
        <f>IF(I163&lt;&gt;"Vencida","",IF(COUNTIF(Config!$A$10:$A$13,"&lt;="&amp;J163)=0,"Aguardar: ainda não chegou ao primeiro passo da régua.",INDEX(Config!$B$10:$B$13,COUNTIF(Config!$A$10:$A$13,"&lt;="&amp;J163))))</f>
        <v/>
      </c>
      <c r="N163" s="39">
        <f>IF(I163="Vencida",F163*J163+ROW()/100000,0)</f>
        <v>0</v>
      </c>
      <c r="O163" s="39">
        <f>IF(AND(I163="A vencer",K163&lt;=Config!$B$7),100000-K163-ROW()/100000,0)</f>
        <v>99988.99837</v>
      </c>
    </row>
    <row r="164">
      <c r="A164" s="33" t="inlineStr">
        <is>
          <t>Gisele Ribeiro</t>
        </is>
      </c>
      <c r="B164" s="33" t="inlineStr">
        <is>
          <t>Consulta</t>
        </is>
      </c>
      <c r="C164" s="37" t="n">
        <v>46261</v>
      </c>
      <c r="D164" s="35" t="n">
        <v>1</v>
      </c>
      <c r="E164" s="37" t="n">
        <v>46291</v>
      </c>
      <c r="F164" s="38" t="n">
        <v>190</v>
      </c>
      <c r="G164" s="35" t="inlineStr">
        <is>
          <t>Não</t>
        </is>
      </c>
      <c r="H164" s="37" t="n"/>
      <c r="I164" s="24" t="str">
        <f>IF(A164="","",IF(G164="Sim","Paga",IF(E164="","Sem vencimento",IF(E164&lt;Config!$B$5,"Vencida","A vencer"))))</f>
        <v>A vencer</v>
      </c>
      <c r="J164" s="30">
        <f>IF(I164="Vencida",Config!$B$5-E164,"")</f>
        <v/>
      </c>
      <c r="K164" s="30">
        <f>IF(I164="A vencer",E164-Config!$B$5,"")</f>
        <v>12</v>
      </c>
      <c r="L164" s="24">
        <f>IF(I164&lt;&gt;"Vencida","",IF(COUNTIF(Config!$A$10:$A$13,"&lt;="&amp;J164)=0,"Antes da régua",INDEX(Config!$C$10:$C$13,COUNTIF(Config!$A$10:$A$13,"&lt;="&amp;J164))))</f>
        <v/>
      </c>
      <c r="M164" s="23">
        <f>IF(I164&lt;&gt;"Vencida","",IF(COUNTIF(Config!$A$10:$A$13,"&lt;="&amp;J164)=0,"Aguardar: ainda não chegou ao primeiro passo da régua.",INDEX(Config!$B$10:$B$13,COUNTIF(Config!$A$10:$A$13,"&lt;="&amp;J164))))</f>
        <v/>
      </c>
      <c r="N164" s="39">
        <f>IF(I164="Vencida",F164*J164+ROW()/100000,0)</f>
        <v>0</v>
      </c>
      <c r="O164" s="39">
        <f>IF(AND(I164="A vencer",K164&lt;=Config!$B$7),100000-K164-ROW()/100000,0)</f>
        <v>99987.99836</v>
      </c>
    </row>
    <row r="165">
      <c r="A165" s="33" t="inlineStr">
        <is>
          <t>Gisele Ribeiro</t>
        </is>
      </c>
      <c r="B165" s="33" t="inlineStr">
        <is>
          <t>Consulta</t>
        </is>
      </c>
      <c r="C165" s="37" t="n">
        <v>46261</v>
      </c>
      <c r="D165" s="35" t="n">
        <v>2</v>
      </c>
      <c r="E165" s="37" t="n">
        <v>46321</v>
      </c>
      <c r="F165" s="38" t="n">
        <v>190</v>
      </c>
      <c r="G165" s="35" t="inlineStr">
        <is>
          <t>Não</t>
        </is>
      </c>
      <c r="H165" s="37" t="n"/>
      <c r="I165" s="24" t="str">
        <f>IF(A165="","",IF(G165="Sim","Paga",IF(E165="","Sem vencimento",IF(E165&lt;Config!$B$5,"Vencida","A vencer"))))</f>
        <v>A vencer</v>
      </c>
      <c r="J165" s="30">
        <f>IF(I165="Vencida",Config!$B$5-E165,"")</f>
        <v/>
      </c>
      <c r="K165" s="30">
        <f>IF(I165="A vencer",E165-Config!$B$5,"")</f>
        <v>42</v>
      </c>
      <c r="L165" s="24">
        <f>IF(I165&lt;&gt;"Vencida","",IF(COUNTIF(Config!$A$10:$A$13,"&lt;="&amp;J165)=0,"Antes da régua",INDEX(Config!$C$10:$C$13,COUNTIF(Config!$A$10:$A$13,"&lt;="&amp;J165))))</f>
        <v/>
      </c>
      <c r="M165" s="23">
        <f>IF(I165&lt;&gt;"Vencida","",IF(COUNTIF(Config!$A$10:$A$13,"&lt;="&amp;J165)=0,"Aguardar: ainda não chegou ao primeiro passo da régua.",INDEX(Config!$B$10:$B$13,COUNTIF(Config!$A$10:$A$13,"&lt;="&amp;J165))))</f>
        <v/>
      </c>
      <c r="N165" s="39">
        <f>IF(I165="Vencida",F165*J165+ROW()/100000,0)</f>
        <v>0</v>
      </c>
      <c r="O165" s="39">
        <f>IF(AND(I165="A vencer",K165&lt;=Config!$B$7),100000-K165-ROW()/100000,0)</f>
        <v>0</v>
      </c>
    </row>
    <row r="166">
      <c r="A166" s="33" t="inlineStr">
        <is>
          <t>Mariana Reis</t>
        </is>
      </c>
      <c r="B166" s="33" t="inlineStr">
        <is>
          <t>Avaliação endócrina</t>
        </is>
      </c>
      <c r="C166" s="37" t="n">
        <v>46261</v>
      </c>
      <c r="D166" s="35" t="n">
        <v>1</v>
      </c>
      <c r="E166" s="37" t="n">
        <v>46291</v>
      </c>
      <c r="F166" s="38" t="n">
        <v>200</v>
      </c>
      <c r="G166" s="35" t="inlineStr">
        <is>
          <t>Não</t>
        </is>
      </c>
      <c r="H166" s="37" t="n"/>
      <c r="I166" s="24" t="str">
        <f>IF(A166="","",IF(G166="Sim","Paga",IF(E166="","Sem vencimento",IF(E166&lt;Config!$B$5,"Vencida","A vencer"))))</f>
        <v>A vencer</v>
      </c>
      <c r="J166" s="30">
        <f>IF(I166="Vencida",Config!$B$5-E166,"")</f>
        <v/>
      </c>
      <c r="K166" s="30">
        <f>IF(I166="A vencer",E166-Config!$B$5,"")</f>
        <v>12</v>
      </c>
      <c r="L166" s="24">
        <f>IF(I166&lt;&gt;"Vencida","",IF(COUNTIF(Config!$A$10:$A$13,"&lt;="&amp;J166)=0,"Antes da régua",INDEX(Config!$C$10:$C$13,COUNTIF(Config!$A$10:$A$13,"&lt;="&amp;J166))))</f>
        <v/>
      </c>
      <c r="M166" s="23">
        <f>IF(I166&lt;&gt;"Vencida","",IF(COUNTIF(Config!$A$10:$A$13,"&lt;="&amp;J166)=0,"Aguardar: ainda não chegou ao primeiro passo da régua.",INDEX(Config!$B$10:$B$13,COUNTIF(Config!$A$10:$A$13,"&lt;="&amp;J166))))</f>
        <v/>
      </c>
      <c r="N166" s="39">
        <f>IF(I166="Vencida",F166*J166+ROW()/100000,0)</f>
        <v>0</v>
      </c>
      <c r="O166" s="39">
        <f>IF(AND(I166="A vencer",K166&lt;=Config!$B$7),100000-K166-ROW()/100000,0)</f>
        <v>99987.99834</v>
      </c>
    </row>
    <row r="167">
      <c r="A167" s="33" t="inlineStr">
        <is>
          <t>Mariana Reis</t>
        </is>
      </c>
      <c r="B167" s="33" t="inlineStr">
        <is>
          <t>Avaliação endócrina</t>
        </is>
      </c>
      <c r="C167" s="37" t="n">
        <v>46261</v>
      </c>
      <c r="D167" s="35" t="n">
        <v>2</v>
      </c>
      <c r="E167" s="37" t="n">
        <v>46321</v>
      </c>
      <c r="F167" s="38" t="n">
        <v>200</v>
      </c>
      <c r="G167" s="35" t="inlineStr">
        <is>
          <t>Não</t>
        </is>
      </c>
      <c r="H167" s="37" t="n"/>
      <c r="I167" s="24" t="str">
        <f>IF(A167="","",IF(G167="Sim","Paga",IF(E167="","Sem vencimento",IF(E167&lt;Config!$B$5,"Vencida","A vencer"))))</f>
        <v>A vencer</v>
      </c>
      <c r="J167" s="30">
        <f>IF(I167="Vencida",Config!$B$5-E167,"")</f>
        <v/>
      </c>
      <c r="K167" s="30">
        <f>IF(I167="A vencer",E167-Config!$B$5,"")</f>
        <v>42</v>
      </c>
      <c r="L167" s="24">
        <f>IF(I167&lt;&gt;"Vencida","",IF(COUNTIF(Config!$A$10:$A$13,"&lt;="&amp;J167)=0,"Antes da régua",INDEX(Config!$C$10:$C$13,COUNTIF(Config!$A$10:$A$13,"&lt;="&amp;J167))))</f>
        <v/>
      </c>
      <c r="M167" s="23">
        <f>IF(I167&lt;&gt;"Vencida","",IF(COUNTIF(Config!$A$10:$A$13,"&lt;="&amp;J167)=0,"Aguardar: ainda não chegou ao primeiro passo da régua.",INDEX(Config!$B$10:$B$13,COUNTIF(Config!$A$10:$A$13,"&lt;="&amp;J167))))</f>
        <v/>
      </c>
      <c r="N167" s="39">
        <f>IF(I167="Vencida",F167*J167+ROW()/100000,0)</f>
        <v>0</v>
      </c>
      <c r="O167" s="39">
        <f>IF(AND(I167="A vencer",K167&lt;=Config!$B$7),100000-K167-ROW()/100000,0)</f>
        <v>0</v>
      </c>
    </row>
    <row r="168">
      <c r="A168" s="33" t="inlineStr">
        <is>
          <t>Renato Dias</t>
        </is>
      </c>
      <c r="B168" s="33" t="inlineStr">
        <is>
          <t>Holter</t>
        </is>
      </c>
      <c r="C168" s="37" t="n">
        <v>46261</v>
      </c>
      <c r="D168" s="35" t="n">
        <v>1</v>
      </c>
      <c r="E168" s="37" t="n">
        <v>46291</v>
      </c>
      <c r="F168" s="38" t="n">
        <v>350</v>
      </c>
      <c r="G168" s="35" t="inlineStr">
        <is>
          <t>Não</t>
        </is>
      </c>
      <c r="H168" s="37" t="n"/>
      <c r="I168" s="24" t="str">
        <f>IF(A168="","",IF(G168="Sim","Paga",IF(E168="","Sem vencimento",IF(E168&lt;Config!$B$5,"Vencida","A vencer"))))</f>
        <v>A vencer</v>
      </c>
      <c r="J168" s="30">
        <f>IF(I168="Vencida",Config!$B$5-E168,"")</f>
        <v/>
      </c>
      <c r="K168" s="30">
        <f>IF(I168="A vencer",E168-Config!$B$5,"")</f>
        <v>12</v>
      </c>
      <c r="L168" s="24">
        <f>IF(I168&lt;&gt;"Vencida","",IF(COUNTIF(Config!$A$10:$A$13,"&lt;="&amp;J168)=0,"Antes da régua",INDEX(Config!$C$10:$C$13,COUNTIF(Config!$A$10:$A$13,"&lt;="&amp;J168))))</f>
        <v/>
      </c>
      <c r="M168" s="23">
        <f>IF(I168&lt;&gt;"Vencida","",IF(COUNTIF(Config!$A$10:$A$13,"&lt;="&amp;J168)=0,"Aguardar: ainda não chegou ao primeiro passo da régua.",INDEX(Config!$B$10:$B$13,COUNTIF(Config!$A$10:$A$13,"&lt;="&amp;J168))))</f>
        <v/>
      </c>
      <c r="N168" s="39">
        <f>IF(I168="Vencida",F168*J168+ROW()/100000,0)</f>
        <v>0</v>
      </c>
      <c r="O168" s="39">
        <f>IF(AND(I168="A vencer",K168&lt;=Config!$B$7),100000-K168-ROW()/100000,0)</f>
        <v>99987.99832</v>
      </c>
    </row>
    <row r="169">
      <c r="A169" s="33" t="inlineStr">
        <is>
          <t>Larissa Costa</t>
        </is>
      </c>
      <c r="B169" s="33" t="inlineStr">
        <is>
          <t>Consulta</t>
        </is>
      </c>
      <c r="C169" s="37" t="n">
        <v>46268</v>
      </c>
      <c r="D169" s="35" t="n">
        <v>1</v>
      </c>
      <c r="E169" s="37" t="n">
        <v>46298</v>
      </c>
      <c r="F169" s="38" t="n">
        <v>190</v>
      </c>
      <c r="G169" s="35" t="inlineStr">
        <is>
          <t>Não</t>
        </is>
      </c>
      <c r="H169" s="37" t="n"/>
      <c r="I169" s="24" t="str">
        <f>IF(A169="","",IF(G169="Sim","Paga",IF(E169="","Sem vencimento",IF(E169&lt;Config!$B$5,"Vencida","A vencer"))))</f>
        <v>A vencer</v>
      </c>
      <c r="J169" s="30">
        <f>IF(I169="Vencida",Config!$B$5-E169,"")</f>
        <v/>
      </c>
      <c r="K169" s="30">
        <f>IF(I169="A vencer",E169-Config!$B$5,"")</f>
        <v>19</v>
      </c>
      <c r="L169" s="24">
        <f>IF(I169&lt;&gt;"Vencida","",IF(COUNTIF(Config!$A$10:$A$13,"&lt;="&amp;J169)=0,"Antes da régua",INDEX(Config!$C$10:$C$13,COUNTIF(Config!$A$10:$A$13,"&lt;="&amp;J169))))</f>
        <v/>
      </c>
      <c r="M169" s="23">
        <f>IF(I169&lt;&gt;"Vencida","",IF(COUNTIF(Config!$A$10:$A$13,"&lt;="&amp;J169)=0,"Aguardar: ainda não chegou ao primeiro passo da régua.",INDEX(Config!$B$10:$B$13,COUNTIF(Config!$A$10:$A$13,"&lt;="&amp;J169))))</f>
        <v/>
      </c>
      <c r="N169" s="39">
        <f>IF(I169="Vencida",F169*J169+ROW()/100000,0)</f>
        <v>0</v>
      </c>
      <c r="O169" s="39">
        <f>IF(AND(I169="A vencer",K169&lt;=Config!$B$7),100000-K169-ROW()/100000,0)</f>
        <v>99980.99831</v>
      </c>
    </row>
    <row r="170">
      <c r="A170" s="33" t="inlineStr">
        <is>
          <t>Larissa Costa</t>
        </is>
      </c>
      <c r="B170" s="33" t="inlineStr">
        <is>
          <t>Consulta</t>
        </is>
      </c>
      <c r="C170" s="37" t="n">
        <v>46268</v>
      </c>
      <c r="D170" s="35" t="n">
        <v>2</v>
      </c>
      <c r="E170" s="37" t="n">
        <v>46328</v>
      </c>
      <c r="F170" s="38" t="n">
        <v>190</v>
      </c>
      <c r="G170" s="35" t="inlineStr">
        <is>
          <t>Não</t>
        </is>
      </c>
      <c r="H170" s="37" t="n"/>
      <c r="I170" s="24" t="str">
        <f>IF(A170="","",IF(G170="Sim","Paga",IF(E170="","Sem vencimento",IF(E170&lt;Config!$B$5,"Vencida","A vencer"))))</f>
        <v>A vencer</v>
      </c>
      <c r="J170" s="30">
        <f>IF(I170="Vencida",Config!$B$5-E170,"")</f>
        <v/>
      </c>
      <c r="K170" s="30">
        <f>IF(I170="A vencer",E170-Config!$B$5,"")</f>
        <v>49</v>
      </c>
      <c r="L170" s="24">
        <f>IF(I170&lt;&gt;"Vencida","",IF(COUNTIF(Config!$A$10:$A$13,"&lt;="&amp;J170)=0,"Antes da régua",INDEX(Config!$C$10:$C$13,COUNTIF(Config!$A$10:$A$13,"&lt;="&amp;J170))))</f>
        <v/>
      </c>
      <c r="M170" s="23">
        <f>IF(I170&lt;&gt;"Vencida","",IF(COUNTIF(Config!$A$10:$A$13,"&lt;="&amp;J170)=0,"Aguardar: ainda não chegou ao primeiro passo da régua.",INDEX(Config!$B$10:$B$13,COUNTIF(Config!$A$10:$A$13,"&lt;="&amp;J170))))</f>
        <v/>
      </c>
      <c r="N170" s="39">
        <f>IF(I170="Vencida",F170*J170+ROW()/100000,0)</f>
        <v>0</v>
      </c>
      <c r="O170" s="39">
        <f>IF(AND(I170="A vencer",K170&lt;=Config!$B$7),100000-K170-ROW()/100000,0)</f>
        <v>0</v>
      </c>
    </row>
    <row r="171">
      <c r="A171" s="33" t="inlineStr">
        <is>
          <t>Fernanda Freitas</t>
        </is>
      </c>
      <c r="B171" s="33" t="inlineStr">
        <is>
          <t>Teste ergométrico</t>
        </is>
      </c>
      <c r="C171" s="37" t="n">
        <v>46269</v>
      </c>
      <c r="D171" s="35" t="n">
        <v>1</v>
      </c>
      <c r="E171" s="37" t="n">
        <v>46299</v>
      </c>
      <c r="F171" s="38" t="n">
        <v>225</v>
      </c>
      <c r="G171" s="35" t="inlineStr">
        <is>
          <t>Não</t>
        </is>
      </c>
      <c r="H171" s="37" t="n"/>
      <c r="I171" s="24" t="str">
        <f>IF(A171="","",IF(G171="Sim","Paga",IF(E171="","Sem vencimento",IF(E171&lt;Config!$B$5,"Vencida","A vencer"))))</f>
        <v>A vencer</v>
      </c>
      <c r="J171" s="30">
        <f>IF(I171="Vencida",Config!$B$5-E171,"")</f>
        <v/>
      </c>
      <c r="K171" s="30">
        <f>IF(I171="A vencer",E171-Config!$B$5,"")</f>
        <v>20</v>
      </c>
      <c r="L171" s="24">
        <f>IF(I171&lt;&gt;"Vencida","",IF(COUNTIF(Config!$A$10:$A$13,"&lt;="&amp;J171)=0,"Antes da régua",INDEX(Config!$C$10:$C$13,COUNTIF(Config!$A$10:$A$13,"&lt;="&amp;J171))))</f>
        <v/>
      </c>
      <c r="M171" s="23">
        <f>IF(I171&lt;&gt;"Vencida","",IF(COUNTIF(Config!$A$10:$A$13,"&lt;="&amp;J171)=0,"Aguardar: ainda não chegou ao primeiro passo da régua.",INDEX(Config!$B$10:$B$13,COUNTIF(Config!$A$10:$A$13,"&lt;="&amp;J171))))</f>
        <v/>
      </c>
      <c r="N171" s="39">
        <f>IF(I171="Vencida",F171*J171+ROW()/100000,0)</f>
        <v>0</v>
      </c>
      <c r="O171" s="39">
        <f>IF(AND(I171="A vencer",K171&lt;=Config!$B$7),100000-K171-ROW()/100000,0)</f>
        <v>99979.99829</v>
      </c>
    </row>
    <row r="172">
      <c r="A172" s="33" t="inlineStr">
        <is>
          <t>Fernanda Freitas</t>
        </is>
      </c>
      <c r="B172" s="33" t="inlineStr">
        <is>
          <t>Teste ergométrico</t>
        </is>
      </c>
      <c r="C172" s="37" t="n">
        <v>46269</v>
      </c>
      <c r="D172" s="35" t="n">
        <v>2</v>
      </c>
      <c r="E172" s="37" t="n">
        <v>46329</v>
      </c>
      <c r="F172" s="38" t="n">
        <v>225</v>
      </c>
      <c r="G172" s="35" t="inlineStr">
        <is>
          <t>Não</t>
        </is>
      </c>
      <c r="H172" s="37" t="n"/>
      <c r="I172" s="24" t="str">
        <f>IF(A172="","",IF(G172="Sim","Paga",IF(E172="","Sem vencimento",IF(E172&lt;Config!$B$5,"Vencida","A vencer"))))</f>
        <v>A vencer</v>
      </c>
      <c r="J172" s="30">
        <f>IF(I172="Vencida",Config!$B$5-E172,"")</f>
        <v/>
      </c>
      <c r="K172" s="30">
        <f>IF(I172="A vencer",E172-Config!$B$5,"")</f>
        <v>50</v>
      </c>
      <c r="L172" s="24">
        <f>IF(I172&lt;&gt;"Vencida","",IF(COUNTIF(Config!$A$10:$A$13,"&lt;="&amp;J172)=0,"Antes da régua",INDEX(Config!$C$10:$C$13,COUNTIF(Config!$A$10:$A$13,"&lt;="&amp;J172))))</f>
        <v/>
      </c>
      <c r="M172" s="23">
        <f>IF(I172&lt;&gt;"Vencida","",IF(COUNTIF(Config!$A$10:$A$13,"&lt;="&amp;J172)=0,"Aguardar: ainda não chegou ao primeiro passo da régua.",INDEX(Config!$B$10:$B$13,COUNTIF(Config!$A$10:$A$13,"&lt;="&amp;J172))))</f>
        <v/>
      </c>
      <c r="N172" s="39">
        <f>IF(I172="Vencida",F172*J172+ROW()/100000,0)</f>
        <v>0</v>
      </c>
      <c r="O172" s="39">
        <f>IF(AND(I172="A vencer",K172&lt;=Config!$B$7),100000-K172-ROW()/100000,0)</f>
        <v>0</v>
      </c>
    </row>
    <row r="173">
      <c r="A173" s="33" t="inlineStr">
        <is>
          <t>Ana Costa</t>
        </is>
      </c>
      <c r="B173" s="33" t="inlineStr">
        <is>
          <t>Consulta</t>
        </is>
      </c>
      <c r="C173" s="37" t="n">
        <v>46274</v>
      </c>
      <c r="D173" s="35" t="n">
        <v>1</v>
      </c>
      <c r="E173" s="37" t="n">
        <v>46304</v>
      </c>
      <c r="F173" s="38" t="n">
        <v>190</v>
      </c>
      <c r="G173" s="35" t="inlineStr">
        <is>
          <t>Não</t>
        </is>
      </c>
      <c r="H173" s="37" t="n"/>
      <c r="I173" s="24" t="str">
        <f>IF(A173="","",IF(G173="Sim","Paga",IF(E173="","Sem vencimento",IF(E173&lt;Config!$B$5,"Vencida","A vencer"))))</f>
        <v>A vencer</v>
      </c>
      <c r="J173" s="30">
        <f>IF(I173="Vencida",Config!$B$5-E173,"")</f>
        <v/>
      </c>
      <c r="K173" s="30">
        <f>IF(I173="A vencer",E173-Config!$B$5,"")</f>
        <v>25</v>
      </c>
      <c r="L173" s="24">
        <f>IF(I173&lt;&gt;"Vencida","",IF(COUNTIF(Config!$A$10:$A$13,"&lt;="&amp;J173)=0,"Antes da régua",INDEX(Config!$C$10:$C$13,COUNTIF(Config!$A$10:$A$13,"&lt;="&amp;J173))))</f>
        <v/>
      </c>
      <c r="M173" s="23">
        <f>IF(I173&lt;&gt;"Vencida","",IF(COUNTIF(Config!$A$10:$A$13,"&lt;="&amp;J173)=0,"Aguardar: ainda não chegou ao primeiro passo da régua.",INDEX(Config!$B$10:$B$13,COUNTIF(Config!$A$10:$A$13,"&lt;="&amp;J173))))</f>
        <v/>
      </c>
      <c r="N173" s="39">
        <f>IF(I173="Vencida",F173*J173+ROW()/100000,0)</f>
        <v>0</v>
      </c>
      <c r="O173" s="39">
        <f>IF(AND(I173="A vencer",K173&lt;=Config!$B$7),100000-K173-ROW()/100000,0)</f>
        <v>99974.99827</v>
      </c>
    </row>
    <row r="174">
      <c r="A174" s="33" t="inlineStr">
        <is>
          <t>Ana Costa</t>
        </is>
      </c>
      <c r="B174" s="33" t="inlineStr">
        <is>
          <t>Consulta</t>
        </is>
      </c>
      <c r="C174" s="37" t="n">
        <v>46274</v>
      </c>
      <c r="D174" s="35" t="n">
        <v>2</v>
      </c>
      <c r="E174" s="37" t="n">
        <v>46334</v>
      </c>
      <c r="F174" s="38" t="n">
        <v>190</v>
      </c>
      <c r="G174" s="35" t="inlineStr">
        <is>
          <t>Não</t>
        </is>
      </c>
      <c r="H174" s="37" t="n"/>
      <c r="I174" s="24" t="str">
        <f>IF(A174="","",IF(G174="Sim","Paga",IF(E174="","Sem vencimento",IF(E174&lt;Config!$B$5,"Vencida","A vencer"))))</f>
        <v>A vencer</v>
      </c>
      <c r="J174" s="30">
        <f>IF(I174="Vencida",Config!$B$5-E174,"")</f>
        <v/>
      </c>
      <c r="K174" s="30">
        <f>IF(I174="A vencer",E174-Config!$B$5,"")</f>
        <v>55</v>
      </c>
      <c r="L174" s="24">
        <f>IF(I174&lt;&gt;"Vencida","",IF(COUNTIF(Config!$A$10:$A$13,"&lt;="&amp;J174)=0,"Antes da régua",INDEX(Config!$C$10:$C$13,COUNTIF(Config!$A$10:$A$13,"&lt;="&amp;J174))))</f>
        <v/>
      </c>
      <c r="M174" s="23">
        <f>IF(I174&lt;&gt;"Vencida","",IF(COUNTIF(Config!$A$10:$A$13,"&lt;="&amp;J174)=0,"Aguardar: ainda não chegou ao primeiro passo da régua.",INDEX(Config!$B$10:$B$13,COUNTIF(Config!$A$10:$A$13,"&lt;="&amp;J174))))</f>
        <v/>
      </c>
      <c r="N174" s="39">
        <f>IF(I174="Vencida",F174*J174+ROW()/100000,0)</f>
        <v>0</v>
      </c>
      <c r="O174" s="39">
        <f>IF(AND(I174="A vencer",K174&lt;=Config!$B$7),100000-K174-ROW()/100000,0)</f>
        <v>0</v>
      </c>
    </row>
    <row r="175">
      <c r="A175" s="33" t="inlineStr">
        <is>
          <t>Larissa Costa</t>
        </is>
      </c>
      <c r="B175" s="33" t="inlineStr">
        <is>
          <t>Consulta</t>
        </is>
      </c>
      <c r="C175" s="37" t="n">
        <v>46275</v>
      </c>
      <c r="D175" s="35" t="n">
        <v>1</v>
      </c>
      <c r="E175" s="37" t="n">
        <v>46305</v>
      </c>
      <c r="F175" s="38" t="n">
        <v>190</v>
      </c>
      <c r="G175" s="35" t="inlineStr">
        <is>
          <t>Não</t>
        </is>
      </c>
      <c r="H175" s="37" t="n"/>
      <c r="I175" s="24" t="str">
        <f>IF(A175="","",IF(G175="Sim","Paga",IF(E175="","Sem vencimento",IF(E175&lt;Config!$B$5,"Vencida","A vencer"))))</f>
        <v>A vencer</v>
      </c>
      <c r="J175" s="30">
        <f>IF(I175="Vencida",Config!$B$5-E175,"")</f>
        <v/>
      </c>
      <c r="K175" s="30">
        <f>IF(I175="A vencer",E175-Config!$B$5,"")</f>
        <v>26</v>
      </c>
      <c r="L175" s="24">
        <f>IF(I175&lt;&gt;"Vencida","",IF(COUNTIF(Config!$A$10:$A$13,"&lt;="&amp;J175)=0,"Antes da régua",INDEX(Config!$C$10:$C$13,COUNTIF(Config!$A$10:$A$13,"&lt;="&amp;J175))))</f>
        <v/>
      </c>
      <c r="M175" s="23">
        <f>IF(I175&lt;&gt;"Vencida","",IF(COUNTIF(Config!$A$10:$A$13,"&lt;="&amp;J175)=0,"Aguardar: ainda não chegou ao primeiro passo da régua.",INDEX(Config!$B$10:$B$13,COUNTIF(Config!$A$10:$A$13,"&lt;="&amp;J175))))</f>
        <v/>
      </c>
      <c r="N175" s="39">
        <f>IF(I175="Vencida",F175*J175+ROW()/100000,0)</f>
        <v>0</v>
      </c>
      <c r="O175" s="39">
        <f>IF(AND(I175="A vencer",K175&lt;=Config!$B$7),100000-K175-ROW()/100000,0)</f>
        <v>99973.99825</v>
      </c>
    </row>
    <row r="176">
      <c r="A176" s="33" t="inlineStr">
        <is>
          <t>Larissa Costa</t>
        </is>
      </c>
      <c r="B176" s="33" t="inlineStr">
        <is>
          <t>Consulta</t>
        </is>
      </c>
      <c r="C176" s="37" t="n">
        <v>46275</v>
      </c>
      <c r="D176" s="35" t="n">
        <v>2</v>
      </c>
      <c r="E176" s="37" t="n">
        <v>46335</v>
      </c>
      <c r="F176" s="38" t="n">
        <v>190</v>
      </c>
      <c r="G176" s="35" t="inlineStr">
        <is>
          <t>Não</t>
        </is>
      </c>
      <c r="H176" s="37" t="n"/>
      <c r="I176" s="24" t="str">
        <f>IF(A176="","",IF(G176="Sim","Paga",IF(E176="","Sem vencimento",IF(E176&lt;Config!$B$5,"Vencida","A vencer"))))</f>
        <v>A vencer</v>
      </c>
      <c r="J176" s="30">
        <f>IF(I176="Vencida",Config!$B$5-E176,"")</f>
        <v/>
      </c>
      <c r="K176" s="30">
        <f>IF(I176="A vencer",E176-Config!$B$5,"")</f>
        <v>56</v>
      </c>
      <c r="L176" s="24">
        <f>IF(I176&lt;&gt;"Vencida","",IF(COUNTIF(Config!$A$10:$A$13,"&lt;="&amp;J176)=0,"Antes da régua",INDEX(Config!$C$10:$C$13,COUNTIF(Config!$A$10:$A$13,"&lt;="&amp;J176))))</f>
        <v/>
      </c>
      <c r="M176" s="23">
        <f>IF(I176&lt;&gt;"Vencida","",IF(COUNTIF(Config!$A$10:$A$13,"&lt;="&amp;J176)=0,"Aguardar: ainda não chegou ao primeiro passo da régua.",INDEX(Config!$B$10:$B$13,COUNTIF(Config!$A$10:$A$13,"&lt;="&amp;J176))))</f>
        <v/>
      </c>
      <c r="N176" s="39">
        <f>IF(I176="Vencida",F176*J176+ROW()/100000,0)</f>
        <v>0</v>
      </c>
      <c r="O176" s="39">
        <f>IF(AND(I176="A vencer",K176&lt;=Config!$B$7),100000-K176-ROW()/100000,0)</f>
        <v>0</v>
      </c>
    </row>
    <row r="177">
      <c r="A177" s="33" t="inlineStr">
        <is>
          <t>Tatiana Macedo</t>
        </is>
      </c>
      <c r="B177" s="33" t="inlineStr">
        <is>
          <t>Avaliação endócrina</t>
        </is>
      </c>
      <c r="C177" s="37" t="n">
        <v>46275</v>
      </c>
      <c r="D177" s="35" t="n">
        <v>1</v>
      </c>
      <c r="E177" s="37" t="n">
        <v>46305</v>
      </c>
      <c r="F177" s="38" t="n">
        <v>400</v>
      </c>
      <c r="G177" s="35" t="inlineStr">
        <is>
          <t>Não</t>
        </is>
      </c>
      <c r="H177" s="37" t="n"/>
      <c r="I177" s="24" t="str">
        <f>IF(A177="","",IF(G177="Sim","Paga",IF(E177="","Sem vencimento",IF(E177&lt;Config!$B$5,"Vencida","A vencer"))))</f>
        <v>A vencer</v>
      </c>
      <c r="J177" s="30">
        <f>IF(I177="Vencida",Config!$B$5-E177,"")</f>
        <v/>
      </c>
      <c r="K177" s="30">
        <f>IF(I177="A vencer",E177-Config!$B$5,"")</f>
        <v>26</v>
      </c>
      <c r="L177" s="24">
        <f>IF(I177&lt;&gt;"Vencida","",IF(COUNTIF(Config!$A$10:$A$13,"&lt;="&amp;J177)=0,"Antes da régua",INDEX(Config!$C$10:$C$13,COUNTIF(Config!$A$10:$A$13,"&lt;="&amp;J177))))</f>
        <v/>
      </c>
      <c r="M177" s="23">
        <f>IF(I177&lt;&gt;"Vencida","",IF(COUNTIF(Config!$A$10:$A$13,"&lt;="&amp;J177)=0,"Aguardar: ainda não chegou ao primeiro passo da régua.",INDEX(Config!$B$10:$B$13,COUNTIF(Config!$A$10:$A$13,"&lt;="&amp;J177))))</f>
        <v/>
      </c>
      <c r="N177" s="39">
        <f>IF(I177="Vencida",F177*J177+ROW()/100000,0)</f>
        <v>0</v>
      </c>
      <c r="O177" s="39">
        <f>IF(AND(I177="A vencer",K177&lt;=Config!$B$7),100000-K177-ROW()/100000,0)</f>
        <v>99973.99823</v>
      </c>
    </row>
    <row r="178">
      <c r="A178" s="33" t="n"/>
      <c r="B178" s="33" t="n"/>
      <c r="C178" s="37" t="n"/>
      <c r="D178" s="35" t="n"/>
      <c r="E178" s="37" t="n"/>
      <c r="F178" s="38" t="n"/>
      <c r="G178" s="35" t="n"/>
      <c r="H178" s="37" t="n"/>
      <c r="I178" s="24">
        <f>IF(A178="","",IF(G178="Sim","Paga",IF(E178="","Sem vencimento",IF(E178&lt;Config!$B$5,"Vencida","A vencer"))))</f>
        <v/>
      </c>
      <c r="J178" s="30">
        <f>IF(I178="Vencida",Config!$B$5-E178,"")</f>
        <v/>
      </c>
      <c r="K178" s="30">
        <f>IF(I178="A vencer",E178-Config!$B$5,"")</f>
        <v/>
      </c>
      <c r="L178" s="24">
        <f>IF(I178&lt;&gt;"Vencida","",IF(COUNTIF(Config!$A$10:$A$13,"&lt;="&amp;J178)=0,"Antes da régua",INDEX(Config!$C$10:$C$13,COUNTIF(Config!$A$10:$A$13,"&lt;="&amp;J178))))</f>
        <v/>
      </c>
      <c r="M178" s="23">
        <f>IF(I178&lt;&gt;"Vencida","",IF(COUNTIF(Config!$A$10:$A$13,"&lt;="&amp;J178)=0,"Aguardar: ainda não chegou ao primeiro passo da régua.",INDEX(Config!$B$10:$B$13,COUNTIF(Config!$A$10:$A$13,"&lt;="&amp;J178))))</f>
        <v/>
      </c>
      <c r="N178" s="39">
        <f>IF(I178="Vencida",F178*J178+ROW()/100000,0)</f>
        <v>0</v>
      </c>
      <c r="O178" s="39">
        <f>IF(AND(I178="A vencer",K178&lt;=Config!$B$7),100000-K178-ROW()/100000,0)</f>
        <v>0</v>
      </c>
    </row>
    <row r="179">
      <c r="A179" s="33" t="n"/>
      <c r="B179" s="33" t="n"/>
      <c r="C179" s="37" t="n"/>
      <c r="D179" s="35" t="n"/>
      <c r="E179" s="37" t="n"/>
      <c r="F179" s="38" t="n"/>
      <c r="G179" s="35" t="n"/>
      <c r="H179" s="37" t="n"/>
      <c r="I179" s="24">
        <f>IF(A179="","",IF(G179="Sim","Paga",IF(E179="","Sem vencimento",IF(E179&lt;Config!$B$5,"Vencida","A vencer"))))</f>
        <v/>
      </c>
      <c r="J179" s="30">
        <f>IF(I179="Vencida",Config!$B$5-E179,"")</f>
        <v/>
      </c>
      <c r="K179" s="30">
        <f>IF(I179="A vencer",E179-Config!$B$5,"")</f>
        <v/>
      </c>
      <c r="L179" s="24">
        <f>IF(I179&lt;&gt;"Vencida","",IF(COUNTIF(Config!$A$10:$A$13,"&lt;="&amp;J179)=0,"Antes da régua",INDEX(Config!$C$10:$C$13,COUNTIF(Config!$A$10:$A$13,"&lt;="&amp;J179))))</f>
        <v/>
      </c>
      <c r="M179" s="23">
        <f>IF(I179&lt;&gt;"Vencida","",IF(COUNTIF(Config!$A$10:$A$13,"&lt;="&amp;J179)=0,"Aguardar: ainda não chegou ao primeiro passo da régua.",INDEX(Config!$B$10:$B$13,COUNTIF(Config!$A$10:$A$13,"&lt;="&amp;J179))))</f>
        <v/>
      </c>
      <c r="N179" s="39">
        <f>IF(I179="Vencida",F179*J179+ROW()/100000,0)</f>
        <v>0</v>
      </c>
      <c r="O179" s="39">
        <f>IF(AND(I179="A vencer",K179&lt;=Config!$B$7),100000-K179-ROW()/100000,0)</f>
        <v>0</v>
      </c>
    </row>
    <row r="180">
      <c r="A180" s="33" t="n"/>
      <c r="B180" s="33" t="n"/>
      <c r="C180" s="37" t="n"/>
      <c r="D180" s="35" t="n"/>
      <c r="E180" s="37" t="n"/>
      <c r="F180" s="38" t="n"/>
      <c r="G180" s="35" t="n"/>
      <c r="H180" s="37" t="n"/>
      <c r="I180" s="24">
        <f>IF(A180="","",IF(G180="Sim","Paga",IF(E180="","Sem vencimento",IF(E180&lt;Config!$B$5,"Vencida","A vencer"))))</f>
        <v/>
      </c>
      <c r="J180" s="30">
        <f>IF(I180="Vencida",Config!$B$5-E180,"")</f>
        <v/>
      </c>
      <c r="K180" s="30">
        <f>IF(I180="A vencer",E180-Config!$B$5,"")</f>
        <v/>
      </c>
      <c r="L180" s="24">
        <f>IF(I180&lt;&gt;"Vencida","",IF(COUNTIF(Config!$A$10:$A$13,"&lt;="&amp;J180)=0,"Antes da régua",INDEX(Config!$C$10:$C$13,COUNTIF(Config!$A$10:$A$13,"&lt;="&amp;J180))))</f>
        <v/>
      </c>
      <c r="M180" s="23">
        <f>IF(I180&lt;&gt;"Vencida","",IF(COUNTIF(Config!$A$10:$A$13,"&lt;="&amp;J180)=0,"Aguardar: ainda não chegou ao primeiro passo da régua.",INDEX(Config!$B$10:$B$13,COUNTIF(Config!$A$10:$A$13,"&lt;="&amp;J180))))</f>
        <v/>
      </c>
      <c r="N180" s="39">
        <f>IF(I180="Vencida",F180*J180+ROW()/100000,0)</f>
        <v>0</v>
      </c>
      <c r="O180" s="39">
        <f>IF(AND(I180="A vencer",K180&lt;=Config!$B$7),100000-K180-ROW()/100000,0)</f>
        <v>0</v>
      </c>
    </row>
    <row r="181">
      <c r="A181" s="33" t="n"/>
      <c r="B181" s="33" t="n"/>
      <c r="C181" s="37" t="n"/>
      <c r="D181" s="35" t="n"/>
      <c r="E181" s="37" t="n"/>
      <c r="F181" s="38" t="n"/>
      <c r="G181" s="35" t="n"/>
      <c r="H181" s="37" t="n"/>
      <c r="I181" s="24">
        <f>IF(A181="","",IF(G181="Sim","Paga",IF(E181="","Sem vencimento",IF(E181&lt;Config!$B$5,"Vencida","A vencer"))))</f>
        <v/>
      </c>
      <c r="J181" s="30">
        <f>IF(I181="Vencida",Config!$B$5-E181,"")</f>
        <v/>
      </c>
      <c r="K181" s="30">
        <f>IF(I181="A vencer",E181-Config!$B$5,"")</f>
        <v/>
      </c>
      <c r="L181" s="24">
        <f>IF(I181&lt;&gt;"Vencida","",IF(COUNTIF(Config!$A$10:$A$13,"&lt;="&amp;J181)=0,"Antes da régua",INDEX(Config!$C$10:$C$13,COUNTIF(Config!$A$10:$A$13,"&lt;="&amp;J181))))</f>
        <v/>
      </c>
      <c r="M181" s="23">
        <f>IF(I181&lt;&gt;"Vencida","",IF(COUNTIF(Config!$A$10:$A$13,"&lt;="&amp;J181)=0,"Aguardar: ainda não chegou ao primeiro passo da régua.",INDEX(Config!$B$10:$B$13,COUNTIF(Config!$A$10:$A$13,"&lt;="&amp;J181))))</f>
        <v/>
      </c>
      <c r="N181" s="39">
        <f>IF(I181="Vencida",F181*J181+ROW()/100000,0)</f>
        <v>0</v>
      </c>
      <c r="O181" s="39">
        <f>IF(AND(I181="A vencer",K181&lt;=Config!$B$7),100000-K181-ROW()/100000,0)</f>
        <v>0</v>
      </c>
    </row>
    <row r="182">
      <c r="A182" s="33" t="n"/>
      <c r="B182" s="33" t="n"/>
      <c r="C182" s="37" t="n"/>
      <c r="D182" s="35" t="n"/>
      <c r="E182" s="37" t="n"/>
      <c r="F182" s="38" t="n"/>
      <c r="G182" s="35" t="n"/>
      <c r="H182" s="37" t="n"/>
      <c r="I182" s="24">
        <f>IF(A182="","",IF(G182="Sim","Paga",IF(E182="","Sem vencimento",IF(E182&lt;Config!$B$5,"Vencida","A vencer"))))</f>
        <v/>
      </c>
      <c r="J182" s="30">
        <f>IF(I182="Vencida",Config!$B$5-E182,"")</f>
        <v/>
      </c>
      <c r="K182" s="30">
        <f>IF(I182="A vencer",E182-Config!$B$5,"")</f>
        <v/>
      </c>
      <c r="L182" s="24">
        <f>IF(I182&lt;&gt;"Vencida","",IF(COUNTIF(Config!$A$10:$A$13,"&lt;="&amp;J182)=0,"Antes da régua",INDEX(Config!$C$10:$C$13,COUNTIF(Config!$A$10:$A$13,"&lt;="&amp;J182))))</f>
        <v/>
      </c>
      <c r="M182" s="23">
        <f>IF(I182&lt;&gt;"Vencida","",IF(COUNTIF(Config!$A$10:$A$13,"&lt;="&amp;J182)=0,"Aguardar: ainda não chegou ao primeiro passo da régua.",INDEX(Config!$B$10:$B$13,COUNTIF(Config!$A$10:$A$13,"&lt;="&amp;J182))))</f>
        <v/>
      </c>
      <c r="N182" s="39">
        <f>IF(I182="Vencida",F182*J182+ROW()/100000,0)</f>
        <v>0</v>
      </c>
      <c r="O182" s="39">
        <f>IF(AND(I182="A vencer",K182&lt;=Config!$B$7),100000-K182-ROW()/100000,0)</f>
        <v>0</v>
      </c>
    </row>
    <row r="183">
      <c r="A183" s="33" t="n"/>
      <c r="B183" s="33" t="n"/>
      <c r="C183" s="37" t="n"/>
      <c r="D183" s="35" t="n"/>
      <c r="E183" s="37" t="n"/>
      <c r="F183" s="38" t="n"/>
      <c r="G183" s="35" t="n"/>
      <c r="H183" s="37" t="n"/>
      <c r="I183" s="24">
        <f>IF(A183="","",IF(G183="Sim","Paga",IF(E183="","Sem vencimento",IF(E183&lt;Config!$B$5,"Vencida","A vencer"))))</f>
        <v/>
      </c>
      <c r="J183" s="30">
        <f>IF(I183="Vencida",Config!$B$5-E183,"")</f>
        <v/>
      </c>
      <c r="K183" s="30">
        <f>IF(I183="A vencer",E183-Config!$B$5,"")</f>
        <v/>
      </c>
      <c r="L183" s="24">
        <f>IF(I183&lt;&gt;"Vencida","",IF(COUNTIF(Config!$A$10:$A$13,"&lt;="&amp;J183)=0,"Antes da régua",INDEX(Config!$C$10:$C$13,COUNTIF(Config!$A$10:$A$13,"&lt;="&amp;J183))))</f>
        <v/>
      </c>
      <c r="M183" s="23">
        <f>IF(I183&lt;&gt;"Vencida","",IF(COUNTIF(Config!$A$10:$A$13,"&lt;="&amp;J183)=0,"Aguardar: ainda não chegou ao primeiro passo da régua.",INDEX(Config!$B$10:$B$13,COUNTIF(Config!$A$10:$A$13,"&lt;="&amp;J183))))</f>
        <v/>
      </c>
      <c r="N183" s="39">
        <f>IF(I183="Vencida",F183*J183+ROW()/100000,0)</f>
        <v>0</v>
      </c>
      <c r="O183" s="39">
        <f>IF(AND(I183="A vencer",K183&lt;=Config!$B$7),100000-K183-ROW()/100000,0)</f>
        <v>0</v>
      </c>
    </row>
    <row r="184">
      <c r="A184" s="33" t="n"/>
      <c r="B184" s="33" t="n"/>
      <c r="C184" s="37" t="n"/>
      <c r="D184" s="35" t="n"/>
      <c r="E184" s="37" t="n"/>
      <c r="F184" s="38" t="n"/>
      <c r="G184" s="35" t="n"/>
      <c r="H184" s="37" t="n"/>
      <c r="I184" s="24">
        <f>IF(A184="","",IF(G184="Sim","Paga",IF(E184="","Sem vencimento",IF(E184&lt;Config!$B$5,"Vencida","A vencer"))))</f>
        <v/>
      </c>
      <c r="J184" s="30">
        <f>IF(I184="Vencida",Config!$B$5-E184,"")</f>
        <v/>
      </c>
      <c r="K184" s="30">
        <f>IF(I184="A vencer",E184-Config!$B$5,"")</f>
        <v/>
      </c>
      <c r="L184" s="24">
        <f>IF(I184&lt;&gt;"Vencida","",IF(COUNTIF(Config!$A$10:$A$13,"&lt;="&amp;J184)=0,"Antes da régua",INDEX(Config!$C$10:$C$13,COUNTIF(Config!$A$10:$A$13,"&lt;="&amp;J184))))</f>
        <v/>
      </c>
      <c r="M184" s="23">
        <f>IF(I184&lt;&gt;"Vencida","",IF(COUNTIF(Config!$A$10:$A$13,"&lt;="&amp;J184)=0,"Aguardar: ainda não chegou ao primeiro passo da régua.",INDEX(Config!$B$10:$B$13,COUNTIF(Config!$A$10:$A$13,"&lt;="&amp;J184))))</f>
        <v/>
      </c>
      <c r="N184" s="39">
        <f>IF(I184="Vencida",F184*J184+ROW()/100000,0)</f>
        <v>0</v>
      </c>
      <c r="O184" s="39">
        <f>IF(AND(I184="A vencer",K184&lt;=Config!$B$7),100000-K184-ROW()/100000,0)</f>
        <v>0</v>
      </c>
    </row>
    <row r="185">
      <c r="A185" s="33" t="n"/>
      <c r="B185" s="33" t="n"/>
      <c r="C185" s="37" t="n"/>
      <c r="D185" s="35" t="n"/>
      <c r="E185" s="37" t="n"/>
      <c r="F185" s="38" t="n"/>
      <c r="G185" s="35" t="n"/>
      <c r="H185" s="37" t="n"/>
      <c r="I185" s="24">
        <f>IF(A185="","",IF(G185="Sim","Paga",IF(E185="","Sem vencimento",IF(E185&lt;Config!$B$5,"Vencida","A vencer"))))</f>
        <v/>
      </c>
      <c r="J185" s="30">
        <f>IF(I185="Vencida",Config!$B$5-E185,"")</f>
        <v/>
      </c>
      <c r="K185" s="30">
        <f>IF(I185="A vencer",E185-Config!$B$5,"")</f>
        <v/>
      </c>
      <c r="L185" s="24">
        <f>IF(I185&lt;&gt;"Vencida","",IF(COUNTIF(Config!$A$10:$A$13,"&lt;="&amp;J185)=0,"Antes da régua",INDEX(Config!$C$10:$C$13,COUNTIF(Config!$A$10:$A$13,"&lt;="&amp;J185))))</f>
        <v/>
      </c>
      <c r="M185" s="23">
        <f>IF(I185&lt;&gt;"Vencida","",IF(COUNTIF(Config!$A$10:$A$13,"&lt;="&amp;J185)=0,"Aguardar: ainda não chegou ao primeiro passo da régua.",INDEX(Config!$B$10:$B$13,COUNTIF(Config!$A$10:$A$13,"&lt;="&amp;J185))))</f>
        <v/>
      </c>
      <c r="N185" s="39">
        <f>IF(I185="Vencida",F185*J185+ROW()/100000,0)</f>
        <v>0</v>
      </c>
      <c r="O185" s="39">
        <f>IF(AND(I185="A vencer",K185&lt;=Config!$B$7),100000-K185-ROW()/100000,0)</f>
        <v>0</v>
      </c>
    </row>
    <row r="186">
      <c r="A186" s="33" t="n"/>
      <c r="B186" s="33" t="n"/>
      <c r="C186" s="37" t="n"/>
      <c r="D186" s="35" t="n"/>
      <c r="E186" s="37" t="n"/>
      <c r="F186" s="38" t="n"/>
      <c r="G186" s="35" t="n"/>
      <c r="H186" s="37" t="n"/>
      <c r="I186" s="24">
        <f>IF(A186="","",IF(G186="Sim","Paga",IF(E186="","Sem vencimento",IF(E186&lt;Config!$B$5,"Vencida","A vencer"))))</f>
        <v/>
      </c>
      <c r="J186" s="30">
        <f>IF(I186="Vencida",Config!$B$5-E186,"")</f>
        <v/>
      </c>
      <c r="K186" s="30">
        <f>IF(I186="A vencer",E186-Config!$B$5,"")</f>
        <v/>
      </c>
      <c r="L186" s="24">
        <f>IF(I186&lt;&gt;"Vencida","",IF(COUNTIF(Config!$A$10:$A$13,"&lt;="&amp;J186)=0,"Antes da régua",INDEX(Config!$C$10:$C$13,COUNTIF(Config!$A$10:$A$13,"&lt;="&amp;J186))))</f>
        <v/>
      </c>
      <c r="M186" s="23">
        <f>IF(I186&lt;&gt;"Vencida","",IF(COUNTIF(Config!$A$10:$A$13,"&lt;="&amp;J186)=0,"Aguardar: ainda não chegou ao primeiro passo da régua.",INDEX(Config!$B$10:$B$13,COUNTIF(Config!$A$10:$A$13,"&lt;="&amp;J186))))</f>
        <v/>
      </c>
      <c r="N186" s="39">
        <f>IF(I186="Vencida",F186*J186+ROW()/100000,0)</f>
        <v>0</v>
      </c>
      <c r="O186" s="39">
        <f>IF(AND(I186="A vencer",K186&lt;=Config!$B$7),100000-K186-ROW()/100000,0)</f>
        <v>0</v>
      </c>
    </row>
    <row r="187">
      <c r="A187" s="33" t="n"/>
      <c r="B187" s="33" t="n"/>
      <c r="C187" s="37" t="n"/>
      <c r="D187" s="35" t="n"/>
      <c r="E187" s="37" t="n"/>
      <c r="F187" s="38" t="n"/>
      <c r="G187" s="35" t="n"/>
      <c r="H187" s="37" t="n"/>
      <c r="I187" s="24">
        <f>IF(A187="","",IF(G187="Sim","Paga",IF(E187="","Sem vencimento",IF(E187&lt;Config!$B$5,"Vencida","A vencer"))))</f>
        <v/>
      </c>
      <c r="J187" s="30">
        <f>IF(I187="Vencida",Config!$B$5-E187,"")</f>
        <v/>
      </c>
      <c r="K187" s="30">
        <f>IF(I187="A vencer",E187-Config!$B$5,"")</f>
        <v/>
      </c>
      <c r="L187" s="24">
        <f>IF(I187&lt;&gt;"Vencida","",IF(COUNTIF(Config!$A$10:$A$13,"&lt;="&amp;J187)=0,"Antes da régua",INDEX(Config!$C$10:$C$13,COUNTIF(Config!$A$10:$A$13,"&lt;="&amp;J187))))</f>
        <v/>
      </c>
      <c r="M187" s="23">
        <f>IF(I187&lt;&gt;"Vencida","",IF(COUNTIF(Config!$A$10:$A$13,"&lt;="&amp;J187)=0,"Aguardar: ainda não chegou ao primeiro passo da régua.",INDEX(Config!$B$10:$B$13,COUNTIF(Config!$A$10:$A$13,"&lt;="&amp;J187))))</f>
        <v/>
      </c>
      <c r="N187" s="39">
        <f>IF(I187="Vencida",F187*J187+ROW()/100000,0)</f>
        <v>0</v>
      </c>
      <c r="O187" s="39">
        <f>IF(AND(I187="A vencer",K187&lt;=Config!$B$7),100000-K187-ROW()/100000,0)</f>
        <v>0</v>
      </c>
    </row>
    <row r="188">
      <c r="A188" s="33" t="n"/>
      <c r="B188" s="33" t="n"/>
      <c r="C188" s="37" t="n"/>
      <c r="D188" s="35" t="n"/>
      <c r="E188" s="37" t="n"/>
      <c r="F188" s="38" t="n"/>
      <c r="G188" s="35" t="n"/>
      <c r="H188" s="37" t="n"/>
      <c r="I188" s="24">
        <f>IF(A188="","",IF(G188="Sim","Paga",IF(E188="","Sem vencimento",IF(E188&lt;Config!$B$5,"Vencida","A vencer"))))</f>
        <v/>
      </c>
      <c r="J188" s="30">
        <f>IF(I188="Vencida",Config!$B$5-E188,"")</f>
        <v/>
      </c>
      <c r="K188" s="30">
        <f>IF(I188="A vencer",E188-Config!$B$5,"")</f>
        <v/>
      </c>
      <c r="L188" s="24">
        <f>IF(I188&lt;&gt;"Vencida","",IF(COUNTIF(Config!$A$10:$A$13,"&lt;="&amp;J188)=0,"Antes da régua",INDEX(Config!$C$10:$C$13,COUNTIF(Config!$A$10:$A$13,"&lt;="&amp;J188))))</f>
        <v/>
      </c>
      <c r="M188" s="23">
        <f>IF(I188&lt;&gt;"Vencida","",IF(COUNTIF(Config!$A$10:$A$13,"&lt;="&amp;J188)=0,"Aguardar: ainda não chegou ao primeiro passo da régua.",INDEX(Config!$B$10:$B$13,COUNTIF(Config!$A$10:$A$13,"&lt;="&amp;J188))))</f>
        <v/>
      </c>
      <c r="N188" s="39">
        <f>IF(I188="Vencida",F188*J188+ROW()/100000,0)</f>
        <v>0</v>
      </c>
      <c r="O188" s="39">
        <f>IF(AND(I188="A vencer",K188&lt;=Config!$B$7),100000-K188-ROW()/100000,0)</f>
        <v>0</v>
      </c>
    </row>
    <row r="189">
      <c r="A189" s="33" t="n"/>
      <c r="B189" s="33" t="n"/>
      <c r="C189" s="37" t="n"/>
      <c r="D189" s="35" t="n"/>
      <c r="E189" s="37" t="n"/>
      <c r="F189" s="38" t="n"/>
      <c r="G189" s="35" t="n"/>
      <c r="H189" s="37" t="n"/>
      <c r="I189" s="24">
        <f>IF(A189="","",IF(G189="Sim","Paga",IF(E189="","Sem vencimento",IF(E189&lt;Config!$B$5,"Vencida","A vencer"))))</f>
        <v/>
      </c>
      <c r="J189" s="30">
        <f>IF(I189="Vencida",Config!$B$5-E189,"")</f>
        <v/>
      </c>
      <c r="K189" s="30">
        <f>IF(I189="A vencer",E189-Config!$B$5,"")</f>
        <v/>
      </c>
      <c r="L189" s="24">
        <f>IF(I189&lt;&gt;"Vencida","",IF(COUNTIF(Config!$A$10:$A$13,"&lt;="&amp;J189)=0,"Antes da régua",INDEX(Config!$C$10:$C$13,COUNTIF(Config!$A$10:$A$13,"&lt;="&amp;J189))))</f>
        <v/>
      </c>
      <c r="M189" s="23">
        <f>IF(I189&lt;&gt;"Vencida","",IF(COUNTIF(Config!$A$10:$A$13,"&lt;="&amp;J189)=0,"Aguardar: ainda não chegou ao primeiro passo da régua.",INDEX(Config!$B$10:$B$13,COUNTIF(Config!$A$10:$A$13,"&lt;="&amp;J189))))</f>
        <v/>
      </c>
      <c r="N189" s="39">
        <f>IF(I189="Vencida",F189*J189+ROW()/100000,0)</f>
        <v>0</v>
      </c>
      <c r="O189" s="39">
        <f>IF(AND(I189="A vencer",K189&lt;=Config!$B$7),100000-K189-ROW()/100000,0)</f>
        <v>0</v>
      </c>
    </row>
    <row r="190">
      <c r="A190" s="33" t="n"/>
      <c r="B190" s="33" t="n"/>
      <c r="C190" s="37" t="n"/>
      <c r="D190" s="35" t="n"/>
      <c r="E190" s="37" t="n"/>
      <c r="F190" s="38" t="n"/>
      <c r="G190" s="35" t="n"/>
      <c r="H190" s="37" t="n"/>
      <c r="I190" s="24">
        <f>IF(A190="","",IF(G190="Sim","Paga",IF(E190="","Sem vencimento",IF(E190&lt;Config!$B$5,"Vencida","A vencer"))))</f>
        <v/>
      </c>
      <c r="J190" s="30">
        <f>IF(I190="Vencida",Config!$B$5-E190,"")</f>
        <v/>
      </c>
      <c r="K190" s="30">
        <f>IF(I190="A vencer",E190-Config!$B$5,"")</f>
        <v/>
      </c>
      <c r="L190" s="24">
        <f>IF(I190&lt;&gt;"Vencida","",IF(COUNTIF(Config!$A$10:$A$13,"&lt;="&amp;J190)=0,"Antes da régua",INDEX(Config!$C$10:$C$13,COUNTIF(Config!$A$10:$A$13,"&lt;="&amp;J190))))</f>
        <v/>
      </c>
      <c r="M190" s="23">
        <f>IF(I190&lt;&gt;"Vencida","",IF(COUNTIF(Config!$A$10:$A$13,"&lt;="&amp;J190)=0,"Aguardar: ainda não chegou ao primeiro passo da régua.",INDEX(Config!$B$10:$B$13,COUNTIF(Config!$A$10:$A$13,"&lt;="&amp;J190))))</f>
        <v/>
      </c>
      <c r="N190" s="39">
        <f>IF(I190="Vencida",F190*J190+ROW()/100000,0)</f>
        <v>0</v>
      </c>
      <c r="O190" s="39">
        <f>IF(AND(I190="A vencer",K190&lt;=Config!$B$7),100000-K190-ROW()/100000,0)</f>
        <v>0</v>
      </c>
    </row>
    <row r="191">
      <c r="A191" s="33" t="n"/>
      <c r="B191" s="33" t="n"/>
      <c r="C191" s="37" t="n"/>
      <c r="D191" s="35" t="n"/>
      <c r="E191" s="37" t="n"/>
      <c r="F191" s="38" t="n"/>
      <c r="G191" s="35" t="n"/>
      <c r="H191" s="37" t="n"/>
      <c r="I191" s="24">
        <f>IF(A191="","",IF(G191="Sim","Paga",IF(E191="","Sem vencimento",IF(E191&lt;Config!$B$5,"Vencida","A vencer"))))</f>
        <v/>
      </c>
      <c r="J191" s="30">
        <f>IF(I191="Vencida",Config!$B$5-E191,"")</f>
        <v/>
      </c>
      <c r="K191" s="30">
        <f>IF(I191="A vencer",E191-Config!$B$5,"")</f>
        <v/>
      </c>
      <c r="L191" s="24">
        <f>IF(I191&lt;&gt;"Vencida","",IF(COUNTIF(Config!$A$10:$A$13,"&lt;="&amp;J191)=0,"Antes da régua",INDEX(Config!$C$10:$C$13,COUNTIF(Config!$A$10:$A$13,"&lt;="&amp;J191))))</f>
        <v/>
      </c>
      <c r="M191" s="23">
        <f>IF(I191&lt;&gt;"Vencida","",IF(COUNTIF(Config!$A$10:$A$13,"&lt;="&amp;J191)=0,"Aguardar: ainda não chegou ao primeiro passo da régua.",INDEX(Config!$B$10:$B$13,COUNTIF(Config!$A$10:$A$13,"&lt;="&amp;J191))))</f>
        <v/>
      </c>
      <c r="N191" s="39">
        <f>IF(I191="Vencida",F191*J191+ROW()/100000,0)</f>
        <v>0</v>
      </c>
      <c r="O191" s="39">
        <f>IF(AND(I191="A vencer",K191&lt;=Config!$B$7),100000-K191-ROW()/100000,0)</f>
        <v>0</v>
      </c>
    </row>
    <row r="192">
      <c r="A192" s="33" t="n"/>
      <c r="B192" s="33" t="n"/>
      <c r="C192" s="37" t="n"/>
      <c r="D192" s="35" t="n"/>
      <c r="E192" s="37" t="n"/>
      <c r="F192" s="38" t="n"/>
      <c r="G192" s="35" t="n"/>
      <c r="H192" s="37" t="n"/>
      <c r="I192" s="24">
        <f>IF(A192="","",IF(G192="Sim","Paga",IF(E192="","Sem vencimento",IF(E192&lt;Config!$B$5,"Vencida","A vencer"))))</f>
        <v/>
      </c>
      <c r="J192" s="30">
        <f>IF(I192="Vencida",Config!$B$5-E192,"")</f>
        <v/>
      </c>
      <c r="K192" s="30">
        <f>IF(I192="A vencer",E192-Config!$B$5,"")</f>
        <v/>
      </c>
      <c r="L192" s="24">
        <f>IF(I192&lt;&gt;"Vencida","",IF(COUNTIF(Config!$A$10:$A$13,"&lt;="&amp;J192)=0,"Antes da régua",INDEX(Config!$C$10:$C$13,COUNTIF(Config!$A$10:$A$13,"&lt;="&amp;J192))))</f>
        <v/>
      </c>
      <c r="M192" s="23">
        <f>IF(I192&lt;&gt;"Vencida","",IF(COUNTIF(Config!$A$10:$A$13,"&lt;="&amp;J192)=0,"Aguardar: ainda não chegou ao primeiro passo da régua.",INDEX(Config!$B$10:$B$13,COUNTIF(Config!$A$10:$A$13,"&lt;="&amp;J192))))</f>
        <v/>
      </c>
      <c r="N192" s="39">
        <f>IF(I192="Vencida",F192*J192+ROW()/100000,0)</f>
        <v>0</v>
      </c>
      <c r="O192" s="39">
        <f>IF(AND(I192="A vencer",K192&lt;=Config!$B$7),100000-K192-ROW()/100000,0)</f>
        <v>0</v>
      </c>
    </row>
    <row r="193">
      <c r="A193" s="33" t="n"/>
      <c r="B193" s="33" t="n"/>
      <c r="C193" s="37" t="n"/>
      <c r="D193" s="35" t="n"/>
      <c r="E193" s="37" t="n"/>
      <c r="F193" s="38" t="n"/>
      <c r="G193" s="35" t="n"/>
      <c r="H193" s="37" t="n"/>
      <c r="I193" s="24">
        <f>IF(A193="","",IF(G193="Sim","Paga",IF(E193="","Sem vencimento",IF(E193&lt;Config!$B$5,"Vencida","A vencer"))))</f>
        <v/>
      </c>
      <c r="J193" s="30">
        <f>IF(I193="Vencida",Config!$B$5-E193,"")</f>
        <v/>
      </c>
      <c r="K193" s="30">
        <f>IF(I193="A vencer",E193-Config!$B$5,"")</f>
        <v/>
      </c>
      <c r="L193" s="24">
        <f>IF(I193&lt;&gt;"Vencida","",IF(COUNTIF(Config!$A$10:$A$13,"&lt;="&amp;J193)=0,"Antes da régua",INDEX(Config!$C$10:$C$13,COUNTIF(Config!$A$10:$A$13,"&lt;="&amp;J193))))</f>
        <v/>
      </c>
      <c r="M193" s="23">
        <f>IF(I193&lt;&gt;"Vencida","",IF(COUNTIF(Config!$A$10:$A$13,"&lt;="&amp;J193)=0,"Aguardar: ainda não chegou ao primeiro passo da régua.",INDEX(Config!$B$10:$B$13,COUNTIF(Config!$A$10:$A$13,"&lt;="&amp;J193))))</f>
        <v/>
      </c>
      <c r="N193" s="39">
        <f>IF(I193="Vencida",F193*J193+ROW()/100000,0)</f>
        <v>0</v>
      </c>
      <c r="O193" s="39">
        <f>IF(AND(I193="A vencer",K193&lt;=Config!$B$7),100000-K193-ROW()/100000,0)</f>
        <v>0</v>
      </c>
    </row>
    <row r="194">
      <c r="A194" s="33" t="n"/>
      <c r="B194" s="33" t="n"/>
      <c r="C194" s="37" t="n"/>
      <c r="D194" s="35" t="n"/>
      <c r="E194" s="37" t="n"/>
      <c r="F194" s="38" t="n"/>
      <c r="G194" s="35" t="n"/>
      <c r="H194" s="37" t="n"/>
      <c r="I194" s="24">
        <f>IF(A194="","",IF(G194="Sim","Paga",IF(E194="","Sem vencimento",IF(E194&lt;Config!$B$5,"Vencida","A vencer"))))</f>
        <v/>
      </c>
      <c r="J194" s="30">
        <f>IF(I194="Vencida",Config!$B$5-E194,"")</f>
        <v/>
      </c>
      <c r="K194" s="30">
        <f>IF(I194="A vencer",E194-Config!$B$5,"")</f>
        <v/>
      </c>
      <c r="L194" s="24">
        <f>IF(I194&lt;&gt;"Vencida","",IF(COUNTIF(Config!$A$10:$A$13,"&lt;="&amp;J194)=0,"Antes da régua",INDEX(Config!$C$10:$C$13,COUNTIF(Config!$A$10:$A$13,"&lt;="&amp;J194))))</f>
        <v/>
      </c>
      <c r="M194" s="23">
        <f>IF(I194&lt;&gt;"Vencida","",IF(COUNTIF(Config!$A$10:$A$13,"&lt;="&amp;J194)=0,"Aguardar: ainda não chegou ao primeiro passo da régua.",INDEX(Config!$B$10:$B$13,COUNTIF(Config!$A$10:$A$13,"&lt;="&amp;J194))))</f>
        <v/>
      </c>
      <c r="N194" s="39">
        <f>IF(I194="Vencida",F194*J194+ROW()/100000,0)</f>
        <v>0</v>
      </c>
      <c r="O194" s="39">
        <f>IF(AND(I194="A vencer",K194&lt;=Config!$B$7),100000-K194-ROW()/100000,0)</f>
        <v>0</v>
      </c>
    </row>
    <row r="195">
      <c r="A195" s="33" t="n"/>
      <c r="B195" s="33" t="n"/>
      <c r="C195" s="37" t="n"/>
      <c r="D195" s="35" t="n"/>
      <c r="E195" s="37" t="n"/>
      <c r="F195" s="38" t="n"/>
      <c r="G195" s="35" t="n"/>
      <c r="H195" s="37" t="n"/>
      <c r="I195" s="24">
        <f>IF(A195="","",IF(G195="Sim","Paga",IF(E195="","Sem vencimento",IF(E195&lt;Config!$B$5,"Vencida","A vencer"))))</f>
        <v/>
      </c>
      <c r="J195" s="30">
        <f>IF(I195="Vencida",Config!$B$5-E195,"")</f>
        <v/>
      </c>
      <c r="K195" s="30">
        <f>IF(I195="A vencer",E195-Config!$B$5,"")</f>
        <v/>
      </c>
      <c r="L195" s="24">
        <f>IF(I195&lt;&gt;"Vencida","",IF(COUNTIF(Config!$A$10:$A$13,"&lt;="&amp;J195)=0,"Antes da régua",INDEX(Config!$C$10:$C$13,COUNTIF(Config!$A$10:$A$13,"&lt;="&amp;J195))))</f>
        <v/>
      </c>
      <c r="M195" s="23">
        <f>IF(I195&lt;&gt;"Vencida","",IF(COUNTIF(Config!$A$10:$A$13,"&lt;="&amp;J195)=0,"Aguardar: ainda não chegou ao primeiro passo da régua.",INDEX(Config!$B$10:$B$13,COUNTIF(Config!$A$10:$A$13,"&lt;="&amp;J195))))</f>
        <v/>
      </c>
      <c r="N195" s="39">
        <f>IF(I195="Vencida",F195*J195+ROW()/100000,0)</f>
        <v>0</v>
      </c>
      <c r="O195" s="39">
        <f>IF(AND(I195="A vencer",K195&lt;=Config!$B$7),100000-K195-ROW()/100000,0)</f>
        <v>0</v>
      </c>
    </row>
    <row r="196">
      <c r="A196" s="33" t="n"/>
      <c r="B196" s="33" t="n"/>
      <c r="C196" s="37" t="n"/>
      <c r="D196" s="35" t="n"/>
      <c r="E196" s="37" t="n"/>
      <c r="F196" s="38" t="n"/>
      <c r="G196" s="35" t="n"/>
      <c r="H196" s="37" t="n"/>
      <c r="I196" s="24">
        <f>IF(A196="","",IF(G196="Sim","Paga",IF(E196="","Sem vencimento",IF(E196&lt;Config!$B$5,"Vencida","A vencer"))))</f>
        <v/>
      </c>
      <c r="J196" s="30">
        <f>IF(I196="Vencida",Config!$B$5-E196,"")</f>
        <v/>
      </c>
      <c r="K196" s="30">
        <f>IF(I196="A vencer",E196-Config!$B$5,"")</f>
        <v/>
      </c>
      <c r="L196" s="24">
        <f>IF(I196&lt;&gt;"Vencida","",IF(COUNTIF(Config!$A$10:$A$13,"&lt;="&amp;J196)=0,"Antes da régua",INDEX(Config!$C$10:$C$13,COUNTIF(Config!$A$10:$A$13,"&lt;="&amp;J196))))</f>
        <v/>
      </c>
      <c r="M196" s="23">
        <f>IF(I196&lt;&gt;"Vencida","",IF(COUNTIF(Config!$A$10:$A$13,"&lt;="&amp;J196)=0,"Aguardar: ainda não chegou ao primeiro passo da régua.",INDEX(Config!$B$10:$B$13,COUNTIF(Config!$A$10:$A$13,"&lt;="&amp;J196))))</f>
        <v/>
      </c>
      <c r="N196" s="39">
        <f>IF(I196="Vencida",F196*J196+ROW()/100000,0)</f>
        <v>0</v>
      </c>
      <c r="O196" s="39">
        <f>IF(AND(I196="A vencer",K196&lt;=Config!$B$7),100000-K196-ROW()/100000,0)</f>
        <v>0</v>
      </c>
    </row>
    <row r="197">
      <c r="A197" s="33" t="n"/>
      <c r="B197" s="33" t="n"/>
      <c r="C197" s="37" t="n"/>
      <c r="D197" s="35" t="n"/>
      <c r="E197" s="37" t="n"/>
      <c r="F197" s="38" t="n"/>
      <c r="G197" s="35" t="n"/>
      <c r="H197" s="37" t="n"/>
      <c r="I197" s="24">
        <f>IF(A197="","",IF(G197="Sim","Paga",IF(E197="","Sem vencimento",IF(E197&lt;Config!$B$5,"Vencida","A vencer"))))</f>
        <v/>
      </c>
      <c r="J197" s="30">
        <f>IF(I197="Vencida",Config!$B$5-E197,"")</f>
        <v/>
      </c>
      <c r="K197" s="30">
        <f>IF(I197="A vencer",E197-Config!$B$5,"")</f>
        <v/>
      </c>
      <c r="L197" s="24">
        <f>IF(I197&lt;&gt;"Vencida","",IF(COUNTIF(Config!$A$10:$A$13,"&lt;="&amp;J197)=0,"Antes da régua",INDEX(Config!$C$10:$C$13,COUNTIF(Config!$A$10:$A$13,"&lt;="&amp;J197))))</f>
        <v/>
      </c>
      <c r="M197" s="23">
        <f>IF(I197&lt;&gt;"Vencida","",IF(COUNTIF(Config!$A$10:$A$13,"&lt;="&amp;J197)=0,"Aguardar: ainda não chegou ao primeiro passo da régua.",INDEX(Config!$B$10:$B$13,COUNTIF(Config!$A$10:$A$13,"&lt;="&amp;J197))))</f>
        <v/>
      </c>
      <c r="N197" s="39">
        <f>IF(I197="Vencida",F197*J197+ROW()/100000,0)</f>
        <v>0</v>
      </c>
      <c r="O197" s="39">
        <f>IF(AND(I197="A vencer",K197&lt;=Config!$B$7),100000-K197-ROW()/100000,0)</f>
        <v>0</v>
      </c>
    </row>
    <row r="198">
      <c r="A198" s="33" t="n"/>
      <c r="B198" s="33" t="n"/>
      <c r="C198" s="37" t="n"/>
      <c r="D198" s="35" t="n"/>
      <c r="E198" s="37" t="n"/>
      <c r="F198" s="38" t="n"/>
      <c r="G198" s="35" t="n"/>
      <c r="H198" s="37" t="n"/>
      <c r="I198" s="24">
        <f>IF(A198="","",IF(G198="Sim","Paga",IF(E198="","Sem vencimento",IF(E198&lt;Config!$B$5,"Vencida","A vencer"))))</f>
        <v/>
      </c>
      <c r="J198" s="30">
        <f>IF(I198="Vencida",Config!$B$5-E198,"")</f>
        <v/>
      </c>
      <c r="K198" s="30">
        <f>IF(I198="A vencer",E198-Config!$B$5,"")</f>
        <v/>
      </c>
      <c r="L198" s="24">
        <f>IF(I198&lt;&gt;"Vencida","",IF(COUNTIF(Config!$A$10:$A$13,"&lt;="&amp;J198)=0,"Antes da régua",INDEX(Config!$C$10:$C$13,COUNTIF(Config!$A$10:$A$13,"&lt;="&amp;J198))))</f>
        <v/>
      </c>
      <c r="M198" s="23">
        <f>IF(I198&lt;&gt;"Vencida","",IF(COUNTIF(Config!$A$10:$A$13,"&lt;="&amp;J198)=0,"Aguardar: ainda não chegou ao primeiro passo da régua.",INDEX(Config!$B$10:$B$13,COUNTIF(Config!$A$10:$A$13,"&lt;="&amp;J198))))</f>
        <v/>
      </c>
      <c r="N198" s="39">
        <f>IF(I198="Vencida",F198*J198+ROW()/100000,0)</f>
        <v>0</v>
      </c>
      <c r="O198" s="39">
        <f>IF(AND(I198="A vencer",K198&lt;=Config!$B$7),100000-K198-ROW()/100000,0)</f>
        <v>0</v>
      </c>
    </row>
    <row r="199">
      <c r="A199" s="33" t="n"/>
      <c r="B199" s="33" t="n"/>
      <c r="C199" s="37" t="n"/>
      <c r="D199" s="35" t="n"/>
      <c r="E199" s="37" t="n"/>
      <c r="F199" s="38" t="n"/>
      <c r="G199" s="35" t="n"/>
      <c r="H199" s="37" t="n"/>
      <c r="I199" s="24">
        <f>IF(A199="","",IF(G199="Sim","Paga",IF(E199="","Sem vencimento",IF(E199&lt;Config!$B$5,"Vencida","A vencer"))))</f>
        <v/>
      </c>
      <c r="J199" s="30">
        <f>IF(I199="Vencida",Config!$B$5-E199,"")</f>
        <v/>
      </c>
      <c r="K199" s="30">
        <f>IF(I199="A vencer",E199-Config!$B$5,"")</f>
        <v/>
      </c>
      <c r="L199" s="24">
        <f>IF(I199&lt;&gt;"Vencida","",IF(COUNTIF(Config!$A$10:$A$13,"&lt;="&amp;J199)=0,"Antes da régua",INDEX(Config!$C$10:$C$13,COUNTIF(Config!$A$10:$A$13,"&lt;="&amp;J199))))</f>
        <v/>
      </c>
      <c r="M199" s="23">
        <f>IF(I199&lt;&gt;"Vencida","",IF(COUNTIF(Config!$A$10:$A$13,"&lt;="&amp;J199)=0,"Aguardar: ainda não chegou ao primeiro passo da régua.",INDEX(Config!$B$10:$B$13,COUNTIF(Config!$A$10:$A$13,"&lt;="&amp;J199))))</f>
        <v/>
      </c>
      <c r="N199" s="39">
        <f>IF(I199="Vencida",F199*J199+ROW()/100000,0)</f>
        <v>0</v>
      </c>
      <c r="O199" s="39">
        <f>IF(AND(I199="A vencer",K199&lt;=Config!$B$7),100000-K199-ROW()/100000,0)</f>
        <v>0</v>
      </c>
    </row>
    <row r="200">
      <c r="A200" s="33" t="n"/>
      <c r="B200" s="33" t="n"/>
      <c r="C200" s="37" t="n"/>
      <c r="D200" s="35" t="n"/>
      <c r="E200" s="37" t="n"/>
      <c r="F200" s="38" t="n"/>
      <c r="G200" s="35" t="n"/>
      <c r="H200" s="37" t="n"/>
      <c r="I200" s="24">
        <f>IF(A200="","",IF(G200="Sim","Paga",IF(E200="","Sem vencimento",IF(E200&lt;Config!$B$5,"Vencida","A vencer"))))</f>
        <v/>
      </c>
      <c r="J200" s="30">
        <f>IF(I200="Vencida",Config!$B$5-E200,"")</f>
        <v/>
      </c>
      <c r="K200" s="30">
        <f>IF(I200="A vencer",E200-Config!$B$5,"")</f>
        <v/>
      </c>
      <c r="L200" s="24">
        <f>IF(I200&lt;&gt;"Vencida","",IF(COUNTIF(Config!$A$10:$A$13,"&lt;="&amp;J200)=0,"Antes da régua",INDEX(Config!$C$10:$C$13,COUNTIF(Config!$A$10:$A$13,"&lt;="&amp;J200))))</f>
        <v/>
      </c>
      <c r="M200" s="23">
        <f>IF(I200&lt;&gt;"Vencida","",IF(COUNTIF(Config!$A$10:$A$13,"&lt;="&amp;J200)=0,"Aguardar: ainda não chegou ao primeiro passo da régua.",INDEX(Config!$B$10:$B$13,COUNTIF(Config!$A$10:$A$13,"&lt;="&amp;J200))))</f>
        <v/>
      </c>
      <c r="N200" s="39">
        <f>IF(I200="Vencida",F200*J200+ROW()/100000,0)</f>
        <v>0</v>
      </c>
      <c r="O200" s="39">
        <f>IF(AND(I200="A vencer",K200&lt;=Config!$B$7),100000-K200-ROW()/100000,0)</f>
        <v>0</v>
      </c>
    </row>
    <row r="201">
      <c r="A201" s="33" t="n"/>
      <c r="B201" s="33" t="n"/>
      <c r="C201" s="37" t="n"/>
      <c r="D201" s="35" t="n"/>
      <c r="E201" s="37" t="n"/>
      <c r="F201" s="38" t="n"/>
      <c r="G201" s="35" t="n"/>
      <c r="H201" s="37" t="n"/>
      <c r="I201" s="24">
        <f>IF(A201="","",IF(G201="Sim","Paga",IF(E201="","Sem vencimento",IF(E201&lt;Config!$B$5,"Vencida","A vencer"))))</f>
        <v/>
      </c>
      <c r="J201" s="30">
        <f>IF(I201="Vencida",Config!$B$5-E201,"")</f>
        <v/>
      </c>
      <c r="K201" s="30">
        <f>IF(I201="A vencer",E201-Config!$B$5,"")</f>
        <v/>
      </c>
      <c r="L201" s="24">
        <f>IF(I201&lt;&gt;"Vencida","",IF(COUNTIF(Config!$A$10:$A$13,"&lt;="&amp;J201)=0,"Antes da régua",INDEX(Config!$C$10:$C$13,COUNTIF(Config!$A$10:$A$13,"&lt;="&amp;J201))))</f>
        <v/>
      </c>
      <c r="M201" s="23">
        <f>IF(I201&lt;&gt;"Vencida","",IF(COUNTIF(Config!$A$10:$A$13,"&lt;="&amp;J201)=0,"Aguardar: ainda não chegou ao primeiro passo da régua.",INDEX(Config!$B$10:$B$13,COUNTIF(Config!$A$10:$A$13,"&lt;="&amp;J201))))</f>
        <v/>
      </c>
      <c r="N201" s="39">
        <f>IF(I201="Vencida",F201*J201+ROW()/100000,0)</f>
        <v>0</v>
      </c>
      <c r="O201" s="39">
        <f>IF(AND(I201="A vencer",K201&lt;=Config!$B$7),100000-K201-ROW()/100000,0)</f>
        <v>0</v>
      </c>
    </row>
    <row r="202">
      <c r="A202" s="33" t="n"/>
      <c r="B202" s="33" t="n"/>
      <c r="C202" s="37" t="n"/>
      <c r="D202" s="35" t="n"/>
      <c r="E202" s="37" t="n"/>
      <c r="F202" s="38" t="n"/>
      <c r="G202" s="35" t="n"/>
      <c r="H202" s="37" t="n"/>
      <c r="I202" s="24">
        <f>IF(A202="","",IF(G202="Sim","Paga",IF(E202="","Sem vencimento",IF(E202&lt;Config!$B$5,"Vencida","A vencer"))))</f>
        <v/>
      </c>
      <c r="J202" s="30">
        <f>IF(I202="Vencida",Config!$B$5-E202,"")</f>
        <v/>
      </c>
      <c r="K202" s="30">
        <f>IF(I202="A vencer",E202-Config!$B$5,"")</f>
        <v/>
      </c>
      <c r="L202" s="24">
        <f>IF(I202&lt;&gt;"Vencida","",IF(COUNTIF(Config!$A$10:$A$13,"&lt;="&amp;J202)=0,"Antes da régua",INDEX(Config!$C$10:$C$13,COUNTIF(Config!$A$10:$A$13,"&lt;="&amp;J202))))</f>
        <v/>
      </c>
      <c r="M202" s="23">
        <f>IF(I202&lt;&gt;"Vencida","",IF(COUNTIF(Config!$A$10:$A$13,"&lt;="&amp;J202)=0,"Aguardar: ainda não chegou ao primeiro passo da régua.",INDEX(Config!$B$10:$B$13,COUNTIF(Config!$A$10:$A$13,"&lt;="&amp;J202))))</f>
        <v/>
      </c>
      <c r="N202" s="39">
        <f>IF(I202="Vencida",F202*J202+ROW()/100000,0)</f>
        <v>0</v>
      </c>
      <c r="O202" s="39">
        <f>IF(AND(I202="A vencer",K202&lt;=Config!$B$7),100000-K202-ROW()/100000,0)</f>
        <v>0</v>
      </c>
    </row>
    <row r="203">
      <c r="A203" s="33" t="n"/>
      <c r="B203" s="33" t="n"/>
      <c r="C203" s="37" t="n"/>
      <c r="D203" s="35" t="n"/>
      <c r="E203" s="37" t="n"/>
      <c r="F203" s="38" t="n"/>
      <c r="G203" s="35" t="n"/>
      <c r="H203" s="37" t="n"/>
      <c r="I203" s="24">
        <f>IF(A203="","",IF(G203="Sim","Paga",IF(E203="","Sem vencimento",IF(E203&lt;Config!$B$5,"Vencida","A vencer"))))</f>
        <v/>
      </c>
      <c r="J203" s="30">
        <f>IF(I203="Vencida",Config!$B$5-E203,"")</f>
        <v/>
      </c>
      <c r="K203" s="30">
        <f>IF(I203="A vencer",E203-Config!$B$5,"")</f>
        <v/>
      </c>
      <c r="L203" s="24">
        <f>IF(I203&lt;&gt;"Vencida","",IF(COUNTIF(Config!$A$10:$A$13,"&lt;="&amp;J203)=0,"Antes da régua",INDEX(Config!$C$10:$C$13,COUNTIF(Config!$A$10:$A$13,"&lt;="&amp;J203))))</f>
        <v/>
      </c>
      <c r="M203" s="23">
        <f>IF(I203&lt;&gt;"Vencida","",IF(COUNTIF(Config!$A$10:$A$13,"&lt;="&amp;J203)=0,"Aguardar: ainda não chegou ao primeiro passo da régua.",INDEX(Config!$B$10:$B$13,COUNTIF(Config!$A$10:$A$13,"&lt;="&amp;J203))))</f>
        <v/>
      </c>
      <c r="N203" s="39">
        <f>IF(I203="Vencida",F203*J203+ROW()/100000,0)</f>
        <v>0</v>
      </c>
      <c r="O203" s="39">
        <f>IF(AND(I203="A vencer",K203&lt;=Config!$B$7),100000-K203-ROW()/100000,0)</f>
        <v>0</v>
      </c>
    </row>
    <row r="204">
      <c r="A204" s="33" t="n"/>
      <c r="B204" s="33" t="n"/>
      <c r="C204" s="37" t="n"/>
      <c r="D204" s="35" t="n"/>
      <c r="E204" s="37" t="n"/>
      <c r="F204" s="38" t="n"/>
      <c r="G204" s="35" t="n"/>
      <c r="H204" s="37" t="n"/>
      <c r="I204" s="24">
        <f>IF(A204="","",IF(G204="Sim","Paga",IF(E204="","Sem vencimento",IF(E204&lt;Config!$B$5,"Vencida","A vencer"))))</f>
        <v/>
      </c>
      <c r="J204" s="30">
        <f>IF(I204="Vencida",Config!$B$5-E204,"")</f>
        <v/>
      </c>
      <c r="K204" s="30">
        <f>IF(I204="A vencer",E204-Config!$B$5,"")</f>
        <v/>
      </c>
      <c r="L204" s="24">
        <f>IF(I204&lt;&gt;"Vencida","",IF(COUNTIF(Config!$A$10:$A$13,"&lt;="&amp;J204)=0,"Antes da régua",INDEX(Config!$C$10:$C$13,COUNTIF(Config!$A$10:$A$13,"&lt;="&amp;J204))))</f>
        <v/>
      </c>
      <c r="M204" s="23">
        <f>IF(I204&lt;&gt;"Vencida","",IF(COUNTIF(Config!$A$10:$A$13,"&lt;="&amp;J204)=0,"Aguardar: ainda não chegou ao primeiro passo da régua.",INDEX(Config!$B$10:$B$13,COUNTIF(Config!$A$10:$A$13,"&lt;="&amp;J204))))</f>
        <v/>
      </c>
      <c r="N204" s="39">
        <f>IF(I204="Vencida",F204*J204+ROW()/100000,0)</f>
        <v>0</v>
      </c>
      <c r="O204" s="39">
        <f>IF(AND(I204="A vencer",K204&lt;=Config!$B$7),100000-K204-ROW()/100000,0)</f>
        <v>0</v>
      </c>
    </row>
    <row r="205">
      <c r="A205" s="33" t="n"/>
      <c r="B205" s="33" t="n"/>
      <c r="C205" s="37" t="n"/>
      <c r="D205" s="35" t="n"/>
      <c r="E205" s="37" t="n"/>
      <c r="F205" s="38" t="n"/>
      <c r="G205" s="35" t="n"/>
      <c r="H205" s="37" t="n"/>
      <c r="I205" s="24">
        <f>IF(A205="","",IF(G205="Sim","Paga",IF(E205="","Sem vencimento",IF(E205&lt;Config!$B$5,"Vencida","A vencer"))))</f>
        <v/>
      </c>
      <c r="J205" s="30">
        <f>IF(I205="Vencida",Config!$B$5-E205,"")</f>
        <v/>
      </c>
      <c r="K205" s="30">
        <f>IF(I205="A vencer",E205-Config!$B$5,"")</f>
        <v/>
      </c>
      <c r="L205" s="24">
        <f>IF(I205&lt;&gt;"Vencida","",IF(COUNTIF(Config!$A$10:$A$13,"&lt;="&amp;J205)=0,"Antes da régua",INDEX(Config!$C$10:$C$13,COUNTIF(Config!$A$10:$A$13,"&lt;="&amp;J205))))</f>
        <v/>
      </c>
      <c r="M205" s="23">
        <f>IF(I205&lt;&gt;"Vencida","",IF(COUNTIF(Config!$A$10:$A$13,"&lt;="&amp;J205)=0,"Aguardar: ainda não chegou ao primeiro passo da régua.",INDEX(Config!$B$10:$B$13,COUNTIF(Config!$A$10:$A$13,"&lt;="&amp;J205))))</f>
        <v/>
      </c>
      <c r="N205" s="39">
        <f>IF(I205="Vencida",F205*J205+ROW()/100000,0)</f>
        <v>0</v>
      </c>
      <c r="O205" s="39">
        <f>IF(AND(I205="A vencer",K205&lt;=Config!$B$7),100000-K205-ROW()/100000,0)</f>
        <v>0</v>
      </c>
    </row>
    <row r="206">
      <c r="A206" s="33" t="n"/>
      <c r="B206" s="33" t="n"/>
      <c r="C206" s="37" t="n"/>
      <c r="D206" s="35" t="n"/>
      <c r="E206" s="37" t="n"/>
      <c r="F206" s="38" t="n"/>
      <c r="G206" s="35" t="n"/>
      <c r="H206" s="37" t="n"/>
      <c r="I206" s="24">
        <f>IF(A206="","",IF(G206="Sim","Paga",IF(E206="","Sem vencimento",IF(E206&lt;Config!$B$5,"Vencida","A vencer"))))</f>
        <v/>
      </c>
      <c r="J206" s="30">
        <f>IF(I206="Vencida",Config!$B$5-E206,"")</f>
        <v/>
      </c>
      <c r="K206" s="30">
        <f>IF(I206="A vencer",E206-Config!$B$5,"")</f>
        <v/>
      </c>
      <c r="L206" s="24">
        <f>IF(I206&lt;&gt;"Vencida","",IF(COUNTIF(Config!$A$10:$A$13,"&lt;="&amp;J206)=0,"Antes da régua",INDEX(Config!$C$10:$C$13,COUNTIF(Config!$A$10:$A$13,"&lt;="&amp;J206))))</f>
        <v/>
      </c>
      <c r="M206" s="23">
        <f>IF(I206&lt;&gt;"Vencida","",IF(COUNTIF(Config!$A$10:$A$13,"&lt;="&amp;J206)=0,"Aguardar: ainda não chegou ao primeiro passo da régua.",INDEX(Config!$B$10:$B$13,COUNTIF(Config!$A$10:$A$13,"&lt;="&amp;J206))))</f>
        <v/>
      </c>
      <c r="N206" s="39">
        <f>IF(I206="Vencida",F206*J206+ROW()/100000,0)</f>
        <v>0</v>
      </c>
      <c r="O206" s="39">
        <f>IF(AND(I206="A vencer",K206&lt;=Config!$B$7),100000-K206-ROW()/100000,0)</f>
        <v>0</v>
      </c>
    </row>
    <row r="207">
      <c r="A207" s="33" t="n"/>
      <c r="B207" s="33" t="n"/>
      <c r="C207" s="37" t="n"/>
      <c r="D207" s="35" t="n"/>
      <c r="E207" s="37" t="n"/>
      <c r="F207" s="38" t="n"/>
      <c r="G207" s="35" t="n"/>
      <c r="H207" s="37" t="n"/>
      <c r="I207" s="24">
        <f>IF(A207="","",IF(G207="Sim","Paga",IF(E207="","Sem vencimento",IF(E207&lt;Config!$B$5,"Vencida","A vencer"))))</f>
        <v/>
      </c>
      <c r="J207" s="30">
        <f>IF(I207="Vencida",Config!$B$5-E207,"")</f>
        <v/>
      </c>
      <c r="K207" s="30">
        <f>IF(I207="A vencer",E207-Config!$B$5,"")</f>
        <v/>
      </c>
      <c r="L207" s="24">
        <f>IF(I207&lt;&gt;"Vencida","",IF(COUNTIF(Config!$A$10:$A$13,"&lt;="&amp;J207)=0,"Antes da régua",INDEX(Config!$C$10:$C$13,COUNTIF(Config!$A$10:$A$13,"&lt;="&amp;J207))))</f>
        <v/>
      </c>
      <c r="M207" s="23">
        <f>IF(I207&lt;&gt;"Vencida","",IF(COUNTIF(Config!$A$10:$A$13,"&lt;="&amp;J207)=0,"Aguardar: ainda não chegou ao primeiro passo da régua.",INDEX(Config!$B$10:$B$13,COUNTIF(Config!$A$10:$A$13,"&lt;="&amp;J207))))</f>
        <v/>
      </c>
      <c r="N207" s="39">
        <f>IF(I207="Vencida",F207*J207+ROW()/100000,0)</f>
        <v>0</v>
      </c>
      <c r="O207" s="39">
        <f>IF(AND(I207="A vencer",K207&lt;=Config!$B$7),100000-K207-ROW()/100000,0)</f>
        <v>0</v>
      </c>
    </row>
    <row r="208">
      <c r="A208" s="33" t="n"/>
      <c r="B208" s="33" t="n"/>
      <c r="C208" s="37" t="n"/>
      <c r="D208" s="35" t="n"/>
      <c r="E208" s="37" t="n"/>
      <c r="F208" s="38" t="n"/>
      <c r="G208" s="35" t="n"/>
      <c r="H208" s="37" t="n"/>
      <c r="I208" s="24">
        <f>IF(A208="","",IF(G208="Sim","Paga",IF(E208="","Sem vencimento",IF(E208&lt;Config!$B$5,"Vencida","A vencer"))))</f>
        <v/>
      </c>
      <c r="J208" s="30">
        <f>IF(I208="Vencida",Config!$B$5-E208,"")</f>
        <v/>
      </c>
      <c r="K208" s="30">
        <f>IF(I208="A vencer",E208-Config!$B$5,"")</f>
        <v/>
      </c>
      <c r="L208" s="24">
        <f>IF(I208&lt;&gt;"Vencida","",IF(COUNTIF(Config!$A$10:$A$13,"&lt;="&amp;J208)=0,"Antes da régua",INDEX(Config!$C$10:$C$13,COUNTIF(Config!$A$10:$A$13,"&lt;="&amp;J208))))</f>
        <v/>
      </c>
      <c r="M208" s="23">
        <f>IF(I208&lt;&gt;"Vencida","",IF(COUNTIF(Config!$A$10:$A$13,"&lt;="&amp;J208)=0,"Aguardar: ainda não chegou ao primeiro passo da régua.",INDEX(Config!$B$10:$B$13,COUNTIF(Config!$A$10:$A$13,"&lt;="&amp;J208))))</f>
        <v/>
      </c>
      <c r="N208" s="39">
        <f>IF(I208="Vencida",F208*J208+ROW()/100000,0)</f>
        <v>0</v>
      </c>
      <c r="O208" s="39">
        <f>IF(AND(I208="A vencer",K208&lt;=Config!$B$7),100000-K208-ROW()/100000,0)</f>
        <v>0</v>
      </c>
    </row>
    <row r="209">
      <c r="A209" s="33" t="n"/>
      <c r="B209" s="33" t="n"/>
      <c r="C209" s="37" t="n"/>
      <c r="D209" s="35" t="n"/>
      <c r="E209" s="37" t="n"/>
      <c r="F209" s="38" t="n"/>
      <c r="G209" s="35" t="n"/>
      <c r="H209" s="37" t="n"/>
      <c r="I209" s="24">
        <f>IF(A209="","",IF(G209="Sim","Paga",IF(E209="","Sem vencimento",IF(E209&lt;Config!$B$5,"Vencida","A vencer"))))</f>
        <v/>
      </c>
      <c r="J209" s="30">
        <f>IF(I209="Vencida",Config!$B$5-E209,"")</f>
        <v/>
      </c>
      <c r="K209" s="30">
        <f>IF(I209="A vencer",E209-Config!$B$5,"")</f>
        <v/>
      </c>
      <c r="L209" s="24">
        <f>IF(I209&lt;&gt;"Vencida","",IF(COUNTIF(Config!$A$10:$A$13,"&lt;="&amp;J209)=0,"Antes da régua",INDEX(Config!$C$10:$C$13,COUNTIF(Config!$A$10:$A$13,"&lt;="&amp;J209))))</f>
        <v/>
      </c>
      <c r="M209" s="23">
        <f>IF(I209&lt;&gt;"Vencida","",IF(COUNTIF(Config!$A$10:$A$13,"&lt;="&amp;J209)=0,"Aguardar: ainda não chegou ao primeiro passo da régua.",INDEX(Config!$B$10:$B$13,COUNTIF(Config!$A$10:$A$13,"&lt;="&amp;J209))))</f>
        <v/>
      </c>
      <c r="N209" s="39">
        <f>IF(I209="Vencida",F209*J209+ROW()/100000,0)</f>
        <v>0</v>
      </c>
      <c r="O209" s="39">
        <f>IF(AND(I209="A vencer",K209&lt;=Config!$B$7),100000-K209-ROW()/100000,0)</f>
        <v>0</v>
      </c>
    </row>
    <row r="210">
      <c r="A210" s="33" t="n"/>
      <c r="B210" s="33" t="n"/>
      <c r="C210" s="37" t="n"/>
      <c r="D210" s="35" t="n"/>
      <c r="E210" s="37" t="n"/>
      <c r="F210" s="38" t="n"/>
      <c r="G210" s="35" t="n"/>
      <c r="H210" s="37" t="n"/>
      <c r="I210" s="24">
        <f>IF(A210="","",IF(G210="Sim","Paga",IF(E210="","Sem vencimento",IF(E210&lt;Config!$B$5,"Vencida","A vencer"))))</f>
        <v/>
      </c>
      <c r="J210" s="30">
        <f>IF(I210="Vencida",Config!$B$5-E210,"")</f>
        <v/>
      </c>
      <c r="K210" s="30">
        <f>IF(I210="A vencer",E210-Config!$B$5,"")</f>
        <v/>
      </c>
      <c r="L210" s="24">
        <f>IF(I210&lt;&gt;"Vencida","",IF(COUNTIF(Config!$A$10:$A$13,"&lt;="&amp;J210)=0,"Antes da régua",INDEX(Config!$C$10:$C$13,COUNTIF(Config!$A$10:$A$13,"&lt;="&amp;J210))))</f>
        <v/>
      </c>
      <c r="M210" s="23">
        <f>IF(I210&lt;&gt;"Vencida","",IF(COUNTIF(Config!$A$10:$A$13,"&lt;="&amp;J210)=0,"Aguardar: ainda não chegou ao primeiro passo da régua.",INDEX(Config!$B$10:$B$13,COUNTIF(Config!$A$10:$A$13,"&lt;="&amp;J210))))</f>
        <v/>
      </c>
      <c r="N210" s="39">
        <f>IF(I210="Vencida",F210*J210+ROW()/100000,0)</f>
        <v>0</v>
      </c>
      <c r="O210" s="39">
        <f>IF(AND(I210="A vencer",K210&lt;=Config!$B$7),100000-K210-ROW()/100000,0)</f>
        <v>0</v>
      </c>
    </row>
    <row r="211">
      <c r="A211" s="33" t="n"/>
      <c r="B211" s="33" t="n"/>
      <c r="C211" s="37" t="n"/>
      <c r="D211" s="35" t="n"/>
      <c r="E211" s="37" t="n"/>
      <c r="F211" s="38" t="n"/>
      <c r="G211" s="35" t="n"/>
      <c r="H211" s="37" t="n"/>
      <c r="I211" s="24">
        <f>IF(A211="","",IF(G211="Sim","Paga",IF(E211="","Sem vencimento",IF(E211&lt;Config!$B$5,"Vencida","A vencer"))))</f>
        <v/>
      </c>
      <c r="J211" s="30">
        <f>IF(I211="Vencida",Config!$B$5-E211,"")</f>
        <v/>
      </c>
      <c r="K211" s="30">
        <f>IF(I211="A vencer",E211-Config!$B$5,"")</f>
        <v/>
      </c>
      <c r="L211" s="24">
        <f>IF(I211&lt;&gt;"Vencida","",IF(COUNTIF(Config!$A$10:$A$13,"&lt;="&amp;J211)=0,"Antes da régua",INDEX(Config!$C$10:$C$13,COUNTIF(Config!$A$10:$A$13,"&lt;="&amp;J211))))</f>
        <v/>
      </c>
      <c r="M211" s="23">
        <f>IF(I211&lt;&gt;"Vencida","",IF(COUNTIF(Config!$A$10:$A$13,"&lt;="&amp;J211)=0,"Aguardar: ainda não chegou ao primeiro passo da régua.",INDEX(Config!$B$10:$B$13,COUNTIF(Config!$A$10:$A$13,"&lt;="&amp;J211))))</f>
        <v/>
      </c>
      <c r="N211" s="39">
        <f>IF(I211="Vencida",F211*J211+ROW()/100000,0)</f>
        <v>0</v>
      </c>
      <c r="O211" s="39">
        <f>IF(AND(I211="A vencer",K211&lt;=Config!$B$7),100000-K211-ROW()/100000,0)</f>
        <v>0</v>
      </c>
    </row>
    <row r="212">
      <c r="A212" s="33" t="n"/>
      <c r="B212" s="33" t="n"/>
      <c r="C212" s="37" t="n"/>
      <c r="D212" s="35" t="n"/>
      <c r="E212" s="37" t="n"/>
      <c r="F212" s="38" t="n"/>
      <c r="G212" s="35" t="n"/>
      <c r="H212" s="37" t="n"/>
      <c r="I212" s="24">
        <f>IF(A212="","",IF(G212="Sim","Paga",IF(E212="","Sem vencimento",IF(E212&lt;Config!$B$5,"Vencida","A vencer"))))</f>
        <v/>
      </c>
      <c r="J212" s="30">
        <f>IF(I212="Vencida",Config!$B$5-E212,"")</f>
        <v/>
      </c>
      <c r="K212" s="30">
        <f>IF(I212="A vencer",E212-Config!$B$5,"")</f>
        <v/>
      </c>
      <c r="L212" s="24">
        <f>IF(I212&lt;&gt;"Vencida","",IF(COUNTIF(Config!$A$10:$A$13,"&lt;="&amp;J212)=0,"Antes da régua",INDEX(Config!$C$10:$C$13,COUNTIF(Config!$A$10:$A$13,"&lt;="&amp;J212))))</f>
        <v/>
      </c>
      <c r="M212" s="23">
        <f>IF(I212&lt;&gt;"Vencida","",IF(COUNTIF(Config!$A$10:$A$13,"&lt;="&amp;J212)=0,"Aguardar: ainda não chegou ao primeiro passo da régua.",INDEX(Config!$B$10:$B$13,COUNTIF(Config!$A$10:$A$13,"&lt;="&amp;J212))))</f>
        <v/>
      </c>
      <c r="N212" s="39">
        <f>IF(I212="Vencida",F212*J212+ROW()/100000,0)</f>
        <v>0</v>
      </c>
      <c r="O212" s="39">
        <f>IF(AND(I212="A vencer",K212&lt;=Config!$B$7),100000-K212-ROW()/100000,0)</f>
        <v>0</v>
      </c>
    </row>
    <row r="213">
      <c r="A213" s="33" t="n"/>
      <c r="B213" s="33" t="n"/>
      <c r="C213" s="37" t="n"/>
      <c r="D213" s="35" t="n"/>
      <c r="E213" s="37" t="n"/>
      <c r="F213" s="38" t="n"/>
      <c r="G213" s="35" t="n"/>
      <c r="H213" s="37" t="n"/>
      <c r="I213" s="24">
        <f>IF(A213="","",IF(G213="Sim","Paga",IF(E213="","Sem vencimento",IF(E213&lt;Config!$B$5,"Vencida","A vencer"))))</f>
        <v/>
      </c>
      <c r="J213" s="30">
        <f>IF(I213="Vencida",Config!$B$5-E213,"")</f>
        <v/>
      </c>
      <c r="K213" s="30">
        <f>IF(I213="A vencer",E213-Config!$B$5,"")</f>
        <v/>
      </c>
      <c r="L213" s="24">
        <f>IF(I213&lt;&gt;"Vencida","",IF(COUNTIF(Config!$A$10:$A$13,"&lt;="&amp;J213)=0,"Antes da régua",INDEX(Config!$C$10:$C$13,COUNTIF(Config!$A$10:$A$13,"&lt;="&amp;J213))))</f>
        <v/>
      </c>
      <c r="M213" s="23">
        <f>IF(I213&lt;&gt;"Vencida","",IF(COUNTIF(Config!$A$10:$A$13,"&lt;="&amp;J213)=0,"Aguardar: ainda não chegou ao primeiro passo da régua.",INDEX(Config!$B$10:$B$13,COUNTIF(Config!$A$10:$A$13,"&lt;="&amp;J213))))</f>
        <v/>
      </c>
      <c r="N213" s="39">
        <f>IF(I213="Vencida",F213*J213+ROW()/100000,0)</f>
        <v>0</v>
      </c>
      <c r="O213" s="39">
        <f>IF(AND(I213="A vencer",K213&lt;=Config!$B$7),100000-K213-ROW()/100000,0)</f>
        <v>0</v>
      </c>
    </row>
    <row r="214">
      <c r="A214" s="33" t="n"/>
      <c r="B214" s="33" t="n"/>
      <c r="C214" s="37" t="n"/>
      <c r="D214" s="35" t="n"/>
      <c r="E214" s="37" t="n"/>
      <c r="F214" s="38" t="n"/>
      <c r="G214" s="35" t="n"/>
      <c r="H214" s="37" t="n"/>
      <c r="I214" s="24">
        <f>IF(A214="","",IF(G214="Sim","Paga",IF(E214="","Sem vencimento",IF(E214&lt;Config!$B$5,"Vencida","A vencer"))))</f>
        <v/>
      </c>
      <c r="J214" s="30">
        <f>IF(I214="Vencida",Config!$B$5-E214,"")</f>
        <v/>
      </c>
      <c r="K214" s="30">
        <f>IF(I214="A vencer",E214-Config!$B$5,"")</f>
        <v/>
      </c>
      <c r="L214" s="24">
        <f>IF(I214&lt;&gt;"Vencida","",IF(COUNTIF(Config!$A$10:$A$13,"&lt;="&amp;J214)=0,"Antes da régua",INDEX(Config!$C$10:$C$13,COUNTIF(Config!$A$10:$A$13,"&lt;="&amp;J214))))</f>
        <v/>
      </c>
      <c r="M214" s="23">
        <f>IF(I214&lt;&gt;"Vencida","",IF(COUNTIF(Config!$A$10:$A$13,"&lt;="&amp;J214)=0,"Aguardar: ainda não chegou ao primeiro passo da régua.",INDEX(Config!$B$10:$B$13,COUNTIF(Config!$A$10:$A$13,"&lt;="&amp;J214))))</f>
        <v/>
      </c>
      <c r="N214" s="39">
        <f>IF(I214="Vencida",F214*J214+ROW()/100000,0)</f>
        <v>0</v>
      </c>
      <c r="O214" s="39">
        <f>IF(AND(I214="A vencer",K214&lt;=Config!$B$7),100000-K214-ROW()/100000,0)</f>
        <v>0</v>
      </c>
    </row>
    <row r="215">
      <c r="A215" s="33" t="n"/>
      <c r="B215" s="33" t="n"/>
      <c r="C215" s="37" t="n"/>
      <c r="D215" s="35" t="n"/>
      <c r="E215" s="37" t="n"/>
      <c r="F215" s="38" t="n"/>
      <c r="G215" s="35" t="n"/>
      <c r="H215" s="37" t="n"/>
      <c r="I215" s="24">
        <f>IF(A215="","",IF(G215="Sim","Paga",IF(E215="","Sem vencimento",IF(E215&lt;Config!$B$5,"Vencida","A vencer"))))</f>
        <v/>
      </c>
      <c r="J215" s="30">
        <f>IF(I215="Vencida",Config!$B$5-E215,"")</f>
        <v/>
      </c>
      <c r="K215" s="30">
        <f>IF(I215="A vencer",E215-Config!$B$5,"")</f>
        <v/>
      </c>
      <c r="L215" s="24">
        <f>IF(I215&lt;&gt;"Vencida","",IF(COUNTIF(Config!$A$10:$A$13,"&lt;="&amp;J215)=0,"Antes da régua",INDEX(Config!$C$10:$C$13,COUNTIF(Config!$A$10:$A$13,"&lt;="&amp;J215))))</f>
        <v/>
      </c>
      <c r="M215" s="23">
        <f>IF(I215&lt;&gt;"Vencida","",IF(COUNTIF(Config!$A$10:$A$13,"&lt;="&amp;J215)=0,"Aguardar: ainda não chegou ao primeiro passo da régua.",INDEX(Config!$B$10:$B$13,COUNTIF(Config!$A$10:$A$13,"&lt;="&amp;J215))))</f>
        <v/>
      </c>
      <c r="N215" s="39">
        <f>IF(I215="Vencida",F215*J215+ROW()/100000,0)</f>
        <v>0</v>
      </c>
      <c r="O215" s="39">
        <f>IF(AND(I215="A vencer",K215&lt;=Config!$B$7),100000-K215-ROW()/100000,0)</f>
        <v>0</v>
      </c>
    </row>
    <row r="216">
      <c r="A216" s="33" t="n"/>
      <c r="B216" s="33" t="n"/>
      <c r="C216" s="37" t="n"/>
      <c r="D216" s="35" t="n"/>
      <c r="E216" s="37" t="n"/>
      <c r="F216" s="38" t="n"/>
      <c r="G216" s="35" t="n"/>
      <c r="H216" s="37" t="n"/>
      <c r="I216" s="24">
        <f>IF(A216="","",IF(G216="Sim","Paga",IF(E216="","Sem vencimento",IF(E216&lt;Config!$B$5,"Vencida","A vencer"))))</f>
        <v/>
      </c>
      <c r="J216" s="30">
        <f>IF(I216="Vencida",Config!$B$5-E216,"")</f>
        <v/>
      </c>
      <c r="K216" s="30">
        <f>IF(I216="A vencer",E216-Config!$B$5,"")</f>
        <v/>
      </c>
      <c r="L216" s="24">
        <f>IF(I216&lt;&gt;"Vencida","",IF(COUNTIF(Config!$A$10:$A$13,"&lt;="&amp;J216)=0,"Antes da régua",INDEX(Config!$C$10:$C$13,COUNTIF(Config!$A$10:$A$13,"&lt;="&amp;J216))))</f>
        <v/>
      </c>
      <c r="M216" s="23">
        <f>IF(I216&lt;&gt;"Vencida","",IF(COUNTIF(Config!$A$10:$A$13,"&lt;="&amp;J216)=0,"Aguardar: ainda não chegou ao primeiro passo da régua.",INDEX(Config!$B$10:$B$13,COUNTIF(Config!$A$10:$A$13,"&lt;="&amp;J216))))</f>
        <v/>
      </c>
      <c r="N216" s="39">
        <f>IF(I216="Vencida",F216*J216+ROW()/100000,0)</f>
        <v>0</v>
      </c>
      <c r="O216" s="39">
        <f>IF(AND(I216="A vencer",K216&lt;=Config!$B$7),100000-K216-ROW()/100000,0)</f>
        <v>0</v>
      </c>
    </row>
    <row r="217">
      <c r="A217" s="33" t="n"/>
      <c r="B217" s="33" t="n"/>
      <c r="C217" s="37" t="n"/>
      <c r="D217" s="35" t="n"/>
      <c r="E217" s="37" t="n"/>
      <c r="F217" s="38" t="n"/>
      <c r="G217" s="35" t="n"/>
      <c r="H217" s="37" t="n"/>
      <c r="I217" s="24">
        <f>IF(A217="","",IF(G217="Sim","Paga",IF(E217="","Sem vencimento",IF(E217&lt;Config!$B$5,"Vencida","A vencer"))))</f>
        <v/>
      </c>
      <c r="J217" s="30">
        <f>IF(I217="Vencida",Config!$B$5-E217,"")</f>
        <v/>
      </c>
      <c r="K217" s="30">
        <f>IF(I217="A vencer",E217-Config!$B$5,"")</f>
        <v/>
      </c>
      <c r="L217" s="24">
        <f>IF(I217&lt;&gt;"Vencida","",IF(COUNTIF(Config!$A$10:$A$13,"&lt;="&amp;J217)=0,"Antes da régua",INDEX(Config!$C$10:$C$13,COUNTIF(Config!$A$10:$A$13,"&lt;="&amp;J217))))</f>
        <v/>
      </c>
      <c r="M217" s="23">
        <f>IF(I217&lt;&gt;"Vencida","",IF(COUNTIF(Config!$A$10:$A$13,"&lt;="&amp;J217)=0,"Aguardar: ainda não chegou ao primeiro passo da régua.",INDEX(Config!$B$10:$B$13,COUNTIF(Config!$A$10:$A$13,"&lt;="&amp;J217))))</f>
        <v/>
      </c>
      <c r="N217" s="39">
        <f>IF(I217="Vencida",F217*J217+ROW()/100000,0)</f>
        <v>0</v>
      </c>
      <c r="O217" s="39">
        <f>IF(AND(I217="A vencer",K217&lt;=Config!$B$7),100000-K217-ROW()/100000,0)</f>
        <v>0</v>
      </c>
    </row>
    <row r="218">
      <c r="A218" s="33" t="n"/>
      <c r="B218" s="33" t="n"/>
      <c r="C218" s="37" t="n"/>
      <c r="D218" s="35" t="n"/>
      <c r="E218" s="37" t="n"/>
      <c r="F218" s="38" t="n"/>
      <c r="G218" s="35" t="n"/>
      <c r="H218" s="37" t="n"/>
      <c r="I218" s="24">
        <f>IF(A218="","",IF(G218="Sim","Paga",IF(E218="","Sem vencimento",IF(E218&lt;Config!$B$5,"Vencida","A vencer"))))</f>
        <v/>
      </c>
      <c r="J218" s="30">
        <f>IF(I218="Vencida",Config!$B$5-E218,"")</f>
        <v/>
      </c>
      <c r="K218" s="30">
        <f>IF(I218="A vencer",E218-Config!$B$5,"")</f>
        <v/>
      </c>
      <c r="L218" s="24">
        <f>IF(I218&lt;&gt;"Vencida","",IF(COUNTIF(Config!$A$10:$A$13,"&lt;="&amp;J218)=0,"Antes da régua",INDEX(Config!$C$10:$C$13,COUNTIF(Config!$A$10:$A$13,"&lt;="&amp;J218))))</f>
        <v/>
      </c>
      <c r="M218" s="23">
        <f>IF(I218&lt;&gt;"Vencida","",IF(COUNTIF(Config!$A$10:$A$13,"&lt;="&amp;J218)=0,"Aguardar: ainda não chegou ao primeiro passo da régua.",INDEX(Config!$B$10:$B$13,COUNTIF(Config!$A$10:$A$13,"&lt;="&amp;J218))))</f>
        <v/>
      </c>
      <c r="N218" s="39">
        <f>IF(I218="Vencida",F218*J218+ROW()/100000,0)</f>
        <v>0</v>
      </c>
      <c r="O218" s="39">
        <f>IF(AND(I218="A vencer",K218&lt;=Config!$B$7),100000-K218-ROW()/100000,0)</f>
        <v>0</v>
      </c>
    </row>
    <row r="219">
      <c r="A219" s="33" t="n"/>
      <c r="B219" s="33" t="n"/>
      <c r="C219" s="37" t="n"/>
      <c r="D219" s="35" t="n"/>
      <c r="E219" s="37" t="n"/>
      <c r="F219" s="38" t="n"/>
      <c r="G219" s="35" t="n"/>
      <c r="H219" s="37" t="n"/>
      <c r="I219" s="24">
        <f>IF(A219="","",IF(G219="Sim","Paga",IF(E219="","Sem vencimento",IF(E219&lt;Config!$B$5,"Vencida","A vencer"))))</f>
        <v/>
      </c>
      <c r="J219" s="30">
        <f>IF(I219="Vencida",Config!$B$5-E219,"")</f>
        <v/>
      </c>
      <c r="K219" s="30">
        <f>IF(I219="A vencer",E219-Config!$B$5,"")</f>
        <v/>
      </c>
      <c r="L219" s="24">
        <f>IF(I219&lt;&gt;"Vencida","",IF(COUNTIF(Config!$A$10:$A$13,"&lt;="&amp;J219)=0,"Antes da régua",INDEX(Config!$C$10:$C$13,COUNTIF(Config!$A$10:$A$13,"&lt;="&amp;J219))))</f>
        <v/>
      </c>
      <c r="M219" s="23">
        <f>IF(I219&lt;&gt;"Vencida","",IF(COUNTIF(Config!$A$10:$A$13,"&lt;="&amp;J219)=0,"Aguardar: ainda não chegou ao primeiro passo da régua.",INDEX(Config!$B$10:$B$13,COUNTIF(Config!$A$10:$A$13,"&lt;="&amp;J219))))</f>
        <v/>
      </c>
      <c r="N219" s="39">
        <f>IF(I219="Vencida",F219*J219+ROW()/100000,0)</f>
        <v>0</v>
      </c>
      <c r="O219" s="39">
        <f>IF(AND(I219="A vencer",K219&lt;=Config!$B$7),100000-K219-ROW()/100000,0)</f>
        <v>0</v>
      </c>
    </row>
    <row r="220">
      <c r="A220" s="33" t="n"/>
      <c r="B220" s="33" t="n"/>
      <c r="C220" s="37" t="n"/>
      <c r="D220" s="35" t="n"/>
      <c r="E220" s="37" t="n"/>
      <c r="F220" s="38" t="n"/>
      <c r="G220" s="35" t="n"/>
      <c r="H220" s="37" t="n"/>
      <c r="I220" s="24">
        <f>IF(A220="","",IF(G220="Sim","Paga",IF(E220="","Sem vencimento",IF(E220&lt;Config!$B$5,"Vencida","A vencer"))))</f>
        <v/>
      </c>
      <c r="J220" s="30">
        <f>IF(I220="Vencida",Config!$B$5-E220,"")</f>
        <v/>
      </c>
      <c r="K220" s="30">
        <f>IF(I220="A vencer",E220-Config!$B$5,"")</f>
        <v/>
      </c>
      <c r="L220" s="24">
        <f>IF(I220&lt;&gt;"Vencida","",IF(COUNTIF(Config!$A$10:$A$13,"&lt;="&amp;J220)=0,"Antes da régua",INDEX(Config!$C$10:$C$13,COUNTIF(Config!$A$10:$A$13,"&lt;="&amp;J220))))</f>
        <v/>
      </c>
      <c r="M220" s="23">
        <f>IF(I220&lt;&gt;"Vencida","",IF(COUNTIF(Config!$A$10:$A$13,"&lt;="&amp;J220)=0,"Aguardar: ainda não chegou ao primeiro passo da régua.",INDEX(Config!$B$10:$B$13,COUNTIF(Config!$A$10:$A$13,"&lt;="&amp;J220))))</f>
        <v/>
      </c>
      <c r="N220" s="39">
        <f>IF(I220="Vencida",F220*J220+ROW()/100000,0)</f>
        <v>0</v>
      </c>
      <c r="O220" s="39">
        <f>IF(AND(I220="A vencer",K220&lt;=Config!$B$7),100000-K220-ROW()/100000,0)</f>
        <v>0</v>
      </c>
    </row>
    <row r="221">
      <c r="A221" s="33" t="n"/>
      <c r="B221" s="33" t="n"/>
      <c r="C221" s="37" t="n"/>
      <c r="D221" s="35" t="n"/>
      <c r="E221" s="37" t="n"/>
      <c r="F221" s="38" t="n"/>
      <c r="G221" s="35" t="n"/>
      <c r="H221" s="37" t="n"/>
      <c r="I221" s="24">
        <f>IF(A221="","",IF(G221="Sim","Paga",IF(E221="","Sem vencimento",IF(E221&lt;Config!$B$5,"Vencida","A vencer"))))</f>
        <v/>
      </c>
      <c r="J221" s="30">
        <f>IF(I221="Vencida",Config!$B$5-E221,"")</f>
        <v/>
      </c>
      <c r="K221" s="30">
        <f>IF(I221="A vencer",E221-Config!$B$5,"")</f>
        <v/>
      </c>
      <c r="L221" s="24">
        <f>IF(I221&lt;&gt;"Vencida","",IF(COUNTIF(Config!$A$10:$A$13,"&lt;="&amp;J221)=0,"Antes da régua",INDEX(Config!$C$10:$C$13,COUNTIF(Config!$A$10:$A$13,"&lt;="&amp;J221))))</f>
        <v/>
      </c>
      <c r="M221" s="23">
        <f>IF(I221&lt;&gt;"Vencida","",IF(COUNTIF(Config!$A$10:$A$13,"&lt;="&amp;J221)=0,"Aguardar: ainda não chegou ao primeiro passo da régua.",INDEX(Config!$B$10:$B$13,COUNTIF(Config!$A$10:$A$13,"&lt;="&amp;J221))))</f>
        <v/>
      </c>
      <c r="N221" s="39">
        <f>IF(I221="Vencida",F221*J221+ROW()/100000,0)</f>
        <v>0</v>
      </c>
      <c r="O221" s="39">
        <f>IF(AND(I221="A vencer",K221&lt;=Config!$B$7),100000-K221-ROW()/100000,0)</f>
        <v>0</v>
      </c>
    </row>
    <row r="222">
      <c r="A222" s="33" t="n"/>
      <c r="B222" s="33" t="n"/>
      <c r="C222" s="37" t="n"/>
      <c r="D222" s="35" t="n"/>
      <c r="E222" s="37" t="n"/>
      <c r="F222" s="38" t="n"/>
      <c r="G222" s="35" t="n"/>
      <c r="H222" s="37" t="n"/>
      <c r="I222" s="24">
        <f>IF(A222="","",IF(G222="Sim","Paga",IF(E222="","Sem vencimento",IF(E222&lt;Config!$B$5,"Vencida","A vencer"))))</f>
        <v/>
      </c>
      <c r="J222" s="30">
        <f>IF(I222="Vencida",Config!$B$5-E222,"")</f>
        <v/>
      </c>
      <c r="K222" s="30">
        <f>IF(I222="A vencer",E222-Config!$B$5,"")</f>
        <v/>
      </c>
      <c r="L222" s="24">
        <f>IF(I222&lt;&gt;"Vencida","",IF(COUNTIF(Config!$A$10:$A$13,"&lt;="&amp;J222)=0,"Antes da régua",INDEX(Config!$C$10:$C$13,COUNTIF(Config!$A$10:$A$13,"&lt;="&amp;J222))))</f>
        <v/>
      </c>
      <c r="M222" s="23">
        <f>IF(I222&lt;&gt;"Vencida","",IF(COUNTIF(Config!$A$10:$A$13,"&lt;="&amp;J222)=0,"Aguardar: ainda não chegou ao primeiro passo da régua.",INDEX(Config!$B$10:$B$13,COUNTIF(Config!$A$10:$A$13,"&lt;="&amp;J222))))</f>
        <v/>
      </c>
      <c r="N222" s="39">
        <f>IF(I222="Vencida",F222*J222+ROW()/100000,0)</f>
        <v>0</v>
      </c>
      <c r="O222" s="39">
        <f>IF(AND(I222="A vencer",K222&lt;=Config!$B$7),100000-K222-ROW()/100000,0)</f>
        <v>0</v>
      </c>
    </row>
    <row r="223">
      <c r="A223" s="33" t="n"/>
      <c r="B223" s="33" t="n"/>
      <c r="C223" s="37" t="n"/>
      <c r="D223" s="35" t="n"/>
      <c r="E223" s="37" t="n"/>
      <c r="F223" s="38" t="n"/>
      <c r="G223" s="35" t="n"/>
      <c r="H223" s="37" t="n"/>
      <c r="I223" s="24">
        <f>IF(A223="","",IF(G223="Sim","Paga",IF(E223="","Sem vencimento",IF(E223&lt;Config!$B$5,"Vencida","A vencer"))))</f>
        <v/>
      </c>
      <c r="J223" s="30">
        <f>IF(I223="Vencida",Config!$B$5-E223,"")</f>
        <v/>
      </c>
      <c r="K223" s="30">
        <f>IF(I223="A vencer",E223-Config!$B$5,"")</f>
        <v/>
      </c>
      <c r="L223" s="24">
        <f>IF(I223&lt;&gt;"Vencida","",IF(COUNTIF(Config!$A$10:$A$13,"&lt;="&amp;J223)=0,"Antes da régua",INDEX(Config!$C$10:$C$13,COUNTIF(Config!$A$10:$A$13,"&lt;="&amp;J223))))</f>
        <v/>
      </c>
      <c r="M223" s="23">
        <f>IF(I223&lt;&gt;"Vencida","",IF(COUNTIF(Config!$A$10:$A$13,"&lt;="&amp;J223)=0,"Aguardar: ainda não chegou ao primeiro passo da régua.",INDEX(Config!$B$10:$B$13,COUNTIF(Config!$A$10:$A$13,"&lt;="&amp;J223))))</f>
        <v/>
      </c>
      <c r="N223" s="39">
        <f>IF(I223="Vencida",F223*J223+ROW()/100000,0)</f>
        <v>0</v>
      </c>
      <c r="O223" s="39">
        <f>IF(AND(I223="A vencer",K223&lt;=Config!$B$7),100000-K223-ROW()/100000,0)</f>
        <v>0</v>
      </c>
    </row>
    <row r="224">
      <c r="A224" s="33" t="n"/>
      <c r="B224" s="33" t="n"/>
      <c r="C224" s="37" t="n"/>
      <c r="D224" s="35" t="n"/>
      <c r="E224" s="37" t="n"/>
      <c r="F224" s="38" t="n"/>
      <c r="G224" s="35" t="n"/>
      <c r="H224" s="37" t="n"/>
      <c r="I224" s="24">
        <f>IF(A224="","",IF(G224="Sim","Paga",IF(E224="","Sem vencimento",IF(E224&lt;Config!$B$5,"Vencida","A vencer"))))</f>
        <v/>
      </c>
      <c r="J224" s="30">
        <f>IF(I224="Vencida",Config!$B$5-E224,"")</f>
        <v/>
      </c>
      <c r="K224" s="30">
        <f>IF(I224="A vencer",E224-Config!$B$5,"")</f>
        <v/>
      </c>
      <c r="L224" s="24">
        <f>IF(I224&lt;&gt;"Vencida","",IF(COUNTIF(Config!$A$10:$A$13,"&lt;="&amp;J224)=0,"Antes da régua",INDEX(Config!$C$10:$C$13,COUNTIF(Config!$A$10:$A$13,"&lt;="&amp;J224))))</f>
        <v/>
      </c>
      <c r="M224" s="23">
        <f>IF(I224&lt;&gt;"Vencida","",IF(COUNTIF(Config!$A$10:$A$13,"&lt;="&amp;J224)=0,"Aguardar: ainda não chegou ao primeiro passo da régua.",INDEX(Config!$B$10:$B$13,COUNTIF(Config!$A$10:$A$13,"&lt;="&amp;J224))))</f>
        <v/>
      </c>
      <c r="N224" s="39">
        <f>IF(I224="Vencida",F224*J224+ROW()/100000,0)</f>
        <v>0</v>
      </c>
      <c r="O224" s="39">
        <f>IF(AND(I224="A vencer",K224&lt;=Config!$B$7),100000-K224-ROW()/100000,0)</f>
        <v>0</v>
      </c>
    </row>
    <row r="225">
      <c r="A225" s="33" t="n"/>
      <c r="B225" s="33" t="n"/>
      <c r="C225" s="37" t="n"/>
      <c r="D225" s="35" t="n"/>
      <c r="E225" s="37" t="n"/>
      <c r="F225" s="38" t="n"/>
      <c r="G225" s="35" t="n"/>
      <c r="H225" s="37" t="n"/>
      <c r="I225" s="24">
        <f>IF(A225="","",IF(G225="Sim","Paga",IF(E225="","Sem vencimento",IF(E225&lt;Config!$B$5,"Vencida","A vencer"))))</f>
        <v/>
      </c>
      <c r="J225" s="30">
        <f>IF(I225="Vencida",Config!$B$5-E225,"")</f>
        <v/>
      </c>
      <c r="K225" s="30">
        <f>IF(I225="A vencer",E225-Config!$B$5,"")</f>
        <v/>
      </c>
      <c r="L225" s="24">
        <f>IF(I225&lt;&gt;"Vencida","",IF(COUNTIF(Config!$A$10:$A$13,"&lt;="&amp;J225)=0,"Antes da régua",INDEX(Config!$C$10:$C$13,COUNTIF(Config!$A$10:$A$13,"&lt;="&amp;J225))))</f>
        <v/>
      </c>
      <c r="M225" s="23">
        <f>IF(I225&lt;&gt;"Vencida","",IF(COUNTIF(Config!$A$10:$A$13,"&lt;="&amp;J225)=0,"Aguardar: ainda não chegou ao primeiro passo da régua.",INDEX(Config!$B$10:$B$13,COUNTIF(Config!$A$10:$A$13,"&lt;="&amp;J225))))</f>
        <v/>
      </c>
      <c r="N225" s="39">
        <f>IF(I225="Vencida",F225*J225+ROW()/100000,0)</f>
        <v>0</v>
      </c>
      <c r="O225" s="39">
        <f>IF(AND(I225="A vencer",K225&lt;=Config!$B$7),100000-K225-ROW()/100000,0)</f>
        <v>0</v>
      </c>
    </row>
    <row r="226">
      <c r="A226" s="33" t="n"/>
      <c r="B226" s="33" t="n"/>
      <c r="C226" s="37" t="n"/>
      <c r="D226" s="35" t="n"/>
      <c r="E226" s="37" t="n"/>
      <c r="F226" s="38" t="n"/>
      <c r="G226" s="35" t="n"/>
      <c r="H226" s="37" t="n"/>
      <c r="I226" s="24">
        <f>IF(A226="","",IF(G226="Sim","Paga",IF(E226="","Sem vencimento",IF(E226&lt;Config!$B$5,"Vencida","A vencer"))))</f>
        <v/>
      </c>
      <c r="J226" s="30">
        <f>IF(I226="Vencida",Config!$B$5-E226,"")</f>
        <v/>
      </c>
      <c r="K226" s="30">
        <f>IF(I226="A vencer",E226-Config!$B$5,"")</f>
        <v/>
      </c>
      <c r="L226" s="24">
        <f>IF(I226&lt;&gt;"Vencida","",IF(COUNTIF(Config!$A$10:$A$13,"&lt;="&amp;J226)=0,"Antes da régua",INDEX(Config!$C$10:$C$13,COUNTIF(Config!$A$10:$A$13,"&lt;="&amp;J226))))</f>
        <v/>
      </c>
      <c r="M226" s="23">
        <f>IF(I226&lt;&gt;"Vencida","",IF(COUNTIF(Config!$A$10:$A$13,"&lt;="&amp;J226)=0,"Aguardar: ainda não chegou ao primeiro passo da régua.",INDEX(Config!$B$10:$B$13,COUNTIF(Config!$A$10:$A$13,"&lt;="&amp;J226))))</f>
        <v/>
      </c>
      <c r="N226" s="39">
        <f>IF(I226="Vencida",F226*J226+ROW()/100000,0)</f>
        <v>0</v>
      </c>
      <c r="O226" s="39">
        <f>IF(AND(I226="A vencer",K226&lt;=Config!$B$7),100000-K226-ROW()/100000,0)</f>
        <v>0</v>
      </c>
    </row>
    <row r="227">
      <c r="A227" s="33" t="n"/>
      <c r="B227" s="33" t="n"/>
      <c r="C227" s="37" t="n"/>
      <c r="D227" s="35" t="n"/>
      <c r="E227" s="37" t="n"/>
      <c r="F227" s="38" t="n"/>
      <c r="G227" s="35" t="n"/>
      <c r="H227" s="37" t="n"/>
      <c r="I227" s="24">
        <f>IF(A227="","",IF(G227="Sim","Paga",IF(E227="","Sem vencimento",IF(E227&lt;Config!$B$5,"Vencida","A vencer"))))</f>
        <v/>
      </c>
      <c r="J227" s="30">
        <f>IF(I227="Vencida",Config!$B$5-E227,"")</f>
        <v/>
      </c>
      <c r="K227" s="30">
        <f>IF(I227="A vencer",E227-Config!$B$5,"")</f>
        <v/>
      </c>
      <c r="L227" s="24">
        <f>IF(I227&lt;&gt;"Vencida","",IF(COUNTIF(Config!$A$10:$A$13,"&lt;="&amp;J227)=0,"Antes da régua",INDEX(Config!$C$10:$C$13,COUNTIF(Config!$A$10:$A$13,"&lt;="&amp;J227))))</f>
        <v/>
      </c>
      <c r="M227" s="23">
        <f>IF(I227&lt;&gt;"Vencida","",IF(COUNTIF(Config!$A$10:$A$13,"&lt;="&amp;J227)=0,"Aguardar: ainda não chegou ao primeiro passo da régua.",INDEX(Config!$B$10:$B$13,COUNTIF(Config!$A$10:$A$13,"&lt;="&amp;J227))))</f>
        <v/>
      </c>
      <c r="N227" s="39">
        <f>IF(I227="Vencida",F227*J227+ROW()/100000,0)</f>
        <v>0</v>
      </c>
      <c r="O227" s="39">
        <f>IF(AND(I227="A vencer",K227&lt;=Config!$B$7),100000-K227-ROW()/100000,0)</f>
        <v>0</v>
      </c>
    </row>
    <row r="228">
      <c r="A228" s="33" t="n"/>
      <c r="B228" s="33" t="n"/>
      <c r="C228" s="37" t="n"/>
      <c r="D228" s="35" t="n"/>
      <c r="E228" s="37" t="n"/>
      <c r="F228" s="38" t="n"/>
      <c r="G228" s="35" t="n"/>
      <c r="H228" s="37" t="n"/>
      <c r="I228" s="24">
        <f>IF(A228="","",IF(G228="Sim","Paga",IF(E228="","Sem vencimento",IF(E228&lt;Config!$B$5,"Vencida","A vencer"))))</f>
        <v/>
      </c>
      <c r="J228" s="30">
        <f>IF(I228="Vencida",Config!$B$5-E228,"")</f>
        <v/>
      </c>
      <c r="K228" s="30">
        <f>IF(I228="A vencer",E228-Config!$B$5,"")</f>
        <v/>
      </c>
      <c r="L228" s="24">
        <f>IF(I228&lt;&gt;"Vencida","",IF(COUNTIF(Config!$A$10:$A$13,"&lt;="&amp;J228)=0,"Antes da régua",INDEX(Config!$C$10:$C$13,COUNTIF(Config!$A$10:$A$13,"&lt;="&amp;J228))))</f>
        <v/>
      </c>
      <c r="M228" s="23">
        <f>IF(I228&lt;&gt;"Vencida","",IF(COUNTIF(Config!$A$10:$A$13,"&lt;="&amp;J228)=0,"Aguardar: ainda não chegou ao primeiro passo da régua.",INDEX(Config!$B$10:$B$13,COUNTIF(Config!$A$10:$A$13,"&lt;="&amp;J228))))</f>
        <v/>
      </c>
      <c r="N228" s="39">
        <f>IF(I228="Vencida",F228*J228+ROW()/100000,0)</f>
        <v>0</v>
      </c>
      <c r="O228" s="39">
        <f>IF(AND(I228="A vencer",K228&lt;=Config!$B$7),100000-K228-ROW()/100000,0)</f>
        <v>0</v>
      </c>
    </row>
    <row r="229">
      <c r="A229" s="33" t="n"/>
      <c r="B229" s="33" t="n"/>
      <c r="C229" s="37" t="n"/>
      <c r="D229" s="35" t="n"/>
      <c r="E229" s="37" t="n"/>
      <c r="F229" s="38" t="n"/>
      <c r="G229" s="35" t="n"/>
      <c r="H229" s="37" t="n"/>
      <c r="I229" s="24">
        <f>IF(A229="","",IF(G229="Sim","Paga",IF(E229="","Sem vencimento",IF(E229&lt;Config!$B$5,"Vencida","A vencer"))))</f>
        <v/>
      </c>
      <c r="J229" s="30">
        <f>IF(I229="Vencida",Config!$B$5-E229,"")</f>
        <v/>
      </c>
      <c r="K229" s="30">
        <f>IF(I229="A vencer",E229-Config!$B$5,"")</f>
        <v/>
      </c>
      <c r="L229" s="24">
        <f>IF(I229&lt;&gt;"Vencida","",IF(COUNTIF(Config!$A$10:$A$13,"&lt;="&amp;J229)=0,"Antes da régua",INDEX(Config!$C$10:$C$13,COUNTIF(Config!$A$10:$A$13,"&lt;="&amp;J229))))</f>
        <v/>
      </c>
      <c r="M229" s="23">
        <f>IF(I229&lt;&gt;"Vencida","",IF(COUNTIF(Config!$A$10:$A$13,"&lt;="&amp;J229)=0,"Aguardar: ainda não chegou ao primeiro passo da régua.",INDEX(Config!$B$10:$B$13,COUNTIF(Config!$A$10:$A$13,"&lt;="&amp;J229))))</f>
        <v/>
      </c>
      <c r="N229" s="39">
        <f>IF(I229="Vencida",F229*J229+ROW()/100000,0)</f>
        <v>0</v>
      </c>
      <c r="O229" s="39">
        <f>IF(AND(I229="A vencer",K229&lt;=Config!$B$7),100000-K229-ROW()/100000,0)</f>
        <v>0</v>
      </c>
    </row>
    <row r="230">
      <c r="A230" s="33" t="n"/>
      <c r="B230" s="33" t="n"/>
      <c r="C230" s="37" t="n"/>
      <c r="D230" s="35" t="n"/>
      <c r="E230" s="37" t="n"/>
      <c r="F230" s="38" t="n"/>
      <c r="G230" s="35" t="n"/>
      <c r="H230" s="37" t="n"/>
      <c r="I230" s="24">
        <f>IF(A230="","",IF(G230="Sim","Paga",IF(E230="","Sem vencimento",IF(E230&lt;Config!$B$5,"Vencida","A vencer"))))</f>
        <v/>
      </c>
      <c r="J230" s="30">
        <f>IF(I230="Vencida",Config!$B$5-E230,"")</f>
        <v/>
      </c>
      <c r="K230" s="30">
        <f>IF(I230="A vencer",E230-Config!$B$5,"")</f>
        <v/>
      </c>
      <c r="L230" s="24">
        <f>IF(I230&lt;&gt;"Vencida","",IF(COUNTIF(Config!$A$10:$A$13,"&lt;="&amp;J230)=0,"Antes da régua",INDEX(Config!$C$10:$C$13,COUNTIF(Config!$A$10:$A$13,"&lt;="&amp;J230))))</f>
        <v/>
      </c>
      <c r="M230" s="23">
        <f>IF(I230&lt;&gt;"Vencida","",IF(COUNTIF(Config!$A$10:$A$13,"&lt;="&amp;J230)=0,"Aguardar: ainda não chegou ao primeiro passo da régua.",INDEX(Config!$B$10:$B$13,COUNTIF(Config!$A$10:$A$13,"&lt;="&amp;J230))))</f>
        <v/>
      </c>
      <c r="N230" s="39">
        <f>IF(I230="Vencida",F230*J230+ROW()/100000,0)</f>
        <v>0</v>
      </c>
      <c r="O230" s="39">
        <f>IF(AND(I230="A vencer",K230&lt;=Config!$B$7),100000-K230-ROW()/100000,0)</f>
        <v>0</v>
      </c>
    </row>
    <row r="231">
      <c r="A231" s="33" t="n"/>
      <c r="B231" s="33" t="n"/>
      <c r="C231" s="37" t="n"/>
      <c r="D231" s="35" t="n"/>
      <c r="E231" s="37" t="n"/>
      <c r="F231" s="38" t="n"/>
      <c r="G231" s="35" t="n"/>
      <c r="H231" s="37" t="n"/>
      <c r="I231" s="24">
        <f>IF(A231="","",IF(G231="Sim","Paga",IF(E231="","Sem vencimento",IF(E231&lt;Config!$B$5,"Vencida","A vencer"))))</f>
        <v/>
      </c>
      <c r="J231" s="30">
        <f>IF(I231="Vencida",Config!$B$5-E231,"")</f>
        <v/>
      </c>
      <c r="K231" s="30">
        <f>IF(I231="A vencer",E231-Config!$B$5,"")</f>
        <v/>
      </c>
      <c r="L231" s="24">
        <f>IF(I231&lt;&gt;"Vencida","",IF(COUNTIF(Config!$A$10:$A$13,"&lt;="&amp;J231)=0,"Antes da régua",INDEX(Config!$C$10:$C$13,COUNTIF(Config!$A$10:$A$13,"&lt;="&amp;J231))))</f>
        <v/>
      </c>
      <c r="M231" s="23">
        <f>IF(I231&lt;&gt;"Vencida","",IF(COUNTIF(Config!$A$10:$A$13,"&lt;="&amp;J231)=0,"Aguardar: ainda não chegou ao primeiro passo da régua.",INDEX(Config!$B$10:$B$13,COUNTIF(Config!$A$10:$A$13,"&lt;="&amp;J231))))</f>
        <v/>
      </c>
      <c r="N231" s="39">
        <f>IF(I231="Vencida",F231*J231+ROW()/100000,0)</f>
        <v>0</v>
      </c>
      <c r="O231" s="39">
        <f>IF(AND(I231="A vencer",K231&lt;=Config!$B$7),100000-K231-ROW()/100000,0)</f>
        <v>0</v>
      </c>
    </row>
    <row r="232">
      <c r="A232" s="33" t="n"/>
      <c r="B232" s="33" t="n"/>
      <c r="C232" s="37" t="n"/>
      <c r="D232" s="35" t="n"/>
      <c r="E232" s="37" t="n"/>
      <c r="F232" s="38" t="n"/>
      <c r="G232" s="35" t="n"/>
      <c r="H232" s="37" t="n"/>
      <c r="I232" s="24">
        <f>IF(A232="","",IF(G232="Sim","Paga",IF(E232="","Sem vencimento",IF(E232&lt;Config!$B$5,"Vencida","A vencer"))))</f>
        <v/>
      </c>
      <c r="J232" s="30">
        <f>IF(I232="Vencida",Config!$B$5-E232,"")</f>
        <v/>
      </c>
      <c r="K232" s="30">
        <f>IF(I232="A vencer",E232-Config!$B$5,"")</f>
        <v/>
      </c>
      <c r="L232" s="24">
        <f>IF(I232&lt;&gt;"Vencida","",IF(COUNTIF(Config!$A$10:$A$13,"&lt;="&amp;J232)=0,"Antes da régua",INDEX(Config!$C$10:$C$13,COUNTIF(Config!$A$10:$A$13,"&lt;="&amp;J232))))</f>
        <v/>
      </c>
      <c r="M232" s="23">
        <f>IF(I232&lt;&gt;"Vencida","",IF(COUNTIF(Config!$A$10:$A$13,"&lt;="&amp;J232)=0,"Aguardar: ainda não chegou ao primeiro passo da régua.",INDEX(Config!$B$10:$B$13,COUNTIF(Config!$A$10:$A$13,"&lt;="&amp;J232))))</f>
        <v/>
      </c>
      <c r="N232" s="39">
        <f>IF(I232="Vencida",F232*J232+ROW()/100000,0)</f>
        <v>0</v>
      </c>
      <c r="O232" s="39">
        <f>IF(AND(I232="A vencer",K232&lt;=Config!$B$7),100000-K232-ROW()/100000,0)</f>
        <v>0</v>
      </c>
    </row>
    <row r="233">
      <c r="A233" s="33" t="n"/>
      <c r="B233" s="33" t="n"/>
      <c r="C233" s="37" t="n"/>
      <c r="D233" s="35" t="n"/>
      <c r="E233" s="37" t="n"/>
      <c r="F233" s="38" t="n"/>
      <c r="G233" s="35" t="n"/>
      <c r="H233" s="37" t="n"/>
      <c r="I233" s="24">
        <f>IF(A233="","",IF(G233="Sim","Paga",IF(E233="","Sem vencimento",IF(E233&lt;Config!$B$5,"Vencida","A vencer"))))</f>
        <v/>
      </c>
      <c r="J233" s="30">
        <f>IF(I233="Vencida",Config!$B$5-E233,"")</f>
        <v/>
      </c>
      <c r="K233" s="30">
        <f>IF(I233="A vencer",E233-Config!$B$5,"")</f>
        <v/>
      </c>
      <c r="L233" s="24">
        <f>IF(I233&lt;&gt;"Vencida","",IF(COUNTIF(Config!$A$10:$A$13,"&lt;="&amp;J233)=0,"Antes da régua",INDEX(Config!$C$10:$C$13,COUNTIF(Config!$A$10:$A$13,"&lt;="&amp;J233))))</f>
        <v/>
      </c>
      <c r="M233" s="23">
        <f>IF(I233&lt;&gt;"Vencida","",IF(COUNTIF(Config!$A$10:$A$13,"&lt;="&amp;J233)=0,"Aguardar: ainda não chegou ao primeiro passo da régua.",INDEX(Config!$B$10:$B$13,COUNTIF(Config!$A$10:$A$13,"&lt;="&amp;J233))))</f>
        <v/>
      </c>
      <c r="N233" s="39">
        <f>IF(I233="Vencida",F233*J233+ROW()/100000,0)</f>
        <v>0</v>
      </c>
      <c r="O233" s="39">
        <f>IF(AND(I233="A vencer",K233&lt;=Config!$B$7),100000-K233-ROW()/100000,0)</f>
        <v>0</v>
      </c>
    </row>
    <row r="234">
      <c r="A234" s="33" t="n"/>
      <c r="B234" s="33" t="n"/>
      <c r="C234" s="37" t="n"/>
      <c r="D234" s="35" t="n"/>
      <c r="E234" s="37" t="n"/>
      <c r="F234" s="38" t="n"/>
      <c r="G234" s="35" t="n"/>
      <c r="H234" s="37" t="n"/>
      <c r="I234" s="24">
        <f>IF(A234="","",IF(G234="Sim","Paga",IF(E234="","Sem vencimento",IF(E234&lt;Config!$B$5,"Vencida","A vencer"))))</f>
        <v/>
      </c>
      <c r="J234" s="30">
        <f>IF(I234="Vencida",Config!$B$5-E234,"")</f>
        <v/>
      </c>
      <c r="K234" s="30">
        <f>IF(I234="A vencer",E234-Config!$B$5,"")</f>
        <v/>
      </c>
      <c r="L234" s="24">
        <f>IF(I234&lt;&gt;"Vencida","",IF(COUNTIF(Config!$A$10:$A$13,"&lt;="&amp;J234)=0,"Antes da régua",INDEX(Config!$C$10:$C$13,COUNTIF(Config!$A$10:$A$13,"&lt;="&amp;J234))))</f>
        <v/>
      </c>
      <c r="M234" s="23">
        <f>IF(I234&lt;&gt;"Vencida","",IF(COUNTIF(Config!$A$10:$A$13,"&lt;="&amp;J234)=0,"Aguardar: ainda não chegou ao primeiro passo da régua.",INDEX(Config!$B$10:$B$13,COUNTIF(Config!$A$10:$A$13,"&lt;="&amp;J234))))</f>
        <v/>
      </c>
      <c r="N234" s="39">
        <f>IF(I234="Vencida",F234*J234+ROW()/100000,0)</f>
        <v>0</v>
      </c>
      <c r="O234" s="39">
        <f>IF(AND(I234="A vencer",K234&lt;=Config!$B$7),100000-K234-ROW()/100000,0)</f>
        <v>0</v>
      </c>
    </row>
    <row r="235">
      <c r="A235" s="33" t="n"/>
      <c r="B235" s="33" t="n"/>
      <c r="C235" s="37" t="n"/>
      <c r="D235" s="35" t="n"/>
      <c r="E235" s="37" t="n"/>
      <c r="F235" s="38" t="n"/>
      <c r="G235" s="35" t="n"/>
      <c r="H235" s="37" t="n"/>
      <c r="I235" s="24">
        <f>IF(A235="","",IF(G235="Sim","Paga",IF(E235="","Sem vencimento",IF(E235&lt;Config!$B$5,"Vencida","A vencer"))))</f>
        <v/>
      </c>
      <c r="J235" s="30">
        <f>IF(I235="Vencida",Config!$B$5-E235,"")</f>
        <v/>
      </c>
      <c r="K235" s="30">
        <f>IF(I235="A vencer",E235-Config!$B$5,"")</f>
        <v/>
      </c>
      <c r="L235" s="24">
        <f>IF(I235&lt;&gt;"Vencida","",IF(COUNTIF(Config!$A$10:$A$13,"&lt;="&amp;J235)=0,"Antes da régua",INDEX(Config!$C$10:$C$13,COUNTIF(Config!$A$10:$A$13,"&lt;="&amp;J235))))</f>
        <v/>
      </c>
      <c r="M235" s="23">
        <f>IF(I235&lt;&gt;"Vencida","",IF(COUNTIF(Config!$A$10:$A$13,"&lt;="&amp;J235)=0,"Aguardar: ainda não chegou ao primeiro passo da régua.",INDEX(Config!$B$10:$B$13,COUNTIF(Config!$A$10:$A$13,"&lt;="&amp;J235))))</f>
        <v/>
      </c>
      <c r="N235" s="39">
        <f>IF(I235="Vencida",F235*J235+ROW()/100000,0)</f>
        <v>0</v>
      </c>
      <c r="O235" s="39">
        <f>IF(AND(I235="A vencer",K235&lt;=Config!$B$7),100000-K235-ROW()/100000,0)</f>
        <v>0</v>
      </c>
    </row>
    <row r="236">
      <c r="A236" s="33" t="n"/>
      <c r="B236" s="33" t="n"/>
      <c r="C236" s="37" t="n"/>
      <c r="D236" s="35" t="n"/>
      <c r="E236" s="37" t="n"/>
      <c r="F236" s="38" t="n"/>
      <c r="G236" s="35" t="n"/>
      <c r="H236" s="37" t="n"/>
      <c r="I236" s="24">
        <f>IF(A236="","",IF(G236="Sim","Paga",IF(E236="","Sem vencimento",IF(E236&lt;Config!$B$5,"Vencida","A vencer"))))</f>
        <v/>
      </c>
      <c r="J236" s="30">
        <f>IF(I236="Vencida",Config!$B$5-E236,"")</f>
        <v/>
      </c>
      <c r="K236" s="30">
        <f>IF(I236="A vencer",E236-Config!$B$5,"")</f>
        <v/>
      </c>
      <c r="L236" s="24">
        <f>IF(I236&lt;&gt;"Vencida","",IF(COUNTIF(Config!$A$10:$A$13,"&lt;="&amp;J236)=0,"Antes da régua",INDEX(Config!$C$10:$C$13,COUNTIF(Config!$A$10:$A$13,"&lt;="&amp;J236))))</f>
        <v/>
      </c>
      <c r="M236" s="23">
        <f>IF(I236&lt;&gt;"Vencida","",IF(COUNTIF(Config!$A$10:$A$13,"&lt;="&amp;J236)=0,"Aguardar: ainda não chegou ao primeiro passo da régua.",INDEX(Config!$B$10:$B$13,COUNTIF(Config!$A$10:$A$13,"&lt;="&amp;J236))))</f>
        <v/>
      </c>
      <c r="N236" s="39">
        <f>IF(I236="Vencida",F236*J236+ROW()/100000,0)</f>
        <v>0</v>
      </c>
      <c r="O236" s="39">
        <f>IF(AND(I236="A vencer",K236&lt;=Config!$B$7),100000-K236-ROW()/100000,0)</f>
        <v>0</v>
      </c>
    </row>
    <row r="237">
      <c r="A237" s="33" t="n"/>
      <c r="B237" s="33" t="n"/>
      <c r="C237" s="37" t="n"/>
      <c r="D237" s="35" t="n"/>
      <c r="E237" s="37" t="n"/>
      <c r="F237" s="38" t="n"/>
      <c r="G237" s="35" t="n"/>
      <c r="H237" s="37" t="n"/>
      <c r="I237" s="24">
        <f>IF(A237="","",IF(G237="Sim","Paga",IF(E237="","Sem vencimento",IF(E237&lt;Config!$B$5,"Vencida","A vencer"))))</f>
        <v/>
      </c>
      <c r="J237" s="30">
        <f>IF(I237="Vencida",Config!$B$5-E237,"")</f>
        <v/>
      </c>
      <c r="K237" s="30">
        <f>IF(I237="A vencer",E237-Config!$B$5,"")</f>
        <v/>
      </c>
      <c r="L237" s="24">
        <f>IF(I237&lt;&gt;"Vencida","",IF(COUNTIF(Config!$A$10:$A$13,"&lt;="&amp;J237)=0,"Antes da régua",INDEX(Config!$C$10:$C$13,COUNTIF(Config!$A$10:$A$13,"&lt;="&amp;J237))))</f>
        <v/>
      </c>
      <c r="M237" s="23">
        <f>IF(I237&lt;&gt;"Vencida","",IF(COUNTIF(Config!$A$10:$A$13,"&lt;="&amp;J237)=0,"Aguardar: ainda não chegou ao primeiro passo da régua.",INDEX(Config!$B$10:$B$13,COUNTIF(Config!$A$10:$A$13,"&lt;="&amp;J237))))</f>
        <v/>
      </c>
      <c r="N237" s="39">
        <f>IF(I237="Vencida",F237*J237+ROW()/100000,0)</f>
        <v>0</v>
      </c>
      <c r="O237" s="39">
        <f>IF(AND(I237="A vencer",K237&lt;=Config!$B$7),100000-K237-ROW()/100000,0)</f>
        <v>0</v>
      </c>
    </row>
    <row r="238">
      <c r="A238" s="33" t="n"/>
      <c r="B238" s="33" t="n"/>
      <c r="C238" s="37" t="n"/>
      <c r="D238" s="35" t="n"/>
      <c r="E238" s="37" t="n"/>
      <c r="F238" s="38" t="n"/>
      <c r="G238" s="35" t="n"/>
      <c r="H238" s="37" t="n"/>
      <c r="I238" s="24">
        <f>IF(A238="","",IF(G238="Sim","Paga",IF(E238="","Sem vencimento",IF(E238&lt;Config!$B$5,"Vencida","A vencer"))))</f>
        <v/>
      </c>
      <c r="J238" s="30">
        <f>IF(I238="Vencida",Config!$B$5-E238,"")</f>
        <v/>
      </c>
      <c r="K238" s="30">
        <f>IF(I238="A vencer",E238-Config!$B$5,"")</f>
        <v/>
      </c>
      <c r="L238" s="24">
        <f>IF(I238&lt;&gt;"Vencida","",IF(COUNTIF(Config!$A$10:$A$13,"&lt;="&amp;J238)=0,"Antes da régua",INDEX(Config!$C$10:$C$13,COUNTIF(Config!$A$10:$A$13,"&lt;="&amp;J238))))</f>
        <v/>
      </c>
      <c r="M238" s="23">
        <f>IF(I238&lt;&gt;"Vencida","",IF(COUNTIF(Config!$A$10:$A$13,"&lt;="&amp;J238)=0,"Aguardar: ainda não chegou ao primeiro passo da régua.",INDEX(Config!$B$10:$B$13,COUNTIF(Config!$A$10:$A$13,"&lt;="&amp;J238))))</f>
        <v/>
      </c>
      <c r="N238" s="39">
        <f>IF(I238="Vencida",F238*J238+ROW()/100000,0)</f>
        <v>0</v>
      </c>
      <c r="O238" s="39">
        <f>IF(AND(I238="A vencer",K238&lt;=Config!$B$7),100000-K238-ROW()/100000,0)</f>
        <v>0</v>
      </c>
    </row>
    <row r="239">
      <c r="A239" s="33" t="n"/>
      <c r="B239" s="33" t="n"/>
      <c r="C239" s="37" t="n"/>
      <c r="D239" s="35" t="n"/>
      <c r="E239" s="37" t="n"/>
      <c r="F239" s="38" t="n"/>
      <c r="G239" s="35" t="n"/>
      <c r="H239" s="37" t="n"/>
      <c r="I239" s="24">
        <f>IF(A239="","",IF(G239="Sim","Paga",IF(E239="","Sem vencimento",IF(E239&lt;Config!$B$5,"Vencida","A vencer"))))</f>
        <v/>
      </c>
      <c r="J239" s="30">
        <f>IF(I239="Vencida",Config!$B$5-E239,"")</f>
        <v/>
      </c>
      <c r="K239" s="30">
        <f>IF(I239="A vencer",E239-Config!$B$5,"")</f>
        <v/>
      </c>
      <c r="L239" s="24">
        <f>IF(I239&lt;&gt;"Vencida","",IF(COUNTIF(Config!$A$10:$A$13,"&lt;="&amp;J239)=0,"Antes da régua",INDEX(Config!$C$10:$C$13,COUNTIF(Config!$A$10:$A$13,"&lt;="&amp;J239))))</f>
        <v/>
      </c>
      <c r="M239" s="23">
        <f>IF(I239&lt;&gt;"Vencida","",IF(COUNTIF(Config!$A$10:$A$13,"&lt;="&amp;J239)=0,"Aguardar: ainda não chegou ao primeiro passo da régua.",INDEX(Config!$B$10:$B$13,COUNTIF(Config!$A$10:$A$13,"&lt;="&amp;J239))))</f>
        <v/>
      </c>
      <c r="N239" s="39">
        <f>IF(I239="Vencida",F239*J239+ROW()/100000,0)</f>
        <v>0</v>
      </c>
      <c r="O239" s="39">
        <f>IF(AND(I239="A vencer",K239&lt;=Config!$B$7),100000-K239-ROW()/100000,0)</f>
        <v>0</v>
      </c>
    </row>
    <row r="240">
      <c r="A240" s="33" t="n"/>
      <c r="B240" s="33" t="n"/>
      <c r="C240" s="37" t="n"/>
      <c r="D240" s="35" t="n"/>
      <c r="E240" s="37" t="n"/>
      <c r="F240" s="38" t="n"/>
      <c r="G240" s="35" t="n"/>
      <c r="H240" s="37" t="n"/>
      <c r="I240" s="24">
        <f>IF(A240="","",IF(G240="Sim","Paga",IF(E240="","Sem vencimento",IF(E240&lt;Config!$B$5,"Vencida","A vencer"))))</f>
        <v/>
      </c>
      <c r="J240" s="30">
        <f>IF(I240="Vencida",Config!$B$5-E240,"")</f>
        <v/>
      </c>
      <c r="K240" s="30">
        <f>IF(I240="A vencer",E240-Config!$B$5,"")</f>
        <v/>
      </c>
      <c r="L240" s="24">
        <f>IF(I240&lt;&gt;"Vencida","",IF(COUNTIF(Config!$A$10:$A$13,"&lt;="&amp;J240)=0,"Antes da régua",INDEX(Config!$C$10:$C$13,COUNTIF(Config!$A$10:$A$13,"&lt;="&amp;J240))))</f>
        <v/>
      </c>
      <c r="M240" s="23">
        <f>IF(I240&lt;&gt;"Vencida","",IF(COUNTIF(Config!$A$10:$A$13,"&lt;="&amp;J240)=0,"Aguardar: ainda não chegou ao primeiro passo da régua.",INDEX(Config!$B$10:$B$13,COUNTIF(Config!$A$10:$A$13,"&lt;="&amp;J240))))</f>
        <v/>
      </c>
      <c r="N240" s="39">
        <f>IF(I240="Vencida",F240*J240+ROW()/100000,0)</f>
        <v>0</v>
      </c>
      <c r="O240" s="39">
        <f>IF(AND(I240="A vencer",K240&lt;=Config!$B$7),100000-K240-ROW()/100000,0)</f>
        <v>0</v>
      </c>
    </row>
    <row r="241">
      <c r="A241" s="33" t="n"/>
      <c r="B241" s="33" t="n"/>
      <c r="C241" s="37" t="n"/>
      <c r="D241" s="35" t="n"/>
      <c r="E241" s="37" t="n"/>
      <c r="F241" s="38" t="n"/>
      <c r="G241" s="35" t="n"/>
      <c r="H241" s="37" t="n"/>
      <c r="I241" s="24">
        <f>IF(A241="","",IF(G241="Sim","Paga",IF(E241="","Sem vencimento",IF(E241&lt;Config!$B$5,"Vencida","A vencer"))))</f>
        <v/>
      </c>
      <c r="J241" s="30">
        <f>IF(I241="Vencida",Config!$B$5-E241,"")</f>
        <v/>
      </c>
      <c r="K241" s="30">
        <f>IF(I241="A vencer",E241-Config!$B$5,"")</f>
        <v/>
      </c>
      <c r="L241" s="24">
        <f>IF(I241&lt;&gt;"Vencida","",IF(COUNTIF(Config!$A$10:$A$13,"&lt;="&amp;J241)=0,"Antes da régua",INDEX(Config!$C$10:$C$13,COUNTIF(Config!$A$10:$A$13,"&lt;="&amp;J241))))</f>
        <v/>
      </c>
      <c r="M241" s="23">
        <f>IF(I241&lt;&gt;"Vencida","",IF(COUNTIF(Config!$A$10:$A$13,"&lt;="&amp;J241)=0,"Aguardar: ainda não chegou ao primeiro passo da régua.",INDEX(Config!$B$10:$B$13,COUNTIF(Config!$A$10:$A$13,"&lt;="&amp;J241))))</f>
        <v/>
      </c>
      <c r="N241" s="39">
        <f>IF(I241="Vencida",F241*J241+ROW()/100000,0)</f>
        <v>0</v>
      </c>
      <c r="O241" s="39">
        <f>IF(AND(I241="A vencer",K241&lt;=Config!$B$7),100000-K241-ROW()/100000,0)</f>
        <v>0</v>
      </c>
    </row>
    <row r="242">
      <c r="A242" s="33" t="n"/>
      <c r="B242" s="33" t="n"/>
      <c r="C242" s="37" t="n"/>
      <c r="D242" s="35" t="n"/>
      <c r="E242" s="37" t="n"/>
      <c r="F242" s="38" t="n"/>
      <c r="G242" s="35" t="n"/>
      <c r="H242" s="37" t="n"/>
      <c r="I242" s="24">
        <f>IF(A242="","",IF(G242="Sim","Paga",IF(E242="","Sem vencimento",IF(E242&lt;Config!$B$5,"Vencida","A vencer"))))</f>
        <v/>
      </c>
      <c r="J242" s="30">
        <f>IF(I242="Vencida",Config!$B$5-E242,"")</f>
        <v/>
      </c>
      <c r="K242" s="30">
        <f>IF(I242="A vencer",E242-Config!$B$5,"")</f>
        <v/>
      </c>
      <c r="L242" s="24">
        <f>IF(I242&lt;&gt;"Vencida","",IF(COUNTIF(Config!$A$10:$A$13,"&lt;="&amp;J242)=0,"Antes da régua",INDEX(Config!$C$10:$C$13,COUNTIF(Config!$A$10:$A$13,"&lt;="&amp;J242))))</f>
        <v/>
      </c>
      <c r="M242" s="23">
        <f>IF(I242&lt;&gt;"Vencida","",IF(COUNTIF(Config!$A$10:$A$13,"&lt;="&amp;J242)=0,"Aguardar: ainda não chegou ao primeiro passo da régua.",INDEX(Config!$B$10:$B$13,COUNTIF(Config!$A$10:$A$13,"&lt;="&amp;J242))))</f>
        <v/>
      </c>
      <c r="N242" s="39">
        <f>IF(I242="Vencida",F242*J242+ROW()/100000,0)</f>
        <v>0</v>
      </c>
      <c r="O242" s="39">
        <f>IF(AND(I242="A vencer",K242&lt;=Config!$B$7),100000-K242-ROW()/100000,0)</f>
        <v>0</v>
      </c>
    </row>
    <row r="243">
      <c r="A243" s="33" t="n"/>
      <c r="B243" s="33" t="n"/>
      <c r="C243" s="37" t="n"/>
      <c r="D243" s="35" t="n"/>
      <c r="E243" s="37" t="n"/>
      <c r="F243" s="38" t="n"/>
      <c r="G243" s="35" t="n"/>
      <c r="H243" s="37" t="n"/>
      <c r="I243" s="24">
        <f>IF(A243="","",IF(G243="Sim","Paga",IF(E243="","Sem vencimento",IF(E243&lt;Config!$B$5,"Vencida","A vencer"))))</f>
        <v/>
      </c>
      <c r="J243" s="30">
        <f>IF(I243="Vencida",Config!$B$5-E243,"")</f>
        <v/>
      </c>
      <c r="K243" s="30">
        <f>IF(I243="A vencer",E243-Config!$B$5,"")</f>
        <v/>
      </c>
      <c r="L243" s="24">
        <f>IF(I243&lt;&gt;"Vencida","",IF(COUNTIF(Config!$A$10:$A$13,"&lt;="&amp;J243)=0,"Antes da régua",INDEX(Config!$C$10:$C$13,COUNTIF(Config!$A$10:$A$13,"&lt;="&amp;J243))))</f>
        <v/>
      </c>
      <c r="M243" s="23">
        <f>IF(I243&lt;&gt;"Vencida","",IF(COUNTIF(Config!$A$10:$A$13,"&lt;="&amp;J243)=0,"Aguardar: ainda não chegou ao primeiro passo da régua.",INDEX(Config!$B$10:$B$13,COUNTIF(Config!$A$10:$A$13,"&lt;="&amp;J243))))</f>
        <v/>
      </c>
      <c r="N243" s="39">
        <f>IF(I243="Vencida",F243*J243+ROW()/100000,0)</f>
        <v>0</v>
      </c>
      <c r="O243" s="39">
        <f>IF(AND(I243="A vencer",K243&lt;=Config!$B$7),100000-K243-ROW()/100000,0)</f>
        <v>0</v>
      </c>
    </row>
    <row r="244">
      <c r="A244" s="33" t="n"/>
      <c r="B244" s="33" t="n"/>
      <c r="C244" s="37" t="n"/>
      <c r="D244" s="35" t="n"/>
      <c r="E244" s="37" t="n"/>
      <c r="F244" s="38" t="n"/>
      <c r="G244" s="35" t="n"/>
      <c r="H244" s="37" t="n"/>
      <c r="I244" s="24">
        <f>IF(A244="","",IF(G244="Sim","Paga",IF(E244="","Sem vencimento",IF(E244&lt;Config!$B$5,"Vencida","A vencer"))))</f>
        <v/>
      </c>
      <c r="J244" s="30">
        <f>IF(I244="Vencida",Config!$B$5-E244,"")</f>
        <v/>
      </c>
      <c r="K244" s="30">
        <f>IF(I244="A vencer",E244-Config!$B$5,"")</f>
        <v/>
      </c>
      <c r="L244" s="24">
        <f>IF(I244&lt;&gt;"Vencida","",IF(COUNTIF(Config!$A$10:$A$13,"&lt;="&amp;J244)=0,"Antes da régua",INDEX(Config!$C$10:$C$13,COUNTIF(Config!$A$10:$A$13,"&lt;="&amp;J244))))</f>
        <v/>
      </c>
      <c r="M244" s="23">
        <f>IF(I244&lt;&gt;"Vencida","",IF(COUNTIF(Config!$A$10:$A$13,"&lt;="&amp;J244)=0,"Aguardar: ainda não chegou ao primeiro passo da régua.",INDEX(Config!$B$10:$B$13,COUNTIF(Config!$A$10:$A$13,"&lt;="&amp;J244))))</f>
        <v/>
      </c>
      <c r="N244" s="39">
        <f>IF(I244="Vencida",F244*J244+ROW()/100000,0)</f>
        <v>0</v>
      </c>
      <c r="O244" s="39">
        <f>IF(AND(I244="A vencer",K244&lt;=Config!$B$7),100000-K244-ROW()/100000,0)</f>
        <v>0</v>
      </c>
    </row>
    <row r="245">
      <c r="A245" s="33" t="n"/>
      <c r="B245" s="33" t="n"/>
      <c r="C245" s="37" t="n"/>
      <c r="D245" s="35" t="n"/>
      <c r="E245" s="37" t="n"/>
      <c r="F245" s="38" t="n"/>
      <c r="G245" s="35" t="n"/>
      <c r="H245" s="37" t="n"/>
      <c r="I245" s="24">
        <f>IF(A245="","",IF(G245="Sim","Paga",IF(E245="","Sem vencimento",IF(E245&lt;Config!$B$5,"Vencida","A vencer"))))</f>
        <v/>
      </c>
      <c r="J245" s="30">
        <f>IF(I245="Vencida",Config!$B$5-E245,"")</f>
        <v/>
      </c>
      <c r="K245" s="30">
        <f>IF(I245="A vencer",E245-Config!$B$5,"")</f>
        <v/>
      </c>
      <c r="L245" s="24">
        <f>IF(I245&lt;&gt;"Vencida","",IF(COUNTIF(Config!$A$10:$A$13,"&lt;="&amp;J245)=0,"Antes da régua",INDEX(Config!$C$10:$C$13,COUNTIF(Config!$A$10:$A$13,"&lt;="&amp;J245))))</f>
        <v/>
      </c>
      <c r="M245" s="23">
        <f>IF(I245&lt;&gt;"Vencida","",IF(COUNTIF(Config!$A$10:$A$13,"&lt;="&amp;J245)=0,"Aguardar: ainda não chegou ao primeiro passo da régua.",INDEX(Config!$B$10:$B$13,COUNTIF(Config!$A$10:$A$13,"&lt;="&amp;J245))))</f>
        <v/>
      </c>
      <c r="N245" s="39">
        <f>IF(I245="Vencida",F245*J245+ROW()/100000,0)</f>
        <v>0</v>
      </c>
      <c r="O245" s="39">
        <f>IF(AND(I245="A vencer",K245&lt;=Config!$B$7),100000-K245-ROW()/100000,0)</f>
        <v>0</v>
      </c>
    </row>
    <row r="246">
      <c r="A246" s="33" t="n"/>
      <c r="B246" s="33" t="n"/>
      <c r="C246" s="37" t="n"/>
      <c r="D246" s="35" t="n"/>
      <c r="E246" s="37" t="n"/>
      <c r="F246" s="38" t="n"/>
      <c r="G246" s="35" t="n"/>
      <c r="H246" s="37" t="n"/>
      <c r="I246" s="24">
        <f>IF(A246="","",IF(G246="Sim","Paga",IF(E246="","Sem vencimento",IF(E246&lt;Config!$B$5,"Vencida","A vencer"))))</f>
        <v/>
      </c>
      <c r="J246" s="30">
        <f>IF(I246="Vencida",Config!$B$5-E246,"")</f>
        <v/>
      </c>
      <c r="K246" s="30">
        <f>IF(I246="A vencer",E246-Config!$B$5,"")</f>
        <v/>
      </c>
      <c r="L246" s="24">
        <f>IF(I246&lt;&gt;"Vencida","",IF(COUNTIF(Config!$A$10:$A$13,"&lt;="&amp;J246)=0,"Antes da régua",INDEX(Config!$C$10:$C$13,COUNTIF(Config!$A$10:$A$13,"&lt;="&amp;J246))))</f>
        <v/>
      </c>
      <c r="M246" s="23">
        <f>IF(I246&lt;&gt;"Vencida","",IF(COUNTIF(Config!$A$10:$A$13,"&lt;="&amp;J246)=0,"Aguardar: ainda não chegou ao primeiro passo da régua.",INDEX(Config!$B$10:$B$13,COUNTIF(Config!$A$10:$A$13,"&lt;="&amp;J246))))</f>
        <v/>
      </c>
      <c r="N246" s="39">
        <f>IF(I246="Vencida",F246*J246+ROW()/100000,0)</f>
        <v>0</v>
      </c>
      <c r="O246" s="39">
        <f>IF(AND(I246="A vencer",K246&lt;=Config!$B$7),100000-K246-ROW()/100000,0)</f>
        <v>0</v>
      </c>
    </row>
    <row r="247">
      <c r="A247" s="33" t="n"/>
      <c r="B247" s="33" t="n"/>
      <c r="C247" s="37" t="n"/>
      <c r="D247" s="35" t="n"/>
      <c r="E247" s="37" t="n"/>
      <c r="F247" s="38" t="n"/>
      <c r="G247" s="35" t="n"/>
      <c r="H247" s="37" t="n"/>
      <c r="I247" s="24">
        <f>IF(A247="","",IF(G247="Sim","Paga",IF(E247="","Sem vencimento",IF(E247&lt;Config!$B$5,"Vencida","A vencer"))))</f>
        <v/>
      </c>
      <c r="J247" s="30">
        <f>IF(I247="Vencida",Config!$B$5-E247,"")</f>
        <v/>
      </c>
      <c r="K247" s="30">
        <f>IF(I247="A vencer",E247-Config!$B$5,"")</f>
        <v/>
      </c>
      <c r="L247" s="24">
        <f>IF(I247&lt;&gt;"Vencida","",IF(COUNTIF(Config!$A$10:$A$13,"&lt;="&amp;J247)=0,"Antes da régua",INDEX(Config!$C$10:$C$13,COUNTIF(Config!$A$10:$A$13,"&lt;="&amp;J247))))</f>
        <v/>
      </c>
      <c r="M247" s="23">
        <f>IF(I247&lt;&gt;"Vencida","",IF(COUNTIF(Config!$A$10:$A$13,"&lt;="&amp;J247)=0,"Aguardar: ainda não chegou ao primeiro passo da régua.",INDEX(Config!$B$10:$B$13,COUNTIF(Config!$A$10:$A$13,"&lt;="&amp;J247))))</f>
        <v/>
      </c>
      <c r="N247" s="39">
        <f>IF(I247="Vencida",F247*J247+ROW()/100000,0)</f>
        <v>0</v>
      </c>
      <c r="O247" s="39">
        <f>IF(AND(I247="A vencer",K247&lt;=Config!$B$7),100000-K247-ROW()/100000,0)</f>
        <v>0</v>
      </c>
    </row>
    <row r="248">
      <c r="A248" s="33" t="n"/>
      <c r="B248" s="33" t="n"/>
      <c r="C248" s="37" t="n"/>
      <c r="D248" s="35" t="n"/>
      <c r="E248" s="37" t="n"/>
      <c r="F248" s="38" t="n"/>
      <c r="G248" s="35" t="n"/>
      <c r="H248" s="37" t="n"/>
      <c r="I248" s="24">
        <f>IF(A248="","",IF(G248="Sim","Paga",IF(E248="","Sem vencimento",IF(E248&lt;Config!$B$5,"Vencida","A vencer"))))</f>
        <v/>
      </c>
      <c r="J248" s="30">
        <f>IF(I248="Vencida",Config!$B$5-E248,"")</f>
        <v/>
      </c>
      <c r="K248" s="30">
        <f>IF(I248="A vencer",E248-Config!$B$5,"")</f>
        <v/>
      </c>
      <c r="L248" s="24">
        <f>IF(I248&lt;&gt;"Vencida","",IF(COUNTIF(Config!$A$10:$A$13,"&lt;="&amp;J248)=0,"Antes da régua",INDEX(Config!$C$10:$C$13,COUNTIF(Config!$A$10:$A$13,"&lt;="&amp;J248))))</f>
        <v/>
      </c>
      <c r="M248" s="23">
        <f>IF(I248&lt;&gt;"Vencida","",IF(COUNTIF(Config!$A$10:$A$13,"&lt;="&amp;J248)=0,"Aguardar: ainda não chegou ao primeiro passo da régua.",INDEX(Config!$B$10:$B$13,COUNTIF(Config!$A$10:$A$13,"&lt;="&amp;J248))))</f>
        <v/>
      </c>
      <c r="N248" s="39">
        <f>IF(I248="Vencida",F248*J248+ROW()/100000,0)</f>
        <v>0</v>
      </c>
      <c r="O248" s="39">
        <f>IF(AND(I248="A vencer",K248&lt;=Config!$B$7),100000-K248-ROW()/100000,0)</f>
        <v>0</v>
      </c>
    </row>
    <row r="249">
      <c r="A249" s="33" t="n"/>
      <c r="B249" s="33" t="n"/>
      <c r="C249" s="37" t="n"/>
      <c r="D249" s="35" t="n"/>
      <c r="E249" s="37" t="n"/>
      <c r="F249" s="38" t="n"/>
      <c r="G249" s="35" t="n"/>
      <c r="H249" s="37" t="n"/>
      <c r="I249" s="24">
        <f>IF(A249="","",IF(G249="Sim","Paga",IF(E249="","Sem vencimento",IF(E249&lt;Config!$B$5,"Vencida","A vencer"))))</f>
        <v/>
      </c>
      <c r="J249" s="30">
        <f>IF(I249="Vencida",Config!$B$5-E249,"")</f>
        <v/>
      </c>
      <c r="K249" s="30">
        <f>IF(I249="A vencer",E249-Config!$B$5,"")</f>
        <v/>
      </c>
      <c r="L249" s="24">
        <f>IF(I249&lt;&gt;"Vencida","",IF(COUNTIF(Config!$A$10:$A$13,"&lt;="&amp;J249)=0,"Antes da régua",INDEX(Config!$C$10:$C$13,COUNTIF(Config!$A$10:$A$13,"&lt;="&amp;J249))))</f>
        <v/>
      </c>
      <c r="M249" s="23">
        <f>IF(I249&lt;&gt;"Vencida","",IF(COUNTIF(Config!$A$10:$A$13,"&lt;="&amp;J249)=0,"Aguardar: ainda não chegou ao primeiro passo da régua.",INDEX(Config!$B$10:$B$13,COUNTIF(Config!$A$10:$A$13,"&lt;="&amp;J249))))</f>
        <v/>
      </c>
      <c r="N249" s="39">
        <f>IF(I249="Vencida",F249*J249+ROW()/100000,0)</f>
        <v>0</v>
      </c>
      <c r="O249" s="39">
        <f>IF(AND(I249="A vencer",K249&lt;=Config!$B$7),100000-K249-ROW()/100000,0)</f>
        <v>0</v>
      </c>
    </row>
    <row r="250">
      <c r="A250" s="33" t="n"/>
      <c r="B250" s="33" t="n"/>
      <c r="C250" s="37" t="n"/>
      <c r="D250" s="35" t="n"/>
      <c r="E250" s="37" t="n"/>
      <c r="F250" s="38" t="n"/>
      <c r="G250" s="35" t="n"/>
      <c r="H250" s="37" t="n"/>
      <c r="I250" s="24">
        <f>IF(A250="","",IF(G250="Sim","Paga",IF(E250="","Sem vencimento",IF(E250&lt;Config!$B$5,"Vencida","A vencer"))))</f>
        <v/>
      </c>
      <c r="J250" s="30">
        <f>IF(I250="Vencida",Config!$B$5-E250,"")</f>
        <v/>
      </c>
      <c r="K250" s="30">
        <f>IF(I250="A vencer",E250-Config!$B$5,"")</f>
        <v/>
      </c>
      <c r="L250" s="24">
        <f>IF(I250&lt;&gt;"Vencida","",IF(COUNTIF(Config!$A$10:$A$13,"&lt;="&amp;J250)=0,"Antes da régua",INDEX(Config!$C$10:$C$13,COUNTIF(Config!$A$10:$A$13,"&lt;="&amp;J250))))</f>
        <v/>
      </c>
      <c r="M250" s="23">
        <f>IF(I250&lt;&gt;"Vencida","",IF(COUNTIF(Config!$A$10:$A$13,"&lt;="&amp;J250)=0,"Aguardar: ainda não chegou ao primeiro passo da régua.",INDEX(Config!$B$10:$B$13,COUNTIF(Config!$A$10:$A$13,"&lt;="&amp;J250))))</f>
        <v/>
      </c>
      <c r="N250" s="39">
        <f>IF(I250="Vencida",F250*J250+ROW()/100000,0)</f>
        <v>0</v>
      </c>
      <c r="O250" s="39">
        <f>IF(AND(I250="A vencer",K250&lt;=Config!$B$7),100000-K250-ROW()/100000,0)</f>
        <v>0</v>
      </c>
    </row>
    <row r="251">
      <c r="A251" s="33" t="n"/>
      <c r="B251" s="33" t="n"/>
      <c r="C251" s="37" t="n"/>
      <c r="D251" s="35" t="n"/>
      <c r="E251" s="37" t="n"/>
      <c r="F251" s="38" t="n"/>
      <c r="G251" s="35" t="n"/>
      <c r="H251" s="37" t="n"/>
      <c r="I251" s="24">
        <f>IF(A251="","",IF(G251="Sim","Paga",IF(E251="","Sem vencimento",IF(E251&lt;Config!$B$5,"Vencida","A vencer"))))</f>
        <v/>
      </c>
      <c r="J251" s="30">
        <f>IF(I251="Vencida",Config!$B$5-E251,"")</f>
        <v/>
      </c>
      <c r="K251" s="30">
        <f>IF(I251="A vencer",E251-Config!$B$5,"")</f>
        <v/>
      </c>
      <c r="L251" s="24">
        <f>IF(I251&lt;&gt;"Vencida","",IF(COUNTIF(Config!$A$10:$A$13,"&lt;="&amp;J251)=0,"Antes da régua",INDEX(Config!$C$10:$C$13,COUNTIF(Config!$A$10:$A$13,"&lt;="&amp;J251))))</f>
        <v/>
      </c>
      <c r="M251" s="23">
        <f>IF(I251&lt;&gt;"Vencida","",IF(COUNTIF(Config!$A$10:$A$13,"&lt;="&amp;J251)=0,"Aguardar: ainda não chegou ao primeiro passo da régua.",INDEX(Config!$B$10:$B$13,COUNTIF(Config!$A$10:$A$13,"&lt;="&amp;J251))))</f>
        <v/>
      </c>
      <c r="N251" s="39">
        <f>IF(I251="Vencida",F251*J251+ROW()/100000,0)</f>
        <v>0</v>
      </c>
      <c r="O251" s="39">
        <f>IF(AND(I251="A vencer",K251&lt;=Config!$B$7),100000-K251-ROW()/100000,0)</f>
        <v>0</v>
      </c>
    </row>
    <row r="252">
      <c r="A252" s="33" t="n"/>
      <c r="B252" s="33" t="n"/>
      <c r="C252" s="37" t="n"/>
      <c r="D252" s="35" t="n"/>
      <c r="E252" s="37" t="n"/>
      <c r="F252" s="38" t="n"/>
      <c r="G252" s="35" t="n"/>
      <c r="H252" s="37" t="n"/>
      <c r="I252" s="24">
        <f>IF(A252="","",IF(G252="Sim","Paga",IF(E252="","Sem vencimento",IF(E252&lt;Config!$B$5,"Vencida","A vencer"))))</f>
        <v/>
      </c>
      <c r="J252" s="30">
        <f>IF(I252="Vencida",Config!$B$5-E252,"")</f>
        <v/>
      </c>
      <c r="K252" s="30">
        <f>IF(I252="A vencer",E252-Config!$B$5,"")</f>
        <v/>
      </c>
      <c r="L252" s="24">
        <f>IF(I252&lt;&gt;"Vencida","",IF(COUNTIF(Config!$A$10:$A$13,"&lt;="&amp;J252)=0,"Antes da régua",INDEX(Config!$C$10:$C$13,COUNTIF(Config!$A$10:$A$13,"&lt;="&amp;J252))))</f>
        <v/>
      </c>
      <c r="M252" s="23">
        <f>IF(I252&lt;&gt;"Vencida","",IF(COUNTIF(Config!$A$10:$A$13,"&lt;="&amp;J252)=0,"Aguardar: ainda não chegou ao primeiro passo da régua.",INDEX(Config!$B$10:$B$13,COUNTIF(Config!$A$10:$A$13,"&lt;="&amp;J252))))</f>
        <v/>
      </c>
      <c r="N252" s="39">
        <f>IF(I252="Vencida",F252*J252+ROW()/100000,0)</f>
        <v>0</v>
      </c>
      <c r="O252" s="39">
        <f>IF(AND(I252="A vencer",K252&lt;=Config!$B$7),100000-K252-ROW()/100000,0)</f>
        <v>0</v>
      </c>
    </row>
    <row r="253">
      <c r="A253" s="33" t="n"/>
      <c r="B253" s="33" t="n"/>
      <c r="C253" s="37" t="n"/>
      <c r="D253" s="35" t="n"/>
      <c r="E253" s="37" t="n"/>
      <c r="F253" s="38" t="n"/>
      <c r="G253" s="35" t="n"/>
      <c r="H253" s="37" t="n"/>
      <c r="I253" s="24">
        <f>IF(A253="","",IF(G253="Sim","Paga",IF(E253="","Sem vencimento",IF(E253&lt;Config!$B$5,"Vencida","A vencer"))))</f>
        <v/>
      </c>
      <c r="J253" s="30">
        <f>IF(I253="Vencida",Config!$B$5-E253,"")</f>
        <v/>
      </c>
      <c r="K253" s="30">
        <f>IF(I253="A vencer",E253-Config!$B$5,"")</f>
        <v/>
      </c>
      <c r="L253" s="24">
        <f>IF(I253&lt;&gt;"Vencida","",IF(COUNTIF(Config!$A$10:$A$13,"&lt;="&amp;J253)=0,"Antes da régua",INDEX(Config!$C$10:$C$13,COUNTIF(Config!$A$10:$A$13,"&lt;="&amp;J253))))</f>
        <v/>
      </c>
      <c r="M253" s="23">
        <f>IF(I253&lt;&gt;"Vencida","",IF(COUNTIF(Config!$A$10:$A$13,"&lt;="&amp;J253)=0,"Aguardar: ainda não chegou ao primeiro passo da régua.",INDEX(Config!$B$10:$B$13,COUNTIF(Config!$A$10:$A$13,"&lt;="&amp;J253))))</f>
        <v/>
      </c>
      <c r="N253" s="39">
        <f>IF(I253="Vencida",F253*J253+ROW()/100000,0)</f>
        <v>0</v>
      </c>
      <c r="O253" s="39">
        <f>IF(AND(I253="A vencer",K253&lt;=Config!$B$7),100000-K253-ROW()/100000,0)</f>
        <v>0</v>
      </c>
    </row>
    <row r="254">
      <c r="A254" s="33" t="n"/>
      <c r="B254" s="33" t="n"/>
      <c r="C254" s="37" t="n"/>
      <c r="D254" s="35" t="n"/>
      <c r="E254" s="37" t="n"/>
      <c r="F254" s="38" t="n"/>
      <c r="G254" s="35" t="n"/>
      <c r="H254" s="37" t="n"/>
      <c r="I254" s="24">
        <f>IF(A254="","",IF(G254="Sim","Paga",IF(E254="","Sem vencimento",IF(E254&lt;Config!$B$5,"Vencida","A vencer"))))</f>
        <v/>
      </c>
      <c r="J254" s="30">
        <f>IF(I254="Vencida",Config!$B$5-E254,"")</f>
        <v/>
      </c>
      <c r="K254" s="30">
        <f>IF(I254="A vencer",E254-Config!$B$5,"")</f>
        <v/>
      </c>
      <c r="L254" s="24">
        <f>IF(I254&lt;&gt;"Vencida","",IF(COUNTIF(Config!$A$10:$A$13,"&lt;="&amp;J254)=0,"Antes da régua",INDEX(Config!$C$10:$C$13,COUNTIF(Config!$A$10:$A$13,"&lt;="&amp;J254))))</f>
        <v/>
      </c>
      <c r="M254" s="23">
        <f>IF(I254&lt;&gt;"Vencida","",IF(COUNTIF(Config!$A$10:$A$13,"&lt;="&amp;J254)=0,"Aguardar: ainda não chegou ao primeiro passo da régua.",INDEX(Config!$B$10:$B$13,COUNTIF(Config!$A$10:$A$13,"&lt;="&amp;J254))))</f>
        <v/>
      </c>
      <c r="N254" s="39">
        <f>IF(I254="Vencida",F254*J254+ROW()/100000,0)</f>
        <v>0</v>
      </c>
      <c r="O254" s="39">
        <f>IF(AND(I254="A vencer",K254&lt;=Config!$B$7),100000-K254-ROW()/100000,0)</f>
        <v>0</v>
      </c>
    </row>
    <row r="255">
      <c r="A255" s="33" t="n"/>
      <c r="B255" s="33" t="n"/>
      <c r="C255" s="37" t="n"/>
      <c r="D255" s="35" t="n"/>
      <c r="E255" s="37" t="n"/>
      <c r="F255" s="38" t="n"/>
      <c r="G255" s="35" t="n"/>
      <c r="H255" s="37" t="n"/>
      <c r="I255" s="24">
        <f>IF(A255="","",IF(G255="Sim","Paga",IF(E255="","Sem vencimento",IF(E255&lt;Config!$B$5,"Vencida","A vencer"))))</f>
        <v/>
      </c>
      <c r="J255" s="30">
        <f>IF(I255="Vencida",Config!$B$5-E255,"")</f>
        <v/>
      </c>
      <c r="K255" s="30">
        <f>IF(I255="A vencer",E255-Config!$B$5,"")</f>
        <v/>
      </c>
      <c r="L255" s="24">
        <f>IF(I255&lt;&gt;"Vencida","",IF(COUNTIF(Config!$A$10:$A$13,"&lt;="&amp;J255)=0,"Antes da régua",INDEX(Config!$C$10:$C$13,COUNTIF(Config!$A$10:$A$13,"&lt;="&amp;J255))))</f>
        <v/>
      </c>
      <c r="M255" s="23">
        <f>IF(I255&lt;&gt;"Vencida","",IF(COUNTIF(Config!$A$10:$A$13,"&lt;="&amp;J255)=0,"Aguardar: ainda não chegou ao primeiro passo da régua.",INDEX(Config!$B$10:$B$13,COUNTIF(Config!$A$10:$A$13,"&lt;="&amp;J255))))</f>
        <v/>
      </c>
      <c r="N255" s="39">
        <f>IF(I255="Vencida",F255*J255+ROW()/100000,0)</f>
        <v>0</v>
      </c>
      <c r="O255" s="39">
        <f>IF(AND(I255="A vencer",K255&lt;=Config!$B$7),100000-K255-ROW()/100000,0)</f>
        <v>0</v>
      </c>
    </row>
    <row r="256">
      <c r="A256" s="33" t="n"/>
      <c r="B256" s="33" t="n"/>
      <c r="C256" s="37" t="n"/>
      <c r="D256" s="35" t="n"/>
      <c r="E256" s="37" t="n"/>
      <c r="F256" s="38" t="n"/>
      <c r="G256" s="35" t="n"/>
      <c r="H256" s="37" t="n"/>
      <c r="I256" s="24">
        <f>IF(A256="","",IF(G256="Sim","Paga",IF(E256="","Sem vencimento",IF(E256&lt;Config!$B$5,"Vencida","A vencer"))))</f>
        <v/>
      </c>
      <c r="J256" s="30">
        <f>IF(I256="Vencida",Config!$B$5-E256,"")</f>
        <v/>
      </c>
      <c r="K256" s="30">
        <f>IF(I256="A vencer",E256-Config!$B$5,"")</f>
        <v/>
      </c>
      <c r="L256" s="24">
        <f>IF(I256&lt;&gt;"Vencida","",IF(COUNTIF(Config!$A$10:$A$13,"&lt;="&amp;J256)=0,"Antes da régua",INDEX(Config!$C$10:$C$13,COUNTIF(Config!$A$10:$A$13,"&lt;="&amp;J256))))</f>
        <v/>
      </c>
      <c r="M256" s="23">
        <f>IF(I256&lt;&gt;"Vencida","",IF(COUNTIF(Config!$A$10:$A$13,"&lt;="&amp;J256)=0,"Aguardar: ainda não chegou ao primeiro passo da régua.",INDEX(Config!$B$10:$B$13,COUNTIF(Config!$A$10:$A$13,"&lt;="&amp;J256))))</f>
        <v/>
      </c>
      <c r="N256" s="39">
        <f>IF(I256="Vencida",F256*J256+ROW()/100000,0)</f>
        <v>0</v>
      </c>
      <c r="O256" s="39">
        <f>IF(AND(I256="A vencer",K256&lt;=Config!$B$7),100000-K256-ROW()/100000,0)</f>
        <v>0</v>
      </c>
    </row>
    <row r="257">
      <c r="A257" s="33" t="n"/>
      <c r="B257" s="33" t="n"/>
      <c r="C257" s="37" t="n"/>
      <c r="D257" s="35" t="n"/>
      <c r="E257" s="37" t="n"/>
      <c r="F257" s="38" t="n"/>
      <c r="G257" s="35" t="n"/>
      <c r="H257" s="37" t="n"/>
      <c r="I257" s="24">
        <f>IF(A257="","",IF(G257="Sim","Paga",IF(E257="","Sem vencimento",IF(E257&lt;Config!$B$5,"Vencida","A vencer"))))</f>
        <v/>
      </c>
      <c r="J257" s="30">
        <f>IF(I257="Vencida",Config!$B$5-E257,"")</f>
        <v/>
      </c>
      <c r="K257" s="30">
        <f>IF(I257="A vencer",E257-Config!$B$5,"")</f>
        <v/>
      </c>
      <c r="L257" s="24">
        <f>IF(I257&lt;&gt;"Vencida","",IF(COUNTIF(Config!$A$10:$A$13,"&lt;="&amp;J257)=0,"Antes da régua",INDEX(Config!$C$10:$C$13,COUNTIF(Config!$A$10:$A$13,"&lt;="&amp;J257))))</f>
        <v/>
      </c>
      <c r="M257" s="23">
        <f>IF(I257&lt;&gt;"Vencida","",IF(COUNTIF(Config!$A$10:$A$13,"&lt;="&amp;J257)=0,"Aguardar: ainda não chegou ao primeiro passo da régua.",INDEX(Config!$B$10:$B$13,COUNTIF(Config!$A$10:$A$13,"&lt;="&amp;J257))))</f>
        <v/>
      </c>
      <c r="N257" s="39">
        <f>IF(I257="Vencida",F257*J257+ROW()/100000,0)</f>
        <v>0</v>
      </c>
      <c r="O257" s="39">
        <f>IF(AND(I257="A vencer",K257&lt;=Config!$B$7),100000-K257-ROW()/100000,0)</f>
        <v>0</v>
      </c>
    </row>
    <row r="258">
      <c r="A258" s="33" t="n"/>
      <c r="B258" s="33" t="n"/>
      <c r="C258" s="37" t="n"/>
      <c r="D258" s="35" t="n"/>
      <c r="E258" s="37" t="n"/>
      <c r="F258" s="38" t="n"/>
      <c r="G258" s="35" t="n"/>
      <c r="H258" s="37" t="n"/>
      <c r="I258" s="24">
        <f>IF(A258="","",IF(G258="Sim","Paga",IF(E258="","Sem vencimento",IF(E258&lt;Config!$B$5,"Vencida","A vencer"))))</f>
        <v/>
      </c>
      <c r="J258" s="30">
        <f>IF(I258="Vencida",Config!$B$5-E258,"")</f>
        <v/>
      </c>
      <c r="K258" s="30">
        <f>IF(I258="A vencer",E258-Config!$B$5,"")</f>
        <v/>
      </c>
      <c r="L258" s="24">
        <f>IF(I258&lt;&gt;"Vencida","",IF(COUNTIF(Config!$A$10:$A$13,"&lt;="&amp;J258)=0,"Antes da régua",INDEX(Config!$C$10:$C$13,COUNTIF(Config!$A$10:$A$13,"&lt;="&amp;J258))))</f>
        <v/>
      </c>
      <c r="M258" s="23">
        <f>IF(I258&lt;&gt;"Vencida","",IF(COUNTIF(Config!$A$10:$A$13,"&lt;="&amp;J258)=0,"Aguardar: ainda não chegou ao primeiro passo da régua.",INDEX(Config!$B$10:$B$13,COUNTIF(Config!$A$10:$A$13,"&lt;="&amp;J258))))</f>
        <v/>
      </c>
      <c r="N258" s="39">
        <f>IF(I258="Vencida",F258*J258+ROW()/100000,0)</f>
        <v>0</v>
      </c>
      <c r="O258" s="39">
        <f>IF(AND(I258="A vencer",K258&lt;=Config!$B$7),100000-K258-ROW()/100000,0)</f>
        <v>0</v>
      </c>
    </row>
    <row r="259">
      <c r="A259" s="33" t="n"/>
      <c r="B259" s="33" t="n"/>
      <c r="C259" s="37" t="n"/>
      <c r="D259" s="35" t="n"/>
      <c r="E259" s="37" t="n"/>
      <c r="F259" s="38" t="n"/>
      <c r="G259" s="35" t="n"/>
      <c r="H259" s="37" t="n"/>
      <c r="I259" s="24">
        <f>IF(A259="","",IF(G259="Sim","Paga",IF(E259="","Sem vencimento",IF(E259&lt;Config!$B$5,"Vencida","A vencer"))))</f>
        <v/>
      </c>
      <c r="J259" s="30">
        <f>IF(I259="Vencida",Config!$B$5-E259,"")</f>
        <v/>
      </c>
      <c r="K259" s="30">
        <f>IF(I259="A vencer",E259-Config!$B$5,"")</f>
        <v/>
      </c>
      <c r="L259" s="24">
        <f>IF(I259&lt;&gt;"Vencida","",IF(COUNTIF(Config!$A$10:$A$13,"&lt;="&amp;J259)=0,"Antes da régua",INDEX(Config!$C$10:$C$13,COUNTIF(Config!$A$10:$A$13,"&lt;="&amp;J259))))</f>
        <v/>
      </c>
      <c r="M259" s="23">
        <f>IF(I259&lt;&gt;"Vencida","",IF(COUNTIF(Config!$A$10:$A$13,"&lt;="&amp;J259)=0,"Aguardar: ainda não chegou ao primeiro passo da régua.",INDEX(Config!$B$10:$B$13,COUNTIF(Config!$A$10:$A$13,"&lt;="&amp;J259))))</f>
        <v/>
      </c>
      <c r="N259" s="39">
        <f>IF(I259="Vencida",F259*J259+ROW()/100000,0)</f>
        <v>0</v>
      </c>
      <c r="O259" s="39">
        <f>IF(AND(I259="A vencer",K259&lt;=Config!$B$7),100000-K259-ROW()/100000,0)</f>
        <v>0</v>
      </c>
    </row>
    <row r="260">
      <c r="A260" s="33" t="n"/>
      <c r="B260" s="33" t="n"/>
      <c r="C260" s="37" t="n"/>
      <c r="D260" s="35" t="n"/>
      <c r="E260" s="37" t="n"/>
      <c r="F260" s="38" t="n"/>
      <c r="G260" s="35" t="n"/>
      <c r="H260" s="37" t="n"/>
      <c r="I260" s="24">
        <f>IF(A260="","",IF(G260="Sim","Paga",IF(E260="","Sem vencimento",IF(E260&lt;Config!$B$5,"Vencida","A vencer"))))</f>
        <v/>
      </c>
      <c r="J260" s="30">
        <f>IF(I260="Vencida",Config!$B$5-E260,"")</f>
        <v/>
      </c>
      <c r="K260" s="30">
        <f>IF(I260="A vencer",E260-Config!$B$5,"")</f>
        <v/>
      </c>
      <c r="L260" s="24">
        <f>IF(I260&lt;&gt;"Vencida","",IF(COUNTIF(Config!$A$10:$A$13,"&lt;="&amp;J260)=0,"Antes da régua",INDEX(Config!$C$10:$C$13,COUNTIF(Config!$A$10:$A$13,"&lt;="&amp;J260))))</f>
        <v/>
      </c>
      <c r="M260" s="23">
        <f>IF(I260&lt;&gt;"Vencida","",IF(COUNTIF(Config!$A$10:$A$13,"&lt;="&amp;J260)=0,"Aguardar: ainda não chegou ao primeiro passo da régua.",INDEX(Config!$B$10:$B$13,COUNTIF(Config!$A$10:$A$13,"&lt;="&amp;J260))))</f>
        <v/>
      </c>
      <c r="N260" s="39">
        <f>IF(I260="Vencida",F260*J260+ROW()/100000,0)</f>
        <v>0</v>
      </c>
      <c r="O260" s="39">
        <f>IF(AND(I260="A vencer",K260&lt;=Config!$B$7),100000-K260-ROW()/100000,0)</f>
        <v>0</v>
      </c>
    </row>
    <row r="261">
      <c r="A261" s="33" t="n"/>
      <c r="B261" s="33" t="n"/>
      <c r="C261" s="37" t="n"/>
      <c r="D261" s="35" t="n"/>
      <c r="E261" s="37" t="n"/>
      <c r="F261" s="38" t="n"/>
      <c r="G261" s="35" t="n"/>
      <c r="H261" s="37" t="n"/>
      <c r="I261" s="24">
        <f>IF(A261="","",IF(G261="Sim","Paga",IF(E261="","Sem vencimento",IF(E261&lt;Config!$B$5,"Vencida","A vencer"))))</f>
        <v/>
      </c>
      <c r="J261" s="30">
        <f>IF(I261="Vencida",Config!$B$5-E261,"")</f>
        <v/>
      </c>
      <c r="K261" s="30">
        <f>IF(I261="A vencer",E261-Config!$B$5,"")</f>
        <v/>
      </c>
      <c r="L261" s="24">
        <f>IF(I261&lt;&gt;"Vencida","",IF(COUNTIF(Config!$A$10:$A$13,"&lt;="&amp;J261)=0,"Antes da régua",INDEX(Config!$C$10:$C$13,COUNTIF(Config!$A$10:$A$13,"&lt;="&amp;J261))))</f>
        <v/>
      </c>
      <c r="M261" s="23">
        <f>IF(I261&lt;&gt;"Vencida","",IF(COUNTIF(Config!$A$10:$A$13,"&lt;="&amp;J261)=0,"Aguardar: ainda não chegou ao primeiro passo da régua.",INDEX(Config!$B$10:$B$13,COUNTIF(Config!$A$10:$A$13,"&lt;="&amp;J261))))</f>
        <v/>
      </c>
      <c r="N261" s="39">
        <f>IF(I261="Vencida",F261*J261+ROW()/100000,0)</f>
        <v>0</v>
      </c>
      <c r="O261" s="39">
        <f>IF(AND(I261="A vencer",K261&lt;=Config!$B$7),100000-K261-ROW()/100000,0)</f>
        <v>0</v>
      </c>
    </row>
    <row r="262">
      <c r="A262" s="33" t="n"/>
      <c r="B262" s="33" t="n"/>
      <c r="C262" s="37" t="n"/>
      <c r="D262" s="35" t="n"/>
      <c r="E262" s="37" t="n"/>
      <c r="F262" s="38" t="n"/>
      <c r="G262" s="35" t="n"/>
      <c r="H262" s="37" t="n"/>
      <c r="I262" s="24">
        <f>IF(A262="","",IF(G262="Sim","Paga",IF(E262="","Sem vencimento",IF(E262&lt;Config!$B$5,"Vencida","A vencer"))))</f>
        <v/>
      </c>
      <c r="J262" s="30">
        <f>IF(I262="Vencida",Config!$B$5-E262,"")</f>
        <v/>
      </c>
      <c r="K262" s="30">
        <f>IF(I262="A vencer",E262-Config!$B$5,"")</f>
        <v/>
      </c>
      <c r="L262" s="24">
        <f>IF(I262&lt;&gt;"Vencida","",IF(COUNTIF(Config!$A$10:$A$13,"&lt;="&amp;J262)=0,"Antes da régua",INDEX(Config!$C$10:$C$13,COUNTIF(Config!$A$10:$A$13,"&lt;="&amp;J262))))</f>
        <v/>
      </c>
      <c r="M262" s="23">
        <f>IF(I262&lt;&gt;"Vencida","",IF(COUNTIF(Config!$A$10:$A$13,"&lt;="&amp;J262)=0,"Aguardar: ainda não chegou ao primeiro passo da régua.",INDEX(Config!$B$10:$B$13,COUNTIF(Config!$A$10:$A$13,"&lt;="&amp;J262))))</f>
        <v/>
      </c>
      <c r="N262" s="39">
        <f>IF(I262="Vencida",F262*J262+ROW()/100000,0)</f>
        <v>0</v>
      </c>
      <c r="O262" s="39">
        <f>IF(AND(I262="A vencer",K262&lt;=Config!$B$7),100000-K262-ROW()/100000,0)</f>
        <v>0</v>
      </c>
    </row>
    <row r="263">
      <c r="A263" s="33" t="n"/>
      <c r="B263" s="33" t="n"/>
      <c r="C263" s="37" t="n"/>
      <c r="D263" s="35" t="n"/>
      <c r="E263" s="37" t="n"/>
      <c r="F263" s="38" t="n"/>
      <c r="G263" s="35" t="n"/>
      <c r="H263" s="37" t="n"/>
      <c r="I263" s="24">
        <f>IF(A263="","",IF(G263="Sim","Paga",IF(E263="","Sem vencimento",IF(E263&lt;Config!$B$5,"Vencida","A vencer"))))</f>
        <v/>
      </c>
      <c r="J263" s="30">
        <f>IF(I263="Vencida",Config!$B$5-E263,"")</f>
        <v/>
      </c>
      <c r="K263" s="30">
        <f>IF(I263="A vencer",E263-Config!$B$5,"")</f>
        <v/>
      </c>
      <c r="L263" s="24">
        <f>IF(I263&lt;&gt;"Vencida","",IF(COUNTIF(Config!$A$10:$A$13,"&lt;="&amp;J263)=0,"Antes da régua",INDEX(Config!$C$10:$C$13,COUNTIF(Config!$A$10:$A$13,"&lt;="&amp;J263))))</f>
        <v/>
      </c>
      <c r="M263" s="23">
        <f>IF(I263&lt;&gt;"Vencida","",IF(COUNTIF(Config!$A$10:$A$13,"&lt;="&amp;J263)=0,"Aguardar: ainda não chegou ao primeiro passo da régua.",INDEX(Config!$B$10:$B$13,COUNTIF(Config!$A$10:$A$13,"&lt;="&amp;J263))))</f>
        <v/>
      </c>
      <c r="N263" s="39">
        <f>IF(I263="Vencida",F263*J263+ROW()/100000,0)</f>
        <v>0</v>
      </c>
      <c r="O263" s="39">
        <f>IF(AND(I263="A vencer",K263&lt;=Config!$B$7),100000-K263-ROW()/100000,0)</f>
        <v>0</v>
      </c>
    </row>
    <row r="264">
      <c r="A264" s="33" t="n"/>
      <c r="B264" s="33" t="n"/>
      <c r="C264" s="37" t="n"/>
      <c r="D264" s="35" t="n"/>
      <c r="E264" s="37" t="n"/>
      <c r="F264" s="38" t="n"/>
      <c r="G264" s="35" t="n"/>
      <c r="H264" s="37" t="n"/>
      <c r="I264" s="24">
        <f>IF(A264="","",IF(G264="Sim","Paga",IF(E264="","Sem vencimento",IF(E264&lt;Config!$B$5,"Vencida","A vencer"))))</f>
        <v/>
      </c>
      <c r="J264" s="30">
        <f>IF(I264="Vencida",Config!$B$5-E264,"")</f>
        <v/>
      </c>
      <c r="K264" s="30">
        <f>IF(I264="A vencer",E264-Config!$B$5,"")</f>
        <v/>
      </c>
      <c r="L264" s="24">
        <f>IF(I264&lt;&gt;"Vencida","",IF(COUNTIF(Config!$A$10:$A$13,"&lt;="&amp;J264)=0,"Antes da régua",INDEX(Config!$C$10:$C$13,COUNTIF(Config!$A$10:$A$13,"&lt;="&amp;J264))))</f>
        <v/>
      </c>
      <c r="M264" s="23">
        <f>IF(I264&lt;&gt;"Vencida","",IF(COUNTIF(Config!$A$10:$A$13,"&lt;="&amp;J264)=0,"Aguardar: ainda não chegou ao primeiro passo da régua.",INDEX(Config!$B$10:$B$13,COUNTIF(Config!$A$10:$A$13,"&lt;="&amp;J264))))</f>
        <v/>
      </c>
      <c r="N264" s="39">
        <f>IF(I264="Vencida",F264*J264+ROW()/100000,0)</f>
        <v>0</v>
      </c>
      <c r="O264" s="39">
        <f>IF(AND(I264="A vencer",K264&lt;=Config!$B$7),100000-K264-ROW()/100000,0)</f>
        <v>0</v>
      </c>
    </row>
    <row r="265">
      <c r="A265" s="33" t="n"/>
      <c r="B265" s="33" t="n"/>
      <c r="C265" s="37" t="n"/>
      <c r="D265" s="35" t="n"/>
      <c r="E265" s="37" t="n"/>
      <c r="F265" s="38" t="n"/>
      <c r="G265" s="35" t="n"/>
      <c r="H265" s="37" t="n"/>
      <c r="I265" s="24">
        <f>IF(A265="","",IF(G265="Sim","Paga",IF(E265="","Sem vencimento",IF(E265&lt;Config!$B$5,"Vencida","A vencer"))))</f>
        <v/>
      </c>
      <c r="J265" s="30">
        <f>IF(I265="Vencida",Config!$B$5-E265,"")</f>
        <v/>
      </c>
      <c r="K265" s="30">
        <f>IF(I265="A vencer",E265-Config!$B$5,"")</f>
        <v/>
      </c>
      <c r="L265" s="24">
        <f>IF(I265&lt;&gt;"Vencida","",IF(COUNTIF(Config!$A$10:$A$13,"&lt;="&amp;J265)=0,"Antes da régua",INDEX(Config!$C$10:$C$13,COUNTIF(Config!$A$10:$A$13,"&lt;="&amp;J265))))</f>
        <v/>
      </c>
      <c r="M265" s="23">
        <f>IF(I265&lt;&gt;"Vencida","",IF(COUNTIF(Config!$A$10:$A$13,"&lt;="&amp;J265)=0,"Aguardar: ainda não chegou ao primeiro passo da régua.",INDEX(Config!$B$10:$B$13,COUNTIF(Config!$A$10:$A$13,"&lt;="&amp;J265))))</f>
        <v/>
      </c>
      <c r="N265" s="39">
        <f>IF(I265="Vencida",F265*J265+ROW()/100000,0)</f>
        <v>0</v>
      </c>
      <c r="O265" s="39">
        <f>IF(AND(I265="A vencer",K265&lt;=Config!$B$7),100000-K265-ROW()/100000,0)</f>
        <v>0</v>
      </c>
    </row>
    <row r="266">
      <c r="A266" s="33" t="n"/>
      <c r="B266" s="33" t="n"/>
      <c r="C266" s="37" t="n"/>
      <c r="D266" s="35" t="n"/>
      <c r="E266" s="37" t="n"/>
      <c r="F266" s="38" t="n"/>
      <c r="G266" s="35" t="n"/>
      <c r="H266" s="37" t="n"/>
      <c r="I266" s="24">
        <f>IF(A266="","",IF(G266="Sim","Paga",IF(E266="","Sem vencimento",IF(E266&lt;Config!$B$5,"Vencida","A vencer"))))</f>
        <v/>
      </c>
      <c r="J266" s="30">
        <f>IF(I266="Vencida",Config!$B$5-E266,"")</f>
        <v/>
      </c>
      <c r="K266" s="30">
        <f>IF(I266="A vencer",E266-Config!$B$5,"")</f>
        <v/>
      </c>
      <c r="L266" s="24">
        <f>IF(I266&lt;&gt;"Vencida","",IF(COUNTIF(Config!$A$10:$A$13,"&lt;="&amp;J266)=0,"Antes da régua",INDEX(Config!$C$10:$C$13,COUNTIF(Config!$A$10:$A$13,"&lt;="&amp;J266))))</f>
        <v/>
      </c>
      <c r="M266" s="23">
        <f>IF(I266&lt;&gt;"Vencida","",IF(COUNTIF(Config!$A$10:$A$13,"&lt;="&amp;J266)=0,"Aguardar: ainda não chegou ao primeiro passo da régua.",INDEX(Config!$B$10:$B$13,COUNTIF(Config!$A$10:$A$13,"&lt;="&amp;J266))))</f>
        <v/>
      </c>
      <c r="N266" s="39">
        <f>IF(I266="Vencida",F266*J266+ROW()/100000,0)</f>
        <v>0</v>
      </c>
      <c r="O266" s="39">
        <f>IF(AND(I266="A vencer",K266&lt;=Config!$B$7),100000-K266-ROW()/100000,0)</f>
        <v>0</v>
      </c>
    </row>
    <row r="267">
      <c r="A267" s="33" t="n"/>
      <c r="B267" s="33" t="n"/>
      <c r="C267" s="37" t="n"/>
      <c r="D267" s="35" t="n"/>
      <c r="E267" s="37" t="n"/>
      <c r="F267" s="38" t="n"/>
      <c r="G267" s="35" t="n"/>
      <c r="H267" s="37" t="n"/>
      <c r="I267" s="24">
        <f>IF(A267="","",IF(G267="Sim","Paga",IF(E267="","Sem vencimento",IF(E267&lt;Config!$B$5,"Vencida","A vencer"))))</f>
        <v/>
      </c>
      <c r="J267" s="30">
        <f>IF(I267="Vencida",Config!$B$5-E267,"")</f>
        <v/>
      </c>
      <c r="K267" s="30">
        <f>IF(I267="A vencer",E267-Config!$B$5,"")</f>
        <v/>
      </c>
      <c r="L267" s="24">
        <f>IF(I267&lt;&gt;"Vencida","",IF(COUNTIF(Config!$A$10:$A$13,"&lt;="&amp;J267)=0,"Antes da régua",INDEX(Config!$C$10:$C$13,COUNTIF(Config!$A$10:$A$13,"&lt;="&amp;J267))))</f>
        <v/>
      </c>
      <c r="M267" s="23">
        <f>IF(I267&lt;&gt;"Vencida","",IF(COUNTIF(Config!$A$10:$A$13,"&lt;="&amp;J267)=0,"Aguardar: ainda não chegou ao primeiro passo da régua.",INDEX(Config!$B$10:$B$13,COUNTIF(Config!$A$10:$A$13,"&lt;="&amp;J267))))</f>
        <v/>
      </c>
      <c r="N267" s="39">
        <f>IF(I267="Vencida",F267*J267+ROW()/100000,0)</f>
        <v>0</v>
      </c>
      <c r="O267" s="39">
        <f>IF(AND(I267="A vencer",K267&lt;=Config!$B$7),100000-K267-ROW()/100000,0)</f>
        <v>0</v>
      </c>
    </row>
    <row r="268">
      <c r="A268" s="33" t="n"/>
      <c r="B268" s="33" t="n"/>
      <c r="C268" s="37" t="n"/>
      <c r="D268" s="35" t="n"/>
      <c r="E268" s="37" t="n"/>
      <c r="F268" s="38" t="n"/>
      <c r="G268" s="35" t="n"/>
      <c r="H268" s="37" t="n"/>
      <c r="I268" s="24">
        <f>IF(A268="","",IF(G268="Sim","Paga",IF(E268="","Sem vencimento",IF(E268&lt;Config!$B$5,"Vencida","A vencer"))))</f>
        <v/>
      </c>
      <c r="J268" s="30">
        <f>IF(I268="Vencida",Config!$B$5-E268,"")</f>
        <v/>
      </c>
      <c r="K268" s="30">
        <f>IF(I268="A vencer",E268-Config!$B$5,"")</f>
        <v/>
      </c>
      <c r="L268" s="24">
        <f>IF(I268&lt;&gt;"Vencida","",IF(COUNTIF(Config!$A$10:$A$13,"&lt;="&amp;J268)=0,"Antes da régua",INDEX(Config!$C$10:$C$13,COUNTIF(Config!$A$10:$A$13,"&lt;="&amp;J268))))</f>
        <v/>
      </c>
      <c r="M268" s="23">
        <f>IF(I268&lt;&gt;"Vencida","",IF(COUNTIF(Config!$A$10:$A$13,"&lt;="&amp;J268)=0,"Aguardar: ainda não chegou ao primeiro passo da régua.",INDEX(Config!$B$10:$B$13,COUNTIF(Config!$A$10:$A$13,"&lt;="&amp;J268))))</f>
        <v/>
      </c>
      <c r="N268" s="39">
        <f>IF(I268="Vencida",F268*J268+ROW()/100000,0)</f>
        <v>0</v>
      </c>
      <c r="O268" s="39">
        <f>IF(AND(I268="A vencer",K268&lt;=Config!$B$7),100000-K268-ROW()/100000,0)</f>
        <v>0</v>
      </c>
    </row>
    <row r="269">
      <c r="A269" s="33" t="n"/>
      <c r="B269" s="33" t="n"/>
      <c r="C269" s="37" t="n"/>
      <c r="D269" s="35" t="n"/>
      <c r="E269" s="37" t="n"/>
      <c r="F269" s="38" t="n"/>
      <c r="G269" s="35" t="n"/>
      <c r="H269" s="37" t="n"/>
      <c r="I269" s="24">
        <f>IF(A269="","",IF(G269="Sim","Paga",IF(E269="","Sem vencimento",IF(E269&lt;Config!$B$5,"Vencida","A vencer"))))</f>
        <v/>
      </c>
      <c r="J269" s="30">
        <f>IF(I269="Vencida",Config!$B$5-E269,"")</f>
        <v/>
      </c>
      <c r="K269" s="30">
        <f>IF(I269="A vencer",E269-Config!$B$5,"")</f>
        <v/>
      </c>
      <c r="L269" s="24">
        <f>IF(I269&lt;&gt;"Vencida","",IF(COUNTIF(Config!$A$10:$A$13,"&lt;="&amp;J269)=0,"Antes da régua",INDEX(Config!$C$10:$C$13,COUNTIF(Config!$A$10:$A$13,"&lt;="&amp;J269))))</f>
        <v/>
      </c>
      <c r="M269" s="23">
        <f>IF(I269&lt;&gt;"Vencida","",IF(COUNTIF(Config!$A$10:$A$13,"&lt;="&amp;J269)=0,"Aguardar: ainda não chegou ao primeiro passo da régua.",INDEX(Config!$B$10:$B$13,COUNTIF(Config!$A$10:$A$13,"&lt;="&amp;J269))))</f>
        <v/>
      </c>
      <c r="N269" s="39">
        <f>IF(I269="Vencida",F269*J269+ROW()/100000,0)</f>
        <v>0</v>
      </c>
      <c r="O269" s="39">
        <f>IF(AND(I269="A vencer",K269&lt;=Config!$B$7),100000-K269-ROW()/100000,0)</f>
        <v>0</v>
      </c>
    </row>
    <row r="270">
      <c r="A270" s="33" t="n"/>
      <c r="B270" s="33" t="n"/>
      <c r="C270" s="37" t="n"/>
      <c r="D270" s="35" t="n"/>
      <c r="E270" s="37" t="n"/>
      <c r="F270" s="38" t="n"/>
      <c r="G270" s="35" t="n"/>
      <c r="H270" s="37" t="n"/>
      <c r="I270" s="24">
        <f>IF(A270="","",IF(G270="Sim","Paga",IF(E270="","Sem vencimento",IF(E270&lt;Config!$B$5,"Vencida","A vencer"))))</f>
        <v/>
      </c>
      <c r="J270" s="30">
        <f>IF(I270="Vencida",Config!$B$5-E270,"")</f>
        <v/>
      </c>
      <c r="K270" s="30">
        <f>IF(I270="A vencer",E270-Config!$B$5,"")</f>
        <v/>
      </c>
      <c r="L270" s="24">
        <f>IF(I270&lt;&gt;"Vencida","",IF(COUNTIF(Config!$A$10:$A$13,"&lt;="&amp;J270)=0,"Antes da régua",INDEX(Config!$C$10:$C$13,COUNTIF(Config!$A$10:$A$13,"&lt;="&amp;J270))))</f>
        <v/>
      </c>
      <c r="M270" s="23">
        <f>IF(I270&lt;&gt;"Vencida","",IF(COUNTIF(Config!$A$10:$A$13,"&lt;="&amp;J270)=0,"Aguardar: ainda não chegou ao primeiro passo da régua.",INDEX(Config!$B$10:$B$13,COUNTIF(Config!$A$10:$A$13,"&lt;="&amp;J270))))</f>
        <v/>
      </c>
      <c r="N270" s="39">
        <f>IF(I270="Vencida",F270*J270+ROW()/100000,0)</f>
        <v>0</v>
      </c>
      <c r="O270" s="39">
        <f>IF(AND(I270="A vencer",K270&lt;=Config!$B$7),100000-K270-ROW()/100000,0)</f>
        <v>0</v>
      </c>
    </row>
    <row r="271">
      <c r="A271" s="33" t="n"/>
      <c r="B271" s="33" t="n"/>
      <c r="C271" s="37" t="n"/>
      <c r="D271" s="35" t="n"/>
      <c r="E271" s="37" t="n"/>
      <c r="F271" s="38" t="n"/>
      <c r="G271" s="35" t="n"/>
      <c r="H271" s="37" t="n"/>
      <c r="I271" s="24">
        <f>IF(A271="","",IF(G271="Sim","Paga",IF(E271="","Sem vencimento",IF(E271&lt;Config!$B$5,"Vencida","A vencer"))))</f>
        <v/>
      </c>
      <c r="J271" s="30">
        <f>IF(I271="Vencida",Config!$B$5-E271,"")</f>
        <v/>
      </c>
      <c r="K271" s="30">
        <f>IF(I271="A vencer",E271-Config!$B$5,"")</f>
        <v/>
      </c>
      <c r="L271" s="24">
        <f>IF(I271&lt;&gt;"Vencida","",IF(COUNTIF(Config!$A$10:$A$13,"&lt;="&amp;J271)=0,"Antes da régua",INDEX(Config!$C$10:$C$13,COUNTIF(Config!$A$10:$A$13,"&lt;="&amp;J271))))</f>
        <v/>
      </c>
      <c r="M271" s="23">
        <f>IF(I271&lt;&gt;"Vencida","",IF(COUNTIF(Config!$A$10:$A$13,"&lt;="&amp;J271)=0,"Aguardar: ainda não chegou ao primeiro passo da régua.",INDEX(Config!$B$10:$B$13,COUNTIF(Config!$A$10:$A$13,"&lt;="&amp;J271))))</f>
        <v/>
      </c>
      <c r="N271" s="39">
        <f>IF(I271="Vencida",F271*J271+ROW()/100000,0)</f>
        <v>0</v>
      </c>
      <c r="O271" s="39">
        <f>IF(AND(I271="A vencer",K271&lt;=Config!$B$7),100000-K271-ROW()/100000,0)</f>
        <v>0</v>
      </c>
    </row>
    <row r="272">
      <c r="A272" s="33" t="n"/>
      <c r="B272" s="33" t="n"/>
      <c r="C272" s="37" t="n"/>
      <c r="D272" s="35" t="n"/>
      <c r="E272" s="37" t="n"/>
      <c r="F272" s="38" t="n"/>
      <c r="G272" s="35" t="n"/>
      <c r="H272" s="37" t="n"/>
      <c r="I272" s="24">
        <f>IF(A272="","",IF(G272="Sim","Paga",IF(E272="","Sem vencimento",IF(E272&lt;Config!$B$5,"Vencida","A vencer"))))</f>
        <v/>
      </c>
      <c r="J272" s="30">
        <f>IF(I272="Vencida",Config!$B$5-E272,"")</f>
        <v/>
      </c>
      <c r="K272" s="30">
        <f>IF(I272="A vencer",E272-Config!$B$5,"")</f>
        <v/>
      </c>
      <c r="L272" s="24">
        <f>IF(I272&lt;&gt;"Vencida","",IF(COUNTIF(Config!$A$10:$A$13,"&lt;="&amp;J272)=0,"Antes da régua",INDEX(Config!$C$10:$C$13,COUNTIF(Config!$A$10:$A$13,"&lt;="&amp;J272))))</f>
        <v/>
      </c>
      <c r="M272" s="23">
        <f>IF(I272&lt;&gt;"Vencida","",IF(COUNTIF(Config!$A$10:$A$13,"&lt;="&amp;J272)=0,"Aguardar: ainda não chegou ao primeiro passo da régua.",INDEX(Config!$B$10:$B$13,COUNTIF(Config!$A$10:$A$13,"&lt;="&amp;J272))))</f>
        <v/>
      </c>
      <c r="N272" s="39">
        <f>IF(I272="Vencida",F272*J272+ROW()/100000,0)</f>
        <v>0</v>
      </c>
      <c r="O272" s="39">
        <f>IF(AND(I272="A vencer",K272&lt;=Config!$B$7),100000-K272-ROW()/100000,0)</f>
        <v>0</v>
      </c>
    </row>
    <row r="273">
      <c r="A273" s="33" t="n"/>
      <c r="B273" s="33" t="n"/>
      <c r="C273" s="37" t="n"/>
      <c r="D273" s="35" t="n"/>
      <c r="E273" s="37" t="n"/>
      <c r="F273" s="38" t="n"/>
      <c r="G273" s="35" t="n"/>
      <c r="H273" s="37" t="n"/>
      <c r="I273" s="24">
        <f>IF(A273="","",IF(G273="Sim","Paga",IF(E273="","Sem vencimento",IF(E273&lt;Config!$B$5,"Vencida","A vencer"))))</f>
        <v/>
      </c>
      <c r="J273" s="30">
        <f>IF(I273="Vencida",Config!$B$5-E273,"")</f>
        <v/>
      </c>
      <c r="K273" s="30">
        <f>IF(I273="A vencer",E273-Config!$B$5,"")</f>
        <v/>
      </c>
      <c r="L273" s="24">
        <f>IF(I273&lt;&gt;"Vencida","",IF(COUNTIF(Config!$A$10:$A$13,"&lt;="&amp;J273)=0,"Antes da régua",INDEX(Config!$C$10:$C$13,COUNTIF(Config!$A$10:$A$13,"&lt;="&amp;J273))))</f>
        <v/>
      </c>
      <c r="M273" s="23">
        <f>IF(I273&lt;&gt;"Vencida","",IF(COUNTIF(Config!$A$10:$A$13,"&lt;="&amp;J273)=0,"Aguardar: ainda não chegou ao primeiro passo da régua.",INDEX(Config!$B$10:$B$13,COUNTIF(Config!$A$10:$A$13,"&lt;="&amp;J273))))</f>
        <v/>
      </c>
      <c r="N273" s="39">
        <f>IF(I273="Vencida",F273*J273+ROW()/100000,0)</f>
        <v>0</v>
      </c>
      <c r="O273" s="39">
        <f>IF(AND(I273="A vencer",K273&lt;=Config!$B$7),100000-K273-ROW()/100000,0)</f>
        <v>0</v>
      </c>
    </row>
    <row r="274">
      <c r="A274" s="33" t="n"/>
      <c r="B274" s="33" t="n"/>
      <c r="C274" s="37" t="n"/>
      <c r="D274" s="35" t="n"/>
      <c r="E274" s="37" t="n"/>
      <c r="F274" s="38" t="n"/>
      <c r="G274" s="35" t="n"/>
      <c r="H274" s="37" t="n"/>
      <c r="I274" s="24">
        <f>IF(A274="","",IF(G274="Sim","Paga",IF(E274="","Sem vencimento",IF(E274&lt;Config!$B$5,"Vencida","A vencer"))))</f>
        <v/>
      </c>
      <c r="J274" s="30">
        <f>IF(I274="Vencida",Config!$B$5-E274,"")</f>
        <v/>
      </c>
      <c r="K274" s="30">
        <f>IF(I274="A vencer",E274-Config!$B$5,"")</f>
        <v/>
      </c>
      <c r="L274" s="24">
        <f>IF(I274&lt;&gt;"Vencida","",IF(COUNTIF(Config!$A$10:$A$13,"&lt;="&amp;J274)=0,"Antes da régua",INDEX(Config!$C$10:$C$13,COUNTIF(Config!$A$10:$A$13,"&lt;="&amp;J274))))</f>
        <v/>
      </c>
      <c r="M274" s="23">
        <f>IF(I274&lt;&gt;"Vencida","",IF(COUNTIF(Config!$A$10:$A$13,"&lt;="&amp;J274)=0,"Aguardar: ainda não chegou ao primeiro passo da régua.",INDEX(Config!$B$10:$B$13,COUNTIF(Config!$A$10:$A$13,"&lt;="&amp;J274))))</f>
        <v/>
      </c>
      <c r="N274" s="39">
        <f>IF(I274="Vencida",F274*J274+ROW()/100000,0)</f>
        <v>0</v>
      </c>
      <c r="O274" s="39">
        <f>IF(AND(I274="A vencer",K274&lt;=Config!$B$7),100000-K274-ROW()/100000,0)</f>
        <v>0</v>
      </c>
    </row>
    <row r="275">
      <c r="A275" s="33" t="n"/>
      <c r="B275" s="33" t="n"/>
      <c r="C275" s="37" t="n"/>
      <c r="D275" s="35" t="n"/>
      <c r="E275" s="37" t="n"/>
      <c r="F275" s="38" t="n"/>
      <c r="G275" s="35" t="n"/>
      <c r="H275" s="37" t="n"/>
      <c r="I275" s="24">
        <f>IF(A275="","",IF(G275="Sim","Paga",IF(E275="","Sem vencimento",IF(E275&lt;Config!$B$5,"Vencida","A vencer"))))</f>
        <v/>
      </c>
      <c r="J275" s="30">
        <f>IF(I275="Vencida",Config!$B$5-E275,"")</f>
        <v/>
      </c>
      <c r="K275" s="30">
        <f>IF(I275="A vencer",E275-Config!$B$5,"")</f>
        <v/>
      </c>
      <c r="L275" s="24">
        <f>IF(I275&lt;&gt;"Vencida","",IF(COUNTIF(Config!$A$10:$A$13,"&lt;="&amp;J275)=0,"Antes da régua",INDEX(Config!$C$10:$C$13,COUNTIF(Config!$A$10:$A$13,"&lt;="&amp;J275))))</f>
        <v/>
      </c>
      <c r="M275" s="23">
        <f>IF(I275&lt;&gt;"Vencida","",IF(COUNTIF(Config!$A$10:$A$13,"&lt;="&amp;J275)=0,"Aguardar: ainda não chegou ao primeiro passo da régua.",INDEX(Config!$B$10:$B$13,COUNTIF(Config!$A$10:$A$13,"&lt;="&amp;J275))))</f>
        <v/>
      </c>
      <c r="N275" s="39">
        <f>IF(I275="Vencida",F275*J275+ROW()/100000,0)</f>
        <v>0</v>
      </c>
      <c r="O275" s="39">
        <f>IF(AND(I275="A vencer",K275&lt;=Config!$B$7),100000-K275-ROW()/100000,0)</f>
        <v>0</v>
      </c>
    </row>
    <row r="276">
      <c r="A276" s="33" t="n"/>
      <c r="B276" s="33" t="n"/>
      <c r="C276" s="37" t="n"/>
      <c r="D276" s="35" t="n"/>
      <c r="E276" s="37" t="n"/>
      <c r="F276" s="38" t="n"/>
      <c r="G276" s="35" t="n"/>
      <c r="H276" s="37" t="n"/>
      <c r="I276" s="24">
        <f>IF(A276="","",IF(G276="Sim","Paga",IF(E276="","Sem vencimento",IF(E276&lt;Config!$B$5,"Vencida","A vencer"))))</f>
        <v/>
      </c>
      <c r="J276" s="30">
        <f>IF(I276="Vencida",Config!$B$5-E276,"")</f>
        <v/>
      </c>
      <c r="K276" s="30">
        <f>IF(I276="A vencer",E276-Config!$B$5,"")</f>
        <v/>
      </c>
      <c r="L276" s="24">
        <f>IF(I276&lt;&gt;"Vencida","",IF(COUNTIF(Config!$A$10:$A$13,"&lt;="&amp;J276)=0,"Antes da régua",INDEX(Config!$C$10:$C$13,COUNTIF(Config!$A$10:$A$13,"&lt;="&amp;J276))))</f>
        <v/>
      </c>
      <c r="M276" s="23">
        <f>IF(I276&lt;&gt;"Vencida","",IF(COUNTIF(Config!$A$10:$A$13,"&lt;="&amp;J276)=0,"Aguardar: ainda não chegou ao primeiro passo da régua.",INDEX(Config!$B$10:$B$13,COUNTIF(Config!$A$10:$A$13,"&lt;="&amp;J276))))</f>
        <v/>
      </c>
      <c r="N276" s="39">
        <f>IF(I276="Vencida",F276*J276+ROW()/100000,0)</f>
        <v>0</v>
      </c>
      <c r="O276" s="39">
        <f>IF(AND(I276="A vencer",K276&lt;=Config!$B$7),100000-K276-ROW()/100000,0)</f>
        <v>0</v>
      </c>
    </row>
    <row r="277">
      <c r="A277" s="33" t="n"/>
      <c r="B277" s="33" t="n"/>
      <c r="C277" s="37" t="n"/>
      <c r="D277" s="35" t="n"/>
      <c r="E277" s="37" t="n"/>
      <c r="F277" s="38" t="n"/>
      <c r="G277" s="35" t="n"/>
      <c r="H277" s="37" t="n"/>
      <c r="I277" s="24">
        <f>IF(A277="","",IF(G277="Sim","Paga",IF(E277="","Sem vencimento",IF(E277&lt;Config!$B$5,"Vencida","A vencer"))))</f>
        <v/>
      </c>
      <c r="J277" s="30">
        <f>IF(I277="Vencida",Config!$B$5-E277,"")</f>
        <v/>
      </c>
      <c r="K277" s="30">
        <f>IF(I277="A vencer",E277-Config!$B$5,"")</f>
        <v/>
      </c>
      <c r="L277" s="24">
        <f>IF(I277&lt;&gt;"Vencida","",IF(COUNTIF(Config!$A$10:$A$13,"&lt;="&amp;J277)=0,"Antes da régua",INDEX(Config!$C$10:$C$13,COUNTIF(Config!$A$10:$A$13,"&lt;="&amp;J277))))</f>
        <v/>
      </c>
      <c r="M277" s="23">
        <f>IF(I277&lt;&gt;"Vencida","",IF(COUNTIF(Config!$A$10:$A$13,"&lt;="&amp;J277)=0,"Aguardar: ainda não chegou ao primeiro passo da régua.",INDEX(Config!$B$10:$B$13,COUNTIF(Config!$A$10:$A$13,"&lt;="&amp;J277))))</f>
        <v/>
      </c>
      <c r="N277" s="39">
        <f>IF(I277="Vencida",F277*J277+ROW()/100000,0)</f>
        <v>0</v>
      </c>
      <c r="O277" s="39">
        <f>IF(AND(I277="A vencer",K277&lt;=Config!$B$7),100000-K277-ROW()/100000,0)</f>
        <v>0</v>
      </c>
    </row>
    <row r="278">
      <c r="A278" s="33" t="n"/>
      <c r="B278" s="33" t="n"/>
      <c r="C278" s="37" t="n"/>
      <c r="D278" s="35" t="n"/>
      <c r="E278" s="37" t="n"/>
      <c r="F278" s="38" t="n"/>
      <c r="G278" s="35" t="n"/>
      <c r="H278" s="37" t="n"/>
      <c r="I278" s="24">
        <f>IF(A278="","",IF(G278="Sim","Paga",IF(E278="","Sem vencimento",IF(E278&lt;Config!$B$5,"Vencida","A vencer"))))</f>
        <v/>
      </c>
      <c r="J278" s="30">
        <f>IF(I278="Vencida",Config!$B$5-E278,"")</f>
        <v/>
      </c>
      <c r="K278" s="30">
        <f>IF(I278="A vencer",E278-Config!$B$5,"")</f>
        <v/>
      </c>
      <c r="L278" s="24">
        <f>IF(I278&lt;&gt;"Vencida","",IF(COUNTIF(Config!$A$10:$A$13,"&lt;="&amp;J278)=0,"Antes da régua",INDEX(Config!$C$10:$C$13,COUNTIF(Config!$A$10:$A$13,"&lt;="&amp;J278))))</f>
        <v/>
      </c>
      <c r="M278" s="23">
        <f>IF(I278&lt;&gt;"Vencida","",IF(COUNTIF(Config!$A$10:$A$13,"&lt;="&amp;J278)=0,"Aguardar: ainda não chegou ao primeiro passo da régua.",INDEX(Config!$B$10:$B$13,COUNTIF(Config!$A$10:$A$13,"&lt;="&amp;J278))))</f>
        <v/>
      </c>
      <c r="N278" s="39">
        <f>IF(I278="Vencida",F278*J278+ROW()/100000,0)</f>
        <v>0</v>
      </c>
      <c r="O278" s="39">
        <f>IF(AND(I278="A vencer",K278&lt;=Config!$B$7),100000-K278-ROW()/100000,0)</f>
        <v>0</v>
      </c>
    </row>
    <row r="279">
      <c r="A279" s="33" t="n"/>
      <c r="B279" s="33" t="n"/>
      <c r="C279" s="37" t="n"/>
      <c r="D279" s="35" t="n"/>
      <c r="E279" s="37" t="n"/>
      <c r="F279" s="38" t="n"/>
      <c r="G279" s="35" t="n"/>
      <c r="H279" s="37" t="n"/>
      <c r="I279" s="24">
        <f>IF(A279="","",IF(G279="Sim","Paga",IF(E279="","Sem vencimento",IF(E279&lt;Config!$B$5,"Vencida","A vencer"))))</f>
        <v/>
      </c>
      <c r="J279" s="30">
        <f>IF(I279="Vencida",Config!$B$5-E279,"")</f>
        <v/>
      </c>
      <c r="K279" s="30">
        <f>IF(I279="A vencer",E279-Config!$B$5,"")</f>
        <v/>
      </c>
      <c r="L279" s="24">
        <f>IF(I279&lt;&gt;"Vencida","",IF(COUNTIF(Config!$A$10:$A$13,"&lt;="&amp;J279)=0,"Antes da régua",INDEX(Config!$C$10:$C$13,COUNTIF(Config!$A$10:$A$13,"&lt;="&amp;J279))))</f>
        <v/>
      </c>
      <c r="M279" s="23">
        <f>IF(I279&lt;&gt;"Vencida","",IF(COUNTIF(Config!$A$10:$A$13,"&lt;="&amp;J279)=0,"Aguardar: ainda não chegou ao primeiro passo da régua.",INDEX(Config!$B$10:$B$13,COUNTIF(Config!$A$10:$A$13,"&lt;="&amp;J279))))</f>
        <v/>
      </c>
      <c r="N279" s="39">
        <f>IF(I279="Vencida",F279*J279+ROW()/100000,0)</f>
        <v>0</v>
      </c>
      <c r="O279" s="39">
        <f>IF(AND(I279="A vencer",K279&lt;=Config!$B$7),100000-K279-ROW()/100000,0)</f>
        <v>0</v>
      </c>
    </row>
    <row r="280">
      <c r="A280" s="33" t="n"/>
      <c r="B280" s="33" t="n"/>
      <c r="C280" s="37" t="n"/>
      <c r="D280" s="35" t="n"/>
      <c r="E280" s="37" t="n"/>
      <c r="F280" s="38" t="n"/>
      <c r="G280" s="35" t="n"/>
      <c r="H280" s="37" t="n"/>
      <c r="I280" s="24">
        <f>IF(A280="","",IF(G280="Sim","Paga",IF(E280="","Sem vencimento",IF(E280&lt;Config!$B$5,"Vencida","A vencer"))))</f>
        <v/>
      </c>
      <c r="J280" s="30">
        <f>IF(I280="Vencida",Config!$B$5-E280,"")</f>
        <v/>
      </c>
      <c r="K280" s="30">
        <f>IF(I280="A vencer",E280-Config!$B$5,"")</f>
        <v/>
      </c>
      <c r="L280" s="24">
        <f>IF(I280&lt;&gt;"Vencida","",IF(COUNTIF(Config!$A$10:$A$13,"&lt;="&amp;J280)=0,"Antes da régua",INDEX(Config!$C$10:$C$13,COUNTIF(Config!$A$10:$A$13,"&lt;="&amp;J280))))</f>
        <v/>
      </c>
      <c r="M280" s="23">
        <f>IF(I280&lt;&gt;"Vencida","",IF(COUNTIF(Config!$A$10:$A$13,"&lt;="&amp;J280)=0,"Aguardar: ainda não chegou ao primeiro passo da régua.",INDEX(Config!$B$10:$B$13,COUNTIF(Config!$A$10:$A$13,"&lt;="&amp;J280))))</f>
        <v/>
      </c>
      <c r="N280" s="39">
        <f>IF(I280="Vencida",F280*J280+ROW()/100000,0)</f>
        <v>0</v>
      </c>
      <c r="O280" s="39">
        <f>IF(AND(I280="A vencer",K280&lt;=Config!$B$7),100000-K280-ROW()/100000,0)</f>
        <v>0</v>
      </c>
    </row>
    <row r="281">
      <c r="A281" s="33" t="n"/>
      <c r="B281" s="33" t="n"/>
      <c r="C281" s="37" t="n"/>
      <c r="D281" s="35" t="n"/>
      <c r="E281" s="37" t="n"/>
      <c r="F281" s="38" t="n"/>
      <c r="G281" s="35" t="n"/>
      <c r="H281" s="37" t="n"/>
      <c r="I281" s="24">
        <f>IF(A281="","",IF(G281="Sim","Paga",IF(E281="","Sem vencimento",IF(E281&lt;Config!$B$5,"Vencida","A vencer"))))</f>
        <v/>
      </c>
      <c r="J281" s="30">
        <f>IF(I281="Vencida",Config!$B$5-E281,"")</f>
        <v/>
      </c>
      <c r="K281" s="30">
        <f>IF(I281="A vencer",E281-Config!$B$5,"")</f>
        <v/>
      </c>
      <c r="L281" s="24">
        <f>IF(I281&lt;&gt;"Vencida","",IF(COUNTIF(Config!$A$10:$A$13,"&lt;="&amp;J281)=0,"Antes da régua",INDEX(Config!$C$10:$C$13,COUNTIF(Config!$A$10:$A$13,"&lt;="&amp;J281))))</f>
        <v/>
      </c>
      <c r="M281" s="23">
        <f>IF(I281&lt;&gt;"Vencida","",IF(COUNTIF(Config!$A$10:$A$13,"&lt;="&amp;J281)=0,"Aguardar: ainda não chegou ao primeiro passo da régua.",INDEX(Config!$B$10:$B$13,COUNTIF(Config!$A$10:$A$13,"&lt;="&amp;J281))))</f>
        <v/>
      </c>
      <c r="N281" s="39">
        <f>IF(I281="Vencida",F281*J281+ROW()/100000,0)</f>
        <v>0</v>
      </c>
      <c r="O281" s="39">
        <f>IF(AND(I281="A vencer",K281&lt;=Config!$B$7),100000-K281-ROW()/100000,0)</f>
        <v>0</v>
      </c>
    </row>
    <row r="282">
      <c r="A282" s="33" t="n"/>
      <c r="B282" s="33" t="n"/>
      <c r="C282" s="37" t="n"/>
      <c r="D282" s="35" t="n"/>
      <c r="E282" s="37" t="n"/>
      <c r="F282" s="38" t="n"/>
      <c r="G282" s="35" t="n"/>
      <c r="H282" s="37" t="n"/>
      <c r="I282" s="24">
        <f>IF(A282="","",IF(G282="Sim","Paga",IF(E282="","Sem vencimento",IF(E282&lt;Config!$B$5,"Vencida","A vencer"))))</f>
        <v/>
      </c>
      <c r="J282" s="30">
        <f>IF(I282="Vencida",Config!$B$5-E282,"")</f>
        <v/>
      </c>
      <c r="K282" s="30">
        <f>IF(I282="A vencer",E282-Config!$B$5,"")</f>
        <v/>
      </c>
      <c r="L282" s="24">
        <f>IF(I282&lt;&gt;"Vencida","",IF(COUNTIF(Config!$A$10:$A$13,"&lt;="&amp;J282)=0,"Antes da régua",INDEX(Config!$C$10:$C$13,COUNTIF(Config!$A$10:$A$13,"&lt;="&amp;J282))))</f>
        <v/>
      </c>
      <c r="M282" s="23">
        <f>IF(I282&lt;&gt;"Vencida","",IF(COUNTIF(Config!$A$10:$A$13,"&lt;="&amp;J282)=0,"Aguardar: ainda não chegou ao primeiro passo da régua.",INDEX(Config!$B$10:$B$13,COUNTIF(Config!$A$10:$A$13,"&lt;="&amp;J282))))</f>
        <v/>
      </c>
      <c r="N282" s="39">
        <f>IF(I282="Vencida",F282*J282+ROW()/100000,0)</f>
        <v>0</v>
      </c>
      <c r="O282" s="39">
        <f>IF(AND(I282="A vencer",K282&lt;=Config!$B$7),100000-K282-ROW()/100000,0)</f>
        <v>0</v>
      </c>
    </row>
    <row r="283">
      <c r="A283" s="33" t="n"/>
      <c r="B283" s="33" t="n"/>
      <c r="C283" s="37" t="n"/>
      <c r="D283" s="35" t="n"/>
      <c r="E283" s="37" t="n"/>
      <c r="F283" s="38" t="n"/>
      <c r="G283" s="35" t="n"/>
      <c r="H283" s="37" t="n"/>
      <c r="I283" s="24">
        <f>IF(A283="","",IF(G283="Sim","Paga",IF(E283="","Sem vencimento",IF(E283&lt;Config!$B$5,"Vencida","A vencer"))))</f>
        <v/>
      </c>
      <c r="J283" s="30">
        <f>IF(I283="Vencida",Config!$B$5-E283,"")</f>
        <v/>
      </c>
      <c r="K283" s="30">
        <f>IF(I283="A vencer",E283-Config!$B$5,"")</f>
        <v/>
      </c>
      <c r="L283" s="24">
        <f>IF(I283&lt;&gt;"Vencida","",IF(COUNTIF(Config!$A$10:$A$13,"&lt;="&amp;J283)=0,"Antes da régua",INDEX(Config!$C$10:$C$13,COUNTIF(Config!$A$10:$A$13,"&lt;="&amp;J283))))</f>
        <v/>
      </c>
      <c r="M283" s="23">
        <f>IF(I283&lt;&gt;"Vencida","",IF(COUNTIF(Config!$A$10:$A$13,"&lt;="&amp;J283)=0,"Aguardar: ainda não chegou ao primeiro passo da régua.",INDEX(Config!$B$10:$B$13,COUNTIF(Config!$A$10:$A$13,"&lt;="&amp;J283))))</f>
        <v/>
      </c>
      <c r="N283" s="39">
        <f>IF(I283="Vencida",F283*J283+ROW()/100000,0)</f>
        <v>0</v>
      </c>
      <c r="O283" s="39">
        <f>IF(AND(I283="A vencer",K283&lt;=Config!$B$7),100000-K283-ROW()/100000,0)</f>
        <v>0</v>
      </c>
    </row>
    <row r="284">
      <c r="A284" s="33" t="n"/>
      <c r="B284" s="33" t="n"/>
      <c r="C284" s="37" t="n"/>
      <c r="D284" s="35" t="n"/>
      <c r="E284" s="37" t="n"/>
      <c r="F284" s="38" t="n"/>
      <c r="G284" s="35" t="n"/>
      <c r="H284" s="37" t="n"/>
      <c r="I284" s="24">
        <f>IF(A284="","",IF(G284="Sim","Paga",IF(E284="","Sem vencimento",IF(E284&lt;Config!$B$5,"Vencida","A vencer"))))</f>
        <v/>
      </c>
      <c r="J284" s="30">
        <f>IF(I284="Vencida",Config!$B$5-E284,"")</f>
        <v/>
      </c>
      <c r="K284" s="30">
        <f>IF(I284="A vencer",E284-Config!$B$5,"")</f>
        <v/>
      </c>
      <c r="L284" s="24">
        <f>IF(I284&lt;&gt;"Vencida","",IF(COUNTIF(Config!$A$10:$A$13,"&lt;="&amp;J284)=0,"Antes da régua",INDEX(Config!$C$10:$C$13,COUNTIF(Config!$A$10:$A$13,"&lt;="&amp;J284))))</f>
        <v/>
      </c>
      <c r="M284" s="23">
        <f>IF(I284&lt;&gt;"Vencida","",IF(COUNTIF(Config!$A$10:$A$13,"&lt;="&amp;J284)=0,"Aguardar: ainda não chegou ao primeiro passo da régua.",INDEX(Config!$B$10:$B$13,COUNTIF(Config!$A$10:$A$13,"&lt;="&amp;J284))))</f>
        <v/>
      </c>
      <c r="N284" s="39">
        <f>IF(I284="Vencida",F284*J284+ROW()/100000,0)</f>
        <v>0</v>
      </c>
      <c r="O284" s="39">
        <f>IF(AND(I284="A vencer",K284&lt;=Config!$B$7),100000-K284-ROW()/100000,0)</f>
        <v>0</v>
      </c>
    </row>
    <row r="285">
      <c r="A285" s="33" t="n"/>
      <c r="B285" s="33" t="n"/>
      <c r="C285" s="37" t="n"/>
      <c r="D285" s="35" t="n"/>
      <c r="E285" s="37" t="n"/>
      <c r="F285" s="38" t="n"/>
      <c r="G285" s="35" t="n"/>
      <c r="H285" s="37" t="n"/>
      <c r="I285" s="24">
        <f>IF(A285="","",IF(G285="Sim","Paga",IF(E285="","Sem vencimento",IF(E285&lt;Config!$B$5,"Vencida","A vencer"))))</f>
        <v/>
      </c>
      <c r="J285" s="30">
        <f>IF(I285="Vencida",Config!$B$5-E285,"")</f>
        <v/>
      </c>
      <c r="K285" s="30">
        <f>IF(I285="A vencer",E285-Config!$B$5,"")</f>
        <v/>
      </c>
      <c r="L285" s="24">
        <f>IF(I285&lt;&gt;"Vencida","",IF(COUNTIF(Config!$A$10:$A$13,"&lt;="&amp;J285)=0,"Antes da régua",INDEX(Config!$C$10:$C$13,COUNTIF(Config!$A$10:$A$13,"&lt;="&amp;J285))))</f>
        <v/>
      </c>
      <c r="M285" s="23">
        <f>IF(I285&lt;&gt;"Vencida","",IF(COUNTIF(Config!$A$10:$A$13,"&lt;="&amp;J285)=0,"Aguardar: ainda não chegou ao primeiro passo da régua.",INDEX(Config!$B$10:$B$13,COUNTIF(Config!$A$10:$A$13,"&lt;="&amp;J285))))</f>
        <v/>
      </c>
      <c r="N285" s="39">
        <f>IF(I285="Vencida",F285*J285+ROW()/100000,0)</f>
        <v>0</v>
      </c>
      <c r="O285" s="39">
        <f>IF(AND(I285="A vencer",K285&lt;=Config!$B$7),100000-K285-ROW()/100000,0)</f>
        <v>0</v>
      </c>
    </row>
    <row r="286">
      <c r="A286" s="33" t="n"/>
      <c r="B286" s="33" t="n"/>
      <c r="C286" s="37" t="n"/>
      <c r="D286" s="35" t="n"/>
      <c r="E286" s="37" t="n"/>
      <c r="F286" s="38" t="n"/>
      <c r="G286" s="35" t="n"/>
      <c r="H286" s="37" t="n"/>
      <c r="I286" s="24">
        <f>IF(A286="","",IF(G286="Sim","Paga",IF(E286="","Sem vencimento",IF(E286&lt;Config!$B$5,"Vencida","A vencer"))))</f>
        <v/>
      </c>
      <c r="J286" s="30">
        <f>IF(I286="Vencida",Config!$B$5-E286,"")</f>
        <v/>
      </c>
      <c r="K286" s="30">
        <f>IF(I286="A vencer",E286-Config!$B$5,"")</f>
        <v/>
      </c>
      <c r="L286" s="24">
        <f>IF(I286&lt;&gt;"Vencida","",IF(COUNTIF(Config!$A$10:$A$13,"&lt;="&amp;J286)=0,"Antes da régua",INDEX(Config!$C$10:$C$13,COUNTIF(Config!$A$10:$A$13,"&lt;="&amp;J286))))</f>
        <v/>
      </c>
      <c r="M286" s="23">
        <f>IF(I286&lt;&gt;"Vencida","",IF(COUNTIF(Config!$A$10:$A$13,"&lt;="&amp;J286)=0,"Aguardar: ainda não chegou ao primeiro passo da régua.",INDEX(Config!$B$10:$B$13,COUNTIF(Config!$A$10:$A$13,"&lt;="&amp;J286))))</f>
        <v/>
      </c>
      <c r="N286" s="39">
        <f>IF(I286="Vencida",F286*J286+ROW()/100000,0)</f>
        <v>0</v>
      </c>
      <c r="O286" s="39">
        <f>IF(AND(I286="A vencer",K286&lt;=Config!$B$7),100000-K286-ROW()/100000,0)</f>
        <v>0</v>
      </c>
    </row>
    <row r="287">
      <c r="A287" s="33" t="n"/>
      <c r="B287" s="33" t="n"/>
      <c r="C287" s="37" t="n"/>
      <c r="D287" s="35" t="n"/>
      <c r="E287" s="37" t="n"/>
      <c r="F287" s="38" t="n"/>
      <c r="G287" s="35" t="n"/>
      <c r="H287" s="37" t="n"/>
      <c r="I287" s="24">
        <f>IF(A287="","",IF(G287="Sim","Paga",IF(E287="","Sem vencimento",IF(E287&lt;Config!$B$5,"Vencida","A vencer"))))</f>
        <v/>
      </c>
      <c r="J287" s="30">
        <f>IF(I287="Vencida",Config!$B$5-E287,"")</f>
        <v/>
      </c>
      <c r="K287" s="30">
        <f>IF(I287="A vencer",E287-Config!$B$5,"")</f>
        <v/>
      </c>
      <c r="L287" s="24">
        <f>IF(I287&lt;&gt;"Vencida","",IF(COUNTIF(Config!$A$10:$A$13,"&lt;="&amp;J287)=0,"Antes da régua",INDEX(Config!$C$10:$C$13,COUNTIF(Config!$A$10:$A$13,"&lt;="&amp;J287))))</f>
        <v/>
      </c>
      <c r="M287" s="23">
        <f>IF(I287&lt;&gt;"Vencida","",IF(COUNTIF(Config!$A$10:$A$13,"&lt;="&amp;J287)=0,"Aguardar: ainda não chegou ao primeiro passo da régua.",INDEX(Config!$B$10:$B$13,COUNTIF(Config!$A$10:$A$13,"&lt;="&amp;J287))))</f>
        <v/>
      </c>
      <c r="N287" s="39">
        <f>IF(I287="Vencida",F287*J287+ROW()/100000,0)</f>
        <v>0</v>
      </c>
      <c r="O287" s="39">
        <f>IF(AND(I287="A vencer",K287&lt;=Config!$B$7),100000-K287-ROW()/100000,0)</f>
        <v>0</v>
      </c>
    </row>
    <row r="288">
      <c r="A288" s="33" t="n"/>
      <c r="B288" s="33" t="n"/>
      <c r="C288" s="37" t="n"/>
      <c r="D288" s="35" t="n"/>
      <c r="E288" s="37" t="n"/>
      <c r="F288" s="38" t="n"/>
      <c r="G288" s="35" t="n"/>
      <c r="H288" s="37" t="n"/>
      <c r="I288" s="24">
        <f>IF(A288="","",IF(G288="Sim","Paga",IF(E288="","Sem vencimento",IF(E288&lt;Config!$B$5,"Vencida","A vencer"))))</f>
        <v/>
      </c>
      <c r="J288" s="30">
        <f>IF(I288="Vencida",Config!$B$5-E288,"")</f>
        <v/>
      </c>
      <c r="K288" s="30">
        <f>IF(I288="A vencer",E288-Config!$B$5,"")</f>
        <v/>
      </c>
      <c r="L288" s="24">
        <f>IF(I288&lt;&gt;"Vencida","",IF(COUNTIF(Config!$A$10:$A$13,"&lt;="&amp;J288)=0,"Antes da régua",INDEX(Config!$C$10:$C$13,COUNTIF(Config!$A$10:$A$13,"&lt;="&amp;J288))))</f>
        <v/>
      </c>
      <c r="M288" s="23">
        <f>IF(I288&lt;&gt;"Vencida","",IF(COUNTIF(Config!$A$10:$A$13,"&lt;="&amp;J288)=0,"Aguardar: ainda não chegou ao primeiro passo da régua.",INDEX(Config!$B$10:$B$13,COUNTIF(Config!$A$10:$A$13,"&lt;="&amp;J288))))</f>
        <v/>
      </c>
      <c r="N288" s="39">
        <f>IF(I288="Vencida",F288*J288+ROW()/100000,0)</f>
        <v>0</v>
      </c>
      <c r="O288" s="39">
        <f>IF(AND(I288="A vencer",K288&lt;=Config!$B$7),100000-K288-ROW()/100000,0)</f>
        <v>0</v>
      </c>
    </row>
    <row r="289">
      <c r="A289" s="33" t="n"/>
      <c r="B289" s="33" t="n"/>
      <c r="C289" s="37" t="n"/>
      <c r="D289" s="35" t="n"/>
      <c r="E289" s="37" t="n"/>
      <c r="F289" s="38" t="n"/>
      <c r="G289" s="35" t="n"/>
      <c r="H289" s="37" t="n"/>
      <c r="I289" s="24">
        <f>IF(A289="","",IF(G289="Sim","Paga",IF(E289="","Sem vencimento",IF(E289&lt;Config!$B$5,"Vencida","A vencer"))))</f>
        <v/>
      </c>
      <c r="J289" s="30">
        <f>IF(I289="Vencida",Config!$B$5-E289,"")</f>
        <v/>
      </c>
      <c r="K289" s="30">
        <f>IF(I289="A vencer",E289-Config!$B$5,"")</f>
        <v/>
      </c>
      <c r="L289" s="24">
        <f>IF(I289&lt;&gt;"Vencida","",IF(COUNTIF(Config!$A$10:$A$13,"&lt;="&amp;J289)=0,"Antes da régua",INDEX(Config!$C$10:$C$13,COUNTIF(Config!$A$10:$A$13,"&lt;="&amp;J289))))</f>
        <v/>
      </c>
      <c r="M289" s="23">
        <f>IF(I289&lt;&gt;"Vencida","",IF(COUNTIF(Config!$A$10:$A$13,"&lt;="&amp;J289)=0,"Aguardar: ainda não chegou ao primeiro passo da régua.",INDEX(Config!$B$10:$B$13,COUNTIF(Config!$A$10:$A$13,"&lt;="&amp;J289))))</f>
        <v/>
      </c>
      <c r="N289" s="39">
        <f>IF(I289="Vencida",F289*J289+ROW()/100000,0)</f>
        <v>0</v>
      </c>
      <c r="O289" s="39">
        <f>IF(AND(I289="A vencer",K289&lt;=Config!$B$7),100000-K289-ROW()/100000,0)</f>
        <v>0</v>
      </c>
    </row>
    <row r="290">
      <c r="A290" s="33" t="n"/>
      <c r="B290" s="33" t="n"/>
      <c r="C290" s="37" t="n"/>
      <c r="D290" s="35" t="n"/>
      <c r="E290" s="37" t="n"/>
      <c r="F290" s="38" t="n"/>
      <c r="G290" s="35" t="n"/>
      <c r="H290" s="37" t="n"/>
      <c r="I290" s="24">
        <f>IF(A290="","",IF(G290="Sim","Paga",IF(E290="","Sem vencimento",IF(E290&lt;Config!$B$5,"Vencida","A vencer"))))</f>
        <v/>
      </c>
      <c r="J290" s="30">
        <f>IF(I290="Vencida",Config!$B$5-E290,"")</f>
        <v/>
      </c>
      <c r="K290" s="30">
        <f>IF(I290="A vencer",E290-Config!$B$5,"")</f>
        <v/>
      </c>
      <c r="L290" s="24">
        <f>IF(I290&lt;&gt;"Vencida","",IF(COUNTIF(Config!$A$10:$A$13,"&lt;="&amp;J290)=0,"Antes da régua",INDEX(Config!$C$10:$C$13,COUNTIF(Config!$A$10:$A$13,"&lt;="&amp;J290))))</f>
        <v/>
      </c>
      <c r="M290" s="23">
        <f>IF(I290&lt;&gt;"Vencida","",IF(COUNTIF(Config!$A$10:$A$13,"&lt;="&amp;J290)=0,"Aguardar: ainda não chegou ao primeiro passo da régua.",INDEX(Config!$B$10:$B$13,COUNTIF(Config!$A$10:$A$13,"&lt;="&amp;J290))))</f>
        <v/>
      </c>
      <c r="N290" s="39">
        <f>IF(I290="Vencida",F290*J290+ROW()/100000,0)</f>
        <v>0</v>
      </c>
      <c r="O290" s="39">
        <f>IF(AND(I290="A vencer",K290&lt;=Config!$B$7),100000-K290-ROW()/100000,0)</f>
        <v>0</v>
      </c>
    </row>
    <row r="291">
      <c r="A291" s="33" t="n"/>
      <c r="B291" s="33" t="n"/>
      <c r="C291" s="37" t="n"/>
      <c r="D291" s="35" t="n"/>
      <c r="E291" s="37" t="n"/>
      <c r="F291" s="38" t="n"/>
      <c r="G291" s="35" t="n"/>
      <c r="H291" s="37" t="n"/>
      <c r="I291" s="24">
        <f>IF(A291="","",IF(G291="Sim","Paga",IF(E291="","Sem vencimento",IF(E291&lt;Config!$B$5,"Vencida","A vencer"))))</f>
        <v/>
      </c>
      <c r="J291" s="30">
        <f>IF(I291="Vencida",Config!$B$5-E291,"")</f>
        <v/>
      </c>
      <c r="K291" s="30">
        <f>IF(I291="A vencer",E291-Config!$B$5,"")</f>
        <v/>
      </c>
      <c r="L291" s="24">
        <f>IF(I291&lt;&gt;"Vencida","",IF(COUNTIF(Config!$A$10:$A$13,"&lt;="&amp;J291)=0,"Antes da régua",INDEX(Config!$C$10:$C$13,COUNTIF(Config!$A$10:$A$13,"&lt;="&amp;J291))))</f>
        <v/>
      </c>
      <c r="M291" s="23">
        <f>IF(I291&lt;&gt;"Vencida","",IF(COUNTIF(Config!$A$10:$A$13,"&lt;="&amp;J291)=0,"Aguardar: ainda não chegou ao primeiro passo da régua.",INDEX(Config!$B$10:$B$13,COUNTIF(Config!$A$10:$A$13,"&lt;="&amp;J291))))</f>
        <v/>
      </c>
      <c r="N291" s="39">
        <f>IF(I291="Vencida",F291*J291+ROW()/100000,0)</f>
        <v>0</v>
      </c>
      <c r="O291" s="39">
        <f>IF(AND(I291="A vencer",K291&lt;=Config!$B$7),100000-K291-ROW()/100000,0)</f>
        <v>0</v>
      </c>
    </row>
    <row r="292">
      <c r="A292" s="33" t="n"/>
      <c r="B292" s="33" t="n"/>
      <c r="C292" s="37" t="n"/>
      <c r="D292" s="35" t="n"/>
      <c r="E292" s="37" t="n"/>
      <c r="F292" s="38" t="n"/>
      <c r="G292" s="35" t="n"/>
      <c r="H292" s="37" t="n"/>
      <c r="I292" s="24">
        <f>IF(A292="","",IF(G292="Sim","Paga",IF(E292="","Sem vencimento",IF(E292&lt;Config!$B$5,"Vencida","A vencer"))))</f>
        <v/>
      </c>
      <c r="J292" s="30">
        <f>IF(I292="Vencida",Config!$B$5-E292,"")</f>
        <v/>
      </c>
      <c r="K292" s="30">
        <f>IF(I292="A vencer",E292-Config!$B$5,"")</f>
        <v/>
      </c>
      <c r="L292" s="24">
        <f>IF(I292&lt;&gt;"Vencida","",IF(COUNTIF(Config!$A$10:$A$13,"&lt;="&amp;J292)=0,"Antes da régua",INDEX(Config!$C$10:$C$13,COUNTIF(Config!$A$10:$A$13,"&lt;="&amp;J292))))</f>
        <v/>
      </c>
      <c r="M292" s="23">
        <f>IF(I292&lt;&gt;"Vencida","",IF(COUNTIF(Config!$A$10:$A$13,"&lt;="&amp;J292)=0,"Aguardar: ainda não chegou ao primeiro passo da régua.",INDEX(Config!$B$10:$B$13,COUNTIF(Config!$A$10:$A$13,"&lt;="&amp;J292))))</f>
        <v/>
      </c>
      <c r="N292" s="39">
        <f>IF(I292="Vencida",F292*J292+ROW()/100000,0)</f>
        <v>0</v>
      </c>
      <c r="O292" s="39">
        <f>IF(AND(I292="A vencer",K292&lt;=Config!$B$7),100000-K292-ROW()/100000,0)</f>
        <v>0</v>
      </c>
    </row>
    <row r="293">
      <c r="A293" s="33" t="n"/>
      <c r="B293" s="33" t="n"/>
      <c r="C293" s="37" t="n"/>
      <c r="D293" s="35" t="n"/>
      <c r="E293" s="37" t="n"/>
      <c r="F293" s="38" t="n"/>
      <c r="G293" s="35" t="n"/>
      <c r="H293" s="37" t="n"/>
      <c r="I293" s="24">
        <f>IF(A293="","",IF(G293="Sim","Paga",IF(E293="","Sem vencimento",IF(E293&lt;Config!$B$5,"Vencida","A vencer"))))</f>
        <v/>
      </c>
      <c r="J293" s="30">
        <f>IF(I293="Vencida",Config!$B$5-E293,"")</f>
        <v/>
      </c>
      <c r="K293" s="30">
        <f>IF(I293="A vencer",E293-Config!$B$5,"")</f>
        <v/>
      </c>
      <c r="L293" s="24">
        <f>IF(I293&lt;&gt;"Vencida","",IF(COUNTIF(Config!$A$10:$A$13,"&lt;="&amp;J293)=0,"Antes da régua",INDEX(Config!$C$10:$C$13,COUNTIF(Config!$A$10:$A$13,"&lt;="&amp;J293))))</f>
        <v/>
      </c>
      <c r="M293" s="23">
        <f>IF(I293&lt;&gt;"Vencida","",IF(COUNTIF(Config!$A$10:$A$13,"&lt;="&amp;J293)=0,"Aguardar: ainda não chegou ao primeiro passo da régua.",INDEX(Config!$B$10:$B$13,COUNTIF(Config!$A$10:$A$13,"&lt;="&amp;J293))))</f>
        <v/>
      </c>
      <c r="N293" s="39">
        <f>IF(I293="Vencida",F293*J293+ROW()/100000,0)</f>
        <v>0</v>
      </c>
      <c r="O293" s="39">
        <f>IF(AND(I293="A vencer",K293&lt;=Config!$B$7),100000-K293-ROW()/100000,0)</f>
        <v>0</v>
      </c>
    </row>
    <row r="294">
      <c r="A294" s="33" t="n"/>
      <c r="B294" s="33" t="n"/>
      <c r="C294" s="37" t="n"/>
      <c r="D294" s="35" t="n"/>
      <c r="E294" s="37" t="n"/>
      <c r="F294" s="38" t="n"/>
      <c r="G294" s="35" t="n"/>
      <c r="H294" s="37" t="n"/>
      <c r="I294" s="24">
        <f>IF(A294="","",IF(G294="Sim","Paga",IF(E294="","Sem vencimento",IF(E294&lt;Config!$B$5,"Vencida","A vencer"))))</f>
        <v/>
      </c>
      <c r="J294" s="30">
        <f>IF(I294="Vencida",Config!$B$5-E294,"")</f>
        <v/>
      </c>
      <c r="K294" s="30">
        <f>IF(I294="A vencer",E294-Config!$B$5,"")</f>
        <v/>
      </c>
      <c r="L294" s="24">
        <f>IF(I294&lt;&gt;"Vencida","",IF(COUNTIF(Config!$A$10:$A$13,"&lt;="&amp;J294)=0,"Antes da régua",INDEX(Config!$C$10:$C$13,COUNTIF(Config!$A$10:$A$13,"&lt;="&amp;J294))))</f>
        <v/>
      </c>
      <c r="M294" s="23">
        <f>IF(I294&lt;&gt;"Vencida","",IF(COUNTIF(Config!$A$10:$A$13,"&lt;="&amp;J294)=0,"Aguardar: ainda não chegou ao primeiro passo da régua.",INDEX(Config!$B$10:$B$13,COUNTIF(Config!$A$10:$A$13,"&lt;="&amp;J294))))</f>
        <v/>
      </c>
      <c r="N294" s="39">
        <f>IF(I294="Vencida",F294*J294+ROW()/100000,0)</f>
        <v>0</v>
      </c>
      <c r="O294" s="39">
        <f>IF(AND(I294="A vencer",K294&lt;=Config!$B$7),100000-K294-ROW()/100000,0)</f>
        <v>0</v>
      </c>
    </row>
    <row r="295">
      <c r="A295" s="33" t="n"/>
      <c r="B295" s="33" t="n"/>
      <c r="C295" s="37" t="n"/>
      <c r="D295" s="35" t="n"/>
      <c r="E295" s="37" t="n"/>
      <c r="F295" s="38" t="n"/>
      <c r="G295" s="35" t="n"/>
      <c r="H295" s="37" t="n"/>
      <c r="I295" s="24">
        <f>IF(A295="","",IF(G295="Sim","Paga",IF(E295="","Sem vencimento",IF(E295&lt;Config!$B$5,"Vencida","A vencer"))))</f>
        <v/>
      </c>
      <c r="J295" s="30">
        <f>IF(I295="Vencida",Config!$B$5-E295,"")</f>
        <v/>
      </c>
      <c r="K295" s="30">
        <f>IF(I295="A vencer",E295-Config!$B$5,"")</f>
        <v/>
      </c>
      <c r="L295" s="24">
        <f>IF(I295&lt;&gt;"Vencida","",IF(COUNTIF(Config!$A$10:$A$13,"&lt;="&amp;J295)=0,"Antes da régua",INDEX(Config!$C$10:$C$13,COUNTIF(Config!$A$10:$A$13,"&lt;="&amp;J295))))</f>
        <v/>
      </c>
      <c r="M295" s="23">
        <f>IF(I295&lt;&gt;"Vencida","",IF(COUNTIF(Config!$A$10:$A$13,"&lt;="&amp;J295)=0,"Aguardar: ainda não chegou ao primeiro passo da régua.",INDEX(Config!$B$10:$B$13,COUNTIF(Config!$A$10:$A$13,"&lt;="&amp;J295))))</f>
        <v/>
      </c>
      <c r="N295" s="39">
        <f>IF(I295="Vencida",F295*J295+ROW()/100000,0)</f>
        <v>0</v>
      </c>
      <c r="O295" s="39">
        <f>IF(AND(I295="A vencer",K295&lt;=Config!$B$7),100000-K295-ROW()/100000,0)</f>
        <v>0</v>
      </c>
    </row>
    <row r="296">
      <c r="A296" s="33" t="n"/>
      <c r="B296" s="33" t="n"/>
      <c r="C296" s="37" t="n"/>
      <c r="D296" s="35" t="n"/>
      <c r="E296" s="37" t="n"/>
      <c r="F296" s="38" t="n"/>
      <c r="G296" s="35" t="n"/>
      <c r="H296" s="37" t="n"/>
      <c r="I296" s="24">
        <f>IF(A296="","",IF(G296="Sim","Paga",IF(E296="","Sem vencimento",IF(E296&lt;Config!$B$5,"Vencida","A vencer"))))</f>
        <v/>
      </c>
      <c r="J296" s="30">
        <f>IF(I296="Vencida",Config!$B$5-E296,"")</f>
        <v/>
      </c>
      <c r="K296" s="30">
        <f>IF(I296="A vencer",E296-Config!$B$5,"")</f>
        <v/>
      </c>
      <c r="L296" s="24">
        <f>IF(I296&lt;&gt;"Vencida","",IF(COUNTIF(Config!$A$10:$A$13,"&lt;="&amp;J296)=0,"Antes da régua",INDEX(Config!$C$10:$C$13,COUNTIF(Config!$A$10:$A$13,"&lt;="&amp;J296))))</f>
        <v/>
      </c>
      <c r="M296" s="23">
        <f>IF(I296&lt;&gt;"Vencida","",IF(COUNTIF(Config!$A$10:$A$13,"&lt;="&amp;J296)=0,"Aguardar: ainda não chegou ao primeiro passo da régua.",INDEX(Config!$B$10:$B$13,COUNTIF(Config!$A$10:$A$13,"&lt;="&amp;J296))))</f>
        <v/>
      </c>
      <c r="N296" s="39">
        <f>IF(I296="Vencida",F296*J296+ROW()/100000,0)</f>
        <v>0</v>
      </c>
      <c r="O296" s="39">
        <f>IF(AND(I296="A vencer",K296&lt;=Config!$B$7),100000-K296-ROW()/100000,0)</f>
        <v>0</v>
      </c>
    </row>
    <row r="297">
      <c r="A297" s="33" t="n"/>
      <c r="B297" s="33" t="n"/>
      <c r="C297" s="37" t="n"/>
      <c r="D297" s="35" t="n"/>
      <c r="E297" s="37" t="n"/>
      <c r="F297" s="38" t="n"/>
      <c r="G297" s="35" t="n"/>
      <c r="H297" s="37" t="n"/>
      <c r="I297" s="24">
        <f>IF(A297="","",IF(G297="Sim","Paga",IF(E297="","Sem vencimento",IF(E297&lt;Config!$B$5,"Vencida","A vencer"))))</f>
        <v/>
      </c>
      <c r="J297" s="30">
        <f>IF(I297="Vencida",Config!$B$5-E297,"")</f>
        <v/>
      </c>
      <c r="K297" s="30">
        <f>IF(I297="A vencer",E297-Config!$B$5,"")</f>
        <v/>
      </c>
      <c r="L297" s="24">
        <f>IF(I297&lt;&gt;"Vencida","",IF(COUNTIF(Config!$A$10:$A$13,"&lt;="&amp;J297)=0,"Antes da régua",INDEX(Config!$C$10:$C$13,COUNTIF(Config!$A$10:$A$13,"&lt;="&amp;J297))))</f>
        <v/>
      </c>
      <c r="M297" s="23">
        <f>IF(I297&lt;&gt;"Vencida","",IF(COUNTIF(Config!$A$10:$A$13,"&lt;="&amp;J297)=0,"Aguardar: ainda não chegou ao primeiro passo da régua.",INDEX(Config!$B$10:$B$13,COUNTIF(Config!$A$10:$A$13,"&lt;="&amp;J297))))</f>
        <v/>
      </c>
      <c r="N297" s="39">
        <f>IF(I297="Vencida",F297*J297+ROW()/100000,0)</f>
        <v>0</v>
      </c>
      <c r="O297" s="39">
        <f>IF(AND(I297="A vencer",K297&lt;=Config!$B$7),100000-K297-ROW()/100000,0)</f>
        <v>0</v>
      </c>
    </row>
    <row r="298">
      <c r="A298" s="33" t="n"/>
      <c r="B298" s="33" t="n"/>
      <c r="C298" s="37" t="n"/>
      <c r="D298" s="35" t="n"/>
      <c r="E298" s="37" t="n"/>
      <c r="F298" s="38" t="n"/>
      <c r="G298" s="35" t="n"/>
      <c r="H298" s="37" t="n"/>
      <c r="I298" s="24">
        <f>IF(A298="","",IF(G298="Sim","Paga",IF(E298="","Sem vencimento",IF(E298&lt;Config!$B$5,"Vencida","A vencer"))))</f>
        <v/>
      </c>
      <c r="J298" s="30">
        <f>IF(I298="Vencida",Config!$B$5-E298,"")</f>
        <v/>
      </c>
      <c r="K298" s="30">
        <f>IF(I298="A vencer",E298-Config!$B$5,"")</f>
        <v/>
      </c>
      <c r="L298" s="24">
        <f>IF(I298&lt;&gt;"Vencida","",IF(COUNTIF(Config!$A$10:$A$13,"&lt;="&amp;J298)=0,"Antes da régua",INDEX(Config!$C$10:$C$13,COUNTIF(Config!$A$10:$A$13,"&lt;="&amp;J298))))</f>
        <v/>
      </c>
      <c r="M298" s="23">
        <f>IF(I298&lt;&gt;"Vencida","",IF(COUNTIF(Config!$A$10:$A$13,"&lt;="&amp;J298)=0,"Aguardar: ainda não chegou ao primeiro passo da régua.",INDEX(Config!$B$10:$B$13,COUNTIF(Config!$A$10:$A$13,"&lt;="&amp;J298))))</f>
        <v/>
      </c>
      <c r="N298" s="39">
        <f>IF(I298="Vencida",F298*J298+ROW()/100000,0)</f>
        <v>0</v>
      </c>
      <c r="O298" s="39">
        <f>IF(AND(I298="A vencer",K298&lt;=Config!$B$7),100000-K298-ROW()/100000,0)</f>
        <v>0</v>
      </c>
    </row>
    <row r="299">
      <c r="A299" s="33" t="n"/>
      <c r="B299" s="33" t="n"/>
      <c r="C299" s="37" t="n"/>
      <c r="D299" s="35" t="n"/>
      <c r="E299" s="37" t="n"/>
      <c r="F299" s="38" t="n"/>
      <c r="G299" s="35" t="n"/>
      <c r="H299" s="37" t="n"/>
      <c r="I299" s="24">
        <f>IF(A299="","",IF(G299="Sim","Paga",IF(E299="","Sem vencimento",IF(E299&lt;Config!$B$5,"Vencida","A vencer"))))</f>
        <v/>
      </c>
      <c r="J299" s="30">
        <f>IF(I299="Vencida",Config!$B$5-E299,"")</f>
        <v/>
      </c>
      <c r="K299" s="30">
        <f>IF(I299="A vencer",E299-Config!$B$5,"")</f>
        <v/>
      </c>
      <c r="L299" s="24">
        <f>IF(I299&lt;&gt;"Vencida","",IF(COUNTIF(Config!$A$10:$A$13,"&lt;="&amp;J299)=0,"Antes da régua",INDEX(Config!$C$10:$C$13,COUNTIF(Config!$A$10:$A$13,"&lt;="&amp;J299))))</f>
        <v/>
      </c>
      <c r="M299" s="23">
        <f>IF(I299&lt;&gt;"Vencida","",IF(COUNTIF(Config!$A$10:$A$13,"&lt;="&amp;J299)=0,"Aguardar: ainda não chegou ao primeiro passo da régua.",INDEX(Config!$B$10:$B$13,COUNTIF(Config!$A$10:$A$13,"&lt;="&amp;J299))))</f>
        <v/>
      </c>
      <c r="N299" s="39">
        <f>IF(I299="Vencida",F299*J299+ROW()/100000,0)</f>
        <v>0</v>
      </c>
      <c r="O299" s="39">
        <f>IF(AND(I299="A vencer",K299&lt;=Config!$B$7),100000-K299-ROW()/100000,0)</f>
        <v>0</v>
      </c>
    </row>
    <row r="300">
      <c r="A300" s="33" t="n"/>
      <c r="B300" s="33" t="n"/>
      <c r="C300" s="37" t="n"/>
      <c r="D300" s="35" t="n"/>
      <c r="E300" s="37" t="n"/>
      <c r="F300" s="38" t="n"/>
      <c r="G300" s="35" t="n"/>
      <c r="H300" s="37" t="n"/>
      <c r="I300" s="24">
        <f>IF(A300="","",IF(G300="Sim","Paga",IF(E300="","Sem vencimento",IF(E300&lt;Config!$B$5,"Vencida","A vencer"))))</f>
        <v/>
      </c>
      <c r="J300" s="30">
        <f>IF(I300="Vencida",Config!$B$5-E300,"")</f>
        <v/>
      </c>
      <c r="K300" s="30">
        <f>IF(I300="A vencer",E300-Config!$B$5,"")</f>
        <v/>
      </c>
      <c r="L300" s="24">
        <f>IF(I300&lt;&gt;"Vencida","",IF(COUNTIF(Config!$A$10:$A$13,"&lt;="&amp;J300)=0,"Antes da régua",INDEX(Config!$C$10:$C$13,COUNTIF(Config!$A$10:$A$13,"&lt;="&amp;J300))))</f>
        <v/>
      </c>
      <c r="M300" s="23">
        <f>IF(I300&lt;&gt;"Vencida","",IF(COUNTIF(Config!$A$10:$A$13,"&lt;="&amp;J300)=0,"Aguardar: ainda não chegou ao primeiro passo da régua.",INDEX(Config!$B$10:$B$13,COUNTIF(Config!$A$10:$A$13,"&lt;="&amp;J300))))</f>
        <v/>
      </c>
      <c r="N300" s="39">
        <f>IF(I300="Vencida",F300*J300+ROW()/100000,0)</f>
        <v>0</v>
      </c>
      <c r="O300" s="39">
        <f>IF(AND(I300="A vencer",K300&lt;=Config!$B$7),100000-K300-ROW()/100000,0)</f>
        <v>0</v>
      </c>
    </row>
    <row r="301">
      <c r="A301" s="33" t="n"/>
      <c r="B301" s="33" t="n"/>
      <c r="C301" s="37" t="n"/>
      <c r="D301" s="35" t="n"/>
      <c r="E301" s="37" t="n"/>
      <c r="F301" s="38" t="n"/>
      <c r="G301" s="35" t="n"/>
      <c r="H301" s="37" t="n"/>
      <c r="I301" s="24">
        <f>IF(A301="","",IF(G301="Sim","Paga",IF(E301="","Sem vencimento",IF(E301&lt;Config!$B$5,"Vencida","A vencer"))))</f>
        <v/>
      </c>
      <c r="J301" s="30">
        <f>IF(I301="Vencida",Config!$B$5-E301,"")</f>
        <v/>
      </c>
      <c r="K301" s="30">
        <f>IF(I301="A vencer",E301-Config!$B$5,"")</f>
        <v/>
      </c>
      <c r="L301" s="24">
        <f>IF(I301&lt;&gt;"Vencida","",IF(COUNTIF(Config!$A$10:$A$13,"&lt;="&amp;J301)=0,"Antes da régua",INDEX(Config!$C$10:$C$13,COUNTIF(Config!$A$10:$A$13,"&lt;="&amp;J301))))</f>
        <v/>
      </c>
      <c r="M301" s="23">
        <f>IF(I301&lt;&gt;"Vencida","",IF(COUNTIF(Config!$A$10:$A$13,"&lt;="&amp;J301)=0,"Aguardar: ainda não chegou ao primeiro passo da régua.",INDEX(Config!$B$10:$B$13,COUNTIF(Config!$A$10:$A$13,"&lt;="&amp;J301))))</f>
        <v/>
      </c>
      <c r="N301" s="39">
        <f>IF(I301="Vencida",F301*J301+ROW()/100000,0)</f>
        <v>0</v>
      </c>
      <c r="O301" s="39">
        <f>IF(AND(I301="A vencer",K301&lt;=Config!$B$7),100000-K301-ROW()/100000,0)</f>
        <v>0</v>
      </c>
    </row>
    <row r="302">
      <c r="A302" s="33" t="n"/>
      <c r="B302" s="33" t="n"/>
      <c r="C302" s="37" t="n"/>
      <c r="D302" s="35" t="n"/>
      <c r="E302" s="37" t="n"/>
      <c r="F302" s="38" t="n"/>
      <c r="G302" s="35" t="n"/>
      <c r="H302" s="37" t="n"/>
      <c r="I302" s="24">
        <f>IF(A302="","",IF(G302="Sim","Paga",IF(E302="","Sem vencimento",IF(E302&lt;Config!$B$5,"Vencida","A vencer"))))</f>
        <v/>
      </c>
      <c r="J302" s="30">
        <f>IF(I302="Vencida",Config!$B$5-E302,"")</f>
        <v/>
      </c>
      <c r="K302" s="30">
        <f>IF(I302="A vencer",E302-Config!$B$5,"")</f>
        <v/>
      </c>
      <c r="L302" s="24">
        <f>IF(I302&lt;&gt;"Vencida","",IF(COUNTIF(Config!$A$10:$A$13,"&lt;="&amp;J302)=0,"Antes da régua",INDEX(Config!$C$10:$C$13,COUNTIF(Config!$A$10:$A$13,"&lt;="&amp;J302))))</f>
        <v/>
      </c>
      <c r="M302" s="23">
        <f>IF(I302&lt;&gt;"Vencida","",IF(COUNTIF(Config!$A$10:$A$13,"&lt;="&amp;J302)=0,"Aguardar: ainda não chegou ao primeiro passo da régua.",INDEX(Config!$B$10:$B$13,COUNTIF(Config!$A$10:$A$13,"&lt;="&amp;J302))))</f>
        <v/>
      </c>
      <c r="N302" s="39">
        <f>IF(I302="Vencida",F302*J302+ROW()/100000,0)</f>
        <v>0</v>
      </c>
      <c r="O302" s="39">
        <f>IF(AND(I302="A vencer",K302&lt;=Config!$B$7),100000-K302-ROW()/100000,0)</f>
        <v>0</v>
      </c>
    </row>
    <row r="303">
      <c r="A303" s="33" t="n"/>
      <c r="B303" s="33" t="n"/>
      <c r="C303" s="37" t="n"/>
      <c r="D303" s="35" t="n"/>
      <c r="E303" s="37" t="n"/>
      <c r="F303" s="38" t="n"/>
      <c r="G303" s="35" t="n"/>
      <c r="H303" s="37" t="n"/>
      <c r="I303" s="24">
        <f>IF(A303="","",IF(G303="Sim","Paga",IF(E303="","Sem vencimento",IF(E303&lt;Config!$B$5,"Vencida","A vencer"))))</f>
        <v/>
      </c>
      <c r="J303" s="30">
        <f>IF(I303="Vencida",Config!$B$5-E303,"")</f>
        <v/>
      </c>
      <c r="K303" s="30">
        <f>IF(I303="A vencer",E303-Config!$B$5,"")</f>
        <v/>
      </c>
      <c r="L303" s="24">
        <f>IF(I303&lt;&gt;"Vencida","",IF(COUNTIF(Config!$A$10:$A$13,"&lt;="&amp;J303)=0,"Antes da régua",INDEX(Config!$C$10:$C$13,COUNTIF(Config!$A$10:$A$13,"&lt;="&amp;J303))))</f>
        <v/>
      </c>
      <c r="M303" s="23">
        <f>IF(I303&lt;&gt;"Vencida","",IF(COUNTIF(Config!$A$10:$A$13,"&lt;="&amp;J303)=0,"Aguardar: ainda não chegou ao primeiro passo da régua.",INDEX(Config!$B$10:$B$13,COUNTIF(Config!$A$10:$A$13,"&lt;="&amp;J303))))</f>
        <v/>
      </c>
      <c r="N303" s="39">
        <f>IF(I303="Vencida",F303*J303+ROW()/100000,0)</f>
        <v>0</v>
      </c>
      <c r="O303" s="39">
        <f>IF(AND(I303="A vencer",K303&lt;=Config!$B$7),100000-K303-ROW()/100000,0)</f>
        <v>0</v>
      </c>
    </row>
    <row r="304">
      <c r="A304" s="33" t="n"/>
      <c r="B304" s="33" t="n"/>
      <c r="C304" s="37" t="n"/>
      <c r="D304" s="35" t="n"/>
      <c r="E304" s="37" t="n"/>
      <c r="F304" s="38" t="n"/>
      <c r="G304" s="35" t="n"/>
      <c r="H304" s="37" t="n"/>
      <c r="I304" s="24">
        <f>IF(A304="","",IF(G304="Sim","Paga",IF(E304="","Sem vencimento",IF(E304&lt;Config!$B$5,"Vencida","A vencer"))))</f>
        <v/>
      </c>
      <c r="J304" s="30">
        <f>IF(I304="Vencida",Config!$B$5-E304,"")</f>
        <v/>
      </c>
      <c r="K304" s="30">
        <f>IF(I304="A vencer",E304-Config!$B$5,"")</f>
        <v/>
      </c>
      <c r="L304" s="24">
        <f>IF(I304&lt;&gt;"Vencida","",IF(COUNTIF(Config!$A$10:$A$13,"&lt;="&amp;J304)=0,"Antes da régua",INDEX(Config!$C$10:$C$13,COUNTIF(Config!$A$10:$A$13,"&lt;="&amp;J304))))</f>
        <v/>
      </c>
      <c r="M304" s="23">
        <f>IF(I304&lt;&gt;"Vencida","",IF(COUNTIF(Config!$A$10:$A$13,"&lt;="&amp;J304)=0,"Aguardar: ainda não chegou ao primeiro passo da régua.",INDEX(Config!$B$10:$B$13,COUNTIF(Config!$A$10:$A$13,"&lt;="&amp;J304))))</f>
        <v/>
      </c>
      <c r="N304" s="39">
        <f>IF(I304="Vencida",F304*J304+ROW()/100000,0)</f>
        <v>0</v>
      </c>
      <c r="O304" s="39">
        <f>IF(AND(I304="A vencer",K304&lt;=Config!$B$7),100000-K304-ROW()/100000,0)</f>
        <v>0</v>
      </c>
    </row>
    <row r="305">
      <c r="A305" s="33" t="n"/>
      <c r="B305" s="33" t="n"/>
      <c r="C305" s="37" t="n"/>
      <c r="D305" s="35" t="n"/>
      <c r="E305" s="37" t="n"/>
      <c r="F305" s="38" t="n"/>
      <c r="G305" s="35" t="n"/>
      <c r="H305" s="37" t="n"/>
      <c r="I305" s="24">
        <f>IF(A305="","",IF(G305="Sim","Paga",IF(E305="","Sem vencimento",IF(E305&lt;Config!$B$5,"Vencida","A vencer"))))</f>
        <v/>
      </c>
      <c r="J305" s="30">
        <f>IF(I305="Vencida",Config!$B$5-E305,"")</f>
        <v/>
      </c>
      <c r="K305" s="30">
        <f>IF(I305="A vencer",E305-Config!$B$5,"")</f>
        <v/>
      </c>
      <c r="L305" s="24">
        <f>IF(I305&lt;&gt;"Vencida","",IF(COUNTIF(Config!$A$10:$A$13,"&lt;="&amp;J305)=0,"Antes da régua",INDEX(Config!$C$10:$C$13,COUNTIF(Config!$A$10:$A$13,"&lt;="&amp;J305))))</f>
        <v/>
      </c>
      <c r="M305" s="23">
        <f>IF(I305&lt;&gt;"Vencida","",IF(COUNTIF(Config!$A$10:$A$13,"&lt;="&amp;J305)=0,"Aguardar: ainda não chegou ao primeiro passo da régua.",INDEX(Config!$B$10:$B$13,COUNTIF(Config!$A$10:$A$13,"&lt;="&amp;J305))))</f>
        <v/>
      </c>
      <c r="N305" s="39">
        <f>IF(I305="Vencida",F305*J305+ROW()/100000,0)</f>
        <v>0</v>
      </c>
      <c r="O305" s="39">
        <f>IF(AND(I305="A vencer",K305&lt;=Config!$B$7),100000-K305-ROW()/100000,0)</f>
        <v>0</v>
      </c>
    </row>
    <row r="306">
      <c r="A306" s="33" t="n"/>
      <c r="B306" s="33" t="n"/>
      <c r="C306" s="37" t="n"/>
      <c r="D306" s="35" t="n"/>
      <c r="E306" s="37" t="n"/>
      <c r="F306" s="38" t="n"/>
      <c r="G306" s="35" t="n"/>
      <c r="H306" s="37" t="n"/>
      <c r="I306" s="24">
        <f>IF(A306="","",IF(G306="Sim","Paga",IF(E306="","Sem vencimento",IF(E306&lt;Config!$B$5,"Vencida","A vencer"))))</f>
        <v/>
      </c>
      <c r="J306" s="30">
        <f>IF(I306="Vencida",Config!$B$5-E306,"")</f>
        <v/>
      </c>
      <c r="K306" s="30">
        <f>IF(I306="A vencer",E306-Config!$B$5,"")</f>
        <v/>
      </c>
      <c r="L306" s="24">
        <f>IF(I306&lt;&gt;"Vencida","",IF(COUNTIF(Config!$A$10:$A$13,"&lt;="&amp;J306)=0,"Antes da régua",INDEX(Config!$C$10:$C$13,COUNTIF(Config!$A$10:$A$13,"&lt;="&amp;J306))))</f>
        <v/>
      </c>
      <c r="M306" s="23">
        <f>IF(I306&lt;&gt;"Vencida","",IF(COUNTIF(Config!$A$10:$A$13,"&lt;="&amp;J306)=0,"Aguardar: ainda não chegou ao primeiro passo da régua.",INDEX(Config!$B$10:$B$13,COUNTIF(Config!$A$10:$A$13,"&lt;="&amp;J306))))</f>
        <v/>
      </c>
      <c r="N306" s="39">
        <f>IF(I306="Vencida",F306*J306+ROW()/100000,0)</f>
        <v>0</v>
      </c>
      <c r="O306" s="39">
        <f>IF(AND(I306="A vencer",K306&lt;=Config!$B$7),100000-K306-ROW()/100000,0)</f>
        <v>0</v>
      </c>
    </row>
    <row r="307">
      <c r="A307" s="33" t="n"/>
      <c r="B307" s="33" t="n"/>
      <c r="C307" s="37" t="n"/>
      <c r="D307" s="35" t="n"/>
      <c r="E307" s="37" t="n"/>
      <c r="F307" s="38" t="n"/>
      <c r="G307" s="35" t="n"/>
      <c r="H307" s="37" t="n"/>
      <c r="I307" s="24">
        <f>IF(A307="","",IF(G307="Sim","Paga",IF(E307="","Sem vencimento",IF(E307&lt;Config!$B$5,"Vencida","A vencer"))))</f>
        <v/>
      </c>
      <c r="J307" s="30">
        <f>IF(I307="Vencida",Config!$B$5-E307,"")</f>
        <v/>
      </c>
      <c r="K307" s="30">
        <f>IF(I307="A vencer",E307-Config!$B$5,"")</f>
        <v/>
      </c>
      <c r="L307" s="24">
        <f>IF(I307&lt;&gt;"Vencida","",IF(COUNTIF(Config!$A$10:$A$13,"&lt;="&amp;J307)=0,"Antes da régua",INDEX(Config!$C$10:$C$13,COUNTIF(Config!$A$10:$A$13,"&lt;="&amp;J307))))</f>
        <v/>
      </c>
      <c r="M307" s="23">
        <f>IF(I307&lt;&gt;"Vencida","",IF(COUNTIF(Config!$A$10:$A$13,"&lt;="&amp;J307)=0,"Aguardar: ainda não chegou ao primeiro passo da régua.",INDEX(Config!$B$10:$B$13,COUNTIF(Config!$A$10:$A$13,"&lt;="&amp;J307))))</f>
        <v/>
      </c>
      <c r="N307" s="39">
        <f>IF(I307="Vencida",F307*J307+ROW()/100000,0)</f>
        <v>0</v>
      </c>
      <c r="O307" s="39">
        <f>IF(AND(I307="A vencer",K307&lt;=Config!$B$7),100000-K307-ROW()/100000,0)</f>
        <v>0</v>
      </c>
    </row>
    <row r="308">
      <c r="A308" s="33" t="n"/>
      <c r="B308" s="33" t="n"/>
      <c r="C308" s="37" t="n"/>
      <c r="D308" s="35" t="n"/>
      <c r="E308" s="37" t="n"/>
      <c r="F308" s="38" t="n"/>
      <c r="G308" s="35" t="n"/>
      <c r="H308" s="37" t="n"/>
      <c r="I308" s="24">
        <f>IF(A308="","",IF(G308="Sim","Paga",IF(E308="","Sem vencimento",IF(E308&lt;Config!$B$5,"Vencida","A vencer"))))</f>
        <v/>
      </c>
      <c r="J308" s="30">
        <f>IF(I308="Vencida",Config!$B$5-E308,"")</f>
        <v/>
      </c>
      <c r="K308" s="30">
        <f>IF(I308="A vencer",E308-Config!$B$5,"")</f>
        <v/>
      </c>
      <c r="L308" s="24">
        <f>IF(I308&lt;&gt;"Vencida","",IF(COUNTIF(Config!$A$10:$A$13,"&lt;="&amp;J308)=0,"Antes da régua",INDEX(Config!$C$10:$C$13,COUNTIF(Config!$A$10:$A$13,"&lt;="&amp;J308))))</f>
        <v/>
      </c>
      <c r="M308" s="23">
        <f>IF(I308&lt;&gt;"Vencida","",IF(COUNTIF(Config!$A$10:$A$13,"&lt;="&amp;J308)=0,"Aguardar: ainda não chegou ao primeiro passo da régua.",INDEX(Config!$B$10:$B$13,COUNTIF(Config!$A$10:$A$13,"&lt;="&amp;J308))))</f>
        <v/>
      </c>
      <c r="N308" s="39">
        <f>IF(I308="Vencida",F308*J308+ROW()/100000,0)</f>
        <v>0</v>
      </c>
      <c r="O308" s="39">
        <f>IF(AND(I308="A vencer",K308&lt;=Config!$B$7),100000-K308-ROW()/100000,0)</f>
        <v>0</v>
      </c>
    </row>
    <row r="309">
      <c r="A309" s="33" t="n"/>
      <c r="B309" s="33" t="n"/>
      <c r="C309" s="37" t="n"/>
      <c r="D309" s="35" t="n"/>
      <c r="E309" s="37" t="n"/>
      <c r="F309" s="38" t="n"/>
      <c r="G309" s="35" t="n"/>
      <c r="H309" s="37" t="n"/>
      <c r="I309" s="24">
        <f>IF(A309="","",IF(G309="Sim","Paga",IF(E309="","Sem vencimento",IF(E309&lt;Config!$B$5,"Vencida","A vencer"))))</f>
        <v/>
      </c>
      <c r="J309" s="30">
        <f>IF(I309="Vencida",Config!$B$5-E309,"")</f>
        <v/>
      </c>
      <c r="K309" s="30">
        <f>IF(I309="A vencer",E309-Config!$B$5,"")</f>
        <v/>
      </c>
      <c r="L309" s="24">
        <f>IF(I309&lt;&gt;"Vencida","",IF(COUNTIF(Config!$A$10:$A$13,"&lt;="&amp;J309)=0,"Antes da régua",INDEX(Config!$C$10:$C$13,COUNTIF(Config!$A$10:$A$13,"&lt;="&amp;J309))))</f>
        <v/>
      </c>
      <c r="M309" s="23">
        <f>IF(I309&lt;&gt;"Vencida","",IF(COUNTIF(Config!$A$10:$A$13,"&lt;="&amp;J309)=0,"Aguardar: ainda não chegou ao primeiro passo da régua.",INDEX(Config!$B$10:$B$13,COUNTIF(Config!$A$10:$A$13,"&lt;="&amp;J309))))</f>
        <v/>
      </c>
      <c r="N309" s="39">
        <f>IF(I309="Vencida",F309*J309+ROW()/100000,0)</f>
        <v>0</v>
      </c>
      <c r="O309" s="39">
        <f>IF(AND(I309="A vencer",K309&lt;=Config!$B$7),100000-K309-ROW()/100000,0)</f>
        <v>0</v>
      </c>
    </row>
    <row r="310">
      <c r="A310" s="33" t="n"/>
      <c r="B310" s="33" t="n"/>
      <c r="C310" s="37" t="n"/>
      <c r="D310" s="35" t="n"/>
      <c r="E310" s="37" t="n"/>
      <c r="F310" s="38" t="n"/>
      <c r="G310" s="35" t="n"/>
      <c r="H310" s="37" t="n"/>
      <c r="I310" s="24">
        <f>IF(A310="","",IF(G310="Sim","Paga",IF(E310="","Sem vencimento",IF(E310&lt;Config!$B$5,"Vencida","A vencer"))))</f>
        <v/>
      </c>
      <c r="J310" s="30">
        <f>IF(I310="Vencida",Config!$B$5-E310,"")</f>
        <v/>
      </c>
      <c r="K310" s="30">
        <f>IF(I310="A vencer",E310-Config!$B$5,"")</f>
        <v/>
      </c>
      <c r="L310" s="24">
        <f>IF(I310&lt;&gt;"Vencida","",IF(COUNTIF(Config!$A$10:$A$13,"&lt;="&amp;J310)=0,"Antes da régua",INDEX(Config!$C$10:$C$13,COUNTIF(Config!$A$10:$A$13,"&lt;="&amp;J310))))</f>
        <v/>
      </c>
      <c r="M310" s="23">
        <f>IF(I310&lt;&gt;"Vencida","",IF(COUNTIF(Config!$A$10:$A$13,"&lt;="&amp;J310)=0,"Aguardar: ainda não chegou ao primeiro passo da régua.",INDEX(Config!$B$10:$B$13,COUNTIF(Config!$A$10:$A$13,"&lt;="&amp;J310))))</f>
        <v/>
      </c>
      <c r="N310" s="39">
        <f>IF(I310="Vencida",F310*J310+ROW()/100000,0)</f>
        <v>0</v>
      </c>
      <c r="O310" s="39">
        <f>IF(AND(I310="A vencer",K310&lt;=Config!$B$7),100000-K310-ROW()/100000,0)</f>
        <v>0</v>
      </c>
    </row>
    <row r="311">
      <c r="A311" s="33" t="n"/>
      <c r="B311" s="33" t="n"/>
      <c r="C311" s="37" t="n"/>
      <c r="D311" s="35" t="n"/>
      <c r="E311" s="37" t="n"/>
      <c r="F311" s="38" t="n"/>
      <c r="G311" s="35" t="n"/>
      <c r="H311" s="37" t="n"/>
      <c r="I311" s="24">
        <f>IF(A311="","",IF(G311="Sim","Paga",IF(E311="","Sem vencimento",IF(E311&lt;Config!$B$5,"Vencida","A vencer"))))</f>
        <v/>
      </c>
      <c r="J311" s="30">
        <f>IF(I311="Vencida",Config!$B$5-E311,"")</f>
        <v/>
      </c>
      <c r="K311" s="30">
        <f>IF(I311="A vencer",E311-Config!$B$5,"")</f>
        <v/>
      </c>
      <c r="L311" s="24">
        <f>IF(I311&lt;&gt;"Vencida","",IF(COUNTIF(Config!$A$10:$A$13,"&lt;="&amp;J311)=0,"Antes da régua",INDEX(Config!$C$10:$C$13,COUNTIF(Config!$A$10:$A$13,"&lt;="&amp;J311))))</f>
        <v/>
      </c>
      <c r="M311" s="23">
        <f>IF(I311&lt;&gt;"Vencida","",IF(COUNTIF(Config!$A$10:$A$13,"&lt;="&amp;J311)=0,"Aguardar: ainda não chegou ao primeiro passo da régua.",INDEX(Config!$B$10:$B$13,COUNTIF(Config!$A$10:$A$13,"&lt;="&amp;J311))))</f>
        <v/>
      </c>
      <c r="N311" s="39">
        <f>IF(I311="Vencida",F311*J311+ROW()/100000,0)</f>
        <v>0</v>
      </c>
      <c r="O311" s="39">
        <f>IF(AND(I311="A vencer",K311&lt;=Config!$B$7),100000-K311-ROW()/100000,0)</f>
        <v>0</v>
      </c>
    </row>
    <row r="312">
      <c r="A312" s="33" t="n"/>
      <c r="B312" s="33" t="n"/>
      <c r="C312" s="37" t="n"/>
      <c r="D312" s="35" t="n"/>
      <c r="E312" s="37" t="n"/>
      <c r="F312" s="38" t="n"/>
      <c r="G312" s="35" t="n"/>
      <c r="H312" s="37" t="n"/>
      <c r="I312" s="24">
        <f>IF(A312="","",IF(G312="Sim","Paga",IF(E312="","Sem vencimento",IF(E312&lt;Config!$B$5,"Vencida","A vencer"))))</f>
        <v/>
      </c>
      <c r="J312" s="30">
        <f>IF(I312="Vencida",Config!$B$5-E312,"")</f>
        <v/>
      </c>
      <c r="K312" s="30">
        <f>IF(I312="A vencer",E312-Config!$B$5,"")</f>
        <v/>
      </c>
      <c r="L312" s="24">
        <f>IF(I312&lt;&gt;"Vencida","",IF(COUNTIF(Config!$A$10:$A$13,"&lt;="&amp;J312)=0,"Antes da régua",INDEX(Config!$C$10:$C$13,COUNTIF(Config!$A$10:$A$13,"&lt;="&amp;J312))))</f>
        <v/>
      </c>
      <c r="M312" s="23">
        <f>IF(I312&lt;&gt;"Vencida","",IF(COUNTIF(Config!$A$10:$A$13,"&lt;="&amp;J312)=0,"Aguardar: ainda não chegou ao primeiro passo da régua.",INDEX(Config!$B$10:$B$13,COUNTIF(Config!$A$10:$A$13,"&lt;="&amp;J312))))</f>
        <v/>
      </c>
      <c r="N312" s="39">
        <f>IF(I312="Vencida",F312*J312+ROW()/100000,0)</f>
        <v>0</v>
      </c>
      <c r="O312" s="39">
        <f>IF(AND(I312="A vencer",K312&lt;=Config!$B$7),100000-K312-ROW()/100000,0)</f>
        <v>0</v>
      </c>
    </row>
    <row r="313">
      <c r="A313" s="33" t="n"/>
      <c r="B313" s="33" t="n"/>
      <c r="C313" s="37" t="n"/>
      <c r="D313" s="35" t="n"/>
      <c r="E313" s="37" t="n"/>
      <c r="F313" s="38" t="n"/>
      <c r="G313" s="35" t="n"/>
      <c r="H313" s="37" t="n"/>
      <c r="I313" s="24">
        <f>IF(A313="","",IF(G313="Sim","Paga",IF(E313="","Sem vencimento",IF(E313&lt;Config!$B$5,"Vencida","A vencer"))))</f>
        <v/>
      </c>
      <c r="J313" s="30">
        <f>IF(I313="Vencida",Config!$B$5-E313,"")</f>
        <v/>
      </c>
      <c r="K313" s="30">
        <f>IF(I313="A vencer",E313-Config!$B$5,"")</f>
        <v/>
      </c>
      <c r="L313" s="24">
        <f>IF(I313&lt;&gt;"Vencida","",IF(COUNTIF(Config!$A$10:$A$13,"&lt;="&amp;J313)=0,"Antes da régua",INDEX(Config!$C$10:$C$13,COUNTIF(Config!$A$10:$A$13,"&lt;="&amp;J313))))</f>
        <v/>
      </c>
      <c r="M313" s="23">
        <f>IF(I313&lt;&gt;"Vencida","",IF(COUNTIF(Config!$A$10:$A$13,"&lt;="&amp;J313)=0,"Aguardar: ainda não chegou ao primeiro passo da régua.",INDEX(Config!$B$10:$B$13,COUNTIF(Config!$A$10:$A$13,"&lt;="&amp;J313))))</f>
        <v/>
      </c>
      <c r="N313" s="39">
        <f>IF(I313="Vencida",F313*J313+ROW()/100000,0)</f>
        <v>0</v>
      </c>
      <c r="O313" s="39">
        <f>IF(AND(I313="A vencer",K313&lt;=Config!$B$7),100000-K313-ROW()/100000,0)</f>
        <v>0</v>
      </c>
    </row>
    <row r="314">
      <c r="A314" s="33" t="n"/>
      <c r="B314" s="33" t="n"/>
      <c r="C314" s="37" t="n"/>
      <c r="D314" s="35" t="n"/>
      <c r="E314" s="37" t="n"/>
      <c r="F314" s="38" t="n"/>
      <c r="G314" s="35" t="n"/>
      <c r="H314" s="37" t="n"/>
      <c r="I314" s="24">
        <f>IF(A314="","",IF(G314="Sim","Paga",IF(E314="","Sem vencimento",IF(E314&lt;Config!$B$5,"Vencida","A vencer"))))</f>
        <v/>
      </c>
      <c r="J314" s="30">
        <f>IF(I314="Vencida",Config!$B$5-E314,"")</f>
        <v/>
      </c>
      <c r="K314" s="30">
        <f>IF(I314="A vencer",E314-Config!$B$5,"")</f>
        <v/>
      </c>
      <c r="L314" s="24">
        <f>IF(I314&lt;&gt;"Vencida","",IF(COUNTIF(Config!$A$10:$A$13,"&lt;="&amp;J314)=0,"Antes da régua",INDEX(Config!$C$10:$C$13,COUNTIF(Config!$A$10:$A$13,"&lt;="&amp;J314))))</f>
        <v/>
      </c>
      <c r="M314" s="23">
        <f>IF(I314&lt;&gt;"Vencida","",IF(COUNTIF(Config!$A$10:$A$13,"&lt;="&amp;J314)=0,"Aguardar: ainda não chegou ao primeiro passo da régua.",INDEX(Config!$B$10:$B$13,COUNTIF(Config!$A$10:$A$13,"&lt;="&amp;J314))))</f>
        <v/>
      </c>
      <c r="N314" s="39">
        <f>IF(I314="Vencida",F314*J314+ROW()/100000,0)</f>
        <v>0</v>
      </c>
      <c r="O314" s="39">
        <f>IF(AND(I314="A vencer",K314&lt;=Config!$B$7),100000-K314-ROW()/100000,0)</f>
        <v>0</v>
      </c>
    </row>
    <row r="315">
      <c r="A315" s="33" t="n"/>
      <c r="B315" s="33" t="n"/>
      <c r="C315" s="37" t="n"/>
      <c r="D315" s="35" t="n"/>
      <c r="E315" s="37" t="n"/>
      <c r="F315" s="38" t="n"/>
      <c r="G315" s="35" t="n"/>
      <c r="H315" s="37" t="n"/>
      <c r="I315" s="24">
        <f>IF(A315="","",IF(G315="Sim","Paga",IF(E315="","Sem vencimento",IF(E315&lt;Config!$B$5,"Vencida","A vencer"))))</f>
        <v/>
      </c>
      <c r="J315" s="30">
        <f>IF(I315="Vencida",Config!$B$5-E315,"")</f>
        <v/>
      </c>
      <c r="K315" s="30">
        <f>IF(I315="A vencer",E315-Config!$B$5,"")</f>
        <v/>
      </c>
      <c r="L315" s="24">
        <f>IF(I315&lt;&gt;"Vencida","",IF(COUNTIF(Config!$A$10:$A$13,"&lt;="&amp;J315)=0,"Antes da régua",INDEX(Config!$C$10:$C$13,COUNTIF(Config!$A$10:$A$13,"&lt;="&amp;J315))))</f>
        <v/>
      </c>
      <c r="M315" s="23">
        <f>IF(I315&lt;&gt;"Vencida","",IF(COUNTIF(Config!$A$10:$A$13,"&lt;="&amp;J315)=0,"Aguardar: ainda não chegou ao primeiro passo da régua.",INDEX(Config!$B$10:$B$13,COUNTIF(Config!$A$10:$A$13,"&lt;="&amp;J315))))</f>
        <v/>
      </c>
      <c r="N315" s="39">
        <f>IF(I315="Vencida",F315*J315+ROW()/100000,0)</f>
        <v>0</v>
      </c>
      <c r="O315" s="39">
        <f>IF(AND(I315="A vencer",K315&lt;=Config!$B$7),100000-K315-ROW()/100000,0)</f>
        <v>0</v>
      </c>
    </row>
    <row r="316">
      <c r="A316" s="33" t="n"/>
      <c r="B316" s="33" t="n"/>
      <c r="C316" s="37" t="n"/>
      <c r="D316" s="35" t="n"/>
      <c r="E316" s="37" t="n"/>
      <c r="F316" s="38" t="n"/>
      <c r="G316" s="35" t="n"/>
      <c r="H316" s="37" t="n"/>
      <c r="I316" s="24">
        <f>IF(A316="","",IF(G316="Sim","Paga",IF(E316="","Sem vencimento",IF(E316&lt;Config!$B$5,"Vencida","A vencer"))))</f>
        <v/>
      </c>
      <c r="J316" s="30">
        <f>IF(I316="Vencida",Config!$B$5-E316,"")</f>
        <v/>
      </c>
      <c r="K316" s="30">
        <f>IF(I316="A vencer",E316-Config!$B$5,"")</f>
        <v/>
      </c>
      <c r="L316" s="24">
        <f>IF(I316&lt;&gt;"Vencida","",IF(COUNTIF(Config!$A$10:$A$13,"&lt;="&amp;J316)=0,"Antes da régua",INDEX(Config!$C$10:$C$13,COUNTIF(Config!$A$10:$A$13,"&lt;="&amp;J316))))</f>
        <v/>
      </c>
      <c r="M316" s="23">
        <f>IF(I316&lt;&gt;"Vencida","",IF(COUNTIF(Config!$A$10:$A$13,"&lt;="&amp;J316)=0,"Aguardar: ainda não chegou ao primeiro passo da régua.",INDEX(Config!$B$10:$B$13,COUNTIF(Config!$A$10:$A$13,"&lt;="&amp;J316))))</f>
        <v/>
      </c>
      <c r="N316" s="39">
        <f>IF(I316="Vencida",F316*J316+ROW()/100000,0)</f>
        <v>0</v>
      </c>
      <c r="O316" s="39">
        <f>IF(AND(I316="A vencer",K316&lt;=Config!$B$7),100000-K316-ROW()/100000,0)</f>
        <v>0</v>
      </c>
    </row>
    <row r="317">
      <c r="A317" s="33" t="n"/>
      <c r="B317" s="33" t="n"/>
      <c r="C317" s="37" t="n"/>
      <c r="D317" s="35" t="n"/>
      <c r="E317" s="37" t="n"/>
      <c r="F317" s="38" t="n"/>
      <c r="G317" s="35" t="n"/>
      <c r="H317" s="37" t="n"/>
      <c r="I317" s="24">
        <f>IF(A317="","",IF(G317="Sim","Paga",IF(E317="","Sem vencimento",IF(E317&lt;Config!$B$5,"Vencida","A vencer"))))</f>
        <v/>
      </c>
      <c r="J317" s="30">
        <f>IF(I317="Vencida",Config!$B$5-E317,"")</f>
        <v/>
      </c>
      <c r="K317" s="30">
        <f>IF(I317="A vencer",E317-Config!$B$5,"")</f>
        <v/>
      </c>
      <c r="L317" s="24">
        <f>IF(I317&lt;&gt;"Vencida","",IF(COUNTIF(Config!$A$10:$A$13,"&lt;="&amp;J317)=0,"Antes da régua",INDEX(Config!$C$10:$C$13,COUNTIF(Config!$A$10:$A$13,"&lt;="&amp;J317))))</f>
        <v/>
      </c>
      <c r="M317" s="23">
        <f>IF(I317&lt;&gt;"Vencida","",IF(COUNTIF(Config!$A$10:$A$13,"&lt;="&amp;J317)=0,"Aguardar: ainda não chegou ao primeiro passo da régua.",INDEX(Config!$B$10:$B$13,COUNTIF(Config!$A$10:$A$13,"&lt;="&amp;J317))))</f>
        <v/>
      </c>
      <c r="N317" s="39">
        <f>IF(I317="Vencida",F317*J317+ROW()/100000,0)</f>
        <v>0</v>
      </c>
      <c r="O317" s="39">
        <f>IF(AND(I317="A vencer",K317&lt;=Config!$B$7),100000-K317-ROW()/100000,0)</f>
        <v>0</v>
      </c>
    </row>
    <row r="318">
      <c r="A318" s="33" t="n"/>
      <c r="B318" s="33" t="n"/>
      <c r="C318" s="37" t="n"/>
      <c r="D318" s="35" t="n"/>
      <c r="E318" s="37" t="n"/>
      <c r="F318" s="38" t="n"/>
      <c r="G318" s="35" t="n"/>
      <c r="H318" s="37" t="n"/>
      <c r="I318" s="24">
        <f>IF(A318="","",IF(G318="Sim","Paga",IF(E318="","Sem vencimento",IF(E318&lt;Config!$B$5,"Vencida","A vencer"))))</f>
        <v/>
      </c>
      <c r="J318" s="30">
        <f>IF(I318="Vencida",Config!$B$5-E318,"")</f>
        <v/>
      </c>
      <c r="K318" s="30">
        <f>IF(I318="A vencer",E318-Config!$B$5,"")</f>
        <v/>
      </c>
      <c r="L318" s="24">
        <f>IF(I318&lt;&gt;"Vencida","",IF(COUNTIF(Config!$A$10:$A$13,"&lt;="&amp;J318)=0,"Antes da régua",INDEX(Config!$C$10:$C$13,COUNTIF(Config!$A$10:$A$13,"&lt;="&amp;J318))))</f>
        <v/>
      </c>
      <c r="M318" s="23">
        <f>IF(I318&lt;&gt;"Vencida","",IF(COUNTIF(Config!$A$10:$A$13,"&lt;="&amp;J318)=0,"Aguardar: ainda não chegou ao primeiro passo da régua.",INDEX(Config!$B$10:$B$13,COUNTIF(Config!$A$10:$A$13,"&lt;="&amp;J318))))</f>
        <v/>
      </c>
      <c r="N318" s="39">
        <f>IF(I318="Vencida",F318*J318+ROW()/100000,0)</f>
        <v>0</v>
      </c>
      <c r="O318" s="39">
        <f>IF(AND(I318="A vencer",K318&lt;=Config!$B$7),100000-K318-ROW()/100000,0)</f>
        <v>0</v>
      </c>
    </row>
    <row r="319">
      <c r="A319" s="33" t="n"/>
      <c r="B319" s="33" t="n"/>
      <c r="C319" s="37" t="n"/>
      <c r="D319" s="35" t="n"/>
      <c r="E319" s="37" t="n"/>
      <c r="F319" s="38" t="n"/>
      <c r="G319" s="35" t="n"/>
      <c r="H319" s="37" t="n"/>
      <c r="I319" s="24">
        <f>IF(A319="","",IF(G319="Sim","Paga",IF(E319="","Sem vencimento",IF(E319&lt;Config!$B$5,"Vencida","A vencer"))))</f>
        <v/>
      </c>
      <c r="J319" s="30">
        <f>IF(I319="Vencida",Config!$B$5-E319,"")</f>
        <v/>
      </c>
      <c r="K319" s="30">
        <f>IF(I319="A vencer",E319-Config!$B$5,"")</f>
        <v/>
      </c>
      <c r="L319" s="24">
        <f>IF(I319&lt;&gt;"Vencida","",IF(COUNTIF(Config!$A$10:$A$13,"&lt;="&amp;J319)=0,"Antes da régua",INDEX(Config!$C$10:$C$13,COUNTIF(Config!$A$10:$A$13,"&lt;="&amp;J319))))</f>
        <v/>
      </c>
      <c r="M319" s="23">
        <f>IF(I319&lt;&gt;"Vencida","",IF(COUNTIF(Config!$A$10:$A$13,"&lt;="&amp;J319)=0,"Aguardar: ainda não chegou ao primeiro passo da régua.",INDEX(Config!$B$10:$B$13,COUNTIF(Config!$A$10:$A$13,"&lt;="&amp;J319))))</f>
        <v/>
      </c>
      <c r="N319" s="39">
        <f>IF(I319="Vencida",F319*J319+ROW()/100000,0)</f>
        <v>0</v>
      </c>
      <c r="O319" s="39">
        <f>IF(AND(I319="A vencer",K319&lt;=Config!$B$7),100000-K319-ROW()/100000,0)</f>
        <v>0</v>
      </c>
    </row>
    <row r="320">
      <c r="A320" s="33" t="n"/>
      <c r="B320" s="33" t="n"/>
      <c r="C320" s="37" t="n"/>
      <c r="D320" s="35" t="n"/>
      <c r="E320" s="37" t="n"/>
      <c r="F320" s="38" t="n"/>
      <c r="G320" s="35" t="n"/>
      <c r="H320" s="37" t="n"/>
      <c r="I320" s="24">
        <f>IF(A320="","",IF(G320="Sim","Paga",IF(E320="","Sem vencimento",IF(E320&lt;Config!$B$5,"Vencida","A vencer"))))</f>
        <v/>
      </c>
      <c r="J320" s="30">
        <f>IF(I320="Vencida",Config!$B$5-E320,"")</f>
        <v/>
      </c>
      <c r="K320" s="30">
        <f>IF(I320="A vencer",E320-Config!$B$5,"")</f>
        <v/>
      </c>
      <c r="L320" s="24">
        <f>IF(I320&lt;&gt;"Vencida","",IF(COUNTIF(Config!$A$10:$A$13,"&lt;="&amp;J320)=0,"Antes da régua",INDEX(Config!$C$10:$C$13,COUNTIF(Config!$A$10:$A$13,"&lt;="&amp;J320))))</f>
        <v/>
      </c>
      <c r="M320" s="23">
        <f>IF(I320&lt;&gt;"Vencida","",IF(COUNTIF(Config!$A$10:$A$13,"&lt;="&amp;J320)=0,"Aguardar: ainda não chegou ao primeiro passo da régua.",INDEX(Config!$B$10:$B$13,COUNTIF(Config!$A$10:$A$13,"&lt;="&amp;J320))))</f>
        <v/>
      </c>
      <c r="N320" s="39">
        <f>IF(I320="Vencida",F320*J320+ROW()/100000,0)</f>
        <v>0</v>
      </c>
      <c r="O320" s="39">
        <f>IF(AND(I320="A vencer",K320&lt;=Config!$B$7),100000-K320-ROW()/100000,0)</f>
        <v>0</v>
      </c>
    </row>
    <row r="321">
      <c r="A321" s="33" t="n"/>
      <c r="B321" s="33" t="n"/>
      <c r="C321" s="37" t="n"/>
      <c r="D321" s="35" t="n"/>
      <c r="E321" s="37" t="n"/>
      <c r="F321" s="38" t="n"/>
      <c r="G321" s="35" t="n"/>
      <c r="H321" s="37" t="n"/>
      <c r="I321" s="24">
        <f>IF(A321="","",IF(G321="Sim","Paga",IF(E321="","Sem vencimento",IF(E321&lt;Config!$B$5,"Vencida","A vencer"))))</f>
        <v/>
      </c>
      <c r="J321" s="30">
        <f>IF(I321="Vencida",Config!$B$5-E321,"")</f>
        <v/>
      </c>
      <c r="K321" s="30">
        <f>IF(I321="A vencer",E321-Config!$B$5,"")</f>
        <v/>
      </c>
      <c r="L321" s="24">
        <f>IF(I321&lt;&gt;"Vencida","",IF(COUNTIF(Config!$A$10:$A$13,"&lt;="&amp;J321)=0,"Antes da régua",INDEX(Config!$C$10:$C$13,COUNTIF(Config!$A$10:$A$13,"&lt;="&amp;J321))))</f>
        <v/>
      </c>
      <c r="M321" s="23">
        <f>IF(I321&lt;&gt;"Vencida","",IF(COUNTIF(Config!$A$10:$A$13,"&lt;="&amp;J321)=0,"Aguardar: ainda não chegou ao primeiro passo da régua.",INDEX(Config!$B$10:$B$13,COUNTIF(Config!$A$10:$A$13,"&lt;="&amp;J321))))</f>
        <v/>
      </c>
      <c r="N321" s="39">
        <f>IF(I321="Vencida",F321*J321+ROW()/100000,0)</f>
        <v>0</v>
      </c>
      <c r="O321" s="39">
        <f>IF(AND(I321="A vencer",K321&lt;=Config!$B$7),100000-K321-ROW()/100000,0)</f>
        <v>0</v>
      </c>
    </row>
    <row r="322">
      <c r="A322" s="33" t="n"/>
      <c r="B322" s="33" t="n"/>
      <c r="C322" s="37" t="n"/>
      <c r="D322" s="35" t="n"/>
      <c r="E322" s="37" t="n"/>
      <c r="F322" s="38" t="n"/>
      <c r="G322" s="35" t="n"/>
      <c r="H322" s="37" t="n"/>
      <c r="I322" s="24">
        <f>IF(A322="","",IF(G322="Sim","Paga",IF(E322="","Sem vencimento",IF(E322&lt;Config!$B$5,"Vencida","A vencer"))))</f>
        <v/>
      </c>
      <c r="J322" s="30">
        <f>IF(I322="Vencida",Config!$B$5-E322,"")</f>
        <v/>
      </c>
      <c r="K322" s="30">
        <f>IF(I322="A vencer",E322-Config!$B$5,"")</f>
        <v/>
      </c>
      <c r="L322" s="24">
        <f>IF(I322&lt;&gt;"Vencida","",IF(COUNTIF(Config!$A$10:$A$13,"&lt;="&amp;J322)=0,"Antes da régua",INDEX(Config!$C$10:$C$13,COUNTIF(Config!$A$10:$A$13,"&lt;="&amp;J322))))</f>
        <v/>
      </c>
      <c r="M322" s="23">
        <f>IF(I322&lt;&gt;"Vencida","",IF(COUNTIF(Config!$A$10:$A$13,"&lt;="&amp;J322)=0,"Aguardar: ainda não chegou ao primeiro passo da régua.",INDEX(Config!$B$10:$B$13,COUNTIF(Config!$A$10:$A$13,"&lt;="&amp;J322))))</f>
        <v/>
      </c>
      <c r="N322" s="39">
        <f>IF(I322="Vencida",F322*J322+ROW()/100000,0)</f>
        <v>0</v>
      </c>
      <c r="O322" s="39">
        <f>IF(AND(I322="A vencer",K322&lt;=Config!$B$7),100000-K322-ROW()/100000,0)</f>
        <v>0</v>
      </c>
    </row>
    <row r="323">
      <c r="A323" s="33" t="n"/>
      <c r="B323" s="33" t="n"/>
      <c r="C323" s="37" t="n"/>
      <c r="D323" s="35" t="n"/>
      <c r="E323" s="37" t="n"/>
      <c r="F323" s="38" t="n"/>
      <c r="G323" s="35" t="n"/>
      <c r="H323" s="37" t="n"/>
      <c r="I323" s="24">
        <f>IF(A323="","",IF(G323="Sim","Paga",IF(E323="","Sem vencimento",IF(E323&lt;Config!$B$5,"Vencida","A vencer"))))</f>
        <v/>
      </c>
      <c r="J323" s="30">
        <f>IF(I323="Vencida",Config!$B$5-E323,"")</f>
        <v/>
      </c>
      <c r="K323" s="30">
        <f>IF(I323="A vencer",E323-Config!$B$5,"")</f>
        <v/>
      </c>
      <c r="L323" s="24">
        <f>IF(I323&lt;&gt;"Vencida","",IF(COUNTIF(Config!$A$10:$A$13,"&lt;="&amp;J323)=0,"Antes da régua",INDEX(Config!$C$10:$C$13,COUNTIF(Config!$A$10:$A$13,"&lt;="&amp;J323))))</f>
        <v/>
      </c>
      <c r="M323" s="23">
        <f>IF(I323&lt;&gt;"Vencida","",IF(COUNTIF(Config!$A$10:$A$13,"&lt;="&amp;J323)=0,"Aguardar: ainda não chegou ao primeiro passo da régua.",INDEX(Config!$B$10:$B$13,COUNTIF(Config!$A$10:$A$13,"&lt;="&amp;J323))))</f>
        <v/>
      </c>
      <c r="N323" s="39">
        <f>IF(I323="Vencida",F323*J323+ROW()/100000,0)</f>
        <v>0</v>
      </c>
      <c r="O323" s="39">
        <f>IF(AND(I323="A vencer",K323&lt;=Config!$B$7),100000-K323-ROW()/100000,0)</f>
        <v>0</v>
      </c>
    </row>
    <row r="324">
      <c r="A324" s="33" t="n"/>
      <c r="B324" s="33" t="n"/>
      <c r="C324" s="37" t="n"/>
      <c r="D324" s="35" t="n"/>
      <c r="E324" s="37" t="n"/>
      <c r="F324" s="38" t="n"/>
      <c r="G324" s="35" t="n"/>
      <c r="H324" s="37" t="n"/>
      <c r="I324" s="24">
        <f>IF(A324="","",IF(G324="Sim","Paga",IF(E324="","Sem vencimento",IF(E324&lt;Config!$B$5,"Vencida","A vencer"))))</f>
        <v/>
      </c>
      <c r="J324" s="30">
        <f>IF(I324="Vencida",Config!$B$5-E324,"")</f>
        <v/>
      </c>
      <c r="K324" s="30">
        <f>IF(I324="A vencer",E324-Config!$B$5,"")</f>
        <v/>
      </c>
      <c r="L324" s="24">
        <f>IF(I324&lt;&gt;"Vencida","",IF(COUNTIF(Config!$A$10:$A$13,"&lt;="&amp;J324)=0,"Antes da régua",INDEX(Config!$C$10:$C$13,COUNTIF(Config!$A$10:$A$13,"&lt;="&amp;J324))))</f>
        <v/>
      </c>
      <c r="M324" s="23">
        <f>IF(I324&lt;&gt;"Vencida","",IF(COUNTIF(Config!$A$10:$A$13,"&lt;="&amp;J324)=0,"Aguardar: ainda não chegou ao primeiro passo da régua.",INDEX(Config!$B$10:$B$13,COUNTIF(Config!$A$10:$A$13,"&lt;="&amp;J324))))</f>
        <v/>
      </c>
      <c r="N324" s="39">
        <f>IF(I324="Vencida",F324*J324+ROW()/100000,0)</f>
        <v>0</v>
      </c>
      <c r="O324" s="39">
        <f>IF(AND(I324="A vencer",K324&lt;=Config!$B$7),100000-K324-ROW()/100000,0)</f>
        <v>0</v>
      </c>
    </row>
    <row r="325">
      <c r="A325" s="33" t="n"/>
      <c r="B325" s="33" t="n"/>
      <c r="C325" s="37" t="n"/>
      <c r="D325" s="35" t="n"/>
      <c r="E325" s="37" t="n"/>
      <c r="F325" s="38" t="n"/>
      <c r="G325" s="35" t="n"/>
      <c r="H325" s="37" t="n"/>
      <c r="I325" s="24">
        <f>IF(A325="","",IF(G325="Sim","Paga",IF(E325="","Sem vencimento",IF(E325&lt;Config!$B$5,"Vencida","A vencer"))))</f>
        <v/>
      </c>
      <c r="J325" s="30">
        <f>IF(I325="Vencida",Config!$B$5-E325,"")</f>
        <v/>
      </c>
      <c r="K325" s="30">
        <f>IF(I325="A vencer",E325-Config!$B$5,"")</f>
        <v/>
      </c>
      <c r="L325" s="24">
        <f>IF(I325&lt;&gt;"Vencida","",IF(COUNTIF(Config!$A$10:$A$13,"&lt;="&amp;J325)=0,"Antes da régua",INDEX(Config!$C$10:$C$13,COUNTIF(Config!$A$10:$A$13,"&lt;="&amp;J325))))</f>
        <v/>
      </c>
      <c r="M325" s="23">
        <f>IF(I325&lt;&gt;"Vencida","",IF(COUNTIF(Config!$A$10:$A$13,"&lt;="&amp;J325)=0,"Aguardar: ainda não chegou ao primeiro passo da régua.",INDEX(Config!$B$10:$B$13,COUNTIF(Config!$A$10:$A$13,"&lt;="&amp;J325))))</f>
        <v/>
      </c>
      <c r="N325" s="39">
        <f>IF(I325="Vencida",F325*J325+ROW()/100000,0)</f>
        <v>0</v>
      </c>
      <c r="O325" s="39">
        <f>IF(AND(I325="A vencer",K325&lt;=Config!$B$7),100000-K325-ROW()/100000,0)</f>
        <v>0</v>
      </c>
    </row>
    <row r="326">
      <c r="A326" s="33" t="n"/>
      <c r="B326" s="33" t="n"/>
      <c r="C326" s="37" t="n"/>
      <c r="D326" s="35" t="n"/>
      <c r="E326" s="37" t="n"/>
      <c r="F326" s="38" t="n"/>
      <c r="G326" s="35" t="n"/>
      <c r="H326" s="37" t="n"/>
      <c r="I326" s="24">
        <f>IF(A326="","",IF(G326="Sim","Paga",IF(E326="","Sem vencimento",IF(E326&lt;Config!$B$5,"Vencida","A vencer"))))</f>
        <v/>
      </c>
      <c r="J326" s="30">
        <f>IF(I326="Vencida",Config!$B$5-E326,"")</f>
        <v/>
      </c>
      <c r="K326" s="30">
        <f>IF(I326="A vencer",E326-Config!$B$5,"")</f>
        <v/>
      </c>
      <c r="L326" s="24">
        <f>IF(I326&lt;&gt;"Vencida","",IF(COUNTIF(Config!$A$10:$A$13,"&lt;="&amp;J326)=0,"Antes da régua",INDEX(Config!$C$10:$C$13,COUNTIF(Config!$A$10:$A$13,"&lt;="&amp;J326))))</f>
        <v/>
      </c>
      <c r="M326" s="23">
        <f>IF(I326&lt;&gt;"Vencida","",IF(COUNTIF(Config!$A$10:$A$13,"&lt;="&amp;J326)=0,"Aguardar: ainda não chegou ao primeiro passo da régua.",INDEX(Config!$B$10:$B$13,COUNTIF(Config!$A$10:$A$13,"&lt;="&amp;J326))))</f>
        <v/>
      </c>
      <c r="N326" s="39">
        <f>IF(I326="Vencida",F326*J326+ROW()/100000,0)</f>
        <v>0</v>
      </c>
      <c r="O326" s="39">
        <f>IF(AND(I326="A vencer",K326&lt;=Config!$B$7),100000-K326-ROW()/100000,0)</f>
        <v>0</v>
      </c>
    </row>
    <row r="327">
      <c r="A327" s="33" t="n"/>
      <c r="B327" s="33" t="n"/>
      <c r="C327" s="37" t="n"/>
      <c r="D327" s="35" t="n"/>
      <c r="E327" s="37" t="n"/>
      <c r="F327" s="38" t="n"/>
      <c r="G327" s="35" t="n"/>
      <c r="H327" s="37" t="n"/>
      <c r="I327" s="24">
        <f>IF(A327="","",IF(G327="Sim","Paga",IF(E327="","Sem vencimento",IF(E327&lt;Config!$B$5,"Vencida","A vencer"))))</f>
        <v/>
      </c>
      <c r="J327" s="30">
        <f>IF(I327="Vencida",Config!$B$5-E327,"")</f>
        <v/>
      </c>
      <c r="K327" s="30">
        <f>IF(I327="A vencer",E327-Config!$B$5,"")</f>
        <v/>
      </c>
      <c r="L327" s="24">
        <f>IF(I327&lt;&gt;"Vencida","",IF(COUNTIF(Config!$A$10:$A$13,"&lt;="&amp;J327)=0,"Antes da régua",INDEX(Config!$C$10:$C$13,COUNTIF(Config!$A$10:$A$13,"&lt;="&amp;J327))))</f>
        <v/>
      </c>
      <c r="M327" s="23">
        <f>IF(I327&lt;&gt;"Vencida","",IF(COUNTIF(Config!$A$10:$A$13,"&lt;="&amp;J327)=0,"Aguardar: ainda não chegou ao primeiro passo da régua.",INDEX(Config!$B$10:$B$13,COUNTIF(Config!$A$10:$A$13,"&lt;="&amp;J327))))</f>
        <v/>
      </c>
      <c r="N327" s="39">
        <f>IF(I327="Vencida",F327*J327+ROW()/100000,0)</f>
        <v>0</v>
      </c>
      <c r="O327" s="39">
        <f>IF(AND(I327="A vencer",K327&lt;=Config!$B$7),100000-K327-ROW()/100000,0)</f>
        <v>0</v>
      </c>
    </row>
    <row r="328">
      <c r="A328" s="33" t="n"/>
      <c r="B328" s="33" t="n"/>
      <c r="C328" s="37" t="n"/>
      <c r="D328" s="35" t="n"/>
      <c r="E328" s="37" t="n"/>
      <c r="F328" s="38" t="n"/>
      <c r="G328" s="35" t="n"/>
      <c r="H328" s="37" t="n"/>
      <c r="I328" s="24">
        <f>IF(A328="","",IF(G328="Sim","Paga",IF(E328="","Sem vencimento",IF(E328&lt;Config!$B$5,"Vencida","A vencer"))))</f>
        <v/>
      </c>
      <c r="J328" s="30">
        <f>IF(I328="Vencida",Config!$B$5-E328,"")</f>
        <v/>
      </c>
      <c r="K328" s="30">
        <f>IF(I328="A vencer",E328-Config!$B$5,"")</f>
        <v/>
      </c>
      <c r="L328" s="24">
        <f>IF(I328&lt;&gt;"Vencida","",IF(COUNTIF(Config!$A$10:$A$13,"&lt;="&amp;J328)=0,"Antes da régua",INDEX(Config!$C$10:$C$13,COUNTIF(Config!$A$10:$A$13,"&lt;="&amp;J328))))</f>
        <v/>
      </c>
      <c r="M328" s="23">
        <f>IF(I328&lt;&gt;"Vencida","",IF(COUNTIF(Config!$A$10:$A$13,"&lt;="&amp;J328)=0,"Aguardar: ainda não chegou ao primeiro passo da régua.",INDEX(Config!$B$10:$B$13,COUNTIF(Config!$A$10:$A$13,"&lt;="&amp;J328))))</f>
        <v/>
      </c>
      <c r="N328" s="39">
        <f>IF(I328="Vencida",F328*J328+ROW()/100000,0)</f>
        <v>0</v>
      </c>
      <c r="O328" s="39">
        <f>IF(AND(I328="A vencer",K328&lt;=Config!$B$7),100000-K328-ROW()/100000,0)</f>
        <v>0</v>
      </c>
    </row>
    <row r="329">
      <c r="A329" s="33" t="n"/>
      <c r="B329" s="33" t="n"/>
      <c r="C329" s="37" t="n"/>
      <c r="D329" s="35" t="n"/>
      <c r="E329" s="37" t="n"/>
      <c r="F329" s="38" t="n"/>
      <c r="G329" s="35" t="n"/>
      <c r="H329" s="37" t="n"/>
      <c r="I329" s="24">
        <f>IF(A329="","",IF(G329="Sim","Paga",IF(E329="","Sem vencimento",IF(E329&lt;Config!$B$5,"Vencida","A vencer"))))</f>
        <v/>
      </c>
      <c r="J329" s="30">
        <f>IF(I329="Vencida",Config!$B$5-E329,"")</f>
        <v/>
      </c>
      <c r="K329" s="30">
        <f>IF(I329="A vencer",E329-Config!$B$5,"")</f>
        <v/>
      </c>
      <c r="L329" s="24">
        <f>IF(I329&lt;&gt;"Vencida","",IF(COUNTIF(Config!$A$10:$A$13,"&lt;="&amp;J329)=0,"Antes da régua",INDEX(Config!$C$10:$C$13,COUNTIF(Config!$A$10:$A$13,"&lt;="&amp;J329))))</f>
        <v/>
      </c>
      <c r="M329" s="23">
        <f>IF(I329&lt;&gt;"Vencida","",IF(COUNTIF(Config!$A$10:$A$13,"&lt;="&amp;J329)=0,"Aguardar: ainda não chegou ao primeiro passo da régua.",INDEX(Config!$B$10:$B$13,COUNTIF(Config!$A$10:$A$13,"&lt;="&amp;J329))))</f>
        <v/>
      </c>
      <c r="N329" s="39">
        <f>IF(I329="Vencida",F329*J329+ROW()/100000,0)</f>
        <v>0</v>
      </c>
      <c r="O329" s="39">
        <f>IF(AND(I329="A vencer",K329&lt;=Config!$B$7),100000-K329-ROW()/100000,0)</f>
        <v>0</v>
      </c>
    </row>
    <row r="330">
      <c r="A330" s="33" t="n"/>
      <c r="B330" s="33" t="n"/>
      <c r="C330" s="37" t="n"/>
      <c r="D330" s="35" t="n"/>
      <c r="E330" s="37" t="n"/>
      <c r="F330" s="38" t="n"/>
      <c r="G330" s="35" t="n"/>
      <c r="H330" s="37" t="n"/>
      <c r="I330" s="24">
        <f>IF(A330="","",IF(G330="Sim","Paga",IF(E330="","Sem vencimento",IF(E330&lt;Config!$B$5,"Vencida","A vencer"))))</f>
        <v/>
      </c>
      <c r="J330" s="30">
        <f>IF(I330="Vencida",Config!$B$5-E330,"")</f>
        <v/>
      </c>
      <c r="K330" s="30">
        <f>IF(I330="A vencer",E330-Config!$B$5,"")</f>
        <v/>
      </c>
      <c r="L330" s="24">
        <f>IF(I330&lt;&gt;"Vencida","",IF(COUNTIF(Config!$A$10:$A$13,"&lt;="&amp;J330)=0,"Antes da régua",INDEX(Config!$C$10:$C$13,COUNTIF(Config!$A$10:$A$13,"&lt;="&amp;J330))))</f>
        <v/>
      </c>
      <c r="M330" s="23">
        <f>IF(I330&lt;&gt;"Vencida","",IF(COUNTIF(Config!$A$10:$A$13,"&lt;="&amp;J330)=0,"Aguardar: ainda não chegou ao primeiro passo da régua.",INDEX(Config!$B$10:$B$13,COUNTIF(Config!$A$10:$A$13,"&lt;="&amp;J330))))</f>
        <v/>
      </c>
      <c r="N330" s="39">
        <f>IF(I330="Vencida",F330*J330+ROW()/100000,0)</f>
        <v>0</v>
      </c>
      <c r="O330" s="39">
        <f>IF(AND(I330="A vencer",K330&lt;=Config!$B$7),100000-K330-ROW()/100000,0)</f>
        <v>0</v>
      </c>
    </row>
    <row r="331">
      <c r="A331" s="33" t="n"/>
      <c r="B331" s="33" t="n"/>
      <c r="C331" s="37" t="n"/>
      <c r="D331" s="35" t="n"/>
      <c r="E331" s="37" t="n"/>
      <c r="F331" s="38" t="n"/>
      <c r="G331" s="35" t="n"/>
      <c r="H331" s="37" t="n"/>
      <c r="I331" s="24">
        <f>IF(A331="","",IF(G331="Sim","Paga",IF(E331="","Sem vencimento",IF(E331&lt;Config!$B$5,"Vencida","A vencer"))))</f>
        <v/>
      </c>
      <c r="J331" s="30">
        <f>IF(I331="Vencida",Config!$B$5-E331,"")</f>
        <v/>
      </c>
      <c r="K331" s="30">
        <f>IF(I331="A vencer",E331-Config!$B$5,"")</f>
        <v/>
      </c>
      <c r="L331" s="24">
        <f>IF(I331&lt;&gt;"Vencida","",IF(COUNTIF(Config!$A$10:$A$13,"&lt;="&amp;J331)=0,"Antes da régua",INDEX(Config!$C$10:$C$13,COUNTIF(Config!$A$10:$A$13,"&lt;="&amp;J331))))</f>
        <v/>
      </c>
      <c r="M331" s="23">
        <f>IF(I331&lt;&gt;"Vencida","",IF(COUNTIF(Config!$A$10:$A$13,"&lt;="&amp;J331)=0,"Aguardar: ainda não chegou ao primeiro passo da régua.",INDEX(Config!$B$10:$B$13,COUNTIF(Config!$A$10:$A$13,"&lt;="&amp;J331))))</f>
        <v/>
      </c>
      <c r="N331" s="39">
        <f>IF(I331="Vencida",F331*J331+ROW()/100000,0)</f>
        <v>0</v>
      </c>
      <c r="O331" s="39">
        <f>IF(AND(I331="A vencer",K331&lt;=Config!$B$7),100000-K331-ROW()/100000,0)</f>
        <v>0</v>
      </c>
    </row>
    <row r="332">
      <c r="A332" s="33" t="n"/>
      <c r="B332" s="33" t="n"/>
      <c r="C332" s="37" t="n"/>
      <c r="D332" s="35" t="n"/>
      <c r="E332" s="37" t="n"/>
      <c r="F332" s="38" t="n"/>
      <c r="G332" s="35" t="n"/>
      <c r="H332" s="37" t="n"/>
      <c r="I332" s="24">
        <f>IF(A332="","",IF(G332="Sim","Paga",IF(E332="","Sem vencimento",IF(E332&lt;Config!$B$5,"Vencida","A vencer"))))</f>
        <v/>
      </c>
      <c r="J332" s="30">
        <f>IF(I332="Vencida",Config!$B$5-E332,"")</f>
        <v/>
      </c>
      <c r="K332" s="30">
        <f>IF(I332="A vencer",E332-Config!$B$5,"")</f>
        <v/>
      </c>
      <c r="L332" s="24">
        <f>IF(I332&lt;&gt;"Vencida","",IF(COUNTIF(Config!$A$10:$A$13,"&lt;="&amp;J332)=0,"Antes da régua",INDEX(Config!$C$10:$C$13,COUNTIF(Config!$A$10:$A$13,"&lt;="&amp;J332))))</f>
        <v/>
      </c>
      <c r="M332" s="23">
        <f>IF(I332&lt;&gt;"Vencida","",IF(COUNTIF(Config!$A$10:$A$13,"&lt;="&amp;J332)=0,"Aguardar: ainda não chegou ao primeiro passo da régua.",INDEX(Config!$B$10:$B$13,COUNTIF(Config!$A$10:$A$13,"&lt;="&amp;J332))))</f>
        <v/>
      </c>
      <c r="N332" s="39">
        <f>IF(I332="Vencida",F332*J332+ROW()/100000,0)</f>
        <v>0</v>
      </c>
      <c r="O332" s="39">
        <f>IF(AND(I332="A vencer",K332&lt;=Config!$B$7),100000-K332-ROW()/100000,0)</f>
        <v>0</v>
      </c>
    </row>
    <row r="333">
      <c r="A333" s="33" t="n"/>
      <c r="B333" s="33" t="n"/>
      <c r="C333" s="37" t="n"/>
      <c r="D333" s="35" t="n"/>
      <c r="E333" s="37" t="n"/>
      <c r="F333" s="38" t="n"/>
      <c r="G333" s="35" t="n"/>
      <c r="H333" s="37" t="n"/>
      <c r="I333" s="24">
        <f>IF(A333="","",IF(G333="Sim","Paga",IF(E333="","Sem vencimento",IF(E333&lt;Config!$B$5,"Vencida","A vencer"))))</f>
        <v/>
      </c>
      <c r="J333" s="30">
        <f>IF(I333="Vencida",Config!$B$5-E333,"")</f>
        <v/>
      </c>
      <c r="K333" s="30">
        <f>IF(I333="A vencer",E333-Config!$B$5,"")</f>
        <v/>
      </c>
      <c r="L333" s="24">
        <f>IF(I333&lt;&gt;"Vencida","",IF(COUNTIF(Config!$A$10:$A$13,"&lt;="&amp;J333)=0,"Antes da régua",INDEX(Config!$C$10:$C$13,COUNTIF(Config!$A$10:$A$13,"&lt;="&amp;J333))))</f>
        <v/>
      </c>
      <c r="M333" s="23">
        <f>IF(I333&lt;&gt;"Vencida","",IF(COUNTIF(Config!$A$10:$A$13,"&lt;="&amp;J333)=0,"Aguardar: ainda não chegou ao primeiro passo da régua.",INDEX(Config!$B$10:$B$13,COUNTIF(Config!$A$10:$A$13,"&lt;="&amp;J333))))</f>
        <v/>
      </c>
      <c r="N333" s="39">
        <f>IF(I333="Vencida",F333*J333+ROW()/100000,0)</f>
        <v>0</v>
      </c>
      <c r="O333" s="39">
        <f>IF(AND(I333="A vencer",K333&lt;=Config!$B$7),100000-K333-ROW()/100000,0)</f>
        <v>0</v>
      </c>
    </row>
    <row r="334">
      <c r="A334" s="33" t="n"/>
      <c r="B334" s="33" t="n"/>
      <c r="C334" s="37" t="n"/>
      <c r="D334" s="35" t="n"/>
      <c r="E334" s="37" t="n"/>
      <c r="F334" s="38" t="n"/>
      <c r="G334" s="35" t="n"/>
      <c r="H334" s="37" t="n"/>
      <c r="I334" s="24">
        <f>IF(A334="","",IF(G334="Sim","Paga",IF(E334="","Sem vencimento",IF(E334&lt;Config!$B$5,"Vencida","A vencer"))))</f>
        <v/>
      </c>
      <c r="J334" s="30">
        <f>IF(I334="Vencida",Config!$B$5-E334,"")</f>
        <v/>
      </c>
      <c r="K334" s="30">
        <f>IF(I334="A vencer",E334-Config!$B$5,"")</f>
        <v/>
      </c>
      <c r="L334" s="24">
        <f>IF(I334&lt;&gt;"Vencida","",IF(COUNTIF(Config!$A$10:$A$13,"&lt;="&amp;J334)=0,"Antes da régua",INDEX(Config!$C$10:$C$13,COUNTIF(Config!$A$10:$A$13,"&lt;="&amp;J334))))</f>
        <v/>
      </c>
      <c r="M334" s="23">
        <f>IF(I334&lt;&gt;"Vencida","",IF(COUNTIF(Config!$A$10:$A$13,"&lt;="&amp;J334)=0,"Aguardar: ainda não chegou ao primeiro passo da régua.",INDEX(Config!$B$10:$B$13,COUNTIF(Config!$A$10:$A$13,"&lt;="&amp;J334))))</f>
        <v/>
      </c>
      <c r="N334" s="39">
        <f>IF(I334="Vencida",F334*J334+ROW()/100000,0)</f>
        <v>0</v>
      </c>
      <c r="O334" s="39">
        <f>IF(AND(I334="A vencer",K334&lt;=Config!$B$7),100000-K334-ROW()/100000,0)</f>
        <v>0</v>
      </c>
    </row>
    <row r="335">
      <c r="A335" s="33" t="n"/>
      <c r="B335" s="33" t="n"/>
      <c r="C335" s="37" t="n"/>
      <c r="D335" s="35" t="n"/>
      <c r="E335" s="37" t="n"/>
      <c r="F335" s="38" t="n"/>
      <c r="G335" s="35" t="n"/>
      <c r="H335" s="37" t="n"/>
      <c r="I335" s="24">
        <f>IF(A335="","",IF(G335="Sim","Paga",IF(E335="","Sem vencimento",IF(E335&lt;Config!$B$5,"Vencida","A vencer"))))</f>
        <v/>
      </c>
      <c r="J335" s="30">
        <f>IF(I335="Vencida",Config!$B$5-E335,"")</f>
        <v/>
      </c>
      <c r="K335" s="30">
        <f>IF(I335="A vencer",E335-Config!$B$5,"")</f>
        <v/>
      </c>
      <c r="L335" s="24">
        <f>IF(I335&lt;&gt;"Vencida","",IF(COUNTIF(Config!$A$10:$A$13,"&lt;="&amp;J335)=0,"Antes da régua",INDEX(Config!$C$10:$C$13,COUNTIF(Config!$A$10:$A$13,"&lt;="&amp;J335))))</f>
        <v/>
      </c>
      <c r="M335" s="23">
        <f>IF(I335&lt;&gt;"Vencida","",IF(COUNTIF(Config!$A$10:$A$13,"&lt;="&amp;J335)=0,"Aguardar: ainda não chegou ao primeiro passo da régua.",INDEX(Config!$B$10:$B$13,COUNTIF(Config!$A$10:$A$13,"&lt;="&amp;J335))))</f>
        <v/>
      </c>
      <c r="N335" s="39">
        <f>IF(I335="Vencida",F335*J335+ROW()/100000,0)</f>
        <v>0</v>
      </c>
      <c r="O335" s="39">
        <f>IF(AND(I335="A vencer",K335&lt;=Config!$B$7),100000-K335-ROW()/100000,0)</f>
        <v>0</v>
      </c>
    </row>
    <row r="336">
      <c r="A336" s="33" t="n"/>
      <c r="B336" s="33" t="n"/>
      <c r="C336" s="37" t="n"/>
      <c r="D336" s="35" t="n"/>
      <c r="E336" s="37" t="n"/>
      <c r="F336" s="38" t="n"/>
      <c r="G336" s="35" t="n"/>
      <c r="H336" s="37" t="n"/>
      <c r="I336" s="24">
        <f>IF(A336="","",IF(G336="Sim","Paga",IF(E336="","Sem vencimento",IF(E336&lt;Config!$B$5,"Vencida","A vencer"))))</f>
        <v/>
      </c>
      <c r="J336" s="30">
        <f>IF(I336="Vencida",Config!$B$5-E336,"")</f>
        <v/>
      </c>
      <c r="K336" s="30">
        <f>IF(I336="A vencer",E336-Config!$B$5,"")</f>
        <v/>
      </c>
      <c r="L336" s="24">
        <f>IF(I336&lt;&gt;"Vencida","",IF(COUNTIF(Config!$A$10:$A$13,"&lt;="&amp;J336)=0,"Antes da régua",INDEX(Config!$C$10:$C$13,COUNTIF(Config!$A$10:$A$13,"&lt;="&amp;J336))))</f>
        <v/>
      </c>
      <c r="M336" s="23">
        <f>IF(I336&lt;&gt;"Vencida","",IF(COUNTIF(Config!$A$10:$A$13,"&lt;="&amp;J336)=0,"Aguardar: ainda não chegou ao primeiro passo da régua.",INDEX(Config!$B$10:$B$13,COUNTIF(Config!$A$10:$A$13,"&lt;="&amp;J336))))</f>
        <v/>
      </c>
      <c r="N336" s="39">
        <f>IF(I336="Vencida",F336*J336+ROW()/100000,0)</f>
        <v>0</v>
      </c>
      <c r="O336" s="39">
        <f>IF(AND(I336="A vencer",K336&lt;=Config!$B$7),100000-K336-ROW()/100000,0)</f>
        <v>0</v>
      </c>
    </row>
    <row r="337">
      <c r="A337" s="33" t="n"/>
      <c r="B337" s="33" t="n"/>
      <c r="C337" s="37" t="n"/>
      <c r="D337" s="35" t="n"/>
      <c r="E337" s="37" t="n"/>
      <c r="F337" s="38" t="n"/>
      <c r="G337" s="35" t="n"/>
      <c r="H337" s="37" t="n"/>
      <c r="I337" s="24">
        <f>IF(A337="","",IF(G337="Sim","Paga",IF(E337="","Sem vencimento",IF(E337&lt;Config!$B$5,"Vencida","A vencer"))))</f>
        <v/>
      </c>
      <c r="J337" s="30">
        <f>IF(I337="Vencida",Config!$B$5-E337,"")</f>
        <v/>
      </c>
      <c r="K337" s="30">
        <f>IF(I337="A vencer",E337-Config!$B$5,"")</f>
        <v/>
      </c>
      <c r="L337" s="24">
        <f>IF(I337&lt;&gt;"Vencida","",IF(COUNTIF(Config!$A$10:$A$13,"&lt;="&amp;J337)=0,"Antes da régua",INDEX(Config!$C$10:$C$13,COUNTIF(Config!$A$10:$A$13,"&lt;="&amp;J337))))</f>
        <v/>
      </c>
      <c r="M337" s="23">
        <f>IF(I337&lt;&gt;"Vencida","",IF(COUNTIF(Config!$A$10:$A$13,"&lt;="&amp;J337)=0,"Aguardar: ainda não chegou ao primeiro passo da régua.",INDEX(Config!$B$10:$B$13,COUNTIF(Config!$A$10:$A$13,"&lt;="&amp;J337))))</f>
        <v/>
      </c>
      <c r="N337" s="39">
        <f>IF(I337="Vencida",F337*J337+ROW()/100000,0)</f>
        <v>0</v>
      </c>
      <c r="O337" s="39">
        <f>IF(AND(I337="A vencer",K337&lt;=Config!$B$7),100000-K337-ROW()/100000,0)</f>
        <v>0</v>
      </c>
    </row>
    <row r="338">
      <c r="A338" s="33" t="n"/>
      <c r="B338" s="33" t="n"/>
      <c r="C338" s="37" t="n"/>
      <c r="D338" s="35" t="n"/>
      <c r="E338" s="37" t="n"/>
      <c r="F338" s="38" t="n"/>
      <c r="G338" s="35" t="n"/>
      <c r="H338" s="37" t="n"/>
      <c r="I338" s="24">
        <f>IF(A338="","",IF(G338="Sim","Paga",IF(E338="","Sem vencimento",IF(E338&lt;Config!$B$5,"Vencida","A vencer"))))</f>
        <v/>
      </c>
      <c r="J338" s="30">
        <f>IF(I338="Vencida",Config!$B$5-E338,"")</f>
        <v/>
      </c>
      <c r="K338" s="30">
        <f>IF(I338="A vencer",E338-Config!$B$5,"")</f>
        <v/>
      </c>
      <c r="L338" s="24">
        <f>IF(I338&lt;&gt;"Vencida","",IF(COUNTIF(Config!$A$10:$A$13,"&lt;="&amp;J338)=0,"Antes da régua",INDEX(Config!$C$10:$C$13,COUNTIF(Config!$A$10:$A$13,"&lt;="&amp;J338))))</f>
        <v/>
      </c>
      <c r="M338" s="23">
        <f>IF(I338&lt;&gt;"Vencida","",IF(COUNTIF(Config!$A$10:$A$13,"&lt;="&amp;J338)=0,"Aguardar: ainda não chegou ao primeiro passo da régua.",INDEX(Config!$B$10:$B$13,COUNTIF(Config!$A$10:$A$13,"&lt;="&amp;J338))))</f>
        <v/>
      </c>
      <c r="N338" s="39">
        <f>IF(I338="Vencida",F338*J338+ROW()/100000,0)</f>
        <v>0</v>
      </c>
      <c r="O338" s="39">
        <f>IF(AND(I338="A vencer",K338&lt;=Config!$B$7),100000-K338-ROW()/100000,0)</f>
        <v>0</v>
      </c>
    </row>
    <row r="339">
      <c r="A339" s="33" t="n"/>
      <c r="B339" s="33" t="n"/>
      <c r="C339" s="37" t="n"/>
      <c r="D339" s="35" t="n"/>
      <c r="E339" s="37" t="n"/>
      <c r="F339" s="38" t="n"/>
      <c r="G339" s="35" t="n"/>
      <c r="H339" s="37" t="n"/>
      <c r="I339" s="24">
        <f>IF(A339="","",IF(G339="Sim","Paga",IF(E339="","Sem vencimento",IF(E339&lt;Config!$B$5,"Vencida","A vencer"))))</f>
        <v/>
      </c>
      <c r="J339" s="30">
        <f>IF(I339="Vencida",Config!$B$5-E339,"")</f>
        <v/>
      </c>
      <c r="K339" s="30">
        <f>IF(I339="A vencer",E339-Config!$B$5,"")</f>
        <v/>
      </c>
      <c r="L339" s="24">
        <f>IF(I339&lt;&gt;"Vencida","",IF(COUNTIF(Config!$A$10:$A$13,"&lt;="&amp;J339)=0,"Antes da régua",INDEX(Config!$C$10:$C$13,COUNTIF(Config!$A$10:$A$13,"&lt;="&amp;J339))))</f>
        <v/>
      </c>
      <c r="M339" s="23">
        <f>IF(I339&lt;&gt;"Vencida","",IF(COUNTIF(Config!$A$10:$A$13,"&lt;="&amp;J339)=0,"Aguardar: ainda não chegou ao primeiro passo da régua.",INDEX(Config!$B$10:$B$13,COUNTIF(Config!$A$10:$A$13,"&lt;="&amp;J339))))</f>
        <v/>
      </c>
      <c r="N339" s="39">
        <f>IF(I339="Vencida",F339*J339+ROW()/100000,0)</f>
        <v>0</v>
      </c>
      <c r="O339" s="39">
        <f>IF(AND(I339="A vencer",K339&lt;=Config!$B$7),100000-K339-ROW()/100000,0)</f>
        <v>0</v>
      </c>
    </row>
    <row r="340">
      <c r="A340" s="33" t="n"/>
      <c r="B340" s="33" t="n"/>
      <c r="C340" s="37" t="n"/>
      <c r="D340" s="35" t="n"/>
      <c r="E340" s="37" t="n"/>
      <c r="F340" s="38" t="n"/>
      <c r="G340" s="35" t="n"/>
      <c r="H340" s="37" t="n"/>
      <c r="I340" s="24">
        <f>IF(A340="","",IF(G340="Sim","Paga",IF(E340="","Sem vencimento",IF(E340&lt;Config!$B$5,"Vencida","A vencer"))))</f>
        <v/>
      </c>
      <c r="J340" s="30">
        <f>IF(I340="Vencida",Config!$B$5-E340,"")</f>
        <v/>
      </c>
      <c r="K340" s="30">
        <f>IF(I340="A vencer",E340-Config!$B$5,"")</f>
        <v/>
      </c>
      <c r="L340" s="24">
        <f>IF(I340&lt;&gt;"Vencida","",IF(COUNTIF(Config!$A$10:$A$13,"&lt;="&amp;J340)=0,"Antes da régua",INDEX(Config!$C$10:$C$13,COUNTIF(Config!$A$10:$A$13,"&lt;="&amp;J340))))</f>
        <v/>
      </c>
      <c r="M340" s="23">
        <f>IF(I340&lt;&gt;"Vencida","",IF(COUNTIF(Config!$A$10:$A$13,"&lt;="&amp;J340)=0,"Aguardar: ainda não chegou ao primeiro passo da régua.",INDEX(Config!$B$10:$B$13,COUNTIF(Config!$A$10:$A$13,"&lt;="&amp;J340))))</f>
        <v/>
      </c>
      <c r="N340" s="39">
        <f>IF(I340="Vencida",F340*J340+ROW()/100000,0)</f>
        <v>0</v>
      </c>
      <c r="O340" s="39">
        <f>IF(AND(I340="A vencer",K340&lt;=Config!$B$7),100000-K340-ROW()/100000,0)</f>
        <v>0</v>
      </c>
    </row>
    <row r="341">
      <c r="A341" s="33" t="n"/>
      <c r="B341" s="33" t="n"/>
      <c r="C341" s="37" t="n"/>
      <c r="D341" s="35" t="n"/>
      <c r="E341" s="37" t="n"/>
      <c r="F341" s="38" t="n"/>
      <c r="G341" s="35" t="n"/>
      <c r="H341" s="37" t="n"/>
      <c r="I341" s="24">
        <f>IF(A341="","",IF(G341="Sim","Paga",IF(E341="","Sem vencimento",IF(E341&lt;Config!$B$5,"Vencida","A vencer"))))</f>
        <v/>
      </c>
      <c r="J341" s="30">
        <f>IF(I341="Vencida",Config!$B$5-E341,"")</f>
        <v/>
      </c>
      <c r="K341" s="30">
        <f>IF(I341="A vencer",E341-Config!$B$5,"")</f>
        <v/>
      </c>
      <c r="L341" s="24">
        <f>IF(I341&lt;&gt;"Vencida","",IF(COUNTIF(Config!$A$10:$A$13,"&lt;="&amp;J341)=0,"Antes da régua",INDEX(Config!$C$10:$C$13,COUNTIF(Config!$A$10:$A$13,"&lt;="&amp;J341))))</f>
        <v/>
      </c>
      <c r="M341" s="23">
        <f>IF(I341&lt;&gt;"Vencida","",IF(COUNTIF(Config!$A$10:$A$13,"&lt;="&amp;J341)=0,"Aguardar: ainda não chegou ao primeiro passo da régua.",INDEX(Config!$B$10:$B$13,COUNTIF(Config!$A$10:$A$13,"&lt;="&amp;J341))))</f>
        <v/>
      </c>
      <c r="N341" s="39">
        <f>IF(I341="Vencida",F341*J341+ROW()/100000,0)</f>
        <v>0</v>
      </c>
      <c r="O341" s="39">
        <f>IF(AND(I341="A vencer",K341&lt;=Config!$B$7),100000-K341-ROW()/100000,0)</f>
        <v>0</v>
      </c>
    </row>
    <row r="342">
      <c r="A342" s="33" t="n"/>
      <c r="B342" s="33" t="n"/>
      <c r="C342" s="37" t="n"/>
      <c r="D342" s="35" t="n"/>
      <c r="E342" s="37" t="n"/>
      <c r="F342" s="38" t="n"/>
      <c r="G342" s="35" t="n"/>
      <c r="H342" s="37" t="n"/>
      <c r="I342" s="24">
        <f>IF(A342="","",IF(G342="Sim","Paga",IF(E342="","Sem vencimento",IF(E342&lt;Config!$B$5,"Vencida","A vencer"))))</f>
        <v/>
      </c>
      <c r="J342" s="30">
        <f>IF(I342="Vencida",Config!$B$5-E342,"")</f>
        <v/>
      </c>
      <c r="K342" s="30">
        <f>IF(I342="A vencer",E342-Config!$B$5,"")</f>
        <v/>
      </c>
      <c r="L342" s="24">
        <f>IF(I342&lt;&gt;"Vencida","",IF(COUNTIF(Config!$A$10:$A$13,"&lt;="&amp;J342)=0,"Antes da régua",INDEX(Config!$C$10:$C$13,COUNTIF(Config!$A$10:$A$13,"&lt;="&amp;J342))))</f>
        <v/>
      </c>
      <c r="M342" s="23">
        <f>IF(I342&lt;&gt;"Vencida","",IF(COUNTIF(Config!$A$10:$A$13,"&lt;="&amp;J342)=0,"Aguardar: ainda não chegou ao primeiro passo da régua.",INDEX(Config!$B$10:$B$13,COUNTIF(Config!$A$10:$A$13,"&lt;="&amp;J342))))</f>
        <v/>
      </c>
      <c r="N342" s="39">
        <f>IF(I342="Vencida",F342*J342+ROW()/100000,0)</f>
        <v>0</v>
      </c>
      <c r="O342" s="39">
        <f>IF(AND(I342="A vencer",K342&lt;=Config!$B$7),100000-K342-ROW()/100000,0)</f>
        <v>0</v>
      </c>
    </row>
    <row r="343">
      <c r="A343" s="33" t="n"/>
      <c r="B343" s="33" t="n"/>
      <c r="C343" s="37" t="n"/>
      <c r="D343" s="35" t="n"/>
      <c r="E343" s="37" t="n"/>
      <c r="F343" s="38" t="n"/>
      <c r="G343" s="35" t="n"/>
      <c r="H343" s="37" t="n"/>
      <c r="I343" s="24">
        <f>IF(A343="","",IF(G343="Sim","Paga",IF(E343="","Sem vencimento",IF(E343&lt;Config!$B$5,"Vencida","A vencer"))))</f>
        <v/>
      </c>
      <c r="J343" s="30">
        <f>IF(I343="Vencida",Config!$B$5-E343,"")</f>
        <v/>
      </c>
      <c r="K343" s="30">
        <f>IF(I343="A vencer",E343-Config!$B$5,"")</f>
        <v/>
      </c>
      <c r="L343" s="24">
        <f>IF(I343&lt;&gt;"Vencida","",IF(COUNTIF(Config!$A$10:$A$13,"&lt;="&amp;J343)=0,"Antes da régua",INDEX(Config!$C$10:$C$13,COUNTIF(Config!$A$10:$A$13,"&lt;="&amp;J343))))</f>
        <v/>
      </c>
      <c r="M343" s="23">
        <f>IF(I343&lt;&gt;"Vencida","",IF(COUNTIF(Config!$A$10:$A$13,"&lt;="&amp;J343)=0,"Aguardar: ainda não chegou ao primeiro passo da régua.",INDEX(Config!$B$10:$B$13,COUNTIF(Config!$A$10:$A$13,"&lt;="&amp;J343))))</f>
        <v/>
      </c>
      <c r="N343" s="39">
        <f>IF(I343="Vencida",F343*J343+ROW()/100000,0)</f>
        <v>0</v>
      </c>
      <c r="O343" s="39">
        <f>IF(AND(I343="A vencer",K343&lt;=Config!$B$7),100000-K343-ROW()/100000,0)</f>
        <v>0</v>
      </c>
    </row>
    <row r="344">
      <c r="A344" s="33" t="n"/>
      <c r="B344" s="33" t="n"/>
      <c r="C344" s="37" t="n"/>
      <c r="D344" s="35" t="n"/>
      <c r="E344" s="37" t="n"/>
      <c r="F344" s="38" t="n"/>
      <c r="G344" s="35" t="n"/>
      <c r="H344" s="37" t="n"/>
      <c r="I344" s="24">
        <f>IF(A344="","",IF(G344="Sim","Paga",IF(E344="","Sem vencimento",IF(E344&lt;Config!$B$5,"Vencida","A vencer"))))</f>
        <v/>
      </c>
      <c r="J344" s="30">
        <f>IF(I344="Vencida",Config!$B$5-E344,"")</f>
        <v/>
      </c>
      <c r="K344" s="30">
        <f>IF(I344="A vencer",E344-Config!$B$5,"")</f>
        <v/>
      </c>
      <c r="L344" s="24">
        <f>IF(I344&lt;&gt;"Vencida","",IF(COUNTIF(Config!$A$10:$A$13,"&lt;="&amp;J344)=0,"Antes da régua",INDEX(Config!$C$10:$C$13,COUNTIF(Config!$A$10:$A$13,"&lt;="&amp;J344))))</f>
        <v/>
      </c>
      <c r="M344" s="23">
        <f>IF(I344&lt;&gt;"Vencida","",IF(COUNTIF(Config!$A$10:$A$13,"&lt;="&amp;J344)=0,"Aguardar: ainda não chegou ao primeiro passo da régua.",INDEX(Config!$B$10:$B$13,COUNTIF(Config!$A$10:$A$13,"&lt;="&amp;J344))))</f>
        <v/>
      </c>
      <c r="N344" s="39">
        <f>IF(I344="Vencida",F344*J344+ROW()/100000,0)</f>
        <v>0</v>
      </c>
      <c r="O344" s="39">
        <f>IF(AND(I344="A vencer",K344&lt;=Config!$B$7),100000-K344-ROW()/100000,0)</f>
        <v>0</v>
      </c>
    </row>
    <row r="345">
      <c r="A345" s="33" t="n"/>
      <c r="B345" s="33" t="n"/>
      <c r="C345" s="37" t="n"/>
      <c r="D345" s="35" t="n"/>
      <c r="E345" s="37" t="n"/>
      <c r="F345" s="38" t="n"/>
      <c r="G345" s="35" t="n"/>
      <c r="H345" s="37" t="n"/>
      <c r="I345" s="24">
        <f>IF(A345="","",IF(G345="Sim","Paga",IF(E345="","Sem vencimento",IF(E345&lt;Config!$B$5,"Vencida","A vencer"))))</f>
        <v/>
      </c>
      <c r="J345" s="30">
        <f>IF(I345="Vencida",Config!$B$5-E345,"")</f>
        <v/>
      </c>
      <c r="K345" s="30">
        <f>IF(I345="A vencer",E345-Config!$B$5,"")</f>
        <v/>
      </c>
      <c r="L345" s="24">
        <f>IF(I345&lt;&gt;"Vencida","",IF(COUNTIF(Config!$A$10:$A$13,"&lt;="&amp;J345)=0,"Antes da régua",INDEX(Config!$C$10:$C$13,COUNTIF(Config!$A$10:$A$13,"&lt;="&amp;J345))))</f>
        <v/>
      </c>
      <c r="M345" s="23">
        <f>IF(I345&lt;&gt;"Vencida","",IF(COUNTIF(Config!$A$10:$A$13,"&lt;="&amp;J345)=0,"Aguardar: ainda não chegou ao primeiro passo da régua.",INDEX(Config!$B$10:$B$13,COUNTIF(Config!$A$10:$A$13,"&lt;="&amp;J345))))</f>
        <v/>
      </c>
      <c r="N345" s="39">
        <f>IF(I345="Vencida",F345*J345+ROW()/100000,0)</f>
        <v>0</v>
      </c>
      <c r="O345" s="39">
        <f>IF(AND(I345="A vencer",K345&lt;=Config!$B$7),100000-K345-ROW()/100000,0)</f>
        <v>0</v>
      </c>
    </row>
    <row r="346">
      <c r="A346" s="33" t="n"/>
      <c r="B346" s="33" t="n"/>
      <c r="C346" s="37" t="n"/>
      <c r="D346" s="35" t="n"/>
      <c r="E346" s="37" t="n"/>
      <c r="F346" s="38" t="n"/>
      <c r="G346" s="35" t="n"/>
      <c r="H346" s="37" t="n"/>
      <c r="I346" s="24">
        <f>IF(A346="","",IF(G346="Sim","Paga",IF(E346="","Sem vencimento",IF(E346&lt;Config!$B$5,"Vencida","A vencer"))))</f>
        <v/>
      </c>
      <c r="J346" s="30">
        <f>IF(I346="Vencida",Config!$B$5-E346,"")</f>
        <v/>
      </c>
      <c r="K346" s="30">
        <f>IF(I346="A vencer",E346-Config!$B$5,"")</f>
        <v/>
      </c>
      <c r="L346" s="24">
        <f>IF(I346&lt;&gt;"Vencida","",IF(COUNTIF(Config!$A$10:$A$13,"&lt;="&amp;J346)=0,"Antes da régua",INDEX(Config!$C$10:$C$13,COUNTIF(Config!$A$10:$A$13,"&lt;="&amp;J346))))</f>
        <v/>
      </c>
      <c r="M346" s="23">
        <f>IF(I346&lt;&gt;"Vencida","",IF(COUNTIF(Config!$A$10:$A$13,"&lt;="&amp;J346)=0,"Aguardar: ainda não chegou ao primeiro passo da régua.",INDEX(Config!$B$10:$B$13,COUNTIF(Config!$A$10:$A$13,"&lt;="&amp;J346))))</f>
        <v/>
      </c>
      <c r="N346" s="39">
        <f>IF(I346="Vencida",F346*J346+ROW()/100000,0)</f>
        <v>0</v>
      </c>
      <c r="O346" s="39">
        <f>IF(AND(I346="A vencer",K346&lt;=Config!$B$7),100000-K346-ROW()/100000,0)</f>
        <v>0</v>
      </c>
    </row>
    <row r="347">
      <c r="A347" s="33" t="n"/>
      <c r="B347" s="33" t="n"/>
      <c r="C347" s="37" t="n"/>
      <c r="D347" s="35" t="n"/>
      <c r="E347" s="37" t="n"/>
      <c r="F347" s="38" t="n"/>
      <c r="G347" s="35" t="n"/>
      <c r="H347" s="37" t="n"/>
      <c r="I347" s="24">
        <f>IF(A347="","",IF(G347="Sim","Paga",IF(E347="","Sem vencimento",IF(E347&lt;Config!$B$5,"Vencida","A vencer"))))</f>
        <v/>
      </c>
      <c r="J347" s="30">
        <f>IF(I347="Vencida",Config!$B$5-E347,"")</f>
        <v/>
      </c>
      <c r="K347" s="30">
        <f>IF(I347="A vencer",E347-Config!$B$5,"")</f>
        <v/>
      </c>
      <c r="L347" s="24">
        <f>IF(I347&lt;&gt;"Vencida","",IF(COUNTIF(Config!$A$10:$A$13,"&lt;="&amp;J347)=0,"Antes da régua",INDEX(Config!$C$10:$C$13,COUNTIF(Config!$A$10:$A$13,"&lt;="&amp;J347))))</f>
        <v/>
      </c>
      <c r="M347" s="23">
        <f>IF(I347&lt;&gt;"Vencida","",IF(COUNTIF(Config!$A$10:$A$13,"&lt;="&amp;J347)=0,"Aguardar: ainda não chegou ao primeiro passo da régua.",INDEX(Config!$B$10:$B$13,COUNTIF(Config!$A$10:$A$13,"&lt;="&amp;J347))))</f>
        <v/>
      </c>
      <c r="N347" s="39">
        <f>IF(I347="Vencida",F347*J347+ROW()/100000,0)</f>
        <v>0</v>
      </c>
      <c r="O347" s="39">
        <f>IF(AND(I347="A vencer",K347&lt;=Config!$B$7),100000-K347-ROW()/100000,0)</f>
        <v>0</v>
      </c>
    </row>
    <row r="348">
      <c r="A348" s="33" t="n"/>
      <c r="B348" s="33" t="n"/>
      <c r="C348" s="37" t="n"/>
      <c r="D348" s="35" t="n"/>
      <c r="E348" s="37" t="n"/>
      <c r="F348" s="38" t="n"/>
      <c r="G348" s="35" t="n"/>
      <c r="H348" s="37" t="n"/>
      <c r="I348" s="24">
        <f>IF(A348="","",IF(G348="Sim","Paga",IF(E348="","Sem vencimento",IF(E348&lt;Config!$B$5,"Vencida","A vencer"))))</f>
        <v/>
      </c>
      <c r="J348" s="30">
        <f>IF(I348="Vencida",Config!$B$5-E348,"")</f>
        <v/>
      </c>
      <c r="K348" s="30">
        <f>IF(I348="A vencer",E348-Config!$B$5,"")</f>
        <v/>
      </c>
      <c r="L348" s="24">
        <f>IF(I348&lt;&gt;"Vencida","",IF(COUNTIF(Config!$A$10:$A$13,"&lt;="&amp;J348)=0,"Antes da régua",INDEX(Config!$C$10:$C$13,COUNTIF(Config!$A$10:$A$13,"&lt;="&amp;J348))))</f>
        <v/>
      </c>
      <c r="M348" s="23">
        <f>IF(I348&lt;&gt;"Vencida","",IF(COUNTIF(Config!$A$10:$A$13,"&lt;="&amp;J348)=0,"Aguardar: ainda não chegou ao primeiro passo da régua.",INDEX(Config!$B$10:$B$13,COUNTIF(Config!$A$10:$A$13,"&lt;="&amp;J348))))</f>
        <v/>
      </c>
      <c r="N348" s="39">
        <f>IF(I348="Vencida",F348*J348+ROW()/100000,0)</f>
        <v>0</v>
      </c>
      <c r="O348" s="39">
        <f>IF(AND(I348="A vencer",K348&lt;=Config!$B$7),100000-K348-ROW()/100000,0)</f>
        <v>0</v>
      </c>
    </row>
    <row r="349">
      <c r="A349" s="33" t="n"/>
      <c r="B349" s="33" t="n"/>
      <c r="C349" s="37" t="n"/>
      <c r="D349" s="35" t="n"/>
      <c r="E349" s="37" t="n"/>
      <c r="F349" s="38" t="n"/>
      <c r="G349" s="35" t="n"/>
      <c r="H349" s="37" t="n"/>
      <c r="I349" s="24">
        <f>IF(A349="","",IF(G349="Sim","Paga",IF(E349="","Sem vencimento",IF(E349&lt;Config!$B$5,"Vencida","A vencer"))))</f>
        <v/>
      </c>
      <c r="J349" s="30">
        <f>IF(I349="Vencida",Config!$B$5-E349,"")</f>
        <v/>
      </c>
      <c r="K349" s="30">
        <f>IF(I349="A vencer",E349-Config!$B$5,"")</f>
        <v/>
      </c>
      <c r="L349" s="24">
        <f>IF(I349&lt;&gt;"Vencida","",IF(COUNTIF(Config!$A$10:$A$13,"&lt;="&amp;J349)=0,"Antes da régua",INDEX(Config!$C$10:$C$13,COUNTIF(Config!$A$10:$A$13,"&lt;="&amp;J349))))</f>
        <v/>
      </c>
      <c r="M349" s="23">
        <f>IF(I349&lt;&gt;"Vencida","",IF(COUNTIF(Config!$A$10:$A$13,"&lt;="&amp;J349)=0,"Aguardar: ainda não chegou ao primeiro passo da régua.",INDEX(Config!$B$10:$B$13,COUNTIF(Config!$A$10:$A$13,"&lt;="&amp;J349))))</f>
        <v/>
      </c>
      <c r="N349" s="39">
        <f>IF(I349="Vencida",F349*J349+ROW()/100000,0)</f>
        <v>0</v>
      </c>
      <c r="O349" s="39">
        <f>IF(AND(I349="A vencer",K349&lt;=Config!$B$7),100000-K349-ROW()/100000,0)</f>
        <v>0</v>
      </c>
    </row>
    <row r="350">
      <c r="A350" s="33" t="n"/>
      <c r="B350" s="33" t="n"/>
      <c r="C350" s="37" t="n"/>
      <c r="D350" s="35" t="n"/>
      <c r="E350" s="37" t="n"/>
      <c r="F350" s="38" t="n"/>
      <c r="G350" s="35" t="n"/>
      <c r="H350" s="37" t="n"/>
      <c r="I350" s="24">
        <f>IF(A350="","",IF(G350="Sim","Paga",IF(E350="","Sem vencimento",IF(E350&lt;Config!$B$5,"Vencida","A vencer"))))</f>
        <v/>
      </c>
      <c r="J350" s="30">
        <f>IF(I350="Vencida",Config!$B$5-E350,"")</f>
        <v/>
      </c>
      <c r="K350" s="30">
        <f>IF(I350="A vencer",E350-Config!$B$5,"")</f>
        <v/>
      </c>
      <c r="L350" s="24">
        <f>IF(I350&lt;&gt;"Vencida","",IF(COUNTIF(Config!$A$10:$A$13,"&lt;="&amp;J350)=0,"Antes da régua",INDEX(Config!$C$10:$C$13,COUNTIF(Config!$A$10:$A$13,"&lt;="&amp;J350))))</f>
        <v/>
      </c>
      <c r="M350" s="23">
        <f>IF(I350&lt;&gt;"Vencida","",IF(COUNTIF(Config!$A$10:$A$13,"&lt;="&amp;J350)=0,"Aguardar: ainda não chegou ao primeiro passo da régua.",INDEX(Config!$B$10:$B$13,COUNTIF(Config!$A$10:$A$13,"&lt;="&amp;J350))))</f>
        <v/>
      </c>
      <c r="N350" s="39">
        <f>IF(I350="Vencida",F350*J350+ROW()/100000,0)</f>
        <v>0</v>
      </c>
      <c r="O350" s="39">
        <f>IF(AND(I350="A vencer",K350&lt;=Config!$B$7),100000-K350-ROW()/100000,0)</f>
        <v>0</v>
      </c>
    </row>
    <row r="351">
      <c r="A351" s="33" t="n"/>
      <c r="B351" s="33" t="n"/>
      <c r="C351" s="37" t="n"/>
      <c r="D351" s="35" t="n"/>
      <c r="E351" s="37" t="n"/>
      <c r="F351" s="38" t="n"/>
      <c r="G351" s="35" t="n"/>
      <c r="H351" s="37" t="n"/>
      <c r="I351" s="24">
        <f>IF(A351="","",IF(G351="Sim","Paga",IF(E351="","Sem vencimento",IF(E351&lt;Config!$B$5,"Vencida","A vencer"))))</f>
        <v/>
      </c>
      <c r="J351" s="30">
        <f>IF(I351="Vencida",Config!$B$5-E351,"")</f>
        <v/>
      </c>
      <c r="K351" s="30">
        <f>IF(I351="A vencer",E351-Config!$B$5,"")</f>
        <v/>
      </c>
      <c r="L351" s="24">
        <f>IF(I351&lt;&gt;"Vencida","",IF(COUNTIF(Config!$A$10:$A$13,"&lt;="&amp;J351)=0,"Antes da régua",INDEX(Config!$C$10:$C$13,COUNTIF(Config!$A$10:$A$13,"&lt;="&amp;J351))))</f>
        <v/>
      </c>
      <c r="M351" s="23">
        <f>IF(I351&lt;&gt;"Vencida","",IF(COUNTIF(Config!$A$10:$A$13,"&lt;="&amp;J351)=0,"Aguardar: ainda não chegou ao primeiro passo da régua.",INDEX(Config!$B$10:$B$13,COUNTIF(Config!$A$10:$A$13,"&lt;="&amp;J351))))</f>
        <v/>
      </c>
      <c r="N351" s="39">
        <f>IF(I351="Vencida",F351*J351+ROW()/100000,0)</f>
        <v>0</v>
      </c>
      <c r="O351" s="39">
        <f>IF(AND(I351="A vencer",K351&lt;=Config!$B$7),100000-K351-ROW()/100000,0)</f>
        <v>0</v>
      </c>
    </row>
    <row r="352">
      <c r="A352" s="33" t="n"/>
      <c r="B352" s="33" t="n"/>
      <c r="C352" s="37" t="n"/>
      <c r="D352" s="35" t="n"/>
      <c r="E352" s="37" t="n"/>
      <c r="F352" s="38" t="n"/>
      <c r="G352" s="35" t="n"/>
      <c r="H352" s="37" t="n"/>
      <c r="I352" s="24">
        <f>IF(A352="","",IF(G352="Sim","Paga",IF(E352="","Sem vencimento",IF(E352&lt;Config!$B$5,"Vencida","A vencer"))))</f>
        <v/>
      </c>
      <c r="J352" s="30">
        <f>IF(I352="Vencida",Config!$B$5-E352,"")</f>
        <v/>
      </c>
      <c r="K352" s="30">
        <f>IF(I352="A vencer",E352-Config!$B$5,"")</f>
        <v/>
      </c>
      <c r="L352" s="24">
        <f>IF(I352&lt;&gt;"Vencida","",IF(COUNTIF(Config!$A$10:$A$13,"&lt;="&amp;J352)=0,"Antes da régua",INDEX(Config!$C$10:$C$13,COUNTIF(Config!$A$10:$A$13,"&lt;="&amp;J352))))</f>
        <v/>
      </c>
      <c r="M352" s="23">
        <f>IF(I352&lt;&gt;"Vencida","",IF(COUNTIF(Config!$A$10:$A$13,"&lt;="&amp;J352)=0,"Aguardar: ainda não chegou ao primeiro passo da régua.",INDEX(Config!$B$10:$B$13,COUNTIF(Config!$A$10:$A$13,"&lt;="&amp;J352))))</f>
        <v/>
      </c>
      <c r="N352" s="39">
        <f>IF(I352="Vencida",F352*J352+ROW()/100000,0)</f>
        <v>0</v>
      </c>
      <c r="O352" s="39">
        <f>IF(AND(I352="A vencer",K352&lt;=Config!$B$7),100000-K352-ROW()/100000,0)</f>
        <v>0</v>
      </c>
    </row>
    <row r="353">
      <c r="A353" s="33" t="n"/>
      <c r="B353" s="33" t="n"/>
      <c r="C353" s="37" t="n"/>
      <c r="D353" s="35" t="n"/>
      <c r="E353" s="37" t="n"/>
      <c r="F353" s="38" t="n"/>
      <c r="G353" s="35" t="n"/>
      <c r="H353" s="37" t="n"/>
      <c r="I353" s="24">
        <f>IF(A353="","",IF(G353="Sim","Paga",IF(E353="","Sem vencimento",IF(E353&lt;Config!$B$5,"Vencida","A vencer"))))</f>
        <v/>
      </c>
      <c r="J353" s="30">
        <f>IF(I353="Vencida",Config!$B$5-E353,"")</f>
        <v/>
      </c>
      <c r="K353" s="30">
        <f>IF(I353="A vencer",E353-Config!$B$5,"")</f>
        <v/>
      </c>
      <c r="L353" s="24">
        <f>IF(I353&lt;&gt;"Vencida","",IF(COUNTIF(Config!$A$10:$A$13,"&lt;="&amp;J353)=0,"Antes da régua",INDEX(Config!$C$10:$C$13,COUNTIF(Config!$A$10:$A$13,"&lt;="&amp;J353))))</f>
        <v/>
      </c>
      <c r="M353" s="23">
        <f>IF(I353&lt;&gt;"Vencida","",IF(COUNTIF(Config!$A$10:$A$13,"&lt;="&amp;J353)=0,"Aguardar: ainda não chegou ao primeiro passo da régua.",INDEX(Config!$B$10:$B$13,COUNTIF(Config!$A$10:$A$13,"&lt;="&amp;J353))))</f>
        <v/>
      </c>
      <c r="N353" s="39">
        <f>IF(I353="Vencida",F353*J353+ROW()/100000,0)</f>
        <v>0</v>
      </c>
      <c r="O353" s="39">
        <f>IF(AND(I353="A vencer",K353&lt;=Config!$B$7),100000-K353-ROW()/100000,0)</f>
        <v>0</v>
      </c>
    </row>
    <row r="354">
      <c r="A354" s="33" t="n"/>
      <c r="B354" s="33" t="n"/>
      <c r="C354" s="37" t="n"/>
      <c r="D354" s="35" t="n"/>
      <c r="E354" s="37" t="n"/>
      <c r="F354" s="38" t="n"/>
      <c r="G354" s="35" t="n"/>
      <c r="H354" s="37" t="n"/>
      <c r="I354" s="24">
        <f>IF(A354="","",IF(G354="Sim","Paga",IF(E354="","Sem vencimento",IF(E354&lt;Config!$B$5,"Vencida","A vencer"))))</f>
        <v/>
      </c>
      <c r="J354" s="30">
        <f>IF(I354="Vencida",Config!$B$5-E354,"")</f>
        <v/>
      </c>
      <c r="K354" s="30">
        <f>IF(I354="A vencer",E354-Config!$B$5,"")</f>
        <v/>
      </c>
      <c r="L354" s="24">
        <f>IF(I354&lt;&gt;"Vencida","",IF(COUNTIF(Config!$A$10:$A$13,"&lt;="&amp;J354)=0,"Antes da régua",INDEX(Config!$C$10:$C$13,COUNTIF(Config!$A$10:$A$13,"&lt;="&amp;J354))))</f>
        <v/>
      </c>
      <c r="M354" s="23">
        <f>IF(I354&lt;&gt;"Vencida","",IF(COUNTIF(Config!$A$10:$A$13,"&lt;="&amp;J354)=0,"Aguardar: ainda não chegou ao primeiro passo da régua.",INDEX(Config!$B$10:$B$13,COUNTIF(Config!$A$10:$A$13,"&lt;="&amp;J354))))</f>
        <v/>
      </c>
      <c r="N354" s="39">
        <f>IF(I354="Vencida",F354*J354+ROW()/100000,0)</f>
        <v>0</v>
      </c>
      <c r="O354" s="39">
        <f>IF(AND(I354="A vencer",K354&lt;=Config!$B$7),100000-K354-ROW()/100000,0)</f>
        <v>0</v>
      </c>
    </row>
    <row r="355">
      <c r="A355" s="33" t="n"/>
      <c r="B355" s="33" t="n"/>
      <c r="C355" s="37" t="n"/>
      <c r="D355" s="35" t="n"/>
      <c r="E355" s="37" t="n"/>
      <c r="F355" s="38" t="n"/>
      <c r="G355" s="35" t="n"/>
      <c r="H355" s="37" t="n"/>
      <c r="I355" s="24">
        <f>IF(A355="","",IF(G355="Sim","Paga",IF(E355="","Sem vencimento",IF(E355&lt;Config!$B$5,"Vencida","A vencer"))))</f>
        <v/>
      </c>
      <c r="J355" s="30">
        <f>IF(I355="Vencida",Config!$B$5-E355,"")</f>
        <v/>
      </c>
      <c r="K355" s="30">
        <f>IF(I355="A vencer",E355-Config!$B$5,"")</f>
        <v/>
      </c>
      <c r="L355" s="24">
        <f>IF(I355&lt;&gt;"Vencida","",IF(COUNTIF(Config!$A$10:$A$13,"&lt;="&amp;J355)=0,"Antes da régua",INDEX(Config!$C$10:$C$13,COUNTIF(Config!$A$10:$A$13,"&lt;="&amp;J355))))</f>
        <v/>
      </c>
      <c r="M355" s="23">
        <f>IF(I355&lt;&gt;"Vencida","",IF(COUNTIF(Config!$A$10:$A$13,"&lt;="&amp;J355)=0,"Aguardar: ainda não chegou ao primeiro passo da régua.",INDEX(Config!$B$10:$B$13,COUNTIF(Config!$A$10:$A$13,"&lt;="&amp;J355))))</f>
        <v/>
      </c>
      <c r="N355" s="39">
        <f>IF(I355="Vencida",F355*J355+ROW()/100000,0)</f>
        <v>0</v>
      </c>
      <c r="O355" s="39">
        <f>IF(AND(I355="A vencer",K355&lt;=Config!$B$7),100000-K355-ROW()/100000,0)</f>
        <v>0</v>
      </c>
    </row>
    <row r="356">
      <c r="A356" s="33" t="n"/>
      <c r="B356" s="33" t="n"/>
      <c r="C356" s="37" t="n"/>
      <c r="D356" s="35" t="n"/>
      <c r="E356" s="37" t="n"/>
      <c r="F356" s="38" t="n"/>
      <c r="G356" s="35" t="n"/>
      <c r="H356" s="37" t="n"/>
      <c r="I356" s="24">
        <f>IF(A356="","",IF(G356="Sim","Paga",IF(E356="","Sem vencimento",IF(E356&lt;Config!$B$5,"Vencida","A vencer"))))</f>
        <v/>
      </c>
      <c r="J356" s="30">
        <f>IF(I356="Vencida",Config!$B$5-E356,"")</f>
        <v/>
      </c>
      <c r="K356" s="30">
        <f>IF(I356="A vencer",E356-Config!$B$5,"")</f>
        <v/>
      </c>
      <c r="L356" s="24">
        <f>IF(I356&lt;&gt;"Vencida","",IF(COUNTIF(Config!$A$10:$A$13,"&lt;="&amp;J356)=0,"Antes da régua",INDEX(Config!$C$10:$C$13,COUNTIF(Config!$A$10:$A$13,"&lt;="&amp;J356))))</f>
        <v/>
      </c>
      <c r="M356" s="23">
        <f>IF(I356&lt;&gt;"Vencida","",IF(COUNTIF(Config!$A$10:$A$13,"&lt;="&amp;J356)=0,"Aguardar: ainda não chegou ao primeiro passo da régua.",INDEX(Config!$B$10:$B$13,COUNTIF(Config!$A$10:$A$13,"&lt;="&amp;J356))))</f>
        <v/>
      </c>
      <c r="N356" s="39">
        <f>IF(I356="Vencida",F356*J356+ROW()/100000,0)</f>
        <v>0</v>
      </c>
      <c r="O356" s="39">
        <f>IF(AND(I356="A vencer",K356&lt;=Config!$B$7),100000-K356-ROW()/100000,0)</f>
        <v>0</v>
      </c>
    </row>
    <row r="357">
      <c r="A357" s="33" t="n"/>
      <c r="B357" s="33" t="n"/>
      <c r="C357" s="37" t="n"/>
      <c r="D357" s="35" t="n"/>
      <c r="E357" s="37" t="n"/>
      <c r="F357" s="38" t="n"/>
      <c r="G357" s="35" t="n"/>
      <c r="H357" s="37" t="n"/>
      <c r="I357" s="24">
        <f>IF(A357="","",IF(G357="Sim","Paga",IF(E357="","Sem vencimento",IF(E357&lt;Config!$B$5,"Vencida","A vencer"))))</f>
        <v/>
      </c>
      <c r="J357" s="30">
        <f>IF(I357="Vencida",Config!$B$5-E357,"")</f>
        <v/>
      </c>
      <c r="K357" s="30">
        <f>IF(I357="A vencer",E357-Config!$B$5,"")</f>
        <v/>
      </c>
      <c r="L357" s="24">
        <f>IF(I357&lt;&gt;"Vencida","",IF(COUNTIF(Config!$A$10:$A$13,"&lt;="&amp;J357)=0,"Antes da régua",INDEX(Config!$C$10:$C$13,COUNTIF(Config!$A$10:$A$13,"&lt;="&amp;J357))))</f>
        <v/>
      </c>
      <c r="M357" s="23">
        <f>IF(I357&lt;&gt;"Vencida","",IF(COUNTIF(Config!$A$10:$A$13,"&lt;="&amp;J357)=0,"Aguardar: ainda não chegou ao primeiro passo da régua.",INDEX(Config!$B$10:$B$13,COUNTIF(Config!$A$10:$A$13,"&lt;="&amp;J357))))</f>
        <v/>
      </c>
      <c r="N357" s="39">
        <f>IF(I357="Vencida",F357*J357+ROW()/100000,0)</f>
        <v>0</v>
      </c>
      <c r="O357" s="39">
        <f>IF(AND(I357="A vencer",K357&lt;=Config!$B$7),100000-K357-ROW()/100000,0)</f>
        <v>0</v>
      </c>
    </row>
    <row r="358">
      <c r="A358" s="33" t="n"/>
      <c r="B358" s="33" t="n"/>
      <c r="C358" s="37" t="n"/>
      <c r="D358" s="35" t="n"/>
      <c r="E358" s="37" t="n"/>
      <c r="F358" s="38" t="n"/>
      <c r="G358" s="35" t="n"/>
      <c r="H358" s="37" t="n"/>
      <c r="I358" s="24">
        <f>IF(A358="","",IF(G358="Sim","Paga",IF(E358="","Sem vencimento",IF(E358&lt;Config!$B$5,"Vencida","A vencer"))))</f>
        <v/>
      </c>
      <c r="J358" s="30">
        <f>IF(I358="Vencida",Config!$B$5-E358,"")</f>
        <v/>
      </c>
      <c r="K358" s="30">
        <f>IF(I358="A vencer",E358-Config!$B$5,"")</f>
        <v/>
      </c>
      <c r="L358" s="24">
        <f>IF(I358&lt;&gt;"Vencida","",IF(COUNTIF(Config!$A$10:$A$13,"&lt;="&amp;J358)=0,"Antes da régua",INDEX(Config!$C$10:$C$13,COUNTIF(Config!$A$10:$A$13,"&lt;="&amp;J358))))</f>
        <v/>
      </c>
      <c r="M358" s="23">
        <f>IF(I358&lt;&gt;"Vencida","",IF(COUNTIF(Config!$A$10:$A$13,"&lt;="&amp;J358)=0,"Aguardar: ainda não chegou ao primeiro passo da régua.",INDEX(Config!$B$10:$B$13,COUNTIF(Config!$A$10:$A$13,"&lt;="&amp;J358))))</f>
        <v/>
      </c>
      <c r="N358" s="39">
        <f>IF(I358="Vencida",F358*J358+ROW()/100000,0)</f>
        <v>0</v>
      </c>
      <c r="O358" s="39">
        <f>IF(AND(I358="A vencer",K358&lt;=Config!$B$7),100000-K358-ROW()/100000,0)</f>
        <v>0</v>
      </c>
    </row>
    <row r="359">
      <c r="A359" s="33" t="n"/>
      <c r="B359" s="33" t="n"/>
      <c r="C359" s="37" t="n"/>
      <c r="D359" s="35" t="n"/>
      <c r="E359" s="37" t="n"/>
      <c r="F359" s="38" t="n"/>
      <c r="G359" s="35" t="n"/>
      <c r="H359" s="37" t="n"/>
      <c r="I359" s="24">
        <f>IF(A359="","",IF(G359="Sim","Paga",IF(E359="","Sem vencimento",IF(E359&lt;Config!$B$5,"Vencida","A vencer"))))</f>
        <v/>
      </c>
      <c r="J359" s="30">
        <f>IF(I359="Vencida",Config!$B$5-E359,"")</f>
        <v/>
      </c>
      <c r="K359" s="30">
        <f>IF(I359="A vencer",E359-Config!$B$5,"")</f>
        <v/>
      </c>
      <c r="L359" s="24">
        <f>IF(I359&lt;&gt;"Vencida","",IF(COUNTIF(Config!$A$10:$A$13,"&lt;="&amp;J359)=0,"Antes da régua",INDEX(Config!$C$10:$C$13,COUNTIF(Config!$A$10:$A$13,"&lt;="&amp;J359))))</f>
        <v/>
      </c>
      <c r="M359" s="23">
        <f>IF(I359&lt;&gt;"Vencida","",IF(COUNTIF(Config!$A$10:$A$13,"&lt;="&amp;J359)=0,"Aguardar: ainda não chegou ao primeiro passo da régua.",INDEX(Config!$B$10:$B$13,COUNTIF(Config!$A$10:$A$13,"&lt;="&amp;J359))))</f>
        <v/>
      </c>
      <c r="N359" s="39">
        <f>IF(I359="Vencida",F359*J359+ROW()/100000,0)</f>
        <v>0</v>
      </c>
      <c r="O359" s="39">
        <f>IF(AND(I359="A vencer",K359&lt;=Config!$B$7),100000-K359-ROW()/100000,0)</f>
        <v>0</v>
      </c>
    </row>
    <row r="360">
      <c r="A360" s="33" t="n"/>
      <c r="B360" s="33" t="n"/>
      <c r="C360" s="37" t="n"/>
      <c r="D360" s="35" t="n"/>
      <c r="E360" s="37" t="n"/>
      <c r="F360" s="38" t="n"/>
      <c r="G360" s="35" t="n"/>
      <c r="H360" s="37" t="n"/>
      <c r="I360" s="24">
        <f>IF(A360="","",IF(G360="Sim","Paga",IF(E360="","Sem vencimento",IF(E360&lt;Config!$B$5,"Vencida","A vencer"))))</f>
        <v/>
      </c>
      <c r="J360" s="30">
        <f>IF(I360="Vencida",Config!$B$5-E360,"")</f>
        <v/>
      </c>
      <c r="K360" s="30">
        <f>IF(I360="A vencer",E360-Config!$B$5,"")</f>
        <v/>
      </c>
      <c r="L360" s="24">
        <f>IF(I360&lt;&gt;"Vencida","",IF(COUNTIF(Config!$A$10:$A$13,"&lt;="&amp;J360)=0,"Antes da régua",INDEX(Config!$C$10:$C$13,COUNTIF(Config!$A$10:$A$13,"&lt;="&amp;J360))))</f>
        <v/>
      </c>
      <c r="M360" s="23">
        <f>IF(I360&lt;&gt;"Vencida","",IF(COUNTIF(Config!$A$10:$A$13,"&lt;="&amp;J360)=0,"Aguardar: ainda não chegou ao primeiro passo da régua.",INDEX(Config!$B$10:$B$13,COUNTIF(Config!$A$10:$A$13,"&lt;="&amp;J360))))</f>
        <v/>
      </c>
      <c r="N360" s="39">
        <f>IF(I360="Vencida",F360*J360+ROW()/100000,0)</f>
        <v>0</v>
      </c>
      <c r="O360" s="39">
        <f>IF(AND(I360="A vencer",K360&lt;=Config!$B$7),100000-K360-ROW()/100000,0)</f>
        <v>0</v>
      </c>
    </row>
    <row r="361">
      <c r="A361" s="33" t="n"/>
      <c r="B361" s="33" t="n"/>
      <c r="C361" s="37" t="n"/>
      <c r="D361" s="35" t="n"/>
      <c r="E361" s="37" t="n"/>
      <c r="F361" s="38" t="n"/>
      <c r="G361" s="35" t="n"/>
      <c r="H361" s="37" t="n"/>
      <c r="I361" s="24">
        <f>IF(A361="","",IF(G361="Sim","Paga",IF(E361="","Sem vencimento",IF(E361&lt;Config!$B$5,"Vencida","A vencer"))))</f>
        <v/>
      </c>
      <c r="J361" s="30">
        <f>IF(I361="Vencida",Config!$B$5-E361,"")</f>
        <v/>
      </c>
      <c r="K361" s="30">
        <f>IF(I361="A vencer",E361-Config!$B$5,"")</f>
        <v/>
      </c>
      <c r="L361" s="24">
        <f>IF(I361&lt;&gt;"Vencida","",IF(COUNTIF(Config!$A$10:$A$13,"&lt;="&amp;J361)=0,"Antes da régua",INDEX(Config!$C$10:$C$13,COUNTIF(Config!$A$10:$A$13,"&lt;="&amp;J361))))</f>
        <v/>
      </c>
      <c r="M361" s="23">
        <f>IF(I361&lt;&gt;"Vencida","",IF(COUNTIF(Config!$A$10:$A$13,"&lt;="&amp;J361)=0,"Aguardar: ainda não chegou ao primeiro passo da régua.",INDEX(Config!$B$10:$B$13,COUNTIF(Config!$A$10:$A$13,"&lt;="&amp;J361))))</f>
        <v/>
      </c>
      <c r="N361" s="39">
        <f>IF(I361="Vencida",F361*J361+ROW()/100000,0)</f>
        <v>0</v>
      </c>
      <c r="O361" s="39">
        <f>IF(AND(I361="A vencer",K361&lt;=Config!$B$7),100000-K361-ROW()/100000,0)</f>
        <v>0</v>
      </c>
    </row>
    <row r="362">
      <c r="A362" s="33" t="n"/>
      <c r="B362" s="33" t="n"/>
      <c r="C362" s="37" t="n"/>
      <c r="D362" s="35" t="n"/>
      <c r="E362" s="37" t="n"/>
      <c r="F362" s="38" t="n"/>
      <c r="G362" s="35" t="n"/>
      <c r="H362" s="37" t="n"/>
      <c r="I362" s="24">
        <f>IF(A362="","",IF(G362="Sim","Paga",IF(E362="","Sem vencimento",IF(E362&lt;Config!$B$5,"Vencida","A vencer"))))</f>
        <v/>
      </c>
      <c r="J362" s="30">
        <f>IF(I362="Vencida",Config!$B$5-E362,"")</f>
        <v/>
      </c>
      <c r="K362" s="30">
        <f>IF(I362="A vencer",E362-Config!$B$5,"")</f>
        <v/>
      </c>
      <c r="L362" s="24">
        <f>IF(I362&lt;&gt;"Vencida","",IF(COUNTIF(Config!$A$10:$A$13,"&lt;="&amp;J362)=0,"Antes da régua",INDEX(Config!$C$10:$C$13,COUNTIF(Config!$A$10:$A$13,"&lt;="&amp;J362))))</f>
        <v/>
      </c>
      <c r="M362" s="23">
        <f>IF(I362&lt;&gt;"Vencida","",IF(COUNTIF(Config!$A$10:$A$13,"&lt;="&amp;J362)=0,"Aguardar: ainda não chegou ao primeiro passo da régua.",INDEX(Config!$B$10:$B$13,COUNTIF(Config!$A$10:$A$13,"&lt;="&amp;J362))))</f>
        <v/>
      </c>
      <c r="N362" s="39">
        <f>IF(I362="Vencida",F362*J362+ROW()/100000,0)</f>
        <v>0</v>
      </c>
      <c r="O362" s="39">
        <f>IF(AND(I362="A vencer",K362&lt;=Config!$B$7),100000-K362-ROW()/100000,0)</f>
        <v>0</v>
      </c>
    </row>
    <row r="363">
      <c r="A363" s="33" t="n"/>
      <c r="B363" s="33" t="n"/>
      <c r="C363" s="37" t="n"/>
      <c r="D363" s="35" t="n"/>
      <c r="E363" s="37" t="n"/>
      <c r="F363" s="38" t="n"/>
      <c r="G363" s="35" t="n"/>
      <c r="H363" s="37" t="n"/>
      <c r="I363" s="24">
        <f>IF(A363="","",IF(G363="Sim","Paga",IF(E363="","Sem vencimento",IF(E363&lt;Config!$B$5,"Vencida","A vencer"))))</f>
        <v/>
      </c>
      <c r="J363" s="30">
        <f>IF(I363="Vencida",Config!$B$5-E363,"")</f>
        <v/>
      </c>
      <c r="K363" s="30">
        <f>IF(I363="A vencer",E363-Config!$B$5,"")</f>
        <v/>
      </c>
      <c r="L363" s="24">
        <f>IF(I363&lt;&gt;"Vencida","",IF(COUNTIF(Config!$A$10:$A$13,"&lt;="&amp;J363)=0,"Antes da régua",INDEX(Config!$C$10:$C$13,COUNTIF(Config!$A$10:$A$13,"&lt;="&amp;J363))))</f>
        <v/>
      </c>
      <c r="M363" s="23">
        <f>IF(I363&lt;&gt;"Vencida","",IF(COUNTIF(Config!$A$10:$A$13,"&lt;="&amp;J363)=0,"Aguardar: ainda não chegou ao primeiro passo da régua.",INDEX(Config!$B$10:$B$13,COUNTIF(Config!$A$10:$A$13,"&lt;="&amp;J363))))</f>
        <v/>
      </c>
      <c r="N363" s="39">
        <f>IF(I363="Vencida",F363*J363+ROW()/100000,0)</f>
        <v>0</v>
      </c>
      <c r="O363" s="39">
        <f>IF(AND(I363="A vencer",K363&lt;=Config!$B$7),100000-K363-ROW()/100000,0)</f>
        <v>0</v>
      </c>
    </row>
    <row r="364">
      <c r="A364" s="33" t="n"/>
      <c r="B364" s="33" t="n"/>
      <c r="C364" s="37" t="n"/>
      <c r="D364" s="35" t="n"/>
      <c r="E364" s="37" t="n"/>
      <c r="F364" s="38" t="n"/>
      <c r="G364" s="35" t="n"/>
      <c r="H364" s="37" t="n"/>
      <c r="I364" s="24">
        <f>IF(A364="","",IF(G364="Sim","Paga",IF(E364="","Sem vencimento",IF(E364&lt;Config!$B$5,"Vencida","A vencer"))))</f>
        <v/>
      </c>
      <c r="J364" s="30">
        <f>IF(I364="Vencida",Config!$B$5-E364,"")</f>
        <v/>
      </c>
      <c r="K364" s="30">
        <f>IF(I364="A vencer",E364-Config!$B$5,"")</f>
        <v/>
      </c>
      <c r="L364" s="24">
        <f>IF(I364&lt;&gt;"Vencida","",IF(COUNTIF(Config!$A$10:$A$13,"&lt;="&amp;J364)=0,"Antes da régua",INDEX(Config!$C$10:$C$13,COUNTIF(Config!$A$10:$A$13,"&lt;="&amp;J364))))</f>
        <v/>
      </c>
      <c r="M364" s="23">
        <f>IF(I364&lt;&gt;"Vencida","",IF(COUNTIF(Config!$A$10:$A$13,"&lt;="&amp;J364)=0,"Aguardar: ainda não chegou ao primeiro passo da régua.",INDEX(Config!$B$10:$B$13,COUNTIF(Config!$A$10:$A$13,"&lt;="&amp;J364))))</f>
        <v/>
      </c>
      <c r="N364" s="39">
        <f>IF(I364="Vencida",F364*J364+ROW()/100000,0)</f>
        <v>0</v>
      </c>
      <c r="O364" s="39">
        <f>IF(AND(I364="A vencer",K364&lt;=Config!$B$7),100000-K364-ROW()/100000,0)</f>
        <v>0</v>
      </c>
    </row>
    <row r="365">
      <c r="A365" s="33" t="n"/>
      <c r="B365" s="33" t="n"/>
      <c r="C365" s="37" t="n"/>
      <c r="D365" s="35" t="n"/>
      <c r="E365" s="37" t="n"/>
      <c r="F365" s="38" t="n"/>
      <c r="G365" s="35" t="n"/>
      <c r="H365" s="37" t="n"/>
      <c r="I365" s="24">
        <f>IF(A365="","",IF(G365="Sim","Paga",IF(E365="","Sem vencimento",IF(E365&lt;Config!$B$5,"Vencida","A vencer"))))</f>
        <v/>
      </c>
      <c r="J365" s="30">
        <f>IF(I365="Vencida",Config!$B$5-E365,"")</f>
        <v/>
      </c>
      <c r="K365" s="30">
        <f>IF(I365="A vencer",E365-Config!$B$5,"")</f>
        <v/>
      </c>
      <c r="L365" s="24">
        <f>IF(I365&lt;&gt;"Vencida","",IF(COUNTIF(Config!$A$10:$A$13,"&lt;="&amp;J365)=0,"Antes da régua",INDEX(Config!$C$10:$C$13,COUNTIF(Config!$A$10:$A$13,"&lt;="&amp;J365))))</f>
        <v/>
      </c>
      <c r="M365" s="23">
        <f>IF(I365&lt;&gt;"Vencida","",IF(COUNTIF(Config!$A$10:$A$13,"&lt;="&amp;J365)=0,"Aguardar: ainda não chegou ao primeiro passo da régua.",INDEX(Config!$B$10:$B$13,COUNTIF(Config!$A$10:$A$13,"&lt;="&amp;J365))))</f>
        <v/>
      </c>
      <c r="N365" s="39">
        <f>IF(I365="Vencida",F365*J365+ROW()/100000,0)</f>
        <v>0</v>
      </c>
      <c r="O365" s="39">
        <f>IF(AND(I365="A vencer",K365&lt;=Config!$B$7),100000-K365-ROW()/100000,0)</f>
        <v>0</v>
      </c>
    </row>
    <row r="366">
      <c r="A366" s="33" t="n"/>
      <c r="B366" s="33" t="n"/>
      <c r="C366" s="37" t="n"/>
      <c r="D366" s="35" t="n"/>
      <c r="E366" s="37" t="n"/>
      <c r="F366" s="38" t="n"/>
      <c r="G366" s="35" t="n"/>
      <c r="H366" s="37" t="n"/>
      <c r="I366" s="24">
        <f>IF(A366="","",IF(G366="Sim","Paga",IF(E366="","Sem vencimento",IF(E366&lt;Config!$B$5,"Vencida","A vencer"))))</f>
        <v/>
      </c>
      <c r="J366" s="30">
        <f>IF(I366="Vencida",Config!$B$5-E366,"")</f>
        <v/>
      </c>
      <c r="K366" s="30">
        <f>IF(I366="A vencer",E366-Config!$B$5,"")</f>
        <v/>
      </c>
      <c r="L366" s="24">
        <f>IF(I366&lt;&gt;"Vencida","",IF(COUNTIF(Config!$A$10:$A$13,"&lt;="&amp;J366)=0,"Antes da régua",INDEX(Config!$C$10:$C$13,COUNTIF(Config!$A$10:$A$13,"&lt;="&amp;J366))))</f>
        <v/>
      </c>
      <c r="M366" s="23">
        <f>IF(I366&lt;&gt;"Vencida","",IF(COUNTIF(Config!$A$10:$A$13,"&lt;="&amp;J366)=0,"Aguardar: ainda não chegou ao primeiro passo da régua.",INDEX(Config!$B$10:$B$13,COUNTIF(Config!$A$10:$A$13,"&lt;="&amp;J366))))</f>
        <v/>
      </c>
      <c r="N366" s="39">
        <f>IF(I366="Vencida",F366*J366+ROW()/100000,0)</f>
        <v>0</v>
      </c>
      <c r="O366" s="39">
        <f>IF(AND(I366="A vencer",K366&lt;=Config!$B$7),100000-K366-ROW()/100000,0)</f>
        <v>0</v>
      </c>
    </row>
    <row r="367">
      <c r="A367" s="33" t="n"/>
      <c r="B367" s="33" t="n"/>
      <c r="C367" s="37" t="n"/>
      <c r="D367" s="35" t="n"/>
      <c r="E367" s="37" t="n"/>
      <c r="F367" s="38" t="n"/>
      <c r="G367" s="35" t="n"/>
      <c r="H367" s="37" t="n"/>
      <c r="I367" s="24">
        <f>IF(A367="","",IF(G367="Sim","Paga",IF(E367="","Sem vencimento",IF(E367&lt;Config!$B$5,"Vencida","A vencer"))))</f>
        <v/>
      </c>
      <c r="J367" s="30">
        <f>IF(I367="Vencida",Config!$B$5-E367,"")</f>
        <v/>
      </c>
      <c r="K367" s="30">
        <f>IF(I367="A vencer",E367-Config!$B$5,"")</f>
        <v/>
      </c>
      <c r="L367" s="24">
        <f>IF(I367&lt;&gt;"Vencida","",IF(COUNTIF(Config!$A$10:$A$13,"&lt;="&amp;J367)=0,"Antes da régua",INDEX(Config!$C$10:$C$13,COUNTIF(Config!$A$10:$A$13,"&lt;="&amp;J367))))</f>
        <v/>
      </c>
      <c r="M367" s="23">
        <f>IF(I367&lt;&gt;"Vencida","",IF(COUNTIF(Config!$A$10:$A$13,"&lt;="&amp;J367)=0,"Aguardar: ainda não chegou ao primeiro passo da régua.",INDEX(Config!$B$10:$B$13,COUNTIF(Config!$A$10:$A$13,"&lt;="&amp;J367))))</f>
        <v/>
      </c>
      <c r="N367" s="39">
        <f>IF(I367="Vencida",F367*J367+ROW()/100000,0)</f>
        <v>0</v>
      </c>
      <c r="O367" s="39">
        <f>IF(AND(I367="A vencer",K367&lt;=Config!$B$7),100000-K367-ROW()/100000,0)</f>
        <v>0</v>
      </c>
    </row>
    <row r="368">
      <c r="A368" s="33" t="n"/>
      <c r="B368" s="33" t="n"/>
      <c r="C368" s="37" t="n"/>
      <c r="D368" s="35" t="n"/>
      <c r="E368" s="37" t="n"/>
      <c r="F368" s="38" t="n"/>
      <c r="G368" s="35" t="n"/>
      <c r="H368" s="37" t="n"/>
      <c r="I368" s="24">
        <f>IF(A368="","",IF(G368="Sim","Paga",IF(E368="","Sem vencimento",IF(E368&lt;Config!$B$5,"Vencida","A vencer"))))</f>
        <v/>
      </c>
      <c r="J368" s="30">
        <f>IF(I368="Vencida",Config!$B$5-E368,"")</f>
        <v/>
      </c>
      <c r="K368" s="30">
        <f>IF(I368="A vencer",E368-Config!$B$5,"")</f>
        <v/>
      </c>
      <c r="L368" s="24">
        <f>IF(I368&lt;&gt;"Vencida","",IF(COUNTIF(Config!$A$10:$A$13,"&lt;="&amp;J368)=0,"Antes da régua",INDEX(Config!$C$10:$C$13,COUNTIF(Config!$A$10:$A$13,"&lt;="&amp;J368))))</f>
        <v/>
      </c>
      <c r="M368" s="23">
        <f>IF(I368&lt;&gt;"Vencida","",IF(COUNTIF(Config!$A$10:$A$13,"&lt;="&amp;J368)=0,"Aguardar: ainda não chegou ao primeiro passo da régua.",INDEX(Config!$B$10:$B$13,COUNTIF(Config!$A$10:$A$13,"&lt;="&amp;J368))))</f>
        <v/>
      </c>
      <c r="N368" s="39">
        <f>IF(I368="Vencida",F368*J368+ROW()/100000,0)</f>
        <v>0</v>
      </c>
      <c r="O368" s="39">
        <f>IF(AND(I368="A vencer",K368&lt;=Config!$B$7),100000-K368-ROW()/100000,0)</f>
        <v>0</v>
      </c>
    </row>
    <row r="369">
      <c r="A369" s="33" t="n"/>
      <c r="B369" s="33" t="n"/>
      <c r="C369" s="37" t="n"/>
      <c r="D369" s="35" t="n"/>
      <c r="E369" s="37" t="n"/>
      <c r="F369" s="38" t="n"/>
      <c r="G369" s="35" t="n"/>
      <c r="H369" s="37" t="n"/>
      <c r="I369" s="24">
        <f>IF(A369="","",IF(G369="Sim","Paga",IF(E369="","Sem vencimento",IF(E369&lt;Config!$B$5,"Vencida","A vencer"))))</f>
        <v/>
      </c>
      <c r="J369" s="30">
        <f>IF(I369="Vencida",Config!$B$5-E369,"")</f>
        <v/>
      </c>
      <c r="K369" s="30">
        <f>IF(I369="A vencer",E369-Config!$B$5,"")</f>
        <v/>
      </c>
      <c r="L369" s="24">
        <f>IF(I369&lt;&gt;"Vencida","",IF(COUNTIF(Config!$A$10:$A$13,"&lt;="&amp;J369)=0,"Antes da régua",INDEX(Config!$C$10:$C$13,COUNTIF(Config!$A$10:$A$13,"&lt;="&amp;J369))))</f>
        <v/>
      </c>
      <c r="M369" s="23">
        <f>IF(I369&lt;&gt;"Vencida","",IF(COUNTIF(Config!$A$10:$A$13,"&lt;="&amp;J369)=0,"Aguardar: ainda não chegou ao primeiro passo da régua.",INDEX(Config!$B$10:$B$13,COUNTIF(Config!$A$10:$A$13,"&lt;="&amp;J369))))</f>
        <v/>
      </c>
      <c r="N369" s="39">
        <f>IF(I369="Vencida",F369*J369+ROW()/100000,0)</f>
        <v>0</v>
      </c>
      <c r="O369" s="39">
        <f>IF(AND(I369="A vencer",K369&lt;=Config!$B$7),100000-K369-ROW()/100000,0)</f>
        <v>0</v>
      </c>
    </row>
    <row r="370">
      <c r="A370" s="33" t="n"/>
      <c r="B370" s="33" t="n"/>
      <c r="C370" s="37" t="n"/>
      <c r="D370" s="35" t="n"/>
      <c r="E370" s="37" t="n"/>
      <c r="F370" s="38" t="n"/>
      <c r="G370" s="35" t="n"/>
      <c r="H370" s="37" t="n"/>
      <c r="I370" s="24">
        <f>IF(A370="","",IF(G370="Sim","Paga",IF(E370="","Sem vencimento",IF(E370&lt;Config!$B$5,"Vencida","A vencer"))))</f>
        <v/>
      </c>
      <c r="J370" s="30">
        <f>IF(I370="Vencida",Config!$B$5-E370,"")</f>
        <v/>
      </c>
      <c r="K370" s="30">
        <f>IF(I370="A vencer",E370-Config!$B$5,"")</f>
        <v/>
      </c>
      <c r="L370" s="24">
        <f>IF(I370&lt;&gt;"Vencida","",IF(COUNTIF(Config!$A$10:$A$13,"&lt;="&amp;J370)=0,"Antes da régua",INDEX(Config!$C$10:$C$13,COUNTIF(Config!$A$10:$A$13,"&lt;="&amp;J370))))</f>
        <v/>
      </c>
      <c r="M370" s="23">
        <f>IF(I370&lt;&gt;"Vencida","",IF(COUNTIF(Config!$A$10:$A$13,"&lt;="&amp;J370)=0,"Aguardar: ainda não chegou ao primeiro passo da régua.",INDEX(Config!$B$10:$B$13,COUNTIF(Config!$A$10:$A$13,"&lt;="&amp;J370))))</f>
        <v/>
      </c>
      <c r="N370" s="39">
        <f>IF(I370="Vencida",F370*J370+ROW()/100000,0)</f>
        <v>0</v>
      </c>
      <c r="O370" s="39">
        <f>IF(AND(I370="A vencer",K370&lt;=Config!$B$7),100000-K370-ROW()/100000,0)</f>
        <v>0</v>
      </c>
    </row>
    <row r="371">
      <c r="A371" s="33" t="n"/>
      <c r="B371" s="33" t="n"/>
      <c r="C371" s="37" t="n"/>
      <c r="D371" s="35" t="n"/>
      <c r="E371" s="37" t="n"/>
      <c r="F371" s="38" t="n"/>
      <c r="G371" s="35" t="n"/>
      <c r="H371" s="37" t="n"/>
      <c r="I371" s="24">
        <f>IF(A371="","",IF(G371="Sim","Paga",IF(E371="","Sem vencimento",IF(E371&lt;Config!$B$5,"Vencida","A vencer"))))</f>
        <v/>
      </c>
      <c r="J371" s="30">
        <f>IF(I371="Vencida",Config!$B$5-E371,"")</f>
        <v/>
      </c>
      <c r="K371" s="30">
        <f>IF(I371="A vencer",E371-Config!$B$5,"")</f>
        <v/>
      </c>
      <c r="L371" s="24">
        <f>IF(I371&lt;&gt;"Vencida","",IF(COUNTIF(Config!$A$10:$A$13,"&lt;="&amp;J371)=0,"Antes da régua",INDEX(Config!$C$10:$C$13,COUNTIF(Config!$A$10:$A$13,"&lt;="&amp;J371))))</f>
        <v/>
      </c>
      <c r="M371" s="23">
        <f>IF(I371&lt;&gt;"Vencida","",IF(COUNTIF(Config!$A$10:$A$13,"&lt;="&amp;J371)=0,"Aguardar: ainda não chegou ao primeiro passo da régua.",INDEX(Config!$B$10:$B$13,COUNTIF(Config!$A$10:$A$13,"&lt;="&amp;J371))))</f>
        <v/>
      </c>
      <c r="N371" s="39">
        <f>IF(I371="Vencida",F371*J371+ROW()/100000,0)</f>
        <v>0</v>
      </c>
      <c r="O371" s="39">
        <f>IF(AND(I371="A vencer",K371&lt;=Config!$B$7),100000-K371-ROW()/100000,0)</f>
        <v>0</v>
      </c>
    </row>
    <row r="372">
      <c r="A372" s="33" t="n"/>
      <c r="B372" s="33" t="n"/>
      <c r="C372" s="37" t="n"/>
      <c r="D372" s="35" t="n"/>
      <c r="E372" s="37" t="n"/>
      <c r="F372" s="38" t="n"/>
      <c r="G372" s="35" t="n"/>
      <c r="H372" s="37" t="n"/>
      <c r="I372" s="24">
        <f>IF(A372="","",IF(G372="Sim","Paga",IF(E372="","Sem vencimento",IF(E372&lt;Config!$B$5,"Vencida","A vencer"))))</f>
        <v/>
      </c>
      <c r="J372" s="30">
        <f>IF(I372="Vencida",Config!$B$5-E372,"")</f>
        <v/>
      </c>
      <c r="K372" s="30">
        <f>IF(I372="A vencer",E372-Config!$B$5,"")</f>
        <v/>
      </c>
      <c r="L372" s="24">
        <f>IF(I372&lt;&gt;"Vencida","",IF(COUNTIF(Config!$A$10:$A$13,"&lt;="&amp;J372)=0,"Antes da régua",INDEX(Config!$C$10:$C$13,COUNTIF(Config!$A$10:$A$13,"&lt;="&amp;J372))))</f>
        <v/>
      </c>
      <c r="M372" s="23">
        <f>IF(I372&lt;&gt;"Vencida","",IF(COUNTIF(Config!$A$10:$A$13,"&lt;="&amp;J372)=0,"Aguardar: ainda não chegou ao primeiro passo da régua.",INDEX(Config!$B$10:$B$13,COUNTIF(Config!$A$10:$A$13,"&lt;="&amp;J372))))</f>
        <v/>
      </c>
      <c r="N372" s="39">
        <f>IF(I372="Vencida",F372*J372+ROW()/100000,0)</f>
        <v>0</v>
      </c>
      <c r="O372" s="39">
        <f>IF(AND(I372="A vencer",K372&lt;=Config!$B$7),100000-K372-ROW()/100000,0)</f>
        <v>0</v>
      </c>
    </row>
    <row r="373">
      <c r="A373" s="33" t="n"/>
      <c r="B373" s="33" t="n"/>
      <c r="C373" s="37" t="n"/>
      <c r="D373" s="35" t="n"/>
      <c r="E373" s="37" t="n"/>
      <c r="F373" s="38" t="n"/>
      <c r="G373" s="35" t="n"/>
      <c r="H373" s="37" t="n"/>
      <c r="I373" s="24">
        <f>IF(A373="","",IF(G373="Sim","Paga",IF(E373="","Sem vencimento",IF(E373&lt;Config!$B$5,"Vencida","A vencer"))))</f>
        <v/>
      </c>
      <c r="J373" s="30">
        <f>IF(I373="Vencida",Config!$B$5-E373,"")</f>
        <v/>
      </c>
      <c r="K373" s="30">
        <f>IF(I373="A vencer",E373-Config!$B$5,"")</f>
        <v/>
      </c>
      <c r="L373" s="24">
        <f>IF(I373&lt;&gt;"Vencida","",IF(COUNTIF(Config!$A$10:$A$13,"&lt;="&amp;J373)=0,"Antes da régua",INDEX(Config!$C$10:$C$13,COUNTIF(Config!$A$10:$A$13,"&lt;="&amp;J373))))</f>
        <v/>
      </c>
      <c r="M373" s="23">
        <f>IF(I373&lt;&gt;"Vencida","",IF(COUNTIF(Config!$A$10:$A$13,"&lt;="&amp;J373)=0,"Aguardar: ainda não chegou ao primeiro passo da régua.",INDEX(Config!$B$10:$B$13,COUNTIF(Config!$A$10:$A$13,"&lt;="&amp;J373))))</f>
        <v/>
      </c>
      <c r="N373" s="39">
        <f>IF(I373="Vencida",F373*J373+ROW()/100000,0)</f>
        <v>0</v>
      </c>
      <c r="O373" s="39">
        <f>IF(AND(I373="A vencer",K373&lt;=Config!$B$7),100000-K373-ROW()/100000,0)</f>
        <v>0</v>
      </c>
    </row>
    <row r="374">
      <c r="A374" s="33" t="n"/>
      <c r="B374" s="33" t="n"/>
      <c r="C374" s="37" t="n"/>
      <c r="D374" s="35" t="n"/>
      <c r="E374" s="37" t="n"/>
      <c r="F374" s="38" t="n"/>
      <c r="G374" s="35" t="n"/>
      <c r="H374" s="37" t="n"/>
      <c r="I374" s="24">
        <f>IF(A374="","",IF(G374="Sim","Paga",IF(E374="","Sem vencimento",IF(E374&lt;Config!$B$5,"Vencida","A vencer"))))</f>
        <v/>
      </c>
      <c r="J374" s="30">
        <f>IF(I374="Vencida",Config!$B$5-E374,"")</f>
        <v/>
      </c>
      <c r="K374" s="30">
        <f>IF(I374="A vencer",E374-Config!$B$5,"")</f>
        <v/>
      </c>
      <c r="L374" s="24">
        <f>IF(I374&lt;&gt;"Vencida","",IF(COUNTIF(Config!$A$10:$A$13,"&lt;="&amp;J374)=0,"Antes da régua",INDEX(Config!$C$10:$C$13,COUNTIF(Config!$A$10:$A$13,"&lt;="&amp;J374))))</f>
        <v/>
      </c>
      <c r="M374" s="23">
        <f>IF(I374&lt;&gt;"Vencida","",IF(COUNTIF(Config!$A$10:$A$13,"&lt;="&amp;J374)=0,"Aguardar: ainda não chegou ao primeiro passo da régua.",INDEX(Config!$B$10:$B$13,COUNTIF(Config!$A$10:$A$13,"&lt;="&amp;J374))))</f>
        <v/>
      </c>
      <c r="N374" s="39">
        <f>IF(I374="Vencida",F374*J374+ROW()/100000,0)</f>
        <v>0</v>
      </c>
      <c r="O374" s="39">
        <f>IF(AND(I374="A vencer",K374&lt;=Config!$B$7),100000-K374-ROW()/100000,0)</f>
        <v>0</v>
      </c>
    </row>
    <row r="375">
      <c r="A375" s="33" t="n"/>
      <c r="B375" s="33" t="n"/>
      <c r="C375" s="37" t="n"/>
      <c r="D375" s="35" t="n"/>
      <c r="E375" s="37" t="n"/>
      <c r="F375" s="38" t="n"/>
      <c r="G375" s="35" t="n"/>
      <c r="H375" s="37" t="n"/>
      <c r="I375" s="24">
        <f>IF(A375="","",IF(G375="Sim","Paga",IF(E375="","Sem vencimento",IF(E375&lt;Config!$B$5,"Vencida","A vencer"))))</f>
        <v/>
      </c>
      <c r="J375" s="30">
        <f>IF(I375="Vencida",Config!$B$5-E375,"")</f>
        <v/>
      </c>
      <c r="K375" s="30">
        <f>IF(I375="A vencer",E375-Config!$B$5,"")</f>
        <v/>
      </c>
      <c r="L375" s="24">
        <f>IF(I375&lt;&gt;"Vencida","",IF(COUNTIF(Config!$A$10:$A$13,"&lt;="&amp;J375)=0,"Antes da régua",INDEX(Config!$C$10:$C$13,COUNTIF(Config!$A$10:$A$13,"&lt;="&amp;J375))))</f>
        <v/>
      </c>
      <c r="M375" s="23">
        <f>IF(I375&lt;&gt;"Vencida","",IF(COUNTIF(Config!$A$10:$A$13,"&lt;="&amp;J375)=0,"Aguardar: ainda não chegou ao primeiro passo da régua.",INDEX(Config!$B$10:$B$13,COUNTIF(Config!$A$10:$A$13,"&lt;="&amp;J375))))</f>
        <v/>
      </c>
      <c r="N375" s="39">
        <f>IF(I375="Vencida",F375*J375+ROW()/100000,0)</f>
        <v>0</v>
      </c>
      <c r="O375" s="39">
        <f>IF(AND(I375="A vencer",K375&lt;=Config!$B$7),100000-K375-ROW()/100000,0)</f>
        <v>0</v>
      </c>
    </row>
    <row r="376">
      <c r="A376" s="33" t="n"/>
      <c r="B376" s="33" t="n"/>
      <c r="C376" s="37" t="n"/>
      <c r="D376" s="35" t="n"/>
      <c r="E376" s="37" t="n"/>
      <c r="F376" s="38" t="n"/>
      <c r="G376" s="35" t="n"/>
      <c r="H376" s="37" t="n"/>
      <c r="I376" s="24">
        <f>IF(A376="","",IF(G376="Sim","Paga",IF(E376="","Sem vencimento",IF(E376&lt;Config!$B$5,"Vencida","A vencer"))))</f>
        <v/>
      </c>
      <c r="J376" s="30">
        <f>IF(I376="Vencida",Config!$B$5-E376,"")</f>
        <v/>
      </c>
      <c r="K376" s="30">
        <f>IF(I376="A vencer",E376-Config!$B$5,"")</f>
        <v/>
      </c>
      <c r="L376" s="24">
        <f>IF(I376&lt;&gt;"Vencida","",IF(COUNTIF(Config!$A$10:$A$13,"&lt;="&amp;J376)=0,"Antes da régua",INDEX(Config!$C$10:$C$13,COUNTIF(Config!$A$10:$A$13,"&lt;="&amp;J376))))</f>
        <v/>
      </c>
      <c r="M376" s="23">
        <f>IF(I376&lt;&gt;"Vencida","",IF(COUNTIF(Config!$A$10:$A$13,"&lt;="&amp;J376)=0,"Aguardar: ainda não chegou ao primeiro passo da régua.",INDEX(Config!$B$10:$B$13,COUNTIF(Config!$A$10:$A$13,"&lt;="&amp;J376))))</f>
        <v/>
      </c>
      <c r="N376" s="39">
        <f>IF(I376="Vencida",F376*J376+ROW()/100000,0)</f>
        <v>0</v>
      </c>
      <c r="O376" s="39">
        <f>IF(AND(I376="A vencer",K376&lt;=Config!$B$7),100000-K376-ROW()/100000,0)</f>
        <v>0</v>
      </c>
    </row>
    <row r="377">
      <c r="A377" s="33" t="n"/>
      <c r="B377" s="33" t="n"/>
      <c r="C377" s="37" t="n"/>
      <c r="D377" s="35" t="n"/>
      <c r="E377" s="37" t="n"/>
      <c r="F377" s="38" t="n"/>
      <c r="G377" s="35" t="n"/>
      <c r="H377" s="37" t="n"/>
      <c r="I377" s="24">
        <f>IF(A377="","",IF(G377="Sim","Paga",IF(E377="","Sem vencimento",IF(E377&lt;Config!$B$5,"Vencida","A vencer"))))</f>
        <v/>
      </c>
      <c r="J377" s="30">
        <f>IF(I377="Vencida",Config!$B$5-E377,"")</f>
        <v/>
      </c>
      <c r="K377" s="30">
        <f>IF(I377="A vencer",E377-Config!$B$5,"")</f>
        <v/>
      </c>
      <c r="L377" s="24">
        <f>IF(I377&lt;&gt;"Vencida","",IF(COUNTIF(Config!$A$10:$A$13,"&lt;="&amp;J377)=0,"Antes da régua",INDEX(Config!$C$10:$C$13,COUNTIF(Config!$A$10:$A$13,"&lt;="&amp;J377))))</f>
        <v/>
      </c>
      <c r="M377" s="23">
        <f>IF(I377&lt;&gt;"Vencida","",IF(COUNTIF(Config!$A$10:$A$13,"&lt;="&amp;J377)=0,"Aguardar: ainda não chegou ao primeiro passo da régua.",INDEX(Config!$B$10:$B$13,COUNTIF(Config!$A$10:$A$13,"&lt;="&amp;J377))))</f>
        <v/>
      </c>
      <c r="N377" s="39">
        <f>IF(I377="Vencida",F377*J377+ROW()/100000,0)</f>
        <v>0</v>
      </c>
      <c r="O377" s="39">
        <f>IF(AND(I377="A vencer",K377&lt;=Config!$B$7),100000-K377-ROW()/100000,0)</f>
        <v>0</v>
      </c>
    </row>
    <row r="378">
      <c r="A378" s="33" t="n"/>
      <c r="B378" s="33" t="n"/>
      <c r="C378" s="37" t="n"/>
      <c r="D378" s="35" t="n"/>
      <c r="E378" s="37" t="n"/>
      <c r="F378" s="38" t="n"/>
      <c r="G378" s="35" t="n"/>
      <c r="H378" s="37" t="n"/>
      <c r="I378" s="24">
        <f>IF(A378="","",IF(G378="Sim","Paga",IF(E378="","Sem vencimento",IF(E378&lt;Config!$B$5,"Vencida","A vencer"))))</f>
        <v/>
      </c>
      <c r="J378" s="30">
        <f>IF(I378="Vencida",Config!$B$5-E378,"")</f>
        <v/>
      </c>
      <c r="K378" s="30">
        <f>IF(I378="A vencer",E378-Config!$B$5,"")</f>
        <v/>
      </c>
      <c r="L378" s="24">
        <f>IF(I378&lt;&gt;"Vencida","",IF(COUNTIF(Config!$A$10:$A$13,"&lt;="&amp;J378)=0,"Antes da régua",INDEX(Config!$C$10:$C$13,COUNTIF(Config!$A$10:$A$13,"&lt;="&amp;J378))))</f>
        <v/>
      </c>
      <c r="M378" s="23">
        <f>IF(I378&lt;&gt;"Vencida","",IF(COUNTIF(Config!$A$10:$A$13,"&lt;="&amp;J378)=0,"Aguardar: ainda não chegou ao primeiro passo da régua.",INDEX(Config!$B$10:$B$13,COUNTIF(Config!$A$10:$A$13,"&lt;="&amp;J378))))</f>
        <v/>
      </c>
      <c r="N378" s="39">
        <f>IF(I378="Vencida",F378*J378+ROW()/100000,0)</f>
        <v>0</v>
      </c>
      <c r="O378" s="39">
        <f>IF(AND(I378="A vencer",K378&lt;=Config!$B$7),100000-K378-ROW()/100000,0)</f>
        <v>0</v>
      </c>
    </row>
    <row r="379">
      <c r="A379" s="33" t="n"/>
      <c r="B379" s="33" t="n"/>
      <c r="C379" s="37" t="n"/>
      <c r="D379" s="35" t="n"/>
      <c r="E379" s="37" t="n"/>
      <c r="F379" s="38" t="n"/>
      <c r="G379" s="35" t="n"/>
      <c r="H379" s="37" t="n"/>
      <c r="I379" s="24">
        <f>IF(A379="","",IF(G379="Sim","Paga",IF(E379="","Sem vencimento",IF(E379&lt;Config!$B$5,"Vencida","A vencer"))))</f>
        <v/>
      </c>
      <c r="J379" s="30">
        <f>IF(I379="Vencida",Config!$B$5-E379,"")</f>
        <v/>
      </c>
      <c r="K379" s="30">
        <f>IF(I379="A vencer",E379-Config!$B$5,"")</f>
        <v/>
      </c>
      <c r="L379" s="24">
        <f>IF(I379&lt;&gt;"Vencida","",IF(COUNTIF(Config!$A$10:$A$13,"&lt;="&amp;J379)=0,"Antes da régua",INDEX(Config!$C$10:$C$13,COUNTIF(Config!$A$10:$A$13,"&lt;="&amp;J379))))</f>
        <v/>
      </c>
      <c r="M379" s="23">
        <f>IF(I379&lt;&gt;"Vencida","",IF(COUNTIF(Config!$A$10:$A$13,"&lt;="&amp;J379)=0,"Aguardar: ainda não chegou ao primeiro passo da régua.",INDEX(Config!$B$10:$B$13,COUNTIF(Config!$A$10:$A$13,"&lt;="&amp;J379))))</f>
        <v/>
      </c>
      <c r="N379" s="39">
        <f>IF(I379="Vencida",F379*J379+ROW()/100000,0)</f>
        <v>0</v>
      </c>
      <c r="O379" s="39">
        <f>IF(AND(I379="A vencer",K379&lt;=Config!$B$7),100000-K379-ROW()/100000,0)</f>
        <v>0</v>
      </c>
    </row>
    <row r="380">
      <c r="A380" s="33" t="n"/>
      <c r="B380" s="33" t="n"/>
      <c r="C380" s="37" t="n"/>
      <c r="D380" s="35" t="n"/>
      <c r="E380" s="37" t="n"/>
      <c r="F380" s="38" t="n"/>
      <c r="G380" s="35" t="n"/>
      <c r="H380" s="37" t="n"/>
      <c r="I380" s="24">
        <f>IF(A380="","",IF(G380="Sim","Paga",IF(E380="","Sem vencimento",IF(E380&lt;Config!$B$5,"Vencida","A vencer"))))</f>
        <v/>
      </c>
      <c r="J380" s="30">
        <f>IF(I380="Vencida",Config!$B$5-E380,"")</f>
        <v/>
      </c>
      <c r="K380" s="30">
        <f>IF(I380="A vencer",E380-Config!$B$5,"")</f>
        <v/>
      </c>
      <c r="L380" s="24">
        <f>IF(I380&lt;&gt;"Vencida","",IF(COUNTIF(Config!$A$10:$A$13,"&lt;="&amp;J380)=0,"Antes da régua",INDEX(Config!$C$10:$C$13,COUNTIF(Config!$A$10:$A$13,"&lt;="&amp;J380))))</f>
        <v/>
      </c>
      <c r="M380" s="23">
        <f>IF(I380&lt;&gt;"Vencida","",IF(COUNTIF(Config!$A$10:$A$13,"&lt;="&amp;J380)=0,"Aguardar: ainda não chegou ao primeiro passo da régua.",INDEX(Config!$B$10:$B$13,COUNTIF(Config!$A$10:$A$13,"&lt;="&amp;J380))))</f>
        <v/>
      </c>
      <c r="N380" s="39">
        <f>IF(I380="Vencida",F380*J380+ROW()/100000,0)</f>
        <v>0</v>
      </c>
      <c r="O380" s="39">
        <f>IF(AND(I380="A vencer",K380&lt;=Config!$B$7),100000-K380-ROW()/100000,0)</f>
        <v>0</v>
      </c>
    </row>
    <row r="381">
      <c r="A381" s="33" t="n"/>
      <c r="B381" s="33" t="n"/>
      <c r="C381" s="37" t="n"/>
      <c r="D381" s="35" t="n"/>
      <c r="E381" s="37" t="n"/>
      <c r="F381" s="38" t="n"/>
      <c r="G381" s="35" t="n"/>
      <c r="H381" s="37" t="n"/>
      <c r="I381" s="24">
        <f>IF(A381="","",IF(G381="Sim","Paga",IF(E381="","Sem vencimento",IF(E381&lt;Config!$B$5,"Vencida","A vencer"))))</f>
        <v/>
      </c>
      <c r="J381" s="30">
        <f>IF(I381="Vencida",Config!$B$5-E381,"")</f>
        <v/>
      </c>
      <c r="K381" s="30">
        <f>IF(I381="A vencer",E381-Config!$B$5,"")</f>
        <v/>
      </c>
      <c r="L381" s="24">
        <f>IF(I381&lt;&gt;"Vencida","",IF(COUNTIF(Config!$A$10:$A$13,"&lt;="&amp;J381)=0,"Antes da régua",INDEX(Config!$C$10:$C$13,COUNTIF(Config!$A$10:$A$13,"&lt;="&amp;J381))))</f>
        <v/>
      </c>
      <c r="M381" s="23">
        <f>IF(I381&lt;&gt;"Vencida","",IF(COUNTIF(Config!$A$10:$A$13,"&lt;="&amp;J381)=0,"Aguardar: ainda não chegou ao primeiro passo da régua.",INDEX(Config!$B$10:$B$13,COUNTIF(Config!$A$10:$A$13,"&lt;="&amp;J381))))</f>
        <v/>
      </c>
      <c r="N381" s="39">
        <f>IF(I381="Vencida",F381*J381+ROW()/100000,0)</f>
        <v>0</v>
      </c>
      <c r="O381" s="39">
        <f>IF(AND(I381="A vencer",K381&lt;=Config!$B$7),100000-K381-ROW()/100000,0)</f>
        <v>0</v>
      </c>
    </row>
    <row r="382">
      <c r="A382" s="33" t="n"/>
      <c r="B382" s="33" t="n"/>
      <c r="C382" s="37" t="n"/>
      <c r="D382" s="35" t="n"/>
      <c r="E382" s="37" t="n"/>
      <c r="F382" s="38" t="n"/>
      <c r="G382" s="35" t="n"/>
      <c r="H382" s="37" t="n"/>
      <c r="I382" s="24">
        <f>IF(A382="","",IF(G382="Sim","Paga",IF(E382="","Sem vencimento",IF(E382&lt;Config!$B$5,"Vencida","A vencer"))))</f>
        <v/>
      </c>
      <c r="J382" s="30">
        <f>IF(I382="Vencida",Config!$B$5-E382,"")</f>
        <v/>
      </c>
      <c r="K382" s="30">
        <f>IF(I382="A vencer",E382-Config!$B$5,"")</f>
        <v/>
      </c>
      <c r="L382" s="24">
        <f>IF(I382&lt;&gt;"Vencida","",IF(COUNTIF(Config!$A$10:$A$13,"&lt;="&amp;J382)=0,"Antes da régua",INDEX(Config!$C$10:$C$13,COUNTIF(Config!$A$10:$A$13,"&lt;="&amp;J382))))</f>
        <v/>
      </c>
      <c r="M382" s="23">
        <f>IF(I382&lt;&gt;"Vencida","",IF(COUNTIF(Config!$A$10:$A$13,"&lt;="&amp;J382)=0,"Aguardar: ainda não chegou ao primeiro passo da régua.",INDEX(Config!$B$10:$B$13,COUNTIF(Config!$A$10:$A$13,"&lt;="&amp;J382))))</f>
        <v/>
      </c>
      <c r="N382" s="39">
        <f>IF(I382="Vencida",F382*J382+ROW()/100000,0)</f>
        <v>0</v>
      </c>
      <c r="O382" s="39">
        <f>IF(AND(I382="A vencer",K382&lt;=Config!$B$7),100000-K382-ROW()/100000,0)</f>
        <v>0</v>
      </c>
    </row>
    <row r="383">
      <c r="A383" s="33" t="n"/>
      <c r="B383" s="33" t="n"/>
      <c r="C383" s="37" t="n"/>
      <c r="D383" s="35" t="n"/>
      <c r="E383" s="37" t="n"/>
      <c r="F383" s="38" t="n"/>
      <c r="G383" s="35" t="n"/>
      <c r="H383" s="37" t="n"/>
      <c r="I383" s="24">
        <f>IF(A383="","",IF(G383="Sim","Paga",IF(E383="","Sem vencimento",IF(E383&lt;Config!$B$5,"Vencida","A vencer"))))</f>
        <v/>
      </c>
      <c r="J383" s="30">
        <f>IF(I383="Vencida",Config!$B$5-E383,"")</f>
        <v/>
      </c>
      <c r="K383" s="30">
        <f>IF(I383="A vencer",E383-Config!$B$5,"")</f>
        <v/>
      </c>
      <c r="L383" s="24">
        <f>IF(I383&lt;&gt;"Vencida","",IF(COUNTIF(Config!$A$10:$A$13,"&lt;="&amp;J383)=0,"Antes da régua",INDEX(Config!$C$10:$C$13,COUNTIF(Config!$A$10:$A$13,"&lt;="&amp;J383))))</f>
        <v/>
      </c>
      <c r="M383" s="23">
        <f>IF(I383&lt;&gt;"Vencida","",IF(COUNTIF(Config!$A$10:$A$13,"&lt;="&amp;J383)=0,"Aguardar: ainda não chegou ao primeiro passo da régua.",INDEX(Config!$B$10:$B$13,COUNTIF(Config!$A$10:$A$13,"&lt;="&amp;J383))))</f>
        <v/>
      </c>
      <c r="N383" s="39">
        <f>IF(I383="Vencida",F383*J383+ROW()/100000,0)</f>
        <v>0</v>
      </c>
      <c r="O383" s="39">
        <f>IF(AND(I383="A vencer",K383&lt;=Config!$B$7),100000-K383-ROW()/100000,0)</f>
        <v>0</v>
      </c>
    </row>
    <row r="384">
      <c r="A384" s="33" t="n"/>
      <c r="B384" s="33" t="n"/>
      <c r="C384" s="37" t="n"/>
      <c r="D384" s="35" t="n"/>
      <c r="E384" s="37" t="n"/>
      <c r="F384" s="38" t="n"/>
      <c r="G384" s="35" t="n"/>
      <c r="H384" s="37" t="n"/>
      <c r="I384" s="24">
        <f>IF(A384="","",IF(G384="Sim","Paga",IF(E384="","Sem vencimento",IF(E384&lt;Config!$B$5,"Vencida","A vencer"))))</f>
        <v/>
      </c>
      <c r="J384" s="30">
        <f>IF(I384="Vencida",Config!$B$5-E384,"")</f>
        <v/>
      </c>
      <c r="K384" s="30">
        <f>IF(I384="A vencer",E384-Config!$B$5,"")</f>
        <v/>
      </c>
      <c r="L384" s="24">
        <f>IF(I384&lt;&gt;"Vencida","",IF(COUNTIF(Config!$A$10:$A$13,"&lt;="&amp;J384)=0,"Antes da régua",INDEX(Config!$C$10:$C$13,COUNTIF(Config!$A$10:$A$13,"&lt;="&amp;J384))))</f>
        <v/>
      </c>
      <c r="M384" s="23">
        <f>IF(I384&lt;&gt;"Vencida","",IF(COUNTIF(Config!$A$10:$A$13,"&lt;="&amp;J384)=0,"Aguardar: ainda não chegou ao primeiro passo da régua.",INDEX(Config!$B$10:$B$13,COUNTIF(Config!$A$10:$A$13,"&lt;="&amp;J384))))</f>
        <v/>
      </c>
      <c r="N384" s="39">
        <f>IF(I384="Vencida",F384*J384+ROW()/100000,0)</f>
        <v>0</v>
      </c>
      <c r="O384" s="39">
        <f>IF(AND(I384="A vencer",K384&lt;=Config!$B$7),100000-K384-ROW()/100000,0)</f>
        <v>0</v>
      </c>
    </row>
    <row r="385">
      <c r="A385" s="33" t="n"/>
      <c r="B385" s="33" t="n"/>
      <c r="C385" s="37" t="n"/>
      <c r="D385" s="35" t="n"/>
      <c r="E385" s="37" t="n"/>
      <c r="F385" s="38" t="n"/>
      <c r="G385" s="35" t="n"/>
      <c r="H385" s="37" t="n"/>
      <c r="I385" s="24">
        <f>IF(A385="","",IF(G385="Sim","Paga",IF(E385="","Sem vencimento",IF(E385&lt;Config!$B$5,"Vencida","A vencer"))))</f>
        <v/>
      </c>
      <c r="J385" s="30">
        <f>IF(I385="Vencida",Config!$B$5-E385,"")</f>
        <v/>
      </c>
      <c r="K385" s="30">
        <f>IF(I385="A vencer",E385-Config!$B$5,"")</f>
        <v/>
      </c>
      <c r="L385" s="24">
        <f>IF(I385&lt;&gt;"Vencida","",IF(COUNTIF(Config!$A$10:$A$13,"&lt;="&amp;J385)=0,"Antes da régua",INDEX(Config!$C$10:$C$13,COUNTIF(Config!$A$10:$A$13,"&lt;="&amp;J385))))</f>
        <v/>
      </c>
      <c r="M385" s="23">
        <f>IF(I385&lt;&gt;"Vencida","",IF(COUNTIF(Config!$A$10:$A$13,"&lt;="&amp;J385)=0,"Aguardar: ainda não chegou ao primeiro passo da régua.",INDEX(Config!$B$10:$B$13,COUNTIF(Config!$A$10:$A$13,"&lt;="&amp;J385))))</f>
        <v/>
      </c>
      <c r="N385" s="39">
        <f>IF(I385="Vencida",F385*J385+ROW()/100000,0)</f>
        <v>0</v>
      </c>
      <c r="O385" s="39">
        <f>IF(AND(I385="A vencer",K385&lt;=Config!$B$7),100000-K385-ROW()/100000,0)</f>
        <v>0</v>
      </c>
    </row>
    <row r="386">
      <c r="A386" s="33" t="n"/>
      <c r="B386" s="33" t="n"/>
      <c r="C386" s="37" t="n"/>
      <c r="D386" s="35" t="n"/>
      <c r="E386" s="37" t="n"/>
      <c r="F386" s="38" t="n"/>
      <c r="G386" s="35" t="n"/>
      <c r="H386" s="37" t="n"/>
      <c r="I386" s="24">
        <f>IF(A386="","",IF(G386="Sim","Paga",IF(E386="","Sem vencimento",IF(E386&lt;Config!$B$5,"Vencida","A vencer"))))</f>
        <v/>
      </c>
      <c r="J386" s="30">
        <f>IF(I386="Vencida",Config!$B$5-E386,"")</f>
        <v/>
      </c>
      <c r="K386" s="30">
        <f>IF(I386="A vencer",E386-Config!$B$5,"")</f>
        <v/>
      </c>
      <c r="L386" s="24">
        <f>IF(I386&lt;&gt;"Vencida","",IF(COUNTIF(Config!$A$10:$A$13,"&lt;="&amp;J386)=0,"Antes da régua",INDEX(Config!$C$10:$C$13,COUNTIF(Config!$A$10:$A$13,"&lt;="&amp;J386))))</f>
        <v/>
      </c>
      <c r="M386" s="23">
        <f>IF(I386&lt;&gt;"Vencida","",IF(COUNTIF(Config!$A$10:$A$13,"&lt;="&amp;J386)=0,"Aguardar: ainda não chegou ao primeiro passo da régua.",INDEX(Config!$B$10:$B$13,COUNTIF(Config!$A$10:$A$13,"&lt;="&amp;J386))))</f>
        <v/>
      </c>
      <c r="N386" s="39">
        <f>IF(I386="Vencida",F386*J386+ROW()/100000,0)</f>
        <v>0</v>
      </c>
      <c r="O386" s="39">
        <f>IF(AND(I386="A vencer",K386&lt;=Config!$B$7),100000-K386-ROW()/100000,0)</f>
        <v>0</v>
      </c>
    </row>
    <row r="387">
      <c r="A387" s="33" t="n"/>
      <c r="B387" s="33" t="n"/>
      <c r="C387" s="37" t="n"/>
      <c r="D387" s="35" t="n"/>
      <c r="E387" s="37" t="n"/>
      <c r="F387" s="38" t="n"/>
      <c r="G387" s="35" t="n"/>
      <c r="H387" s="37" t="n"/>
      <c r="I387" s="24">
        <f>IF(A387="","",IF(G387="Sim","Paga",IF(E387="","Sem vencimento",IF(E387&lt;Config!$B$5,"Vencida","A vencer"))))</f>
        <v/>
      </c>
      <c r="J387" s="30">
        <f>IF(I387="Vencida",Config!$B$5-E387,"")</f>
        <v/>
      </c>
      <c r="K387" s="30">
        <f>IF(I387="A vencer",E387-Config!$B$5,"")</f>
        <v/>
      </c>
      <c r="L387" s="24">
        <f>IF(I387&lt;&gt;"Vencida","",IF(COUNTIF(Config!$A$10:$A$13,"&lt;="&amp;J387)=0,"Antes da régua",INDEX(Config!$C$10:$C$13,COUNTIF(Config!$A$10:$A$13,"&lt;="&amp;J387))))</f>
        <v/>
      </c>
      <c r="M387" s="23">
        <f>IF(I387&lt;&gt;"Vencida","",IF(COUNTIF(Config!$A$10:$A$13,"&lt;="&amp;J387)=0,"Aguardar: ainda não chegou ao primeiro passo da régua.",INDEX(Config!$B$10:$B$13,COUNTIF(Config!$A$10:$A$13,"&lt;="&amp;J387))))</f>
        <v/>
      </c>
      <c r="N387" s="39">
        <f>IF(I387="Vencida",F387*J387+ROW()/100000,0)</f>
        <v>0</v>
      </c>
      <c r="O387" s="39">
        <f>IF(AND(I387="A vencer",K387&lt;=Config!$B$7),100000-K387-ROW()/100000,0)</f>
        <v>0</v>
      </c>
    </row>
    <row r="388">
      <c r="A388" s="33" t="n"/>
      <c r="B388" s="33" t="n"/>
      <c r="C388" s="37" t="n"/>
      <c r="D388" s="35" t="n"/>
      <c r="E388" s="37" t="n"/>
      <c r="F388" s="38" t="n"/>
      <c r="G388" s="35" t="n"/>
      <c r="H388" s="37" t="n"/>
      <c r="I388" s="24">
        <f>IF(A388="","",IF(G388="Sim","Paga",IF(E388="","Sem vencimento",IF(E388&lt;Config!$B$5,"Vencida","A vencer"))))</f>
        <v/>
      </c>
      <c r="J388" s="30">
        <f>IF(I388="Vencida",Config!$B$5-E388,"")</f>
        <v/>
      </c>
      <c r="K388" s="30">
        <f>IF(I388="A vencer",E388-Config!$B$5,"")</f>
        <v/>
      </c>
      <c r="L388" s="24">
        <f>IF(I388&lt;&gt;"Vencida","",IF(COUNTIF(Config!$A$10:$A$13,"&lt;="&amp;J388)=0,"Antes da régua",INDEX(Config!$C$10:$C$13,COUNTIF(Config!$A$10:$A$13,"&lt;="&amp;J388))))</f>
        <v/>
      </c>
      <c r="M388" s="23">
        <f>IF(I388&lt;&gt;"Vencida","",IF(COUNTIF(Config!$A$10:$A$13,"&lt;="&amp;J388)=0,"Aguardar: ainda não chegou ao primeiro passo da régua.",INDEX(Config!$B$10:$B$13,COUNTIF(Config!$A$10:$A$13,"&lt;="&amp;J388))))</f>
        <v/>
      </c>
      <c r="N388" s="39">
        <f>IF(I388="Vencida",F388*J388+ROW()/100000,0)</f>
        <v>0</v>
      </c>
      <c r="O388" s="39">
        <f>IF(AND(I388="A vencer",K388&lt;=Config!$B$7),100000-K388-ROW()/100000,0)</f>
        <v>0</v>
      </c>
    </row>
    <row r="389">
      <c r="A389" s="33" t="n"/>
      <c r="B389" s="33" t="n"/>
      <c r="C389" s="37" t="n"/>
      <c r="D389" s="35" t="n"/>
      <c r="E389" s="37" t="n"/>
      <c r="F389" s="38" t="n"/>
      <c r="G389" s="35" t="n"/>
      <c r="H389" s="37" t="n"/>
      <c r="I389" s="24">
        <f>IF(A389="","",IF(G389="Sim","Paga",IF(E389="","Sem vencimento",IF(E389&lt;Config!$B$5,"Vencida","A vencer"))))</f>
        <v/>
      </c>
      <c r="J389" s="30">
        <f>IF(I389="Vencida",Config!$B$5-E389,"")</f>
        <v/>
      </c>
      <c r="K389" s="30">
        <f>IF(I389="A vencer",E389-Config!$B$5,"")</f>
        <v/>
      </c>
      <c r="L389" s="24">
        <f>IF(I389&lt;&gt;"Vencida","",IF(COUNTIF(Config!$A$10:$A$13,"&lt;="&amp;J389)=0,"Antes da régua",INDEX(Config!$C$10:$C$13,COUNTIF(Config!$A$10:$A$13,"&lt;="&amp;J389))))</f>
        <v/>
      </c>
      <c r="M389" s="23">
        <f>IF(I389&lt;&gt;"Vencida","",IF(COUNTIF(Config!$A$10:$A$13,"&lt;="&amp;J389)=0,"Aguardar: ainda não chegou ao primeiro passo da régua.",INDEX(Config!$B$10:$B$13,COUNTIF(Config!$A$10:$A$13,"&lt;="&amp;J389))))</f>
        <v/>
      </c>
      <c r="N389" s="39">
        <f>IF(I389="Vencida",F389*J389+ROW()/100000,0)</f>
        <v>0</v>
      </c>
      <c r="O389" s="39">
        <f>IF(AND(I389="A vencer",K389&lt;=Config!$B$7),100000-K389-ROW()/100000,0)</f>
        <v>0</v>
      </c>
    </row>
    <row r="390">
      <c r="A390" s="33" t="n"/>
      <c r="B390" s="33" t="n"/>
      <c r="C390" s="37" t="n"/>
      <c r="D390" s="35" t="n"/>
      <c r="E390" s="37" t="n"/>
      <c r="F390" s="38" t="n"/>
      <c r="G390" s="35" t="n"/>
      <c r="H390" s="37" t="n"/>
      <c r="I390" s="24">
        <f>IF(A390="","",IF(G390="Sim","Paga",IF(E390="","Sem vencimento",IF(E390&lt;Config!$B$5,"Vencida","A vencer"))))</f>
        <v/>
      </c>
      <c r="J390" s="30">
        <f>IF(I390="Vencida",Config!$B$5-E390,"")</f>
        <v/>
      </c>
      <c r="K390" s="30">
        <f>IF(I390="A vencer",E390-Config!$B$5,"")</f>
        <v/>
      </c>
      <c r="L390" s="24">
        <f>IF(I390&lt;&gt;"Vencida","",IF(COUNTIF(Config!$A$10:$A$13,"&lt;="&amp;J390)=0,"Antes da régua",INDEX(Config!$C$10:$C$13,COUNTIF(Config!$A$10:$A$13,"&lt;="&amp;J390))))</f>
        <v/>
      </c>
      <c r="M390" s="23">
        <f>IF(I390&lt;&gt;"Vencida","",IF(COUNTIF(Config!$A$10:$A$13,"&lt;="&amp;J390)=0,"Aguardar: ainda não chegou ao primeiro passo da régua.",INDEX(Config!$B$10:$B$13,COUNTIF(Config!$A$10:$A$13,"&lt;="&amp;J390))))</f>
        <v/>
      </c>
      <c r="N390" s="39">
        <f>IF(I390="Vencida",F390*J390+ROW()/100000,0)</f>
        <v>0</v>
      </c>
      <c r="O390" s="39">
        <f>IF(AND(I390="A vencer",K390&lt;=Config!$B$7),100000-K390-ROW()/100000,0)</f>
        <v>0</v>
      </c>
    </row>
    <row r="391">
      <c r="A391" s="33" t="n"/>
      <c r="B391" s="33" t="n"/>
      <c r="C391" s="37" t="n"/>
      <c r="D391" s="35" t="n"/>
      <c r="E391" s="37" t="n"/>
      <c r="F391" s="38" t="n"/>
      <c r="G391" s="35" t="n"/>
      <c r="H391" s="37" t="n"/>
      <c r="I391" s="24">
        <f>IF(A391="","",IF(G391="Sim","Paga",IF(E391="","Sem vencimento",IF(E391&lt;Config!$B$5,"Vencida","A vencer"))))</f>
        <v/>
      </c>
      <c r="J391" s="30">
        <f>IF(I391="Vencida",Config!$B$5-E391,"")</f>
        <v/>
      </c>
      <c r="K391" s="30">
        <f>IF(I391="A vencer",E391-Config!$B$5,"")</f>
        <v/>
      </c>
      <c r="L391" s="24">
        <f>IF(I391&lt;&gt;"Vencida","",IF(COUNTIF(Config!$A$10:$A$13,"&lt;="&amp;J391)=0,"Antes da régua",INDEX(Config!$C$10:$C$13,COUNTIF(Config!$A$10:$A$13,"&lt;="&amp;J391))))</f>
        <v/>
      </c>
      <c r="M391" s="23">
        <f>IF(I391&lt;&gt;"Vencida","",IF(COUNTIF(Config!$A$10:$A$13,"&lt;="&amp;J391)=0,"Aguardar: ainda não chegou ao primeiro passo da régua.",INDEX(Config!$B$10:$B$13,COUNTIF(Config!$A$10:$A$13,"&lt;="&amp;J391))))</f>
        <v/>
      </c>
      <c r="N391" s="39">
        <f>IF(I391="Vencida",F391*J391+ROW()/100000,0)</f>
        <v>0</v>
      </c>
      <c r="O391" s="39">
        <f>IF(AND(I391="A vencer",K391&lt;=Config!$B$7),100000-K391-ROW()/100000,0)</f>
        <v>0</v>
      </c>
    </row>
    <row r="392">
      <c r="A392" s="33" t="n"/>
      <c r="B392" s="33" t="n"/>
      <c r="C392" s="37" t="n"/>
      <c r="D392" s="35" t="n"/>
      <c r="E392" s="37" t="n"/>
      <c r="F392" s="38" t="n"/>
      <c r="G392" s="35" t="n"/>
      <c r="H392" s="37" t="n"/>
      <c r="I392" s="24">
        <f>IF(A392="","",IF(G392="Sim","Paga",IF(E392="","Sem vencimento",IF(E392&lt;Config!$B$5,"Vencida","A vencer"))))</f>
        <v/>
      </c>
      <c r="J392" s="30">
        <f>IF(I392="Vencida",Config!$B$5-E392,"")</f>
        <v/>
      </c>
      <c r="K392" s="30">
        <f>IF(I392="A vencer",E392-Config!$B$5,"")</f>
        <v/>
      </c>
      <c r="L392" s="24">
        <f>IF(I392&lt;&gt;"Vencida","",IF(COUNTIF(Config!$A$10:$A$13,"&lt;="&amp;J392)=0,"Antes da régua",INDEX(Config!$C$10:$C$13,COUNTIF(Config!$A$10:$A$13,"&lt;="&amp;J392))))</f>
        <v/>
      </c>
      <c r="M392" s="23">
        <f>IF(I392&lt;&gt;"Vencida","",IF(COUNTIF(Config!$A$10:$A$13,"&lt;="&amp;J392)=0,"Aguardar: ainda não chegou ao primeiro passo da régua.",INDEX(Config!$B$10:$B$13,COUNTIF(Config!$A$10:$A$13,"&lt;="&amp;J392))))</f>
        <v/>
      </c>
      <c r="N392" s="39">
        <f>IF(I392="Vencida",F392*J392+ROW()/100000,0)</f>
        <v>0</v>
      </c>
      <c r="O392" s="39">
        <f>IF(AND(I392="A vencer",K392&lt;=Config!$B$7),100000-K392-ROW()/100000,0)</f>
        <v>0</v>
      </c>
    </row>
    <row r="393">
      <c r="A393" s="33" t="n"/>
      <c r="B393" s="33" t="n"/>
      <c r="C393" s="37" t="n"/>
      <c r="D393" s="35" t="n"/>
      <c r="E393" s="37" t="n"/>
      <c r="F393" s="38" t="n"/>
      <c r="G393" s="35" t="n"/>
      <c r="H393" s="37" t="n"/>
      <c r="I393" s="24">
        <f>IF(A393="","",IF(G393="Sim","Paga",IF(E393="","Sem vencimento",IF(E393&lt;Config!$B$5,"Vencida","A vencer"))))</f>
        <v/>
      </c>
      <c r="J393" s="30">
        <f>IF(I393="Vencida",Config!$B$5-E393,"")</f>
        <v/>
      </c>
      <c r="K393" s="30">
        <f>IF(I393="A vencer",E393-Config!$B$5,"")</f>
        <v/>
      </c>
      <c r="L393" s="24">
        <f>IF(I393&lt;&gt;"Vencida","",IF(COUNTIF(Config!$A$10:$A$13,"&lt;="&amp;J393)=0,"Antes da régua",INDEX(Config!$C$10:$C$13,COUNTIF(Config!$A$10:$A$13,"&lt;="&amp;J393))))</f>
        <v/>
      </c>
      <c r="M393" s="23">
        <f>IF(I393&lt;&gt;"Vencida","",IF(COUNTIF(Config!$A$10:$A$13,"&lt;="&amp;J393)=0,"Aguardar: ainda não chegou ao primeiro passo da régua.",INDEX(Config!$B$10:$B$13,COUNTIF(Config!$A$10:$A$13,"&lt;="&amp;J393))))</f>
        <v/>
      </c>
      <c r="N393" s="39">
        <f>IF(I393="Vencida",F393*J393+ROW()/100000,0)</f>
        <v>0</v>
      </c>
      <c r="O393" s="39">
        <f>IF(AND(I393="A vencer",K393&lt;=Config!$B$7),100000-K393-ROW()/100000,0)</f>
        <v>0</v>
      </c>
    </row>
    <row r="394">
      <c r="A394" s="33" t="n"/>
      <c r="B394" s="33" t="n"/>
      <c r="C394" s="37" t="n"/>
      <c r="D394" s="35" t="n"/>
      <c r="E394" s="37" t="n"/>
      <c r="F394" s="38" t="n"/>
      <c r="G394" s="35" t="n"/>
      <c r="H394" s="37" t="n"/>
      <c r="I394" s="24">
        <f>IF(A394="","",IF(G394="Sim","Paga",IF(E394="","Sem vencimento",IF(E394&lt;Config!$B$5,"Vencida","A vencer"))))</f>
        <v/>
      </c>
      <c r="J394" s="30">
        <f>IF(I394="Vencida",Config!$B$5-E394,"")</f>
        <v/>
      </c>
      <c r="K394" s="30">
        <f>IF(I394="A vencer",E394-Config!$B$5,"")</f>
        <v/>
      </c>
      <c r="L394" s="24">
        <f>IF(I394&lt;&gt;"Vencida","",IF(COUNTIF(Config!$A$10:$A$13,"&lt;="&amp;J394)=0,"Antes da régua",INDEX(Config!$C$10:$C$13,COUNTIF(Config!$A$10:$A$13,"&lt;="&amp;J394))))</f>
        <v/>
      </c>
      <c r="M394" s="23">
        <f>IF(I394&lt;&gt;"Vencida","",IF(COUNTIF(Config!$A$10:$A$13,"&lt;="&amp;J394)=0,"Aguardar: ainda não chegou ao primeiro passo da régua.",INDEX(Config!$B$10:$B$13,COUNTIF(Config!$A$10:$A$13,"&lt;="&amp;J394))))</f>
        <v/>
      </c>
      <c r="N394" s="39">
        <f>IF(I394="Vencida",F394*J394+ROW()/100000,0)</f>
        <v>0</v>
      </c>
      <c r="O394" s="39">
        <f>IF(AND(I394="A vencer",K394&lt;=Config!$B$7),100000-K394-ROW()/100000,0)</f>
        <v>0</v>
      </c>
    </row>
    <row r="395">
      <c r="A395" s="33" t="n"/>
      <c r="B395" s="33" t="n"/>
      <c r="C395" s="37" t="n"/>
      <c r="D395" s="35" t="n"/>
      <c r="E395" s="37" t="n"/>
      <c r="F395" s="38" t="n"/>
      <c r="G395" s="35" t="n"/>
      <c r="H395" s="37" t="n"/>
      <c r="I395" s="24">
        <f>IF(A395="","",IF(G395="Sim","Paga",IF(E395="","Sem vencimento",IF(E395&lt;Config!$B$5,"Vencida","A vencer"))))</f>
        <v/>
      </c>
      <c r="J395" s="30">
        <f>IF(I395="Vencida",Config!$B$5-E395,"")</f>
        <v/>
      </c>
      <c r="K395" s="30">
        <f>IF(I395="A vencer",E395-Config!$B$5,"")</f>
        <v/>
      </c>
      <c r="L395" s="24">
        <f>IF(I395&lt;&gt;"Vencida","",IF(COUNTIF(Config!$A$10:$A$13,"&lt;="&amp;J395)=0,"Antes da régua",INDEX(Config!$C$10:$C$13,COUNTIF(Config!$A$10:$A$13,"&lt;="&amp;J395))))</f>
        <v/>
      </c>
      <c r="M395" s="23">
        <f>IF(I395&lt;&gt;"Vencida","",IF(COUNTIF(Config!$A$10:$A$13,"&lt;="&amp;J395)=0,"Aguardar: ainda não chegou ao primeiro passo da régua.",INDEX(Config!$B$10:$B$13,COUNTIF(Config!$A$10:$A$13,"&lt;="&amp;J395))))</f>
        <v/>
      </c>
      <c r="N395" s="39">
        <f>IF(I395="Vencida",F395*J395+ROW()/100000,0)</f>
        <v>0</v>
      </c>
      <c r="O395" s="39">
        <f>IF(AND(I395="A vencer",K395&lt;=Config!$B$7),100000-K395-ROW()/100000,0)</f>
        <v>0</v>
      </c>
    </row>
    <row r="396">
      <c r="A396" s="33" t="n"/>
      <c r="B396" s="33" t="n"/>
      <c r="C396" s="37" t="n"/>
      <c r="D396" s="35" t="n"/>
      <c r="E396" s="37" t="n"/>
      <c r="F396" s="38" t="n"/>
      <c r="G396" s="35" t="n"/>
      <c r="H396" s="37" t="n"/>
      <c r="I396" s="24">
        <f>IF(A396="","",IF(G396="Sim","Paga",IF(E396="","Sem vencimento",IF(E396&lt;Config!$B$5,"Vencida","A vencer"))))</f>
        <v/>
      </c>
      <c r="J396" s="30">
        <f>IF(I396="Vencida",Config!$B$5-E396,"")</f>
        <v/>
      </c>
      <c r="K396" s="30">
        <f>IF(I396="A vencer",E396-Config!$B$5,"")</f>
        <v/>
      </c>
      <c r="L396" s="24">
        <f>IF(I396&lt;&gt;"Vencida","",IF(COUNTIF(Config!$A$10:$A$13,"&lt;="&amp;J396)=0,"Antes da régua",INDEX(Config!$C$10:$C$13,COUNTIF(Config!$A$10:$A$13,"&lt;="&amp;J396))))</f>
        <v/>
      </c>
      <c r="M396" s="23">
        <f>IF(I396&lt;&gt;"Vencida","",IF(COUNTIF(Config!$A$10:$A$13,"&lt;="&amp;J396)=0,"Aguardar: ainda não chegou ao primeiro passo da régua.",INDEX(Config!$B$10:$B$13,COUNTIF(Config!$A$10:$A$13,"&lt;="&amp;J396))))</f>
        <v/>
      </c>
      <c r="N396" s="39">
        <f>IF(I396="Vencida",F396*J396+ROW()/100000,0)</f>
        <v>0</v>
      </c>
      <c r="O396" s="39">
        <f>IF(AND(I396="A vencer",K396&lt;=Config!$B$7),100000-K396-ROW()/100000,0)</f>
        <v>0</v>
      </c>
    </row>
    <row r="397">
      <c r="A397" s="33" t="n"/>
      <c r="B397" s="33" t="n"/>
      <c r="C397" s="37" t="n"/>
      <c r="D397" s="35" t="n"/>
      <c r="E397" s="37" t="n"/>
      <c r="F397" s="38" t="n"/>
      <c r="G397" s="35" t="n"/>
      <c r="H397" s="37" t="n"/>
      <c r="I397" s="24">
        <f>IF(A397="","",IF(G397="Sim","Paga",IF(E397="","Sem vencimento",IF(E397&lt;Config!$B$5,"Vencida","A vencer"))))</f>
        <v/>
      </c>
      <c r="J397" s="30">
        <f>IF(I397="Vencida",Config!$B$5-E397,"")</f>
        <v/>
      </c>
      <c r="K397" s="30">
        <f>IF(I397="A vencer",E397-Config!$B$5,"")</f>
        <v/>
      </c>
      <c r="L397" s="24">
        <f>IF(I397&lt;&gt;"Vencida","",IF(COUNTIF(Config!$A$10:$A$13,"&lt;="&amp;J397)=0,"Antes da régua",INDEX(Config!$C$10:$C$13,COUNTIF(Config!$A$10:$A$13,"&lt;="&amp;J397))))</f>
        <v/>
      </c>
      <c r="M397" s="23">
        <f>IF(I397&lt;&gt;"Vencida","",IF(COUNTIF(Config!$A$10:$A$13,"&lt;="&amp;J397)=0,"Aguardar: ainda não chegou ao primeiro passo da régua.",INDEX(Config!$B$10:$B$13,COUNTIF(Config!$A$10:$A$13,"&lt;="&amp;J397))))</f>
        <v/>
      </c>
      <c r="N397" s="39">
        <f>IF(I397="Vencida",F397*J397+ROW()/100000,0)</f>
        <v>0</v>
      </c>
      <c r="O397" s="39">
        <f>IF(AND(I397="A vencer",K397&lt;=Config!$B$7),100000-K397-ROW()/100000,0)</f>
        <v>0</v>
      </c>
    </row>
    <row r="398">
      <c r="A398" s="33" t="n"/>
      <c r="B398" s="33" t="n"/>
      <c r="C398" s="37" t="n"/>
      <c r="D398" s="35" t="n"/>
      <c r="E398" s="37" t="n"/>
      <c r="F398" s="38" t="n"/>
      <c r="G398" s="35" t="n"/>
      <c r="H398" s="37" t="n"/>
      <c r="I398" s="24">
        <f>IF(A398="","",IF(G398="Sim","Paga",IF(E398="","Sem vencimento",IF(E398&lt;Config!$B$5,"Vencida","A vencer"))))</f>
        <v/>
      </c>
      <c r="J398" s="30">
        <f>IF(I398="Vencida",Config!$B$5-E398,"")</f>
        <v/>
      </c>
      <c r="K398" s="30">
        <f>IF(I398="A vencer",E398-Config!$B$5,"")</f>
        <v/>
      </c>
      <c r="L398" s="24">
        <f>IF(I398&lt;&gt;"Vencida","",IF(COUNTIF(Config!$A$10:$A$13,"&lt;="&amp;J398)=0,"Antes da régua",INDEX(Config!$C$10:$C$13,COUNTIF(Config!$A$10:$A$13,"&lt;="&amp;J398))))</f>
        <v/>
      </c>
      <c r="M398" s="23">
        <f>IF(I398&lt;&gt;"Vencida","",IF(COUNTIF(Config!$A$10:$A$13,"&lt;="&amp;J398)=0,"Aguardar: ainda não chegou ao primeiro passo da régua.",INDEX(Config!$B$10:$B$13,COUNTIF(Config!$A$10:$A$13,"&lt;="&amp;J398))))</f>
        <v/>
      </c>
      <c r="N398" s="39">
        <f>IF(I398="Vencida",F398*J398+ROW()/100000,0)</f>
        <v>0</v>
      </c>
      <c r="O398" s="39">
        <f>IF(AND(I398="A vencer",K398&lt;=Config!$B$7),100000-K398-ROW()/100000,0)</f>
        <v>0</v>
      </c>
    </row>
    <row r="399">
      <c r="A399" s="33" t="n"/>
      <c r="B399" s="33" t="n"/>
      <c r="C399" s="37" t="n"/>
      <c r="D399" s="35" t="n"/>
      <c r="E399" s="37" t="n"/>
      <c r="F399" s="38" t="n"/>
      <c r="G399" s="35" t="n"/>
      <c r="H399" s="37" t="n"/>
      <c r="I399" s="24">
        <f>IF(A399="","",IF(G399="Sim","Paga",IF(E399="","Sem vencimento",IF(E399&lt;Config!$B$5,"Vencida","A vencer"))))</f>
        <v/>
      </c>
      <c r="J399" s="30">
        <f>IF(I399="Vencida",Config!$B$5-E399,"")</f>
        <v/>
      </c>
      <c r="K399" s="30">
        <f>IF(I399="A vencer",E399-Config!$B$5,"")</f>
        <v/>
      </c>
      <c r="L399" s="24">
        <f>IF(I399&lt;&gt;"Vencida","",IF(COUNTIF(Config!$A$10:$A$13,"&lt;="&amp;J399)=0,"Antes da régua",INDEX(Config!$C$10:$C$13,COUNTIF(Config!$A$10:$A$13,"&lt;="&amp;J399))))</f>
        <v/>
      </c>
      <c r="M399" s="23">
        <f>IF(I399&lt;&gt;"Vencida","",IF(COUNTIF(Config!$A$10:$A$13,"&lt;="&amp;J399)=0,"Aguardar: ainda não chegou ao primeiro passo da régua.",INDEX(Config!$B$10:$B$13,COUNTIF(Config!$A$10:$A$13,"&lt;="&amp;J399))))</f>
        <v/>
      </c>
      <c r="N399" s="39">
        <f>IF(I399="Vencida",F399*J399+ROW()/100000,0)</f>
        <v>0</v>
      </c>
      <c r="O399" s="39">
        <f>IF(AND(I399="A vencer",K399&lt;=Config!$B$7),100000-K399-ROW()/100000,0)</f>
        <v>0</v>
      </c>
    </row>
    <row r="400">
      <c r="A400" s="33" t="n"/>
      <c r="B400" s="33" t="n"/>
      <c r="C400" s="37" t="n"/>
      <c r="D400" s="35" t="n"/>
      <c r="E400" s="37" t="n"/>
      <c r="F400" s="38" t="n"/>
      <c r="G400" s="35" t="n"/>
      <c r="H400" s="37" t="n"/>
      <c r="I400" s="24">
        <f>IF(A400="","",IF(G400="Sim","Paga",IF(E400="","Sem vencimento",IF(E400&lt;Config!$B$5,"Vencida","A vencer"))))</f>
        <v/>
      </c>
      <c r="J400" s="30">
        <f>IF(I400="Vencida",Config!$B$5-E400,"")</f>
        <v/>
      </c>
      <c r="K400" s="30">
        <f>IF(I400="A vencer",E400-Config!$B$5,"")</f>
        <v/>
      </c>
      <c r="L400" s="24">
        <f>IF(I400&lt;&gt;"Vencida","",IF(COUNTIF(Config!$A$10:$A$13,"&lt;="&amp;J400)=0,"Antes da régua",INDEX(Config!$C$10:$C$13,COUNTIF(Config!$A$10:$A$13,"&lt;="&amp;J400))))</f>
        <v/>
      </c>
      <c r="M400" s="23">
        <f>IF(I400&lt;&gt;"Vencida","",IF(COUNTIF(Config!$A$10:$A$13,"&lt;="&amp;J400)=0,"Aguardar: ainda não chegou ao primeiro passo da régua.",INDEX(Config!$B$10:$B$13,COUNTIF(Config!$A$10:$A$13,"&lt;="&amp;J400))))</f>
        <v/>
      </c>
      <c r="N400" s="39">
        <f>IF(I400="Vencida",F400*J400+ROW()/100000,0)</f>
        <v>0</v>
      </c>
      <c r="O400" s="39">
        <f>IF(AND(I400="A vencer",K400&lt;=Config!$B$7),100000-K400-ROW()/100000,0)</f>
        <v>0</v>
      </c>
    </row>
    <row r="401">
      <c r="A401" s="33" t="n"/>
      <c r="B401" s="33" t="n"/>
      <c r="C401" s="37" t="n"/>
      <c r="D401" s="35" t="n"/>
      <c r="E401" s="37" t="n"/>
      <c r="F401" s="38" t="n"/>
      <c r="G401" s="35" t="n"/>
      <c r="H401" s="37" t="n"/>
      <c r="I401" s="24">
        <f>IF(A401="","",IF(G401="Sim","Paga",IF(E401="","Sem vencimento",IF(E401&lt;Config!$B$5,"Vencida","A vencer"))))</f>
        <v/>
      </c>
      <c r="J401" s="30">
        <f>IF(I401="Vencida",Config!$B$5-E401,"")</f>
        <v/>
      </c>
      <c r="K401" s="30">
        <f>IF(I401="A vencer",E401-Config!$B$5,"")</f>
        <v/>
      </c>
      <c r="L401" s="24">
        <f>IF(I401&lt;&gt;"Vencida","",IF(COUNTIF(Config!$A$10:$A$13,"&lt;="&amp;J401)=0,"Antes da régua",INDEX(Config!$C$10:$C$13,COUNTIF(Config!$A$10:$A$13,"&lt;="&amp;J401))))</f>
        <v/>
      </c>
      <c r="M401" s="23">
        <f>IF(I401&lt;&gt;"Vencida","",IF(COUNTIF(Config!$A$10:$A$13,"&lt;="&amp;J401)=0,"Aguardar: ainda não chegou ao primeiro passo da régua.",INDEX(Config!$B$10:$B$13,COUNTIF(Config!$A$10:$A$13,"&lt;="&amp;J401))))</f>
        <v/>
      </c>
      <c r="N401" s="39">
        <f>IF(I401="Vencida",F401*J401+ROW()/100000,0)</f>
        <v>0</v>
      </c>
      <c r="O401" s="39">
        <f>IF(AND(I401="A vencer",K401&lt;=Config!$B$7),100000-K401-ROW()/100000,0)</f>
        <v>0</v>
      </c>
    </row>
    <row r="402">
      <c r="A402" s="33" t="n"/>
      <c r="B402" s="33" t="n"/>
      <c r="C402" s="37" t="n"/>
      <c r="D402" s="35" t="n"/>
      <c r="E402" s="37" t="n"/>
      <c r="F402" s="38" t="n"/>
      <c r="G402" s="35" t="n"/>
      <c r="H402" s="37" t="n"/>
      <c r="I402" s="24">
        <f>IF(A402="","",IF(G402="Sim","Paga",IF(E402="","Sem vencimento",IF(E402&lt;Config!$B$5,"Vencida","A vencer"))))</f>
        <v/>
      </c>
      <c r="J402" s="30">
        <f>IF(I402="Vencida",Config!$B$5-E402,"")</f>
        <v/>
      </c>
      <c r="K402" s="30">
        <f>IF(I402="A vencer",E402-Config!$B$5,"")</f>
        <v/>
      </c>
      <c r="L402" s="24">
        <f>IF(I402&lt;&gt;"Vencida","",IF(COUNTIF(Config!$A$10:$A$13,"&lt;="&amp;J402)=0,"Antes da régua",INDEX(Config!$C$10:$C$13,COUNTIF(Config!$A$10:$A$13,"&lt;="&amp;J402))))</f>
        <v/>
      </c>
      <c r="M402" s="23">
        <f>IF(I402&lt;&gt;"Vencida","",IF(COUNTIF(Config!$A$10:$A$13,"&lt;="&amp;J402)=0,"Aguardar: ainda não chegou ao primeiro passo da régua.",INDEX(Config!$B$10:$B$13,COUNTIF(Config!$A$10:$A$13,"&lt;="&amp;J402))))</f>
        <v/>
      </c>
      <c r="N402" s="39">
        <f>IF(I402="Vencida",F402*J402+ROW()/100000,0)</f>
        <v>0</v>
      </c>
      <c r="O402" s="39">
        <f>IF(AND(I402="A vencer",K402&lt;=Config!$B$7),100000-K402-ROW()/100000,0)</f>
        <v>0</v>
      </c>
    </row>
    <row r="403">
      <c r="A403" s="33" t="n"/>
      <c r="B403" s="33" t="n"/>
      <c r="C403" s="37" t="n"/>
      <c r="D403" s="35" t="n"/>
      <c r="E403" s="37" t="n"/>
      <c r="F403" s="38" t="n"/>
      <c r="G403" s="35" t="n"/>
      <c r="H403" s="37" t="n"/>
      <c r="I403" s="24">
        <f>IF(A403="","",IF(G403="Sim","Paga",IF(E403="","Sem vencimento",IF(E403&lt;Config!$B$5,"Vencida","A vencer"))))</f>
        <v/>
      </c>
      <c r="J403" s="30">
        <f>IF(I403="Vencida",Config!$B$5-E403,"")</f>
        <v/>
      </c>
      <c r="K403" s="30">
        <f>IF(I403="A vencer",E403-Config!$B$5,"")</f>
        <v/>
      </c>
      <c r="L403" s="24">
        <f>IF(I403&lt;&gt;"Vencida","",IF(COUNTIF(Config!$A$10:$A$13,"&lt;="&amp;J403)=0,"Antes da régua",INDEX(Config!$C$10:$C$13,COUNTIF(Config!$A$10:$A$13,"&lt;="&amp;J403))))</f>
        <v/>
      </c>
      <c r="M403" s="23">
        <f>IF(I403&lt;&gt;"Vencida","",IF(COUNTIF(Config!$A$10:$A$13,"&lt;="&amp;J403)=0,"Aguardar: ainda não chegou ao primeiro passo da régua.",INDEX(Config!$B$10:$B$13,COUNTIF(Config!$A$10:$A$13,"&lt;="&amp;J403))))</f>
        <v/>
      </c>
      <c r="N403" s="39">
        <f>IF(I403="Vencida",F403*J403+ROW()/100000,0)</f>
        <v>0</v>
      </c>
      <c r="O403" s="39">
        <f>IF(AND(I403="A vencer",K403&lt;=Config!$B$7),100000-K403-ROW()/100000,0)</f>
        <v>0</v>
      </c>
    </row>
    <row r="404">
      <c r="A404" s="33" t="n"/>
      <c r="B404" s="33" t="n"/>
      <c r="C404" s="37" t="n"/>
      <c r="D404" s="35" t="n"/>
      <c r="E404" s="37" t="n"/>
      <c r="F404" s="38" t="n"/>
      <c r="G404" s="35" t="n"/>
      <c r="H404" s="37" t="n"/>
      <c r="I404" s="24">
        <f>IF(A404="","",IF(G404="Sim","Paga",IF(E404="","Sem vencimento",IF(E404&lt;Config!$B$5,"Vencida","A vencer"))))</f>
        <v/>
      </c>
      <c r="J404" s="30">
        <f>IF(I404="Vencida",Config!$B$5-E404,"")</f>
        <v/>
      </c>
      <c r="K404" s="30">
        <f>IF(I404="A vencer",E404-Config!$B$5,"")</f>
        <v/>
      </c>
      <c r="L404" s="24">
        <f>IF(I404&lt;&gt;"Vencida","",IF(COUNTIF(Config!$A$10:$A$13,"&lt;="&amp;J404)=0,"Antes da régua",INDEX(Config!$C$10:$C$13,COUNTIF(Config!$A$10:$A$13,"&lt;="&amp;J404))))</f>
        <v/>
      </c>
      <c r="M404" s="23">
        <f>IF(I404&lt;&gt;"Vencida","",IF(COUNTIF(Config!$A$10:$A$13,"&lt;="&amp;J404)=0,"Aguardar: ainda não chegou ao primeiro passo da régua.",INDEX(Config!$B$10:$B$13,COUNTIF(Config!$A$10:$A$13,"&lt;="&amp;J404))))</f>
        <v/>
      </c>
      <c r="N404" s="39">
        <f>IF(I404="Vencida",F404*J404+ROW()/100000,0)</f>
        <v>0</v>
      </c>
      <c r="O404" s="39">
        <f>IF(AND(I404="A vencer",K404&lt;=Config!$B$7),100000-K404-ROW()/100000,0)</f>
        <v>0</v>
      </c>
    </row>
    <row r="406">
      <c r="A406" s="28" t="inlineStr">
        <is>
          <t>Vermelho: vencida. Amarelo: vence na janela curta. Verde: paga. Data do pagamento em vermelho: marcada como paga sem data. No exemplo, as parcelas pagas têm data fixa (cada uma é uma entrada do caixa, planilha 09) e as em aberto têm vencimento relativo a hoje.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M404"/>
  <mergeCells count="2">
    <mergeCell ref="A2:M2"/>
    <mergeCell ref="A1:M1"/>
  </mergeCells>
  <conditionalFormatting sqref="A5:M404">
    <cfRule type="expression" priority="1" dxfId="0">
      <formula>$I5="Vencida"</formula>
    </cfRule>
    <cfRule type="expression" priority="2" dxfId="1">
      <formula>AND($I5="A vencer",$K5&lt;=INDIRECT("Config!$B$6"))</formula>
    </cfRule>
    <cfRule type="expression" priority="3" dxfId="3">
      <formula>$I5="Paga"</formula>
    </cfRule>
  </conditionalFormatting>
  <conditionalFormatting sqref="H5:H404">
    <cfRule type="expression" priority="4" dxfId="4">
      <formula>AND($G5="Sim",$H5="")</formula>
    </cfRule>
  </conditionalFormatting>
  <dataValidations count="5">
    <dataValidation sqref="A5:A404" showDropDown="0" showInputMessage="0" showErrorMessage="1" allowBlank="1" type="list">
      <formula1>=OFFSET(Pacientes!$A$5,0,0,MAX(1,COUNTA(Pacientes!$A$5:$A$404)),1)</formula1>
    </dataValidation>
    <dataValidation sqref="G5:G404" showDropDown="0" showInputMessage="0" showErrorMessage="1" allowBlank="1" type="list">
      <formula1>"Sim,Não"</formula1>
    </dataValidation>
    <dataValidation sqref="E5:E404" showDropDown="0" showInputMessage="0" showErrorMessage="1" allowBlank="1" type="date" operator="greaterThan">
      <formula1>1</formula1>
    </dataValidation>
    <dataValidation sqref="F5:F404" showDropDown="0" showInputMessage="0" showErrorMessage="1" allowBlank="1" type="decimal" operator="greaterThanOrEqual">
      <formula1>0</formula1>
    </dataValidation>
    <dataValidation sqref="D5:D404" showDropDown="0" showInputMessage="0" showErrorMessage="1" allowBlank="1" type="whole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Parcelas particulares e inadimplência · Kit de Gestão para Médicos</dc:title>
  <dcterms:created xmlns:dcterms="http://purl.org/dc/terms/" xmlns:xsi="http://www.w3.org/2001/XMLSchema-instance" xsi:type="dcterms:W3CDTF">2026-09-18T15:07:24Z</dcterms:created>
  <dcterms:modified xmlns:dcterms="http://purl.org/dc/terms/" xmlns:xsi="http://www.w3.org/2001/XMLSchema-instance" xsi:type="dcterms:W3CDTF">2026-09-18T15:07:25Z</dcterms:modified>
</cp:coreProperties>
</file>