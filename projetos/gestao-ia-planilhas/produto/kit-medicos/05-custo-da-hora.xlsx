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ustos fixos" sheetId="4" state="visible" r:id="rId4"/>
    <sheet xmlns:r="http://schemas.openxmlformats.org/officeDocument/2006/relationships" name="Equi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;[Red]-&quot;R$&quot; #,##0"/>
    <numFmt numFmtId="167" formatCode="&quot;R$&quot; #,##0.00;[Red]-&quot;R$&quot; #,##0.00"/>
    <numFmt numFmtId="168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  <fill>
      <patternFill patternType="solid">
        <fgColor rgb="00FBE4E4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7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166" fontId="1" fillId="4" borderId="0" applyAlignment="1" pivotButton="0" quotePrefix="0" xfId="0">
      <alignment horizontal="center"/>
    </xf>
    <xf numFmtId="3" fontId="1" fillId="4" borderId="0" applyAlignment="1" pivotButton="0" quotePrefix="0" xfId="0">
      <alignment horizontal="center"/>
    </xf>
    <xf numFmtId="167" fontId="1" fillId="5" borderId="0" applyAlignment="1" pivotButton="0" quotePrefix="0" xfId="0">
      <alignment horizontal="center"/>
    </xf>
    <xf numFmtId="167" fontId="9" fillId="6" borderId="0" applyAlignment="1" pivotButton="0" quotePrefix="0" xfId="0">
      <alignment horizontal="center"/>
    </xf>
    <xf numFmtId="167" fontId="11" fillId="7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7" fontId="4" fillId="0" borderId="1" applyAlignment="1" pivotButton="0" quotePrefix="0" xfId="0">
      <alignment horizontal="center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7" fontId="3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168" fontId="4" fillId="0" borderId="1" applyAlignment="1" pivotButton="0" quotePrefix="0" xfId="0">
      <alignment horizontal="center"/>
    </xf>
    <xf numFmtId="9" fontId="4" fillId="2" borderId="1" applyAlignment="1" applyProtection="1" pivotButton="0" quotePrefix="0" xfId="0">
      <alignment horizontal="center"/>
      <protection locked="0" hidden="0"/>
    </xf>
    <xf numFmtId="168" fontId="4" fillId="2" borderId="1" applyAlignment="1" applyProtection="1" pivotButton="0" quotePrefix="0" xfId="0">
      <alignment horizontal="center"/>
      <protection locked="0" hidden="0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166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  <xf numFmtId="0" fontId="3" fillId="0" borderId="1" pivotButton="0" quotePrefix="0" xfId="0"/>
    <xf numFmtId="0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Custo-hora por cenário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'Painel'!D40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'Painel'!$A$41:$A$45</f>
            </numRef>
          </cat>
          <val>
            <numRef>
              <f>'Painel'!$D$41:$D$45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Custo da hora de atendimento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Responde "quanto custa uma hora da minha agenda?". Soma custos fixos e pró-labore dos sócios, divide pelas horas de atendimento planejadas no mês e mostra o custo-hora, a hora mínima a cobrar (com margem e impostos), o custo de um horário vazio e o que acontece quando faltas tiram horas do mês.</t>
        </is>
      </c>
    </row>
    <row r="5" ht="46" customHeight="1">
      <c r="A5" s="3" t="inlineStr">
        <is>
          <t>Passo 1</t>
        </is>
      </c>
      <c r="B5" s="4" t="inlineStr">
        <is>
          <t>Em Custos fixos, liste o que a clínica paga todo mês (aluguel, recepção com encargos, contador, sistema, energia, marketing). Uma linha por item, de cima para baixo.</t>
        </is>
      </c>
    </row>
    <row r="6" ht="46" customHeight="1">
      <c r="A6" s="3" t="inlineStr">
        <is>
          <t>Passo 2</t>
        </is>
      </c>
      <c r="B6" s="4" t="inlineStr">
        <is>
          <t>Em Equipe, cada pessoa: remuneração (pró-labore, salário ou repasse), valor mensal, se já está nos custos fixos, horas de atendimento planejadas no mês e se entra no custo-hora. Sócios entram; médico parceiro por repasse não; recepção já está nos fixos.</t>
        </is>
      </c>
    </row>
    <row r="7" ht="46" customHeight="1">
      <c r="A7" s="3" t="inlineStr">
        <is>
          <t>Passo 3</t>
        </is>
      </c>
      <c r="B7" s="4" t="inlineStr">
        <is>
          <t>Em Config, a margem mínima sobre o preço e o percentual de impostos e taxas que sai de cada recebimento (a alíquota efetiva que o contador informar).</t>
        </is>
      </c>
    </row>
    <row r="8" ht="46" customHeight="1">
      <c r="A8" s="3" t="inlineStr">
        <is>
          <t>Passo 4</t>
        </is>
      </c>
      <c r="B8" s="4" t="inlineStr">
        <is>
          <t>Em Painel: custo-hora, hora mínima a cobrar, custo por pessoa, custo de um horário vazio e a sensibilidade. Use o custo-hora nas planilhas 06 (precificação), 07 (simulador de convênio) e 08 (tabela de preços).</t>
        </is>
      </c>
    </row>
    <row r="9" ht="46" customHeight="1">
      <c r="A9" s="3" t="inlineStr">
        <is>
          <t>Rotina</t>
        </is>
      </c>
      <c r="B9" s="4" t="inlineStr">
        <is>
          <t>Revise uma vez por trimestre ou quando mudar aluguel, equipe ou pró-labore. Leva 10 minutos. Na última linha da sensibilidade, digite as horas atendidas do mês fechado (Painel da 01) para ver o custo-hora real.</t>
        </is>
      </c>
    </row>
    <row r="10" ht="46" customHeight="1">
      <c r="A10" s="3" t="inlineStr">
        <is>
          <t>Com a IA</t>
        </is>
      </c>
      <c r="B10" s="4" t="inlineStr">
        <is>
          <t>Copie "Como chegamos ao número" e use o prompt "Preço 01 · Entender o custo da minha hora" da biblioteca do kit para explicar o custo-hora ao sócio em linguagem simples.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5" t="str">
        <f>Config!$B$4&amp;" · Custo da hora de atendimento · "&amp;Config!$B$5</f>
        <v>Clínica Vida Plena (exemplo fictício) · Custo da hora de atendimento · Setembro de 2026</v>
      </c>
    </row>
    <row r="2">
      <c r="A2" s="6" t="inlineStr">
        <is>
          <t>Nada para digitar aqui, exceto os percentuais da sensibilidade e as horas atendidas de verdade. Custos vêm de Custos fixos, pessoas de Equipe, margem e impostos de Config.</t>
        </is>
      </c>
    </row>
    <row r="3"/>
    <row r="4">
      <c r="A4" s="7" t="inlineStr">
        <is>
          <t>Custo total do mês</t>
        </is>
      </c>
      <c r="B4" s="8" t="n"/>
      <c r="C4" s="7" t="inlineStr">
        <is>
          <t>Horas de atendimento planejadas no mês</t>
        </is>
      </c>
      <c r="D4" s="8" t="n"/>
      <c r="E4" s="9" t="inlineStr">
        <is>
          <t>Custo da hora de atendimento</t>
        </is>
      </c>
      <c r="F4" s="10" t="n"/>
      <c r="G4" s="11" t="inlineStr">
        <is>
          <t>Hora mínima a cobrar</t>
        </is>
      </c>
      <c r="H4" s="12" t="n"/>
      <c r="I4" s="13" t="inlineStr">
        <is>
          <t>Custo de um horário vazio</t>
        </is>
      </c>
      <c r="J4" s="14" t="n"/>
    </row>
    <row r="5" ht="30" customHeight="1">
      <c r="A5" s="15">
        <f>B11</f>
        <v>28000</v>
      </c>
      <c r="B5" s="8" t="n"/>
      <c r="C5" s="16">
        <f>B12</f>
        <v>140</v>
      </c>
      <c r="D5" s="8" t="n"/>
      <c r="E5" s="17">
        <f>B13</f>
        <v>200</v>
      </c>
      <c r="F5" s="10" t="n"/>
      <c r="G5" s="18">
        <f>B17</f>
        <v>340</v>
      </c>
      <c r="H5" s="12" t="n"/>
      <c r="I5" s="19">
        <f>B21</f>
        <v>100</v>
      </c>
      <c r="J5" s="14" t="n"/>
    </row>
    <row r="6" ht="30" customHeight="1">
      <c r="A6" s="20" t="inlineStr">
        <is>
          <t>A base do custo-hora são as horas de atendimento PLANEJADAS do mês (turnos × 4,33 semanas): é o preço que cobre o custo quando a agenda está cheia, e é ele que as planilhas 06, 07 e 08 usam. Como a agenda real nunca fica 100 % cheia, o bloco "Sensibilidade", no fim desta tela, mostra o custo-hora com as horas de fato atendidas (a última linha usa agosto, da planilha 01): é o número da conversa sobre faltas e horários vazios, não o da tabela de preços.</t>
        </is>
      </c>
    </row>
    <row r="7">
      <c r="A7" s="21" t="inlineStr">
        <is>
          <t>Como chegamos ao número</t>
        </is>
      </c>
    </row>
    <row r="8" ht="26" customHeight="1">
      <c r="A8" s="22" t="inlineStr">
        <is>
          <t>Passo</t>
        </is>
      </c>
      <c r="B8" s="22" t="inlineStr">
        <is>
          <t>Valor</t>
        </is>
      </c>
      <c r="C8" s="22" t="inlineStr">
        <is>
          <t>De onde vem</t>
        </is>
      </c>
    </row>
    <row r="9">
      <c r="A9" s="23" t="inlineStr">
        <is>
          <t>Custos fixos do mês</t>
        </is>
      </c>
      <c r="B9" s="24">
        <f>'Custos fixos'!B36</f>
        <v>10000</v>
      </c>
      <c r="C9" s="25" t="inlineStr">
        <is>
          <t>Aba Custos fixos</t>
        </is>
      </c>
      <c r="D9" s="26" t="n"/>
      <c r="E9" s="26" t="n"/>
      <c r="F9" s="27" t="n"/>
    </row>
    <row r="10">
      <c r="A10" s="23" t="inlineStr">
        <is>
          <t>Pró-labore e salários fora dos custos fixos (de quem entra no custo-hora)</t>
        </is>
      </c>
      <c r="B10" s="24">
        <f>SUMIFS(Equipe!$D$5:$D$14,Equipe!$E$5:$E$14,"Não",Equipe!$G$5:$G$14,"Sim")</f>
        <v>18000</v>
      </c>
      <c r="C10" s="25" t="inlineStr">
        <is>
          <t>Aba Equipe: marcados "Entra no custo-hora? = Sim" e "Já está nos custos fixos? = Não"</t>
        </is>
      </c>
      <c r="D10" s="26" t="n"/>
      <c r="E10" s="26" t="n"/>
      <c r="F10" s="27" t="n"/>
    </row>
    <row r="11">
      <c r="A11" s="23" t="inlineStr">
        <is>
          <t>Custo total do mês</t>
        </is>
      </c>
      <c r="B11" s="28">
        <f>B9+B10</f>
        <v>28000</v>
      </c>
      <c r="C11" s="25" t="inlineStr">
        <is>
          <t>Soma dos dois acima</t>
        </is>
      </c>
      <c r="D11" s="26" t="n"/>
      <c r="E11" s="26" t="n"/>
      <c r="F11" s="27" t="n"/>
    </row>
    <row r="12">
      <c r="A12" s="23" t="inlineStr">
        <is>
          <t>Horas de atendimento planejadas no mês (quem entra no custo-hora)</t>
        </is>
      </c>
      <c r="B12" s="29">
        <f>SUMIFS(Equipe!$F$5:$F$14,Equipe!$G$5:$G$14,"Sim")</f>
        <v>140</v>
      </c>
      <c r="C12" s="25" t="inlineStr">
        <is>
          <t>Aba Equipe: turnos da semana × 4,33 semanas</t>
        </is>
      </c>
      <c r="D12" s="26" t="n"/>
      <c r="E12" s="26" t="n"/>
      <c r="F12" s="27" t="n"/>
    </row>
    <row r="13">
      <c r="A13" s="23" t="inlineStr">
        <is>
          <t>Custo da hora de atendimento</t>
        </is>
      </c>
      <c r="B13" s="28">
        <f>IF(B12=0,"",B11/B12)</f>
        <v>200</v>
      </c>
      <c r="C13" s="25" t="inlineStr">
        <is>
          <t>Custo total ÷ horas de atendimento</t>
        </is>
      </c>
      <c r="D13" s="26" t="n"/>
      <c r="E13" s="26" t="n"/>
      <c r="F13" s="27" t="n"/>
    </row>
    <row r="14">
      <c r="A14" s="23" t="inlineStr">
        <is>
          <t>Margem mínima sobre o preço</t>
        </is>
      </c>
      <c r="B14" s="30">
        <f>Config!$B$7</f>
        <v>0.3</v>
      </c>
      <c r="C14" s="25" t="inlineStr">
        <is>
          <t>Config</t>
        </is>
      </c>
      <c r="D14" s="26" t="n"/>
      <c r="E14" s="26" t="n"/>
      <c r="F14" s="27" t="n"/>
    </row>
    <row r="15">
      <c r="A15" s="23" t="inlineStr">
        <is>
          <t>Impostos sobre o que entra</t>
        </is>
      </c>
      <c r="B15" s="30">
        <f>Config!$B$8</f>
        <v>0.11</v>
      </c>
      <c r="C15" s="25" t="inlineStr">
        <is>
          <t>Config</t>
        </is>
      </c>
      <c r="D15" s="26" t="n"/>
      <c r="E15" s="26" t="n"/>
      <c r="F15" s="27" t="n"/>
    </row>
    <row r="16">
      <c r="A16" s="23" t="inlineStr">
        <is>
          <t>Hora mínima a cobrar (exata)</t>
        </is>
      </c>
      <c r="B16" s="24">
        <f>IF(B13="","",IFERROR(B13/(1-Config!$B$7-Config!$B$8),""))</f>
        <v>338.983050847458</v>
      </c>
      <c r="C16" s="25" t="inlineStr">
        <is>
          <t>Custo-hora ÷ (1 − margem − impostos)</t>
        </is>
      </c>
      <c r="D16" s="26" t="n"/>
      <c r="E16" s="26" t="n"/>
      <c r="F16" s="27" t="n"/>
    </row>
    <row r="17">
      <c r="A17" s="23" t="inlineStr">
        <is>
          <t>Hora mínima a cobrar (arredondada)</t>
        </is>
      </c>
      <c r="B17" s="28">
        <f>IF(B16="","",CEILING(B16,Config!$B$9))</f>
        <v>340</v>
      </c>
      <c r="C17" s="25" t="inlineStr">
        <is>
          <t>Arredondada para cima, no múltiplo de Config</t>
        </is>
      </c>
      <c r="D17" s="26" t="n"/>
      <c r="E17" s="26" t="n"/>
      <c r="F17" s="27" t="n"/>
    </row>
    <row r="18">
      <c r="A18" s="23" t="inlineStr">
        <is>
          <t>Custo direto médio por hora (pró-labore ÷ horas)</t>
        </is>
      </c>
      <c r="B18" s="24">
        <f>IF(B12=0,0,B10/B12)</f>
        <v>128.571428571429</v>
      </c>
      <c r="C18" s="25" t="inlineStr">
        <is>
          <t>O que os sócios custam por hora de agenda</t>
        </is>
      </c>
      <c r="D18" s="26" t="n"/>
      <c r="E18" s="26" t="n"/>
      <c r="F18" s="27" t="n"/>
    </row>
    <row r="19">
      <c r="A19" s="23" t="inlineStr">
        <is>
          <t>Custos indiretos (custos fixos, com a recepção)</t>
        </is>
      </c>
      <c r="B19" s="24">
        <f>B9</f>
        <v>10000</v>
      </c>
      <c r="C19" s="25" t="inlineStr">
        <is>
          <t>Para ratear por hora de atendimento</t>
        </is>
      </c>
      <c r="D19" s="26" t="n"/>
      <c r="E19" s="26" t="n"/>
      <c r="F19" s="27" t="n"/>
    </row>
    <row r="20">
      <c r="A20" s="23" t="inlineStr">
        <is>
          <t>Custo indireto por hora de atendimento</t>
        </is>
      </c>
      <c r="B20" s="24">
        <f>IF(B12=0,0,B19/B12)</f>
        <v>71.4285714285714</v>
      </c>
      <c r="C20" s="25" t="inlineStr">
        <is>
          <t>Custos fixos ÷ horas de atendimento (estrutura, recepção, aluguel). Já está dentro do custo-hora acima: na 11 serve só para mostrar quanto vale a hora de sala</t>
        </is>
      </c>
      <c r="D20" s="26" t="n"/>
      <c r="E20" s="26" t="n"/>
      <c r="F20" s="27" t="n"/>
    </row>
    <row r="21">
      <c r="A21" s="23" t="inlineStr">
        <is>
          <t>Custo de um horário vazio (consulta de Config, em minutos)</t>
        </is>
      </c>
      <c r="B21" s="24">
        <f>IF(B13="","",B13*Config!$B$10/60)</f>
        <v>100</v>
      </c>
      <c r="C21" s="25" t="inlineStr">
        <is>
          <t>Custo-hora × duração da consulta: o que uma falta custa à clínica</t>
        </is>
      </c>
      <c r="D21" s="26" t="n"/>
      <c r="E21" s="26" t="n"/>
      <c r="F21" s="27" t="n"/>
    </row>
    <row r="22"/>
    <row r="23"/>
    <row r="24">
      <c r="A24" s="21" t="inlineStr">
        <is>
          <t>Por pessoa</t>
        </is>
      </c>
    </row>
    <row r="25" ht="30" customHeight="1">
      <c r="A25" s="22" t="inlineStr">
        <is>
          <t>Pessoa</t>
        </is>
      </c>
      <c r="B25" s="22" t="inlineStr">
        <is>
          <t>Papel</t>
        </is>
      </c>
      <c r="C25" s="22" t="inlineStr">
        <is>
          <t>Remuneração</t>
        </is>
      </c>
      <c r="D25" s="22" t="inlineStr">
        <is>
          <t>Horas planejadas</t>
        </is>
      </c>
      <c r="E25" s="22" t="inlineStr">
        <is>
          <t>Custo direto por hora</t>
        </is>
      </c>
      <c r="F25" s="22" t="inlineStr">
        <is>
          <t>Custo-hora completo</t>
        </is>
      </c>
      <c r="G25" s="22" t="inlineStr">
        <is>
          <t>Hora mínima a cobrar</t>
        </is>
      </c>
    </row>
    <row r="26">
      <c r="A26" s="23" t="str">
        <f>IF(Equipe!$A$5="","",Equipe!$A$5)</f>
        <v>Dra. Carolina Mendes</v>
      </c>
      <c r="B26" s="23" t="str">
        <f>IF(Equipe!$A$5="","",Equipe!$B$5)</f>
        <v>Sócia · clínica médica</v>
      </c>
      <c r="C26" s="31" t="str">
        <f>IF(Equipe!$A$5="","",Equipe!$C$5)</f>
        <v>Pró-labore</v>
      </c>
      <c r="D26" s="29">
        <f>IF(Equipe!$A$5="","",IF(Equipe!$F$5="","",Equipe!$F$5))</f>
        <v>70</v>
      </c>
      <c r="E26" s="24">
        <f>IF(Equipe!$A$5="","",IF(Equipe!$H$5="","—",Equipe!$H$5))</f>
        <v>128.571428571429</v>
      </c>
      <c r="F26" s="24">
        <f>IF(Equipe!$A$5="","",IF(Equipe!$I$5="","—",Equipe!$I$5))</f>
        <v>200</v>
      </c>
      <c r="G26" s="24">
        <f>IF(Equipe!$A$5="","",IF(Equipe!$J$5="","—",Equipe!$J$5))</f>
        <v>338.983050847458</v>
      </c>
    </row>
    <row r="27">
      <c r="A27" s="23" t="str">
        <f>IF(Equipe!$A$6="","",Equipe!$A$6)</f>
        <v>Dr. Paulo Andrade</v>
      </c>
      <c r="B27" s="23" t="str">
        <f>IF(Equipe!$A$6="","",Equipe!$B$6)</f>
        <v>Sócio · cardiologia</v>
      </c>
      <c r="C27" s="31" t="str">
        <f>IF(Equipe!$A$6="","",Equipe!$C$6)</f>
        <v>Pró-labore</v>
      </c>
      <c r="D27" s="29">
        <f>IF(Equipe!$A$6="","",IF(Equipe!$F$6="","",Equipe!$F$6))</f>
        <v>70</v>
      </c>
      <c r="E27" s="24">
        <f>IF(Equipe!$A$6="","",IF(Equipe!$H$6="","—",Equipe!$H$6))</f>
        <v>128.571428571429</v>
      </c>
      <c r="F27" s="24">
        <f>IF(Equipe!$A$6="","",IF(Equipe!$I$6="","—",Equipe!$I$6))</f>
        <v>200</v>
      </c>
      <c r="G27" s="24">
        <f>IF(Equipe!$A$6="","",IF(Equipe!$J$6="","—",Equipe!$J$6))</f>
        <v>338.983050847458</v>
      </c>
    </row>
    <row r="28">
      <c r="A28" s="23" t="str">
        <f>IF(Equipe!$A$7="","",Equipe!$A$7)</f>
        <v>Dra. Renata Sousa</v>
      </c>
      <c r="B28" s="23" t="str">
        <f>IF(Equipe!$A$7="","",Equipe!$B$7)</f>
        <v>Médica parceira · endocrinologia</v>
      </c>
      <c r="C28" s="31" t="str">
        <f>IF(Equipe!$A$7="","",Equipe!$C$7)</f>
        <v>Repasse</v>
      </c>
      <c r="D28" s="29">
        <f>IF(Equipe!$A$7="","",IF(Equipe!$F$7="","",Equipe!$F$7))</f>
        <v>35</v>
      </c>
      <c r="E28" s="24" t="str">
        <f>IF(Equipe!$A$7="","",IF(Equipe!$H$7="","—",Equipe!$H$7))</f>
        <v>—</v>
      </c>
      <c r="F28" s="24" t="str">
        <f>IF(Equipe!$A$7="","",IF(Equipe!$I$7="","—",Equipe!$I$7))</f>
        <v>—</v>
      </c>
      <c r="G28" s="24" t="str">
        <f>IF(Equipe!$A$7="","",IF(Equipe!$J$7="","—",Equipe!$J$7))</f>
        <v>—</v>
      </c>
    </row>
    <row r="29">
      <c r="A29" s="23" t="str">
        <f>IF(Equipe!$A$8="","",Equipe!$A$8)</f>
        <v>Bruna Carvalho</v>
      </c>
      <c r="B29" s="23" t="str">
        <f>IF(Equipe!$A$8="","",Equipe!$B$8)</f>
        <v>Recepcionista (CLT)</v>
      </c>
      <c r="C29" s="31" t="str">
        <f>IF(Equipe!$A$8="","",Equipe!$C$8)</f>
        <v>Salário</v>
      </c>
      <c r="D29" s="29">
        <f>IF(Equipe!$A$8="","",IF(Equipe!$F$8="","",Equipe!$F$8))</f>
        <v/>
      </c>
      <c r="E29" s="24" t="str">
        <f>IF(Equipe!$A$8="","",IF(Equipe!$H$8="","—",Equipe!$H$8))</f>
        <v>—</v>
      </c>
      <c r="F29" s="24" t="str">
        <f>IF(Equipe!$A$8="","",IF(Equipe!$I$8="","—",Equipe!$I$8))</f>
        <v>—</v>
      </c>
      <c r="G29" s="24" t="str">
        <f>IF(Equipe!$A$8="","",IF(Equipe!$J$8="","—",Equipe!$J$8))</f>
        <v>—</v>
      </c>
    </row>
    <row r="30">
      <c r="A30" s="23">
        <f>IF(Equipe!$A$9="","",Equipe!$A$9)</f>
        <v/>
      </c>
      <c r="B30" s="23">
        <f>IF(Equipe!$A$9="","",Equipe!$B$9)</f>
        <v/>
      </c>
      <c r="C30" s="31">
        <f>IF(Equipe!$A$9="","",Equipe!$C$9)</f>
        <v/>
      </c>
      <c r="D30" s="29">
        <f>IF(Equipe!$A$9="","",IF(Equipe!$F$9="","",Equipe!$F$9))</f>
        <v/>
      </c>
      <c r="E30" s="24">
        <f>IF(Equipe!$A$9="","",IF(Equipe!$H$9="","—",Equipe!$H$9))</f>
        <v/>
      </c>
      <c r="F30" s="24">
        <f>IF(Equipe!$A$9="","",IF(Equipe!$I$9="","—",Equipe!$I$9))</f>
        <v/>
      </c>
      <c r="G30" s="24">
        <f>IF(Equipe!$A$9="","",IF(Equipe!$J$9="","—",Equipe!$J$9))</f>
        <v/>
      </c>
    </row>
    <row r="31">
      <c r="A31" s="23">
        <f>IF(Equipe!$A$10="","",Equipe!$A$10)</f>
        <v/>
      </c>
      <c r="B31" s="23">
        <f>IF(Equipe!$A$10="","",Equipe!$B$10)</f>
        <v/>
      </c>
      <c r="C31" s="31">
        <f>IF(Equipe!$A$10="","",Equipe!$C$10)</f>
        <v/>
      </c>
      <c r="D31" s="29">
        <f>IF(Equipe!$A$10="","",IF(Equipe!$F$10="","",Equipe!$F$10))</f>
        <v/>
      </c>
      <c r="E31" s="24">
        <f>IF(Equipe!$A$10="","",IF(Equipe!$H$10="","—",Equipe!$H$10))</f>
        <v/>
      </c>
      <c r="F31" s="24">
        <f>IF(Equipe!$A$10="","",IF(Equipe!$I$10="","—",Equipe!$I$10))</f>
        <v/>
      </c>
      <c r="G31" s="24">
        <f>IF(Equipe!$A$10="","",IF(Equipe!$J$10="","—",Equipe!$J$10))</f>
        <v/>
      </c>
    </row>
    <row r="32">
      <c r="A32" s="23">
        <f>IF(Equipe!$A$11="","",Equipe!$A$11)</f>
        <v/>
      </c>
      <c r="B32" s="23">
        <f>IF(Equipe!$A$11="","",Equipe!$B$11)</f>
        <v/>
      </c>
      <c r="C32" s="31">
        <f>IF(Equipe!$A$11="","",Equipe!$C$11)</f>
        <v/>
      </c>
      <c r="D32" s="29">
        <f>IF(Equipe!$A$11="","",IF(Equipe!$F$11="","",Equipe!$F$11))</f>
        <v/>
      </c>
      <c r="E32" s="24">
        <f>IF(Equipe!$A$11="","",IF(Equipe!$H$11="","—",Equipe!$H$11))</f>
        <v/>
      </c>
      <c r="F32" s="24">
        <f>IF(Equipe!$A$11="","",IF(Equipe!$I$11="","—",Equipe!$I$11))</f>
        <v/>
      </c>
      <c r="G32" s="24">
        <f>IF(Equipe!$A$11="","",IF(Equipe!$J$11="","—",Equipe!$J$11))</f>
        <v/>
      </c>
    </row>
    <row r="33">
      <c r="A33" s="23">
        <f>IF(Equipe!$A$12="","",Equipe!$A$12)</f>
        <v/>
      </c>
      <c r="B33" s="23">
        <f>IF(Equipe!$A$12="","",Equipe!$B$12)</f>
        <v/>
      </c>
      <c r="C33" s="31">
        <f>IF(Equipe!$A$12="","",Equipe!$C$12)</f>
        <v/>
      </c>
      <c r="D33" s="29">
        <f>IF(Equipe!$A$12="","",IF(Equipe!$F$12="","",Equipe!$F$12))</f>
        <v/>
      </c>
      <c r="E33" s="24">
        <f>IF(Equipe!$A$12="","",IF(Equipe!$H$12="","—",Equipe!$H$12))</f>
        <v/>
      </c>
      <c r="F33" s="24">
        <f>IF(Equipe!$A$12="","",IF(Equipe!$I$12="","—",Equipe!$I$12))</f>
        <v/>
      </c>
      <c r="G33" s="24">
        <f>IF(Equipe!$A$12="","",IF(Equipe!$J$12="","—",Equipe!$J$12))</f>
        <v/>
      </c>
    </row>
    <row r="34">
      <c r="A34" s="23">
        <f>IF(Equipe!$A$13="","",Equipe!$A$13)</f>
        <v/>
      </c>
      <c r="B34" s="23">
        <f>IF(Equipe!$A$13="","",Equipe!$B$13)</f>
        <v/>
      </c>
      <c r="C34" s="31">
        <f>IF(Equipe!$A$13="","",Equipe!$C$13)</f>
        <v/>
      </c>
      <c r="D34" s="29">
        <f>IF(Equipe!$A$13="","",IF(Equipe!$F$13="","",Equipe!$F$13))</f>
        <v/>
      </c>
      <c r="E34" s="24">
        <f>IF(Equipe!$A$13="","",IF(Equipe!$H$13="","—",Equipe!$H$13))</f>
        <v/>
      </c>
      <c r="F34" s="24">
        <f>IF(Equipe!$A$13="","",IF(Equipe!$I$13="","—",Equipe!$I$13))</f>
        <v/>
      </c>
      <c r="G34" s="24">
        <f>IF(Equipe!$A$13="","",IF(Equipe!$J$13="","—",Equipe!$J$13))</f>
        <v/>
      </c>
    </row>
    <row r="35">
      <c r="A35" s="23">
        <f>IF(Equipe!$A$14="","",Equipe!$A$14)</f>
        <v/>
      </c>
      <c r="B35" s="23">
        <f>IF(Equipe!$A$14="","",Equipe!$B$14)</f>
        <v/>
      </c>
      <c r="C35" s="31">
        <f>IF(Equipe!$A$14="","",Equipe!$C$14)</f>
        <v/>
      </c>
      <c r="D35" s="29">
        <f>IF(Equipe!$A$14="","",IF(Equipe!$F$14="","",Equipe!$F$14))</f>
        <v/>
      </c>
      <c r="E35" s="24">
        <f>IF(Equipe!$A$14="","",IF(Equipe!$H$14="","—",Equipe!$H$14))</f>
        <v/>
      </c>
      <c r="F35" s="24">
        <f>IF(Equipe!$A$14="","",IF(Equipe!$I$14="","—",Equipe!$I$14))</f>
        <v/>
      </c>
      <c r="G35" s="24">
        <f>IF(Equipe!$A$14="","",IF(Equipe!$J$14="","—",Equipe!$J$14))</f>
        <v/>
      </c>
    </row>
    <row r="36">
      <c r="A36" s="32" t="inlineStr">
        <is>
          <t>Quem é pago por repasse ou já está nos custos fixos aparece com "—": não tem custo-hora próprio. O custo-hora completo de cada sócio = pró-labore ÷ horas + rateio da estrutura.</t>
        </is>
      </c>
    </row>
    <row r="37"/>
    <row r="38">
      <c r="A38" s="21" t="inlineStr">
        <is>
          <t>Sensibilidade: e se faltas e horários vazios tirarem horas do mês?</t>
        </is>
      </c>
    </row>
    <row r="39" ht="30" customHeight="1">
      <c r="A39" s="32" t="inlineStr">
        <is>
          <t>O custo fixo continua e cada hora atendida fica mais cara. Os percentuais em amarelo podem ser trocados; a última linha usa as horas atendidas de verdade (Painel da planilha 01, mês fechado).</t>
        </is>
      </c>
    </row>
    <row r="40" ht="30" customHeight="1">
      <c r="A40" s="22" t="inlineStr">
        <is>
          <t>Cenário</t>
        </is>
      </c>
      <c r="B40" s="22" t="inlineStr">
        <is>
          <t>Queda nas horas</t>
        </is>
      </c>
      <c r="C40" s="22" t="inlineStr">
        <is>
          <t>Horas atendidas</t>
        </is>
      </c>
      <c r="D40" s="22" t="inlineStr">
        <is>
          <t>Custo-hora</t>
        </is>
      </c>
      <c r="E40" s="22" t="inlineStr">
        <is>
          <t>Hora mínima a cobrar</t>
        </is>
      </c>
      <c r="F40" s="22" t="inlineStr">
        <is>
          <t>Diferença por hora</t>
        </is>
      </c>
    </row>
    <row r="41">
      <c r="A41" s="23" t="inlineStr">
        <is>
          <t>Agenda planejada</t>
        </is>
      </c>
      <c r="B41" s="30" t="n">
        <v>0</v>
      </c>
      <c r="C41" s="33">
        <f>$B$12*(1-B41)</f>
        <v>140</v>
      </c>
      <c r="D41" s="24">
        <f>IF(C41=0,"",$B$11/C41)</f>
        <v>200</v>
      </c>
      <c r="E41" s="24">
        <f>IF(D41="","",IFERROR(D41/(1-Config!$B$7-Config!$B$8),""))</f>
        <v>338.983050847458</v>
      </c>
      <c r="F41" s="24">
        <f>IF(D41="","",D41-$D$41)</f>
        <v>0</v>
      </c>
    </row>
    <row r="42">
      <c r="A42" s="23" t="str">
        <f>"Queda de "&amp;ROUND(B42*100,0)&amp;"%"</f>
        <v>Queda de 10%</v>
      </c>
      <c r="B42" s="34" t="n">
        <v>0.1</v>
      </c>
      <c r="C42" s="33">
        <f>$B$12*(1-B42)</f>
        <v>126</v>
      </c>
      <c r="D42" s="24">
        <f>IF(C42=0,"",$B$11/C42)</f>
        <v>222.222222222222</v>
      </c>
      <c r="E42" s="24">
        <f>IF(D42="","",IFERROR(D42/(1-Config!$B$7-Config!$B$8),""))</f>
        <v>376.647834274953</v>
      </c>
      <c r="F42" s="24">
        <f>IF(D42="","",D42-$D$41)</f>
        <v>22.2222222222222</v>
      </c>
    </row>
    <row r="43">
      <c r="A43" s="23" t="str">
        <f>"Queda de "&amp;ROUND(B43*100,0)&amp;"%"</f>
        <v>Queda de 20%</v>
      </c>
      <c r="B43" s="34" t="n">
        <v>0.2</v>
      </c>
      <c r="C43" s="33">
        <f>$B$12*(1-B43)</f>
        <v>112</v>
      </c>
      <c r="D43" s="24">
        <f>IF(C43=0,"",$B$11/C43)</f>
        <v>250</v>
      </c>
      <c r="E43" s="24">
        <f>IF(D43="","",IFERROR(D43/(1-Config!$B$7-Config!$B$8),""))</f>
        <v>423.728813559322</v>
      </c>
      <c r="F43" s="24">
        <f>IF(D43="","",D43-$D$41)</f>
        <v>50</v>
      </c>
    </row>
    <row r="44">
      <c r="A44" s="23" t="str">
        <f>"Queda de "&amp;ROUND(B44*100,0)&amp;"%"</f>
        <v>Queda de 30%</v>
      </c>
      <c r="B44" s="34" t="n">
        <v>0.3</v>
      </c>
      <c r="C44" s="33">
        <f>$B$12*(1-B44)</f>
        <v>98</v>
      </c>
      <c r="D44" s="24">
        <f>IF(C44=0,"",$B$11/C44)</f>
        <v>285.714285714286</v>
      </c>
      <c r="E44" s="24">
        <f>IF(D44="","",IFERROR(D44/(1-Config!$B$7-Config!$B$8),""))</f>
        <v>484.261501210654</v>
      </c>
      <c r="F44" s="24">
        <f>IF(D44="","",D44-$D$41)</f>
        <v>85.7142857142857</v>
      </c>
    </row>
    <row r="45">
      <c r="A45" s="23" t="inlineStr">
        <is>
          <t>Agosto de 2026 realizado (horas atendidas dos sócios: Painel da 01 com Config = Agosto, coluna "Horas atendidas" da Dra. Carolina + do Dr. Paulo, sem a médica parceira)</t>
        </is>
      </c>
      <c r="B45" s="30">
        <f>IF(C45="","",1-C45/$B$12)</f>
        <v>0.323571428571429</v>
      </c>
      <c r="C45" s="35" t="n">
        <v>94.7</v>
      </c>
      <c r="D45" s="24">
        <f>IF(OR(C45="",C45=0),"",$B$11/C45)</f>
        <v>295.670538542767</v>
      </c>
      <c r="E45" s="24">
        <f>IF(D45="","",IFERROR(D45/(1-Config!$B$7-Config!$B$8),""))</f>
        <v>501.136506004689</v>
      </c>
      <c r="F45" s="24">
        <f>IF(D45="","",D45-$D$41)</f>
        <v>95.6705385427666</v>
      </c>
    </row>
    <row r="46" ht="30" customHeight="1">
      <c r="A46" s="32" t="inlineStr">
        <is>
          <t>Planejado × realizado: a diferença entre o custo-hora de R$ 200 e o de agosto é o preço das faltas e dos horários vazios. Reduzir faltas (planilha 02) barateia a hora sem cortar nada.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2">
    <mergeCell ref="C17:F17"/>
    <mergeCell ref="C5:D5"/>
    <mergeCell ref="E5:F5"/>
    <mergeCell ref="A38:J38"/>
    <mergeCell ref="C19:F19"/>
    <mergeCell ref="C4:D4"/>
    <mergeCell ref="C13:F13"/>
    <mergeCell ref="E4:F4"/>
    <mergeCell ref="C18:F18"/>
    <mergeCell ref="A39:J39"/>
    <mergeCell ref="C15:F15"/>
    <mergeCell ref="A24:J24"/>
    <mergeCell ref="C14:F14"/>
    <mergeCell ref="A1:J1"/>
    <mergeCell ref="A36:J36"/>
    <mergeCell ref="A6:J6"/>
    <mergeCell ref="C20:F20"/>
    <mergeCell ref="A5:B5"/>
    <mergeCell ref="G5:H5"/>
    <mergeCell ref="C16:F16"/>
    <mergeCell ref="I5:J5"/>
    <mergeCell ref="A7:J7"/>
    <mergeCell ref="C10:F10"/>
    <mergeCell ref="A4:B4"/>
    <mergeCell ref="G4:H4"/>
    <mergeCell ref="C9:F9"/>
    <mergeCell ref="A46:J46"/>
    <mergeCell ref="I4:J4"/>
    <mergeCell ref="C12:F12"/>
    <mergeCell ref="C21:F21"/>
    <mergeCell ref="C11:F1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6" customWidth="1" min="2" max="2"/>
    <col width="90" customWidth="1" min="3" max="3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Margem e impostos definem a hora mínima a cobrar.</t>
        </is>
      </c>
    </row>
    <row r="4">
      <c r="A4" s="36" t="inlineStr">
        <is>
          <t>Nome da clínica</t>
        </is>
      </c>
      <c r="B4" s="37" t="inlineStr">
        <is>
          <t>Clínica Vida Plena (exemplo fictício)</t>
        </is>
      </c>
    </row>
    <row r="5">
      <c r="A5" s="36" t="inlineStr">
        <is>
          <t>Mês de referência</t>
        </is>
      </c>
      <c r="B5" s="37" t="inlineStr">
        <is>
          <t>Setembro de 2026</t>
        </is>
      </c>
    </row>
    <row r="6">
      <c r="A6" s="36" t="inlineStr">
        <is>
          <t>Data de referência</t>
        </is>
      </c>
      <c r="B6" s="38" t="n">
        <v>46279</v>
      </c>
    </row>
    <row r="7">
      <c r="A7" s="36" t="inlineStr">
        <is>
          <t>Margem mínima sobre o preço (%)</t>
        </is>
      </c>
      <c r="B7" s="34" t="n">
        <v>0.3</v>
      </c>
      <c r="C7" s="39" t="inlineStr">
        <is>
          <t>Quanto do preço deve sobrar depois de pagar o custo da clínica. 30 % é um ponto de partida; ajuste ao seu mercado.</t>
        </is>
      </c>
    </row>
    <row r="8">
      <c r="A8" s="36" t="inlineStr">
        <is>
          <t>Impostos sobre o que entra (%)</t>
        </is>
      </c>
      <c r="B8" s="34" t="n">
        <v>0.11</v>
      </c>
      <c r="C8" s="39" t="inlineStr">
        <is>
          <t>Percentual de imposto que sai de cada real recebido pela PJ médica. No exemplo, 11 %: alíquota efetiva combinada com o contador (Simples, anexo III ou V, simplificado). Confira a sua com o contador. Só imposto: a taxa da maquininha NÃO entra aqui (ela é despesa variável, conciliada na 16 e lançada no caixa 09 e no resultado 18), e o convênio, que não passa na maquininha, pagaria a taxa sem dever.</t>
        </is>
      </c>
    </row>
    <row r="9">
      <c r="A9" s="36" t="inlineStr">
        <is>
          <t>Arredondar a hora mínima para múltiplos de (R$)</t>
        </is>
      </c>
      <c r="B9" s="40" t="n">
        <v>5</v>
      </c>
      <c r="C9" s="39" t="inlineStr">
        <is>
          <t>Só para o número ficar redondo na tabela de preços.</t>
        </is>
      </c>
    </row>
    <row r="10">
      <c r="A10" s="36" t="inlineStr">
        <is>
          <t>Duração de uma consulta (minutos), para o custo do horário vazio</t>
        </is>
      </c>
      <c r="B10" s="41" t="n">
        <v>30</v>
      </c>
    </row>
    <row r="12">
      <c r="A12" s="39" t="inlineStr">
        <is>
          <t>Custo da hora de atendimento = (custos fixos + pró-labore dos sócios) ÷ horas de atendimento planejadas no mês. Hora mínima = custo-hora ÷ (1 − margem − impostos): a margem é sobre o preço, não sobre o custo.</t>
        </is>
      </c>
    </row>
    <row r="13">
      <c r="A13" s="39" t="inlineStr">
        <is>
          <t>No exemplo: R$ 28.000 ÷ 140 h = R$ 200,00; hora mínima R$ 338,98 → R$ 340. As planilhas 06, 07 e 08 usam este custo-hora. A médica parceira não entra: o repasse dela é custo variável (planilha 11).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</cols>
  <sheetData>
    <row r="1" ht="28" customHeight="1">
      <c r="A1" s="5" t="inlineStr">
        <is>
          <t>Custos fixos do mês</t>
        </is>
      </c>
    </row>
    <row r="2">
      <c r="A2" s="6" t="inlineStr">
        <is>
          <t>Tudo que a clínica paga todo mês mesmo com a agenda vazia. Preencha de cima para baixo, sem pular linha.</t>
        </is>
      </c>
    </row>
    <row r="4" ht="26" customHeight="1">
      <c r="A4" s="22" t="inlineStr">
        <is>
          <t>Custo fixo</t>
        </is>
      </c>
      <c r="B4" s="22" t="inlineStr">
        <is>
          <t>Valor mensal (R$)</t>
        </is>
      </c>
      <c r="C4" s="22" t="inlineStr">
        <is>
          <t>Observação</t>
        </is>
      </c>
    </row>
    <row r="5">
      <c r="A5" s="37" t="inlineStr">
        <is>
          <t>Aluguel e condomínio</t>
        </is>
      </c>
      <c r="B5" s="42" t="n">
        <v>3900</v>
      </c>
      <c r="C5" s="37" t="n"/>
    </row>
    <row r="6">
      <c r="A6" s="37" t="inlineStr">
        <is>
          <t>Recepção (salário e encargos)</t>
        </is>
      </c>
      <c r="B6" s="42" t="n">
        <v>3100</v>
      </c>
      <c r="C6" s="37" t="inlineStr">
        <is>
          <t>Bruna Carvalho (CLT): a mesma pessoa da aba Equipe, marcada "Sim" lá</t>
        </is>
      </c>
    </row>
    <row r="7">
      <c r="A7" s="37" t="inlineStr">
        <is>
          <t>Contador</t>
        </is>
      </c>
      <c r="B7" s="42" t="n">
        <v>600</v>
      </c>
      <c r="C7" s="37" t="n"/>
    </row>
    <row r="8">
      <c r="A8" s="37" t="inlineStr">
        <is>
          <t>Sistema de agenda e assinaturas</t>
        </is>
      </c>
      <c r="B8" s="42" t="n">
        <v>300</v>
      </c>
      <c r="C8" s="37" t="n"/>
    </row>
    <row r="9">
      <c r="A9" s="37" t="inlineStr">
        <is>
          <t>Energia, água, internet e telefone</t>
        </is>
      </c>
      <c r="B9" s="42" t="n">
        <v>550</v>
      </c>
      <c r="C9" s="37" t="n"/>
    </row>
    <row r="10">
      <c r="A10" s="37" t="inlineStr">
        <is>
          <t>Limpeza e material de escritório</t>
        </is>
      </c>
      <c r="B10" s="42" t="n">
        <v>450</v>
      </c>
      <c r="C10" s="37" t="n"/>
    </row>
    <row r="11">
      <c r="A11" s="37" t="inlineStr">
        <is>
          <t>Marketing e site</t>
        </is>
      </c>
      <c r="B11" s="42" t="n">
        <v>650</v>
      </c>
      <c r="C11" s="37" t="n"/>
    </row>
    <row r="12">
      <c r="A12" s="37" t="inlineStr">
        <is>
          <t>Anuidade CRM, seguro e cursos</t>
        </is>
      </c>
      <c r="B12" s="42" t="n">
        <v>450</v>
      </c>
      <c r="C12" s="37" t="n"/>
    </row>
    <row r="13">
      <c r="A13" s="37" t="n"/>
      <c r="B13" s="42" t="n"/>
      <c r="C13" s="37" t="n"/>
    </row>
    <row r="14">
      <c r="A14" s="37" t="n"/>
      <c r="B14" s="42" t="n"/>
      <c r="C14" s="37" t="n"/>
    </row>
    <row r="15">
      <c r="A15" s="37" t="n"/>
      <c r="B15" s="42" t="n"/>
      <c r="C15" s="37" t="n"/>
    </row>
    <row r="16">
      <c r="A16" s="37" t="n"/>
      <c r="B16" s="42" t="n"/>
      <c r="C16" s="37" t="n"/>
    </row>
    <row r="17">
      <c r="A17" s="37" t="n"/>
      <c r="B17" s="42" t="n"/>
      <c r="C17" s="37" t="n"/>
    </row>
    <row r="18">
      <c r="A18" s="37" t="n"/>
      <c r="B18" s="42" t="n"/>
      <c r="C18" s="37" t="n"/>
    </row>
    <row r="19">
      <c r="A19" s="37" t="n"/>
      <c r="B19" s="42" t="n"/>
      <c r="C19" s="37" t="n"/>
    </row>
    <row r="20">
      <c r="A20" s="37" t="n"/>
      <c r="B20" s="42" t="n"/>
      <c r="C20" s="37" t="n"/>
    </row>
    <row r="21">
      <c r="A21" s="37" t="n"/>
      <c r="B21" s="42" t="n"/>
      <c r="C21" s="37" t="n"/>
    </row>
    <row r="22">
      <c r="A22" s="37" t="n"/>
      <c r="B22" s="42" t="n"/>
      <c r="C22" s="37" t="n"/>
    </row>
    <row r="23">
      <c r="A23" s="37" t="n"/>
      <c r="B23" s="42" t="n"/>
      <c r="C23" s="37" t="n"/>
    </row>
    <row r="24">
      <c r="A24" s="37" t="n"/>
      <c r="B24" s="42" t="n"/>
      <c r="C24" s="37" t="n"/>
    </row>
    <row r="25">
      <c r="A25" s="37" t="n"/>
      <c r="B25" s="42" t="n"/>
      <c r="C25" s="37" t="n"/>
    </row>
    <row r="26">
      <c r="A26" s="37" t="n"/>
      <c r="B26" s="42" t="n"/>
      <c r="C26" s="37" t="n"/>
    </row>
    <row r="27">
      <c r="A27" s="37" t="n"/>
      <c r="B27" s="42" t="n"/>
      <c r="C27" s="37" t="n"/>
    </row>
    <row r="28">
      <c r="A28" s="37" t="n"/>
      <c r="B28" s="42" t="n"/>
      <c r="C28" s="37" t="n"/>
    </row>
    <row r="29">
      <c r="A29" s="37" t="n"/>
      <c r="B29" s="42" t="n"/>
      <c r="C29" s="37" t="n"/>
    </row>
    <row r="30">
      <c r="A30" s="37" t="n"/>
      <c r="B30" s="42" t="n"/>
      <c r="C30" s="37" t="n"/>
    </row>
    <row r="31">
      <c r="A31" s="37" t="n"/>
      <c r="B31" s="42" t="n"/>
      <c r="C31" s="37" t="n"/>
    </row>
    <row r="32">
      <c r="A32" s="37" t="n"/>
      <c r="B32" s="42" t="n"/>
      <c r="C32" s="37" t="n"/>
    </row>
    <row r="33">
      <c r="A33" s="37" t="n"/>
      <c r="B33" s="42" t="n"/>
      <c r="C33" s="37" t="n"/>
    </row>
    <row r="34">
      <c r="A34" s="37" t="n"/>
      <c r="B34" s="42" t="n"/>
      <c r="C34" s="37" t="n"/>
    </row>
    <row r="36">
      <c r="A36" s="43" t="inlineStr">
        <is>
          <t>Total de custos fixos</t>
        </is>
      </c>
      <c r="B36" s="28">
        <f>SUM(B5:B34)</f>
        <v>10000</v>
      </c>
    </row>
    <row r="38">
      <c r="A38" s="39" t="inlineStr">
        <is>
          <t>Pró-labore dos sócios vai na aba Equipe. Salário da recepção com encargos fica aqui (e marcado "Sim" na Equipe, para não contar duas vezes). Materiais de atendimento, taxas de cartão e repasse não são fixos: ficam na precificação (06) e no caixa (09).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5" t="inlineStr">
        <is>
          <t>Equipe, pró-labore e horas de atendimento</t>
        </is>
      </c>
    </row>
    <row r="2">
      <c r="A2" s="6" t="inlineStr">
        <is>
          <t>Uma linha por pessoa. Horas de atendimento: as horas de agenda planejadas no mês (turnos × semanas). Quem é pago por repasse não entra no custo-hora.</t>
        </is>
      </c>
    </row>
    <row r="4" ht="40" customHeight="1">
      <c r="A4" s="22" t="inlineStr">
        <is>
          <t>Pessoa</t>
        </is>
      </c>
      <c r="B4" s="22" t="inlineStr">
        <is>
          <t>Papel</t>
        </is>
      </c>
      <c r="C4" s="22" t="inlineStr">
        <is>
          <t>Remuneração</t>
        </is>
      </c>
      <c r="D4" s="22" t="inlineStr">
        <is>
          <t>Valor mensal (R$)</t>
        </is>
      </c>
      <c r="E4" s="22" t="inlineStr">
        <is>
          <t>Já está nos custos fixos?</t>
        </is>
      </c>
      <c r="F4" s="22" t="inlineStr">
        <is>
          <t>Horas de atendimento planejadas no mês</t>
        </is>
      </c>
      <c r="G4" s="22" t="inlineStr">
        <is>
          <t>Entra no custo-hora?</t>
        </is>
      </c>
      <c r="H4" s="22" t="inlineStr">
        <is>
          <t>Custo direto por hora</t>
        </is>
      </c>
      <c r="I4" s="22" t="inlineStr">
        <is>
          <t>Custo-hora completo</t>
        </is>
      </c>
      <c r="J4" s="22" t="inlineStr">
        <is>
          <t>Hora mínima a cobrar</t>
        </is>
      </c>
    </row>
    <row r="5">
      <c r="A5" s="37" t="inlineStr">
        <is>
          <t>Dra. Carolina Mendes</t>
        </is>
      </c>
      <c r="B5" s="37" t="inlineStr">
        <is>
          <t>Sócia · clínica médica</t>
        </is>
      </c>
      <c r="C5" s="44" t="inlineStr">
        <is>
          <t>Pró-labore</t>
        </is>
      </c>
      <c r="D5" s="42" t="n">
        <v>9000</v>
      </c>
      <c r="E5" s="44" t="inlineStr">
        <is>
          <t>Não</t>
        </is>
      </c>
      <c r="F5" s="41" t="n">
        <v>70</v>
      </c>
      <c r="G5" s="44" t="inlineStr">
        <is>
          <t>Sim</t>
        </is>
      </c>
      <c r="H5" s="24">
        <f>IF(OR(A5="",G5&lt;&gt;"Sim",F5="",F5=0),"",IF(E5="Sim",0,D5)/F5)</f>
        <v>128.571428571429</v>
      </c>
      <c r="I5" s="24">
        <f>IF(H5="","",H5+Painel!$B$20)</f>
        <v>200</v>
      </c>
      <c r="J5" s="24">
        <f>IF(I5="","",IFERROR(I5/(1-Config!$B$7-Config!$B$8),""))</f>
        <v>338.983050847458</v>
      </c>
    </row>
    <row r="6">
      <c r="A6" s="37" t="inlineStr">
        <is>
          <t>Dr. Paulo Andrade</t>
        </is>
      </c>
      <c r="B6" s="37" t="inlineStr">
        <is>
          <t>Sócio · cardiologia</t>
        </is>
      </c>
      <c r="C6" s="44" t="inlineStr">
        <is>
          <t>Pró-labore</t>
        </is>
      </c>
      <c r="D6" s="42" t="n">
        <v>9000</v>
      </c>
      <c r="E6" s="44" t="inlineStr">
        <is>
          <t>Não</t>
        </is>
      </c>
      <c r="F6" s="41" t="n">
        <v>70</v>
      </c>
      <c r="G6" s="44" t="inlineStr">
        <is>
          <t>Sim</t>
        </is>
      </c>
      <c r="H6" s="24">
        <f>IF(OR(A6="",G6&lt;&gt;"Sim",F6="",F6=0),"",IF(E6="Sim",0,D6)/F6)</f>
        <v>128.571428571429</v>
      </c>
      <c r="I6" s="24">
        <f>IF(H6="","",H6+Painel!$B$20)</f>
        <v>200</v>
      </c>
      <c r="J6" s="24">
        <f>IF(I6="","",IFERROR(I6/(1-Config!$B$7-Config!$B$8),""))</f>
        <v>338.983050847458</v>
      </c>
    </row>
    <row r="7">
      <c r="A7" s="37" t="inlineStr">
        <is>
          <t>Dra. Renata Sousa</t>
        </is>
      </c>
      <c r="B7" s="37" t="inlineStr">
        <is>
          <t>Médica parceira · endocrinologia</t>
        </is>
      </c>
      <c r="C7" s="44" t="inlineStr">
        <is>
          <t>Repasse</t>
        </is>
      </c>
      <c r="D7" s="42" t="n"/>
      <c r="E7" s="44" t="inlineStr">
        <is>
          <t>Não</t>
        </is>
      </c>
      <c r="F7" s="41" t="n">
        <v>35</v>
      </c>
      <c r="G7" s="44" t="inlineStr">
        <is>
          <t>Não</t>
        </is>
      </c>
      <c r="H7" s="24">
        <f>IF(OR(A7="",G7&lt;&gt;"Sim",F7="",F7=0),"",IF(E7="Sim",0,D7)/F7)</f>
        <v/>
      </c>
      <c r="I7" s="24">
        <f>IF(H7="","",H7+Painel!$B$20)</f>
        <v/>
      </c>
      <c r="J7" s="24">
        <f>IF(I7="","",IFERROR(I7/(1-Config!$B$7-Config!$B$8),""))</f>
        <v/>
      </c>
    </row>
    <row r="8">
      <c r="A8" s="37" t="inlineStr">
        <is>
          <t>Bruna Carvalho</t>
        </is>
      </c>
      <c r="B8" s="37" t="inlineStr">
        <is>
          <t>Recepcionista (CLT)</t>
        </is>
      </c>
      <c r="C8" s="44" t="inlineStr">
        <is>
          <t>Salário</t>
        </is>
      </c>
      <c r="D8" s="42" t="n">
        <v>2200</v>
      </c>
      <c r="E8" s="44" t="inlineStr">
        <is>
          <t>Sim</t>
        </is>
      </c>
      <c r="F8" s="41" t="n"/>
      <c r="G8" s="44" t="inlineStr">
        <is>
          <t>Não</t>
        </is>
      </c>
      <c r="H8" s="24">
        <f>IF(OR(A8="",G8&lt;&gt;"Sim",F8="",F8=0),"",IF(E8="Sim",0,D8)/F8)</f>
        <v/>
      </c>
      <c r="I8" s="24">
        <f>IF(H8="","",H8+Painel!$B$20)</f>
        <v/>
      </c>
      <c r="J8" s="24">
        <f>IF(I8="","",IFERROR(I8/(1-Config!$B$7-Config!$B$8),""))</f>
        <v/>
      </c>
    </row>
    <row r="9">
      <c r="A9" s="37" t="n"/>
      <c r="B9" s="37" t="n"/>
      <c r="C9" s="44" t="n"/>
      <c r="D9" s="42" t="n"/>
      <c r="E9" s="44" t="n"/>
      <c r="F9" s="41" t="n"/>
      <c r="G9" s="44" t="n"/>
      <c r="H9" s="24">
        <f>IF(OR(A9="",G9&lt;&gt;"Sim",F9="",F9=0),"",IF(E9="Sim",0,D9)/F9)</f>
        <v/>
      </c>
      <c r="I9" s="24">
        <f>IF(H9="","",H9+Painel!$B$20)</f>
        <v/>
      </c>
      <c r="J9" s="24">
        <f>IF(I9="","",IFERROR(I9/(1-Config!$B$7-Config!$B$8),""))</f>
        <v/>
      </c>
    </row>
    <row r="10">
      <c r="A10" s="37" t="n"/>
      <c r="B10" s="37" t="n"/>
      <c r="C10" s="44" t="n"/>
      <c r="D10" s="42" t="n"/>
      <c r="E10" s="44" t="n"/>
      <c r="F10" s="41" t="n"/>
      <c r="G10" s="44" t="n"/>
      <c r="H10" s="24">
        <f>IF(OR(A10="",G10&lt;&gt;"Sim",F10="",F10=0),"",IF(E10="Sim",0,D10)/F10)</f>
        <v/>
      </c>
      <c r="I10" s="24">
        <f>IF(H10="","",H10+Painel!$B$20)</f>
        <v/>
      </c>
      <c r="J10" s="24">
        <f>IF(I10="","",IFERROR(I10/(1-Config!$B$7-Config!$B$8),""))</f>
        <v/>
      </c>
    </row>
    <row r="11">
      <c r="A11" s="37" t="n"/>
      <c r="B11" s="37" t="n"/>
      <c r="C11" s="44" t="n"/>
      <c r="D11" s="42" t="n"/>
      <c r="E11" s="44" t="n"/>
      <c r="F11" s="41" t="n"/>
      <c r="G11" s="44" t="n"/>
      <c r="H11" s="24">
        <f>IF(OR(A11="",G11&lt;&gt;"Sim",F11="",F11=0),"",IF(E11="Sim",0,D11)/F11)</f>
        <v/>
      </c>
      <c r="I11" s="24">
        <f>IF(H11="","",H11+Painel!$B$20)</f>
        <v/>
      </c>
      <c r="J11" s="24">
        <f>IF(I11="","",IFERROR(I11/(1-Config!$B$7-Config!$B$8),""))</f>
        <v/>
      </c>
    </row>
    <row r="12">
      <c r="A12" s="37" t="n"/>
      <c r="B12" s="37" t="n"/>
      <c r="C12" s="44" t="n"/>
      <c r="D12" s="42" t="n"/>
      <c r="E12" s="44" t="n"/>
      <c r="F12" s="41" t="n"/>
      <c r="G12" s="44" t="n"/>
      <c r="H12" s="24">
        <f>IF(OR(A12="",G12&lt;&gt;"Sim",F12="",F12=0),"",IF(E12="Sim",0,D12)/F12)</f>
        <v/>
      </c>
      <c r="I12" s="24">
        <f>IF(H12="","",H12+Painel!$B$20)</f>
        <v/>
      </c>
      <c r="J12" s="24">
        <f>IF(I12="","",IFERROR(I12/(1-Config!$B$7-Config!$B$8),""))</f>
        <v/>
      </c>
    </row>
    <row r="13">
      <c r="A13" s="37" t="n"/>
      <c r="B13" s="37" t="n"/>
      <c r="C13" s="44" t="n"/>
      <c r="D13" s="42" t="n"/>
      <c r="E13" s="44" t="n"/>
      <c r="F13" s="41" t="n"/>
      <c r="G13" s="44" t="n"/>
      <c r="H13" s="24">
        <f>IF(OR(A13="",G13&lt;&gt;"Sim",F13="",F13=0),"",IF(E13="Sim",0,D13)/F13)</f>
        <v/>
      </c>
      <c r="I13" s="24">
        <f>IF(H13="","",H13+Painel!$B$20)</f>
        <v/>
      </c>
      <c r="J13" s="24">
        <f>IF(I13="","",IFERROR(I13/(1-Config!$B$7-Config!$B$8),""))</f>
        <v/>
      </c>
    </row>
    <row r="14">
      <c r="A14" s="37" t="n"/>
      <c r="B14" s="37" t="n"/>
      <c r="C14" s="44" t="n"/>
      <c r="D14" s="42" t="n"/>
      <c r="E14" s="44" t="n"/>
      <c r="F14" s="41" t="n"/>
      <c r="G14" s="44" t="n"/>
      <c r="H14" s="24">
        <f>IF(OR(A14="",G14&lt;&gt;"Sim",F14="",F14=0),"",IF(E14="Sim",0,D14)/F14)</f>
        <v/>
      </c>
      <c r="I14" s="24">
        <f>IF(H14="","",H14+Painel!$B$20)</f>
        <v/>
      </c>
      <c r="J14" s="24">
        <f>IF(I14="","",IFERROR(I14/(1-Config!$B$7-Config!$B$8),""))</f>
        <v/>
      </c>
    </row>
    <row r="16">
      <c r="A16" s="39" t="inlineStr">
        <is>
          <t>Custo direto por hora = pró-labore ÷ horas de atendimento. Custo-hora completo = custo direto + rateio dos custos fixos por hora (calculado no Painel). Hora mínima = custo-hora completo ÷ (1 − margem − impostos).</t>
        </is>
      </c>
    </row>
    <row r="17">
      <c r="A17" s="39" t="inlineStr">
        <is>
          <t>Horas de atendimento planejadas: turnos da semana × 4,33 semanas (a planilha 01 mostra as disponíveis e as atendidas de verdade). Médico parceiro por repasse: "Entra no custo-hora? = Não". O custo da estrutura já está inteiro dentro do custo-hora dos sócios; por isso, na planilha 11, o custo indireto por hora entra só como informação e a margem da parceria desconta o material, não a estrutura de novo.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K2"/>
    <mergeCell ref="A1:K1"/>
  </mergeCells>
  <dataValidations count="2">
    <dataValidation sqref="E5:E14 G5:G14" showDropDown="0" showInputMessage="0" showErrorMessage="1" allowBlank="1" type="list">
      <formula1>"Sim,Não"</formula1>
    </dataValidation>
    <dataValidation sqref="C5:C14" showDropDown="0" showInputMessage="0" showErrorMessage="1" allowBlank="1" type="list">
      <formula1>"Pró-labore,Salário,Repasse"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Custo da hora de atendimento · Kit de Gestão para Médicos</dc:title>
  <dcterms:created xmlns:dcterms="http://purl.org/dc/terms/" xmlns:xsi="http://www.w3.org/2001/XMLSchema-instance" xsi:type="dcterms:W3CDTF">2026-09-18T15:07:13Z</dcterms:created>
  <dcterms:modified xmlns:dcterms="http://purl.org/dc/terms/" xmlns:xsi="http://www.w3.org/2001/XMLSchema-instance" xsi:type="dcterms:W3CDTF">2026-09-18T15:07:13Z</dcterms:modified>
</cp:coreProperties>
</file>