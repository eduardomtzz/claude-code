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'Agenda'!$A$4:$R$1204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;[Red]-&quot;R$&quot; #,##0"/>
    <numFmt numFmtId="166" formatCode="hh:mm"/>
    <numFmt numFmtId="167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7" fontId="11" fillId="7" borderId="0" applyAlignment="1" pivotButton="0" quotePrefix="0" xfId="0">
      <alignment horizontal="center"/>
    </xf>
    <xf numFmtId="1" fontId="11" fillId="7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3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10 minutos: olhar as vagas dos próximos 7 dias, oferecer horários à lista de retorno (02) e confirmar os agendados da semana. Sexta: conferir se todo atendimento realizado tem forma de pagamento e situação certas.</t>
        </is>
      </c>
    </row>
    <row r="10" ht="46" customHeight="1">
      <c r="A10" s="3" t="inlineStr">
        <is>
          <t>Ligação com as outras planilhas</t>
        </is>
      </c>
      <c r="B10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1" ht="46" customHeight="1">
      <c r="A11" s="3" t="inlineStr">
        <is>
          <t>Com a IA</t>
        </is>
      </c>
      <c r="B11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SUMIFS(Agenda!$R$5:$R$1204,Agenda!$N$5:$N$1204,Config!$B$7,Agenda!$O$5:$O$1204,Config!$B$5)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COUNTIFS(Agenda!$H$5:$H$1204,"Falta",Agenda!$N$5:$N$1204,Config!$B$7,Agenda!$O$5:$O$1204,Config!$B$5)</f>
        <v>6</v>
      </c>
      <c r="J5" s="14" t="n"/>
      <c r="K5" s="20">
        <f>SUMIFS(Agenda!$M$5:$M$1204,Agenda!$H$5:$H$1204,"Realizado",Agenda!$N$5:$N$1204,Config!$B$7,Agenda!$O$5:$O$1204,Config!$B$5)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/>
    <row r="9">
      <c r="A9" s="22" t="inlineStr">
        <is>
          <t>Por profissional</t>
        </is>
      </c>
    </row>
    <row r="10" ht="26" customHeight="1">
      <c r="A10" s="23" t="inlineStr">
        <is>
          <t>Profissional</t>
        </is>
      </c>
      <c r="B10" s="23" t="inlineStr">
        <is>
          <t>Horas disponíveis</t>
        </is>
      </c>
      <c r="C10" s="23" t="inlineStr">
        <is>
          <t>Horas atendidas</t>
        </is>
      </c>
      <c r="D10" s="23" t="inlineStr">
        <is>
          <t>Ocupação</t>
        </is>
      </c>
      <c r="E10" s="23" t="inlineStr">
        <is>
          <t>Realizados</t>
        </is>
      </c>
      <c r="F10" s="23" t="inlineStr">
        <is>
          <t>Faltas</t>
        </is>
      </c>
      <c r="G10" s="23" t="inlineStr">
        <is>
          <t>Taxa de falta</t>
        </is>
      </c>
      <c r="H10" s="23" t="inlineStr">
        <is>
          <t>Produção (R$)</t>
        </is>
      </c>
      <c r="I10" s="23" t="inlineStr">
        <is>
          <t>Barra</t>
        </is>
      </c>
      <c r="J10" s="24" t="n"/>
      <c r="K10" s="24" t="n"/>
      <c r="L10" s="25" t="n"/>
    </row>
    <row r="11">
      <c r="A11" s="26" t="str">
        <f>IF(Config!$D$5="","",Config!$D$5)</f>
        <v>Dra. Carolina Mendes</v>
      </c>
      <c r="B11" s="27">
        <f>IF(Config!$D$5="","",SUMIFS(Config!$G$20:$G$43,Config!$A$20:$A$43,Config!$D$5))</f>
        <v>24</v>
      </c>
      <c r="C11" s="27">
        <f>IF(Config!$D$5="","",SUMIFS(Agenda!$R$5:$R$1204,Agenda!$C$5:$C$1204,Config!$D$5,Agenda!$N$5:$N$1204,Config!$B$7,Agenda!$O$5:$O$1204,Config!$B$5))</f>
        <v>22</v>
      </c>
      <c r="D11" s="28">
        <f>IF(OR(Config!$D$5="",B11=0),"",C11/B11)</f>
        <v>0.916666666666667</v>
      </c>
      <c r="E11" s="29">
        <f>IF(Config!$D$5="","",COUNTIFS(Agenda!$C$5:$C$1204,Config!$D$5,Agenda!$H$5:$H$1204,"Realizado",Agenda!$N$5:$N$1204,Config!$B$7,Agenda!$O$5:$O$1204,Config!$B$5))</f>
        <v>47</v>
      </c>
      <c r="F11" s="29">
        <f>IF(Config!$D$5="","",COUNTIFS(Agenda!$C$5:$C$1204,Config!$D$5,Agenda!$H$5:$H$1204,"Falta",Agenda!$N$5:$N$1204,Config!$B$7,Agenda!$O$5:$O$1204,Config!$B$5))</f>
        <v>1</v>
      </c>
      <c r="G11" s="28">
        <f>IF(Config!$D$5="","",IF(E11+F11=0,"",F11/(E11+F11)))</f>
        <v>0.0208333333333333</v>
      </c>
      <c r="H11" s="30">
        <f>IF(Config!$D$5="","",SUMIFS(Agenda!$M$5:$M$1204,Agenda!$C$5:$C$1204,Config!$D$5,Agenda!$H$5:$H$1204,"Realizado",Agenda!$N$5:$N$1204,Config!$B$7,Agenda!$O$5:$O$1204,Config!$B$5))</f>
        <v>10050</v>
      </c>
      <c r="I11" s="31" t="str">
        <f>IF(D11="","",REPT("█",ROUND(MIN(1,D11)*30,0)))</f>
        <v>████████████████████████████</v>
      </c>
      <c r="J11" s="24" t="n"/>
      <c r="K11" s="24" t="n"/>
      <c r="L11" s="25" t="n"/>
    </row>
    <row r="12">
      <c r="A12" s="26" t="str">
        <f>IF(Config!$D$6="","",Config!$D$6)</f>
        <v>Dr. Paulo Andrade</v>
      </c>
      <c r="B12" s="27">
        <f>IF(Config!$D$6="","",SUMIFS(Config!$G$20:$G$43,Config!$A$20:$A$43,Config!$D$6))</f>
        <v>24</v>
      </c>
      <c r="C12" s="27">
        <f>IF(Config!$D$6="","",SUMIFS(Agenda!$R$5:$R$1204,Agenda!$C$5:$C$1204,Config!$D$6,Agenda!$N$5:$N$1204,Config!$B$7,Agenda!$O$5:$O$1204,Config!$B$5))</f>
        <v>15.8333333333333</v>
      </c>
      <c r="D12" s="28">
        <f>IF(OR(Config!$D$6="",B12=0),"",C12/B12)</f>
        <v>0.659722222222222</v>
      </c>
      <c r="E12" s="29">
        <f>IF(Config!$D$6="","",COUNTIFS(Agenda!$C$5:$C$1204,Config!$D$6,Agenda!$H$5:$H$1204,"Realizado",Agenda!$N$5:$N$1204,Config!$B$7,Agenda!$O$5:$O$1204,Config!$B$5))</f>
        <v>36</v>
      </c>
      <c r="F12" s="29">
        <f>IF(Config!$D$6="","",COUNTIFS(Agenda!$C$5:$C$1204,Config!$D$6,Agenda!$H$5:$H$1204,"Falta",Agenda!$N$5:$N$1204,Config!$B$7,Agenda!$O$5:$O$1204,Config!$B$5))</f>
        <v>4</v>
      </c>
      <c r="G12" s="28">
        <f>IF(Config!$D$6="","",IF(E12+F12=0,"",F12/(E12+F12)))</f>
        <v>0.1</v>
      </c>
      <c r="H12" s="30">
        <f>IF(Config!$D$6="","",SUMIFS(Agenda!$M$5:$M$1204,Agenda!$C$5:$C$1204,Config!$D$6,Agenda!$H$5:$H$1204,"Realizado",Agenda!$N$5:$N$1204,Config!$B$7,Agenda!$O$5:$O$1204,Config!$B$5))</f>
        <v>4145</v>
      </c>
      <c r="I12" s="31" t="str">
        <f>IF(D12="","",REPT("█",ROUND(MIN(1,D12)*30,0)))</f>
        <v>████████████████████</v>
      </c>
      <c r="J12" s="24" t="n"/>
      <c r="K12" s="24" t="n"/>
      <c r="L12" s="25" t="n"/>
    </row>
    <row r="13">
      <c r="A13" s="26" t="str">
        <f>IF(Config!$D$7="","",Config!$D$7)</f>
        <v>Dra. Renata Sousa</v>
      </c>
      <c r="B13" s="27">
        <f>IF(Config!$D$7="","",SUMIFS(Config!$G$20:$G$43,Config!$A$20:$A$43,Config!$D$7))</f>
        <v>16</v>
      </c>
      <c r="C13" s="27">
        <f>IF(Config!$D$7="","",SUMIFS(Agenda!$R$5:$R$1204,Agenda!$C$5:$C$1204,Config!$D$7,Agenda!$N$5:$N$1204,Config!$B$7,Agenda!$O$5:$O$1204,Config!$B$5))</f>
        <v>14</v>
      </c>
      <c r="D13" s="28">
        <f>IF(OR(Config!$D$7="",B13=0),"",C13/B13)</f>
        <v>0.875</v>
      </c>
      <c r="E13" s="29">
        <f>IF(Config!$D$7="","",COUNTIFS(Agenda!$C$5:$C$1204,Config!$D$7,Agenda!$H$5:$H$1204,"Realizado",Agenda!$N$5:$N$1204,Config!$B$7,Agenda!$O$5:$O$1204,Config!$B$5))</f>
        <v>24</v>
      </c>
      <c r="F13" s="29">
        <f>IF(Config!$D$7="","",COUNTIFS(Agenda!$C$5:$C$1204,Config!$D$7,Agenda!$H$5:$H$1204,"Falta",Agenda!$N$5:$N$1204,Config!$B$7,Agenda!$O$5:$O$1204,Config!$B$5))</f>
        <v>1</v>
      </c>
      <c r="G13" s="28">
        <f>IF(Config!$D$7="","",IF(E13+F13=0,"",F13/(E13+F13)))</f>
        <v>0.04</v>
      </c>
      <c r="H13" s="30">
        <f>IF(Config!$D$7="","",SUMIFS(Agenda!$M$5:$M$1204,Agenda!$C$5:$C$1204,Config!$D$7,Agenda!$H$5:$H$1204,"Realizado",Agenda!$N$5:$N$1204,Config!$B$7,Agenda!$O$5:$O$1204,Config!$B$5))</f>
        <v>5850</v>
      </c>
      <c r="I13" s="31" t="str">
        <f>IF(D13="","",REPT("█",ROUND(MIN(1,D13)*30,0)))</f>
        <v>██████████████████████████</v>
      </c>
      <c r="J13" s="24" t="n"/>
      <c r="K13" s="24" t="n"/>
      <c r="L13" s="25" t="n"/>
    </row>
    <row r="14">
      <c r="A14" s="26">
        <f>IF(Config!$D$8="","",Config!$D$8)</f>
        <v/>
      </c>
      <c r="B14" s="27">
        <f>IF(Config!$D$8="","",SUMIFS(Config!$G$20:$G$43,Config!$A$20:$A$43,Config!$D$8))</f>
        <v/>
      </c>
      <c r="C14" s="27">
        <f>IF(Config!$D$8="","",SUMIFS(Agenda!$R$5:$R$1204,Agenda!$C$5:$C$1204,Config!$D$8,Agenda!$N$5:$N$1204,Config!$B$7,Agenda!$O$5:$O$1204,Config!$B$5))</f>
        <v/>
      </c>
      <c r="D14" s="28">
        <f>IF(OR(Config!$D$8="",B14=0),"",C14/B14)</f>
        <v/>
      </c>
      <c r="E14" s="29">
        <f>IF(Config!$D$8="","",COUNTIFS(Agenda!$C$5:$C$1204,Config!$D$8,Agenda!$H$5:$H$1204,"Realizado",Agenda!$N$5:$N$1204,Config!$B$7,Agenda!$O$5:$O$1204,Config!$B$5))</f>
        <v/>
      </c>
      <c r="F14" s="29">
        <f>IF(Config!$D$8="","",COUNTIFS(Agenda!$C$5:$C$1204,Config!$D$8,Agenda!$H$5:$H$1204,"Falta",Agenda!$N$5:$N$1204,Config!$B$7,Agenda!$O$5:$O$1204,Config!$B$5))</f>
        <v/>
      </c>
      <c r="G14" s="28">
        <f>IF(Config!$D$8="","",IF(E14+F14=0,"",F14/(E14+F14)))</f>
        <v/>
      </c>
      <c r="H14" s="30">
        <f>IF(Config!$D$8="","",SUMIFS(Agenda!$M$5:$M$1204,Agenda!$C$5:$C$1204,Config!$D$8,Agenda!$H$5:$H$1204,"Realizado",Agenda!$N$5:$N$1204,Config!$B$7,Agenda!$O$5:$O$1204,Config!$B$5))</f>
        <v/>
      </c>
      <c r="I14" s="31">
        <f>IF(D14="","",REPT("█",ROUND(MIN(1,D14)*30,0)))</f>
        <v/>
      </c>
      <c r="J14" s="24" t="n"/>
      <c r="K14" s="24" t="n"/>
      <c r="L14" s="25" t="n"/>
    </row>
    <row r="15">
      <c r="A15" s="26">
        <f>IF(Config!$D$9="","",Config!$D$9)</f>
        <v/>
      </c>
      <c r="B15" s="27">
        <f>IF(Config!$D$9="","",SUMIFS(Config!$G$20:$G$43,Config!$A$20:$A$43,Config!$D$9))</f>
        <v/>
      </c>
      <c r="C15" s="27">
        <f>IF(Config!$D$9="","",SUMIFS(Agenda!$R$5:$R$1204,Agenda!$C$5:$C$1204,Config!$D$9,Agenda!$N$5:$N$1204,Config!$B$7,Agenda!$O$5:$O$1204,Config!$B$5))</f>
        <v/>
      </c>
      <c r="D15" s="28">
        <f>IF(OR(Config!$D$9="",B15=0),"",C15/B15)</f>
        <v/>
      </c>
      <c r="E15" s="29">
        <f>IF(Config!$D$9="","",COUNTIFS(Agenda!$C$5:$C$1204,Config!$D$9,Agenda!$H$5:$H$1204,"Realizado",Agenda!$N$5:$N$1204,Config!$B$7,Agenda!$O$5:$O$1204,Config!$B$5))</f>
        <v/>
      </c>
      <c r="F15" s="29">
        <f>IF(Config!$D$9="","",COUNTIFS(Agenda!$C$5:$C$1204,Config!$D$9,Agenda!$H$5:$H$1204,"Falta",Agenda!$N$5:$N$1204,Config!$B$7,Agenda!$O$5:$O$1204,Config!$B$5))</f>
        <v/>
      </c>
      <c r="G15" s="28">
        <f>IF(Config!$D$9="","",IF(E15+F15=0,"",F15/(E15+F15)))</f>
        <v/>
      </c>
      <c r="H15" s="30">
        <f>IF(Config!$D$9="","",SUMIFS(Agenda!$M$5:$M$1204,Agenda!$C$5:$C$1204,Config!$D$9,Agenda!$H$5:$H$1204,"Realizado",Agenda!$N$5:$N$1204,Config!$B$7,Agenda!$O$5:$O$1204,Config!$B$5))</f>
        <v/>
      </c>
      <c r="I15" s="31">
        <f>IF(D15="","",REPT("█",ROUND(MIN(1,D15)*30,0)))</f>
        <v/>
      </c>
      <c r="J15" s="24" t="n"/>
      <c r="K15" s="24" t="n"/>
      <c r="L15" s="25" t="n"/>
    </row>
    <row r="16">
      <c r="A16" s="26">
        <f>IF(Config!$D$10="","",Config!$D$10)</f>
        <v/>
      </c>
      <c r="B16" s="27">
        <f>IF(Config!$D$10="","",SUMIFS(Config!$G$20:$G$43,Config!$A$20:$A$43,Config!$D$10))</f>
        <v/>
      </c>
      <c r="C16" s="27">
        <f>IF(Config!$D$10="","",SUMIFS(Agenda!$R$5:$R$1204,Agenda!$C$5:$C$1204,Config!$D$10,Agenda!$N$5:$N$1204,Config!$B$7,Agenda!$O$5:$O$1204,Config!$B$5))</f>
        <v/>
      </c>
      <c r="D16" s="28">
        <f>IF(OR(Config!$D$10="",B16=0),"",C16/B16)</f>
        <v/>
      </c>
      <c r="E16" s="29">
        <f>IF(Config!$D$10="","",COUNTIFS(Agenda!$C$5:$C$1204,Config!$D$10,Agenda!$H$5:$H$1204,"Realizado",Agenda!$N$5:$N$1204,Config!$B$7,Agenda!$O$5:$O$1204,Config!$B$5))</f>
        <v/>
      </c>
      <c r="F16" s="29">
        <f>IF(Config!$D$10="","",COUNTIFS(Agenda!$C$5:$C$1204,Config!$D$10,Agenda!$H$5:$H$1204,"Falta",Agenda!$N$5:$N$1204,Config!$B$7,Agenda!$O$5:$O$1204,Config!$B$5))</f>
        <v/>
      </c>
      <c r="G16" s="28">
        <f>IF(Config!$D$10="","",IF(E16+F16=0,"",F16/(E16+F16)))</f>
        <v/>
      </c>
      <c r="H16" s="30">
        <f>IF(Config!$D$10="","",SUMIFS(Agenda!$M$5:$M$1204,Agenda!$C$5:$C$1204,Config!$D$10,Agenda!$H$5:$H$1204,"Realizado",Agenda!$N$5:$N$1204,Config!$B$7,Agenda!$O$5:$O$1204,Config!$B$5))</f>
        <v/>
      </c>
      <c r="I16" s="31">
        <f>IF(D16="","",REPT("█",ROUND(MIN(1,D16)*30,0)))</f>
        <v/>
      </c>
      <c r="J16" s="24" t="n"/>
      <c r="K16" s="24" t="n"/>
      <c r="L16" s="25" t="n"/>
    </row>
    <row r="17">
      <c r="A17" s="26">
        <f>IF(Config!$D$11="","",Config!$D$11)</f>
        <v/>
      </c>
      <c r="B17" s="27">
        <f>IF(Config!$D$11="","",SUMIFS(Config!$G$20:$G$43,Config!$A$20:$A$43,Config!$D$11))</f>
        <v/>
      </c>
      <c r="C17" s="27">
        <f>IF(Config!$D$11="","",SUMIFS(Agenda!$R$5:$R$1204,Agenda!$C$5:$C$1204,Config!$D$11,Agenda!$N$5:$N$1204,Config!$B$7,Agenda!$O$5:$O$1204,Config!$B$5))</f>
        <v/>
      </c>
      <c r="D17" s="28">
        <f>IF(OR(Config!$D$11="",B17=0),"",C17/B17)</f>
        <v/>
      </c>
      <c r="E17" s="29">
        <f>IF(Config!$D$11="","",COUNTIFS(Agenda!$C$5:$C$1204,Config!$D$11,Agenda!$H$5:$H$1204,"Realizado",Agenda!$N$5:$N$1204,Config!$B$7,Agenda!$O$5:$O$1204,Config!$B$5))</f>
        <v/>
      </c>
      <c r="F17" s="29">
        <f>IF(Config!$D$11="","",COUNTIFS(Agenda!$C$5:$C$1204,Config!$D$11,Agenda!$H$5:$H$1204,"Falta",Agenda!$N$5:$N$1204,Config!$B$7,Agenda!$O$5:$O$1204,Config!$B$5))</f>
        <v/>
      </c>
      <c r="G17" s="28">
        <f>IF(Config!$D$11="","",IF(E17+F17=0,"",F17/(E17+F17)))</f>
        <v/>
      </c>
      <c r="H17" s="30">
        <f>IF(Config!$D$11="","",SUMIFS(Agenda!$M$5:$M$1204,Agenda!$C$5:$C$1204,Config!$D$11,Agenda!$H$5:$H$1204,"Realizado",Agenda!$N$5:$N$1204,Config!$B$7,Agenda!$O$5:$O$1204,Config!$B$5))</f>
        <v/>
      </c>
      <c r="I17" s="31">
        <f>IF(D17="","",REPT("█",ROUND(MIN(1,D17)*30,0)))</f>
        <v/>
      </c>
      <c r="J17" s="24" t="n"/>
      <c r="K17" s="24" t="n"/>
      <c r="L17" s="25" t="n"/>
    </row>
    <row r="18">
      <c r="A18" s="26">
        <f>IF(Config!$D$12="","",Config!$D$12)</f>
        <v/>
      </c>
      <c r="B18" s="27">
        <f>IF(Config!$D$12="","",SUMIFS(Config!$G$20:$G$43,Config!$A$20:$A$43,Config!$D$12))</f>
        <v/>
      </c>
      <c r="C18" s="27">
        <f>IF(Config!$D$12="","",SUMIFS(Agenda!$R$5:$R$1204,Agenda!$C$5:$C$1204,Config!$D$12,Agenda!$N$5:$N$1204,Config!$B$7,Agenda!$O$5:$O$1204,Config!$B$5))</f>
        <v/>
      </c>
      <c r="D18" s="28">
        <f>IF(OR(Config!$D$12="",B18=0),"",C18/B18)</f>
        <v/>
      </c>
      <c r="E18" s="29">
        <f>IF(Config!$D$12="","",COUNTIFS(Agenda!$C$5:$C$1204,Config!$D$12,Agenda!$H$5:$H$1204,"Realizado",Agenda!$N$5:$N$1204,Config!$B$7,Agenda!$O$5:$O$1204,Config!$B$5))</f>
        <v/>
      </c>
      <c r="F18" s="29">
        <f>IF(Config!$D$12="","",COUNTIFS(Agenda!$C$5:$C$1204,Config!$D$12,Agenda!$H$5:$H$1204,"Falta",Agenda!$N$5:$N$1204,Config!$B$7,Agenda!$O$5:$O$1204,Config!$B$5))</f>
        <v/>
      </c>
      <c r="G18" s="28">
        <f>IF(Config!$D$12="","",IF(E18+F18=0,"",F18/(E18+F18)))</f>
        <v/>
      </c>
      <c r="H18" s="30">
        <f>IF(Config!$D$12="","",SUMIFS(Agenda!$M$5:$M$1204,Agenda!$C$5:$C$1204,Config!$D$12,Agenda!$H$5:$H$1204,"Realizado",Agenda!$N$5:$N$1204,Config!$B$7,Agenda!$O$5:$O$1204,Config!$B$5))</f>
        <v/>
      </c>
      <c r="I18" s="31">
        <f>IF(D18="","",REPT("█",ROUND(MIN(1,D18)*30,0)))</f>
        <v/>
      </c>
      <c r="J18" s="24" t="n"/>
      <c r="K18" s="24" t="n"/>
      <c r="L18" s="25" t="n"/>
    </row>
    <row r="19">
      <c r="A19" s="32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2" t="inlineStr">
        <is>
          <t>Por sala</t>
        </is>
      </c>
    </row>
    <row r="22" ht="26" customHeight="1">
      <c r="A22" s="23" t="inlineStr">
        <is>
          <t>Sala</t>
        </is>
      </c>
      <c r="B22" s="23" t="inlineStr">
        <is>
          <t>Horas disponíveis</t>
        </is>
      </c>
      <c r="C22" s="23" t="inlineStr">
        <is>
          <t>Horas atendidas</t>
        </is>
      </c>
      <c r="D22" s="23" t="inlineStr">
        <is>
          <t>Ocupação</t>
        </is>
      </c>
      <c r="E22" s="23" t="inlineStr">
        <is>
          <t>Horas vazias</t>
        </is>
      </c>
      <c r="F22" s="23" t="inlineStr">
        <is>
          <t>Turnos por semana</t>
        </is>
      </c>
    </row>
    <row r="23">
      <c r="A23" s="26" t="str">
        <f>IF(Config!$F$5="","",Config!$F$5)</f>
        <v>Sala 1</v>
      </c>
      <c r="B23" s="27">
        <f>IF(Config!$F$5="","",SUMIFS(Config!$G$20:$G$43,Config!$D$20:$D$43,Config!$F$5))</f>
        <v>40</v>
      </c>
      <c r="C23" s="27">
        <f>IF(Config!$F$5="","",SUMIFS(Agenda!$R$5:$R$1204,Agenda!$D$5:$D$1204,Config!$F$5,Agenda!$N$5:$N$1204,Config!$B$7,Agenda!$O$5:$O$1204,Config!$B$5))</f>
        <v>36</v>
      </c>
      <c r="D23" s="28">
        <f>IF(OR(Config!$F$5="",B23=0),"",C23/B23)</f>
        <v>0.9</v>
      </c>
      <c r="E23" s="27">
        <f>IF(B23="","",MAX(0,B23-C23))</f>
        <v>4</v>
      </c>
      <c r="F23" s="29">
        <f>IF(Config!$F$5="","",COUNTIFS(Config!$D$20:$D$43,Config!$F$5,Config!$A$20:$A$43,"&lt;&gt;"))</f>
        <v>6</v>
      </c>
    </row>
    <row r="24">
      <c r="A24" s="26" t="str">
        <f>IF(Config!$F$6="","",Config!$F$6)</f>
        <v>Sala 2</v>
      </c>
      <c r="B24" s="27">
        <f>IF(Config!$F$6="","",SUMIFS(Config!$G$20:$G$43,Config!$D$20:$D$43,Config!$F$6))</f>
        <v>24</v>
      </c>
      <c r="C24" s="27">
        <f>IF(Config!$F$6="","",SUMIFS(Agenda!$R$5:$R$1204,Agenda!$D$5:$D$1204,Config!$F$6,Agenda!$N$5:$N$1204,Config!$B$7,Agenda!$O$5:$O$1204,Config!$B$5))</f>
        <v>15.8333333333333</v>
      </c>
      <c r="D24" s="28">
        <f>IF(OR(Config!$F$6="",B24=0),"",C24/B24)</f>
        <v>0.659722222222222</v>
      </c>
      <c r="E24" s="27">
        <f>IF(B24="","",MAX(0,B24-C24))</f>
        <v>8.16666666666667</v>
      </c>
      <c r="F24" s="29">
        <f>IF(Config!$F$6="","",COUNTIFS(Config!$D$20:$D$43,Config!$F$6,Config!$A$20:$A$43,"&lt;&gt;"))</f>
        <v>4</v>
      </c>
    </row>
    <row r="25">
      <c r="A25" s="26">
        <f>IF(Config!$F$7="","",Config!$F$7)</f>
        <v/>
      </c>
      <c r="B25" s="27">
        <f>IF(Config!$F$7="","",SUMIFS(Config!$G$20:$G$43,Config!$D$20:$D$43,Config!$F$7))</f>
        <v/>
      </c>
      <c r="C25" s="27">
        <f>IF(Config!$F$7="","",SUMIFS(Agenda!$R$5:$R$1204,Agenda!$D$5:$D$1204,Config!$F$7,Agenda!$N$5:$N$1204,Config!$B$7,Agenda!$O$5:$O$1204,Config!$B$5))</f>
        <v/>
      </c>
      <c r="D25" s="28">
        <f>IF(OR(Config!$F$7="",B25=0),"",C25/B25)</f>
        <v/>
      </c>
      <c r="E25" s="27">
        <f>IF(B25="","",MAX(0,B25-C25))</f>
        <v/>
      </c>
      <c r="F25" s="29">
        <f>IF(Config!$F$7="","",COUNTIFS(Config!$D$20:$D$43,Config!$F$7,Config!$A$20:$A$43,"&lt;&gt;"))</f>
        <v/>
      </c>
    </row>
    <row r="26">
      <c r="A26" s="26">
        <f>IF(Config!$F$8="","",Config!$F$8)</f>
        <v/>
      </c>
      <c r="B26" s="27">
        <f>IF(Config!$F$8="","",SUMIFS(Config!$G$20:$G$43,Config!$D$20:$D$43,Config!$F$8))</f>
        <v/>
      </c>
      <c r="C26" s="27">
        <f>IF(Config!$F$8="","",SUMIFS(Agenda!$R$5:$R$1204,Agenda!$D$5:$D$1204,Config!$F$8,Agenda!$N$5:$N$1204,Config!$B$7,Agenda!$O$5:$O$1204,Config!$B$5))</f>
        <v/>
      </c>
      <c r="D26" s="28">
        <f>IF(OR(Config!$F$8="",B26=0),"",C26/B26)</f>
        <v/>
      </c>
      <c r="E26" s="27">
        <f>IF(B26="","",MAX(0,B26-C26))</f>
        <v/>
      </c>
      <c r="F26" s="29">
        <f>IF(Config!$F$8="","",COUNTIFS(Config!$D$20:$D$43,Config!$F$8,Config!$A$20:$A$43,"&lt;&gt;"))</f>
        <v/>
      </c>
    </row>
    <row r="27">
      <c r="A27" s="26">
        <f>IF(Config!$F$9="","",Config!$F$9)</f>
        <v/>
      </c>
      <c r="B27" s="27">
        <f>IF(Config!$F$9="","",SUMIFS(Config!$G$20:$G$43,Config!$D$20:$D$43,Config!$F$9))</f>
        <v/>
      </c>
      <c r="C27" s="27">
        <f>IF(Config!$F$9="","",SUMIFS(Agenda!$R$5:$R$1204,Agenda!$D$5:$D$1204,Config!$F$9,Agenda!$N$5:$N$1204,Config!$B$7,Agenda!$O$5:$O$1204,Config!$B$5))</f>
        <v/>
      </c>
      <c r="D27" s="28">
        <f>IF(OR(Config!$F$9="",B27=0),"",C27/B27)</f>
        <v/>
      </c>
      <c r="E27" s="27">
        <f>IF(B27="","",MAX(0,B27-C27))</f>
        <v/>
      </c>
      <c r="F27" s="29">
        <f>IF(Config!$F$9="","",COUNTIFS(Config!$D$20:$D$43,Config!$F$9,Config!$A$20:$A$43,"&lt;&gt;"))</f>
        <v/>
      </c>
    </row>
    <row r="28">
      <c r="A28" s="26">
        <f>IF(Config!$F$10="","",Config!$F$10)</f>
        <v/>
      </c>
      <c r="B28" s="27">
        <f>IF(Config!$F$10="","",SUMIFS(Config!$G$20:$G$43,Config!$D$20:$D$43,Config!$F$10))</f>
        <v/>
      </c>
      <c r="C28" s="27">
        <f>IF(Config!$F$10="","",SUMIFS(Agenda!$R$5:$R$1204,Agenda!$D$5:$D$1204,Config!$F$10,Agenda!$N$5:$N$1204,Config!$B$7,Agenda!$O$5:$O$1204,Config!$B$5))</f>
        <v/>
      </c>
      <c r="D28" s="28">
        <f>IF(OR(Config!$F$10="",B28=0),"",C28/B28)</f>
        <v/>
      </c>
      <c r="E28" s="27">
        <f>IF(B28="","",MAX(0,B28-C28))</f>
        <v/>
      </c>
      <c r="F28" s="29">
        <f>IF(Config!$F$10="","",COUNTIFS(Config!$D$20:$D$43,Config!$F$10,Config!$A$20:$A$43,"&lt;&gt;"))</f>
        <v/>
      </c>
    </row>
    <row r="29">
      <c r="A29" s="32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2" t="inlineStr">
        <is>
          <t>Por dia da semana e período (onde a agenda esvazia)</t>
        </is>
      </c>
    </row>
    <row r="33" ht="32" customHeight="1">
      <c r="A33" s="23" t="inlineStr">
        <is>
          <t>Dia</t>
        </is>
      </c>
      <c r="B33" s="23" t="inlineStr">
        <is>
          <t>Manhã · disponíveis</t>
        </is>
      </c>
      <c r="C33" s="23" t="inlineStr">
        <is>
          <t>Manhã · atendidas</t>
        </is>
      </c>
      <c r="D33" s="23" t="inlineStr">
        <is>
          <t>Manhã · ocupação</t>
        </is>
      </c>
      <c r="E33" s="23" t="inlineStr">
        <is>
          <t>Tarde · disponíveis</t>
        </is>
      </c>
      <c r="F33" s="23" t="inlineStr">
        <is>
          <t>Tarde · atendidas</t>
        </is>
      </c>
      <c r="G33" s="23" t="inlineStr">
        <is>
          <t>Tarde · ocupação</t>
        </is>
      </c>
      <c r="H33" s="23" t="inlineStr">
        <is>
          <t>Faltas no dia</t>
        </is>
      </c>
    </row>
    <row r="34">
      <c r="A34" s="26" t="inlineStr">
        <is>
          <t>Segunda</t>
        </is>
      </c>
      <c r="B34" s="27">
        <f>SUMIFS(Config!$G$20:$G$43,Config!$B$20:$B$43,A34,Config!$C$20:$C$43,"Manhã")</f>
        <v>0</v>
      </c>
      <c r="C34" s="27">
        <f>SUMIFS(Agenda!$R$5:$R$1204,Agenda!$P$5:$P$1204,A34,Agenda!$Q$5:$Q$1204,"Manhã",Agenda!$N$5:$N$1204,Config!$B$7,Agenda!$O$5:$O$1204,Config!$B$5)</f>
        <v>0</v>
      </c>
      <c r="D34" s="28">
        <f>IF(B34=0,"",C34/B34)</f>
        <v/>
      </c>
      <c r="E34" s="27">
        <f>SUMIFS(Config!$G$20:$G$43,Config!$B$20:$B$43,A34,Config!$C$20:$C$43,"Tarde")</f>
        <v>0</v>
      </c>
      <c r="F34" s="27">
        <f>SUMIFS(Agenda!$R$5:$R$1204,Agenda!$P$5:$P$1204,A34,Agenda!$Q$5:$Q$1204,"Tarde",Agenda!$N$5:$N$1204,Config!$B$7,Agenda!$O$5:$O$1204,Config!$B$5)</f>
        <v>0</v>
      </c>
      <c r="G34" s="28">
        <f>IF(E34=0,"",F34/E34)</f>
        <v/>
      </c>
      <c r="H34" s="29">
        <f>COUNTIFS(Agenda!$P$5:$P$1204,A34,Agenda!$H$5:$H$1204,"Falta",Agenda!$N$5:$N$1204,Config!$B$7,Agenda!$O$5:$O$1204,Config!$B$5)</f>
        <v>0</v>
      </c>
    </row>
    <row r="35">
      <c r="A35" s="26" t="inlineStr">
        <is>
          <t>Terça</t>
        </is>
      </c>
      <c r="B35" s="27">
        <f>SUMIFS(Config!$G$20:$G$43,Config!$B$20:$B$43,A35,Config!$C$20:$C$43,"Manhã")</f>
        <v>8</v>
      </c>
      <c r="C35" s="27">
        <f>SUMIFS(Agenda!$R$5:$R$1204,Agenda!$P$5:$P$1204,A35,Agenda!$Q$5:$Q$1204,"Manhã",Agenda!$N$5:$N$1204,Config!$B$7,Agenda!$O$5:$O$1204,Config!$B$5)</f>
        <v>6.83333333333333</v>
      </c>
      <c r="D35" s="28">
        <f>IF(B35=0,"",C35/B35)</f>
        <v>0.854166666666667</v>
      </c>
      <c r="E35" s="27">
        <f>SUMIFS(Config!$G$20:$G$43,Config!$B$20:$B$43,A35,Config!$C$20:$C$43,"Tarde")</f>
        <v>16</v>
      </c>
      <c r="F35" s="27">
        <f>SUMIFS(Agenda!$R$5:$R$1204,Agenda!$P$5:$P$1204,A35,Agenda!$Q$5:$Q$1204,"Tarde",Agenda!$N$5:$N$1204,Config!$B$7,Agenda!$O$5:$O$1204,Config!$B$5)</f>
        <v>13</v>
      </c>
      <c r="G35" s="28">
        <f>IF(E35=0,"",F35/E35)</f>
        <v>0.8125</v>
      </c>
      <c r="H35" s="29">
        <f>COUNTIFS(Agenda!$P$5:$P$1204,A35,Agenda!$H$5:$H$1204,"Falta",Agenda!$N$5:$N$1204,Config!$B$7,Agenda!$O$5:$O$1204,Config!$B$5)</f>
        <v>2</v>
      </c>
    </row>
    <row r="36">
      <c r="A36" s="26" t="inlineStr">
        <is>
          <t>Quarta</t>
        </is>
      </c>
      <c r="B36" s="27">
        <f>SUMIFS(Config!$G$20:$G$43,Config!$B$20:$B$43,A36,Config!$C$20:$C$43,"Manhã")</f>
        <v>0</v>
      </c>
      <c r="C36" s="27">
        <f>SUMIFS(Agenda!$R$5:$R$1204,Agenda!$P$5:$P$1204,A36,Agenda!$Q$5:$Q$1204,"Manhã",Agenda!$N$5:$N$1204,Config!$B$7,Agenda!$O$5:$O$1204,Config!$B$5)</f>
        <v>0</v>
      </c>
      <c r="D36" s="28">
        <f>IF(B36=0,"",C36/B36)</f>
        <v/>
      </c>
      <c r="E36" s="27">
        <f>SUMIFS(Config!$G$20:$G$43,Config!$B$20:$B$43,A36,Config!$C$20:$C$43,"Tarde")</f>
        <v>8</v>
      </c>
      <c r="F36" s="27">
        <f>SUMIFS(Agenda!$R$5:$R$1204,Agenda!$P$5:$P$1204,A36,Agenda!$Q$5:$Q$1204,"Tarde",Agenda!$N$5:$N$1204,Config!$B$7,Agenda!$O$5:$O$1204,Config!$B$5)</f>
        <v>7.83333333333333</v>
      </c>
      <c r="G36" s="28">
        <f>IF(E36=0,"",F36/E36)</f>
        <v>0.979166666666667</v>
      </c>
      <c r="H36" s="29">
        <f>COUNTIFS(Agenda!$P$5:$P$1204,A36,Agenda!$H$5:$H$1204,"Falta",Agenda!$N$5:$N$1204,Config!$B$7,Agenda!$O$5:$O$1204,Config!$B$5)</f>
        <v>0</v>
      </c>
    </row>
    <row r="37">
      <c r="A37" s="26" t="inlineStr">
        <is>
          <t>Quinta</t>
        </is>
      </c>
      <c r="B37" s="27">
        <f>SUMIFS(Config!$G$20:$G$43,Config!$B$20:$B$43,A37,Config!$C$20:$C$43,"Manhã")</f>
        <v>8</v>
      </c>
      <c r="C37" s="27">
        <f>SUMIFS(Agenda!$R$5:$R$1204,Agenda!$P$5:$P$1204,A37,Agenda!$Q$5:$Q$1204,"Manhã",Agenda!$N$5:$N$1204,Config!$B$7,Agenda!$O$5:$O$1204,Config!$B$5)</f>
        <v>7.33333333333333</v>
      </c>
      <c r="D37" s="28">
        <f>IF(B37=0,"",C37/B37)</f>
        <v>0.916666666666667</v>
      </c>
      <c r="E37" s="27">
        <f>SUMIFS(Config!$G$20:$G$43,Config!$B$20:$B$43,A37,Config!$C$20:$C$43,"Tarde")</f>
        <v>16</v>
      </c>
      <c r="F37" s="27">
        <f>SUMIFS(Agenda!$R$5:$R$1204,Agenda!$P$5:$P$1204,A37,Agenda!$Q$5:$Q$1204,"Tarde",Agenda!$N$5:$N$1204,Config!$B$7,Agenda!$O$5:$O$1204,Config!$B$5)</f>
        <v>11.6666666666667</v>
      </c>
      <c r="G37" s="28">
        <f>IF(E37=0,"",F37/E37)</f>
        <v>0.729166666666667</v>
      </c>
      <c r="H37" s="29">
        <f>COUNTIFS(Agenda!$P$5:$P$1204,A37,Agenda!$H$5:$H$1204,"Falta",Agenda!$N$5:$N$1204,Config!$B$7,Agenda!$O$5:$O$1204,Config!$B$5)</f>
        <v>2</v>
      </c>
    </row>
    <row r="38">
      <c r="A38" s="26" t="inlineStr">
        <is>
          <t>Sexta</t>
        </is>
      </c>
      <c r="B38" s="27">
        <f>SUMIFS(Config!$G$20:$G$43,Config!$B$20:$B$43,A38,Config!$C$20:$C$43,"Manhã")</f>
        <v>8</v>
      </c>
      <c r="C38" s="27">
        <f>SUMIFS(Agenda!$R$5:$R$1204,Agenda!$P$5:$P$1204,A38,Agenda!$Q$5:$Q$1204,"Manhã",Agenda!$N$5:$N$1204,Config!$B$7,Agenda!$O$5:$O$1204,Config!$B$5)</f>
        <v>5.16666666666667</v>
      </c>
      <c r="D38" s="28">
        <f>IF(B38=0,"",C38/B38)</f>
        <v>0.645833333333333</v>
      </c>
      <c r="E38" s="27">
        <f>SUMIFS(Config!$G$20:$G$43,Config!$B$20:$B$43,A38,Config!$C$20:$C$43,"Tarde")</f>
        <v>0</v>
      </c>
      <c r="F38" s="27">
        <f>SUMIFS(Agenda!$R$5:$R$1204,Agenda!$P$5:$P$1204,A38,Agenda!$Q$5:$Q$1204,"Tarde",Agenda!$N$5:$N$1204,Config!$B$7,Agenda!$O$5:$O$1204,Config!$B$5)</f>
        <v>0</v>
      </c>
      <c r="G38" s="28">
        <f>IF(E38=0,"",F38/E38)</f>
        <v/>
      </c>
      <c r="H38" s="29">
        <f>COUNTIFS(Agenda!$P$5:$P$1204,A38,Agenda!$H$5:$H$1204,"Falta",Agenda!$N$5:$N$1204,Config!$B$7,Agenda!$O$5:$O$1204,Config!$B$5)</f>
        <v>2</v>
      </c>
    </row>
    <row r="39">
      <c r="A39" s="26" t="inlineStr">
        <is>
          <t>Sábado</t>
        </is>
      </c>
      <c r="B39" s="27">
        <f>SUMIFS(Config!$G$20:$G$43,Config!$B$20:$B$43,A39,Config!$C$20:$C$43,"Manhã")</f>
        <v>0</v>
      </c>
      <c r="C39" s="27">
        <f>SUMIFS(Agenda!$R$5:$R$1204,Agenda!$P$5:$P$1204,A39,Agenda!$Q$5:$Q$1204,"Manhã",Agenda!$N$5:$N$1204,Config!$B$7,Agenda!$O$5:$O$1204,Config!$B$5)</f>
        <v>0</v>
      </c>
      <c r="D39" s="28">
        <f>IF(B39=0,"",C39/B39)</f>
        <v/>
      </c>
      <c r="E39" s="27">
        <f>SUMIFS(Config!$G$20:$G$43,Config!$B$20:$B$43,A39,Config!$C$20:$C$43,"Tarde")</f>
        <v>0</v>
      </c>
      <c r="F39" s="27">
        <f>SUMIFS(Agenda!$R$5:$R$1204,Agenda!$P$5:$P$1204,A39,Agenda!$Q$5:$Q$1204,"Tarde",Agenda!$N$5:$N$1204,Config!$B$7,Agenda!$O$5:$O$1204,Config!$B$5)</f>
        <v>0</v>
      </c>
      <c r="G39" s="28">
        <f>IF(E39=0,"",F39/E39)</f>
        <v/>
      </c>
      <c r="H39" s="29">
        <f>COUNTIFS(Agenda!$P$5:$P$1204,A39,Agenda!$H$5:$H$1204,"Falta",Agenda!$N$5:$N$1204,Config!$B$7,Agenda!$O$5:$O$1204,Config!$B$5)</f>
        <v>0</v>
      </c>
    </row>
    <row r="40"/>
    <row r="41"/>
    <row r="42">
      <c r="A42" s="22" t="inlineStr">
        <is>
          <t>Por procedimento</t>
        </is>
      </c>
    </row>
    <row r="43" ht="26" customHeight="1">
      <c r="A43" s="23" t="inlineStr">
        <is>
          <t>Procedimento</t>
        </is>
      </c>
      <c r="B43" s="23" t="inlineStr">
        <is>
          <t>Realizados</t>
        </is>
      </c>
      <c r="C43" s="23" t="inlineStr">
        <is>
          <t>Horas</t>
        </is>
      </c>
      <c r="D43" s="23" t="inlineStr">
        <is>
          <t>Produção (R$)</t>
        </is>
      </c>
      <c r="E43" s="23" t="inlineStr">
        <is>
          <t>Valor médio (R$)</t>
        </is>
      </c>
      <c r="G43" s="23" t="inlineStr">
        <is>
          <t>Pagador</t>
        </is>
      </c>
      <c r="H43" s="23" t="inlineStr">
        <is>
          <t>Realizados</t>
        </is>
      </c>
      <c r="I43" s="23" t="inlineStr">
        <is>
          <t>Faltas</t>
        </is>
      </c>
      <c r="J43" s="23" t="inlineStr">
        <is>
          <t>Taxa de falta</t>
        </is>
      </c>
      <c r="K43" s="23" t="inlineStr">
        <is>
          <t>Produção (R$)</t>
        </is>
      </c>
      <c r="L43" s="23" t="inlineStr">
        <is>
          <t>Valor médio (R$)</t>
        </is>
      </c>
      <c r="M43" s="23" t="inlineStr">
        <is>
          <t>% da produção</t>
        </is>
      </c>
    </row>
    <row r="44">
      <c r="A44" s="26" t="str">
        <f>IF(Config!$J$5="","",Config!$J$5)</f>
        <v>Consulta</v>
      </c>
      <c r="B44" s="29">
        <f>IF(Config!$J$5="","",COUNTIFS(Agenda!$G$5:$G$1204,Config!$J$5,Agenda!$H$5:$H$1204,"Realizado",Agenda!$N$5:$N$1204,Config!$B$7,Agenda!$O$5:$O$1204,Config!$B$5))</f>
        <v>49</v>
      </c>
      <c r="C44" s="27">
        <f>IF(Config!$J$5="","",SUMIFS(Agenda!$R$5:$R$1204,Agenda!$G$5:$G$1204,Config!$J$5,Agenda!$N$5:$N$1204,Config!$B$7,Agenda!$O$5:$O$1204,Config!$B$5))</f>
        <v>24.5</v>
      </c>
      <c r="D44" s="30">
        <f>IF(Config!$J$5="","",SUMIFS(Agenda!$M$5:$M$1204,Agenda!$G$5:$G$1204,Config!$J$5,Agenda!$H$5:$H$1204,"Realizado",Agenda!$N$5:$N$1204,Config!$B$7,Agenda!$O$5:$O$1204,Config!$B$5))</f>
        <v>11240</v>
      </c>
      <c r="E44" s="30">
        <f>IF(OR(Config!$J$5="",B44=0),"",D44/B44)</f>
        <v>229.387755102041</v>
      </c>
      <c r="G44" s="26" t="str">
        <f>IF(Config!$H$5="","",Config!$H$5)</f>
        <v>Particular</v>
      </c>
      <c r="H44" s="29">
        <f>IF(Config!$H$5="","",COUNTIFS(Agenda!$F$5:$F$1204,Config!$H$5,Agenda!$H$5:$H$1204,"Realizado",Agenda!$N$5:$N$1204,Config!$B$7,Agenda!$O$5:$O$1204,Config!$B$5))</f>
        <v>55</v>
      </c>
      <c r="I44" s="29">
        <f>IF(Config!$H$5="","",COUNTIFS(Agenda!$F$5:$F$1204,Config!$H$5,Agenda!$H$5:$H$1204,"Falta",Agenda!$N$5:$N$1204,Config!$B$7,Agenda!$O$5:$O$1204,Config!$B$5))</f>
        <v>2</v>
      </c>
      <c r="J44" s="28">
        <f>IF(Config!$H$5="","",IF(H44+I44=0,"",I44/(H44+I44)))</f>
        <v>0.0350877192982456</v>
      </c>
      <c r="K44" s="30">
        <f>IF(Config!$H$5="","",SUMIFS(Agenda!$M$5:$M$1204,Agenda!$F$5:$F$1204,Config!$H$5,Agenda!$H$5:$H$1204,"Realizado",Agenda!$N$5:$N$1204,Config!$B$7,Agenda!$O$5:$O$1204,Config!$B$5))</f>
        <v>15620</v>
      </c>
      <c r="L44" s="30">
        <f>IF(OR(Config!$H$5="",H44=0),"",K44/H44)</f>
        <v>284</v>
      </c>
      <c r="M44" s="28">
        <f>IF(OR(Config!$H$5="",$K$5=0),"",K44/$K$5)</f>
        <v>0.779246694936393</v>
      </c>
    </row>
    <row r="45">
      <c r="A45" s="26" t="str">
        <f>IF(Config!$J$6="","",Config!$J$6)</f>
        <v>Retorno</v>
      </c>
      <c r="B45" s="29">
        <f>IF(Config!$J$6="","",COUNTIFS(Agenda!$G$5:$G$1204,Config!$J$6,Agenda!$H$5:$H$1204,"Realizado",Agenda!$N$5:$N$1204,Config!$B$7,Agenda!$O$5:$O$1204,Config!$B$5))</f>
        <v>23</v>
      </c>
      <c r="C45" s="27">
        <f>IF(Config!$J$6="","",SUMIFS(Agenda!$R$5:$R$1204,Agenda!$G$5:$G$1204,Config!$J$6,Agenda!$N$5:$N$1204,Config!$B$7,Agenda!$O$5:$O$1204,Config!$B$5))</f>
        <v>7.66666666666667</v>
      </c>
      <c r="D45" s="30">
        <f>IF(Config!$J$6="","",SUMIFS(Agenda!$M$5:$M$1204,Agenda!$G$5:$G$1204,Config!$J$6,Agenda!$H$5:$H$1204,"Realizado",Agenda!$N$5:$N$1204,Config!$B$7,Agenda!$O$5:$O$1204,Config!$B$5))</f>
        <v>0</v>
      </c>
      <c r="E45" s="30">
        <f>IF(OR(Config!$J$6="",B45=0),"",D45/B45)</f>
        <v>0</v>
      </c>
      <c r="G45" s="26" t="str">
        <f>IF(Config!$H$6="","",Config!$H$6)</f>
        <v>Saúde Total</v>
      </c>
      <c r="H45" s="29">
        <f>IF(Config!$H$6="","",COUNTIFS(Agenda!$F$5:$F$1204,Config!$H$6,Agenda!$H$5:$H$1204,"Realizado",Agenda!$N$5:$N$1204,Config!$B$7,Agenda!$O$5:$O$1204,Config!$B$5))</f>
        <v>26</v>
      </c>
      <c r="I45" s="29">
        <f>IF(Config!$H$6="","",COUNTIFS(Agenda!$F$5:$F$1204,Config!$H$6,Agenda!$H$5:$H$1204,"Falta",Agenda!$N$5:$N$1204,Config!$B$7,Agenda!$O$5:$O$1204,Config!$B$5))</f>
        <v>2</v>
      </c>
      <c r="J45" s="28">
        <f>IF(Config!$H$6="","",IF(H45+I45=0,"",I45/(H45+I45)))</f>
        <v>0.0714285714285714</v>
      </c>
      <c r="K45" s="30">
        <f>IF(Config!$H$6="","",SUMIFS(Agenda!$M$5:$M$1204,Agenda!$F$5:$F$1204,Config!$H$6,Agenda!$H$5:$H$1204,"Realizado",Agenda!$N$5:$N$1204,Config!$B$7,Agenda!$O$5:$O$1204,Config!$B$5))</f>
        <v>2435</v>
      </c>
      <c r="L45" s="30">
        <f>IF(OR(Config!$H$6="",H45=0),"",K45/H45)</f>
        <v>93.6538461538462</v>
      </c>
      <c r="M45" s="28">
        <f>IF(OR(Config!$H$6="",$K$5=0),"",K45/$K$5)</f>
        <v>0.12147667747568</v>
      </c>
    </row>
    <row r="46">
      <c r="A46" s="26" t="str">
        <f>IF(Config!$J$7="","",Config!$J$7)</f>
        <v>ECG</v>
      </c>
      <c r="B46" s="29">
        <f>IF(Config!$J$7="","",COUNTIFS(Agenda!$G$5:$G$1204,Config!$J$7,Agenda!$H$5:$H$1204,"Realizado",Agenda!$N$5:$N$1204,Config!$B$7,Agenda!$O$5:$O$1204,Config!$B$5))</f>
        <v>5</v>
      </c>
      <c r="C46" s="27">
        <f>IF(Config!$J$7="","",SUMIFS(Agenda!$R$5:$R$1204,Agenda!$G$5:$G$1204,Config!$J$7,Agenda!$N$5:$N$1204,Config!$B$7,Agenda!$O$5:$O$1204,Config!$B$5))</f>
        <v>1.66666666666667</v>
      </c>
      <c r="D46" s="30">
        <f>IF(Config!$J$7="","",SUMIFS(Agenda!$M$5:$M$1204,Agenda!$G$5:$G$1204,Config!$J$7,Agenda!$H$5:$H$1204,"Realizado",Agenda!$N$5:$N$1204,Config!$B$7,Agenda!$O$5:$O$1204,Config!$B$5))</f>
        <v>375</v>
      </c>
      <c r="E46" s="30">
        <f>IF(OR(Config!$J$7="",B46=0),"",D46/B46)</f>
        <v>75</v>
      </c>
      <c r="G46" s="26" t="str">
        <f>IF(Config!$H$7="","",Config!$H$7)</f>
        <v>MediPlan</v>
      </c>
      <c r="H46" s="29">
        <f>IF(Config!$H$7="","",COUNTIFS(Agenda!$F$5:$F$1204,Config!$H$7,Agenda!$H$5:$H$1204,"Realizado",Agenda!$N$5:$N$1204,Config!$B$7,Agenda!$O$5:$O$1204,Config!$B$5))</f>
        <v>19</v>
      </c>
      <c r="I46" s="29">
        <f>IF(Config!$H$7="","",COUNTIFS(Agenda!$F$5:$F$1204,Config!$H$7,Agenda!$H$5:$H$1204,"Falta",Agenda!$N$5:$N$1204,Config!$B$7,Agenda!$O$5:$O$1204,Config!$B$5))</f>
        <v>1</v>
      </c>
      <c r="J46" s="28">
        <f>IF(Config!$H$7="","",IF(H46+I46=0,"",I46/(H46+I46)))</f>
        <v>0.05</v>
      </c>
      <c r="K46" s="30">
        <f>IF(Config!$H$7="","",SUMIFS(Agenda!$M$5:$M$1204,Agenda!$F$5:$F$1204,Config!$H$7,Agenda!$H$5:$H$1204,"Realizado",Agenda!$N$5:$N$1204,Config!$B$7,Agenda!$O$5:$O$1204,Config!$B$5))</f>
        <v>1445</v>
      </c>
      <c r="L46" s="30">
        <f>IF(OR(Config!$H$7="",H46=0),"",K46/H46)</f>
        <v>76.0526315789474</v>
      </c>
      <c r="M46" s="28">
        <f>IF(OR(Config!$H$7="",$K$5=0),"",K46/$K$5)</f>
        <v>0.0720878024444999</v>
      </c>
    </row>
    <row r="47">
      <c r="A47" s="26" t="str">
        <f>IF(Config!$J$8="","",Config!$J$8)</f>
        <v>MAPA</v>
      </c>
      <c r="B47" s="29">
        <f>IF(Config!$J$8="","",COUNTIFS(Agenda!$G$5:$G$1204,Config!$J$8,Agenda!$H$5:$H$1204,"Realizado",Agenda!$N$5:$N$1204,Config!$B$7,Agenda!$O$5:$O$1204,Config!$B$5))</f>
        <v>5</v>
      </c>
      <c r="C47" s="27">
        <f>IF(Config!$J$8="","",SUMIFS(Agenda!$R$5:$R$1204,Agenda!$G$5:$G$1204,Config!$J$8,Agenda!$N$5:$N$1204,Config!$B$7,Agenda!$O$5:$O$1204,Config!$B$5))</f>
        <v>1.66666666666667</v>
      </c>
      <c r="D47" s="30">
        <f>IF(Config!$J$8="","",SUMIFS(Agenda!$M$5:$M$1204,Agenda!$G$5:$G$1204,Config!$J$8,Agenda!$H$5:$H$1204,"Realizado",Agenda!$N$5:$N$1204,Config!$B$7,Agenda!$O$5:$O$1204,Config!$B$5))</f>
        <v>1060</v>
      </c>
      <c r="E47" s="30">
        <f>IF(OR(Config!$J$8="",B47=0),"",D47/B47)</f>
        <v>212</v>
      </c>
      <c r="G47" s="26" t="str">
        <f>IF(Config!$H$8="","",Config!$H$8)</f>
        <v>Vida Care</v>
      </c>
      <c r="H47" s="29">
        <f>IF(Config!$H$8="","",COUNTIFS(Agenda!$F$5:$F$1204,Config!$H$8,Agenda!$H$5:$H$1204,"Realizado",Agenda!$N$5:$N$1204,Config!$B$7,Agenda!$O$5:$O$1204,Config!$B$5))</f>
        <v>7</v>
      </c>
      <c r="I47" s="29">
        <f>IF(Config!$H$8="","",COUNTIFS(Agenda!$F$5:$F$1204,Config!$H$8,Agenda!$H$5:$H$1204,"Falta",Agenda!$N$5:$N$1204,Config!$B$7,Agenda!$O$5:$O$1204,Config!$B$5))</f>
        <v>1</v>
      </c>
      <c r="J47" s="28">
        <f>IF(Config!$H$8="","",IF(H47+I47=0,"",I47/(H47+I47)))</f>
        <v>0.125</v>
      </c>
      <c r="K47" s="30">
        <f>IF(Config!$H$8="","",SUMIFS(Agenda!$M$5:$M$1204,Agenda!$F$5:$F$1204,Config!$H$8,Agenda!$H$5:$H$1204,"Realizado",Agenda!$N$5:$N$1204,Config!$B$7,Agenda!$O$5:$O$1204,Config!$B$5))</f>
        <v>545</v>
      </c>
      <c r="L47" s="30">
        <f>IF(OR(Config!$H$8="",H47=0),"",K47/H47)</f>
        <v>77.8571428571429</v>
      </c>
      <c r="M47" s="28">
        <f>IF(OR(Config!$H$8="",$K$5=0),"",K47/$K$5)</f>
        <v>0.0271888251434273</v>
      </c>
    </row>
    <row r="48">
      <c r="A48" s="26" t="str">
        <f>IF(Config!$J$9="","",Config!$J$9)</f>
        <v>Holter</v>
      </c>
      <c r="B48" s="29">
        <f>IF(Config!$J$9="","",COUNTIFS(Agenda!$G$5:$G$1204,Config!$J$9,Agenda!$H$5:$H$1204,"Realizado",Agenda!$N$5:$N$1204,Config!$B$7,Agenda!$O$5:$O$1204,Config!$B$5))</f>
        <v>1</v>
      </c>
      <c r="C48" s="27">
        <f>IF(Config!$J$9="","",SUMIFS(Agenda!$R$5:$R$1204,Agenda!$G$5:$G$1204,Config!$J$9,Agenda!$N$5:$N$1204,Config!$B$7,Agenda!$O$5:$O$1204,Config!$B$5))</f>
        <v>0.333333333333333</v>
      </c>
      <c r="D48" s="30">
        <f>IF(Config!$J$9="","",SUMIFS(Agenda!$M$5:$M$1204,Agenda!$G$5:$G$1204,Config!$J$9,Agenda!$H$5:$H$1204,"Realizado",Agenda!$N$5:$N$1204,Config!$B$7,Agenda!$O$5:$O$1204,Config!$B$5))</f>
        <v>105</v>
      </c>
      <c r="E48" s="30">
        <f>IF(OR(Config!$J$9="",B48=0),"",D48/B48)</f>
        <v>105</v>
      </c>
      <c r="G48" s="26">
        <f>IF(Config!$H$9="","",Config!$H$9)</f>
        <v/>
      </c>
      <c r="H48" s="29">
        <f>IF(Config!$H$9="","",COUNTIFS(Agenda!$F$5:$F$1204,Config!$H$9,Agenda!$H$5:$H$1204,"Realizado",Agenda!$N$5:$N$1204,Config!$B$7,Agenda!$O$5:$O$1204,Config!$B$5))</f>
        <v/>
      </c>
      <c r="I48" s="29">
        <f>IF(Config!$H$9="","",COUNTIFS(Agenda!$F$5:$F$1204,Config!$H$9,Agenda!$H$5:$H$1204,"Falta",Agenda!$N$5:$N$1204,Config!$B$7,Agenda!$O$5:$O$1204,Config!$B$5))</f>
        <v/>
      </c>
      <c r="J48" s="28">
        <f>IF(Config!$H$9="","",IF(H48+I48=0,"",I48/(H48+I48)))</f>
        <v/>
      </c>
      <c r="K48" s="30">
        <f>IF(Config!$H$9="","",SUMIFS(Agenda!$M$5:$M$1204,Agenda!$F$5:$F$1204,Config!$H$9,Agenda!$H$5:$H$1204,"Realizado",Agenda!$N$5:$N$1204,Config!$B$7,Agenda!$O$5:$O$1204,Config!$B$5))</f>
        <v/>
      </c>
      <c r="L48" s="30">
        <f>IF(OR(Config!$H$9="",H48=0),"",K48/H48)</f>
        <v/>
      </c>
      <c r="M48" s="28">
        <f>IF(OR(Config!$H$9="",$K$5=0),"",K48/$K$5)</f>
        <v/>
      </c>
    </row>
    <row r="49">
      <c r="A49" s="26" t="str">
        <f>IF(Config!$J$10="","",Config!$J$10)</f>
        <v>Teste ergométrico</v>
      </c>
      <c r="B49" s="29">
        <f>IF(Config!$J$10="","",COUNTIFS(Agenda!$G$5:$G$1204,Config!$J$10,Agenda!$H$5:$H$1204,"Realizado",Agenda!$N$5:$N$1204,Config!$B$7,Agenda!$O$5:$O$1204,Config!$B$5))</f>
        <v>6</v>
      </c>
      <c r="C49" s="27">
        <f>IF(Config!$J$10="","",SUMIFS(Agenda!$R$5:$R$1204,Agenda!$G$5:$G$1204,Config!$J$10,Agenda!$N$5:$N$1204,Config!$B$7,Agenda!$O$5:$O$1204,Config!$B$5))</f>
        <v>4</v>
      </c>
      <c r="D49" s="30">
        <f>IF(Config!$J$10="","",SUMIFS(Agenda!$M$5:$M$1204,Agenda!$G$5:$G$1204,Config!$J$10,Agenda!$H$5:$H$1204,"Realizado",Agenda!$N$5:$N$1204,Config!$B$7,Agenda!$O$5:$O$1204,Config!$B$5))</f>
        <v>1415</v>
      </c>
      <c r="E49" s="30">
        <f>IF(OR(Config!$J$10="",B49=0),"",D49/B49)</f>
        <v>235.833333333333</v>
      </c>
      <c r="G49" s="26">
        <f>IF(Config!$H$10="","",Config!$H$10)</f>
        <v/>
      </c>
      <c r="H49" s="29">
        <f>IF(Config!$H$10="","",COUNTIFS(Agenda!$F$5:$F$1204,Config!$H$10,Agenda!$H$5:$H$1204,"Realizado",Agenda!$N$5:$N$1204,Config!$B$7,Agenda!$O$5:$O$1204,Config!$B$5))</f>
        <v/>
      </c>
      <c r="I49" s="29">
        <f>IF(Config!$H$10="","",COUNTIFS(Agenda!$F$5:$F$1204,Config!$H$10,Agenda!$H$5:$H$1204,"Falta",Agenda!$N$5:$N$1204,Config!$B$7,Agenda!$O$5:$O$1204,Config!$B$5))</f>
        <v/>
      </c>
      <c r="J49" s="28">
        <f>IF(Config!$H$10="","",IF(H49+I49=0,"",I49/(H49+I49)))</f>
        <v/>
      </c>
      <c r="K49" s="30">
        <f>IF(Config!$H$10="","",SUMIFS(Agenda!$M$5:$M$1204,Agenda!$F$5:$F$1204,Config!$H$10,Agenda!$H$5:$H$1204,"Realizado",Agenda!$N$5:$N$1204,Config!$B$7,Agenda!$O$5:$O$1204,Config!$B$5))</f>
        <v/>
      </c>
      <c r="L49" s="30">
        <f>IF(OR(Config!$H$10="",H49=0),"",K49/H49)</f>
        <v/>
      </c>
      <c r="M49" s="28">
        <f>IF(OR(Config!$H$10="",$K$5=0),"",K49/$K$5)</f>
        <v/>
      </c>
    </row>
    <row r="50">
      <c r="A50" s="26" t="str">
        <f>IF(Config!$J$11="","",Config!$J$11)</f>
        <v>Avaliação endócrina</v>
      </c>
      <c r="B50" s="29">
        <f>IF(Config!$J$11="","",COUNTIFS(Agenda!$G$5:$G$1204,Config!$J$11,Agenda!$H$5:$H$1204,"Realizado",Agenda!$N$5:$N$1204,Config!$B$7,Agenda!$O$5:$O$1204,Config!$B$5))</f>
        <v>18</v>
      </c>
      <c r="C50" s="27">
        <f>IF(Config!$J$11="","",SUMIFS(Agenda!$R$5:$R$1204,Agenda!$G$5:$G$1204,Config!$J$11,Agenda!$N$5:$N$1204,Config!$B$7,Agenda!$O$5:$O$1204,Config!$B$5))</f>
        <v>12</v>
      </c>
      <c r="D50" s="30">
        <f>IF(Config!$J$11="","",SUMIFS(Agenda!$M$5:$M$1204,Agenda!$G$5:$G$1204,Config!$J$11,Agenda!$H$5:$H$1204,"Realizado",Agenda!$N$5:$N$1204,Config!$B$7,Agenda!$O$5:$O$1204,Config!$B$5))</f>
        <v>5850</v>
      </c>
      <c r="E50" s="30">
        <f>IF(OR(Config!$J$11="",B50=0),"",D50/B50)</f>
        <v>325</v>
      </c>
    </row>
    <row r="51">
      <c r="A51" s="26">
        <f>IF(Config!$J$12="","",Config!$J$12)</f>
        <v/>
      </c>
      <c r="B51" s="29">
        <f>IF(Config!$J$12="","",COUNTIFS(Agenda!$G$5:$G$1204,Config!$J$12,Agenda!$H$5:$H$1204,"Realizado",Agenda!$N$5:$N$1204,Config!$B$7,Agenda!$O$5:$O$1204,Config!$B$5))</f>
        <v/>
      </c>
      <c r="C51" s="27">
        <f>IF(Config!$J$12="","",SUMIFS(Agenda!$R$5:$R$1204,Agenda!$G$5:$G$1204,Config!$J$12,Agenda!$N$5:$N$1204,Config!$B$7,Agenda!$O$5:$O$1204,Config!$B$5))</f>
        <v/>
      </c>
      <c r="D51" s="30">
        <f>IF(Config!$J$12="","",SUMIFS(Agenda!$M$5:$M$1204,Agenda!$G$5:$G$1204,Config!$J$12,Agenda!$H$5:$H$1204,"Realizado",Agenda!$N$5:$N$1204,Config!$B$7,Agenda!$O$5:$O$1204,Config!$B$5))</f>
        <v/>
      </c>
      <c r="E51" s="30">
        <f>IF(OR(Config!$J$12="",B51=0),"",D51/B51)</f>
        <v/>
      </c>
    </row>
    <row r="52">
      <c r="A52" s="26">
        <f>IF(Config!$J$13="","",Config!$J$13)</f>
        <v/>
      </c>
      <c r="B52" s="29">
        <f>IF(Config!$J$13="","",COUNTIFS(Agenda!$G$5:$G$1204,Config!$J$13,Agenda!$H$5:$H$1204,"Realizado",Agenda!$N$5:$N$1204,Config!$B$7,Agenda!$O$5:$O$1204,Config!$B$5))</f>
        <v/>
      </c>
      <c r="C52" s="27">
        <f>IF(Config!$J$13="","",SUMIFS(Agenda!$R$5:$R$1204,Agenda!$G$5:$G$1204,Config!$J$13,Agenda!$N$5:$N$1204,Config!$B$7,Agenda!$O$5:$O$1204,Config!$B$5))</f>
        <v/>
      </c>
      <c r="D52" s="30">
        <f>IF(Config!$J$13="","",SUMIFS(Agenda!$M$5:$M$1204,Agenda!$G$5:$G$1204,Config!$J$13,Agenda!$H$5:$H$1204,"Realizado",Agenda!$N$5:$N$1204,Config!$B$7,Agenda!$O$5:$O$1204,Config!$B$5))</f>
        <v/>
      </c>
      <c r="E52" s="30">
        <f>IF(OR(Config!$J$13="",B52=0),"",D52/B52)</f>
        <v/>
      </c>
    </row>
    <row r="53">
      <c r="A53" s="26">
        <f>IF(Config!$J$14="","",Config!$J$14)</f>
        <v/>
      </c>
      <c r="B53" s="29">
        <f>IF(Config!$J$14="","",COUNTIFS(Agenda!$G$5:$G$1204,Config!$J$14,Agenda!$H$5:$H$1204,"Realizado",Agenda!$N$5:$N$1204,Config!$B$7,Agenda!$O$5:$O$1204,Config!$B$5))</f>
        <v/>
      </c>
      <c r="C53" s="27">
        <f>IF(Config!$J$14="","",SUMIFS(Agenda!$R$5:$R$1204,Agenda!$G$5:$G$1204,Config!$J$14,Agenda!$N$5:$N$1204,Config!$B$7,Agenda!$O$5:$O$1204,Config!$B$5))</f>
        <v/>
      </c>
      <c r="D53" s="30">
        <f>IF(Config!$J$14="","",SUMIFS(Agenda!$M$5:$M$1204,Agenda!$G$5:$G$1204,Config!$J$14,Agenda!$H$5:$H$1204,"Realizado",Agenda!$N$5:$N$1204,Config!$B$7,Agenda!$O$5:$O$1204,Config!$B$5))</f>
        <v/>
      </c>
      <c r="E53" s="30">
        <f>IF(OR(Config!$J$14="",B53=0),"",D53/B53)</f>
        <v/>
      </c>
    </row>
    <row r="54">
      <c r="A54" s="26">
        <f>IF(Config!$J$15="","",Config!$J$15)</f>
        <v/>
      </c>
      <c r="B54" s="29">
        <f>IF(Config!$J$15="","",COUNTIFS(Agenda!$G$5:$G$1204,Config!$J$15,Agenda!$H$5:$H$1204,"Realizado",Agenda!$N$5:$N$1204,Config!$B$7,Agenda!$O$5:$O$1204,Config!$B$5))</f>
        <v/>
      </c>
      <c r="C54" s="27">
        <f>IF(Config!$J$15="","",SUMIFS(Agenda!$R$5:$R$1204,Agenda!$G$5:$G$1204,Config!$J$15,Agenda!$N$5:$N$1204,Config!$B$7,Agenda!$O$5:$O$1204,Config!$B$5))</f>
        <v/>
      </c>
      <c r="D54" s="30">
        <f>IF(Config!$J$15="","",SUMIFS(Agenda!$M$5:$M$1204,Agenda!$G$5:$G$1204,Config!$J$15,Agenda!$H$5:$H$1204,"Realizado",Agenda!$N$5:$N$1204,Config!$B$7,Agenda!$O$5:$O$1204,Config!$B$5))</f>
        <v/>
      </c>
      <c r="E54" s="30">
        <f>IF(OR(Config!$J$15="",B54=0),"",D54/B54)</f>
        <v/>
      </c>
    </row>
    <row r="55">
      <c r="A55" s="26">
        <f>IF(Config!$J$16="","",Config!$J$16)</f>
        <v/>
      </c>
      <c r="B55" s="29">
        <f>IF(Config!$J$16="","",COUNTIFS(Agenda!$G$5:$G$1204,Config!$J$16,Agenda!$H$5:$H$1204,"Realizado",Agenda!$N$5:$N$1204,Config!$B$7,Agenda!$O$5:$O$1204,Config!$B$5))</f>
        <v/>
      </c>
      <c r="C55" s="27">
        <f>IF(Config!$J$16="","",SUMIFS(Agenda!$R$5:$R$1204,Agenda!$G$5:$G$1204,Config!$J$16,Agenda!$N$5:$N$1204,Config!$B$7,Agenda!$O$5:$O$1204,Config!$B$5))</f>
        <v/>
      </c>
      <c r="D55" s="30">
        <f>IF(Config!$J$16="","",SUMIFS(Agenda!$M$5:$M$1204,Agenda!$G$5:$G$1204,Config!$J$16,Agenda!$H$5:$H$1204,"Realizado",Agenda!$N$5:$N$1204,Config!$B$7,Agenda!$O$5:$O$1204,Config!$B$5))</f>
        <v/>
      </c>
      <c r="E55" s="30">
        <f>IF(OR(Config!$J$16="",B55=0),"",D55/B55)</f>
        <v/>
      </c>
    </row>
    <row r="56">
      <c r="A56" s="32" t="inlineStr">
        <is>
          <t>Retorno tem valor zero (incluído na consulta): ocupa agenda e não produz. A planilha 06 embute esse tempo no preço da consulta.</t>
        </is>
      </c>
    </row>
    <row r="57"/>
    <row r="58"/>
    <row r="59">
      <c r="A59" s="22" t="inlineStr">
        <is>
          <t>Próximos 7 dias (a partir de hoje)</t>
        </is>
      </c>
    </row>
    <row r="60" ht="26" customHeight="1">
      <c r="A60" s="23" t="inlineStr">
        <is>
          <t>Dia</t>
        </is>
      </c>
      <c r="B60" s="23" t="inlineStr">
        <is>
          <t>Data</t>
        </is>
      </c>
      <c r="C60" s="23" t="inlineStr">
        <is>
          <t>Agendados</t>
        </is>
      </c>
      <c r="D60" s="23" t="inlineStr">
        <is>
          <t>Confirmados</t>
        </is>
      </c>
      <c r="E60" s="23" t="inlineStr">
        <is>
          <t>Horas marcadas</t>
        </is>
      </c>
      <c r="F60" s="23" t="inlineStr">
        <is>
          <t>Horas de turno</t>
        </is>
      </c>
      <c r="G60" s="23" t="inlineStr">
        <is>
          <t>Vagas (horas)</t>
        </is>
      </c>
    </row>
    <row r="61">
      <c r="A61" s="29" t="str">
        <f>CHOOSE(WEEKDAY(B61,2),"Segunda","Terça","Quarta","Quinta","Sexta","Sábado","Domingo")</f>
        <v>Segunda</v>
      </c>
      <c r="B61" s="33">
        <f>Config!$B$8+0</f>
        <v>46279.0</v>
      </c>
      <c r="C61" s="29">
        <f>COUNTIFS(Agenda!$A$5:$A$1204,B61,Agenda!$H$5:$H$1204,"Agendado")</f>
        <v>4</v>
      </c>
      <c r="D61" s="29">
        <f>COUNTIFS(Agenda!$A$5:$A$1204,B61,Agenda!$H$5:$H$1204,"Confirmado")</f>
        <v>11</v>
      </c>
      <c r="E61" s="27">
        <f>(SUMIFS(Agenda!$L$5:$L$1204,Agenda!$A$5:$A$1204,B61,Agenda!$H$5:$H$1204,"Agendado")+SUMIFS(Agenda!$L$5:$L$1204,Agenda!$A$5:$A$1204,B61,Agenda!$H$5:$H$1204,"Confirmado"))/60</f>
        <v>6.66666666666667</v>
      </c>
      <c r="F61" s="27">
        <f>IF(COUNTIF(Config!$I$19:$I$38,B61)&gt;0,0,SUMPRODUCT((Config!$B$20:$B$43=A61)*(Config!$A$20:$A$43&lt;&gt;"")*IF(Config!$G$20:$G$43="",0,1)*IF(Config!$F$20:$F$43="",Config!$B$10,Config!$F$20:$F$43)))</f>
        <v>8</v>
      </c>
      <c r="G61" s="27">
        <f>MAX(0,F61-E61)</f>
        <v>1.33333333333333</v>
      </c>
    </row>
    <row r="62">
      <c r="A62" s="29" t="str">
        <f>CHOOSE(WEEKDAY(B62,2),"Segunda","Terça","Quarta","Quinta","Sexta","Sábado","Domingo")</f>
        <v>Terça</v>
      </c>
      <c r="B62" s="33">
        <f>Config!$B$8+1</f>
        <v>46280.0</v>
      </c>
      <c r="C62" s="29">
        <f>COUNTIFS(Agenda!$A$5:$A$1204,B62,Agenda!$H$5:$H$1204,"Agendado")</f>
        <v>5</v>
      </c>
      <c r="D62" s="29">
        <f>COUNTIFS(Agenda!$A$5:$A$1204,B62,Agenda!$H$5:$H$1204,"Confirmado")</f>
        <v>17</v>
      </c>
      <c r="E62" s="27">
        <f>(SUMIFS(Agenda!$L$5:$L$1204,Agenda!$A$5:$A$1204,B62,Agenda!$H$5:$H$1204,"Agendado")+SUMIFS(Agenda!$L$5:$L$1204,Agenda!$A$5:$A$1204,B62,Agenda!$H$5:$H$1204,"Confirmado"))/60</f>
        <v>10.6666666666667</v>
      </c>
      <c r="F62" s="27">
        <f>IF(COUNTIF(Config!$I$19:$I$38,B62)&gt;0,0,SUMPRODUCT((Config!$B$20:$B$43=A62)*(Config!$A$20:$A$43&lt;&gt;"")*IF(Config!$G$20:$G$43="",0,1)*IF(Config!$F$20:$F$43="",Config!$B$10,Config!$F$20:$F$43)))</f>
        <v>12</v>
      </c>
      <c r="G62" s="27">
        <f>MAX(0,F62-E62)</f>
        <v>1.33333333333333</v>
      </c>
    </row>
    <row r="63">
      <c r="A63" s="29" t="str">
        <f>CHOOSE(WEEKDAY(B63,2),"Segunda","Terça","Quarta","Quinta","Sexta","Sábado","Domingo")</f>
        <v>Quarta</v>
      </c>
      <c r="B63" s="33">
        <f>Config!$B$8+2</f>
        <v>46281.0</v>
      </c>
      <c r="C63" s="29">
        <f>COUNTIFS(Agenda!$A$5:$A$1204,B63,Agenda!$H$5:$H$1204,"Agendado")</f>
        <v>2</v>
      </c>
      <c r="D63" s="29">
        <f>COUNTIFS(Agenda!$A$5:$A$1204,B63,Agenda!$H$5:$H$1204,"Confirmado")</f>
        <v>5</v>
      </c>
      <c r="E63" s="27">
        <f>(SUMIFS(Agenda!$L$5:$L$1204,Agenda!$A$5:$A$1204,B63,Agenda!$H$5:$H$1204,"Agendado")+SUMIFS(Agenda!$L$5:$L$1204,Agenda!$A$5:$A$1204,B63,Agenda!$H$5:$H$1204,"Confirmado"))/60</f>
        <v>3</v>
      </c>
      <c r="F63" s="27">
        <f>IF(COUNTIF(Config!$I$19:$I$38,B63)&gt;0,0,SUMPRODUCT((Config!$B$20:$B$43=A63)*(Config!$A$20:$A$43&lt;&gt;"")*IF(Config!$G$20:$G$43="",0,1)*IF(Config!$F$20:$F$43="",Config!$B$10,Config!$F$20:$F$43)))</f>
        <v>4</v>
      </c>
      <c r="G63" s="27">
        <f>MAX(0,F63-E63)</f>
        <v>1</v>
      </c>
    </row>
    <row r="64">
      <c r="A64" s="29" t="str">
        <f>CHOOSE(WEEKDAY(B64,2),"Segunda","Terça","Quarta","Quinta","Sexta","Sábado","Domingo")</f>
        <v>Quinta</v>
      </c>
      <c r="B64" s="33">
        <f>Config!$B$8+3</f>
        <v>46282.0</v>
      </c>
      <c r="C64" s="29">
        <f>COUNTIFS(Agenda!$A$5:$A$1204,B64,Agenda!$H$5:$H$1204,"Agendado")</f>
        <v>19</v>
      </c>
      <c r="D64" s="29">
        <f>COUNTIFS(Agenda!$A$5:$A$1204,B64,Agenda!$H$5:$H$1204,"Confirmado")</f>
        <v>0</v>
      </c>
      <c r="E64" s="27">
        <f>(SUMIFS(Agenda!$L$5:$L$1204,Agenda!$A$5:$A$1204,B64,Agenda!$H$5:$H$1204,"Agendado")+SUMIFS(Agenda!$L$5:$L$1204,Agenda!$A$5:$A$1204,B64,Agenda!$H$5:$H$1204,"Confirmado"))/60</f>
        <v>9.16666666666667</v>
      </c>
      <c r="F64" s="27">
        <f>IF(COUNTIF(Config!$I$19:$I$38,B64)&gt;0,0,SUMPRODUCT((Config!$B$20:$B$43=A64)*(Config!$A$20:$A$43&lt;&gt;"")*IF(Config!$G$20:$G$43="",0,1)*IF(Config!$F$20:$F$43="",Config!$B$10,Config!$F$20:$F$43)))</f>
        <v>12</v>
      </c>
      <c r="G64" s="27">
        <f>MAX(0,F64-E64)</f>
        <v>2.83333333333333</v>
      </c>
    </row>
    <row r="65">
      <c r="A65" s="29" t="str">
        <f>CHOOSE(WEEKDAY(B65,2),"Segunda","Terça","Quarta","Quinta","Sexta","Sábado","Domingo")</f>
        <v>Sexta</v>
      </c>
      <c r="B65" s="33">
        <f>Config!$B$8+4</f>
        <v>46283.0</v>
      </c>
      <c r="C65" s="29">
        <f>COUNTIFS(Agenda!$A$5:$A$1204,B65,Agenda!$H$5:$H$1204,"Agendado")</f>
        <v>9</v>
      </c>
      <c r="D65" s="29">
        <f>COUNTIFS(Agenda!$A$5:$A$1204,B65,Agenda!$H$5:$H$1204,"Confirmado")</f>
        <v>0</v>
      </c>
      <c r="E65" s="27">
        <f>(SUMIFS(Agenda!$L$5:$L$1204,Agenda!$A$5:$A$1204,B65,Agenda!$H$5:$H$1204,"Agendado")+SUMIFS(Agenda!$L$5:$L$1204,Agenda!$A$5:$A$1204,B65,Agenda!$H$5:$H$1204,"Confirmado"))/60</f>
        <v>3.5</v>
      </c>
      <c r="F65" s="27">
        <f>IF(COUNTIF(Config!$I$19:$I$38,B65)&gt;0,0,SUMPRODUCT((Config!$B$20:$B$43=A65)*(Config!$A$20:$A$43&lt;&gt;"")*IF(Config!$G$20:$G$43="",0,1)*IF(Config!$F$20:$F$43="",Config!$B$10,Config!$F$20:$F$43)))</f>
        <v>4</v>
      </c>
      <c r="G65" s="27">
        <f>MAX(0,F65-E65)</f>
        <v>0.5</v>
      </c>
    </row>
    <row r="66">
      <c r="A66" s="29" t="str">
        <f>CHOOSE(WEEKDAY(B66,2),"Segunda","Terça","Quarta","Quinta","Sexta","Sábado","Domingo")</f>
        <v>Sábado</v>
      </c>
      <c r="B66" s="33">
        <f>Config!$B$8+5</f>
        <v>46284.0</v>
      </c>
      <c r="C66" s="29">
        <f>COUNTIFS(Agenda!$A$5:$A$1204,B66,Agenda!$H$5:$H$1204,"Agendado")</f>
        <v>0</v>
      </c>
      <c r="D66" s="29">
        <f>COUNTIFS(Agenda!$A$5:$A$1204,B66,Agenda!$H$5:$H$1204,"Confirmado")</f>
        <v>0</v>
      </c>
      <c r="E66" s="27">
        <f>(SUMIFS(Agenda!$L$5:$L$1204,Agenda!$A$5:$A$1204,B66,Agenda!$H$5:$H$1204,"Agendado")+SUMIFS(Agenda!$L$5:$L$1204,Agenda!$A$5:$A$1204,B66,Agenda!$H$5:$H$1204,"Confirmado"))/60</f>
        <v>0</v>
      </c>
      <c r="F66" s="27">
        <f>IF(COUNTIF(Config!$I$19:$I$38,B66)&gt;0,0,SUMPRODUCT((Config!$B$20:$B$43=A66)*(Config!$A$20:$A$43&lt;&gt;"")*IF(Config!$G$20:$G$43="",0,1)*IF(Config!$F$20:$F$43="",Config!$B$10,Config!$F$20:$F$43)))</f>
        <v>0</v>
      </c>
      <c r="G66" s="27">
        <f>MAX(0,F66-E66)</f>
        <v>0</v>
      </c>
    </row>
    <row r="67">
      <c r="A67" s="29" t="str">
        <f>CHOOSE(WEEKDAY(B67,2),"Segunda","Terça","Quarta","Quinta","Sexta","Sábado","Domingo")</f>
        <v>Domingo</v>
      </c>
      <c r="B67" s="33">
        <f>Config!$B$8+6</f>
        <v>46285.0</v>
      </c>
      <c r="C67" s="29">
        <f>COUNTIFS(Agenda!$A$5:$A$1204,B67,Agenda!$H$5:$H$1204,"Agendado")</f>
        <v>0</v>
      </c>
      <c r="D67" s="29">
        <f>COUNTIFS(Agenda!$A$5:$A$1204,B67,Agenda!$H$5:$H$1204,"Confirmado")</f>
        <v>0</v>
      </c>
      <c r="E67" s="27">
        <f>(SUMIFS(Agenda!$L$5:$L$1204,Agenda!$A$5:$A$1204,B67,Agenda!$H$5:$H$1204,"Agendado")+SUMIFS(Agenda!$L$5:$L$1204,Agenda!$A$5:$A$1204,B67,Agenda!$H$5:$H$1204,"Confirmado"))/60</f>
        <v>0</v>
      </c>
      <c r="F67" s="27">
        <f>IF(COUNTIF(Config!$I$19:$I$38,B67)&gt;0,0,SUMPRODUCT((Config!$B$20:$B$43=A67)*(Config!$A$20:$A$43&lt;&gt;"")*IF(Config!$G$20:$G$43="",0,1)*IF(Config!$F$20:$F$43="",Config!$B$10,Config!$F$20:$F$43)))</f>
        <v>0</v>
      </c>
      <c r="G67" s="27">
        <f>MAX(0,F67-E67)</f>
        <v>0</v>
      </c>
    </row>
    <row r="68">
      <c r="A68" s="34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3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59:J59"/>
    <mergeCell ref="I15:L15"/>
    <mergeCell ref="I11:L11"/>
    <mergeCell ref="A68:L68"/>
    <mergeCell ref="A5:B5"/>
    <mergeCell ref="G5:H5"/>
    <mergeCell ref="I5:J5"/>
    <mergeCell ref="I16:L16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5" t="inlineStr">
        <is>
          <t>Tabela de preços por pagador (R$)</t>
        </is>
      </c>
    </row>
    <row r="4">
      <c r="A4" s="35" t="inlineStr">
        <is>
          <t>Clínica</t>
        </is>
      </c>
      <c r="B4" s="36" t="inlineStr">
        <is>
          <t>Clínica Vida Plena (exemplo fictício)</t>
        </is>
      </c>
      <c r="D4" s="35" t="inlineStr">
        <is>
          <t>Profissionais (até 8)</t>
        </is>
      </c>
      <c r="E4" s="35" t="inlineStr">
        <is>
          <t>Especialidade</t>
        </is>
      </c>
      <c r="F4" s="35" t="inlineStr">
        <is>
          <t>Salas (até 6)</t>
        </is>
      </c>
      <c r="H4" s="35" t="inlineStr">
        <is>
          <t>Pagadores (até 6)</t>
        </is>
      </c>
      <c r="J4" s="35" t="inlineStr">
        <is>
          <t>Procedimentos (até 12)</t>
        </is>
      </c>
      <c r="K4" s="35" t="inlineStr">
        <is>
          <t>Minutos</t>
        </is>
      </c>
      <c r="L4" s="35" t="inlineStr">
        <is>
          <t>Retorno em (dias)</t>
        </is>
      </c>
      <c r="M4" s="35" t="str">
        <f>IF($H$5="","",$H$5)</f>
        <v>Particular</v>
      </c>
      <c r="N4" s="35" t="str">
        <f>IF($H$6="","",$H$6)</f>
        <v>Saúde Total</v>
      </c>
      <c r="O4" s="35" t="str">
        <f>IF($H$7="","",$H$7)</f>
        <v>MediPlan</v>
      </c>
      <c r="P4" s="35" t="str">
        <f>IF($H$8="","",$H$8)</f>
        <v>Vida Care</v>
      </c>
      <c r="Q4" s="35">
        <f>IF($H$9="","",$H$9)</f>
        <v/>
      </c>
      <c r="R4" s="35">
        <f>IF($H$10="","",$H$10)</f>
        <v/>
      </c>
      <c r="T4" s="35" t="inlineStr">
        <is>
          <t>Meses</t>
        </is>
      </c>
    </row>
    <row r="5">
      <c r="A5" s="35" t="inlineStr">
        <is>
          <t>Ano do painel</t>
        </is>
      </c>
      <c r="B5" s="37" t="n">
        <v>2026</v>
      </c>
      <c r="D5" s="36" t="inlineStr">
        <is>
          <t>Dra. Carolina Mendes</t>
        </is>
      </c>
      <c r="E5" s="36" t="inlineStr">
        <is>
          <t>Clínica médica</t>
        </is>
      </c>
      <c r="F5" s="36" t="inlineStr">
        <is>
          <t>Sala 1</t>
        </is>
      </c>
      <c r="H5" s="36" t="inlineStr">
        <is>
          <t>Particular</t>
        </is>
      </c>
      <c r="J5" s="36" t="inlineStr">
        <is>
          <t>Consulta</t>
        </is>
      </c>
      <c r="K5" s="38" t="n">
        <v>30</v>
      </c>
      <c r="L5" s="38" t="n">
        <v>30</v>
      </c>
      <c r="M5" s="39" t="n">
        <v>380</v>
      </c>
      <c r="N5" s="39" t="n">
        <v>120</v>
      </c>
      <c r="O5" s="39" t="n">
        <v>100</v>
      </c>
      <c r="P5" s="39" t="n">
        <v>90</v>
      </c>
      <c r="Q5" s="39" t="n"/>
      <c r="R5" s="39" t="n"/>
      <c r="T5" s="40" t="inlineStr">
        <is>
          <t>Janeiro</t>
        </is>
      </c>
    </row>
    <row r="6">
      <c r="A6" s="35" t="inlineStr">
        <is>
          <t>Mês do painel</t>
        </is>
      </c>
      <c r="B6" s="37" t="inlineStr">
        <is>
          <t>Setembro</t>
        </is>
      </c>
      <c r="D6" s="36" t="inlineStr">
        <is>
          <t>Dr. Paulo Andrade</t>
        </is>
      </c>
      <c r="E6" s="36" t="inlineStr">
        <is>
          <t>Cardiologia</t>
        </is>
      </c>
      <c r="F6" s="36" t="inlineStr">
        <is>
          <t>Sala 2</t>
        </is>
      </c>
      <c r="H6" s="36" t="inlineStr">
        <is>
          <t>Saúde Total</t>
        </is>
      </c>
      <c r="J6" s="36" t="inlineStr">
        <is>
          <t>Retorno</t>
        </is>
      </c>
      <c r="K6" s="38" t="n">
        <v>20</v>
      </c>
      <c r="L6" s="38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/>
      <c r="R6" s="39" t="n"/>
      <c r="T6" s="40" t="inlineStr">
        <is>
          <t>Fevereiro</t>
        </is>
      </c>
    </row>
    <row r="7">
      <c r="A7" s="35" t="inlineStr">
        <is>
          <t>Número do mês</t>
        </is>
      </c>
      <c r="B7" s="29">
        <f>MATCH(B6,$T$5:$T$16,0)</f>
        <v>9</v>
      </c>
      <c r="D7" s="36" t="inlineStr">
        <is>
          <t>Dra. Renata Sousa</t>
        </is>
      </c>
      <c r="E7" s="36" t="inlineStr">
        <is>
          <t>Endocrinologia</t>
        </is>
      </c>
      <c r="F7" s="36" t="n"/>
      <c r="H7" s="36" t="inlineStr">
        <is>
          <t>MediPlan</t>
        </is>
      </c>
      <c r="J7" s="36" t="inlineStr">
        <is>
          <t>ECG</t>
        </is>
      </c>
      <c r="K7" s="38" t="n">
        <v>20</v>
      </c>
      <c r="L7" s="38" t="n">
        <v>0</v>
      </c>
      <c r="M7" s="39" t="n">
        <v>130</v>
      </c>
      <c r="N7" s="39" t="n">
        <v>40</v>
      </c>
      <c r="O7" s="39" t="n">
        <v>35</v>
      </c>
      <c r="P7" s="39" t="n">
        <v>32</v>
      </c>
      <c r="Q7" s="39" t="n"/>
      <c r="R7" s="39" t="n"/>
      <c r="T7" s="40" t="inlineStr">
        <is>
          <t>Março</t>
        </is>
      </c>
    </row>
    <row r="8">
      <c r="A8" s="35" t="inlineStr">
        <is>
          <t>Data de referência (hoje)</t>
        </is>
      </c>
      <c r="B8" s="41">
        <f>TODAY()</f>
        <v>46279.0</v>
      </c>
      <c r="C8" s="34" t="inlineStr">
        <is>
          <t>Deixe =HOJE() para acompanhar o dia; troque por uma data para simular outro dia.</t>
        </is>
      </c>
      <c r="D8" s="36" t="n"/>
      <c r="E8" s="36" t="n"/>
      <c r="F8" s="36" t="n"/>
      <c r="H8" s="36" t="inlineStr">
        <is>
          <t>Vida Care</t>
        </is>
      </c>
      <c r="J8" s="36" t="inlineStr">
        <is>
          <t>MAPA</t>
        </is>
      </c>
      <c r="K8" s="38" t="n">
        <v>20</v>
      </c>
      <c r="L8" s="38" t="n">
        <v>0</v>
      </c>
      <c r="M8" s="39" t="n">
        <v>300</v>
      </c>
      <c r="N8" s="39" t="n">
        <v>95</v>
      </c>
      <c r="O8" s="39" t="n">
        <v>85</v>
      </c>
      <c r="P8" s="39" t="n">
        <v>75</v>
      </c>
      <c r="Q8" s="39" t="n"/>
      <c r="R8" s="39" t="n"/>
      <c r="T8" s="40" t="inlineStr">
        <is>
          <t>Abril</t>
        </is>
      </c>
    </row>
    <row r="9">
      <c r="A9" s="35" t="inlineStr">
        <is>
          <t>Painel conta horas disponíveis até</t>
        </is>
      </c>
      <c r="B9" s="33">
        <f>MIN(DATE(B5,B7+1,0),B8-1)</f>
        <v>46278.0</v>
      </c>
      <c r="C9" s="34" t="inlineStr">
        <is>
          <t>Ontem, ou o fim do mês do painel se ele já passou: as horas disponíveis só contam dias que já aconteceram.</t>
        </is>
      </c>
      <c r="D9" s="36" t="n"/>
      <c r="E9" s="36" t="n"/>
      <c r="F9" s="36" t="n"/>
      <c r="H9" s="36" t="n"/>
      <c r="J9" s="36" t="inlineStr">
        <is>
          <t>Holter</t>
        </is>
      </c>
      <c r="K9" s="38" t="n">
        <v>20</v>
      </c>
      <c r="L9" s="38" t="n">
        <v>0</v>
      </c>
      <c r="M9" s="39" t="n">
        <v>350</v>
      </c>
      <c r="N9" s="39" t="n">
        <v>105</v>
      </c>
      <c r="O9" s="39" t="n">
        <v>95</v>
      </c>
      <c r="P9" s="39" t="n">
        <v>85</v>
      </c>
      <c r="Q9" s="39" t="n"/>
      <c r="R9" s="39" t="n"/>
      <c r="T9" s="40" t="inlineStr">
        <is>
          <t>Maio</t>
        </is>
      </c>
    </row>
    <row r="10">
      <c r="A10" s="35" t="inlineStr">
        <is>
          <t>Horas por turno (padrão)</t>
        </is>
      </c>
      <c r="B10" s="38" t="n">
        <v>4</v>
      </c>
      <c r="D10" s="36" t="n"/>
      <c r="E10" s="36" t="n"/>
      <c r="F10" s="36" t="n"/>
      <c r="H10" s="36" t="n"/>
      <c r="J10" s="36" t="inlineStr">
        <is>
          <t>Teste ergométrico</t>
        </is>
      </c>
      <c r="K10" s="38" t="n">
        <v>40</v>
      </c>
      <c r="L10" s="38" t="n">
        <v>0</v>
      </c>
      <c r="M10" s="39" t="n">
        <v>450</v>
      </c>
      <c r="N10" s="39" t="n">
        <v>140</v>
      </c>
      <c r="O10" s="39" t="n">
        <v>125</v>
      </c>
      <c r="P10" s="39" t="n">
        <v>110</v>
      </c>
      <c r="Q10" s="39" t="n"/>
      <c r="R10" s="39" t="n"/>
      <c r="T10" s="40" t="inlineStr">
        <is>
          <t>Junho</t>
        </is>
      </c>
    </row>
    <row r="11">
      <c r="D11" s="36" t="n"/>
      <c r="E11" s="36" t="n"/>
      <c r="J11" s="36" t="inlineStr">
        <is>
          <t>Avaliação endócrina</t>
        </is>
      </c>
      <c r="K11" s="38" t="n">
        <v>40</v>
      </c>
      <c r="L11" s="38" t="n">
        <v>45</v>
      </c>
      <c r="M11" s="39" t="n">
        <v>400</v>
      </c>
      <c r="N11" s="39" t="n">
        <v>130</v>
      </c>
      <c r="O11" s="39" t="n"/>
      <c r="P11" s="39" t="n"/>
      <c r="Q11" s="39" t="n"/>
      <c r="R11" s="39" t="n"/>
      <c r="T11" s="40" t="inlineStr">
        <is>
          <t>Julho</t>
        </is>
      </c>
    </row>
    <row r="12">
      <c r="D12" s="36" t="n"/>
      <c r="E12" s="36" t="n"/>
      <c r="J12" s="36" t="n"/>
      <c r="K12" s="38" t="n"/>
      <c r="L12" s="38" t="n"/>
      <c r="M12" s="39" t="n"/>
      <c r="N12" s="39" t="n"/>
      <c r="O12" s="39" t="n"/>
      <c r="P12" s="39" t="n"/>
      <c r="Q12" s="39" t="n"/>
      <c r="R12" s="39" t="n"/>
      <c r="T12" s="40" t="inlineStr">
        <is>
          <t>Agosto</t>
        </is>
      </c>
    </row>
    <row r="13">
      <c r="J13" s="36" t="n"/>
      <c r="K13" s="38" t="n"/>
      <c r="L13" s="38" t="n"/>
      <c r="M13" s="39" t="n"/>
      <c r="N13" s="39" t="n"/>
      <c r="O13" s="39" t="n"/>
      <c r="P13" s="39" t="n"/>
      <c r="Q13" s="39" t="n"/>
      <c r="R13" s="39" t="n"/>
      <c r="T13" s="40" t="inlineStr">
        <is>
          <t>Setembro</t>
        </is>
      </c>
    </row>
    <row r="14">
      <c r="D14" s="34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6" t="n"/>
      <c r="K14" s="38" t="n"/>
      <c r="L14" s="38" t="n"/>
      <c r="M14" s="39" t="n"/>
      <c r="N14" s="39" t="n"/>
      <c r="O14" s="39" t="n"/>
      <c r="P14" s="39" t="n"/>
      <c r="Q14" s="39" t="n"/>
      <c r="R14" s="39" t="n"/>
      <c r="T14" s="40" t="inlineStr">
        <is>
          <t>Outubro</t>
        </is>
      </c>
    </row>
    <row r="15">
      <c r="D15" s="34" t="inlineStr">
        <is>
          <t>Tabela de preços: valor de cada procedimento para cada pagador. Célula vazia = não credenciado. A Agenda busca o valor aqui; é a mesma tabela da planilha 08.</t>
        </is>
      </c>
      <c r="J15" s="36" t="n"/>
      <c r="K15" s="38" t="n"/>
      <c r="L15" s="38" t="n"/>
      <c r="M15" s="39" t="n"/>
      <c r="N15" s="39" t="n"/>
      <c r="O15" s="39" t="n"/>
      <c r="P15" s="39" t="n"/>
      <c r="Q15" s="39" t="n"/>
      <c r="R15" s="39" t="n"/>
      <c r="T15" s="40" t="inlineStr">
        <is>
          <t>Novembro</t>
        </is>
      </c>
    </row>
    <row r="16">
      <c r="J16" s="36" t="n"/>
      <c r="K16" s="38" t="n"/>
      <c r="L16" s="38" t="n"/>
      <c r="M16" s="39" t="n"/>
      <c r="N16" s="39" t="n"/>
      <c r="O16" s="39" t="n"/>
      <c r="P16" s="39" t="n"/>
      <c r="Q16" s="39" t="n"/>
      <c r="R16" s="39" t="n"/>
      <c r="T16" s="40" t="inlineStr">
        <is>
          <t>Dezembro</t>
        </is>
      </c>
    </row>
    <row r="18">
      <c r="A18" s="35" t="inlineStr">
        <is>
          <t>Turnos da semana (até 24): quem atende, em que dia, período e sala</t>
        </is>
      </c>
      <c r="I18" s="35" t="inlineStr">
        <is>
          <t>Feriados e dias sem atendimento (até 20)</t>
        </is>
      </c>
    </row>
    <row r="19" ht="32" customHeight="1">
      <c r="A19" s="23" t="inlineStr">
        <is>
          <t>Profissional</t>
        </is>
      </c>
      <c r="B19" s="23" t="inlineStr">
        <is>
          <t>Dia da semana</t>
        </is>
      </c>
      <c r="C19" s="23" t="inlineStr">
        <is>
          <t>Período</t>
        </is>
      </c>
      <c r="D19" s="23" t="inlineStr">
        <is>
          <t>Sala</t>
        </is>
      </c>
      <c r="E19" s="23" t="inlineStr">
        <is>
          <t>Início</t>
        </is>
      </c>
      <c r="F19" s="23" t="inlineStr">
        <is>
          <t>Horas</t>
        </is>
      </c>
      <c r="G19" s="23" t="inlineStr">
        <is>
          <t>Horas disponíveis no mês (até o limite)</t>
        </is>
      </c>
      <c r="I19" s="42" t="n">
        <v>46023</v>
      </c>
    </row>
    <row r="20">
      <c r="A20" s="36" t="inlineStr">
        <is>
          <t>Dra. Carolina Mendes</t>
        </is>
      </c>
      <c r="B20" s="37" t="inlineStr">
        <is>
          <t>Segunda</t>
        </is>
      </c>
      <c r="C20" s="37" t="inlineStr">
        <is>
          <t>Manhã</t>
        </is>
      </c>
      <c r="D20" s="37" t="inlineStr">
        <is>
          <t>Sala 1</t>
        </is>
      </c>
      <c r="E20" s="43" t="n">
        <v>0.3333333333333333</v>
      </c>
      <c r="F20" s="37" t="n">
        <v>4</v>
      </c>
      <c r="G20" s="44">
        <f>IF(A20="","",IF(F20="",$B$10,F20)*IFERROR(INDEX($J$45:$J$49,MATCH(B20,$I$45:$I$49,0)),0))</f>
        <v>0</v>
      </c>
      <c r="I20" s="42" t="n">
        <v>46069</v>
      </c>
    </row>
    <row r="21">
      <c r="A21" s="36" t="inlineStr">
        <is>
          <t>Dra. Carolina Mendes</t>
        </is>
      </c>
      <c r="B21" s="37" t="inlineStr">
        <is>
          <t>Terça</t>
        </is>
      </c>
      <c r="C21" s="37" t="inlineStr">
        <is>
          <t>Manhã</t>
        </is>
      </c>
      <c r="D21" s="37" t="inlineStr">
        <is>
          <t>Sala 1</t>
        </is>
      </c>
      <c r="E21" s="43" t="n">
        <v>0.3333333333333333</v>
      </c>
      <c r="F21" s="37" t="n">
        <v>4</v>
      </c>
      <c r="G21" s="44">
        <f>IF(A21="","",IF(F21="",$B$10,F21)*IFERROR(INDEX($J$45:$J$49,MATCH(B21,$I$45:$I$49,0)),0))</f>
        <v>8</v>
      </c>
      <c r="I21" s="42" t="n">
        <v>46070</v>
      </c>
    </row>
    <row r="22">
      <c r="A22" s="36" t="inlineStr">
        <is>
          <t>Dra. Carolina Mendes</t>
        </is>
      </c>
      <c r="B22" s="37" t="inlineStr">
        <is>
          <t>Quarta</t>
        </is>
      </c>
      <c r="C22" s="37" t="inlineStr">
        <is>
          <t>Tarde</t>
        </is>
      </c>
      <c r="D22" s="37" t="inlineStr">
        <is>
          <t>Sala 1</t>
        </is>
      </c>
      <c r="E22" s="43" t="n">
        <v>0.5833333333333334</v>
      </c>
      <c r="F22" s="37" t="n">
        <v>4</v>
      </c>
      <c r="G22" s="44">
        <f>IF(A22="","",IF(F22="",$B$10,F22)*IFERROR(INDEX($J$45:$J$49,MATCH(B22,$I$45:$I$49,0)),0))</f>
        <v>8</v>
      </c>
      <c r="I22" s="42" t="n">
        <v>46115</v>
      </c>
    </row>
    <row r="23">
      <c r="A23" s="36" t="inlineStr">
        <is>
          <t>Dra. Carolina Mendes</t>
        </is>
      </c>
      <c r="B23" s="37" t="inlineStr">
        <is>
          <t>Quinta</t>
        </is>
      </c>
      <c r="C23" s="37" t="inlineStr">
        <is>
          <t>Manhã</t>
        </is>
      </c>
      <c r="D23" s="37" t="inlineStr">
        <is>
          <t>Sala 1</t>
        </is>
      </c>
      <c r="E23" s="43" t="n">
        <v>0.3333333333333333</v>
      </c>
      <c r="F23" s="37" t="n">
        <v>4</v>
      </c>
      <c r="G23" s="44">
        <f>IF(A23="","",IF(F23="",$B$10,F23)*IFERROR(INDEX($J$45:$J$49,MATCH(B23,$I$45:$I$49,0)),0))</f>
        <v>8</v>
      </c>
      <c r="I23" s="42" t="n">
        <v>46133</v>
      </c>
    </row>
    <row r="24">
      <c r="A24" s="36" t="inlineStr">
        <is>
          <t>Dr. Paulo Andrade</t>
        </is>
      </c>
      <c r="B24" s="37" t="inlineStr">
        <is>
          <t>Segunda</t>
        </is>
      </c>
      <c r="C24" s="37" t="inlineStr">
        <is>
          <t>Tarde</t>
        </is>
      </c>
      <c r="D24" s="37" t="inlineStr">
        <is>
          <t>Sala 2</t>
        </is>
      </c>
      <c r="E24" s="43" t="n">
        <v>0.5833333333333334</v>
      </c>
      <c r="F24" s="37" t="n">
        <v>4</v>
      </c>
      <c r="G24" s="44">
        <f>IF(A24="","",IF(F24="",$B$10,F24)*IFERROR(INDEX($J$45:$J$49,MATCH(B24,$I$45:$I$49,0)),0))</f>
        <v>0</v>
      </c>
      <c r="I24" s="42" t="n">
        <v>46143</v>
      </c>
    </row>
    <row r="25">
      <c r="A25" s="36" t="inlineStr">
        <is>
          <t>Dr. Paulo Andrade</t>
        </is>
      </c>
      <c r="B25" s="37" t="inlineStr">
        <is>
          <t>Terça</t>
        </is>
      </c>
      <c r="C25" s="37" t="inlineStr">
        <is>
          <t>Tarde</t>
        </is>
      </c>
      <c r="D25" s="37" t="inlineStr">
        <is>
          <t>Sala 2</t>
        </is>
      </c>
      <c r="E25" s="43" t="n">
        <v>0.5833333333333334</v>
      </c>
      <c r="F25" s="37" t="n">
        <v>4</v>
      </c>
      <c r="G25" s="44">
        <f>IF(A25="","",IF(F25="",$B$10,F25)*IFERROR(INDEX($J$45:$J$49,MATCH(B25,$I$45:$I$49,0)),0))</f>
        <v>8</v>
      </c>
      <c r="I25" s="42" t="n">
        <v>46177</v>
      </c>
    </row>
    <row r="26">
      <c r="A26" s="36" t="inlineStr">
        <is>
          <t>Dr. Paulo Andrade</t>
        </is>
      </c>
      <c r="B26" s="37" t="inlineStr">
        <is>
          <t>Quinta</t>
        </is>
      </c>
      <c r="C26" s="37" t="inlineStr">
        <is>
          <t>Tarde</t>
        </is>
      </c>
      <c r="D26" s="37" t="inlineStr">
        <is>
          <t>Sala 2</t>
        </is>
      </c>
      <c r="E26" s="43" t="n">
        <v>0.5833333333333334</v>
      </c>
      <c r="F26" s="37" t="n">
        <v>4</v>
      </c>
      <c r="G26" s="44">
        <f>IF(A26="","",IF(F26="",$B$10,F26)*IFERROR(INDEX($J$45:$J$49,MATCH(B26,$I$45:$I$49,0)),0))</f>
        <v>8</v>
      </c>
      <c r="I26" s="42" t="n">
        <v>46272</v>
      </c>
    </row>
    <row r="27">
      <c r="A27" s="36" t="inlineStr">
        <is>
          <t>Dr. Paulo Andrade</t>
        </is>
      </c>
      <c r="B27" s="37" t="inlineStr">
        <is>
          <t>Sexta</t>
        </is>
      </c>
      <c r="C27" s="37" t="inlineStr">
        <is>
          <t>Manhã</t>
        </is>
      </c>
      <c r="D27" s="37" t="inlineStr">
        <is>
          <t>Sala 2</t>
        </is>
      </c>
      <c r="E27" s="43" t="n">
        <v>0.3333333333333333</v>
      </c>
      <c r="F27" s="37" t="n">
        <v>4</v>
      </c>
      <c r="G27" s="44">
        <f>IF(A27="","",IF(F27="",$B$10,F27)*IFERROR(INDEX($J$45:$J$49,MATCH(B27,$I$45:$I$49,0)),0))</f>
        <v>8</v>
      </c>
      <c r="I27" s="42" t="n">
        <v>46307</v>
      </c>
    </row>
    <row r="28">
      <c r="A28" s="36" t="inlineStr">
        <is>
          <t>Dra. Renata Sousa</t>
        </is>
      </c>
      <c r="B28" s="37" t="inlineStr">
        <is>
          <t>Terça</t>
        </is>
      </c>
      <c r="C28" s="37" t="inlineStr">
        <is>
          <t>Tarde</t>
        </is>
      </c>
      <c r="D28" s="37" t="inlineStr">
        <is>
          <t>Sala 1</t>
        </is>
      </c>
      <c r="E28" s="43" t="n">
        <v>0.5833333333333334</v>
      </c>
      <c r="F28" s="37" t="n">
        <v>4</v>
      </c>
      <c r="G28" s="44">
        <f>IF(A28="","",IF(F28="",$B$10,F28)*IFERROR(INDEX($J$45:$J$49,MATCH(B28,$I$45:$I$49,0)),0))</f>
        <v>8</v>
      </c>
      <c r="I28" s="42" t="n">
        <v>46328</v>
      </c>
    </row>
    <row r="29">
      <c r="A29" s="36" t="inlineStr">
        <is>
          <t>Dra. Renata Sousa</t>
        </is>
      </c>
      <c r="B29" s="37" t="inlineStr">
        <is>
          <t>Quinta</t>
        </is>
      </c>
      <c r="C29" s="37" t="inlineStr">
        <is>
          <t>Tarde</t>
        </is>
      </c>
      <c r="D29" s="37" t="inlineStr">
        <is>
          <t>Sala 1</t>
        </is>
      </c>
      <c r="E29" s="43" t="n">
        <v>0.5833333333333334</v>
      </c>
      <c r="F29" s="37" t="n">
        <v>4</v>
      </c>
      <c r="G29" s="44">
        <f>IF(A29="","",IF(F29="",$B$10,F29)*IFERROR(INDEX($J$45:$J$49,MATCH(B29,$I$45:$I$49,0)),0))</f>
        <v>8</v>
      </c>
      <c r="I29" s="42" t="n">
        <v>46341</v>
      </c>
    </row>
    <row r="30">
      <c r="A30" s="36" t="n"/>
      <c r="B30" s="37" t="n"/>
      <c r="C30" s="37" t="n"/>
      <c r="D30" s="37" t="n"/>
      <c r="E30" s="43" t="n"/>
      <c r="F30" s="37" t="n"/>
      <c r="G30" s="44">
        <f>IF(A30="","",IF(F30="",$B$10,F30)*IFERROR(INDEX($J$45:$J$49,MATCH(B30,$I$45:$I$49,0)),0))</f>
        <v/>
      </c>
      <c r="I30" s="42" t="n">
        <v>46346</v>
      </c>
    </row>
    <row r="31">
      <c r="A31" s="36" t="n"/>
      <c r="B31" s="37" t="n"/>
      <c r="C31" s="37" t="n"/>
      <c r="D31" s="37" t="n"/>
      <c r="E31" s="43" t="n"/>
      <c r="F31" s="37" t="n"/>
      <c r="G31" s="44">
        <f>IF(A31="","",IF(F31="",$B$10,F31)*IFERROR(INDEX($J$45:$J$49,MATCH(B31,$I$45:$I$49,0)),0))</f>
        <v/>
      </c>
      <c r="I31" s="42" t="n">
        <v>46381</v>
      </c>
    </row>
    <row r="32">
      <c r="A32" s="36" t="n"/>
      <c r="B32" s="37" t="n"/>
      <c r="C32" s="37" t="n"/>
      <c r="D32" s="37" t="n"/>
      <c r="E32" s="43" t="n"/>
      <c r="F32" s="37" t="n"/>
      <c r="G32" s="44">
        <f>IF(A32="","",IF(F32="",$B$10,F32)*IFERROR(INDEX($J$45:$J$49,MATCH(B32,$I$45:$I$49,0)),0))</f>
        <v/>
      </c>
      <c r="I32" s="42" t="n"/>
    </row>
    <row r="33">
      <c r="A33" s="36" t="n"/>
      <c r="B33" s="37" t="n"/>
      <c r="C33" s="37" t="n"/>
      <c r="D33" s="37" t="n"/>
      <c r="E33" s="43" t="n"/>
      <c r="F33" s="37" t="n"/>
      <c r="G33" s="44">
        <f>IF(A33="","",IF(F33="",$B$10,F33)*IFERROR(INDEX($J$45:$J$49,MATCH(B33,$I$45:$I$49,0)),0))</f>
        <v/>
      </c>
      <c r="I33" s="42" t="n"/>
    </row>
    <row r="34">
      <c r="A34" s="36" t="n"/>
      <c r="B34" s="37" t="n"/>
      <c r="C34" s="37" t="n"/>
      <c r="D34" s="37" t="n"/>
      <c r="E34" s="43" t="n"/>
      <c r="F34" s="37" t="n"/>
      <c r="G34" s="44">
        <f>IF(A34="","",IF(F34="",$B$10,F34)*IFERROR(INDEX($J$45:$J$49,MATCH(B34,$I$45:$I$49,0)),0))</f>
        <v/>
      </c>
      <c r="I34" s="42" t="n"/>
    </row>
    <row r="35">
      <c r="A35" s="36" t="n"/>
      <c r="B35" s="37" t="n"/>
      <c r="C35" s="37" t="n"/>
      <c r="D35" s="37" t="n"/>
      <c r="E35" s="43" t="n"/>
      <c r="F35" s="37" t="n"/>
      <c r="G35" s="44">
        <f>IF(A35="","",IF(F35="",$B$10,F35)*IFERROR(INDEX($J$45:$J$49,MATCH(B35,$I$45:$I$49,0)),0))</f>
        <v/>
      </c>
      <c r="I35" s="42" t="n"/>
    </row>
    <row r="36">
      <c r="A36" s="36" t="n"/>
      <c r="B36" s="37" t="n"/>
      <c r="C36" s="37" t="n"/>
      <c r="D36" s="37" t="n"/>
      <c r="E36" s="43" t="n"/>
      <c r="F36" s="37" t="n"/>
      <c r="G36" s="44">
        <f>IF(A36="","",IF(F36="",$B$10,F36)*IFERROR(INDEX($J$45:$J$49,MATCH(B36,$I$45:$I$49,0)),0))</f>
        <v/>
      </c>
      <c r="I36" s="42" t="n"/>
    </row>
    <row r="37">
      <c r="A37" s="36" t="n"/>
      <c r="B37" s="37" t="n"/>
      <c r="C37" s="37" t="n"/>
      <c r="D37" s="37" t="n"/>
      <c r="E37" s="43" t="n"/>
      <c r="F37" s="37" t="n"/>
      <c r="G37" s="44">
        <f>IF(A37="","",IF(F37="",$B$10,F37)*IFERROR(INDEX($J$45:$J$49,MATCH(B37,$I$45:$I$49,0)),0))</f>
        <v/>
      </c>
      <c r="I37" s="42" t="n"/>
    </row>
    <row r="38">
      <c r="A38" s="36" t="n"/>
      <c r="B38" s="37" t="n"/>
      <c r="C38" s="37" t="n"/>
      <c r="D38" s="37" t="n"/>
      <c r="E38" s="43" t="n"/>
      <c r="F38" s="37" t="n"/>
      <c r="G38" s="44">
        <f>IF(A38="","",IF(F38="",$B$10,F38)*IFERROR(INDEX($J$45:$J$49,MATCH(B38,$I$45:$I$49,0)),0))</f>
        <v/>
      </c>
      <c r="I38" s="42" t="n"/>
    </row>
    <row r="39">
      <c r="A39" s="36" t="n"/>
      <c r="B39" s="37" t="n"/>
      <c r="C39" s="37" t="n"/>
      <c r="D39" s="37" t="n"/>
      <c r="E39" s="43" t="n"/>
      <c r="F39" s="37" t="n"/>
      <c r="G39" s="44">
        <f>IF(A39="","",IF(F39="",$B$10,F39)*IFERROR(INDEX($J$45:$J$49,MATCH(B39,$I$45:$I$49,0)),0))</f>
        <v/>
      </c>
    </row>
    <row r="40">
      <c r="A40" s="36" t="n"/>
      <c r="B40" s="37" t="n"/>
      <c r="C40" s="37" t="n"/>
      <c r="D40" s="37" t="n"/>
      <c r="E40" s="43" t="n"/>
      <c r="F40" s="37" t="n"/>
      <c r="G40" s="44">
        <f>IF(A40="","",IF(F40="",$B$10,F40)*IFERROR(INDEX($J$45:$J$49,MATCH(B40,$I$45:$I$49,0)),0))</f>
        <v/>
      </c>
    </row>
    <row r="41">
      <c r="A41" s="36" t="n"/>
      <c r="B41" s="37" t="n"/>
      <c r="C41" s="37" t="n"/>
      <c r="D41" s="37" t="n"/>
      <c r="E41" s="43" t="n"/>
      <c r="F41" s="37" t="n"/>
      <c r="G41" s="44">
        <f>IF(A41="","",IF(F41="",$B$10,F41)*IFERROR(INDEX($J$45:$J$49,MATCH(B41,$I$45:$I$49,0)),0))</f>
        <v/>
      </c>
    </row>
    <row r="42">
      <c r="A42" s="36" t="n"/>
      <c r="B42" s="37" t="n"/>
      <c r="C42" s="37" t="n"/>
      <c r="D42" s="37" t="n"/>
      <c r="E42" s="43" t="n"/>
      <c r="F42" s="37" t="n"/>
      <c r="G42" s="44">
        <f>IF(A42="","",IF(F42="",$B$10,F42)*IFERROR(INDEX($J$45:$J$49,MATCH(B42,$I$45:$I$49,0)),0))</f>
        <v/>
      </c>
    </row>
    <row r="43">
      <c r="A43" s="36" t="n"/>
      <c r="B43" s="37" t="n"/>
      <c r="C43" s="37" t="n"/>
      <c r="D43" s="37" t="n"/>
      <c r="E43" s="43" t="n"/>
      <c r="F43" s="37" t="n"/>
      <c r="G43" s="44">
        <f>IF(A43="","",IF(F43="",$B$10,F43)*IFERROR(INDEX($J$45:$J$49,MATCH(B43,$I$45:$I$49,0)),0))</f>
        <v/>
      </c>
      <c r="I43" s="35" t="inlineStr">
        <is>
          <t>Dias úteis do mês do painel (até o limite), por dia da semana</t>
        </is>
      </c>
    </row>
    <row r="44" ht="26" customHeight="1">
      <c r="I44" s="23" t="inlineStr">
        <is>
          <t>Dia</t>
        </is>
      </c>
      <c r="J44" s="23" t="inlineStr">
        <is>
          <t>Dias no mês</t>
        </is>
      </c>
    </row>
    <row r="45">
      <c r="I45" s="26" t="inlineStr">
        <is>
          <t>Segunda</t>
        </is>
      </c>
      <c r="J45" s="44">
        <f>COUNTIF($C$50:$C$80,I45)</f>
        <v>0</v>
      </c>
    </row>
    <row r="46">
      <c r="I46" s="26" t="inlineStr">
        <is>
          <t>Terça</t>
        </is>
      </c>
      <c r="J46" s="44">
        <f>COUNTIF($C$50:$C$80,I46)</f>
        <v>2</v>
      </c>
    </row>
    <row r="47">
      <c r="I47" s="26" t="inlineStr">
        <is>
          <t>Quarta</t>
        </is>
      </c>
      <c r="J47" s="44">
        <f>COUNTIF($C$50:$C$80,I47)</f>
        <v>2</v>
      </c>
    </row>
    <row r="48">
      <c r="A48" s="34" t="inlineStr">
        <is>
          <t>Auxiliar: dias do mês do painel (calculado; sábado só conta se houver turno de sábado)</t>
        </is>
      </c>
      <c r="I48" s="26" t="inlineStr">
        <is>
          <t>Quinta</t>
        </is>
      </c>
      <c r="J48" s="44">
        <f>COUNTIF($C$50:$C$80,I48)</f>
        <v>2</v>
      </c>
    </row>
    <row r="49" ht="26" customHeight="1">
      <c r="A49" s="23" t="inlineStr">
        <is>
          <t>Dia</t>
        </is>
      </c>
      <c r="B49" s="23" t="inlineStr">
        <is>
          <t>Data</t>
        </is>
      </c>
      <c r="C49" s="23" t="inlineStr">
        <is>
          <t>Conta? (dia da semana)</t>
        </is>
      </c>
      <c r="I49" s="26" t="inlineStr">
        <is>
          <t>Sexta</t>
        </is>
      </c>
      <c r="J49" s="44">
        <f>COUNTIF($C$50:$C$80,I49)</f>
        <v>2</v>
      </c>
    </row>
    <row r="50">
      <c r="A50" s="29" t="n">
        <v>1</v>
      </c>
      <c r="B50" s="33">
        <f>IF(1&gt;DAY(DATE($B$5,$B$7+1,0)),"",DATE($B$5,$B$7,1))</f>
        <v>46266.0</v>
      </c>
      <c r="C50" s="29" t="str">
        <f>IF(B50="","",IF(OR(B50&gt;$B$9,WEEKDAY(B50,2)=7,COUNTIF($I$19:$I$38,B50)&gt;0),"",CHOOSE(WEEKDAY(B50,2),"Segunda","Terça","Quarta","Quinta","Sexta","Sábado","Domingo")))</f>
        <v>Terça</v>
      </c>
      <c r="I50" s="26" t="inlineStr">
        <is>
          <t>Sábado</t>
        </is>
      </c>
      <c r="J50" s="44">
        <f>COUNTIF($C$50:$C$80,I50)</f>
        <v>2</v>
      </c>
    </row>
    <row r="51">
      <c r="A51" s="29" t="n">
        <v>2</v>
      </c>
      <c r="B51" s="33">
        <f>IF(2&gt;DAY(DATE($B$5,$B$7+1,0)),"",DATE($B$5,$B$7,2))</f>
        <v>46267.0</v>
      </c>
      <c r="C51" s="29" t="str">
        <f>IF(B51="","",IF(OR(B51&gt;$B$9,WEEKDAY(B51,2)=7,COUNTIF($I$19:$I$38,B51)&gt;0),"",CHOOSE(WEEKDAY(B51,2),"Segunda","Terça","Quarta","Quinta","Sexta","Sábado","Domingo")))</f>
        <v>Quarta</v>
      </c>
    </row>
    <row r="52">
      <c r="A52" s="29" t="n">
        <v>3</v>
      </c>
      <c r="B52" s="33">
        <f>IF(3&gt;DAY(DATE($B$5,$B$7+1,0)),"",DATE($B$5,$B$7,3))</f>
        <v>46268.0</v>
      </c>
      <c r="C52" s="29" t="str">
        <f>IF(B52="","",IF(OR(B52&gt;$B$9,WEEKDAY(B52,2)=7,COUNTIF($I$19:$I$38,B52)&gt;0),"",CHOOSE(WEEKDAY(B52,2),"Segunda","Terça","Quarta","Quinta","Sexta","Sábado","Domingo")))</f>
        <v>Quinta</v>
      </c>
    </row>
    <row r="53">
      <c r="A53" s="29" t="n">
        <v>4</v>
      </c>
      <c r="B53" s="33">
        <f>IF(4&gt;DAY(DATE($B$5,$B$7+1,0)),"",DATE($B$5,$B$7,4))</f>
        <v>46269.0</v>
      </c>
      <c r="C53" s="29" t="str">
        <f>IF(B53="","",IF(OR(B53&gt;$B$9,WEEKDAY(B53,2)=7,COUNTIF($I$19:$I$38,B53)&gt;0),"",CHOOSE(WEEKDAY(B53,2),"Segunda","Terça","Quarta","Quinta","Sexta","Sábado","Domingo")))</f>
        <v>Sexta</v>
      </c>
    </row>
    <row r="54">
      <c r="A54" s="29" t="n">
        <v>5</v>
      </c>
      <c r="B54" s="33">
        <f>IF(5&gt;DAY(DATE($B$5,$B$7+1,0)),"",DATE($B$5,$B$7,5))</f>
        <v>46270.0</v>
      </c>
      <c r="C54" s="29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29" t="n">
        <v>6</v>
      </c>
      <c r="B55" s="33">
        <f>IF(6&gt;DAY(DATE($B$5,$B$7+1,0)),"",DATE($B$5,$B$7,6))</f>
        <v>46271.0</v>
      </c>
      <c r="C55" s="29">
        <f>IF(B55="","",IF(OR(B55&gt;$B$9,WEEKDAY(B55,2)=7,COUNTIF($I$19:$I$38,B55)&gt;0),"",CHOOSE(WEEKDAY(B55,2),"Segunda","Terça","Quarta","Quinta","Sexta","Sábado","Domingo")))</f>
        <v/>
      </c>
    </row>
    <row r="56">
      <c r="A56" s="29" t="n">
        <v>7</v>
      </c>
      <c r="B56" s="33">
        <f>IF(7&gt;DAY(DATE($B$5,$B$7+1,0)),"",DATE($B$5,$B$7,7))</f>
        <v>46272.0</v>
      </c>
      <c r="C56" s="29">
        <f>IF(B56="","",IF(OR(B56&gt;$B$9,WEEKDAY(B56,2)=7,COUNTIF($I$19:$I$38,B56)&gt;0),"",CHOOSE(WEEKDAY(B56,2),"Segunda","Terça","Quarta","Quinta","Sexta","Sábado","Domingo")))</f>
        <v/>
      </c>
    </row>
    <row r="57">
      <c r="A57" s="29" t="n">
        <v>8</v>
      </c>
      <c r="B57" s="33">
        <f>IF(8&gt;DAY(DATE($B$5,$B$7+1,0)),"",DATE($B$5,$B$7,8))</f>
        <v>46273.0</v>
      </c>
      <c r="C57" s="29" t="str">
        <f>IF(B57="","",IF(OR(B57&gt;$B$9,WEEKDAY(B57,2)=7,COUNTIF($I$19:$I$38,B57)&gt;0),"",CHOOSE(WEEKDAY(B57,2),"Segunda","Terça","Quarta","Quinta","Sexta","Sábado","Domingo")))</f>
        <v>Terça</v>
      </c>
    </row>
    <row r="58">
      <c r="A58" s="29" t="n">
        <v>9</v>
      </c>
      <c r="B58" s="33">
        <f>IF(9&gt;DAY(DATE($B$5,$B$7+1,0)),"",DATE($B$5,$B$7,9))</f>
        <v>46274.0</v>
      </c>
      <c r="C58" s="29" t="str">
        <f>IF(B58="","",IF(OR(B58&gt;$B$9,WEEKDAY(B58,2)=7,COUNTIF($I$19:$I$38,B58)&gt;0),"",CHOOSE(WEEKDAY(B58,2),"Segunda","Terça","Quarta","Quinta","Sexta","Sábado","Domingo")))</f>
        <v>Quarta</v>
      </c>
    </row>
    <row r="59">
      <c r="A59" s="29" t="n">
        <v>10</v>
      </c>
      <c r="B59" s="33">
        <f>IF(10&gt;DAY(DATE($B$5,$B$7+1,0)),"",DATE($B$5,$B$7,10))</f>
        <v>46275.0</v>
      </c>
      <c r="C59" s="29" t="str">
        <f>IF(B59="","",IF(OR(B59&gt;$B$9,WEEKDAY(B59,2)=7,COUNTIF($I$19:$I$38,B59)&gt;0),"",CHOOSE(WEEKDAY(B59,2),"Segunda","Terça","Quarta","Quinta","Sexta","Sábado","Domingo")))</f>
        <v>Quinta</v>
      </c>
    </row>
    <row r="60">
      <c r="A60" s="29" t="n">
        <v>11</v>
      </c>
      <c r="B60" s="33">
        <f>IF(11&gt;DAY(DATE($B$5,$B$7+1,0)),"",DATE($B$5,$B$7,11))</f>
        <v>46276.0</v>
      </c>
      <c r="C60" s="29" t="str">
        <f>IF(B60="","",IF(OR(B60&gt;$B$9,WEEKDAY(B60,2)=7,COUNTIF($I$19:$I$38,B60)&gt;0),"",CHOOSE(WEEKDAY(B60,2),"Segunda","Terça","Quarta","Quinta","Sexta","Sábado","Domingo")))</f>
        <v>Sexta</v>
      </c>
    </row>
    <row r="61">
      <c r="A61" s="29" t="n">
        <v>12</v>
      </c>
      <c r="B61" s="33">
        <f>IF(12&gt;DAY(DATE($B$5,$B$7+1,0)),"",DATE($B$5,$B$7,12))</f>
        <v>46277.0</v>
      </c>
      <c r="C61" s="29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29" t="n">
        <v>13</v>
      </c>
      <c r="B62" s="33">
        <f>IF(13&gt;DAY(DATE($B$5,$B$7+1,0)),"",DATE($B$5,$B$7,13))</f>
        <v>46278.0</v>
      </c>
      <c r="C62" s="29">
        <f>IF(B62="","",IF(OR(B62&gt;$B$9,WEEKDAY(B62,2)=7,COUNTIF($I$19:$I$38,B62)&gt;0),"",CHOOSE(WEEKDAY(B62,2),"Segunda","Terça","Quarta","Quinta","Sexta","Sábado","Domingo")))</f>
        <v/>
      </c>
    </row>
    <row r="63">
      <c r="A63" s="29" t="n">
        <v>14</v>
      </c>
      <c r="B63" s="33">
        <f>IF(14&gt;DAY(DATE($B$5,$B$7+1,0)),"",DATE($B$5,$B$7,14))</f>
        <v>46279.0</v>
      </c>
      <c r="C63" s="29">
        <f>IF(B63="","",IF(OR(B63&gt;$B$9,WEEKDAY(B63,2)=7,COUNTIF($I$19:$I$38,B63)&gt;0),"",CHOOSE(WEEKDAY(B63,2),"Segunda","Terça","Quarta","Quinta","Sexta","Sábado","Domingo")))</f>
        <v/>
      </c>
    </row>
    <row r="64">
      <c r="A64" s="29" t="n">
        <v>15</v>
      </c>
      <c r="B64" s="33">
        <f>IF(15&gt;DAY(DATE($B$5,$B$7+1,0)),"",DATE($B$5,$B$7,15))</f>
        <v>46280.0</v>
      </c>
      <c r="C64" s="29">
        <f>IF(B64="","",IF(OR(B64&gt;$B$9,WEEKDAY(B64,2)=7,COUNTIF($I$19:$I$38,B64)&gt;0),"",CHOOSE(WEEKDAY(B64,2),"Segunda","Terça","Quarta","Quinta","Sexta","Sábado","Domingo")))</f>
        <v/>
      </c>
    </row>
    <row r="65">
      <c r="A65" s="29" t="n">
        <v>16</v>
      </c>
      <c r="B65" s="33">
        <f>IF(16&gt;DAY(DATE($B$5,$B$7+1,0)),"",DATE($B$5,$B$7,16))</f>
        <v>46281.0</v>
      </c>
      <c r="C65" s="29">
        <f>IF(B65="","",IF(OR(B65&gt;$B$9,WEEKDAY(B65,2)=7,COUNTIF($I$19:$I$38,B65)&gt;0),"",CHOOSE(WEEKDAY(B65,2),"Segunda","Terça","Quarta","Quinta","Sexta","Sábado","Domingo")))</f>
        <v/>
      </c>
    </row>
    <row r="66">
      <c r="A66" s="29" t="n">
        <v>17</v>
      </c>
      <c r="B66" s="33">
        <f>IF(17&gt;DAY(DATE($B$5,$B$7+1,0)),"",DATE($B$5,$B$7,17))</f>
        <v>46282.0</v>
      </c>
      <c r="C66" s="29">
        <f>IF(B66="","",IF(OR(B66&gt;$B$9,WEEKDAY(B66,2)=7,COUNTIF($I$19:$I$38,B66)&gt;0),"",CHOOSE(WEEKDAY(B66,2),"Segunda","Terça","Quarta","Quinta","Sexta","Sábado","Domingo")))</f>
        <v/>
      </c>
    </row>
    <row r="67">
      <c r="A67" s="29" t="n">
        <v>18</v>
      </c>
      <c r="B67" s="33">
        <f>IF(18&gt;DAY(DATE($B$5,$B$7+1,0)),"",DATE($B$5,$B$7,18))</f>
        <v>46283.0</v>
      </c>
      <c r="C67" s="29">
        <f>IF(B67="","",IF(OR(B67&gt;$B$9,WEEKDAY(B67,2)=7,COUNTIF($I$19:$I$38,B67)&gt;0),"",CHOOSE(WEEKDAY(B67,2),"Segunda","Terça","Quarta","Quinta","Sexta","Sábado","Domingo")))</f>
        <v/>
      </c>
    </row>
    <row r="68">
      <c r="A68" s="29" t="n">
        <v>19</v>
      </c>
      <c r="B68" s="33">
        <f>IF(19&gt;DAY(DATE($B$5,$B$7+1,0)),"",DATE($B$5,$B$7,19))</f>
        <v>46284.0</v>
      </c>
      <c r="C68" s="29">
        <f>IF(B68="","",IF(OR(B68&gt;$B$9,WEEKDAY(B68,2)=7,COUNTIF($I$19:$I$38,B68)&gt;0),"",CHOOSE(WEEKDAY(B68,2),"Segunda","Terça","Quarta","Quinta","Sexta","Sábado","Domingo")))</f>
        <v/>
      </c>
    </row>
    <row r="69">
      <c r="A69" s="29" t="n">
        <v>20</v>
      </c>
      <c r="B69" s="33">
        <f>IF(20&gt;DAY(DATE($B$5,$B$7+1,0)),"",DATE($B$5,$B$7,20))</f>
        <v>46285.0</v>
      </c>
      <c r="C69" s="29">
        <f>IF(B69="","",IF(OR(B69&gt;$B$9,WEEKDAY(B69,2)=7,COUNTIF($I$19:$I$38,B69)&gt;0),"",CHOOSE(WEEKDAY(B69,2),"Segunda","Terça","Quarta","Quinta","Sexta","Sábado","Domingo")))</f>
        <v/>
      </c>
    </row>
    <row r="70">
      <c r="A70" s="29" t="n">
        <v>21</v>
      </c>
      <c r="B70" s="33">
        <f>IF(21&gt;DAY(DATE($B$5,$B$7+1,0)),"",DATE($B$5,$B$7,21))</f>
        <v>46286.0</v>
      </c>
      <c r="C70" s="29">
        <f>IF(B70="","",IF(OR(B70&gt;$B$9,WEEKDAY(B70,2)=7,COUNTIF($I$19:$I$38,B70)&gt;0),"",CHOOSE(WEEKDAY(B70,2),"Segunda","Terça","Quarta","Quinta","Sexta","Sábado","Domingo")))</f>
        <v/>
      </c>
    </row>
    <row r="71">
      <c r="A71" s="29" t="n">
        <v>22</v>
      </c>
      <c r="B71" s="33">
        <f>IF(22&gt;DAY(DATE($B$5,$B$7+1,0)),"",DATE($B$5,$B$7,22))</f>
        <v>46287.0</v>
      </c>
      <c r="C71" s="29">
        <f>IF(B71="","",IF(OR(B71&gt;$B$9,WEEKDAY(B71,2)=7,COUNTIF($I$19:$I$38,B71)&gt;0),"",CHOOSE(WEEKDAY(B71,2),"Segunda","Terça","Quarta","Quinta","Sexta","Sábado","Domingo")))</f>
        <v/>
      </c>
    </row>
    <row r="72">
      <c r="A72" s="29" t="n">
        <v>23</v>
      </c>
      <c r="B72" s="33">
        <f>IF(23&gt;DAY(DATE($B$5,$B$7+1,0)),"",DATE($B$5,$B$7,23))</f>
        <v>46288.0</v>
      </c>
      <c r="C72" s="29">
        <f>IF(B72="","",IF(OR(B72&gt;$B$9,WEEKDAY(B72,2)=7,COUNTIF($I$19:$I$38,B72)&gt;0),"",CHOOSE(WEEKDAY(B72,2),"Segunda","Terça","Quarta","Quinta","Sexta","Sábado","Domingo")))</f>
        <v/>
      </c>
    </row>
    <row r="73">
      <c r="A73" s="29" t="n">
        <v>24</v>
      </c>
      <c r="B73" s="33">
        <f>IF(24&gt;DAY(DATE($B$5,$B$7+1,0)),"",DATE($B$5,$B$7,24))</f>
        <v>46289.0</v>
      </c>
      <c r="C73" s="29">
        <f>IF(B73="","",IF(OR(B73&gt;$B$9,WEEKDAY(B73,2)=7,COUNTIF($I$19:$I$38,B73)&gt;0),"",CHOOSE(WEEKDAY(B73,2),"Segunda","Terça","Quarta","Quinta","Sexta","Sábado","Domingo")))</f>
        <v/>
      </c>
    </row>
    <row r="74">
      <c r="A74" s="29" t="n">
        <v>25</v>
      </c>
      <c r="B74" s="33">
        <f>IF(25&gt;DAY(DATE($B$5,$B$7+1,0)),"",DATE($B$5,$B$7,25))</f>
        <v>46290.0</v>
      </c>
      <c r="C74" s="29">
        <f>IF(B74="","",IF(OR(B74&gt;$B$9,WEEKDAY(B74,2)=7,COUNTIF($I$19:$I$38,B74)&gt;0),"",CHOOSE(WEEKDAY(B74,2),"Segunda","Terça","Quarta","Quinta","Sexta","Sábado","Domingo")))</f>
        <v/>
      </c>
    </row>
    <row r="75">
      <c r="A75" s="29" t="n">
        <v>26</v>
      </c>
      <c r="B75" s="33">
        <f>IF(26&gt;DAY(DATE($B$5,$B$7+1,0)),"",DATE($B$5,$B$7,26))</f>
        <v>46291.0</v>
      </c>
      <c r="C75" s="29">
        <f>IF(B75="","",IF(OR(B75&gt;$B$9,WEEKDAY(B75,2)=7,COUNTIF($I$19:$I$38,B75)&gt;0),"",CHOOSE(WEEKDAY(B75,2),"Segunda","Terça","Quarta","Quinta","Sexta","Sábado","Domingo")))</f>
        <v/>
      </c>
    </row>
    <row r="76">
      <c r="A76" s="29" t="n">
        <v>27</v>
      </c>
      <c r="B76" s="33">
        <f>IF(27&gt;DAY(DATE($B$5,$B$7+1,0)),"",DATE($B$5,$B$7,27))</f>
        <v>46292.0</v>
      </c>
      <c r="C76" s="29">
        <f>IF(B76="","",IF(OR(B76&gt;$B$9,WEEKDAY(B76,2)=7,COUNTIF($I$19:$I$38,B76)&gt;0),"",CHOOSE(WEEKDAY(B76,2),"Segunda","Terça","Quarta","Quinta","Sexta","Sábado","Domingo")))</f>
        <v/>
      </c>
    </row>
    <row r="77">
      <c r="A77" s="29" t="n">
        <v>28</v>
      </c>
      <c r="B77" s="33">
        <f>IF(28&gt;DAY(DATE($B$5,$B$7+1,0)),"",DATE($B$5,$B$7,28))</f>
        <v>46293.0</v>
      </c>
      <c r="C77" s="29">
        <f>IF(B77="","",IF(OR(B77&gt;$B$9,WEEKDAY(B77,2)=7,COUNTIF($I$19:$I$38,B77)&gt;0),"",CHOOSE(WEEKDAY(B77,2),"Segunda","Terça","Quarta","Quinta","Sexta","Sábado","Domingo")))</f>
        <v/>
      </c>
    </row>
    <row r="78">
      <c r="A78" s="29" t="n">
        <v>29</v>
      </c>
      <c r="B78" s="33">
        <f>IF(29&gt;DAY(DATE($B$5,$B$7+1,0)),"",DATE($B$5,$B$7,29))</f>
        <v>46294.0</v>
      </c>
      <c r="C78" s="29">
        <f>IF(B78="","",IF(OR(B78&gt;$B$9,WEEKDAY(B78,2)=7,COUNTIF($I$19:$I$38,B78)&gt;0),"",CHOOSE(WEEKDAY(B78,2),"Segunda","Terça","Quarta","Quinta","Sexta","Sábado","Domingo")))</f>
        <v/>
      </c>
    </row>
    <row r="79">
      <c r="A79" s="29" t="n">
        <v>30</v>
      </c>
      <c r="B79" s="33">
        <f>IF(30&gt;DAY(DATE($B$5,$B$7+1,0)),"",DATE($B$5,$B$7,30))</f>
        <v>46295.0</v>
      </c>
      <c r="C79" s="29">
        <f>IF(B79="","",IF(OR(B79&gt;$B$9,WEEKDAY(B79,2)=7,COUNTIF($I$19:$I$38,B79)&gt;0),"",CHOOSE(WEEKDAY(B79,2),"Segunda","Terça","Quarta","Quinta","Sexta","Sábado","Domingo")))</f>
        <v/>
      </c>
    </row>
    <row r="80">
      <c r="A80" s="29" t="n">
        <v>31</v>
      </c>
      <c r="B80" s="33">
        <f>IF(31&gt;DAY(DATE($B$5,$B$7+1,0)),"",DATE($B$5,$B$7,31))</f>
        <v/>
      </c>
      <c r="C80" s="29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3" t="inlineStr">
        <is>
          <t>Paciente</t>
        </is>
      </c>
      <c r="B4" s="23" t="inlineStr">
        <is>
          <t>Pagador</t>
        </is>
      </c>
      <c r="C4" s="23" t="inlineStr">
        <is>
          <t>Profissional principal</t>
        </is>
      </c>
      <c r="D4" s="23" t="inlineStr">
        <is>
          <t>Contato</t>
        </is>
      </c>
      <c r="E4" s="23" t="inlineStr">
        <is>
          <t>Observação</t>
        </is>
      </c>
      <c r="F4" s="23" t="inlineStr">
        <is>
          <t>Atendimentos realizados</t>
        </is>
      </c>
      <c r="G4" s="23" t="inlineStr">
        <is>
          <t>Faltas</t>
        </is>
      </c>
      <c r="H4" s="23" t="inlineStr">
        <is>
          <t>Último atendimento</t>
        </is>
      </c>
      <c r="I4" s="23" t="inlineStr">
        <is>
          <t>Próximo agendado</t>
        </is>
      </c>
    </row>
    <row r="5">
      <c r="A5" s="36" t="inlineStr">
        <is>
          <t>Ana Costa</t>
        </is>
      </c>
      <c r="B5" s="37" t="inlineStr">
        <is>
          <t>Particular</t>
        </is>
      </c>
      <c r="C5" s="37" t="inlineStr">
        <is>
          <t>Dra. Carolina Mendes</t>
        </is>
      </c>
      <c r="D5" s="36" t="inlineStr">
        <is>
          <t>(11) 90000-0147</t>
        </is>
      </c>
      <c r="E5" s="36" t="n"/>
      <c r="F5" s="29">
        <f>IF(A5="","",COUNTIFS(Agenda!$E$5:$E$1204,A5,Agenda!$H$5:$H$1204,"Realizado"))</f>
        <v>8</v>
      </c>
      <c r="G5" s="29">
        <f>IF(A5="","",COUNTIFS(Agenda!$E$5:$E$1204,A5,Agenda!$H$5:$H$1204,"Falta"))</f>
        <v>0</v>
      </c>
      <c r="H5" s="33">
        <f>IF(A5="","",IF(SUMPRODUCT(MAX((Agenda!$E$5:$E$1204=A5)*(Agenda!$H$5:$H$1204="Realizado")*Agenda!$A$5:$A$1204))=0,"",SUMPRODUCT(MAX((Agenda!$E$5:$E$1204=A5)*(Agenda!$H$5:$H$1204="Realizado")*Agenda!$A$5:$A$1204))))</f>
        <v>46274.0</v>
      </c>
      <c r="I5" s="33">
        <f>IF(A5="","",IF(SUMPRODUCT(MIN(((Agenda!$E$5:$E$1204=A5)*((Agenda!$H$5:$H$1204="Agendado")+(Agenda!$H$5:$H$1204="Confirmado")))*Agenda!$A$5:$A$1204+(1-((Agenda!$E$5:$E$1204=A5)*((Agenda!$H$5:$H$1204="Agendado")+(Agenda!$H$5:$H$1204="Confirmado"))))*1E+10))&gt;=1E+10,"",SUMPRODUCT(MIN(((Agenda!$E$5:$E$1204=A5)*((Agenda!$H$5:$H$1204="Agendado")+(Agenda!$H$5:$H$1204="Confirmado")))*Agenda!$A$5:$A$1204+(1-((Agenda!$E$5:$E$1204=A5)*((Agenda!$H$5:$H$1204="Agendado")+(Agenda!$H$5:$H$1204="Confirmado"))))*1E+10))))</f>
        <v>46281.0</v>
      </c>
    </row>
    <row r="6">
      <c r="A6" s="36" t="inlineStr">
        <is>
          <t>Beatriz Gomes</t>
        </is>
      </c>
      <c r="B6" s="37" t="inlineStr">
        <is>
          <t>Particular</t>
        </is>
      </c>
      <c r="C6" s="37" t="inlineStr">
        <is>
          <t>Dra. Renata Sousa</t>
        </is>
      </c>
      <c r="D6" s="36" t="inlineStr">
        <is>
          <t>(11) 90000-0254</t>
        </is>
      </c>
      <c r="E6" s="36" t="n"/>
      <c r="F6" s="29">
        <f>IF(A6="","",COUNTIFS(Agenda!$E$5:$E$1204,A6,Agenda!$H$5:$H$1204,"Realizado"))</f>
        <v>1</v>
      </c>
      <c r="G6" s="29">
        <f>IF(A6="","",COUNTIFS(Agenda!$E$5:$E$1204,A6,Agenda!$H$5:$H$1204,"Falta"))</f>
        <v>0</v>
      </c>
      <c r="H6" s="33">
        <f>IF(A6="","",IF(SUMPRODUCT(MAX((Agenda!$E$5:$E$1204=A6)*(Agenda!$H$5:$H$1204="Realizado")*Agenda!$A$5:$A$1204))=0,"",SUMPRODUCT(MAX((Agenda!$E$5:$E$1204=A6)*(Agenda!$H$5:$H$1204="Realizado")*Agenda!$A$5:$A$1204))))</f>
        <v>46273.0</v>
      </c>
      <c r="I6" s="33">
        <f>IF(A6="","",IF(SUMPRODUCT(MIN(((Agenda!$E$5:$E$1204=A6)*((Agenda!$H$5:$H$1204="Agendado")+(Agenda!$H$5:$H$1204="Confirmado")))*Agenda!$A$5:$A$1204+(1-((Agenda!$E$5:$E$1204=A6)*((Agenda!$H$5:$H$1204="Agendado")+(Agenda!$H$5:$H$1204="Confirmado"))))*1E+10))&gt;=1E+10,"",SUMPRODUCT(MIN(((Agenda!$E$5:$E$1204=A6)*((Agenda!$H$5:$H$1204="Agendado")+(Agenda!$H$5:$H$1204="Confirmado")))*Agenda!$A$5:$A$1204+(1-((Agenda!$E$5:$E$1204=A6)*((Agenda!$H$5:$H$1204="Agendado")+(Agenda!$H$5:$H$1204="Confirmado"))))*1E+10))))</f>
        <v>46280.0</v>
      </c>
    </row>
    <row r="7">
      <c r="A7" s="36" t="inlineStr">
        <is>
          <t>Beatriz Gonçalves</t>
        </is>
      </c>
      <c r="B7" s="37" t="inlineStr">
        <is>
          <t>Saúde Total</t>
        </is>
      </c>
      <c r="C7" s="37" t="inlineStr">
        <is>
          <t>Dr. Paulo Andrade</t>
        </is>
      </c>
      <c r="D7" s="36" t="inlineStr">
        <is>
          <t>(11) 90000-0177</t>
        </is>
      </c>
      <c r="E7" s="36" t="n"/>
      <c r="F7" s="29">
        <f>IF(A7="","",COUNTIFS(Agenda!$E$5:$E$1204,A7,Agenda!$H$5:$H$1204,"Realizado"))</f>
        <v>1</v>
      </c>
      <c r="G7" s="29">
        <f>IF(A7="","",COUNTIFS(Agenda!$E$5:$E$1204,A7,Agenda!$H$5:$H$1204,"Falta"))</f>
        <v>0</v>
      </c>
      <c r="H7" s="33">
        <f>IF(A7="","",IF(SUMPRODUCT(MAX((Agenda!$E$5:$E$1204=A7)*(Agenda!$H$5:$H$1204="Realizado")*Agenda!$A$5:$A$1204))=0,"",SUMPRODUCT(MAX((Agenda!$E$5:$E$1204=A7)*(Agenda!$H$5:$H$1204="Realizado")*Agenda!$A$5:$A$1204))))</f>
        <v>46273.0</v>
      </c>
      <c r="I7" s="33">
        <f>IF(A7="","",IF(SUMPRODUCT(MIN(((Agenda!$E$5:$E$1204=A7)*((Agenda!$H$5:$H$1204="Agendado")+(Agenda!$H$5:$H$1204="Confirmado")))*Agenda!$A$5:$A$1204+(1-((Agenda!$E$5:$E$1204=A7)*((Agenda!$H$5:$H$1204="Agendado")+(Agenda!$H$5:$H$1204="Confirmado"))))*1E+10))&gt;=1E+10,"",SUMPRODUCT(MIN(((Agenda!$E$5:$E$1204=A7)*((Agenda!$H$5:$H$1204="Agendado")+(Agenda!$H$5:$H$1204="Confirmado")))*Agenda!$A$5:$A$1204+(1-((Agenda!$E$5:$E$1204=A7)*((Agenda!$H$5:$H$1204="Agendado")+(Agenda!$H$5:$H$1204="Confirmado"))))*1E+10))))</f>
        <v>46287.0</v>
      </c>
    </row>
    <row r="8">
      <c r="A8" s="36" t="inlineStr">
        <is>
          <t>Beatriz Monteiro</t>
        </is>
      </c>
      <c r="B8" s="37" t="inlineStr">
        <is>
          <t>Particular</t>
        </is>
      </c>
      <c r="C8" s="37" t="inlineStr">
        <is>
          <t>Dra. Renata Sousa</t>
        </is>
      </c>
      <c r="D8" s="36" t="inlineStr">
        <is>
          <t>(11) 90000-0233</t>
        </is>
      </c>
      <c r="E8" s="36" t="n"/>
      <c r="F8" s="29">
        <f>IF(A8="","",COUNTIFS(Agenda!$E$5:$E$1204,A8,Agenda!$H$5:$H$1204,"Realizado"))</f>
        <v>5</v>
      </c>
      <c r="G8" s="29">
        <f>IF(A8="","",COUNTIFS(Agenda!$E$5:$E$1204,A8,Agenda!$H$5:$H$1204,"Falta"))</f>
        <v>0</v>
      </c>
      <c r="H8" s="33">
        <f>IF(A8="","",IF(SUMPRODUCT(MAX((Agenda!$E$5:$E$1204=A8)*(Agenda!$H$5:$H$1204="Realizado")*Agenda!$A$5:$A$1204))=0,"",SUMPRODUCT(MAX((Agenda!$E$5:$E$1204=A8)*(Agenda!$H$5:$H$1204="Realizado")*Agenda!$A$5:$A$1204))))</f>
        <v>46259.0</v>
      </c>
      <c r="I8" s="33">
        <f>IF(A8="","",IF(SUMPRODUCT(MIN(((Agenda!$E$5:$E$1204=A8)*((Agenda!$H$5:$H$1204="Agendado")+(Agenda!$H$5:$H$1204="Confirmado")))*Agenda!$A$5:$A$1204+(1-((Agenda!$E$5:$E$1204=A8)*((Agenda!$H$5:$H$1204="Agendado")+(Agenda!$H$5:$H$1204="Confirmado"))))*1E+10))&gt;=1E+10,"",SUMPRODUCT(MIN(((Agenda!$E$5:$E$1204=A8)*((Agenda!$H$5:$H$1204="Agendado")+(Agenda!$H$5:$H$1204="Confirmado")))*Agenda!$A$5:$A$1204+(1-((Agenda!$E$5:$E$1204=A8)*((Agenda!$H$5:$H$1204="Agendado")+(Agenda!$H$5:$H$1204="Confirmado"))))*1E+10))))</f>
        <v/>
      </c>
    </row>
    <row r="9">
      <c r="A9" s="36" t="inlineStr">
        <is>
          <t>Beatriz Reis</t>
        </is>
      </c>
      <c r="B9" s="37" t="inlineStr">
        <is>
          <t>Particular</t>
        </is>
      </c>
      <c r="C9" s="37" t="inlineStr">
        <is>
          <t>Dra. Renata Sousa</t>
        </is>
      </c>
      <c r="D9" s="36" t="inlineStr">
        <is>
          <t>(11) 90000-0255</t>
        </is>
      </c>
      <c r="E9" s="36" t="n"/>
      <c r="F9" s="29">
        <f>IF(A9="","",COUNTIFS(Agenda!$E$5:$E$1204,A9,Agenda!$H$5:$H$1204,"Realizado"))</f>
        <v>2</v>
      </c>
      <c r="G9" s="29">
        <f>IF(A9="","",COUNTIFS(Agenda!$E$5:$E$1204,A9,Agenda!$H$5:$H$1204,"Falta"))</f>
        <v>0</v>
      </c>
      <c r="H9" s="33">
        <f>IF(A9="","",IF(SUMPRODUCT(MAX((Agenda!$E$5:$E$1204=A9)*(Agenda!$H$5:$H$1204="Realizado")*Agenda!$A$5:$A$1204))=0,"",SUMPRODUCT(MAX((Agenda!$E$5:$E$1204=A9)*(Agenda!$H$5:$H$1204="Realizado")*Agenda!$A$5:$A$1204))))</f>
        <v>46224.0</v>
      </c>
      <c r="I9" s="33">
        <f>IF(A9="","",IF(SUMPRODUCT(MIN(((Agenda!$E$5:$E$1204=A9)*((Agenda!$H$5:$H$1204="Agendado")+(Agenda!$H$5:$H$1204="Confirmado")))*Agenda!$A$5:$A$1204+(1-((Agenda!$E$5:$E$1204=A9)*((Agenda!$H$5:$H$1204="Agendado")+(Agenda!$H$5:$H$1204="Confirmado"))))*1E+10))&gt;=1E+10,"",SUMPRODUCT(MIN(((Agenda!$E$5:$E$1204=A9)*((Agenda!$H$5:$H$1204="Agendado")+(Agenda!$H$5:$H$1204="Confirmado")))*Agenda!$A$5:$A$1204+(1-((Agenda!$E$5:$E$1204=A9)*((Agenda!$H$5:$H$1204="Agendado")+(Agenda!$H$5:$H$1204="Confirmado"))))*1E+10))))</f>
        <v/>
      </c>
    </row>
    <row r="10">
      <c r="A10" s="36" t="inlineStr">
        <is>
          <t>Bruno Carvalho</t>
        </is>
      </c>
      <c r="B10" s="37" t="inlineStr">
        <is>
          <t>Saúde Total</t>
        </is>
      </c>
      <c r="C10" s="37" t="inlineStr">
        <is>
          <t>Dr. Paulo Andrade</t>
        </is>
      </c>
      <c r="D10" s="36" t="inlineStr">
        <is>
          <t>(11) 90000-0213</t>
        </is>
      </c>
      <c r="E10" s="36" t="n"/>
      <c r="F10" s="29">
        <f>IF(A10="","",COUNTIFS(Agenda!$E$5:$E$1204,A10,Agenda!$H$5:$H$1204,"Realizado"))</f>
        <v>2</v>
      </c>
      <c r="G10" s="29">
        <f>IF(A10="","",COUNTIFS(Agenda!$E$5:$E$1204,A10,Agenda!$H$5:$H$1204,"Falta"))</f>
        <v>0</v>
      </c>
      <c r="H10" s="33">
        <f>IF(A10="","",IF(SUMPRODUCT(MAX((Agenda!$E$5:$E$1204=A10)*(Agenda!$H$5:$H$1204="Realizado")*Agenda!$A$5:$A$1204))=0,"",SUMPRODUCT(MAX((Agenda!$E$5:$E$1204=A10)*(Agenda!$H$5:$H$1204="Realizado")*Agenda!$A$5:$A$1204))))</f>
        <v>46261.0</v>
      </c>
      <c r="I10" s="33">
        <f>IF(A10="","",IF(SUMPRODUCT(MIN(((Agenda!$E$5:$E$1204=A10)*((Agenda!$H$5:$H$1204="Agendado")+(Agenda!$H$5:$H$1204="Confirmado")))*Agenda!$A$5:$A$1204+(1-((Agenda!$E$5:$E$1204=A10)*((Agenda!$H$5:$H$1204="Agendado")+(Agenda!$H$5:$H$1204="Confirmado"))))*1E+10))&gt;=1E+10,"",SUMPRODUCT(MIN(((Agenda!$E$5:$E$1204=A10)*((Agenda!$H$5:$H$1204="Agendado")+(Agenda!$H$5:$H$1204="Confirmado")))*Agenda!$A$5:$A$1204+(1-((Agenda!$E$5:$E$1204=A10)*((Agenda!$H$5:$H$1204="Agendado")+(Agenda!$H$5:$H$1204="Confirmado"))))*1E+10))))</f>
        <v>46279.0</v>
      </c>
    </row>
    <row r="11">
      <c r="A11" s="36" t="inlineStr">
        <is>
          <t>Camila Batista</t>
        </is>
      </c>
      <c r="B11" s="37" t="inlineStr">
        <is>
          <t>MediPlan</t>
        </is>
      </c>
      <c r="C11" s="37" t="inlineStr">
        <is>
          <t>Dra. Carolina Mendes</t>
        </is>
      </c>
      <c r="D11" s="36" t="inlineStr">
        <is>
          <t>(11) 90000-0102</t>
        </is>
      </c>
      <c r="E11" s="36" t="n"/>
      <c r="F11" s="29">
        <f>IF(A11="","",COUNTIFS(Agenda!$E$5:$E$1204,A11,Agenda!$H$5:$H$1204,"Realizado"))</f>
        <v>8</v>
      </c>
      <c r="G11" s="29">
        <f>IF(A11="","",COUNTIFS(Agenda!$E$5:$E$1204,A11,Agenda!$H$5:$H$1204,"Falta"))</f>
        <v>2</v>
      </c>
      <c r="H11" s="33">
        <f>IF(A11="","",IF(SUMPRODUCT(MAX((Agenda!$E$5:$E$1204=A11)*(Agenda!$H$5:$H$1204="Realizado")*Agenda!$A$5:$A$1204))=0,"",SUMPRODUCT(MAX((Agenda!$E$5:$E$1204=A11)*(Agenda!$H$5:$H$1204="Realizado")*Agenda!$A$5:$A$1204))))</f>
        <v>46269.0</v>
      </c>
      <c r="I11" s="33">
        <f>IF(A11="","",IF(SUMPRODUCT(MIN(((Agenda!$E$5:$E$1204=A11)*((Agenda!$H$5:$H$1204="Agendado")+(Agenda!$H$5:$H$1204="Confirmado")))*Agenda!$A$5:$A$1204+(1-((Agenda!$E$5:$E$1204=A11)*((Agenda!$H$5:$H$1204="Agendado")+(Agenda!$H$5:$H$1204="Confirmado"))))*1E+10))&gt;=1E+10,"",SUMPRODUCT(MIN(((Agenda!$E$5:$E$1204=A11)*((Agenda!$H$5:$H$1204="Agendado")+(Agenda!$H$5:$H$1204="Confirmado")))*Agenda!$A$5:$A$1204+(1-((Agenda!$E$5:$E$1204=A11)*((Agenda!$H$5:$H$1204="Agendado")+(Agenda!$H$5:$H$1204="Confirmado"))))*1E+10))))</f>
        <v>46279.0</v>
      </c>
    </row>
    <row r="12">
      <c r="A12" s="36" t="inlineStr">
        <is>
          <t>Camila Dias</t>
        </is>
      </c>
      <c r="B12" s="37" t="inlineStr">
        <is>
          <t>Particular</t>
        </is>
      </c>
      <c r="C12" s="37" t="inlineStr">
        <is>
          <t>Dra. Renata Sousa</t>
        </is>
      </c>
      <c r="D12" s="36" t="inlineStr">
        <is>
          <t>(11) 90000-0241</t>
        </is>
      </c>
      <c r="E12" s="36" t="n"/>
      <c r="F12" s="29">
        <f>IF(A12="","",COUNTIFS(Agenda!$E$5:$E$1204,A12,Agenda!$H$5:$H$1204,"Realizado"))</f>
        <v>1</v>
      </c>
      <c r="G12" s="29">
        <f>IF(A12="","",COUNTIFS(Agenda!$E$5:$E$1204,A12,Agenda!$H$5:$H$1204,"Falta"))</f>
        <v>0</v>
      </c>
      <c r="H12" s="33">
        <f>IF(A12="","",IF(SUMPRODUCT(MAX((Agenda!$E$5:$E$1204=A12)*(Agenda!$H$5:$H$1204="Realizado")*Agenda!$A$5:$A$1204))=0,"",SUMPRODUCT(MAX((Agenda!$E$5:$E$1204=A12)*(Agenda!$H$5:$H$1204="Realizado")*Agenda!$A$5:$A$1204))))</f>
        <v>46205.0</v>
      </c>
      <c r="I12" s="33">
        <f>IF(A12="","",IF(SUMPRODUCT(MIN(((Agenda!$E$5:$E$1204=A12)*((Agenda!$H$5:$H$1204="Agendado")+(Agenda!$H$5:$H$1204="Confirmado")))*Agenda!$A$5:$A$1204+(1-((Agenda!$E$5:$E$1204=A12)*((Agenda!$H$5:$H$1204="Agendado")+(Agenda!$H$5:$H$1204="Confirmado"))))*1E+10))&gt;=1E+10,"",SUMPRODUCT(MIN(((Agenda!$E$5:$E$1204=A12)*((Agenda!$H$5:$H$1204="Agendado")+(Agenda!$H$5:$H$1204="Confirmado")))*Agenda!$A$5:$A$1204+(1-((Agenda!$E$5:$E$1204=A12)*((Agenda!$H$5:$H$1204="Agendado")+(Agenda!$H$5:$H$1204="Confirmado"))))*1E+10))))</f>
        <v/>
      </c>
    </row>
    <row r="13">
      <c r="A13" s="36" t="inlineStr">
        <is>
          <t>Camila Freitas</t>
        </is>
      </c>
      <c r="B13" s="37" t="inlineStr">
        <is>
          <t>Particular</t>
        </is>
      </c>
      <c r="C13" s="37" t="inlineStr">
        <is>
          <t>Dr. Paulo Andrade</t>
        </is>
      </c>
      <c r="D13" s="36" t="inlineStr">
        <is>
          <t>(11) 90000-0212</t>
        </is>
      </c>
      <c r="E13" s="36" t="n"/>
      <c r="F13" s="29">
        <f>IF(A13="","",COUNTIFS(Agenda!$E$5:$E$1204,A13,Agenda!$H$5:$H$1204,"Realizado"))</f>
        <v>2</v>
      </c>
      <c r="G13" s="29">
        <f>IF(A13="","",COUNTIFS(Agenda!$E$5:$E$1204,A13,Agenda!$H$5:$H$1204,"Falta"))</f>
        <v>0</v>
      </c>
      <c r="H13" s="33">
        <f>IF(A13="","",IF(SUMPRODUCT(MAX((Agenda!$E$5:$E$1204=A13)*(Agenda!$H$5:$H$1204="Realizado")*Agenda!$A$5:$A$1204))=0,"",SUMPRODUCT(MAX((Agenda!$E$5:$E$1204=A13)*(Agenda!$H$5:$H$1204="Realizado")*Agenda!$A$5:$A$1204))))</f>
        <v>46258.0</v>
      </c>
      <c r="I13" s="33">
        <f>IF(A13="","",IF(SUMPRODUCT(MIN(((Agenda!$E$5:$E$1204=A13)*((Agenda!$H$5:$H$1204="Agendado")+(Agenda!$H$5:$H$1204="Confirmado")))*Agenda!$A$5:$A$1204+(1-((Agenda!$E$5:$E$1204=A13)*((Agenda!$H$5:$H$1204="Agendado")+(Agenda!$H$5:$H$1204="Confirmado"))))*1E+10))&gt;=1E+10,"",SUMPRODUCT(MIN(((Agenda!$E$5:$E$1204=A13)*((Agenda!$H$5:$H$1204="Agendado")+(Agenda!$H$5:$H$1204="Confirmado")))*Agenda!$A$5:$A$1204+(1-((Agenda!$E$5:$E$1204=A13)*((Agenda!$H$5:$H$1204="Agendado")+(Agenda!$H$5:$H$1204="Confirmado"))))*1E+10))))</f>
        <v>46289.0</v>
      </c>
    </row>
    <row r="14">
      <c r="A14" s="36" t="inlineStr">
        <is>
          <t>Camila Martins</t>
        </is>
      </c>
      <c r="B14" s="37" t="inlineStr">
        <is>
          <t>Vida Care</t>
        </is>
      </c>
      <c r="C14" s="37" t="inlineStr">
        <is>
          <t>Dr. Paulo Andrade</t>
        </is>
      </c>
      <c r="D14" s="36" t="inlineStr">
        <is>
          <t>(11) 90000-0201</t>
        </is>
      </c>
      <c r="E14" s="36" t="n"/>
      <c r="F14" s="29">
        <f>IF(A14="","",COUNTIFS(Agenda!$E$5:$E$1204,A14,Agenda!$H$5:$H$1204,"Realizado"))</f>
        <v>5</v>
      </c>
      <c r="G14" s="29">
        <f>IF(A14="","",COUNTIFS(Agenda!$E$5:$E$1204,A14,Agenda!$H$5:$H$1204,"Falta"))</f>
        <v>1</v>
      </c>
      <c r="H14" s="33">
        <f>IF(A14="","",IF(SUMPRODUCT(MAX((Agenda!$E$5:$E$1204=A14)*(Agenda!$H$5:$H$1204="Realizado")*Agenda!$A$5:$A$1204))=0,"",SUMPRODUCT(MAX((Agenda!$E$5:$E$1204=A14)*(Agenda!$H$5:$H$1204="Realizado")*Agenda!$A$5:$A$1204))))</f>
        <v>46269.0</v>
      </c>
      <c r="I14" s="33">
        <f>IF(A14="","",IF(SUMPRODUCT(MIN(((Agenda!$E$5:$E$1204=A14)*((Agenda!$H$5:$H$1204="Agendado")+(Agenda!$H$5:$H$1204="Confirmado")))*Agenda!$A$5:$A$1204+(1-((Agenda!$E$5:$E$1204=A14)*((Agenda!$H$5:$H$1204="Agendado")+(Agenda!$H$5:$H$1204="Confirmado"))))*1E+10))&gt;=1E+10,"",SUMPRODUCT(MIN(((Agenda!$E$5:$E$1204=A14)*((Agenda!$H$5:$H$1204="Agendado")+(Agenda!$H$5:$H$1204="Confirmado")))*Agenda!$A$5:$A$1204+(1-((Agenda!$E$5:$E$1204=A14)*((Agenda!$H$5:$H$1204="Agendado")+(Agenda!$H$5:$H$1204="Confirmado"))))*1E+10))))</f>
        <v>46289.0</v>
      </c>
    </row>
    <row r="15">
      <c r="A15" s="36" t="inlineStr">
        <is>
          <t>Carlos Barros</t>
        </is>
      </c>
      <c r="B15" s="37" t="inlineStr">
        <is>
          <t>MediPlan</t>
        </is>
      </c>
      <c r="C15" s="37" t="inlineStr">
        <is>
          <t>Dra. Carolina Mendes</t>
        </is>
      </c>
      <c r="D15" s="36" t="inlineStr">
        <is>
          <t>(11) 90000-0131</t>
        </is>
      </c>
      <c r="E15" s="36" t="n"/>
      <c r="F15" s="29">
        <f>IF(A15="","",COUNTIFS(Agenda!$E$5:$E$1204,A15,Agenda!$H$5:$H$1204,"Realizado"))</f>
        <v>5</v>
      </c>
      <c r="G15" s="29">
        <f>IF(A15="","",COUNTIFS(Agenda!$E$5:$E$1204,A15,Agenda!$H$5:$H$1204,"Falta"))</f>
        <v>0</v>
      </c>
      <c r="H15" s="33">
        <f>IF(A15="","",IF(SUMPRODUCT(MAX((Agenda!$E$5:$E$1204=A15)*(Agenda!$H$5:$H$1204="Realizado")*Agenda!$A$5:$A$1204))=0,"",SUMPRODUCT(MAX((Agenda!$E$5:$E$1204=A15)*(Agenda!$H$5:$H$1204="Realizado")*Agenda!$A$5:$A$1204))))</f>
        <v>46273.0</v>
      </c>
      <c r="I15" s="33">
        <f>IF(A15="","",IF(SUMPRODUCT(MIN(((Agenda!$E$5:$E$1204=A15)*((Agenda!$H$5:$H$1204="Agendado")+(Agenda!$H$5:$H$1204="Confirmado")))*Agenda!$A$5:$A$1204+(1-((Agenda!$E$5:$E$1204=A15)*((Agenda!$H$5:$H$1204="Agendado")+(Agenda!$H$5:$H$1204="Confirmado"))))*1E+10))&gt;=1E+10,"",SUMPRODUCT(MIN(((Agenda!$E$5:$E$1204=A15)*((Agenda!$H$5:$H$1204="Agendado")+(Agenda!$H$5:$H$1204="Confirmado")))*Agenda!$A$5:$A$1204+(1-((Agenda!$E$5:$E$1204=A15)*((Agenda!$H$5:$H$1204="Agendado")+(Agenda!$H$5:$H$1204="Confirmado"))))*1E+10))))</f>
        <v>46280.0</v>
      </c>
    </row>
    <row r="16">
      <c r="A16" s="36" t="inlineStr">
        <is>
          <t>Carlos Castro</t>
        </is>
      </c>
      <c r="B16" s="37" t="inlineStr">
        <is>
          <t>Saúde Total</t>
        </is>
      </c>
      <c r="C16" s="37" t="inlineStr">
        <is>
          <t>Dra. Carolina Mendes</t>
        </is>
      </c>
      <c r="D16" s="36" t="inlineStr">
        <is>
          <t>(11) 90000-0123</t>
        </is>
      </c>
      <c r="E16" s="36" t="n"/>
      <c r="F16" s="29">
        <f>IF(A16="","",COUNTIFS(Agenda!$E$5:$E$1204,A16,Agenda!$H$5:$H$1204,"Realizado"))</f>
        <v>3</v>
      </c>
      <c r="G16" s="29">
        <f>IF(A16="","",COUNTIFS(Agenda!$E$5:$E$1204,A16,Agenda!$H$5:$H$1204,"Falta"))</f>
        <v>1</v>
      </c>
      <c r="H16" s="33">
        <f>IF(A16="","",IF(SUMPRODUCT(MAX((Agenda!$E$5:$E$1204=A16)*(Agenda!$H$5:$H$1204="Realizado")*Agenda!$A$5:$A$1204))=0,"",SUMPRODUCT(MAX((Agenda!$E$5:$E$1204=A16)*(Agenda!$H$5:$H$1204="Realizado")*Agenda!$A$5:$A$1204))))</f>
        <v>46274.0</v>
      </c>
      <c r="I16" s="33">
        <f>IF(A16="","",IF(SUMPRODUCT(MIN(((Agenda!$E$5:$E$1204=A16)*((Agenda!$H$5:$H$1204="Agendado")+(Agenda!$H$5:$H$1204="Confirmado")))*Agenda!$A$5:$A$1204+(1-((Agenda!$E$5:$E$1204=A16)*((Agenda!$H$5:$H$1204="Agendado")+(Agenda!$H$5:$H$1204="Confirmado"))))*1E+10))&gt;=1E+10,"",SUMPRODUCT(MIN(((Agenda!$E$5:$E$1204=A16)*((Agenda!$H$5:$H$1204="Agendado")+(Agenda!$H$5:$H$1204="Confirmado")))*Agenda!$A$5:$A$1204+(1-((Agenda!$E$5:$E$1204=A16)*((Agenda!$H$5:$H$1204="Agendado")+(Agenda!$H$5:$H$1204="Confirmado"))))*1E+10))))</f>
        <v>46289.0</v>
      </c>
    </row>
    <row r="17">
      <c r="A17" s="36" t="inlineStr">
        <is>
          <t>Carlos Fernandes</t>
        </is>
      </c>
      <c r="B17" s="37" t="inlineStr">
        <is>
          <t>Particular</t>
        </is>
      </c>
      <c r="C17" s="37" t="inlineStr">
        <is>
          <t>Dra. Carolina Mendes</t>
        </is>
      </c>
      <c r="D17" s="36" t="inlineStr">
        <is>
          <t>(11) 90000-0154</t>
        </is>
      </c>
      <c r="E17" s="36" t="n"/>
      <c r="F17" s="29">
        <f>IF(A17="","",COUNTIFS(Agenda!$E$5:$E$1204,A17,Agenda!$H$5:$H$1204,"Realizado"))</f>
        <v>2</v>
      </c>
      <c r="G17" s="29">
        <f>IF(A17="","",COUNTIFS(Agenda!$E$5:$E$1204,A17,Agenda!$H$5:$H$1204,"Falta"))</f>
        <v>1</v>
      </c>
      <c r="H17" s="33">
        <f>IF(A17="","",IF(SUMPRODUCT(MAX((Agenda!$E$5:$E$1204=A17)*(Agenda!$H$5:$H$1204="Realizado")*Agenda!$A$5:$A$1204))=0,"",SUMPRODUCT(MAX((Agenda!$E$5:$E$1204=A17)*(Agenda!$H$5:$H$1204="Realizado")*Agenda!$A$5:$A$1204))))</f>
        <v>46258.0</v>
      </c>
      <c r="I17" s="33">
        <f>IF(A17="","",IF(SUMPRODUCT(MIN(((Agenda!$E$5:$E$1204=A17)*((Agenda!$H$5:$H$1204="Agendado")+(Agenda!$H$5:$H$1204="Confirmado")))*Agenda!$A$5:$A$1204+(1-((Agenda!$E$5:$E$1204=A17)*((Agenda!$H$5:$H$1204="Agendado")+(Agenda!$H$5:$H$1204="Confirmado"))))*1E+10))&gt;=1E+10,"",SUMPRODUCT(MIN(((Agenda!$E$5:$E$1204=A17)*((Agenda!$H$5:$H$1204="Agendado")+(Agenda!$H$5:$H$1204="Confirmado")))*Agenda!$A$5:$A$1204+(1-((Agenda!$E$5:$E$1204=A17)*((Agenda!$H$5:$H$1204="Agendado")+(Agenda!$H$5:$H$1204="Confirmado"))))*1E+10))))</f>
        <v/>
      </c>
    </row>
    <row r="18">
      <c r="A18" s="36" t="inlineStr">
        <is>
          <t>Carlos Freitas</t>
        </is>
      </c>
      <c r="B18" s="37" t="inlineStr">
        <is>
          <t>Particular</t>
        </is>
      </c>
      <c r="C18" s="37" t="inlineStr">
        <is>
          <t>Dra. Renata Sousa</t>
        </is>
      </c>
      <c r="D18" s="36" t="inlineStr">
        <is>
          <t>(11) 90000-0223</t>
        </is>
      </c>
      <c r="E18" s="36" t="n"/>
      <c r="F18" s="29">
        <f>IF(A18="","",COUNTIFS(Agenda!$E$5:$E$1204,A18,Agenda!$H$5:$H$1204,"Realizado"))</f>
        <v>3</v>
      </c>
      <c r="G18" s="29">
        <f>IF(A18="","",COUNTIFS(Agenda!$E$5:$E$1204,A18,Agenda!$H$5:$H$1204,"Falta"))</f>
        <v>1</v>
      </c>
      <c r="H18" s="33">
        <f>IF(A18="","",IF(SUMPRODUCT(MAX((Agenda!$E$5:$E$1204=A18)*(Agenda!$H$5:$H$1204="Realizado")*Agenda!$A$5:$A$1204))=0,"",SUMPRODUCT(MAX((Agenda!$E$5:$E$1204=A18)*(Agenda!$H$5:$H$1204="Realizado")*Agenda!$A$5:$A$1204))))</f>
        <v>46245.0</v>
      </c>
      <c r="I18" s="33">
        <f>IF(A18="","",IF(SUMPRODUCT(MIN(((Agenda!$E$5:$E$1204=A18)*((Agenda!$H$5:$H$1204="Agendado")+(Agenda!$H$5:$H$1204="Confirmado")))*Agenda!$A$5:$A$1204+(1-((Agenda!$E$5:$E$1204=A18)*((Agenda!$H$5:$H$1204="Agendado")+(Agenda!$H$5:$H$1204="Confirmado"))))*1E+10))&gt;=1E+10,"",SUMPRODUCT(MIN(((Agenda!$E$5:$E$1204=A18)*((Agenda!$H$5:$H$1204="Agendado")+(Agenda!$H$5:$H$1204="Confirmado")))*Agenda!$A$5:$A$1204+(1-((Agenda!$E$5:$E$1204=A18)*((Agenda!$H$5:$H$1204="Agendado")+(Agenda!$H$5:$H$1204="Confirmado"))))*1E+10))))</f>
        <v/>
      </c>
    </row>
    <row r="19">
      <c r="A19" s="36" t="inlineStr">
        <is>
          <t>Carlos Gomes</t>
        </is>
      </c>
      <c r="B19" s="37" t="inlineStr">
        <is>
          <t>Saúde Total</t>
        </is>
      </c>
      <c r="C19" s="37" t="inlineStr">
        <is>
          <t>Dra. Renata Sousa</t>
        </is>
      </c>
      <c r="D19" s="36" t="inlineStr">
        <is>
          <t>(11) 90000-0245</t>
        </is>
      </c>
      <c r="E19" s="36" t="n"/>
      <c r="F19" s="29">
        <f>IF(A19="","",COUNTIFS(Agenda!$E$5:$E$1204,A19,Agenda!$H$5:$H$1204,"Realizado"))</f>
        <v>4</v>
      </c>
      <c r="G19" s="29">
        <f>IF(A19="","",COUNTIFS(Agenda!$E$5:$E$1204,A19,Agenda!$H$5:$H$1204,"Falta"))</f>
        <v>0</v>
      </c>
      <c r="H19" s="33">
        <f>IF(A19="","",IF(SUMPRODUCT(MAX((Agenda!$E$5:$E$1204=A19)*(Agenda!$H$5:$H$1204="Realizado")*Agenda!$A$5:$A$1204))=0,"",SUMPRODUCT(MAX((Agenda!$E$5:$E$1204=A19)*(Agenda!$H$5:$H$1204="Realizado")*Agenda!$A$5:$A$1204))))</f>
        <v>46273.0</v>
      </c>
      <c r="I19" s="33">
        <f>IF(A19="","",IF(SUMPRODUCT(MIN(((Agenda!$E$5:$E$1204=A19)*((Agenda!$H$5:$H$1204="Agendado")+(Agenda!$H$5:$H$1204="Confirmado")))*Agenda!$A$5:$A$1204+(1-((Agenda!$E$5:$E$1204=A19)*((Agenda!$H$5:$H$1204="Agendado")+(Agenda!$H$5:$H$1204="Confirmado"))))*1E+10))&gt;=1E+10,"",SUMPRODUCT(MIN(((Agenda!$E$5:$E$1204=A19)*((Agenda!$H$5:$H$1204="Agendado")+(Agenda!$H$5:$H$1204="Confirmado")))*Agenda!$A$5:$A$1204+(1-((Agenda!$E$5:$E$1204=A19)*((Agenda!$H$5:$H$1204="Agendado")+(Agenda!$H$5:$H$1204="Confirmado"))))*1E+10))))</f>
        <v/>
      </c>
    </row>
    <row r="20">
      <c r="A20" s="36" t="inlineStr">
        <is>
          <t>Carlos Gonçalves</t>
        </is>
      </c>
      <c r="B20" s="37" t="inlineStr">
        <is>
          <t>Saúde Total</t>
        </is>
      </c>
      <c r="C20" s="37" t="inlineStr">
        <is>
          <t>Dra. Renata Sousa</t>
        </is>
      </c>
      <c r="D20" s="36" t="inlineStr">
        <is>
          <t>(11) 90000-0242</t>
        </is>
      </c>
      <c r="E20" s="36" t="n"/>
      <c r="F20" s="29">
        <f>IF(A20="","",COUNTIFS(Agenda!$E$5:$E$1204,A20,Agenda!$H$5:$H$1204,"Realizado"))</f>
        <v>7</v>
      </c>
      <c r="G20" s="29">
        <f>IF(A20="","",COUNTIFS(Agenda!$E$5:$E$1204,A20,Agenda!$H$5:$H$1204,"Falta"))</f>
        <v>2</v>
      </c>
      <c r="H20" s="33">
        <f>IF(A20="","",IF(SUMPRODUCT(MAX((Agenda!$E$5:$E$1204=A20)*(Agenda!$H$5:$H$1204="Realizado")*Agenda!$A$5:$A$1204))=0,"",SUMPRODUCT(MAX((Agenda!$E$5:$E$1204=A20)*(Agenda!$H$5:$H$1204="Realizado")*Agenda!$A$5:$A$1204))))</f>
        <v>46275.0</v>
      </c>
      <c r="I20" s="33">
        <f>IF(A20="","",IF(SUMPRODUCT(MIN(((Agenda!$E$5:$E$1204=A20)*((Agenda!$H$5:$H$1204="Agendado")+(Agenda!$H$5:$H$1204="Confirmado")))*Agenda!$A$5:$A$1204+(1-((Agenda!$E$5:$E$1204=A20)*((Agenda!$H$5:$H$1204="Agendado")+(Agenda!$H$5:$H$1204="Confirmado"))))*1E+10))&gt;=1E+10,"",SUMPRODUCT(MIN(((Agenda!$E$5:$E$1204=A20)*((Agenda!$H$5:$H$1204="Agendado")+(Agenda!$H$5:$H$1204="Confirmado")))*Agenda!$A$5:$A$1204+(1-((Agenda!$E$5:$E$1204=A20)*((Agenda!$H$5:$H$1204="Agendado")+(Agenda!$H$5:$H$1204="Confirmado"))))*1E+10))))</f>
        <v>46282.0</v>
      </c>
    </row>
    <row r="21">
      <c r="A21" s="36" t="inlineStr">
        <is>
          <t>Carlos Oliveira</t>
        </is>
      </c>
      <c r="B21" s="37" t="inlineStr">
        <is>
          <t>Particular</t>
        </is>
      </c>
      <c r="C21" s="37" t="inlineStr">
        <is>
          <t>Dr. Paulo Andrade</t>
        </is>
      </c>
      <c r="D21" s="36" t="inlineStr">
        <is>
          <t>(11) 90000-0215</t>
        </is>
      </c>
      <c r="E21" s="36" t="n"/>
      <c r="F21" s="29">
        <f>IF(A21="","",COUNTIFS(Agenda!$E$5:$E$1204,A21,Agenda!$H$5:$H$1204,"Realizado"))</f>
        <v>0</v>
      </c>
      <c r="G21" s="29">
        <f>IF(A21="","",COUNTIFS(Agenda!$E$5:$E$1204,A21,Agenda!$H$5:$H$1204,"Falta"))</f>
        <v>0</v>
      </c>
      <c r="H21" s="33">
        <f>IF(A21="","",IF(SUMPRODUCT(MAX((Agenda!$E$5:$E$1204=A21)*(Agenda!$H$5:$H$1204="Realizado")*Agenda!$A$5:$A$1204))=0,"",SUMPRODUCT(MAX((Agenda!$E$5:$E$1204=A21)*(Agenda!$H$5:$H$1204="Realizado")*Agenda!$A$5:$A$1204))))</f>
        <v/>
      </c>
      <c r="I21" s="33">
        <f>IF(A21="","",IF(SUMPRODUCT(MIN(((Agenda!$E$5:$E$1204=A21)*((Agenda!$H$5:$H$1204="Agendado")+(Agenda!$H$5:$H$1204="Confirmado")))*Agenda!$A$5:$A$1204+(1-((Agenda!$E$5:$E$1204=A21)*((Agenda!$H$5:$H$1204="Agendado")+(Agenda!$H$5:$H$1204="Confirmado"))))*1E+10))&gt;=1E+10,"",SUMPRODUCT(MIN(((Agenda!$E$5:$E$1204=A21)*((Agenda!$H$5:$H$1204="Agendado")+(Agenda!$H$5:$H$1204="Confirmado")))*Agenda!$A$5:$A$1204+(1-((Agenda!$E$5:$E$1204=A21)*((Agenda!$H$5:$H$1204="Agendado")+(Agenda!$H$5:$H$1204="Confirmado"))))*1E+10))))</f>
        <v>46280.0</v>
      </c>
    </row>
    <row r="22">
      <c r="A22" s="36" t="inlineStr">
        <is>
          <t>Cláudia Castro</t>
        </is>
      </c>
      <c r="B22" s="37" t="inlineStr">
        <is>
          <t>Vida Care</t>
        </is>
      </c>
      <c r="C22" s="37" t="inlineStr">
        <is>
          <t>Dr. Paulo Andrade</t>
        </is>
      </c>
      <c r="D22" s="36" t="inlineStr">
        <is>
          <t>(11) 90000-0185</t>
        </is>
      </c>
      <c r="E22" s="36" t="n"/>
      <c r="F22" s="29">
        <f>IF(A22="","",COUNTIFS(Agenda!$E$5:$E$1204,A22,Agenda!$H$5:$H$1204,"Realizado"))</f>
        <v>0</v>
      </c>
      <c r="G22" s="29">
        <f>IF(A22="","",COUNTIFS(Agenda!$E$5:$E$1204,A22,Agenda!$H$5:$H$1204,"Falta"))</f>
        <v>0</v>
      </c>
      <c r="H22" s="33">
        <f>IF(A22="","",IF(SUMPRODUCT(MAX((Agenda!$E$5:$E$1204=A22)*(Agenda!$H$5:$H$1204="Realizado")*Agenda!$A$5:$A$1204))=0,"",SUMPRODUCT(MAX((Agenda!$E$5:$E$1204=A22)*(Agenda!$H$5:$H$1204="Realizado")*Agenda!$A$5:$A$1204))))</f>
        <v/>
      </c>
      <c r="I22" s="33">
        <f>IF(A22="","",IF(SUMPRODUCT(MIN(((Agenda!$E$5:$E$1204=A22)*((Agenda!$H$5:$H$1204="Agendado")+(Agenda!$H$5:$H$1204="Confirmado")))*Agenda!$A$5:$A$1204+(1-((Agenda!$E$5:$E$1204=A22)*((Agenda!$H$5:$H$1204="Agendado")+(Agenda!$H$5:$H$1204="Confirmado"))))*1E+10))&gt;=1E+10,"",SUMPRODUCT(MIN(((Agenda!$E$5:$E$1204=A22)*((Agenda!$H$5:$H$1204="Agendado")+(Agenda!$H$5:$H$1204="Confirmado")))*Agenda!$A$5:$A$1204+(1-((Agenda!$E$5:$E$1204=A22)*((Agenda!$H$5:$H$1204="Agendado")+(Agenda!$H$5:$H$1204="Confirmado"))))*1E+10))))</f>
        <v>46296.0</v>
      </c>
    </row>
    <row r="23">
      <c r="A23" s="36" t="inlineStr">
        <is>
          <t>Cláudia Costa</t>
        </is>
      </c>
      <c r="B23" s="37" t="inlineStr">
        <is>
          <t>Particular</t>
        </is>
      </c>
      <c r="C23" s="37" t="inlineStr">
        <is>
          <t>Dra. Carolina Mendes</t>
        </is>
      </c>
      <c r="D23" s="36" t="inlineStr">
        <is>
          <t>(11) 90000-0163</t>
        </is>
      </c>
      <c r="E23" s="36" t="n"/>
      <c r="F23" s="29">
        <f>IF(A23="","",COUNTIFS(Agenda!$E$5:$E$1204,A23,Agenda!$H$5:$H$1204,"Realizado"))</f>
        <v>1</v>
      </c>
      <c r="G23" s="29">
        <f>IF(A23="","",COUNTIFS(Agenda!$E$5:$E$1204,A23,Agenda!$H$5:$H$1204,"Falta"))</f>
        <v>0</v>
      </c>
      <c r="H23" s="33">
        <f>IF(A23="","",IF(SUMPRODUCT(MAX((Agenda!$E$5:$E$1204=A23)*(Agenda!$H$5:$H$1204="Realizado")*Agenda!$A$5:$A$1204))=0,"",SUMPRODUCT(MAX((Agenda!$E$5:$E$1204=A23)*(Agenda!$H$5:$H$1204="Realizado")*Agenda!$A$5:$A$1204))))</f>
        <v>46241.0</v>
      </c>
      <c r="I23" s="33">
        <f>IF(A23="","",IF(SUMPRODUCT(MIN(((Agenda!$E$5:$E$1204=A23)*((Agenda!$H$5:$H$1204="Agendado")+(Agenda!$H$5:$H$1204="Confirmado")))*Agenda!$A$5:$A$1204+(1-((Agenda!$E$5:$E$1204=A23)*((Agenda!$H$5:$H$1204="Agendado")+(Agenda!$H$5:$H$1204="Confirmado"))))*1E+10))&gt;=1E+10,"",SUMPRODUCT(MIN(((Agenda!$E$5:$E$1204=A23)*((Agenda!$H$5:$H$1204="Agendado")+(Agenda!$H$5:$H$1204="Confirmado")))*Agenda!$A$5:$A$1204+(1-((Agenda!$E$5:$E$1204=A23)*((Agenda!$H$5:$H$1204="Agendado")+(Agenda!$H$5:$H$1204="Confirmado"))))*1E+10))))</f>
        <v>46293.0</v>
      </c>
    </row>
    <row r="24">
      <c r="A24" s="36" t="inlineStr">
        <is>
          <t>Cláudia Melo</t>
        </is>
      </c>
      <c r="B24" s="37" t="inlineStr">
        <is>
          <t>Particular</t>
        </is>
      </c>
      <c r="C24" s="37" t="inlineStr">
        <is>
          <t>Dra. Renata Sousa</t>
        </is>
      </c>
      <c r="D24" s="36" t="inlineStr">
        <is>
          <t>(11) 90000-0231</t>
        </is>
      </c>
      <c r="E24" s="36" t="n"/>
      <c r="F24" s="29">
        <f>IF(A24="","",COUNTIFS(Agenda!$E$5:$E$1204,A24,Agenda!$H$5:$H$1204,"Realizado"))</f>
        <v>8</v>
      </c>
      <c r="G24" s="29">
        <f>IF(A24="","",COUNTIFS(Agenda!$E$5:$E$1204,A24,Agenda!$H$5:$H$1204,"Falta"))</f>
        <v>0</v>
      </c>
      <c r="H24" s="33">
        <f>IF(A24="","",IF(SUMPRODUCT(MAX((Agenda!$E$5:$E$1204=A24)*(Agenda!$H$5:$H$1204="Realizado")*Agenda!$A$5:$A$1204))=0,"",SUMPRODUCT(MAX((Agenda!$E$5:$E$1204=A24)*(Agenda!$H$5:$H$1204="Realizado")*Agenda!$A$5:$A$1204))))</f>
        <v>46275.0</v>
      </c>
      <c r="I24" s="33">
        <f>IF(A24="","",IF(SUMPRODUCT(MIN(((Agenda!$E$5:$E$1204=A24)*((Agenda!$H$5:$H$1204="Agendado")+(Agenda!$H$5:$H$1204="Confirmado")))*Agenda!$A$5:$A$1204+(1-((Agenda!$E$5:$E$1204=A24)*((Agenda!$H$5:$H$1204="Agendado")+(Agenda!$H$5:$H$1204="Confirmado"))))*1E+10))&gt;=1E+10,"",SUMPRODUCT(MIN(((Agenda!$E$5:$E$1204=A24)*((Agenda!$H$5:$H$1204="Agendado")+(Agenda!$H$5:$H$1204="Confirmado")))*Agenda!$A$5:$A$1204+(1-((Agenda!$E$5:$E$1204=A24)*((Agenda!$H$5:$H$1204="Agendado")+(Agenda!$H$5:$H$1204="Confirmado"))))*1E+10))))</f>
        <v>46282.0</v>
      </c>
    </row>
    <row r="25">
      <c r="A25" s="36" t="inlineStr">
        <is>
          <t>Cláudia Santos</t>
        </is>
      </c>
      <c r="B25" s="37" t="inlineStr">
        <is>
          <t>Particular</t>
        </is>
      </c>
      <c r="C25" s="37" t="inlineStr">
        <is>
          <t>Dra. Carolina Mendes</t>
        </is>
      </c>
      <c r="D25" s="36" t="inlineStr">
        <is>
          <t>(11) 90000-0106</t>
        </is>
      </c>
      <c r="E25" s="36" t="n"/>
      <c r="F25" s="29">
        <f>IF(A25="","",COUNTIFS(Agenda!$E$5:$E$1204,A25,Agenda!$H$5:$H$1204,"Realizado"))</f>
        <v>9</v>
      </c>
      <c r="G25" s="29">
        <f>IF(A25="","",COUNTIFS(Agenda!$E$5:$E$1204,A25,Agenda!$H$5:$H$1204,"Falta"))</f>
        <v>2</v>
      </c>
      <c r="H25" s="33">
        <f>IF(A25="","",IF(SUMPRODUCT(MAX((Agenda!$E$5:$E$1204=A25)*(Agenda!$H$5:$H$1204="Realizado")*Agenda!$A$5:$A$1204))=0,"",SUMPRODUCT(MAX((Agenda!$E$5:$E$1204=A25)*(Agenda!$H$5:$H$1204="Realizado")*Agenda!$A$5:$A$1204))))</f>
        <v>46274.0</v>
      </c>
      <c r="I25" s="33">
        <f>IF(A25="","",IF(SUMPRODUCT(MIN(((Agenda!$E$5:$E$1204=A25)*((Agenda!$H$5:$H$1204="Agendado")+(Agenda!$H$5:$H$1204="Confirmado")))*Agenda!$A$5:$A$1204+(1-((Agenda!$E$5:$E$1204=A25)*((Agenda!$H$5:$H$1204="Agendado")+(Agenda!$H$5:$H$1204="Confirmado"))))*1E+10))&gt;=1E+10,"",SUMPRODUCT(MIN(((Agenda!$E$5:$E$1204=A25)*((Agenda!$H$5:$H$1204="Agendado")+(Agenda!$H$5:$H$1204="Confirmado")))*Agenda!$A$5:$A$1204+(1-((Agenda!$E$5:$E$1204=A25)*((Agenda!$H$5:$H$1204="Agendado")+(Agenda!$H$5:$H$1204="Confirmado"))))*1E+10))))</f>
        <v>46281.0</v>
      </c>
    </row>
    <row r="26">
      <c r="A26" s="36" t="inlineStr">
        <is>
          <t>Cláudia Vieira</t>
        </is>
      </c>
      <c r="B26" s="37" t="inlineStr">
        <is>
          <t>Saúde Total</t>
        </is>
      </c>
      <c r="C26" s="37" t="inlineStr">
        <is>
          <t>Dra. Renata Sousa</t>
        </is>
      </c>
      <c r="D26" s="36" t="inlineStr">
        <is>
          <t>(11) 90000-0244</t>
        </is>
      </c>
      <c r="E26" s="36" t="n"/>
      <c r="F26" s="29">
        <f>IF(A26="","",COUNTIFS(Agenda!$E$5:$E$1204,A26,Agenda!$H$5:$H$1204,"Realizado"))</f>
        <v>2</v>
      </c>
      <c r="G26" s="29">
        <f>IF(A26="","",COUNTIFS(Agenda!$E$5:$E$1204,A26,Agenda!$H$5:$H$1204,"Falta"))</f>
        <v>1</v>
      </c>
      <c r="H26" s="33">
        <f>IF(A26="","",IF(SUMPRODUCT(MAX((Agenda!$E$5:$E$1204=A26)*(Agenda!$H$5:$H$1204="Realizado")*Agenda!$A$5:$A$1204))=0,"",SUMPRODUCT(MAX((Agenda!$E$5:$E$1204=A26)*(Agenda!$H$5:$H$1204="Realizado")*Agenda!$A$5:$A$1204))))</f>
        <v>46238.0</v>
      </c>
      <c r="I26" s="33">
        <f>IF(A26="","",IF(SUMPRODUCT(MIN(((Agenda!$E$5:$E$1204=A26)*((Agenda!$H$5:$H$1204="Agendado")+(Agenda!$H$5:$H$1204="Confirmado")))*Agenda!$A$5:$A$1204+(1-((Agenda!$E$5:$E$1204=A26)*((Agenda!$H$5:$H$1204="Agendado")+(Agenda!$H$5:$H$1204="Confirmado"))))*1E+10))&gt;=1E+10,"",SUMPRODUCT(MIN(((Agenda!$E$5:$E$1204=A26)*((Agenda!$H$5:$H$1204="Agendado")+(Agenda!$H$5:$H$1204="Confirmado")))*Agenda!$A$5:$A$1204+(1-((Agenda!$E$5:$E$1204=A26)*((Agenda!$H$5:$H$1204="Agendado")+(Agenda!$H$5:$H$1204="Confirmado"))))*1E+10))))</f>
        <v/>
      </c>
    </row>
    <row r="27">
      <c r="A27" s="36" t="inlineStr">
        <is>
          <t>Daniel Almeida</t>
        </is>
      </c>
      <c r="B27" s="37" t="inlineStr">
        <is>
          <t>Saúde Total</t>
        </is>
      </c>
      <c r="C27" s="37" t="inlineStr">
        <is>
          <t>Dra. Carolina Mendes</t>
        </is>
      </c>
      <c r="D27" s="36" t="inlineStr">
        <is>
          <t>(11) 90000-0156</t>
        </is>
      </c>
      <c r="E27" s="36" t="n"/>
      <c r="F27" s="29">
        <f>IF(A27="","",COUNTIFS(Agenda!$E$5:$E$1204,A27,Agenda!$H$5:$H$1204,"Realizado"))</f>
        <v>5</v>
      </c>
      <c r="G27" s="29">
        <f>IF(A27="","",COUNTIFS(Agenda!$E$5:$E$1204,A27,Agenda!$H$5:$H$1204,"Falta"))</f>
        <v>1</v>
      </c>
      <c r="H27" s="33">
        <f>IF(A27="","",IF(SUMPRODUCT(MAX((Agenda!$E$5:$E$1204=A27)*(Agenda!$H$5:$H$1204="Realizado")*Agenda!$A$5:$A$1204))=0,"",SUMPRODUCT(MAX((Agenda!$E$5:$E$1204=A27)*(Agenda!$H$5:$H$1204="Realizado")*Agenda!$A$5:$A$1204))))</f>
        <v>46254.0</v>
      </c>
      <c r="I27" s="33">
        <f>IF(A27="","",IF(SUMPRODUCT(MIN(((Agenda!$E$5:$E$1204=A27)*((Agenda!$H$5:$H$1204="Agendado")+(Agenda!$H$5:$H$1204="Confirmado")))*Agenda!$A$5:$A$1204+(1-((Agenda!$E$5:$E$1204=A27)*((Agenda!$H$5:$H$1204="Agendado")+(Agenda!$H$5:$H$1204="Confirmado"))))*1E+10))&gt;=1E+10,"",SUMPRODUCT(MIN(((Agenda!$E$5:$E$1204=A27)*((Agenda!$H$5:$H$1204="Agendado")+(Agenda!$H$5:$H$1204="Confirmado")))*Agenda!$A$5:$A$1204+(1-((Agenda!$E$5:$E$1204=A27)*((Agenda!$H$5:$H$1204="Agendado")+(Agenda!$H$5:$H$1204="Confirmado"))))*1E+10))))</f>
        <v>46283.0</v>
      </c>
    </row>
    <row r="28">
      <c r="A28" s="36" t="inlineStr">
        <is>
          <t>Daniel Melo</t>
        </is>
      </c>
      <c r="B28" s="37" t="inlineStr">
        <is>
          <t>Saúde Total</t>
        </is>
      </c>
      <c r="C28" s="37" t="inlineStr">
        <is>
          <t>Dra. Carolina Mendes</t>
        </is>
      </c>
      <c r="D28" s="36" t="inlineStr">
        <is>
          <t>(11) 90000-0103</t>
        </is>
      </c>
      <c r="E28" s="36" t="n"/>
      <c r="F28" s="29">
        <f>IF(A28="","",COUNTIFS(Agenda!$E$5:$E$1204,A28,Agenda!$H$5:$H$1204,"Realizado"))</f>
        <v>7</v>
      </c>
      <c r="G28" s="29">
        <f>IF(A28="","",COUNTIFS(Agenda!$E$5:$E$1204,A28,Agenda!$H$5:$H$1204,"Falta"))</f>
        <v>1</v>
      </c>
      <c r="H28" s="33">
        <f>IF(A28="","",IF(SUMPRODUCT(MAX((Agenda!$E$5:$E$1204=A28)*(Agenda!$H$5:$H$1204="Realizado")*Agenda!$A$5:$A$1204))=0,"",SUMPRODUCT(MAX((Agenda!$E$5:$E$1204=A28)*(Agenda!$H$5:$H$1204="Realizado")*Agenda!$A$5:$A$1204))))</f>
        <v>46266.0</v>
      </c>
      <c r="I28" s="33">
        <f>IF(A28="","",IF(SUMPRODUCT(MIN(((Agenda!$E$5:$E$1204=A28)*((Agenda!$H$5:$H$1204="Agendado")+(Agenda!$H$5:$H$1204="Confirmado")))*Agenda!$A$5:$A$1204+(1-((Agenda!$E$5:$E$1204=A28)*((Agenda!$H$5:$H$1204="Agendado")+(Agenda!$H$5:$H$1204="Confirmado"))))*1E+10))&gt;=1E+10,"",SUMPRODUCT(MIN(((Agenda!$E$5:$E$1204=A28)*((Agenda!$H$5:$H$1204="Agendado")+(Agenda!$H$5:$H$1204="Confirmado")))*Agenda!$A$5:$A$1204+(1-((Agenda!$E$5:$E$1204=A28)*((Agenda!$H$5:$H$1204="Agendado")+(Agenda!$H$5:$H$1204="Confirmado"))))*1E+10))))</f>
        <v/>
      </c>
    </row>
    <row r="29">
      <c r="A29" s="36" t="inlineStr">
        <is>
          <t>Daniel Moreira</t>
        </is>
      </c>
      <c r="B29" s="37" t="inlineStr">
        <is>
          <t>Saúde Total</t>
        </is>
      </c>
      <c r="C29" s="37" t="inlineStr">
        <is>
          <t>Dra. Renata Sousa</t>
        </is>
      </c>
      <c r="D29" s="36" t="inlineStr">
        <is>
          <t>(11) 90000-0227</t>
        </is>
      </c>
      <c r="E29" s="36" t="n"/>
      <c r="F29" s="29">
        <f>IF(A29="","",COUNTIFS(Agenda!$E$5:$E$1204,A29,Agenda!$H$5:$H$1204,"Realizado"))</f>
        <v>3</v>
      </c>
      <c r="G29" s="29">
        <f>IF(A29="","",COUNTIFS(Agenda!$E$5:$E$1204,A29,Agenda!$H$5:$H$1204,"Falta"))</f>
        <v>0</v>
      </c>
      <c r="H29" s="33">
        <f>IF(A29="","",IF(SUMPRODUCT(MAX((Agenda!$E$5:$E$1204=A29)*(Agenda!$H$5:$H$1204="Realizado")*Agenda!$A$5:$A$1204))=0,"",SUMPRODUCT(MAX((Agenda!$E$5:$E$1204=A29)*(Agenda!$H$5:$H$1204="Realizado")*Agenda!$A$5:$A$1204))))</f>
        <v>46238.0</v>
      </c>
      <c r="I29" s="33">
        <f>IF(A29="","",IF(SUMPRODUCT(MIN(((Agenda!$E$5:$E$1204=A29)*((Agenda!$H$5:$H$1204="Agendado")+(Agenda!$H$5:$H$1204="Confirmado")))*Agenda!$A$5:$A$1204+(1-((Agenda!$E$5:$E$1204=A29)*((Agenda!$H$5:$H$1204="Agendado")+(Agenda!$H$5:$H$1204="Confirmado"))))*1E+10))&gt;=1E+10,"",SUMPRODUCT(MIN(((Agenda!$E$5:$E$1204=A29)*((Agenda!$H$5:$H$1204="Agendado")+(Agenda!$H$5:$H$1204="Confirmado")))*Agenda!$A$5:$A$1204+(1-((Agenda!$E$5:$E$1204=A29)*((Agenda!$H$5:$H$1204="Agendado")+(Agenda!$H$5:$H$1204="Confirmado"))))*1E+10))))</f>
        <v>46294.0</v>
      </c>
    </row>
    <row r="30">
      <c r="A30" s="36" t="inlineStr">
        <is>
          <t>Débora Machado</t>
        </is>
      </c>
      <c r="B30" s="37" t="inlineStr">
        <is>
          <t>Saúde Total</t>
        </is>
      </c>
      <c r="C30" s="37" t="inlineStr">
        <is>
          <t>Dra. Carolina Mendes</t>
        </is>
      </c>
      <c r="D30" s="36" t="inlineStr">
        <is>
          <t>(11) 90000-0155</t>
        </is>
      </c>
      <c r="E30" s="36" t="n"/>
      <c r="F30" s="29">
        <f>IF(A30="","",COUNTIFS(Agenda!$E$5:$E$1204,A30,Agenda!$H$5:$H$1204,"Realizado"))</f>
        <v>4</v>
      </c>
      <c r="G30" s="29">
        <f>IF(A30="","",COUNTIFS(Agenda!$E$5:$E$1204,A30,Agenda!$H$5:$H$1204,"Falta"))</f>
        <v>0</v>
      </c>
      <c r="H30" s="33">
        <f>IF(A30="","",IF(SUMPRODUCT(MAX((Agenda!$E$5:$E$1204=A30)*(Agenda!$H$5:$H$1204="Realizado")*Agenda!$A$5:$A$1204))=0,"",SUMPRODUCT(MAX((Agenda!$E$5:$E$1204=A30)*(Agenda!$H$5:$H$1204="Realizado")*Agenda!$A$5:$A$1204))))</f>
        <v>46273.0</v>
      </c>
      <c r="I30" s="33">
        <f>IF(A30="","",IF(SUMPRODUCT(MIN(((Agenda!$E$5:$E$1204=A30)*((Agenda!$H$5:$H$1204="Agendado")+(Agenda!$H$5:$H$1204="Confirmado")))*Agenda!$A$5:$A$1204+(1-((Agenda!$E$5:$E$1204=A30)*((Agenda!$H$5:$H$1204="Agendado")+(Agenda!$H$5:$H$1204="Confirmado"))))*1E+10))&gt;=1E+10,"",SUMPRODUCT(MIN(((Agenda!$E$5:$E$1204=A30)*((Agenda!$H$5:$H$1204="Agendado")+(Agenda!$H$5:$H$1204="Confirmado")))*Agenda!$A$5:$A$1204+(1-((Agenda!$E$5:$E$1204=A30)*((Agenda!$H$5:$H$1204="Agendado")+(Agenda!$H$5:$H$1204="Confirmado"))))*1E+10))))</f>
        <v>46290.0</v>
      </c>
    </row>
    <row r="31">
      <c r="A31" s="36" t="inlineStr">
        <is>
          <t>Débora Moreira</t>
        </is>
      </c>
      <c r="B31" s="37" t="inlineStr">
        <is>
          <t>Particular</t>
        </is>
      </c>
      <c r="C31" s="37" t="inlineStr">
        <is>
          <t>Dr. Paulo Andrade</t>
        </is>
      </c>
      <c r="D31" s="36" t="inlineStr">
        <is>
          <t>(11) 90000-0222</t>
        </is>
      </c>
      <c r="E31" s="36" t="n"/>
      <c r="F31" s="29">
        <f>IF(A31="","",COUNTIFS(Agenda!$E$5:$E$1204,A31,Agenda!$H$5:$H$1204,"Realizado"))</f>
        <v>3</v>
      </c>
      <c r="G31" s="29">
        <f>IF(A31="","",COUNTIFS(Agenda!$E$5:$E$1204,A31,Agenda!$H$5:$H$1204,"Falta"))</f>
        <v>0</v>
      </c>
      <c r="H31" s="33">
        <f>IF(A31="","",IF(SUMPRODUCT(MAX((Agenda!$E$5:$E$1204=A31)*(Agenda!$H$5:$H$1204="Realizado")*Agenda!$A$5:$A$1204))=0,"",SUMPRODUCT(MAX((Agenda!$E$5:$E$1204=A31)*(Agenda!$H$5:$H$1204="Realizado")*Agenda!$A$5:$A$1204))))</f>
        <v>46261.0</v>
      </c>
      <c r="I31" s="33">
        <f>IF(A31="","",IF(SUMPRODUCT(MIN(((Agenda!$E$5:$E$1204=A31)*((Agenda!$H$5:$H$1204="Agendado")+(Agenda!$H$5:$H$1204="Confirmado")))*Agenda!$A$5:$A$1204+(1-((Agenda!$E$5:$E$1204=A31)*((Agenda!$H$5:$H$1204="Agendado")+(Agenda!$H$5:$H$1204="Confirmado"))))*1E+10))&gt;=1E+10,"",SUMPRODUCT(MIN(((Agenda!$E$5:$E$1204=A31)*((Agenda!$H$5:$H$1204="Agendado")+(Agenda!$H$5:$H$1204="Confirmado")))*Agenda!$A$5:$A$1204+(1-((Agenda!$E$5:$E$1204=A31)*((Agenda!$H$5:$H$1204="Agendado")+(Agenda!$H$5:$H$1204="Confirmado"))))*1E+10))))</f>
        <v>46286.0</v>
      </c>
    </row>
    <row r="32">
      <c r="A32" s="36" t="inlineStr">
        <is>
          <t>Débora Ramos</t>
        </is>
      </c>
      <c r="B32" s="37" t="inlineStr">
        <is>
          <t>Particular</t>
        </is>
      </c>
      <c r="C32" s="37" t="inlineStr">
        <is>
          <t>Dra. Carolina Mendes</t>
        </is>
      </c>
      <c r="D32" s="36" t="inlineStr">
        <is>
          <t>(11) 90000-0136</t>
        </is>
      </c>
      <c r="E32" s="36" t="n"/>
      <c r="F32" s="29">
        <f>IF(A32="","",COUNTIFS(Agenda!$E$5:$E$1204,A32,Agenda!$H$5:$H$1204,"Realizado"))</f>
        <v>6</v>
      </c>
      <c r="G32" s="29">
        <f>IF(A32="","",COUNTIFS(Agenda!$E$5:$E$1204,A32,Agenda!$H$5:$H$1204,"Falta"))</f>
        <v>0</v>
      </c>
      <c r="H32" s="33">
        <f>IF(A32="","",IF(SUMPRODUCT(MAX((Agenda!$E$5:$E$1204=A32)*(Agenda!$H$5:$H$1204="Realizado")*Agenda!$A$5:$A$1204))=0,"",SUMPRODUCT(MAX((Agenda!$E$5:$E$1204=A32)*(Agenda!$H$5:$H$1204="Realizado")*Agenda!$A$5:$A$1204))))</f>
        <v>46265.0</v>
      </c>
      <c r="I32" s="33">
        <f>IF(A32="","",IF(SUMPRODUCT(MIN(((Agenda!$E$5:$E$1204=A32)*((Agenda!$H$5:$H$1204="Agendado")+(Agenda!$H$5:$H$1204="Confirmado")))*Agenda!$A$5:$A$1204+(1-((Agenda!$E$5:$E$1204=A32)*((Agenda!$H$5:$H$1204="Agendado")+(Agenda!$H$5:$H$1204="Confirmado"))))*1E+10))&gt;=1E+10,"",SUMPRODUCT(MIN(((Agenda!$E$5:$E$1204=A32)*((Agenda!$H$5:$H$1204="Agendado")+(Agenda!$H$5:$H$1204="Confirmado")))*Agenda!$A$5:$A$1204+(1-((Agenda!$E$5:$E$1204=A32)*((Agenda!$H$5:$H$1204="Agendado")+(Agenda!$H$5:$H$1204="Confirmado"))))*1E+10))))</f>
        <v/>
      </c>
    </row>
    <row r="33">
      <c r="A33" s="36" t="inlineStr">
        <is>
          <t>Eduardo Lima</t>
        </is>
      </c>
      <c r="B33" s="37" t="inlineStr">
        <is>
          <t>Particular</t>
        </is>
      </c>
      <c r="C33" s="37" t="inlineStr">
        <is>
          <t>Dra. Carolina Mendes</t>
        </is>
      </c>
      <c r="D33" s="36" t="inlineStr">
        <is>
          <t>(11) 90000-0111</t>
        </is>
      </c>
      <c r="E33" s="36" t="n"/>
      <c r="F33" s="29">
        <f>IF(A33="","",COUNTIFS(Agenda!$E$5:$E$1204,A33,Agenda!$H$5:$H$1204,"Realizado"))</f>
        <v>7</v>
      </c>
      <c r="G33" s="29">
        <f>IF(A33="","",COUNTIFS(Agenda!$E$5:$E$1204,A33,Agenda!$H$5:$H$1204,"Falta"))</f>
        <v>1</v>
      </c>
      <c r="H33" s="33">
        <f>IF(A33="","",IF(SUMPRODUCT(MAX((Agenda!$E$5:$E$1204=A33)*(Agenda!$H$5:$H$1204="Realizado")*Agenda!$A$5:$A$1204))=0,"",SUMPRODUCT(MAX((Agenda!$E$5:$E$1204=A33)*(Agenda!$H$5:$H$1204="Realizado")*Agenda!$A$5:$A$1204))))</f>
        <v>46275.0</v>
      </c>
      <c r="I33" s="33">
        <f>IF(A33="","",IF(SUMPRODUCT(MIN(((Agenda!$E$5:$E$1204=A33)*((Agenda!$H$5:$H$1204="Agendado")+(Agenda!$H$5:$H$1204="Confirmado")))*Agenda!$A$5:$A$1204+(1-((Agenda!$E$5:$E$1204=A33)*((Agenda!$H$5:$H$1204="Agendado")+(Agenda!$H$5:$H$1204="Confirmado"))))*1E+10))&gt;=1E+10,"",SUMPRODUCT(MIN(((Agenda!$E$5:$E$1204=A33)*((Agenda!$H$5:$H$1204="Agendado")+(Agenda!$H$5:$H$1204="Confirmado")))*Agenda!$A$5:$A$1204+(1-((Agenda!$E$5:$E$1204=A33)*((Agenda!$H$5:$H$1204="Agendado")+(Agenda!$H$5:$H$1204="Confirmado"))))*1E+10))))</f>
        <v/>
      </c>
    </row>
    <row r="34">
      <c r="A34" s="36" t="inlineStr">
        <is>
          <t>Eduardo Nunes</t>
        </is>
      </c>
      <c r="B34" s="37" t="inlineStr">
        <is>
          <t>MediPlan</t>
        </is>
      </c>
      <c r="C34" s="37" t="inlineStr">
        <is>
          <t>Dra. Carolina Mendes</t>
        </is>
      </c>
      <c r="D34" s="36" t="inlineStr">
        <is>
          <t>(11) 90000-0141</t>
        </is>
      </c>
      <c r="E34" s="36" t="n"/>
      <c r="F34" s="29">
        <f>IF(A34="","",COUNTIFS(Agenda!$E$5:$E$1204,A34,Agenda!$H$5:$H$1204,"Realizado"))</f>
        <v>9</v>
      </c>
      <c r="G34" s="29">
        <f>IF(A34="","",COUNTIFS(Agenda!$E$5:$E$1204,A34,Agenda!$H$5:$H$1204,"Falta"))</f>
        <v>1</v>
      </c>
      <c r="H34" s="33">
        <f>IF(A34="","",IF(SUMPRODUCT(MAX((Agenda!$E$5:$E$1204=A34)*(Agenda!$H$5:$H$1204="Realizado")*Agenda!$A$5:$A$1204))=0,"",SUMPRODUCT(MAX((Agenda!$E$5:$E$1204=A34)*(Agenda!$H$5:$H$1204="Realizado")*Agenda!$A$5:$A$1204))))</f>
        <v>46269.0</v>
      </c>
      <c r="I34" s="33">
        <f>IF(A34="","",IF(SUMPRODUCT(MIN(((Agenda!$E$5:$E$1204=A34)*((Agenda!$H$5:$H$1204="Agendado")+(Agenda!$H$5:$H$1204="Confirmado")))*Agenda!$A$5:$A$1204+(1-((Agenda!$E$5:$E$1204=A34)*((Agenda!$H$5:$H$1204="Agendado")+(Agenda!$H$5:$H$1204="Confirmado"))))*1E+10))&gt;=1E+10,"",SUMPRODUCT(MIN(((Agenda!$E$5:$E$1204=A34)*((Agenda!$H$5:$H$1204="Agendado")+(Agenda!$H$5:$H$1204="Confirmado")))*Agenda!$A$5:$A$1204+(1-((Agenda!$E$5:$E$1204=A34)*((Agenda!$H$5:$H$1204="Agendado")+(Agenda!$H$5:$H$1204="Confirmado"))))*1E+10))))</f>
        <v>46279.0</v>
      </c>
    </row>
    <row r="35">
      <c r="A35" s="36" t="inlineStr">
        <is>
          <t>Eduardo Pereira</t>
        </is>
      </c>
      <c r="B35" s="37" t="inlineStr">
        <is>
          <t>Particular</t>
        </is>
      </c>
      <c r="C35" s="37" t="inlineStr">
        <is>
          <t>Dra. Renata Sousa</t>
        </is>
      </c>
      <c r="D35" s="36" t="inlineStr">
        <is>
          <t>(11) 90000-0226</t>
        </is>
      </c>
      <c r="E35" s="36" t="n"/>
      <c r="F35" s="29">
        <f>IF(A35="","",COUNTIFS(Agenda!$E$5:$E$1204,A35,Agenda!$H$5:$H$1204,"Realizado"))</f>
        <v>1</v>
      </c>
      <c r="G35" s="29">
        <f>IF(A35="","",COUNTIFS(Agenda!$E$5:$E$1204,A35,Agenda!$H$5:$H$1204,"Falta"))</f>
        <v>0</v>
      </c>
      <c r="H35" s="33">
        <f>IF(A35="","",IF(SUMPRODUCT(MAX((Agenda!$E$5:$E$1204=A35)*(Agenda!$H$5:$H$1204="Realizado")*Agenda!$A$5:$A$1204))=0,"",SUMPRODUCT(MAX((Agenda!$E$5:$E$1204=A35)*(Agenda!$H$5:$H$1204="Realizado")*Agenda!$A$5:$A$1204))))</f>
        <v>46217.0</v>
      </c>
      <c r="I35" s="33">
        <f>IF(A35="","",IF(SUMPRODUCT(MIN(((Agenda!$E$5:$E$1204=A35)*((Agenda!$H$5:$H$1204="Agendado")+(Agenda!$H$5:$H$1204="Confirmado")))*Agenda!$A$5:$A$1204+(1-((Agenda!$E$5:$E$1204=A35)*((Agenda!$H$5:$H$1204="Agendado")+(Agenda!$H$5:$H$1204="Confirmado"))))*1E+10))&gt;=1E+10,"",SUMPRODUCT(MIN(((Agenda!$E$5:$E$1204=A35)*((Agenda!$H$5:$H$1204="Agendado")+(Agenda!$H$5:$H$1204="Confirmado")))*Agenda!$A$5:$A$1204+(1-((Agenda!$E$5:$E$1204=A35)*((Agenda!$H$5:$H$1204="Agendado")+(Agenda!$H$5:$H$1204="Confirmado"))))*1E+10))))</f>
        <v/>
      </c>
    </row>
    <row r="36">
      <c r="A36" s="36" t="inlineStr">
        <is>
          <t>Eduardo Reis</t>
        </is>
      </c>
      <c r="B36" s="37" t="inlineStr">
        <is>
          <t>Vida Care</t>
        </is>
      </c>
      <c r="C36" s="37" t="inlineStr">
        <is>
          <t>Dra. Carolina Mendes</t>
        </is>
      </c>
      <c r="D36" s="36" t="inlineStr">
        <is>
          <t>(11) 90000-0149</t>
        </is>
      </c>
      <c r="E36" s="36" t="n"/>
      <c r="F36" s="29">
        <f>IF(A36="","",COUNTIFS(Agenda!$E$5:$E$1204,A36,Agenda!$H$5:$H$1204,"Realizado"))</f>
        <v>6</v>
      </c>
      <c r="G36" s="29">
        <f>IF(A36="","",COUNTIFS(Agenda!$E$5:$E$1204,A36,Agenda!$H$5:$H$1204,"Falta"))</f>
        <v>0</v>
      </c>
      <c r="H36" s="33">
        <f>IF(A36="","",IF(SUMPRODUCT(MAX((Agenda!$E$5:$E$1204=A36)*(Agenda!$H$5:$H$1204="Realizado")*Agenda!$A$5:$A$1204))=0,"",SUMPRODUCT(MAX((Agenda!$E$5:$E$1204=A36)*(Agenda!$H$5:$H$1204="Realizado")*Agenda!$A$5:$A$1204))))</f>
        <v>46262.0</v>
      </c>
      <c r="I36" s="33">
        <f>IF(A36="","",IF(SUMPRODUCT(MIN(((Agenda!$E$5:$E$1204=A36)*((Agenda!$H$5:$H$1204="Agendado")+(Agenda!$H$5:$H$1204="Confirmado")))*Agenda!$A$5:$A$1204+(1-((Agenda!$E$5:$E$1204=A36)*((Agenda!$H$5:$H$1204="Agendado")+(Agenda!$H$5:$H$1204="Confirmado"))))*1E+10))&gt;=1E+10,"",SUMPRODUCT(MIN(((Agenda!$E$5:$E$1204=A36)*((Agenda!$H$5:$H$1204="Agendado")+(Agenda!$H$5:$H$1204="Confirmado")))*Agenda!$A$5:$A$1204+(1-((Agenda!$E$5:$E$1204=A36)*((Agenda!$H$5:$H$1204="Agendado")+(Agenda!$H$5:$H$1204="Confirmado"))))*1E+10))))</f>
        <v/>
      </c>
    </row>
    <row r="37">
      <c r="A37" s="36" t="inlineStr">
        <is>
          <t>Elaine Cardoso</t>
        </is>
      </c>
      <c r="B37" s="37" t="inlineStr">
        <is>
          <t>Particular</t>
        </is>
      </c>
      <c r="C37" s="37" t="inlineStr">
        <is>
          <t>Dra. Carolina Mendes</t>
        </is>
      </c>
      <c r="D37" s="36" t="inlineStr">
        <is>
          <t>(11) 90000-0144</t>
        </is>
      </c>
      <c r="E37" s="36" t="n"/>
      <c r="F37" s="29">
        <f>IF(A37="","",COUNTIFS(Agenda!$E$5:$E$1204,A37,Agenda!$H$5:$H$1204,"Realizado"))</f>
        <v>8</v>
      </c>
      <c r="G37" s="29">
        <f>IF(A37="","",COUNTIFS(Agenda!$E$5:$E$1204,A37,Agenda!$H$5:$H$1204,"Falta"))</f>
        <v>0</v>
      </c>
      <c r="H37" s="33">
        <f>IF(A37="","",IF(SUMPRODUCT(MAX((Agenda!$E$5:$E$1204=A37)*(Agenda!$H$5:$H$1204="Realizado")*Agenda!$A$5:$A$1204))=0,"",SUMPRODUCT(MAX((Agenda!$E$5:$E$1204=A37)*(Agenda!$H$5:$H$1204="Realizado")*Agenda!$A$5:$A$1204))))</f>
        <v>46268.0</v>
      </c>
      <c r="I37" s="33">
        <f>IF(A37="","",IF(SUMPRODUCT(MIN(((Agenda!$E$5:$E$1204=A37)*((Agenda!$H$5:$H$1204="Agendado")+(Agenda!$H$5:$H$1204="Confirmado")))*Agenda!$A$5:$A$1204+(1-((Agenda!$E$5:$E$1204=A37)*((Agenda!$H$5:$H$1204="Agendado")+(Agenda!$H$5:$H$1204="Confirmado"))))*1E+10))&gt;=1E+10,"",SUMPRODUCT(MIN(((Agenda!$E$5:$E$1204=A37)*((Agenda!$H$5:$H$1204="Agendado")+(Agenda!$H$5:$H$1204="Confirmado")))*Agenda!$A$5:$A$1204+(1-((Agenda!$E$5:$E$1204=A37)*((Agenda!$H$5:$H$1204="Agendado")+(Agenda!$H$5:$H$1204="Confirmado"))))*1E+10))))</f>
        <v>46300.0</v>
      </c>
    </row>
    <row r="38">
      <c r="A38" s="36" t="inlineStr">
        <is>
          <t>Elaine Xavier</t>
        </is>
      </c>
      <c r="B38" s="37" t="inlineStr">
        <is>
          <t>MediPlan</t>
        </is>
      </c>
      <c r="C38" s="37" t="inlineStr">
        <is>
          <t>Dr. Paulo Andrade</t>
        </is>
      </c>
      <c r="D38" s="36" t="inlineStr">
        <is>
          <t>(11) 90000-0193</t>
        </is>
      </c>
      <c r="E38" s="36" t="n"/>
      <c r="F38" s="29">
        <f>IF(A38="","",COUNTIFS(Agenda!$E$5:$E$1204,A38,Agenda!$H$5:$H$1204,"Realizado"))</f>
        <v>2</v>
      </c>
      <c r="G38" s="29">
        <f>IF(A38="","",COUNTIFS(Agenda!$E$5:$E$1204,A38,Agenda!$H$5:$H$1204,"Falta"))</f>
        <v>0</v>
      </c>
      <c r="H38" s="33">
        <f>IF(A38="","",IF(SUMPRODUCT(MAX((Agenda!$E$5:$E$1204=A38)*(Agenda!$H$5:$H$1204="Realizado")*Agenda!$A$5:$A$1204))=0,"",SUMPRODUCT(MAX((Agenda!$E$5:$E$1204=A38)*(Agenda!$H$5:$H$1204="Realizado")*Agenda!$A$5:$A$1204))))</f>
        <v>46255.0</v>
      </c>
      <c r="I38" s="33">
        <f>IF(A38="","",IF(SUMPRODUCT(MIN(((Agenda!$E$5:$E$1204=A38)*((Agenda!$H$5:$H$1204="Agendado")+(Agenda!$H$5:$H$1204="Confirmado")))*Agenda!$A$5:$A$1204+(1-((Agenda!$E$5:$E$1204=A38)*((Agenda!$H$5:$H$1204="Agendado")+(Agenda!$H$5:$H$1204="Confirmado"))))*1E+10))&gt;=1E+10,"",SUMPRODUCT(MIN(((Agenda!$E$5:$E$1204=A38)*((Agenda!$H$5:$H$1204="Agendado")+(Agenda!$H$5:$H$1204="Confirmado")))*Agenda!$A$5:$A$1204+(1-((Agenda!$E$5:$E$1204=A38)*((Agenda!$H$5:$H$1204="Agendado")+(Agenda!$H$5:$H$1204="Confirmado"))))*1E+10))))</f>
        <v/>
      </c>
    </row>
    <row r="39">
      <c r="A39" s="36" t="inlineStr">
        <is>
          <t>Fernanda Freitas</t>
        </is>
      </c>
      <c r="B39" s="37" t="inlineStr">
        <is>
          <t>Particular</t>
        </is>
      </c>
      <c r="C39" s="37" t="inlineStr">
        <is>
          <t>Dra. Carolina Mendes</t>
        </is>
      </c>
      <c r="D39" s="36" t="inlineStr">
        <is>
          <t>(11) 90000-0120</t>
        </is>
      </c>
      <c r="E39" s="36" t="n"/>
      <c r="F39" s="29">
        <f>IF(A39="","",COUNTIFS(Agenda!$E$5:$E$1204,A39,Agenda!$H$5:$H$1204,"Realizado"))</f>
        <v>3</v>
      </c>
      <c r="G39" s="29">
        <f>IF(A39="","",COUNTIFS(Agenda!$E$5:$E$1204,A39,Agenda!$H$5:$H$1204,"Falta"))</f>
        <v>0</v>
      </c>
      <c r="H39" s="33">
        <f>IF(A39="","",IF(SUMPRODUCT(MAX((Agenda!$E$5:$E$1204=A39)*(Agenda!$H$5:$H$1204="Realizado")*Agenda!$A$5:$A$1204))=0,"",SUMPRODUCT(MAX((Agenda!$E$5:$E$1204=A39)*(Agenda!$H$5:$H$1204="Realizado")*Agenda!$A$5:$A$1204))))</f>
        <v>46269.0</v>
      </c>
      <c r="I39" s="33">
        <f>IF(A39="","",IF(SUMPRODUCT(MIN(((Agenda!$E$5:$E$1204=A39)*((Agenda!$H$5:$H$1204="Agendado")+(Agenda!$H$5:$H$1204="Confirmado")))*Agenda!$A$5:$A$1204+(1-((Agenda!$E$5:$E$1204=A39)*((Agenda!$H$5:$H$1204="Agendado")+(Agenda!$H$5:$H$1204="Confirmado"))))*1E+10))&gt;=1E+10,"",SUMPRODUCT(MIN(((Agenda!$E$5:$E$1204=A39)*((Agenda!$H$5:$H$1204="Agendado")+(Agenda!$H$5:$H$1204="Confirmado")))*Agenda!$A$5:$A$1204+(1-((Agenda!$E$5:$E$1204=A39)*((Agenda!$H$5:$H$1204="Agendado")+(Agenda!$H$5:$H$1204="Confirmado"))))*1E+10))))</f>
        <v/>
      </c>
    </row>
    <row r="40">
      <c r="A40" s="36" t="inlineStr">
        <is>
          <t>Fernanda Gonçalves</t>
        </is>
      </c>
      <c r="B40" s="37" t="inlineStr">
        <is>
          <t>Saúde Total</t>
        </is>
      </c>
      <c r="C40" s="37" t="inlineStr">
        <is>
          <t>Dra. Renata Sousa</t>
        </is>
      </c>
      <c r="D40" s="36" t="inlineStr">
        <is>
          <t>(11) 90000-0237</t>
        </is>
      </c>
      <c r="E40" s="36" t="n"/>
      <c r="F40" s="29">
        <f>IF(A40="","",COUNTIFS(Agenda!$E$5:$E$1204,A40,Agenda!$H$5:$H$1204,"Realizado"))</f>
        <v>3</v>
      </c>
      <c r="G40" s="29">
        <f>IF(A40="","",COUNTIFS(Agenda!$E$5:$E$1204,A40,Agenda!$H$5:$H$1204,"Falta"))</f>
        <v>0</v>
      </c>
      <c r="H40" s="33">
        <f>IF(A40="","",IF(SUMPRODUCT(MAX((Agenda!$E$5:$E$1204=A40)*(Agenda!$H$5:$H$1204="Realizado")*Agenda!$A$5:$A$1204))=0,"",SUMPRODUCT(MAX((Agenda!$E$5:$E$1204=A40)*(Agenda!$H$5:$H$1204="Realizado")*Agenda!$A$5:$A$1204))))</f>
        <v>46233.0</v>
      </c>
      <c r="I40" s="33">
        <f>IF(A40="","",IF(SUMPRODUCT(MIN(((Agenda!$E$5:$E$1204=A40)*((Agenda!$H$5:$H$1204="Agendado")+(Agenda!$H$5:$H$1204="Confirmado")))*Agenda!$A$5:$A$1204+(1-((Agenda!$E$5:$E$1204=A40)*((Agenda!$H$5:$H$1204="Agendado")+(Agenda!$H$5:$H$1204="Confirmado"))))*1E+10))&gt;=1E+10,"",SUMPRODUCT(MIN(((Agenda!$E$5:$E$1204=A40)*((Agenda!$H$5:$H$1204="Agendado")+(Agenda!$H$5:$H$1204="Confirmado")))*Agenda!$A$5:$A$1204+(1-((Agenda!$E$5:$E$1204=A40)*((Agenda!$H$5:$H$1204="Agendado")+(Agenda!$H$5:$H$1204="Confirmado"))))*1E+10))))</f>
        <v>46287.0</v>
      </c>
    </row>
    <row r="41">
      <c r="A41" s="36" t="inlineStr">
        <is>
          <t>Fernanda Nunes</t>
        </is>
      </c>
      <c r="B41" s="37" t="inlineStr">
        <is>
          <t>MediPlan</t>
        </is>
      </c>
      <c r="C41" s="37" t="inlineStr">
        <is>
          <t>Dr. Paulo Andrade</t>
        </is>
      </c>
      <c r="D41" s="36" t="inlineStr">
        <is>
          <t>(11) 90000-0187</t>
        </is>
      </c>
      <c r="E41" s="36" t="n"/>
      <c r="F41" s="29">
        <f>IF(A41="","",COUNTIFS(Agenda!$E$5:$E$1204,A41,Agenda!$H$5:$H$1204,"Realizado"))</f>
        <v>3</v>
      </c>
      <c r="G41" s="29">
        <f>IF(A41="","",COUNTIFS(Agenda!$E$5:$E$1204,A41,Agenda!$H$5:$H$1204,"Falta"))</f>
        <v>0</v>
      </c>
      <c r="H41" s="33">
        <f>IF(A41="","",IF(SUMPRODUCT(MAX((Agenda!$E$5:$E$1204=A41)*(Agenda!$H$5:$H$1204="Realizado")*Agenda!$A$5:$A$1204))=0,"",SUMPRODUCT(MAX((Agenda!$E$5:$E$1204=A41)*(Agenda!$H$5:$H$1204="Realizado")*Agenda!$A$5:$A$1204))))</f>
        <v>46276.0</v>
      </c>
      <c r="I41" s="33">
        <f>IF(A41="","",IF(SUMPRODUCT(MIN(((Agenda!$E$5:$E$1204=A41)*((Agenda!$H$5:$H$1204="Agendado")+(Agenda!$H$5:$H$1204="Confirmado")))*Agenda!$A$5:$A$1204+(1-((Agenda!$E$5:$E$1204=A41)*((Agenda!$H$5:$H$1204="Agendado")+(Agenda!$H$5:$H$1204="Confirmado"))))*1E+10))&gt;=1E+10,"",SUMPRODUCT(MIN(((Agenda!$E$5:$E$1204=A41)*((Agenda!$H$5:$H$1204="Agendado")+(Agenda!$H$5:$H$1204="Confirmado")))*Agenda!$A$5:$A$1204+(1-((Agenda!$E$5:$E$1204=A41)*((Agenda!$H$5:$H$1204="Agendado")+(Agenda!$H$5:$H$1204="Confirmado"))))*1E+10))))</f>
        <v>46290.0</v>
      </c>
    </row>
    <row r="42">
      <c r="A42" s="36" t="inlineStr">
        <is>
          <t>Fábio Correia</t>
        </is>
      </c>
      <c r="B42" s="37" t="inlineStr">
        <is>
          <t>Particular</t>
        </is>
      </c>
      <c r="C42" s="37" t="inlineStr">
        <is>
          <t>Dr. Paulo Andrade</t>
        </is>
      </c>
      <c r="D42" s="36" t="inlineStr">
        <is>
          <t>(11) 90000-0191</t>
        </is>
      </c>
      <c r="E42" s="36" t="n"/>
      <c r="F42" s="29">
        <f>IF(A42="","",COUNTIFS(Agenda!$E$5:$E$1204,A42,Agenda!$H$5:$H$1204,"Realizado"))</f>
        <v>5</v>
      </c>
      <c r="G42" s="29">
        <f>IF(A42="","",COUNTIFS(Agenda!$E$5:$E$1204,A42,Agenda!$H$5:$H$1204,"Falta"))</f>
        <v>0</v>
      </c>
      <c r="H42" s="33">
        <f>IF(A42="","",IF(SUMPRODUCT(MAX((Agenda!$E$5:$E$1204=A42)*(Agenda!$H$5:$H$1204="Realizado")*Agenda!$A$5:$A$1204))=0,"",SUMPRODUCT(MAX((Agenda!$E$5:$E$1204=A42)*(Agenda!$H$5:$H$1204="Realizado")*Agenda!$A$5:$A$1204))))</f>
        <v>46268.0</v>
      </c>
      <c r="I42" s="33">
        <f>IF(A42="","",IF(SUMPRODUCT(MIN(((Agenda!$E$5:$E$1204=A42)*((Agenda!$H$5:$H$1204="Agendado")+(Agenda!$H$5:$H$1204="Confirmado")))*Agenda!$A$5:$A$1204+(1-((Agenda!$E$5:$E$1204=A42)*((Agenda!$H$5:$H$1204="Agendado")+(Agenda!$H$5:$H$1204="Confirmado"))))*1E+10))&gt;=1E+10,"",SUMPRODUCT(MIN(((Agenda!$E$5:$E$1204=A42)*((Agenda!$H$5:$H$1204="Agendado")+(Agenda!$H$5:$H$1204="Confirmado")))*Agenda!$A$5:$A$1204+(1-((Agenda!$E$5:$E$1204=A42)*((Agenda!$H$5:$H$1204="Agendado")+(Agenda!$H$5:$H$1204="Confirmado"))))*1E+10))))</f>
        <v>46289.0</v>
      </c>
    </row>
    <row r="43">
      <c r="A43" s="36" t="inlineStr">
        <is>
          <t>Fábio Ferreira</t>
        </is>
      </c>
      <c r="B43" s="37" t="inlineStr">
        <is>
          <t>Particular</t>
        </is>
      </c>
      <c r="C43" s="37" t="inlineStr">
        <is>
          <t>Dra. Renata Sousa</t>
        </is>
      </c>
      <c r="D43" s="36" t="inlineStr">
        <is>
          <t>(11) 90000-0228</t>
        </is>
      </c>
      <c r="E43" s="36" t="n"/>
      <c r="F43" s="29">
        <f>IF(A43="","",COUNTIFS(Agenda!$E$5:$E$1204,A43,Agenda!$H$5:$H$1204,"Realizado"))</f>
        <v>2</v>
      </c>
      <c r="G43" s="29">
        <f>IF(A43="","",COUNTIFS(Agenda!$E$5:$E$1204,A43,Agenda!$H$5:$H$1204,"Falta"))</f>
        <v>0</v>
      </c>
      <c r="H43" s="33">
        <f>IF(A43="","",IF(SUMPRODUCT(MAX((Agenda!$E$5:$E$1204=A43)*(Agenda!$H$5:$H$1204="Realizado")*Agenda!$A$5:$A$1204))=0,"",SUMPRODUCT(MAX((Agenda!$E$5:$E$1204=A43)*(Agenda!$H$5:$H$1204="Realizado")*Agenda!$A$5:$A$1204))))</f>
        <v>46240.0</v>
      </c>
      <c r="I43" s="33">
        <f>IF(A43="","",IF(SUMPRODUCT(MIN(((Agenda!$E$5:$E$1204=A43)*((Agenda!$H$5:$H$1204="Agendado")+(Agenda!$H$5:$H$1204="Confirmado")))*Agenda!$A$5:$A$1204+(1-((Agenda!$E$5:$E$1204=A43)*((Agenda!$H$5:$H$1204="Agendado")+(Agenda!$H$5:$H$1204="Confirmado"))))*1E+10))&gt;=1E+10,"",SUMPRODUCT(MIN(((Agenda!$E$5:$E$1204=A43)*((Agenda!$H$5:$H$1204="Agendado")+(Agenda!$H$5:$H$1204="Confirmado")))*Agenda!$A$5:$A$1204+(1-((Agenda!$E$5:$E$1204=A43)*((Agenda!$H$5:$H$1204="Agendado")+(Agenda!$H$5:$H$1204="Confirmado"))))*1E+10))))</f>
        <v/>
      </c>
    </row>
    <row r="44">
      <c r="A44" s="36" t="inlineStr">
        <is>
          <t>Fábio Gomes</t>
        </is>
      </c>
      <c r="B44" s="37" t="inlineStr">
        <is>
          <t>Particular</t>
        </is>
      </c>
      <c r="C44" s="37" t="inlineStr">
        <is>
          <t>Dra. Renata Sousa</t>
        </is>
      </c>
      <c r="D44" s="36" t="inlineStr">
        <is>
          <t>(11) 90000-0250</t>
        </is>
      </c>
      <c r="E44" s="36" t="n"/>
      <c r="F44" s="29">
        <f>IF(A44="","",COUNTIFS(Agenda!$E$5:$E$1204,A44,Agenda!$H$5:$H$1204,"Realizado"))</f>
        <v>6</v>
      </c>
      <c r="G44" s="29">
        <f>IF(A44="","",COUNTIFS(Agenda!$E$5:$E$1204,A44,Agenda!$H$5:$H$1204,"Falta"))</f>
        <v>0</v>
      </c>
      <c r="H44" s="33">
        <f>IF(A44="","",IF(SUMPRODUCT(MAX((Agenda!$E$5:$E$1204=A44)*(Agenda!$H$5:$H$1204="Realizado")*Agenda!$A$5:$A$1204))=0,"",SUMPRODUCT(MAX((Agenda!$E$5:$E$1204=A44)*(Agenda!$H$5:$H$1204="Realizado")*Agenda!$A$5:$A$1204))))</f>
        <v>46273.0</v>
      </c>
      <c r="I44" s="33">
        <f>IF(A44="","",IF(SUMPRODUCT(MIN(((Agenda!$E$5:$E$1204=A44)*((Agenda!$H$5:$H$1204="Agendado")+(Agenda!$H$5:$H$1204="Confirmado")))*Agenda!$A$5:$A$1204+(1-((Agenda!$E$5:$E$1204=A44)*((Agenda!$H$5:$H$1204="Agendado")+(Agenda!$H$5:$H$1204="Confirmado"))))*1E+10))&gt;=1E+10,"",SUMPRODUCT(MIN(((Agenda!$E$5:$E$1204=A44)*((Agenda!$H$5:$H$1204="Agendado")+(Agenda!$H$5:$H$1204="Confirmado")))*Agenda!$A$5:$A$1204+(1-((Agenda!$E$5:$E$1204=A44)*((Agenda!$H$5:$H$1204="Agendado")+(Agenda!$H$5:$H$1204="Confirmado"))))*1E+10))))</f>
        <v>46280.0</v>
      </c>
    </row>
    <row r="45">
      <c r="A45" s="36" t="inlineStr">
        <is>
          <t>Fábio Machado</t>
        </is>
      </c>
      <c r="B45" s="37" t="inlineStr">
        <is>
          <t>Particular</t>
        </is>
      </c>
      <c r="C45" s="37" t="inlineStr">
        <is>
          <t>Dra. Carolina Mendes</t>
        </is>
      </c>
      <c r="D45" s="36" t="inlineStr">
        <is>
          <t>(11) 90000-0124</t>
        </is>
      </c>
      <c r="E45" s="36" t="n"/>
      <c r="F45" s="29">
        <f>IF(A45="","",COUNTIFS(Agenda!$E$5:$E$1204,A45,Agenda!$H$5:$H$1204,"Realizado"))</f>
        <v>4</v>
      </c>
      <c r="G45" s="29">
        <f>IF(A45="","",COUNTIFS(Agenda!$E$5:$E$1204,A45,Agenda!$H$5:$H$1204,"Falta"))</f>
        <v>0</v>
      </c>
      <c r="H45" s="33">
        <f>IF(A45="","",IF(SUMPRODUCT(MAX((Agenda!$E$5:$E$1204=A45)*(Agenda!$H$5:$H$1204="Realizado")*Agenda!$A$5:$A$1204))=0,"",SUMPRODUCT(MAX((Agenda!$E$5:$E$1204=A45)*(Agenda!$H$5:$H$1204="Realizado")*Agenda!$A$5:$A$1204))))</f>
        <v>46251.0</v>
      </c>
      <c r="I45" s="33">
        <f>IF(A45="","",IF(SUMPRODUCT(MIN(((Agenda!$E$5:$E$1204=A45)*((Agenda!$H$5:$H$1204="Agendado")+(Agenda!$H$5:$H$1204="Confirmado")))*Agenda!$A$5:$A$1204+(1-((Agenda!$E$5:$E$1204=A45)*((Agenda!$H$5:$H$1204="Agendado")+(Agenda!$H$5:$H$1204="Confirmado"))))*1E+10))&gt;=1E+10,"",SUMPRODUCT(MIN(((Agenda!$E$5:$E$1204=A45)*((Agenda!$H$5:$H$1204="Agendado")+(Agenda!$H$5:$H$1204="Confirmado")))*Agenda!$A$5:$A$1204+(1-((Agenda!$E$5:$E$1204=A45)*((Agenda!$H$5:$H$1204="Agendado")+(Agenda!$H$5:$H$1204="Confirmado"))))*1E+10))))</f>
        <v>46287.0</v>
      </c>
    </row>
    <row r="46">
      <c r="A46" s="36" t="inlineStr">
        <is>
          <t>Fábio Martins</t>
        </is>
      </c>
      <c r="B46" s="37" t="inlineStr">
        <is>
          <t>MediPlan</t>
        </is>
      </c>
      <c r="C46" s="37" t="inlineStr">
        <is>
          <t>Dr. Paulo Andrade</t>
        </is>
      </c>
      <c r="D46" s="36" t="inlineStr">
        <is>
          <t>(11) 90000-0171</t>
        </is>
      </c>
      <c r="E46" s="36" t="n"/>
      <c r="F46" s="29">
        <f>IF(A46="","",COUNTIFS(Agenda!$E$5:$E$1204,A46,Agenda!$H$5:$H$1204,"Realizado"))</f>
        <v>2</v>
      </c>
      <c r="G46" s="29">
        <f>IF(A46="","",COUNTIFS(Agenda!$E$5:$E$1204,A46,Agenda!$H$5:$H$1204,"Falta"))</f>
        <v>0</v>
      </c>
      <c r="H46" s="33">
        <f>IF(A46="","",IF(SUMPRODUCT(MAX((Agenda!$E$5:$E$1204=A46)*(Agenda!$H$5:$H$1204="Realizado")*Agenda!$A$5:$A$1204))=0,"",SUMPRODUCT(MAX((Agenda!$E$5:$E$1204=A46)*(Agenda!$H$5:$H$1204="Realizado")*Agenda!$A$5:$A$1204))))</f>
        <v>46223.0</v>
      </c>
      <c r="I46" s="33">
        <f>IF(A46="","",IF(SUMPRODUCT(MIN(((Agenda!$E$5:$E$1204=A46)*((Agenda!$H$5:$H$1204="Agendado")+(Agenda!$H$5:$H$1204="Confirmado")))*Agenda!$A$5:$A$1204+(1-((Agenda!$E$5:$E$1204=A46)*((Agenda!$H$5:$H$1204="Agendado")+(Agenda!$H$5:$H$1204="Confirmado"))))*1E+10))&gt;=1E+10,"",SUMPRODUCT(MIN(((Agenda!$E$5:$E$1204=A46)*((Agenda!$H$5:$H$1204="Agendado")+(Agenda!$H$5:$H$1204="Confirmado")))*Agenda!$A$5:$A$1204+(1-((Agenda!$E$5:$E$1204=A46)*((Agenda!$H$5:$H$1204="Agendado")+(Agenda!$H$5:$H$1204="Confirmado"))))*1E+10))))</f>
        <v>46293.0</v>
      </c>
    </row>
    <row r="47">
      <c r="A47" s="36" t="inlineStr">
        <is>
          <t>Gabriel Fernandes</t>
        </is>
      </c>
      <c r="B47" s="37" t="inlineStr">
        <is>
          <t>Particular</t>
        </is>
      </c>
      <c r="C47" s="37" t="inlineStr">
        <is>
          <t>Dr. Paulo Andrade</t>
        </is>
      </c>
      <c r="D47" s="36" t="inlineStr">
        <is>
          <t>(11) 90000-0197</t>
        </is>
      </c>
      <c r="E47" s="36" t="n"/>
      <c r="F47" s="29">
        <f>IF(A47="","",COUNTIFS(Agenda!$E$5:$E$1204,A47,Agenda!$H$5:$H$1204,"Realizado"))</f>
        <v>0</v>
      </c>
      <c r="G47" s="29">
        <f>IF(A47="","",COUNTIFS(Agenda!$E$5:$E$1204,A47,Agenda!$H$5:$H$1204,"Falta"))</f>
        <v>0</v>
      </c>
      <c r="H47" s="33">
        <f>IF(A47="","",IF(SUMPRODUCT(MAX((Agenda!$E$5:$E$1204=A47)*(Agenda!$H$5:$H$1204="Realizado")*Agenda!$A$5:$A$1204))=0,"",SUMPRODUCT(MAX((Agenda!$E$5:$E$1204=A47)*(Agenda!$H$5:$H$1204="Realizado")*Agenda!$A$5:$A$1204))))</f>
        <v/>
      </c>
      <c r="I47" s="33">
        <f>IF(A47="","",IF(SUMPRODUCT(MIN(((Agenda!$E$5:$E$1204=A47)*((Agenda!$H$5:$H$1204="Agendado")+(Agenda!$H$5:$H$1204="Confirmado")))*Agenda!$A$5:$A$1204+(1-((Agenda!$E$5:$E$1204=A47)*((Agenda!$H$5:$H$1204="Agendado")+(Agenda!$H$5:$H$1204="Confirmado"))))*1E+10))&gt;=1E+10,"",SUMPRODUCT(MIN(((Agenda!$E$5:$E$1204=A47)*((Agenda!$H$5:$H$1204="Agendado")+(Agenda!$H$5:$H$1204="Confirmado")))*Agenda!$A$5:$A$1204+(1-((Agenda!$E$5:$E$1204=A47)*((Agenda!$H$5:$H$1204="Agendado")+(Agenda!$H$5:$H$1204="Confirmado"))))*1E+10))))</f>
        <v/>
      </c>
    </row>
    <row r="48">
      <c r="A48" s="36" t="inlineStr">
        <is>
          <t>Gabriel Lopes</t>
        </is>
      </c>
      <c r="B48" s="37" t="inlineStr">
        <is>
          <t>Saúde Total</t>
        </is>
      </c>
      <c r="C48" s="37" t="inlineStr">
        <is>
          <t>Dra. Renata Sousa</t>
        </is>
      </c>
      <c r="D48" s="36" t="inlineStr">
        <is>
          <t>(11) 90000-0251</t>
        </is>
      </c>
      <c r="E48" s="36" t="n"/>
      <c r="F48" s="29">
        <f>IF(A48="","",COUNTIFS(Agenda!$E$5:$E$1204,A48,Agenda!$H$5:$H$1204,"Realizado"))</f>
        <v>4</v>
      </c>
      <c r="G48" s="29">
        <f>IF(A48="","",COUNTIFS(Agenda!$E$5:$E$1204,A48,Agenda!$H$5:$H$1204,"Falta"))</f>
        <v>0</v>
      </c>
      <c r="H48" s="33">
        <f>IF(A48="","",IF(SUMPRODUCT(MAX((Agenda!$E$5:$E$1204=A48)*(Agenda!$H$5:$H$1204="Realizado")*Agenda!$A$5:$A$1204))=0,"",SUMPRODUCT(MAX((Agenda!$E$5:$E$1204=A48)*(Agenda!$H$5:$H$1204="Realizado")*Agenda!$A$5:$A$1204))))</f>
        <v>46273.0</v>
      </c>
      <c r="I48" s="33">
        <f>IF(A48="","",IF(SUMPRODUCT(MIN(((Agenda!$E$5:$E$1204=A48)*((Agenda!$H$5:$H$1204="Agendado")+(Agenda!$H$5:$H$1204="Confirmado")))*Agenda!$A$5:$A$1204+(1-((Agenda!$E$5:$E$1204=A48)*((Agenda!$H$5:$H$1204="Agendado")+(Agenda!$H$5:$H$1204="Confirmado"))))*1E+10))&gt;=1E+10,"",SUMPRODUCT(MIN(((Agenda!$E$5:$E$1204=A48)*((Agenda!$H$5:$H$1204="Agendado")+(Agenda!$H$5:$H$1204="Confirmado")))*Agenda!$A$5:$A$1204+(1-((Agenda!$E$5:$E$1204=A48)*((Agenda!$H$5:$H$1204="Agendado")+(Agenda!$H$5:$H$1204="Confirmado"))))*1E+10))))</f>
        <v>46280.0</v>
      </c>
    </row>
    <row r="49">
      <c r="A49" s="36" t="inlineStr">
        <is>
          <t>Gabriel Oliveira</t>
        </is>
      </c>
      <c r="B49" s="37" t="inlineStr">
        <is>
          <t>Particular</t>
        </is>
      </c>
      <c r="C49" s="37" t="inlineStr">
        <is>
          <t>Dr. Paulo Andrade</t>
        </is>
      </c>
      <c r="D49" s="36" t="inlineStr">
        <is>
          <t>(11) 90000-0221</t>
        </is>
      </c>
      <c r="E49" s="36" t="n"/>
      <c r="F49" s="29">
        <f>IF(A49="","",COUNTIFS(Agenda!$E$5:$E$1204,A49,Agenda!$H$5:$H$1204,"Realizado"))</f>
        <v>6</v>
      </c>
      <c r="G49" s="29">
        <f>IF(A49="","",COUNTIFS(Agenda!$E$5:$E$1204,A49,Agenda!$H$5:$H$1204,"Falta"))</f>
        <v>2</v>
      </c>
      <c r="H49" s="33">
        <f>IF(A49="","",IF(SUMPRODUCT(MAX((Agenda!$E$5:$E$1204=A49)*(Agenda!$H$5:$H$1204="Realizado")*Agenda!$A$5:$A$1204))=0,"",SUMPRODUCT(MAX((Agenda!$E$5:$E$1204=A49)*(Agenda!$H$5:$H$1204="Realizado")*Agenda!$A$5:$A$1204))))</f>
        <v>46273.0</v>
      </c>
      <c r="I49" s="33">
        <f>IF(A49="","",IF(SUMPRODUCT(MIN(((Agenda!$E$5:$E$1204=A49)*((Agenda!$H$5:$H$1204="Agendado")+(Agenda!$H$5:$H$1204="Confirmado")))*Agenda!$A$5:$A$1204+(1-((Agenda!$E$5:$E$1204=A49)*((Agenda!$H$5:$H$1204="Agendado")+(Agenda!$H$5:$H$1204="Confirmado"))))*1E+10))&gt;=1E+10,"",SUMPRODUCT(MIN(((Agenda!$E$5:$E$1204=A49)*((Agenda!$H$5:$H$1204="Agendado")+(Agenda!$H$5:$H$1204="Confirmado")))*Agenda!$A$5:$A$1204+(1-((Agenda!$E$5:$E$1204=A49)*((Agenda!$H$5:$H$1204="Agendado")+(Agenda!$H$5:$H$1204="Confirmado"))))*1E+10))))</f>
        <v/>
      </c>
    </row>
    <row r="50">
      <c r="A50" s="36" t="inlineStr">
        <is>
          <t>Gabriel Reis</t>
        </is>
      </c>
      <c r="B50" s="37" t="inlineStr">
        <is>
          <t>Particular</t>
        </is>
      </c>
      <c r="C50" s="37" t="inlineStr">
        <is>
          <t>Dra. Renata Sousa</t>
        </is>
      </c>
      <c r="D50" s="36" t="inlineStr">
        <is>
          <t>(11) 90000-0256</t>
        </is>
      </c>
      <c r="E50" s="36" t="n"/>
      <c r="F50" s="29">
        <f>IF(A50="","",COUNTIFS(Agenda!$E$5:$E$1204,A50,Agenda!$H$5:$H$1204,"Realizado"))</f>
        <v>3</v>
      </c>
      <c r="G50" s="29">
        <f>IF(A50="","",COUNTIFS(Agenda!$E$5:$E$1204,A50,Agenda!$H$5:$H$1204,"Falta"))</f>
        <v>0</v>
      </c>
      <c r="H50" s="33">
        <f>IF(A50="","",IF(SUMPRODUCT(MAX((Agenda!$E$5:$E$1204=A50)*(Agenda!$H$5:$H$1204="Realizado")*Agenda!$A$5:$A$1204))=0,"",SUMPRODUCT(MAX((Agenda!$E$5:$E$1204=A50)*(Agenda!$H$5:$H$1204="Realizado")*Agenda!$A$5:$A$1204))))</f>
        <v>46273.0</v>
      </c>
      <c r="I50" s="33">
        <f>IF(A50="","",IF(SUMPRODUCT(MIN(((Agenda!$E$5:$E$1204=A50)*((Agenda!$H$5:$H$1204="Agendado")+(Agenda!$H$5:$H$1204="Confirmado")))*Agenda!$A$5:$A$1204+(1-((Agenda!$E$5:$E$1204=A50)*((Agenda!$H$5:$H$1204="Agendado")+(Agenda!$H$5:$H$1204="Confirmado"))))*1E+10))&gt;=1E+10,"",SUMPRODUCT(MIN(((Agenda!$E$5:$E$1204=A50)*((Agenda!$H$5:$H$1204="Agendado")+(Agenda!$H$5:$H$1204="Confirmado")))*Agenda!$A$5:$A$1204+(1-((Agenda!$E$5:$E$1204=A50)*((Agenda!$H$5:$H$1204="Agendado")+(Agenda!$H$5:$H$1204="Confirmado"))))*1E+10))))</f>
        <v>46280.0</v>
      </c>
    </row>
    <row r="51">
      <c r="A51" s="36" t="inlineStr">
        <is>
          <t>Gabriel Vieira</t>
        </is>
      </c>
      <c r="B51" s="37" t="inlineStr">
        <is>
          <t>Vida Care</t>
        </is>
      </c>
      <c r="C51" s="37" t="inlineStr">
        <is>
          <t>Dr. Paulo Andrade</t>
        </is>
      </c>
      <c r="D51" s="36" t="inlineStr">
        <is>
          <t>(11) 90000-0178</t>
        </is>
      </c>
      <c r="E51" s="36" t="n"/>
      <c r="F51" s="29">
        <f>IF(A51="","",COUNTIFS(Agenda!$E$5:$E$1204,A51,Agenda!$H$5:$H$1204,"Realizado"))</f>
        <v>4</v>
      </c>
      <c r="G51" s="29">
        <f>IF(A51="","",COUNTIFS(Agenda!$E$5:$E$1204,A51,Agenda!$H$5:$H$1204,"Falta"))</f>
        <v>0</v>
      </c>
      <c r="H51" s="33">
        <f>IF(A51="","",IF(SUMPRODUCT(MAX((Agenda!$E$5:$E$1204=A51)*(Agenda!$H$5:$H$1204="Realizado")*Agenda!$A$5:$A$1204))=0,"",SUMPRODUCT(MAX((Agenda!$E$5:$E$1204=A51)*(Agenda!$H$5:$H$1204="Realizado")*Agenda!$A$5:$A$1204))))</f>
        <v>46275.0</v>
      </c>
      <c r="I51" s="33">
        <f>IF(A51="","",IF(SUMPRODUCT(MIN(((Agenda!$E$5:$E$1204=A51)*((Agenda!$H$5:$H$1204="Agendado")+(Agenda!$H$5:$H$1204="Confirmado")))*Agenda!$A$5:$A$1204+(1-((Agenda!$E$5:$E$1204=A51)*((Agenda!$H$5:$H$1204="Agendado")+(Agenda!$H$5:$H$1204="Confirmado"))))*1E+10))&gt;=1E+10,"",SUMPRODUCT(MIN(((Agenda!$E$5:$E$1204=A51)*((Agenda!$H$5:$H$1204="Agendado")+(Agenda!$H$5:$H$1204="Confirmado")))*Agenda!$A$5:$A$1204+(1-((Agenda!$E$5:$E$1204=A51)*((Agenda!$H$5:$H$1204="Agendado")+(Agenda!$H$5:$H$1204="Confirmado"))))*1E+10))))</f>
        <v>46294.0</v>
      </c>
    </row>
    <row r="52">
      <c r="A52" s="36" t="inlineStr">
        <is>
          <t>Gisele Lima</t>
        </is>
      </c>
      <c r="B52" s="37" t="inlineStr">
        <is>
          <t>Saúde Total</t>
        </is>
      </c>
      <c r="C52" s="37" t="inlineStr">
        <is>
          <t>Dr. Paulo Andrade</t>
        </is>
      </c>
      <c r="D52" s="36" t="inlineStr">
        <is>
          <t>(11) 90000-0198</t>
        </is>
      </c>
      <c r="E52" s="36" t="n"/>
      <c r="F52" s="29">
        <f>IF(A52="","",COUNTIFS(Agenda!$E$5:$E$1204,A52,Agenda!$H$5:$H$1204,"Realizado"))</f>
        <v>3</v>
      </c>
      <c r="G52" s="29">
        <f>IF(A52="","",COUNTIFS(Agenda!$E$5:$E$1204,A52,Agenda!$H$5:$H$1204,"Falta"))</f>
        <v>0</v>
      </c>
      <c r="H52" s="33">
        <f>IF(A52="","",IF(SUMPRODUCT(MAX((Agenda!$E$5:$E$1204=A52)*(Agenda!$H$5:$H$1204="Realizado")*Agenda!$A$5:$A$1204))=0,"",SUMPRODUCT(MAX((Agenda!$E$5:$E$1204=A52)*(Agenda!$H$5:$H$1204="Realizado")*Agenda!$A$5:$A$1204))))</f>
        <v>46223.0</v>
      </c>
      <c r="I52" s="33">
        <f>IF(A52="","",IF(SUMPRODUCT(MIN(((Agenda!$E$5:$E$1204=A52)*((Agenda!$H$5:$H$1204="Agendado")+(Agenda!$H$5:$H$1204="Confirmado")))*Agenda!$A$5:$A$1204+(1-((Agenda!$E$5:$E$1204=A52)*((Agenda!$H$5:$H$1204="Agendado")+(Agenda!$H$5:$H$1204="Confirmado"))))*1E+10))&gt;=1E+10,"",SUMPRODUCT(MIN(((Agenda!$E$5:$E$1204=A52)*((Agenda!$H$5:$H$1204="Agendado")+(Agenda!$H$5:$H$1204="Confirmado")))*Agenda!$A$5:$A$1204+(1-((Agenda!$E$5:$E$1204=A52)*((Agenda!$H$5:$H$1204="Agendado")+(Agenda!$H$5:$H$1204="Confirmado"))))*1E+10))))</f>
        <v>46294.0</v>
      </c>
    </row>
    <row r="53">
      <c r="A53" s="36" t="inlineStr">
        <is>
          <t>Gisele Lopes</t>
        </is>
      </c>
      <c r="B53" s="37" t="inlineStr">
        <is>
          <t>Saúde Total</t>
        </is>
      </c>
      <c r="C53" s="37" t="inlineStr">
        <is>
          <t>Dra. Renata Sousa</t>
        </is>
      </c>
      <c r="D53" s="36" t="inlineStr">
        <is>
          <t>(11) 90000-0224</t>
        </is>
      </c>
      <c r="E53" s="36" t="n"/>
      <c r="F53" s="29">
        <f>IF(A53="","",COUNTIFS(Agenda!$E$5:$E$1204,A53,Agenda!$H$5:$H$1204,"Realizado"))</f>
        <v>3</v>
      </c>
      <c r="G53" s="29">
        <f>IF(A53="","",COUNTIFS(Agenda!$E$5:$E$1204,A53,Agenda!$H$5:$H$1204,"Falta"))</f>
        <v>0</v>
      </c>
      <c r="H53" s="33">
        <f>IF(A53="","",IF(SUMPRODUCT(MAX((Agenda!$E$5:$E$1204=A53)*(Agenda!$H$5:$H$1204="Realizado")*Agenda!$A$5:$A$1204))=0,"",SUMPRODUCT(MAX((Agenda!$E$5:$E$1204=A53)*(Agenda!$H$5:$H$1204="Realizado")*Agenda!$A$5:$A$1204))))</f>
        <v>46224.0</v>
      </c>
      <c r="I53" s="33">
        <f>IF(A53="","",IF(SUMPRODUCT(MIN(((Agenda!$E$5:$E$1204=A53)*((Agenda!$H$5:$H$1204="Agendado")+(Agenda!$H$5:$H$1204="Confirmado")))*Agenda!$A$5:$A$1204+(1-((Agenda!$E$5:$E$1204=A53)*((Agenda!$H$5:$H$1204="Agendado")+(Agenda!$H$5:$H$1204="Confirmado"))))*1E+10))&gt;=1E+10,"",SUMPRODUCT(MIN(((Agenda!$E$5:$E$1204=A53)*((Agenda!$H$5:$H$1204="Agendado")+(Agenda!$H$5:$H$1204="Confirmado")))*Agenda!$A$5:$A$1204+(1-((Agenda!$E$5:$E$1204=A53)*((Agenda!$H$5:$H$1204="Agendado")+(Agenda!$H$5:$H$1204="Confirmado"))))*1E+10))))</f>
        <v/>
      </c>
    </row>
    <row r="54">
      <c r="A54" s="36" t="inlineStr">
        <is>
          <t>Gisele Pinto</t>
        </is>
      </c>
      <c r="B54" s="37" t="inlineStr">
        <is>
          <t>Saúde Total</t>
        </is>
      </c>
      <c r="C54" s="37" t="inlineStr">
        <is>
          <t>Dr. Paulo Andrade</t>
        </is>
      </c>
      <c r="D54" s="36" t="inlineStr">
        <is>
          <t>(11) 90000-0182</t>
        </is>
      </c>
      <c r="E54" s="36" t="n"/>
      <c r="F54" s="29">
        <f>IF(A54="","",COUNTIFS(Agenda!$E$5:$E$1204,A54,Agenda!$H$5:$H$1204,"Realizado"))</f>
        <v>4</v>
      </c>
      <c r="G54" s="29">
        <f>IF(A54="","",COUNTIFS(Agenda!$E$5:$E$1204,A54,Agenda!$H$5:$H$1204,"Falta"))</f>
        <v>1</v>
      </c>
      <c r="H54" s="33">
        <f>IF(A54="","",IF(SUMPRODUCT(MAX((Agenda!$E$5:$E$1204=A54)*(Agenda!$H$5:$H$1204="Realizado")*Agenda!$A$5:$A$1204))=0,"",SUMPRODUCT(MAX((Agenda!$E$5:$E$1204=A54)*(Agenda!$H$5:$H$1204="Realizado")*Agenda!$A$5:$A$1204))))</f>
        <v>46273.0</v>
      </c>
      <c r="I54" s="33">
        <f>IF(A54="","",IF(SUMPRODUCT(MIN(((Agenda!$E$5:$E$1204=A54)*((Agenda!$H$5:$H$1204="Agendado")+(Agenda!$H$5:$H$1204="Confirmado")))*Agenda!$A$5:$A$1204+(1-((Agenda!$E$5:$E$1204=A54)*((Agenda!$H$5:$H$1204="Agendado")+(Agenda!$H$5:$H$1204="Confirmado"))))*1E+10))&gt;=1E+10,"",SUMPRODUCT(MIN(((Agenda!$E$5:$E$1204=A54)*((Agenda!$H$5:$H$1204="Agendado")+(Agenda!$H$5:$H$1204="Confirmado")))*Agenda!$A$5:$A$1204+(1-((Agenda!$E$5:$E$1204=A54)*((Agenda!$H$5:$H$1204="Agendado")+(Agenda!$H$5:$H$1204="Confirmado"))))*1E+10))))</f>
        <v>46293.0</v>
      </c>
    </row>
    <row r="55">
      <c r="A55" s="36" t="inlineStr">
        <is>
          <t>Gisele Ribeiro</t>
        </is>
      </c>
      <c r="B55" s="37" t="inlineStr">
        <is>
          <t>Particular</t>
        </is>
      </c>
      <c r="C55" s="37" t="inlineStr">
        <is>
          <t>Dra. Carolina Mendes</t>
        </is>
      </c>
      <c r="D55" s="36" t="inlineStr">
        <is>
          <t>(11) 90000-0166</t>
        </is>
      </c>
      <c r="E55" s="36" t="n"/>
      <c r="F55" s="29">
        <f>IF(A55="","",COUNTIFS(Agenda!$E$5:$E$1204,A55,Agenda!$H$5:$H$1204,"Realizado"))</f>
        <v>8</v>
      </c>
      <c r="G55" s="29">
        <f>IF(A55="","",COUNTIFS(Agenda!$E$5:$E$1204,A55,Agenda!$H$5:$H$1204,"Falta"))</f>
        <v>0</v>
      </c>
      <c r="H55" s="33">
        <f>IF(A55="","",IF(SUMPRODUCT(MAX((Agenda!$E$5:$E$1204=A55)*(Agenda!$H$5:$H$1204="Realizado")*Agenda!$A$5:$A$1204))=0,"",SUMPRODUCT(MAX((Agenda!$E$5:$E$1204=A55)*(Agenda!$H$5:$H$1204="Realizado")*Agenda!$A$5:$A$1204))))</f>
        <v>46274.0</v>
      </c>
      <c r="I55" s="33">
        <f>IF(A55="","",IF(SUMPRODUCT(MIN(((Agenda!$E$5:$E$1204=A55)*((Agenda!$H$5:$H$1204="Agendado")+(Agenda!$H$5:$H$1204="Confirmado")))*Agenda!$A$5:$A$1204+(1-((Agenda!$E$5:$E$1204=A55)*((Agenda!$H$5:$H$1204="Agendado")+(Agenda!$H$5:$H$1204="Confirmado"))))*1E+10))&gt;=1E+10,"",SUMPRODUCT(MIN(((Agenda!$E$5:$E$1204=A55)*((Agenda!$H$5:$H$1204="Agendado")+(Agenda!$H$5:$H$1204="Confirmado")))*Agenda!$A$5:$A$1204+(1-((Agenda!$E$5:$E$1204=A55)*((Agenda!$H$5:$H$1204="Agendado")+(Agenda!$H$5:$H$1204="Confirmado"))))*1E+10))))</f>
        <v>46286.0</v>
      </c>
    </row>
    <row r="56">
      <c r="A56" s="36" t="inlineStr">
        <is>
          <t>Gisele Xavier</t>
        </is>
      </c>
      <c r="B56" s="37" t="inlineStr">
        <is>
          <t>Particular</t>
        </is>
      </c>
      <c r="C56" s="37" t="inlineStr">
        <is>
          <t>Dra. Carolina Mendes</t>
        </is>
      </c>
      <c r="D56" s="36" t="inlineStr">
        <is>
          <t>(11) 90000-0159</t>
        </is>
      </c>
      <c r="E56" s="36" t="n"/>
      <c r="F56" s="29">
        <f>IF(A56="","",COUNTIFS(Agenda!$E$5:$E$1204,A56,Agenda!$H$5:$H$1204,"Realizado"))</f>
        <v>7</v>
      </c>
      <c r="G56" s="29">
        <f>IF(A56="","",COUNTIFS(Agenda!$E$5:$E$1204,A56,Agenda!$H$5:$H$1204,"Falta"))</f>
        <v>0</v>
      </c>
      <c r="H56" s="33">
        <f>IF(A56="","",IF(SUMPRODUCT(MAX((Agenda!$E$5:$E$1204=A56)*(Agenda!$H$5:$H$1204="Realizado")*Agenda!$A$5:$A$1204))=0,"",SUMPRODUCT(MAX((Agenda!$E$5:$E$1204=A56)*(Agenda!$H$5:$H$1204="Realizado")*Agenda!$A$5:$A$1204))))</f>
        <v>46273.0</v>
      </c>
      <c r="I56" s="33">
        <f>IF(A56="","",IF(SUMPRODUCT(MIN(((Agenda!$E$5:$E$1204=A56)*((Agenda!$H$5:$H$1204="Agendado")+(Agenda!$H$5:$H$1204="Confirmado")))*Agenda!$A$5:$A$1204+(1-((Agenda!$E$5:$E$1204=A56)*((Agenda!$H$5:$H$1204="Agendado")+(Agenda!$H$5:$H$1204="Confirmado"))))*1E+10))&gt;=1E+10,"",SUMPRODUCT(MIN(((Agenda!$E$5:$E$1204=A56)*((Agenda!$H$5:$H$1204="Agendado")+(Agenda!$H$5:$H$1204="Confirmado")))*Agenda!$A$5:$A$1204+(1-((Agenda!$E$5:$E$1204=A56)*((Agenda!$H$5:$H$1204="Agendado")+(Agenda!$H$5:$H$1204="Confirmado"))))*1E+10))))</f>
        <v>46279.0</v>
      </c>
    </row>
    <row r="57">
      <c r="A57" s="36" t="inlineStr">
        <is>
          <t>Gustavo Barbosa</t>
        </is>
      </c>
      <c r="B57" s="37" t="inlineStr">
        <is>
          <t>Saúde Total</t>
        </is>
      </c>
      <c r="C57" s="37" t="inlineStr">
        <is>
          <t>Dra. Carolina Mendes</t>
        </is>
      </c>
      <c r="D57" s="36" t="inlineStr">
        <is>
          <t>(11) 90000-0110</t>
        </is>
      </c>
      <c r="E57" s="36" t="n"/>
      <c r="F57" s="29">
        <f>IF(A57="","",COUNTIFS(Agenda!$E$5:$E$1204,A57,Agenda!$H$5:$H$1204,"Realizado"))</f>
        <v>7</v>
      </c>
      <c r="G57" s="29">
        <f>IF(A57="","",COUNTIFS(Agenda!$E$5:$E$1204,A57,Agenda!$H$5:$H$1204,"Falta"))</f>
        <v>2</v>
      </c>
      <c r="H57" s="33">
        <f>IF(A57="","",IF(SUMPRODUCT(MAX((Agenda!$E$5:$E$1204=A57)*(Agenda!$H$5:$H$1204="Realizado")*Agenda!$A$5:$A$1204))=0,"",SUMPRODUCT(MAX((Agenda!$E$5:$E$1204=A57)*(Agenda!$H$5:$H$1204="Realizado")*Agenda!$A$5:$A$1204))))</f>
        <v>46273.0</v>
      </c>
      <c r="I57" s="33">
        <f>IF(A57="","",IF(SUMPRODUCT(MIN(((Agenda!$E$5:$E$1204=A57)*((Agenda!$H$5:$H$1204="Agendado")+(Agenda!$H$5:$H$1204="Confirmado")))*Agenda!$A$5:$A$1204+(1-((Agenda!$E$5:$E$1204=A57)*((Agenda!$H$5:$H$1204="Agendado")+(Agenda!$H$5:$H$1204="Confirmado"))))*1E+10))&gt;=1E+10,"",SUMPRODUCT(MIN(((Agenda!$E$5:$E$1204=A57)*((Agenda!$H$5:$H$1204="Agendado")+(Agenda!$H$5:$H$1204="Confirmado")))*Agenda!$A$5:$A$1204+(1-((Agenda!$E$5:$E$1204=A57)*((Agenda!$H$5:$H$1204="Agendado")+(Agenda!$H$5:$H$1204="Confirmado"))))*1E+10))))</f>
        <v>46280.0</v>
      </c>
    </row>
    <row r="58">
      <c r="A58" s="36" t="inlineStr">
        <is>
          <t>Gustavo Carvalho</t>
        </is>
      </c>
      <c r="B58" s="37" t="inlineStr">
        <is>
          <t>Particular</t>
        </is>
      </c>
      <c r="C58" s="37" t="inlineStr">
        <is>
          <t>Dra. Renata Sousa</t>
        </is>
      </c>
      <c r="D58" s="36" t="inlineStr">
        <is>
          <t>(11) 90000-0235</t>
        </is>
      </c>
      <c r="E58" s="36" t="n"/>
      <c r="F58" s="29">
        <f>IF(A58="","",COUNTIFS(Agenda!$E$5:$E$1204,A58,Agenda!$H$5:$H$1204,"Realizado"))</f>
        <v>3</v>
      </c>
      <c r="G58" s="29">
        <f>IF(A58="","",COUNTIFS(Agenda!$E$5:$E$1204,A58,Agenda!$H$5:$H$1204,"Falta"))</f>
        <v>0</v>
      </c>
      <c r="H58" s="33">
        <f>IF(A58="","",IF(SUMPRODUCT(MAX((Agenda!$E$5:$E$1204=A58)*(Agenda!$H$5:$H$1204="Realizado")*Agenda!$A$5:$A$1204))=0,"",SUMPRODUCT(MAX((Agenda!$E$5:$E$1204=A58)*(Agenda!$H$5:$H$1204="Realizado")*Agenda!$A$5:$A$1204))))</f>
        <v>46252.0</v>
      </c>
      <c r="I58" s="33">
        <f>IF(A58="","",IF(SUMPRODUCT(MIN(((Agenda!$E$5:$E$1204=A58)*((Agenda!$H$5:$H$1204="Agendado")+(Agenda!$H$5:$H$1204="Confirmado")))*Agenda!$A$5:$A$1204+(1-((Agenda!$E$5:$E$1204=A58)*((Agenda!$H$5:$H$1204="Agendado")+(Agenda!$H$5:$H$1204="Confirmado"))))*1E+10))&gt;=1E+10,"",SUMPRODUCT(MIN(((Agenda!$E$5:$E$1204=A58)*((Agenda!$H$5:$H$1204="Agendado")+(Agenda!$H$5:$H$1204="Confirmado")))*Agenda!$A$5:$A$1204+(1-((Agenda!$E$5:$E$1204=A58)*((Agenda!$H$5:$H$1204="Agendado")+(Agenda!$H$5:$H$1204="Confirmado"))))*1E+10))))</f>
        <v/>
      </c>
    </row>
    <row r="59">
      <c r="A59" s="36" t="inlineStr">
        <is>
          <t>Gustavo Ferreira</t>
        </is>
      </c>
      <c r="B59" s="37" t="inlineStr">
        <is>
          <t>Particular</t>
        </is>
      </c>
      <c r="C59" s="37" t="inlineStr">
        <is>
          <t>Dra. Carolina Mendes</t>
        </is>
      </c>
      <c r="D59" s="36" t="inlineStr">
        <is>
          <t>(11) 90000-0145</t>
        </is>
      </c>
      <c r="E59" s="36" t="n"/>
      <c r="F59" s="29">
        <f>IF(A59="","",COUNTIFS(Agenda!$E$5:$E$1204,A59,Agenda!$H$5:$H$1204,"Realizado"))</f>
        <v>8</v>
      </c>
      <c r="G59" s="29">
        <f>IF(A59="","",COUNTIFS(Agenda!$E$5:$E$1204,A59,Agenda!$H$5:$H$1204,"Falta"))</f>
        <v>2</v>
      </c>
      <c r="H59" s="33">
        <f>IF(A59="","",IF(SUMPRODUCT(MAX((Agenda!$E$5:$E$1204=A59)*(Agenda!$H$5:$H$1204="Realizado")*Agenda!$A$5:$A$1204))=0,"",SUMPRODUCT(MAX((Agenda!$E$5:$E$1204=A59)*(Agenda!$H$5:$H$1204="Realizado")*Agenda!$A$5:$A$1204))))</f>
        <v>46274.0</v>
      </c>
      <c r="I59" s="33">
        <f>IF(A59="","",IF(SUMPRODUCT(MIN(((Agenda!$E$5:$E$1204=A59)*((Agenda!$H$5:$H$1204="Agendado")+(Agenda!$H$5:$H$1204="Confirmado")))*Agenda!$A$5:$A$1204+(1-((Agenda!$E$5:$E$1204=A59)*((Agenda!$H$5:$H$1204="Agendado")+(Agenda!$H$5:$H$1204="Confirmado"))))*1E+10))&gt;=1E+10,"",SUMPRODUCT(MIN(((Agenda!$E$5:$E$1204=A59)*((Agenda!$H$5:$H$1204="Agendado")+(Agenda!$H$5:$H$1204="Confirmado")))*Agenda!$A$5:$A$1204+(1-((Agenda!$E$5:$E$1204=A59)*((Agenda!$H$5:$H$1204="Agendado")+(Agenda!$H$5:$H$1204="Confirmado"))))*1E+10))))</f>
        <v>46280.0</v>
      </c>
    </row>
    <row r="60">
      <c r="A60" s="36" t="inlineStr">
        <is>
          <t>Gustavo Pinto</t>
        </is>
      </c>
      <c r="B60" s="37" t="inlineStr">
        <is>
          <t>Particular</t>
        </is>
      </c>
      <c r="C60" s="37" t="inlineStr">
        <is>
          <t>Dr. Paulo Andrade</t>
        </is>
      </c>
      <c r="D60" s="36" t="inlineStr">
        <is>
          <t>(11) 90000-0181</t>
        </is>
      </c>
      <c r="E60" s="36" t="n"/>
      <c r="F60" s="29">
        <f>IF(A60="","",COUNTIFS(Agenda!$E$5:$E$1204,A60,Agenda!$H$5:$H$1204,"Realizado"))</f>
        <v>2</v>
      </c>
      <c r="G60" s="29">
        <f>IF(A60="","",COUNTIFS(Agenda!$E$5:$E$1204,A60,Agenda!$H$5:$H$1204,"Falta"))</f>
        <v>0</v>
      </c>
      <c r="H60" s="33">
        <f>IF(A60="","",IF(SUMPRODUCT(MAX((Agenda!$E$5:$E$1204=A60)*(Agenda!$H$5:$H$1204="Realizado")*Agenda!$A$5:$A$1204))=0,"",SUMPRODUCT(MAX((Agenda!$E$5:$E$1204=A60)*(Agenda!$H$5:$H$1204="Realizado")*Agenda!$A$5:$A$1204))))</f>
        <v>46254.0</v>
      </c>
      <c r="I60" s="33">
        <f>IF(A60="","",IF(SUMPRODUCT(MIN(((Agenda!$E$5:$E$1204=A60)*((Agenda!$H$5:$H$1204="Agendado")+(Agenda!$H$5:$H$1204="Confirmado")))*Agenda!$A$5:$A$1204+(1-((Agenda!$E$5:$E$1204=A60)*((Agenda!$H$5:$H$1204="Agendado")+(Agenda!$H$5:$H$1204="Confirmado"))))*1E+10))&gt;=1E+10,"",SUMPRODUCT(MIN(((Agenda!$E$5:$E$1204=A60)*((Agenda!$H$5:$H$1204="Agendado")+(Agenda!$H$5:$H$1204="Confirmado")))*Agenda!$A$5:$A$1204+(1-((Agenda!$E$5:$E$1204=A60)*((Agenda!$H$5:$H$1204="Agendado")+(Agenda!$H$5:$H$1204="Confirmado"))))*1E+10))))</f>
        <v>46287.0</v>
      </c>
    </row>
    <row r="61">
      <c r="A61" s="36" t="inlineStr">
        <is>
          <t>Helena Moreira</t>
        </is>
      </c>
      <c r="B61" s="37" t="inlineStr">
        <is>
          <t>Particular</t>
        </is>
      </c>
      <c r="C61" s="37" t="inlineStr">
        <is>
          <t>Dra. Carolina Mendes</t>
        </is>
      </c>
      <c r="D61" s="36" t="inlineStr">
        <is>
          <t>(11) 90000-0138</t>
        </is>
      </c>
      <c r="E61" s="36" t="n"/>
      <c r="F61" s="29">
        <f>IF(A61="","",COUNTIFS(Agenda!$E$5:$E$1204,A61,Agenda!$H$5:$H$1204,"Realizado"))</f>
        <v>10</v>
      </c>
      <c r="G61" s="29">
        <f>IF(A61="","",COUNTIFS(Agenda!$E$5:$E$1204,A61,Agenda!$H$5:$H$1204,"Falta"))</f>
        <v>1</v>
      </c>
      <c r="H61" s="33">
        <f>IF(A61="","",IF(SUMPRODUCT(MAX((Agenda!$E$5:$E$1204=A61)*(Agenda!$H$5:$H$1204="Realizado")*Agenda!$A$5:$A$1204))=0,"",SUMPRODUCT(MAX((Agenda!$E$5:$E$1204=A61)*(Agenda!$H$5:$H$1204="Realizado")*Agenda!$A$5:$A$1204))))</f>
        <v>46275.0</v>
      </c>
      <c r="I61" s="33">
        <f>IF(A61="","",IF(SUMPRODUCT(MIN(((Agenda!$E$5:$E$1204=A61)*((Agenda!$H$5:$H$1204="Agendado")+(Agenda!$H$5:$H$1204="Confirmado")))*Agenda!$A$5:$A$1204+(1-((Agenda!$E$5:$E$1204=A61)*((Agenda!$H$5:$H$1204="Agendado")+(Agenda!$H$5:$H$1204="Confirmado"))))*1E+10))&gt;=1E+10,"",SUMPRODUCT(MIN(((Agenda!$E$5:$E$1204=A61)*((Agenda!$H$5:$H$1204="Agendado")+(Agenda!$H$5:$H$1204="Confirmado")))*Agenda!$A$5:$A$1204+(1-((Agenda!$E$5:$E$1204=A61)*((Agenda!$H$5:$H$1204="Agendado")+(Agenda!$H$5:$H$1204="Confirmado"))))*1E+10))))</f>
        <v>46282.0</v>
      </c>
    </row>
    <row r="62">
      <c r="A62" s="36" t="inlineStr">
        <is>
          <t>Helena Ribeiro</t>
        </is>
      </c>
      <c r="B62" s="37" t="inlineStr">
        <is>
          <t>MediPlan</t>
        </is>
      </c>
      <c r="C62" s="37" t="inlineStr">
        <is>
          <t>Dr. Paulo Andrade</t>
        </is>
      </c>
      <c r="D62" s="36" t="inlineStr">
        <is>
          <t>(11) 90000-0219</t>
        </is>
      </c>
      <c r="E62" s="36" t="n"/>
      <c r="F62" s="29">
        <f>IF(A62="","",COUNTIFS(Agenda!$E$5:$E$1204,A62,Agenda!$H$5:$H$1204,"Realizado"))</f>
        <v>6</v>
      </c>
      <c r="G62" s="29">
        <f>IF(A62="","",COUNTIFS(Agenda!$E$5:$E$1204,A62,Agenda!$H$5:$H$1204,"Falta"))</f>
        <v>0</v>
      </c>
      <c r="H62" s="33">
        <f>IF(A62="","",IF(SUMPRODUCT(MAX((Agenda!$E$5:$E$1204=A62)*(Agenda!$H$5:$H$1204="Realizado")*Agenda!$A$5:$A$1204))=0,"",SUMPRODUCT(MAX((Agenda!$E$5:$E$1204=A62)*(Agenda!$H$5:$H$1204="Realizado")*Agenda!$A$5:$A$1204))))</f>
        <v>46266.0</v>
      </c>
      <c r="I62" s="33">
        <f>IF(A62="","",IF(SUMPRODUCT(MIN(((Agenda!$E$5:$E$1204=A62)*((Agenda!$H$5:$H$1204="Agendado")+(Agenda!$H$5:$H$1204="Confirmado")))*Agenda!$A$5:$A$1204+(1-((Agenda!$E$5:$E$1204=A62)*((Agenda!$H$5:$H$1204="Agendado")+(Agenda!$H$5:$H$1204="Confirmado"))))*1E+10))&gt;=1E+10,"",SUMPRODUCT(MIN(((Agenda!$E$5:$E$1204=A62)*((Agenda!$H$5:$H$1204="Agendado")+(Agenda!$H$5:$H$1204="Confirmado")))*Agenda!$A$5:$A$1204+(1-((Agenda!$E$5:$E$1204=A62)*((Agenda!$H$5:$H$1204="Agendado")+(Agenda!$H$5:$H$1204="Confirmado"))))*1E+10))))</f>
        <v>46283.0</v>
      </c>
    </row>
    <row r="63">
      <c r="A63" s="36" t="inlineStr">
        <is>
          <t>Henrique Ribeiro</t>
        </is>
      </c>
      <c r="B63" s="37" t="inlineStr">
        <is>
          <t>Particular</t>
        </is>
      </c>
      <c r="C63" s="37" t="inlineStr">
        <is>
          <t>Dr. Paulo Andrade</t>
        </is>
      </c>
      <c r="D63" s="36" t="inlineStr">
        <is>
          <t>(11) 90000-0170</t>
        </is>
      </c>
      <c r="E63" s="36" t="n"/>
      <c r="F63" s="29">
        <f>IF(A63="","",COUNTIFS(Agenda!$E$5:$E$1204,A63,Agenda!$H$5:$H$1204,"Realizado"))</f>
        <v>4</v>
      </c>
      <c r="G63" s="29">
        <f>IF(A63="","",COUNTIFS(Agenda!$E$5:$E$1204,A63,Agenda!$H$5:$H$1204,"Falta"))</f>
        <v>0</v>
      </c>
      <c r="H63" s="33">
        <f>IF(A63="","",IF(SUMPRODUCT(MAX((Agenda!$E$5:$E$1204=A63)*(Agenda!$H$5:$H$1204="Realizado")*Agenda!$A$5:$A$1204))=0,"",SUMPRODUCT(MAX((Agenda!$E$5:$E$1204=A63)*(Agenda!$H$5:$H$1204="Realizado")*Agenda!$A$5:$A$1204))))</f>
        <v>46265.0</v>
      </c>
      <c r="I63" s="33">
        <f>IF(A63="","",IF(SUMPRODUCT(MIN(((Agenda!$E$5:$E$1204=A63)*((Agenda!$H$5:$H$1204="Agendado")+(Agenda!$H$5:$H$1204="Confirmado")))*Agenda!$A$5:$A$1204+(1-((Agenda!$E$5:$E$1204=A63)*((Agenda!$H$5:$H$1204="Agendado")+(Agenda!$H$5:$H$1204="Confirmado"))))*1E+10))&gt;=1E+10,"",SUMPRODUCT(MIN(((Agenda!$E$5:$E$1204=A63)*((Agenda!$H$5:$H$1204="Agendado")+(Agenda!$H$5:$H$1204="Confirmado")))*Agenda!$A$5:$A$1204+(1-((Agenda!$E$5:$E$1204=A63)*((Agenda!$H$5:$H$1204="Agendado")+(Agenda!$H$5:$H$1204="Confirmado"))))*1E+10))))</f>
        <v>46279.0</v>
      </c>
    </row>
    <row r="64">
      <c r="A64" s="36" t="inlineStr">
        <is>
          <t>Henrique Santos</t>
        </is>
      </c>
      <c r="B64" s="37" t="inlineStr">
        <is>
          <t>Vida Care</t>
        </is>
      </c>
      <c r="C64" s="37" t="inlineStr">
        <is>
          <t>Dr. Paulo Andrade</t>
        </is>
      </c>
      <c r="D64" s="36" t="inlineStr">
        <is>
          <t>(11) 90000-0220</t>
        </is>
      </c>
      <c r="E64" s="36" t="n"/>
      <c r="F64" s="29">
        <f>IF(A64="","",COUNTIFS(Agenda!$E$5:$E$1204,A64,Agenda!$H$5:$H$1204,"Realizado"))</f>
        <v>3</v>
      </c>
      <c r="G64" s="29">
        <f>IF(A64="","",COUNTIFS(Agenda!$E$5:$E$1204,A64,Agenda!$H$5:$H$1204,"Falta"))</f>
        <v>1</v>
      </c>
      <c r="H64" s="33">
        <f>IF(A64="","",IF(SUMPRODUCT(MAX((Agenda!$E$5:$E$1204=A64)*(Agenda!$H$5:$H$1204="Realizado")*Agenda!$A$5:$A$1204))=0,"",SUMPRODUCT(MAX((Agenda!$E$5:$E$1204=A64)*(Agenda!$H$5:$H$1204="Realizado")*Agenda!$A$5:$A$1204))))</f>
        <v>46262.0</v>
      </c>
      <c r="I64" s="33">
        <f>IF(A64="","",IF(SUMPRODUCT(MIN(((Agenda!$E$5:$E$1204=A64)*((Agenda!$H$5:$H$1204="Agendado")+(Agenda!$H$5:$H$1204="Confirmado")))*Agenda!$A$5:$A$1204+(1-((Agenda!$E$5:$E$1204=A64)*((Agenda!$H$5:$H$1204="Agendado")+(Agenda!$H$5:$H$1204="Confirmado"))))*1E+10))&gt;=1E+10,"",SUMPRODUCT(MIN(((Agenda!$E$5:$E$1204=A64)*((Agenda!$H$5:$H$1204="Agendado")+(Agenda!$H$5:$H$1204="Confirmado")))*Agenda!$A$5:$A$1204+(1-((Agenda!$E$5:$E$1204=A64)*((Agenda!$H$5:$H$1204="Agendado")+(Agenda!$H$5:$H$1204="Confirmado"))))*1E+10))))</f>
        <v/>
      </c>
    </row>
    <row r="65">
      <c r="A65" s="36" t="inlineStr">
        <is>
          <t>Isabela Barbosa</t>
        </is>
      </c>
      <c r="B65" s="37" t="inlineStr">
        <is>
          <t>Saúde Total</t>
        </is>
      </c>
      <c r="C65" s="37" t="inlineStr">
        <is>
          <t>Dra. Renata Sousa</t>
        </is>
      </c>
      <c r="D65" s="36" t="inlineStr">
        <is>
          <t>(11) 90000-0236</t>
        </is>
      </c>
      <c r="E65" s="36" t="n"/>
      <c r="F65" s="29">
        <f>IF(A65="","",COUNTIFS(Agenda!$E$5:$E$1204,A65,Agenda!$H$5:$H$1204,"Realizado"))</f>
        <v>2</v>
      </c>
      <c r="G65" s="29">
        <f>IF(A65="","",COUNTIFS(Agenda!$E$5:$E$1204,A65,Agenda!$H$5:$H$1204,"Falta"))</f>
        <v>0</v>
      </c>
      <c r="H65" s="33">
        <f>IF(A65="","",IF(SUMPRODUCT(MAX((Agenda!$E$5:$E$1204=A65)*(Agenda!$H$5:$H$1204="Realizado")*Agenda!$A$5:$A$1204))=0,"",SUMPRODUCT(MAX((Agenda!$E$5:$E$1204=A65)*(Agenda!$H$5:$H$1204="Realizado")*Agenda!$A$5:$A$1204))))</f>
        <v>46226.0</v>
      </c>
      <c r="I65" s="33">
        <f>IF(A65="","",IF(SUMPRODUCT(MIN(((Agenda!$E$5:$E$1204=A65)*((Agenda!$H$5:$H$1204="Agendado")+(Agenda!$H$5:$H$1204="Confirmado")))*Agenda!$A$5:$A$1204+(1-((Agenda!$E$5:$E$1204=A65)*((Agenda!$H$5:$H$1204="Agendado")+(Agenda!$H$5:$H$1204="Confirmado"))))*1E+10))&gt;=1E+10,"",SUMPRODUCT(MIN(((Agenda!$E$5:$E$1204=A65)*((Agenda!$H$5:$H$1204="Agendado")+(Agenda!$H$5:$H$1204="Confirmado")))*Agenda!$A$5:$A$1204+(1-((Agenda!$E$5:$E$1204=A65)*((Agenda!$H$5:$H$1204="Agendado")+(Agenda!$H$5:$H$1204="Confirmado"))))*1E+10))))</f>
        <v/>
      </c>
    </row>
    <row r="66">
      <c r="A66" s="36" t="inlineStr">
        <is>
          <t>Isabela Nascimento</t>
        </is>
      </c>
      <c r="B66" s="37" t="inlineStr">
        <is>
          <t>Vida Care</t>
        </is>
      </c>
      <c r="C66" s="37" t="inlineStr">
        <is>
          <t>Dra. Carolina Mendes</t>
        </is>
      </c>
      <c r="D66" s="36" t="inlineStr">
        <is>
          <t>(11) 90000-0142</t>
        </is>
      </c>
      <c r="E66" s="36" t="n"/>
      <c r="F66" s="29">
        <f>IF(A66="","",COUNTIFS(Agenda!$E$5:$E$1204,A66,Agenda!$H$5:$H$1204,"Realizado"))</f>
        <v>3</v>
      </c>
      <c r="G66" s="29">
        <f>IF(A66="","",COUNTIFS(Agenda!$E$5:$E$1204,A66,Agenda!$H$5:$H$1204,"Falta"))</f>
        <v>1</v>
      </c>
      <c r="H66" s="33">
        <f>IF(A66="","",IF(SUMPRODUCT(MAX((Agenda!$E$5:$E$1204=A66)*(Agenda!$H$5:$H$1204="Realizado")*Agenda!$A$5:$A$1204))=0,"",SUMPRODUCT(MAX((Agenda!$E$5:$E$1204=A66)*(Agenda!$H$5:$H$1204="Realizado")*Agenda!$A$5:$A$1204))))</f>
        <v>46275.0</v>
      </c>
      <c r="I66" s="33">
        <f>IF(A66="","",IF(SUMPRODUCT(MIN(((Agenda!$E$5:$E$1204=A66)*((Agenda!$H$5:$H$1204="Agendado")+(Agenda!$H$5:$H$1204="Confirmado")))*Agenda!$A$5:$A$1204+(1-((Agenda!$E$5:$E$1204=A66)*((Agenda!$H$5:$H$1204="Agendado")+(Agenda!$H$5:$H$1204="Confirmado"))))*1E+10))&gt;=1E+10,"",SUMPRODUCT(MIN(((Agenda!$E$5:$E$1204=A66)*((Agenda!$H$5:$H$1204="Agendado")+(Agenda!$H$5:$H$1204="Confirmado")))*Agenda!$A$5:$A$1204+(1-((Agenda!$E$5:$E$1204=A66)*((Agenda!$H$5:$H$1204="Agendado")+(Agenda!$H$5:$H$1204="Confirmado"))))*1E+10))))</f>
        <v>46286.0</v>
      </c>
    </row>
    <row r="67">
      <c r="A67" s="36" t="inlineStr">
        <is>
          <t>Isabela Pinto</t>
        </is>
      </c>
      <c r="B67" s="37" t="inlineStr">
        <is>
          <t>Saúde Total</t>
        </is>
      </c>
      <c r="C67" s="37" t="inlineStr">
        <is>
          <t>Dra. Carolina Mendes</t>
        </is>
      </c>
      <c r="D67" s="36" t="inlineStr">
        <is>
          <t>(11) 90000-0130</t>
        </is>
      </c>
      <c r="E67" s="36" t="n"/>
      <c r="F67" s="29">
        <f>IF(A67="","",COUNTIFS(Agenda!$E$5:$E$1204,A67,Agenda!$H$5:$H$1204,"Realizado"))</f>
        <v>7</v>
      </c>
      <c r="G67" s="29">
        <f>IF(A67="","",COUNTIFS(Agenda!$E$5:$E$1204,A67,Agenda!$H$5:$H$1204,"Falta"))</f>
        <v>0</v>
      </c>
      <c r="H67" s="33">
        <f>IF(A67="","",IF(SUMPRODUCT(MAX((Agenda!$E$5:$E$1204=A67)*(Agenda!$H$5:$H$1204="Realizado")*Agenda!$A$5:$A$1204))=0,"",SUMPRODUCT(MAX((Agenda!$E$5:$E$1204=A67)*(Agenda!$H$5:$H$1204="Realizado")*Agenda!$A$5:$A$1204))))</f>
        <v>46268.0</v>
      </c>
      <c r="I67" s="33">
        <f>IF(A67="","",IF(SUMPRODUCT(MIN(((Agenda!$E$5:$E$1204=A67)*((Agenda!$H$5:$H$1204="Agendado")+(Agenda!$H$5:$H$1204="Confirmado")))*Agenda!$A$5:$A$1204+(1-((Agenda!$E$5:$E$1204=A67)*((Agenda!$H$5:$H$1204="Agendado")+(Agenda!$H$5:$H$1204="Confirmado"))))*1E+10))&gt;=1E+10,"",SUMPRODUCT(MIN(((Agenda!$E$5:$E$1204=A67)*((Agenda!$H$5:$H$1204="Agendado")+(Agenda!$H$5:$H$1204="Confirmado")))*Agenda!$A$5:$A$1204+(1-((Agenda!$E$5:$E$1204=A67)*((Agenda!$H$5:$H$1204="Agendado")+(Agenda!$H$5:$H$1204="Confirmado"))))*1E+10))))</f>
        <v>46300.0</v>
      </c>
    </row>
    <row r="68">
      <c r="A68" s="36" t="inlineStr">
        <is>
          <t>Isabela Xavier</t>
        </is>
      </c>
      <c r="B68" s="37" t="inlineStr">
        <is>
          <t>Particular</t>
        </is>
      </c>
      <c r="C68" s="37" t="inlineStr">
        <is>
          <t>Dra. Renata Sousa</t>
        </is>
      </c>
      <c r="D68" s="36" t="inlineStr">
        <is>
          <t>(11) 90000-0248</t>
        </is>
      </c>
      <c r="E68" s="36" t="n"/>
      <c r="F68" s="29">
        <f>IF(A68="","",COUNTIFS(Agenda!$E$5:$E$1204,A68,Agenda!$H$5:$H$1204,"Realizado"))</f>
        <v>5</v>
      </c>
      <c r="G68" s="29">
        <f>IF(A68="","",COUNTIFS(Agenda!$E$5:$E$1204,A68,Agenda!$H$5:$H$1204,"Falta"))</f>
        <v>0</v>
      </c>
      <c r="H68" s="33">
        <f>IF(A68="","",IF(SUMPRODUCT(MAX((Agenda!$E$5:$E$1204=A68)*(Agenda!$H$5:$H$1204="Realizado")*Agenda!$A$5:$A$1204))=0,"",SUMPRODUCT(MAX((Agenda!$E$5:$E$1204=A68)*(Agenda!$H$5:$H$1204="Realizado")*Agenda!$A$5:$A$1204))))</f>
        <v>46266.0</v>
      </c>
      <c r="I68" s="33">
        <f>IF(A68="","",IF(SUMPRODUCT(MIN(((Agenda!$E$5:$E$1204=A68)*((Agenda!$H$5:$H$1204="Agendado")+(Agenda!$H$5:$H$1204="Confirmado")))*Agenda!$A$5:$A$1204+(1-((Agenda!$E$5:$E$1204=A68)*((Agenda!$H$5:$H$1204="Agendado")+(Agenda!$H$5:$H$1204="Confirmado"))))*1E+10))&gt;=1E+10,"",SUMPRODUCT(MIN(((Agenda!$E$5:$E$1204=A68)*((Agenda!$H$5:$H$1204="Agendado")+(Agenda!$H$5:$H$1204="Confirmado")))*Agenda!$A$5:$A$1204+(1-((Agenda!$E$5:$E$1204=A68)*((Agenda!$H$5:$H$1204="Agendado")+(Agenda!$H$5:$H$1204="Confirmado"))))*1E+10))))</f>
        <v>46280.0</v>
      </c>
    </row>
    <row r="69">
      <c r="A69" s="36" t="inlineStr">
        <is>
          <t>Juliana Ribeiro</t>
        </is>
      </c>
      <c r="B69" s="37" t="inlineStr">
        <is>
          <t>Saúde Total</t>
        </is>
      </c>
      <c r="C69" s="37" t="inlineStr">
        <is>
          <t>Dra. Carolina Mendes</t>
        </is>
      </c>
      <c r="D69" s="36" t="inlineStr">
        <is>
          <t>(11) 90000-0121</t>
        </is>
      </c>
      <c r="E69" s="36" t="n"/>
      <c r="F69" s="29">
        <f>IF(A69="","",COUNTIFS(Agenda!$E$5:$E$1204,A69,Agenda!$H$5:$H$1204,"Realizado"))</f>
        <v>3</v>
      </c>
      <c r="G69" s="29">
        <f>IF(A69="","",COUNTIFS(Agenda!$E$5:$E$1204,A69,Agenda!$H$5:$H$1204,"Falta"))</f>
        <v>0</v>
      </c>
      <c r="H69" s="33">
        <f>IF(A69="","",IF(SUMPRODUCT(MAX((Agenda!$E$5:$E$1204=A69)*(Agenda!$H$5:$H$1204="Realizado")*Agenda!$A$5:$A$1204))=0,"",SUMPRODUCT(MAX((Agenda!$E$5:$E$1204=A69)*(Agenda!$H$5:$H$1204="Realizado")*Agenda!$A$5:$A$1204))))</f>
        <v>46266.0</v>
      </c>
      <c r="I69" s="33">
        <f>IF(A69="","",IF(SUMPRODUCT(MIN(((Agenda!$E$5:$E$1204=A69)*((Agenda!$H$5:$H$1204="Agendado")+(Agenda!$H$5:$H$1204="Confirmado")))*Agenda!$A$5:$A$1204+(1-((Agenda!$E$5:$E$1204=A69)*((Agenda!$H$5:$H$1204="Agendado")+(Agenda!$H$5:$H$1204="Confirmado"))))*1E+10))&gt;=1E+10,"",SUMPRODUCT(MIN(((Agenda!$E$5:$E$1204=A69)*((Agenda!$H$5:$H$1204="Agendado")+(Agenda!$H$5:$H$1204="Confirmado")))*Agenda!$A$5:$A$1204+(1-((Agenda!$E$5:$E$1204=A69)*((Agenda!$H$5:$H$1204="Agendado")+(Agenda!$H$5:$H$1204="Confirmado"))))*1E+10))))</f>
        <v/>
      </c>
    </row>
    <row r="70">
      <c r="A70" s="36" t="inlineStr">
        <is>
          <t>Juliana Silva</t>
        </is>
      </c>
      <c r="B70" s="37" t="inlineStr">
        <is>
          <t>Vida Care</t>
        </is>
      </c>
      <c r="C70" s="37" t="inlineStr">
        <is>
          <t>Dra. Carolina Mendes</t>
        </is>
      </c>
      <c r="D70" s="36" t="inlineStr">
        <is>
          <t>(11) 90000-0132</t>
        </is>
      </c>
      <c r="E70" s="36" t="n"/>
      <c r="F70" s="29">
        <f>IF(A70="","",COUNTIFS(Agenda!$E$5:$E$1204,A70,Agenda!$H$5:$H$1204,"Realizado"))</f>
        <v>2</v>
      </c>
      <c r="G70" s="29">
        <f>IF(A70="","",COUNTIFS(Agenda!$E$5:$E$1204,A70,Agenda!$H$5:$H$1204,"Falta"))</f>
        <v>0</v>
      </c>
      <c r="H70" s="33">
        <f>IF(A70="","",IF(SUMPRODUCT(MAX((Agenda!$E$5:$E$1204=A70)*(Agenda!$H$5:$H$1204="Realizado")*Agenda!$A$5:$A$1204))=0,"",SUMPRODUCT(MAX((Agenda!$E$5:$E$1204=A70)*(Agenda!$H$5:$H$1204="Realizado")*Agenda!$A$5:$A$1204))))</f>
        <v>46275.0</v>
      </c>
      <c r="I70" s="33">
        <f>IF(A70="","",IF(SUMPRODUCT(MIN(((Agenda!$E$5:$E$1204=A70)*((Agenda!$H$5:$H$1204="Agendado")+(Agenda!$H$5:$H$1204="Confirmado")))*Agenda!$A$5:$A$1204+(1-((Agenda!$E$5:$E$1204=A70)*((Agenda!$H$5:$H$1204="Agendado")+(Agenda!$H$5:$H$1204="Confirmado"))))*1E+10))&gt;=1E+10,"",SUMPRODUCT(MIN(((Agenda!$E$5:$E$1204=A70)*((Agenda!$H$5:$H$1204="Agendado")+(Agenda!$H$5:$H$1204="Confirmado")))*Agenda!$A$5:$A$1204+(1-((Agenda!$E$5:$E$1204=A70)*((Agenda!$H$5:$H$1204="Agendado")+(Agenda!$H$5:$H$1204="Confirmado"))))*1E+10))))</f>
        <v>46279.0</v>
      </c>
    </row>
    <row r="71">
      <c r="A71" s="36" t="inlineStr">
        <is>
          <t>Larissa Costa</t>
        </is>
      </c>
      <c r="B71" s="37" t="inlineStr">
        <is>
          <t>Particular</t>
        </is>
      </c>
      <c r="C71" s="37" t="inlineStr">
        <is>
          <t>Dra. Carolina Mendes</t>
        </is>
      </c>
      <c r="D71" s="36" t="inlineStr">
        <is>
          <t>(11) 90000-0101</t>
        </is>
      </c>
      <c r="E71" s="36" t="n"/>
      <c r="F71" s="29">
        <f>IF(A71="","",COUNTIFS(Agenda!$E$5:$E$1204,A71,Agenda!$H$5:$H$1204,"Realizado"))</f>
        <v>7</v>
      </c>
      <c r="G71" s="29">
        <f>IF(A71="","",COUNTIFS(Agenda!$E$5:$E$1204,A71,Agenda!$H$5:$H$1204,"Falta"))</f>
        <v>0</v>
      </c>
      <c r="H71" s="33">
        <f>IF(A71="","",IF(SUMPRODUCT(MAX((Agenda!$E$5:$E$1204=A71)*(Agenda!$H$5:$H$1204="Realizado")*Agenda!$A$5:$A$1204))=0,"",SUMPRODUCT(MAX((Agenda!$E$5:$E$1204=A71)*(Agenda!$H$5:$H$1204="Realizado")*Agenda!$A$5:$A$1204))))</f>
        <v>46275.0</v>
      </c>
      <c r="I71" s="33">
        <f>IF(A71="","",IF(SUMPRODUCT(MIN(((Agenda!$E$5:$E$1204=A71)*((Agenda!$H$5:$H$1204="Agendado")+(Agenda!$H$5:$H$1204="Confirmado")))*Agenda!$A$5:$A$1204+(1-((Agenda!$E$5:$E$1204=A71)*((Agenda!$H$5:$H$1204="Agendado")+(Agenda!$H$5:$H$1204="Confirmado"))))*1E+10))&gt;=1E+10,"",SUMPRODUCT(MIN(((Agenda!$E$5:$E$1204=A71)*((Agenda!$H$5:$H$1204="Agendado")+(Agenda!$H$5:$H$1204="Confirmado")))*Agenda!$A$5:$A$1204+(1-((Agenda!$E$5:$E$1204=A71)*((Agenda!$H$5:$H$1204="Agendado")+(Agenda!$H$5:$H$1204="Confirmado"))))*1E+10))))</f>
        <v>46282.0</v>
      </c>
    </row>
    <row r="72">
      <c r="A72" s="36" t="inlineStr">
        <is>
          <t>Leandro Cardoso</t>
        </is>
      </c>
      <c r="B72" s="37" t="inlineStr">
        <is>
          <t>MediPlan</t>
        </is>
      </c>
      <c r="C72" s="37" t="inlineStr">
        <is>
          <t>Dr. Paulo Andrade</t>
        </is>
      </c>
      <c r="D72" s="36" t="inlineStr">
        <is>
          <t>(11) 90000-0188</t>
        </is>
      </c>
      <c r="E72" s="36" t="n"/>
      <c r="F72" s="29">
        <f>IF(A72="","",COUNTIFS(Agenda!$E$5:$E$1204,A72,Agenda!$H$5:$H$1204,"Realizado"))</f>
        <v>4</v>
      </c>
      <c r="G72" s="29">
        <f>IF(A72="","",COUNTIFS(Agenda!$E$5:$E$1204,A72,Agenda!$H$5:$H$1204,"Falta"))</f>
        <v>0</v>
      </c>
      <c r="H72" s="33">
        <f>IF(A72="","",IF(SUMPRODUCT(MAX((Agenda!$E$5:$E$1204=A72)*(Agenda!$H$5:$H$1204="Realizado")*Agenda!$A$5:$A$1204))=0,"",SUMPRODUCT(MAX((Agenda!$E$5:$E$1204=A72)*(Agenda!$H$5:$H$1204="Realizado")*Agenda!$A$5:$A$1204))))</f>
        <v>46265.0</v>
      </c>
      <c r="I72" s="33">
        <f>IF(A72="","",IF(SUMPRODUCT(MIN(((Agenda!$E$5:$E$1204=A72)*((Agenda!$H$5:$H$1204="Agendado")+(Agenda!$H$5:$H$1204="Confirmado")))*Agenda!$A$5:$A$1204+(1-((Agenda!$E$5:$E$1204=A72)*((Agenda!$H$5:$H$1204="Agendado")+(Agenda!$H$5:$H$1204="Confirmado"))))*1E+10))&gt;=1E+10,"",SUMPRODUCT(MIN(((Agenda!$E$5:$E$1204=A72)*((Agenda!$H$5:$H$1204="Agendado")+(Agenda!$H$5:$H$1204="Confirmado")))*Agenda!$A$5:$A$1204+(1-((Agenda!$E$5:$E$1204=A72)*((Agenda!$H$5:$H$1204="Agendado")+(Agenda!$H$5:$H$1204="Confirmado"))))*1E+10))))</f>
        <v>46283.0</v>
      </c>
    </row>
    <row r="73">
      <c r="A73" s="36" t="inlineStr">
        <is>
          <t>Leandro Ferreira</t>
        </is>
      </c>
      <c r="B73" s="37" t="inlineStr">
        <is>
          <t>Saúde Total</t>
        </is>
      </c>
      <c r="C73" s="37" t="inlineStr">
        <is>
          <t>Dr. Paulo Andrade</t>
        </is>
      </c>
      <c r="D73" s="36" t="inlineStr">
        <is>
          <t>(11) 90000-0173</t>
        </is>
      </c>
      <c r="E73" s="36" t="n"/>
      <c r="F73" s="29">
        <f>IF(A73="","",COUNTIFS(Agenda!$E$5:$E$1204,A73,Agenda!$H$5:$H$1204,"Realizado"))</f>
        <v>1</v>
      </c>
      <c r="G73" s="29">
        <f>IF(A73="","",COUNTIFS(Agenda!$E$5:$E$1204,A73,Agenda!$H$5:$H$1204,"Falta"))</f>
        <v>0</v>
      </c>
      <c r="H73" s="33">
        <f>IF(A73="","",IF(SUMPRODUCT(MAX((Agenda!$E$5:$E$1204=A73)*(Agenda!$H$5:$H$1204="Realizado")*Agenda!$A$5:$A$1204))=0,"",SUMPRODUCT(MAX((Agenda!$E$5:$E$1204=A73)*(Agenda!$H$5:$H$1204="Realizado")*Agenda!$A$5:$A$1204))))</f>
        <v>46212.0</v>
      </c>
      <c r="I73" s="33">
        <f>IF(A73="","",IF(SUMPRODUCT(MIN(((Agenda!$E$5:$E$1204=A73)*((Agenda!$H$5:$H$1204="Agendado")+(Agenda!$H$5:$H$1204="Confirmado")))*Agenda!$A$5:$A$1204+(1-((Agenda!$E$5:$E$1204=A73)*((Agenda!$H$5:$H$1204="Agendado")+(Agenda!$H$5:$H$1204="Confirmado"))))*1E+10))&gt;=1E+10,"",SUMPRODUCT(MIN(((Agenda!$E$5:$E$1204=A73)*((Agenda!$H$5:$H$1204="Agendado")+(Agenda!$H$5:$H$1204="Confirmado")))*Agenda!$A$5:$A$1204+(1-((Agenda!$E$5:$E$1204=A73)*((Agenda!$H$5:$H$1204="Agendado")+(Agenda!$H$5:$H$1204="Confirmado"))))*1E+10))))</f>
        <v>46296.0</v>
      </c>
    </row>
    <row r="74">
      <c r="A74" s="36" t="inlineStr">
        <is>
          <t>Leandro Gomes</t>
        </is>
      </c>
      <c r="B74" s="37" t="inlineStr">
        <is>
          <t>Saúde Total</t>
        </is>
      </c>
      <c r="C74" s="37" t="inlineStr">
        <is>
          <t>Dra. Carolina Mendes</t>
        </is>
      </c>
      <c r="D74" s="36" t="inlineStr">
        <is>
          <t>(11) 90000-0164</t>
        </is>
      </c>
      <c r="E74" s="36" t="n"/>
      <c r="F74" s="29">
        <f>IF(A74="","",COUNTIFS(Agenda!$E$5:$E$1204,A74,Agenda!$H$5:$H$1204,"Realizado"))</f>
        <v>1</v>
      </c>
      <c r="G74" s="29">
        <f>IF(A74="","",COUNTIFS(Agenda!$E$5:$E$1204,A74,Agenda!$H$5:$H$1204,"Falta"))</f>
        <v>0</v>
      </c>
      <c r="H74" s="33">
        <f>IF(A74="","",IF(SUMPRODUCT(MAX((Agenda!$E$5:$E$1204=A74)*(Agenda!$H$5:$H$1204="Realizado")*Agenda!$A$5:$A$1204))=0,"",SUMPRODUCT(MAX((Agenda!$E$5:$E$1204=A74)*(Agenda!$H$5:$H$1204="Realizado")*Agenda!$A$5:$A$1204))))</f>
        <v>46247.0</v>
      </c>
      <c r="I74" s="33">
        <f>IF(A74="","",IF(SUMPRODUCT(MIN(((Agenda!$E$5:$E$1204=A74)*((Agenda!$H$5:$H$1204="Agendado")+(Agenda!$H$5:$H$1204="Confirmado")))*Agenda!$A$5:$A$1204+(1-((Agenda!$E$5:$E$1204=A74)*((Agenda!$H$5:$H$1204="Agendado")+(Agenda!$H$5:$H$1204="Confirmado"))))*1E+10))&gt;=1E+10,"",SUMPRODUCT(MIN(((Agenda!$E$5:$E$1204=A74)*((Agenda!$H$5:$H$1204="Agendado")+(Agenda!$H$5:$H$1204="Confirmado")))*Agenda!$A$5:$A$1204+(1-((Agenda!$E$5:$E$1204=A74)*((Agenda!$H$5:$H$1204="Agendado")+(Agenda!$H$5:$H$1204="Confirmado"))))*1E+10))))</f>
        <v>46300.0</v>
      </c>
    </row>
    <row r="75">
      <c r="A75" s="36" t="inlineStr">
        <is>
          <t>Leandro Oliveira</t>
        </is>
      </c>
      <c r="B75" s="37" t="inlineStr">
        <is>
          <t>Particular</t>
        </is>
      </c>
      <c r="C75" s="37" t="inlineStr">
        <is>
          <t>Dra. Carolina Mendes</t>
        </is>
      </c>
      <c r="D75" s="36" t="inlineStr">
        <is>
          <t>(11) 90000-0122</t>
        </is>
      </c>
      <c r="E75" s="36" t="n"/>
      <c r="F75" s="29">
        <f>IF(A75="","",COUNTIFS(Agenda!$E$5:$E$1204,A75,Agenda!$H$5:$H$1204,"Realizado"))</f>
        <v>0</v>
      </c>
      <c r="G75" s="29">
        <f>IF(A75="","",COUNTIFS(Agenda!$E$5:$E$1204,A75,Agenda!$H$5:$H$1204,"Falta"))</f>
        <v>0</v>
      </c>
      <c r="H75" s="33">
        <f>IF(A75="","",IF(SUMPRODUCT(MAX((Agenda!$E$5:$E$1204=A75)*(Agenda!$H$5:$H$1204="Realizado")*Agenda!$A$5:$A$1204))=0,"",SUMPRODUCT(MAX((Agenda!$E$5:$E$1204=A75)*(Agenda!$H$5:$H$1204="Realizado")*Agenda!$A$5:$A$1204))))</f>
        <v/>
      </c>
      <c r="I75" s="33">
        <f>IF(A75="","",IF(SUMPRODUCT(MIN(((Agenda!$E$5:$E$1204=A75)*((Agenda!$H$5:$H$1204="Agendado")+(Agenda!$H$5:$H$1204="Confirmado")))*Agenda!$A$5:$A$1204+(1-((Agenda!$E$5:$E$1204=A75)*((Agenda!$H$5:$H$1204="Agendado")+(Agenda!$H$5:$H$1204="Confirmado"))))*1E+10))&gt;=1E+10,"",SUMPRODUCT(MIN(((Agenda!$E$5:$E$1204=A75)*((Agenda!$H$5:$H$1204="Agendado")+(Agenda!$H$5:$H$1204="Confirmado")))*Agenda!$A$5:$A$1204+(1-((Agenda!$E$5:$E$1204=A75)*((Agenda!$H$5:$H$1204="Agendado")+(Agenda!$H$5:$H$1204="Confirmado"))))*1E+10))))</f>
        <v>46287.0</v>
      </c>
    </row>
    <row r="76">
      <c r="A76" s="36" t="inlineStr">
        <is>
          <t>Letícia Vieira</t>
        </is>
      </c>
      <c r="B76" s="37" t="inlineStr">
        <is>
          <t>Saúde Total</t>
        </is>
      </c>
      <c r="C76" s="37" t="inlineStr">
        <is>
          <t>Dra. Carolina Mendes</t>
        </is>
      </c>
      <c r="D76" s="36" t="inlineStr">
        <is>
          <t>(11) 90000-0128</t>
        </is>
      </c>
      <c r="E76" s="36" t="n"/>
      <c r="F76" s="29">
        <f>IF(A76="","",COUNTIFS(Agenda!$E$5:$E$1204,A76,Agenda!$H$5:$H$1204,"Realizado"))</f>
        <v>5</v>
      </c>
      <c r="G76" s="29">
        <f>IF(A76="","",COUNTIFS(Agenda!$E$5:$E$1204,A76,Agenda!$H$5:$H$1204,"Falta"))</f>
        <v>0</v>
      </c>
      <c r="H76" s="33">
        <f>IF(A76="","",IF(SUMPRODUCT(MAX((Agenda!$E$5:$E$1204=A76)*(Agenda!$H$5:$H$1204="Realizado")*Agenda!$A$5:$A$1204))=0,"",SUMPRODUCT(MAX((Agenda!$E$5:$E$1204=A76)*(Agenda!$H$5:$H$1204="Realizado")*Agenda!$A$5:$A$1204))))</f>
        <v>46251.0</v>
      </c>
      <c r="I76" s="33">
        <f>IF(A76="","",IF(SUMPRODUCT(MIN(((Agenda!$E$5:$E$1204=A76)*((Agenda!$H$5:$H$1204="Agendado")+(Agenda!$H$5:$H$1204="Confirmado")))*Agenda!$A$5:$A$1204+(1-((Agenda!$E$5:$E$1204=A76)*((Agenda!$H$5:$H$1204="Agendado")+(Agenda!$H$5:$H$1204="Confirmado"))))*1E+10))&gt;=1E+10,"",SUMPRODUCT(MIN(((Agenda!$E$5:$E$1204=A76)*((Agenda!$H$5:$H$1204="Agendado")+(Agenda!$H$5:$H$1204="Confirmado")))*Agenda!$A$5:$A$1204+(1-((Agenda!$E$5:$E$1204=A76)*((Agenda!$H$5:$H$1204="Agendado")+(Agenda!$H$5:$H$1204="Confirmado"))))*1E+10))))</f>
        <v>46280.0</v>
      </c>
    </row>
    <row r="77">
      <c r="A77" s="36" t="inlineStr">
        <is>
          <t>Lucas Cardoso</t>
        </is>
      </c>
      <c r="B77" s="37" t="inlineStr">
        <is>
          <t>Particular</t>
        </is>
      </c>
      <c r="C77" s="37" t="inlineStr">
        <is>
          <t>Dr. Paulo Andrade</t>
        </is>
      </c>
      <c r="D77" s="36" t="inlineStr">
        <is>
          <t>(11) 90000-0180</t>
        </is>
      </c>
      <c r="E77" s="36" t="n"/>
      <c r="F77" s="29">
        <f>IF(A77="","",COUNTIFS(Agenda!$E$5:$E$1204,A77,Agenda!$H$5:$H$1204,"Realizado"))</f>
        <v>4</v>
      </c>
      <c r="G77" s="29">
        <f>IF(A77="","",COUNTIFS(Agenda!$E$5:$E$1204,A77,Agenda!$H$5:$H$1204,"Falta"))</f>
        <v>1</v>
      </c>
      <c r="H77" s="33">
        <f>IF(A77="","",IF(SUMPRODUCT(MAX((Agenda!$E$5:$E$1204=A77)*(Agenda!$H$5:$H$1204="Realizado")*Agenda!$A$5:$A$1204))=0,"",SUMPRODUCT(MAX((Agenda!$E$5:$E$1204=A77)*(Agenda!$H$5:$H$1204="Realizado")*Agenda!$A$5:$A$1204))))</f>
        <v>46259.0</v>
      </c>
      <c r="I77" s="33">
        <f>IF(A77="","",IF(SUMPRODUCT(MIN(((Agenda!$E$5:$E$1204=A77)*((Agenda!$H$5:$H$1204="Agendado")+(Agenda!$H$5:$H$1204="Confirmado")))*Agenda!$A$5:$A$1204+(1-((Agenda!$E$5:$E$1204=A77)*((Agenda!$H$5:$H$1204="Agendado")+(Agenda!$H$5:$H$1204="Confirmado"))))*1E+10))&gt;=1E+10,"",SUMPRODUCT(MIN(((Agenda!$E$5:$E$1204=A77)*((Agenda!$H$5:$H$1204="Agendado")+(Agenda!$H$5:$H$1204="Confirmado")))*Agenda!$A$5:$A$1204+(1-((Agenda!$E$5:$E$1204=A77)*((Agenda!$H$5:$H$1204="Agendado")+(Agenda!$H$5:$H$1204="Confirmado"))))*1E+10))))</f>
        <v>46280.0</v>
      </c>
    </row>
    <row r="78">
      <c r="A78" s="36" t="inlineStr">
        <is>
          <t>Lucas Lopes</t>
        </is>
      </c>
      <c r="B78" s="37" t="inlineStr">
        <is>
          <t>Particular</t>
        </is>
      </c>
      <c r="C78" s="37" t="inlineStr">
        <is>
          <t>Dra. Carolina Mendes</t>
        </is>
      </c>
      <c r="D78" s="36" t="inlineStr">
        <is>
          <t>(11) 90000-0119</t>
        </is>
      </c>
      <c r="E78" s="36" t="n"/>
      <c r="F78" s="29">
        <f>IF(A78="","",COUNTIFS(Agenda!$E$5:$E$1204,A78,Agenda!$H$5:$H$1204,"Realizado"))</f>
        <v>5</v>
      </c>
      <c r="G78" s="29">
        <f>IF(A78="","",COUNTIFS(Agenda!$E$5:$E$1204,A78,Agenda!$H$5:$H$1204,"Falta"))</f>
        <v>0</v>
      </c>
      <c r="H78" s="33">
        <f>IF(A78="","",IF(SUMPRODUCT(MAX((Agenda!$E$5:$E$1204=A78)*(Agenda!$H$5:$H$1204="Realizado")*Agenda!$A$5:$A$1204))=0,"",SUMPRODUCT(MAX((Agenda!$E$5:$E$1204=A78)*(Agenda!$H$5:$H$1204="Realizado")*Agenda!$A$5:$A$1204))))</f>
        <v>46231.0</v>
      </c>
      <c r="I78" s="33">
        <f>IF(A78="","",IF(SUMPRODUCT(MIN(((Agenda!$E$5:$E$1204=A78)*((Agenda!$H$5:$H$1204="Agendado")+(Agenda!$H$5:$H$1204="Confirmado")))*Agenda!$A$5:$A$1204+(1-((Agenda!$E$5:$E$1204=A78)*((Agenda!$H$5:$H$1204="Agendado")+(Agenda!$H$5:$H$1204="Confirmado"))))*1E+10))&gt;=1E+10,"",SUMPRODUCT(MIN(((Agenda!$E$5:$E$1204=A78)*((Agenda!$H$5:$H$1204="Agendado")+(Agenda!$H$5:$H$1204="Confirmado")))*Agenda!$A$5:$A$1204+(1-((Agenda!$E$5:$E$1204=A78)*((Agenda!$H$5:$H$1204="Agendado")+(Agenda!$H$5:$H$1204="Confirmado"))))*1E+10))))</f>
        <v>46296.0</v>
      </c>
    </row>
    <row r="79">
      <c r="A79" s="36" t="inlineStr">
        <is>
          <t>Lucas Xavier</t>
        </is>
      </c>
      <c r="B79" s="37" t="inlineStr">
        <is>
          <t>Saúde Total</t>
        </is>
      </c>
      <c r="C79" s="37" t="inlineStr">
        <is>
          <t>Dra. Carolina Mendes</t>
        </is>
      </c>
      <c r="D79" s="36" t="inlineStr">
        <is>
          <t>(11) 90000-0148</t>
        </is>
      </c>
      <c r="E79" s="36" t="n"/>
      <c r="F79" s="29">
        <f>IF(A79="","",COUNTIFS(Agenda!$E$5:$E$1204,A79,Agenda!$H$5:$H$1204,"Realizado"))</f>
        <v>2</v>
      </c>
      <c r="G79" s="29">
        <f>IF(A79="","",COUNTIFS(Agenda!$E$5:$E$1204,A79,Agenda!$H$5:$H$1204,"Falta"))</f>
        <v>0</v>
      </c>
      <c r="H79" s="33">
        <f>IF(A79="","",IF(SUMPRODUCT(MAX((Agenda!$E$5:$E$1204=A79)*(Agenda!$H$5:$H$1204="Realizado")*Agenda!$A$5:$A$1204))=0,"",SUMPRODUCT(MAX((Agenda!$E$5:$E$1204=A79)*(Agenda!$H$5:$H$1204="Realizado")*Agenda!$A$5:$A$1204))))</f>
        <v>46265.0</v>
      </c>
      <c r="I79" s="33">
        <f>IF(A79="","",IF(SUMPRODUCT(MIN(((Agenda!$E$5:$E$1204=A79)*((Agenda!$H$5:$H$1204="Agendado")+(Agenda!$H$5:$H$1204="Confirmado")))*Agenda!$A$5:$A$1204+(1-((Agenda!$E$5:$E$1204=A79)*((Agenda!$H$5:$H$1204="Agendado")+(Agenda!$H$5:$H$1204="Confirmado"))))*1E+10))&gt;=1E+10,"",SUMPRODUCT(MIN(((Agenda!$E$5:$E$1204=A79)*((Agenda!$H$5:$H$1204="Agendado")+(Agenda!$H$5:$H$1204="Confirmado")))*Agenda!$A$5:$A$1204+(1-((Agenda!$E$5:$E$1204=A79)*((Agenda!$H$5:$H$1204="Agendado")+(Agenda!$H$5:$H$1204="Confirmado"))))*1E+10))))</f>
        <v/>
      </c>
    </row>
    <row r="80">
      <c r="A80" s="36" t="inlineStr">
        <is>
          <t>Marcelo Ferreira</t>
        </is>
      </c>
      <c r="B80" s="37" t="inlineStr">
        <is>
          <t>Particular</t>
        </is>
      </c>
      <c r="C80" s="37" t="inlineStr">
        <is>
          <t>Dr. Paulo Andrade</t>
        </is>
      </c>
      <c r="D80" s="36" t="inlineStr">
        <is>
          <t>(11) 90000-0175</t>
        </is>
      </c>
      <c r="E80" s="36" t="n"/>
      <c r="F80" s="29">
        <f>IF(A80="","",COUNTIFS(Agenda!$E$5:$E$1204,A80,Agenda!$H$5:$H$1204,"Realizado"))</f>
        <v>5</v>
      </c>
      <c r="G80" s="29">
        <f>IF(A80="","",COUNTIFS(Agenda!$E$5:$E$1204,A80,Agenda!$H$5:$H$1204,"Falta"))</f>
        <v>0</v>
      </c>
      <c r="H80" s="33">
        <f>IF(A80="","",IF(SUMPRODUCT(MAX((Agenda!$E$5:$E$1204=A80)*(Agenda!$H$5:$H$1204="Realizado")*Agenda!$A$5:$A$1204))=0,"",SUMPRODUCT(MAX((Agenda!$E$5:$E$1204=A80)*(Agenda!$H$5:$H$1204="Realizado")*Agenda!$A$5:$A$1204))))</f>
        <v>46265.0</v>
      </c>
      <c r="I80" s="33">
        <f>IF(A80="","",IF(SUMPRODUCT(MIN(((Agenda!$E$5:$E$1204=A80)*((Agenda!$H$5:$H$1204="Agendado")+(Agenda!$H$5:$H$1204="Confirmado")))*Agenda!$A$5:$A$1204+(1-((Agenda!$E$5:$E$1204=A80)*((Agenda!$H$5:$H$1204="Agendado")+(Agenda!$H$5:$H$1204="Confirmado"))))*1E+10))&gt;=1E+10,"",SUMPRODUCT(MIN(((Agenda!$E$5:$E$1204=A80)*((Agenda!$H$5:$H$1204="Agendado")+(Agenda!$H$5:$H$1204="Confirmado")))*Agenda!$A$5:$A$1204+(1-((Agenda!$E$5:$E$1204=A80)*((Agenda!$H$5:$H$1204="Agendado")+(Agenda!$H$5:$H$1204="Confirmado"))))*1E+10))))</f>
        <v>46283.0</v>
      </c>
    </row>
    <row r="81">
      <c r="A81" s="36" t="inlineStr">
        <is>
          <t>Marcelo Moreira</t>
        </is>
      </c>
      <c r="B81" s="37" t="inlineStr">
        <is>
          <t>Particular</t>
        </is>
      </c>
      <c r="C81" s="37" t="inlineStr">
        <is>
          <t>Dra. Carolina Mendes</t>
        </is>
      </c>
      <c r="D81" s="36" t="inlineStr">
        <is>
          <t>(11) 90000-0152</t>
        </is>
      </c>
      <c r="E81" s="36" t="n"/>
      <c r="F81" s="29">
        <f>IF(A81="","",COUNTIFS(Agenda!$E$5:$E$1204,A81,Agenda!$H$5:$H$1204,"Realizado"))</f>
        <v>2</v>
      </c>
      <c r="G81" s="29">
        <f>IF(A81="","",COUNTIFS(Agenda!$E$5:$E$1204,A81,Agenda!$H$5:$H$1204,"Falta"))</f>
        <v>0</v>
      </c>
      <c r="H81" s="33">
        <f>IF(A81="","",IF(SUMPRODUCT(MAX((Agenda!$E$5:$E$1204=A81)*(Agenda!$H$5:$H$1204="Realizado")*Agenda!$A$5:$A$1204))=0,"",SUMPRODUCT(MAX((Agenda!$E$5:$E$1204=A81)*(Agenda!$H$5:$H$1204="Realizado")*Agenda!$A$5:$A$1204))))</f>
        <v>46244.0</v>
      </c>
      <c r="I81" s="33">
        <f>IF(A81="","",IF(SUMPRODUCT(MIN(((Agenda!$E$5:$E$1204=A81)*((Agenda!$H$5:$H$1204="Agendado")+(Agenda!$H$5:$H$1204="Confirmado")))*Agenda!$A$5:$A$1204+(1-((Agenda!$E$5:$E$1204=A81)*((Agenda!$H$5:$H$1204="Agendado")+(Agenda!$H$5:$H$1204="Confirmado"))))*1E+10))&gt;=1E+10,"",SUMPRODUCT(MIN(((Agenda!$E$5:$E$1204=A81)*((Agenda!$H$5:$H$1204="Agendado")+(Agenda!$H$5:$H$1204="Confirmado")))*Agenda!$A$5:$A$1204+(1-((Agenda!$E$5:$E$1204=A81)*((Agenda!$H$5:$H$1204="Agendado")+(Agenda!$H$5:$H$1204="Confirmado"))))*1E+10))))</f>
        <v/>
      </c>
    </row>
    <row r="82">
      <c r="A82" s="36" t="inlineStr">
        <is>
          <t>Marcelo Santos</t>
        </is>
      </c>
      <c r="B82" s="37" t="inlineStr">
        <is>
          <t>Particular</t>
        </is>
      </c>
      <c r="C82" s="37" t="inlineStr">
        <is>
          <t>Dra. Carolina Mendes</t>
        </is>
      </c>
      <c r="D82" s="36" t="inlineStr">
        <is>
          <t>(11) 90000-0140</t>
        </is>
      </c>
      <c r="E82" s="36" t="n"/>
      <c r="F82" s="29">
        <f>IF(A82="","",COUNTIFS(Agenda!$E$5:$E$1204,A82,Agenda!$H$5:$H$1204,"Realizado"))</f>
        <v>8</v>
      </c>
      <c r="G82" s="29">
        <f>IF(A82="","",COUNTIFS(Agenda!$E$5:$E$1204,A82,Agenda!$H$5:$H$1204,"Falta"))</f>
        <v>1</v>
      </c>
      <c r="H82" s="33">
        <f>IF(A82="","",IF(SUMPRODUCT(MAX((Agenda!$E$5:$E$1204=A82)*(Agenda!$H$5:$H$1204="Realizado")*Agenda!$A$5:$A$1204))=0,"",SUMPRODUCT(MAX((Agenda!$E$5:$E$1204=A82)*(Agenda!$H$5:$H$1204="Realizado")*Agenda!$A$5:$A$1204))))</f>
        <v>46268.0</v>
      </c>
      <c r="I82" s="33">
        <f>IF(A82="","",IF(SUMPRODUCT(MIN(((Agenda!$E$5:$E$1204=A82)*((Agenda!$H$5:$H$1204="Agendado")+(Agenda!$H$5:$H$1204="Confirmado")))*Agenda!$A$5:$A$1204+(1-((Agenda!$E$5:$E$1204=A82)*((Agenda!$H$5:$H$1204="Agendado")+(Agenda!$H$5:$H$1204="Confirmado"))))*1E+10))&gt;=1E+10,"",SUMPRODUCT(MIN(((Agenda!$E$5:$E$1204=A82)*((Agenda!$H$5:$H$1204="Agendado")+(Agenda!$H$5:$H$1204="Confirmado")))*Agenda!$A$5:$A$1204+(1-((Agenda!$E$5:$E$1204=A82)*((Agenda!$H$5:$H$1204="Agendado")+(Agenda!$H$5:$H$1204="Confirmado"))))*1E+10))))</f>
        <v>46279.0</v>
      </c>
    </row>
    <row r="83">
      <c r="A83" s="36" t="inlineStr">
        <is>
          <t>Mariana Gomes</t>
        </is>
      </c>
      <c r="B83" s="37" t="inlineStr">
        <is>
          <t>Particular</t>
        </is>
      </c>
      <c r="C83" s="37" t="inlineStr">
        <is>
          <t>Dra. Renata Sousa</t>
        </is>
      </c>
      <c r="D83" s="36" t="inlineStr">
        <is>
          <t>(11) 90000-0238</t>
        </is>
      </c>
      <c r="E83" s="36" t="n"/>
      <c r="F83" s="29">
        <f>IF(A83="","",COUNTIFS(Agenda!$E$5:$E$1204,A83,Agenda!$H$5:$H$1204,"Realizado"))</f>
        <v>0</v>
      </c>
      <c r="G83" s="29">
        <f>IF(A83="","",COUNTIFS(Agenda!$E$5:$E$1204,A83,Agenda!$H$5:$H$1204,"Falta"))</f>
        <v>0</v>
      </c>
      <c r="H83" s="33">
        <f>IF(A83="","",IF(SUMPRODUCT(MAX((Agenda!$E$5:$E$1204=A83)*(Agenda!$H$5:$H$1204="Realizado")*Agenda!$A$5:$A$1204))=0,"",SUMPRODUCT(MAX((Agenda!$E$5:$E$1204=A83)*(Agenda!$H$5:$H$1204="Realizado")*Agenda!$A$5:$A$1204))))</f>
        <v/>
      </c>
      <c r="I83" s="33">
        <f>IF(A83="","",IF(SUMPRODUCT(MIN(((Agenda!$E$5:$E$1204=A83)*((Agenda!$H$5:$H$1204="Agendado")+(Agenda!$H$5:$H$1204="Confirmado")))*Agenda!$A$5:$A$1204+(1-((Agenda!$E$5:$E$1204=A83)*((Agenda!$H$5:$H$1204="Agendado")+(Agenda!$H$5:$H$1204="Confirmado"))))*1E+10))&gt;=1E+10,"",SUMPRODUCT(MIN(((Agenda!$E$5:$E$1204=A83)*((Agenda!$H$5:$H$1204="Agendado")+(Agenda!$H$5:$H$1204="Confirmado")))*Agenda!$A$5:$A$1204+(1-((Agenda!$E$5:$E$1204=A83)*((Agenda!$H$5:$H$1204="Agendado")+(Agenda!$H$5:$H$1204="Confirmado"))))*1E+10))))</f>
        <v>46296.0</v>
      </c>
    </row>
    <row r="84">
      <c r="A84" s="36" t="inlineStr">
        <is>
          <t>Mariana Nascimento</t>
        </is>
      </c>
      <c r="B84" s="37" t="inlineStr">
        <is>
          <t>Particular</t>
        </is>
      </c>
      <c r="C84" s="37" t="inlineStr">
        <is>
          <t>Dra. Carolina Mendes</t>
        </is>
      </c>
      <c r="D84" s="36" t="inlineStr">
        <is>
          <t>(11) 90000-0105</t>
        </is>
      </c>
      <c r="E84" s="36" t="n"/>
      <c r="F84" s="29">
        <f>IF(A84="","",COUNTIFS(Agenda!$E$5:$E$1204,A84,Agenda!$H$5:$H$1204,"Realizado"))</f>
        <v>7</v>
      </c>
      <c r="G84" s="29">
        <f>IF(A84="","",COUNTIFS(Agenda!$E$5:$E$1204,A84,Agenda!$H$5:$H$1204,"Falta"))</f>
        <v>3</v>
      </c>
      <c r="H84" s="33">
        <f>IF(A84="","",IF(SUMPRODUCT(MAX((Agenda!$E$5:$E$1204=A84)*(Agenda!$H$5:$H$1204="Realizado")*Agenda!$A$5:$A$1204))=0,"",SUMPRODUCT(MAX((Agenda!$E$5:$E$1204=A84)*(Agenda!$H$5:$H$1204="Realizado")*Agenda!$A$5:$A$1204))))</f>
        <v>46273.0</v>
      </c>
      <c r="I84" s="33">
        <f>IF(A84="","",IF(SUMPRODUCT(MIN(((Agenda!$E$5:$E$1204=A84)*((Agenda!$H$5:$H$1204="Agendado")+(Agenda!$H$5:$H$1204="Confirmado")))*Agenda!$A$5:$A$1204+(1-((Agenda!$E$5:$E$1204=A84)*((Agenda!$H$5:$H$1204="Agendado")+(Agenda!$H$5:$H$1204="Confirmado"))))*1E+10))&gt;=1E+10,"",SUMPRODUCT(MIN(((Agenda!$E$5:$E$1204=A84)*((Agenda!$H$5:$H$1204="Agendado")+(Agenda!$H$5:$H$1204="Confirmado")))*Agenda!$A$5:$A$1204+(1-((Agenda!$E$5:$E$1204=A84)*((Agenda!$H$5:$H$1204="Agendado")+(Agenda!$H$5:$H$1204="Confirmado"))))*1E+10))))</f>
        <v>46279.0</v>
      </c>
    </row>
    <row r="85">
      <c r="A85" s="36" t="inlineStr">
        <is>
          <t>Mariana Reis</t>
        </is>
      </c>
      <c r="B85" s="37" t="inlineStr">
        <is>
          <t>Particular</t>
        </is>
      </c>
      <c r="C85" s="37" t="inlineStr">
        <is>
          <t>Dra. Renata Sousa</t>
        </is>
      </c>
      <c r="D85" s="36" t="inlineStr">
        <is>
          <t>(11) 90000-0229</t>
        </is>
      </c>
      <c r="E85" s="36" t="n"/>
      <c r="F85" s="29">
        <f>IF(A85="","",COUNTIFS(Agenda!$E$5:$E$1204,A85,Agenda!$H$5:$H$1204,"Realizado"))</f>
        <v>7</v>
      </c>
      <c r="G85" s="29">
        <f>IF(A85="","",COUNTIFS(Agenda!$E$5:$E$1204,A85,Agenda!$H$5:$H$1204,"Falta"))</f>
        <v>0</v>
      </c>
      <c r="H85" s="33">
        <f>IF(A85="","",IF(SUMPRODUCT(MAX((Agenda!$E$5:$E$1204=A85)*(Agenda!$H$5:$H$1204="Realizado")*Agenda!$A$5:$A$1204))=0,"",SUMPRODUCT(MAX((Agenda!$E$5:$E$1204=A85)*(Agenda!$H$5:$H$1204="Realizado")*Agenda!$A$5:$A$1204))))</f>
        <v>46266.0</v>
      </c>
      <c r="I85" s="33">
        <f>IF(A85="","",IF(SUMPRODUCT(MIN(((Agenda!$E$5:$E$1204=A85)*((Agenda!$H$5:$H$1204="Agendado")+(Agenda!$H$5:$H$1204="Confirmado")))*Agenda!$A$5:$A$1204+(1-((Agenda!$E$5:$E$1204=A85)*((Agenda!$H$5:$H$1204="Agendado")+(Agenda!$H$5:$H$1204="Confirmado"))))*1E+10))&gt;=1E+10,"",SUMPRODUCT(MIN(((Agenda!$E$5:$E$1204=A85)*((Agenda!$H$5:$H$1204="Agendado")+(Agenda!$H$5:$H$1204="Confirmado")))*Agenda!$A$5:$A$1204+(1-((Agenda!$E$5:$E$1204=A85)*((Agenda!$H$5:$H$1204="Agendado")+(Agenda!$H$5:$H$1204="Confirmado"))))*1E+10))))</f>
        <v/>
      </c>
    </row>
    <row r="86">
      <c r="A86" s="36" t="inlineStr">
        <is>
          <t>Mateus Dias</t>
        </is>
      </c>
      <c r="B86" s="37" t="inlineStr">
        <is>
          <t>Saúde Total</t>
        </is>
      </c>
      <c r="C86" s="37" t="inlineStr">
        <is>
          <t>Dr. Paulo Andrade</t>
        </is>
      </c>
      <c r="D86" s="36" t="inlineStr">
        <is>
          <t>(11) 90000-0206</t>
        </is>
      </c>
      <c r="E86" s="36" t="n"/>
      <c r="F86" s="29">
        <f>IF(A86="","",COUNTIFS(Agenda!$E$5:$E$1204,A86,Agenda!$H$5:$H$1204,"Realizado"))</f>
        <v>4</v>
      </c>
      <c r="G86" s="29">
        <f>IF(A86="","",COUNTIFS(Agenda!$E$5:$E$1204,A86,Agenda!$H$5:$H$1204,"Falta"))</f>
        <v>1</v>
      </c>
      <c r="H86" s="33">
        <f>IF(A86="","",IF(SUMPRODUCT(MAX((Agenda!$E$5:$E$1204=A86)*(Agenda!$H$5:$H$1204="Realizado")*Agenda!$A$5:$A$1204))=0,"",SUMPRODUCT(MAX((Agenda!$E$5:$E$1204=A86)*(Agenda!$H$5:$H$1204="Realizado")*Agenda!$A$5:$A$1204))))</f>
        <v>46266.0</v>
      </c>
      <c r="I86" s="33">
        <f>IF(A86="","",IF(SUMPRODUCT(MIN(((Agenda!$E$5:$E$1204=A86)*((Agenda!$H$5:$H$1204="Agendado")+(Agenda!$H$5:$H$1204="Confirmado")))*Agenda!$A$5:$A$1204+(1-((Agenda!$E$5:$E$1204=A86)*((Agenda!$H$5:$H$1204="Agendado")+(Agenda!$H$5:$H$1204="Confirmado"))))*1E+10))&gt;=1E+10,"",SUMPRODUCT(MIN(((Agenda!$E$5:$E$1204=A86)*((Agenda!$H$5:$H$1204="Agendado")+(Agenda!$H$5:$H$1204="Confirmado")))*Agenda!$A$5:$A$1204+(1-((Agenda!$E$5:$E$1204=A86)*((Agenda!$H$5:$H$1204="Agendado")+(Agenda!$H$5:$H$1204="Confirmado"))))*1E+10))))</f>
        <v>46289.0</v>
      </c>
    </row>
    <row r="87">
      <c r="A87" s="36" t="inlineStr">
        <is>
          <t>Mateus Lima</t>
        </is>
      </c>
      <c r="B87" s="37" t="inlineStr">
        <is>
          <t>MediPlan</t>
        </is>
      </c>
      <c r="C87" s="37" t="inlineStr">
        <is>
          <t>Dra. Carolina Mendes</t>
        </is>
      </c>
      <c r="D87" s="36" t="inlineStr">
        <is>
          <t>(11) 90000-0133</t>
        </is>
      </c>
      <c r="E87" s="36" t="n"/>
      <c r="F87" s="29">
        <f>IF(A87="","",COUNTIFS(Agenda!$E$5:$E$1204,A87,Agenda!$H$5:$H$1204,"Realizado"))</f>
        <v>6</v>
      </c>
      <c r="G87" s="29">
        <f>IF(A87="","",COUNTIFS(Agenda!$E$5:$E$1204,A87,Agenda!$H$5:$H$1204,"Falta"))</f>
        <v>1</v>
      </c>
      <c r="H87" s="33">
        <f>IF(A87="","",IF(SUMPRODUCT(MAX((Agenda!$E$5:$E$1204=A87)*(Agenda!$H$5:$H$1204="Realizado")*Agenda!$A$5:$A$1204))=0,"",SUMPRODUCT(MAX((Agenda!$E$5:$E$1204=A87)*(Agenda!$H$5:$H$1204="Realizado")*Agenda!$A$5:$A$1204))))</f>
        <v>46275.0</v>
      </c>
      <c r="I87" s="33">
        <f>IF(A87="","",IF(SUMPRODUCT(MIN(((Agenda!$E$5:$E$1204=A87)*((Agenda!$H$5:$H$1204="Agendado")+(Agenda!$H$5:$H$1204="Confirmado")))*Agenda!$A$5:$A$1204+(1-((Agenda!$E$5:$E$1204=A87)*((Agenda!$H$5:$H$1204="Agendado")+(Agenda!$H$5:$H$1204="Confirmado"))))*1E+10))&gt;=1E+10,"",SUMPRODUCT(MIN(((Agenda!$E$5:$E$1204=A87)*((Agenda!$H$5:$H$1204="Agendado")+(Agenda!$H$5:$H$1204="Confirmado")))*Agenda!$A$5:$A$1204+(1-((Agenda!$E$5:$E$1204=A87)*((Agenda!$H$5:$H$1204="Agendado")+(Agenda!$H$5:$H$1204="Confirmado"))))*1E+10))))</f>
        <v>46286.0</v>
      </c>
    </row>
    <row r="88">
      <c r="A88" s="36" t="inlineStr">
        <is>
          <t>Mateus Martins</t>
        </is>
      </c>
      <c r="B88" s="37" t="inlineStr">
        <is>
          <t>Vida Care</t>
        </is>
      </c>
      <c r="C88" s="37" t="inlineStr">
        <is>
          <t>Dr. Paulo Andrade</t>
        </is>
      </c>
      <c r="D88" s="36" t="inlineStr">
        <is>
          <t>(11) 90000-0179</t>
        </is>
      </c>
      <c r="E88" s="36" t="n"/>
      <c r="F88" s="29">
        <f>IF(A88="","",COUNTIFS(Agenda!$E$5:$E$1204,A88,Agenda!$H$5:$H$1204,"Realizado"))</f>
        <v>1</v>
      </c>
      <c r="G88" s="29">
        <f>IF(A88="","",COUNTIFS(Agenda!$E$5:$E$1204,A88,Agenda!$H$5:$H$1204,"Falta"))</f>
        <v>0</v>
      </c>
      <c r="H88" s="33">
        <f>IF(A88="","",IF(SUMPRODUCT(MAX((Agenda!$E$5:$E$1204=A88)*(Agenda!$H$5:$H$1204="Realizado")*Agenda!$A$5:$A$1204))=0,"",SUMPRODUCT(MAX((Agenda!$E$5:$E$1204=A88)*(Agenda!$H$5:$H$1204="Realizado")*Agenda!$A$5:$A$1204))))</f>
        <v>46262.0</v>
      </c>
      <c r="I88" s="33">
        <f>IF(A88="","",IF(SUMPRODUCT(MIN(((Agenda!$E$5:$E$1204=A88)*((Agenda!$H$5:$H$1204="Agendado")+(Agenda!$H$5:$H$1204="Confirmado")))*Agenda!$A$5:$A$1204+(1-((Agenda!$E$5:$E$1204=A88)*((Agenda!$H$5:$H$1204="Agendado")+(Agenda!$H$5:$H$1204="Confirmado"))))*1E+10))&gt;=1E+10,"",SUMPRODUCT(MIN(((Agenda!$E$5:$E$1204=A88)*((Agenda!$H$5:$H$1204="Agendado")+(Agenda!$H$5:$H$1204="Confirmado")))*Agenda!$A$5:$A$1204+(1-((Agenda!$E$5:$E$1204=A88)*((Agenda!$H$5:$H$1204="Agendado")+(Agenda!$H$5:$H$1204="Confirmado"))))*1E+10))))</f>
        <v>46279.0</v>
      </c>
    </row>
    <row r="89">
      <c r="A89" s="36" t="inlineStr">
        <is>
          <t>Márcia Duarte</t>
        </is>
      </c>
      <c r="B89" s="37" t="inlineStr">
        <is>
          <t>Particular</t>
        </is>
      </c>
      <c r="C89" s="37" t="inlineStr">
        <is>
          <t>Dra. Renata Sousa</t>
        </is>
      </c>
      <c r="D89" s="36" t="inlineStr">
        <is>
          <t>(11) 90000-0230</t>
        </is>
      </c>
      <c r="E89" s="36" t="n"/>
      <c r="F89" s="29">
        <f>IF(A89="","",COUNTIFS(Agenda!$E$5:$E$1204,A89,Agenda!$H$5:$H$1204,"Realizado"))</f>
        <v>3</v>
      </c>
      <c r="G89" s="29">
        <f>IF(A89="","",COUNTIFS(Agenda!$E$5:$E$1204,A89,Agenda!$H$5:$H$1204,"Falta"))</f>
        <v>0</v>
      </c>
      <c r="H89" s="33">
        <f>IF(A89="","",IF(SUMPRODUCT(MAX((Agenda!$E$5:$E$1204=A89)*(Agenda!$H$5:$H$1204="Realizado")*Agenda!$A$5:$A$1204))=0,"",SUMPRODUCT(MAX((Agenda!$E$5:$E$1204=A89)*(Agenda!$H$5:$H$1204="Realizado")*Agenda!$A$5:$A$1204))))</f>
        <v>46233.0</v>
      </c>
      <c r="I89" s="33">
        <f>IF(A89="","",IF(SUMPRODUCT(MIN(((Agenda!$E$5:$E$1204=A89)*((Agenda!$H$5:$H$1204="Agendado")+(Agenda!$H$5:$H$1204="Confirmado")))*Agenda!$A$5:$A$1204+(1-((Agenda!$E$5:$E$1204=A89)*((Agenda!$H$5:$H$1204="Agendado")+(Agenda!$H$5:$H$1204="Confirmado"))))*1E+10))&gt;=1E+10,"",SUMPRODUCT(MIN(((Agenda!$E$5:$E$1204=A89)*((Agenda!$H$5:$H$1204="Agendado")+(Agenda!$H$5:$H$1204="Confirmado")))*Agenda!$A$5:$A$1204+(1-((Agenda!$E$5:$E$1204=A89)*((Agenda!$H$5:$H$1204="Agendado")+(Agenda!$H$5:$H$1204="Confirmado"))))*1E+10))))</f>
        <v/>
      </c>
    </row>
    <row r="90">
      <c r="A90" s="36" t="inlineStr">
        <is>
          <t>Mônica Almeida</t>
        </is>
      </c>
      <c r="B90" s="37" t="inlineStr">
        <is>
          <t>Particular</t>
        </is>
      </c>
      <c r="C90" s="37" t="inlineStr">
        <is>
          <t>Dra. Renata Sousa</t>
        </is>
      </c>
      <c r="D90" s="36" t="inlineStr">
        <is>
          <t>(11) 90000-0246</t>
        </is>
      </c>
      <c r="E90" s="36" t="n"/>
      <c r="F90" s="29">
        <f>IF(A90="","",COUNTIFS(Agenda!$E$5:$E$1204,A90,Agenda!$H$5:$H$1204,"Realizado"))</f>
        <v>3</v>
      </c>
      <c r="G90" s="29">
        <f>IF(A90="","",COUNTIFS(Agenda!$E$5:$E$1204,A90,Agenda!$H$5:$H$1204,"Falta"))</f>
        <v>0</v>
      </c>
      <c r="H90" s="33">
        <f>IF(A90="","",IF(SUMPRODUCT(MAX((Agenda!$E$5:$E$1204=A90)*(Agenda!$H$5:$H$1204="Realizado")*Agenda!$A$5:$A$1204))=0,"",SUMPRODUCT(MAX((Agenda!$E$5:$E$1204=A90)*(Agenda!$H$5:$H$1204="Realizado")*Agenda!$A$5:$A$1204))))</f>
        <v>46275.0</v>
      </c>
      <c r="I90" s="33">
        <f>IF(A90="","",IF(SUMPRODUCT(MIN(((Agenda!$E$5:$E$1204=A90)*((Agenda!$H$5:$H$1204="Agendado")+(Agenda!$H$5:$H$1204="Confirmado")))*Agenda!$A$5:$A$1204+(1-((Agenda!$E$5:$E$1204=A90)*((Agenda!$H$5:$H$1204="Agendado")+(Agenda!$H$5:$H$1204="Confirmado"))))*1E+10))&gt;=1E+10,"",SUMPRODUCT(MIN(((Agenda!$E$5:$E$1204=A90)*((Agenda!$H$5:$H$1204="Agendado")+(Agenda!$H$5:$H$1204="Confirmado")))*Agenda!$A$5:$A$1204+(1-((Agenda!$E$5:$E$1204=A90)*((Agenda!$H$5:$H$1204="Agendado")+(Agenda!$H$5:$H$1204="Confirmado"))))*1E+10))))</f>
        <v>46282.0</v>
      </c>
    </row>
    <row r="91">
      <c r="A91" s="36" t="inlineStr">
        <is>
          <t>Mônica Batista</t>
        </is>
      </c>
      <c r="B91" s="37" t="inlineStr">
        <is>
          <t>MediPlan</t>
        </is>
      </c>
      <c r="C91" s="37" t="inlineStr">
        <is>
          <t>Dra. Carolina Mendes</t>
        </is>
      </c>
      <c r="D91" s="36" t="inlineStr">
        <is>
          <t>(11) 90000-0129</t>
        </is>
      </c>
      <c r="E91" s="36" t="n"/>
      <c r="F91" s="29">
        <f>IF(A91="","",COUNTIFS(Agenda!$E$5:$E$1204,A91,Agenda!$H$5:$H$1204,"Realizado"))</f>
        <v>8</v>
      </c>
      <c r="G91" s="29">
        <f>IF(A91="","",COUNTIFS(Agenda!$E$5:$E$1204,A91,Agenda!$H$5:$H$1204,"Falta"))</f>
        <v>0</v>
      </c>
      <c r="H91" s="33">
        <f>IF(A91="","",IF(SUMPRODUCT(MAX((Agenda!$E$5:$E$1204=A91)*(Agenda!$H$5:$H$1204="Realizado")*Agenda!$A$5:$A$1204))=0,"",SUMPRODUCT(MAX((Agenda!$E$5:$E$1204=A91)*(Agenda!$H$5:$H$1204="Realizado")*Agenda!$A$5:$A$1204))))</f>
        <v>46275.0</v>
      </c>
      <c r="I91" s="33">
        <f>IF(A91="","",IF(SUMPRODUCT(MIN(((Agenda!$E$5:$E$1204=A91)*((Agenda!$H$5:$H$1204="Agendado")+(Agenda!$H$5:$H$1204="Confirmado")))*Agenda!$A$5:$A$1204+(1-((Agenda!$E$5:$E$1204=A91)*((Agenda!$H$5:$H$1204="Agendado")+(Agenda!$H$5:$H$1204="Confirmado"))))*1E+10))&gt;=1E+10,"",SUMPRODUCT(MIN(((Agenda!$E$5:$E$1204=A91)*((Agenda!$H$5:$H$1204="Agendado")+(Agenda!$H$5:$H$1204="Confirmado")))*Agenda!$A$5:$A$1204+(1-((Agenda!$E$5:$E$1204=A91)*((Agenda!$H$5:$H$1204="Agendado")+(Agenda!$H$5:$H$1204="Confirmado"))))*1E+10))))</f>
        <v>46282.0</v>
      </c>
    </row>
    <row r="92">
      <c r="A92" s="36" t="inlineStr">
        <is>
          <t>Mônica Martins</t>
        </is>
      </c>
      <c r="B92" s="37" t="inlineStr">
        <is>
          <t>Particular</t>
        </is>
      </c>
      <c r="C92" s="37" t="inlineStr">
        <is>
          <t>Dra. Carolina Mendes</t>
        </is>
      </c>
      <c r="D92" s="36" t="inlineStr">
        <is>
          <t>(11) 90000-0135</t>
        </is>
      </c>
      <c r="E92" s="36" t="n"/>
      <c r="F92" s="29">
        <f>IF(A92="","",COUNTIFS(Agenda!$E$5:$E$1204,A92,Agenda!$H$5:$H$1204,"Realizado"))</f>
        <v>6</v>
      </c>
      <c r="G92" s="29">
        <f>IF(A92="","",COUNTIFS(Agenda!$E$5:$E$1204,A92,Agenda!$H$5:$H$1204,"Falta"))</f>
        <v>0</v>
      </c>
      <c r="H92" s="33">
        <f>IF(A92="","",IF(SUMPRODUCT(MAX((Agenda!$E$5:$E$1204=A92)*(Agenda!$H$5:$H$1204="Realizado")*Agenda!$A$5:$A$1204))=0,"",SUMPRODUCT(MAX((Agenda!$E$5:$E$1204=A92)*(Agenda!$H$5:$H$1204="Realizado")*Agenda!$A$5:$A$1204))))</f>
        <v>46239.0</v>
      </c>
      <c r="I92" s="33">
        <f>IF(A92="","",IF(SUMPRODUCT(MIN(((Agenda!$E$5:$E$1204=A92)*((Agenda!$H$5:$H$1204="Agendado")+(Agenda!$H$5:$H$1204="Confirmado")))*Agenda!$A$5:$A$1204+(1-((Agenda!$E$5:$E$1204=A92)*((Agenda!$H$5:$H$1204="Agendado")+(Agenda!$H$5:$H$1204="Confirmado"))))*1E+10))&gt;=1E+10,"",SUMPRODUCT(MIN(((Agenda!$E$5:$E$1204=A92)*((Agenda!$H$5:$H$1204="Agendado")+(Agenda!$H$5:$H$1204="Confirmado")))*Agenda!$A$5:$A$1204+(1-((Agenda!$E$5:$E$1204=A92)*((Agenda!$H$5:$H$1204="Agendado")+(Agenda!$H$5:$H$1204="Confirmado"))))*1E+10))))</f>
        <v/>
      </c>
    </row>
    <row r="93">
      <c r="A93" s="36" t="inlineStr">
        <is>
          <t>Mônica Pinto</t>
        </is>
      </c>
      <c r="B93" s="37" t="inlineStr">
        <is>
          <t>Saúde Total</t>
        </is>
      </c>
      <c r="C93" s="37" t="inlineStr">
        <is>
          <t>Dra. Carolina Mendes</t>
        </is>
      </c>
      <c r="D93" s="36" t="inlineStr">
        <is>
          <t>(11) 90000-0162</t>
        </is>
      </c>
      <c r="E93" s="36" t="n"/>
      <c r="F93" s="29">
        <f>IF(A93="","",COUNTIFS(Agenda!$E$5:$E$1204,A93,Agenda!$H$5:$H$1204,"Realizado"))</f>
        <v>3</v>
      </c>
      <c r="G93" s="29">
        <f>IF(A93="","",COUNTIFS(Agenda!$E$5:$E$1204,A93,Agenda!$H$5:$H$1204,"Falta"))</f>
        <v>0</v>
      </c>
      <c r="H93" s="33">
        <f>IF(A93="","",IF(SUMPRODUCT(MAX((Agenda!$E$5:$E$1204=A93)*(Agenda!$H$5:$H$1204="Realizado")*Agenda!$A$5:$A$1204))=0,"",SUMPRODUCT(MAX((Agenda!$E$5:$E$1204=A93)*(Agenda!$H$5:$H$1204="Realizado")*Agenda!$A$5:$A$1204))))</f>
        <v>46276.0</v>
      </c>
      <c r="I93" s="33">
        <f>IF(A93="","",IF(SUMPRODUCT(MIN(((Agenda!$E$5:$E$1204=A93)*((Agenda!$H$5:$H$1204="Agendado")+(Agenda!$H$5:$H$1204="Confirmado")))*Agenda!$A$5:$A$1204+(1-((Agenda!$E$5:$E$1204=A93)*((Agenda!$H$5:$H$1204="Agendado")+(Agenda!$H$5:$H$1204="Confirmado"))))*1E+10))&gt;=1E+10,"",SUMPRODUCT(MIN(((Agenda!$E$5:$E$1204=A93)*((Agenda!$H$5:$H$1204="Agendado")+(Agenda!$H$5:$H$1204="Confirmado")))*Agenda!$A$5:$A$1204+(1-((Agenda!$E$5:$E$1204=A93)*((Agenda!$H$5:$H$1204="Agendado")+(Agenda!$H$5:$H$1204="Confirmado"))))*1E+10))))</f>
        <v/>
      </c>
    </row>
    <row r="94">
      <c r="A94" s="36" t="inlineStr">
        <is>
          <t>Mônica Teixeira</t>
        </is>
      </c>
      <c r="B94" s="37" t="inlineStr">
        <is>
          <t>Vida Care</t>
        </is>
      </c>
      <c r="C94" s="37" t="inlineStr">
        <is>
          <t>Dra. Carolina Mendes</t>
        </is>
      </c>
      <c r="D94" s="36" t="inlineStr">
        <is>
          <t>(11) 90000-0118</t>
        </is>
      </c>
      <c r="E94" s="36" t="n"/>
      <c r="F94" s="29">
        <f>IF(A94="","",COUNTIFS(Agenda!$E$5:$E$1204,A94,Agenda!$H$5:$H$1204,"Realizado"))</f>
        <v>6</v>
      </c>
      <c r="G94" s="29">
        <f>IF(A94="","",COUNTIFS(Agenda!$E$5:$E$1204,A94,Agenda!$H$5:$H$1204,"Falta"))</f>
        <v>0</v>
      </c>
      <c r="H94" s="33">
        <f>IF(A94="","",IF(SUMPRODUCT(MAX((Agenda!$E$5:$E$1204=A94)*(Agenda!$H$5:$H$1204="Realizado")*Agenda!$A$5:$A$1204))=0,"",SUMPRODUCT(MAX((Agenda!$E$5:$E$1204=A94)*(Agenda!$H$5:$H$1204="Realizado")*Agenda!$A$5:$A$1204))))</f>
        <v>46276.0</v>
      </c>
      <c r="I94" s="33">
        <f>IF(A94="","",IF(SUMPRODUCT(MIN(((Agenda!$E$5:$E$1204=A94)*((Agenda!$H$5:$H$1204="Agendado")+(Agenda!$H$5:$H$1204="Confirmado")))*Agenda!$A$5:$A$1204+(1-((Agenda!$E$5:$E$1204=A94)*((Agenda!$H$5:$H$1204="Agendado")+(Agenda!$H$5:$H$1204="Confirmado"))))*1E+10))&gt;=1E+10,"",SUMPRODUCT(MIN(((Agenda!$E$5:$E$1204=A94)*((Agenda!$H$5:$H$1204="Agendado")+(Agenda!$H$5:$H$1204="Confirmado")))*Agenda!$A$5:$A$1204+(1-((Agenda!$E$5:$E$1204=A94)*((Agenda!$H$5:$H$1204="Agendado")+(Agenda!$H$5:$H$1204="Confirmado"))))*1E+10))))</f>
        <v>46280.0</v>
      </c>
    </row>
    <row r="95">
      <c r="A95" s="36" t="inlineStr">
        <is>
          <t>Natália Martins</t>
        </is>
      </c>
      <c r="B95" s="37" t="inlineStr">
        <is>
          <t>Particular</t>
        </is>
      </c>
      <c r="C95" s="37" t="inlineStr">
        <is>
          <t>Dr. Paulo Andrade</t>
        </is>
      </c>
      <c r="D95" s="36" t="inlineStr">
        <is>
          <t>(11) 90000-0194</t>
        </is>
      </c>
      <c r="E95" s="36" t="n"/>
      <c r="F95" s="29">
        <f>IF(A95="","",COUNTIFS(Agenda!$E$5:$E$1204,A95,Agenda!$H$5:$H$1204,"Realizado"))</f>
        <v>0</v>
      </c>
      <c r="G95" s="29">
        <f>IF(A95="","",COUNTIFS(Agenda!$E$5:$E$1204,A95,Agenda!$H$5:$H$1204,"Falta"))</f>
        <v>0</v>
      </c>
      <c r="H95" s="33">
        <f>IF(A95="","",IF(SUMPRODUCT(MAX((Agenda!$E$5:$E$1204=A95)*(Agenda!$H$5:$H$1204="Realizado")*Agenda!$A$5:$A$1204))=0,"",SUMPRODUCT(MAX((Agenda!$E$5:$E$1204=A95)*(Agenda!$H$5:$H$1204="Realizado")*Agenda!$A$5:$A$1204))))</f>
        <v/>
      </c>
      <c r="I95" s="33">
        <f>IF(A95="","",IF(SUMPRODUCT(MIN(((Agenda!$E$5:$E$1204=A95)*((Agenda!$H$5:$H$1204="Agendado")+(Agenda!$H$5:$H$1204="Confirmado")))*Agenda!$A$5:$A$1204+(1-((Agenda!$E$5:$E$1204=A95)*((Agenda!$H$5:$H$1204="Agendado")+(Agenda!$H$5:$H$1204="Confirmado"))))*1E+10))&gt;=1E+10,"",SUMPRODUCT(MIN(((Agenda!$E$5:$E$1204=A95)*((Agenda!$H$5:$H$1204="Agendado")+(Agenda!$H$5:$H$1204="Confirmado")))*Agenda!$A$5:$A$1204+(1-((Agenda!$E$5:$E$1204=A95)*((Agenda!$H$5:$H$1204="Agendado")+(Agenda!$H$5:$H$1204="Confirmado"))))*1E+10))))</f>
        <v>46282.0</v>
      </c>
    </row>
    <row r="96">
      <c r="A96" s="36" t="inlineStr">
        <is>
          <t>Natália Xavier</t>
        </is>
      </c>
      <c r="B96" s="37" t="inlineStr">
        <is>
          <t>MediPlan</t>
        </is>
      </c>
      <c r="C96" s="37" t="inlineStr">
        <is>
          <t>Dr. Paulo Andrade</t>
        </is>
      </c>
      <c r="D96" s="36" t="inlineStr">
        <is>
          <t>(11) 90000-0208</t>
        </is>
      </c>
      <c r="E96" s="36" t="n"/>
      <c r="F96" s="29">
        <f>IF(A96="","",COUNTIFS(Agenda!$E$5:$E$1204,A96,Agenda!$H$5:$H$1204,"Realizado"))</f>
        <v>8</v>
      </c>
      <c r="G96" s="29">
        <f>IF(A96="","",COUNTIFS(Agenda!$E$5:$E$1204,A96,Agenda!$H$5:$H$1204,"Falta"))</f>
        <v>0</v>
      </c>
      <c r="H96" s="33">
        <f>IF(A96="","",IF(SUMPRODUCT(MAX((Agenda!$E$5:$E$1204=A96)*(Agenda!$H$5:$H$1204="Realizado")*Agenda!$A$5:$A$1204))=0,"",SUMPRODUCT(MAX((Agenda!$E$5:$E$1204=A96)*(Agenda!$H$5:$H$1204="Realizado")*Agenda!$A$5:$A$1204))))</f>
        <v>46266.0</v>
      </c>
      <c r="I96" s="33">
        <f>IF(A96="","",IF(SUMPRODUCT(MIN(((Agenda!$E$5:$E$1204=A96)*((Agenda!$H$5:$H$1204="Agendado")+(Agenda!$H$5:$H$1204="Confirmado")))*Agenda!$A$5:$A$1204+(1-((Agenda!$E$5:$E$1204=A96)*((Agenda!$H$5:$H$1204="Agendado")+(Agenda!$H$5:$H$1204="Confirmado"))))*1E+10))&gt;=1E+10,"",SUMPRODUCT(MIN(((Agenda!$E$5:$E$1204=A96)*((Agenda!$H$5:$H$1204="Agendado")+(Agenda!$H$5:$H$1204="Confirmado")))*Agenda!$A$5:$A$1204+(1-((Agenda!$E$5:$E$1204=A96)*((Agenda!$H$5:$H$1204="Agendado")+(Agenda!$H$5:$H$1204="Confirmado"))))*1E+10))))</f>
        <v/>
      </c>
    </row>
    <row r="97">
      <c r="A97" s="36" t="inlineStr">
        <is>
          <t>Otávio Cardoso</t>
        </is>
      </c>
      <c r="B97" s="37" t="inlineStr">
        <is>
          <t>Particular</t>
        </is>
      </c>
      <c r="C97" s="37" t="inlineStr">
        <is>
          <t>Dra. Carolina Mendes</t>
        </is>
      </c>
      <c r="D97" s="36" t="inlineStr">
        <is>
          <t>(11) 90000-0139</t>
        </is>
      </c>
      <c r="E97" s="36" t="n"/>
      <c r="F97" s="29">
        <f>IF(A97="","",COUNTIFS(Agenda!$E$5:$E$1204,A97,Agenda!$H$5:$H$1204,"Realizado"))</f>
        <v>7</v>
      </c>
      <c r="G97" s="29">
        <f>IF(A97="","",COUNTIFS(Agenda!$E$5:$E$1204,A97,Agenda!$H$5:$H$1204,"Falta"))</f>
        <v>1</v>
      </c>
      <c r="H97" s="33">
        <f>IF(A97="","",IF(SUMPRODUCT(MAX((Agenda!$E$5:$E$1204=A97)*(Agenda!$H$5:$H$1204="Realizado")*Agenda!$A$5:$A$1204))=0,"",SUMPRODUCT(MAX((Agenda!$E$5:$E$1204=A97)*(Agenda!$H$5:$H$1204="Realizado")*Agenda!$A$5:$A$1204))))</f>
        <v>46273.0</v>
      </c>
      <c r="I97" s="33">
        <f>IF(A97="","",IF(SUMPRODUCT(MIN(((Agenda!$E$5:$E$1204=A97)*((Agenda!$H$5:$H$1204="Agendado")+(Agenda!$H$5:$H$1204="Confirmado")))*Agenda!$A$5:$A$1204+(1-((Agenda!$E$5:$E$1204=A97)*((Agenda!$H$5:$H$1204="Agendado")+(Agenda!$H$5:$H$1204="Confirmado"))))*1E+10))&gt;=1E+10,"",SUMPRODUCT(MIN(((Agenda!$E$5:$E$1204=A97)*((Agenda!$H$5:$H$1204="Agendado")+(Agenda!$H$5:$H$1204="Confirmado")))*Agenda!$A$5:$A$1204+(1-((Agenda!$E$5:$E$1204=A97)*((Agenda!$H$5:$H$1204="Agendado")+(Agenda!$H$5:$H$1204="Confirmado"))))*1E+10))))</f>
        <v>46280.0</v>
      </c>
    </row>
    <row r="98">
      <c r="A98" s="36" t="inlineStr">
        <is>
          <t>Otávio Martins</t>
        </is>
      </c>
      <c r="B98" s="37" t="inlineStr">
        <is>
          <t>MediPlan</t>
        </is>
      </c>
      <c r="C98" s="37" t="inlineStr">
        <is>
          <t>Dr. Paulo Andrade</t>
        </is>
      </c>
      <c r="D98" s="36" t="inlineStr">
        <is>
          <t>(11) 90000-0176</t>
        </is>
      </c>
      <c r="E98" s="36" t="n"/>
      <c r="F98" s="29">
        <f>IF(A98="","",COUNTIFS(Agenda!$E$5:$E$1204,A98,Agenda!$H$5:$H$1204,"Realizado"))</f>
        <v>5</v>
      </c>
      <c r="G98" s="29">
        <f>IF(A98="","",COUNTIFS(Agenda!$E$5:$E$1204,A98,Agenda!$H$5:$H$1204,"Falta"))</f>
        <v>1</v>
      </c>
      <c r="H98" s="33">
        <f>IF(A98="","",IF(SUMPRODUCT(MAX((Agenda!$E$5:$E$1204=A98)*(Agenda!$H$5:$H$1204="Realizado")*Agenda!$A$5:$A$1204))=0,"",SUMPRODUCT(MAX((Agenda!$E$5:$E$1204=A98)*(Agenda!$H$5:$H$1204="Realizado")*Agenda!$A$5:$A$1204))))</f>
        <v>46258.0</v>
      </c>
      <c r="I98" s="33">
        <f>IF(A98="","",IF(SUMPRODUCT(MIN(((Agenda!$E$5:$E$1204=A98)*((Agenda!$H$5:$H$1204="Agendado")+(Agenda!$H$5:$H$1204="Confirmado")))*Agenda!$A$5:$A$1204+(1-((Agenda!$E$5:$E$1204=A98)*((Agenda!$H$5:$H$1204="Agendado")+(Agenda!$H$5:$H$1204="Confirmado"))))*1E+10))&gt;=1E+10,"",SUMPRODUCT(MIN(((Agenda!$E$5:$E$1204=A98)*((Agenda!$H$5:$H$1204="Agendado")+(Agenda!$H$5:$H$1204="Confirmado")))*Agenda!$A$5:$A$1204+(1-((Agenda!$E$5:$E$1204=A98)*((Agenda!$H$5:$H$1204="Agendado")+(Agenda!$H$5:$H$1204="Confirmado"))))*1E+10))))</f>
        <v>46286.0</v>
      </c>
    </row>
    <row r="99">
      <c r="A99" s="36" t="inlineStr">
        <is>
          <t>Otávio Nascimento</t>
        </is>
      </c>
      <c r="B99" s="37" t="inlineStr">
        <is>
          <t>Particular</t>
        </is>
      </c>
      <c r="C99" s="37" t="inlineStr">
        <is>
          <t>Dra. Carolina Mendes</t>
        </is>
      </c>
      <c r="D99" s="36" t="inlineStr">
        <is>
          <t>(11) 90000-0125</t>
        </is>
      </c>
      <c r="E99" s="36" t="n"/>
      <c r="F99" s="29">
        <f>IF(A99="","",COUNTIFS(Agenda!$E$5:$E$1204,A99,Agenda!$H$5:$H$1204,"Realizado"))</f>
        <v>8</v>
      </c>
      <c r="G99" s="29">
        <f>IF(A99="","",COUNTIFS(Agenda!$E$5:$E$1204,A99,Agenda!$H$5:$H$1204,"Falta"))</f>
        <v>2</v>
      </c>
      <c r="H99" s="33">
        <f>IF(A99="","",IF(SUMPRODUCT(MAX((Agenda!$E$5:$E$1204=A99)*(Agenda!$H$5:$H$1204="Realizado")*Agenda!$A$5:$A$1204))=0,"",SUMPRODUCT(MAX((Agenda!$E$5:$E$1204=A99)*(Agenda!$H$5:$H$1204="Realizado")*Agenda!$A$5:$A$1204))))</f>
        <v>46273.0</v>
      </c>
      <c r="I99" s="33">
        <f>IF(A99="","",IF(SUMPRODUCT(MIN(((Agenda!$E$5:$E$1204=A99)*((Agenda!$H$5:$H$1204="Agendado")+(Agenda!$H$5:$H$1204="Confirmado")))*Agenda!$A$5:$A$1204+(1-((Agenda!$E$5:$E$1204=A99)*((Agenda!$H$5:$H$1204="Agendado")+(Agenda!$H$5:$H$1204="Confirmado"))))*1E+10))&gt;=1E+10,"",SUMPRODUCT(MIN(((Agenda!$E$5:$E$1204=A99)*((Agenda!$H$5:$H$1204="Agendado")+(Agenda!$H$5:$H$1204="Confirmado")))*Agenda!$A$5:$A$1204+(1-((Agenda!$E$5:$E$1204=A99)*((Agenda!$H$5:$H$1204="Agendado")+(Agenda!$H$5:$H$1204="Confirmado"))))*1E+10))))</f>
        <v>46280.0</v>
      </c>
    </row>
    <row r="100">
      <c r="A100" s="36" t="inlineStr">
        <is>
          <t>Patrícia Correia</t>
        </is>
      </c>
      <c r="B100" s="37" t="inlineStr">
        <is>
          <t>Saúde Total</t>
        </is>
      </c>
      <c r="C100" s="37" t="inlineStr">
        <is>
          <t>Dr. Paulo Andrade</t>
        </is>
      </c>
      <c r="D100" s="36" t="inlineStr">
        <is>
          <t>(11) 90000-0204</t>
        </is>
      </c>
      <c r="E100" s="36" t="n"/>
      <c r="F100" s="29">
        <f>IF(A100="","",COUNTIFS(Agenda!$E$5:$E$1204,A100,Agenda!$H$5:$H$1204,"Realizado"))</f>
        <v>1</v>
      </c>
      <c r="G100" s="29">
        <f>IF(A100="","",COUNTIFS(Agenda!$E$5:$E$1204,A100,Agenda!$H$5:$H$1204,"Falta"))</f>
        <v>0</v>
      </c>
      <c r="H100" s="33">
        <f>IF(A100="","",IF(SUMPRODUCT(MAX((Agenda!$E$5:$E$1204=A100)*(Agenda!$H$5:$H$1204="Realizado")*Agenda!$A$5:$A$1204))=0,"",SUMPRODUCT(MAX((Agenda!$E$5:$E$1204=A100)*(Agenda!$H$5:$H$1204="Realizado")*Agenda!$A$5:$A$1204))))</f>
        <v>46213.0</v>
      </c>
      <c r="I100" s="33">
        <f>IF(A100="","",IF(SUMPRODUCT(MIN(((Agenda!$E$5:$E$1204=A100)*((Agenda!$H$5:$H$1204="Agendado")+(Agenda!$H$5:$H$1204="Confirmado")))*Agenda!$A$5:$A$1204+(1-((Agenda!$E$5:$E$1204=A100)*((Agenda!$H$5:$H$1204="Agendado")+(Agenda!$H$5:$H$1204="Confirmado"))))*1E+10))&gt;=1E+10,"",SUMPRODUCT(MIN(((Agenda!$E$5:$E$1204=A100)*((Agenda!$H$5:$H$1204="Agendado")+(Agenda!$H$5:$H$1204="Confirmado")))*Agenda!$A$5:$A$1204+(1-((Agenda!$E$5:$E$1204=A100)*((Agenda!$H$5:$H$1204="Agendado")+(Agenda!$H$5:$H$1204="Confirmado"))))*1E+10))))</f>
        <v>46287.0</v>
      </c>
    </row>
    <row r="101">
      <c r="A101" s="36" t="inlineStr">
        <is>
          <t>Patrícia Dias</t>
        </is>
      </c>
      <c r="B101" s="37" t="inlineStr">
        <is>
          <t>Particular</t>
        </is>
      </c>
      <c r="C101" s="37" t="inlineStr">
        <is>
          <t>Dra. Renata Sousa</t>
        </is>
      </c>
      <c r="D101" s="36" t="inlineStr">
        <is>
          <t>(11) 90000-0253</t>
        </is>
      </c>
      <c r="E101" s="36" t="n"/>
      <c r="F101" s="29">
        <f>IF(A101="","",COUNTIFS(Agenda!$E$5:$E$1204,A101,Agenda!$H$5:$H$1204,"Realizado"))</f>
        <v>5</v>
      </c>
      <c r="G101" s="29">
        <f>IF(A101="","",COUNTIFS(Agenda!$E$5:$E$1204,A101,Agenda!$H$5:$H$1204,"Falta"))</f>
        <v>2</v>
      </c>
      <c r="H101" s="33">
        <f>IF(A101="","",IF(SUMPRODUCT(MAX((Agenda!$E$5:$E$1204=A101)*(Agenda!$H$5:$H$1204="Realizado")*Agenda!$A$5:$A$1204))=0,"",SUMPRODUCT(MAX((Agenda!$E$5:$E$1204=A101)*(Agenda!$H$5:$H$1204="Realizado")*Agenda!$A$5:$A$1204))))</f>
        <v>46268.0</v>
      </c>
      <c r="I101" s="33">
        <f>IF(A101="","",IF(SUMPRODUCT(MIN(((Agenda!$E$5:$E$1204=A101)*((Agenda!$H$5:$H$1204="Agendado")+(Agenda!$H$5:$H$1204="Confirmado")))*Agenda!$A$5:$A$1204+(1-((Agenda!$E$5:$E$1204=A101)*((Agenda!$H$5:$H$1204="Agendado")+(Agenda!$H$5:$H$1204="Confirmado"))))*1E+10))&gt;=1E+10,"",SUMPRODUCT(MIN(((Agenda!$E$5:$E$1204=A101)*((Agenda!$H$5:$H$1204="Agendado")+(Agenda!$H$5:$H$1204="Confirmado")))*Agenda!$A$5:$A$1204+(1-((Agenda!$E$5:$E$1204=A101)*((Agenda!$H$5:$H$1204="Agendado")+(Agenda!$H$5:$H$1204="Confirmado"))))*1E+10))))</f>
        <v/>
      </c>
    </row>
    <row r="102">
      <c r="A102" s="36" t="inlineStr">
        <is>
          <t>Patrícia Fernandes</t>
        </is>
      </c>
      <c r="B102" s="37" t="inlineStr">
        <is>
          <t>Particular</t>
        </is>
      </c>
      <c r="C102" s="37" t="inlineStr">
        <is>
          <t>Dra. Carolina Mendes</t>
        </is>
      </c>
      <c r="D102" s="36" t="inlineStr">
        <is>
          <t>(11) 90000-0104</t>
        </is>
      </c>
      <c r="E102" s="36" t="n"/>
      <c r="F102" s="29">
        <f>IF(A102="","",COUNTIFS(Agenda!$E$5:$E$1204,A102,Agenda!$H$5:$H$1204,"Realizado"))</f>
        <v>1</v>
      </c>
      <c r="G102" s="29">
        <f>IF(A102="","",COUNTIFS(Agenda!$E$5:$E$1204,A102,Agenda!$H$5:$H$1204,"Falta"))</f>
        <v>0</v>
      </c>
      <c r="H102" s="33">
        <f>IF(A102="","",IF(SUMPRODUCT(MAX((Agenda!$E$5:$E$1204=A102)*(Agenda!$H$5:$H$1204="Realizado")*Agenda!$A$5:$A$1204))=0,"",SUMPRODUCT(MAX((Agenda!$E$5:$E$1204=A102)*(Agenda!$H$5:$H$1204="Realizado")*Agenda!$A$5:$A$1204))))</f>
        <v>46240.0</v>
      </c>
      <c r="I102" s="33">
        <f>IF(A102="","",IF(SUMPRODUCT(MIN(((Agenda!$E$5:$E$1204=A102)*((Agenda!$H$5:$H$1204="Agendado")+(Agenda!$H$5:$H$1204="Confirmado")))*Agenda!$A$5:$A$1204+(1-((Agenda!$E$5:$E$1204=A102)*((Agenda!$H$5:$H$1204="Agendado")+(Agenda!$H$5:$H$1204="Confirmado"))))*1E+10))&gt;=1E+10,"",SUMPRODUCT(MIN(((Agenda!$E$5:$E$1204=A102)*((Agenda!$H$5:$H$1204="Agendado")+(Agenda!$H$5:$H$1204="Confirmado")))*Agenda!$A$5:$A$1204+(1-((Agenda!$E$5:$E$1204=A102)*((Agenda!$H$5:$H$1204="Agendado")+(Agenda!$H$5:$H$1204="Confirmado"))))*1E+10))))</f>
        <v>46283.0</v>
      </c>
    </row>
    <row r="103">
      <c r="A103" s="36" t="inlineStr">
        <is>
          <t>Patrícia Vieira</t>
        </is>
      </c>
      <c r="B103" s="37" t="inlineStr">
        <is>
          <t>Saúde Total</t>
        </is>
      </c>
      <c r="C103" s="37" t="inlineStr">
        <is>
          <t>Dr. Paulo Andrade</t>
        </is>
      </c>
      <c r="D103" s="36" t="inlineStr">
        <is>
          <t>(11) 90000-0216</t>
        </is>
      </c>
      <c r="E103" s="36" t="n"/>
      <c r="F103" s="29">
        <f>IF(A103="","",COUNTIFS(Agenda!$E$5:$E$1204,A103,Agenda!$H$5:$H$1204,"Realizado"))</f>
        <v>4</v>
      </c>
      <c r="G103" s="29">
        <f>IF(A103="","",COUNTIFS(Agenda!$E$5:$E$1204,A103,Agenda!$H$5:$H$1204,"Falta"))</f>
        <v>1</v>
      </c>
      <c r="H103" s="33">
        <f>IF(A103="","",IF(SUMPRODUCT(MAX((Agenda!$E$5:$E$1204=A103)*(Agenda!$H$5:$H$1204="Realizado")*Agenda!$A$5:$A$1204))=0,"",SUMPRODUCT(MAX((Agenda!$E$5:$E$1204=A103)*(Agenda!$H$5:$H$1204="Realizado")*Agenda!$A$5:$A$1204))))</f>
        <v>46241.0</v>
      </c>
      <c r="I103" s="33">
        <f>IF(A103="","",IF(SUMPRODUCT(MIN(((Agenda!$E$5:$E$1204=A103)*((Agenda!$H$5:$H$1204="Agendado")+(Agenda!$H$5:$H$1204="Confirmado")))*Agenda!$A$5:$A$1204+(1-((Agenda!$E$5:$E$1204=A103)*((Agenda!$H$5:$H$1204="Agendado")+(Agenda!$H$5:$H$1204="Confirmado"))))*1E+10))&gt;=1E+10,"",SUMPRODUCT(MIN(((Agenda!$E$5:$E$1204=A103)*((Agenda!$H$5:$H$1204="Agendado")+(Agenda!$H$5:$H$1204="Confirmado")))*Agenda!$A$5:$A$1204+(1-((Agenda!$E$5:$E$1204=A103)*((Agenda!$H$5:$H$1204="Agendado")+(Agenda!$H$5:$H$1204="Confirmado"))))*1E+10))))</f>
        <v/>
      </c>
    </row>
    <row r="104">
      <c r="A104" s="36" t="inlineStr">
        <is>
          <t>Paulo Fernandes</t>
        </is>
      </c>
      <c r="B104" s="37" t="inlineStr">
        <is>
          <t>Particular</t>
        </is>
      </c>
      <c r="C104" s="37" t="inlineStr">
        <is>
          <t>Dra. Renata Sousa</t>
        </is>
      </c>
      <c r="D104" s="36" t="inlineStr">
        <is>
          <t>(11) 90000-0252</t>
        </is>
      </c>
      <c r="E104" s="36" t="n"/>
      <c r="F104" s="29">
        <f>IF(A104="","",COUNTIFS(Agenda!$E$5:$E$1204,A104,Agenda!$H$5:$H$1204,"Realizado"))</f>
        <v>1</v>
      </c>
      <c r="G104" s="29">
        <f>IF(A104="","",COUNTIFS(Agenda!$E$5:$E$1204,A104,Agenda!$H$5:$H$1204,"Falta"))</f>
        <v>0</v>
      </c>
      <c r="H104" s="33">
        <f>IF(A104="","",IF(SUMPRODUCT(MAX((Agenda!$E$5:$E$1204=A104)*(Agenda!$H$5:$H$1204="Realizado")*Agenda!$A$5:$A$1204))=0,"",SUMPRODUCT(MAX((Agenda!$E$5:$E$1204=A104)*(Agenda!$H$5:$H$1204="Realizado")*Agenda!$A$5:$A$1204))))</f>
        <v>46266.0</v>
      </c>
      <c r="I104" s="33">
        <f>IF(A104="","",IF(SUMPRODUCT(MIN(((Agenda!$E$5:$E$1204=A104)*((Agenda!$H$5:$H$1204="Agendado")+(Agenda!$H$5:$H$1204="Confirmado")))*Agenda!$A$5:$A$1204+(1-((Agenda!$E$5:$E$1204=A104)*((Agenda!$H$5:$H$1204="Agendado")+(Agenda!$H$5:$H$1204="Confirmado"))))*1E+10))&gt;=1E+10,"",SUMPRODUCT(MIN(((Agenda!$E$5:$E$1204=A104)*((Agenda!$H$5:$H$1204="Agendado")+(Agenda!$H$5:$H$1204="Confirmado")))*Agenda!$A$5:$A$1204+(1-((Agenda!$E$5:$E$1204=A104)*((Agenda!$H$5:$H$1204="Agendado")+(Agenda!$H$5:$H$1204="Confirmado"))))*1E+10))))</f>
        <v/>
      </c>
    </row>
    <row r="105">
      <c r="A105" s="36" t="inlineStr">
        <is>
          <t>Paulo Freitas</t>
        </is>
      </c>
      <c r="B105" s="37" t="inlineStr">
        <is>
          <t>Saúde Total</t>
        </is>
      </c>
      <c r="C105" s="37" t="inlineStr">
        <is>
          <t>Dra. Renata Sousa</t>
        </is>
      </c>
      <c r="D105" s="36" t="inlineStr">
        <is>
          <t>(11) 90000-0249</t>
        </is>
      </c>
      <c r="E105" s="36" t="n"/>
      <c r="F105" s="29">
        <f>IF(A105="","",COUNTIFS(Agenda!$E$5:$E$1204,A105,Agenda!$H$5:$H$1204,"Realizado"))</f>
        <v>2</v>
      </c>
      <c r="G105" s="29">
        <f>IF(A105="","",COUNTIFS(Agenda!$E$5:$E$1204,A105,Agenda!$H$5:$H$1204,"Falta"))</f>
        <v>0</v>
      </c>
      <c r="H105" s="33">
        <f>IF(A105="","",IF(SUMPRODUCT(MAX((Agenda!$E$5:$E$1204=A105)*(Agenda!$H$5:$H$1204="Realizado")*Agenda!$A$5:$A$1204))=0,"",SUMPRODUCT(MAX((Agenda!$E$5:$E$1204=A105)*(Agenda!$H$5:$H$1204="Realizado")*Agenda!$A$5:$A$1204))))</f>
        <v>46233.0</v>
      </c>
      <c r="I105" s="33">
        <f>IF(A105="","",IF(SUMPRODUCT(MIN(((Agenda!$E$5:$E$1204=A105)*((Agenda!$H$5:$H$1204="Agendado")+(Agenda!$H$5:$H$1204="Confirmado")))*Agenda!$A$5:$A$1204+(1-((Agenda!$E$5:$E$1204=A105)*((Agenda!$H$5:$H$1204="Agendado")+(Agenda!$H$5:$H$1204="Confirmado"))))*1E+10))&gt;=1E+10,"",SUMPRODUCT(MIN(((Agenda!$E$5:$E$1204=A105)*((Agenda!$H$5:$H$1204="Agendado")+(Agenda!$H$5:$H$1204="Confirmado")))*Agenda!$A$5:$A$1204+(1-((Agenda!$E$5:$E$1204=A105)*((Agenda!$H$5:$H$1204="Agendado")+(Agenda!$H$5:$H$1204="Confirmado"))))*1E+10))))</f>
        <v/>
      </c>
    </row>
    <row r="106">
      <c r="A106" s="36" t="inlineStr">
        <is>
          <t>Paulo Nascimento</t>
        </is>
      </c>
      <c r="B106" s="37" t="inlineStr">
        <is>
          <t>MediPlan</t>
        </is>
      </c>
      <c r="C106" s="37" t="inlineStr">
        <is>
          <t>Dr. Paulo Andrade</t>
        </is>
      </c>
      <c r="D106" s="36" t="inlineStr">
        <is>
          <t>(11) 90000-0203</t>
        </is>
      </c>
      <c r="E106" s="36" t="n"/>
      <c r="F106" s="29">
        <f>IF(A106="","",COUNTIFS(Agenda!$E$5:$E$1204,A106,Agenda!$H$5:$H$1204,"Realizado"))</f>
        <v>6</v>
      </c>
      <c r="G106" s="29">
        <f>IF(A106="","",COUNTIFS(Agenda!$E$5:$E$1204,A106,Agenda!$H$5:$H$1204,"Falta"))</f>
        <v>1</v>
      </c>
      <c r="H106" s="33">
        <f>IF(A106="","",IF(SUMPRODUCT(MAX((Agenda!$E$5:$E$1204=A106)*(Agenda!$H$5:$H$1204="Realizado")*Agenda!$A$5:$A$1204))=0,"",SUMPRODUCT(MAX((Agenda!$E$5:$E$1204=A106)*(Agenda!$H$5:$H$1204="Realizado")*Agenda!$A$5:$A$1204))))</f>
        <v>46273.0</v>
      </c>
      <c r="I106" s="33">
        <f>IF(A106="","",IF(SUMPRODUCT(MIN(((Agenda!$E$5:$E$1204=A106)*((Agenda!$H$5:$H$1204="Agendado")+(Agenda!$H$5:$H$1204="Confirmado")))*Agenda!$A$5:$A$1204+(1-((Agenda!$E$5:$E$1204=A106)*((Agenda!$H$5:$H$1204="Agendado")+(Agenda!$H$5:$H$1204="Confirmado"))))*1E+10))&gt;=1E+10,"",SUMPRODUCT(MIN(((Agenda!$E$5:$E$1204=A106)*((Agenda!$H$5:$H$1204="Agendado")+(Agenda!$H$5:$H$1204="Confirmado")))*Agenda!$A$5:$A$1204+(1-((Agenda!$E$5:$E$1204=A106)*((Agenda!$H$5:$H$1204="Agendado")+(Agenda!$H$5:$H$1204="Confirmado"))))*1E+10))))</f>
        <v>46286.0</v>
      </c>
    </row>
    <row r="107">
      <c r="A107" s="36" t="inlineStr">
        <is>
          <t>Paulo Reis</t>
        </is>
      </c>
      <c r="B107" s="37" t="inlineStr">
        <is>
          <t>Particular</t>
        </is>
      </c>
      <c r="C107" s="37" t="inlineStr">
        <is>
          <t>Dr. Paulo Andrade</t>
        </is>
      </c>
      <c r="D107" s="36" t="inlineStr">
        <is>
          <t>(11) 90000-0205</t>
        </is>
      </c>
      <c r="E107" s="36" t="n"/>
      <c r="F107" s="29">
        <f>IF(A107="","",COUNTIFS(Agenda!$E$5:$E$1204,A107,Agenda!$H$5:$H$1204,"Realizado"))</f>
        <v>5</v>
      </c>
      <c r="G107" s="29">
        <f>IF(A107="","",COUNTIFS(Agenda!$E$5:$E$1204,A107,Agenda!$H$5:$H$1204,"Falta"))</f>
        <v>0</v>
      </c>
      <c r="H107" s="33">
        <f>IF(A107="","",IF(SUMPRODUCT(MAX((Agenda!$E$5:$E$1204=A107)*(Agenda!$H$5:$H$1204="Realizado")*Agenda!$A$5:$A$1204))=0,"",SUMPRODUCT(MAX((Agenda!$E$5:$E$1204=A107)*(Agenda!$H$5:$H$1204="Realizado")*Agenda!$A$5:$A$1204))))</f>
        <v>46259.0</v>
      </c>
      <c r="I107" s="33">
        <f>IF(A107="","",IF(SUMPRODUCT(MIN(((Agenda!$E$5:$E$1204=A107)*((Agenda!$H$5:$H$1204="Agendado")+(Agenda!$H$5:$H$1204="Confirmado")))*Agenda!$A$5:$A$1204+(1-((Agenda!$E$5:$E$1204=A107)*((Agenda!$H$5:$H$1204="Agendado")+(Agenda!$H$5:$H$1204="Confirmado"))))*1E+10))&gt;=1E+10,"",SUMPRODUCT(MIN(((Agenda!$E$5:$E$1204=A107)*((Agenda!$H$5:$H$1204="Agendado")+(Agenda!$H$5:$H$1204="Confirmado")))*Agenda!$A$5:$A$1204+(1-((Agenda!$E$5:$E$1204=A107)*((Agenda!$H$5:$H$1204="Agendado")+(Agenda!$H$5:$H$1204="Confirmado"))))*1E+10))))</f>
        <v>46282.0</v>
      </c>
    </row>
    <row r="108">
      <c r="A108" s="36" t="inlineStr">
        <is>
          <t>Paulo Ribeiro</t>
        </is>
      </c>
      <c r="B108" s="37" t="inlineStr">
        <is>
          <t>Saúde Total</t>
        </is>
      </c>
      <c r="C108" s="37" t="inlineStr">
        <is>
          <t>Dr. Paulo Andrade</t>
        </is>
      </c>
      <c r="D108" s="36" t="inlineStr">
        <is>
          <t>(11) 90000-0210</t>
        </is>
      </c>
      <c r="E108" s="36" t="n"/>
      <c r="F108" s="29">
        <f>IF(A108="","",COUNTIFS(Agenda!$E$5:$E$1204,A108,Agenda!$H$5:$H$1204,"Realizado"))</f>
        <v>5</v>
      </c>
      <c r="G108" s="29">
        <f>IF(A108="","",COUNTIFS(Agenda!$E$5:$E$1204,A108,Agenda!$H$5:$H$1204,"Falta"))</f>
        <v>0</v>
      </c>
      <c r="H108" s="33">
        <f>IF(A108="","",IF(SUMPRODUCT(MAX((Agenda!$E$5:$E$1204=A108)*(Agenda!$H$5:$H$1204="Realizado")*Agenda!$A$5:$A$1204))=0,"",SUMPRODUCT(MAX((Agenda!$E$5:$E$1204=A108)*(Agenda!$H$5:$H$1204="Realizado")*Agenda!$A$5:$A$1204))))</f>
        <v>46268.0</v>
      </c>
      <c r="I108" s="33">
        <f>IF(A108="","",IF(SUMPRODUCT(MIN(((Agenda!$E$5:$E$1204=A108)*((Agenda!$H$5:$H$1204="Agendado")+(Agenda!$H$5:$H$1204="Confirmado")))*Agenda!$A$5:$A$1204+(1-((Agenda!$E$5:$E$1204=A108)*((Agenda!$H$5:$H$1204="Agendado")+(Agenda!$H$5:$H$1204="Confirmado"))))*1E+10))&gt;=1E+10,"",SUMPRODUCT(MIN(((Agenda!$E$5:$E$1204=A108)*((Agenda!$H$5:$H$1204="Agendado")+(Agenda!$H$5:$H$1204="Confirmado")))*Agenda!$A$5:$A$1204+(1-((Agenda!$E$5:$E$1204=A108)*((Agenda!$H$5:$H$1204="Agendado")+(Agenda!$H$5:$H$1204="Confirmado"))))*1E+10))))</f>
        <v>46287.0</v>
      </c>
    </row>
    <row r="109">
      <c r="A109" s="36" t="inlineStr">
        <is>
          <t>Priscila Carvalho</t>
        </is>
      </c>
      <c r="B109" s="37" t="inlineStr">
        <is>
          <t>Vida Care</t>
        </is>
      </c>
      <c r="C109" s="37" t="inlineStr">
        <is>
          <t>Dra. Carolina Mendes</t>
        </is>
      </c>
      <c r="D109" s="36" t="inlineStr">
        <is>
          <t>(11) 90000-0157</t>
        </is>
      </c>
      <c r="E109" s="36" t="n"/>
      <c r="F109" s="29">
        <f>IF(A109="","",COUNTIFS(Agenda!$E$5:$E$1204,A109,Agenda!$H$5:$H$1204,"Realizado"))</f>
        <v>4</v>
      </c>
      <c r="G109" s="29">
        <f>IF(A109="","",COUNTIFS(Agenda!$E$5:$E$1204,A109,Agenda!$H$5:$H$1204,"Falta"))</f>
        <v>1</v>
      </c>
      <c r="H109" s="33">
        <f>IF(A109="","",IF(SUMPRODUCT(MAX((Agenda!$E$5:$E$1204=A109)*(Agenda!$H$5:$H$1204="Realizado")*Agenda!$A$5:$A$1204))=0,"",SUMPRODUCT(MAX((Agenda!$E$5:$E$1204=A109)*(Agenda!$H$5:$H$1204="Realizado")*Agenda!$A$5:$A$1204))))</f>
        <v>46252.0</v>
      </c>
      <c r="I109" s="33">
        <f>IF(A109="","",IF(SUMPRODUCT(MIN(((Agenda!$E$5:$E$1204=A109)*((Agenda!$H$5:$H$1204="Agendado")+(Agenda!$H$5:$H$1204="Confirmado")))*Agenda!$A$5:$A$1204+(1-((Agenda!$E$5:$E$1204=A109)*((Agenda!$H$5:$H$1204="Agendado")+(Agenda!$H$5:$H$1204="Confirmado"))))*1E+10))&gt;=1E+10,"",SUMPRODUCT(MIN(((Agenda!$E$5:$E$1204=A109)*((Agenda!$H$5:$H$1204="Agendado")+(Agenda!$H$5:$H$1204="Confirmado")))*Agenda!$A$5:$A$1204+(1-((Agenda!$E$5:$E$1204=A109)*((Agenda!$H$5:$H$1204="Agendado")+(Agenda!$H$5:$H$1204="Confirmado"))))*1E+10))))</f>
        <v>46279.0</v>
      </c>
    </row>
    <row r="110">
      <c r="A110" s="36" t="inlineStr">
        <is>
          <t>Priscila Castro</t>
        </is>
      </c>
      <c r="B110" s="37" t="inlineStr">
        <is>
          <t>Saúde Total</t>
        </is>
      </c>
      <c r="C110" s="37" t="inlineStr">
        <is>
          <t>Dra. Carolina Mendes</t>
        </is>
      </c>
      <c r="D110" s="36" t="inlineStr">
        <is>
          <t>(11) 90000-0112</t>
        </is>
      </c>
      <c r="E110" s="36" t="n"/>
      <c r="F110" s="29">
        <f>IF(A110="","",COUNTIFS(Agenda!$E$5:$E$1204,A110,Agenda!$H$5:$H$1204,"Realizado"))</f>
        <v>8</v>
      </c>
      <c r="G110" s="29">
        <f>IF(A110="","",COUNTIFS(Agenda!$E$5:$E$1204,A110,Agenda!$H$5:$H$1204,"Falta"))</f>
        <v>2</v>
      </c>
      <c r="H110" s="33">
        <f>IF(A110="","",IF(SUMPRODUCT(MAX((Agenda!$E$5:$E$1204=A110)*(Agenda!$H$5:$H$1204="Realizado")*Agenda!$A$5:$A$1204))=0,"",SUMPRODUCT(MAX((Agenda!$E$5:$E$1204=A110)*(Agenda!$H$5:$H$1204="Realizado")*Agenda!$A$5:$A$1204))))</f>
        <v>46273.0</v>
      </c>
      <c r="I110" s="33">
        <f>IF(A110="","",IF(SUMPRODUCT(MIN(((Agenda!$E$5:$E$1204=A110)*((Agenda!$H$5:$H$1204="Agendado")+(Agenda!$H$5:$H$1204="Confirmado")))*Agenda!$A$5:$A$1204+(1-((Agenda!$E$5:$E$1204=A110)*((Agenda!$H$5:$H$1204="Agendado")+(Agenda!$H$5:$H$1204="Confirmado"))))*1E+10))&gt;=1E+10,"",SUMPRODUCT(MIN(((Agenda!$E$5:$E$1204=A110)*((Agenda!$H$5:$H$1204="Agendado")+(Agenda!$H$5:$H$1204="Confirmado")))*Agenda!$A$5:$A$1204+(1-((Agenda!$E$5:$E$1204=A110)*((Agenda!$H$5:$H$1204="Agendado")+(Agenda!$H$5:$H$1204="Confirmado"))))*1E+10))))</f>
        <v>46280.0</v>
      </c>
    </row>
    <row r="111">
      <c r="A111" s="36" t="inlineStr">
        <is>
          <t>Priscila Nascimento</t>
        </is>
      </c>
      <c r="B111" s="37" t="inlineStr">
        <is>
          <t>MediPlan</t>
        </is>
      </c>
      <c r="C111" s="37" t="inlineStr">
        <is>
          <t>Dr. Paulo Andrade</t>
        </is>
      </c>
      <c r="D111" s="36" t="inlineStr">
        <is>
          <t>(11) 90000-0200</t>
        </is>
      </c>
      <c r="E111" s="36" t="n"/>
      <c r="F111" s="29">
        <f>IF(A111="","",COUNTIFS(Agenda!$E$5:$E$1204,A111,Agenda!$H$5:$H$1204,"Realizado"))</f>
        <v>1</v>
      </c>
      <c r="G111" s="29">
        <f>IF(A111="","",COUNTIFS(Agenda!$E$5:$E$1204,A111,Agenda!$H$5:$H$1204,"Falta"))</f>
        <v>0</v>
      </c>
      <c r="H111" s="33">
        <f>IF(A111="","",IF(SUMPRODUCT(MAX((Agenda!$E$5:$E$1204=A111)*(Agenda!$H$5:$H$1204="Realizado")*Agenda!$A$5:$A$1204))=0,"",SUMPRODUCT(MAX((Agenda!$E$5:$E$1204=A111)*(Agenda!$H$5:$H$1204="Realizado")*Agenda!$A$5:$A$1204))))</f>
        <v>46273.0</v>
      </c>
      <c r="I111" s="33">
        <f>IF(A111="","",IF(SUMPRODUCT(MIN(((Agenda!$E$5:$E$1204=A111)*((Agenda!$H$5:$H$1204="Agendado")+(Agenda!$H$5:$H$1204="Confirmado")))*Agenda!$A$5:$A$1204+(1-((Agenda!$E$5:$E$1204=A111)*((Agenda!$H$5:$H$1204="Agendado")+(Agenda!$H$5:$H$1204="Confirmado"))))*1E+10))&gt;=1E+10,"",SUMPRODUCT(MIN(((Agenda!$E$5:$E$1204=A111)*((Agenda!$H$5:$H$1204="Agendado")+(Agenda!$H$5:$H$1204="Confirmado")))*Agenda!$A$5:$A$1204+(1-((Agenda!$E$5:$E$1204=A111)*((Agenda!$H$5:$H$1204="Agendado")+(Agenda!$H$5:$H$1204="Confirmado"))))*1E+10))))</f>
        <v>46296.0</v>
      </c>
    </row>
    <row r="112">
      <c r="A112" s="36" t="inlineStr">
        <is>
          <t>Priscila Nunes</t>
        </is>
      </c>
      <c r="B112" s="37" t="inlineStr">
        <is>
          <t>MediPlan</t>
        </is>
      </c>
      <c r="C112" s="37" t="inlineStr">
        <is>
          <t>Dra. Carolina Mendes</t>
        </is>
      </c>
      <c r="D112" s="36" t="inlineStr">
        <is>
          <t>(11) 90000-0117</t>
        </is>
      </c>
      <c r="E112" s="36" t="n"/>
      <c r="F112" s="29">
        <f>IF(A112="","",COUNTIFS(Agenda!$E$5:$E$1204,A112,Agenda!$H$5:$H$1204,"Realizado"))</f>
        <v>5</v>
      </c>
      <c r="G112" s="29">
        <f>IF(A112="","",COUNTIFS(Agenda!$E$5:$E$1204,A112,Agenda!$H$5:$H$1204,"Falta"))</f>
        <v>0</v>
      </c>
      <c r="H112" s="33">
        <f>IF(A112="","",IF(SUMPRODUCT(MAX((Agenda!$E$5:$E$1204=A112)*(Agenda!$H$5:$H$1204="Realizado")*Agenda!$A$5:$A$1204))=0,"",SUMPRODUCT(MAX((Agenda!$E$5:$E$1204=A112)*(Agenda!$H$5:$H$1204="Realizado")*Agenda!$A$5:$A$1204))))</f>
        <v>46265.0</v>
      </c>
      <c r="I112" s="33">
        <f>IF(A112="","",IF(SUMPRODUCT(MIN(((Agenda!$E$5:$E$1204=A112)*((Agenda!$H$5:$H$1204="Agendado")+(Agenda!$H$5:$H$1204="Confirmado")))*Agenda!$A$5:$A$1204+(1-((Agenda!$E$5:$E$1204=A112)*((Agenda!$H$5:$H$1204="Agendado")+(Agenda!$H$5:$H$1204="Confirmado"))))*1E+10))&gt;=1E+10,"",SUMPRODUCT(MIN(((Agenda!$E$5:$E$1204=A112)*((Agenda!$H$5:$H$1204="Agendado")+(Agenda!$H$5:$H$1204="Confirmado")))*Agenda!$A$5:$A$1204+(1-((Agenda!$E$5:$E$1204=A112)*((Agenda!$H$5:$H$1204="Agendado")+(Agenda!$H$5:$H$1204="Confirmado"))))*1E+10))))</f>
        <v>46300.0</v>
      </c>
    </row>
    <row r="113">
      <c r="A113" s="36" t="inlineStr">
        <is>
          <t>Priscila Pinto</t>
        </is>
      </c>
      <c r="B113" s="37" t="inlineStr">
        <is>
          <t>Saúde Total</t>
        </is>
      </c>
      <c r="C113" s="37" t="inlineStr">
        <is>
          <t>Dr. Paulo Andrade</t>
        </is>
      </c>
      <c r="D113" s="36" t="inlineStr">
        <is>
          <t>(11) 90000-0218</t>
        </is>
      </c>
      <c r="E113" s="36" t="n"/>
      <c r="F113" s="29">
        <f>IF(A113="","",COUNTIFS(Agenda!$E$5:$E$1204,A113,Agenda!$H$5:$H$1204,"Realizado"))</f>
        <v>2</v>
      </c>
      <c r="G113" s="29">
        <f>IF(A113="","",COUNTIFS(Agenda!$E$5:$E$1204,A113,Agenda!$H$5:$H$1204,"Falta"))</f>
        <v>0</v>
      </c>
      <c r="H113" s="33">
        <f>IF(A113="","",IF(SUMPRODUCT(MAX((Agenda!$E$5:$E$1204=A113)*(Agenda!$H$5:$H$1204="Realizado")*Agenda!$A$5:$A$1204))=0,"",SUMPRODUCT(MAX((Agenda!$E$5:$E$1204=A113)*(Agenda!$H$5:$H$1204="Realizado")*Agenda!$A$5:$A$1204))))</f>
        <v>46212.0</v>
      </c>
      <c r="I113" s="33">
        <f>IF(A113="","",IF(SUMPRODUCT(MIN(((Agenda!$E$5:$E$1204=A113)*((Agenda!$H$5:$H$1204="Agendado")+(Agenda!$H$5:$H$1204="Confirmado")))*Agenda!$A$5:$A$1204+(1-((Agenda!$E$5:$E$1204=A113)*((Agenda!$H$5:$H$1204="Agendado")+(Agenda!$H$5:$H$1204="Confirmado"))))*1E+10))&gt;=1E+10,"",SUMPRODUCT(MIN(((Agenda!$E$5:$E$1204=A113)*((Agenda!$H$5:$H$1204="Agendado")+(Agenda!$H$5:$H$1204="Confirmado")))*Agenda!$A$5:$A$1204+(1-((Agenda!$E$5:$E$1204=A113)*((Agenda!$H$5:$H$1204="Agendado")+(Agenda!$H$5:$H$1204="Confirmado"))))*1E+10))))</f>
        <v/>
      </c>
    </row>
    <row r="114">
      <c r="A114" s="36" t="inlineStr">
        <is>
          <t>Priscila Reis</t>
        </is>
      </c>
      <c r="B114" s="37" t="inlineStr">
        <is>
          <t>Particular</t>
        </is>
      </c>
      <c r="C114" s="37" t="inlineStr">
        <is>
          <t>Dra. Renata Sousa</t>
        </is>
      </c>
      <c r="D114" s="36" t="inlineStr">
        <is>
          <t>(11) 90000-0239</t>
        </is>
      </c>
      <c r="E114" s="36" t="n"/>
      <c r="F114" s="29">
        <f>IF(A114="","",COUNTIFS(Agenda!$E$5:$E$1204,A114,Agenda!$H$5:$H$1204,"Realizado"))</f>
        <v>6</v>
      </c>
      <c r="G114" s="29">
        <f>IF(A114="","",COUNTIFS(Agenda!$E$5:$E$1204,A114,Agenda!$H$5:$H$1204,"Falta"))</f>
        <v>0</v>
      </c>
      <c r="H114" s="33">
        <f>IF(A114="","",IF(SUMPRODUCT(MAX((Agenda!$E$5:$E$1204=A114)*(Agenda!$H$5:$H$1204="Realizado")*Agenda!$A$5:$A$1204))=0,"",SUMPRODUCT(MAX((Agenda!$E$5:$E$1204=A114)*(Agenda!$H$5:$H$1204="Realizado")*Agenda!$A$5:$A$1204))))</f>
        <v>46275.0</v>
      </c>
      <c r="I114" s="33">
        <f>IF(A114="","",IF(SUMPRODUCT(MIN(((Agenda!$E$5:$E$1204=A114)*((Agenda!$H$5:$H$1204="Agendado")+(Agenda!$H$5:$H$1204="Confirmado")))*Agenda!$A$5:$A$1204+(1-((Agenda!$E$5:$E$1204=A114)*((Agenda!$H$5:$H$1204="Agendado")+(Agenda!$H$5:$H$1204="Confirmado"))))*1E+10))&gt;=1E+10,"",SUMPRODUCT(MIN(((Agenda!$E$5:$E$1204=A114)*((Agenda!$H$5:$H$1204="Agendado")+(Agenda!$H$5:$H$1204="Confirmado")))*Agenda!$A$5:$A$1204+(1-((Agenda!$E$5:$E$1204=A114)*((Agenda!$H$5:$H$1204="Agendado")+(Agenda!$H$5:$H$1204="Confirmado"))))*1E+10))))</f>
        <v>46287.0</v>
      </c>
    </row>
    <row r="115">
      <c r="A115" s="36" t="inlineStr">
        <is>
          <t>Priscila Rocha</t>
        </is>
      </c>
      <c r="B115" s="37" t="inlineStr">
        <is>
          <t>MediPlan</t>
        </is>
      </c>
      <c r="C115" s="37" t="inlineStr">
        <is>
          <t>Dr. Paulo Andrade</t>
        </is>
      </c>
      <c r="D115" s="36" t="inlineStr">
        <is>
          <t>(11) 90000-0172</t>
        </is>
      </c>
      <c r="E115" s="36" t="n"/>
      <c r="F115" s="29">
        <f>IF(A115="","",COUNTIFS(Agenda!$E$5:$E$1204,A115,Agenda!$H$5:$H$1204,"Realizado"))</f>
        <v>3</v>
      </c>
      <c r="G115" s="29">
        <f>IF(A115="","",COUNTIFS(Agenda!$E$5:$E$1204,A115,Agenda!$H$5:$H$1204,"Falta"))</f>
        <v>0</v>
      </c>
      <c r="H115" s="33">
        <f>IF(A115="","",IF(SUMPRODUCT(MAX((Agenda!$E$5:$E$1204=A115)*(Agenda!$H$5:$H$1204="Realizado")*Agenda!$A$5:$A$1204))=0,"",SUMPRODUCT(MAX((Agenda!$E$5:$E$1204=A115)*(Agenda!$H$5:$H$1204="Realizado")*Agenda!$A$5:$A$1204))))</f>
        <v>46231.0</v>
      </c>
      <c r="I115" s="33">
        <f>IF(A115="","",IF(SUMPRODUCT(MIN(((Agenda!$E$5:$E$1204=A115)*((Agenda!$H$5:$H$1204="Agendado")+(Agenda!$H$5:$H$1204="Confirmado")))*Agenda!$A$5:$A$1204+(1-((Agenda!$E$5:$E$1204=A115)*((Agenda!$H$5:$H$1204="Agendado")+(Agenda!$H$5:$H$1204="Confirmado"))))*1E+10))&gt;=1E+10,"",SUMPRODUCT(MIN(((Agenda!$E$5:$E$1204=A115)*((Agenda!$H$5:$H$1204="Agendado")+(Agenda!$H$5:$H$1204="Confirmado")))*Agenda!$A$5:$A$1204+(1-((Agenda!$E$5:$E$1204=A115)*((Agenda!$H$5:$H$1204="Agendado")+(Agenda!$H$5:$H$1204="Confirmado"))))*1E+10))))</f>
        <v>46279.0</v>
      </c>
    </row>
    <row r="116">
      <c r="A116" s="36" t="inlineStr">
        <is>
          <t>Rafael Araújo</t>
        </is>
      </c>
      <c r="B116" s="37" t="inlineStr">
        <is>
          <t>MediPlan</t>
        </is>
      </c>
      <c r="C116" s="37" t="inlineStr">
        <is>
          <t>Dr. Paulo Andrade</t>
        </is>
      </c>
      <c r="D116" s="36" t="inlineStr">
        <is>
          <t>(11) 90000-0214</t>
        </is>
      </c>
      <c r="E116" s="36" t="n"/>
      <c r="F116" s="29">
        <f>IF(A116="","",COUNTIFS(Agenda!$E$5:$E$1204,A116,Agenda!$H$5:$H$1204,"Realizado"))</f>
        <v>3</v>
      </c>
      <c r="G116" s="29">
        <f>IF(A116="","",COUNTIFS(Agenda!$E$5:$E$1204,A116,Agenda!$H$5:$H$1204,"Falta"))</f>
        <v>0</v>
      </c>
      <c r="H116" s="33">
        <f>IF(A116="","",IF(SUMPRODUCT(MAX((Agenda!$E$5:$E$1204=A116)*(Agenda!$H$5:$H$1204="Realizado")*Agenda!$A$5:$A$1204))=0,"",SUMPRODUCT(MAX((Agenda!$E$5:$E$1204=A116)*(Agenda!$H$5:$H$1204="Realizado")*Agenda!$A$5:$A$1204))))</f>
        <v>46234.0</v>
      </c>
      <c r="I116" s="33">
        <f>IF(A116="","",IF(SUMPRODUCT(MIN(((Agenda!$E$5:$E$1204=A116)*((Agenda!$H$5:$H$1204="Agendado")+(Agenda!$H$5:$H$1204="Confirmado")))*Agenda!$A$5:$A$1204+(1-((Agenda!$E$5:$E$1204=A116)*((Agenda!$H$5:$H$1204="Agendado")+(Agenda!$H$5:$H$1204="Confirmado"))))*1E+10))&gt;=1E+10,"",SUMPRODUCT(MIN(((Agenda!$E$5:$E$1204=A116)*((Agenda!$H$5:$H$1204="Agendado")+(Agenda!$H$5:$H$1204="Confirmado")))*Agenda!$A$5:$A$1204+(1-((Agenda!$E$5:$E$1204=A116)*((Agenda!$H$5:$H$1204="Agendado")+(Agenda!$H$5:$H$1204="Confirmado"))))*1E+10))))</f>
        <v/>
      </c>
    </row>
    <row r="117">
      <c r="A117" s="36" t="inlineStr">
        <is>
          <t>Rafael Barros</t>
        </is>
      </c>
      <c r="B117" s="37" t="inlineStr">
        <is>
          <t>Particular</t>
        </is>
      </c>
      <c r="C117" s="37" t="inlineStr">
        <is>
          <t>Dr. Paulo Andrade</t>
        </is>
      </c>
      <c r="D117" s="36" t="inlineStr">
        <is>
          <t>(11) 90000-0209</t>
        </is>
      </c>
      <c r="E117" s="36" t="n"/>
      <c r="F117" s="29">
        <f>IF(A117="","",COUNTIFS(Agenda!$E$5:$E$1204,A117,Agenda!$H$5:$H$1204,"Realizado"))</f>
        <v>7</v>
      </c>
      <c r="G117" s="29">
        <f>IF(A117="","",COUNTIFS(Agenda!$E$5:$E$1204,A117,Agenda!$H$5:$H$1204,"Falta"))</f>
        <v>0</v>
      </c>
      <c r="H117" s="33">
        <f>IF(A117="","",IF(SUMPRODUCT(MAX((Agenda!$E$5:$E$1204=A117)*(Agenda!$H$5:$H$1204="Realizado")*Agenda!$A$5:$A$1204))=0,"",SUMPRODUCT(MAX((Agenda!$E$5:$E$1204=A117)*(Agenda!$H$5:$H$1204="Realizado")*Agenda!$A$5:$A$1204))))</f>
        <v>46273.0</v>
      </c>
      <c r="I117" s="33">
        <f>IF(A117="","",IF(SUMPRODUCT(MIN(((Agenda!$E$5:$E$1204=A117)*((Agenda!$H$5:$H$1204="Agendado")+(Agenda!$H$5:$H$1204="Confirmado")))*Agenda!$A$5:$A$1204+(1-((Agenda!$E$5:$E$1204=A117)*((Agenda!$H$5:$H$1204="Agendado")+(Agenda!$H$5:$H$1204="Confirmado"))))*1E+10))&gt;=1E+10,"",SUMPRODUCT(MIN(((Agenda!$E$5:$E$1204=A117)*((Agenda!$H$5:$H$1204="Agendado")+(Agenda!$H$5:$H$1204="Confirmado")))*Agenda!$A$5:$A$1204+(1-((Agenda!$E$5:$E$1204=A117)*((Agenda!$H$5:$H$1204="Agendado")+(Agenda!$H$5:$H$1204="Confirmado"))))*1E+10))))</f>
        <v>46289.0</v>
      </c>
    </row>
    <row r="118">
      <c r="A118" s="36" t="inlineStr">
        <is>
          <t>Rafael Batista</t>
        </is>
      </c>
      <c r="B118" s="37" t="inlineStr">
        <is>
          <t>Saúde Total</t>
        </is>
      </c>
      <c r="C118" s="37" t="inlineStr">
        <is>
          <t>Dra. Carolina Mendes</t>
        </is>
      </c>
      <c r="D118" s="36" t="inlineStr">
        <is>
          <t>(11) 90000-0115</t>
        </is>
      </c>
      <c r="E118" s="36" t="n"/>
      <c r="F118" s="29">
        <f>IF(A118="","",COUNTIFS(Agenda!$E$5:$E$1204,A118,Agenda!$H$5:$H$1204,"Realizado"))</f>
        <v>1</v>
      </c>
      <c r="G118" s="29">
        <f>IF(A118="","",COUNTIFS(Agenda!$E$5:$E$1204,A118,Agenda!$H$5:$H$1204,"Falta"))</f>
        <v>0</v>
      </c>
      <c r="H118" s="33">
        <f>IF(A118="","",IF(SUMPRODUCT(MAX((Agenda!$E$5:$E$1204=A118)*(Agenda!$H$5:$H$1204="Realizado")*Agenda!$A$5:$A$1204))=0,"",SUMPRODUCT(MAX((Agenda!$E$5:$E$1204=A118)*(Agenda!$H$5:$H$1204="Realizado")*Agenda!$A$5:$A$1204))))</f>
        <v>46237.0</v>
      </c>
      <c r="I118" s="33">
        <f>IF(A118="","",IF(SUMPRODUCT(MIN(((Agenda!$E$5:$E$1204=A118)*((Agenda!$H$5:$H$1204="Agendado")+(Agenda!$H$5:$H$1204="Confirmado")))*Agenda!$A$5:$A$1204+(1-((Agenda!$E$5:$E$1204=A118)*((Agenda!$H$5:$H$1204="Agendado")+(Agenda!$H$5:$H$1204="Confirmado"))))*1E+10))&gt;=1E+10,"",SUMPRODUCT(MIN(((Agenda!$E$5:$E$1204=A118)*((Agenda!$H$5:$H$1204="Agendado")+(Agenda!$H$5:$H$1204="Confirmado")))*Agenda!$A$5:$A$1204+(1-((Agenda!$E$5:$E$1204=A118)*((Agenda!$H$5:$H$1204="Agendado")+(Agenda!$H$5:$H$1204="Confirmado"))))*1E+10))))</f>
        <v>46290.0</v>
      </c>
    </row>
    <row r="119">
      <c r="A119" s="36" t="inlineStr">
        <is>
          <t>Rafael Correia</t>
        </is>
      </c>
      <c r="B119" s="37" t="inlineStr">
        <is>
          <t>Particular</t>
        </is>
      </c>
      <c r="C119" s="37" t="inlineStr">
        <is>
          <t>Dr. Paulo Andrade</t>
        </is>
      </c>
      <c r="D119" s="36" t="inlineStr">
        <is>
          <t>(11) 90000-0195</t>
        </is>
      </c>
      <c r="E119" s="36" t="n"/>
      <c r="F119" s="29">
        <f>IF(A119="","",COUNTIFS(Agenda!$E$5:$E$1204,A119,Agenda!$H$5:$H$1204,"Realizado"))</f>
        <v>3</v>
      </c>
      <c r="G119" s="29">
        <f>IF(A119="","",COUNTIFS(Agenda!$E$5:$E$1204,A119,Agenda!$H$5:$H$1204,"Falta"))</f>
        <v>0</v>
      </c>
      <c r="H119" s="33">
        <f>IF(A119="","",IF(SUMPRODUCT(MAX((Agenda!$E$5:$E$1204=A119)*(Agenda!$H$5:$H$1204="Realizado")*Agenda!$A$5:$A$1204))=0,"",SUMPRODUCT(MAX((Agenda!$E$5:$E$1204=A119)*(Agenda!$H$5:$H$1204="Realizado")*Agenda!$A$5:$A$1204))))</f>
        <v>46265.0</v>
      </c>
      <c r="I119" s="33">
        <f>IF(A119="","",IF(SUMPRODUCT(MIN(((Agenda!$E$5:$E$1204=A119)*((Agenda!$H$5:$H$1204="Agendado")+(Agenda!$H$5:$H$1204="Confirmado")))*Agenda!$A$5:$A$1204+(1-((Agenda!$E$5:$E$1204=A119)*((Agenda!$H$5:$H$1204="Agendado")+(Agenda!$H$5:$H$1204="Confirmado"))))*1E+10))&gt;=1E+10,"",SUMPRODUCT(MIN(((Agenda!$E$5:$E$1204=A119)*((Agenda!$H$5:$H$1204="Agendado")+(Agenda!$H$5:$H$1204="Confirmado")))*Agenda!$A$5:$A$1204+(1-((Agenda!$E$5:$E$1204=A119)*((Agenda!$H$5:$H$1204="Agendado")+(Agenda!$H$5:$H$1204="Confirmado"))))*1E+10))))</f>
        <v>46280.0</v>
      </c>
    </row>
    <row r="120">
      <c r="A120" s="36" t="inlineStr">
        <is>
          <t>Rafael Dias</t>
        </is>
      </c>
      <c r="B120" s="37" t="inlineStr">
        <is>
          <t>Particular</t>
        </is>
      </c>
      <c r="C120" s="37" t="inlineStr">
        <is>
          <t>Dra. Carolina Mendes</t>
        </is>
      </c>
      <c r="D120" s="36" t="inlineStr">
        <is>
          <t>(11) 90000-0113</t>
        </is>
      </c>
      <c r="E120" s="36" t="n"/>
      <c r="F120" s="29">
        <f>IF(A120="","",COUNTIFS(Agenda!$E$5:$E$1204,A120,Agenda!$H$5:$H$1204,"Realizado"))</f>
        <v>8</v>
      </c>
      <c r="G120" s="29">
        <f>IF(A120="","",COUNTIFS(Agenda!$E$5:$E$1204,A120,Agenda!$H$5:$H$1204,"Falta"))</f>
        <v>0</v>
      </c>
      <c r="H120" s="33">
        <f>IF(A120="","",IF(SUMPRODUCT(MAX((Agenda!$E$5:$E$1204=A120)*(Agenda!$H$5:$H$1204="Realizado")*Agenda!$A$5:$A$1204))=0,"",SUMPRODUCT(MAX((Agenda!$E$5:$E$1204=A120)*(Agenda!$H$5:$H$1204="Realizado")*Agenda!$A$5:$A$1204))))</f>
        <v>46275.0</v>
      </c>
      <c r="I120" s="33">
        <f>IF(A120="","",IF(SUMPRODUCT(MIN(((Agenda!$E$5:$E$1204=A120)*((Agenda!$H$5:$H$1204="Agendado")+(Agenda!$H$5:$H$1204="Confirmado")))*Agenda!$A$5:$A$1204+(1-((Agenda!$E$5:$E$1204=A120)*((Agenda!$H$5:$H$1204="Agendado")+(Agenda!$H$5:$H$1204="Confirmado"))))*1E+10))&gt;=1E+10,"",SUMPRODUCT(MIN(((Agenda!$E$5:$E$1204=A120)*((Agenda!$H$5:$H$1204="Agendado")+(Agenda!$H$5:$H$1204="Confirmado")))*Agenda!$A$5:$A$1204+(1-((Agenda!$E$5:$E$1204=A120)*((Agenda!$H$5:$H$1204="Agendado")+(Agenda!$H$5:$H$1204="Confirmado"))))*1E+10))))</f>
        <v>46281.0</v>
      </c>
    </row>
    <row r="121">
      <c r="A121" s="36" t="inlineStr">
        <is>
          <t>Rafael Nascimento</t>
        </is>
      </c>
      <c r="B121" s="37" t="inlineStr">
        <is>
          <t>Saúde Total</t>
        </is>
      </c>
      <c r="C121" s="37" t="inlineStr">
        <is>
          <t>Dra. Renata Sousa</t>
        </is>
      </c>
      <c r="D121" s="36" t="inlineStr">
        <is>
          <t>(11) 90000-0247</t>
        </is>
      </c>
      <c r="E121" s="36" t="n"/>
      <c r="F121" s="29">
        <f>IF(A121="","",COUNTIFS(Agenda!$E$5:$E$1204,A121,Agenda!$H$5:$H$1204,"Realizado"))</f>
        <v>1</v>
      </c>
      <c r="G121" s="29">
        <f>IF(A121="","",COUNTIFS(Agenda!$E$5:$E$1204,A121,Agenda!$H$5:$H$1204,"Falta"))</f>
        <v>0</v>
      </c>
      <c r="H121" s="33">
        <f>IF(A121="","",IF(SUMPRODUCT(MAX((Agenda!$E$5:$E$1204=A121)*(Agenda!$H$5:$H$1204="Realizado")*Agenda!$A$5:$A$1204))=0,"",SUMPRODUCT(MAX((Agenda!$E$5:$E$1204=A121)*(Agenda!$H$5:$H$1204="Realizado")*Agenda!$A$5:$A$1204))))</f>
        <v>46245.0</v>
      </c>
      <c r="I121" s="33">
        <f>IF(A121="","",IF(SUMPRODUCT(MIN(((Agenda!$E$5:$E$1204=A121)*((Agenda!$H$5:$H$1204="Agendado")+(Agenda!$H$5:$H$1204="Confirmado")))*Agenda!$A$5:$A$1204+(1-((Agenda!$E$5:$E$1204=A121)*((Agenda!$H$5:$H$1204="Agendado")+(Agenda!$H$5:$H$1204="Confirmado"))))*1E+10))&gt;=1E+10,"",SUMPRODUCT(MIN(((Agenda!$E$5:$E$1204=A121)*((Agenda!$H$5:$H$1204="Agendado")+(Agenda!$H$5:$H$1204="Confirmado")))*Agenda!$A$5:$A$1204+(1-((Agenda!$E$5:$E$1204=A121)*((Agenda!$H$5:$H$1204="Agendado")+(Agenda!$H$5:$H$1204="Confirmado"))))*1E+10))))</f>
        <v/>
      </c>
    </row>
    <row r="122">
      <c r="A122" s="36" t="inlineStr">
        <is>
          <t>Rafael Pereira</t>
        </is>
      </c>
      <c r="B122" s="37" t="inlineStr">
        <is>
          <t>Particular</t>
        </is>
      </c>
      <c r="C122" s="37" t="inlineStr">
        <is>
          <t>Dra. Renata Sousa</t>
        </is>
      </c>
      <c r="D122" s="36" t="inlineStr">
        <is>
          <t>(11) 90000-0232</t>
        </is>
      </c>
      <c r="E122" s="36" t="n"/>
      <c r="F122" s="29">
        <f>IF(A122="","",COUNTIFS(Agenda!$E$5:$E$1204,A122,Agenda!$H$5:$H$1204,"Realizado"))</f>
        <v>6</v>
      </c>
      <c r="G122" s="29">
        <f>IF(A122="","",COUNTIFS(Agenda!$E$5:$E$1204,A122,Agenda!$H$5:$H$1204,"Falta"))</f>
        <v>1</v>
      </c>
      <c r="H122" s="33">
        <f>IF(A122="","",IF(SUMPRODUCT(MAX((Agenda!$E$5:$E$1204=A122)*(Agenda!$H$5:$H$1204="Realizado")*Agenda!$A$5:$A$1204))=0,"",SUMPRODUCT(MAX((Agenda!$E$5:$E$1204=A122)*(Agenda!$H$5:$H$1204="Realizado")*Agenda!$A$5:$A$1204))))</f>
        <v>46268.0</v>
      </c>
      <c r="I122" s="33">
        <f>IF(A122="","",IF(SUMPRODUCT(MIN(((Agenda!$E$5:$E$1204=A122)*((Agenda!$H$5:$H$1204="Agendado")+(Agenda!$H$5:$H$1204="Confirmado")))*Agenda!$A$5:$A$1204+(1-((Agenda!$E$5:$E$1204=A122)*((Agenda!$H$5:$H$1204="Agendado")+(Agenda!$H$5:$H$1204="Confirmado"))))*1E+10))&gt;=1E+10,"",SUMPRODUCT(MIN(((Agenda!$E$5:$E$1204=A122)*((Agenda!$H$5:$H$1204="Agendado")+(Agenda!$H$5:$H$1204="Confirmado")))*Agenda!$A$5:$A$1204+(1-((Agenda!$E$5:$E$1204=A122)*((Agenda!$H$5:$H$1204="Agendado")+(Agenda!$H$5:$H$1204="Confirmado"))))*1E+10))))</f>
        <v/>
      </c>
    </row>
    <row r="123">
      <c r="A123" s="36" t="inlineStr">
        <is>
          <t>Regina Castro</t>
        </is>
      </c>
      <c r="B123" s="37" t="inlineStr">
        <is>
          <t>Vida Care</t>
        </is>
      </c>
      <c r="C123" s="37" t="inlineStr">
        <is>
          <t>Dra. Carolina Mendes</t>
        </is>
      </c>
      <c r="D123" s="36" t="inlineStr">
        <is>
          <t>(11) 90000-0107</t>
        </is>
      </c>
      <c r="E123" s="36" t="n"/>
      <c r="F123" s="29">
        <f>IF(A123="","",COUNTIFS(Agenda!$E$5:$E$1204,A123,Agenda!$H$5:$H$1204,"Realizado"))</f>
        <v>6</v>
      </c>
      <c r="G123" s="29">
        <f>IF(A123="","",COUNTIFS(Agenda!$E$5:$E$1204,A123,Agenda!$H$5:$H$1204,"Falta"))</f>
        <v>1</v>
      </c>
      <c r="H123" s="33">
        <f>IF(A123="","",IF(SUMPRODUCT(MAX((Agenda!$E$5:$E$1204=A123)*(Agenda!$H$5:$H$1204="Realizado")*Agenda!$A$5:$A$1204))=0,"",SUMPRODUCT(MAX((Agenda!$E$5:$E$1204=A123)*(Agenda!$H$5:$H$1204="Realizado")*Agenda!$A$5:$A$1204))))</f>
        <v>46261.0</v>
      </c>
      <c r="I123" s="33">
        <f>IF(A123="","",IF(SUMPRODUCT(MIN(((Agenda!$E$5:$E$1204=A123)*((Agenda!$H$5:$H$1204="Agendado")+(Agenda!$H$5:$H$1204="Confirmado")))*Agenda!$A$5:$A$1204+(1-((Agenda!$E$5:$E$1204=A123)*((Agenda!$H$5:$H$1204="Agendado")+(Agenda!$H$5:$H$1204="Confirmado"))))*1E+10))&gt;=1E+10,"",SUMPRODUCT(MIN(((Agenda!$E$5:$E$1204=A123)*((Agenda!$H$5:$H$1204="Agendado")+(Agenda!$H$5:$H$1204="Confirmado")))*Agenda!$A$5:$A$1204+(1-((Agenda!$E$5:$E$1204=A123)*((Agenda!$H$5:$H$1204="Agendado")+(Agenda!$H$5:$H$1204="Confirmado"))))*1E+10))))</f>
        <v>46279.0</v>
      </c>
    </row>
    <row r="124">
      <c r="A124" s="36" t="inlineStr">
        <is>
          <t>Regina Duarte</t>
        </is>
      </c>
      <c r="B124" s="37" t="inlineStr">
        <is>
          <t>Particular</t>
        </is>
      </c>
      <c r="C124" s="37" t="inlineStr">
        <is>
          <t>Dra. Carolina Mendes</t>
        </is>
      </c>
      <c r="D124" s="36" t="inlineStr">
        <is>
          <t>(11) 90000-0114</t>
        </is>
      </c>
      <c r="E124" s="36" t="n"/>
      <c r="F124" s="29">
        <f>IF(A124="","",COUNTIFS(Agenda!$E$5:$E$1204,A124,Agenda!$H$5:$H$1204,"Realizado"))</f>
        <v>7</v>
      </c>
      <c r="G124" s="29">
        <f>IF(A124="","",COUNTIFS(Agenda!$E$5:$E$1204,A124,Agenda!$H$5:$H$1204,"Falta"))</f>
        <v>0</v>
      </c>
      <c r="H124" s="33">
        <f>IF(A124="","",IF(SUMPRODUCT(MAX((Agenda!$E$5:$E$1204=A124)*(Agenda!$H$5:$H$1204="Realizado")*Agenda!$A$5:$A$1204))=0,"",SUMPRODUCT(MAX((Agenda!$E$5:$E$1204=A124)*(Agenda!$H$5:$H$1204="Realizado")*Agenda!$A$5:$A$1204))))</f>
        <v>46276.0</v>
      </c>
      <c r="I124" s="33">
        <f>IF(A124="","",IF(SUMPRODUCT(MIN(((Agenda!$E$5:$E$1204=A124)*((Agenda!$H$5:$H$1204="Agendado")+(Agenda!$H$5:$H$1204="Confirmado")))*Agenda!$A$5:$A$1204+(1-((Agenda!$E$5:$E$1204=A124)*((Agenda!$H$5:$H$1204="Agendado")+(Agenda!$H$5:$H$1204="Confirmado"))))*1E+10))&gt;=1E+10,"",SUMPRODUCT(MIN(((Agenda!$E$5:$E$1204=A124)*((Agenda!$H$5:$H$1204="Agendado")+(Agenda!$H$5:$H$1204="Confirmado")))*Agenda!$A$5:$A$1204+(1-((Agenda!$E$5:$E$1204=A124)*((Agenda!$H$5:$H$1204="Agendado")+(Agenda!$H$5:$H$1204="Confirmado"))))*1E+10))))</f>
        <v>46279.0</v>
      </c>
    </row>
    <row r="125">
      <c r="A125" s="36" t="inlineStr">
        <is>
          <t>Regina Macedo</t>
        </is>
      </c>
      <c r="B125" s="37" t="inlineStr">
        <is>
          <t>Particular</t>
        </is>
      </c>
      <c r="C125" s="37" t="inlineStr">
        <is>
          <t>Dra. Carolina Mendes</t>
        </is>
      </c>
      <c r="D125" s="36" t="inlineStr">
        <is>
          <t>(11) 90000-0127</t>
        </is>
      </c>
      <c r="E125" s="36" t="n"/>
      <c r="F125" s="29">
        <f>IF(A125="","",COUNTIFS(Agenda!$E$5:$E$1204,A125,Agenda!$H$5:$H$1204,"Realizado"))</f>
        <v>7</v>
      </c>
      <c r="G125" s="29">
        <f>IF(A125="","",COUNTIFS(Agenda!$E$5:$E$1204,A125,Agenda!$H$5:$H$1204,"Falta"))</f>
        <v>0</v>
      </c>
      <c r="H125" s="33">
        <f>IF(A125="","",IF(SUMPRODUCT(MAX((Agenda!$E$5:$E$1204=A125)*(Agenda!$H$5:$H$1204="Realizado")*Agenda!$A$5:$A$1204))=0,"",SUMPRODUCT(MAX((Agenda!$E$5:$E$1204=A125)*(Agenda!$H$5:$H$1204="Realizado")*Agenda!$A$5:$A$1204))))</f>
        <v>46275.0</v>
      </c>
      <c r="I125" s="33">
        <f>IF(A125="","",IF(SUMPRODUCT(MIN(((Agenda!$E$5:$E$1204=A125)*((Agenda!$H$5:$H$1204="Agendado")+(Agenda!$H$5:$H$1204="Confirmado")))*Agenda!$A$5:$A$1204+(1-((Agenda!$E$5:$E$1204=A125)*((Agenda!$H$5:$H$1204="Agendado")+(Agenda!$H$5:$H$1204="Confirmado"))))*1E+10))&gt;=1E+10,"",SUMPRODUCT(MIN(((Agenda!$E$5:$E$1204=A125)*((Agenda!$H$5:$H$1204="Agendado")+(Agenda!$H$5:$H$1204="Confirmado")))*Agenda!$A$5:$A$1204+(1-((Agenda!$E$5:$E$1204=A125)*((Agenda!$H$5:$H$1204="Agendado")+(Agenda!$H$5:$H$1204="Confirmado"))))*1E+10))))</f>
        <v>46283.0</v>
      </c>
    </row>
    <row r="126">
      <c r="A126" s="36" t="inlineStr">
        <is>
          <t>Regina Teixeira</t>
        </is>
      </c>
      <c r="B126" s="37" t="inlineStr">
        <is>
          <t>Particular</t>
        </is>
      </c>
      <c r="C126" s="37" t="inlineStr">
        <is>
          <t>Dra. Carolina Mendes</t>
        </is>
      </c>
      <c r="D126" s="36" t="inlineStr">
        <is>
          <t>(11) 90000-0109</t>
        </is>
      </c>
      <c r="E126" s="36" t="n"/>
      <c r="F126" s="29">
        <f>IF(A126="","",COUNTIFS(Agenda!$E$5:$E$1204,A126,Agenda!$H$5:$H$1204,"Realizado"))</f>
        <v>8</v>
      </c>
      <c r="G126" s="29">
        <f>IF(A126="","",COUNTIFS(Agenda!$E$5:$E$1204,A126,Agenda!$H$5:$H$1204,"Falta"))</f>
        <v>0</v>
      </c>
      <c r="H126" s="33">
        <f>IF(A126="","",IF(SUMPRODUCT(MAX((Agenda!$E$5:$E$1204=A126)*(Agenda!$H$5:$H$1204="Realizado")*Agenda!$A$5:$A$1204))=0,"",SUMPRODUCT(MAX((Agenda!$E$5:$E$1204=A126)*(Agenda!$H$5:$H$1204="Realizado")*Agenda!$A$5:$A$1204))))</f>
        <v>46268.0</v>
      </c>
      <c r="I126" s="33">
        <f>IF(A126="","",IF(SUMPRODUCT(MIN(((Agenda!$E$5:$E$1204=A126)*((Agenda!$H$5:$H$1204="Agendado")+(Agenda!$H$5:$H$1204="Confirmado")))*Agenda!$A$5:$A$1204+(1-((Agenda!$E$5:$E$1204=A126)*((Agenda!$H$5:$H$1204="Agendado")+(Agenda!$H$5:$H$1204="Confirmado"))))*1E+10))&gt;=1E+10,"",SUMPRODUCT(MIN(((Agenda!$E$5:$E$1204=A126)*((Agenda!$H$5:$H$1204="Agendado")+(Agenda!$H$5:$H$1204="Confirmado")))*Agenda!$A$5:$A$1204+(1-((Agenda!$E$5:$E$1204=A126)*((Agenda!$H$5:$H$1204="Agendado")+(Agenda!$H$5:$H$1204="Confirmado"))))*1E+10))))</f>
        <v/>
      </c>
    </row>
    <row r="127">
      <c r="A127" s="36" t="inlineStr">
        <is>
          <t>Renato Dias</t>
        </is>
      </c>
      <c r="B127" s="37" t="inlineStr">
        <is>
          <t>Particular</t>
        </is>
      </c>
      <c r="C127" s="37" t="inlineStr">
        <is>
          <t>Dra. Carolina Mendes</t>
        </is>
      </c>
      <c r="D127" s="36" t="inlineStr">
        <is>
          <t>(11) 90000-0146</t>
        </is>
      </c>
      <c r="E127" s="36" t="n"/>
      <c r="F127" s="29">
        <f>IF(A127="","",COUNTIFS(Agenda!$E$5:$E$1204,A127,Agenda!$H$5:$H$1204,"Realizado"))</f>
        <v>4</v>
      </c>
      <c r="G127" s="29">
        <f>IF(A127="","",COUNTIFS(Agenda!$E$5:$E$1204,A127,Agenda!$H$5:$H$1204,"Falta"))</f>
        <v>0</v>
      </c>
      <c r="H127" s="33">
        <f>IF(A127="","",IF(SUMPRODUCT(MAX((Agenda!$E$5:$E$1204=A127)*(Agenda!$H$5:$H$1204="Realizado")*Agenda!$A$5:$A$1204))=0,"",SUMPRODUCT(MAX((Agenda!$E$5:$E$1204=A127)*(Agenda!$H$5:$H$1204="Realizado")*Agenda!$A$5:$A$1204))))</f>
        <v>46265.0</v>
      </c>
      <c r="I127" s="33">
        <f>IF(A127="","",IF(SUMPRODUCT(MIN(((Agenda!$E$5:$E$1204=A127)*((Agenda!$H$5:$H$1204="Agendado")+(Agenda!$H$5:$H$1204="Confirmado")))*Agenda!$A$5:$A$1204+(1-((Agenda!$E$5:$E$1204=A127)*((Agenda!$H$5:$H$1204="Agendado")+(Agenda!$H$5:$H$1204="Confirmado"))))*1E+10))&gt;=1E+10,"",SUMPRODUCT(MIN(((Agenda!$E$5:$E$1204=A127)*((Agenda!$H$5:$H$1204="Agendado")+(Agenda!$H$5:$H$1204="Confirmado")))*Agenda!$A$5:$A$1204+(1-((Agenda!$E$5:$E$1204=A127)*((Agenda!$H$5:$H$1204="Agendado")+(Agenda!$H$5:$H$1204="Confirmado"))))*1E+10))))</f>
        <v>46279.0</v>
      </c>
    </row>
    <row r="128">
      <c r="A128" s="36" t="inlineStr">
        <is>
          <t>Renato Pereira</t>
        </is>
      </c>
      <c r="B128" s="37" t="inlineStr">
        <is>
          <t>MediPlan</t>
        </is>
      </c>
      <c r="C128" s="37" t="inlineStr">
        <is>
          <t>Dr. Paulo Andrade</t>
        </is>
      </c>
      <c r="D128" s="36" t="inlineStr">
        <is>
          <t>(11) 90000-0192</t>
        </is>
      </c>
      <c r="E128" s="36" t="n"/>
      <c r="F128" s="29">
        <f>IF(A128="","",COUNTIFS(Agenda!$E$5:$E$1204,A128,Agenda!$H$5:$H$1204,"Realizado"))</f>
        <v>2</v>
      </c>
      <c r="G128" s="29">
        <f>IF(A128="","",COUNTIFS(Agenda!$E$5:$E$1204,A128,Agenda!$H$5:$H$1204,"Falta"))</f>
        <v>0</v>
      </c>
      <c r="H128" s="33">
        <f>IF(A128="","",IF(SUMPRODUCT(MAX((Agenda!$E$5:$E$1204=A128)*(Agenda!$H$5:$H$1204="Realizado")*Agenda!$A$5:$A$1204))=0,"",SUMPRODUCT(MAX((Agenda!$E$5:$E$1204=A128)*(Agenda!$H$5:$H$1204="Realizado")*Agenda!$A$5:$A$1204))))</f>
        <v>46237.0</v>
      </c>
      <c r="I128" s="33">
        <f>IF(A128="","",IF(SUMPRODUCT(MIN(((Agenda!$E$5:$E$1204=A128)*((Agenda!$H$5:$H$1204="Agendado")+(Agenda!$H$5:$H$1204="Confirmado")))*Agenda!$A$5:$A$1204+(1-((Agenda!$E$5:$E$1204=A128)*((Agenda!$H$5:$H$1204="Agendado")+(Agenda!$H$5:$H$1204="Confirmado"))))*1E+10))&gt;=1E+10,"",SUMPRODUCT(MIN(((Agenda!$E$5:$E$1204=A128)*((Agenda!$H$5:$H$1204="Agendado")+(Agenda!$H$5:$H$1204="Confirmado")))*Agenda!$A$5:$A$1204+(1-((Agenda!$E$5:$E$1204=A128)*((Agenda!$H$5:$H$1204="Agendado")+(Agenda!$H$5:$H$1204="Confirmado"))))*1E+10))))</f>
        <v>46282.0</v>
      </c>
    </row>
    <row r="129">
      <c r="A129" s="36" t="inlineStr">
        <is>
          <t>Ricardo Melo</t>
        </is>
      </c>
      <c r="B129" s="37" t="inlineStr">
        <is>
          <t>Saúde Total</t>
        </is>
      </c>
      <c r="C129" s="37" t="inlineStr">
        <is>
          <t>Dra. Carolina Mendes</t>
        </is>
      </c>
      <c r="D129" s="36" t="inlineStr">
        <is>
          <t>(11) 90000-0161</t>
        </is>
      </c>
      <c r="E129" s="36" t="n"/>
      <c r="F129" s="29">
        <f>IF(A129="","",COUNTIFS(Agenda!$E$5:$E$1204,A129,Agenda!$H$5:$H$1204,"Realizado"))</f>
        <v>2</v>
      </c>
      <c r="G129" s="29">
        <f>IF(A129="","",COUNTIFS(Agenda!$E$5:$E$1204,A129,Agenda!$H$5:$H$1204,"Falta"))</f>
        <v>1</v>
      </c>
      <c r="H129" s="33">
        <f>IF(A129="","",IF(SUMPRODUCT(MAX((Agenda!$E$5:$E$1204=A129)*(Agenda!$H$5:$H$1204="Realizado")*Agenda!$A$5:$A$1204))=0,"",SUMPRODUCT(MAX((Agenda!$E$5:$E$1204=A129)*(Agenda!$H$5:$H$1204="Realizado")*Agenda!$A$5:$A$1204))))</f>
        <v>46240.0</v>
      </c>
      <c r="I129" s="33">
        <f>IF(A129="","",IF(SUMPRODUCT(MIN(((Agenda!$E$5:$E$1204=A129)*((Agenda!$H$5:$H$1204="Agendado")+(Agenda!$H$5:$H$1204="Confirmado")))*Agenda!$A$5:$A$1204+(1-((Agenda!$E$5:$E$1204=A129)*((Agenda!$H$5:$H$1204="Agendado")+(Agenda!$H$5:$H$1204="Confirmado"))))*1E+10))&gt;=1E+10,"",SUMPRODUCT(MIN(((Agenda!$E$5:$E$1204=A129)*((Agenda!$H$5:$H$1204="Agendado")+(Agenda!$H$5:$H$1204="Confirmado")))*Agenda!$A$5:$A$1204+(1-((Agenda!$E$5:$E$1204=A129)*((Agenda!$H$5:$H$1204="Agendado")+(Agenda!$H$5:$H$1204="Confirmado"))))*1E+10))))</f>
        <v>46300.0</v>
      </c>
    </row>
    <row r="130">
      <c r="A130" s="36" t="inlineStr">
        <is>
          <t>Roberta Almeida</t>
        </is>
      </c>
      <c r="B130" s="37" t="inlineStr">
        <is>
          <t>Saúde Total</t>
        </is>
      </c>
      <c r="C130" s="37" t="inlineStr">
        <is>
          <t>Dr. Paulo Andrade</t>
        </is>
      </c>
      <c r="D130" s="36" t="inlineStr">
        <is>
          <t>(11) 90000-0183</t>
        </is>
      </c>
      <c r="E130" s="36" t="n"/>
      <c r="F130" s="29">
        <f>IF(A130="","",COUNTIFS(Agenda!$E$5:$E$1204,A130,Agenda!$H$5:$H$1204,"Realizado"))</f>
        <v>1</v>
      </c>
      <c r="G130" s="29">
        <f>IF(A130="","",COUNTIFS(Agenda!$E$5:$E$1204,A130,Agenda!$H$5:$H$1204,"Falta"))</f>
        <v>0</v>
      </c>
      <c r="H130" s="33">
        <f>IF(A130="","",IF(SUMPRODUCT(MAX((Agenda!$E$5:$E$1204=A130)*(Agenda!$H$5:$H$1204="Realizado")*Agenda!$A$5:$A$1204))=0,"",SUMPRODUCT(MAX((Agenda!$E$5:$E$1204=A130)*(Agenda!$H$5:$H$1204="Realizado")*Agenda!$A$5:$A$1204))))</f>
        <v>46230.0</v>
      </c>
      <c r="I130" s="33">
        <f>IF(A130="","",IF(SUMPRODUCT(MIN(((Agenda!$E$5:$E$1204=A130)*((Agenda!$H$5:$H$1204="Agendado")+(Agenda!$H$5:$H$1204="Confirmado")))*Agenda!$A$5:$A$1204+(1-((Agenda!$E$5:$E$1204=A130)*((Agenda!$H$5:$H$1204="Agendado")+(Agenda!$H$5:$H$1204="Confirmado"))))*1E+10))&gt;=1E+10,"",SUMPRODUCT(MIN(((Agenda!$E$5:$E$1204=A130)*((Agenda!$H$5:$H$1204="Agendado")+(Agenda!$H$5:$H$1204="Confirmado")))*Agenda!$A$5:$A$1204+(1-((Agenda!$E$5:$E$1204=A130)*((Agenda!$H$5:$H$1204="Agendado")+(Agenda!$H$5:$H$1204="Confirmado"))))*1E+10))))</f>
        <v/>
      </c>
    </row>
    <row r="131">
      <c r="A131" s="36" t="inlineStr">
        <is>
          <t>Roberta Araújo</t>
        </is>
      </c>
      <c r="B131" s="37" t="inlineStr">
        <is>
          <t>Particular</t>
        </is>
      </c>
      <c r="C131" s="37" t="inlineStr">
        <is>
          <t>Dra. Carolina Mendes</t>
        </is>
      </c>
      <c r="D131" s="36" t="inlineStr">
        <is>
          <t>(11) 90000-0158</t>
        </is>
      </c>
      <c r="E131" s="36" t="n"/>
      <c r="F131" s="29">
        <f>IF(A131="","",COUNTIFS(Agenda!$E$5:$E$1204,A131,Agenda!$H$5:$H$1204,"Realizado"))</f>
        <v>5</v>
      </c>
      <c r="G131" s="29">
        <f>IF(A131="","",COUNTIFS(Agenda!$E$5:$E$1204,A131,Agenda!$H$5:$H$1204,"Falta"))</f>
        <v>0</v>
      </c>
      <c r="H131" s="33">
        <f>IF(A131="","",IF(SUMPRODUCT(MAX((Agenda!$E$5:$E$1204=A131)*(Agenda!$H$5:$H$1204="Realizado")*Agenda!$A$5:$A$1204))=0,"",SUMPRODUCT(MAX((Agenda!$E$5:$E$1204=A131)*(Agenda!$H$5:$H$1204="Realizado")*Agenda!$A$5:$A$1204))))</f>
        <v>46259.0</v>
      </c>
      <c r="I131" s="33">
        <f>IF(A131="","",IF(SUMPRODUCT(MIN(((Agenda!$E$5:$E$1204=A131)*((Agenda!$H$5:$H$1204="Agendado")+(Agenda!$H$5:$H$1204="Confirmado")))*Agenda!$A$5:$A$1204+(1-((Agenda!$E$5:$E$1204=A131)*((Agenda!$H$5:$H$1204="Agendado")+(Agenda!$H$5:$H$1204="Confirmado"))))*1E+10))&gt;=1E+10,"",SUMPRODUCT(MIN(((Agenda!$E$5:$E$1204=A131)*((Agenda!$H$5:$H$1204="Agendado")+(Agenda!$H$5:$H$1204="Confirmado")))*Agenda!$A$5:$A$1204+(1-((Agenda!$E$5:$E$1204=A131)*((Agenda!$H$5:$H$1204="Agendado")+(Agenda!$H$5:$H$1204="Confirmado"))))*1E+10))))</f>
        <v>46293.0</v>
      </c>
    </row>
    <row r="132">
      <c r="A132" s="36" t="inlineStr">
        <is>
          <t>Roberta Fernandes</t>
        </is>
      </c>
      <c r="B132" s="37" t="inlineStr">
        <is>
          <t>Saúde Total</t>
        </is>
      </c>
      <c r="C132" s="37" t="inlineStr">
        <is>
          <t>Dra. Carolina Mendes</t>
        </is>
      </c>
      <c r="D132" s="36" t="inlineStr">
        <is>
          <t>(11) 90000-0116</t>
        </is>
      </c>
      <c r="E132" s="36" t="n"/>
      <c r="F132" s="29">
        <f>IF(A132="","",COUNTIFS(Agenda!$E$5:$E$1204,A132,Agenda!$H$5:$H$1204,"Realizado"))</f>
        <v>5</v>
      </c>
      <c r="G132" s="29">
        <f>IF(A132="","",COUNTIFS(Agenda!$E$5:$E$1204,A132,Agenda!$H$5:$H$1204,"Falta"))</f>
        <v>0</v>
      </c>
      <c r="H132" s="33">
        <f>IF(A132="","",IF(SUMPRODUCT(MAX((Agenda!$E$5:$E$1204=A132)*(Agenda!$H$5:$H$1204="Realizado")*Agenda!$A$5:$A$1204))=0,"",SUMPRODUCT(MAX((Agenda!$E$5:$E$1204=A132)*(Agenda!$H$5:$H$1204="Realizado")*Agenda!$A$5:$A$1204))))</f>
        <v>46274.0</v>
      </c>
      <c r="I132" s="33">
        <f>IF(A132="","",IF(SUMPRODUCT(MIN(((Agenda!$E$5:$E$1204=A132)*((Agenda!$H$5:$H$1204="Agendado")+(Agenda!$H$5:$H$1204="Confirmado")))*Agenda!$A$5:$A$1204+(1-((Agenda!$E$5:$E$1204=A132)*((Agenda!$H$5:$H$1204="Agendado")+(Agenda!$H$5:$H$1204="Confirmado"))))*1E+10))&gt;=1E+10,"",SUMPRODUCT(MIN(((Agenda!$E$5:$E$1204=A132)*((Agenda!$H$5:$H$1204="Agendado")+(Agenda!$H$5:$H$1204="Confirmado")))*Agenda!$A$5:$A$1204+(1-((Agenda!$E$5:$E$1204=A132)*((Agenda!$H$5:$H$1204="Agendado")+(Agenda!$H$5:$H$1204="Confirmado"))))*1E+10))))</f>
        <v>46282.0</v>
      </c>
    </row>
    <row r="133">
      <c r="A133" s="36" t="inlineStr">
        <is>
          <t>Roberta Lima</t>
        </is>
      </c>
      <c r="B133" s="37" t="inlineStr">
        <is>
          <t>Particular</t>
        </is>
      </c>
      <c r="C133" s="37" t="inlineStr">
        <is>
          <t>Dra. Renata Sousa</t>
        </is>
      </c>
      <c r="D133" s="36" t="inlineStr">
        <is>
          <t>(11) 90000-0234</t>
        </is>
      </c>
      <c r="E133" s="36" t="n"/>
      <c r="F133" s="29">
        <f>IF(A133="","",COUNTIFS(Agenda!$E$5:$E$1204,A133,Agenda!$H$5:$H$1204,"Realizado"))</f>
        <v>4</v>
      </c>
      <c r="G133" s="29">
        <f>IF(A133="","",COUNTIFS(Agenda!$E$5:$E$1204,A133,Agenda!$H$5:$H$1204,"Falta"))</f>
        <v>0</v>
      </c>
      <c r="H133" s="33">
        <f>IF(A133="","",IF(SUMPRODUCT(MAX((Agenda!$E$5:$E$1204=A133)*(Agenda!$H$5:$H$1204="Realizado")*Agenda!$A$5:$A$1204))=0,"",SUMPRODUCT(MAX((Agenda!$E$5:$E$1204=A133)*(Agenda!$H$5:$H$1204="Realizado")*Agenda!$A$5:$A$1204))))</f>
        <v>46240.0</v>
      </c>
      <c r="I133" s="33">
        <f>IF(A133="","",IF(SUMPRODUCT(MIN(((Agenda!$E$5:$E$1204=A133)*((Agenda!$H$5:$H$1204="Agendado")+(Agenda!$H$5:$H$1204="Confirmado")))*Agenda!$A$5:$A$1204+(1-((Agenda!$E$5:$E$1204=A133)*((Agenda!$H$5:$H$1204="Agendado")+(Agenda!$H$5:$H$1204="Confirmado"))))*1E+10))&gt;=1E+10,"",SUMPRODUCT(MIN(((Agenda!$E$5:$E$1204=A133)*((Agenda!$H$5:$H$1204="Agendado")+(Agenda!$H$5:$H$1204="Confirmado")))*Agenda!$A$5:$A$1204+(1-((Agenda!$E$5:$E$1204=A133)*((Agenda!$H$5:$H$1204="Agendado")+(Agenda!$H$5:$H$1204="Confirmado"))))*1E+10))))</f>
        <v/>
      </c>
    </row>
    <row r="134">
      <c r="A134" s="36" t="inlineStr">
        <is>
          <t>Rodrigo Cardoso</t>
        </is>
      </c>
      <c r="B134" s="37" t="inlineStr">
        <is>
          <t>Saúde Total</t>
        </is>
      </c>
      <c r="C134" s="37" t="inlineStr">
        <is>
          <t>Dra. Renata Sousa</t>
        </is>
      </c>
      <c r="D134" s="36" t="inlineStr">
        <is>
          <t>(11) 90000-0243</t>
        </is>
      </c>
      <c r="E134" s="36" t="n"/>
      <c r="F134" s="29">
        <f>IF(A134="","",COUNTIFS(Agenda!$E$5:$E$1204,A134,Agenda!$H$5:$H$1204,"Realizado"))</f>
        <v>4</v>
      </c>
      <c r="G134" s="29">
        <f>IF(A134="","",COUNTIFS(Agenda!$E$5:$E$1204,A134,Agenda!$H$5:$H$1204,"Falta"))</f>
        <v>0</v>
      </c>
      <c r="H134" s="33">
        <f>IF(A134="","",IF(SUMPRODUCT(MAX((Agenda!$E$5:$E$1204=A134)*(Agenda!$H$5:$H$1204="Realizado")*Agenda!$A$5:$A$1204))=0,"",SUMPRODUCT(MAX((Agenda!$E$5:$E$1204=A134)*(Agenda!$H$5:$H$1204="Realizado")*Agenda!$A$5:$A$1204))))</f>
        <v>46275.0</v>
      </c>
      <c r="I134" s="33">
        <f>IF(A134="","",IF(SUMPRODUCT(MIN(((Agenda!$E$5:$E$1204=A134)*((Agenda!$H$5:$H$1204="Agendado")+(Agenda!$H$5:$H$1204="Confirmado")))*Agenda!$A$5:$A$1204+(1-((Agenda!$E$5:$E$1204=A134)*((Agenda!$H$5:$H$1204="Agendado")+(Agenda!$H$5:$H$1204="Confirmado"))))*1E+10))&gt;=1E+10,"",SUMPRODUCT(MIN(((Agenda!$E$5:$E$1204=A134)*((Agenda!$H$5:$H$1204="Agendado")+(Agenda!$H$5:$H$1204="Confirmado")))*Agenda!$A$5:$A$1204+(1-((Agenda!$E$5:$E$1204=A134)*((Agenda!$H$5:$H$1204="Agendado")+(Agenda!$H$5:$H$1204="Confirmado"))))*1E+10))))</f>
        <v>46282.0</v>
      </c>
    </row>
    <row r="135">
      <c r="A135" s="36" t="inlineStr">
        <is>
          <t>Rodrigo Gomes</t>
        </is>
      </c>
      <c r="B135" s="37" t="inlineStr">
        <is>
          <t>Vida Care</t>
        </is>
      </c>
      <c r="C135" s="37" t="inlineStr">
        <is>
          <t>Dra. Carolina Mendes</t>
        </is>
      </c>
      <c r="D135" s="36" t="inlineStr">
        <is>
          <t>(11) 90000-0160</t>
        </is>
      </c>
      <c r="E135" s="36" t="n"/>
      <c r="F135" s="29">
        <f>IF(A135="","",COUNTIFS(Agenda!$E$5:$E$1204,A135,Agenda!$H$5:$H$1204,"Realizado"))</f>
        <v>1</v>
      </c>
      <c r="G135" s="29">
        <f>IF(A135="","",COUNTIFS(Agenda!$E$5:$E$1204,A135,Agenda!$H$5:$H$1204,"Falta"))</f>
        <v>0</v>
      </c>
      <c r="H135" s="33">
        <f>IF(A135="","",IF(SUMPRODUCT(MAX((Agenda!$E$5:$E$1204=A135)*(Agenda!$H$5:$H$1204="Realizado")*Agenda!$A$5:$A$1204))=0,"",SUMPRODUCT(MAX((Agenda!$E$5:$E$1204=A135)*(Agenda!$H$5:$H$1204="Realizado")*Agenda!$A$5:$A$1204))))</f>
        <v>46226.0</v>
      </c>
      <c r="I135" s="33">
        <f>IF(A135="","",IF(SUMPRODUCT(MIN(((Agenda!$E$5:$E$1204=A135)*((Agenda!$H$5:$H$1204="Agendado")+(Agenda!$H$5:$H$1204="Confirmado")))*Agenda!$A$5:$A$1204+(1-((Agenda!$E$5:$E$1204=A135)*((Agenda!$H$5:$H$1204="Agendado")+(Agenda!$H$5:$H$1204="Confirmado"))))*1E+10))&gt;=1E+10,"",SUMPRODUCT(MIN(((Agenda!$E$5:$E$1204=A135)*((Agenda!$H$5:$H$1204="Agendado")+(Agenda!$H$5:$H$1204="Confirmado")))*Agenda!$A$5:$A$1204+(1-((Agenda!$E$5:$E$1204=A135)*((Agenda!$H$5:$H$1204="Agendado")+(Agenda!$H$5:$H$1204="Confirmado"))))*1E+10))))</f>
        <v>46279.0</v>
      </c>
    </row>
    <row r="136">
      <c r="A136" s="36" t="inlineStr">
        <is>
          <t>Rodrigo Moreira</t>
        </is>
      </c>
      <c r="B136" s="37" t="inlineStr">
        <is>
          <t>Particular</t>
        </is>
      </c>
      <c r="C136" s="37" t="inlineStr">
        <is>
          <t>Dra. Carolina Mendes</t>
        </is>
      </c>
      <c r="D136" s="36" t="inlineStr">
        <is>
          <t>(11) 90000-0153</t>
        </is>
      </c>
      <c r="E136" s="36" t="n"/>
      <c r="F136" s="29">
        <f>IF(A136="","",COUNTIFS(Agenda!$E$5:$E$1204,A136,Agenda!$H$5:$H$1204,"Realizado"))</f>
        <v>7</v>
      </c>
      <c r="G136" s="29">
        <f>IF(A136="","",COUNTIFS(Agenda!$E$5:$E$1204,A136,Agenda!$H$5:$H$1204,"Falta"))</f>
        <v>0</v>
      </c>
      <c r="H136" s="33">
        <f>IF(A136="","",IF(SUMPRODUCT(MAX((Agenda!$E$5:$E$1204=A136)*(Agenda!$H$5:$H$1204="Realizado")*Agenda!$A$5:$A$1204))=0,"",SUMPRODUCT(MAX((Agenda!$E$5:$E$1204=A136)*(Agenda!$H$5:$H$1204="Realizado")*Agenda!$A$5:$A$1204))))</f>
        <v>46266.0</v>
      </c>
      <c r="I136" s="33">
        <f>IF(A136="","",IF(SUMPRODUCT(MIN(((Agenda!$E$5:$E$1204=A136)*((Agenda!$H$5:$H$1204="Agendado")+(Agenda!$H$5:$H$1204="Confirmado")))*Agenda!$A$5:$A$1204+(1-((Agenda!$E$5:$E$1204=A136)*((Agenda!$H$5:$H$1204="Agendado")+(Agenda!$H$5:$H$1204="Confirmado"))))*1E+10))&gt;=1E+10,"",SUMPRODUCT(MIN(((Agenda!$E$5:$E$1204=A136)*((Agenda!$H$5:$H$1204="Agendado")+(Agenda!$H$5:$H$1204="Confirmado")))*Agenda!$A$5:$A$1204+(1-((Agenda!$E$5:$E$1204=A136)*((Agenda!$H$5:$H$1204="Agendado")+(Agenda!$H$5:$H$1204="Confirmado"))))*1E+10))))</f>
        <v>46297.0</v>
      </c>
    </row>
    <row r="137">
      <c r="A137" s="36" t="inlineStr">
        <is>
          <t>Rodrigo Teixeira</t>
        </is>
      </c>
      <c r="B137" s="37" t="inlineStr">
        <is>
          <t>Vida Care</t>
        </is>
      </c>
      <c r="C137" s="37" t="inlineStr">
        <is>
          <t>Dra. Carolina Mendes</t>
        </is>
      </c>
      <c r="D137" s="36" t="inlineStr">
        <is>
          <t>(11) 90000-0108</t>
        </is>
      </c>
      <c r="E137" s="36" t="n"/>
      <c r="F137" s="29">
        <f>IF(A137="","",COUNTIFS(Agenda!$E$5:$E$1204,A137,Agenda!$H$5:$H$1204,"Realizado"))</f>
        <v>2</v>
      </c>
      <c r="G137" s="29">
        <f>IF(A137="","",COUNTIFS(Agenda!$E$5:$E$1204,A137,Agenda!$H$5:$H$1204,"Falta"))</f>
        <v>1</v>
      </c>
      <c r="H137" s="33">
        <f>IF(A137="","",IF(SUMPRODUCT(MAX((Agenda!$E$5:$E$1204=A137)*(Agenda!$H$5:$H$1204="Realizado")*Agenda!$A$5:$A$1204))=0,"",SUMPRODUCT(MAX((Agenda!$E$5:$E$1204=A137)*(Agenda!$H$5:$H$1204="Realizado")*Agenda!$A$5:$A$1204))))</f>
        <v>46252.0</v>
      </c>
      <c r="I137" s="33">
        <f>IF(A137="","",IF(SUMPRODUCT(MIN(((Agenda!$E$5:$E$1204=A137)*((Agenda!$H$5:$H$1204="Agendado")+(Agenda!$H$5:$H$1204="Confirmado")))*Agenda!$A$5:$A$1204+(1-((Agenda!$E$5:$E$1204=A137)*((Agenda!$H$5:$H$1204="Agendado")+(Agenda!$H$5:$H$1204="Confirmado"))))*1E+10))&gt;=1E+10,"",SUMPRODUCT(MIN(((Agenda!$E$5:$E$1204=A137)*((Agenda!$H$5:$H$1204="Agendado")+(Agenda!$H$5:$H$1204="Confirmado")))*Agenda!$A$5:$A$1204+(1-((Agenda!$E$5:$E$1204=A137)*((Agenda!$H$5:$H$1204="Agendado")+(Agenda!$H$5:$H$1204="Confirmado"))))*1E+10))))</f>
        <v>46296.0</v>
      </c>
    </row>
    <row r="138">
      <c r="A138" s="36" t="inlineStr">
        <is>
          <t>Sandra Barros</t>
        </is>
      </c>
      <c r="B138" s="37" t="inlineStr">
        <is>
          <t>Saúde Total</t>
        </is>
      </c>
      <c r="C138" s="37" t="inlineStr">
        <is>
          <t>Dra. Carolina Mendes</t>
        </is>
      </c>
      <c r="D138" s="36" t="inlineStr">
        <is>
          <t>(11) 90000-0150</t>
        </is>
      </c>
      <c r="E138" s="36" t="n"/>
      <c r="F138" s="29">
        <f>IF(A138="","",COUNTIFS(Agenda!$E$5:$E$1204,A138,Agenda!$H$5:$H$1204,"Realizado"))</f>
        <v>1</v>
      </c>
      <c r="G138" s="29">
        <f>IF(A138="","",COUNTIFS(Agenda!$E$5:$E$1204,A138,Agenda!$H$5:$H$1204,"Falta"))</f>
        <v>0</v>
      </c>
      <c r="H138" s="33">
        <f>IF(A138="","",IF(SUMPRODUCT(MAX((Agenda!$E$5:$E$1204=A138)*(Agenda!$H$5:$H$1204="Realizado")*Agenda!$A$5:$A$1204))=0,"",SUMPRODUCT(MAX((Agenda!$E$5:$E$1204=A138)*(Agenda!$H$5:$H$1204="Realizado")*Agenda!$A$5:$A$1204))))</f>
        <v>46266.0</v>
      </c>
      <c r="I138" s="33">
        <f>IF(A138="","",IF(SUMPRODUCT(MIN(((Agenda!$E$5:$E$1204=A138)*((Agenda!$H$5:$H$1204="Agendado")+(Agenda!$H$5:$H$1204="Confirmado")))*Agenda!$A$5:$A$1204+(1-((Agenda!$E$5:$E$1204=A138)*((Agenda!$H$5:$H$1204="Agendado")+(Agenda!$H$5:$H$1204="Confirmado"))))*1E+10))&gt;=1E+10,"",SUMPRODUCT(MIN(((Agenda!$E$5:$E$1204=A138)*((Agenda!$H$5:$H$1204="Agendado")+(Agenda!$H$5:$H$1204="Confirmado")))*Agenda!$A$5:$A$1204+(1-((Agenda!$E$5:$E$1204=A138)*((Agenda!$H$5:$H$1204="Agendado")+(Agenda!$H$5:$H$1204="Confirmado"))))*1E+10))))</f>
        <v>46281.0</v>
      </c>
    </row>
    <row r="139">
      <c r="A139" s="36" t="inlineStr">
        <is>
          <t>Sandra Cardoso</t>
        </is>
      </c>
      <c r="B139" s="37" t="inlineStr">
        <is>
          <t>Saúde Total</t>
        </is>
      </c>
      <c r="C139" s="37" t="inlineStr">
        <is>
          <t>Dr. Paulo Andrade</t>
        </is>
      </c>
      <c r="D139" s="36" t="inlineStr">
        <is>
          <t>(11) 90000-0169</t>
        </is>
      </c>
      <c r="E139" s="36" t="n"/>
      <c r="F139" s="29">
        <f>IF(A139="","",COUNTIFS(Agenda!$E$5:$E$1204,A139,Agenda!$H$5:$H$1204,"Realizado"))</f>
        <v>5</v>
      </c>
      <c r="G139" s="29">
        <f>IF(A139="","",COUNTIFS(Agenda!$E$5:$E$1204,A139,Agenda!$H$5:$H$1204,"Falta"))</f>
        <v>2</v>
      </c>
      <c r="H139" s="33">
        <f>IF(A139="","",IF(SUMPRODUCT(MAX((Agenda!$E$5:$E$1204=A139)*(Agenda!$H$5:$H$1204="Realizado")*Agenda!$A$5:$A$1204))=0,"",SUMPRODUCT(MAX((Agenda!$E$5:$E$1204=A139)*(Agenda!$H$5:$H$1204="Realizado")*Agenda!$A$5:$A$1204))))</f>
        <v>46265.0</v>
      </c>
      <c r="I139" s="33">
        <f>IF(A139="","",IF(SUMPRODUCT(MIN(((Agenda!$E$5:$E$1204=A139)*((Agenda!$H$5:$H$1204="Agendado")+(Agenda!$H$5:$H$1204="Confirmado")))*Agenda!$A$5:$A$1204+(1-((Agenda!$E$5:$E$1204=A139)*((Agenda!$H$5:$H$1204="Agendado")+(Agenda!$H$5:$H$1204="Confirmado"))))*1E+10))&gt;=1E+10,"",SUMPRODUCT(MIN(((Agenda!$E$5:$E$1204=A139)*((Agenda!$H$5:$H$1204="Agendado")+(Agenda!$H$5:$H$1204="Confirmado")))*Agenda!$A$5:$A$1204+(1-((Agenda!$E$5:$E$1204=A139)*((Agenda!$H$5:$H$1204="Agendado")+(Agenda!$H$5:$H$1204="Confirmado"))))*1E+10))))</f>
        <v>46290.0</v>
      </c>
    </row>
    <row r="140">
      <c r="A140" s="36" t="inlineStr">
        <is>
          <t>Sandra Martins</t>
        </is>
      </c>
      <c r="B140" s="37" t="inlineStr">
        <is>
          <t>MediPlan</t>
        </is>
      </c>
      <c r="C140" s="37" t="inlineStr">
        <is>
          <t>Dr. Paulo Andrade</t>
        </is>
      </c>
      <c r="D140" s="36" t="inlineStr">
        <is>
          <t>(11) 90000-0184</t>
        </is>
      </c>
      <c r="E140" s="36" t="n"/>
      <c r="F140" s="29">
        <f>IF(A140="","",COUNTIFS(Agenda!$E$5:$E$1204,A140,Agenda!$H$5:$H$1204,"Realizado"))</f>
        <v>4</v>
      </c>
      <c r="G140" s="29">
        <f>IF(A140="","",COUNTIFS(Agenda!$E$5:$E$1204,A140,Agenda!$H$5:$H$1204,"Falta"))</f>
        <v>0</v>
      </c>
      <c r="H140" s="33">
        <f>IF(A140="","",IF(SUMPRODUCT(MAX((Agenda!$E$5:$E$1204=A140)*(Agenda!$H$5:$H$1204="Realizado")*Agenda!$A$5:$A$1204))=0,"",SUMPRODUCT(MAX((Agenda!$E$5:$E$1204=A140)*(Agenda!$H$5:$H$1204="Realizado")*Agenda!$A$5:$A$1204))))</f>
        <v>46265.0</v>
      </c>
      <c r="I140" s="33">
        <f>IF(A140="","",IF(SUMPRODUCT(MIN(((Agenda!$E$5:$E$1204=A140)*((Agenda!$H$5:$H$1204="Agendado")+(Agenda!$H$5:$H$1204="Confirmado")))*Agenda!$A$5:$A$1204+(1-((Agenda!$E$5:$E$1204=A140)*((Agenda!$H$5:$H$1204="Agendado")+(Agenda!$H$5:$H$1204="Confirmado"))))*1E+10))&gt;=1E+10,"",SUMPRODUCT(MIN(((Agenda!$E$5:$E$1204=A140)*((Agenda!$H$5:$H$1204="Agendado")+(Agenda!$H$5:$H$1204="Confirmado")))*Agenda!$A$5:$A$1204+(1-((Agenda!$E$5:$E$1204=A140)*((Agenda!$H$5:$H$1204="Agendado")+(Agenda!$H$5:$H$1204="Confirmado"))))*1E+10))))</f>
        <v/>
      </c>
    </row>
    <row r="141">
      <c r="A141" s="36" t="inlineStr">
        <is>
          <t>Simone Monteiro</t>
        </is>
      </c>
      <c r="B141" s="37" t="inlineStr">
        <is>
          <t>Vida Care</t>
        </is>
      </c>
      <c r="C141" s="37" t="inlineStr">
        <is>
          <t>Dra. Carolina Mendes</t>
        </is>
      </c>
      <c r="D141" s="36" t="inlineStr">
        <is>
          <t>(11) 90000-0143</t>
        </is>
      </c>
      <c r="E141" s="36" t="n"/>
      <c r="F141" s="29">
        <f>IF(A141="","",COUNTIFS(Agenda!$E$5:$E$1204,A141,Agenda!$H$5:$H$1204,"Realizado"))</f>
        <v>3</v>
      </c>
      <c r="G141" s="29">
        <f>IF(A141="","",COUNTIFS(Agenda!$E$5:$E$1204,A141,Agenda!$H$5:$H$1204,"Falta"))</f>
        <v>1</v>
      </c>
      <c r="H141" s="33">
        <f>IF(A141="","",IF(SUMPRODUCT(MAX((Agenda!$E$5:$E$1204=A141)*(Agenda!$H$5:$H$1204="Realizado")*Agenda!$A$5:$A$1204))=0,"",SUMPRODUCT(MAX((Agenda!$E$5:$E$1204=A141)*(Agenda!$H$5:$H$1204="Realizado")*Agenda!$A$5:$A$1204))))</f>
        <v>46274.0</v>
      </c>
      <c r="I141" s="33">
        <f>IF(A141="","",IF(SUMPRODUCT(MIN(((Agenda!$E$5:$E$1204=A141)*((Agenda!$H$5:$H$1204="Agendado")+(Agenda!$H$5:$H$1204="Confirmado")))*Agenda!$A$5:$A$1204+(1-((Agenda!$E$5:$E$1204=A141)*((Agenda!$H$5:$H$1204="Agendado")+(Agenda!$H$5:$H$1204="Confirmado"))))*1E+10))&gt;=1E+10,"",SUMPRODUCT(MIN(((Agenda!$E$5:$E$1204=A141)*((Agenda!$H$5:$H$1204="Agendado")+(Agenda!$H$5:$H$1204="Confirmado")))*Agenda!$A$5:$A$1204+(1-((Agenda!$E$5:$E$1204=A141)*((Agenda!$H$5:$H$1204="Agendado")+(Agenda!$H$5:$H$1204="Confirmado"))))*1E+10))))</f>
        <v>46281.0</v>
      </c>
    </row>
    <row r="142">
      <c r="A142" s="36" t="inlineStr">
        <is>
          <t>Sérgio Batista</t>
        </is>
      </c>
      <c r="B142" s="37" t="inlineStr">
        <is>
          <t>MediPlan</t>
        </is>
      </c>
      <c r="C142" s="37" t="inlineStr">
        <is>
          <t>Dra. Carolina Mendes</t>
        </is>
      </c>
      <c r="D142" s="36" t="inlineStr">
        <is>
          <t>(11) 90000-0126</t>
        </is>
      </c>
      <c r="E142" s="36" t="n"/>
      <c r="F142" s="29">
        <f>IF(A142="","",COUNTIFS(Agenda!$E$5:$E$1204,A142,Agenda!$H$5:$H$1204,"Realizado"))</f>
        <v>4</v>
      </c>
      <c r="G142" s="29">
        <f>IF(A142="","",COUNTIFS(Agenda!$E$5:$E$1204,A142,Agenda!$H$5:$H$1204,"Falta"))</f>
        <v>0</v>
      </c>
      <c r="H142" s="33">
        <f>IF(A142="","",IF(SUMPRODUCT(MAX((Agenda!$E$5:$E$1204=A142)*(Agenda!$H$5:$H$1204="Realizado")*Agenda!$A$5:$A$1204))=0,"",SUMPRODUCT(MAX((Agenda!$E$5:$E$1204=A142)*(Agenda!$H$5:$H$1204="Realizado")*Agenda!$A$5:$A$1204))))</f>
        <v>46275.0</v>
      </c>
      <c r="I142" s="33">
        <f>IF(A142="","",IF(SUMPRODUCT(MIN(((Agenda!$E$5:$E$1204=A142)*((Agenda!$H$5:$H$1204="Agendado")+(Agenda!$H$5:$H$1204="Confirmado")))*Agenda!$A$5:$A$1204+(1-((Agenda!$E$5:$E$1204=A142)*((Agenda!$H$5:$H$1204="Agendado")+(Agenda!$H$5:$H$1204="Confirmado"))))*1E+10))&gt;=1E+10,"",SUMPRODUCT(MIN(((Agenda!$E$5:$E$1204=A142)*((Agenda!$H$5:$H$1204="Agendado")+(Agenda!$H$5:$H$1204="Confirmado")))*Agenda!$A$5:$A$1204+(1-((Agenda!$E$5:$E$1204=A142)*((Agenda!$H$5:$H$1204="Agendado")+(Agenda!$H$5:$H$1204="Confirmado"))))*1E+10))))</f>
        <v>46280.0</v>
      </c>
    </row>
    <row r="143">
      <c r="A143" s="36" t="inlineStr">
        <is>
          <t>Sérgio Martins</t>
        </is>
      </c>
      <c r="B143" s="37" t="inlineStr">
        <is>
          <t>Particular</t>
        </is>
      </c>
      <c r="C143" s="37" t="inlineStr">
        <is>
          <t>Dra. Carolina Mendes</t>
        </is>
      </c>
      <c r="D143" s="36" t="inlineStr">
        <is>
          <t>(11) 90000-0134</t>
        </is>
      </c>
      <c r="E143" s="36" t="n"/>
      <c r="F143" s="29">
        <f>IF(A143="","",COUNTIFS(Agenda!$E$5:$E$1204,A143,Agenda!$H$5:$H$1204,"Realizado"))</f>
        <v>7</v>
      </c>
      <c r="G143" s="29">
        <f>IF(A143="","",COUNTIFS(Agenda!$E$5:$E$1204,A143,Agenda!$H$5:$H$1204,"Falta"))</f>
        <v>0</v>
      </c>
      <c r="H143" s="33">
        <f>IF(A143="","",IF(SUMPRODUCT(MAX((Agenda!$E$5:$E$1204=A143)*(Agenda!$H$5:$H$1204="Realizado")*Agenda!$A$5:$A$1204))=0,"",SUMPRODUCT(MAX((Agenda!$E$5:$E$1204=A143)*(Agenda!$H$5:$H$1204="Realizado")*Agenda!$A$5:$A$1204))))</f>
        <v>46274.0</v>
      </c>
      <c r="I143" s="33">
        <f>IF(A143="","",IF(SUMPRODUCT(MIN(((Agenda!$E$5:$E$1204=A143)*((Agenda!$H$5:$H$1204="Agendado")+(Agenda!$H$5:$H$1204="Confirmado")))*Agenda!$A$5:$A$1204+(1-((Agenda!$E$5:$E$1204=A143)*((Agenda!$H$5:$H$1204="Agendado")+(Agenda!$H$5:$H$1204="Confirmado"))))*1E+10))&gt;=1E+10,"",SUMPRODUCT(MIN(((Agenda!$E$5:$E$1204=A143)*((Agenda!$H$5:$H$1204="Agendado")+(Agenda!$H$5:$H$1204="Confirmado")))*Agenda!$A$5:$A$1204+(1-((Agenda!$E$5:$E$1204=A143)*((Agenda!$H$5:$H$1204="Agendado")+(Agenda!$H$5:$H$1204="Confirmado"))))*1E+10))))</f>
        <v>46286.0</v>
      </c>
    </row>
    <row r="144">
      <c r="A144" s="36" t="inlineStr">
        <is>
          <t>Sérgio Teixeira</t>
        </is>
      </c>
      <c r="B144" s="37" t="inlineStr">
        <is>
          <t>MediPlan</t>
        </is>
      </c>
      <c r="C144" s="37" t="inlineStr">
        <is>
          <t>Dr. Paulo Andrade</t>
        </is>
      </c>
      <c r="D144" s="36" t="inlineStr">
        <is>
          <t>(11) 90000-0202</t>
        </is>
      </c>
      <c r="E144" s="36" t="n"/>
      <c r="F144" s="29">
        <f>IF(A144="","",COUNTIFS(Agenda!$E$5:$E$1204,A144,Agenda!$H$5:$H$1204,"Realizado"))</f>
        <v>3</v>
      </c>
      <c r="G144" s="29">
        <f>IF(A144="","",COUNTIFS(Agenda!$E$5:$E$1204,A144,Agenda!$H$5:$H$1204,"Falta"))</f>
        <v>0</v>
      </c>
      <c r="H144" s="33">
        <f>IF(A144="","",IF(SUMPRODUCT(MAX((Agenda!$E$5:$E$1204=A144)*(Agenda!$H$5:$H$1204="Realizado")*Agenda!$A$5:$A$1204))=0,"",SUMPRODUCT(MAX((Agenda!$E$5:$E$1204=A144)*(Agenda!$H$5:$H$1204="Realizado")*Agenda!$A$5:$A$1204))))</f>
        <v>46266.0</v>
      </c>
      <c r="I144" s="33">
        <f>IF(A144="","",IF(SUMPRODUCT(MIN(((Agenda!$E$5:$E$1204=A144)*((Agenda!$H$5:$H$1204="Agendado")+(Agenda!$H$5:$H$1204="Confirmado")))*Agenda!$A$5:$A$1204+(1-((Agenda!$E$5:$E$1204=A144)*((Agenda!$H$5:$H$1204="Agendado")+(Agenda!$H$5:$H$1204="Confirmado"))))*1E+10))&gt;=1E+10,"",SUMPRODUCT(MIN(((Agenda!$E$5:$E$1204=A144)*((Agenda!$H$5:$H$1204="Agendado")+(Agenda!$H$5:$H$1204="Confirmado")))*Agenda!$A$5:$A$1204+(1-((Agenda!$E$5:$E$1204=A144)*((Agenda!$H$5:$H$1204="Agendado")+(Agenda!$H$5:$H$1204="Confirmado"))))*1E+10))))</f>
        <v>46282.0</v>
      </c>
    </row>
    <row r="145">
      <c r="A145" s="36" t="inlineStr">
        <is>
          <t>Tatiana Cunha</t>
        </is>
      </c>
      <c r="B145" s="37" t="inlineStr">
        <is>
          <t>Saúde Total</t>
        </is>
      </c>
      <c r="C145" s="37" t="inlineStr">
        <is>
          <t>Dra. Carolina Mendes</t>
        </is>
      </c>
      <c r="D145" s="36" t="inlineStr">
        <is>
          <t>(11) 90000-0165</t>
        </is>
      </c>
      <c r="E145" s="36" t="n"/>
      <c r="F145" s="29">
        <f>IF(A145="","",COUNTIFS(Agenda!$E$5:$E$1204,A145,Agenda!$H$5:$H$1204,"Realizado"))</f>
        <v>4</v>
      </c>
      <c r="G145" s="29">
        <f>IF(A145="","",COUNTIFS(Agenda!$E$5:$E$1204,A145,Agenda!$H$5:$H$1204,"Falta"))</f>
        <v>0</v>
      </c>
      <c r="H145" s="33">
        <f>IF(A145="","",IF(SUMPRODUCT(MAX((Agenda!$E$5:$E$1204=A145)*(Agenda!$H$5:$H$1204="Realizado")*Agenda!$A$5:$A$1204))=0,"",SUMPRODUCT(MAX((Agenda!$E$5:$E$1204=A145)*(Agenda!$H$5:$H$1204="Realizado")*Agenda!$A$5:$A$1204))))</f>
        <v>46252.0</v>
      </c>
      <c r="I145" s="33">
        <f>IF(A145="","",IF(SUMPRODUCT(MIN(((Agenda!$E$5:$E$1204=A145)*((Agenda!$H$5:$H$1204="Agendado")+(Agenda!$H$5:$H$1204="Confirmado")))*Agenda!$A$5:$A$1204+(1-((Agenda!$E$5:$E$1204=A145)*((Agenda!$H$5:$H$1204="Agendado")+(Agenda!$H$5:$H$1204="Confirmado"))))*1E+10))&gt;=1E+10,"",SUMPRODUCT(MIN(((Agenda!$E$5:$E$1204=A145)*((Agenda!$H$5:$H$1204="Agendado")+(Agenda!$H$5:$H$1204="Confirmado")))*Agenda!$A$5:$A$1204+(1-((Agenda!$E$5:$E$1204=A145)*((Agenda!$H$5:$H$1204="Agendado")+(Agenda!$H$5:$H$1204="Confirmado"))))*1E+10))))</f>
        <v>46296.0</v>
      </c>
    </row>
    <row r="146">
      <c r="A146" s="36" t="inlineStr">
        <is>
          <t>Tatiana Gonçalves</t>
        </is>
      </c>
      <c r="B146" s="37" t="inlineStr">
        <is>
          <t>Saúde Total</t>
        </is>
      </c>
      <c r="C146" s="37" t="inlineStr">
        <is>
          <t>Dr. Paulo Andrade</t>
        </is>
      </c>
      <c r="D146" s="36" t="inlineStr">
        <is>
          <t>(11) 90000-0217</t>
        </is>
      </c>
      <c r="E146" s="36" t="n"/>
      <c r="F146" s="29">
        <f>IF(A146="","",COUNTIFS(Agenda!$E$5:$E$1204,A146,Agenda!$H$5:$H$1204,"Realizado"))</f>
        <v>0</v>
      </c>
      <c r="G146" s="29">
        <f>IF(A146="","",COUNTIFS(Agenda!$E$5:$E$1204,A146,Agenda!$H$5:$H$1204,"Falta"))</f>
        <v>0</v>
      </c>
      <c r="H146" s="33">
        <f>IF(A146="","",IF(SUMPRODUCT(MAX((Agenda!$E$5:$E$1204=A146)*(Agenda!$H$5:$H$1204="Realizado")*Agenda!$A$5:$A$1204))=0,"",SUMPRODUCT(MAX((Agenda!$E$5:$E$1204=A146)*(Agenda!$H$5:$H$1204="Realizado")*Agenda!$A$5:$A$1204))))</f>
        <v/>
      </c>
      <c r="I146" s="33">
        <f>IF(A146="","",IF(SUMPRODUCT(MIN(((Agenda!$E$5:$E$1204=A146)*((Agenda!$H$5:$H$1204="Agendado")+(Agenda!$H$5:$H$1204="Confirmado")))*Agenda!$A$5:$A$1204+(1-((Agenda!$E$5:$E$1204=A146)*((Agenda!$H$5:$H$1204="Agendado")+(Agenda!$H$5:$H$1204="Confirmado"))))*1E+10))&gt;=1E+10,"",SUMPRODUCT(MIN(((Agenda!$E$5:$E$1204=A146)*((Agenda!$H$5:$H$1204="Agendado")+(Agenda!$H$5:$H$1204="Confirmado")))*Agenda!$A$5:$A$1204+(1-((Agenda!$E$5:$E$1204=A146)*((Agenda!$H$5:$H$1204="Agendado")+(Agenda!$H$5:$H$1204="Confirmado"))))*1E+10))))</f>
        <v>46286.0</v>
      </c>
    </row>
    <row r="147">
      <c r="A147" s="36" t="inlineStr">
        <is>
          <t>Tatiana Macedo</t>
        </is>
      </c>
      <c r="B147" s="37" t="inlineStr">
        <is>
          <t>Particular</t>
        </is>
      </c>
      <c r="C147" s="37" t="inlineStr">
        <is>
          <t>Dra. Renata Sousa</t>
        </is>
      </c>
      <c r="D147" s="36" t="inlineStr">
        <is>
          <t>(11) 90000-0240</t>
        </is>
      </c>
      <c r="E147" s="36" t="n"/>
      <c r="F147" s="29">
        <f>IF(A147="","",COUNTIFS(Agenda!$E$5:$E$1204,A147,Agenda!$H$5:$H$1204,"Realizado"))</f>
        <v>3</v>
      </c>
      <c r="G147" s="29">
        <f>IF(A147="","",COUNTIFS(Agenda!$E$5:$E$1204,A147,Agenda!$H$5:$H$1204,"Falta"))</f>
        <v>0</v>
      </c>
      <c r="H147" s="33">
        <f>IF(A147="","",IF(SUMPRODUCT(MAX((Agenda!$E$5:$E$1204=A147)*(Agenda!$H$5:$H$1204="Realizado")*Agenda!$A$5:$A$1204))=0,"",SUMPRODUCT(MAX((Agenda!$E$5:$E$1204=A147)*(Agenda!$H$5:$H$1204="Realizado")*Agenda!$A$5:$A$1204))))</f>
        <v>46275.0</v>
      </c>
      <c r="I147" s="33">
        <f>IF(A147="","",IF(SUMPRODUCT(MIN(((Agenda!$E$5:$E$1204=A147)*((Agenda!$H$5:$H$1204="Agendado")+(Agenda!$H$5:$H$1204="Confirmado")))*Agenda!$A$5:$A$1204+(1-((Agenda!$E$5:$E$1204=A147)*((Agenda!$H$5:$H$1204="Agendado")+(Agenda!$H$5:$H$1204="Confirmado"))))*1E+10))&gt;=1E+10,"",SUMPRODUCT(MIN(((Agenda!$E$5:$E$1204=A147)*((Agenda!$H$5:$H$1204="Agendado")+(Agenda!$H$5:$H$1204="Confirmado")))*Agenda!$A$5:$A$1204+(1-((Agenda!$E$5:$E$1204=A147)*((Agenda!$H$5:$H$1204="Agendado")+(Agenda!$H$5:$H$1204="Confirmado"))))*1E+10))))</f>
        <v>46282.0</v>
      </c>
    </row>
    <row r="148">
      <c r="A148" s="36" t="inlineStr">
        <is>
          <t>Tatiana Rocha</t>
        </is>
      </c>
      <c r="B148" s="37" t="inlineStr">
        <is>
          <t>Vida Care</t>
        </is>
      </c>
      <c r="C148" s="37" t="inlineStr">
        <is>
          <t>Dra. Carolina Mendes</t>
        </is>
      </c>
      <c r="D148" s="36" t="inlineStr">
        <is>
          <t>(11) 90000-0167</t>
        </is>
      </c>
      <c r="E148" s="36" t="n"/>
      <c r="F148" s="29">
        <f>IF(A148="","",COUNTIFS(Agenda!$E$5:$E$1204,A148,Agenda!$H$5:$H$1204,"Realizado"))</f>
        <v>4</v>
      </c>
      <c r="G148" s="29">
        <f>IF(A148="","",COUNTIFS(Agenda!$E$5:$E$1204,A148,Agenda!$H$5:$H$1204,"Falta"))</f>
        <v>1</v>
      </c>
      <c r="H148" s="33">
        <f>IF(A148="","",IF(SUMPRODUCT(MAX((Agenda!$E$5:$E$1204=A148)*(Agenda!$H$5:$H$1204="Realizado")*Agenda!$A$5:$A$1204))=0,"",SUMPRODUCT(MAX((Agenda!$E$5:$E$1204=A148)*(Agenda!$H$5:$H$1204="Realizado")*Agenda!$A$5:$A$1204))))</f>
        <v>46245.0</v>
      </c>
      <c r="I148" s="33">
        <f>IF(A148="","",IF(SUMPRODUCT(MIN(((Agenda!$E$5:$E$1204=A148)*((Agenda!$H$5:$H$1204="Agendado")+(Agenda!$H$5:$H$1204="Confirmado")))*Agenda!$A$5:$A$1204+(1-((Agenda!$E$5:$E$1204=A148)*((Agenda!$H$5:$H$1204="Agendado")+(Agenda!$H$5:$H$1204="Confirmado"))))*1E+10))&gt;=1E+10,"",SUMPRODUCT(MIN(((Agenda!$E$5:$E$1204=A148)*((Agenda!$H$5:$H$1204="Agendado")+(Agenda!$H$5:$H$1204="Confirmado")))*Agenda!$A$5:$A$1204+(1-((Agenda!$E$5:$E$1204=A148)*((Agenda!$H$5:$H$1204="Agendado")+(Agenda!$H$5:$H$1204="Confirmado"))))*1E+10))))</f>
        <v/>
      </c>
    </row>
    <row r="149">
      <c r="A149" s="36" t="inlineStr">
        <is>
          <t>Thiago Duarte</t>
        </is>
      </c>
      <c r="B149" s="37" t="inlineStr">
        <is>
          <t>Saúde Total</t>
        </is>
      </c>
      <c r="C149" s="37" t="inlineStr">
        <is>
          <t>Dr. Paulo Andrade</t>
        </is>
      </c>
      <c r="D149" s="36" t="inlineStr">
        <is>
          <t>(11) 90000-0186</t>
        </is>
      </c>
      <c r="E149" s="36" t="n"/>
      <c r="F149" s="29">
        <f>IF(A149="","",COUNTIFS(Agenda!$E$5:$E$1204,A149,Agenda!$H$5:$H$1204,"Realizado"))</f>
        <v>2</v>
      </c>
      <c r="G149" s="29">
        <f>IF(A149="","",COUNTIFS(Agenda!$E$5:$E$1204,A149,Agenda!$H$5:$H$1204,"Falta"))</f>
        <v>0</v>
      </c>
      <c r="H149" s="33">
        <f>IF(A149="","",IF(SUMPRODUCT(MAX((Agenda!$E$5:$E$1204=A149)*(Agenda!$H$5:$H$1204="Realizado")*Agenda!$A$5:$A$1204))=0,"",SUMPRODUCT(MAX((Agenda!$E$5:$E$1204=A149)*(Agenda!$H$5:$H$1204="Realizado")*Agenda!$A$5:$A$1204))))</f>
        <v>46261.0</v>
      </c>
      <c r="I149" s="33">
        <f>IF(A149="","",IF(SUMPRODUCT(MIN(((Agenda!$E$5:$E$1204=A149)*((Agenda!$H$5:$H$1204="Agendado")+(Agenda!$H$5:$H$1204="Confirmado")))*Agenda!$A$5:$A$1204+(1-((Agenda!$E$5:$E$1204=A149)*((Agenda!$H$5:$H$1204="Agendado")+(Agenda!$H$5:$H$1204="Confirmado"))))*1E+10))&gt;=1E+10,"",SUMPRODUCT(MIN(((Agenda!$E$5:$E$1204=A149)*((Agenda!$H$5:$H$1204="Agendado")+(Agenda!$H$5:$H$1204="Confirmado")))*Agenda!$A$5:$A$1204+(1-((Agenda!$E$5:$E$1204=A149)*((Agenda!$H$5:$H$1204="Agendado")+(Agenda!$H$5:$H$1204="Confirmado"))))*1E+10))))</f>
        <v>46283.0</v>
      </c>
    </row>
    <row r="150">
      <c r="A150" s="36" t="inlineStr">
        <is>
          <t>Thiago Melo</t>
        </is>
      </c>
      <c r="B150" s="37" t="inlineStr">
        <is>
          <t>Particular</t>
        </is>
      </c>
      <c r="C150" s="37" t="inlineStr">
        <is>
          <t>Dra. Renata Sousa</t>
        </is>
      </c>
      <c r="D150" s="36" t="inlineStr">
        <is>
          <t>(11) 90000-0225</t>
        </is>
      </c>
      <c r="E150" s="36" t="n"/>
      <c r="F150" s="29">
        <f>IF(A150="","",COUNTIFS(Agenda!$E$5:$E$1204,A150,Agenda!$H$5:$H$1204,"Realizado"))</f>
        <v>3</v>
      </c>
      <c r="G150" s="29">
        <f>IF(A150="","",COUNTIFS(Agenda!$E$5:$E$1204,A150,Agenda!$H$5:$H$1204,"Falta"))</f>
        <v>0</v>
      </c>
      <c r="H150" s="33">
        <f>IF(A150="","",IF(SUMPRODUCT(MAX((Agenda!$E$5:$E$1204=A150)*(Agenda!$H$5:$H$1204="Realizado")*Agenda!$A$5:$A$1204))=0,"",SUMPRODUCT(MAX((Agenda!$E$5:$E$1204=A150)*(Agenda!$H$5:$H$1204="Realizado")*Agenda!$A$5:$A$1204))))</f>
        <v>46231.0</v>
      </c>
      <c r="I150" s="33">
        <f>IF(A150="","",IF(SUMPRODUCT(MIN(((Agenda!$E$5:$E$1204=A150)*((Agenda!$H$5:$H$1204="Agendado")+(Agenda!$H$5:$H$1204="Confirmado")))*Agenda!$A$5:$A$1204+(1-((Agenda!$E$5:$E$1204=A150)*((Agenda!$H$5:$H$1204="Agendado")+(Agenda!$H$5:$H$1204="Confirmado"))))*1E+10))&gt;=1E+10,"",SUMPRODUCT(MIN(((Agenda!$E$5:$E$1204=A150)*((Agenda!$H$5:$H$1204="Agendado")+(Agenda!$H$5:$H$1204="Confirmado")))*Agenda!$A$5:$A$1204+(1-((Agenda!$E$5:$E$1204=A150)*((Agenda!$H$5:$H$1204="Agendado")+(Agenda!$H$5:$H$1204="Confirmado"))))*1E+10))))</f>
        <v>46280.0</v>
      </c>
    </row>
    <row r="151">
      <c r="A151" s="36" t="inlineStr">
        <is>
          <t>Vanessa Carvalho</t>
        </is>
      </c>
      <c r="B151" s="37" t="inlineStr">
        <is>
          <t>Saúde Total</t>
        </is>
      </c>
      <c r="C151" s="37" t="inlineStr">
        <is>
          <t>Dr. Paulo Andrade</t>
        </is>
      </c>
      <c r="D151" s="36" t="inlineStr">
        <is>
          <t>(11) 90000-0196</t>
        </is>
      </c>
      <c r="E151" s="36" t="n"/>
      <c r="F151" s="29">
        <f>IF(A151="","",COUNTIFS(Agenda!$E$5:$E$1204,A151,Agenda!$H$5:$H$1204,"Realizado"))</f>
        <v>2</v>
      </c>
      <c r="G151" s="29">
        <f>IF(A151="","",COUNTIFS(Agenda!$E$5:$E$1204,A151,Agenda!$H$5:$H$1204,"Falta"))</f>
        <v>0</v>
      </c>
      <c r="H151" s="33">
        <f>IF(A151="","",IF(SUMPRODUCT(MAX((Agenda!$E$5:$E$1204=A151)*(Agenda!$H$5:$H$1204="Realizado")*Agenda!$A$5:$A$1204))=0,"",SUMPRODUCT(MAX((Agenda!$E$5:$E$1204=A151)*(Agenda!$H$5:$H$1204="Realizado")*Agenda!$A$5:$A$1204))))</f>
        <v>46269.0</v>
      </c>
      <c r="I151" s="33">
        <f>IF(A151="","",IF(SUMPRODUCT(MIN(((Agenda!$E$5:$E$1204=A151)*((Agenda!$H$5:$H$1204="Agendado")+(Agenda!$H$5:$H$1204="Confirmado")))*Agenda!$A$5:$A$1204+(1-((Agenda!$E$5:$E$1204=A151)*((Agenda!$H$5:$H$1204="Agendado")+(Agenda!$H$5:$H$1204="Confirmado"))))*1E+10))&gt;=1E+10,"",SUMPRODUCT(MIN(((Agenda!$E$5:$E$1204=A151)*((Agenda!$H$5:$H$1204="Agendado")+(Agenda!$H$5:$H$1204="Confirmado")))*Agenda!$A$5:$A$1204+(1-((Agenda!$E$5:$E$1204=A151)*((Agenda!$H$5:$H$1204="Agendado")+(Agenda!$H$5:$H$1204="Confirmado"))))*1E+10))))</f>
        <v>46283.0</v>
      </c>
    </row>
    <row r="152">
      <c r="A152" s="36" t="inlineStr">
        <is>
          <t>Vanessa Moreira</t>
        </is>
      </c>
      <c r="B152" s="37" t="inlineStr">
        <is>
          <t>Saúde Total</t>
        </is>
      </c>
      <c r="C152" s="37" t="inlineStr">
        <is>
          <t>Dr. Paulo Andrade</t>
        </is>
      </c>
      <c r="D152" s="36" t="inlineStr">
        <is>
          <t>(11) 90000-0189</t>
        </is>
      </c>
      <c r="E152" s="36" t="n"/>
      <c r="F152" s="29">
        <f>IF(A152="","",COUNTIFS(Agenda!$E$5:$E$1204,A152,Agenda!$H$5:$H$1204,"Realizado"))</f>
        <v>3</v>
      </c>
      <c r="G152" s="29">
        <f>IF(A152="","",COUNTIFS(Agenda!$E$5:$E$1204,A152,Agenda!$H$5:$H$1204,"Falta"))</f>
        <v>0</v>
      </c>
      <c r="H152" s="33">
        <f>IF(A152="","",IF(SUMPRODUCT(MAX((Agenda!$E$5:$E$1204=A152)*(Agenda!$H$5:$H$1204="Realizado")*Agenda!$A$5:$A$1204))=0,"",SUMPRODUCT(MAX((Agenda!$E$5:$E$1204=A152)*(Agenda!$H$5:$H$1204="Realizado")*Agenda!$A$5:$A$1204))))</f>
        <v>46226.0</v>
      </c>
      <c r="I152" s="33">
        <f>IF(A152="","",IF(SUMPRODUCT(MIN(((Agenda!$E$5:$E$1204=A152)*((Agenda!$H$5:$H$1204="Agendado")+(Agenda!$H$5:$H$1204="Confirmado")))*Agenda!$A$5:$A$1204+(1-((Agenda!$E$5:$E$1204=A152)*((Agenda!$H$5:$H$1204="Agendado")+(Agenda!$H$5:$H$1204="Confirmado"))))*1E+10))&gt;=1E+10,"",SUMPRODUCT(MIN(((Agenda!$E$5:$E$1204=A152)*((Agenda!$H$5:$H$1204="Agendado")+(Agenda!$H$5:$H$1204="Confirmado")))*Agenda!$A$5:$A$1204+(1-((Agenda!$E$5:$E$1204=A152)*((Agenda!$H$5:$H$1204="Agendado")+(Agenda!$H$5:$H$1204="Confirmado"))))*1E+10))))</f>
        <v/>
      </c>
    </row>
    <row r="153">
      <c r="A153" s="36" t="inlineStr">
        <is>
          <t>Vinícius Cardoso</t>
        </is>
      </c>
      <c r="B153" s="37" t="inlineStr">
        <is>
          <t>MediPlan</t>
        </is>
      </c>
      <c r="C153" s="37" t="inlineStr">
        <is>
          <t>Dr. Paulo Andrade</t>
        </is>
      </c>
      <c r="D153" s="36" t="inlineStr">
        <is>
          <t>(11) 90000-0190</t>
        </is>
      </c>
      <c r="E153" s="36" t="n"/>
      <c r="F153" s="29">
        <f>IF(A153="","",COUNTIFS(Agenda!$E$5:$E$1204,A153,Agenda!$H$5:$H$1204,"Realizado"))</f>
        <v>2</v>
      </c>
      <c r="G153" s="29">
        <f>IF(A153="","",COUNTIFS(Agenda!$E$5:$E$1204,A153,Agenda!$H$5:$H$1204,"Falta"))</f>
        <v>0</v>
      </c>
      <c r="H153" s="33">
        <f>IF(A153="","",IF(SUMPRODUCT(MAX((Agenda!$E$5:$E$1204=A153)*(Agenda!$H$5:$H$1204="Realizado")*Agenda!$A$5:$A$1204))=0,"",SUMPRODUCT(MAX((Agenda!$E$5:$E$1204=A153)*(Agenda!$H$5:$H$1204="Realizado")*Agenda!$A$5:$A$1204))))</f>
        <v>46268.0</v>
      </c>
      <c r="I153" s="33">
        <f>IF(A153="","",IF(SUMPRODUCT(MIN(((Agenda!$E$5:$E$1204=A153)*((Agenda!$H$5:$H$1204="Agendado")+(Agenda!$H$5:$H$1204="Confirmado")))*Agenda!$A$5:$A$1204+(1-((Agenda!$E$5:$E$1204=A153)*((Agenda!$H$5:$H$1204="Agendado")+(Agenda!$H$5:$H$1204="Confirmado"))))*1E+10))&gt;=1E+10,"",SUMPRODUCT(MIN(((Agenda!$E$5:$E$1204=A153)*((Agenda!$H$5:$H$1204="Agendado")+(Agenda!$H$5:$H$1204="Confirmado")))*Agenda!$A$5:$A$1204+(1-((Agenda!$E$5:$E$1204=A153)*((Agenda!$H$5:$H$1204="Agendado")+(Agenda!$H$5:$H$1204="Confirmado"))))*1E+10))))</f>
        <v>46282.0</v>
      </c>
    </row>
    <row r="154">
      <c r="A154" s="36" t="inlineStr">
        <is>
          <t>Viviane Duarte</t>
        </is>
      </c>
      <c r="B154" s="37" t="inlineStr">
        <is>
          <t>MediPlan</t>
        </is>
      </c>
      <c r="C154" s="37" t="inlineStr">
        <is>
          <t>Dr. Paulo Andrade</t>
        </is>
      </c>
      <c r="D154" s="36" t="inlineStr">
        <is>
          <t>(11) 90000-0174</t>
        </is>
      </c>
      <c r="E154" s="36" t="n"/>
      <c r="F154" s="29">
        <f>IF(A154="","",COUNTIFS(Agenda!$E$5:$E$1204,A154,Agenda!$H$5:$H$1204,"Realizado"))</f>
        <v>3</v>
      </c>
      <c r="G154" s="29">
        <f>IF(A154="","",COUNTIFS(Agenda!$E$5:$E$1204,A154,Agenda!$H$5:$H$1204,"Falta"))</f>
        <v>0</v>
      </c>
      <c r="H154" s="33">
        <f>IF(A154="","",IF(SUMPRODUCT(MAX((Agenda!$E$5:$E$1204=A154)*(Agenda!$H$5:$H$1204="Realizado")*Agenda!$A$5:$A$1204))=0,"",SUMPRODUCT(MAX((Agenda!$E$5:$E$1204=A154)*(Agenda!$H$5:$H$1204="Realizado")*Agenda!$A$5:$A$1204))))</f>
        <v>46266.0</v>
      </c>
      <c r="I154" s="33">
        <f>IF(A154="","",IF(SUMPRODUCT(MIN(((Agenda!$E$5:$E$1204=A154)*((Agenda!$H$5:$H$1204="Agendado")+(Agenda!$H$5:$H$1204="Confirmado")))*Agenda!$A$5:$A$1204+(1-((Agenda!$E$5:$E$1204=A154)*((Agenda!$H$5:$H$1204="Agendado")+(Agenda!$H$5:$H$1204="Confirmado"))))*1E+10))&gt;=1E+10,"",SUMPRODUCT(MIN(((Agenda!$E$5:$E$1204=A154)*((Agenda!$H$5:$H$1204="Agendado")+(Agenda!$H$5:$H$1204="Confirmado")))*Agenda!$A$5:$A$1204+(1-((Agenda!$E$5:$E$1204=A154)*((Agenda!$H$5:$H$1204="Agendado")+(Agenda!$H$5:$H$1204="Confirmado"))))*1E+10))))</f>
        <v>46282.0</v>
      </c>
    </row>
    <row r="155">
      <c r="A155" s="36" t="inlineStr">
        <is>
          <t>Viviane Ribeiro</t>
        </is>
      </c>
      <c r="B155" s="37" t="inlineStr">
        <is>
          <t>Particular</t>
        </is>
      </c>
      <c r="C155" s="37" t="inlineStr">
        <is>
          <t>Dra. Carolina Mendes</t>
        </is>
      </c>
      <c r="D155" s="36" t="inlineStr">
        <is>
          <t>(11) 90000-0168</t>
        </is>
      </c>
      <c r="E155" s="36" t="n"/>
      <c r="F155" s="29">
        <f>IF(A155="","",COUNTIFS(Agenda!$E$5:$E$1204,A155,Agenda!$H$5:$H$1204,"Realizado"))</f>
        <v>1</v>
      </c>
      <c r="G155" s="29">
        <f>IF(A155="","",COUNTIFS(Agenda!$E$5:$E$1204,A155,Agenda!$H$5:$H$1204,"Falta"))</f>
        <v>0</v>
      </c>
      <c r="H155" s="33">
        <f>IF(A155="","",IF(SUMPRODUCT(MAX((Agenda!$E$5:$E$1204=A155)*(Agenda!$H$5:$H$1204="Realizado")*Agenda!$A$5:$A$1204))=0,"",SUMPRODUCT(MAX((Agenda!$E$5:$E$1204=A155)*(Agenda!$H$5:$H$1204="Realizado")*Agenda!$A$5:$A$1204))))</f>
        <v>46254.0</v>
      </c>
      <c r="I155" s="33">
        <f>IF(A155="","",IF(SUMPRODUCT(MIN(((Agenda!$E$5:$E$1204=A155)*((Agenda!$H$5:$H$1204="Agendado")+(Agenda!$H$5:$H$1204="Confirmado")))*Agenda!$A$5:$A$1204+(1-((Agenda!$E$5:$E$1204=A155)*((Agenda!$H$5:$H$1204="Agendado")+(Agenda!$H$5:$H$1204="Confirmado"))))*1E+10))&gt;=1E+10,"",SUMPRODUCT(MIN(((Agenda!$E$5:$E$1204=A155)*((Agenda!$H$5:$H$1204="Agendado")+(Agenda!$H$5:$H$1204="Confirmado")))*Agenda!$A$5:$A$1204+(1-((Agenda!$E$5:$E$1204=A155)*((Agenda!$H$5:$H$1204="Agendado")+(Agenda!$H$5:$H$1204="Confirmado"))))*1E+10))))</f>
        <v>46287.0</v>
      </c>
    </row>
    <row r="156">
      <c r="A156" s="36" t="inlineStr">
        <is>
          <t>Viviane Teixeira</t>
        </is>
      </c>
      <c r="B156" s="37" t="inlineStr">
        <is>
          <t>Particular</t>
        </is>
      </c>
      <c r="C156" s="37" t="inlineStr">
        <is>
          <t>Dr. Paulo Andrade</t>
        </is>
      </c>
      <c r="D156" s="36" t="inlineStr">
        <is>
          <t>(11) 90000-0199</t>
        </is>
      </c>
      <c r="E156" s="36" t="n"/>
      <c r="F156" s="29">
        <f>IF(A156="","",COUNTIFS(Agenda!$E$5:$E$1204,A156,Agenda!$H$5:$H$1204,"Realizado"))</f>
        <v>1</v>
      </c>
      <c r="G156" s="29">
        <f>IF(A156="","",COUNTIFS(Agenda!$E$5:$E$1204,A156,Agenda!$H$5:$H$1204,"Falta"))</f>
        <v>1</v>
      </c>
      <c r="H156" s="33">
        <f>IF(A156="","",IF(SUMPRODUCT(MAX((Agenda!$E$5:$E$1204=A156)*(Agenda!$H$5:$H$1204="Realizado")*Agenda!$A$5:$A$1204))=0,"",SUMPRODUCT(MAX((Agenda!$E$5:$E$1204=A156)*(Agenda!$H$5:$H$1204="Realizado")*Agenda!$A$5:$A$1204))))</f>
        <v>46238.0</v>
      </c>
      <c r="I156" s="33">
        <f>IF(A156="","",IF(SUMPRODUCT(MIN(((Agenda!$E$5:$E$1204=A156)*((Agenda!$H$5:$H$1204="Agendado")+(Agenda!$H$5:$H$1204="Confirmado")))*Agenda!$A$5:$A$1204+(1-((Agenda!$E$5:$E$1204=A156)*((Agenda!$H$5:$H$1204="Agendado")+(Agenda!$H$5:$H$1204="Confirmado"))))*1E+10))&gt;=1E+10,"",SUMPRODUCT(MIN(((Agenda!$E$5:$E$1204=A156)*((Agenda!$H$5:$H$1204="Agendado")+(Agenda!$H$5:$H$1204="Confirmado")))*Agenda!$A$5:$A$1204+(1-((Agenda!$E$5:$E$1204=A156)*((Agenda!$H$5:$H$1204="Agendado")+(Agenda!$H$5:$H$1204="Confirmado"))))*1E+10))))</f>
        <v/>
      </c>
    </row>
    <row r="157">
      <c r="A157" s="36" t="inlineStr">
        <is>
          <t>Wagner Carvalho</t>
        </is>
      </c>
      <c r="B157" s="37" t="inlineStr">
        <is>
          <t>Vida Care</t>
        </is>
      </c>
      <c r="C157" s="37" t="inlineStr">
        <is>
          <t>Dr. Paulo Andrade</t>
        </is>
      </c>
      <c r="D157" s="36" t="inlineStr">
        <is>
          <t>(11) 90000-0211</t>
        </is>
      </c>
      <c r="E157" s="36" t="n"/>
      <c r="F157" s="29">
        <f>IF(A157="","",COUNTIFS(Agenda!$E$5:$E$1204,A157,Agenda!$H$5:$H$1204,"Realizado"))</f>
        <v>3</v>
      </c>
      <c r="G157" s="29">
        <f>IF(A157="","",COUNTIFS(Agenda!$E$5:$E$1204,A157,Agenda!$H$5:$H$1204,"Falta"))</f>
        <v>2</v>
      </c>
      <c r="H157" s="33">
        <f>IF(A157="","",IF(SUMPRODUCT(MAX((Agenda!$E$5:$E$1204=A157)*(Agenda!$H$5:$H$1204="Realizado")*Agenda!$A$5:$A$1204))=0,"",SUMPRODUCT(MAX((Agenda!$E$5:$E$1204=A157)*(Agenda!$H$5:$H$1204="Realizado")*Agenda!$A$5:$A$1204))))</f>
        <v>46261.0</v>
      </c>
      <c r="I157" s="33">
        <f>IF(A157="","",IF(SUMPRODUCT(MIN(((Agenda!$E$5:$E$1204=A157)*((Agenda!$H$5:$H$1204="Agendado")+(Agenda!$H$5:$H$1204="Confirmado")))*Agenda!$A$5:$A$1204+(1-((Agenda!$E$5:$E$1204=A157)*((Agenda!$H$5:$H$1204="Agendado")+(Agenda!$H$5:$H$1204="Confirmado"))))*1E+10))&gt;=1E+10,"",SUMPRODUCT(MIN(((Agenda!$E$5:$E$1204=A157)*((Agenda!$H$5:$H$1204="Agendado")+(Agenda!$H$5:$H$1204="Confirmado")))*Agenda!$A$5:$A$1204+(1-((Agenda!$E$5:$E$1204=A157)*((Agenda!$H$5:$H$1204="Agendado")+(Agenda!$H$5:$H$1204="Confirmado"))))*1E+10))))</f>
        <v>46293.0</v>
      </c>
    </row>
    <row r="158">
      <c r="A158" s="36" t="inlineStr">
        <is>
          <t>Wagner Costa</t>
        </is>
      </c>
      <c r="B158" s="37" t="inlineStr">
        <is>
          <t>Particular</t>
        </is>
      </c>
      <c r="C158" s="37" t="inlineStr">
        <is>
          <t>Dr. Paulo Andrade</t>
        </is>
      </c>
      <c r="D158" s="36" t="inlineStr">
        <is>
          <t>(11) 90000-0207</t>
        </is>
      </c>
      <c r="E158" s="36" t="n"/>
      <c r="F158" s="29">
        <f>IF(A158="","",COUNTIFS(Agenda!$E$5:$E$1204,A158,Agenda!$H$5:$H$1204,"Realizado"))</f>
        <v>7</v>
      </c>
      <c r="G158" s="29">
        <f>IF(A158="","",COUNTIFS(Agenda!$E$5:$E$1204,A158,Agenda!$H$5:$H$1204,"Falta"))</f>
        <v>1</v>
      </c>
      <c r="H158" s="33">
        <f>IF(A158="","",IF(SUMPRODUCT(MAX((Agenda!$E$5:$E$1204=A158)*(Agenda!$H$5:$H$1204="Realizado")*Agenda!$A$5:$A$1204))=0,"",SUMPRODUCT(MAX((Agenda!$E$5:$E$1204=A158)*(Agenda!$H$5:$H$1204="Realizado")*Agenda!$A$5:$A$1204))))</f>
        <v>46269.0</v>
      </c>
      <c r="I158" s="33">
        <f>IF(A158="","",IF(SUMPRODUCT(MIN(((Agenda!$E$5:$E$1204=A158)*((Agenda!$H$5:$H$1204="Agendado")+(Agenda!$H$5:$H$1204="Confirmado")))*Agenda!$A$5:$A$1204+(1-((Agenda!$E$5:$E$1204=A158)*((Agenda!$H$5:$H$1204="Agendado")+(Agenda!$H$5:$H$1204="Confirmado"))))*1E+10))&gt;=1E+10,"",SUMPRODUCT(MIN(((Agenda!$E$5:$E$1204=A158)*((Agenda!$H$5:$H$1204="Agendado")+(Agenda!$H$5:$H$1204="Confirmado")))*Agenda!$A$5:$A$1204+(1-((Agenda!$E$5:$E$1204=A158)*((Agenda!$H$5:$H$1204="Agendado")+(Agenda!$H$5:$H$1204="Confirmado"))))*1E+10))))</f>
        <v>46296.0</v>
      </c>
    </row>
    <row r="159">
      <c r="A159" s="36" t="inlineStr">
        <is>
          <t>Wagner Lima</t>
        </is>
      </c>
      <c r="B159" s="37" t="inlineStr">
        <is>
          <t>Particular</t>
        </is>
      </c>
      <c r="C159" s="37" t="inlineStr">
        <is>
          <t>Dra. Carolina Mendes</t>
        </is>
      </c>
      <c r="D159" s="36" t="inlineStr">
        <is>
          <t>(11) 90000-0137</t>
        </is>
      </c>
      <c r="E159" s="36" t="n"/>
      <c r="F159" s="29">
        <f>IF(A159="","",COUNTIFS(Agenda!$E$5:$E$1204,A159,Agenda!$H$5:$H$1204,"Realizado"))</f>
        <v>6</v>
      </c>
      <c r="G159" s="29">
        <f>IF(A159="","",COUNTIFS(Agenda!$E$5:$E$1204,A159,Agenda!$H$5:$H$1204,"Falta"))</f>
        <v>0</v>
      </c>
      <c r="H159" s="33">
        <f>IF(A159="","",IF(SUMPRODUCT(MAX((Agenda!$E$5:$E$1204=A159)*(Agenda!$H$5:$H$1204="Realizado")*Agenda!$A$5:$A$1204))=0,"",SUMPRODUCT(MAX((Agenda!$E$5:$E$1204=A159)*(Agenda!$H$5:$H$1204="Realizado")*Agenda!$A$5:$A$1204))))</f>
        <v>46273.0</v>
      </c>
      <c r="I159" s="33">
        <f>IF(A159="","",IF(SUMPRODUCT(MIN(((Agenda!$E$5:$E$1204=A159)*((Agenda!$H$5:$H$1204="Agendado")+(Agenda!$H$5:$H$1204="Confirmado")))*Agenda!$A$5:$A$1204+(1-((Agenda!$E$5:$E$1204=A159)*((Agenda!$H$5:$H$1204="Agendado")+(Agenda!$H$5:$H$1204="Confirmado"))))*1E+10))&gt;=1E+10,"",SUMPRODUCT(MIN(((Agenda!$E$5:$E$1204=A159)*((Agenda!$H$5:$H$1204="Agendado")+(Agenda!$H$5:$H$1204="Confirmado")))*Agenda!$A$5:$A$1204+(1-((Agenda!$E$5:$E$1204=A159)*((Agenda!$H$5:$H$1204="Agendado")+(Agenda!$H$5:$H$1204="Confirmado"))))*1E+10))))</f>
        <v>46280.0</v>
      </c>
    </row>
    <row r="160">
      <c r="A160" s="36" t="inlineStr">
        <is>
          <t>Wagner Santos</t>
        </is>
      </c>
      <c r="B160" s="37" t="inlineStr">
        <is>
          <t>Particular</t>
        </is>
      </c>
      <c r="C160" s="37" t="inlineStr">
        <is>
          <t>Dra. Carolina Mendes</t>
        </is>
      </c>
      <c r="D160" s="36" t="inlineStr">
        <is>
          <t>(11) 90000-0151</t>
        </is>
      </c>
      <c r="E160" s="36" t="n"/>
      <c r="F160" s="29">
        <f>IF(A160="","",COUNTIFS(Agenda!$E$5:$E$1204,A160,Agenda!$H$5:$H$1204,"Realizado"))</f>
        <v>5</v>
      </c>
      <c r="G160" s="29">
        <f>IF(A160="","",COUNTIFS(Agenda!$E$5:$E$1204,A160,Agenda!$H$5:$H$1204,"Falta"))</f>
        <v>0</v>
      </c>
      <c r="H160" s="33">
        <f>IF(A160="","",IF(SUMPRODUCT(MAX((Agenda!$E$5:$E$1204=A160)*(Agenda!$H$5:$H$1204="Realizado")*Agenda!$A$5:$A$1204))=0,"",SUMPRODUCT(MAX((Agenda!$E$5:$E$1204=A160)*(Agenda!$H$5:$H$1204="Realizado")*Agenda!$A$5:$A$1204))))</f>
        <v>46245.0</v>
      </c>
      <c r="I160" s="33">
        <f>IF(A160="","",IF(SUMPRODUCT(MIN(((Agenda!$E$5:$E$1204=A160)*((Agenda!$H$5:$H$1204="Agendado")+(Agenda!$H$5:$H$1204="Confirmado")))*Agenda!$A$5:$A$1204+(1-((Agenda!$E$5:$E$1204=A160)*((Agenda!$H$5:$H$1204="Agendado")+(Agenda!$H$5:$H$1204="Confirmado"))))*1E+10))&gt;=1E+10,"",SUMPRODUCT(MIN(((Agenda!$E$5:$E$1204=A160)*((Agenda!$H$5:$H$1204="Agendado")+(Agenda!$H$5:$H$1204="Confirmado")))*Agenda!$A$5:$A$1204+(1-((Agenda!$E$5:$E$1204=A160)*((Agenda!$H$5:$H$1204="Agendado")+(Agenda!$H$5:$H$1204="Confirmado"))))*1E+10))))</f>
        <v>46286.0</v>
      </c>
    </row>
    <row r="161">
      <c r="A161" s="36" t="n"/>
      <c r="B161" s="37" t="n"/>
      <c r="C161" s="37" t="n"/>
      <c r="D161" s="36" t="n"/>
      <c r="E161" s="36" t="n"/>
      <c r="F161" s="29">
        <f>IF(A161="","",COUNTIFS(Agenda!$E$5:$E$1204,A161,Agenda!$H$5:$H$1204,"Realizado"))</f>
        <v/>
      </c>
      <c r="G161" s="29">
        <f>IF(A161="","",COUNTIFS(Agenda!$E$5:$E$1204,A161,Agenda!$H$5:$H$1204,"Falta"))</f>
        <v/>
      </c>
      <c r="H161" s="33">
        <f>IF(A161="","",IF(SUMPRODUCT(MAX((Agenda!$E$5:$E$1204=A161)*(Agenda!$H$5:$H$1204="Realizado")*Agenda!$A$5:$A$1204))=0,"",SUMPRODUCT(MAX((Agenda!$E$5:$E$1204=A161)*(Agenda!$H$5:$H$1204="Realizado")*Agenda!$A$5:$A$1204))))</f>
        <v/>
      </c>
      <c r="I161" s="33">
        <f>IF(A161="","",IF(SUMPRODUCT(MIN(((Agenda!$E$5:$E$1204=A161)*((Agenda!$H$5:$H$1204="Agendado")+(Agenda!$H$5:$H$1204="Confirmado")))*Agenda!$A$5:$A$1204+(1-((Agenda!$E$5:$E$1204=A161)*((Agenda!$H$5:$H$1204="Agendado")+(Agenda!$H$5:$H$1204="Confirmado"))))*1E+10))&gt;=1E+10,"",SUMPRODUCT(MIN(((Agenda!$E$5:$E$1204=A161)*((Agenda!$H$5:$H$1204="Agendado")+(Agenda!$H$5:$H$1204="Confirmado")))*Agenda!$A$5:$A$1204+(1-((Agenda!$E$5:$E$1204=A161)*((Agenda!$H$5:$H$1204="Agendado")+(Agenda!$H$5:$H$1204="Confirmado"))))*1E+10))))</f>
        <v/>
      </c>
    </row>
    <row r="162">
      <c r="A162" s="36" t="n"/>
      <c r="B162" s="37" t="n"/>
      <c r="C162" s="37" t="n"/>
      <c r="D162" s="36" t="n"/>
      <c r="E162" s="36" t="n"/>
      <c r="F162" s="29">
        <f>IF(A162="","",COUNTIFS(Agenda!$E$5:$E$1204,A162,Agenda!$H$5:$H$1204,"Realizado"))</f>
        <v/>
      </c>
      <c r="G162" s="29">
        <f>IF(A162="","",COUNTIFS(Agenda!$E$5:$E$1204,A162,Agenda!$H$5:$H$1204,"Falta"))</f>
        <v/>
      </c>
      <c r="H162" s="33">
        <f>IF(A162="","",IF(SUMPRODUCT(MAX((Agenda!$E$5:$E$1204=A162)*(Agenda!$H$5:$H$1204="Realizado")*Agenda!$A$5:$A$1204))=0,"",SUMPRODUCT(MAX((Agenda!$E$5:$E$1204=A162)*(Agenda!$H$5:$H$1204="Realizado")*Agenda!$A$5:$A$1204))))</f>
        <v/>
      </c>
      <c r="I162" s="33">
        <f>IF(A162="","",IF(SUMPRODUCT(MIN(((Agenda!$E$5:$E$1204=A162)*((Agenda!$H$5:$H$1204="Agendado")+(Agenda!$H$5:$H$1204="Confirmado")))*Agenda!$A$5:$A$1204+(1-((Agenda!$E$5:$E$1204=A162)*((Agenda!$H$5:$H$1204="Agendado")+(Agenda!$H$5:$H$1204="Confirmado"))))*1E+10))&gt;=1E+10,"",SUMPRODUCT(MIN(((Agenda!$E$5:$E$1204=A162)*((Agenda!$H$5:$H$1204="Agendado")+(Agenda!$H$5:$H$1204="Confirmado")))*Agenda!$A$5:$A$1204+(1-((Agenda!$E$5:$E$1204=A162)*((Agenda!$H$5:$H$1204="Agendado")+(Agenda!$H$5:$H$1204="Confirmado"))))*1E+10))))</f>
        <v/>
      </c>
    </row>
    <row r="163">
      <c r="A163" s="36" t="n"/>
      <c r="B163" s="37" t="n"/>
      <c r="C163" s="37" t="n"/>
      <c r="D163" s="36" t="n"/>
      <c r="E163" s="36" t="n"/>
      <c r="F163" s="29">
        <f>IF(A163="","",COUNTIFS(Agenda!$E$5:$E$1204,A163,Agenda!$H$5:$H$1204,"Realizado"))</f>
        <v/>
      </c>
      <c r="G163" s="29">
        <f>IF(A163="","",COUNTIFS(Agenda!$E$5:$E$1204,A163,Agenda!$H$5:$H$1204,"Falta"))</f>
        <v/>
      </c>
      <c r="H163" s="33">
        <f>IF(A163="","",IF(SUMPRODUCT(MAX((Agenda!$E$5:$E$1204=A163)*(Agenda!$H$5:$H$1204="Realizado")*Agenda!$A$5:$A$1204))=0,"",SUMPRODUCT(MAX((Agenda!$E$5:$E$1204=A163)*(Agenda!$H$5:$H$1204="Realizado")*Agenda!$A$5:$A$1204))))</f>
        <v/>
      </c>
      <c r="I163" s="33">
        <f>IF(A163="","",IF(SUMPRODUCT(MIN(((Agenda!$E$5:$E$1204=A163)*((Agenda!$H$5:$H$1204="Agendado")+(Agenda!$H$5:$H$1204="Confirmado")))*Agenda!$A$5:$A$1204+(1-((Agenda!$E$5:$E$1204=A163)*((Agenda!$H$5:$H$1204="Agendado")+(Agenda!$H$5:$H$1204="Confirmado"))))*1E+10))&gt;=1E+10,"",SUMPRODUCT(MIN(((Agenda!$E$5:$E$1204=A163)*((Agenda!$H$5:$H$1204="Agendado")+(Agenda!$H$5:$H$1204="Confirmado")))*Agenda!$A$5:$A$1204+(1-((Agenda!$E$5:$E$1204=A163)*((Agenda!$H$5:$H$1204="Agendado")+(Agenda!$H$5:$H$1204="Confirmado"))))*1E+10))))</f>
        <v/>
      </c>
    </row>
    <row r="164">
      <c r="A164" s="36" t="n"/>
      <c r="B164" s="37" t="n"/>
      <c r="C164" s="37" t="n"/>
      <c r="D164" s="36" t="n"/>
      <c r="E164" s="36" t="n"/>
      <c r="F164" s="29">
        <f>IF(A164="","",COUNTIFS(Agenda!$E$5:$E$1204,A164,Agenda!$H$5:$H$1204,"Realizado"))</f>
        <v/>
      </c>
      <c r="G164" s="29">
        <f>IF(A164="","",COUNTIFS(Agenda!$E$5:$E$1204,A164,Agenda!$H$5:$H$1204,"Falta"))</f>
        <v/>
      </c>
      <c r="H164" s="33">
        <f>IF(A164="","",IF(SUMPRODUCT(MAX((Agenda!$E$5:$E$1204=A164)*(Agenda!$H$5:$H$1204="Realizado")*Agenda!$A$5:$A$1204))=0,"",SUMPRODUCT(MAX((Agenda!$E$5:$E$1204=A164)*(Agenda!$H$5:$H$1204="Realizado")*Agenda!$A$5:$A$1204))))</f>
        <v/>
      </c>
      <c r="I164" s="33">
        <f>IF(A164="","",IF(SUMPRODUCT(MIN(((Agenda!$E$5:$E$1204=A164)*((Agenda!$H$5:$H$1204="Agendado")+(Agenda!$H$5:$H$1204="Confirmado")))*Agenda!$A$5:$A$1204+(1-((Agenda!$E$5:$E$1204=A164)*((Agenda!$H$5:$H$1204="Agendado")+(Agenda!$H$5:$H$1204="Confirmado"))))*1E+10))&gt;=1E+10,"",SUMPRODUCT(MIN(((Agenda!$E$5:$E$1204=A164)*((Agenda!$H$5:$H$1204="Agendado")+(Agenda!$H$5:$H$1204="Confirmado")))*Agenda!$A$5:$A$1204+(1-((Agenda!$E$5:$E$1204=A164)*((Agenda!$H$5:$H$1204="Agendado")+(Agenda!$H$5:$H$1204="Confirmado"))))*1E+10))))</f>
        <v/>
      </c>
    </row>
    <row r="165">
      <c r="A165" s="36" t="n"/>
      <c r="B165" s="37" t="n"/>
      <c r="C165" s="37" t="n"/>
      <c r="D165" s="36" t="n"/>
      <c r="E165" s="36" t="n"/>
      <c r="F165" s="29">
        <f>IF(A165="","",COUNTIFS(Agenda!$E$5:$E$1204,A165,Agenda!$H$5:$H$1204,"Realizado"))</f>
        <v/>
      </c>
      <c r="G165" s="29">
        <f>IF(A165="","",COUNTIFS(Agenda!$E$5:$E$1204,A165,Agenda!$H$5:$H$1204,"Falta"))</f>
        <v/>
      </c>
      <c r="H165" s="33">
        <f>IF(A165="","",IF(SUMPRODUCT(MAX((Agenda!$E$5:$E$1204=A165)*(Agenda!$H$5:$H$1204="Realizado")*Agenda!$A$5:$A$1204))=0,"",SUMPRODUCT(MAX((Agenda!$E$5:$E$1204=A165)*(Agenda!$H$5:$H$1204="Realizado")*Agenda!$A$5:$A$1204))))</f>
        <v/>
      </c>
      <c r="I165" s="33">
        <f>IF(A165="","",IF(SUMPRODUCT(MIN(((Agenda!$E$5:$E$1204=A165)*((Agenda!$H$5:$H$1204="Agendado")+(Agenda!$H$5:$H$1204="Confirmado")))*Agenda!$A$5:$A$1204+(1-((Agenda!$E$5:$E$1204=A165)*((Agenda!$H$5:$H$1204="Agendado")+(Agenda!$H$5:$H$1204="Confirmado"))))*1E+10))&gt;=1E+10,"",SUMPRODUCT(MIN(((Agenda!$E$5:$E$1204=A165)*((Agenda!$H$5:$H$1204="Agendado")+(Agenda!$H$5:$H$1204="Confirmado")))*Agenda!$A$5:$A$1204+(1-((Agenda!$E$5:$E$1204=A165)*((Agenda!$H$5:$H$1204="Agendado")+(Agenda!$H$5:$H$1204="Confirmado"))))*1E+10))))</f>
        <v/>
      </c>
    </row>
    <row r="166">
      <c r="A166" s="36" t="n"/>
      <c r="B166" s="37" t="n"/>
      <c r="C166" s="37" t="n"/>
      <c r="D166" s="36" t="n"/>
      <c r="E166" s="36" t="n"/>
      <c r="F166" s="29">
        <f>IF(A166="","",COUNTIFS(Agenda!$E$5:$E$1204,A166,Agenda!$H$5:$H$1204,"Realizado"))</f>
        <v/>
      </c>
      <c r="G166" s="29">
        <f>IF(A166="","",COUNTIFS(Agenda!$E$5:$E$1204,A166,Agenda!$H$5:$H$1204,"Falta"))</f>
        <v/>
      </c>
      <c r="H166" s="33">
        <f>IF(A166="","",IF(SUMPRODUCT(MAX((Agenda!$E$5:$E$1204=A166)*(Agenda!$H$5:$H$1204="Realizado")*Agenda!$A$5:$A$1204))=0,"",SUMPRODUCT(MAX((Agenda!$E$5:$E$1204=A166)*(Agenda!$H$5:$H$1204="Realizado")*Agenda!$A$5:$A$1204))))</f>
        <v/>
      </c>
      <c r="I166" s="33">
        <f>IF(A166="","",IF(SUMPRODUCT(MIN(((Agenda!$E$5:$E$1204=A166)*((Agenda!$H$5:$H$1204="Agendado")+(Agenda!$H$5:$H$1204="Confirmado")))*Agenda!$A$5:$A$1204+(1-((Agenda!$E$5:$E$1204=A166)*((Agenda!$H$5:$H$1204="Agendado")+(Agenda!$H$5:$H$1204="Confirmado"))))*1E+10))&gt;=1E+10,"",SUMPRODUCT(MIN(((Agenda!$E$5:$E$1204=A166)*((Agenda!$H$5:$H$1204="Agendado")+(Agenda!$H$5:$H$1204="Confirmado")))*Agenda!$A$5:$A$1204+(1-((Agenda!$E$5:$E$1204=A166)*((Agenda!$H$5:$H$1204="Agendado")+(Agenda!$H$5:$H$1204="Confirmado"))))*1E+10))))</f>
        <v/>
      </c>
    </row>
    <row r="167">
      <c r="A167" s="36" t="n"/>
      <c r="B167" s="37" t="n"/>
      <c r="C167" s="37" t="n"/>
      <c r="D167" s="36" t="n"/>
      <c r="E167" s="36" t="n"/>
      <c r="F167" s="29">
        <f>IF(A167="","",COUNTIFS(Agenda!$E$5:$E$1204,A167,Agenda!$H$5:$H$1204,"Realizado"))</f>
        <v/>
      </c>
      <c r="G167" s="29">
        <f>IF(A167="","",COUNTIFS(Agenda!$E$5:$E$1204,A167,Agenda!$H$5:$H$1204,"Falta"))</f>
        <v/>
      </c>
      <c r="H167" s="33">
        <f>IF(A167="","",IF(SUMPRODUCT(MAX((Agenda!$E$5:$E$1204=A167)*(Agenda!$H$5:$H$1204="Realizado")*Agenda!$A$5:$A$1204))=0,"",SUMPRODUCT(MAX((Agenda!$E$5:$E$1204=A167)*(Agenda!$H$5:$H$1204="Realizado")*Agenda!$A$5:$A$1204))))</f>
        <v/>
      </c>
      <c r="I167" s="33">
        <f>IF(A167="","",IF(SUMPRODUCT(MIN(((Agenda!$E$5:$E$1204=A167)*((Agenda!$H$5:$H$1204="Agendado")+(Agenda!$H$5:$H$1204="Confirmado")))*Agenda!$A$5:$A$1204+(1-((Agenda!$E$5:$E$1204=A167)*((Agenda!$H$5:$H$1204="Agendado")+(Agenda!$H$5:$H$1204="Confirmado"))))*1E+10))&gt;=1E+10,"",SUMPRODUCT(MIN(((Agenda!$E$5:$E$1204=A167)*((Agenda!$H$5:$H$1204="Agendado")+(Agenda!$H$5:$H$1204="Confirmado")))*Agenda!$A$5:$A$1204+(1-((Agenda!$E$5:$E$1204=A167)*((Agenda!$H$5:$H$1204="Agendado")+(Agenda!$H$5:$H$1204="Confirmado"))))*1E+10))))</f>
        <v/>
      </c>
    </row>
    <row r="168">
      <c r="A168" s="36" t="n"/>
      <c r="B168" s="37" t="n"/>
      <c r="C168" s="37" t="n"/>
      <c r="D168" s="36" t="n"/>
      <c r="E168" s="36" t="n"/>
      <c r="F168" s="29">
        <f>IF(A168="","",COUNTIFS(Agenda!$E$5:$E$1204,A168,Agenda!$H$5:$H$1204,"Realizado"))</f>
        <v/>
      </c>
      <c r="G168" s="29">
        <f>IF(A168="","",COUNTIFS(Agenda!$E$5:$E$1204,A168,Agenda!$H$5:$H$1204,"Falta"))</f>
        <v/>
      </c>
      <c r="H168" s="33">
        <f>IF(A168="","",IF(SUMPRODUCT(MAX((Agenda!$E$5:$E$1204=A168)*(Agenda!$H$5:$H$1204="Realizado")*Agenda!$A$5:$A$1204))=0,"",SUMPRODUCT(MAX((Agenda!$E$5:$E$1204=A168)*(Agenda!$H$5:$H$1204="Realizado")*Agenda!$A$5:$A$1204))))</f>
        <v/>
      </c>
      <c r="I168" s="33">
        <f>IF(A168="","",IF(SUMPRODUCT(MIN(((Agenda!$E$5:$E$1204=A168)*((Agenda!$H$5:$H$1204="Agendado")+(Agenda!$H$5:$H$1204="Confirmado")))*Agenda!$A$5:$A$1204+(1-((Agenda!$E$5:$E$1204=A168)*((Agenda!$H$5:$H$1204="Agendado")+(Agenda!$H$5:$H$1204="Confirmado"))))*1E+10))&gt;=1E+10,"",SUMPRODUCT(MIN(((Agenda!$E$5:$E$1204=A168)*((Agenda!$H$5:$H$1204="Agendado")+(Agenda!$H$5:$H$1204="Confirmado")))*Agenda!$A$5:$A$1204+(1-((Agenda!$E$5:$E$1204=A168)*((Agenda!$H$5:$H$1204="Agendado")+(Agenda!$H$5:$H$1204="Confirmado"))))*1E+10))))</f>
        <v/>
      </c>
    </row>
    <row r="169">
      <c r="A169" s="36" t="n"/>
      <c r="B169" s="37" t="n"/>
      <c r="C169" s="37" t="n"/>
      <c r="D169" s="36" t="n"/>
      <c r="E169" s="36" t="n"/>
      <c r="F169" s="29">
        <f>IF(A169="","",COUNTIFS(Agenda!$E$5:$E$1204,A169,Agenda!$H$5:$H$1204,"Realizado"))</f>
        <v/>
      </c>
      <c r="G169" s="29">
        <f>IF(A169="","",COUNTIFS(Agenda!$E$5:$E$1204,A169,Agenda!$H$5:$H$1204,"Falta"))</f>
        <v/>
      </c>
      <c r="H169" s="33">
        <f>IF(A169="","",IF(SUMPRODUCT(MAX((Agenda!$E$5:$E$1204=A169)*(Agenda!$H$5:$H$1204="Realizado")*Agenda!$A$5:$A$1204))=0,"",SUMPRODUCT(MAX((Agenda!$E$5:$E$1204=A169)*(Agenda!$H$5:$H$1204="Realizado")*Agenda!$A$5:$A$1204))))</f>
        <v/>
      </c>
      <c r="I169" s="33">
        <f>IF(A169="","",IF(SUMPRODUCT(MIN(((Agenda!$E$5:$E$1204=A169)*((Agenda!$H$5:$H$1204="Agendado")+(Agenda!$H$5:$H$1204="Confirmado")))*Agenda!$A$5:$A$1204+(1-((Agenda!$E$5:$E$1204=A169)*((Agenda!$H$5:$H$1204="Agendado")+(Agenda!$H$5:$H$1204="Confirmado"))))*1E+10))&gt;=1E+10,"",SUMPRODUCT(MIN(((Agenda!$E$5:$E$1204=A169)*((Agenda!$H$5:$H$1204="Agendado")+(Agenda!$H$5:$H$1204="Confirmado")))*Agenda!$A$5:$A$1204+(1-((Agenda!$E$5:$E$1204=A169)*((Agenda!$H$5:$H$1204="Agendado")+(Agenda!$H$5:$H$1204="Confirmado"))))*1E+10))))</f>
        <v/>
      </c>
    </row>
    <row r="170">
      <c r="A170" s="36" t="n"/>
      <c r="B170" s="37" t="n"/>
      <c r="C170" s="37" t="n"/>
      <c r="D170" s="36" t="n"/>
      <c r="E170" s="36" t="n"/>
      <c r="F170" s="29">
        <f>IF(A170="","",COUNTIFS(Agenda!$E$5:$E$1204,A170,Agenda!$H$5:$H$1204,"Realizado"))</f>
        <v/>
      </c>
      <c r="G170" s="29">
        <f>IF(A170="","",COUNTIFS(Agenda!$E$5:$E$1204,A170,Agenda!$H$5:$H$1204,"Falta"))</f>
        <v/>
      </c>
      <c r="H170" s="33">
        <f>IF(A170="","",IF(SUMPRODUCT(MAX((Agenda!$E$5:$E$1204=A170)*(Agenda!$H$5:$H$1204="Realizado")*Agenda!$A$5:$A$1204))=0,"",SUMPRODUCT(MAX((Agenda!$E$5:$E$1204=A170)*(Agenda!$H$5:$H$1204="Realizado")*Agenda!$A$5:$A$1204))))</f>
        <v/>
      </c>
      <c r="I170" s="33">
        <f>IF(A170="","",IF(SUMPRODUCT(MIN(((Agenda!$E$5:$E$1204=A170)*((Agenda!$H$5:$H$1204="Agendado")+(Agenda!$H$5:$H$1204="Confirmado")))*Agenda!$A$5:$A$1204+(1-((Agenda!$E$5:$E$1204=A170)*((Agenda!$H$5:$H$1204="Agendado")+(Agenda!$H$5:$H$1204="Confirmado"))))*1E+10))&gt;=1E+10,"",SUMPRODUCT(MIN(((Agenda!$E$5:$E$1204=A170)*((Agenda!$H$5:$H$1204="Agendado")+(Agenda!$H$5:$H$1204="Confirmado")))*Agenda!$A$5:$A$1204+(1-((Agenda!$E$5:$E$1204=A170)*((Agenda!$H$5:$H$1204="Agendado")+(Agenda!$H$5:$H$1204="Confirmado"))))*1E+10))))</f>
        <v/>
      </c>
    </row>
    <row r="171">
      <c r="A171" s="36" t="n"/>
      <c r="B171" s="37" t="n"/>
      <c r="C171" s="37" t="n"/>
      <c r="D171" s="36" t="n"/>
      <c r="E171" s="36" t="n"/>
      <c r="F171" s="29">
        <f>IF(A171="","",COUNTIFS(Agenda!$E$5:$E$1204,A171,Agenda!$H$5:$H$1204,"Realizado"))</f>
        <v/>
      </c>
      <c r="G171" s="29">
        <f>IF(A171="","",COUNTIFS(Agenda!$E$5:$E$1204,A171,Agenda!$H$5:$H$1204,"Falta"))</f>
        <v/>
      </c>
      <c r="H171" s="33">
        <f>IF(A171="","",IF(SUMPRODUCT(MAX((Agenda!$E$5:$E$1204=A171)*(Agenda!$H$5:$H$1204="Realizado")*Agenda!$A$5:$A$1204))=0,"",SUMPRODUCT(MAX((Agenda!$E$5:$E$1204=A171)*(Agenda!$H$5:$H$1204="Realizado")*Agenda!$A$5:$A$1204))))</f>
        <v/>
      </c>
      <c r="I171" s="33">
        <f>IF(A171="","",IF(SUMPRODUCT(MIN(((Agenda!$E$5:$E$1204=A171)*((Agenda!$H$5:$H$1204="Agendado")+(Agenda!$H$5:$H$1204="Confirmado")))*Agenda!$A$5:$A$1204+(1-((Agenda!$E$5:$E$1204=A171)*((Agenda!$H$5:$H$1204="Agendado")+(Agenda!$H$5:$H$1204="Confirmado"))))*1E+10))&gt;=1E+10,"",SUMPRODUCT(MIN(((Agenda!$E$5:$E$1204=A171)*((Agenda!$H$5:$H$1204="Agendado")+(Agenda!$H$5:$H$1204="Confirmado")))*Agenda!$A$5:$A$1204+(1-((Agenda!$E$5:$E$1204=A171)*((Agenda!$H$5:$H$1204="Agendado")+(Agenda!$H$5:$H$1204="Confirmado"))))*1E+10))))</f>
        <v/>
      </c>
    </row>
    <row r="172">
      <c r="A172" s="36" t="n"/>
      <c r="B172" s="37" t="n"/>
      <c r="C172" s="37" t="n"/>
      <c r="D172" s="36" t="n"/>
      <c r="E172" s="36" t="n"/>
      <c r="F172" s="29">
        <f>IF(A172="","",COUNTIFS(Agenda!$E$5:$E$1204,A172,Agenda!$H$5:$H$1204,"Realizado"))</f>
        <v/>
      </c>
      <c r="G172" s="29">
        <f>IF(A172="","",COUNTIFS(Agenda!$E$5:$E$1204,A172,Agenda!$H$5:$H$1204,"Falta"))</f>
        <v/>
      </c>
      <c r="H172" s="33">
        <f>IF(A172="","",IF(SUMPRODUCT(MAX((Agenda!$E$5:$E$1204=A172)*(Agenda!$H$5:$H$1204="Realizado")*Agenda!$A$5:$A$1204))=0,"",SUMPRODUCT(MAX((Agenda!$E$5:$E$1204=A172)*(Agenda!$H$5:$H$1204="Realizado")*Agenda!$A$5:$A$1204))))</f>
        <v/>
      </c>
      <c r="I172" s="33">
        <f>IF(A172="","",IF(SUMPRODUCT(MIN(((Agenda!$E$5:$E$1204=A172)*((Agenda!$H$5:$H$1204="Agendado")+(Agenda!$H$5:$H$1204="Confirmado")))*Agenda!$A$5:$A$1204+(1-((Agenda!$E$5:$E$1204=A172)*((Agenda!$H$5:$H$1204="Agendado")+(Agenda!$H$5:$H$1204="Confirmado"))))*1E+10))&gt;=1E+10,"",SUMPRODUCT(MIN(((Agenda!$E$5:$E$1204=A172)*((Agenda!$H$5:$H$1204="Agendado")+(Agenda!$H$5:$H$1204="Confirmado")))*Agenda!$A$5:$A$1204+(1-((Agenda!$E$5:$E$1204=A172)*((Agenda!$H$5:$H$1204="Agendado")+(Agenda!$H$5:$H$1204="Confirmado"))))*1E+10))))</f>
        <v/>
      </c>
    </row>
    <row r="173">
      <c r="A173" s="36" t="n"/>
      <c r="B173" s="37" t="n"/>
      <c r="C173" s="37" t="n"/>
      <c r="D173" s="36" t="n"/>
      <c r="E173" s="36" t="n"/>
      <c r="F173" s="29">
        <f>IF(A173="","",COUNTIFS(Agenda!$E$5:$E$1204,A173,Agenda!$H$5:$H$1204,"Realizado"))</f>
        <v/>
      </c>
      <c r="G173" s="29">
        <f>IF(A173="","",COUNTIFS(Agenda!$E$5:$E$1204,A173,Agenda!$H$5:$H$1204,"Falta"))</f>
        <v/>
      </c>
      <c r="H173" s="33">
        <f>IF(A173="","",IF(SUMPRODUCT(MAX((Agenda!$E$5:$E$1204=A173)*(Agenda!$H$5:$H$1204="Realizado")*Agenda!$A$5:$A$1204))=0,"",SUMPRODUCT(MAX((Agenda!$E$5:$E$1204=A173)*(Agenda!$H$5:$H$1204="Realizado")*Agenda!$A$5:$A$1204))))</f>
        <v/>
      </c>
      <c r="I173" s="33">
        <f>IF(A173="","",IF(SUMPRODUCT(MIN(((Agenda!$E$5:$E$1204=A173)*((Agenda!$H$5:$H$1204="Agendado")+(Agenda!$H$5:$H$1204="Confirmado")))*Agenda!$A$5:$A$1204+(1-((Agenda!$E$5:$E$1204=A173)*((Agenda!$H$5:$H$1204="Agendado")+(Agenda!$H$5:$H$1204="Confirmado"))))*1E+10))&gt;=1E+10,"",SUMPRODUCT(MIN(((Agenda!$E$5:$E$1204=A173)*((Agenda!$H$5:$H$1204="Agendado")+(Agenda!$H$5:$H$1204="Confirmado")))*Agenda!$A$5:$A$1204+(1-((Agenda!$E$5:$E$1204=A173)*((Agenda!$H$5:$H$1204="Agendado")+(Agenda!$H$5:$H$1204="Confirmado"))))*1E+10))))</f>
        <v/>
      </c>
    </row>
    <row r="174">
      <c r="A174" s="36" t="n"/>
      <c r="B174" s="37" t="n"/>
      <c r="C174" s="37" t="n"/>
      <c r="D174" s="36" t="n"/>
      <c r="E174" s="36" t="n"/>
      <c r="F174" s="29">
        <f>IF(A174="","",COUNTIFS(Agenda!$E$5:$E$1204,A174,Agenda!$H$5:$H$1204,"Realizado"))</f>
        <v/>
      </c>
      <c r="G174" s="29">
        <f>IF(A174="","",COUNTIFS(Agenda!$E$5:$E$1204,A174,Agenda!$H$5:$H$1204,"Falta"))</f>
        <v/>
      </c>
      <c r="H174" s="33">
        <f>IF(A174="","",IF(SUMPRODUCT(MAX((Agenda!$E$5:$E$1204=A174)*(Agenda!$H$5:$H$1204="Realizado")*Agenda!$A$5:$A$1204))=0,"",SUMPRODUCT(MAX((Agenda!$E$5:$E$1204=A174)*(Agenda!$H$5:$H$1204="Realizado")*Agenda!$A$5:$A$1204))))</f>
        <v/>
      </c>
      <c r="I174" s="33">
        <f>IF(A174="","",IF(SUMPRODUCT(MIN(((Agenda!$E$5:$E$1204=A174)*((Agenda!$H$5:$H$1204="Agendado")+(Agenda!$H$5:$H$1204="Confirmado")))*Agenda!$A$5:$A$1204+(1-((Agenda!$E$5:$E$1204=A174)*((Agenda!$H$5:$H$1204="Agendado")+(Agenda!$H$5:$H$1204="Confirmado"))))*1E+10))&gt;=1E+10,"",SUMPRODUCT(MIN(((Agenda!$E$5:$E$1204=A174)*((Agenda!$H$5:$H$1204="Agendado")+(Agenda!$H$5:$H$1204="Confirmado")))*Agenda!$A$5:$A$1204+(1-((Agenda!$E$5:$E$1204=A174)*((Agenda!$H$5:$H$1204="Agendado")+(Agenda!$H$5:$H$1204="Confirmado"))))*1E+10))))</f>
        <v/>
      </c>
    </row>
    <row r="175">
      <c r="A175" s="36" t="n"/>
      <c r="B175" s="37" t="n"/>
      <c r="C175" s="37" t="n"/>
      <c r="D175" s="36" t="n"/>
      <c r="E175" s="36" t="n"/>
      <c r="F175" s="29">
        <f>IF(A175="","",COUNTIFS(Agenda!$E$5:$E$1204,A175,Agenda!$H$5:$H$1204,"Realizado"))</f>
        <v/>
      </c>
      <c r="G175" s="29">
        <f>IF(A175="","",COUNTIFS(Agenda!$E$5:$E$1204,A175,Agenda!$H$5:$H$1204,"Falta"))</f>
        <v/>
      </c>
      <c r="H175" s="33">
        <f>IF(A175="","",IF(SUMPRODUCT(MAX((Agenda!$E$5:$E$1204=A175)*(Agenda!$H$5:$H$1204="Realizado")*Agenda!$A$5:$A$1204))=0,"",SUMPRODUCT(MAX((Agenda!$E$5:$E$1204=A175)*(Agenda!$H$5:$H$1204="Realizado")*Agenda!$A$5:$A$1204))))</f>
        <v/>
      </c>
      <c r="I175" s="33">
        <f>IF(A175="","",IF(SUMPRODUCT(MIN(((Agenda!$E$5:$E$1204=A175)*((Agenda!$H$5:$H$1204="Agendado")+(Agenda!$H$5:$H$1204="Confirmado")))*Agenda!$A$5:$A$1204+(1-((Agenda!$E$5:$E$1204=A175)*((Agenda!$H$5:$H$1204="Agendado")+(Agenda!$H$5:$H$1204="Confirmado"))))*1E+10))&gt;=1E+10,"",SUMPRODUCT(MIN(((Agenda!$E$5:$E$1204=A175)*((Agenda!$H$5:$H$1204="Agendado")+(Agenda!$H$5:$H$1204="Confirmado")))*Agenda!$A$5:$A$1204+(1-((Agenda!$E$5:$E$1204=A175)*((Agenda!$H$5:$H$1204="Agendado")+(Agenda!$H$5:$H$1204="Confirmado"))))*1E+10))))</f>
        <v/>
      </c>
    </row>
    <row r="176">
      <c r="A176" s="36" t="n"/>
      <c r="B176" s="37" t="n"/>
      <c r="C176" s="37" t="n"/>
      <c r="D176" s="36" t="n"/>
      <c r="E176" s="36" t="n"/>
      <c r="F176" s="29">
        <f>IF(A176="","",COUNTIFS(Agenda!$E$5:$E$1204,A176,Agenda!$H$5:$H$1204,"Realizado"))</f>
        <v/>
      </c>
      <c r="G176" s="29">
        <f>IF(A176="","",COUNTIFS(Agenda!$E$5:$E$1204,A176,Agenda!$H$5:$H$1204,"Falta"))</f>
        <v/>
      </c>
      <c r="H176" s="33">
        <f>IF(A176="","",IF(SUMPRODUCT(MAX((Agenda!$E$5:$E$1204=A176)*(Agenda!$H$5:$H$1204="Realizado")*Agenda!$A$5:$A$1204))=0,"",SUMPRODUCT(MAX((Agenda!$E$5:$E$1204=A176)*(Agenda!$H$5:$H$1204="Realizado")*Agenda!$A$5:$A$1204))))</f>
        <v/>
      </c>
      <c r="I176" s="33">
        <f>IF(A176="","",IF(SUMPRODUCT(MIN(((Agenda!$E$5:$E$1204=A176)*((Agenda!$H$5:$H$1204="Agendado")+(Agenda!$H$5:$H$1204="Confirmado")))*Agenda!$A$5:$A$1204+(1-((Agenda!$E$5:$E$1204=A176)*((Agenda!$H$5:$H$1204="Agendado")+(Agenda!$H$5:$H$1204="Confirmado"))))*1E+10))&gt;=1E+10,"",SUMPRODUCT(MIN(((Agenda!$E$5:$E$1204=A176)*((Agenda!$H$5:$H$1204="Agendado")+(Agenda!$H$5:$H$1204="Confirmado")))*Agenda!$A$5:$A$1204+(1-((Agenda!$E$5:$E$1204=A176)*((Agenda!$H$5:$H$1204="Agendado")+(Agenda!$H$5:$H$1204="Confirmado"))))*1E+10))))</f>
        <v/>
      </c>
    </row>
    <row r="177">
      <c r="A177" s="36" t="n"/>
      <c r="B177" s="37" t="n"/>
      <c r="C177" s="37" t="n"/>
      <c r="D177" s="36" t="n"/>
      <c r="E177" s="36" t="n"/>
      <c r="F177" s="29">
        <f>IF(A177="","",COUNTIFS(Agenda!$E$5:$E$1204,A177,Agenda!$H$5:$H$1204,"Realizado"))</f>
        <v/>
      </c>
      <c r="G177" s="29">
        <f>IF(A177="","",COUNTIFS(Agenda!$E$5:$E$1204,A177,Agenda!$H$5:$H$1204,"Falta"))</f>
        <v/>
      </c>
      <c r="H177" s="33">
        <f>IF(A177="","",IF(SUMPRODUCT(MAX((Agenda!$E$5:$E$1204=A177)*(Agenda!$H$5:$H$1204="Realizado")*Agenda!$A$5:$A$1204))=0,"",SUMPRODUCT(MAX((Agenda!$E$5:$E$1204=A177)*(Agenda!$H$5:$H$1204="Realizado")*Agenda!$A$5:$A$1204))))</f>
        <v/>
      </c>
      <c r="I177" s="33">
        <f>IF(A177="","",IF(SUMPRODUCT(MIN(((Agenda!$E$5:$E$1204=A177)*((Agenda!$H$5:$H$1204="Agendado")+(Agenda!$H$5:$H$1204="Confirmado")))*Agenda!$A$5:$A$1204+(1-((Agenda!$E$5:$E$1204=A177)*((Agenda!$H$5:$H$1204="Agendado")+(Agenda!$H$5:$H$1204="Confirmado"))))*1E+10))&gt;=1E+10,"",SUMPRODUCT(MIN(((Agenda!$E$5:$E$1204=A177)*((Agenda!$H$5:$H$1204="Agendado")+(Agenda!$H$5:$H$1204="Confirmado")))*Agenda!$A$5:$A$1204+(1-((Agenda!$E$5:$E$1204=A177)*((Agenda!$H$5:$H$1204="Agendado")+(Agenda!$H$5:$H$1204="Confirmado"))))*1E+10))))</f>
        <v/>
      </c>
    </row>
    <row r="178">
      <c r="A178" s="36" t="n"/>
      <c r="B178" s="37" t="n"/>
      <c r="C178" s="37" t="n"/>
      <c r="D178" s="36" t="n"/>
      <c r="E178" s="36" t="n"/>
      <c r="F178" s="29">
        <f>IF(A178="","",COUNTIFS(Agenda!$E$5:$E$1204,A178,Agenda!$H$5:$H$1204,"Realizado"))</f>
        <v/>
      </c>
      <c r="G178" s="29">
        <f>IF(A178="","",COUNTIFS(Agenda!$E$5:$E$1204,A178,Agenda!$H$5:$H$1204,"Falta"))</f>
        <v/>
      </c>
      <c r="H178" s="33">
        <f>IF(A178="","",IF(SUMPRODUCT(MAX((Agenda!$E$5:$E$1204=A178)*(Agenda!$H$5:$H$1204="Realizado")*Agenda!$A$5:$A$1204))=0,"",SUMPRODUCT(MAX((Agenda!$E$5:$E$1204=A178)*(Agenda!$H$5:$H$1204="Realizado")*Agenda!$A$5:$A$1204))))</f>
        <v/>
      </c>
      <c r="I178" s="33">
        <f>IF(A178="","",IF(SUMPRODUCT(MIN(((Agenda!$E$5:$E$1204=A178)*((Agenda!$H$5:$H$1204="Agendado")+(Agenda!$H$5:$H$1204="Confirmado")))*Agenda!$A$5:$A$1204+(1-((Agenda!$E$5:$E$1204=A178)*((Agenda!$H$5:$H$1204="Agendado")+(Agenda!$H$5:$H$1204="Confirmado"))))*1E+10))&gt;=1E+10,"",SUMPRODUCT(MIN(((Agenda!$E$5:$E$1204=A178)*((Agenda!$H$5:$H$1204="Agendado")+(Agenda!$H$5:$H$1204="Confirmado")))*Agenda!$A$5:$A$1204+(1-((Agenda!$E$5:$E$1204=A178)*((Agenda!$H$5:$H$1204="Agendado")+(Agenda!$H$5:$H$1204="Confirmado"))))*1E+10))))</f>
        <v/>
      </c>
    </row>
    <row r="179">
      <c r="A179" s="36" t="n"/>
      <c r="B179" s="37" t="n"/>
      <c r="C179" s="37" t="n"/>
      <c r="D179" s="36" t="n"/>
      <c r="E179" s="36" t="n"/>
      <c r="F179" s="29">
        <f>IF(A179="","",COUNTIFS(Agenda!$E$5:$E$1204,A179,Agenda!$H$5:$H$1204,"Realizado"))</f>
        <v/>
      </c>
      <c r="G179" s="29">
        <f>IF(A179="","",COUNTIFS(Agenda!$E$5:$E$1204,A179,Agenda!$H$5:$H$1204,"Falta"))</f>
        <v/>
      </c>
      <c r="H179" s="33">
        <f>IF(A179="","",IF(SUMPRODUCT(MAX((Agenda!$E$5:$E$1204=A179)*(Agenda!$H$5:$H$1204="Realizado")*Agenda!$A$5:$A$1204))=0,"",SUMPRODUCT(MAX((Agenda!$E$5:$E$1204=A179)*(Agenda!$H$5:$H$1204="Realizado")*Agenda!$A$5:$A$1204))))</f>
        <v/>
      </c>
      <c r="I179" s="33">
        <f>IF(A179="","",IF(SUMPRODUCT(MIN(((Agenda!$E$5:$E$1204=A179)*((Agenda!$H$5:$H$1204="Agendado")+(Agenda!$H$5:$H$1204="Confirmado")))*Agenda!$A$5:$A$1204+(1-((Agenda!$E$5:$E$1204=A179)*((Agenda!$H$5:$H$1204="Agendado")+(Agenda!$H$5:$H$1204="Confirmado"))))*1E+10))&gt;=1E+10,"",SUMPRODUCT(MIN(((Agenda!$E$5:$E$1204=A179)*((Agenda!$H$5:$H$1204="Agendado")+(Agenda!$H$5:$H$1204="Confirmado")))*Agenda!$A$5:$A$1204+(1-((Agenda!$E$5:$E$1204=A179)*((Agenda!$H$5:$H$1204="Agendado")+(Agenda!$H$5:$H$1204="Confirmado"))))*1E+10))))</f>
        <v/>
      </c>
    </row>
    <row r="180">
      <c r="A180" s="36" t="n"/>
      <c r="B180" s="37" t="n"/>
      <c r="C180" s="37" t="n"/>
      <c r="D180" s="36" t="n"/>
      <c r="E180" s="36" t="n"/>
      <c r="F180" s="29">
        <f>IF(A180="","",COUNTIFS(Agenda!$E$5:$E$1204,A180,Agenda!$H$5:$H$1204,"Realizado"))</f>
        <v/>
      </c>
      <c r="G180" s="29">
        <f>IF(A180="","",COUNTIFS(Agenda!$E$5:$E$1204,A180,Agenda!$H$5:$H$1204,"Falta"))</f>
        <v/>
      </c>
      <c r="H180" s="33">
        <f>IF(A180="","",IF(SUMPRODUCT(MAX((Agenda!$E$5:$E$1204=A180)*(Agenda!$H$5:$H$1204="Realizado")*Agenda!$A$5:$A$1204))=0,"",SUMPRODUCT(MAX((Agenda!$E$5:$E$1204=A180)*(Agenda!$H$5:$H$1204="Realizado")*Agenda!$A$5:$A$1204))))</f>
        <v/>
      </c>
      <c r="I180" s="33">
        <f>IF(A180="","",IF(SUMPRODUCT(MIN(((Agenda!$E$5:$E$1204=A180)*((Agenda!$H$5:$H$1204="Agendado")+(Agenda!$H$5:$H$1204="Confirmado")))*Agenda!$A$5:$A$1204+(1-((Agenda!$E$5:$E$1204=A180)*((Agenda!$H$5:$H$1204="Agendado")+(Agenda!$H$5:$H$1204="Confirmado"))))*1E+10))&gt;=1E+10,"",SUMPRODUCT(MIN(((Agenda!$E$5:$E$1204=A180)*((Agenda!$H$5:$H$1204="Agendado")+(Agenda!$H$5:$H$1204="Confirmado")))*Agenda!$A$5:$A$1204+(1-((Agenda!$E$5:$E$1204=A180)*((Agenda!$H$5:$H$1204="Agendado")+(Agenda!$H$5:$H$1204="Confirmado"))))*1E+10))))</f>
        <v/>
      </c>
    </row>
    <row r="181">
      <c r="A181" s="36" t="n"/>
      <c r="B181" s="37" t="n"/>
      <c r="C181" s="37" t="n"/>
      <c r="D181" s="36" t="n"/>
      <c r="E181" s="36" t="n"/>
      <c r="F181" s="29">
        <f>IF(A181="","",COUNTIFS(Agenda!$E$5:$E$1204,A181,Agenda!$H$5:$H$1204,"Realizado"))</f>
        <v/>
      </c>
      <c r="G181" s="29">
        <f>IF(A181="","",COUNTIFS(Agenda!$E$5:$E$1204,A181,Agenda!$H$5:$H$1204,"Falta"))</f>
        <v/>
      </c>
      <c r="H181" s="33">
        <f>IF(A181="","",IF(SUMPRODUCT(MAX((Agenda!$E$5:$E$1204=A181)*(Agenda!$H$5:$H$1204="Realizado")*Agenda!$A$5:$A$1204))=0,"",SUMPRODUCT(MAX((Agenda!$E$5:$E$1204=A181)*(Agenda!$H$5:$H$1204="Realizado")*Agenda!$A$5:$A$1204))))</f>
        <v/>
      </c>
      <c r="I181" s="33">
        <f>IF(A181="","",IF(SUMPRODUCT(MIN(((Agenda!$E$5:$E$1204=A181)*((Agenda!$H$5:$H$1204="Agendado")+(Agenda!$H$5:$H$1204="Confirmado")))*Agenda!$A$5:$A$1204+(1-((Agenda!$E$5:$E$1204=A181)*((Agenda!$H$5:$H$1204="Agendado")+(Agenda!$H$5:$H$1204="Confirmado"))))*1E+10))&gt;=1E+10,"",SUMPRODUCT(MIN(((Agenda!$E$5:$E$1204=A181)*((Agenda!$H$5:$H$1204="Agendado")+(Agenda!$H$5:$H$1204="Confirmado")))*Agenda!$A$5:$A$1204+(1-((Agenda!$E$5:$E$1204=A181)*((Agenda!$H$5:$H$1204="Agendado")+(Agenda!$H$5:$H$1204="Confirmado"))))*1E+10))))</f>
        <v/>
      </c>
    </row>
    <row r="182">
      <c r="A182" s="36" t="n"/>
      <c r="B182" s="37" t="n"/>
      <c r="C182" s="37" t="n"/>
      <c r="D182" s="36" t="n"/>
      <c r="E182" s="36" t="n"/>
      <c r="F182" s="29">
        <f>IF(A182="","",COUNTIFS(Agenda!$E$5:$E$1204,A182,Agenda!$H$5:$H$1204,"Realizado"))</f>
        <v/>
      </c>
      <c r="G182" s="29">
        <f>IF(A182="","",COUNTIFS(Agenda!$E$5:$E$1204,A182,Agenda!$H$5:$H$1204,"Falta"))</f>
        <v/>
      </c>
      <c r="H182" s="33">
        <f>IF(A182="","",IF(SUMPRODUCT(MAX((Agenda!$E$5:$E$1204=A182)*(Agenda!$H$5:$H$1204="Realizado")*Agenda!$A$5:$A$1204))=0,"",SUMPRODUCT(MAX((Agenda!$E$5:$E$1204=A182)*(Agenda!$H$5:$H$1204="Realizado")*Agenda!$A$5:$A$1204))))</f>
        <v/>
      </c>
      <c r="I182" s="33">
        <f>IF(A182="","",IF(SUMPRODUCT(MIN(((Agenda!$E$5:$E$1204=A182)*((Agenda!$H$5:$H$1204="Agendado")+(Agenda!$H$5:$H$1204="Confirmado")))*Agenda!$A$5:$A$1204+(1-((Agenda!$E$5:$E$1204=A182)*((Agenda!$H$5:$H$1204="Agendado")+(Agenda!$H$5:$H$1204="Confirmado"))))*1E+10))&gt;=1E+10,"",SUMPRODUCT(MIN(((Agenda!$E$5:$E$1204=A182)*((Agenda!$H$5:$H$1204="Agendado")+(Agenda!$H$5:$H$1204="Confirmado")))*Agenda!$A$5:$A$1204+(1-((Agenda!$E$5:$E$1204=A182)*((Agenda!$H$5:$H$1204="Agendado")+(Agenda!$H$5:$H$1204="Confirmado"))))*1E+10))))</f>
        <v/>
      </c>
    </row>
    <row r="183">
      <c r="A183" s="36" t="n"/>
      <c r="B183" s="37" t="n"/>
      <c r="C183" s="37" t="n"/>
      <c r="D183" s="36" t="n"/>
      <c r="E183" s="36" t="n"/>
      <c r="F183" s="29">
        <f>IF(A183="","",COUNTIFS(Agenda!$E$5:$E$1204,A183,Agenda!$H$5:$H$1204,"Realizado"))</f>
        <v/>
      </c>
      <c r="G183" s="29">
        <f>IF(A183="","",COUNTIFS(Agenda!$E$5:$E$1204,A183,Agenda!$H$5:$H$1204,"Falta"))</f>
        <v/>
      </c>
      <c r="H183" s="33">
        <f>IF(A183="","",IF(SUMPRODUCT(MAX((Agenda!$E$5:$E$1204=A183)*(Agenda!$H$5:$H$1204="Realizado")*Agenda!$A$5:$A$1204))=0,"",SUMPRODUCT(MAX((Agenda!$E$5:$E$1204=A183)*(Agenda!$H$5:$H$1204="Realizado")*Agenda!$A$5:$A$1204))))</f>
        <v/>
      </c>
      <c r="I183" s="33">
        <f>IF(A183="","",IF(SUMPRODUCT(MIN(((Agenda!$E$5:$E$1204=A183)*((Agenda!$H$5:$H$1204="Agendado")+(Agenda!$H$5:$H$1204="Confirmado")))*Agenda!$A$5:$A$1204+(1-((Agenda!$E$5:$E$1204=A183)*((Agenda!$H$5:$H$1204="Agendado")+(Agenda!$H$5:$H$1204="Confirmado"))))*1E+10))&gt;=1E+10,"",SUMPRODUCT(MIN(((Agenda!$E$5:$E$1204=A183)*((Agenda!$H$5:$H$1204="Agendado")+(Agenda!$H$5:$H$1204="Confirmado")))*Agenda!$A$5:$A$1204+(1-((Agenda!$E$5:$E$1204=A183)*((Agenda!$H$5:$H$1204="Agendado")+(Agenda!$H$5:$H$1204="Confirmado"))))*1E+10))))</f>
        <v/>
      </c>
    </row>
    <row r="184">
      <c r="A184" s="36" t="n"/>
      <c r="B184" s="37" t="n"/>
      <c r="C184" s="37" t="n"/>
      <c r="D184" s="36" t="n"/>
      <c r="E184" s="36" t="n"/>
      <c r="F184" s="29">
        <f>IF(A184="","",COUNTIFS(Agenda!$E$5:$E$1204,A184,Agenda!$H$5:$H$1204,"Realizado"))</f>
        <v/>
      </c>
      <c r="G184" s="29">
        <f>IF(A184="","",COUNTIFS(Agenda!$E$5:$E$1204,A184,Agenda!$H$5:$H$1204,"Falta"))</f>
        <v/>
      </c>
      <c r="H184" s="33">
        <f>IF(A184="","",IF(SUMPRODUCT(MAX((Agenda!$E$5:$E$1204=A184)*(Agenda!$H$5:$H$1204="Realizado")*Agenda!$A$5:$A$1204))=0,"",SUMPRODUCT(MAX((Agenda!$E$5:$E$1204=A184)*(Agenda!$H$5:$H$1204="Realizado")*Agenda!$A$5:$A$1204))))</f>
        <v/>
      </c>
      <c r="I184" s="33">
        <f>IF(A184="","",IF(SUMPRODUCT(MIN(((Agenda!$E$5:$E$1204=A184)*((Agenda!$H$5:$H$1204="Agendado")+(Agenda!$H$5:$H$1204="Confirmado")))*Agenda!$A$5:$A$1204+(1-((Agenda!$E$5:$E$1204=A184)*((Agenda!$H$5:$H$1204="Agendado")+(Agenda!$H$5:$H$1204="Confirmado"))))*1E+10))&gt;=1E+10,"",SUMPRODUCT(MIN(((Agenda!$E$5:$E$1204=A184)*((Agenda!$H$5:$H$1204="Agendado")+(Agenda!$H$5:$H$1204="Confirmado")))*Agenda!$A$5:$A$1204+(1-((Agenda!$E$5:$E$1204=A184)*((Agenda!$H$5:$H$1204="Agendado")+(Agenda!$H$5:$H$1204="Confirmado"))))*1E+10))))</f>
        <v/>
      </c>
    </row>
    <row r="185">
      <c r="A185" s="36" t="n"/>
      <c r="B185" s="37" t="n"/>
      <c r="C185" s="37" t="n"/>
      <c r="D185" s="36" t="n"/>
      <c r="E185" s="36" t="n"/>
      <c r="F185" s="29">
        <f>IF(A185="","",COUNTIFS(Agenda!$E$5:$E$1204,A185,Agenda!$H$5:$H$1204,"Realizado"))</f>
        <v/>
      </c>
      <c r="G185" s="29">
        <f>IF(A185="","",COUNTIFS(Agenda!$E$5:$E$1204,A185,Agenda!$H$5:$H$1204,"Falta"))</f>
        <v/>
      </c>
      <c r="H185" s="33">
        <f>IF(A185="","",IF(SUMPRODUCT(MAX((Agenda!$E$5:$E$1204=A185)*(Agenda!$H$5:$H$1204="Realizado")*Agenda!$A$5:$A$1204))=0,"",SUMPRODUCT(MAX((Agenda!$E$5:$E$1204=A185)*(Agenda!$H$5:$H$1204="Realizado")*Agenda!$A$5:$A$1204))))</f>
        <v/>
      </c>
      <c r="I185" s="33">
        <f>IF(A185="","",IF(SUMPRODUCT(MIN(((Agenda!$E$5:$E$1204=A185)*((Agenda!$H$5:$H$1204="Agendado")+(Agenda!$H$5:$H$1204="Confirmado")))*Agenda!$A$5:$A$1204+(1-((Agenda!$E$5:$E$1204=A185)*((Agenda!$H$5:$H$1204="Agendado")+(Agenda!$H$5:$H$1204="Confirmado"))))*1E+10))&gt;=1E+10,"",SUMPRODUCT(MIN(((Agenda!$E$5:$E$1204=A185)*((Agenda!$H$5:$H$1204="Agendado")+(Agenda!$H$5:$H$1204="Confirmado")))*Agenda!$A$5:$A$1204+(1-((Agenda!$E$5:$E$1204=A185)*((Agenda!$H$5:$H$1204="Agendado")+(Agenda!$H$5:$H$1204="Confirmado"))))*1E+10))))</f>
        <v/>
      </c>
    </row>
    <row r="186">
      <c r="A186" s="36" t="n"/>
      <c r="B186" s="37" t="n"/>
      <c r="C186" s="37" t="n"/>
      <c r="D186" s="36" t="n"/>
      <c r="E186" s="36" t="n"/>
      <c r="F186" s="29">
        <f>IF(A186="","",COUNTIFS(Agenda!$E$5:$E$1204,A186,Agenda!$H$5:$H$1204,"Realizado"))</f>
        <v/>
      </c>
      <c r="G186" s="29">
        <f>IF(A186="","",COUNTIFS(Agenda!$E$5:$E$1204,A186,Agenda!$H$5:$H$1204,"Falta"))</f>
        <v/>
      </c>
      <c r="H186" s="33">
        <f>IF(A186="","",IF(SUMPRODUCT(MAX((Agenda!$E$5:$E$1204=A186)*(Agenda!$H$5:$H$1204="Realizado")*Agenda!$A$5:$A$1204))=0,"",SUMPRODUCT(MAX((Agenda!$E$5:$E$1204=A186)*(Agenda!$H$5:$H$1204="Realizado")*Agenda!$A$5:$A$1204))))</f>
        <v/>
      </c>
      <c r="I186" s="33">
        <f>IF(A186="","",IF(SUMPRODUCT(MIN(((Agenda!$E$5:$E$1204=A186)*((Agenda!$H$5:$H$1204="Agendado")+(Agenda!$H$5:$H$1204="Confirmado")))*Agenda!$A$5:$A$1204+(1-((Agenda!$E$5:$E$1204=A186)*((Agenda!$H$5:$H$1204="Agendado")+(Agenda!$H$5:$H$1204="Confirmado"))))*1E+10))&gt;=1E+10,"",SUMPRODUCT(MIN(((Agenda!$E$5:$E$1204=A186)*((Agenda!$H$5:$H$1204="Agendado")+(Agenda!$H$5:$H$1204="Confirmado")))*Agenda!$A$5:$A$1204+(1-((Agenda!$E$5:$E$1204=A186)*((Agenda!$H$5:$H$1204="Agendado")+(Agenda!$H$5:$H$1204="Confirmado"))))*1E+10))))</f>
        <v/>
      </c>
    </row>
    <row r="187">
      <c r="A187" s="36" t="n"/>
      <c r="B187" s="37" t="n"/>
      <c r="C187" s="37" t="n"/>
      <c r="D187" s="36" t="n"/>
      <c r="E187" s="36" t="n"/>
      <c r="F187" s="29">
        <f>IF(A187="","",COUNTIFS(Agenda!$E$5:$E$1204,A187,Agenda!$H$5:$H$1204,"Realizado"))</f>
        <v/>
      </c>
      <c r="G187" s="29">
        <f>IF(A187="","",COUNTIFS(Agenda!$E$5:$E$1204,A187,Agenda!$H$5:$H$1204,"Falta"))</f>
        <v/>
      </c>
      <c r="H187" s="33">
        <f>IF(A187="","",IF(SUMPRODUCT(MAX((Agenda!$E$5:$E$1204=A187)*(Agenda!$H$5:$H$1204="Realizado")*Agenda!$A$5:$A$1204))=0,"",SUMPRODUCT(MAX((Agenda!$E$5:$E$1204=A187)*(Agenda!$H$5:$H$1204="Realizado")*Agenda!$A$5:$A$1204))))</f>
        <v/>
      </c>
      <c r="I187" s="33">
        <f>IF(A187="","",IF(SUMPRODUCT(MIN(((Agenda!$E$5:$E$1204=A187)*((Agenda!$H$5:$H$1204="Agendado")+(Agenda!$H$5:$H$1204="Confirmado")))*Agenda!$A$5:$A$1204+(1-((Agenda!$E$5:$E$1204=A187)*((Agenda!$H$5:$H$1204="Agendado")+(Agenda!$H$5:$H$1204="Confirmado"))))*1E+10))&gt;=1E+10,"",SUMPRODUCT(MIN(((Agenda!$E$5:$E$1204=A187)*((Agenda!$H$5:$H$1204="Agendado")+(Agenda!$H$5:$H$1204="Confirmado")))*Agenda!$A$5:$A$1204+(1-((Agenda!$E$5:$E$1204=A187)*((Agenda!$H$5:$H$1204="Agendado")+(Agenda!$H$5:$H$1204="Confirmado"))))*1E+10))))</f>
        <v/>
      </c>
    </row>
    <row r="188">
      <c r="A188" s="36" t="n"/>
      <c r="B188" s="37" t="n"/>
      <c r="C188" s="37" t="n"/>
      <c r="D188" s="36" t="n"/>
      <c r="E188" s="36" t="n"/>
      <c r="F188" s="29">
        <f>IF(A188="","",COUNTIFS(Agenda!$E$5:$E$1204,A188,Agenda!$H$5:$H$1204,"Realizado"))</f>
        <v/>
      </c>
      <c r="G188" s="29">
        <f>IF(A188="","",COUNTIFS(Agenda!$E$5:$E$1204,A188,Agenda!$H$5:$H$1204,"Falta"))</f>
        <v/>
      </c>
      <c r="H188" s="33">
        <f>IF(A188="","",IF(SUMPRODUCT(MAX((Agenda!$E$5:$E$1204=A188)*(Agenda!$H$5:$H$1204="Realizado")*Agenda!$A$5:$A$1204))=0,"",SUMPRODUCT(MAX((Agenda!$E$5:$E$1204=A188)*(Agenda!$H$5:$H$1204="Realizado")*Agenda!$A$5:$A$1204))))</f>
        <v/>
      </c>
      <c r="I188" s="33">
        <f>IF(A188="","",IF(SUMPRODUCT(MIN(((Agenda!$E$5:$E$1204=A188)*((Agenda!$H$5:$H$1204="Agendado")+(Agenda!$H$5:$H$1204="Confirmado")))*Agenda!$A$5:$A$1204+(1-((Agenda!$E$5:$E$1204=A188)*((Agenda!$H$5:$H$1204="Agendado")+(Agenda!$H$5:$H$1204="Confirmado"))))*1E+10))&gt;=1E+10,"",SUMPRODUCT(MIN(((Agenda!$E$5:$E$1204=A188)*((Agenda!$H$5:$H$1204="Agendado")+(Agenda!$H$5:$H$1204="Confirmado")))*Agenda!$A$5:$A$1204+(1-((Agenda!$E$5:$E$1204=A188)*((Agenda!$H$5:$H$1204="Agendado")+(Agenda!$H$5:$H$1204="Confirmado"))))*1E+10))))</f>
        <v/>
      </c>
    </row>
    <row r="189">
      <c r="A189" s="36" t="n"/>
      <c r="B189" s="37" t="n"/>
      <c r="C189" s="37" t="n"/>
      <c r="D189" s="36" t="n"/>
      <c r="E189" s="36" t="n"/>
      <c r="F189" s="29">
        <f>IF(A189="","",COUNTIFS(Agenda!$E$5:$E$1204,A189,Agenda!$H$5:$H$1204,"Realizado"))</f>
        <v/>
      </c>
      <c r="G189" s="29">
        <f>IF(A189="","",COUNTIFS(Agenda!$E$5:$E$1204,A189,Agenda!$H$5:$H$1204,"Falta"))</f>
        <v/>
      </c>
      <c r="H189" s="33">
        <f>IF(A189="","",IF(SUMPRODUCT(MAX((Agenda!$E$5:$E$1204=A189)*(Agenda!$H$5:$H$1204="Realizado")*Agenda!$A$5:$A$1204))=0,"",SUMPRODUCT(MAX((Agenda!$E$5:$E$1204=A189)*(Agenda!$H$5:$H$1204="Realizado")*Agenda!$A$5:$A$1204))))</f>
        <v/>
      </c>
      <c r="I189" s="33">
        <f>IF(A189="","",IF(SUMPRODUCT(MIN(((Agenda!$E$5:$E$1204=A189)*((Agenda!$H$5:$H$1204="Agendado")+(Agenda!$H$5:$H$1204="Confirmado")))*Agenda!$A$5:$A$1204+(1-((Agenda!$E$5:$E$1204=A189)*((Agenda!$H$5:$H$1204="Agendado")+(Agenda!$H$5:$H$1204="Confirmado"))))*1E+10))&gt;=1E+10,"",SUMPRODUCT(MIN(((Agenda!$E$5:$E$1204=A189)*((Agenda!$H$5:$H$1204="Agendado")+(Agenda!$H$5:$H$1204="Confirmado")))*Agenda!$A$5:$A$1204+(1-((Agenda!$E$5:$E$1204=A189)*((Agenda!$H$5:$H$1204="Agendado")+(Agenda!$H$5:$H$1204="Confirmado"))))*1E+10))))</f>
        <v/>
      </c>
    </row>
    <row r="190">
      <c r="A190" s="36" t="n"/>
      <c r="B190" s="37" t="n"/>
      <c r="C190" s="37" t="n"/>
      <c r="D190" s="36" t="n"/>
      <c r="E190" s="36" t="n"/>
      <c r="F190" s="29">
        <f>IF(A190="","",COUNTIFS(Agenda!$E$5:$E$1204,A190,Agenda!$H$5:$H$1204,"Realizado"))</f>
        <v/>
      </c>
      <c r="G190" s="29">
        <f>IF(A190="","",COUNTIFS(Agenda!$E$5:$E$1204,A190,Agenda!$H$5:$H$1204,"Falta"))</f>
        <v/>
      </c>
      <c r="H190" s="33">
        <f>IF(A190="","",IF(SUMPRODUCT(MAX((Agenda!$E$5:$E$1204=A190)*(Agenda!$H$5:$H$1204="Realizado")*Agenda!$A$5:$A$1204))=0,"",SUMPRODUCT(MAX((Agenda!$E$5:$E$1204=A190)*(Agenda!$H$5:$H$1204="Realizado")*Agenda!$A$5:$A$1204))))</f>
        <v/>
      </c>
      <c r="I190" s="33">
        <f>IF(A190="","",IF(SUMPRODUCT(MIN(((Agenda!$E$5:$E$1204=A190)*((Agenda!$H$5:$H$1204="Agendado")+(Agenda!$H$5:$H$1204="Confirmado")))*Agenda!$A$5:$A$1204+(1-((Agenda!$E$5:$E$1204=A190)*((Agenda!$H$5:$H$1204="Agendado")+(Agenda!$H$5:$H$1204="Confirmado"))))*1E+10))&gt;=1E+10,"",SUMPRODUCT(MIN(((Agenda!$E$5:$E$1204=A190)*((Agenda!$H$5:$H$1204="Agendado")+(Agenda!$H$5:$H$1204="Confirmado")))*Agenda!$A$5:$A$1204+(1-((Agenda!$E$5:$E$1204=A190)*((Agenda!$H$5:$H$1204="Agendado")+(Agenda!$H$5:$H$1204="Confirmado"))))*1E+10))))</f>
        <v/>
      </c>
    </row>
    <row r="191">
      <c r="A191" s="36" t="n"/>
      <c r="B191" s="37" t="n"/>
      <c r="C191" s="37" t="n"/>
      <c r="D191" s="36" t="n"/>
      <c r="E191" s="36" t="n"/>
      <c r="F191" s="29">
        <f>IF(A191="","",COUNTIFS(Agenda!$E$5:$E$1204,A191,Agenda!$H$5:$H$1204,"Realizado"))</f>
        <v/>
      </c>
      <c r="G191" s="29">
        <f>IF(A191="","",COUNTIFS(Agenda!$E$5:$E$1204,A191,Agenda!$H$5:$H$1204,"Falta"))</f>
        <v/>
      </c>
      <c r="H191" s="33">
        <f>IF(A191="","",IF(SUMPRODUCT(MAX((Agenda!$E$5:$E$1204=A191)*(Agenda!$H$5:$H$1204="Realizado")*Agenda!$A$5:$A$1204))=0,"",SUMPRODUCT(MAX((Agenda!$E$5:$E$1204=A191)*(Agenda!$H$5:$H$1204="Realizado")*Agenda!$A$5:$A$1204))))</f>
        <v/>
      </c>
      <c r="I191" s="33">
        <f>IF(A191="","",IF(SUMPRODUCT(MIN(((Agenda!$E$5:$E$1204=A191)*((Agenda!$H$5:$H$1204="Agendado")+(Agenda!$H$5:$H$1204="Confirmado")))*Agenda!$A$5:$A$1204+(1-((Agenda!$E$5:$E$1204=A191)*((Agenda!$H$5:$H$1204="Agendado")+(Agenda!$H$5:$H$1204="Confirmado"))))*1E+10))&gt;=1E+10,"",SUMPRODUCT(MIN(((Agenda!$E$5:$E$1204=A191)*((Agenda!$H$5:$H$1204="Agendado")+(Agenda!$H$5:$H$1204="Confirmado")))*Agenda!$A$5:$A$1204+(1-((Agenda!$E$5:$E$1204=A191)*((Agenda!$H$5:$H$1204="Agendado")+(Agenda!$H$5:$H$1204="Confirmado"))))*1E+10))))</f>
        <v/>
      </c>
    </row>
    <row r="192">
      <c r="A192" s="36" t="n"/>
      <c r="B192" s="37" t="n"/>
      <c r="C192" s="37" t="n"/>
      <c r="D192" s="36" t="n"/>
      <c r="E192" s="36" t="n"/>
      <c r="F192" s="29">
        <f>IF(A192="","",COUNTIFS(Agenda!$E$5:$E$1204,A192,Agenda!$H$5:$H$1204,"Realizado"))</f>
        <v/>
      </c>
      <c r="G192" s="29">
        <f>IF(A192="","",COUNTIFS(Agenda!$E$5:$E$1204,A192,Agenda!$H$5:$H$1204,"Falta"))</f>
        <v/>
      </c>
      <c r="H192" s="33">
        <f>IF(A192="","",IF(SUMPRODUCT(MAX((Agenda!$E$5:$E$1204=A192)*(Agenda!$H$5:$H$1204="Realizado")*Agenda!$A$5:$A$1204))=0,"",SUMPRODUCT(MAX((Agenda!$E$5:$E$1204=A192)*(Agenda!$H$5:$H$1204="Realizado")*Agenda!$A$5:$A$1204))))</f>
        <v/>
      </c>
      <c r="I192" s="33">
        <f>IF(A192="","",IF(SUMPRODUCT(MIN(((Agenda!$E$5:$E$1204=A192)*((Agenda!$H$5:$H$1204="Agendado")+(Agenda!$H$5:$H$1204="Confirmado")))*Agenda!$A$5:$A$1204+(1-((Agenda!$E$5:$E$1204=A192)*((Agenda!$H$5:$H$1204="Agendado")+(Agenda!$H$5:$H$1204="Confirmado"))))*1E+10))&gt;=1E+10,"",SUMPRODUCT(MIN(((Agenda!$E$5:$E$1204=A192)*((Agenda!$H$5:$H$1204="Agendado")+(Agenda!$H$5:$H$1204="Confirmado")))*Agenda!$A$5:$A$1204+(1-((Agenda!$E$5:$E$1204=A192)*((Agenda!$H$5:$H$1204="Agendado")+(Agenda!$H$5:$H$1204="Confirmado"))))*1E+10))))</f>
        <v/>
      </c>
    </row>
    <row r="193">
      <c r="A193" s="36" t="n"/>
      <c r="B193" s="37" t="n"/>
      <c r="C193" s="37" t="n"/>
      <c r="D193" s="36" t="n"/>
      <c r="E193" s="36" t="n"/>
      <c r="F193" s="29">
        <f>IF(A193="","",COUNTIFS(Agenda!$E$5:$E$1204,A193,Agenda!$H$5:$H$1204,"Realizado"))</f>
        <v/>
      </c>
      <c r="G193" s="29">
        <f>IF(A193="","",COUNTIFS(Agenda!$E$5:$E$1204,A193,Agenda!$H$5:$H$1204,"Falta"))</f>
        <v/>
      </c>
      <c r="H193" s="33">
        <f>IF(A193="","",IF(SUMPRODUCT(MAX((Agenda!$E$5:$E$1204=A193)*(Agenda!$H$5:$H$1204="Realizado")*Agenda!$A$5:$A$1204))=0,"",SUMPRODUCT(MAX((Agenda!$E$5:$E$1204=A193)*(Agenda!$H$5:$H$1204="Realizado")*Agenda!$A$5:$A$1204))))</f>
        <v/>
      </c>
      <c r="I193" s="33">
        <f>IF(A193="","",IF(SUMPRODUCT(MIN(((Agenda!$E$5:$E$1204=A193)*((Agenda!$H$5:$H$1204="Agendado")+(Agenda!$H$5:$H$1204="Confirmado")))*Agenda!$A$5:$A$1204+(1-((Agenda!$E$5:$E$1204=A193)*((Agenda!$H$5:$H$1204="Agendado")+(Agenda!$H$5:$H$1204="Confirmado"))))*1E+10))&gt;=1E+10,"",SUMPRODUCT(MIN(((Agenda!$E$5:$E$1204=A193)*((Agenda!$H$5:$H$1204="Agendado")+(Agenda!$H$5:$H$1204="Confirmado")))*Agenda!$A$5:$A$1204+(1-((Agenda!$E$5:$E$1204=A193)*((Agenda!$H$5:$H$1204="Agendado")+(Agenda!$H$5:$H$1204="Confirmado"))))*1E+10))))</f>
        <v/>
      </c>
    </row>
    <row r="194">
      <c r="A194" s="36" t="n"/>
      <c r="B194" s="37" t="n"/>
      <c r="C194" s="37" t="n"/>
      <c r="D194" s="36" t="n"/>
      <c r="E194" s="36" t="n"/>
      <c r="F194" s="29">
        <f>IF(A194="","",COUNTIFS(Agenda!$E$5:$E$1204,A194,Agenda!$H$5:$H$1204,"Realizado"))</f>
        <v/>
      </c>
      <c r="G194" s="29">
        <f>IF(A194="","",COUNTIFS(Agenda!$E$5:$E$1204,A194,Agenda!$H$5:$H$1204,"Falta"))</f>
        <v/>
      </c>
      <c r="H194" s="33">
        <f>IF(A194="","",IF(SUMPRODUCT(MAX((Agenda!$E$5:$E$1204=A194)*(Agenda!$H$5:$H$1204="Realizado")*Agenda!$A$5:$A$1204))=0,"",SUMPRODUCT(MAX((Agenda!$E$5:$E$1204=A194)*(Agenda!$H$5:$H$1204="Realizado")*Agenda!$A$5:$A$1204))))</f>
        <v/>
      </c>
      <c r="I194" s="33">
        <f>IF(A194="","",IF(SUMPRODUCT(MIN(((Agenda!$E$5:$E$1204=A194)*((Agenda!$H$5:$H$1204="Agendado")+(Agenda!$H$5:$H$1204="Confirmado")))*Agenda!$A$5:$A$1204+(1-((Agenda!$E$5:$E$1204=A194)*((Agenda!$H$5:$H$1204="Agendado")+(Agenda!$H$5:$H$1204="Confirmado"))))*1E+10))&gt;=1E+10,"",SUMPRODUCT(MIN(((Agenda!$E$5:$E$1204=A194)*((Agenda!$H$5:$H$1204="Agendado")+(Agenda!$H$5:$H$1204="Confirmado")))*Agenda!$A$5:$A$1204+(1-((Agenda!$E$5:$E$1204=A194)*((Agenda!$H$5:$H$1204="Agendado")+(Agenda!$H$5:$H$1204="Confirmado"))))*1E+10))))</f>
        <v/>
      </c>
    </row>
    <row r="195">
      <c r="A195" s="36" t="n"/>
      <c r="B195" s="37" t="n"/>
      <c r="C195" s="37" t="n"/>
      <c r="D195" s="36" t="n"/>
      <c r="E195" s="36" t="n"/>
      <c r="F195" s="29">
        <f>IF(A195="","",COUNTIFS(Agenda!$E$5:$E$1204,A195,Agenda!$H$5:$H$1204,"Realizado"))</f>
        <v/>
      </c>
      <c r="G195" s="29">
        <f>IF(A195="","",COUNTIFS(Agenda!$E$5:$E$1204,A195,Agenda!$H$5:$H$1204,"Falta"))</f>
        <v/>
      </c>
      <c r="H195" s="33">
        <f>IF(A195="","",IF(SUMPRODUCT(MAX((Agenda!$E$5:$E$1204=A195)*(Agenda!$H$5:$H$1204="Realizado")*Agenda!$A$5:$A$1204))=0,"",SUMPRODUCT(MAX((Agenda!$E$5:$E$1204=A195)*(Agenda!$H$5:$H$1204="Realizado")*Agenda!$A$5:$A$1204))))</f>
        <v/>
      </c>
      <c r="I195" s="33">
        <f>IF(A195="","",IF(SUMPRODUCT(MIN(((Agenda!$E$5:$E$1204=A195)*((Agenda!$H$5:$H$1204="Agendado")+(Agenda!$H$5:$H$1204="Confirmado")))*Agenda!$A$5:$A$1204+(1-((Agenda!$E$5:$E$1204=A195)*((Agenda!$H$5:$H$1204="Agendado")+(Agenda!$H$5:$H$1204="Confirmado"))))*1E+10))&gt;=1E+10,"",SUMPRODUCT(MIN(((Agenda!$E$5:$E$1204=A195)*((Agenda!$H$5:$H$1204="Agendado")+(Agenda!$H$5:$H$1204="Confirmado")))*Agenda!$A$5:$A$1204+(1-((Agenda!$E$5:$E$1204=A195)*((Agenda!$H$5:$H$1204="Agendado")+(Agenda!$H$5:$H$1204="Confirmado"))))*1E+10))))</f>
        <v/>
      </c>
    </row>
    <row r="196">
      <c r="A196" s="36" t="n"/>
      <c r="B196" s="37" t="n"/>
      <c r="C196" s="37" t="n"/>
      <c r="D196" s="36" t="n"/>
      <c r="E196" s="36" t="n"/>
      <c r="F196" s="29">
        <f>IF(A196="","",COUNTIFS(Agenda!$E$5:$E$1204,A196,Agenda!$H$5:$H$1204,"Realizado"))</f>
        <v/>
      </c>
      <c r="G196" s="29">
        <f>IF(A196="","",COUNTIFS(Agenda!$E$5:$E$1204,A196,Agenda!$H$5:$H$1204,"Falta"))</f>
        <v/>
      </c>
      <c r="H196" s="33">
        <f>IF(A196="","",IF(SUMPRODUCT(MAX((Agenda!$E$5:$E$1204=A196)*(Agenda!$H$5:$H$1204="Realizado")*Agenda!$A$5:$A$1204))=0,"",SUMPRODUCT(MAX((Agenda!$E$5:$E$1204=A196)*(Agenda!$H$5:$H$1204="Realizado")*Agenda!$A$5:$A$1204))))</f>
        <v/>
      </c>
      <c r="I196" s="33">
        <f>IF(A196="","",IF(SUMPRODUCT(MIN(((Agenda!$E$5:$E$1204=A196)*((Agenda!$H$5:$H$1204="Agendado")+(Agenda!$H$5:$H$1204="Confirmado")))*Agenda!$A$5:$A$1204+(1-((Agenda!$E$5:$E$1204=A196)*((Agenda!$H$5:$H$1204="Agendado")+(Agenda!$H$5:$H$1204="Confirmado"))))*1E+10))&gt;=1E+10,"",SUMPRODUCT(MIN(((Agenda!$E$5:$E$1204=A196)*((Agenda!$H$5:$H$1204="Agendado")+(Agenda!$H$5:$H$1204="Confirmado")))*Agenda!$A$5:$A$1204+(1-((Agenda!$E$5:$E$1204=A196)*((Agenda!$H$5:$H$1204="Agendado")+(Agenda!$H$5:$H$1204="Confirmado"))))*1E+10))))</f>
        <v/>
      </c>
    </row>
    <row r="197">
      <c r="A197" s="36" t="n"/>
      <c r="B197" s="37" t="n"/>
      <c r="C197" s="37" t="n"/>
      <c r="D197" s="36" t="n"/>
      <c r="E197" s="36" t="n"/>
      <c r="F197" s="29">
        <f>IF(A197="","",COUNTIFS(Agenda!$E$5:$E$1204,A197,Agenda!$H$5:$H$1204,"Realizado"))</f>
        <v/>
      </c>
      <c r="G197" s="29">
        <f>IF(A197="","",COUNTIFS(Agenda!$E$5:$E$1204,A197,Agenda!$H$5:$H$1204,"Falta"))</f>
        <v/>
      </c>
      <c r="H197" s="33">
        <f>IF(A197="","",IF(SUMPRODUCT(MAX((Agenda!$E$5:$E$1204=A197)*(Agenda!$H$5:$H$1204="Realizado")*Agenda!$A$5:$A$1204))=0,"",SUMPRODUCT(MAX((Agenda!$E$5:$E$1204=A197)*(Agenda!$H$5:$H$1204="Realizado")*Agenda!$A$5:$A$1204))))</f>
        <v/>
      </c>
      <c r="I197" s="33">
        <f>IF(A197="","",IF(SUMPRODUCT(MIN(((Agenda!$E$5:$E$1204=A197)*((Agenda!$H$5:$H$1204="Agendado")+(Agenda!$H$5:$H$1204="Confirmado")))*Agenda!$A$5:$A$1204+(1-((Agenda!$E$5:$E$1204=A197)*((Agenda!$H$5:$H$1204="Agendado")+(Agenda!$H$5:$H$1204="Confirmado"))))*1E+10))&gt;=1E+10,"",SUMPRODUCT(MIN(((Agenda!$E$5:$E$1204=A197)*((Agenda!$H$5:$H$1204="Agendado")+(Agenda!$H$5:$H$1204="Confirmado")))*Agenda!$A$5:$A$1204+(1-((Agenda!$E$5:$E$1204=A197)*((Agenda!$H$5:$H$1204="Agendado")+(Agenda!$H$5:$H$1204="Confirmado"))))*1E+10))))</f>
        <v/>
      </c>
    </row>
    <row r="198">
      <c r="A198" s="36" t="n"/>
      <c r="B198" s="37" t="n"/>
      <c r="C198" s="37" t="n"/>
      <c r="D198" s="36" t="n"/>
      <c r="E198" s="36" t="n"/>
      <c r="F198" s="29">
        <f>IF(A198="","",COUNTIFS(Agenda!$E$5:$E$1204,A198,Agenda!$H$5:$H$1204,"Realizado"))</f>
        <v/>
      </c>
      <c r="G198" s="29">
        <f>IF(A198="","",COUNTIFS(Agenda!$E$5:$E$1204,A198,Agenda!$H$5:$H$1204,"Falta"))</f>
        <v/>
      </c>
      <c r="H198" s="33">
        <f>IF(A198="","",IF(SUMPRODUCT(MAX((Agenda!$E$5:$E$1204=A198)*(Agenda!$H$5:$H$1204="Realizado")*Agenda!$A$5:$A$1204))=0,"",SUMPRODUCT(MAX((Agenda!$E$5:$E$1204=A198)*(Agenda!$H$5:$H$1204="Realizado")*Agenda!$A$5:$A$1204))))</f>
        <v/>
      </c>
      <c r="I198" s="33">
        <f>IF(A198="","",IF(SUMPRODUCT(MIN(((Agenda!$E$5:$E$1204=A198)*((Agenda!$H$5:$H$1204="Agendado")+(Agenda!$H$5:$H$1204="Confirmado")))*Agenda!$A$5:$A$1204+(1-((Agenda!$E$5:$E$1204=A198)*((Agenda!$H$5:$H$1204="Agendado")+(Agenda!$H$5:$H$1204="Confirmado"))))*1E+10))&gt;=1E+10,"",SUMPRODUCT(MIN(((Agenda!$E$5:$E$1204=A198)*((Agenda!$H$5:$H$1204="Agendado")+(Agenda!$H$5:$H$1204="Confirmado")))*Agenda!$A$5:$A$1204+(1-((Agenda!$E$5:$E$1204=A198)*((Agenda!$H$5:$H$1204="Agendado")+(Agenda!$H$5:$H$1204="Confirmado"))))*1E+10))))</f>
        <v/>
      </c>
    </row>
    <row r="199">
      <c r="A199" s="36" t="n"/>
      <c r="B199" s="37" t="n"/>
      <c r="C199" s="37" t="n"/>
      <c r="D199" s="36" t="n"/>
      <c r="E199" s="36" t="n"/>
      <c r="F199" s="29">
        <f>IF(A199="","",COUNTIFS(Agenda!$E$5:$E$1204,A199,Agenda!$H$5:$H$1204,"Realizado"))</f>
        <v/>
      </c>
      <c r="G199" s="29">
        <f>IF(A199="","",COUNTIFS(Agenda!$E$5:$E$1204,A199,Agenda!$H$5:$H$1204,"Falta"))</f>
        <v/>
      </c>
      <c r="H199" s="33">
        <f>IF(A199="","",IF(SUMPRODUCT(MAX((Agenda!$E$5:$E$1204=A199)*(Agenda!$H$5:$H$1204="Realizado")*Agenda!$A$5:$A$1204))=0,"",SUMPRODUCT(MAX((Agenda!$E$5:$E$1204=A199)*(Agenda!$H$5:$H$1204="Realizado")*Agenda!$A$5:$A$1204))))</f>
        <v/>
      </c>
      <c r="I199" s="33">
        <f>IF(A199="","",IF(SUMPRODUCT(MIN(((Agenda!$E$5:$E$1204=A199)*((Agenda!$H$5:$H$1204="Agendado")+(Agenda!$H$5:$H$1204="Confirmado")))*Agenda!$A$5:$A$1204+(1-((Agenda!$E$5:$E$1204=A199)*((Agenda!$H$5:$H$1204="Agendado")+(Agenda!$H$5:$H$1204="Confirmado"))))*1E+10))&gt;=1E+10,"",SUMPRODUCT(MIN(((Agenda!$E$5:$E$1204=A199)*((Agenda!$H$5:$H$1204="Agendado")+(Agenda!$H$5:$H$1204="Confirmado")))*Agenda!$A$5:$A$1204+(1-((Agenda!$E$5:$E$1204=A199)*((Agenda!$H$5:$H$1204="Agendado")+(Agenda!$H$5:$H$1204="Confirmado"))))*1E+10))))</f>
        <v/>
      </c>
    </row>
    <row r="200">
      <c r="A200" s="36" t="n"/>
      <c r="B200" s="37" t="n"/>
      <c r="C200" s="37" t="n"/>
      <c r="D200" s="36" t="n"/>
      <c r="E200" s="36" t="n"/>
      <c r="F200" s="29">
        <f>IF(A200="","",COUNTIFS(Agenda!$E$5:$E$1204,A200,Agenda!$H$5:$H$1204,"Realizado"))</f>
        <v/>
      </c>
      <c r="G200" s="29">
        <f>IF(A200="","",COUNTIFS(Agenda!$E$5:$E$1204,A200,Agenda!$H$5:$H$1204,"Falta"))</f>
        <v/>
      </c>
      <c r="H200" s="33">
        <f>IF(A200="","",IF(SUMPRODUCT(MAX((Agenda!$E$5:$E$1204=A200)*(Agenda!$H$5:$H$1204="Realizado")*Agenda!$A$5:$A$1204))=0,"",SUMPRODUCT(MAX((Agenda!$E$5:$E$1204=A200)*(Agenda!$H$5:$H$1204="Realizado")*Agenda!$A$5:$A$1204))))</f>
        <v/>
      </c>
      <c r="I200" s="33">
        <f>IF(A200="","",IF(SUMPRODUCT(MIN(((Agenda!$E$5:$E$1204=A200)*((Agenda!$H$5:$H$1204="Agendado")+(Agenda!$H$5:$H$1204="Confirmado")))*Agenda!$A$5:$A$1204+(1-((Agenda!$E$5:$E$1204=A200)*((Agenda!$H$5:$H$1204="Agendado")+(Agenda!$H$5:$H$1204="Confirmado"))))*1E+10))&gt;=1E+10,"",SUMPRODUCT(MIN(((Agenda!$E$5:$E$1204=A200)*((Agenda!$H$5:$H$1204="Agendado")+(Agenda!$H$5:$H$1204="Confirmado")))*Agenda!$A$5:$A$1204+(1-((Agenda!$E$5:$E$1204=A200)*((Agenda!$H$5:$H$1204="Agendado")+(Agenda!$H$5:$H$1204="Confirmado"))))*1E+10))))</f>
        <v/>
      </c>
    </row>
    <row r="201">
      <c r="A201" s="36" t="n"/>
      <c r="B201" s="37" t="n"/>
      <c r="C201" s="37" t="n"/>
      <c r="D201" s="36" t="n"/>
      <c r="E201" s="36" t="n"/>
      <c r="F201" s="29">
        <f>IF(A201="","",COUNTIFS(Agenda!$E$5:$E$1204,A201,Agenda!$H$5:$H$1204,"Realizado"))</f>
        <v/>
      </c>
      <c r="G201" s="29">
        <f>IF(A201="","",COUNTIFS(Agenda!$E$5:$E$1204,A201,Agenda!$H$5:$H$1204,"Falta"))</f>
        <v/>
      </c>
      <c r="H201" s="33">
        <f>IF(A201="","",IF(SUMPRODUCT(MAX((Agenda!$E$5:$E$1204=A201)*(Agenda!$H$5:$H$1204="Realizado")*Agenda!$A$5:$A$1204))=0,"",SUMPRODUCT(MAX((Agenda!$E$5:$E$1204=A201)*(Agenda!$H$5:$H$1204="Realizado")*Agenda!$A$5:$A$1204))))</f>
        <v/>
      </c>
      <c r="I201" s="33">
        <f>IF(A201="","",IF(SUMPRODUCT(MIN(((Agenda!$E$5:$E$1204=A201)*((Agenda!$H$5:$H$1204="Agendado")+(Agenda!$H$5:$H$1204="Confirmado")))*Agenda!$A$5:$A$1204+(1-((Agenda!$E$5:$E$1204=A201)*((Agenda!$H$5:$H$1204="Agendado")+(Agenda!$H$5:$H$1204="Confirmado"))))*1E+10))&gt;=1E+10,"",SUMPRODUCT(MIN(((Agenda!$E$5:$E$1204=A201)*((Agenda!$H$5:$H$1204="Agendado")+(Agenda!$H$5:$H$1204="Confirmado")))*Agenda!$A$5:$A$1204+(1-((Agenda!$E$5:$E$1204=A201)*((Agenda!$H$5:$H$1204="Agendado")+(Agenda!$H$5:$H$1204="Confirmado"))))*1E+10))))</f>
        <v/>
      </c>
    </row>
    <row r="202">
      <c r="A202" s="36" t="n"/>
      <c r="B202" s="37" t="n"/>
      <c r="C202" s="37" t="n"/>
      <c r="D202" s="36" t="n"/>
      <c r="E202" s="36" t="n"/>
      <c r="F202" s="29">
        <f>IF(A202="","",COUNTIFS(Agenda!$E$5:$E$1204,A202,Agenda!$H$5:$H$1204,"Realizado"))</f>
        <v/>
      </c>
      <c r="G202" s="29">
        <f>IF(A202="","",COUNTIFS(Agenda!$E$5:$E$1204,A202,Agenda!$H$5:$H$1204,"Falta"))</f>
        <v/>
      </c>
      <c r="H202" s="33">
        <f>IF(A202="","",IF(SUMPRODUCT(MAX((Agenda!$E$5:$E$1204=A202)*(Agenda!$H$5:$H$1204="Realizado")*Agenda!$A$5:$A$1204))=0,"",SUMPRODUCT(MAX((Agenda!$E$5:$E$1204=A202)*(Agenda!$H$5:$H$1204="Realizado")*Agenda!$A$5:$A$1204))))</f>
        <v/>
      </c>
      <c r="I202" s="33">
        <f>IF(A202="","",IF(SUMPRODUCT(MIN(((Agenda!$E$5:$E$1204=A202)*((Agenda!$H$5:$H$1204="Agendado")+(Agenda!$H$5:$H$1204="Confirmado")))*Agenda!$A$5:$A$1204+(1-((Agenda!$E$5:$E$1204=A202)*((Agenda!$H$5:$H$1204="Agendado")+(Agenda!$H$5:$H$1204="Confirmado"))))*1E+10))&gt;=1E+10,"",SUMPRODUCT(MIN(((Agenda!$E$5:$E$1204=A202)*((Agenda!$H$5:$H$1204="Agendado")+(Agenda!$H$5:$H$1204="Confirmado")))*Agenda!$A$5:$A$1204+(1-((Agenda!$E$5:$E$1204=A202)*((Agenda!$H$5:$H$1204="Agendado")+(Agenda!$H$5:$H$1204="Confirmado"))))*1E+10))))</f>
        <v/>
      </c>
    </row>
    <row r="203">
      <c r="A203" s="36" t="n"/>
      <c r="B203" s="37" t="n"/>
      <c r="C203" s="37" t="n"/>
      <c r="D203" s="36" t="n"/>
      <c r="E203" s="36" t="n"/>
      <c r="F203" s="29">
        <f>IF(A203="","",COUNTIFS(Agenda!$E$5:$E$1204,A203,Agenda!$H$5:$H$1204,"Realizado"))</f>
        <v/>
      </c>
      <c r="G203" s="29">
        <f>IF(A203="","",COUNTIFS(Agenda!$E$5:$E$1204,A203,Agenda!$H$5:$H$1204,"Falta"))</f>
        <v/>
      </c>
      <c r="H203" s="33">
        <f>IF(A203="","",IF(SUMPRODUCT(MAX((Agenda!$E$5:$E$1204=A203)*(Agenda!$H$5:$H$1204="Realizado")*Agenda!$A$5:$A$1204))=0,"",SUMPRODUCT(MAX((Agenda!$E$5:$E$1204=A203)*(Agenda!$H$5:$H$1204="Realizado")*Agenda!$A$5:$A$1204))))</f>
        <v/>
      </c>
      <c r="I203" s="33">
        <f>IF(A203="","",IF(SUMPRODUCT(MIN(((Agenda!$E$5:$E$1204=A203)*((Agenda!$H$5:$H$1204="Agendado")+(Agenda!$H$5:$H$1204="Confirmado")))*Agenda!$A$5:$A$1204+(1-((Agenda!$E$5:$E$1204=A203)*((Agenda!$H$5:$H$1204="Agendado")+(Agenda!$H$5:$H$1204="Confirmado"))))*1E+10))&gt;=1E+10,"",SUMPRODUCT(MIN(((Agenda!$E$5:$E$1204=A203)*((Agenda!$H$5:$H$1204="Agendado")+(Agenda!$H$5:$H$1204="Confirmado")))*Agenda!$A$5:$A$1204+(1-((Agenda!$E$5:$E$1204=A203)*((Agenda!$H$5:$H$1204="Agendado")+(Agenda!$H$5:$H$1204="Confirmado"))))*1E+10))))</f>
        <v/>
      </c>
    </row>
    <row r="204">
      <c r="A204" s="36" t="n"/>
      <c r="B204" s="37" t="n"/>
      <c r="C204" s="37" t="n"/>
      <c r="D204" s="36" t="n"/>
      <c r="E204" s="36" t="n"/>
      <c r="F204" s="29">
        <f>IF(A204="","",COUNTIFS(Agenda!$E$5:$E$1204,A204,Agenda!$H$5:$H$1204,"Realizado"))</f>
        <v/>
      </c>
      <c r="G204" s="29">
        <f>IF(A204="","",COUNTIFS(Agenda!$E$5:$E$1204,A204,Agenda!$H$5:$H$1204,"Falta"))</f>
        <v/>
      </c>
      <c r="H204" s="33">
        <f>IF(A204="","",IF(SUMPRODUCT(MAX((Agenda!$E$5:$E$1204=A204)*(Agenda!$H$5:$H$1204="Realizado")*Agenda!$A$5:$A$1204))=0,"",SUMPRODUCT(MAX((Agenda!$E$5:$E$1204=A204)*(Agenda!$H$5:$H$1204="Realizado")*Agenda!$A$5:$A$1204))))</f>
        <v/>
      </c>
      <c r="I204" s="33">
        <f>IF(A204="","",IF(SUMPRODUCT(MIN(((Agenda!$E$5:$E$1204=A204)*((Agenda!$H$5:$H$1204="Agendado")+(Agenda!$H$5:$H$1204="Confirmado")))*Agenda!$A$5:$A$1204+(1-((Agenda!$E$5:$E$1204=A204)*((Agenda!$H$5:$H$1204="Agendado")+(Agenda!$H$5:$H$1204="Confirmado"))))*1E+10))&gt;=1E+10,"",SUMPRODUCT(MIN(((Agenda!$E$5:$E$1204=A204)*((Agenda!$H$5:$H$1204="Agendado")+(Agenda!$H$5:$H$1204="Confirmado")))*Agenda!$A$5:$A$1204+(1-((Agenda!$E$5:$E$1204=A204)*((Agenda!$H$5:$H$1204="Agendado")+(Agenda!$H$5:$H$1204="Confirmado"))))*1E+10))))</f>
        <v/>
      </c>
    </row>
    <row r="205">
      <c r="A205" s="36" t="n"/>
      <c r="B205" s="37" t="n"/>
      <c r="C205" s="37" t="n"/>
      <c r="D205" s="36" t="n"/>
      <c r="E205" s="36" t="n"/>
      <c r="F205" s="29">
        <f>IF(A205="","",COUNTIFS(Agenda!$E$5:$E$1204,A205,Agenda!$H$5:$H$1204,"Realizado"))</f>
        <v/>
      </c>
      <c r="G205" s="29">
        <f>IF(A205="","",COUNTIFS(Agenda!$E$5:$E$1204,A205,Agenda!$H$5:$H$1204,"Falta"))</f>
        <v/>
      </c>
      <c r="H205" s="33">
        <f>IF(A205="","",IF(SUMPRODUCT(MAX((Agenda!$E$5:$E$1204=A205)*(Agenda!$H$5:$H$1204="Realizado")*Agenda!$A$5:$A$1204))=0,"",SUMPRODUCT(MAX((Agenda!$E$5:$E$1204=A205)*(Agenda!$H$5:$H$1204="Realizado")*Agenda!$A$5:$A$1204))))</f>
        <v/>
      </c>
      <c r="I205" s="33">
        <f>IF(A205="","",IF(SUMPRODUCT(MIN(((Agenda!$E$5:$E$1204=A205)*((Agenda!$H$5:$H$1204="Agendado")+(Agenda!$H$5:$H$1204="Confirmado")))*Agenda!$A$5:$A$1204+(1-((Agenda!$E$5:$E$1204=A205)*((Agenda!$H$5:$H$1204="Agendado")+(Agenda!$H$5:$H$1204="Confirmado"))))*1E+10))&gt;=1E+10,"",SUMPRODUCT(MIN(((Agenda!$E$5:$E$1204=A205)*((Agenda!$H$5:$H$1204="Agendado")+(Agenda!$H$5:$H$1204="Confirmado")))*Agenda!$A$5:$A$1204+(1-((Agenda!$E$5:$E$1204=A205)*((Agenda!$H$5:$H$1204="Agendado")+(Agenda!$H$5:$H$1204="Confirmado"))))*1E+10))))</f>
        <v/>
      </c>
    </row>
    <row r="206">
      <c r="A206" s="36" t="n"/>
      <c r="B206" s="37" t="n"/>
      <c r="C206" s="37" t="n"/>
      <c r="D206" s="36" t="n"/>
      <c r="E206" s="36" t="n"/>
      <c r="F206" s="29">
        <f>IF(A206="","",COUNTIFS(Agenda!$E$5:$E$1204,A206,Agenda!$H$5:$H$1204,"Realizado"))</f>
        <v/>
      </c>
      <c r="G206" s="29">
        <f>IF(A206="","",COUNTIFS(Agenda!$E$5:$E$1204,A206,Agenda!$H$5:$H$1204,"Falta"))</f>
        <v/>
      </c>
      <c r="H206" s="33">
        <f>IF(A206="","",IF(SUMPRODUCT(MAX((Agenda!$E$5:$E$1204=A206)*(Agenda!$H$5:$H$1204="Realizado")*Agenda!$A$5:$A$1204))=0,"",SUMPRODUCT(MAX((Agenda!$E$5:$E$1204=A206)*(Agenda!$H$5:$H$1204="Realizado")*Agenda!$A$5:$A$1204))))</f>
        <v/>
      </c>
      <c r="I206" s="33">
        <f>IF(A206="","",IF(SUMPRODUCT(MIN(((Agenda!$E$5:$E$1204=A206)*((Agenda!$H$5:$H$1204="Agendado")+(Agenda!$H$5:$H$1204="Confirmado")))*Agenda!$A$5:$A$1204+(1-((Agenda!$E$5:$E$1204=A206)*((Agenda!$H$5:$H$1204="Agendado")+(Agenda!$H$5:$H$1204="Confirmado"))))*1E+10))&gt;=1E+10,"",SUMPRODUCT(MIN(((Agenda!$E$5:$E$1204=A206)*((Agenda!$H$5:$H$1204="Agendado")+(Agenda!$H$5:$H$1204="Confirmado")))*Agenda!$A$5:$A$1204+(1-((Agenda!$E$5:$E$1204=A206)*((Agenda!$H$5:$H$1204="Agendado")+(Agenda!$H$5:$H$1204="Confirmado"))))*1E+10))))</f>
        <v/>
      </c>
    </row>
    <row r="207">
      <c r="A207" s="36" t="n"/>
      <c r="B207" s="37" t="n"/>
      <c r="C207" s="37" t="n"/>
      <c r="D207" s="36" t="n"/>
      <c r="E207" s="36" t="n"/>
      <c r="F207" s="29">
        <f>IF(A207="","",COUNTIFS(Agenda!$E$5:$E$1204,A207,Agenda!$H$5:$H$1204,"Realizado"))</f>
        <v/>
      </c>
      <c r="G207" s="29">
        <f>IF(A207="","",COUNTIFS(Agenda!$E$5:$E$1204,A207,Agenda!$H$5:$H$1204,"Falta"))</f>
        <v/>
      </c>
      <c r="H207" s="33">
        <f>IF(A207="","",IF(SUMPRODUCT(MAX((Agenda!$E$5:$E$1204=A207)*(Agenda!$H$5:$H$1204="Realizado")*Agenda!$A$5:$A$1204))=0,"",SUMPRODUCT(MAX((Agenda!$E$5:$E$1204=A207)*(Agenda!$H$5:$H$1204="Realizado")*Agenda!$A$5:$A$1204))))</f>
        <v/>
      </c>
      <c r="I207" s="33">
        <f>IF(A207="","",IF(SUMPRODUCT(MIN(((Agenda!$E$5:$E$1204=A207)*((Agenda!$H$5:$H$1204="Agendado")+(Agenda!$H$5:$H$1204="Confirmado")))*Agenda!$A$5:$A$1204+(1-((Agenda!$E$5:$E$1204=A207)*((Agenda!$H$5:$H$1204="Agendado")+(Agenda!$H$5:$H$1204="Confirmado"))))*1E+10))&gt;=1E+10,"",SUMPRODUCT(MIN(((Agenda!$E$5:$E$1204=A207)*((Agenda!$H$5:$H$1204="Agendado")+(Agenda!$H$5:$H$1204="Confirmado")))*Agenda!$A$5:$A$1204+(1-((Agenda!$E$5:$E$1204=A207)*((Agenda!$H$5:$H$1204="Agendado")+(Agenda!$H$5:$H$1204="Confirmado"))))*1E+10))))</f>
        <v/>
      </c>
    </row>
    <row r="208">
      <c r="A208" s="36" t="n"/>
      <c r="B208" s="37" t="n"/>
      <c r="C208" s="37" t="n"/>
      <c r="D208" s="36" t="n"/>
      <c r="E208" s="36" t="n"/>
      <c r="F208" s="29">
        <f>IF(A208="","",COUNTIFS(Agenda!$E$5:$E$1204,A208,Agenda!$H$5:$H$1204,"Realizado"))</f>
        <v/>
      </c>
      <c r="G208" s="29">
        <f>IF(A208="","",COUNTIFS(Agenda!$E$5:$E$1204,A208,Agenda!$H$5:$H$1204,"Falta"))</f>
        <v/>
      </c>
      <c r="H208" s="33">
        <f>IF(A208="","",IF(SUMPRODUCT(MAX((Agenda!$E$5:$E$1204=A208)*(Agenda!$H$5:$H$1204="Realizado")*Agenda!$A$5:$A$1204))=0,"",SUMPRODUCT(MAX((Agenda!$E$5:$E$1204=A208)*(Agenda!$H$5:$H$1204="Realizado")*Agenda!$A$5:$A$1204))))</f>
        <v/>
      </c>
      <c r="I208" s="33">
        <f>IF(A208="","",IF(SUMPRODUCT(MIN(((Agenda!$E$5:$E$1204=A208)*((Agenda!$H$5:$H$1204="Agendado")+(Agenda!$H$5:$H$1204="Confirmado")))*Agenda!$A$5:$A$1204+(1-((Agenda!$E$5:$E$1204=A208)*((Agenda!$H$5:$H$1204="Agendado")+(Agenda!$H$5:$H$1204="Confirmado"))))*1E+10))&gt;=1E+10,"",SUMPRODUCT(MIN(((Agenda!$E$5:$E$1204=A208)*((Agenda!$H$5:$H$1204="Agendado")+(Agenda!$H$5:$H$1204="Confirmado")))*Agenda!$A$5:$A$1204+(1-((Agenda!$E$5:$E$1204=A208)*((Agenda!$H$5:$H$1204="Agendado")+(Agenda!$H$5:$H$1204="Confirmado"))))*1E+10))))</f>
        <v/>
      </c>
    </row>
    <row r="209">
      <c r="A209" s="36" t="n"/>
      <c r="B209" s="37" t="n"/>
      <c r="C209" s="37" t="n"/>
      <c r="D209" s="36" t="n"/>
      <c r="E209" s="36" t="n"/>
      <c r="F209" s="29">
        <f>IF(A209="","",COUNTIFS(Agenda!$E$5:$E$1204,A209,Agenda!$H$5:$H$1204,"Realizado"))</f>
        <v/>
      </c>
      <c r="G209" s="29">
        <f>IF(A209="","",COUNTIFS(Agenda!$E$5:$E$1204,A209,Agenda!$H$5:$H$1204,"Falta"))</f>
        <v/>
      </c>
      <c r="H209" s="33">
        <f>IF(A209="","",IF(SUMPRODUCT(MAX((Agenda!$E$5:$E$1204=A209)*(Agenda!$H$5:$H$1204="Realizado")*Agenda!$A$5:$A$1204))=0,"",SUMPRODUCT(MAX((Agenda!$E$5:$E$1204=A209)*(Agenda!$H$5:$H$1204="Realizado")*Agenda!$A$5:$A$1204))))</f>
        <v/>
      </c>
      <c r="I209" s="33">
        <f>IF(A209="","",IF(SUMPRODUCT(MIN(((Agenda!$E$5:$E$1204=A209)*((Agenda!$H$5:$H$1204="Agendado")+(Agenda!$H$5:$H$1204="Confirmado")))*Agenda!$A$5:$A$1204+(1-((Agenda!$E$5:$E$1204=A209)*((Agenda!$H$5:$H$1204="Agendado")+(Agenda!$H$5:$H$1204="Confirmado"))))*1E+10))&gt;=1E+10,"",SUMPRODUCT(MIN(((Agenda!$E$5:$E$1204=A209)*((Agenda!$H$5:$H$1204="Agendado")+(Agenda!$H$5:$H$1204="Confirmado")))*Agenda!$A$5:$A$1204+(1-((Agenda!$E$5:$E$1204=A209)*((Agenda!$H$5:$H$1204="Agendado")+(Agenda!$H$5:$H$1204="Confirmado"))))*1E+10))))</f>
        <v/>
      </c>
    </row>
    <row r="210">
      <c r="A210" s="36" t="n"/>
      <c r="B210" s="37" t="n"/>
      <c r="C210" s="37" t="n"/>
      <c r="D210" s="36" t="n"/>
      <c r="E210" s="36" t="n"/>
      <c r="F210" s="29">
        <f>IF(A210="","",COUNTIFS(Agenda!$E$5:$E$1204,A210,Agenda!$H$5:$H$1204,"Realizado"))</f>
        <v/>
      </c>
      <c r="G210" s="29">
        <f>IF(A210="","",COUNTIFS(Agenda!$E$5:$E$1204,A210,Agenda!$H$5:$H$1204,"Falta"))</f>
        <v/>
      </c>
      <c r="H210" s="33">
        <f>IF(A210="","",IF(SUMPRODUCT(MAX((Agenda!$E$5:$E$1204=A210)*(Agenda!$H$5:$H$1204="Realizado")*Agenda!$A$5:$A$1204))=0,"",SUMPRODUCT(MAX((Agenda!$E$5:$E$1204=A210)*(Agenda!$H$5:$H$1204="Realizado")*Agenda!$A$5:$A$1204))))</f>
        <v/>
      </c>
      <c r="I210" s="33">
        <f>IF(A210="","",IF(SUMPRODUCT(MIN(((Agenda!$E$5:$E$1204=A210)*((Agenda!$H$5:$H$1204="Agendado")+(Agenda!$H$5:$H$1204="Confirmado")))*Agenda!$A$5:$A$1204+(1-((Agenda!$E$5:$E$1204=A210)*((Agenda!$H$5:$H$1204="Agendado")+(Agenda!$H$5:$H$1204="Confirmado"))))*1E+10))&gt;=1E+10,"",SUMPRODUCT(MIN(((Agenda!$E$5:$E$1204=A210)*((Agenda!$H$5:$H$1204="Agendado")+(Agenda!$H$5:$H$1204="Confirmado")))*Agenda!$A$5:$A$1204+(1-((Agenda!$E$5:$E$1204=A210)*((Agenda!$H$5:$H$1204="Agendado")+(Agenda!$H$5:$H$1204="Confirmado"))))*1E+10))))</f>
        <v/>
      </c>
    </row>
    <row r="211">
      <c r="A211" s="36" t="n"/>
      <c r="B211" s="37" t="n"/>
      <c r="C211" s="37" t="n"/>
      <c r="D211" s="36" t="n"/>
      <c r="E211" s="36" t="n"/>
      <c r="F211" s="29">
        <f>IF(A211="","",COUNTIFS(Agenda!$E$5:$E$1204,A211,Agenda!$H$5:$H$1204,"Realizado"))</f>
        <v/>
      </c>
      <c r="G211" s="29">
        <f>IF(A211="","",COUNTIFS(Agenda!$E$5:$E$1204,A211,Agenda!$H$5:$H$1204,"Falta"))</f>
        <v/>
      </c>
      <c r="H211" s="33">
        <f>IF(A211="","",IF(SUMPRODUCT(MAX((Agenda!$E$5:$E$1204=A211)*(Agenda!$H$5:$H$1204="Realizado")*Agenda!$A$5:$A$1204))=0,"",SUMPRODUCT(MAX((Agenda!$E$5:$E$1204=A211)*(Agenda!$H$5:$H$1204="Realizado")*Agenda!$A$5:$A$1204))))</f>
        <v/>
      </c>
      <c r="I211" s="33">
        <f>IF(A211="","",IF(SUMPRODUCT(MIN(((Agenda!$E$5:$E$1204=A211)*((Agenda!$H$5:$H$1204="Agendado")+(Agenda!$H$5:$H$1204="Confirmado")))*Agenda!$A$5:$A$1204+(1-((Agenda!$E$5:$E$1204=A211)*((Agenda!$H$5:$H$1204="Agendado")+(Agenda!$H$5:$H$1204="Confirmado"))))*1E+10))&gt;=1E+10,"",SUMPRODUCT(MIN(((Agenda!$E$5:$E$1204=A211)*((Agenda!$H$5:$H$1204="Agendado")+(Agenda!$H$5:$H$1204="Confirmado")))*Agenda!$A$5:$A$1204+(1-((Agenda!$E$5:$E$1204=A211)*((Agenda!$H$5:$H$1204="Agendado")+(Agenda!$H$5:$H$1204="Confirmado"))))*1E+10))))</f>
        <v/>
      </c>
    </row>
    <row r="212">
      <c r="A212" s="36" t="n"/>
      <c r="B212" s="37" t="n"/>
      <c r="C212" s="37" t="n"/>
      <c r="D212" s="36" t="n"/>
      <c r="E212" s="36" t="n"/>
      <c r="F212" s="29">
        <f>IF(A212="","",COUNTIFS(Agenda!$E$5:$E$1204,A212,Agenda!$H$5:$H$1204,"Realizado"))</f>
        <v/>
      </c>
      <c r="G212" s="29">
        <f>IF(A212="","",COUNTIFS(Agenda!$E$5:$E$1204,A212,Agenda!$H$5:$H$1204,"Falta"))</f>
        <v/>
      </c>
      <c r="H212" s="33">
        <f>IF(A212="","",IF(SUMPRODUCT(MAX((Agenda!$E$5:$E$1204=A212)*(Agenda!$H$5:$H$1204="Realizado")*Agenda!$A$5:$A$1204))=0,"",SUMPRODUCT(MAX((Agenda!$E$5:$E$1204=A212)*(Agenda!$H$5:$H$1204="Realizado")*Agenda!$A$5:$A$1204))))</f>
        <v/>
      </c>
      <c r="I212" s="33">
        <f>IF(A212="","",IF(SUMPRODUCT(MIN(((Agenda!$E$5:$E$1204=A212)*((Agenda!$H$5:$H$1204="Agendado")+(Agenda!$H$5:$H$1204="Confirmado")))*Agenda!$A$5:$A$1204+(1-((Agenda!$E$5:$E$1204=A212)*((Agenda!$H$5:$H$1204="Agendado")+(Agenda!$H$5:$H$1204="Confirmado"))))*1E+10))&gt;=1E+10,"",SUMPRODUCT(MIN(((Agenda!$E$5:$E$1204=A212)*((Agenda!$H$5:$H$1204="Agendado")+(Agenda!$H$5:$H$1204="Confirmado")))*Agenda!$A$5:$A$1204+(1-((Agenda!$E$5:$E$1204=A212)*((Agenda!$H$5:$H$1204="Agendado")+(Agenda!$H$5:$H$1204="Confirmado"))))*1E+10))))</f>
        <v/>
      </c>
    </row>
    <row r="213">
      <c r="A213" s="36" t="n"/>
      <c r="B213" s="37" t="n"/>
      <c r="C213" s="37" t="n"/>
      <c r="D213" s="36" t="n"/>
      <c r="E213" s="36" t="n"/>
      <c r="F213" s="29">
        <f>IF(A213="","",COUNTIFS(Agenda!$E$5:$E$1204,A213,Agenda!$H$5:$H$1204,"Realizado"))</f>
        <v/>
      </c>
      <c r="G213" s="29">
        <f>IF(A213="","",COUNTIFS(Agenda!$E$5:$E$1204,A213,Agenda!$H$5:$H$1204,"Falta"))</f>
        <v/>
      </c>
      <c r="H213" s="33">
        <f>IF(A213="","",IF(SUMPRODUCT(MAX((Agenda!$E$5:$E$1204=A213)*(Agenda!$H$5:$H$1204="Realizado")*Agenda!$A$5:$A$1204))=0,"",SUMPRODUCT(MAX((Agenda!$E$5:$E$1204=A213)*(Agenda!$H$5:$H$1204="Realizado")*Agenda!$A$5:$A$1204))))</f>
        <v/>
      </c>
      <c r="I213" s="33">
        <f>IF(A213="","",IF(SUMPRODUCT(MIN(((Agenda!$E$5:$E$1204=A213)*((Agenda!$H$5:$H$1204="Agendado")+(Agenda!$H$5:$H$1204="Confirmado")))*Agenda!$A$5:$A$1204+(1-((Agenda!$E$5:$E$1204=A213)*((Agenda!$H$5:$H$1204="Agendado")+(Agenda!$H$5:$H$1204="Confirmado"))))*1E+10))&gt;=1E+10,"",SUMPRODUCT(MIN(((Agenda!$E$5:$E$1204=A213)*((Agenda!$H$5:$H$1204="Agendado")+(Agenda!$H$5:$H$1204="Confirmado")))*Agenda!$A$5:$A$1204+(1-((Agenda!$E$5:$E$1204=A213)*((Agenda!$H$5:$H$1204="Agendado")+(Agenda!$H$5:$H$1204="Confirmado"))))*1E+10))))</f>
        <v/>
      </c>
    </row>
    <row r="214">
      <c r="A214" s="36" t="n"/>
      <c r="B214" s="37" t="n"/>
      <c r="C214" s="37" t="n"/>
      <c r="D214" s="36" t="n"/>
      <c r="E214" s="36" t="n"/>
      <c r="F214" s="29">
        <f>IF(A214="","",COUNTIFS(Agenda!$E$5:$E$1204,A214,Agenda!$H$5:$H$1204,"Realizado"))</f>
        <v/>
      </c>
      <c r="G214" s="29">
        <f>IF(A214="","",COUNTIFS(Agenda!$E$5:$E$1204,A214,Agenda!$H$5:$H$1204,"Falta"))</f>
        <v/>
      </c>
      <c r="H214" s="33">
        <f>IF(A214="","",IF(SUMPRODUCT(MAX((Agenda!$E$5:$E$1204=A214)*(Agenda!$H$5:$H$1204="Realizado")*Agenda!$A$5:$A$1204))=0,"",SUMPRODUCT(MAX((Agenda!$E$5:$E$1204=A214)*(Agenda!$H$5:$H$1204="Realizado")*Agenda!$A$5:$A$1204))))</f>
        <v/>
      </c>
      <c r="I214" s="33">
        <f>IF(A214="","",IF(SUMPRODUCT(MIN(((Agenda!$E$5:$E$1204=A214)*((Agenda!$H$5:$H$1204="Agendado")+(Agenda!$H$5:$H$1204="Confirmado")))*Agenda!$A$5:$A$1204+(1-((Agenda!$E$5:$E$1204=A214)*((Agenda!$H$5:$H$1204="Agendado")+(Agenda!$H$5:$H$1204="Confirmado"))))*1E+10))&gt;=1E+10,"",SUMPRODUCT(MIN(((Agenda!$E$5:$E$1204=A214)*((Agenda!$H$5:$H$1204="Agendado")+(Agenda!$H$5:$H$1204="Confirmado")))*Agenda!$A$5:$A$1204+(1-((Agenda!$E$5:$E$1204=A214)*((Agenda!$H$5:$H$1204="Agendado")+(Agenda!$H$5:$H$1204="Confirmado"))))*1E+10))))</f>
        <v/>
      </c>
    </row>
    <row r="215">
      <c r="A215" s="36" t="n"/>
      <c r="B215" s="37" t="n"/>
      <c r="C215" s="37" t="n"/>
      <c r="D215" s="36" t="n"/>
      <c r="E215" s="36" t="n"/>
      <c r="F215" s="29">
        <f>IF(A215="","",COUNTIFS(Agenda!$E$5:$E$1204,A215,Agenda!$H$5:$H$1204,"Realizado"))</f>
        <v/>
      </c>
      <c r="G215" s="29">
        <f>IF(A215="","",COUNTIFS(Agenda!$E$5:$E$1204,A215,Agenda!$H$5:$H$1204,"Falta"))</f>
        <v/>
      </c>
      <c r="H215" s="33">
        <f>IF(A215="","",IF(SUMPRODUCT(MAX((Agenda!$E$5:$E$1204=A215)*(Agenda!$H$5:$H$1204="Realizado")*Agenda!$A$5:$A$1204))=0,"",SUMPRODUCT(MAX((Agenda!$E$5:$E$1204=A215)*(Agenda!$H$5:$H$1204="Realizado")*Agenda!$A$5:$A$1204))))</f>
        <v/>
      </c>
      <c r="I215" s="33">
        <f>IF(A215="","",IF(SUMPRODUCT(MIN(((Agenda!$E$5:$E$1204=A215)*((Agenda!$H$5:$H$1204="Agendado")+(Agenda!$H$5:$H$1204="Confirmado")))*Agenda!$A$5:$A$1204+(1-((Agenda!$E$5:$E$1204=A215)*((Agenda!$H$5:$H$1204="Agendado")+(Agenda!$H$5:$H$1204="Confirmado"))))*1E+10))&gt;=1E+10,"",SUMPRODUCT(MIN(((Agenda!$E$5:$E$1204=A215)*((Agenda!$H$5:$H$1204="Agendado")+(Agenda!$H$5:$H$1204="Confirmado")))*Agenda!$A$5:$A$1204+(1-((Agenda!$E$5:$E$1204=A215)*((Agenda!$H$5:$H$1204="Agendado")+(Agenda!$H$5:$H$1204="Confirmado"))))*1E+10))))</f>
        <v/>
      </c>
    </row>
    <row r="216">
      <c r="A216" s="36" t="n"/>
      <c r="B216" s="37" t="n"/>
      <c r="C216" s="37" t="n"/>
      <c r="D216" s="36" t="n"/>
      <c r="E216" s="36" t="n"/>
      <c r="F216" s="29">
        <f>IF(A216="","",COUNTIFS(Agenda!$E$5:$E$1204,A216,Agenda!$H$5:$H$1204,"Realizado"))</f>
        <v/>
      </c>
      <c r="G216" s="29">
        <f>IF(A216="","",COUNTIFS(Agenda!$E$5:$E$1204,A216,Agenda!$H$5:$H$1204,"Falta"))</f>
        <v/>
      </c>
      <c r="H216" s="33">
        <f>IF(A216="","",IF(SUMPRODUCT(MAX((Agenda!$E$5:$E$1204=A216)*(Agenda!$H$5:$H$1204="Realizado")*Agenda!$A$5:$A$1204))=0,"",SUMPRODUCT(MAX((Agenda!$E$5:$E$1204=A216)*(Agenda!$H$5:$H$1204="Realizado")*Agenda!$A$5:$A$1204))))</f>
        <v/>
      </c>
      <c r="I216" s="33">
        <f>IF(A216="","",IF(SUMPRODUCT(MIN(((Agenda!$E$5:$E$1204=A216)*((Agenda!$H$5:$H$1204="Agendado")+(Agenda!$H$5:$H$1204="Confirmado")))*Agenda!$A$5:$A$1204+(1-((Agenda!$E$5:$E$1204=A216)*((Agenda!$H$5:$H$1204="Agendado")+(Agenda!$H$5:$H$1204="Confirmado"))))*1E+10))&gt;=1E+10,"",SUMPRODUCT(MIN(((Agenda!$E$5:$E$1204=A216)*((Agenda!$H$5:$H$1204="Agendado")+(Agenda!$H$5:$H$1204="Confirmado")))*Agenda!$A$5:$A$1204+(1-((Agenda!$E$5:$E$1204=A216)*((Agenda!$H$5:$H$1204="Agendado")+(Agenda!$H$5:$H$1204="Confirmado"))))*1E+10))))</f>
        <v/>
      </c>
    </row>
    <row r="217">
      <c r="A217" s="36" t="n"/>
      <c r="B217" s="37" t="n"/>
      <c r="C217" s="37" t="n"/>
      <c r="D217" s="36" t="n"/>
      <c r="E217" s="36" t="n"/>
      <c r="F217" s="29">
        <f>IF(A217="","",COUNTIFS(Agenda!$E$5:$E$1204,A217,Agenda!$H$5:$H$1204,"Realizado"))</f>
        <v/>
      </c>
      <c r="G217" s="29">
        <f>IF(A217="","",COUNTIFS(Agenda!$E$5:$E$1204,A217,Agenda!$H$5:$H$1204,"Falta"))</f>
        <v/>
      </c>
      <c r="H217" s="33">
        <f>IF(A217="","",IF(SUMPRODUCT(MAX((Agenda!$E$5:$E$1204=A217)*(Agenda!$H$5:$H$1204="Realizado")*Agenda!$A$5:$A$1204))=0,"",SUMPRODUCT(MAX((Agenda!$E$5:$E$1204=A217)*(Agenda!$H$5:$H$1204="Realizado")*Agenda!$A$5:$A$1204))))</f>
        <v/>
      </c>
      <c r="I217" s="33">
        <f>IF(A217="","",IF(SUMPRODUCT(MIN(((Agenda!$E$5:$E$1204=A217)*((Agenda!$H$5:$H$1204="Agendado")+(Agenda!$H$5:$H$1204="Confirmado")))*Agenda!$A$5:$A$1204+(1-((Agenda!$E$5:$E$1204=A217)*((Agenda!$H$5:$H$1204="Agendado")+(Agenda!$H$5:$H$1204="Confirmado"))))*1E+10))&gt;=1E+10,"",SUMPRODUCT(MIN(((Agenda!$E$5:$E$1204=A217)*((Agenda!$H$5:$H$1204="Agendado")+(Agenda!$H$5:$H$1204="Confirmado")))*Agenda!$A$5:$A$1204+(1-((Agenda!$E$5:$E$1204=A217)*((Agenda!$H$5:$H$1204="Agendado")+(Agenda!$H$5:$H$1204="Confirmado"))))*1E+10))))</f>
        <v/>
      </c>
    </row>
    <row r="218">
      <c r="A218" s="36" t="n"/>
      <c r="B218" s="37" t="n"/>
      <c r="C218" s="37" t="n"/>
      <c r="D218" s="36" t="n"/>
      <c r="E218" s="36" t="n"/>
      <c r="F218" s="29">
        <f>IF(A218="","",COUNTIFS(Agenda!$E$5:$E$1204,A218,Agenda!$H$5:$H$1204,"Realizado"))</f>
        <v/>
      </c>
      <c r="G218" s="29">
        <f>IF(A218="","",COUNTIFS(Agenda!$E$5:$E$1204,A218,Agenda!$H$5:$H$1204,"Falta"))</f>
        <v/>
      </c>
      <c r="H218" s="33">
        <f>IF(A218="","",IF(SUMPRODUCT(MAX((Agenda!$E$5:$E$1204=A218)*(Agenda!$H$5:$H$1204="Realizado")*Agenda!$A$5:$A$1204))=0,"",SUMPRODUCT(MAX((Agenda!$E$5:$E$1204=A218)*(Agenda!$H$5:$H$1204="Realizado")*Agenda!$A$5:$A$1204))))</f>
        <v/>
      </c>
      <c r="I218" s="33">
        <f>IF(A218="","",IF(SUMPRODUCT(MIN(((Agenda!$E$5:$E$1204=A218)*((Agenda!$H$5:$H$1204="Agendado")+(Agenda!$H$5:$H$1204="Confirmado")))*Agenda!$A$5:$A$1204+(1-((Agenda!$E$5:$E$1204=A218)*((Agenda!$H$5:$H$1204="Agendado")+(Agenda!$H$5:$H$1204="Confirmado"))))*1E+10))&gt;=1E+10,"",SUMPRODUCT(MIN(((Agenda!$E$5:$E$1204=A218)*((Agenda!$H$5:$H$1204="Agendado")+(Agenda!$H$5:$H$1204="Confirmado")))*Agenda!$A$5:$A$1204+(1-((Agenda!$E$5:$E$1204=A218)*((Agenda!$H$5:$H$1204="Agendado")+(Agenda!$H$5:$H$1204="Confirmado"))))*1E+10))))</f>
        <v/>
      </c>
    </row>
    <row r="219">
      <c r="A219" s="36" t="n"/>
      <c r="B219" s="37" t="n"/>
      <c r="C219" s="37" t="n"/>
      <c r="D219" s="36" t="n"/>
      <c r="E219" s="36" t="n"/>
      <c r="F219" s="29">
        <f>IF(A219="","",COUNTIFS(Agenda!$E$5:$E$1204,A219,Agenda!$H$5:$H$1204,"Realizado"))</f>
        <v/>
      </c>
      <c r="G219" s="29">
        <f>IF(A219="","",COUNTIFS(Agenda!$E$5:$E$1204,A219,Agenda!$H$5:$H$1204,"Falta"))</f>
        <v/>
      </c>
      <c r="H219" s="33">
        <f>IF(A219="","",IF(SUMPRODUCT(MAX((Agenda!$E$5:$E$1204=A219)*(Agenda!$H$5:$H$1204="Realizado")*Agenda!$A$5:$A$1204))=0,"",SUMPRODUCT(MAX((Agenda!$E$5:$E$1204=A219)*(Agenda!$H$5:$H$1204="Realizado")*Agenda!$A$5:$A$1204))))</f>
        <v/>
      </c>
      <c r="I219" s="33">
        <f>IF(A219="","",IF(SUMPRODUCT(MIN(((Agenda!$E$5:$E$1204=A219)*((Agenda!$H$5:$H$1204="Agendado")+(Agenda!$H$5:$H$1204="Confirmado")))*Agenda!$A$5:$A$1204+(1-((Agenda!$E$5:$E$1204=A219)*((Agenda!$H$5:$H$1204="Agendado")+(Agenda!$H$5:$H$1204="Confirmado"))))*1E+10))&gt;=1E+10,"",SUMPRODUCT(MIN(((Agenda!$E$5:$E$1204=A219)*((Agenda!$H$5:$H$1204="Agendado")+(Agenda!$H$5:$H$1204="Confirmado")))*Agenda!$A$5:$A$1204+(1-((Agenda!$E$5:$E$1204=A219)*((Agenda!$H$5:$H$1204="Agendado")+(Agenda!$H$5:$H$1204="Confirmado"))))*1E+10))))</f>
        <v/>
      </c>
    </row>
    <row r="220">
      <c r="A220" s="36" t="n"/>
      <c r="B220" s="37" t="n"/>
      <c r="C220" s="37" t="n"/>
      <c r="D220" s="36" t="n"/>
      <c r="E220" s="36" t="n"/>
      <c r="F220" s="29">
        <f>IF(A220="","",COUNTIFS(Agenda!$E$5:$E$1204,A220,Agenda!$H$5:$H$1204,"Realizado"))</f>
        <v/>
      </c>
      <c r="G220" s="29">
        <f>IF(A220="","",COUNTIFS(Agenda!$E$5:$E$1204,A220,Agenda!$H$5:$H$1204,"Falta"))</f>
        <v/>
      </c>
      <c r="H220" s="33">
        <f>IF(A220="","",IF(SUMPRODUCT(MAX((Agenda!$E$5:$E$1204=A220)*(Agenda!$H$5:$H$1204="Realizado")*Agenda!$A$5:$A$1204))=0,"",SUMPRODUCT(MAX((Agenda!$E$5:$E$1204=A220)*(Agenda!$H$5:$H$1204="Realizado")*Agenda!$A$5:$A$1204))))</f>
        <v/>
      </c>
      <c r="I220" s="33">
        <f>IF(A220="","",IF(SUMPRODUCT(MIN(((Agenda!$E$5:$E$1204=A220)*((Agenda!$H$5:$H$1204="Agendado")+(Agenda!$H$5:$H$1204="Confirmado")))*Agenda!$A$5:$A$1204+(1-((Agenda!$E$5:$E$1204=A220)*((Agenda!$H$5:$H$1204="Agendado")+(Agenda!$H$5:$H$1204="Confirmado"))))*1E+10))&gt;=1E+10,"",SUMPRODUCT(MIN(((Agenda!$E$5:$E$1204=A220)*((Agenda!$H$5:$H$1204="Agendado")+(Agenda!$H$5:$H$1204="Confirmado")))*Agenda!$A$5:$A$1204+(1-((Agenda!$E$5:$E$1204=A220)*((Agenda!$H$5:$H$1204="Agendado")+(Agenda!$H$5:$H$1204="Confirmado"))))*1E+10))))</f>
        <v/>
      </c>
    </row>
    <row r="221">
      <c r="A221" s="36" t="n"/>
      <c r="B221" s="37" t="n"/>
      <c r="C221" s="37" t="n"/>
      <c r="D221" s="36" t="n"/>
      <c r="E221" s="36" t="n"/>
      <c r="F221" s="29">
        <f>IF(A221="","",COUNTIFS(Agenda!$E$5:$E$1204,A221,Agenda!$H$5:$H$1204,"Realizado"))</f>
        <v/>
      </c>
      <c r="G221" s="29">
        <f>IF(A221="","",COUNTIFS(Agenda!$E$5:$E$1204,A221,Agenda!$H$5:$H$1204,"Falta"))</f>
        <v/>
      </c>
      <c r="H221" s="33">
        <f>IF(A221="","",IF(SUMPRODUCT(MAX((Agenda!$E$5:$E$1204=A221)*(Agenda!$H$5:$H$1204="Realizado")*Agenda!$A$5:$A$1204))=0,"",SUMPRODUCT(MAX((Agenda!$E$5:$E$1204=A221)*(Agenda!$H$5:$H$1204="Realizado")*Agenda!$A$5:$A$1204))))</f>
        <v/>
      </c>
      <c r="I221" s="33">
        <f>IF(A221="","",IF(SUMPRODUCT(MIN(((Agenda!$E$5:$E$1204=A221)*((Agenda!$H$5:$H$1204="Agendado")+(Agenda!$H$5:$H$1204="Confirmado")))*Agenda!$A$5:$A$1204+(1-((Agenda!$E$5:$E$1204=A221)*((Agenda!$H$5:$H$1204="Agendado")+(Agenda!$H$5:$H$1204="Confirmado"))))*1E+10))&gt;=1E+10,"",SUMPRODUCT(MIN(((Agenda!$E$5:$E$1204=A221)*((Agenda!$H$5:$H$1204="Agendado")+(Agenda!$H$5:$H$1204="Confirmado")))*Agenda!$A$5:$A$1204+(1-((Agenda!$E$5:$E$1204=A221)*((Agenda!$H$5:$H$1204="Agendado")+(Agenda!$H$5:$H$1204="Confirmado"))))*1E+10))))</f>
        <v/>
      </c>
    </row>
    <row r="222">
      <c r="A222" s="36" t="n"/>
      <c r="B222" s="37" t="n"/>
      <c r="C222" s="37" t="n"/>
      <c r="D222" s="36" t="n"/>
      <c r="E222" s="36" t="n"/>
      <c r="F222" s="29">
        <f>IF(A222="","",COUNTIFS(Agenda!$E$5:$E$1204,A222,Agenda!$H$5:$H$1204,"Realizado"))</f>
        <v/>
      </c>
      <c r="G222" s="29">
        <f>IF(A222="","",COUNTIFS(Agenda!$E$5:$E$1204,A222,Agenda!$H$5:$H$1204,"Falta"))</f>
        <v/>
      </c>
      <c r="H222" s="33">
        <f>IF(A222="","",IF(SUMPRODUCT(MAX((Agenda!$E$5:$E$1204=A222)*(Agenda!$H$5:$H$1204="Realizado")*Agenda!$A$5:$A$1204))=0,"",SUMPRODUCT(MAX((Agenda!$E$5:$E$1204=A222)*(Agenda!$H$5:$H$1204="Realizado")*Agenda!$A$5:$A$1204))))</f>
        <v/>
      </c>
      <c r="I222" s="33">
        <f>IF(A222="","",IF(SUMPRODUCT(MIN(((Agenda!$E$5:$E$1204=A222)*((Agenda!$H$5:$H$1204="Agendado")+(Agenda!$H$5:$H$1204="Confirmado")))*Agenda!$A$5:$A$1204+(1-((Agenda!$E$5:$E$1204=A222)*((Agenda!$H$5:$H$1204="Agendado")+(Agenda!$H$5:$H$1204="Confirmado"))))*1E+10))&gt;=1E+10,"",SUMPRODUCT(MIN(((Agenda!$E$5:$E$1204=A222)*((Agenda!$H$5:$H$1204="Agendado")+(Agenda!$H$5:$H$1204="Confirmado")))*Agenda!$A$5:$A$1204+(1-((Agenda!$E$5:$E$1204=A222)*((Agenda!$H$5:$H$1204="Agendado")+(Agenda!$H$5:$H$1204="Confirmado"))))*1E+10))))</f>
        <v/>
      </c>
    </row>
    <row r="223">
      <c r="A223" s="36" t="n"/>
      <c r="B223" s="37" t="n"/>
      <c r="C223" s="37" t="n"/>
      <c r="D223" s="36" t="n"/>
      <c r="E223" s="36" t="n"/>
      <c r="F223" s="29">
        <f>IF(A223="","",COUNTIFS(Agenda!$E$5:$E$1204,A223,Agenda!$H$5:$H$1204,"Realizado"))</f>
        <v/>
      </c>
      <c r="G223" s="29">
        <f>IF(A223="","",COUNTIFS(Agenda!$E$5:$E$1204,A223,Agenda!$H$5:$H$1204,"Falta"))</f>
        <v/>
      </c>
      <c r="H223" s="33">
        <f>IF(A223="","",IF(SUMPRODUCT(MAX((Agenda!$E$5:$E$1204=A223)*(Agenda!$H$5:$H$1204="Realizado")*Agenda!$A$5:$A$1204))=0,"",SUMPRODUCT(MAX((Agenda!$E$5:$E$1204=A223)*(Agenda!$H$5:$H$1204="Realizado")*Agenda!$A$5:$A$1204))))</f>
        <v/>
      </c>
      <c r="I223" s="33">
        <f>IF(A223="","",IF(SUMPRODUCT(MIN(((Agenda!$E$5:$E$1204=A223)*((Agenda!$H$5:$H$1204="Agendado")+(Agenda!$H$5:$H$1204="Confirmado")))*Agenda!$A$5:$A$1204+(1-((Agenda!$E$5:$E$1204=A223)*((Agenda!$H$5:$H$1204="Agendado")+(Agenda!$H$5:$H$1204="Confirmado"))))*1E+10))&gt;=1E+10,"",SUMPRODUCT(MIN(((Agenda!$E$5:$E$1204=A223)*((Agenda!$H$5:$H$1204="Agendado")+(Agenda!$H$5:$H$1204="Confirmado")))*Agenda!$A$5:$A$1204+(1-((Agenda!$E$5:$E$1204=A223)*((Agenda!$H$5:$H$1204="Agendado")+(Agenda!$H$5:$H$1204="Confirmado"))))*1E+10))))</f>
        <v/>
      </c>
    </row>
    <row r="224">
      <c r="A224" s="36" t="n"/>
      <c r="B224" s="37" t="n"/>
      <c r="C224" s="37" t="n"/>
      <c r="D224" s="36" t="n"/>
      <c r="E224" s="36" t="n"/>
      <c r="F224" s="29">
        <f>IF(A224="","",COUNTIFS(Agenda!$E$5:$E$1204,A224,Agenda!$H$5:$H$1204,"Realizado"))</f>
        <v/>
      </c>
      <c r="G224" s="29">
        <f>IF(A224="","",COUNTIFS(Agenda!$E$5:$E$1204,A224,Agenda!$H$5:$H$1204,"Falta"))</f>
        <v/>
      </c>
      <c r="H224" s="33">
        <f>IF(A224="","",IF(SUMPRODUCT(MAX((Agenda!$E$5:$E$1204=A224)*(Agenda!$H$5:$H$1204="Realizado")*Agenda!$A$5:$A$1204))=0,"",SUMPRODUCT(MAX((Agenda!$E$5:$E$1204=A224)*(Agenda!$H$5:$H$1204="Realizado")*Agenda!$A$5:$A$1204))))</f>
        <v/>
      </c>
      <c r="I224" s="33">
        <f>IF(A224="","",IF(SUMPRODUCT(MIN(((Agenda!$E$5:$E$1204=A224)*((Agenda!$H$5:$H$1204="Agendado")+(Agenda!$H$5:$H$1204="Confirmado")))*Agenda!$A$5:$A$1204+(1-((Agenda!$E$5:$E$1204=A224)*((Agenda!$H$5:$H$1204="Agendado")+(Agenda!$H$5:$H$1204="Confirmado"))))*1E+10))&gt;=1E+10,"",SUMPRODUCT(MIN(((Agenda!$E$5:$E$1204=A224)*((Agenda!$H$5:$H$1204="Agendado")+(Agenda!$H$5:$H$1204="Confirmado")))*Agenda!$A$5:$A$1204+(1-((Agenda!$E$5:$E$1204=A224)*((Agenda!$H$5:$H$1204="Agendado")+(Agenda!$H$5:$H$1204="Confirmado"))))*1E+10))))</f>
        <v/>
      </c>
    </row>
    <row r="225">
      <c r="A225" s="36" t="n"/>
      <c r="B225" s="37" t="n"/>
      <c r="C225" s="37" t="n"/>
      <c r="D225" s="36" t="n"/>
      <c r="E225" s="36" t="n"/>
      <c r="F225" s="29">
        <f>IF(A225="","",COUNTIFS(Agenda!$E$5:$E$1204,A225,Agenda!$H$5:$H$1204,"Realizado"))</f>
        <v/>
      </c>
      <c r="G225" s="29">
        <f>IF(A225="","",COUNTIFS(Agenda!$E$5:$E$1204,A225,Agenda!$H$5:$H$1204,"Falta"))</f>
        <v/>
      </c>
      <c r="H225" s="33">
        <f>IF(A225="","",IF(SUMPRODUCT(MAX((Agenda!$E$5:$E$1204=A225)*(Agenda!$H$5:$H$1204="Realizado")*Agenda!$A$5:$A$1204))=0,"",SUMPRODUCT(MAX((Agenda!$E$5:$E$1204=A225)*(Agenda!$H$5:$H$1204="Realizado")*Agenda!$A$5:$A$1204))))</f>
        <v/>
      </c>
      <c r="I225" s="33">
        <f>IF(A225="","",IF(SUMPRODUCT(MIN(((Agenda!$E$5:$E$1204=A225)*((Agenda!$H$5:$H$1204="Agendado")+(Agenda!$H$5:$H$1204="Confirmado")))*Agenda!$A$5:$A$1204+(1-((Agenda!$E$5:$E$1204=A225)*((Agenda!$H$5:$H$1204="Agendado")+(Agenda!$H$5:$H$1204="Confirmado"))))*1E+10))&gt;=1E+10,"",SUMPRODUCT(MIN(((Agenda!$E$5:$E$1204=A225)*((Agenda!$H$5:$H$1204="Agendado")+(Agenda!$H$5:$H$1204="Confirmado")))*Agenda!$A$5:$A$1204+(1-((Agenda!$E$5:$E$1204=A225)*((Agenda!$H$5:$H$1204="Agendado")+(Agenda!$H$5:$H$1204="Confirmado"))))*1E+10))))</f>
        <v/>
      </c>
    </row>
    <row r="226">
      <c r="A226" s="36" t="n"/>
      <c r="B226" s="37" t="n"/>
      <c r="C226" s="37" t="n"/>
      <c r="D226" s="36" t="n"/>
      <c r="E226" s="36" t="n"/>
      <c r="F226" s="29">
        <f>IF(A226="","",COUNTIFS(Agenda!$E$5:$E$1204,A226,Agenda!$H$5:$H$1204,"Realizado"))</f>
        <v/>
      </c>
      <c r="G226" s="29">
        <f>IF(A226="","",COUNTIFS(Agenda!$E$5:$E$1204,A226,Agenda!$H$5:$H$1204,"Falta"))</f>
        <v/>
      </c>
      <c r="H226" s="33">
        <f>IF(A226="","",IF(SUMPRODUCT(MAX((Agenda!$E$5:$E$1204=A226)*(Agenda!$H$5:$H$1204="Realizado")*Agenda!$A$5:$A$1204))=0,"",SUMPRODUCT(MAX((Agenda!$E$5:$E$1204=A226)*(Agenda!$H$5:$H$1204="Realizado")*Agenda!$A$5:$A$1204))))</f>
        <v/>
      </c>
      <c r="I226" s="33">
        <f>IF(A226="","",IF(SUMPRODUCT(MIN(((Agenda!$E$5:$E$1204=A226)*((Agenda!$H$5:$H$1204="Agendado")+(Agenda!$H$5:$H$1204="Confirmado")))*Agenda!$A$5:$A$1204+(1-((Agenda!$E$5:$E$1204=A226)*((Agenda!$H$5:$H$1204="Agendado")+(Agenda!$H$5:$H$1204="Confirmado"))))*1E+10))&gt;=1E+10,"",SUMPRODUCT(MIN(((Agenda!$E$5:$E$1204=A226)*((Agenda!$H$5:$H$1204="Agendado")+(Agenda!$H$5:$H$1204="Confirmado")))*Agenda!$A$5:$A$1204+(1-((Agenda!$E$5:$E$1204=A226)*((Agenda!$H$5:$H$1204="Agendado")+(Agenda!$H$5:$H$1204="Confirmado"))))*1E+10))))</f>
        <v/>
      </c>
    </row>
    <row r="227">
      <c r="A227" s="36" t="n"/>
      <c r="B227" s="37" t="n"/>
      <c r="C227" s="37" t="n"/>
      <c r="D227" s="36" t="n"/>
      <c r="E227" s="36" t="n"/>
      <c r="F227" s="29">
        <f>IF(A227="","",COUNTIFS(Agenda!$E$5:$E$1204,A227,Agenda!$H$5:$H$1204,"Realizado"))</f>
        <v/>
      </c>
      <c r="G227" s="29">
        <f>IF(A227="","",COUNTIFS(Agenda!$E$5:$E$1204,A227,Agenda!$H$5:$H$1204,"Falta"))</f>
        <v/>
      </c>
      <c r="H227" s="33">
        <f>IF(A227="","",IF(SUMPRODUCT(MAX((Agenda!$E$5:$E$1204=A227)*(Agenda!$H$5:$H$1204="Realizado")*Agenda!$A$5:$A$1204))=0,"",SUMPRODUCT(MAX((Agenda!$E$5:$E$1204=A227)*(Agenda!$H$5:$H$1204="Realizado")*Agenda!$A$5:$A$1204))))</f>
        <v/>
      </c>
      <c r="I227" s="33">
        <f>IF(A227="","",IF(SUMPRODUCT(MIN(((Agenda!$E$5:$E$1204=A227)*((Agenda!$H$5:$H$1204="Agendado")+(Agenda!$H$5:$H$1204="Confirmado")))*Agenda!$A$5:$A$1204+(1-((Agenda!$E$5:$E$1204=A227)*((Agenda!$H$5:$H$1204="Agendado")+(Agenda!$H$5:$H$1204="Confirmado"))))*1E+10))&gt;=1E+10,"",SUMPRODUCT(MIN(((Agenda!$E$5:$E$1204=A227)*((Agenda!$H$5:$H$1204="Agendado")+(Agenda!$H$5:$H$1204="Confirmado")))*Agenda!$A$5:$A$1204+(1-((Agenda!$E$5:$E$1204=A227)*((Agenda!$H$5:$H$1204="Agendado")+(Agenda!$H$5:$H$1204="Confirmado"))))*1E+10))))</f>
        <v/>
      </c>
    </row>
    <row r="228">
      <c r="A228" s="36" t="n"/>
      <c r="B228" s="37" t="n"/>
      <c r="C228" s="37" t="n"/>
      <c r="D228" s="36" t="n"/>
      <c r="E228" s="36" t="n"/>
      <c r="F228" s="29">
        <f>IF(A228="","",COUNTIFS(Agenda!$E$5:$E$1204,A228,Agenda!$H$5:$H$1204,"Realizado"))</f>
        <v/>
      </c>
      <c r="G228" s="29">
        <f>IF(A228="","",COUNTIFS(Agenda!$E$5:$E$1204,A228,Agenda!$H$5:$H$1204,"Falta"))</f>
        <v/>
      </c>
      <c r="H228" s="33">
        <f>IF(A228="","",IF(SUMPRODUCT(MAX((Agenda!$E$5:$E$1204=A228)*(Agenda!$H$5:$H$1204="Realizado")*Agenda!$A$5:$A$1204))=0,"",SUMPRODUCT(MAX((Agenda!$E$5:$E$1204=A228)*(Agenda!$H$5:$H$1204="Realizado")*Agenda!$A$5:$A$1204))))</f>
        <v/>
      </c>
      <c r="I228" s="33">
        <f>IF(A228="","",IF(SUMPRODUCT(MIN(((Agenda!$E$5:$E$1204=A228)*((Agenda!$H$5:$H$1204="Agendado")+(Agenda!$H$5:$H$1204="Confirmado")))*Agenda!$A$5:$A$1204+(1-((Agenda!$E$5:$E$1204=A228)*((Agenda!$H$5:$H$1204="Agendado")+(Agenda!$H$5:$H$1204="Confirmado"))))*1E+10))&gt;=1E+10,"",SUMPRODUCT(MIN(((Agenda!$E$5:$E$1204=A228)*((Agenda!$H$5:$H$1204="Agendado")+(Agenda!$H$5:$H$1204="Confirmado")))*Agenda!$A$5:$A$1204+(1-((Agenda!$E$5:$E$1204=A228)*((Agenda!$H$5:$H$1204="Agendado")+(Agenda!$H$5:$H$1204="Confirmado"))))*1E+10))))</f>
        <v/>
      </c>
    </row>
    <row r="229">
      <c r="A229" s="36" t="n"/>
      <c r="B229" s="37" t="n"/>
      <c r="C229" s="37" t="n"/>
      <c r="D229" s="36" t="n"/>
      <c r="E229" s="36" t="n"/>
      <c r="F229" s="29">
        <f>IF(A229="","",COUNTIFS(Agenda!$E$5:$E$1204,A229,Agenda!$H$5:$H$1204,"Realizado"))</f>
        <v/>
      </c>
      <c r="G229" s="29">
        <f>IF(A229="","",COUNTIFS(Agenda!$E$5:$E$1204,A229,Agenda!$H$5:$H$1204,"Falta"))</f>
        <v/>
      </c>
      <c r="H229" s="33">
        <f>IF(A229="","",IF(SUMPRODUCT(MAX((Agenda!$E$5:$E$1204=A229)*(Agenda!$H$5:$H$1204="Realizado")*Agenda!$A$5:$A$1204))=0,"",SUMPRODUCT(MAX((Agenda!$E$5:$E$1204=A229)*(Agenda!$H$5:$H$1204="Realizado")*Agenda!$A$5:$A$1204))))</f>
        <v/>
      </c>
      <c r="I229" s="33">
        <f>IF(A229="","",IF(SUMPRODUCT(MIN(((Agenda!$E$5:$E$1204=A229)*((Agenda!$H$5:$H$1204="Agendado")+(Agenda!$H$5:$H$1204="Confirmado")))*Agenda!$A$5:$A$1204+(1-((Agenda!$E$5:$E$1204=A229)*((Agenda!$H$5:$H$1204="Agendado")+(Agenda!$H$5:$H$1204="Confirmado"))))*1E+10))&gt;=1E+10,"",SUMPRODUCT(MIN(((Agenda!$E$5:$E$1204=A229)*((Agenda!$H$5:$H$1204="Agendado")+(Agenda!$H$5:$H$1204="Confirmado")))*Agenda!$A$5:$A$1204+(1-((Agenda!$E$5:$E$1204=A229)*((Agenda!$H$5:$H$1204="Agendado")+(Agenda!$H$5:$H$1204="Confirmado"))))*1E+10))))</f>
        <v/>
      </c>
    </row>
    <row r="230">
      <c r="A230" s="36" t="n"/>
      <c r="B230" s="37" t="n"/>
      <c r="C230" s="37" t="n"/>
      <c r="D230" s="36" t="n"/>
      <c r="E230" s="36" t="n"/>
      <c r="F230" s="29">
        <f>IF(A230="","",COUNTIFS(Agenda!$E$5:$E$1204,A230,Agenda!$H$5:$H$1204,"Realizado"))</f>
        <v/>
      </c>
      <c r="G230" s="29">
        <f>IF(A230="","",COUNTIFS(Agenda!$E$5:$E$1204,A230,Agenda!$H$5:$H$1204,"Falta"))</f>
        <v/>
      </c>
      <c r="H230" s="33">
        <f>IF(A230="","",IF(SUMPRODUCT(MAX((Agenda!$E$5:$E$1204=A230)*(Agenda!$H$5:$H$1204="Realizado")*Agenda!$A$5:$A$1204))=0,"",SUMPRODUCT(MAX((Agenda!$E$5:$E$1204=A230)*(Agenda!$H$5:$H$1204="Realizado")*Agenda!$A$5:$A$1204))))</f>
        <v/>
      </c>
      <c r="I230" s="33">
        <f>IF(A230="","",IF(SUMPRODUCT(MIN(((Agenda!$E$5:$E$1204=A230)*((Agenda!$H$5:$H$1204="Agendado")+(Agenda!$H$5:$H$1204="Confirmado")))*Agenda!$A$5:$A$1204+(1-((Agenda!$E$5:$E$1204=A230)*((Agenda!$H$5:$H$1204="Agendado")+(Agenda!$H$5:$H$1204="Confirmado"))))*1E+10))&gt;=1E+10,"",SUMPRODUCT(MIN(((Agenda!$E$5:$E$1204=A230)*((Agenda!$H$5:$H$1204="Agendado")+(Agenda!$H$5:$H$1204="Confirmado")))*Agenda!$A$5:$A$1204+(1-((Agenda!$E$5:$E$1204=A230)*((Agenda!$H$5:$H$1204="Agendado")+(Agenda!$H$5:$H$1204="Confirmado"))))*1E+10))))</f>
        <v/>
      </c>
    </row>
    <row r="231">
      <c r="A231" s="36" t="n"/>
      <c r="B231" s="37" t="n"/>
      <c r="C231" s="37" t="n"/>
      <c r="D231" s="36" t="n"/>
      <c r="E231" s="36" t="n"/>
      <c r="F231" s="29">
        <f>IF(A231="","",COUNTIFS(Agenda!$E$5:$E$1204,A231,Agenda!$H$5:$H$1204,"Realizado"))</f>
        <v/>
      </c>
      <c r="G231" s="29">
        <f>IF(A231="","",COUNTIFS(Agenda!$E$5:$E$1204,A231,Agenda!$H$5:$H$1204,"Falta"))</f>
        <v/>
      </c>
      <c r="H231" s="33">
        <f>IF(A231="","",IF(SUMPRODUCT(MAX((Agenda!$E$5:$E$1204=A231)*(Agenda!$H$5:$H$1204="Realizado")*Agenda!$A$5:$A$1204))=0,"",SUMPRODUCT(MAX((Agenda!$E$5:$E$1204=A231)*(Agenda!$H$5:$H$1204="Realizado")*Agenda!$A$5:$A$1204))))</f>
        <v/>
      </c>
      <c r="I231" s="33">
        <f>IF(A231="","",IF(SUMPRODUCT(MIN(((Agenda!$E$5:$E$1204=A231)*((Agenda!$H$5:$H$1204="Agendado")+(Agenda!$H$5:$H$1204="Confirmado")))*Agenda!$A$5:$A$1204+(1-((Agenda!$E$5:$E$1204=A231)*((Agenda!$H$5:$H$1204="Agendado")+(Agenda!$H$5:$H$1204="Confirmado"))))*1E+10))&gt;=1E+10,"",SUMPRODUCT(MIN(((Agenda!$E$5:$E$1204=A231)*((Agenda!$H$5:$H$1204="Agendado")+(Agenda!$H$5:$H$1204="Confirmado")))*Agenda!$A$5:$A$1204+(1-((Agenda!$E$5:$E$1204=A231)*((Agenda!$H$5:$H$1204="Agendado")+(Agenda!$H$5:$H$1204="Confirmado"))))*1E+10))))</f>
        <v/>
      </c>
    </row>
    <row r="232">
      <c r="A232" s="36" t="n"/>
      <c r="B232" s="37" t="n"/>
      <c r="C232" s="37" t="n"/>
      <c r="D232" s="36" t="n"/>
      <c r="E232" s="36" t="n"/>
      <c r="F232" s="29">
        <f>IF(A232="","",COUNTIFS(Agenda!$E$5:$E$1204,A232,Agenda!$H$5:$H$1204,"Realizado"))</f>
        <v/>
      </c>
      <c r="G232" s="29">
        <f>IF(A232="","",COUNTIFS(Agenda!$E$5:$E$1204,A232,Agenda!$H$5:$H$1204,"Falta"))</f>
        <v/>
      </c>
      <c r="H232" s="33">
        <f>IF(A232="","",IF(SUMPRODUCT(MAX((Agenda!$E$5:$E$1204=A232)*(Agenda!$H$5:$H$1204="Realizado")*Agenda!$A$5:$A$1204))=0,"",SUMPRODUCT(MAX((Agenda!$E$5:$E$1204=A232)*(Agenda!$H$5:$H$1204="Realizado")*Agenda!$A$5:$A$1204))))</f>
        <v/>
      </c>
      <c r="I232" s="33">
        <f>IF(A232="","",IF(SUMPRODUCT(MIN(((Agenda!$E$5:$E$1204=A232)*((Agenda!$H$5:$H$1204="Agendado")+(Agenda!$H$5:$H$1204="Confirmado")))*Agenda!$A$5:$A$1204+(1-((Agenda!$E$5:$E$1204=A232)*((Agenda!$H$5:$H$1204="Agendado")+(Agenda!$H$5:$H$1204="Confirmado"))))*1E+10))&gt;=1E+10,"",SUMPRODUCT(MIN(((Agenda!$E$5:$E$1204=A232)*((Agenda!$H$5:$H$1204="Agendado")+(Agenda!$H$5:$H$1204="Confirmado")))*Agenda!$A$5:$A$1204+(1-((Agenda!$E$5:$E$1204=A232)*((Agenda!$H$5:$H$1204="Agendado")+(Agenda!$H$5:$H$1204="Confirmado"))))*1E+10))))</f>
        <v/>
      </c>
    </row>
    <row r="233">
      <c r="A233" s="36" t="n"/>
      <c r="B233" s="37" t="n"/>
      <c r="C233" s="37" t="n"/>
      <c r="D233" s="36" t="n"/>
      <c r="E233" s="36" t="n"/>
      <c r="F233" s="29">
        <f>IF(A233="","",COUNTIFS(Agenda!$E$5:$E$1204,A233,Agenda!$H$5:$H$1204,"Realizado"))</f>
        <v/>
      </c>
      <c r="G233" s="29">
        <f>IF(A233="","",COUNTIFS(Agenda!$E$5:$E$1204,A233,Agenda!$H$5:$H$1204,"Falta"))</f>
        <v/>
      </c>
      <c r="H233" s="33">
        <f>IF(A233="","",IF(SUMPRODUCT(MAX((Agenda!$E$5:$E$1204=A233)*(Agenda!$H$5:$H$1204="Realizado")*Agenda!$A$5:$A$1204))=0,"",SUMPRODUCT(MAX((Agenda!$E$5:$E$1204=A233)*(Agenda!$H$5:$H$1204="Realizado")*Agenda!$A$5:$A$1204))))</f>
        <v/>
      </c>
      <c r="I233" s="33">
        <f>IF(A233="","",IF(SUMPRODUCT(MIN(((Agenda!$E$5:$E$1204=A233)*((Agenda!$H$5:$H$1204="Agendado")+(Agenda!$H$5:$H$1204="Confirmado")))*Agenda!$A$5:$A$1204+(1-((Agenda!$E$5:$E$1204=A233)*((Agenda!$H$5:$H$1204="Agendado")+(Agenda!$H$5:$H$1204="Confirmado"))))*1E+10))&gt;=1E+10,"",SUMPRODUCT(MIN(((Agenda!$E$5:$E$1204=A233)*((Agenda!$H$5:$H$1204="Agendado")+(Agenda!$H$5:$H$1204="Confirmado")))*Agenda!$A$5:$A$1204+(1-((Agenda!$E$5:$E$1204=A233)*((Agenda!$H$5:$H$1204="Agendado")+(Agenda!$H$5:$H$1204="Confirmado"))))*1E+10))))</f>
        <v/>
      </c>
    </row>
    <row r="234">
      <c r="A234" s="36" t="n"/>
      <c r="B234" s="37" t="n"/>
      <c r="C234" s="37" t="n"/>
      <c r="D234" s="36" t="n"/>
      <c r="E234" s="36" t="n"/>
      <c r="F234" s="29">
        <f>IF(A234="","",COUNTIFS(Agenda!$E$5:$E$1204,A234,Agenda!$H$5:$H$1204,"Realizado"))</f>
        <v/>
      </c>
      <c r="G234" s="29">
        <f>IF(A234="","",COUNTIFS(Agenda!$E$5:$E$1204,A234,Agenda!$H$5:$H$1204,"Falta"))</f>
        <v/>
      </c>
      <c r="H234" s="33">
        <f>IF(A234="","",IF(SUMPRODUCT(MAX((Agenda!$E$5:$E$1204=A234)*(Agenda!$H$5:$H$1204="Realizado")*Agenda!$A$5:$A$1204))=0,"",SUMPRODUCT(MAX((Agenda!$E$5:$E$1204=A234)*(Agenda!$H$5:$H$1204="Realizado")*Agenda!$A$5:$A$1204))))</f>
        <v/>
      </c>
      <c r="I234" s="33">
        <f>IF(A234="","",IF(SUMPRODUCT(MIN(((Agenda!$E$5:$E$1204=A234)*((Agenda!$H$5:$H$1204="Agendado")+(Agenda!$H$5:$H$1204="Confirmado")))*Agenda!$A$5:$A$1204+(1-((Agenda!$E$5:$E$1204=A234)*((Agenda!$H$5:$H$1204="Agendado")+(Agenda!$H$5:$H$1204="Confirmado"))))*1E+10))&gt;=1E+10,"",SUMPRODUCT(MIN(((Agenda!$E$5:$E$1204=A234)*((Agenda!$H$5:$H$1204="Agendado")+(Agenda!$H$5:$H$1204="Confirmado")))*Agenda!$A$5:$A$1204+(1-((Agenda!$E$5:$E$1204=A234)*((Agenda!$H$5:$H$1204="Agendado")+(Agenda!$H$5:$H$1204="Confirmado"))))*1E+10))))</f>
        <v/>
      </c>
    </row>
    <row r="235">
      <c r="A235" s="36" t="n"/>
      <c r="B235" s="37" t="n"/>
      <c r="C235" s="37" t="n"/>
      <c r="D235" s="36" t="n"/>
      <c r="E235" s="36" t="n"/>
      <c r="F235" s="29">
        <f>IF(A235="","",COUNTIFS(Agenda!$E$5:$E$1204,A235,Agenda!$H$5:$H$1204,"Realizado"))</f>
        <v/>
      </c>
      <c r="G235" s="29">
        <f>IF(A235="","",COUNTIFS(Agenda!$E$5:$E$1204,A235,Agenda!$H$5:$H$1204,"Falta"))</f>
        <v/>
      </c>
      <c r="H235" s="33">
        <f>IF(A235="","",IF(SUMPRODUCT(MAX((Agenda!$E$5:$E$1204=A235)*(Agenda!$H$5:$H$1204="Realizado")*Agenda!$A$5:$A$1204))=0,"",SUMPRODUCT(MAX((Agenda!$E$5:$E$1204=A235)*(Agenda!$H$5:$H$1204="Realizado")*Agenda!$A$5:$A$1204))))</f>
        <v/>
      </c>
      <c r="I235" s="33">
        <f>IF(A235="","",IF(SUMPRODUCT(MIN(((Agenda!$E$5:$E$1204=A235)*((Agenda!$H$5:$H$1204="Agendado")+(Agenda!$H$5:$H$1204="Confirmado")))*Agenda!$A$5:$A$1204+(1-((Agenda!$E$5:$E$1204=A235)*((Agenda!$H$5:$H$1204="Agendado")+(Agenda!$H$5:$H$1204="Confirmado"))))*1E+10))&gt;=1E+10,"",SUMPRODUCT(MIN(((Agenda!$E$5:$E$1204=A235)*((Agenda!$H$5:$H$1204="Agendado")+(Agenda!$H$5:$H$1204="Confirmado")))*Agenda!$A$5:$A$1204+(1-((Agenda!$E$5:$E$1204=A235)*((Agenda!$H$5:$H$1204="Agendado")+(Agenda!$H$5:$H$1204="Confirmado"))))*1E+10))))</f>
        <v/>
      </c>
    </row>
    <row r="236">
      <c r="A236" s="36" t="n"/>
      <c r="B236" s="37" t="n"/>
      <c r="C236" s="37" t="n"/>
      <c r="D236" s="36" t="n"/>
      <c r="E236" s="36" t="n"/>
      <c r="F236" s="29">
        <f>IF(A236="","",COUNTIFS(Agenda!$E$5:$E$1204,A236,Agenda!$H$5:$H$1204,"Realizado"))</f>
        <v/>
      </c>
      <c r="G236" s="29">
        <f>IF(A236="","",COUNTIFS(Agenda!$E$5:$E$1204,A236,Agenda!$H$5:$H$1204,"Falta"))</f>
        <v/>
      </c>
      <c r="H236" s="33">
        <f>IF(A236="","",IF(SUMPRODUCT(MAX((Agenda!$E$5:$E$1204=A236)*(Agenda!$H$5:$H$1204="Realizado")*Agenda!$A$5:$A$1204))=0,"",SUMPRODUCT(MAX((Agenda!$E$5:$E$1204=A236)*(Agenda!$H$5:$H$1204="Realizado")*Agenda!$A$5:$A$1204))))</f>
        <v/>
      </c>
      <c r="I236" s="33">
        <f>IF(A236="","",IF(SUMPRODUCT(MIN(((Agenda!$E$5:$E$1204=A236)*((Agenda!$H$5:$H$1204="Agendado")+(Agenda!$H$5:$H$1204="Confirmado")))*Agenda!$A$5:$A$1204+(1-((Agenda!$E$5:$E$1204=A236)*((Agenda!$H$5:$H$1204="Agendado")+(Agenda!$H$5:$H$1204="Confirmado"))))*1E+10))&gt;=1E+10,"",SUMPRODUCT(MIN(((Agenda!$E$5:$E$1204=A236)*((Agenda!$H$5:$H$1204="Agendado")+(Agenda!$H$5:$H$1204="Confirmado")))*Agenda!$A$5:$A$1204+(1-((Agenda!$E$5:$E$1204=A236)*((Agenda!$H$5:$H$1204="Agendado")+(Agenda!$H$5:$H$1204="Confirmado"))))*1E+10))))</f>
        <v/>
      </c>
    </row>
    <row r="237">
      <c r="A237" s="36" t="n"/>
      <c r="B237" s="37" t="n"/>
      <c r="C237" s="37" t="n"/>
      <c r="D237" s="36" t="n"/>
      <c r="E237" s="36" t="n"/>
      <c r="F237" s="29">
        <f>IF(A237="","",COUNTIFS(Agenda!$E$5:$E$1204,A237,Agenda!$H$5:$H$1204,"Realizado"))</f>
        <v/>
      </c>
      <c r="G237" s="29">
        <f>IF(A237="","",COUNTIFS(Agenda!$E$5:$E$1204,A237,Agenda!$H$5:$H$1204,"Falta"))</f>
        <v/>
      </c>
      <c r="H237" s="33">
        <f>IF(A237="","",IF(SUMPRODUCT(MAX((Agenda!$E$5:$E$1204=A237)*(Agenda!$H$5:$H$1204="Realizado")*Agenda!$A$5:$A$1204))=0,"",SUMPRODUCT(MAX((Agenda!$E$5:$E$1204=A237)*(Agenda!$H$5:$H$1204="Realizado")*Agenda!$A$5:$A$1204))))</f>
        <v/>
      </c>
      <c r="I237" s="33">
        <f>IF(A237="","",IF(SUMPRODUCT(MIN(((Agenda!$E$5:$E$1204=A237)*((Agenda!$H$5:$H$1204="Agendado")+(Agenda!$H$5:$H$1204="Confirmado")))*Agenda!$A$5:$A$1204+(1-((Agenda!$E$5:$E$1204=A237)*((Agenda!$H$5:$H$1204="Agendado")+(Agenda!$H$5:$H$1204="Confirmado"))))*1E+10))&gt;=1E+10,"",SUMPRODUCT(MIN(((Agenda!$E$5:$E$1204=A237)*((Agenda!$H$5:$H$1204="Agendado")+(Agenda!$H$5:$H$1204="Confirmado")))*Agenda!$A$5:$A$1204+(1-((Agenda!$E$5:$E$1204=A237)*((Agenda!$H$5:$H$1204="Agendado")+(Agenda!$H$5:$H$1204="Confirmado"))))*1E+10))))</f>
        <v/>
      </c>
    </row>
    <row r="238">
      <c r="A238" s="36" t="n"/>
      <c r="B238" s="37" t="n"/>
      <c r="C238" s="37" t="n"/>
      <c r="D238" s="36" t="n"/>
      <c r="E238" s="36" t="n"/>
      <c r="F238" s="29">
        <f>IF(A238="","",COUNTIFS(Agenda!$E$5:$E$1204,A238,Agenda!$H$5:$H$1204,"Realizado"))</f>
        <v/>
      </c>
      <c r="G238" s="29">
        <f>IF(A238="","",COUNTIFS(Agenda!$E$5:$E$1204,A238,Agenda!$H$5:$H$1204,"Falta"))</f>
        <v/>
      </c>
      <c r="H238" s="33">
        <f>IF(A238="","",IF(SUMPRODUCT(MAX((Agenda!$E$5:$E$1204=A238)*(Agenda!$H$5:$H$1204="Realizado")*Agenda!$A$5:$A$1204))=0,"",SUMPRODUCT(MAX((Agenda!$E$5:$E$1204=A238)*(Agenda!$H$5:$H$1204="Realizado")*Agenda!$A$5:$A$1204))))</f>
        <v/>
      </c>
      <c r="I238" s="33">
        <f>IF(A238="","",IF(SUMPRODUCT(MIN(((Agenda!$E$5:$E$1204=A238)*((Agenda!$H$5:$H$1204="Agendado")+(Agenda!$H$5:$H$1204="Confirmado")))*Agenda!$A$5:$A$1204+(1-((Agenda!$E$5:$E$1204=A238)*((Agenda!$H$5:$H$1204="Agendado")+(Agenda!$H$5:$H$1204="Confirmado"))))*1E+10))&gt;=1E+10,"",SUMPRODUCT(MIN(((Agenda!$E$5:$E$1204=A238)*((Agenda!$H$5:$H$1204="Agendado")+(Agenda!$H$5:$H$1204="Confirmado")))*Agenda!$A$5:$A$1204+(1-((Agenda!$E$5:$E$1204=A238)*((Agenda!$H$5:$H$1204="Agendado")+(Agenda!$H$5:$H$1204="Confirmado"))))*1E+10))))</f>
        <v/>
      </c>
    </row>
    <row r="239">
      <c r="A239" s="36" t="n"/>
      <c r="B239" s="37" t="n"/>
      <c r="C239" s="37" t="n"/>
      <c r="D239" s="36" t="n"/>
      <c r="E239" s="36" t="n"/>
      <c r="F239" s="29">
        <f>IF(A239="","",COUNTIFS(Agenda!$E$5:$E$1204,A239,Agenda!$H$5:$H$1204,"Realizado"))</f>
        <v/>
      </c>
      <c r="G239" s="29">
        <f>IF(A239="","",COUNTIFS(Agenda!$E$5:$E$1204,A239,Agenda!$H$5:$H$1204,"Falta"))</f>
        <v/>
      </c>
      <c r="H239" s="33">
        <f>IF(A239="","",IF(SUMPRODUCT(MAX((Agenda!$E$5:$E$1204=A239)*(Agenda!$H$5:$H$1204="Realizado")*Agenda!$A$5:$A$1204))=0,"",SUMPRODUCT(MAX((Agenda!$E$5:$E$1204=A239)*(Agenda!$H$5:$H$1204="Realizado")*Agenda!$A$5:$A$1204))))</f>
        <v/>
      </c>
      <c r="I239" s="33">
        <f>IF(A239="","",IF(SUMPRODUCT(MIN(((Agenda!$E$5:$E$1204=A239)*((Agenda!$H$5:$H$1204="Agendado")+(Agenda!$H$5:$H$1204="Confirmado")))*Agenda!$A$5:$A$1204+(1-((Agenda!$E$5:$E$1204=A239)*((Agenda!$H$5:$H$1204="Agendado")+(Agenda!$H$5:$H$1204="Confirmado"))))*1E+10))&gt;=1E+10,"",SUMPRODUCT(MIN(((Agenda!$E$5:$E$1204=A239)*((Agenda!$H$5:$H$1204="Agendado")+(Agenda!$H$5:$H$1204="Confirmado")))*Agenda!$A$5:$A$1204+(1-((Agenda!$E$5:$E$1204=A239)*((Agenda!$H$5:$H$1204="Agendado")+(Agenda!$H$5:$H$1204="Confirmado"))))*1E+10))))</f>
        <v/>
      </c>
    </row>
    <row r="240">
      <c r="A240" s="36" t="n"/>
      <c r="B240" s="37" t="n"/>
      <c r="C240" s="37" t="n"/>
      <c r="D240" s="36" t="n"/>
      <c r="E240" s="36" t="n"/>
      <c r="F240" s="29">
        <f>IF(A240="","",COUNTIFS(Agenda!$E$5:$E$1204,A240,Agenda!$H$5:$H$1204,"Realizado"))</f>
        <v/>
      </c>
      <c r="G240" s="29">
        <f>IF(A240="","",COUNTIFS(Agenda!$E$5:$E$1204,A240,Agenda!$H$5:$H$1204,"Falta"))</f>
        <v/>
      </c>
      <c r="H240" s="33">
        <f>IF(A240="","",IF(SUMPRODUCT(MAX((Agenda!$E$5:$E$1204=A240)*(Agenda!$H$5:$H$1204="Realizado")*Agenda!$A$5:$A$1204))=0,"",SUMPRODUCT(MAX((Agenda!$E$5:$E$1204=A240)*(Agenda!$H$5:$H$1204="Realizado")*Agenda!$A$5:$A$1204))))</f>
        <v/>
      </c>
      <c r="I240" s="33">
        <f>IF(A240="","",IF(SUMPRODUCT(MIN(((Agenda!$E$5:$E$1204=A240)*((Agenda!$H$5:$H$1204="Agendado")+(Agenda!$H$5:$H$1204="Confirmado")))*Agenda!$A$5:$A$1204+(1-((Agenda!$E$5:$E$1204=A240)*((Agenda!$H$5:$H$1204="Agendado")+(Agenda!$H$5:$H$1204="Confirmado"))))*1E+10))&gt;=1E+10,"",SUMPRODUCT(MIN(((Agenda!$E$5:$E$1204=A240)*((Agenda!$H$5:$H$1204="Agendado")+(Agenda!$H$5:$H$1204="Confirmado")))*Agenda!$A$5:$A$1204+(1-((Agenda!$E$5:$E$1204=A240)*((Agenda!$H$5:$H$1204="Agendado")+(Agenda!$H$5:$H$1204="Confirmado"))))*1E+10))))</f>
        <v/>
      </c>
    </row>
    <row r="241">
      <c r="A241" s="36" t="n"/>
      <c r="B241" s="37" t="n"/>
      <c r="C241" s="37" t="n"/>
      <c r="D241" s="36" t="n"/>
      <c r="E241" s="36" t="n"/>
      <c r="F241" s="29">
        <f>IF(A241="","",COUNTIFS(Agenda!$E$5:$E$1204,A241,Agenda!$H$5:$H$1204,"Realizado"))</f>
        <v/>
      </c>
      <c r="G241" s="29">
        <f>IF(A241="","",COUNTIFS(Agenda!$E$5:$E$1204,A241,Agenda!$H$5:$H$1204,"Falta"))</f>
        <v/>
      </c>
      <c r="H241" s="33">
        <f>IF(A241="","",IF(SUMPRODUCT(MAX((Agenda!$E$5:$E$1204=A241)*(Agenda!$H$5:$H$1204="Realizado")*Agenda!$A$5:$A$1204))=0,"",SUMPRODUCT(MAX((Agenda!$E$5:$E$1204=A241)*(Agenda!$H$5:$H$1204="Realizado")*Agenda!$A$5:$A$1204))))</f>
        <v/>
      </c>
      <c r="I241" s="33">
        <f>IF(A241="","",IF(SUMPRODUCT(MIN(((Agenda!$E$5:$E$1204=A241)*((Agenda!$H$5:$H$1204="Agendado")+(Agenda!$H$5:$H$1204="Confirmado")))*Agenda!$A$5:$A$1204+(1-((Agenda!$E$5:$E$1204=A241)*((Agenda!$H$5:$H$1204="Agendado")+(Agenda!$H$5:$H$1204="Confirmado"))))*1E+10))&gt;=1E+10,"",SUMPRODUCT(MIN(((Agenda!$E$5:$E$1204=A241)*((Agenda!$H$5:$H$1204="Agendado")+(Agenda!$H$5:$H$1204="Confirmado")))*Agenda!$A$5:$A$1204+(1-((Agenda!$E$5:$E$1204=A241)*((Agenda!$H$5:$H$1204="Agendado")+(Agenda!$H$5:$H$1204="Confirmado"))))*1E+10))))</f>
        <v/>
      </c>
    </row>
    <row r="242">
      <c r="A242" s="36" t="n"/>
      <c r="B242" s="37" t="n"/>
      <c r="C242" s="37" t="n"/>
      <c r="D242" s="36" t="n"/>
      <c r="E242" s="36" t="n"/>
      <c r="F242" s="29">
        <f>IF(A242="","",COUNTIFS(Agenda!$E$5:$E$1204,A242,Agenda!$H$5:$H$1204,"Realizado"))</f>
        <v/>
      </c>
      <c r="G242" s="29">
        <f>IF(A242="","",COUNTIFS(Agenda!$E$5:$E$1204,A242,Agenda!$H$5:$H$1204,"Falta"))</f>
        <v/>
      </c>
      <c r="H242" s="33">
        <f>IF(A242="","",IF(SUMPRODUCT(MAX((Agenda!$E$5:$E$1204=A242)*(Agenda!$H$5:$H$1204="Realizado")*Agenda!$A$5:$A$1204))=0,"",SUMPRODUCT(MAX((Agenda!$E$5:$E$1204=A242)*(Agenda!$H$5:$H$1204="Realizado")*Agenda!$A$5:$A$1204))))</f>
        <v/>
      </c>
      <c r="I242" s="33">
        <f>IF(A242="","",IF(SUMPRODUCT(MIN(((Agenda!$E$5:$E$1204=A242)*((Agenda!$H$5:$H$1204="Agendado")+(Agenda!$H$5:$H$1204="Confirmado")))*Agenda!$A$5:$A$1204+(1-((Agenda!$E$5:$E$1204=A242)*((Agenda!$H$5:$H$1204="Agendado")+(Agenda!$H$5:$H$1204="Confirmado"))))*1E+10))&gt;=1E+10,"",SUMPRODUCT(MIN(((Agenda!$E$5:$E$1204=A242)*((Agenda!$H$5:$H$1204="Agendado")+(Agenda!$H$5:$H$1204="Confirmado")))*Agenda!$A$5:$A$1204+(1-((Agenda!$E$5:$E$1204=A242)*((Agenda!$H$5:$H$1204="Agendado")+(Agenda!$H$5:$H$1204="Confirmado"))))*1E+10))))</f>
        <v/>
      </c>
    </row>
    <row r="243">
      <c r="A243" s="36" t="n"/>
      <c r="B243" s="37" t="n"/>
      <c r="C243" s="37" t="n"/>
      <c r="D243" s="36" t="n"/>
      <c r="E243" s="36" t="n"/>
      <c r="F243" s="29">
        <f>IF(A243="","",COUNTIFS(Agenda!$E$5:$E$1204,A243,Agenda!$H$5:$H$1204,"Realizado"))</f>
        <v/>
      </c>
      <c r="G243" s="29">
        <f>IF(A243="","",COUNTIFS(Agenda!$E$5:$E$1204,A243,Agenda!$H$5:$H$1204,"Falta"))</f>
        <v/>
      </c>
      <c r="H243" s="33">
        <f>IF(A243="","",IF(SUMPRODUCT(MAX((Agenda!$E$5:$E$1204=A243)*(Agenda!$H$5:$H$1204="Realizado")*Agenda!$A$5:$A$1204))=0,"",SUMPRODUCT(MAX((Agenda!$E$5:$E$1204=A243)*(Agenda!$H$5:$H$1204="Realizado")*Agenda!$A$5:$A$1204))))</f>
        <v/>
      </c>
      <c r="I243" s="33">
        <f>IF(A243="","",IF(SUMPRODUCT(MIN(((Agenda!$E$5:$E$1204=A243)*((Agenda!$H$5:$H$1204="Agendado")+(Agenda!$H$5:$H$1204="Confirmado")))*Agenda!$A$5:$A$1204+(1-((Agenda!$E$5:$E$1204=A243)*((Agenda!$H$5:$H$1204="Agendado")+(Agenda!$H$5:$H$1204="Confirmado"))))*1E+10))&gt;=1E+10,"",SUMPRODUCT(MIN(((Agenda!$E$5:$E$1204=A243)*((Agenda!$H$5:$H$1204="Agendado")+(Agenda!$H$5:$H$1204="Confirmado")))*Agenda!$A$5:$A$1204+(1-((Agenda!$E$5:$E$1204=A243)*((Agenda!$H$5:$H$1204="Agendado")+(Agenda!$H$5:$H$1204="Confirmado"))))*1E+10))))</f>
        <v/>
      </c>
    </row>
    <row r="244">
      <c r="A244" s="36" t="n"/>
      <c r="B244" s="37" t="n"/>
      <c r="C244" s="37" t="n"/>
      <c r="D244" s="36" t="n"/>
      <c r="E244" s="36" t="n"/>
      <c r="F244" s="29">
        <f>IF(A244="","",COUNTIFS(Agenda!$E$5:$E$1204,A244,Agenda!$H$5:$H$1204,"Realizado"))</f>
        <v/>
      </c>
      <c r="G244" s="29">
        <f>IF(A244="","",COUNTIFS(Agenda!$E$5:$E$1204,A244,Agenda!$H$5:$H$1204,"Falta"))</f>
        <v/>
      </c>
      <c r="H244" s="33">
        <f>IF(A244="","",IF(SUMPRODUCT(MAX((Agenda!$E$5:$E$1204=A244)*(Agenda!$H$5:$H$1204="Realizado")*Agenda!$A$5:$A$1204))=0,"",SUMPRODUCT(MAX((Agenda!$E$5:$E$1204=A244)*(Agenda!$H$5:$H$1204="Realizado")*Agenda!$A$5:$A$1204))))</f>
        <v/>
      </c>
      <c r="I244" s="33">
        <f>IF(A244="","",IF(SUMPRODUCT(MIN(((Agenda!$E$5:$E$1204=A244)*((Agenda!$H$5:$H$1204="Agendado")+(Agenda!$H$5:$H$1204="Confirmado")))*Agenda!$A$5:$A$1204+(1-((Agenda!$E$5:$E$1204=A244)*((Agenda!$H$5:$H$1204="Agendado")+(Agenda!$H$5:$H$1204="Confirmado"))))*1E+10))&gt;=1E+10,"",SUMPRODUCT(MIN(((Agenda!$E$5:$E$1204=A244)*((Agenda!$H$5:$H$1204="Agendado")+(Agenda!$H$5:$H$1204="Confirmado")))*Agenda!$A$5:$A$1204+(1-((Agenda!$E$5:$E$1204=A244)*((Agenda!$H$5:$H$1204="Agendado")+(Agenda!$H$5:$H$1204="Confirmado"))))*1E+10))))</f>
        <v/>
      </c>
    </row>
    <row r="245">
      <c r="A245" s="36" t="n"/>
      <c r="B245" s="37" t="n"/>
      <c r="C245" s="37" t="n"/>
      <c r="D245" s="36" t="n"/>
      <c r="E245" s="36" t="n"/>
      <c r="F245" s="29">
        <f>IF(A245="","",COUNTIFS(Agenda!$E$5:$E$1204,A245,Agenda!$H$5:$H$1204,"Realizado"))</f>
        <v/>
      </c>
      <c r="G245" s="29">
        <f>IF(A245="","",COUNTIFS(Agenda!$E$5:$E$1204,A245,Agenda!$H$5:$H$1204,"Falta"))</f>
        <v/>
      </c>
      <c r="H245" s="33">
        <f>IF(A245="","",IF(SUMPRODUCT(MAX((Agenda!$E$5:$E$1204=A245)*(Agenda!$H$5:$H$1204="Realizado")*Agenda!$A$5:$A$1204))=0,"",SUMPRODUCT(MAX((Agenda!$E$5:$E$1204=A245)*(Agenda!$H$5:$H$1204="Realizado")*Agenda!$A$5:$A$1204))))</f>
        <v/>
      </c>
      <c r="I245" s="33">
        <f>IF(A245="","",IF(SUMPRODUCT(MIN(((Agenda!$E$5:$E$1204=A245)*((Agenda!$H$5:$H$1204="Agendado")+(Agenda!$H$5:$H$1204="Confirmado")))*Agenda!$A$5:$A$1204+(1-((Agenda!$E$5:$E$1204=A245)*((Agenda!$H$5:$H$1204="Agendado")+(Agenda!$H$5:$H$1204="Confirmado"))))*1E+10))&gt;=1E+10,"",SUMPRODUCT(MIN(((Agenda!$E$5:$E$1204=A245)*((Agenda!$H$5:$H$1204="Agendado")+(Agenda!$H$5:$H$1204="Confirmado")))*Agenda!$A$5:$A$1204+(1-((Agenda!$E$5:$E$1204=A245)*((Agenda!$H$5:$H$1204="Agendado")+(Agenda!$H$5:$H$1204="Confirmado"))))*1E+10))))</f>
        <v/>
      </c>
    </row>
    <row r="246">
      <c r="A246" s="36" t="n"/>
      <c r="B246" s="37" t="n"/>
      <c r="C246" s="37" t="n"/>
      <c r="D246" s="36" t="n"/>
      <c r="E246" s="36" t="n"/>
      <c r="F246" s="29">
        <f>IF(A246="","",COUNTIFS(Agenda!$E$5:$E$1204,A246,Agenda!$H$5:$H$1204,"Realizado"))</f>
        <v/>
      </c>
      <c r="G246" s="29">
        <f>IF(A246="","",COUNTIFS(Agenda!$E$5:$E$1204,A246,Agenda!$H$5:$H$1204,"Falta"))</f>
        <v/>
      </c>
      <c r="H246" s="33">
        <f>IF(A246="","",IF(SUMPRODUCT(MAX((Agenda!$E$5:$E$1204=A246)*(Agenda!$H$5:$H$1204="Realizado")*Agenda!$A$5:$A$1204))=0,"",SUMPRODUCT(MAX((Agenda!$E$5:$E$1204=A246)*(Agenda!$H$5:$H$1204="Realizado")*Agenda!$A$5:$A$1204))))</f>
        <v/>
      </c>
      <c r="I246" s="33">
        <f>IF(A246="","",IF(SUMPRODUCT(MIN(((Agenda!$E$5:$E$1204=A246)*((Agenda!$H$5:$H$1204="Agendado")+(Agenda!$H$5:$H$1204="Confirmado")))*Agenda!$A$5:$A$1204+(1-((Agenda!$E$5:$E$1204=A246)*((Agenda!$H$5:$H$1204="Agendado")+(Agenda!$H$5:$H$1204="Confirmado"))))*1E+10))&gt;=1E+10,"",SUMPRODUCT(MIN(((Agenda!$E$5:$E$1204=A246)*((Agenda!$H$5:$H$1204="Agendado")+(Agenda!$H$5:$H$1204="Confirmado")))*Agenda!$A$5:$A$1204+(1-((Agenda!$E$5:$E$1204=A246)*((Agenda!$H$5:$H$1204="Agendado")+(Agenda!$H$5:$H$1204="Confirmado"))))*1E+10))))</f>
        <v/>
      </c>
    </row>
    <row r="247">
      <c r="A247" s="36" t="n"/>
      <c r="B247" s="37" t="n"/>
      <c r="C247" s="37" t="n"/>
      <c r="D247" s="36" t="n"/>
      <c r="E247" s="36" t="n"/>
      <c r="F247" s="29">
        <f>IF(A247="","",COUNTIFS(Agenda!$E$5:$E$1204,A247,Agenda!$H$5:$H$1204,"Realizado"))</f>
        <v/>
      </c>
      <c r="G247" s="29">
        <f>IF(A247="","",COUNTIFS(Agenda!$E$5:$E$1204,A247,Agenda!$H$5:$H$1204,"Falta"))</f>
        <v/>
      </c>
      <c r="H247" s="33">
        <f>IF(A247="","",IF(SUMPRODUCT(MAX((Agenda!$E$5:$E$1204=A247)*(Agenda!$H$5:$H$1204="Realizado")*Agenda!$A$5:$A$1204))=0,"",SUMPRODUCT(MAX((Agenda!$E$5:$E$1204=A247)*(Agenda!$H$5:$H$1204="Realizado")*Agenda!$A$5:$A$1204))))</f>
        <v/>
      </c>
      <c r="I247" s="33">
        <f>IF(A247="","",IF(SUMPRODUCT(MIN(((Agenda!$E$5:$E$1204=A247)*((Agenda!$H$5:$H$1204="Agendado")+(Agenda!$H$5:$H$1204="Confirmado")))*Agenda!$A$5:$A$1204+(1-((Agenda!$E$5:$E$1204=A247)*((Agenda!$H$5:$H$1204="Agendado")+(Agenda!$H$5:$H$1204="Confirmado"))))*1E+10))&gt;=1E+10,"",SUMPRODUCT(MIN(((Agenda!$E$5:$E$1204=A247)*((Agenda!$H$5:$H$1204="Agendado")+(Agenda!$H$5:$H$1204="Confirmado")))*Agenda!$A$5:$A$1204+(1-((Agenda!$E$5:$E$1204=A247)*((Agenda!$H$5:$H$1204="Agendado")+(Agenda!$H$5:$H$1204="Confirmado"))))*1E+10))))</f>
        <v/>
      </c>
    </row>
    <row r="248">
      <c r="A248" s="36" t="n"/>
      <c r="B248" s="37" t="n"/>
      <c r="C248" s="37" t="n"/>
      <c r="D248" s="36" t="n"/>
      <c r="E248" s="36" t="n"/>
      <c r="F248" s="29">
        <f>IF(A248="","",COUNTIFS(Agenda!$E$5:$E$1204,A248,Agenda!$H$5:$H$1204,"Realizado"))</f>
        <v/>
      </c>
      <c r="G248" s="29">
        <f>IF(A248="","",COUNTIFS(Agenda!$E$5:$E$1204,A248,Agenda!$H$5:$H$1204,"Falta"))</f>
        <v/>
      </c>
      <c r="H248" s="33">
        <f>IF(A248="","",IF(SUMPRODUCT(MAX((Agenda!$E$5:$E$1204=A248)*(Agenda!$H$5:$H$1204="Realizado")*Agenda!$A$5:$A$1204))=0,"",SUMPRODUCT(MAX((Agenda!$E$5:$E$1204=A248)*(Agenda!$H$5:$H$1204="Realizado")*Agenda!$A$5:$A$1204))))</f>
        <v/>
      </c>
      <c r="I248" s="33">
        <f>IF(A248="","",IF(SUMPRODUCT(MIN(((Agenda!$E$5:$E$1204=A248)*((Agenda!$H$5:$H$1204="Agendado")+(Agenda!$H$5:$H$1204="Confirmado")))*Agenda!$A$5:$A$1204+(1-((Agenda!$E$5:$E$1204=A248)*((Agenda!$H$5:$H$1204="Agendado")+(Agenda!$H$5:$H$1204="Confirmado"))))*1E+10))&gt;=1E+10,"",SUMPRODUCT(MIN(((Agenda!$E$5:$E$1204=A248)*((Agenda!$H$5:$H$1204="Agendado")+(Agenda!$H$5:$H$1204="Confirmado")))*Agenda!$A$5:$A$1204+(1-((Agenda!$E$5:$E$1204=A248)*((Agenda!$H$5:$H$1204="Agendado")+(Agenda!$H$5:$H$1204="Confirmado"))))*1E+10))))</f>
        <v/>
      </c>
    </row>
    <row r="249">
      <c r="A249" s="36" t="n"/>
      <c r="B249" s="37" t="n"/>
      <c r="C249" s="37" t="n"/>
      <c r="D249" s="36" t="n"/>
      <c r="E249" s="36" t="n"/>
      <c r="F249" s="29">
        <f>IF(A249="","",COUNTIFS(Agenda!$E$5:$E$1204,A249,Agenda!$H$5:$H$1204,"Realizado"))</f>
        <v/>
      </c>
      <c r="G249" s="29">
        <f>IF(A249="","",COUNTIFS(Agenda!$E$5:$E$1204,A249,Agenda!$H$5:$H$1204,"Falta"))</f>
        <v/>
      </c>
      <c r="H249" s="33">
        <f>IF(A249="","",IF(SUMPRODUCT(MAX((Agenda!$E$5:$E$1204=A249)*(Agenda!$H$5:$H$1204="Realizado")*Agenda!$A$5:$A$1204))=0,"",SUMPRODUCT(MAX((Agenda!$E$5:$E$1204=A249)*(Agenda!$H$5:$H$1204="Realizado")*Agenda!$A$5:$A$1204))))</f>
        <v/>
      </c>
      <c r="I249" s="33">
        <f>IF(A249="","",IF(SUMPRODUCT(MIN(((Agenda!$E$5:$E$1204=A249)*((Agenda!$H$5:$H$1204="Agendado")+(Agenda!$H$5:$H$1204="Confirmado")))*Agenda!$A$5:$A$1204+(1-((Agenda!$E$5:$E$1204=A249)*((Agenda!$H$5:$H$1204="Agendado")+(Agenda!$H$5:$H$1204="Confirmado"))))*1E+10))&gt;=1E+10,"",SUMPRODUCT(MIN(((Agenda!$E$5:$E$1204=A249)*((Agenda!$H$5:$H$1204="Agendado")+(Agenda!$H$5:$H$1204="Confirmado")))*Agenda!$A$5:$A$1204+(1-((Agenda!$E$5:$E$1204=A249)*((Agenda!$H$5:$H$1204="Agendado")+(Agenda!$H$5:$H$1204="Confirmado"))))*1E+10))))</f>
        <v/>
      </c>
    </row>
    <row r="250">
      <c r="A250" s="36" t="n"/>
      <c r="B250" s="37" t="n"/>
      <c r="C250" s="37" t="n"/>
      <c r="D250" s="36" t="n"/>
      <c r="E250" s="36" t="n"/>
      <c r="F250" s="29">
        <f>IF(A250="","",COUNTIFS(Agenda!$E$5:$E$1204,A250,Agenda!$H$5:$H$1204,"Realizado"))</f>
        <v/>
      </c>
      <c r="G250" s="29">
        <f>IF(A250="","",COUNTIFS(Agenda!$E$5:$E$1204,A250,Agenda!$H$5:$H$1204,"Falta"))</f>
        <v/>
      </c>
      <c r="H250" s="33">
        <f>IF(A250="","",IF(SUMPRODUCT(MAX((Agenda!$E$5:$E$1204=A250)*(Agenda!$H$5:$H$1204="Realizado")*Agenda!$A$5:$A$1204))=0,"",SUMPRODUCT(MAX((Agenda!$E$5:$E$1204=A250)*(Agenda!$H$5:$H$1204="Realizado")*Agenda!$A$5:$A$1204))))</f>
        <v/>
      </c>
      <c r="I250" s="33">
        <f>IF(A250="","",IF(SUMPRODUCT(MIN(((Agenda!$E$5:$E$1204=A250)*((Agenda!$H$5:$H$1204="Agendado")+(Agenda!$H$5:$H$1204="Confirmado")))*Agenda!$A$5:$A$1204+(1-((Agenda!$E$5:$E$1204=A250)*((Agenda!$H$5:$H$1204="Agendado")+(Agenda!$H$5:$H$1204="Confirmado"))))*1E+10))&gt;=1E+10,"",SUMPRODUCT(MIN(((Agenda!$E$5:$E$1204=A250)*((Agenda!$H$5:$H$1204="Agendado")+(Agenda!$H$5:$H$1204="Confirmado")))*Agenda!$A$5:$A$1204+(1-((Agenda!$E$5:$E$1204=A250)*((Agenda!$H$5:$H$1204="Agendado")+(Agenda!$H$5:$H$1204="Confirmado"))))*1E+10))))</f>
        <v/>
      </c>
    </row>
    <row r="251">
      <c r="A251" s="36" t="n"/>
      <c r="B251" s="37" t="n"/>
      <c r="C251" s="37" t="n"/>
      <c r="D251" s="36" t="n"/>
      <c r="E251" s="36" t="n"/>
      <c r="F251" s="29">
        <f>IF(A251="","",COUNTIFS(Agenda!$E$5:$E$1204,A251,Agenda!$H$5:$H$1204,"Realizado"))</f>
        <v/>
      </c>
      <c r="G251" s="29">
        <f>IF(A251="","",COUNTIFS(Agenda!$E$5:$E$1204,A251,Agenda!$H$5:$H$1204,"Falta"))</f>
        <v/>
      </c>
      <c r="H251" s="33">
        <f>IF(A251="","",IF(SUMPRODUCT(MAX((Agenda!$E$5:$E$1204=A251)*(Agenda!$H$5:$H$1204="Realizado")*Agenda!$A$5:$A$1204))=0,"",SUMPRODUCT(MAX((Agenda!$E$5:$E$1204=A251)*(Agenda!$H$5:$H$1204="Realizado")*Agenda!$A$5:$A$1204))))</f>
        <v/>
      </c>
      <c r="I251" s="33">
        <f>IF(A251="","",IF(SUMPRODUCT(MIN(((Agenda!$E$5:$E$1204=A251)*((Agenda!$H$5:$H$1204="Agendado")+(Agenda!$H$5:$H$1204="Confirmado")))*Agenda!$A$5:$A$1204+(1-((Agenda!$E$5:$E$1204=A251)*((Agenda!$H$5:$H$1204="Agendado")+(Agenda!$H$5:$H$1204="Confirmado"))))*1E+10))&gt;=1E+10,"",SUMPRODUCT(MIN(((Agenda!$E$5:$E$1204=A251)*((Agenda!$H$5:$H$1204="Agendado")+(Agenda!$H$5:$H$1204="Confirmado")))*Agenda!$A$5:$A$1204+(1-((Agenda!$E$5:$E$1204=A251)*((Agenda!$H$5:$H$1204="Agendado")+(Agenda!$H$5:$H$1204="Confirmado"))))*1E+10))))</f>
        <v/>
      </c>
    </row>
    <row r="252">
      <c r="A252" s="36" t="n"/>
      <c r="B252" s="37" t="n"/>
      <c r="C252" s="37" t="n"/>
      <c r="D252" s="36" t="n"/>
      <c r="E252" s="36" t="n"/>
      <c r="F252" s="29">
        <f>IF(A252="","",COUNTIFS(Agenda!$E$5:$E$1204,A252,Agenda!$H$5:$H$1204,"Realizado"))</f>
        <v/>
      </c>
      <c r="G252" s="29">
        <f>IF(A252="","",COUNTIFS(Agenda!$E$5:$E$1204,A252,Agenda!$H$5:$H$1204,"Falta"))</f>
        <v/>
      </c>
      <c r="H252" s="33">
        <f>IF(A252="","",IF(SUMPRODUCT(MAX((Agenda!$E$5:$E$1204=A252)*(Agenda!$H$5:$H$1204="Realizado")*Agenda!$A$5:$A$1204))=0,"",SUMPRODUCT(MAX((Agenda!$E$5:$E$1204=A252)*(Agenda!$H$5:$H$1204="Realizado")*Agenda!$A$5:$A$1204))))</f>
        <v/>
      </c>
      <c r="I252" s="33">
        <f>IF(A252="","",IF(SUMPRODUCT(MIN(((Agenda!$E$5:$E$1204=A252)*((Agenda!$H$5:$H$1204="Agendado")+(Agenda!$H$5:$H$1204="Confirmado")))*Agenda!$A$5:$A$1204+(1-((Agenda!$E$5:$E$1204=A252)*((Agenda!$H$5:$H$1204="Agendado")+(Agenda!$H$5:$H$1204="Confirmado"))))*1E+10))&gt;=1E+10,"",SUMPRODUCT(MIN(((Agenda!$E$5:$E$1204=A252)*((Agenda!$H$5:$H$1204="Agendado")+(Agenda!$H$5:$H$1204="Confirmado")))*Agenda!$A$5:$A$1204+(1-((Agenda!$E$5:$E$1204=A252)*((Agenda!$H$5:$H$1204="Agendado")+(Agenda!$H$5:$H$1204="Confirmado"))))*1E+10))))</f>
        <v/>
      </c>
    </row>
    <row r="253">
      <c r="A253" s="36" t="n"/>
      <c r="B253" s="37" t="n"/>
      <c r="C253" s="37" t="n"/>
      <c r="D253" s="36" t="n"/>
      <c r="E253" s="36" t="n"/>
      <c r="F253" s="29">
        <f>IF(A253="","",COUNTIFS(Agenda!$E$5:$E$1204,A253,Agenda!$H$5:$H$1204,"Realizado"))</f>
        <v/>
      </c>
      <c r="G253" s="29">
        <f>IF(A253="","",COUNTIFS(Agenda!$E$5:$E$1204,A253,Agenda!$H$5:$H$1204,"Falta"))</f>
        <v/>
      </c>
      <c r="H253" s="33">
        <f>IF(A253="","",IF(SUMPRODUCT(MAX((Agenda!$E$5:$E$1204=A253)*(Agenda!$H$5:$H$1204="Realizado")*Agenda!$A$5:$A$1204))=0,"",SUMPRODUCT(MAX((Agenda!$E$5:$E$1204=A253)*(Agenda!$H$5:$H$1204="Realizado")*Agenda!$A$5:$A$1204))))</f>
        <v/>
      </c>
      <c r="I253" s="33">
        <f>IF(A253="","",IF(SUMPRODUCT(MIN(((Agenda!$E$5:$E$1204=A253)*((Agenda!$H$5:$H$1204="Agendado")+(Agenda!$H$5:$H$1204="Confirmado")))*Agenda!$A$5:$A$1204+(1-((Agenda!$E$5:$E$1204=A253)*((Agenda!$H$5:$H$1204="Agendado")+(Agenda!$H$5:$H$1204="Confirmado"))))*1E+10))&gt;=1E+10,"",SUMPRODUCT(MIN(((Agenda!$E$5:$E$1204=A253)*((Agenda!$H$5:$H$1204="Agendado")+(Agenda!$H$5:$H$1204="Confirmado")))*Agenda!$A$5:$A$1204+(1-((Agenda!$E$5:$E$1204=A253)*((Agenda!$H$5:$H$1204="Agendado")+(Agenda!$H$5:$H$1204="Confirmado"))))*1E+10))))</f>
        <v/>
      </c>
    </row>
    <row r="254">
      <c r="A254" s="36" t="n"/>
      <c r="B254" s="37" t="n"/>
      <c r="C254" s="37" t="n"/>
      <c r="D254" s="36" t="n"/>
      <c r="E254" s="36" t="n"/>
      <c r="F254" s="29">
        <f>IF(A254="","",COUNTIFS(Agenda!$E$5:$E$1204,A254,Agenda!$H$5:$H$1204,"Realizado"))</f>
        <v/>
      </c>
      <c r="G254" s="29">
        <f>IF(A254="","",COUNTIFS(Agenda!$E$5:$E$1204,A254,Agenda!$H$5:$H$1204,"Falta"))</f>
        <v/>
      </c>
      <c r="H254" s="33">
        <f>IF(A254="","",IF(SUMPRODUCT(MAX((Agenda!$E$5:$E$1204=A254)*(Agenda!$H$5:$H$1204="Realizado")*Agenda!$A$5:$A$1204))=0,"",SUMPRODUCT(MAX((Agenda!$E$5:$E$1204=A254)*(Agenda!$H$5:$H$1204="Realizado")*Agenda!$A$5:$A$1204))))</f>
        <v/>
      </c>
      <c r="I254" s="33">
        <f>IF(A254="","",IF(SUMPRODUCT(MIN(((Agenda!$E$5:$E$1204=A254)*((Agenda!$H$5:$H$1204="Agendado")+(Agenda!$H$5:$H$1204="Confirmado")))*Agenda!$A$5:$A$1204+(1-((Agenda!$E$5:$E$1204=A254)*((Agenda!$H$5:$H$1204="Agendado")+(Agenda!$H$5:$H$1204="Confirmado"))))*1E+10))&gt;=1E+10,"",SUMPRODUCT(MIN(((Agenda!$E$5:$E$1204=A254)*((Agenda!$H$5:$H$1204="Agendado")+(Agenda!$H$5:$H$1204="Confirmado")))*Agenda!$A$5:$A$1204+(1-((Agenda!$E$5:$E$1204=A254)*((Agenda!$H$5:$H$1204="Agendado")+(Agenda!$H$5:$H$1204="Confirmado"))))*1E+10))))</f>
        <v/>
      </c>
    </row>
    <row r="255">
      <c r="A255" s="36" t="n"/>
      <c r="B255" s="37" t="n"/>
      <c r="C255" s="37" t="n"/>
      <c r="D255" s="36" t="n"/>
      <c r="E255" s="36" t="n"/>
      <c r="F255" s="29">
        <f>IF(A255="","",COUNTIFS(Agenda!$E$5:$E$1204,A255,Agenda!$H$5:$H$1204,"Realizado"))</f>
        <v/>
      </c>
      <c r="G255" s="29">
        <f>IF(A255="","",COUNTIFS(Agenda!$E$5:$E$1204,A255,Agenda!$H$5:$H$1204,"Falta"))</f>
        <v/>
      </c>
      <c r="H255" s="33">
        <f>IF(A255="","",IF(SUMPRODUCT(MAX((Agenda!$E$5:$E$1204=A255)*(Agenda!$H$5:$H$1204="Realizado")*Agenda!$A$5:$A$1204))=0,"",SUMPRODUCT(MAX((Agenda!$E$5:$E$1204=A255)*(Agenda!$H$5:$H$1204="Realizado")*Agenda!$A$5:$A$1204))))</f>
        <v/>
      </c>
      <c r="I255" s="33">
        <f>IF(A255="","",IF(SUMPRODUCT(MIN(((Agenda!$E$5:$E$1204=A255)*((Agenda!$H$5:$H$1204="Agendado")+(Agenda!$H$5:$H$1204="Confirmado")))*Agenda!$A$5:$A$1204+(1-((Agenda!$E$5:$E$1204=A255)*((Agenda!$H$5:$H$1204="Agendado")+(Agenda!$H$5:$H$1204="Confirmado"))))*1E+10))&gt;=1E+10,"",SUMPRODUCT(MIN(((Agenda!$E$5:$E$1204=A255)*((Agenda!$H$5:$H$1204="Agendado")+(Agenda!$H$5:$H$1204="Confirmado")))*Agenda!$A$5:$A$1204+(1-((Agenda!$E$5:$E$1204=A255)*((Agenda!$H$5:$H$1204="Agendado")+(Agenda!$H$5:$H$1204="Confirmado"))))*1E+10))))</f>
        <v/>
      </c>
    </row>
    <row r="256">
      <c r="A256" s="36" t="n"/>
      <c r="B256" s="37" t="n"/>
      <c r="C256" s="37" t="n"/>
      <c r="D256" s="36" t="n"/>
      <c r="E256" s="36" t="n"/>
      <c r="F256" s="29">
        <f>IF(A256="","",COUNTIFS(Agenda!$E$5:$E$1204,A256,Agenda!$H$5:$H$1204,"Realizado"))</f>
        <v/>
      </c>
      <c r="G256" s="29">
        <f>IF(A256="","",COUNTIFS(Agenda!$E$5:$E$1204,A256,Agenda!$H$5:$H$1204,"Falta"))</f>
        <v/>
      </c>
      <c r="H256" s="33">
        <f>IF(A256="","",IF(SUMPRODUCT(MAX((Agenda!$E$5:$E$1204=A256)*(Agenda!$H$5:$H$1204="Realizado")*Agenda!$A$5:$A$1204))=0,"",SUMPRODUCT(MAX((Agenda!$E$5:$E$1204=A256)*(Agenda!$H$5:$H$1204="Realizado")*Agenda!$A$5:$A$1204))))</f>
        <v/>
      </c>
      <c r="I256" s="33">
        <f>IF(A256="","",IF(SUMPRODUCT(MIN(((Agenda!$E$5:$E$1204=A256)*((Agenda!$H$5:$H$1204="Agendado")+(Agenda!$H$5:$H$1204="Confirmado")))*Agenda!$A$5:$A$1204+(1-((Agenda!$E$5:$E$1204=A256)*((Agenda!$H$5:$H$1204="Agendado")+(Agenda!$H$5:$H$1204="Confirmado"))))*1E+10))&gt;=1E+10,"",SUMPRODUCT(MIN(((Agenda!$E$5:$E$1204=A256)*((Agenda!$H$5:$H$1204="Agendado")+(Agenda!$H$5:$H$1204="Confirmado")))*Agenda!$A$5:$A$1204+(1-((Agenda!$E$5:$E$1204=A256)*((Agenda!$H$5:$H$1204="Agendado")+(Agenda!$H$5:$H$1204="Confirmado"))))*1E+10))))</f>
        <v/>
      </c>
    </row>
    <row r="257">
      <c r="A257" s="36" t="n"/>
      <c r="B257" s="37" t="n"/>
      <c r="C257" s="37" t="n"/>
      <c r="D257" s="36" t="n"/>
      <c r="E257" s="36" t="n"/>
      <c r="F257" s="29">
        <f>IF(A257="","",COUNTIFS(Agenda!$E$5:$E$1204,A257,Agenda!$H$5:$H$1204,"Realizado"))</f>
        <v/>
      </c>
      <c r="G257" s="29">
        <f>IF(A257="","",COUNTIFS(Agenda!$E$5:$E$1204,A257,Agenda!$H$5:$H$1204,"Falta"))</f>
        <v/>
      </c>
      <c r="H257" s="33">
        <f>IF(A257="","",IF(SUMPRODUCT(MAX((Agenda!$E$5:$E$1204=A257)*(Agenda!$H$5:$H$1204="Realizado")*Agenda!$A$5:$A$1204))=0,"",SUMPRODUCT(MAX((Agenda!$E$5:$E$1204=A257)*(Agenda!$H$5:$H$1204="Realizado")*Agenda!$A$5:$A$1204))))</f>
        <v/>
      </c>
      <c r="I257" s="33">
        <f>IF(A257="","",IF(SUMPRODUCT(MIN(((Agenda!$E$5:$E$1204=A257)*((Agenda!$H$5:$H$1204="Agendado")+(Agenda!$H$5:$H$1204="Confirmado")))*Agenda!$A$5:$A$1204+(1-((Agenda!$E$5:$E$1204=A257)*((Agenda!$H$5:$H$1204="Agendado")+(Agenda!$H$5:$H$1204="Confirmado"))))*1E+10))&gt;=1E+10,"",SUMPRODUCT(MIN(((Agenda!$E$5:$E$1204=A257)*((Agenda!$H$5:$H$1204="Agendado")+(Agenda!$H$5:$H$1204="Confirmado")))*Agenda!$A$5:$A$1204+(1-((Agenda!$E$5:$E$1204=A257)*((Agenda!$H$5:$H$1204="Agendado")+(Agenda!$H$5:$H$1204="Confirmado"))))*1E+10))))</f>
        <v/>
      </c>
    </row>
    <row r="258">
      <c r="A258" s="36" t="n"/>
      <c r="B258" s="37" t="n"/>
      <c r="C258" s="37" t="n"/>
      <c r="D258" s="36" t="n"/>
      <c r="E258" s="36" t="n"/>
      <c r="F258" s="29">
        <f>IF(A258="","",COUNTIFS(Agenda!$E$5:$E$1204,A258,Agenda!$H$5:$H$1204,"Realizado"))</f>
        <v/>
      </c>
      <c r="G258" s="29">
        <f>IF(A258="","",COUNTIFS(Agenda!$E$5:$E$1204,A258,Agenda!$H$5:$H$1204,"Falta"))</f>
        <v/>
      </c>
      <c r="H258" s="33">
        <f>IF(A258="","",IF(SUMPRODUCT(MAX((Agenda!$E$5:$E$1204=A258)*(Agenda!$H$5:$H$1204="Realizado")*Agenda!$A$5:$A$1204))=0,"",SUMPRODUCT(MAX((Agenda!$E$5:$E$1204=A258)*(Agenda!$H$5:$H$1204="Realizado")*Agenda!$A$5:$A$1204))))</f>
        <v/>
      </c>
      <c r="I258" s="33">
        <f>IF(A258="","",IF(SUMPRODUCT(MIN(((Agenda!$E$5:$E$1204=A258)*((Agenda!$H$5:$H$1204="Agendado")+(Agenda!$H$5:$H$1204="Confirmado")))*Agenda!$A$5:$A$1204+(1-((Agenda!$E$5:$E$1204=A258)*((Agenda!$H$5:$H$1204="Agendado")+(Agenda!$H$5:$H$1204="Confirmado"))))*1E+10))&gt;=1E+10,"",SUMPRODUCT(MIN(((Agenda!$E$5:$E$1204=A258)*((Agenda!$H$5:$H$1204="Agendado")+(Agenda!$H$5:$H$1204="Confirmado")))*Agenda!$A$5:$A$1204+(1-((Agenda!$E$5:$E$1204=A258)*((Agenda!$H$5:$H$1204="Agendado")+(Agenda!$H$5:$H$1204="Confirmado"))))*1E+10))))</f>
        <v/>
      </c>
    </row>
    <row r="259">
      <c r="A259" s="36" t="n"/>
      <c r="B259" s="37" t="n"/>
      <c r="C259" s="37" t="n"/>
      <c r="D259" s="36" t="n"/>
      <c r="E259" s="36" t="n"/>
      <c r="F259" s="29">
        <f>IF(A259="","",COUNTIFS(Agenda!$E$5:$E$1204,A259,Agenda!$H$5:$H$1204,"Realizado"))</f>
        <v/>
      </c>
      <c r="G259" s="29">
        <f>IF(A259="","",COUNTIFS(Agenda!$E$5:$E$1204,A259,Agenda!$H$5:$H$1204,"Falta"))</f>
        <v/>
      </c>
      <c r="H259" s="33">
        <f>IF(A259="","",IF(SUMPRODUCT(MAX((Agenda!$E$5:$E$1204=A259)*(Agenda!$H$5:$H$1204="Realizado")*Agenda!$A$5:$A$1204))=0,"",SUMPRODUCT(MAX((Agenda!$E$5:$E$1204=A259)*(Agenda!$H$5:$H$1204="Realizado")*Agenda!$A$5:$A$1204))))</f>
        <v/>
      </c>
      <c r="I259" s="33">
        <f>IF(A259="","",IF(SUMPRODUCT(MIN(((Agenda!$E$5:$E$1204=A259)*((Agenda!$H$5:$H$1204="Agendado")+(Agenda!$H$5:$H$1204="Confirmado")))*Agenda!$A$5:$A$1204+(1-((Agenda!$E$5:$E$1204=A259)*((Agenda!$H$5:$H$1204="Agendado")+(Agenda!$H$5:$H$1204="Confirmado"))))*1E+10))&gt;=1E+10,"",SUMPRODUCT(MIN(((Agenda!$E$5:$E$1204=A259)*((Agenda!$H$5:$H$1204="Agendado")+(Agenda!$H$5:$H$1204="Confirmado")))*Agenda!$A$5:$A$1204+(1-((Agenda!$E$5:$E$1204=A259)*((Agenda!$H$5:$H$1204="Agendado")+(Agenda!$H$5:$H$1204="Confirmado"))))*1E+10))))</f>
        <v/>
      </c>
    </row>
    <row r="260">
      <c r="A260" s="36" t="n"/>
      <c r="B260" s="37" t="n"/>
      <c r="C260" s="37" t="n"/>
      <c r="D260" s="36" t="n"/>
      <c r="E260" s="36" t="n"/>
      <c r="F260" s="29">
        <f>IF(A260="","",COUNTIFS(Agenda!$E$5:$E$1204,A260,Agenda!$H$5:$H$1204,"Realizado"))</f>
        <v/>
      </c>
      <c r="G260" s="29">
        <f>IF(A260="","",COUNTIFS(Agenda!$E$5:$E$1204,A260,Agenda!$H$5:$H$1204,"Falta"))</f>
        <v/>
      </c>
      <c r="H260" s="33">
        <f>IF(A260="","",IF(SUMPRODUCT(MAX((Agenda!$E$5:$E$1204=A260)*(Agenda!$H$5:$H$1204="Realizado")*Agenda!$A$5:$A$1204))=0,"",SUMPRODUCT(MAX((Agenda!$E$5:$E$1204=A260)*(Agenda!$H$5:$H$1204="Realizado")*Agenda!$A$5:$A$1204))))</f>
        <v/>
      </c>
      <c r="I260" s="33">
        <f>IF(A260="","",IF(SUMPRODUCT(MIN(((Agenda!$E$5:$E$1204=A260)*((Agenda!$H$5:$H$1204="Agendado")+(Agenda!$H$5:$H$1204="Confirmado")))*Agenda!$A$5:$A$1204+(1-((Agenda!$E$5:$E$1204=A260)*((Agenda!$H$5:$H$1204="Agendado")+(Agenda!$H$5:$H$1204="Confirmado"))))*1E+10))&gt;=1E+10,"",SUMPRODUCT(MIN(((Agenda!$E$5:$E$1204=A260)*((Agenda!$H$5:$H$1204="Agendado")+(Agenda!$H$5:$H$1204="Confirmado")))*Agenda!$A$5:$A$1204+(1-((Agenda!$E$5:$E$1204=A260)*((Agenda!$H$5:$H$1204="Agendado")+(Agenda!$H$5:$H$1204="Confirmado"))))*1E+10))))</f>
        <v/>
      </c>
    </row>
    <row r="261">
      <c r="A261" s="36" t="n"/>
      <c r="B261" s="37" t="n"/>
      <c r="C261" s="37" t="n"/>
      <c r="D261" s="36" t="n"/>
      <c r="E261" s="36" t="n"/>
      <c r="F261" s="29">
        <f>IF(A261="","",COUNTIFS(Agenda!$E$5:$E$1204,A261,Agenda!$H$5:$H$1204,"Realizado"))</f>
        <v/>
      </c>
      <c r="G261" s="29">
        <f>IF(A261="","",COUNTIFS(Agenda!$E$5:$E$1204,A261,Agenda!$H$5:$H$1204,"Falta"))</f>
        <v/>
      </c>
      <c r="H261" s="33">
        <f>IF(A261="","",IF(SUMPRODUCT(MAX((Agenda!$E$5:$E$1204=A261)*(Agenda!$H$5:$H$1204="Realizado")*Agenda!$A$5:$A$1204))=0,"",SUMPRODUCT(MAX((Agenda!$E$5:$E$1204=A261)*(Agenda!$H$5:$H$1204="Realizado")*Agenda!$A$5:$A$1204))))</f>
        <v/>
      </c>
      <c r="I261" s="33">
        <f>IF(A261="","",IF(SUMPRODUCT(MIN(((Agenda!$E$5:$E$1204=A261)*((Agenda!$H$5:$H$1204="Agendado")+(Agenda!$H$5:$H$1204="Confirmado")))*Agenda!$A$5:$A$1204+(1-((Agenda!$E$5:$E$1204=A261)*((Agenda!$H$5:$H$1204="Agendado")+(Agenda!$H$5:$H$1204="Confirmado"))))*1E+10))&gt;=1E+10,"",SUMPRODUCT(MIN(((Agenda!$E$5:$E$1204=A261)*((Agenda!$H$5:$H$1204="Agendado")+(Agenda!$H$5:$H$1204="Confirmado")))*Agenda!$A$5:$A$1204+(1-((Agenda!$E$5:$E$1204=A261)*((Agenda!$H$5:$H$1204="Agendado")+(Agenda!$H$5:$H$1204="Confirmado"))))*1E+10))))</f>
        <v/>
      </c>
    </row>
    <row r="262">
      <c r="A262" s="36" t="n"/>
      <c r="B262" s="37" t="n"/>
      <c r="C262" s="37" t="n"/>
      <c r="D262" s="36" t="n"/>
      <c r="E262" s="36" t="n"/>
      <c r="F262" s="29">
        <f>IF(A262="","",COUNTIFS(Agenda!$E$5:$E$1204,A262,Agenda!$H$5:$H$1204,"Realizado"))</f>
        <v/>
      </c>
      <c r="G262" s="29">
        <f>IF(A262="","",COUNTIFS(Agenda!$E$5:$E$1204,A262,Agenda!$H$5:$H$1204,"Falta"))</f>
        <v/>
      </c>
      <c r="H262" s="33">
        <f>IF(A262="","",IF(SUMPRODUCT(MAX((Agenda!$E$5:$E$1204=A262)*(Agenda!$H$5:$H$1204="Realizado")*Agenda!$A$5:$A$1204))=0,"",SUMPRODUCT(MAX((Agenda!$E$5:$E$1204=A262)*(Agenda!$H$5:$H$1204="Realizado")*Agenda!$A$5:$A$1204))))</f>
        <v/>
      </c>
      <c r="I262" s="33">
        <f>IF(A262="","",IF(SUMPRODUCT(MIN(((Agenda!$E$5:$E$1204=A262)*((Agenda!$H$5:$H$1204="Agendado")+(Agenda!$H$5:$H$1204="Confirmado")))*Agenda!$A$5:$A$1204+(1-((Agenda!$E$5:$E$1204=A262)*((Agenda!$H$5:$H$1204="Agendado")+(Agenda!$H$5:$H$1204="Confirmado"))))*1E+10))&gt;=1E+10,"",SUMPRODUCT(MIN(((Agenda!$E$5:$E$1204=A262)*((Agenda!$H$5:$H$1204="Agendado")+(Agenda!$H$5:$H$1204="Confirmado")))*Agenda!$A$5:$A$1204+(1-((Agenda!$E$5:$E$1204=A262)*((Agenda!$H$5:$H$1204="Agendado")+(Agenda!$H$5:$H$1204="Confirmado"))))*1E+10))))</f>
        <v/>
      </c>
    </row>
    <row r="263">
      <c r="A263" s="36" t="n"/>
      <c r="B263" s="37" t="n"/>
      <c r="C263" s="37" t="n"/>
      <c r="D263" s="36" t="n"/>
      <c r="E263" s="36" t="n"/>
      <c r="F263" s="29">
        <f>IF(A263="","",COUNTIFS(Agenda!$E$5:$E$1204,A263,Agenda!$H$5:$H$1204,"Realizado"))</f>
        <v/>
      </c>
      <c r="G263" s="29">
        <f>IF(A263="","",COUNTIFS(Agenda!$E$5:$E$1204,A263,Agenda!$H$5:$H$1204,"Falta"))</f>
        <v/>
      </c>
      <c r="H263" s="33">
        <f>IF(A263="","",IF(SUMPRODUCT(MAX((Agenda!$E$5:$E$1204=A263)*(Agenda!$H$5:$H$1204="Realizado")*Agenda!$A$5:$A$1204))=0,"",SUMPRODUCT(MAX((Agenda!$E$5:$E$1204=A263)*(Agenda!$H$5:$H$1204="Realizado")*Agenda!$A$5:$A$1204))))</f>
        <v/>
      </c>
      <c r="I263" s="33">
        <f>IF(A263="","",IF(SUMPRODUCT(MIN(((Agenda!$E$5:$E$1204=A263)*((Agenda!$H$5:$H$1204="Agendado")+(Agenda!$H$5:$H$1204="Confirmado")))*Agenda!$A$5:$A$1204+(1-((Agenda!$E$5:$E$1204=A263)*((Agenda!$H$5:$H$1204="Agendado")+(Agenda!$H$5:$H$1204="Confirmado"))))*1E+10))&gt;=1E+10,"",SUMPRODUCT(MIN(((Agenda!$E$5:$E$1204=A263)*((Agenda!$H$5:$H$1204="Agendado")+(Agenda!$H$5:$H$1204="Confirmado")))*Agenda!$A$5:$A$1204+(1-((Agenda!$E$5:$E$1204=A263)*((Agenda!$H$5:$H$1204="Agendado")+(Agenda!$H$5:$H$1204="Confirmado"))))*1E+10))))</f>
        <v/>
      </c>
    </row>
    <row r="264">
      <c r="A264" s="36" t="n"/>
      <c r="B264" s="37" t="n"/>
      <c r="C264" s="37" t="n"/>
      <c r="D264" s="36" t="n"/>
      <c r="E264" s="36" t="n"/>
      <c r="F264" s="29">
        <f>IF(A264="","",COUNTIFS(Agenda!$E$5:$E$1204,A264,Agenda!$H$5:$H$1204,"Realizado"))</f>
        <v/>
      </c>
      <c r="G264" s="29">
        <f>IF(A264="","",COUNTIFS(Agenda!$E$5:$E$1204,A264,Agenda!$H$5:$H$1204,"Falta"))</f>
        <v/>
      </c>
      <c r="H264" s="33">
        <f>IF(A264="","",IF(SUMPRODUCT(MAX((Agenda!$E$5:$E$1204=A264)*(Agenda!$H$5:$H$1204="Realizado")*Agenda!$A$5:$A$1204))=0,"",SUMPRODUCT(MAX((Agenda!$E$5:$E$1204=A264)*(Agenda!$H$5:$H$1204="Realizado")*Agenda!$A$5:$A$1204))))</f>
        <v/>
      </c>
      <c r="I264" s="33">
        <f>IF(A264="","",IF(SUMPRODUCT(MIN(((Agenda!$E$5:$E$1204=A264)*((Agenda!$H$5:$H$1204="Agendado")+(Agenda!$H$5:$H$1204="Confirmado")))*Agenda!$A$5:$A$1204+(1-((Agenda!$E$5:$E$1204=A264)*((Agenda!$H$5:$H$1204="Agendado")+(Agenda!$H$5:$H$1204="Confirmado"))))*1E+10))&gt;=1E+10,"",SUMPRODUCT(MIN(((Agenda!$E$5:$E$1204=A264)*((Agenda!$H$5:$H$1204="Agendado")+(Agenda!$H$5:$H$1204="Confirmado")))*Agenda!$A$5:$A$1204+(1-((Agenda!$E$5:$E$1204=A264)*((Agenda!$H$5:$H$1204="Agendado")+(Agenda!$H$5:$H$1204="Confirmado"))))*1E+10))))</f>
        <v/>
      </c>
    </row>
    <row r="265">
      <c r="A265" s="36" t="n"/>
      <c r="B265" s="37" t="n"/>
      <c r="C265" s="37" t="n"/>
      <c r="D265" s="36" t="n"/>
      <c r="E265" s="36" t="n"/>
      <c r="F265" s="29">
        <f>IF(A265="","",COUNTIFS(Agenda!$E$5:$E$1204,A265,Agenda!$H$5:$H$1204,"Realizado"))</f>
        <v/>
      </c>
      <c r="G265" s="29">
        <f>IF(A265="","",COUNTIFS(Agenda!$E$5:$E$1204,A265,Agenda!$H$5:$H$1204,"Falta"))</f>
        <v/>
      </c>
      <c r="H265" s="33">
        <f>IF(A265="","",IF(SUMPRODUCT(MAX((Agenda!$E$5:$E$1204=A265)*(Agenda!$H$5:$H$1204="Realizado")*Agenda!$A$5:$A$1204))=0,"",SUMPRODUCT(MAX((Agenda!$E$5:$E$1204=A265)*(Agenda!$H$5:$H$1204="Realizado")*Agenda!$A$5:$A$1204))))</f>
        <v/>
      </c>
      <c r="I265" s="33">
        <f>IF(A265="","",IF(SUMPRODUCT(MIN(((Agenda!$E$5:$E$1204=A265)*((Agenda!$H$5:$H$1204="Agendado")+(Agenda!$H$5:$H$1204="Confirmado")))*Agenda!$A$5:$A$1204+(1-((Agenda!$E$5:$E$1204=A265)*((Agenda!$H$5:$H$1204="Agendado")+(Agenda!$H$5:$H$1204="Confirmado"))))*1E+10))&gt;=1E+10,"",SUMPRODUCT(MIN(((Agenda!$E$5:$E$1204=A265)*((Agenda!$H$5:$H$1204="Agendado")+(Agenda!$H$5:$H$1204="Confirmado")))*Agenda!$A$5:$A$1204+(1-((Agenda!$E$5:$E$1204=A265)*((Agenda!$H$5:$H$1204="Agendado")+(Agenda!$H$5:$H$1204="Confirmado"))))*1E+10))))</f>
        <v/>
      </c>
    </row>
    <row r="266">
      <c r="A266" s="36" t="n"/>
      <c r="B266" s="37" t="n"/>
      <c r="C266" s="37" t="n"/>
      <c r="D266" s="36" t="n"/>
      <c r="E266" s="36" t="n"/>
      <c r="F266" s="29">
        <f>IF(A266="","",COUNTIFS(Agenda!$E$5:$E$1204,A266,Agenda!$H$5:$H$1204,"Realizado"))</f>
        <v/>
      </c>
      <c r="G266" s="29">
        <f>IF(A266="","",COUNTIFS(Agenda!$E$5:$E$1204,A266,Agenda!$H$5:$H$1204,"Falta"))</f>
        <v/>
      </c>
      <c r="H266" s="33">
        <f>IF(A266="","",IF(SUMPRODUCT(MAX((Agenda!$E$5:$E$1204=A266)*(Agenda!$H$5:$H$1204="Realizado")*Agenda!$A$5:$A$1204))=0,"",SUMPRODUCT(MAX((Agenda!$E$5:$E$1204=A266)*(Agenda!$H$5:$H$1204="Realizado")*Agenda!$A$5:$A$1204))))</f>
        <v/>
      </c>
      <c r="I266" s="33">
        <f>IF(A266="","",IF(SUMPRODUCT(MIN(((Agenda!$E$5:$E$1204=A266)*((Agenda!$H$5:$H$1204="Agendado")+(Agenda!$H$5:$H$1204="Confirmado")))*Agenda!$A$5:$A$1204+(1-((Agenda!$E$5:$E$1204=A266)*((Agenda!$H$5:$H$1204="Agendado")+(Agenda!$H$5:$H$1204="Confirmado"))))*1E+10))&gt;=1E+10,"",SUMPRODUCT(MIN(((Agenda!$E$5:$E$1204=A266)*((Agenda!$H$5:$H$1204="Agendado")+(Agenda!$H$5:$H$1204="Confirmado")))*Agenda!$A$5:$A$1204+(1-((Agenda!$E$5:$E$1204=A266)*((Agenda!$H$5:$H$1204="Agendado")+(Agenda!$H$5:$H$1204="Confirmado"))))*1E+10))))</f>
        <v/>
      </c>
    </row>
    <row r="267">
      <c r="A267" s="36" t="n"/>
      <c r="B267" s="37" t="n"/>
      <c r="C267" s="37" t="n"/>
      <c r="D267" s="36" t="n"/>
      <c r="E267" s="36" t="n"/>
      <c r="F267" s="29">
        <f>IF(A267="","",COUNTIFS(Agenda!$E$5:$E$1204,A267,Agenda!$H$5:$H$1204,"Realizado"))</f>
        <v/>
      </c>
      <c r="G267" s="29">
        <f>IF(A267="","",COUNTIFS(Agenda!$E$5:$E$1204,A267,Agenda!$H$5:$H$1204,"Falta"))</f>
        <v/>
      </c>
      <c r="H267" s="33">
        <f>IF(A267="","",IF(SUMPRODUCT(MAX((Agenda!$E$5:$E$1204=A267)*(Agenda!$H$5:$H$1204="Realizado")*Agenda!$A$5:$A$1204))=0,"",SUMPRODUCT(MAX((Agenda!$E$5:$E$1204=A267)*(Agenda!$H$5:$H$1204="Realizado")*Agenda!$A$5:$A$1204))))</f>
        <v/>
      </c>
      <c r="I267" s="33">
        <f>IF(A267="","",IF(SUMPRODUCT(MIN(((Agenda!$E$5:$E$1204=A267)*((Agenda!$H$5:$H$1204="Agendado")+(Agenda!$H$5:$H$1204="Confirmado")))*Agenda!$A$5:$A$1204+(1-((Agenda!$E$5:$E$1204=A267)*((Agenda!$H$5:$H$1204="Agendado")+(Agenda!$H$5:$H$1204="Confirmado"))))*1E+10))&gt;=1E+10,"",SUMPRODUCT(MIN(((Agenda!$E$5:$E$1204=A267)*((Agenda!$H$5:$H$1204="Agendado")+(Agenda!$H$5:$H$1204="Confirmado")))*Agenda!$A$5:$A$1204+(1-((Agenda!$E$5:$E$1204=A267)*((Agenda!$H$5:$H$1204="Agendado")+(Agenda!$H$5:$H$1204="Confirmado"))))*1E+10))))</f>
        <v/>
      </c>
    </row>
    <row r="268">
      <c r="A268" s="36" t="n"/>
      <c r="B268" s="37" t="n"/>
      <c r="C268" s="37" t="n"/>
      <c r="D268" s="36" t="n"/>
      <c r="E268" s="36" t="n"/>
      <c r="F268" s="29">
        <f>IF(A268="","",COUNTIFS(Agenda!$E$5:$E$1204,A268,Agenda!$H$5:$H$1204,"Realizado"))</f>
        <v/>
      </c>
      <c r="G268" s="29">
        <f>IF(A268="","",COUNTIFS(Agenda!$E$5:$E$1204,A268,Agenda!$H$5:$H$1204,"Falta"))</f>
        <v/>
      </c>
      <c r="H268" s="33">
        <f>IF(A268="","",IF(SUMPRODUCT(MAX((Agenda!$E$5:$E$1204=A268)*(Agenda!$H$5:$H$1204="Realizado")*Agenda!$A$5:$A$1204))=0,"",SUMPRODUCT(MAX((Agenda!$E$5:$E$1204=A268)*(Agenda!$H$5:$H$1204="Realizado")*Agenda!$A$5:$A$1204))))</f>
        <v/>
      </c>
      <c r="I268" s="33">
        <f>IF(A268="","",IF(SUMPRODUCT(MIN(((Agenda!$E$5:$E$1204=A268)*((Agenda!$H$5:$H$1204="Agendado")+(Agenda!$H$5:$H$1204="Confirmado")))*Agenda!$A$5:$A$1204+(1-((Agenda!$E$5:$E$1204=A268)*((Agenda!$H$5:$H$1204="Agendado")+(Agenda!$H$5:$H$1204="Confirmado"))))*1E+10))&gt;=1E+10,"",SUMPRODUCT(MIN(((Agenda!$E$5:$E$1204=A268)*((Agenda!$H$5:$H$1204="Agendado")+(Agenda!$H$5:$H$1204="Confirmado")))*Agenda!$A$5:$A$1204+(1-((Agenda!$E$5:$E$1204=A268)*((Agenda!$H$5:$H$1204="Agendado")+(Agenda!$H$5:$H$1204="Confirmado"))))*1E+10))))</f>
        <v/>
      </c>
    </row>
    <row r="269">
      <c r="A269" s="36" t="n"/>
      <c r="B269" s="37" t="n"/>
      <c r="C269" s="37" t="n"/>
      <c r="D269" s="36" t="n"/>
      <c r="E269" s="36" t="n"/>
      <c r="F269" s="29">
        <f>IF(A269="","",COUNTIFS(Agenda!$E$5:$E$1204,A269,Agenda!$H$5:$H$1204,"Realizado"))</f>
        <v/>
      </c>
      <c r="G269" s="29">
        <f>IF(A269="","",COUNTIFS(Agenda!$E$5:$E$1204,A269,Agenda!$H$5:$H$1204,"Falta"))</f>
        <v/>
      </c>
      <c r="H269" s="33">
        <f>IF(A269="","",IF(SUMPRODUCT(MAX((Agenda!$E$5:$E$1204=A269)*(Agenda!$H$5:$H$1204="Realizado")*Agenda!$A$5:$A$1204))=0,"",SUMPRODUCT(MAX((Agenda!$E$5:$E$1204=A269)*(Agenda!$H$5:$H$1204="Realizado")*Agenda!$A$5:$A$1204))))</f>
        <v/>
      </c>
      <c r="I269" s="33">
        <f>IF(A269="","",IF(SUMPRODUCT(MIN(((Agenda!$E$5:$E$1204=A269)*((Agenda!$H$5:$H$1204="Agendado")+(Agenda!$H$5:$H$1204="Confirmado")))*Agenda!$A$5:$A$1204+(1-((Agenda!$E$5:$E$1204=A269)*((Agenda!$H$5:$H$1204="Agendado")+(Agenda!$H$5:$H$1204="Confirmado"))))*1E+10))&gt;=1E+10,"",SUMPRODUCT(MIN(((Agenda!$E$5:$E$1204=A269)*((Agenda!$H$5:$H$1204="Agendado")+(Agenda!$H$5:$H$1204="Confirmado")))*Agenda!$A$5:$A$1204+(1-((Agenda!$E$5:$E$1204=A269)*((Agenda!$H$5:$H$1204="Agendado")+(Agenda!$H$5:$H$1204="Confirmado"))))*1E+10))))</f>
        <v/>
      </c>
    </row>
    <row r="270">
      <c r="A270" s="36" t="n"/>
      <c r="B270" s="37" t="n"/>
      <c r="C270" s="37" t="n"/>
      <c r="D270" s="36" t="n"/>
      <c r="E270" s="36" t="n"/>
      <c r="F270" s="29">
        <f>IF(A270="","",COUNTIFS(Agenda!$E$5:$E$1204,A270,Agenda!$H$5:$H$1204,"Realizado"))</f>
        <v/>
      </c>
      <c r="G270" s="29">
        <f>IF(A270="","",COUNTIFS(Agenda!$E$5:$E$1204,A270,Agenda!$H$5:$H$1204,"Falta"))</f>
        <v/>
      </c>
      <c r="H270" s="33">
        <f>IF(A270="","",IF(SUMPRODUCT(MAX((Agenda!$E$5:$E$1204=A270)*(Agenda!$H$5:$H$1204="Realizado")*Agenda!$A$5:$A$1204))=0,"",SUMPRODUCT(MAX((Agenda!$E$5:$E$1204=A270)*(Agenda!$H$5:$H$1204="Realizado")*Agenda!$A$5:$A$1204))))</f>
        <v/>
      </c>
      <c r="I270" s="33">
        <f>IF(A270="","",IF(SUMPRODUCT(MIN(((Agenda!$E$5:$E$1204=A270)*((Agenda!$H$5:$H$1204="Agendado")+(Agenda!$H$5:$H$1204="Confirmado")))*Agenda!$A$5:$A$1204+(1-((Agenda!$E$5:$E$1204=A270)*((Agenda!$H$5:$H$1204="Agendado")+(Agenda!$H$5:$H$1204="Confirmado"))))*1E+10))&gt;=1E+10,"",SUMPRODUCT(MIN(((Agenda!$E$5:$E$1204=A270)*((Agenda!$H$5:$H$1204="Agendado")+(Agenda!$H$5:$H$1204="Confirmado")))*Agenda!$A$5:$A$1204+(1-((Agenda!$E$5:$E$1204=A270)*((Agenda!$H$5:$H$1204="Agendado")+(Agenda!$H$5:$H$1204="Confirmado"))))*1E+10))))</f>
        <v/>
      </c>
    </row>
    <row r="271">
      <c r="A271" s="36" t="n"/>
      <c r="B271" s="37" t="n"/>
      <c r="C271" s="37" t="n"/>
      <c r="D271" s="36" t="n"/>
      <c r="E271" s="36" t="n"/>
      <c r="F271" s="29">
        <f>IF(A271="","",COUNTIFS(Agenda!$E$5:$E$1204,A271,Agenda!$H$5:$H$1204,"Realizado"))</f>
        <v/>
      </c>
      <c r="G271" s="29">
        <f>IF(A271="","",COUNTIFS(Agenda!$E$5:$E$1204,A271,Agenda!$H$5:$H$1204,"Falta"))</f>
        <v/>
      </c>
      <c r="H271" s="33">
        <f>IF(A271="","",IF(SUMPRODUCT(MAX((Agenda!$E$5:$E$1204=A271)*(Agenda!$H$5:$H$1204="Realizado")*Agenda!$A$5:$A$1204))=0,"",SUMPRODUCT(MAX((Agenda!$E$5:$E$1204=A271)*(Agenda!$H$5:$H$1204="Realizado")*Agenda!$A$5:$A$1204))))</f>
        <v/>
      </c>
      <c r="I271" s="33">
        <f>IF(A271="","",IF(SUMPRODUCT(MIN(((Agenda!$E$5:$E$1204=A271)*((Agenda!$H$5:$H$1204="Agendado")+(Agenda!$H$5:$H$1204="Confirmado")))*Agenda!$A$5:$A$1204+(1-((Agenda!$E$5:$E$1204=A271)*((Agenda!$H$5:$H$1204="Agendado")+(Agenda!$H$5:$H$1204="Confirmado"))))*1E+10))&gt;=1E+10,"",SUMPRODUCT(MIN(((Agenda!$E$5:$E$1204=A271)*((Agenda!$H$5:$H$1204="Agendado")+(Agenda!$H$5:$H$1204="Confirmado")))*Agenda!$A$5:$A$1204+(1-((Agenda!$E$5:$E$1204=A271)*((Agenda!$H$5:$H$1204="Agendado")+(Agenda!$H$5:$H$1204="Confirmado"))))*1E+10))))</f>
        <v/>
      </c>
    </row>
    <row r="272">
      <c r="A272" s="36" t="n"/>
      <c r="B272" s="37" t="n"/>
      <c r="C272" s="37" t="n"/>
      <c r="D272" s="36" t="n"/>
      <c r="E272" s="36" t="n"/>
      <c r="F272" s="29">
        <f>IF(A272="","",COUNTIFS(Agenda!$E$5:$E$1204,A272,Agenda!$H$5:$H$1204,"Realizado"))</f>
        <v/>
      </c>
      <c r="G272" s="29">
        <f>IF(A272="","",COUNTIFS(Agenda!$E$5:$E$1204,A272,Agenda!$H$5:$H$1204,"Falta"))</f>
        <v/>
      </c>
      <c r="H272" s="33">
        <f>IF(A272="","",IF(SUMPRODUCT(MAX((Agenda!$E$5:$E$1204=A272)*(Agenda!$H$5:$H$1204="Realizado")*Agenda!$A$5:$A$1204))=0,"",SUMPRODUCT(MAX((Agenda!$E$5:$E$1204=A272)*(Agenda!$H$5:$H$1204="Realizado")*Agenda!$A$5:$A$1204))))</f>
        <v/>
      </c>
      <c r="I272" s="33">
        <f>IF(A272="","",IF(SUMPRODUCT(MIN(((Agenda!$E$5:$E$1204=A272)*((Agenda!$H$5:$H$1204="Agendado")+(Agenda!$H$5:$H$1204="Confirmado")))*Agenda!$A$5:$A$1204+(1-((Agenda!$E$5:$E$1204=A272)*((Agenda!$H$5:$H$1204="Agendado")+(Agenda!$H$5:$H$1204="Confirmado"))))*1E+10))&gt;=1E+10,"",SUMPRODUCT(MIN(((Agenda!$E$5:$E$1204=A272)*((Agenda!$H$5:$H$1204="Agendado")+(Agenda!$H$5:$H$1204="Confirmado")))*Agenda!$A$5:$A$1204+(1-((Agenda!$E$5:$E$1204=A272)*((Agenda!$H$5:$H$1204="Agendado")+(Agenda!$H$5:$H$1204="Confirmado"))))*1E+10))))</f>
        <v/>
      </c>
    </row>
    <row r="273">
      <c r="A273" s="36" t="n"/>
      <c r="B273" s="37" t="n"/>
      <c r="C273" s="37" t="n"/>
      <c r="D273" s="36" t="n"/>
      <c r="E273" s="36" t="n"/>
      <c r="F273" s="29">
        <f>IF(A273="","",COUNTIFS(Agenda!$E$5:$E$1204,A273,Agenda!$H$5:$H$1204,"Realizado"))</f>
        <v/>
      </c>
      <c r="G273" s="29">
        <f>IF(A273="","",COUNTIFS(Agenda!$E$5:$E$1204,A273,Agenda!$H$5:$H$1204,"Falta"))</f>
        <v/>
      </c>
      <c r="H273" s="33">
        <f>IF(A273="","",IF(SUMPRODUCT(MAX((Agenda!$E$5:$E$1204=A273)*(Agenda!$H$5:$H$1204="Realizado")*Agenda!$A$5:$A$1204))=0,"",SUMPRODUCT(MAX((Agenda!$E$5:$E$1204=A273)*(Agenda!$H$5:$H$1204="Realizado")*Agenda!$A$5:$A$1204))))</f>
        <v/>
      </c>
      <c r="I273" s="33">
        <f>IF(A273="","",IF(SUMPRODUCT(MIN(((Agenda!$E$5:$E$1204=A273)*((Agenda!$H$5:$H$1204="Agendado")+(Agenda!$H$5:$H$1204="Confirmado")))*Agenda!$A$5:$A$1204+(1-((Agenda!$E$5:$E$1204=A273)*((Agenda!$H$5:$H$1204="Agendado")+(Agenda!$H$5:$H$1204="Confirmado"))))*1E+10))&gt;=1E+10,"",SUMPRODUCT(MIN(((Agenda!$E$5:$E$1204=A273)*((Agenda!$H$5:$H$1204="Agendado")+(Agenda!$H$5:$H$1204="Confirmado")))*Agenda!$A$5:$A$1204+(1-((Agenda!$E$5:$E$1204=A273)*((Agenda!$H$5:$H$1204="Agendado")+(Agenda!$H$5:$H$1204="Confirmado"))))*1E+10))))</f>
        <v/>
      </c>
    </row>
    <row r="274">
      <c r="A274" s="36" t="n"/>
      <c r="B274" s="37" t="n"/>
      <c r="C274" s="37" t="n"/>
      <c r="D274" s="36" t="n"/>
      <c r="E274" s="36" t="n"/>
      <c r="F274" s="29">
        <f>IF(A274="","",COUNTIFS(Agenda!$E$5:$E$1204,A274,Agenda!$H$5:$H$1204,"Realizado"))</f>
        <v/>
      </c>
      <c r="G274" s="29">
        <f>IF(A274="","",COUNTIFS(Agenda!$E$5:$E$1204,A274,Agenda!$H$5:$H$1204,"Falta"))</f>
        <v/>
      </c>
      <c r="H274" s="33">
        <f>IF(A274="","",IF(SUMPRODUCT(MAX((Agenda!$E$5:$E$1204=A274)*(Agenda!$H$5:$H$1204="Realizado")*Agenda!$A$5:$A$1204))=0,"",SUMPRODUCT(MAX((Agenda!$E$5:$E$1204=A274)*(Agenda!$H$5:$H$1204="Realizado")*Agenda!$A$5:$A$1204))))</f>
        <v/>
      </c>
      <c r="I274" s="33">
        <f>IF(A274="","",IF(SUMPRODUCT(MIN(((Agenda!$E$5:$E$1204=A274)*((Agenda!$H$5:$H$1204="Agendado")+(Agenda!$H$5:$H$1204="Confirmado")))*Agenda!$A$5:$A$1204+(1-((Agenda!$E$5:$E$1204=A274)*((Agenda!$H$5:$H$1204="Agendado")+(Agenda!$H$5:$H$1204="Confirmado"))))*1E+10))&gt;=1E+10,"",SUMPRODUCT(MIN(((Agenda!$E$5:$E$1204=A274)*((Agenda!$H$5:$H$1204="Agendado")+(Agenda!$H$5:$H$1204="Confirmado")))*Agenda!$A$5:$A$1204+(1-((Agenda!$E$5:$E$1204=A274)*((Agenda!$H$5:$H$1204="Agendado")+(Agenda!$H$5:$H$1204="Confirmado"))))*1E+10))))</f>
        <v/>
      </c>
    </row>
    <row r="275">
      <c r="A275" s="36" t="n"/>
      <c r="B275" s="37" t="n"/>
      <c r="C275" s="37" t="n"/>
      <c r="D275" s="36" t="n"/>
      <c r="E275" s="36" t="n"/>
      <c r="F275" s="29">
        <f>IF(A275="","",COUNTIFS(Agenda!$E$5:$E$1204,A275,Agenda!$H$5:$H$1204,"Realizado"))</f>
        <v/>
      </c>
      <c r="G275" s="29">
        <f>IF(A275="","",COUNTIFS(Agenda!$E$5:$E$1204,A275,Agenda!$H$5:$H$1204,"Falta"))</f>
        <v/>
      </c>
      <c r="H275" s="33">
        <f>IF(A275="","",IF(SUMPRODUCT(MAX((Agenda!$E$5:$E$1204=A275)*(Agenda!$H$5:$H$1204="Realizado")*Agenda!$A$5:$A$1204))=0,"",SUMPRODUCT(MAX((Agenda!$E$5:$E$1204=A275)*(Agenda!$H$5:$H$1204="Realizado")*Agenda!$A$5:$A$1204))))</f>
        <v/>
      </c>
      <c r="I275" s="33">
        <f>IF(A275="","",IF(SUMPRODUCT(MIN(((Agenda!$E$5:$E$1204=A275)*((Agenda!$H$5:$H$1204="Agendado")+(Agenda!$H$5:$H$1204="Confirmado")))*Agenda!$A$5:$A$1204+(1-((Agenda!$E$5:$E$1204=A275)*((Agenda!$H$5:$H$1204="Agendado")+(Agenda!$H$5:$H$1204="Confirmado"))))*1E+10))&gt;=1E+10,"",SUMPRODUCT(MIN(((Agenda!$E$5:$E$1204=A275)*((Agenda!$H$5:$H$1204="Agendado")+(Agenda!$H$5:$H$1204="Confirmado")))*Agenda!$A$5:$A$1204+(1-((Agenda!$E$5:$E$1204=A275)*((Agenda!$H$5:$H$1204="Agendado")+(Agenda!$H$5:$H$1204="Confirmado"))))*1E+10))))</f>
        <v/>
      </c>
    </row>
    <row r="276">
      <c r="A276" s="36" t="n"/>
      <c r="B276" s="37" t="n"/>
      <c r="C276" s="37" t="n"/>
      <c r="D276" s="36" t="n"/>
      <c r="E276" s="36" t="n"/>
      <c r="F276" s="29">
        <f>IF(A276="","",COUNTIFS(Agenda!$E$5:$E$1204,A276,Agenda!$H$5:$H$1204,"Realizado"))</f>
        <v/>
      </c>
      <c r="G276" s="29">
        <f>IF(A276="","",COUNTIFS(Agenda!$E$5:$E$1204,A276,Agenda!$H$5:$H$1204,"Falta"))</f>
        <v/>
      </c>
      <c r="H276" s="33">
        <f>IF(A276="","",IF(SUMPRODUCT(MAX((Agenda!$E$5:$E$1204=A276)*(Agenda!$H$5:$H$1204="Realizado")*Agenda!$A$5:$A$1204))=0,"",SUMPRODUCT(MAX((Agenda!$E$5:$E$1204=A276)*(Agenda!$H$5:$H$1204="Realizado")*Agenda!$A$5:$A$1204))))</f>
        <v/>
      </c>
      <c r="I276" s="33">
        <f>IF(A276="","",IF(SUMPRODUCT(MIN(((Agenda!$E$5:$E$1204=A276)*((Agenda!$H$5:$H$1204="Agendado")+(Agenda!$H$5:$H$1204="Confirmado")))*Agenda!$A$5:$A$1204+(1-((Agenda!$E$5:$E$1204=A276)*((Agenda!$H$5:$H$1204="Agendado")+(Agenda!$H$5:$H$1204="Confirmado"))))*1E+10))&gt;=1E+10,"",SUMPRODUCT(MIN(((Agenda!$E$5:$E$1204=A276)*((Agenda!$H$5:$H$1204="Agendado")+(Agenda!$H$5:$H$1204="Confirmado")))*Agenda!$A$5:$A$1204+(1-((Agenda!$E$5:$E$1204=A276)*((Agenda!$H$5:$H$1204="Agendado")+(Agenda!$H$5:$H$1204="Confirmado"))))*1E+10))))</f>
        <v/>
      </c>
    </row>
    <row r="277">
      <c r="A277" s="36" t="n"/>
      <c r="B277" s="37" t="n"/>
      <c r="C277" s="37" t="n"/>
      <c r="D277" s="36" t="n"/>
      <c r="E277" s="36" t="n"/>
      <c r="F277" s="29">
        <f>IF(A277="","",COUNTIFS(Agenda!$E$5:$E$1204,A277,Agenda!$H$5:$H$1204,"Realizado"))</f>
        <v/>
      </c>
      <c r="G277" s="29">
        <f>IF(A277="","",COUNTIFS(Agenda!$E$5:$E$1204,A277,Agenda!$H$5:$H$1204,"Falta"))</f>
        <v/>
      </c>
      <c r="H277" s="33">
        <f>IF(A277="","",IF(SUMPRODUCT(MAX((Agenda!$E$5:$E$1204=A277)*(Agenda!$H$5:$H$1204="Realizado")*Agenda!$A$5:$A$1204))=0,"",SUMPRODUCT(MAX((Agenda!$E$5:$E$1204=A277)*(Agenda!$H$5:$H$1204="Realizado")*Agenda!$A$5:$A$1204))))</f>
        <v/>
      </c>
      <c r="I277" s="33">
        <f>IF(A277="","",IF(SUMPRODUCT(MIN(((Agenda!$E$5:$E$1204=A277)*((Agenda!$H$5:$H$1204="Agendado")+(Agenda!$H$5:$H$1204="Confirmado")))*Agenda!$A$5:$A$1204+(1-((Agenda!$E$5:$E$1204=A277)*((Agenda!$H$5:$H$1204="Agendado")+(Agenda!$H$5:$H$1204="Confirmado"))))*1E+10))&gt;=1E+10,"",SUMPRODUCT(MIN(((Agenda!$E$5:$E$1204=A277)*((Agenda!$H$5:$H$1204="Agendado")+(Agenda!$H$5:$H$1204="Confirmado")))*Agenda!$A$5:$A$1204+(1-((Agenda!$E$5:$E$1204=A277)*((Agenda!$H$5:$H$1204="Agendado")+(Agenda!$H$5:$H$1204="Confirmado"))))*1E+10))))</f>
        <v/>
      </c>
    </row>
    <row r="278">
      <c r="A278" s="36" t="n"/>
      <c r="B278" s="37" t="n"/>
      <c r="C278" s="37" t="n"/>
      <c r="D278" s="36" t="n"/>
      <c r="E278" s="36" t="n"/>
      <c r="F278" s="29">
        <f>IF(A278="","",COUNTIFS(Agenda!$E$5:$E$1204,A278,Agenda!$H$5:$H$1204,"Realizado"))</f>
        <v/>
      </c>
      <c r="G278" s="29">
        <f>IF(A278="","",COUNTIFS(Agenda!$E$5:$E$1204,A278,Agenda!$H$5:$H$1204,"Falta"))</f>
        <v/>
      </c>
      <c r="H278" s="33">
        <f>IF(A278="","",IF(SUMPRODUCT(MAX((Agenda!$E$5:$E$1204=A278)*(Agenda!$H$5:$H$1204="Realizado")*Agenda!$A$5:$A$1204))=0,"",SUMPRODUCT(MAX((Agenda!$E$5:$E$1204=A278)*(Agenda!$H$5:$H$1204="Realizado")*Agenda!$A$5:$A$1204))))</f>
        <v/>
      </c>
      <c r="I278" s="33">
        <f>IF(A278="","",IF(SUMPRODUCT(MIN(((Agenda!$E$5:$E$1204=A278)*((Agenda!$H$5:$H$1204="Agendado")+(Agenda!$H$5:$H$1204="Confirmado")))*Agenda!$A$5:$A$1204+(1-((Agenda!$E$5:$E$1204=A278)*((Agenda!$H$5:$H$1204="Agendado")+(Agenda!$H$5:$H$1204="Confirmado"))))*1E+10))&gt;=1E+10,"",SUMPRODUCT(MIN(((Agenda!$E$5:$E$1204=A278)*((Agenda!$H$5:$H$1204="Agendado")+(Agenda!$H$5:$H$1204="Confirmado")))*Agenda!$A$5:$A$1204+(1-((Agenda!$E$5:$E$1204=A278)*((Agenda!$H$5:$H$1204="Agendado")+(Agenda!$H$5:$H$1204="Confirmado"))))*1E+10))))</f>
        <v/>
      </c>
    </row>
    <row r="279">
      <c r="A279" s="36" t="n"/>
      <c r="B279" s="37" t="n"/>
      <c r="C279" s="37" t="n"/>
      <c r="D279" s="36" t="n"/>
      <c r="E279" s="36" t="n"/>
      <c r="F279" s="29">
        <f>IF(A279="","",COUNTIFS(Agenda!$E$5:$E$1204,A279,Agenda!$H$5:$H$1204,"Realizado"))</f>
        <v/>
      </c>
      <c r="G279" s="29">
        <f>IF(A279="","",COUNTIFS(Agenda!$E$5:$E$1204,A279,Agenda!$H$5:$H$1204,"Falta"))</f>
        <v/>
      </c>
      <c r="H279" s="33">
        <f>IF(A279="","",IF(SUMPRODUCT(MAX((Agenda!$E$5:$E$1204=A279)*(Agenda!$H$5:$H$1204="Realizado")*Agenda!$A$5:$A$1204))=0,"",SUMPRODUCT(MAX((Agenda!$E$5:$E$1204=A279)*(Agenda!$H$5:$H$1204="Realizado")*Agenda!$A$5:$A$1204))))</f>
        <v/>
      </c>
      <c r="I279" s="33">
        <f>IF(A279="","",IF(SUMPRODUCT(MIN(((Agenda!$E$5:$E$1204=A279)*((Agenda!$H$5:$H$1204="Agendado")+(Agenda!$H$5:$H$1204="Confirmado")))*Agenda!$A$5:$A$1204+(1-((Agenda!$E$5:$E$1204=A279)*((Agenda!$H$5:$H$1204="Agendado")+(Agenda!$H$5:$H$1204="Confirmado"))))*1E+10))&gt;=1E+10,"",SUMPRODUCT(MIN(((Agenda!$E$5:$E$1204=A279)*((Agenda!$H$5:$H$1204="Agendado")+(Agenda!$H$5:$H$1204="Confirmado")))*Agenda!$A$5:$A$1204+(1-((Agenda!$E$5:$E$1204=A279)*((Agenda!$H$5:$H$1204="Agendado")+(Agenda!$H$5:$H$1204="Confirmado"))))*1E+10))))</f>
        <v/>
      </c>
    </row>
    <row r="280">
      <c r="A280" s="36" t="n"/>
      <c r="B280" s="37" t="n"/>
      <c r="C280" s="37" t="n"/>
      <c r="D280" s="36" t="n"/>
      <c r="E280" s="36" t="n"/>
      <c r="F280" s="29">
        <f>IF(A280="","",COUNTIFS(Agenda!$E$5:$E$1204,A280,Agenda!$H$5:$H$1204,"Realizado"))</f>
        <v/>
      </c>
      <c r="G280" s="29">
        <f>IF(A280="","",COUNTIFS(Agenda!$E$5:$E$1204,A280,Agenda!$H$5:$H$1204,"Falta"))</f>
        <v/>
      </c>
      <c r="H280" s="33">
        <f>IF(A280="","",IF(SUMPRODUCT(MAX((Agenda!$E$5:$E$1204=A280)*(Agenda!$H$5:$H$1204="Realizado")*Agenda!$A$5:$A$1204))=0,"",SUMPRODUCT(MAX((Agenda!$E$5:$E$1204=A280)*(Agenda!$H$5:$H$1204="Realizado")*Agenda!$A$5:$A$1204))))</f>
        <v/>
      </c>
      <c r="I280" s="33">
        <f>IF(A280="","",IF(SUMPRODUCT(MIN(((Agenda!$E$5:$E$1204=A280)*((Agenda!$H$5:$H$1204="Agendado")+(Agenda!$H$5:$H$1204="Confirmado")))*Agenda!$A$5:$A$1204+(1-((Agenda!$E$5:$E$1204=A280)*((Agenda!$H$5:$H$1204="Agendado")+(Agenda!$H$5:$H$1204="Confirmado"))))*1E+10))&gt;=1E+10,"",SUMPRODUCT(MIN(((Agenda!$E$5:$E$1204=A280)*((Agenda!$H$5:$H$1204="Agendado")+(Agenda!$H$5:$H$1204="Confirmado")))*Agenda!$A$5:$A$1204+(1-((Agenda!$E$5:$E$1204=A280)*((Agenda!$H$5:$H$1204="Agendado")+(Agenda!$H$5:$H$1204="Confirmado"))))*1E+10))))</f>
        <v/>
      </c>
    </row>
    <row r="281">
      <c r="A281" s="36" t="n"/>
      <c r="B281" s="37" t="n"/>
      <c r="C281" s="37" t="n"/>
      <c r="D281" s="36" t="n"/>
      <c r="E281" s="36" t="n"/>
      <c r="F281" s="29">
        <f>IF(A281="","",COUNTIFS(Agenda!$E$5:$E$1204,A281,Agenda!$H$5:$H$1204,"Realizado"))</f>
        <v/>
      </c>
      <c r="G281" s="29">
        <f>IF(A281="","",COUNTIFS(Agenda!$E$5:$E$1204,A281,Agenda!$H$5:$H$1204,"Falta"))</f>
        <v/>
      </c>
      <c r="H281" s="33">
        <f>IF(A281="","",IF(SUMPRODUCT(MAX((Agenda!$E$5:$E$1204=A281)*(Agenda!$H$5:$H$1204="Realizado")*Agenda!$A$5:$A$1204))=0,"",SUMPRODUCT(MAX((Agenda!$E$5:$E$1204=A281)*(Agenda!$H$5:$H$1204="Realizado")*Agenda!$A$5:$A$1204))))</f>
        <v/>
      </c>
      <c r="I281" s="33">
        <f>IF(A281="","",IF(SUMPRODUCT(MIN(((Agenda!$E$5:$E$1204=A281)*((Agenda!$H$5:$H$1204="Agendado")+(Agenda!$H$5:$H$1204="Confirmado")))*Agenda!$A$5:$A$1204+(1-((Agenda!$E$5:$E$1204=A281)*((Agenda!$H$5:$H$1204="Agendado")+(Agenda!$H$5:$H$1204="Confirmado"))))*1E+10))&gt;=1E+10,"",SUMPRODUCT(MIN(((Agenda!$E$5:$E$1204=A281)*((Agenda!$H$5:$H$1204="Agendado")+(Agenda!$H$5:$H$1204="Confirmado")))*Agenda!$A$5:$A$1204+(1-((Agenda!$E$5:$E$1204=A281)*((Agenda!$H$5:$H$1204="Agendado")+(Agenda!$H$5:$H$1204="Confirmado"))))*1E+10))))</f>
        <v/>
      </c>
    </row>
    <row r="282">
      <c r="A282" s="36" t="n"/>
      <c r="B282" s="37" t="n"/>
      <c r="C282" s="37" t="n"/>
      <c r="D282" s="36" t="n"/>
      <c r="E282" s="36" t="n"/>
      <c r="F282" s="29">
        <f>IF(A282="","",COUNTIFS(Agenda!$E$5:$E$1204,A282,Agenda!$H$5:$H$1204,"Realizado"))</f>
        <v/>
      </c>
      <c r="G282" s="29">
        <f>IF(A282="","",COUNTIFS(Agenda!$E$5:$E$1204,A282,Agenda!$H$5:$H$1204,"Falta"))</f>
        <v/>
      </c>
      <c r="H282" s="33">
        <f>IF(A282="","",IF(SUMPRODUCT(MAX((Agenda!$E$5:$E$1204=A282)*(Agenda!$H$5:$H$1204="Realizado")*Agenda!$A$5:$A$1204))=0,"",SUMPRODUCT(MAX((Agenda!$E$5:$E$1204=A282)*(Agenda!$H$5:$H$1204="Realizado")*Agenda!$A$5:$A$1204))))</f>
        <v/>
      </c>
      <c r="I282" s="33">
        <f>IF(A282="","",IF(SUMPRODUCT(MIN(((Agenda!$E$5:$E$1204=A282)*((Agenda!$H$5:$H$1204="Agendado")+(Agenda!$H$5:$H$1204="Confirmado")))*Agenda!$A$5:$A$1204+(1-((Agenda!$E$5:$E$1204=A282)*((Agenda!$H$5:$H$1204="Agendado")+(Agenda!$H$5:$H$1204="Confirmado"))))*1E+10))&gt;=1E+10,"",SUMPRODUCT(MIN(((Agenda!$E$5:$E$1204=A282)*((Agenda!$H$5:$H$1204="Agendado")+(Agenda!$H$5:$H$1204="Confirmado")))*Agenda!$A$5:$A$1204+(1-((Agenda!$E$5:$E$1204=A282)*((Agenda!$H$5:$H$1204="Agendado")+(Agenda!$H$5:$H$1204="Confirmado"))))*1E+10))))</f>
        <v/>
      </c>
    </row>
    <row r="283">
      <c r="A283" s="36" t="n"/>
      <c r="B283" s="37" t="n"/>
      <c r="C283" s="37" t="n"/>
      <c r="D283" s="36" t="n"/>
      <c r="E283" s="36" t="n"/>
      <c r="F283" s="29">
        <f>IF(A283="","",COUNTIFS(Agenda!$E$5:$E$1204,A283,Agenda!$H$5:$H$1204,"Realizado"))</f>
        <v/>
      </c>
      <c r="G283" s="29">
        <f>IF(A283="","",COUNTIFS(Agenda!$E$5:$E$1204,A283,Agenda!$H$5:$H$1204,"Falta"))</f>
        <v/>
      </c>
      <c r="H283" s="33">
        <f>IF(A283="","",IF(SUMPRODUCT(MAX((Agenda!$E$5:$E$1204=A283)*(Agenda!$H$5:$H$1204="Realizado")*Agenda!$A$5:$A$1204))=0,"",SUMPRODUCT(MAX((Agenda!$E$5:$E$1204=A283)*(Agenda!$H$5:$H$1204="Realizado")*Agenda!$A$5:$A$1204))))</f>
        <v/>
      </c>
      <c r="I283" s="33">
        <f>IF(A283="","",IF(SUMPRODUCT(MIN(((Agenda!$E$5:$E$1204=A283)*((Agenda!$H$5:$H$1204="Agendado")+(Agenda!$H$5:$H$1204="Confirmado")))*Agenda!$A$5:$A$1204+(1-((Agenda!$E$5:$E$1204=A283)*((Agenda!$H$5:$H$1204="Agendado")+(Agenda!$H$5:$H$1204="Confirmado"))))*1E+10))&gt;=1E+10,"",SUMPRODUCT(MIN(((Agenda!$E$5:$E$1204=A283)*((Agenda!$H$5:$H$1204="Agendado")+(Agenda!$H$5:$H$1204="Confirmado")))*Agenda!$A$5:$A$1204+(1-((Agenda!$E$5:$E$1204=A283)*((Agenda!$H$5:$H$1204="Agendado")+(Agenda!$H$5:$H$1204="Confirmado"))))*1E+10))))</f>
        <v/>
      </c>
    </row>
    <row r="284">
      <c r="A284" s="36" t="n"/>
      <c r="B284" s="37" t="n"/>
      <c r="C284" s="37" t="n"/>
      <c r="D284" s="36" t="n"/>
      <c r="E284" s="36" t="n"/>
      <c r="F284" s="29">
        <f>IF(A284="","",COUNTIFS(Agenda!$E$5:$E$1204,A284,Agenda!$H$5:$H$1204,"Realizado"))</f>
        <v/>
      </c>
      <c r="G284" s="29">
        <f>IF(A284="","",COUNTIFS(Agenda!$E$5:$E$1204,A284,Agenda!$H$5:$H$1204,"Falta"))</f>
        <v/>
      </c>
      <c r="H284" s="33">
        <f>IF(A284="","",IF(SUMPRODUCT(MAX((Agenda!$E$5:$E$1204=A284)*(Agenda!$H$5:$H$1204="Realizado")*Agenda!$A$5:$A$1204))=0,"",SUMPRODUCT(MAX((Agenda!$E$5:$E$1204=A284)*(Agenda!$H$5:$H$1204="Realizado")*Agenda!$A$5:$A$1204))))</f>
        <v/>
      </c>
      <c r="I284" s="33">
        <f>IF(A284="","",IF(SUMPRODUCT(MIN(((Agenda!$E$5:$E$1204=A284)*((Agenda!$H$5:$H$1204="Agendado")+(Agenda!$H$5:$H$1204="Confirmado")))*Agenda!$A$5:$A$1204+(1-((Agenda!$E$5:$E$1204=A284)*((Agenda!$H$5:$H$1204="Agendado")+(Agenda!$H$5:$H$1204="Confirmado"))))*1E+10))&gt;=1E+10,"",SUMPRODUCT(MIN(((Agenda!$E$5:$E$1204=A284)*((Agenda!$H$5:$H$1204="Agendado")+(Agenda!$H$5:$H$1204="Confirmado")))*Agenda!$A$5:$A$1204+(1-((Agenda!$E$5:$E$1204=A284)*((Agenda!$H$5:$H$1204="Agendado")+(Agenda!$H$5:$H$1204="Confirmado"))))*1E+10))))</f>
        <v/>
      </c>
    </row>
    <row r="285">
      <c r="A285" s="36" t="n"/>
      <c r="B285" s="37" t="n"/>
      <c r="C285" s="37" t="n"/>
      <c r="D285" s="36" t="n"/>
      <c r="E285" s="36" t="n"/>
      <c r="F285" s="29">
        <f>IF(A285="","",COUNTIFS(Agenda!$E$5:$E$1204,A285,Agenda!$H$5:$H$1204,"Realizado"))</f>
        <v/>
      </c>
      <c r="G285" s="29">
        <f>IF(A285="","",COUNTIFS(Agenda!$E$5:$E$1204,A285,Agenda!$H$5:$H$1204,"Falta"))</f>
        <v/>
      </c>
      <c r="H285" s="33">
        <f>IF(A285="","",IF(SUMPRODUCT(MAX((Agenda!$E$5:$E$1204=A285)*(Agenda!$H$5:$H$1204="Realizado")*Agenda!$A$5:$A$1204))=0,"",SUMPRODUCT(MAX((Agenda!$E$5:$E$1204=A285)*(Agenda!$H$5:$H$1204="Realizado")*Agenda!$A$5:$A$1204))))</f>
        <v/>
      </c>
      <c r="I285" s="33">
        <f>IF(A285="","",IF(SUMPRODUCT(MIN(((Agenda!$E$5:$E$1204=A285)*((Agenda!$H$5:$H$1204="Agendado")+(Agenda!$H$5:$H$1204="Confirmado")))*Agenda!$A$5:$A$1204+(1-((Agenda!$E$5:$E$1204=A285)*((Agenda!$H$5:$H$1204="Agendado")+(Agenda!$H$5:$H$1204="Confirmado"))))*1E+10))&gt;=1E+10,"",SUMPRODUCT(MIN(((Agenda!$E$5:$E$1204=A285)*((Agenda!$H$5:$H$1204="Agendado")+(Agenda!$H$5:$H$1204="Confirmado")))*Agenda!$A$5:$A$1204+(1-((Agenda!$E$5:$E$1204=A285)*((Agenda!$H$5:$H$1204="Agendado")+(Agenda!$H$5:$H$1204="Confirmado"))))*1E+10))))</f>
        <v/>
      </c>
    </row>
    <row r="286">
      <c r="A286" s="36" t="n"/>
      <c r="B286" s="37" t="n"/>
      <c r="C286" s="37" t="n"/>
      <c r="D286" s="36" t="n"/>
      <c r="E286" s="36" t="n"/>
      <c r="F286" s="29">
        <f>IF(A286="","",COUNTIFS(Agenda!$E$5:$E$1204,A286,Agenda!$H$5:$H$1204,"Realizado"))</f>
        <v/>
      </c>
      <c r="G286" s="29">
        <f>IF(A286="","",COUNTIFS(Agenda!$E$5:$E$1204,A286,Agenda!$H$5:$H$1204,"Falta"))</f>
        <v/>
      </c>
      <c r="H286" s="33">
        <f>IF(A286="","",IF(SUMPRODUCT(MAX((Agenda!$E$5:$E$1204=A286)*(Agenda!$H$5:$H$1204="Realizado")*Agenda!$A$5:$A$1204))=0,"",SUMPRODUCT(MAX((Agenda!$E$5:$E$1204=A286)*(Agenda!$H$5:$H$1204="Realizado")*Agenda!$A$5:$A$1204))))</f>
        <v/>
      </c>
      <c r="I286" s="33">
        <f>IF(A286="","",IF(SUMPRODUCT(MIN(((Agenda!$E$5:$E$1204=A286)*((Agenda!$H$5:$H$1204="Agendado")+(Agenda!$H$5:$H$1204="Confirmado")))*Agenda!$A$5:$A$1204+(1-((Agenda!$E$5:$E$1204=A286)*((Agenda!$H$5:$H$1204="Agendado")+(Agenda!$H$5:$H$1204="Confirmado"))))*1E+10))&gt;=1E+10,"",SUMPRODUCT(MIN(((Agenda!$E$5:$E$1204=A286)*((Agenda!$H$5:$H$1204="Agendado")+(Agenda!$H$5:$H$1204="Confirmado")))*Agenda!$A$5:$A$1204+(1-((Agenda!$E$5:$E$1204=A286)*((Agenda!$H$5:$H$1204="Agendado")+(Agenda!$H$5:$H$1204="Confirmado"))))*1E+10))))</f>
        <v/>
      </c>
    </row>
    <row r="287">
      <c r="A287" s="36" t="n"/>
      <c r="B287" s="37" t="n"/>
      <c r="C287" s="37" t="n"/>
      <c r="D287" s="36" t="n"/>
      <c r="E287" s="36" t="n"/>
      <c r="F287" s="29">
        <f>IF(A287="","",COUNTIFS(Agenda!$E$5:$E$1204,A287,Agenda!$H$5:$H$1204,"Realizado"))</f>
        <v/>
      </c>
      <c r="G287" s="29">
        <f>IF(A287="","",COUNTIFS(Agenda!$E$5:$E$1204,A287,Agenda!$H$5:$H$1204,"Falta"))</f>
        <v/>
      </c>
      <c r="H287" s="33">
        <f>IF(A287="","",IF(SUMPRODUCT(MAX((Agenda!$E$5:$E$1204=A287)*(Agenda!$H$5:$H$1204="Realizado")*Agenda!$A$5:$A$1204))=0,"",SUMPRODUCT(MAX((Agenda!$E$5:$E$1204=A287)*(Agenda!$H$5:$H$1204="Realizado")*Agenda!$A$5:$A$1204))))</f>
        <v/>
      </c>
      <c r="I287" s="33">
        <f>IF(A287="","",IF(SUMPRODUCT(MIN(((Agenda!$E$5:$E$1204=A287)*((Agenda!$H$5:$H$1204="Agendado")+(Agenda!$H$5:$H$1204="Confirmado")))*Agenda!$A$5:$A$1204+(1-((Agenda!$E$5:$E$1204=A287)*((Agenda!$H$5:$H$1204="Agendado")+(Agenda!$H$5:$H$1204="Confirmado"))))*1E+10))&gt;=1E+10,"",SUMPRODUCT(MIN(((Agenda!$E$5:$E$1204=A287)*((Agenda!$H$5:$H$1204="Agendado")+(Agenda!$H$5:$H$1204="Confirmado")))*Agenda!$A$5:$A$1204+(1-((Agenda!$E$5:$E$1204=A287)*((Agenda!$H$5:$H$1204="Agendado")+(Agenda!$H$5:$H$1204="Confirmado"))))*1E+10))))</f>
        <v/>
      </c>
    </row>
    <row r="288">
      <c r="A288" s="36" t="n"/>
      <c r="B288" s="37" t="n"/>
      <c r="C288" s="37" t="n"/>
      <c r="D288" s="36" t="n"/>
      <c r="E288" s="36" t="n"/>
      <c r="F288" s="29">
        <f>IF(A288="","",COUNTIFS(Agenda!$E$5:$E$1204,A288,Agenda!$H$5:$H$1204,"Realizado"))</f>
        <v/>
      </c>
      <c r="G288" s="29">
        <f>IF(A288="","",COUNTIFS(Agenda!$E$5:$E$1204,A288,Agenda!$H$5:$H$1204,"Falta"))</f>
        <v/>
      </c>
      <c r="H288" s="33">
        <f>IF(A288="","",IF(SUMPRODUCT(MAX((Agenda!$E$5:$E$1204=A288)*(Agenda!$H$5:$H$1204="Realizado")*Agenda!$A$5:$A$1204))=0,"",SUMPRODUCT(MAX((Agenda!$E$5:$E$1204=A288)*(Agenda!$H$5:$H$1204="Realizado")*Agenda!$A$5:$A$1204))))</f>
        <v/>
      </c>
      <c r="I288" s="33">
        <f>IF(A288="","",IF(SUMPRODUCT(MIN(((Agenda!$E$5:$E$1204=A288)*((Agenda!$H$5:$H$1204="Agendado")+(Agenda!$H$5:$H$1204="Confirmado")))*Agenda!$A$5:$A$1204+(1-((Agenda!$E$5:$E$1204=A288)*((Agenda!$H$5:$H$1204="Agendado")+(Agenda!$H$5:$H$1204="Confirmado"))))*1E+10))&gt;=1E+10,"",SUMPRODUCT(MIN(((Agenda!$E$5:$E$1204=A288)*((Agenda!$H$5:$H$1204="Agendado")+(Agenda!$H$5:$H$1204="Confirmado")))*Agenda!$A$5:$A$1204+(1-((Agenda!$E$5:$E$1204=A288)*((Agenda!$H$5:$H$1204="Agendado")+(Agenda!$H$5:$H$1204="Confirmado"))))*1E+10))))</f>
        <v/>
      </c>
    </row>
    <row r="289">
      <c r="A289" s="36" t="n"/>
      <c r="B289" s="37" t="n"/>
      <c r="C289" s="37" t="n"/>
      <c r="D289" s="36" t="n"/>
      <c r="E289" s="36" t="n"/>
      <c r="F289" s="29">
        <f>IF(A289="","",COUNTIFS(Agenda!$E$5:$E$1204,A289,Agenda!$H$5:$H$1204,"Realizado"))</f>
        <v/>
      </c>
      <c r="G289" s="29">
        <f>IF(A289="","",COUNTIFS(Agenda!$E$5:$E$1204,A289,Agenda!$H$5:$H$1204,"Falta"))</f>
        <v/>
      </c>
      <c r="H289" s="33">
        <f>IF(A289="","",IF(SUMPRODUCT(MAX((Agenda!$E$5:$E$1204=A289)*(Agenda!$H$5:$H$1204="Realizado")*Agenda!$A$5:$A$1204))=0,"",SUMPRODUCT(MAX((Agenda!$E$5:$E$1204=A289)*(Agenda!$H$5:$H$1204="Realizado")*Agenda!$A$5:$A$1204))))</f>
        <v/>
      </c>
      <c r="I289" s="33">
        <f>IF(A289="","",IF(SUMPRODUCT(MIN(((Agenda!$E$5:$E$1204=A289)*((Agenda!$H$5:$H$1204="Agendado")+(Agenda!$H$5:$H$1204="Confirmado")))*Agenda!$A$5:$A$1204+(1-((Agenda!$E$5:$E$1204=A289)*((Agenda!$H$5:$H$1204="Agendado")+(Agenda!$H$5:$H$1204="Confirmado"))))*1E+10))&gt;=1E+10,"",SUMPRODUCT(MIN(((Agenda!$E$5:$E$1204=A289)*((Agenda!$H$5:$H$1204="Agendado")+(Agenda!$H$5:$H$1204="Confirmado")))*Agenda!$A$5:$A$1204+(1-((Agenda!$E$5:$E$1204=A289)*((Agenda!$H$5:$H$1204="Agendado")+(Agenda!$H$5:$H$1204="Confirmado"))))*1E+10))))</f>
        <v/>
      </c>
    </row>
    <row r="290">
      <c r="A290" s="36" t="n"/>
      <c r="B290" s="37" t="n"/>
      <c r="C290" s="37" t="n"/>
      <c r="D290" s="36" t="n"/>
      <c r="E290" s="36" t="n"/>
      <c r="F290" s="29">
        <f>IF(A290="","",COUNTIFS(Agenda!$E$5:$E$1204,A290,Agenda!$H$5:$H$1204,"Realizado"))</f>
        <v/>
      </c>
      <c r="G290" s="29">
        <f>IF(A290="","",COUNTIFS(Agenda!$E$5:$E$1204,A290,Agenda!$H$5:$H$1204,"Falta"))</f>
        <v/>
      </c>
      <c r="H290" s="33">
        <f>IF(A290="","",IF(SUMPRODUCT(MAX((Agenda!$E$5:$E$1204=A290)*(Agenda!$H$5:$H$1204="Realizado")*Agenda!$A$5:$A$1204))=0,"",SUMPRODUCT(MAX((Agenda!$E$5:$E$1204=A290)*(Agenda!$H$5:$H$1204="Realizado")*Agenda!$A$5:$A$1204))))</f>
        <v/>
      </c>
      <c r="I290" s="33">
        <f>IF(A290="","",IF(SUMPRODUCT(MIN(((Agenda!$E$5:$E$1204=A290)*((Agenda!$H$5:$H$1204="Agendado")+(Agenda!$H$5:$H$1204="Confirmado")))*Agenda!$A$5:$A$1204+(1-((Agenda!$E$5:$E$1204=A290)*((Agenda!$H$5:$H$1204="Agendado")+(Agenda!$H$5:$H$1204="Confirmado"))))*1E+10))&gt;=1E+10,"",SUMPRODUCT(MIN(((Agenda!$E$5:$E$1204=A290)*((Agenda!$H$5:$H$1204="Agendado")+(Agenda!$H$5:$H$1204="Confirmado")))*Agenda!$A$5:$A$1204+(1-((Agenda!$E$5:$E$1204=A290)*((Agenda!$H$5:$H$1204="Agendado")+(Agenda!$H$5:$H$1204="Confirmado"))))*1E+10))))</f>
        <v/>
      </c>
    </row>
    <row r="291">
      <c r="A291" s="36" t="n"/>
      <c r="B291" s="37" t="n"/>
      <c r="C291" s="37" t="n"/>
      <c r="D291" s="36" t="n"/>
      <c r="E291" s="36" t="n"/>
      <c r="F291" s="29">
        <f>IF(A291="","",COUNTIFS(Agenda!$E$5:$E$1204,A291,Agenda!$H$5:$H$1204,"Realizado"))</f>
        <v/>
      </c>
      <c r="G291" s="29">
        <f>IF(A291="","",COUNTIFS(Agenda!$E$5:$E$1204,A291,Agenda!$H$5:$H$1204,"Falta"))</f>
        <v/>
      </c>
      <c r="H291" s="33">
        <f>IF(A291="","",IF(SUMPRODUCT(MAX((Agenda!$E$5:$E$1204=A291)*(Agenda!$H$5:$H$1204="Realizado")*Agenda!$A$5:$A$1204))=0,"",SUMPRODUCT(MAX((Agenda!$E$5:$E$1204=A291)*(Agenda!$H$5:$H$1204="Realizado")*Agenda!$A$5:$A$1204))))</f>
        <v/>
      </c>
      <c r="I291" s="33">
        <f>IF(A291="","",IF(SUMPRODUCT(MIN(((Agenda!$E$5:$E$1204=A291)*((Agenda!$H$5:$H$1204="Agendado")+(Agenda!$H$5:$H$1204="Confirmado")))*Agenda!$A$5:$A$1204+(1-((Agenda!$E$5:$E$1204=A291)*((Agenda!$H$5:$H$1204="Agendado")+(Agenda!$H$5:$H$1204="Confirmado"))))*1E+10))&gt;=1E+10,"",SUMPRODUCT(MIN(((Agenda!$E$5:$E$1204=A291)*((Agenda!$H$5:$H$1204="Agendado")+(Agenda!$H$5:$H$1204="Confirmado")))*Agenda!$A$5:$A$1204+(1-((Agenda!$E$5:$E$1204=A291)*((Agenda!$H$5:$H$1204="Agendado")+(Agenda!$H$5:$H$1204="Confirmado"))))*1E+10))))</f>
        <v/>
      </c>
    </row>
    <row r="292">
      <c r="A292" s="36" t="n"/>
      <c r="B292" s="37" t="n"/>
      <c r="C292" s="37" t="n"/>
      <c r="D292" s="36" t="n"/>
      <c r="E292" s="36" t="n"/>
      <c r="F292" s="29">
        <f>IF(A292="","",COUNTIFS(Agenda!$E$5:$E$1204,A292,Agenda!$H$5:$H$1204,"Realizado"))</f>
        <v/>
      </c>
      <c r="G292" s="29">
        <f>IF(A292="","",COUNTIFS(Agenda!$E$5:$E$1204,A292,Agenda!$H$5:$H$1204,"Falta"))</f>
        <v/>
      </c>
      <c r="H292" s="33">
        <f>IF(A292="","",IF(SUMPRODUCT(MAX((Agenda!$E$5:$E$1204=A292)*(Agenda!$H$5:$H$1204="Realizado")*Agenda!$A$5:$A$1204))=0,"",SUMPRODUCT(MAX((Agenda!$E$5:$E$1204=A292)*(Agenda!$H$5:$H$1204="Realizado")*Agenda!$A$5:$A$1204))))</f>
        <v/>
      </c>
      <c r="I292" s="33">
        <f>IF(A292="","",IF(SUMPRODUCT(MIN(((Agenda!$E$5:$E$1204=A292)*((Agenda!$H$5:$H$1204="Agendado")+(Agenda!$H$5:$H$1204="Confirmado")))*Agenda!$A$5:$A$1204+(1-((Agenda!$E$5:$E$1204=A292)*((Agenda!$H$5:$H$1204="Agendado")+(Agenda!$H$5:$H$1204="Confirmado"))))*1E+10))&gt;=1E+10,"",SUMPRODUCT(MIN(((Agenda!$E$5:$E$1204=A292)*((Agenda!$H$5:$H$1204="Agendado")+(Agenda!$H$5:$H$1204="Confirmado")))*Agenda!$A$5:$A$1204+(1-((Agenda!$E$5:$E$1204=A292)*((Agenda!$H$5:$H$1204="Agendado")+(Agenda!$H$5:$H$1204="Confirmado"))))*1E+10))))</f>
        <v/>
      </c>
    </row>
    <row r="293">
      <c r="A293" s="36" t="n"/>
      <c r="B293" s="37" t="n"/>
      <c r="C293" s="37" t="n"/>
      <c r="D293" s="36" t="n"/>
      <c r="E293" s="36" t="n"/>
      <c r="F293" s="29">
        <f>IF(A293="","",COUNTIFS(Agenda!$E$5:$E$1204,A293,Agenda!$H$5:$H$1204,"Realizado"))</f>
        <v/>
      </c>
      <c r="G293" s="29">
        <f>IF(A293="","",COUNTIFS(Agenda!$E$5:$E$1204,A293,Agenda!$H$5:$H$1204,"Falta"))</f>
        <v/>
      </c>
      <c r="H293" s="33">
        <f>IF(A293="","",IF(SUMPRODUCT(MAX((Agenda!$E$5:$E$1204=A293)*(Agenda!$H$5:$H$1204="Realizado")*Agenda!$A$5:$A$1204))=0,"",SUMPRODUCT(MAX((Agenda!$E$5:$E$1204=A293)*(Agenda!$H$5:$H$1204="Realizado")*Agenda!$A$5:$A$1204))))</f>
        <v/>
      </c>
      <c r="I293" s="33">
        <f>IF(A293="","",IF(SUMPRODUCT(MIN(((Agenda!$E$5:$E$1204=A293)*((Agenda!$H$5:$H$1204="Agendado")+(Agenda!$H$5:$H$1204="Confirmado")))*Agenda!$A$5:$A$1204+(1-((Agenda!$E$5:$E$1204=A293)*((Agenda!$H$5:$H$1204="Agendado")+(Agenda!$H$5:$H$1204="Confirmado"))))*1E+10))&gt;=1E+10,"",SUMPRODUCT(MIN(((Agenda!$E$5:$E$1204=A293)*((Agenda!$H$5:$H$1204="Agendado")+(Agenda!$H$5:$H$1204="Confirmado")))*Agenda!$A$5:$A$1204+(1-((Agenda!$E$5:$E$1204=A293)*((Agenda!$H$5:$H$1204="Agendado")+(Agenda!$H$5:$H$1204="Confirmado"))))*1E+10))))</f>
        <v/>
      </c>
    </row>
    <row r="294">
      <c r="A294" s="36" t="n"/>
      <c r="B294" s="37" t="n"/>
      <c r="C294" s="37" t="n"/>
      <c r="D294" s="36" t="n"/>
      <c r="E294" s="36" t="n"/>
      <c r="F294" s="29">
        <f>IF(A294="","",COUNTIFS(Agenda!$E$5:$E$1204,A294,Agenda!$H$5:$H$1204,"Realizado"))</f>
        <v/>
      </c>
      <c r="G294" s="29">
        <f>IF(A294="","",COUNTIFS(Agenda!$E$5:$E$1204,A294,Agenda!$H$5:$H$1204,"Falta"))</f>
        <v/>
      </c>
      <c r="H294" s="33">
        <f>IF(A294="","",IF(SUMPRODUCT(MAX((Agenda!$E$5:$E$1204=A294)*(Agenda!$H$5:$H$1204="Realizado")*Agenda!$A$5:$A$1204))=0,"",SUMPRODUCT(MAX((Agenda!$E$5:$E$1204=A294)*(Agenda!$H$5:$H$1204="Realizado")*Agenda!$A$5:$A$1204))))</f>
        <v/>
      </c>
      <c r="I294" s="33">
        <f>IF(A294="","",IF(SUMPRODUCT(MIN(((Agenda!$E$5:$E$1204=A294)*((Agenda!$H$5:$H$1204="Agendado")+(Agenda!$H$5:$H$1204="Confirmado")))*Agenda!$A$5:$A$1204+(1-((Agenda!$E$5:$E$1204=A294)*((Agenda!$H$5:$H$1204="Agendado")+(Agenda!$H$5:$H$1204="Confirmado"))))*1E+10))&gt;=1E+10,"",SUMPRODUCT(MIN(((Agenda!$E$5:$E$1204=A294)*((Agenda!$H$5:$H$1204="Agendado")+(Agenda!$H$5:$H$1204="Confirmado")))*Agenda!$A$5:$A$1204+(1-((Agenda!$E$5:$E$1204=A294)*((Agenda!$H$5:$H$1204="Agendado")+(Agenda!$H$5:$H$1204="Confirmado"))))*1E+10))))</f>
        <v/>
      </c>
    </row>
    <row r="295">
      <c r="A295" s="36" t="n"/>
      <c r="B295" s="37" t="n"/>
      <c r="C295" s="37" t="n"/>
      <c r="D295" s="36" t="n"/>
      <c r="E295" s="36" t="n"/>
      <c r="F295" s="29">
        <f>IF(A295="","",COUNTIFS(Agenda!$E$5:$E$1204,A295,Agenda!$H$5:$H$1204,"Realizado"))</f>
        <v/>
      </c>
      <c r="G295" s="29">
        <f>IF(A295="","",COUNTIFS(Agenda!$E$5:$E$1204,A295,Agenda!$H$5:$H$1204,"Falta"))</f>
        <v/>
      </c>
      <c r="H295" s="33">
        <f>IF(A295="","",IF(SUMPRODUCT(MAX((Agenda!$E$5:$E$1204=A295)*(Agenda!$H$5:$H$1204="Realizado")*Agenda!$A$5:$A$1204))=0,"",SUMPRODUCT(MAX((Agenda!$E$5:$E$1204=A295)*(Agenda!$H$5:$H$1204="Realizado")*Agenda!$A$5:$A$1204))))</f>
        <v/>
      </c>
      <c r="I295" s="33">
        <f>IF(A295="","",IF(SUMPRODUCT(MIN(((Agenda!$E$5:$E$1204=A295)*((Agenda!$H$5:$H$1204="Agendado")+(Agenda!$H$5:$H$1204="Confirmado")))*Agenda!$A$5:$A$1204+(1-((Agenda!$E$5:$E$1204=A295)*((Agenda!$H$5:$H$1204="Agendado")+(Agenda!$H$5:$H$1204="Confirmado"))))*1E+10))&gt;=1E+10,"",SUMPRODUCT(MIN(((Agenda!$E$5:$E$1204=A295)*((Agenda!$H$5:$H$1204="Agendado")+(Agenda!$H$5:$H$1204="Confirmado")))*Agenda!$A$5:$A$1204+(1-((Agenda!$E$5:$E$1204=A295)*((Agenda!$H$5:$H$1204="Agendado")+(Agenda!$H$5:$H$1204="Confirmado"))))*1E+10))))</f>
        <v/>
      </c>
    </row>
    <row r="296">
      <c r="A296" s="36" t="n"/>
      <c r="B296" s="37" t="n"/>
      <c r="C296" s="37" t="n"/>
      <c r="D296" s="36" t="n"/>
      <c r="E296" s="36" t="n"/>
      <c r="F296" s="29">
        <f>IF(A296="","",COUNTIFS(Agenda!$E$5:$E$1204,A296,Agenda!$H$5:$H$1204,"Realizado"))</f>
        <v/>
      </c>
      <c r="G296" s="29">
        <f>IF(A296="","",COUNTIFS(Agenda!$E$5:$E$1204,A296,Agenda!$H$5:$H$1204,"Falta"))</f>
        <v/>
      </c>
      <c r="H296" s="33">
        <f>IF(A296="","",IF(SUMPRODUCT(MAX((Agenda!$E$5:$E$1204=A296)*(Agenda!$H$5:$H$1204="Realizado")*Agenda!$A$5:$A$1204))=0,"",SUMPRODUCT(MAX((Agenda!$E$5:$E$1204=A296)*(Agenda!$H$5:$H$1204="Realizado")*Agenda!$A$5:$A$1204))))</f>
        <v/>
      </c>
      <c r="I296" s="33">
        <f>IF(A296="","",IF(SUMPRODUCT(MIN(((Agenda!$E$5:$E$1204=A296)*((Agenda!$H$5:$H$1204="Agendado")+(Agenda!$H$5:$H$1204="Confirmado")))*Agenda!$A$5:$A$1204+(1-((Agenda!$E$5:$E$1204=A296)*((Agenda!$H$5:$H$1204="Agendado")+(Agenda!$H$5:$H$1204="Confirmado"))))*1E+10))&gt;=1E+10,"",SUMPRODUCT(MIN(((Agenda!$E$5:$E$1204=A296)*((Agenda!$H$5:$H$1204="Agendado")+(Agenda!$H$5:$H$1204="Confirmado")))*Agenda!$A$5:$A$1204+(1-((Agenda!$E$5:$E$1204=A296)*((Agenda!$H$5:$H$1204="Agendado")+(Agenda!$H$5:$H$1204="Confirmado"))))*1E+10))))</f>
        <v/>
      </c>
    </row>
    <row r="297">
      <c r="A297" s="36" t="n"/>
      <c r="B297" s="37" t="n"/>
      <c r="C297" s="37" t="n"/>
      <c r="D297" s="36" t="n"/>
      <c r="E297" s="36" t="n"/>
      <c r="F297" s="29">
        <f>IF(A297="","",COUNTIFS(Agenda!$E$5:$E$1204,A297,Agenda!$H$5:$H$1204,"Realizado"))</f>
        <v/>
      </c>
      <c r="G297" s="29">
        <f>IF(A297="","",COUNTIFS(Agenda!$E$5:$E$1204,A297,Agenda!$H$5:$H$1204,"Falta"))</f>
        <v/>
      </c>
      <c r="H297" s="33">
        <f>IF(A297="","",IF(SUMPRODUCT(MAX((Agenda!$E$5:$E$1204=A297)*(Agenda!$H$5:$H$1204="Realizado")*Agenda!$A$5:$A$1204))=0,"",SUMPRODUCT(MAX((Agenda!$E$5:$E$1204=A297)*(Agenda!$H$5:$H$1204="Realizado")*Agenda!$A$5:$A$1204))))</f>
        <v/>
      </c>
      <c r="I297" s="33">
        <f>IF(A297="","",IF(SUMPRODUCT(MIN(((Agenda!$E$5:$E$1204=A297)*((Agenda!$H$5:$H$1204="Agendado")+(Agenda!$H$5:$H$1204="Confirmado")))*Agenda!$A$5:$A$1204+(1-((Agenda!$E$5:$E$1204=A297)*((Agenda!$H$5:$H$1204="Agendado")+(Agenda!$H$5:$H$1204="Confirmado"))))*1E+10))&gt;=1E+10,"",SUMPRODUCT(MIN(((Agenda!$E$5:$E$1204=A297)*((Agenda!$H$5:$H$1204="Agendado")+(Agenda!$H$5:$H$1204="Confirmado")))*Agenda!$A$5:$A$1204+(1-((Agenda!$E$5:$E$1204=A297)*((Agenda!$H$5:$H$1204="Agendado")+(Agenda!$H$5:$H$1204="Confirmado"))))*1E+10))))</f>
        <v/>
      </c>
    </row>
    <row r="298">
      <c r="A298" s="36" t="n"/>
      <c r="B298" s="37" t="n"/>
      <c r="C298" s="37" t="n"/>
      <c r="D298" s="36" t="n"/>
      <c r="E298" s="36" t="n"/>
      <c r="F298" s="29">
        <f>IF(A298="","",COUNTIFS(Agenda!$E$5:$E$1204,A298,Agenda!$H$5:$H$1204,"Realizado"))</f>
        <v/>
      </c>
      <c r="G298" s="29">
        <f>IF(A298="","",COUNTIFS(Agenda!$E$5:$E$1204,A298,Agenda!$H$5:$H$1204,"Falta"))</f>
        <v/>
      </c>
      <c r="H298" s="33">
        <f>IF(A298="","",IF(SUMPRODUCT(MAX((Agenda!$E$5:$E$1204=A298)*(Agenda!$H$5:$H$1204="Realizado")*Agenda!$A$5:$A$1204))=0,"",SUMPRODUCT(MAX((Agenda!$E$5:$E$1204=A298)*(Agenda!$H$5:$H$1204="Realizado")*Agenda!$A$5:$A$1204))))</f>
        <v/>
      </c>
      <c r="I298" s="33">
        <f>IF(A298="","",IF(SUMPRODUCT(MIN(((Agenda!$E$5:$E$1204=A298)*((Agenda!$H$5:$H$1204="Agendado")+(Agenda!$H$5:$H$1204="Confirmado")))*Agenda!$A$5:$A$1204+(1-((Agenda!$E$5:$E$1204=A298)*((Agenda!$H$5:$H$1204="Agendado")+(Agenda!$H$5:$H$1204="Confirmado"))))*1E+10))&gt;=1E+10,"",SUMPRODUCT(MIN(((Agenda!$E$5:$E$1204=A298)*((Agenda!$H$5:$H$1204="Agendado")+(Agenda!$H$5:$H$1204="Confirmado")))*Agenda!$A$5:$A$1204+(1-((Agenda!$E$5:$E$1204=A298)*((Agenda!$H$5:$H$1204="Agendado")+(Agenda!$H$5:$H$1204="Confirmado"))))*1E+10))))</f>
        <v/>
      </c>
    </row>
    <row r="299">
      <c r="A299" s="36" t="n"/>
      <c r="B299" s="37" t="n"/>
      <c r="C299" s="37" t="n"/>
      <c r="D299" s="36" t="n"/>
      <c r="E299" s="36" t="n"/>
      <c r="F299" s="29">
        <f>IF(A299="","",COUNTIFS(Agenda!$E$5:$E$1204,A299,Agenda!$H$5:$H$1204,"Realizado"))</f>
        <v/>
      </c>
      <c r="G299" s="29">
        <f>IF(A299="","",COUNTIFS(Agenda!$E$5:$E$1204,A299,Agenda!$H$5:$H$1204,"Falta"))</f>
        <v/>
      </c>
      <c r="H299" s="33">
        <f>IF(A299="","",IF(SUMPRODUCT(MAX((Agenda!$E$5:$E$1204=A299)*(Agenda!$H$5:$H$1204="Realizado")*Agenda!$A$5:$A$1204))=0,"",SUMPRODUCT(MAX((Agenda!$E$5:$E$1204=A299)*(Agenda!$H$5:$H$1204="Realizado")*Agenda!$A$5:$A$1204))))</f>
        <v/>
      </c>
      <c r="I299" s="33">
        <f>IF(A299="","",IF(SUMPRODUCT(MIN(((Agenda!$E$5:$E$1204=A299)*((Agenda!$H$5:$H$1204="Agendado")+(Agenda!$H$5:$H$1204="Confirmado")))*Agenda!$A$5:$A$1204+(1-((Agenda!$E$5:$E$1204=A299)*((Agenda!$H$5:$H$1204="Agendado")+(Agenda!$H$5:$H$1204="Confirmado"))))*1E+10))&gt;=1E+10,"",SUMPRODUCT(MIN(((Agenda!$E$5:$E$1204=A299)*((Agenda!$H$5:$H$1204="Agendado")+(Agenda!$H$5:$H$1204="Confirmado")))*Agenda!$A$5:$A$1204+(1-((Agenda!$E$5:$E$1204=A299)*((Agenda!$H$5:$H$1204="Agendado")+(Agenda!$H$5:$H$1204="Confirmado"))))*1E+10))))</f>
        <v/>
      </c>
    </row>
    <row r="300">
      <c r="A300" s="36" t="n"/>
      <c r="B300" s="37" t="n"/>
      <c r="C300" s="37" t="n"/>
      <c r="D300" s="36" t="n"/>
      <c r="E300" s="36" t="n"/>
      <c r="F300" s="29">
        <f>IF(A300="","",COUNTIFS(Agenda!$E$5:$E$1204,A300,Agenda!$H$5:$H$1204,"Realizado"))</f>
        <v/>
      </c>
      <c r="G300" s="29">
        <f>IF(A300="","",COUNTIFS(Agenda!$E$5:$E$1204,A300,Agenda!$H$5:$H$1204,"Falta"))</f>
        <v/>
      </c>
      <c r="H300" s="33">
        <f>IF(A300="","",IF(SUMPRODUCT(MAX((Agenda!$E$5:$E$1204=A300)*(Agenda!$H$5:$H$1204="Realizado")*Agenda!$A$5:$A$1204))=0,"",SUMPRODUCT(MAX((Agenda!$E$5:$E$1204=A300)*(Agenda!$H$5:$H$1204="Realizado")*Agenda!$A$5:$A$1204))))</f>
        <v/>
      </c>
      <c r="I300" s="33">
        <f>IF(A300="","",IF(SUMPRODUCT(MIN(((Agenda!$E$5:$E$1204=A300)*((Agenda!$H$5:$H$1204="Agendado")+(Agenda!$H$5:$H$1204="Confirmado")))*Agenda!$A$5:$A$1204+(1-((Agenda!$E$5:$E$1204=A300)*((Agenda!$H$5:$H$1204="Agendado")+(Agenda!$H$5:$H$1204="Confirmado"))))*1E+10))&gt;=1E+10,"",SUMPRODUCT(MIN(((Agenda!$E$5:$E$1204=A300)*((Agenda!$H$5:$H$1204="Agendado")+(Agenda!$H$5:$H$1204="Confirmado")))*Agenda!$A$5:$A$1204+(1-((Agenda!$E$5:$E$1204=A300)*((Agenda!$H$5:$H$1204="Agendado")+(Agenda!$H$5:$H$1204="Confirmado"))))*1E+10))))</f>
        <v/>
      </c>
    </row>
    <row r="301">
      <c r="A301" s="36" t="n"/>
      <c r="B301" s="37" t="n"/>
      <c r="C301" s="37" t="n"/>
      <c r="D301" s="36" t="n"/>
      <c r="E301" s="36" t="n"/>
      <c r="F301" s="29">
        <f>IF(A301="","",COUNTIFS(Agenda!$E$5:$E$1204,A301,Agenda!$H$5:$H$1204,"Realizado"))</f>
        <v/>
      </c>
      <c r="G301" s="29">
        <f>IF(A301="","",COUNTIFS(Agenda!$E$5:$E$1204,A301,Agenda!$H$5:$H$1204,"Falta"))</f>
        <v/>
      </c>
      <c r="H301" s="33">
        <f>IF(A301="","",IF(SUMPRODUCT(MAX((Agenda!$E$5:$E$1204=A301)*(Agenda!$H$5:$H$1204="Realizado")*Agenda!$A$5:$A$1204))=0,"",SUMPRODUCT(MAX((Agenda!$E$5:$E$1204=A301)*(Agenda!$H$5:$H$1204="Realizado")*Agenda!$A$5:$A$1204))))</f>
        <v/>
      </c>
      <c r="I301" s="33">
        <f>IF(A301="","",IF(SUMPRODUCT(MIN(((Agenda!$E$5:$E$1204=A301)*((Agenda!$H$5:$H$1204="Agendado")+(Agenda!$H$5:$H$1204="Confirmado")))*Agenda!$A$5:$A$1204+(1-((Agenda!$E$5:$E$1204=A301)*((Agenda!$H$5:$H$1204="Agendado")+(Agenda!$H$5:$H$1204="Confirmado"))))*1E+10))&gt;=1E+10,"",SUMPRODUCT(MIN(((Agenda!$E$5:$E$1204=A301)*((Agenda!$H$5:$H$1204="Agendado")+(Agenda!$H$5:$H$1204="Confirmado")))*Agenda!$A$5:$A$1204+(1-((Agenda!$E$5:$E$1204=A301)*((Agenda!$H$5:$H$1204="Agendado")+(Agenda!$H$5:$H$1204="Confirmado"))))*1E+10))))</f>
        <v/>
      </c>
    </row>
    <row r="302">
      <c r="A302" s="36" t="n"/>
      <c r="B302" s="37" t="n"/>
      <c r="C302" s="37" t="n"/>
      <c r="D302" s="36" t="n"/>
      <c r="E302" s="36" t="n"/>
      <c r="F302" s="29">
        <f>IF(A302="","",COUNTIFS(Agenda!$E$5:$E$1204,A302,Agenda!$H$5:$H$1204,"Realizado"))</f>
        <v/>
      </c>
      <c r="G302" s="29">
        <f>IF(A302="","",COUNTIFS(Agenda!$E$5:$E$1204,A302,Agenda!$H$5:$H$1204,"Falta"))</f>
        <v/>
      </c>
      <c r="H302" s="33">
        <f>IF(A302="","",IF(SUMPRODUCT(MAX((Agenda!$E$5:$E$1204=A302)*(Agenda!$H$5:$H$1204="Realizado")*Agenda!$A$5:$A$1204))=0,"",SUMPRODUCT(MAX((Agenda!$E$5:$E$1204=A302)*(Agenda!$H$5:$H$1204="Realizado")*Agenda!$A$5:$A$1204))))</f>
        <v/>
      </c>
      <c r="I302" s="33">
        <f>IF(A302="","",IF(SUMPRODUCT(MIN(((Agenda!$E$5:$E$1204=A302)*((Agenda!$H$5:$H$1204="Agendado")+(Agenda!$H$5:$H$1204="Confirmado")))*Agenda!$A$5:$A$1204+(1-((Agenda!$E$5:$E$1204=A302)*((Agenda!$H$5:$H$1204="Agendado")+(Agenda!$H$5:$H$1204="Confirmado"))))*1E+10))&gt;=1E+10,"",SUMPRODUCT(MIN(((Agenda!$E$5:$E$1204=A302)*((Agenda!$H$5:$H$1204="Agendado")+(Agenda!$H$5:$H$1204="Confirmado")))*Agenda!$A$5:$A$1204+(1-((Agenda!$E$5:$E$1204=A302)*((Agenda!$H$5:$H$1204="Agendado")+(Agenda!$H$5:$H$1204="Confirmado"))))*1E+10))))</f>
        <v/>
      </c>
    </row>
    <row r="303">
      <c r="A303" s="36" t="n"/>
      <c r="B303" s="37" t="n"/>
      <c r="C303" s="37" t="n"/>
      <c r="D303" s="36" t="n"/>
      <c r="E303" s="36" t="n"/>
      <c r="F303" s="29">
        <f>IF(A303="","",COUNTIFS(Agenda!$E$5:$E$1204,A303,Agenda!$H$5:$H$1204,"Realizado"))</f>
        <v/>
      </c>
      <c r="G303" s="29">
        <f>IF(A303="","",COUNTIFS(Agenda!$E$5:$E$1204,A303,Agenda!$H$5:$H$1204,"Falta"))</f>
        <v/>
      </c>
      <c r="H303" s="33">
        <f>IF(A303="","",IF(SUMPRODUCT(MAX((Agenda!$E$5:$E$1204=A303)*(Agenda!$H$5:$H$1204="Realizado")*Agenda!$A$5:$A$1204))=0,"",SUMPRODUCT(MAX((Agenda!$E$5:$E$1204=A303)*(Agenda!$H$5:$H$1204="Realizado")*Agenda!$A$5:$A$1204))))</f>
        <v/>
      </c>
      <c r="I303" s="33">
        <f>IF(A303="","",IF(SUMPRODUCT(MIN(((Agenda!$E$5:$E$1204=A303)*((Agenda!$H$5:$H$1204="Agendado")+(Agenda!$H$5:$H$1204="Confirmado")))*Agenda!$A$5:$A$1204+(1-((Agenda!$E$5:$E$1204=A303)*((Agenda!$H$5:$H$1204="Agendado")+(Agenda!$H$5:$H$1204="Confirmado"))))*1E+10))&gt;=1E+10,"",SUMPRODUCT(MIN(((Agenda!$E$5:$E$1204=A303)*((Agenda!$H$5:$H$1204="Agendado")+(Agenda!$H$5:$H$1204="Confirmado")))*Agenda!$A$5:$A$1204+(1-((Agenda!$E$5:$E$1204=A303)*((Agenda!$H$5:$H$1204="Agendado")+(Agenda!$H$5:$H$1204="Confirmado"))))*1E+10))))</f>
        <v/>
      </c>
    </row>
    <row r="304">
      <c r="A304" s="36" t="n"/>
      <c r="B304" s="37" t="n"/>
      <c r="C304" s="37" t="n"/>
      <c r="D304" s="36" t="n"/>
      <c r="E304" s="36" t="n"/>
      <c r="F304" s="29">
        <f>IF(A304="","",COUNTIFS(Agenda!$E$5:$E$1204,A304,Agenda!$H$5:$H$1204,"Realizado"))</f>
        <v/>
      </c>
      <c r="G304" s="29">
        <f>IF(A304="","",COUNTIFS(Agenda!$E$5:$E$1204,A304,Agenda!$H$5:$H$1204,"Falta"))</f>
        <v/>
      </c>
      <c r="H304" s="33">
        <f>IF(A304="","",IF(SUMPRODUCT(MAX((Agenda!$E$5:$E$1204=A304)*(Agenda!$H$5:$H$1204="Realizado")*Agenda!$A$5:$A$1204))=0,"",SUMPRODUCT(MAX((Agenda!$E$5:$E$1204=A304)*(Agenda!$H$5:$H$1204="Realizado")*Agenda!$A$5:$A$1204))))</f>
        <v/>
      </c>
      <c r="I304" s="33">
        <f>IF(A304="","",IF(SUMPRODUCT(MIN(((Agenda!$E$5:$E$1204=A304)*((Agenda!$H$5:$H$1204="Agendado")+(Agenda!$H$5:$H$1204="Confirmado")))*Agenda!$A$5:$A$1204+(1-((Agenda!$E$5:$E$1204=A304)*((Agenda!$H$5:$H$1204="Agendado")+(Agenda!$H$5:$H$1204="Confirmado"))))*1E+10))&gt;=1E+10,"",SUMPRODUCT(MIN(((Agenda!$E$5:$E$1204=A304)*((Agenda!$H$5:$H$1204="Agendado")+(Agenda!$H$5:$H$1204="Confirmado")))*Agenda!$A$5:$A$1204+(1-((Agenda!$E$5:$E$1204=A304)*((Agenda!$H$5:$H$1204="Agendado")+(Agenda!$H$5:$H$1204="Confirmado"))))*1E+10))))</f>
        <v/>
      </c>
    </row>
    <row r="305">
      <c r="A305" s="36" t="n"/>
      <c r="B305" s="37" t="n"/>
      <c r="C305" s="37" t="n"/>
      <c r="D305" s="36" t="n"/>
      <c r="E305" s="36" t="n"/>
      <c r="F305" s="29">
        <f>IF(A305="","",COUNTIFS(Agenda!$E$5:$E$1204,A305,Agenda!$H$5:$H$1204,"Realizado"))</f>
        <v/>
      </c>
      <c r="G305" s="29">
        <f>IF(A305="","",COUNTIFS(Agenda!$E$5:$E$1204,A305,Agenda!$H$5:$H$1204,"Falta"))</f>
        <v/>
      </c>
      <c r="H305" s="33">
        <f>IF(A305="","",IF(SUMPRODUCT(MAX((Agenda!$E$5:$E$1204=A305)*(Agenda!$H$5:$H$1204="Realizado")*Agenda!$A$5:$A$1204))=0,"",SUMPRODUCT(MAX((Agenda!$E$5:$E$1204=A305)*(Agenda!$H$5:$H$1204="Realizado")*Agenda!$A$5:$A$1204))))</f>
        <v/>
      </c>
      <c r="I305" s="33">
        <f>IF(A305="","",IF(SUMPRODUCT(MIN(((Agenda!$E$5:$E$1204=A305)*((Agenda!$H$5:$H$1204="Agendado")+(Agenda!$H$5:$H$1204="Confirmado")))*Agenda!$A$5:$A$1204+(1-((Agenda!$E$5:$E$1204=A305)*((Agenda!$H$5:$H$1204="Agendado")+(Agenda!$H$5:$H$1204="Confirmado"))))*1E+10))&gt;=1E+10,"",SUMPRODUCT(MIN(((Agenda!$E$5:$E$1204=A305)*((Agenda!$H$5:$H$1204="Agendado")+(Agenda!$H$5:$H$1204="Confirmado")))*Agenda!$A$5:$A$1204+(1-((Agenda!$E$5:$E$1204=A305)*((Agenda!$H$5:$H$1204="Agendado")+(Agenda!$H$5:$H$1204="Confirmado"))))*1E+10))))</f>
        <v/>
      </c>
    </row>
    <row r="306">
      <c r="A306" s="36" t="n"/>
      <c r="B306" s="37" t="n"/>
      <c r="C306" s="37" t="n"/>
      <c r="D306" s="36" t="n"/>
      <c r="E306" s="36" t="n"/>
      <c r="F306" s="29">
        <f>IF(A306="","",COUNTIFS(Agenda!$E$5:$E$1204,A306,Agenda!$H$5:$H$1204,"Realizado"))</f>
        <v/>
      </c>
      <c r="G306" s="29">
        <f>IF(A306="","",COUNTIFS(Agenda!$E$5:$E$1204,A306,Agenda!$H$5:$H$1204,"Falta"))</f>
        <v/>
      </c>
      <c r="H306" s="33">
        <f>IF(A306="","",IF(SUMPRODUCT(MAX((Agenda!$E$5:$E$1204=A306)*(Agenda!$H$5:$H$1204="Realizado")*Agenda!$A$5:$A$1204))=0,"",SUMPRODUCT(MAX((Agenda!$E$5:$E$1204=A306)*(Agenda!$H$5:$H$1204="Realizado")*Agenda!$A$5:$A$1204))))</f>
        <v/>
      </c>
      <c r="I306" s="33">
        <f>IF(A306="","",IF(SUMPRODUCT(MIN(((Agenda!$E$5:$E$1204=A306)*((Agenda!$H$5:$H$1204="Agendado")+(Agenda!$H$5:$H$1204="Confirmado")))*Agenda!$A$5:$A$1204+(1-((Agenda!$E$5:$E$1204=A306)*((Agenda!$H$5:$H$1204="Agendado")+(Agenda!$H$5:$H$1204="Confirmado"))))*1E+10))&gt;=1E+10,"",SUMPRODUCT(MIN(((Agenda!$E$5:$E$1204=A306)*((Agenda!$H$5:$H$1204="Agendado")+(Agenda!$H$5:$H$1204="Confirmado")))*Agenda!$A$5:$A$1204+(1-((Agenda!$E$5:$E$1204=A306)*((Agenda!$H$5:$H$1204="Agendado")+(Agenda!$H$5:$H$1204="Confirmado"))))*1E+10))))</f>
        <v/>
      </c>
    </row>
    <row r="307">
      <c r="A307" s="36" t="n"/>
      <c r="B307" s="37" t="n"/>
      <c r="C307" s="37" t="n"/>
      <c r="D307" s="36" t="n"/>
      <c r="E307" s="36" t="n"/>
      <c r="F307" s="29">
        <f>IF(A307="","",COUNTIFS(Agenda!$E$5:$E$1204,A307,Agenda!$H$5:$H$1204,"Realizado"))</f>
        <v/>
      </c>
      <c r="G307" s="29">
        <f>IF(A307="","",COUNTIFS(Agenda!$E$5:$E$1204,A307,Agenda!$H$5:$H$1204,"Falta"))</f>
        <v/>
      </c>
      <c r="H307" s="33">
        <f>IF(A307="","",IF(SUMPRODUCT(MAX((Agenda!$E$5:$E$1204=A307)*(Agenda!$H$5:$H$1204="Realizado")*Agenda!$A$5:$A$1204))=0,"",SUMPRODUCT(MAX((Agenda!$E$5:$E$1204=A307)*(Agenda!$H$5:$H$1204="Realizado")*Agenda!$A$5:$A$1204))))</f>
        <v/>
      </c>
      <c r="I307" s="33">
        <f>IF(A307="","",IF(SUMPRODUCT(MIN(((Agenda!$E$5:$E$1204=A307)*((Agenda!$H$5:$H$1204="Agendado")+(Agenda!$H$5:$H$1204="Confirmado")))*Agenda!$A$5:$A$1204+(1-((Agenda!$E$5:$E$1204=A307)*((Agenda!$H$5:$H$1204="Agendado")+(Agenda!$H$5:$H$1204="Confirmado"))))*1E+10))&gt;=1E+10,"",SUMPRODUCT(MIN(((Agenda!$E$5:$E$1204=A307)*((Agenda!$H$5:$H$1204="Agendado")+(Agenda!$H$5:$H$1204="Confirmado")))*Agenda!$A$5:$A$1204+(1-((Agenda!$E$5:$E$1204=A307)*((Agenda!$H$5:$H$1204="Agendado")+(Agenda!$H$5:$H$1204="Confirmado"))))*1E+10))))</f>
        <v/>
      </c>
    </row>
    <row r="308">
      <c r="A308" s="36" t="n"/>
      <c r="B308" s="37" t="n"/>
      <c r="C308" s="37" t="n"/>
      <c r="D308" s="36" t="n"/>
      <c r="E308" s="36" t="n"/>
      <c r="F308" s="29">
        <f>IF(A308="","",COUNTIFS(Agenda!$E$5:$E$1204,A308,Agenda!$H$5:$H$1204,"Realizado"))</f>
        <v/>
      </c>
      <c r="G308" s="29">
        <f>IF(A308="","",COUNTIFS(Agenda!$E$5:$E$1204,A308,Agenda!$H$5:$H$1204,"Falta"))</f>
        <v/>
      </c>
      <c r="H308" s="33">
        <f>IF(A308="","",IF(SUMPRODUCT(MAX((Agenda!$E$5:$E$1204=A308)*(Agenda!$H$5:$H$1204="Realizado")*Agenda!$A$5:$A$1204))=0,"",SUMPRODUCT(MAX((Agenda!$E$5:$E$1204=A308)*(Agenda!$H$5:$H$1204="Realizado")*Agenda!$A$5:$A$1204))))</f>
        <v/>
      </c>
      <c r="I308" s="33">
        <f>IF(A308="","",IF(SUMPRODUCT(MIN(((Agenda!$E$5:$E$1204=A308)*((Agenda!$H$5:$H$1204="Agendado")+(Agenda!$H$5:$H$1204="Confirmado")))*Agenda!$A$5:$A$1204+(1-((Agenda!$E$5:$E$1204=A308)*((Agenda!$H$5:$H$1204="Agendado")+(Agenda!$H$5:$H$1204="Confirmado"))))*1E+10))&gt;=1E+10,"",SUMPRODUCT(MIN(((Agenda!$E$5:$E$1204=A308)*((Agenda!$H$5:$H$1204="Agendado")+(Agenda!$H$5:$H$1204="Confirmado")))*Agenda!$A$5:$A$1204+(1-((Agenda!$E$5:$E$1204=A308)*((Agenda!$H$5:$H$1204="Agendado")+(Agenda!$H$5:$H$1204="Confirmado"))))*1E+10))))</f>
        <v/>
      </c>
    </row>
    <row r="309">
      <c r="A309" s="36" t="n"/>
      <c r="B309" s="37" t="n"/>
      <c r="C309" s="37" t="n"/>
      <c r="D309" s="36" t="n"/>
      <c r="E309" s="36" t="n"/>
      <c r="F309" s="29">
        <f>IF(A309="","",COUNTIFS(Agenda!$E$5:$E$1204,A309,Agenda!$H$5:$H$1204,"Realizado"))</f>
        <v/>
      </c>
      <c r="G309" s="29">
        <f>IF(A309="","",COUNTIFS(Agenda!$E$5:$E$1204,A309,Agenda!$H$5:$H$1204,"Falta"))</f>
        <v/>
      </c>
      <c r="H309" s="33">
        <f>IF(A309="","",IF(SUMPRODUCT(MAX((Agenda!$E$5:$E$1204=A309)*(Agenda!$H$5:$H$1204="Realizado")*Agenda!$A$5:$A$1204))=0,"",SUMPRODUCT(MAX((Agenda!$E$5:$E$1204=A309)*(Agenda!$H$5:$H$1204="Realizado")*Agenda!$A$5:$A$1204))))</f>
        <v/>
      </c>
      <c r="I309" s="33">
        <f>IF(A309="","",IF(SUMPRODUCT(MIN(((Agenda!$E$5:$E$1204=A309)*((Agenda!$H$5:$H$1204="Agendado")+(Agenda!$H$5:$H$1204="Confirmado")))*Agenda!$A$5:$A$1204+(1-((Agenda!$E$5:$E$1204=A309)*((Agenda!$H$5:$H$1204="Agendado")+(Agenda!$H$5:$H$1204="Confirmado"))))*1E+10))&gt;=1E+10,"",SUMPRODUCT(MIN(((Agenda!$E$5:$E$1204=A309)*((Agenda!$H$5:$H$1204="Agendado")+(Agenda!$H$5:$H$1204="Confirmado")))*Agenda!$A$5:$A$1204+(1-((Agenda!$E$5:$E$1204=A309)*((Agenda!$H$5:$H$1204="Agendado")+(Agenda!$H$5:$H$1204="Confirmado"))))*1E+10))))</f>
        <v/>
      </c>
    </row>
    <row r="310">
      <c r="A310" s="36" t="n"/>
      <c r="B310" s="37" t="n"/>
      <c r="C310" s="37" t="n"/>
      <c r="D310" s="36" t="n"/>
      <c r="E310" s="36" t="n"/>
      <c r="F310" s="29">
        <f>IF(A310="","",COUNTIFS(Agenda!$E$5:$E$1204,A310,Agenda!$H$5:$H$1204,"Realizado"))</f>
        <v/>
      </c>
      <c r="G310" s="29">
        <f>IF(A310="","",COUNTIFS(Agenda!$E$5:$E$1204,A310,Agenda!$H$5:$H$1204,"Falta"))</f>
        <v/>
      </c>
      <c r="H310" s="33">
        <f>IF(A310="","",IF(SUMPRODUCT(MAX((Agenda!$E$5:$E$1204=A310)*(Agenda!$H$5:$H$1204="Realizado")*Agenda!$A$5:$A$1204))=0,"",SUMPRODUCT(MAX((Agenda!$E$5:$E$1204=A310)*(Agenda!$H$5:$H$1204="Realizado")*Agenda!$A$5:$A$1204))))</f>
        <v/>
      </c>
      <c r="I310" s="33">
        <f>IF(A310="","",IF(SUMPRODUCT(MIN(((Agenda!$E$5:$E$1204=A310)*((Agenda!$H$5:$H$1204="Agendado")+(Agenda!$H$5:$H$1204="Confirmado")))*Agenda!$A$5:$A$1204+(1-((Agenda!$E$5:$E$1204=A310)*((Agenda!$H$5:$H$1204="Agendado")+(Agenda!$H$5:$H$1204="Confirmado"))))*1E+10))&gt;=1E+10,"",SUMPRODUCT(MIN(((Agenda!$E$5:$E$1204=A310)*((Agenda!$H$5:$H$1204="Agendado")+(Agenda!$H$5:$H$1204="Confirmado")))*Agenda!$A$5:$A$1204+(1-((Agenda!$E$5:$E$1204=A310)*((Agenda!$H$5:$H$1204="Agendado")+(Agenda!$H$5:$H$1204="Confirmado"))))*1E+10))))</f>
        <v/>
      </c>
    </row>
    <row r="311">
      <c r="A311" s="36" t="n"/>
      <c r="B311" s="37" t="n"/>
      <c r="C311" s="37" t="n"/>
      <c r="D311" s="36" t="n"/>
      <c r="E311" s="36" t="n"/>
      <c r="F311" s="29">
        <f>IF(A311="","",COUNTIFS(Agenda!$E$5:$E$1204,A311,Agenda!$H$5:$H$1204,"Realizado"))</f>
        <v/>
      </c>
      <c r="G311" s="29">
        <f>IF(A311="","",COUNTIFS(Agenda!$E$5:$E$1204,A311,Agenda!$H$5:$H$1204,"Falta"))</f>
        <v/>
      </c>
      <c r="H311" s="33">
        <f>IF(A311="","",IF(SUMPRODUCT(MAX((Agenda!$E$5:$E$1204=A311)*(Agenda!$H$5:$H$1204="Realizado")*Agenda!$A$5:$A$1204))=0,"",SUMPRODUCT(MAX((Agenda!$E$5:$E$1204=A311)*(Agenda!$H$5:$H$1204="Realizado")*Agenda!$A$5:$A$1204))))</f>
        <v/>
      </c>
      <c r="I311" s="33">
        <f>IF(A311="","",IF(SUMPRODUCT(MIN(((Agenda!$E$5:$E$1204=A311)*((Agenda!$H$5:$H$1204="Agendado")+(Agenda!$H$5:$H$1204="Confirmado")))*Agenda!$A$5:$A$1204+(1-((Agenda!$E$5:$E$1204=A311)*((Agenda!$H$5:$H$1204="Agendado")+(Agenda!$H$5:$H$1204="Confirmado"))))*1E+10))&gt;=1E+10,"",SUMPRODUCT(MIN(((Agenda!$E$5:$E$1204=A311)*((Agenda!$H$5:$H$1204="Agendado")+(Agenda!$H$5:$H$1204="Confirmado")))*Agenda!$A$5:$A$1204+(1-((Agenda!$E$5:$E$1204=A311)*((Agenda!$H$5:$H$1204="Agendado")+(Agenda!$H$5:$H$1204="Confirmado"))))*1E+10))))</f>
        <v/>
      </c>
    </row>
    <row r="312">
      <c r="A312" s="36" t="n"/>
      <c r="B312" s="37" t="n"/>
      <c r="C312" s="37" t="n"/>
      <c r="D312" s="36" t="n"/>
      <c r="E312" s="36" t="n"/>
      <c r="F312" s="29">
        <f>IF(A312="","",COUNTIFS(Agenda!$E$5:$E$1204,A312,Agenda!$H$5:$H$1204,"Realizado"))</f>
        <v/>
      </c>
      <c r="G312" s="29">
        <f>IF(A312="","",COUNTIFS(Agenda!$E$5:$E$1204,A312,Agenda!$H$5:$H$1204,"Falta"))</f>
        <v/>
      </c>
      <c r="H312" s="33">
        <f>IF(A312="","",IF(SUMPRODUCT(MAX((Agenda!$E$5:$E$1204=A312)*(Agenda!$H$5:$H$1204="Realizado")*Agenda!$A$5:$A$1204))=0,"",SUMPRODUCT(MAX((Agenda!$E$5:$E$1204=A312)*(Agenda!$H$5:$H$1204="Realizado")*Agenda!$A$5:$A$1204))))</f>
        <v/>
      </c>
      <c r="I312" s="33">
        <f>IF(A312="","",IF(SUMPRODUCT(MIN(((Agenda!$E$5:$E$1204=A312)*((Agenda!$H$5:$H$1204="Agendado")+(Agenda!$H$5:$H$1204="Confirmado")))*Agenda!$A$5:$A$1204+(1-((Agenda!$E$5:$E$1204=A312)*((Agenda!$H$5:$H$1204="Agendado")+(Agenda!$H$5:$H$1204="Confirmado"))))*1E+10))&gt;=1E+10,"",SUMPRODUCT(MIN(((Agenda!$E$5:$E$1204=A312)*((Agenda!$H$5:$H$1204="Agendado")+(Agenda!$H$5:$H$1204="Confirmado")))*Agenda!$A$5:$A$1204+(1-((Agenda!$E$5:$E$1204=A312)*((Agenda!$H$5:$H$1204="Agendado")+(Agenda!$H$5:$H$1204="Confirmado"))))*1E+10))))</f>
        <v/>
      </c>
    </row>
    <row r="313">
      <c r="A313" s="36" t="n"/>
      <c r="B313" s="37" t="n"/>
      <c r="C313" s="37" t="n"/>
      <c r="D313" s="36" t="n"/>
      <c r="E313" s="36" t="n"/>
      <c r="F313" s="29">
        <f>IF(A313="","",COUNTIFS(Agenda!$E$5:$E$1204,A313,Agenda!$H$5:$H$1204,"Realizado"))</f>
        <v/>
      </c>
      <c r="G313" s="29">
        <f>IF(A313="","",COUNTIFS(Agenda!$E$5:$E$1204,A313,Agenda!$H$5:$H$1204,"Falta"))</f>
        <v/>
      </c>
      <c r="H313" s="33">
        <f>IF(A313="","",IF(SUMPRODUCT(MAX((Agenda!$E$5:$E$1204=A313)*(Agenda!$H$5:$H$1204="Realizado")*Agenda!$A$5:$A$1204))=0,"",SUMPRODUCT(MAX((Agenda!$E$5:$E$1204=A313)*(Agenda!$H$5:$H$1204="Realizado")*Agenda!$A$5:$A$1204))))</f>
        <v/>
      </c>
      <c r="I313" s="33">
        <f>IF(A313="","",IF(SUMPRODUCT(MIN(((Agenda!$E$5:$E$1204=A313)*((Agenda!$H$5:$H$1204="Agendado")+(Agenda!$H$5:$H$1204="Confirmado")))*Agenda!$A$5:$A$1204+(1-((Agenda!$E$5:$E$1204=A313)*((Agenda!$H$5:$H$1204="Agendado")+(Agenda!$H$5:$H$1204="Confirmado"))))*1E+10))&gt;=1E+10,"",SUMPRODUCT(MIN(((Agenda!$E$5:$E$1204=A313)*((Agenda!$H$5:$H$1204="Agendado")+(Agenda!$H$5:$H$1204="Confirmado")))*Agenda!$A$5:$A$1204+(1-((Agenda!$E$5:$E$1204=A313)*((Agenda!$H$5:$H$1204="Agendado")+(Agenda!$H$5:$H$1204="Confirmado"))))*1E+10))))</f>
        <v/>
      </c>
    </row>
    <row r="314">
      <c r="A314" s="36" t="n"/>
      <c r="B314" s="37" t="n"/>
      <c r="C314" s="37" t="n"/>
      <c r="D314" s="36" t="n"/>
      <c r="E314" s="36" t="n"/>
      <c r="F314" s="29">
        <f>IF(A314="","",COUNTIFS(Agenda!$E$5:$E$1204,A314,Agenda!$H$5:$H$1204,"Realizado"))</f>
        <v/>
      </c>
      <c r="G314" s="29">
        <f>IF(A314="","",COUNTIFS(Agenda!$E$5:$E$1204,A314,Agenda!$H$5:$H$1204,"Falta"))</f>
        <v/>
      </c>
      <c r="H314" s="33">
        <f>IF(A314="","",IF(SUMPRODUCT(MAX((Agenda!$E$5:$E$1204=A314)*(Agenda!$H$5:$H$1204="Realizado")*Agenda!$A$5:$A$1204))=0,"",SUMPRODUCT(MAX((Agenda!$E$5:$E$1204=A314)*(Agenda!$H$5:$H$1204="Realizado")*Agenda!$A$5:$A$1204))))</f>
        <v/>
      </c>
      <c r="I314" s="33">
        <f>IF(A314="","",IF(SUMPRODUCT(MIN(((Agenda!$E$5:$E$1204=A314)*((Agenda!$H$5:$H$1204="Agendado")+(Agenda!$H$5:$H$1204="Confirmado")))*Agenda!$A$5:$A$1204+(1-((Agenda!$E$5:$E$1204=A314)*((Agenda!$H$5:$H$1204="Agendado")+(Agenda!$H$5:$H$1204="Confirmado"))))*1E+10))&gt;=1E+10,"",SUMPRODUCT(MIN(((Agenda!$E$5:$E$1204=A314)*((Agenda!$H$5:$H$1204="Agendado")+(Agenda!$H$5:$H$1204="Confirmado")))*Agenda!$A$5:$A$1204+(1-((Agenda!$E$5:$E$1204=A314)*((Agenda!$H$5:$H$1204="Agendado")+(Agenda!$H$5:$H$1204="Confirmado"))))*1E+10))))</f>
        <v/>
      </c>
    </row>
    <row r="315">
      <c r="A315" s="36" t="n"/>
      <c r="B315" s="37" t="n"/>
      <c r="C315" s="37" t="n"/>
      <c r="D315" s="36" t="n"/>
      <c r="E315" s="36" t="n"/>
      <c r="F315" s="29">
        <f>IF(A315="","",COUNTIFS(Agenda!$E$5:$E$1204,A315,Agenda!$H$5:$H$1204,"Realizado"))</f>
        <v/>
      </c>
      <c r="G315" s="29">
        <f>IF(A315="","",COUNTIFS(Agenda!$E$5:$E$1204,A315,Agenda!$H$5:$H$1204,"Falta"))</f>
        <v/>
      </c>
      <c r="H315" s="33">
        <f>IF(A315="","",IF(SUMPRODUCT(MAX((Agenda!$E$5:$E$1204=A315)*(Agenda!$H$5:$H$1204="Realizado")*Agenda!$A$5:$A$1204))=0,"",SUMPRODUCT(MAX((Agenda!$E$5:$E$1204=A315)*(Agenda!$H$5:$H$1204="Realizado")*Agenda!$A$5:$A$1204))))</f>
        <v/>
      </c>
      <c r="I315" s="33">
        <f>IF(A315="","",IF(SUMPRODUCT(MIN(((Agenda!$E$5:$E$1204=A315)*((Agenda!$H$5:$H$1204="Agendado")+(Agenda!$H$5:$H$1204="Confirmado")))*Agenda!$A$5:$A$1204+(1-((Agenda!$E$5:$E$1204=A315)*((Agenda!$H$5:$H$1204="Agendado")+(Agenda!$H$5:$H$1204="Confirmado"))))*1E+10))&gt;=1E+10,"",SUMPRODUCT(MIN(((Agenda!$E$5:$E$1204=A315)*((Agenda!$H$5:$H$1204="Agendado")+(Agenda!$H$5:$H$1204="Confirmado")))*Agenda!$A$5:$A$1204+(1-((Agenda!$E$5:$E$1204=A315)*((Agenda!$H$5:$H$1204="Agendado")+(Agenda!$H$5:$H$1204="Confirmado"))))*1E+10))))</f>
        <v/>
      </c>
    </row>
    <row r="316">
      <c r="A316" s="36" t="n"/>
      <c r="B316" s="37" t="n"/>
      <c r="C316" s="37" t="n"/>
      <c r="D316" s="36" t="n"/>
      <c r="E316" s="36" t="n"/>
      <c r="F316" s="29">
        <f>IF(A316="","",COUNTIFS(Agenda!$E$5:$E$1204,A316,Agenda!$H$5:$H$1204,"Realizado"))</f>
        <v/>
      </c>
      <c r="G316" s="29">
        <f>IF(A316="","",COUNTIFS(Agenda!$E$5:$E$1204,A316,Agenda!$H$5:$H$1204,"Falta"))</f>
        <v/>
      </c>
      <c r="H316" s="33">
        <f>IF(A316="","",IF(SUMPRODUCT(MAX((Agenda!$E$5:$E$1204=A316)*(Agenda!$H$5:$H$1204="Realizado")*Agenda!$A$5:$A$1204))=0,"",SUMPRODUCT(MAX((Agenda!$E$5:$E$1204=A316)*(Agenda!$H$5:$H$1204="Realizado")*Agenda!$A$5:$A$1204))))</f>
        <v/>
      </c>
      <c r="I316" s="33">
        <f>IF(A316="","",IF(SUMPRODUCT(MIN(((Agenda!$E$5:$E$1204=A316)*((Agenda!$H$5:$H$1204="Agendado")+(Agenda!$H$5:$H$1204="Confirmado")))*Agenda!$A$5:$A$1204+(1-((Agenda!$E$5:$E$1204=A316)*((Agenda!$H$5:$H$1204="Agendado")+(Agenda!$H$5:$H$1204="Confirmado"))))*1E+10))&gt;=1E+10,"",SUMPRODUCT(MIN(((Agenda!$E$5:$E$1204=A316)*((Agenda!$H$5:$H$1204="Agendado")+(Agenda!$H$5:$H$1204="Confirmado")))*Agenda!$A$5:$A$1204+(1-((Agenda!$E$5:$E$1204=A316)*((Agenda!$H$5:$H$1204="Agendado")+(Agenda!$H$5:$H$1204="Confirmado"))))*1E+10))))</f>
        <v/>
      </c>
    </row>
    <row r="317">
      <c r="A317" s="36" t="n"/>
      <c r="B317" s="37" t="n"/>
      <c r="C317" s="37" t="n"/>
      <c r="D317" s="36" t="n"/>
      <c r="E317" s="36" t="n"/>
      <c r="F317" s="29">
        <f>IF(A317="","",COUNTIFS(Agenda!$E$5:$E$1204,A317,Agenda!$H$5:$H$1204,"Realizado"))</f>
        <v/>
      </c>
      <c r="G317" s="29">
        <f>IF(A317="","",COUNTIFS(Agenda!$E$5:$E$1204,A317,Agenda!$H$5:$H$1204,"Falta"))</f>
        <v/>
      </c>
      <c r="H317" s="33">
        <f>IF(A317="","",IF(SUMPRODUCT(MAX((Agenda!$E$5:$E$1204=A317)*(Agenda!$H$5:$H$1204="Realizado")*Agenda!$A$5:$A$1204))=0,"",SUMPRODUCT(MAX((Agenda!$E$5:$E$1204=A317)*(Agenda!$H$5:$H$1204="Realizado")*Agenda!$A$5:$A$1204))))</f>
        <v/>
      </c>
      <c r="I317" s="33">
        <f>IF(A317="","",IF(SUMPRODUCT(MIN(((Agenda!$E$5:$E$1204=A317)*((Agenda!$H$5:$H$1204="Agendado")+(Agenda!$H$5:$H$1204="Confirmado")))*Agenda!$A$5:$A$1204+(1-((Agenda!$E$5:$E$1204=A317)*((Agenda!$H$5:$H$1204="Agendado")+(Agenda!$H$5:$H$1204="Confirmado"))))*1E+10))&gt;=1E+10,"",SUMPRODUCT(MIN(((Agenda!$E$5:$E$1204=A317)*((Agenda!$H$5:$H$1204="Agendado")+(Agenda!$H$5:$H$1204="Confirmado")))*Agenda!$A$5:$A$1204+(1-((Agenda!$E$5:$E$1204=A317)*((Agenda!$H$5:$H$1204="Agendado")+(Agenda!$H$5:$H$1204="Confirmado"))))*1E+10))))</f>
        <v/>
      </c>
    </row>
    <row r="318">
      <c r="A318" s="36" t="n"/>
      <c r="B318" s="37" t="n"/>
      <c r="C318" s="37" t="n"/>
      <c r="D318" s="36" t="n"/>
      <c r="E318" s="36" t="n"/>
      <c r="F318" s="29">
        <f>IF(A318="","",COUNTIFS(Agenda!$E$5:$E$1204,A318,Agenda!$H$5:$H$1204,"Realizado"))</f>
        <v/>
      </c>
      <c r="G318" s="29">
        <f>IF(A318="","",COUNTIFS(Agenda!$E$5:$E$1204,A318,Agenda!$H$5:$H$1204,"Falta"))</f>
        <v/>
      </c>
      <c r="H318" s="33">
        <f>IF(A318="","",IF(SUMPRODUCT(MAX((Agenda!$E$5:$E$1204=A318)*(Agenda!$H$5:$H$1204="Realizado")*Agenda!$A$5:$A$1204))=0,"",SUMPRODUCT(MAX((Agenda!$E$5:$E$1204=A318)*(Agenda!$H$5:$H$1204="Realizado")*Agenda!$A$5:$A$1204))))</f>
        <v/>
      </c>
      <c r="I318" s="33">
        <f>IF(A318="","",IF(SUMPRODUCT(MIN(((Agenda!$E$5:$E$1204=A318)*((Agenda!$H$5:$H$1204="Agendado")+(Agenda!$H$5:$H$1204="Confirmado")))*Agenda!$A$5:$A$1204+(1-((Agenda!$E$5:$E$1204=A318)*((Agenda!$H$5:$H$1204="Agendado")+(Agenda!$H$5:$H$1204="Confirmado"))))*1E+10))&gt;=1E+10,"",SUMPRODUCT(MIN(((Agenda!$E$5:$E$1204=A318)*((Agenda!$H$5:$H$1204="Agendado")+(Agenda!$H$5:$H$1204="Confirmado")))*Agenda!$A$5:$A$1204+(1-((Agenda!$E$5:$E$1204=A318)*((Agenda!$H$5:$H$1204="Agendado")+(Agenda!$H$5:$H$1204="Confirmado"))))*1E+10))))</f>
        <v/>
      </c>
    </row>
    <row r="319">
      <c r="A319" s="36" t="n"/>
      <c r="B319" s="37" t="n"/>
      <c r="C319" s="37" t="n"/>
      <c r="D319" s="36" t="n"/>
      <c r="E319" s="36" t="n"/>
      <c r="F319" s="29">
        <f>IF(A319="","",COUNTIFS(Agenda!$E$5:$E$1204,A319,Agenda!$H$5:$H$1204,"Realizado"))</f>
        <v/>
      </c>
      <c r="G319" s="29">
        <f>IF(A319="","",COUNTIFS(Agenda!$E$5:$E$1204,A319,Agenda!$H$5:$H$1204,"Falta"))</f>
        <v/>
      </c>
      <c r="H319" s="33">
        <f>IF(A319="","",IF(SUMPRODUCT(MAX((Agenda!$E$5:$E$1204=A319)*(Agenda!$H$5:$H$1204="Realizado")*Agenda!$A$5:$A$1204))=0,"",SUMPRODUCT(MAX((Agenda!$E$5:$E$1204=A319)*(Agenda!$H$5:$H$1204="Realizado")*Agenda!$A$5:$A$1204))))</f>
        <v/>
      </c>
      <c r="I319" s="33">
        <f>IF(A319="","",IF(SUMPRODUCT(MIN(((Agenda!$E$5:$E$1204=A319)*((Agenda!$H$5:$H$1204="Agendado")+(Agenda!$H$5:$H$1204="Confirmado")))*Agenda!$A$5:$A$1204+(1-((Agenda!$E$5:$E$1204=A319)*((Agenda!$H$5:$H$1204="Agendado")+(Agenda!$H$5:$H$1204="Confirmado"))))*1E+10))&gt;=1E+10,"",SUMPRODUCT(MIN(((Agenda!$E$5:$E$1204=A319)*((Agenda!$H$5:$H$1204="Agendado")+(Agenda!$H$5:$H$1204="Confirmado")))*Agenda!$A$5:$A$1204+(1-((Agenda!$E$5:$E$1204=A319)*((Agenda!$H$5:$H$1204="Agendado")+(Agenda!$H$5:$H$1204="Confirmado"))))*1E+10))))</f>
        <v/>
      </c>
    </row>
    <row r="320">
      <c r="A320" s="36" t="n"/>
      <c r="B320" s="37" t="n"/>
      <c r="C320" s="37" t="n"/>
      <c r="D320" s="36" t="n"/>
      <c r="E320" s="36" t="n"/>
      <c r="F320" s="29">
        <f>IF(A320="","",COUNTIFS(Agenda!$E$5:$E$1204,A320,Agenda!$H$5:$H$1204,"Realizado"))</f>
        <v/>
      </c>
      <c r="G320" s="29">
        <f>IF(A320="","",COUNTIFS(Agenda!$E$5:$E$1204,A320,Agenda!$H$5:$H$1204,"Falta"))</f>
        <v/>
      </c>
      <c r="H320" s="33">
        <f>IF(A320="","",IF(SUMPRODUCT(MAX((Agenda!$E$5:$E$1204=A320)*(Agenda!$H$5:$H$1204="Realizado")*Agenda!$A$5:$A$1204))=0,"",SUMPRODUCT(MAX((Agenda!$E$5:$E$1204=A320)*(Agenda!$H$5:$H$1204="Realizado")*Agenda!$A$5:$A$1204))))</f>
        <v/>
      </c>
      <c r="I320" s="33">
        <f>IF(A320="","",IF(SUMPRODUCT(MIN(((Agenda!$E$5:$E$1204=A320)*((Agenda!$H$5:$H$1204="Agendado")+(Agenda!$H$5:$H$1204="Confirmado")))*Agenda!$A$5:$A$1204+(1-((Agenda!$E$5:$E$1204=A320)*((Agenda!$H$5:$H$1204="Agendado")+(Agenda!$H$5:$H$1204="Confirmado"))))*1E+10))&gt;=1E+10,"",SUMPRODUCT(MIN(((Agenda!$E$5:$E$1204=A320)*((Agenda!$H$5:$H$1204="Agendado")+(Agenda!$H$5:$H$1204="Confirmado")))*Agenda!$A$5:$A$1204+(1-((Agenda!$E$5:$E$1204=A320)*((Agenda!$H$5:$H$1204="Agendado")+(Agenda!$H$5:$H$1204="Confirmado"))))*1E+10))))</f>
        <v/>
      </c>
    </row>
    <row r="321">
      <c r="A321" s="36" t="n"/>
      <c r="B321" s="37" t="n"/>
      <c r="C321" s="37" t="n"/>
      <c r="D321" s="36" t="n"/>
      <c r="E321" s="36" t="n"/>
      <c r="F321" s="29">
        <f>IF(A321="","",COUNTIFS(Agenda!$E$5:$E$1204,A321,Agenda!$H$5:$H$1204,"Realizado"))</f>
        <v/>
      </c>
      <c r="G321" s="29">
        <f>IF(A321="","",COUNTIFS(Agenda!$E$5:$E$1204,A321,Agenda!$H$5:$H$1204,"Falta"))</f>
        <v/>
      </c>
      <c r="H321" s="33">
        <f>IF(A321="","",IF(SUMPRODUCT(MAX((Agenda!$E$5:$E$1204=A321)*(Agenda!$H$5:$H$1204="Realizado")*Agenda!$A$5:$A$1204))=0,"",SUMPRODUCT(MAX((Agenda!$E$5:$E$1204=A321)*(Agenda!$H$5:$H$1204="Realizado")*Agenda!$A$5:$A$1204))))</f>
        <v/>
      </c>
      <c r="I321" s="33">
        <f>IF(A321="","",IF(SUMPRODUCT(MIN(((Agenda!$E$5:$E$1204=A321)*((Agenda!$H$5:$H$1204="Agendado")+(Agenda!$H$5:$H$1204="Confirmado")))*Agenda!$A$5:$A$1204+(1-((Agenda!$E$5:$E$1204=A321)*((Agenda!$H$5:$H$1204="Agendado")+(Agenda!$H$5:$H$1204="Confirmado"))))*1E+10))&gt;=1E+10,"",SUMPRODUCT(MIN(((Agenda!$E$5:$E$1204=A321)*((Agenda!$H$5:$H$1204="Agendado")+(Agenda!$H$5:$H$1204="Confirmado")))*Agenda!$A$5:$A$1204+(1-((Agenda!$E$5:$E$1204=A321)*((Agenda!$H$5:$H$1204="Agendado")+(Agenda!$H$5:$H$1204="Confirmado"))))*1E+10))))</f>
        <v/>
      </c>
    </row>
    <row r="322">
      <c r="A322" s="36" t="n"/>
      <c r="B322" s="37" t="n"/>
      <c r="C322" s="37" t="n"/>
      <c r="D322" s="36" t="n"/>
      <c r="E322" s="36" t="n"/>
      <c r="F322" s="29">
        <f>IF(A322="","",COUNTIFS(Agenda!$E$5:$E$1204,A322,Agenda!$H$5:$H$1204,"Realizado"))</f>
        <v/>
      </c>
      <c r="G322" s="29">
        <f>IF(A322="","",COUNTIFS(Agenda!$E$5:$E$1204,A322,Agenda!$H$5:$H$1204,"Falta"))</f>
        <v/>
      </c>
      <c r="H322" s="33">
        <f>IF(A322="","",IF(SUMPRODUCT(MAX((Agenda!$E$5:$E$1204=A322)*(Agenda!$H$5:$H$1204="Realizado")*Agenda!$A$5:$A$1204))=0,"",SUMPRODUCT(MAX((Agenda!$E$5:$E$1204=A322)*(Agenda!$H$5:$H$1204="Realizado")*Agenda!$A$5:$A$1204))))</f>
        <v/>
      </c>
      <c r="I322" s="33">
        <f>IF(A322="","",IF(SUMPRODUCT(MIN(((Agenda!$E$5:$E$1204=A322)*((Agenda!$H$5:$H$1204="Agendado")+(Agenda!$H$5:$H$1204="Confirmado")))*Agenda!$A$5:$A$1204+(1-((Agenda!$E$5:$E$1204=A322)*((Agenda!$H$5:$H$1204="Agendado")+(Agenda!$H$5:$H$1204="Confirmado"))))*1E+10))&gt;=1E+10,"",SUMPRODUCT(MIN(((Agenda!$E$5:$E$1204=A322)*((Agenda!$H$5:$H$1204="Agendado")+(Agenda!$H$5:$H$1204="Confirmado")))*Agenda!$A$5:$A$1204+(1-((Agenda!$E$5:$E$1204=A322)*((Agenda!$H$5:$H$1204="Agendado")+(Agenda!$H$5:$H$1204="Confirmado"))))*1E+10))))</f>
        <v/>
      </c>
    </row>
    <row r="323">
      <c r="A323" s="36" t="n"/>
      <c r="B323" s="37" t="n"/>
      <c r="C323" s="37" t="n"/>
      <c r="D323" s="36" t="n"/>
      <c r="E323" s="36" t="n"/>
      <c r="F323" s="29">
        <f>IF(A323="","",COUNTIFS(Agenda!$E$5:$E$1204,A323,Agenda!$H$5:$H$1204,"Realizado"))</f>
        <v/>
      </c>
      <c r="G323" s="29">
        <f>IF(A323="","",COUNTIFS(Agenda!$E$5:$E$1204,A323,Agenda!$H$5:$H$1204,"Falta"))</f>
        <v/>
      </c>
      <c r="H323" s="33">
        <f>IF(A323="","",IF(SUMPRODUCT(MAX((Agenda!$E$5:$E$1204=A323)*(Agenda!$H$5:$H$1204="Realizado")*Agenda!$A$5:$A$1204))=0,"",SUMPRODUCT(MAX((Agenda!$E$5:$E$1204=A323)*(Agenda!$H$5:$H$1204="Realizado")*Agenda!$A$5:$A$1204))))</f>
        <v/>
      </c>
      <c r="I323" s="33">
        <f>IF(A323="","",IF(SUMPRODUCT(MIN(((Agenda!$E$5:$E$1204=A323)*((Agenda!$H$5:$H$1204="Agendado")+(Agenda!$H$5:$H$1204="Confirmado")))*Agenda!$A$5:$A$1204+(1-((Agenda!$E$5:$E$1204=A323)*((Agenda!$H$5:$H$1204="Agendado")+(Agenda!$H$5:$H$1204="Confirmado"))))*1E+10))&gt;=1E+10,"",SUMPRODUCT(MIN(((Agenda!$E$5:$E$1204=A323)*((Agenda!$H$5:$H$1204="Agendado")+(Agenda!$H$5:$H$1204="Confirmado")))*Agenda!$A$5:$A$1204+(1-((Agenda!$E$5:$E$1204=A323)*((Agenda!$H$5:$H$1204="Agendado")+(Agenda!$H$5:$H$1204="Confirmado"))))*1E+10))))</f>
        <v/>
      </c>
    </row>
    <row r="324">
      <c r="A324" s="36" t="n"/>
      <c r="B324" s="37" t="n"/>
      <c r="C324" s="37" t="n"/>
      <c r="D324" s="36" t="n"/>
      <c r="E324" s="36" t="n"/>
      <c r="F324" s="29">
        <f>IF(A324="","",COUNTIFS(Agenda!$E$5:$E$1204,A324,Agenda!$H$5:$H$1204,"Realizado"))</f>
        <v/>
      </c>
      <c r="G324" s="29">
        <f>IF(A324="","",COUNTIFS(Agenda!$E$5:$E$1204,A324,Agenda!$H$5:$H$1204,"Falta"))</f>
        <v/>
      </c>
      <c r="H324" s="33">
        <f>IF(A324="","",IF(SUMPRODUCT(MAX((Agenda!$E$5:$E$1204=A324)*(Agenda!$H$5:$H$1204="Realizado")*Agenda!$A$5:$A$1204))=0,"",SUMPRODUCT(MAX((Agenda!$E$5:$E$1204=A324)*(Agenda!$H$5:$H$1204="Realizado")*Agenda!$A$5:$A$1204))))</f>
        <v/>
      </c>
      <c r="I324" s="33">
        <f>IF(A324="","",IF(SUMPRODUCT(MIN(((Agenda!$E$5:$E$1204=A324)*((Agenda!$H$5:$H$1204="Agendado")+(Agenda!$H$5:$H$1204="Confirmado")))*Agenda!$A$5:$A$1204+(1-((Agenda!$E$5:$E$1204=A324)*((Agenda!$H$5:$H$1204="Agendado")+(Agenda!$H$5:$H$1204="Confirmado"))))*1E+10))&gt;=1E+10,"",SUMPRODUCT(MIN(((Agenda!$E$5:$E$1204=A324)*((Agenda!$H$5:$H$1204="Agendado")+(Agenda!$H$5:$H$1204="Confirmado")))*Agenda!$A$5:$A$1204+(1-((Agenda!$E$5:$E$1204=A324)*((Agenda!$H$5:$H$1204="Agendado")+(Agenda!$H$5:$H$1204="Confirmado"))))*1E+10))))</f>
        <v/>
      </c>
    </row>
    <row r="325">
      <c r="A325" s="36" t="n"/>
      <c r="B325" s="37" t="n"/>
      <c r="C325" s="37" t="n"/>
      <c r="D325" s="36" t="n"/>
      <c r="E325" s="36" t="n"/>
      <c r="F325" s="29">
        <f>IF(A325="","",COUNTIFS(Agenda!$E$5:$E$1204,A325,Agenda!$H$5:$H$1204,"Realizado"))</f>
        <v/>
      </c>
      <c r="G325" s="29">
        <f>IF(A325="","",COUNTIFS(Agenda!$E$5:$E$1204,A325,Agenda!$H$5:$H$1204,"Falta"))</f>
        <v/>
      </c>
      <c r="H325" s="33">
        <f>IF(A325="","",IF(SUMPRODUCT(MAX((Agenda!$E$5:$E$1204=A325)*(Agenda!$H$5:$H$1204="Realizado")*Agenda!$A$5:$A$1204))=0,"",SUMPRODUCT(MAX((Agenda!$E$5:$E$1204=A325)*(Agenda!$H$5:$H$1204="Realizado")*Agenda!$A$5:$A$1204))))</f>
        <v/>
      </c>
      <c r="I325" s="33">
        <f>IF(A325="","",IF(SUMPRODUCT(MIN(((Agenda!$E$5:$E$1204=A325)*((Agenda!$H$5:$H$1204="Agendado")+(Agenda!$H$5:$H$1204="Confirmado")))*Agenda!$A$5:$A$1204+(1-((Agenda!$E$5:$E$1204=A325)*((Agenda!$H$5:$H$1204="Agendado")+(Agenda!$H$5:$H$1204="Confirmado"))))*1E+10))&gt;=1E+10,"",SUMPRODUCT(MIN(((Agenda!$E$5:$E$1204=A325)*((Agenda!$H$5:$H$1204="Agendado")+(Agenda!$H$5:$H$1204="Confirmado")))*Agenda!$A$5:$A$1204+(1-((Agenda!$E$5:$E$1204=A325)*((Agenda!$H$5:$H$1204="Agendado")+(Agenda!$H$5:$H$1204="Confirmado"))))*1E+10))))</f>
        <v/>
      </c>
    </row>
    <row r="326">
      <c r="A326" s="36" t="n"/>
      <c r="B326" s="37" t="n"/>
      <c r="C326" s="37" t="n"/>
      <c r="D326" s="36" t="n"/>
      <c r="E326" s="36" t="n"/>
      <c r="F326" s="29">
        <f>IF(A326="","",COUNTIFS(Agenda!$E$5:$E$1204,A326,Agenda!$H$5:$H$1204,"Realizado"))</f>
        <v/>
      </c>
      <c r="G326" s="29">
        <f>IF(A326="","",COUNTIFS(Agenda!$E$5:$E$1204,A326,Agenda!$H$5:$H$1204,"Falta"))</f>
        <v/>
      </c>
      <c r="H326" s="33">
        <f>IF(A326="","",IF(SUMPRODUCT(MAX((Agenda!$E$5:$E$1204=A326)*(Agenda!$H$5:$H$1204="Realizado")*Agenda!$A$5:$A$1204))=0,"",SUMPRODUCT(MAX((Agenda!$E$5:$E$1204=A326)*(Agenda!$H$5:$H$1204="Realizado")*Agenda!$A$5:$A$1204))))</f>
        <v/>
      </c>
      <c r="I326" s="33">
        <f>IF(A326="","",IF(SUMPRODUCT(MIN(((Agenda!$E$5:$E$1204=A326)*((Agenda!$H$5:$H$1204="Agendado")+(Agenda!$H$5:$H$1204="Confirmado")))*Agenda!$A$5:$A$1204+(1-((Agenda!$E$5:$E$1204=A326)*((Agenda!$H$5:$H$1204="Agendado")+(Agenda!$H$5:$H$1204="Confirmado"))))*1E+10))&gt;=1E+10,"",SUMPRODUCT(MIN(((Agenda!$E$5:$E$1204=A326)*((Agenda!$H$5:$H$1204="Agendado")+(Agenda!$H$5:$H$1204="Confirmado")))*Agenda!$A$5:$A$1204+(1-((Agenda!$E$5:$E$1204=A326)*((Agenda!$H$5:$H$1204="Agendado")+(Agenda!$H$5:$H$1204="Confirmado"))))*1E+10))))</f>
        <v/>
      </c>
    </row>
    <row r="327">
      <c r="A327" s="36" t="n"/>
      <c r="B327" s="37" t="n"/>
      <c r="C327" s="37" t="n"/>
      <c r="D327" s="36" t="n"/>
      <c r="E327" s="36" t="n"/>
      <c r="F327" s="29">
        <f>IF(A327="","",COUNTIFS(Agenda!$E$5:$E$1204,A327,Agenda!$H$5:$H$1204,"Realizado"))</f>
        <v/>
      </c>
      <c r="G327" s="29">
        <f>IF(A327="","",COUNTIFS(Agenda!$E$5:$E$1204,A327,Agenda!$H$5:$H$1204,"Falta"))</f>
        <v/>
      </c>
      <c r="H327" s="33">
        <f>IF(A327="","",IF(SUMPRODUCT(MAX((Agenda!$E$5:$E$1204=A327)*(Agenda!$H$5:$H$1204="Realizado")*Agenda!$A$5:$A$1204))=0,"",SUMPRODUCT(MAX((Agenda!$E$5:$E$1204=A327)*(Agenda!$H$5:$H$1204="Realizado")*Agenda!$A$5:$A$1204))))</f>
        <v/>
      </c>
      <c r="I327" s="33">
        <f>IF(A327="","",IF(SUMPRODUCT(MIN(((Agenda!$E$5:$E$1204=A327)*((Agenda!$H$5:$H$1204="Agendado")+(Agenda!$H$5:$H$1204="Confirmado")))*Agenda!$A$5:$A$1204+(1-((Agenda!$E$5:$E$1204=A327)*((Agenda!$H$5:$H$1204="Agendado")+(Agenda!$H$5:$H$1204="Confirmado"))))*1E+10))&gt;=1E+10,"",SUMPRODUCT(MIN(((Agenda!$E$5:$E$1204=A327)*((Agenda!$H$5:$H$1204="Agendado")+(Agenda!$H$5:$H$1204="Confirmado")))*Agenda!$A$5:$A$1204+(1-((Agenda!$E$5:$E$1204=A327)*((Agenda!$H$5:$H$1204="Agendado")+(Agenda!$H$5:$H$1204="Confirmado"))))*1E+10))))</f>
        <v/>
      </c>
    </row>
    <row r="328">
      <c r="A328" s="36" t="n"/>
      <c r="B328" s="37" t="n"/>
      <c r="C328" s="37" t="n"/>
      <c r="D328" s="36" t="n"/>
      <c r="E328" s="36" t="n"/>
      <c r="F328" s="29">
        <f>IF(A328="","",COUNTIFS(Agenda!$E$5:$E$1204,A328,Agenda!$H$5:$H$1204,"Realizado"))</f>
        <v/>
      </c>
      <c r="G328" s="29">
        <f>IF(A328="","",COUNTIFS(Agenda!$E$5:$E$1204,A328,Agenda!$H$5:$H$1204,"Falta"))</f>
        <v/>
      </c>
      <c r="H328" s="33">
        <f>IF(A328="","",IF(SUMPRODUCT(MAX((Agenda!$E$5:$E$1204=A328)*(Agenda!$H$5:$H$1204="Realizado")*Agenda!$A$5:$A$1204))=0,"",SUMPRODUCT(MAX((Agenda!$E$5:$E$1204=A328)*(Agenda!$H$5:$H$1204="Realizado")*Agenda!$A$5:$A$1204))))</f>
        <v/>
      </c>
      <c r="I328" s="33">
        <f>IF(A328="","",IF(SUMPRODUCT(MIN(((Agenda!$E$5:$E$1204=A328)*((Agenda!$H$5:$H$1204="Agendado")+(Agenda!$H$5:$H$1204="Confirmado")))*Agenda!$A$5:$A$1204+(1-((Agenda!$E$5:$E$1204=A328)*((Agenda!$H$5:$H$1204="Agendado")+(Agenda!$H$5:$H$1204="Confirmado"))))*1E+10))&gt;=1E+10,"",SUMPRODUCT(MIN(((Agenda!$E$5:$E$1204=A328)*((Agenda!$H$5:$H$1204="Agendado")+(Agenda!$H$5:$H$1204="Confirmado")))*Agenda!$A$5:$A$1204+(1-((Agenda!$E$5:$E$1204=A328)*((Agenda!$H$5:$H$1204="Agendado")+(Agenda!$H$5:$H$1204="Confirmado"))))*1E+10))))</f>
        <v/>
      </c>
    </row>
    <row r="329">
      <c r="A329" s="36" t="n"/>
      <c r="B329" s="37" t="n"/>
      <c r="C329" s="37" t="n"/>
      <c r="D329" s="36" t="n"/>
      <c r="E329" s="36" t="n"/>
      <c r="F329" s="29">
        <f>IF(A329="","",COUNTIFS(Agenda!$E$5:$E$1204,A329,Agenda!$H$5:$H$1204,"Realizado"))</f>
        <v/>
      </c>
      <c r="G329" s="29">
        <f>IF(A329="","",COUNTIFS(Agenda!$E$5:$E$1204,A329,Agenda!$H$5:$H$1204,"Falta"))</f>
        <v/>
      </c>
      <c r="H329" s="33">
        <f>IF(A329="","",IF(SUMPRODUCT(MAX((Agenda!$E$5:$E$1204=A329)*(Agenda!$H$5:$H$1204="Realizado")*Agenda!$A$5:$A$1204))=0,"",SUMPRODUCT(MAX((Agenda!$E$5:$E$1204=A329)*(Agenda!$H$5:$H$1204="Realizado")*Agenda!$A$5:$A$1204))))</f>
        <v/>
      </c>
      <c r="I329" s="33">
        <f>IF(A329="","",IF(SUMPRODUCT(MIN(((Agenda!$E$5:$E$1204=A329)*((Agenda!$H$5:$H$1204="Agendado")+(Agenda!$H$5:$H$1204="Confirmado")))*Agenda!$A$5:$A$1204+(1-((Agenda!$E$5:$E$1204=A329)*((Agenda!$H$5:$H$1204="Agendado")+(Agenda!$H$5:$H$1204="Confirmado"))))*1E+10))&gt;=1E+10,"",SUMPRODUCT(MIN(((Agenda!$E$5:$E$1204=A329)*((Agenda!$H$5:$H$1204="Agendado")+(Agenda!$H$5:$H$1204="Confirmado")))*Agenda!$A$5:$A$1204+(1-((Agenda!$E$5:$E$1204=A329)*((Agenda!$H$5:$H$1204="Agendado")+(Agenda!$H$5:$H$1204="Confirmado"))))*1E+10))))</f>
        <v/>
      </c>
    </row>
    <row r="330">
      <c r="A330" s="36" t="n"/>
      <c r="B330" s="37" t="n"/>
      <c r="C330" s="37" t="n"/>
      <c r="D330" s="36" t="n"/>
      <c r="E330" s="36" t="n"/>
      <c r="F330" s="29">
        <f>IF(A330="","",COUNTIFS(Agenda!$E$5:$E$1204,A330,Agenda!$H$5:$H$1204,"Realizado"))</f>
        <v/>
      </c>
      <c r="G330" s="29">
        <f>IF(A330="","",COUNTIFS(Agenda!$E$5:$E$1204,A330,Agenda!$H$5:$H$1204,"Falta"))</f>
        <v/>
      </c>
      <c r="H330" s="33">
        <f>IF(A330="","",IF(SUMPRODUCT(MAX((Agenda!$E$5:$E$1204=A330)*(Agenda!$H$5:$H$1204="Realizado")*Agenda!$A$5:$A$1204))=0,"",SUMPRODUCT(MAX((Agenda!$E$5:$E$1204=A330)*(Agenda!$H$5:$H$1204="Realizado")*Agenda!$A$5:$A$1204))))</f>
        <v/>
      </c>
      <c r="I330" s="33">
        <f>IF(A330="","",IF(SUMPRODUCT(MIN(((Agenda!$E$5:$E$1204=A330)*((Agenda!$H$5:$H$1204="Agendado")+(Agenda!$H$5:$H$1204="Confirmado")))*Agenda!$A$5:$A$1204+(1-((Agenda!$E$5:$E$1204=A330)*((Agenda!$H$5:$H$1204="Agendado")+(Agenda!$H$5:$H$1204="Confirmado"))))*1E+10))&gt;=1E+10,"",SUMPRODUCT(MIN(((Agenda!$E$5:$E$1204=A330)*((Agenda!$H$5:$H$1204="Agendado")+(Agenda!$H$5:$H$1204="Confirmado")))*Agenda!$A$5:$A$1204+(1-((Agenda!$E$5:$E$1204=A330)*((Agenda!$H$5:$H$1204="Agendado")+(Agenda!$H$5:$H$1204="Confirmado"))))*1E+10))))</f>
        <v/>
      </c>
    </row>
    <row r="331">
      <c r="A331" s="36" t="n"/>
      <c r="B331" s="37" t="n"/>
      <c r="C331" s="37" t="n"/>
      <c r="D331" s="36" t="n"/>
      <c r="E331" s="36" t="n"/>
      <c r="F331" s="29">
        <f>IF(A331="","",COUNTIFS(Agenda!$E$5:$E$1204,A331,Agenda!$H$5:$H$1204,"Realizado"))</f>
        <v/>
      </c>
      <c r="G331" s="29">
        <f>IF(A331="","",COUNTIFS(Agenda!$E$5:$E$1204,A331,Agenda!$H$5:$H$1204,"Falta"))</f>
        <v/>
      </c>
      <c r="H331" s="33">
        <f>IF(A331="","",IF(SUMPRODUCT(MAX((Agenda!$E$5:$E$1204=A331)*(Agenda!$H$5:$H$1204="Realizado")*Agenda!$A$5:$A$1204))=0,"",SUMPRODUCT(MAX((Agenda!$E$5:$E$1204=A331)*(Agenda!$H$5:$H$1204="Realizado")*Agenda!$A$5:$A$1204))))</f>
        <v/>
      </c>
      <c r="I331" s="33">
        <f>IF(A331="","",IF(SUMPRODUCT(MIN(((Agenda!$E$5:$E$1204=A331)*((Agenda!$H$5:$H$1204="Agendado")+(Agenda!$H$5:$H$1204="Confirmado")))*Agenda!$A$5:$A$1204+(1-((Agenda!$E$5:$E$1204=A331)*((Agenda!$H$5:$H$1204="Agendado")+(Agenda!$H$5:$H$1204="Confirmado"))))*1E+10))&gt;=1E+10,"",SUMPRODUCT(MIN(((Agenda!$E$5:$E$1204=A331)*((Agenda!$H$5:$H$1204="Agendado")+(Agenda!$H$5:$H$1204="Confirmado")))*Agenda!$A$5:$A$1204+(1-((Agenda!$E$5:$E$1204=A331)*((Agenda!$H$5:$H$1204="Agendado")+(Agenda!$H$5:$H$1204="Confirmado"))))*1E+10))))</f>
        <v/>
      </c>
    </row>
    <row r="332">
      <c r="A332" s="36" t="n"/>
      <c r="B332" s="37" t="n"/>
      <c r="C332" s="37" t="n"/>
      <c r="D332" s="36" t="n"/>
      <c r="E332" s="36" t="n"/>
      <c r="F332" s="29">
        <f>IF(A332="","",COUNTIFS(Agenda!$E$5:$E$1204,A332,Agenda!$H$5:$H$1204,"Realizado"))</f>
        <v/>
      </c>
      <c r="G332" s="29">
        <f>IF(A332="","",COUNTIFS(Agenda!$E$5:$E$1204,A332,Agenda!$H$5:$H$1204,"Falta"))</f>
        <v/>
      </c>
      <c r="H332" s="33">
        <f>IF(A332="","",IF(SUMPRODUCT(MAX((Agenda!$E$5:$E$1204=A332)*(Agenda!$H$5:$H$1204="Realizado")*Agenda!$A$5:$A$1204))=0,"",SUMPRODUCT(MAX((Agenda!$E$5:$E$1204=A332)*(Agenda!$H$5:$H$1204="Realizado")*Agenda!$A$5:$A$1204))))</f>
        <v/>
      </c>
      <c r="I332" s="33">
        <f>IF(A332="","",IF(SUMPRODUCT(MIN(((Agenda!$E$5:$E$1204=A332)*((Agenda!$H$5:$H$1204="Agendado")+(Agenda!$H$5:$H$1204="Confirmado")))*Agenda!$A$5:$A$1204+(1-((Agenda!$E$5:$E$1204=A332)*((Agenda!$H$5:$H$1204="Agendado")+(Agenda!$H$5:$H$1204="Confirmado"))))*1E+10))&gt;=1E+10,"",SUMPRODUCT(MIN(((Agenda!$E$5:$E$1204=A332)*((Agenda!$H$5:$H$1204="Agendado")+(Agenda!$H$5:$H$1204="Confirmado")))*Agenda!$A$5:$A$1204+(1-((Agenda!$E$5:$E$1204=A332)*((Agenda!$H$5:$H$1204="Agendado")+(Agenda!$H$5:$H$1204="Confirmado"))))*1E+10))))</f>
        <v/>
      </c>
    </row>
    <row r="333">
      <c r="A333" s="36" t="n"/>
      <c r="B333" s="37" t="n"/>
      <c r="C333" s="37" t="n"/>
      <c r="D333" s="36" t="n"/>
      <c r="E333" s="36" t="n"/>
      <c r="F333" s="29">
        <f>IF(A333="","",COUNTIFS(Agenda!$E$5:$E$1204,A333,Agenda!$H$5:$H$1204,"Realizado"))</f>
        <v/>
      </c>
      <c r="G333" s="29">
        <f>IF(A333="","",COUNTIFS(Agenda!$E$5:$E$1204,A333,Agenda!$H$5:$H$1204,"Falta"))</f>
        <v/>
      </c>
      <c r="H333" s="33">
        <f>IF(A333="","",IF(SUMPRODUCT(MAX((Agenda!$E$5:$E$1204=A333)*(Agenda!$H$5:$H$1204="Realizado")*Agenda!$A$5:$A$1204))=0,"",SUMPRODUCT(MAX((Agenda!$E$5:$E$1204=A333)*(Agenda!$H$5:$H$1204="Realizado")*Agenda!$A$5:$A$1204))))</f>
        <v/>
      </c>
      <c r="I333" s="33">
        <f>IF(A333="","",IF(SUMPRODUCT(MIN(((Agenda!$E$5:$E$1204=A333)*((Agenda!$H$5:$H$1204="Agendado")+(Agenda!$H$5:$H$1204="Confirmado")))*Agenda!$A$5:$A$1204+(1-((Agenda!$E$5:$E$1204=A333)*((Agenda!$H$5:$H$1204="Agendado")+(Agenda!$H$5:$H$1204="Confirmado"))))*1E+10))&gt;=1E+10,"",SUMPRODUCT(MIN(((Agenda!$E$5:$E$1204=A333)*((Agenda!$H$5:$H$1204="Agendado")+(Agenda!$H$5:$H$1204="Confirmado")))*Agenda!$A$5:$A$1204+(1-((Agenda!$E$5:$E$1204=A333)*((Agenda!$H$5:$H$1204="Agendado")+(Agenda!$H$5:$H$1204="Confirmado"))))*1E+10))))</f>
        <v/>
      </c>
    </row>
    <row r="334">
      <c r="A334" s="36" t="n"/>
      <c r="B334" s="37" t="n"/>
      <c r="C334" s="37" t="n"/>
      <c r="D334" s="36" t="n"/>
      <c r="E334" s="36" t="n"/>
      <c r="F334" s="29">
        <f>IF(A334="","",COUNTIFS(Agenda!$E$5:$E$1204,A334,Agenda!$H$5:$H$1204,"Realizado"))</f>
        <v/>
      </c>
      <c r="G334" s="29">
        <f>IF(A334="","",COUNTIFS(Agenda!$E$5:$E$1204,A334,Agenda!$H$5:$H$1204,"Falta"))</f>
        <v/>
      </c>
      <c r="H334" s="33">
        <f>IF(A334="","",IF(SUMPRODUCT(MAX((Agenda!$E$5:$E$1204=A334)*(Agenda!$H$5:$H$1204="Realizado")*Agenda!$A$5:$A$1204))=0,"",SUMPRODUCT(MAX((Agenda!$E$5:$E$1204=A334)*(Agenda!$H$5:$H$1204="Realizado")*Agenda!$A$5:$A$1204))))</f>
        <v/>
      </c>
      <c r="I334" s="33">
        <f>IF(A334="","",IF(SUMPRODUCT(MIN(((Agenda!$E$5:$E$1204=A334)*((Agenda!$H$5:$H$1204="Agendado")+(Agenda!$H$5:$H$1204="Confirmado")))*Agenda!$A$5:$A$1204+(1-((Agenda!$E$5:$E$1204=A334)*((Agenda!$H$5:$H$1204="Agendado")+(Agenda!$H$5:$H$1204="Confirmado"))))*1E+10))&gt;=1E+10,"",SUMPRODUCT(MIN(((Agenda!$E$5:$E$1204=A334)*((Agenda!$H$5:$H$1204="Agendado")+(Agenda!$H$5:$H$1204="Confirmado")))*Agenda!$A$5:$A$1204+(1-((Agenda!$E$5:$E$1204=A334)*((Agenda!$H$5:$H$1204="Agendado")+(Agenda!$H$5:$H$1204="Confirmado"))))*1E+10))))</f>
        <v/>
      </c>
    </row>
    <row r="335">
      <c r="A335" s="36" t="n"/>
      <c r="B335" s="37" t="n"/>
      <c r="C335" s="37" t="n"/>
      <c r="D335" s="36" t="n"/>
      <c r="E335" s="36" t="n"/>
      <c r="F335" s="29">
        <f>IF(A335="","",COUNTIFS(Agenda!$E$5:$E$1204,A335,Agenda!$H$5:$H$1204,"Realizado"))</f>
        <v/>
      </c>
      <c r="G335" s="29">
        <f>IF(A335="","",COUNTIFS(Agenda!$E$5:$E$1204,A335,Agenda!$H$5:$H$1204,"Falta"))</f>
        <v/>
      </c>
      <c r="H335" s="33">
        <f>IF(A335="","",IF(SUMPRODUCT(MAX((Agenda!$E$5:$E$1204=A335)*(Agenda!$H$5:$H$1204="Realizado")*Agenda!$A$5:$A$1204))=0,"",SUMPRODUCT(MAX((Agenda!$E$5:$E$1204=A335)*(Agenda!$H$5:$H$1204="Realizado")*Agenda!$A$5:$A$1204))))</f>
        <v/>
      </c>
      <c r="I335" s="33">
        <f>IF(A335="","",IF(SUMPRODUCT(MIN(((Agenda!$E$5:$E$1204=A335)*((Agenda!$H$5:$H$1204="Agendado")+(Agenda!$H$5:$H$1204="Confirmado")))*Agenda!$A$5:$A$1204+(1-((Agenda!$E$5:$E$1204=A335)*((Agenda!$H$5:$H$1204="Agendado")+(Agenda!$H$5:$H$1204="Confirmado"))))*1E+10))&gt;=1E+10,"",SUMPRODUCT(MIN(((Agenda!$E$5:$E$1204=A335)*((Agenda!$H$5:$H$1204="Agendado")+(Agenda!$H$5:$H$1204="Confirmado")))*Agenda!$A$5:$A$1204+(1-((Agenda!$E$5:$E$1204=A335)*((Agenda!$H$5:$H$1204="Agendado")+(Agenda!$H$5:$H$1204="Confirmado"))))*1E+10))))</f>
        <v/>
      </c>
    </row>
    <row r="336">
      <c r="A336" s="36" t="n"/>
      <c r="B336" s="37" t="n"/>
      <c r="C336" s="37" t="n"/>
      <c r="D336" s="36" t="n"/>
      <c r="E336" s="36" t="n"/>
      <c r="F336" s="29">
        <f>IF(A336="","",COUNTIFS(Agenda!$E$5:$E$1204,A336,Agenda!$H$5:$H$1204,"Realizado"))</f>
        <v/>
      </c>
      <c r="G336" s="29">
        <f>IF(A336="","",COUNTIFS(Agenda!$E$5:$E$1204,A336,Agenda!$H$5:$H$1204,"Falta"))</f>
        <v/>
      </c>
      <c r="H336" s="33">
        <f>IF(A336="","",IF(SUMPRODUCT(MAX((Agenda!$E$5:$E$1204=A336)*(Agenda!$H$5:$H$1204="Realizado")*Agenda!$A$5:$A$1204))=0,"",SUMPRODUCT(MAX((Agenda!$E$5:$E$1204=A336)*(Agenda!$H$5:$H$1204="Realizado")*Agenda!$A$5:$A$1204))))</f>
        <v/>
      </c>
      <c r="I336" s="33">
        <f>IF(A336="","",IF(SUMPRODUCT(MIN(((Agenda!$E$5:$E$1204=A336)*((Agenda!$H$5:$H$1204="Agendado")+(Agenda!$H$5:$H$1204="Confirmado")))*Agenda!$A$5:$A$1204+(1-((Agenda!$E$5:$E$1204=A336)*((Agenda!$H$5:$H$1204="Agendado")+(Agenda!$H$5:$H$1204="Confirmado"))))*1E+10))&gt;=1E+10,"",SUMPRODUCT(MIN(((Agenda!$E$5:$E$1204=A336)*((Agenda!$H$5:$H$1204="Agendado")+(Agenda!$H$5:$H$1204="Confirmado")))*Agenda!$A$5:$A$1204+(1-((Agenda!$E$5:$E$1204=A336)*((Agenda!$H$5:$H$1204="Agendado")+(Agenda!$H$5:$H$1204="Confirmado"))))*1E+10))))</f>
        <v/>
      </c>
    </row>
    <row r="337">
      <c r="A337" s="36" t="n"/>
      <c r="B337" s="37" t="n"/>
      <c r="C337" s="37" t="n"/>
      <c r="D337" s="36" t="n"/>
      <c r="E337" s="36" t="n"/>
      <c r="F337" s="29">
        <f>IF(A337="","",COUNTIFS(Agenda!$E$5:$E$1204,A337,Agenda!$H$5:$H$1204,"Realizado"))</f>
        <v/>
      </c>
      <c r="G337" s="29">
        <f>IF(A337="","",COUNTIFS(Agenda!$E$5:$E$1204,A337,Agenda!$H$5:$H$1204,"Falta"))</f>
        <v/>
      </c>
      <c r="H337" s="33">
        <f>IF(A337="","",IF(SUMPRODUCT(MAX((Agenda!$E$5:$E$1204=A337)*(Agenda!$H$5:$H$1204="Realizado")*Agenda!$A$5:$A$1204))=0,"",SUMPRODUCT(MAX((Agenda!$E$5:$E$1204=A337)*(Agenda!$H$5:$H$1204="Realizado")*Agenda!$A$5:$A$1204))))</f>
        <v/>
      </c>
      <c r="I337" s="33">
        <f>IF(A337="","",IF(SUMPRODUCT(MIN(((Agenda!$E$5:$E$1204=A337)*((Agenda!$H$5:$H$1204="Agendado")+(Agenda!$H$5:$H$1204="Confirmado")))*Agenda!$A$5:$A$1204+(1-((Agenda!$E$5:$E$1204=A337)*((Agenda!$H$5:$H$1204="Agendado")+(Agenda!$H$5:$H$1204="Confirmado"))))*1E+10))&gt;=1E+10,"",SUMPRODUCT(MIN(((Agenda!$E$5:$E$1204=A337)*((Agenda!$H$5:$H$1204="Agendado")+(Agenda!$H$5:$H$1204="Confirmado")))*Agenda!$A$5:$A$1204+(1-((Agenda!$E$5:$E$1204=A337)*((Agenda!$H$5:$H$1204="Agendado")+(Agenda!$H$5:$H$1204="Confirmado"))))*1E+10))))</f>
        <v/>
      </c>
    </row>
    <row r="338">
      <c r="A338" s="36" t="n"/>
      <c r="B338" s="37" t="n"/>
      <c r="C338" s="37" t="n"/>
      <c r="D338" s="36" t="n"/>
      <c r="E338" s="36" t="n"/>
      <c r="F338" s="29">
        <f>IF(A338="","",COUNTIFS(Agenda!$E$5:$E$1204,A338,Agenda!$H$5:$H$1204,"Realizado"))</f>
        <v/>
      </c>
      <c r="G338" s="29">
        <f>IF(A338="","",COUNTIFS(Agenda!$E$5:$E$1204,A338,Agenda!$H$5:$H$1204,"Falta"))</f>
        <v/>
      </c>
      <c r="H338" s="33">
        <f>IF(A338="","",IF(SUMPRODUCT(MAX((Agenda!$E$5:$E$1204=A338)*(Agenda!$H$5:$H$1204="Realizado")*Agenda!$A$5:$A$1204))=0,"",SUMPRODUCT(MAX((Agenda!$E$5:$E$1204=A338)*(Agenda!$H$5:$H$1204="Realizado")*Agenda!$A$5:$A$1204))))</f>
        <v/>
      </c>
      <c r="I338" s="33">
        <f>IF(A338="","",IF(SUMPRODUCT(MIN(((Agenda!$E$5:$E$1204=A338)*((Agenda!$H$5:$H$1204="Agendado")+(Agenda!$H$5:$H$1204="Confirmado")))*Agenda!$A$5:$A$1204+(1-((Agenda!$E$5:$E$1204=A338)*((Agenda!$H$5:$H$1204="Agendado")+(Agenda!$H$5:$H$1204="Confirmado"))))*1E+10))&gt;=1E+10,"",SUMPRODUCT(MIN(((Agenda!$E$5:$E$1204=A338)*((Agenda!$H$5:$H$1204="Agendado")+(Agenda!$H$5:$H$1204="Confirmado")))*Agenda!$A$5:$A$1204+(1-((Agenda!$E$5:$E$1204=A338)*((Agenda!$H$5:$H$1204="Agendado")+(Agenda!$H$5:$H$1204="Confirmado"))))*1E+10))))</f>
        <v/>
      </c>
    </row>
    <row r="339">
      <c r="A339" s="36" t="n"/>
      <c r="B339" s="37" t="n"/>
      <c r="C339" s="37" t="n"/>
      <c r="D339" s="36" t="n"/>
      <c r="E339" s="36" t="n"/>
      <c r="F339" s="29">
        <f>IF(A339="","",COUNTIFS(Agenda!$E$5:$E$1204,A339,Agenda!$H$5:$H$1204,"Realizado"))</f>
        <v/>
      </c>
      <c r="G339" s="29">
        <f>IF(A339="","",COUNTIFS(Agenda!$E$5:$E$1204,A339,Agenda!$H$5:$H$1204,"Falta"))</f>
        <v/>
      </c>
      <c r="H339" s="33">
        <f>IF(A339="","",IF(SUMPRODUCT(MAX((Agenda!$E$5:$E$1204=A339)*(Agenda!$H$5:$H$1204="Realizado")*Agenda!$A$5:$A$1204))=0,"",SUMPRODUCT(MAX((Agenda!$E$5:$E$1204=A339)*(Agenda!$H$5:$H$1204="Realizado")*Agenda!$A$5:$A$1204))))</f>
        <v/>
      </c>
      <c r="I339" s="33">
        <f>IF(A339="","",IF(SUMPRODUCT(MIN(((Agenda!$E$5:$E$1204=A339)*((Agenda!$H$5:$H$1204="Agendado")+(Agenda!$H$5:$H$1204="Confirmado")))*Agenda!$A$5:$A$1204+(1-((Agenda!$E$5:$E$1204=A339)*((Agenda!$H$5:$H$1204="Agendado")+(Agenda!$H$5:$H$1204="Confirmado"))))*1E+10))&gt;=1E+10,"",SUMPRODUCT(MIN(((Agenda!$E$5:$E$1204=A339)*((Agenda!$H$5:$H$1204="Agendado")+(Agenda!$H$5:$H$1204="Confirmado")))*Agenda!$A$5:$A$1204+(1-((Agenda!$E$5:$E$1204=A339)*((Agenda!$H$5:$H$1204="Agendado")+(Agenda!$H$5:$H$1204="Confirmado"))))*1E+10))))</f>
        <v/>
      </c>
    </row>
    <row r="340">
      <c r="A340" s="36" t="n"/>
      <c r="B340" s="37" t="n"/>
      <c r="C340" s="37" t="n"/>
      <c r="D340" s="36" t="n"/>
      <c r="E340" s="36" t="n"/>
      <c r="F340" s="29">
        <f>IF(A340="","",COUNTIFS(Agenda!$E$5:$E$1204,A340,Agenda!$H$5:$H$1204,"Realizado"))</f>
        <v/>
      </c>
      <c r="G340" s="29">
        <f>IF(A340="","",COUNTIFS(Agenda!$E$5:$E$1204,A340,Agenda!$H$5:$H$1204,"Falta"))</f>
        <v/>
      </c>
      <c r="H340" s="33">
        <f>IF(A340="","",IF(SUMPRODUCT(MAX((Agenda!$E$5:$E$1204=A340)*(Agenda!$H$5:$H$1204="Realizado")*Agenda!$A$5:$A$1204))=0,"",SUMPRODUCT(MAX((Agenda!$E$5:$E$1204=A340)*(Agenda!$H$5:$H$1204="Realizado")*Agenda!$A$5:$A$1204))))</f>
        <v/>
      </c>
      <c r="I340" s="33">
        <f>IF(A340="","",IF(SUMPRODUCT(MIN(((Agenda!$E$5:$E$1204=A340)*((Agenda!$H$5:$H$1204="Agendado")+(Agenda!$H$5:$H$1204="Confirmado")))*Agenda!$A$5:$A$1204+(1-((Agenda!$E$5:$E$1204=A340)*((Agenda!$H$5:$H$1204="Agendado")+(Agenda!$H$5:$H$1204="Confirmado"))))*1E+10))&gt;=1E+10,"",SUMPRODUCT(MIN(((Agenda!$E$5:$E$1204=A340)*((Agenda!$H$5:$H$1204="Agendado")+(Agenda!$H$5:$H$1204="Confirmado")))*Agenda!$A$5:$A$1204+(1-((Agenda!$E$5:$E$1204=A340)*((Agenda!$H$5:$H$1204="Agendado")+(Agenda!$H$5:$H$1204="Confirmado"))))*1E+10))))</f>
        <v/>
      </c>
    </row>
    <row r="341">
      <c r="A341" s="36" t="n"/>
      <c r="B341" s="37" t="n"/>
      <c r="C341" s="37" t="n"/>
      <c r="D341" s="36" t="n"/>
      <c r="E341" s="36" t="n"/>
      <c r="F341" s="29">
        <f>IF(A341="","",COUNTIFS(Agenda!$E$5:$E$1204,A341,Agenda!$H$5:$H$1204,"Realizado"))</f>
        <v/>
      </c>
      <c r="G341" s="29">
        <f>IF(A341="","",COUNTIFS(Agenda!$E$5:$E$1204,A341,Agenda!$H$5:$H$1204,"Falta"))</f>
        <v/>
      </c>
      <c r="H341" s="33">
        <f>IF(A341="","",IF(SUMPRODUCT(MAX((Agenda!$E$5:$E$1204=A341)*(Agenda!$H$5:$H$1204="Realizado")*Agenda!$A$5:$A$1204))=0,"",SUMPRODUCT(MAX((Agenda!$E$5:$E$1204=A341)*(Agenda!$H$5:$H$1204="Realizado")*Agenda!$A$5:$A$1204))))</f>
        <v/>
      </c>
      <c r="I341" s="33">
        <f>IF(A341="","",IF(SUMPRODUCT(MIN(((Agenda!$E$5:$E$1204=A341)*((Agenda!$H$5:$H$1204="Agendado")+(Agenda!$H$5:$H$1204="Confirmado")))*Agenda!$A$5:$A$1204+(1-((Agenda!$E$5:$E$1204=A341)*((Agenda!$H$5:$H$1204="Agendado")+(Agenda!$H$5:$H$1204="Confirmado"))))*1E+10))&gt;=1E+10,"",SUMPRODUCT(MIN(((Agenda!$E$5:$E$1204=A341)*((Agenda!$H$5:$H$1204="Agendado")+(Agenda!$H$5:$H$1204="Confirmado")))*Agenda!$A$5:$A$1204+(1-((Agenda!$E$5:$E$1204=A341)*((Agenda!$H$5:$H$1204="Agendado")+(Agenda!$H$5:$H$1204="Confirmado"))))*1E+10))))</f>
        <v/>
      </c>
    </row>
    <row r="342">
      <c r="A342" s="36" t="n"/>
      <c r="B342" s="37" t="n"/>
      <c r="C342" s="37" t="n"/>
      <c r="D342" s="36" t="n"/>
      <c r="E342" s="36" t="n"/>
      <c r="F342" s="29">
        <f>IF(A342="","",COUNTIFS(Agenda!$E$5:$E$1204,A342,Agenda!$H$5:$H$1204,"Realizado"))</f>
        <v/>
      </c>
      <c r="G342" s="29">
        <f>IF(A342="","",COUNTIFS(Agenda!$E$5:$E$1204,A342,Agenda!$H$5:$H$1204,"Falta"))</f>
        <v/>
      </c>
      <c r="H342" s="33">
        <f>IF(A342="","",IF(SUMPRODUCT(MAX((Agenda!$E$5:$E$1204=A342)*(Agenda!$H$5:$H$1204="Realizado")*Agenda!$A$5:$A$1204))=0,"",SUMPRODUCT(MAX((Agenda!$E$5:$E$1204=A342)*(Agenda!$H$5:$H$1204="Realizado")*Agenda!$A$5:$A$1204))))</f>
        <v/>
      </c>
      <c r="I342" s="33">
        <f>IF(A342="","",IF(SUMPRODUCT(MIN(((Agenda!$E$5:$E$1204=A342)*((Agenda!$H$5:$H$1204="Agendado")+(Agenda!$H$5:$H$1204="Confirmado")))*Agenda!$A$5:$A$1204+(1-((Agenda!$E$5:$E$1204=A342)*((Agenda!$H$5:$H$1204="Agendado")+(Agenda!$H$5:$H$1204="Confirmado"))))*1E+10))&gt;=1E+10,"",SUMPRODUCT(MIN(((Agenda!$E$5:$E$1204=A342)*((Agenda!$H$5:$H$1204="Agendado")+(Agenda!$H$5:$H$1204="Confirmado")))*Agenda!$A$5:$A$1204+(1-((Agenda!$E$5:$E$1204=A342)*((Agenda!$H$5:$H$1204="Agendado")+(Agenda!$H$5:$H$1204="Confirmado"))))*1E+10))))</f>
        <v/>
      </c>
    </row>
    <row r="343">
      <c r="A343" s="36" t="n"/>
      <c r="B343" s="37" t="n"/>
      <c r="C343" s="37" t="n"/>
      <c r="D343" s="36" t="n"/>
      <c r="E343" s="36" t="n"/>
      <c r="F343" s="29">
        <f>IF(A343="","",COUNTIFS(Agenda!$E$5:$E$1204,A343,Agenda!$H$5:$H$1204,"Realizado"))</f>
        <v/>
      </c>
      <c r="G343" s="29">
        <f>IF(A343="","",COUNTIFS(Agenda!$E$5:$E$1204,A343,Agenda!$H$5:$H$1204,"Falta"))</f>
        <v/>
      </c>
      <c r="H343" s="33">
        <f>IF(A343="","",IF(SUMPRODUCT(MAX((Agenda!$E$5:$E$1204=A343)*(Agenda!$H$5:$H$1204="Realizado")*Agenda!$A$5:$A$1204))=0,"",SUMPRODUCT(MAX((Agenda!$E$5:$E$1204=A343)*(Agenda!$H$5:$H$1204="Realizado")*Agenda!$A$5:$A$1204))))</f>
        <v/>
      </c>
      <c r="I343" s="33">
        <f>IF(A343="","",IF(SUMPRODUCT(MIN(((Agenda!$E$5:$E$1204=A343)*((Agenda!$H$5:$H$1204="Agendado")+(Agenda!$H$5:$H$1204="Confirmado")))*Agenda!$A$5:$A$1204+(1-((Agenda!$E$5:$E$1204=A343)*((Agenda!$H$5:$H$1204="Agendado")+(Agenda!$H$5:$H$1204="Confirmado"))))*1E+10))&gt;=1E+10,"",SUMPRODUCT(MIN(((Agenda!$E$5:$E$1204=A343)*((Agenda!$H$5:$H$1204="Agendado")+(Agenda!$H$5:$H$1204="Confirmado")))*Agenda!$A$5:$A$1204+(1-((Agenda!$E$5:$E$1204=A343)*((Agenda!$H$5:$H$1204="Agendado")+(Agenda!$H$5:$H$1204="Confirmado"))))*1E+10))))</f>
        <v/>
      </c>
    </row>
    <row r="344">
      <c r="A344" s="36" t="n"/>
      <c r="B344" s="37" t="n"/>
      <c r="C344" s="37" t="n"/>
      <c r="D344" s="36" t="n"/>
      <c r="E344" s="36" t="n"/>
      <c r="F344" s="29">
        <f>IF(A344="","",COUNTIFS(Agenda!$E$5:$E$1204,A344,Agenda!$H$5:$H$1204,"Realizado"))</f>
        <v/>
      </c>
      <c r="G344" s="29">
        <f>IF(A344="","",COUNTIFS(Agenda!$E$5:$E$1204,A344,Agenda!$H$5:$H$1204,"Falta"))</f>
        <v/>
      </c>
      <c r="H344" s="33">
        <f>IF(A344="","",IF(SUMPRODUCT(MAX((Agenda!$E$5:$E$1204=A344)*(Agenda!$H$5:$H$1204="Realizado")*Agenda!$A$5:$A$1204))=0,"",SUMPRODUCT(MAX((Agenda!$E$5:$E$1204=A344)*(Agenda!$H$5:$H$1204="Realizado")*Agenda!$A$5:$A$1204))))</f>
        <v/>
      </c>
      <c r="I344" s="33">
        <f>IF(A344="","",IF(SUMPRODUCT(MIN(((Agenda!$E$5:$E$1204=A344)*((Agenda!$H$5:$H$1204="Agendado")+(Agenda!$H$5:$H$1204="Confirmado")))*Agenda!$A$5:$A$1204+(1-((Agenda!$E$5:$E$1204=A344)*((Agenda!$H$5:$H$1204="Agendado")+(Agenda!$H$5:$H$1204="Confirmado"))))*1E+10))&gt;=1E+10,"",SUMPRODUCT(MIN(((Agenda!$E$5:$E$1204=A344)*((Agenda!$H$5:$H$1204="Agendado")+(Agenda!$H$5:$H$1204="Confirmado")))*Agenda!$A$5:$A$1204+(1-((Agenda!$E$5:$E$1204=A344)*((Agenda!$H$5:$H$1204="Agendado")+(Agenda!$H$5:$H$1204="Confirmado"))))*1E+10))))</f>
        <v/>
      </c>
    </row>
    <row r="345">
      <c r="A345" s="36" t="n"/>
      <c r="B345" s="37" t="n"/>
      <c r="C345" s="37" t="n"/>
      <c r="D345" s="36" t="n"/>
      <c r="E345" s="36" t="n"/>
      <c r="F345" s="29">
        <f>IF(A345="","",COUNTIFS(Agenda!$E$5:$E$1204,A345,Agenda!$H$5:$H$1204,"Realizado"))</f>
        <v/>
      </c>
      <c r="G345" s="29">
        <f>IF(A345="","",COUNTIFS(Agenda!$E$5:$E$1204,A345,Agenda!$H$5:$H$1204,"Falta"))</f>
        <v/>
      </c>
      <c r="H345" s="33">
        <f>IF(A345="","",IF(SUMPRODUCT(MAX((Agenda!$E$5:$E$1204=A345)*(Agenda!$H$5:$H$1204="Realizado")*Agenda!$A$5:$A$1204))=0,"",SUMPRODUCT(MAX((Agenda!$E$5:$E$1204=A345)*(Agenda!$H$5:$H$1204="Realizado")*Agenda!$A$5:$A$1204))))</f>
        <v/>
      </c>
      <c r="I345" s="33">
        <f>IF(A345="","",IF(SUMPRODUCT(MIN(((Agenda!$E$5:$E$1204=A345)*((Agenda!$H$5:$H$1204="Agendado")+(Agenda!$H$5:$H$1204="Confirmado")))*Agenda!$A$5:$A$1204+(1-((Agenda!$E$5:$E$1204=A345)*((Agenda!$H$5:$H$1204="Agendado")+(Agenda!$H$5:$H$1204="Confirmado"))))*1E+10))&gt;=1E+10,"",SUMPRODUCT(MIN(((Agenda!$E$5:$E$1204=A345)*((Agenda!$H$5:$H$1204="Agendado")+(Agenda!$H$5:$H$1204="Confirmado")))*Agenda!$A$5:$A$1204+(1-((Agenda!$E$5:$E$1204=A345)*((Agenda!$H$5:$H$1204="Agendado")+(Agenda!$H$5:$H$1204="Confirmado"))))*1E+10))))</f>
        <v/>
      </c>
    </row>
    <row r="346">
      <c r="A346" s="36" t="n"/>
      <c r="B346" s="37" t="n"/>
      <c r="C346" s="37" t="n"/>
      <c r="D346" s="36" t="n"/>
      <c r="E346" s="36" t="n"/>
      <c r="F346" s="29">
        <f>IF(A346="","",COUNTIFS(Agenda!$E$5:$E$1204,A346,Agenda!$H$5:$H$1204,"Realizado"))</f>
        <v/>
      </c>
      <c r="G346" s="29">
        <f>IF(A346="","",COUNTIFS(Agenda!$E$5:$E$1204,A346,Agenda!$H$5:$H$1204,"Falta"))</f>
        <v/>
      </c>
      <c r="H346" s="33">
        <f>IF(A346="","",IF(SUMPRODUCT(MAX((Agenda!$E$5:$E$1204=A346)*(Agenda!$H$5:$H$1204="Realizado")*Agenda!$A$5:$A$1204))=0,"",SUMPRODUCT(MAX((Agenda!$E$5:$E$1204=A346)*(Agenda!$H$5:$H$1204="Realizado")*Agenda!$A$5:$A$1204))))</f>
        <v/>
      </c>
      <c r="I346" s="33">
        <f>IF(A346="","",IF(SUMPRODUCT(MIN(((Agenda!$E$5:$E$1204=A346)*((Agenda!$H$5:$H$1204="Agendado")+(Agenda!$H$5:$H$1204="Confirmado")))*Agenda!$A$5:$A$1204+(1-((Agenda!$E$5:$E$1204=A346)*((Agenda!$H$5:$H$1204="Agendado")+(Agenda!$H$5:$H$1204="Confirmado"))))*1E+10))&gt;=1E+10,"",SUMPRODUCT(MIN(((Agenda!$E$5:$E$1204=A346)*((Agenda!$H$5:$H$1204="Agendado")+(Agenda!$H$5:$H$1204="Confirmado")))*Agenda!$A$5:$A$1204+(1-((Agenda!$E$5:$E$1204=A346)*((Agenda!$H$5:$H$1204="Agendado")+(Agenda!$H$5:$H$1204="Confirmado"))))*1E+10))))</f>
        <v/>
      </c>
    </row>
    <row r="347">
      <c r="A347" s="36" t="n"/>
      <c r="B347" s="37" t="n"/>
      <c r="C347" s="37" t="n"/>
      <c r="D347" s="36" t="n"/>
      <c r="E347" s="36" t="n"/>
      <c r="F347" s="29">
        <f>IF(A347="","",COUNTIFS(Agenda!$E$5:$E$1204,A347,Agenda!$H$5:$H$1204,"Realizado"))</f>
        <v/>
      </c>
      <c r="G347" s="29">
        <f>IF(A347="","",COUNTIFS(Agenda!$E$5:$E$1204,A347,Agenda!$H$5:$H$1204,"Falta"))</f>
        <v/>
      </c>
      <c r="H347" s="33">
        <f>IF(A347="","",IF(SUMPRODUCT(MAX((Agenda!$E$5:$E$1204=A347)*(Agenda!$H$5:$H$1204="Realizado")*Agenda!$A$5:$A$1204))=0,"",SUMPRODUCT(MAX((Agenda!$E$5:$E$1204=A347)*(Agenda!$H$5:$H$1204="Realizado")*Agenda!$A$5:$A$1204))))</f>
        <v/>
      </c>
      <c r="I347" s="33">
        <f>IF(A347="","",IF(SUMPRODUCT(MIN(((Agenda!$E$5:$E$1204=A347)*((Agenda!$H$5:$H$1204="Agendado")+(Agenda!$H$5:$H$1204="Confirmado")))*Agenda!$A$5:$A$1204+(1-((Agenda!$E$5:$E$1204=A347)*((Agenda!$H$5:$H$1204="Agendado")+(Agenda!$H$5:$H$1204="Confirmado"))))*1E+10))&gt;=1E+10,"",SUMPRODUCT(MIN(((Agenda!$E$5:$E$1204=A347)*((Agenda!$H$5:$H$1204="Agendado")+(Agenda!$H$5:$H$1204="Confirmado")))*Agenda!$A$5:$A$1204+(1-((Agenda!$E$5:$E$1204=A347)*((Agenda!$H$5:$H$1204="Agendado")+(Agenda!$H$5:$H$1204="Confirmado"))))*1E+10))))</f>
        <v/>
      </c>
    </row>
    <row r="348">
      <c r="A348" s="36" t="n"/>
      <c r="B348" s="37" t="n"/>
      <c r="C348" s="37" t="n"/>
      <c r="D348" s="36" t="n"/>
      <c r="E348" s="36" t="n"/>
      <c r="F348" s="29">
        <f>IF(A348="","",COUNTIFS(Agenda!$E$5:$E$1204,A348,Agenda!$H$5:$H$1204,"Realizado"))</f>
        <v/>
      </c>
      <c r="G348" s="29">
        <f>IF(A348="","",COUNTIFS(Agenda!$E$5:$E$1204,A348,Agenda!$H$5:$H$1204,"Falta"))</f>
        <v/>
      </c>
      <c r="H348" s="33">
        <f>IF(A348="","",IF(SUMPRODUCT(MAX((Agenda!$E$5:$E$1204=A348)*(Agenda!$H$5:$H$1204="Realizado")*Agenda!$A$5:$A$1204))=0,"",SUMPRODUCT(MAX((Agenda!$E$5:$E$1204=A348)*(Agenda!$H$5:$H$1204="Realizado")*Agenda!$A$5:$A$1204))))</f>
        <v/>
      </c>
      <c r="I348" s="33">
        <f>IF(A348="","",IF(SUMPRODUCT(MIN(((Agenda!$E$5:$E$1204=A348)*((Agenda!$H$5:$H$1204="Agendado")+(Agenda!$H$5:$H$1204="Confirmado")))*Agenda!$A$5:$A$1204+(1-((Agenda!$E$5:$E$1204=A348)*((Agenda!$H$5:$H$1204="Agendado")+(Agenda!$H$5:$H$1204="Confirmado"))))*1E+10))&gt;=1E+10,"",SUMPRODUCT(MIN(((Agenda!$E$5:$E$1204=A348)*((Agenda!$H$5:$H$1204="Agendado")+(Agenda!$H$5:$H$1204="Confirmado")))*Agenda!$A$5:$A$1204+(1-((Agenda!$E$5:$E$1204=A348)*((Agenda!$H$5:$H$1204="Agendado")+(Agenda!$H$5:$H$1204="Confirmado"))))*1E+10))))</f>
        <v/>
      </c>
    </row>
    <row r="349">
      <c r="A349" s="36" t="n"/>
      <c r="B349" s="37" t="n"/>
      <c r="C349" s="37" t="n"/>
      <c r="D349" s="36" t="n"/>
      <c r="E349" s="36" t="n"/>
      <c r="F349" s="29">
        <f>IF(A349="","",COUNTIFS(Agenda!$E$5:$E$1204,A349,Agenda!$H$5:$H$1204,"Realizado"))</f>
        <v/>
      </c>
      <c r="G349" s="29">
        <f>IF(A349="","",COUNTIFS(Agenda!$E$5:$E$1204,A349,Agenda!$H$5:$H$1204,"Falta"))</f>
        <v/>
      </c>
      <c r="H349" s="33">
        <f>IF(A349="","",IF(SUMPRODUCT(MAX((Agenda!$E$5:$E$1204=A349)*(Agenda!$H$5:$H$1204="Realizado")*Agenda!$A$5:$A$1204))=0,"",SUMPRODUCT(MAX((Agenda!$E$5:$E$1204=A349)*(Agenda!$H$5:$H$1204="Realizado")*Agenda!$A$5:$A$1204))))</f>
        <v/>
      </c>
      <c r="I349" s="33">
        <f>IF(A349="","",IF(SUMPRODUCT(MIN(((Agenda!$E$5:$E$1204=A349)*((Agenda!$H$5:$H$1204="Agendado")+(Agenda!$H$5:$H$1204="Confirmado")))*Agenda!$A$5:$A$1204+(1-((Agenda!$E$5:$E$1204=A349)*((Agenda!$H$5:$H$1204="Agendado")+(Agenda!$H$5:$H$1204="Confirmado"))))*1E+10))&gt;=1E+10,"",SUMPRODUCT(MIN(((Agenda!$E$5:$E$1204=A349)*((Agenda!$H$5:$H$1204="Agendado")+(Agenda!$H$5:$H$1204="Confirmado")))*Agenda!$A$5:$A$1204+(1-((Agenda!$E$5:$E$1204=A349)*((Agenda!$H$5:$H$1204="Agendado")+(Agenda!$H$5:$H$1204="Confirmado"))))*1E+10))))</f>
        <v/>
      </c>
    </row>
    <row r="350">
      <c r="A350" s="36" t="n"/>
      <c r="B350" s="37" t="n"/>
      <c r="C350" s="37" t="n"/>
      <c r="D350" s="36" t="n"/>
      <c r="E350" s="36" t="n"/>
      <c r="F350" s="29">
        <f>IF(A350="","",COUNTIFS(Agenda!$E$5:$E$1204,A350,Agenda!$H$5:$H$1204,"Realizado"))</f>
        <v/>
      </c>
      <c r="G350" s="29">
        <f>IF(A350="","",COUNTIFS(Agenda!$E$5:$E$1204,A350,Agenda!$H$5:$H$1204,"Falta"))</f>
        <v/>
      </c>
      <c r="H350" s="33">
        <f>IF(A350="","",IF(SUMPRODUCT(MAX((Agenda!$E$5:$E$1204=A350)*(Agenda!$H$5:$H$1204="Realizado")*Agenda!$A$5:$A$1204))=0,"",SUMPRODUCT(MAX((Agenda!$E$5:$E$1204=A350)*(Agenda!$H$5:$H$1204="Realizado")*Agenda!$A$5:$A$1204))))</f>
        <v/>
      </c>
      <c r="I350" s="33">
        <f>IF(A350="","",IF(SUMPRODUCT(MIN(((Agenda!$E$5:$E$1204=A350)*((Agenda!$H$5:$H$1204="Agendado")+(Agenda!$H$5:$H$1204="Confirmado")))*Agenda!$A$5:$A$1204+(1-((Agenda!$E$5:$E$1204=A350)*((Agenda!$H$5:$H$1204="Agendado")+(Agenda!$H$5:$H$1204="Confirmado"))))*1E+10))&gt;=1E+10,"",SUMPRODUCT(MIN(((Agenda!$E$5:$E$1204=A350)*((Agenda!$H$5:$H$1204="Agendado")+(Agenda!$H$5:$H$1204="Confirmado")))*Agenda!$A$5:$A$1204+(1-((Agenda!$E$5:$E$1204=A350)*((Agenda!$H$5:$H$1204="Agendado")+(Agenda!$H$5:$H$1204="Confirmado"))))*1E+10))))</f>
        <v/>
      </c>
    </row>
    <row r="351">
      <c r="A351" s="36" t="n"/>
      <c r="B351" s="37" t="n"/>
      <c r="C351" s="37" t="n"/>
      <c r="D351" s="36" t="n"/>
      <c r="E351" s="36" t="n"/>
      <c r="F351" s="29">
        <f>IF(A351="","",COUNTIFS(Agenda!$E$5:$E$1204,A351,Agenda!$H$5:$H$1204,"Realizado"))</f>
        <v/>
      </c>
      <c r="G351" s="29">
        <f>IF(A351="","",COUNTIFS(Agenda!$E$5:$E$1204,A351,Agenda!$H$5:$H$1204,"Falta"))</f>
        <v/>
      </c>
      <c r="H351" s="33">
        <f>IF(A351="","",IF(SUMPRODUCT(MAX((Agenda!$E$5:$E$1204=A351)*(Agenda!$H$5:$H$1204="Realizado")*Agenda!$A$5:$A$1204))=0,"",SUMPRODUCT(MAX((Agenda!$E$5:$E$1204=A351)*(Agenda!$H$5:$H$1204="Realizado")*Agenda!$A$5:$A$1204))))</f>
        <v/>
      </c>
      <c r="I351" s="33">
        <f>IF(A351="","",IF(SUMPRODUCT(MIN(((Agenda!$E$5:$E$1204=A351)*((Agenda!$H$5:$H$1204="Agendado")+(Agenda!$H$5:$H$1204="Confirmado")))*Agenda!$A$5:$A$1204+(1-((Agenda!$E$5:$E$1204=A351)*((Agenda!$H$5:$H$1204="Agendado")+(Agenda!$H$5:$H$1204="Confirmado"))))*1E+10))&gt;=1E+10,"",SUMPRODUCT(MIN(((Agenda!$E$5:$E$1204=A351)*((Agenda!$H$5:$H$1204="Agendado")+(Agenda!$H$5:$H$1204="Confirmado")))*Agenda!$A$5:$A$1204+(1-((Agenda!$E$5:$E$1204=A351)*((Agenda!$H$5:$H$1204="Agendado")+(Agenda!$H$5:$H$1204="Confirmado"))))*1E+10))))</f>
        <v/>
      </c>
    </row>
    <row r="352">
      <c r="A352" s="36" t="n"/>
      <c r="B352" s="37" t="n"/>
      <c r="C352" s="37" t="n"/>
      <c r="D352" s="36" t="n"/>
      <c r="E352" s="36" t="n"/>
      <c r="F352" s="29">
        <f>IF(A352="","",COUNTIFS(Agenda!$E$5:$E$1204,A352,Agenda!$H$5:$H$1204,"Realizado"))</f>
        <v/>
      </c>
      <c r="G352" s="29">
        <f>IF(A352="","",COUNTIFS(Agenda!$E$5:$E$1204,A352,Agenda!$H$5:$H$1204,"Falta"))</f>
        <v/>
      </c>
      <c r="H352" s="33">
        <f>IF(A352="","",IF(SUMPRODUCT(MAX((Agenda!$E$5:$E$1204=A352)*(Agenda!$H$5:$H$1204="Realizado")*Agenda!$A$5:$A$1204))=0,"",SUMPRODUCT(MAX((Agenda!$E$5:$E$1204=A352)*(Agenda!$H$5:$H$1204="Realizado")*Agenda!$A$5:$A$1204))))</f>
        <v/>
      </c>
      <c r="I352" s="33">
        <f>IF(A352="","",IF(SUMPRODUCT(MIN(((Agenda!$E$5:$E$1204=A352)*((Agenda!$H$5:$H$1204="Agendado")+(Agenda!$H$5:$H$1204="Confirmado")))*Agenda!$A$5:$A$1204+(1-((Agenda!$E$5:$E$1204=A352)*((Agenda!$H$5:$H$1204="Agendado")+(Agenda!$H$5:$H$1204="Confirmado"))))*1E+10))&gt;=1E+10,"",SUMPRODUCT(MIN(((Agenda!$E$5:$E$1204=A352)*((Agenda!$H$5:$H$1204="Agendado")+(Agenda!$H$5:$H$1204="Confirmado")))*Agenda!$A$5:$A$1204+(1-((Agenda!$E$5:$E$1204=A352)*((Agenda!$H$5:$H$1204="Agendado")+(Agenda!$H$5:$H$1204="Confirmado"))))*1E+10))))</f>
        <v/>
      </c>
    </row>
    <row r="353">
      <c r="A353" s="36" t="n"/>
      <c r="B353" s="37" t="n"/>
      <c r="C353" s="37" t="n"/>
      <c r="D353" s="36" t="n"/>
      <c r="E353" s="36" t="n"/>
      <c r="F353" s="29">
        <f>IF(A353="","",COUNTIFS(Agenda!$E$5:$E$1204,A353,Agenda!$H$5:$H$1204,"Realizado"))</f>
        <v/>
      </c>
      <c r="G353" s="29">
        <f>IF(A353="","",COUNTIFS(Agenda!$E$5:$E$1204,A353,Agenda!$H$5:$H$1204,"Falta"))</f>
        <v/>
      </c>
      <c r="H353" s="33">
        <f>IF(A353="","",IF(SUMPRODUCT(MAX((Agenda!$E$5:$E$1204=A353)*(Agenda!$H$5:$H$1204="Realizado")*Agenda!$A$5:$A$1204))=0,"",SUMPRODUCT(MAX((Agenda!$E$5:$E$1204=A353)*(Agenda!$H$5:$H$1204="Realizado")*Agenda!$A$5:$A$1204))))</f>
        <v/>
      </c>
      <c r="I353" s="33">
        <f>IF(A353="","",IF(SUMPRODUCT(MIN(((Agenda!$E$5:$E$1204=A353)*((Agenda!$H$5:$H$1204="Agendado")+(Agenda!$H$5:$H$1204="Confirmado")))*Agenda!$A$5:$A$1204+(1-((Agenda!$E$5:$E$1204=A353)*((Agenda!$H$5:$H$1204="Agendado")+(Agenda!$H$5:$H$1204="Confirmado"))))*1E+10))&gt;=1E+10,"",SUMPRODUCT(MIN(((Agenda!$E$5:$E$1204=A353)*((Agenda!$H$5:$H$1204="Agendado")+(Agenda!$H$5:$H$1204="Confirmado")))*Agenda!$A$5:$A$1204+(1-((Agenda!$E$5:$E$1204=A353)*((Agenda!$H$5:$H$1204="Agendado")+(Agenda!$H$5:$H$1204="Confirmado"))))*1E+10))))</f>
        <v/>
      </c>
    </row>
    <row r="354">
      <c r="A354" s="36" t="n"/>
      <c r="B354" s="37" t="n"/>
      <c r="C354" s="37" t="n"/>
      <c r="D354" s="36" t="n"/>
      <c r="E354" s="36" t="n"/>
      <c r="F354" s="29">
        <f>IF(A354="","",COUNTIFS(Agenda!$E$5:$E$1204,A354,Agenda!$H$5:$H$1204,"Realizado"))</f>
        <v/>
      </c>
      <c r="G354" s="29">
        <f>IF(A354="","",COUNTIFS(Agenda!$E$5:$E$1204,A354,Agenda!$H$5:$H$1204,"Falta"))</f>
        <v/>
      </c>
      <c r="H354" s="33">
        <f>IF(A354="","",IF(SUMPRODUCT(MAX((Agenda!$E$5:$E$1204=A354)*(Agenda!$H$5:$H$1204="Realizado")*Agenda!$A$5:$A$1204))=0,"",SUMPRODUCT(MAX((Agenda!$E$5:$E$1204=A354)*(Agenda!$H$5:$H$1204="Realizado")*Agenda!$A$5:$A$1204))))</f>
        <v/>
      </c>
      <c r="I354" s="33">
        <f>IF(A354="","",IF(SUMPRODUCT(MIN(((Agenda!$E$5:$E$1204=A354)*((Agenda!$H$5:$H$1204="Agendado")+(Agenda!$H$5:$H$1204="Confirmado")))*Agenda!$A$5:$A$1204+(1-((Agenda!$E$5:$E$1204=A354)*((Agenda!$H$5:$H$1204="Agendado")+(Agenda!$H$5:$H$1204="Confirmado"))))*1E+10))&gt;=1E+10,"",SUMPRODUCT(MIN(((Agenda!$E$5:$E$1204=A354)*((Agenda!$H$5:$H$1204="Agendado")+(Agenda!$H$5:$H$1204="Confirmado")))*Agenda!$A$5:$A$1204+(1-((Agenda!$E$5:$E$1204=A354)*((Agenda!$H$5:$H$1204="Agendado")+(Agenda!$H$5:$H$1204="Confirmado"))))*1E+10))))</f>
        <v/>
      </c>
    </row>
    <row r="355">
      <c r="A355" s="36" t="n"/>
      <c r="B355" s="37" t="n"/>
      <c r="C355" s="37" t="n"/>
      <c r="D355" s="36" t="n"/>
      <c r="E355" s="36" t="n"/>
      <c r="F355" s="29">
        <f>IF(A355="","",COUNTIFS(Agenda!$E$5:$E$1204,A355,Agenda!$H$5:$H$1204,"Realizado"))</f>
        <v/>
      </c>
      <c r="G355" s="29">
        <f>IF(A355="","",COUNTIFS(Agenda!$E$5:$E$1204,A355,Agenda!$H$5:$H$1204,"Falta"))</f>
        <v/>
      </c>
      <c r="H355" s="33">
        <f>IF(A355="","",IF(SUMPRODUCT(MAX((Agenda!$E$5:$E$1204=A355)*(Agenda!$H$5:$H$1204="Realizado")*Agenda!$A$5:$A$1204))=0,"",SUMPRODUCT(MAX((Agenda!$E$5:$E$1204=A355)*(Agenda!$H$5:$H$1204="Realizado")*Agenda!$A$5:$A$1204))))</f>
        <v/>
      </c>
      <c r="I355" s="33">
        <f>IF(A355="","",IF(SUMPRODUCT(MIN(((Agenda!$E$5:$E$1204=A355)*((Agenda!$H$5:$H$1204="Agendado")+(Agenda!$H$5:$H$1204="Confirmado")))*Agenda!$A$5:$A$1204+(1-((Agenda!$E$5:$E$1204=A355)*((Agenda!$H$5:$H$1204="Agendado")+(Agenda!$H$5:$H$1204="Confirmado"))))*1E+10))&gt;=1E+10,"",SUMPRODUCT(MIN(((Agenda!$E$5:$E$1204=A355)*((Agenda!$H$5:$H$1204="Agendado")+(Agenda!$H$5:$H$1204="Confirmado")))*Agenda!$A$5:$A$1204+(1-((Agenda!$E$5:$E$1204=A355)*((Agenda!$H$5:$H$1204="Agendado")+(Agenda!$H$5:$H$1204="Confirmado"))))*1E+10))))</f>
        <v/>
      </c>
    </row>
    <row r="356">
      <c r="A356" s="36" t="n"/>
      <c r="B356" s="37" t="n"/>
      <c r="C356" s="37" t="n"/>
      <c r="D356" s="36" t="n"/>
      <c r="E356" s="36" t="n"/>
      <c r="F356" s="29">
        <f>IF(A356="","",COUNTIFS(Agenda!$E$5:$E$1204,A356,Agenda!$H$5:$H$1204,"Realizado"))</f>
        <v/>
      </c>
      <c r="G356" s="29">
        <f>IF(A356="","",COUNTIFS(Agenda!$E$5:$E$1204,A356,Agenda!$H$5:$H$1204,"Falta"))</f>
        <v/>
      </c>
      <c r="H356" s="33">
        <f>IF(A356="","",IF(SUMPRODUCT(MAX((Agenda!$E$5:$E$1204=A356)*(Agenda!$H$5:$H$1204="Realizado")*Agenda!$A$5:$A$1204))=0,"",SUMPRODUCT(MAX((Agenda!$E$5:$E$1204=A356)*(Agenda!$H$5:$H$1204="Realizado")*Agenda!$A$5:$A$1204))))</f>
        <v/>
      </c>
      <c r="I356" s="33">
        <f>IF(A356="","",IF(SUMPRODUCT(MIN(((Agenda!$E$5:$E$1204=A356)*((Agenda!$H$5:$H$1204="Agendado")+(Agenda!$H$5:$H$1204="Confirmado")))*Agenda!$A$5:$A$1204+(1-((Agenda!$E$5:$E$1204=A356)*((Agenda!$H$5:$H$1204="Agendado")+(Agenda!$H$5:$H$1204="Confirmado"))))*1E+10))&gt;=1E+10,"",SUMPRODUCT(MIN(((Agenda!$E$5:$E$1204=A356)*((Agenda!$H$5:$H$1204="Agendado")+(Agenda!$H$5:$H$1204="Confirmado")))*Agenda!$A$5:$A$1204+(1-((Agenda!$E$5:$E$1204=A356)*((Agenda!$H$5:$H$1204="Agendado")+(Agenda!$H$5:$H$1204="Confirmado"))))*1E+10))))</f>
        <v/>
      </c>
    </row>
    <row r="357">
      <c r="A357" s="36" t="n"/>
      <c r="B357" s="37" t="n"/>
      <c r="C357" s="37" t="n"/>
      <c r="D357" s="36" t="n"/>
      <c r="E357" s="36" t="n"/>
      <c r="F357" s="29">
        <f>IF(A357="","",COUNTIFS(Agenda!$E$5:$E$1204,A357,Agenda!$H$5:$H$1204,"Realizado"))</f>
        <v/>
      </c>
      <c r="G357" s="29">
        <f>IF(A357="","",COUNTIFS(Agenda!$E$5:$E$1204,A357,Agenda!$H$5:$H$1204,"Falta"))</f>
        <v/>
      </c>
      <c r="H357" s="33">
        <f>IF(A357="","",IF(SUMPRODUCT(MAX((Agenda!$E$5:$E$1204=A357)*(Agenda!$H$5:$H$1204="Realizado")*Agenda!$A$5:$A$1204))=0,"",SUMPRODUCT(MAX((Agenda!$E$5:$E$1204=A357)*(Agenda!$H$5:$H$1204="Realizado")*Agenda!$A$5:$A$1204))))</f>
        <v/>
      </c>
      <c r="I357" s="33">
        <f>IF(A357="","",IF(SUMPRODUCT(MIN(((Agenda!$E$5:$E$1204=A357)*((Agenda!$H$5:$H$1204="Agendado")+(Agenda!$H$5:$H$1204="Confirmado")))*Agenda!$A$5:$A$1204+(1-((Agenda!$E$5:$E$1204=A357)*((Agenda!$H$5:$H$1204="Agendado")+(Agenda!$H$5:$H$1204="Confirmado"))))*1E+10))&gt;=1E+10,"",SUMPRODUCT(MIN(((Agenda!$E$5:$E$1204=A357)*((Agenda!$H$5:$H$1204="Agendado")+(Agenda!$H$5:$H$1204="Confirmado")))*Agenda!$A$5:$A$1204+(1-((Agenda!$E$5:$E$1204=A357)*((Agenda!$H$5:$H$1204="Agendado")+(Agenda!$H$5:$H$1204="Confirmado"))))*1E+10))))</f>
        <v/>
      </c>
    </row>
    <row r="358">
      <c r="A358" s="36" t="n"/>
      <c r="B358" s="37" t="n"/>
      <c r="C358" s="37" t="n"/>
      <c r="D358" s="36" t="n"/>
      <c r="E358" s="36" t="n"/>
      <c r="F358" s="29">
        <f>IF(A358="","",COUNTIFS(Agenda!$E$5:$E$1204,A358,Agenda!$H$5:$H$1204,"Realizado"))</f>
        <v/>
      </c>
      <c r="G358" s="29">
        <f>IF(A358="","",COUNTIFS(Agenda!$E$5:$E$1204,A358,Agenda!$H$5:$H$1204,"Falta"))</f>
        <v/>
      </c>
      <c r="H358" s="33">
        <f>IF(A358="","",IF(SUMPRODUCT(MAX((Agenda!$E$5:$E$1204=A358)*(Agenda!$H$5:$H$1204="Realizado")*Agenda!$A$5:$A$1204))=0,"",SUMPRODUCT(MAX((Agenda!$E$5:$E$1204=A358)*(Agenda!$H$5:$H$1204="Realizado")*Agenda!$A$5:$A$1204))))</f>
        <v/>
      </c>
      <c r="I358" s="33">
        <f>IF(A358="","",IF(SUMPRODUCT(MIN(((Agenda!$E$5:$E$1204=A358)*((Agenda!$H$5:$H$1204="Agendado")+(Agenda!$H$5:$H$1204="Confirmado")))*Agenda!$A$5:$A$1204+(1-((Agenda!$E$5:$E$1204=A358)*((Agenda!$H$5:$H$1204="Agendado")+(Agenda!$H$5:$H$1204="Confirmado"))))*1E+10))&gt;=1E+10,"",SUMPRODUCT(MIN(((Agenda!$E$5:$E$1204=A358)*((Agenda!$H$5:$H$1204="Agendado")+(Agenda!$H$5:$H$1204="Confirmado")))*Agenda!$A$5:$A$1204+(1-((Agenda!$E$5:$E$1204=A358)*((Agenda!$H$5:$H$1204="Agendado")+(Agenda!$H$5:$H$1204="Confirmado"))))*1E+10))))</f>
        <v/>
      </c>
    </row>
    <row r="359">
      <c r="A359" s="36" t="n"/>
      <c r="B359" s="37" t="n"/>
      <c r="C359" s="37" t="n"/>
      <c r="D359" s="36" t="n"/>
      <c r="E359" s="36" t="n"/>
      <c r="F359" s="29">
        <f>IF(A359="","",COUNTIFS(Agenda!$E$5:$E$1204,A359,Agenda!$H$5:$H$1204,"Realizado"))</f>
        <v/>
      </c>
      <c r="G359" s="29">
        <f>IF(A359="","",COUNTIFS(Agenda!$E$5:$E$1204,A359,Agenda!$H$5:$H$1204,"Falta"))</f>
        <v/>
      </c>
      <c r="H359" s="33">
        <f>IF(A359="","",IF(SUMPRODUCT(MAX((Agenda!$E$5:$E$1204=A359)*(Agenda!$H$5:$H$1204="Realizado")*Agenda!$A$5:$A$1204))=0,"",SUMPRODUCT(MAX((Agenda!$E$5:$E$1204=A359)*(Agenda!$H$5:$H$1204="Realizado")*Agenda!$A$5:$A$1204))))</f>
        <v/>
      </c>
      <c r="I359" s="33">
        <f>IF(A359="","",IF(SUMPRODUCT(MIN(((Agenda!$E$5:$E$1204=A359)*((Agenda!$H$5:$H$1204="Agendado")+(Agenda!$H$5:$H$1204="Confirmado")))*Agenda!$A$5:$A$1204+(1-((Agenda!$E$5:$E$1204=A359)*((Agenda!$H$5:$H$1204="Agendado")+(Agenda!$H$5:$H$1204="Confirmado"))))*1E+10))&gt;=1E+10,"",SUMPRODUCT(MIN(((Agenda!$E$5:$E$1204=A359)*((Agenda!$H$5:$H$1204="Agendado")+(Agenda!$H$5:$H$1204="Confirmado")))*Agenda!$A$5:$A$1204+(1-((Agenda!$E$5:$E$1204=A359)*((Agenda!$H$5:$H$1204="Agendado")+(Agenda!$H$5:$H$1204="Confirmado"))))*1E+10))))</f>
        <v/>
      </c>
    </row>
    <row r="360">
      <c r="A360" s="36" t="n"/>
      <c r="B360" s="37" t="n"/>
      <c r="C360" s="37" t="n"/>
      <c r="D360" s="36" t="n"/>
      <c r="E360" s="36" t="n"/>
      <c r="F360" s="29">
        <f>IF(A360="","",COUNTIFS(Agenda!$E$5:$E$1204,A360,Agenda!$H$5:$H$1204,"Realizado"))</f>
        <v/>
      </c>
      <c r="G360" s="29">
        <f>IF(A360="","",COUNTIFS(Agenda!$E$5:$E$1204,A360,Agenda!$H$5:$H$1204,"Falta"))</f>
        <v/>
      </c>
      <c r="H360" s="33">
        <f>IF(A360="","",IF(SUMPRODUCT(MAX((Agenda!$E$5:$E$1204=A360)*(Agenda!$H$5:$H$1204="Realizado")*Agenda!$A$5:$A$1204))=0,"",SUMPRODUCT(MAX((Agenda!$E$5:$E$1204=A360)*(Agenda!$H$5:$H$1204="Realizado")*Agenda!$A$5:$A$1204))))</f>
        <v/>
      </c>
      <c r="I360" s="33">
        <f>IF(A360="","",IF(SUMPRODUCT(MIN(((Agenda!$E$5:$E$1204=A360)*((Agenda!$H$5:$H$1204="Agendado")+(Agenda!$H$5:$H$1204="Confirmado")))*Agenda!$A$5:$A$1204+(1-((Agenda!$E$5:$E$1204=A360)*((Agenda!$H$5:$H$1204="Agendado")+(Agenda!$H$5:$H$1204="Confirmado"))))*1E+10))&gt;=1E+10,"",SUMPRODUCT(MIN(((Agenda!$E$5:$E$1204=A360)*((Agenda!$H$5:$H$1204="Agendado")+(Agenda!$H$5:$H$1204="Confirmado")))*Agenda!$A$5:$A$1204+(1-((Agenda!$E$5:$E$1204=A360)*((Agenda!$H$5:$H$1204="Agendado")+(Agenda!$H$5:$H$1204="Confirmado"))))*1E+10))))</f>
        <v/>
      </c>
    </row>
    <row r="361">
      <c r="A361" s="36" t="n"/>
      <c r="B361" s="37" t="n"/>
      <c r="C361" s="37" t="n"/>
      <c r="D361" s="36" t="n"/>
      <c r="E361" s="36" t="n"/>
      <c r="F361" s="29">
        <f>IF(A361="","",COUNTIFS(Agenda!$E$5:$E$1204,A361,Agenda!$H$5:$H$1204,"Realizado"))</f>
        <v/>
      </c>
      <c r="G361" s="29">
        <f>IF(A361="","",COUNTIFS(Agenda!$E$5:$E$1204,A361,Agenda!$H$5:$H$1204,"Falta"))</f>
        <v/>
      </c>
      <c r="H361" s="33">
        <f>IF(A361="","",IF(SUMPRODUCT(MAX((Agenda!$E$5:$E$1204=A361)*(Agenda!$H$5:$H$1204="Realizado")*Agenda!$A$5:$A$1204))=0,"",SUMPRODUCT(MAX((Agenda!$E$5:$E$1204=A361)*(Agenda!$H$5:$H$1204="Realizado")*Agenda!$A$5:$A$1204))))</f>
        <v/>
      </c>
      <c r="I361" s="33">
        <f>IF(A361="","",IF(SUMPRODUCT(MIN(((Agenda!$E$5:$E$1204=A361)*((Agenda!$H$5:$H$1204="Agendado")+(Agenda!$H$5:$H$1204="Confirmado")))*Agenda!$A$5:$A$1204+(1-((Agenda!$E$5:$E$1204=A361)*((Agenda!$H$5:$H$1204="Agendado")+(Agenda!$H$5:$H$1204="Confirmado"))))*1E+10))&gt;=1E+10,"",SUMPRODUCT(MIN(((Agenda!$E$5:$E$1204=A361)*((Agenda!$H$5:$H$1204="Agendado")+(Agenda!$H$5:$H$1204="Confirmado")))*Agenda!$A$5:$A$1204+(1-((Agenda!$E$5:$E$1204=A361)*((Agenda!$H$5:$H$1204="Agendado")+(Agenda!$H$5:$H$1204="Confirmado"))))*1E+10))))</f>
        <v/>
      </c>
    </row>
    <row r="362">
      <c r="A362" s="36" t="n"/>
      <c r="B362" s="37" t="n"/>
      <c r="C362" s="37" t="n"/>
      <c r="D362" s="36" t="n"/>
      <c r="E362" s="36" t="n"/>
      <c r="F362" s="29">
        <f>IF(A362="","",COUNTIFS(Agenda!$E$5:$E$1204,A362,Agenda!$H$5:$H$1204,"Realizado"))</f>
        <v/>
      </c>
      <c r="G362" s="29">
        <f>IF(A362="","",COUNTIFS(Agenda!$E$5:$E$1204,A362,Agenda!$H$5:$H$1204,"Falta"))</f>
        <v/>
      </c>
      <c r="H362" s="33">
        <f>IF(A362="","",IF(SUMPRODUCT(MAX((Agenda!$E$5:$E$1204=A362)*(Agenda!$H$5:$H$1204="Realizado")*Agenda!$A$5:$A$1204))=0,"",SUMPRODUCT(MAX((Agenda!$E$5:$E$1204=A362)*(Agenda!$H$5:$H$1204="Realizado")*Agenda!$A$5:$A$1204))))</f>
        <v/>
      </c>
      <c r="I362" s="33">
        <f>IF(A362="","",IF(SUMPRODUCT(MIN(((Agenda!$E$5:$E$1204=A362)*((Agenda!$H$5:$H$1204="Agendado")+(Agenda!$H$5:$H$1204="Confirmado")))*Agenda!$A$5:$A$1204+(1-((Agenda!$E$5:$E$1204=A362)*((Agenda!$H$5:$H$1204="Agendado")+(Agenda!$H$5:$H$1204="Confirmado"))))*1E+10))&gt;=1E+10,"",SUMPRODUCT(MIN(((Agenda!$E$5:$E$1204=A362)*((Agenda!$H$5:$H$1204="Agendado")+(Agenda!$H$5:$H$1204="Confirmado")))*Agenda!$A$5:$A$1204+(1-((Agenda!$E$5:$E$1204=A362)*((Agenda!$H$5:$H$1204="Agendado")+(Agenda!$H$5:$H$1204="Confirmado"))))*1E+10))))</f>
        <v/>
      </c>
    </row>
    <row r="363">
      <c r="A363" s="36" t="n"/>
      <c r="B363" s="37" t="n"/>
      <c r="C363" s="37" t="n"/>
      <c r="D363" s="36" t="n"/>
      <c r="E363" s="36" t="n"/>
      <c r="F363" s="29">
        <f>IF(A363="","",COUNTIFS(Agenda!$E$5:$E$1204,A363,Agenda!$H$5:$H$1204,"Realizado"))</f>
        <v/>
      </c>
      <c r="G363" s="29">
        <f>IF(A363="","",COUNTIFS(Agenda!$E$5:$E$1204,A363,Agenda!$H$5:$H$1204,"Falta"))</f>
        <v/>
      </c>
      <c r="H363" s="33">
        <f>IF(A363="","",IF(SUMPRODUCT(MAX((Agenda!$E$5:$E$1204=A363)*(Agenda!$H$5:$H$1204="Realizado")*Agenda!$A$5:$A$1204))=0,"",SUMPRODUCT(MAX((Agenda!$E$5:$E$1204=A363)*(Agenda!$H$5:$H$1204="Realizado")*Agenda!$A$5:$A$1204))))</f>
        <v/>
      </c>
      <c r="I363" s="33">
        <f>IF(A363="","",IF(SUMPRODUCT(MIN(((Agenda!$E$5:$E$1204=A363)*((Agenda!$H$5:$H$1204="Agendado")+(Agenda!$H$5:$H$1204="Confirmado")))*Agenda!$A$5:$A$1204+(1-((Agenda!$E$5:$E$1204=A363)*((Agenda!$H$5:$H$1204="Agendado")+(Agenda!$H$5:$H$1204="Confirmado"))))*1E+10))&gt;=1E+10,"",SUMPRODUCT(MIN(((Agenda!$E$5:$E$1204=A363)*((Agenda!$H$5:$H$1204="Agendado")+(Agenda!$H$5:$H$1204="Confirmado")))*Agenda!$A$5:$A$1204+(1-((Agenda!$E$5:$E$1204=A363)*((Agenda!$H$5:$H$1204="Agendado")+(Agenda!$H$5:$H$1204="Confirmado"))))*1E+10))))</f>
        <v/>
      </c>
    </row>
    <row r="364">
      <c r="A364" s="36" t="n"/>
      <c r="B364" s="37" t="n"/>
      <c r="C364" s="37" t="n"/>
      <c r="D364" s="36" t="n"/>
      <c r="E364" s="36" t="n"/>
      <c r="F364" s="29">
        <f>IF(A364="","",COUNTIFS(Agenda!$E$5:$E$1204,A364,Agenda!$H$5:$H$1204,"Realizado"))</f>
        <v/>
      </c>
      <c r="G364" s="29">
        <f>IF(A364="","",COUNTIFS(Agenda!$E$5:$E$1204,A364,Agenda!$H$5:$H$1204,"Falta"))</f>
        <v/>
      </c>
      <c r="H364" s="33">
        <f>IF(A364="","",IF(SUMPRODUCT(MAX((Agenda!$E$5:$E$1204=A364)*(Agenda!$H$5:$H$1204="Realizado")*Agenda!$A$5:$A$1204))=0,"",SUMPRODUCT(MAX((Agenda!$E$5:$E$1204=A364)*(Agenda!$H$5:$H$1204="Realizado")*Agenda!$A$5:$A$1204))))</f>
        <v/>
      </c>
      <c r="I364" s="33">
        <f>IF(A364="","",IF(SUMPRODUCT(MIN(((Agenda!$E$5:$E$1204=A364)*((Agenda!$H$5:$H$1204="Agendado")+(Agenda!$H$5:$H$1204="Confirmado")))*Agenda!$A$5:$A$1204+(1-((Agenda!$E$5:$E$1204=A364)*((Agenda!$H$5:$H$1204="Agendado")+(Agenda!$H$5:$H$1204="Confirmado"))))*1E+10))&gt;=1E+10,"",SUMPRODUCT(MIN(((Agenda!$E$5:$E$1204=A364)*((Agenda!$H$5:$H$1204="Agendado")+(Agenda!$H$5:$H$1204="Confirmado")))*Agenda!$A$5:$A$1204+(1-((Agenda!$E$5:$E$1204=A364)*((Agenda!$H$5:$H$1204="Agendado")+(Agenda!$H$5:$H$1204="Confirmado"))))*1E+10))))</f>
        <v/>
      </c>
    </row>
    <row r="365">
      <c r="A365" s="36" t="n"/>
      <c r="B365" s="37" t="n"/>
      <c r="C365" s="37" t="n"/>
      <c r="D365" s="36" t="n"/>
      <c r="E365" s="36" t="n"/>
      <c r="F365" s="29">
        <f>IF(A365="","",COUNTIFS(Agenda!$E$5:$E$1204,A365,Agenda!$H$5:$H$1204,"Realizado"))</f>
        <v/>
      </c>
      <c r="G365" s="29">
        <f>IF(A365="","",COUNTIFS(Agenda!$E$5:$E$1204,A365,Agenda!$H$5:$H$1204,"Falta"))</f>
        <v/>
      </c>
      <c r="H365" s="33">
        <f>IF(A365="","",IF(SUMPRODUCT(MAX((Agenda!$E$5:$E$1204=A365)*(Agenda!$H$5:$H$1204="Realizado")*Agenda!$A$5:$A$1204))=0,"",SUMPRODUCT(MAX((Agenda!$E$5:$E$1204=A365)*(Agenda!$H$5:$H$1204="Realizado")*Agenda!$A$5:$A$1204))))</f>
        <v/>
      </c>
      <c r="I365" s="33">
        <f>IF(A365="","",IF(SUMPRODUCT(MIN(((Agenda!$E$5:$E$1204=A365)*((Agenda!$H$5:$H$1204="Agendado")+(Agenda!$H$5:$H$1204="Confirmado")))*Agenda!$A$5:$A$1204+(1-((Agenda!$E$5:$E$1204=A365)*((Agenda!$H$5:$H$1204="Agendado")+(Agenda!$H$5:$H$1204="Confirmado"))))*1E+10))&gt;=1E+10,"",SUMPRODUCT(MIN(((Agenda!$E$5:$E$1204=A365)*((Agenda!$H$5:$H$1204="Agendado")+(Agenda!$H$5:$H$1204="Confirmado")))*Agenda!$A$5:$A$1204+(1-((Agenda!$E$5:$E$1204=A365)*((Agenda!$H$5:$H$1204="Agendado")+(Agenda!$H$5:$H$1204="Confirmado"))))*1E+10))))</f>
        <v/>
      </c>
    </row>
    <row r="366">
      <c r="A366" s="36" t="n"/>
      <c r="B366" s="37" t="n"/>
      <c r="C366" s="37" t="n"/>
      <c r="D366" s="36" t="n"/>
      <c r="E366" s="36" t="n"/>
      <c r="F366" s="29">
        <f>IF(A366="","",COUNTIFS(Agenda!$E$5:$E$1204,A366,Agenda!$H$5:$H$1204,"Realizado"))</f>
        <v/>
      </c>
      <c r="G366" s="29">
        <f>IF(A366="","",COUNTIFS(Agenda!$E$5:$E$1204,A366,Agenda!$H$5:$H$1204,"Falta"))</f>
        <v/>
      </c>
      <c r="H366" s="33">
        <f>IF(A366="","",IF(SUMPRODUCT(MAX((Agenda!$E$5:$E$1204=A366)*(Agenda!$H$5:$H$1204="Realizado")*Agenda!$A$5:$A$1204))=0,"",SUMPRODUCT(MAX((Agenda!$E$5:$E$1204=A366)*(Agenda!$H$5:$H$1204="Realizado")*Agenda!$A$5:$A$1204))))</f>
        <v/>
      </c>
      <c r="I366" s="33">
        <f>IF(A366="","",IF(SUMPRODUCT(MIN(((Agenda!$E$5:$E$1204=A366)*((Agenda!$H$5:$H$1204="Agendado")+(Agenda!$H$5:$H$1204="Confirmado")))*Agenda!$A$5:$A$1204+(1-((Agenda!$E$5:$E$1204=A366)*((Agenda!$H$5:$H$1204="Agendado")+(Agenda!$H$5:$H$1204="Confirmado"))))*1E+10))&gt;=1E+10,"",SUMPRODUCT(MIN(((Agenda!$E$5:$E$1204=A366)*((Agenda!$H$5:$H$1204="Agendado")+(Agenda!$H$5:$H$1204="Confirmado")))*Agenda!$A$5:$A$1204+(1-((Agenda!$E$5:$E$1204=A366)*((Agenda!$H$5:$H$1204="Agendado")+(Agenda!$H$5:$H$1204="Confirmado"))))*1E+10))))</f>
        <v/>
      </c>
    </row>
    <row r="367">
      <c r="A367" s="36" t="n"/>
      <c r="B367" s="37" t="n"/>
      <c r="C367" s="37" t="n"/>
      <c r="D367" s="36" t="n"/>
      <c r="E367" s="36" t="n"/>
      <c r="F367" s="29">
        <f>IF(A367="","",COUNTIFS(Agenda!$E$5:$E$1204,A367,Agenda!$H$5:$H$1204,"Realizado"))</f>
        <v/>
      </c>
      <c r="G367" s="29">
        <f>IF(A367="","",COUNTIFS(Agenda!$E$5:$E$1204,A367,Agenda!$H$5:$H$1204,"Falta"))</f>
        <v/>
      </c>
      <c r="H367" s="33">
        <f>IF(A367="","",IF(SUMPRODUCT(MAX((Agenda!$E$5:$E$1204=A367)*(Agenda!$H$5:$H$1204="Realizado")*Agenda!$A$5:$A$1204))=0,"",SUMPRODUCT(MAX((Agenda!$E$5:$E$1204=A367)*(Agenda!$H$5:$H$1204="Realizado")*Agenda!$A$5:$A$1204))))</f>
        <v/>
      </c>
      <c r="I367" s="33">
        <f>IF(A367="","",IF(SUMPRODUCT(MIN(((Agenda!$E$5:$E$1204=A367)*((Agenda!$H$5:$H$1204="Agendado")+(Agenda!$H$5:$H$1204="Confirmado")))*Agenda!$A$5:$A$1204+(1-((Agenda!$E$5:$E$1204=A367)*((Agenda!$H$5:$H$1204="Agendado")+(Agenda!$H$5:$H$1204="Confirmado"))))*1E+10))&gt;=1E+10,"",SUMPRODUCT(MIN(((Agenda!$E$5:$E$1204=A367)*((Agenda!$H$5:$H$1204="Agendado")+(Agenda!$H$5:$H$1204="Confirmado")))*Agenda!$A$5:$A$1204+(1-((Agenda!$E$5:$E$1204=A367)*((Agenda!$H$5:$H$1204="Agendado")+(Agenda!$H$5:$H$1204="Confirmado"))))*1E+10))))</f>
        <v/>
      </c>
    </row>
    <row r="368">
      <c r="A368" s="36" t="n"/>
      <c r="B368" s="37" t="n"/>
      <c r="C368" s="37" t="n"/>
      <c r="D368" s="36" t="n"/>
      <c r="E368" s="36" t="n"/>
      <c r="F368" s="29">
        <f>IF(A368="","",COUNTIFS(Agenda!$E$5:$E$1204,A368,Agenda!$H$5:$H$1204,"Realizado"))</f>
        <v/>
      </c>
      <c r="G368" s="29">
        <f>IF(A368="","",COUNTIFS(Agenda!$E$5:$E$1204,A368,Agenda!$H$5:$H$1204,"Falta"))</f>
        <v/>
      </c>
      <c r="H368" s="33">
        <f>IF(A368="","",IF(SUMPRODUCT(MAX((Agenda!$E$5:$E$1204=A368)*(Agenda!$H$5:$H$1204="Realizado")*Agenda!$A$5:$A$1204))=0,"",SUMPRODUCT(MAX((Agenda!$E$5:$E$1204=A368)*(Agenda!$H$5:$H$1204="Realizado")*Agenda!$A$5:$A$1204))))</f>
        <v/>
      </c>
      <c r="I368" s="33">
        <f>IF(A368="","",IF(SUMPRODUCT(MIN(((Agenda!$E$5:$E$1204=A368)*((Agenda!$H$5:$H$1204="Agendado")+(Agenda!$H$5:$H$1204="Confirmado")))*Agenda!$A$5:$A$1204+(1-((Agenda!$E$5:$E$1204=A368)*((Agenda!$H$5:$H$1204="Agendado")+(Agenda!$H$5:$H$1204="Confirmado"))))*1E+10))&gt;=1E+10,"",SUMPRODUCT(MIN(((Agenda!$E$5:$E$1204=A368)*((Agenda!$H$5:$H$1204="Agendado")+(Agenda!$H$5:$H$1204="Confirmado")))*Agenda!$A$5:$A$1204+(1-((Agenda!$E$5:$E$1204=A368)*((Agenda!$H$5:$H$1204="Agendado")+(Agenda!$H$5:$H$1204="Confirmado"))))*1E+10))))</f>
        <v/>
      </c>
    </row>
    <row r="369">
      <c r="A369" s="36" t="n"/>
      <c r="B369" s="37" t="n"/>
      <c r="C369" s="37" t="n"/>
      <c r="D369" s="36" t="n"/>
      <c r="E369" s="36" t="n"/>
      <c r="F369" s="29">
        <f>IF(A369="","",COUNTIFS(Agenda!$E$5:$E$1204,A369,Agenda!$H$5:$H$1204,"Realizado"))</f>
        <v/>
      </c>
      <c r="G369" s="29">
        <f>IF(A369="","",COUNTIFS(Agenda!$E$5:$E$1204,A369,Agenda!$H$5:$H$1204,"Falta"))</f>
        <v/>
      </c>
      <c r="H369" s="33">
        <f>IF(A369="","",IF(SUMPRODUCT(MAX((Agenda!$E$5:$E$1204=A369)*(Agenda!$H$5:$H$1204="Realizado")*Agenda!$A$5:$A$1204))=0,"",SUMPRODUCT(MAX((Agenda!$E$5:$E$1204=A369)*(Agenda!$H$5:$H$1204="Realizado")*Agenda!$A$5:$A$1204))))</f>
        <v/>
      </c>
      <c r="I369" s="33">
        <f>IF(A369="","",IF(SUMPRODUCT(MIN(((Agenda!$E$5:$E$1204=A369)*((Agenda!$H$5:$H$1204="Agendado")+(Agenda!$H$5:$H$1204="Confirmado")))*Agenda!$A$5:$A$1204+(1-((Agenda!$E$5:$E$1204=A369)*((Agenda!$H$5:$H$1204="Agendado")+(Agenda!$H$5:$H$1204="Confirmado"))))*1E+10))&gt;=1E+10,"",SUMPRODUCT(MIN(((Agenda!$E$5:$E$1204=A369)*((Agenda!$H$5:$H$1204="Agendado")+(Agenda!$H$5:$H$1204="Confirmado")))*Agenda!$A$5:$A$1204+(1-((Agenda!$E$5:$E$1204=A369)*((Agenda!$H$5:$H$1204="Agendado")+(Agenda!$H$5:$H$1204="Confirmado"))))*1E+10))))</f>
        <v/>
      </c>
    </row>
    <row r="370">
      <c r="A370" s="36" t="n"/>
      <c r="B370" s="37" t="n"/>
      <c r="C370" s="37" t="n"/>
      <c r="D370" s="36" t="n"/>
      <c r="E370" s="36" t="n"/>
      <c r="F370" s="29">
        <f>IF(A370="","",COUNTIFS(Agenda!$E$5:$E$1204,A370,Agenda!$H$5:$H$1204,"Realizado"))</f>
        <v/>
      </c>
      <c r="G370" s="29">
        <f>IF(A370="","",COUNTIFS(Agenda!$E$5:$E$1204,A370,Agenda!$H$5:$H$1204,"Falta"))</f>
        <v/>
      </c>
      <c r="H370" s="33">
        <f>IF(A370="","",IF(SUMPRODUCT(MAX((Agenda!$E$5:$E$1204=A370)*(Agenda!$H$5:$H$1204="Realizado")*Agenda!$A$5:$A$1204))=0,"",SUMPRODUCT(MAX((Agenda!$E$5:$E$1204=A370)*(Agenda!$H$5:$H$1204="Realizado")*Agenda!$A$5:$A$1204))))</f>
        <v/>
      </c>
      <c r="I370" s="33">
        <f>IF(A370="","",IF(SUMPRODUCT(MIN(((Agenda!$E$5:$E$1204=A370)*((Agenda!$H$5:$H$1204="Agendado")+(Agenda!$H$5:$H$1204="Confirmado")))*Agenda!$A$5:$A$1204+(1-((Agenda!$E$5:$E$1204=A370)*((Agenda!$H$5:$H$1204="Agendado")+(Agenda!$H$5:$H$1204="Confirmado"))))*1E+10))&gt;=1E+10,"",SUMPRODUCT(MIN(((Agenda!$E$5:$E$1204=A370)*((Agenda!$H$5:$H$1204="Agendado")+(Agenda!$H$5:$H$1204="Confirmado")))*Agenda!$A$5:$A$1204+(1-((Agenda!$E$5:$E$1204=A370)*((Agenda!$H$5:$H$1204="Agendado")+(Agenda!$H$5:$H$1204="Confirmado"))))*1E+10))))</f>
        <v/>
      </c>
    </row>
    <row r="371">
      <c r="A371" s="36" t="n"/>
      <c r="B371" s="37" t="n"/>
      <c r="C371" s="37" t="n"/>
      <c r="D371" s="36" t="n"/>
      <c r="E371" s="36" t="n"/>
      <c r="F371" s="29">
        <f>IF(A371="","",COUNTIFS(Agenda!$E$5:$E$1204,A371,Agenda!$H$5:$H$1204,"Realizado"))</f>
        <v/>
      </c>
      <c r="G371" s="29">
        <f>IF(A371="","",COUNTIFS(Agenda!$E$5:$E$1204,A371,Agenda!$H$5:$H$1204,"Falta"))</f>
        <v/>
      </c>
      <c r="H371" s="33">
        <f>IF(A371="","",IF(SUMPRODUCT(MAX((Agenda!$E$5:$E$1204=A371)*(Agenda!$H$5:$H$1204="Realizado")*Agenda!$A$5:$A$1204))=0,"",SUMPRODUCT(MAX((Agenda!$E$5:$E$1204=A371)*(Agenda!$H$5:$H$1204="Realizado")*Agenda!$A$5:$A$1204))))</f>
        <v/>
      </c>
      <c r="I371" s="33">
        <f>IF(A371="","",IF(SUMPRODUCT(MIN(((Agenda!$E$5:$E$1204=A371)*((Agenda!$H$5:$H$1204="Agendado")+(Agenda!$H$5:$H$1204="Confirmado")))*Agenda!$A$5:$A$1204+(1-((Agenda!$E$5:$E$1204=A371)*((Agenda!$H$5:$H$1204="Agendado")+(Agenda!$H$5:$H$1204="Confirmado"))))*1E+10))&gt;=1E+10,"",SUMPRODUCT(MIN(((Agenda!$E$5:$E$1204=A371)*((Agenda!$H$5:$H$1204="Agendado")+(Agenda!$H$5:$H$1204="Confirmado")))*Agenda!$A$5:$A$1204+(1-((Agenda!$E$5:$E$1204=A371)*((Agenda!$H$5:$H$1204="Agendado")+(Agenda!$H$5:$H$1204="Confirmado"))))*1E+10))))</f>
        <v/>
      </c>
    </row>
    <row r="372">
      <c r="A372" s="36" t="n"/>
      <c r="B372" s="37" t="n"/>
      <c r="C372" s="37" t="n"/>
      <c r="D372" s="36" t="n"/>
      <c r="E372" s="36" t="n"/>
      <c r="F372" s="29">
        <f>IF(A372="","",COUNTIFS(Agenda!$E$5:$E$1204,A372,Agenda!$H$5:$H$1204,"Realizado"))</f>
        <v/>
      </c>
      <c r="G372" s="29">
        <f>IF(A372="","",COUNTIFS(Agenda!$E$5:$E$1204,A372,Agenda!$H$5:$H$1204,"Falta"))</f>
        <v/>
      </c>
      <c r="H372" s="33">
        <f>IF(A372="","",IF(SUMPRODUCT(MAX((Agenda!$E$5:$E$1204=A372)*(Agenda!$H$5:$H$1204="Realizado")*Agenda!$A$5:$A$1204))=0,"",SUMPRODUCT(MAX((Agenda!$E$5:$E$1204=A372)*(Agenda!$H$5:$H$1204="Realizado")*Agenda!$A$5:$A$1204))))</f>
        <v/>
      </c>
      <c r="I372" s="33">
        <f>IF(A372="","",IF(SUMPRODUCT(MIN(((Agenda!$E$5:$E$1204=A372)*((Agenda!$H$5:$H$1204="Agendado")+(Agenda!$H$5:$H$1204="Confirmado")))*Agenda!$A$5:$A$1204+(1-((Agenda!$E$5:$E$1204=A372)*((Agenda!$H$5:$H$1204="Agendado")+(Agenda!$H$5:$H$1204="Confirmado"))))*1E+10))&gt;=1E+10,"",SUMPRODUCT(MIN(((Agenda!$E$5:$E$1204=A372)*((Agenda!$H$5:$H$1204="Agendado")+(Agenda!$H$5:$H$1204="Confirmado")))*Agenda!$A$5:$A$1204+(1-((Agenda!$E$5:$E$1204=A372)*((Agenda!$H$5:$H$1204="Agendado")+(Agenda!$H$5:$H$1204="Confirmado"))))*1E+10))))</f>
        <v/>
      </c>
    </row>
    <row r="373">
      <c r="A373" s="36" t="n"/>
      <c r="B373" s="37" t="n"/>
      <c r="C373" s="37" t="n"/>
      <c r="D373" s="36" t="n"/>
      <c r="E373" s="36" t="n"/>
      <c r="F373" s="29">
        <f>IF(A373="","",COUNTIFS(Agenda!$E$5:$E$1204,A373,Agenda!$H$5:$H$1204,"Realizado"))</f>
        <v/>
      </c>
      <c r="G373" s="29">
        <f>IF(A373="","",COUNTIFS(Agenda!$E$5:$E$1204,A373,Agenda!$H$5:$H$1204,"Falta"))</f>
        <v/>
      </c>
      <c r="H373" s="33">
        <f>IF(A373="","",IF(SUMPRODUCT(MAX((Agenda!$E$5:$E$1204=A373)*(Agenda!$H$5:$H$1204="Realizado")*Agenda!$A$5:$A$1204))=0,"",SUMPRODUCT(MAX((Agenda!$E$5:$E$1204=A373)*(Agenda!$H$5:$H$1204="Realizado")*Agenda!$A$5:$A$1204))))</f>
        <v/>
      </c>
      <c r="I373" s="33">
        <f>IF(A373="","",IF(SUMPRODUCT(MIN(((Agenda!$E$5:$E$1204=A373)*((Agenda!$H$5:$H$1204="Agendado")+(Agenda!$H$5:$H$1204="Confirmado")))*Agenda!$A$5:$A$1204+(1-((Agenda!$E$5:$E$1204=A373)*((Agenda!$H$5:$H$1204="Agendado")+(Agenda!$H$5:$H$1204="Confirmado"))))*1E+10))&gt;=1E+10,"",SUMPRODUCT(MIN(((Agenda!$E$5:$E$1204=A373)*((Agenda!$H$5:$H$1204="Agendado")+(Agenda!$H$5:$H$1204="Confirmado")))*Agenda!$A$5:$A$1204+(1-((Agenda!$E$5:$E$1204=A373)*((Agenda!$H$5:$H$1204="Agendado")+(Agenda!$H$5:$H$1204="Confirmado"))))*1E+10))))</f>
        <v/>
      </c>
    </row>
    <row r="374">
      <c r="A374" s="36" t="n"/>
      <c r="B374" s="37" t="n"/>
      <c r="C374" s="37" t="n"/>
      <c r="D374" s="36" t="n"/>
      <c r="E374" s="36" t="n"/>
      <c r="F374" s="29">
        <f>IF(A374="","",COUNTIFS(Agenda!$E$5:$E$1204,A374,Agenda!$H$5:$H$1204,"Realizado"))</f>
        <v/>
      </c>
      <c r="G374" s="29">
        <f>IF(A374="","",COUNTIFS(Agenda!$E$5:$E$1204,A374,Agenda!$H$5:$H$1204,"Falta"))</f>
        <v/>
      </c>
      <c r="H374" s="33">
        <f>IF(A374="","",IF(SUMPRODUCT(MAX((Agenda!$E$5:$E$1204=A374)*(Agenda!$H$5:$H$1204="Realizado")*Agenda!$A$5:$A$1204))=0,"",SUMPRODUCT(MAX((Agenda!$E$5:$E$1204=A374)*(Agenda!$H$5:$H$1204="Realizado")*Agenda!$A$5:$A$1204))))</f>
        <v/>
      </c>
      <c r="I374" s="33">
        <f>IF(A374="","",IF(SUMPRODUCT(MIN(((Agenda!$E$5:$E$1204=A374)*((Agenda!$H$5:$H$1204="Agendado")+(Agenda!$H$5:$H$1204="Confirmado")))*Agenda!$A$5:$A$1204+(1-((Agenda!$E$5:$E$1204=A374)*((Agenda!$H$5:$H$1204="Agendado")+(Agenda!$H$5:$H$1204="Confirmado"))))*1E+10))&gt;=1E+10,"",SUMPRODUCT(MIN(((Agenda!$E$5:$E$1204=A374)*((Agenda!$H$5:$H$1204="Agendado")+(Agenda!$H$5:$H$1204="Confirmado")))*Agenda!$A$5:$A$1204+(1-((Agenda!$E$5:$E$1204=A374)*((Agenda!$H$5:$H$1204="Agendado")+(Agenda!$H$5:$H$1204="Confirmado"))))*1E+10))))</f>
        <v/>
      </c>
    </row>
    <row r="375">
      <c r="A375" s="36" t="n"/>
      <c r="B375" s="37" t="n"/>
      <c r="C375" s="37" t="n"/>
      <c r="D375" s="36" t="n"/>
      <c r="E375" s="36" t="n"/>
      <c r="F375" s="29">
        <f>IF(A375="","",COUNTIFS(Agenda!$E$5:$E$1204,A375,Agenda!$H$5:$H$1204,"Realizado"))</f>
        <v/>
      </c>
      <c r="G375" s="29">
        <f>IF(A375="","",COUNTIFS(Agenda!$E$5:$E$1204,A375,Agenda!$H$5:$H$1204,"Falta"))</f>
        <v/>
      </c>
      <c r="H375" s="33">
        <f>IF(A375="","",IF(SUMPRODUCT(MAX((Agenda!$E$5:$E$1204=A375)*(Agenda!$H$5:$H$1204="Realizado")*Agenda!$A$5:$A$1204))=0,"",SUMPRODUCT(MAX((Agenda!$E$5:$E$1204=A375)*(Agenda!$H$5:$H$1204="Realizado")*Agenda!$A$5:$A$1204))))</f>
        <v/>
      </c>
      <c r="I375" s="33">
        <f>IF(A375="","",IF(SUMPRODUCT(MIN(((Agenda!$E$5:$E$1204=A375)*((Agenda!$H$5:$H$1204="Agendado")+(Agenda!$H$5:$H$1204="Confirmado")))*Agenda!$A$5:$A$1204+(1-((Agenda!$E$5:$E$1204=A375)*((Agenda!$H$5:$H$1204="Agendado")+(Agenda!$H$5:$H$1204="Confirmado"))))*1E+10))&gt;=1E+10,"",SUMPRODUCT(MIN(((Agenda!$E$5:$E$1204=A375)*((Agenda!$H$5:$H$1204="Agendado")+(Agenda!$H$5:$H$1204="Confirmado")))*Agenda!$A$5:$A$1204+(1-((Agenda!$E$5:$E$1204=A375)*((Agenda!$H$5:$H$1204="Agendado")+(Agenda!$H$5:$H$1204="Confirmado"))))*1E+10))))</f>
        <v/>
      </c>
    </row>
    <row r="376">
      <c r="A376" s="36" t="n"/>
      <c r="B376" s="37" t="n"/>
      <c r="C376" s="37" t="n"/>
      <c r="D376" s="36" t="n"/>
      <c r="E376" s="36" t="n"/>
      <c r="F376" s="29">
        <f>IF(A376="","",COUNTIFS(Agenda!$E$5:$E$1204,A376,Agenda!$H$5:$H$1204,"Realizado"))</f>
        <v/>
      </c>
      <c r="G376" s="29">
        <f>IF(A376="","",COUNTIFS(Agenda!$E$5:$E$1204,A376,Agenda!$H$5:$H$1204,"Falta"))</f>
        <v/>
      </c>
      <c r="H376" s="33">
        <f>IF(A376="","",IF(SUMPRODUCT(MAX((Agenda!$E$5:$E$1204=A376)*(Agenda!$H$5:$H$1204="Realizado")*Agenda!$A$5:$A$1204))=0,"",SUMPRODUCT(MAX((Agenda!$E$5:$E$1204=A376)*(Agenda!$H$5:$H$1204="Realizado")*Agenda!$A$5:$A$1204))))</f>
        <v/>
      </c>
      <c r="I376" s="33">
        <f>IF(A376="","",IF(SUMPRODUCT(MIN(((Agenda!$E$5:$E$1204=A376)*((Agenda!$H$5:$H$1204="Agendado")+(Agenda!$H$5:$H$1204="Confirmado")))*Agenda!$A$5:$A$1204+(1-((Agenda!$E$5:$E$1204=A376)*((Agenda!$H$5:$H$1204="Agendado")+(Agenda!$H$5:$H$1204="Confirmado"))))*1E+10))&gt;=1E+10,"",SUMPRODUCT(MIN(((Agenda!$E$5:$E$1204=A376)*((Agenda!$H$5:$H$1204="Agendado")+(Agenda!$H$5:$H$1204="Confirmado")))*Agenda!$A$5:$A$1204+(1-((Agenda!$E$5:$E$1204=A376)*((Agenda!$H$5:$H$1204="Agendado")+(Agenda!$H$5:$H$1204="Confirmado"))))*1E+10))))</f>
        <v/>
      </c>
    </row>
    <row r="377">
      <c r="A377" s="36" t="n"/>
      <c r="B377" s="37" t="n"/>
      <c r="C377" s="37" t="n"/>
      <c r="D377" s="36" t="n"/>
      <c r="E377" s="36" t="n"/>
      <c r="F377" s="29">
        <f>IF(A377="","",COUNTIFS(Agenda!$E$5:$E$1204,A377,Agenda!$H$5:$H$1204,"Realizado"))</f>
        <v/>
      </c>
      <c r="G377" s="29">
        <f>IF(A377="","",COUNTIFS(Agenda!$E$5:$E$1204,A377,Agenda!$H$5:$H$1204,"Falta"))</f>
        <v/>
      </c>
      <c r="H377" s="33">
        <f>IF(A377="","",IF(SUMPRODUCT(MAX((Agenda!$E$5:$E$1204=A377)*(Agenda!$H$5:$H$1204="Realizado")*Agenda!$A$5:$A$1204))=0,"",SUMPRODUCT(MAX((Agenda!$E$5:$E$1204=A377)*(Agenda!$H$5:$H$1204="Realizado")*Agenda!$A$5:$A$1204))))</f>
        <v/>
      </c>
      <c r="I377" s="33">
        <f>IF(A377="","",IF(SUMPRODUCT(MIN(((Agenda!$E$5:$E$1204=A377)*((Agenda!$H$5:$H$1204="Agendado")+(Agenda!$H$5:$H$1204="Confirmado")))*Agenda!$A$5:$A$1204+(1-((Agenda!$E$5:$E$1204=A377)*((Agenda!$H$5:$H$1204="Agendado")+(Agenda!$H$5:$H$1204="Confirmado"))))*1E+10))&gt;=1E+10,"",SUMPRODUCT(MIN(((Agenda!$E$5:$E$1204=A377)*((Agenda!$H$5:$H$1204="Agendado")+(Agenda!$H$5:$H$1204="Confirmado")))*Agenda!$A$5:$A$1204+(1-((Agenda!$E$5:$E$1204=A377)*((Agenda!$H$5:$H$1204="Agendado")+(Agenda!$H$5:$H$1204="Confirmado"))))*1E+10))))</f>
        <v/>
      </c>
    </row>
    <row r="378">
      <c r="A378" s="36" t="n"/>
      <c r="B378" s="37" t="n"/>
      <c r="C378" s="37" t="n"/>
      <c r="D378" s="36" t="n"/>
      <c r="E378" s="36" t="n"/>
      <c r="F378" s="29">
        <f>IF(A378="","",COUNTIFS(Agenda!$E$5:$E$1204,A378,Agenda!$H$5:$H$1204,"Realizado"))</f>
        <v/>
      </c>
      <c r="G378" s="29">
        <f>IF(A378="","",COUNTIFS(Agenda!$E$5:$E$1204,A378,Agenda!$H$5:$H$1204,"Falta"))</f>
        <v/>
      </c>
      <c r="H378" s="33">
        <f>IF(A378="","",IF(SUMPRODUCT(MAX((Agenda!$E$5:$E$1204=A378)*(Agenda!$H$5:$H$1204="Realizado")*Agenda!$A$5:$A$1204))=0,"",SUMPRODUCT(MAX((Agenda!$E$5:$E$1204=A378)*(Agenda!$H$5:$H$1204="Realizado")*Agenda!$A$5:$A$1204))))</f>
        <v/>
      </c>
      <c r="I378" s="33">
        <f>IF(A378="","",IF(SUMPRODUCT(MIN(((Agenda!$E$5:$E$1204=A378)*((Agenda!$H$5:$H$1204="Agendado")+(Agenda!$H$5:$H$1204="Confirmado")))*Agenda!$A$5:$A$1204+(1-((Agenda!$E$5:$E$1204=A378)*((Agenda!$H$5:$H$1204="Agendado")+(Agenda!$H$5:$H$1204="Confirmado"))))*1E+10))&gt;=1E+10,"",SUMPRODUCT(MIN(((Agenda!$E$5:$E$1204=A378)*((Agenda!$H$5:$H$1204="Agendado")+(Agenda!$H$5:$H$1204="Confirmado")))*Agenda!$A$5:$A$1204+(1-((Agenda!$E$5:$E$1204=A378)*((Agenda!$H$5:$H$1204="Agendado")+(Agenda!$H$5:$H$1204="Confirmado"))))*1E+10))))</f>
        <v/>
      </c>
    </row>
    <row r="379">
      <c r="A379" s="36" t="n"/>
      <c r="B379" s="37" t="n"/>
      <c r="C379" s="37" t="n"/>
      <c r="D379" s="36" t="n"/>
      <c r="E379" s="36" t="n"/>
      <c r="F379" s="29">
        <f>IF(A379="","",COUNTIFS(Agenda!$E$5:$E$1204,A379,Agenda!$H$5:$H$1204,"Realizado"))</f>
        <v/>
      </c>
      <c r="G379" s="29">
        <f>IF(A379="","",COUNTIFS(Agenda!$E$5:$E$1204,A379,Agenda!$H$5:$H$1204,"Falta"))</f>
        <v/>
      </c>
      <c r="H379" s="33">
        <f>IF(A379="","",IF(SUMPRODUCT(MAX((Agenda!$E$5:$E$1204=A379)*(Agenda!$H$5:$H$1204="Realizado")*Agenda!$A$5:$A$1204))=0,"",SUMPRODUCT(MAX((Agenda!$E$5:$E$1204=A379)*(Agenda!$H$5:$H$1204="Realizado")*Agenda!$A$5:$A$1204))))</f>
        <v/>
      </c>
      <c r="I379" s="33">
        <f>IF(A379="","",IF(SUMPRODUCT(MIN(((Agenda!$E$5:$E$1204=A379)*((Agenda!$H$5:$H$1204="Agendado")+(Agenda!$H$5:$H$1204="Confirmado")))*Agenda!$A$5:$A$1204+(1-((Agenda!$E$5:$E$1204=A379)*((Agenda!$H$5:$H$1204="Agendado")+(Agenda!$H$5:$H$1204="Confirmado"))))*1E+10))&gt;=1E+10,"",SUMPRODUCT(MIN(((Agenda!$E$5:$E$1204=A379)*((Agenda!$H$5:$H$1204="Agendado")+(Agenda!$H$5:$H$1204="Confirmado")))*Agenda!$A$5:$A$1204+(1-((Agenda!$E$5:$E$1204=A379)*((Agenda!$H$5:$H$1204="Agendado")+(Agenda!$H$5:$H$1204="Confirmado"))))*1E+10))))</f>
        <v/>
      </c>
    </row>
    <row r="380">
      <c r="A380" s="36" t="n"/>
      <c r="B380" s="37" t="n"/>
      <c r="C380" s="37" t="n"/>
      <c r="D380" s="36" t="n"/>
      <c r="E380" s="36" t="n"/>
      <c r="F380" s="29">
        <f>IF(A380="","",COUNTIFS(Agenda!$E$5:$E$1204,A380,Agenda!$H$5:$H$1204,"Realizado"))</f>
        <v/>
      </c>
      <c r="G380" s="29">
        <f>IF(A380="","",COUNTIFS(Agenda!$E$5:$E$1204,A380,Agenda!$H$5:$H$1204,"Falta"))</f>
        <v/>
      </c>
      <c r="H380" s="33">
        <f>IF(A380="","",IF(SUMPRODUCT(MAX((Agenda!$E$5:$E$1204=A380)*(Agenda!$H$5:$H$1204="Realizado")*Agenda!$A$5:$A$1204))=0,"",SUMPRODUCT(MAX((Agenda!$E$5:$E$1204=A380)*(Agenda!$H$5:$H$1204="Realizado")*Agenda!$A$5:$A$1204))))</f>
        <v/>
      </c>
      <c r="I380" s="33">
        <f>IF(A380="","",IF(SUMPRODUCT(MIN(((Agenda!$E$5:$E$1204=A380)*((Agenda!$H$5:$H$1204="Agendado")+(Agenda!$H$5:$H$1204="Confirmado")))*Agenda!$A$5:$A$1204+(1-((Agenda!$E$5:$E$1204=A380)*((Agenda!$H$5:$H$1204="Agendado")+(Agenda!$H$5:$H$1204="Confirmado"))))*1E+10))&gt;=1E+10,"",SUMPRODUCT(MIN(((Agenda!$E$5:$E$1204=A380)*((Agenda!$H$5:$H$1204="Agendado")+(Agenda!$H$5:$H$1204="Confirmado")))*Agenda!$A$5:$A$1204+(1-((Agenda!$E$5:$E$1204=A380)*((Agenda!$H$5:$H$1204="Agendado")+(Agenda!$H$5:$H$1204="Confirmado"))))*1E+10))))</f>
        <v/>
      </c>
    </row>
    <row r="381">
      <c r="A381" s="36" t="n"/>
      <c r="B381" s="37" t="n"/>
      <c r="C381" s="37" t="n"/>
      <c r="D381" s="36" t="n"/>
      <c r="E381" s="36" t="n"/>
      <c r="F381" s="29">
        <f>IF(A381="","",COUNTIFS(Agenda!$E$5:$E$1204,A381,Agenda!$H$5:$H$1204,"Realizado"))</f>
        <v/>
      </c>
      <c r="G381" s="29">
        <f>IF(A381="","",COUNTIFS(Agenda!$E$5:$E$1204,A381,Agenda!$H$5:$H$1204,"Falta"))</f>
        <v/>
      </c>
      <c r="H381" s="33">
        <f>IF(A381="","",IF(SUMPRODUCT(MAX((Agenda!$E$5:$E$1204=A381)*(Agenda!$H$5:$H$1204="Realizado")*Agenda!$A$5:$A$1204))=0,"",SUMPRODUCT(MAX((Agenda!$E$5:$E$1204=A381)*(Agenda!$H$5:$H$1204="Realizado")*Agenda!$A$5:$A$1204))))</f>
        <v/>
      </c>
      <c r="I381" s="33">
        <f>IF(A381="","",IF(SUMPRODUCT(MIN(((Agenda!$E$5:$E$1204=A381)*((Agenda!$H$5:$H$1204="Agendado")+(Agenda!$H$5:$H$1204="Confirmado")))*Agenda!$A$5:$A$1204+(1-((Agenda!$E$5:$E$1204=A381)*((Agenda!$H$5:$H$1204="Agendado")+(Agenda!$H$5:$H$1204="Confirmado"))))*1E+10))&gt;=1E+10,"",SUMPRODUCT(MIN(((Agenda!$E$5:$E$1204=A381)*((Agenda!$H$5:$H$1204="Agendado")+(Agenda!$H$5:$H$1204="Confirmado")))*Agenda!$A$5:$A$1204+(1-((Agenda!$E$5:$E$1204=A381)*((Agenda!$H$5:$H$1204="Agendado")+(Agenda!$H$5:$H$1204="Confirmado"))))*1E+10))))</f>
        <v/>
      </c>
    </row>
    <row r="382">
      <c r="A382" s="36" t="n"/>
      <c r="B382" s="37" t="n"/>
      <c r="C382" s="37" t="n"/>
      <c r="D382" s="36" t="n"/>
      <c r="E382" s="36" t="n"/>
      <c r="F382" s="29">
        <f>IF(A382="","",COUNTIFS(Agenda!$E$5:$E$1204,A382,Agenda!$H$5:$H$1204,"Realizado"))</f>
        <v/>
      </c>
      <c r="G382" s="29">
        <f>IF(A382="","",COUNTIFS(Agenda!$E$5:$E$1204,A382,Agenda!$H$5:$H$1204,"Falta"))</f>
        <v/>
      </c>
      <c r="H382" s="33">
        <f>IF(A382="","",IF(SUMPRODUCT(MAX((Agenda!$E$5:$E$1204=A382)*(Agenda!$H$5:$H$1204="Realizado")*Agenda!$A$5:$A$1204))=0,"",SUMPRODUCT(MAX((Agenda!$E$5:$E$1204=A382)*(Agenda!$H$5:$H$1204="Realizado")*Agenda!$A$5:$A$1204))))</f>
        <v/>
      </c>
      <c r="I382" s="33">
        <f>IF(A382="","",IF(SUMPRODUCT(MIN(((Agenda!$E$5:$E$1204=A382)*((Agenda!$H$5:$H$1204="Agendado")+(Agenda!$H$5:$H$1204="Confirmado")))*Agenda!$A$5:$A$1204+(1-((Agenda!$E$5:$E$1204=A382)*((Agenda!$H$5:$H$1204="Agendado")+(Agenda!$H$5:$H$1204="Confirmado"))))*1E+10))&gt;=1E+10,"",SUMPRODUCT(MIN(((Agenda!$E$5:$E$1204=A382)*((Agenda!$H$5:$H$1204="Agendado")+(Agenda!$H$5:$H$1204="Confirmado")))*Agenda!$A$5:$A$1204+(1-((Agenda!$E$5:$E$1204=A382)*((Agenda!$H$5:$H$1204="Agendado")+(Agenda!$H$5:$H$1204="Confirmado"))))*1E+10))))</f>
        <v/>
      </c>
    </row>
    <row r="383">
      <c r="A383" s="36" t="n"/>
      <c r="B383" s="37" t="n"/>
      <c r="C383" s="37" t="n"/>
      <c r="D383" s="36" t="n"/>
      <c r="E383" s="36" t="n"/>
      <c r="F383" s="29">
        <f>IF(A383="","",COUNTIFS(Agenda!$E$5:$E$1204,A383,Agenda!$H$5:$H$1204,"Realizado"))</f>
        <v/>
      </c>
      <c r="G383" s="29">
        <f>IF(A383="","",COUNTIFS(Agenda!$E$5:$E$1204,A383,Agenda!$H$5:$H$1204,"Falta"))</f>
        <v/>
      </c>
      <c r="H383" s="33">
        <f>IF(A383="","",IF(SUMPRODUCT(MAX((Agenda!$E$5:$E$1204=A383)*(Agenda!$H$5:$H$1204="Realizado")*Agenda!$A$5:$A$1204))=0,"",SUMPRODUCT(MAX((Agenda!$E$5:$E$1204=A383)*(Agenda!$H$5:$H$1204="Realizado")*Agenda!$A$5:$A$1204))))</f>
        <v/>
      </c>
      <c r="I383" s="33">
        <f>IF(A383="","",IF(SUMPRODUCT(MIN(((Agenda!$E$5:$E$1204=A383)*((Agenda!$H$5:$H$1204="Agendado")+(Agenda!$H$5:$H$1204="Confirmado")))*Agenda!$A$5:$A$1204+(1-((Agenda!$E$5:$E$1204=A383)*((Agenda!$H$5:$H$1204="Agendado")+(Agenda!$H$5:$H$1204="Confirmado"))))*1E+10))&gt;=1E+10,"",SUMPRODUCT(MIN(((Agenda!$E$5:$E$1204=A383)*((Agenda!$H$5:$H$1204="Agendado")+(Agenda!$H$5:$H$1204="Confirmado")))*Agenda!$A$5:$A$1204+(1-((Agenda!$E$5:$E$1204=A383)*((Agenda!$H$5:$H$1204="Agendado")+(Agenda!$H$5:$H$1204="Confirmado"))))*1E+10))))</f>
        <v/>
      </c>
    </row>
    <row r="384">
      <c r="A384" s="36" t="n"/>
      <c r="B384" s="37" t="n"/>
      <c r="C384" s="37" t="n"/>
      <c r="D384" s="36" t="n"/>
      <c r="E384" s="36" t="n"/>
      <c r="F384" s="29">
        <f>IF(A384="","",COUNTIFS(Agenda!$E$5:$E$1204,A384,Agenda!$H$5:$H$1204,"Realizado"))</f>
        <v/>
      </c>
      <c r="G384" s="29">
        <f>IF(A384="","",COUNTIFS(Agenda!$E$5:$E$1204,A384,Agenda!$H$5:$H$1204,"Falta"))</f>
        <v/>
      </c>
      <c r="H384" s="33">
        <f>IF(A384="","",IF(SUMPRODUCT(MAX((Agenda!$E$5:$E$1204=A384)*(Agenda!$H$5:$H$1204="Realizado")*Agenda!$A$5:$A$1204))=0,"",SUMPRODUCT(MAX((Agenda!$E$5:$E$1204=A384)*(Agenda!$H$5:$H$1204="Realizado")*Agenda!$A$5:$A$1204))))</f>
        <v/>
      </c>
      <c r="I384" s="33">
        <f>IF(A384="","",IF(SUMPRODUCT(MIN(((Agenda!$E$5:$E$1204=A384)*((Agenda!$H$5:$H$1204="Agendado")+(Agenda!$H$5:$H$1204="Confirmado")))*Agenda!$A$5:$A$1204+(1-((Agenda!$E$5:$E$1204=A384)*((Agenda!$H$5:$H$1204="Agendado")+(Agenda!$H$5:$H$1204="Confirmado"))))*1E+10))&gt;=1E+10,"",SUMPRODUCT(MIN(((Agenda!$E$5:$E$1204=A384)*((Agenda!$H$5:$H$1204="Agendado")+(Agenda!$H$5:$H$1204="Confirmado")))*Agenda!$A$5:$A$1204+(1-((Agenda!$E$5:$E$1204=A384)*((Agenda!$H$5:$H$1204="Agendado")+(Agenda!$H$5:$H$1204="Confirmado"))))*1E+10))))</f>
        <v/>
      </c>
    </row>
    <row r="385">
      <c r="A385" s="36" t="n"/>
      <c r="B385" s="37" t="n"/>
      <c r="C385" s="37" t="n"/>
      <c r="D385" s="36" t="n"/>
      <c r="E385" s="36" t="n"/>
      <c r="F385" s="29">
        <f>IF(A385="","",COUNTIFS(Agenda!$E$5:$E$1204,A385,Agenda!$H$5:$H$1204,"Realizado"))</f>
        <v/>
      </c>
      <c r="G385" s="29">
        <f>IF(A385="","",COUNTIFS(Agenda!$E$5:$E$1204,A385,Agenda!$H$5:$H$1204,"Falta"))</f>
        <v/>
      </c>
      <c r="H385" s="33">
        <f>IF(A385="","",IF(SUMPRODUCT(MAX((Agenda!$E$5:$E$1204=A385)*(Agenda!$H$5:$H$1204="Realizado")*Agenda!$A$5:$A$1204))=0,"",SUMPRODUCT(MAX((Agenda!$E$5:$E$1204=A385)*(Agenda!$H$5:$H$1204="Realizado")*Agenda!$A$5:$A$1204))))</f>
        <v/>
      </c>
      <c r="I385" s="33">
        <f>IF(A385="","",IF(SUMPRODUCT(MIN(((Agenda!$E$5:$E$1204=A385)*((Agenda!$H$5:$H$1204="Agendado")+(Agenda!$H$5:$H$1204="Confirmado")))*Agenda!$A$5:$A$1204+(1-((Agenda!$E$5:$E$1204=A385)*((Agenda!$H$5:$H$1204="Agendado")+(Agenda!$H$5:$H$1204="Confirmado"))))*1E+10))&gt;=1E+10,"",SUMPRODUCT(MIN(((Agenda!$E$5:$E$1204=A385)*((Agenda!$H$5:$H$1204="Agendado")+(Agenda!$H$5:$H$1204="Confirmado")))*Agenda!$A$5:$A$1204+(1-((Agenda!$E$5:$E$1204=A385)*((Agenda!$H$5:$H$1204="Agendado")+(Agenda!$H$5:$H$1204="Confirmado"))))*1E+10))))</f>
        <v/>
      </c>
    </row>
    <row r="386">
      <c r="A386" s="36" t="n"/>
      <c r="B386" s="37" t="n"/>
      <c r="C386" s="37" t="n"/>
      <c r="D386" s="36" t="n"/>
      <c r="E386" s="36" t="n"/>
      <c r="F386" s="29">
        <f>IF(A386="","",COUNTIFS(Agenda!$E$5:$E$1204,A386,Agenda!$H$5:$H$1204,"Realizado"))</f>
        <v/>
      </c>
      <c r="G386" s="29">
        <f>IF(A386="","",COUNTIFS(Agenda!$E$5:$E$1204,A386,Agenda!$H$5:$H$1204,"Falta"))</f>
        <v/>
      </c>
      <c r="H386" s="33">
        <f>IF(A386="","",IF(SUMPRODUCT(MAX((Agenda!$E$5:$E$1204=A386)*(Agenda!$H$5:$H$1204="Realizado")*Agenda!$A$5:$A$1204))=0,"",SUMPRODUCT(MAX((Agenda!$E$5:$E$1204=A386)*(Agenda!$H$5:$H$1204="Realizado")*Agenda!$A$5:$A$1204))))</f>
        <v/>
      </c>
      <c r="I386" s="33">
        <f>IF(A386="","",IF(SUMPRODUCT(MIN(((Agenda!$E$5:$E$1204=A386)*((Agenda!$H$5:$H$1204="Agendado")+(Agenda!$H$5:$H$1204="Confirmado")))*Agenda!$A$5:$A$1204+(1-((Agenda!$E$5:$E$1204=A386)*((Agenda!$H$5:$H$1204="Agendado")+(Agenda!$H$5:$H$1204="Confirmado"))))*1E+10))&gt;=1E+10,"",SUMPRODUCT(MIN(((Agenda!$E$5:$E$1204=A386)*((Agenda!$H$5:$H$1204="Agendado")+(Agenda!$H$5:$H$1204="Confirmado")))*Agenda!$A$5:$A$1204+(1-((Agenda!$E$5:$E$1204=A386)*((Agenda!$H$5:$H$1204="Agendado")+(Agenda!$H$5:$H$1204="Confirmado"))))*1E+10))))</f>
        <v/>
      </c>
    </row>
    <row r="387">
      <c r="A387" s="36" t="n"/>
      <c r="B387" s="37" t="n"/>
      <c r="C387" s="37" t="n"/>
      <c r="D387" s="36" t="n"/>
      <c r="E387" s="36" t="n"/>
      <c r="F387" s="29">
        <f>IF(A387="","",COUNTIFS(Agenda!$E$5:$E$1204,A387,Agenda!$H$5:$H$1204,"Realizado"))</f>
        <v/>
      </c>
      <c r="G387" s="29">
        <f>IF(A387="","",COUNTIFS(Agenda!$E$5:$E$1204,A387,Agenda!$H$5:$H$1204,"Falta"))</f>
        <v/>
      </c>
      <c r="H387" s="33">
        <f>IF(A387="","",IF(SUMPRODUCT(MAX((Agenda!$E$5:$E$1204=A387)*(Agenda!$H$5:$H$1204="Realizado")*Agenda!$A$5:$A$1204))=0,"",SUMPRODUCT(MAX((Agenda!$E$5:$E$1204=A387)*(Agenda!$H$5:$H$1204="Realizado")*Agenda!$A$5:$A$1204))))</f>
        <v/>
      </c>
      <c r="I387" s="33">
        <f>IF(A387="","",IF(SUMPRODUCT(MIN(((Agenda!$E$5:$E$1204=A387)*((Agenda!$H$5:$H$1204="Agendado")+(Agenda!$H$5:$H$1204="Confirmado")))*Agenda!$A$5:$A$1204+(1-((Agenda!$E$5:$E$1204=A387)*((Agenda!$H$5:$H$1204="Agendado")+(Agenda!$H$5:$H$1204="Confirmado"))))*1E+10))&gt;=1E+10,"",SUMPRODUCT(MIN(((Agenda!$E$5:$E$1204=A387)*((Agenda!$H$5:$H$1204="Agendado")+(Agenda!$H$5:$H$1204="Confirmado")))*Agenda!$A$5:$A$1204+(1-((Agenda!$E$5:$E$1204=A387)*((Agenda!$H$5:$H$1204="Agendado")+(Agenda!$H$5:$H$1204="Confirmado"))))*1E+10))))</f>
        <v/>
      </c>
    </row>
    <row r="388">
      <c r="A388" s="36" t="n"/>
      <c r="B388" s="37" t="n"/>
      <c r="C388" s="37" t="n"/>
      <c r="D388" s="36" t="n"/>
      <c r="E388" s="36" t="n"/>
      <c r="F388" s="29">
        <f>IF(A388="","",COUNTIFS(Agenda!$E$5:$E$1204,A388,Agenda!$H$5:$H$1204,"Realizado"))</f>
        <v/>
      </c>
      <c r="G388" s="29">
        <f>IF(A388="","",COUNTIFS(Agenda!$E$5:$E$1204,A388,Agenda!$H$5:$H$1204,"Falta"))</f>
        <v/>
      </c>
      <c r="H388" s="33">
        <f>IF(A388="","",IF(SUMPRODUCT(MAX((Agenda!$E$5:$E$1204=A388)*(Agenda!$H$5:$H$1204="Realizado")*Agenda!$A$5:$A$1204))=0,"",SUMPRODUCT(MAX((Agenda!$E$5:$E$1204=A388)*(Agenda!$H$5:$H$1204="Realizado")*Agenda!$A$5:$A$1204))))</f>
        <v/>
      </c>
      <c r="I388" s="33">
        <f>IF(A388="","",IF(SUMPRODUCT(MIN(((Agenda!$E$5:$E$1204=A388)*((Agenda!$H$5:$H$1204="Agendado")+(Agenda!$H$5:$H$1204="Confirmado")))*Agenda!$A$5:$A$1204+(1-((Agenda!$E$5:$E$1204=A388)*((Agenda!$H$5:$H$1204="Agendado")+(Agenda!$H$5:$H$1204="Confirmado"))))*1E+10))&gt;=1E+10,"",SUMPRODUCT(MIN(((Agenda!$E$5:$E$1204=A388)*((Agenda!$H$5:$H$1204="Agendado")+(Agenda!$H$5:$H$1204="Confirmado")))*Agenda!$A$5:$A$1204+(1-((Agenda!$E$5:$E$1204=A388)*((Agenda!$H$5:$H$1204="Agendado")+(Agenda!$H$5:$H$1204="Confirmado"))))*1E+10))))</f>
        <v/>
      </c>
    </row>
    <row r="389">
      <c r="A389" s="36" t="n"/>
      <c r="B389" s="37" t="n"/>
      <c r="C389" s="37" t="n"/>
      <c r="D389" s="36" t="n"/>
      <c r="E389" s="36" t="n"/>
      <c r="F389" s="29">
        <f>IF(A389="","",COUNTIFS(Agenda!$E$5:$E$1204,A389,Agenda!$H$5:$H$1204,"Realizado"))</f>
        <v/>
      </c>
      <c r="G389" s="29">
        <f>IF(A389="","",COUNTIFS(Agenda!$E$5:$E$1204,A389,Agenda!$H$5:$H$1204,"Falta"))</f>
        <v/>
      </c>
      <c r="H389" s="33">
        <f>IF(A389="","",IF(SUMPRODUCT(MAX((Agenda!$E$5:$E$1204=A389)*(Agenda!$H$5:$H$1204="Realizado")*Agenda!$A$5:$A$1204))=0,"",SUMPRODUCT(MAX((Agenda!$E$5:$E$1204=A389)*(Agenda!$H$5:$H$1204="Realizado")*Agenda!$A$5:$A$1204))))</f>
        <v/>
      </c>
      <c r="I389" s="33">
        <f>IF(A389="","",IF(SUMPRODUCT(MIN(((Agenda!$E$5:$E$1204=A389)*((Agenda!$H$5:$H$1204="Agendado")+(Agenda!$H$5:$H$1204="Confirmado")))*Agenda!$A$5:$A$1204+(1-((Agenda!$E$5:$E$1204=A389)*((Agenda!$H$5:$H$1204="Agendado")+(Agenda!$H$5:$H$1204="Confirmado"))))*1E+10))&gt;=1E+10,"",SUMPRODUCT(MIN(((Agenda!$E$5:$E$1204=A389)*((Agenda!$H$5:$H$1204="Agendado")+(Agenda!$H$5:$H$1204="Confirmado")))*Agenda!$A$5:$A$1204+(1-((Agenda!$E$5:$E$1204=A389)*((Agenda!$H$5:$H$1204="Agendado")+(Agenda!$H$5:$H$1204="Confirmado"))))*1E+10))))</f>
        <v/>
      </c>
    </row>
    <row r="390">
      <c r="A390" s="36" t="n"/>
      <c r="B390" s="37" t="n"/>
      <c r="C390" s="37" t="n"/>
      <c r="D390" s="36" t="n"/>
      <c r="E390" s="36" t="n"/>
      <c r="F390" s="29">
        <f>IF(A390="","",COUNTIFS(Agenda!$E$5:$E$1204,A390,Agenda!$H$5:$H$1204,"Realizado"))</f>
        <v/>
      </c>
      <c r="G390" s="29">
        <f>IF(A390="","",COUNTIFS(Agenda!$E$5:$E$1204,A390,Agenda!$H$5:$H$1204,"Falta"))</f>
        <v/>
      </c>
      <c r="H390" s="33">
        <f>IF(A390="","",IF(SUMPRODUCT(MAX((Agenda!$E$5:$E$1204=A390)*(Agenda!$H$5:$H$1204="Realizado")*Agenda!$A$5:$A$1204))=0,"",SUMPRODUCT(MAX((Agenda!$E$5:$E$1204=A390)*(Agenda!$H$5:$H$1204="Realizado")*Agenda!$A$5:$A$1204))))</f>
        <v/>
      </c>
      <c r="I390" s="33">
        <f>IF(A390="","",IF(SUMPRODUCT(MIN(((Agenda!$E$5:$E$1204=A390)*((Agenda!$H$5:$H$1204="Agendado")+(Agenda!$H$5:$H$1204="Confirmado")))*Agenda!$A$5:$A$1204+(1-((Agenda!$E$5:$E$1204=A390)*((Agenda!$H$5:$H$1204="Agendado")+(Agenda!$H$5:$H$1204="Confirmado"))))*1E+10))&gt;=1E+10,"",SUMPRODUCT(MIN(((Agenda!$E$5:$E$1204=A390)*((Agenda!$H$5:$H$1204="Agendado")+(Agenda!$H$5:$H$1204="Confirmado")))*Agenda!$A$5:$A$1204+(1-((Agenda!$E$5:$E$1204=A390)*((Agenda!$H$5:$H$1204="Agendado")+(Agenda!$H$5:$H$1204="Confirmado"))))*1E+10))))</f>
        <v/>
      </c>
    </row>
    <row r="391">
      <c r="A391" s="36" t="n"/>
      <c r="B391" s="37" t="n"/>
      <c r="C391" s="37" t="n"/>
      <c r="D391" s="36" t="n"/>
      <c r="E391" s="36" t="n"/>
      <c r="F391" s="29">
        <f>IF(A391="","",COUNTIFS(Agenda!$E$5:$E$1204,A391,Agenda!$H$5:$H$1204,"Realizado"))</f>
        <v/>
      </c>
      <c r="G391" s="29">
        <f>IF(A391="","",COUNTIFS(Agenda!$E$5:$E$1204,A391,Agenda!$H$5:$H$1204,"Falta"))</f>
        <v/>
      </c>
      <c r="H391" s="33">
        <f>IF(A391="","",IF(SUMPRODUCT(MAX((Agenda!$E$5:$E$1204=A391)*(Agenda!$H$5:$H$1204="Realizado")*Agenda!$A$5:$A$1204))=0,"",SUMPRODUCT(MAX((Agenda!$E$5:$E$1204=A391)*(Agenda!$H$5:$H$1204="Realizado")*Agenda!$A$5:$A$1204))))</f>
        <v/>
      </c>
      <c r="I391" s="33">
        <f>IF(A391="","",IF(SUMPRODUCT(MIN(((Agenda!$E$5:$E$1204=A391)*((Agenda!$H$5:$H$1204="Agendado")+(Agenda!$H$5:$H$1204="Confirmado")))*Agenda!$A$5:$A$1204+(1-((Agenda!$E$5:$E$1204=A391)*((Agenda!$H$5:$H$1204="Agendado")+(Agenda!$H$5:$H$1204="Confirmado"))))*1E+10))&gt;=1E+10,"",SUMPRODUCT(MIN(((Agenda!$E$5:$E$1204=A391)*((Agenda!$H$5:$H$1204="Agendado")+(Agenda!$H$5:$H$1204="Confirmado")))*Agenda!$A$5:$A$1204+(1-((Agenda!$E$5:$E$1204=A391)*((Agenda!$H$5:$H$1204="Agendado")+(Agenda!$H$5:$H$1204="Confirmado"))))*1E+10))))</f>
        <v/>
      </c>
    </row>
    <row r="392">
      <c r="A392" s="36" t="n"/>
      <c r="B392" s="37" t="n"/>
      <c r="C392" s="37" t="n"/>
      <c r="D392" s="36" t="n"/>
      <c r="E392" s="36" t="n"/>
      <c r="F392" s="29">
        <f>IF(A392="","",COUNTIFS(Agenda!$E$5:$E$1204,A392,Agenda!$H$5:$H$1204,"Realizado"))</f>
        <v/>
      </c>
      <c r="G392" s="29">
        <f>IF(A392="","",COUNTIFS(Agenda!$E$5:$E$1204,A392,Agenda!$H$5:$H$1204,"Falta"))</f>
        <v/>
      </c>
      <c r="H392" s="33">
        <f>IF(A392="","",IF(SUMPRODUCT(MAX((Agenda!$E$5:$E$1204=A392)*(Agenda!$H$5:$H$1204="Realizado")*Agenda!$A$5:$A$1204))=0,"",SUMPRODUCT(MAX((Agenda!$E$5:$E$1204=A392)*(Agenda!$H$5:$H$1204="Realizado")*Agenda!$A$5:$A$1204))))</f>
        <v/>
      </c>
      <c r="I392" s="33">
        <f>IF(A392="","",IF(SUMPRODUCT(MIN(((Agenda!$E$5:$E$1204=A392)*((Agenda!$H$5:$H$1204="Agendado")+(Agenda!$H$5:$H$1204="Confirmado")))*Agenda!$A$5:$A$1204+(1-((Agenda!$E$5:$E$1204=A392)*((Agenda!$H$5:$H$1204="Agendado")+(Agenda!$H$5:$H$1204="Confirmado"))))*1E+10))&gt;=1E+10,"",SUMPRODUCT(MIN(((Agenda!$E$5:$E$1204=A392)*((Agenda!$H$5:$H$1204="Agendado")+(Agenda!$H$5:$H$1204="Confirmado")))*Agenda!$A$5:$A$1204+(1-((Agenda!$E$5:$E$1204=A392)*((Agenda!$H$5:$H$1204="Agendado")+(Agenda!$H$5:$H$1204="Confirmado"))))*1E+10))))</f>
        <v/>
      </c>
    </row>
    <row r="393">
      <c r="A393" s="36" t="n"/>
      <c r="B393" s="37" t="n"/>
      <c r="C393" s="37" t="n"/>
      <c r="D393" s="36" t="n"/>
      <c r="E393" s="36" t="n"/>
      <c r="F393" s="29">
        <f>IF(A393="","",COUNTIFS(Agenda!$E$5:$E$1204,A393,Agenda!$H$5:$H$1204,"Realizado"))</f>
        <v/>
      </c>
      <c r="G393" s="29">
        <f>IF(A393="","",COUNTIFS(Agenda!$E$5:$E$1204,A393,Agenda!$H$5:$H$1204,"Falta"))</f>
        <v/>
      </c>
      <c r="H393" s="33">
        <f>IF(A393="","",IF(SUMPRODUCT(MAX((Agenda!$E$5:$E$1204=A393)*(Agenda!$H$5:$H$1204="Realizado")*Agenda!$A$5:$A$1204))=0,"",SUMPRODUCT(MAX((Agenda!$E$5:$E$1204=A393)*(Agenda!$H$5:$H$1204="Realizado")*Agenda!$A$5:$A$1204))))</f>
        <v/>
      </c>
      <c r="I393" s="33">
        <f>IF(A393="","",IF(SUMPRODUCT(MIN(((Agenda!$E$5:$E$1204=A393)*((Agenda!$H$5:$H$1204="Agendado")+(Agenda!$H$5:$H$1204="Confirmado")))*Agenda!$A$5:$A$1204+(1-((Agenda!$E$5:$E$1204=A393)*((Agenda!$H$5:$H$1204="Agendado")+(Agenda!$H$5:$H$1204="Confirmado"))))*1E+10))&gt;=1E+10,"",SUMPRODUCT(MIN(((Agenda!$E$5:$E$1204=A393)*((Agenda!$H$5:$H$1204="Agendado")+(Agenda!$H$5:$H$1204="Confirmado")))*Agenda!$A$5:$A$1204+(1-((Agenda!$E$5:$E$1204=A393)*((Agenda!$H$5:$H$1204="Agendado")+(Agenda!$H$5:$H$1204="Confirmado"))))*1E+10))))</f>
        <v/>
      </c>
    </row>
    <row r="394">
      <c r="A394" s="36" t="n"/>
      <c r="B394" s="37" t="n"/>
      <c r="C394" s="37" t="n"/>
      <c r="D394" s="36" t="n"/>
      <c r="E394" s="36" t="n"/>
      <c r="F394" s="29">
        <f>IF(A394="","",COUNTIFS(Agenda!$E$5:$E$1204,A394,Agenda!$H$5:$H$1204,"Realizado"))</f>
        <v/>
      </c>
      <c r="G394" s="29">
        <f>IF(A394="","",COUNTIFS(Agenda!$E$5:$E$1204,A394,Agenda!$H$5:$H$1204,"Falta"))</f>
        <v/>
      </c>
      <c r="H394" s="33">
        <f>IF(A394="","",IF(SUMPRODUCT(MAX((Agenda!$E$5:$E$1204=A394)*(Agenda!$H$5:$H$1204="Realizado")*Agenda!$A$5:$A$1204))=0,"",SUMPRODUCT(MAX((Agenda!$E$5:$E$1204=A394)*(Agenda!$H$5:$H$1204="Realizado")*Agenda!$A$5:$A$1204))))</f>
        <v/>
      </c>
      <c r="I394" s="33">
        <f>IF(A394="","",IF(SUMPRODUCT(MIN(((Agenda!$E$5:$E$1204=A394)*((Agenda!$H$5:$H$1204="Agendado")+(Agenda!$H$5:$H$1204="Confirmado")))*Agenda!$A$5:$A$1204+(1-((Agenda!$E$5:$E$1204=A394)*((Agenda!$H$5:$H$1204="Agendado")+(Agenda!$H$5:$H$1204="Confirmado"))))*1E+10))&gt;=1E+10,"",SUMPRODUCT(MIN(((Agenda!$E$5:$E$1204=A394)*((Agenda!$H$5:$H$1204="Agendado")+(Agenda!$H$5:$H$1204="Confirmado")))*Agenda!$A$5:$A$1204+(1-((Agenda!$E$5:$E$1204=A394)*((Agenda!$H$5:$H$1204="Agendado")+(Agenda!$H$5:$H$1204="Confirmado"))))*1E+10))))</f>
        <v/>
      </c>
    </row>
    <row r="395">
      <c r="A395" s="36" t="n"/>
      <c r="B395" s="37" t="n"/>
      <c r="C395" s="37" t="n"/>
      <c r="D395" s="36" t="n"/>
      <c r="E395" s="36" t="n"/>
      <c r="F395" s="29">
        <f>IF(A395="","",COUNTIFS(Agenda!$E$5:$E$1204,A395,Agenda!$H$5:$H$1204,"Realizado"))</f>
        <v/>
      </c>
      <c r="G395" s="29">
        <f>IF(A395="","",COUNTIFS(Agenda!$E$5:$E$1204,A395,Agenda!$H$5:$H$1204,"Falta"))</f>
        <v/>
      </c>
      <c r="H395" s="33">
        <f>IF(A395="","",IF(SUMPRODUCT(MAX((Agenda!$E$5:$E$1204=A395)*(Agenda!$H$5:$H$1204="Realizado")*Agenda!$A$5:$A$1204))=0,"",SUMPRODUCT(MAX((Agenda!$E$5:$E$1204=A395)*(Agenda!$H$5:$H$1204="Realizado")*Agenda!$A$5:$A$1204))))</f>
        <v/>
      </c>
      <c r="I395" s="33">
        <f>IF(A395="","",IF(SUMPRODUCT(MIN(((Agenda!$E$5:$E$1204=A395)*((Agenda!$H$5:$H$1204="Agendado")+(Agenda!$H$5:$H$1204="Confirmado")))*Agenda!$A$5:$A$1204+(1-((Agenda!$E$5:$E$1204=A395)*((Agenda!$H$5:$H$1204="Agendado")+(Agenda!$H$5:$H$1204="Confirmado"))))*1E+10))&gt;=1E+10,"",SUMPRODUCT(MIN(((Agenda!$E$5:$E$1204=A395)*((Agenda!$H$5:$H$1204="Agendado")+(Agenda!$H$5:$H$1204="Confirmado")))*Agenda!$A$5:$A$1204+(1-((Agenda!$E$5:$E$1204=A395)*((Agenda!$H$5:$H$1204="Agendado")+(Agenda!$H$5:$H$1204="Confirmado"))))*1E+10))))</f>
        <v/>
      </c>
    </row>
    <row r="396">
      <c r="A396" s="36" t="n"/>
      <c r="B396" s="37" t="n"/>
      <c r="C396" s="37" t="n"/>
      <c r="D396" s="36" t="n"/>
      <c r="E396" s="36" t="n"/>
      <c r="F396" s="29">
        <f>IF(A396="","",COUNTIFS(Agenda!$E$5:$E$1204,A396,Agenda!$H$5:$H$1204,"Realizado"))</f>
        <v/>
      </c>
      <c r="G396" s="29">
        <f>IF(A396="","",COUNTIFS(Agenda!$E$5:$E$1204,A396,Agenda!$H$5:$H$1204,"Falta"))</f>
        <v/>
      </c>
      <c r="H396" s="33">
        <f>IF(A396="","",IF(SUMPRODUCT(MAX((Agenda!$E$5:$E$1204=A396)*(Agenda!$H$5:$H$1204="Realizado")*Agenda!$A$5:$A$1204))=0,"",SUMPRODUCT(MAX((Agenda!$E$5:$E$1204=A396)*(Agenda!$H$5:$H$1204="Realizado")*Agenda!$A$5:$A$1204))))</f>
        <v/>
      </c>
      <c r="I396" s="33">
        <f>IF(A396="","",IF(SUMPRODUCT(MIN(((Agenda!$E$5:$E$1204=A396)*((Agenda!$H$5:$H$1204="Agendado")+(Agenda!$H$5:$H$1204="Confirmado")))*Agenda!$A$5:$A$1204+(1-((Agenda!$E$5:$E$1204=A396)*((Agenda!$H$5:$H$1204="Agendado")+(Agenda!$H$5:$H$1204="Confirmado"))))*1E+10))&gt;=1E+10,"",SUMPRODUCT(MIN(((Agenda!$E$5:$E$1204=A396)*((Agenda!$H$5:$H$1204="Agendado")+(Agenda!$H$5:$H$1204="Confirmado")))*Agenda!$A$5:$A$1204+(1-((Agenda!$E$5:$E$1204=A396)*((Agenda!$H$5:$H$1204="Agendado")+(Agenda!$H$5:$H$1204="Confirmado"))))*1E+10))))</f>
        <v/>
      </c>
    </row>
    <row r="397">
      <c r="A397" s="36" t="n"/>
      <c r="B397" s="37" t="n"/>
      <c r="C397" s="37" t="n"/>
      <c r="D397" s="36" t="n"/>
      <c r="E397" s="36" t="n"/>
      <c r="F397" s="29">
        <f>IF(A397="","",COUNTIFS(Agenda!$E$5:$E$1204,A397,Agenda!$H$5:$H$1204,"Realizado"))</f>
        <v/>
      </c>
      <c r="G397" s="29">
        <f>IF(A397="","",COUNTIFS(Agenda!$E$5:$E$1204,A397,Agenda!$H$5:$H$1204,"Falta"))</f>
        <v/>
      </c>
      <c r="H397" s="33">
        <f>IF(A397="","",IF(SUMPRODUCT(MAX((Agenda!$E$5:$E$1204=A397)*(Agenda!$H$5:$H$1204="Realizado")*Agenda!$A$5:$A$1204))=0,"",SUMPRODUCT(MAX((Agenda!$E$5:$E$1204=A397)*(Agenda!$H$5:$H$1204="Realizado")*Agenda!$A$5:$A$1204))))</f>
        <v/>
      </c>
      <c r="I397" s="33">
        <f>IF(A397="","",IF(SUMPRODUCT(MIN(((Agenda!$E$5:$E$1204=A397)*((Agenda!$H$5:$H$1204="Agendado")+(Agenda!$H$5:$H$1204="Confirmado")))*Agenda!$A$5:$A$1204+(1-((Agenda!$E$5:$E$1204=A397)*((Agenda!$H$5:$H$1204="Agendado")+(Agenda!$H$5:$H$1204="Confirmado"))))*1E+10))&gt;=1E+10,"",SUMPRODUCT(MIN(((Agenda!$E$5:$E$1204=A397)*((Agenda!$H$5:$H$1204="Agendado")+(Agenda!$H$5:$H$1204="Confirmado")))*Agenda!$A$5:$A$1204+(1-((Agenda!$E$5:$E$1204=A397)*((Agenda!$H$5:$H$1204="Agendado")+(Agenda!$H$5:$H$1204="Confirmado"))))*1E+10))))</f>
        <v/>
      </c>
    </row>
    <row r="398">
      <c r="A398" s="36" t="n"/>
      <c r="B398" s="37" t="n"/>
      <c r="C398" s="37" t="n"/>
      <c r="D398" s="36" t="n"/>
      <c r="E398" s="36" t="n"/>
      <c r="F398" s="29">
        <f>IF(A398="","",COUNTIFS(Agenda!$E$5:$E$1204,A398,Agenda!$H$5:$H$1204,"Realizado"))</f>
        <v/>
      </c>
      <c r="G398" s="29">
        <f>IF(A398="","",COUNTIFS(Agenda!$E$5:$E$1204,A398,Agenda!$H$5:$H$1204,"Falta"))</f>
        <v/>
      </c>
      <c r="H398" s="33">
        <f>IF(A398="","",IF(SUMPRODUCT(MAX((Agenda!$E$5:$E$1204=A398)*(Agenda!$H$5:$H$1204="Realizado")*Agenda!$A$5:$A$1204))=0,"",SUMPRODUCT(MAX((Agenda!$E$5:$E$1204=A398)*(Agenda!$H$5:$H$1204="Realizado")*Agenda!$A$5:$A$1204))))</f>
        <v/>
      </c>
      <c r="I398" s="33">
        <f>IF(A398="","",IF(SUMPRODUCT(MIN(((Agenda!$E$5:$E$1204=A398)*((Agenda!$H$5:$H$1204="Agendado")+(Agenda!$H$5:$H$1204="Confirmado")))*Agenda!$A$5:$A$1204+(1-((Agenda!$E$5:$E$1204=A398)*((Agenda!$H$5:$H$1204="Agendado")+(Agenda!$H$5:$H$1204="Confirmado"))))*1E+10))&gt;=1E+10,"",SUMPRODUCT(MIN(((Agenda!$E$5:$E$1204=A398)*((Agenda!$H$5:$H$1204="Agendado")+(Agenda!$H$5:$H$1204="Confirmado")))*Agenda!$A$5:$A$1204+(1-((Agenda!$E$5:$E$1204=A398)*((Agenda!$H$5:$H$1204="Agendado")+(Agenda!$H$5:$H$1204="Confirmado"))))*1E+10))))</f>
        <v/>
      </c>
    </row>
    <row r="399">
      <c r="A399" s="36" t="n"/>
      <c r="B399" s="37" t="n"/>
      <c r="C399" s="37" t="n"/>
      <c r="D399" s="36" t="n"/>
      <c r="E399" s="36" t="n"/>
      <c r="F399" s="29">
        <f>IF(A399="","",COUNTIFS(Agenda!$E$5:$E$1204,A399,Agenda!$H$5:$H$1204,"Realizado"))</f>
        <v/>
      </c>
      <c r="G399" s="29">
        <f>IF(A399="","",COUNTIFS(Agenda!$E$5:$E$1204,A399,Agenda!$H$5:$H$1204,"Falta"))</f>
        <v/>
      </c>
      <c r="H399" s="33">
        <f>IF(A399="","",IF(SUMPRODUCT(MAX((Agenda!$E$5:$E$1204=A399)*(Agenda!$H$5:$H$1204="Realizado")*Agenda!$A$5:$A$1204))=0,"",SUMPRODUCT(MAX((Agenda!$E$5:$E$1204=A399)*(Agenda!$H$5:$H$1204="Realizado")*Agenda!$A$5:$A$1204))))</f>
        <v/>
      </c>
      <c r="I399" s="33">
        <f>IF(A399="","",IF(SUMPRODUCT(MIN(((Agenda!$E$5:$E$1204=A399)*((Agenda!$H$5:$H$1204="Agendado")+(Agenda!$H$5:$H$1204="Confirmado")))*Agenda!$A$5:$A$1204+(1-((Agenda!$E$5:$E$1204=A399)*((Agenda!$H$5:$H$1204="Agendado")+(Agenda!$H$5:$H$1204="Confirmado"))))*1E+10))&gt;=1E+10,"",SUMPRODUCT(MIN(((Agenda!$E$5:$E$1204=A399)*((Agenda!$H$5:$H$1204="Agendado")+(Agenda!$H$5:$H$1204="Confirmado")))*Agenda!$A$5:$A$1204+(1-((Agenda!$E$5:$E$1204=A399)*((Agenda!$H$5:$H$1204="Agendado")+(Agenda!$H$5:$H$1204="Confirmado"))))*1E+10))))</f>
        <v/>
      </c>
    </row>
    <row r="400">
      <c r="A400" s="36" t="n"/>
      <c r="B400" s="37" t="n"/>
      <c r="C400" s="37" t="n"/>
      <c r="D400" s="36" t="n"/>
      <c r="E400" s="36" t="n"/>
      <c r="F400" s="29">
        <f>IF(A400="","",COUNTIFS(Agenda!$E$5:$E$1204,A400,Agenda!$H$5:$H$1204,"Realizado"))</f>
        <v/>
      </c>
      <c r="G400" s="29">
        <f>IF(A400="","",COUNTIFS(Agenda!$E$5:$E$1204,A400,Agenda!$H$5:$H$1204,"Falta"))</f>
        <v/>
      </c>
      <c r="H400" s="33">
        <f>IF(A400="","",IF(SUMPRODUCT(MAX((Agenda!$E$5:$E$1204=A400)*(Agenda!$H$5:$H$1204="Realizado")*Agenda!$A$5:$A$1204))=0,"",SUMPRODUCT(MAX((Agenda!$E$5:$E$1204=A400)*(Agenda!$H$5:$H$1204="Realizado")*Agenda!$A$5:$A$1204))))</f>
        <v/>
      </c>
      <c r="I400" s="33">
        <f>IF(A400="","",IF(SUMPRODUCT(MIN(((Agenda!$E$5:$E$1204=A400)*((Agenda!$H$5:$H$1204="Agendado")+(Agenda!$H$5:$H$1204="Confirmado")))*Agenda!$A$5:$A$1204+(1-((Agenda!$E$5:$E$1204=A400)*((Agenda!$H$5:$H$1204="Agendado")+(Agenda!$H$5:$H$1204="Confirmado"))))*1E+10))&gt;=1E+10,"",SUMPRODUCT(MIN(((Agenda!$E$5:$E$1204=A400)*((Agenda!$H$5:$H$1204="Agendado")+(Agenda!$H$5:$H$1204="Confirmado")))*Agenda!$A$5:$A$1204+(1-((Agenda!$E$5:$E$1204=A400)*((Agenda!$H$5:$H$1204="Agendado")+(Agenda!$H$5:$H$1204="Confirmado"))))*1E+10))))</f>
        <v/>
      </c>
    </row>
    <row r="401">
      <c r="A401" s="36" t="n"/>
      <c r="B401" s="37" t="n"/>
      <c r="C401" s="37" t="n"/>
      <c r="D401" s="36" t="n"/>
      <c r="E401" s="36" t="n"/>
      <c r="F401" s="29">
        <f>IF(A401="","",COUNTIFS(Agenda!$E$5:$E$1204,A401,Agenda!$H$5:$H$1204,"Realizado"))</f>
        <v/>
      </c>
      <c r="G401" s="29">
        <f>IF(A401="","",COUNTIFS(Agenda!$E$5:$E$1204,A401,Agenda!$H$5:$H$1204,"Falta"))</f>
        <v/>
      </c>
      <c r="H401" s="33">
        <f>IF(A401="","",IF(SUMPRODUCT(MAX((Agenda!$E$5:$E$1204=A401)*(Agenda!$H$5:$H$1204="Realizado")*Agenda!$A$5:$A$1204))=0,"",SUMPRODUCT(MAX((Agenda!$E$5:$E$1204=A401)*(Agenda!$H$5:$H$1204="Realizado")*Agenda!$A$5:$A$1204))))</f>
        <v/>
      </c>
      <c r="I401" s="33">
        <f>IF(A401="","",IF(SUMPRODUCT(MIN(((Agenda!$E$5:$E$1204=A401)*((Agenda!$H$5:$H$1204="Agendado")+(Agenda!$H$5:$H$1204="Confirmado")))*Agenda!$A$5:$A$1204+(1-((Agenda!$E$5:$E$1204=A401)*((Agenda!$H$5:$H$1204="Agendado")+(Agenda!$H$5:$H$1204="Confirmado"))))*1E+10))&gt;=1E+10,"",SUMPRODUCT(MIN(((Agenda!$E$5:$E$1204=A401)*((Agenda!$H$5:$H$1204="Agendado")+(Agenda!$H$5:$H$1204="Confirmado")))*Agenda!$A$5:$A$1204+(1-((Agenda!$E$5:$E$1204=A401)*((Agenda!$H$5:$H$1204="Agendado")+(Agenda!$H$5:$H$1204="Confirmado"))))*1E+10))))</f>
        <v/>
      </c>
    </row>
    <row r="402">
      <c r="A402" s="36" t="n"/>
      <c r="B402" s="37" t="n"/>
      <c r="C402" s="37" t="n"/>
      <c r="D402" s="36" t="n"/>
      <c r="E402" s="36" t="n"/>
      <c r="F402" s="29">
        <f>IF(A402="","",COUNTIFS(Agenda!$E$5:$E$1204,A402,Agenda!$H$5:$H$1204,"Realizado"))</f>
        <v/>
      </c>
      <c r="G402" s="29">
        <f>IF(A402="","",COUNTIFS(Agenda!$E$5:$E$1204,A402,Agenda!$H$5:$H$1204,"Falta"))</f>
        <v/>
      </c>
      <c r="H402" s="33">
        <f>IF(A402="","",IF(SUMPRODUCT(MAX((Agenda!$E$5:$E$1204=A402)*(Agenda!$H$5:$H$1204="Realizado")*Agenda!$A$5:$A$1204))=0,"",SUMPRODUCT(MAX((Agenda!$E$5:$E$1204=A402)*(Agenda!$H$5:$H$1204="Realizado")*Agenda!$A$5:$A$1204))))</f>
        <v/>
      </c>
      <c r="I402" s="33">
        <f>IF(A402="","",IF(SUMPRODUCT(MIN(((Agenda!$E$5:$E$1204=A402)*((Agenda!$H$5:$H$1204="Agendado")+(Agenda!$H$5:$H$1204="Confirmado")))*Agenda!$A$5:$A$1204+(1-((Agenda!$E$5:$E$1204=A402)*((Agenda!$H$5:$H$1204="Agendado")+(Agenda!$H$5:$H$1204="Confirmado"))))*1E+10))&gt;=1E+10,"",SUMPRODUCT(MIN(((Agenda!$E$5:$E$1204=A402)*((Agenda!$H$5:$H$1204="Agendado")+(Agenda!$H$5:$H$1204="Confirmado")))*Agenda!$A$5:$A$1204+(1-((Agenda!$E$5:$E$1204=A402)*((Agenda!$H$5:$H$1204="Agendado")+(Agenda!$H$5:$H$1204="Confirmado"))))*1E+10))))</f>
        <v/>
      </c>
    </row>
    <row r="403">
      <c r="A403" s="36" t="n"/>
      <c r="B403" s="37" t="n"/>
      <c r="C403" s="37" t="n"/>
      <c r="D403" s="36" t="n"/>
      <c r="E403" s="36" t="n"/>
      <c r="F403" s="29">
        <f>IF(A403="","",COUNTIFS(Agenda!$E$5:$E$1204,A403,Agenda!$H$5:$H$1204,"Realizado"))</f>
        <v/>
      </c>
      <c r="G403" s="29">
        <f>IF(A403="","",COUNTIFS(Agenda!$E$5:$E$1204,A403,Agenda!$H$5:$H$1204,"Falta"))</f>
        <v/>
      </c>
      <c r="H403" s="33">
        <f>IF(A403="","",IF(SUMPRODUCT(MAX((Agenda!$E$5:$E$1204=A403)*(Agenda!$H$5:$H$1204="Realizado")*Agenda!$A$5:$A$1204))=0,"",SUMPRODUCT(MAX((Agenda!$E$5:$E$1204=A403)*(Agenda!$H$5:$H$1204="Realizado")*Agenda!$A$5:$A$1204))))</f>
        <v/>
      </c>
      <c r="I403" s="33">
        <f>IF(A403="","",IF(SUMPRODUCT(MIN(((Agenda!$E$5:$E$1204=A403)*((Agenda!$H$5:$H$1204="Agendado")+(Agenda!$H$5:$H$1204="Confirmado")))*Agenda!$A$5:$A$1204+(1-((Agenda!$E$5:$E$1204=A403)*((Agenda!$H$5:$H$1204="Agendado")+(Agenda!$H$5:$H$1204="Confirmado"))))*1E+10))&gt;=1E+10,"",SUMPRODUCT(MIN(((Agenda!$E$5:$E$1204=A403)*((Agenda!$H$5:$H$1204="Agendado")+(Agenda!$H$5:$H$1204="Confirmado")))*Agenda!$A$5:$A$1204+(1-((Agenda!$E$5:$E$1204=A403)*((Agenda!$H$5:$H$1204="Agendado")+(Agenda!$H$5:$H$1204="Confirmado"))))*1E+10))))</f>
        <v/>
      </c>
    </row>
    <row r="404">
      <c r="A404" s="36" t="n"/>
      <c r="B404" s="37" t="n"/>
      <c r="C404" s="37" t="n"/>
      <c r="D404" s="36" t="n"/>
      <c r="E404" s="36" t="n"/>
      <c r="F404" s="29">
        <f>IF(A404="","",COUNTIFS(Agenda!$E$5:$E$1204,A404,Agenda!$H$5:$H$1204,"Realizado"))</f>
        <v/>
      </c>
      <c r="G404" s="29">
        <f>IF(A404="","",COUNTIFS(Agenda!$E$5:$E$1204,A404,Agenda!$H$5:$H$1204,"Falta"))</f>
        <v/>
      </c>
      <c r="H404" s="33">
        <f>IF(A404="","",IF(SUMPRODUCT(MAX((Agenda!$E$5:$E$1204=A404)*(Agenda!$H$5:$H$1204="Realizado")*Agenda!$A$5:$A$1204))=0,"",SUMPRODUCT(MAX((Agenda!$E$5:$E$1204=A404)*(Agenda!$H$5:$H$1204="Realizado")*Agenda!$A$5:$A$1204))))</f>
        <v/>
      </c>
      <c r="I404" s="33">
        <f>IF(A404="","",IF(SUMPRODUCT(MIN(((Agenda!$E$5:$E$1204=A404)*((Agenda!$H$5:$H$1204="Agendado")+(Agenda!$H$5:$H$1204="Confirmado")))*Agenda!$A$5:$A$1204+(1-((Agenda!$E$5:$E$1204=A404)*((Agenda!$H$5:$H$1204="Agendado")+(Agenda!$H$5:$H$1204="Confirmado"))))*1E+10))&gt;=1E+10,"",SUMPRODUCT(MIN(((Agenda!$E$5:$E$1204=A404)*((Agenda!$H$5:$H$1204="Agendado")+(Agenda!$H$5:$H$1204="Confirmado")))*Agenda!$A$5:$A$1204+(1-((Agenda!$E$5:$E$1204=A404)*((Agenda!$H$5:$H$1204="Agendado")+(Agenda!$H$5:$H$1204="Confirmado"))))*1E+10))))</f>
        <v/>
      </c>
    </row>
    <row r="406">
      <c r="A406" s="34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0" allowBlank="1" type="list">
      <formula1>=OFFSET(Config!$H$5,0,0,MAX(1,COUNTA(Config!$H$5:$H$10)),1)</formula1>
    </dataValidation>
    <dataValidation sqref="C5:C404" showDropDown="0" showInputMessage="0" showErrorMessage="0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2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amarelo; duração, valor, mês e período são calculados. Situação: Agendado, Confirmado, Realizado, Falta, Cancelado ou Remarcado. Esta aba é a fonte da agenda do kit (02 e 16 copiam daqui).</t>
        </is>
      </c>
    </row>
    <row r="4" ht="32" customHeight="1">
      <c r="A4" s="23" t="inlineStr">
        <is>
          <t>Data</t>
        </is>
      </c>
      <c r="B4" s="23" t="inlineStr">
        <is>
          <t>Hora</t>
        </is>
      </c>
      <c r="C4" s="23" t="inlineStr">
        <is>
          <t>Profissional</t>
        </is>
      </c>
      <c r="D4" s="23" t="inlineStr">
        <is>
          <t>Sala</t>
        </is>
      </c>
      <c r="E4" s="23" t="inlineStr">
        <is>
          <t>Paciente</t>
        </is>
      </c>
      <c r="F4" s="23" t="inlineStr">
        <is>
          <t>Pagador</t>
        </is>
      </c>
      <c r="G4" s="23" t="inlineStr">
        <is>
          <t>Procedimento</t>
        </is>
      </c>
      <c r="H4" s="23" t="inlineStr">
        <is>
          <t>Situação</t>
        </is>
      </c>
      <c r="I4" s="23" t="inlineStr">
        <is>
          <t>Forma de pagamento</t>
        </is>
      </c>
      <c r="J4" s="23" t="inlineStr">
        <is>
          <t>Parcelas (cartão)</t>
        </is>
      </c>
      <c r="K4" s="23" t="inlineStr">
        <is>
          <t>Observação</t>
        </is>
      </c>
      <c r="L4" s="23" t="inlineStr">
        <is>
          <t>Minutos</t>
        </is>
      </c>
      <c r="M4" s="23" t="inlineStr">
        <is>
          <t>Valor (R$)</t>
        </is>
      </c>
      <c r="N4" s="23" t="inlineStr">
        <is>
          <t>Mês</t>
        </is>
      </c>
      <c r="O4" s="23" t="inlineStr">
        <is>
          <t>Ano</t>
        </is>
      </c>
      <c r="P4" s="23" t="inlineStr">
        <is>
          <t>Dia da semana</t>
        </is>
      </c>
      <c r="Q4" s="23" t="inlineStr">
        <is>
          <t>Período</t>
        </is>
      </c>
      <c r="R4" s="23" t="inlineStr">
        <is>
          <t>Horas atendidas</t>
        </is>
      </c>
    </row>
    <row r="5">
      <c r="A5" s="42" t="n">
        <v>46204</v>
      </c>
      <c r="B5" s="43" t="n">
        <v>0.5833333333333334</v>
      </c>
      <c r="C5" s="37" t="inlineStr">
        <is>
          <t>Dra. Carolina Mendes</t>
        </is>
      </c>
      <c r="D5" s="37" t="inlineStr">
        <is>
          <t>Sala 1</t>
        </is>
      </c>
      <c r="E5" s="36" t="inlineStr">
        <is>
          <t>Cláudia Santos</t>
        </is>
      </c>
      <c r="F5" s="37" t="inlineStr">
        <is>
          <t>Particular</t>
        </is>
      </c>
      <c r="G5" s="37" t="inlineStr">
        <is>
          <t>Consulta</t>
        </is>
      </c>
      <c r="H5" s="37" t="inlineStr">
        <is>
          <t>Realizado</t>
        </is>
      </c>
      <c r="I5" s="37" t="inlineStr">
        <is>
          <t>Pix</t>
        </is>
      </c>
      <c r="J5" s="37" t="n"/>
      <c r="K5" s="36" t="n"/>
      <c r="L5" s="44">
        <f>IF(G5="","",IFERROR(INDEX(Config!$K$5:$K$16,MATCH(G5,Config!$J$5:$J$16,0)),""))</f>
        <v>30</v>
      </c>
      <c r="M5" s="30">
        <f>IF(OR(G5="",F5=""),"",IFERROR(INDEX(Config!$M$5:$R$16,MATCH(G5,Config!$J$5:$J$16,0),MATCH(F5,Config!$H$5:$H$10,0)),""))</f>
        <v>380</v>
      </c>
      <c r="N5" s="29">
        <f>IF(A5="","",MONTH(A5))</f>
        <v>7</v>
      </c>
      <c r="O5" s="29">
        <f>IF(A5="","",YEAR(A5))</f>
        <v>2026</v>
      </c>
      <c r="P5" s="29" t="str">
        <f>IF(A5="","",CHOOSE(WEEKDAY(A5,2),"Segunda","Terça","Quarta","Quinta","Sexta","Sábado","Domingo"))</f>
        <v>Quarta</v>
      </c>
      <c r="Q5" s="29" t="str">
        <f>IF(B5="","",IF(B5&lt;TIME(12,0,0),"Manhã",IF(B5&lt;TIME(18,0,0),"Tarde","Noite")))</f>
        <v>Tarde</v>
      </c>
      <c r="R5" s="45">
        <f>IF(AND(H5="Realizado",L5&lt;&gt;""),L5/60,0)</f>
        <v>0.5</v>
      </c>
    </row>
    <row r="6">
      <c r="A6" s="42" t="n">
        <v>46204</v>
      </c>
      <c r="B6" s="43" t="n">
        <v>0.6041666666666666</v>
      </c>
      <c r="C6" s="37" t="inlineStr">
        <is>
          <t>Dra. Carolina Mendes</t>
        </is>
      </c>
      <c r="D6" s="37" t="inlineStr">
        <is>
          <t>Sala 1</t>
        </is>
      </c>
      <c r="E6" s="36" t="inlineStr">
        <is>
          <t>Lucas Lopes</t>
        </is>
      </c>
      <c r="F6" s="37" t="inlineStr">
        <is>
          <t>Particular</t>
        </is>
      </c>
      <c r="G6" s="37" t="inlineStr">
        <is>
          <t>Consulta</t>
        </is>
      </c>
      <c r="H6" s="37" t="inlineStr">
        <is>
          <t>Realizado</t>
        </is>
      </c>
      <c r="I6" s="37" t="inlineStr">
        <is>
          <t>Cartão de débito</t>
        </is>
      </c>
      <c r="J6" s="37" t="n"/>
      <c r="K6" s="36" t="n"/>
      <c r="L6" s="44">
        <f>IF(G6="","",IFERROR(INDEX(Config!$K$5:$K$16,MATCH(G6,Config!$J$5:$J$16,0)),""))</f>
        <v>30</v>
      </c>
      <c r="M6" s="30">
        <f>IF(OR(G6="",F6=""),"",IFERROR(INDEX(Config!$M$5:$R$16,MATCH(G6,Config!$J$5:$J$16,0),MATCH(F6,Config!$H$5:$H$10,0)),""))</f>
        <v>380</v>
      </c>
      <c r="N6" s="29">
        <f>IF(A6="","",MONTH(A6))</f>
        <v>7</v>
      </c>
      <c r="O6" s="29">
        <f>IF(A6="","",YEAR(A6))</f>
        <v>2026</v>
      </c>
      <c r="P6" s="29" t="str">
        <f>IF(A6="","",CHOOSE(WEEKDAY(A6,2),"Segunda","Terça","Quarta","Quinta","Sexta","Sábado","Domingo"))</f>
        <v>Quarta</v>
      </c>
      <c r="Q6" s="29" t="str">
        <f>IF(B6="","",IF(B6&lt;TIME(12,0,0),"Manhã",IF(B6&lt;TIME(18,0,0),"Tarde","Noite")))</f>
        <v>Tarde</v>
      </c>
      <c r="R6" s="45">
        <f>IF(AND(H6="Realizado",L6&lt;&gt;""),L6/60,0)</f>
        <v>0.5</v>
      </c>
    </row>
    <row r="7">
      <c r="A7" s="42" t="n">
        <v>46204</v>
      </c>
      <c r="B7" s="43" t="n">
        <v>0.625</v>
      </c>
      <c r="C7" s="37" t="inlineStr">
        <is>
          <t>Dra. Carolina Mendes</t>
        </is>
      </c>
      <c r="D7" s="37" t="inlineStr">
        <is>
          <t>Sala 1</t>
        </is>
      </c>
      <c r="E7" s="36" t="inlineStr">
        <is>
          <t>Eduardo Nunes</t>
        </is>
      </c>
      <c r="F7" s="37" t="inlineStr">
        <is>
          <t>MediPlan</t>
        </is>
      </c>
      <c r="G7" s="37" t="inlineStr">
        <is>
          <t>Consulta</t>
        </is>
      </c>
      <c r="H7" s="37" t="inlineStr">
        <is>
          <t>Realizado</t>
        </is>
      </c>
      <c r="I7" s="37" t="inlineStr">
        <is>
          <t>Convênio</t>
        </is>
      </c>
      <c r="J7" s="37" t="n"/>
      <c r="K7" s="36" t="n"/>
      <c r="L7" s="44">
        <f>IF(G7="","",IFERROR(INDEX(Config!$K$5:$K$16,MATCH(G7,Config!$J$5:$J$16,0)),""))</f>
        <v>30</v>
      </c>
      <c r="M7" s="30">
        <f>IF(OR(G7="",F7=""),"",IFERROR(INDEX(Config!$M$5:$R$16,MATCH(G7,Config!$J$5:$J$16,0),MATCH(F7,Config!$H$5:$H$10,0)),""))</f>
        <v>100</v>
      </c>
      <c r="N7" s="29">
        <f>IF(A7="","",MONTH(A7))</f>
        <v>7</v>
      </c>
      <c r="O7" s="29">
        <f>IF(A7="","",YEAR(A7))</f>
        <v>2026</v>
      </c>
      <c r="P7" s="29" t="str">
        <f>IF(A7="","",CHOOSE(WEEKDAY(A7,2),"Segunda","Terça","Quarta","Quinta","Sexta","Sábado","Domingo"))</f>
        <v>Quarta</v>
      </c>
      <c r="Q7" s="29" t="str">
        <f>IF(B7="","",IF(B7&lt;TIME(12,0,0),"Manhã",IF(B7&lt;TIME(18,0,0),"Tarde","Noite")))</f>
        <v>Tarde</v>
      </c>
      <c r="R7" s="45">
        <f>IF(AND(H7="Realizado",L7&lt;&gt;""),L7/60,0)</f>
        <v>0.5</v>
      </c>
    </row>
    <row r="8">
      <c r="A8" s="42" t="n">
        <v>46204</v>
      </c>
      <c r="B8" s="43" t="n">
        <v>0.6458333333333334</v>
      </c>
      <c r="C8" s="37" t="inlineStr">
        <is>
          <t>Dra. Carolina Mendes</t>
        </is>
      </c>
      <c r="D8" s="37" t="inlineStr">
        <is>
          <t>Sala 1</t>
        </is>
      </c>
      <c r="E8" s="36" t="inlineStr">
        <is>
          <t>Priscila Carvalho</t>
        </is>
      </c>
      <c r="F8" s="37" t="inlineStr">
        <is>
          <t>Vida Care</t>
        </is>
      </c>
      <c r="G8" s="37" t="inlineStr">
        <is>
          <t>Consulta</t>
        </is>
      </c>
      <c r="H8" s="37" t="inlineStr">
        <is>
          <t>Falta</t>
        </is>
      </c>
      <c r="I8" s="37" t="n"/>
      <c r="J8" s="37" t="n"/>
      <c r="K8" s="36" t="n"/>
      <c r="L8" s="44">
        <f>IF(G8="","",IFERROR(INDEX(Config!$K$5:$K$16,MATCH(G8,Config!$J$5:$J$16,0)),""))</f>
        <v>30</v>
      </c>
      <c r="M8" s="30">
        <f>IF(OR(G8="",F8=""),"",IFERROR(INDEX(Config!$M$5:$R$16,MATCH(G8,Config!$J$5:$J$16,0),MATCH(F8,Config!$H$5:$H$10,0)),""))</f>
        <v>90</v>
      </c>
      <c r="N8" s="29">
        <f>IF(A8="","",MONTH(A8))</f>
        <v>7</v>
      </c>
      <c r="O8" s="29">
        <f>IF(A8="","",YEAR(A8))</f>
        <v>2026</v>
      </c>
      <c r="P8" s="29" t="str">
        <f>IF(A8="","",CHOOSE(WEEKDAY(A8,2),"Segunda","Terça","Quarta","Quinta","Sexta","Sábado","Domingo"))</f>
        <v>Quarta</v>
      </c>
      <c r="Q8" s="29" t="str">
        <f>IF(B8="","",IF(B8&lt;TIME(12,0,0),"Manhã",IF(B8&lt;TIME(18,0,0),"Tarde","Noite")))</f>
        <v>Tarde</v>
      </c>
      <c r="R8" s="45">
        <f>IF(AND(H8="Realizado",L8&lt;&gt;""),L8/60,0)</f>
        <v>0</v>
      </c>
    </row>
    <row r="9">
      <c r="A9" s="42" t="n">
        <v>46204</v>
      </c>
      <c r="B9" s="43" t="n">
        <v>0.6666666666666666</v>
      </c>
      <c r="C9" s="37" t="inlineStr">
        <is>
          <t>Dra. Carolina Mendes</t>
        </is>
      </c>
      <c r="D9" s="37" t="inlineStr">
        <is>
          <t>Sala 1</t>
        </is>
      </c>
      <c r="E9" s="36" t="inlineStr">
        <is>
          <t>Tatiana Cunha</t>
        </is>
      </c>
      <c r="F9" s="37" t="inlineStr">
        <is>
          <t>Saúde Total</t>
        </is>
      </c>
      <c r="G9" s="37" t="inlineStr">
        <is>
          <t>Consulta</t>
        </is>
      </c>
      <c r="H9" s="37" t="inlineStr">
        <is>
          <t>Realizado</t>
        </is>
      </c>
      <c r="I9" s="37" t="inlineStr">
        <is>
          <t>Convênio</t>
        </is>
      </c>
      <c r="J9" s="37" t="n"/>
      <c r="K9" s="36" t="n"/>
      <c r="L9" s="44">
        <f>IF(G9="","",IFERROR(INDEX(Config!$K$5:$K$16,MATCH(G9,Config!$J$5:$J$16,0)),""))</f>
        <v>30</v>
      </c>
      <c r="M9" s="30">
        <f>IF(OR(G9="",F9=""),"",IFERROR(INDEX(Config!$M$5:$R$16,MATCH(G9,Config!$J$5:$J$16,0),MATCH(F9,Config!$H$5:$H$10,0)),""))</f>
        <v>120</v>
      </c>
      <c r="N9" s="29">
        <f>IF(A9="","",MONTH(A9))</f>
        <v>7</v>
      </c>
      <c r="O9" s="29">
        <f>IF(A9="","",YEAR(A9))</f>
        <v>2026</v>
      </c>
      <c r="P9" s="29" t="str">
        <f>IF(A9="","",CHOOSE(WEEKDAY(A9,2),"Segunda","Terça","Quarta","Quinta","Sexta","Sábado","Domingo"))</f>
        <v>Quarta</v>
      </c>
      <c r="Q9" s="29" t="str">
        <f>IF(B9="","",IF(B9&lt;TIME(12,0,0),"Manhã",IF(B9&lt;TIME(18,0,0),"Tarde","Noite")))</f>
        <v>Tarde</v>
      </c>
      <c r="R9" s="45">
        <f>IF(AND(H9="Realizado",L9&lt;&gt;""),L9/60,0)</f>
        <v>0.5</v>
      </c>
    </row>
    <row r="10">
      <c r="A10" s="42" t="n">
        <v>46204</v>
      </c>
      <c r="B10" s="43" t="n">
        <v>0.6875</v>
      </c>
      <c r="C10" s="37" t="inlineStr">
        <is>
          <t>Dra. Carolina Mendes</t>
        </is>
      </c>
      <c r="D10" s="37" t="inlineStr">
        <is>
          <t>Sala 1</t>
        </is>
      </c>
      <c r="E10" s="36" t="inlineStr">
        <is>
          <t>Priscila Castro</t>
        </is>
      </c>
      <c r="F10" s="37" t="inlineStr">
        <is>
          <t>Saúde Total</t>
        </is>
      </c>
      <c r="G10" s="37" t="inlineStr">
        <is>
          <t>Consulta</t>
        </is>
      </c>
      <c r="H10" s="37" t="inlineStr">
        <is>
          <t>Falta</t>
        </is>
      </c>
      <c r="I10" s="37" t="n"/>
      <c r="J10" s="37" t="n"/>
      <c r="K10" s="36" t="n"/>
      <c r="L10" s="44">
        <f>IF(G10="","",IFERROR(INDEX(Config!$K$5:$K$16,MATCH(G10,Config!$J$5:$J$16,0)),""))</f>
        <v>30</v>
      </c>
      <c r="M10" s="30">
        <f>IF(OR(G10="",F10=""),"",IFERROR(INDEX(Config!$M$5:$R$16,MATCH(G10,Config!$J$5:$J$16,0),MATCH(F10,Config!$H$5:$H$10,0)),""))</f>
        <v>120</v>
      </c>
      <c r="N10" s="29">
        <f>IF(A10="","",MONTH(A10))</f>
        <v>7</v>
      </c>
      <c r="O10" s="29">
        <f>IF(A10="","",YEAR(A10))</f>
        <v>2026</v>
      </c>
      <c r="P10" s="29" t="str">
        <f>IF(A10="","",CHOOSE(WEEKDAY(A10,2),"Segunda","Terça","Quarta","Quinta","Sexta","Sábado","Domingo"))</f>
        <v>Quarta</v>
      </c>
      <c r="Q10" s="29" t="str">
        <f>IF(B10="","",IF(B10&lt;TIME(12,0,0),"Manhã",IF(B10&lt;TIME(18,0,0),"Tarde","Noite")))</f>
        <v>Tarde</v>
      </c>
      <c r="R10" s="45">
        <f>IF(AND(H10="Realizado",L10&lt;&gt;""),L10/60,0)</f>
        <v>0</v>
      </c>
    </row>
    <row r="11">
      <c r="A11" s="42" t="n">
        <v>46204</v>
      </c>
      <c r="B11" s="43" t="n">
        <v>0.7083333333333334</v>
      </c>
      <c r="C11" s="37" t="inlineStr">
        <is>
          <t>Dra. Carolina Mendes</t>
        </is>
      </c>
      <c r="D11" s="37" t="inlineStr">
        <is>
          <t>Sala 1</t>
        </is>
      </c>
      <c r="E11" s="36" t="inlineStr">
        <is>
          <t>Mônica Martins</t>
        </is>
      </c>
      <c r="F11" s="37" t="inlineStr">
        <is>
          <t>Particular</t>
        </is>
      </c>
      <c r="G11" s="37" t="inlineStr">
        <is>
          <t>Consulta</t>
        </is>
      </c>
      <c r="H11" s="37" t="inlineStr">
        <is>
          <t>Realizado</t>
        </is>
      </c>
      <c r="I11" s="37" t="inlineStr">
        <is>
          <t>Pix</t>
        </is>
      </c>
      <c r="J11" s="37" t="n"/>
      <c r="K11" s="36" t="n"/>
      <c r="L11" s="44">
        <f>IF(G11="","",IFERROR(INDEX(Config!$K$5:$K$16,MATCH(G11,Config!$J$5:$J$16,0)),""))</f>
        <v>30</v>
      </c>
      <c r="M11" s="30">
        <f>IF(OR(G11="",F11=""),"",IFERROR(INDEX(Config!$M$5:$R$16,MATCH(G11,Config!$J$5:$J$16,0),MATCH(F11,Config!$H$5:$H$10,0)),""))</f>
        <v>380</v>
      </c>
      <c r="N11" s="29">
        <f>IF(A11="","",MONTH(A11))</f>
        <v>7</v>
      </c>
      <c r="O11" s="29">
        <f>IF(A11="","",YEAR(A11))</f>
        <v>2026</v>
      </c>
      <c r="P11" s="29" t="str">
        <f>IF(A11="","",CHOOSE(WEEKDAY(A11,2),"Segunda","Terça","Quarta","Quinta","Sexta","Sábado","Domingo"))</f>
        <v>Quarta</v>
      </c>
      <c r="Q11" s="29" t="str">
        <f>IF(B11="","",IF(B11&lt;TIME(12,0,0),"Manhã",IF(B11&lt;TIME(18,0,0),"Tarde","Noite")))</f>
        <v>Tarde</v>
      </c>
      <c r="R11" s="45">
        <f>IF(AND(H11="Realizado",L11&lt;&gt;""),L11/60,0)</f>
        <v>0.5</v>
      </c>
    </row>
    <row r="12">
      <c r="A12" s="42" t="n">
        <v>46204</v>
      </c>
      <c r="B12" s="43" t="n">
        <v>0.7291666666666666</v>
      </c>
      <c r="C12" s="37" t="inlineStr">
        <is>
          <t>Dra. Carolina Mendes</t>
        </is>
      </c>
      <c r="D12" s="37" t="inlineStr">
        <is>
          <t>Sala 1</t>
        </is>
      </c>
      <c r="E12" s="36" t="inlineStr">
        <is>
          <t>Débora Machado</t>
        </is>
      </c>
      <c r="F12" s="37" t="inlineStr">
        <is>
          <t>Saúde Total</t>
        </is>
      </c>
      <c r="G12" s="37" t="inlineStr">
        <is>
          <t>Consulta</t>
        </is>
      </c>
      <c r="H12" s="37" t="inlineStr">
        <is>
          <t>Realizado</t>
        </is>
      </c>
      <c r="I12" s="37" t="inlineStr">
        <is>
          <t>Convênio</t>
        </is>
      </c>
      <c r="J12" s="37" t="n"/>
      <c r="K12" s="36" t="n"/>
      <c r="L12" s="44">
        <f>IF(G12="","",IFERROR(INDEX(Config!$K$5:$K$16,MATCH(G12,Config!$J$5:$J$16,0)),""))</f>
        <v>30</v>
      </c>
      <c r="M12" s="30">
        <f>IF(OR(G12="",F12=""),"",IFERROR(INDEX(Config!$M$5:$R$16,MATCH(G12,Config!$J$5:$J$16,0),MATCH(F12,Config!$H$5:$H$10,0)),""))</f>
        <v>120</v>
      </c>
      <c r="N12" s="29">
        <f>IF(A12="","",MONTH(A12))</f>
        <v>7</v>
      </c>
      <c r="O12" s="29">
        <f>IF(A12="","",YEAR(A12))</f>
        <v>2026</v>
      </c>
      <c r="P12" s="29" t="str">
        <f>IF(A12="","",CHOOSE(WEEKDAY(A12,2),"Segunda","Terça","Quarta","Quinta","Sexta","Sábado","Domingo"))</f>
        <v>Quarta</v>
      </c>
      <c r="Q12" s="29" t="str">
        <f>IF(B12="","",IF(B12&lt;TIME(12,0,0),"Manhã",IF(B12&lt;TIME(18,0,0),"Tarde","Noite")))</f>
        <v>Tarde</v>
      </c>
      <c r="R12" s="45">
        <f>IF(AND(H12="Realizado",L12&lt;&gt;""),L12/60,0)</f>
        <v>0.5</v>
      </c>
    </row>
    <row r="13">
      <c r="A13" s="42" t="n">
        <v>46205</v>
      </c>
      <c r="B13" s="43" t="n">
        <v>0.3333333333333333</v>
      </c>
      <c r="C13" s="37" t="inlineStr">
        <is>
          <t>Dra. Carolina Mendes</t>
        </is>
      </c>
      <c r="D13" s="37" t="inlineStr">
        <is>
          <t>Sala 1</t>
        </is>
      </c>
      <c r="E13" s="36" t="inlineStr">
        <is>
          <t>Débora Ramos</t>
        </is>
      </c>
      <c r="F13" s="37" t="inlineStr">
        <is>
          <t>Particular</t>
        </is>
      </c>
      <c r="G13" s="37" t="inlineStr">
        <is>
          <t>Consulta</t>
        </is>
      </c>
      <c r="H13" s="37" t="inlineStr">
        <is>
          <t>Realizado</t>
        </is>
      </c>
      <c r="I13" s="37" t="inlineStr">
        <is>
          <t>Cartão de crédito</t>
        </is>
      </c>
      <c r="J13" s="37" t="n"/>
      <c r="K13" s="36" t="n"/>
      <c r="L13" s="44">
        <f>IF(G13="","",IFERROR(INDEX(Config!$K$5:$K$16,MATCH(G13,Config!$J$5:$J$16,0)),""))</f>
        <v>30</v>
      </c>
      <c r="M13" s="30">
        <f>IF(OR(G13="",F13=""),"",IFERROR(INDEX(Config!$M$5:$R$16,MATCH(G13,Config!$J$5:$J$16,0),MATCH(F13,Config!$H$5:$H$10,0)),""))</f>
        <v>380</v>
      </c>
      <c r="N13" s="29">
        <f>IF(A13="","",MONTH(A13))</f>
        <v>7</v>
      </c>
      <c r="O13" s="29">
        <f>IF(A13="","",YEAR(A13))</f>
        <v>2026</v>
      </c>
      <c r="P13" s="29" t="str">
        <f>IF(A13="","",CHOOSE(WEEKDAY(A13,2),"Segunda","Terça","Quarta","Quinta","Sexta","Sábado","Domingo"))</f>
        <v>Quinta</v>
      </c>
      <c r="Q13" s="29" t="str">
        <f>IF(B13="","",IF(B13&lt;TIME(12,0,0),"Manhã",IF(B13&lt;TIME(18,0,0),"Tarde","Noite")))</f>
        <v>Manhã</v>
      </c>
      <c r="R13" s="45">
        <f>IF(AND(H13="Realizado",L13&lt;&gt;""),L13/60,0)</f>
        <v>0.5</v>
      </c>
    </row>
    <row r="14">
      <c r="A14" s="42" t="n">
        <v>46205</v>
      </c>
      <c r="B14" s="43" t="n">
        <v>0.3541666666666667</v>
      </c>
      <c r="C14" s="37" t="inlineStr">
        <is>
          <t>Dra. Carolina Mendes</t>
        </is>
      </c>
      <c r="D14" s="37" t="inlineStr">
        <is>
          <t>Sala 1</t>
        </is>
      </c>
      <c r="E14" s="36" t="inlineStr">
        <is>
          <t>Juliana Ribeiro</t>
        </is>
      </c>
      <c r="F14" s="37" t="inlineStr">
        <is>
          <t>Saúde Total</t>
        </is>
      </c>
      <c r="G14" s="37" t="inlineStr">
        <is>
          <t>Retorno</t>
        </is>
      </c>
      <c r="H14" s="37" t="inlineStr">
        <is>
          <t>Realizado</t>
        </is>
      </c>
      <c r="I14" s="37" t="inlineStr">
        <is>
          <t>Sem cobrança</t>
        </is>
      </c>
      <c r="J14" s="37" t="n"/>
      <c r="K14" s="36" t="n"/>
      <c r="L14" s="44">
        <f>IF(G14="","",IFERROR(INDEX(Config!$K$5:$K$16,MATCH(G14,Config!$J$5:$J$16,0)),""))</f>
        <v>20</v>
      </c>
      <c r="M14" s="30">
        <f>IF(OR(G14="",F14=""),"",IFERROR(INDEX(Config!$M$5:$R$16,MATCH(G14,Config!$J$5:$J$16,0),MATCH(F14,Config!$H$5:$H$10,0)),""))</f>
        <v>0</v>
      </c>
      <c r="N14" s="29">
        <f>IF(A14="","",MONTH(A14))</f>
        <v>7</v>
      </c>
      <c r="O14" s="29">
        <f>IF(A14="","",YEAR(A14))</f>
        <v>2026</v>
      </c>
      <c r="P14" s="29" t="str">
        <f>IF(A14="","",CHOOSE(WEEKDAY(A14,2),"Segunda","Terça","Quarta","Quinta","Sexta","Sábado","Domingo"))</f>
        <v>Quinta</v>
      </c>
      <c r="Q14" s="29" t="str">
        <f>IF(B14="","",IF(B14&lt;TIME(12,0,0),"Manhã",IF(B14&lt;TIME(18,0,0),"Tarde","Noite")))</f>
        <v>Manhã</v>
      </c>
      <c r="R14" s="45">
        <f>IF(AND(H14="Realizado",L14&lt;&gt;""),L14/60,0)</f>
        <v>0.333333333333333</v>
      </c>
    </row>
    <row r="15">
      <c r="A15" s="42" t="n">
        <v>46205</v>
      </c>
      <c r="B15" s="43" t="n">
        <v>0.3680555555555556</v>
      </c>
      <c r="C15" s="37" t="inlineStr">
        <is>
          <t>Dra. Carolina Mendes</t>
        </is>
      </c>
      <c r="D15" s="37" t="inlineStr">
        <is>
          <t>Sala 1</t>
        </is>
      </c>
      <c r="E15" s="36" t="inlineStr">
        <is>
          <t>Mariana Nascimento</t>
        </is>
      </c>
      <c r="F15" s="37" t="inlineStr">
        <is>
          <t>Particular</t>
        </is>
      </c>
      <c r="G15" s="37" t="inlineStr">
        <is>
          <t>Consulta</t>
        </is>
      </c>
      <c r="H15" s="37" t="inlineStr">
        <is>
          <t>Remarcado</t>
        </is>
      </c>
      <c r="I15" s="37" t="n"/>
      <c r="J15" s="37" t="n"/>
      <c r="K15" s="36" t="inlineStr">
        <is>
          <t>Paciente pediu outra data</t>
        </is>
      </c>
      <c r="L15" s="44">
        <f>IF(G15="","",IFERROR(INDEX(Config!$K$5:$K$16,MATCH(G15,Config!$J$5:$J$16,0)),""))</f>
        <v>30</v>
      </c>
      <c r="M15" s="30">
        <f>IF(OR(G15="",F15=""),"",IFERROR(INDEX(Config!$M$5:$R$16,MATCH(G15,Config!$J$5:$J$16,0),MATCH(F15,Config!$H$5:$H$10,0)),""))</f>
        <v>380</v>
      </c>
      <c r="N15" s="29">
        <f>IF(A15="","",MONTH(A15))</f>
        <v>7</v>
      </c>
      <c r="O15" s="29">
        <f>IF(A15="","",YEAR(A15))</f>
        <v>2026</v>
      </c>
      <c r="P15" s="29" t="str">
        <f>IF(A15="","",CHOOSE(WEEKDAY(A15,2),"Segunda","Terça","Quarta","Quinta","Sexta","Sábado","Domingo"))</f>
        <v>Quinta</v>
      </c>
      <c r="Q15" s="29" t="str">
        <f>IF(B15="","",IF(B15&lt;TIME(12,0,0),"Manhã",IF(B15&lt;TIME(18,0,0),"Tarde","Noite")))</f>
        <v>Manhã</v>
      </c>
      <c r="R15" s="45">
        <f>IF(AND(H15="Realizado",L15&lt;&gt;""),L15/60,0)</f>
        <v>0</v>
      </c>
    </row>
    <row r="16">
      <c r="A16" s="42" t="n">
        <v>46205</v>
      </c>
      <c r="B16" s="43" t="n">
        <v>0.3888888888888889</v>
      </c>
      <c r="C16" s="37" t="inlineStr">
        <is>
          <t>Dra. Carolina Mendes</t>
        </is>
      </c>
      <c r="D16" s="37" t="inlineStr">
        <is>
          <t>Sala 1</t>
        </is>
      </c>
      <c r="E16" s="36" t="inlineStr">
        <is>
          <t>Priscila Castro</t>
        </is>
      </c>
      <c r="F16" s="37" t="inlineStr">
        <is>
          <t>Saúde Total</t>
        </is>
      </c>
      <c r="G16" s="37" t="inlineStr">
        <is>
          <t>Consulta</t>
        </is>
      </c>
      <c r="H16" s="37" t="inlineStr">
        <is>
          <t>Realizado</t>
        </is>
      </c>
      <c r="I16" s="37" t="inlineStr">
        <is>
          <t>Convênio</t>
        </is>
      </c>
      <c r="J16" s="37" t="n"/>
      <c r="K16" s="36" t="n"/>
      <c r="L16" s="44">
        <f>IF(G16="","",IFERROR(INDEX(Config!$K$5:$K$16,MATCH(G16,Config!$J$5:$J$16,0)),""))</f>
        <v>30</v>
      </c>
      <c r="M16" s="30">
        <f>IF(OR(G16="",F16=""),"",IFERROR(INDEX(Config!$M$5:$R$16,MATCH(G16,Config!$J$5:$J$16,0),MATCH(F16,Config!$H$5:$H$10,0)),""))</f>
        <v>120</v>
      </c>
      <c r="N16" s="29">
        <f>IF(A16="","",MONTH(A16))</f>
        <v>7</v>
      </c>
      <c r="O16" s="29">
        <f>IF(A16="","",YEAR(A16))</f>
        <v>2026</v>
      </c>
      <c r="P16" s="29" t="str">
        <f>IF(A16="","",CHOOSE(WEEKDAY(A16,2),"Segunda","Terça","Quarta","Quinta","Sexta","Sábado","Domingo"))</f>
        <v>Quinta</v>
      </c>
      <c r="Q16" s="29" t="str">
        <f>IF(B16="","",IF(B16&lt;TIME(12,0,0),"Manhã",IF(B16&lt;TIME(18,0,0),"Tarde","Noite")))</f>
        <v>Manhã</v>
      </c>
      <c r="R16" s="45">
        <f>IF(AND(H16="Realizado",L16&lt;&gt;""),L16/60,0)</f>
        <v>0.5</v>
      </c>
    </row>
    <row r="17">
      <c r="A17" s="42" t="n">
        <v>46205</v>
      </c>
      <c r="B17" s="43" t="n">
        <v>0.4097222222222222</v>
      </c>
      <c r="C17" s="37" t="inlineStr">
        <is>
          <t>Dra. Carolina Mendes</t>
        </is>
      </c>
      <c r="D17" s="37" t="inlineStr">
        <is>
          <t>Sala 1</t>
        </is>
      </c>
      <c r="E17" s="36" t="inlineStr">
        <is>
          <t>Letícia Vieira</t>
        </is>
      </c>
      <c r="F17" s="37" t="inlineStr">
        <is>
          <t>Saúde Total</t>
        </is>
      </c>
      <c r="G17" s="37" t="inlineStr">
        <is>
          <t>Consulta</t>
        </is>
      </c>
      <c r="H17" s="37" t="inlineStr">
        <is>
          <t>Realizado</t>
        </is>
      </c>
      <c r="I17" s="37" t="inlineStr">
        <is>
          <t>Convênio</t>
        </is>
      </c>
      <c r="J17" s="37" t="n"/>
      <c r="K17" s="36" t="n"/>
      <c r="L17" s="44">
        <f>IF(G17="","",IFERROR(INDEX(Config!$K$5:$K$16,MATCH(G17,Config!$J$5:$J$16,0)),""))</f>
        <v>30</v>
      </c>
      <c r="M17" s="30">
        <f>IF(OR(G17="",F17=""),"",IFERROR(INDEX(Config!$M$5:$R$16,MATCH(G17,Config!$J$5:$J$16,0),MATCH(F17,Config!$H$5:$H$10,0)),""))</f>
        <v>120</v>
      </c>
      <c r="N17" s="29">
        <f>IF(A17="","",MONTH(A17))</f>
        <v>7</v>
      </c>
      <c r="O17" s="29">
        <f>IF(A17="","",YEAR(A17))</f>
        <v>2026</v>
      </c>
      <c r="P17" s="29" t="str">
        <f>IF(A17="","",CHOOSE(WEEKDAY(A17,2),"Segunda","Terça","Quarta","Quinta","Sexta","Sábado","Domingo"))</f>
        <v>Quinta</v>
      </c>
      <c r="Q17" s="29" t="str">
        <f>IF(B17="","",IF(B17&lt;TIME(12,0,0),"Manhã",IF(B17&lt;TIME(18,0,0),"Tarde","Noite")))</f>
        <v>Manhã</v>
      </c>
      <c r="R17" s="45">
        <f>IF(AND(H17="Realizado",L17&lt;&gt;""),L17/60,0)</f>
        <v>0.5</v>
      </c>
    </row>
    <row r="18">
      <c r="A18" s="42" t="n">
        <v>46205</v>
      </c>
      <c r="B18" s="43" t="n">
        <v>0.4305555555555556</v>
      </c>
      <c r="C18" s="37" t="inlineStr">
        <is>
          <t>Dra. Carolina Mendes</t>
        </is>
      </c>
      <c r="D18" s="37" t="inlineStr">
        <is>
          <t>Sala 1</t>
        </is>
      </c>
      <c r="E18" s="36" t="inlineStr">
        <is>
          <t>Mônica Batista</t>
        </is>
      </c>
      <c r="F18" s="37" t="inlineStr">
        <is>
          <t>MediPlan</t>
        </is>
      </c>
      <c r="G18" s="37" t="inlineStr">
        <is>
          <t>Consulta</t>
        </is>
      </c>
      <c r="H18" s="37" t="inlineStr">
        <is>
          <t>Realizado</t>
        </is>
      </c>
      <c r="I18" s="37" t="inlineStr">
        <is>
          <t>Convênio</t>
        </is>
      </c>
      <c r="J18" s="37" t="n"/>
      <c r="K18" s="36" t="n"/>
      <c r="L18" s="44">
        <f>IF(G18="","",IFERROR(INDEX(Config!$K$5:$K$16,MATCH(G18,Config!$J$5:$J$16,0)),""))</f>
        <v>30</v>
      </c>
      <c r="M18" s="30">
        <f>IF(OR(G18="",F18=""),"",IFERROR(INDEX(Config!$M$5:$R$16,MATCH(G18,Config!$J$5:$J$16,0),MATCH(F18,Config!$H$5:$H$10,0)),""))</f>
        <v>100</v>
      </c>
      <c r="N18" s="29">
        <f>IF(A18="","",MONTH(A18))</f>
        <v>7</v>
      </c>
      <c r="O18" s="29">
        <f>IF(A18="","",YEAR(A18))</f>
        <v>2026</v>
      </c>
      <c r="P18" s="29" t="str">
        <f>IF(A18="","",CHOOSE(WEEKDAY(A18,2),"Segunda","Terça","Quarta","Quinta","Sexta","Sábado","Domingo"))</f>
        <v>Quinta</v>
      </c>
      <c r="Q18" s="29" t="str">
        <f>IF(B18="","",IF(B18&lt;TIME(12,0,0),"Manhã",IF(B18&lt;TIME(18,0,0),"Tarde","Noite")))</f>
        <v>Manhã</v>
      </c>
      <c r="R18" s="45">
        <f>IF(AND(H18="Realizado",L18&lt;&gt;""),L18/60,0)</f>
        <v>0.5</v>
      </c>
    </row>
    <row r="19">
      <c r="A19" s="42" t="n">
        <v>46205</v>
      </c>
      <c r="B19" s="43" t="n">
        <v>0.4513888888888889</v>
      </c>
      <c r="C19" s="37" t="inlineStr">
        <is>
          <t>Dra. Carolina Mendes</t>
        </is>
      </c>
      <c r="D19" s="37" t="inlineStr">
        <is>
          <t>Sala 1</t>
        </is>
      </c>
      <c r="E19" s="36" t="inlineStr">
        <is>
          <t>Mariana Nascimento</t>
        </is>
      </c>
      <c r="F19" s="37" t="inlineStr">
        <is>
          <t>Particular</t>
        </is>
      </c>
      <c r="G19" s="37" t="inlineStr">
        <is>
          <t>Consulta</t>
        </is>
      </c>
      <c r="H19" s="37" t="inlineStr">
        <is>
          <t>Realizado</t>
        </is>
      </c>
      <c r="I19" s="37" t="inlineStr">
        <is>
          <t>Cartão de crédito</t>
        </is>
      </c>
      <c r="J19" s="37" t="n"/>
      <c r="K19" s="36" t="n"/>
      <c r="L19" s="44">
        <f>IF(G19="","",IFERROR(INDEX(Config!$K$5:$K$16,MATCH(G19,Config!$J$5:$J$16,0)),""))</f>
        <v>30</v>
      </c>
      <c r="M19" s="30">
        <f>IF(OR(G19="",F19=""),"",IFERROR(INDEX(Config!$M$5:$R$16,MATCH(G19,Config!$J$5:$J$16,0),MATCH(F19,Config!$H$5:$H$10,0)),""))</f>
        <v>380</v>
      </c>
      <c r="N19" s="29">
        <f>IF(A19="","",MONTH(A19))</f>
        <v>7</v>
      </c>
      <c r="O19" s="29">
        <f>IF(A19="","",YEAR(A19))</f>
        <v>2026</v>
      </c>
      <c r="P19" s="29" t="str">
        <f>IF(A19="","",CHOOSE(WEEKDAY(A19,2),"Segunda","Terça","Quarta","Quinta","Sexta","Sábado","Domingo"))</f>
        <v>Quinta</v>
      </c>
      <c r="Q19" s="29" t="str">
        <f>IF(B19="","",IF(B19&lt;TIME(12,0,0),"Manhã",IF(B19&lt;TIME(18,0,0),"Tarde","Noite")))</f>
        <v>Manhã</v>
      </c>
      <c r="R19" s="45">
        <f>IF(AND(H19="Realizado",L19&lt;&gt;""),L19/60,0)</f>
        <v>0.5</v>
      </c>
    </row>
    <row r="20">
      <c r="A20" s="42" t="n">
        <v>46205</v>
      </c>
      <c r="B20" s="43" t="n">
        <v>0.4722222222222222</v>
      </c>
      <c r="C20" s="37" t="inlineStr">
        <is>
          <t>Dra. Carolina Mendes</t>
        </is>
      </c>
      <c r="D20" s="37" t="inlineStr">
        <is>
          <t>Sala 1</t>
        </is>
      </c>
      <c r="E20" s="36" t="inlineStr">
        <is>
          <t>Helena Moreira</t>
        </is>
      </c>
      <c r="F20" s="37" t="inlineStr">
        <is>
          <t>Particular</t>
        </is>
      </c>
      <c r="G20" s="37" t="inlineStr">
        <is>
          <t>Consulta</t>
        </is>
      </c>
      <c r="H20" s="37" t="inlineStr">
        <is>
          <t>Realizado</t>
        </is>
      </c>
      <c r="I20" s="37" t="inlineStr">
        <is>
          <t>Cartão de crédito</t>
        </is>
      </c>
      <c r="J20" s="37" t="n"/>
      <c r="K20" s="36" t="n"/>
      <c r="L20" s="44">
        <f>IF(G20="","",IFERROR(INDEX(Config!$K$5:$K$16,MATCH(G20,Config!$J$5:$J$16,0)),""))</f>
        <v>30</v>
      </c>
      <c r="M20" s="30">
        <f>IF(OR(G20="",F20=""),"",IFERROR(INDEX(Config!$M$5:$R$16,MATCH(G20,Config!$J$5:$J$16,0),MATCH(F20,Config!$H$5:$H$10,0)),""))</f>
        <v>380</v>
      </c>
      <c r="N20" s="29">
        <f>IF(A20="","",MONTH(A20))</f>
        <v>7</v>
      </c>
      <c r="O20" s="29">
        <f>IF(A20="","",YEAR(A20))</f>
        <v>2026</v>
      </c>
      <c r="P20" s="29" t="str">
        <f>IF(A20="","",CHOOSE(WEEKDAY(A20,2),"Segunda","Terça","Quarta","Quinta","Sexta","Sábado","Domingo"))</f>
        <v>Quinta</v>
      </c>
      <c r="Q20" s="29" t="str">
        <f>IF(B20="","",IF(B20&lt;TIME(12,0,0),"Manhã",IF(B20&lt;TIME(18,0,0),"Tarde","Noite")))</f>
        <v>Manhã</v>
      </c>
      <c r="R20" s="45">
        <f>IF(AND(H20="Realizado",L20&lt;&gt;""),L20/60,0)</f>
        <v>0.5</v>
      </c>
    </row>
    <row r="21">
      <c r="A21" s="42" t="n">
        <v>46205</v>
      </c>
      <c r="B21" s="43" t="n">
        <v>0.5833333333333334</v>
      </c>
      <c r="C21" s="37" t="inlineStr">
        <is>
          <t>Dra. Renata Sousa</t>
        </is>
      </c>
      <c r="D21" s="37" t="inlineStr">
        <is>
          <t>Sala 1</t>
        </is>
      </c>
      <c r="E21" s="36" t="inlineStr">
        <is>
          <t>Gisele Lopes</t>
        </is>
      </c>
      <c r="F21" s="37" t="inlineStr">
        <is>
          <t>Saúde Total</t>
        </is>
      </c>
      <c r="G21" s="37" t="inlineStr">
        <is>
          <t>Avaliação endócrina</t>
        </is>
      </c>
      <c r="H21" s="37" t="inlineStr">
        <is>
          <t>Realizado</t>
        </is>
      </c>
      <c r="I21" s="37" t="inlineStr">
        <is>
          <t>Convênio</t>
        </is>
      </c>
      <c r="J21" s="37" t="n"/>
      <c r="K21" s="36" t="n"/>
      <c r="L21" s="44">
        <f>IF(G21="","",IFERROR(INDEX(Config!$K$5:$K$16,MATCH(G21,Config!$J$5:$J$16,0)),""))</f>
        <v>40</v>
      </c>
      <c r="M21" s="30">
        <f>IF(OR(G21="",F21=""),"",IFERROR(INDEX(Config!$M$5:$R$16,MATCH(G21,Config!$J$5:$J$16,0),MATCH(F21,Config!$H$5:$H$10,0)),""))</f>
        <v>130</v>
      </c>
      <c r="N21" s="29">
        <f>IF(A21="","",MONTH(A21))</f>
        <v>7</v>
      </c>
      <c r="O21" s="29">
        <f>IF(A21="","",YEAR(A21))</f>
        <v>2026</v>
      </c>
      <c r="P21" s="29" t="str">
        <f>IF(A21="","",CHOOSE(WEEKDAY(A21,2),"Segunda","Terça","Quarta","Quinta","Sexta","Sábado","Domingo"))</f>
        <v>Quinta</v>
      </c>
      <c r="Q21" s="29" t="str">
        <f>IF(B21="","",IF(B21&lt;TIME(12,0,0),"Manhã",IF(B21&lt;TIME(18,0,0),"Tarde","Noite")))</f>
        <v>Tarde</v>
      </c>
      <c r="R21" s="45">
        <f>IF(AND(H21="Realizado",L21&lt;&gt;""),L21/60,0)</f>
        <v>0.666666666666667</v>
      </c>
    </row>
    <row r="22">
      <c r="A22" s="42" t="n">
        <v>46205</v>
      </c>
      <c r="B22" s="43" t="n">
        <v>0.5833333333333334</v>
      </c>
      <c r="C22" s="37" t="inlineStr">
        <is>
          <t>Dr. Paulo Andrade</t>
        </is>
      </c>
      <c r="D22" s="37" t="inlineStr">
        <is>
          <t>Sala 2</t>
        </is>
      </c>
      <c r="E22" s="36" t="inlineStr">
        <is>
          <t>Priscila Pinto</t>
        </is>
      </c>
      <c r="F22" s="37" t="inlineStr">
        <is>
          <t>Saúde Total</t>
        </is>
      </c>
      <c r="G22" s="37" t="inlineStr">
        <is>
          <t>Retorno</t>
        </is>
      </c>
      <c r="H22" s="37" t="inlineStr">
        <is>
          <t>Realizado</t>
        </is>
      </c>
      <c r="I22" s="37" t="inlineStr">
        <is>
          <t>Sem cobrança</t>
        </is>
      </c>
      <c r="J22" s="37" t="n"/>
      <c r="K22" s="36" t="n"/>
      <c r="L22" s="44">
        <f>IF(G22="","",IFERROR(INDEX(Config!$K$5:$K$16,MATCH(G22,Config!$J$5:$J$16,0)),""))</f>
        <v>20</v>
      </c>
      <c r="M22" s="30">
        <f>IF(OR(G22="",F22=""),"",IFERROR(INDEX(Config!$M$5:$R$16,MATCH(G22,Config!$J$5:$J$16,0),MATCH(F22,Config!$H$5:$H$10,0)),""))</f>
        <v>0</v>
      </c>
      <c r="N22" s="29">
        <f>IF(A22="","",MONTH(A22))</f>
        <v>7</v>
      </c>
      <c r="O22" s="29">
        <f>IF(A22="","",YEAR(A22))</f>
        <v>2026</v>
      </c>
      <c r="P22" s="29" t="str">
        <f>IF(A22="","",CHOOSE(WEEKDAY(A22,2),"Segunda","Terça","Quarta","Quinta","Sexta","Sábado","Domingo"))</f>
        <v>Quinta</v>
      </c>
      <c r="Q22" s="29" t="str">
        <f>IF(B22="","",IF(B22&lt;TIME(12,0,0),"Manhã",IF(B22&lt;TIME(18,0,0),"Tarde","Noite")))</f>
        <v>Tarde</v>
      </c>
      <c r="R22" s="45">
        <f>IF(AND(H22="Realizado",L22&lt;&gt;""),L22/60,0)</f>
        <v>0.333333333333333</v>
      </c>
    </row>
    <row r="23">
      <c r="A23" s="42" t="n">
        <v>46205</v>
      </c>
      <c r="B23" s="43" t="n">
        <v>0.6111111111111112</v>
      </c>
      <c r="C23" s="37" t="inlineStr">
        <is>
          <t>Dra. Renata Sousa</t>
        </is>
      </c>
      <c r="D23" s="37" t="inlineStr">
        <is>
          <t>Sala 1</t>
        </is>
      </c>
      <c r="E23" s="36" t="inlineStr">
        <is>
          <t>Thiago Melo</t>
        </is>
      </c>
      <c r="F23" s="37" t="inlineStr">
        <is>
          <t>Particular</t>
        </is>
      </c>
      <c r="G23" s="37" t="inlineStr">
        <is>
          <t>Retorno</t>
        </is>
      </c>
      <c r="H23" s="37" t="inlineStr">
        <is>
          <t>Realizado</t>
        </is>
      </c>
      <c r="I23" s="37" t="inlineStr">
        <is>
          <t>Sem cobrança</t>
        </is>
      </c>
      <c r="J23" s="37" t="n"/>
      <c r="K23" s="36" t="n"/>
      <c r="L23" s="44">
        <f>IF(G23="","",IFERROR(INDEX(Config!$K$5:$K$16,MATCH(G23,Config!$J$5:$J$16,0)),""))</f>
        <v>20</v>
      </c>
      <c r="M23" s="30">
        <f>IF(OR(G23="",F23=""),"",IFERROR(INDEX(Config!$M$5:$R$16,MATCH(G23,Config!$J$5:$J$16,0),MATCH(F23,Config!$H$5:$H$10,0)),""))</f>
        <v>0</v>
      </c>
      <c r="N23" s="29">
        <f>IF(A23="","",MONTH(A23))</f>
        <v>7</v>
      </c>
      <c r="O23" s="29">
        <f>IF(A23="","",YEAR(A23))</f>
        <v>2026</v>
      </c>
      <c r="P23" s="29" t="str">
        <f>IF(A23="","",CHOOSE(WEEKDAY(A23,2),"Segunda","Terça","Quarta","Quinta","Sexta","Sábado","Domingo"))</f>
        <v>Quinta</v>
      </c>
      <c r="Q23" s="29" t="str">
        <f>IF(B23="","",IF(B23&lt;TIME(12,0,0),"Manhã",IF(B23&lt;TIME(18,0,0),"Tarde","Noite")))</f>
        <v>Tarde</v>
      </c>
      <c r="R23" s="45">
        <f>IF(AND(H23="Realizado",L23&lt;&gt;""),L23/60,0)</f>
        <v>0.333333333333333</v>
      </c>
    </row>
    <row r="24">
      <c r="A24" s="42" t="n">
        <v>46205</v>
      </c>
      <c r="B24" s="43" t="n">
        <v>0.6180555555555556</v>
      </c>
      <c r="C24" s="37" t="inlineStr">
        <is>
          <t>Dr. Paulo Andrade</t>
        </is>
      </c>
      <c r="D24" s="37" t="inlineStr">
        <is>
          <t>Sala 2</t>
        </is>
      </c>
      <c r="E24" s="36" t="inlineStr">
        <is>
          <t>Gabriel Oliveira</t>
        </is>
      </c>
      <c r="F24" s="37" t="inlineStr">
        <is>
          <t>Particular</t>
        </is>
      </c>
      <c r="G24" s="37" t="inlineStr">
        <is>
          <t>ECG</t>
        </is>
      </c>
      <c r="H24" s="37" t="inlineStr">
        <is>
          <t>Realizado</t>
        </is>
      </c>
      <c r="I24" s="37" t="inlineStr">
        <is>
          <t>Pix</t>
        </is>
      </c>
      <c r="J24" s="37" t="n"/>
      <c r="K24" s="36" t="n"/>
      <c r="L24" s="44">
        <f>IF(G24="","",IFERROR(INDEX(Config!$K$5:$K$16,MATCH(G24,Config!$J$5:$J$16,0)),""))</f>
        <v>20</v>
      </c>
      <c r="M24" s="30">
        <f>IF(OR(G24="",F24=""),"",IFERROR(INDEX(Config!$M$5:$R$16,MATCH(G24,Config!$J$5:$J$16,0),MATCH(F24,Config!$H$5:$H$10,0)),""))</f>
        <v>130</v>
      </c>
      <c r="N24" s="29">
        <f>IF(A24="","",MONTH(A24))</f>
        <v>7</v>
      </c>
      <c r="O24" s="29">
        <f>IF(A24="","",YEAR(A24))</f>
        <v>2026</v>
      </c>
      <c r="P24" s="29" t="str">
        <f>IF(A24="","",CHOOSE(WEEKDAY(A24,2),"Segunda","Terça","Quarta","Quinta","Sexta","Sábado","Domingo"))</f>
        <v>Quinta</v>
      </c>
      <c r="Q24" s="29" t="str">
        <f>IF(B24="","",IF(B24&lt;TIME(12,0,0),"Manhã",IF(B24&lt;TIME(18,0,0),"Tarde","Noite")))</f>
        <v>Tarde</v>
      </c>
      <c r="R24" s="45">
        <f>IF(AND(H24="Realizado",L24&lt;&gt;""),L24/60,0)</f>
        <v>0.333333333333333</v>
      </c>
    </row>
    <row r="25">
      <c r="A25" s="42" t="n">
        <v>46205</v>
      </c>
      <c r="B25" s="43" t="n">
        <v>0.6319444444444444</v>
      </c>
      <c r="C25" s="37" t="inlineStr">
        <is>
          <t>Dr. Paulo Andrade</t>
        </is>
      </c>
      <c r="D25" s="37" t="inlineStr">
        <is>
          <t>Sala 2</t>
        </is>
      </c>
      <c r="E25" s="36" t="inlineStr">
        <is>
          <t>Helena Ribeiro</t>
        </is>
      </c>
      <c r="F25" s="37" t="inlineStr">
        <is>
          <t>MediPlan</t>
        </is>
      </c>
      <c r="G25" s="37" t="inlineStr">
        <is>
          <t>Consulta</t>
        </is>
      </c>
      <c r="H25" s="37" t="inlineStr">
        <is>
          <t>Realizado</t>
        </is>
      </c>
      <c r="I25" s="37" t="inlineStr">
        <is>
          <t>Convênio</t>
        </is>
      </c>
      <c r="J25" s="37" t="n"/>
      <c r="K25" s="36" t="n"/>
      <c r="L25" s="44">
        <f>IF(G25="","",IFERROR(INDEX(Config!$K$5:$K$16,MATCH(G25,Config!$J$5:$J$16,0)),""))</f>
        <v>30</v>
      </c>
      <c r="M25" s="30">
        <f>IF(OR(G25="",F25=""),"",IFERROR(INDEX(Config!$M$5:$R$16,MATCH(G25,Config!$J$5:$J$16,0),MATCH(F25,Config!$H$5:$H$10,0)),""))</f>
        <v>100</v>
      </c>
      <c r="N25" s="29">
        <f>IF(A25="","",MONTH(A25))</f>
        <v>7</v>
      </c>
      <c r="O25" s="29">
        <f>IF(A25="","",YEAR(A25))</f>
        <v>2026</v>
      </c>
      <c r="P25" s="29" t="str">
        <f>IF(A25="","",CHOOSE(WEEKDAY(A25,2),"Segunda","Terça","Quarta","Quinta","Sexta","Sábado","Domingo"))</f>
        <v>Quinta</v>
      </c>
      <c r="Q25" s="29" t="str">
        <f>IF(B25="","",IF(B25&lt;TIME(12,0,0),"Manhã",IF(B25&lt;TIME(18,0,0),"Tarde","Noite")))</f>
        <v>Tarde</v>
      </c>
      <c r="R25" s="45">
        <f>IF(AND(H25="Realizado",L25&lt;&gt;""),L25/60,0)</f>
        <v>0.5</v>
      </c>
    </row>
    <row r="26">
      <c r="A26" s="42" t="n">
        <v>46205</v>
      </c>
      <c r="B26" s="43" t="n">
        <v>0.6527777777777778</v>
      </c>
      <c r="C26" s="37" t="inlineStr">
        <is>
          <t>Dr. Paulo Andrade</t>
        </is>
      </c>
      <c r="D26" s="37" t="inlineStr">
        <is>
          <t>Sala 2</t>
        </is>
      </c>
      <c r="E26" s="36" t="inlineStr">
        <is>
          <t>Gabriel Oliveira</t>
        </is>
      </c>
      <c r="F26" s="37" t="inlineStr">
        <is>
          <t>Particular</t>
        </is>
      </c>
      <c r="G26" s="37" t="inlineStr">
        <is>
          <t>Retorno</t>
        </is>
      </c>
      <c r="H26" s="37" t="inlineStr">
        <is>
          <t>Realizado</t>
        </is>
      </c>
      <c r="I26" s="37" t="inlineStr">
        <is>
          <t>Sem cobrança</t>
        </is>
      </c>
      <c r="J26" s="37" t="n"/>
      <c r="K26" s="36" t="n"/>
      <c r="L26" s="44">
        <f>IF(G26="","",IFERROR(INDEX(Config!$K$5:$K$16,MATCH(G26,Config!$J$5:$J$16,0)),""))</f>
        <v>20</v>
      </c>
      <c r="M26" s="30">
        <f>IF(OR(G26="",F26=""),"",IFERROR(INDEX(Config!$M$5:$R$16,MATCH(G26,Config!$J$5:$J$16,0),MATCH(F26,Config!$H$5:$H$10,0)),""))</f>
        <v>0</v>
      </c>
      <c r="N26" s="29">
        <f>IF(A26="","",MONTH(A26))</f>
        <v>7</v>
      </c>
      <c r="O26" s="29">
        <f>IF(A26="","",YEAR(A26))</f>
        <v>2026</v>
      </c>
      <c r="P26" s="29" t="str">
        <f>IF(A26="","",CHOOSE(WEEKDAY(A26,2),"Segunda","Terça","Quarta","Quinta","Sexta","Sábado","Domingo"))</f>
        <v>Quinta</v>
      </c>
      <c r="Q26" s="29" t="str">
        <f>IF(B26="","",IF(B26&lt;TIME(12,0,0),"Manhã",IF(B26&lt;TIME(18,0,0),"Tarde","Noite")))</f>
        <v>Tarde</v>
      </c>
      <c r="R26" s="45">
        <f>IF(AND(H26="Realizado",L26&lt;&gt;""),L26/60,0)</f>
        <v>0.333333333333333</v>
      </c>
    </row>
    <row r="27">
      <c r="A27" s="42" t="n">
        <v>46205</v>
      </c>
      <c r="B27" s="43" t="n">
        <v>0.6666666666666666</v>
      </c>
      <c r="C27" s="37" t="inlineStr">
        <is>
          <t>Dra. Renata Sousa</t>
        </is>
      </c>
      <c r="D27" s="37" t="inlineStr">
        <is>
          <t>Sala 1</t>
        </is>
      </c>
      <c r="E27" s="36" t="inlineStr">
        <is>
          <t>Camila Dias</t>
        </is>
      </c>
      <c r="F27" s="37" t="inlineStr">
        <is>
          <t>Particular</t>
        </is>
      </c>
      <c r="G27" s="37" t="inlineStr">
        <is>
          <t>Retorno</t>
        </is>
      </c>
      <c r="H27" s="37" t="inlineStr">
        <is>
          <t>Realizado</t>
        </is>
      </c>
      <c r="I27" s="37" t="inlineStr">
        <is>
          <t>Sem cobrança</t>
        </is>
      </c>
      <c r="J27" s="37" t="n"/>
      <c r="K27" s="36" t="n"/>
      <c r="L27" s="44">
        <f>IF(G27="","",IFERROR(INDEX(Config!$K$5:$K$16,MATCH(G27,Config!$J$5:$J$16,0)),""))</f>
        <v>20</v>
      </c>
      <c r="M27" s="30">
        <f>IF(OR(G27="",F27=""),"",IFERROR(INDEX(Config!$M$5:$R$16,MATCH(G27,Config!$J$5:$J$16,0),MATCH(F27,Config!$H$5:$H$10,0)),""))</f>
        <v>0</v>
      </c>
      <c r="N27" s="29">
        <f>IF(A27="","",MONTH(A27))</f>
        <v>7</v>
      </c>
      <c r="O27" s="29">
        <f>IF(A27="","",YEAR(A27))</f>
        <v>2026</v>
      </c>
      <c r="P27" s="29" t="str">
        <f>IF(A27="","",CHOOSE(WEEKDAY(A27,2),"Segunda","Terça","Quarta","Quinta","Sexta","Sábado","Domingo"))</f>
        <v>Quinta</v>
      </c>
      <c r="Q27" s="29" t="str">
        <f>IF(B27="","",IF(B27&lt;TIME(12,0,0),"Manhã",IF(B27&lt;TIME(18,0,0),"Tarde","Noite")))</f>
        <v>Tarde</v>
      </c>
      <c r="R27" s="45">
        <f>IF(AND(H27="Realizado",L27&lt;&gt;""),L27/60,0)</f>
        <v>0.333333333333333</v>
      </c>
    </row>
    <row r="28">
      <c r="A28" s="42" t="n">
        <v>46205</v>
      </c>
      <c r="B28" s="43" t="n">
        <v>0.6666666666666666</v>
      </c>
      <c r="C28" s="37" t="inlineStr">
        <is>
          <t>Dr. Paulo Andrade</t>
        </is>
      </c>
      <c r="D28" s="37" t="inlineStr">
        <is>
          <t>Sala 2</t>
        </is>
      </c>
      <c r="E28" s="36" t="inlineStr">
        <is>
          <t>Eduardo Nunes</t>
        </is>
      </c>
      <c r="F28" s="37" t="inlineStr">
        <is>
          <t>MediPlan</t>
        </is>
      </c>
      <c r="G28" s="37" t="inlineStr">
        <is>
          <t>ECG</t>
        </is>
      </c>
      <c r="H28" s="37" t="inlineStr">
        <is>
          <t>Realizado</t>
        </is>
      </c>
      <c r="I28" s="37" t="inlineStr">
        <is>
          <t>Convênio</t>
        </is>
      </c>
      <c r="J28" s="37" t="n"/>
      <c r="K28" s="36" t="n"/>
      <c r="L28" s="44">
        <f>IF(G28="","",IFERROR(INDEX(Config!$K$5:$K$16,MATCH(G28,Config!$J$5:$J$16,0)),""))</f>
        <v>20</v>
      </c>
      <c r="M28" s="30">
        <f>IF(OR(G28="",F28=""),"",IFERROR(INDEX(Config!$M$5:$R$16,MATCH(G28,Config!$J$5:$J$16,0),MATCH(F28,Config!$H$5:$H$10,0)),""))</f>
        <v>35</v>
      </c>
      <c r="N28" s="29">
        <f>IF(A28="","",MONTH(A28))</f>
        <v>7</v>
      </c>
      <c r="O28" s="29">
        <f>IF(A28="","",YEAR(A28))</f>
        <v>2026</v>
      </c>
      <c r="P28" s="29" t="str">
        <f>IF(A28="","",CHOOSE(WEEKDAY(A28,2),"Segunda","Terça","Quarta","Quinta","Sexta","Sábado","Domingo"))</f>
        <v>Quinta</v>
      </c>
      <c r="Q28" s="29" t="str">
        <f>IF(B28="","",IF(B28&lt;TIME(12,0,0),"Manhã",IF(B28&lt;TIME(18,0,0),"Tarde","Noite")))</f>
        <v>Tarde</v>
      </c>
      <c r="R28" s="45">
        <f>IF(AND(H28="Realizado",L28&lt;&gt;""),L28/60,0)</f>
        <v>0.333333333333333</v>
      </c>
    </row>
    <row r="29">
      <c r="A29" s="42" t="n">
        <v>46205</v>
      </c>
      <c r="B29" s="43" t="n">
        <v>0.6805555555555556</v>
      </c>
      <c r="C29" s="37" t="inlineStr">
        <is>
          <t>Dra. Renata Sousa</t>
        </is>
      </c>
      <c r="D29" s="37" t="inlineStr">
        <is>
          <t>Sala 1</t>
        </is>
      </c>
      <c r="E29" s="36" t="inlineStr">
        <is>
          <t>Cláudia Melo</t>
        </is>
      </c>
      <c r="F29" s="37" t="inlineStr">
        <is>
          <t>Particular</t>
        </is>
      </c>
      <c r="G29" s="37" t="inlineStr">
        <is>
          <t>Retorno</t>
        </is>
      </c>
      <c r="H29" s="37" t="inlineStr">
        <is>
          <t>Realizado</t>
        </is>
      </c>
      <c r="I29" s="37" t="inlineStr">
        <is>
          <t>Sem cobrança</t>
        </is>
      </c>
      <c r="J29" s="37" t="n"/>
      <c r="K29" s="36" t="n"/>
      <c r="L29" s="44">
        <f>IF(G29="","",IFERROR(INDEX(Config!$K$5:$K$16,MATCH(G29,Config!$J$5:$J$16,0)),""))</f>
        <v>20</v>
      </c>
      <c r="M29" s="30">
        <f>IF(OR(G29="",F29=""),"",IFERROR(INDEX(Config!$M$5:$R$16,MATCH(G29,Config!$J$5:$J$16,0),MATCH(F29,Config!$H$5:$H$10,0)),""))</f>
        <v>0</v>
      </c>
      <c r="N29" s="29">
        <f>IF(A29="","",MONTH(A29))</f>
        <v>7</v>
      </c>
      <c r="O29" s="29">
        <f>IF(A29="","",YEAR(A29))</f>
        <v>2026</v>
      </c>
      <c r="P29" s="29" t="str">
        <f>IF(A29="","",CHOOSE(WEEKDAY(A29,2),"Segunda","Terça","Quarta","Quinta","Sexta","Sábado","Domingo"))</f>
        <v>Quinta</v>
      </c>
      <c r="Q29" s="29" t="str">
        <f>IF(B29="","",IF(B29&lt;TIME(12,0,0),"Manhã",IF(B29&lt;TIME(18,0,0),"Tarde","Noite")))</f>
        <v>Tarde</v>
      </c>
      <c r="R29" s="45">
        <f>IF(AND(H29="Realizado",L29&lt;&gt;""),L29/60,0)</f>
        <v>0.333333333333333</v>
      </c>
    </row>
    <row r="30">
      <c r="A30" s="42" t="n">
        <v>46205</v>
      </c>
      <c r="B30" s="43" t="n">
        <v>0.6805555555555556</v>
      </c>
      <c r="C30" s="37" t="inlineStr">
        <is>
          <t>Dr. Paulo Andrade</t>
        </is>
      </c>
      <c r="D30" s="37" t="inlineStr">
        <is>
          <t>Sala 2</t>
        </is>
      </c>
      <c r="E30" s="36" t="inlineStr">
        <is>
          <t>Patrícia Vieira</t>
        </is>
      </c>
      <c r="F30" s="37" t="inlineStr">
        <is>
          <t>Saúde Total</t>
        </is>
      </c>
      <c r="G30" s="37" t="inlineStr">
        <is>
          <t>Consulta</t>
        </is>
      </c>
      <c r="H30" s="37" t="inlineStr">
        <is>
          <t>Realizado</t>
        </is>
      </c>
      <c r="I30" s="37" t="inlineStr">
        <is>
          <t>Convênio</t>
        </is>
      </c>
      <c r="J30" s="37" t="n"/>
      <c r="K30" s="36" t="n"/>
      <c r="L30" s="44">
        <f>IF(G30="","",IFERROR(INDEX(Config!$K$5:$K$16,MATCH(G30,Config!$J$5:$J$16,0)),""))</f>
        <v>30</v>
      </c>
      <c r="M30" s="30">
        <f>IF(OR(G30="",F30=""),"",IFERROR(INDEX(Config!$M$5:$R$16,MATCH(G30,Config!$J$5:$J$16,0),MATCH(F30,Config!$H$5:$H$10,0)),""))</f>
        <v>120</v>
      </c>
      <c r="N30" s="29">
        <f>IF(A30="","",MONTH(A30))</f>
        <v>7</v>
      </c>
      <c r="O30" s="29">
        <f>IF(A30="","",YEAR(A30))</f>
        <v>2026</v>
      </c>
      <c r="P30" s="29" t="str">
        <f>IF(A30="","",CHOOSE(WEEKDAY(A30,2),"Segunda","Terça","Quarta","Quinta","Sexta","Sábado","Domingo"))</f>
        <v>Quinta</v>
      </c>
      <c r="Q30" s="29" t="str">
        <f>IF(B30="","",IF(B30&lt;TIME(12,0,0),"Manhã",IF(B30&lt;TIME(18,0,0),"Tarde","Noite")))</f>
        <v>Tarde</v>
      </c>
      <c r="R30" s="45">
        <f>IF(AND(H30="Realizado",L30&lt;&gt;""),L30/60,0)</f>
        <v>0.5</v>
      </c>
    </row>
    <row r="31">
      <c r="A31" s="42" t="n">
        <v>46205</v>
      </c>
      <c r="B31" s="43" t="n">
        <v>0.6944444444444444</v>
      </c>
      <c r="C31" s="37" t="inlineStr">
        <is>
          <t>Dra. Renata Sousa</t>
        </is>
      </c>
      <c r="D31" s="37" t="inlineStr">
        <is>
          <t>Sala 1</t>
        </is>
      </c>
      <c r="E31" s="36" t="inlineStr">
        <is>
          <t>Beatriz Monteiro</t>
        </is>
      </c>
      <c r="F31" s="37" t="inlineStr">
        <is>
          <t>Particular</t>
        </is>
      </c>
      <c r="G31" s="37" t="inlineStr">
        <is>
          <t>Avaliação endócrina</t>
        </is>
      </c>
      <c r="H31" s="37" t="inlineStr">
        <is>
          <t>Realizado</t>
        </is>
      </c>
      <c r="I31" s="37" t="inlineStr">
        <is>
          <t>Cartão de crédito</t>
        </is>
      </c>
      <c r="J31" s="37" t="n">
        <v>2</v>
      </c>
      <c r="K31" s="36" t="n"/>
      <c r="L31" s="44">
        <f>IF(G31="","",IFERROR(INDEX(Config!$K$5:$K$16,MATCH(G31,Config!$J$5:$J$16,0)),""))</f>
        <v>40</v>
      </c>
      <c r="M31" s="30">
        <f>IF(OR(G31="",F31=""),"",IFERROR(INDEX(Config!$M$5:$R$16,MATCH(G31,Config!$J$5:$J$16,0),MATCH(F31,Config!$H$5:$H$10,0)),""))</f>
        <v>400</v>
      </c>
      <c r="N31" s="29">
        <f>IF(A31="","",MONTH(A31))</f>
        <v>7</v>
      </c>
      <c r="O31" s="29">
        <f>IF(A31="","",YEAR(A31))</f>
        <v>2026</v>
      </c>
      <c r="P31" s="29" t="str">
        <f>IF(A31="","",CHOOSE(WEEKDAY(A31,2),"Segunda","Terça","Quarta","Quinta","Sexta","Sábado","Domingo"))</f>
        <v>Quinta</v>
      </c>
      <c r="Q31" s="29" t="str">
        <f>IF(B31="","",IF(B31&lt;TIME(12,0,0),"Manhã",IF(B31&lt;TIME(18,0,0),"Tarde","Noite")))</f>
        <v>Tarde</v>
      </c>
      <c r="R31" s="45">
        <f>IF(AND(H31="Realizado",L31&lt;&gt;""),L31/60,0)</f>
        <v>0.666666666666667</v>
      </c>
    </row>
    <row r="32">
      <c r="A32" s="42" t="n">
        <v>46205</v>
      </c>
      <c r="B32" s="43" t="n">
        <v>0.7222222222222222</v>
      </c>
      <c r="C32" s="37" t="inlineStr">
        <is>
          <t>Dra. Renata Sousa</t>
        </is>
      </c>
      <c r="D32" s="37" t="inlineStr">
        <is>
          <t>Sala 1</t>
        </is>
      </c>
      <c r="E32" s="36" t="inlineStr">
        <is>
          <t>Daniel Moreira</t>
        </is>
      </c>
      <c r="F32" s="37" t="inlineStr">
        <is>
          <t>Saúde Total</t>
        </is>
      </c>
      <c r="G32" s="37" t="inlineStr">
        <is>
          <t>Avaliação endócrina</t>
        </is>
      </c>
      <c r="H32" s="37" t="inlineStr">
        <is>
          <t>Realizado</t>
        </is>
      </c>
      <c r="I32" s="37" t="inlineStr">
        <is>
          <t>Convênio</t>
        </is>
      </c>
      <c r="J32" s="37" t="n"/>
      <c r="K32" s="36" t="n"/>
      <c r="L32" s="44">
        <f>IF(G32="","",IFERROR(INDEX(Config!$K$5:$K$16,MATCH(G32,Config!$J$5:$J$16,0)),""))</f>
        <v>40</v>
      </c>
      <c r="M32" s="30">
        <f>IF(OR(G32="",F32=""),"",IFERROR(INDEX(Config!$M$5:$R$16,MATCH(G32,Config!$J$5:$J$16,0),MATCH(F32,Config!$H$5:$H$10,0)),""))</f>
        <v>130</v>
      </c>
      <c r="N32" s="29">
        <f>IF(A32="","",MONTH(A32))</f>
        <v>7</v>
      </c>
      <c r="O32" s="29">
        <f>IF(A32="","",YEAR(A32))</f>
        <v>2026</v>
      </c>
      <c r="P32" s="29" t="str">
        <f>IF(A32="","",CHOOSE(WEEKDAY(A32,2),"Segunda","Terça","Quarta","Quinta","Sexta","Sábado","Domingo"))</f>
        <v>Quinta</v>
      </c>
      <c r="Q32" s="29" t="str">
        <f>IF(B32="","",IF(B32&lt;TIME(12,0,0),"Manhã",IF(B32&lt;TIME(18,0,0),"Tarde","Noite")))</f>
        <v>Tarde</v>
      </c>
      <c r="R32" s="45">
        <f>IF(AND(H32="Realizado",L32&lt;&gt;""),L32/60,0)</f>
        <v>0.666666666666667</v>
      </c>
    </row>
    <row r="33">
      <c r="A33" s="42" t="n">
        <v>46206</v>
      </c>
      <c r="B33" s="43" t="n">
        <v>0.3333333333333333</v>
      </c>
      <c r="C33" s="37" t="inlineStr">
        <is>
          <t>Dr. Paulo Andrade</t>
        </is>
      </c>
      <c r="D33" s="37" t="inlineStr">
        <is>
          <t>Sala 2</t>
        </is>
      </c>
      <c r="E33" s="36" t="inlineStr">
        <is>
          <t>Renato Dias</t>
        </is>
      </c>
      <c r="F33" s="37" t="inlineStr">
        <is>
          <t>Particular</t>
        </is>
      </c>
      <c r="G33" s="37" t="inlineStr">
        <is>
          <t>ECG</t>
        </is>
      </c>
      <c r="H33" s="37" t="inlineStr">
        <is>
          <t>Realizado</t>
        </is>
      </c>
      <c r="I33" s="37" t="inlineStr">
        <is>
          <t>Pix</t>
        </is>
      </c>
      <c r="J33" s="37" t="n"/>
      <c r="K33" s="36" t="n"/>
      <c r="L33" s="44">
        <f>IF(G33="","",IFERROR(INDEX(Config!$K$5:$K$16,MATCH(G33,Config!$J$5:$J$16,0)),""))</f>
        <v>20</v>
      </c>
      <c r="M33" s="30">
        <f>IF(OR(G33="",F33=""),"",IFERROR(INDEX(Config!$M$5:$R$16,MATCH(G33,Config!$J$5:$J$16,0),MATCH(F33,Config!$H$5:$H$10,0)),""))</f>
        <v>130</v>
      </c>
      <c r="N33" s="29">
        <f>IF(A33="","",MONTH(A33))</f>
        <v>7</v>
      </c>
      <c r="O33" s="29">
        <f>IF(A33="","",YEAR(A33))</f>
        <v>2026</v>
      </c>
      <c r="P33" s="29" t="str">
        <f>IF(A33="","",CHOOSE(WEEKDAY(A33,2),"Segunda","Terça","Quarta","Quinta","Sexta","Sábado","Domingo"))</f>
        <v>Sexta</v>
      </c>
      <c r="Q33" s="29" t="str">
        <f>IF(B33="","",IF(B33&lt;TIME(12,0,0),"Manhã",IF(B33&lt;TIME(18,0,0),"Tarde","Noite")))</f>
        <v>Manhã</v>
      </c>
      <c r="R33" s="45">
        <f>IF(AND(H33="Realizado",L33&lt;&gt;""),L33/60,0)</f>
        <v>0.333333333333333</v>
      </c>
    </row>
    <row r="34">
      <c r="A34" s="42" t="n">
        <v>46206</v>
      </c>
      <c r="B34" s="43" t="n">
        <v>0.3472222222222222</v>
      </c>
      <c r="C34" s="37" t="inlineStr">
        <is>
          <t>Dr. Paulo Andrade</t>
        </is>
      </c>
      <c r="D34" s="37" t="inlineStr">
        <is>
          <t>Sala 2</t>
        </is>
      </c>
      <c r="E34" s="36" t="inlineStr">
        <is>
          <t>Wagner Costa</t>
        </is>
      </c>
      <c r="F34" s="37" t="inlineStr">
        <is>
          <t>Particular</t>
        </is>
      </c>
      <c r="G34" s="37" t="inlineStr">
        <is>
          <t>Consulta</t>
        </is>
      </c>
      <c r="H34" s="37" t="inlineStr">
        <is>
          <t>Realizado</t>
        </is>
      </c>
      <c r="I34" s="37" t="inlineStr">
        <is>
          <t>Pix</t>
        </is>
      </c>
      <c r="J34" s="37" t="n"/>
      <c r="K34" s="36" t="n"/>
      <c r="L34" s="44">
        <f>IF(G34="","",IFERROR(INDEX(Config!$K$5:$K$16,MATCH(G34,Config!$J$5:$J$16,0)),""))</f>
        <v>30</v>
      </c>
      <c r="M34" s="30">
        <f>IF(OR(G34="",F34=""),"",IFERROR(INDEX(Config!$M$5:$R$16,MATCH(G34,Config!$J$5:$J$16,0),MATCH(F34,Config!$H$5:$H$10,0)),""))</f>
        <v>380</v>
      </c>
      <c r="N34" s="29">
        <f>IF(A34="","",MONTH(A34))</f>
        <v>7</v>
      </c>
      <c r="O34" s="29">
        <f>IF(A34="","",YEAR(A34))</f>
        <v>2026</v>
      </c>
      <c r="P34" s="29" t="str">
        <f>IF(A34="","",CHOOSE(WEEKDAY(A34,2),"Segunda","Terça","Quarta","Quinta","Sexta","Sábado","Domingo"))</f>
        <v>Sexta</v>
      </c>
      <c r="Q34" s="29" t="str">
        <f>IF(B34="","",IF(B34&lt;TIME(12,0,0),"Manhã",IF(B34&lt;TIME(18,0,0),"Tarde","Noite")))</f>
        <v>Manhã</v>
      </c>
      <c r="R34" s="45">
        <f>IF(AND(H34="Realizado",L34&lt;&gt;""),L34/60,0)</f>
        <v>0.5</v>
      </c>
    </row>
    <row r="35">
      <c r="A35" s="42" t="n">
        <v>46206</v>
      </c>
      <c r="B35" s="43" t="n">
        <v>0.4097222222222222</v>
      </c>
      <c r="C35" s="37" t="inlineStr">
        <is>
          <t>Dr. Paulo Andrade</t>
        </is>
      </c>
      <c r="D35" s="37" t="inlineStr">
        <is>
          <t>Sala 2</t>
        </is>
      </c>
      <c r="E35" s="36" t="inlineStr">
        <is>
          <t>Fábio Martins</t>
        </is>
      </c>
      <c r="F35" s="37" t="inlineStr">
        <is>
          <t>MediPlan</t>
        </is>
      </c>
      <c r="G35" s="37" t="inlineStr">
        <is>
          <t>Consulta</t>
        </is>
      </c>
      <c r="H35" s="37" t="inlineStr">
        <is>
          <t>Realizado</t>
        </is>
      </c>
      <c r="I35" s="37" t="inlineStr">
        <is>
          <t>Convênio</t>
        </is>
      </c>
      <c r="J35" s="37" t="n"/>
      <c r="K35" s="36" t="n"/>
      <c r="L35" s="44">
        <f>IF(G35="","",IFERROR(INDEX(Config!$K$5:$K$16,MATCH(G35,Config!$J$5:$J$16,0)),""))</f>
        <v>30</v>
      </c>
      <c r="M35" s="30">
        <f>IF(OR(G35="",F35=""),"",IFERROR(INDEX(Config!$M$5:$R$16,MATCH(G35,Config!$J$5:$J$16,0),MATCH(F35,Config!$H$5:$H$10,0)),""))</f>
        <v>100</v>
      </c>
      <c r="N35" s="29">
        <f>IF(A35="","",MONTH(A35))</f>
        <v>7</v>
      </c>
      <c r="O35" s="29">
        <f>IF(A35="","",YEAR(A35))</f>
        <v>2026</v>
      </c>
      <c r="P35" s="29" t="str">
        <f>IF(A35="","",CHOOSE(WEEKDAY(A35,2),"Segunda","Terça","Quarta","Quinta","Sexta","Sábado","Domingo"))</f>
        <v>Sexta</v>
      </c>
      <c r="Q35" s="29" t="str">
        <f>IF(B35="","",IF(B35&lt;TIME(12,0,0),"Manhã",IF(B35&lt;TIME(18,0,0),"Tarde","Noite")))</f>
        <v>Manhã</v>
      </c>
      <c r="R35" s="45">
        <f>IF(AND(H35="Realizado",L35&lt;&gt;""),L35/60,0)</f>
        <v>0.5</v>
      </c>
    </row>
    <row r="36">
      <c r="A36" s="42" t="n">
        <v>46206</v>
      </c>
      <c r="B36" s="43" t="n">
        <v>0.4305555555555556</v>
      </c>
      <c r="C36" s="37" t="inlineStr">
        <is>
          <t>Dr. Paulo Andrade</t>
        </is>
      </c>
      <c r="D36" s="37" t="inlineStr">
        <is>
          <t>Sala 2</t>
        </is>
      </c>
      <c r="E36" s="36" t="inlineStr">
        <is>
          <t>Rafael Araújo</t>
        </is>
      </c>
      <c r="F36" s="37" t="inlineStr">
        <is>
          <t>MediPlan</t>
        </is>
      </c>
      <c r="G36" s="37" t="inlineStr">
        <is>
          <t>Consulta</t>
        </is>
      </c>
      <c r="H36" s="37" t="inlineStr">
        <is>
          <t>Realizado</t>
        </is>
      </c>
      <c r="I36" s="37" t="inlineStr">
        <is>
          <t>Convênio</t>
        </is>
      </c>
      <c r="J36" s="37" t="n"/>
      <c r="K36" s="36" t="n"/>
      <c r="L36" s="44">
        <f>IF(G36="","",IFERROR(INDEX(Config!$K$5:$K$16,MATCH(G36,Config!$J$5:$J$16,0)),""))</f>
        <v>30</v>
      </c>
      <c r="M36" s="30">
        <f>IF(OR(G36="",F36=""),"",IFERROR(INDEX(Config!$M$5:$R$16,MATCH(G36,Config!$J$5:$J$16,0),MATCH(F36,Config!$H$5:$H$10,0)),""))</f>
        <v>100</v>
      </c>
      <c r="N36" s="29">
        <f>IF(A36="","",MONTH(A36))</f>
        <v>7</v>
      </c>
      <c r="O36" s="29">
        <f>IF(A36="","",YEAR(A36))</f>
        <v>2026</v>
      </c>
      <c r="P36" s="29" t="str">
        <f>IF(A36="","",CHOOSE(WEEKDAY(A36,2),"Segunda","Terça","Quarta","Quinta","Sexta","Sábado","Domingo"))</f>
        <v>Sexta</v>
      </c>
      <c r="Q36" s="29" t="str">
        <f>IF(B36="","",IF(B36&lt;TIME(12,0,0),"Manhã",IF(B36&lt;TIME(18,0,0),"Tarde","Noite")))</f>
        <v>Manhã</v>
      </c>
      <c r="R36" s="45">
        <f>IF(AND(H36="Realizado",L36&lt;&gt;""),L36/60,0)</f>
        <v>0.5</v>
      </c>
    </row>
    <row r="37">
      <c r="A37" s="42" t="n">
        <v>46206</v>
      </c>
      <c r="B37" s="43" t="n">
        <v>0.4722222222222222</v>
      </c>
      <c r="C37" s="37" t="inlineStr">
        <is>
          <t>Dr. Paulo Andrade</t>
        </is>
      </c>
      <c r="D37" s="37" t="inlineStr">
        <is>
          <t>Sala 2</t>
        </is>
      </c>
      <c r="E37" s="36" t="inlineStr">
        <is>
          <t>Mônica Teixeira</t>
        </is>
      </c>
      <c r="F37" s="37" t="inlineStr">
        <is>
          <t>Vida Care</t>
        </is>
      </c>
      <c r="G37" s="37" t="inlineStr">
        <is>
          <t>ECG</t>
        </is>
      </c>
      <c r="H37" s="37" t="inlineStr">
        <is>
          <t>Realizado</t>
        </is>
      </c>
      <c r="I37" s="37" t="inlineStr">
        <is>
          <t>Convênio</t>
        </is>
      </c>
      <c r="J37" s="37" t="n"/>
      <c r="K37" s="36" t="n"/>
      <c r="L37" s="44">
        <f>IF(G37="","",IFERROR(INDEX(Config!$K$5:$K$16,MATCH(G37,Config!$J$5:$J$16,0)),""))</f>
        <v>20</v>
      </c>
      <c r="M37" s="30">
        <f>IF(OR(G37="",F37=""),"",IFERROR(INDEX(Config!$M$5:$R$16,MATCH(G37,Config!$J$5:$J$16,0),MATCH(F37,Config!$H$5:$H$10,0)),""))</f>
        <v>32</v>
      </c>
      <c r="N37" s="29">
        <f>IF(A37="","",MONTH(A37))</f>
        <v>7</v>
      </c>
      <c r="O37" s="29">
        <f>IF(A37="","",YEAR(A37))</f>
        <v>2026</v>
      </c>
      <c r="P37" s="29" t="str">
        <f>IF(A37="","",CHOOSE(WEEKDAY(A37,2),"Segunda","Terça","Quarta","Quinta","Sexta","Sábado","Domingo"))</f>
        <v>Sexta</v>
      </c>
      <c r="Q37" s="29" t="str">
        <f>IF(B37="","",IF(B37&lt;TIME(12,0,0),"Manhã",IF(B37&lt;TIME(18,0,0),"Tarde","Noite")))</f>
        <v>Manhã</v>
      </c>
      <c r="R37" s="45">
        <f>IF(AND(H37="Realizado",L37&lt;&gt;""),L37/60,0)</f>
        <v>0.333333333333333</v>
      </c>
    </row>
    <row r="38">
      <c r="A38" s="42" t="n">
        <v>46206</v>
      </c>
      <c r="B38" s="43" t="n">
        <v>0.4861111111111111</v>
      </c>
      <c r="C38" s="37" t="inlineStr">
        <is>
          <t>Dr. Paulo Andrade</t>
        </is>
      </c>
      <c r="D38" s="37" t="inlineStr">
        <is>
          <t>Sala 2</t>
        </is>
      </c>
      <c r="E38" s="36" t="inlineStr">
        <is>
          <t>Natália Xavier</t>
        </is>
      </c>
      <c r="F38" s="37" t="inlineStr">
        <is>
          <t>MediPlan</t>
        </is>
      </c>
      <c r="G38" s="37" t="inlineStr">
        <is>
          <t>Consulta</t>
        </is>
      </c>
      <c r="H38" s="37" t="inlineStr">
        <is>
          <t>Realizado</t>
        </is>
      </c>
      <c r="I38" s="37" t="inlineStr">
        <is>
          <t>Convênio</t>
        </is>
      </c>
      <c r="J38" s="37" t="n"/>
      <c r="K38" s="36" t="n"/>
      <c r="L38" s="44">
        <f>IF(G38="","",IFERROR(INDEX(Config!$K$5:$K$16,MATCH(G38,Config!$J$5:$J$16,0)),""))</f>
        <v>30</v>
      </c>
      <c r="M38" s="30">
        <f>IF(OR(G38="",F38=""),"",IFERROR(INDEX(Config!$M$5:$R$16,MATCH(G38,Config!$J$5:$J$16,0),MATCH(F38,Config!$H$5:$H$10,0)),""))</f>
        <v>100</v>
      </c>
      <c r="N38" s="29">
        <f>IF(A38="","",MONTH(A38))</f>
        <v>7</v>
      </c>
      <c r="O38" s="29">
        <f>IF(A38="","",YEAR(A38))</f>
        <v>2026</v>
      </c>
      <c r="P38" s="29" t="str">
        <f>IF(A38="","",CHOOSE(WEEKDAY(A38,2),"Segunda","Terça","Quarta","Quinta","Sexta","Sábado","Domingo"))</f>
        <v>Sexta</v>
      </c>
      <c r="Q38" s="29" t="str">
        <f>IF(B38="","",IF(B38&lt;TIME(12,0,0),"Manhã",IF(B38&lt;TIME(18,0,0),"Tarde","Noite")))</f>
        <v>Manhã</v>
      </c>
      <c r="R38" s="45">
        <f>IF(AND(H38="Realizado",L38&lt;&gt;""),L38/60,0)</f>
        <v>0.5</v>
      </c>
    </row>
    <row r="39">
      <c r="A39" s="42" t="n">
        <v>46209</v>
      </c>
      <c r="B39" s="43" t="n">
        <v>0.3333333333333333</v>
      </c>
      <c r="C39" s="37" t="inlineStr">
        <is>
          <t>Dra. Carolina Mendes</t>
        </is>
      </c>
      <c r="D39" s="37" t="inlineStr">
        <is>
          <t>Sala 1</t>
        </is>
      </c>
      <c r="E39" s="36" t="inlineStr">
        <is>
          <t>Wagner Lima</t>
        </is>
      </c>
      <c r="F39" s="37" t="inlineStr">
        <is>
          <t>Particular</t>
        </is>
      </c>
      <c r="G39" s="37" t="inlineStr">
        <is>
          <t>Consulta</t>
        </is>
      </c>
      <c r="H39" s="37" t="inlineStr">
        <is>
          <t>Realizado</t>
        </is>
      </c>
      <c r="I39" s="37" t="inlineStr">
        <is>
          <t>Cartão de crédito</t>
        </is>
      </c>
      <c r="J39" s="37" t="n">
        <v>2</v>
      </c>
      <c r="K39" s="36" t="n"/>
      <c r="L39" s="44">
        <f>IF(G39="","",IFERROR(INDEX(Config!$K$5:$K$16,MATCH(G39,Config!$J$5:$J$16,0)),""))</f>
        <v>30</v>
      </c>
      <c r="M39" s="30">
        <f>IF(OR(G39="",F39=""),"",IFERROR(INDEX(Config!$M$5:$R$16,MATCH(G39,Config!$J$5:$J$16,0),MATCH(F39,Config!$H$5:$H$10,0)),""))</f>
        <v>380</v>
      </c>
      <c r="N39" s="29">
        <f>IF(A39="","",MONTH(A39))</f>
        <v>7</v>
      </c>
      <c r="O39" s="29">
        <f>IF(A39="","",YEAR(A39))</f>
        <v>2026</v>
      </c>
      <c r="P39" s="29" t="str">
        <f>IF(A39="","",CHOOSE(WEEKDAY(A39,2),"Segunda","Terça","Quarta","Quinta","Sexta","Sábado","Domingo"))</f>
        <v>Segunda</v>
      </c>
      <c r="Q39" s="29" t="str">
        <f>IF(B39="","",IF(B39&lt;TIME(12,0,0),"Manhã",IF(B39&lt;TIME(18,0,0),"Tarde","Noite")))</f>
        <v>Manhã</v>
      </c>
      <c r="R39" s="45">
        <f>IF(AND(H39="Realizado",L39&lt;&gt;""),L39/60,0)</f>
        <v>0.5</v>
      </c>
    </row>
    <row r="40">
      <c r="A40" s="42" t="n">
        <v>46209</v>
      </c>
      <c r="B40" s="43" t="n">
        <v>0.375</v>
      </c>
      <c r="C40" s="37" t="inlineStr">
        <is>
          <t>Dra. Carolina Mendes</t>
        </is>
      </c>
      <c r="D40" s="37" t="inlineStr">
        <is>
          <t>Sala 1</t>
        </is>
      </c>
      <c r="E40" s="36" t="inlineStr">
        <is>
          <t>Regina Teixeira</t>
        </is>
      </c>
      <c r="F40" s="37" t="inlineStr">
        <is>
          <t>Particular</t>
        </is>
      </c>
      <c r="G40" s="37" t="inlineStr">
        <is>
          <t>Retorno</t>
        </is>
      </c>
      <c r="H40" s="37" t="inlineStr">
        <is>
          <t>Remarcado</t>
        </is>
      </c>
      <c r="I40" s="37" t="n"/>
      <c r="J40" s="37" t="n"/>
      <c r="K40" s="36" t="inlineStr">
        <is>
          <t>Paciente pediu outra data</t>
        </is>
      </c>
      <c r="L40" s="44">
        <f>IF(G40="","",IFERROR(INDEX(Config!$K$5:$K$16,MATCH(G40,Config!$J$5:$J$16,0)),""))</f>
        <v>20</v>
      </c>
      <c r="M40" s="30">
        <f>IF(OR(G40="",F40=""),"",IFERROR(INDEX(Config!$M$5:$R$16,MATCH(G40,Config!$J$5:$J$16,0),MATCH(F40,Config!$H$5:$H$10,0)),""))</f>
        <v>0</v>
      </c>
      <c r="N40" s="29">
        <f>IF(A40="","",MONTH(A40))</f>
        <v>7</v>
      </c>
      <c r="O40" s="29">
        <f>IF(A40="","",YEAR(A40))</f>
        <v>2026</v>
      </c>
      <c r="P40" s="29" t="str">
        <f>IF(A40="","",CHOOSE(WEEKDAY(A40,2),"Segunda","Terça","Quarta","Quinta","Sexta","Sábado","Domingo"))</f>
        <v>Segunda</v>
      </c>
      <c r="Q40" s="29" t="str">
        <f>IF(B40="","",IF(B40&lt;TIME(12,0,0),"Manhã",IF(B40&lt;TIME(18,0,0),"Tarde","Noite")))</f>
        <v>Manhã</v>
      </c>
      <c r="R40" s="45">
        <f>IF(AND(H40="Realizado",L40&lt;&gt;""),L40/60,0)</f>
        <v>0</v>
      </c>
    </row>
    <row r="41">
      <c r="A41" s="42" t="n">
        <v>46209</v>
      </c>
      <c r="B41" s="43" t="n">
        <v>0.3888888888888889</v>
      </c>
      <c r="C41" s="37" t="inlineStr">
        <is>
          <t>Dra. Carolina Mendes</t>
        </is>
      </c>
      <c r="D41" s="37" t="inlineStr">
        <is>
          <t>Sala 1</t>
        </is>
      </c>
      <c r="E41" s="36" t="inlineStr">
        <is>
          <t>Isabela Pinto</t>
        </is>
      </c>
      <c r="F41" s="37" t="inlineStr">
        <is>
          <t>Saúde Total</t>
        </is>
      </c>
      <c r="G41" s="37" t="inlineStr">
        <is>
          <t>Retorno</t>
        </is>
      </c>
      <c r="H41" s="37" t="inlineStr">
        <is>
          <t>Realizado</t>
        </is>
      </c>
      <c r="I41" s="37" t="inlineStr">
        <is>
          <t>Sem cobrança</t>
        </is>
      </c>
      <c r="J41" s="37" t="n"/>
      <c r="K41" s="36" t="n"/>
      <c r="L41" s="44">
        <f>IF(G41="","",IFERROR(INDEX(Config!$K$5:$K$16,MATCH(G41,Config!$J$5:$J$16,0)),""))</f>
        <v>20</v>
      </c>
      <c r="M41" s="30">
        <f>IF(OR(G41="",F41=""),"",IFERROR(INDEX(Config!$M$5:$R$16,MATCH(G41,Config!$J$5:$J$16,0),MATCH(F41,Config!$H$5:$H$10,0)),""))</f>
        <v>0</v>
      </c>
      <c r="N41" s="29">
        <f>IF(A41="","",MONTH(A41))</f>
        <v>7</v>
      </c>
      <c r="O41" s="29">
        <f>IF(A41="","",YEAR(A41))</f>
        <v>2026</v>
      </c>
      <c r="P41" s="29" t="str">
        <f>IF(A41="","",CHOOSE(WEEKDAY(A41,2),"Segunda","Terça","Quarta","Quinta","Sexta","Sábado","Domingo"))</f>
        <v>Segunda</v>
      </c>
      <c r="Q41" s="29" t="str">
        <f>IF(B41="","",IF(B41&lt;TIME(12,0,0),"Manhã",IF(B41&lt;TIME(18,0,0),"Tarde","Noite")))</f>
        <v>Manhã</v>
      </c>
      <c r="R41" s="45">
        <f>IF(AND(H41="Realizado",L41&lt;&gt;""),L41/60,0)</f>
        <v>0.333333333333333</v>
      </c>
    </row>
    <row r="42">
      <c r="A42" s="42" t="n">
        <v>46209</v>
      </c>
      <c r="B42" s="43" t="n">
        <v>0.4027777777777778</v>
      </c>
      <c r="C42" s="37" t="inlineStr">
        <is>
          <t>Dra. Carolina Mendes</t>
        </is>
      </c>
      <c r="D42" s="37" t="inlineStr">
        <is>
          <t>Sala 1</t>
        </is>
      </c>
      <c r="E42" s="36" t="inlineStr">
        <is>
          <t>Carlos Fernandes</t>
        </is>
      </c>
      <c r="F42" s="37" t="inlineStr">
        <is>
          <t>Particular</t>
        </is>
      </c>
      <c r="G42" s="37" t="inlineStr">
        <is>
          <t>Consulta</t>
        </is>
      </c>
      <c r="H42" s="37" t="inlineStr">
        <is>
          <t>Falta</t>
        </is>
      </c>
      <c r="I42" s="37" t="n"/>
      <c r="J42" s="37" t="n"/>
      <c r="K42" s="36" t="n"/>
      <c r="L42" s="44">
        <f>IF(G42="","",IFERROR(INDEX(Config!$K$5:$K$16,MATCH(G42,Config!$J$5:$J$16,0)),""))</f>
        <v>30</v>
      </c>
      <c r="M42" s="30">
        <f>IF(OR(G42="",F42=""),"",IFERROR(INDEX(Config!$M$5:$R$16,MATCH(G42,Config!$J$5:$J$16,0),MATCH(F42,Config!$H$5:$H$10,0)),""))</f>
        <v>380</v>
      </c>
      <c r="N42" s="29">
        <f>IF(A42="","",MONTH(A42))</f>
        <v>7</v>
      </c>
      <c r="O42" s="29">
        <f>IF(A42="","",YEAR(A42))</f>
        <v>2026</v>
      </c>
      <c r="P42" s="29" t="str">
        <f>IF(A42="","",CHOOSE(WEEKDAY(A42,2),"Segunda","Terça","Quarta","Quinta","Sexta","Sábado","Domingo"))</f>
        <v>Segunda</v>
      </c>
      <c r="Q42" s="29" t="str">
        <f>IF(B42="","",IF(B42&lt;TIME(12,0,0),"Manhã",IF(B42&lt;TIME(18,0,0),"Tarde","Noite")))</f>
        <v>Manhã</v>
      </c>
      <c r="R42" s="45">
        <f>IF(AND(H42="Realizado",L42&lt;&gt;""),L42/60,0)</f>
        <v>0</v>
      </c>
    </row>
    <row r="43">
      <c r="A43" s="42" t="n">
        <v>46209</v>
      </c>
      <c r="B43" s="43" t="n">
        <v>0.4444444444444444</v>
      </c>
      <c r="C43" s="37" t="inlineStr">
        <is>
          <t>Dra. Carolina Mendes</t>
        </is>
      </c>
      <c r="D43" s="37" t="inlineStr">
        <is>
          <t>Sala 1</t>
        </is>
      </c>
      <c r="E43" s="36" t="inlineStr">
        <is>
          <t>Carlos Fernandes</t>
        </is>
      </c>
      <c r="F43" s="37" t="inlineStr">
        <is>
          <t>Particular</t>
        </is>
      </c>
      <c r="G43" s="37" t="inlineStr">
        <is>
          <t>Consulta</t>
        </is>
      </c>
      <c r="H43" s="37" t="inlineStr">
        <is>
          <t>Realizado</t>
        </is>
      </c>
      <c r="I43" s="37" t="inlineStr">
        <is>
          <t>A prazo</t>
        </is>
      </c>
      <c r="J43" s="37" t="n"/>
      <c r="K43" s="36" t="n"/>
      <c r="L43" s="44">
        <f>IF(G43="","",IFERROR(INDEX(Config!$K$5:$K$16,MATCH(G43,Config!$J$5:$J$16,0)),""))</f>
        <v>30</v>
      </c>
      <c r="M43" s="30">
        <f>IF(OR(G43="",F43=""),"",IFERROR(INDEX(Config!$M$5:$R$16,MATCH(G43,Config!$J$5:$J$16,0),MATCH(F43,Config!$H$5:$H$10,0)),""))</f>
        <v>380</v>
      </c>
      <c r="N43" s="29">
        <f>IF(A43="","",MONTH(A43))</f>
        <v>7</v>
      </c>
      <c r="O43" s="29">
        <f>IF(A43="","",YEAR(A43))</f>
        <v>2026</v>
      </c>
      <c r="P43" s="29" t="str">
        <f>IF(A43="","",CHOOSE(WEEKDAY(A43,2),"Segunda","Terça","Quarta","Quinta","Sexta","Sábado","Domingo"))</f>
        <v>Segunda</v>
      </c>
      <c r="Q43" s="29" t="str">
        <f>IF(B43="","",IF(B43&lt;TIME(12,0,0),"Manhã",IF(B43&lt;TIME(18,0,0),"Tarde","Noite")))</f>
        <v>Manhã</v>
      </c>
      <c r="R43" s="45">
        <f>IF(AND(H43="Realizado",L43&lt;&gt;""),L43/60,0)</f>
        <v>0.5</v>
      </c>
    </row>
    <row r="44">
      <c r="A44" s="42" t="n">
        <v>46209</v>
      </c>
      <c r="B44" s="43" t="n">
        <v>0.4652777777777778</v>
      </c>
      <c r="C44" s="37" t="inlineStr">
        <is>
          <t>Dra. Carolina Mendes</t>
        </is>
      </c>
      <c r="D44" s="37" t="inlineStr">
        <is>
          <t>Sala 1</t>
        </is>
      </c>
      <c r="E44" s="36" t="inlineStr">
        <is>
          <t>Priscila Carvalho</t>
        </is>
      </c>
      <c r="F44" s="37" t="inlineStr">
        <is>
          <t>Vida Care</t>
        </is>
      </c>
      <c r="G44" s="37" t="inlineStr">
        <is>
          <t>Consulta</t>
        </is>
      </c>
      <c r="H44" s="37" t="inlineStr">
        <is>
          <t>Realizado</t>
        </is>
      </c>
      <c r="I44" s="37" t="inlineStr">
        <is>
          <t>Convênio</t>
        </is>
      </c>
      <c r="J44" s="37" t="n"/>
      <c r="K44" s="36" t="n"/>
      <c r="L44" s="44">
        <f>IF(G44="","",IFERROR(INDEX(Config!$K$5:$K$16,MATCH(G44,Config!$J$5:$J$16,0)),""))</f>
        <v>30</v>
      </c>
      <c r="M44" s="30">
        <f>IF(OR(G44="",F44=""),"",IFERROR(INDEX(Config!$M$5:$R$16,MATCH(G44,Config!$J$5:$J$16,0),MATCH(F44,Config!$H$5:$H$10,0)),""))</f>
        <v>90</v>
      </c>
      <c r="N44" s="29">
        <f>IF(A44="","",MONTH(A44))</f>
        <v>7</v>
      </c>
      <c r="O44" s="29">
        <f>IF(A44="","",YEAR(A44))</f>
        <v>2026</v>
      </c>
      <c r="P44" s="29" t="str">
        <f>IF(A44="","",CHOOSE(WEEKDAY(A44,2),"Segunda","Terça","Quarta","Quinta","Sexta","Sábado","Domingo"))</f>
        <v>Segunda</v>
      </c>
      <c r="Q44" s="29" t="str">
        <f>IF(B44="","",IF(B44&lt;TIME(12,0,0),"Manhã",IF(B44&lt;TIME(18,0,0),"Tarde","Noite")))</f>
        <v>Manhã</v>
      </c>
      <c r="R44" s="45">
        <f>IF(AND(H44="Realizado",L44&lt;&gt;""),L44/60,0)</f>
        <v>0.5</v>
      </c>
    </row>
    <row r="45">
      <c r="A45" s="42" t="n">
        <v>46209</v>
      </c>
      <c r="B45" s="43" t="n">
        <v>0.5833333333333334</v>
      </c>
      <c r="C45" s="37" t="inlineStr">
        <is>
          <t>Dr. Paulo Andrade</t>
        </is>
      </c>
      <c r="D45" s="37" t="inlineStr">
        <is>
          <t>Sala 2</t>
        </is>
      </c>
      <c r="E45" s="36" t="inlineStr">
        <is>
          <t>Leandro Cardoso</t>
        </is>
      </c>
      <c r="F45" s="37" t="inlineStr">
        <is>
          <t>MediPlan</t>
        </is>
      </c>
      <c r="G45" s="37" t="inlineStr">
        <is>
          <t>Consulta</t>
        </is>
      </c>
      <c r="H45" s="37" t="inlineStr">
        <is>
          <t>Realizado</t>
        </is>
      </c>
      <c r="I45" s="37" t="inlineStr">
        <is>
          <t>Convênio</t>
        </is>
      </c>
      <c r="J45" s="37" t="n"/>
      <c r="K45" s="36" t="n"/>
      <c r="L45" s="44">
        <f>IF(G45="","",IFERROR(INDEX(Config!$K$5:$K$16,MATCH(G45,Config!$J$5:$J$16,0)),""))</f>
        <v>30</v>
      </c>
      <c r="M45" s="30">
        <f>IF(OR(G45="",F45=""),"",IFERROR(INDEX(Config!$M$5:$R$16,MATCH(G45,Config!$J$5:$J$16,0),MATCH(F45,Config!$H$5:$H$10,0)),""))</f>
        <v>100</v>
      </c>
      <c r="N45" s="29">
        <f>IF(A45="","",MONTH(A45))</f>
        <v>7</v>
      </c>
      <c r="O45" s="29">
        <f>IF(A45="","",YEAR(A45))</f>
        <v>2026</v>
      </c>
      <c r="P45" s="29" t="str">
        <f>IF(A45="","",CHOOSE(WEEKDAY(A45,2),"Segunda","Terça","Quarta","Quinta","Sexta","Sábado","Domingo"))</f>
        <v>Segunda</v>
      </c>
      <c r="Q45" s="29" t="str">
        <f>IF(B45="","",IF(B45&lt;TIME(12,0,0),"Manhã",IF(B45&lt;TIME(18,0,0),"Tarde","Noite")))</f>
        <v>Tarde</v>
      </c>
      <c r="R45" s="45">
        <f>IF(AND(H45="Realizado",L45&lt;&gt;""),L45/60,0)</f>
        <v>0.5</v>
      </c>
    </row>
    <row r="46">
      <c r="A46" s="42" t="n">
        <v>46209</v>
      </c>
      <c r="B46" s="43" t="n">
        <v>0.6041666666666666</v>
      </c>
      <c r="C46" s="37" t="inlineStr">
        <is>
          <t>Dr. Paulo Andrade</t>
        </is>
      </c>
      <c r="D46" s="37" t="inlineStr">
        <is>
          <t>Sala 2</t>
        </is>
      </c>
      <c r="E46" s="36" t="inlineStr">
        <is>
          <t>Tatiana Rocha</t>
        </is>
      </c>
      <c r="F46" s="37" t="inlineStr">
        <is>
          <t>Vida Care</t>
        </is>
      </c>
      <c r="G46" s="37" t="inlineStr">
        <is>
          <t>Holter</t>
        </is>
      </c>
      <c r="H46" s="37" t="inlineStr">
        <is>
          <t>Realizado</t>
        </is>
      </c>
      <c r="I46" s="37" t="inlineStr">
        <is>
          <t>Convênio</t>
        </is>
      </c>
      <c r="J46" s="37" t="n"/>
      <c r="K46" s="36" t="n"/>
      <c r="L46" s="44">
        <f>IF(G46="","",IFERROR(INDEX(Config!$K$5:$K$16,MATCH(G46,Config!$J$5:$J$16,0)),""))</f>
        <v>20</v>
      </c>
      <c r="M46" s="30">
        <f>IF(OR(G46="",F46=""),"",IFERROR(INDEX(Config!$M$5:$R$16,MATCH(G46,Config!$J$5:$J$16,0),MATCH(F46,Config!$H$5:$H$10,0)),""))</f>
        <v>85</v>
      </c>
      <c r="N46" s="29">
        <f>IF(A46="","",MONTH(A46))</f>
        <v>7</v>
      </c>
      <c r="O46" s="29">
        <f>IF(A46="","",YEAR(A46))</f>
        <v>2026</v>
      </c>
      <c r="P46" s="29" t="str">
        <f>IF(A46="","",CHOOSE(WEEKDAY(A46,2),"Segunda","Terça","Quarta","Quinta","Sexta","Sábado","Domingo"))</f>
        <v>Segunda</v>
      </c>
      <c r="Q46" s="29" t="str">
        <f>IF(B46="","",IF(B46&lt;TIME(12,0,0),"Manhã",IF(B46&lt;TIME(18,0,0),"Tarde","Noite")))</f>
        <v>Tarde</v>
      </c>
      <c r="R46" s="45">
        <f>IF(AND(H46="Realizado",L46&lt;&gt;""),L46/60,0)</f>
        <v>0.333333333333333</v>
      </c>
    </row>
    <row r="47">
      <c r="A47" s="42" t="n">
        <v>46209</v>
      </c>
      <c r="B47" s="43" t="n">
        <v>0.6180555555555556</v>
      </c>
      <c r="C47" s="37" t="inlineStr">
        <is>
          <t>Dr. Paulo Andrade</t>
        </is>
      </c>
      <c r="D47" s="37" t="inlineStr">
        <is>
          <t>Sala 2</t>
        </is>
      </c>
      <c r="E47" s="36" t="inlineStr">
        <is>
          <t>Paulo Reis</t>
        </is>
      </c>
      <c r="F47" s="37" t="inlineStr">
        <is>
          <t>Particular</t>
        </is>
      </c>
      <c r="G47" s="37" t="inlineStr">
        <is>
          <t>Consulta</t>
        </is>
      </c>
      <c r="H47" s="37" t="inlineStr">
        <is>
          <t>Realizado</t>
        </is>
      </c>
      <c r="I47" s="37" t="inlineStr">
        <is>
          <t>Cartão de crédito</t>
        </is>
      </c>
      <c r="J47" s="37" t="n"/>
      <c r="K47" s="36" t="n"/>
      <c r="L47" s="44">
        <f>IF(G47="","",IFERROR(INDEX(Config!$K$5:$K$16,MATCH(G47,Config!$J$5:$J$16,0)),""))</f>
        <v>30</v>
      </c>
      <c r="M47" s="30">
        <f>IF(OR(G47="",F47=""),"",IFERROR(INDEX(Config!$M$5:$R$16,MATCH(G47,Config!$J$5:$J$16,0),MATCH(F47,Config!$H$5:$H$10,0)),""))</f>
        <v>380</v>
      </c>
      <c r="N47" s="29">
        <f>IF(A47="","",MONTH(A47))</f>
        <v>7</v>
      </c>
      <c r="O47" s="29">
        <f>IF(A47="","",YEAR(A47))</f>
        <v>2026</v>
      </c>
      <c r="P47" s="29" t="str">
        <f>IF(A47="","",CHOOSE(WEEKDAY(A47,2),"Segunda","Terça","Quarta","Quinta","Sexta","Sábado","Domingo"))</f>
        <v>Segunda</v>
      </c>
      <c r="Q47" s="29" t="str">
        <f>IF(B47="","",IF(B47&lt;TIME(12,0,0),"Manhã",IF(B47&lt;TIME(18,0,0),"Tarde","Noite")))</f>
        <v>Tarde</v>
      </c>
      <c r="R47" s="45">
        <f>IF(AND(H47="Realizado",L47&lt;&gt;""),L47/60,0)</f>
        <v>0.5</v>
      </c>
    </row>
    <row r="48">
      <c r="A48" s="42" t="n">
        <v>46209</v>
      </c>
      <c r="B48" s="43" t="n">
        <v>0.6388888888888888</v>
      </c>
      <c r="C48" s="37" t="inlineStr">
        <is>
          <t>Dr. Paulo Andrade</t>
        </is>
      </c>
      <c r="D48" s="37" t="inlineStr">
        <is>
          <t>Sala 2</t>
        </is>
      </c>
      <c r="E48" s="36" t="inlineStr">
        <is>
          <t>Otávio Martins</t>
        </is>
      </c>
      <c r="F48" s="37" t="inlineStr">
        <is>
          <t>MediPlan</t>
        </is>
      </c>
      <c r="G48" s="37" t="inlineStr">
        <is>
          <t>Consulta</t>
        </is>
      </c>
      <c r="H48" s="37" t="inlineStr">
        <is>
          <t>Realizado</t>
        </is>
      </c>
      <c r="I48" s="37" t="inlineStr">
        <is>
          <t>Convênio</t>
        </is>
      </c>
      <c r="J48" s="37" t="n"/>
      <c r="K48" s="36" t="n"/>
      <c r="L48" s="44">
        <f>IF(G48="","",IFERROR(INDEX(Config!$K$5:$K$16,MATCH(G48,Config!$J$5:$J$16,0)),""))</f>
        <v>30</v>
      </c>
      <c r="M48" s="30">
        <f>IF(OR(G48="",F48=""),"",IFERROR(INDEX(Config!$M$5:$R$16,MATCH(G48,Config!$J$5:$J$16,0),MATCH(F48,Config!$H$5:$H$10,0)),""))</f>
        <v>100</v>
      </c>
      <c r="N48" s="29">
        <f>IF(A48="","",MONTH(A48))</f>
        <v>7</v>
      </c>
      <c r="O48" s="29">
        <f>IF(A48="","",YEAR(A48))</f>
        <v>2026</v>
      </c>
      <c r="P48" s="29" t="str">
        <f>IF(A48="","",CHOOSE(WEEKDAY(A48,2),"Segunda","Terça","Quarta","Quinta","Sexta","Sábado","Domingo"))</f>
        <v>Segunda</v>
      </c>
      <c r="Q48" s="29" t="str">
        <f>IF(B48="","",IF(B48&lt;TIME(12,0,0),"Manhã",IF(B48&lt;TIME(18,0,0),"Tarde","Noite")))</f>
        <v>Tarde</v>
      </c>
      <c r="R48" s="45">
        <f>IF(AND(H48="Realizado",L48&lt;&gt;""),L48/60,0)</f>
        <v>0.5</v>
      </c>
    </row>
    <row r="49">
      <c r="A49" s="42" t="n">
        <v>46209</v>
      </c>
      <c r="B49" s="43" t="n">
        <v>0.6597222222222222</v>
      </c>
      <c r="C49" s="37" t="inlineStr">
        <is>
          <t>Dr. Paulo Andrade</t>
        </is>
      </c>
      <c r="D49" s="37" t="inlineStr">
        <is>
          <t>Sala 2</t>
        </is>
      </c>
      <c r="E49" s="36" t="inlineStr">
        <is>
          <t>Ricardo Melo</t>
        </is>
      </c>
      <c r="F49" s="37" t="inlineStr">
        <is>
          <t>Saúde Total</t>
        </is>
      </c>
      <c r="G49" s="37" t="inlineStr">
        <is>
          <t>Teste ergométrico</t>
        </is>
      </c>
      <c r="H49" s="37" t="inlineStr">
        <is>
          <t>Realizado</t>
        </is>
      </c>
      <c r="I49" s="37" t="inlineStr">
        <is>
          <t>Convênio</t>
        </is>
      </c>
      <c r="J49" s="37" t="n"/>
      <c r="K49" s="36" t="n"/>
      <c r="L49" s="44">
        <f>IF(G49="","",IFERROR(INDEX(Config!$K$5:$K$16,MATCH(G49,Config!$J$5:$J$16,0)),""))</f>
        <v>40</v>
      </c>
      <c r="M49" s="30">
        <f>IF(OR(G49="",F49=""),"",IFERROR(INDEX(Config!$M$5:$R$16,MATCH(G49,Config!$J$5:$J$16,0),MATCH(F49,Config!$H$5:$H$10,0)),""))</f>
        <v>140</v>
      </c>
      <c r="N49" s="29">
        <f>IF(A49="","",MONTH(A49))</f>
        <v>7</v>
      </c>
      <c r="O49" s="29">
        <f>IF(A49="","",YEAR(A49))</f>
        <v>2026</v>
      </c>
      <c r="P49" s="29" t="str">
        <f>IF(A49="","",CHOOSE(WEEKDAY(A49,2),"Segunda","Terça","Quarta","Quinta","Sexta","Sábado","Domingo"))</f>
        <v>Segunda</v>
      </c>
      <c r="Q49" s="29" t="str">
        <f>IF(B49="","",IF(B49&lt;TIME(12,0,0),"Manhã",IF(B49&lt;TIME(18,0,0),"Tarde","Noite")))</f>
        <v>Tarde</v>
      </c>
      <c r="R49" s="45">
        <f>IF(AND(H49="Realizado",L49&lt;&gt;""),L49/60,0)</f>
        <v>0.666666666666667</v>
      </c>
    </row>
    <row r="50">
      <c r="A50" s="42" t="n">
        <v>46209</v>
      </c>
      <c r="B50" s="43" t="n">
        <v>0.6875</v>
      </c>
      <c r="C50" s="37" t="inlineStr">
        <is>
          <t>Dr. Paulo Andrade</t>
        </is>
      </c>
      <c r="D50" s="37" t="inlineStr">
        <is>
          <t>Sala 2</t>
        </is>
      </c>
      <c r="E50" s="36" t="inlineStr">
        <is>
          <t>Camila Martins</t>
        </is>
      </c>
      <c r="F50" s="37" t="inlineStr">
        <is>
          <t>Vida Care</t>
        </is>
      </c>
      <c r="G50" s="37" t="inlineStr">
        <is>
          <t>Consulta</t>
        </is>
      </c>
      <c r="H50" s="37" t="inlineStr">
        <is>
          <t>Realizado</t>
        </is>
      </c>
      <c r="I50" s="37" t="inlineStr">
        <is>
          <t>Convênio</t>
        </is>
      </c>
      <c r="J50" s="37" t="n"/>
      <c r="K50" s="36" t="n"/>
      <c r="L50" s="44">
        <f>IF(G50="","",IFERROR(INDEX(Config!$K$5:$K$16,MATCH(G50,Config!$J$5:$J$16,0)),""))</f>
        <v>30</v>
      </c>
      <c r="M50" s="30">
        <f>IF(OR(G50="",F50=""),"",IFERROR(INDEX(Config!$M$5:$R$16,MATCH(G50,Config!$J$5:$J$16,0),MATCH(F50,Config!$H$5:$H$10,0)),""))</f>
        <v>90</v>
      </c>
      <c r="N50" s="29">
        <f>IF(A50="","",MONTH(A50))</f>
        <v>7</v>
      </c>
      <c r="O50" s="29">
        <f>IF(A50="","",YEAR(A50))</f>
        <v>2026</v>
      </c>
      <c r="P50" s="29" t="str">
        <f>IF(A50="","",CHOOSE(WEEKDAY(A50,2),"Segunda","Terça","Quarta","Quinta","Sexta","Sábado","Domingo"))</f>
        <v>Segunda</v>
      </c>
      <c r="Q50" s="29" t="str">
        <f>IF(B50="","",IF(B50&lt;TIME(12,0,0),"Manhã",IF(B50&lt;TIME(18,0,0),"Tarde","Noite")))</f>
        <v>Tarde</v>
      </c>
      <c r="R50" s="45">
        <f>IF(AND(H50="Realizado",L50&lt;&gt;""),L50/60,0)</f>
        <v>0.5</v>
      </c>
    </row>
    <row r="51">
      <c r="A51" s="42" t="n">
        <v>46209</v>
      </c>
      <c r="B51" s="43" t="n">
        <v>0.7291666666666666</v>
      </c>
      <c r="C51" s="37" t="inlineStr">
        <is>
          <t>Dr. Paulo Andrade</t>
        </is>
      </c>
      <c r="D51" s="37" t="inlineStr">
        <is>
          <t>Sala 2</t>
        </is>
      </c>
      <c r="E51" s="36" t="inlineStr">
        <is>
          <t>Gisele Lima</t>
        </is>
      </c>
      <c r="F51" s="37" t="inlineStr">
        <is>
          <t>Saúde Total</t>
        </is>
      </c>
      <c r="G51" s="37" t="inlineStr">
        <is>
          <t>Consulta</t>
        </is>
      </c>
      <c r="H51" s="37" t="inlineStr">
        <is>
          <t>Realizado</t>
        </is>
      </c>
      <c r="I51" s="37" t="inlineStr">
        <is>
          <t>Convênio</t>
        </is>
      </c>
      <c r="J51" s="37" t="n"/>
      <c r="K51" s="36" t="n"/>
      <c r="L51" s="44">
        <f>IF(G51="","",IFERROR(INDEX(Config!$K$5:$K$16,MATCH(G51,Config!$J$5:$J$16,0)),""))</f>
        <v>30</v>
      </c>
      <c r="M51" s="30">
        <f>IF(OR(G51="",F51=""),"",IFERROR(INDEX(Config!$M$5:$R$16,MATCH(G51,Config!$J$5:$J$16,0),MATCH(F51,Config!$H$5:$H$10,0)),""))</f>
        <v>120</v>
      </c>
      <c r="N51" s="29">
        <f>IF(A51="","",MONTH(A51))</f>
        <v>7</v>
      </c>
      <c r="O51" s="29">
        <f>IF(A51="","",YEAR(A51))</f>
        <v>2026</v>
      </c>
      <c r="P51" s="29" t="str">
        <f>IF(A51="","",CHOOSE(WEEKDAY(A51,2),"Segunda","Terça","Quarta","Quinta","Sexta","Sábado","Domingo"))</f>
        <v>Segunda</v>
      </c>
      <c r="Q51" s="29" t="str">
        <f>IF(B51="","",IF(B51&lt;TIME(12,0,0),"Manhã",IF(B51&lt;TIME(18,0,0),"Tarde","Noite")))</f>
        <v>Tarde</v>
      </c>
      <c r="R51" s="45">
        <f>IF(AND(H51="Realizado",L51&lt;&gt;""),L51/60,0)</f>
        <v>0.5</v>
      </c>
    </row>
    <row r="52">
      <c r="A52" s="42" t="n">
        <v>46210</v>
      </c>
      <c r="B52" s="43" t="n">
        <v>0.3333333333333333</v>
      </c>
      <c r="C52" s="37" t="inlineStr">
        <is>
          <t>Dra. Carolina Mendes</t>
        </is>
      </c>
      <c r="D52" s="37" t="inlineStr">
        <is>
          <t>Sala 1</t>
        </is>
      </c>
      <c r="E52" s="36" t="inlineStr">
        <is>
          <t>Marcelo Santos</t>
        </is>
      </c>
      <c r="F52" s="37" t="inlineStr">
        <is>
          <t>Particular</t>
        </is>
      </c>
      <c r="G52" s="37" t="inlineStr">
        <is>
          <t>Consulta</t>
        </is>
      </c>
      <c r="H52" s="37" t="inlineStr">
        <is>
          <t>Realizado</t>
        </is>
      </c>
      <c r="I52" s="37" t="inlineStr">
        <is>
          <t>Pix</t>
        </is>
      </c>
      <c r="J52" s="37" t="n"/>
      <c r="K52" s="36" t="n"/>
      <c r="L52" s="44">
        <f>IF(G52="","",IFERROR(INDEX(Config!$K$5:$K$16,MATCH(G52,Config!$J$5:$J$16,0)),""))</f>
        <v>30</v>
      </c>
      <c r="M52" s="30">
        <f>IF(OR(G52="",F52=""),"",IFERROR(INDEX(Config!$M$5:$R$16,MATCH(G52,Config!$J$5:$J$16,0),MATCH(F52,Config!$H$5:$H$10,0)),""))</f>
        <v>380</v>
      </c>
      <c r="N52" s="29">
        <f>IF(A52="","",MONTH(A52))</f>
        <v>7</v>
      </c>
      <c r="O52" s="29">
        <f>IF(A52="","",YEAR(A52))</f>
        <v>2026</v>
      </c>
      <c r="P52" s="29" t="str">
        <f>IF(A52="","",CHOOSE(WEEKDAY(A52,2),"Segunda","Terça","Quarta","Quinta","Sexta","Sábado","Domingo"))</f>
        <v>Terça</v>
      </c>
      <c r="Q52" s="29" t="str">
        <f>IF(B52="","",IF(B52&lt;TIME(12,0,0),"Manhã",IF(B52&lt;TIME(18,0,0),"Tarde","Noite")))</f>
        <v>Manhã</v>
      </c>
      <c r="R52" s="45">
        <f>IF(AND(H52="Realizado",L52&lt;&gt;""),L52/60,0)</f>
        <v>0.5</v>
      </c>
    </row>
    <row r="53">
      <c r="A53" s="42" t="n">
        <v>46210</v>
      </c>
      <c r="B53" s="43" t="n">
        <v>0.3541666666666667</v>
      </c>
      <c r="C53" s="37" t="inlineStr">
        <is>
          <t>Dra. Carolina Mendes</t>
        </is>
      </c>
      <c r="D53" s="37" t="inlineStr">
        <is>
          <t>Sala 1</t>
        </is>
      </c>
      <c r="E53" s="36" t="inlineStr">
        <is>
          <t>Regina Teixeira</t>
        </is>
      </c>
      <c r="F53" s="37" t="inlineStr">
        <is>
          <t>Particular</t>
        </is>
      </c>
      <c r="G53" s="37" t="inlineStr">
        <is>
          <t>Consulta</t>
        </is>
      </c>
      <c r="H53" s="37" t="inlineStr">
        <is>
          <t>Realizado</t>
        </is>
      </c>
      <c r="I53" s="37" t="inlineStr">
        <is>
          <t>Pix</t>
        </is>
      </c>
      <c r="J53" s="37" t="n"/>
      <c r="K53" s="36" t="n"/>
      <c r="L53" s="44">
        <f>IF(G53="","",IFERROR(INDEX(Config!$K$5:$K$16,MATCH(G53,Config!$J$5:$J$16,0)),""))</f>
        <v>30</v>
      </c>
      <c r="M53" s="30">
        <f>IF(OR(G53="",F53=""),"",IFERROR(INDEX(Config!$M$5:$R$16,MATCH(G53,Config!$J$5:$J$16,0),MATCH(F53,Config!$H$5:$H$10,0)),""))</f>
        <v>380</v>
      </c>
      <c r="N53" s="29">
        <f>IF(A53="","",MONTH(A53))</f>
        <v>7</v>
      </c>
      <c r="O53" s="29">
        <f>IF(A53="","",YEAR(A53))</f>
        <v>2026</v>
      </c>
      <c r="P53" s="29" t="str">
        <f>IF(A53="","",CHOOSE(WEEKDAY(A53,2),"Segunda","Terça","Quarta","Quinta","Sexta","Sábado","Domingo"))</f>
        <v>Terça</v>
      </c>
      <c r="Q53" s="29" t="str">
        <f>IF(B53="","",IF(B53&lt;TIME(12,0,0),"Manhã",IF(B53&lt;TIME(18,0,0),"Tarde","Noite")))</f>
        <v>Manhã</v>
      </c>
      <c r="R53" s="45">
        <f>IF(AND(H53="Realizado",L53&lt;&gt;""),L53/60,0)</f>
        <v>0.5</v>
      </c>
    </row>
    <row r="54">
      <c r="A54" s="42" t="n">
        <v>46210</v>
      </c>
      <c r="B54" s="43" t="n">
        <v>0.375</v>
      </c>
      <c r="C54" s="37" t="inlineStr">
        <is>
          <t>Dra. Carolina Mendes</t>
        </is>
      </c>
      <c r="D54" s="37" t="inlineStr">
        <is>
          <t>Sala 1</t>
        </is>
      </c>
      <c r="E54" s="36" t="inlineStr">
        <is>
          <t>Wagner Santos</t>
        </is>
      </c>
      <c r="F54" s="37" t="inlineStr">
        <is>
          <t>Particular</t>
        </is>
      </c>
      <c r="G54" s="37" t="inlineStr">
        <is>
          <t>Retorno</t>
        </is>
      </c>
      <c r="H54" s="37" t="inlineStr">
        <is>
          <t>Realizado</t>
        </is>
      </c>
      <c r="I54" s="37" t="inlineStr">
        <is>
          <t>Sem cobrança</t>
        </is>
      </c>
      <c r="J54" s="37" t="n"/>
      <c r="K54" s="36" t="n"/>
      <c r="L54" s="44">
        <f>IF(G54="","",IFERROR(INDEX(Config!$K$5:$K$16,MATCH(G54,Config!$J$5:$J$16,0)),""))</f>
        <v>20</v>
      </c>
      <c r="M54" s="30">
        <f>IF(OR(G54="",F54=""),"",IFERROR(INDEX(Config!$M$5:$R$16,MATCH(G54,Config!$J$5:$J$16,0),MATCH(F54,Config!$H$5:$H$10,0)),""))</f>
        <v>0</v>
      </c>
      <c r="N54" s="29">
        <f>IF(A54="","",MONTH(A54))</f>
        <v>7</v>
      </c>
      <c r="O54" s="29">
        <f>IF(A54="","",YEAR(A54))</f>
        <v>2026</v>
      </c>
      <c r="P54" s="29" t="str">
        <f>IF(A54="","",CHOOSE(WEEKDAY(A54,2),"Segunda","Terça","Quarta","Quinta","Sexta","Sábado","Domingo"))</f>
        <v>Terça</v>
      </c>
      <c r="Q54" s="29" t="str">
        <f>IF(B54="","",IF(B54&lt;TIME(12,0,0),"Manhã",IF(B54&lt;TIME(18,0,0),"Tarde","Noite")))</f>
        <v>Manhã</v>
      </c>
      <c r="R54" s="45">
        <f>IF(AND(H54="Realizado",L54&lt;&gt;""),L54/60,0)</f>
        <v>0.333333333333333</v>
      </c>
    </row>
    <row r="55">
      <c r="A55" s="42" t="n">
        <v>46210</v>
      </c>
      <c r="B55" s="43" t="n">
        <v>0.4097222222222222</v>
      </c>
      <c r="C55" s="37" t="inlineStr">
        <is>
          <t>Dra. Carolina Mendes</t>
        </is>
      </c>
      <c r="D55" s="37" t="inlineStr">
        <is>
          <t>Sala 1</t>
        </is>
      </c>
      <c r="E55" s="36" t="inlineStr">
        <is>
          <t>Gisele Ribeiro</t>
        </is>
      </c>
      <c r="F55" s="37" t="inlineStr">
        <is>
          <t>Particular</t>
        </is>
      </c>
      <c r="G55" s="37" t="inlineStr">
        <is>
          <t>Consulta</t>
        </is>
      </c>
      <c r="H55" s="37" t="inlineStr">
        <is>
          <t>Realizado</t>
        </is>
      </c>
      <c r="I55" s="37" t="inlineStr">
        <is>
          <t>Pix</t>
        </is>
      </c>
      <c r="J55" s="37" t="n"/>
      <c r="K55" s="36" t="n"/>
      <c r="L55" s="44">
        <f>IF(G55="","",IFERROR(INDEX(Config!$K$5:$K$16,MATCH(G55,Config!$J$5:$J$16,0)),""))</f>
        <v>30</v>
      </c>
      <c r="M55" s="30">
        <f>IF(OR(G55="",F55=""),"",IFERROR(INDEX(Config!$M$5:$R$16,MATCH(G55,Config!$J$5:$J$16,0),MATCH(F55,Config!$H$5:$H$10,0)),""))</f>
        <v>380</v>
      </c>
      <c r="N55" s="29">
        <f>IF(A55="","",MONTH(A55))</f>
        <v>7</v>
      </c>
      <c r="O55" s="29">
        <f>IF(A55="","",YEAR(A55))</f>
        <v>2026</v>
      </c>
      <c r="P55" s="29" t="str">
        <f>IF(A55="","",CHOOSE(WEEKDAY(A55,2),"Segunda","Terça","Quarta","Quinta","Sexta","Sábado","Domingo"))</f>
        <v>Terça</v>
      </c>
      <c r="Q55" s="29" t="str">
        <f>IF(B55="","",IF(B55&lt;TIME(12,0,0),"Manhã",IF(B55&lt;TIME(18,0,0),"Tarde","Noite")))</f>
        <v>Manhã</v>
      </c>
      <c r="R55" s="45">
        <f>IF(AND(H55="Realizado",L55&lt;&gt;""),L55/60,0)</f>
        <v>0.5</v>
      </c>
    </row>
    <row r="56">
      <c r="A56" s="42" t="n">
        <v>46210</v>
      </c>
      <c r="B56" s="43" t="n">
        <v>0.4305555555555556</v>
      </c>
      <c r="C56" s="37" t="inlineStr">
        <is>
          <t>Dra. Carolina Mendes</t>
        </is>
      </c>
      <c r="D56" s="37" t="inlineStr">
        <is>
          <t>Sala 1</t>
        </is>
      </c>
      <c r="E56" s="36" t="inlineStr">
        <is>
          <t>Daniel Melo</t>
        </is>
      </c>
      <c r="F56" s="37" t="inlineStr">
        <is>
          <t>Saúde Total</t>
        </is>
      </c>
      <c r="G56" s="37" t="inlineStr">
        <is>
          <t>Consulta</t>
        </is>
      </c>
      <c r="H56" s="37" t="inlineStr">
        <is>
          <t>Realizado</t>
        </is>
      </c>
      <c r="I56" s="37" t="inlineStr">
        <is>
          <t>Convênio</t>
        </is>
      </c>
      <c r="J56" s="37" t="n"/>
      <c r="K56" s="36" t="n"/>
      <c r="L56" s="44">
        <f>IF(G56="","",IFERROR(INDEX(Config!$K$5:$K$16,MATCH(G56,Config!$J$5:$J$16,0)),""))</f>
        <v>30</v>
      </c>
      <c r="M56" s="30">
        <f>IF(OR(G56="",F56=""),"",IFERROR(INDEX(Config!$M$5:$R$16,MATCH(G56,Config!$J$5:$J$16,0),MATCH(F56,Config!$H$5:$H$10,0)),""))</f>
        <v>120</v>
      </c>
      <c r="N56" s="29">
        <f>IF(A56="","",MONTH(A56))</f>
        <v>7</v>
      </c>
      <c r="O56" s="29">
        <f>IF(A56="","",YEAR(A56))</f>
        <v>2026</v>
      </c>
      <c r="P56" s="29" t="str">
        <f>IF(A56="","",CHOOSE(WEEKDAY(A56,2),"Segunda","Terça","Quarta","Quinta","Sexta","Sábado","Domingo"))</f>
        <v>Terça</v>
      </c>
      <c r="Q56" s="29" t="str">
        <f>IF(B56="","",IF(B56&lt;TIME(12,0,0),"Manhã",IF(B56&lt;TIME(18,0,0),"Tarde","Noite")))</f>
        <v>Manhã</v>
      </c>
      <c r="R56" s="45">
        <f>IF(AND(H56="Realizado",L56&lt;&gt;""),L56/60,0)</f>
        <v>0.5</v>
      </c>
    </row>
    <row r="57">
      <c r="A57" s="42" t="n">
        <v>46210</v>
      </c>
      <c r="B57" s="43" t="n">
        <v>0.4513888888888889</v>
      </c>
      <c r="C57" s="37" t="inlineStr">
        <is>
          <t>Dra. Carolina Mendes</t>
        </is>
      </c>
      <c r="D57" s="37" t="inlineStr">
        <is>
          <t>Sala 1</t>
        </is>
      </c>
      <c r="E57" s="36" t="inlineStr">
        <is>
          <t>Gustavo Ferreira</t>
        </is>
      </c>
      <c r="F57" s="37" t="inlineStr">
        <is>
          <t>Particular</t>
        </is>
      </c>
      <c r="G57" s="37" t="inlineStr">
        <is>
          <t>Consulta</t>
        </is>
      </c>
      <c r="H57" s="37" t="inlineStr">
        <is>
          <t>Realizado</t>
        </is>
      </c>
      <c r="I57" s="37" t="inlineStr">
        <is>
          <t>A prazo</t>
        </is>
      </c>
      <c r="J57" s="37" t="n"/>
      <c r="K57" s="36" t="n"/>
      <c r="L57" s="44">
        <f>IF(G57="","",IFERROR(INDEX(Config!$K$5:$K$16,MATCH(G57,Config!$J$5:$J$16,0)),""))</f>
        <v>30</v>
      </c>
      <c r="M57" s="30">
        <f>IF(OR(G57="",F57=""),"",IFERROR(INDEX(Config!$M$5:$R$16,MATCH(G57,Config!$J$5:$J$16,0),MATCH(F57,Config!$H$5:$H$10,0)),""))</f>
        <v>380</v>
      </c>
      <c r="N57" s="29">
        <f>IF(A57="","",MONTH(A57))</f>
        <v>7</v>
      </c>
      <c r="O57" s="29">
        <f>IF(A57="","",YEAR(A57))</f>
        <v>2026</v>
      </c>
      <c r="P57" s="29" t="str">
        <f>IF(A57="","",CHOOSE(WEEKDAY(A57,2),"Segunda","Terça","Quarta","Quinta","Sexta","Sábado","Domingo"))</f>
        <v>Terça</v>
      </c>
      <c r="Q57" s="29" t="str">
        <f>IF(B57="","",IF(B57&lt;TIME(12,0,0),"Manhã",IF(B57&lt;TIME(18,0,0),"Tarde","Noite")))</f>
        <v>Manhã</v>
      </c>
      <c r="R57" s="45">
        <f>IF(AND(H57="Realizado",L57&lt;&gt;""),L57/60,0)</f>
        <v>0.5</v>
      </c>
    </row>
    <row r="58">
      <c r="A58" s="42" t="n">
        <v>46210</v>
      </c>
      <c r="B58" s="43" t="n">
        <v>0.5833333333333334</v>
      </c>
      <c r="C58" s="37" t="inlineStr">
        <is>
          <t>Dra. Renata Sousa</t>
        </is>
      </c>
      <c r="D58" s="37" t="inlineStr">
        <is>
          <t>Sala 1</t>
        </is>
      </c>
      <c r="E58" s="36" t="inlineStr">
        <is>
          <t>Paulo Freitas</t>
        </is>
      </c>
      <c r="F58" s="37" t="inlineStr">
        <is>
          <t>Saúde Total</t>
        </is>
      </c>
      <c r="G58" s="37" t="inlineStr">
        <is>
          <t>Retorno</t>
        </is>
      </c>
      <c r="H58" s="37" t="inlineStr">
        <is>
          <t>Realizado</t>
        </is>
      </c>
      <c r="I58" s="37" t="inlineStr">
        <is>
          <t>Sem cobrança</t>
        </is>
      </c>
      <c r="J58" s="37" t="n"/>
      <c r="K58" s="36" t="n"/>
      <c r="L58" s="44">
        <f>IF(G58="","",IFERROR(INDEX(Config!$K$5:$K$16,MATCH(G58,Config!$J$5:$J$16,0)),""))</f>
        <v>20</v>
      </c>
      <c r="M58" s="30">
        <f>IF(OR(G58="",F58=""),"",IFERROR(INDEX(Config!$M$5:$R$16,MATCH(G58,Config!$J$5:$J$16,0),MATCH(F58,Config!$H$5:$H$10,0)),""))</f>
        <v>0</v>
      </c>
      <c r="N58" s="29">
        <f>IF(A58="","",MONTH(A58))</f>
        <v>7</v>
      </c>
      <c r="O58" s="29">
        <f>IF(A58="","",YEAR(A58))</f>
        <v>2026</v>
      </c>
      <c r="P58" s="29" t="str">
        <f>IF(A58="","",CHOOSE(WEEKDAY(A58,2),"Segunda","Terça","Quarta","Quinta","Sexta","Sábado","Domingo"))</f>
        <v>Terça</v>
      </c>
      <c r="Q58" s="29" t="str">
        <f>IF(B58="","",IF(B58&lt;TIME(12,0,0),"Manhã",IF(B58&lt;TIME(18,0,0),"Tarde","Noite")))</f>
        <v>Tarde</v>
      </c>
      <c r="R58" s="45">
        <f>IF(AND(H58="Realizado",L58&lt;&gt;""),L58/60,0)</f>
        <v>0.333333333333333</v>
      </c>
    </row>
    <row r="59">
      <c r="A59" s="42" t="n">
        <v>46210</v>
      </c>
      <c r="B59" s="43" t="n">
        <v>0.5972222222222222</v>
      </c>
      <c r="C59" s="37" t="inlineStr">
        <is>
          <t>Dra. Renata Sousa</t>
        </is>
      </c>
      <c r="D59" s="37" t="inlineStr">
        <is>
          <t>Sala 1</t>
        </is>
      </c>
      <c r="E59" s="36" t="inlineStr">
        <is>
          <t>Carlos Gonçalves</t>
        </is>
      </c>
      <c r="F59" s="37" t="inlineStr">
        <is>
          <t>Saúde Total</t>
        </is>
      </c>
      <c r="G59" s="37" t="inlineStr">
        <is>
          <t>Avaliação endócrina</t>
        </is>
      </c>
      <c r="H59" s="37" t="inlineStr">
        <is>
          <t>Falta</t>
        </is>
      </c>
      <c r="I59" s="37" t="n"/>
      <c r="J59" s="37" t="n"/>
      <c r="K59" s="36" t="n"/>
      <c r="L59" s="44">
        <f>IF(G59="","",IFERROR(INDEX(Config!$K$5:$K$16,MATCH(G59,Config!$J$5:$J$16,0)),""))</f>
        <v>40</v>
      </c>
      <c r="M59" s="30">
        <f>IF(OR(G59="",F59=""),"",IFERROR(INDEX(Config!$M$5:$R$16,MATCH(G59,Config!$J$5:$J$16,0),MATCH(F59,Config!$H$5:$H$10,0)),""))</f>
        <v>130</v>
      </c>
      <c r="N59" s="29">
        <f>IF(A59="","",MONTH(A59))</f>
        <v>7</v>
      </c>
      <c r="O59" s="29">
        <f>IF(A59="","",YEAR(A59))</f>
        <v>2026</v>
      </c>
      <c r="P59" s="29" t="str">
        <f>IF(A59="","",CHOOSE(WEEKDAY(A59,2),"Segunda","Terça","Quarta","Quinta","Sexta","Sábado","Domingo"))</f>
        <v>Terça</v>
      </c>
      <c r="Q59" s="29" t="str">
        <f>IF(B59="","",IF(B59&lt;TIME(12,0,0),"Manhã",IF(B59&lt;TIME(18,0,0),"Tarde","Noite")))</f>
        <v>Tarde</v>
      </c>
      <c r="R59" s="45">
        <f>IF(AND(H59="Realizado",L59&lt;&gt;""),L59/60,0)</f>
        <v>0</v>
      </c>
    </row>
    <row r="60">
      <c r="A60" s="42" t="n">
        <v>46210</v>
      </c>
      <c r="B60" s="43" t="n">
        <v>0.6041666666666666</v>
      </c>
      <c r="C60" s="37" t="inlineStr">
        <is>
          <t>Dr. Paulo Andrade</t>
        </is>
      </c>
      <c r="D60" s="37" t="inlineStr">
        <is>
          <t>Sala 2</t>
        </is>
      </c>
      <c r="E60" s="36" t="inlineStr">
        <is>
          <t>Eduardo Reis</t>
        </is>
      </c>
      <c r="F60" s="37" t="inlineStr">
        <is>
          <t>Vida Care</t>
        </is>
      </c>
      <c r="G60" s="37" t="inlineStr">
        <is>
          <t>Teste ergométrico</t>
        </is>
      </c>
      <c r="H60" s="37" t="inlineStr">
        <is>
          <t>Realizado</t>
        </is>
      </c>
      <c r="I60" s="37" t="inlineStr">
        <is>
          <t>Convênio</t>
        </is>
      </c>
      <c r="J60" s="37" t="n"/>
      <c r="K60" s="36" t="n"/>
      <c r="L60" s="44">
        <f>IF(G60="","",IFERROR(INDEX(Config!$K$5:$K$16,MATCH(G60,Config!$J$5:$J$16,0)),""))</f>
        <v>40</v>
      </c>
      <c r="M60" s="30">
        <f>IF(OR(G60="",F60=""),"",IFERROR(INDEX(Config!$M$5:$R$16,MATCH(G60,Config!$J$5:$J$16,0),MATCH(F60,Config!$H$5:$H$10,0)),""))</f>
        <v>110</v>
      </c>
      <c r="N60" s="29">
        <f>IF(A60="","",MONTH(A60))</f>
        <v>7</v>
      </c>
      <c r="O60" s="29">
        <f>IF(A60="","",YEAR(A60))</f>
        <v>2026</v>
      </c>
      <c r="P60" s="29" t="str">
        <f>IF(A60="","",CHOOSE(WEEKDAY(A60,2),"Segunda","Terça","Quarta","Quinta","Sexta","Sábado","Domingo"))</f>
        <v>Terça</v>
      </c>
      <c r="Q60" s="29" t="str">
        <f>IF(B60="","",IF(B60&lt;TIME(12,0,0),"Manhã",IF(B60&lt;TIME(18,0,0),"Tarde","Noite")))</f>
        <v>Tarde</v>
      </c>
      <c r="R60" s="45">
        <f>IF(AND(H60="Realizado",L60&lt;&gt;""),L60/60,0)</f>
        <v>0.666666666666667</v>
      </c>
    </row>
    <row r="61">
      <c r="A61" s="42" t="n">
        <v>46210</v>
      </c>
      <c r="B61" s="43" t="n">
        <v>0.625</v>
      </c>
      <c r="C61" s="37" t="inlineStr">
        <is>
          <t>Dra. Renata Sousa</t>
        </is>
      </c>
      <c r="D61" s="37" t="inlineStr">
        <is>
          <t>Sala 1</t>
        </is>
      </c>
      <c r="E61" s="36" t="inlineStr">
        <is>
          <t>Gabriel Reis</t>
        </is>
      </c>
      <c r="F61" s="37" t="inlineStr">
        <is>
          <t>Particular</t>
        </is>
      </c>
      <c r="G61" s="37" t="inlineStr">
        <is>
          <t>Retorno</t>
        </is>
      </c>
      <c r="H61" s="37" t="inlineStr">
        <is>
          <t>Realizado</t>
        </is>
      </c>
      <c r="I61" s="37" t="inlineStr">
        <is>
          <t>Sem cobrança</t>
        </is>
      </c>
      <c r="J61" s="37" t="n"/>
      <c r="K61" s="36" t="n"/>
      <c r="L61" s="44">
        <f>IF(G61="","",IFERROR(INDEX(Config!$K$5:$K$16,MATCH(G61,Config!$J$5:$J$16,0)),""))</f>
        <v>20</v>
      </c>
      <c r="M61" s="30">
        <f>IF(OR(G61="",F61=""),"",IFERROR(INDEX(Config!$M$5:$R$16,MATCH(G61,Config!$J$5:$J$16,0),MATCH(F61,Config!$H$5:$H$10,0)),""))</f>
        <v>0</v>
      </c>
      <c r="N61" s="29">
        <f>IF(A61="","",MONTH(A61))</f>
        <v>7</v>
      </c>
      <c r="O61" s="29">
        <f>IF(A61="","",YEAR(A61))</f>
        <v>2026</v>
      </c>
      <c r="P61" s="29" t="str">
        <f>IF(A61="","",CHOOSE(WEEKDAY(A61,2),"Segunda","Terça","Quarta","Quinta","Sexta","Sábado","Domingo"))</f>
        <v>Terça</v>
      </c>
      <c r="Q61" s="29" t="str">
        <f>IF(B61="","",IF(B61&lt;TIME(12,0,0),"Manhã",IF(B61&lt;TIME(18,0,0),"Tarde","Noite")))</f>
        <v>Tarde</v>
      </c>
      <c r="R61" s="45">
        <f>IF(AND(H61="Realizado",L61&lt;&gt;""),L61/60,0)</f>
        <v>0.333333333333333</v>
      </c>
    </row>
    <row r="62">
      <c r="A62" s="42" t="n">
        <v>46210</v>
      </c>
      <c r="B62" s="43" t="n">
        <v>0.6319444444444444</v>
      </c>
      <c r="C62" s="37" t="inlineStr">
        <is>
          <t>Dr. Paulo Andrade</t>
        </is>
      </c>
      <c r="D62" s="37" t="inlineStr">
        <is>
          <t>Sala 2</t>
        </is>
      </c>
      <c r="E62" s="36" t="inlineStr">
        <is>
          <t>Rafael Barros</t>
        </is>
      </c>
      <c r="F62" s="37" t="inlineStr">
        <is>
          <t>Particular</t>
        </is>
      </c>
      <c r="G62" s="37" t="inlineStr">
        <is>
          <t>Retorno</t>
        </is>
      </c>
      <c r="H62" s="37" t="inlineStr">
        <is>
          <t>Realizado</t>
        </is>
      </c>
      <c r="I62" s="37" t="inlineStr">
        <is>
          <t>Sem cobrança</t>
        </is>
      </c>
      <c r="J62" s="37" t="n"/>
      <c r="K62" s="36" t="n"/>
      <c r="L62" s="44">
        <f>IF(G62="","",IFERROR(INDEX(Config!$K$5:$K$16,MATCH(G62,Config!$J$5:$J$16,0)),""))</f>
        <v>20</v>
      </c>
      <c r="M62" s="30">
        <f>IF(OR(G62="",F62=""),"",IFERROR(INDEX(Config!$M$5:$R$16,MATCH(G62,Config!$J$5:$J$16,0),MATCH(F62,Config!$H$5:$H$10,0)),""))</f>
        <v>0</v>
      </c>
      <c r="N62" s="29">
        <f>IF(A62="","",MONTH(A62))</f>
        <v>7</v>
      </c>
      <c r="O62" s="29">
        <f>IF(A62="","",YEAR(A62))</f>
        <v>2026</v>
      </c>
      <c r="P62" s="29" t="str">
        <f>IF(A62="","",CHOOSE(WEEKDAY(A62,2),"Segunda","Terça","Quarta","Quinta","Sexta","Sábado","Domingo"))</f>
        <v>Terça</v>
      </c>
      <c r="Q62" s="29" t="str">
        <f>IF(B62="","",IF(B62&lt;TIME(12,0,0),"Manhã",IF(B62&lt;TIME(18,0,0),"Tarde","Noite")))</f>
        <v>Tarde</v>
      </c>
      <c r="R62" s="45">
        <f>IF(AND(H62="Realizado",L62&lt;&gt;""),L62/60,0)</f>
        <v>0.333333333333333</v>
      </c>
    </row>
    <row r="63">
      <c r="A63" s="42" t="n">
        <v>46210</v>
      </c>
      <c r="B63" s="43" t="n">
        <v>0.6388888888888888</v>
      </c>
      <c r="C63" s="37" t="inlineStr">
        <is>
          <t>Dra. Renata Sousa</t>
        </is>
      </c>
      <c r="D63" s="37" t="inlineStr">
        <is>
          <t>Sala 1</t>
        </is>
      </c>
      <c r="E63" s="36" t="inlineStr">
        <is>
          <t>Beatriz Reis</t>
        </is>
      </c>
      <c r="F63" s="37" t="inlineStr">
        <is>
          <t>Particular</t>
        </is>
      </c>
      <c r="G63" s="37" t="inlineStr">
        <is>
          <t>Avaliação endócrina</t>
        </is>
      </c>
      <c r="H63" s="37" t="inlineStr">
        <is>
          <t>Realizado</t>
        </is>
      </c>
      <c r="I63" s="37" t="inlineStr">
        <is>
          <t>Pix</t>
        </is>
      </c>
      <c r="J63" s="37" t="n"/>
      <c r="K63" s="36" t="n"/>
      <c r="L63" s="44">
        <f>IF(G63="","",IFERROR(INDEX(Config!$K$5:$K$16,MATCH(G63,Config!$J$5:$J$16,0)),""))</f>
        <v>40</v>
      </c>
      <c r="M63" s="30">
        <f>IF(OR(G63="",F63=""),"",IFERROR(INDEX(Config!$M$5:$R$16,MATCH(G63,Config!$J$5:$J$16,0),MATCH(F63,Config!$H$5:$H$10,0)),""))</f>
        <v>400</v>
      </c>
      <c r="N63" s="29">
        <f>IF(A63="","",MONTH(A63))</f>
        <v>7</v>
      </c>
      <c r="O63" s="29">
        <f>IF(A63="","",YEAR(A63))</f>
        <v>2026</v>
      </c>
      <c r="P63" s="29" t="str">
        <f>IF(A63="","",CHOOSE(WEEKDAY(A63,2),"Segunda","Terça","Quarta","Quinta","Sexta","Sábado","Domingo"))</f>
        <v>Terça</v>
      </c>
      <c r="Q63" s="29" t="str">
        <f>IF(B63="","",IF(B63&lt;TIME(12,0,0),"Manhã",IF(B63&lt;TIME(18,0,0),"Tarde","Noite")))</f>
        <v>Tarde</v>
      </c>
      <c r="R63" s="45">
        <f>IF(AND(H63="Realizado",L63&lt;&gt;""),L63/60,0)</f>
        <v>0.666666666666667</v>
      </c>
    </row>
    <row r="64">
      <c r="A64" s="42" t="n">
        <v>46210</v>
      </c>
      <c r="B64" s="43" t="n">
        <v>0.6458333333333334</v>
      </c>
      <c r="C64" s="37" t="inlineStr">
        <is>
          <t>Dr. Paulo Andrade</t>
        </is>
      </c>
      <c r="D64" s="37" t="inlineStr">
        <is>
          <t>Sala 2</t>
        </is>
      </c>
      <c r="E64" s="36" t="inlineStr">
        <is>
          <t>Marcelo Ferreira</t>
        </is>
      </c>
      <c r="F64" s="37" t="inlineStr">
        <is>
          <t>Particular</t>
        </is>
      </c>
      <c r="G64" s="37" t="inlineStr">
        <is>
          <t>Consulta</t>
        </is>
      </c>
      <c r="H64" s="37" t="inlineStr">
        <is>
          <t>Realizado</t>
        </is>
      </c>
      <c r="I64" s="37" t="inlineStr">
        <is>
          <t>Cartão de crédito</t>
        </is>
      </c>
      <c r="J64" s="37" t="n"/>
      <c r="K64" s="36" t="n"/>
      <c r="L64" s="44">
        <f>IF(G64="","",IFERROR(INDEX(Config!$K$5:$K$16,MATCH(G64,Config!$J$5:$J$16,0)),""))</f>
        <v>30</v>
      </c>
      <c r="M64" s="30">
        <f>IF(OR(G64="",F64=""),"",IFERROR(INDEX(Config!$M$5:$R$16,MATCH(G64,Config!$J$5:$J$16,0),MATCH(F64,Config!$H$5:$H$10,0)),""))</f>
        <v>380</v>
      </c>
      <c r="N64" s="29">
        <f>IF(A64="","",MONTH(A64))</f>
        <v>7</v>
      </c>
      <c r="O64" s="29">
        <f>IF(A64="","",YEAR(A64))</f>
        <v>2026</v>
      </c>
      <c r="P64" s="29" t="str">
        <f>IF(A64="","",CHOOSE(WEEKDAY(A64,2),"Segunda","Terça","Quarta","Quinta","Sexta","Sábado","Domingo"))</f>
        <v>Terça</v>
      </c>
      <c r="Q64" s="29" t="str">
        <f>IF(B64="","",IF(B64&lt;TIME(12,0,0),"Manhã",IF(B64&lt;TIME(18,0,0),"Tarde","Noite")))</f>
        <v>Tarde</v>
      </c>
      <c r="R64" s="45">
        <f>IF(AND(H64="Realizado",L64&lt;&gt;""),L64/60,0)</f>
        <v>0.5</v>
      </c>
    </row>
    <row r="65">
      <c r="A65" s="42" t="n">
        <v>46210</v>
      </c>
      <c r="B65" s="43" t="n">
        <v>0.6666666666666666</v>
      </c>
      <c r="C65" s="37" t="inlineStr">
        <is>
          <t>Dra. Renata Sousa</t>
        </is>
      </c>
      <c r="D65" s="37" t="inlineStr">
        <is>
          <t>Sala 1</t>
        </is>
      </c>
      <c r="E65" s="36" t="inlineStr">
        <is>
          <t>Mariana Reis</t>
        </is>
      </c>
      <c r="F65" s="37" t="inlineStr">
        <is>
          <t>Particular</t>
        </is>
      </c>
      <c r="G65" s="37" t="inlineStr">
        <is>
          <t>Retorno</t>
        </is>
      </c>
      <c r="H65" s="37" t="inlineStr">
        <is>
          <t>Realizado</t>
        </is>
      </c>
      <c r="I65" s="37" t="inlineStr">
        <is>
          <t>Sem cobrança</t>
        </is>
      </c>
      <c r="J65" s="37" t="n"/>
      <c r="K65" s="36" t="n"/>
      <c r="L65" s="44">
        <f>IF(G65="","",IFERROR(INDEX(Config!$K$5:$K$16,MATCH(G65,Config!$J$5:$J$16,0)),""))</f>
        <v>20</v>
      </c>
      <c r="M65" s="30">
        <f>IF(OR(G65="",F65=""),"",IFERROR(INDEX(Config!$M$5:$R$16,MATCH(G65,Config!$J$5:$J$16,0),MATCH(F65,Config!$H$5:$H$10,0)),""))</f>
        <v>0</v>
      </c>
      <c r="N65" s="29">
        <f>IF(A65="","",MONTH(A65))</f>
        <v>7</v>
      </c>
      <c r="O65" s="29">
        <f>IF(A65="","",YEAR(A65))</f>
        <v>2026</v>
      </c>
      <c r="P65" s="29" t="str">
        <f>IF(A65="","",CHOOSE(WEEKDAY(A65,2),"Segunda","Terça","Quarta","Quinta","Sexta","Sábado","Domingo"))</f>
        <v>Terça</v>
      </c>
      <c r="Q65" s="29" t="str">
        <f>IF(B65="","",IF(B65&lt;TIME(12,0,0),"Manhã",IF(B65&lt;TIME(18,0,0),"Tarde","Noite")))</f>
        <v>Tarde</v>
      </c>
      <c r="R65" s="45">
        <f>IF(AND(H65="Realizado",L65&lt;&gt;""),L65/60,0)</f>
        <v>0.333333333333333</v>
      </c>
    </row>
    <row r="66">
      <c r="A66" s="42" t="n">
        <v>46210</v>
      </c>
      <c r="B66" s="43" t="n">
        <v>0.6666666666666666</v>
      </c>
      <c r="C66" s="37" t="inlineStr">
        <is>
          <t>Dr. Paulo Andrade</t>
        </is>
      </c>
      <c r="D66" s="37" t="inlineStr">
        <is>
          <t>Sala 2</t>
        </is>
      </c>
      <c r="E66" s="36" t="inlineStr">
        <is>
          <t>Lucas Cardoso</t>
        </is>
      </c>
      <c r="F66" s="37" t="inlineStr">
        <is>
          <t>Particular</t>
        </is>
      </c>
      <c r="G66" s="37" t="inlineStr">
        <is>
          <t>Consulta</t>
        </is>
      </c>
      <c r="H66" s="37" t="inlineStr">
        <is>
          <t>Realizado</t>
        </is>
      </c>
      <c r="I66" s="37" t="inlineStr">
        <is>
          <t>Cartão de crédito</t>
        </is>
      </c>
      <c r="J66" s="37" t="n"/>
      <c r="K66" s="36" t="n"/>
      <c r="L66" s="44">
        <f>IF(G66="","",IFERROR(INDEX(Config!$K$5:$K$16,MATCH(G66,Config!$J$5:$J$16,0)),""))</f>
        <v>30</v>
      </c>
      <c r="M66" s="30">
        <f>IF(OR(G66="",F66=""),"",IFERROR(INDEX(Config!$M$5:$R$16,MATCH(G66,Config!$J$5:$J$16,0),MATCH(F66,Config!$H$5:$H$10,0)),""))</f>
        <v>380</v>
      </c>
      <c r="N66" s="29">
        <f>IF(A66="","",MONTH(A66))</f>
        <v>7</v>
      </c>
      <c r="O66" s="29">
        <f>IF(A66="","",YEAR(A66))</f>
        <v>2026</v>
      </c>
      <c r="P66" s="29" t="str">
        <f>IF(A66="","",CHOOSE(WEEKDAY(A66,2),"Segunda","Terça","Quarta","Quinta","Sexta","Sábado","Domingo"))</f>
        <v>Terça</v>
      </c>
      <c r="Q66" s="29" t="str">
        <f>IF(B66="","",IF(B66&lt;TIME(12,0,0),"Manhã",IF(B66&lt;TIME(18,0,0),"Tarde","Noite")))</f>
        <v>Tarde</v>
      </c>
      <c r="R66" s="45">
        <f>IF(AND(H66="Realizado",L66&lt;&gt;""),L66/60,0)</f>
        <v>0.5</v>
      </c>
    </row>
    <row r="67">
      <c r="A67" s="42" t="n">
        <v>46210</v>
      </c>
      <c r="B67" s="43" t="n">
        <v>0.6805555555555556</v>
      </c>
      <c r="C67" s="37" t="inlineStr">
        <is>
          <t>Dra. Renata Sousa</t>
        </is>
      </c>
      <c r="D67" s="37" t="inlineStr">
        <is>
          <t>Sala 1</t>
        </is>
      </c>
      <c r="E67" s="36" t="inlineStr">
        <is>
          <t>Fernanda Gonçalves</t>
        </is>
      </c>
      <c r="F67" s="37" t="inlineStr">
        <is>
          <t>Saúde Total</t>
        </is>
      </c>
      <c r="G67" s="37" t="inlineStr">
        <is>
          <t>Avaliação endócrina</t>
        </is>
      </c>
      <c r="H67" s="37" t="inlineStr">
        <is>
          <t>Realizado</t>
        </is>
      </c>
      <c r="I67" s="37" t="inlineStr">
        <is>
          <t>Convênio</t>
        </is>
      </c>
      <c r="J67" s="37" t="n"/>
      <c r="K67" s="36" t="n"/>
      <c r="L67" s="44">
        <f>IF(G67="","",IFERROR(INDEX(Config!$K$5:$K$16,MATCH(G67,Config!$J$5:$J$16,0)),""))</f>
        <v>40</v>
      </c>
      <c r="M67" s="30">
        <f>IF(OR(G67="",F67=""),"",IFERROR(INDEX(Config!$M$5:$R$16,MATCH(G67,Config!$J$5:$J$16,0),MATCH(F67,Config!$H$5:$H$10,0)),""))</f>
        <v>130</v>
      </c>
      <c r="N67" s="29">
        <f>IF(A67="","",MONTH(A67))</f>
        <v>7</v>
      </c>
      <c r="O67" s="29">
        <f>IF(A67="","",YEAR(A67))</f>
        <v>2026</v>
      </c>
      <c r="P67" s="29" t="str">
        <f>IF(A67="","",CHOOSE(WEEKDAY(A67,2),"Segunda","Terça","Quarta","Quinta","Sexta","Sábado","Domingo"))</f>
        <v>Terça</v>
      </c>
      <c r="Q67" s="29" t="str">
        <f>IF(B67="","",IF(B67&lt;TIME(12,0,0),"Manhã",IF(B67&lt;TIME(18,0,0),"Tarde","Noite")))</f>
        <v>Tarde</v>
      </c>
      <c r="R67" s="45">
        <f>IF(AND(H67="Realizado",L67&lt;&gt;""),L67/60,0)</f>
        <v>0.666666666666667</v>
      </c>
    </row>
    <row r="68">
      <c r="A68" s="42" t="n">
        <v>46210</v>
      </c>
      <c r="B68" s="43" t="n">
        <v>0.7083333333333334</v>
      </c>
      <c r="C68" s="37" t="inlineStr">
        <is>
          <t>Dra. Renata Sousa</t>
        </is>
      </c>
      <c r="D68" s="37" t="inlineStr">
        <is>
          <t>Sala 1</t>
        </is>
      </c>
      <c r="E68" s="36" t="inlineStr">
        <is>
          <t>Roberta Lima</t>
        </is>
      </c>
      <c r="F68" s="37" t="inlineStr">
        <is>
          <t>Particular</t>
        </is>
      </c>
      <c r="G68" s="37" t="inlineStr">
        <is>
          <t>Avaliação endócrina</t>
        </is>
      </c>
      <c r="H68" s="37" t="inlineStr">
        <is>
          <t>Realizado</t>
        </is>
      </c>
      <c r="I68" s="37" t="inlineStr">
        <is>
          <t>Dinheiro</t>
        </is>
      </c>
      <c r="J68" s="37" t="n"/>
      <c r="K68" s="36" t="n"/>
      <c r="L68" s="44">
        <f>IF(G68="","",IFERROR(INDEX(Config!$K$5:$K$16,MATCH(G68,Config!$J$5:$J$16,0)),""))</f>
        <v>40</v>
      </c>
      <c r="M68" s="30">
        <f>IF(OR(G68="",F68=""),"",IFERROR(INDEX(Config!$M$5:$R$16,MATCH(G68,Config!$J$5:$J$16,0),MATCH(F68,Config!$H$5:$H$10,0)),""))</f>
        <v>400</v>
      </c>
      <c r="N68" s="29">
        <f>IF(A68="","",MONTH(A68))</f>
        <v>7</v>
      </c>
      <c r="O68" s="29">
        <f>IF(A68="","",YEAR(A68))</f>
        <v>2026</v>
      </c>
      <c r="P68" s="29" t="str">
        <f>IF(A68="","",CHOOSE(WEEKDAY(A68,2),"Segunda","Terça","Quarta","Quinta","Sexta","Sábado","Domingo"))</f>
        <v>Terça</v>
      </c>
      <c r="Q68" s="29" t="str">
        <f>IF(B68="","",IF(B68&lt;TIME(12,0,0),"Manhã",IF(B68&lt;TIME(18,0,0),"Tarde","Noite")))</f>
        <v>Tarde</v>
      </c>
      <c r="R68" s="45">
        <f>IF(AND(H68="Realizado",L68&lt;&gt;""),L68/60,0)</f>
        <v>0.666666666666667</v>
      </c>
    </row>
    <row r="69">
      <c r="A69" s="42" t="n">
        <v>46210</v>
      </c>
      <c r="B69" s="43" t="n">
        <v>0.7083333333333334</v>
      </c>
      <c r="C69" s="37" t="inlineStr">
        <is>
          <t>Dr. Paulo Andrade</t>
        </is>
      </c>
      <c r="D69" s="37" t="inlineStr">
        <is>
          <t>Sala 2</t>
        </is>
      </c>
      <c r="E69" s="36" t="inlineStr">
        <is>
          <t>Priscila Rocha</t>
        </is>
      </c>
      <c r="F69" s="37" t="inlineStr">
        <is>
          <t>MediPlan</t>
        </is>
      </c>
      <c r="G69" s="37" t="inlineStr">
        <is>
          <t>Consulta</t>
        </is>
      </c>
      <c r="H69" s="37" t="inlineStr">
        <is>
          <t>Realizado</t>
        </is>
      </c>
      <c r="I69" s="37" t="inlineStr">
        <is>
          <t>Convênio</t>
        </is>
      </c>
      <c r="J69" s="37" t="n"/>
      <c r="K69" s="36" t="n"/>
      <c r="L69" s="44">
        <f>IF(G69="","",IFERROR(INDEX(Config!$K$5:$K$16,MATCH(G69,Config!$J$5:$J$16,0)),""))</f>
        <v>30</v>
      </c>
      <c r="M69" s="30">
        <f>IF(OR(G69="",F69=""),"",IFERROR(INDEX(Config!$M$5:$R$16,MATCH(G69,Config!$J$5:$J$16,0),MATCH(F69,Config!$H$5:$H$10,0)),""))</f>
        <v>100</v>
      </c>
      <c r="N69" s="29">
        <f>IF(A69="","",MONTH(A69))</f>
        <v>7</v>
      </c>
      <c r="O69" s="29">
        <f>IF(A69="","",YEAR(A69))</f>
        <v>2026</v>
      </c>
      <c r="P69" s="29" t="str">
        <f>IF(A69="","",CHOOSE(WEEKDAY(A69,2),"Segunda","Terça","Quarta","Quinta","Sexta","Sábado","Domingo"))</f>
        <v>Terça</v>
      </c>
      <c r="Q69" s="29" t="str">
        <f>IF(B69="","",IF(B69&lt;TIME(12,0,0),"Manhã",IF(B69&lt;TIME(18,0,0),"Tarde","Noite")))</f>
        <v>Tarde</v>
      </c>
      <c r="R69" s="45">
        <f>IF(AND(H69="Realizado",L69&lt;&gt;""),L69/60,0)</f>
        <v>0.5</v>
      </c>
    </row>
    <row r="70">
      <c r="A70" s="42" t="n">
        <v>46210</v>
      </c>
      <c r="B70" s="43" t="n">
        <v>0.7291666666666666</v>
      </c>
      <c r="C70" s="37" t="inlineStr">
        <is>
          <t>Dr. Paulo Andrade</t>
        </is>
      </c>
      <c r="D70" s="37" t="inlineStr">
        <is>
          <t>Sala 2</t>
        </is>
      </c>
      <c r="E70" s="36" t="inlineStr">
        <is>
          <t>Sandra Cardoso</t>
        </is>
      </c>
      <c r="F70" s="37" t="inlineStr">
        <is>
          <t>Saúde Total</t>
        </is>
      </c>
      <c r="G70" s="37" t="inlineStr">
        <is>
          <t>Consulta</t>
        </is>
      </c>
      <c r="H70" s="37" t="inlineStr">
        <is>
          <t>Falta</t>
        </is>
      </c>
      <c r="I70" s="37" t="n"/>
      <c r="J70" s="37" t="n"/>
      <c r="K70" s="36" t="n"/>
      <c r="L70" s="44">
        <f>IF(G70="","",IFERROR(INDEX(Config!$K$5:$K$16,MATCH(G70,Config!$J$5:$J$16,0)),""))</f>
        <v>30</v>
      </c>
      <c r="M70" s="30">
        <f>IF(OR(G70="",F70=""),"",IFERROR(INDEX(Config!$M$5:$R$16,MATCH(G70,Config!$J$5:$J$16,0),MATCH(F70,Config!$H$5:$H$10,0)),""))</f>
        <v>120</v>
      </c>
      <c r="N70" s="29">
        <f>IF(A70="","",MONTH(A70))</f>
        <v>7</v>
      </c>
      <c r="O70" s="29">
        <f>IF(A70="","",YEAR(A70))</f>
        <v>2026</v>
      </c>
      <c r="P70" s="29" t="str">
        <f>IF(A70="","",CHOOSE(WEEKDAY(A70,2),"Segunda","Terça","Quarta","Quinta","Sexta","Sábado","Domingo"))</f>
        <v>Terça</v>
      </c>
      <c r="Q70" s="29" t="str">
        <f>IF(B70="","",IF(B70&lt;TIME(12,0,0),"Manhã",IF(B70&lt;TIME(18,0,0),"Tarde","Noite")))</f>
        <v>Tarde</v>
      </c>
      <c r="R70" s="45">
        <f>IF(AND(H70="Realizado",L70&lt;&gt;""),L70/60,0)</f>
        <v>0</v>
      </c>
    </row>
    <row r="71">
      <c r="A71" s="42" t="n">
        <v>46210</v>
      </c>
      <c r="B71" s="43" t="n">
        <v>0.7361111111111112</v>
      </c>
      <c r="C71" s="37" t="inlineStr">
        <is>
          <t>Dra. Renata Sousa</t>
        </is>
      </c>
      <c r="D71" s="37" t="inlineStr">
        <is>
          <t>Sala 1</t>
        </is>
      </c>
      <c r="E71" s="36" t="inlineStr">
        <is>
          <t>Carlos Gonçalves</t>
        </is>
      </c>
      <c r="F71" s="37" t="inlineStr">
        <is>
          <t>Saúde Total</t>
        </is>
      </c>
      <c r="G71" s="37" t="inlineStr">
        <is>
          <t>Avaliação endócrina</t>
        </is>
      </c>
      <c r="H71" s="37" t="inlineStr">
        <is>
          <t>Realizado</t>
        </is>
      </c>
      <c r="I71" s="37" t="inlineStr">
        <is>
          <t>Convênio</t>
        </is>
      </c>
      <c r="J71" s="37" t="n"/>
      <c r="K71" s="36" t="n"/>
      <c r="L71" s="44">
        <f>IF(G71="","",IFERROR(INDEX(Config!$K$5:$K$16,MATCH(G71,Config!$J$5:$J$16,0)),""))</f>
        <v>40</v>
      </c>
      <c r="M71" s="30">
        <f>IF(OR(G71="",F71=""),"",IFERROR(INDEX(Config!$M$5:$R$16,MATCH(G71,Config!$J$5:$J$16,0),MATCH(F71,Config!$H$5:$H$10,0)),""))</f>
        <v>130</v>
      </c>
      <c r="N71" s="29">
        <f>IF(A71="","",MONTH(A71))</f>
        <v>7</v>
      </c>
      <c r="O71" s="29">
        <f>IF(A71="","",YEAR(A71))</f>
        <v>2026</v>
      </c>
      <c r="P71" s="29" t="str">
        <f>IF(A71="","",CHOOSE(WEEKDAY(A71,2),"Segunda","Terça","Quarta","Quinta","Sexta","Sábado","Domingo"))</f>
        <v>Terça</v>
      </c>
      <c r="Q71" s="29" t="str">
        <f>IF(B71="","",IF(B71&lt;TIME(12,0,0),"Manhã",IF(B71&lt;TIME(18,0,0),"Tarde","Noite")))</f>
        <v>Tarde</v>
      </c>
      <c r="R71" s="45">
        <f>IF(AND(H71="Realizado",L71&lt;&gt;""),L71/60,0)</f>
        <v>0.666666666666667</v>
      </c>
    </row>
    <row r="72">
      <c r="A72" s="42" t="n">
        <v>46211</v>
      </c>
      <c r="B72" s="43" t="n">
        <v>0.6041666666666666</v>
      </c>
      <c r="C72" s="37" t="inlineStr">
        <is>
          <t>Dra. Carolina Mendes</t>
        </is>
      </c>
      <c r="D72" s="37" t="inlineStr">
        <is>
          <t>Sala 1</t>
        </is>
      </c>
      <c r="E72" s="36" t="inlineStr">
        <is>
          <t>Regina Castro</t>
        </is>
      </c>
      <c r="F72" s="37" t="inlineStr">
        <is>
          <t>Vida Care</t>
        </is>
      </c>
      <c r="G72" s="37" t="inlineStr">
        <is>
          <t>Consulta</t>
        </is>
      </c>
      <c r="H72" s="37" t="inlineStr">
        <is>
          <t>Falta</t>
        </is>
      </c>
      <c r="I72" s="37" t="n"/>
      <c r="J72" s="37" t="n"/>
      <c r="K72" s="36" t="n"/>
      <c r="L72" s="44">
        <f>IF(G72="","",IFERROR(INDEX(Config!$K$5:$K$16,MATCH(G72,Config!$J$5:$J$16,0)),""))</f>
        <v>30</v>
      </c>
      <c r="M72" s="30">
        <f>IF(OR(G72="",F72=""),"",IFERROR(INDEX(Config!$M$5:$R$16,MATCH(G72,Config!$J$5:$J$16,0),MATCH(F72,Config!$H$5:$H$10,0)),""))</f>
        <v>90</v>
      </c>
      <c r="N72" s="29">
        <f>IF(A72="","",MONTH(A72))</f>
        <v>7</v>
      </c>
      <c r="O72" s="29">
        <f>IF(A72="","",YEAR(A72))</f>
        <v>2026</v>
      </c>
      <c r="P72" s="29" t="str">
        <f>IF(A72="","",CHOOSE(WEEKDAY(A72,2),"Segunda","Terça","Quarta","Quinta","Sexta","Sábado","Domingo"))</f>
        <v>Quarta</v>
      </c>
      <c r="Q72" s="29" t="str">
        <f>IF(B72="","",IF(B72&lt;TIME(12,0,0),"Manhã",IF(B72&lt;TIME(18,0,0),"Tarde","Noite")))</f>
        <v>Tarde</v>
      </c>
      <c r="R72" s="45">
        <f>IF(AND(H72="Realizado",L72&lt;&gt;""),L72/60,0)</f>
        <v>0</v>
      </c>
    </row>
    <row r="73">
      <c r="A73" s="42" t="n">
        <v>46211</v>
      </c>
      <c r="B73" s="43" t="n">
        <v>0.625</v>
      </c>
      <c r="C73" s="37" t="inlineStr">
        <is>
          <t>Dra. Carolina Mendes</t>
        </is>
      </c>
      <c r="D73" s="37" t="inlineStr">
        <is>
          <t>Sala 1</t>
        </is>
      </c>
      <c r="E73" s="36" t="inlineStr">
        <is>
          <t>Regina Castro</t>
        </is>
      </c>
      <c r="F73" s="37" t="inlineStr">
        <is>
          <t>Vida Care</t>
        </is>
      </c>
      <c r="G73" s="37" t="inlineStr">
        <is>
          <t>Consulta</t>
        </is>
      </c>
      <c r="H73" s="37" t="inlineStr">
        <is>
          <t>Realizado</t>
        </is>
      </c>
      <c r="I73" s="37" t="inlineStr">
        <is>
          <t>Convênio</t>
        </is>
      </c>
      <c r="J73" s="37" t="n"/>
      <c r="K73" s="36" t="n"/>
      <c r="L73" s="44">
        <f>IF(G73="","",IFERROR(INDEX(Config!$K$5:$K$16,MATCH(G73,Config!$J$5:$J$16,0)),""))</f>
        <v>30</v>
      </c>
      <c r="M73" s="30">
        <f>IF(OR(G73="",F73=""),"",IFERROR(INDEX(Config!$M$5:$R$16,MATCH(G73,Config!$J$5:$J$16,0),MATCH(F73,Config!$H$5:$H$10,0)),""))</f>
        <v>90</v>
      </c>
      <c r="N73" s="29">
        <f>IF(A73="","",MONTH(A73))</f>
        <v>7</v>
      </c>
      <c r="O73" s="29">
        <f>IF(A73="","",YEAR(A73))</f>
        <v>2026</v>
      </c>
      <c r="P73" s="29" t="str">
        <f>IF(A73="","",CHOOSE(WEEKDAY(A73,2),"Segunda","Terça","Quarta","Quinta","Sexta","Sábado","Domingo"))</f>
        <v>Quarta</v>
      </c>
      <c r="Q73" s="29" t="str">
        <f>IF(B73="","",IF(B73&lt;TIME(12,0,0),"Manhã",IF(B73&lt;TIME(18,0,0),"Tarde","Noite")))</f>
        <v>Tarde</v>
      </c>
      <c r="R73" s="45">
        <f>IF(AND(H73="Realizado",L73&lt;&gt;""),L73/60,0)</f>
        <v>0.5</v>
      </c>
    </row>
    <row r="74">
      <c r="A74" s="42" t="n">
        <v>46211</v>
      </c>
      <c r="B74" s="43" t="n">
        <v>0.6458333333333334</v>
      </c>
      <c r="C74" s="37" t="inlineStr">
        <is>
          <t>Dra. Carolina Mendes</t>
        </is>
      </c>
      <c r="D74" s="37" t="inlineStr">
        <is>
          <t>Sala 1</t>
        </is>
      </c>
      <c r="E74" s="36" t="inlineStr">
        <is>
          <t>Eduardo Nunes</t>
        </is>
      </c>
      <c r="F74" s="37" t="inlineStr">
        <is>
          <t>MediPlan</t>
        </is>
      </c>
      <c r="G74" s="37" t="inlineStr">
        <is>
          <t>Consulta</t>
        </is>
      </c>
      <c r="H74" s="37" t="inlineStr">
        <is>
          <t>Falta</t>
        </is>
      </c>
      <c r="I74" s="37" t="n"/>
      <c r="J74" s="37" t="n"/>
      <c r="K74" s="36" t="n"/>
      <c r="L74" s="44">
        <f>IF(G74="","",IFERROR(INDEX(Config!$K$5:$K$16,MATCH(G74,Config!$J$5:$J$16,0)),""))</f>
        <v>30</v>
      </c>
      <c r="M74" s="30">
        <f>IF(OR(G74="",F74=""),"",IFERROR(INDEX(Config!$M$5:$R$16,MATCH(G74,Config!$J$5:$J$16,0),MATCH(F74,Config!$H$5:$H$10,0)),""))</f>
        <v>100</v>
      </c>
      <c r="N74" s="29">
        <f>IF(A74="","",MONTH(A74))</f>
        <v>7</v>
      </c>
      <c r="O74" s="29">
        <f>IF(A74="","",YEAR(A74))</f>
        <v>2026</v>
      </c>
      <c r="P74" s="29" t="str">
        <f>IF(A74="","",CHOOSE(WEEKDAY(A74,2),"Segunda","Terça","Quarta","Quinta","Sexta","Sábado","Domingo"))</f>
        <v>Quarta</v>
      </c>
      <c r="Q74" s="29" t="str">
        <f>IF(B74="","",IF(B74&lt;TIME(12,0,0),"Manhã",IF(B74&lt;TIME(18,0,0),"Tarde","Noite")))</f>
        <v>Tarde</v>
      </c>
      <c r="R74" s="45">
        <f>IF(AND(H74="Realizado",L74&lt;&gt;""),L74/60,0)</f>
        <v>0</v>
      </c>
    </row>
    <row r="75">
      <c r="A75" s="42" t="n">
        <v>46211</v>
      </c>
      <c r="B75" s="43" t="n">
        <v>0.6666666666666666</v>
      </c>
      <c r="C75" s="37" t="inlineStr">
        <is>
          <t>Dra. Carolina Mendes</t>
        </is>
      </c>
      <c r="D75" s="37" t="inlineStr">
        <is>
          <t>Sala 1</t>
        </is>
      </c>
      <c r="E75" s="36" t="inlineStr">
        <is>
          <t>Débora Machado</t>
        </is>
      </c>
      <c r="F75" s="37" t="inlineStr">
        <is>
          <t>Saúde Total</t>
        </is>
      </c>
      <c r="G75" s="37" t="inlineStr">
        <is>
          <t>Retorno</t>
        </is>
      </c>
      <c r="H75" s="37" t="inlineStr">
        <is>
          <t>Realizado</t>
        </is>
      </c>
      <c r="I75" s="37" t="inlineStr">
        <is>
          <t>Sem cobrança</t>
        </is>
      </c>
      <c r="J75" s="37" t="n"/>
      <c r="K75" s="36" t="n"/>
      <c r="L75" s="44">
        <f>IF(G75="","",IFERROR(INDEX(Config!$K$5:$K$16,MATCH(G75,Config!$J$5:$J$16,0)),""))</f>
        <v>20</v>
      </c>
      <c r="M75" s="30">
        <f>IF(OR(G75="",F75=""),"",IFERROR(INDEX(Config!$M$5:$R$16,MATCH(G75,Config!$J$5:$J$16,0),MATCH(F75,Config!$H$5:$H$10,0)),""))</f>
        <v>0</v>
      </c>
      <c r="N75" s="29">
        <f>IF(A75="","",MONTH(A75))</f>
        <v>7</v>
      </c>
      <c r="O75" s="29">
        <f>IF(A75="","",YEAR(A75))</f>
        <v>2026</v>
      </c>
      <c r="P75" s="29" t="str">
        <f>IF(A75="","",CHOOSE(WEEKDAY(A75,2),"Segunda","Terça","Quarta","Quinta","Sexta","Sábado","Domingo"))</f>
        <v>Quarta</v>
      </c>
      <c r="Q75" s="29" t="str">
        <f>IF(B75="","",IF(B75&lt;TIME(12,0,0),"Manhã",IF(B75&lt;TIME(18,0,0),"Tarde","Noite")))</f>
        <v>Tarde</v>
      </c>
      <c r="R75" s="45">
        <f>IF(AND(H75="Realizado",L75&lt;&gt;""),L75/60,0)</f>
        <v>0.333333333333333</v>
      </c>
    </row>
    <row r="76">
      <c r="A76" s="42" t="n">
        <v>46211</v>
      </c>
      <c r="B76" s="43" t="n">
        <v>0.7013888888888888</v>
      </c>
      <c r="C76" s="37" t="inlineStr">
        <is>
          <t>Dra. Carolina Mendes</t>
        </is>
      </c>
      <c r="D76" s="37" t="inlineStr">
        <is>
          <t>Sala 1</t>
        </is>
      </c>
      <c r="E76" s="36" t="inlineStr">
        <is>
          <t>Cláudia Santos</t>
        </is>
      </c>
      <c r="F76" s="37" t="inlineStr">
        <is>
          <t>Particular</t>
        </is>
      </c>
      <c r="G76" s="37" t="inlineStr">
        <is>
          <t>Consulta</t>
        </is>
      </c>
      <c r="H76" s="37" t="inlineStr">
        <is>
          <t>Realizado</t>
        </is>
      </c>
      <c r="I76" s="37" t="inlineStr">
        <is>
          <t>Pix</t>
        </is>
      </c>
      <c r="J76" s="37" t="n"/>
      <c r="K76" s="36" t="n"/>
      <c r="L76" s="44">
        <f>IF(G76="","",IFERROR(INDEX(Config!$K$5:$K$16,MATCH(G76,Config!$J$5:$J$16,0)),""))</f>
        <v>30</v>
      </c>
      <c r="M76" s="30">
        <f>IF(OR(G76="",F76=""),"",IFERROR(INDEX(Config!$M$5:$R$16,MATCH(G76,Config!$J$5:$J$16,0),MATCH(F76,Config!$H$5:$H$10,0)),""))</f>
        <v>380</v>
      </c>
      <c r="N76" s="29">
        <f>IF(A76="","",MONTH(A76))</f>
        <v>7</v>
      </c>
      <c r="O76" s="29">
        <f>IF(A76="","",YEAR(A76))</f>
        <v>2026</v>
      </c>
      <c r="P76" s="29" t="str">
        <f>IF(A76="","",CHOOSE(WEEKDAY(A76,2),"Segunda","Terça","Quarta","Quinta","Sexta","Sábado","Domingo"))</f>
        <v>Quarta</v>
      </c>
      <c r="Q76" s="29" t="str">
        <f>IF(B76="","",IF(B76&lt;TIME(12,0,0),"Manhã",IF(B76&lt;TIME(18,0,0),"Tarde","Noite")))</f>
        <v>Tarde</v>
      </c>
      <c r="R76" s="45">
        <f>IF(AND(H76="Realizado",L76&lt;&gt;""),L76/60,0)</f>
        <v>0.5</v>
      </c>
    </row>
    <row r="77">
      <c r="A77" s="42" t="n">
        <v>46211</v>
      </c>
      <c r="B77" s="43" t="n">
        <v>0.7222222222222222</v>
      </c>
      <c r="C77" s="37" t="inlineStr">
        <is>
          <t>Dra. Carolina Mendes</t>
        </is>
      </c>
      <c r="D77" s="37" t="inlineStr">
        <is>
          <t>Sala 1</t>
        </is>
      </c>
      <c r="E77" s="36" t="inlineStr">
        <is>
          <t>Otávio Nascimento</t>
        </is>
      </c>
      <c r="F77" s="37" t="inlineStr">
        <is>
          <t>Particular</t>
        </is>
      </c>
      <c r="G77" s="37" t="inlineStr">
        <is>
          <t>Consulta</t>
        </is>
      </c>
      <c r="H77" s="37" t="inlineStr">
        <is>
          <t>Realizado</t>
        </is>
      </c>
      <c r="I77" s="37" t="inlineStr">
        <is>
          <t>Cartão de crédito</t>
        </is>
      </c>
      <c r="J77" s="37" t="n"/>
      <c r="K77" s="36" t="n"/>
      <c r="L77" s="44">
        <f>IF(G77="","",IFERROR(INDEX(Config!$K$5:$K$16,MATCH(G77,Config!$J$5:$J$16,0)),""))</f>
        <v>30</v>
      </c>
      <c r="M77" s="30">
        <f>IF(OR(G77="",F77=""),"",IFERROR(INDEX(Config!$M$5:$R$16,MATCH(G77,Config!$J$5:$J$16,0),MATCH(F77,Config!$H$5:$H$10,0)),""))</f>
        <v>380</v>
      </c>
      <c r="N77" s="29">
        <f>IF(A77="","",MONTH(A77))</f>
        <v>7</v>
      </c>
      <c r="O77" s="29">
        <f>IF(A77="","",YEAR(A77))</f>
        <v>2026</v>
      </c>
      <c r="P77" s="29" t="str">
        <f>IF(A77="","",CHOOSE(WEEKDAY(A77,2),"Segunda","Terça","Quarta","Quinta","Sexta","Sábado","Domingo"))</f>
        <v>Quarta</v>
      </c>
      <c r="Q77" s="29" t="str">
        <f>IF(B77="","",IF(B77&lt;TIME(12,0,0),"Manhã",IF(B77&lt;TIME(18,0,0),"Tarde","Noite")))</f>
        <v>Tarde</v>
      </c>
      <c r="R77" s="45">
        <f>IF(AND(H77="Realizado",L77&lt;&gt;""),L77/60,0)</f>
        <v>0.5</v>
      </c>
    </row>
    <row r="78">
      <c r="A78" s="42" t="n">
        <v>46212</v>
      </c>
      <c r="B78" s="43" t="n">
        <v>0.3333333333333333</v>
      </c>
      <c r="C78" s="37" t="inlineStr">
        <is>
          <t>Dra. Carolina Mendes</t>
        </is>
      </c>
      <c r="D78" s="37" t="inlineStr">
        <is>
          <t>Sala 1</t>
        </is>
      </c>
      <c r="E78" s="36" t="inlineStr">
        <is>
          <t>Otávio Cardoso</t>
        </is>
      </c>
      <c r="F78" s="37" t="inlineStr">
        <is>
          <t>Particular</t>
        </is>
      </c>
      <c r="G78" s="37" t="inlineStr">
        <is>
          <t>Retorno</t>
        </is>
      </c>
      <c r="H78" s="37" t="inlineStr">
        <is>
          <t>Falta</t>
        </is>
      </c>
      <c r="I78" s="37" t="n"/>
      <c r="J78" s="37" t="n"/>
      <c r="K78" s="36" t="n"/>
      <c r="L78" s="44">
        <f>IF(G78="","",IFERROR(INDEX(Config!$K$5:$K$16,MATCH(G78,Config!$J$5:$J$16,0)),""))</f>
        <v>20</v>
      </c>
      <c r="M78" s="30">
        <f>IF(OR(G78="",F78=""),"",IFERROR(INDEX(Config!$M$5:$R$16,MATCH(G78,Config!$J$5:$J$16,0),MATCH(F78,Config!$H$5:$H$10,0)),""))</f>
        <v>0</v>
      </c>
      <c r="N78" s="29">
        <f>IF(A78="","",MONTH(A78))</f>
        <v>7</v>
      </c>
      <c r="O78" s="29">
        <f>IF(A78="","",YEAR(A78))</f>
        <v>2026</v>
      </c>
      <c r="P78" s="29" t="str">
        <f>IF(A78="","",CHOOSE(WEEKDAY(A78,2),"Segunda","Terça","Quarta","Quinta","Sexta","Sábado","Domingo"))</f>
        <v>Quinta</v>
      </c>
      <c r="Q78" s="29" t="str">
        <f>IF(B78="","",IF(B78&lt;TIME(12,0,0),"Manhã",IF(B78&lt;TIME(18,0,0),"Tarde","Noite")))</f>
        <v>Manhã</v>
      </c>
      <c r="R78" s="45">
        <f>IF(AND(H78="Realizado",L78&lt;&gt;""),L78/60,0)</f>
        <v>0</v>
      </c>
    </row>
    <row r="79">
      <c r="A79" s="42" t="n">
        <v>46212</v>
      </c>
      <c r="B79" s="43" t="n">
        <v>0.3472222222222222</v>
      </c>
      <c r="C79" s="37" t="inlineStr">
        <is>
          <t>Dra. Carolina Mendes</t>
        </is>
      </c>
      <c r="D79" s="37" t="inlineStr">
        <is>
          <t>Sala 1</t>
        </is>
      </c>
      <c r="E79" s="36" t="inlineStr">
        <is>
          <t>Elaine Cardoso</t>
        </is>
      </c>
      <c r="F79" s="37" t="inlineStr">
        <is>
          <t>Particular</t>
        </is>
      </c>
      <c r="G79" s="37" t="inlineStr">
        <is>
          <t>Consulta</t>
        </is>
      </c>
      <c r="H79" s="37" t="inlineStr">
        <is>
          <t>Realizado</t>
        </is>
      </c>
      <c r="I79" s="37" t="inlineStr">
        <is>
          <t>Cartão de crédito</t>
        </is>
      </c>
      <c r="J79" s="37" t="n"/>
      <c r="K79" s="36" t="n"/>
      <c r="L79" s="44">
        <f>IF(G79="","",IFERROR(INDEX(Config!$K$5:$K$16,MATCH(G79,Config!$J$5:$J$16,0)),""))</f>
        <v>30</v>
      </c>
      <c r="M79" s="30">
        <f>IF(OR(G79="",F79=""),"",IFERROR(INDEX(Config!$M$5:$R$16,MATCH(G79,Config!$J$5:$J$16,0),MATCH(F79,Config!$H$5:$H$10,0)),""))</f>
        <v>380</v>
      </c>
      <c r="N79" s="29">
        <f>IF(A79="","",MONTH(A79))</f>
        <v>7</v>
      </c>
      <c r="O79" s="29">
        <f>IF(A79="","",YEAR(A79))</f>
        <v>2026</v>
      </c>
      <c r="P79" s="29" t="str">
        <f>IF(A79="","",CHOOSE(WEEKDAY(A79,2),"Segunda","Terça","Quarta","Quinta","Sexta","Sábado","Domingo"))</f>
        <v>Quinta</v>
      </c>
      <c r="Q79" s="29" t="str">
        <f>IF(B79="","",IF(B79&lt;TIME(12,0,0),"Manhã",IF(B79&lt;TIME(18,0,0),"Tarde","Noite")))</f>
        <v>Manhã</v>
      </c>
      <c r="R79" s="45">
        <f>IF(AND(H79="Realizado",L79&lt;&gt;""),L79/60,0)</f>
        <v>0.5</v>
      </c>
    </row>
    <row r="80">
      <c r="A80" s="42" t="n">
        <v>46212</v>
      </c>
      <c r="B80" s="43" t="n">
        <v>0.3888888888888889</v>
      </c>
      <c r="C80" s="37" t="inlineStr">
        <is>
          <t>Dra. Carolina Mendes</t>
        </is>
      </c>
      <c r="D80" s="37" t="inlineStr">
        <is>
          <t>Sala 1</t>
        </is>
      </c>
      <c r="E80" s="36" t="inlineStr">
        <is>
          <t>Eduardo Nunes</t>
        </is>
      </c>
      <c r="F80" s="37" t="inlineStr">
        <is>
          <t>MediPlan</t>
        </is>
      </c>
      <c r="G80" s="37" t="inlineStr">
        <is>
          <t>Consulta</t>
        </is>
      </c>
      <c r="H80" s="37" t="inlineStr">
        <is>
          <t>Remarcado</t>
        </is>
      </c>
      <c r="I80" s="37" t="n"/>
      <c r="J80" s="37" t="n"/>
      <c r="K80" s="36" t="inlineStr">
        <is>
          <t>Paciente pediu outra data</t>
        </is>
      </c>
      <c r="L80" s="44">
        <f>IF(G80="","",IFERROR(INDEX(Config!$K$5:$K$16,MATCH(G80,Config!$J$5:$J$16,0)),""))</f>
        <v>30</v>
      </c>
      <c r="M80" s="30">
        <f>IF(OR(G80="",F80=""),"",IFERROR(INDEX(Config!$M$5:$R$16,MATCH(G80,Config!$J$5:$J$16,0),MATCH(F80,Config!$H$5:$H$10,0)),""))</f>
        <v>100</v>
      </c>
      <c r="N80" s="29">
        <f>IF(A80="","",MONTH(A80))</f>
        <v>7</v>
      </c>
      <c r="O80" s="29">
        <f>IF(A80="","",YEAR(A80))</f>
        <v>2026</v>
      </c>
      <c r="P80" s="29" t="str">
        <f>IF(A80="","",CHOOSE(WEEKDAY(A80,2),"Segunda","Terça","Quarta","Quinta","Sexta","Sábado","Domingo"))</f>
        <v>Quinta</v>
      </c>
      <c r="Q80" s="29" t="str">
        <f>IF(B80="","",IF(B80&lt;TIME(12,0,0),"Manhã",IF(B80&lt;TIME(18,0,0),"Tarde","Noite")))</f>
        <v>Manhã</v>
      </c>
      <c r="R80" s="45">
        <f>IF(AND(H80="Realizado",L80&lt;&gt;""),L80/60,0)</f>
        <v>0</v>
      </c>
    </row>
    <row r="81">
      <c r="A81" s="42" t="n">
        <v>46212</v>
      </c>
      <c r="B81" s="43" t="n">
        <v>0.4097222222222222</v>
      </c>
      <c r="C81" s="37" t="inlineStr">
        <is>
          <t>Dra. Carolina Mendes</t>
        </is>
      </c>
      <c r="D81" s="37" t="inlineStr">
        <is>
          <t>Sala 1</t>
        </is>
      </c>
      <c r="E81" s="36" t="inlineStr">
        <is>
          <t>Priscila Castro</t>
        </is>
      </c>
      <c r="F81" s="37" t="inlineStr">
        <is>
          <t>Saúde Total</t>
        </is>
      </c>
      <c r="G81" s="37" t="inlineStr">
        <is>
          <t>Consulta</t>
        </is>
      </c>
      <c r="H81" s="37" t="inlineStr">
        <is>
          <t>Realizado</t>
        </is>
      </c>
      <c r="I81" s="37" t="inlineStr">
        <is>
          <t>Convênio</t>
        </is>
      </c>
      <c r="J81" s="37" t="n"/>
      <c r="K81" s="36" t="n"/>
      <c r="L81" s="44">
        <f>IF(G81="","",IFERROR(INDEX(Config!$K$5:$K$16,MATCH(G81,Config!$J$5:$J$16,0)),""))</f>
        <v>30</v>
      </c>
      <c r="M81" s="30">
        <f>IF(OR(G81="",F81=""),"",IFERROR(INDEX(Config!$M$5:$R$16,MATCH(G81,Config!$J$5:$J$16,0),MATCH(F81,Config!$H$5:$H$10,0)),""))</f>
        <v>120</v>
      </c>
      <c r="N81" s="29">
        <f>IF(A81="","",MONTH(A81))</f>
        <v>7</v>
      </c>
      <c r="O81" s="29">
        <f>IF(A81="","",YEAR(A81))</f>
        <v>2026</v>
      </c>
      <c r="P81" s="29" t="str">
        <f>IF(A81="","",CHOOSE(WEEKDAY(A81,2),"Segunda","Terça","Quarta","Quinta","Sexta","Sábado","Domingo"))</f>
        <v>Quinta</v>
      </c>
      <c r="Q81" s="29" t="str">
        <f>IF(B81="","",IF(B81&lt;TIME(12,0,0),"Manhã",IF(B81&lt;TIME(18,0,0),"Tarde","Noite")))</f>
        <v>Manhã</v>
      </c>
      <c r="R81" s="45">
        <f>IF(AND(H81="Realizado",L81&lt;&gt;""),L81/60,0)</f>
        <v>0.5</v>
      </c>
    </row>
    <row r="82">
      <c r="A82" s="42" t="n">
        <v>46212</v>
      </c>
      <c r="B82" s="43" t="n">
        <v>0.4305555555555556</v>
      </c>
      <c r="C82" s="37" t="inlineStr">
        <is>
          <t>Dra. Carolina Mendes</t>
        </is>
      </c>
      <c r="D82" s="37" t="inlineStr">
        <is>
          <t>Sala 1</t>
        </is>
      </c>
      <c r="E82" s="36" t="inlineStr">
        <is>
          <t>Roberta Araújo</t>
        </is>
      </c>
      <c r="F82" s="37" t="inlineStr">
        <is>
          <t>Particular</t>
        </is>
      </c>
      <c r="G82" s="37" t="inlineStr">
        <is>
          <t>Consulta</t>
        </is>
      </c>
      <c r="H82" s="37" t="inlineStr">
        <is>
          <t>Realizado</t>
        </is>
      </c>
      <c r="I82" s="37" t="inlineStr">
        <is>
          <t>Pix</t>
        </is>
      </c>
      <c r="J82" s="37" t="n"/>
      <c r="K82" s="36" t="n"/>
      <c r="L82" s="44">
        <f>IF(G82="","",IFERROR(INDEX(Config!$K$5:$K$16,MATCH(G82,Config!$J$5:$J$16,0)),""))</f>
        <v>30</v>
      </c>
      <c r="M82" s="30">
        <f>IF(OR(G82="",F82=""),"",IFERROR(INDEX(Config!$M$5:$R$16,MATCH(G82,Config!$J$5:$J$16,0),MATCH(F82,Config!$H$5:$H$10,0)),""))</f>
        <v>380</v>
      </c>
      <c r="N82" s="29">
        <f>IF(A82="","",MONTH(A82))</f>
        <v>7</v>
      </c>
      <c r="O82" s="29">
        <f>IF(A82="","",YEAR(A82))</f>
        <v>2026</v>
      </c>
      <c r="P82" s="29" t="str">
        <f>IF(A82="","",CHOOSE(WEEKDAY(A82,2),"Segunda","Terça","Quarta","Quinta","Sexta","Sábado","Domingo"))</f>
        <v>Quinta</v>
      </c>
      <c r="Q82" s="29" t="str">
        <f>IF(B82="","",IF(B82&lt;TIME(12,0,0),"Manhã",IF(B82&lt;TIME(18,0,0),"Tarde","Noite")))</f>
        <v>Manhã</v>
      </c>
      <c r="R82" s="45">
        <f>IF(AND(H82="Realizado",L82&lt;&gt;""),L82/60,0)</f>
        <v>0.5</v>
      </c>
    </row>
    <row r="83">
      <c r="A83" s="42" t="n">
        <v>46212</v>
      </c>
      <c r="B83" s="43" t="n">
        <v>0.4513888888888889</v>
      </c>
      <c r="C83" s="37" t="inlineStr">
        <is>
          <t>Dra. Carolina Mendes</t>
        </is>
      </c>
      <c r="D83" s="37" t="inlineStr">
        <is>
          <t>Sala 1</t>
        </is>
      </c>
      <c r="E83" s="36" t="inlineStr">
        <is>
          <t>Tatiana Cunha</t>
        </is>
      </c>
      <c r="F83" s="37" t="inlineStr">
        <is>
          <t>Saúde Total</t>
        </is>
      </c>
      <c r="G83" s="37" t="inlineStr">
        <is>
          <t>Consulta</t>
        </is>
      </c>
      <c r="H83" s="37" t="inlineStr">
        <is>
          <t>Realizado</t>
        </is>
      </c>
      <c r="I83" s="37" t="inlineStr">
        <is>
          <t>Convênio</t>
        </is>
      </c>
      <c r="J83" s="37" t="n"/>
      <c r="K83" s="36" t="n"/>
      <c r="L83" s="44">
        <f>IF(G83="","",IFERROR(INDEX(Config!$K$5:$K$16,MATCH(G83,Config!$J$5:$J$16,0)),""))</f>
        <v>30</v>
      </c>
      <c r="M83" s="30">
        <f>IF(OR(G83="",F83=""),"",IFERROR(INDEX(Config!$M$5:$R$16,MATCH(G83,Config!$J$5:$J$16,0),MATCH(F83,Config!$H$5:$H$10,0)),""))</f>
        <v>120</v>
      </c>
      <c r="N83" s="29">
        <f>IF(A83="","",MONTH(A83))</f>
        <v>7</v>
      </c>
      <c r="O83" s="29">
        <f>IF(A83="","",YEAR(A83))</f>
        <v>2026</v>
      </c>
      <c r="P83" s="29" t="str">
        <f>IF(A83="","",CHOOSE(WEEKDAY(A83,2),"Segunda","Terça","Quarta","Quinta","Sexta","Sábado","Domingo"))</f>
        <v>Quinta</v>
      </c>
      <c r="Q83" s="29" t="str">
        <f>IF(B83="","",IF(B83&lt;TIME(12,0,0),"Manhã",IF(B83&lt;TIME(18,0,0),"Tarde","Noite")))</f>
        <v>Manhã</v>
      </c>
      <c r="R83" s="45">
        <f>IF(AND(H83="Realizado",L83&lt;&gt;""),L83/60,0)</f>
        <v>0.5</v>
      </c>
    </row>
    <row r="84">
      <c r="A84" s="42" t="n">
        <v>46212</v>
      </c>
      <c r="B84" s="43" t="n">
        <v>0.5833333333333334</v>
      </c>
      <c r="C84" s="37" t="inlineStr">
        <is>
          <t>Dra. Renata Sousa</t>
        </is>
      </c>
      <c r="D84" s="37" t="inlineStr">
        <is>
          <t>Sala 1</t>
        </is>
      </c>
      <c r="E84" s="36" t="inlineStr">
        <is>
          <t>Fábio Ferreira</t>
        </is>
      </c>
      <c r="F84" s="37" t="inlineStr">
        <is>
          <t>Particular</t>
        </is>
      </c>
      <c r="G84" s="37" t="inlineStr">
        <is>
          <t>Retorno</t>
        </is>
      </c>
      <c r="H84" s="37" t="inlineStr">
        <is>
          <t>Realizado</t>
        </is>
      </c>
      <c r="I84" s="37" t="inlineStr">
        <is>
          <t>Sem cobrança</t>
        </is>
      </c>
      <c r="J84" s="37" t="n"/>
      <c r="K84" s="36" t="n"/>
      <c r="L84" s="44">
        <f>IF(G84="","",IFERROR(INDEX(Config!$K$5:$K$16,MATCH(G84,Config!$J$5:$J$16,0)),""))</f>
        <v>20</v>
      </c>
      <c r="M84" s="30">
        <f>IF(OR(G84="",F84=""),"",IFERROR(INDEX(Config!$M$5:$R$16,MATCH(G84,Config!$J$5:$J$16,0),MATCH(F84,Config!$H$5:$H$10,0)),""))</f>
        <v>0</v>
      </c>
      <c r="N84" s="29">
        <f>IF(A84="","",MONTH(A84))</f>
        <v>7</v>
      </c>
      <c r="O84" s="29">
        <f>IF(A84="","",YEAR(A84))</f>
        <v>2026</v>
      </c>
      <c r="P84" s="29" t="str">
        <f>IF(A84="","",CHOOSE(WEEKDAY(A84,2),"Segunda","Terça","Quarta","Quinta","Sexta","Sábado","Domingo"))</f>
        <v>Quinta</v>
      </c>
      <c r="Q84" s="29" t="str">
        <f>IF(B84="","",IF(B84&lt;TIME(12,0,0),"Manhã",IF(B84&lt;TIME(18,0,0),"Tarde","Noite")))</f>
        <v>Tarde</v>
      </c>
      <c r="R84" s="45">
        <f>IF(AND(H84="Realizado",L84&lt;&gt;""),L84/60,0)</f>
        <v>0.333333333333333</v>
      </c>
    </row>
    <row r="85">
      <c r="A85" s="42" t="n">
        <v>46212</v>
      </c>
      <c r="B85" s="43" t="n">
        <v>0.5833333333333334</v>
      </c>
      <c r="C85" s="37" t="inlineStr">
        <is>
          <t>Dr. Paulo Andrade</t>
        </is>
      </c>
      <c r="D85" s="37" t="inlineStr">
        <is>
          <t>Sala 2</t>
        </is>
      </c>
      <c r="E85" s="36" t="inlineStr">
        <is>
          <t>Leandro Ferreira</t>
        </is>
      </c>
      <c r="F85" s="37" t="inlineStr">
        <is>
          <t>Saúde Total</t>
        </is>
      </c>
      <c r="G85" s="37" t="inlineStr">
        <is>
          <t>Retorno</t>
        </is>
      </c>
      <c r="H85" s="37" t="inlineStr">
        <is>
          <t>Realizado</t>
        </is>
      </c>
      <c r="I85" s="37" t="inlineStr">
        <is>
          <t>Sem cobrança</t>
        </is>
      </c>
      <c r="J85" s="37" t="n"/>
      <c r="K85" s="36" t="n"/>
      <c r="L85" s="44">
        <f>IF(G85="","",IFERROR(INDEX(Config!$K$5:$K$16,MATCH(G85,Config!$J$5:$J$16,0)),""))</f>
        <v>20</v>
      </c>
      <c r="M85" s="30">
        <f>IF(OR(G85="",F85=""),"",IFERROR(INDEX(Config!$M$5:$R$16,MATCH(G85,Config!$J$5:$J$16,0),MATCH(F85,Config!$H$5:$H$10,0)),""))</f>
        <v>0</v>
      </c>
      <c r="N85" s="29">
        <f>IF(A85="","",MONTH(A85))</f>
        <v>7</v>
      </c>
      <c r="O85" s="29">
        <f>IF(A85="","",YEAR(A85))</f>
        <v>2026</v>
      </c>
      <c r="P85" s="29" t="str">
        <f>IF(A85="","",CHOOSE(WEEKDAY(A85,2),"Segunda","Terça","Quarta","Quinta","Sexta","Sábado","Domingo"))</f>
        <v>Quinta</v>
      </c>
      <c r="Q85" s="29" t="str">
        <f>IF(B85="","",IF(B85&lt;TIME(12,0,0),"Manhã",IF(B85&lt;TIME(18,0,0),"Tarde","Noite")))</f>
        <v>Tarde</v>
      </c>
      <c r="R85" s="45">
        <f>IF(AND(H85="Realizado",L85&lt;&gt;""),L85/60,0)</f>
        <v>0.333333333333333</v>
      </c>
    </row>
    <row r="86">
      <c r="A86" s="42" t="n">
        <v>46212</v>
      </c>
      <c r="B86" s="43" t="n">
        <v>0.5972222222222222</v>
      </c>
      <c r="C86" s="37" t="inlineStr">
        <is>
          <t>Dra. Renata Sousa</t>
        </is>
      </c>
      <c r="D86" s="37" t="inlineStr">
        <is>
          <t>Sala 1</t>
        </is>
      </c>
      <c r="E86" s="36" t="inlineStr">
        <is>
          <t>Fábio Gomes</t>
        </is>
      </c>
      <c r="F86" s="37" t="inlineStr">
        <is>
          <t>Particular</t>
        </is>
      </c>
      <c r="G86" s="37" t="inlineStr">
        <is>
          <t>Avaliação endócrina</t>
        </is>
      </c>
      <c r="H86" s="37" t="inlineStr">
        <is>
          <t>Realizado</t>
        </is>
      </c>
      <c r="I86" s="37" t="inlineStr">
        <is>
          <t>Cartão de crédito</t>
        </is>
      </c>
      <c r="J86" s="37" t="n"/>
      <c r="K86" s="36" t="n"/>
      <c r="L86" s="44">
        <f>IF(G86="","",IFERROR(INDEX(Config!$K$5:$K$16,MATCH(G86,Config!$J$5:$J$16,0)),""))</f>
        <v>40</v>
      </c>
      <c r="M86" s="30">
        <f>IF(OR(G86="",F86=""),"",IFERROR(INDEX(Config!$M$5:$R$16,MATCH(G86,Config!$J$5:$J$16,0),MATCH(F86,Config!$H$5:$H$10,0)),""))</f>
        <v>400</v>
      </c>
      <c r="N86" s="29">
        <f>IF(A86="","",MONTH(A86))</f>
        <v>7</v>
      </c>
      <c r="O86" s="29">
        <f>IF(A86="","",YEAR(A86))</f>
        <v>2026</v>
      </c>
      <c r="P86" s="29" t="str">
        <f>IF(A86="","",CHOOSE(WEEKDAY(A86,2),"Segunda","Terça","Quarta","Quinta","Sexta","Sábado","Domingo"))</f>
        <v>Quinta</v>
      </c>
      <c r="Q86" s="29" t="str">
        <f>IF(B86="","",IF(B86&lt;TIME(12,0,0),"Manhã",IF(B86&lt;TIME(18,0,0),"Tarde","Noite")))</f>
        <v>Tarde</v>
      </c>
      <c r="R86" s="45">
        <f>IF(AND(H86="Realizado",L86&lt;&gt;""),L86/60,0)</f>
        <v>0.666666666666667</v>
      </c>
    </row>
    <row r="87">
      <c r="A87" s="42" t="n">
        <v>46212</v>
      </c>
      <c r="B87" s="43" t="n">
        <v>0.5972222222222222</v>
      </c>
      <c r="C87" s="37" t="inlineStr">
        <is>
          <t>Dr. Paulo Andrade</t>
        </is>
      </c>
      <c r="D87" s="37" t="inlineStr">
        <is>
          <t>Sala 2</t>
        </is>
      </c>
      <c r="E87" s="36" t="inlineStr">
        <is>
          <t>Gabriel Vieira</t>
        </is>
      </c>
      <c r="F87" s="37" t="inlineStr">
        <is>
          <t>Vida Care</t>
        </is>
      </c>
      <c r="G87" s="37" t="inlineStr">
        <is>
          <t>Consulta</t>
        </is>
      </c>
      <c r="H87" s="37" t="inlineStr">
        <is>
          <t>Realizado</t>
        </is>
      </c>
      <c r="I87" s="37" t="inlineStr">
        <is>
          <t>Convênio</t>
        </is>
      </c>
      <c r="J87" s="37" t="n"/>
      <c r="K87" s="36" t="n"/>
      <c r="L87" s="44">
        <f>IF(G87="","",IFERROR(INDEX(Config!$K$5:$K$16,MATCH(G87,Config!$J$5:$J$16,0)),""))</f>
        <v>30</v>
      </c>
      <c r="M87" s="30">
        <f>IF(OR(G87="",F87=""),"",IFERROR(INDEX(Config!$M$5:$R$16,MATCH(G87,Config!$J$5:$J$16,0),MATCH(F87,Config!$H$5:$H$10,0)),""))</f>
        <v>90</v>
      </c>
      <c r="N87" s="29">
        <f>IF(A87="","",MONTH(A87))</f>
        <v>7</v>
      </c>
      <c r="O87" s="29">
        <f>IF(A87="","",YEAR(A87))</f>
        <v>2026</v>
      </c>
      <c r="P87" s="29" t="str">
        <f>IF(A87="","",CHOOSE(WEEKDAY(A87,2),"Segunda","Terça","Quarta","Quinta","Sexta","Sábado","Domingo"))</f>
        <v>Quinta</v>
      </c>
      <c r="Q87" s="29" t="str">
        <f>IF(B87="","",IF(B87&lt;TIME(12,0,0),"Manhã",IF(B87&lt;TIME(18,0,0),"Tarde","Noite")))</f>
        <v>Tarde</v>
      </c>
      <c r="R87" s="45">
        <f>IF(AND(H87="Realizado",L87&lt;&gt;""),L87/60,0)</f>
        <v>0.5</v>
      </c>
    </row>
    <row r="88">
      <c r="A88" s="42" t="n">
        <v>46212</v>
      </c>
      <c r="B88" s="43" t="n">
        <v>0.6180555555555556</v>
      </c>
      <c r="C88" s="37" t="inlineStr">
        <is>
          <t>Dr. Paulo Andrade</t>
        </is>
      </c>
      <c r="D88" s="37" t="inlineStr">
        <is>
          <t>Sala 2</t>
        </is>
      </c>
      <c r="E88" s="36" t="inlineStr">
        <is>
          <t>Paulo Nascimento</t>
        </is>
      </c>
      <c r="F88" s="37" t="inlineStr">
        <is>
          <t>MediPlan</t>
        </is>
      </c>
      <c r="G88" s="37" t="inlineStr">
        <is>
          <t>Consulta</t>
        </is>
      </c>
      <c r="H88" s="37" t="inlineStr">
        <is>
          <t>Realizado</t>
        </is>
      </c>
      <c r="I88" s="37" t="inlineStr">
        <is>
          <t>Convênio</t>
        </is>
      </c>
      <c r="J88" s="37" t="n"/>
      <c r="K88" s="36" t="n"/>
      <c r="L88" s="44">
        <f>IF(G88="","",IFERROR(INDEX(Config!$K$5:$K$16,MATCH(G88,Config!$J$5:$J$16,0)),""))</f>
        <v>30</v>
      </c>
      <c r="M88" s="30">
        <f>IF(OR(G88="",F88=""),"",IFERROR(INDEX(Config!$M$5:$R$16,MATCH(G88,Config!$J$5:$J$16,0),MATCH(F88,Config!$H$5:$H$10,0)),""))</f>
        <v>100</v>
      </c>
      <c r="N88" s="29">
        <f>IF(A88="","",MONTH(A88))</f>
        <v>7</v>
      </c>
      <c r="O88" s="29">
        <f>IF(A88="","",YEAR(A88))</f>
        <v>2026</v>
      </c>
      <c r="P88" s="29" t="str">
        <f>IF(A88="","",CHOOSE(WEEKDAY(A88,2),"Segunda","Terça","Quarta","Quinta","Sexta","Sábado","Domingo"))</f>
        <v>Quinta</v>
      </c>
      <c r="Q88" s="29" t="str">
        <f>IF(B88="","",IF(B88&lt;TIME(12,0,0),"Manhã",IF(B88&lt;TIME(18,0,0),"Tarde","Noite")))</f>
        <v>Tarde</v>
      </c>
      <c r="R88" s="45">
        <f>IF(AND(H88="Realizado",L88&lt;&gt;""),L88/60,0)</f>
        <v>0.5</v>
      </c>
    </row>
    <row r="89">
      <c r="A89" s="42" t="n">
        <v>46212</v>
      </c>
      <c r="B89" s="43" t="n">
        <v>0.625</v>
      </c>
      <c r="C89" s="37" t="inlineStr">
        <is>
          <t>Dra. Renata Sousa</t>
        </is>
      </c>
      <c r="D89" s="37" t="inlineStr">
        <is>
          <t>Sala 1</t>
        </is>
      </c>
      <c r="E89" s="36" t="inlineStr">
        <is>
          <t>Isabela Barbosa</t>
        </is>
      </c>
      <c r="F89" s="37" t="inlineStr">
        <is>
          <t>Saúde Total</t>
        </is>
      </c>
      <c r="G89" s="37" t="inlineStr">
        <is>
          <t>Avaliação endócrina</t>
        </is>
      </c>
      <c r="H89" s="37" t="inlineStr">
        <is>
          <t>Realizado</t>
        </is>
      </c>
      <c r="I89" s="37" t="inlineStr">
        <is>
          <t>Convênio</t>
        </is>
      </c>
      <c r="J89" s="37" t="n"/>
      <c r="K89" s="36" t="n"/>
      <c r="L89" s="44">
        <f>IF(G89="","",IFERROR(INDEX(Config!$K$5:$K$16,MATCH(G89,Config!$J$5:$J$16,0)),""))</f>
        <v>40</v>
      </c>
      <c r="M89" s="30">
        <f>IF(OR(G89="",F89=""),"",IFERROR(INDEX(Config!$M$5:$R$16,MATCH(G89,Config!$J$5:$J$16,0),MATCH(F89,Config!$H$5:$H$10,0)),""))</f>
        <v>130</v>
      </c>
      <c r="N89" s="29">
        <f>IF(A89="","",MONTH(A89))</f>
        <v>7</v>
      </c>
      <c r="O89" s="29">
        <f>IF(A89="","",YEAR(A89))</f>
        <v>2026</v>
      </c>
      <c r="P89" s="29" t="str">
        <f>IF(A89="","",CHOOSE(WEEKDAY(A89,2),"Segunda","Terça","Quarta","Quinta","Sexta","Sábado","Domingo"))</f>
        <v>Quinta</v>
      </c>
      <c r="Q89" s="29" t="str">
        <f>IF(B89="","",IF(B89&lt;TIME(12,0,0),"Manhã",IF(B89&lt;TIME(18,0,0),"Tarde","Noite")))</f>
        <v>Tarde</v>
      </c>
      <c r="R89" s="45">
        <f>IF(AND(H89="Realizado",L89&lt;&gt;""),L89/60,0)</f>
        <v>0.666666666666667</v>
      </c>
    </row>
    <row r="90">
      <c r="A90" s="42" t="n">
        <v>46212</v>
      </c>
      <c r="B90" s="43" t="n">
        <v>0.6388888888888888</v>
      </c>
      <c r="C90" s="37" t="inlineStr">
        <is>
          <t>Dr. Paulo Andrade</t>
        </is>
      </c>
      <c r="D90" s="37" t="inlineStr">
        <is>
          <t>Sala 2</t>
        </is>
      </c>
      <c r="E90" s="36" t="inlineStr">
        <is>
          <t>Priscila Pinto</t>
        </is>
      </c>
      <c r="F90" s="37" t="inlineStr">
        <is>
          <t>Saúde Total</t>
        </is>
      </c>
      <c r="G90" s="37" t="inlineStr">
        <is>
          <t>Consulta</t>
        </is>
      </c>
      <c r="H90" s="37" t="inlineStr">
        <is>
          <t>Realizado</t>
        </is>
      </c>
      <c r="I90" s="37" t="inlineStr">
        <is>
          <t>Convênio</t>
        </is>
      </c>
      <c r="J90" s="37" t="n"/>
      <c r="K90" s="36" t="n"/>
      <c r="L90" s="44">
        <f>IF(G90="","",IFERROR(INDEX(Config!$K$5:$K$16,MATCH(G90,Config!$J$5:$J$16,0)),""))</f>
        <v>30</v>
      </c>
      <c r="M90" s="30">
        <f>IF(OR(G90="",F90=""),"",IFERROR(INDEX(Config!$M$5:$R$16,MATCH(G90,Config!$J$5:$J$16,0),MATCH(F90,Config!$H$5:$H$10,0)),""))</f>
        <v>120</v>
      </c>
      <c r="N90" s="29">
        <f>IF(A90="","",MONTH(A90))</f>
        <v>7</v>
      </c>
      <c r="O90" s="29">
        <f>IF(A90="","",YEAR(A90))</f>
        <v>2026</v>
      </c>
      <c r="P90" s="29" t="str">
        <f>IF(A90="","",CHOOSE(WEEKDAY(A90,2),"Segunda","Terça","Quarta","Quinta","Sexta","Sábado","Domingo"))</f>
        <v>Quinta</v>
      </c>
      <c r="Q90" s="29" t="str">
        <f>IF(B90="","",IF(B90&lt;TIME(12,0,0),"Manhã",IF(B90&lt;TIME(18,0,0),"Tarde","Noite")))</f>
        <v>Tarde</v>
      </c>
      <c r="R90" s="45">
        <f>IF(AND(H90="Realizado",L90&lt;&gt;""),L90/60,0)</f>
        <v>0.5</v>
      </c>
    </row>
    <row r="91">
      <c r="A91" s="42" t="n">
        <v>46212</v>
      </c>
      <c r="B91" s="43" t="n">
        <v>0.6527777777777778</v>
      </c>
      <c r="C91" s="37" t="inlineStr">
        <is>
          <t>Dra. Renata Sousa</t>
        </is>
      </c>
      <c r="D91" s="37" t="inlineStr">
        <is>
          <t>Sala 1</t>
        </is>
      </c>
      <c r="E91" s="36" t="inlineStr">
        <is>
          <t>Rafael Pereira</t>
        </is>
      </c>
      <c r="F91" s="37" t="inlineStr">
        <is>
          <t>Particular</t>
        </is>
      </c>
      <c r="G91" s="37" t="inlineStr">
        <is>
          <t>Avaliação endócrina</t>
        </is>
      </c>
      <c r="H91" s="37" t="inlineStr">
        <is>
          <t>Realizado</t>
        </is>
      </c>
      <c r="I91" s="37" t="inlineStr">
        <is>
          <t>Pix</t>
        </is>
      </c>
      <c r="J91" s="37" t="n"/>
      <c r="K91" s="36" t="n"/>
      <c r="L91" s="44">
        <f>IF(G91="","",IFERROR(INDEX(Config!$K$5:$K$16,MATCH(G91,Config!$J$5:$J$16,0)),""))</f>
        <v>40</v>
      </c>
      <c r="M91" s="30">
        <f>IF(OR(G91="",F91=""),"",IFERROR(INDEX(Config!$M$5:$R$16,MATCH(G91,Config!$J$5:$J$16,0),MATCH(F91,Config!$H$5:$H$10,0)),""))</f>
        <v>400</v>
      </c>
      <c r="N91" s="29">
        <f>IF(A91="","",MONTH(A91))</f>
        <v>7</v>
      </c>
      <c r="O91" s="29">
        <f>IF(A91="","",YEAR(A91))</f>
        <v>2026</v>
      </c>
      <c r="P91" s="29" t="str">
        <f>IF(A91="","",CHOOSE(WEEKDAY(A91,2),"Segunda","Terça","Quarta","Quinta","Sexta","Sábado","Domingo"))</f>
        <v>Quinta</v>
      </c>
      <c r="Q91" s="29" t="str">
        <f>IF(B91="","",IF(B91&lt;TIME(12,0,0),"Manhã",IF(B91&lt;TIME(18,0,0),"Tarde","Noite")))</f>
        <v>Tarde</v>
      </c>
      <c r="R91" s="45">
        <f>IF(AND(H91="Realizado",L91&lt;&gt;""),L91/60,0)</f>
        <v>0.666666666666667</v>
      </c>
    </row>
    <row r="92">
      <c r="A92" s="42" t="n">
        <v>46212</v>
      </c>
      <c r="B92" s="43" t="n">
        <v>0.6597222222222222</v>
      </c>
      <c r="C92" s="37" t="inlineStr">
        <is>
          <t>Dr. Paulo Andrade</t>
        </is>
      </c>
      <c r="D92" s="37" t="inlineStr">
        <is>
          <t>Sala 2</t>
        </is>
      </c>
      <c r="E92" s="36" t="inlineStr">
        <is>
          <t>Larissa Costa</t>
        </is>
      </c>
      <c r="F92" s="37" t="inlineStr">
        <is>
          <t>Particular</t>
        </is>
      </c>
      <c r="G92" s="37" t="inlineStr">
        <is>
          <t>ECG</t>
        </is>
      </c>
      <c r="H92" s="37" t="inlineStr">
        <is>
          <t>Realizado</t>
        </is>
      </c>
      <c r="I92" s="37" t="inlineStr">
        <is>
          <t>Cartão de crédito</t>
        </is>
      </c>
      <c r="J92" s="37" t="n"/>
      <c r="K92" s="36" t="n"/>
      <c r="L92" s="44">
        <f>IF(G92="","",IFERROR(INDEX(Config!$K$5:$K$16,MATCH(G92,Config!$J$5:$J$16,0)),""))</f>
        <v>20</v>
      </c>
      <c r="M92" s="30">
        <f>IF(OR(G92="",F92=""),"",IFERROR(INDEX(Config!$M$5:$R$16,MATCH(G92,Config!$J$5:$J$16,0),MATCH(F92,Config!$H$5:$H$10,0)),""))</f>
        <v>130</v>
      </c>
      <c r="N92" s="29">
        <f>IF(A92="","",MONTH(A92))</f>
        <v>7</v>
      </c>
      <c r="O92" s="29">
        <f>IF(A92="","",YEAR(A92))</f>
        <v>2026</v>
      </c>
      <c r="P92" s="29" t="str">
        <f>IF(A92="","",CHOOSE(WEEKDAY(A92,2),"Segunda","Terça","Quarta","Quinta","Sexta","Sábado","Domingo"))</f>
        <v>Quinta</v>
      </c>
      <c r="Q92" s="29" t="str">
        <f>IF(B92="","",IF(B92&lt;TIME(12,0,0),"Manhã",IF(B92&lt;TIME(18,0,0),"Tarde","Noite")))</f>
        <v>Tarde</v>
      </c>
      <c r="R92" s="45">
        <f>IF(AND(H92="Realizado",L92&lt;&gt;""),L92/60,0)</f>
        <v>0.333333333333333</v>
      </c>
    </row>
    <row r="93">
      <c r="A93" s="42" t="n">
        <v>46212</v>
      </c>
      <c r="B93" s="43" t="n">
        <v>0.6736111111111112</v>
      </c>
      <c r="C93" s="37" t="inlineStr">
        <is>
          <t>Dr. Paulo Andrade</t>
        </is>
      </c>
      <c r="D93" s="37" t="inlineStr">
        <is>
          <t>Sala 2</t>
        </is>
      </c>
      <c r="E93" s="36" t="inlineStr">
        <is>
          <t>Vanessa Moreira</t>
        </is>
      </c>
      <c r="F93" s="37" t="inlineStr">
        <is>
          <t>Saúde Total</t>
        </is>
      </c>
      <c r="G93" s="37" t="inlineStr">
        <is>
          <t>Consulta</t>
        </is>
      </c>
      <c r="H93" s="37" t="inlineStr">
        <is>
          <t>Realizado</t>
        </is>
      </c>
      <c r="I93" s="37" t="inlineStr">
        <is>
          <t>Convênio</t>
        </is>
      </c>
      <c r="J93" s="37" t="n"/>
      <c r="K93" s="36" t="n"/>
      <c r="L93" s="44">
        <f>IF(G93="","",IFERROR(INDEX(Config!$K$5:$K$16,MATCH(G93,Config!$J$5:$J$16,0)),""))</f>
        <v>30</v>
      </c>
      <c r="M93" s="30">
        <f>IF(OR(G93="",F93=""),"",IFERROR(INDEX(Config!$M$5:$R$16,MATCH(G93,Config!$J$5:$J$16,0),MATCH(F93,Config!$H$5:$H$10,0)),""))</f>
        <v>120</v>
      </c>
      <c r="N93" s="29">
        <f>IF(A93="","",MONTH(A93))</f>
        <v>7</v>
      </c>
      <c r="O93" s="29">
        <f>IF(A93="","",YEAR(A93))</f>
        <v>2026</v>
      </c>
      <c r="P93" s="29" t="str">
        <f>IF(A93="","",CHOOSE(WEEKDAY(A93,2),"Segunda","Terça","Quarta","Quinta","Sexta","Sábado","Domingo"))</f>
        <v>Quinta</v>
      </c>
      <c r="Q93" s="29" t="str">
        <f>IF(B93="","",IF(B93&lt;TIME(12,0,0),"Manhã",IF(B93&lt;TIME(18,0,0),"Tarde","Noite")))</f>
        <v>Tarde</v>
      </c>
      <c r="R93" s="45">
        <f>IF(AND(H93="Realizado",L93&lt;&gt;""),L93/60,0)</f>
        <v>0.5</v>
      </c>
    </row>
    <row r="94">
      <c r="A94" s="42" t="n">
        <v>46212</v>
      </c>
      <c r="B94" s="43" t="n">
        <v>0.6944444444444444</v>
      </c>
      <c r="C94" s="37" t="inlineStr">
        <is>
          <t>Dr. Paulo Andrade</t>
        </is>
      </c>
      <c r="D94" s="37" t="inlineStr">
        <is>
          <t>Sala 2</t>
        </is>
      </c>
      <c r="E94" s="36" t="inlineStr">
        <is>
          <t>Patrícia Vieira</t>
        </is>
      </c>
      <c r="F94" s="37" t="inlineStr">
        <is>
          <t>Saúde Total</t>
        </is>
      </c>
      <c r="G94" s="37" t="inlineStr">
        <is>
          <t>Consulta</t>
        </is>
      </c>
      <c r="H94" s="37" t="inlineStr">
        <is>
          <t>Realizado</t>
        </is>
      </c>
      <c r="I94" s="37" t="inlineStr">
        <is>
          <t>Convênio</t>
        </is>
      </c>
      <c r="J94" s="37" t="n"/>
      <c r="K94" s="36" t="n"/>
      <c r="L94" s="44">
        <f>IF(G94="","",IFERROR(INDEX(Config!$K$5:$K$16,MATCH(G94,Config!$J$5:$J$16,0)),""))</f>
        <v>30</v>
      </c>
      <c r="M94" s="30">
        <f>IF(OR(G94="",F94=""),"",IFERROR(INDEX(Config!$M$5:$R$16,MATCH(G94,Config!$J$5:$J$16,0),MATCH(F94,Config!$H$5:$H$10,0)),""))</f>
        <v>120</v>
      </c>
      <c r="N94" s="29">
        <f>IF(A94="","",MONTH(A94))</f>
        <v>7</v>
      </c>
      <c r="O94" s="29">
        <f>IF(A94="","",YEAR(A94))</f>
        <v>2026</v>
      </c>
      <c r="P94" s="29" t="str">
        <f>IF(A94="","",CHOOSE(WEEKDAY(A94,2),"Segunda","Terça","Quarta","Quinta","Sexta","Sábado","Domingo"))</f>
        <v>Quinta</v>
      </c>
      <c r="Q94" s="29" t="str">
        <f>IF(B94="","",IF(B94&lt;TIME(12,0,0),"Manhã",IF(B94&lt;TIME(18,0,0),"Tarde","Noite")))</f>
        <v>Tarde</v>
      </c>
      <c r="R94" s="45">
        <f>IF(AND(H94="Realizado",L94&lt;&gt;""),L94/60,0)</f>
        <v>0.5</v>
      </c>
    </row>
    <row r="95">
      <c r="A95" s="42" t="n">
        <v>46212</v>
      </c>
      <c r="B95" s="43" t="n">
        <v>0.7152777777777778</v>
      </c>
      <c r="C95" s="37" t="inlineStr">
        <is>
          <t>Dr. Paulo Andrade</t>
        </is>
      </c>
      <c r="D95" s="37" t="inlineStr">
        <is>
          <t>Sala 2</t>
        </is>
      </c>
      <c r="E95" s="36" t="inlineStr">
        <is>
          <t>Fábio Correia</t>
        </is>
      </c>
      <c r="F95" s="37" t="inlineStr">
        <is>
          <t>Particular</t>
        </is>
      </c>
      <c r="G95" s="37" t="inlineStr">
        <is>
          <t>Consulta</t>
        </is>
      </c>
      <c r="H95" s="37" t="inlineStr">
        <is>
          <t>Realizado</t>
        </is>
      </c>
      <c r="I95" s="37" t="inlineStr">
        <is>
          <t>Cartão de crédito</t>
        </is>
      </c>
      <c r="J95" s="37" t="n"/>
      <c r="K95" s="36" t="n"/>
      <c r="L95" s="44">
        <f>IF(G95="","",IFERROR(INDEX(Config!$K$5:$K$16,MATCH(G95,Config!$J$5:$J$16,0)),""))</f>
        <v>30</v>
      </c>
      <c r="M95" s="30">
        <f>IF(OR(G95="",F95=""),"",IFERROR(INDEX(Config!$M$5:$R$16,MATCH(G95,Config!$J$5:$J$16,0),MATCH(F95,Config!$H$5:$H$10,0)),""))</f>
        <v>380</v>
      </c>
      <c r="N95" s="29">
        <f>IF(A95="","",MONTH(A95))</f>
        <v>7</v>
      </c>
      <c r="O95" s="29">
        <f>IF(A95="","",YEAR(A95))</f>
        <v>2026</v>
      </c>
      <c r="P95" s="29" t="str">
        <f>IF(A95="","",CHOOSE(WEEKDAY(A95,2),"Segunda","Terça","Quarta","Quinta","Sexta","Sábado","Domingo"))</f>
        <v>Quinta</v>
      </c>
      <c r="Q95" s="29" t="str">
        <f>IF(B95="","",IF(B95&lt;TIME(12,0,0),"Manhã",IF(B95&lt;TIME(18,0,0),"Tarde","Noite")))</f>
        <v>Tarde</v>
      </c>
      <c r="R95" s="45">
        <f>IF(AND(H95="Realizado",L95&lt;&gt;""),L95/60,0)</f>
        <v>0.5</v>
      </c>
    </row>
    <row r="96">
      <c r="A96" s="42" t="n">
        <v>46212</v>
      </c>
      <c r="B96" s="43" t="n">
        <v>0.7222222222222222</v>
      </c>
      <c r="C96" s="37" t="inlineStr">
        <is>
          <t>Dra. Renata Sousa</t>
        </is>
      </c>
      <c r="D96" s="37" t="inlineStr">
        <is>
          <t>Sala 1</t>
        </is>
      </c>
      <c r="E96" s="36" t="inlineStr">
        <is>
          <t>Gisele Lopes</t>
        </is>
      </c>
      <c r="F96" s="37" t="inlineStr">
        <is>
          <t>Saúde Total</t>
        </is>
      </c>
      <c r="G96" s="37" t="inlineStr">
        <is>
          <t>Avaliação endócrina</t>
        </is>
      </c>
      <c r="H96" s="37" t="inlineStr">
        <is>
          <t>Realizado</t>
        </is>
      </c>
      <c r="I96" s="37" t="inlineStr">
        <is>
          <t>Convênio</t>
        </is>
      </c>
      <c r="J96" s="37" t="n"/>
      <c r="K96" s="36" t="n"/>
      <c r="L96" s="44">
        <f>IF(G96="","",IFERROR(INDEX(Config!$K$5:$K$16,MATCH(G96,Config!$J$5:$J$16,0)),""))</f>
        <v>40</v>
      </c>
      <c r="M96" s="30">
        <f>IF(OR(G96="",F96=""),"",IFERROR(INDEX(Config!$M$5:$R$16,MATCH(G96,Config!$J$5:$J$16,0),MATCH(F96,Config!$H$5:$H$10,0)),""))</f>
        <v>130</v>
      </c>
      <c r="N96" s="29">
        <f>IF(A96="","",MONTH(A96))</f>
        <v>7</v>
      </c>
      <c r="O96" s="29">
        <f>IF(A96="","",YEAR(A96))</f>
        <v>2026</v>
      </c>
      <c r="P96" s="29" t="str">
        <f>IF(A96="","",CHOOSE(WEEKDAY(A96,2),"Segunda","Terça","Quarta","Quinta","Sexta","Sábado","Domingo"))</f>
        <v>Quinta</v>
      </c>
      <c r="Q96" s="29" t="str">
        <f>IF(B96="","",IF(B96&lt;TIME(12,0,0),"Manhã",IF(B96&lt;TIME(18,0,0),"Tarde","Noite")))</f>
        <v>Tarde</v>
      </c>
      <c r="R96" s="45">
        <f>IF(AND(H96="Realizado",L96&lt;&gt;""),L96/60,0)</f>
        <v>0.666666666666667</v>
      </c>
    </row>
    <row r="97">
      <c r="A97" s="42" t="n">
        <v>46212</v>
      </c>
      <c r="B97" s="43" t="n">
        <v>0.7361111111111112</v>
      </c>
      <c r="C97" s="37" t="inlineStr">
        <is>
          <t>Dr. Paulo Andrade</t>
        </is>
      </c>
      <c r="D97" s="37" t="inlineStr">
        <is>
          <t>Sala 2</t>
        </is>
      </c>
      <c r="E97" s="36" t="inlineStr">
        <is>
          <t>Gustavo Ferreira</t>
        </is>
      </c>
      <c r="F97" s="37" t="inlineStr">
        <is>
          <t>Particular</t>
        </is>
      </c>
      <c r="G97" s="37" t="inlineStr">
        <is>
          <t>Holter</t>
        </is>
      </c>
      <c r="H97" s="37" t="inlineStr">
        <is>
          <t>Realizado</t>
        </is>
      </c>
      <c r="I97" s="37" t="inlineStr">
        <is>
          <t>Pix</t>
        </is>
      </c>
      <c r="J97" s="37" t="n"/>
      <c r="K97" s="36" t="n"/>
      <c r="L97" s="44">
        <f>IF(G97="","",IFERROR(INDEX(Config!$K$5:$K$16,MATCH(G97,Config!$J$5:$J$16,0)),""))</f>
        <v>20</v>
      </c>
      <c r="M97" s="30">
        <f>IF(OR(G97="",F97=""),"",IFERROR(INDEX(Config!$M$5:$R$16,MATCH(G97,Config!$J$5:$J$16,0),MATCH(F97,Config!$H$5:$H$10,0)),""))</f>
        <v>350</v>
      </c>
      <c r="N97" s="29">
        <f>IF(A97="","",MONTH(A97))</f>
        <v>7</v>
      </c>
      <c r="O97" s="29">
        <f>IF(A97="","",YEAR(A97))</f>
        <v>2026</v>
      </c>
      <c r="P97" s="29" t="str">
        <f>IF(A97="","",CHOOSE(WEEKDAY(A97,2),"Segunda","Terça","Quarta","Quinta","Sexta","Sábado","Domingo"))</f>
        <v>Quinta</v>
      </c>
      <c r="Q97" s="29" t="str">
        <f>IF(B97="","",IF(B97&lt;TIME(12,0,0),"Manhã",IF(B97&lt;TIME(18,0,0),"Tarde","Noite")))</f>
        <v>Tarde</v>
      </c>
      <c r="R97" s="45">
        <f>IF(AND(H97="Realizado",L97&lt;&gt;""),L97/60,0)</f>
        <v>0.333333333333333</v>
      </c>
    </row>
    <row r="98">
      <c r="A98" s="42" t="n">
        <v>46213</v>
      </c>
      <c r="B98" s="43" t="n">
        <v>0.3333333333333333</v>
      </c>
      <c r="C98" s="37" t="inlineStr">
        <is>
          <t>Dr. Paulo Andrade</t>
        </is>
      </c>
      <c r="D98" s="37" t="inlineStr">
        <is>
          <t>Sala 2</t>
        </is>
      </c>
      <c r="E98" s="36" t="inlineStr">
        <is>
          <t>Débora Machado</t>
        </is>
      </c>
      <c r="F98" s="37" t="inlineStr">
        <is>
          <t>Saúde Total</t>
        </is>
      </c>
      <c r="G98" s="37" t="inlineStr">
        <is>
          <t>ECG</t>
        </is>
      </c>
      <c r="H98" s="37" t="inlineStr">
        <is>
          <t>Realizado</t>
        </is>
      </c>
      <c r="I98" s="37" t="inlineStr">
        <is>
          <t>Convênio</t>
        </is>
      </c>
      <c r="J98" s="37" t="n"/>
      <c r="K98" s="36" t="n"/>
      <c r="L98" s="44">
        <f>IF(G98="","",IFERROR(INDEX(Config!$K$5:$K$16,MATCH(G98,Config!$J$5:$J$16,0)),""))</f>
        <v>20</v>
      </c>
      <c r="M98" s="30">
        <f>IF(OR(G98="",F98=""),"",IFERROR(INDEX(Config!$M$5:$R$16,MATCH(G98,Config!$J$5:$J$16,0),MATCH(F98,Config!$H$5:$H$10,0)),""))</f>
        <v>40</v>
      </c>
      <c r="N98" s="29">
        <f>IF(A98="","",MONTH(A98))</f>
        <v>7</v>
      </c>
      <c r="O98" s="29">
        <f>IF(A98="","",YEAR(A98))</f>
        <v>2026</v>
      </c>
      <c r="P98" s="29" t="str">
        <f>IF(A98="","",CHOOSE(WEEKDAY(A98,2),"Segunda","Terça","Quarta","Quinta","Sexta","Sábado","Domingo"))</f>
        <v>Sexta</v>
      </c>
      <c r="Q98" s="29" t="str">
        <f>IF(B98="","",IF(B98&lt;TIME(12,0,0),"Manhã",IF(B98&lt;TIME(18,0,0),"Tarde","Noite")))</f>
        <v>Manhã</v>
      </c>
      <c r="R98" s="45">
        <f>IF(AND(H98="Realizado",L98&lt;&gt;""),L98/60,0)</f>
        <v>0.333333333333333</v>
      </c>
    </row>
    <row r="99">
      <c r="A99" s="42" t="n">
        <v>46213</v>
      </c>
      <c r="B99" s="43" t="n">
        <v>0.3472222222222222</v>
      </c>
      <c r="C99" s="37" t="inlineStr">
        <is>
          <t>Dr. Paulo Andrade</t>
        </is>
      </c>
      <c r="D99" s="37" t="inlineStr">
        <is>
          <t>Sala 2</t>
        </is>
      </c>
      <c r="E99" s="36" t="inlineStr">
        <is>
          <t>Patrícia Correia</t>
        </is>
      </c>
      <c r="F99" s="37" t="inlineStr">
        <is>
          <t>Saúde Total</t>
        </is>
      </c>
      <c r="G99" s="37" t="inlineStr">
        <is>
          <t>Consulta</t>
        </is>
      </c>
      <c r="H99" s="37" t="inlineStr">
        <is>
          <t>Realizado</t>
        </is>
      </c>
      <c r="I99" s="37" t="inlineStr">
        <is>
          <t>Convênio</t>
        </is>
      </c>
      <c r="J99" s="37" t="n"/>
      <c r="K99" s="36" t="n"/>
      <c r="L99" s="44">
        <f>IF(G99="","",IFERROR(INDEX(Config!$K$5:$K$16,MATCH(G99,Config!$J$5:$J$16,0)),""))</f>
        <v>30</v>
      </c>
      <c r="M99" s="30">
        <f>IF(OR(G99="",F99=""),"",IFERROR(INDEX(Config!$M$5:$R$16,MATCH(G99,Config!$J$5:$J$16,0),MATCH(F99,Config!$H$5:$H$10,0)),""))</f>
        <v>120</v>
      </c>
      <c r="N99" s="29">
        <f>IF(A99="","",MONTH(A99))</f>
        <v>7</v>
      </c>
      <c r="O99" s="29">
        <f>IF(A99="","",YEAR(A99))</f>
        <v>2026</v>
      </c>
      <c r="P99" s="29" t="str">
        <f>IF(A99="","",CHOOSE(WEEKDAY(A99,2),"Segunda","Terça","Quarta","Quinta","Sexta","Sábado","Domingo"))</f>
        <v>Sexta</v>
      </c>
      <c r="Q99" s="29" t="str">
        <f>IF(B99="","",IF(B99&lt;TIME(12,0,0),"Manhã",IF(B99&lt;TIME(18,0,0),"Tarde","Noite")))</f>
        <v>Manhã</v>
      </c>
      <c r="R99" s="45">
        <f>IF(AND(H99="Realizado",L99&lt;&gt;""),L99/60,0)</f>
        <v>0.5</v>
      </c>
    </row>
    <row r="100">
      <c r="A100" s="42" t="n">
        <v>46213</v>
      </c>
      <c r="B100" s="43" t="n">
        <v>0.3680555555555556</v>
      </c>
      <c r="C100" s="37" t="inlineStr">
        <is>
          <t>Dr. Paulo Andrade</t>
        </is>
      </c>
      <c r="D100" s="37" t="inlineStr">
        <is>
          <t>Sala 2</t>
        </is>
      </c>
      <c r="E100" s="36" t="inlineStr">
        <is>
          <t>Mônica Batista</t>
        </is>
      </c>
      <c r="F100" s="37" t="inlineStr">
        <is>
          <t>MediPlan</t>
        </is>
      </c>
      <c r="G100" s="37" t="inlineStr">
        <is>
          <t>ECG</t>
        </is>
      </c>
      <c r="H100" s="37" t="inlineStr">
        <is>
          <t>Realizado</t>
        </is>
      </c>
      <c r="I100" s="37" t="inlineStr">
        <is>
          <t>Convênio</t>
        </is>
      </c>
      <c r="J100" s="37" t="n"/>
      <c r="K100" s="36" t="n"/>
      <c r="L100" s="44">
        <f>IF(G100="","",IFERROR(INDEX(Config!$K$5:$K$16,MATCH(G100,Config!$J$5:$J$16,0)),""))</f>
        <v>20</v>
      </c>
      <c r="M100" s="30">
        <f>IF(OR(G100="",F100=""),"",IFERROR(INDEX(Config!$M$5:$R$16,MATCH(G100,Config!$J$5:$J$16,0),MATCH(F100,Config!$H$5:$H$10,0)),""))</f>
        <v>35</v>
      </c>
      <c r="N100" s="29">
        <f>IF(A100="","",MONTH(A100))</f>
        <v>7</v>
      </c>
      <c r="O100" s="29">
        <f>IF(A100="","",YEAR(A100))</f>
        <v>2026</v>
      </c>
      <c r="P100" s="29" t="str">
        <f>IF(A100="","",CHOOSE(WEEKDAY(A100,2),"Segunda","Terça","Quarta","Quinta","Sexta","Sábado","Domingo"))</f>
        <v>Sexta</v>
      </c>
      <c r="Q100" s="29" t="str">
        <f>IF(B100="","",IF(B100&lt;TIME(12,0,0),"Manhã",IF(B100&lt;TIME(18,0,0),"Tarde","Noite")))</f>
        <v>Manhã</v>
      </c>
      <c r="R100" s="45">
        <f>IF(AND(H100="Realizado",L100&lt;&gt;""),L100/60,0)</f>
        <v>0.333333333333333</v>
      </c>
    </row>
    <row r="101">
      <c r="A101" s="42" t="n">
        <v>46213</v>
      </c>
      <c r="B101" s="43" t="n">
        <v>0.3819444444444444</v>
      </c>
      <c r="C101" s="37" t="inlineStr">
        <is>
          <t>Dr. Paulo Andrade</t>
        </is>
      </c>
      <c r="D101" s="37" t="inlineStr">
        <is>
          <t>Sala 2</t>
        </is>
      </c>
      <c r="E101" s="36" t="inlineStr">
        <is>
          <t>Mateus Dias</t>
        </is>
      </c>
      <c r="F101" s="37" t="inlineStr">
        <is>
          <t>Saúde Total</t>
        </is>
      </c>
      <c r="G101" s="37" t="inlineStr">
        <is>
          <t>Consulta</t>
        </is>
      </c>
      <c r="H101" s="37" t="inlineStr">
        <is>
          <t>Realizado</t>
        </is>
      </c>
      <c r="I101" s="37" t="inlineStr">
        <is>
          <t>Convênio</t>
        </is>
      </c>
      <c r="J101" s="37" t="n"/>
      <c r="K101" s="36" t="n"/>
      <c r="L101" s="44">
        <f>IF(G101="","",IFERROR(INDEX(Config!$K$5:$K$16,MATCH(G101,Config!$J$5:$J$16,0)),""))</f>
        <v>30</v>
      </c>
      <c r="M101" s="30">
        <f>IF(OR(G101="",F101=""),"",IFERROR(INDEX(Config!$M$5:$R$16,MATCH(G101,Config!$J$5:$J$16,0),MATCH(F101,Config!$H$5:$H$10,0)),""))</f>
        <v>120</v>
      </c>
      <c r="N101" s="29">
        <f>IF(A101="","",MONTH(A101))</f>
        <v>7</v>
      </c>
      <c r="O101" s="29">
        <f>IF(A101="","",YEAR(A101))</f>
        <v>2026</v>
      </c>
      <c r="P101" s="29" t="str">
        <f>IF(A101="","",CHOOSE(WEEKDAY(A101,2),"Segunda","Terça","Quarta","Quinta","Sexta","Sábado","Domingo"))</f>
        <v>Sexta</v>
      </c>
      <c r="Q101" s="29" t="str">
        <f>IF(B101="","",IF(B101&lt;TIME(12,0,0),"Manhã",IF(B101&lt;TIME(18,0,0),"Tarde","Noite")))</f>
        <v>Manhã</v>
      </c>
      <c r="R101" s="45">
        <f>IF(AND(H101="Realizado",L101&lt;&gt;""),L101/60,0)</f>
        <v>0.5</v>
      </c>
    </row>
    <row r="102">
      <c r="A102" s="42" t="n">
        <v>46213</v>
      </c>
      <c r="B102" s="43" t="n">
        <v>0.4027777777777778</v>
      </c>
      <c r="C102" s="37" t="inlineStr">
        <is>
          <t>Dr. Paulo Andrade</t>
        </is>
      </c>
      <c r="D102" s="37" t="inlineStr">
        <is>
          <t>Sala 2</t>
        </is>
      </c>
      <c r="E102" s="36" t="inlineStr">
        <is>
          <t>Wagner Costa</t>
        </is>
      </c>
      <c r="F102" s="37" t="inlineStr">
        <is>
          <t>Particular</t>
        </is>
      </c>
      <c r="G102" s="37" t="inlineStr">
        <is>
          <t>Consulta</t>
        </is>
      </c>
      <c r="H102" s="37" t="inlineStr">
        <is>
          <t>Realizado</t>
        </is>
      </c>
      <c r="I102" s="37" t="inlineStr">
        <is>
          <t>Cartão de débito</t>
        </is>
      </c>
      <c r="J102" s="37" t="n"/>
      <c r="K102" s="36" t="n"/>
      <c r="L102" s="44">
        <f>IF(G102="","",IFERROR(INDEX(Config!$K$5:$K$16,MATCH(G102,Config!$J$5:$J$16,0)),""))</f>
        <v>30</v>
      </c>
      <c r="M102" s="30">
        <f>IF(OR(G102="",F102=""),"",IFERROR(INDEX(Config!$M$5:$R$16,MATCH(G102,Config!$J$5:$J$16,0),MATCH(F102,Config!$H$5:$H$10,0)),""))</f>
        <v>380</v>
      </c>
      <c r="N102" s="29">
        <f>IF(A102="","",MONTH(A102))</f>
        <v>7</v>
      </c>
      <c r="O102" s="29">
        <f>IF(A102="","",YEAR(A102))</f>
        <v>2026</v>
      </c>
      <c r="P102" s="29" t="str">
        <f>IF(A102="","",CHOOSE(WEEKDAY(A102,2),"Segunda","Terça","Quarta","Quinta","Sexta","Sábado","Domingo"))</f>
        <v>Sexta</v>
      </c>
      <c r="Q102" s="29" t="str">
        <f>IF(B102="","",IF(B102&lt;TIME(12,0,0),"Manhã",IF(B102&lt;TIME(18,0,0),"Tarde","Noite")))</f>
        <v>Manhã</v>
      </c>
      <c r="R102" s="45">
        <f>IF(AND(H102="Realizado",L102&lt;&gt;""),L102/60,0)</f>
        <v>0.5</v>
      </c>
    </row>
    <row r="103">
      <c r="A103" s="42" t="n">
        <v>46213</v>
      </c>
      <c r="B103" s="43" t="n">
        <v>0.4236111111111111</v>
      </c>
      <c r="C103" s="37" t="inlineStr">
        <is>
          <t>Dr. Paulo Andrade</t>
        </is>
      </c>
      <c r="D103" s="37" t="inlineStr">
        <is>
          <t>Sala 2</t>
        </is>
      </c>
      <c r="E103" s="36" t="inlineStr">
        <is>
          <t>Helena Ribeiro</t>
        </is>
      </c>
      <c r="F103" s="37" t="inlineStr">
        <is>
          <t>MediPlan</t>
        </is>
      </c>
      <c r="G103" s="37" t="inlineStr">
        <is>
          <t>Consulta</t>
        </is>
      </c>
      <c r="H103" s="37" t="inlineStr">
        <is>
          <t>Realizado</t>
        </is>
      </c>
      <c r="I103" s="37" t="inlineStr">
        <is>
          <t>Convênio</t>
        </is>
      </c>
      <c r="J103" s="37" t="n"/>
      <c r="K103" s="36" t="n"/>
      <c r="L103" s="44">
        <f>IF(G103="","",IFERROR(INDEX(Config!$K$5:$K$16,MATCH(G103,Config!$J$5:$J$16,0)),""))</f>
        <v>30</v>
      </c>
      <c r="M103" s="30">
        <f>IF(OR(G103="",F103=""),"",IFERROR(INDEX(Config!$M$5:$R$16,MATCH(G103,Config!$J$5:$J$16,0),MATCH(F103,Config!$H$5:$H$10,0)),""))</f>
        <v>100</v>
      </c>
      <c r="N103" s="29">
        <f>IF(A103="","",MONTH(A103))</f>
        <v>7</v>
      </c>
      <c r="O103" s="29">
        <f>IF(A103="","",YEAR(A103))</f>
        <v>2026</v>
      </c>
      <c r="P103" s="29" t="str">
        <f>IF(A103="","",CHOOSE(WEEKDAY(A103,2),"Segunda","Terça","Quarta","Quinta","Sexta","Sábado","Domingo"))</f>
        <v>Sexta</v>
      </c>
      <c r="Q103" s="29" t="str">
        <f>IF(B103="","",IF(B103&lt;TIME(12,0,0),"Manhã",IF(B103&lt;TIME(18,0,0),"Tarde","Noite")))</f>
        <v>Manhã</v>
      </c>
      <c r="R103" s="45">
        <f>IF(AND(H103="Realizado",L103&lt;&gt;""),L103/60,0)</f>
        <v>0.5</v>
      </c>
    </row>
    <row r="104">
      <c r="A104" s="42" t="n">
        <v>46213</v>
      </c>
      <c r="B104" s="43" t="n">
        <v>0.4444444444444444</v>
      </c>
      <c r="C104" s="37" t="inlineStr">
        <is>
          <t>Dr. Paulo Andrade</t>
        </is>
      </c>
      <c r="D104" s="37" t="inlineStr">
        <is>
          <t>Sala 2</t>
        </is>
      </c>
      <c r="E104" s="36" t="inlineStr">
        <is>
          <t>Sandra Cardoso</t>
        </is>
      </c>
      <c r="F104" s="37" t="inlineStr">
        <is>
          <t>Saúde Total</t>
        </is>
      </c>
      <c r="G104" s="37" t="inlineStr">
        <is>
          <t>Consulta</t>
        </is>
      </c>
      <c r="H104" s="37" t="inlineStr">
        <is>
          <t>Remarcado</t>
        </is>
      </c>
      <c r="I104" s="37" t="n"/>
      <c r="J104" s="37" t="n"/>
      <c r="K104" s="36" t="inlineStr">
        <is>
          <t>Paciente pediu outra data</t>
        </is>
      </c>
      <c r="L104" s="44">
        <f>IF(G104="","",IFERROR(INDEX(Config!$K$5:$K$16,MATCH(G104,Config!$J$5:$J$16,0)),""))</f>
        <v>30</v>
      </c>
      <c r="M104" s="30">
        <f>IF(OR(G104="",F104=""),"",IFERROR(INDEX(Config!$M$5:$R$16,MATCH(G104,Config!$J$5:$J$16,0),MATCH(F104,Config!$H$5:$H$10,0)),""))</f>
        <v>120</v>
      </c>
      <c r="N104" s="29">
        <f>IF(A104="","",MONTH(A104))</f>
        <v>7</v>
      </c>
      <c r="O104" s="29">
        <f>IF(A104="","",YEAR(A104))</f>
        <v>2026</v>
      </c>
      <c r="P104" s="29" t="str">
        <f>IF(A104="","",CHOOSE(WEEKDAY(A104,2),"Segunda","Terça","Quarta","Quinta","Sexta","Sábado","Domingo"))</f>
        <v>Sexta</v>
      </c>
      <c r="Q104" s="29" t="str">
        <f>IF(B104="","",IF(B104&lt;TIME(12,0,0),"Manhã",IF(B104&lt;TIME(18,0,0),"Tarde","Noite")))</f>
        <v>Manhã</v>
      </c>
      <c r="R104" s="45">
        <f>IF(AND(H104="Realizado",L104&lt;&gt;""),L104/60,0)</f>
        <v>0</v>
      </c>
    </row>
    <row r="105">
      <c r="A105" s="42" t="n">
        <v>46213</v>
      </c>
      <c r="B105" s="43" t="n">
        <v>0.4652777777777778</v>
      </c>
      <c r="C105" s="37" t="inlineStr">
        <is>
          <t>Dr. Paulo Andrade</t>
        </is>
      </c>
      <c r="D105" s="37" t="inlineStr">
        <is>
          <t>Sala 2</t>
        </is>
      </c>
      <c r="E105" s="36" t="inlineStr">
        <is>
          <t>Sandra Cardoso</t>
        </is>
      </c>
      <c r="F105" s="37" t="inlineStr">
        <is>
          <t>Saúde Total</t>
        </is>
      </c>
      <c r="G105" s="37" t="inlineStr">
        <is>
          <t>Consulta</t>
        </is>
      </c>
      <c r="H105" s="37" t="inlineStr">
        <is>
          <t>Realizado</t>
        </is>
      </c>
      <c r="I105" s="37" t="inlineStr">
        <is>
          <t>Convênio</t>
        </is>
      </c>
      <c r="J105" s="37" t="n"/>
      <c r="K105" s="36" t="n"/>
      <c r="L105" s="44">
        <f>IF(G105="","",IFERROR(INDEX(Config!$K$5:$K$16,MATCH(G105,Config!$J$5:$J$16,0)),""))</f>
        <v>30</v>
      </c>
      <c r="M105" s="30">
        <f>IF(OR(G105="",F105=""),"",IFERROR(INDEX(Config!$M$5:$R$16,MATCH(G105,Config!$J$5:$J$16,0),MATCH(F105,Config!$H$5:$H$10,0)),""))</f>
        <v>120</v>
      </c>
      <c r="N105" s="29">
        <f>IF(A105="","",MONTH(A105))</f>
        <v>7</v>
      </c>
      <c r="O105" s="29">
        <f>IF(A105="","",YEAR(A105))</f>
        <v>2026</v>
      </c>
      <c r="P105" s="29" t="str">
        <f>IF(A105="","",CHOOSE(WEEKDAY(A105,2),"Segunda","Terça","Quarta","Quinta","Sexta","Sábado","Domingo"))</f>
        <v>Sexta</v>
      </c>
      <c r="Q105" s="29" t="str">
        <f>IF(B105="","",IF(B105&lt;TIME(12,0,0),"Manhã",IF(B105&lt;TIME(18,0,0),"Tarde","Noite")))</f>
        <v>Manhã</v>
      </c>
      <c r="R105" s="45">
        <f>IF(AND(H105="Realizado",L105&lt;&gt;""),L105/60,0)</f>
        <v>0.5</v>
      </c>
    </row>
    <row r="106">
      <c r="A106" s="42" t="n">
        <v>46213</v>
      </c>
      <c r="B106" s="43" t="n">
        <v>0.4861111111111111</v>
      </c>
      <c r="C106" s="37" t="inlineStr">
        <is>
          <t>Dr. Paulo Andrade</t>
        </is>
      </c>
      <c r="D106" s="37" t="inlineStr">
        <is>
          <t>Sala 2</t>
        </is>
      </c>
      <c r="E106" s="36" t="inlineStr">
        <is>
          <t>Natália Xavier</t>
        </is>
      </c>
      <c r="F106" s="37" t="inlineStr">
        <is>
          <t>MediPlan</t>
        </is>
      </c>
      <c r="G106" s="37" t="inlineStr">
        <is>
          <t>Consulta</t>
        </is>
      </c>
      <c r="H106" s="37" t="inlineStr">
        <is>
          <t>Realizado</t>
        </is>
      </c>
      <c r="I106" s="37" t="inlineStr">
        <is>
          <t>Convênio</t>
        </is>
      </c>
      <c r="J106" s="37" t="n"/>
      <c r="K106" s="36" t="n"/>
      <c r="L106" s="44">
        <f>IF(G106="","",IFERROR(INDEX(Config!$K$5:$K$16,MATCH(G106,Config!$J$5:$J$16,0)),""))</f>
        <v>30</v>
      </c>
      <c r="M106" s="30">
        <f>IF(OR(G106="",F106=""),"",IFERROR(INDEX(Config!$M$5:$R$16,MATCH(G106,Config!$J$5:$J$16,0),MATCH(F106,Config!$H$5:$H$10,0)),""))</f>
        <v>100</v>
      </c>
      <c r="N106" s="29">
        <f>IF(A106="","",MONTH(A106))</f>
        <v>7</v>
      </c>
      <c r="O106" s="29">
        <f>IF(A106="","",YEAR(A106))</f>
        <v>2026</v>
      </c>
      <c r="P106" s="29" t="str">
        <f>IF(A106="","",CHOOSE(WEEKDAY(A106,2),"Segunda","Terça","Quarta","Quinta","Sexta","Sábado","Domingo"))</f>
        <v>Sexta</v>
      </c>
      <c r="Q106" s="29" t="str">
        <f>IF(B106="","",IF(B106&lt;TIME(12,0,0),"Manhã",IF(B106&lt;TIME(18,0,0),"Tarde","Noite")))</f>
        <v>Manhã</v>
      </c>
      <c r="R106" s="45">
        <f>IF(AND(H106="Realizado",L106&lt;&gt;""),L106/60,0)</f>
        <v>0.5</v>
      </c>
    </row>
    <row r="107">
      <c r="A107" s="42" t="n">
        <v>46216</v>
      </c>
      <c r="B107" s="43" t="n">
        <v>0.3333333333333333</v>
      </c>
      <c r="C107" s="37" t="inlineStr">
        <is>
          <t>Dra. Carolina Mendes</t>
        </is>
      </c>
      <c r="D107" s="37" t="inlineStr">
        <is>
          <t>Sala 1</t>
        </is>
      </c>
      <c r="E107" s="36" t="inlineStr">
        <is>
          <t>Ana Costa</t>
        </is>
      </c>
      <c r="F107" s="37" t="inlineStr">
        <is>
          <t>Particular</t>
        </is>
      </c>
      <c r="G107" s="37" t="inlineStr">
        <is>
          <t>Consulta</t>
        </is>
      </c>
      <c r="H107" s="37" t="inlineStr">
        <is>
          <t>Realizado</t>
        </is>
      </c>
      <c r="I107" s="37" t="inlineStr">
        <is>
          <t>Cartão de débito</t>
        </is>
      </c>
      <c r="J107" s="37" t="n"/>
      <c r="K107" s="36" t="n"/>
      <c r="L107" s="44">
        <f>IF(G107="","",IFERROR(INDEX(Config!$K$5:$K$16,MATCH(G107,Config!$J$5:$J$16,0)),""))</f>
        <v>30</v>
      </c>
      <c r="M107" s="30">
        <f>IF(OR(G107="",F107=""),"",IFERROR(INDEX(Config!$M$5:$R$16,MATCH(G107,Config!$J$5:$J$16,0),MATCH(F107,Config!$H$5:$H$10,0)),""))</f>
        <v>380</v>
      </c>
      <c r="N107" s="29">
        <f>IF(A107="","",MONTH(A107))</f>
        <v>7</v>
      </c>
      <c r="O107" s="29">
        <f>IF(A107="","",YEAR(A107))</f>
        <v>2026</v>
      </c>
      <c r="P107" s="29" t="str">
        <f>IF(A107="","",CHOOSE(WEEKDAY(A107,2),"Segunda","Terça","Quarta","Quinta","Sexta","Sábado","Domingo"))</f>
        <v>Segunda</v>
      </c>
      <c r="Q107" s="29" t="str">
        <f>IF(B107="","",IF(B107&lt;TIME(12,0,0),"Manhã",IF(B107&lt;TIME(18,0,0),"Tarde","Noite")))</f>
        <v>Manhã</v>
      </c>
      <c r="R107" s="45">
        <f>IF(AND(H107="Realizado",L107&lt;&gt;""),L107/60,0)</f>
        <v>0.5</v>
      </c>
    </row>
    <row r="108">
      <c r="A108" s="42" t="n">
        <v>46216</v>
      </c>
      <c r="B108" s="43" t="n">
        <v>0.3541666666666667</v>
      </c>
      <c r="C108" s="37" t="inlineStr">
        <is>
          <t>Dra. Carolina Mendes</t>
        </is>
      </c>
      <c r="D108" s="37" t="inlineStr">
        <is>
          <t>Sala 1</t>
        </is>
      </c>
      <c r="E108" s="36" t="inlineStr">
        <is>
          <t>Débora Ramos</t>
        </is>
      </c>
      <c r="F108" s="37" t="inlineStr">
        <is>
          <t>Particular</t>
        </is>
      </c>
      <c r="G108" s="37" t="inlineStr">
        <is>
          <t>Consulta</t>
        </is>
      </c>
      <c r="H108" s="37" t="inlineStr">
        <is>
          <t>Realizado</t>
        </is>
      </c>
      <c r="I108" s="37" t="inlineStr">
        <is>
          <t>Cartão de débito</t>
        </is>
      </c>
      <c r="J108" s="37" t="n"/>
      <c r="K108" s="36" t="n"/>
      <c r="L108" s="44">
        <f>IF(G108="","",IFERROR(INDEX(Config!$K$5:$K$16,MATCH(G108,Config!$J$5:$J$16,0)),""))</f>
        <v>30</v>
      </c>
      <c r="M108" s="30">
        <f>IF(OR(G108="",F108=""),"",IFERROR(INDEX(Config!$M$5:$R$16,MATCH(G108,Config!$J$5:$J$16,0),MATCH(F108,Config!$H$5:$H$10,0)),""))</f>
        <v>380</v>
      </c>
      <c r="N108" s="29">
        <f>IF(A108="","",MONTH(A108))</f>
        <v>7</v>
      </c>
      <c r="O108" s="29">
        <f>IF(A108="","",YEAR(A108))</f>
        <v>2026</v>
      </c>
      <c r="P108" s="29" t="str">
        <f>IF(A108="","",CHOOSE(WEEKDAY(A108,2),"Segunda","Terça","Quarta","Quinta","Sexta","Sábado","Domingo"))</f>
        <v>Segunda</v>
      </c>
      <c r="Q108" s="29" t="str">
        <f>IF(B108="","",IF(B108&lt;TIME(12,0,0),"Manhã",IF(B108&lt;TIME(18,0,0),"Tarde","Noite")))</f>
        <v>Manhã</v>
      </c>
      <c r="R108" s="45">
        <f>IF(AND(H108="Realizado",L108&lt;&gt;""),L108/60,0)</f>
        <v>0.5</v>
      </c>
    </row>
    <row r="109">
      <c r="A109" s="42" t="n">
        <v>46216</v>
      </c>
      <c r="B109" s="43" t="n">
        <v>0.3958333333333333</v>
      </c>
      <c r="C109" s="37" t="inlineStr">
        <is>
          <t>Dra. Carolina Mendes</t>
        </is>
      </c>
      <c r="D109" s="37" t="inlineStr">
        <is>
          <t>Sala 1</t>
        </is>
      </c>
      <c r="E109" s="36" t="inlineStr">
        <is>
          <t>Daniel Almeida</t>
        </is>
      </c>
      <c r="F109" s="37" t="inlineStr">
        <is>
          <t>Saúde Total</t>
        </is>
      </c>
      <c r="G109" s="37" t="inlineStr">
        <is>
          <t>Consulta</t>
        </is>
      </c>
      <c r="H109" s="37" t="inlineStr">
        <is>
          <t>Remarcado</t>
        </is>
      </c>
      <c r="I109" s="37" t="n"/>
      <c r="J109" s="37" t="n"/>
      <c r="K109" s="36" t="inlineStr">
        <is>
          <t>Paciente pediu outra data</t>
        </is>
      </c>
      <c r="L109" s="44">
        <f>IF(G109="","",IFERROR(INDEX(Config!$K$5:$K$16,MATCH(G109,Config!$J$5:$J$16,0)),""))</f>
        <v>30</v>
      </c>
      <c r="M109" s="30">
        <f>IF(OR(G109="",F109=""),"",IFERROR(INDEX(Config!$M$5:$R$16,MATCH(G109,Config!$J$5:$J$16,0),MATCH(F109,Config!$H$5:$H$10,0)),""))</f>
        <v>120</v>
      </c>
      <c r="N109" s="29">
        <f>IF(A109="","",MONTH(A109))</f>
        <v>7</v>
      </c>
      <c r="O109" s="29">
        <f>IF(A109="","",YEAR(A109))</f>
        <v>2026</v>
      </c>
      <c r="P109" s="29" t="str">
        <f>IF(A109="","",CHOOSE(WEEKDAY(A109,2),"Segunda","Terça","Quarta","Quinta","Sexta","Sábado","Domingo"))</f>
        <v>Segunda</v>
      </c>
      <c r="Q109" s="29" t="str">
        <f>IF(B109="","",IF(B109&lt;TIME(12,0,0),"Manhã",IF(B109&lt;TIME(18,0,0),"Tarde","Noite")))</f>
        <v>Manhã</v>
      </c>
      <c r="R109" s="45">
        <f>IF(AND(H109="Realizado",L109&lt;&gt;""),L109/60,0)</f>
        <v>0</v>
      </c>
    </row>
    <row r="110">
      <c r="A110" s="42" t="n">
        <v>46216</v>
      </c>
      <c r="B110" s="43" t="n">
        <v>0.4375</v>
      </c>
      <c r="C110" s="37" t="inlineStr">
        <is>
          <t>Dra. Carolina Mendes</t>
        </is>
      </c>
      <c r="D110" s="37" t="inlineStr">
        <is>
          <t>Sala 1</t>
        </is>
      </c>
      <c r="E110" s="36" t="inlineStr">
        <is>
          <t>Rodrigo Moreira</t>
        </is>
      </c>
      <c r="F110" s="37" t="inlineStr">
        <is>
          <t>Particular</t>
        </is>
      </c>
      <c r="G110" s="37" t="inlineStr">
        <is>
          <t>Consulta</t>
        </is>
      </c>
      <c r="H110" s="37" t="inlineStr">
        <is>
          <t>Realizado</t>
        </is>
      </c>
      <c r="I110" s="37" t="inlineStr">
        <is>
          <t>Dinheiro</t>
        </is>
      </c>
      <c r="J110" s="37" t="n"/>
      <c r="K110" s="36" t="n"/>
      <c r="L110" s="44">
        <f>IF(G110="","",IFERROR(INDEX(Config!$K$5:$K$16,MATCH(G110,Config!$J$5:$J$16,0)),""))</f>
        <v>30</v>
      </c>
      <c r="M110" s="30">
        <f>IF(OR(G110="",F110=""),"",IFERROR(INDEX(Config!$M$5:$R$16,MATCH(G110,Config!$J$5:$J$16,0),MATCH(F110,Config!$H$5:$H$10,0)),""))</f>
        <v>380</v>
      </c>
      <c r="N110" s="29">
        <f>IF(A110="","",MONTH(A110))</f>
        <v>7</v>
      </c>
      <c r="O110" s="29">
        <f>IF(A110="","",YEAR(A110))</f>
        <v>2026</v>
      </c>
      <c r="P110" s="29" t="str">
        <f>IF(A110="","",CHOOSE(WEEKDAY(A110,2),"Segunda","Terça","Quarta","Quinta","Sexta","Sábado","Domingo"))</f>
        <v>Segunda</v>
      </c>
      <c r="Q110" s="29" t="str">
        <f>IF(B110="","",IF(B110&lt;TIME(12,0,0),"Manhã",IF(B110&lt;TIME(18,0,0),"Tarde","Noite")))</f>
        <v>Manhã</v>
      </c>
      <c r="R110" s="45">
        <f>IF(AND(H110="Realizado",L110&lt;&gt;""),L110/60,0)</f>
        <v>0.5</v>
      </c>
    </row>
    <row r="111">
      <c r="A111" s="42" t="n">
        <v>46216</v>
      </c>
      <c r="B111" s="43" t="n">
        <v>0.4583333333333333</v>
      </c>
      <c r="C111" s="37" t="inlineStr">
        <is>
          <t>Dra. Carolina Mendes</t>
        </is>
      </c>
      <c r="D111" s="37" t="inlineStr">
        <is>
          <t>Sala 1</t>
        </is>
      </c>
      <c r="E111" s="36" t="inlineStr">
        <is>
          <t>Helena Moreira</t>
        </is>
      </c>
      <c r="F111" s="37" t="inlineStr">
        <is>
          <t>Particular</t>
        </is>
      </c>
      <c r="G111" s="37" t="inlineStr">
        <is>
          <t>Consulta</t>
        </is>
      </c>
      <c r="H111" s="37" t="inlineStr">
        <is>
          <t>Realizado</t>
        </is>
      </c>
      <c r="I111" s="37" t="inlineStr">
        <is>
          <t>A prazo</t>
        </is>
      </c>
      <c r="J111" s="37" t="n"/>
      <c r="K111" s="36" t="n"/>
      <c r="L111" s="44">
        <f>IF(G111="","",IFERROR(INDEX(Config!$K$5:$K$16,MATCH(G111,Config!$J$5:$J$16,0)),""))</f>
        <v>30</v>
      </c>
      <c r="M111" s="30">
        <f>IF(OR(G111="",F111=""),"",IFERROR(INDEX(Config!$M$5:$R$16,MATCH(G111,Config!$J$5:$J$16,0),MATCH(F111,Config!$H$5:$H$10,0)),""))</f>
        <v>380</v>
      </c>
      <c r="N111" s="29">
        <f>IF(A111="","",MONTH(A111))</f>
        <v>7</v>
      </c>
      <c r="O111" s="29">
        <f>IF(A111="","",YEAR(A111))</f>
        <v>2026</v>
      </c>
      <c r="P111" s="29" t="str">
        <f>IF(A111="","",CHOOSE(WEEKDAY(A111,2),"Segunda","Terça","Quarta","Quinta","Sexta","Sábado","Domingo"))</f>
        <v>Segunda</v>
      </c>
      <c r="Q111" s="29" t="str">
        <f>IF(B111="","",IF(B111&lt;TIME(12,0,0),"Manhã",IF(B111&lt;TIME(18,0,0),"Tarde","Noite")))</f>
        <v>Manhã</v>
      </c>
      <c r="R111" s="45">
        <f>IF(AND(H111="Realizado",L111&lt;&gt;""),L111/60,0)</f>
        <v>0.5</v>
      </c>
    </row>
    <row r="112">
      <c r="A112" s="42" t="n">
        <v>46216</v>
      </c>
      <c r="B112" s="43" t="n">
        <v>0.625</v>
      </c>
      <c r="C112" s="37" t="inlineStr">
        <is>
          <t>Dr. Paulo Andrade</t>
        </is>
      </c>
      <c r="D112" s="37" t="inlineStr">
        <is>
          <t>Sala 2</t>
        </is>
      </c>
      <c r="E112" s="36" t="inlineStr">
        <is>
          <t>Gisele Ribeiro</t>
        </is>
      </c>
      <c r="F112" s="37" t="inlineStr">
        <is>
          <t>Particular</t>
        </is>
      </c>
      <c r="G112" s="37" t="inlineStr">
        <is>
          <t>ECG</t>
        </is>
      </c>
      <c r="H112" s="37" t="inlineStr">
        <is>
          <t>Realizado</t>
        </is>
      </c>
      <c r="I112" s="37" t="inlineStr">
        <is>
          <t>Cartão de crédito</t>
        </is>
      </c>
      <c r="J112" s="37" t="n"/>
      <c r="K112" s="36" t="n"/>
      <c r="L112" s="44">
        <f>IF(G112="","",IFERROR(INDEX(Config!$K$5:$K$16,MATCH(G112,Config!$J$5:$J$16,0)),""))</f>
        <v>20</v>
      </c>
      <c r="M112" s="30">
        <f>IF(OR(G112="",F112=""),"",IFERROR(INDEX(Config!$M$5:$R$16,MATCH(G112,Config!$J$5:$J$16,0),MATCH(F112,Config!$H$5:$H$10,0)),""))</f>
        <v>130</v>
      </c>
      <c r="N112" s="29">
        <f>IF(A112="","",MONTH(A112))</f>
        <v>7</v>
      </c>
      <c r="O112" s="29">
        <f>IF(A112="","",YEAR(A112))</f>
        <v>2026</v>
      </c>
      <c r="P112" s="29" t="str">
        <f>IF(A112="","",CHOOSE(WEEKDAY(A112,2),"Segunda","Terça","Quarta","Quinta","Sexta","Sábado","Domingo"))</f>
        <v>Segunda</v>
      </c>
      <c r="Q112" s="29" t="str">
        <f>IF(B112="","",IF(B112&lt;TIME(12,0,0),"Manhã",IF(B112&lt;TIME(18,0,0),"Tarde","Noite")))</f>
        <v>Tarde</v>
      </c>
      <c r="R112" s="45">
        <f>IF(AND(H112="Realizado",L112&lt;&gt;""),L112/60,0)</f>
        <v>0.333333333333333</v>
      </c>
    </row>
    <row r="113">
      <c r="A113" s="42" t="n">
        <v>46216</v>
      </c>
      <c r="B113" s="43" t="n">
        <v>0.6388888888888888</v>
      </c>
      <c r="C113" s="37" t="inlineStr">
        <is>
          <t>Dr. Paulo Andrade</t>
        </is>
      </c>
      <c r="D113" s="37" t="inlineStr">
        <is>
          <t>Sala 2</t>
        </is>
      </c>
      <c r="E113" s="36" t="inlineStr">
        <is>
          <t>Henrique Ribeiro</t>
        </is>
      </c>
      <c r="F113" s="37" t="inlineStr">
        <is>
          <t>Particular</t>
        </is>
      </c>
      <c r="G113" s="37" t="inlineStr">
        <is>
          <t>Consulta</t>
        </is>
      </c>
      <c r="H113" s="37" t="inlineStr">
        <is>
          <t>Realizado</t>
        </is>
      </c>
      <c r="I113" s="37" t="inlineStr">
        <is>
          <t>Cartão de crédito</t>
        </is>
      </c>
      <c r="J113" s="37" t="n">
        <v>2</v>
      </c>
      <c r="K113" s="36" t="n"/>
      <c r="L113" s="44">
        <f>IF(G113="","",IFERROR(INDEX(Config!$K$5:$K$16,MATCH(G113,Config!$J$5:$J$16,0)),""))</f>
        <v>30</v>
      </c>
      <c r="M113" s="30">
        <f>IF(OR(G113="",F113=""),"",IFERROR(INDEX(Config!$M$5:$R$16,MATCH(G113,Config!$J$5:$J$16,0),MATCH(F113,Config!$H$5:$H$10,0)),""))</f>
        <v>380</v>
      </c>
      <c r="N113" s="29">
        <f>IF(A113="","",MONTH(A113))</f>
        <v>7</v>
      </c>
      <c r="O113" s="29">
        <f>IF(A113="","",YEAR(A113))</f>
        <v>2026</v>
      </c>
      <c r="P113" s="29" t="str">
        <f>IF(A113="","",CHOOSE(WEEKDAY(A113,2),"Segunda","Terça","Quarta","Quinta","Sexta","Sábado","Domingo"))</f>
        <v>Segunda</v>
      </c>
      <c r="Q113" s="29" t="str">
        <f>IF(B113="","",IF(B113&lt;TIME(12,0,0),"Manhã",IF(B113&lt;TIME(18,0,0),"Tarde","Noite")))</f>
        <v>Tarde</v>
      </c>
      <c r="R113" s="45">
        <f>IF(AND(H113="Realizado",L113&lt;&gt;""),L113/60,0)</f>
        <v>0.5</v>
      </c>
    </row>
    <row r="114">
      <c r="A114" s="42" t="n">
        <v>46216</v>
      </c>
      <c r="B114" s="43" t="n">
        <v>0.6597222222222222</v>
      </c>
      <c r="C114" s="37" t="inlineStr">
        <is>
          <t>Dr. Paulo Andrade</t>
        </is>
      </c>
      <c r="D114" s="37" t="inlineStr">
        <is>
          <t>Sala 2</t>
        </is>
      </c>
      <c r="E114" s="36" t="inlineStr">
        <is>
          <t>Paulo Ribeiro</t>
        </is>
      </c>
      <c r="F114" s="37" t="inlineStr">
        <is>
          <t>Saúde Total</t>
        </is>
      </c>
      <c r="G114" s="37" t="inlineStr">
        <is>
          <t>Consulta</t>
        </is>
      </c>
      <c r="H114" s="37" t="inlineStr">
        <is>
          <t>Realizado</t>
        </is>
      </c>
      <c r="I114" s="37" t="inlineStr">
        <is>
          <t>Convênio</t>
        </is>
      </c>
      <c r="J114" s="37" t="n"/>
      <c r="K114" s="36" t="n"/>
      <c r="L114" s="44">
        <f>IF(G114="","",IFERROR(INDEX(Config!$K$5:$K$16,MATCH(G114,Config!$J$5:$J$16,0)),""))</f>
        <v>30</v>
      </c>
      <c r="M114" s="30">
        <f>IF(OR(G114="",F114=""),"",IFERROR(INDEX(Config!$M$5:$R$16,MATCH(G114,Config!$J$5:$J$16,0),MATCH(F114,Config!$H$5:$H$10,0)),""))</f>
        <v>120</v>
      </c>
      <c r="N114" s="29">
        <f>IF(A114="","",MONTH(A114))</f>
        <v>7</v>
      </c>
      <c r="O114" s="29">
        <f>IF(A114="","",YEAR(A114))</f>
        <v>2026</v>
      </c>
      <c r="P114" s="29" t="str">
        <f>IF(A114="","",CHOOSE(WEEKDAY(A114,2),"Segunda","Terça","Quarta","Quinta","Sexta","Sábado","Domingo"))</f>
        <v>Segunda</v>
      </c>
      <c r="Q114" s="29" t="str">
        <f>IF(B114="","",IF(B114&lt;TIME(12,0,0),"Manhã",IF(B114&lt;TIME(18,0,0),"Tarde","Noite")))</f>
        <v>Tarde</v>
      </c>
      <c r="R114" s="45">
        <f>IF(AND(H114="Realizado",L114&lt;&gt;""),L114/60,0)</f>
        <v>0.5</v>
      </c>
    </row>
    <row r="115">
      <c r="A115" s="42" t="n">
        <v>46216</v>
      </c>
      <c r="B115" s="43" t="n">
        <v>0.6805555555555556</v>
      </c>
      <c r="C115" s="37" t="inlineStr">
        <is>
          <t>Dr. Paulo Andrade</t>
        </is>
      </c>
      <c r="D115" s="37" t="inlineStr">
        <is>
          <t>Sala 2</t>
        </is>
      </c>
      <c r="E115" s="36" t="inlineStr">
        <is>
          <t>Gisele Lima</t>
        </is>
      </c>
      <c r="F115" s="37" t="inlineStr">
        <is>
          <t>Saúde Total</t>
        </is>
      </c>
      <c r="G115" s="37" t="inlineStr">
        <is>
          <t>Consulta</t>
        </is>
      </c>
      <c r="H115" s="37" t="inlineStr">
        <is>
          <t>Realizado</t>
        </is>
      </c>
      <c r="I115" s="37" t="inlineStr">
        <is>
          <t>Convênio</t>
        </is>
      </c>
      <c r="J115" s="37" t="n"/>
      <c r="K115" s="36" t="n"/>
      <c r="L115" s="44">
        <f>IF(G115="","",IFERROR(INDEX(Config!$K$5:$K$16,MATCH(G115,Config!$J$5:$J$16,0)),""))</f>
        <v>30</v>
      </c>
      <c r="M115" s="30">
        <f>IF(OR(G115="",F115=""),"",IFERROR(INDEX(Config!$M$5:$R$16,MATCH(G115,Config!$J$5:$J$16,0),MATCH(F115,Config!$H$5:$H$10,0)),""))</f>
        <v>120</v>
      </c>
      <c r="N115" s="29">
        <f>IF(A115="","",MONTH(A115))</f>
        <v>7</v>
      </c>
      <c r="O115" s="29">
        <f>IF(A115="","",YEAR(A115))</f>
        <v>2026</v>
      </c>
      <c r="P115" s="29" t="str">
        <f>IF(A115="","",CHOOSE(WEEKDAY(A115,2),"Segunda","Terça","Quarta","Quinta","Sexta","Sábado","Domingo"))</f>
        <v>Segunda</v>
      </c>
      <c r="Q115" s="29" t="str">
        <f>IF(B115="","",IF(B115&lt;TIME(12,0,0),"Manhã",IF(B115&lt;TIME(18,0,0),"Tarde","Noite")))</f>
        <v>Tarde</v>
      </c>
      <c r="R115" s="45">
        <f>IF(AND(H115="Realizado",L115&lt;&gt;""),L115/60,0)</f>
        <v>0.5</v>
      </c>
    </row>
    <row r="116">
      <c r="A116" s="42" t="n">
        <v>46216</v>
      </c>
      <c r="B116" s="43" t="n">
        <v>0.7013888888888888</v>
      </c>
      <c r="C116" s="37" t="inlineStr">
        <is>
          <t>Dr. Paulo Andrade</t>
        </is>
      </c>
      <c r="D116" s="37" t="inlineStr">
        <is>
          <t>Sala 2</t>
        </is>
      </c>
      <c r="E116" s="36" t="inlineStr">
        <is>
          <t>Camila Martins</t>
        </is>
      </c>
      <c r="F116" s="37" t="inlineStr">
        <is>
          <t>Vida Care</t>
        </is>
      </c>
      <c r="G116" s="37" t="inlineStr">
        <is>
          <t>Consulta</t>
        </is>
      </c>
      <c r="H116" s="37" t="inlineStr">
        <is>
          <t>Realizado</t>
        </is>
      </c>
      <c r="I116" s="37" t="inlineStr">
        <is>
          <t>Convênio</t>
        </is>
      </c>
      <c r="J116" s="37" t="n"/>
      <c r="K116" s="36" t="n"/>
      <c r="L116" s="44">
        <f>IF(G116="","",IFERROR(INDEX(Config!$K$5:$K$16,MATCH(G116,Config!$J$5:$J$16,0)),""))</f>
        <v>30</v>
      </c>
      <c r="M116" s="30">
        <f>IF(OR(G116="",F116=""),"",IFERROR(INDEX(Config!$M$5:$R$16,MATCH(G116,Config!$J$5:$J$16,0),MATCH(F116,Config!$H$5:$H$10,0)),""))</f>
        <v>90</v>
      </c>
      <c r="N116" s="29">
        <f>IF(A116="","",MONTH(A116))</f>
        <v>7</v>
      </c>
      <c r="O116" s="29">
        <f>IF(A116="","",YEAR(A116))</f>
        <v>2026</v>
      </c>
      <c r="P116" s="29" t="str">
        <f>IF(A116="","",CHOOSE(WEEKDAY(A116,2),"Segunda","Terça","Quarta","Quinta","Sexta","Sábado","Domingo"))</f>
        <v>Segunda</v>
      </c>
      <c r="Q116" s="29" t="str">
        <f>IF(B116="","",IF(B116&lt;TIME(12,0,0),"Manhã",IF(B116&lt;TIME(18,0,0),"Tarde","Noite")))</f>
        <v>Tarde</v>
      </c>
      <c r="R116" s="45">
        <f>IF(AND(H116="Realizado",L116&lt;&gt;""),L116/60,0)</f>
        <v>0.5</v>
      </c>
    </row>
    <row r="117">
      <c r="A117" s="42" t="n">
        <v>46216</v>
      </c>
      <c r="B117" s="43" t="n">
        <v>0.7222222222222222</v>
      </c>
      <c r="C117" s="37" t="inlineStr">
        <is>
          <t>Dr. Paulo Andrade</t>
        </is>
      </c>
      <c r="D117" s="37" t="inlineStr">
        <is>
          <t>Sala 2</t>
        </is>
      </c>
      <c r="E117" s="36" t="inlineStr">
        <is>
          <t>Gabriel Oliveira</t>
        </is>
      </c>
      <c r="F117" s="37" t="inlineStr">
        <is>
          <t>Particular</t>
        </is>
      </c>
      <c r="G117" s="37" t="inlineStr">
        <is>
          <t>Consulta</t>
        </is>
      </c>
      <c r="H117" s="37" t="inlineStr">
        <is>
          <t>Realizado</t>
        </is>
      </c>
      <c r="I117" s="37" t="inlineStr">
        <is>
          <t>Pix</t>
        </is>
      </c>
      <c r="J117" s="37" t="n"/>
      <c r="K117" s="36" t="n"/>
      <c r="L117" s="44">
        <f>IF(G117="","",IFERROR(INDEX(Config!$K$5:$K$16,MATCH(G117,Config!$J$5:$J$16,0)),""))</f>
        <v>30</v>
      </c>
      <c r="M117" s="30">
        <f>IF(OR(G117="",F117=""),"",IFERROR(INDEX(Config!$M$5:$R$16,MATCH(G117,Config!$J$5:$J$16,0),MATCH(F117,Config!$H$5:$H$10,0)),""))</f>
        <v>380</v>
      </c>
      <c r="N117" s="29">
        <f>IF(A117="","",MONTH(A117))</f>
        <v>7</v>
      </c>
      <c r="O117" s="29">
        <f>IF(A117="","",YEAR(A117))</f>
        <v>2026</v>
      </c>
      <c r="P117" s="29" t="str">
        <f>IF(A117="","",CHOOSE(WEEKDAY(A117,2),"Segunda","Terça","Quarta","Quinta","Sexta","Sábado","Domingo"))</f>
        <v>Segunda</v>
      </c>
      <c r="Q117" s="29" t="str">
        <f>IF(B117="","",IF(B117&lt;TIME(12,0,0),"Manhã",IF(B117&lt;TIME(18,0,0),"Tarde","Noite")))</f>
        <v>Tarde</v>
      </c>
      <c r="R117" s="45">
        <f>IF(AND(H117="Realizado",L117&lt;&gt;""),L117/60,0)</f>
        <v>0.5</v>
      </c>
    </row>
    <row r="118">
      <c r="A118" s="42" t="n">
        <v>46217</v>
      </c>
      <c r="B118" s="43" t="n">
        <v>0.3333333333333333</v>
      </c>
      <c r="C118" s="37" t="inlineStr">
        <is>
          <t>Dra. Carolina Mendes</t>
        </is>
      </c>
      <c r="D118" s="37" t="inlineStr">
        <is>
          <t>Sala 1</t>
        </is>
      </c>
      <c r="E118" s="36" t="inlineStr">
        <is>
          <t>Daniel Almeida</t>
        </is>
      </c>
      <c r="F118" s="37" t="inlineStr">
        <is>
          <t>Saúde Total</t>
        </is>
      </c>
      <c r="G118" s="37" t="inlineStr">
        <is>
          <t>Consulta</t>
        </is>
      </c>
      <c r="H118" s="37" t="inlineStr">
        <is>
          <t>Realizado</t>
        </is>
      </c>
      <c r="I118" s="37" t="inlineStr">
        <is>
          <t>Convênio</t>
        </is>
      </c>
      <c r="J118" s="37" t="n"/>
      <c r="K118" s="36" t="n"/>
      <c r="L118" s="44">
        <f>IF(G118="","",IFERROR(INDEX(Config!$K$5:$K$16,MATCH(G118,Config!$J$5:$J$16,0)),""))</f>
        <v>30</v>
      </c>
      <c r="M118" s="30">
        <f>IF(OR(G118="",F118=""),"",IFERROR(INDEX(Config!$M$5:$R$16,MATCH(G118,Config!$J$5:$J$16,0),MATCH(F118,Config!$H$5:$H$10,0)),""))</f>
        <v>120</v>
      </c>
      <c r="N118" s="29">
        <f>IF(A118="","",MONTH(A118))</f>
        <v>7</v>
      </c>
      <c r="O118" s="29">
        <f>IF(A118="","",YEAR(A118))</f>
        <v>2026</v>
      </c>
      <c r="P118" s="29" t="str">
        <f>IF(A118="","",CHOOSE(WEEKDAY(A118,2),"Segunda","Terça","Quarta","Quinta","Sexta","Sábado","Domingo"))</f>
        <v>Terça</v>
      </c>
      <c r="Q118" s="29" t="str">
        <f>IF(B118="","",IF(B118&lt;TIME(12,0,0),"Manhã",IF(B118&lt;TIME(18,0,0),"Tarde","Noite")))</f>
        <v>Manhã</v>
      </c>
      <c r="R118" s="45">
        <f>IF(AND(H118="Realizado",L118&lt;&gt;""),L118/60,0)</f>
        <v>0.5</v>
      </c>
    </row>
    <row r="119">
      <c r="A119" s="42" t="n">
        <v>46217</v>
      </c>
      <c r="B119" s="43" t="n">
        <v>0.3541666666666667</v>
      </c>
      <c r="C119" s="37" t="inlineStr">
        <is>
          <t>Dra. Carolina Mendes</t>
        </is>
      </c>
      <c r="D119" s="37" t="inlineStr">
        <is>
          <t>Sala 1</t>
        </is>
      </c>
      <c r="E119" s="36" t="inlineStr">
        <is>
          <t>Eduardo Reis</t>
        </is>
      </c>
      <c r="F119" s="37" t="inlineStr">
        <is>
          <t>Vida Care</t>
        </is>
      </c>
      <c r="G119" s="37" t="inlineStr">
        <is>
          <t>Consulta</t>
        </is>
      </c>
      <c r="H119" s="37" t="inlineStr">
        <is>
          <t>Realizado</t>
        </is>
      </c>
      <c r="I119" s="37" t="inlineStr">
        <is>
          <t>Convênio</t>
        </is>
      </c>
      <c r="J119" s="37" t="n"/>
      <c r="K119" s="36" t="n"/>
      <c r="L119" s="44">
        <f>IF(G119="","",IFERROR(INDEX(Config!$K$5:$K$16,MATCH(G119,Config!$J$5:$J$16,0)),""))</f>
        <v>30</v>
      </c>
      <c r="M119" s="30">
        <f>IF(OR(G119="",F119=""),"",IFERROR(INDEX(Config!$M$5:$R$16,MATCH(G119,Config!$J$5:$J$16,0),MATCH(F119,Config!$H$5:$H$10,0)),""))</f>
        <v>90</v>
      </c>
      <c r="N119" s="29">
        <f>IF(A119="","",MONTH(A119))</f>
        <v>7</v>
      </c>
      <c r="O119" s="29">
        <f>IF(A119="","",YEAR(A119))</f>
        <v>2026</v>
      </c>
      <c r="P119" s="29" t="str">
        <f>IF(A119="","",CHOOSE(WEEKDAY(A119,2),"Segunda","Terça","Quarta","Quinta","Sexta","Sábado","Domingo"))</f>
        <v>Terça</v>
      </c>
      <c r="Q119" s="29" t="str">
        <f>IF(B119="","",IF(B119&lt;TIME(12,0,0),"Manhã",IF(B119&lt;TIME(18,0,0),"Tarde","Noite")))</f>
        <v>Manhã</v>
      </c>
      <c r="R119" s="45">
        <f>IF(AND(H119="Realizado",L119&lt;&gt;""),L119/60,0)</f>
        <v>0.5</v>
      </c>
    </row>
    <row r="120">
      <c r="A120" s="42" t="n">
        <v>46217</v>
      </c>
      <c r="B120" s="43" t="n">
        <v>0.375</v>
      </c>
      <c r="C120" s="37" t="inlineStr">
        <is>
          <t>Dra. Carolina Mendes</t>
        </is>
      </c>
      <c r="D120" s="37" t="inlineStr">
        <is>
          <t>Sala 1</t>
        </is>
      </c>
      <c r="E120" s="36" t="inlineStr">
        <is>
          <t>Regina Macedo</t>
        </is>
      </c>
      <c r="F120" s="37" t="inlineStr">
        <is>
          <t>Particular</t>
        </is>
      </c>
      <c r="G120" s="37" t="inlineStr">
        <is>
          <t>Retorno</t>
        </is>
      </c>
      <c r="H120" s="37" t="inlineStr">
        <is>
          <t>Realizado</t>
        </is>
      </c>
      <c r="I120" s="37" t="inlineStr">
        <is>
          <t>Sem cobrança</t>
        </is>
      </c>
      <c r="J120" s="37" t="n"/>
      <c r="K120" s="36" t="n"/>
      <c r="L120" s="44">
        <f>IF(G120="","",IFERROR(INDEX(Config!$K$5:$K$16,MATCH(G120,Config!$J$5:$J$16,0)),""))</f>
        <v>20</v>
      </c>
      <c r="M120" s="30">
        <f>IF(OR(G120="",F120=""),"",IFERROR(INDEX(Config!$M$5:$R$16,MATCH(G120,Config!$J$5:$J$16,0),MATCH(F120,Config!$H$5:$H$10,0)),""))</f>
        <v>0</v>
      </c>
      <c r="N120" s="29">
        <f>IF(A120="","",MONTH(A120))</f>
        <v>7</v>
      </c>
      <c r="O120" s="29">
        <f>IF(A120="","",YEAR(A120))</f>
        <v>2026</v>
      </c>
      <c r="P120" s="29" t="str">
        <f>IF(A120="","",CHOOSE(WEEKDAY(A120,2),"Segunda","Terça","Quarta","Quinta","Sexta","Sábado","Domingo"))</f>
        <v>Terça</v>
      </c>
      <c r="Q120" s="29" t="str">
        <f>IF(B120="","",IF(B120&lt;TIME(12,0,0),"Manhã",IF(B120&lt;TIME(18,0,0),"Tarde","Noite")))</f>
        <v>Manhã</v>
      </c>
      <c r="R120" s="45">
        <f>IF(AND(H120="Realizado",L120&lt;&gt;""),L120/60,0)</f>
        <v>0.333333333333333</v>
      </c>
    </row>
    <row r="121">
      <c r="A121" s="42" t="n">
        <v>46217</v>
      </c>
      <c r="B121" s="43" t="n">
        <v>0.3888888888888889</v>
      </c>
      <c r="C121" s="37" t="inlineStr">
        <is>
          <t>Dra. Carolina Mendes</t>
        </is>
      </c>
      <c r="D121" s="37" t="inlineStr">
        <is>
          <t>Sala 1</t>
        </is>
      </c>
      <c r="E121" s="36" t="inlineStr">
        <is>
          <t>Priscila Carvalho</t>
        </is>
      </c>
      <c r="F121" s="37" t="inlineStr">
        <is>
          <t>Vida Care</t>
        </is>
      </c>
      <c r="G121" s="37" t="inlineStr">
        <is>
          <t>Consulta</t>
        </is>
      </c>
      <c r="H121" s="37" t="inlineStr">
        <is>
          <t>Realizado</t>
        </is>
      </c>
      <c r="I121" s="37" t="inlineStr">
        <is>
          <t>Convênio</t>
        </is>
      </c>
      <c r="J121" s="37" t="n"/>
      <c r="K121" s="36" t="n"/>
      <c r="L121" s="44">
        <f>IF(G121="","",IFERROR(INDEX(Config!$K$5:$K$16,MATCH(G121,Config!$J$5:$J$16,0)),""))</f>
        <v>30</v>
      </c>
      <c r="M121" s="30">
        <f>IF(OR(G121="",F121=""),"",IFERROR(INDEX(Config!$M$5:$R$16,MATCH(G121,Config!$J$5:$J$16,0),MATCH(F121,Config!$H$5:$H$10,0)),""))</f>
        <v>90</v>
      </c>
      <c r="N121" s="29">
        <f>IF(A121="","",MONTH(A121))</f>
        <v>7</v>
      </c>
      <c r="O121" s="29">
        <f>IF(A121="","",YEAR(A121))</f>
        <v>2026</v>
      </c>
      <c r="P121" s="29" t="str">
        <f>IF(A121="","",CHOOSE(WEEKDAY(A121,2),"Segunda","Terça","Quarta","Quinta","Sexta","Sábado","Domingo"))</f>
        <v>Terça</v>
      </c>
      <c r="Q121" s="29" t="str">
        <f>IF(B121="","",IF(B121&lt;TIME(12,0,0),"Manhã",IF(B121&lt;TIME(18,0,0),"Tarde","Noite")))</f>
        <v>Manhã</v>
      </c>
      <c r="R121" s="45">
        <f>IF(AND(H121="Realizado",L121&lt;&gt;""),L121/60,0)</f>
        <v>0.5</v>
      </c>
    </row>
    <row r="122">
      <c r="A122" s="42" t="n">
        <v>46217</v>
      </c>
      <c r="B122" s="43" t="n">
        <v>0.4097222222222222</v>
      </c>
      <c r="C122" s="37" t="inlineStr">
        <is>
          <t>Dra. Carolina Mendes</t>
        </is>
      </c>
      <c r="D122" s="37" t="inlineStr">
        <is>
          <t>Sala 1</t>
        </is>
      </c>
      <c r="E122" s="36" t="inlineStr">
        <is>
          <t>Regina Teixeira</t>
        </is>
      </c>
      <c r="F122" s="37" t="inlineStr">
        <is>
          <t>Particular</t>
        </is>
      </c>
      <c r="G122" s="37" t="inlineStr">
        <is>
          <t>Consulta</t>
        </is>
      </c>
      <c r="H122" s="37" t="inlineStr">
        <is>
          <t>Realizado</t>
        </is>
      </c>
      <c r="I122" s="37" t="inlineStr">
        <is>
          <t>Pix</t>
        </is>
      </c>
      <c r="J122" s="37" t="n"/>
      <c r="K122" s="36" t="n"/>
      <c r="L122" s="44">
        <f>IF(G122="","",IFERROR(INDEX(Config!$K$5:$K$16,MATCH(G122,Config!$J$5:$J$16,0)),""))</f>
        <v>30</v>
      </c>
      <c r="M122" s="30">
        <f>IF(OR(G122="",F122=""),"",IFERROR(INDEX(Config!$M$5:$R$16,MATCH(G122,Config!$J$5:$J$16,0),MATCH(F122,Config!$H$5:$H$10,0)),""))</f>
        <v>380</v>
      </c>
      <c r="N122" s="29">
        <f>IF(A122="","",MONTH(A122))</f>
        <v>7</v>
      </c>
      <c r="O122" s="29">
        <f>IF(A122="","",YEAR(A122))</f>
        <v>2026</v>
      </c>
      <c r="P122" s="29" t="str">
        <f>IF(A122="","",CHOOSE(WEEKDAY(A122,2),"Segunda","Terça","Quarta","Quinta","Sexta","Sábado","Domingo"))</f>
        <v>Terça</v>
      </c>
      <c r="Q122" s="29" t="str">
        <f>IF(B122="","",IF(B122&lt;TIME(12,0,0),"Manhã",IF(B122&lt;TIME(18,0,0),"Tarde","Noite")))</f>
        <v>Manhã</v>
      </c>
      <c r="R122" s="45">
        <f>IF(AND(H122="Realizado",L122&lt;&gt;""),L122/60,0)</f>
        <v>0.5</v>
      </c>
    </row>
    <row r="123">
      <c r="A123" s="42" t="n">
        <v>46217</v>
      </c>
      <c r="B123" s="43" t="n">
        <v>0.4513888888888889</v>
      </c>
      <c r="C123" s="37" t="inlineStr">
        <is>
          <t>Dra. Carolina Mendes</t>
        </is>
      </c>
      <c r="D123" s="37" t="inlineStr">
        <is>
          <t>Sala 1</t>
        </is>
      </c>
      <c r="E123" s="36" t="inlineStr">
        <is>
          <t>Camila Batista</t>
        </is>
      </c>
      <c r="F123" s="37" t="inlineStr">
        <is>
          <t>MediPlan</t>
        </is>
      </c>
      <c r="G123" s="37" t="inlineStr">
        <is>
          <t>Consulta</t>
        </is>
      </c>
      <c r="H123" s="37" t="inlineStr">
        <is>
          <t>Falta</t>
        </is>
      </c>
      <c r="I123" s="37" t="n"/>
      <c r="J123" s="37" t="n"/>
      <c r="K123" s="36" t="n"/>
      <c r="L123" s="44">
        <f>IF(G123="","",IFERROR(INDEX(Config!$K$5:$K$16,MATCH(G123,Config!$J$5:$J$16,0)),""))</f>
        <v>30</v>
      </c>
      <c r="M123" s="30">
        <f>IF(OR(G123="",F123=""),"",IFERROR(INDEX(Config!$M$5:$R$16,MATCH(G123,Config!$J$5:$J$16,0),MATCH(F123,Config!$H$5:$H$10,0)),""))</f>
        <v>100</v>
      </c>
      <c r="N123" s="29">
        <f>IF(A123="","",MONTH(A123))</f>
        <v>7</v>
      </c>
      <c r="O123" s="29">
        <f>IF(A123="","",YEAR(A123))</f>
        <v>2026</v>
      </c>
      <c r="P123" s="29" t="str">
        <f>IF(A123="","",CHOOSE(WEEKDAY(A123,2),"Segunda","Terça","Quarta","Quinta","Sexta","Sábado","Domingo"))</f>
        <v>Terça</v>
      </c>
      <c r="Q123" s="29" t="str">
        <f>IF(B123="","",IF(B123&lt;TIME(12,0,0),"Manhã",IF(B123&lt;TIME(18,0,0),"Tarde","Noite")))</f>
        <v>Manhã</v>
      </c>
      <c r="R123" s="45">
        <f>IF(AND(H123="Realizado",L123&lt;&gt;""),L123/60,0)</f>
        <v>0</v>
      </c>
    </row>
    <row r="124">
      <c r="A124" s="42" t="n">
        <v>46217</v>
      </c>
      <c r="B124" s="43" t="n">
        <v>0.4722222222222222</v>
      </c>
      <c r="C124" s="37" t="inlineStr">
        <is>
          <t>Dra. Carolina Mendes</t>
        </is>
      </c>
      <c r="D124" s="37" t="inlineStr">
        <is>
          <t>Sala 1</t>
        </is>
      </c>
      <c r="E124" s="36" t="inlineStr">
        <is>
          <t>Lucas Lopes</t>
        </is>
      </c>
      <c r="F124" s="37" t="inlineStr">
        <is>
          <t>Particular</t>
        </is>
      </c>
      <c r="G124" s="37" t="inlineStr">
        <is>
          <t>Consulta</t>
        </is>
      </c>
      <c r="H124" s="37" t="inlineStr">
        <is>
          <t>Realizado</t>
        </is>
      </c>
      <c r="I124" s="37" t="inlineStr">
        <is>
          <t>A prazo</t>
        </is>
      </c>
      <c r="J124" s="37" t="n"/>
      <c r="K124" s="36" t="n"/>
      <c r="L124" s="44">
        <f>IF(G124="","",IFERROR(INDEX(Config!$K$5:$K$16,MATCH(G124,Config!$J$5:$J$16,0)),""))</f>
        <v>30</v>
      </c>
      <c r="M124" s="30">
        <f>IF(OR(G124="",F124=""),"",IFERROR(INDEX(Config!$M$5:$R$16,MATCH(G124,Config!$J$5:$J$16,0),MATCH(F124,Config!$H$5:$H$10,0)),""))</f>
        <v>380</v>
      </c>
      <c r="N124" s="29">
        <f>IF(A124="","",MONTH(A124))</f>
        <v>7</v>
      </c>
      <c r="O124" s="29">
        <f>IF(A124="","",YEAR(A124))</f>
        <v>2026</v>
      </c>
      <c r="P124" s="29" t="str">
        <f>IF(A124="","",CHOOSE(WEEKDAY(A124,2),"Segunda","Terça","Quarta","Quinta","Sexta","Sábado","Domingo"))</f>
        <v>Terça</v>
      </c>
      <c r="Q124" s="29" t="str">
        <f>IF(B124="","",IF(B124&lt;TIME(12,0,0),"Manhã",IF(B124&lt;TIME(18,0,0),"Tarde","Noite")))</f>
        <v>Manhã</v>
      </c>
      <c r="R124" s="45">
        <f>IF(AND(H124="Realizado",L124&lt;&gt;""),L124/60,0)</f>
        <v>0.5</v>
      </c>
    </row>
    <row r="125">
      <c r="A125" s="42" t="n">
        <v>46217</v>
      </c>
      <c r="B125" s="43" t="n">
        <v>0.5833333333333334</v>
      </c>
      <c r="C125" s="37" t="inlineStr">
        <is>
          <t>Dra. Renata Sousa</t>
        </is>
      </c>
      <c r="D125" s="37" t="inlineStr">
        <is>
          <t>Sala 1</t>
        </is>
      </c>
      <c r="E125" s="36" t="inlineStr">
        <is>
          <t>Eduardo Pereira</t>
        </is>
      </c>
      <c r="F125" s="37" t="inlineStr">
        <is>
          <t>Particular</t>
        </is>
      </c>
      <c r="G125" s="37" t="inlineStr">
        <is>
          <t>Retorno</t>
        </is>
      </c>
      <c r="H125" s="37" t="inlineStr">
        <is>
          <t>Realizado</t>
        </is>
      </c>
      <c r="I125" s="37" t="inlineStr">
        <is>
          <t>Sem cobrança</t>
        </is>
      </c>
      <c r="J125" s="37" t="n"/>
      <c r="K125" s="36" t="n"/>
      <c r="L125" s="44">
        <f>IF(G125="","",IFERROR(INDEX(Config!$K$5:$K$16,MATCH(G125,Config!$J$5:$J$16,0)),""))</f>
        <v>20</v>
      </c>
      <c r="M125" s="30">
        <f>IF(OR(G125="",F125=""),"",IFERROR(INDEX(Config!$M$5:$R$16,MATCH(G125,Config!$J$5:$J$16,0),MATCH(F125,Config!$H$5:$H$10,0)),""))</f>
        <v>0</v>
      </c>
      <c r="N125" s="29">
        <f>IF(A125="","",MONTH(A125))</f>
        <v>7</v>
      </c>
      <c r="O125" s="29">
        <f>IF(A125="","",YEAR(A125))</f>
        <v>2026</v>
      </c>
      <c r="P125" s="29" t="str">
        <f>IF(A125="","",CHOOSE(WEEKDAY(A125,2),"Segunda","Terça","Quarta","Quinta","Sexta","Sábado","Domingo"))</f>
        <v>Terça</v>
      </c>
      <c r="Q125" s="29" t="str">
        <f>IF(B125="","",IF(B125&lt;TIME(12,0,0),"Manhã",IF(B125&lt;TIME(18,0,0),"Tarde","Noite")))</f>
        <v>Tarde</v>
      </c>
      <c r="R125" s="45">
        <f>IF(AND(H125="Realizado",L125&lt;&gt;""),L125/60,0)</f>
        <v>0.333333333333333</v>
      </c>
    </row>
    <row r="126">
      <c r="A126" s="42" t="n">
        <v>46217</v>
      </c>
      <c r="B126" s="43" t="n">
        <v>0.5833333333333334</v>
      </c>
      <c r="C126" s="37" t="inlineStr">
        <is>
          <t>Dr. Paulo Andrade</t>
        </is>
      </c>
      <c r="D126" s="37" t="inlineStr">
        <is>
          <t>Sala 2</t>
        </is>
      </c>
      <c r="E126" s="36" t="inlineStr">
        <is>
          <t>Paulo Reis</t>
        </is>
      </c>
      <c r="F126" s="37" t="inlineStr">
        <is>
          <t>Particular</t>
        </is>
      </c>
      <c r="G126" s="37" t="inlineStr">
        <is>
          <t>Consulta</t>
        </is>
      </c>
      <c r="H126" s="37" t="inlineStr">
        <is>
          <t>Realizado</t>
        </is>
      </c>
      <c r="I126" s="37" t="inlineStr">
        <is>
          <t>A prazo</t>
        </is>
      </c>
      <c r="J126" s="37" t="n"/>
      <c r="K126" s="36" t="n"/>
      <c r="L126" s="44">
        <f>IF(G126="","",IFERROR(INDEX(Config!$K$5:$K$16,MATCH(G126,Config!$J$5:$J$16,0)),""))</f>
        <v>30</v>
      </c>
      <c r="M126" s="30">
        <f>IF(OR(G126="",F126=""),"",IFERROR(INDEX(Config!$M$5:$R$16,MATCH(G126,Config!$J$5:$J$16,0),MATCH(F126,Config!$H$5:$H$10,0)),""))</f>
        <v>380</v>
      </c>
      <c r="N126" s="29">
        <f>IF(A126="","",MONTH(A126))</f>
        <v>7</v>
      </c>
      <c r="O126" s="29">
        <f>IF(A126="","",YEAR(A126))</f>
        <v>2026</v>
      </c>
      <c r="P126" s="29" t="str">
        <f>IF(A126="","",CHOOSE(WEEKDAY(A126,2),"Segunda","Terça","Quarta","Quinta","Sexta","Sábado","Domingo"))</f>
        <v>Terça</v>
      </c>
      <c r="Q126" s="29" t="str">
        <f>IF(B126="","",IF(B126&lt;TIME(12,0,0),"Manhã",IF(B126&lt;TIME(18,0,0),"Tarde","Noite")))</f>
        <v>Tarde</v>
      </c>
      <c r="R126" s="45">
        <f>IF(AND(H126="Realizado",L126&lt;&gt;""),L126/60,0)</f>
        <v>0.5</v>
      </c>
    </row>
    <row r="127">
      <c r="A127" s="42" t="n">
        <v>46217</v>
      </c>
      <c r="B127" s="43" t="n">
        <v>0.5972222222222222</v>
      </c>
      <c r="C127" s="37" t="inlineStr">
        <is>
          <t>Dra. Renata Sousa</t>
        </is>
      </c>
      <c r="D127" s="37" t="inlineStr">
        <is>
          <t>Sala 1</t>
        </is>
      </c>
      <c r="E127" s="36" t="inlineStr">
        <is>
          <t>Priscila Reis</t>
        </is>
      </c>
      <c r="F127" s="37" t="inlineStr">
        <is>
          <t>Particular</t>
        </is>
      </c>
      <c r="G127" s="37" t="inlineStr">
        <is>
          <t>Avaliação endócrina</t>
        </is>
      </c>
      <c r="H127" s="37" t="inlineStr">
        <is>
          <t>Realizado</t>
        </is>
      </c>
      <c r="I127" s="37" t="inlineStr">
        <is>
          <t>Pix</t>
        </is>
      </c>
      <c r="J127" s="37" t="n"/>
      <c r="K127" s="36" t="n"/>
      <c r="L127" s="44">
        <f>IF(G127="","",IFERROR(INDEX(Config!$K$5:$K$16,MATCH(G127,Config!$J$5:$J$16,0)),""))</f>
        <v>40</v>
      </c>
      <c r="M127" s="30">
        <f>IF(OR(G127="",F127=""),"",IFERROR(INDEX(Config!$M$5:$R$16,MATCH(G127,Config!$J$5:$J$16,0),MATCH(F127,Config!$H$5:$H$10,0)),""))</f>
        <v>400</v>
      </c>
      <c r="N127" s="29">
        <f>IF(A127="","",MONTH(A127))</f>
        <v>7</v>
      </c>
      <c r="O127" s="29">
        <f>IF(A127="","",YEAR(A127))</f>
        <v>2026</v>
      </c>
      <c r="P127" s="29" t="str">
        <f>IF(A127="","",CHOOSE(WEEKDAY(A127,2),"Segunda","Terça","Quarta","Quinta","Sexta","Sábado","Domingo"))</f>
        <v>Terça</v>
      </c>
      <c r="Q127" s="29" t="str">
        <f>IF(B127="","",IF(B127&lt;TIME(12,0,0),"Manhã",IF(B127&lt;TIME(18,0,0),"Tarde","Noite")))</f>
        <v>Tarde</v>
      </c>
      <c r="R127" s="45">
        <f>IF(AND(H127="Realizado",L127&lt;&gt;""),L127/60,0)</f>
        <v>0.666666666666667</v>
      </c>
    </row>
    <row r="128">
      <c r="A128" s="42" t="n">
        <v>46217</v>
      </c>
      <c r="B128" s="43" t="n">
        <v>0.6041666666666666</v>
      </c>
      <c r="C128" s="37" t="inlineStr">
        <is>
          <t>Dr. Paulo Andrade</t>
        </is>
      </c>
      <c r="D128" s="37" t="inlineStr">
        <is>
          <t>Sala 2</t>
        </is>
      </c>
      <c r="E128" s="36" t="inlineStr">
        <is>
          <t>Priscila Rocha</t>
        </is>
      </c>
      <c r="F128" s="37" t="inlineStr">
        <is>
          <t>MediPlan</t>
        </is>
      </c>
      <c r="G128" s="37" t="inlineStr">
        <is>
          <t>Consulta</t>
        </is>
      </c>
      <c r="H128" s="37" t="inlineStr">
        <is>
          <t>Realizado</t>
        </is>
      </c>
      <c r="I128" s="37" t="inlineStr">
        <is>
          <t>Convênio</t>
        </is>
      </c>
      <c r="J128" s="37" t="n"/>
      <c r="K128" s="36" t="n"/>
      <c r="L128" s="44">
        <f>IF(G128="","",IFERROR(INDEX(Config!$K$5:$K$16,MATCH(G128,Config!$J$5:$J$16,0)),""))</f>
        <v>30</v>
      </c>
      <c r="M128" s="30">
        <f>IF(OR(G128="",F128=""),"",IFERROR(INDEX(Config!$M$5:$R$16,MATCH(G128,Config!$J$5:$J$16,0),MATCH(F128,Config!$H$5:$H$10,0)),""))</f>
        <v>100</v>
      </c>
      <c r="N128" s="29">
        <f>IF(A128="","",MONTH(A128))</f>
        <v>7</v>
      </c>
      <c r="O128" s="29">
        <f>IF(A128="","",YEAR(A128))</f>
        <v>2026</v>
      </c>
      <c r="P128" s="29" t="str">
        <f>IF(A128="","",CHOOSE(WEEKDAY(A128,2),"Segunda","Terça","Quarta","Quinta","Sexta","Sábado","Domingo"))</f>
        <v>Terça</v>
      </c>
      <c r="Q128" s="29" t="str">
        <f>IF(B128="","",IF(B128&lt;TIME(12,0,0),"Manhã",IF(B128&lt;TIME(18,0,0),"Tarde","Noite")))</f>
        <v>Tarde</v>
      </c>
      <c r="R128" s="45">
        <f>IF(AND(H128="Realizado",L128&lt;&gt;""),L128/60,0)</f>
        <v>0.5</v>
      </c>
    </row>
    <row r="129">
      <c r="A129" s="42" t="n">
        <v>46217</v>
      </c>
      <c r="B129" s="43" t="n">
        <v>0.625</v>
      </c>
      <c r="C129" s="37" t="inlineStr">
        <is>
          <t>Dra. Renata Sousa</t>
        </is>
      </c>
      <c r="D129" s="37" t="inlineStr">
        <is>
          <t>Sala 1</t>
        </is>
      </c>
      <c r="E129" s="36" t="inlineStr">
        <is>
          <t>Cláudia Melo</t>
        </is>
      </c>
      <c r="F129" s="37" t="inlineStr">
        <is>
          <t>Particular</t>
        </is>
      </c>
      <c r="G129" s="37" t="inlineStr">
        <is>
          <t>Avaliação endócrina</t>
        </is>
      </c>
      <c r="H129" s="37" t="inlineStr">
        <is>
          <t>Realizado</t>
        </is>
      </c>
      <c r="I129" s="37" t="inlineStr">
        <is>
          <t>Cartão de crédito</t>
        </is>
      </c>
      <c r="J129" s="37" t="n"/>
      <c r="K129" s="36" t="n"/>
      <c r="L129" s="44">
        <f>IF(G129="","",IFERROR(INDEX(Config!$K$5:$K$16,MATCH(G129,Config!$J$5:$J$16,0)),""))</f>
        <v>40</v>
      </c>
      <c r="M129" s="30">
        <f>IF(OR(G129="",F129=""),"",IFERROR(INDEX(Config!$M$5:$R$16,MATCH(G129,Config!$J$5:$J$16,0),MATCH(F129,Config!$H$5:$H$10,0)),""))</f>
        <v>400</v>
      </c>
      <c r="N129" s="29">
        <f>IF(A129="","",MONTH(A129))</f>
        <v>7</v>
      </c>
      <c r="O129" s="29">
        <f>IF(A129="","",YEAR(A129))</f>
        <v>2026</v>
      </c>
      <c r="P129" s="29" t="str">
        <f>IF(A129="","",CHOOSE(WEEKDAY(A129,2),"Segunda","Terça","Quarta","Quinta","Sexta","Sábado","Domingo"))</f>
        <v>Terça</v>
      </c>
      <c r="Q129" s="29" t="str">
        <f>IF(B129="","",IF(B129&lt;TIME(12,0,0),"Manhã",IF(B129&lt;TIME(18,0,0),"Tarde","Noite")))</f>
        <v>Tarde</v>
      </c>
      <c r="R129" s="45">
        <f>IF(AND(H129="Realizado",L129&lt;&gt;""),L129/60,0)</f>
        <v>0.666666666666667</v>
      </c>
    </row>
    <row r="130">
      <c r="A130" s="42" t="n">
        <v>46217</v>
      </c>
      <c r="B130" s="43" t="n">
        <v>0.625</v>
      </c>
      <c r="C130" s="37" t="inlineStr">
        <is>
          <t>Dr. Paulo Andrade</t>
        </is>
      </c>
      <c r="D130" s="37" t="inlineStr">
        <is>
          <t>Sala 2</t>
        </is>
      </c>
      <c r="E130" s="36" t="inlineStr">
        <is>
          <t>Rafael Dias</t>
        </is>
      </c>
      <c r="F130" s="37" t="inlineStr">
        <is>
          <t>Particular</t>
        </is>
      </c>
      <c r="G130" s="37" t="inlineStr">
        <is>
          <t>ECG</t>
        </is>
      </c>
      <c r="H130" s="37" t="inlineStr">
        <is>
          <t>Realizado</t>
        </is>
      </c>
      <c r="I130" s="37" t="inlineStr">
        <is>
          <t>Cartão de crédito</t>
        </is>
      </c>
      <c r="J130" s="37" t="n"/>
      <c r="K130" s="36" t="n"/>
      <c r="L130" s="44">
        <f>IF(G130="","",IFERROR(INDEX(Config!$K$5:$K$16,MATCH(G130,Config!$J$5:$J$16,0)),""))</f>
        <v>20</v>
      </c>
      <c r="M130" s="30">
        <f>IF(OR(G130="",F130=""),"",IFERROR(INDEX(Config!$M$5:$R$16,MATCH(G130,Config!$J$5:$J$16,0),MATCH(F130,Config!$H$5:$H$10,0)),""))</f>
        <v>130</v>
      </c>
      <c r="N130" s="29">
        <f>IF(A130="","",MONTH(A130))</f>
        <v>7</v>
      </c>
      <c r="O130" s="29">
        <f>IF(A130="","",YEAR(A130))</f>
        <v>2026</v>
      </c>
      <c r="P130" s="29" t="str">
        <f>IF(A130="","",CHOOSE(WEEKDAY(A130,2),"Segunda","Terça","Quarta","Quinta","Sexta","Sábado","Domingo"))</f>
        <v>Terça</v>
      </c>
      <c r="Q130" s="29" t="str">
        <f>IF(B130="","",IF(B130&lt;TIME(12,0,0),"Manhã",IF(B130&lt;TIME(18,0,0),"Tarde","Noite")))</f>
        <v>Tarde</v>
      </c>
      <c r="R130" s="45">
        <f>IF(AND(H130="Realizado",L130&lt;&gt;""),L130/60,0)</f>
        <v>0.333333333333333</v>
      </c>
    </row>
    <row r="131">
      <c r="A131" s="42" t="n">
        <v>46217</v>
      </c>
      <c r="B131" s="43" t="n">
        <v>0.6388888888888888</v>
      </c>
      <c r="C131" s="37" t="inlineStr">
        <is>
          <t>Dr. Paulo Andrade</t>
        </is>
      </c>
      <c r="D131" s="37" t="inlineStr">
        <is>
          <t>Sala 2</t>
        </is>
      </c>
      <c r="E131" s="36" t="inlineStr">
        <is>
          <t>Mônica Martins</t>
        </is>
      </c>
      <c r="F131" s="37" t="inlineStr">
        <is>
          <t>Particular</t>
        </is>
      </c>
      <c r="G131" s="37" t="inlineStr">
        <is>
          <t>ECG</t>
        </is>
      </c>
      <c r="H131" s="37" t="inlineStr">
        <is>
          <t>Realizado</t>
        </is>
      </c>
      <c r="I131" s="37" t="inlineStr">
        <is>
          <t>Pix</t>
        </is>
      </c>
      <c r="J131" s="37" t="n"/>
      <c r="K131" s="36" t="n"/>
      <c r="L131" s="44">
        <f>IF(G131="","",IFERROR(INDEX(Config!$K$5:$K$16,MATCH(G131,Config!$J$5:$J$16,0)),""))</f>
        <v>20</v>
      </c>
      <c r="M131" s="30">
        <f>IF(OR(G131="",F131=""),"",IFERROR(INDEX(Config!$M$5:$R$16,MATCH(G131,Config!$J$5:$J$16,0),MATCH(F131,Config!$H$5:$H$10,0)),""))</f>
        <v>130</v>
      </c>
      <c r="N131" s="29">
        <f>IF(A131="","",MONTH(A131))</f>
        <v>7</v>
      </c>
      <c r="O131" s="29">
        <f>IF(A131="","",YEAR(A131))</f>
        <v>2026</v>
      </c>
      <c r="P131" s="29" t="str">
        <f>IF(A131="","",CHOOSE(WEEKDAY(A131,2),"Segunda","Terça","Quarta","Quinta","Sexta","Sábado","Domingo"))</f>
        <v>Terça</v>
      </c>
      <c r="Q131" s="29" t="str">
        <f>IF(B131="","",IF(B131&lt;TIME(12,0,0),"Manhã",IF(B131&lt;TIME(18,0,0),"Tarde","Noite")))</f>
        <v>Tarde</v>
      </c>
      <c r="R131" s="45">
        <f>IF(AND(H131="Realizado",L131&lt;&gt;""),L131/60,0)</f>
        <v>0.333333333333333</v>
      </c>
    </row>
    <row r="132">
      <c r="A132" s="42" t="n">
        <v>46217</v>
      </c>
      <c r="B132" s="43" t="n">
        <v>0.6527777777777778</v>
      </c>
      <c r="C132" s="37" t="inlineStr">
        <is>
          <t>Dra. Renata Sousa</t>
        </is>
      </c>
      <c r="D132" s="37" t="inlineStr">
        <is>
          <t>Sala 1</t>
        </is>
      </c>
      <c r="E132" s="36" t="inlineStr">
        <is>
          <t>Patrícia Dias</t>
        </is>
      </c>
      <c r="F132" s="37" t="inlineStr">
        <is>
          <t>Particular</t>
        </is>
      </c>
      <c r="G132" s="37" t="inlineStr">
        <is>
          <t>Retorno</t>
        </is>
      </c>
      <c r="H132" s="37" t="inlineStr">
        <is>
          <t>Realizado</t>
        </is>
      </c>
      <c r="I132" s="37" t="inlineStr">
        <is>
          <t>Sem cobrança</t>
        </is>
      </c>
      <c r="J132" s="37" t="n"/>
      <c r="K132" s="36" t="n"/>
      <c r="L132" s="44">
        <f>IF(G132="","",IFERROR(INDEX(Config!$K$5:$K$16,MATCH(G132,Config!$J$5:$J$16,0)),""))</f>
        <v>20</v>
      </c>
      <c r="M132" s="30">
        <f>IF(OR(G132="",F132=""),"",IFERROR(INDEX(Config!$M$5:$R$16,MATCH(G132,Config!$J$5:$J$16,0),MATCH(F132,Config!$H$5:$H$10,0)),""))</f>
        <v>0</v>
      </c>
      <c r="N132" s="29">
        <f>IF(A132="","",MONTH(A132))</f>
        <v>7</v>
      </c>
      <c r="O132" s="29">
        <f>IF(A132="","",YEAR(A132))</f>
        <v>2026</v>
      </c>
      <c r="P132" s="29" t="str">
        <f>IF(A132="","",CHOOSE(WEEKDAY(A132,2),"Segunda","Terça","Quarta","Quinta","Sexta","Sábado","Domingo"))</f>
        <v>Terça</v>
      </c>
      <c r="Q132" s="29" t="str">
        <f>IF(B132="","",IF(B132&lt;TIME(12,0,0),"Manhã",IF(B132&lt;TIME(18,0,0),"Tarde","Noite")))</f>
        <v>Tarde</v>
      </c>
      <c r="R132" s="45">
        <f>IF(AND(H132="Realizado",L132&lt;&gt;""),L132/60,0)</f>
        <v>0.333333333333333</v>
      </c>
    </row>
    <row r="133">
      <c r="A133" s="42" t="n">
        <v>46217</v>
      </c>
      <c r="B133" s="43" t="n">
        <v>0.6527777777777778</v>
      </c>
      <c r="C133" s="37" t="inlineStr">
        <is>
          <t>Dr. Paulo Andrade</t>
        </is>
      </c>
      <c r="D133" s="37" t="inlineStr">
        <is>
          <t>Sala 2</t>
        </is>
      </c>
      <c r="E133" s="36" t="inlineStr">
        <is>
          <t>Marcelo Ferreira</t>
        </is>
      </c>
      <c r="F133" s="37" t="inlineStr">
        <is>
          <t>Particular</t>
        </is>
      </c>
      <c r="G133" s="37" t="inlineStr">
        <is>
          <t>Consulta</t>
        </is>
      </c>
      <c r="H133" s="37" t="inlineStr">
        <is>
          <t>Realizado</t>
        </is>
      </c>
      <c r="I133" s="37" t="inlineStr">
        <is>
          <t>Cartão de crédito</t>
        </is>
      </c>
      <c r="J133" s="37" t="n">
        <v>2</v>
      </c>
      <c r="K133" s="36" t="n"/>
      <c r="L133" s="44">
        <f>IF(G133="","",IFERROR(INDEX(Config!$K$5:$K$16,MATCH(G133,Config!$J$5:$J$16,0)),""))</f>
        <v>30</v>
      </c>
      <c r="M133" s="30">
        <f>IF(OR(G133="",F133=""),"",IFERROR(INDEX(Config!$M$5:$R$16,MATCH(G133,Config!$J$5:$J$16,0),MATCH(F133,Config!$H$5:$H$10,0)),""))</f>
        <v>380</v>
      </c>
      <c r="N133" s="29">
        <f>IF(A133="","",MONTH(A133))</f>
        <v>7</v>
      </c>
      <c r="O133" s="29">
        <f>IF(A133="","",YEAR(A133))</f>
        <v>2026</v>
      </c>
      <c r="P133" s="29" t="str">
        <f>IF(A133="","",CHOOSE(WEEKDAY(A133,2),"Segunda","Terça","Quarta","Quinta","Sexta","Sábado","Domingo"))</f>
        <v>Terça</v>
      </c>
      <c r="Q133" s="29" t="str">
        <f>IF(B133="","",IF(B133&lt;TIME(12,0,0),"Manhã",IF(B133&lt;TIME(18,0,0),"Tarde","Noite")))</f>
        <v>Tarde</v>
      </c>
      <c r="R133" s="45">
        <f>IF(AND(H133="Realizado",L133&lt;&gt;""),L133/60,0)</f>
        <v>0.5</v>
      </c>
    </row>
    <row r="134">
      <c r="A134" s="42" t="n">
        <v>46217</v>
      </c>
      <c r="B134" s="43" t="n">
        <v>0.6666666666666666</v>
      </c>
      <c r="C134" s="37" t="inlineStr">
        <is>
          <t>Dra. Renata Sousa</t>
        </is>
      </c>
      <c r="D134" s="37" t="inlineStr">
        <is>
          <t>Sala 1</t>
        </is>
      </c>
      <c r="E134" s="36" t="inlineStr">
        <is>
          <t>Roberta Lima</t>
        </is>
      </c>
      <c r="F134" s="37" t="inlineStr">
        <is>
          <t>Particular</t>
        </is>
      </c>
      <c r="G134" s="37" t="inlineStr">
        <is>
          <t>Avaliação endócrina</t>
        </is>
      </c>
      <c r="H134" s="37" t="inlineStr">
        <is>
          <t>Realizado</t>
        </is>
      </c>
      <c r="I134" s="37" t="inlineStr">
        <is>
          <t>Cartão de crédito</t>
        </is>
      </c>
      <c r="J134" s="37" t="n"/>
      <c r="K134" s="36" t="n"/>
      <c r="L134" s="44">
        <f>IF(G134="","",IFERROR(INDEX(Config!$K$5:$K$16,MATCH(G134,Config!$J$5:$J$16,0)),""))</f>
        <v>40</v>
      </c>
      <c r="M134" s="30">
        <f>IF(OR(G134="",F134=""),"",IFERROR(INDEX(Config!$M$5:$R$16,MATCH(G134,Config!$J$5:$J$16,0),MATCH(F134,Config!$H$5:$H$10,0)),""))</f>
        <v>400</v>
      </c>
      <c r="N134" s="29">
        <f>IF(A134="","",MONTH(A134))</f>
        <v>7</v>
      </c>
      <c r="O134" s="29">
        <f>IF(A134="","",YEAR(A134))</f>
        <v>2026</v>
      </c>
      <c r="P134" s="29" t="str">
        <f>IF(A134="","",CHOOSE(WEEKDAY(A134,2),"Segunda","Terça","Quarta","Quinta","Sexta","Sábado","Domingo"))</f>
        <v>Terça</v>
      </c>
      <c r="Q134" s="29" t="str">
        <f>IF(B134="","",IF(B134&lt;TIME(12,0,0),"Manhã",IF(B134&lt;TIME(18,0,0),"Tarde","Noite")))</f>
        <v>Tarde</v>
      </c>
      <c r="R134" s="45">
        <f>IF(AND(H134="Realizado",L134&lt;&gt;""),L134/60,0)</f>
        <v>0.666666666666667</v>
      </c>
    </row>
    <row r="135">
      <c r="A135" s="42" t="n">
        <v>46217</v>
      </c>
      <c r="B135" s="43" t="n">
        <v>0.6944444444444444</v>
      </c>
      <c r="C135" s="37" t="inlineStr">
        <is>
          <t>Dra. Renata Sousa</t>
        </is>
      </c>
      <c r="D135" s="37" t="inlineStr">
        <is>
          <t>Sala 1</t>
        </is>
      </c>
      <c r="E135" s="36" t="inlineStr">
        <is>
          <t>Thiago Melo</t>
        </is>
      </c>
      <c r="F135" s="37" t="inlineStr">
        <is>
          <t>Particular</t>
        </is>
      </c>
      <c r="G135" s="37" t="inlineStr">
        <is>
          <t>Avaliação endócrina</t>
        </is>
      </c>
      <c r="H135" s="37" t="inlineStr">
        <is>
          <t>Realizado</t>
        </is>
      </c>
      <c r="I135" s="37" t="inlineStr">
        <is>
          <t>Cartão de crédito</t>
        </is>
      </c>
      <c r="J135" s="37" t="n">
        <v>2</v>
      </c>
      <c r="K135" s="36" t="n"/>
      <c r="L135" s="44">
        <f>IF(G135="","",IFERROR(INDEX(Config!$K$5:$K$16,MATCH(G135,Config!$J$5:$J$16,0)),""))</f>
        <v>40</v>
      </c>
      <c r="M135" s="30">
        <f>IF(OR(G135="",F135=""),"",IFERROR(INDEX(Config!$M$5:$R$16,MATCH(G135,Config!$J$5:$J$16,0),MATCH(F135,Config!$H$5:$H$10,0)),""))</f>
        <v>400</v>
      </c>
      <c r="N135" s="29">
        <f>IF(A135="","",MONTH(A135))</f>
        <v>7</v>
      </c>
      <c r="O135" s="29">
        <f>IF(A135="","",YEAR(A135))</f>
        <v>2026</v>
      </c>
      <c r="P135" s="29" t="str">
        <f>IF(A135="","",CHOOSE(WEEKDAY(A135,2),"Segunda","Terça","Quarta","Quinta","Sexta","Sábado","Domingo"))</f>
        <v>Terça</v>
      </c>
      <c r="Q135" s="29" t="str">
        <f>IF(B135="","",IF(B135&lt;TIME(12,0,0),"Manhã",IF(B135&lt;TIME(18,0,0),"Tarde","Noite")))</f>
        <v>Tarde</v>
      </c>
      <c r="R135" s="45">
        <f>IF(AND(H135="Realizado",L135&lt;&gt;""),L135/60,0)</f>
        <v>0.666666666666667</v>
      </c>
    </row>
    <row r="136">
      <c r="A136" s="42" t="n">
        <v>46217</v>
      </c>
      <c r="B136" s="43" t="n">
        <v>0.7152777777777778</v>
      </c>
      <c r="C136" s="37" t="inlineStr">
        <is>
          <t>Dr. Paulo Andrade</t>
        </is>
      </c>
      <c r="D136" s="37" t="inlineStr">
        <is>
          <t>Sala 2</t>
        </is>
      </c>
      <c r="E136" s="36" t="inlineStr">
        <is>
          <t>Rafael Barros</t>
        </is>
      </c>
      <c r="F136" s="37" t="inlineStr">
        <is>
          <t>Particular</t>
        </is>
      </c>
      <c r="G136" s="37" t="inlineStr">
        <is>
          <t>Consulta</t>
        </is>
      </c>
      <c r="H136" s="37" t="inlineStr">
        <is>
          <t>Realizado</t>
        </is>
      </c>
      <c r="I136" s="37" t="inlineStr">
        <is>
          <t>Pix</t>
        </is>
      </c>
      <c r="J136" s="37" t="n"/>
      <c r="K136" s="36" t="n"/>
      <c r="L136" s="44">
        <f>IF(G136="","",IFERROR(INDEX(Config!$K$5:$K$16,MATCH(G136,Config!$J$5:$J$16,0)),""))</f>
        <v>30</v>
      </c>
      <c r="M136" s="30">
        <f>IF(OR(G136="",F136=""),"",IFERROR(INDEX(Config!$M$5:$R$16,MATCH(G136,Config!$J$5:$J$16,0),MATCH(F136,Config!$H$5:$H$10,0)),""))</f>
        <v>380</v>
      </c>
      <c r="N136" s="29">
        <f>IF(A136="","",MONTH(A136))</f>
        <v>7</v>
      </c>
      <c r="O136" s="29">
        <f>IF(A136="","",YEAR(A136))</f>
        <v>2026</v>
      </c>
      <c r="P136" s="29" t="str">
        <f>IF(A136="","",CHOOSE(WEEKDAY(A136,2),"Segunda","Terça","Quarta","Quinta","Sexta","Sábado","Domingo"))</f>
        <v>Terça</v>
      </c>
      <c r="Q136" s="29" t="str">
        <f>IF(B136="","",IF(B136&lt;TIME(12,0,0),"Manhã",IF(B136&lt;TIME(18,0,0),"Tarde","Noite")))</f>
        <v>Tarde</v>
      </c>
      <c r="R136" s="45">
        <f>IF(AND(H136="Realizado",L136&lt;&gt;""),L136/60,0)</f>
        <v>0.5</v>
      </c>
    </row>
    <row r="137">
      <c r="A137" s="42" t="n">
        <v>46217</v>
      </c>
      <c r="B137" s="43" t="n">
        <v>0.7222222222222222</v>
      </c>
      <c r="C137" s="37" t="inlineStr">
        <is>
          <t>Dra. Renata Sousa</t>
        </is>
      </c>
      <c r="D137" s="37" t="inlineStr">
        <is>
          <t>Sala 1</t>
        </is>
      </c>
      <c r="E137" s="36" t="inlineStr">
        <is>
          <t>Mariana Reis</t>
        </is>
      </c>
      <c r="F137" s="37" t="inlineStr">
        <is>
          <t>Particular</t>
        </is>
      </c>
      <c r="G137" s="37" t="inlineStr">
        <is>
          <t>Avaliação endócrina</t>
        </is>
      </c>
      <c r="H137" s="37" t="inlineStr">
        <is>
          <t>Realizado</t>
        </is>
      </c>
      <c r="I137" s="37" t="inlineStr">
        <is>
          <t>Cartão de crédito</t>
        </is>
      </c>
      <c r="J137" s="37" t="n">
        <v>2</v>
      </c>
      <c r="K137" s="36" t="n"/>
      <c r="L137" s="44">
        <f>IF(G137="","",IFERROR(INDEX(Config!$K$5:$K$16,MATCH(G137,Config!$J$5:$J$16,0)),""))</f>
        <v>40</v>
      </c>
      <c r="M137" s="30">
        <f>IF(OR(G137="",F137=""),"",IFERROR(INDEX(Config!$M$5:$R$16,MATCH(G137,Config!$J$5:$J$16,0),MATCH(F137,Config!$H$5:$H$10,0)),""))</f>
        <v>400</v>
      </c>
      <c r="N137" s="29">
        <f>IF(A137="","",MONTH(A137))</f>
        <v>7</v>
      </c>
      <c r="O137" s="29">
        <f>IF(A137="","",YEAR(A137))</f>
        <v>2026</v>
      </c>
      <c r="P137" s="29" t="str">
        <f>IF(A137="","",CHOOSE(WEEKDAY(A137,2),"Segunda","Terça","Quarta","Quinta","Sexta","Sábado","Domingo"))</f>
        <v>Terça</v>
      </c>
      <c r="Q137" s="29" t="str">
        <f>IF(B137="","",IF(B137&lt;TIME(12,0,0),"Manhã",IF(B137&lt;TIME(18,0,0),"Tarde","Noite")))</f>
        <v>Tarde</v>
      </c>
      <c r="R137" s="45">
        <f>IF(AND(H137="Realizado",L137&lt;&gt;""),L137/60,0)</f>
        <v>0.666666666666667</v>
      </c>
    </row>
    <row r="138">
      <c r="A138" s="42" t="n">
        <v>46217</v>
      </c>
      <c r="B138" s="43" t="n">
        <v>0.7361111111111112</v>
      </c>
      <c r="C138" s="37" t="inlineStr">
        <is>
          <t>Dr. Paulo Andrade</t>
        </is>
      </c>
      <c r="D138" s="37" t="inlineStr">
        <is>
          <t>Sala 2</t>
        </is>
      </c>
      <c r="E138" s="36" t="inlineStr">
        <is>
          <t>Helena Moreira</t>
        </is>
      </c>
      <c r="F138" s="37" t="inlineStr">
        <is>
          <t>Particular</t>
        </is>
      </c>
      <c r="G138" s="37" t="inlineStr">
        <is>
          <t>MAPA</t>
        </is>
      </c>
      <c r="H138" s="37" t="inlineStr">
        <is>
          <t>Realizado</t>
        </is>
      </c>
      <c r="I138" s="37" t="inlineStr">
        <is>
          <t>Cartão de crédito</t>
        </is>
      </c>
      <c r="J138" s="37" t="n">
        <v>2</v>
      </c>
      <c r="K138" s="36" t="n"/>
      <c r="L138" s="44">
        <f>IF(G138="","",IFERROR(INDEX(Config!$K$5:$K$16,MATCH(G138,Config!$J$5:$J$16,0)),""))</f>
        <v>20</v>
      </c>
      <c r="M138" s="30">
        <f>IF(OR(G138="",F138=""),"",IFERROR(INDEX(Config!$M$5:$R$16,MATCH(G138,Config!$J$5:$J$16,0),MATCH(F138,Config!$H$5:$H$10,0)),""))</f>
        <v>300</v>
      </c>
      <c r="N138" s="29">
        <f>IF(A138="","",MONTH(A138))</f>
        <v>7</v>
      </c>
      <c r="O138" s="29">
        <f>IF(A138="","",YEAR(A138))</f>
        <v>2026</v>
      </c>
      <c r="P138" s="29" t="str">
        <f>IF(A138="","",CHOOSE(WEEKDAY(A138,2),"Segunda","Terça","Quarta","Quinta","Sexta","Sábado","Domingo"))</f>
        <v>Terça</v>
      </c>
      <c r="Q138" s="29" t="str">
        <f>IF(B138="","",IF(B138&lt;TIME(12,0,0),"Manhã",IF(B138&lt;TIME(18,0,0),"Tarde","Noite")))</f>
        <v>Tarde</v>
      </c>
      <c r="R138" s="45">
        <f>IF(AND(H138="Realizado",L138&lt;&gt;""),L138/60,0)</f>
        <v>0.333333333333333</v>
      </c>
    </row>
    <row r="139">
      <c r="A139" s="42" t="n">
        <v>46218</v>
      </c>
      <c r="B139" s="43" t="n">
        <v>0.5833333333333334</v>
      </c>
      <c r="C139" s="37" t="inlineStr">
        <is>
          <t>Dra. Carolina Mendes</t>
        </is>
      </c>
      <c r="D139" s="37" t="inlineStr">
        <is>
          <t>Sala 1</t>
        </is>
      </c>
      <c r="E139" s="36" t="inlineStr">
        <is>
          <t>Eduardo Nunes</t>
        </is>
      </c>
      <c r="F139" s="37" t="inlineStr">
        <is>
          <t>MediPlan</t>
        </is>
      </c>
      <c r="G139" s="37" t="inlineStr">
        <is>
          <t>Consulta</t>
        </is>
      </c>
      <c r="H139" s="37" t="inlineStr">
        <is>
          <t>Realizado</t>
        </is>
      </c>
      <c r="I139" s="37" t="inlineStr">
        <is>
          <t>Convênio</t>
        </is>
      </c>
      <c r="J139" s="37" t="n"/>
      <c r="K139" s="36" t="n"/>
      <c r="L139" s="44">
        <f>IF(G139="","",IFERROR(INDEX(Config!$K$5:$K$16,MATCH(G139,Config!$J$5:$J$16,0)),""))</f>
        <v>30</v>
      </c>
      <c r="M139" s="30">
        <f>IF(OR(G139="",F139=""),"",IFERROR(INDEX(Config!$M$5:$R$16,MATCH(G139,Config!$J$5:$J$16,0),MATCH(F139,Config!$H$5:$H$10,0)),""))</f>
        <v>100</v>
      </c>
      <c r="N139" s="29">
        <f>IF(A139="","",MONTH(A139))</f>
        <v>7</v>
      </c>
      <c r="O139" s="29">
        <f>IF(A139="","",YEAR(A139))</f>
        <v>2026</v>
      </c>
      <c r="P139" s="29" t="str">
        <f>IF(A139="","",CHOOSE(WEEKDAY(A139,2),"Segunda","Terça","Quarta","Quinta","Sexta","Sábado","Domingo"))</f>
        <v>Quarta</v>
      </c>
      <c r="Q139" s="29" t="str">
        <f>IF(B139="","",IF(B139&lt;TIME(12,0,0),"Manhã",IF(B139&lt;TIME(18,0,0),"Tarde","Noite")))</f>
        <v>Tarde</v>
      </c>
      <c r="R139" s="45">
        <f>IF(AND(H139="Realizado",L139&lt;&gt;""),L139/60,0)</f>
        <v>0.5</v>
      </c>
    </row>
    <row r="140">
      <c r="A140" s="42" t="n">
        <v>46218</v>
      </c>
      <c r="B140" s="43" t="n">
        <v>0.6041666666666666</v>
      </c>
      <c r="C140" s="37" t="inlineStr">
        <is>
          <t>Dra. Carolina Mendes</t>
        </is>
      </c>
      <c r="D140" s="37" t="inlineStr">
        <is>
          <t>Sala 1</t>
        </is>
      </c>
      <c r="E140" s="36" t="inlineStr">
        <is>
          <t>Marcelo Santos</t>
        </is>
      </c>
      <c r="F140" s="37" t="inlineStr">
        <is>
          <t>Particular</t>
        </is>
      </c>
      <c r="G140" s="37" t="inlineStr">
        <is>
          <t>Consulta</t>
        </is>
      </c>
      <c r="H140" s="37" t="inlineStr">
        <is>
          <t>Realizado</t>
        </is>
      </c>
      <c r="I140" s="37" t="inlineStr">
        <is>
          <t>Cartão de crédito</t>
        </is>
      </c>
      <c r="J140" s="37" t="n"/>
      <c r="K140" s="36" t="n"/>
      <c r="L140" s="44">
        <f>IF(G140="","",IFERROR(INDEX(Config!$K$5:$K$16,MATCH(G140,Config!$J$5:$J$16,0)),""))</f>
        <v>30</v>
      </c>
      <c r="M140" s="30">
        <f>IF(OR(G140="",F140=""),"",IFERROR(INDEX(Config!$M$5:$R$16,MATCH(G140,Config!$J$5:$J$16,0),MATCH(F140,Config!$H$5:$H$10,0)),""))</f>
        <v>380</v>
      </c>
      <c r="N140" s="29">
        <f>IF(A140="","",MONTH(A140))</f>
        <v>7</v>
      </c>
      <c r="O140" s="29">
        <f>IF(A140="","",YEAR(A140))</f>
        <v>2026</v>
      </c>
      <c r="P140" s="29" t="str">
        <f>IF(A140="","",CHOOSE(WEEKDAY(A140,2),"Segunda","Terça","Quarta","Quinta","Sexta","Sábado","Domingo"))</f>
        <v>Quarta</v>
      </c>
      <c r="Q140" s="29" t="str">
        <f>IF(B140="","",IF(B140&lt;TIME(12,0,0),"Manhã",IF(B140&lt;TIME(18,0,0),"Tarde","Noite")))</f>
        <v>Tarde</v>
      </c>
      <c r="R140" s="45">
        <f>IF(AND(H140="Realizado",L140&lt;&gt;""),L140/60,0)</f>
        <v>0.5</v>
      </c>
    </row>
    <row r="141">
      <c r="A141" s="42" t="n">
        <v>46218</v>
      </c>
      <c r="B141" s="43" t="n">
        <v>0.625</v>
      </c>
      <c r="C141" s="37" t="inlineStr">
        <is>
          <t>Dra. Carolina Mendes</t>
        </is>
      </c>
      <c r="D141" s="37" t="inlineStr">
        <is>
          <t>Sala 1</t>
        </is>
      </c>
      <c r="E141" s="36" t="inlineStr">
        <is>
          <t>Mariana Nascimento</t>
        </is>
      </c>
      <c r="F141" s="37" t="inlineStr">
        <is>
          <t>Particular</t>
        </is>
      </c>
      <c r="G141" s="37" t="inlineStr">
        <is>
          <t>Consulta</t>
        </is>
      </c>
      <c r="H141" s="37" t="inlineStr">
        <is>
          <t>Falta</t>
        </is>
      </c>
      <c r="I141" s="37" t="n"/>
      <c r="J141" s="37" t="n"/>
      <c r="K141" s="36" t="n"/>
      <c r="L141" s="44">
        <f>IF(G141="","",IFERROR(INDEX(Config!$K$5:$K$16,MATCH(G141,Config!$J$5:$J$16,0)),""))</f>
        <v>30</v>
      </c>
      <c r="M141" s="30">
        <f>IF(OR(G141="",F141=""),"",IFERROR(INDEX(Config!$M$5:$R$16,MATCH(G141,Config!$J$5:$J$16,0),MATCH(F141,Config!$H$5:$H$10,0)),""))</f>
        <v>380</v>
      </c>
      <c r="N141" s="29">
        <f>IF(A141="","",MONTH(A141))</f>
        <v>7</v>
      </c>
      <c r="O141" s="29">
        <f>IF(A141="","",YEAR(A141))</f>
        <v>2026</v>
      </c>
      <c r="P141" s="29" t="str">
        <f>IF(A141="","",CHOOSE(WEEKDAY(A141,2),"Segunda","Terça","Quarta","Quinta","Sexta","Sábado","Domingo"))</f>
        <v>Quarta</v>
      </c>
      <c r="Q141" s="29" t="str">
        <f>IF(B141="","",IF(B141&lt;TIME(12,0,0),"Manhã",IF(B141&lt;TIME(18,0,0),"Tarde","Noite")))</f>
        <v>Tarde</v>
      </c>
      <c r="R141" s="45">
        <f>IF(AND(H141="Realizado",L141&lt;&gt;""),L141/60,0)</f>
        <v>0</v>
      </c>
    </row>
    <row r="142">
      <c r="A142" s="42" t="n">
        <v>46218</v>
      </c>
      <c r="B142" s="43" t="n">
        <v>0.6458333333333334</v>
      </c>
      <c r="C142" s="37" t="inlineStr">
        <is>
          <t>Dra. Carolina Mendes</t>
        </is>
      </c>
      <c r="D142" s="37" t="inlineStr">
        <is>
          <t>Sala 1</t>
        </is>
      </c>
      <c r="E142" s="36" t="inlineStr">
        <is>
          <t>Tatiana Cunha</t>
        </is>
      </c>
      <c r="F142" s="37" t="inlineStr">
        <is>
          <t>Saúde Total</t>
        </is>
      </c>
      <c r="G142" s="37" t="inlineStr">
        <is>
          <t>Retorno</t>
        </is>
      </c>
      <c r="H142" s="37" t="inlineStr">
        <is>
          <t>Realizado</t>
        </is>
      </c>
      <c r="I142" s="37" t="inlineStr">
        <is>
          <t>Sem cobrança</t>
        </is>
      </c>
      <c r="J142" s="37" t="n"/>
      <c r="K142" s="36" t="n"/>
      <c r="L142" s="44">
        <f>IF(G142="","",IFERROR(INDEX(Config!$K$5:$K$16,MATCH(G142,Config!$J$5:$J$16,0)),""))</f>
        <v>20</v>
      </c>
      <c r="M142" s="30">
        <f>IF(OR(G142="",F142=""),"",IFERROR(INDEX(Config!$M$5:$R$16,MATCH(G142,Config!$J$5:$J$16,0),MATCH(F142,Config!$H$5:$H$10,0)),""))</f>
        <v>0</v>
      </c>
      <c r="N142" s="29">
        <f>IF(A142="","",MONTH(A142))</f>
        <v>7</v>
      </c>
      <c r="O142" s="29">
        <f>IF(A142="","",YEAR(A142))</f>
        <v>2026</v>
      </c>
      <c r="P142" s="29" t="str">
        <f>IF(A142="","",CHOOSE(WEEKDAY(A142,2),"Segunda","Terça","Quarta","Quinta","Sexta","Sábado","Domingo"))</f>
        <v>Quarta</v>
      </c>
      <c r="Q142" s="29" t="str">
        <f>IF(B142="","",IF(B142&lt;TIME(12,0,0),"Manhã",IF(B142&lt;TIME(18,0,0),"Tarde","Noite")))</f>
        <v>Tarde</v>
      </c>
      <c r="R142" s="45">
        <f>IF(AND(H142="Realizado",L142&lt;&gt;""),L142/60,0)</f>
        <v>0.333333333333333</v>
      </c>
    </row>
    <row r="143">
      <c r="A143" s="42" t="n">
        <v>46218</v>
      </c>
      <c r="B143" s="43" t="n">
        <v>0.6597222222222222</v>
      </c>
      <c r="C143" s="37" t="inlineStr">
        <is>
          <t>Dra. Carolina Mendes</t>
        </is>
      </c>
      <c r="D143" s="37" t="inlineStr">
        <is>
          <t>Sala 1</t>
        </is>
      </c>
      <c r="E143" s="36" t="inlineStr">
        <is>
          <t>Letícia Vieira</t>
        </is>
      </c>
      <c r="F143" s="37" t="inlineStr">
        <is>
          <t>Saúde Total</t>
        </is>
      </c>
      <c r="G143" s="37" t="inlineStr">
        <is>
          <t>Consulta</t>
        </is>
      </c>
      <c r="H143" s="37" t="inlineStr">
        <is>
          <t>Realizado</t>
        </is>
      </c>
      <c r="I143" s="37" t="inlineStr">
        <is>
          <t>Convênio</t>
        </is>
      </c>
      <c r="J143" s="37" t="n"/>
      <c r="K143" s="36" t="n"/>
      <c r="L143" s="44">
        <f>IF(G143="","",IFERROR(INDEX(Config!$K$5:$K$16,MATCH(G143,Config!$J$5:$J$16,0)),""))</f>
        <v>30</v>
      </c>
      <c r="M143" s="30">
        <f>IF(OR(G143="",F143=""),"",IFERROR(INDEX(Config!$M$5:$R$16,MATCH(G143,Config!$J$5:$J$16,0),MATCH(F143,Config!$H$5:$H$10,0)),""))</f>
        <v>120</v>
      </c>
      <c r="N143" s="29">
        <f>IF(A143="","",MONTH(A143))</f>
        <v>7</v>
      </c>
      <c r="O143" s="29">
        <f>IF(A143="","",YEAR(A143))</f>
        <v>2026</v>
      </c>
      <c r="P143" s="29" t="str">
        <f>IF(A143="","",CHOOSE(WEEKDAY(A143,2),"Segunda","Terça","Quarta","Quinta","Sexta","Sábado","Domingo"))</f>
        <v>Quarta</v>
      </c>
      <c r="Q143" s="29" t="str">
        <f>IF(B143="","",IF(B143&lt;TIME(12,0,0),"Manhã",IF(B143&lt;TIME(18,0,0),"Tarde","Noite")))</f>
        <v>Tarde</v>
      </c>
      <c r="R143" s="45">
        <f>IF(AND(H143="Realizado",L143&lt;&gt;""),L143/60,0)</f>
        <v>0.5</v>
      </c>
    </row>
    <row r="144">
      <c r="A144" s="42" t="n">
        <v>46218</v>
      </c>
      <c r="B144" s="43" t="n">
        <v>0.6805555555555556</v>
      </c>
      <c r="C144" s="37" t="inlineStr">
        <is>
          <t>Dra. Carolina Mendes</t>
        </is>
      </c>
      <c r="D144" s="37" t="inlineStr">
        <is>
          <t>Sala 1</t>
        </is>
      </c>
      <c r="E144" s="36" t="inlineStr">
        <is>
          <t>Mônica Martins</t>
        </is>
      </c>
      <c r="F144" s="37" t="inlineStr">
        <is>
          <t>Particular</t>
        </is>
      </c>
      <c r="G144" s="37" t="inlineStr">
        <is>
          <t>Retorno</t>
        </is>
      </c>
      <c r="H144" s="37" t="inlineStr">
        <is>
          <t>Realizado</t>
        </is>
      </c>
      <c r="I144" s="37" t="inlineStr">
        <is>
          <t>Sem cobrança</t>
        </is>
      </c>
      <c r="J144" s="37" t="n"/>
      <c r="K144" s="36" t="n"/>
      <c r="L144" s="44">
        <f>IF(G144="","",IFERROR(INDEX(Config!$K$5:$K$16,MATCH(G144,Config!$J$5:$J$16,0)),""))</f>
        <v>20</v>
      </c>
      <c r="M144" s="30">
        <f>IF(OR(G144="",F144=""),"",IFERROR(INDEX(Config!$M$5:$R$16,MATCH(G144,Config!$J$5:$J$16,0),MATCH(F144,Config!$H$5:$H$10,0)),""))</f>
        <v>0</v>
      </c>
      <c r="N144" s="29">
        <f>IF(A144="","",MONTH(A144))</f>
        <v>7</v>
      </c>
      <c r="O144" s="29">
        <f>IF(A144="","",YEAR(A144))</f>
        <v>2026</v>
      </c>
      <c r="P144" s="29" t="str">
        <f>IF(A144="","",CHOOSE(WEEKDAY(A144,2),"Segunda","Terça","Quarta","Quinta","Sexta","Sábado","Domingo"))</f>
        <v>Quarta</v>
      </c>
      <c r="Q144" s="29" t="str">
        <f>IF(B144="","",IF(B144&lt;TIME(12,0,0),"Manhã",IF(B144&lt;TIME(18,0,0),"Tarde","Noite")))</f>
        <v>Tarde</v>
      </c>
      <c r="R144" s="45">
        <f>IF(AND(H144="Realizado",L144&lt;&gt;""),L144/60,0)</f>
        <v>0.333333333333333</v>
      </c>
    </row>
    <row r="145">
      <c r="A145" s="42" t="n">
        <v>46218</v>
      </c>
      <c r="B145" s="43" t="n">
        <v>0.6944444444444444</v>
      </c>
      <c r="C145" s="37" t="inlineStr">
        <is>
          <t>Dra. Carolina Mendes</t>
        </is>
      </c>
      <c r="D145" s="37" t="inlineStr">
        <is>
          <t>Sala 1</t>
        </is>
      </c>
      <c r="E145" s="36" t="inlineStr">
        <is>
          <t>Gustavo Ferreira</t>
        </is>
      </c>
      <c r="F145" s="37" t="inlineStr">
        <is>
          <t>Particular</t>
        </is>
      </c>
      <c r="G145" s="37" t="inlineStr">
        <is>
          <t>Consulta</t>
        </is>
      </c>
      <c r="H145" s="37" t="inlineStr">
        <is>
          <t>Realizado</t>
        </is>
      </c>
      <c r="I145" s="37" t="inlineStr">
        <is>
          <t>Cartão de débito</t>
        </is>
      </c>
      <c r="J145" s="37" t="n"/>
      <c r="K145" s="36" t="n"/>
      <c r="L145" s="44">
        <f>IF(G145="","",IFERROR(INDEX(Config!$K$5:$K$16,MATCH(G145,Config!$J$5:$J$16,0)),""))</f>
        <v>30</v>
      </c>
      <c r="M145" s="30">
        <f>IF(OR(G145="",F145=""),"",IFERROR(INDEX(Config!$M$5:$R$16,MATCH(G145,Config!$J$5:$J$16,0),MATCH(F145,Config!$H$5:$H$10,0)),""))</f>
        <v>380</v>
      </c>
      <c r="N145" s="29">
        <f>IF(A145="","",MONTH(A145))</f>
        <v>7</v>
      </c>
      <c r="O145" s="29">
        <f>IF(A145="","",YEAR(A145))</f>
        <v>2026</v>
      </c>
      <c r="P145" s="29" t="str">
        <f>IF(A145="","",CHOOSE(WEEKDAY(A145,2),"Segunda","Terça","Quarta","Quinta","Sexta","Sábado","Domingo"))</f>
        <v>Quarta</v>
      </c>
      <c r="Q145" s="29" t="str">
        <f>IF(B145="","",IF(B145&lt;TIME(12,0,0),"Manhã",IF(B145&lt;TIME(18,0,0),"Tarde","Noite")))</f>
        <v>Tarde</v>
      </c>
      <c r="R145" s="45">
        <f>IF(AND(H145="Realizado",L145&lt;&gt;""),L145/60,0)</f>
        <v>0.5</v>
      </c>
    </row>
    <row r="146">
      <c r="A146" s="42" t="n">
        <v>46218</v>
      </c>
      <c r="B146" s="43" t="n">
        <v>0.7152777777777778</v>
      </c>
      <c r="C146" s="37" t="inlineStr">
        <is>
          <t>Dra. Carolina Mendes</t>
        </is>
      </c>
      <c r="D146" s="37" t="inlineStr">
        <is>
          <t>Sala 1</t>
        </is>
      </c>
      <c r="E146" s="36" t="inlineStr">
        <is>
          <t>Camila Batista</t>
        </is>
      </c>
      <c r="F146" s="37" t="inlineStr">
        <is>
          <t>MediPlan</t>
        </is>
      </c>
      <c r="G146" s="37" t="inlineStr">
        <is>
          <t>Retorno</t>
        </is>
      </c>
      <c r="H146" s="37" t="inlineStr">
        <is>
          <t>Realizado</t>
        </is>
      </c>
      <c r="I146" s="37" t="inlineStr">
        <is>
          <t>Sem cobrança</t>
        </is>
      </c>
      <c r="J146" s="37" t="n"/>
      <c r="K146" s="36" t="n"/>
      <c r="L146" s="44">
        <f>IF(G146="","",IFERROR(INDEX(Config!$K$5:$K$16,MATCH(G146,Config!$J$5:$J$16,0)),""))</f>
        <v>20</v>
      </c>
      <c r="M146" s="30">
        <f>IF(OR(G146="",F146=""),"",IFERROR(INDEX(Config!$M$5:$R$16,MATCH(G146,Config!$J$5:$J$16,0),MATCH(F146,Config!$H$5:$H$10,0)),""))</f>
        <v>0</v>
      </c>
      <c r="N146" s="29">
        <f>IF(A146="","",MONTH(A146))</f>
        <v>7</v>
      </c>
      <c r="O146" s="29">
        <f>IF(A146="","",YEAR(A146))</f>
        <v>2026</v>
      </c>
      <c r="P146" s="29" t="str">
        <f>IF(A146="","",CHOOSE(WEEKDAY(A146,2),"Segunda","Terça","Quarta","Quinta","Sexta","Sábado","Domingo"))</f>
        <v>Quarta</v>
      </c>
      <c r="Q146" s="29" t="str">
        <f>IF(B146="","",IF(B146&lt;TIME(12,0,0),"Manhã",IF(B146&lt;TIME(18,0,0),"Tarde","Noite")))</f>
        <v>Tarde</v>
      </c>
      <c r="R146" s="45">
        <f>IF(AND(H146="Realizado",L146&lt;&gt;""),L146/60,0)</f>
        <v>0.333333333333333</v>
      </c>
    </row>
    <row r="147">
      <c r="A147" s="42" t="n">
        <v>46218</v>
      </c>
      <c r="B147" s="43" t="n">
        <v>0.7291666666666666</v>
      </c>
      <c r="C147" s="37" t="inlineStr">
        <is>
          <t>Dra. Carolina Mendes</t>
        </is>
      </c>
      <c r="D147" s="37" t="inlineStr">
        <is>
          <t>Sala 1</t>
        </is>
      </c>
      <c r="E147" s="36" t="inlineStr">
        <is>
          <t>Mariana Nascimento</t>
        </is>
      </c>
      <c r="F147" s="37" t="inlineStr">
        <is>
          <t>Particular</t>
        </is>
      </c>
      <c r="G147" s="37" t="inlineStr">
        <is>
          <t>Consulta</t>
        </is>
      </c>
      <c r="H147" s="37" t="inlineStr">
        <is>
          <t>Falta</t>
        </is>
      </c>
      <c r="I147" s="37" t="n"/>
      <c r="J147" s="37" t="n"/>
      <c r="K147" s="36" t="n"/>
      <c r="L147" s="44">
        <f>IF(G147="","",IFERROR(INDEX(Config!$K$5:$K$16,MATCH(G147,Config!$J$5:$J$16,0)),""))</f>
        <v>30</v>
      </c>
      <c r="M147" s="30">
        <f>IF(OR(G147="",F147=""),"",IFERROR(INDEX(Config!$M$5:$R$16,MATCH(G147,Config!$J$5:$J$16,0),MATCH(F147,Config!$H$5:$H$10,0)),""))</f>
        <v>380</v>
      </c>
      <c r="N147" s="29">
        <f>IF(A147="","",MONTH(A147))</f>
        <v>7</v>
      </c>
      <c r="O147" s="29">
        <f>IF(A147="","",YEAR(A147))</f>
        <v>2026</v>
      </c>
      <c r="P147" s="29" t="str">
        <f>IF(A147="","",CHOOSE(WEEKDAY(A147,2),"Segunda","Terça","Quarta","Quinta","Sexta","Sábado","Domingo"))</f>
        <v>Quarta</v>
      </c>
      <c r="Q147" s="29" t="str">
        <f>IF(B147="","",IF(B147&lt;TIME(12,0,0),"Manhã",IF(B147&lt;TIME(18,0,0),"Tarde","Noite")))</f>
        <v>Tarde</v>
      </c>
      <c r="R147" s="45">
        <f>IF(AND(H147="Realizado",L147&lt;&gt;""),L147/60,0)</f>
        <v>0</v>
      </c>
    </row>
    <row r="148">
      <c r="A148" s="42" t="n">
        <v>46219</v>
      </c>
      <c r="B148" s="43" t="n">
        <v>0.3333333333333333</v>
      </c>
      <c r="C148" s="37" t="inlineStr">
        <is>
          <t>Dra. Carolina Mendes</t>
        </is>
      </c>
      <c r="D148" s="37" t="inlineStr">
        <is>
          <t>Sala 1</t>
        </is>
      </c>
      <c r="E148" s="36" t="inlineStr">
        <is>
          <t>Mariana Nascimento</t>
        </is>
      </c>
      <c r="F148" s="37" t="inlineStr">
        <is>
          <t>Particular</t>
        </is>
      </c>
      <c r="G148" s="37" t="inlineStr">
        <is>
          <t>Retorno</t>
        </is>
      </c>
      <c r="H148" s="37" t="inlineStr">
        <is>
          <t>Realizado</t>
        </is>
      </c>
      <c r="I148" s="37" t="inlineStr">
        <is>
          <t>Sem cobrança</t>
        </is>
      </c>
      <c r="J148" s="37" t="n"/>
      <c r="K148" s="36" t="n"/>
      <c r="L148" s="44">
        <f>IF(G148="","",IFERROR(INDEX(Config!$K$5:$K$16,MATCH(G148,Config!$J$5:$J$16,0)),""))</f>
        <v>20</v>
      </c>
      <c r="M148" s="30">
        <f>IF(OR(G148="",F148=""),"",IFERROR(INDEX(Config!$M$5:$R$16,MATCH(G148,Config!$J$5:$J$16,0),MATCH(F148,Config!$H$5:$H$10,0)),""))</f>
        <v>0</v>
      </c>
      <c r="N148" s="29">
        <f>IF(A148="","",MONTH(A148))</f>
        <v>7</v>
      </c>
      <c r="O148" s="29">
        <f>IF(A148="","",YEAR(A148))</f>
        <v>2026</v>
      </c>
      <c r="P148" s="29" t="str">
        <f>IF(A148="","",CHOOSE(WEEKDAY(A148,2),"Segunda","Terça","Quarta","Quinta","Sexta","Sábado","Domingo"))</f>
        <v>Quinta</v>
      </c>
      <c r="Q148" s="29" t="str">
        <f>IF(B148="","",IF(B148&lt;TIME(12,0,0),"Manhã",IF(B148&lt;TIME(18,0,0),"Tarde","Noite")))</f>
        <v>Manhã</v>
      </c>
      <c r="R148" s="45">
        <f>IF(AND(H148="Realizado",L148&lt;&gt;""),L148/60,0)</f>
        <v>0.333333333333333</v>
      </c>
    </row>
    <row r="149">
      <c r="A149" s="42" t="n">
        <v>46219</v>
      </c>
      <c r="B149" s="43" t="n">
        <v>0.3472222222222222</v>
      </c>
      <c r="C149" s="37" t="inlineStr">
        <is>
          <t>Dra. Carolina Mendes</t>
        </is>
      </c>
      <c r="D149" s="37" t="inlineStr">
        <is>
          <t>Sala 1</t>
        </is>
      </c>
      <c r="E149" s="36" t="inlineStr">
        <is>
          <t>Mônica Batista</t>
        </is>
      </c>
      <c r="F149" s="37" t="inlineStr">
        <is>
          <t>MediPlan</t>
        </is>
      </c>
      <c r="G149" s="37" t="inlineStr">
        <is>
          <t>Retorno</t>
        </is>
      </c>
      <c r="H149" s="37" t="inlineStr">
        <is>
          <t>Realizado</t>
        </is>
      </c>
      <c r="I149" s="37" t="inlineStr">
        <is>
          <t>Sem cobrança</t>
        </is>
      </c>
      <c r="J149" s="37" t="n"/>
      <c r="K149" s="36" t="n"/>
      <c r="L149" s="44">
        <f>IF(G149="","",IFERROR(INDEX(Config!$K$5:$K$16,MATCH(G149,Config!$J$5:$J$16,0)),""))</f>
        <v>20</v>
      </c>
      <c r="M149" s="30">
        <f>IF(OR(G149="",F149=""),"",IFERROR(INDEX(Config!$M$5:$R$16,MATCH(G149,Config!$J$5:$J$16,0),MATCH(F149,Config!$H$5:$H$10,0)),""))</f>
        <v>0</v>
      </c>
      <c r="N149" s="29">
        <f>IF(A149="","",MONTH(A149))</f>
        <v>7</v>
      </c>
      <c r="O149" s="29">
        <f>IF(A149="","",YEAR(A149))</f>
        <v>2026</v>
      </c>
      <c r="P149" s="29" t="str">
        <f>IF(A149="","",CHOOSE(WEEKDAY(A149,2),"Segunda","Terça","Quarta","Quinta","Sexta","Sábado","Domingo"))</f>
        <v>Quinta</v>
      </c>
      <c r="Q149" s="29" t="str">
        <f>IF(B149="","",IF(B149&lt;TIME(12,0,0),"Manhã",IF(B149&lt;TIME(18,0,0),"Tarde","Noite")))</f>
        <v>Manhã</v>
      </c>
      <c r="R149" s="45">
        <f>IF(AND(H149="Realizado",L149&lt;&gt;""),L149/60,0)</f>
        <v>0.333333333333333</v>
      </c>
    </row>
    <row r="150">
      <c r="A150" s="42" t="n">
        <v>46219</v>
      </c>
      <c r="B150" s="43" t="n">
        <v>0.3611111111111111</v>
      </c>
      <c r="C150" s="37" t="inlineStr">
        <is>
          <t>Dra. Carolina Mendes</t>
        </is>
      </c>
      <c r="D150" s="37" t="inlineStr">
        <is>
          <t>Sala 1</t>
        </is>
      </c>
      <c r="E150" s="36" t="inlineStr">
        <is>
          <t>Regina Castro</t>
        </is>
      </c>
      <c r="F150" s="37" t="inlineStr">
        <is>
          <t>Vida Care</t>
        </is>
      </c>
      <c r="G150" s="37" t="inlineStr">
        <is>
          <t>Consulta</t>
        </is>
      </c>
      <c r="H150" s="37" t="inlineStr">
        <is>
          <t>Realizado</t>
        </is>
      </c>
      <c r="I150" s="37" t="inlineStr">
        <is>
          <t>Convênio</t>
        </is>
      </c>
      <c r="J150" s="37" t="n"/>
      <c r="K150" s="36" t="n"/>
      <c r="L150" s="44">
        <f>IF(G150="","",IFERROR(INDEX(Config!$K$5:$K$16,MATCH(G150,Config!$J$5:$J$16,0)),""))</f>
        <v>30</v>
      </c>
      <c r="M150" s="30">
        <f>IF(OR(G150="",F150=""),"",IFERROR(INDEX(Config!$M$5:$R$16,MATCH(G150,Config!$J$5:$J$16,0),MATCH(F150,Config!$H$5:$H$10,0)),""))</f>
        <v>90</v>
      </c>
      <c r="N150" s="29">
        <f>IF(A150="","",MONTH(A150))</f>
        <v>7</v>
      </c>
      <c r="O150" s="29">
        <f>IF(A150="","",YEAR(A150))</f>
        <v>2026</v>
      </c>
      <c r="P150" s="29" t="str">
        <f>IF(A150="","",CHOOSE(WEEKDAY(A150,2),"Segunda","Terça","Quarta","Quinta","Sexta","Sábado","Domingo"))</f>
        <v>Quinta</v>
      </c>
      <c r="Q150" s="29" t="str">
        <f>IF(B150="","",IF(B150&lt;TIME(12,0,0),"Manhã",IF(B150&lt;TIME(18,0,0),"Tarde","Noite")))</f>
        <v>Manhã</v>
      </c>
      <c r="R150" s="45">
        <f>IF(AND(H150="Realizado",L150&lt;&gt;""),L150/60,0)</f>
        <v>0.5</v>
      </c>
    </row>
    <row r="151">
      <c r="A151" s="42" t="n">
        <v>46219</v>
      </c>
      <c r="B151" s="43" t="n">
        <v>0.3819444444444444</v>
      </c>
      <c r="C151" s="37" t="inlineStr">
        <is>
          <t>Dra. Carolina Mendes</t>
        </is>
      </c>
      <c r="D151" s="37" t="inlineStr">
        <is>
          <t>Sala 1</t>
        </is>
      </c>
      <c r="E151" s="36" t="inlineStr">
        <is>
          <t>Juliana Ribeiro</t>
        </is>
      </c>
      <c r="F151" s="37" t="inlineStr">
        <is>
          <t>Saúde Total</t>
        </is>
      </c>
      <c r="G151" s="37" t="inlineStr">
        <is>
          <t>Consulta</t>
        </is>
      </c>
      <c r="H151" s="37" t="inlineStr">
        <is>
          <t>Realizado</t>
        </is>
      </c>
      <c r="I151" s="37" t="inlineStr">
        <is>
          <t>Convênio</t>
        </is>
      </c>
      <c r="J151" s="37" t="n"/>
      <c r="K151" s="36" t="n"/>
      <c r="L151" s="44">
        <f>IF(G151="","",IFERROR(INDEX(Config!$K$5:$K$16,MATCH(G151,Config!$J$5:$J$16,0)),""))</f>
        <v>30</v>
      </c>
      <c r="M151" s="30">
        <f>IF(OR(G151="",F151=""),"",IFERROR(INDEX(Config!$M$5:$R$16,MATCH(G151,Config!$J$5:$J$16,0),MATCH(F151,Config!$H$5:$H$10,0)),""))</f>
        <v>120</v>
      </c>
      <c r="N151" s="29">
        <f>IF(A151="","",MONTH(A151))</f>
        <v>7</v>
      </c>
      <c r="O151" s="29">
        <f>IF(A151="","",YEAR(A151))</f>
        <v>2026</v>
      </c>
      <c r="P151" s="29" t="str">
        <f>IF(A151="","",CHOOSE(WEEKDAY(A151,2),"Segunda","Terça","Quarta","Quinta","Sexta","Sábado","Domingo"))</f>
        <v>Quinta</v>
      </c>
      <c r="Q151" s="29" t="str">
        <f>IF(B151="","",IF(B151&lt;TIME(12,0,0),"Manhã",IF(B151&lt;TIME(18,0,0),"Tarde","Noite")))</f>
        <v>Manhã</v>
      </c>
      <c r="R151" s="45">
        <f>IF(AND(H151="Realizado",L151&lt;&gt;""),L151/60,0)</f>
        <v>0.5</v>
      </c>
    </row>
    <row r="152">
      <c r="A152" s="42" t="n">
        <v>46219</v>
      </c>
      <c r="B152" s="43" t="n">
        <v>0.4027777777777778</v>
      </c>
      <c r="C152" s="37" t="inlineStr">
        <is>
          <t>Dra. Carolina Mendes</t>
        </is>
      </c>
      <c r="D152" s="37" t="inlineStr">
        <is>
          <t>Sala 1</t>
        </is>
      </c>
      <c r="E152" s="36" t="inlineStr">
        <is>
          <t>Otávio Cardoso</t>
        </is>
      </c>
      <c r="F152" s="37" t="inlineStr">
        <is>
          <t>Particular</t>
        </is>
      </c>
      <c r="G152" s="37" t="inlineStr">
        <is>
          <t>Consulta</t>
        </is>
      </c>
      <c r="H152" s="37" t="inlineStr">
        <is>
          <t>Realizado</t>
        </is>
      </c>
      <c r="I152" s="37" t="inlineStr">
        <is>
          <t>Cartão de crédito</t>
        </is>
      </c>
      <c r="J152" s="37" t="n"/>
      <c r="K152" s="36" t="n"/>
      <c r="L152" s="44">
        <f>IF(G152="","",IFERROR(INDEX(Config!$K$5:$K$16,MATCH(G152,Config!$J$5:$J$16,0)),""))</f>
        <v>30</v>
      </c>
      <c r="M152" s="30">
        <f>IF(OR(G152="",F152=""),"",IFERROR(INDEX(Config!$M$5:$R$16,MATCH(G152,Config!$J$5:$J$16,0),MATCH(F152,Config!$H$5:$H$10,0)),""))</f>
        <v>380</v>
      </c>
      <c r="N152" s="29">
        <f>IF(A152="","",MONTH(A152))</f>
        <v>7</v>
      </c>
      <c r="O152" s="29">
        <f>IF(A152="","",YEAR(A152))</f>
        <v>2026</v>
      </c>
      <c r="P152" s="29" t="str">
        <f>IF(A152="","",CHOOSE(WEEKDAY(A152,2),"Segunda","Terça","Quarta","Quinta","Sexta","Sábado","Domingo"))</f>
        <v>Quinta</v>
      </c>
      <c r="Q152" s="29" t="str">
        <f>IF(B152="","",IF(B152&lt;TIME(12,0,0),"Manhã",IF(B152&lt;TIME(18,0,0),"Tarde","Noite")))</f>
        <v>Manhã</v>
      </c>
      <c r="R152" s="45">
        <f>IF(AND(H152="Realizado",L152&lt;&gt;""),L152/60,0)</f>
        <v>0.5</v>
      </c>
    </row>
    <row r="153">
      <c r="A153" s="42" t="n">
        <v>46219</v>
      </c>
      <c r="B153" s="43" t="n">
        <v>0.4236111111111111</v>
      </c>
      <c r="C153" s="37" t="inlineStr">
        <is>
          <t>Dra. Carolina Mendes</t>
        </is>
      </c>
      <c r="D153" s="37" t="inlineStr">
        <is>
          <t>Sala 1</t>
        </is>
      </c>
      <c r="E153" s="36" t="inlineStr">
        <is>
          <t>Gisele Ribeiro</t>
        </is>
      </c>
      <c r="F153" s="37" t="inlineStr">
        <is>
          <t>Particular</t>
        </is>
      </c>
      <c r="G153" s="37" t="inlineStr">
        <is>
          <t>Consulta</t>
        </is>
      </c>
      <c r="H153" s="37" t="inlineStr">
        <is>
          <t>Realizado</t>
        </is>
      </c>
      <c r="I153" s="37" t="inlineStr">
        <is>
          <t>Cartão de débito</t>
        </is>
      </c>
      <c r="J153" s="37" t="n"/>
      <c r="K153" s="36" t="n"/>
      <c r="L153" s="44">
        <f>IF(G153="","",IFERROR(INDEX(Config!$K$5:$K$16,MATCH(G153,Config!$J$5:$J$16,0)),""))</f>
        <v>30</v>
      </c>
      <c r="M153" s="30">
        <f>IF(OR(G153="",F153=""),"",IFERROR(INDEX(Config!$M$5:$R$16,MATCH(G153,Config!$J$5:$J$16,0),MATCH(F153,Config!$H$5:$H$10,0)),""))</f>
        <v>380</v>
      </c>
      <c r="N153" s="29">
        <f>IF(A153="","",MONTH(A153))</f>
        <v>7</v>
      </c>
      <c r="O153" s="29">
        <f>IF(A153="","",YEAR(A153))</f>
        <v>2026</v>
      </c>
      <c r="P153" s="29" t="str">
        <f>IF(A153="","",CHOOSE(WEEKDAY(A153,2),"Segunda","Terça","Quarta","Quinta","Sexta","Sábado","Domingo"))</f>
        <v>Quinta</v>
      </c>
      <c r="Q153" s="29" t="str">
        <f>IF(B153="","",IF(B153&lt;TIME(12,0,0),"Manhã",IF(B153&lt;TIME(18,0,0),"Tarde","Noite")))</f>
        <v>Manhã</v>
      </c>
      <c r="R153" s="45">
        <f>IF(AND(H153="Realizado",L153&lt;&gt;""),L153/60,0)</f>
        <v>0.5</v>
      </c>
    </row>
    <row r="154">
      <c r="A154" s="42" t="n">
        <v>46219</v>
      </c>
      <c r="B154" s="43" t="n">
        <v>0.4444444444444444</v>
      </c>
      <c r="C154" s="37" t="inlineStr">
        <is>
          <t>Dra. Carolina Mendes</t>
        </is>
      </c>
      <c r="D154" s="37" t="inlineStr">
        <is>
          <t>Sala 1</t>
        </is>
      </c>
      <c r="E154" s="36" t="inlineStr">
        <is>
          <t>Priscila Castro</t>
        </is>
      </c>
      <c r="F154" s="37" t="inlineStr">
        <is>
          <t>Saúde Total</t>
        </is>
      </c>
      <c r="G154" s="37" t="inlineStr">
        <is>
          <t>Consulta</t>
        </is>
      </c>
      <c r="H154" s="37" t="inlineStr">
        <is>
          <t>Realizado</t>
        </is>
      </c>
      <c r="I154" s="37" t="inlineStr">
        <is>
          <t>Convênio</t>
        </is>
      </c>
      <c r="J154" s="37" t="n"/>
      <c r="K154" s="36" t="n"/>
      <c r="L154" s="44">
        <f>IF(G154="","",IFERROR(INDEX(Config!$K$5:$K$16,MATCH(G154,Config!$J$5:$J$16,0)),""))</f>
        <v>30</v>
      </c>
      <c r="M154" s="30">
        <f>IF(OR(G154="",F154=""),"",IFERROR(INDEX(Config!$M$5:$R$16,MATCH(G154,Config!$J$5:$J$16,0),MATCH(F154,Config!$H$5:$H$10,0)),""))</f>
        <v>120</v>
      </c>
      <c r="N154" s="29">
        <f>IF(A154="","",MONTH(A154))</f>
        <v>7</v>
      </c>
      <c r="O154" s="29">
        <f>IF(A154="","",YEAR(A154))</f>
        <v>2026</v>
      </c>
      <c r="P154" s="29" t="str">
        <f>IF(A154="","",CHOOSE(WEEKDAY(A154,2),"Segunda","Terça","Quarta","Quinta","Sexta","Sábado","Domingo"))</f>
        <v>Quinta</v>
      </c>
      <c r="Q154" s="29" t="str">
        <f>IF(B154="","",IF(B154&lt;TIME(12,0,0),"Manhã",IF(B154&lt;TIME(18,0,0),"Tarde","Noite")))</f>
        <v>Manhã</v>
      </c>
      <c r="R154" s="45">
        <f>IF(AND(H154="Realizado",L154&lt;&gt;""),L154/60,0)</f>
        <v>0.5</v>
      </c>
    </row>
    <row r="155">
      <c r="A155" s="42" t="n">
        <v>46219</v>
      </c>
      <c r="B155" s="43" t="n">
        <v>0.4652777777777778</v>
      </c>
      <c r="C155" s="37" t="inlineStr">
        <is>
          <t>Dra. Carolina Mendes</t>
        </is>
      </c>
      <c r="D155" s="37" t="inlineStr">
        <is>
          <t>Sala 1</t>
        </is>
      </c>
      <c r="E155" s="36" t="inlineStr">
        <is>
          <t>Wagner Santos</t>
        </is>
      </c>
      <c r="F155" s="37" t="inlineStr">
        <is>
          <t>Particular</t>
        </is>
      </c>
      <c r="G155" s="37" t="inlineStr">
        <is>
          <t>Consulta</t>
        </is>
      </c>
      <c r="H155" s="37" t="inlineStr">
        <is>
          <t>Realizado</t>
        </is>
      </c>
      <c r="I155" s="37" t="inlineStr">
        <is>
          <t>Pix</t>
        </is>
      </c>
      <c r="J155" s="37" t="n"/>
      <c r="K155" s="36" t="n"/>
      <c r="L155" s="44">
        <f>IF(G155="","",IFERROR(INDEX(Config!$K$5:$K$16,MATCH(G155,Config!$J$5:$J$16,0)),""))</f>
        <v>30</v>
      </c>
      <c r="M155" s="30">
        <f>IF(OR(G155="",F155=""),"",IFERROR(INDEX(Config!$M$5:$R$16,MATCH(G155,Config!$J$5:$J$16,0),MATCH(F155,Config!$H$5:$H$10,0)),""))</f>
        <v>380</v>
      </c>
      <c r="N155" s="29">
        <f>IF(A155="","",MONTH(A155))</f>
        <v>7</v>
      </c>
      <c r="O155" s="29">
        <f>IF(A155="","",YEAR(A155))</f>
        <v>2026</v>
      </c>
      <c r="P155" s="29" t="str">
        <f>IF(A155="","",CHOOSE(WEEKDAY(A155,2),"Segunda","Terça","Quarta","Quinta","Sexta","Sábado","Domingo"))</f>
        <v>Quinta</v>
      </c>
      <c r="Q155" s="29" t="str">
        <f>IF(B155="","",IF(B155&lt;TIME(12,0,0),"Manhã",IF(B155&lt;TIME(18,0,0),"Tarde","Noite")))</f>
        <v>Manhã</v>
      </c>
      <c r="R155" s="45">
        <f>IF(AND(H155="Realizado",L155&lt;&gt;""),L155/60,0)</f>
        <v>0.5</v>
      </c>
    </row>
    <row r="156">
      <c r="A156" s="42" t="n">
        <v>46219</v>
      </c>
      <c r="B156" s="43" t="n">
        <v>0.4861111111111111</v>
      </c>
      <c r="C156" s="37" t="inlineStr">
        <is>
          <t>Dra. Carolina Mendes</t>
        </is>
      </c>
      <c r="D156" s="37" t="inlineStr">
        <is>
          <t>Sala 1</t>
        </is>
      </c>
      <c r="E156" s="36" t="inlineStr">
        <is>
          <t>Elaine Cardoso</t>
        </is>
      </c>
      <c r="F156" s="37" t="inlineStr">
        <is>
          <t>Particular</t>
        </is>
      </c>
      <c r="G156" s="37" t="inlineStr">
        <is>
          <t>Consulta</t>
        </is>
      </c>
      <c r="H156" s="37" t="inlineStr">
        <is>
          <t>Realizado</t>
        </is>
      </c>
      <c r="I156" s="37" t="inlineStr">
        <is>
          <t>Cartão de crédito</t>
        </is>
      </c>
      <c r="J156" s="37" t="n"/>
      <c r="K156" s="36" t="n"/>
      <c r="L156" s="44">
        <f>IF(G156="","",IFERROR(INDEX(Config!$K$5:$K$16,MATCH(G156,Config!$J$5:$J$16,0)),""))</f>
        <v>30</v>
      </c>
      <c r="M156" s="30">
        <f>IF(OR(G156="",F156=""),"",IFERROR(INDEX(Config!$M$5:$R$16,MATCH(G156,Config!$J$5:$J$16,0),MATCH(F156,Config!$H$5:$H$10,0)),""))</f>
        <v>380</v>
      </c>
      <c r="N156" s="29">
        <f>IF(A156="","",MONTH(A156))</f>
        <v>7</v>
      </c>
      <c r="O156" s="29">
        <f>IF(A156="","",YEAR(A156))</f>
        <v>2026</v>
      </c>
      <c r="P156" s="29" t="str">
        <f>IF(A156="","",CHOOSE(WEEKDAY(A156,2),"Segunda","Terça","Quarta","Quinta","Sexta","Sábado","Domingo"))</f>
        <v>Quinta</v>
      </c>
      <c r="Q156" s="29" t="str">
        <f>IF(B156="","",IF(B156&lt;TIME(12,0,0),"Manhã",IF(B156&lt;TIME(18,0,0),"Tarde","Noite")))</f>
        <v>Manhã</v>
      </c>
      <c r="R156" s="45">
        <f>IF(AND(H156="Realizado",L156&lt;&gt;""),L156/60,0)</f>
        <v>0.5</v>
      </c>
    </row>
    <row r="157">
      <c r="A157" s="42" t="n">
        <v>46219</v>
      </c>
      <c r="B157" s="43" t="n">
        <v>0.6041666666666666</v>
      </c>
      <c r="C157" s="37" t="inlineStr">
        <is>
          <t>Dra. Renata Sousa</t>
        </is>
      </c>
      <c r="D157" s="37" t="inlineStr">
        <is>
          <t>Sala 1</t>
        </is>
      </c>
      <c r="E157" s="36" t="inlineStr">
        <is>
          <t>Fernanda Gonçalves</t>
        </is>
      </c>
      <c r="F157" s="37" t="inlineStr">
        <is>
          <t>Saúde Total</t>
        </is>
      </c>
      <c r="G157" s="37" t="inlineStr">
        <is>
          <t>Avaliação endócrina</t>
        </is>
      </c>
      <c r="H157" s="37" t="inlineStr">
        <is>
          <t>Realizado</t>
        </is>
      </c>
      <c r="I157" s="37" t="inlineStr">
        <is>
          <t>Convênio</t>
        </is>
      </c>
      <c r="J157" s="37" t="n"/>
      <c r="K157" s="36" t="n"/>
      <c r="L157" s="44">
        <f>IF(G157="","",IFERROR(INDEX(Config!$K$5:$K$16,MATCH(G157,Config!$J$5:$J$16,0)),""))</f>
        <v>40</v>
      </c>
      <c r="M157" s="30">
        <f>IF(OR(G157="",F157=""),"",IFERROR(INDEX(Config!$M$5:$R$16,MATCH(G157,Config!$J$5:$J$16,0),MATCH(F157,Config!$H$5:$H$10,0)),""))</f>
        <v>130</v>
      </c>
      <c r="N157" s="29">
        <f>IF(A157="","",MONTH(A157))</f>
        <v>7</v>
      </c>
      <c r="O157" s="29">
        <f>IF(A157="","",YEAR(A157))</f>
        <v>2026</v>
      </c>
      <c r="P157" s="29" t="str">
        <f>IF(A157="","",CHOOSE(WEEKDAY(A157,2),"Segunda","Terça","Quarta","Quinta","Sexta","Sábado","Domingo"))</f>
        <v>Quinta</v>
      </c>
      <c r="Q157" s="29" t="str">
        <f>IF(B157="","",IF(B157&lt;TIME(12,0,0),"Manhã",IF(B157&lt;TIME(18,0,0),"Tarde","Noite")))</f>
        <v>Tarde</v>
      </c>
      <c r="R157" s="45">
        <f>IF(AND(H157="Realizado",L157&lt;&gt;""),L157/60,0)</f>
        <v>0.666666666666667</v>
      </c>
    </row>
    <row r="158">
      <c r="A158" s="42" t="n">
        <v>46219</v>
      </c>
      <c r="B158" s="43" t="n">
        <v>0.6041666666666666</v>
      </c>
      <c r="C158" s="37" t="inlineStr">
        <is>
          <t>Dr. Paulo Andrade</t>
        </is>
      </c>
      <c r="D158" s="37" t="inlineStr">
        <is>
          <t>Sala 2</t>
        </is>
      </c>
      <c r="E158" s="36" t="inlineStr">
        <is>
          <t>Sérgio Martins</t>
        </is>
      </c>
      <c r="F158" s="37" t="inlineStr">
        <is>
          <t>Particular</t>
        </is>
      </c>
      <c r="G158" s="37" t="inlineStr">
        <is>
          <t>ECG</t>
        </is>
      </c>
      <c r="H158" s="37" t="inlineStr">
        <is>
          <t>Realizado</t>
        </is>
      </c>
      <c r="I158" s="37" t="inlineStr">
        <is>
          <t>Cartão de débito</t>
        </is>
      </c>
      <c r="J158" s="37" t="n"/>
      <c r="K158" s="36" t="n"/>
      <c r="L158" s="44">
        <f>IF(G158="","",IFERROR(INDEX(Config!$K$5:$K$16,MATCH(G158,Config!$J$5:$J$16,0)),""))</f>
        <v>20</v>
      </c>
      <c r="M158" s="30">
        <f>IF(OR(G158="",F158=""),"",IFERROR(INDEX(Config!$M$5:$R$16,MATCH(G158,Config!$J$5:$J$16,0),MATCH(F158,Config!$H$5:$H$10,0)),""))</f>
        <v>130</v>
      </c>
      <c r="N158" s="29">
        <f>IF(A158="","",MONTH(A158))</f>
        <v>7</v>
      </c>
      <c r="O158" s="29">
        <f>IF(A158="","",YEAR(A158))</f>
        <v>2026</v>
      </c>
      <c r="P158" s="29" t="str">
        <f>IF(A158="","",CHOOSE(WEEKDAY(A158,2),"Segunda","Terça","Quarta","Quinta","Sexta","Sábado","Domingo"))</f>
        <v>Quinta</v>
      </c>
      <c r="Q158" s="29" t="str">
        <f>IF(B158="","",IF(B158&lt;TIME(12,0,0),"Manhã",IF(B158&lt;TIME(18,0,0),"Tarde","Noite")))</f>
        <v>Tarde</v>
      </c>
      <c r="R158" s="45">
        <f>IF(AND(H158="Realizado",L158&lt;&gt;""),L158/60,0)</f>
        <v>0.333333333333333</v>
      </c>
    </row>
    <row r="159">
      <c r="A159" s="42" t="n">
        <v>46219</v>
      </c>
      <c r="B159" s="43" t="n">
        <v>0.6180555555555556</v>
      </c>
      <c r="C159" s="37" t="inlineStr">
        <is>
          <t>Dr. Paulo Andrade</t>
        </is>
      </c>
      <c r="D159" s="37" t="inlineStr">
        <is>
          <t>Sala 2</t>
        </is>
      </c>
      <c r="E159" s="36" t="inlineStr">
        <is>
          <t>Rafael Araújo</t>
        </is>
      </c>
      <c r="F159" s="37" t="inlineStr">
        <is>
          <t>MediPlan</t>
        </is>
      </c>
      <c r="G159" s="37" t="inlineStr">
        <is>
          <t>Consulta</t>
        </is>
      </c>
      <c r="H159" s="37" t="inlineStr">
        <is>
          <t>Remarcado</t>
        </is>
      </c>
      <c r="I159" s="37" t="n"/>
      <c r="J159" s="37" t="n"/>
      <c r="K159" s="36" t="inlineStr">
        <is>
          <t>Paciente pediu outra data</t>
        </is>
      </c>
      <c r="L159" s="44">
        <f>IF(G159="","",IFERROR(INDEX(Config!$K$5:$K$16,MATCH(G159,Config!$J$5:$J$16,0)),""))</f>
        <v>30</v>
      </c>
      <c r="M159" s="30">
        <f>IF(OR(G159="",F159=""),"",IFERROR(INDEX(Config!$M$5:$R$16,MATCH(G159,Config!$J$5:$J$16,0),MATCH(F159,Config!$H$5:$H$10,0)),""))</f>
        <v>100</v>
      </c>
      <c r="N159" s="29">
        <f>IF(A159="","",MONTH(A159))</f>
        <v>7</v>
      </c>
      <c r="O159" s="29">
        <f>IF(A159="","",YEAR(A159))</f>
        <v>2026</v>
      </c>
      <c r="P159" s="29" t="str">
        <f>IF(A159="","",CHOOSE(WEEKDAY(A159,2),"Segunda","Terça","Quarta","Quinta","Sexta","Sábado","Domingo"))</f>
        <v>Quinta</v>
      </c>
      <c r="Q159" s="29" t="str">
        <f>IF(B159="","",IF(B159&lt;TIME(12,0,0),"Manhã",IF(B159&lt;TIME(18,0,0),"Tarde","Noite")))</f>
        <v>Tarde</v>
      </c>
      <c r="R159" s="45">
        <f>IF(AND(H159="Realizado",L159&lt;&gt;""),L159/60,0)</f>
        <v>0</v>
      </c>
    </row>
    <row r="160">
      <c r="A160" s="42" t="n">
        <v>46219</v>
      </c>
      <c r="B160" s="43" t="n">
        <v>0.6319444444444444</v>
      </c>
      <c r="C160" s="37" t="inlineStr">
        <is>
          <t>Dra. Renata Sousa</t>
        </is>
      </c>
      <c r="D160" s="37" t="inlineStr">
        <is>
          <t>Sala 1</t>
        </is>
      </c>
      <c r="E160" s="36" t="inlineStr">
        <is>
          <t>Daniel Moreira</t>
        </is>
      </c>
      <c r="F160" s="37" t="inlineStr">
        <is>
          <t>Saúde Total</t>
        </is>
      </c>
      <c r="G160" s="37" t="inlineStr">
        <is>
          <t>Avaliação endócrina</t>
        </is>
      </c>
      <c r="H160" s="37" t="inlineStr">
        <is>
          <t>Realizado</t>
        </is>
      </c>
      <c r="I160" s="37" t="inlineStr">
        <is>
          <t>Convênio</t>
        </is>
      </c>
      <c r="J160" s="37" t="n"/>
      <c r="K160" s="36" t="n"/>
      <c r="L160" s="44">
        <f>IF(G160="","",IFERROR(INDEX(Config!$K$5:$K$16,MATCH(G160,Config!$J$5:$J$16,0)),""))</f>
        <v>40</v>
      </c>
      <c r="M160" s="30">
        <f>IF(OR(G160="",F160=""),"",IFERROR(INDEX(Config!$M$5:$R$16,MATCH(G160,Config!$J$5:$J$16,0),MATCH(F160,Config!$H$5:$H$10,0)),""))</f>
        <v>130</v>
      </c>
      <c r="N160" s="29">
        <f>IF(A160="","",MONTH(A160))</f>
        <v>7</v>
      </c>
      <c r="O160" s="29">
        <f>IF(A160="","",YEAR(A160))</f>
        <v>2026</v>
      </c>
      <c r="P160" s="29" t="str">
        <f>IF(A160="","",CHOOSE(WEEKDAY(A160,2),"Segunda","Terça","Quarta","Quinta","Sexta","Sábado","Domingo"))</f>
        <v>Quinta</v>
      </c>
      <c r="Q160" s="29" t="str">
        <f>IF(B160="","",IF(B160&lt;TIME(12,0,0),"Manhã",IF(B160&lt;TIME(18,0,0),"Tarde","Noite")))</f>
        <v>Tarde</v>
      </c>
      <c r="R160" s="45">
        <f>IF(AND(H160="Realizado",L160&lt;&gt;""),L160/60,0)</f>
        <v>0.666666666666667</v>
      </c>
    </row>
    <row r="161">
      <c r="A161" s="42" t="n">
        <v>46219</v>
      </c>
      <c r="B161" s="43" t="n">
        <v>0.6388888888888888</v>
      </c>
      <c r="C161" s="37" t="inlineStr">
        <is>
          <t>Dr. Paulo Andrade</t>
        </is>
      </c>
      <c r="D161" s="37" t="inlineStr">
        <is>
          <t>Sala 2</t>
        </is>
      </c>
      <c r="E161" s="36" t="inlineStr">
        <is>
          <t>Otávio Martins</t>
        </is>
      </c>
      <c r="F161" s="37" t="inlineStr">
        <is>
          <t>MediPlan</t>
        </is>
      </c>
      <c r="G161" s="37" t="inlineStr">
        <is>
          <t>Consulta</t>
        </is>
      </c>
      <c r="H161" s="37" t="inlineStr">
        <is>
          <t>Realizado</t>
        </is>
      </c>
      <c r="I161" s="37" t="inlineStr">
        <is>
          <t>Convênio</t>
        </is>
      </c>
      <c r="J161" s="37" t="n"/>
      <c r="K161" s="36" t="n"/>
      <c r="L161" s="44">
        <f>IF(G161="","",IFERROR(INDEX(Config!$K$5:$K$16,MATCH(G161,Config!$J$5:$J$16,0)),""))</f>
        <v>30</v>
      </c>
      <c r="M161" s="30">
        <f>IF(OR(G161="",F161=""),"",IFERROR(INDEX(Config!$M$5:$R$16,MATCH(G161,Config!$J$5:$J$16,0),MATCH(F161,Config!$H$5:$H$10,0)),""))</f>
        <v>100</v>
      </c>
      <c r="N161" s="29">
        <f>IF(A161="","",MONTH(A161))</f>
        <v>7</v>
      </c>
      <c r="O161" s="29">
        <f>IF(A161="","",YEAR(A161))</f>
        <v>2026</v>
      </c>
      <c r="P161" s="29" t="str">
        <f>IF(A161="","",CHOOSE(WEEKDAY(A161,2),"Segunda","Terça","Quarta","Quinta","Sexta","Sábado","Domingo"))</f>
        <v>Quinta</v>
      </c>
      <c r="Q161" s="29" t="str">
        <f>IF(B161="","",IF(B161&lt;TIME(12,0,0),"Manhã",IF(B161&lt;TIME(18,0,0),"Tarde","Noite")))</f>
        <v>Tarde</v>
      </c>
      <c r="R161" s="45">
        <f>IF(AND(H161="Realizado",L161&lt;&gt;""),L161/60,0)</f>
        <v>0.5</v>
      </c>
    </row>
    <row r="162">
      <c r="A162" s="42" t="n">
        <v>46219</v>
      </c>
      <c r="B162" s="43" t="n">
        <v>0.6597222222222222</v>
      </c>
      <c r="C162" s="37" t="inlineStr">
        <is>
          <t>Dr. Paulo Andrade</t>
        </is>
      </c>
      <c r="D162" s="37" t="inlineStr">
        <is>
          <t>Sala 2</t>
        </is>
      </c>
      <c r="E162" s="36" t="inlineStr">
        <is>
          <t>Wagner Carvalho</t>
        </is>
      </c>
      <c r="F162" s="37" t="inlineStr">
        <is>
          <t>Vida Care</t>
        </is>
      </c>
      <c r="G162" s="37" t="inlineStr">
        <is>
          <t>Consulta</t>
        </is>
      </c>
      <c r="H162" s="37" t="inlineStr">
        <is>
          <t>Realizado</t>
        </is>
      </c>
      <c r="I162" s="37" t="inlineStr">
        <is>
          <t>Convênio</t>
        </is>
      </c>
      <c r="J162" s="37" t="n"/>
      <c r="K162" s="36" t="n"/>
      <c r="L162" s="44">
        <f>IF(G162="","",IFERROR(INDEX(Config!$K$5:$K$16,MATCH(G162,Config!$J$5:$J$16,0)),""))</f>
        <v>30</v>
      </c>
      <c r="M162" s="30">
        <f>IF(OR(G162="",F162=""),"",IFERROR(INDEX(Config!$M$5:$R$16,MATCH(G162,Config!$J$5:$J$16,0),MATCH(F162,Config!$H$5:$H$10,0)),""))</f>
        <v>90</v>
      </c>
      <c r="N162" s="29">
        <f>IF(A162="","",MONTH(A162))</f>
        <v>7</v>
      </c>
      <c r="O162" s="29">
        <f>IF(A162="","",YEAR(A162))</f>
        <v>2026</v>
      </c>
      <c r="P162" s="29" t="str">
        <f>IF(A162="","",CHOOSE(WEEKDAY(A162,2),"Segunda","Terça","Quarta","Quinta","Sexta","Sábado","Domingo"))</f>
        <v>Quinta</v>
      </c>
      <c r="Q162" s="29" t="str">
        <f>IF(B162="","",IF(B162&lt;TIME(12,0,0),"Manhã",IF(B162&lt;TIME(18,0,0),"Tarde","Noite")))</f>
        <v>Tarde</v>
      </c>
      <c r="R162" s="45">
        <f>IF(AND(H162="Realizado",L162&lt;&gt;""),L162/60,0)</f>
        <v>0.5</v>
      </c>
    </row>
    <row r="163">
      <c r="A163" s="42" t="n">
        <v>46219</v>
      </c>
      <c r="B163" s="43" t="n">
        <v>0.6805555555555556</v>
      </c>
      <c r="C163" s="37" t="inlineStr">
        <is>
          <t>Dra. Renata Sousa</t>
        </is>
      </c>
      <c r="D163" s="37" t="inlineStr">
        <is>
          <t>Sala 1</t>
        </is>
      </c>
      <c r="E163" s="36" t="inlineStr">
        <is>
          <t>Carlos Gonçalves</t>
        </is>
      </c>
      <c r="F163" s="37" t="inlineStr">
        <is>
          <t>Saúde Total</t>
        </is>
      </c>
      <c r="G163" s="37" t="inlineStr">
        <is>
          <t>Avaliação endócrina</t>
        </is>
      </c>
      <c r="H163" s="37" t="inlineStr">
        <is>
          <t>Falta</t>
        </is>
      </c>
      <c r="I163" s="37" t="n"/>
      <c r="J163" s="37" t="n"/>
      <c r="K163" s="36" t="n"/>
      <c r="L163" s="44">
        <f>IF(G163="","",IFERROR(INDEX(Config!$K$5:$K$16,MATCH(G163,Config!$J$5:$J$16,0)),""))</f>
        <v>40</v>
      </c>
      <c r="M163" s="30">
        <f>IF(OR(G163="",F163=""),"",IFERROR(INDEX(Config!$M$5:$R$16,MATCH(G163,Config!$J$5:$J$16,0),MATCH(F163,Config!$H$5:$H$10,0)),""))</f>
        <v>130</v>
      </c>
      <c r="N163" s="29">
        <f>IF(A163="","",MONTH(A163))</f>
        <v>7</v>
      </c>
      <c r="O163" s="29">
        <f>IF(A163="","",YEAR(A163))</f>
        <v>2026</v>
      </c>
      <c r="P163" s="29" t="str">
        <f>IF(A163="","",CHOOSE(WEEKDAY(A163,2),"Segunda","Terça","Quarta","Quinta","Sexta","Sábado","Domingo"))</f>
        <v>Quinta</v>
      </c>
      <c r="Q163" s="29" t="str">
        <f>IF(B163="","",IF(B163&lt;TIME(12,0,0),"Manhã",IF(B163&lt;TIME(18,0,0),"Tarde","Noite")))</f>
        <v>Tarde</v>
      </c>
      <c r="R163" s="45">
        <f>IF(AND(H163="Realizado",L163&lt;&gt;""),L163/60,0)</f>
        <v>0</v>
      </c>
    </row>
    <row r="164">
      <c r="A164" s="42" t="n">
        <v>46219</v>
      </c>
      <c r="B164" s="43" t="n">
        <v>0.6805555555555556</v>
      </c>
      <c r="C164" s="37" t="inlineStr">
        <is>
          <t>Dr. Paulo Andrade</t>
        </is>
      </c>
      <c r="D164" s="37" t="inlineStr">
        <is>
          <t>Sala 2</t>
        </is>
      </c>
      <c r="E164" s="36" t="inlineStr">
        <is>
          <t>Sérgio Teixeira</t>
        </is>
      </c>
      <c r="F164" s="37" t="inlineStr">
        <is>
          <t>MediPlan</t>
        </is>
      </c>
      <c r="G164" s="37" t="inlineStr">
        <is>
          <t>Consulta</t>
        </is>
      </c>
      <c r="H164" s="37" t="inlineStr">
        <is>
          <t>Realizado</t>
        </is>
      </c>
      <c r="I164" s="37" t="inlineStr">
        <is>
          <t>Convênio</t>
        </is>
      </c>
      <c r="J164" s="37" t="n"/>
      <c r="K164" s="36" t="n"/>
      <c r="L164" s="44">
        <f>IF(G164="","",IFERROR(INDEX(Config!$K$5:$K$16,MATCH(G164,Config!$J$5:$J$16,0)),""))</f>
        <v>30</v>
      </c>
      <c r="M164" s="30">
        <f>IF(OR(G164="",F164=""),"",IFERROR(INDEX(Config!$M$5:$R$16,MATCH(G164,Config!$J$5:$J$16,0),MATCH(F164,Config!$H$5:$H$10,0)),""))</f>
        <v>100</v>
      </c>
      <c r="N164" s="29">
        <f>IF(A164="","",MONTH(A164))</f>
        <v>7</v>
      </c>
      <c r="O164" s="29">
        <f>IF(A164="","",YEAR(A164))</f>
        <v>2026</v>
      </c>
      <c r="P164" s="29" t="str">
        <f>IF(A164="","",CHOOSE(WEEKDAY(A164,2),"Segunda","Terça","Quarta","Quinta","Sexta","Sábado","Domingo"))</f>
        <v>Quinta</v>
      </c>
      <c r="Q164" s="29" t="str">
        <f>IF(B164="","",IF(B164&lt;TIME(12,0,0),"Manhã",IF(B164&lt;TIME(18,0,0),"Tarde","Noite")))</f>
        <v>Tarde</v>
      </c>
      <c r="R164" s="45">
        <f>IF(AND(H164="Realizado",L164&lt;&gt;""),L164/60,0)</f>
        <v>0.5</v>
      </c>
    </row>
    <row r="165">
      <c r="A165" s="42" t="n">
        <v>46219</v>
      </c>
      <c r="B165" s="43" t="n">
        <v>0.7013888888888888</v>
      </c>
      <c r="C165" s="37" t="inlineStr">
        <is>
          <t>Dr. Paulo Andrade</t>
        </is>
      </c>
      <c r="D165" s="37" t="inlineStr">
        <is>
          <t>Sala 2</t>
        </is>
      </c>
      <c r="E165" s="36" t="inlineStr">
        <is>
          <t>Regina Teixeira</t>
        </is>
      </c>
      <c r="F165" s="37" t="inlineStr">
        <is>
          <t>Particular</t>
        </is>
      </c>
      <c r="G165" s="37" t="inlineStr">
        <is>
          <t>ECG</t>
        </is>
      </c>
      <c r="H165" s="37" t="inlineStr">
        <is>
          <t>Remarcado</t>
        </is>
      </c>
      <c r="I165" s="37" t="n"/>
      <c r="J165" s="37" t="n"/>
      <c r="K165" s="36" t="inlineStr">
        <is>
          <t>Paciente pediu outra data</t>
        </is>
      </c>
      <c r="L165" s="44">
        <f>IF(G165="","",IFERROR(INDEX(Config!$K$5:$K$16,MATCH(G165,Config!$J$5:$J$16,0)),""))</f>
        <v>20</v>
      </c>
      <c r="M165" s="30">
        <f>IF(OR(G165="",F165=""),"",IFERROR(INDEX(Config!$M$5:$R$16,MATCH(G165,Config!$J$5:$J$16,0),MATCH(F165,Config!$H$5:$H$10,0)),""))</f>
        <v>130</v>
      </c>
      <c r="N165" s="29">
        <f>IF(A165="","",MONTH(A165))</f>
        <v>7</v>
      </c>
      <c r="O165" s="29">
        <f>IF(A165="","",YEAR(A165))</f>
        <v>2026</v>
      </c>
      <c r="P165" s="29" t="str">
        <f>IF(A165="","",CHOOSE(WEEKDAY(A165,2),"Segunda","Terça","Quarta","Quinta","Sexta","Sábado","Domingo"))</f>
        <v>Quinta</v>
      </c>
      <c r="Q165" s="29" t="str">
        <f>IF(B165="","",IF(B165&lt;TIME(12,0,0),"Manhã",IF(B165&lt;TIME(18,0,0),"Tarde","Noite")))</f>
        <v>Tarde</v>
      </c>
      <c r="R165" s="45">
        <f>IF(AND(H165="Realizado",L165&lt;&gt;""),L165/60,0)</f>
        <v>0</v>
      </c>
    </row>
    <row r="166">
      <c r="A166" s="42" t="n">
        <v>46219</v>
      </c>
      <c r="B166" s="43" t="n">
        <v>0.7083333333333334</v>
      </c>
      <c r="C166" s="37" t="inlineStr">
        <is>
          <t>Dra. Renata Sousa</t>
        </is>
      </c>
      <c r="D166" s="37" t="inlineStr">
        <is>
          <t>Sala 1</t>
        </is>
      </c>
      <c r="E166" s="36" t="inlineStr">
        <is>
          <t>Beatriz Monteiro</t>
        </is>
      </c>
      <c r="F166" s="37" t="inlineStr">
        <is>
          <t>Particular</t>
        </is>
      </c>
      <c r="G166" s="37" t="inlineStr">
        <is>
          <t>Retorno</t>
        </is>
      </c>
      <c r="H166" s="37" t="inlineStr">
        <is>
          <t>Realizado</t>
        </is>
      </c>
      <c r="I166" s="37" t="inlineStr">
        <is>
          <t>Sem cobrança</t>
        </is>
      </c>
      <c r="J166" s="37" t="n"/>
      <c r="K166" s="36" t="n"/>
      <c r="L166" s="44">
        <f>IF(G166="","",IFERROR(INDEX(Config!$K$5:$K$16,MATCH(G166,Config!$J$5:$J$16,0)),""))</f>
        <v>20</v>
      </c>
      <c r="M166" s="30">
        <f>IF(OR(G166="",F166=""),"",IFERROR(INDEX(Config!$M$5:$R$16,MATCH(G166,Config!$J$5:$J$16,0),MATCH(F166,Config!$H$5:$H$10,0)),""))</f>
        <v>0</v>
      </c>
      <c r="N166" s="29">
        <f>IF(A166="","",MONTH(A166))</f>
        <v>7</v>
      </c>
      <c r="O166" s="29">
        <f>IF(A166="","",YEAR(A166))</f>
        <v>2026</v>
      </c>
      <c r="P166" s="29" t="str">
        <f>IF(A166="","",CHOOSE(WEEKDAY(A166,2),"Segunda","Terça","Quarta","Quinta","Sexta","Sábado","Domingo"))</f>
        <v>Quinta</v>
      </c>
      <c r="Q166" s="29" t="str">
        <f>IF(B166="","",IF(B166&lt;TIME(12,0,0),"Manhã",IF(B166&lt;TIME(18,0,0),"Tarde","Noite")))</f>
        <v>Tarde</v>
      </c>
      <c r="R166" s="45">
        <f>IF(AND(H166="Realizado",L166&lt;&gt;""),L166/60,0)</f>
        <v>0.333333333333333</v>
      </c>
    </row>
    <row r="167">
      <c r="A167" s="42" t="n">
        <v>46219</v>
      </c>
      <c r="B167" s="43" t="n">
        <v>0.7152777777777778</v>
      </c>
      <c r="C167" s="37" t="inlineStr">
        <is>
          <t>Dr. Paulo Andrade</t>
        </is>
      </c>
      <c r="D167" s="37" t="inlineStr">
        <is>
          <t>Sala 2</t>
        </is>
      </c>
      <c r="E167" s="36" t="inlineStr">
        <is>
          <t>Gisele Xavier</t>
        </is>
      </c>
      <c r="F167" s="37" t="inlineStr">
        <is>
          <t>Particular</t>
        </is>
      </c>
      <c r="G167" s="37" t="inlineStr">
        <is>
          <t>ECG</t>
        </is>
      </c>
      <c r="H167" s="37" t="inlineStr">
        <is>
          <t>Realizado</t>
        </is>
      </c>
      <c r="I167" s="37" t="inlineStr">
        <is>
          <t>Pix</t>
        </is>
      </c>
      <c r="J167" s="37" t="n"/>
      <c r="K167" s="36" t="n"/>
      <c r="L167" s="44">
        <f>IF(G167="","",IFERROR(INDEX(Config!$K$5:$K$16,MATCH(G167,Config!$J$5:$J$16,0)),""))</f>
        <v>20</v>
      </c>
      <c r="M167" s="30">
        <f>IF(OR(G167="",F167=""),"",IFERROR(INDEX(Config!$M$5:$R$16,MATCH(G167,Config!$J$5:$J$16,0),MATCH(F167,Config!$H$5:$H$10,0)),""))</f>
        <v>130</v>
      </c>
      <c r="N167" s="29">
        <f>IF(A167="","",MONTH(A167))</f>
        <v>7</v>
      </c>
      <c r="O167" s="29">
        <f>IF(A167="","",YEAR(A167))</f>
        <v>2026</v>
      </c>
      <c r="P167" s="29" t="str">
        <f>IF(A167="","",CHOOSE(WEEKDAY(A167,2),"Segunda","Terça","Quarta","Quinta","Sexta","Sábado","Domingo"))</f>
        <v>Quinta</v>
      </c>
      <c r="Q167" s="29" t="str">
        <f>IF(B167="","",IF(B167&lt;TIME(12,0,0),"Manhã",IF(B167&lt;TIME(18,0,0),"Tarde","Noite")))</f>
        <v>Tarde</v>
      </c>
      <c r="R167" s="45">
        <f>IF(AND(H167="Realizado",L167&lt;&gt;""),L167/60,0)</f>
        <v>0.333333333333333</v>
      </c>
    </row>
    <row r="168">
      <c r="A168" s="42" t="n">
        <v>46219</v>
      </c>
      <c r="B168" s="43" t="n">
        <v>0.7222222222222222</v>
      </c>
      <c r="C168" s="37" t="inlineStr">
        <is>
          <t>Dra. Renata Sousa</t>
        </is>
      </c>
      <c r="D168" s="37" t="inlineStr">
        <is>
          <t>Sala 1</t>
        </is>
      </c>
      <c r="E168" s="36" t="inlineStr">
        <is>
          <t>Márcia Duarte</t>
        </is>
      </c>
      <c r="F168" s="37" t="inlineStr">
        <is>
          <t>Particular</t>
        </is>
      </c>
      <c r="G168" s="37" t="inlineStr">
        <is>
          <t>Avaliação endócrina</t>
        </is>
      </c>
      <c r="H168" s="37" t="inlineStr">
        <is>
          <t>Realizado</t>
        </is>
      </c>
      <c r="I168" s="37" t="inlineStr">
        <is>
          <t>Cartão de crédito</t>
        </is>
      </c>
      <c r="J168" s="37" t="n"/>
      <c r="K168" s="36" t="n"/>
      <c r="L168" s="44">
        <f>IF(G168="","",IFERROR(INDEX(Config!$K$5:$K$16,MATCH(G168,Config!$J$5:$J$16,0)),""))</f>
        <v>40</v>
      </c>
      <c r="M168" s="30">
        <f>IF(OR(G168="",F168=""),"",IFERROR(INDEX(Config!$M$5:$R$16,MATCH(G168,Config!$J$5:$J$16,0),MATCH(F168,Config!$H$5:$H$10,0)),""))</f>
        <v>400</v>
      </c>
      <c r="N168" s="29">
        <f>IF(A168="","",MONTH(A168))</f>
        <v>7</v>
      </c>
      <c r="O168" s="29">
        <f>IF(A168="","",YEAR(A168))</f>
        <v>2026</v>
      </c>
      <c r="P168" s="29" t="str">
        <f>IF(A168="","",CHOOSE(WEEKDAY(A168,2),"Segunda","Terça","Quarta","Quinta","Sexta","Sábado","Domingo"))</f>
        <v>Quinta</v>
      </c>
      <c r="Q168" s="29" t="str">
        <f>IF(B168="","",IF(B168&lt;TIME(12,0,0),"Manhã",IF(B168&lt;TIME(18,0,0),"Tarde","Noite")))</f>
        <v>Tarde</v>
      </c>
      <c r="R168" s="45">
        <f>IF(AND(H168="Realizado",L168&lt;&gt;""),L168/60,0)</f>
        <v>0.666666666666667</v>
      </c>
    </row>
    <row r="169">
      <c r="A169" s="42" t="n">
        <v>46219</v>
      </c>
      <c r="B169" s="43" t="n">
        <v>0.7291666666666666</v>
      </c>
      <c r="C169" s="37" t="inlineStr">
        <is>
          <t>Dr. Paulo Andrade</t>
        </is>
      </c>
      <c r="D169" s="37" t="inlineStr">
        <is>
          <t>Sala 2</t>
        </is>
      </c>
      <c r="E169" s="36" t="inlineStr">
        <is>
          <t>Isabela Nascimento</t>
        </is>
      </c>
      <c r="F169" s="37" t="inlineStr">
        <is>
          <t>Vida Care</t>
        </is>
      </c>
      <c r="G169" s="37" t="inlineStr">
        <is>
          <t>ECG</t>
        </is>
      </c>
      <c r="H169" s="37" t="inlineStr">
        <is>
          <t>Falta</t>
        </is>
      </c>
      <c r="I169" s="37" t="n"/>
      <c r="J169" s="37" t="n"/>
      <c r="K169" s="36" t="n"/>
      <c r="L169" s="44">
        <f>IF(G169="","",IFERROR(INDEX(Config!$K$5:$K$16,MATCH(G169,Config!$J$5:$J$16,0)),""))</f>
        <v>20</v>
      </c>
      <c r="M169" s="30">
        <f>IF(OR(G169="",F169=""),"",IFERROR(INDEX(Config!$M$5:$R$16,MATCH(G169,Config!$J$5:$J$16,0),MATCH(F169,Config!$H$5:$H$10,0)),""))</f>
        <v>32</v>
      </c>
      <c r="N169" s="29">
        <f>IF(A169="","",MONTH(A169))</f>
        <v>7</v>
      </c>
      <c r="O169" s="29">
        <f>IF(A169="","",YEAR(A169))</f>
        <v>2026</v>
      </c>
      <c r="P169" s="29" t="str">
        <f>IF(A169="","",CHOOSE(WEEKDAY(A169,2),"Segunda","Terça","Quarta","Quinta","Sexta","Sábado","Domingo"))</f>
        <v>Quinta</v>
      </c>
      <c r="Q169" s="29" t="str">
        <f>IF(B169="","",IF(B169&lt;TIME(12,0,0),"Manhã",IF(B169&lt;TIME(18,0,0),"Tarde","Noite")))</f>
        <v>Tarde</v>
      </c>
      <c r="R169" s="45">
        <f>IF(AND(H169="Realizado",L169&lt;&gt;""),L169/60,0)</f>
        <v>0</v>
      </c>
    </row>
    <row r="170">
      <c r="A170" s="42" t="n">
        <v>46220</v>
      </c>
      <c r="B170" s="43" t="n">
        <v>0.3541666666666667</v>
      </c>
      <c r="C170" s="37" t="inlineStr">
        <is>
          <t>Dr. Paulo Andrade</t>
        </is>
      </c>
      <c r="D170" s="37" t="inlineStr">
        <is>
          <t>Sala 2</t>
        </is>
      </c>
      <c r="E170" s="36" t="inlineStr">
        <is>
          <t>Renato Pereira</t>
        </is>
      </c>
      <c r="F170" s="37" t="inlineStr">
        <is>
          <t>MediPlan</t>
        </is>
      </c>
      <c r="G170" s="37" t="inlineStr">
        <is>
          <t>Consulta</t>
        </is>
      </c>
      <c r="H170" s="37" t="inlineStr">
        <is>
          <t>Realizado</t>
        </is>
      </c>
      <c r="I170" s="37" t="inlineStr">
        <is>
          <t>Convênio</t>
        </is>
      </c>
      <c r="J170" s="37" t="n"/>
      <c r="K170" s="36" t="n"/>
      <c r="L170" s="44">
        <f>IF(G170="","",IFERROR(INDEX(Config!$K$5:$K$16,MATCH(G170,Config!$J$5:$J$16,0)),""))</f>
        <v>30</v>
      </c>
      <c r="M170" s="30">
        <f>IF(OR(G170="",F170=""),"",IFERROR(INDEX(Config!$M$5:$R$16,MATCH(G170,Config!$J$5:$J$16,0),MATCH(F170,Config!$H$5:$H$10,0)),""))</f>
        <v>100</v>
      </c>
      <c r="N170" s="29">
        <f>IF(A170="","",MONTH(A170))</f>
        <v>7</v>
      </c>
      <c r="O170" s="29">
        <f>IF(A170="","",YEAR(A170))</f>
        <v>2026</v>
      </c>
      <c r="P170" s="29" t="str">
        <f>IF(A170="","",CHOOSE(WEEKDAY(A170,2),"Segunda","Terça","Quarta","Quinta","Sexta","Sábado","Domingo"))</f>
        <v>Sexta</v>
      </c>
      <c r="Q170" s="29" t="str">
        <f>IF(B170="","",IF(B170&lt;TIME(12,0,0),"Manhã",IF(B170&lt;TIME(18,0,0),"Tarde","Noite")))</f>
        <v>Manhã</v>
      </c>
      <c r="R170" s="45">
        <f>IF(AND(H170="Realizado",L170&lt;&gt;""),L170/60,0)</f>
        <v>0.5</v>
      </c>
    </row>
    <row r="171">
      <c r="A171" s="42" t="n">
        <v>46220</v>
      </c>
      <c r="B171" s="43" t="n">
        <v>0.375</v>
      </c>
      <c r="C171" s="37" t="inlineStr">
        <is>
          <t>Dr. Paulo Andrade</t>
        </is>
      </c>
      <c r="D171" s="37" t="inlineStr">
        <is>
          <t>Sala 2</t>
        </is>
      </c>
      <c r="E171" s="36" t="inlineStr">
        <is>
          <t>Mônica Teixeira</t>
        </is>
      </c>
      <c r="F171" s="37" t="inlineStr">
        <is>
          <t>Vida Care</t>
        </is>
      </c>
      <c r="G171" s="37" t="inlineStr">
        <is>
          <t>ECG</t>
        </is>
      </c>
      <c r="H171" s="37" t="inlineStr">
        <is>
          <t>Realizado</t>
        </is>
      </c>
      <c r="I171" s="37" t="inlineStr">
        <is>
          <t>Convênio</t>
        </is>
      </c>
      <c r="J171" s="37" t="n"/>
      <c r="K171" s="36" t="n"/>
      <c r="L171" s="44">
        <f>IF(G171="","",IFERROR(INDEX(Config!$K$5:$K$16,MATCH(G171,Config!$J$5:$J$16,0)),""))</f>
        <v>20</v>
      </c>
      <c r="M171" s="30">
        <f>IF(OR(G171="",F171=""),"",IFERROR(INDEX(Config!$M$5:$R$16,MATCH(G171,Config!$J$5:$J$16,0),MATCH(F171,Config!$H$5:$H$10,0)),""))</f>
        <v>32</v>
      </c>
      <c r="N171" s="29">
        <f>IF(A171="","",MONTH(A171))</f>
        <v>7</v>
      </c>
      <c r="O171" s="29">
        <f>IF(A171="","",YEAR(A171))</f>
        <v>2026</v>
      </c>
      <c r="P171" s="29" t="str">
        <f>IF(A171="","",CHOOSE(WEEKDAY(A171,2),"Segunda","Terça","Quarta","Quinta","Sexta","Sábado","Domingo"))</f>
        <v>Sexta</v>
      </c>
      <c r="Q171" s="29" t="str">
        <f>IF(B171="","",IF(B171&lt;TIME(12,0,0),"Manhã",IF(B171&lt;TIME(18,0,0),"Tarde","Noite")))</f>
        <v>Manhã</v>
      </c>
      <c r="R171" s="45">
        <f>IF(AND(H171="Realizado",L171&lt;&gt;""),L171/60,0)</f>
        <v>0.333333333333333</v>
      </c>
    </row>
    <row r="172">
      <c r="A172" s="42" t="n">
        <v>46220</v>
      </c>
      <c r="B172" s="43" t="n">
        <v>0.4305555555555556</v>
      </c>
      <c r="C172" s="37" t="inlineStr">
        <is>
          <t>Dr. Paulo Andrade</t>
        </is>
      </c>
      <c r="D172" s="37" t="inlineStr">
        <is>
          <t>Sala 2</t>
        </is>
      </c>
      <c r="E172" s="36" t="inlineStr">
        <is>
          <t>Wagner Costa</t>
        </is>
      </c>
      <c r="F172" s="37" t="inlineStr">
        <is>
          <t>Particular</t>
        </is>
      </c>
      <c r="G172" s="37" t="inlineStr">
        <is>
          <t>Consulta</t>
        </is>
      </c>
      <c r="H172" s="37" t="inlineStr">
        <is>
          <t>Falta</t>
        </is>
      </c>
      <c r="I172" s="37" t="n"/>
      <c r="J172" s="37" t="n"/>
      <c r="K172" s="36" t="n"/>
      <c r="L172" s="44">
        <f>IF(G172="","",IFERROR(INDEX(Config!$K$5:$K$16,MATCH(G172,Config!$J$5:$J$16,0)),""))</f>
        <v>30</v>
      </c>
      <c r="M172" s="30">
        <f>IF(OR(G172="",F172=""),"",IFERROR(INDEX(Config!$M$5:$R$16,MATCH(G172,Config!$J$5:$J$16,0),MATCH(F172,Config!$H$5:$H$10,0)),""))</f>
        <v>380</v>
      </c>
      <c r="N172" s="29">
        <f>IF(A172="","",MONTH(A172))</f>
        <v>7</v>
      </c>
      <c r="O172" s="29">
        <f>IF(A172="","",YEAR(A172))</f>
        <v>2026</v>
      </c>
      <c r="P172" s="29" t="str">
        <f>IF(A172="","",CHOOSE(WEEKDAY(A172,2),"Segunda","Terça","Quarta","Quinta","Sexta","Sábado","Domingo"))</f>
        <v>Sexta</v>
      </c>
      <c r="Q172" s="29" t="str">
        <f>IF(B172="","",IF(B172&lt;TIME(12,0,0),"Manhã",IF(B172&lt;TIME(18,0,0),"Tarde","Noite")))</f>
        <v>Manhã</v>
      </c>
      <c r="R172" s="45">
        <f>IF(AND(H172="Realizado",L172&lt;&gt;""),L172/60,0)</f>
        <v>0</v>
      </c>
    </row>
    <row r="173">
      <c r="A173" s="42" t="n">
        <v>46220</v>
      </c>
      <c r="B173" s="43" t="n">
        <v>0.4722222222222222</v>
      </c>
      <c r="C173" s="37" t="inlineStr">
        <is>
          <t>Dr. Paulo Andrade</t>
        </is>
      </c>
      <c r="D173" s="37" t="inlineStr">
        <is>
          <t>Sala 2</t>
        </is>
      </c>
      <c r="E173" s="36" t="inlineStr">
        <is>
          <t>Lucas Cardoso</t>
        </is>
      </c>
      <c r="F173" s="37" t="inlineStr">
        <is>
          <t>Particular</t>
        </is>
      </c>
      <c r="G173" s="37" t="inlineStr">
        <is>
          <t>Consulta</t>
        </is>
      </c>
      <c r="H173" s="37" t="inlineStr">
        <is>
          <t>Realizado</t>
        </is>
      </c>
      <c r="I173" s="37" t="inlineStr">
        <is>
          <t>Cartão de crédito</t>
        </is>
      </c>
      <c r="J173" s="37" t="n"/>
      <c r="K173" s="36" t="n"/>
      <c r="L173" s="44">
        <f>IF(G173="","",IFERROR(INDEX(Config!$K$5:$K$16,MATCH(G173,Config!$J$5:$J$16,0)),""))</f>
        <v>30</v>
      </c>
      <c r="M173" s="30">
        <f>IF(OR(G173="",F173=""),"",IFERROR(INDEX(Config!$M$5:$R$16,MATCH(G173,Config!$J$5:$J$16,0),MATCH(F173,Config!$H$5:$H$10,0)),""))</f>
        <v>380</v>
      </c>
      <c r="N173" s="29">
        <f>IF(A173="","",MONTH(A173))</f>
        <v>7</v>
      </c>
      <c r="O173" s="29">
        <f>IF(A173="","",YEAR(A173))</f>
        <v>2026</v>
      </c>
      <c r="P173" s="29" t="str">
        <f>IF(A173="","",CHOOSE(WEEKDAY(A173,2),"Segunda","Terça","Quarta","Quinta","Sexta","Sábado","Domingo"))</f>
        <v>Sexta</v>
      </c>
      <c r="Q173" s="29" t="str">
        <f>IF(B173="","",IF(B173&lt;TIME(12,0,0),"Manhã",IF(B173&lt;TIME(18,0,0),"Tarde","Noite")))</f>
        <v>Manhã</v>
      </c>
      <c r="R173" s="45">
        <f>IF(AND(H173="Realizado",L173&lt;&gt;""),L173/60,0)</f>
        <v>0.5</v>
      </c>
    </row>
    <row r="174">
      <c r="A174" s="42" t="n">
        <v>46223</v>
      </c>
      <c r="B174" s="43" t="n">
        <v>0.3333333333333333</v>
      </c>
      <c r="C174" s="37" t="inlineStr">
        <is>
          <t>Dra. Carolina Mendes</t>
        </is>
      </c>
      <c r="D174" s="37" t="inlineStr">
        <is>
          <t>Sala 1</t>
        </is>
      </c>
      <c r="E174" s="36" t="inlineStr">
        <is>
          <t>Marcelo Moreira</t>
        </is>
      </c>
      <c r="F174" s="37" t="inlineStr">
        <is>
          <t>Particular</t>
        </is>
      </c>
      <c r="G174" s="37" t="inlineStr">
        <is>
          <t>Consulta</t>
        </is>
      </c>
      <c r="H174" s="37" t="inlineStr">
        <is>
          <t>Realizado</t>
        </is>
      </c>
      <c r="I174" s="37" t="inlineStr">
        <is>
          <t>Cartão de débito</t>
        </is>
      </c>
      <c r="J174" s="37" t="n"/>
      <c r="K174" s="36" t="n"/>
      <c r="L174" s="44">
        <f>IF(G174="","",IFERROR(INDEX(Config!$K$5:$K$16,MATCH(G174,Config!$J$5:$J$16,0)),""))</f>
        <v>30</v>
      </c>
      <c r="M174" s="30">
        <f>IF(OR(G174="",F174=""),"",IFERROR(INDEX(Config!$M$5:$R$16,MATCH(G174,Config!$J$5:$J$16,0),MATCH(F174,Config!$H$5:$H$10,0)),""))</f>
        <v>380</v>
      </c>
      <c r="N174" s="29">
        <f>IF(A174="","",MONTH(A174))</f>
        <v>7</v>
      </c>
      <c r="O174" s="29">
        <f>IF(A174="","",YEAR(A174))</f>
        <v>2026</v>
      </c>
      <c r="P174" s="29" t="str">
        <f>IF(A174="","",CHOOSE(WEEKDAY(A174,2),"Segunda","Terça","Quarta","Quinta","Sexta","Sábado","Domingo"))</f>
        <v>Segunda</v>
      </c>
      <c r="Q174" s="29" t="str">
        <f>IF(B174="","",IF(B174&lt;TIME(12,0,0),"Manhã",IF(B174&lt;TIME(18,0,0),"Tarde","Noite")))</f>
        <v>Manhã</v>
      </c>
      <c r="R174" s="45">
        <f>IF(AND(H174="Realizado",L174&lt;&gt;""),L174/60,0)</f>
        <v>0.5</v>
      </c>
    </row>
    <row r="175">
      <c r="A175" s="42" t="n">
        <v>46223</v>
      </c>
      <c r="B175" s="43" t="n">
        <v>0.375</v>
      </c>
      <c r="C175" s="37" t="inlineStr">
        <is>
          <t>Dra. Carolina Mendes</t>
        </is>
      </c>
      <c r="D175" s="37" t="inlineStr">
        <is>
          <t>Sala 1</t>
        </is>
      </c>
      <c r="E175" s="36" t="inlineStr">
        <is>
          <t>Wagner Lima</t>
        </is>
      </c>
      <c r="F175" s="37" t="inlineStr">
        <is>
          <t>Particular</t>
        </is>
      </c>
      <c r="G175" s="37" t="inlineStr">
        <is>
          <t>Retorno</t>
        </is>
      </c>
      <c r="H175" s="37" t="inlineStr">
        <is>
          <t>Realizado</t>
        </is>
      </c>
      <c r="I175" s="37" t="inlineStr">
        <is>
          <t>Sem cobrança</t>
        </is>
      </c>
      <c r="J175" s="37" t="n"/>
      <c r="K175" s="36" t="n"/>
      <c r="L175" s="44">
        <f>IF(G175="","",IFERROR(INDEX(Config!$K$5:$K$16,MATCH(G175,Config!$J$5:$J$16,0)),""))</f>
        <v>20</v>
      </c>
      <c r="M175" s="30">
        <f>IF(OR(G175="",F175=""),"",IFERROR(INDEX(Config!$M$5:$R$16,MATCH(G175,Config!$J$5:$J$16,0),MATCH(F175,Config!$H$5:$H$10,0)),""))</f>
        <v>0</v>
      </c>
      <c r="N175" s="29">
        <f>IF(A175="","",MONTH(A175))</f>
        <v>7</v>
      </c>
      <c r="O175" s="29">
        <f>IF(A175="","",YEAR(A175))</f>
        <v>2026</v>
      </c>
      <c r="P175" s="29" t="str">
        <f>IF(A175="","",CHOOSE(WEEKDAY(A175,2),"Segunda","Terça","Quarta","Quinta","Sexta","Sábado","Domingo"))</f>
        <v>Segunda</v>
      </c>
      <c r="Q175" s="29" t="str">
        <f>IF(B175="","",IF(B175&lt;TIME(12,0,0),"Manhã",IF(B175&lt;TIME(18,0,0),"Tarde","Noite")))</f>
        <v>Manhã</v>
      </c>
      <c r="R175" s="45">
        <f>IF(AND(H175="Realizado",L175&lt;&gt;""),L175/60,0)</f>
        <v>0.333333333333333</v>
      </c>
    </row>
    <row r="176">
      <c r="A176" s="42" t="n">
        <v>46223</v>
      </c>
      <c r="B176" s="43" t="n">
        <v>0.3888888888888889</v>
      </c>
      <c r="C176" s="37" t="inlineStr">
        <is>
          <t>Dra. Carolina Mendes</t>
        </is>
      </c>
      <c r="D176" s="37" t="inlineStr">
        <is>
          <t>Sala 1</t>
        </is>
      </c>
      <c r="E176" s="36" t="inlineStr">
        <is>
          <t>Eduardo Lima</t>
        </is>
      </c>
      <c r="F176" s="37" t="inlineStr">
        <is>
          <t>Particular</t>
        </is>
      </c>
      <c r="G176" s="37" t="inlineStr">
        <is>
          <t>Consulta</t>
        </is>
      </c>
      <c r="H176" s="37" t="inlineStr">
        <is>
          <t>Realizado</t>
        </is>
      </c>
      <c r="I176" s="37" t="inlineStr">
        <is>
          <t>Cartão de crédito</t>
        </is>
      </c>
      <c r="J176" s="37" t="n"/>
      <c r="K176" s="36" t="n"/>
      <c r="L176" s="44">
        <f>IF(G176="","",IFERROR(INDEX(Config!$K$5:$K$16,MATCH(G176,Config!$J$5:$J$16,0)),""))</f>
        <v>30</v>
      </c>
      <c r="M176" s="30">
        <f>IF(OR(G176="",F176=""),"",IFERROR(INDEX(Config!$M$5:$R$16,MATCH(G176,Config!$J$5:$J$16,0),MATCH(F176,Config!$H$5:$H$10,0)),""))</f>
        <v>380</v>
      </c>
      <c r="N176" s="29">
        <f>IF(A176="","",MONTH(A176))</f>
        <v>7</v>
      </c>
      <c r="O176" s="29">
        <f>IF(A176="","",YEAR(A176))</f>
        <v>2026</v>
      </c>
      <c r="P176" s="29" t="str">
        <f>IF(A176="","",CHOOSE(WEEKDAY(A176,2),"Segunda","Terça","Quarta","Quinta","Sexta","Sábado","Domingo"))</f>
        <v>Segunda</v>
      </c>
      <c r="Q176" s="29" t="str">
        <f>IF(B176="","",IF(B176&lt;TIME(12,0,0),"Manhã",IF(B176&lt;TIME(18,0,0),"Tarde","Noite")))</f>
        <v>Manhã</v>
      </c>
      <c r="R176" s="45">
        <f>IF(AND(H176="Realizado",L176&lt;&gt;""),L176/60,0)</f>
        <v>0.5</v>
      </c>
    </row>
    <row r="177">
      <c r="A177" s="42" t="n">
        <v>46223</v>
      </c>
      <c r="B177" s="43" t="n">
        <v>0.4097222222222222</v>
      </c>
      <c r="C177" s="37" t="inlineStr">
        <is>
          <t>Dra. Carolina Mendes</t>
        </is>
      </c>
      <c r="D177" s="37" t="inlineStr">
        <is>
          <t>Sala 1</t>
        </is>
      </c>
      <c r="E177" s="36" t="inlineStr">
        <is>
          <t>Gustavo Barbosa</t>
        </is>
      </c>
      <c r="F177" s="37" t="inlineStr">
        <is>
          <t>Saúde Total</t>
        </is>
      </c>
      <c r="G177" s="37" t="inlineStr">
        <is>
          <t>Consulta</t>
        </is>
      </c>
      <c r="H177" s="37" t="inlineStr">
        <is>
          <t>Realizado</t>
        </is>
      </c>
      <c r="I177" s="37" t="inlineStr">
        <is>
          <t>Convênio</t>
        </is>
      </c>
      <c r="J177" s="37" t="n"/>
      <c r="K177" s="36" t="n"/>
      <c r="L177" s="44">
        <f>IF(G177="","",IFERROR(INDEX(Config!$K$5:$K$16,MATCH(G177,Config!$J$5:$J$16,0)),""))</f>
        <v>30</v>
      </c>
      <c r="M177" s="30">
        <f>IF(OR(G177="",F177=""),"",IFERROR(INDEX(Config!$M$5:$R$16,MATCH(G177,Config!$J$5:$J$16,0),MATCH(F177,Config!$H$5:$H$10,0)),""))</f>
        <v>120</v>
      </c>
      <c r="N177" s="29">
        <f>IF(A177="","",MONTH(A177))</f>
        <v>7</v>
      </c>
      <c r="O177" s="29">
        <f>IF(A177="","",YEAR(A177))</f>
        <v>2026</v>
      </c>
      <c r="P177" s="29" t="str">
        <f>IF(A177="","",CHOOSE(WEEKDAY(A177,2),"Segunda","Terça","Quarta","Quinta","Sexta","Sábado","Domingo"))</f>
        <v>Segunda</v>
      </c>
      <c r="Q177" s="29" t="str">
        <f>IF(B177="","",IF(B177&lt;TIME(12,0,0),"Manhã",IF(B177&lt;TIME(18,0,0),"Tarde","Noite")))</f>
        <v>Manhã</v>
      </c>
      <c r="R177" s="45">
        <f>IF(AND(H177="Realizado",L177&lt;&gt;""),L177/60,0)</f>
        <v>0.5</v>
      </c>
    </row>
    <row r="178">
      <c r="A178" s="42" t="n">
        <v>46223</v>
      </c>
      <c r="B178" s="43" t="n">
        <v>0.4305555555555556</v>
      </c>
      <c r="C178" s="37" t="inlineStr">
        <is>
          <t>Dra. Carolina Mendes</t>
        </is>
      </c>
      <c r="D178" s="37" t="inlineStr">
        <is>
          <t>Sala 1</t>
        </is>
      </c>
      <c r="E178" s="36" t="inlineStr">
        <is>
          <t>Rafael Dias</t>
        </is>
      </c>
      <c r="F178" s="37" t="inlineStr">
        <is>
          <t>Particular</t>
        </is>
      </c>
      <c r="G178" s="37" t="inlineStr">
        <is>
          <t>Consulta</t>
        </is>
      </c>
      <c r="H178" s="37" t="inlineStr">
        <is>
          <t>Realizado</t>
        </is>
      </c>
      <c r="I178" s="37" t="inlineStr">
        <is>
          <t>A prazo</t>
        </is>
      </c>
      <c r="J178" s="37" t="n"/>
      <c r="K178" s="36" t="n"/>
      <c r="L178" s="44">
        <f>IF(G178="","",IFERROR(INDEX(Config!$K$5:$K$16,MATCH(G178,Config!$J$5:$J$16,0)),""))</f>
        <v>30</v>
      </c>
      <c r="M178" s="30">
        <f>IF(OR(G178="",F178=""),"",IFERROR(INDEX(Config!$M$5:$R$16,MATCH(G178,Config!$J$5:$J$16,0),MATCH(F178,Config!$H$5:$H$10,0)),""))</f>
        <v>380</v>
      </c>
      <c r="N178" s="29">
        <f>IF(A178="","",MONTH(A178))</f>
        <v>7</v>
      </c>
      <c r="O178" s="29">
        <f>IF(A178="","",YEAR(A178))</f>
        <v>2026</v>
      </c>
      <c r="P178" s="29" t="str">
        <f>IF(A178="","",CHOOSE(WEEKDAY(A178,2),"Segunda","Terça","Quarta","Quinta","Sexta","Sábado","Domingo"))</f>
        <v>Segunda</v>
      </c>
      <c r="Q178" s="29" t="str">
        <f>IF(B178="","",IF(B178&lt;TIME(12,0,0),"Manhã",IF(B178&lt;TIME(18,0,0),"Tarde","Noite")))</f>
        <v>Manhã</v>
      </c>
      <c r="R178" s="45">
        <f>IF(AND(H178="Realizado",L178&lt;&gt;""),L178/60,0)</f>
        <v>0.5</v>
      </c>
    </row>
    <row r="179">
      <c r="A179" s="42" t="n">
        <v>46223</v>
      </c>
      <c r="B179" s="43" t="n">
        <v>0.4513888888888889</v>
      </c>
      <c r="C179" s="37" t="inlineStr">
        <is>
          <t>Dra. Carolina Mendes</t>
        </is>
      </c>
      <c r="D179" s="37" t="inlineStr">
        <is>
          <t>Sala 1</t>
        </is>
      </c>
      <c r="E179" s="36" t="inlineStr">
        <is>
          <t>Isabela Pinto</t>
        </is>
      </c>
      <c r="F179" s="37" t="inlineStr">
        <is>
          <t>Saúde Total</t>
        </is>
      </c>
      <c r="G179" s="37" t="inlineStr">
        <is>
          <t>Consulta</t>
        </is>
      </c>
      <c r="H179" s="37" t="inlineStr">
        <is>
          <t>Realizado</t>
        </is>
      </c>
      <c r="I179" s="37" t="inlineStr">
        <is>
          <t>Convênio</t>
        </is>
      </c>
      <c r="J179" s="37" t="n"/>
      <c r="K179" s="36" t="n"/>
      <c r="L179" s="44">
        <f>IF(G179="","",IFERROR(INDEX(Config!$K$5:$K$16,MATCH(G179,Config!$J$5:$J$16,0)),""))</f>
        <v>30</v>
      </c>
      <c r="M179" s="30">
        <f>IF(OR(G179="",F179=""),"",IFERROR(INDEX(Config!$M$5:$R$16,MATCH(G179,Config!$J$5:$J$16,0),MATCH(F179,Config!$H$5:$H$10,0)),""))</f>
        <v>120</v>
      </c>
      <c r="N179" s="29">
        <f>IF(A179="","",MONTH(A179))</f>
        <v>7</v>
      </c>
      <c r="O179" s="29">
        <f>IF(A179="","",YEAR(A179))</f>
        <v>2026</v>
      </c>
      <c r="P179" s="29" t="str">
        <f>IF(A179="","",CHOOSE(WEEKDAY(A179,2),"Segunda","Terça","Quarta","Quinta","Sexta","Sábado","Domingo"))</f>
        <v>Segunda</v>
      </c>
      <c r="Q179" s="29" t="str">
        <f>IF(B179="","",IF(B179&lt;TIME(12,0,0),"Manhã",IF(B179&lt;TIME(18,0,0),"Tarde","Noite")))</f>
        <v>Manhã</v>
      </c>
      <c r="R179" s="45">
        <f>IF(AND(H179="Realizado",L179&lt;&gt;""),L179/60,0)</f>
        <v>0.5</v>
      </c>
    </row>
    <row r="180">
      <c r="A180" s="42" t="n">
        <v>46223</v>
      </c>
      <c r="B180" s="43" t="n">
        <v>0.4722222222222222</v>
      </c>
      <c r="C180" s="37" t="inlineStr">
        <is>
          <t>Dra. Carolina Mendes</t>
        </is>
      </c>
      <c r="D180" s="37" t="inlineStr">
        <is>
          <t>Sala 1</t>
        </is>
      </c>
      <c r="E180" s="36" t="inlineStr">
        <is>
          <t>Cláudia Santos</t>
        </is>
      </c>
      <c r="F180" s="37" t="inlineStr">
        <is>
          <t>Particular</t>
        </is>
      </c>
      <c r="G180" s="37" t="inlineStr">
        <is>
          <t>Consulta</t>
        </is>
      </c>
      <c r="H180" s="37" t="inlineStr">
        <is>
          <t>Realizado</t>
        </is>
      </c>
      <c r="I180" s="37" t="inlineStr">
        <is>
          <t>A prazo</t>
        </is>
      </c>
      <c r="J180" s="37" t="n"/>
      <c r="K180" s="36" t="n"/>
      <c r="L180" s="44">
        <f>IF(G180="","",IFERROR(INDEX(Config!$K$5:$K$16,MATCH(G180,Config!$J$5:$J$16,0)),""))</f>
        <v>30</v>
      </c>
      <c r="M180" s="30">
        <f>IF(OR(G180="",F180=""),"",IFERROR(INDEX(Config!$M$5:$R$16,MATCH(G180,Config!$J$5:$J$16,0),MATCH(F180,Config!$H$5:$H$10,0)),""))</f>
        <v>380</v>
      </c>
      <c r="N180" s="29">
        <f>IF(A180="","",MONTH(A180))</f>
        <v>7</v>
      </c>
      <c r="O180" s="29">
        <f>IF(A180="","",YEAR(A180))</f>
        <v>2026</v>
      </c>
      <c r="P180" s="29" t="str">
        <f>IF(A180="","",CHOOSE(WEEKDAY(A180,2),"Segunda","Terça","Quarta","Quinta","Sexta","Sábado","Domingo"))</f>
        <v>Segunda</v>
      </c>
      <c r="Q180" s="29" t="str">
        <f>IF(B180="","",IF(B180&lt;TIME(12,0,0),"Manhã",IF(B180&lt;TIME(18,0,0),"Tarde","Noite")))</f>
        <v>Manhã</v>
      </c>
      <c r="R180" s="45">
        <f>IF(AND(H180="Realizado",L180&lt;&gt;""),L180/60,0)</f>
        <v>0.5</v>
      </c>
    </row>
    <row r="181">
      <c r="A181" s="42" t="n">
        <v>46223</v>
      </c>
      <c r="B181" s="43" t="n">
        <v>0.5833333333333334</v>
      </c>
      <c r="C181" s="37" t="inlineStr">
        <is>
          <t>Dr. Paulo Andrade</t>
        </is>
      </c>
      <c r="D181" s="37" t="inlineStr">
        <is>
          <t>Sala 2</t>
        </is>
      </c>
      <c r="E181" s="36" t="inlineStr">
        <is>
          <t>Henrique Santos</t>
        </is>
      </c>
      <c r="F181" s="37" t="inlineStr">
        <is>
          <t>Vida Care</t>
        </is>
      </c>
      <c r="G181" s="37" t="inlineStr">
        <is>
          <t>Consulta</t>
        </is>
      </c>
      <c r="H181" s="37" t="inlineStr">
        <is>
          <t>Realizado</t>
        </is>
      </c>
      <c r="I181" s="37" t="inlineStr">
        <is>
          <t>Convênio</t>
        </is>
      </c>
      <c r="J181" s="37" t="n"/>
      <c r="K181" s="36" t="n"/>
      <c r="L181" s="44">
        <f>IF(G181="","",IFERROR(INDEX(Config!$K$5:$K$16,MATCH(G181,Config!$J$5:$J$16,0)),""))</f>
        <v>30</v>
      </c>
      <c r="M181" s="30">
        <f>IF(OR(G181="",F181=""),"",IFERROR(INDEX(Config!$M$5:$R$16,MATCH(G181,Config!$J$5:$J$16,0),MATCH(F181,Config!$H$5:$H$10,0)),""))</f>
        <v>90</v>
      </c>
      <c r="N181" s="29">
        <f>IF(A181="","",MONTH(A181))</f>
        <v>7</v>
      </c>
      <c r="O181" s="29">
        <f>IF(A181="","",YEAR(A181))</f>
        <v>2026</v>
      </c>
      <c r="P181" s="29" t="str">
        <f>IF(A181="","",CHOOSE(WEEKDAY(A181,2),"Segunda","Terça","Quarta","Quinta","Sexta","Sábado","Domingo"))</f>
        <v>Segunda</v>
      </c>
      <c r="Q181" s="29" t="str">
        <f>IF(B181="","",IF(B181&lt;TIME(12,0,0),"Manhã",IF(B181&lt;TIME(18,0,0),"Tarde","Noite")))</f>
        <v>Tarde</v>
      </c>
      <c r="R181" s="45">
        <f>IF(AND(H181="Realizado",L181&lt;&gt;""),L181/60,0)</f>
        <v>0.5</v>
      </c>
    </row>
    <row r="182">
      <c r="A182" s="42" t="n">
        <v>46223</v>
      </c>
      <c r="B182" s="43" t="n">
        <v>0.6041666666666666</v>
      </c>
      <c r="C182" s="37" t="inlineStr">
        <is>
          <t>Dr. Paulo Andrade</t>
        </is>
      </c>
      <c r="D182" s="37" t="inlineStr">
        <is>
          <t>Sala 2</t>
        </is>
      </c>
      <c r="E182" s="36" t="inlineStr">
        <is>
          <t>Leandro Cardoso</t>
        </is>
      </c>
      <c r="F182" s="37" t="inlineStr">
        <is>
          <t>MediPlan</t>
        </is>
      </c>
      <c r="G182" s="37" t="inlineStr">
        <is>
          <t>Retorno</t>
        </is>
      </c>
      <c r="H182" s="37" t="inlineStr">
        <is>
          <t>Realizado</t>
        </is>
      </c>
      <c r="I182" s="37" t="inlineStr">
        <is>
          <t>Sem cobrança</t>
        </is>
      </c>
      <c r="J182" s="37" t="n"/>
      <c r="K182" s="36" t="n"/>
      <c r="L182" s="44">
        <f>IF(G182="","",IFERROR(INDEX(Config!$K$5:$K$16,MATCH(G182,Config!$J$5:$J$16,0)),""))</f>
        <v>20</v>
      </c>
      <c r="M182" s="30">
        <f>IF(OR(G182="",F182=""),"",IFERROR(INDEX(Config!$M$5:$R$16,MATCH(G182,Config!$J$5:$J$16,0),MATCH(F182,Config!$H$5:$H$10,0)),""))</f>
        <v>0</v>
      </c>
      <c r="N182" s="29">
        <f>IF(A182="","",MONTH(A182))</f>
        <v>7</v>
      </c>
      <c r="O182" s="29">
        <f>IF(A182="","",YEAR(A182))</f>
        <v>2026</v>
      </c>
      <c r="P182" s="29" t="str">
        <f>IF(A182="","",CHOOSE(WEEKDAY(A182,2),"Segunda","Terça","Quarta","Quinta","Sexta","Sábado","Domingo"))</f>
        <v>Segunda</v>
      </c>
      <c r="Q182" s="29" t="str">
        <f>IF(B182="","",IF(B182&lt;TIME(12,0,0),"Manhã",IF(B182&lt;TIME(18,0,0),"Tarde","Noite")))</f>
        <v>Tarde</v>
      </c>
      <c r="R182" s="45">
        <f>IF(AND(H182="Realizado",L182&lt;&gt;""),L182/60,0)</f>
        <v>0.333333333333333</v>
      </c>
    </row>
    <row r="183">
      <c r="A183" s="42" t="n">
        <v>46223</v>
      </c>
      <c r="B183" s="43" t="n">
        <v>0.6180555555555556</v>
      </c>
      <c r="C183" s="37" t="inlineStr">
        <is>
          <t>Dr. Paulo Andrade</t>
        </is>
      </c>
      <c r="D183" s="37" t="inlineStr">
        <is>
          <t>Sala 2</t>
        </is>
      </c>
      <c r="E183" s="36" t="inlineStr">
        <is>
          <t>Rafael Araújo</t>
        </is>
      </c>
      <c r="F183" s="37" t="inlineStr">
        <is>
          <t>MediPlan</t>
        </is>
      </c>
      <c r="G183" s="37" t="inlineStr">
        <is>
          <t>Retorno</t>
        </is>
      </c>
      <c r="H183" s="37" t="inlineStr">
        <is>
          <t>Realizado</t>
        </is>
      </c>
      <c r="I183" s="37" t="inlineStr">
        <is>
          <t>Sem cobrança</t>
        </is>
      </c>
      <c r="J183" s="37" t="n"/>
      <c r="K183" s="36" t="n"/>
      <c r="L183" s="44">
        <f>IF(G183="","",IFERROR(INDEX(Config!$K$5:$K$16,MATCH(G183,Config!$J$5:$J$16,0)),""))</f>
        <v>20</v>
      </c>
      <c r="M183" s="30">
        <f>IF(OR(G183="",F183=""),"",IFERROR(INDEX(Config!$M$5:$R$16,MATCH(G183,Config!$J$5:$J$16,0),MATCH(F183,Config!$H$5:$H$10,0)),""))</f>
        <v>0</v>
      </c>
      <c r="N183" s="29">
        <f>IF(A183="","",MONTH(A183))</f>
        <v>7</v>
      </c>
      <c r="O183" s="29">
        <f>IF(A183="","",YEAR(A183))</f>
        <v>2026</v>
      </c>
      <c r="P183" s="29" t="str">
        <f>IF(A183="","",CHOOSE(WEEKDAY(A183,2),"Segunda","Terça","Quarta","Quinta","Sexta","Sábado","Domingo"))</f>
        <v>Segunda</v>
      </c>
      <c r="Q183" s="29" t="str">
        <f>IF(B183="","",IF(B183&lt;TIME(12,0,0),"Manhã",IF(B183&lt;TIME(18,0,0),"Tarde","Noite")))</f>
        <v>Tarde</v>
      </c>
      <c r="R183" s="45">
        <f>IF(AND(H183="Realizado",L183&lt;&gt;""),L183/60,0)</f>
        <v>0.333333333333333</v>
      </c>
    </row>
    <row r="184">
      <c r="A184" s="42" t="n">
        <v>46223</v>
      </c>
      <c r="B184" s="43" t="n">
        <v>0.6527777777777778</v>
      </c>
      <c r="C184" s="37" t="inlineStr">
        <is>
          <t>Dr. Paulo Andrade</t>
        </is>
      </c>
      <c r="D184" s="37" t="inlineStr">
        <is>
          <t>Sala 2</t>
        </is>
      </c>
      <c r="E184" s="36" t="inlineStr">
        <is>
          <t>Gisele Lima</t>
        </is>
      </c>
      <c r="F184" s="37" t="inlineStr">
        <is>
          <t>Saúde Total</t>
        </is>
      </c>
      <c r="G184" s="37" t="inlineStr">
        <is>
          <t>Retorno</t>
        </is>
      </c>
      <c r="H184" s="37" t="inlineStr">
        <is>
          <t>Realizado</t>
        </is>
      </c>
      <c r="I184" s="37" t="inlineStr">
        <is>
          <t>Sem cobrança</t>
        </is>
      </c>
      <c r="J184" s="37" t="n"/>
      <c r="K184" s="36" t="n"/>
      <c r="L184" s="44">
        <f>IF(G184="","",IFERROR(INDEX(Config!$K$5:$K$16,MATCH(G184,Config!$J$5:$J$16,0)),""))</f>
        <v>20</v>
      </c>
      <c r="M184" s="30">
        <f>IF(OR(G184="",F184=""),"",IFERROR(INDEX(Config!$M$5:$R$16,MATCH(G184,Config!$J$5:$J$16,0),MATCH(F184,Config!$H$5:$H$10,0)),""))</f>
        <v>0</v>
      </c>
      <c r="N184" s="29">
        <f>IF(A184="","",MONTH(A184))</f>
        <v>7</v>
      </c>
      <c r="O184" s="29">
        <f>IF(A184="","",YEAR(A184))</f>
        <v>2026</v>
      </c>
      <c r="P184" s="29" t="str">
        <f>IF(A184="","",CHOOSE(WEEKDAY(A184,2),"Segunda","Terça","Quarta","Quinta","Sexta","Sábado","Domingo"))</f>
        <v>Segunda</v>
      </c>
      <c r="Q184" s="29" t="str">
        <f>IF(B184="","",IF(B184&lt;TIME(12,0,0),"Manhã",IF(B184&lt;TIME(18,0,0),"Tarde","Noite")))</f>
        <v>Tarde</v>
      </c>
      <c r="R184" s="45">
        <f>IF(AND(H184="Realizado",L184&lt;&gt;""),L184/60,0)</f>
        <v>0.333333333333333</v>
      </c>
    </row>
    <row r="185">
      <c r="A185" s="42" t="n">
        <v>46223</v>
      </c>
      <c r="B185" s="43" t="n">
        <v>0.6666666666666666</v>
      </c>
      <c r="C185" s="37" t="inlineStr">
        <is>
          <t>Dr. Paulo Andrade</t>
        </is>
      </c>
      <c r="D185" s="37" t="inlineStr">
        <is>
          <t>Sala 2</t>
        </is>
      </c>
      <c r="E185" s="36" t="inlineStr">
        <is>
          <t>Débora Ramos</t>
        </is>
      </c>
      <c r="F185" s="37" t="inlineStr">
        <is>
          <t>Particular</t>
        </is>
      </c>
      <c r="G185" s="37" t="inlineStr">
        <is>
          <t>Teste ergométrico</t>
        </is>
      </c>
      <c r="H185" s="37" t="inlineStr">
        <is>
          <t>Realizado</t>
        </is>
      </c>
      <c r="I185" s="37" t="inlineStr">
        <is>
          <t>Pix</t>
        </is>
      </c>
      <c r="J185" s="37" t="n"/>
      <c r="K185" s="36" t="n"/>
      <c r="L185" s="44">
        <f>IF(G185="","",IFERROR(INDEX(Config!$K$5:$K$16,MATCH(G185,Config!$J$5:$J$16,0)),""))</f>
        <v>40</v>
      </c>
      <c r="M185" s="30">
        <f>IF(OR(G185="",F185=""),"",IFERROR(INDEX(Config!$M$5:$R$16,MATCH(G185,Config!$J$5:$J$16,0),MATCH(F185,Config!$H$5:$H$10,0)),""))</f>
        <v>450</v>
      </c>
      <c r="N185" s="29">
        <f>IF(A185="","",MONTH(A185))</f>
        <v>7</v>
      </c>
      <c r="O185" s="29">
        <f>IF(A185="","",YEAR(A185))</f>
        <v>2026</v>
      </c>
      <c r="P185" s="29" t="str">
        <f>IF(A185="","",CHOOSE(WEEKDAY(A185,2),"Segunda","Terça","Quarta","Quinta","Sexta","Sábado","Domingo"))</f>
        <v>Segunda</v>
      </c>
      <c r="Q185" s="29" t="str">
        <f>IF(B185="","",IF(B185&lt;TIME(12,0,0),"Manhã",IF(B185&lt;TIME(18,0,0),"Tarde","Noite")))</f>
        <v>Tarde</v>
      </c>
      <c r="R185" s="45">
        <f>IF(AND(H185="Realizado",L185&lt;&gt;""),L185/60,0)</f>
        <v>0.666666666666667</v>
      </c>
    </row>
    <row r="186">
      <c r="A186" s="42" t="n">
        <v>46223</v>
      </c>
      <c r="B186" s="43" t="n">
        <v>0.6944444444444444</v>
      </c>
      <c r="C186" s="37" t="inlineStr">
        <is>
          <t>Dr. Paulo Andrade</t>
        </is>
      </c>
      <c r="D186" s="37" t="inlineStr">
        <is>
          <t>Sala 2</t>
        </is>
      </c>
      <c r="E186" s="36" t="inlineStr">
        <is>
          <t>Fábio Martins</t>
        </is>
      </c>
      <c r="F186" s="37" t="inlineStr">
        <is>
          <t>MediPlan</t>
        </is>
      </c>
      <c r="G186" s="37" t="inlineStr">
        <is>
          <t>Retorno</t>
        </is>
      </c>
      <c r="H186" s="37" t="inlineStr">
        <is>
          <t>Realizado</t>
        </is>
      </c>
      <c r="I186" s="37" t="inlineStr">
        <is>
          <t>Sem cobrança</t>
        </is>
      </c>
      <c r="J186" s="37" t="n"/>
      <c r="K186" s="36" t="n"/>
      <c r="L186" s="44">
        <f>IF(G186="","",IFERROR(INDEX(Config!$K$5:$K$16,MATCH(G186,Config!$J$5:$J$16,0)),""))</f>
        <v>20</v>
      </c>
      <c r="M186" s="30">
        <f>IF(OR(G186="",F186=""),"",IFERROR(INDEX(Config!$M$5:$R$16,MATCH(G186,Config!$J$5:$J$16,0),MATCH(F186,Config!$H$5:$H$10,0)),""))</f>
        <v>0</v>
      </c>
      <c r="N186" s="29">
        <f>IF(A186="","",MONTH(A186))</f>
        <v>7</v>
      </c>
      <c r="O186" s="29">
        <f>IF(A186="","",YEAR(A186))</f>
        <v>2026</v>
      </c>
      <c r="P186" s="29" t="str">
        <f>IF(A186="","",CHOOSE(WEEKDAY(A186,2),"Segunda","Terça","Quarta","Quinta","Sexta","Sábado","Domingo"))</f>
        <v>Segunda</v>
      </c>
      <c r="Q186" s="29" t="str">
        <f>IF(B186="","",IF(B186&lt;TIME(12,0,0),"Manhã",IF(B186&lt;TIME(18,0,0),"Tarde","Noite")))</f>
        <v>Tarde</v>
      </c>
      <c r="R186" s="45">
        <f>IF(AND(H186="Realizado",L186&lt;&gt;""),L186/60,0)</f>
        <v>0.333333333333333</v>
      </c>
    </row>
    <row r="187">
      <c r="A187" s="42" t="n">
        <v>46223</v>
      </c>
      <c r="B187" s="43" t="n">
        <v>0.7083333333333334</v>
      </c>
      <c r="C187" s="37" t="inlineStr">
        <is>
          <t>Dr. Paulo Andrade</t>
        </is>
      </c>
      <c r="D187" s="37" t="inlineStr">
        <is>
          <t>Sala 2</t>
        </is>
      </c>
      <c r="E187" s="36" t="inlineStr">
        <is>
          <t>Fábio Correia</t>
        </is>
      </c>
      <c r="F187" s="37" t="inlineStr">
        <is>
          <t>Particular</t>
        </is>
      </c>
      <c r="G187" s="37" t="inlineStr">
        <is>
          <t>Consulta</t>
        </is>
      </c>
      <c r="H187" s="37" t="inlineStr">
        <is>
          <t>Realizado</t>
        </is>
      </c>
      <c r="I187" s="37" t="inlineStr">
        <is>
          <t>Cartão de crédito</t>
        </is>
      </c>
      <c r="J187" s="37" t="n"/>
      <c r="K187" s="36" t="n"/>
      <c r="L187" s="44">
        <f>IF(G187="","",IFERROR(INDEX(Config!$K$5:$K$16,MATCH(G187,Config!$J$5:$J$16,0)),""))</f>
        <v>30</v>
      </c>
      <c r="M187" s="30">
        <f>IF(OR(G187="",F187=""),"",IFERROR(INDEX(Config!$M$5:$R$16,MATCH(G187,Config!$J$5:$J$16,0),MATCH(F187,Config!$H$5:$H$10,0)),""))</f>
        <v>380</v>
      </c>
      <c r="N187" s="29">
        <f>IF(A187="","",MONTH(A187))</f>
        <v>7</v>
      </c>
      <c r="O187" s="29">
        <f>IF(A187="","",YEAR(A187))</f>
        <v>2026</v>
      </c>
      <c r="P187" s="29" t="str">
        <f>IF(A187="","",CHOOSE(WEEKDAY(A187,2),"Segunda","Terça","Quarta","Quinta","Sexta","Sábado","Domingo"))</f>
        <v>Segunda</v>
      </c>
      <c r="Q187" s="29" t="str">
        <f>IF(B187="","",IF(B187&lt;TIME(12,0,0),"Manhã",IF(B187&lt;TIME(18,0,0),"Tarde","Noite")))</f>
        <v>Tarde</v>
      </c>
      <c r="R187" s="45">
        <f>IF(AND(H187="Realizado",L187&lt;&gt;""),L187/60,0)</f>
        <v>0.5</v>
      </c>
    </row>
    <row r="188">
      <c r="A188" s="42" t="n">
        <v>46223</v>
      </c>
      <c r="B188" s="43" t="n">
        <v>0.7291666666666666</v>
      </c>
      <c r="C188" s="37" t="inlineStr">
        <is>
          <t>Dr. Paulo Andrade</t>
        </is>
      </c>
      <c r="D188" s="37" t="inlineStr">
        <is>
          <t>Sala 2</t>
        </is>
      </c>
      <c r="E188" s="36" t="inlineStr">
        <is>
          <t>Natália Xavier</t>
        </is>
      </c>
      <c r="F188" s="37" t="inlineStr">
        <is>
          <t>MediPlan</t>
        </is>
      </c>
      <c r="G188" s="37" t="inlineStr">
        <is>
          <t>Consulta</t>
        </is>
      </c>
      <c r="H188" s="37" t="inlineStr">
        <is>
          <t>Realizado</t>
        </is>
      </c>
      <c r="I188" s="37" t="inlineStr">
        <is>
          <t>Convênio</t>
        </is>
      </c>
      <c r="J188" s="37" t="n"/>
      <c r="K188" s="36" t="n"/>
      <c r="L188" s="44">
        <f>IF(G188="","",IFERROR(INDEX(Config!$K$5:$K$16,MATCH(G188,Config!$J$5:$J$16,0)),""))</f>
        <v>30</v>
      </c>
      <c r="M188" s="30">
        <f>IF(OR(G188="",F188=""),"",IFERROR(INDEX(Config!$M$5:$R$16,MATCH(G188,Config!$J$5:$J$16,0),MATCH(F188,Config!$H$5:$H$10,0)),""))</f>
        <v>100</v>
      </c>
      <c r="N188" s="29">
        <f>IF(A188="","",MONTH(A188))</f>
        <v>7</v>
      </c>
      <c r="O188" s="29">
        <f>IF(A188="","",YEAR(A188))</f>
        <v>2026</v>
      </c>
      <c r="P188" s="29" t="str">
        <f>IF(A188="","",CHOOSE(WEEKDAY(A188,2),"Segunda","Terça","Quarta","Quinta","Sexta","Sábado","Domingo"))</f>
        <v>Segunda</v>
      </c>
      <c r="Q188" s="29" t="str">
        <f>IF(B188="","",IF(B188&lt;TIME(12,0,0),"Manhã",IF(B188&lt;TIME(18,0,0),"Tarde","Noite")))</f>
        <v>Tarde</v>
      </c>
      <c r="R188" s="45">
        <f>IF(AND(H188="Realizado",L188&lt;&gt;""),L188/60,0)</f>
        <v>0.5</v>
      </c>
    </row>
    <row r="189">
      <c r="A189" s="42" t="n">
        <v>46224</v>
      </c>
      <c r="B189" s="43" t="n">
        <v>0.3333333333333333</v>
      </c>
      <c r="C189" s="37" t="inlineStr">
        <is>
          <t>Dra. Carolina Mendes</t>
        </is>
      </c>
      <c r="D189" s="37" t="inlineStr">
        <is>
          <t>Sala 1</t>
        </is>
      </c>
      <c r="E189" s="36" t="inlineStr">
        <is>
          <t>Daniel Melo</t>
        </is>
      </c>
      <c r="F189" s="37" t="inlineStr">
        <is>
          <t>Saúde Total</t>
        </is>
      </c>
      <c r="G189" s="37" t="inlineStr">
        <is>
          <t>Retorno</t>
        </is>
      </c>
      <c r="H189" s="37" t="inlineStr">
        <is>
          <t>Realizado</t>
        </is>
      </c>
      <c r="I189" s="37" t="inlineStr">
        <is>
          <t>Sem cobrança</t>
        </is>
      </c>
      <c r="J189" s="37" t="n"/>
      <c r="K189" s="36" t="n"/>
      <c r="L189" s="44">
        <f>IF(G189="","",IFERROR(INDEX(Config!$K$5:$K$16,MATCH(G189,Config!$J$5:$J$16,0)),""))</f>
        <v>20</v>
      </c>
      <c r="M189" s="30">
        <f>IF(OR(G189="",F189=""),"",IFERROR(INDEX(Config!$M$5:$R$16,MATCH(G189,Config!$J$5:$J$16,0),MATCH(F189,Config!$H$5:$H$10,0)),""))</f>
        <v>0</v>
      </c>
      <c r="N189" s="29">
        <f>IF(A189="","",MONTH(A189))</f>
        <v>7</v>
      </c>
      <c r="O189" s="29">
        <f>IF(A189="","",YEAR(A189))</f>
        <v>2026</v>
      </c>
      <c r="P189" s="29" t="str">
        <f>IF(A189="","",CHOOSE(WEEKDAY(A189,2),"Segunda","Terça","Quarta","Quinta","Sexta","Sábado","Domingo"))</f>
        <v>Terça</v>
      </c>
      <c r="Q189" s="29" t="str">
        <f>IF(B189="","",IF(B189&lt;TIME(12,0,0),"Manhã",IF(B189&lt;TIME(18,0,0),"Tarde","Noite")))</f>
        <v>Manhã</v>
      </c>
      <c r="R189" s="45">
        <f>IF(AND(H189="Realizado",L189&lt;&gt;""),L189/60,0)</f>
        <v>0.333333333333333</v>
      </c>
    </row>
    <row r="190">
      <c r="A190" s="42" t="n">
        <v>46224</v>
      </c>
      <c r="B190" s="43" t="n">
        <v>0.3472222222222222</v>
      </c>
      <c r="C190" s="37" t="inlineStr">
        <is>
          <t>Dra. Carolina Mendes</t>
        </is>
      </c>
      <c r="D190" s="37" t="inlineStr">
        <is>
          <t>Sala 1</t>
        </is>
      </c>
      <c r="E190" s="36" t="inlineStr">
        <is>
          <t>Regina Teixeira</t>
        </is>
      </c>
      <c r="F190" s="37" t="inlineStr">
        <is>
          <t>Particular</t>
        </is>
      </c>
      <c r="G190" s="37" t="inlineStr">
        <is>
          <t>Consulta</t>
        </is>
      </c>
      <c r="H190" s="37" t="inlineStr">
        <is>
          <t>Realizado</t>
        </is>
      </c>
      <c r="I190" s="37" t="inlineStr">
        <is>
          <t>Cartão de crédito</t>
        </is>
      </c>
      <c r="J190" s="37" t="n">
        <v>2</v>
      </c>
      <c r="K190" s="36" t="n"/>
      <c r="L190" s="44">
        <f>IF(G190="","",IFERROR(INDEX(Config!$K$5:$K$16,MATCH(G190,Config!$J$5:$J$16,0)),""))</f>
        <v>30</v>
      </c>
      <c r="M190" s="30">
        <f>IF(OR(G190="",F190=""),"",IFERROR(INDEX(Config!$M$5:$R$16,MATCH(G190,Config!$J$5:$J$16,0),MATCH(F190,Config!$H$5:$H$10,0)),""))</f>
        <v>380</v>
      </c>
      <c r="N190" s="29">
        <f>IF(A190="","",MONTH(A190))</f>
        <v>7</v>
      </c>
      <c r="O190" s="29">
        <f>IF(A190="","",YEAR(A190))</f>
        <v>2026</v>
      </c>
      <c r="P190" s="29" t="str">
        <f>IF(A190="","",CHOOSE(WEEKDAY(A190,2),"Segunda","Terça","Quarta","Quinta","Sexta","Sábado","Domingo"))</f>
        <v>Terça</v>
      </c>
      <c r="Q190" s="29" t="str">
        <f>IF(B190="","",IF(B190&lt;TIME(12,0,0),"Manhã",IF(B190&lt;TIME(18,0,0),"Tarde","Noite")))</f>
        <v>Manhã</v>
      </c>
      <c r="R190" s="45">
        <f>IF(AND(H190="Realizado",L190&lt;&gt;""),L190/60,0)</f>
        <v>0.5</v>
      </c>
    </row>
    <row r="191">
      <c r="A191" s="42" t="n">
        <v>46224</v>
      </c>
      <c r="B191" s="43" t="n">
        <v>0.3680555555555556</v>
      </c>
      <c r="C191" s="37" t="inlineStr">
        <is>
          <t>Dra. Carolina Mendes</t>
        </is>
      </c>
      <c r="D191" s="37" t="inlineStr">
        <is>
          <t>Sala 1</t>
        </is>
      </c>
      <c r="E191" s="36" t="inlineStr">
        <is>
          <t>Helena Moreira</t>
        </is>
      </c>
      <c r="F191" s="37" t="inlineStr">
        <is>
          <t>Particular</t>
        </is>
      </c>
      <c r="G191" s="37" t="inlineStr">
        <is>
          <t>Consulta</t>
        </is>
      </c>
      <c r="H191" s="37" t="inlineStr">
        <is>
          <t>Falta</t>
        </is>
      </c>
      <c r="I191" s="37" t="n"/>
      <c r="J191" s="37" t="n"/>
      <c r="K191" s="36" t="n"/>
      <c r="L191" s="44">
        <f>IF(G191="","",IFERROR(INDEX(Config!$K$5:$K$16,MATCH(G191,Config!$J$5:$J$16,0)),""))</f>
        <v>30</v>
      </c>
      <c r="M191" s="30">
        <f>IF(OR(G191="",F191=""),"",IFERROR(INDEX(Config!$M$5:$R$16,MATCH(G191,Config!$J$5:$J$16,0),MATCH(F191,Config!$H$5:$H$10,0)),""))</f>
        <v>380</v>
      </c>
      <c r="N191" s="29">
        <f>IF(A191="","",MONTH(A191))</f>
        <v>7</v>
      </c>
      <c r="O191" s="29">
        <f>IF(A191="","",YEAR(A191))</f>
        <v>2026</v>
      </c>
      <c r="P191" s="29" t="str">
        <f>IF(A191="","",CHOOSE(WEEKDAY(A191,2),"Segunda","Terça","Quarta","Quinta","Sexta","Sábado","Domingo"))</f>
        <v>Terça</v>
      </c>
      <c r="Q191" s="29" t="str">
        <f>IF(B191="","",IF(B191&lt;TIME(12,0,0),"Manhã",IF(B191&lt;TIME(18,0,0),"Tarde","Noite")))</f>
        <v>Manhã</v>
      </c>
      <c r="R191" s="45">
        <f>IF(AND(H191="Realizado",L191&lt;&gt;""),L191/60,0)</f>
        <v>0</v>
      </c>
    </row>
    <row r="192">
      <c r="A192" s="42" t="n">
        <v>46224</v>
      </c>
      <c r="B192" s="43" t="n">
        <v>0.3888888888888889</v>
      </c>
      <c r="C192" s="37" t="inlineStr">
        <is>
          <t>Dra. Carolina Mendes</t>
        </is>
      </c>
      <c r="D192" s="37" t="inlineStr">
        <is>
          <t>Sala 1</t>
        </is>
      </c>
      <c r="E192" s="36" t="inlineStr">
        <is>
          <t>Lucas Lopes</t>
        </is>
      </c>
      <c r="F192" s="37" t="inlineStr">
        <is>
          <t>Particular</t>
        </is>
      </c>
      <c r="G192" s="37" t="inlineStr">
        <is>
          <t>Consulta</t>
        </is>
      </c>
      <c r="H192" s="37" t="inlineStr">
        <is>
          <t>Realizado</t>
        </is>
      </c>
      <c r="I192" s="37" t="inlineStr">
        <is>
          <t>Pix</t>
        </is>
      </c>
      <c r="J192" s="37" t="n"/>
      <c r="K192" s="36" t="n"/>
      <c r="L192" s="44">
        <f>IF(G192="","",IFERROR(INDEX(Config!$K$5:$K$16,MATCH(G192,Config!$J$5:$J$16,0)),""))</f>
        <v>30</v>
      </c>
      <c r="M192" s="30">
        <f>IF(OR(G192="",F192=""),"",IFERROR(INDEX(Config!$M$5:$R$16,MATCH(G192,Config!$J$5:$J$16,0),MATCH(F192,Config!$H$5:$H$10,0)),""))</f>
        <v>380</v>
      </c>
      <c r="N192" s="29">
        <f>IF(A192="","",MONTH(A192))</f>
        <v>7</v>
      </c>
      <c r="O192" s="29">
        <f>IF(A192="","",YEAR(A192))</f>
        <v>2026</v>
      </c>
      <c r="P192" s="29" t="str">
        <f>IF(A192="","",CHOOSE(WEEKDAY(A192,2),"Segunda","Terça","Quarta","Quinta","Sexta","Sábado","Domingo"))</f>
        <v>Terça</v>
      </c>
      <c r="Q192" s="29" t="str">
        <f>IF(B192="","",IF(B192&lt;TIME(12,0,0),"Manhã",IF(B192&lt;TIME(18,0,0),"Tarde","Noite")))</f>
        <v>Manhã</v>
      </c>
      <c r="R192" s="45">
        <f>IF(AND(H192="Realizado",L192&lt;&gt;""),L192/60,0)</f>
        <v>0.5</v>
      </c>
    </row>
    <row r="193">
      <c r="A193" s="42" t="n">
        <v>46224</v>
      </c>
      <c r="B193" s="43" t="n">
        <v>0.4305555555555556</v>
      </c>
      <c r="C193" s="37" t="inlineStr">
        <is>
          <t>Dra. Carolina Mendes</t>
        </is>
      </c>
      <c r="D193" s="37" t="inlineStr">
        <is>
          <t>Sala 1</t>
        </is>
      </c>
      <c r="E193" s="36" t="inlineStr">
        <is>
          <t>Otávio Nascimento</t>
        </is>
      </c>
      <c r="F193" s="37" t="inlineStr">
        <is>
          <t>Particular</t>
        </is>
      </c>
      <c r="G193" s="37" t="inlineStr">
        <is>
          <t>Consulta</t>
        </is>
      </c>
      <c r="H193" s="37" t="inlineStr">
        <is>
          <t>Falta</t>
        </is>
      </c>
      <c r="I193" s="37" t="n"/>
      <c r="J193" s="37" t="n"/>
      <c r="K193" s="36" t="n"/>
      <c r="L193" s="44">
        <f>IF(G193="","",IFERROR(INDEX(Config!$K$5:$K$16,MATCH(G193,Config!$J$5:$J$16,0)),""))</f>
        <v>30</v>
      </c>
      <c r="M193" s="30">
        <f>IF(OR(G193="",F193=""),"",IFERROR(INDEX(Config!$M$5:$R$16,MATCH(G193,Config!$J$5:$J$16,0),MATCH(F193,Config!$H$5:$H$10,0)),""))</f>
        <v>380</v>
      </c>
      <c r="N193" s="29">
        <f>IF(A193="","",MONTH(A193))</f>
        <v>7</v>
      </c>
      <c r="O193" s="29">
        <f>IF(A193="","",YEAR(A193))</f>
        <v>2026</v>
      </c>
      <c r="P193" s="29" t="str">
        <f>IF(A193="","",CHOOSE(WEEKDAY(A193,2),"Segunda","Terça","Quarta","Quinta","Sexta","Sábado","Domingo"))</f>
        <v>Terça</v>
      </c>
      <c r="Q193" s="29" t="str">
        <f>IF(B193="","",IF(B193&lt;TIME(12,0,0),"Manhã",IF(B193&lt;TIME(18,0,0),"Tarde","Noite")))</f>
        <v>Manhã</v>
      </c>
      <c r="R193" s="45">
        <f>IF(AND(H193="Realizado",L193&lt;&gt;""),L193/60,0)</f>
        <v>0</v>
      </c>
    </row>
    <row r="194">
      <c r="A194" s="42" t="n">
        <v>46224</v>
      </c>
      <c r="B194" s="43" t="n">
        <v>0.4513888888888889</v>
      </c>
      <c r="C194" s="37" t="inlineStr">
        <is>
          <t>Dra. Carolina Mendes</t>
        </is>
      </c>
      <c r="D194" s="37" t="inlineStr">
        <is>
          <t>Sala 1</t>
        </is>
      </c>
      <c r="E194" s="36" t="inlineStr">
        <is>
          <t>Helena Moreira</t>
        </is>
      </c>
      <c r="F194" s="37" t="inlineStr">
        <is>
          <t>Particular</t>
        </is>
      </c>
      <c r="G194" s="37" t="inlineStr">
        <is>
          <t>Consulta</t>
        </is>
      </c>
      <c r="H194" s="37" t="inlineStr">
        <is>
          <t>Cancelado</t>
        </is>
      </c>
      <c r="I194" s="37" t="n"/>
      <c r="J194" s="37" t="n"/>
      <c r="K194" s="36" t="n"/>
      <c r="L194" s="44">
        <f>IF(G194="","",IFERROR(INDEX(Config!$K$5:$K$16,MATCH(G194,Config!$J$5:$J$16,0)),""))</f>
        <v>30</v>
      </c>
      <c r="M194" s="30">
        <f>IF(OR(G194="",F194=""),"",IFERROR(INDEX(Config!$M$5:$R$16,MATCH(G194,Config!$J$5:$J$16,0),MATCH(F194,Config!$H$5:$H$10,0)),""))</f>
        <v>380</v>
      </c>
      <c r="N194" s="29">
        <f>IF(A194="","",MONTH(A194))</f>
        <v>7</v>
      </c>
      <c r="O194" s="29">
        <f>IF(A194="","",YEAR(A194))</f>
        <v>2026</v>
      </c>
      <c r="P194" s="29" t="str">
        <f>IF(A194="","",CHOOSE(WEEKDAY(A194,2),"Segunda","Terça","Quarta","Quinta","Sexta","Sábado","Domingo"))</f>
        <v>Terça</v>
      </c>
      <c r="Q194" s="29" t="str">
        <f>IF(B194="","",IF(B194&lt;TIME(12,0,0),"Manhã",IF(B194&lt;TIME(18,0,0),"Tarde","Noite")))</f>
        <v>Manhã</v>
      </c>
      <c r="R194" s="45">
        <f>IF(AND(H194="Realizado",L194&lt;&gt;""),L194/60,0)</f>
        <v>0</v>
      </c>
    </row>
    <row r="195">
      <c r="A195" s="42" t="n">
        <v>46224</v>
      </c>
      <c r="B195" s="43" t="n">
        <v>0.4722222222222222</v>
      </c>
      <c r="C195" s="37" t="inlineStr">
        <is>
          <t>Dra. Carolina Mendes</t>
        </is>
      </c>
      <c r="D195" s="37" t="inlineStr">
        <is>
          <t>Sala 1</t>
        </is>
      </c>
      <c r="E195" s="36" t="inlineStr">
        <is>
          <t>Otávio Nascimento</t>
        </is>
      </c>
      <c r="F195" s="37" t="inlineStr">
        <is>
          <t>Particular</t>
        </is>
      </c>
      <c r="G195" s="37" t="inlineStr">
        <is>
          <t>Consulta</t>
        </is>
      </c>
      <c r="H195" s="37" t="inlineStr">
        <is>
          <t>Realizado</t>
        </is>
      </c>
      <c r="I195" s="37" t="inlineStr">
        <is>
          <t>Cartão de crédito</t>
        </is>
      </c>
      <c r="J195" s="37" t="n"/>
      <c r="K195" s="36" t="n"/>
      <c r="L195" s="44">
        <f>IF(G195="","",IFERROR(INDEX(Config!$K$5:$K$16,MATCH(G195,Config!$J$5:$J$16,0)),""))</f>
        <v>30</v>
      </c>
      <c r="M195" s="30">
        <f>IF(OR(G195="",F195=""),"",IFERROR(INDEX(Config!$M$5:$R$16,MATCH(G195,Config!$J$5:$J$16,0),MATCH(F195,Config!$H$5:$H$10,0)),""))</f>
        <v>380</v>
      </c>
      <c r="N195" s="29">
        <f>IF(A195="","",MONTH(A195))</f>
        <v>7</v>
      </c>
      <c r="O195" s="29">
        <f>IF(A195="","",YEAR(A195))</f>
        <v>2026</v>
      </c>
      <c r="P195" s="29" t="str">
        <f>IF(A195="","",CHOOSE(WEEKDAY(A195,2),"Segunda","Terça","Quarta","Quinta","Sexta","Sábado","Domingo"))</f>
        <v>Terça</v>
      </c>
      <c r="Q195" s="29" t="str">
        <f>IF(B195="","",IF(B195&lt;TIME(12,0,0),"Manhã",IF(B195&lt;TIME(18,0,0),"Tarde","Noite")))</f>
        <v>Manhã</v>
      </c>
      <c r="R195" s="45">
        <f>IF(AND(H195="Realizado",L195&lt;&gt;""),L195/60,0)</f>
        <v>0.5</v>
      </c>
    </row>
    <row r="196">
      <c r="A196" s="42" t="n">
        <v>46224</v>
      </c>
      <c r="B196" s="43" t="n">
        <v>0.5833333333333334</v>
      </c>
      <c r="C196" s="37" t="inlineStr">
        <is>
          <t>Dra. Renata Sousa</t>
        </is>
      </c>
      <c r="D196" s="37" t="inlineStr">
        <is>
          <t>Sala 1</t>
        </is>
      </c>
      <c r="E196" s="36" t="inlineStr">
        <is>
          <t>Cláudia Vieira</t>
        </is>
      </c>
      <c r="F196" s="37" t="inlineStr">
        <is>
          <t>Saúde Total</t>
        </is>
      </c>
      <c r="G196" s="37" t="inlineStr">
        <is>
          <t>Avaliação endócrina</t>
        </is>
      </c>
      <c r="H196" s="37" t="inlineStr">
        <is>
          <t>Falta</t>
        </is>
      </c>
      <c r="I196" s="37" t="n"/>
      <c r="J196" s="37" t="n"/>
      <c r="K196" s="36" t="n"/>
      <c r="L196" s="44">
        <f>IF(G196="","",IFERROR(INDEX(Config!$K$5:$K$16,MATCH(G196,Config!$J$5:$J$16,0)),""))</f>
        <v>40</v>
      </c>
      <c r="M196" s="30">
        <f>IF(OR(G196="",F196=""),"",IFERROR(INDEX(Config!$M$5:$R$16,MATCH(G196,Config!$J$5:$J$16,0),MATCH(F196,Config!$H$5:$H$10,0)),""))</f>
        <v>130</v>
      </c>
      <c r="N196" s="29">
        <f>IF(A196="","",MONTH(A196))</f>
        <v>7</v>
      </c>
      <c r="O196" s="29">
        <f>IF(A196="","",YEAR(A196))</f>
        <v>2026</v>
      </c>
      <c r="P196" s="29" t="str">
        <f>IF(A196="","",CHOOSE(WEEKDAY(A196,2),"Segunda","Terça","Quarta","Quinta","Sexta","Sábado","Domingo"))</f>
        <v>Terça</v>
      </c>
      <c r="Q196" s="29" t="str">
        <f>IF(B196="","",IF(B196&lt;TIME(12,0,0),"Manhã",IF(B196&lt;TIME(18,0,0),"Tarde","Noite")))</f>
        <v>Tarde</v>
      </c>
      <c r="R196" s="45">
        <f>IF(AND(H196="Realizado",L196&lt;&gt;""),L196/60,0)</f>
        <v>0</v>
      </c>
    </row>
    <row r="197">
      <c r="A197" s="42" t="n">
        <v>46224</v>
      </c>
      <c r="B197" s="43" t="n">
        <v>0.5833333333333334</v>
      </c>
      <c r="C197" s="37" t="inlineStr">
        <is>
          <t>Dr. Paulo Andrade</t>
        </is>
      </c>
      <c r="D197" s="37" t="inlineStr">
        <is>
          <t>Sala 2</t>
        </is>
      </c>
      <c r="E197" s="36" t="inlineStr">
        <is>
          <t>Sandra Martins</t>
        </is>
      </c>
      <c r="F197" s="37" t="inlineStr">
        <is>
          <t>MediPlan</t>
        </is>
      </c>
      <c r="G197" s="37" t="inlineStr">
        <is>
          <t>Consulta</t>
        </is>
      </c>
      <c r="H197" s="37" t="inlineStr">
        <is>
          <t>Realizado</t>
        </is>
      </c>
      <c r="I197" s="37" t="inlineStr">
        <is>
          <t>Convênio</t>
        </is>
      </c>
      <c r="J197" s="37" t="n"/>
      <c r="K197" s="36" t="n"/>
      <c r="L197" s="44">
        <f>IF(G197="","",IFERROR(INDEX(Config!$K$5:$K$16,MATCH(G197,Config!$J$5:$J$16,0)),""))</f>
        <v>30</v>
      </c>
      <c r="M197" s="30">
        <f>IF(OR(G197="",F197=""),"",IFERROR(INDEX(Config!$M$5:$R$16,MATCH(G197,Config!$J$5:$J$16,0),MATCH(F197,Config!$H$5:$H$10,0)),""))</f>
        <v>100</v>
      </c>
      <c r="N197" s="29">
        <f>IF(A197="","",MONTH(A197))</f>
        <v>7</v>
      </c>
      <c r="O197" s="29">
        <f>IF(A197="","",YEAR(A197))</f>
        <v>2026</v>
      </c>
      <c r="P197" s="29" t="str">
        <f>IF(A197="","",CHOOSE(WEEKDAY(A197,2),"Segunda","Terça","Quarta","Quinta","Sexta","Sábado","Domingo"))</f>
        <v>Terça</v>
      </c>
      <c r="Q197" s="29" t="str">
        <f>IF(B197="","",IF(B197&lt;TIME(12,0,0),"Manhã",IF(B197&lt;TIME(18,0,0),"Tarde","Noite")))</f>
        <v>Tarde</v>
      </c>
      <c r="R197" s="45">
        <f>IF(AND(H197="Realizado",L197&lt;&gt;""),L197/60,0)</f>
        <v>0.5</v>
      </c>
    </row>
    <row r="198">
      <c r="A198" s="42" t="n">
        <v>46224</v>
      </c>
      <c r="B198" s="43" t="n">
        <v>0.6041666666666666</v>
      </c>
      <c r="C198" s="37" t="inlineStr">
        <is>
          <t>Dr. Paulo Andrade</t>
        </is>
      </c>
      <c r="D198" s="37" t="inlineStr">
        <is>
          <t>Sala 2</t>
        </is>
      </c>
      <c r="E198" s="36" t="inlineStr">
        <is>
          <t>Paulo Ribeiro</t>
        </is>
      </c>
      <c r="F198" s="37" t="inlineStr">
        <is>
          <t>Saúde Total</t>
        </is>
      </c>
      <c r="G198" s="37" t="inlineStr">
        <is>
          <t>Consulta</t>
        </is>
      </c>
      <c r="H198" s="37" t="inlineStr">
        <is>
          <t>Realizado</t>
        </is>
      </c>
      <c r="I198" s="37" t="inlineStr">
        <is>
          <t>Convênio</t>
        </is>
      </c>
      <c r="J198" s="37" t="n"/>
      <c r="K198" s="36" t="n"/>
      <c r="L198" s="44">
        <f>IF(G198="","",IFERROR(INDEX(Config!$K$5:$K$16,MATCH(G198,Config!$J$5:$J$16,0)),""))</f>
        <v>30</v>
      </c>
      <c r="M198" s="30">
        <f>IF(OR(G198="",F198=""),"",IFERROR(INDEX(Config!$M$5:$R$16,MATCH(G198,Config!$J$5:$J$16,0),MATCH(F198,Config!$H$5:$H$10,0)),""))</f>
        <v>120</v>
      </c>
      <c r="N198" s="29">
        <f>IF(A198="","",MONTH(A198))</f>
        <v>7</v>
      </c>
      <c r="O198" s="29">
        <f>IF(A198="","",YEAR(A198))</f>
        <v>2026</v>
      </c>
      <c r="P198" s="29" t="str">
        <f>IF(A198="","",CHOOSE(WEEKDAY(A198,2),"Segunda","Terça","Quarta","Quinta","Sexta","Sábado","Domingo"))</f>
        <v>Terça</v>
      </c>
      <c r="Q198" s="29" t="str">
        <f>IF(B198="","",IF(B198&lt;TIME(12,0,0),"Manhã",IF(B198&lt;TIME(18,0,0),"Tarde","Noite")))</f>
        <v>Tarde</v>
      </c>
      <c r="R198" s="45">
        <f>IF(AND(H198="Realizado",L198&lt;&gt;""),L198/60,0)</f>
        <v>0.5</v>
      </c>
    </row>
    <row r="199">
      <c r="A199" s="42" t="n">
        <v>46224</v>
      </c>
      <c r="B199" s="43" t="n">
        <v>0.6111111111111112</v>
      </c>
      <c r="C199" s="37" t="inlineStr">
        <is>
          <t>Dra. Renata Sousa</t>
        </is>
      </c>
      <c r="D199" s="37" t="inlineStr">
        <is>
          <t>Sala 1</t>
        </is>
      </c>
      <c r="E199" s="36" t="inlineStr">
        <is>
          <t>Beatriz Reis</t>
        </is>
      </c>
      <c r="F199" s="37" t="inlineStr">
        <is>
          <t>Particular</t>
        </is>
      </c>
      <c r="G199" s="37" t="inlineStr">
        <is>
          <t>Retorno</t>
        </is>
      </c>
      <c r="H199" s="37" t="inlineStr">
        <is>
          <t>Realizado</t>
        </is>
      </c>
      <c r="I199" s="37" t="inlineStr">
        <is>
          <t>Sem cobrança</t>
        </is>
      </c>
      <c r="J199" s="37" t="n"/>
      <c r="K199" s="36" t="n"/>
      <c r="L199" s="44">
        <f>IF(G199="","",IFERROR(INDEX(Config!$K$5:$K$16,MATCH(G199,Config!$J$5:$J$16,0)),""))</f>
        <v>20</v>
      </c>
      <c r="M199" s="30">
        <f>IF(OR(G199="",F199=""),"",IFERROR(INDEX(Config!$M$5:$R$16,MATCH(G199,Config!$J$5:$J$16,0),MATCH(F199,Config!$H$5:$H$10,0)),""))</f>
        <v>0</v>
      </c>
      <c r="N199" s="29">
        <f>IF(A199="","",MONTH(A199))</f>
        <v>7</v>
      </c>
      <c r="O199" s="29">
        <f>IF(A199="","",YEAR(A199))</f>
        <v>2026</v>
      </c>
      <c r="P199" s="29" t="str">
        <f>IF(A199="","",CHOOSE(WEEKDAY(A199,2),"Segunda","Terça","Quarta","Quinta","Sexta","Sábado","Domingo"))</f>
        <v>Terça</v>
      </c>
      <c r="Q199" s="29" t="str">
        <f>IF(B199="","",IF(B199&lt;TIME(12,0,0),"Manhã",IF(B199&lt;TIME(18,0,0),"Tarde","Noite")))</f>
        <v>Tarde</v>
      </c>
      <c r="R199" s="45">
        <f>IF(AND(H199="Realizado",L199&lt;&gt;""),L199/60,0)</f>
        <v>0.333333333333333</v>
      </c>
    </row>
    <row r="200">
      <c r="A200" s="42" t="n">
        <v>46224</v>
      </c>
      <c r="B200" s="43" t="n">
        <v>0.625</v>
      </c>
      <c r="C200" s="37" t="inlineStr">
        <is>
          <t>Dra. Renata Sousa</t>
        </is>
      </c>
      <c r="D200" s="37" t="inlineStr">
        <is>
          <t>Sala 1</t>
        </is>
      </c>
      <c r="E200" s="36" t="inlineStr">
        <is>
          <t>Cláudia Vieira</t>
        </is>
      </c>
      <c r="F200" s="37" t="inlineStr">
        <is>
          <t>Saúde Total</t>
        </is>
      </c>
      <c r="G200" s="37" t="inlineStr">
        <is>
          <t>Avaliação endócrina</t>
        </is>
      </c>
      <c r="H200" s="37" t="inlineStr">
        <is>
          <t>Realizado</t>
        </is>
      </c>
      <c r="I200" s="37" t="inlineStr">
        <is>
          <t>Convênio</t>
        </is>
      </c>
      <c r="J200" s="37" t="n"/>
      <c r="K200" s="36" t="n"/>
      <c r="L200" s="44">
        <f>IF(G200="","",IFERROR(INDEX(Config!$K$5:$K$16,MATCH(G200,Config!$J$5:$J$16,0)),""))</f>
        <v>40</v>
      </c>
      <c r="M200" s="30">
        <f>IF(OR(G200="",F200=""),"",IFERROR(INDEX(Config!$M$5:$R$16,MATCH(G200,Config!$J$5:$J$16,0),MATCH(F200,Config!$H$5:$H$10,0)),""))</f>
        <v>130</v>
      </c>
      <c r="N200" s="29">
        <f>IF(A200="","",MONTH(A200))</f>
        <v>7</v>
      </c>
      <c r="O200" s="29">
        <f>IF(A200="","",YEAR(A200))</f>
        <v>2026</v>
      </c>
      <c r="P200" s="29" t="str">
        <f>IF(A200="","",CHOOSE(WEEKDAY(A200,2),"Segunda","Terça","Quarta","Quinta","Sexta","Sábado","Domingo"))</f>
        <v>Terça</v>
      </c>
      <c r="Q200" s="29" t="str">
        <f>IF(B200="","",IF(B200&lt;TIME(12,0,0),"Manhã",IF(B200&lt;TIME(18,0,0),"Tarde","Noite")))</f>
        <v>Tarde</v>
      </c>
      <c r="R200" s="45">
        <f>IF(AND(H200="Realizado",L200&lt;&gt;""),L200/60,0)</f>
        <v>0.666666666666667</v>
      </c>
    </row>
    <row r="201">
      <c r="A201" s="42" t="n">
        <v>46224</v>
      </c>
      <c r="B201" s="43" t="n">
        <v>0.6527777777777778</v>
      </c>
      <c r="C201" s="37" t="inlineStr">
        <is>
          <t>Dra. Renata Sousa</t>
        </is>
      </c>
      <c r="D201" s="37" t="inlineStr">
        <is>
          <t>Sala 1</t>
        </is>
      </c>
      <c r="E201" s="36" t="inlineStr">
        <is>
          <t>Carlos Freitas</t>
        </is>
      </c>
      <c r="F201" s="37" t="inlineStr">
        <is>
          <t>Particular</t>
        </is>
      </c>
      <c r="G201" s="37" t="inlineStr">
        <is>
          <t>Avaliação endócrina</t>
        </is>
      </c>
      <c r="H201" s="37" t="inlineStr">
        <is>
          <t>Realizado</t>
        </is>
      </c>
      <c r="I201" s="37" t="inlineStr">
        <is>
          <t>Pix</t>
        </is>
      </c>
      <c r="J201" s="37" t="n"/>
      <c r="K201" s="36" t="n"/>
      <c r="L201" s="44">
        <f>IF(G201="","",IFERROR(INDEX(Config!$K$5:$K$16,MATCH(G201,Config!$J$5:$J$16,0)),""))</f>
        <v>40</v>
      </c>
      <c r="M201" s="30">
        <f>IF(OR(G201="",F201=""),"",IFERROR(INDEX(Config!$M$5:$R$16,MATCH(G201,Config!$J$5:$J$16,0),MATCH(F201,Config!$H$5:$H$10,0)),""))</f>
        <v>400</v>
      </c>
      <c r="N201" s="29">
        <f>IF(A201="","",MONTH(A201))</f>
        <v>7</v>
      </c>
      <c r="O201" s="29">
        <f>IF(A201="","",YEAR(A201))</f>
        <v>2026</v>
      </c>
      <c r="P201" s="29" t="str">
        <f>IF(A201="","",CHOOSE(WEEKDAY(A201,2),"Segunda","Terça","Quarta","Quinta","Sexta","Sábado","Domingo"))</f>
        <v>Terça</v>
      </c>
      <c r="Q201" s="29" t="str">
        <f>IF(B201="","",IF(B201&lt;TIME(12,0,0),"Manhã",IF(B201&lt;TIME(18,0,0),"Tarde","Noite")))</f>
        <v>Tarde</v>
      </c>
      <c r="R201" s="45">
        <f>IF(AND(H201="Realizado",L201&lt;&gt;""),L201/60,0)</f>
        <v>0.666666666666667</v>
      </c>
    </row>
    <row r="202">
      <c r="A202" s="42" t="n">
        <v>46224</v>
      </c>
      <c r="B202" s="43" t="n">
        <v>0.6666666666666666</v>
      </c>
      <c r="C202" s="37" t="inlineStr">
        <is>
          <t>Dr. Paulo Andrade</t>
        </is>
      </c>
      <c r="D202" s="37" t="inlineStr">
        <is>
          <t>Sala 2</t>
        </is>
      </c>
      <c r="E202" s="36" t="inlineStr">
        <is>
          <t>Vanessa Moreira</t>
        </is>
      </c>
      <c r="F202" s="37" t="inlineStr">
        <is>
          <t>Saúde Total</t>
        </is>
      </c>
      <c r="G202" s="37" t="inlineStr">
        <is>
          <t>Consulta</t>
        </is>
      </c>
      <c r="H202" s="37" t="inlineStr">
        <is>
          <t>Realizado</t>
        </is>
      </c>
      <c r="I202" s="37" t="inlineStr">
        <is>
          <t>Convênio</t>
        </is>
      </c>
      <c r="J202" s="37" t="n"/>
      <c r="K202" s="36" t="n"/>
      <c r="L202" s="44">
        <f>IF(G202="","",IFERROR(INDEX(Config!$K$5:$K$16,MATCH(G202,Config!$J$5:$J$16,0)),""))</f>
        <v>30</v>
      </c>
      <c r="M202" s="30">
        <f>IF(OR(G202="",F202=""),"",IFERROR(INDEX(Config!$M$5:$R$16,MATCH(G202,Config!$J$5:$J$16,0),MATCH(F202,Config!$H$5:$H$10,0)),""))</f>
        <v>120</v>
      </c>
      <c r="N202" s="29">
        <f>IF(A202="","",MONTH(A202))</f>
        <v>7</v>
      </c>
      <c r="O202" s="29">
        <f>IF(A202="","",YEAR(A202))</f>
        <v>2026</v>
      </c>
      <c r="P202" s="29" t="str">
        <f>IF(A202="","",CHOOSE(WEEKDAY(A202,2),"Segunda","Terça","Quarta","Quinta","Sexta","Sábado","Domingo"))</f>
        <v>Terça</v>
      </c>
      <c r="Q202" s="29" t="str">
        <f>IF(B202="","",IF(B202&lt;TIME(12,0,0),"Manhã",IF(B202&lt;TIME(18,0,0),"Tarde","Noite")))</f>
        <v>Tarde</v>
      </c>
      <c r="R202" s="45">
        <f>IF(AND(H202="Realizado",L202&lt;&gt;""),L202/60,0)</f>
        <v>0.5</v>
      </c>
    </row>
    <row r="203">
      <c r="A203" s="42" t="n">
        <v>46224</v>
      </c>
      <c r="B203" s="43" t="n">
        <v>0.6805555555555556</v>
      </c>
      <c r="C203" s="37" t="inlineStr">
        <is>
          <t>Dra. Renata Sousa</t>
        </is>
      </c>
      <c r="D203" s="37" t="inlineStr">
        <is>
          <t>Sala 1</t>
        </is>
      </c>
      <c r="E203" s="36" t="inlineStr">
        <is>
          <t>Gisele Lopes</t>
        </is>
      </c>
      <c r="F203" s="37" t="inlineStr">
        <is>
          <t>Saúde Total</t>
        </is>
      </c>
      <c r="G203" s="37" t="inlineStr">
        <is>
          <t>Retorno</t>
        </is>
      </c>
      <c r="H203" s="37" t="inlineStr">
        <is>
          <t>Realizado</t>
        </is>
      </c>
      <c r="I203" s="37" t="inlineStr">
        <is>
          <t>Sem cobrança</t>
        </is>
      </c>
      <c r="J203" s="37" t="n"/>
      <c r="K203" s="36" t="n"/>
      <c r="L203" s="44">
        <f>IF(G203="","",IFERROR(INDEX(Config!$K$5:$K$16,MATCH(G203,Config!$J$5:$J$16,0)),""))</f>
        <v>20</v>
      </c>
      <c r="M203" s="30">
        <f>IF(OR(G203="",F203=""),"",IFERROR(INDEX(Config!$M$5:$R$16,MATCH(G203,Config!$J$5:$J$16,0),MATCH(F203,Config!$H$5:$H$10,0)),""))</f>
        <v>0</v>
      </c>
      <c r="N203" s="29">
        <f>IF(A203="","",MONTH(A203))</f>
        <v>7</v>
      </c>
      <c r="O203" s="29">
        <f>IF(A203="","",YEAR(A203))</f>
        <v>2026</v>
      </c>
      <c r="P203" s="29" t="str">
        <f>IF(A203="","",CHOOSE(WEEKDAY(A203,2),"Segunda","Terça","Quarta","Quinta","Sexta","Sábado","Domingo"))</f>
        <v>Terça</v>
      </c>
      <c r="Q203" s="29" t="str">
        <f>IF(B203="","",IF(B203&lt;TIME(12,0,0),"Manhã",IF(B203&lt;TIME(18,0,0),"Tarde","Noite")))</f>
        <v>Tarde</v>
      </c>
      <c r="R203" s="45">
        <f>IF(AND(H203="Realizado",L203&lt;&gt;""),L203/60,0)</f>
        <v>0.333333333333333</v>
      </c>
    </row>
    <row r="204">
      <c r="A204" s="42" t="n">
        <v>46224</v>
      </c>
      <c r="B204" s="43" t="n">
        <v>0.6875</v>
      </c>
      <c r="C204" s="37" t="inlineStr">
        <is>
          <t>Dr. Paulo Andrade</t>
        </is>
      </c>
      <c r="D204" s="37" t="inlineStr">
        <is>
          <t>Sala 2</t>
        </is>
      </c>
      <c r="E204" s="36" t="inlineStr">
        <is>
          <t>Sandra Cardoso</t>
        </is>
      </c>
      <c r="F204" s="37" t="inlineStr">
        <is>
          <t>Saúde Total</t>
        </is>
      </c>
      <c r="G204" s="37" t="inlineStr">
        <is>
          <t>Consulta</t>
        </is>
      </c>
      <c r="H204" s="37" t="inlineStr">
        <is>
          <t>Realizado</t>
        </is>
      </c>
      <c r="I204" s="37" t="inlineStr">
        <is>
          <t>Convênio</t>
        </is>
      </c>
      <c r="J204" s="37" t="n"/>
      <c r="K204" s="36" t="n"/>
      <c r="L204" s="44">
        <f>IF(G204="","",IFERROR(INDEX(Config!$K$5:$K$16,MATCH(G204,Config!$J$5:$J$16,0)),""))</f>
        <v>30</v>
      </c>
      <c r="M204" s="30">
        <f>IF(OR(G204="",F204=""),"",IFERROR(INDEX(Config!$M$5:$R$16,MATCH(G204,Config!$J$5:$J$16,0),MATCH(F204,Config!$H$5:$H$10,0)),""))</f>
        <v>120</v>
      </c>
      <c r="N204" s="29">
        <f>IF(A204="","",MONTH(A204))</f>
        <v>7</v>
      </c>
      <c r="O204" s="29">
        <f>IF(A204="","",YEAR(A204))</f>
        <v>2026</v>
      </c>
      <c r="P204" s="29" t="str">
        <f>IF(A204="","",CHOOSE(WEEKDAY(A204,2),"Segunda","Terça","Quarta","Quinta","Sexta","Sábado","Domingo"))</f>
        <v>Terça</v>
      </c>
      <c r="Q204" s="29" t="str">
        <f>IF(B204="","",IF(B204&lt;TIME(12,0,0),"Manhã",IF(B204&lt;TIME(18,0,0),"Tarde","Noite")))</f>
        <v>Tarde</v>
      </c>
      <c r="R204" s="45">
        <f>IF(AND(H204="Realizado",L204&lt;&gt;""),L204/60,0)</f>
        <v>0.5</v>
      </c>
    </row>
    <row r="205">
      <c r="A205" s="42" t="n">
        <v>46224</v>
      </c>
      <c r="B205" s="43" t="n">
        <v>0.6944444444444444</v>
      </c>
      <c r="C205" s="37" t="inlineStr">
        <is>
          <t>Dra. Renata Sousa</t>
        </is>
      </c>
      <c r="D205" s="37" t="inlineStr">
        <is>
          <t>Sala 1</t>
        </is>
      </c>
      <c r="E205" s="36" t="inlineStr">
        <is>
          <t>Isabela Xavier</t>
        </is>
      </c>
      <c r="F205" s="37" t="inlineStr">
        <is>
          <t>Particular</t>
        </is>
      </c>
      <c r="G205" s="37" t="inlineStr">
        <is>
          <t>Avaliação endócrina</t>
        </is>
      </c>
      <c r="H205" s="37" t="inlineStr">
        <is>
          <t>Realizado</t>
        </is>
      </c>
      <c r="I205" s="37" t="inlineStr">
        <is>
          <t>Cartão de crédito</t>
        </is>
      </c>
      <c r="J205" s="37" t="n"/>
      <c r="K205" s="36" t="n"/>
      <c r="L205" s="44">
        <f>IF(G205="","",IFERROR(INDEX(Config!$K$5:$K$16,MATCH(G205,Config!$J$5:$J$16,0)),""))</f>
        <v>40</v>
      </c>
      <c r="M205" s="30">
        <f>IF(OR(G205="",F205=""),"",IFERROR(INDEX(Config!$M$5:$R$16,MATCH(G205,Config!$J$5:$J$16,0),MATCH(F205,Config!$H$5:$H$10,0)),""))</f>
        <v>400</v>
      </c>
      <c r="N205" s="29">
        <f>IF(A205="","",MONTH(A205))</f>
        <v>7</v>
      </c>
      <c r="O205" s="29">
        <f>IF(A205="","",YEAR(A205))</f>
        <v>2026</v>
      </c>
      <c r="P205" s="29" t="str">
        <f>IF(A205="","",CHOOSE(WEEKDAY(A205,2),"Segunda","Terça","Quarta","Quinta","Sexta","Sábado","Domingo"))</f>
        <v>Terça</v>
      </c>
      <c r="Q205" s="29" t="str">
        <f>IF(B205="","",IF(B205&lt;TIME(12,0,0),"Manhã",IF(B205&lt;TIME(18,0,0),"Tarde","Noite")))</f>
        <v>Tarde</v>
      </c>
      <c r="R205" s="45">
        <f>IF(AND(H205="Realizado",L205&lt;&gt;""),L205/60,0)</f>
        <v>0.666666666666667</v>
      </c>
    </row>
    <row r="206">
      <c r="A206" s="42" t="n">
        <v>46224</v>
      </c>
      <c r="B206" s="43" t="n">
        <v>0.7083333333333334</v>
      </c>
      <c r="C206" s="37" t="inlineStr">
        <is>
          <t>Dr. Paulo Andrade</t>
        </is>
      </c>
      <c r="D206" s="37" t="inlineStr">
        <is>
          <t>Sala 2</t>
        </is>
      </c>
      <c r="E206" s="36" t="inlineStr">
        <is>
          <t>Regina Macedo</t>
        </is>
      </c>
      <c r="F206" s="37" t="inlineStr">
        <is>
          <t>Particular</t>
        </is>
      </c>
      <c r="G206" s="37" t="inlineStr">
        <is>
          <t>ECG</t>
        </is>
      </c>
      <c r="H206" s="37" t="inlineStr">
        <is>
          <t>Realizado</t>
        </is>
      </c>
      <c r="I206" s="37" t="inlineStr">
        <is>
          <t>Pix</t>
        </is>
      </c>
      <c r="J206" s="37" t="n"/>
      <c r="K206" s="36" t="n"/>
      <c r="L206" s="44">
        <f>IF(G206="","",IFERROR(INDEX(Config!$K$5:$K$16,MATCH(G206,Config!$J$5:$J$16,0)),""))</f>
        <v>20</v>
      </c>
      <c r="M206" s="30">
        <f>IF(OR(G206="",F206=""),"",IFERROR(INDEX(Config!$M$5:$R$16,MATCH(G206,Config!$J$5:$J$16,0),MATCH(F206,Config!$H$5:$H$10,0)),""))</f>
        <v>130</v>
      </c>
      <c r="N206" s="29">
        <f>IF(A206="","",MONTH(A206))</f>
        <v>7</v>
      </c>
      <c r="O206" s="29">
        <f>IF(A206="","",YEAR(A206))</f>
        <v>2026</v>
      </c>
      <c r="P206" s="29" t="str">
        <f>IF(A206="","",CHOOSE(WEEKDAY(A206,2),"Segunda","Terça","Quarta","Quinta","Sexta","Sábado","Domingo"))</f>
        <v>Terça</v>
      </c>
      <c r="Q206" s="29" t="str">
        <f>IF(B206="","",IF(B206&lt;TIME(12,0,0),"Manhã",IF(B206&lt;TIME(18,0,0),"Tarde","Noite")))</f>
        <v>Tarde</v>
      </c>
      <c r="R206" s="45">
        <f>IF(AND(H206="Realizado",L206&lt;&gt;""),L206/60,0)</f>
        <v>0.333333333333333</v>
      </c>
    </row>
    <row r="207">
      <c r="A207" s="42" t="n">
        <v>46224</v>
      </c>
      <c r="B207" s="43" t="n">
        <v>0.7222222222222222</v>
      </c>
      <c r="C207" s="37" t="inlineStr">
        <is>
          <t>Dra. Renata Sousa</t>
        </is>
      </c>
      <c r="D207" s="37" t="inlineStr">
        <is>
          <t>Sala 1</t>
        </is>
      </c>
      <c r="E207" s="36" t="inlineStr">
        <is>
          <t>Carlos Gonçalves</t>
        </is>
      </c>
      <c r="F207" s="37" t="inlineStr">
        <is>
          <t>Saúde Total</t>
        </is>
      </c>
      <c r="G207" s="37" t="inlineStr">
        <is>
          <t>Avaliação endócrina</t>
        </is>
      </c>
      <c r="H207" s="37" t="inlineStr">
        <is>
          <t>Realizado</t>
        </is>
      </c>
      <c r="I207" s="37" t="inlineStr">
        <is>
          <t>Convênio</t>
        </is>
      </c>
      <c r="J207" s="37" t="n"/>
      <c r="K207" s="36" t="n"/>
      <c r="L207" s="44">
        <f>IF(G207="","",IFERROR(INDEX(Config!$K$5:$K$16,MATCH(G207,Config!$J$5:$J$16,0)),""))</f>
        <v>40</v>
      </c>
      <c r="M207" s="30">
        <f>IF(OR(G207="",F207=""),"",IFERROR(INDEX(Config!$M$5:$R$16,MATCH(G207,Config!$J$5:$J$16,0),MATCH(F207,Config!$H$5:$H$10,0)),""))</f>
        <v>130</v>
      </c>
      <c r="N207" s="29">
        <f>IF(A207="","",MONTH(A207))</f>
        <v>7</v>
      </c>
      <c r="O207" s="29">
        <f>IF(A207="","",YEAR(A207))</f>
        <v>2026</v>
      </c>
      <c r="P207" s="29" t="str">
        <f>IF(A207="","",CHOOSE(WEEKDAY(A207,2),"Segunda","Terça","Quarta","Quinta","Sexta","Sábado","Domingo"))</f>
        <v>Terça</v>
      </c>
      <c r="Q207" s="29" t="str">
        <f>IF(B207="","",IF(B207&lt;TIME(12,0,0),"Manhã",IF(B207&lt;TIME(18,0,0),"Tarde","Noite")))</f>
        <v>Tarde</v>
      </c>
      <c r="R207" s="45">
        <f>IF(AND(H207="Realizado",L207&lt;&gt;""),L207/60,0)</f>
        <v>0.666666666666667</v>
      </c>
    </row>
    <row r="208">
      <c r="A208" s="42" t="n">
        <v>46224</v>
      </c>
      <c r="B208" s="43" t="n">
        <v>0.7222222222222222</v>
      </c>
      <c r="C208" s="37" t="inlineStr">
        <is>
          <t>Dr. Paulo Andrade</t>
        </is>
      </c>
      <c r="D208" s="37" t="inlineStr">
        <is>
          <t>Sala 2</t>
        </is>
      </c>
      <c r="E208" s="36" t="inlineStr">
        <is>
          <t>Mateus Dias</t>
        </is>
      </c>
      <c r="F208" s="37" t="inlineStr">
        <is>
          <t>Saúde Total</t>
        </is>
      </c>
      <c r="G208" s="37" t="inlineStr">
        <is>
          <t>Consulta</t>
        </is>
      </c>
      <c r="H208" s="37" t="inlineStr">
        <is>
          <t>Realizado</t>
        </is>
      </c>
      <c r="I208" s="37" t="inlineStr">
        <is>
          <t>Convênio</t>
        </is>
      </c>
      <c r="J208" s="37" t="n"/>
      <c r="K208" s="36" t="n"/>
      <c r="L208" s="44">
        <f>IF(G208="","",IFERROR(INDEX(Config!$K$5:$K$16,MATCH(G208,Config!$J$5:$J$16,0)),""))</f>
        <v>30</v>
      </c>
      <c r="M208" s="30">
        <f>IF(OR(G208="",F208=""),"",IFERROR(INDEX(Config!$M$5:$R$16,MATCH(G208,Config!$J$5:$J$16,0),MATCH(F208,Config!$H$5:$H$10,0)),""))</f>
        <v>120</v>
      </c>
      <c r="N208" s="29">
        <f>IF(A208="","",MONTH(A208))</f>
        <v>7</v>
      </c>
      <c r="O208" s="29">
        <f>IF(A208="","",YEAR(A208))</f>
        <v>2026</v>
      </c>
      <c r="P208" s="29" t="str">
        <f>IF(A208="","",CHOOSE(WEEKDAY(A208,2),"Segunda","Terça","Quarta","Quinta","Sexta","Sábado","Domingo"))</f>
        <v>Terça</v>
      </c>
      <c r="Q208" s="29" t="str">
        <f>IF(B208="","",IF(B208&lt;TIME(12,0,0),"Manhã",IF(B208&lt;TIME(18,0,0),"Tarde","Noite")))</f>
        <v>Tarde</v>
      </c>
      <c r="R208" s="45">
        <f>IF(AND(H208="Realizado",L208&lt;&gt;""),L208/60,0)</f>
        <v>0.5</v>
      </c>
    </row>
    <row r="209">
      <c r="A209" s="42" t="n">
        <v>46225</v>
      </c>
      <c r="B209" s="43" t="n">
        <v>0.5833333333333334</v>
      </c>
      <c r="C209" s="37" t="inlineStr">
        <is>
          <t>Dra. Carolina Mendes</t>
        </is>
      </c>
      <c r="D209" s="37" t="inlineStr">
        <is>
          <t>Sala 1</t>
        </is>
      </c>
      <c r="E209" s="36" t="inlineStr">
        <is>
          <t>Ana Costa</t>
        </is>
      </c>
      <c r="F209" s="37" t="inlineStr">
        <is>
          <t>Particular</t>
        </is>
      </c>
      <c r="G209" s="37" t="inlineStr">
        <is>
          <t>Consulta</t>
        </is>
      </c>
      <c r="H209" s="37" t="inlineStr">
        <is>
          <t>Realizado</t>
        </is>
      </c>
      <c r="I209" s="37" t="inlineStr">
        <is>
          <t>Pix</t>
        </is>
      </c>
      <c r="J209" s="37" t="n"/>
      <c r="K209" s="36" t="n"/>
      <c r="L209" s="44">
        <f>IF(G209="","",IFERROR(INDEX(Config!$K$5:$K$16,MATCH(G209,Config!$J$5:$J$16,0)),""))</f>
        <v>30</v>
      </c>
      <c r="M209" s="30">
        <f>IF(OR(G209="",F209=""),"",IFERROR(INDEX(Config!$M$5:$R$16,MATCH(G209,Config!$J$5:$J$16,0),MATCH(F209,Config!$H$5:$H$10,0)),""))</f>
        <v>380</v>
      </c>
      <c r="N209" s="29">
        <f>IF(A209="","",MONTH(A209))</f>
        <v>7</v>
      </c>
      <c r="O209" s="29">
        <f>IF(A209="","",YEAR(A209))</f>
        <v>2026</v>
      </c>
      <c r="P209" s="29" t="str">
        <f>IF(A209="","",CHOOSE(WEEKDAY(A209,2),"Segunda","Terça","Quarta","Quinta","Sexta","Sábado","Domingo"))</f>
        <v>Quarta</v>
      </c>
      <c r="Q209" s="29" t="str">
        <f>IF(B209="","",IF(B209&lt;TIME(12,0,0),"Manhã",IF(B209&lt;TIME(18,0,0),"Tarde","Noite")))</f>
        <v>Tarde</v>
      </c>
      <c r="R209" s="45">
        <f>IF(AND(H209="Realizado",L209&lt;&gt;""),L209/60,0)</f>
        <v>0.5</v>
      </c>
    </row>
    <row r="210">
      <c r="A210" s="42" t="n">
        <v>46225</v>
      </c>
      <c r="B210" s="43" t="n">
        <v>0.6041666666666666</v>
      </c>
      <c r="C210" s="37" t="inlineStr">
        <is>
          <t>Dra. Carolina Mendes</t>
        </is>
      </c>
      <c r="D210" s="37" t="inlineStr">
        <is>
          <t>Sala 1</t>
        </is>
      </c>
      <c r="E210" s="36" t="inlineStr">
        <is>
          <t>Rodrigo Moreira</t>
        </is>
      </c>
      <c r="F210" s="37" t="inlineStr">
        <is>
          <t>Particular</t>
        </is>
      </c>
      <c r="G210" s="37" t="inlineStr">
        <is>
          <t>Consulta</t>
        </is>
      </c>
      <c r="H210" s="37" t="inlineStr">
        <is>
          <t>Realizado</t>
        </is>
      </c>
      <c r="I210" s="37" t="inlineStr">
        <is>
          <t>Pix</t>
        </is>
      </c>
      <c r="J210" s="37" t="n"/>
      <c r="K210" s="36" t="n"/>
      <c r="L210" s="44">
        <f>IF(G210="","",IFERROR(INDEX(Config!$K$5:$K$16,MATCH(G210,Config!$J$5:$J$16,0)),""))</f>
        <v>30</v>
      </c>
      <c r="M210" s="30">
        <f>IF(OR(G210="",F210=""),"",IFERROR(INDEX(Config!$M$5:$R$16,MATCH(G210,Config!$J$5:$J$16,0),MATCH(F210,Config!$H$5:$H$10,0)),""))</f>
        <v>380</v>
      </c>
      <c r="N210" s="29">
        <f>IF(A210="","",MONTH(A210))</f>
        <v>7</v>
      </c>
      <c r="O210" s="29">
        <f>IF(A210="","",YEAR(A210))</f>
        <v>2026</v>
      </c>
      <c r="P210" s="29" t="str">
        <f>IF(A210="","",CHOOSE(WEEKDAY(A210,2),"Segunda","Terça","Quarta","Quinta","Sexta","Sábado","Domingo"))</f>
        <v>Quarta</v>
      </c>
      <c r="Q210" s="29" t="str">
        <f>IF(B210="","",IF(B210&lt;TIME(12,0,0),"Manhã",IF(B210&lt;TIME(18,0,0),"Tarde","Noite")))</f>
        <v>Tarde</v>
      </c>
      <c r="R210" s="45">
        <f>IF(AND(H210="Realizado",L210&lt;&gt;""),L210/60,0)</f>
        <v>0.5</v>
      </c>
    </row>
    <row r="211">
      <c r="A211" s="42" t="n">
        <v>46225</v>
      </c>
      <c r="B211" s="43" t="n">
        <v>0.625</v>
      </c>
      <c r="C211" s="37" t="inlineStr">
        <is>
          <t>Dra. Carolina Mendes</t>
        </is>
      </c>
      <c r="D211" s="37" t="inlineStr">
        <is>
          <t>Sala 1</t>
        </is>
      </c>
      <c r="E211" s="36" t="inlineStr">
        <is>
          <t>Roberta Araújo</t>
        </is>
      </c>
      <c r="F211" s="37" t="inlineStr">
        <is>
          <t>Particular</t>
        </is>
      </c>
      <c r="G211" s="37" t="inlineStr">
        <is>
          <t>Consulta</t>
        </is>
      </c>
      <c r="H211" s="37" t="inlineStr">
        <is>
          <t>Realizado</t>
        </is>
      </c>
      <c r="I211" s="37" t="inlineStr">
        <is>
          <t>Pix</t>
        </is>
      </c>
      <c r="J211" s="37" t="n"/>
      <c r="K211" s="36" t="n"/>
      <c r="L211" s="44">
        <f>IF(G211="","",IFERROR(INDEX(Config!$K$5:$K$16,MATCH(G211,Config!$J$5:$J$16,0)),""))</f>
        <v>30</v>
      </c>
      <c r="M211" s="30">
        <f>IF(OR(G211="",F211=""),"",IFERROR(INDEX(Config!$M$5:$R$16,MATCH(G211,Config!$J$5:$J$16,0),MATCH(F211,Config!$H$5:$H$10,0)),""))</f>
        <v>380</v>
      </c>
      <c r="N211" s="29">
        <f>IF(A211="","",MONTH(A211))</f>
        <v>7</v>
      </c>
      <c r="O211" s="29">
        <f>IF(A211="","",YEAR(A211))</f>
        <v>2026</v>
      </c>
      <c r="P211" s="29" t="str">
        <f>IF(A211="","",CHOOSE(WEEKDAY(A211,2),"Segunda","Terça","Quarta","Quinta","Sexta","Sábado","Domingo"))</f>
        <v>Quarta</v>
      </c>
      <c r="Q211" s="29" t="str">
        <f>IF(B211="","",IF(B211&lt;TIME(12,0,0),"Manhã",IF(B211&lt;TIME(18,0,0),"Tarde","Noite")))</f>
        <v>Tarde</v>
      </c>
      <c r="R211" s="45">
        <f>IF(AND(H211="Realizado",L211&lt;&gt;""),L211/60,0)</f>
        <v>0.5</v>
      </c>
    </row>
    <row r="212">
      <c r="A212" s="42" t="n">
        <v>46225</v>
      </c>
      <c r="B212" s="43" t="n">
        <v>0.6458333333333334</v>
      </c>
      <c r="C212" s="37" t="inlineStr">
        <is>
          <t>Dra. Carolina Mendes</t>
        </is>
      </c>
      <c r="D212" s="37" t="inlineStr">
        <is>
          <t>Sala 1</t>
        </is>
      </c>
      <c r="E212" s="36" t="inlineStr">
        <is>
          <t>Marcelo Santos</t>
        </is>
      </c>
      <c r="F212" s="37" t="inlineStr">
        <is>
          <t>Particular</t>
        </is>
      </c>
      <c r="G212" s="37" t="inlineStr">
        <is>
          <t>Consulta</t>
        </is>
      </c>
      <c r="H212" s="37" t="inlineStr">
        <is>
          <t>Realizado</t>
        </is>
      </c>
      <c r="I212" s="37" t="inlineStr">
        <is>
          <t>Cartão de crédito</t>
        </is>
      </c>
      <c r="J212" s="37" t="n"/>
      <c r="K212" s="36" t="n"/>
      <c r="L212" s="44">
        <f>IF(G212="","",IFERROR(INDEX(Config!$K$5:$K$16,MATCH(G212,Config!$J$5:$J$16,0)),""))</f>
        <v>30</v>
      </c>
      <c r="M212" s="30">
        <f>IF(OR(G212="",F212=""),"",IFERROR(INDEX(Config!$M$5:$R$16,MATCH(G212,Config!$J$5:$J$16,0),MATCH(F212,Config!$H$5:$H$10,0)),""))</f>
        <v>380</v>
      </c>
      <c r="N212" s="29">
        <f>IF(A212="","",MONTH(A212))</f>
        <v>7</v>
      </c>
      <c r="O212" s="29">
        <f>IF(A212="","",YEAR(A212))</f>
        <v>2026</v>
      </c>
      <c r="P212" s="29" t="str">
        <f>IF(A212="","",CHOOSE(WEEKDAY(A212,2),"Segunda","Terça","Quarta","Quinta","Sexta","Sábado","Domingo"))</f>
        <v>Quarta</v>
      </c>
      <c r="Q212" s="29" t="str">
        <f>IF(B212="","",IF(B212&lt;TIME(12,0,0),"Manhã",IF(B212&lt;TIME(18,0,0),"Tarde","Noite")))</f>
        <v>Tarde</v>
      </c>
      <c r="R212" s="45">
        <f>IF(AND(H212="Realizado",L212&lt;&gt;""),L212/60,0)</f>
        <v>0.5</v>
      </c>
    </row>
    <row r="213">
      <c r="A213" s="42" t="n">
        <v>46225</v>
      </c>
      <c r="B213" s="43" t="n">
        <v>0.6666666666666666</v>
      </c>
      <c r="C213" s="37" t="inlineStr">
        <is>
          <t>Dra. Carolina Mendes</t>
        </is>
      </c>
      <c r="D213" s="37" t="inlineStr">
        <is>
          <t>Sala 1</t>
        </is>
      </c>
      <c r="E213" s="36" t="inlineStr">
        <is>
          <t>Eduardo Nunes</t>
        </is>
      </c>
      <c r="F213" s="37" t="inlineStr">
        <is>
          <t>MediPlan</t>
        </is>
      </c>
      <c r="G213" s="37" t="inlineStr">
        <is>
          <t>Consulta</t>
        </is>
      </c>
      <c r="H213" s="37" t="inlineStr">
        <is>
          <t>Realizado</t>
        </is>
      </c>
      <c r="I213" s="37" t="inlineStr">
        <is>
          <t>Convênio</t>
        </is>
      </c>
      <c r="J213" s="37" t="n"/>
      <c r="K213" s="36" t="n"/>
      <c r="L213" s="44">
        <f>IF(G213="","",IFERROR(INDEX(Config!$K$5:$K$16,MATCH(G213,Config!$J$5:$J$16,0)),""))</f>
        <v>30</v>
      </c>
      <c r="M213" s="30">
        <f>IF(OR(G213="",F213=""),"",IFERROR(INDEX(Config!$M$5:$R$16,MATCH(G213,Config!$J$5:$J$16,0),MATCH(F213,Config!$H$5:$H$10,0)),""))</f>
        <v>100</v>
      </c>
      <c r="N213" s="29">
        <f>IF(A213="","",MONTH(A213))</f>
        <v>7</v>
      </c>
      <c r="O213" s="29">
        <f>IF(A213="","",YEAR(A213))</f>
        <v>2026</v>
      </c>
      <c r="P213" s="29" t="str">
        <f>IF(A213="","",CHOOSE(WEEKDAY(A213,2),"Segunda","Terça","Quarta","Quinta","Sexta","Sábado","Domingo"))</f>
        <v>Quarta</v>
      </c>
      <c r="Q213" s="29" t="str">
        <f>IF(B213="","",IF(B213&lt;TIME(12,0,0),"Manhã",IF(B213&lt;TIME(18,0,0),"Tarde","Noite")))</f>
        <v>Tarde</v>
      </c>
      <c r="R213" s="45">
        <f>IF(AND(H213="Realizado",L213&lt;&gt;""),L213/60,0)</f>
        <v>0.5</v>
      </c>
    </row>
    <row r="214">
      <c r="A214" s="42" t="n">
        <v>46225</v>
      </c>
      <c r="B214" s="43" t="n">
        <v>0.6875</v>
      </c>
      <c r="C214" s="37" t="inlineStr">
        <is>
          <t>Dra. Carolina Mendes</t>
        </is>
      </c>
      <c r="D214" s="37" t="inlineStr">
        <is>
          <t>Sala 1</t>
        </is>
      </c>
      <c r="E214" s="36" t="inlineStr">
        <is>
          <t>Mônica Martins</t>
        </is>
      </c>
      <c r="F214" s="37" t="inlineStr">
        <is>
          <t>Particular</t>
        </is>
      </c>
      <c r="G214" s="37" t="inlineStr">
        <is>
          <t>Consulta</t>
        </is>
      </c>
      <c r="H214" s="37" t="inlineStr">
        <is>
          <t>Realizado</t>
        </is>
      </c>
      <c r="I214" s="37" t="inlineStr">
        <is>
          <t>Cartão de crédito</t>
        </is>
      </c>
      <c r="J214" s="37" t="n"/>
      <c r="K214" s="36" t="n"/>
      <c r="L214" s="44">
        <f>IF(G214="","",IFERROR(INDEX(Config!$K$5:$K$16,MATCH(G214,Config!$J$5:$J$16,0)),""))</f>
        <v>30</v>
      </c>
      <c r="M214" s="30">
        <f>IF(OR(G214="",F214=""),"",IFERROR(INDEX(Config!$M$5:$R$16,MATCH(G214,Config!$J$5:$J$16,0),MATCH(F214,Config!$H$5:$H$10,0)),""))</f>
        <v>380</v>
      </c>
      <c r="N214" s="29">
        <f>IF(A214="","",MONTH(A214))</f>
        <v>7</v>
      </c>
      <c r="O214" s="29">
        <f>IF(A214="","",YEAR(A214))</f>
        <v>2026</v>
      </c>
      <c r="P214" s="29" t="str">
        <f>IF(A214="","",CHOOSE(WEEKDAY(A214,2),"Segunda","Terça","Quarta","Quinta","Sexta","Sábado","Domingo"))</f>
        <v>Quarta</v>
      </c>
      <c r="Q214" s="29" t="str">
        <f>IF(B214="","",IF(B214&lt;TIME(12,0,0),"Manhã",IF(B214&lt;TIME(18,0,0),"Tarde","Noite")))</f>
        <v>Tarde</v>
      </c>
      <c r="R214" s="45">
        <f>IF(AND(H214="Realizado",L214&lt;&gt;""),L214/60,0)</f>
        <v>0.5</v>
      </c>
    </row>
    <row r="215">
      <c r="A215" s="42" t="n">
        <v>46225</v>
      </c>
      <c r="B215" s="43" t="n">
        <v>0.7083333333333334</v>
      </c>
      <c r="C215" s="37" t="inlineStr">
        <is>
          <t>Dra. Carolina Mendes</t>
        </is>
      </c>
      <c r="D215" s="37" t="inlineStr">
        <is>
          <t>Sala 1</t>
        </is>
      </c>
      <c r="E215" s="36" t="inlineStr">
        <is>
          <t>Débora Ramos</t>
        </is>
      </c>
      <c r="F215" s="37" t="inlineStr">
        <is>
          <t>Particular</t>
        </is>
      </c>
      <c r="G215" s="37" t="inlineStr">
        <is>
          <t>Consulta</t>
        </is>
      </c>
      <c r="H215" s="37" t="inlineStr">
        <is>
          <t>Realizado</t>
        </is>
      </c>
      <c r="I215" s="37" t="inlineStr">
        <is>
          <t>Pix</t>
        </is>
      </c>
      <c r="J215" s="37" t="n"/>
      <c r="K215" s="36" t="n"/>
      <c r="L215" s="44">
        <f>IF(G215="","",IFERROR(INDEX(Config!$K$5:$K$16,MATCH(G215,Config!$J$5:$J$16,0)),""))</f>
        <v>30</v>
      </c>
      <c r="M215" s="30">
        <f>IF(OR(G215="",F215=""),"",IFERROR(INDEX(Config!$M$5:$R$16,MATCH(G215,Config!$J$5:$J$16,0),MATCH(F215,Config!$H$5:$H$10,0)),""))</f>
        <v>380</v>
      </c>
      <c r="N215" s="29">
        <f>IF(A215="","",MONTH(A215))</f>
        <v>7</v>
      </c>
      <c r="O215" s="29">
        <f>IF(A215="","",YEAR(A215))</f>
        <v>2026</v>
      </c>
      <c r="P215" s="29" t="str">
        <f>IF(A215="","",CHOOSE(WEEKDAY(A215,2),"Segunda","Terça","Quarta","Quinta","Sexta","Sábado","Domingo"))</f>
        <v>Quarta</v>
      </c>
      <c r="Q215" s="29" t="str">
        <f>IF(B215="","",IF(B215&lt;TIME(12,0,0),"Manhã",IF(B215&lt;TIME(18,0,0),"Tarde","Noite")))</f>
        <v>Tarde</v>
      </c>
      <c r="R215" s="45">
        <f>IF(AND(H215="Realizado",L215&lt;&gt;""),L215/60,0)</f>
        <v>0.5</v>
      </c>
    </row>
    <row r="216">
      <c r="A216" s="42" t="n">
        <v>46225</v>
      </c>
      <c r="B216" s="43" t="n">
        <v>0.7291666666666666</v>
      </c>
      <c r="C216" s="37" t="inlineStr">
        <is>
          <t>Dra. Carolina Mendes</t>
        </is>
      </c>
      <c r="D216" s="37" t="inlineStr">
        <is>
          <t>Sala 1</t>
        </is>
      </c>
      <c r="E216" s="36" t="inlineStr">
        <is>
          <t>Gustavo Ferreira</t>
        </is>
      </c>
      <c r="F216" s="37" t="inlineStr">
        <is>
          <t>Particular</t>
        </is>
      </c>
      <c r="G216" s="37" t="inlineStr">
        <is>
          <t>Consulta</t>
        </is>
      </c>
      <c r="H216" s="37" t="inlineStr">
        <is>
          <t>Realizado</t>
        </is>
      </c>
      <c r="I216" s="37" t="inlineStr">
        <is>
          <t>A prazo</t>
        </is>
      </c>
      <c r="J216" s="37" t="n"/>
      <c r="K216" s="36" t="n"/>
      <c r="L216" s="44">
        <f>IF(G216="","",IFERROR(INDEX(Config!$K$5:$K$16,MATCH(G216,Config!$J$5:$J$16,0)),""))</f>
        <v>30</v>
      </c>
      <c r="M216" s="30">
        <f>IF(OR(G216="",F216=""),"",IFERROR(INDEX(Config!$M$5:$R$16,MATCH(G216,Config!$J$5:$J$16,0),MATCH(F216,Config!$H$5:$H$10,0)),""))</f>
        <v>380</v>
      </c>
      <c r="N216" s="29">
        <f>IF(A216="","",MONTH(A216))</f>
        <v>7</v>
      </c>
      <c r="O216" s="29">
        <f>IF(A216="","",YEAR(A216))</f>
        <v>2026</v>
      </c>
      <c r="P216" s="29" t="str">
        <f>IF(A216="","",CHOOSE(WEEKDAY(A216,2),"Segunda","Terça","Quarta","Quinta","Sexta","Sábado","Domingo"))</f>
        <v>Quarta</v>
      </c>
      <c r="Q216" s="29" t="str">
        <f>IF(B216="","",IF(B216&lt;TIME(12,0,0),"Manhã",IF(B216&lt;TIME(18,0,0),"Tarde","Noite")))</f>
        <v>Tarde</v>
      </c>
      <c r="R216" s="45">
        <f>IF(AND(H216="Realizado",L216&lt;&gt;""),L216/60,0)</f>
        <v>0.5</v>
      </c>
    </row>
    <row r="217">
      <c r="A217" s="42" t="n">
        <v>46226</v>
      </c>
      <c r="B217" s="43" t="n">
        <v>0.3333333333333333</v>
      </c>
      <c r="C217" s="37" t="inlineStr">
        <is>
          <t>Dra. Carolina Mendes</t>
        </is>
      </c>
      <c r="D217" s="37" t="inlineStr">
        <is>
          <t>Sala 1</t>
        </is>
      </c>
      <c r="E217" s="36" t="inlineStr">
        <is>
          <t>Mariana Nascimento</t>
        </is>
      </c>
      <c r="F217" s="37" t="inlineStr">
        <is>
          <t>Particular</t>
        </is>
      </c>
      <c r="G217" s="37" t="inlineStr">
        <is>
          <t>Consulta</t>
        </is>
      </c>
      <c r="H217" s="37" t="inlineStr">
        <is>
          <t>Realizado</t>
        </is>
      </c>
      <c r="I217" s="37" t="inlineStr">
        <is>
          <t>Cartão de débito</t>
        </is>
      </c>
      <c r="J217" s="37" t="n"/>
      <c r="K217" s="36" t="n"/>
      <c r="L217" s="44">
        <f>IF(G217="","",IFERROR(INDEX(Config!$K$5:$K$16,MATCH(G217,Config!$J$5:$J$16,0)),""))</f>
        <v>30</v>
      </c>
      <c r="M217" s="30">
        <f>IF(OR(G217="",F217=""),"",IFERROR(INDEX(Config!$M$5:$R$16,MATCH(G217,Config!$J$5:$J$16,0),MATCH(F217,Config!$H$5:$H$10,0)),""))</f>
        <v>380</v>
      </c>
      <c r="N217" s="29">
        <f>IF(A217="","",MONTH(A217))</f>
        <v>7</v>
      </c>
      <c r="O217" s="29">
        <f>IF(A217="","",YEAR(A217))</f>
        <v>2026</v>
      </c>
      <c r="P217" s="29" t="str">
        <f>IF(A217="","",CHOOSE(WEEKDAY(A217,2),"Segunda","Terça","Quarta","Quinta","Sexta","Sábado","Domingo"))</f>
        <v>Quinta</v>
      </c>
      <c r="Q217" s="29" t="str">
        <f>IF(B217="","",IF(B217&lt;TIME(12,0,0),"Manhã",IF(B217&lt;TIME(18,0,0),"Tarde","Noite")))</f>
        <v>Manhã</v>
      </c>
      <c r="R217" s="45">
        <f>IF(AND(H217="Realizado",L217&lt;&gt;""),L217/60,0)</f>
        <v>0.5</v>
      </c>
    </row>
    <row r="218">
      <c r="A218" s="42" t="n">
        <v>46226</v>
      </c>
      <c r="B218" s="43" t="n">
        <v>0.3541666666666667</v>
      </c>
      <c r="C218" s="37" t="inlineStr">
        <is>
          <t>Dra. Carolina Mendes</t>
        </is>
      </c>
      <c r="D218" s="37" t="inlineStr">
        <is>
          <t>Sala 1</t>
        </is>
      </c>
      <c r="E218" s="36" t="inlineStr">
        <is>
          <t>Eduardo Reis</t>
        </is>
      </c>
      <c r="F218" s="37" t="inlineStr">
        <is>
          <t>Vida Care</t>
        </is>
      </c>
      <c r="G218" s="37" t="inlineStr">
        <is>
          <t>Consulta</t>
        </is>
      </c>
      <c r="H218" s="37" t="inlineStr">
        <is>
          <t>Realizado</t>
        </is>
      </c>
      <c r="I218" s="37" t="inlineStr">
        <is>
          <t>Convênio</t>
        </is>
      </c>
      <c r="J218" s="37" t="n"/>
      <c r="K218" s="36" t="n"/>
      <c r="L218" s="44">
        <f>IF(G218="","",IFERROR(INDEX(Config!$K$5:$K$16,MATCH(G218,Config!$J$5:$J$16,0)),""))</f>
        <v>30</v>
      </c>
      <c r="M218" s="30">
        <f>IF(OR(G218="",F218=""),"",IFERROR(INDEX(Config!$M$5:$R$16,MATCH(G218,Config!$J$5:$J$16,0),MATCH(F218,Config!$H$5:$H$10,0)),""))</f>
        <v>90</v>
      </c>
      <c r="N218" s="29">
        <f>IF(A218="","",MONTH(A218))</f>
        <v>7</v>
      </c>
      <c r="O218" s="29">
        <f>IF(A218="","",YEAR(A218))</f>
        <v>2026</v>
      </c>
      <c r="P218" s="29" t="str">
        <f>IF(A218="","",CHOOSE(WEEKDAY(A218,2),"Segunda","Terça","Quarta","Quinta","Sexta","Sábado","Domingo"))</f>
        <v>Quinta</v>
      </c>
      <c r="Q218" s="29" t="str">
        <f>IF(B218="","",IF(B218&lt;TIME(12,0,0),"Manhã",IF(B218&lt;TIME(18,0,0),"Tarde","Noite")))</f>
        <v>Manhã</v>
      </c>
      <c r="R218" s="45">
        <f>IF(AND(H218="Realizado",L218&lt;&gt;""),L218/60,0)</f>
        <v>0.5</v>
      </c>
    </row>
    <row r="219">
      <c r="A219" s="42" t="n">
        <v>46226</v>
      </c>
      <c r="B219" s="43" t="n">
        <v>0.375</v>
      </c>
      <c r="C219" s="37" t="inlineStr">
        <is>
          <t>Dra. Carolina Mendes</t>
        </is>
      </c>
      <c r="D219" s="37" t="inlineStr">
        <is>
          <t>Sala 1</t>
        </is>
      </c>
      <c r="E219" s="36" t="inlineStr">
        <is>
          <t>Letícia Vieira</t>
        </is>
      </c>
      <c r="F219" s="37" t="inlineStr">
        <is>
          <t>Saúde Total</t>
        </is>
      </c>
      <c r="G219" s="37" t="inlineStr">
        <is>
          <t>Consulta</t>
        </is>
      </c>
      <c r="H219" s="37" t="inlineStr">
        <is>
          <t>Realizado</t>
        </is>
      </c>
      <c r="I219" s="37" t="inlineStr">
        <is>
          <t>Convênio</t>
        </is>
      </c>
      <c r="J219" s="37" t="n"/>
      <c r="K219" s="36" t="n"/>
      <c r="L219" s="44">
        <f>IF(G219="","",IFERROR(INDEX(Config!$K$5:$K$16,MATCH(G219,Config!$J$5:$J$16,0)),""))</f>
        <v>30</v>
      </c>
      <c r="M219" s="30">
        <f>IF(OR(G219="",F219=""),"",IFERROR(INDEX(Config!$M$5:$R$16,MATCH(G219,Config!$J$5:$J$16,0),MATCH(F219,Config!$H$5:$H$10,0)),""))</f>
        <v>120</v>
      </c>
      <c r="N219" s="29">
        <f>IF(A219="","",MONTH(A219))</f>
        <v>7</v>
      </c>
      <c r="O219" s="29">
        <f>IF(A219="","",YEAR(A219))</f>
        <v>2026</v>
      </c>
      <c r="P219" s="29" t="str">
        <f>IF(A219="","",CHOOSE(WEEKDAY(A219,2),"Segunda","Terça","Quarta","Quinta","Sexta","Sábado","Domingo"))</f>
        <v>Quinta</v>
      </c>
      <c r="Q219" s="29" t="str">
        <f>IF(B219="","",IF(B219&lt;TIME(12,0,0),"Manhã",IF(B219&lt;TIME(18,0,0),"Tarde","Noite")))</f>
        <v>Manhã</v>
      </c>
      <c r="R219" s="45">
        <f>IF(AND(H219="Realizado",L219&lt;&gt;""),L219/60,0)</f>
        <v>0.5</v>
      </c>
    </row>
    <row r="220">
      <c r="A220" s="42" t="n">
        <v>46226</v>
      </c>
      <c r="B220" s="43" t="n">
        <v>0.3958333333333333</v>
      </c>
      <c r="C220" s="37" t="inlineStr">
        <is>
          <t>Dra. Carolina Mendes</t>
        </is>
      </c>
      <c r="D220" s="37" t="inlineStr">
        <is>
          <t>Sala 1</t>
        </is>
      </c>
      <c r="E220" s="36" t="inlineStr">
        <is>
          <t>Elaine Cardoso</t>
        </is>
      </c>
      <c r="F220" s="37" t="inlineStr">
        <is>
          <t>Particular</t>
        </is>
      </c>
      <c r="G220" s="37" t="inlineStr">
        <is>
          <t>Consulta</t>
        </is>
      </c>
      <c r="H220" s="37" t="inlineStr">
        <is>
          <t>Realizado</t>
        </is>
      </c>
      <c r="I220" s="37" t="inlineStr">
        <is>
          <t>Pix</t>
        </is>
      </c>
      <c r="J220" s="37" t="n"/>
      <c r="K220" s="36" t="n"/>
      <c r="L220" s="44">
        <f>IF(G220="","",IFERROR(INDEX(Config!$K$5:$K$16,MATCH(G220,Config!$J$5:$J$16,0)),""))</f>
        <v>30</v>
      </c>
      <c r="M220" s="30">
        <f>IF(OR(G220="",F220=""),"",IFERROR(INDEX(Config!$M$5:$R$16,MATCH(G220,Config!$J$5:$J$16,0),MATCH(F220,Config!$H$5:$H$10,0)),""))</f>
        <v>380</v>
      </c>
      <c r="N220" s="29">
        <f>IF(A220="","",MONTH(A220))</f>
        <v>7</v>
      </c>
      <c r="O220" s="29">
        <f>IF(A220="","",YEAR(A220))</f>
        <v>2026</v>
      </c>
      <c r="P220" s="29" t="str">
        <f>IF(A220="","",CHOOSE(WEEKDAY(A220,2),"Segunda","Terça","Quarta","Quinta","Sexta","Sábado","Domingo"))</f>
        <v>Quinta</v>
      </c>
      <c r="Q220" s="29" t="str">
        <f>IF(B220="","",IF(B220&lt;TIME(12,0,0),"Manhã",IF(B220&lt;TIME(18,0,0),"Tarde","Noite")))</f>
        <v>Manhã</v>
      </c>
      <c r="R220" s="45">
        <f>IF(AND(H220="Realizado",L220&lt;&gt;""),L220/60,0)</f>
        <v>0.5</v>
      </c>
    </row>
    <row r="221">
      <c r="A221" s="42" t="n">
        <v>46226</v>
      </c>
      <c r="B221" s="43" t="n">
        <v>0.4375</v>
      </c>
      <c r="C221" s="37" t="inlineStr">
        <is>
          <t>Dra. Carolina Mendes</t>
        </is>
      </c>
      <c r="D221" s="37" t="inlineStr">
        <is>
          <t>Sala 1</t>
        </is>
      </c>
      <c r="E221" s="36" t="inlineStr">
        <is>
          <t>Priscila Castro</t>
        </is>
      </c>
      <c r="F221" s="37" t="inlineStr">
        <is>
          <t>Saúde Total</t>
        </is>
      </c>
      <c r="G221" s="37" t="inlineStr">
        <is>
          <t>Consulta</t>
        </is>
      </c>
      <c r="H221" s="37" t="inlineStr">
        <is>
          <t>Falta</t>
        </is>
      </c>
      <c r="I221" s="37" t="n"/>
      <c r="J221" s="37" t="n"/>
      <c r="K221" s="36" t="n"/>
      <c r="L221" s="44">
        <f>IF(G221="","",IFERROR(INDEX(Config!$K$5:$K$16,MATCH(G221,Config!$J$5:$J$16,0)),""))</f>
        <v>30</v>
      </c>
      <c r="M221" s="30">
        <f>IF(OR(G221="",F221=""),"",IFERROR(INDEX(Config!$M$5:$R$16,MATCH(G221,Config!$J$5:$J$16,0),MATCH(F221,Config!$H$5:$H$10,0)),""))</f>
        <v>120</v>
      </c>
      <c r="N221" s="29">
        <f>IF(A221="","",MONTH(A221))</f>
        <v>7</v>
      </c>
      <c r="O221" s="29">
        <f>IF(A221="","",YEAR(A221))</f>
        <v>2026</v>
      </c>
      <c r="P221" s="29" t="str">
        <f>IF(A221="","",CHOOSE(WEEKDAY(A221,2),"Segunda","Terça","Quarta","Quinta","Sexta","Sábado","Domingo"))</f>
        <v>Quinta</v>
      </c>
      <c r="Q221" s="29" t="str">
        <f>IF(B221="","",IF(B221&lt;TIME(12,0,0),"Manhã",IF(B221&lt;TIME(18,0,0),"Tarde","Noite")))</f>
        <v>Manhã</v>
      </c>
      <c r="R221" s="45">
        <f>IF(AND(H221="Realizado",L221&lt;&gt;""),L221/60,0)</f>
        <v>0</v>
      </c>
    </row>
    <row r="222">
      <c r="A222" s="42" t="n">
        <v>46226</v>
      </c>
      <c r="B222" s="43" t="n">
        <v>0.4583333333333333</v>
      </c>
      <c r="C222" s="37" t="inlineStr">
        <is>
          <t>Dra. Carolina Mendes</t>
        </is>
      </c>
      <c r="D222" s="37" t="inlineStr">
        <is>
          <t>Sala 1</t>
        </is>
      </c>
      <c r="E222" s="36" t="inlineStr">
        <is>
          <t>Otávio Cardoso</t>
        </is>
      </c>
      <c r="F222" s="37" t="inlineStr">
        <is>
          <t>Particular</t>
        </is>
      </c>
      <c r="G222" s="37" t="inlineStr">
        <is>
          <t>Consulta</t>
        </is>
      </c>
      <c r="H222" s="37" t="inlineStr">
        <is>
          <t>Realizado</t>
        </is>
      </c>
      <c r="I222" s="37" t="inlineStr">
        <is>
          <t>Cartão de crédito</t>
        </is>
      </c>
      <c r="J222" s="37" t="n">
        <v>2</v>
      </c>
      <c r="K222" s="36" t="n"/>
      <c r="L222" s="44">
        <f>IF(G222="","",IFERROR(INDEX(Config!$K$5:$K$16,MATCH(G222,Config!$J$5:$J$16,0)),""))</f>
        <v>30</v>
      </c>
      <c r="M222" s="30">
        <f>IF(OR(G222="",F222=""),"",IFERROR(INDEX(Config!$M$5:$R$16,MATCH(G222,Config!$J$5:$J$16,0),MATCH(F222,Config!$H$5:$H$10,0)),""))</f>
        <v>380</v>
      </c>
      <c r="N222" s="29">
        <f>IF(A222="","",MONTH(A222))</f>
        <v>7</v>
      </c>
      <c r="O222" s="29">
        <f>IF(A222="","",YEAR(A222))</f>
        <v>2026</v>
      </c>
      <c r="P222" s="29" t="str">
        <f>IF(A222="","",CHOOSE(WEEKDAY(A222,2),"Segunda","Terça","Quarta","Quinta","Sexta","Sábado","Domingo"))</f>
        <v>Quinta</v>
      </c>
      <c r="Q222" s="29" t="str">
        <f>IF(B222="","",IF(B222&lt;TIME(12,0,0),"Manhã",IF(B222&lt;TIME(18,0,0),"Tarde","Noite")))</f>
        <v>Manhã</v>
      </c>
      <c r="R222" s="45">
        <f>IF(AND(H222="Realizado",L222&lt;&gt;""),L222/60,0)</f>
        <v>0.5</v>
      </c>
    </row>
    <row r="223">
      <c r="A223" s="42" t="n">
        <v>46226</v>
      </c>
      <c r="B223" s="43" t="n">
        <v>0.4791666666666667</v>
      </c>
      <c r="C223" s="37" t="inlineStr">
        <is>
          <t>Dra. Carolina Mendes</t>
        </is>
      </c>
      <c r="D223" s="37" t="inlineStr">
        <is>
          <t>Sala 1</t>
        </is>
      </c>
      <c r="E223" s="36" t="inlineStr">
        <is>
          <t>Helena Moreira</t>
        </is>
      </c>
      <c r="F223" s="37" t="inlineStr">
        <is>
          <t>Particular</t>
        </is>
      </c>
      <c r="G223" s="37" t="inlineStr">
        <is>
          <t>Consulta</t>
        </is>
      </c>
      <c r="H223" s="37" t="inlineStr">
        <is>
          <t>Realizado</t>
        </is>
      </c>
      <c r="I223" s="37" t="inlineStr">
        <is>
          <t>Cartão de crédito</t>
        </is>
      </c>
      <c r="J223" s="37" t="n"/>
      <c r="K223" s="36" t="n"/>
      <c r="L223" s="44">
        <f>IF(G223="","",IFERROR(INDEX(Config!$K$5:$K$16,MATCH(G223,Config!$J$5:$J$16,0)),""))</f>
        <v>30</v>
      </c>
      <c r="M223" s="30">
        <f>IF(OR(G223="",F223=""),"",IFERROR(INDEX(Config!$M$5:$R$16,MATCH(G223,Config!$J$5:$J$16,0),MATCH(F223,Config!$H$5:$H$10,0)),""))</f>
        <v>380</v>
      </c>
      <c r="N223" s="29">
        <f>IF(A223="","",MONTH(A223))</f>
        <v>7</v>
      </c>
      <c r="O223" s="29">
        <f>IF(A223="","",YEAR(A223))</f>
        <v>2026</v>
      </c>
      <c r="P223" s="29" t="str">
        <f>IF(A223="","",CHOOSE(WEEKDAY(A223,2),"Segunda","Terça","Quarta","Quinta","Sexta","Sábado","Domingo"))</f>
        <v>Quinta</v>
      </c>
      <c r="Q223" s="29" t="str">
        <f>IF(B223="","",IF(B223&lt;TIME(12,0,0),"Manhã",IF(B223&lt;TIME(18,0,0),"Tarde","Noite")))</f>
        <v>Manhã</v>
      </c>
      <c r="R223" s="45">
        <f>IF(AND(H223="Realizado",L223&lt;&gt;""),L223/60,0)</f>
        <v>0.5</v>
      </c>
    </row>
    <row r="224">
      <c r="A224" s="42" t="n">
        <v>46226</v>
      </c>
      <c r="B224" s="43" t="n">
        <v>0.5833333333333334</v>
      </c>
      <c r="C224" s="37" t="inlineStr">
        <is>
          <t>Dra. Renata Sousa</t>
        </is>
      </c>
      <c r="D224" s="37" t="inlineStr">
        <is>
          <t>Sala 1</t>
        </is>
      </c>
      <c r="E224" s="36" t="inlineStr">
        <is>
          <t>Mariana Reis</t>
        </is>
      </c>
      <c r="F224" s="37" t="inlineStr">
        <is>
          <t>Particular</t>
        </is>
      </c>
      <c r="G224" s="37" t="inlineStr">
        <is>
          <t>Avaliação endócrina</t>
        </is>
      </c>
      <c r="H224" s="37" t="inlineStr">
        <is>
          <t>Realizado</t>
        </is>
      </c>
      <c r="I224" s="37" t="inlineStr">
        <is>
          <t>Pix</t>
        </is>
      </c>
      <c r="J224" s="37" t="n"/>
      <c r="K224" s="36" t="n"/>
      <c r="L224" s="44">
        <f>IF(G224="","",IFERROR(INDEX(Config!$K$5:$K$16,MATCH(G224,Config!$J$5:$J$16,0)),""))</f>
        <v>40</v>
      </c>
      <c r="M224" s="30">
        <f>IF(OR(G224="",F224=""),"",IFERROR(INDEX(Config!$M$5:$R$16,MATCH(G224,Config!$J$5:$J$16,0),MATCH(F224,Config!$H$5:$H$10,0)),""))</f>
        <v>400</v>
      </c>
      <c r="N224" s="29">
        <f>IF(A224="","",MONTH(A224))</f>
        <v>7</v>
      </c>
      <c r="O224" s="29">
        <f>IF(A224="","",YEAR(A224))</f>
        <v>2026</v>
      </c>
      <c r="P224" s="29" t="str">
        <f>IF(A224="","",CHOOSE(WEEKDAY(A224,2),"Segunda","Terça","Quarta","Quinta","Sexta","Sábado","Domingo"))</f>
        <v>Quinta</v>
      </c>
      <c r="Q224" s="29" t="str">
        <f>IF(B224="","",IF(B224&lt;TIME(12,0,0),"Manhã",IF(B224&lt;TIME(18,0,0),"Tarde","Noite")))</f>
        <v>Tarde</v>
      </c>
      <c r="R224" s="45">
        <f>IF(AND(H224="Realizado",L224&lt;&gt;""),L224/60,0)</f>
        <v>0.666666666666667</v>
      </c>
    </row>
    <row r="225">
      <c r="A225" s="42" t="n">
        <v>46226</v>
      </c>
      <c r="B225" s="43" t="n">
        <v>0.5833333333333334</v>
      </c>
      <c r="C225" s="37" t="inlineStr">
        <is>
          <t>Dr. Paulo Andrade</t>
        </is>
      </c>
      <c r="D225" s="37" t="inlineStr">
        <is>
          <t>Sala 2</t>
        </is>
      </c>
      <c r="E225" s="36" t="inlineStr">
        <is>
          <t>Paulo Reis</t>
        </is>
      </c>
      <c r="F225" s="37" t="inlineStr">
        <is>
          <t>Particular</t>
        </is>
      </c>
      <c r="G225" s="37" t="inlineStr">
        <is>
          <t>Consulta</t>
        </is>
      </c>
      <c r="H225" s="37" t="inlineStr">
        <is>
          <t>Realizado</t>
        </is>
      </c>
      <c r="I225" s="37" t="inlineStr">
        <is>
          <t>Cartão de crédito</t>
        </is>
      </c>
      <c r="J225" s="37" t="n"/>
      <c r="K225" s="36" t="n"/>
      <c r="L225" s="44">
        <f>IF(G225="","",IFERROR(INDEX(Config!$K$5:$K$16,MATCH(G225,Config!$J$5:$J$16,0)),""))</f>
        <v>30</v>
      </c>
      <c r="M225" s="30">
        <f>IF(OR(G225="",F225=""),"",IFERROR(INDEX(Config!$M$5:$R$16,MATCH(G225,Config!$J$5:$J$16,0),MATCH(F225,Config!$H$5:$H$10,0)),""))</f>
        <v>380</v>
      </c>
      <c r="N225" s="29">
        <f>IF(A225="","",MONTH(A225))</f>
        <v>7</v>
      </c>
      <c r="O225" s="29">
        <f>IF(A225="","",YEAR(A225))</f>
        <v>2026</v>
      </c>
      <c r="P225" s="29" t="str">
        <f>IF(A225="","",CHOOSE(WEEKDAY(A225,2),"Segunda","Terça","Quarta","Quinta","Sexta","Sábado","Domingo"))</f>
        <v>Quinta</v>
      </c>
      <c r="Q225" s="29" t="str">
        <f>IF(B225="","",IF(B225&lt;TIME(12,0,0),"Manhã",IF(B225&lt;TIME(18,0,0),"Tarde","Noite")))</f>
        <v>Tarde</v>
      </c>
      <c r="R225" s="45">
        <f>IF(AND(H225="Realizado",L225&lt;&gt;""),L225/60,0)</f>
        <v>0.5</v>
      </c>
    </row>
    <row r="226">
      <c r="A226" s="42" t="n">
        <v>46226</v>
      </c>
      <c r="B226" s="43" t="n">
        <v>0.6041666666666666</v>
      </c>
      <c r="C226" s="37" t="inlineStr">
        <is>
          <t>Dr. Paulo Andrade</t>
        </is>
      </c>
      <c r="D226" s="37" t="inlineStr">
        <is>
          <t>Sala 2</t>
        </is>
      </c>
      <c r="E226" s="36" t="inlineStr">
        <is>
          <t>Paulo Nascimento</t>
        </is>
      </c>
      <c r="F226" s="37" t="inlineStr">
        <is>
          <t>MediPlan</t>
        </is>
      </c>
      <c r="G226" s="37" t="inlineStr">
        <is>
          <t>Consulta</t>
        </is>
      </c>
      <c r="H226" s="37" t="inlineStr">
        <is>
          <t>Falta</t>
        </is>
      </c>
      <c r="I226" s="37" t="n"/>
      <c r="J226" s="37" t="n"/>
      <c r="K226" s="36" t="n"/>
      <c r="L226" s="44">
        <f>IF(G226="","",IFERROR(INDEX(Config!$K$5:$K$16,MATCH(G226,Config!$J$5:$J$16,0)),""))</f>
        <v>30</v>
      </c>
      <c r="M226" s="30">
        <f>IF(OR(G226="",F226=""),"",IFERROR(INDEX(Config!$M$5:$R$16,MATCH(G226,Config!$J$5:$J$16,0),MATCH(F226,Config!$H$5:$H$10,0)),""))</f>
        <v>100</v>
      </c>
      <c r="N226" s="29">
        <f>IF(A226="","",MONTH(A226))</f>
        <v>7</v>
      </c>
      <c r="O226" s="29">
        <f>IF(A226="","",YEAR(A226))</f>
        <v>2026</v>
      </c>
      <c r="P226" s="29" t="str">
        <f>IF(A226="","",CHOOSE(WEEKDAY(A226,2),"Segunda","Terça","Quarta","Quinta","Sexta","Sábado","Domingo"))</f>
        <v>Quinta</v>
      </c>
      <c r="Q226" s="29" t="str">
        <f>IF(B226="","",IF(B226&lt;TIME(12,0,0),"Manhã",IF(B226&lt;TIME(18,0,0),"Tarde","Noite")))</f>
        <v>Tarde</v>
      </c>
      <c r="R226" s="45">
        <f>IF(AND(H226="Realizado",L226&lt;&gt;""),L226/60,0)</f>
        <v>0</v>
      </c>
    </row>
    <row r="227">
      <c r="A227" s="42" t="n">
        <v>46226</v>
      </c>
      <c r="B227" s="43" t="n">
        <v>0.6111111111111112</v>
      </c>
      <c r="C227" s="37" t="inlineStr">
        <is>
          <t>Dra. Renata Sousa</t>
        </is>
      </c>
      <c r="D227" s="37" t="inlineStr">
        <is>
          <t>Sala 1</t>
        </is>
      </c>
      <c r="E227" s="36" t="inlineStr">
        <is>
          <t>Fábio Gomes</t>
        </is>
      </c>
      <c r="F227" s="37" t="inlineStr">
        <is>
          <t>Particular</t>
        </is>
      </c>
      <c r="G227" s="37" t="inlineStr">
        <is>
          <t>Retorno</t>
        </is>
      </c>
      <c r="H227" s="37" t="inlineStr">
        <is>
          <t>Realizado</t>
        </is>
      </c>
      <c r="I227" s="37" t="inlineStr">
        <is>
          <t>Sem cobrança</t>
        </is>
      </c>
      <c r="J227" s="37" t="n"/>
      <c r="K227" s="36" t="n"/>
      <c r="L227" s="44">
        <f>IF(G227="","",IFERROR(INDEX(Config!$K$5:$K$16,MATCH(G227,Config!$J$5:$J$16,0)),""))</f>
        <v>20</v>
      </c>
      <c r="M227" s="30">
        <f>IF(OR(G227="",F227=""),"",IFERROR(INDEX(Config!$M$5:$R$16,MATCH(G227,Config!$J$5:$J$16,0),MATCH(F227,Config!$H$5:$H$10,0)),""))</f>
        <v>0</v>
      </c>
      <c r="N227" s="29">
        <f>IF(A227="","",MONTH(A227))</f>
        <v>7</v>
      </c>
      <c r="O227" s="29">
        <f>IF(A227="","",YEAR(A227))</f>
        <v>2026</v>
      </c>
      <c r="P227" s="29" t="str">
        <f>IF(A227="","",CHOOSE(WEEKDAY(A227,2),"Segunda","Terça","Quarta","Quinta","Sexta","Sábado","Domingo"))</f>
        <v>Quinta</v>
      </c>
      <c r="Q227" s="29" t="str">
        <f>IF(B227="","",IF(B227&lt;TIME(12,0,0),"Manhã",IF(B227&lt;TIME(18,0,0),"Tarde","Noite")))</f>
        <v>Tarde</v>
      </c>
      <c r="R227" s="45">
        <f>IF(AND(H227="Realizado",L227&lt;&gt;""),L227/60,0)</f>
        <v>0.333333333333333</v>
      </c>
    </row>
    <row r="228">
      <c r="A228" s="42" t="n">
        <v>46226</v>
      </c>
      <c r="B228" s="43" t="n">
        <v>0.625</v>
      </c>
      <c r="C228" s="37" t="inlineStr">
        <is>
          <t>Dra. Renata Sousa</t>
        </is>
      </c>
      <c r="D228" s="37" t="inlineStr">
        <is>
          <t>Sala 1</t>
        </is>
      </c>
      <c r="E228" s="36" t="inlineStr">
        <is>
          <t>Márcia Duarte</t>
        </is>
      </c>
      <c r="F228" s="37" t="inlineStr">
        <is>
          <t>Particular</t>
        </is>
      </c>
      <c r="G228" s="37" t="inlineStr">
        <is>
          <t>Avaliação endócrina</t>
        </is>
      </c>
      <c r="H228" s="37" t="inlineStr">
        <is>
          <t>Realizado</t>
        </is>
      </c>
      <c r="I228" s="37" t="inlineStr">
        <is>
          <t>A prazo</t>
        </is>
      </c>
      <c r="J228" s="37" t="n"/>
      <c r="K228" s="36" t="n"/>
      <c r="L228" s="44">
        <f>IF(G228="","",IFERROR(INDEX(Config!$K$5:$K$16,MATCH(G228,Config!$J$5:$J$16,0)),""))</f>
        <v>40</v>
      </c>
      <c r="M228" s="30">
        <f>IF(OR(G228="",F228=""),"",IFERROR(INDEX(Config!$M$5:$R$16,MATCH(G228,Config!$J$5:$J$16,0),MATCH(F228,Config!$H$5:$H$10,0)),""))</f>
        <v>400</v>
      </c>
      <c r="N228" s="29">
        <f>IF(A228="","",MONTH(A228))</f>
        <v>7</v>
      </c>
      <c r="O228" s="29">
        <f>IF(A228="","",YEAR(A228))</f>
        <v>2026</v>
      </c>
      <c r="P228" s="29" t="str">
        <f>IF(A228="","",CHOOSE(WEEKDAY(A228,2),"Segunda","Terça","Quarta","Quinta","Sexta","Sábado","Domingo"))</f>
        <v>Quinta</v>
      </c>
      <c r="Q228" s="29" t="str">
        <f>IF(B228="","",IF(B228&lt;TIME(12,0,0),"Manhã",IF(B228&lt;TIME(18,0,0),"Tarde","Noite")))</f>
        <v>Tarde</v>
      </c>
      <c r="R228" s="45">
        <f>IF(AND(H228="Realizado",L228&lt;&gt;""),L228/60,0)</f>
        <v>0.666666666666667</v>
      </c>
    </row>
    <row r="229">
      <c r="A229" s="42" t="n">
        <v>46226</v>
      </c>
      <c r="B229" s="43" t="n">
        <v>0.625</v>
      </c>
      <c r="C229" s="37" t="inlineStr">
        <is>
          <t>Dr. Paulo Andrade</t>
        </is>
      </c>
      <c r="D229" s="37" t="inlineStr">
        <is>
          <t>Sala 2</t>
        </is>
      </c>
      <c r="E229" s="36" t="inlineStr">
        <is>
          <t>Camila Batista</t>
        </is>
      </c>
      <c r="F229" s="37" t="inlineStr">
        <is>
          <t>MediPlan</t>
        </is>
      </c>
      <c r="G229" s="37" t="inlineStr">
        <is>
          <t>MAPA</t>
        </is>
      </c>
      <c r="H229" s="37" t="inlineStr">
        <is>
          <t>Realizado</t>
        </is>
      </c>
      <c r="I229" s="37" t="inlineStr">
        <is>
          <t>Convênio</t>
        </is>
      </c>
      <c r="J229" s="37" t="n"/>
      <c r="K229" s="36" t="n"/>
      <c r="L229" s="44">
        <f>IF(G229="","",IFERROR(INDEX(Config!$K$5:$K$16,MATCH(G229,Config!$J$5:$J$16,0)),""))</f>
        <v>20</v>
      </c>
      <c r="M229" s="30">
        <f>IF(OR(G229="",F229=""),"",IFERROR(INDEX(Config!$M$5:$R$16,MATCH(G229,Config!$J$5:$J$16,0),MATCH(F229,Config!$H$5:$H$10,0)),""))</f>
        <v>85</v>
      </c>
      <c r="N229" s="29">
        <f>IF(A229="","",MONTH(A229))</f>
        <v>7</v>
      </c>
      <c r="O229" s="29">
        <f>IF(A229="","",YEAR(A229))</f>
        <v>2026</v>
      </c>
      <c r="P229" s="29" t="str">
        <f>IF(A229="","",CHOOSE(WEEKDAY(A229,2),"Segunda","Terça","Quarta","Quinta","Sexta","Sábado","Domingo"))</f>
        <v>Quinta</v>
      </c>
      <c r="Q229" s="29" t="str">
        <f>IF(B229="","",IF(B229&lt;TIME(12,0,0),"Manhã",IF(B229&lt;TIME(18,0,0),"Tarde","Noite")))</f>
        <v>Tarde</v>
      </c>
      <c r="R229" s="45">
        <f>IF(AND(H229="Realizado",L229&lt;&gt;""),L229/60,0)</f>
        <v>0.333333333333333</v>
      </c>
    </row>
    <row r="230">
      <c r="A230" s="42" t="n">
        <v>46226</v>
      </c>
      <c r="B230" s="43" t="n">
        <v>0.6388888888888888</v>
      </c>
      <c r="C230" s="37" t="inlineStr">
        <is>
          <t>Dr. Paulo Andrade</t>
        </is>
      </c>
      <c r="D230" s="37" t="inlineStr">
        <is>
          <t>Sala 2</t>
        </is>
      </c>
      <c r="E230" s="36" t="inlineStr">
        <is>
          <t>Vanessa Moreira</t>
        </is>
      </c>
      <c r="F230" s="37" t="inlineStr">
        <is>
          <t>Saúde Total</t>
        </is>
      </c>
      <c r="G230" s="37" t="inlineStr">
        <is>
          <t>Retorno</t>
        </is>
      </c>
      <c r="H230" s="37" t="inlineStr">
        <is>
          <t>Realizado</t>
        </is>
      </c>
      <c r="I230" s="37" t="inlineStr">
        <is>
          <t>Sem cobrança</t>
        </is>
      </c>
      <c r="J230" s="37" t="n"/>
      <c r="K230" s="36" t="n"/>
      <c r="L230" s="44">
        <f>IF(G230="","",IFERROR(INDEX(Config!$K$5:$K$16,MATCH(G230,Config!$J$5:$J$16,0)),""))</f>
        <v>20</v>
      </c>
      <c r="M230" s="30">
        <f>IF(OR(G230="",F230=""),"",IFERROR(INDEX(Config!$M$5:$R$16,MATCH(G230,Config!$J$5:$J$16,0),MATCH(F230,Config!$H$5:$H$10,0)),""))</f>
        <v>0</v>
      </c>
      <c r="N230" s="29">
        <f>IF(A230="","",MONTH(A230))</f>
        <v>7</v>
      </c>
      <c r="O230" s="29">
        <f>IF(A230="","",YEAR(A230))</f>
        <v>2026</v>
      </c>
      <c r="P230" s="29" t="str">
        <f>IF(A230="","",CHOOSE(WEEKDAY(A230,2),"Segunda","Terça","Quarta","Quinta","Sexta","Sábado","Domingo"))</f>
        <v>Quinta</v>
      </c>
      <c r="Q230" s="29" t="str">
        <f>IF(B230="","",IF(B230&lt;TIME(12,0,0),"Manhã",IF(B230&lt;TIME(18,0,0),"Tarde","Noite")))</f>
        <v>Tarde</v>
      </c>
      <c r="R230" s="45">
        <f>IF(AND(H230="Realizado",L230&lt;&gt;""),L230/60,0)</f>
        <v>0.333333333333333</v>
      </c>
    </row>
    <row r="231">
      <c r="A231" s="42" t="n">
        <v>46226</v>
      </c>
      <c r="B231" s="43" t="n">
        <v>0.6527777777777778</v>
      </c>
      <c r="C231" s="37" t="inlineStr">
        <is>
          <t>Dra. Renata Sousa</t>
        </is>
      </c>
      <c r="D231" s="37" t="inlineStr">
        <is>
          <t>Sala 1</t>
        </is>
      </c>
      <c r="E231" s="36" t="inlineStr">
        <is>
          <t>Isabela Barbosa</t>
        </is>
      </c>
      <c r="F231" s="37" t="inlineStr">
        <is>
          <t>Saúde Total</t>
        </is>
      </c>
      <c r="G231" s="37" t="inlineStr">
        <is>
          <t>Retorno</t>
        </is>
      </c>
      <c r="H231" s="37" t="inlineStr">
        <is>
          <t>Realizado</t>
        </is>
      </c>
      <c r="I231" s="37" t="inlineStr">
        <is>
          <t>Sem cobrança</t>
        </is>
      </c>
      <c r="J231" s="37" t="n"/>
      <c r="K231" s="36" t="n"/>
      <c r="L231" s="44">
        <f>IF(G231="","",IFERROR(INDEX(Config!$K$5:$K$16,MATCH(G231,Config!$J$5:$J$16,0)),""))</f>
        <v>20</v>
      </c>
      <c r="M231" s="30">
        <f>IF(OR(G231="",F231=""),"",IFERROR(INDEX(Config!$M$5:$R$16,MATCH(G231,Config!$J$5:$J$16,0),MATCH(F231,Config!$H$5:$H$10,0)),""))</f>
        <v>0</v>
      </c>
      <c r="N231" s="29">
        <f>IF(A231="","",MONTH(A231))</f>
        <v>7</v>
      </c>
      <c r="O231" s="29">
        <f>IF(A231="","",YEAR(A231))</f>
        <v>2026</v>
      </c>
      <c r="P231" s="29" t="str">
        <f>IF(A231="","",CHOOSE(WEEKDAY(A231,2),"Segunda","Terça","Quarta","Quinta","Sexta","Sábado","Domingo"))</f>
        <v>Quinta</v>
      </c>
      <c r="Q231" s="29" t="str">
        <f>IF(B231="","",IF(B231&lt;TIME(12,0,0),"Manhã",IF(B231&lt;TIME(18,0,0),"Tarde","Noite")))</f>
        <v>Tarde</v>
      </c>
      <c r="R231" s="45">
        <f>IF(AND(H231="Realizado",L231&lt;&gt;""),L231/60,0)</f>
        <v>0.333333333333333</v>
      </c>
    </row>
    <row r="232">
      <c r="A232" s="42" t="n">
        <v>46226</v>
      </c>
      <c r="B232" s="43" t="n">
        <v>0.6527777777777778</v>
      </c>
      <c r="C232" s="37" t="inlineStr">
        <is>
          <t>Dr. Paulo Andrade</t>
        </is>
      </c>
      <c r="D232" s="37" t="inlineStr">
        <is>
          <t>Sala 2</t>
        </is>
      </c>
      <c r="E232" s="36" t="inlineStr">
        <is>
          <t>Priscila Nunes</t>
        </is>
      </c>
      <c r="F232" s="37" t="inlineStr">
        <is>
          <t>MediPlan</t>
        </is>
      </c>
      <c r="G232" s="37" t="inlineStr">
        <is>
          <t>ECG</t>
        </is>
      </c>
      <c r="H232" s="37" t="inlineStr">
        <is>
          <t>Realizado</t>
        </is>
      </c>
      <c r="I232" s="37" t="inlineStr">
        <is>
          <t>Convênio</t>
        </is>
      </c>
      <c r="J232" s="37" t="n"/>
      <c r="K232" s="36" t="n"/>
      <c r="L232" s="44">
        <f>IF(G232="","",IFERROR(INDEX(Config!$K$5:$K$16,MATCH(G232,Config!$J$5:$J$16,0)),""))</f>
        <v>20</v>
      </c>
      <c r="M232" s="30">
        <f>IF(OR(G232="",F232=""),"",IFERROR(INDEX(Config!$M$5:$R$16,MATCH(G232,Config!$J$5:$J$16,0),MATCH(F232,Config!$H$5:$H$10,0)),""))</f>
        <v>35</v>
      </c>
      <c r="N232" s="29">
        <f>IF(A232="","",MONTH(A232))</f>
        <v>7</v>
      </c>
      <c r="O232" s="29">
        <f>IF(A232="","",YEAR(A232))</f>
        <v>2026</v>
      </c>
      <c r="P232" s="29" t="str">
        <f>IF(A232="","",CHOOSE(WEEKDAY(A232,2),"Segunda","Terça","Quarta","Quinta","Sexta","Sábado","Domingo"))</f>
        <v>Quinta</v>
      </c>
      <c r="Q232" s="29" t="str">
        <f>IF(B232="","",IF(B232&lt;TIME(12,0,0),"Manhã",IF(B232&lt;TIME(18,0,0),"Tarde","Noite")))</f>
        <v>Tarde</v>
      </c>
      <c r="R232" s="45">
        <f>IF(AND(H232="Realizado",L232&lt;&gt;""),L232/60,0)</f>
        <v>0.333333333333333</v>
      </c>
    </row>
    <row r="233">
      <c r="A233" s="42" t="n">
        <v>46226</v>
      </c>
      <c r="B233" s="43" t="n">
        <v>0.6666666666666666</v>
      </c>
      <c r="C233" s="37" t="inlineStr">
        <is>
          <t>Dr. Paulo Andrade</t>
        </is>
      </c>
      <c r="D233" s="37" t="inlineStr">
        <is>
          <t>Sala 2</t>
        </is>
      </c>
      <c r="E233" s="36" t="inlineStr">
        <is>
          <t>Rafael Barros</t>
        </is>
      </c>
      <c r="F233" s="37" t="inlineStr">
        <is>
          <t>Particular</t>
        </is>
      </c>
      <c r="G233" s="37" t="inlineStr">
        <is>
          <t>Consulta</t>
        </is>
      </c>
      <c r="H233" s="37" t="inlineStr">
        <is>
          <t>Realizado</t>
        </is>
      </c>
      <c r="I233" s="37" t="inlineStr">
        <is>
          <t>A prazo</t>
        </is>
      </c>
      <c r="J233" s="37" t="n"/>
      <c r="K233" s="36" t="n"/>
      <c r="L233" s="44">
        <f>IF(G233="","",IFERROR(INDEX(Config!$K$5:$K$16,MATCH(G233,Config!$J$5:$J$16,0)),""))</f>
        <v>30</v>
      </c>
      <c r="M233" s="30">
        <f>IF(OR(G233="",F233=""),"",IFERROR(INDEX(Config!$M$5:$R$16,MATCH(G233,Config!$J$5:$J$16,0),MATCH(F233,Config!$H$5:$H$10,0)),""))</f>
        <v>380</v>
      </c>
      <c r="N233" s="29">
        <f>IF(A233="","",MONTH(A233))</f>
        <v>7</v>
      </c>
      <c r="O233" s="29">
        <f>IF(A233="","",YEAR(A233))</f>
        <v>2026</v>
      </c>
      <c r="P233" s="29" t="str">
        <f>IF(A233="","",CHOOSE(WEEKDAY(A233,2),"Segunda","Terça","Quarta","Quinta","Sexta","Sábado","Domingo"))</f>
        <v>Quinta</v>
      </c>
      <c r="Q233" s="29" t="str">
        <f>IF(B233="","",IF(B233&lt;TIME(12,0,0),"Manhã",IF(B233&lt;TIME(18,0,0),"Tarde","Noite")))</f>
        <v>Tarde</v>
      </c>
      <c r="R233" s="45">
        <f>IF(AND(H233="Realizado",L233&lt;&gt;""),L233/60,0)</f>
        <v>0.5</v>
      </c>
    </row>
    <row r="234">
      <c r="A234" s="42" t="n">
        <v>46226</v>
      </c>
      <c r="B234" s="43" t="n">
        <v>0.6875</v>
      </c>
      <c r="C234" s="37" t="inlineStr">
        <is>
          <t>Dra. Renata Sousa</t>
        </is>
      </c>
      <c r="D234" s="37" t="inlineStr">
        <is>
          <t>Sala 1</t>
        </is>
      </c>
      <c r="E234" s="36" t="inlineStr">
        <is>
          <t>Priscila Reis</t>
        </is>
      </c>
      <c r="F234" s="37" t="inlineStr">
        <is>
          <t>Particular</t>
        </is>
      </c>
      <c r="G234" s="37" t="inlineStr">
        <is>
          <t>Avaliação endócrina</t>
        </is>
      </c>
      <c r="H234" s="37" t="inlineStr">
        <is>
          <t>Realizado</t>
        </is>
      </c>
      <c r="I234" s="37" t="inlineStr">
        <is>
          <t>Cartão de crédito</t>
        </is>
      </c>
      <c r="J234" s="37" t="n">
        <v>2</v>
      </c>
      <c r="K234" s="36" t="n"/>
      <c r="L234" s="44">
        <f>IF(G234="","",IFERROR(INDEX(Config!$K$5:$K$16,MATCH(G234,Config!$J$5:$J$16,0)),""))</f>
        <v>40</v>
      </c>
      <c r="M234" s="30">
        <f>IF(OR(G234="",F234=""),"",IFERROR(INDEX(Config!$M$5:$R$16,MATCH(G234,Config!$J$5:$J$16,0),MATCH(F234,Config!$H$5:$H$10,0)),""))</f>
        <v>400</v>
      </c>
      <c r="N234" s="29">
        <f>IF(A234="","",MONTH(A234))</f>
        <v>7</v>
      </c>
      <c r="O234" s="29">
        <f>IF(A234="","",YEAR(A234))</f>
        <v>2026</v>
      </c>
      <c r="P234" s="29" t="str">
        <f>IF(A234="","",CHOOSE(WEEKDAY(A234,2),"Segunda","Terça","Quarta","Quinta","Sexta","Sábado","Domingo"))</f>
        <v>Quinta</v>
      </c>
      <c r="Q234" s="29" t="str">
        <f>IF(B234="","",IF(B234&lt;TIME(12,0,0),"Manhã",IF(B234&lt;TIME(18,0,0),"Tarde","Noite")))</f>
        <v>Tarde</v>
      </c>
      <c r="R234" s="45">
        <f>IF(AND(H234="Realizado",L234&lt;&gt;""),L234/60,0)</f>
        <v>0.666666666666667</v>
      </c>
    </row>
    <row r="235">
      <c r="A235" s="42" t="n">
        <v>46226</v>
      </c>
      <c r="B235" s="43" t="n">
        <v>0.6875</v>
      </c>
      <c r="C235" s="37" t="inlineStr">
        <is>
          <t>Dr. Paulo Andrade</t>
        </is>
      </c>
      <c r="D235" s="37" t="inlineStr">
        <is>
          <t>Sala 2</t>
        </is>
      </c>
      <c r="E235" s="36" t="inlineStr">
        <is>
          <t>Regina Castro</t>
        </is>
      </c>
      <c r="F235" s="37" t="inlineStr">
        <is>
          <t>Vida Care</t>
        </is>
      </c>
      <c r="G235" s="37" t="inlineStr">
        <is>
          <t>ECG</t>
        </is>
      </c>
      <c r="H235" s="37" t="inlineStr">
        <is>
          <t>Realizado</t>
        </is>
      </c>
      <c r="I235" s="37" t="inlineStr">
        <is>
          <t>Convênio</t>
        </is>
      </c>
      <c r="J235" s="37" t="n"/>
      <c r="K235" s="36" t="n"/>
      <c r="L235" s="44">
        <f>IF(G235="","",IFERROR(INDEX(Config!$K$5:$K$16,MATCH(G235,Config!$J$5:$J$16,0)),""))</f>
        <v>20</v>
      </c>
      <c r="M235" s="30">
        <f>IF(OR(G235="",F235=""),"",IFERROR(INDEX(Config!$M$5:$R$16,MATCH(G235,Config!$J$5:$J$16,0),MATCH(F235,Config!$H$5:$H$10,0)),""))</f>
        <v>32</v>
      </c>
      <c r="N235" s="29">
        <f>IF(A235="","",MONTH(A235))</f>
        <v>7</v>
      </c>
      <c r="O235" s="29">
        <f>IF(A235="","",YEAR(A235))</f>
        <v>2026</v>
      </c>
      <c r="P235" s="29" t="str">
        <f>IF(A235="","",CHOOSE(WEEKDAY(A235,2),"Segunda","Terça","Quarta","Quinta","Sexta","Sábado","Domingo"))</f>
        <v>Quinta</v>
      </c>
      <c r="Q235" s="29" t="str">
        <f>IF(B235="","",IF(B235&lt;TIME(12,0,0),"Manhã",IF(B235&lt;TIME(18,0,0),"Tarde","Noite")))</f>
        <v>Tarde</v>
      </c>
      <c r="R235" s="45">
        <f>IF(AND(H235="Realizado",L235&lt;&gt;""),L235/60,0)</f>
        <v>0.333333333333333</v>
      </c>
    </row>
    <row r="236">
      <c r="A236" s="42" t="n">
        <v>46226</v>
      </c>
      <c r="B236" s="43" t="n">
        <v>0.7013888888888888</v>
      </c>
      <c r="C236" s="37" t="inlineStr">
        <is>
          <t>Dr. Paulo Andrade</t>
        </is>
      </c>
      <c r="D236" s="37" t="inlineStr">
        <is>
          <t>Sala 2</t>
        </is>
      </c>
      <c r="E236" s="36" t="inlineStr">
        <is>
          <t>Camila Martins</t>
        </is>
      </c>
      <c r="F236" s="37" t="inlineStr">
        <is>
          <t>Vida Care</t>
        </is>
      </c>
      <c r="G236" s="37" t="inlineStr">
        <is>
          <t>Consulta</t>
        </is>
      </c>
      <c r="H236" s="37" t="inlineStr">
        <is>
          <t>Realizado</t>
        </is>
      </c>
      <c r="I236" s="37" t="inlineStr">
        <is>
          <t>Convênio</t>
        </is>
      </c>
      <c r="J236" s="37" t="n"/>
      <c r="K236" s="36" t="n"/>
      <c r="L236" s="44">
        <f>IF(G236="","",IFERROR(INDEX(Config!$K$5:$K$16,MATCH(G236,Config!$J$5:$J$16,0)),""))</f>
        <v>30</v>
      </c>
      <c r="M236" s="30">
        <f>IF(OR(G236="",F236=""),"",IFERROR(INDEX(Config!$M$5:$R$16,MATCH(G236,Config!$J$5:$J$16,0),MATCH(F236,Config!$H$5:$H$10,0)),""))</f>
        <v>90</v>
      </c>
      <c r="N236" s="29">
        <f>IF(A236="","",MONTH(A236))</f>
        <v>7</v>
      </c>
      <c r="O236" s="29">
        <f>IF(A236="","",YEAR(A236))</f>
        <v>2026</v>
      </c>
      <c r="P236" s="29" t="str">
        <f>IF(A236="","",CHOOSE(WEEKDAY(A236,2),"Segunda","Terça","Quarta","Quinta","Sexta","Sábado","Domingo"))</f>
        <v>Quinta</v>
      </c>
      <c r="Q236" s="29" t="str">
        <f>IF(B236="","",IF(B236&lt;TIME(12,0,0),"Manhã",IF(B236&lt;TIME(18,0,0),"Tarde","Noite")))</f>
        <v>Tarde</v>
      </c>
      <c r="R236" s="45">
        <f>IF(AND(H236="Realizado",L236&lt;&gt;""),L236/60,0)</f>
        <v>0.5</v>
      </c>
    </row>
    <row r="237">
      <c r="A237" s="42" t="n">
        <v>46226</v>
      </c>
      <c r="B237" s="43" t="n">
        <v>0.7152777777777778</v>
      </c>
      <c r="C237" s="37" t="inlineStr">
        <is>
          <t>Dra. Renata Sousa</t>
        </is>
      </c>
      <c r="D237" s="37" t="inlineStr">
        <is>
          <t>Sala 1</t>
        </is>
      </c>
      <c r="E237" s="36" t="inlineStr">
        <is>
          <t>Daniel Moreira</t>
        </is>
      </c>
      <c r="F237" s="37" t="inlineStr">
        <is>
          <t>Saúde Total</t>
        </is>
      </c>
      <c r="G237" s="37" t="inlineStr">
        <is>
          <t>Avaliação endócrina</t>
        </is>
      </c>
      <c r="H237" s="37" t="inlineStr">
        <is>
          <t>Cancelado</t>
        </is>
      </c>
      <c r="I237" s="37" t="n"/>
      <c r="J237" s="37" t="n"/>
      <c r="K237" s="36" t="n"/>
      <c r="L237" s="44">
        <f>IF(G237="","",IFERROR(INDEX(Config!$K$5:$K$16,MATCH(G237,Config!$J$5:$J$16,0)),""))</f>
        <v>40</v>
      </c>
      <c r="M237" s="30">
        <f>IF(OR(G237="",F237=""),"",IFERROR(INDEX(Config!$M$5:$R$16,MATCH(G237,Config!$J$5:$J$16,0),MATCH(F237,Config!$H$5:$H$10,0)),""))</f>
        <v>130</v>
      </c>
      <c r="N237" s="29">
        <f>IF(A237="","",MONTH(A237))</f>
        <v>7</v>
      </c>
      <c r="O237" s="29">
        <f>IF(A237="","",YEAR(A237))</f>
        <v>2026</v>
      </c>
      <c r="P237" s="29" t="str">
        <f>IF(A237="","",CHOOSE(WEEKDAY(A237,2),"Segunda","Terça","Quarta","Quinta","Sexta","Sábado","Domingo"))</f>
        <v>Quinta</v>
      </c>
      <c r="Q237" s="29" t="str">
        <f>IF(B237="","",IF(B237&lt;TIME(12,0,0),"Manhã",IF(B237&lt;TIME(18,0,0),"Tarde","Noite")))</f>
        <v>Tarde</v>
      </c>
      <c r="R237" s="45">
        <f>IF(AND(H237="Realizado",L237&lt;&gt;""),L237/60,0)</f>
        <v>0</v>
      </c>
    </row>
    <row r="238">
      <c r="A238" s="42" t="n">
        <v>46226</v>
      </c>
      <c r="B238" s="43" t="n">
        <v>0.7222222222222222</v>
      </c>
      <c r="C238" s="37" t="inlineStr">
        <is>
          <t>Dr. Paulo Andrade</t>
        </is>
      </c>
      <c r="D238" s="37" t="inlineStr">
        <is>
          <t>Sala 2</t>
        </is>
      </c>
      <c r="E238" s="36" t="inlineStr">
        <is>
          <t>Rodrigo Gomes</t>
        </is>
      </c>
      <c r="F238" s="37" t="inlineStr">
        <is>
          <t>Vida Care</t>
        </is>
      </c>
      <c r="G238" s="37" t="inlineStr">
        <is>
          <t>ECG</t>
        </is>
      </c>
      <c r="H238" s="37" t="inlineStr">
        <is>
          <t>Realizado</t>
        </is>
      </c>
      <c r="I238" s="37" t="inlineStr">
        <is>
          <t>Convênio</t>
        </is>
      </c>
      <c r="J238" s="37" t="n"/>
      <c r="K238" s="36" t="n"/>
      <c r="L238" s="44">
        <f>IF(G238="","",IFERROR(INDEX(Config!$K$5:$K$16,MATCH(G238,Config!$J$5:$J$16,0)),""))</f>
        <v>20</v>
      </c>
      <c r="M238" s="30">
        <f>IF(OR(G238="",F238=""),"",IFERROR(INDEX(Config!$M$5:$R$16,MATCH(G238,Config!$J$5:$J$16,0),MATCH(F238,Config!$H$5:$H$10,0)),""))</f>
        <v>32</v>
      </c>
      <c r="N238" s="29">
        <f>IF(A238="","",MONTH(A238))</f>
        <v>7</v>
      </c>
      <c r="O238" s="29">
        <f>IF(A238="","",YEAR(A238))</f>
        <v>2026</v>
      </c>
      <c r="P238" s="29" t="str">
        <f>IF(A238="","",CHOOSE(WEEKDAY(A238,2),"Segunda","Terça","Quarta","Quinta","Sexta","Sábado","Domingo"))</f>
        <v>Quinta</v>
      </c>
      <c r="Q238" s="29" t="str">
        <f>IF(B238="","",IF(B238&lt;TIME(12,0,0),"Manhã",IF(B238&lt;TIME(18,0,0),"Tarde","Noite")))</f>
        <v>Tarde</v>
      </c>
      <c r="R238" s="45">
        <f>IF(AND(H238="Realizado",L238&lt;&gt;""),L238/60,0)</f>
        <v>0.333333333333333</v>
      </c>
    </row>
    <row r="239">
      <c r="A239" s="42" t="n">
        <v>46226</v>
      </c>
      <c r="B239" s="43" t="n">
        <v>0.7361111111111112</v>
      </c>
      <c r="C239" s="37" t="inlineStr">
        <is>
          <t>Dr. Paulo Andrade</t>
        </is>
      </c>
      <c r="D239" s="37" t="inlineStr">
        <is>
          <t>Sala 2</t>
        </is>
      </c>
      <c r="E239" s="36" t="inlineStr">
        <is>
          <t>Gabriel Vieira</t>
        </is>
      </c>
      <c r="F239" s="37" t="inlineStr">
        <is>
          <t>Vida Care</t>
        </is>
      </c>
      <c r="G239" s="37" t="inlineStr">
        <is>
          <t>Retorno</t>
        </is>
      </c>
      <c r="H239" s="37" t="inlineStr">
        <is>
          <t>Realizado</t>
        </is>
      </c>
      <c r="I239" s="37" t="inlineStr">
        <is>
          <t>Sem cobrança</t>
        </is>
      </c>
      <c r="J239" s="37" t="n"/>
      <c r="K239" s="36" t="n"/>
      <c r="L239" s="44">
        <f>IF(G239="","",IFERROR(INDEX(Config!$K$5:$K$16,MATCH(G239,Config!$J$5:$J$16,0)),""))</f>
        <v>20</v>
      </c>
      <c r="M239" s="30">
        <f>IF(OR(G239="",F239=""),"",IFERROR(INDEX(Config!$M$5:$R$16,MATCH(G239,Config!$J$5:$J$16,0),MATCH(F239,Config!$H$5:$H$10,0)),""))</f>
        <v>0</v>
      </c>
      <c r="N239" s="29">
        <f>IF(A239="","",MONTH(A239))</f>
        <v>7</v>
      </c>
      <c r="O239" s="29">
        <f>IF(A239="","",YEAR(A239))</f>
        <v>2026</v>
      </c>
      <c r="P239" s="29" t="str">
        <f>IF(A239="","",CHOOSE(WEEKDAY(A239,2),"Segunda","Terça","Quarta","Quinta","Sexta","Sábado","Domingo"))</f>
        <v>Quinta</v>
      </c>
      <c r="Q239" s="29" t="str">
        <f>IF(B239="","",IF(B239&lt;TIME(12,0,0),"Manhã",IF(B239&lt;TIME(18,0,0),"Tarde","Noite")))</f>
        <v>Tarde</v>
      </c>
      <c r="R239" s="45">
        <f>IF(AND(H239="Realizado",L239&lt;&gt;""),L239/60,0)</f>
        <v>0.333333333333333</v>
      </c>
    </row>
    <row r="240">
      <c r="A240" s="42" t="n">
        <v>46227</v>
      </c>
      <c r="B240" s="43" t="n">
        <v>0.3333333333333333</v>
      </c>
      <c r="C240" s="37" t="inlineStr">
        <is>
          <t>Dr. Paulo Andrade</t>
        </is>
      </c>
      <c r="D240" s="37" t="inlineStr">
        <is>
          <t>Sala 2</t>
        </is>
      </c>
      <c r="E240" s="36" t="inlineStr">
        <is>
          <t>Lucas Lopes</t>
        </is>
      </c>
      <c r="F240" s="37" t="inlineStr">
        <is>
          <t>Particular</t>
        </is>
      </c>
      <c r="G240" s="37" t="inlineStr">
        <is>
          <t>Teste ergométrico</t>
        </is>
      </c>
      <c r="H240" s="37" t="inlineStr">
        <is>
          <t>Realizado</t>
        </is>
      </c>
      <c r="I240" s="37" t="inlineStr">
        <is>
          <t>Dinheiro</t>
        </is>
      </c>
      <c r="J240" s="37" t="n"/>
      <c r="K240" s="36" t="n"/>
      <c r="L240" s="44">
        <f>IF(G240="","",IFERROR(INDEX(Config!$K$5:$K$16,MATCH(G240,Config!$J$5:$J$16,0)),""))</f>
        <v>40</v>
      </c>
      <c r="M240" s="30">
        <f>IF(OR(G240="",F240=""),"",IFERROR(INDEX(Config!$M$5:$R$16,MATCH(G240,Config!$J$5:$J$16,0),MATCH(F240,Config!$H$5:$H$10,0)),""))</f>
        <v>450</v>
      </c>
      <c r="N240" s="29">
        <f>IF(A240="","",MONTH(A240))</f>
        <v>7</v>
      </c>
      <c r="O240" s="29">
        <f>IF(A240="","",YEAR(A240))</f>
        <v>2026</v>
      </c>
      <c r="P240" s="29" t="str">
        <f>IF(A240="","",CHOOSE(WEEKDAY(A240,2),"Segunda","Terça","Quarta","Quinta","Sexta","Sábado","Domingo"))</f>
        <v>Sexta</v>
      </c>
      <c r="Q240" s="29" t="str">
        <f>IF(B240="","",IF(B240&lt;TIME(12,0,0),"Manhã",IF(B240&lt;TIME(18,0,0),"Tarde","Noite")))</f>
        <v>Manhã</v>
      </c>
      <c r="R240" s="45">
        <f>IF(AND(H240="Realizado",L240&lt;&gt;""),L240/60,0)</f>
        <v>0.666666666666667</v>
      </c>
    </row>
    <row r="241">
      <c r="A241" s="42" t="n">
        <v>46227</v>
      </c>
      <c r="B241" s="43" t="n">
        <v>0.3819444444444444</v>
      </c>
      <c r="C241" s="37" t="inlineStr">
        <is>
          <t>Dr. Paulo Andrade</t>
        </is>
      </c>
      <c r="D241" s="37" t="inlineStr">
        <is>
          <t>Sala 2</t>
        </is>
      </c>
      <c r="E241" s="36" t="inlineStr">
        <is>
          <t>Mateus Lima</t>
        </is>
      </c>
      <c r="F241" s="37" t="inlineStr">
        <is>
          <t>MediPlan</t>
        </is>
      </c>
      <c r="G241" s="37" t="inlineStr">
        <is>
          <t>MAPA</t>
        </is>
      </c>
      <c r="H241" s="37" t="inlineStr">
        <is>
          <t>Realizado</t>
        </is>
      </c>
      <c r="I241" s="37" t="inlineStr">
        <is>
          <t>Convênio</t>
        </is>
      </c>
      <c r="J241" s="37" t="n"/>
      <c r="K241" s="36" t="n"/>
      <c r="L241" s="44">
        <f>IF(G241="","",IFERROR(INDEX(Config!$K$5:$K$16,MATCH(G241,Config!$J$5:$J$16,0)),""))</f>
        <v>20</v>
      </c>
      <c r="M241" s="30">
        <f>IF(OR(G241="",F241=""),"",IFERROR(INDEX(Config!$M$5:$R$16,MATCH(G241,Config!$J$5:$J$16,0),MATCH(F241,Config!$H$5:$H$10,0)),""))</f>
        <v>85</v>
      </c>
      <c r="N241" s="29">
        <f>IF(A241="","",MONTH(A241))</f>
        <v>7</v>
      </c>
      <c r="O241" s="29">
        <f>IF(A241="","",YEAR(A241))</f>
        <v>2026</v>
      </c>
      <c r="P241" s="29" t="str">
        <f>IF(A241="","",CHOOSE(WEEKDAY(A241,2),"Segunda","Terça","Quarta","Quinta","Sexta","Sábado","Domingo"))</f>
        <v>Sexta</v>
      </c>
      <c r="Q241" s="29" t="str">
        <f>IF(B241="","",IF(B241&lt;TIME(12,0,0),"Manhã",IF(B241&lt;TIME(18,0,0),"Tarde","Noite")))</f>
        <v>Manhã</v>
      </c>
      <c r="R241" s="45">
        <f>IF(AND(H241="Realizado",L241&lt;&gt;""),L241/60,0)</f>
        <v>0.333333333333333</v>
      </c>
    </row>
    <row r="242">
      <c r="A242" s="42" t="n">
        <v>46227</v>
      </c>
      <c r="B242" s="43" t="n">
        <v>0.3958333333333333</v>
      </c>
      <c r="C242" s="37" t="inlineStr">
        <is>
          <t>Dr. Paulo Andrade</t>
        </is>
      </c>
      <c r="D242" s="37" t="inlineStr">
        <is>
          <t>Sala 2</t>
        </is>
      </c>
      <c r="E242" s="36" t="inlineStr">
        <is>
          <t>Gisele Pinto</t>
        </is>
      </c>
      <c r="F242" s="37" t="inlineStr">
        <is>
          <t>Saúde Total</t>
        </is>
      </c>
      <c r="G242" s="37" t="inlineStr">
        <is>
          <t>Consulta</t>
        </is>
      </c>
      <c r="H242" s="37" t="inlineStr">
        <is>
          <t>Realizado</t>
        </is>
      </c>
      <c r="I242" s="37" t="inlineStr">
        <is>
          <t>Convênio</t>
        </is>
      </c>
      <c r="J242" s="37" t="n"/>
      <c r="K242" s="36" t="n"/>
      <c r="L242" s="44">
        <f>IF(G242="","",IFERROR(INDEX(Config!$K$5:$K$16,MATCH(G242,Config!$J$5:$J$16,0)),""))</f>
        <v>30</v>
      </c>
      <c r="M242" s="30">
        <f>IF(OR(G242="",F242=""),"",IFERROR(INDEX(Config!$M$5:$R$16,MATCH(G242,Config!$J$5:$J$16,0),MATCH(F242,Config!$H$5:$H$10,0)),""))</f>
        <v>120</v>
      </c>
      <c r="N242" s="29">
        <f>IF(A242="","",MONTH(A242))</f>
        <v>7</v>
      </c>
      <c r="O242" s="29">
        <f>IF(A242="","",YEAR(A242))</f>
        <v>2026</v>
      </c>
      <c r="P242" s="29" t="str">
        <f>IF(A242="","",CHOOSE(WEEKDAY(A242,2),"Segunda","Terça","Quarta","Quinta","Sexta","Sábado","Domingo"))</f>
        <v>Sexta</v>
      </c>
      <c r="Q242" s="29" t="str">
        <f>IF(B242="","",IF(B242&lt;TIME(12,0,0),"Manhã",IF(B242&lt;TIME(18,0,0),"Tarde","Noite")))</f>
        <v>Manhã</v>
      </c>
      <c r="R242" s="45">
        <f>IF(AND(H242="Realizado",L242&lt;&gt;""),L242/60,0)</f>
        <v>0.5</v>
      </c>
    </row>
    <row r="243">
      <c r="A243" s="42" t="n">
        <v>46227</v>
      </c>
      <c r="B243" s="43" t="n">
        <v>0.4166666666666667</v>
      </c>
      <c r="C243" s="37" t="inlineStr">
        <is>
          <t>Dr. Paulo Andrade</t>
        </is>
      </c>
      <c r="D243" s="37" t="inlineStr">
        <is>
          <t>Sala 2</t>
        </is>
      </c>
      <c r="E243" s="36" t="inlineStr">
        <is>
          <t>Helena Ribeiro</t>
        </is>
      </c>
      <c r="F243" s="37" t="inlineStr">
        <is>
          <t>MediPlan</t>
        </is>
      </c>
      <c r="G243" s="37" t="inlineStr">
        <is>
          <t>Retorno</t>
        </is>
      </c>
      <c r="H243" s="37" t="inlineStr">
        <is>
          <t>Realizado</t>
        </is>
      </c>
      <c r="I243" s="37" t="inlineStr">
        <is>
          <t>Sem cobrança</t>
        </is>
      </c>
      <c r="J243" s="37" t="n"/>
      <c r="K243" s="36" t="n"/>
      <c r="L243" s="44">
        <f>IF(G243="","",IFERROR(INDEX(Config!$K$5:$K$16,MATCH(G243,Config!$J$5:$J$16,0)),""))</f>
        <v>20</v>
      </c>
      <c r="M243" s="30">
        <f>IF(OR(G243="",F243=""),"",IFERROR(INDEX(Config!$M$5:$R$16,MATCH(G243,Config!$J$5:$J$16,0),MATCH(F243,Config!$H$5:$H$10,0)),""))</f>
        <v>0</v>
      </c>
      <c r="N243" s="29">
        <f>IF(A243="","",MONTH(A243))</f>
        <v>7</v>
      </c>
      <c r="O243" s="29">
        <f>IF(A243="","",YEAR(A243))</f>
        <v>2026</v>
      </c>
      <c r="P243" s="29" t="str">
        <f>IF(A243="","",CHOOSE(WEEKDAY(A243,2),"Segunda","Terça","Quarta","Quinta","Sexta","Sábado","Domingo"))</f>
        <v>Sexta</v>
      </c>
      <c r="Q243" s="29" t="str">
        <f>IF(B243="","",IF(B243&lt;TIME(12,0,0),"Manhã",IF(B243&lt;TIME(18,0,0),"Tarde","Noite")))</f>
        <v>Manhã</v>
      </c>
      <c r="R243" s="45">
        <f>IF(AND(H243="Realizado",L243&lt;&gt;""),L243/60,0)</f>
        <v>0.333333333333333</v>
      </c>
    </row>
    <row r="244">
      <c r="A244" s="42" t="n">
        <v>46227</v>
      </c>
      <c r="B244" s="43" t="n">
        <v>0.4305555555555556</v>
      </c>
      <c r="C244" s="37" t="inlineStr">
        <is>
          <t>Dr. Paulo Andrade</t>
        </is>
      </c>
      <c r="D244" s="37" t="inlineStr">
        <is>
          <t>Sala 2</t>
        </is>
      </c>
      <c r="E244" s="36" t="inlineStr">
        <is>
          <t>Ana Costa</t>
        </is>
      </c>
      <c r="F244" s="37" t="inlineStr">
        <is>
          <t>Particular</t>
        </is>
      </c>
      <c r="G244" s="37" t="inlineStr">
        <is>
          <t>ECG</t>
        </is>
      </c>
      <c r="H244" s="37" t="inlineStr">
        <is>
          <t>Realizado</t>
        </is>
      </c>
      <c r="I244" s="37" t="inlineStr">
        <is>
          <t>Pix</t>
        </is>
      </c>
      <c r="J244" s="37" t="n"/>
      <c r="K244" s="36" t="n"/>
      <c r="L244" s="44">
        <f>IF(G244="","",IFERROR(INDEX(Config!$K$5:$K$16,MATCH(G244,Config!$J$5:$J$16,0)),""))</f>
        <v>20</v>
      </c>
      <c r="M244" s="30">
        <f>IF(OR(G244="",F244=""),"",IFERROR(INDEX(Config!$M$5:$R$16,MATCH(G244,Config!$J$5:$J$16,0),MATCH(F244,Config!$H$5:$H$10,0)),""))</f>
        <v>130</v>
      </c>
      <c r="N244" s="29">
        <f>IF(A244="","",MONTH(A244))</f>
        <v>7</v>
      </c>
      <c r="O244" s="29">
        <f>IF(A244="","",YEAR(A244))</f>
        <v>2026</v>
      </c>
      <c r="P244" s="29" t="str">
        <f>IF(A244="","",CHOOSE(WEEKDAY(A244,2),"Segunda","Terça","Quarta","Quinta","Sexta","Sábado","Domingo"))</f>
        <v>Sexta</v>
      </c>
      <c r="Q244" s="29" t="str">
        <f>IF(B244="","",IF(B244&lt;TIME(12,0,0),"Manhã",IF(B244&lt;TIME(18,0,0),"Tarde","Noite")))</f>
        <v>Manhã</v>
      </c>
      <c r="R244" s="45">
        <f>IF(AND(H244="Realizado",L244&lt;&gt;""),L244/60,0)</f>
        <v>0.333333333333333</v>
      </c>
    </row>
    <row r="245">
      <c r="A245" s="42" t="n">
        <v>46227</v>
      </c>
      <c r="B245" s="43" t="n">
        <v>0.4444444444444444</v>
      </c>
      <c r="C245" s="37" t="inlineStr">
        <is>
          <t>Dr. Paulo Andrade</t>
        </is>
      </c>
      <c r="D245" s="37" t="inlineStr">
        <is>
          <t>Sala 2</t>
        </is>
      </c>
      <c r="E245" s="36" t="inlineStr">
        <is>
          <t>Wagner Costa</t>
        </is>
      </c>
      <c r="F245" s="37" t="inlineStr">
        <is>
          <t>Particular</t>
        </is>
      </c>
      <c r="G245" s="37" t="inlineStr">
        <is>
          <t>Retorno</t>
        </is>
      </c>
      <c r="H245" s="37" t="inlineStr">
        <is>
          <t>Realizado</t>
        </is>
      </c>
      <c r="I245" s="37" t="inlineStr">
        <is>
          <t>Sem cobrança</t>
        </is>
      </c>
      <c r="J245" s="37" t="n"/>
      <c r="K245" s="36" t="n"/>
      <c r="L245" s="44">
        <f>IF(G245="","",IFERROR(INDEX(Config!$K$5:$K$16,MATCH(G245,Config!$J$5:$J$16,0)),""))</f>
        <v>20</v>
      </c>
      <c r="M245" s="30">
        <f>IF(OR(G245="",F245=""),"",IFERROR(INDEX(Config!$M$5:$R$16,MATCH(G245,Config!$J$5:$J$16,0),MATCH(F245,Config!$H$5:$H$10,0)),""))</f>
        <v>0</v>
      </c>
      <c r="N245" s="29">
        <f>IF(A245="","",MONTH(A245))</f>
        <v>7</v>
      </c>
      <c r="O245" s="29">
        <f>IF(A245="","",YEAR(A245))</f>
        <v>2026</v>
      </c>
      <c r="P245" s="29" t="str">
        <f>IF(A245="","",CHOOSE(WEEKDAY(A245,2),"Segunda","Terça","Quarta","Quinta","Sexta","Sábado","Domingo"))</f>
        <v>Sexta</v>
      </c>
      <c r="Q245" s="29" t="str">
        <f>IF(B245="","",IF(B245&lt;TIME(12,0,0),"Manhã",IF(B245&lt;TIME(18,0,0),"Tarde","Noite")))</f>
        <v>Manhã</v>
      </c>
      <c r="R245" s="45">
        <f>IF(AND(H245="Realizado",L245&lt;&gt;""),L245/60,0)</f>
        <v>0.333333333333333</v>
      </c>
    </row>
    <row r="246">
      <c r="A246" s="42" t="n">
        <v>46227</v>
      </c>
      <c r="B246" s="43" t="n">
        <v>0.4583333333333333</v>
      </c>
      <c r="C246" s="37" t="inlineStr">
        <is>
          <t>Dr. Paulo Andrade</t>
        </is>
      </c>
      <c r="D246" s="37" t="inlineStr">
        <is>
          <t>Sala 2</t>
        </is>
      </c>
      <c r="E246" s="36" t="inlineStr">
        <is>
          <t>Eduardo Lima</t>
        </is>
      </c>
      <c r="F246" s="37" t="inlineStr">
        <is>
          <t>Particular</t>
        </is>
      </c>
      <c r="G246" s="37" t="inlineStr">
        <is>
          <t>Teste ergométrico</t>
        </is>
      </c>
      <c r="H246" s="37" t="inlineStr">
        <is>
          <t>Realizado</t>
        </is>
      </c>
      <c r="I246" s="37" t="inlineStr">
        <is>
          <t>A prazo</t>
        </is>
      </c>
      <c r="J246" s="37" t="n"/>
      <c r="K246" s="36" t="n"/>
      <c r="L246" s="44">
        <f>IF(G246="","",IFERROR(INDEX(Config!$K$5:$K$16,MATCH(G246,Config!$J$5:$J$16,0)),""))</f>
        <v>40</v>
      </c>
      <c r="M246" s="30">
        <f>IF(OR(G246="",F246=""),"",IFERROR(INDEX(Config!$M$5:$R$16,MATCH(G246,Config!$J$5:$J$16,0),MATCH(F246,Config!$H$5:$H$10,0)),""))</f>
        <v>450</v>
      </c>
      <c r="N246" s="29">
        <f>IF(A246="","",MONTH(A246))</f>
        <v>7</v>
      </c>
      <c r="O246" s="29">
        <f>IF(A246="","",YEAR(A246))</f>
        <v>2026</v>
      </c>
      <c r="P246" s="29" t="str">
        <f>IF(A246="","",CHOOSE(WEEKDAY(A246,2),"Segunda","Terça","Quarta","Quinta","Sexta","Sábado","Domingo"))</f>
        <v>Sexta</v>
      </c>
      <c r="Q246" s="29" t="str">
        <f>IF(B246="","",IF(B246&lt;TIME(12,0,0),"Manhã",IF(B246&lt;TIME(18,0,0),"Tarde","Noite")))</f>
        <v>Manhã</v>
      </c>
      <c r="R246" s="45">
        <f>IF(AND(H246="Realizado",L246&lt;&gt;""),L246/60,0)</f>
        <v>0.666666666666667</v>
      </c>
    </row>
    <row r="247">
      <c r="A247" s="42" t="n">
        <v>46230</v>
      </c>
      <c r="B247" s="43" t="n">
        <v>0.3333333333333333</v>
      </c>
      <c r="C247" s="37" t="inlineStr">
        <is>
          <t>Dra. Carolina Mendes</t>
        </is>
      </c>
      <c r="D247" s="37" t="inlineStr">
        <is>
          <t>Sala 1</t>
        </is>
      </c>
      <c r="E247" s="36" t="inlineStr">
        <is>
          <t>Regina Duarte</t>
        </is>
      </c>
      <c r="F247" s="37" t="inlineStr">
        <is>
          <t>Particular</t>
        </is>
      </c>
      <c r="G247" s="37" t="inlineStr">
        <is>
          <t>Consulta</t>
        </is>
      </c>
      <c r="H247" s="37" t="inlineStr">
        <is>
          <t>Realizado</t>
        </is>
      </c>
      <c r="I247" s="37" t="inlineStr">
        <is>
          <t>A prazo</t>
        </is>
      </c>
      <c r="J247" s="37" t="n"/>
      <c r="K247" s="36" t="n"/>
      <c r="L247" s="44">
        <f>IF(G247="","",IFERROR(INDEX(Config!$K$5:$K$16,MATCH(G247,Config!$J$5:$J$16,0)),""))</f>
        <v>30</v>
      </c>
      <c r="M247" s="30">
        <f>IF(OR(G247="",F247=""),"",IFERROR(INDEX(Config!$M$5:$R$16,MATCH(G247,Config!$J$5:$J$16,0),MATCH(F247,Config!$H$5:$H$10,0)),""))</f>
        <v>380</v>
      </c>
      <c r="N247" s="29">
        <f>IF(A247="","",MONTH(A247))</f>
        <v>7</v>
      </c>
      <c r="O247" s="29">
        <f>IF(A247="","",YEAR(A247))</f>
        <v>2026</v>
      </c>
      <c r="P247" s="29" t="str">
        <f>IF(A247="","",CHOOSE(WEEKDAY(A247,2),"Segunda","Terça","Quarta","Quinta","Sexta","Sábado","Domingo"))</f>
        <v>Segunda</v>
      </c>
      <c r="Q247" s="29" t="str">
        <f>IF(B247="","",IF(B247&lt;TIME(12,0,0),"Manhã",IF(B247&lt;TIME(18,0,0),"Tarde","Noite")))</f>
        <v>Manhã</v>
      </c>
      <c r="R247" s="45">
        <f>IF(AND(H247="Realizado",L247&lt;&gt;""),L247/60,0)</f>
        <v>0.5</v>
      </c>
    </row>
    <row r="248">
      <c r="A248" s="42" t="n">
        <v>46230</v>
      </c>
      <c r="B248" s="43" t="n">
        <v>0.375</v>
      </c>
      <c r="C248" s="37" t="inlineStr">
        <is>
          <t>Dra. Carolina Mendes</t>
        </is>
      </c>
      <c r="D248" s="37" t="inlineStr">
        <is>
          <t>Sala 1</t>
        </is>
      </c>
      <c r="E248" s="36" t="inlineStr">
        <is>
          <t>Priscila Nunes</t>
        </is>
      </c>
      <c r="F248" s="37" t="inlineStr">
        <is>
          <t>MediPlan</t>
        </is>
      </c>
      <c r="G248" s="37" t="inlineStr">
        <is>
          <t>Consulta</t>
        </is>
      </c>
      <c r="H248" s="37" t="inlineStr">
        <is>
          <t>Realizado</t>
        </is>
      </c>
      <c r="I248" s="37" t="inlineStr">
        <is>
          <t>Convênio</t>
        </is>
      </c>
      <c r="J248" s="37" t="n"/>
      <c r="K248" s="36" t="n"/>
      <c r="L248" s="44">
        <f>IF(G248="","",IFERROR(INDEX(Config!$K$5:$K$16,MATCH(G248,Config!$J$5:$J$16,0)),""))</f>
        <v>30</v>
      </c>
      <c r="M248" s="30">
        <f>IF(OR(G248="",F248=""),"",IFERROR(INDEX(Config!$M$5:$R$16,MATCH(G248,Config!$J$5:$J$16,0),MATCH(F248,Config!$H$5:$H$10,0)),""))</f>
        <v>100</v>
      </c>
      <c r="N248" s="29">
        <f>IF(A248="","",MONTH(A248))</f>
        <v>7</v>
      </c>
      <c r="O248" s="29">
        <f>IF(A248="","",YEAR(A248))</f>
        <v>2026</v>
      </c>
      <c r="P248" s="29" t="str">
        <f>IF(A248="","",CHOOSE(WEEKDAY(A248,2),"Segunda","Terça","Quarta","Quinta","Sexta","Sábado","Domingo"))</f>
        <v>Segunda</v>
      </c>
      <c r="Q248" s="29" t="str">
        <f>IF(B248="","",IF(B248&lt;TIME(12,0,0),"Manhã",IF(B248&lt;TIME(18,0,0),"Tarde","Noite")))</f>
        <v>Manhã</v>
      </c>
      <c r="R248" s="45">
        <f>IF(AND(H248="Realizado",L248&lt;&gt;""),L248/60,0)</f>
        <v>0.5</v>
      </c>
    </row>
    <row r="249">
      <c r="A249" s="42" t="n">
        <v>46230</v>
      </c>
      <c r="B249" s="43" t="n">
        <v>0.3958333333333333</v>
      </c>
      <c r="C249" s="37" t="inlineStr">
        <is>
          <t>Dra. Carolina Mendes</t>
        </is>
      </c>
      <c r="D249" s="37" t="inlineStr">
        <is>
          <t>Sala 1</t>
        </is>
      </c>
      <c r="E249" s="36" t="inlineStr">
        <is>
          <t>Isabela Pinto</t>
        </is>
      </c>
      <c r="F249" s="37" t="inlineStr">
        <is>
          <t>Saúde Total</t>
        </is>
      </c>
      <c r="G249" s="37" t="inlineStr">
        <is>
          <t>Consulta</t>
        </is>
      </c>
      <c r="H249" s="37" t="inlineStr">
        <is>
          <t>Realizado</t>
        </is>
      </c>
      <c r="I249" s="37" t="inlineStr">
        <is>
          <t>Convênio</t>
        </is>
      </c>
      <c r="J249" s="37" t="n"/>
      <c r="K249" s="36" t="n"/>
      <c r="L249" s="44">
        <f>IF(G249="","",IFERROR(INDEX(Config!$K$5:$K$16,MATCH(G249,Config!$J$5:$J$16,0)),""))</f>
        <v>30</v>
      </c>
      <c r="M249" s="30">
        <f>IF(OR(G249="",F249=""),"",IFERROR(INDEX(Config!$M$5:$R$16,MATCH(G249,Config!$J$5:$J$16,0),MATCH(F249,Config!$H$5:$H$10,0)),""))</f>
        <v>120</v>
      </c>
      <c r="N249" s="29">
        <f>IF(A249="","",MONTH(A249))</f>
        <v>7</v>
      </c>
      <c r="O249" s="29">
        <f>IF(A249="","",YEAR(A249))</f>
        <v>2026</v>
      </c>
      <c r="P249" s="29" t="str">
        <f>IF(A249="","",CHOOSE(WEEKDAY(A249,2),"Segunda","Terça","Quarta","Quinta","Sexta","Sábado","Domingo"))</f>
        <v>Segunda</v>
      </c>
      <c r="Q249" s="29" t="str">
        <f>IF(B249="","",IF(B249&lt;TIME(12,0,0),"Manhã",IF(B249&lt;TIME(18,0,0),"Tarde","Noite")))</f>
        <v>Manhã</v>
      </c>
      <c r="R249" s="45">
        <f>IF(AND(H249="Realizado",L249&lt;&gt;""),L249/60,0)</f>
        <v>0.5</v>
      </c>
    </row>
    <row r="250">
      <c r="A250" s="42" t="n">
        <v>46230</v>
      </c>
      <c r="B250" s="43" t="n">
        <v>0.4375</v>
      </c>
      <c r="C250" s="37" t="inlineStr">
        <is>
          <t>Dra. Carolina Mendes</t>
        </is>
      </c>
      <c r="D250" s="37" t="inlineStr">
        <is>
          <t>Sala 1</t>
        </is>
      </c>
      <c r="E250" s="36" t="inlineStr">
        <is>
          <t>Eduardo Lima</t>
        </is>
      </c>
      <c r="F250" s="37" t="inlineStr">
        <is>
          <t>Particular</t>
        </is>
      </c>
      <c r="G250" s="37" t="inlineStr">
        <is>
          <t>Consulta</t>
        </is>
      </c>
      <c r="H250" s="37" t="inlineStr">
        <is>
          <t>Realizado</t>
        </is>
      </c>
      <c r="I250" s="37" t="inlineStr">
        <is>
          <t>Cartão de crédito</t>
        </is>
      </c>
      <c r="J250" s="37" t="n"/>
      <c r="K250" s="36" t="n"/>
      <c r="L250" s="44">
        <f>IF(G250="","",IFERROR(INDEX(Config!$K$5:$K$16,MATCH(G250,Config!$J$5:$J$16,0)),""))</f>
        <v>30</v>
      </c>
      <c r="M250" s="30">
        <f>IF(OR(G250="",F250=""),"",IFERROR(INDEX(Config!$M$5:$R$16,MATCH(G250,Config!$J$5:$J$16,0),MATCH(F250,Config!$H$5:$H$10,0)),""))</f>
        <v>380</v>
      </c>
      <c r="N250" s="29">
        <f>IF(A250="","",MONTH(A250))</f>
        <v>7</v>
      </c>
      <c r="O250" s="29">
        <f>IF(A250="","",YEAR(A250))</f>
        <v>2026</v>
      </c>
      <c r="P250" s="29" t="str">
        <f>IF(A250="","",CHOOSE(WEEKDAY(A250,2),"Segunda","Terça","Quarta","Quinta","Sexta","Sábado","Domingo"))</f>
        <v>Segunda</v>
      </c>
      <c r="Q250" s="29" t="str">
        <f>IF(B250="","",IF(B250&lt;TIME(12,0,0),"Manhã",IF(B250&lt;TIME(18,0,0),"Tarde","Noite")))</f>
        <v>Manhã</v>
      </c>
      <c r="R250" s="45">
        <f>IF(AND(H250="Realizado",L250&lt;&gt;""),L250/60,0)</f>
        <v>0.5</v>
      </c>
    </row>
    <row r="251">
      <c r="A251" s="42" t="n">
        <v>46230</v>
      </c>
      <c r="B251" s="43" t="n">
        <v>0.4583333333333333</v>
      </c>
      <c r="C251" s="37" t="inlineStr">
        <is>
          <t>Dra. Carolina Mendes</t>
        </is>
      </c>
      <c r="D251" s="37" t="inlineStr">
        <is>
          <t>Sala 1</t>
        </is>
      </c>
      <c r="E251" s="36" t="inlineStr">
        <is>
          <t>Sérgio Martins</t>
        </is>
      </c>
      <c r="F251" s="37" t="inlineStr">
        <is>
          <t>Particular</t>
        </is>
      </c>
      <c r="G251" s="37" t="inlineStr">
        <is>
          <t>Consulta</t>
        </is>
      </c>
      <c r="H251" s="37" t="inlineStr">
        <is>
          <t>Realizado</t>
        </is>
      </c>
      <c r="I251" s="37" t="inlineStr">
        <is>
          <t>Dinheiro</t>
        </is>
      </c>
      <c r="J251" s="37" t="n"/>
      <c r="K251" s="36" t="n"/>
      <c r="L251" s="44">
        <f>IF(G251="","",IFERROR(INDEX(Config!$K$5:$K$16,MATCH(G251,Config!$J$5:$J$16,0)),""))</f>
        <v>30</v>
      </c>
      <c r="M251" s="30">
        <f>IF(OR(G251="",F251=""),"",IFERROR(INDEX(Config!$M$5:$R$16,MATCH(G251,Config!$J$5:$J$16,0),MATCH(F251,Config!$H$5:$H$10,0)),""))</f>
        <v>380</v>
      </c>
      <c r="N251" s="29">
        <f>IF(A251="","",MONTH(A251))</f>
        <v>7</v>
      </c>
      <c r="O251" s="29">
        <f>IF(A251="","",YEAR(A251))</f>
        <v>2026</v>
      </c>
      <c r="P251" s="29" t="str">
        <f>IF(A251="","",CHOOSE(WEEKDAY(A251,2),"Segunda","Terça","Quarta","Quinta","Sexta","Sábado","Domingo"))</f>
        <v>Segunda</v>
      </c>
      <c r="Q251" s="29" t="str">
        <f>IF(B251="","",IF(B251&lt;TIME(12,0,0),"Manhã",IF(B251&lt;TIME(18,0,0),"Tarde","Noite")))</f>
        <v>Manhã</v>
      </c>
      <c r="R251" s="45">
        <f>IF(AND(H251="Realizado",L251&lt;&gt;""),L251/60,0)</f>
        <v>0.5</v>
      </c>
    </row>
    <row r="252">
      <c r="A252" s="42" t="n">
        <v>46230</v>
      </c>
      <c r="B252" s="43" t="n">
        <v>0.4791666666666667</v>
      </c>
      <c r="C252" s="37" t="inlineStr">
        <is>
          <t>Dra. Carolina Mendes</t>
        </is>
      </c>
      <c r="D252" s="37" t="inlineStr">
        <is>
          <t>Sala 1</t>
        </is>
      </c>
      <c r="E252" s="36" t="inlineStr">
        <is>
          <t>Débora Ramos</t>
        </is>
      </c>
      <c r="F252" s="37" t="inlineStr">
        <is>
          <t>Particular</t>
        </is>
      </c>
      <c r="G252" s="37" t="inlineStr">
        <is>
          <t>Retorno</t>
        </is>
      </c>
      <c r="H252" s="37" t="inlineStr">
        <is>
          <t>Realizado</t>
        </is>
      </c>
      <c r="I252" s="37" t="inlineStr">
        <is>
          <t>Sem cobrança</t>
        </is>
      </c>
      <c r="J252" s="37" t="n"/>
      <c r="K252" s="36" t="n"/>
      <c r="L252" s="44">
        <f>IF(G252="","",IFERROR(INDEX(Config!$K$5:$K$16,MATCH(G252,Config!$J$5:$J$16,0)),""))</f>
        <v>20</v>
      </c>
      <c r="M252" s="30">
        <f>IF(OR(G252="",F252=""),"",IFERROR(INDEX(Config!$M$5:$R$16,MATCH(G252,Config!$J$5:$J$16,0),MATCH(F252,Config!$H$5:$H$10,0)),""))</f>
        <v>0</v>
      </c>
      <c r="N252" s="29">
        <f>IF(A252="","",MONTH(A252))</f>
        <v>7</v>
      </c>
      <c r="O252" s="29">
        <f>IF(A252="","",YEAR(A252))</f>
        <v>2026</v>
      </c>
      <c r="P252" s="29" t="str">
        <f>IF(A252="","",CHOOSE(WEEKDAY(A252,2),"Segunda","Terça","Quarta","Quinta","Sexta","Sábado","Domingo"))</f>
        <v>Segunda</v>
      </c>
      <c r="Q252" s="29" t="str">
        <f>IF(B252="","",IF(B252&lt;TIME(12,0,0),"Manhã",IF(B252&lt;TIME(18,0,0),"Tarde","Noite")))</f>
        <v>Manhã</v>
      </c>
      <c r="R252" s="45">
        <f>IF(AND(H252="Realizado",L252&lt;&gt;""),L252/60,0)</f>
        <v>0.333333333333333</v>
      </c>
    </row>
    <row r="253">
      <c r="A253" s="42" t="n">
        <v>46230</v>
      </c>
      <c r="B253" s="43" t="n">
        <v>0.5833333333333334</v>
      </c>
      <c r="C253" s="37" t="inlineStr">
        <is>
          <t>Dr. Paulo Andrade</t>
        </is>
      </c>
      <c r="D253" s="37" t="inlineStr">
        <is>
          <t>Sala 2</t>
        </is>
      </c>
      <c r="E253" s="36" t="inlineStr">
        <is>
          <t>Débora Moreira</t>
        </is>
      </c>
      <c r="F253" s="37" t="inlineStr">
        <is>
          <t>Particular</t>
        </is>
      </c>
      <c r="G253" s="37" t="inlineStr">
        <is>
          <t>Consulta</t>
        </is>
      </c>
      <c r="H253" s="37" t="inlineStr">
        <is>
          <t>Realizado</t>
        </is>
      </c>
      <c r="I253" s="37" t="inlineStr">
        <is>
          <t>Pix</t>
        </is>
      </c>
      <c r="J253" s="37" t="n"/>
      <c r="K253" s="36" t="n"/>
      <c r="L253" s="44">
        <f>IF(G253="","",IFERROR(INDEX(Config!$K$5:$K$16,MATCH(G253,Config!$J$5:$J$16,0)),""))</f>
        <v>30</v>
      </c>
      <c r="M253" s="30">
        <f>IF(OR(G253="",F253=""),"",IFERROR(INDEX(Config!$M$5:$R$16,MATCH(G253,Config!$J$5:$J$16,0),MATCH(F253,Config!$H$5:$H$10,0)),""))</f>
        <v>380</v>
      </c>
      <c r="N253" s="29">
        <f>IF(A253="","",MONTH(A253))</f>
        <v>7</v>
      </c>
      <c r="O253" s="29">
        <f>IF(A253="","",YEAR(A253))</f>
        <v>2026</v>
      </c>
      <c r="P253" s="29" t="str">
        <f>IF(A253="","",CHOOSE(WEEKDAY(A253,2),"Segunda","Terça","Quarta","Quinta","Sexta","Sábado","Domingo"))</f>
        <v>Segunda</v>
      </c>
      <c r="Q253" s="29" t="str">
        <f>IF(B253="","",IF(B253&lt;TIME(12,0,0),"Manhã",IF(B253&lt;TIME(18,0,0),"Tarde","Noite")))</f>
        <v>Tarde</v>
      </c>
      <c r="R253" s="45">
        <f>IF(AND(H253="Realizado",L253&lt;&gt;""),L253/60,0)</f>
        <v>0.5</v>
      </c>
    </row>
    <row r="254">
      <c r="A254" s="42" t="n">
        <v>46230</v>
      </c>
      <c r="B254" s="43" t="n">
        <v>0.6041666666666666</v>
      </c>
      <c r="C254" s="37" t="inlineStr">
        <is>
          <t>Dr. Paulo Andrade</t>
        </is>
      </c>
      <c r="D254" s="37" t="inlineStr">
        <is>
          <t>Sala 2</t>
        </is>
      </c>
      <c r="E254" s="36" t="inlineStr">
        <is>
          <t>Gabriel Oliveira</t>
        </is>
      </c>
      <c r="F254" s="37" t="inlineStr">
        <is>
          <t>Particular</t>
        </is>
      </c>
      <c r="G254" s="37" t="inlineStr">
        <is>
          <t>Consulta</t>
        </is>
      </c>
      <c r="H254" s="37" t="inlineStr">
        <is>
          <t>Falta</t>
        </is>
      </c>
      <c r="I254" s="37" t="n"/>
      <c r="J254" s="37" t="n"/>
      <c r="K254" s="36" t="n"/>
      <c r="L254" s="44">
        <f>IF(G254="","",IFERROR(INDEX(Config!$K$5:$K$16,MATCH(G254,Config!$J$5:$J$16,0)),""))</f>
        <v>30</v>
      </c>
      <c r="M254" s="30">
        <f>IF(OR(G254="",F254=""),"",IFERROR(INDEX(Config!$M$5:$R$16,MATCH(G254,Config!$J$5:$J$16,0),MATCH(F254,Config!$H$5:$H$10,0)),""))</f>
        <v>380</v>
      </c>
      <c r="N254" s="29">
        <f>IF(A254="","",MONTH(A254))</f>
        <v>7</v>
      </c>
      <c r="O254" s="29">
        <f>IF(A254="","",YEAR(A254))</f>
        <v>2026</v>
      </c>
      <c r="P254" s="29" t="str">
        <f>IF(A254="","",CHOOSE(WEEKDAY(A254,2),"Segunda","Terça","Quarta","Quinta","Sexta","Sábado","Domingo"))</f>
        <v>Segunda</v>
      </c>
      <c r="Q254" s="29" t="str">
        <f>IF(B254="","",IF(B254&lt;TIME(12,0,0),"Manhã",IF(B254&lt;TIME(18,0,0),"Tarde","Noite")))</f>
        <v>Tarde</v>
      </c>
      <c r="R254" s="45">
        <f>IF(AND(H254="Realizado",L254&lt;&gt;""),L254/60,0)</f>
        <v>0</v>
      </c>
    </row>
    <row r="255">
      <c r="A255" s="42" t="n">
        <v>46230</v>
      </c>
      <c r="B255" s="43" t="n">
        <v>0.6458333333333334</v>
      </c>
      <c r="C255" s="37" t="inlineStr">
        <is>
          <t>Dr. Paulo Andrade</t>
        </is>
      </c>
      <c r="D255" s="37" t="inlineStr">
        <is>
          <t>Sala 2</t>
        </is>
      </c>
      <c r="E255" s="36" t="inlineStr">
        <is>
          <t>Paulo Nascimento</t>
        </is>
      </c>
      <c r="F255" s="37" t="inlineStr">
        <is>
          <t>MediPlan</t>
        </is>
      </c>
      <c r="G255" s="37" t="inlineStr">
        <is>
          <t>Retorno</t>
        </is>
      </c>
      <c r="H255" s="37" t="inlineStr">
        <is>
          <t>Realizado</t>
        </is>
      </c>
      <c r="I255" s="37" t="inlineStr">
        <is>
          <t>Sem cobrança</t>
        </is>
      </c>
      <c r="J255" s="37" t="n"/>
      <c r="K255" s="36" t="n"/>
      <c r="L255" s="44">
        <f>IF(G255="","",IFERROR(INDEX(Config!$K$5:$K$16,MATCH(G255,Config!$J$5:$J$16,0)),""))</f>
        <v>20</v>
      </c>
      <c r="M255" s="30">
        <f>IF(OR(G255="",F255=""),"",IFERROR(INDEX(Config!$M$5:$R$16,MATCH(G255,Config!$J$5:$J$16,0),MATCH(F255,Config!$H$5:$H$10,0)),""))</f>
        <v>0</v>
      </c>
      <c r="N255" s="29">
        <f>IF(A255="","",MONTH(A255))</f>
        <v>7</v>
      </c>
      <c r="O255" s="29">
        <f>IF(A255="","",YEAR(A255))</f>
        <v>2026</v>
      </c>
      <c r="P255" s="29" t="str">
        <f>IF(A255="","",CHOOSE(WEEKDAY(A255,2),"Segunda","Terça","Quarta","Quinta","Sexta","Sábado","Domingo"))</f>
        <v>Segunda</v>
      </c>
      <c r="Q255" s="29" t="str">
        <f>IF(B255="","",IF(B255&lt;TIME(12,0,0),"Manhã",IF(B255&lt;TIME(18,0,0),"Tarde","Noite")))</f>
        <v>Tarde</v>
      </c>
      <c r="R255" s="45">
        <f>IF(AND(H255="Realizado",L255&lt;&gt;""),L255/60,0)</f>
        <v>0.333333333333333</v>
      </c>
    </row>
    <row r="256">
      <c r="A256" s="42" t="n">
        <v>46230</v>
      </c>
      <c r="B256" s="43" t="n">
        <v>0.6597222222222222</v>
      </c>
      <c r="C256" s="37" t="inlineStr">
        <is>
          <t>Dr. Paulo Andrade</t>
        </is>
      </c>
      <c r="D256" s="37" t="inlineStr">
        <is>
          <t>Sala 2</t>
        </is>
      </c>
      <c r="E256" s="36" t="inlineStr">
        <is>
          <t>Rodrigo Moreira</t>
        </is>
      </c>
      <c r="F256" s="37" t="inlineStr">
        <is>
          <t>Particular</t>
        </is>
      </c>
      <c r="G256" s="37" t="inlineStr">
        <is>
          <t>Teste ergométrico</t>
        </is>
      </c>
      <c r="H256" s="37" t="inlineStr">
        <is>
          <t>Realizado</t>
        </is>
      </c>
      <c r="I256" s="37" t="inlineStr">
        <is>
          <t>A prazo</t>
        </is>
      </c>
      <c r="J256" s="37" t="n"/>
      <c r="K256" s="36" t="n"/>
      <c r="L256" s="44">
        <f>IF(G256="","",IFERROR(INDEX(Config!$K$5:$K$16,MATCH(G256,Config!$J$5:$J$16,0)),""))</f>
        <v>40</v>
      </c>
      <c r="M256" s="30">
        <f>IF(OR(G256="",F256=""),"",IFERROR(INDEX(Config!$M$5:$R$16,MATCH(G256,Config!$J$5:$J$16,0),MATCH(F256,Config!$H$5:$H$10,0)),""))</f>
        <v>450</v>
      </c>
      <c r="N256" s="29">
        <f>IF(A256="","",MONTH(A256))</f>
        <v>7</v>
      </c>
      <c r="O256" s="29">
        <f>IF(A256="","",YEAR(A256))</f>
        <v>2026</v>
      </c>
      <c r="P256" s="29" t="str">
        <f>IF(A256="","",CHOOSE(WEEKDAY(A256,2),"Segunda","Terça","Quarta","Quinta","Sexta","Sábado","Domingo"))</f>
        <v>Segunda</v>
      </c>
      <c r="Q256" s="29" t="str">
        <f>IF(B256="","",IF(B256&lt;TIME(12,0,0),"Manhã",IF(B256&lt;TIME(18,0,0),"Tarde","Noite")))</f>
        <v>Tarde</v>
      </c>
      <c r="R256" s="45">
        <f>IF(AND(H256="Realizado",L256&lt;&gt;""),L256/60,0)</f>
        <v>0.666666666666667</v>
      </c>
    </row>
    <row r="257">
      <c r="A257" s="42" t="n">
        <v>46230</v>
      </c>
      <c r="B257" s="43" t="n">
        <v>0.6875</v>
      </c>
      <c r="C257" s="37" t="inlineStr">
        <is>
          <t>Dr. Paulo Andrade</t>
        </is>
      </c>
      <c r="D257" s="37" t="inlineStr">
        <is>
          <t>Sala 2</t>
        </is>
      </c>
      <c r="E257" s="36" t="inlineStr">
        <is>
          <t>Roberta Almeida</t>
        </is>
      </c>
      <c r="F257" s="37" t="inlineStr">
        <is>
          <t>Saúde Total</t>
        </is>
      </c>
      <c r="G257" s="37" t="inlineStr">
        <is>
          <t>Consulta</t>
        </is>
      </c>
      <c r="H257" s="37" t="inlineStr">
        <is>
          <t>Realizado</t>
        </is>
      </c>
      <c r="I257" s="37" t="inlineStr">
        <is>
          <t>Convênio</t>
        </is>
      </c>
      <c r="J257" s="37" t="n"/>
      <c r="K257" s="36" t="n"/>
      <c r="L257" s="44">
        <f>IF(G257="","",IFERROR(INDEX(Config!$K$5:$K$16,MATCH(G257,Config!$J$5:$J$16,0)),""))</f>
        <v>30</v>
      </c>
      <c r="M257" s="30">
        <f>IF(OR(G257="",F257=""),"",IFERROR(INDEX(Config!$M$5:$R$16,MATCH(G257,Config!$J$5:$J$16,0),MATCH(F257,Config!$H$5:$H$10,0)),""))</f>
        <v>120</v>
      </c>
      <c r="N257" s="29">
        <f>IF(A257="","",MONTH(A257))</f>
        <v>7</v>
      </c>
      <c r="O257" s="29">
        <f>IF(A257="","",YEAR(A257))</f>
        <v>2026</v>
      </c>
      <c r="P257" s="29" t="str">
        <f>IF(A257="","",CHOOSE(WEEKDAY(A257,2),"Segunda","Terça","Quarta","Quinta","Sexta","Sábado","Domingo"))</f>
        <v>Segunda</v>
      </c>
      <c r="Q257" s="29" t="str">
        <f>IF(B257="","",IF(B257&lt;TIME(12,0,0),"Manhã",IF(B257&lt;TIME(18,0,0),"Tarde","Noite")))</f>
        <v>Tarde</v>
      </c>
      <c r="R257" s="45">
        <f>IF(AND(H257="Realizado",L257&lt;&gt;""),L257/60,0)</f>
        <v>0.5</v>
      </c>
    </row>
    <row r="258">
      <c r="A258" s="42" t="n">
        <v>46230</v>
      </c>
      <c r="B258" s="43" t="n">
        <v>0.7083333333333334</v>
      </c>
      <c r="C258" s="37" t="inlineStr">
        <is>
          <t>Dr. Paulo Andrade</t>
        </is>
      </c>
      <c r="D258" s="37" t="inlineStr">
        <is>
          <t>Sala 2</t>
        </is>
      </c>
      <c r="E258" s="36" t="inlineStr">
        <is>
          <t>Gabriel Oliveira</t>
        </is>
      </c>
      <c r="F258" s="37" t="inlineStr">
        <is>
          <t>Particular</t>
        </is>
      </c>
      <c r="G258" s="37" t="inlineStr">
        <is>
          <t>Retorno</t>
        </is>
      </c>
      <c r="H258" s="37" t="inlineStr">
        <is>
          <t>Realizado</t>
        </is>
      </c>
      <c r="I258" s="37" t="inlineStr">
        <is>
          <t>Sem cobrança</t>
        </is>
      </c>
      <c r="J258" s="37" t="n"/>
      <c r="K258" s="36" t="n"/>
      <c r="L258" s="44">
        <f>IF(G258="","",IFERROR(INDEX(Config!$K$5:$K$16,MATCH(G258,Config!$J$5:$J$16,0)),""))</f>
        <v>20</v>
      </c>
      <c r="M258" s="30">
        <f>IF(OR(G258="",F258=""),"",IFERROR(INDEX(Config!$M$5:$R$16,MATCH(G258,Config!$J$5:$J$16,0),MATCH(F258,Config!$H$5:$H$10,0)),""))</f>
        <v>0</v>
      </c>
      <c r="N258" s="29">
        <f>IF(A258="","",MONTH(A258))</f>
        <v>7</v>
      </c>
      <c r="O258" s="29">
        <f>IF(A258="","",YEAR(A258))</f>
        <v>2026</v>
      </c>
      <c r="P258" s="29" t="str">
        <f>IF(A258="","",CHOOSE(WEEKDAY(A258,2),"Segunda","Terça","Quarta","Quinta","Sexta","Sábado","Domingo"))</f>
        <v>Segunda</v>
      </c>
      <c r="Q258" s="29" t="str">
        <f>IF(B258="","",IF(B258&lt;TIME(12,0,0),"Manhã",IF(B258&lt;TIME(18,0,0),"Tarde","Noite")))</f>
        <v>Tarde</v>
      </c>
      <c r="R258" s="45">
        <f>IF(AND(H258="Realizado",L258&lt;&gt;""),L258/60,0)</f>
        <v>0.333333333333333</v>
      </c>
    </row>
    <row r="259">
      <c r="A259" s="42" t="n">
        <v>46230</v>
      </c>
      <c r="B259" s="43" t="n">
        <v>0.7222222222222222</v>
      </c>
      <c r="C259" s="37" t="inlineStr">
        <is>
          <t>Dr. Paulo Andrade</t>
        </is>
      </c>
      <c r="D259" s="37" t="inlineStr">
        <is>
          <t>Sala 2</t>
        </is>
      </c>
      <c r="E259" s="36" t="inlineStr">
        <is>
          <t>Natália Xavier</t>
        </is>
      </c>
      <c r="F259" s="37" t="inlineStr">
        <is>
          <t>MediPlan</t>
        </is>
      </c>
      <c r="G259" s="37" t="inlineStr">
        <is>
          <t>Consulta</t>
        </is>
      </c>
      <c r="H259" s="37" t="inlineStr">
        <is>
          <t>Realizado</t>
        </is>
      </c>
      <c r="I259" s="37" t="inlineStr">
        <is>
          <t>Convênio</t>
        </is>
      </c>
      <c r="J259" s="37" t="n"/>
      <c r="K259" s="36" t="n"/>
      <c r="L259" s="44">
        <f>IF(G259="","",IFERROR(INDEX(Config!$K$5:$K$16,MATCH(G259,Config!$J$5:$J$16,0)),""))</f>
        <v>30</v>
      </c>
      <c r="M259" s="30">
        <f>IF(OR(G259="",F259=""),"",IFERROR(INDEX(Config!$M$5:$R$16,MATCH(G259,Config!$J$5:$J$16,0),MATCH(F259,Config!$H$5:$H$10,0)),""))</f>
        <v>100</v>
      </c>
      <c r="N259" s="29">
        <f>IF(A259="","",MONTH(A259))</f>
        <v>7</v>
      </c>
      <c r="O259" s="29">
        <f>IF(A259="","",YEAR(A259))</f>
        <v>2026</v>
      </c>
      <c r="P259" s="29" t="str">
        <f>IF(A259="","",CHOOSE(WEEKDAY(A259,2),"Segunda","Terça","Quarta","Quinta","Sexta","Sábado","Domingo"))</f>
        <v>Segunda</v>
      </c>
      <c r="Q259" s="29" t="str">
        <f>IF(B259="","",IF(B259&lt;TIME(12,0,0),"Manhã",IF(B259&lt;TIME(18,0,0),"Tarde","Noite")))</f>
        <v>Tarde</v>
      </c>
      <c r="R259" s="45">
        <f>IF(AND(H259="Realizado",L259&lt;&gt;""),L259/60,0)</f>
        <v>0.5</v>
      </c>
    </row>
    <row r="260">
      <c r="A260" s="42" t="n">
        <v>46231</v>
      </c>
      <c r="B260" s="43" t="n">
        <v>0.3333333333333333</v>
      </c>
      <c r="C260" s="37" t="inlineStr">
        <is>
          <t>Dra. Carolina Mendes</t>
        </is>
      </c>
      <c r="D260" s="37" t="inlineStr">
        <is>
          <t>Sala 1</t>
        </is>
      </c>
      <c r="E260" s="36" t="inlineStr">
        <is>
          <t>Lucas Lopes</t>
        </is>
      </c>
      <c r="F260" s="37" t="inlineStr">
        <is>
          <t>Particular</t>
        </is>
      </c>
      <c r="G260" s="37" t="inlineStr">
        <is>
          <t>Retorno</t>
        </is>
      </c>
      <c r="H260" s="37" t="inlineStr">
        <is>
          <t>Realizado</t>
        </is>
      </c>
      <c r="I260" s="37" t="inlineStr">
        <is>
          <t>Sem cobrança</t>
        </is>
      </c>
      <c r="J260" s="37" t="n"/>
      <c r="K260" s="36" t="n"/>
      <c r="L260" s="44">
        <f>IF(G260="","",IFERROR(INDEX(Config!$K$5:$K$16,MATCH(G260,Config!$J$5:$J$16,0)),""))</f>
        <v>20</v>
      </c>
      <c r="M260" s="30">
        <f>IF(OR(G260="",F260=""),"",IFERROR(INDEX(Config!$M$5:$R$16,MATCH(G260,Config!$J$5:$J$16,0),MATCH(F260,Config!$H$5:$H$10,0)),""))</f>
        <v>0</v>
      </c>
      <c r="N260" s="29">
        <f>IF(A260="","",MONTH(A260))</f>
        <v>7</v>
      </c>
      <c r="O260" s="29">
        <f>IF(A260="","",YEAR(A260))</f>
        <v>2026</v>
      </c>
      <c r="P260" s="29" t="str">
        <f>IF(A260="","",CHOOSE(WEEKDAY(A260,2),"Segunda","Terça","Quarta","Quinta","Sexta","Sábado","Domingo"))</f>
        <v>Terça</v>
      </c>
      <c r="Q260" s="29" t="str">
        <f>IF(B260="","",IF(B260&lt;TIME(12,0,0),"Manhã",IF(B260&lt;TIME(18,0,0),"Tarde","Noite")))</f>
        <v>Manhã</v>
      </c>
      <c r="R260" s="45">
        <f>IF(AND(H260="Realizado",L260&lt;&gt;""),L260/60,0)</f>
        <v>0.333333333333333</v>
      </c>
    </row>
    <row r="261">
      <c r="A261" s="42" t="n">
        <v>46231</v>
      </c>
      <c r="B261" s="43" t="n">
        <v>0.3472222222222222</v>
      </c>
      <c r="C261" s="37" t="inlineStr">
        <is>
          <t>Dra. Carolina Mendes</t>
        </is>
      </c>
      <c r="D261" s="37" t="inlineStr">
        <is>
          <t>Sala 1</t>
        </is>
      </c>
      <c r="E261" s="36" t="inlineStr">
        <is>
          <t>Mônica Pinto</t>
        </is>
      </c>
      <c r="F261" s="37" t="inlineStr">
        <is>
          <t>Saúde Total</t>
        </is>
      </c>
      <c r="G261" s="37" t="inlineStr">
        <is>
          <t>Consulta</t>
        </is>
      </c>
      <c r="H261" s="37" t="inlineStr">
        <is>
          <t>Realizado</t>
        </is>
      </c>
      <c r="I261" s="37" t="inlineStr">
        <is>
          <t>Convênio</t>
        </is>
      </c>
      <c r="J261" s="37" t="n"/>
      <c r="K261" s="36" t="n"/>
      <c r="L261" s="44">
        <f>IF(G261="","",IFERROR(INDEX(Config!$K$5:$K$16,MATCH(G261,Config!$J$5:$J$16,0)),""))</f>
        <v>30</v>
      </c>
      <c r="M261" s="30">
        <f>IF(OR(G261="",F261=""),"",IFERROR(INDEX(Config!$M$5:$R$16,MATCH(G261,Config!$J$5:$J$16,0),MATCH(F261,Config!$H$5:$H$10,0)),""))</f>
        <v>120</v>
      </c>
      <c r="N261" s="29">
        <f>IF(A261="","",MONTH(A261))</f>
        <v>7</v>
      </c>
      <c r="O261" s="29">
        <f>IF(A261="","",YEAR(A261))</f>
        <v>2026</v>
      </c>
      <c r="P261" s="29" t="str">
        <f>IF(A261="","",CHOOSE(WEEKDAY(A261,2),"Segunda","Terça","Quarta","Quinta","Sexta","Sábado","Domingo"))</f>
        <v>Terça</v>
      </c>
      <c r="Q261" s="29" t="str">
        <f>IF(B261="","",IF(B261&lt;TIME(12,0,0),"Manhã",IF(B261&lt;TIME(18,0,0),"Tarde","Noite")))</f>
        <v>Manhã</v>
      </c>
      <c r="R261" s="45">
        <f>IF(AND(H261="Realizado",L261&lt;&gt;""),L261/60,0)</f>
        <v>0.5</v>
      </c>
    </row>
    <row r="262">
      <c r="A262" s="42" t="n">
        <v>46231</v>
      </c>
      <c r="B262" s="43" t="n">
        <v>0.3680555555555556</v>
      </c>
      <c r="C262" s="37" t="inlineStr">
        <is>
          <t>Dra. Carolina Mendes</t>
        </is>
      </c>
      <c r="D262" s="37" t="inlineStr">
        <is>
          <t>Sala 1</t>
        </is>
      </c>
      <c r="E262" s="36" t="inlineStr">
        <is>
          <t>Gisele Ribeiro</t>
        </is>
      </c>
      <c r="F262" s="37" t="inlineStr">
        <is>
          <t>Particular</t>
        </is>
      </c>
      <c r="G262" s="37" t="inlineStr">
        <is>
          <t>Consulta</t>
        </is>
      </c>
      <c r="H262" s="37" t="inlineStr">
        <is>
          <t>Realizado</t>
        </is>
      </c>
      <c r="I262" s="37" t="inlineStr">
        <is>
          <t>Cartão de débito</t>
        </is>
      </c>
      <c r="J262" s="37" t="n"/>
      <c r="K262" s="36" t="n"/>
      <c r="L262" s="44">
        <f>IF(G262="","",IFERROR(INDEX(Config!$K$5:$K$16,MATCH(G262,Config!$J$5:$J$16,0)),""))</f>
        <v>30</v>
      </c>
      <c r="M262" s="30">
        <f>IF(OR(G262="",F262=""),"",IFERROR(INDEX(Config!$M$5:$R$16,MATCH(G262,Config!$J$5:$J$16,0),MATCH(F262,Config!$H$5:$H$10,0)),""))</f>
        <v>380</v>
      </c>
      <c r="N262" s="29">
        <f>IF(A262="","",MONTH(A262))</f>
        <v>7</v>
      </c>
      <c r="O262" s="29">
        <f>IF(A262="","",YEAR(A262))</f>
        <v>2026</v>
      </c>
      <c r="P262" s="29" t="str">
        <f>IF(A262="","",CHOOSE(WEEKDAY(A262,2),"Segunda","Terça","Quarta","Quinta","Sexta","Sábado","Domingo"))</f>
        <v>Terça</v>
      </c>
      <c r="Q262" s="29" t="str">
        <f>IF(B262="","",IF(B262&lt;TIME(12,0,0),"Manhã",IF(B262&lt;TIME(18,0,0),"Tarde","Noite")))</f>
        <v>Manhã</v>
      </c>
      <c r="R262" s="45">
        <f>IF(AND(H262="Realizado",L262&lt;&gt;""),L262/60,0)</f>
        <v>0.5</v>
      </c>
    </row>
    <row r="263">
      <c r="A263" s="42" t="n">
        <v>46231</v>
      </c>
      <c r="B263" s="43" t="n">
        <v>0.3888888888888889</v>
      </c>
      <c r="C263" s="37" t="inlineStr">
        <is>
          <t>Dra. Carolina Mendes</t>
        </is>
      </c>
      <c r="D263" s="37" t="inlineStr">
        <is>
          <t>Sala 1</t>
        </is>
      </c>
      <c r="E263" s="36" t="inlineStr">
        <is>
          <t>Wagner Santos</t>
        </is>
      </c>
      <c r="F263" s="37" t="inlineStr">
        <is>
          <t>Particular</t>
        </is>
      </c>
      <c r="G263" s="37" t="inlineStr">
        <is>
          <t>Consulta</t>
        </is>
      </c>
      <c r="H263" s="37" t="inlineStr">
        <is>
          <t>Realizado</t>
        </is>
      </c>
      <c r="I263" s="37" t="inlineStr">
        <is>
          <t>Cartão de crédito</t>
        </is>
      </c>
      <c r="J263" s="37" t="n"/>
      <c r="K263" s="36" t="n"/>
      <c r="L263" s="44">
        <f>IF(G263="","",IFERROR(INDEX(Config!$K$5:$K$16,MATCH(G263,Config!$J$5:$J$16,0)),""))</f>
        <v>30</v>
      </c>
      <c r="M263" s="30">
        <f>IF(OR(G263="",F263=""),"",IFERROR(INDEX(Config!$M$5:$R$16,MATCH(G263,Config!$J$5:$J$16,0),MATCH(F263,Config!$H$5:$H$10,0)),""))</f>
        <v>380</v>
      </c>
      <c r="N263" s="29">
        <f>IF(A263="","",MONTH(A263))</f>
        <v>7</v>
      </c>
      <c r="O263" s="29">
        <f>IF(A263="","",YEAR(A263))</f>
        <v>2026</v>
      </c>
      <c r="P263" s="29" t="str">
        <f>IF(A263="","",CHOOSE(WEEKDAY(A263,2),"Segunda","Terça","Quarta","Quinta","Sexta","Sábado","Domingo"))</f>
        <v>Terça</v>
      </c>
      <c r="Q263" s="29" t="str">
        <f>IF(B263="","",IF(B263&lt;TIME(12,0,0),"Manhã",IF(B263&lt;TIME(18,0,0),"Tarde","Noite")))</f>
        <v>Manhã</v>
      </c>
      <c r="R263" s="45">
        <f>IF(AND(H263="Realizado",L263&lt;&gt;""),L263/60,0)</f>
        <v>0.5</v>
      </c>
    </row>
    <row r="264">
      <c r="A264" s="42" t="n">
        <v>46231</v>
      </c>
      <c r="B264" s="43" t="n">
        <v>0.4097222222222222</v>
      </c>
      <c r="C264" s="37" t="inlineStr">
        <is>
          <t>Dra. Carolina Mendes</t>
        </is>
      </c>
      <c r="D264" s="37" t="inlineStr">
        <is>
          <t>Sala 1</t>
        </is>
      </c>
      <c r="E264" s="36" t="inlineStr">
        <is>
          <t>Daniel Almeida</t>
        </is>
      </c>
      <c r="F264" s="37" t="inlineStr">
        <is>
          <t>Saúde Total</t>
        </is>
      </c>
      <c r="G264" s="37" t="inlineStr">
        <is>
          <t>Retorno</t>
        </is>
      </c>
      <c r="H264" s="37" t="inlineStr">
        <is>
          <t>Realizado</t>
        </is>
      </c>
      <c r="I264" s="37" t="inlineStr">
        <is>
          <t>Sem cobrança</t>
        </is>
      </c>
      <c r="J264" s="37" t="n"/>
      <c r="K264" s="36" t="n"/>
      <c r="L264" s="44">
        <f>IF(G264="","",IFERROR(INDEX(Config!$K$5:$K$16,MATCH(G264,Config!$J$5:$J$16,0)),""))</f>
        <v>20</v>
      </c>
      <c r="M264" s="30">
        <f>IF(OR(G264="",F264=""),"",IFERROR(INDEX(Config!$M$5:$R$16,MATCH(G264,Config!$J$5:$J$16,0),MATCH(F264,Config!$H$5:$H$10,0)),""))</f>
        <v>0</v>
      </c>
      <c r="N264" s="29">
        <f>IF(A264="","",MONTH(A264))</f>
        <v>7</v>
      </c>
      <c r="O264" s="29">
        <f>IF(A264="","",YEAR(A264))</f>
        <v>2026</v>
      </c>
      <c r="P264" s="29" t="str">
        <f>IF(A264="","",CHOOSE(WEEKDAY(A264,2),"Segunda","Terça","Quarta","Quinta","Sexta","Sábado","Domingo"))</f>
        <v>Terça</v>
      </c>
      <c r="Q264" s="29" t="str">
        <f>IF(B264="","",IF(B264&lt;TIME(12,0,0),"Manhã",IF(B264&lt;TIME(18,0,0),"Tarde","Noite")))</f>
        <v>Manhã</v>
      </c>
      <c r="R264" s="45">
        <f>IF(AND(H264="Realizado",L264&lt;&gt;""),L264/60,0)</f>
        <v>0.333333333333333</v>
      </c>
    </row>
    <row r="265">
      <c r="A265" s="42" t="n">
        <v>46231</v>
      </c>
      <c r="B265" s="43" t="n">
        <v>0.4444444444444444</v>
      </c>
      <c r="C265" s="37" t="inlineStr">
        <is>
          <t>Dra. Carolina Mendes</t>
        </is>
      </c>
      <c r="D265" s="37" t="inlineStr">
        <is>
          <t>Sala 1</t>
        </is>
      </c>
      <c r="E265" s="36" t="inlineStr">
        <is>
          <t>Eduardo Reis</t>
        </is>
      </c>
      <c r="F265" s="37" t="inlineStr">
        <is>
          <t>Vida Care</t>
        </is>
      </c>
      <c r="G265" s="37" t="inlineStr">
        <is>
          <t>Retorno</t>
        </is>
      </c>
      <c r="H265" s="37" t="inlineStr">
        <is>
          <t>Realizado</t>
        </is>
      </c>
      <c r="I265" s="37" t="inlineStr">
        <is>
          <t>Sem cobrança</t>
        </is>
      </c>
      <c r="J265" s="37" t="n"/>
      <c r="K265" s="36" t="n"/>
      <c r="L265" s="44">
        <f>IF(G265="","",IFERROR(INDEX(Config!$K$5:$K$16,MATCH(G265,Config!$J$5:$J$16,0)),""))</f>
        <v>20</v>
      </c>
      <c r="M265" s="30">
        <f>IF(OR(G265="",F265=""),"",IFERROR(INDEX(Config!$M$5:$R$16,MATCH(G265,Config!$J$5:$J$16,0),MATCH(F265,Config!$H$5:$H$10,0)),""))</f>
        <v>0</v>
      </c>
      <c r="N265" s="29">
        <f>IF(A265="","",MONTH(A265))</f>
        <v>7</v>
      </c>
      <c r="O265" s="29">
        <f>IF(A265="","",YEAR(A265))</f>
        <v>2026</v>
      </c>
      <c r="P265" s="29" t="str">
        <f>IF(A265="","",CHOOSE(WEEKDAY(A265,2),"Segunda","Terça","Quarta","Quinta","Sexta","Sábado","Domingo"))</f>
        <v>Terça</v>
      </c>
      <c r="Q265" s="29" t="str">
        <f>IF(B265="","",IF(B265&lt;TIME(12,0,0),"Manhã",IF(B265&lt;TIME(18,0,0),"Tarde","Noite")))</f>
        <v>Manhã</v>
      </c>
      <c r="R265" s="45">
        <f>IF(AND(H265="Realizado",L265&lt;&gt;""),L265/60,0)</f>
        <v>0.333333333333333</v>
      </c>
    </row>
    <row r="266">
      <c r="A266" s="42" t="n">
        <v>46231</v>
      </c>
      <c r="B266" s="43" t="n">
        <v>0.4583333333333333</v>
      </c>
      <c r="C266" s="37" t="inlineStr">
        <is>
          <t>Dra. Carolina Mendes</t>
        </is>
      </c>
      <c r="D266" s="37" t="inlineStr">
        <is>
          <t>Sala 1</t>
        </is>
      </c>
      <c r="E266" s="36" t="inlineStr">
        <is>
          <t>Cláudia Santos</t>
        </is>
      </c>
      <c r="F266" s="37" t="inlineStr">
        <is>
          <t>Particular</t>
        </is>
      </c>
      <c r="G266" s="37" t="inlineStr">
        <is>
          <t>Consulta</t>
        </is>
      </c>
      <c r="H266" s="37" t="inlineStr">
        <is>
          <t>Falta</t>
        </is>
      </c>
      <c r="I266" s="37" t="n"/>
      <c r="J266" s="37" t="n"/>
      <c r="K266" s="36" t="n"/>
      <c r="L266" s="44">
        <f>IF(G266="","",IFERROR(INDEX(Config!$K$5:$K$16,MATCH(G266,Config!$J$5:$J$16,0)),""))</f>
        <v>30</v>
      </c>
      <c r="M266" s="30">
        <f>IF(OR(G266="",F266=""),"",IFERROR(INDEX(Config!$M$5:$R$16,MATCH(G266,Config!$J$5:$J$16,0),MATCH(F266,Config!$H$5:$H$10,0)),""))</f>
        <v>380</v>
      </c>
      <c r="N266" s="29">
        <f>IF(A266="","",MONTH(A266))</f>
        <v>7</v>
      </c>
      <c r="O266" s="29">
        <f>IF(A266="","",YEAR(A266))</f>
        <v>2026</v>
      </c>
      <c r="P266" s="29" t="str">
        <f>IF(A266="","",CHOOSE(WEEKDAY(A266,2),"Segunda","Terça","Quarta","Quinta","Sexta","Sábado","Domingo"))</f>
        <v>Terça</v>
      </c>
      <c r="Q266" s="29" t="str">
        <f>IF(B266="","",IF(B266&lt;TIME(12,0,0),"Manhã",IF(B266&lt;TIME(18,0,0),"Tarde","Noite")))</f>
        <v>Manhã</v>
      </c>
      <c r="R266" s="45">
        <f>IF(AND(H266="Realizado",L266&lt;&gt;""),L266/60,0)</f>
        <v>0</v>
      </c>
    </row>
    <row r="267">
      <c r="A267" s="42" t="n">
        <v>46231</v>
      </c>
      <c r="B267" s="43" t="n">
        <v>0.4791666666666667</v>
      </c>
      <c r="C267" s="37" t="inlineStr">
        <is>
          <t>Dra. Carolina Mendes</t>
        </is>
      </c>
      <c r="D267" s="37" t="inlineStr">
        <is>
          <t>Sala 1</t>
        </is>
      </c>
      <c r="E267" s="36" t="inlineStr">
        <is>
          <t>Regina Teixeira</t>
        </is>
      </c>
      <c r="F267" s="37" t="inlineStr">
        <is>
          <t>Particular</t>
        </is>
      </c>
      <c r="G267" s="37" t="inlineStr">
        <is>
          <t>Retorno</t>
        </is>
      </c>
      <c r="H267" s="37" t="inlineStr">
        <is>
          <t>Realizado</t>
        </is>
      </c>
      <c r="I267" s="37" t="inlineStr">
        <is>
          <t>Sem cobrança</t>
        </is>
      </c>
      <c r="J267" s="37" t="n"/>
      <c r="K267" s="36" t="n"/>
      <c r="L267" s="44">
        <f>IF(G267="","",IFERROR(INDEX(Config!$K$5:$K$16,MATCH(G267,Config!$J$5:$J$16,0)),""))</f>
        <v>20</v>
      </c>
      <c r="M267" s="30">
        <f>IF(OR(G267="",F267=""),"",IFERROR(INDEX(Config!$M$5:$R$16,MATCH(G267,Config!$J$5:$J$16,0),MATCH(F267,Config!$H$5:$H$10,0)),""))</f>
        <v>0</v>
      </c>
      <c r="N267" s="29">
        <f>IF(A267="","",MONTH(A267))</f>
        <v>7</v>
      </c>
      <c r="O267" s="29">
        <f>IF(A267="","",YEAR(A267))</f>
        <v>2026</v>
      </c>
      <c r="P267" s="29" t="str">
        <f>IF(A267="","",CHOOSE(WEEKDAY(A267,2),"Segunda","Terça","Quarta","Quinta","Sexta","Sábado","Domingo"))</f>
        <v>Terça</v>
      </c>
      <c r="Q267" s="29" t="str">
        <f>IF(B267="","",IF(B267&lt;TIME(12,0,0),"Manhã",IF(B267&lt;TIME(18,0,0),"Tarde","Noite")))</f>
        <v>Manhã</v>
      </c>
      <c r="R267" s="45">
        <f>IF(AND(H267="Realizado",L267&lt;&gt;""),L267/60,0)</f>
        <v>0.333333333333333</v>
      </c>
    </row>
    <row r="268">
      <c r="A268" s="42" t="n">
        <v>46231</v>
      </c>
      <c r="B268" s="43" t="n">
        <v>0.5833333333333334</v>
      </c>
      <c r="C268" s="37" t="inlineStr">
        <is>
          <t>Dr. Paulo Andrade</t>
        </is>
      </c>
      <c r="D268" s="37" t="inlineStr">
        <is>
          <t>Sala 2</t>
        </is>
      </c>
      <c r="E268" s="36" t="inlineStr">
        <is>
          <t>Henrique Santos</t>
        </is>
      </c>
      <c r="F268" s="37" t="inlineStr">
        <is>
          <t>Vida Care</t>
        </is>
      </c>
      <c r="G268" s="37" t="inlineStr">
        <is>
          <t>Consulta</t>
        </is>
      </c>
      <c r="H268" s="37" t="inlineStr">
        <is>
          <t>Falta</t>
        </is>
      </c>
      <c r="I268" s="37" t="n"/>
      <c r="J268" s="37" t="n"/>
      <c r="K268" s="36" t="n"/>
      <c r="L268" s="44">
        <f>IF(G268="","",IFERROR(INDEX(Config!$K$5:$K$16,MATCH(G268,Config!$J$5:$J$16,0)),""))</f>
        <v>30</v>
      </c>
      <c r="M268" s="30">
        <f>IF(OR(G268="",F268=""),"",IFERROR(INDEX(Config!$M$5:$R$16,MATCH(G268,Config!$J$5:$J$16,0),MATCH(F268,Config!$H$5:$H$10,0)),""))</f>
        <v>90</v>
      </c>
      <c r="N268" s="29">
        <f>IF(A268="","",MONTH(A268))</f>
        <v>7</v>
      </c>
      <c r="O268" s="29">
        <f>IF(A268="","",YEAR(A268))</f>
        <v>2026</v>
      </c>
      <c r="P268" s="29" t="str">
        <f>IF(A268="","",CHOOSE(WEEKDAY(A268,2),"Segunda","Terça","Quarta","Quinta","Sexta","Sábado","Domingo"))</f>
        <v>Terça</v>
      </c>
      <c r="Q268" s="29" t="str">
        <f>IF(B268="","",IF(B268&lt;TIME(12,0,0),"Manhã",IF(B268&lt;TIME(18,0,0),"Tarde","Noite")))</f>
        <v>Tarde</v>
      </c>
      <c r="R268" s="45">
        <f>IF(AND(H268="Realizado",L268&lt;&gt;""),L268/60,0)</f>
        <v>0</v>
      </c>
    </row>
    <row r="269">
      <c r="A269" s="42" t="n">
        <v>46231</v>
      </c>
      <c r="B269" s="43" t="n">
        <v>0.6041666666666666</v>
      </c>
      <c r="C269" s="37" t="inlineStr">
        <is>
          <t>Dra. Renata Sousa</t>
        </is>
      </c>
      <c r="D269" s="37" t="inlineStr">
        <is>
          <t>Sala 1</t>
        </is>
      </c>
      <c r="E269" s="36" t="inlineStr">
        <is>
          <t>Thiago Melo</t>
        </is>
      </c>
      <c r="F269" s="37" t="inlineStr">
        <is>
          <t>Particular</t>
        </is>
      </c>
      <c r="G269" s="37" t="inlineStr">
        <is>
          <t>Retorno</t>
        </is>
      </c>
      <c r="H269" s="37" t="inlineStr">
        <is>
          <t>Realizado</t>
        </is>
      </c>
      <c r="I269" s="37" t="inlineStr">
        <is>
          <t>Sem cobrança</t>
        </is>
      </c>
      <c r="J269" s="37" t="n"/>
      <c r="K269" s="36" t="n"/>
      <c r="L269" s="44">
        <f>IF(G269="","",IFERROR(INDEX(Config!$K$5:$K$16,MATCH(G269,Config!$J$5:$J$16,0)),""))</f>
        <v>20</v>
      </c>
      <c r="M269" s="30">
        <f>IF(OR(G269="",F269=""),"",IFERROR(INDEX(Config!$M$5:$R$16,MATCH(G269,Config!$J$5:$J$16,0),MATCH(F269,Config!$H$5:$H$10,0)),""))</f>
        <v>0</v>
      </c>
      <c r="N269" s="29">
        <f>IF(A269="","",MONTH(A269))</f>
        <v>7</v>
      </c>
      <c r="O269" s="29">
        <f>IF(A269="","",YEAR(A269))</f>
        <v>2026</v>
      </c>
      <c r="P269" s="29" t="str">
        <f>IF(A269="","",CHOOSE(WEEKDAY(A269,2),"Segunda","Terça","Quarta","Quinta","Sexta","Sábado","Domingo"))</f>
        <v>Terça</v>
      </c>
      <c r="Q269" s="29" t="str">
        <f>IF(B269="","",IF(B269&lt;TIME(12,0,0),"Manhã",IF(B269&lt;TIME(18,0,0),"Tarde","Noite")))</f>
        <v>Tarde</v>
      </c>
      <c r="R269" s="45">
        <f>IF(AND(H269="Realizado",L269&lt;&gt;""),L269/60,0)</f>
        <v>0.333333333333333</v>
      </c>
    </row>
    <row r="270">
      <c r="A270" s="42" t="n">
        <v>46231</v>
      </c>
      <c r="B270" s="43" t="n">
        <v>0.6041666666666666</v>
      </c>
      <c r="C270" s="37" t="inlineStr">
        <is>
          <t>Dr. Paulo Andrade</t>
        </is>
      </c>
      <c r="D270" s="37" t="inlineStr">
        <is>
          <t>Sala 2</t>
        </is>
      </c>
      <c r="E270" s="36" t="inlineStr">
        <is>
          <t>Otávio Nascimento</t>
        </is>
      </c>
      <c r="F270" s="37" t="inlineStr">
        <is>
          <t>Particular</t>
        </is>
      </c>
      <c r="G270" s="37" t="inlineStr">
        <is>
          <t>Holter</t>
        </is>
      </c>
      <c r="H270" s="37" t="inlineStr">
        <is>
          <t>Realizado</t>
        </is>
      </c>
      <c r="I270" s="37" t="inlineStr">
        <is>
          <t>A prazo</t>
        </is>
      </c>
      <c r="J270" s="37" t="n"/>
      <c r="K270" s="36" t="n"/>
      <c r="L270" s="44">
        <f>IF(G270="","",IFERROR(INDEX(Config!$K$5:$K$16,MATCH(G270,Config!$J$5:$J$16,0)),""))</f>
        <v>20</v>
      </c>
      <c r="M270" s="30">
        <f>IF(OR(G270="",F270=""),"",IFERROR(INDEX(Config!$M$5:$R$16,MATCH(G270,Config!$J$5:$J$16,0),MATCH(F270,Config!$H$5:$H$10,0)),""))</f>
        <v>350</v>
      </c>
      <c r="N270" s="29">
        <f>IF(A270="","",MONTH(A270))</f>
        <v>7</v>
      </c>
      <c r="O270" s="29">
        <f>IF(A270="","",YEAR(A270))</f>
        <v>2026</v>
      </c>
      <c r="P270" s="29" t="str">
        <f>IF(A270="","",CHOOSE(WEEKDAY(A270,2),"Segunda","Terça","Quarta","Quinta","Sexta","Sábado","Domingo"))</f>
        <v>Terça</v>
      </c>
      <c r="Q270" s="29" t="str">
        <f>IF(B270="","",IF(B270&lt;TIME(12,0,0),"Manhã",IF(B270&lt;TIME(18,0,0),"Tarde","Noite")))</f>
        <v>Tarde</v>
      </c>
      <c r="R270" s="45">
        <f>IF(AND(H270="Realizado",L270&lt;&gt;""),L270/60,0)</f>
        <v>0.333333333333333</v>
      </c>
    </row>
    <row r="271">
      <c r="A271" s="42" t="n">
        <v>46231</v>
      </c>
      <c r="B271" s="43" t="n">
        <v>0.6180555555555556</v>
      </c>
      <c r="C271" s="37" t="inlineStr">
        <is>
          <t>Dra. Renata Sousa</t>
        </is>
      </c>
      <c r="D271" s="37" t="inlineStr">
        <is>
          <t>Sala 1</t>
        </is>
      </c>
      <c r="E271" s="36" t="inlineStr">
        <is>
          <t>Carlos Freitas</t>
        </is>
      </c>
      <c r="F271" s="37" t="inlineStr">
        <is>
          <t>Particular</t>
        </is>
      </c>
      <c r="G271" s="37" t="inlineStr">
        <is>
          <t>Avaliação endócrina</t>
        </is>
      </c>
      <c r="H271" s="37" t="inlineStr">
        <is>
          <t>Realizado</t>
        </is>
      </c>
      <c r="I271" s="37" t="inlineStr">
        <is>
          <t>Cartão de crédito</t>
        </is>
      </c>
      <c r="J271" s="37" t="n">
        <v>2</v>
      </c>
      <c r="K271" s="36" t="n"/>
      <c r="L271" s="44">
        <f>IF(G271="","",IFERROR(INDEX(Config!$K$5:$K$16,MATCH(G271,Config!$J$5:$J$16,0)),""))</f>
        <v>40</v>
      </c>
      <c r="M271" s="30">
        <f>IF(OR(G271="",F271=""),"",IFERROR(INDEX(Config!$M$5:$R$16,MATCH(G271,Config!$J$5:$J$16,0),MATCH(F271,Config!$H$5:$H$10,0)),""))</f>
        <v>400</v>
      </c>
      <c r="N271" s="29">
        <f>IF(A271="","",MONTH(A271))</f>
        <v>7</v>
      </c>
      <c r="O271" s="29">
        <f>IF(A271="","",YEAR(A271))</f>
        <v>2026</v>
      </c>
      <c r="P271" s="29" t="str">
        <f>IF(A271="","",CHOOSE(WEEKDAY(A271,2),"Segunda","Terça","Quarta","Quinta","Sexta","Sábado","Domingo"))</f>
        <v>Terça</v>
      </c>
      <c r="Q271" s="29" t="str">
        <f>IF(B271="","",IF(B271&lt;TIME(12,0,0),"Manhã",IF(B271&lt;TIME(18,0,0),"Tarde","Noite")))</f>
        <v>Tarde</v>
      </c>
      <c r="R271" s="45">
        <f>IF(AND(H271="Realizado",L271&lt;&gt;""),L271/60,0)</f>
        <v>0.666666666666667</v>
      </c>
    </row>
    <row r="272">
      <c r="A272" s="42" t="n">
        <v>46231</v>
      </c>
      <c r="B272" s="43" t="n">
        <v>0.6458333333333334</v>
      </c>
      <c r="C272" s="37" t="inlineStr">
        <is>
          <t>Dra. Renata Sousa</t>
        </is>
      </c>
      <c r="D272" s="37" t="inlineStr">
        <is>
          <t>Sala 1</t>
        </is>
      </c>
      <c r="E272" s="36" t="inlineStr">
        <is>
          <t>Cláudia Melo</t>
        </is>
      </c>
      <c r="F272" s="37" t="inlineStr">
        <is>
          <t>Particular</t>
        </is>
      </c>
      <c r="G272" s="37" t="inlineStr">
        <is>
          <t>Avaliação endócrina</t>
        </is>
      </c>
      <c r="H272" s="37" t="inlineStr">
        <is>
          <t>Realizado</t>
        </is>
      </c>
      <c r="I272" s="37" t="inlineStr">
        <is>
          <t>Pix</t>
        </is>
      </c>
      <c r="J272" s="37" t="n"/>
      <c r="K272" s="36" t="n"/>
      <c r="L272" s="44">
        <f>IF(G272="","",IFERROR(INDEX(Config!$K$5:$K$16,MATCH(G272,Config!$J$5:$J$16,0)),""))</f>
        <v>40</v>
      </c>
      <c r="M272" s="30">
        <f>IF(OR(G272="",F272=""),"",IFERROR(INDEX(Config!$M$5:$R$16,MATCH(G272,Config!$J$5:$J$16,0),MATCH(F272,Config!$H$5:$H$10,0)),""))</f>
        <v>400</v>
      </c>
      <c r="N272" s="29">
        <f>IF(A272="","",MONTH(A272))</f>
        <v>7</v>
      </c>
      <c r="O272" s="29">
        <f>IF(A272="","",YEAR(A272))</f>
        <v>2026</v>
      </c>
      <c r="P272" s="29" t="str">
        <f>IF(A272="","",CHOOSE(WEEKDAY(A272,2),"Segunda","Terça","Quarta","Quinta","Sexta","Sábado","Domingo"))</f>
        <v>Terça</v>
      </c>
      <c r="Q272" s="29" t="str">
        <f>IF(B272="","",IF(B272&lt;TIME(12,0,0),"Manhã",IF(B272&lt;TIME(18,0,0),"Tarde","Noite")))</f>
        <v>Tarde</v>
      </c>
      <c r="R272" s="45">
        <f>IF(AND(H272="Realizado",L272&lt;&gt;""),L272/60,0)</f>
        <v>0.666666666666667</v>
      </c>
    </row>
    <row r="273">
      <c r="A273" s="42" t="n">
        <v>46231</v>
      </c>
      <c r="B273" s="43" t="n">
        <v>0.6597222222222222</v>
      </c>
      <c r="C273" s="37" t="inlineStr">
        <is>
          <t>Dr. Paulo Andrade</t>
        </is>
      </c>
      <c r="D273" s="37" t="inlineStr">
        <is>
          <t>Sala 2</t>
        </is>
      </c>
      <c r="E273" s="36" t="inlineStr">
        <is>
          <t>Marcelo Ferreira</t>
        </is>
      </c>
      <c r="F273" s="37" t="inlineStr">
        <is>
          <t>Particular</t>
        </is>
      </c>
      <c r="G273" s="37" t="inlineStr">
        <is>
          <t>Consulta</t>
        </is>
      </c>
      <c r="H273" s="37" t="inlineStr">
        <is>
          <t>Realizado</t>
        </is>
      </c>
      <c r="I273" s="37" t="inlineStr">
        <is>
          <t>Cartão de débito</t>
        </is>
      </c>
      <c r="J273" s="37" t="n"/>
      <c r="K273" s="36" t="n"/>
      <c r="L273" s="44">
        <f>IF(G273="","",IFERROR(INDEX(Config!$K$5:$K$16,MATCH(G273,Config!$J$5:$J$16,0)),""))</f>
        <v>30</v>
      </c>
      <c r="M273" s="30">
        <f>IF(OR(G273="",F273=""),"",IFERROR(INDEX(Config!$M$5:$R$16,MATCH(G273,Config!$J$5:$J$16,0),MATCH(F273,Config!$H$5:$H$10,0)),""))</f>
        <v>380</v>
      </c>
      <c r="N273" s="29">
        <f>IF(A273="","",MONTH(A273))</f>
        <v>7</v>
      </c>
      <c r="O273" s="29">
        <f>IF(A273="","",YEAR(A273))</f>
        <v>2026</v>
      </c>
      <c r="P273" s="29" t="str">
        <f>IF(A273="","",CHOOSE(WEEKDAY(A273,2),"Segunda","Terça","Quarta","Quinta","Sexta","Sábado","Domingo"))</f>
        <v>Terça</v>
      </c>
      <c r="Q273" s="29" t="str">
        <f>IF(B273="","",IF(B273&lt;TIME(12,0,0),"Manhã",IF(B273&lt;TIME(18,0,0),"Tarde","Noite")))</f>
        <v>Tarde</v>
      </c>
      <c r="R273" s="45">
        <f>IF(AND(H273="Realizado",L273&lt;&gt;""),L273/60,0)</f>
        <v>0.5</v>
      </c>
    </row>
    <row r="274">
      <c r="A274" s="42" t="n">
        <v>46231</v>
      </c>
      <c r="B274" s="43" t="n">
        <v>0.6736111111111112</v>
      </c>
      <c r="C274" s="37" t="inlineStr">
        <is>
          <t>Dra. Renata Sousa</t>
        </is>
      </c>
      <c r="D274" s="37" t="inlineStr">
        <is>
          <t>Sala 1</t>
        </is>
      </c>
      <c r="E274" s="36" t="inlineStr">
        <is>
          <t>Rafael Pereira</t>
        </is>
      </c>
      <c r="F274" s="37" t="inlineStr">
        <is>
          <t>Particular</t>
        </is>
      </c>
      <c r="G274" s="37" t="inlineStr">
        <is>
          <t>Avaliação endócrina</t>
        </is>
      </c>
      <c r="H274" s="37" t="inlineStr">
        <is>
          <t>Realizado</t>
        </is>
      </c>
      <c r="I274" s="37" t="inlineStr">
        <is>
          <t>A prazo</t>
        </is>
      </c>
      <c r="J274" s="37" t="n"/>
      <c r="K274" s="36" t="n"/>
      <c r="L274" s="44">
        <f>IF(G274="","",IFERROR(INDEX(Config!$K$5:$K$16,MATCH(G274,Config!$J$5:$J$16,0)),""))</f>
        <v>40</v>
      </c>
      <c r="M274" s="30">
        <f>IF(OR(G274="",F274=""),"",IFERROR(INDEX(Config!$M$5:$R$16,MATCH(G274,Config!$J$5:$J$16,0),MATCH(F274,Config!$H$5:$H$10,0)),""))</f>
        <v>400</v>
      </c>
      <c r="N274" s="29">
        <f>IF(A274="","",MONTH(A274))</f>
        <v>7</v>
      </c>
      <c r="O274" s="29">
        <f>IF(A274="","",YEAR(A274))</f>
        <v>2026</v>
      </c>
      <c r="P274" s="29" t="str">
        <f>IF(A274="","",CHOOSE(WEEKDAY(A274,2),"Segunda","Terça","Quarta","Quinta","Sexta","Sábado","Domingo"))</f>
        <v>Terça</v>
      </c>
      <c r="Q274" s="29" t="str">
        <f>IF(B274="","",IF(B274&lt;TIME(12,0,0),"Manhã",IF(B274&lt;TIME(18,0,0),"Tarde","Noite")))</f>
        <v>Tarde</v>
      </c>
      <c r="R274" s="45">
        <f>IF(AND(H274="Realizado",L274&lt;&gt;""),L274/60,0)</f>
        <v>0.666666666666667</v>
      </c>
    </row>
    <row r="275">
      <c r="A275" s="42" t="n">
        <v>46231</v>
      </c>
      <c r="B275" s="43" t="n">
        <v>0.6805555555555556</v>
      </c>
      <c r="C275" s="37" t="inlineStr">
        <is>
          <t>Dr. Paulo Andrade</t>
        </is>
      </c>
      <c r="D275" s="37" t="inlineStr">
        <is>
          <t>Sala 2</t>
        </is>
      </c>
      <c r="E275" s="36" t="inlineStr">
        <is>
          <t>Patrícia Vieira</t>
        </is>
      </c>
      <c r="F275" s="37" t="inlineStr">
        <is>
          <t>Saúde Total</t>
        </is>
      </c>
      <c r="G275" s="37" t="inlineStr">
        <is>
          <t>Consulta</t>
        </is>
      </c>
      <c r="H275" s="37" t="inlineStr">
        <is>
          <t>Realizado</t>
        </is>
      </c>
      <c r="I275" s="37" t="inlineStr">
        <is>
          <t>Convênio</t>
        </is>
      </c>
      <c r="J275" s="37" t="n"/>
      <c r="K275" s="36" t="n"/>
      <c r="L275" s="44">
        <f>IF(G275="","",IFERROR(INDEX(Config!$K$5:$K$16,MATCH(G275,Config!$J$5:$J$16,0)),""))</f>
        <v>30</v>
      </c>
      <c r="M275" s="30">
        <f>IF(OR(G275="",F275=""),"",IFERROR(INDEX(Config!$M$5:$R$16,MATCH(G275,Config!$J$5:$J$16,0),MATCH(F275,Config!$H$5:$H$10,0)),""))</f>
        <v>120</v>
      </c>
      <c r="N275" s="29">
        <f>IF(A275="","",MONTH(A275))</f>
        <v>7</v>
      </c>
      <c r="O275" s="29">
        <f>IF(A275="","",YEAR(A275))</f>
        <v>2026</v>
      </c>
      <c r="P275" s="29" t="str">
        <f>IF(A275="","",CHOOSE(WEEKDAY(A275,2),"Segunda","Terça","Quarta","Quinta","Sexta","Sábado","Domingo"))</f>
        <v>Terça</v>
      </c>
      <c r="Q275" s="29" t="str">
        <f>IF(B275="","",IF(B275&lt;TIME(12,0,0),"Manhã",IF(B275&lt;TIME(18,0,0),"Tarde","Noite")))</f>
        <v>Tarde</v>
      </c>
      <c r="R275" s="45">
        <f>IF(AND(H275="Realizado",L275&lt;&gt;""),L275/60,0)</f>
        <v>0.5</v>
      </c>
    </row>
    <row r="276">
      <c r="A276" s="42" t="n">
        <v>46231</v>
      </c>
      <c r="B276" s="43" t="n">
        <v>0.7013888888888888</v>
      </c>
      <c r="C276" s="37" t="inlineStr">
        <is>
          <t>Dra. Renata Sousa</t>
        </is>
      </c>
      <c r="D276" s="37" t="inlineStr">
        <is>
          <t>Sala 1</t>
        </is>
      </c>
      <c r="E276" s="36" t="inlineStr">
        <is>
          <t>Roberta Lima</t>
        </is>
      </c>
      <c r="F276" s="37" t="inlineStr">
        <is>
          <t>Particular</t>
        </is>
      </c>
      <c r="G276" s="37" t="inlineStr">
        <is>
          <t>Retorno</t>
        </is>
      </c>
      <c r="H276" s="37" t="inlineStr">
        <is>
          <t>Realizado</t>
        </is>
      </c>
      <c r="I276" s="37" t="inlineStr">
        <is>
          <t>Sem cobrança</t>
        </is>
      </c>
      <c r="J276" s="37" t="n"/>
      <c r="K276" s="36" t="n"/>
      <c r="L276" s="44">
        <f>IF(G276="","",IFERROR(INDEX(Config!$K$5:$K$16,MATCH(G276,Config!$J$5:$J$16,0)),""))</f>
        <v>20</v>
      </c>
      <c r="M276" s="30">
        <f>IF(OR(G276="",F276=""),"",IFERROR(INDEX(Config!$M$5:$R$16,MATCH(G276,Config!$J$5:$J$16,0),MATCH(F276,Config!$H$5:$H$10,0)),""))</f>
        <v>0</v>
      </c>
      <c r="N276" s="29">
        <f>IF(A276="","",MONTH(A276))</f>
        <v>7</v>
      </c>
      <c r="O276" s="29">
        <f>IF(A276="","",YEAR(A276))</f>
        <v>2026</v>
      </c>
      <c r="P276" s="29" t="str">
        <f>IF(A276="","",CHOOSE(WEEKDAY(A276,2),"Segunda","Terça","Quarta","Quinta","Sexta","Sábado","Domingo"))</f>
        <v>Terça</v>
      </c>
      <c r="Q276" s="29" t="str">
        <f>IF(B276="","",IF(B276&lt;TIME(12,0,0),"Manhã",IF(B276&lt;TIME(18,0,0),"Tarde","Noite")))</f>
        <v>Tarde</v>
      </c>
      <c r="R276" s="45">
        <f>IF(AND(H276="Realizado",L276&lt;&gt;""),L276/60,0)</f>
        <v>0.333333333333333</v>
      </c>
    </row>
    <row r="277">
      <c r="A277" s="42" t="n">
        <v>46231</v>
      </c>
      <c r="B277" s="43" t="n">
        <v>0.7013888888888888</v>
      </c>
      <c r="C277" s="37" t="inlineStr">
        <is>
          <t>Dr. Paulo Andrade</t>
        </is>
      </c>
      <c r="D277" s="37" t="inlineStr">
        <is>
          <t>Sala 2</t>
        </is>
      </c>
      <c r="E277" s="36" t="inlineStr">
        <is>
          <t>Fernanda Freitas</t>
        </is>
      </c>
      <c r="F277" s="37" t="inlineStr">
        <is>
          <t>Particular</t>
        </is>
      </c>
      <c r="G277" s="37" t="inlineStr">
        <is>
          <t>Teste ergométrico</t>
        </is>
      </c>
      <c r="H277" s="37" t="inlineStr">
        <is>
          <t>Realizado</t>
        </is>
      </c>
      <c r="I277" s="37" t="inlineStr">
        <is>
          <t>Cartão de crédito</t>
        </is>
      </c>
      <c r="J277" s="37" t="n"/>
      <c r="K277" s="36" t="n"/>
      <c r="L277" s="44">
        <f>IF(G277="","",IFERROR(INDEX(Config!$K$5:$K$16,MATCH(G277,Config!$J$5:$J$16,0)),""))</f>
        <v>40</v>
      </c>
      <c r="M277" s="30">
        <f>IF(OR(G277="",F277=""),"",IFERROR(INDEX(Config!$M$5:$R$16,MATCH(G277,Config!$J$5:$J$16,0),MATCH(F277,Config!$H$5:$H$10,0)),""))</f>
        <v>450</v>
      </c>
      <c r="N277" s="29">
        <f>IF(A277="","",MONTH(A277))</f>
        <v>7</v>
      </c>
      <c r="O277" s="29">
        <f>IF(A277="","",YEAR(A277))</f>
        <v>2026</v>
      </c>
      <c r="P277" s="29" t="str">
        <f>IF(A277="","",CHOOSE(WEEKDAY(A277,2),"Segunda","Terça","Quarta","Quinta","Sexta","Sábado","Domingo"))</f>
        <v>Terça</v>
      </c>
      <c r="Q277" s="29" t="str">
        <f>IF(B277="","",IF(B277&lt;TIME(12,0,0),"Manhã",IF(B277&lt;TIME(18,0,0),"Tarde","Noite")))</f>
        <v>Tarde</v>
      </c>
      <c r="R277" s="45">
        <f>IF(AND(H277="Realizado",L277&lt;&gt;""),L277/60,0)</f>
        <v>0.666666666666667</v>
      </c>
    </row>
    <row r="278">
      <c r="A278" s="42" t="n">
        <v>46231</v>
      </c>
      <c r="B278" s="43" t="n">
        <v>0.7152777777777778</v>
      </c>
      <c r="C278" s="37" t="inlineStr">
        <is>
          <t>Dra. Renata Sousa</t>
        </is>
      </c>
      <c r="D278" s="37" t="inlineStr">
        <is>
          <t>Sala 1</t>
        </is>
      </c>
      <c r="E278" s="36" t="inlineStr">
        <is>
          <t>Fábio Ferreira</t>
        </is>
      </c>
      <c r="F278" s="37" t="inlineStr">
        <is>
          <t>Particular</t>
        </is>
      </c>
      <c r="G278" s="37" t="inlineStr">
        <is>
          <t>Avaliação endócrina</t>
        </is>
      </c>
      <c r="H278" s="37" t="inlineStr">
        <is>
          <t>Cancelado</t>
        </is>
      </c>
      <c r="I278" s="37" t="n"/>
      <c r="J278" s="37" t="n"/>
      <c r="K278" s="36" t="n"/>
      <c r="L278" s="44">
        <f>IF(G278="","",IFERROR(INDEX(Config!$K$5:$K$16,MATCH(G278,Config!$J$5:$J$16,0)),""))</f>
        <v>40</v>
      </c>
      <c r="M278" s="30">
        <f>IF(OR(G278="",F278=""),"",IFERROR(INDEX(Config!$M$5:$R$16,MATCH(G278,Config!$J$5:$J$16,0),MATCH(F278,Config!$H$5:$H$10,0)),""))</f>
        <v>400</v>
      </c>
      <c r="N278" s="29">
        <f>IF(A278="","",MONTH(A278))</f>
        <v>7</v>
      </c>
      <c r="O278" s="29">
        <f>IF(A278="","",YEAR(A278))</f>
        <v>2026</v>
      </c>
      <c r="P278" s="29" t="str">
        <f>IF(A278="","",CHOOSE(WEEKDAY(A278,2),"Segunda","Terça","Quarta","Quinta","Sexta","Sábado","Domingo"))</f>
        <v>Terça</v>
      </c>
      <c r="Q278" s="29" t="str">
        <f>IF(B278="","",IF(B278&lt;TIME(12,0,0),"Manhã",IF(B278&lt;TIME(18,0,0),"Tarde","Noite")))</f>
        <v>Tarde</v>
      </c>
      <c r="R278" s="45">
        <f>IF(AND(H278="Realizado",L278&lt;&gt;""),L278/60,0)</f>
        <v>0</v>
      </c>
    </row>
    <row r="279">
      <c r="A279" s="42" t="n">
        <v>46231</v>
      </c>
      <c r="B279" s="43" t="n">
        <v>0.7291666666666666</v>
      </c>
      <c r="C279" s="37" t="inlineStr">
        <is>
          <t>Dr. Paulo Andrade</t>
        </is>
      </c>
      <c r="D279" s="37" t="inlineStr">
        <is>
          <t>Sala 2</t>
        </is>
      </c>
      <c r="E279" s="36" t="inlineStr">
        <is>
          <t>Priscila Rocha</t>
        </is>
      </c>
      <c r="F279" s="37" t="inlineStr">
        <is>
          <t>MediPlan</t>
        </is>
      </c>
      <c r="G279" s="37" t="inlineStr">
        <is>
          <t>Retorno</t>
        </is>
      </c>
      <c r="H279" s="37" t="inlineStr">
        <is>
          <t>Realizado</t>
        </is>
      </c>
      <c r="I279" s="37" t="inlineStr">
        <is>
          <t>Sem cobrança</t>
        </is>
      </c>
      <c r="J279" s="37" t="n"/>
      <c r="K279" s="36" t="n"/>
      <c r="L279" s="44">
        <f>IF(G279="","",IFERROR(INDEX(Config!$K$5:$K$16,MATCH(G279,Config!$J$5:$J$16,0)),""))</f>
        <v>20</v>
      </c>
      <c r="M279" s="30">
        <f>IF(OR(G279="",F279=""),"",IFERROR(INDEX(Config!$M$5:$R$16,MATCH(G279,Config!$J$5:$J$16,0),MATCH(F279,Config!$H$5:$H$10,0)),""))</f>
        <v>0</v>
      </c>
      <c r="N279" s="29">
        <f>IF(A279="","",MONTH(A279))</f>
        <v>7</v>
      </c>
      <c r="O279" s="29">
        <f>IF(A279="","",YEAR(A279))</f>
        <v>2026</v>
      </c>
      <c r="P279" s="29" t="str">
        <f>IF(A279="","",CHOOSE(WEEKDAY(A279,2),"Segunda","Terça","Quarta","Quinta","Sexta","Sábado","Domingo"))</f>
        <v>Terça</v>
      </c>
      <c r="Q279" s="29" t="str">
        <f>IF(B279="","",IF(B279&lt;TIME(12,0,0),"Manhã",IF(B279&lt;TIME(18,0,0),"Tarde","Noite")))</f>
        <v>Tarde</v>
      </c>
      <c r="R279" s="45">
        <f>IF(AND(H279="Realizado",L279&lt;&gt;""),L279/60,0)</f>
        <v>0.333333333333333</v>
      </c>
    </row>
    <row r="280">
      <c r="A280" s="42" t="n">
        <v>46232</v>
      </c>
      <c r="B280" s="43" t="n">
        <v>0.5833333333333334</v>
      </c>
      <c r="C280" s="37" t="inlineStr">
        <is>
          <t>Dra. Carolina Mendes</t>
        </is>
      </c>
      <c r="D280" s="37" t="inlineStr">
        <is>
          <t>Sala 1</t>
        </is>
      </c>
      <c r="E280" s="36" t="inlineStr">
        <is>
          <t>Priscila Carvalho</t>
        </is>
      </c>
      <c r="F280" s="37" t="inlineStr">
        <is>
          <t>Vida Care</t>
        </is>
      </c>
      <c r="G280" s="37" t="inlineStr">
        <is>
          <t>Retorno</t>
        </is>
      </c>
      <c r="H280" s="37" t="inlineStr">
        <is>
          <t>Realizado</t>
        </is>
      </c>
      <c r="I280" s="37" t="inlineStr">
        <is>
          <t>Sem cobrança</t>
        </is>
      </c>
      <c r="J280" s="37" t="n"/>
      <c r="K280" s="36" t="n"/>
      <c r="L280" s="44">
        <f>IF(G280="","",IFERROR(INDEX(Config!$K$5:$K$16,MATCH(G280,Config!$J$5:$J$16,0)),""))</f>
        <v>20</v>
      </c>
      <c r="M280" s="30">
        <f>IF(OR(G280="",F280=""),"",IFERROR(INDEX(Config!$M$5:$R$16,MATCH(G280,Config!$J$5:$J$16,0),MATCH(F280,Config!$H$5:$H$10,0)),""))</f>
        <v>0</v>
      </c>
      <c r="N280" s="29">
        <f>IF(A280="","",MONTH(A280))</f>
        <v>7</v>
      </c>
      <c r="O280" s="29">
        <f>IF(A280="","",YEAR(A280))</f>
        <v>2026</v>
      </c>
      <c r="P280" s="29" t="str">
        <f>IF(A280="","",CHOOSE(WEEKDAY(A280,2),"Segunda","Terça","Quarta","Quinta","Sexta","Sábado","Domingo"))</f>
        <v>Quarta</v>
      </c>
      <c r="Q280" s="29" t="str">
        <f>IF(B280="","",IF(B280&lt;TIME(12,0,0),"Manhã",IF(B280&lt;TIME(18,0,0),"Tarde","Noite")))</f>
        <v>Tarde</v>
      </c>
      <c r="R280" s="45">
        <f>IF(AND(H280="Realizado",L280&lt;&gt;""),L280/60,0)</f>
        <v>0.333333333333333</v>
      </c>
    </row>
    <row r="281">
      <c r="A281" s="42" t="n">
        <v>46232</v>
      </c>
      <c r="B281" s="43" t="n">
        <v>0.5972222222222222</v>
      </c>
      <c r="C281" s="37" t="inlineStr">
        <is>
          <t>Dra. Carolina Mendes</t>
        </is>
      </c>
      <c r="D281" s="37" t="inlineStr">
        <is>
          <t>Sala 1</t>
        </is>
      </c>
      <c r="E281" s="36" t="inlineStr">
        <is>
          <t>Marcelo Santos</t>
        </is>
      </c>
      <c r="F281" s="37" t="inlineStr">
        <is>
          <t>Particular</t>
        </is>
      </c>
      <c r="G281" s="37" t="inlineStr">
        <is>
          <t>Consulta</t>
        </is>
      </c>
      <c r="H281" s="37" t="inlineStr">
        <is>
          <t>Falta</t>
        </is>
      </c>
      <c r="I281" s="37" t="n"/>
      <c r="J281" s="37" t="n"/>
      <c r="K281" s="36" t="n"/>
      <c r="L281" s="44">
        <f>IF(G281="","",IFERROR(INDEX(Config!$K$5:$K$16,MATCH(G281,Config!$J$5:$J$16,0)),""))</f>
        <v>30</v>
      </c>
      <c r="M281" s="30">
        <f>IF(OR(G281="",F281=""),"",IFERROR(INDEX(Config!$M$5:$R$16,MATCH(G281,Config!$J$5:$J$16,0),MATCH(F281,Config!$H$5:$H$10,0)),""))</f>
        <v>380</v>
      </c>
      <c r="N281" s="29">
        <f>IF(A281="","",MONTH(A281))</f>
        <v>7</v>
      </c>
      <c r="O281" s="29">
        <f>IF(A281="","",YEAR(A281))</f>
        <v>2026</v>
      </c>
      <c r="P281" s="29" t="str">
        <f>IF(A281="","",CHOOSE(WEEKDAY(A281,2),"Segunda","Terça","Quarta","Quinta","Sexta","Sábado","Domingo"))</f>
        <v>Quarta</v>
      </c>
      <c r="Q281" s="29" t="str">
        <f>IF(B281="","",IF(B281&lt;TIME(12,0,0),"Manhã",IF(B281&lt;TIME(18,0,0),"Tarde","Noite")))</f>
        <v>Tarde</v>
      </c>
      <c r="R281" s="45">
        <f>IF(AND(H281="Realizado",L281&lt;&gt;""),L281/60,0)</f>
        <v>0</v>
      </c>
    </row>
    <row r="282">
      <c r="A282" s="42" t="n">
        <v>46232</v>
      </c>
      <c r="B282" s="43" t="n">
        <v>0.6180555555555556</v>
      </c>
      <c r="C282" s="37" t="inlineStr">
        <is>
          <t>Dra. Carolina Mendes</t>
        </is>
      </c>
      <c r="D282" s="37" t="inlineStr">
        <is>
          <t>Sala 1</t>
        </is>
      </c>
      <c r="E282" s="36" t="inlineStr">
        <is>
          <t>Gisele Xavier</t>
        </is>
      </c>
      <c r="F282" s="37" t="inlineStr">
        <is>
          <t>Particular</t>
        </is>
      </c>
      <c r="G282" s="37" t="inlineStr">
        <is>
          <t>Consulta</t>
        </is>
      </c>
      <c r="H282" s="37" t="inlineStr">
        <is>
          <t>Realizado</t>
        </is>
      </c>
      <c r="I282" s="37" t="inlineStr">
        <is>
          <t>Pix</t>
        </is>
      </c>
      <c r="J282" s="37" t="n"/>
      <c r="K282" s="36" t="n"/>
      <c r="L282" s="44">
        <f>IF(G282="","",IFERROR(INDEX(Config!$K$5:$K$16,MATCH(G282,Config!$J$5:$J$16,0)),""))</f>
        <v>30</v>
      </c>
      <c r="M282" s="30">
        <f>IF(OR(G282="",F282=""),"",IFERROR(INDEX(Config!$M$5:$R$16,MATCH(G282,Config!$J$5:$J$16,0),MATCH(F282,Config!$H$5:$H$10,0)),""))</f>
        <v>380</v>
      </c>
      <c r="N282" s="29">
        <f>IF(A282="","",MONTH(A282))</f>
        <v>7</v>
      </c>
      <c r="O282" s="29">
        <f>IF(A282="","",YEAR(A282))</f>
        <v>2026</v>
      </c>
      <c r="P282" s="29" t="str">
        <f>IF(A282="","",CHOOSE(WEEKDAY(A282,2),"Segunda","Terça","Quarta","Quinta","Sexta","Sábado","Domingo"))</f>
        <v>Quarta</v>
      </c>
      <c r="Q282" s="29" t="str">
        <f>IF(B282="","",IF(B282&lt;TIME(12,0,0),"Manhã",IF(B282&lt;TIME(18,0,0),"Tarde","Noite")))</f>
        <v>Tarde</v>
      </c>
      <c r="R282" s="45">
        <f>IF(AND(H282="Realizado",L282&lt;&gt;""),L282/60,0)</f>
        <v>0.5</v>
      </c>
    </row>
    <row r="283">
      <c r="A283" s="42" t="n">
        <v>46232</v>
      </c>
      <c r="B283" s="43" t="n">
        <v>0.6388888888888888</v>
      </c>
      <c r="C283" s="37" t="inlineStr">
        <is>
          <t>Dra. Carolina Mendes</t>
        </is>
      </c>
      <c r="D283" s="37" t="inlineStr">
        <is>
          <t>Sala 1</t>
        </is>
      </c>
      <c r="E283" s="36" t="inlineStr">
        <is>
          <t>Cláudia Santos</t>
        </is>
      </c>
      <c r="F283" s="37" t="inlineStr">
        <is>
          <t>Particular</t>
        </is>
      </c>
      <c r="G283" s="37" t="inlineStr">
        <is>
          <t>Consulta</t>
        </is>
      </c>
      <c r="H283" s="37" t="inlineStr">
        <is>
          <t>Realizado</t>
        </is>
      </c>
      <c r="I283" s="37" t="inlineStr">
        <is>
          <t>Pix</t>
        </is>
      </c>
      <c r="J283" s="37" t="n"/>
      <c r="K283" s="36" t="n"/>
      <c r="L283" s="44">
        <f>IF(G283="","",IFERROR(INDEX(Config!$K$5:$K$16,MATCH(G283,Config!$J$5:$J$16,0)),""))</f>
        <v>30</v>
      </c>
      <c r="M283" s="30">
        <f>IF(OR(G283="",F283=""),"",IFERROR(INDEX(Config!$M$5:$R$16,MATCH(G283,Config!$J$5:$J$16,0),MATCH(F283,Config!$H$5:$H$10,0)),""))</f>
        <v>380</v>
      </c>
      <c r="N283" s="29">
        <f>IF(A283="","",MONTH(A283))</f>
        <v>7</v>
      </c>
      <c r="O283" s="29">
        <f>IF(A283="","",YEAR(A283))</f>
        <v>2026</v>
      </c>
      <c r="P283" s="29" t="str">
        <f>IF(A283="","",CHOOSE(WEEKDAY(A283,2),"Segunda","Terça","Quarta","Quinta","Sexta","Sábado","Domingo"))</f>
        <v>Quarta</v>
      </c>
      <c r="Q283" s="29" t="str">
        <f>IF(B283="","",IF(B283&lt;TIME(12,0,0),"Manhã",IF(B283&lt;TIME(18,0,0),"Tarde","Noite")))</f>
        <v>Tarde</v>
      </c>
      <c r="R283" s="45">
        <f>IF(AND(H283="Realizado",L283&lt;&gt;""),L283/60,0)</f>
        <v>0.5</v>
      </c>
    </row>
    <row r="284">
      <c r="A284" s="42" t="n">
        <v>46232</v>
      </c>
      <c r="B284" s="43" t="n">
        <v>0.6597222222222222</v>
      </c>
      <c r="C284" s="37" t="inlineStr">
        <is>
          <t>Dra. Carolina Mendes</t>
        </is>
      </c>
      <c r="D284" s="37" t="inlineStr">
        <is>
          <t>Sala 1</t>
        </is>
      </c>
      <c r="E284" s="36" t="inlineStr">
        <is>
          <t>Regina Castro</t>
        </is>
      </c>
      <c r="F284" s="37" t="inlineStr">
        <is>
          <t>Vida Care</t>
        </is>
      </c>
      <c r="G284" s="37" t="inlineStr">
        <is>
          <t>Consulta</t>
        </is>
      </c>
      <c r="H284" s="37" t="inlineStr">
        <is>
          <t>Realizado</t>
        </is>
      </c>
      <c r="I284" s="37" t="inlineStr">
        <is>
          <t>Convênio</t>
        </is>
      </c>
      <c r="J284" s="37" t="n"/>
      <c r="K284" s="36" t="n"/>
      <c r="L284" s="44">
        <f>IF(G284="","",IFERROR(INDEX(Config!$K$5:$K$16,MATCH(G284,Config!$J$5:$J$16,0)),""))</f>
        <v>30</v>
      </c>
      <c r="M284" s="30">
        <f>IF(OR(G284="",F284=""),"",IFERROR(INDEX(Config!$M$5:$R$16,MATCH(G284,Config!$J$5:$J$16,0),MATCH(F284,Config!$H$5:$H$10,0)),""))</f>
        <v>90</v>
      </c>
      <c r="N284" s="29">
        <f>IF(A284="","",MONTH(A284))</f>
        <v>7</v>
      </c>
      <c r="O284" s="29">
        <f>IF(A284="","",YEAR(A284))</f>
        <v>2026</v>
      </c>
      <c r="P284" s="29" t="str">
        <f>IF(A284="","",CHOOSE(WEEKDAY(A284,2),"Segunda","Terça","Quarta","Quinta","Sexta","Sábado","Domingo"))</f>
        <v>Quarta</v>
      </c>
      <c r="Q284" s="29" t="str">
        <f>IF(B284="","",IF(B284&lt;TIME(12,0,0),"Manhã",IF(B284&lt;TIME(18,0,0),"Tarde","Noite")))</f>
        <v>Tarde</v>
      </c>
      <c r="R284" s="45">
        <f>IF(AND(H284="Realizado",L284&lt;&gt;""),L284/60,0)</f>
        <v>0.5</v>
      </c>
    </row>
    <row r="285">
      <c r="A285" s="42" t="n">
        <v>46232</v>
      </c>
      <c r="B285" s="43" t="n">
        <v>0.6805555555555556</v>
      </c>
      <c r="C285" s="37" t="inlineStr">
        <is>
          <t>Dra. Carolina Mendes</t>
        </is>
      </c>
      <c r="D285" s="37" t="inlineStr">
        <is>
          <t>Sala 1</t>
        </is>
      </c>
      <c r="E285" s="36" t="inlineStr">
        <is>
          <t>Gustavo Ferreira</t>
        </is>
      </c>
      <c r="F285" s="37" t="inlineStr">
        <is>
          <t>Particular</t>
        </is>
      </c>
      <c r="G285" s="37" t="inlineStr">
        <is>
          <t>Consulta</t>
        </is>
      </c>
      <c r="H285" s="37" t="inlineStr">
        <is>
          <t>Remarcado</t>
        </is>
      </c>
      <c r="I285" s="37" t="n"/>
      <c r="J285" s="37" t="n"/>
      <c r="K285" s="36" t="inlineStr">
        <is>
          <t>Paciente pediu outra data</t>
        </is>
      </c>
      <c r="L285" s="44">
        <f>IF(G285="","",IFERROR(INDEX(Config!$K$5:$K$16,MATCH(G285,Config!$J$5:$J$16,0)),""))</f>
        <v>30</v>
      </c>
      <c r="M285" s="30">
        <f>IF(OR(G285="",F285=""),"",IFERROR(INDEX(Config!$M$5:$R$16,MATCH(G285,Config!$J$5:$J$16,0),MATCH(F285,Config!$H$5:$H$10,0)),""))</f>
        <v>380</v>
      </c>
      <c r="N285" s="29">
        <f>IF(A285="","",MONTH(A285))</f>
        <v>7</v>
      </c>
      <c r="O285" s="29">
        <f>IF(A285="","",YEAR(A285))</f>
        <v>2026</v>
      </c>
      <c r="P285" s="29" t="str">
        <f>IF(A285="","",CHOOSE(WEEKDAY(A285,2),"Segunda","Terça","Quarta","Quinta","Sexta","Sábado","Domingo"))</f>
        <v>Quarta</v>
      </c>
      <c r="Q285" s="29" t="str">
        <f>IF(B285="","",IF(B285&lt;TIME(12,0,0),"Manhã",IF(B285&lt;TIME(18,0,0),"Tarde","Noite")))</f>
        <v>Tarde</v>
      </c>
      <c r="R285" s="45">
        <f>IF(AND(H285="Realizado",L285&lt;&gt;""),L285/60,0)</f>
        <v>0</v>
      </c>
    </row>
    <row r="286">
      <c r="A286" s="42" t="n">
        <v>46232</v>
      </c>
      <c r="B286" s="43" t="n">
        <v>0.7013888888888888</v>
      </c>
      <c r="C286" s="37" t="inlineStr">
        <is>
          <t>Dra. Carolina Mendes</t>
        </is>
      </c>
      <c r="D286" s="37" t="inlineStr">
        <is>
          <t>Sala 1</t>
        </is>
      </c>
      <c r="E286" s="36" t="inlineStr">
        <is>
          <t>Gustavo Ferreira</t>
        </is>
      </c>
      <c r="F286" s="37" t="inlineStr">
        <is>
          <t>Particular</t>
        </is>
      </c>
      <c r="G286" s="37" t="inlineStr">
        <is>
          <t>Consulta</t>
        </is>
      </c>
      <c r="H286" s="37" t="inlineStr">
        <is>
          <t>Realizado</t>
        </is>
      </c>
      <c r="I286" s="37" t="inlineStr">
        <is>
          <t>Cartão de débito</t>
        </is>
      </c>
      <c r="J286" s="37" t="n"/>
      <c r="K286" s="36" t="n"/>
      <c r="L286" s="44">
        <f>IF(G286="","",IFERROR(INDEX(Config!$K$5:$K$16,MATCH(G286,Config!$J$5:$J$16,0)),""))</f>
        <v>30</v>
      </c>
      <c r="M286" s="30">
        <f>IF(OR(G286="",F286=""),"",IFERROR(INDEX(Config!$M$5:$R$16,MATCH(G286,Config!$J$5:$J$16,0),MATCH(F286,Config!$H$5:$H$10,0)),""))</f>
        <v>380</v>
      </c>
      <c r="N286" s="29">
        <f>IF(A286="","",MONTH(A286))</f>
        <v>7</v>
      </c>
      <c r="O286" s="29">
        <f>IF(A286="","",YEAR(A286))</f>
        <v>2026</v>
      </c>
      <c r="P286" s="29" t="str">
        <f>IF(A286="","",CHOOSE(WEEKDAY(A286,2),"Segunda","Terça","Quarta","Quinta","Sexta","Sábado","Domingo"))</f>
        <v>Quarta</v>
      </c>
      <c r="Q286" s="29" t="str">
        <f>IF(B286="","",IF(B286&lt;TIME(12,0,0),"Manhã",IF(B286&lt;TIME(18,0,0),"Tarde","Noite")))</f>
        <v>Tarde</v>
      </c>
      <c r="R286" s="45">
        <f>IF(AND(H286="Realizado",L286&lt;&gt;""),L286/60,0)</f>
        <v>0.5</v>
      </c>
    </row>
    <row r="287">
      <c r="A287" s="42" t="n">
        <v>46232</v>
      </c>
      <c r="B287" s="43" t="n">
        <v>0.7222222222222222</v>
      </c>
      <c r="C287" s="37" t="inlineStr">
        <is>
          <t>Dra. Carolina Mendes</t>
        </is>
      </c>
      <c r="D287" s="37" t="inlineStr">
        <is>
          <t>Sala 1</t>
        </is>
      </c>
      <c r="E287" s="36" t="inlineStr">
        <is>
          <t>Rafael Dias</t>
        </is>
      </c>
      <c r="F287" s="37" t="inlineStr">
        <is>
          <t>Particular</t>
        </is>
      </c>
      <c r="G287" s="37" t="inlineStr">
        <is>
          <t>Consulta</t>
        </is>
      </c>
      <c r="H287" s="37" t="inlineStr">
        <is>
          <t>Realizado</t>
        </is>
      </c>
      <c r="I287" s="37" t="inlineStr">
        <is>
          <t>Cartão de débito</t>
        </is>
      </c>
      <c r="J287" s="37" t="n"/>
      <c r="K287" s="36" t="n"/>
      <c r="L287" s="44">
        <f>IF(G287="","",IFERROR(INDEX(Config!$K$5:$K$16,MATCH(G287,Config!$J$5:$J$16,0)),""))</f>
        <v>30</v>
      </c>
      <c r="M287" s="30">
        <f>IF(OR(G287="",F287=""),"",IFERROR(INDEX(Config!$M$5:$R$16,MATCH(G287,Config!$J$5:$J$16,0),MATCH(F287,Config!$H$5:$H$10,0)),""))</f>
        <v>380</v>
      </c>
      <c r="N287" s="29">
        <f>IF(A287="","",MONTH(A287))</f>
        <v>7</v>
      </c>
      <c r="O287" s="29">
        <f>IF(A287="","",YEAR(A287))</f>
        <v>2026</v>
      </c>
      <c r="P287" s="29" t="str">
        <f>IF(A287="","",CHOOSE(WEEKDAY(A287,2),"Segunda","Terça","Quarta","Quinta","Sexta","Sábado","Domingo"))</f>
        <v>Quarta</v>
      </c>
      <c r="Q287" s="29" t="str">
        <f>IF(B287="","",IF(B287&lt;TIME(12,0,0),"Manhã",IF(B287&lt;TIME(18,0,0),"Tarde","Noite")))</f>
        <v>Tarde</v>
      </c>
      <c r="R287" s="45">
        <f>IF(AND(H287="Realizado",L287&lt;&gt;""),L287/60,0)</f>
        <v>0.5</v>
      </c>
    </row>
    <row r="288">
      <c r="A288" s="42" t="n">
        <v>46233</v>
      </c>
      <c r="B288" s="43" t="n">
        <v>0.3333333333333333</v>
      </c>
      <c r="C288" s="37" t="inlineStr">
        <is>
          <t>Dra. Carolina Mendes</t>
        </is>
      </c>
      <c r="D288" s="37" t="inlineStr">
        <is>
          <t>Sala 1</t>
        </is>
      </c>
      <c r="E288" s="36" t="inlineStr">
        <is>
          <t>Priscila Castro</t>
        </is>
      </c>
      <c r="F288" s="37" t="inlineStr">
        <is>
          <t>Saúde Total</t>
        </is>
      </c>
      <c r="G288" s="37" t="inlineStr">
        <is>
          <t>Retorno</t>
        </is>
      </c>
      <c r="H288" s="37" t="inlineStr">
        <is>
          <t>Realizado</t>
        </is>
      </c>
      <c r="I288" s="37" t="inlineStr">
        <is>
          <t>Sem cobrança</t>
        </is>
      </c>
      <c r="J288" s="37" t="n"/>
      <c r="K288" s="36" t="n"/>
      <c r="L288" s="44">
        <f>IF(G288="","",IFERROR(INDEX(Config!$K$5:$K$16,MATCH(G288,Config!$J$5:$J$16,0)),""))</f>
        <v>20</v>
      </c>
      <c r="M288" s="30">
        <f>IF(OR(G288="",F288=""),"",IFERROR(INDEX(Config!$M$5:$R$16,MATCH(G288,Config!$J$5:$J$16,0),MATCH(F288,Config!$H$5:$H$10,0)),""))</f>
        <v>0</v>
      </c>
      <c r="N288" s="29">
        <f>IF(A288="","",MONTH(A288))</f>
        <v>7</v>
      </c>
      <c r="O288" s="29">
        <f>IF(A288="","",YEAR(A288))</f>
        <v>2026</v>
      </c>
      <c r="P288" s="29" t="str">
        <f>IF(A288="","",CHOOSE(WEEKDAY(A288,2),"Segunda","Terça","Quarta","Quinta","Sexta","Sábado","Domingo"))</f>
        <v>Quinta</v>
      </c>
      <c r="Q288" s="29" t="str">
        <f>IF(B288="","",IF(B288&lt;TIME(12,0,0),"Manhã",IF(B288&lt;TIME(18,0,0),"Tarde","Noite")))</f>
        <v>Manhã</v>
      </c>
      <c r="R288" s="45">
        <f>IF(AND(H288="Realizado",L288&lt;&gt;""),L288/60,0)</f>
        <v>0.333333333333333</v>
      </c>
    </row>
    <row r="289">
      <c r="A289" s="42" t="n">
        <v>46233</v>
      </c>
      <c r="B289" s="43" t="n">
        <v>0.3472222222222222</v>
      </c>
      <c r="C289" s="37" t="inlineStr">
        <is>
          <t>Dra. Carolina Mendes</t>
        </is>
      </c>
      <c r="D289" s="37" t="inlineStr">
        <is>
          <t>Sala 1</t>
        </is>
      </c>
      <c r="E289" s="36" t="inlineStr">
        <is>
          <t>Regina Macedo</t>
        </is>
      </c>
      <c r="F289" s="37" t="inlineStr">
        <is>
          <t>Particular</t>
        </is>
      </c>
      <c r="G289" s="37" t="inlineStr">
        <is>
          <t>Consulta</t>
        </is>
      </c>
      <c r="H289" s="37" t="inlineStr">
        <is>
          <t>Realizado</t>
        </is>
      </c>
      <c r="I289" s="37" t="inlineStr">
        <is>
          <t>Pix</t>
        </is>
      </c>
      <c r="J289" s="37" t="n"/>
      <c r="K289" s="36" t="n"/>
      <c r="L289" s="44">
        <f>IF(G289="","",IFERROR(INDEX(Config!$K$5:$K$16,MATCH(G289,Config!$J$5:$J$16,0)),""))</f>
        <v>30</v>
      </c>
      <c r="M289" s="30">
        <f>IF(OR(G289="",F289=""),"",IFERROR(INDEX(Config!$M$5:$R$16,MATCH(G289,Config!$J$5:$J$16,0),MATCH(F289,Config!$H$5:$H$10,0)),""))</f>
        <v>380</v>
      </c>
      <c r="N289" s="29">
        <f>IF(A289="","",MONTH(A289))</f>
        <v>7</v>
      </c>
      <c r="O289" s="29">
        <f>IF(A289="","",YEAR(A289))</f>
        <v>2026</v>
      </c>
      <c r="P289" s="29" t="str">
        <f>IF(A289="","",CHOOSE(WEEKDAY(A289,2),"Segunda","Terça","Quarta","Quinta","Sexta","Sábado","Domingo"))</f>
        <v>Quinta</v>
      </c>
      <c r="Q289" s="29" t="str">
        <f>IF(B289="","",IF(B289&lt;TIME(12,0,0),"Manhã",IF(B289&lt;TIME(18,0,0),"Tarde","Noite")))</f>
        <v>Manhã</v>
      </c>
      <c r="R289" s="45">
        <f>IF(AND(H289="Realizado",L289&lt;&gt;""),L289/60,0)</f>
        <v>0.5</v>
      </c>
    </row>
    <row r="290">
      <c r="A290" s="42" t="n">
        <v>46233</v>
      </c>
      <c r="B290" s="43" t="n">
        <v>0.3680555555555556</v>
      </c>
      <c r="C290" s="37" t="inlineStr">
        <is>
          <t>Dra. Carolina Mendes</t>
        </is>
      </c>
      <c r="D290" s="37" t="inlineStr">
        <is>
          <t>Sala 1</t>
        </is>
      </c>
      <c r="E290" s="36" t="inlineStr">
        <is>
          <t>Gustavo Barbosa</t>
        </is>
      </c>
      <c r="F290" s="37" t="inlineStr">
        <is>
          <t>Saúde Total</t>
        </is>
      </c>
      <c r="G290" s="37" t="inlineStr">
        <is>
          <t>Consulta</t>
        </is>
      </c>
      <c r="H290" s="37" t="inlineStr">
        <is>
          <t>Realizado</t>
        </is>
      </c>
      <c r="I290" s="37" t="inlineStr">
        <is>
          <t>Convênio</t>
        </is>
      </c>
      <c r="J290" s="37" t="n"/>
      <c r="K290" s="36" t="n"/>
      <c r="L290" s="44">
        <f>IF(G290="","",IFERROR(INDEX(Config!$K$5:$K$16,MATCH(G290,Config!$J$5:$J$16,0)),""))</f>
        <v>30</v>
      </c>
      <c r="M290" s="30">
        <f>IF(OR(G290="",F290=""),"",IFERROR(INDEX(Config!$M$5:$R$16,MATCH(G290,Config!$J$5:$J$16,0),MATCH(F290,Config!$H$5:$H$10,0)),""))</f>
        <v>120</v>
      </c>
      <c r="N290" s="29">
        <f>IF(A290="","",MONTH(A290))</f>
        <v>7</v>
      </c>
      <c r="O290" s="29">
        <f>IF(A290="","",YEAR(A290))</f>
        <v>2026</v>
      </c>
      <c r="P290" s="29" t="str">
        <f>IF(A290="","",CHOOSE(WEEKDAY(A290,2),"Segunda","Terça","Quarta","Quinta","Sexta","Sábado","Domingo"))</f>
        <v>Quinta</v>
      </c>
      <c r="Q290" s="29" t="str">
        <f>IF(B290="","",IF(B290&lt;TIME(12,0,0),"Manhã",IF(B290&lt;TIME(18,0,0),"Tarde","Noite")))</f>
        <v>Manhã</v>
      </c>
      <c r="R290" s="45">
        <f>IF(AND(H290="Realizado",L290&lt;&gt;""),L290/60,0)</f>
        <v>0.5</v>
      </c>
    </row>
    <row r="291">
      <c r="A291" s="42" t="n">
        <v>46233</v>
      </c>
      <c r="B291" s="43" t="n">
        <v>0.4097222222222222</v>
      </c>
      <c r="C291" s="37" t="inlineStr">
        <is>
          <t>Dra. Carolina Mendes</t>
        </is>
      </c>
      <c r="D291" s="37" t="inlineStr">
        <is>
          <t>Sala 1</t>
        </is>
      </c>
      <c r="E291" s="36" t="inlineStr">
        <is>
          <t>Mônica Batista</t>
        </is>
      </c>
      <c r="F291" s="37" t="inlineStr">
        <is>
          <t>MediPlan</t>
        </is>
      </c>
      <c r="G291" s="37" t="inlineStr">
        <is>
          <t>Consulta</t>
        </is>
      </c>
      <c r="H291" s="37" t="inlineStr">
        <is>
          <t>Realizado</t>
        </is>
      </c>
      <c r="I291" s="37" t="inlineStr">
        <is>
          <t>Convênio</t>
        </is>
      </c>
      <c r="J291" s="37" t="n"/>
      <c r="K291" s="36" t="n"/>
      <c r="L291" s="44">
        <f>IF(G291="","",IFERROR(INDEX(Config!$K$5:$K$16,MATCH(G291,Config!$J$5:$J$16,0)),""))</f>
        <v>30</v>
      </c>
      <c r="M291" s="30">
        <f>IF(OR(G291="",F291=""),"",IFERROR(INDEX(Config!$M$5:$R$16,MATCH(G291,Config!$J$5:$J$16,0),MATCH(F291,Config!$H$5:$H$10,0)),""))</f>
        <v>100</v>
      </c>
      <c r="N291" s="29">
        <f>IF(A291="","",MONTH(A291))</f>
        <v>7</v>
      </c>
      <c r="O291" s="29">
        <f>IF(A291="","",YEAR(A291))</f>
        <v>2026</v>
      </c>
      <c r="P291" s="29" t="str">
        <f>IF(A291="","",CHOOSE(WEEKDAY(A291,2),"Segunda","Terça","Quarta","Quinta","Sexta","Sábado","Domingo"))</f>
        <v>Quinta</v>
      </c>
      <c r="Q291" s="29" t="str">
        <f>IF(B291="","",IF(B291&lt;TIME(12,0,0),"Manhã",IF(B291&lt;TIME(18,0,0),"Tarde","Noite")))</f>
        <v>Manhã</v>
      </c>
      <c r="R291" s="45">
        <f>IF(AND(H291="Realizado",L291&lt;&gt;""),L291/60,0)</f>
        <v>0.5</v>
      </c>
    </row>
    <row r="292">
      <c r="A292" s="42" t="n">
        <v>46233</v>
      </c>
      <c r="B292" s="43" t="n">
        <v>0.4305555555555556</v>
      </c>
      <c r="C292" s="37" t="inlineStr">
        <is>
          <t>Dra. Carolina Mendes</t>
        </is>
      </c>
      <c r="D292" s="37" t="inlineStr">
        <is>
          <t>Sala 1</t>
        </is>
      </c>
      <c r="E292" s="36" t="inlineStr">
        <is>
          <t>Roberta Araújo</t>
        </is>
      </c>
      <c r="F292" s="37" t="inlineStr">
        <is>
          <t>Particular</t>
        </is>
      </c>
      <c r="G292" s="37" t="inlineStr">
        <is>
          <t>Consulta</t>
        </is>
      </c>
      <c r="H292" s="37" t="inlineStr">
        <is>
          <t>Realizado</t>
        </is>
      </c>
      <c r="I292" s="37" t="inlineStr">
        <is>
          <t>Pix</t>
        </is>
      </c>
      <c r="J292" s="37" t="n"/>
      <c r="K292" s="36" t="n"/>
      <c r="L292" s="44">
        <f>IF(G292="","",IFERROR(INDEX(Config!$K$5:$K$16,MATCH(G292,Config!$J$5:$J$16,0)),""))</f>
        <v>30</v>
      </c>
      <c r="M292" s="30">
        <f>IF(OR(G292="",F292=""),"",IFERROR(INDEX(Config!$M$5:$R$16,MATCH(G292,Config!$J$5:$J$16,0),MATCH(F292,Config!$H$5:$H$10,0)),""))</f>
        <v>380</v>
      </c>
      <c r="N292" s="29">
        <f>IF(A292="","",MONTH(A292))</f>
        <v>7</v>
      </c>
      <c r="O292" s="29">
        <f>IF(A292="","",YEAR(A292))</f>
        <v>2026</v>
      </c>
      <c r="P292" s="29" t="str">
        <f>IF(A292="","",CHOOSE(WEEKDAY(A292,2),"Segunda","Terça","Quarta","Quinta","Sexta","Sábado","Domingo"))</f>
        <v>Quinta</v>
      </c>
      <c r="Q292" s="29" t="str">
        <f>IF(B292="","",IF(B292&lt;TIME(12,0,0),"Manhã",IF(B292&lt;TIME(18,0,0),"Tarde","Noite")))</f>
        <v>Manhã</v>
      </c>
      <c r="R292" s="45">
        <f>IF(AND(H292="Realizado",L292&lt;&gt;""),L292/60,0)</f>
        <v>0.5</v>
      </c>
    </row>
    <row r="293">
      <c r="A293" s="42" t="n">
        <v>46233</v>
      </c>
      <c r="B293" s="43" t="n">
        <v>0.4513888888888889</v>
      </c>
      <c r="C293" s="37" t="inlineStr">
        <is>
          <t>Dra. Carolina Mendes</t>
        </is>
      </c>
      <c r="D293" s="37" t="inlineStr">
        <is>
          <t>Sala 1</t>
        </is>
      </c>
      <c r="E293" s="36" t="inlineStr">
        <is>
          <t>Otávio Nascimento</t>
        </is>
      </c>
      <c r="F293" s="37" t="inlineStr">
        <is>
          <t>Particular</t>
        </is>
      </c>
      <c r="G293" s="37" t="inlineStr">
        <is>
          <t>Consulta</t>
        </is>
      </c>
      <c r="H293" s="37" t="inlineStr">
        <is>
          <t>Realizado</t>
        </is>
      </c>
      <c r="I293" s="37" t="inlineStr">
        <is>
          <t>Dinheiro</t>
        </is>
      </c>
      <c r="J293" s="37" t="n"/>
      <c r="K293" s="36" t="n"/>
      <c r="L293" s="44">
        <f>IF(G293="","",IFERROR(INDEX(Config!$K$5:$K$16,MATCH(G293,Config!$J$5:$J$16,0)),""))</f>
        <v>30</v>
      </c>
      <c r="M293" s="30">
        <f>IF(OR(G293="",F293=""),"",IFERROR(INDEX(Config!$M$5:$R$16,MATCH(G293,Config!$J$5:$J$16,0),MATCH(F293,Config!$H$5:$H$10,0)),""))</f>
        <v>380</v>
      </c>
      <c r="N293" s="29">
        <f>IF(A293="","",MONTH(A293))</f>
        <v>7</v>
      </c>
      <c r="O293" s="29">
        <f>IF(A293="","",YEAR(A293))</f>
        <v>2026</v>
      </c>
      <c r="P293" s="29" t="str">
        <f>IF(A293="","",CHOOSE(WEEKDAY(A293,2),"Segunda","Terça","Quarta","Quinta","Sexta","Sábado","Domingo"))</f>
        <v>Quinta</v>
      </c>
      <c r="Q293" s="29" t="str">
        <f>IF(B293="","",IF(B293&lt;TIME(12,0,0),"Manhã",IF(B293&lt;TIME(18,0,0),"Tarde","Noite")))</f>
        <v>Manhã</v>
      </c>
      <c r="R293" s="45">
        <f>IF(AND(H293="Realizado",L293&lt;&gt;""),L293/60,0)</f>
        <v>0.5</v>
      </c>
    </row>
    <row r="294">
      <c r="A294" s="42" t="n">
        <v>46233</v>
      </c>
      <c r="B294" s="43" t="n">
        <v>0.4722222222222222</v>
      </c>
      <c r="C294" s="37" t="inlineStr">
        <is>
          <t>Dra. Carolina Mendes</t>
        </is>
      </c>
      <c r="D294" s="37" t="inlineStr">
        <is>
          <t>Sala 1</t>
        </is>
      </c>
      <c r="E294" s="36" t="inlineStr">
        <is>
          <t>Camila Batista</t>
        </is>
      </c>
      <c r="F294" s="37" t="inlineStr">
        <is>
          <t>MediPlan</t>
        </is>
      </c>
      <c r="G294" s="37" t="inlineStr">
        <is>
          <t>Consulta</t>
        </is>
      </c>
      <c r="H294" s="37" t="inlineStr">
        <is>
          <t>Realizado</t>
        </is>
      </c>
      <c r="I294" s="37" t="inlineStr">
        <is>
          <t>Convênio</t>
        </is>
      </c>
      <c r="J294" s="37" t="n"/>
      <c r="K294" s="36" t="n"/>
      <c r="L294" s="44">
        <f>IF(G294="","",IFERROR(INDEX(Config!$K$5:$K$16,MATCH(G294,Config!$J$5:$J$16,0)),""))</f>
        <v>30</v>
      </c>
      <c r="M294" s="30">
        <f>IF(OR(G294="",F294=""),"",IFERROR(INDEX(Config!$M$5:$R$16,MATCH(G294,Config!$J$5:$J$16,0),MATCH(F294,Config!$H$5:$H$10,0)),""))</f>
        <v>100</v>
      </c>
      <c r="N294" s="29">
        <f>IF(A294="","",MONTH(A294))</f>
        <v>7</v>
      </c>
      <c r="O294" s="29">
        <f>IF(A294="","",YEAR(A294))</f>
        <v>2026</v>
      </c>
      <c r="P294" s="29" t="str">
        <f>IF(A294="","",CHOOSE(WEEKDAY(A294,2),"Segunda","Terça","Quarta","Quinta","Sexta","Sábado","Domingo"))</f>
        <v>Quinta</v>
      </c>
      <c r="Q294" s="29" t="str">
        <f>IF(B294="","",IF(B294&lt;TIME(12,0,0),"Manhã",IF(B294&lt;TIME(18,0,0),"Tarde","Noite")))</f>
        <v>Manhã</v>
      </c>
      <c r="R294" s="45">
        <f>IF(AND(H294="Realizado",L294&lt;&gt;""),L294/60,0)</f>
        <v>0.5</v>
      </c>
    </row>
    <row r="295">
      <c r="A295" s="42" t="n">
        <v>46233</v>
      </c>
      <c r="B295" s="43" t="n">
        <v>0.5833333333333334</v>
      </c>
      <c r="C295" s="37" t="inlineStr">
        <is>
          <t>Dra. Renata Sousa</t>
        </is>
      </c>
      <c r="D295" s="37" t="inlineStr">
        <is>
          <t>Sala 1</t>
        </is>
      </c>
      <c r="E295" s="36" t="inlineStr">
        <is>
          <t>Rodrigo Cardoso</t>
        </is>
      </c>
      <c r="F295" s="37" t="inlineStr">
        <is>
          <t>Saúde Total</t>
        </is>
      </c>
      <c r="G295" s="37" t="inlineStr">
        <is>
          <t>Avaliação endócrina</t>
        </is>
      </c>
      <c r="H295" s="37" t="inlineStr">
        <is>
          <t>Realizado</t>
        </is>
      </c>
      <c r="I295" s="37" t="inlineStr">
        <is>
          <t>Convênio</t>
        </is>
      </c>
      <c r="J295" s="37" t="n"/>
      <c r="K295" s="36" t="n"/>
      <c r="L295" s="44">
        <f>IF(G295="","",IFERROR(INDEX(Config!$K$5:$K$16,MATCH(G295,Config!$J$5:$J$16,0)),""))</f>
        <v>40</v>
      </c>
      <c r="M295" s="30">
        <f>IF(OR(G295="",F295=""),"",IFERROR(INDEX(Config!$M$5:$R$16,MATCH(G295,Config!$J$5:$J$16,0),MATCH(F295,Config!$H$5:$H$10,0)),""))</f>
        <v>130</v>
      </c>
      <c r="N295" s="29">
        <f>IF(A295="","",MONTH(A295))</f>
        <v>7</v>
      </c>
      <c r="O295" s="29">
        <f>IF(A295="","",YEAR(A295))</f>
        <v>2026</v>
      </c>
      <c r="P295" s="29" t="str">
        <f>IF(A295="","",CHOOSE(WEEKDAY(A295,2),"Segunda","Terça","Quarta","Quinta","Sexta","Sábado","Domingo"))</f>
        <v>Quinta</v>
      </c>
      <c r="Q295" s="29" t="str">
        <f>IF(B295="","",IF(B295&lt;TIME(12,0,0),"Manhã",IF(B295&lt;TIME(18,0,0),"Tarde","Noite")))</f>
        <v>Tarde</v>
      </c>
      <c r="R295" s="45">
        <f>IF(AND(H295="Realizado",L295&lt;&gt;""),L295/60,0)</f>
        <v>0.666666666666667</v>
      </c>
    </row>
    <row r="296">
      <c r="A296" s="42" t="n">
        <v>46233</v>
      </c>
      <c r="B296" s="43" t="n">
        <v>0.5833333333333334</v>
      </c>
      <c r="C296" s="37" t="inlineStr">
        <is>
          <t>Dr. Paulo Andrade</t>
        </is>
      </c>
      <c r="D296" s="37" t="inlineStr">
        <is>
          <t>Sala 2</t>
        </is>
      </c>
      <c r="E296" s="36" t="inlineStr">
        <is>
          <t>Rodrigo Teixeira</t>
        </is>
      </c>
      <c r="F296" s="37" t="inlineStr">
        <is>
          <t>Vida Care</t>
        </is>
      </c>
      <c r="G296" s="37" t="inlineStr">
        <is>
          <t>MAPA</t>
        </is>
      </c>
      <c r="H296" s="37" t="inlineStr">
        <is>
          <t>Falta</t>
        </is>
      </c>
      <c r="I296" s="37" t="n"/>
      <c r="J296" s="37" t="n"/>
      <c r="K296" s="36" t="n"/>
      <c r="L296" s="44">
        <f>IF(G296="","",IFERROR(INDEX(Config!$K$5:$K$16,MATCH(G296,Config!$J$5:$J$16,0)),""))</f>
        <v>20</v>
      </c>
      <c r="M296" s="30">
        <f>IF(OR(G296="",F296=""),"",IFERROR(INDEX(Config!$M$5:$R$16,MATCH(G296,Config!$J$5:$J$16,0),MATCH(F296,Config!$H$5:$H$10,0)),""))</f>
        <v>75</v>
      </c>
      <c r="N296" s="29">
        <f>IF(A296="","",MONTH(A296))</f>
        <v>7</v>
      </c>
      <c r="O296" s="29">
        <f>IF(A296="","",YEAR(A296))</f>
        <v>2026</v>
      </c>
      <c r="P296" s="29" t="str">
        <f>IF(A296="","",CHOOSE(WEEKDAY(A296,2),"Segunda","Terça","Quarta","Quinta","Sexta","Sábado","Domingo"))</f>
        <v>Quinta</v>
      </c>
      <c r="Q296" s="29" t="str">
        <f>IF(B296="","",IF(B296&lt;TIME(12,0,0),"Manhã",IF(B296&lt;TIME(18,0,0),"Tarde","Noite")))</f>
        <v>Tarde</v>
      </c>
      <c r="R296" s="45">
        <f>IF(AND(H296="Realizado",L296&lt;&gt;""),L296/60,0)</f>
        <v>0</v>
      </c>
    </row>
    <row r="297">
      <c r="A297" s="42" t="n">
        <v>46233</v>
      </c>
      <c r="B297" s="43" t="n">
        <v>0.6111111111111112</v>
      </c>
      <c r="C297" s="37" t="inlineStr">
        <is>
          <t>Dra. Renata Sousa</t>
        </is>
      </c>
      <c r="D297" s="37" t="inlineStr">
        <is>
          <t>Sala 1</t>
        </is>
      </c>
      <c r="E297" s="36" t="inlineStr">
        <is>
          <t>Márcia Duarte</t>
        </is>
      </c>
      <c r="F297" s="37" t="inlineStr">
        <is>
          <t>Particular</t>
        </is>
      </c>
      <c r="G297" s="37" t="inlineStr">
        <is>
          <t>Retorno</t>
        </is>
      </c>
      <c r="H297" s="37" t="inlineStr">
        <is>
          <t>Realizado</t>
        </is>
      </c>
      <c r="I297" s="37" t="inlineStr">
        <is>
          <t>Sem cobrança</t>
        </is>
      </c>
      <c r="J297" s="37" t="n"/>
      <c r="K297" s="36" t="n"/>
      <c r="L297" s="44">
        <f>IF(G297="","",IFERROR(INDEX(Config!$K$5:$K$16,MATCH(G297,Config!$J$5:$J$16,0)),""))</f>
        <v>20</v>
      </c>
      <c r="M297" s="30">
        <f>IF(OR(G297="",F297=""),"",IFERROR(INDEX(Config!$M$5:$R$16,MATCH(G297,Config!$J$5:$J$16,0),MATCH(F297,Config!$H$5:$H$10,0)),""))</f>
        <v>0</v>
      </c>
      <c r="N297" s="29">
        <f>IF(A297="","",MONTH(A297))</f>
        <v>7</v>
      </c>
      <c r="O297" s="29">
        <f>IF(A297="","",YEAR(A297))</f>
        <v>2026</v>
      </c>
      <c r="P297" s="29" t="str">
        <f>IF(A297="","",CHOOSE(WEEKDAY(A297,2),"Segunda","Terça","Quarta","Quinta","Sexta","Sábado","Domingo"))</f>
        <v>Quinta</v>
      </c>
      <c r="Q297" s="29" t="str">
        <f>IF(B297="","",IF(B297&lt;TIME(12,0,0),"Manhã",IF(B297&lt;TIME(18,0,0),"Tarde","Noite")))</f>
        <v>Tarde</v>
      </c>
      <c r="R297" s="45">
        <f>IF(AND(H297="Realizado",L297&lt;&gt;""),L297/60,0)</f>
        <v>0.333333333333333</v>
      </c>
    </row>
    <row r="298">
      <c r="A298" s="42" t="n">
        <v>46233</v>
      </c>
      <c r="B298" s="43" t="n">
        <v>0.625</v>
      </c>
      <c r="C298" s="37" t="inlineStr">
        <is>
          <t>Dra. Renata Sousa</t>
        </is>
      </c>
      <c r="D298" s="37" t="inlineStr">
        <is>
          <t>Sala 1</t>
        </is>
      </c>
      <c r="E298" s="36" t="inlineStr">
        <is>
          <t>Patrícia Dias</t>
        </is>
      </c>
      <c r="F298" s="37" t="inlineStr">
        <is>
          <t>Particular</t>
        </is>
      </c>
      <c r="G298" s="37" t="inlineStr">
        <is>
          <t>Avaliação endócrina</t>
        </is>
      </c>
      <c r="H298" s="37" t="inlineStr">
        <is>
          <t>Realizado</t>
        </is>
      </c>
      <c r="I298" s="37" t="inlineStr">
        <is>
          <t>Cartão de crédito</t>
        </is>
      </c>
      <c r="J298" s="37" t="n"/>
      <c r="K298" s="36" t="n"/>
      <c r="L298" s="44">
        <f>IF(G298="","",IFERROR(INDEX(Config!$K$5:$K$16,MATCH(G298,Config!$J$5:$J$16,0)),""))</f>
        <v>40</v>
      </c>
      <c r="M298" s="30">
        <f>IF(OR(G298="",F298=""),"",IFERROR(INDEX(Config!$M$5:$R$16,MATCH(G298,Config!$J$5:$J$16,0),MATCH(F298,Config!$H$5:$H$10,0)),""))</f>
        <v>400</v>
      </c>
      <c r="N298" s="29">
        <f>IF(A298="","",MONTH(A298))</f>
        <v>7</v>
      </c>
      <c r="O298" s="29">
        <f>IF(A298="","",YEAR(A298))</f>
        <v>2026</v>
      </c>
      <c r="P298" s="29" t="str">
        <f>IF(A298="","",CHOOSE(WEEKDAY(A298,2),"Segunda","Terça","Quarta","Quinta","Sexta","Sábado","Domingo"))</f>
        <v>Quinta</v>
      </c>
      <c r="Q298" s="29" t="str">
        <f>IF(B298="","",IF(B298&lt;TIME(12,0,0),"Manhã",IF(B298&lt;TIME(18,0,0),"Tarde","Noite")))</f>
        <v>Tarde</v>
      </c>
      <c r="R298" s="45">
        <f>IF(AND(H298="Realizado",L298&lt;&gt;""),L298/60,0)</f>
        <v>0.666666666666667</v>
      </c>
    </row>
    <row r="299">
      <c r="A299" s="42" t="n">
        <v>46233</v>
      </c>
      <c r="B299" s="43" t="n">
        <v>0.6388888888888888</v>
      </c>
      <c r="C299" s="37" t="inlineStr">
        <is>
          <t>Dr. Paulo Andrade</t>
        </is>
      </c>
      <c r="D299" s="37" t="inlineStr">
        <is>
          <t>Sala 2</t>
        </is>
      </c>
      <c r="E299" s="36" t="inlineStr">
        <is>
          <t>Eduardo Reis</t>
        </is>
      </c>
      <c r="F299" s="37" t="inlineStr">
        <is>
          <t>Vida Care</t>
        </is>
      </c>
      <c r="G299" s="37" t="inlineStr">
        <is>
          <t>ECG</t>
        </is>
      </c>
      <c r="H299" s="37" t="inlineStr">
        <is>
          <t>Realizado</t>
        </is>
      </c>
      <c r="I299" s="37" t="inlineStr">
        <is>
          <t>Convênio</t>
        </is>
      </c>
      <c r="J299" s="37" t="n"/>
      <c r="K299" s="36" t="n"/>
      <c r="L299" s="44">
        <f>IF(G299="","",IFERROR(INDEX(Config!$K$5:$K$16,MATCH(G299,Config!$J$5:$J$16,0)),""))</f>
        <v>20</v>
      </c>
      <c r="M299" s="30">
        <f>IF(OR(G299="",F299=""),"",IFERROR(INDEX(Config!$M$5:$R$16,MATCH(G299,Config!$J$5:$J$16,0),MATCH(F299,Config!$H$5:$H$10,0)),""))</f>
        <v>32</v>
      </c>
      <c r="N299" s="29">
        <f>IF(A299="","",MONTH(A299))</f>
        <v>7</v>
      </c>
      <c r="O299" s="29">
        <f>IF(A299="","",YEAR(A299))</f>
        <v>2026</v>
      </c>
      <c r="P299" s="29" t="str">
        <f>IF(A299="","",CHOOSE(WEEKDAY(A299,2),"Segunda","Terça","Quarta","Quinta","Sexta","Sábado","Domingo"))</f>
        <v>Quinta</v>
      </c>
      <c r="Q299" s="29" t="str">
        <f>IF(B299="","",IF(B299&lt;TIME(12,0,0),"Manhã",IF(B299&lt;TIME(18,0,0),"Tarde","Noite")))</f>
        <v>Tarde</v>
      </c>
      <c r="R299" s="45">
        <f>IF(AND(H299="Realizado",L299&lt;&gt;""),L299/60,0)</f>
        <v>0.333333333333333</v>
      </c>
    </row>
    <row r="300">
      <c r="A300" s="42" t="n">
        <v>46233</v>
      </c>
      <c r="B300" s="43" t="n">
        <v>0.6527777777777778</v>
      </c>
      <c r="C300" s="37" t="inlineStr">
        <is>
          <t>Dra. Renata Sousa</t>
        </is>
      </c>
      <c r="D300" s="37" t="inlineStr">
        <is>
          <t>Sala 1</t>
        </is>
      </c>
      <c r="E300" s="36" t="inlineStr">
        <is>
          <t>Carlos Gonçalves</t>
        </is>
      </c>
      <c r="F300" s="37" t="inlineStr">
        <is>
          <t>Saúde Total</t>
        </is>
      </c>
      <c r="G300" s="37" t="inlineStr">
        <is>
          <t>Avaliação endócrina</t>
        </is>
      </c>
      <c r="H300" s="37" t="inlineStr">
        <is>
          <t>Realizado</t>
        </is>
      </c>
      <c r="I300" s="37" t="inlineStr">
        <is>
          <t>Convênio</t>
        </is>
      </c>
      <c r="J300" s="37" t="n"/>
      <c r="K300" s="36" t="n"/>
      <c r="L300" s="44">
        <f>IF(G300="","",IFERROR(INDEX(Config!$K$5:$K$16,MATCH(G300,Config!$J$5:$J$16,0)),""))</f>
        <v>40</v>
      </c>
      <c r="M300" s="30">
        <f>IF(OR(G300="",F300=""),"",IFERROR(INDEX(Config!$M$5:$R$16,MATCH(G300,Config!$J$5:$J$16,0),MATCH(F300,Config!$H$5:$H$10,0)),""))</f>
        <v>130</v>
      </c>
      <c r="N300" s="29">
        <f>IF(A300="","",MONTH(A300))</f>
        <v>7</v>
      </c>
      <c r="O300" s="29">
        <f>IF(A300="","",YEAR(A300))</f>
        <v>2026</v>
      </c>
      <c r="P300" s="29" t="str">
        <f>IF(A300="","",CHOOSE(WEEKDAY(A300,2),"Segunda","Terça","Quarta","Quinta","Sexta","Sábado","Domingo"))</f>
        <v>Quinta</v>
      </c>
      <c r="Q300" s="29" t="str">
        <f>IF(B300="","",IF(B300&lt;TIME(12,0,0),"Manhã",IF(B300&lt;TIME(18,0,0),"Tarde","Noite")))</f>
        <v>Tarde</v>
      </c>
      <c r="R300" s="45">
        <f>IF(AND(H300="Realizado",L300&lt;&gt;""),L300/60,0)</f>
        <v>0.666666666666667</v>
      </c>
    </row>
    <row r="301">
      <c r="A301" s="42" t="n">
        <v>46233</v>
      </c>
      <c r="B301" s="43" t="n">
        <v>0.6736111111111112</v>
      </c>
      <c r="C301" s="37" t="inlineStr">
        <is>
          <t>Dr. Paulo Andrade</t>
        </is>
      </c>
      <c r="D301" s="37" t="inlineStr">
        <is>
          <t>Sala 2</t>
        </is>
      </c>
      <c r="E301" s="36" t="inlineStr">
        <is>
          <t>Viviane Duarte</t>
        </is>
      </c>
      <c r="F301" s="37" t="inlineStr">
        <is>
          <t>MediPlan</t>
        </is>
      </c>
      <c r="G301" s="37" t="inlineStr">
        <is>
          <t>Consulta</t>
        </is>
      </c>
      <c r="H301" s="37" t="inlineStr">
        <is>
          <t>Realizado</t>
        </is>
      </c>
      <c r="I301" s="37" t="inlineStr">
        <is>
          <t>Convênio</t>
        </is>
      </c>
      <c r="J301" s="37" t="n"/>
      <c r="K301" s="36" t="n"/>
      <c r="L301" s="44">
        <f>IF(G301="","",IFERROR(INDEX(Config!$K$5:$K$16,MATCH(G301,Config!$J$5:$J$16,0)),""))</f>
        <v>30</v>
      </c>
      <c r="M301" s="30">
        <f>IF(OR(G301="",F301=""),"",IFERROR(INDEX(Config!$M$5:$R$16,MATCH(G301,Config!$J$5:$J$16,0),MATCH(F301,Config!$H$5:$H$10,0)),""))</f>
        <v>100</v>
      </c>
      <c r="N301" s="29">
        <f>IF(A301="","",MONTH(A301))</f>
        <v>7</v>
      </c>
      <c r="O301" s="29">
        <f>IF(A301="","",YEAR(A301))</f>
        <v>2026</v>
      </c>
      <c r="P301" s="29" t="str">
        <f>IF(A301="","",CHOOSE(WEEKDAY(A301,2),"Segunda","Terça","Quarta","Quinta","Sexta","Sábado","Domingo"))</f>
        <v>Quinta</v>
      </c>
      <c r="Q301" s="29" t="str">
        <f>IF(B301="","",IF(B301&lt;TIME(12,0,0),"Manhã",IF(B301&lt;TIME(18,0,0),"Tarde","Noite")))</f>
        <v>Tarde</v>
      </c>
      <c r="R301" s="45">
        <f>IF(AND(H301="Realizado",L301&lt;&gt;""),L301/60,0)</f>
        <v>0.5</v>
      </c>
    </row>
    <row r="302">
      <c r="A302" s="42" t="n">
        <v>46233</v>
      </c>
      <c r="B302" s="43" t="n">
        <v>0.6805555555555556</v>
      </c>
      <c r="C302" s="37" t="inlineStr">
        <is>
          <t>Dra. Renata Sousa</t>
        </is>
      </c>
      <c r="D302" s="37" t="inlineStr">
        <is>
          <t>Sala 1</t>
        </is>
      </c>
      <c r="E302" s="36" t="inlineStr">
        <is>
          <t>Fernanda Gonçalves</t>
        </is>
      </c>
      <c r="F302" s="37" t="inlineStr">
        <is>
          <t>Saúde Total</t>
        </is>
      </c>
      <c r="G302" s="37" t="inlineStr">
        <is>
          <t>Retorno</t>
        </is>
      </c>
      <c r="H302" s="37" t="inlineStr">
        <is>
          <t>Realizado</t>
        </is>
      </c>
      <c r="I302" s="37" t="inlineStr">
        <is>
          <t>Sem cobrança</t>
        </is>
      </c>
      <c r="J302" s="37" t="n"/>
      <c r="K302" s="36" t="n"/>
      <c r="L302" s="44">
        <f>IF(G302="","",IFERROR(INDEX(Config!$K$5:$K$16,MATCH(G302,Config!$J$5:$J$16,0)),""))</f>
        <v>20</v>
      </c>
      <c r="M302" s="30">
        <f>IF(OR(G302="",F302=""),"",IFERROR(INDEX(Config!$M$5:$R$16,MATCH(G302,Config!$J$5:$J$16,0),MATCH(F302,Config!$H$5:$H$10,0)),""))</f>
        <v>0</v>
      </c>
      <c r="N302" s="29">
        <f>IF(A302="","",MONTH(A302))</f>
        <v>7</v>
      </c>
      <c r="O302" s="29">
        <f>IF(A302="","",YEAR(A302))</f>
        <v>2026</v>
      </c>
      <c r="P302" s="29" t="str">
        <f>IF(A302="","",CHOOSE(WEEKDAY(A302,2),"Segunda","Terça","Quarta","Quinta","Sexta","Sábado","Domingo"))</f>
        <v>Quinta</v>
      </c>
      <c r="Q302" s="29" t="str">
        <f>IF(B302="","",IF(B302&lt;TIME(12,0,0),"Manhã",IF(B302&lt;TIME(18,0,0),"Tarde","Noite")))</f>
        <v>Tarde</v>
      </c>
      <c r="R302" s="45">
        <f>IF(AND(H302="Realizado",L302&lt;&gt;""),L302/60,0)</f>
        <v>0.333333333333333</v>
      </c>
    </row>
    <row r="303">
      <c r="A303" s="42" t="n">
        <v>46233</v>
      </c>
      <c r="B303" s="43" t="n">
        <v>0.6944444444444444</v>
      </c>
      <c r="C303" s="37" t="inlineStr">
        <is>
          <t>Dr. Paulo Andrade</t>
        </is>
      </c>
      <c r="D303" s="37" t="inlineStr">
        <is>
          <t>Sala 2</t>
        </is>
      </c>
      <c r="E303" s="36" t="inlineStr">
        <is>
          <t>Wagner Carvalho</t>
        </is>
      </c>
      <c r="F303" s="37" t="inlineStr">
        <is>
          <t>Vida Care</t>
        </is>
      </c>
      <c r="G303" s="37" t="inlineStr">
        <is>
          <t>Retorno</t>
        </is>
      </c>
      <c r="H303" s="37" t="inlineStr">
        <is>
          <t>Falta</t>
        </is>
      </c>
      <c r="I303" s="37" t="n"/>
      <c r="J303" s="37" t="n"/>
      <c r="K303" s="36" t="n"/>
      <c r="L303" s="44">
        <f>IF(G303="","",IFERROR(INDEX(Config!$K$5:$K$16,MATCH(G303,Config!$J$5:$J$16,0)),""))</f>
        <v>20</v>
      </c>
      <c r="M303" s="30">
        <f>IF(OR(G303="",F303=""),"",IFERROR(INDEX(Config!$M$5:$R$16,MATCH(G303,Config!$J$5:$J$16,0),MATCH(F303,Config!$H$5:$H$10,0)),""))</f>
        <v>0</v>
      </c>
      <c r="N303" s="29">
        <f>IF(A303="","",MONTH(A303))</f>
        <v>7</v>
      </c>
      <c r="O303" s="29">
        <f>IF(A303="","",YEAR(A303))</f>
        <v>2026</v>
      </c>
      <c r="P303" s="29" t="str">
        <f>IF(A303="","",CHOOSE(WEEKDAY(A303,2),"Segunda","Terça","Quarta","Quinta","Sexta","Sábado","Domingo"))</f>
        <v>Quinta</v>
      </c>
      <c r="Q303" s="29" t="str">
        <f>IF(B303="","",IF(B303&lt;TIME(12,0,0),"Manhã",IF(B303&lt;TIME(18,0,0),"Tarde","Noite")))</f>
        <v>Tarde</v>
      </c>
      <c r="R303" s="45">
        <f>IF(AND(H303="Realizado",L303&lt;&gt;""),L303/60,0)</f>
        <v>0</v>
      </c>
    </row>
    <row r="304">
      <c r="A304" s="42" t="n">
        <v>46233</v>
      </c>
      <c r="B304" s="43" t="n">
        <v>0.7083333333333334</v>
      </c>
      <c r="C304" s="37" t="inlineStr">
        <is>
          <t>Dr. Paulo Andrade</t>
        </is>
      </c>
      <c r="D304" s="37" t="inlineStr">
        <is>
          <t>Sala 2</t>
        </is>
      </c>
      <c r="E304" s="36" t="inlineStr">
        <is>
          <t>Otávio Martins</t>
        </is>
      </c>
      <c r="F304" s="37" t="inlineStr">
        <is>
          <t>MediPlan</t>
        </is>
      </c>
      <c r="G304" s="37" t="inlineStr">
        <is>
          <t>Consulta</t>
        </is>
      </c>
      <c r="H304" s="37" t="inlineStr">
        <is>
          <t>Falta</t>
        </is>
      </c>
      <c r="I304" s="37" t="n"/>
      <c r="J304" s="37" t="n"/>
      <c r="K304" s="36" t="n"/>
      <c r="L304" s="44">
        <f>IF(G304="","",IFERROR(INDEX(Config!$K$5:$K$16,MATCH(G304,Config!$J$5:$J$16,0)),""))</f>
        <v>30</v>
      </c>
      <c r="M304" s="30">
        <f>IF(OR(G304="",F304=""),"",IFERROR(INDEX(Config!$M$5:$R$16,MATCH(G304,Config!$J$5:$J$16,0),MATCH(F304,Config!$H$5:$H$10,0)),""))</f>
        <v>100</v>
      </c>
      <c r="N304" s="29">
        <f>IF(A304="","",MONTH(A304))</f>
        <v>7</v>
      </c>
      <c r="O304" s="29">
        <f>IF(A304="","",YEAR(A304))</f>
        <v>2026</v>
      </c>
      <c r="P304" s="29" t="str">
        <f>IF(A304="","",CHOOSE(WEEKDAY(A304,2),"Segunda","Terça","Quarta","Quinta","Sexta","Sábado","Domingo"))</f>
        <v>Quinta</v>
      </c>
      <c r="Q304" s="29" t="str">
        <f>IF(B304="","",IF(B304&lt;TIME(12,0,0),"Manhã",IF(B304&lt;TIME(18,0,0),"Tarde","Noite")))</f>
        <v>Tarde</v>
      </c>
      <c r="R304" s="45">
        <f>IF(AND(H304="Realizado",L304&lt;&gt;""),L304/60,0)</f>
        <v>0</v>
      </c>
    </row>
    <row r="305">
      <c r="A305" s="42" t="n">
        <v>46233</v>
      </c>
      <c r="B305" s="43" t="n">
        <v>0.7152777777777778</v>
      </c>
      <c r="C305" s="37" t="inlineStr">
        <is>
          <t>Dra. Renata Sousa</t>
        </is>
      </c>
      <c r="D305" s="37" t="inlineStr">
        <is>
          <t>Sala 1</t>
        </is>
      </c>
      <c r="E305" s="36" t="inlineStr">
        <is>
          <t>Paulo Freitas</t>
        </is>
      </c>
      <c r="F305" s="37" t="inlineStr">
        <is>
          <t>Saúde Total</t>
        </is>
      </c>
      <c r="G305" s="37" t="inlineStr">
        <is>
          <t>Avaliação endócrina</t>
        </is>
      </c>
      <c r="H305" s="37" t="inlineStr">
        <is>
          <t>Realizado</t>
        </is>
      </c>
      <c r="I305" s="37" t="inlineStr">
        <is>
          <t>Convênio</t>
        </is>
      </c>
      <c r="J305" s="37" t="n"/>
      <c r="K305" s="36" t="n"/>
      <c r="L305" s="44">
        <f>IF(G305="","",IFERROR(INDEX(Config!$K$5:$K$16,MATCH(G305,Config!$J$5:$J$16,0)),""))</f>
        <v>40</v>
      </c>
      <c r="M305" s="30">
        <f>IF(OR(G305="",F305=""),"",IFERROR(INDEX(Config!$M$5:$R$16,MATCH(G305,Config!$J$5:$J$16,0),MATCH(F305,Config!$H$5:$H$10,0)),""))</f>
        <v>130</v>
      </c>
      <c r="N305" s="29">
        <f>IF(A305="","",MONTH(A305))</f>
        <v>7</v>
      </c>
      <c r="O305" s="29">
        <f>IF(A305="","",YEAR(A305))</f>
        <v>2026</v>
      </c>
      <c r="P305" s="29" t="str">
        <f>IF(A305="","",CHOOSE(WEEKDAY(A305,2),"Segunda","Terça","Quarta","Quinta","Sexta","Sábado","Domingo"))</f>
        <v>Quinta</v>
      </c>
      <c r="Q305" s="29" t="str">
        <f>IF(B305="","",IF(B305&lt;TIME(12,0,0),"Manhã",IF(B305&lt;TIME(18,0,0),"Tarde","Noite")))</f>
        <v>Tarde</v>
      </c>
      <c r="R305" s="45">
        <f>IF(AND(H305="Realizado",L305&lt;&gt;""),L305/60,0)</f>
        <v>0.666666666666667</v>
      </c>
    </row>
    <row r="306">
      <c r="A306" s="42" t="n">
        <v>46234</v>
      </c>
      <c r="B306" s="43" t="n">
        <v>0.3333333333333333</v>
      </c>
      <c r="C306" s="37" t="inlineStr">
        <is>
          <t>Dr. Paulo Andrade</t>
        </is>
      </c>
      <c r="D306" s="37" t="inlineStr">
        <is>
          <t>Sala 2</t>
        </is>
      </c>
      <c r="E306" s="36" t="inlineStr">
        <is>
          <t>Fábio Machado</t>
        </is>
      </c>
      <c r="F306" s="37" t="inlineStr">
        <is>
          <t>Particular</t>
        </is>
      </c>
      <c r="G306" s="37" t="inlineStr">
        <is>
          <t>Consulta</t>
        </is>
      </c>
      <c r="H306" s="37" t="inlineStr">
        <is>
          <t>Realizado</t>
        </is>
      </c>
      <c r="I306" s="37" t="inlineStr">
        <is>
          <t>Cartão de crédito</t>
        </is>
      </c>
      <c r="J306" s="37" t="n"/>
      <c r="K306" s="36" t="inlineStr">
        <is>
          <t>Check-up cardiológico (consulta + ECG + teste ergométrico)</t>
        </is>
      </c>
      <c r="L306" s="44">
        <f>IF(G306="","",IFERROR(INDEX(Config!$K$5:$K$16,MATCH(G306,Config!$J$5:$J$16,0)),""))</f>
        <v>30</v>
      </c>
      <c r="M306" s="30">
        <f>IF(OR(G306="",F306=""),"",IFERROR(INDEX(Config!$M$5:$R$16,MATCH(G306,Config!$J$5:$J$16,0),MATCH(F306,Config!$H$5:$H$10,0)),""))</f>
        <v>380</v>
      </c>
      <c r="N306" s="29">
        <f>IF(A306="","",MONTH(A306))</f>
        <v>7</v>
      </c>
      <c r="O306" s="29">
        <f>IF(A306="","",YEAR(A306))</f>
        <v>2026</v>
      </c>
      <c r="P306" s="29" t="str">
        <f>IF(A306="","",CHOOSE(WEEKDAY(A306,2),"Segunda","Terça","Quarta","Quinta","Sexta","Sábado","Domingo"))</f>
        <v>Sexta</v>
      </c>
      <c r="Q306" s="29" t="str">
        <f>IF(B306="","",IF(B306&lt;TIME(12,0,0),"Manhã",IF(B306&lt;TIME(18,0,0),"Tarde","Noite")))</f>
        <v>Manhã</v>
      </c>
      <c r="R306" s="45">
        <f>IF(AND(H306="Realizado",L306&lt;&gt;""),L306/60,0)</f>
        <v>0.5</v>
      </c>
    </row>
    <row r="307">
      <c r="A307" s="42" t="n">
        <v>46234</v>
      </c>
      <c r="B307" s="43" t="n">
        <v>0.3541666666666667</v>
      </c>
      <c r="C307" s="37" t="inlineStr">
        <is>
          <t>Dr. Paulo Andrade</t>
        </is>
      </c>
      <c r="D307" s="37" t="inlineStr">
        <is>
          <t>Sala 2</t>
        </is>
      </c>
      <c r="E307" s="36" t="inlineStr">
        <is>
          <t>Fábio Machado</t>
        </is>
      </c>
      <c r="F307" s="37" t="inlineStr">
        <is>
          <t>Particular</t>
        </is>
      </c>
      <c r="G307" s="37" t="inlineStr">
        <is>
          <t>ECG</t>
        </is>
      </c>
      <c r="H307" s="37" t="inlineStr">
        <is>
          <t>Realizado</t>
        </is>
      </c>
      <c r="I307" s="37" t="inlineStr">
        <is>
          <t>Cartão de crédito</t>
        </is>
      </c>
      <c r="J307" s="37" t="n"/>
      <c r="K307" s="36" t="inlineStr">
        <is>
          <t>Check-up cardiológico (consulta + ECG + teste ergométrico)</t>
        </is>
      </c>
      <c r="L307" s="44">
        <f>IF(G307="","",IFERROR(INDEX(Config!$K$5:$K$16,MATCH(G307,Config!$J$5:$J$16,0)),""))</f>
        <v>20</v>
      </c>
      <c r="M307" s="30">
        <f>IF(OR(G307="",F307=""),"",IFERROR(INDEX(Config!$M$5:$R$16,MATCH(G307,Config!$J$5:$J$16,0),MATCH(F307,Config!$H$5:$H$10,0)),""))</f>
        <v>130</v>
      </c>
      <c r="N307" s="29">
        <f>IF(A307="","",MONTH(A307))</f>
        <v>7</v>
      </c>
      <c r="O307" s="29">
        <f>IF(A307="","",YEAR(A307))</f>
        <v>2026</v>
      </c>
      <c r="P307" s="29" t="str">
        <f>IF(A307="","",CHOOSE(WEEKDAY(A307,2),"Segunda","Terça","Quarta","Quinta","Sexta","Sábado","Domingo"))</f>
        <v>Sexta</v>
      </c>
      <c r="Q307" s="29" t="str">
        <f>IF(B307="","",IF(B307&lt;TIME(12,0,0),"Manhã",IF(B307&lt;TIME(18,0,0),"Tarde","Noite")))</f>
        <v>Manhã</v>
      </c>
      <c r="R307" s="45">
        <f>IF(AND(H307="Realizado",L307&lt;&gt;""),L307/60,0)</f>
        <v>0.333333333333333</v>
      </c>
    </row>
    <row r="308">
      <c r="A308" s="42" t="n">
        <v>46234</v>
      </c>
      <c r="B308" s="43" t="n">
        <v>0.3680555555555556</v>
      </c>
      <c r="C308" s="37" t="inlineStr">
        <is>
          <t>Dr. Paulo Andrade</t>
        </is>
      </c>
      <c r="D308" s="37" t="inlineStr">
        <is>
          <t>Sala 2</t>
        </is>
      </c>
      <c r="E308" s="36" t="inlineStr">
        <is>
          <t>Fábio Machado</t>
        </is>
      </c>
      <c r="F308" s="37" t="inlineStr">
        <is>
          <t>Particular</t>
        </is>
      </c>
      <c r="G308" s="37" t="inlineStr">
        <is>
          <t>Teste ergométrico</t>
        </is>
      </c>
      <c r="H308" s="37" t="inlineStr">
        <is>
          <t>Realizado</t>
        </is>
      </c>
      <c r="I308" s="37" t="inlineStr">
        <is>
          <t>Cartão de crédito</t>
        </is>
      </c>
      <c r="J308" s="37" t="n"/>
      <c r="K308" s="36" t="inlineStr">
        <is>
          <t>Check-up cardiológico (consulta + ECG + teste ergométrico)</t>
        </is>
      </c>
      <c r="L308" s="44">
        <f>IF(G308="","",IFERROR(INDEX(Config!$K$5:$K$16,MATCH(G308,Config!$J$5:$J$16,0)),""))</f>
        <v>40</v>
      </c>
      <c r="M308" s="30">
        <f>IF(OR(G308="",F308=""),"",IFERROR(INDEX(Config!$M$5:$R$16,MATCH(G308,Config!$J$5:$J$16,0),MATCH(F308,Config!$H$5:$H$10,0)),""))</f>
        <v>450</v>
      </c>
      <c r="N308" s="29">
        <f>IF(A308="","",MONTH(A308))</f>
        <v>7</v>
      </c>
      <c r="O308" s="29">
        <f>IF(A308="","",YEAR(A308))</f>
        <v>2026</v>
      </c>
      <c r="P308" s="29" t="str">
        <f>IF(A308="","",CHOOSE(WEEKDAY(A308,2),"Segunda","Terça","Quarta","Quinta","Sexta","Sábado","Domingo"))</f>
        <v>Sexta</v>
      </c>
      <c r="Q308" s="29" t="str">
        <f>IF(B308="","",IF(B308&lt;TIME(12,0,0),"Manhã",IF(B308&lt;TIME(18,0,0),"Tarde","Noite")))</f>
        <v>Manhã</v>
      </c>
      <c r="R308" s="45">
        <f>IF(AND(H308="Realizado",L308&lt;&gt;""),L308/60,0)</f>
        <v>0.666666666666667</v>
      </c>
    </row>
    <row r="309">
      <c r="A309" s="42" t="n">
        <v>46234</v>
      </c>
      <c r="B309" s="43" t="n">
        <v>0.3958333333333333</v>
      </c>
      <c r="C309" s="37" t="inlineStr">
        <is>
          <t>Dr. Paulo Andrade</t>
        </is>
      </c>
      <c r="D309" s="37" t="inlineStr">
        <is>
          <t>Sala 2</t>
        </is>
      </c>
      <c r="E309" s="36" t="inlineStr">
        <is>
          <t>Rafael Araújo</t>
        </is>
      </c>
      <c r="F309" s="37" t="inlineStr">
        <is>
          <t>MediPlan</t>
        </is>
      </c>
      <c r="G309" s="37" t="inlineStr">
        <is>
          <t>Consulta</t>
        </is>
      </c>
      <c r="H309" s="37" t="inlineStr">
        <is>
          <t>Realizado</t>
        </is>
      </c>
      <c r="I309" s="37" t="inlineStr">
        <is>
          <t>Convênio</t>
        </is>
      </c>
      <c r="J309" s="37" t="n"/>
      <c r="K309" s="36" t="n"/>
      <c r="L309" s="44">
        <f>IF(G309="","",IFERROR(INDEX(Config!$K$5:$K$16,MATCH(G309,Config!$J$5:$J$16,0)),""))</f>
        <v>30</v>
      </c>
      <c r="M309" s="30">
        <f>IF(OR(G309="",F309=""),"",IFERROR(INDEX(Config!$M$5:$R$16,MATCH(G309,Config!$J$5:$J$16,0),MATCH(F309,Config!$H$5:$H$10,0)),""))</f>
        <v>100</v>
      </c>
      <c r="N309" s="29">
        <f>IF(A309="","",MONTH(A309))</f>
        <v>7</v>
      </c>
      <c r="O309" s="29">
        <f>IF(A309="","",YEAR(A309))</f>
        <v>2026</v>
      </c>
      <c r="P309" s="29" t="str">
        <f>IF(A309="","",CHOOSE(WEEKDAY(A309,2),"Segunda","Terça","Quarta","Quinta","Sexta","Sábado","Domingo"))</f>
        <v>Sexta</v>
      </c>
      <c r="Q309" s="29" t="str">
        <f>IF(B309="","",IF(B309&lt;TIME(12,0,0),"Manhã",IF(B309&lt;TIME(18,0,0),"Tarde","Noite")))</f>
        <v>Manhã</v>
      </c>
      <c r="R309" s="45">
        <f>IF(AND(H309="Realizado",L309&lt;&gt;""),L309/60,0)</f>
        <v>0.5</v>
      </c>
    </row>
    <row r="310">
      <c r="A310" s="42" t="n">
        <v>46234</v>
      </c>
      <c r="B310" s="43" t="n">
        <v>0.4166666666666667</v>
      </c>
      <c r="C310" s="37" t="inlineStr">
        <is>
          <t>Dr. Paulo Andrade</t>
        </is>
      </c>
      <c r="D310" s="37" t="inlineStr">
        <is>
          <t>Sala 2</t>
        </is>
      </c>
      <c r="E310" s="36" t="inlineStr">
        <is>
          <t>Otávio Martins</t>
        </is>
      </c>
      <c r="F310" s="37" t="inlineStr">
        <is>
          <t>MediPlan</t>
        </is>
      </c>
      <c r="G310" s="37" t="inlineStr">
        <is>
          <t>Retorno</t>
        </is>
      </c>
      <c r="H310" s="37" t="inlineStr">
        <is>
          <t>Realizado</t>
        </is>
      </c>
      <c r="I310" s="37" t="inlineStr">
        <is>
          <t>Sem cobrança</t>
        </is>
      </c>
      <c r="J310" s="37" t="n"/>
      <c r="K310" s="36" t="n"/>
      <c r="L310" s="44">
        <f>IF(G310="","",IFERROR(INDEX(Config!$K$5:$K$16,MATCH(G310,Config!$J$5:$J$16,0)),""))</f>
        <v>20</v>
      </c>
      <c r="M310" s="30">
        <f>IF(OR(G310="",F310=""),"",IFERROR(INDEX(Config!$M$5:$R$16,MATCH(G310,Config!$J$5:$J$16,0),MATCH(F310,Config!$H$5:$H$10,0)),""))</f>
        <v>0</v>
      </c>
      <c r="N310" s="29">
        <f>IF(A310="","",MONTH(A310))</f>
        <v>7</v>
      </c>
      <c r="O310" s="29">
        <f>IF(A310="","",YEAR(A310))</f>
        <v>2026</v>
      </c>
      <c r="P310" s="29" t="str">
        <f>IF(A310="","",CHOOSE(WEEKDAY(A310,2),"Segunda","Terça","Quarta","Quinta","Sexta","Sábado","Domingo"))</f>
        <v>Sexta</v>
      </c>
      <c r="Q310" s="29" t="str">
        <f>IF(B310="","",IF(B310&lt;TIME(12,0,0),"Manhã",IF(B310&lt;TIME(18,0,0),"Tarde","Noite")))</f>
        <v>Manhã</v>
      </c>
      <c r="R310" s="45">
        <f>IF(AND(H310="Realizado",L310&lt;&gt;""),L310/60,0)</f>
        <v>0.333333333333333</v>
      </c>
    </row>
    <row r="311">
      <c r="A311" s="42" t="n">
        <v>46234</v>
      </c>
      <c r="B311" s="43" t="n">
        <v>0.4305555555555556</v>
      </c>
      <c r="C311" s="37" t="inlineStr">
        <is>
          <t>Dr. Paulo Andrade</t>
        </is>
      </c>
      <c r="D311" s="37" t="inlineStr">
        <is>
          <t>Sala 2</t>
        </is>
      </c>
      <c r="E311" s="36" t="inlineStr">
        <is>
          <t>Lucas Cardoso</t>
        </is>
      </c>
      <c r="F311" s="37" t="inlineStr">
        <is>
          <t>Particular</t>
        </is>
      </c>
      <c r="G311" s="37" t="inlineStr">
        <is>
          <t>Retorno</t>
        </is>
      </c>
      <c r="H311" s="37" t="inlineStr">
        <is>
          <t>Realizado</t>
        </is>
      </c>
      <c r="I311" s="37" t="inlineStr">
        <is>
          <t>Sem cobrança</t>
        </is>
      </c>
      <c r="J311" s="37" t="n"/>
      <c r="K311" s="36" t="n"/>
      <c r="L311" s="44">
        <f>IF(G311="","",IFERROR(INDEX(Config!$K$5:$K$16,MATCH(G311,Config!$J$5:$J$16,0)),""))</f>
        <v>20</v>
      </c>
      <c r="M311" s="30">
        <f>IF(OR(G311="",F311=""),"",IFERROR(INDEX(Config!$M$5:$R$16,MATCH(G311,Config!$J$5:$J$16,0),MATCH(F311,Config!$H$5:$H$10,0)),""))</f>
        <v>0</v>
      </c>
      <c r="N311" s="29">
        <f>IF(A311="","",MONTH(A311))</f>
        <v>7</v>
      </c>
      <c r="O311" s="29">
        <f>IF(A311="","",YEAR(A311))</f>
        <v>2026</v>
      </c>
      <c r="P311" s="29" t="str">
        <f>IF(A311="","",CHOOSE(WEEKDAY(A311,2),"Segunda","Terça","Quarta","Quinta","Sexta","Sábado","Domingo"))</f>
        <v>Sexta</v>
      </c>
      <c r="Q311" s="29" t="str">
        <f>IF(B311="","",IF(B311&lt;TIME(12,0,0),"Manhã",IF(B311&lt;TIME(18,0,0),"Tarde","Noite")))</f>
        <v>Manhã</v>
      </c>
      <c r="R311" s="45">
        <f>IF(AND(H311="Realizado",L311&lt;&gt;""),L311/60,0)</f>
        <v>0.333333333333333</v>
      </c>
    </row>
    <row r="312">
      <c r="A312" s="42" t="n">
        <v>46234</v>
      </c>
      <c r="B312" s="43" t="n">
        <v>0.4444444444444444</v>
      </c>
      <c r="C312" s="37" t="inlineStr">
        <is>
          <t>Dr. Paulo Andrade</t>
        </is>
      </c>
      <c r="D312" s="37" t="inlineStr">
        <is>
          <t>Sala 2</t>
        </is>
      </c>
      <c r="E312" s="36" t="inlineStr">
        <is>
          <t>Renato Pereira</t>
        </is>
      </c>
      <c r="F312" s="37" t="inlineStr">
        <is>
          <t>MediPlan</t>
        </is>
      </c>
      <c r="G312" s="37" t="inlineStr">
        <is>
          <t>Consulta</t>
        </is>
      </c>
      <c r="H312" s="37" t="inlineStr">
        <is>
          <t>Cancelado</t>
        </is>
      </c>
      <c r="I312" s="37" t="n"/>
      <c r="J312" s="37" t="n"/>
      <c r="K312" s="36" t="n"/>
      <c r="L312" s="44">
        <f>IF(G312="","",IFERROR(INDEX(Config!$K$5:$K$16,MATCH(G312,Config!$J$5:$J$16,0)),""))</f>
        <v>30</v>
      </c>
      <c r="M312" s="30">
        <f>IF(OR(G312="",F312=""),"",IFERROR(INDEX(Config!$M$5:$R$16,MATCH(G312,Config!$J$5:$J$16,0),MATCH(F312,Config!$H$5:$H$10,0)),""))</f>
        <v>100</v>
      </c>
      <c r="N312" s="29">
        <f>IF(A312="","",MONTH(A312))</f>
        <v>7</v>
      </c>
      <c r="O312" s="29">
        <f>IF(A312="","",YEAR(A312))</f>
        <v>2026</v>
      </c>
      <c r="P312" s="29" t="str">
        <f>IF(A312="","",CHOOSE(WEEKDAY(A312,2),"Segunda","Terça","Quarta","Quinta","Sexta","Sábado","Domingo"))</f>
        <v>Sexta</v>
      </c>
      <c r="Q312" s="29" t="str">
        <f>IF(B312="","",IF(B312&lt;TIME(12,0,0),"Manhã",IF(B312&lt;TIME(18,0,0),"Tarde","Noite")))</f>
        <v>Manhã</v>
      </c>
      <c r="R312" s="45">
        <f>IF(AND(H312="Realizado",L312&lt;&gt;""),L312/60,0)</f>
        <v>0</v>
      </c>
    </row>
    <row r="313">
      <c r="A313" s="42" t="n">
        <v>46234</v>
      </c>
      <c r="B313" s="43" t="n">
        <v>0.4652777777777778</v>
      </c>
      <c r="C313" s="37" t="inlineStr">
        <is>
          <t>Dr. Paulo Andrade</t>
        </is>
      </c>
      <c r="D313" s="37" t="inlineStr">
        <is>
          <t>Sala 2</t>
        </is>
      </c>
      <c r="E313" s="36" t="inlineStr">
        <is>
          <t>Henrique Ribeiro</t>
        </is>
      </c>
      <c r="F313" s="37" t="inlineStr">
        <is>
          <t>Particular</t>
        </is>
      </c>
      <c r="G313" s="37" t="inlineStr">
        <is>
          <t>Consulta</t>
        </is>
      </c>
      <c r="H313" s="37" t="inlineStr">
        <is>
          <t>Realizado</t>
        </is>
      </c>
      <c r="I313" s="37" t="inlineStr">
        <is>
          <t>Cartão de débito</t>
        </is>
      </c>
      <c r="J313" s="37" t="n"/>
      <c r="K313" s="36" t="n"/>
      <c r="L313" s="44">
        <f>IF(G313="","",IFERROR(INDEX(Config!$K$5:$K$16,MATCH(G313,Config!$J$5:$J$16,0)),""))</f>
        <v>30</v>
      </c>
      <c r="M313" s="30">
        <f>IF(OR(G313="",F313=""),"",IFERROR(INDEX(Config!$M$5:$R$16,MATCH(G313,Config!$J$5:$J$16,0),MATCH(F313,Config!$H$5:$H$10,0)),""))</f>
        <v>380</v>
      </c>
      <c r="N313" s="29">
        <f>IF(A313="","",MONTH(A313))</f>
        <v>7</v>
      </c>
      <c r="O313" s="29">
        <f>IF(A313="","",YEAR(A313))</f>
        <v>2026</v>
      </c>
      <c r="P313" s="29" t="str">
        <f>IF(A313="","",CHOOSE(WEEKDAY(A313,2),"Segunda","Terça","Quarta","Quinta","Sexta","Sábado","Domingo"))</f>
        <v>Sexta</v>
      </c>
      <c r="Q313" s="29" t="str">
        <f>IF(B313="","",IF(B313&lt;TIME(12,0,0),"Manhã",IF(B313&lt;TIME(18,0,0),"Tarde","Noite")))</f>
        <v>Manhã</v>
      </c>
      <c r="R313" s="45">
        <f>IF(AND(H313="Realizado",L313&lt;&gt;""),L313/60,0)</f>
        <v>0.5</v>
      </c>
    </row>
    <row r="314">
      <c r="A314" s="42" t="n">
        <v>46237</v>
      </c>
      <c r="B314" s="43" t="n">
        <v>0.3333333333333333</v>
      </c>
      <c r="C314" s="37" t="inlineStr">
        <is>
          <t>Dra. Carolina Mendes</t>
        </is>
      </c>
      <c r="D314" s="37" t="inlineStr">
        <is>
          <t>Sala 1</t>
        </is>
      </c>
      <c r="E314" s="36" t="inlineStr">
        <is>
          <t>Mariana Nascimento</t>
        </is>
      </c>
      <c r="F314" s="37" t="inlineStr">
        <is>
          <t>Particular</t>
        </is>
      </c>
      <c r="G314" s="37" t="inlineStr">
        <is>
          <t>Consulta</t>
        </is>
      </c>
      <c r="H314" s="37" t="inlineStr">
        <is>
          <t>Cancelado</t>
        </is>
      </c>
      <c r="I314" s="37" t="n"/>
      <c r="J314" s="37" t="n"/>
      <c r="K314" s="36" t="n"/>
      <c r="L314" s="44">
        <f>IF(G314="","",IFERROR(INDEX(Config!$K$5:$K$16,MATCH(G314,Config!$J$5:$J$16,0)),""))</f>
        <v>30</v>
      </c>
      <c r="M314" s="30">
        <f>IF(OR(G314="",F314=""),"",IFERROR(INDEX(Config!$M$5:$R$16,MATCH(G314,Config!$J$5:$J$16,0),MATCH(F314,Config!$H$5:$H$10,0)),""))</f>
        <v>380</v>
      </c>
      <c r="N314" s="29">
        <f>IF(A314="","",MONTH(A314))</f>
        <v>8</v>
      </c>
      <c r="O314" s="29">
        <f>IF(A314="","",YEAR(A314))</f>
        <v>2026</v>
      </c>
      <c r="P314" s="29" t="str">
        <f>IF(A314="","",CHOOSE(WEEKDAY(A314,2),"Segunda","Terça","Quarta","Quinta","Sexta","Sábado","Domingo"))</f>
        <v>Segunda</v>
      </c>
      <c r="Q314" s="29" t="str">
        <f>IF(B314="","",IF(B314&lt;TIME(12,0,0),"Manhã",IF(B314&lt;TIME(18,0,0),"Tarde","Noite")))</f>
        <v>Manhã</v>
      </c>
      <c r="R314" s="45">
        <f>IF(AND(H314="Realizado",L314&lt;&gt;""),L314/60,0)</f>
        <v>0</v>
      </c>
    </row>
    <row r="315">
      <c r="A315" s="42" t="n">
        <v>46237</v>
      </c>
      <c r="B315" s="43" t="n">
        <v>0.3541666666666667</v>
      </c>
      <c r="C315" s="37" t="inlineStr">
        <is>
          <t>Dra. Carolina Mendes</t>
        </is>
      </c>
      <c r="D315" s="37" t="inlineStr">
        <is>
          <t>Sala 1</t>
        </is>
      </c>
      <c r="E315" s="36" t="inlineStr">
        <is>
          <t>Tatiana Rocha</t>
        </is>
      </c>
      <c r="F315" s="37" t="inlineStr">
        <is>
          <t>Vida Care</t>
        </is>
      </c>
      <c r="G315" s="37" t="inlineStr">
        <is>
          <t>Consulta</t>
        </is>
      </c>
      <c r="H315" s="37" t="inlineStr">
        <is>
          <t>Realizado</t>
        </is>
      </c>
      <c r="I315" s="37" t="inlineStr">
        <is>
          <t>Convênio</t>
        </is>
      </c>
      <c r="J315" s="37" t="n"/>
      <c r="K315" s="36" t="n"/>
      <c r="L315" s="44">
        <f>IF(G315="","",IFERROR(INDEX(Config!$K$5:$K$16,MATCH(G315,Config!$J$5:$J$16,0)),""))</f>
        <v>30</v>
      </c>
      <c r="M315" s="30">
        <f>IF(OR(G315="",F315=""),"",IFERROR(INDEX(Config!$M$5:$R$16,MATCH(G315,Config!$J$5:$J$16,0),MATCH(F315,Config!$H$5:$H$10,0)),""))</f>
        <v>90</v>
      </c>
      <c r="N315" s="29">
        <f>IF(A315="","",MONTH(A315))</f>
        <v>8</v>
      </c>
      <c r="O315" s="29">
        <f>IF(A315="","",YEAR(A315))</f>
        <v>2026</v>
      </c>
      <c r="P315" s="29" t="str">
        <f>IF(A315="","",CHOOSE(WEEKDAY(A315,2),"Segunda","Terça","Quarta","Quinta","Sexta","Sábado","Domingo"))</f>
        <v>Segunda</v>
      </c>
      <c r="Q315" s="29" t="str">
        <f>IF(B315="","",IF(B315&lt;TIME(12,0,0),"Manhã",IF(B315&lt;TIME(18,0,0),"Tarde","Noite")))</f>
        <v>Manhã</v>
      </c>
      <c r="R315" s="45">
        <f>IF(AND(H315="Realizado",L315&lt;&gt;""),L315/60,0)</f>
        <v>0.5</v>
      </c>
    </row>
    <row r="316">
      <c r="A316" s="42" t="n">
        <v>46237</v>
      </c>
      <c r="B316" s="43" t="n">
        <v>0.375</v>
      </c>
      <c r="C316" s="37" t="inlineStr">
        <is>
          <t>Dra. Carolina Mendes</t>
        </is>
      </c>
      <c r="D316" s="37" t="inlineStr">
        <is>
          <t>Sala 1</t>
        </is>
      </c>
      <c r="E316" s="36" t="inlineStr">
        <is>
          <t>Mateus Lima</t>
        </is>
      </c>
      <c r="F316" s="37" t="inlineStr">
        <is>
          <t>MediPlan</t>
        </is>
      </c>
      <c r="G316" s="37" t="inlineStr">
        <is>
          <t>Consulta</t>
        </is>
      </c>
      <c r="H316" s="37" t="inlineStr">
        <is>
          <t>Falta</t>
        </is>
      </c>
      <c r="I316" s="37" t="n"/>
      <c r="J316" s="37" t="n"/>
      <c r="K316" s="36" t="n"/>
      <c r="L316" s="44">
        <f>IF(G316="","",IFERROR(INDEX(Config!$K$5:$K$16,MATCH(G316,Config!$J$5:$J$16,0)),""))</f>
        <v>30</v>
      </c>
      <c r="M316" s="30">
        <f>IF(OR(G316="",F316=""),"",IFERROR(INDEX(Config!$M$5:$R$16,MATCH(G316,Config!$J$5:$J$16,0),MATCH(F316,Config!$H$5:$H$10,0)),""))</f>
        <v>100</v>
      </c>
      <c r="N316" s="29">
        <f>IF(A316="","",MONTH(A316))</f>
        <v>8</v>
      </c>
      <c r="O316" s="29">
        <f>IF(A316="","",YEAR(A316))</f>
        <v>2026</v>
      </c>
      <c r="P316" s="29" t="str">
        <f>IF(A316="","",CHOOSE(WEEKDAY(A316,2),"Segunda","Terça","Quarta","Quinta","Sexta","Sábado","Domingo"))</f>
        <v>Segunda</v>
      </c>
      <c r="Q316" s="29" t="str">
        <f>IF(B316="","",IF(B316&lt;TIME(12,0,0),"Manhã",IF(B316&lt;TIME(18,0,0),"Tarde","Noite")))</f>
        <v>Manhã</v>
      </c>
      <c r="R316" s="45">
        <f>IF(AND(H316="Realizado",L316&lt;&gt;""),L316/60,0)</f>
        <v>0</v>
      </c>
    </row>
    <row r="317">
      <c r="A317" s="42" t="n">
        <v>46237</v>
      </c>
      <c r="B317" s="43" t="n">
        <v>0.3958333333333333</v>
      </c>
      <c r="C317" s="37" t="inlineStr">
        <is>
          <t>Dra. Carolina Mendes</t>
        </is>
      </c>
      <c r="D317" s="37" t="inlineStr">
        <is>
          <t>Sala 1</t>
        </is>
      </c>
      <c r="E317" s="36" t="inlineStr">
        <is>
          <t>Mateus Lima</t>
        </is>
      </c>
      <c r="F317" s="37" t="inlineStr">
        <is>
          <t>MediPlan</t>
        </is>
      </c>
      <c r="G317" s="37" t="inlineStr">
        <is>
          <t>Consulta</t>
        </is>
      </c>
      <c r="H317" s="37" t="inlineStr">
        <is>
          <t>Realizado</t>
        </is>
      </c>
      <c r="I317" s="37" t="inlineStr">
        <is>
          <t>Convênio</t>
        </is>
      </c>
      <c r="J317" s="37" t="n"/>
      <c r="K317" s="36" t="n"/>
      <c r="L317" s="44">
        <f>IF(G317="","",IFERROR(INDEX(Config!$K$5:$K$16,MATCH(G317,Config!$J$5:$J$16,0)),""))</f>
        <v>30</v>
      </c>
      <c r="M317" s="30">
        <f>IF(OR(G317="",F317=""),"",IFERROR(INDEX(Config!$M$5:$R$16,MATCH(G317,Config!$J$5:$J$16,0),MATCH(F317,Config!$H$5:$H$10,0)),""))</f>
        <v>100</v>
      </c>
      <c r="N317" s="29">
        <f>IF(A317="","",MONTH(A317))</f>
        <v>8</v>
      </c>
      <c r="O317" s="29">
        <f>IF(A317="","",YEAR(A317))</f>
        <v>2026</v>
      </c>
      <c r="P317" s="29" t="str">
        <f>IF(A317="","",CHOOSE(WEEKDAY(A317,2),"Segunda","Terça","Quarta","Quinta","Sexta","Sábado","Domingo"))</f>
        <v>Segunda</v>
      </c>
      <c r="Q317" s="29" t="str">
        <f>IF(B317="","",IF(B317&lt;TIME(12,0,0),"Manhã",IF(B317&lt;TIME(18,0,0),"Tarde","Noite")))</f>
        <v>Manhã</v>
      </c>
      <c r="R317" s="45">
        <f>IF(AND(H317="Realizado",L317&lt;&gt;""),L317/60,0)</f>
        <v>0.5</v>
      </c>
    </row>
    <row r="318">
      <c r="A318" s="42" t="n">
        <v>46237</v>
      </c>
      <c r="B318" s="43" t="n">
        <v>0.4166666666666667</v>
      </c>
      <c r="C318" s="37" t="inlineStr">
        <is>
          <t>Dra. Carolina Mendes</t>
        </is>
      </c>
      <c r="D318" s="37" t="inlineStr">
        <is>
          <t>Sala 1</t>
        </is>
      </c>
      <c r="E318" s="36" t="inlineStr">
        <is>
          <t>Mônica Martins</t>
        </is>
      </c>
      <c r="F318" s="37" t="inlineStr">
        <is>
          <t>Particular</t>
        </is>
      </c>
      <c r="G318" s="37" t="inlineStr">
        <is>
          <t>Consulta</t>
        </is>
      </c>
      <c r="H318" s="37" t="inlineStr">
        <is>
          <t>Realizado</t>
        </is>
      </c>
      <c r="I318" s="37" t="inlineStr">
        <is>
          <t>Cartão de crédito</t>
        </is>
      </c>
      <c r="J318" s="37" t="n"/>
      <c r="K318" s="36" t="n"/>
      <c r="L318" s="44">
        <f>IF(G318="","",IFERROR(INDEX(Config!$K$5:$K$16,MATCH(G318,Config!$J$5:$J$16,0)),""))</f>
        <v>30</v>
      </c>
      <c r="M318" s="30">
        <f>IF(OR(G318="",F318=""),"",IFERROR(INDEX(Config!$M$5:$R$16,MATCH(G318,Config!$J$5:$J$16,0),MATCH(F318,Config!$H$5:$H$10,0)),""))</f>
        <v>380</v>
      </c>
      <c r="N318" s="29">
        <f>IF(A318="","",MONTH(A318))</f>
        <v>8</v>
      </c>
      <c r="O318" s="29">
        <f>IF(A318="","",YEAR(A318))</f>
        <v>2026</v>
      </c>
      <c r="P318" s="29" t="str">
        <f>IF(A318="","",CHOOSE(WEEKDAY(A318,2),"Segunda","Terça","Quarta","Quinta","Sexta","Sábado","Domingo"))</f>
        <v>Segunda</v>
      </c>
      <c r="Q318" s="29" t="str">
        <f>IF(B318="","",IF(B318&lt;TIME(12,0,0),"Manhã",IF(B318&lt;TIME(18,0,0),"Tarde","Noite")))</f>
        <v>Manhã</v>
      </c>
      <c r="R318" s="45">
        <f>IF(AND(H318="Realizado",L318&lt;&gt;""),L318/60,0)</f>
        <v>0.5</v>
      </c>
    </row>
    <row r="319">
      <c r="A319" s="42" t="n">
        <v>46237</v>
      </c>
      <c r="B319" s="43" t="n">
        <v>0.4375</v>
      </c>
      <c r="C319" s="37" t="inlineStr">
        <is>
          <t>Dra. Carolina Mendes</t>
        </is>
      </c>
      <c r="D319" s="37" t="inlineStr">
        <is>
          <t>Sala 1</t>
        </is>
      </c>
      <c r="E319" s="36" t="inlineStr">
        <is>
          <t>Larissa Costa</t>
        </is>
      </c>
      <c r="F319" s="37" t="inlineStr">
        <is>
          <t>Particular</t>
        </is>
      </c>
      <c r="G319" s="37" t="inlineStr">
        <is>
          <t>Consulta</t>
        </is>
      </c>
      <c r="H319" s="37" t="inlineStr">
        <is>
          <t>Realizado</t>
        </is>
      </c>
      <c r="I319" s="37" t="inlineStr">
        <is>
          <t>A prazo</t>
        </is>
      </c>
      <c r="J319" s="37" t="n"/>
      <c r="K319" s="36" t="n"/>
      <c r="L319" s="44">
        <f>IF(G319="","",IFERROR(INDEX(Config!$K$5:$K$16,MATCH(G319,Config!$J$5:$J$16,0)),""))</f>
        <v>30</v>
      </c>
      <c r="M319" s="30">
        <f>IF(OR(G319="",F319=""),"",IFERROR(INDEX(Config!$M$5:$R$16,MATCH(G319,Config!$J$5:$J$16,0),MATCH(F319,Config!$H$5:$H$10,0)),""))</f>
        <v>380</v>
      </c>
      <c r="N319" s="29">
        <f>IF(A319="","",MONTH(A319))</f>
        <v>8</v>
      </c>
      <c r="O319" s="29">
        <f>IF(A319="","",YEAR(A319))</f>
        <v>2026</v>
      </c>
      <c r="P319" s="29" t="str">
        <f>IF(A319="","",CHOOSE(WEEKDAY(A319,2),"Segunda","Terça","Quarta","Quinta","Sexta","Sábado","Domingo"))</f>
        <v>Segunda</v>
      </c>
      <c r="Q319" s="29" t="str">
        <f>IF(B319="","",IF(B319&lt;TIME(12,0,0),"Manhã",IF(B319&lt;TIME(18,0,0),"Tarde","Noite")))</f>
        <v>Manhã</v>
      </c>
      <c r="R319" s="45">
        <f>IF(AND(H319="Realizado",L319&lt;&gt;""),L319/60,0)</f>
        <v>0.5</v>
      </c>
    </row>
    <row r="320">
      <c r="A320" s="42" t="n">
        <v>46237</v>
      </c>
      <c r="B320" s="43" t="n">
        <v>0.4583333333333333</v>
      </c>
      <c r="C320" s="37" t="inlineStr">
        <is>
          <t>Dra. Carolina Mendes</t>
        </is>
      </c>
      <c r="D320" s="37" t="inlineStr">
        <is>
          <t>Sala 1</t>
        </is>
      </c>
      <c r="E320" s="36" t="inlineStr">
        <is>
          <t>Letícia Vieira</t>
        </is>
      </c>
      <c r="F320" s="37" t="inlineStr">
        <is>
          <t>Saúde Total</t>
        </is>
      </c>
      <c r="G320" s="37" t="inlineStr">
        <is>
          <t>Consulta</t>
        </is>
      </c>
      <c r="H320" s="37" t="inlineStr">
        <is>
          <t>Realizado</t>
        </is>
      </c>
      <c r="I320" s="37" t="inlineStr">
        <is>
          <t>Convênio</t>
        </is>
      </c>
      <c r="J320" s="37" t="n"/>
      <c r="K320" s="36" t="n"/>
      <c r="L320" s="44">
        <f>IF(G320="","",IFERROR(INDEX(Config!$K$5:$K$16,MATCH(G320,Config!$J$5:$J$16,0)),""))</f>
        <v>30</v>
      </c>
      <c r="M320" s="30">
        <f>IF(OR(G320="",F320=""),"",IFERROR(INDEX(Config!$M$5:$R$16,MATCH(G320,Config!$J$5:$J$16,0),MATCH(F320,Config!$H$5:$H$10,0)),""))</f>
        <v>120</v>
      </c>
      <c r="N320" s="29">
        <f>IF(A320="","",MONTH(A320))</f>
        <v>8</v>
      </c>
      <c r="O320" s="29">
        <f>IF(A320="","",YEAR(A320))</f>
        <v>2026</v>
      </c>
      <c r="P320" s="29" t="str">
        <f>IF(A320="","",CHOOSE(WEEKDAY(A320,2),"Segunda","Terça","Quarta","Quinta","Sexta","Sábado","Domingo"))</f>
        <v>Segunda</v>
      </c>
      <c r="Q320" s="29" t="str">
        <f>IF(B320="","",IF(B320&lt;TIME(12,0,0),"Manhã",IF(B320&lt;TIME(18,0,0),"Tarde","Noite")))</f>
        <v>Manhã</v>
      </c>
      <c r="R320" s="45">
        <f>IF(AND(H320="Realizado",L320&lt;&gt;""),L320/60,0)</f>
        <v>0.5</v>
      </c>
    </row>
    <row r="321">
      <c r="A321" s="42" t="n">
        <v>46237</v>
      </c>
      <c r="B321" s="43" t="n">
        <v>0.4791666666666667</v>
      </c>
      <c r="C321" s="37" t="inlineStr">
        <is>
          <t>Dra. Carolina Mendes</t>
        </is>
      </c>
      <c r="D321" s="37" t="inlineStr">
        <is>
          <t>Sala 1</t>
        </is>
      </c>
      <c r="E321" s="36" t="inlineStr">
        <is>
          <t>Rafael Batista</t>
        </is>
      </c>
      <c r="F321" s="37" t="inlineStr">
        <is>
          <t>Saúde Total</t>
        </is>
      </c>
      <c r="G321" s="37" t="inlineStr">
        <is>
          <t>Consulta</t>
        </is>
      </c>
      <c r="H321" s="37" t="inlineStr">
        <is>
          <t>Realizado</t>
        </is>
      </c>
      <c r="I321" s="37" t="inlineStr">
        <is>
          <t>Convênio</t>
        </is>
      </c>
      <c r="J321" s="37" t="n"/>
      <c r="K321" s="36" t="n"/>
      <c r="L321" s="44">
        <f>IF(G321="","",IFERROR(INDEX(Config!$K$5:$K$16,MATCH(G321,Config!$J$5:$J$16,0)),""))</f>
        <v>30</v>
      </c>
      <c r="M321" s="30">
        <f>IF(OR(G321="",F321=""),"",IFERROR(INDEX(Config!$M$5:$R$16,MATCH(G321,Config!$J$5:$J$16,0),MATCH(F321,Config!$H$5:$H$10,0)),""))</f>
        <v>120</v>
      </c>
      <c r="N321" s="29">
        <f>IF(A321="","",MONTH(A321))</f>
        <v>8</v>
      </c>
      <c r="O321" s="29">
        <f>IF(A321="","",YEAR(A321))</f>
        <v>2026</v>
      </c>
      <c r="P321" s="29" t="str">
        <f>IF(A321="","",CHOOSE(WEEKDAY(A321,2),"Segunda","Terça","Quarta","Quinta","Sexta","Sábado","Domingo"))</f>
        <v>Segunda</v>
      </c>
      <c r="Q321" s="29" t="str">
        <f>IF(B321="","",IF(B321&lt;TIME(12,0,0),"Manhã",IF(B321&lt;TIME(18,0,0),"Tarde","Noite")))</f>
        <v>Manhã</v>
      </c>
      <c r="R321" s="45">
        <f>IF(AND(H321="Realizado",L321&lt;&gt;""),L321/60,0)</f>
        <v>0.5</v>
      </c>
    </row>
    <row r="322">
      <c r="A322" s="42" t="n">
        <v>46237</v>
      </c>
      <c r="B322" s="43" t="n">
        <v>0.5833333333333334</v>
      </c>
      <c r="C322" s="37" t="inlineStr">
        <is>
          <t>Dr. Paulo Andrade</t>
        </is>
      </c>
      <c r="D322" s="37" t="inlineStr">
        <is>
          <t>Sala 2</t>
        </is>
      </c>
      <c r="E322" s="36" t="inlineStr">
        <is>
          <t>Elaine Xavier</t>
        </is>
      </c>
      <c r="F322" s="37" t="inlineStr">
        <is>
          <t>MediPlan</t>
        </is>
      </c>
      <c r="G322" s="37" t="inlineStr">
        <is>
          <t>Consulta</t>
        </is>
      </c>
      <c r="H322" s="37" t="inlineStr">
        <is>
          <t>Realizado</t>
        </is>
      </c>
      <c r="I322" s="37" t="inlineStr">
        <is>
          <t>Convênio</t>
        </is>
      </c>
      <c r="J322" s="37" t="n"/>
      <c r="K322" s="36" t="n"/>
      <c r="L322" s="44">
        <f>IF(G322="","",IFERROR(INDEX(Config!$K$5:$K$16,MATCH(G322,Config!$J$5:$J$16,0)),""))</f>
        <v>30</v>
      </c>
      <c r="M322" s="30">
        <f>IF(OR(G322="",F322=""),"",IFERROR(INDEX(Config!$M$5:$R$16,MATCH(G322,Config!$J$5:$J$16,0),MATCH(F322,Config!$H$5:$H$10,0)),""))</f>
        <v>100</v>
      </c>
      <c r="N322" s="29">
        <f>IF(A322="","",MONTH(A322))</f>
        <v>8</v>
      </c>
      <c r="O322" s="29">
        <f>IF(A322="","",YEAR(A322))</f>
        <v>2026</v>
      </c>
      <c r="P322" s="29" t="str">
        <f>IF(A322="","",CHOOSE(WEEKDAY(A322,2),"Segunda","Terça","Quarta","Quinta","Sexta","Sábado","Domingo"))</f>
        <v>Segunda</v>
      </c>
      <c r="Q322" s="29" t="str">
        <f>IF(B322="","",IF(B322&lt;TIME(12,0,0),"Manhã",IF(B322&lt;TIME(18,0,0),"Tarde","Noite")))</f>
        <v>Tarde</v>
      </c>
      <c r="R322" s="45">
        <f>IF(AND(H322="Realizado",L322&lt;&gt;""),L322/60,0)</f>
        <v>0.5</v>
      </c>
    </row>
    <row r="323">
      <c r="A323" s="42" t="n">
        <v>46237</v>
      </c>
      <c r="B323" s="43" t="n">
        <v>0.6041666666666666</v>
      </c>
      <c r="C323" s="37" t="inlineStr">
        <is>
          <t>Dr. Paulo Andrade</t>
        </is>
      </c>
      <c r="D323" s="37" t="inlineStr">
        <is>
          <t>Sala 2</t>
        </is>
      </c>
      <c r="E323" s="36" t="inlineStr">
        <is>
          <t>Lucas Xavier</t>
        </is>
      </c>
      <c r="F323" s="37" t="inlineStr">
        <is>
          <t>Saúde Total</t>
        </is>
      </c>
      <c r="G323" s="37" t="inlineStr">
        <is>
          <t>Holter</t>
        </is>
      </c>
      <c r="H323" s="37" t="inlineStr">
        <is>
          <t>Realizado</t>
        </is>
      </c>
      <c r="I323" s="37" t="inlineStr">
        <is>
          <t>Convênio</t>
        </is>
      </c>
      <c r="J323" s="37" t="n"/>
      <c r="K323" s="36" t="n"/>
      <c r="L323" s="44">
        <f>IF(G323="","",IFERROR(INDEX(Config!$K$5:$K$16,MATCH(G323,Config!$J$5:$J$16,0)),""))</f>
        <v>20</v>
      </c>
      <c r="M323" s="30">
        <f>IF(OR(G323="",F323=""),"",IFERROR(INDEX(Config!$M$5:$R$16,MATCH(G323,Config!$J$5:$J$16,0),MATCH(F323,Config!$H$5:$H$10,0)),""))</f>
        <v>105</v>
      </c>
      <c r="N323" s="29">
        <f>IF(A323="","",MONTH(A323))</f>
        <v>8</v>
      </c>
      <c r="O323" s="29">
        <f>IF(A323="","",YEAR(A323))</f>
        <v>2026</v>
      </c>
      <c r="P323" s="29" t="str">
        <f>IF(A323="","",CHOOSE(WEEKDAY(A323,2),"Segunda","Terça","Quarta","Quinta","Sexta","Sábado","Domingo"))</f>
        <v>Segunda</v>
      </c>
      <c r="Q323" s="29" t="str">
        <f>IF(B323="","",IF(B323&lt;TIME(12,0,0),"Manhã",IF(B323&lt;TIME(18,0,0),"Tarde","Noite")))</f>
        <v>Tarde</v>
      </c>
      <c r="R323" s="45">
        <f>IF(AND(H323="Realizado",L323&lt;&gt;""),L323/60,0)</f>
        <v>0.333333333333333</v>
      </c>
    </row>
    <row r="324">
      <c r="A324" s="42" t="n">
        <v>46237</v>
      </c>
      <c r="B324" s="43" t="n">
        <v>0.6388888888888888</v>
      </c>
      <c r="C324" s="37" t="inlineStr">
        <is>
          <t>Dr. Paulo Andrade</t>
        </is>
      </c>
      <c r="D324" s="37" t="inlineStr">
        <is>
          <t>Sala 2</t>
        </is>
      </c>
      <c r="E324" s="36" t="inlineStr">
        <is>
          <t>Paulo Nascimento</t>
        </is>
      </c>
      <c r="F324" s="37" t="inlineStr">
        <is>
          <t>MediPlan</t>
        </is>
      </c>
      <c r="G324" s="37" t="inlineStr">
        <is>
          <t>Consulta</t>
        </is>
      </c>
      <c r="H324" s="37" t="inlineStr">
        <is>
          <t>Realizado</t>
        </is>
      </c>
      <c r="I324" s="37" t="inlineStr">
        <is>
          <t>Convênio</t>
        </is>
      </c>
      <c r="J324" s="37" t="n"/>
      <c r="K324" s="36" t="n"/>
      <c r="L324" s="44">
        <f>IF(G324="","",IFERROR(INDEX(Config!$K$5:$K$16,MATCH(G324,Config!$J$5:$J$16,0)),""))</f>
        <v>30</v>
      </c>
      <c r="M324" s="30">
        <f>IF(OR(G324="",F324=""),"",IFERROR(INDEX(Config!$M$5:$R$16,MATCH(G324,Config!$J$5:$J$16,0),MATCH(F324,Config!$H$5:$H$10,0)),""))</f>
        <v>100</v>
      </c>
      <c r="N324" s="29">
        <f>IF(A324="","",MONTH(A324))</f>
        <v>8</v>
      </c>
      <c r="O324" s="29">
        <f>IF(A324="","",YEAR(A324))</f>
        <v>2026</v>
      </c>
      <c r="P324" s="29" t="str">
        <f>IF(A324="","",CHOOSE(WEEKDAY(A324,2),"Segunda","Terça","Quarta","Quinta","Sexta","Sábado","Domingo"))</f>
        <v>Segunda</v>
      </c>
      <c r="Q324" s="29" t="str">
        <f>IF(B324="","",IF(B324&lt;TIME(12,0,0),"Manhã",IF(B324&lt;TIME(18,0,0),"Tarde","Noite")))</f>
        <v>Tarde</v>
      </c>
      <c r="R324" s="45">
        <f>IF(AND(H324="Realizado",L324&lt;&gt;""),L324/60,0)</f>
        <v>0.5</v>
      </c>
    </row>
    <row r="325">
      <c r="A325" s="42" t="n">
        <v>46237</v>
      </c>
      <c r="B325" s="43" t="n">
        <v>0.6597222222222222</v>
      </c>
      <c r="C325" s="37" t="inlineStr">
        <is>
          <t>Dr. Paulo Andrade</t>
        </is>
      </c>
      <c r="D325" s="37" t="inlineStr">
        <is>
          <t>Sala 2</t>
        </is>
      </c>
      <c r="E325" s="36" t="inlineStr">
        <is>
          <t>Renato Pereira</t>
        </is>
      </c>
      <c r="F325" s="37" t="inlineStr">
        <is>
          <t>MediPlan</t>
        </is>
      </c>
      <c r="G325" s="37" t="inlineStr">
        <is>
          <t>Retorno</t>
        </is>
      </c>
      <c r="H325" s="37" t="inlineStr">
        <is>
          <t>Realizado</t>
        </is>
      </c>
      <c r="I325" s="37" t="inlineStr">
        <is>
          <t>Sem cobrança</t>
        </is>
      </c>
      <c r="J325" s="37" t="n"/>
      <c r="K325" s="36" t="n"/>
      <c r="L325" s="44">
        <f>IF(G325="","",IFERROR(INDEX(Config!$K$5:$K$16,MATCH(G325,Config!$J$5:$J$16,0)),""))</f>
        <v>20</v>
      </c>
      <c r="M325" s="30">
        <f>IF(OR(G325="",F325=""),"",IFERROR(INDEX(Config!$M$5:$R$16,MATCH(G325,Config!$J$5:$J$16,0),MATCH(F325,Config!$H$5:$H$10,0)),""))</f>
        <v>0</v>
      </c>
      <c r="N325" s="29">
        <f>IF(A325="","",MONTH(A325))</f>
        <v>8</v>
      </c>
      <c r="O325" s="29">
        <f>IF(A325="","",YEAR(A325))</f>
        <v>2026</v>
      </c>
      <c r="P325" s="29" t="str">
        <f>IF(A325="","",CHOOSE(WEEKDAY(A325,2),"Segunda","Terça","Quarta","Quinta","Sexta","Sábado","Domingo"))</f>
        <v>Segunda</v>
      </c>
      <c r="Q325" s="29" t="str">
        <f>IF(B325="","",IF(B325&lt;TIME(12,0,0),"Manhã",IF(B325&lt;TIME(18,0,0),"Tarde","Noite")))</f>
        <v>Tarde</v>
      </c>
      <c r="R325" s="45">
        <f>IF(AND(H325="Realizado",L325&lt;&gt;""),L325/60,0)</f>
        <v>0.333333333333333</v>
      </c>
    </row>
    <row r="326">
      <c r="A326" s="42" t="n">
        <v>46237</v>
      </c>
      <c r="B326" s="43" t="n">
        <v>0.6944444444444444</v>
      </c>
      <c r="C326" s="37" t="inlineStr">
        <is>
          <t>Dr. Paulo Andrade</t>
        </is>
      </c>
      <c r="D326" s="37" t="inlineStr">
        <is>
          <t>Sala 2</t>
        </is>
      </c>
      <c r="E326" s="36" t="inlineStr">
        <is>
          <t>Wagner Santos</t>
        </is>
      </c>
      <c r="F326" s="37" t="inlineStr">
        <is>
          <t>Particular</t>
        </is>
      </c>
      <c r="G326" s="37" t="inlineStr">
        <is>
          <t>MAPA</t>
        </is>
      </c>
      <c r="H326" s="37" t="inlineStr">
        <is>
          <t>Realizado</t>
        </is>
      </c>
      <c r="I326" s="37" t="inlineStr">
        <is>
          <t>Cartão de débito</t>
        </is>
      </c>
      <c r="J326" s="37" t="n"/>
      <c r="K326" s="36" t="n"/>
      <c r="L326" s="44">
        <f>IF(G326="","",IFERROR(INDEX(Config!$K$5:$K$16,MATCH(G326,Config!$J$5:$J$16,0)),""))</f>
        <v>20</v>
      </c>
      <c r="M326" s="30">
        <f>IF(OR(G326="",F326=""),"",IFERROR(INDEX(Config!$M$5:$R$16,MATCH(G326,Config!$J$5:$J$16,0),MATCH(F326,Config!$H$5:$H$10,0)),""))</f>
        <v>300</v>
      </c>
      <c r="N326" s="29">
        <f>IF(A326="","",MONTH(A326))</f>
        <v>8</v>
      </c>
      <c r="O326" s="29">
        <f>IF(A326="","",YEAR(A326))</f>
        <v>2026</v>
      </c>
      <c r="P326" s="29" t="str">
        <f>IF(A326="","",CHOOSE(WEEKDAY(A326,2),"Segunda","Terça","Quarta","Quinta","Sexta","Sábado","Domingo"))</f>
        <v>Segunda</v>
      </c>
      <c r="Q326" s="29" t="str">
        <f>IF(B326="","",IF(B326&lt;TIME(12,0,0),"Manhã",IF(B326&lt;TIME(18,0,0),"Tarde","Noite")))</f>
        <v>Tarde</v>
      </c>
      <c r="R326" s="45">
        <f>IF(AND(H326="Realizado",L326&lt;&gt;""),L326/60,0)</f>
        <v>0.333333333333333</v>
      </c>
    </row>
    <row r="327">
      <c r="A327" s="42" t="n">
        <v>46237</v>
      </c>
      <c r="B327" s="43" t="n">
        <v>0.7291666666666666</v>
      </c>
      <c r="C327" s="37" t="inlineStr">
        <is>
          <t>Dr. Paulo Andrade</t>
        </is>
      </c>
      <c r="D327" s="37" t="inlineStr">
        <is>
          <t>Sala 2</t>
        </is>
      </c>
      <c r="E327" s="36" t="inlineStr">
        <is>
          <t>Fábio Correia</t>
        </is>
      </c>
      <c r="F327" s="37" t="inlineStr">
        <is>
          <t>Particular</t>
        </is>
      </c>
      <c r="G327" s="37" t="inlineStr">
        <is>
          <t>Retorno</t>
        </is>
      </c>
      <c r="H327" s="37" t="inlineStr">
        <is>
          <t>Realizado</t>
        </is>
      </c>
      <c r="I327" s="37" t="inlineStr">
        <is>
          <t>Sem cobrança</t>
        </is>
      </c>
      <c r="J327" s="37" t="n"/>
      <c r="K327" s="36" t="n"/>
      <c r="L327" s="44">
        <f>IF(G327="","",IFERROR(INDEX(Config!$K$5:$K$16,MATCH(G327,Config!$J$5:$J$16,0)),""))</f>
        <v>20</v>
      </c>
      <c r="M327" s="30">
        <f>IF(OR(G327="",F327=""),"",IFERROR(INDEX(Config!$M$5:$R$16,MATCH(G327,Config!$J$5:$J$16,0),MATCH(F327,Config!$H$5:$H$10,0)),""))</f>
        <v>0</v>
      </c>
      <c r="N327" s="29">
        <f>IF(A327="","",MONTH(A327))</f>
        <v>8</v>
      </c>
      <c r="O327" s="29">
        <f>IF(A327="","",YEAR(A327))</f>
        <v>2026</v>
      </c>
      <c r="P327" s="29" t="str">
        <f>IF(A327="","",CHOOSE(WEEKDAY(A327,2),"Segunda","Terça","Quarta","Quinta","Sexta","Sábado","Domingo"))</f>
        <v>Segunda</v>
      </c>
      <c r="Q327" s="29" t="str">
        <f>IF(B327="","",IF(B327&lt;TIME(12,0,0),"Manhã",IF(B327&lt;TIME(18,0,0),"Tarde","Noite")))</f>
        <v>Tarde</v>
      </c>
      <c r="R327" s="45">
        <f>IF(AND(H327="Realizado",L327&lt;&gt;""),L327/60,0)</f>
        <v>0.333333333333333</v>
      </c>
    </row>
    <row r="328">
      <c r="A328" s="42" t="n">
        <v>46238</v>
      </c>
      <c r="B328" s="43" t="n">
        <v>0.3333333333333333</v>
      </c>
      <c r="C328" s="37" t="inlineStr">
        <is>
          <t>Dra. Carolina Mendes</t>
        </is>
      </c>
      <c r="D328" s="37" t="inlineStr">
        <is>
          <t>Sala 1</t>
        </is>
      </c>
      <c r="E328" s="36" t="inlineStr">
        <is>
          <t>Fernanda Freitas</t>
        </is>
      </c>
      <c r="F328" s="37" t="inlineStr">
        <is>
          <t>Particular</t>
        </is>
      </c>
      <c r="G328" s="37" t="inlineStr">
        <is>
          <t>Consulta</t>
        </is>
      </c>
      <c r="H328" s="37" t="inlineStr">
        <is>
          <t>Cancelado</t>
        </is>
      </c>
      <c r="I328" s="37" t="n"/>
      <c r="J328" s="37" t="n"/>
      <c r="K328" s="36" t="n"/>
      <c r="L328" s="44">
        <f>IF(G328="","",IFERROR(INDEX(Config!$K$5:$K$16,MATCH(G328,Config!$J$5:$J$16,0)),""))</f>
        <v>30</v>
      </c>
      <c r="M328" s="30">
        <f>IF(OR(G328="",F328=""),"",IFERROR(INDEX(Config!$M$5:$R$16,MATCH(G328,Config!$J$5:$J$16,0),MATCH(F328,Config!$H$5:$H$10,0)),""))</f>
        <v>380</v>
      </c>
      <c r="N328" s="29">
        <f>IF(A328="","",MONTH(A328))</f>
        <v>8</v>
      </c>
      <c r="O328" s="29">
        <f>IF(A328="","",YEAR(A328))</f>
        <v>2026</v>
      </c>
      <c r="P328" s="29" t="str">
        <f>IF(A328="","",CHOOSE(WEEKDAY(A328,2),"Segunda","Terça","Quarta","Quinta","Sexta","Sábado","Domingo"))</f>
        <v>Terça</v>
      </c>
      <c r="Q328" s="29" t="str">
        <f>IF(B328="","",IF(B328&lt;TIME(12,0,0),"Manhã",IF(B328&lt;TIME(18,0,0),"Tarde","Noite")))</f>
        <v>Manhã</v>
      </c>
      <c r="R328" s="45">
        <f>IF(AND(H328="Realizado",L328&lt;&gt;""),L328/60,0)</f>
        <v>0</v>
      </c>
    </row>
    <row r="329">
      <c r="A329" s="42" t="n">
        <v>46238</v>
      </c>
      <c r="B329" s="43" t="n">
        <v>0.3541666666666667</v>
      </c>
      <c r="C329" s="37" t="inlineStr">
        <is>
          <t>Dra. Carolina Mendes</t>
        </is>
      </c>
      <c r="D329" s="37" t="inlineStr">
        <is>
          <t>Sala 1</t>
        </is>
      </c>
      <c r="E329" s="36" t="inlineStr">
        <is>
          <t>Helena Moreira</t>
        </is>
      </c>
      <c r="F329" s="37" t="inlineStr">
        <is>
          <t>Particular</t>
        </is>
      </c>
      <c r="G329" s="37" t="inlineStr">
        <is>
          <t>Consulta</t>
        </is>
      </c>
      <c r="H329" s="37" t="inlineStr">
        <is>
          <t>Realizado</t>
        </is>
      </c>
      <c r="I329" s="37" t="inlineStr">
        <is>
          <t>Cartão de crédito</t>
        </is>
      </c>
      <c r="J329" s="37" t="n"/>
      <c r="K329" s="36" t="n"/>
      <c r="L329" s="44">
        <f>IF(G329="","",IFERROR(INDEX(Config!$K$5:$K$16,MATCH(G329,Config!$J$5:$J$16,0)),""))</f>
        <v>30</v>
      </c>
      <c r="M329" s="30">
        <f>IF(OR(G329="",F329=""),"",IFERROR(INDEX(Config!$M$5:$R$16,MATCH(G329,Config!$J$5:$J$16,0),MATCH(F329,Config!$H$5:$H$10,0)),""))</f>
        <v>380</v>
      </c>
      <c r="N329" s="29">
        <f>IF(A329="","",MONTH(A329))</f>
        <v>8</v>
      </c>
      <c r="O329" s="29">
        <f>IF(A329="","",YEAR(A329))</f>
        <v>2026</v>
      </c>
      <c r="P329" s="29" t="str">
        <f>IF(A329="","",CHOOSE(WEEKDAY(A329,2),"Segunda","Terça","Quarta","Quinta","Sexta","Sábado","Domingo"))</f>
        <v>Terça</v>
      </c>
      <c r="Q329" s="29" t="str">
        <f>IF(B329="","",IF(B329&lt;TIME(12,0,0),"Manhã",IF(B329&lt;TIME(18,0,0),"Tarde","Noite")))</f>
        <v>Manhã</v>
      </c>
      <c r="R329" s="45">
        <f>IF(AND(H329="Realizado",L329&lt;&gt;""),L329/60,0)</f>
        <v>0.5</v>
      </c>
    </row>
    <row r="330">
      <c r="A330" s="42" t="n">
        <v>46238</v>
      </c>
      <c r="B330" s="43" t="n">
        <v>0.375</v>
      </c>
      <c r="C330" s="37" t="inlineStr">
        <is>
          <t>Dra. Carolina Mendes</t>
        </is>
      </c>
      <c r="D330" s="37" t="inlineStr">
        <is>
          <t>Sala 1</t>
        </is>
      </c>
      <c r="E330" s="36" t="inlineStr">
        <is>
          <t>Fernanda Freitas</t>
        </is>
      </c>
      <c r="F330" s="37" t="inlineStr">
        <is>
          <t>Particular</t>
        </is>
      </c>
      <c r="G330" s="37" t="inlineStr">
        <is>
          <t>Consulta</t>
        </is>
      </c>
      <c r="H330" s="37" t="inlineStr">
        <is>
          <t>Realizado</t>
        </is>
      </c>
      <c r="I330" s="37" t="inlineStr">
        <is>
          <t>Cartão de débito</t>
        </is>
      </c>
      <c r="J330" s="37" t="n"/>
      <c r="K330" s="36" t="n"/>
      <c r="L330" s="44">
        <f>IF(G330="","",IFERROR(INDEX(Config!$K$5:$K$16,MATCH(G330,Config!$J$5:$J$16,0)),""))</f>
        <v>30</v>
      </c>
      <c r="M330" s="30">
        <f>IF(OR(G330="",F330=""),"",IFERROR(INDEX(Config!$M$5:$R$16,MATCH(G330,Config!$J$5:$J$16,0),MATCH(F330,Config!$H$5:$H$10,0)),""))</f>
        <v>380</v>
      </c>
      <c r="N330" s="29">
        <f>IF(A330="","",MONTH(A330))</f>
        <v>8</v>
      </c>
      <c r="O330" s="29">
        <f>IF(A330="","",YEAR(A330))</f>
        <v>2026</v>
      </c>
      <c r="P330" s="29" t="str">
        <f>IF(A330="","",CHOOSE(WEEKDAY(A330,2),"Segunda","Terça","Quarta","Quinta","Sexta","Sábado","Domingo"))</f>
        <v>Terça</v>
      </c>
      <c r="Q330" s="29" t="str">
        <f>IF(B330="","",IF(B330&lt;TIME(12,0,0),"Manhã",IF(B330&lt;TIME(18,0,0),"Tarde","Noite")))</f>
        <v>Manhã</v>
      </c>
      <c r="R330" s="45">
        <f>IF(AND(H330="Realizado",L330&lt;&gt;""),L330/60,0)</f>
        <v>0.5</v>
      </c>
    </row>
    <row r="331">
      <c r="A331" s="42" t="n">
        <v>46238</v>
      </c>
      <c r="B331" s="43" t="n">
        <v>0.3958333333333333</v>
      </c>
      <c r="C331" s="37" t="inlineStr">
        <is>
          <t>Dra. Carolina Mendes</t>
        </is>
      </c>
      <c r="D331" s="37" t="inlineStr">
        <is>
          <t>Sala 1</t>
        </is>
      </c>
      <c r="E331" s="36" t="inlineStr">
        <is>
          <t>Ana Costa</t>
        </is>
      </c>
      <c r="F331" s="37" t="inlineStr">
        <is>
          <t>Particular</t>
        </is>
      </c>
      <c r="G331" s="37" t="inlineStr">
        <is>
          <t>Consulta</t>
        </is>
      </c>
      <c r="H331" s="37" t="inlineStr">
        <is>
          <t>Realizado</t>
        </is>
      </c>
      <c r="I331" s="37" t="inlineStr">
        <is>
          <t>Pix</t>
        </is>
      </c>
      <c r="J331" s="37" t="n"/>
      <c r="K331" s="36" t="n"/>
      <c r="L331" s="44">
        <f>IF(G331="","",IFERROR(INDEX(Config!$K$5:$K$16,MATCH(G331,Config!$J$5:$J$16,0)),""))</f>
        <v>30</v>
      </c>
      <c r="M331" s="30">
        <f>IF(OR(G331="",F331=""),"",IFERROR(INDEX(Config!$M$5:$R$16,MATCH(G331,Config!$J$5:$J$16,0),MATCH(F331,Config!$H$5:$H$10,0)),""))</f>
        <v>380</v>
      </c>
      <c r="N331" s="29">
        <f>IF(A331="","",MONTH(A331))</f>
        <v>8</v>
      </c>
      <c r="O331" s="29">
        <f>IF(A331="","",YEAR(A331))</f>
        <v>2026</v>
      </c>
      <c r="P331" s="29" t="str">
        <f>IF(A331="","",CHOOSE(WEEKDAY(A331,2),"Segunda","Terça","Quarta","Quinta","Sexta","Sábado","Domingo"))</f>
        <v>Terça</v>
      </c>
      <c r="Q331" s="29" t="str">
        <f>IF(B331="","",IF(B331&lt;TIME(12,0,0),"Manhã",IF(B331&lt;TIME(18,0,0),"Tarde","Noite")))</f>
        <v>Manhã</v>
      </c>
      <c r="R331" s="45">
        <f>IF(AND(H331="Realizado",L331&lt;&gt;""),L331/60,0)</f>
        <v>0.5</v>
      </c>
    </row>
    <row r="332">
      <c r="A332" s="42" t="n">
        <v>46238</v>
      </c>
      <c r="B332" s="43" t="n">
        <v>0.4166666666666667</v>
      </c>
      <c r="C332" s="37" t="inlineStr">
        <is>
          <t>Dra. Carolina Mendes</t>
        </is>
      </c>
      <c r="D332" s="37" t="inlineStr">
        <is>
          <t>Sala 1</t>
        </is>
      </c>
      <c r="E332" s="36" t="inlineStr">
        <is>
          <t>Eduardo Lima</t>
        </is>
      </c>
      <c r="F332" s="37" t="inlineStr">
        <is>
          <t>Particular</t>
        </is>
      </c>
      <c r="G332" s="37" t="inlineStr">
        <is>
          <t>Consulta</t>
        </is>
      </c>
      <c r="H332" s="37" t="inlineStr">
        <is>
          <t>Realizado</t>
        </is>
      </c>
      <c r="I332" s="37" t="inlineStr">
        <is>
          <t>Pix</t>
        </is>
      </c>
      <c r="J332" s="37" t="n"/>
      <c r="K332" s="36" t="n"/>
      <c r="L332" s="44">
        <f>IF(G332="","",IFERROR(INDEX(Config!$K$5:$K$16,MATCH(G332,Config!$J$5:$J$16,0)),""))</f>
        <v>30</v>
      </c>
      <c r="M332" s="30">
        <f>IF(OR(G332="",F332=""),"",IFERROR(INDEX(Config!$M$5:$R$16,MATCH(G332,Config!$J$5:$J$16,0),MATCH(F332,Config!$H$5:$H$10,0)),""))</f>
        <v>380</v>
      </c>
      <c r="N332" s="29">
        <f>IF(A332="","",MONTH(A332))</f>
        <v>8</v>
      </c>
      <c r="O332" s="29">
        <f>IF(A332="","",YEAR(A332))</f>
        <v>2026</v>
      </c>
      <c r="P332" s="29" t="str">
        <f>IF(A332="","",CHOOSE(WEEKDAY(A332,2),"Segunda","Terça","Quarta","Quinta","Sexta","Sábado","Domingo"))</f>
        <v>Terça</v>
      </c>
      <c r="Q332" s="29" t="str">
        <f>IF(B332="","",IF(B332&lt;TIME(12,0,0),"Manhã",IF(B332&lt;TIME(18,0,0),"Tarde","Noite")))</f>
        <v>Manhã</v>
      </c>
      <c r="R332" s="45">
        <f>IF(AND(H332="Realizado",L332&lt;&gt;""),L332/60,0)</f>
        <v>0.5</v>
      </c>
    </row>
    <row r="333">
      <c r="A333" s="42" t="n">
        <v>46238</v>
      </c>
      <c r="B333" s="43" t="n">
        <v>0.4375</v>
      </c>
      <c r="C333" s="37" t="inlineStr">
        <is>
          <t>Dra. Carolina Mendes</t>
        </is>
      </c>
      <c r="D333" s="37" t="inlineStr">
        <is>
          <t>Sala 1</t>
        </is>
      </c>
      <c r="E333" s="36" t="inlineStr">
        <is>
          <t>Daniel Melo</t>
        </is>
      </c>
      <c r="F333" s="37" t="inlineStr">
        <is>
          <t>Saúde Total</t>
        </is>
      </c>
      <c r="G333" s="37" t="inlineStr">
        <is>
          <t>Consulta</t>
        </is>
      </c>
      <c r="H333" s="37" t="inlineStr">
        <is>
          <t>Realizado</t>
        </is>
      </c>
      <c r="I333" s="37" t="inlineStr">
        <is>
          <t>Convênio</t>
        </is>
      </c>
      <c r="J333" s="37" t="n"/>
      <c r="K333" s="36" t="n"/>
      <c r="L333" s="44">
        <f>IF(G333="","",IFERROR(INDEX(Config!$K$5:$K$16,MATCH(G333,Config!$J$5:$J$16,0)),""))</f>
        <v>30</v>
      </c>
      <c r="M333" s="30">
        <f>IF(OR(G333="",F333=""),"",IFERROR(INDEX(Config!$M$5:$R$16,MATCH(G333,Config!$J$5:$J$16,0),MATCH(F333,Config!$H$5:$H$10,0)),""))</f>
        <v>120</v>
      </c>
      <c r="N333" s="29">
        <f>IF(A333="","",MONTH(A333))</f>
        <v>8</v>
      </c>
      <c r="O333" s="29">
        <f>IF(A333="","",YEAR(A333))</f>
        <v>2026</v>
      </c>
      <c r="P333" s="29" t="str">
        <f>IF(A333="","",CHOOSE(WEEKDAY(A333,2),"Segunda","Terça","Quarta","Quinta","Sexta","Sábado","Domingo"))</f>
        <v>Terça</v>
      </c>
      <c r="Q333" s="29" t="str">
        <f>IF(B333="","",IF(B333&lt;TIME(12,0,0),"Manhã",IF(B333&lt;TIME(18,0,0),"Tarde","Noite")))</f>
        <v>Manhã</v>
      </c>
      <c r="R333" s="45">
        <f>IF(AND(H333="Realizado",L333&lt;&gt;""),L333/60,0)</f>
        <v>0.5</v>
      </c>
    </row>
    <row r="334">
      <c r="A334" s="42" t="n">
        <v>46238</v>
      </c>
      <c r="B334" s="43" t="n">
        <v>0.4583333333333333</v>
      </c>
      <c r="C334" s="37" t="inlineStr">
        <is>
          <t>Dra. Carolina Mendes</t>
        </is>
      </c>
      <c r="D334" s="37" t="inlineStr">
        <is>
          <t>Sala 1</t>
        </is>
      </c>
      <c r="E334" s="36" t="inlineStr">
        <is>
          <t>Mariana Nascimento</t>
        </is>
      </c>
      <c r="F334" s="37" t="inlineStr">
        <is>
          <t>Particular</t>
        </is>
      </c>
      <c r="G334" s="37" t="inlineStr">
        <is>
          <t>Consulta</t>
        </is>
      </c>
      <c r="H334" s="37" t="inlineStr">
        <is>
          <t>Falta</t>
        </is>
      </c>
      <c r="I334" s="37" t="n"/>
      <c r="J334" s="37" t="n"/>
      <c r="K334" s="36" t="n"/>
      <c r="L334" s="44">
        <f>IF(G334="","",IFERROR(INDEX(Config!$K$5:$K$16,MATCH(G334,Config!$J$5:$J$16,0)),""))</f>
        <v>30</v>
      </c>
      <c r="M334" s="30">
        <f>IF(OR(G334="",F334=""),"",IFERROR(INDEX(Config!$M$5:$R$16,MATCH(G334,Config!$J$5:$J$16,0),MATCH(F334,Config!$H$5:$H$10,0)),""))</f>
        <v>380</v>
      </c>
      <c r="N334" s="29">
        <f>IF(A334="","",MONTH(A334))</f>
        <v>8</v>
      </c>
      <c r="O334" s="29">
        <f>IF(A334="","",YEAR(A334))</f>
        <v>2026</v>
      </c>
      <c r="P334" s="29" t="str">
        <f>IF(A334="","",CHOOSE(WEEKDAY(A334,2),"Segunda","Terça","Quarta","Quinta","Sexta","Sábado","Domingo"))</f>
        <v>Terça</v>
      </c>
      <c r="Q334" s="29" t="str">
        <f>IF(B334="","",IF(B334&lt;TIME(12,0,0),"Manhã",IF(B334&lt;TIME(18,0,0),"Tarde","Noite")))</f>
        <v>Manhã</v>
      </c>
      <c r="R334" s="45">
        <f>IF(AND(H334="Realizado",L334&lt;&gt;""),L334/60,0)</f>
        <v>0</v>
      </c>
    </row>
    <row r="335">
      <c r="A335" s="42" t="n">
        <v>46238</v>
      </c>
      <c r="B335" s="43" t="n">
        <v>0.4791666666666667</v>
      </c>
      <c r="C335" s="37" t="inlineStr">
        <is>
          <t>Dra. Carolina Mendes</t>
        </is>
      </c>
      <c r="D335" s="37" t="inlineStr">
        <is>
          <t>Sala 1</t>
        </is>
      </c>
      <c r="E335" s="36" t="inlineStr">
        <is>
          <t>Wagner Lima</t>
        </is>
      </c>
      <c r="F335" s="37" t="inlineStr">
        <is>
          <t>Particular</t>
        </is>
      </c>
      <c r="G335" s="37" t="inlineStr">
        <is>
          <t>Consulta</t>
        </is>
      </c>
      <c r="H335" s="37" t="inlineStr">
        <is>
          <t>Realizado</t>
        </is>
      </c>
      <c r="I335" s="37" t="inlineStr">
        <is>
          <t>Cartão de débito</t>
        </is>
      </c>
      <c r="J335" s="37" t="n"/>
      <c r="K335" s="36" t="n"/>
      <c r="L335" s="44">
        <f>IF(G335="","",IFERROR(INDEX(Config!$K$5:$K$16,MATCH(G335,Config!$J$5:$J$16,0)),""))</f>
        <v>30</v>
      </c>
      <c r="M335" s="30">
        <f>IF(OR(G335="",F335=""),"",IFERROR(INDEX(Config!$M$5:$R$16,MATCH(G335,Config!$J$5:$J$16,0),MATCH(F335,Config!$H$5:$H$10,0)),""))</f>
        <v>380</v>
      </c>
      <c r="N335" s="29">
        <f>IF(A335="","",MONTH(A335))</f>
        <v>8</v>
      </c>
      <c r="O335" s="29">
        <f>IF(A335="","",YEAR(A335))</f>
        <v>2026</v>
      </c>
      <c r="P335" s="29" t="str">
        <f>IF(A335="","",CHOOSE(WEEKDAY(A335,2),"Segunda","Terça","Quarta","Quinta","Sexta","Sábado","Domingo"))</f>
        <v>Terça</v>
      </c>
      <c r="Q335" s="29" t="str">
        <f>IF(B335="","",IF(B335&lt;TIME(12,0,0),"Manhã",IF(B335&lt;TIME(18,0,0),"Tarde","Noite")))</f>
        <v>Manhã</v>
      </c>
      <c r="R335" s="45">
        <f>IF(AND(H335="Realizado",L335&lt;&gt;""),L335/60,0)</f>
        <v>0.5</v>
      </c>
    </row>
    <row r="336">
      <c r="A336" s="42" t="n">
        <v>46238</v>
      </c>
      <c r="B336" s="43" t="n">
        <v>0.5833333333333334</v>
      </c>
      <c r="C336" s="37" t="inlineStr">
        <is>
          <t>Dra. Renata Sousa</t>
        </is>
      </c>
      <c r="D336" s="37" t="inlineStr">
        <is>
          <t>Sala 1</t>
        </is>
      </c>
      <c r="E336" s="36" t="inlineStr">
        <is>
          <t>Gabriel Lopes</t>
        </is>
      </c>
      <c r="F336" s="37" t="inlineStr">
        <is>
          <t>Saúde Total</t>
        </is>
      </c>
      <c r="G336" s="37" t="inlineStr">
        <is>
          <t>Avaliação endócrina</t>
        </is>
      </c>
      <c r="H336" s="37" t="inlineStr">
        <is>
          <t>Realizado</t>
        </is>
      </c>
      <c r="I336" s="37" t="inlineStr">
        <is>
          <t>Convênio</t>
        </is>
      </c>
      <c r="J336" s="37" t="n"/>
      <c r="K336" s="36" t="n"/>
      <c r="L336" s="44">
        <f>IF(G336="","",IFERROR(INDEX(Config!$K$5:$K$16,MATCH(G336,Config!$J$5:$J$16,0)),""))</f>
        <v>40</v>
      </c>
      <c r="M336" s="30">
        <f>IF(OR(G336="",F336=""),"",IFERROR(INDEX(Config!$M$5:$R$16,MATCH(G336,Config!$J$5:$J$16,0),MATCH(F336,Config!$H$5:$H$10,0)),""))</f>
        <v>130</v>
      </c>
      <c r="N336" s="29">
        <f>IF(A336="","",MONTH(A336))</f>
        <v>8</v>
      </c>
      <c r="O336" s="29">
        <f>IF(A336="","",YEAR(A336))</f>
        <v>2026</v>
      </c>
      <c r="P336" s="29" t="str">
        <f>IF(A336="","",CHOOSE(WEEKDAY(A336,2),"Segunda","Terça","Quarta","Quinta","Sexta","Sábado","Domingo"))</f>
        <v>Terça</v>
      </c>
      <c r="Q336" s="29" t="str">
        <f>IF(B336="","",IF(B336&lt;TIME(12,0,0),"Manhã",IF(B336&lt;TIME(18,0,0),"Tarde","Noite")))</f>
        <v>Tarde</v>
      </c>
      <c r="R336" s="45">
        <f>IF(AND(H336="Realizado",L336&lt;&gt;""),L336/60,0)</f>
        <v>0.666666666666667</v>
      </c>
    </row>
    <row r="337">
      <c r="A337" s="42" t="n">
        <v>46238</v>
      </c>
      <c r="B337" s="43" t="n">
        <v>0.5833333333333334</v>
      </c>
      <c r="C337" s="37" t="inlineStr">
        <is>
          <t>Dr. Paulo Andrade</t>
        </is>
      </c>
      <c r="D337" s="37" t="inlineStr">
        <is>
          <t>Sala 2</t>
        </is>
      </c>
      <c r="E337" s="36" t="inlineStr">
        <is>
          <t>Paulo Ribeiro</t>
        </is>
      </c>
      <c r="F337" s="37" t="inlineStr">
        <is>
          <t>Saúde Total</t>
        </is>
      </c>
      <c r="G337" s="37" t="inlineStr">
        <is>
          <t>Retorno</t>
        </is>
      </c>
      <c r="H337" s="37" t="inlineStr">
        <is>
          <t>Realizado</t>
        </is>
      </c>
      <c r="I337" s="37" t="inlineStr">
        <is>
          <t>Sem cobrança</t>
        </is>
      </c>
      <c r="J337" s="37" t="n"/>
      <c r="K337" s="36" t="n"/>
      <c r="L337" s="44">
        <f>IF(G337="","",IFERROR(INDEX(Config!$K$5:$K$16,MATCH(G337,Config!$J$5:$J$16,0)),""))</f>
        <v>20</v>
      </c>
      <c r="M337" s="30">
        <f>IF(OR(G337="",F337=""),"",IFERROR(INDEX(Config!$M$5:$R$16,MATCH(G337,Config!$J$5:$J$16,0),MATCH(F337,Config!$H$5:$H$10,0)),""))</f>
        <v>0</v>
      </c>
      <c r="N337" s="29">
        <f>IF(A337="","",MONTH(A337))</f>
        <v>8</v>
      </c>
      <c r="O337" s="29">
        <f>IF(A337="","",YEAR(A337))</f>
        <v>2026</v>
      </c>
      <c r="P337" s="29" t="str">
        <f>IF(A337="","",CHOOSE(WEEKDAY(A337,2),"Segunda","Terça","Quarta","Quinta","Sexta","Sábado","Domingo"))</f>
        <v>Terça</v>
      </c>
      <c r="Q337" s="29" t="str">
        <f>IF(B337="","",IF(B337&lt;TIME(12,0,0),"Manhã",IF(B337&lt;TIME(18,0,0),"Tarde","Noite")))</f>
        <v>Tarde</v>
      </c>
      <c r="R337" s="45">
        <f>IF(AND(H337="Realizado",L337&lt;&gt;""),L337/60,0)</f>
        <v>0.333333333333333</v>
      </c>
    </row>
    <row r="338">
      <c r="A338" s="42" t="n">
        <v>46238</v>
      </c>
      <c r="B338" s="43" t="n">
        <v>0.5972222222222222</v>
      </c>
      <c r="C338" s="37" t="inlineStr">
        <is>
          <t>Dr. Paulo Andrade</t>
        </is>
      </c>
      <c r="D338" s="37" t="inlineStr">
        <is>
          <t>Sala 2</t>
        </is>
      </c>
      <c r="E338" s="36" t="inlineStr">
        <is>
          <t>Henrique Santos</t>
        </is>
      </c>
      <c r="F338" s="37" t="inlineStr">
        <is>
          <t>Vida Care</t>
        </is>
      </c>
      <c r="G338" s="37" t="inlineStr">
        <is>
          <t>Retorno</t>
        </is>
      </c>
      <c r="H338" s="37" t="inlineStr">
        <is>
          <t>Realizado</t>
        </is>
      </c>
      <c r="I338" s="37" t="inlineStr">
        <is>
          <t>Sem cobrança</t>
        </is>
      </c>
      <c r="J338" s="37" t="n"/>
      <c r="K338" s="36" t="n"/>
      <c r="L338" s="44">
        <f>IF(G338="","",IFERROR(INDEX(Config!$K$5:$K$16,MATCH(G338,Config!$J$5:$J$16,0)),""))</f>
        <v>20</v>
      </c>
      <c r="M338" s="30">
        <f>IF(OR(G338="",F338=""),"",IFERROR(INDEX(Config!$M$5:$R$16,MATCH(G338,Config!$J$5:$J$16,0),MATCH(F338,Config!$H$5:$H$10,0)),""))</f>
        <v>0</v>
      </c>
      <c r="N338" s="29">
        <f>IF(A338="","",MONTH(A338))</f>
        <v>8</v>
      </c>
      <c r="O338" s="29">
        <f>IF(A338="","",YEAR(A338))</f>
        <v>2026</v>
      </c>
      <c r="P338" s="29" t="str">
        <f>IF(A338="","",CHOOSE(WEEKDAY(A338,2),"Segunda","Terça","Quarta","Quinta","Sexta","Sábado","Domingo"))</f>
        <v>Terça</v>
      </c>
      <c r="Q338" s="29" t="str">
        <f>IF(B338="","",IF(B338&lt;TIME(12,0,0),"Manhã",IF(B338&lt;TIME(18,0,0),"Tarde","Noite")))</f>
        <v>Tarde</v>
      </c>
      <c r="R338" s="45">
        <f>IF(AND(H338="Realizado",L338&lt;&gt;""),L338/60,0)</f>
        <v>0.333333333333333</v>
      </c>
    </row>
    <row r="339">
      <c r="A339" s="42" t="n">
        <v>46238</v>
      </c>
      <c r="B339" s="43" t="n">
        <v>0.6111111111111112</v>
      </c>
      <c r="C339" s="37" t="inlineStr">
        <is>
          <t>Dra. Renata Sousa</t>
        </is>
      </c>
      <c r="D339" s="37" t="inlineStr">
        <is>
          <t>Sala 1</t>
        </is>
      </c>
      <c r="E339" s="36" t="inlineStr">
        <is>
          <t>Gustavo Carvalho</t>
        </is>
      </c>
      <c r="F339" s="37" t="inlineStr">
        <is>
          <t>Particular</t>
        </is>
      </c>
      <c r="G339" s="37" t="inlineStr">
        <is>
          <t>Avaliação endócrina</t>
        </is>
      </c>
      <c r="H339" s="37" t="inlineStr">
        <is>
          <t>Realizado</t>
        </is>
      </c>
      <c r="I339" s="37" t="inlineStr">
        <is>
          <t>Dinheiro</t>
        </is>
      </c>
      <c r="J339" s="37" t="n"/>
      <c r="K339" s="36" t="n"/>
      <c r="L339" s="44">
        <f>IF(G339="","",IFERROR(INDEX(Config!$K$5:$K$16,MATCH(G339,Config!$J$5:$J$16,0)),""))</f>
        <v>40</v>
      </c>
      <c r="M339" s="30">
        <f>IF(OR(G339="",F339=""),"",IFERROR(INDEX(Config!$M$5:$R$16,MATCH(G339,Config!$J$5:$J$16,0),MATCH(F339,Config!$H$5:$H$10,0)),""))</f>
        <v>400</v>
      </c>
      <c r="N339" s="29">
        <f>IF(A339="","",MONTH(A339))</f>
        <v>8</v>
      </c>
      <c r="O339" s="29">
        <f>IF(A339="","",YEAR(A339))</f>
        <v>2026</v>
      </c>
      <c r="P339" s="29" t="str">
        <f>IF(A339="","",CHOOSE(WEEKDAY(A339,2),"Segunda","Terça","Quarta","Quinta","Sexta","Sábado","Domingo"))</f>
        <v>Terça</v>
      </c>
      <c r="Q339" s="29" t="str">
        <f>IF(B339="","",IF(B339&lt;TIME(12,0,0),"Manhã",IF(B339&lt;TIME(18,0,0),"Tarde","Noite")))</f>
        <v>Tarde</v>
      </c>
      <c r="R339" s="45">
        <f>IF(AND(H339="Realizado",L339&lt;&gt;""),L339/60,0)</f>
        <v>0.666666666666667</v>
      </c>
    </row>
    <row r="340">
      <c r="A340" s="42" t="n">
        <v>46238</v>
      </c>
      <c r="B340" s="43" t="n">
        <v>0.6111111111111112</v>
      </c>
      <c r="C340" s="37" t="inlineStr">
        <is>
          <t>Dr. Paulo Andrade</t>
        </is>
      </c>
      <c r="D340" s="37" t="inlineStr">
        <is>
          <t>Sala 2</t>
        </is>
      </c>
      <c r="E340" s="36" t="inlineStr">
        <is>
          <t>Sandra Cardoso</t>
        </is>
      </c>
      <c r="F340" s="37" t="inlineStr">
        <is>
          <t>Saúde Total</t>
        </is>
      </c>
      <c r="G340" s="37" t="inlineStr">
        <is>
          <t>Retorno</t>
        </is>
      </c>
      <c r="H340" s="37" t="inlineStr">
        <is>
          <t>Realizado</t>
        </is>
      </c>
      <c r="I340" s="37" t="inlineStr">
        <is>
          <t>Sem cobrança</t>
        </is>
      </c>
      <c r="J340" s="37" t="n"/>
      <c r="K340" s="36" t="n"/>
      <c r="L340" s="44">
        <f>IF(G340="","",IFERROR(INDEX(Config!$K$5:$K$16,MATCH(G340,Config!$J$5:$J$16,0)),""))</f>
        <v>20</v>
      </c>
      <c r="M340" s="30">
        <f>IF(OR(G340="",F340=""),"",IFERROR(INDEX(Config!$M$5:$R$16,MATCH(G340,Config!$J$5:$J$16,0),MATCH(F340,Config!$H$5:$H$10,0)),""))</f>
        <v>0</v>
      </c>
      <c r="N340" s="29">
        <f>IF(A340="","",MONTH(A340))</f>
        <v>8</v>
      </c>
      <c r="O340" s="29">
        <f>IF(A340="","",YEAR(A340))</f>
        <v>2026</v>
      </c>
      <c r="P340" s="29" t="str">
        <f>IF(A340="","",CHOOSE(WEEKDAY(A340,2),"Segunda","Terça","Quarta","Quinta","Sexta","Sábado","Domingo"))</f>
        <v>Terça</v>
      </c>
      <c r="Q340" s="29" t="str">
        <f>IF(B340="","",IF(B340&lt;TIME(12,0,0),"Manhã",IF(B340&lt;TIME(18,0,0),"Tarde","Noite")))</f>
        <v>Tarde</v>
      </c>
      <c r="R340" s="45">
        <f>IF(AND(H340="Realizado",L340&lt;&gt;""),L340/60,0)</f>
        <v>0.333333333333333</v>
      </c>
    </row>
    <row r="341">
      <c r="A341" s="42" t="n">
        <v>46238</v>
      </c>
      <c r="B341" s="43" t="n">
        <v>0.625</v>
      </c>
      <c r="C341" s="37" t="inlineStr">
        <is>
          <t>Dr. Paulo Andrade</t>
        </is>
      </c>
      <c r="D341" s="37" t="inlineStr">
        <is>
          <t>Sala 2</t>
        </is>
      </c>
      <c r="E341" s="36" t="inlineStr">
        <is>
          <t>Viviane Teixeira</t>
        </is>
      </c>
      <c r="F341" s="37" t="inlineStr">
        <is>
          <t>Particular</t>
        </is>
      </c>
      <c r="G341" s="37" t="inlineStr">
        <is>
          <t>Consulta</t>
        </is>
      </c>
      <c r="H341" s="37" t="inlineStr">
        <is>
          <t>Falta</t>
        </is>
      </c>
      <c r="I341" s="37" t="n"/>
      <c r="J341" s="37" t="n"/>
      <c r="K341" s="36" t="n"/>
      <c r="L341" s="44">
        <f>IF(G341="","",IFERROR(INDEX(Config!$K$5:$K$16,MATCH(G341,Config!$J$5:$J$16,0)),""))</f>
        <v>30</v>
      </c>
      <c r="M341" s="30">
        <f>IF(OR(G341="",F341=""),"",IFERROR(INDEX(Config!$M$5:$R$16,MATCH(G341,Config!$J$5:$J$16,0),MATCH(F341,Config!$H$5:$H$10,0)),""))</f>
        <v>380</v>
      </c>
      <c r="N341" s="29">
        <f>IF(A341="","",MONTH(A341))</f>
        <v>8</v>
      </c>
      <c r="O341" s="29">
        <f>IF(A341="","",YEAR(A341))</f>
        <v>2026</v>
      </c>
      <c r="P341" s="29" t="str">
        <f>IF(A341="","",CHOOSE(WEEKDAY(A341,2),"Segunda","Terça","Quarta","Quinta","Sexta","Sábado","Domingo"))</f>
        <v>Terça</v>
      </c>
      <c r="Q341" s="29" t="str">
        <f>IF(B341="","",IF(B341&lt;TIME(12,0,0),"Manhã",IF(B341&lt;TIME(18,0,0),"Tarde","Noite")))</f>
        <v>Tarde</v>
      </c>
      <c r="R341" s="45">
        <f>IF(AND(H341="Realizado",L341&lt;&gt;""),L341/60,0)</f>
        <v>0</v>
      </c>
    </row>
    <row r="342">
      <c r="A342" s="42" t="n">
        <v>46238</v>
      </c>
      <c r="B342" s="43" t="n">
        <v>0.6388888888888888</v>
      </c>
      <c r="C342" s="37" t="inlineStr">
        <is>
          <t>Dra. Renata Sousa</t>
        </is>
      </c>
      <c r="D342" s="37" t="inlineStr">
        <is>
          <t>Sala 1</t>
        </is>
      </c>
      <c r="E342" s="36" t="inlineStr">
        <is>
          <t>Isabela Xavier</t>
        </is>
      </c>
      <c r="F342" s="37" t="inlineStr">
        <is>
          <t>Particular</t>
        </is>
      </c>
      <c r="G342" s="37" t="inlineStr">
        <is>
          <t>Avaliação endócrina</t>
        </is>
      </c>
      <c r="H342" s="37" t="inlineStr">
        <is>
          <t>Realizado</t>
        </is>
      </c>
      <c r="I342" s="37" t="inlineStr">
        <is>
          <t>A prazo</t>
        </is>
      </c>
      <c r="J342" s="37" t="n"/>
      <c r="K342" s="36" t="n"/>
      <c r="L342" s="44">
        <f>IF(G342="","",IFERROR(INDEX(Config!$K$5:$K$16,MATCH(G342,Config!$J$5:$J$16,0)),""))</f>
        <v>40</v>
      </c>
      <c r="M342" s="30">
        <f>IF(OR(G342="",F342=""),"",IFERROR(INDEX(Config!$M$5:$R$16,MATCH(G342,Config!$J$5:$J$16,0),MATCH(F342,Config!$H$5:$H$10,0)),""))</f>
        <v>400</v>
      </c>
      <c r="N342" s="29">
        <f>IF(A342="","",MONTH(A342))</f>
        <v>8</v>
      </c>
      <c r="O342" s="29">
        <f>IF(A342="","",YEAR(A342))</f>
        <v>2026</v>
      </c>
      <c r="P342" s="29" t="str">
        <f>IF(A342="","",CHOOSE(WEEKDAY(A342,2),"Segunda","Terça","Quarta","Quinta","Sexta","Sábado","Domingo"))</f>
        <v>Terça</v>
      </c>
      <c r="Q342" s="29" t="str">
        <f>IF(B342="","",IF(B342&lt;TIME(12,0,0),"Manhã",IF(B342&lt;TIME(18,0,0),"Tarde","Noite")))</f>
        <v>Tarde</v>
      </c>
      <c r="R342" s="45">
        <f>IF(AND(H342="Realizado",L342&lt;&gt;""),L342/60,0)</f>
        <v>0.666666666666667</v>
      </c>
    </row>
    <row r="343">
      <c r="A343" s="42" t="n">
        <v>46238</v>
      </c>
      <c r="B343" s="43" t="n">
        <v>0.6458333333333334</v>
      </c>
      <c r="C343" s="37" t="inlineStr">
        <is>
          <t>Dr. Paulo Andrade</t>
        </is>
      </c>
      <c r="D343" s="37" t="inlineStr">
        <is>
          <t>Sala 2</t>
        </is>
      </c>
      <c r="E343" s="36" t="inlineStr">
        <is>
          <t>Gustavo Pinto</t>
        </is>
      </c>
      <c r="F343" s="37" t="inlineStr">
        <is>
          <t>Particular</t>
        </is>
      </c>
      <c r="G343" s="37" t="inlineStr">
        <is>
          <t>Consulta</t>
        </is>
      </c>
      <c r="H343" s="37" t="inlineStr">
        <is>
          <t>Realizado</t>
        </is>
      </c>
      <c r="I343" s="37" t="inlineStr">
        <is>
          <t>Cartão de crédito</t>
        </is>
      </c>
      <c r="J343" s="37" t="n"/>
      <c r="K343" s="36" t="n"/>
      <c r="L343" s="44">
        <f>IF(G343="","",IFERROR(INDEX(Config!$K$5:$K$16,MATCH(G343,Config!$J$5:$J$16,0)),""))</f>
        <v>30</v>
      </c>
      <c r="M343" s="30">
        <f>IF(OR(G343="",F343=""),"",IFERROR(INDEX(Config!$M$5:$R$16,MATCH(G343,Config!$J$5:$J$16,0),MATCH(F343,Config!$H$5:$H$10,0)),""))</f>
        <v>380</v>
      </c>
      <c r="N343" s="29">
        <f>IF(A343="","",MONTH(A343))</f>
        <v>8</v>
      </c>
      <c r="O343" s="29">
        <f>IF(A343="","",YEAR(A343))</f>
        <v>2026</v>
      </c>
      <c r="P343" s="29" t="str">
        <f>IF(A343="","",CHOOSE(WEEKDAY(A343,2),"Segunda","Terça","Quarta","Quinta","Sexta","Sábado","Domingo"))</f>
        <v>Terça</v>
      </c>
      <c r="Q343" s="29" t="str">
        <f>IF(B343="","",IF(B343&lt;TIME(12,0,0),"Manhã",IF(B343&lt;TIME(18,0,0),"Tarde","Noite")))</f>
        <v>Tarde</v>
      </c>
      <c r="R343" s="45">
        <f>IF(AND(H343="Realizado",L343&lt;&gt;""),L343/60,0)</f>
        <v>0.5</v>
      </c>
    </row>
    <row r="344">
      <c r="A344" s="42" t="n">
        <v>46238</v>
      </c>
      <c r="B344" s="43" t="n">
        <v>0.6666666666666666</v>
      </c>
      <c r="C344" s="37" t="inlineStr">
        <is>
          <t>Dra. Renata Sousa</t>
        </is>
      </c>
      <c r="D344" s="37" t="inlineStr">
        <is>
          <t>Sala 1</t>
        </is>
      </c>
      <c r="E344" s="36" t="inlineStr">
        <is>
          <t>Rafael Pereira</t>
        </is>
      </c>
      <c r="F344" s="37" t="inlineStr">
        <is>
          <t>Particular</t>
        </is>
      </c>
      <c r="G344" s="37" t="inlineStr">
        <is>
          <t>Avaliação endócrina</t>
        </is>
      </c>
      <c r="H344" s="37" t="inlineStr">
        <is>
          <t>Realizado</t>
        </is>
      </c>
      <c r="I344" s="37" t="inlineStr">
        <is>
          <t>Cartão de débito</t>
        </is>
      </c>
      <c r="J344" s="37" t="n"/>
      <c r="K344" s="36" t="n"/>
      <c r="L344" s="44">
        <f>IF(G344="","",IFERROR(INDEX(Config!$K$5:$K$16,MATCH(G344,Config!$J$5:$J$16,0)),""))</f>
        <v>40</v>
      </c>
      <c r="M344" s="30">
        <f>IF(OR(G344="",F344=""),"",IFERROR(INDEX(Config!$M$5:$R$16,MATCH(G344,Config!$J$5:$J$16,0),MATCH(F344,Config!$H$5:$H$10,0)),""))</f>
        <v>400</v>
      </c>
      <c r="N344" s="29">
        <f>IF(A344="","",MONTH(A344))</f>
        <v>8</v>
      </c>
      <c r="O344" s="29">
        <f>IF(A344="","",YEAR(A344))</f>
        <v>2026</v>
      </c>
      <c r="P344" s="29" t="str">
        <f>IF(A344="","",CHOOSE(WEEKDAY(A344,2),"Segunda","Terça","Quarta","Quinta","Sexta","Sábado","Domingo"))</f>
        <v>Terça</v>
      </c>
      <c r="Q344" s="29" t="str">
        <f>IF(B344="","",IF(B344&lt;TIME(12,0,0),"Manhã",IF(B344&lt;TIME(18,0,0),"Tarde","Noite")))</f>
        <v>Tarde</v>
      </c>
      <c r="R344" s="45">
        <f>IF(AND(H344="Realizado",L344&lt;&gt;""),L344/60,0)</f>
        <v>0.666666666666667</v>
      </c>
    </row>
    <row r="345">
      <c r="A345" s="42" t="n">
        <v>46238</v>
      </c>
      <c r="B345" s="43" t="n">
        <v>0.6666666666666666</v>
      </c>
      <c r="C345" s="37" t="inlineStr">
        <is>
          <t>Dr. Paulo Andrade</t>
        </is>
      </c>
      <c r="D345" s="37" t="inlineStr">
        <is>
          <t>Sala 2</t>
        </is>
      </c>
      <c r="E345" s="36" t="inlineStr">
        <is>
          <t>Gabriel Vieira</t>
        </is>
      </c>
      <c r="F345" s="37" t="inlineStr">
        <is>
          <t>Vida Care</t>
        </is>
      </c>
      <c r="G345" s="37" t="inlineStr">
        <is>
          <t>Consulta</t>
        </is>
      </c>
      <c r="H345" s="37" t="inlineStr">
        <is>
          <t>Cancelado</t>
        </is>
      </c>
      <c r="I345" s="37" t="n"/>
      <c r="J345" s="37" t="n"/>
      <c r="K345" s="36" t="n"/>
      <c r="L345" s="44">
        <f>IF(G345="","",IFERROR(INDEX(Config!$K$5:$K$16,MATCH(G345,Config!$J$5:$J$16,0)),""))</f>
        <v>30</v>
      </c>
      <c r="M345" s="30">
        <f>IF(OR(G345="",F345=""),"",IFERROR(INDEX(Config!$M$5:$R$16,MATCH(G345,Config!$J$5:$J$16,0),MATCH(F345,Config!$H$5:$H$10,0)),""))</f>
        <v>90</v>
      </c>
      <c r="N345" s="29">
        <f>IF(A345="","",MONTH(A345))</f>
        <v>8</v>
      </c>
      <c r="O345" s="29">
        <f>IF(A345="","",YEAR(A345))</f>
        <v>2026</v>
      </c>
      <c r="P345" s="29" t="str">
        <f>IF(A345="","",CHOOSE(WEEKDAY(A345,2),"Segunda","Terça","Quarta","Quinta","Sexta","Sábado","Domingo"))</f>
        <v>Terça</v>
      </c>
      <c r="Q345" s="29" t="str">
        <f>IF(B345="","",IF(B345&lt;TIME(12,0,0),"Manhã",IF(B345&lt;TIME(18,0,0),"Tarde","Noite")))</f>
        <v>Tarde</v>
      </c>
      <c r="R345" s="45">
        <f>IF(AND(H345="Realizado",L345&lt;&gt;""),L345/60,0)</f>
        <v>0</v>
      </c>
    </row>
    <row r="346">
      <c r="A346" s="42" t="n">
        <v>46238</v>
      </c>
      <c r="B346" s="43" t="n">
        <v>0.6875</v>
      </c>
      <c r="C346" s="37" t="inlineStr">
        <is>
          <t>Dr. Paulo Andrade</t>
        </is>
      </c>
      <c r="D346" s="37" t="inlineStr">
        <is>
          <t>Sala 2</t>
        </is>
      </c>
      <c r="E346" s="36" t="inlineStr">
        <is>
          <t>Tatiana Rocha</t>
        </is>
      </c>
      <c r="F346" s="37" t="inlineStr">
        <is>
          <t>Vida Care</t>
        </is>
      </c>
      <c r="G346" s="37" t="inlineStr">
        <is>
          <t>ECG</t>
        </is>
      </c>
      <c r="H346" s="37" t="inlineStr">
        <is>
          <t>Realizado</t>
        </is>
      </c>
      <c r="I346" s="37" t="inlineStr">
        <is>
          <t>Convênio</t>
        </is>
      </c>
      <c r="J346" s="37" t="n"/>
      <c r="K346" s="36" t="n"/>
      <c r="L346" s="44">
        <f>IF(G346="","",IFERROR(INDEX(Config!$K$5:$K$16,MATCH(G346,Config!$J$5:$J$16,0)),""))</f>
        <v>20</v>
      </c>
      <c r="M346" s="30">
        <f>IF(OR(G346="",F346=""),"",IFERROR(INDEX(Config!$M$5:$R$16,MATCH(G346,Config!$J$5:$J$16,0),MATCH(F346,Config!$H$5:$H$10,0)),""))</f>
        <v>32</v>
      </c>
      <c r="N346" s="29">
        <f>IF(A346="","",MONTH(A346))</f>
        <v>8</v>
      </c>
      <c r="O346" s="29">
        <f>IF(A346="","",YEAR(A346))</f>
        <v>2026</v>
      </c>
      <c r="P346" s="29" t="str">
        <f>IF(A346="","",CHOOSE(WEEKDAY(A346,2),"Segunda","Terça","Quarta","Quinta","Sexta","Sábado","Domingo"))</f>
        <v>Terça</v>
      </c>
      <c r="Q346" s="29" t="str">
        <f>IF(B346="","",IF(B346&lt;TIME(12,0,0),"Manhã",IF(B346&lt;TIME(18,0,0),"Tarde","Noite")))</f>
        <v>Tarde</v>
      </c>
      <c r="R346" s="45">
        <f>IF(AND(H346="Realizado",L346&lt;&gt;""),L346/60,0)</f>
        <v>0.333333333333333</v>
      </c>
    </row>
    <row r="347">
      <c r="A347" s="42" t="n">
        <v>46238</v>
      </c>
      <c r="B347" s="43" t="n">
        <v>0.7013888888888888</v>
      </c>
      <c r="C347" s="37" t="inlineStr">
        <is>
          <t>Dr. Paulo Andrade</t>
        </is>
      </c>
      <c r="D347" s="37" t="inlineStr">
        <is>
          <t>Sala 2</t>
        </is>
      </c>
      <c r="E347" s="36" t="inlineStr">
        <is>
          <t>Viviane Teixeira</t>
        </is>
      </c>
      <c r="F347" s="37" t="inlineStr">
        <is>
          <t>Particular</t>
        </is>
      </c>
      <c r="G347" s="37" t="inlineStr">
        <is>
          <t>Consulta</t>
        </is>
      </c>
      <c r="H347" s="37" t="inlineStr">
        <is>
          <t>Realizado</t>
        </is>
      </c>
      <c r="I347" s="37" t="inlineStr">
        <is>
          <t>Cartão de débito</t>
        </is>
      </c>
      <c r="J347" s="37" t="n"/>
      <c r="K347" s="36" t="n"/>
      <c r="L347" s="44">
        <f>IF(G347="","",IFERROR(INDEX(Config!$K$5:$K$16,MATCH(G347,Config!$J$5:$J$16,0)),""))</f>
        <v>30</v>
      </c>
      <c r="M347" s="30">
        <f>IF(OR(G347="",F347=""),"",IFERROR(INDEX(Config!$M$5:$R$16,MATCH(G347,Config!$J$5:$J$16,0),MATCH(F347,Config!$H$5:$H$10,0)),""))</f>
        <v>380</v>
      </c>
      <c r="N347" s="29">
        <f>IF(A347="","",MONTH(A347))</f>
        <v>8</v>
      </c>
      <c r="O347" s="29">
        <f>IF(A347="","",YEAR(A347))</f>
        <v>2026</v>
      </c>
      <c r="P347" s="29" t="str">
        <f>IF(A347="","",CHOOSE(WEEKDAY(A347,2),"Segunda","Terça","Quarta","Quinta","Sexta","Sábado","Domingo"))</f>
        <v>Terça</v>
      </c>
      <c r="Q347" s="29" t="str">
        <f>IF(B347="","",IF(B347&lt;TIME(12,0,0),"Manhã",IF(B347&lt;TIME(18,0,0),"Tarde","Noite")))</f>
        <v>Tarde</v>
      </c>
      <c r="R347" s="45">
        <f>IF(AND(H347="Realizado",L347&lt;&gt;""),L347/60,0)</f>
        <v>0.5</v>
      </c>
    </row>
    <row r="348">
      <c r="A348" s="42" t="n">
        <v>46238</v>
      </c>
      <c r="B348" s="43" t="n">
        <v>0.7152777777777778</v>
      </c>
      <c r="C348" s="37" t="inlineStr">
        <is>
          <t>Dra. Renata Sousa</t>
        </is>
      </c>
      <c r="D348" s="37" t="inlineStr">
        <is>
          <t>Sala 1</t>
        </is>
      </c>
      <c r="E348" s="36" t="inlineStr">
        <is>
          <t>Daniel Moreira</t>
        </is>
      </c>
      <c r="F348" s="37" t="inlineStr">
        <is>
          <t>Saúde Total</t>
        </is>
      </c>
      <c r="G348" s="37" t="inlineStr">
        <is>
          <t>Retorno</t>
        </is>
      </c>
      <c r="H348" s="37" t="inlineStr">
        <is>
          <t>Realizado</t>
        </is>
      </c>
      <c r="I348" s="37" t="inlineStr">
        <is>
          <t>Sem cobrança</t>
        </is>
      </c>
      <c r="J348" s="37" t="n"/>
      <c r="K348" s="36" t="n"/>
      <c r="L348" s="44">
        <f>IF(G348="","",IFERROR(INDEX(Config!$K$5:$K$16,MATCH(G348,Config!$J$5:$J$16,0)),""))</f>
        <v>20</v>
      </c>
      <c r="M348" s="30">
        <f>IF(OR(G348="",F348=""),"",IFERROR(INDEX(Config!$M$5:$R$16,MATCH(G348,Config!$J$5:$J$16,0),MATCH(F348,Config!$H$5:$H$10,0)),""))</f>
        <v>0</v>
      </c>
      <c r="N348" s="29">
        <f>IF(A348="","",MONTH(A348))</f>
        <v>8</v>
      </c>
      <c r="O348" s="29">
        <f>IF(A348="","",YEAR(A348))</f>
        <v>2026</v>
      </c>
      <c r="P348" s="29" t="str">
        <f>IF(A348="","",CHOOSE(WEEKDAY(A348,2),"Segunda","Terça","Quarta","Quinta","Sexta","Sábado","Domingo"))</f>
        <v>Terça</v>
      </c>
      <c r="Q348" s="29" t="str">
        <f>IF(B348="","",IF(B348&lt;TIME(12,0,0),"Manhã",IF(B348&lt;TIME(18,0,0),"Tarde","Noite")))</f>
        <v>Tarde</v>
      </c>
      <c r="R348" s="45">
        <f>IF(AND(H348="Realizado",L348&lt;&gt;""),L348/60,0)</f>
        <v>0.333333333333333</v>
      </c>
    </row>
    <row r="349">
      <c r="A349" s="42" t="n">
        <v>46238</v>
      </c>
      <c r="B349" s="43" t="n">
        <v>0.7222222222222222</v>
      </c>
      <c r="C349" s="37" t="inlineStr">
        <is>
          <t>Dr. Paulo Andrade</t>
        </is>
      </c>
      <c r="D349" s="37" t="inlineStr">
        <is>
          <t>Sala 2</t>
        </is>
      </c>
      <c r="E349" s="36" t="inlineStr">
        <is>
          <t>Marcelo Ferreira</t>
        </is>
      </c>
      <c r="F349" s="37" t="inlineStr">
        <is>
          <t>Particular</t>
        </is>
      </c>
      <c r="G349" s="37" t="inlineStr">
        <is>
          <t>Consulta</t>
        </is>
      </c>
      <c r="H349" s="37" t="inlineStr">
        <is>
          <t>Cancelado</t>
        </is>
      </c>
      <c r="I349" s="37" t="n"/>
      <c r="J349" s="37" t="n"/>
      <c r="K349" s="36" t="n"/>
      <c r="L349" s="44">
        <f>IF(G349="","",IFERROR(INDEX(Config!$K$5:$K$16,MATCH(G349,Config!$J$5:$J$16,0)),""))</f>
        <v>30</v>
      </c>
      <c r="M349" s="30">
        <f>IF(OR(G349="",F349=""),"",IFERROR(INDEX(Config!$M$5:$R$16,MATCH(G349,Config!$J$5:$J$16,0),MATCH(F349,Config!$H$5:$H$10,0)),""))</f>
        <v>380</v>
      </c>
      <c r="N349" s="29">
        <f>IF(A349="","",MONTH(A349))</f>
        <v>8</v>
      </c>
      <c r="O349" s="29">
        <f>IF(A349="","",YEAR(A349))</f>
        <v>2026</v>
      </c>
      <c r="P349" s="29" t="str">
        <f>IF(A349="","",CHOOSE(WEEKDAY(A349,2),"Segunda","Terça","Quarta","Quinta","Sexta","Sábado","Domingo"))</f>
        <v>Terça</v>
      </c>
      <c r="Q349" s="29" t="str">
        <f>IF(B349="","",IF(B349&lt;TIME(12,0,0),"Manhã",IF(B349&lt;TIME(18,0,0),"Tarde","Noite")))</f>
        <v>Tarde</v>
      </c>
      <c r="R349" s="45">
        <f>IF(AND(H349="Realizado",L349&lt;&gt;""),L349/60,0)</f>
        <v>0</v>
      </c>
    </row>
    <row r="350">
      <c r="A350" s="42" t="n">
        <v>46238</v>
      </c>
      <c r="B350" s="43" t="n">
        <v>0.7291666666666666</v>
      </c>
      <c r="C350" s="37" t="inlineStr">
        <is>
          <t>Dra. Renata Sousa</t>
        </is>
      </c>
      <c r="D350" s="37" t="inlineStr">
        <is>
          <t>Sala 1</t>
        </is>
      </c>
      <c r="E350" s="36" t="inlineStr">
        <is>
          <t>Cláudia Vieira</t>
        </is>
      </c>
      <c r="F350" s="37" t="inlineStr">
        <is>
          <t>Saúde Total</t>
        </is>
      </c>
      <c r="G350" s="37" t="inlineStr">
        <is>
          <t>Retorno</t>
        </is>
      </c>
      <c r="H350" s="37" t="inlineStr">
        <is>
          <t>Realizado</t>
        </is>
      </c>
      <c r="I350" s="37" t="inlineStr">
        <is>
          <t>Sem cobrança</t>
        </is>
      </c>
      <c r="J350" s="37" t="n"/>
      <c r="K350" s="36" t="n"/>
      <c r="L350" s="44">
        <f>IF(G350="","",IFERROR(INDEX(Config!$K$5:$K$16,MATCH(G350,Config!$J$5:$J$16,0)),""))</f>
        <v>20</v>
      </c>
      <c r="M350" s="30">
        <f>IF(OR(G350="",F350=""),"",IFERROR(INDEX(Config!$M$5:$R$16,MATCH(G350,Config!$J$5:$J$16,0),MATCH(F350,Config!$H$5:$H$10,0)),""))</f>
        <v>0</v>
      </c>
      <c r="N350" s="29">
        <f>IF(A350="","",MONTH(A350))</f>
        <v>8</v>
      </c>
      <c r="O350" s="29">
        <f>IF(A350="","",YEAR(A350))</f>
        <v>2026</v>
      </c>
      <c r="P350" s="29" t="str">
        <f>IF(A350="","",CHOOSE(WEEKDAY(A350,2),"Segunda","Terça","Quarta","Quinta","Sexta","Sábado","Domingo"))</f>
        <v>Terça</v>
      </c>
      <c r="Q350" s="29" t="str">
        <f>IF(B350="","",IF(B350&lt;TIME(12,0,0),"Manhã",IF(B350&lt;TIME(18,0,0),"Tarde","Noite")))</f>
        <v>Tarde</v>
      </c>
      <c r="R350" s="45">
        <f>IF(AND(H350="Realizado",L350&lt;&gt;""),L350/60,0)</f>
        <v>0.333333333333333</v>
      </c>
    </row>
    <row r="351">
      <c r="A351" s="42" t="n">
        <v>46239</v>
      </c>
      <c r="B351" s="43" t="n">
        <v>0.5833333333333334</v>
      </c>
      <c r="C351" s="37" t="inlineStr">
        <is>
          <t>Dra. Carolina Mendes</t>
        </is>
      </c>
      <c r="D351" s="37" t="inlineStr">
        <is>
          <t>Sala 1</t>
        </is>
      </c>
      <c r="E351" s="36" t="inlineStr">
        <is>
          <t>Regina Duarte</t>
        </is>
      </c>
      <c r="F351" s="37" t="inlineStr">
        <is>
          <t>Particular</t>
        </is>
      </c>
      <c r="G351" s="37" t="inlineStr">
        <is>
          <t>Consulta</t>
        </is>
      </c>
      <c r="H351" s="37" t="inlineStr">
        <is>
          <t>Realizado</t>
        </is>
      </c>
      <c r="I351" s="37" t="inlineStr">
        <is>
          <t>Cartão de crédito</t>
        </is>
      </c>
      <c r="J351" s="37" t="n">
        <v>2</v>
      </c>
      <c r="K351" s="36" t="n"/>
      <c r="L351" s="44">
        <f>IF(G351="","",IFERROR(INDEX(Config!$K$5:$K$16,MATCH(G351,Config!$J$5:$J$16,0)),""))</f>
        <v>30</v>
      </c>
      <c r="M351" s="30">
        <f>IF(OR(G351="",F351=""),"",IFERROR(INDEX(Config!$M$5:$R$16,MATCH(G351,Config!$J$5:$J$16,0),MATCH(F351,Config!$H$5:$H$10,0)),""))</f>
        <v>380</v>
      </c>
      <c r="N351" s="29">
        <f>IF(A351="","",MONTH(A351))</f>
        <v>8</v>
      </c>
      <c r="O351" s="29">
        <f>IF(A351="","",YEAR(A351))</f>
        <v>2026</v>
      </c>
      <c r="P351" s="29" t="str">
        <f>IF(A351="","",CHOOSE(WEEKDAY(A351,2),"Segunda","Terça","Quarta","Quinta","Sexta","Sábado","Domingo"))</f>
        <v>Quarta</v>
      </c>
      <c r="Q351" s="29" t="str">
        <f>IF(B351="","",IF(B351&lt;TIME(12,0,0),"Manhã",IF(B351&lt;TIME(18,0,0),"Tarde","Noite")))</f>
        <v>Tarde</v>
      </c>
      <c r="R351" s="45">
        <f>IF(AND(H351="Realizado",L351&lt;&gt;""),L351/60,0)</f>
        <v>0.5</v>
      </c>
    </row>
    <row r="352">
      <c r="A352" s="42" t="n">
        <v>46239</v>
      </c>
      <c r="B352" s="43" t="n">
        <v>0.6458333333333334</v>
      </c>
      <c r="C352" s="37" t="inlineStr">
        <is>
          <t>Dra. Carolina Mendes</t>
        </is>
      </c>
      <c r="D352" s="37" t="inlineStr">
        <is>
          <t>Sala 1</t>
        </is>
      </c>
      <c r="E352" s="36" t="inlineStr">
        <is>
          <t>Marcelo Santos</t>
        </is>
      </c>
      <c r="F352" s="37" t="inlineStr">
        <is>
          <t>Particular</t>
        </is>
      </c>
      <c r="G352" s="37" t="inlineStr">
        <is>
          <t>Consulta</t>
        </is>
      </c>
      <c r="H352" s="37" t="inlineStr">
        <is>
          <t>Realizado</t>
        </is>
      </c>
      <c r="I352" s="37" t="inlineStr">
        <is>
          <t>Pix</t>
        </is>
      </c>
      <c r="J352" s="37" t="n"/>
      <c r="K352" s="36" t="n"/>
      <c r="L352" s="44">
        <f>IF(G352="","",IFERROR(INDEX(Config!$K$5:$K$16,MATCH(G352,Config!$J$5:$J$16,0)),""))</f>
        <v>30</v>
      </c>
      <c r="M352" s="30">
        <f>IF(OR(G352="",F352=""),"",IFERROR(INDEX(Config!$M$5:$R$16,MATCH(G352,Config!$J$5:$J$16,0),MATCH(F352,Config!$H$5:$H$10,0)),""))</f>
        <v>380</v>
      </c>
      <c r="N352" s="29">
        <f>IF(A352="","",MONTH(A352))</f>
        <v>8</v>
      </c>
      <c r="O352" s="29">
        <f>IF(A352="","",YEAR(A352))</f>
        <v>2026</v>
      </c>
      <c r="P352" s="29" t="str">
        <f>IF(A352="","",CHOOSE(WEEKDAY(A352,2),"Segunda","Terça","Quarta","Quinta","Sexta","Sábado","Domingo"))</f>
        <v>Quarta</v>
      </c>
      <c r="Q352" s="29" t="str">
        <f>IF(B352="","",IF(B352&lt;TIME(12,0,0),"Manhã",IF(B352&lt;TIME(18,0,0),"Tarde","Noite")))</f>
        <v>Tarde</v>
      </c>
      <c r="R352" s="45">
        <f>IF(AND(H352="Realizado",L352&lt;&gt;""),L352/60,0)</f>
        <v>0.5</v>
      </c>
    </row>
    <row r="353">
      <c r="A353" s="42" t="n">
        <v>46239</v>
      </c>
      <c r="B353" s="43" t="n">
        <v>0.6666666666666666</v>
      </c>
      <c r="C353" s="37" t="inlineStr">
        <is>
          <t>Dra. Carolina Mendes</t>
        </is>
      </c>
      <c r="D353" s="37" t="inlineStr">
        <is>
          <t>Sala 1</t>
        </is>
      </c>
      <c r="E353" s="36" t="inlineStr">
        <is>
          <t>Eduardo Nunes</t>
        </is>
      </c>
      <c r="F353" s="37" t="inlineStr">
        <is>
          <t>MediPlan</t>
        </is>
      </c>
      <c r="G353" s="37" t="inlineStr">
        <is>
          <t>Consulta</t>
        </is>
      </c>
      <c r="H353" s="37" t="inlineStr">
        <is>
          <t>Realizado</t>
        </is>
      </c>
      <c r="I353" s="37" t="inlineStr">
        <is>
          <t>Convênio</t>
        </is>
      </c>
      <c r="J353" s="37" t="n"/>
      <c r="K353" s="36" t="n"/>
      <c r="L353" s="44">
        <f>IF(G353="","",IFERROR(INDEX(Config!$K$5:$K$16,MATCH(G353,Config!$J$5:$J$16,0)),""))</f>
        <v>30</v>
      </c>
      <c r="M353" s="30">
        <f>IF(OR(G353="",F353=""),"",IFERROR(INDEX(Config!$M$5:$R$16,MATCH(G353,Config!$J$5:$J$16,0),MATCH(F353,Config!$H$5:$H$10,0)),""))</f>
        <v>100</v>
      </c>
      <c r="N353" s="29">
        <f>IF(A353="","",MONTH(A353))</f>
        <v>8</v>
      </c>
      <c r="O353" s="29">
        <f>IF(A353="","",YEAR(A353))</f>
        <v>2026</v>
      </c>
      <c r="P353" s="29" t="str">
        <f>IF(A353="","",CHOOSE(WEEKDAY(A353,2),"Segunda","Terça","Quarta","Quinta","Sexta","Sábado","Domingo"))</f>
        <v>Quarta</v>
      </c>
      <c r="Q353" s="29" t="str">
        <f>IF(B353="","",IF(B353&lt;TIME(12,0,0),"Manhã",IF(B353&lt;TIME(18,0,0),"Tarde","Noite")))</f>
        <v>Tarde</v>
      </c>
      <c r="R353" s="45">
        <f>IF(AND(H353="Realizado",L353&lt;&gt;""),L353/60,0)</f>
        <v>0.5</v>
      </c>
    </row>
    <row r="354">
      <c r="A354" s="42" t="n">
        <v>46239</v>
      </c>
      <c r="B354" s="43" t="n">
        <v>0.7083333333333334</v>
      </c>
      <c r="C354" s="37" t="inlineStr">
        <is>
          <t>Dra. Carolina Mendes</t>
        </is>
      </c>
      <c r="D354" s="37" t="inlineStr">
        <is>
          <t>Sala 1</t>
        </is>
      </c>
      <c r="E354" s="36" t="inlineStr">
        <is>
          <t>Mônica Martins</t>
        </is>
      </c>
      <c r="F354" s="37" t="inlineStr">
        <is>
          <t>Particular</t>
        </is>
      </c>
      <c r="G354" s="37" t="inlineStr">
        <is>
          <t>Retorno</t>
        </is>
      </c>
      <c r="H354" s="37" t="inlineStr">
        <is>
          <t>Realizado</t>
        </is>
      </c>
      <c r="I354" s="37" t="inlineStr">
        <is>
          <t>Sem cobrança</t>
        </is>
      </c>
      <c r="J354" s="37" t="n"/>
      <c r="K354" s="36" t="n"/>
      <c r="L354" s="44">
        <f>IF(G354="","",IFERROR(INDEX(Config!$K$5:$K$16,MATCH(G354,Config!$J$5:$J$16,0)),""))</f>
        <v>20</v>
      </c>
      <c r="M354" s="30">
        <f>IF(OR(G354="",F354=""),"",IFERROR(INDEX(Config!$M$5:$R$16,MATCH(G354,Config!$J$5:$J$16,0),MATCH(F354,Config!$H$5:$H$10,0)),""))</f>
        <v>0</v>
      </c>
      <c r="N354" s="29">
        <f>IF(A354="","",MONTH(A354))</f>
        <v>8</v>
      </c>
      <c r="O354" s="29">
        <f>IF(A354="","",YEAR(A354))</f>
        <v>2026</v>
      </c>
      <c r="P354" s="29" t="str">
        <f>IF(A354="","",CHOOSE(WEEKDAY(A354,2),"Segunda","Terça","Quarta","Quinta","Sexta","Sábado","Domingo"))</f>
        <v>Quarta</v>
      </c>
      <c r="Q354" s="29" t="str">
        <f>IF(B354="","",IF(B354&lt;TIME(12,0,0),"Manhã",IF(B354&lt;TIME(18,0,0),"Tarde","Noite")))</f>
        <v>Tarde</v>
      </c>
      <c r="R354" s="45">
        <f>IF(AND(H354="Realizado",L354&lt;&gt;""),L354/60,0)</f>
        <v>0.333333333333333</v>
      </c>
    </row>
    <row r="355">
      <c r="A355" s="42" t="n">
        <v>46239</v>
      </c>
      <c r="B355" s="43" t="n">
        <v>0.7222222222222222</v>
      </c>
      <c r="C355" s="37" t="inlineStr">
        <is>
          <t>Dra. Carolina Mendes</t>
        </is>
      </c>
      <c r="D355" s="37" t="inlineStr">
        <is>
          <t>Sala 1</t>
        </is>
      </c>
      <c r="E355" s="36" t="inlineStr">
        <is>
          <t>Rodrigo Moreira</t>
        </is>
      </c>
      <c r="F355" s="37" t="inlineStr">
        <is>
          <t>Particular</t>
        </is>
      </c>
      <c r="G355" s="37" t="inlineStr">
        <is>
          <t>Consulta</t>
        </is>
      </c>
      <c r="H355" s="37" t="inlineStr">
        <is>
          <t>Realizado</t>
        </is>
      </c>
      <c r="I355" s="37" t="inlineStr">
        <is>
          <t>Cartão de débito</t>
        </is>
      </c>
      <c r="J355" s="37" t="n"/>
      <c r="K355" s="36" t="n"/>
      <c r="L355" s="44">
        <f>IF(G355="","",IFERROR(INDEX(Config!$K$5:$K$16,MATCH(G355,Config!$J$5:$J$16,0)),""))</f>
        <v>30</v>
      </c>
      <c r="M355" s="30">
        <f>IF(OR(G355="",F355=""),"",IFERROR(INDEX(Config!$M$5:$R$16,MATCH(G355,Config!$J$5:$J$16,0),MATCH(F355,Config!$H$5:$H$10,0)),""))</f>
        <v>380</v>
      </c>
      <c r="N355" s="29">
        <f>IF(A355="","",MONTH(A355))</f>
        <v>8</v>
      </c>
      <c r="O355" s="29">
        <f>IF(A355="","",YEAR(A355))</f>
        <v>2026</v>
      </c>
      <c r="P355" s="29" t="str">
        <f>IF(A355="","",CHOOSE(WEEKDAY(A355,2),"Segunda","Terça","Quarta","Quinta","Sexta","Sábado","Domingo"))</f>
        <v>Quarta</v>
      </c>
      <c r="Q355" s="29" t="str">
        <f>IF(B355="","",IF(B355&lt;TIME(12,0,0),"Manhã",IF(B355&lt;TIME(18,0,0),"Tarde","Noite")))</f>
        <v>Tarde</v>
      </c>
      <c r="R355" s="45">
        <f>IF(AND(H355="Realizado",L355&lt;&gt;""),L355/60,0)</f>
        <v>0.5</v>
      </c>
    </row>
    <row r="356">
      <c r="A356" s="42" t="n">
        <v>46240</v>
      </c>
      <c r="B356" s="43" t="n">
        <v>0.3333333333333333</v>
      </c>
      <c r="C356" s="37" t="inlineStr">
        <is>
          <t>Dra. Carolina Mendes</t>
        </is>
      </c>
      <c r="D356" s="37" t="inlineStr">
        <is>
          <t>Sala 1</t>
        </is>
      </c>
      <c r="E356" s="36" t="inlineStr">
        <is>
          <t>Camila Batista</t>
        </is>
      </c>
      <c r="F356" s="37" t="inlineStr">
        <is>
          <t>MediPlan</t>
        </is>
      </c>
      <c r="G356" s="37" t="inlineStr">
        <is>
          <t>Consulta</t>
        </is>
      </c>
      <c r="H356" s="37" t="inlineStr">
        <is>
          <t>Realizado</t>
        </is>
      </c>
      <c r="I356" s="37" t="inlineStr">
        <is>
          <t>Convênio</t>
        </is>
      </c>
      <c r="J356" s="37" t="n"/>
      <c r="K356" s="36" t="n"/>
      <c r="L356" s="44">
        <f>IF(G356="","",IFERROR(INDEX(Config!$K$5:$K$16,MATCH(G356,Config!$J$5:$J$16,0)),""))</f>
        <v>30</v>
      </c>
      <c r="M356" s="30">
        <f>IF(OR(G356="",F356=""),"",IFERROR(INDEX(Config!$M$5:$R$16,MATCH(G356,Config!$J$5:$J$16,0),MATCH(F356,Config!$H$5:$H$10,0)),""))</f>
        <v>100</v>
      </c>
      <c r="N356" s="29">
        <f>IF(A356="","",MONTH(A356))</f>
        <v>8</v>
      </c>
      <c r="O356" s="29">
        <f>IF(A356="","",YEAR(A356))</f>
        <v>2026</v>
      </c>
      <c r="P356" s="29" t="str">
        <f>IF(A356="","",CHOOSE(WEEKDAY(A356,2),"Segunda","Terça","Quarta","Quinta","Sexta","Sábado","Domingo"))</f>
        <v>Quinta</v>
      </c>
      <c r="Q356" s="29" t="str">
        <f>IF(B356="","",IF(B356&lt;TIME(12,0,0),"Manhã",IF(B356&lt;TIME(18,0,0),"Tarde","Noite")))</f>
        <v>Manhã</v>
      </c>
      <c r="R356" s="45">
        <f>IF(AND(H356="Realizado",L356&lt;&gt;""),L356/60,0)</f>
        <v>0.5</v>
      </c>
    </row>
    <row r="357">
      <c r="A357" s="42" t="n">
        <v>46240</v>
      </c>
      <c r="B357" s="43" t="n">
        <v>0.375</v>
      </c>
      <c r="C357" s="37" t="inlineStr">
        <is>
          <t>Dra. Carolina Mendes</t>
        </is>
      </c>
      <c r="D357" s="37" t="inlineStr">
        <is>
          <t>Sala 1</t>
        </is>
      </c>
      <c r="E357" s="36" t="inlineStr">
        <is>
          <t>Elaine Cardoso</t>
        </is>
      </c>
      <c r="F357" s="37" t="inlineStr">
        <is>
          <t>Particular</t>
        </is>
      </c>
      <c r="G357" s="37" t="inlineStr">
        <is>
          <t>Consulta</t>
        </is>
      </c>
      <c r="H357" s="37" t="inlineStr">
        <is>
          <t>Realizado</t>
        </is>
      </c>
      <c r="I357" s="37" t="inlineStr">
        <is>
          <t>Cartão de crédito</t>
        </is>
      </c>
      <c r="J357" s="37" t="n">
        <v>2</v>
      </c>
      <c r="K357" s="36" t="n"/>
      <c r="L357" s="44">
        <f>IF(G357="","",IFERROR(INDEX(Config!$K$5:$K$16,MATCH(G357,Config!$J$5:$J$16,0)),""))</f>
        <v>30</v>
      </c>
      <c r="M357" s="30">
        <f>IF(OR(G357="",F357=""),"",IFERROR(INDEX(Config!$M$5:$R$16,MATCH(G357,Config!$J$5:$J$16,0),MATCH(F357,Config!$H$5:$H$10,0)),""))</f>
        <v>380</v>
      </c>
      <c r="N357" s="29">
        <f>IF(A357="","",MONTH(A357))</f>
        <v>8</v>
      </c>
      <c r="O357" s="29">
        <f>IF(A357="","",YEAR(A357))</f>
        <v>2026</v>
      </c>
      <c r="P357" s="29" t="str">
        <f>IF(A357="","",CHOOSE(WEEKDAY(A357,2),"Segunda","Terça","Quarta","Quinta","Sexta","Sábado","Domingo"))</f>
        <v>Quinta</v>
      </c>
      <c r="Q357" s="29" t="str">
        <f>IF(B357="","",IF(B357&lt;TIME(12,0,0),"Manhã",IF(B357&lt;TIME(18,0,0),"Tarde","Noite")))</f>
        <v>Manhã</v>
      </c>
      <c r="R357" s="45">
        <f>IF(AND(H357="Realizado",L357&lt;&gt;""),L357/60,0)</f>
        <v>0.5</v>
      </c>
    </row>
    <row r="358">
      <c r="A358" s="42" t="n">
        <v>46240</v>
      </c>
      <c r="B358" s="43" t="n">
        <v>0.3958333333333333</v>
      </c>
      <c r="C358" s="37" t="inlineStr">
        <is>
          <t>Dra. Carolina Mendes</t>
        </is>
      </c>
      <c r="D358" s="37" t="inlineStr">
        <is>
          <t>Sala 1</t>
        </is>
      </c>
      <c r="E358" s="36" t="inlineStr">
        <is>
          <t>Isabela Pinto</t>
        </is>
      </c>
      <c r="F358" s="37" t="inlineStr">
        <is>
          <t>Saúde Total</t>
        </is>
      </c>
      <c r="G358" s="37" t="inlineStr">
        <is>
          <t>Consulta</t>
        </is>
      </c>
      <c r="H358" s="37" t="inlineStr">
        <is>
          <t>Realizado</t>
        </is>
      </c>
      <c r="I358" s="37" t="inlineStr">
        <is>
          <t>Convênio</t>
        </is>
      </c>
      <c r="J358" s="37" t="n"/>
      <c r="K358" s="36" t="n"/>
      <c r="L358" s="44">
        <f>IF(G358="","",IFERROR(INDEX(Config!$K$5:$K$16,MATCH(G358,Config!$J$5:$J$16,0)),""))</f>
        <v>30</v>
      </c>
      <c r="M358" s="30">
        <f>IF(OR(G358="",F358=""),"",IFERROR(INDEX(Config!$M$5:$R$16,MATCH(G358,Config!$J$5:$J$16,0),MATCH(F358,Config!$H$5:$H$10,0)),""))</f>
        <v>120</v>
      </c>
      <c r="N358" s="29">
        <f>IF(A358="","",MONTH(A358))</f>
        <v>8</v>
      </c>
      <c r="O358" s="29">
        <f>IF(A358="","",YEAR(A358))</f>
        <v>2026</v>
      </c>
      <c r="P358" s="29" t="str">
        <f>IF(A358="","",CHOOSE(WEEKDAY(A358,2),"Segunda","Terça","Quarta","Quinta","Sexta","Sábado","Domingo"))</f>
        <v>Quinta</v>
      </c>
      <c r="Q358" s="29" t="str">
        <f>IF(B358="","",IF(B358&lt;TIME(12,0,0),"Manhã",IF(B358&lt;TIME(18,0,0),"Tarde","Noite")))</f>
        <v>Manhã</v>
      </c>
      <c r="R358" s="45">
        <f>IF(AND(H358="Realizado",L358&lt;&gt;""),L358/60,0)</f>
        <v>0.5</v>
      </c>
    </row>
    <row r="359">
      <c r="A359" s="42" t="n">
        <v>46240</v>
      </c>
      <c r="B359" s="43" t="n">
        <v>0.4375</v>
      </c>
      <c r="C359" s="37" t="inlineStr">
        <is>
          <t>Dra. Carolina Mendes</t>
        </is>
      </c>
      <c r="D359" s="37" t="inlineStr">
        <is>
          <t>Sala 1</t>
        </is>
      </c>
      <c r="E359" s="36" t="inlineStr">
        <is>
          <t>Daniel Almeida</t>
        </is>
      </c>
      <c r="F359" s="37" t="inlineStr">
        <is>
          <t>Saúde Total</t>
        </is>
      </c>
      <c r="G359" s="37" t="inlineStr">
        <is>
          <t>Consulta</t>
        </is>
      </c>
      <c r="H359" s="37" t="inlineStr">
        <is>
          <t>Realizado</t>
        </is>
      </c>
      <c r="I359" s="37" t="inlineStr">
        <is>
          <t>Convênio</t>
        </is>
      </c>
      <c r="J359" s="37" t="n"/>
      <c r="K359" s="36" t="n"/>
      <c r="L359" s="44">
        <f>IF(G359="","",IFERROR(INDEX(Config!$K$5:$K$16,MATCH(G359,Config!$J$5:$J$16,0)),""))</f>
        <v>30</v>
      </c>
      <c r="M359" s="30">
        <f>IF(OR(G359="",F359=""),"",IFERROR(INDEX(Config!$M$5:$R$16,MATCH(G359,Config!$J$5:$J$16,0),MATCH(F359,Config!$H$5:$H$10,0)),""))</f>
        <v>120</v>
      </c>
      <c r="N359" s="29">
        <f>IF(A359="","",MONTH(A359))</f>
        <v>8</v>
      </c>
      <c r="O359" s="29">
        <f>IF(A359="","",YEAR(A359))</f>
        <v>2026</v>
      </c>
      <c r="P359" s="29" t="str">
        <f>IF(A359="","",CHOOSE(WEEKDAY(A359,2),"Segunda","Terça","Quarta","Quinta","Sexta","Sábado","Domingo"))</f>
        <v>Quinta</v>
      </c>
      <c r="Q359" s="29" t="str">
        <f>IF(B359="","",IF(B359&lt;TIME(12,0,0),"Manhã",IF(B359&lt;TIME(18,0,0),"Tarde","Noite")))</f>
        <v>Manhã</v>
      </c>
      <c r="R359" s="45">
        <f>IF(AND(H359="Realizado",L359&lt;&gt;""),L359/60,0)</f>
        <v>0.5</v>
      </c>
    </row>
    <row r="360">
      <c r="A360" s="42" t="n">
        <v>46240</v>
      </c>
      <c r="B360" s="43" t="n">
        <v>0.4583333333333333</v>
      </c>
      <c r="C360" s="37" t="inlineStr">
        <is>
          <t>Dra. Carolina Mendes</t>
        </is>
      </c>
      <c r="D360" s="37" t="inlineStr">
        <is>
          <t>Sala 1</t>
        </is>
      </c>
      <c r="E360" s="36" t="inlineStr">
        <is>
          <t>Patrícia Fernandes</t>
        </is>
      </c>
      <c r="F360" s="37" t="inlineStr">
        <is>
          <t>Particular</t>
        </is>
      </c>
      <c r="G360" s="37" t="inlineStr">
        <is>
          <t>Consulta</t>
        </is>
      </c>
      <c r="H360" s="37" t="inlineStr">
        <is>
          <t>Realizado</t>
        </is>
      </c>
      <c r="I360" s="37" t="inlineStr">
        <is>
          <t>Cartão de débito</t>
        </is>
      </c>
      <c r="J360" s="37" t="n"/>
      <c r="K360" s="36" t="n"/>
      <c r="L360" s="44">
        <f>IF(G360="","",IFERROR(INDEX(Config!$K$5:$K$16,MATCH(G360,Config!$J$5:$J$16,0)),""))</f>
        <v>30</v>
      </c>
      <c r="M360" s="30">
        <f>IF(OR(G360="",F360=""),"",IFERROR(INDEX(Config!$M$5:$R$16,MATCH(G360,Config!$J$5:$J$16,0),MATCH(F360,Config!$H$5:$H$10,0)),""))</f>
        <v>380</v>
      </c>
      <c r="N360" s="29">
        <f>IF(A360="","",MONTH(A360))</f>
        <v>8</v>
      </c>
      <c r="O360" s="29">
        <f>IF(A360="","",YEAR(A360))</f>
        <v>2026</v>
      </c>
      <c r="P360" s="29" t="str">
        <f>IF(A360="","",CHOOSE(WEEKDAY(A360,2),"Segunda","Terça","Quarta","Quinta","Sexta","Sábado","Domingo"))</f>
        <v>Quinta</v>
      </c>
      <c r="Q360" s="29" t="str">
        <f>IF(B360="","",IF(B360&lt;TIME(12,0,0),"Manhã",IF(B360&lt;TIME(18,0,0),"Tarde","Noite")))</f>
        <v>Manhã</v>
      </c>
      <c r="R360" s="45">
        <f>IF(AND(H360="Realizado",L360&lt;&gt;""),L360/60,0)</f>
        <v>0.5</v>
      </c>
    </row>
    <row r="361">
      <c r="A361" s="42" t="n">
        <v>46240</v>
      </c>
      <c r="B361" s="43" t="n">
        <v>0.4791666666666667</v>
      </c>
      <c r="C361" s="37" t="inlineStr">
        <is>
          <t>Dra. Carolina Mendes</t>
        </is>
      </c>
      <c r="D361" s="37" t="inlineStr">
        <is>
          <t>Sala 1</t>
        </is>
      </c>
      <c r="E361" s="36" t="inlineStr">
        <is>
          <t>Otávio Cardoso</t>
        </is>
      </c>
      <c r="F361" s="37" t="inlineStr">
        <is>
          <t>Particular</t>
        </is>
      </c>
      <c r="G361" s="37" t="inlineStr">
        <is>
          <t>Retorno</t>
        </is>
      </c>
      <c r="H361" s="37" t="inlineStr">
        <is>
          <t>Realizado</t>
        </is>
      </c>
      <c r="I361" s="37" t="inlineStr">
        <is>
          <t>Sem cobrança</t>
        </is>
      </c>
      <c r="J361" s="37" t="n"/>
      <c r="K361" s="36" t="n"/>
      <c r="L361" s="44">
        <f>IF(G361="","",IFERROR(INDEX(Config!$K$5:$K$16,MATCH(G361,Config!$J$5:$J$16,0)),""))</f>
        <v>20</v>
      </c>
      <c r="M361" s="30">
        <f>IF(OR(G361="",F361=""),"",IFERROR(INDEX(Config!$M$5:$R$16,MATCH(G361,Config!$J$5:$J$16,0),MATCH(F361,Config!$H$5:$H$10,0)),""))</f>
        <v>0</v>
      </c>
      <c r="N361" s="29">
        <f>IF(A361="","",MONTH(A361))</f>
        <v>8</v>
      </c>
      <c r="O361" s="29">
        <f>IF(A361="","",YEAR(A361))</f>
        <v>2026</v>
      </c>
      <c r="P361" s="29" t="str">
        <f>IF(A361="","",CHOOSE(WEEKDAY(A361,2),"Segunda","Terça","Quarta","Quinta","Sexta","Sábado","Domingo"))</f>
        <v>Quinta</v>
      </c>
      <c r="Q361" s="29" t="str">
        <f>IF(B361="","",IF(B361&lt;TIME(12,0,0),"Manhã",IF(B361&lt;TIME(18,0,0),"Tarde","Noite")))</f>
        <v>Manhã</v>
      </c>
      <c r="R361" s="45">
        <f>IF(AND(H361="Realizado",L361&lt;&gt;""),L361/60,0)</f>
        <v>0.333333333333333</v>
      </c>
    </row>
    <row r="362">
      <c r="A362" s="42" t="n">
        <v>46240</v>
      </c>
      <c r="B362" s="43" t="n">
        <v>0.5833333333333334</v>
      </c>
      <c r="C362" s="37" t="inlineStr">
        <is>
          <t>Dra. Renata Sousa</t>
        </is>
      </c>
      <c r="D362" s="37" t="inlineStr">
        <is>
          <t>Sala 1</t>
        </is>
      </c>
      <c r="E362" s="36" t="inlineStr">
        <is>
          <t>Mariana Reis</t>
        </is>
      </c>
      <c r="F362" s="37" t="inlineStr">
        <is>
          <t>Particular</t>
        </is>
      </c>
      <c r="G362" s="37" t="inlineStr">
        <is>
          <t>Retorno</t>
        </is>
      </c>
      <c r="H362" s="37" t="inlineStr">
        <is>
          <t>Realizado</t>
        </is>
      </c>
      <c r="I362" s="37" t="inlineStr">
        <is>
          <t>Sem cobrança</t>
        </is>
      </c>
      <c r="J362" s="37" t="n"/>
      <c r="K362" s="36" t="n"/>
      <c r="L362" s="44">
        <f>IF(G362="","",IFERROR(INDEX(Config!$K$5:$K$16,MATCH(G362,Config!$J$5:$J$16,0)),""))</f>
        <v>20</v>
      </c>
      <c r="M362" s="30">
        <f>IF(OR(G362="",F362=""),"",IFERROR(INDEX(Config!$M$5:$R$16,MATCH(G362,Config!$J$5:$J$16,0),MATCH(F362,Config!$H$5:$H$10,0)),""))</f>
        <v>0</v>
      </c>
      <c r="N362" s="29">
        <f>IF(A362="","",MONTH(A362))</f>
        <v>8</v>
      </c>
      <c r="O362" s="29">
        <f>IF(A362="","",YEAR(A362))</f>
        <v>2026</v>
      </c>
      <c r="P362" s="29" t="str">
        <f>IF(A362="","",CHOOSE(WEEKDAY(A362,2),"Segunda","Terça","Quarta","Quinta","Sexta","Sábado","Domingo"))</f>
        <v>Quinta</v>
      </c>
      <c r="Q362" s="29" t="str">
        <f>IF(B362="","",IF(B362&lt;TIME(12,0,0),"Manhã",IF(B362&lt;TIME(18,0,0),"Tarde","Noite")))</f>
        <v>Tarde</v>
      </c>
      <c r="R362" s="45">
        <f>IF(AND(H362="Realizado",L362&lt;&gt;""),L362/60,0)</f>
        <v>0.333333333333333</v>
      </c>
    </row>
    <row r="363">
      <c r="A363" s="42" t="n">
        <v>46240</v>
      </c>
      <c r="B363" s="43" t="n">
        <v>0.5833333333333334</v>
      </c>
      <c r="C363" s="37" t="inlineStr">
        <is>
          <t>Dr. Paulo Andrade</t>
        </is>
      </c>
      <c r="D363" s="37" t="inlineStr">
        <is>
          <t>Sala 2</t>
        </is>
      </c>
      <c r="E363" s="36" t="inlineStr">
        <is>
          <t>Juliana Silva</t>
        </is>
      </c>
      <c r="F363" s="37" t="inlineStr">
        <is>
          <t>Vida Care</t>
        </is>
      </c>
      <c r="G363" s="37" t="inlineStr">
        <is>
          <t>Teste ergométrico</t>
        </is>
      </c>
      <c r="H363" s="37" t="inlineStr">
        <is>
          <t>Realizado</t>
        </is>
      </c>
      <c r="I363" s="37" t="inlineStr">
        <is>
          <t>Convênio</t>
        </is>
      </c>
      <c r="J363" s="37" t="n"/>
      <c r="K363" s="36" t="n"/>
      <c r="L363" s="44">
        <f>IF(G363="","",IFERROR(INDEX(Config!$K$5:$K$16,MATCH(G363,Config!$J$5:$J$16,0)),""))</f>
        <v>40</v>
      </c>
      <c r="M363" s="30">
        <f>IF(OR(G363="",F363=""),"",IFERROR(INDEX(Config!$M$5:$R$16,MATCH(G363,Config!$J$5:$J$16,0),MATCH(F363,Config!$H$5:$H$10,0)),""))</f>
        <v>110</v>
      </c>
      <c r="N363" s="29">
        <f>IF(A363="","",MONTH(A363))</f>
        <v>8</v>
      </c>
      <c r="O363" s="29">
        <f>IF(A363="","",YEAR(A363))</f>
        <v>2026</v>
      </c>
      <c r="P363" s="29" t="str">
        <f>IF(A363="","",CHOOSE(WEEKDAY(A363,2),"Segunda","Terça","Quarta","Quinta","Sexta","Sábado","Domingo"))</f>
        <v>Quinta</v>
      </c>
      <c r="Q363" s="29" t="str">
        <f>IF(B363="","",IF(B363&lt;TIME(12,0,0),"Manhã",IF(B363&lt;TIME(18,0,0),"Tarde","Noite")))</f>
        <v>Tarde</v>
      </c>
      <c r="R363" s="45">
        <f>IF(AND(H363="Realizado",L363&lt;&gt;""),L363/60,0)</f>
        <v>0.666666666666667</v>
      </c>
    </row>
    <row r="364">
      <c r="A364" s="42" t="n">
        <v>46240</v>
      </c>
      <c r="B364" s="43" t="n">
        <v>0.5972222222222222</v>
      </c>
      <c r="C364" s="37" t="inlineStr">
        <is>
          <t>Dra. Renata Sousa</t>
        </is>
      </c>
      <c r="D364" s="37" t="inlineStr">
        <is>
          <t>Sala 1</t>
        </is>
      </c>
      <c r="E364" s="36" t="inlineStr">
        <is>
          <t>Fábio Ferreira</t>
        </is>
      </c>
      <c r="F364" s="37" t="inlineStr">
        <is>
          <t>Particular</t>
        </is>
      </c>
      <c r="G364" s="37" t="inlineStr">
        <is>
          <t>Avaliação endócrina</t>
        </is>
      </c>
      <c r="H364" s="37" t="inlineStr">
        <is>
          <t>Realizado</t>
        </is>
      </c>
      <c r="I364" s="37" t="inlineStr">
        <is>
          <t>Cartão de crédito</t>
        </is>
      </c>
      <c r="J364" s="37" t="n">
        <v>2</v>
      </c>
      <c r="K364" s="36" t="n"/>
      <c r="L364" s="44">
        <f>IF(G364="","",IFERROR(INDEX(Config!$K$5:$K$16,MATCH(G364,Config!$J$5:$J$16,0)),""))</f>
        <v>40</v>
      </c>
      <c r="M364" s="30">
        <f>IF(OR(G364="",F364=""),"",IFERROR(INDEX(Config!$M$5:$R$16,MATCH(G364,Config!$J$5:$J$16,0),MATCH(F364,Config!$H$5:$H$10,0)),""))</f>
        <v>400</v>
      </c>
      <c r="N364" s="29">
        <f>IF(A364="","",MONTH(A364))</f>
        <v>8</v>
      </c>
      <c r="O364" s="29">
        <f>IF(A364="","",YEAR(A364))</f>
        <v>2026</v>
      </c>
      <c r="P364" s="29" t="str">
        <f>IF(A364="","",CHOOSE(WEEKDAY(A364,2),"Segunda","Terça","Quarta","Quinta","Sexta","Sábado","Domingo"))</f>
        <v>Quinta</v>
      </c>
      <c r="Q364" s="29" t="str">
        <f>IF(B364="","",IF(B364&lt;TIME(12,0,0),"Manhã",IF(B364&lt;TIME(18,0,0),"Tarde","Noite")))</f>
        <v>Tarde</v>
      </c>
      <c r="R364" s="45">
        <f>IF(AND(H364="Realizado",L364&lt;&gt;""),L364/60,0)</f>
        <v>0.666666666666667</v>
      </c>
    </row>
    <row r="365">
      <c r="A365" s="42" t="n">
        <v>46240</v>
      </c>
      <c r="B365" s="43" t="n">
        <v>0.625</v>
      </c>
      <c r="C365" s="37" t="inlineStr">
        <is>
          <t>Dra. Renata Sousa</t>
        </is>
      </c>
      <c r="D365" s="37" t="inlineStr">
        <is>
          <t>Sala 1</t>
        </is>
      </c>
      <c r="E365" s="36" t="inlineStr">
        <is>
          <t>Priscila Reis</t>
        </is>
      </c>
      <c r="F365" s="37" t="inlineStr">
        <is>
          <t>Particular</t>
        </is>
      </c>
      <c r="G365" s="37" t="inlineStr">
        <is>
          <t>Retorno</t>
        </is>
      </c>
      <c r="H365" s="37" t="inlineStr">
        <is>
          <t>Realizado</t>
        </is>
      </c>
      <c r="I365" s="37" t="inlineStr">
        <is>
          <t>Sem cobrança</t>
        </is>
      </c>
      <c r="J365" s="37" t="n"/>
      <c r="K365" s="36" t="n"/>
      <c r="L365" s="44">
        <f>IF(G365="","",IFERROR(INDEX(Config!$K$5:$K$16,MATCH(G365,Config!$J$5:$J$16,0)),""))</f>
        <v>20</v>
      </c>
      <c r="M365" s="30">
        <f>IF(OR(G365="",F365=""),"",IFERROR(INDEX(Config!$M$5:$R$16,MATCH(G365,Config!$J$5:$J$16,0),MATCH(F365,Config!$H$5:$H$10,0)),""))</f>
        <v>0</v>
      </c>
      <c r="N365" s="29">
        <f>IF(A365="","",MONTH(A365))</f>
        <v>8</v>
      </c>
      <c r="O365" s="29">
        <f>IF(A365="","",YEAR(A365))</f>
        <v>2026</v>
      </c>
      <c r="P365" s="29" t="str">
        <f>IF(A365="","",CHOOSE(WEEKDAY(A365,2),"Segunda","Terça","Quarta","Quinta","Sexta","Sábado","Domingo"))</f>
        <v>Quinta</v>
      </c>
      <c r="Q365" s="29" t="str">
        <f>IF(B365="","",IF(B365&lt;TIME(12,0,0),"Manhã",IF(B365&lt;TIME(18,0,0),"Tarde","Noite")))</f>
        <v>Tarde</v>
      </c>
      <c r="R365" s="45">
        <f>IF(AND(H365="Realizado",L365&lt;&gt;""),L365/60,0)</f>
        <v>0.333333333333333</v>
      </c>
    </row>
    <row r="366">
      <c r="A366" s="42" t="n">
        <v>46240</v>
      </c>
      <c r="B366" s="43" t="n">
        <v>0.6319444444444444</v>
      </c>
      <c r="C366" s="37" t="inlineStr">
        <is>
          <t>Dr. Paulo Andrade</t>
        </is>
      </c>
      <c r="D366" s="37" t="inlineStr">
        <is>
          <t>Sala 2</t>
        </is>
      </c>
      <c r="E366" s="36" t="inlineStr">
        <is>
          <t>Sandra Martins</t>
        </is>
      </c>
      <c r="F366" s="37" t="inlineStr">
        <is>
          <t>MediPlan</t>
        </is>
      </c>
      <c r="G366" s="37" t="inlineStr">
        <is>
          <t>Consulta</t>
        </is>
      </c>
      <c r="H366" s="37" t="inlineStr">
        <is>
          <t>Realizado</t>
        </is>
      </c>
      <c r="I366" s="37" t="inlineStr">
        <is>
          <t>Convênio</t>
        </is>
      </c>
      <c r="J366" s="37" t="n"/>
      <c r="K366" s="36" t="n"/>
      <c r="L366" s="44">
        <f>IF(G366="","",IFERROR(INDEX(Config!$K$5:$K$16,MATCH(G366,Config!$J$5:$J$16,0)),""))</f>
        <v>30</v>
      </c>
      <c r="M366" s="30">
        <f>IF(OR(G366="",F366=""),"",IFERROR(INDEX(Config!$M$5:$R$16,MATCH(G366,Config!$J$5:$J$16,0),MATCH(F366,Config!$H$5:$H$10,0)),""))</f>
        <v>100</v>
      </c>
      <c r="N366" s="29">
        <f>IF(A366="","",MONTH(A366))</f>
        <v>8</v>
      </c>
      <c r="O366" s="29">
        <f>IF(A366="","",YEAR(A366))</f>
        <v>2026</v>
      </c>
      <c r="P366" s="29" t="str">
        <f>IF(A366="","",CHOOSE(WEEKDAY(A366,2),"Segunda","Terça","Quarta","Quinta","Sexta","Sábado","Domingo"))</f>
        <v>Quinta</v>
      </c>
      <c r="Q366" s="29" t="str">
        <f>IF(B366="","",IF(B366&lt;TIME(12,0,0),"Manhã",IF(B366&lt;TIME(18,0,0),"Tarde","Noite")))</f>
        <v>Tarde</v>
      </c>
      <c r="R366" s="45">
        <f>IF(AND(H366="Realizado",L366&lt;&gt;""),L366/60,0)</f>
        <v>0.5</v>
      </c>
    </row>
    <row r="367">
      <c r="A367" s="42" t="n">
        <v>46240</v>
      </c>
      <c r="B367" s="43" t="n">
        <v>0.6388888888888888</v>
      </c>
      <c r="C367" s="37" t="inlineStr">
        <is>
          <t>Dra. Renata Sousa</t>
        </is>
      </c>
      <c r="D367" s="37" t="inlineStr">
        <is>
          <t>Sala 1</t>
        </is>
      </c>
      <c r="E367" s="36" t="inlineStr">
        <is>
          <t>Cláudia Melo</t>
        </is>
      </c>
      <c r="F367" s="37" t="inlineStr">
        <is>
          <t>Particular</t>
        </is>
      </c>
      <c r="G367" s="37" t="inlineStr">
        <is>
          <t>Avaliação endócrina</t>
        </is>
      </c>
      <c r="H367" s="37" t="inlineStr">
        <is>
          <t>Realizado</t>
        </is>
      </c>
      <c r="I367" s="37" t="inlineStr">
        <is>
          <t>Pix</t>
        </is>
      </c>
      <c r="J367" s="37" t="n"/>
      <c r="K367" s="36" t="n"/>
      <c r="L367" s="44">
        <f>IF(G367="","",IFERROR(INDEX(Config!$K$5:$K$16,MATCH(G367,Config!$J$5:$J$16,0)),""))</f>
        <v>40</v>
      </c>
      <c r="M367" s="30">
        <f>IF(OR(G367="",F367=""),"",IFERROR(INDEX(Config!$M$5:$R$16,MATCH(G367,Config!$J$5:$J$16,0),MATCH(F367,Config!$H$5:$H$10,0)),""))</f>
        <v>400</v>
      </c>
      <c r="N367" s="29">
        <f>IF(A367="","",MONTH(A367))</f>
        <v>8</v>
      </c>
      <c r="O367" s="29">
        <f>IF(A367="","",YEAR(A367))</f>
        <v>2026</v>
      </c>
      <c r="P367" s="29" t="str">
        <f>IF(A367="","",CHOOSE(WEEKDAY(A367,2),"Segunda","Terça","Quarta","Quinta","Sexta","Sábado","Domingo"))</f>
        <v>Quinta</v>
      </c>
      <c r="Q367" s="29" t="str">
        <f>IF(B367="","",IF(B367&lt;TIME(12,0,0),"Manhã",IF(B367&lt;TIME(18,0,0),"Tarde","Noite")))</f>
        <v>Tarde</v>
      </c>
      <c r="R367" s="45">
        <f>IF(AND(H367="Realizado",L367&lt;&gt;""),L367/60,0)</f>
        <v>0.666666666666667</v>
      </c>
    </row>
    <row r="368">
      <c r="A368" s="42" t="n">
        <v>46240</v>
      </c>
      <c r="B368" s="43" t="n">
        <v>0.6527777777777778</v>
      </c>
      <c r="C368" s="37" t="inlineStr">
        <is>
          <t>Dr. Paulo Andrade</t>
        </is>
      </c>
      <c r="D368" s="37" t="inlineStr">
        <is>
          <t>Sala 2</t>
        </is>
      </c>
      <c r="E368" s="36" t="inlineStr">
        <is>
          <t>Mateus Dias</t>
        </is>
      </c>
      <c r="F368" s="37" t="inlineStr">
        <is>
          <t>Saúde Total</t>
        </is>
      </c>
      <c r="G368" s="37" t="inlineStr">
        <is>
          <t>Consulta</t>
        </is>
      </c>
      <c r="H368" s="37" t="inlineStr">
        <is>
          <t>Realizado</t>
        </is>
      </c>
      <c r="I368" s="37" t="inlineStr">
        <is>
          <t>Convênio</t>
        </is>
      </c>
      <c r="J368" s="37" t="n"/>
      <c r="K368" s="36" t="n"/>
      <c r="L368" s="44">
        <f>IF(G368="","",IFERROR(INDEX(Config!$K$5:$K$16,MATCH(G368,Config!$J$5:$J$16,0)),""))</f>
        <v>30</v>
      </c>
      <c r="M368" s="30">
        <f>IF(OR(G368="",F368=""),"",IFERROR(INDEX(Config!$M$5:$R$16,MATCH(G368,Config!$J$5:$J$16,0),MATCH(F368,Config!$H$5:$H$10,0)),""))</f>
        <v>120</v>
      </c>
      <c r="N368" s="29">
        <f>IF(A368="","",MONTH(A368))</f>
        <v>8</v>
      </c>
      <c r="O368" s="29">
        <f>IF(A368="","",YEAR(A368))</f>
        <v>2026</v>
      </c>
      <c r="P368" s="29" t="str">
        <f>IF(A368="","",CHOOSE(WEEKDAY(A368,2),"Segunda","Terça","Quarta","Quinta","Sexta","Sábado","Domingo"))</f>
        <v>Quinta</v>
      </c>
      <c r="Q368" s="29" t="str">
        <f>IF(B368="","",IF(B368&lt;TIME(12,0,0),"Manhã",IF(B368&lt;TIME(18,0,0),"Tarde","Noite")))</f>
        <v>Tarde</v>
      </c>
      <c r="R368" s="45">
        <f>IF(AND(H368="Realizado",L368&lt;&gt;""),L368/60,0)</f>
        <v>0.5</v>
      </c>
    </row>
    <row r="369">
      <c r="A369" s="42" t="n">
        <v>46240</v>
      </c>
      <c r="B369" s="43" t="n">
        <v>0.6666666666666666</v>
      </c>
      <c r="C369" s="37" t="inlineStr">
        <is>
          <t>Dra. Renata Sousa</t>
        </is>
      </c>
      <c r="D369" s="37" t="inlineStr">
        <is>
          <t>Sala 1</t>
        </is>
      </c>
      <c r="E369" s="36" t="inlineStr">
        <is>
          <t>Roberta Lima</t>
        </is>
      </c>
      <c r="F369" s="37" t="inlineStr">
        <is>
          <t>Particular</t>
        </is>
      </c>
      <c r="G369" s="37" t="inlineStr">
        <is>
          <t>Avaliação endócrina</t>
        </is>
      </c>
      <c r="H369" s="37" t="inlineStr">
        <is>
          <t>Realizado</t>
        </is>
      </c>
      <c r="I369" s="37" t="inlineStr">
        <is>
          <t>A prazo</t>
        </is>
      </c>
      <c r="J369" s="37" t="n"/>
      <c r="K369" s="36" t="n"/>
      <c r="L369" s="44">
        <f>IF(G369="","",IFERROR(INDEX(Config!$K$5:$K$16,MATCH(G369,Config!$J$5:$J$16,0)),""))</f>
        <v>40</v>
      </c>
      <c r="M369" s="30">
        <f>IF(OR(G369="",F369=""),"",IFERROR(INDEX(Config!$M$5:$R$16,MATCH(G369,Config!$J$5:$J$16,0),MATCH(F369,Config!$H$5:$H$10,0)),""))</f>
        <v>400</v>
      </c>
      <c r="N369" s="29">
        <f>IF(A369="","",MONTH(A369))</f>
        <v>8</v>
      </c>
      <c r="O369" s="29">
        <f>IF(A369="","",YEAR(A369))</f>
        <v>2026</v>
      </c>
      <c r="P369" s="29" t="str">
        <f>IF(A369="","",CHOOSE(WEEKDAY(A369,2),"Segunda","Terça","Quarta","Quinta","Sexta","Sábado","Domingo"))</f>
        <v>Quinta</v>
      </c>
      <c r="Q369" s="29" t="str">
        <f>IF(B369="","",IF(B369&lt;TIME(12,0,0),"Manhã",IF(B369&lt;TIME(18,0,0),"Tarde","Noite")))</f>
        <v>Tarde</v>
      </c>
      <c r="R369" s="45">
        <f>IF(AND(H369="Realizado",L369&lt;&gt;""),L369/60,0)</f>
        <v>0.666666666666667</v>
      </c>
    </row>
    <row r="370">
      <c r="A370" s="42" t="n">
        <v>46240</v>
      </c>
      <c r="B370" s="43" t="n">
        <v>0.6944444444444444</v>
      </c>
      <c r="C370" s="37" t="inlineStr">
        <is>
          <t>Dra. Renata Sousa</t>
        </is>
      </c>
      <c r="D370" s="37" t="inlineStr">
        <is>
          <t>Sala 1</t>
        </is>
      </c>
      <c r="E370" s="36" t="inlineStr">
        <is>
          <t>Carlos Freitas</t>
        </is>
      </c>
      <c r="F370" s="37" t="inlineStr">
        <is>
          <t>Particular</t>
        </is>
      </c>
      <c r="G370" s="37" t="inlineStr">
        <is>
          <t>Avaliação endócrina</t>
        </is>
      </c>
      <c r="H370" s="37" t="inlineStr">
        <is>
          <t>Falta</t>
        </is>
      </c>
      <c r="I370" s="37" t="n"/>
      <c r="J370" s="37" t="n"/>
      <c r="K370" s="36" t="n"/>
      <c r="L370" s="44">
        <f>IF(G370="","",IFERROR(INDEX(Config!$K$5:$K$16,MATCH(G370,Config!$J$5:$J$16,0)),""))</f>
        <v>40</v>
      </c>
      <c r="M370" s="30">
        <f>IF(OR(G370="",F370=""),"",IFERROR(INDEX(Config!$M$5:$R$16,MATCH(G370,Config!$J$5:$J$16,0),MATCH(F370,Config!$H$5:$H$10,0)),""))</f>
        <v>400</v>
      </c>
      <c r="N370" s="29">
        <f>IF(A370="","",MONTH(A370))</f>
        <v>8</v>
      </c>
      <c r="O370" s="29">
        <f>IF(A370="","",YEAR(A370))</f>
        <v>2026</v>
      </c>
      <c r="P370" s="29" t="str">
        <f>IF(A370="","",CHOOSE(WEEKDAY(A370,2),"Segunda","Terça","Quarta","Quinta","Sexta","Sábado","Domingo"))</f>
        <v>Quinta</v>
      </c>
      <c r="Q370" s="29" t="str">
        <f>IF(B370="","",IF(B370&lt;TIME(12,0,0),"Manhã",IF(B370&lt;TIME(18,0,0),"Tarde","Noite")))</f>
        <v>Tarde</v>
      </c>
      <c r="R370" s="45">
        <f>IF(AND(H370="Realizado",L370&lt;&gt;""),L370/60,0)</f>
        <v>0</v>
      </c>
    </row>
    <row r="371">
      <c r="A371" s="42" t="n">
        <v>46240</v>
      </c>
      <c r="B371" s="43" t="n">
        <v>0.6944444444444444</v>
      </c>
      <c r="C371" s="37" t="inlineStr">
        <is>
          <t>Dr. Paulo Andrade</t>
        </is>
      </c>
      <c r="D371" s="37" t="inlineStr">
        <is>
          <t>Sala 2</t>
        </is>
      </c>
      <c r="E371" s="36" t="inlineStr">
        <is>
          <t>Otávio Cardoso</t>
        </is>
      </c>
      <c r="F371" s="37" t="inlineStr">
        <is>
          <t>Particular</t>
        </is>
      </c>
      <c r="G371" s="37" t="inlineStr">
        <is>
          <t>Teste ergométrico</t>
        </is>
      </c>
      <c r="H371" s="37" t="inlineStr">
        <is>
          <t>Realizado</t>
        </is>
      </c>
      <c r="I371" s="37" t="inlineStr">
        <is>
          <t>Pix</t>
        </is>
      </c>
      <c r="J371" s="37" t="n"/>
      <c r="K371" s="36" t="n"/>
      <c r="L371" s="44">
        <f>IF(G371="","",IFERROR(INDEX(Config!$K$5:$K$16,MATCH(G371,Config!$J$5:$J$16,0)),""))</f>
        <v>40</v>
      </c>
      <c r="M371" s="30">
        <f>IF(OR(G371="",F371=""),"",IFERROR(INDEX(Config!$M$5:$R$16,MATCH(G371,Config!$J$5:$J$16,0),MATCH(F371,Config!$H$5:$H$10,0)),""))</f>
        <v>450</v>
      </c>
      <c r="N371" s="29">
        <f>IF(A371="","",MONTH(A371))</f>
        <v>8</v>
      </c>
      <c r="O371" s="29">
        <f>IF(A371="","",YEAR(A371))</f>
        <v>2026</v>
      </c>
      <c r="P371" s="29" t="str">
        <f>IF(A371="","",CHOOSE(WEEKDAY(A371,2),"Segunda","Terça","Quarta","Quinta","Sexta","Sábado","Domingo"))</f>
        <v>Quinta</v>
      </c>
      <c r="Q371" s="29" t="str">
        <f>IF(B371="","",IF(B371&lt;TIME(12,0,0),"Manhã",IF(B371&lt;TIME(18,0,0),"Tarde","Noite")))</f>
        <v>Tarde</v>
      </c>
      <c r="R371" s="45">
        <f>IF(AND(H371="Realizado",L371&lt;&gt;""),L371/60,0)</f>
        <v>0.666666666666667</v>
      </c>
    </row>
    <row r="372">
      <c r="A372" s="42" t="n">
        <v>46240</v>
      </c>
      <c r="B372" s="43" t="n">
        <v>0.7222222222222222</v>
      </c>
      <c r="C372" s="37" t="inlineStr">
        <is>
          <t>Dra. Renata Sousa</t>
        </is>
      </c>
      <c r="D372" s="37" t="inlineStr">
        <is>
          <t>Sala 1</t>
        </is>
      </c>
      <c r="E372" s="36" t="inlineStr">
        <is>
          <t>Patrícia Dias</t>
        </is>
      </c>
      <c r="F372" s="37" t="inlineStr">
        <is>
          <t>Particular</t>
        </is>
      </c>
      <c r="G372" s="37" t="inlineStr">
        <is>
          <t>Avaliação endócrina</t>
        </is>
      </c>
      <c r="H372" s="37" t="inlineStr">
        <is>
          <t>Falta</t>
        </is>
      </c>
      <c r="I372" s="37" t="n"/>
      <c r="J372" s="37" t="n"/>
      <c r="K372" s="36" t="n"/>
      <c r="L372" s="44">
        <f>IF(G372="","",IFERROR(INDEX(Config!$K$5:$K$16,MATCH(G372,Config!$J$5:$J$16,0)),""))</f>
        <v>40</v>
      </c>
      <c r="M372" s="30">
        <f>IF(OR(G372="",F372=""),"",IFERROR(INDEX(Config!$M$5:$R$16,MATCH(G372,Config!$J$5:$J$16,0),MATCH(F372,Config!$H$5:$H$10,0)),""))</f>
        <v>400</v>
      </c>
      <c r="N372" s="29">
        <f>IF(A372="","",MONTH(A372))</f>
        <v>8</v>
      </c>
      <c r="O372" s="29">
        <f>IF(A372="","",YEAR(A372))</f>
        <v>2026</v>
      </c>
      <c r="P372" s="29" t="str">
        <f>IF(A372="","",CHOOSE(WEEKDAY(A372,2),"Segunda","Terça","Quarta","Quinta","Sexta","Sábado","Domingo"))</f>
        <v>Quinta</v>
      </c>
      <c r="Q372" s="29" t="str">
        <f>IF(B372="","",IF(B372&lt;TIME(12,0,0),"Manhã",IF(B372&lt;TIME(18,0,0),"Tarde","Noite")))</f>
        <v>Tarde</v>
      </c>
      <c r="R372" s="45">
        <f>IF(AND(H372="Realizado",L372&lt;&gt;""),L372/60,0)</f>
        <v>0</v>
      </c>
    </row>
    <row r="373">
      <c r="A373" s="42" t="n">
        <v>46240</v>
      </c>
      <c r="B373" s="43" t="n">
        <v>0.7222222222222222</v>
      </c>
      <c r="C373" s="37" t="inlineStr">
        <is>
          <t>Dr. Paulo Andrade</t>
        </is>
      </c>
      <c r="D373" s="37" t="inlineStr">
        <is>
          <t>Sala 2</t>
        </is>
      </c>
      <c r="E373" s="36" t="inlineStr">
        <is>
          <t>Ricardo Melo</t>
        </is>
      </c>
      <c r="F373" s="37" t="inlineStr">
        <is>
          <t>Saúde Total</t>
        </is>
      </c>
      <c r="G373" s="37" t="inlineStr">
        <is>
          <t>ECG</t>
        </is>
      </c>
      <c r="H373" s="37" t="inlineStr">
        <is>
          <t>Realizado</t>
        </is>
      </c>
      <c r="I373" s="37" t="inlineStr">
        <is>
          <t>Convênio</t>
        </is>
      </c>
      <c r="J373" s="37" t="n"/>
      <c r="K373" s="36" t="n"/>
      <c r="L373" s="44">
        <f>IF(G373="","",IFERROR(INDEX(Config!$K$5:$K$16,MATCH(G373,Config!$J$5:$J$16,0)),""))</f>
        <v>20</v>
      </c>
      <c r="M373" s="30">
        <f>IF(OR(G373="",F373=""),"",IFERROR(INDEX(Config!$M$5:$R$16,MATCH(G373,Config!$J$5:$J$16,0),MATCH(F373,Config!$H$5:$H$10,0)),""))</f>
        <v>40</v>
      </c>
      <c r="N373" s="29">
        <f>IF(A373="","",MONTH(A373))</f>
        <v>8</v>
      </c>
      <c r="O373" s="29">
        <f>IF(A373="","",YEAR(A373))</f>
        <v>2026</v>
      </c>
      <c r="P373" s="29" t="str">
        <f>IF(A373="","",CHOOSE(WEEKDAY(A373,2),"Segunda","Terça","Quarta","Quinta","Sexta","Sábado","Domingo"))</f>
        <v>Quinta</v>
      </c>
      <c r="Q373" s="29" t="str">
        <f>IF(B373="","",IF(B373&lt;TIME(12,0,0),"Manhã",IF(B373&lt;TIME(18,0,0),"Tarde","Noite")))</f>
        <v>Tarde</v>
      </c>
      <c r="R373" s="45">
        <f>IF(AND(H373="Realizado",L373&lt;&gt;""),L373/60,0)</f>
        <v>0.333333333333333</v>
      </c>
    </row>
    <row r="374">
      <c r="A374" s="42" t="n">
        <v>46240</v>
      </c>
      <c r="B374" s="43" t="n">
        <v>0.7361111111111112</v>
      </c>
      <c r="C374" s="37" t="inlineStr">
        <is>
          <t>Dr. Paulo Andrade</t>
        </is>
      </c>
      <c r="D374" s="37" t="inlineStr">
        <is>
          <t>Sala 2</t>
        </is>
      </c>
      <c r="E374" s="36" t="inlineStr">
        <is>
          <t>Carlos Barros</t>
        </is>
      </c>
      <c r="F374" s="37" t="inlineStr">
        <is>
          <t>MediPlan</t>
        </is>
      </c>
      <c r="G374" s="37" t="inlineStr">
        <is>
          <t>MAPA</t>
        </is>
      </c>
      <c r="H374" s="37" t="inlineStr">
        <is>
          <t>Realizado</t>
        </is>
      </c>
      <c r="I374" s="37" t="inlineStr">
        <is>
          <t>Convênio</t>
        </is>
      </c>
      <c r="J374" s="37" t="n"/>
      <c r="K374" s="36" t="n"/>
      <c r="L374" s="44">
        <f>IF(G374="","",IFERROR(INDEX(Config!$K$5:$K$16,MATCH(G374,Config!$J$5:$J$16,0)),""))</f>
        <v>20</v>
      </c>
      <c r="M374" s="30">
        <f>IF(OR(G374="",F374=""),"",IFERROR(INDEX(Config!$M$5:$R$16,MATCH(G374,Config!$J$5:$J$16,0),MATCH(F374,Config!$H$5:$H$10,0)),""))</f>
        <v>85</v>
      </c>
      <c r="N374" s="29">
        <f>IF(A374="","",MONTH(A374))</f>
        <v>8</v>
      </c>
      <c r="O374" s="29">
        <f>IF(A374="","",YEAR(A374))</f>
        <v>2026</v>
      </c>
      <c r="P374" s="29" t="str">
        <f>IF(A374="","",CHOOSE(WEEKDAY(A374,2),"Segunda","Terça","Quarta","Quinta","Sexta","Sábado","Domingo"))</f>
        <v>Quinta</v>
      </c>
      <c r="Q374" s="29" t="str">
        <f>IF(B374="","",IF(B374&lt;TIME(12,0,0),"Manhã",IF(B374&lt;TIME(18,0,0),"Tarde","Noite")))</f>
        <v>Tarde</v>
      </c>
      <c r="R374" s="45">
        <f>IF(AND(H374="Realizado",L374&lt;&gt;""),L374/60,0)</f>
        <v>0.333333333333333</v>
      </c>
    </row>
    <row r="375">
      <c r="A375" s="42" t="n">
        <v>46241</v>
      </c>
      <c r="B375" s="43" t="n">
        <v>0.3333333333333333</v>
      </c>
      <c r="C375" s="37" t="inlineStr">
        <is>
          <t>Dr. Paulo Andrade</t>
        </is>
      </c>
      <c r="D375" s="37" t="inlineStr">
        <is>
          <t>Sala 2</t>
        </is>
      </c>
      <c r="E375" s="36" t="inlineStr">
        <is>
          <t>Rafael Barros</t>
        </is>
      </c>
      <c r="F375" s="37" t="inlineStr">
        <is>
          <t>Particular</t>
        </is>
      </c>
      <c r="G375" s="37" t="inlineStr">
        <is>
          <t>Retorno</t>
        </is>
      </c>
      <c r="H375" s="37" t="inlineStr">
        <is>
          <t>Realizado</t>
        </is>
      </c>
      <c r="I375" s="37" t="inlineStr">
        <is>
          <t>Sem cobrança</t>
        </is>
      </c>
      <c r="J375" s="37" t="n"/>
      <c r="K375" s="36" t="n"/>
      <c r="L375" s="44">
        <f>IF(G375="","",IFERROR(INDEX(Config!$K$5:$K$16,MATCH(G375,Config!$J$5:$J$16,0)),""))</f>
        <v>20</v>
      </c>
      <c r="M375" s="30">
        <f>IF(OR(G375="",F375=""),"",IFERROR(INDEX(Config!$M$5:$R$16,MATCH(G375,Config!$J$5:$J$16,0),MATCH(F375,Config!$H$5:$H$10,0)),""))</f>
        <v>0</v>
      </c>
      <c r="N375" s="29">
        <f>IF(A375="","",MONTH(A375))</f>
        <v>8</v>
      </c>
      <c r="O375" s="29">
        <f>IF(A375="","",YEAR(A375))</f>
        <v>2026</v>
      </c>
      <c r="P375" s="29" t="str">
        <f>IF(A375="","",CHOOSE(WEEKDAY(A375,2),"Segunda","Terça","Quarta","Quinta","Sexta","Sábado","Domingo"))</f>
        <v>Sexta</v>
      </c>
      <c r="Q375" s="29" t="str">
        <f>IF(B375="","",IF(B375&lt;TIME(12,0,0),"Manhã",IF(B375&lt;TIME(18,0,0),"Tarde","Noite")))</f>
        <v>Manhã</v>
      </c>
      <c r="R375" s="45">
        <f>IF(AND(H375="Realizado",L375&lt;&gt;""),L375/60,0)</f>
        <v>0.333333333333333</v>
      </c>
    </row>
    <row r="376">
      <c r="A376" s="42" t="n">
        <v>46241</v>
      </c>
      <c r="B376" s="43" t="n">
        <v>0.3472222222222222</v>
      </c>
      <c r="C376" s="37" t="inlineStr">
        <is>
          <t>Dr. Paulo Andrade</t>
        </is>
      </c>
      <c r="D376" s="37" t="inlineStr">
        <is>
          <t>Sala 2</t>
        </is>
      </c>
      <c r="E376" s="36" t="inlineStr">
        <is>
          <t>Fernanda Nunes</t>
        </is>
      </c>
      <c r="F376" s="37" t="inlineStr">
        <is>
          <t>MediPlan</t>
        </is>
      </c>
      <c r="G376" s="37" t="inlineStr">
        <is>
          <t>Teste ergométrico</t>
        </is>
      </c>
      <c r="H376" s="37" t="inlineStr">
        <is>
          <t>Realizado</t>
        </is>
      </c>
      <c r="I376" s="37" t="inlineStr">
        <is>
          <t>Convênio</t>
        </is>
      </c>
      <c r="J376" s="37" t="n"/>
      <c r="K376" s="36" t="n"/>
      <c r="L376" s="44">
        <f>IF(G376="","",IFERROR(INDEX(Config!$K$5:$K$16,MATCH(G376,Config!$J$5:$J$16,0)),""))</f>
        <v>40</v>
      </c>
      <c r="M376" s="30">
        <f>IF(OR(G376="",F376=""),"",IFERROR(INDEX(Config!$M$5:$R$16,MATCH(G376,Config!$J$5:$J$16,0),MATCH(F376,Config!$H$5:$H$10,0)),""))</f>
        <v>125</v>
      </c>
      <c r="N376" s="29">
        <f>IF(A376="","",MONTH(A376))</f>
        <v>8</v>
      </c>
      <c r="O376" s="29">
        <f>IF(A376="","",YEAR(A376))</f>
        <v>2026</v>
      </c>
      <c r="P376" s="29" t="str">
        <f>IF(A376="","",CHOOSE(WEEKDAY(A376,2),"Segunda","Terça","Quarta","Quinta","Sexta","Sábado","Domingo"))</f>
        <v>Sexta</v>
      </c>
      <c r="Q376" s="29" t="str">
        <f>IF(B376="","",IF(B376&lt;TIME(12,0,0),"Manhã",IF(B376&lt;TIME(18,0,0),"Tarde","Noite")))</f>
        <v>Manhã</v>
      </c>
      <c r="R376" s="45">
        <f>IF(AND(H376="Realizado",L376&lt;&gt;""),L376/60,0)</f>
        <v>0.666666666666667</v>
      </c>
    </row>
    <row r="377">
      <c r="A377" s="42" t="n">
        <v>46241</v>
      </c>
      <c r="B377" s="43" t="n">
        <v>0.375</v>
      </c>
      <c r="C377" s="37" t="inlineStr">
        <is>
          <t>Dr. Paulo Andrade</t>
        </is>
      </c>
      <c r="D377" s="37" t="inlineStr">
        <is>
          <t>Sala 2</t>
        </is>
      </c>
      <c r="E377" s="36" t="inlineStr">
        <is>
          <t>Paulo Reis</t>
        </is>
      </c>
      <c r="F377" s="37" t="inlineStr">
        <is>
          <t>Particular</t>
        </is>
      </c>
      <c r="G377" s="37" t="inlineStr">
        <is>
          <t>Retorno</t>
        </is>
      </c>
      <c r="H377" s="37" t="inlineStr">
        <is>
          <t>Realizado</t>
        </is>
      </c>
      <c r="I377" s="37" t="inlineStr">
        <is>
          <t>Sem cobrança</t>
        </is>
      </c>
      <c r="J377" s="37" t="n"/>
      <c r="K377" s="36" t="n"/>
      <c r="L377" s="44">
        <f>IF(G377="","",IFERROR(INDEX(Config!$K$5:$K$16,MATCH(G377,Config!$J$5:$J$16,0)),""))</f>
        <v>20</v>
      </c>
      <c r="M377" s="30">
        <f>IF(OR(G377="",F377=""),"",IFERROR(INDEX(Config!$M$5:$R$16,MATCH(G377,Config!$J$5:$J$16,0),MATCH(F377,Config!$H$5:$H$10,0)),""))</f>
        <v>0</v>
      </c>
      <c r="N377" s="29">
        <f>IF(A377="","",MONTH(A377))</f>
        <v>8</v>
      </c>
      <c r="O377" s="29">
        <f>IF(A377="","",YEAR(A377))</f>
        <v>2026</v>
      </c>
      <c r="P377" s="29" t="str">
        <f>IF(A377="","",CHOOSE(WEEKDAY(A377,2),"Segunda","Terça","Quarta","Quinta","Sexta","Sábado","Domingo"))</f>
        <v>Sexta</v>
      </c>
      <c r="Q377" s="29" t="str">
        <f>IF(B377="","",IF(B377&lt;TIME(12,0,0),"Manhã",IF(B377&lt;TIME(18,0,0),"Tarde","Noite")))</f>
        <v>Manhã</v>
      </c>
      <c r="R377" s="45">
        <f>IF(AND(H377="Realizado",L377&lt;&gt;""),L377/60,0)</f>
        <v>0.333333333333333</v>
      </c>
    </row>
    <row r="378">
      <c r="A378" s="42" t="n">
        <v>46241</v>
      </c>
      <c r="B378" s="43" t="n">
        <v>0.3888888888888889</v>
      </c>
      <c r="C378" s="37" t="inlineStr">
        <is>
          <t>Dr. Paulo Andrade</t>
        </is>
      </c>
      <c r="D378" s="37" t="inlineStr">
        <is>
          <t>Sala 2</t>
        </is>
      </c>
      <c r="E378" s="36" t="inlineStr">
        <is>
          <t>Cláudia Costa</t>
        </is>
      </c>
      <c r="F378" s="37" t="inlineStr">
        <is>
          <t>Particular</t>
        </is>
      </c>
      <c r="G378" s="37" t="inlineStr">
        <is>
          <t>ECG</t>
        </is>
      </c>
      <c r="H378" s="37" t="inlineStr">
        <is>
          <t>Realizado</t>
        </is>
      </c>
      <c r="I378" s="37" t="inlineStr">
        <is>
          <t>Pix</t>
        </is>
      </c>
      <c r="J378" s="37" t="n"/>
      <c r="K378" s="36" t="n"/>
      <c r="L378" s="44">
        <f>IF(G378="","",IFERROR(INDEX(Config!$K$5:$K$16,MATCH(G378,Config!$J$5:$J$16,0)),""))</f>
        <v>20</v>
      </c>
      <c r="M378" s="30">
        <f>IF(OR(G378="",F378=""),"",IFERROR(INDEX(Config!$M$5:$R$16,MATCH(G378,Config!$J$5:$J$16,0),MATCH(F378,Config!$H$5:$H$10,0)),""))</f>
        <v>130</v>
      </c>
      <c r="N378" s="29">
        <f>IF(A378="","",MONTH(A378))</f>
        <v>8</v>
      </c>
      <c r="O378" s="29">
        <f>IF(A378="","",YEAR(A378))</f>
        <v>2026</v>
      </c>
      <c r="P378" s="29" t="str">
        <f>IF(A378="","",CHOOSE(WEEKDAY(A378,2),"Segunda","Terça","Quarta","Quinta","Sexta","Sábado","Domingo"))</f>
        <v>Sexta</v>
      </c>
      <c r="Q378" s="29" t="str">
        <f>IF(B378="","",IF(B378&lt;TIME(12,0,0),"Manhã",IF(B378&lt;TIME(18,0,0),"Tarde","Noite")))</f>
        <v>Manhã</v>
      </c>
      <c r="R378" s="45">
        <f>IF(AND(H378="Realizado",L378&lt;&gt;""),L378/60,0)</f>
        <v>0.333333333333333</v>
      </c>
    </row>
    <row r="379">
      <c r="A379" s="42" t="n">
        <v>46241</v>
      </c>
      <c r="B379" s="43" t="n">
        <v>0.4027777777777778</v>
      </c>
      <c r="C379" s="37" t="inlineStr">
        <is>
          <t>Dr. Paulo Andrade</t>
        </is>
      </c>
      <c r="D379" s="37" t="inlineStr">
        <is>
          <t>Sala 2</t>
        </is>
      </c>
      <c r="E379" s="36" t="inlineStr">
        <is>
          <t>Wagner Costa</t>
        </is>
      </c>
      <c r="F379" s="37" t="inlineStr">
        <is>
          <t>Particular</t>
        </is>
      </c>
      <c r="G379" s="37" t="inlineStr">
        <is>
          <t>Consulta</t>
        </is>
      </c>
      <c r="H379" s="37" t="inlineStr">
        <is>
          <t>Realizado</t>
        </is>
      </c>
      <c r="I379" s="37" t="inlineStr">
        <is>
          <t>Cartão de crédito</t>
        </is>
      </c>
      <c r="J379" s="37" t="n"/>
      <c r="K379" s="36" t="n"/>
      <c r="L379" s="44">
        <f>IF(G379="","",IFERROR(INDEX(Config!$K$5:$K$16,MATCH(G379,Config!$J$5:$J$16,0)),""))</f>
        <v>30</v>
      </c>
      <c r="M379" s="30">
        <f>IF(OR(G379="",F379=""),"",IFERROR(INDEX(Config!$M$5:$R$16,MATCH(G379,Config!$J$5:$J$16,0),MATCH(F379,Config!$H$5:$H$10,0)),""))</f>
        <v>380</v>
      </c>
      <c r="N379" s="29">
        <f>IF(A379="","",MONTH(A379))</f>
        <v>8</v>
      </c>
      <c r="O379" s="29">
        <f>IF(A379="","",YEAR(A379))</f>
        <v>2026</v>
      </c>
      <c r="P379" s="29" t="str">
        <f>IF(A379="","",CHOOSE(WEEKDAY(A379,2),"Segunda","Terça","Quarta","Quinta","Sexta","Sábado","Domingo"))</f>
        <v>Sexta</v>
      </c>
      <c r="Q379" s="29" t="str">
        <f>IF(B379="","",IF(B379&lt;TIME(12,0,0),"Manhã",IF(B379&lt;TIME(18,0,0),"Tarde","Noite")))</f>
        <v>Manhã</v>
      </c>
      <c r="R379" s="45">
        <f>IF(AND(H379="Realizado",L379&lt;&gt;""),L379/60,0)</f>
        <v>0.5</v>
      </c>
    </row>
    <row r="380">
      <c r="A380" s="42" t="n">
        <v>46241</v>
      </c>
      <c r="B380" s="43" t="n">
        <v>0.4236111111111111</v>
      </c>
      <c r="C380" s="37" t="inlineStr">
        <is>
          <t>Dr. Paulo Andrade</t>
        </is>
      </c>
      <c r="D380" s="37" t="inlineStr">
        <is>
          <t>Sala 2</t>
        </is>
      </c>
      <c r="E380" s="36" t="inlineStr">
        <is>
          <t>Patrícia Vieira</t>
        </is>
      </c>
      <c r="F380" s="37" t="inlineStr">
        <is>
          <t>Saúde Total</t>
        </is>
      </c>
      <c r="G380" s="37" t="inlineStr">
        <is>
          <t>Consulta</t>
        </is>
      </c>
      <c r="H380" s="37" t="inlineStr">
        <is>
          <t>Realizado</t>
        </is>
      </c>
      <c r="I380" s="37" t="inlineStr">
        <is>
          <t>Convênio</t>
        </is>
      </c>
      <c r="J380" s="37" t="n"/>
      <c r="K380" s="36" t="n"/>
      <c r="L380" s="44">
        <f>IF(G380="","",IFERROR(INDEX(Config!$K$5:$K$16,MATCH(G380,Config!$J$5:$J$16,0)),""))</f>
        <v>30</v>
      </c>
      <c r="M380" s="30">
        <f>IF(OR(G380="",F380=""),"",IFERROR(INDEX(Config!$M$5:$R$16,MATCH(G380,Config!$J$5:$J$16,0),MATCH(F380,Config!$H$5:$H$10,0)),""))</f>
        <v>120</v>
      </c>
      <c r="N380" s="29">
        <f>IF(A380="","",MONTH(A380))</f>
        <v>8</v>
      </c>
      <c r="O380" s="29">
        <f>IF(A380="","",YEAR(A380))</f>
        <v>2026</v>
      </c>
      <c r="P380" s="29" t="str">
        <f>IF(A380="","",CHOOSE(WEEKDAY(A380,2),"Segunda","Terça","Quarta","Quinta","Sexta","Sábado","Domingo"))</f>
        <v>Sexta</v>
      </c>
      <c r="Q380" s="29" t="str">
        <f>IF(B380="","",IF(B380&lt;TIME(12,0,0),"Manhã",IF(B380&lt;TIME(18,0,0),"Tarde","Noite")))</f>
        <v>Manhã</v>
      </c>
      <c r="R380" s="45">
        <f>IF(AND(H380="Realizado",L380&lt;&gt;""),L380/60,0)</f>
        <v>0.5</v>
      </c>
    </row>
    <row r="381">
      <c r="A381" s="42" t="n">
        <v>46241</v>
      </c>
      <c r="B381" s="43" t="n">
        <v>0.4861111111111111</v>
      </c>
      <c r="C381" s="37" t="inlineStr">
        <is>
          <t>Dr. Paulo Andrade</t>
        </is>
      </c>
      <c r="D381" s="37" t="inlineStr">
        <is>
          <t>Sala 2</t>
        </is>
      </c>
      <c r="E381" s="36" t="inlineStr">
        <is>
          <t>Gisele Pinto</t>
        </is>
      </c>
      <c r="F381" s="37" t="inlineStr">
        <is>
          <t>Saúde Total</t>
        </is>
      </c>
      <c r="G381" s="37" t="inlineStr">
        <is>
          <t>Retorno</t>
        </is>
      </c>
      <c r="H381" s="37" t="inlineStr">
        <is>
          <t>Falta</t>
        </is>
      </c>
      <c r="I381" s="37" t="n"/>
      <c r="J381" s="37" t="n"/>
      <c r="K381" s="36" t="n"/>
      <c r="L381" s="44">
        <f>IF(G381="","",IFERROR(INDEX(Config!$K$5:$K$16,MATCH(G381,Config!$J$5:$J$16,0)),""))</f>
        <v>20</v>
      </c>
      <c r="M381" s="30">
        <f>IF(OR(G381="",F381=""),"",IFERROR(INDEX(Config!$M$5:$R$16,MATCH(G381,Config!$J$5:$J$16,0),MATCH(F381,Config!$H$5:$H$10,0)),""))</f>
        <v>0</v>
      </c>
      <c r="N381" s="29">
        <f>IF(A381="","",MONTH(A381))</f>
        <v>8</v>
      </c>
      <c r="O381" s="29">
        <f>IF(A381="","",YEAR(A381))</f>
        <v>2026</v>
      </c>
      <c r="P381" s="29" t="str">
        <f>IF(A381="","",CHOOSE(WEEKDAY(A381,2),"Segunda","Terça","Quarta","Quinta","Sexta","Sábado","Domingo"))</f>
        <v>Sexta</v>
      </c>
      <c r="Q381" s="29" t="str">
        <f>IF(B381="","",IF(B381&lt;TIME(12,0,0),"Manhã",IF(B381&lt;TIME(18,0,0),"Tarde","Noite")))</f>
        <v>Manhã</v>
      </c>
      <c r="R381" s="45">
        <f>IF(AND(H381="Realizado",L381&lt;&gt;""),L381/60,0)</f>
        <v>0</v>
      </c>
    </row>
    <row r="382">
      <c r="A382" s="42" t="n">
        <v>46244</v>
      </c>
      <c r="B382" s="43" t="n">
        <v>0.3333333333333333</v>
      </c>
      <c r="C382" s="37" t="inlineStr">
        <is>
          <t>Dra. Carolina Mendes</t>
        </is>
      </c>
      <c r="D382" s="37" t="inlineStr">
        <is>
          <t>Sala 1</t>
        </is>
      </c>
      <c r="E382" s="36" t="inlineStr">
        <is>
          <t>Sérgio Martins</t>
        </is>
      </c>
      <c r="F382" s="37" t="inlineStr">
        <is>
          <t>Particular</t>
        </is>
      </c>
      <c r="G382" s="37" t="inlineStr">
        <is>
          <t>Consulta</t>
        </is>
      </c>
      <c r="H382" s="37" t="inlineStr">
        <is>
          <t>Realizado</t>
        </is>
      </c>
      <c r="I382" s="37" t="inlineStr">
        <is>
          <t>A prazo</t>
        </is>
      </c>
      <c r="J382" s="37" t="n"/>
      <c r="K382" s="36" t="n"/>
      <c r="L382" s="44">
        <f>IF(G382="","",IFERROR(INDEX(Config!$K$5:$K$16,MATCH(G382,Config!$J$5:$J$16,0)),""))</f>
        <v>30</v>
      </c>
      <c r="M382" s="30">
        <f>IF(OR(G382="",F382=""),"",IFERROR(INDEX(Config!$M$5:$R$16,MATCH(G382,Config!$J$5:$J$16,0),MATCH(F382,Config!$H$5:$H$10,0)),""))</f>
        <v>380</v>
      </c>
      <c r="N382" s="29">
        <f>IF(A382="","",MONTH(A382))</f>
        <v>8</v>
      </c>
      <c r="O382" s="29">
        <f>IF(A382="","",YEAR(A382))</f>
        <v>2026</v>
      </c>
      <c r="P382" s="29" t="str">
        <f>IF(A382="","",CHOOSE(WEEKDAY(A382,2),"Segunda","Terça","Quarta","Quinta","Sexta","Sábado","Domingo"))</f>
        <v>Segunda</v>
      </c>
      <c r="Q382" s="29" t="str">
        <f>IF(B382="","",IF(B382&lt;TIME(12,0,0),"Manhã",IF(B382&lt;TIME(18,0,0),"Tarde","Noite")))</f>
        <v>Manhã</v>
      </c>
      <c r="R382" s="45">
        <f>IF(AND(H382="Realizado",L382&lt;&gt;""),L382/60,0)</f>
        <v>0.5</v>
      </c>
    </row>
    <row r="383">
      <c r="A383" s="42" t="n">
        <v>46244</v>
      </c>
      <c r="B383" s="43" t="n">
        <v>0.3541666666666667</v>
      </c>
      <c r="C383" s="37" t="inlineStr">
        <is>
          <t>Dra. Carolina Mendes</t>
        </is>
      </c>
      <c r="D383" s="37" t="inlineStr">
        <is>
          <t>Sala 1</t>
        </is>
      </c>
      <c r="E383" s="36" t="inlineStr">
        <is>
          <t>Mariana Nascimento</t>
        </is>
      </c>
      <c r="F383" s="37" t="inlineStr">
        <is>
          <t>Particular</t>
        </is>
      </c>
      <c r="G383" s="37" t="inlineStr">
        <is>
          <t>Retorno</t>
        </is>
      </c>
      <c r="H383" s="37" t="inlineStr">
        <is>
          <t>Realizado</t>
        </is>
      </c>
      <c r="I383" s="37" t="inlineStr">
        <is>
          <t>Sem cobrança</t>
        </is>
      </c>
      <c r="J383" s="37" t="n"/>
      <c r="K383" s="36" t="n"/>
      <c r="L383" s="44">
        <f>IF(G383="","",IFERROR(INDEX(Config!$K$5:$K$16,MATCH(G383,Config!$J$5:$J$16,0)),""))</f>
        <v>20</v>
      </c>
      <c r="M383" s="30">
        <f>IF(OR(G383="",F383=""),"",IFERROR(INDEX(Config!$M$5:$R$16,MATCH(G383,Config!$J$5:$J$16,0),MATCH(F383,Config!$H$5:$H$10,0)),""))</f>
        <v>0</v>
      </c>
      <c r="N383" s="29">
        <f>IF(A383="","",MONTH(A383))</f>
        <v>8</v>
      </c>
      <c r="O383" s="29">
        <f>IF(A383="","",YEAR(A383))</f>
        <v>2026</v>
      </c>
      <c r="P383" s="29" t="str">
        <f>IF(A383="","",CHOOSE(WEEKDAY(A383,2),"Segunda","Terça","Quarta","Quinta","Sexta","Sábado","Domingo"))</f>
        <v>Segunda</v>
      </c>
      <c r="Q383" s="29" t="str">
        <f>IF(B383="","",IF(B383&lt;TIME(12,0,0),"Manhã",IF(B383&lt;TIME(18,0,0),"Tarde","Noite")))</f>
        <v>Manhã</v>
      </c>
      <c r="R383" s="45">
        <f>IF(AND(H383="Realizado",L383&lt;&gt;""),L383/60,0)</f>
        <v>0.333333333333333</v>
      </c>
    </row>
    <row r="384">
      <c r="A384" s="42" t="n">
        <v>46244</v>
      </c>
      <c r="B384" s="43" t="n">
        <v>0.3680555555555556</v>
      </c>
      <c r="C384" s="37" t="inlineStr">
        <is>
          <t>Dra. Carolina Mendes</t>
        </is>
      </c>
      <c r="D384" s="37" t="inlineStr">
        <is>
          <t>Sala 1</t>
        </is>
      </c>
      <c r="E384" s="36" t="inlineStr">
        <is>
          <t>Mônica Teixeira</t>
        </is>
      </c>
      <c r="F384" s="37" t="inlineStr">
        <is>
          <t>Vida Care</t>
        </is>
      </c>
      <c r="G384" s="37" t="inlineStr">
        <is>
          <t>Consulta</t>
        </is>
      </c>
      <c r="H384" s="37" t="inlineStr">
        <is>
          <t>Realizado</t>
        </is>
      </c>
      <c r="I384" s="37" t="inlineStr">
        <is>
          <t>Convênio</t>
        </is>
      </c>
      <c r="J384" s="37" t="n"/>
      <c r="K384" s="36" t="n"/>
      <c r="L384" s="44">
        <f>IF(G384="","",IFERROR(INDEX(Config!$K$5:$K$16,MATCH(G384,Config!$J$5:$J$16,0)),""))</f>
        <v>30</v>
      </c>
      <c r="M384" s="30">
        <f>IF(OR(G384="",F384=""),"",IFERROR(INDEX(Config!$M$5:$R$16,MATCH(G384,Config!$J$5:$J$16,0),MATCH(F384,Config!$H$5:$H$10,0)),""))</f>
        <v>90</v>
      </c>
      <c r="N384" s="29">
        <f>IF(A384="","",MONTH(A384))</f>
        <v>8</v>
      </c>
      <c r="O384" s="29">
        <f>IF(A384="","",YEAR(A384))</f>
        <v>2026</v>
      </c>
      <c r="P384" s="29" t="str">
        <f>IF(A384="","",CHOOSE(WEEKDAY(A384,2),"Segunda","Terça","Quarta","Quinta","Sexta","Sábado","Domingo"))</f>
        <v>Segunda</v>
      </c>
      <c r="Q384" s="29" t="str">
        <f>IF(B384="","",IF(B384&lt;TIME(12,0,0),"Manhã",IF(B384&lt;TIME(18,0,0),"Tarde","Noite")))</f>
        <v>Manhã</v>
      </c>
      <c r="R384" s="45">
        <f>IF(AND(H384="Realizado",L384&lt;&gt;""),L384/60,0)</f>
        <v>0.5</v>
      </c>
    </row>
    <row r="385">
      <c r="A385" s="42" t="n">
        <v>46244</v>
      </c>
      <c r="B385" s="43" t="n">
        <v>0.3888888888888889</v>
      </c>
      <c r="C385" s="37" t="inlineStr">
        <is>
          <t>Dra. Carolina Mendes</t>
        </is>
      </c>
      <c r="D385" s="37" t="inlineStr">
        <is>
          <t>Sala 1</t>
        </is>
      </c>
      <c r="E385" s="36" t="inlineStr">
        <is>
          <t>Priscila Nunes</t>
        </is>
      </c>
      <c r="F385" s="37" t="inlineStr">
        <is>
          <t>MediPlan</t>
        </is>
      </c>
      <c r="G385" s="37" t="inlineStr">
        <is>
          <t>Retorno</t>
        </is>
      </c>
      <c r="H385" s="37" t="inlineStr">
        <is>
          <t>Realizado</t>
        </is>
      </c>
      <c r="I385" s="37" t="inlineStr">
        <is>
          <t>Sem cobrança</t>
        </is>
      </c>
      <c r="J385" s="37" t="n"/>
      <c r="K385" s="36" t="n"/>
      <c r="L385" s="44">
        <f>IF(G385="","",IFERROR(INDEX(Config!$K$5:$K$16,MATCH(G385,Config!$J$5:$J$16,0)),""))</f>
        <v>20</v>
      </c>
      <c r="M385" s="30">
        <f>IF(OR(G385="",F385=""),"",IFERROR(INDEX(Config!$M$5:$R$16,MATCH(G385,Config!$J$5:$J$16,0),MATCH(F385,Config!$H$5:$H$10,0)),""))</f>
        <v>0</v>
      </c>
      <c r="N385" s="29">
        <f>IF(A385="","",MONTH(A385))</f>
        <v>8</v>
      </c>
      <c r="O385" s="29">
        <f>IF(A385="","",YEAR(A385))</f>
        <v>2026</v>
      </c>
      <c r="P385" s="29" t="str">
        <f>IF(A385="","",CHOOSE(WEEKDAY(A385,2),"Segunda","Terça","Quarta","Quinta","Sexta","Sábado","Domingo"))</f>
        <v>Segunda</v>
      </c>
      <c r="Q385" s="29" t="str">
        <f>IF(B385="","",IF(B385&lt;TIME(12,0,0),"Manhã",IF(B385&lt;TIME(18,0,0),"Tarde","Noite")))</f>
        <v>Manhã</v>
      </c>
      <c r="R385" s="45">
        <f>IF(AND(H385="Realizado",L385&lt;&gt;""),L385/60,0)</f>
        <v>0.333333333333333</v>
      </c>
    </row>
    <row r="386">
      <c r="A386" s="42" t="n">
        <v>46244</v>
      </c>
      <c r="B386" s="43" t="n">
        <v>0.4027777777777778</v>
      </c>
      <c r="C386" s="37" t="inlineStr">
        <is>
          <t>Dra. Carolina Mendes</t>
        </is>
      </c>
      <c r="D386" s="37" t="inlineStr">
        <is>
          <t>Sala 1</t>
        </is>
      </c>
      <c r="E386" s="36" t="inlineStr">
        <is>
          <t>Carlos Barros</t>
        </is>
      </c>
      <c r="F386" s="37" t="inlineStr">
        <is>
          <t>MediPlan</t>
        </is>
      </c>
      <c r="G386" s="37" t="inlineStr">
        <is>
          <t>Consulta</t>
        </is>
      </c>
      <c r="H386" s="37" t="inlineStr">
        <is>
          <t>Realizado</t>
        </is>
      </c>
      <c r="I386" s="37" t="inlineStr">
        <is>
          <t>Convênio</t>
        </is>
      </c>
      <c r="J386" s="37" t="n"/>
      <c r="K386" s="36" t="n"/>
      <c r="L386" s="44">
        <f>IF(G386="","",IFERROR(INDEX(Config!$K$5:$K$16,MATCH(G386,Config!$J$5:$J$16,0)),""))</f>
        <v>30</v>
      </c>
      <c r="M386" s="30">
        <f>IF(OR(G386="",F386=""),"",IFERROR(INDEX(Config!$M$5:$R$16,MATCH(G386,Config!$J$5:$J$16,0),MATCH(F386,Config!$H$5:$H$10,0)),""))</f>
        <v>100</v>
      </c>
      <c r="N386" s="29">
        <f>IF(A386="","",MONTH(A386))</f>
        <v>8</v>
      </c>
      <c r="O386" s="29">
        <f>IF(A386="","",YEAR(A386))</f>
        <v>2026</v>
      </c>
      <c r="P386" s="29" t="str">
        <f>IF(A386="","",CHOOSE(WEEKDAY(A386,2),"Segunda","Terça","Quarta","Quinta","Sexta","Sábado","Domingo"))</f>
        <v>Segunda</v>
      </c>
      <c r="Q386" s="29" t="str">
        <f>IF(B386="","",IF(B386&lt;TIME(12,0,0),"Manhã",IF(B386&lt;TIME(18,0,0),"Tarde","Noite")))</f>
        <v>Manhã</v>
      </c>
      <c r="R386" s="45">
        <f>IF(AND(H386="Realizado",L386&lt;&gt;""),L386/60,0)</f>
        <v>0.5</v>
      </c>
    </row>
    <row r="387">
      <c r="A387" s="42" t="n">
        <v>46244</v>
      </c>
      <c r="B387" s="43" t="n">
        <v>0.4652777777777778</v>
      </c>
      <c r="C387" s="37" t="inlineStr">
        <is>
          <t>Dra. Carolina Mendes</t>
        </is>
      </c>
      <c r="D387" s="37" t="inlineStr">
        <is>
          <t>Sala 1</t>
        </is>
      </c>
      <c r="E387" s="36" t="inlineStr">
        <is>
          <t>Roberta Fernandes</t>
        </is>
      </c>
      <c r="F387" s="37" t="inlineStr">
        <is>
          <t>Saúde Total</t>
        </is>
      </c>
      <c r="G387" s="37" t="inlineStr">
        <is>
          <t>Consulta</t>
        </is>
      </c>
      <c r="H387" s="37" t="inlineStr">
        <is>
          <t>Realizado</t>
        </is>
      </c>
      <c r="I387" s="37" t="inlineStr">
        <is>
          <t>Convênio</t>
        </is>
      </c>
      <c r="J387" s="37" t="n"/>
      <c r="K387" s="36" t="n"/>
      <c r="L387" s="44">
        <f>IF(G387="","",IFERROR(INDEX(Config!$K$5:$K$16,MATCH(G387,Config!$J$5:$J$16,0)),""))</f>
        <v>30</v>
      </c>
      <c r="M387" s="30">
        <f>IF(OR(G387="",F387=""),"",IFERROR(INDEX(Config!$M$5:$R$16,MATCH(G387,Config!$J$5:$J$16,0),MATCH(F387,Config!$H$5:$H$10,0)),""))</f>
        <v>120</v>
      </c>
      <c r="N387" s="29">
        <f>IF(A387="","",MONTH(A387))</f>
        <v>8</v>
      </c>
      <c r="O387" s="29">
        <f>IF(A387="","",YEAR(A387))</f>
        <v>2026</v>
      </c>
      <c r="P387" s="29" t="str">
        <f>IF(A387="","",CHOOSE(WEEKDAY(A387,2),"Segunda","Terça","Quarta","Quinta","Sexta","Sábado","Domingo"))</f>
        <v>Segunda</v>
      </c>
      <c r="Q387" s="29" t="str">
        <f>IF(B387="","",IF(B387&lt;TIME(12,0,0),"Manhã",IF(B387&lt;TIME(18,0,0),"Tarde","Noite")))</f>
        <v>Manhã</v>
      </c>
      <c r="R387" s="45">
        <f>IF(AND(H387="Realizado",L387&lt;&gt;""),L387/60,0)</f>
        <v>0.5</v>
      </c>
    </row>
    <row r="388">
      <c r="A388" s="42" t="n">
        <v>46244</v>
      </c>
      <c r="B388" s="43" t="n">
        <v>0.4861111111111111</v>
      </c>
      <c r="C388" s="37" t="inlineStr">
        <is>
          <t>Dra. Carolina Mendes</t>
        </is>
      </c>
      <c r="D388" s="37" t="inlineStr">
        <is>
          <t>Sala 1</t>
        </is>
      </c>
      <c r="E388" s="36" t="inlineStr">
        <is>
          <t>Gustavo Barbosa</t>
        </is>
      </c>
      <c r="F388" s="37" t="inlineStr">
        <is>
          <t>Saúde Total</t>
        </is>
      </c>
      <c r="G388" s="37" t="inlineStr">
        <is>
          <t>Consulta</t>
        </is>
      </c>
      <c r="H388" s="37" t="inlineStr">
        <is>
          <t>Falta</t>
        </is>
      </c>
      <c r="I388" s="37" t="n"/>
      <c r="J388" s="37" t="n"/>
      <c r="K388" s="36" t="n"/>
      <c r="L388" s="44">
        <f>IF(G388="","",IFERROR(INDEX(Config!$K$5:$K$16,MATCH(G388,Config!$J$5:$J$16,0)),""))</f>
        <v>30</v>
      </c>
      <c r="M388" s="30">
        <f>IF(OR(G388="",F388=""),"",IFERROR(INDEX(Config!$M$5:$R$16,MATCH(G388,Config!$J$5:$J$16,0),MATCH(F388,Config!$H$5:$H$10,0)),""))</f>
        <v>120</v>
      </c>
      <c r="N388" s="29">
        <f>IF(A388="","",MONTH(A388))</f>
        <v>8</v>
      </c>
      <c r="O388" s="29">
        <f>IF(A388="","",YEAR(A388))</f>
        <v>2026</v>
      </c>
      <c r="P388" s="29" t="str">
        <f>IF(A388="","",CHOOSE(WEEKDAY(A388,2),"Segunda","Terça","Quarta","Quinta","Sexta","Sábado","Domingo"))</f>
        <v>Segunda</v>
      </c>
      <c r="Q388" s="29" t="str">
        <f>IF(B388="","",IF(B388&lt;TIME(12,0,0),"Manhã",IF(B388&lt;TIME(18,0,0),"Tarde","Noite")))</f>
        <v>Manhã</v>
      </c>
      <c r="R388" s="45">
        <f>IF(AND(H388="Realizado",L388&lt;&gt;""),L388/60,0)</f>
        <v>0</v>
      </c>
    </row>
    <row r="389">
      <c r="A389" s="42" t="n">
        <v>46244</v>
      </c>
      <c r="B389" s="43" t="n">
        <v>0.5833333333333334</v>
      </c>
      <c r="C389" s="37" t="inlineStr">
        <is>
          <t>Dr. Paulo Andrade</t>
        </is>
      </c>
      <c r="D389" s="37" t="inlineStr">
        <is>
          <t>Sala 2</t>
        </is>
      </c>
      <c r="E389" s="36" t="inlineStr">
        <is>
          <t>Natália Xavier</t>
        </is>
      </c>
      <c r="F389" s="37" t="inlineStr">
        <is>
          <t>MediPlan</t>
        </is>
      </c>
      <c r="G389" s="37" t="inlineStr">
        <is>
          <t>Retorno</t>
        </is>
      </c>
      <c r="H389" s="37" t="inlineStr">
        <is>
          <t>Realizado</t>
        </is>
      </c>
      <c r="I389" s="37" t="inlineStr">
        <is>
          <t>Sem cobrança</t>
        </is>
      </c>
      <c r="J389" s="37" t="n"/>
      <c r="K389" s="36" t="n"/>
      <c r="L389" s="44">
        <f>IF(G389="","",IFERROR(INDEX(Config!$K$5:$K$16,MATCH(G389,Config!$J$5:$J$16,0)),""))</f>
        <v>20</v>
      </c>
      <c r="M389" s="30">
        <f>IF(OR(G389="",F389=""),"",IFERROR(INDEX(Config!$M$5:$R$16,MATCH(G389,Config!$J$5:$J$16,0),MATCH(F389,Config!$H$5:$H$10,0)),""))</f>
        <v>0</v>
      </c>
      <c r="N389" s="29">
        <f>IF(A389="","",MONTH(A389))</f>
        <v>8</v>
      </c>
      <c r="O389" s="29">
        <f>IF(A389="","",YEAR(A389))</f>
        <v>2026</v>
      </c>
      <c r="P389" s="29" t="str">
        <f>IF(A389="","",CHOOSE(WEEKDAY(A389,2),"Segunda","Terça","Quarta","Quinta","Sexta","Sábado","Domingo"))</f>
        <v>Segunda</v>
      </c>
      <c r="Q389" s="29" t="str">
        <f>IF(B389="","",IF(B389&lt;TIME(12,0,0),"Manhã",IF(B389&lt;TIME(18,0,0),"Tarde","Noite")))</f>
        <v>Tarde</v>
      </c>
      <c r="R389" s="45">
        <f>IF(AND(H389="Realizado",L389&lt;&gt;""),L389/60,0)</f>
        <v>0.333333333333333</v>
      </c>
    </row>
    <row r="390">
      <c r="A390" s="42" t="n">
        <v>46244</v>
      </c>
      <c r="B390" s="43" t="n">
        <v>0.5972222222222222</v>
      </c>
      <c r="C390" s="37" t="inlineStr">
        <is>
          <t>Dr. Paulo Andrade</t>
        </is>
      </c>
      <c r="D390" s="37" t="inlineStr">
        <is>
          <t>Sala 2</t>
        </is>
      </c>
      <c r="E390" s="36" t="inlineStr">
        <is>
          <t>Helena Ribeiro</t>
        </is>
      </c>
      <c r="F390" s="37" t="inlineStr">
        <is>
          <t>MediPlan</t>
        </is>
      </c>
      <c r="G390" s="37" t="inlineStr">
        <is>
          <t>Consulta</t>
        </is>
      </c>
      <c r="H390" s="37" t="inlineStr">
        <is>
          <t>Realizado</t>
        </is>
      </c>
      <c r="I390" s="37" t="inlineStr">
        <is>
          <t>Convênio</t>
        </is>
      </c>
      <c r="J390" s="37" t="n"/>
      <c r="K390" s="36" t="n"/>
      <c r="L390" s="44">
        <f>IF(G390="","",IFERROR(INDEX(Config!$K$5:$K$16,MATCH(G390,Config!$J$5:$J$16,0)),""))</f>
        <v>30</v>
      </c>
      <c r="M390" s="30">
        <f>IF(OR(G390="",F390=""),"",IFERROR(INDEX(Config!$M$5:$R$16,MATCH(G390,Config!$J$5:$J$16,0),MATCH(F390,Config!$H$5:$H$10,0)),""))</f>
        <v>100</v>
      </c>
      <c r="N390" s="29">
        <f>IF(A390="","",MONTH(A390))</f>
        <v>8</v>
      </c>
      <c r="O390" s="29">
        <f>IF(A390="","",YEAR(A390))</f>
        <v>2026</v>
      </c>
      <c r="P390" s="29" t="str">
        <f>IF(A390="","",CHOOSE(WEEKDAY(A390,2),"Segunda","Terça","Quarta","Quinta","Sexta","Sábado","Domingo"))</f>
        <v>Segunda</v>
      </c>
      <c r="Q390" s="29" t="str">
        <f>IF(B390="","",IF(B390&lt;TIME(12,0,0),"Manhã",IF(B390&lt;TIME(18,0,0),"Tarde","Noite")))</f>
        <v>Tarde</v>
      </c>
      <c r="R390" s="45">
        <f>IF(AND(H390="Realizado",L390&lt;&gt;""),L390/60,0)</f>
        <v>0.5</v>
      </c>
    </row>
    <row r="391">
      <c r="A391" s="42" t="n">
        <v>46244</v>
      </c>
      <c r="B391" s="43" t="n">
        <v>0.6388888888888888</v>
      </c>
      <c r="C391" s="37" t="inlineStr">
        <is>
          <t>Dr. Paulo Andrade</t>
        </is>
      </c>
      <c r="D391" s="37" t="inlineStr">
        <is>
          <t>Sala 2</t>
        </is>
      </c>
      <c r="E391" s="36" t="inlineStr">
        <is>
          <t>Marcelo Moreira</t>
        </is>
      </c>
      <c r="F391" s="37" t="inlineStr">
        <is>
          <t>Particular</t>
        </is>
      </c>
      <c r="G391" s="37" t="inlineStr">
        <is>
          <t>Holter</t>
        </is>
      </c>
      <c r="H391" s="37" t="inlineStr">
        <is>
          <t>Realizado</t>
        </is>
      </c>
      <c r="I391" s="37" t="inlineStr">
        <is>
          <t>Cartão de débito</t>
        </is>
      </c>
      <c r="J391" s="37" t="n"/>
      <c r="K391" s="36" t="n"/>
      <c r="L391" s="44">
        <f>IF(G391="","",IFERROR(INDEX(Config!$K$5:$K$16,MATCH(G391,Config!$J$5:$J$16,0)),""))</f>
        <v>20</v>
      </c>
      <c r="M391" s="30">
        <f>IF(OR(G391="",F391=""),"",IFERROR(INDEX(Config!$M$5:$R$16,MATCH(G391,Config!$J$5:$J$16,0),MATCH(F391,Config!$H$5:$H$10,0)),""))</f>
        <v>350</v>
      </c>
      <c r="N391" s="29">
        <f>IF(A391="","",MONTH(A391))</f>
        <v>8</v>
      </c>
      <c r="O391" s="29">
        <f>IF(A391="","",YEAR(A391))</f>
        <v>2026</v>
      </c>
      <c r="P391" s="29" t="str">
        <f>IF(A391="","",CHOOSE(WEEKDAY(A391,2),"Segunda","Terça","Quarta","Quinta","Sexta","Sábado","Domingo"))</f>
        <v>Segunda</v>
      </c>
      <c r="Q391" s="29" t="str">
        <f>IF(B391="","",IF(B391&lt;TIME(12,0,0),"Manhã",IF(B391&lt;TIME(18,0,0),"Tarde","Noite")))</f>
        <v>Tarde</v>
      </c>
      <c r="R391" s="45">
        <f>IF(AND(H391="Realizado",L391&lt;&gt;""),L391/60,0)</f>
        <v>0.333333333333333</v>
      </c>
    </row>
    <row r="392">
      <c r="A392" s="42" t="n">
        <v>46244</v>
      </c>
      <c r="B392" s="43" t="n">
        <v>0.6527777777777778</v>
      </c>
      <c r="C392" s="37" t="inlineStr">
        <is>
          <t>Dr. Paulo Andrade</t>
        </is>
      </c>
      <c r="D392" s="37" t="inlineStr">
        <is>
          <t>Sala 2</t>
        </is>
      </c>
      <c r="E392" s="36" t="inlineStr">
        <is>
          <t>Otávio Martins</t>
        </is>
      </c>
      <c r="F392" s="37" t="inlineStr">
        <is>
          <t>MediPlan</t>
        </is>
      </c>
      <c r="G392" s="37" t="inlineStr">
        <is>
          <t>Consulta</t>
        </is>
      </c>
      <c r="H392" s="37" t="inlineStr">
        <is>
          <t>Realizado</t>
        </is>
      </c>
      <c r="I392" s="37" t="inlineStr">
        <is>
          <t>Convênio</t>
        </is>
      </c>
      <c r="J392" s="37" t="n"/>
      <c r="K392" s="36" t="n"/>
      <c r="L392" s="44">
        <f>IF(G392="","",IFERROR(INDEX(Config!$K$5:$K$16,MATCH(G392,Config!$J$5:$J$16,0)),""))</f>
        <v>30</v>
      </c>
      <c r="M392" s="30">
        <f>IF(OR(G392="",F392=""),"",IFERROR(INDEX(Config!$M$5:$R$16,MATCH(G392,Config!$J$5:$J$16,0),MATCH(F392,Config!$H$5:$H$10,0)),""))</f>
        <v>100</v>
      </c>
      <c r="N392" s="29">
        <f>IF(A392="","",MONTH(A392))</f>
        <v>8</v>
      </c>
      <c r="O392" s="29">
        <f>IF(A392="","",YEAR(A392))</f>
        <v>2026</v>
      </c>
      <c r="P392" s="29" t="str">
        <f>IF(A392="","",CHOOSE(WEEKDAY(A392,2),"Segunda","Terça","Quarta","Quinta","Sexta","Sábado","Domingo"))</f>
        <v>Segunda</v>
      </c>
      <c r="Q392" s="29" t="str">
        <f>IF(B392="","",IF(B392&lt;TIME(12,0,0),"Manhã",IF(B392&lt;TIME(18,0,0),"Tarde","Noite")))</f>
        <v>Tarde</v>
      </c>
      <c r="R392" s="45">
        <f>IF(AND(H392="Realizado",L392&lt;&gt;""),L392/60,0)</f>
        <v>0.5</v>
      </c>
    </row>
    <row r="393">
      <c r="A393" s="42" t="n">
        <v>46244</v>
      </c>
      <c r="B393" s="43" t="n">
        <v>0.6736111111111112</v>
      </c>
      <c r="C393" s="37" t="inlineStr">
        <is>
          <t>Dr. Paulo Andrade</t>
        </is>
      </c>
      <c r="D393" s="37" t="inlineStr">
        <is>
          <t>Sala 2</t>
        </is>
      </c>
      <c r="E393" s="36" t="inlineStr">
        <is>
          <t>Marcelo Santos</t>
        </is>
      </c>
      <c r="F393" s="37" t="inlineStr">
        <is>
          <t>Particular</t>
        </is>
      </c>
      <c r="G393" s="37" t="inlineStr">
        <is>
          <t>ECG</t>
        </is>
      </c>
      <c r="H393" s="37" t="inlineStr">
        <is>
          <t>Realizado</t>
        </is>
      </c>
      <c r="I393" s="37" t="inlineStr">
        <is>
          <t>Pix</t>
        </is>
      </c>
      <c r="J393" s="37" t="n"/>
      <c r="K393" s="36" t="n"/>
      <c r="L393" s="44">
        <f>IF(G393="","",IFERROR(INDEX(Config!$K$5:$K$16,MATCH(G393,Config!$J$5:$J$16,0)),""))</f>
        <v>20</v>
      </c>
      <c r="M393" s="30">
        <f>IF(OR(G393="",F393=""),"",IFERROR(INDEX(Config!$M$5:$R$16,MATCH(G393,Config!$J$5:$J$16,0),MATCH(F393,Config!$H$5:$H$10,0)),""))</f>
        <v>130</v>
      </c>
      <c r="N393" s="29">
        <f>IF(A393="","",MONTH(A393))</f>
        <v>8</v>
      </c>
      <c r="O393" s="29">
        <f>IF(A393="","",YEAR(A393))</f>
        <v>2026</v>
      </c>
      <c r="P393" s="29" t="str">
        <f>IF(A393="","",CHOOSE(WEEKDAY(A393,2),"Segunda","Terça","Quarta","Quinta","Sexta","Sábado","Domingo"))</f>
        <v>Segunda</v>
      </c>
      <c r="Q393" s="29" t="str">
        <f>IF(B393="","",IF(B393&lt;TIME(12,0,0),"Manhã",IF(B393&lt;TIME(18,0,0),"Tarde","Noite")))</f>
        <v>Tarde</v>
      </c>
      <c r="R393" s="45">
        <f>IF(AND(H393="Realizado",L393&lt;&gt;""),L393/60,0)</f>
        <v>0.333333333333333</v>
      </c>
    </row>
    <row r="394">
      <c r="A394" s="42" t="n">
        <v>46244</v>
      </c>
      <c r="B394" s="43" t="n">
        <v>0.7083333333333334</v>
      </c>
      <c r="C394" s="37" t="inlineStr">
        <is>
          <t>Dr. Paulo Andrade</t>
        </is>
      </c>
      <c r="D394" s="37" t="inlineStr">
        <is>
          <t>Sala 2</t>
        </is>
      </c>
      <c r="E394" s="36" t="inlineStr">
        <is>
          <t>Rafael Correia</t>
        </is>
      </c>
      <c r="F394" s="37" t="inlineStr">
        <is>
          <t>Particular</t>
        </is>
      </c>
      <c r="G394" s="37" t="inlineStr">
        <is>
          <t>Consulta</t>
        </is>
      </c>
      <c r="H394" s="37" t="inlineStr">
        <is>
          <t>Realizado</t>
        </is>
      </c>
      <c r="I394" s="37" t="inlineStr">
        <is>
          <t>Cartão de crédito</t>
        </is>
      </c>
      <c r="J394" s="37" t="n"/>
      <c r="K394" s="36" t="n"/>
      <c r="L394" s="44">
        <f>IF(G394="","",IFERROR(INDEX(Config!$K$5:$K$16,MATCH(G394,Config!$J$5:$J$16,0)),""))</f>
        <v>30</v>
      </c>
      <c r="M394" s="30">
        <f>IF(OR(G394="",F394=""),"",IFERROR(INDEX(Config!$M$5:$R$16,MATCH(G394,Config!$J$5:$J$16,0),MATCH(F394,Config!$H$5:$H$10,0)),""))</f>
        <v>380</v>
      </c>
      <c r="N394" s="29">
        <f>IF(A394="","",MONTH(A394))</f>
        <v>8</v>
      </c>
      <c r="O394" s="29">
        <f>IF(A394="","",YEAR(A394))</f>
        <v>2026</v>
      </c>
      <c r="P394" s="29" t="str">
        <f>IF(A394="","",CHOOSE(WEEKDAY(A394,2),"Segunda","Terça","Quarta","Quinta","Sexta","Sábado","Domingo"))</f>
        <v>Segunda</v>
      </c>
      <c r="Q394" s="29" t="str">
        <f>IF(B394="","",IF(B394&lt;TIME(12,0,0),"Manhã",IF(B394&lt;TIME(18,0,0),"Tarde","Noite")))</f>
        <v>Tarde</v>
      </c>
      <c r="R394" s="45">
        <f>IF(AND(H394="Realizado",L394&lt;&gt;""),L394/60,0)</f>
        <v>0.5</v>
      </c>
    </row>
    <row r="395">
      <c r="A395" s="42" t="n">
        <v>46244</v>
      </c>
      <c r="B395" s="43" t="n">
        <v>0.7291666666666666</v>
      </c>
      <c r="C395" s="37" t="inlineStr">
        <is>
          <t>Dr. Paulo Andrade</t>
        </is>
      </c>
      <c r="D395" s="37" t="inlineStr">
        <is>
          <t>Sala 2</t>
        </is>
      </c>
      <c r="E395" s="36" t="inlineStr">
        <is>
          <t>Sérgio Teixeira</t>
        </is>
      </c>
      <c r="F395" s="37" t="inlineStr">
        <is>
          <t>MediPlan</t>
        </is>
      </c>
      <c r="G395" s="37" t="inlineStr">
        <is>
          <t>Retorno</t>
        </is>
      </c>
      <c r="H395" s="37" t="inlineStr">
        <is>
          <t>Realizado</t>
        </is>
      </c>
      <c r="I395" s="37" t="inlineStr">
        <is>
          <t>Sem cobrança</t>
        </is>
      </c>
      <c r="J395" s="37" t="n"/>
      <c r="K395" s="36" t="n"/>
      <c r="L395" s="44">
        <f>IF(G395="","",IFERROR(INDEX(Config!$K$5:$K$16,MATCH(G395,Config!$J$5:$J$16,0)),""))</f>
        <v>20</v>
      </c>
      <c r="M395" s="30">
        <f>IF(OR(G395="",F395=""),"",IFERROR(INDEX(Config!$M$5:$R$16,MATCH(G395,Config!$J$5:$J$16,0),MATCH(F395,Config!$H$5:$H$10,0)),""))</f>
        <v>0</v>
      </c>
      <c r="N395" s="29">
        <f>IF(A395="","",MONTH(A395))</f>
        <v>8</v>
      </c>
      <c r="O395" s="29">
        <f>IF(A395="","",YEAR(A395))</f>
        <v>2026</v>
      </c>
      <c r="P395" s="29" t="str">
        <f>IF(A395="","",CHOOSE(WEEKDAY(A395,2),"Segunda","Terça","Quarta","Quinta","Sexta","Sábado","Domingo"))</f>
        <v>Segunda</v>
      </c>
      <c r="Q395" s="29" t="str">
        <f>IF(B395="","",IF(B395&lt;TIME(12,0,0),"Manhã",IF(B395&lt;TIME(18,0,0),"Tarde","Noite")))</f>
        <v>Tarde</v>
      </c>
      <c r="R395" s="45">
        <f>IF(AND(H395="Realizado",L395&lt;&gt;""),L395/60,0)</f>
        <v>0.333333333333333</v>
      </c>
    </row>
    <row r="396">
      <c r="A396" s="42" t="n">
        <v>46245</v>
      </c>
      <c r="B396" s="43" t="n">
        <v>0.3333333333333333</v>
      </c>
      <c r="C396" s="37" t="inlineStr">
        <is>
          <t>Dra. Carolina Mendes</t>
        </is>
      </c>
      <c r="D396" s="37" t="inlineStr">
        <is>
          <t>Sala 1</t>
        </is>
      </c>
      <c r="E396" s="36" t="inlineStr">
        <is>
          <t>Gisele Ribeiro</t>
        </is>
      </c>
      <c r="F396" s="37" t="inlineStr">
        <is>
          <t>Particular</t>
        </is>
      </c>
      <c r="G396" s="37" t="inlineStr">
        <is>
          <t>Retorno</t>
        </is>
      </c>
      <c r="H396" s="37" t="inlineStr">
        <is>
          <t>Realizado</t>
        </is>
      </c>
      <c r="I396" s="37" t="inlineStr">
        <is>
          <t>Sem cobrança</t>
        </is>
      </c>
      <c r="J396" s="37" t="n"/>
      <c r="K396" s="36" t="n"/>
      <c r="L396" s="44">
        <f>IF(G396="","",IFERROR(INDEX(Config!$K$5:$K$16,MATCH(G396,Config!$J$5:$J$16,0)),""))</f>
        <v>20</v>
      </c>
      <c r="M396" s="30">
        <f>IF(OR(G396="",F396=""),"",IFERROR(INDEX(Config!$M$5:$R$16,MATCH(G396,Config!$J$5:$J$16,0),MATCH(F396,Config!$H$5:$H$10,0)),""))</f>
        <v>0</v>
      </c>
      <c r="N396" s="29">
        <f>IF(A396="","",MONTH(A396))</f>
        <v>8</v>
      </c>
      <c r="O396" s="29">
        <f>IF(A396="","",YEAR(A396))</f>
        <v>2026</v>
      </c>
      <c r="P396" s="29" t="str">
        <f>IF(A396="","",CHOOSE(WEEKDAY(A396,2),"Segunda","Terça","Quarta","Quinta","Sexta","Sábado","Domingo"))</f>
        <v>Terça</v>
      </c>
      <c r="Q396" s="29" t="str">
        <f>IF(B396="","",IF(B396&lt;TIME(12,0,0),"Manhã",IF(B396&lt;TIME(18,0,0),"Tarde","Noite")))</f>
        <v>Manhã</v>
      </c>
      <c r="R396" s="45">
        <f>IF(AND(H396="Realizado",L396&lt;&gt;""),L396/60,0)</f>
        <v>0.333333333333333</v>
      </c>
    </row>
    <row r="397">
      <c r="A397" s="42" t="n">
        <v>46245</v>
      </c>
      <c r="B397" s="43" t="n">
        <v>0.3472222222222222</v>
      </c>
      <c r="C397" s="37" t="inlineStr">
        <is>
          <t>Dra. Carolina Mendes</t>
        </is>
      </c>
      <c r="D397" s="37" t="inlineStr">
        <is>
          <t>Sala 1</t>
        </is>
      </c>
      <c r="E397" s="36" t="inlineStr">
        <is>
          <t>Wagner Santos</t>
        </is>
      </c>
      <c r="F397" s="37" t="inlineStr">
        <is>
          <t>Particular</t>
        </is>
      </c>
      <c r="G397" s="37" t="inlineStr">
        <is>
          <t>Retorno</t>
        </is>
      </c>
      <c r="H397" s="37" t="inlineStr">
        <is>
          <t>Realizado</t>
        </is>
      </c>
      <c r="I397" s="37" t="inlineStr">
        <is>
          <t>Sem cobrança</t>
        </is>
      </c>
      <c r="J397" s="37" t="n"/>
      <c r="K397" s="36" t="n"/>
      <c r="L397" s="44">
        <f>IF(G397="","",IFERROR(INDEX(Config!$K$5:$K$16,MATCH(G397,Config!$J$5:$J$16,0)),""))</f>
        <v>20</v>
      </c>
      <c r="M397" s="30">
        <f>IF(OR(G397="",F397=""),"",IFERROR(INDEX(Config!$M$5:$R$16,MATCH(G397,Config!$J$5:$J$16,0),MATCH(F397,Config!$H$5:$H$10,0)),""))</f>
        <v>0</v>
      </c>
      <c r="N397" s="29">
        <f>IF(A397="","",MONTH(A397))</f>
        <v>8</v>
      </c>
      <c r="O397" s="29">
        <f>IF(A397="","",YEAR(A397))</f>
        <v>2026</v>
      </c>
      <c r="P397" s="29" t="str">
        <f>IF(A397="","",CHOOSE(WEEKDAY(A397,2),"Segunda","Terça","Quarta","Quinta","Sexta","Sábado","Domingo"))</f>
        <v>Terça</v>
      </c>
      <c r="Q397" s="29" t="str">
        <f>IF(B397="","",IF(B397&lt;TIME(12,0,0),"Manhã",IF(B397&lt;TIME(18,0,0),"Tarde","Noite")))</f>
        <v>Manhã</v>
      </c>
      <c r="R397" s="45">
        <f>IF(AND(H397="Realizado",L397&lt;&gt;""),L397/60,0)</f>
        <v>0.333333333333333</v>
      </c>
    </row>
    <row r="398">
      <c r="A398" s="42" t="n">
        <v>46245</v>
      </c>
      <c r="B398" s="43" t="n">
        <v>0.3611111111111111</v>
      </c>
      <c r="C398" s="37" t="inlineStr">
        <is>
          <t>Dra. Carolina Mendes</t>
        </is>
      </c>
      <c r="D398" s="37" t="inlineStr">
        <is>
          <t>Sala 1</t>
        </is>
      </c>
      <c r="E398" s="36" t="inlineStr">
        <is>
          <t>Mônica Batista</t>
        </is>
      </c>
      <c r="F398" s="37" t="inlineStr">
        <is>
          <t>MediPlan</t>
        </is>
      </c>
      <c r="G398" s="37" t="inlineStr">
        <is>
          <t>Consulta</t>
        </is>
      </c>
      <c r="H398" s="37" t="inlineStr">
        <is>
          <t>Remarcado</t>
        </is>
      </c>
      <c r="I398" s="37" t="n"/>
      <c r="J398" s="37" t="n"/>
      <c r="K398" s="36" t="inlineStr">
        <is>
          <t>Paciente pediu outra data</t>
        </is>
      </c>
      <c r="L398" s="44">
        <f>IF(G398="","",IFERROR(INDEX(Config!$K$5:$K$16,MATCH(G398,Config!$J$5:$J$16,0)),""))</f>
        <v>30</v>
      </c>
      <c r="M398" s="30">
        <f>IF(OR(G398="",F398=""),"",IFERROR(INDEX(Config!$M$5:$R$16,MATCH(G398,Config!$J$5:$J$16,0),MATCH(F398,Config!$H$5:$H$10,0)),""))</f>
        <v>100</v>
      </c>
      <c r="N398" s="29">
        <f>IF(A398="","",MONTH(A398))</f>
        <v>8</v>
      </c>
      <c r="O398" s="29">
        <f>IF(A398="","",YEAR(A398))</f>
        <v>2026</v>
      </c>
      <c r="P398" s="29" t="str">
        <f>IF(A398="","",CHOOSE(WEEKDAY(A398,2),"Segunda","Terça","Quarta","Quinta","Sexta","Sábado","Domingo"))</f>
        <v>Terça</v>
      </c>
      <c r="Q398" s="29" t="str">
        <f>IF(B398="","",IF(B398&lt;TIME(12,0,0),"Manhã",IF(B398&lt;TIME(18,0,0),"Tarde","Noite")))</f>
        <v>Manhã</v>
      </c>
      <c r="R398" s="45">
        <f>IF(AND(H398="Realizado",L398&lt;&gt;""),L398/60,0)</f>
        <v>0</v>
      </c>
    </row>
    <row r="399">
      <c r="A399" s="42" t="n">
        <v>46245</v>
      </c>
      <c r="B399" s="43" t="n">
        <v>0.4027777777777778</v>
      </c>
      <c r="C399" s="37" t="inlineStr">
        <is>
          <t>Dra. Carolina Mendes</t>
        </is>
      </c>
      <c r="D399" s="37" t="inlineStr">
        <is>
          <t>Sala 1</t>
        </is>
      </c>
      <c r="E399" s="36" t="inlineStr">
        <is>
          <t>Mônica Batista</t>
        </is>
      </c>
      <c r="F399" s="37" t="inlineStr">
        <is>
          <t>MediPlan</t>
        </is>
      </c>
      <c r="G399" s="37" t="inlineStr">
        <is>
          <t>Consulta</t>
        </is>
      </c>
      <c r="H399" s="37" t="inlineStr">
        <is>
          <t>Realizado</t>
        </is>
      </c>
      <c r="I399" s="37" t="inlineStr">
        <is>
          <t>Convênio</t>
        </is>
      </c>
      <c r="J399" s="37" t="n"/>
      <c r="K399" s="36" t="n"/>
      <c r="L399" s="44">
        <f>IF(G399="","",IFERROR(INDEX(Config!$K$5:$K$16,MATCH(G399,Config!$J$5:$J$16,0)),""))</f>
        <v>30</v>
      </c>
      <c r="M399" s="30">
        <f>IF(OR(G399="",F399=""),"",IFERROR(INDEX(Config!$M$5:$R$16,MATCH(G399,Config!$J$5:$J$16,0),MATCH(F399,Config!$H$5:$H$10,0)),""))</f>
        <v>100</v>
      </c>
      <c r="N399" s="29">
        <f>IF(A399="","",MONTH(A399))</f>
        <v>8</v>
      </c>
      <c r="O399" s="29">
        <f>IF(A399="","",YEAR(A399))</f>
        <v>2026</v>
      </c>
      <c r="P399" s="29" t="str">
        <f>IF(A399="","",CHOOSE(WEEKDAY(A399,2),"Segunda","Terça","Quarta","Quinta","Sexta","Sábado","Domingo"))</f>
        <v>Terça</v>
      </c>
      <c r="Q399" s="29" t="str">
        <f>IF(B399="","",IF(B399&lt;TIME(12,0,0),"Manhã",IF(B399&lt;TIME(18,0,0),"Tarde","Noite")))</f>
        <v>Manhã</v>
      </c>
      <c r="R399" s="45">
        <f>IF(AND(H399="Realizado",L399&lt;&gt;""),L399/60,0)</f>
        <v>0.5</v>
      </c>
    </row>
    <row r="400">
      <c r="A400" s="42" t="n">
        <v>46245</v>
      </c>
      <c r="B400" s="43" t="n">
        <v>0.4236111111111111</v>
      </c>
      <c r="C400" s="37" t="inlineStr">
        <is>
          <t>Dra. Carolina Mendes</t>
        </is>
      </c>
      <c r="D400" s="37" t="inlineStr">
        <is>
          <t>Sala 1</t>
        </is>
      </c>
      <c r="E400" s="36" t="inlineStr">
        <is>
          <t>Letícia Vieira</t>
        </is>
      </c>
      <c r="F400" s="37" t="inlineStr">
        <is>
          <t>Saúde Total</t>
        </is>
      </c>
      <c r="G400" s="37" t="inlineStr">
        <is>
          <t>Consulta</t>
        </is>
      </c>
      <c r="H400" s="37" t="inlineStr">
        <is>
          <t>Cancelado</t>
        </is>
      </c>
      <c r="I400" s="37" t="n"/>
      <c r="J400" s="37" t="n"/>
      <c r="K400" s="36" t="n"/>
      <c r="L400" s="44">
        <f>IF(G400="","",IFERROR(INDEX(Config!$K$5:$K$16,MATCH(G400,Config!$J$5:$J$16,0)),""))</f>
        <v>30</v>
      </c>
      <c r="M400" s="30">
        <f>IF(OR(G400="",F400=""),"",IFERROR(INDEX(Config!$M$5:$R$16,MATCH(G400,Config!$J$5:$J$16,0),MATCH(F400,Config!$H$5:$H$10,0)),""))</f>
        <v>120</v>
      </c>
      <c r="N400" s="29">
        <f>IF(A400="","",MONTH(A400))</f>
        <v>8</v>
      </c>
      <c r="O400" s="29">
        <f>IF(A400="","",YEAR(A400))</f>
        <v>2026</v>
      </c>
      <c r="P400" s="29" t="str">
        <f>IF(A400="","",CHOOSE(WEEKDAY(A400,2),"Segunda","Terça","Quarta","Quinta","Sexta","Sábado","Domingo"))</f>
        <v>Terça</v>
      </c>
      <c r="Q400" s="29" t="str">
        <f>IF(B400="","",IF(B400&lt;TIME(12,0,0),"Manhã",IF(B400&lt;TIME(18,0,0),"Tarde","Noite")))</f>
        <v>Manhã</v>
      </c>
      <c r="R400" s="45">
        <f>IF(AND(H400="Realizado",L400&lt;&gt;""),L400/60,0)</f>
        <v>0</v>
      </c>
    </row>
    <row r="401">
      <c r="A401" s="42" t="n">
        <v>46245</v>
      </c>
      <c r="B401" s="43" t="n">
        <v>0.4444444444444444</v>
      </c>
      <c r="C401" s="37" t="inlineStr">
        <is>
          <t>Dra. Carolina Mendes</t>
        </is>
      </c>
      <c r="D401" s="37" t="inlineStr">
        <is>
          <t>Sala 1</t>
        </is>
      </c>
      <c r="E401" s="36" t="inlineStr">
        <is>
          <t>Ana Costa</t>
        </is>
      </c>
      <c r="F401" s="37" t="inlineStr">
        <is>
          <t>Particular</t>
        </is>
      </c>
      <c r="G401" s="37" t="inlineStr">
        <is>
          <t>Consulta</t>
        </is>
      </c>
      <c r="H401" s="37" t="inlineStr">
        <is>
          <t>Realizado</t>
        </is>
      </c>
      <c r="I401" s="37" t="inlineStr">
        <is>
          <t>Cartão de crédito</t>
        </is>
      </c>
      <c r="J401" s="37" t="n">
        <v>2</v>
      </c>
      <c r="K401" s="36" t="n"/>
      <c r="L401" s="44">
        <f>IF(G401="","",IFERROR(INDEX(Config!$K$5:$K$16,MATCH(G401,Config!$J$5:$J$16,0)),""))</f>
        <v>30</v>
      </c>
      <c r="M401" s="30">
        <f>IF(OR(G401="",F401=""),"",IFERROR(INDEX(Config!$M$5:$R$16,MATCH(G401,Config!$J$5:$J$16,0),MATCH(F401,Config!$H$5:$H$10,0)),""))</f>
        <v>380</v>
      </c>
      <c r="N401" s="29">
        <f>IF(A401="","",MONTH(A401))</f>
        <v>8</v>
      </c>
      <c r="O401" s="29">
        <f>IF(A401="","",YEAR(A401))</f>
        <v>2026</v>
      </c>
      <c r="P401" s="29" t="str">
        <f>IF(A401="","",CHOOSE(WEEKDAY(A401,2),"Segunda","Terça","Quarta","Quinta","Sexta","Sábado","Domingo"))</f>
        <v>Terça</v>
      </c>
      <c r="Q401" s="29" t="str">
        <f>IF(B401="","",IF(B401&lt;TIME(12,0,0),"Manhã",IF(B401&lt;TIME(18,0,0),"Tarde","Noite")))</f>
        <v>Manhã</v>
      </c>
      <c r="R401" s="45">
        <f>IF(AND(H401="Realizado",L401&lt;&gt;""),L401/60,0)</f>
        <v>0.5</v>
      </c>
    </row>
    <row r="402">
      <c r="A402" s="42" t="n">
        <v>46245</v>
      </c>
      <c r="B402" s="43" t="n">
        <v>0.4652777777777778</v>
      </c>
      <c r="C402" s="37" t="inlineStr">
        <is>
          <t>Dra. Carolina Mendes</t>
        </is>
      </c>
      <c r="D402" s="37" t="inlineStr">
        <is>
          <t>Sala 1</t>
        </is>
      </c>
      <c r="E402" s="36" t="inlineStr">
        <is>
          <t>Gustavo Ferreira</t>
        </is>
      </c>
      <c r="F402" s="37" t="inlineStr">
        <is>
          <t>Particular</t>
        </is>
      </c>
      <c r="G402" s="37" t="inlineStr">
        <is>
          <t>Consulta</t>
        </is>
      </c>
      <c r="H402" s="37" t="inlineStr">
        <is>
          <t>Realizado</t>
        </is>
      </c>
      <c r="I402" s="37" t="inlineStr">
        <is>
          <t>Cartão de crédito</t>
        </is>
      </c>
      <c r="J402" s="37" t="n"/>
      <c r="K402" s="36" t="n"/>
      <c r="L402" s="44">
        <f>IF(G402="","",IFERROR(INDEX(Config!$K$5:$K$16,MATCH(G402,Config!$J$5:$J$16,0)),""))</f>
        <v>30</v>
      </c>
      <c r="M402" s="30">
        <f>IF(OR(G402="",F402=""),"",IFERROR(INDEX(Config!$M$5:$R$16,MATCH(G402,Config!$J$5:$J$16,0),MATCH(F402,Config!$H$5:$H$10,0)),""))</f>
        <v>380</v>
      </c>
      <c r="N402" s="29">
        <f>IF(A402="","",MONTH(A402))</f>
        <v>8</v>
      </c>
      <c r="O402" s="29">
        <f>IF(A402="","",YEAR(A402))</f>
        <v>2026</v>
      </c>
      <c r="P402" s="29" t="str">
        <f>IF(A402="","",CHOOSE(WEEKDAY(A402,2),"Segunda","Terça","Quarta","Quinta","Sexta","Sábado","Domingo"))</f>
        <v>Terça</v>
      </c>
      <c r="Q402" s="29" t="str">
        <f>IF(B402="","",IF(B402&lt;TIME(12,0,0),"Manhã",IF(B402&lt;TIME(18,0,0),"Tarde","Noite")))</f>
        <v>Manhã</v>
      </c>
      <c r="R402" s="45">
        <f>IF(AND(H402="Realizado",L402&lt;&gt;""),L402/60,0)</f>
        <v>0.5</v>
      </c>
    </row>
    <row r="403">
      <c r="A403" s="42" t="n">
        <v>46245</v>
      </c>
      <c r="B403" s="43" t="n">
        <v>0.4861111111111111</v>
      </c>
      <c r="C403" s="37" t="inlineStr">
        <is>
          <t>Dra. Carolina Mendes</t>
        </is>
      </c>
      <c r="D403" s="37" t="inlineStr">
        <is>
          <t>Sala 1</t>
        </is>
      </c>
      <c r="E403" s="36" t="inlineStr">
        <is>
          <t>Tatiana Rocha</t>
        </is>
      </c>
      <c r="F403" s="37" t="inlineStr">
        <is>
          <t>Vida Care</t>
        </is>
      </c>
      <c r="G403" s="37" t="inlineStr">
        <is>
          <t>Consulta</t>
        </is>
      </c>
      <c r="H403" s="37" t="inlineStr">
        <is>
          <t>Realizado</t>
        </is>
      </c>
      <c r="I403" s="37" t="inlineStr">
        <is>
          <t>Convênio</t>
        </is>
      </c>
      <c r="J403" s="37" t="n"/>
      <c r="K403" s="36" t="n"/>
      <c r="L403" s="44">
        <f>IF(G403="","",IFERROR(INDEX(Config!$K$5:$K$16,MATCH(G403,Config!$J$5:$J$16,0)),""))</f>
        <v>30</v>
      </c>
      <c r="M403" s="30">
        <f>IF(OR(G403="",F403=""),"",IFERROR(INDEX(Config!$M$5:$R$16,MATCH(G403,Config!$J$5:$J$16,0),MATCH(F403,Config!$H$5:$H$10,0)),""))</f>
        <v>90</v>
      </c>
      <c r="N403" s="29">
        <f>IF(A403="","",MONTH(A403))</f>
        <v>8</v>
      </c>
      <c r="O403" s="29">
        <f>IF(A403="","",YEAR(A403))</f>
        <v>2026</v>
      </c>
      <c r="P403" s="29" t="str">
        <f>IF(A403="","",CHOOSE(WEEKDAY(A403,2),"Segunda","Terça","Quarta","Quinta","Sexta","Sábado","Domingo"))</f>
        <v>Terça</v>
      </c>
      <c r="Q403" s="29" t="str">
        <f>IF(B403="","",IF(B403&lt;TIME(12,0,0),"Manhã",IF(B403&lt;TIME(18,0,0),"Tarde","Noite")))</f>
        <v>Manhã</v>
      </c>
      <c r="R403" s="45">
        <f>IF(AND(H403="Realizado",L403&lt;&gt;""),L403/60,0)</f>
        <v>0.5</v>
      </c>
    </row>
    <row r="404">
      <c r="A404" s="42" t="n">
        <v>46245</v>
      </c>
      <c r="B404" s="43" t="n">
        <v>0.5833333333333334</v>
      </c>
      <c r="C404" s="37" t="inlineStr">
        <is>
          <t>Dra. Renata Sousa</t>
        </is>
      </c>
      <c r="D404" s="37" t="inlineStr">
        <is>
          <t>Sala 1</t>
        </is>
      </c>
      <c r="E404" s="36" t="inlineStr">
        <is>
          <t>Carlos Freitas</t>
        </is>
      </c>
      <c r="F404" s="37" t="inlineStr">
        <is>
          <t>Particular</t>
        </is>
      </c>
      <c r="G404" s="37" t="inlineStr">
        <is>
          <t>Retorno</t>
        </is>
      </c>
      <c r="H404" s="37" t="inlineStr">
        <is>
          <t>Realizado</t>
        </is>
      </c>
      <c r="I404" s="37" t="inlineStr">
        <is>
          <t>Sem cobrança</t>
        </is>
      </c>
      <c r="J404" s="37" t="n"/>
      <c r="K404" s="36" t="n"/>
      <c r="L404" s="44">
        <f>IF(G404="","",IFERROR(INDEX(Config!$K$5:$K$16,MATCH(G404,Config!$J$5:$J$16,0)),""))</f>
        <v>20</v>
      </c>
      <c r="M404" s="30">
        <f>IF(OR(G404="",F404=""),"",IFERROR(INDEX(Config!$M$5:$R$16,MATCH(G404,Config!$J$5:$J$16,0),MATCH(F404,Config!$H$5:$H$10,0)),""))</f>
        <v>0</v>
      </c>
      <c r="N404" s="29">
        <f>IF(A404="","",MONTH(A404))</f>
        <v>8</v>
      </c>
      <c r="O404" s="29">
        <f>IF(A404="","",YEAR(A404))</f>
        <v>2026</v>
      </c>
      <c r="P404" s="29" t="str">
        <f>IF(A404="","",CHOOSE(WEEKDAY(A404,2),"Segunda","Terça","Quarta","Quinta","Sexta","Sábado","Domingo"))</f>
        <v>Terça</v>
      </c>
      <c r="Q404" s="29" t="str">
        <f>IF(B404="","",IF(B404&lt;TIME(12,0,0),"Manhã",IF(B404&lt;TIME(18,0,0),"Tarde","Noite")))</f>
        <v>Tarde</v>
      </c>
      <c r="R404" s="45">
        <f>IF(AND(H404="Realizado",L404&lt;&gt;""),L404/60,0)</f>
        <v>0.333333333333333</v>
      </c>
    </row>
    <row r="405">
      <c r="A405" s="42" t="n">
        <v>46245</v>
      </c>
      <c r="B405" s="43" t="n">
        <v>0.5833333333333334</v>
      </c>
      <c r="C405" s="37" t="inlineStr">
        <is>
          <t>Dr. Paulo Andrade</t>
        </is>
      </c>
      <c r="D405" s="37" t="inlineStr">
        <is>
          <t>Sala 2</t>
        </is>
      </c>
      <c r="E405" s="36" t="inlineStr">
        <is>
          <t>Larissa Costa</t>
        </is>
      </c>
      <c r="F405" s="37" t="inlineStr">
        <is>
          <t>Particular</t>
        </is>
      </c>
      <c r="G405" s="37" t="inlineStr">
        <is>
          <t>Holter</t>
        </is>
      </c>
      <c r="H405" s="37" t="inlineStr">
        <is>
          <t>Realizado</t>
        </is>
      </c>
      <c r="I405" s="37" t="inlineStr">
        <is>
          <t>Cartão de débito</t>
        </is>
      </c>
      <c r="J405" s="37" t="n"/>
      <c r="K405" s="36" t="n"/>
      <c r="L405" s="44">
        <f>IF(G405="","",IFERROR(INDEX(Config!$K$5:$K$16,MATCH(G405,Config!$J$5:$J$16,0)),""))</f>
        <v>20</v>
      </c>
      <c r="M405" s="30">
        <f>IF(OR(G405="",F405=""),"",IFERROR(INDEX(Config!$M$5:$R$16,MATCH(G405,Config!$J$5:$J$16,0),MATCH(F405,Config!$H$5:$H$10,0)),""))</f>
        <v>350</v>
      </c>
      <c r="N405" s="29">
        <f>IF(A405="","",MONTH(A405))</f>
        <v>8</v>
      </c>
      <c r="O405" s="29">
        <f>IF(A405="","",YEAR(A405))</f>
        <v>2026</v>
      </c>
      <c r="P405" s="29" t="str">
        <f>IF(A405="","",CHOOSE(WEEKDAY(A405,2),"Segunda","Terça","Quarta","Quinta","Sexta","Sábado","Domingo"))</f>
        <v>Terça</v>
      </c>
      <c r="Q405" s="29" t="str">
        <f>IF(B405="","",IF(B405&lt;TIME(12,0,0),"Manhã",IF(B405&lt;TIME(18,0,0),"Tarde","Noite")))</f>
        <v>Tarde</v>
      </c>
      <c r="R405" s="45">
        <f>IF(AND(H405="Realizado",L405&lt;&gt;""),L405/60,0)</f>
        <v>0.333333333333333</v>
      </c>
    </row>
    <row r="406">
      <c r="A406" s="42" t="n">
        <v>46245</v>
      </c>
      <c r="B406" s="43" t="n">
        <v>0.5972222222222222</v>
      </c>
      <c r="C406" s="37" t="inlineStr">
        <is>
          <t>Dra. Renata Sousa</t>
        </is>
      </c>
      <c r="D406" s="37" t="inlineStr">
        <is>
          <t>Sala 1</t>
        </is>
      </c>
      <c r="E406" s="36" t="inlineStr">
        <is>
          <t>Rafael Nascimento</t>
        </is>
      </c>
      <c r="F406" s="37" t="inlineStr">
        <is>
          <t>Saúde Total</t>
        </is>
      </c>
      <c r="G406" s="37" t="inlineStr">
        <is>
          <t>Avaliação endócrina</t>
        </is>
      </c>
      <c r="H406" s="37" t="inlineStr">
        <is>
          <t>Realizado</t>
        </is>
      </c>
      <c r="I406" s="37" t="inlineStr">
        <is>
          <t>Convênio</t>
        </is>
      </c>
      <c r="J406" s="37" t="n"/>
      <c r="K406" s="36" t="n"/>
      <c r="L406" s="44">
        <f>IF(G406="","",IFERROR(INDEX(Config!$K$5:$K$16,MATCH(G406,Config!$J$5:$J$16,0)),""))</f>
        <v>40</v>
      </c>
      <c r="M406" s="30">
        <f>IF(OR(G406="",F406=""),"",IFERROR(INDEX(Config!$M$5:$R$16,MATCH(G406,Config!$J$5:$J$16,0),MATCH(F406,Config!$H$5:$H$10,0)),""))</f>
        <v>130</v>
      </c>
      <c r="N406" s="29">
        <f>IF(A406="","",MONTH(A406))</f>
        <v>8</v>
      </c>
      <c r="O406" s="29">
        <f>IF(A406="","",YEAR(A406))</f>
        <v>2026</v>
      </c>
      <c r="P406" s="29" t="str">
        <f>IF(A406="","",CHOOSE(WEEKDAY(A406,2),"Segunda","Terça","Quarta","Quinta","Sexta","Sábado","Domingo"))</f>
        <v>Terça</v>
      </c>
      <c r="Q406" s="29" t="str">
        <f>IF(B406="","",IF(B406&lt;TIME(12,0,0),"Manhã",IF(B406&lt;TIME(18,0,0),"Tarde","Noite")))</f>
        <v>Tarde</v>
      </c>
      <c r="R406" s="45">
        <f>IF(AND(H406="Realizado",L406&lt;&gt;""),L406/60,0)</f>
        <v>0.666666666666667</v>
      </c>
    </row>
    <row r="407">
      <c r="A407" s="42" t="n">
        <v>46245</v>
      </c>
      <c r="B407" s="43" t="n">
        <v>0.5972222222222222</v>
      </c>
      <c r="C407" s="37" t="inlineStr">
        <is>
          <t>Dr. Paulo Andrade</t>
        </is>
      </c>
      <c r="D407" s="37" t="inlineStr">
        <is>
          <t>Sala 2</t>
        </is>
      </c>
      <c r="E407" s="36" t="inlineStr">
        <is>
          <t>Rodrigo Teixeira</t>
        </is>
      </c>
      <c r="F407" s="37" t="inlineStr">
        <is>
          <t>Vida Care</t>
        </is>
      </c>
      <c r="G407" s="37" t="inlineStr">
        <is>
          <t>Holter</t>
        </is>
      </c>
      <c r="H407" s="37" t="inlineStr">
        <is>
          <t>Realizado</t>
        </is>
      </c>
      <c r="I407" s="37" t="inlineStr">
        <is>
          <t>Convênio</t>
        </is>
      </c>
      <c r="J407" s="37" t="n"/>
      <c r="K407" s="36" t="n"/>
      <c r="L407" s="44">
        <f>IF(G407="","",IFERROR(INDEX(Config!$K$5:$K$16,MATCH(G407,Config!$J$5:$J$16,0)),""))</f>
        <v>20</v>
      </c>
      <c r="M407" s="30">
        <f>IF(OR(G407="",F407=""),"",IFERROR(INDEX(Config!$M$5:$R$16,MATCH(G407,Config!$J$5:$J$16,0),MATCH(F407,Config!$H$5:$H$10,0)),""))</f>
        <v>85</v>
      </c>
      <c r="N407" s="29">
        <f>IF(A407="","",MONTH(A407))</f>
        <v>8</v>
      </c>
      <c r="O407" s="29">
        <f>IF(A407="","",YEAR(A407))</f>
        <v>2026</v>
      </c>
      <c r="P407" s="29" t="str">
        <f>IF(A407="","",CHOOSE(WEEKDAY(A407,2),"Segunda","Terça","Quarta","Quinta","Sexta","Sábado","Domingo"))</f>
        <v>Terça</v>
      </c>
      <c r="Q407" s="29" t="str">
        <f>IF(B407="","",IF(B407&lt;TIME(12,0,0),"Manhã",IF(B407&lt;TIME(18,0,0),"Tarde","Noite")))</f>
        <v>Tarde</v>
      </c>
      <c r="R407" s="45">
        <f>IF(AND(H407="Realizado",L407&lt;&gt;""),L407/60,0)</f>
        <v>0.333333333333333</v>
      </c>
    </row>
    <row r="408">
      <c r="A408" s="42" t="n">
        <v>46245</v>
      </c>
      <c r="B408" s="43" t="n">
        <v>0.6111111111111112</v>
      </c>
      <c r="C408" s="37" t="inlineStr">
        <is>
          <t>Dr. Paulo Andrade</t>
        </is>
      </c>
      <c r="D408" s="37" t="inlineStr">
        <is>
          <t>Sala 2</t>
        </is>
      </c>
      <c r="E408" s="36" t="inlineStr">
        <is>
          <t>Regina Duarte</t>
        </is>
      </c>
      <c r="F408" s="37" t="inlineStr">
        <is>
          <t>Particular</t>
        </is>
      </c>
      <c r="G408" s="37" t="inlineStr">
        <is>
          <t>Teste ergométrico</t>
        </is>
      </c>
      <c r="H408" s="37" t="inlineStr">
        <is>
          <t>Realizado</t>
        </is>
      </c>
      <c r="I408" s="37" t="inlineStr">
        <is>
          <t>Pix</t>
        </is>
      </c>
      <c r="J408" s="37" t="n"/>
      <c r="K408" s="36" t="n"/>
      <c r="L408" s="44">
        <f>IF(G408="","",IFERROR(INDEX(Config!$K$5:$K$16,MATCH(G408,Config!$J$5:$J$16,0)),""))</f>
        <v>40</v>
      </c>
      <c r="M408" s="30">
        <f>IF(OR(G408="",F408=""),"",IFERROR(INDEX(Config!$M$5:$R$16,MATCH(G408,Config!$J$5:$J$16,0),MATCH(F408,Config!$H$5:$H$10,0)),""))</f>
        <v>450</v>
      </c>
      <c r="N408" s="29">
        <f>IF(A408="","",MONTH(A408))</f>
        <v>8</v>
      </c>
      <c r="O408" s="29">
        <f>IF(A408="","",YEAR(A408))</f>
        <v>2026</v>
      </c>
      <c r="P408" s="29" t="str">
        <f>IF(A408="","",CHOOSE(WEEKDAY(A408,2),"Segunda","Terça","Quarta","Quinta","Sexta","Sábado","Domingo"))</f>
        <v>Terça</v>
      </c>
      <c r="Q408" s="29" t="str">
        <f>IF(B408="","",IF(B408&lt;TIME(12,0,0),"Manhã",IF(B408&lt;TIME(18,0,0),"Tarde","Noite")))</f>
        <v>Tarde</v>
      </c>
      <c r="R408" s="45">
        <f>IF(AND(H408="Realizado",L408&lt;&gt;""),L408/60,0)</f>
        <v>0.666666666666667</v>
      </c>
    </row>
    <row r="409">
      <c r="A409" s="42" t="n">
        <v>46245</v>
      </c>
      <c r="B409" s="43" t="n">
        <v>0.625</v>
      </c>
      <c r="C409" s="37" t="inlineStr">
        <is>
          <t>Dra. Renata Sousa</t>
        </is>
      </c>
      <c r="D409" s="37" t="inlineStr">
        <is>
          <t>Sala 1</t>
        </is>
      </c>
      <c r="E409" s="36" t="inlineStr">
        <is>
          <t>Beatriz Monteiro</t>
        </is>
      </c>
      <c r="F409" s="37" t="inlineStr">
        <is>
          <t>Particular</t>
        </is>
      </c>
      <c r="G409" s="37" t="inlineStr">
        <is>
          <t>Avaliação endócrina</t>
        </is>
      </c>
      <c r="H409" s="37" t="inlineStr">
        <is>
          <t>Realizado</t>
        </is>
      </c>
      <c r="I409" s="37" t="inlineStr">
        <is>
          <t>Cartão de crédito</t>
        </is>
      </c>
      <c r="J409" s="37" t="n"/>
      <c r="K409" s="36" t="n"/>
      <c r="L409" s="44">
        <f>IF(G409="","",IFERROR(INDEX(Config!$K$5:$K$16,MATCH(G409,Config!$J$5:$J$16,0)),""))</f>
        <v>40</v>
      </c>
      <c r="M409" s="30">
        <f>IF(OR(G409="",F409=""),"",IFERROR(INDEX(Config!$M$5:$R$16,MATCH(G409,Config!$J$5:$J$16,0),MATCH(F409,Config!$H$5:$H$10,0)),""))</f>
        <v>400</v>
      </c>
      <c r="N409" s="29">
        <f>IF(A409="","",MONTH(A409))</f>
        <v>8</v>
      </c>
      <c r="O409" s="29">
        <f>IF(A409="","",YEAR(A409))</f>
        <v>2026</v>
      </c>
      <c r="P409" s="29" t="str">
        <f>IF(A409="","",CHOOSE(WEEKDAY(A409,2),"Segunda","Terça","Quarta","Quinta","Sexta","Sábado","Domingo"))</f>
        <v>Terça</v>
      </c>
      <c r="Q409" s="29" t="str">
        <f>IF(B409="","",IF(B409&lt;TIME(12,0,0),"Manhã",IF(B409&lt;TIME(18,0,0),"Tarde","Noite")))</f>
        <v>Tarde</v>
      </c>
      <c r="R409" s="45">
        <f>IF(AND(H409="Realizado",L409&lt;&gt;""),L409/60,0)</f>
        <v>0.666666666666667</v>
      </c>
    </row>
    <row r="410">
      <c r="A410" s="42" t="n">
        <v>46245</v>
      </c>
      <c r="B410" s="43" t="n">
        <v>0.6388888888888888</v>
      </c>
      <c r="C410" s="37" t="inlineStr">
        <is>
          <t>Dr. Paulo Andrade</t>
        </is>
      </c>
      <c r="D410" s="37" t="inlineStr">
        <is>
          <t>Sala 2</t>
        </is>
      </c>
      <c r="E410" s="36" t="inlineStr">
        <is>
          <t>Roberta Fernandes</t>
        </is>
      </c>
      <c r="F410" s="37" t="inlineStr">
        <is>
          <t>Saúde Total</t>
        </is>
      </c>
      <c r="G410" s="37" t="inlineStr">
        <is>
          <t>MAPA</t>
        </is>
      </c>
      <c r="H410" s="37" t="inlineStr">
        <is>
          <t>Realizado</t>
        </is>
      </c>
      <c r="I410" s="37" t="inlineStr">
        <is>
          <t>Convênio</t>
        </is>
      </c>
      <c r="J410" s="37" t="n"/>
      <c r="K410" s="36" t="n"/>
      <c r="L410" s="44">
        <f>IF(G410="","",IFERROR(INDEX(Config!$K$5:$K$16,MATCH(G410,Config!$J$5:$J$16,0)),""))</f>
        <v>20</v>
      </c>
      <c r="M410" s="30">
        <f>IF(OR(G410="",F410=""),"",IFERROR(INDEX(Config!$M$5:$R$16,MATCH(G410,Config!$J$5:$J$16,0),MATCH(F410,Config!$H$5:$H$10,0)),""))</f>
        <v>95</v>
      </c>
      <c r="N410" s="29">
        <f>IF(A410="","",MONTH(A410))</f>
        <v>8</v>
      </c>
      <c r="O410" s="29">
        <f>IF(A410="","",YEAR(A410))</f>
        <v>2026</v>
      </c>
      <c r="P410" s="29" t="str">
        <f>IF(A410="","",CHOOSE(WEEKDAY(A410,2),"Segunda","Terça","Quarta","Quinta","Sexta","Sábado","Domingo"))</f>
        <v>Terça</v>
      </c>
      <c r="Q410" s="29" t="str">
        <f>IF(B410="","",IF(B410&lt;TIME(12,0,0),"Manhã",IF(B410&lt;TIME(18,0,0),"Tarde","Noite")))</f>
        <v>Tarde</v>
      </c>
      <c r="R410" s="45">
        <f>IF(AND(H410="Realizado",L410&lt;&gt;""),L410/60,0)</f>
        <v>0.333333333333333</v>
      </c>
    </row>
    <row r="411">
      <c r="A411" s="42" t="n">
        <v>46245</v>
      </c>
      <c r="B411" s="43" t="n">
        <v>0.6527777777777778</v>
      </c>
      <c r="C411" s="37" t="inlineStr">
        <is>
          <t>Dra. Renata Sousa</t>
        </is>
      </c>
      <c r="D411" s="37" t="inlineStr">
        <is>
          <t>Sala 1</t>
        </is>
      </c>
      <c r="E411" s="36" t="inlineStr">
        <is>
          <t>Gustavo Carvalho</t>
        </is>
      </c>
      <c r="F411" s="37" t="inlineStr">
        <is>
          <t>Particular</t>
        </is>
      </c>
      <c r="G411" s="37" t="inlineStr">
        <is>
          <t>Avaliação endócrina</t>
        </is>
      </c>
      <c r="H411" s="37" t="inlineStr">
        <is>
          <t>Realizado</t>
        </is>
      </c>
      <c r="I411" s="37" t="inlineStr">
        <is>
          <t>Pix</t>
        </is>
      </c>
      <c r="J411" s="37" t="n"/>
      <c r="K411" s="36" t="n"/>
      <c r="L411" s="44">
        <f>IF(G411="","",IFERROR(INDEX(Config!$K$5:$K$16,MATCH(G411,Config!$J$5:$J$16,0)),""))</f>
        <v>40</v>
      </c>
      <c r="M411" s="30">
        <f>IF(OR(G411="",F411=""),"",IFERROR(INDEX(Config!$M$5:$R$16,MATCH(G411,Config!$J$5:$J$16,0),MATCH(F411,Config!$H$5:$H$10,0)),""))</f>
        <v>400</v>
      </c>
      <c r="N411" s="29">
        <f>IF(A411="","",MONTH(A411))</f>
        <v>8</v>
      </c>
      <c r="O411" s="29">
        <f>IF(A411="","",YEAR(A411))</f>
        <v>2026</v>
      </c>
      <c r="P411" s="29" t="str">
        <f>IF(A411="","",CHOOSE(WEEKDAY(A411,2),"Segunda","Terça","Quarta","Quinta","Sexta","Sábado","Domingo"))</f>
        <v>Terça</v>
      </c>
      <c r="Q411" s="29" t="str">
        <f>IF(B411="","",IF(B411&lt;TIME(12,0,0),"Manhã",IF(B411&lt;TIME(18,0,0),"Tarde","Noite")))</f>
        <v>Tarde</v>
      </c>
      <c r="R411" s="45">
        <f>IF(AND(H411="Realizado",L411&lt;&gt;""),L411/60,0)</f>
        <v>0.666666666666667</v>
      </c>
    </row>
    <row r="412">
      <c r="A412" s="42" t="n">
        <v>46245</v>
      </c>
      <c r="B412" s="43" t="n">
        <v>0.6527777777777778</v>
      </c>
      <c r="C412" s="37" t="inlineStr">
        <is>
          <t>Dr. Paulo Andrade</t>
        </is>
      </c>
      <c r="D412" s="37" t="inlineStr">
        <is>
          <t>Sala 2</t>
        </is>
      </c>
      <c r="E412" s="36" t="inlineStr">
        <is>
          <t>Daniel Almeida</t>
        </is>
      </c>
      <c r="F412" s="37" t="inlineStr">
        <is>
          <t>Saúde Total</t>
        </is>
      </c>
      <c r="G412" s="37" t="inlineStr">
        <is>
          <t>ECG</t>
        </is>
      </c>
      <c r="H412" s="37" t="inlineStr">
        <is>
          <t>Realizado</t>
        </is>
      </c>
      <c r="I412" s="37" t="inlineStr">
        <is>
          <t>Convênio</t>
        </is>
      </c>
      <c r="J412" s="37" t="n"/>
      <c r="K412" s="36" t="n"/>
      <c r="L412" s="44">
        <f>IF(G412="","",IFERROR(INDEX(Config!$K$5:$K$16,MATCH(G412,Config!$J$5:$J$16,0)),""))</f>
        <v>20</v>
      </c>
      <c r="M412" s="30">
        <f>IF(OR(G412="",F412=""),"",IFERROR(INDEX(Config!$M$5:$R$16,MATCH(G412,Config!$J$5:$J$16,0),MATCH(F412,Config!$H$5:$H$10,0)),""))</f>
        <v>40</v>
      </c>
      <c r="N412" s="29">
        <f>IF(A412="","",MONTH(A412))</f>
        <v>8</v>
      </c>
      <c r="O412" s="29">
        <f>IF(A412="","",YEAR(A412))</f>
        <v>2026</v>
      </c>
      <c r="P412" s="29" t="str">
        <f>IF(A412="","",CHOOSE(WEEKDAY(A412,2),"Segunda","Terça","Quarta","Quinta","Sexta","Sábado","Domingo"))</f>
        <v>Terça</v>
      </c>
      <c r="Q412" s="29" t="str">
        <f>IF(B412="","",IF(B412&lt;TIME(12,0,0),"Manhã",IF(B412&lt;TIME(18,0,0),"Tarde","Noite")))</f>
        <v>Tarde</v>
      </c>
      <c r="R412" s="45">
        <f>IF(AND(H412="Realizado",L412&lt;&gt;""),L412/60,0)</f>
        <v>0.333333333333333</v>
      </c>
    </row>
    <row r="413">
      <c r="A413" s="42" t="n">
        <v>46245</v>
      </c>
      <c r="B413" s="43" t="n">
        <v>0.6666666666666666</v>
      </c>
      <c r="C413" s="37" t="inlineStr">
        <is>
          <t>Dr. Paulo Andrade</t>
        </is>
      </c>
      <c r="D413" s="37" t="inlineStr">
        <is>
          <t>Sala 2</t>
        </is>
      </c>
      <c r="E413" s="36" t="inlineStr">
        <is>
          <t>Camila Martins</t>
        </is>
      </c>
      <c r="F413" s="37" t="inlineStr">
        <is>
          <t>Vida Care</t>
        </is>
      </c>
      <c r="G413" s="37" t="inlineStr">
        <is>
          <t>Retorno</t>
        </is>
      </c>
      <c r="H413" s="37" t="inlineStr">
        <is>
          <t>Falta</t>
        </is>
      </c>
      <c r="I413" s="37" t="n"/>
      <c r="J413" s="37" t="n"/>
      <c r="K413" s="36" t="n"/>
      <c r="L413" s="44">
        <f>IF(G413="","",IFERROR(INDEX(Config!$K$5:$K$16,MATCH(G413,Config!$J$5:$J$16,0)),""))</f>
        <v>20</v>
      </c>
      <c r="M413" s="30">
        <f>IF(OR(G413="",F413=""),"",IFERROR(INDEX(Config!$M$5:$R$16,MATCH(G413,Config!$J$5:$J$16,0),MATCH(F413,Config!$H$5:$H$10,0)),""))</f>
        <v>0</v>
      </c>
      <c r="N413" s="29">
        <f>IF(A413="","",MONTH(A413))</f>
        <v>8</v>
      </c>
      <c r="O413" s="29">
        <f>IF(A413="","",YEAR(A413))</f>
        <v>2026</v>
      </c>
      <c r="P413" s="29" t="str">
        <f>IF(A413="","",CHOOSE(WEEKDAY(A413,2),"Segunda","Terça","Quarta","Quinta","Sexta","Sábado","Domingo"))</f>
        <v>Terça</v>
      </c>
      <c r="Q413" s="29" t="str">
        <f>IF(B413="","",IF(B413&lt;TIME(12,0,0),"Manhã",IF(B413&lt;TIME(18,0,0),"Tarde","Noite")))</f>
        <v>Tarde</v>
      </c>
      <c r="R413" s="45">
        <f>IF(AND(H413="Realizado",L413&lt;&gt;""),L413/60,0)</f>
        <v>0</v>
      </c>
    </row>
    <row r="414">
      <c r="A414" s="42" t="n">
        <v>46245</v>
      </c>
      <c r="B414" s="43" t="n">
        <v>0.6805555555555556</v>
      </c>
      <c r="C414" s="37" t="inlineStr">
        <is>
          <t>Dr. Paulo Andrade</t>
        </is>
      </c>
      <c r="D414" s="37" t="inlineStr">
        <is>
          <t>Sala 2</t>
        </is>
      </c>
      <c r="E414" s="36" t="inlineStr">
        <is>
          <t>Gisele Ribeiro</t>
        </is>
      </c>
      <c r="F414" s="37" t="inlineStr">
        <is>
          <t>Particular</t>
        </is>
      </c>
      <c r="G414" s="37" t="inlineStr">
        <is>
          <t>ECG</t>
        </is>
      </c>
      <c r="H414" s="37" t="inlineStr">
        <is>
          <t>Realizado</t>
        </is>
      </c>
      <c r="I414" s="37" t="inlineStr">
        <is>
          <t>Pix</t>
        </is>
      </c>
      <c r="J414" s="37" t="n"/>
      <c r="K414" s="36" t="n"/>
      <c r="L414" s="44">
        <f>IF(G414="","",IFERROR(INDEX(Config!$K$5:$K$16,MATCH(G414,Config!$J$5:$J$16,0)),""))</f>
        <v>20</v>
      </c>
      <c r="M414" s="30">
        <f>IF(OR(G414="",F414=""),"",IFERROR(INDEX(Config!$M$5:$R$16,MATCH(G414,Config!$J$5:$J$16,0),MATCH(F414,Config!$H$5:$H$10,0)),""))</f>
        <v>130</v>
      </c>
      <c r="N414" s="29">
        <f>IF(A414="","",MONTH(A414))</f>
        <v>8</v>
      </c>
      <c r="O414" s="29">
        <f>IF(A414="","",YEAR(A414))</f>
        <v>2026</v>
      </c>
      <c r="P414" s="29" t="str">
        <f>IF(A414="","",CHOOSE(WEEKDAY(A414,2),"Segunda","Terça","Quarta","Quinta","Sexta","Sábado","Domingo"))</f>
        <v>Terça</v>
      </c>
      <c r="Q414" s="29" t="str">
        <f>IF(B414="","",IF(B414&lt;TIME(12,0,0),"Manhã",IF(B414&lt;TIME(18,0,0),"Tarde","Noite")))</f>
        <v>Tarde</v>
      </c>
      <c r="R414" s="45">
        <f>IF(AND(H414="Realizado",L414&lt;&gt;""),L414/60,0)</f>
        <v>0.333333333333333</v>
      </c>
    </row>
    <row r="415">
      <c r="A415" s="42" t="n">
        <v>46245</v>
      </c>
      <c r="B415" s="43" t="n">
        <v>0.7152777777777778</v>
      </c>
      <c r="C415" s="37" t="inlineStr">
        <is>
          <t>Dr. Paulo Andrade</t>
        </is>
      </c>
      <c r="D415" s="37" t="inlineStr">
        <is>
          <t>Sala 2</t>
        </is>
      </c>
      <c r="E415" s="36" t="inlineStr">
        <is>
          <t>Simone Monteiro</t>
        </is>
      </c>
      <c r="F415" s="37" t="inlineStr">
        <is>
          <t>Vida Care</t>
        </is>
      </c>
      <c r="G415" s="37" t="inlineStr">
        <is>
          <t>Teste ergométrico</t>
        </is>
      </c>
      <c r="H415" s="37" t="inlineStr">
        <is>
          <t>Falta</t>
        </is>
      </c>
      <c r="I415" s="37" t="n"/>
      <c r="J415" s="37" t="n"/>
      <c r="K415" s="36" t="n"/>
      <c r="L415" s="44">
        <f>IF(G415="","",IFERROR(INDEX(Config!$K$5:$K$16,MATCH(G415,Config!$J$5:$J$16,0)),""))</f>
        <v>40</v>
      </c>
      <c r="M415" s="30">
        <f>IF(OR(G415="",F415=""),"",IFERROR(INDEX(Config!$M$5:$R$16,MATCH(G415,Config!$J$5:$J$16,0),MATCH(F415,Config!$H$5:$H$10,0)),""))</f>
        <v>110</v>
      </c>
      <c r="N415" s="29">
        <f>IF(A415="","",MONTH(A415))</f>
        <v>8</v>
      </c>
      <c r="O415" s="29">
        <f>IF(A415="","",YEAR(A415))</f>
        <v>2026</v>
      </c>
      <c r="P415" s="29" t="str">
        <f>IF(A415="","",CHOOSE(WEEKDAY(A415,2),"Segunda","Terça","Quarta","Quinta","Sexta","Sábado","Domingo"))</f>
        <v>Terça</v>
      </c>
      <c r="Q415" s="29" t="str">
        <f>IF(B415="","",IF(B415&lt;TIME(12,0,0),"Manhã",IF(B415&lt;TIME(18,0,0),"Tarde","Noite")))</f>
        <v>Tarde</v>
      </c>
      <c r="R415" s="45">
        <f>IF(AND(H415="Realizado",L415&lt;&gt;""),L415/60,0)</f>
        <v>0</v>
      </c>
    </row>
    <row r="416">
      <c r="A416" s="42" t="n">
        <v>46245</v>
      </c>
      <c r="B416" s="43" t="n">
        <v>0.7222222222222222</v>
      </c>
      <c r="C416" s="37" t="inlineStr">
        <is>
          <t>Dra. Renata Sousa</t>
        </is>
      </c>
      <c r="D416" s="37" t="inlineStr">
        <is>
          <t>Sala 1</t>
        </is>
      </c>
      <c r="E416" s="36" t="inlineStr">
        <is>
          <t>Fábio Gomes</t>
        </is>
      </c>
      <c r="F416" s="37" t="inlineStr">
        <is>
          <t>Particular</t>
        </is>
      </c>
      <c r="G416" s="37" t="inlineStr">
        <is>
          <t>Avaliação endócrina</t>
        </is>
      </c>
      <c r="H416" s="37" t="inlineStr">
        <is>
          <t>Realizado</t>
        </is>
      </c>
      <c r="I416" s="37" t="inlineStr">
        <is>
          <t>A prazo</t>
        </is>
      </c>
      <c r="J416" s="37" t="n"/>
      <c r="K416" s="36" t="n"/>
      <c r="L416" s="44">
        <f>IF(G416="","",IFERROR(INDEX(Config!$K$5:$K$16,MATCH(G416,Config!$J$5:$J$16,0)),""))</f>
        <v>40</v>
      </c>
      <c r="M416" s="30">
        <f>IF(OR(G416="",F416=""),"",IFERROR(INDEX(Config!$M$5:$R$16,MATCH(G416,Config!$J$5:$J$16,0),MATCH(F416,Config!$H$5:$H$10,0)),""))</f>
        <v>400</v>
      </c>
      <c r="N416" s="29">
        <f>IF(A416="","",MONTH(A416))</f>
        <v>8</v>
      </c>
      <c r="O416" s="29">
        <f>IF(A416="","",YEAR(A416))</f>
        <v>2026</v>
      </c>
      <c r="P416" s="29" t="str">
        <f>IF(A416="","",CHOOSE(WEEKDAY(A416,2),"Segunda","Terça","Quarta","Quinta","Sexta","Sábado","Domingo"))</f>
        <v>Terça</v>
      </c>
      <c r="Q416" s="29" t="str">
        <f>IF(B416="","",IF(B416&lt;TIME(12,0,0),"Manhã",IF(B416&lt;TIME(18,0,0),"Tarde","Noite")))</f>
        <v>Tarde</v>
      </c>
      <c r="R416" s="45">
        <f>IF(AND(H416="Realizado",L416&lt;&gt;""),L416/60,0)</f>
        <v>0.666666666666667</v>
      </c>
    </row>
    <row r="417">
      <c r="A417" s="42" t="n">
        <v>46246</v>
      </c>
      <c r="B417" s="43" t="n">
        <v>0.5833333333333334</v>
      </c>
      <c r="C417" s="37" t="inlineStr">
        <is>
          <t>Dra. Carolina Mendes</t>
        </is>
      </c>
      <c r="D417" s="37" t="inlineStr">
        <is>
          <t>Sala 1</t>
        </is>
      </c>
      <c r="E417" s="36" t="inlineStr">
        <is>
          <t>Cláudia Santos</t>
        </is>
      </c>
      <c r="F417" s="37" t="inlineStr">
        <is>
          <t>Particular</t>
        </is>
      </c>
      <c r="G417" s="37" t="inlineStr">
        <is>
          <t>Consulta</t>
        </is>
      </c>
      <c r="H417" s="37" t="inlineStr">
        <is>
          <t>Realizado</t>
        </is>
      </c>
      <c r="I417" s="37" t="inlineStr">
        <is>
          <t>Pix</t>
        </is>
      </c>
      <c r="J417" s="37" t="n"/>
      <c r="K417" s="36" t="n"/>
      <c r="L417" s="44">
        <f>IF(G417="","",IFERROR(INDEX(Config!$K$5:$K$16,MATCH(G417,Config!$J$5:$J$16,0)),""))</f>
        <v>30</v>
      </c>
      <c r="M417" s="30">
        <f>IF(OR(G417="",F417=""),"",IFERROR(INDEX(Config!$M$5:$R$16,MATCH(G417,Config!$J$5:$J$16,0),MATCH(F417,Config!$H$5:$H$10,0)),""))</f>
        <v>380</v>
      </c>
      <c r="N417" s="29">
        <f>IF(A417="","",MONTH(A417))</f>
        <v>8</v>
      </c>
      <c r="O417" s="29">
        <f>IF(A417="","",YEAR(A417))</f>
        <v>2026</v>
      </c>
      <c r="P417" s="29" t="str">
        <f>IF(A417="","",CHOOSE(WEEKDAY(A417,2),"Segunda","Terça","Quarta","Quinta","Sexta","Sábado","Domingo"))</f>
        <v>Quarta</v>
      </c>
      <c r="Q417" s="29" t="str">
        <f>IF(B417="","",IF(B417&lt;TIME(12,0,0),"Manhã",IF(B417&lt;TIME(18,0,0),"Tarde","Noite")))</f>
        <v>Tarde</v>
      </c>
      <c r="R417" s="45">
        <f>IF(AND(H417="Realizado",L417&lt;&gt;""),L417/60,0)</f>
        <v>0.5</v>
      </c>
    </row>
    <row r="418">
      <c r="A418" s="42" t="n">
        <v>46246</v>
      </c>
      <c r="B418" s="43" t="n">
        <v>0.625</v>
      </c>
      <c r="C418" s="37" t="inlineStr">
        <is>
          <t>Dra. Carolina Mendes</t>
        </is>
      </c>
      <c r="D418" s="37" t="inlineStr">
        <is>
          <t>Sala 1</t>
        </is>
      </c>
      <c r="E418" s="36" t="inlineStr">
        <is>
          <t>Gisele Xavier</t>
        </is>
      </c>
      <c r="F418" s="37" t="inlineStr">
        <is>
          <t>Particular</t>
        </is>
      </c>
      <c r="G418" s="37" t="inlineStr">
        <is>
          <t>Consulta</t>
        </is>
      </c>
      <c r="H418" s="37" t="inlineStr">
        <is>
          <t>Realizado</t>
        </is>
      </c>
      <c r="I418" s="37" t="inlineStr">
        <is>
          <t>Pix</t>
        </is>
      </c>
      <c r="J418" s="37" t="n"/>
      <c r="K418" s="36" t="n"/>
      <c r="L418" s="44">
        <f>IF(G418="","",IFERROR(INDEX(Config!$K$5:$K$16,MATCH(G418,Config!$J$5:$J$16,0)),""))</f>
        <v>30</v>
      </c>
      <c r="M418" s="30">
        <f>IF(OR(G418="",F418=""),"",IFERROR(INDEX(Config!$M$5:$R$16,MATCH(G418,Config!$J$5:$J$16,0),MATCH(F418,Config!$H$5:$H$10,0)),""))</f>
        <v>380</v>
      </c>
      <c r="N418" s="29">
        <f>IF(A418="","",MONTH(A418))</f>
        <v>8</v>
      </c>
      <c r="O418" s="29">
        <f>IF(A418="","",YEAR(A418))</f>
        <v>2026</v>
      </c>
      <c r="P418" s="29" t="str">
        <f>IF(A418="","",CHOOSE(WEEKDAY(A418,2),"Segunda","Terça","Quarta","Quinta","Sexta","Sábado","Domingo"))</f>
        <v>Quarta</v>
      </c>
      <c r="Q418" s="29" t="str">
        <f>IF(B418="","",IF(B418&lt;TIME(12,0,0),"Manhã",IF(B418&lt;TIME(18,0,0),"Tarde","Noite")))</f>
        <v>Tarde</v>
      </c>
      <c r="R418" s="45">
        <f>IF(AND(H418="Realizado",L418&lt;&gt;""),L418/60,0)</f>
        <v>0.5</v>
      </c>
    </row>
    <row r="419">
      <c r="A419" s="42" t="n">
        <v>46246</v>
      </c>
      <c r="B419" s="43" t="n">
        <v>0.6458333333333334</v>
      </c>
      <c r="C419" s="37" t="inlineStr">
        <is>
          <t>Dra. Carolina Mendes</t>
        </is>
      </c>
      <c r="D419" s="37" t="inlineStr">
        <is>
          <t>Sala 1</t>
        </is>
      </c>
      <c r="E419" s="36" t="inlineStr">
        <is>
          <t>Wagner Lima</t>
        </is>
      </c>
      <c r="F419" s="37" t="inlineStr">
        <is>
          <t>Particular</t>
        </is>
      </c>
      <c r="G419" s="37" t="inlineStr">
        <is>
          <t>Consulta</t>
        </is>
      </c>
      <c r="H419" s="37" t="inlineStr">
        <is>
          <t>Realizado</t>
        </is>
      </c>
      <c r="I419" s="37" t="inlineStr">
        <is>
          <t>Cartão de crédito</t>
        </is>
      </c>
      <c r="J419" s="37" t="n"/>
      <c r="K419" s="36" t="n"/>
      <c r="L419" s="44">
        <f>IF(G419="","",IFERROR(INDEX(Config!$K$5:$K$16,MATCH(G419,Config!$J$5:$J$16,0)),""))</f>
        <v>30</v>
      </c>
      <c r="M419" s="30">
        <f>IF(OR(G419="",F419=""),"",IFERROR(INDEX(Config!$M$5:$R$16,MATCH(G419,Config!$J$5:$J$16,0),MATCH(F419,Config!$H$5:$H$10,0)),""))</f>
        <v>380</v>
      </c>
      <c r="N419" s="29">
        <f>IF(A419="","",MONTH(A419))</f>
        <v>8</v>
      </c>
      <c r="O419" s="29">
        <f>IF(A419="","",YEAR(A419))</f>
        <v>2026</v>
      </c>
      <c r="P419" s="29" t="str">
        <f>IF(A419="","",CHOOSE(WEEKDAY(A419,2),"Segunda","Terça","Quarta","Quinta","Sexta","Sábado","Domingo"))</f>
        <v>Quarta</v>
      </c>
      <c r="Q419" s="29" t="str">
        <f>IF(B419="","",IF(B419&lt;TIME(12,0,0),"Manhã",IF(B419&lt;TIME(18,0,0),"Tarde","Noite")))</f>
        <v>Tarde</v>
      </c>
      <c r="R419" s="45">
        <f>IF(AND(H419="Realizado",L419&lt;&gt;""),L419/60,0)</f>
        <v>0.5</v>
      </c>
    </row>
    <row r="420">
      <c r="A420" s="42" t="n">
        <v>46246</v>
      </c>
      <c r="B420" s="43" t="n">
        <v>0.6666666666666666</v>
      </c>
      <c r="C420" s="37" t="inlineStr">
        <is>
          <t>Dra. Carolina Mendes</t>
        </is>
      </c>
      <c r="D420" s="37" t="inlineStr">
        <is>
          <t>Sala 1</t>
        </is>
      </c>
      <c r="E420" s="36" t="inlineStr">
        <is>
          <t>Priscila Castro</t>
        </is>
      </c>
      <c r="F420" s="37" t="inlineStr">
        <is>
          <t>Saúde Total</t>
        </is>
      </c>
      <c r="G420" s="37" t="inlineStr">
        <is>
          <t>Consulta</t>
        </is>
      </c>
      <c r="H420" s="37" t="inlineStr">
        <is>
          <t>Realizado</t>
        </is>
      </c>
      <c r="I420" s="37" t="inlineStr">
        <is>
          <t>Convênio</t>
        </is>
      </c>
      <c r="J420" s="37" t="n"/>
      <c r="K420" s="36" t="n"/>
      <c r="L420" s="44">
        <f>IF(G420="","",IFERROR(INDEX(Config!$K$5:$K$16,MATCH(G420,Config!$J$5:$J$16,0)),""))</f>
        <v>30</v>
      </c>
      <c r="M420" s="30">
        <f>IF(OR(G420="",F420=""),"",IFERROR(INDEX(Config!$M$5:$R$16,MATCH(G420,Config!$J$5:$J$16,0),MATCH(F420,Config!$H$5:$H$10,0)),""))</f>
        <v>120</v>
      </c>
      <c r="N420" s="29">
        <f>IF(A420="","",MONTH(A420))</f>
        <v>8</v>
      </c>
      <c r="O420" s="29">
        <f>IF(A420="","",YEAR(A420))</f>
        <v>2026</v>
      </c>
      <c r="P420" s="29" t="str">
        <f>IF(A420="","",CHOOSE(WEEKDAY(A420,2),"Segunda","Terça","Quarta","Quinta","Sexta","Sábado","Domingo"))</f>
        <v>Quarta</v>
      </c>
      <c r="Q420" s="29" t="str">
        <f>IF(B420="","",IF(B420&lt;TIME(12,0,0),"Manhã",IF(B420&lt;TIME(18,0,0),"Tarde","Noite")))</f>
        <v>Tarde</v>
      </c>
      <c r="R420" s="45">
        <f>IF(AND(H420="Realizado",L420&lt;&gt;""),L420/60,0)</f>
        <v>0.5</v>
      </c>
    </row>
    <row r="421">
      <c r="A421" s="42" t="n">
        <v>46246</v>
      </c>
      <c r="B421" s="43" t="n">
        <v>0.6875</v>
      </c>
      <c r="C421" s="37" t="inlineStr">
        <is>
          <t>Dra. Carolina Mendes</t>
        </is>
      </c>
      <c r="D421" s="37" t="inlineStr">
        <is>
          <t>Sala 1</t>
        </is>
      </c>
      <c r="E421" s="36" t="inlineStr">
        <is>
          <t>Regina Castro</t>
        </is>
      </c>
      <c r="F421" s="37" t="inlineStr">
        <is>
          <t>Vida Care</t>
        </is>
      </c>
      <c r="G421" s="37" t="inlineStr">
        <is>
          <t>Retorno</t>
        </is>
      </c>
      <c r="H421" s="37" t="inlineStr">
        <is>
          <t>Realizado</t>
        </is>
      </c>
      <c r="I421" s="37" t="inlineStr">
        <is>
          <t>Sem cobrança</t>
        </is>
      </c>
      <c r="J421" s="37" t="n"/>
      <c r="K421" s="36" t="n"/>
      <c r="L421" s="44">
        <f>IF(G421="","",IFERROR(INDEX(Config!$K$5:$K$16,MATCH(G421,Config!$J$5:$J$16,0)),""))</f>
        <v>20</v>
      </c>
      <c r="M421" s="30">
        <f>IF(OR(G421="",F421=""),"",IFERROR(INDEX(Config!$M$5:$R$16,MATCH(G421,Config!$J$5:$J$16,0),MATCH(F421,Config!$H$5:$H$10,0)),""))</f>
        <v>0</v>
      </c>
      <c r="N421" s="29">
        <f>IF(A421="","",MONTH(A421))</f>
        <v>8</v>
      </c>
      <c r="O421" s="29">
        <f>IF(A421="","",YEAR(A421))</f>
        <v>2026</v>
      </c>
      <c r="P421" s="29" t="str">
        <f>IF(A421="","",CHOOSE(WEEKDAY(A421,2),"Segunda","Terça","Quarta","Quinta","Sexta","Sábado","Domingo"))</f>
        <v>Quarta</v>
      </c>
      <c r="Q421" s="29" t="str">
        <f>IF(B421="","",IF(B421&lt;TIME(12,0,0),"Manhã",IF(B421&lt;TIME(18,0,0),"Tarde","Noite")))</f>
        <v>Tarde</v>
      </c>
      <c r="R421" s="45">
        <f>IF(AND(H421="Realizado",L421&lt;&gt;""),L421/60,0)</f>
        <v>0.333333333333333</v>
      </c>
    </row>
    <row r="422">
      <c r="A422" s="42" t="n">
        <v>46246</v>
      </c>
      <c r="B422" s="43" t="n">
        <v>0.7013888888888888</v>
      </c>
      <c r="C422" s="37" t="inlineStr">
        <is>
          <t>Dra. Carolina Mendes</t>
        </is>
      </c>
      <c r="D422" s="37" t="inlineStr">
        <is>
          <t>Sala 1</t>
        </is>
      </c>
      <c r="E422" s="36" t="inlineStr">
        <is>
          <t>Otávio Nascimento</t>
        </is>
      </c>
      <c r="F422" s="37" t="inlineStr">
        <is>
          <t>Particular</t>
        </is>
      </c>
      <c r="G422" s="37" t="inlineStr">
        <is>
          <t>Consulta</t>
        </is>
      </c>
      <c r="H422" s="37" t="inlineStr">
        <is>
          <t>Realizado</t>
        </is>
      </c>
      <c r="I422" s="37" t="inlineStr">
        <is>
          <t>Cartão de crédito</t>
        </is>
      </c>
      <c r="J422" s="37" t="n"/>
      <c r="K422" s="36" t="n"/>
      <c r="L422" s="44">
        <f>IF(G422="","",IFERROR(INDEX(Config!$K$5:$K$16,MATCH(G422,Config!$J$5:$J$16,0)),""))</f>
        <v>30</v>
      </c>
      <c r="M422" s="30">
        <f>IF(OR(G422="",F422=""),"",IFERROR(INDEX(Config!$M$5:$R$16,MATCH(G422,Config!$J$5:$J$16,0),MATCH(F422,Config!$H$5:$H$10,0)),""))</f>
        <v>380</v>
      </c>
      <c r="N422" s="29">
        <f>IF(A422="","",MONTH(A422))</f>
        <v>8</v>
      </c>
      <c r="O422" s="29">
        <f>IF(A422="","",YEAR(A422))</f>
        <v>2026</v>
      </c>
      <c r="P422" s="29" t="str">
        <f>IF(A422="","",CHOOSE(WEEKDAY(A422,2),"Segunda","Terça","Quarta","Quinta","Sexta","Sábado","Domingo"))</f>
        <v>Quarta</v>
      </c>
      <c r="Q422" s="29" t="str">
        <f>IF(B422="","",IF(B422&lt;TIME(12,0,0),"Manhã",IF(B422&lt;TIME(18,0,0),"Tarde","Noite")))</f>
        <v>Tarde</v>
      </c>
      <c r="R422" s="45">
        <f>IF(AND(H422="Realizado",L422&lt;&gt;""),L422/60,0)</f>
        <v>0.5</v>
      </c>
    </row>
    <row r="423">
      <c r="A423" s="42" t="n">
        <v>46246</v>
      </c>
      <c r="B423" s="43" t="n">
        <v>0.7222222222222222</v>
      </c>
      <c r="C423" s="37" t="inlineStr">
        <is>
          <t>Dra. Carolina Mendes</t>
        </is>
      </c>
      <c r="D423" s="37" t="inlineStr">
        <is>
          <t>Sala 1</t>
        </is>
      </c>
      <c r="E423" s="36" t="inlineStr">
        <is>
          <t>Eduardo Nunes</t>
        </is>
      </c>
      <c r="F423" s="37" t="inlineStr">
        <is>
          <t>MediPlan</t>
        </is>
      </c>
      <c r="G423" s="37" t="inlineStr">
        <is>
          <t>Consulta</t>
        </is>
      </c>
      <c r="H423" s="37" t="inlineStr">
        <is>
          <t>Realizado</t>
        </is>
      </c>
      <c r="I423" s="37" t="inlineStr">
        <is>
          <t>Convênio</t>
        </is>
      </c>
      <c r="J423" s="37" t="n"/>
      <c r="K423" s="36" t="n"/>
      <c r="L423" s="44">
        <f>IF(G423="","",IFERROR(INDEX(Config!$K$5:$K$16,MATCH(G423,Config!$J$5:$J$16,0)),""))</f>
        <v>30</v>
      </c>
      <c r="M423" s="30">
        <f>IF(OR(G423="",F423=""),"",IFERROR(INDEX(Config!$M$5:$R$16,MATCH(G423,Config!$J$5:$J$16,0),MATCH(F423,Config!$H$5:$H$10,0)),""))</f>
        <v>100</v>
      </c>
      <c r="N423" s="29">
        <f>IF(A423="","",MONTH(A423))</f>
        <v>8</v>
      </c>
      <c r="O423" s="29">
        <f>IF(A423="","",YEAR(A423))</f>
        <v>2026</v>
      </c>
      <c r="P423" s="29" t="str">
        <f>IF(A423="","",CHOOSE(WEEKDAY(A423,2),"Segunda","Terça","Quarta","Quinta","Sexta","Sábado","Domingo"))</f>
        <v>Quarta</v>
      </c>
      <c r="Q423" s="29" t="str">
        <f>IF(B423="","",IF(B423&lt;TIME(12,0,0),"Manhã",IF(B423&lt;TIME(18,0,0),"Tarde","Noite")))</f>
        <v>Tarde</v>
      </c>
      <c r="R423" s="45">
        <f>IF(AND(H423="Realizado",L423&lt;&gt;""),L423/60,0)</f>
        <v>0.5</v>
      </c>
    </row>
    <row r="424">
      <c r="A424" s="42" t="n">
        <v>46247</v>
      </c>
      <c r="B424" s="43" t="n">
        <v>0.3333333333333333</v>
      </c>
      <c r="C424" s="37" t="inlineStr">
        <is>
          <t>Dra. Carolina Mendes</t>
        </is>
      </c>
      <c r="D424" s="37" t="inlineStr">
        <is>
          <t>Sala 1</t>
        </is>
      </c>
      <c r="E424" s="36" t="inlineStr">
        <is>
          <t>Daniel Melo</t>
        </is>
      </c>
      <c r="F424" s="37" t="inlineStr">
        <is>
          <t>Saúde Total</t>
        </is>
      </c>
      <c r="G424" s="37" t="inlineStr">
        <is>
          <t>Consulta</t>
        </is>
      </c>
      <c r="H424" s="37" t="inlineStr">
        <is>
          <t>Realizado</t>
        </is>
      </c>
      <c r="I424" s="37" t="inlineStr">
        <is>
          <t>Convênio</t>
        </is>
      </c>
      <c r="J424" s="37" t="n"/>
      <c r="K424" s="36" t="n"/>
      <c r="L424" s="44">
        <f>IF(G424="","",IFERROR(INDEX(Config!$K$5:$K$16,MATCH(G424,Config!$J$5:$J$16,0)),""))</f>
        <v>30</v>
      </c>
      <c r="M424" s="30">
        <f>IF(OR(G424="",F424=""),"",IFERROR(INDEX(Config!$M$5:$R$16,MATCH(G424,Config!$J$5:$J$16,0),MATCH(F424,Config!$H$5:$H$10,0)),""))</f>
        <v>120</v>
      </c>
      <c r="N424" s="29">
        <f>IF(A424="","",MONTH(A424))</f>
        <v>8</v>
      </c>
      <c r="O424" s="29">
        <f>IF(A424="","",YEAR(A424))</f>
        <v>2026</v>
      </c>
      <c r="P424" s="29" t="str">
        <f>IF(A424="","",CHOOSE(WEEKDAY(A424,2),"Segunda","Terça","Quarta","Quinta","Sexta","Sábado","Domingo"))</f>
        <v>Quinta</v>
      </c>
      <c r="Q424" s="29" t="str">
        <f>IF(B424="","",IF(B424&lt;TIME(12,0,0),"Manhã",IF(B424&lt;TIME(18,0,0),"Tarde","Noite")))</f>
        <v>Manhã</v>
      </c>
      <c r="R424" s="45">
        <f>IF(AND(H424="Realizado",L424&lt;&gt;""),L424/60,0)</f>
        <v>0.5</v>
      </c>
    </row>
    <row r="425">
      <c r="A425" s="42" t="n">
        <v>46247</v>
      </c>
      <c r="B425" s="43" t="n">
        <v>0.3541666666666667</v>
      </c>
      <c r="C425" s="37" t="inlineStr">
        <is>
          <t>Dra. Carolina Mendes</t>
        </is>
      </c>
      <c r="D425" s="37" t="inlineStr">
        <is>
          <t>Sala 1</t>
        </is>
      </c>
      <c r="E425" s="36" t="inlineStr">
        <is>
          <t>Mateus Lima</t>
        </is>
      </c>
      <c r="F425" s="37" t="inlineStr">
        <is>
          <t>MediPlan</t>
        </is>
      </c>
      <c r="G425" s="37" t="inlineStr">
        <is>
          <t>Consulta</t>
        </is>
      </c>
      <c r="H425" s="37" t="inlineStr">
        <is>
          <t>Realizado</t>
        </is>
      </c>
      <c r="I425" s="37" t="inlineStr">
        <is>
          <t>Convênio</t>
        </is>
      </c>
      <c r="J425" s="37" t="n"/>
      <c r="K425" s="36" t="n"/>
      <c r="L425" s="44">
        <f>IF(G425="","",IFERROR(INDEX(Config!$K$5:$K$16,MATCH(G425,Config!$J$5:$J$16,0)),""))</f>
        <v>30</v>
      </c>
      <c r="M425" s="30">
        <f>IF(OR(G425="",F425=""),"",IFERROR(INDEX(Config!$M$5:$R$16,MATCH(G425,Config!$J$5:$J$16,0),MATCH(F425,Config!$H$5:$H$10,0)),""))</f>
        <v>100</v>
      </c>
      <c r="N425" s="29">
        <f>IF(A425="","",MONTH(A425))</f>
        <v>8</v>
      </c>
      <c r="O425" s="29">
        <f>IF(A425="","",YEAR(A425))</f>
        <v>2026</v>
      </c>
      <c r="P425" s="29" t="str">
        <f>IF(A425="","",CHOOSE(WEEKDAY(A425,2),"Segunda","Terça","Quarta","Quinta","Sexta","Sábado","Domingo"))</f>
        <v>Quinta</v>
      </c>
      <c r="Q425" s="29" t="str">
        <f>IF(B425="","",IF(B425&lt;TIME(12,0,0),"Manhã",IF(B425&lt;TIME(18,0,0),"Tarde","Noite")))</f>
        <v>Manhã</v>
      </c>
      <c r="R425" s="45">
        <f>IF(AND(H425="Realizado",L425&lt;&gt;""),L425/60,0)</f>
        <v>0.5</v>
      </c>
    </row>
    <row r="426">
      <c r="A426" s="42" t="n">
        <v>46247</v>
      </c>
      <c r="B426" s="43" t="n">
        <v>0.375</v>
      </c>
      <c r="C426" s="37" t="inlineStr">
        <is>
          <t>Dra. Carolina Mendes</t>
        </is>
      </c>
      <c r="D426" s="37" t="inlineStr">
        <is>
          <t>Sala 1</t>
        </is>
      </c>
      <c r="E426" s="36" t="inlineStr">
        <is>
          <t>Rafael Dias</t>
        </is>
      </c>
      <c r="F426" s="37" t="inlineStr">
        <is>
          <t>Particular</t>
        </is>
      </c>
      <c r="G426" s="37" t="inlineStr">
        <is>
          <t>Retorno</t>
        </is>
      </c>
      <c r="H426" s="37" t="inlineStr">
        <is>
          <t>Realizado</t>
        </is>
      </c>
      <c r="I426" s="37" t="inlineStr">
        <is>
          <t>Sem cobrança</t>
        </is>
      </c>
      <c r="J426" s="37" t="n"/>
      <c r="K426" s="36" t="n"/>
      <c r="L426" s="44">
        <f>IF(G426="","",IFERROR(INDEX(Config!$K$5:$K$16,MATCH(G426,Config!$J$5:$J$16,0)),""))</f>
        <v>20</v>
      </c>
      <c r="M426" s="30">
        <f>IF(OR(G426="",F426=""),"",IFERROR(INDEX(Config!$M$5:$R$16,MATCH(G426,Config!$J$5:$J$16,0),MATCH(F426,Config!$H$5:$H$10,0)),""))</f>
        <v>0</v>
      </c>
      <c r="N426" s="29">
        <f>IF(A426="","",MONTH(A426))</f>
        <v>8</v>
      </c>
      <c r="O426" s="29">
        <f>IF(A426="","",YEAR(A426))</f>
        <v>2026</v>
      </c>
      <c r="P426" s="29" t="str">
        <f>IF(A426="","",CHOOSE(WEEKDAY(A426,2),"Segunda","Terça","Quarta","Quinta","Sexta","Sábado","Domingo"))</f>
        <v>Quinta</v>
      </c>
      <c r="Q426" s="29" t="str">
        <f>IF(B426="","",IF(B426&lt;TIME(12,0,0),"Manhã",IF(B426&lt;TIME(18,0,0),"Tarde","Noite")))</f>
        <v>Manhã</v>
      </c>
      <c r="R426" s="45">
        <f>IF(AND(H426="Realizado",L426&lt;&gt;""),L426/60,0)</f>
        <v>0.333333333333333</v>
      </c>
    </row>
    <row r="427">
      <c r="A427" s="42" t="n">
        <v>46247</v>
      </c>
      <c r="B427" s="43" t="n">
        <v>0.3888888888888889</v>
      </c>
      <c r="C427" s="37" t="inlineStr">
        <is>
          <t>Dra. Carolina Mendes</t>
        </is>
      </c>
      <c r="D427" s="37" t="inlineStr">
        <is>
          <t>Sala 1</t>
        </is>
      </c>
      <c r="E427" s="36" t="inlineStr">
        <is>
          <t>Eduardo Lima</t>
        </is>
      </c>
      <c r="F427" s="37" t="inlineStr">
        <is>
          <t>Particular</t>
        </is>
      </c>
      <c r="G427" s="37" t="inlineStr">
        <is>
          <t>Consulta</t>
        </is>
      </c>
      <c r="H427" s="37" t="inlineStr">
        <is>
          <t>Realizado</t>
        </is>
      </c>
      <c r="I427" s="37" t="inlineStr">
        <is>
          <t>Cartão de crédito</t>
        </is>
      </c>
      <c r="J427" s="37" t="n"/>
      <c r="K427" s="36" t="n"/>
      <c r="L427" s="44">
        <f>IF(G427="","",IFERROR(INDEX(Config!$K$5:$K$16,MATCH(G427,Config!$J$5:$J$16,0)),""))</f>
        <v>30</v>
      </c>
      <c r="M427" s="30">
        <f>IF(OR(G427="",F427=""),"",IFERROR(INDEX(Config!$M$5:$R$16,MATCH(G427,Config!$J$5:$J$16,0),MATCH(F427,Config!$H$5:$H$10,0)),""))</f>
        <v>380</v>
      </c>
      <c r="N427" s="29">
        <f>IF(A427="","",MONTH(A427))</f>
        <v>8</v>
      </c>
      <c r="O427" s="29">
        <f>IF(A427="","",YEAR(A427))</f>
        <v>2026</v>
      </c>
      <c r="P427" s="29" t="str">
        <f>IF(A427="","",CHOOSE(WEEKDAY(A427,2),"Segunda","Terça","Quarta","Quinta","Sexta","Sábado","Domingo"))</f>
        <v>Quinta</v>
      </c>
      <c r="Q427" s="29" t="str">
        <f>IF(B427="","",IF(B427&lt;TIME(12,0,0),"Manhã",IF(B427&lt;TIME(18,0,0),"Tarde","Noite")))</f>
        <v>Manhã</v>
      </c>
      <c r="R427" s="45">
        <f>IF(AND(H427="Realizado",L427&lt;&gt;""),L427/60,0)</f>
        <v>0.5</v>
      </c>
    </row>
    <row r="428">
      <c r="A428" s="42" t="n">
        <v>46247</v>
      </c>
      <c r="B428" s="43" t="n">
        <v>0.4097222222222222</v>
      </c>
      <c r="C428" s="37" t="inlineStr">
        <is>
          <t>Dra. Carolina Mendes</t>
        </is>
      </c>
      <c r="D428" s="37" t="inlineStr">
        <is>
          <t>Sala 1</t>
        </is>
      </c>
      <c r="E428" s="36" t="inlineStr">
        <is>
          <t>Roberta Araújo</t>
        </is>
      </c>
      <c r="F428" s="37" t="inlineStr">
        <is>
          <t>Particular</t>
        </is>
      </c>
      <c r="G428" s="37" t="inlineStr">
        <is>
          <t>Retorno</t>
        </is>
      </c>
      <c r="H428" s="37" t="inlineStr">
        <is>
          <t>Realizado</t>
        </is>
      </c>
      <c r="I428" s="37" t="inlineStr">
        <is>
          <t>Sem cobrança</t>
        </is>
      </c>
      <c r="J428" s="37" t="n"/>
      <c r="K428" s="36" t="n"/>
      <c r="L428" s="44">
        <f>IF(G428="","",IFERROR(INDEX(Config!$K$5:$K$16,MATCH(G428,Config!$J$5:$J$16,0)),""))</f>
        <v>20</v>
      </c>
      <c r="M428" s="30">
        <f>IF(OR(G428="",F428=""),"",IFERROR(INDEX(Config!$M$5:$R$16,MATCH(G428,Config!$J$5:$J$16,0),MATCH(F428,Config!$H$5:$H$10,0)),""))</f>
        <v>0</v>
      </c>
      <c r="N428" s="29">
        <f>IF(A428="","",MONTH(A428))</f>
        <v>8</v>
      </c>
      <c r="O428" s="29">
        <f>IF(A428="","",YEAR(A428))</f>
        <v>2026</v>
      </c>
      <c r="P428" s="29" t="str">
        <f>IF(A428="","",CHOOSE(WEEKDAY(A428,2),"Segunda","Terça","Quarta","Quinta","Sexta","Sábado","Domingo"))</f>
        <v>Quinta</v>
      </c>
      <c r="Q428" s="29" t="str">
        <f>IF(B428="","",IF(B428&lt;TIME(12,0,0),"Manhã",IF(B428&lt;TIME(18,0,0),"Tarde","Noite")))</f>
        <v>Manhã</v>
      </c>
      <c r="R428" s="45">
        <f>IF(AND(H428="Realizado",L428&lt;&gt;""),L428/60,0)</f>
        <v>0.333333333333333</v>
      </c>
    </row>
    <row r="429">
      <c r="A429" s="42" t="n">
        <v>46247</v>
      </c>
      <c r="B429" s="43" t="n">
        <v>0.4236111111111111</v>
      </c>
      <c r="C429" s="37" t="inlineStr">
        <is>
          <t>Dra. Carolina Mendes</t>
        </is>
      </c>
      <c r="D429" s="37" t="inlineStr">
        <is>
          <t>Sala 1</t>
        </is>
      </c>
      <c r="E429" s="36" t="inlineStr">
        <is>
          <t>Gustavo Barbosa</t>
        </is>
      </c>
      <c r="F429" s="37" t="inlineStr">
        <is>
          <t>Saúde Total</t>
        </is>
      </c>
      <c r="G429" s="37" t="inlineStr">
        <is>
          <t>Retorno</t>
        </is>
      </c>
      <c r="H429" s="37" t="inlineStr">
        <is>
          <t>Falta</t>
        </is>
      </c>
      <c r="I429" s="37" t="n"/>
      <c r="J429" s="37" t="n"/>
      <c r="K429" s="36" t="n"/>
      <c r="L429" s="44">
        <f>IF(G429="","",IFERROR(INDEX(Config!$K$5:$K$16,MATCH(G429,Config!$J$5:$J$16,0)),""))</f>
        <v>20</v>
      </c>
      <c r="M429" s="30">
        <f>IF(OR(G429="",F429=""),"",IFERROR(INDEX(Config!$M$5:$R$16,MATCH(G429,Config!$J$5:$J$16,0),MATCH(F429,Config!$H$5:$H$10,0)),""))</f>
        <v>0</v>
      </c>
      <c r="N429" s="29">
        <f>IF(A429="","",MONTH(A429))</f>
        <v>8</v>
      </c>
      <c r="O429" s="29">
        <f>IF(A429="","",YEAR(A429))</f>
        <v>2026</v>
      </c>
      <c r="P429" s="29" t="str">
        <f>IF(A429="","",CHOOSE(WEEKDAY(A429,2),"Segunda","Terça","Quarta","Quinta","Sexta","Sábado","Domingo"))</f>
        <v>Quinta</v>
      </c>
      <c r="Q429" s="29" t="str">
        <f>IF(B429="","",IF(B429&lt;TIME(12,0,0),"Manhã",IF(B429&lt;TIME(18,0,0),"Tarde","Noite")))</f>
        <v>Manhã</v>
      </c>
      <c r="R429" s="45">
        <f>IF(AND(H429="Realizado",L429&lt;&gt;""),L429/60,0)</f>
        <v>0</v>
      </c>
    </row>
    <row r="430">
      <c r="A430" s="42" t="n">
        <v>46247</v>
      </c>
      <c r="B430" s="43" t="n">
        <v>0.4375</v>
      </c>
      <c r="C430" s="37" t="inlineStr">
        <is>
          <t>Dra. Carolina Mendes</t>
        </is>
      </c>
      <c r="D430" s="37" t="inlineStr">
        <is>
          <t>Sala 1</t>
        </is>
      </c>
      <c r="E430" s="36" t="inlineStr">
        <is>
          <t>Regina Macedo</t>
        </is>
      </c>
      <c r="F430" s="37" t="inlineStr">
        <is>
          <t>Particular</t>
        </is>
      </c>
      <c r="G430" s="37" t="inlineStr">
        <is>
          <t>Consulta</t>
        </is>
      </c>
      <c r="H430" s="37" t="inlineStr">
        <is>
          <t>Realizado</t>
        </is>
      </c>
      <c r="I430" s="37" t="inlineStr">
        <is>
          <t>Pix</t>
        </is>
      </c>
      <c r="J430" s="37" t="n"/>
      <c r="K430" s="36" t="n"/>
      <c r="L430" s="44">
        <f>IF(G430="","",IFERROR(INDEX(Config!$K$5:$K$16,MATCH(G430,Config!$J$5:$J$16,0)),""))</f>
        <v>30</v>
      </c>
      <c r="M430" s="30">
        <f>IF(OR(G430="",F430=""),"",IFERROR(INDEX(Config!$M$5:$R$16,MATCH(G430,Config!$J$5:$J$16,0),MATCH(F430,Config!$H$5:$H$10,0)),""))</f>
        <v>380</v>
      </c>
      <c r="N430" s="29">
        <f>IF(A430="","",MONTH(A430))</f>
        <v>8</v>
      </c>
      <c r="O430" s="29">
        <f>IF(A430="","",YEAR(A430))</f>
        <v>2026</v>
      </c>
      <c r="P430" s="29" t="str">
        <f>IF(A430="","",CHOOSE(WEEKDAY(A430,2),"Segunda","Terça","Quarta","Quinta","Sexta","Sábado","Domingo"))</f>
        <v>Quinta</v>
      </c>
      <c r="Q430" s="29" t="str">
        <f>IF(B430="","",IF(B430&lt;TIME(12,0,0),"Manhã",IF(B430&lt;TIME(18,0,0),"Tarde","Noite")))</f>
        <v>Manhã</v>
      </c>
      <c r="R430" s="45">
        <f>IF(AND(H430="Realizado",L430&lt;&gt;""),L430/60,0)</f>
        <v>0.5</v>
      </c>
    </row>
    <row r="431">
      <c r="A431" s="42" t="n">
        <v>46247</v>
      </c>
      <c r="B431" s="43" t="n">
        <v>0.4583333333333333</v>
      </c>
      <c r="C431" s="37" t="inlineStr">
        <is>
          <t>Dra. Carolina Mendes</t>
        </is>
      </c>
      <c r="D431" s="37" t="inlineStr">
        <is>
          <t>Sala 1</t>
        </is>
      </c>
      <c r="E431" s="36" t="inlineStr">
        <is>
          <t>Otávio Cardoso</t>
        </is>
      </c>
      <c r="F431" s="37" t="inlineStr">
        <is>
          <t>Particular</t>
        </is>
      </c>
      <c r="G431" s="37" t="inlineStr">
        <is>
          <t>Consulta</t>
        </is>
      </c>
      <c r="H431" s="37" t="inlineStr">
        <is>
          <t>Realizado</t>
        </is>
      </c>
      <c r="I431" s="37" t="inlineStr">
        <is>
          <t>Dinheiro</t>
        </is>
      </c>
      <c r="J431" s="37" t="n"/>
      <c r="K431" s="36" t="n"/>
      <c r="L431" s="44">
        <f>IF(G431="","",IFERROR(INDEX(Config!$K$5:$K$16,MATCH(G431,Config!$J$5:$J$16,0)),""))</f>
        <v>30</v>
      </c>
      <c r="M431" s="30">
        <f>IF(OR(G431="",F431=""),"",IFERROR(INDEX(Config!$M$5:$R$16,MATCH(G431,Config!$J$5:$J$16,0),MATCH(F431,Config!$H$5:$H$10,0)),""))</f>
        <v>380</v>
      </c>
      <c r="N431" s="29">
        <f>IF(A431="","",MONTH(A431))</f>
        <v>8</v>
      </c>
      <c r="O431" s="29">
        <f>IF(A431="","",YEAR(A431))</f>
        <v>2026</v>
      </c>
      <c r="P431" s="29" t="str">
        <f>IF(A431="","",CHOOSE(WEEKDAY(A431,2),"Segunda","Terça","Quarta","Quinta","Sexta","Sábado","Domingo"))</f>
        <v>Quinta</v>
      </c>
      <c r="Q431" s="29" t="str">
        <f>IF(B431="","",IF(B431&lt;TIME(12,0,0),"Manhã",IF(B431&lt;TIME(18,0,0),"Tarde","Noite")))</f>
        <v>Manhã</v>
      </c>
      <c r="R431" s="45">
        <f>IF(AND(H431="Realizado",L431&lt;&gt;""),L431/60,0)</f>
        <v>0.5</v>
      </c>
    </row>
    <row r="432">
      <c r="A432" s="42" t="n">
        <v>46247</v>
      </c>
      <c r="B432" s="43" t="n">
        <v>0.4791666666666667</v>
      </c>
      <c r="C432" s="37" t="inlineStr">
        <is>
          <t>Dra. Carolina Mendes</t>
        </is>
      </c>
      <c r="D432" s="37" t="inlineStr">
        <is>
          <t>Sala 1</t>
        </is>
      </c>
      <c r="E432" s="36" t="inlineStr">
        <is>
          <t>Daniel Almeida</t>
        </is>
      </c>
      <c r="F432" s="37" t="inlineStr">
        <is>
          <t>Saúde Total</t>
        </is>
      </c>
      <c r="G432" s="37" t="inlineStr">
        <is>
          <t>Consulta</t>
        </is>
      </c>
      <c r="H432" s="37" t="inlineStr">
        <is>
          <t>Cancelado</t>
        </is>
      </c>
      <c r="I432" s="37" t="n"/>
      <c r="J432" s="37" t="n"/>
      <c r="K432" s="36" t="n"/>
      <c r="L432" s="44">
        <f>IF(G432="","",IFERROR(INDEX(Config!$K$5:$K$16,MATCH(G432,Config!$J$5:$J$16,0)),""))</f>
        <v>30</v>
      </c>
      <c r="M432" s="30">
        <f>IF(OR(G432="",F432=""),"",IFERROR(INDEX(Config!$M$5:$R$16,MATCH(G432,Config!$J$5:$J$16,0),MATCH(F432,Config!$H$5:$H$10,0)),""))</f>
        <v>120</v>
      </c>
      <c r="N432" s="29">
        <f>IF(A432="","",MONTH(A432))</f>
        <v>8</v>
      </c>
      <c r="O432" s="29">
        <f>IF(A432="","",YEAR(A432))</f>
        <v>2026</v>
      </c>
      <c r="P432" s="29" t="str">
        <f>IF(A432="","",CHOOSE(WEEKDAY(A432,2),"Segunda","Terça","Quarta","Quinta","Sexta","Sábado","Domingo"))</f>
        <v>Quinta</v>
      </c>
      <c r="Q432" s="29" t="str">
        <f>IF(B432="","",IF(B432&lt;TIME(12,0,0),"Manhã",IF(B432&lt;TIME(18,0,0),"Tarde","Noite")))</f>
        <v>Manhã</v>
      </c>
      <c r="R432" s="45">
        <f>IF(AND(H432="Realizado",L432&lt;&gt;""),L432/60,0)</f>
        <v>0</v>
      </c>
    </row>
    <row r="433">
      <c r="A433" s="42" t="n">
        <v>46247</v>
      </c>
      <c r="B433" s="43" t="n">
        <v>0.5833333333333334</v>
      </c>
      <c r="C433" s="37" t="inlineStr">
        <is>
          <t>Dra. Renata Sousa</t>
        </is>
      </c>
      <c r="D433" s="37" t="inlineStr">
        <is>
          <t>Sala 1</t>
        </is>
      </c>
      <c r="E433" s="36" t="inlineStr">
        <is>
          <t>Rafael Pereira</t>
        </is>
      </c>
      <c r="F433" s="37" t="inlineStr">
        <is>
          <t>Particular</t>
        </is>
      </c>
      <c r="G433" s="37" t="inlineStr">
        <is>
          <t>Avaliação endócrina</t>
        </is>
      </c>
      <c r="H433" s="37" t="inlineStr">
        <is>
          <t>Realizado</t>
        </is>
      </c>
      <c r="I433" s="37" t="inlineStr">
        <is>
          <t>Pix</t>
        </is>
      </c>
      <c r="J433" s="37" t="n"/>
      <c r="K433" s="36" t="n"/>
      <c r="L433" s="44">
        <f>IF(G433="","",IFERROR(INDEX(Config!$K$5:$K$16,MATCH(G433,Config!$J$5:$J$16,0)),""))</f>
        <v>40</v>
      </c>
      <c r="M433" s="30">
        <f>IF(OR(G433="",F433=""),"",IFERROR(INDEX(Config!$M$5:$R$16,MATCH(G433,Config!$J$5:$J$16,0),MATCH(F433,Config!$H$5:$H$10,0)),""))</f>
        <v>400</v>
      </c>
      <c r="N433" s="29">
        <f>IF(A433="","",MONTH(A433))</f>
        <v>8</v>
      </c>
      <c r="O433" s="29">
        <f>IF(A433="","",YEAR(A433))</f>
        <v>2026</v>
      </c>
      <c r="P433" s="29" t="str">
        <f>IF(A433="","",CHOOSE(WEEKDAY(A433,2),"Segunda","Terça","Quarta","Quinta","Sexta","Sábado","Domingo"))</f>
        <v>Quinta</v>
      </c>
      <c r="Q433" s="29" t="str">
        <f>IF(B433="","",IF(B433&lt;TIME(12,0,0),"Manhã",IF(B433&lt;TIME(18,0,0),"Tarde","Noite")))</f>
        <v>Tarde</v>
      </c>
      <c r="R433" s="45">
        <f>IF(AND(H433="Realizado",L433&lt;&gt;""),L433/60,0)</f>
        <v>0.666666666666667</v>
      </c>
    </row>
    <row r="434">
      <c r="A434" s="42" t="n">
        <v>46247</v>
      </c>
      <c r="B434" s="43" t="n">
        <v>0.5833333333333334</v>
      </c>
      <c r="C434" s="37" t="inlineStr">
        <is>
          <t>Dr. Paulo Andrade</t>
        </is>
      </c>
      <c r="D434" s="37" t="inlineStr">
        <is>
          <t>Sala 2</t>
        </is>
      </c>
      <c r="E434" s="36" t="inlineStr">
        <is>
          <t>Camila Freitas</t>
        </is>
      </c>
      <c r="F434" s="37" t="inlineStr">
        <is>
          <t>Particular</t>
        </is>
      </c>
      <c r="G434" s="37" t="inlineStr">
        <is>
          <t>Consulta</t>
        </is>
      </c>
      <c r="H434" s="37" t="inlineStr">
        <is>
          <t>Realizado</t>
        </is>
      </c>
      <c r="I434" s="37" t="inlineStr">
        <is>
          <t>Pix</t>
        </is>
      </c>
      <c r="J434" s="37" t="n"/>
      <c r="K434" s="36" t="n"/>
      <c r="L434" s="44">
        <f>IF(G434="","",IFERROR(INDEX(Config!$K$5:$K$16,MATCH(G434,Config!$J$5:$J$16,0)),""))</f>
        <v>30</v>
      </c>
      <c r="M434" s="30">
        <f>IF(OR(G434="",F434=""),"",IFERROR(INDEX(Config!$M$5:$R$16,MATCH(G434,Config!$J$5:$J$16,0),MATCH(F434,Config!$H$5:$H$10,0)),""))</f>
        <v>380</v>
      </c>
      <c r="N434" s="29">
        <f>IF(A434="","",MONTH(A434))</f>
        <v>8</v>
      </c>
      <c r="O434" s="29">
        <f>IF(A434="","",YEAR(A434))</f>
        <v>2026</v>
      </c>
      <c r="P434" s="29" t="str">
        <f>IF(A434="","",CHOOSE(WEEKDAY(A434,2),"Segunda","Terça","Quarta","Quinta","Sexta","Sábado","Domingo"))</f>
        <v>Quinta</v>
      </c>
      <c r="Q434" s="29" t="str">
        <f>IF(B434="","",IF(B434&lt;TIME(12,0,0),"Manhã",IF(B434&lt;TIME(18,0,0),"Tarde","Noite")))</f>
        <v>Tarde</v>
      </c>
      <c r="R434" s="45">
        <f>IF(AND(H434="Realizado",L434&lt;&gt;""),L434/60,0)</f>
        <v>0.5</v>
      </c>
    </row>
    <row r="435">
      <c r="A435" s="42" t="n">
        <v>46247</v>
      </c>
      <c r="B435" s="43" t="n">
        <v>0.6041666666666666</v>
      </c>
      <c r="C435" s="37" t="inlineStr">
        <is>
          <t>Dr. Paulo Andrade</t>
        </is>
      </c>
      <c r="D435" s="37" t="inlineStr">
        <is>
          <t>Sala 2</t>
        </is>
      </c>
      <c r="E435" s="36" t="inlineStr">
        <is>
          <t>Wagner Carvalho</t>
        </is>
      </c>
      <c r="F435" s="37" t="inlineStr">
        <is>
          <t>Vida Care</t>
        </is>
      </c>
      <c r="G435" s="37" t="inlineStr">
        <is>
          <t>Consulta</t>
        </is>
      </c>
      <c r="H435" s="37" t="inlineStr">
        <is>
          <t>Realizado</t>
        </is>
      </c>
      <c r="I435" s="37" t="inlineStr">
        <is>
          <t>Convênio</t>
        </is>
      </c>
      <c r="J435" s="37" t="n"/>
      <c r="K435" s="36" t="n"/>
      <c r="L435" s="44">
        <f>IF(G435="","",IFERROR(INDEX(Config!$K$5:$K$16,MATCH(G435,Config!$J$5:$J$16,0)),""))</f>
        <v>30</v>
      </c>
      <c r="M435" s="30">
        <f>IF(OR(G435="",F435=""),"",IFERROR(INDEX(Config!$M$5:$R$16,MATCH(G435,Config!$J$5:$J$16,0),MATCH(F435,Config!$H$5:$H$10,0)),""))</f>
        <v>90</v>
      </c>
      <c r="N435" s="29">
        <f>IF(A435="","",MONTH(A435))</f>
        <v>8</v>
      </c>
      <c r="O435" s="29">
        <f>IF(A435="","",YEAR(A435))</f>
        <v>2026</v>
      </c>
      <c r="P435" s="29" t="str">
        <f>IF(A435="","",CHOOSE(WEEKDAY(A435,2),"Segunda","Terça","Quarta","Quinta","Sexta","Sábado","Domingo"))</f>
        <v>Quinta</v>
      </c>
      <c r="Q435" s="29" t="str">
        <f>IF(B435="","",IF(B435&lt;TIME(12,0,0),"Manhã",IF(B435&lt;TIME(18,0,0),"Tarde","Noite")))</f>
        <v>Tarde</v>
      </c>
      <c r="R435" s="45">
        <f>IF(AND(H435="Realizado",L435&lt;&gt;""),L435/60,0)</f>
        <v>0.5</v>
      </c>
    </row>
    <row r="436">
      <c r="A436" s="42" t="n">
        <v>46247</v>
      </c>
      <c r="B436" s="43" t="n">
        <v>0.6111111111111112</v>
      </c>
      <c r="C436" s="37" t="inlineStr">
        <is>
          <t>Dra. Renata Sousa</t>
        </is>
      </c>
      <c r="D436" s="37" t="inlineStr">
        <is>
          <t>Sala 1</t>
        </is>
      </c>
      <c r="E436" s="36" t="inlineStr">
        <is>
          <t>Cláudia Melo</t>
        </is>
      </c>
      <c r="F436" s="37" t="inlineStr">
        <is>
          <t>Particular</t>
        </is>
      </c>
      <c r="G436" s="37" t="inlineStr">
        <is>
          <t>Avaliação endócrina</t>
        </is>
      </c>
      <c r="H436" s="37" t="inlineStr">
        <is>
          <t>Realizado</t>
        </is>
      </c>
      <c r="I436" s="37" t="inlineStr">
        <is>
          <t>Cartão de débito</t>
        </is>
      </c>
      <c r="J436" s="37" t="n"/>
      <c r="K436" s="36" t="n"/>
      <c r="L436" s="44">
        <f>IF(G436="","",IFERROR(INDEX(Config!$K$5:$K$16,MATCH(G436,Config!$J$5:$J$16,0)),""))</f>
        <v>40</v>
      </c>
      <c r="M436" s="30">
        <f>IF(OR(G436="",F436=""),"",IFERROR(INDEX(Config!$M$5:$R$16,MATCH(G436,Config!$J$5:$J$16,0),MATCH(F436,Config!$H$5:$H$10,0)),""))</f>
        <v>400</v>
      </c>
      <c r="N436" s="29">
        <f>IF(A436="","",MONTH(A436))</f>
        <v>8</v>
      </c>
      <c r="O436" s="29">
        <f>IF(A436="","",YEAR(A436))</f>
        <v>2026</v>
      </c>
      <c r="P436" s="29" t="str">
        <f>IF(A436="","",CHOOSE(WEEKDAY(A436,2),"Segunda","Terça","Quarta","Quinta","Sexta","Sábado","Domingo"))</f>
        <v>Quinta</v>
      </c>
      <c r="Q436" s="29" t="str">
        <f>IF(B436="","",IF(B436&lt;TIME(12,0,0),"Manhã",IF(B436&lt;TIME(18,0,0),"Tarde","Noite")))</f>
        <v>Tarde</v>
      </c>
      <c r="R436" s="45">
        <f>IF(AND(H436="Realizado",L436&lt;&gt;""),L436/60,0)</f>
        <v>0.666666666666667</v>
      </c>
    </row>
    <row r="437">
      <c r="A437" s="42" t="n">
        <v>46247</v>
      </c>
      <c r="B437" s="43" t="n">
        <v>0.625</v>
      </c>
      <c r="C437" s="37" t="inlineStr">
        <is>
          <t>Dr. Paulo Andrade</t>
        </is>
      </c>
      <c r="D437" s="37" t="inlineStr">
        <is>
          <t>Sala 2</t>
        </is>
      </c>
      <c r="E437" s="36" t="inlineStr">
        <is>
          <t>Sérgio Batista</t>
        </is>
      </c>
      <c r="F437" s="37" t="inlineStr">
        <is>
          <t>MediPlan</t>
        </is>
      </c>
      <c r="G437" s="37" t="inlineStr">
        <is>
          <t>Teste ergométrico</t>
        </is>
      </c>
      <c r="H437" s="37" t="inlineStr">
        <is>
          <t>Realizado</t>
        </is>
      </c>
      <c r="I437" s="37" t="inlineStr">
        <is>
          <t>Convênio</t>
        </is>
      </c>
      <c r="J437" s="37" t="n"/>
      <c r="K437" s="36" t="n"/>
      <c r="L437" s="44">
        <f>IF(G437="","",IFERROR(INDEX(Config!$K$5:$K$16,MATCH(G437,Config!$J$5:$J$16,0)),""))</f>
        <v>40</v>
      </c>
      <c r="M437" s="30">
        <f>IF(OR(G437="",F437=""),"",IFERROR(INDEX(Config!$M$5:$R$16,MATCH(G437,Config!$J$5:$J$16,0),MATCH(F437,Config!$H$5:$H$10,0)),""))</f>
        <v>125</v>
      </c>
      <c r="N437" s="29">
        <f>IF(A437="","",MONTH(A437))</f>
        <v>8</v>
      </c>
      <c r="O437" s="29">
        <f>IF(A437="","",YEAR(A437))</f>
        <v>2026</v>
      </c>
      <c r="P437" s="29" t="str">
        <f>IF(A437="","",CHOOSE(WEEKDAY(A437,2),"Segunda","Terça","Quarta","Quinta","Sexta","Sábado","Domingo"))</f>
        <v>Quinta</v>
      </c>
      <c r="Q437" s="29" t="str">
        <f>IF(B437="","",IF(B437&lt;TIME(12,0,0),"Manhã",IF(B437&lt;TIME(18,0,0),"Tarde","Noite")))</f>
        <v>Tarde</v>
      </c>
      <c r="R437" s="45">
        <f>IF(AND(H437="Realizado",L437&lt;&gt;""),L437/60,0)</f>
        <v>0.666666666666667</v>
      </c>
    </row>
    <row r="438">
      <c r="A438" s="42" t="n">
        <v>46247</v>
      </c>
      <c r="B438" s="43" t="n">
        <v>0.6527777777777778</v>
      </c>
      <c r="C438" s="37" t="inlineStr">
        <is>
          <t>Dr. Paulo Andrade</t>
        </is>
      </c>
      <c r="D438" s="37" t="inlineStr">
        <is>
          <t>Sala 2</t>
        </is>
      </c>
      <c r="E438" s="36" t="inlineStr">
        <is>
          <t>Bruno Carvalho</t>
        </is>
      </c>
      <c r="F438" s="37" t="inlineStr">
        <is>
          <t>Saúde Total</t>
        </is>
      </c>
      <c r="G438" s="37" t="inlineStr">
        <is>
          <t>Consulta</t>
        </is>
      </c>
      <c r="H438" s="37" t="inlineStr">
        <is>
          <t>Realizado</t>
        </is>
      </c>
      <c r="I438" s="37" t="inlineStr">
        <is>
          <t>Convênio</t>
        </is>
      </c>
      <c r="J438" s="37" t="n"/>
      <c r="K438" s="36" t="n"/>
      <c r="L438" s="44">
        <f>IF(G438="","",IFERROR(INDEX(Config!$K$5:$K$16,MATCH(G438,Config!$J$5:$J$16,0)),""))</f>
        <v>30</v>
      </c>
      <c r="M438" s="30">
        <f>IF(OR(G438="",F438=""),"",IFERROR(INDEX(Config!$M$5:$R$16,MATCH(G438,Config!$J$5:$J$16,0),MATCH(F438,Config!$H$5:$H$10,0)),""))</f>
        <v>120</v>
      </c>
      <c r="N438" s="29">
        <f>IF(A438="","",MONTH(A438))</f>
        <v>8</v>
      </c>
      <c r="O438" s="29">
        <f>IF(A438="","",YEAR(A438))</f>
        <v>2026</v>
      </c>
      <c r="P438" s="29" t="str">
        <f>IF(A438="","",CHOOSE(WEEKDAY(A438,2),"Segunda","Terça","Quarta","Quinta","Sexta","Sábado","Domingo"))</f>
        <v>Quinta</v>
      </c>
      <c r="Q438" s="29" t="str">
        <f>IF(B438="","",IF(B438&lt;TIME(12,0,0),"Manhã",IF(B438&lt;TIME(18,0,0),"Tarde","Noite")))</f>
        <v>Tarde</v>
      </c>
      <c r="R438" s="45">
        <f>IF(AND(H438="Realizado",L438&lt;&gt;""),L438/60,0)</f>
        <v>0.5</v>
      </c>
    </row>
    <row r="439">
      <c r="A439" s="42" t="n">
        <v>46247</v>
      </c>
      <c r="B439" s="43" t="n">
        <v>0.6597222222222222</v>
      </c>
      <c r="C439" s="37" t="inlineStr">
        <is>
          <t>Dra. Renata Sousa</t>
        </is>
      </c>
      <c r="D439" s="37" t="inlineStr">
        <is>
          <t>Sala 1</t>
        </is>
      </c>
      <c r="E439" s="36" t="inlineStr">
        <is>
          <t>Patrícia Dias</t>
        </is>
      </c>
      <c r="F439" s="37" t="inlineStr">
        <is>
          <t>Particular</t>
        </is>
      </c>
      <c r="G439" s="37" t="inlineStr">
        <is>
          <t>Retorno</t>
        </is>
      </c>
      <c r="H439" s="37" t="inlineStr">
        <is>
          <t>Realizado</t>
        </is>
      </c>
      <c r="I439" s="37" t="inlineStr">
        <is>
          <t>Sem cobrança</t>
        </is>
      </c>
      <c r="J439" s="37" t="n"/>
      <c r="K439" s="36" t="n"/>
      <c r="L439" s="44">
        <f>IF(G439="","",IFERROR(INDEX(Config!$K$5:$K$16,MATCH(G439,Config!$J$5:$J$16,0)),""))</f>
        <v>20</v>
      </c>
      <c r="M439" s="30">
        <f>IF(OR(G439="",F439=""),"",IFERROR(INDEX(Config!$M$5:$R$16,MATCH(G439,Config!$J$5:$J$16,0),MATCH(F439,Config!$H$5:$H$10,0)),""))</f>
        <v>0</v>
      </c>
      <c r="N439" s="29">
        <f>IF(A439="","",MONTH(A439))</f>
        <v>8</v>
      </c>
      <c r="O439" s="29">
        <f>IF(A439="","",YEAR(A439))</f>
        <v>2026</v>
      </c>
      <c r="P439" s="29" t="str">
        <f>IF(A439="","",CHOOSE(WEEKDAY(A439,2),"Segunda","Terça","Quarta","Quinta","Sexta","Sábado","Domingo"))</f>
        <v>Quinta</v>
      </c>
      <c r="Q439" s="29" t="str">
        <f>IF(B439="","",IF(B439&lt;TIME(12,0,0),"Manhã",IF(B439&lt;TIME(18,0,0),"Tarde","Noite")))</f>
        <v>Tarde</v>
      </c>
      <c r="R439" s="45">
        <f>IF(AND(H439="Realizado",L439&lt;&gt;""),L439/60,0)</f>
        <v>0.333333333333333</v>
      </c>
    </row>
    <row r="440">
      <c r="A440" s="42" t="n">
        <v>46247</v>
      </c>
      <c r="B440" s="43" t="n">
        <v>0.6736111111111112</v>
      </c>
      <c r="C440" s="37" t="inlineStr">
        <is>
          <t>Dra. Renata Sousa</t>
        </is>
      </c>
      <c r="D440" s="37" t="inlineStr">
        <is>
          <t>Sala 1</t>
        </is>
      </c>
      <c r="E440" s="36" t="inlineStr">
        <is>
          <t>Carlos Gonçalves</t>
        </is>
      </c>
      <c r="F440" s="37" t="inlineStr">
        <is>
          <t>Saúde Total</t>
        </is>
      </c>
      <c r="G440" s="37" t="inlineStr">
        <is>
          <t>Retorno</t>
        </is>
      </c>
      <c r="H440" s="37" t="inlineStr">
        <is>
          <t>Realizado</t>
        </is>
      </c>
      <c r="I440" s="37" t="inlineStr">
        <is>
          <t>Sem cobrança</t>
        </is>
      </c>
      <c r="J440" s="37" t="n"/>
      <c r="K440" s="36" t="n"/>
      <c r="L440" s="44">
        <f>IF(G440="","",IFERROR(INDEX(Config!$K$5:$K$16,MATCH(G440,Config!$J$5:$J$16,0)),""))</f>
        <v>20</v>
      </c>
      <c r="M440" s="30">
        <f>IF(OR(G440="",F440=""),"",IFERROR(INDEX(Config!$M$5:$R$16,MATCH(G440,Config!$J$5:$J$16,0),MATCH(F440,Config!$H$5:$H$10,0)),""))</f>
        <v>0</v>
      </c>
      <c r="N440" s="29">
        <f>IF(A440="","",MONTH(A440))</f>
        <v>8</v>
      </c>
      <c r="O440" s="29">
        <f>IF(A440="","",YEAR(A440))</f>
        <v>2026</v>
      </c>
      <c r="P440" s="29" t="str">
        <f>IF(A440="","",CHOOSE(WEEKDAY(A440,2),"Segunda","Terça","Quarta","Quinta","Sexta","Sábado","Domingo"))</f>
        <v>Quinta</v>
      </c>
      <c r="Q440" s="29" t="str">
        <f>IF(B440="","",IF(B440&lt;TIME(12,0,0),"Manhã",IF(B440&lt;TIME(18,0,0),"Tarde","Noite")))</f>
        <v>Tarde</v>
      </c>
      <c r="R440" s="45">
        <f>IF(AND(H440="Realizado",L440&lt;&gt;""),L440/60,0)</f>
        <v>0.333333333333333</v>
      </c>
    </row>
    <row r="441">
      <c r="A441" s="42" t="n">
        <v>46247</v>
      </c>
      <c r="B441" s="43" t="n">
        <v>0.6736111111111112</v>
      </c>
      <c r="C441" s="37" t="inlineStr">
        <is>
          <t>Dr. Paulo Andrade</t>
        </is>
      </c>
      <c r="D441" s="37" t="inlineStr">
        <is>
          <t>Sala 2</t>
        </is>
      </c>
      <c r="E441" s="36" t="inlineStr">
        <is>
          <t>Débora Moreira</t>
        </is>
      </c>
      <c r="F441" s="37" t="inlineStr">
        <is>
          <t>Particular</t>
        </is>
      </c>
      <c r="G441" s="37" t="inlineStr">
        <is>
          <t>Consulta</t>
        </is>
      </c>
      <c r="H441" s="37" t="inlineStr">
        <is>
          <t>Realizado</t>
        </is>
      </c>
      <c r="I441" s="37" t="inlineStr">
        <is>
          <t>Pix</t>
        </is>
      </c>
      <c r="J441" s="37" t="n"/>
      <c r="K441" s="36" t="n"/>
      <c r="L441" s="44">
        <f>IF(G441="","",IFERROR(INDEX(Config!$K$5:$K$16,MATCH(G441,Config!$J$5:$J$16,0)),""))</f>
        <v>30</v>
      </c>
      <c r="M441" s="30">
        <f>IF(OR(G441="",F441=""),"",IFERROR(INDEX(Config!$M$5:$R$16,MATCH(G441,Config!$J$5:$J$16,0),MATCH(F441,Config!$H$5:$H$10,0)),""))</f>
        <v>380</v>
      </c>
      <c r="N441" s="29">
        <f>IF(A441="","",MONTH(A441))</f>
        <v>8</v>
      </c>
      <c r="O441" s="29">
        <f>IF(A441="","",YEAR(A441))</f>
        <v>2026</v>
      </c>
      <c r="P441" s="29" t="str">
        <f>IF(A441="","",CHOOSE(WEEKDAY(A441,2),"Segunda","Terça","Quarta","Quinta","Sexta","Sábado","Domingo"))</f>
        <v>Quinta</v>
      </c>
      <c r="Q441" s="29" t="str">
        <f>IF(B441="","",IF(B441&lt;TIME(12,0,0),"Manhã",IF(B441&lt;TIME(18,0,0),"Tarde","Noite")))</f>
        <v>Tarde</v>
      </c>
      <c r="R441" s="45">
        <f>IF(AND(H441="Realizado",L441&lt;&gt;""),L441/60,0)</f>
        <v>0.5</v>
      </c>
    </row>
    <row r="442">
      <c r="A442" s="42" t="n">
        <v>46247</v>
      </c>
      <c r="B442" s="43" t="n">
        <v>0.6875</v>
      </c>
      <c r="C442" s="37" t="inlineStr">
        <is>
          <t>Dra. Renata Sousa</t>
        </is>
      </c>
      <c r="D442" s="37" t="inlineStr">
        <is>
          <t>Sala 1</t>
        </is>
      </c>
      <c r="E442" s="36" t="inlineStr">
        <is>
          <t>Isabela Xavier</t>
        </is>
      </c>
      <c r="F442" s="37" t="inlineStr">
        <is>
          <t>Particular</t>
        </is>
      </c>
      <c r="G442" s="37" t="inlineStr">
        <is>
          <t>Avaliação endócrina</t>
        </is>
      </c>
      <c r="H442" s="37" t="inlineStr">
        <is>
          <t>Realizado</t>
        </is>
      </c>
      <c r="I442" s="37" t="inlineStr">
        <is>
          <t>Cartão de débito</t>
        </is>
      </c>
      <c r="J442" s="37" t="n"/>
      <c r="K442" s="36" t="n"/>
      <c r="L442" s="44">
        <f>IF(G442="","",IFERROR(INDEX(Config!$K$5:$K$16,MATCH(G442,Config!$J$5:$J$16,0)),""))</f>
        <v>40</v>
      </c>
      <c r="M442" s="30">
        <f>IF(OR(G442="",F442=""),"",IFERROR(INDEX(Config!$M$5:$R$16,MATCH(G442,Config!$J$5:$J$16,0),MATCH(F442,Config!$H$5:$H$10,0)),""))</f>
        <v>400</v>
      </c>
      <c r="N442" s="29">
        <f>IF(A442="","",MONTH(A442))</f>
        <v>8</v>
      </c>
      <c r="O442" s="29">
        <f>IF(A442="","",YEAR(A442))</f>
        <v>2026</v>
      </c>
      <c r="P442" s="29" t="str">
        <f>IF(A442="","",CHOOSE(WEEKDAY(A442,2),"Segunda","Terça","Quarta","Quinta","Sexta","Sábado","Domingo"))</f>
        <v>Quinta</v>
      </c>
      <c r="Q442" s="29" t="str">
        <f>IF(B442="","",IF(B442&lt;TIME(12,0,0),"Manhã",IF(B442&lt;TIME(18,0,0),"Tarde","Noite")))</f>
        <v>Tarde</v>
      </c>
      <c r="R442" s="45">
        <f>IF(AND(H442="Realizado",L442&lt;&gt;""),L442/60,0)</f>
        <v>0.666666666666667</v>
      </c>
    </row>
    <row r="443">
      <c r="A443" s="42" t="n">
        <v>46247</v>
      </c>
      <c r="B443" s="43" t="n">
        <v>0.6944444444444444</v>
      </c>
      <c r="C443" s="37" t="inlineStr">
        <is>
          <t>Dr. Paulo Andrade</t>
        </is>
      </c>
      <c r="D443" s="37" t="inlineStr">
        <is>
          <t>Sala 2</t>
        </is>
      </c>
      <c r="E443" s="36" t="inlineStr">
        <is>
          <t>Leandro Gomes</t>
        </is>
      </c>
      <c r="F443" s="37" t="inlineStr">
        <is>
          <t>Saúde Total</t>
        </is>
      </c>
      <c r="G443" s="37" t="inlineStr">
        <is>
          <t>Holter</t>
        </is>
      </c>
      <c r="H443" s="37" t="inlineStr">
        <is>
          <t>Realizado</t>
        </is>
      </c>
      <c r="I443" s="37" t="inlineStr">
        <is>
          <t>Convênio</t>
        </is>
      </c>
      <c r="J443" s="37" t="n"/>
      <c r="K443" s="36" t="n"/>
      <c r="L443" s="44">
        <f>IF(G443="","",IFERROR(INDEX(Config!$K$5:$K$16,MATCH(G443,Config!$J$5:$J$16,0)),""))</f>
        <v>20</v>
      </c>
      <c r="M443" s="30">
        <f>IF(OR(G443="",F443=""),"",IFERROR(INDEX(Config!$M$5:$R$16,MATCH(G443,Config!$J$5:$J$16,0),MATCH(F443,Config!$H$5:$H$10,0)),""))</f>
        <v>105</v>
      </c>
      <c r="N443" s="29">
        <f>IF(A443="","",MONTH(A443))</f>
        <v>8</v>
      </c>
      <c r="O443" s="29">
        <f>IF(A443="","",YEAR(A443))</f>
        <v>2026</v>
      </c>
      <c r="P443" s="29" t="str">
        <f>IF(A443="","",CHOOSE(WEEKDAY(A443,2),"Segunda","Terça","Quarta","Quinta","Sexta","Sábado","Domingo"))</f>
        <v>Quinta</v>
      </c>
      <c r="Q443" s="29" t="str">
        <f>IF(B443="","",IF(B443&lt;TIME(12,0,0),"Manhã",IF(B443&lt;TIME(18,0,0),"Tarde","Noite")))</f>
        <v>Tarde</v>
      </c>
      <c r="R443" s="45">
        <f>IF(AND(H443="Realizado",L443&lt;&gt;""),L443/60,0)</f>
        <v>0.333333333333333</v>
      </c>
    </row>
    <row r="444">
      <c r="A444" s="42" t="n">
        <v>46247</v>
      </c>
      <c r="B444" s="43" t="n">
        <v>0.7083333333333334</v>
      </c>
      <c r="C444" s="37" t="inlineStr">
        <is>
          <t>Dr. Paulo Andrade</t>
        </is>
      </c>
      <c r="D444" s="37" t="inlineStr">
        <is>
          <t>Sala 2</t>
        </is>
      </c>
      <c r="E444" s="36" t="inlineStr">
        <is>
          <t>Sandra Cardoso</t>
        </is>
      </c>
      <c r="F444" s="37" t="inlineStr">
        <is>
          <t>Saúde Total</t>
        </is>
      </c>
      <c r="G444" s="37" t="inlineStr">
        <is>
          <t>Consulta</t>
        </is>
      </c>
      <c r="H444" s="37" t="inlineStr">
        <is>
          <t>Realizado</t>
        </is>
      </c>
      <c r="I444" s="37" t="inlineStr">
        <is>
          <t>Convênio</t>
        </is>
      </c>
      <c r="J444" s="37" t="n"/>
      <c r="K444" s="36" t="n"/>
      <c r="L444" s="44">
        <f>IF(G444="","",IFERROR(INDEX(Config!$K$5:$K$16,MATCH(G444,Config!$J$5:$J$16,0)),""))</f>
        <v>30</v>
      </c>
      <c r="M444" s="30">
        <f>IF(OR(G444="",F444=""),"",IFERROR(INDEX(Config!$M$5:$R$16,MATCH(G444,Config!$J$5:$J$16,0),MATCH(F444,Config!$H$5:$H$10,0)),""))</f>
        <v>120</v>
      </c>
      <c r="N444" s="29">
        <f>IF(A444="","",MONTH(A444))</f>
        <v>8</v>
      </c>
      <c r="O444" s="29">
        <f>IF(A444="","",YEAR(A444))</f>
        <v>2026</v>
      </c>
      <c r="P444" s="29" t="str">
        <f>IF(A444="","",CHOOSE(WEEKDAY(A444,2),"Segunda","Terça","Quarta","Quinta","Sexta","Sábado","Domingo"))</f>
        <v>Quinta</v>
      </c>
      <c r="Q444" s="29" t="str">
        <f>IF(B444="","",IF(B444&lt;TIME(12,0,0),"Manhã",IF(B444&lt;TIME(18,0,0),"Tarde","Noite")))</f>
        <v>Tarde</v>
      </c>
      <c r="R444" s="45">
        <f>IF(AND(H444="Realizado",L444&lt;&gt;""),L444/60,0)</f>
        <v>0.5</v>
      </c>
    </row>
    <row r="445">
      <c r="A445" s="42" t="n">
        <v>46247</v>
      </c>
      <c r="B445" s="43" t="n">
        <v>0.7152777777777778</v>
      </c>
      <c r="C445" s="37" t="inlineStr">
        <is>
          <t>Dra. Renata Sousa</t>
        </is>
      </c>
      <c r="D445" s="37" t="inlineStr">
        <is>
          <t>Sala 1</t>
        </is>
      </c>
      <c r="E445" s="36" t="inlineStr">
        <is>
          <t>Rodrigo Cardoso</t>
        </is>
      </c>
      <c r="F445" s="37" t="inlineStr">
        <is>
          <t>Saúde Total</t>
        </is>
      </c>
      <c r="G445" s="37" t="inlineStr">
        <is>
          <t>Retorno</t>
        </is>
      </c>
      <c r="H445" s="37" t="inlineStr">
        <is>
          <t>Realizado</t>
        </is>
      </c>
      <c r="I445" s="37" t="inlineStr">
        <is>
          <t>Sem cobrança</t>
        </is>
      </c>
      <c r="J445" s="37" t="n"/>
      <c r="K445" s="36" t="n"/>
      <c r="L445" s="44">
        <f>IF(G445="","",IFERROR(INDEX(Config!$K$5:$K$16,MATCH(G445,Config!$J$5:$J$16,0)),""))</f>
        <v>20</v>
      </c>
      <c r="M445" s="30">
        <f>IF(OR(G445="",F445=""),"",IFERROR(INDEX(Config!$M$5:$R$16,MATCH(G445,Config!$J$5:$J$16,0),MATCH(F445,Config!$H$5:$H$10,0)),""))</f>
        <v>0</v>
      </c>
      <c r="N445" s="29">
        <f>IF(A445="","",MONTH(A445))</f>
        <v>8</v>
      </c>
      <c r="O445" s="29">
        <f>IF(A445="","",YEAR(A445))</f>
        <v>2026</v>
      </c>
      <c r="P445" s="29" t="str">
        <f>IF(A445="","",CHOOSE(WEEKDAY(A445,2),"Segunda","Terça","Quarta","Quinta","Sexta","Sábado","Domingo"))</f>
        <v>Quinta</v>
      </c>
      <c r="Q445" s="29" t="str">
        <f>IF(B445="","",IF(B445&lt;TIME(12,0,0),"Manhã",IF(B445&lt;TIME(18,0,0),"Tarde","Noite")))</f>
        <v>Tarde</v>
      </c>
      <c r="R445" s="45">
        <f>IF(AND(H445="Realizado",L445&lt;&gt;""),L445/60,0)</f>
        <v>0.333333333333333</v>
      </c>
    </row>
    <row r="446">
      <c r="A446" s="42" t="n">
        <v>46247</v>
      </c>
      <c r="B446" s="43" t="n">
        <v>0.7291666666666666</v>
      </c>
      <c r="C446" s="37" t="inlineStr">
        <is>
          <t>Dra. Renata Sousa</t>
        </is>
      </c>
      <c r="D446" s="37" t="inlineStr">
        <is>
          <t>Sala 1</t>
        </is>
      </c>
      <c r="E446" s="36" t="inlineStr">
        <is>
          <t>Priscila Reis</t>
        </is>
      </c>
      <c r="F446" s="37" t="inlineStr">
        <is>
          <t>Particular</t>
        </is>
      </c>
      <c r="G446" s="37" t="inlineStr">
        <is>
          <t>Avaliação endócrina</t>
        </is>
      </c>
      <c r="H446" s="37" t="inlineStr">
        <is>
          <t>Realizado</t>
        </is>
      </c>
      <c r="I446" s="37" t="inlineStr">
        <is>
          <t>Pix</t>
        </is>
      </c>
      <c r="J446" s="37" t="n"/>
      <c r="K446" s="36" t="n"/>
      <c r="L446" s="44">
        <f>IF(G446="","",IFERROR(INDEX(Config!$K$5:$K$16,MATCH(G446,Config!$J$5:$J$16,0)),""))</f>
        <v>40</v>
      </c>
      <c r="M446" s="30">
        <f>IF(OR(G446="",F446=""),"",IFERROR(INDEX(Config!$M$5:$R$16,MATCH(G446,Config!$J$5:$J$16,0),MATCH(F446,Config!$H$5:$H$10,0)),""))</f>
        <v>400</v>
      </c>
      <c r="N446" s="29">
        <f>IF(A446="","",MONTH(A446))</f>
        <v>8</v>
      </c>
      <c r="O446" s="29">
        <f>IF(A446="","",YEAR(A446))</f>
        <v>2026</v>
      </c>
      <c r="P446" s="29" t="str">
        <f>IF(A446="","",CHOOSE(WEEKDAY(A446,2),"Segunda","Terça","Quarta","Quinta","Sexta","Sábado","Domingo"))</f>
        <v>Quinta</v>
      </c>
      <c r="Q446" s="29" t="str">
        <f>IF(B446="","",IF(B446&lt;TIME(12,0,0),"Manhã",IF(B446&lt;TIME(18,0,0),"Tarde","Noite")))</f>
        <v>Tarde</v>
      </c>
      <c r="R446" s="45">
        <f>IF(AND(H446="Realizado",L446&lt;&gt;""),L446/60,0)</f>
        <v>0.666666666666667</v>
      </c>
    </row>
    <row r="447">
      <c r="A447" s="42" t="n">
        <v>46247</v>
      </c>
      <c r="B447" s="43" t="n">
        <v>0.7291666666666666</v>
      </c>
      <c r="C447" s="37" t="inlineStr">
        <is>
          <t>Dr. Paulo Andrade</t>
        </is>
      </c>
      <c r="D447" s="37" t="inlineStr">
        <is>
          <t>Sala 2</t>
        </is>
      </c>
      <c r="E447" s="36" t="inlineStr">
        <is>
          <t>Gustavo Barbosa</t>
        </is>
      </c>
      <c r="F447" s="37" t="inlineStr">
        <is>
          <t>Saúde Total</t>
        </is>
      </c>
      <c r="G447" s="37" t="inlineStr">
        <is>
          <t>ECG</t>
        </is>
      </c>
      <c r="H447" s="37" t="inlineStr">
        <is>
          <t>Realizado</t>
        </is>
      </c>
      <c r="I447" s="37" t="inlineStr">
        <is>
          <t>Convênio</t>
        </is>
      </c>
      <c r="J447" s="37" t="n"/>
      <c r="K447" s="36" t="n"/>
      <c r="L447" s="44">
        <f>IF(G447="","",IFERROR(INDEX(Config!$K$5:$K$16,MATCH(G447,Config!$J$5:$J$16,0)),""))</f>
        <v>20</v>
      </c>
      <c r="M447" s="30">
        <f>IF(OR(G447="",F447=""),"",IFERROR(INDEX(Config!$M$5:$R$16,MATCH(G447,Config!$J$5:$J$16,0),MATCH(F447,Config!$H$5:$H$10,0)),""))</f>
        <v>40</v>
      </c>
      <c r="N447" s="29">
        <f>IF(A447="","",MONTH(A447))</f>
        <v>8</v>
      </c>
      <c r="O447" s="29">
        <f>IF(A447="","",YEAR(A447))</f>
        <v>2026</v>
      </c>
      <c r="P447" s="29" t="str">
        <f>IF(A447="","",CHOOSE(WEEKDAY(A447,2),"Segunda","Terça","Quarta","Quinta","Sexta","Sábado","Domingo"))</f>
        <v>Quinta</v>
      </c>
      <c r="Q447" s="29" t="str">
        <f>IF(B447="","",IF(B447&lt;TIME(12,0,0),"Manhã",IF(B447&lt;TIME(18,0,0),"Tarde","Noite")))</f>
        <v>Tarde</v>
      </c>
      <c r="R447" s="45">
        <f>IF(AND(H447="Realizado",L447&lt;&gt;""),L447/60,0)</f>
        <v>0.333333333333333</v>
      </c>
    </row>
    <row r="448">
      <c r="A448" s="42" t="n">
        <v>46248</v>
      </c>
      <c r="B448" s="43" t="n">
        <v>0.375</v>
      </c>
      <c r="C448" s="37" t="inlineStr">
        <is>
          <t>Dr. Paulo Andrade</t>
        </is>
      </c>
      <c r="D448" s="37" t="inlineStr">
        <is>
          <t>Sala 2</t>
        </is>
      </c>
      <c r="E448" s="36" t="inlineStr">
        <is>
          <t>Sandra Martins</t>
        </is>
      </c>
      <c r="F448" s="37" t="inlineStr">
        <is>
          <t>MediPlan</t>
        </is>
      </c>
      <c r="G448" s="37" t="inlineStr">
        <is>
          <t>Consulta</t>
        </is>
      </c>
      <c r="H448" s="37" t="inlineStr">
        <is>
          <t>Realizado</t>
        </is>
      </c>
      <c r="I448" s="37" t="inlineStr">
        <is>
          <t>Convênio</t>
        </is>
      </c>
      <c r="J448" s="37" t="n"/>
      <c r="K448" s="36" t="n"/>
      <c r="L448" s="44">
        <f>IF(G448="","",IFERROR(INDEX(Config!$K$5:$K$16,MATCH(G448,Config!$J$5:$J$16,0)),""))</f>
        <v>30</v>
      </c>
      <c r="M448" s="30">
        <f>IF(OR(G448="",F448=""),"",IFERROR(INDEX(Config!$M$5:$R$16,MATCH(G448,Config!$J$5:$J$16,0),MATCH(F448,Config!$H$5:$H$10,0)),""))</f>
        <v>100</v>
      </c>
      <c r="N448" s="29">
        <f>IF(A448="","",MONTH(A448))</f>
        <v>8</v>
      </c>
      <c r="O448" s="29">
        <f>IF(A448="","",YEAR(A448))</f>
        <v>2026</v>
      </c>
      <c r="P448" s="29" t="str">
        <f>IF(A448="","",CHOOSE(WEEKDAY(A448,2),"Segunda","Terça","Quarta","Quinta","Sexta","Sábado","Domingo"))</f>
        <v>Sexta</v>
      </c>
      <c r="Q448" s="29" t="str">
        <f>IF(B448="","",IF(B448&lt;TIME(12,0,0),"Manhã",IF(B448&lt;TIME(18,0,0),"Tarde","Noite")))</f>
        <v>Manhã</v>
      </c>
      <c r="R448" s="45">
        <f>IF(AND(H448="Realizado",L448&lt;&gt;""),L448/60,0)</f>
        <v>0.5</v>
      </c>
    </row>
    <row r="449">
      <c r="A449" s="42" t="n">
        <v>46248</v>
      </c>
      <c r="B449" s="43" t="n">
        <v>0.3958333333333333</v>
      </c>
      <c r="C449" s="37" t="inlineStr">
        <is>
          <t>Dr. Paulo Andrade</t>
        </is>
      </c>
      <c r="D449" s="37" t="inlineStr">
        <is>
          <t>Sala 2</t>
        </is>
      </c>
      <c r="E449" s="36" t="inlineStr">
        <is>
          <t>Henrique Ribeiro</t>
        </is>
      </c>
      <c r="F449" s="37" t="inlineStr">
        <is>
          <t>Particular</t>
        </is>
      </c>
      <c r="G449" s="37" t="inlineStr">
        <is>
          <t>Retorno</t>
        </is>
      </c>
      <c r="H449" s="37" t="inlineStr">
        <is>
          <t>Realizado</t>
        </is>
      </c>
      <c r="I449" s="37" t="inlineStr">
        <is>
          <t>Sem cobrança</t>
        </is>
      </c>
      <c r="J449" s="37" t="n"/>
      <c r="K449" s="36" t="n"/>
      <c r="L449" s="44">
        <f>IF(G449="","",IFERROR(INDEX(Config!$K$5:$K$16,MATCH(G449,Config!$J$5:$J$16,0)),""))</f>
        <v>20</v>
      </c>
      <c r="M449" s="30">
        <f>IF(OR(G449="",F449=""),"",IFERROR(INDEX(Config!$M$5:$R$16,MATCH(G449,Config!$J$5:$J$16,0),MATCH(F449,Config!$H$5:$H$10,0)),""))</f>
        <v>0</v>
      </c>
      <c r="N449" s="29">
        <f>IF(A449="","",MONTH(A449))</f>
        <v>8</v>
      </c>
      <c r="O449" s="29">
        <f>IF(A449="","",YEAR(A449))</f>
        <v>2026</v>
      </c>
      <c r="P449" s="29" t="str">
        <f>IF(A449="","",CHOOSE(WEEKDAY(A449,2),"Segunda","Terça","Quarta","Quinta","Sexta","Sábado","Domingo"))</f>
        <v>Sexta</v>
      </c>
      <c r="Q449" s="29" t="str">
        <f>IF(B449="","",IF(B449&lt;TIME(12,0,0),"Manhã",IF(B449&lt;TIME(18,0,0),"Tarde","Noite")))</f>
        <v>Manhã</v>
      </c>
      <c r="R449" s="45">
        <f>IF(AND(H449="Realizado",L449&lt;&gt;""),L449/60,0)</f>
        <v>0.333333333333333</v>
      </c>
    </row>
    <row r="450">
      <c r="A450" s="42" t="n">
        <v>46248</v>
      </c>
      <c r="B450" s="43" t="n">
        <v>0.4097222222222222</v>
      </c>
      <c r="C450" s="37" t="inlineStr">
        <is>
          <t>Dr. Paulo Andrade</t>
        </is>
      </c>
      <c r="D450" s="37" t="inlineStr">
        <is>
          <t>Sala 2</t>
        </is>
      </c>
      <c r="E450" s="36" t="inlineStr">
        <is>
          <t>Gisele Pinto</t>
        </is>
      </c>
      <c r="F450" s="37" t="inlineStr">
        <is>
          <t>Saúde Total</t>
        </is>
      </c>
      <c r="G450" s="37" t="inlineStr">
        <is>
          <t>Consulta</t>
        </is>
      </c>
      <c r="H450" s="37" t="inlineStr">
        <is>
          <t>Realizado</t>
        </is>
      </c>
      <c r="I450" s="37" t="inlineStr">
        <is>
          <t>Convênio</t>
        </is>
      </c>
      <c r="J450" s="37" t="n"/>
      <c r="K450" s="36" t="n"/>
      <c r="L450" s="44">
        <f>IF(G450="","",IFERROR(INDEX(Config!$K$5:$K$16,MATCH(G450,Config!$J$5:$J$16,0)),""))</f>
        <v>30</v>
      </c>
      <c r="M450" s="30">
        <f>IF(OR(G450="",F450=""),"",IFERROR(INDEX(Config!$M$5:$R$16,MATCH(G450,Config!$J$5:$J$16,0),MATCH(F450,Config!$H$5:$H$10,0)),""))</f>
        <v>120</v>
      </c>
      <c r="N450" s="29">
        <f>IF(A450="","",MONTH(A450))</f>
        <v>8</v>
      </c>
      <c r="O450" s="29">
        <f>IF(A450="","",YEAR(A450))</f>
        <v>2026</v>
      </c>
      <c r="P450" s="29" t="str">
        <f>IF(A450="","",CHOOSE(WEEKDAY(A450,2),"Segunda","Terça","Quarta","Quinta","Sexta","Sábado","Domingo"))</f>
        <v>Sexta</v>
      </c>
      <c r="Q450" s="29" t="str">
        <f>IF(B450="","",IF(B450&lt;TIME(12,0,0),"Manhã",IF(B450&lt;TIME(18,0,0),"Tarde","Noite")))</f>
        <v>Manhã</v>
      </c>
      <c r="R450" s="45">
        <f>IF(AND(H450="Realizado",L450&lt;&gt;""),L450/60,0)</f>
        <v>0.5</v>
      </c>
    </row>
    <row r="451">
      <c r="A451" s="42" t="n">
        <v>46248</v>
      </c>
      <c r="B451" s="43" t="n">
        <v>0.4305555555555556</v>
      </c>
      <c r="C451" s="37" t="inlineStr">
        <is>
          <t>Dr. Paulo Andrade</t>
        </is>
      </c>
      <c r="D451" s="37" t="inlineStr">
        <is>
          <t>Sala 2</t>
        </is>
      </c>
      <c r="E451" s="36" t="inlineStr">
        <is>
          <t>Cláudia Santos</t>
        </is>
      </c>
      <c r="F451" s="37" t="inlineStr">
        <is>
          <t>Particular</t>
        </is>
      </c>
      <c r="G451" s="37" t="inlineStr">
        <is>
          <t>MAPA</t>
        </is>
      </c>
      <c r="H451" s="37" t="inlineStr">
        <is>
          <t>Falta</t>
        </is>
      </c>
      <c r="I451" s="37" t="n"/>
      <c r="J451" s="37" t="n"/>
      <c r="K451" s="36" t="n"/>
      <c r="L451" s="44">
        <f>IF(G451="","",IFERROR(INDEX(Config!$K$5:$K$16,MATCH(G451,Config!$J$5:$J$16,0)),""))</f>
        <v>20</v>
      </c>
      <c r="M451" s="30">
        <f>IF(OR(G451="",F451=""),"",IFERROR(INDEX(Config!$M$5:$R$16,MATCH(G451,Config!$J$5:$J$16,0),MATCH(F451,Config!$H$5:$H$10,0)),""))</f>
        <v>300</v>
      </c>
      <c r="N451" s="29">
        <f>IF(A451="","",MONTH(A451))</f>
        <v>8</v>
      </c>
      <c r="O451" s="29">
        <f>IF(A451="","",YEAR(A451))</f>
        <v>2026</v>
      </c>
      <c r="P451" s="29" t="str">
        <f>IF(A451="","",CHOOSE(WEEKDAY(A451,2),"Segunda","Terça","Quarta","Quinta","Sexta","Sábado","Domingo"))</f>
        <v>Sexta</v>
      </c>
      <c r="Q451" s="29" t="str">
        <f>IF(B451="","",IF(B451&lt;TIME(12,0,0),"Manhã",IF(B451&lt;TIME(18,0,0),"Tarde","Noite")))</f>
        <v>Manhã</v>
      </c>
      <c r="R451" s="45">
        <f>IF(AND(H451="Realizado",L451&lt;&gt;""),L451/60,0)</f>
        <v>0</v>
      </c>
    </row>
    <row r="452">
      <c r="A452" s="42" t="n">
        <v>46248</v>
      </c>
      <c r="B452" s="43" t="n">
        <v>0.4652777777777778</v>
      </c>
      <c r="C452" s="37" t="inlineStr">
        <is>
          <t>Dr. Paulo Andrade</t>
        </is>
      </c>
      <c r="D452" s="37" t="inlineStr">
        <is>
          <t>Sala 2</t>
        </is>
      </c>
      <c r="E452" s="36" t="inlineStr">
        <is>
          <t>Thiago Duarte</t>
        </is>
      </c>
      <c r="F452" s="37" t="inlineStr">
        <is>
          <t>Saúde Total</t>
        </is>
      </c>
      <c r="G452" s="37" t="inlineStr">
        <is>
          <t>ECG</t>
        </is>
      </c>
      <c r="H452" s="37" t="inlineStr">
        <is>
          <t>Realizado</t>
        </is>
      </c>
      <c r="I452" s="37" t="inlineStr">
        <is>
          <t>Convênio</t>
        </is>
      </c>
      <c r="J452" s="37" t="n"/>
      <c r="K452" s="36" t="n"/>
      <c r="L452" s="44">
        <f>IF(G452="","",IFERROR(INDEX(Config!$K$5:$K$16,MATCH(G452,Config!$J$5:$J$16,0)),""))</f>
        <v>20</v>
      </c>
      <c r="M452" s="30">
        <f>IF(OR(G452="",F452=""),"",IFERROR(INDEX(Config!$M$5:$R$16,MATCH(G452,Config!$J$5:$J$16,0),MATCH(F452,Config!$H$5:$H$10,0)),""))</f>
        <v>40</v>
      </c>
      <c r="N452" s="29">
        <f>IF(A452="","",MONTH(A452))</f>
        <v>8</v>
      </c>
      <c r="O452" s="29">
        <f>IF(A452="","",YEAR(A452))</f>
        <v>2026</v>
      </c>
      <c r="P452" s="29" t="str">
        <f>IF(A452="","",CHOOSE(WEEKDAY(A452,2),"Segunda","Terça","Quarta","Quinta","Sexta","Sábado","Domingo"))</f>
        <v>Sexta</v>
      </c>
      <c r="Q452" s="29" t="str">
        <f>IF(B452="","",IF(B452&lt;TIME(12,0,0),"Manhã",IF(B452&lt;TIME(18,0,0),"Tarde","Noite")))</f>
        <v>Manhã</v>
      </c>
      <c r="R452" s="45">
        <f>IF(AND(H452="Realizado",L452&lt;&gt;""),L452/60,0)</f>
        <v>0.333333333333333</v>
      </c>
    </row>
    <row r="453">
      <c r="A453" s="42" t="n">
        <v>46248</v>
      </c>
      <c r="B453" s="43" t="n">
        <v>0.4791666666666667</v>
      </c>
      <c r="C453" s="37" t="inlineStr">
        <is>
          <t>Dr. Paulo Andrade</t>
        </is>
      </c>
      <c r="D453" s="37" t="inlineStr">
        <is>
          <t>Sala 2</t>
        </is>
      </c>
      <c r="E453" s="36" t="inlineStr">
        <is>
          <t>Elaine Cardoso</t>
        </is>
      </c>
      <c r="F453" s="37" t="inlineStr">
        <is>
          <t>Particular</t>
        </is>
      </c>
      <c r="G453" s="37" t="inlineStr">
        <is>
          <t>ECG</t>
        </is>
      </c>
      <c r="H453" s="37" t="inlineStr">
        <is>
          <t>Realizado</t>
        </is>
      </c>
      <c r="I453" s="37" t="inlineStr">
        <is>
          <t>A prazo</t>
        </is>
      </c>
      <c r="J453" s="37" t="n"/>
      <c r="K453" s="36" t="n"/>
      <c r="L453" s="44">
        <f>IF(G453="","",IFERROR(INDEX(Config!$K$5:$K$16,MATCH(G453,Config!$J$5:$J$16,0)),""))</f>
        <v>20</v>
      </c>
      <c r="M453" s="30">
        <f>IF(OR(G453="",F453=""),"",IFERROR(INDEX(Config!$M$5:$R$16,MATCH(G453,Config!$J$5:$J$16,0),MATCH(F453,Config!$H$5:$H$10,0)),""))</f>
        <v>130</v>
      </c>
      <c r="N453" s="29">
        <f>IF(A453="","",MONTH(A453))</f>
        <v>8</v>
      </c>
      <c r="O453" s="29">
        <f>IF(A453="","",YEAR(A453))</f>
        <v>2026</v>
      </c>
      <c r="P453" s="29" t="str">
        <f>IF(A453="","",CHOOSE(WEEKDAY(A453,2),"Segunda","Terça","Quarta","Quinta","Sexta","Sábado","Domingo"))</f>
        <v>Sexta</v>
      </c>
      <c r="Q453" s="29" t="str">
        <f>IF(B453="","",IF(B453&lt;TIME(12,0,0),"Manhã",IF(B453&lt;TIME(18,0,0),"Tarde","Noite")))</f>
        <v>Manhã</v>
      </c>
      <c r="R453" s="45">
        <f>IF(AND(H453="Realizado",L453&lt;&gt;""),L453/60,0)</f>
        <v>0.333333333333333</v>
      </c>
    </row>
    <row r="454">
      <c r="A454" s="42" t="n">
        <v>46251</v>
      </c>
      <c r="B454" s="43" t="n">
        <v>0.3333333333333333</v>
      </c>
      <c r="C454" s="37" t="inlineStr">
        <is>
          <t>Dra. Carolina Mendes</t>
        </is>
      </c>
      <c r="D454" s="37" t="inlineStr">
        <is>
          <t>Sala 1</t>
        </is>
      </c>
      <c r="E454" s="36" t="inlineStr">
        <is>
          <t>Letícia Vieira</t>
        </is>
      </c>
      <c r="F454" s="37" t="inlineStr">
        <is>
          <t>Saúde Total</t>
        </is>
      </c>
      <c r="G454" s="37" t="inlineStr">
        <is>
          <t>Retorno</t>
        </is>
      </c>
      <c r="H454" s="37" t="inlineStr">
        <is>
          <t>Realizado</t>
        </is>
      </c>
      <c r="I454" s="37" t="inlineStr">
        <is>
          <t>Sem cobrança</t>
        </is>
      </c>
      <c r="J454" s="37" t="n"/>
      <c r="K454" s="36" t="n"/>
      <c r="L454" s="44">
        <f>IF(G454="","",IFERROR(INDEX(Config!$K$5:$K$16,MATCH(G454,Config!$J$5:$J$16,0)),""))</f>
        <v>20</v>
      </c>
      <c r="M454" s="30">
        <f>IF(OR(G454="",F454=""),"",IFERROR(INDEX(Config!$M$5:$R$16,MATCH(G454,Config!$J$5:$J$16,0),MATCH(F454,Config!$H$5:$H$10,0)),""))</f>
        <v>0</v>
      </c>
      <c r="N454" s="29">
        <f>IF(A454="","",MONTH(A454))</f>
        <v>8</v>
      </c>
      <c r="O454" s="29">
        <f>IF(A454="","",YEAR(A454))</f>
        <v>2026</v>
      </c>
      <c r="P454" s="29" t="str">
        <f>IF(A454="","",CHOOSE(WEEKDAY(A454,2),"Segunda","Terça","Quarta","Quinta","Sexta","Sábado","Domingo"))</f>
        <v>Segunda</v>
      </c>
      <c r="Q454" s="29" t="str">
        <f>IF(B454="","",IF(B454&lt;TIME(12,0,0),"Manhã",IF(B454&lt;TIME(18,0,0),"Tarde","Noite")))</f>
        <v>Manhã</v>
      </c>
      <c r="R454" s="45">
        <f>IF(AND(H454="Realizado",L454&lt;&gt;""),L454/60,0)</f>
        <v>0.333333333333333</v>
      </c>
    </row>
    <row r="455">
      <c r="A455" s="42" t="n">
        <v>46251</v>
      </c>
      <c r="B455" s="43" t="n">
        <v>0.3472222222222222</v>
      </c>
      <c r="C455" s="37" t="inlineStr">
        <is>
          <t>Dra. Carolina Mendes</t>
        </is>
      </c>
      <c r="D455" s="37" t="inlineStr">
        <is>
          <t>Sala 1</t>
        </is>
      </c>
      <c r="E455" s="36" t="inlineStr">
        <is>
          <t>Regina Duarte</t>
        </is>
      </c>
      <c r="F455" s="37" t="inlineStr">
        <is>
          <t>Particular</t>
        </is>
      </c>
      <c r="G455" s="37" t="inlineStr">
        <is>
          <t>Consulta</t>
        </is>
      </c>
      <c r="H455" s="37" t="inlineStr">
        <is>
          <t>Realizado</t>
        </is>
      </c>
      <c r="I455" s="37" t="inlineStr">
        <is>
          <t>Cartão de débito</t>
        </is>
      </c>
      <c r="J455" s="37" t="n"/>
      <c r="K455" s="36" t="n"/>
      <c r="L455" s="44">
        <f>IF(G455="","",IFERROR(INDEX(Config!$K$5:$K$16,MATCH(G455,Config!$J$5:$J$16,0)),""))</f>
        <v>30</v>
      </c>
      <c r="M455" s="30">
        <f>IF(OR(G455="",F455=""),"",IFERROR(INDEX(Config!$M$5:$R$16,MATCH(G455,Config!$J$5:$J$16,0),MATCH(F455,Config!$H$5:$H$10,0)),""))</f>
        <v>380</v>
      </c>
      <c r="N455" s="29">
        <f>IF(A455="","",MONTH(A455))</f>
        <v>8</v>
      </c>
      <c r="O455" s="29">
        <f>IF(A455="","",YEAR(A455))</f>
        <v>2026</v>
      </c>
      <c r="P455" s="29" t="str">
        <f>IF(A455="","",CHOOSE(WEEKDAY(A455,2),"Segunda","Terça","Quarta","Quinta","Sexta","Sábado","Domingo"))</f>
        <v>Segunda</v>
      </c>
      <c r="Q455" s="29" t="str">
        <f>IF(B455="","",IF(B455&lt;TIME(12,0,0),"Manhã",IF(B455&lt;TIME(18,0,0),"Tarde","Noite")))</f>
        <v>Manhã</v>
      </c>
      <c r="R455" s="45">
        <f>IF(AND(H455="Realizado",L455&lt;&gt;""),L455/60,0)</f>
        <v>0.5</v>
      </c>
    </row>
    <row r="456">
      <c r="A456" s="42" t="n">
        <v>46251</v>
      </c>
      <c r="B456" s="43" t="n">
        <v>0.3888888888888889</v>
      </c>
      <c r="C456" s="37" t="inlineStr">
        <is>
          <t>Dra. Carolina Mendes</t>
        </is>
      </c>
      <c r="D456" s="37" t="inlineStr">
        <is>
          <t>Sala 1</t>
        </is>
      </c>
      <c r="E456" s="36" t="inlineStr">
        <is>
          <t>Tatiana Rocha</t>
        </is>
      </c>
      <c r="F456" s="37" t="inlineStr">
        <is>
          <t>Vida Care</t>
        </is>
      </c>
      <c r="G456" s="37" t="inlineStr">
        <is>
          <t>Retorno</t>
        </is>
      </c>
      <c r="H456" s="37" t="inlineStr">
        <is>
          <t>Falta</t>
        </is>
      </c>
      <c r="I456" s="37" t="n"/>
      <c r="J456" s="37" t="n"/>
      <c r="K456" s="36" t="n"/>
      <c r="L456" s="44">
        <f>IF(G456="","",IFERROR(INDEX(Config!$K$5:$K$16,MATCH(G456,Config!$J$5:$J$16,0)),""))</f>
        <v>20</v>
      </c>
      <c r="M456" s="30">
        <f>IF(OR(G456="",F456=""),"",IFERROR(INDEX(Config!$M$5:$R$16,MATCH(G456,Config!$J$5:$J$16,0),MATCH(F456,Config!$H$5:$H$10,0)),""))</f>
        <v>0</v>
      </c>
      <c r="N456" s="29">
        <f>IF(A456="","",MONTH(A456))</f>
        <v>8</v>
      </c>
      <c r="O456" s="29">
        <f>IF(A456="","",YEAR(A456))</f>
        <v>2026</v>
      </c>
      <c r="P456" s="29" t="str">
        <f>IF(A456="","",CHOOSE(WEEKDAY(A456,2),"Segunda","Terça","Quarta","Quinta","Sexta","Sábado","Domingo"))</f>
        <v>Segunda</v>
      </c>
      <c r="Q456" s="29" t="str">
        <f>IF(B456="","",IF(B456&lt;TIME(12,0,0),"Manhã",IF(B456&lt;TIME(18,0,0),"Tarde","Noite")))</f>
        <v>Manhã</v>
      </c>
      <c r="R456" s="45">
        <f>IF(AND(H456="Realizado",L456&lt;&gt;""),L456/60,0)</f>
        <v>0</v>
      </c>
    </row>
    <row r="457">
      <c r="A457" s="42" t="n">
        <v>46251</v>
      </c>
      <c r="B457" s="43" t="n">
        <v>0.4236111111111111</v>
      </c>
      <c r="C457" s="37" t="inlineStr">
        <is>
          <t>Dra. Carolina Mendes</t>
        </is>
      </c>
      <c r="D457" s="37" t="inlineStr">
        <is>
          <t>Sala 1</t>
        </is>
      </c>
      <c r="E457" s="36" t="inlineStr">
        <is>
          <t>Larissa Costa</t>
        </is>
      </c>
      <c r="F457" s="37" t="inlineStr">
        <is>
          <t>Particular</t>
        </is>
      </c>
      <c r="G457" s="37" t="inlineStr">
        <is>
          <t>Retorno</t>
        </is>
      </c>
      <c r="H457" s="37" t="inlineStr">
        <is>
          <t>Realizado</t>
        </is>
      </c>
      <c r="I457" s="37" t="inlineStr">
        <is>
          <t>Sem cobrança</t>
        </is>
      </c>
      <c r="J457" s="37" t="n"/>
      <c r="K457" s="36" t="n"/>
      <c r="L457" s="44">
        <f>IF(G457="","",IFERROR(INDEX(Config!$K$5:$K$16,MATCH(G457,Config!$J$5:$J$16,0)),""))</f>
        <v>20</v>
      </c>
      <c r="M457" s="30">
        <f>IF(OR(G457="",F457=""),"",IFERROR(INDEX(Config!$M$5:$R$16,MATCH(G457,Config!$J$5:$J$16,0),MATCH(F457,Config!$H$5:$H$10,0)),""))</f>
        <v>0</v>
      </c>
      <c r="N457" s="29">
        <f>IF(A457="","",MONTH(A457))</f>
        <v>8</v>
      </c>
      <c r="O457" s="29">
        <f>IF(A457="","",YEAR(A457))</f>
        <v>2026</v>
      </c>
      <c r="P457" s="29" t="str">
        <f>IF(A457="","",CHOOSE(WEEKDAY(A457,2),"Segunda","Terça","Quarta","Quinta","Sexta","Sábado","Domingo"))</f>
        <v>Segunda</v>
      </c>
      <c r="Q457" s="29" t="str">
        <f>IF(B457="","",IF(B457&lt;TIME(12,0,0),"Manhã",IF(B457&lt;TIME(18,0,0),"Tarde","Noite")))</f>
        <v>Manhã</v>
      </c>
      <c r="R457" s="45">
        <f>IF(AND(H457="Realizado",L457&lt;&gt;""),L457/60,0)</f>
        <v>0.333333333333333</v>
      </c>
    </row>
    <row r="458">
      <c r="A458" s="42" t="n">
        <v>46251</v>
      </c>
      <c r="B458" s="43" t="n">
        <v>0.4375</v>
      </c>
      <c r="C458" s="37" t="inlineStr">
        <is>
          <t>Dra. Carolina Mendes</t>
        </is>
      </c>
      <c r="D458" s="37" t="inlineStr">
        <is>
          <t>Sala 1</t>
        </is>
      </c>
      <c r="E458" s="36" t="inlineStr">
        <is>
          <t>Camila Batista</t>
        </is>
      </c>
      <c r="F458" s="37" t="inlineStr">
        <is>
          <t>MediPlan</t>
        </is>
      </c>
      <c r="G458" s="37" t="inlineStr">
        <is>
          <t>Consulta</t>
        </is>
      </c>
      <c r="H458" s="37" t="inlineStr">
        <is>
          <t>Realizado</t>
        </is>
      </c>
      <c r="I458" s="37" t="inlineStr">
        <is>
          <t>Convênio</t>
        </is>
      </c>
      <c r="J458" s="37" t="n"/>
      <c r="K458" s="36" t="n"/>
      <c r="L458" s="44">
        <f>IF(G458="","",IFERROR(INDEX(Config!$K$5:$K$16,MATCH(G458,Config!$J$5:$J$16,0)),""))</f>
        <v>30</v>
      </c>
      <c r="M458" s="30">
        <f>IF(OR(G458="",F458=""),"",IFERROR(INDEX(Config!$M$5:$R$16,MATCH(G458,Config!$J$5:$J$16,0),MATCH(F458,Config!$H$5:$H$10,0)),""))</f>
        <v>100</v>
      </c>
      <c r="N458" s="29">
        <f>IF(A458="","",MONTH(A458))</f>
        <v>8</v>
      </c>
      <c r="O458" s="29">
        <f>IF(A458="","",YEAR(A458))</f>
        <v>2026</v>
      </c>
      <c r="P458" s="29" t="str">
        <f>IF(A458="","",CHOOSE(WEEKDAY(A458,2),"Segunda","Terça","Quarta","Quinta","Sexta","Sábado","Domingo"))</f>
        <v>Segunda</v>
      </c>
      <c r="Q458" s="29" t="str">
        <f>IF(B458="","",IF(B458&lt;TIME(12,0,0),"Manhã",IF(B458&lt;TIME(18,0,0),"Tarde","Noite")))</f>
        <v>Manhã</v>
      </c>
      <c r="R458" s="45">
        <f>IF(AND(H458="Realizado",L458&lt;&gt;""),L458/60,0)</f>
        <v>0.5</v>
      </c>
    </row>
    <row r="459">
      <c r="A459" s="42" t="n">
        <v>46251</v>
      </c>
      <c r="B459" s="43" t="n">
        <v>0.4583333333333333</v>
      </c>
      <c r="C459" s="37" t="inlineStr">
        <is>
          <t>Dra. Carolina Mendes</t>
        </is>
      </c>
      <c r="D459" s="37" t="inlineStr">
        <is>
          <t>Sala 1</t>
        </is>
      </c>
      <c r="E459" s="36" t="inlineStr">
        <is>
          <t>Elaine Cardoso</t>
        </is>
      </c>
      <c r="F459" s="37" t="inlineStr">
        <is>
          <t>Particular</t>
        </is>
      </c>
      <c r="G459" s="37" t="inlineStr">
        <is>
          <t>Consulta</t>
        </is>
      </c>
      <c r="H459" s="37" t="inlineStr">
        <is>
          <t>Realizado</t>
        </is>
      </c>
      <c r="I459" s="37" t="inlineStr">
        <is>
          <t>A prazo</t>
        </is>
      </c>
      <c r="J459" s="37" t="n"/>
      <c r="K459" s="36" t="n"/>
      <c r="L459" s="44">
        <f>IF(G459="","",IFERROR(INDEX(Config!$K$5:$K$16,MATCH(G459,Config!$J$5:$J$16,0)),""))</f>
        <v>30</v>
      </c>
      <c r="M459" s="30">
        <f>IF(OR(G459="",F459=""),"",IFERROR(INDEX(Config!$M$5:$R$16,MATCH(G459,Config!$J$5:$J$16,0),MATCH(F459,Config!$H$5:$H$10,0)),""))</f>
        <v>380</v>
      </c>
      <c r="N459" s="29">
        <f>IF(A459="","",MONTH(A459))</f>
        <v>8</v>
      </c>
      <c r="O459" s="29">
        <f>IF(A459="","",YEAR(A459))</f>
        <v>2026</v>
      </c>
      <c r="P459" s="29" t="str">
        <f>IF(A459="","",CHOOSE(WEEKDAY(A459,2),"Segunda","Terça","Quarta","Quinta","Sexta","Sábado","Domingo"))</f>
        <v>Segunda</v>
      </c>
      <c r="Q459" s="29" t="str">
        <f>IF(B459="","",IF(B459&lt;TIME(12,0,0),"Manhã",IF(B459&lt;TIME(18,0,0),"Tarde","Noite")))</f>
        <v>Manhã</v>
      </c>
      <c r="R459" s="45">
        <f>IF(AND(H459="Realizado",L459&lt;&gt;""),L459/60,0)</f>
        <v>0.5</v>
      </c>
    </row>
    <row r="460">
      <c r="A460" s="42" t="n">
        <v>46251</v>
      </c>
      <c r="B460" s="43" t="n">
        <v>0.4791666666666667</v>
      </c>
      <c r="C460" s="37" t="inlineStr">
        <is>
          <t>Dra. Carolina Mendes</t>
        </is>
      </c>
      <c r="D460" s="37" t="inlineStr">
        <is>
          <t>Sala 1</t>
        </is>
      </c>
      <c r="E460" s="36" t="inlineStr">
        <is>
          <t>Daniel Almeida</t>
        </is>
      </c>
      <c r="F460" s="37" t="inlineStr">
        <is>
          <t>Saúde Total</t>
        </is>
      </c>
      <c r="G460" s="37" t="inlineStr">
        <is>
          <t>Consulta</t>
        </is>
      </c>
      <c r="H460" s="37" t="inlineStr">
        <is>
          <t>Falta</t>
        </is>
      </c>
      <c r="I460" s="37" t="n"/>
      <c r="J460" s="37" t="n"/>
      <c r="K460" s="36" t="n"/>
      <c r="L460" s="44">
        <f>IF(G460="","",IFERROR(INDEX(Config!$K$5:$K$16,MATCH(G460,Config!$J$5:$J$16,0)),""))</f>
        <v>30</v>
      </c>
      <c r="M460" s="30">
        <f>IF(OR(G460="",F460=""),"",IFERROR(INDEX(Config!$M$5:$R$16,MATCH(G460,Config!$J$5:$J$16,0),MATCH(F460,Config!$H$5:$H$10,0)),""))</f>
        <v>120</v>
      </c>
      <c r="N460" s="29">
        <f>IF(A460="","",MONTH(A460))</f>
        <v>8</v>
      </c>
      <c r="O460" s="29">
        <f>IF(A460="","",YEAR(A460))</f>
        <v>2026</v>
      </c>
      <c r="P460" s="29" t="str">
        <f>IF(A460="","",CHOOSE(WEEKDAY(A460,2),"Segunda","Terça","Quarta","Quinta","Sexta","Sábado","Domingo"))</f>
        <v>Segunda</v>
      </c>
      <c r="Q460" s="29" t="str">
        <f>IF(B460="","",IF(B460&lt;TIME(12,0,0),"Manhã",IF(B460&lt;TIME(18,0,0),"Tarde","Noite")))</f>
        <v>Manhã</v>
      </c>
      <c r="R460" s="45">
        <f>IF(AND(H460="Realizado",L460&lt;&gt;""),L460/60,0)</f>
        <v>0</v>
      </c>
    </row>
    <row r="461">
      <c r="A461" s="42" t="n">
        <v>46251</v>
      </c>
      <c r="B461" s="43" t="n">
        <v>0.5833333333333334</v>
      </c>
      <c r="C461" s="37" t="inlineStr">
        <is>
          <t>Dr. Paulo Andrade</t>
        </is>
      </c>
      <c r="D461" s="37" t="inlineStr">
        <is>
          <t>Sala 2</t>
        </is>
      </c>
      <c r="E461" s="36" t="inlineStr">
        <is>
          <t>Rafael Correia</t>
        </is>
      </c>
      <c r="F461" s="37" t="inlineStr">
        <is>
          <t>Particular</t>
        </is>
      </c>
      <c r="G461" s="37" t="inlineStr">
        <is>
          <t>Consulta</t>
        </is>
      </c>
      <c r="H461" s="37" t="inlineStr">
        <is>
          <t>Realizado</t>
        </is>
      </c>
      <c r="I461" s="37" t="inlineStr">
        <is>
          <t>Dinheiro</t>
        </is>
      </c>
      <c r="J461" s="37" t="n"/>
      <c r="K461" s="36" t="n"/>
      <c r="L461" s="44">
        <f>IF(G461="","",IFERROR(INDEX(Config!$K$5:$K$16,MATCH(G461,Config!$J$5:$J$16,0)),""))</f>
        <v>30</v>
      </c>
      <c r="M461" s="30">
        <f>IF(OR(G461="",F461=""),"",IFERROR(INDEX(Config!$M$5:$R$16,MATCH(G461,Config!$J$5:$J$16,0),MATCH(F461,Config!$H$5:$H$10,0)),""))</f>
        <v>380</v>
      </c>
      <c r="N461" s="29">
        <f>IF(A461="","",MONTH(A461))</f>
        <v>8</v>
      </c>
      <c r="O461" s="29">
        <f>IF(A461="","",YEAR(A461))</f>
        <v>2026</v>
      </c>
      <c r="P461" s="29" t="str">
        <f>IF(A461="","",CHOOSE(WEEKDAY(A461,2),"Segunda","Terça","Quarta","Quinta","Sexta","Sábado","Domingo"))</f>
        <v>Segunda</v>
      </c>
      <c r="Q461" s="29" t="str">
        <f>IF(B461="","",IF(B461&lt;TIME(12,0,0),"Manhã",IF(B461&lt;TIME(18,0,0),"Tarde","Noite")))</f>
        <v>Tarde</v>
      </c>
      <c r="R461" s="45">
        <f>IF(AND(H461="Realizado",L461&lt;&gt;""),L461/60,0)</f>
        <v>0.5</v>
      </c>
    </row>
    <row r="462">
      <c r="A462" s="42" t="n">
        <v>46251</v>
      </c>
      <c r="B462" s="43" t="n">
        <v>0.6458333333333334</v>
      </c>
      <c r="C462" s="37" t="inlineStr">
        <is>
          <t>Dr. Paulo Andrade</t>
        </is>
      </c>
      <c r="D462" s="37" t="inlineStr">
        <is>
          <t>Sala 2</t>
        </is>
      </c>
      <c r="E462" s="36" t="inlineStr">
        <is>
          <t>Helena Moreira</t>
        </is>
      </c>
      <c r="F462" s="37" t="inlineStr">
        <is>
          <t>Particular</t>
        </is>
      </c>
      <c r="G462" s="37" t="inlineStr">
        <is>
          <t>MAPA</t>
        </is>
      </c>
      <c r="H462" s="37" t="inlineStr">
        <is>
          <t>Realizado</t>
        </is>
      </c>
      <c r="I462" s="37" t="inlineStr">
        <is>
          <t>Cartão de crédito</t>
        </is>
      </c>
      <c r="J462" s="37" t="n">
        <v>2</v>
      </c>
      <c r="K462" s="36" t="n"/>
      <c r="L462" s="44">
        <f>IF(G462="","",IFERROR(INDEX(Config!$K$5:$K$16,MATCH(G462,Config!$J$5:$J$16,0)),""))</f>
        <v>20</v>
      </c>
      <c r="M462" s="30">
        <f>IF(OR(G462="",F462=""),"",IFERROR(INDEX(Config!$M$5:$R$16,MATCH(G462,Config!$J$5:$J$16,0),MATCH(F462,Config!$H$5:$H$10,0)),""))</f>
        <v>300</v>
      </c>
      <c r="N462" s="29">
        <f>IF(A462="","",MONTH(A462))</f>
        <v>8</v>
      </c>
      <c r="O462" s="29">
        <f>IF(A462="","",YEAR(A462))</f>
        <v>2026</v>
      </c>
      <c r="P462" s="29" t="str">
        <f>IF(A462="","",CHOOSE(WEEKDAY(A462,2),"Segunda","Terça","Quarta","Quinta","Sexta","Sábado","Domingo"))</f>
        <v>Segunda</v>
      </c>
      <c r="Q462" s="29" t="str">
        <f>IF(B462="","",IF(B462&lt;TIME(12,0,0),"Manhã",IF(B462&lt;TIME(18,0,0),"Tarde","Noite")))</f>
        <v>Tarde</v>
      </c>
      <c r="R462" s="45">
        <f>IF(AND(H462="Realizado",L462&lt;&gt;""),L462/60,0)</f>
        <v>0.333333333333333</v>
      </c>
    </row>
    <row r="463">
      <c r="A463" s="42" t="n">
        <v>46251</v>
      </c>
      <c r="B463" s="43" t="n">
        <v>0.6597222222222222</v>
      </c>
      <c r="C463" s="37" t="inlineStr">
        <is>
          <t>Dr. Paulo Andrade</t>
        </is>
      </c>
      <c r="D463" s="37" t="inlineStr">
        <is>
          <t>Sala 2</t>
        </is>
      </c>
      <c r="E463" s="36" t="inlineStr">
        <is>
          <t>Paulo Nascimento</t>
        </is>
      </c>
      <c r="F463" s="37" t="inlineStr">
        <is>
          <t>MediPlan</t>
        </is>
      </c>
      <c r="G463" s="37" t="inlineStr">
        <is>
          <t>Consulta</t>
        </is>
      </c>
      <c r="H463" s="37" t="inlineStr">
        <is>
          <t>Realizado</t>
        </is>
      </c>
      <c r="I463" s="37" t="inlineStr">
        <is>
          <t>Convênio</t>
        </is>
      </c>
      <c r="J463" s="37" t="n"/>
      <c r="K463" s="36" t="n"/>
      <c r="L463" s="44">
        <f>IF(G463="","",IFERROR(INDEX(Config!$K$5:$K$16,MATCH(G463,Config!$J$5:$J$16,0)),""))</f>
        <v>30</v>
      </c>
      <c r="M463" s="30">
        <f>IF(OR(G463="",F463=""),"",IFERROR(INDEX(Config!$M$5:$R$16,MATCH(G463,Config!$J$5:$J$16,0),MATCH(F463,Config!$H$5:$H$10,0)),""))</f>
        <v>100</v>
      </c>
      <c r="N463" s="29">
        <f>IF(A463="","",MONTH(A463))</f>
        <v>8</v>
      </c>
      <c r="O463" s="29">
        <f>IF(A463="","",YEAR(A463))</f>
        <v>2026</v>
      </c>
      <c r="P463" s="29" t="str">
        <f>IF(A463="","",CHOOSE(WEEKDAY(A463,2),"Segunda","Terça","Quarta","Quinta","Sexta","Sábado","Domingo"))</f>
        <v>Segunda</v>
      </c>
      <c r="Q463" s="29" t="str">
        <f>IF(B463="","",IF(B463&lt;TIME(12,0,0),"Manhã",IF(B463&lt;TIME(18,0,0),"Tarde","Noite")))</f>
        <v>Tarde</v>
      </c>
      <c r="R463" s="45">
        <f>IF(AND(H463="Realizado",L463&lt;&gt;""),L463/60,0)</f>
        <v>0.5</v>
      </c>
    </row>
    <row r="464">
      <c r="A464" s="42" t="n">
        <v>46251</v>
      </c>
      <c r="B464" s="43" t="n">
        <v>0.6805555555555556</v>
      </c>
      <c r="C464" s="37" t="inlineStr">
        <is>
          <t>Dr. Paulo Andrade</t>
        </is>
      </c>
      <c r="D464" s="37" t="inlineStr">
        <is>
          <t>Sala 2</t>
        </is>
      </c>
      <c r="E464" s="36" t="inlineStr">
        <is>
          <t>Marcelo Ferreira</t>
        </is>
      </c>
      <c r="F464" s="37" t="inlineStr">
        <is>
          <t>Particular</t>
        </is>
      </c>
      <c r="G464" s="37" t="inlineStr">
        <is>
          <t>Consulta</t>
        </is>
      </c>
      <c r="H464" s="37" t="inlineStr">
        <is>
          <t>Realizado</t>
        </is>
      </c>
      <c r="I464" s="37" t="inlineStr">
        <is>
          <t>Pix</t>
        </is>
      </c>
      <c r="J464" s="37" t="n"/>
      <c r="K464" s="36" t="n"/>
      <c r="L464" s="44">
        <f>IF(G464="","",IFERROR(INDEX(Config!$K$5:$K$16,MATCH(G464,Config!$J$5:$J$16,0)),""))</f>
        <v>30</v>
      </c>
      <c r="M464" s="30">
        <f>IF(OR(G464="",F464=""),"",IFERROR(INDEX(Config!$M$5:$R$16,MATCH(G464,Config!$J$5:$J$16,0),MATCH(F464,Config!$H$5:$H$10,0)),""))</f>
        <v>380</v>
      </c>
      <c r="N464" s="29">
        <f>IF(A464="","",MONTH(A464))</f>
        <v>8</v>
      </c>
      <c r="O464" s="29">
        <f>IF(A464="","",YEAR(A464))</f>
        <v>2026</v>
      </c>
      <c r="P464" s="29" t="str">
        <f>IF(A464="","",CHOOSE(WEEKDAY(A464,2),"Segunda","Terça","Quarta","Quinta","Sexta","Sábado","Domingo"))</f>
        <v>Segunda</v>
      </c>
      <c r="Q464" s="29" t="str">
        <f>IF(B464="","",IF(B464&lt;TIME(12,0,0),"Manhã",IF(B464&lt;TIME(18,0,0),"Tarde","Noite")))</f>
        <v>Tarde</v>
      </c>
      <c r="R464" s="45">
        <f>IF(AND(H464="Realizado",L464&lt;&gt;""),L464/60,0)</f>
        <v>0.5</v>
      </c>
    </row>
    <row r="465">
      <c r="A465" s="42" t="n">
        <v>46251</v>
      </c>
      <c r="B465" s="43" t="n">
        <v>0.7013888888888888</v>
      </c>
      <c r="C465" s="37" t="inlineStr">
        <is>
          <t>Dr. Paulo Andrade</t>
        </is>
      </c>
      <c r="D465" s="37" t="inlineStr">
        <is>
          <t>Sala 2</t>
        </is>
      </c>
      <c r="E465" s="36" t="inlineStr">
        <is>
          <t>Fábio Machado</t>
        </is>
      </c>
      <c r="F465" s="37" t="inlineStr">
        <is>
          <t>Particular</t>
        </is>
      </c>
      <c r="G465" s="37" t="inlineStr">
        <is>
          <t>Retorno</t>
        </is>
      </c>
      <c r="H465" s="37" t="inlineStr">
        <is>
          <t>Realizado</t>
        </is>
      </c>
      <c r="I465" s="37" t="inlineStr">
        <is>
          <t>Sem cobrança</t>
        </is>
      </c>
      <c r="J465" s="37" t="n"/>
      <c r="K465" s="36" t="n"/>
      <c r="L465" s="44">
        <f>IF(G465="","",IFERROR(INDEX(Config!$K$5:$K$16,MATCH(G465,Config!$J$5:$J$16,0)),""))</f>
        <v>20</v>
      </c>
      <c r="M465" s="30">
        <f>IF(OR(G465="",F465=""),"",IFERROR(INDEX(Config!$M$5:$R$16,MATCH(G465,Config!$J$5:$J$16,0),MATCH(F465,Config!$H$5:$H$10,0)),""))</f>
        <v>0</v>
      </c>
      <c r="N465" s="29">
        <f>IF(A465="","",MONTH(A465))</f>
        <v>8</v>
      </c>
      <c r="O465" s="29">
        <f>IF(A465="","",YEAR(A465))</f>
        <v>2026</v>
      </c>
      <c r="P465" s="29" t="str">
        <f>IF(A465="","",CHOOSE(WEEKDAY(A465,2),"Segunda","Terça","Quarta","Quinta","Sexta","Sábado","Domingo"))</f>
        <v>Segunda</v>
      </c>
      <c r="Q465" s="29" t="str">
        <f>IF(B465="","",IF(B465&lt;TIME(12,0,0),"Manhã",IF(B465&lt;TIME(18,0,0),"Tarde","Noite")))</f>
        <v>Tarde</v>
      </c>
      <c r="R465" s="45">
        <f>IF(AND(H465="Realizado",L465&lt;&gt;""),L465/60,0)</f>
        <v>0.333333333333333</v>
      </c>
    </row>
    <row r="466">
      <c r="A466" s="42" t="n">
        <v>46251</v>
      </c>
      <c r="B466" s="43" t="n">
        <v>0.7152777777777778</v>
      </c>
      <c r="C466" s="37" t="inlineStr">
        <is>
          <t>Dr. Paulo Andrade</t>
        </is>
      </c>
      <c r="D466" s="37" t="inlineStr">
        <is>
          <t>Sala 2</t>
        </is>
      </c>
      <c r="E466" s="36" t="inlineStr">
        <is>
          <t>Viviane Duarte</t>
        </is>
      </c>
      <c r="F466" s="37" t="inlineStr">
        <is>
          <t>MediPlan</t>
        </is>
      </c>
      <c r="G466" s="37" t="inlineStr">
        <is>
          <t>Retorno</t>
        </is>
      </c>
      <c r="H466" s="37" t="inlineStr">
        <is>
          <t>Realizado</t>
        </is>
      </c>
      <c r="I466" s="37" t="inlineStr">
        <is>
          <t>Sem cobrança</t>
        </is>
      </c>
      <c r="J466" s="37" t="n"/>
      <c r="K466" s="36" t="n"/>
      <c r="L466" s="44">
        <f>IF(G466="","",IFERROR(INDEX(Config!$K$5:$K$16,MATCH(G466,Config!$J$5:$J$16,0)),""))</f>
        <v>20</v>
      </c>
      <c r="M466" s="30">
        <f>IF(OR(G466="",F466=""),"",IFERROR(INDEX(Config!$M$5:$R$16,MATCH(G466,Config!$J$5:$J$16,0),MATCH(F466,Config!$H$5:$H$10,0)),""))</f>
        <v>0</v>
      </c>
      <c r="N466" s="29">
        <f>IF(A466="","",MONTH(A466))</f>
        <v>8</v>
      </c>
      <c r="O466" s="29">
        <f>IF(A466="","",YEAR(A466))</f>
        <v>2026</v>
      </c>
      <c r="P466" s="29" t="str">
        <f>IF(A466="","",CHOOSE(WEEKDAY(A466,2),"Segunda","Terça","Quarta","Quinta","Sexta","Sábado","Domingo"))</f>
        <v>Segunda</v>
      </c>
      <c r="Q466" s="29" t="str">
        <f>IF(B466="","",IF(B466&lt;TIME(12,0,0),"Manhã",IF(B466&lt;TIME(18,0,0),"Tarde","Noite")))</f>
        <v>Tarde</v>
      </c>
      <c r="R466" s="45">
        <f>IF(AND(H466="Realizado",L466&lt;&gt;""),L466/60,0)</f>
        <v>0.333333333333333</v>
      </c>
    </row>
    <row r="467">
      <c r="A467" s="42" t="n">
        <v>46251</v>
      </c>
      <c r="B467" s="43" t="n">
        <v>0.7291666666666666</v>
      </c>
      <c r="C467" s="37" t="inlineStr">
        <is>
          <t>Dr. Paulo Andrade</t>
        </is>
      </c>
      <c r="D467" s="37" t="inlineStr">
        <is>
          <t>Sala 2</t>
        </is>
      </c>
      <c r="E467" s="36" t="inlineStr">
        <is>
          <t>Lucas Cardoso</t>
        </is>
      </c>
      <c r="F467" s="37" t="inlineStr">
        <is>
          <t>Particular</t>
        </is>
      </c>
      <c r="G467" s="37" t="inlineStr">
        <is>
          <t>Consulta</t>
        </is>
      </c>
      <c r="H467" s="37" t="inlineStr">
        <is>
          <t>Falta</t>
        </is>
      </c>
      <c r="I467" s="37" t="n"/>
      <c r="J467" s="37" t="n"/>
      <c r="K467" s="36" t="n"/>
      <c r="L467" s="44">
        <f>IF(G467="","",IFERROR(INDEX(Config!$K$5:$K$16,MATCH(G467,Config!$J$5:$J$16,0)),""))</f>
        <v>30</v>
      </c>
      <c r="M467" s="30">
        <f>IF(OR(G467="",F467=""),"",IFERROR(INDEX(Config!$M$5:$R$16,MATCH(G467,Config!$J$5:$J$16,0),MATCH(F467,Config!$H$5:$H$10,0)),""))</f>
        <v>380</v>
      </c>
      <c r="N467" s="29">
        <f>IF(A467="","",MONTH(A467))</f>
        <v>8</v>
      </c>
      <c r="O467" s="29">
        <f>IF(A467="","",YEAR(A467))</f>
        <v>2026</v>
      </c>
      <c r="P467" s="29" t="str">
        <f>IF(A467="","",CHOOSE(WEEKDAY(A467,2),"Segunda","Terça","Quarta","Quinta","Sexta","Sábado","Domingo"))</f>
        <v>Segunda</v>
      </c>
      <c r="Q467" s="29" t="str">
        <f>IF(B467="","",IF(B467&lt;TIME(12,0,0),"Manhã",IF(B467&lt;TIME(18,0,0),"Tarde","Noite")))</f>
        <v>Tarde</v>
      </c>
      <c r="R467" s="45">
        <f>IF(AND(H467="Realizado",L467&lt;&gt;""),L467/60,0)</f>
        <v>0</v>
      </c>
    </row>
    <row r="468">
      <c r="A468" s="42" t="n">
        <v>46252</v>
      </c>
      <c r="B468" s="43" t="n">
        <v>0.3541666666666667</v>
      </c>
      <c r="C468" s="37" t="inlineStr">
        <is>
          <t>Dra. Carolina Mendes</t>
        </is>
      </c>
      <c r="D468" s="37" t="inlineStr">
        <is>
          <t>Sala 1</t>
        </is>
      </c>
      <c r="E468" s="36" t="inlineStr">
        <is>
          <t>Helena Moreira</t>
        </is>
      </c>
      <c r="F468" s="37" t="inlineStr">
        <is>
          <t>Particular</t>
        </is>
      </c>
      <c r="G468" s="37" t="inlineStr">
        <is>
          <t>Retorno</t>
        </is>
      </c>
      <c r="H468" s="37" t="inlineStr">
        <is>
          <t>Realizado</t>
        </is>
      </c>
      <c r="I468" s="37" t="inlineStr">
        <is>
          <t>Sem cobrança</t>
        </is>
      </c>
      <c r="J468" s="37" t="n"/>
      <c r="K468" s="36" t="n"/>
      <c r="L468" s="44">
        <f>IF(G468="","",IFERROR(INDEX(Config!$K$5:$K$16,MATCH(G468,Config!$J$5:$J$16,0)),""))</f>
        <v>20</v>
      </c>
      <c r="M468" s="30">
        <f>IF(OR(G468="",F468=""),"",IFERROR(INDEX(Config!$M$5:$R$16,MATCH(G468,Config!$J$5:$J$16,0),MATCH(F468,Config!$H$5:$H$10,0)),""))</f>
        <v>0</v>
      </c>
      <c r="N468" s="29">
        <f>IF(A468="","",MONTH(A468))</f>
        <v>8</v>
      </c>
      <c r="O468" s="29">
        <f>IF(A468="","",YEAR(A468))</f>
        <v>2026</v>
      </c>
      <c r="P468" s="29" t="str">
        <f>IF(A468="","",CHOOSE(WEEKDAY(A468,2),"Segunda","Terça","Quarta","Quinta","Sexta","Sábado","Domingo"))</f>
        <v>Terça</v>
      </c>
      <c r="Q468" s="29" t="str">
        <f>IF(B468="","",IF(B468&lt;TIME(12,0,0),"Manhã",IF(B468&lt;TIME(18,0,0),"Tarde","Noite")))</f>
        <v>Manhã</v>
      </c>
      <c r="R468" s="45">
        <f>IF(AND(H468="Realizado",L468&lt;&gt;""),L468/60,0)</f>
        <v>0.333333333333333</v>
      </c>
    </row>
    <row r="469">
      <c r="A469" s="42" t="n">
        <v>46252</v>
      </c>
      <c r="B469" s="43" t="n">
        <v>0.3680555555555556</v>
      </c>
      <c r="C469" s="37" t="inlineStr">
        <is>
          <t>Dra. Carolina Mendes</t>
        </is>
      </c>
      <c r="D469" s="37" t="inlineStr">
        <is>
          <t>Sala 1</t>
        </is>
      </c>
      <c r="E469" s="36" t="inlineStr">
        <is>
          <t>Rodrigo Teixeira</t>
        </is>
      </c>
      <c r="F469" s="37" t="inlineStr">
        <is>
          <t>Vida Care</t>
        </is>
      </c>
      <c r="G469" s="37" t="inlineStr">
        <is>
          <t>Consulta</t>
        </is>
      </c>
      <c r="H469" s="37" t="inlineStr">
        <is>
          <t>Realizado</t>
        </is>
      </c>
      <c r="I469" s="37" t="inlineStr">
        <is>
          <t>Convênio</t>
        </is>
      </c>
      <c r="J469" s="37" t="n"/>
      <c r="K469" s="36" t="n"/>
      <c r="L469" s="44">
        <f>IF(G469="","",IFERROR(INDEX(Config!$K$5:$K$16,MATCH(G469,Config!$J$5:$J$16,0)),""))</f>
        <v>30</v>
      </c>
      <c r="M469" s="30">
        <f>IF(OR(G469="",F469=""),"",IFERROR(INDEX(Config!$M$5:$R$16,MATCH(G469,Config!$J$5:$J$16,0),MATCH(F469,Config!$H$5:$H$10,0)),""))</f>
        <v>90</v>
      </c>
      <c r="N469" s="29">
        <f>IF(A469="","",MONTH(A469))</f>
        <v>8</v>
      </c>
      <c r="O469" s="29">
        <f>IF(A469="","",YEAR(A469))</f>
        <v>2026</v>
      </c>
      <c r="P469" s="29" t="str">
        <f>IF(A469="","",CHOOSE(WEEKDAY(A469,2),"Segunda","Terça","Quarta","Quinta","Sexta","Sábado","Domingo"))</f>
        <v>Terça</v>
      </c>
      <c r="Q469" s="29" t="str">
        <f>IF(B469="","",IF(B469&lt;TIME(12,0,0),"Manhã",IF(B469&lt;TIME(18,0,0),"Tarde","Noite")))</f>
        <v>Manhã</v>
      </c>
      <c r="R469" s="45">
        <f>IF(AND(H469="Realizado",L469&lt;&gt;""),L469/60,0)</f>
        <v>0.5</v>
      </c>
    </row>
    <row r="470">
      <c r="A470" s="42" t="n">
        <v>46252</v>
      </c>
      <c r="B470" s="43" t="n">
        <v>0.3888888888888889</v>
      </c>
      <c r="C470" s="37" t="inlineStr">
        <is>
          <t>Dra. Carolina Mendes</t>
        </is>
      </c>
      <c r="D470" s="37" t="inlineStr">
        <is>
          <t>Sala 1</t>
        </is>
      </c>
      <c r="E470" s="36" t="inlineStr">
        <is>
          <t>Sérgio Martins</t>
        </is>
      </c>
      <c r="F470" s="37" t="inlineStr">
        <is>
          <t>Particular</t>
        </is>
      </c>
      <c r="G470" s="37" t="inlineStr">
        <is>
          <t>Consulta</t>
        </is>
      </c>
      <c r="H470" s="37" t="inlineStr">
        <is>
          <t>Realizado</t>
        </is>
      </c>
      <c r="I470" s="37" t="inlineStr">
        <is>
          <t>Cartão de débito</t>
        </is>
      </c>
      <c r="J470" s="37" t="n"/>
      <c r="K470" s="36" t="n"/>
      <c r="L470" s="44">
        <f>IF(G470="","",IFERROR(INDEX(Config!$K$5:$K$16,MATCH(G470,Config!$J$5:$J$16,0)),""))</f>
        <v>30</v>
      </c>
      <c r="M470" s="30">
        <f>IF(OR(G470="",F470=""),"",IFERROR(INDEX(Config!$M$5:$R$16,MATCH(G470,Config!$J$5:$J$16,0),MATCH(F470,Config!$H$5:$H$10,0)),""))</f>
        <v>380</v>
      </c>
      <c r="N470" s="29">
        <f>IF(A470="","",MONTH(A470))</f>
        <v>8</v>
      </c>
      <c r="O470" s="29">
        <f>IF(A470="","",YEAR(A470))</f>
        <v>2026</v>
      </c>
      <c r="P470" s="29" t="str">
        <f>IF(A470="","",CHOOSE(WEEKDAY(A470,2),"Segunda","Terça","Quarta","Quinta","Sexta","Sábado","Domingo"))</f>
        <v>Terça</v>
      </c>
      <c r="Q470" s="29" t="str">
        <f>IF(B470="","",IF(B470&lt;TIME(12,0,0),"Manhã",IF(B470&lt;TIME(18,0,0),"Tarde","Noite")))</f>
        <v>Manhã</v>
      </c>
      <c r="R470" s="45">
        <f>IF(AND(H470="Realizado",L470&lt;&gt;""),L470/60,0)</f>
        <v>0.5</v>
      </c>
    </row>
    <row r="471">
      <c r="A471" s="42" t="n">
        <v>46252</v>
      </c>
      <c r="B471" s="43" t="n">
        <v>0.4097222222222222</v>
      </c>
      <c r="C471" s="37" t="inlineStr">
        <is>
          <t>Dra. Carolina Mendes</t>
        </is>
      </c>
      <c r="D471" s="37" t="inlineStr">
        <is>
          <t>Sala 1</t>
        </is>
      </c>
      <c r="E471" s="36" t="inlineStr">
        <is>
          <t>Carlos Barros</t>
        </is>
      </c>
      <c r="F471" s="37" t="inlineStr">
        <is>
          <t>MediPlan</t>
        </is>
      </c>
      <c r="G471" s="37" t="inlineStr">
        <is>
          <t>Consulta</t>
        </is>
      </c>
      <c r="H471" s="37" t="inlineStr">
        <is>
          <t>Realizado</t>
        </is>
      </c>
      <c r="I471" s="37" t="inlineStr">
        <is>
          <t>Convênio</t>
        </is>
      </c>
      <c r="J471" s="37" t="n"/>
      <c r="K471" s="36" t="n"/>
      <c r="L471" s="44">
        <f>IF(G471="","",IFERROR(INDEX(Config!$K$5:$K$16,MATCH(G471,Config!$J$5:$J$16,0)),""))</f>
        <v>30</v>
      </c>
      <c r="M471" s="30">
        <f>IF(OR(G471="",F471=""),"",IFERROR(INDEX(Config!$M$5:$R$16,MATCH(G471,Config!$J$5:$J$16,0),MATCH(F471,Config!$H$5:$H$10,0)),""))</f>
        <v>100</v>
      </c>
      <c r="N471" s="29">
        <f>IF(A471="","",MONTH(A471))</f>
        <v>8</v>
      </c>
      <c r="O471" s="29">
        <f>IF(A471="","",YEAR(A471))</f>
        <v>2026</v>
      </c>
      <c r="P471" s="29" t="str">
        <f>IF(A471="","",CHOOSE(WEEKDAY(A471,2),"Segunda","Terça","Quarta","Quinta","Sexta","Sábado","Domingo"))</f>
        <v>Terça</v>
      </c>
      <c r="Q471" s="29" t="str">
        <f>IF(B471="","",IF(B471&lt;TIME(12,0,0),"Manhã",IF(B471&lt;TIME(18,0,0),"Tarde","Noite")))</f>
        <v>Manhã</v>
      </c>
      <c r="R471" s="45">
        <f>IF(AND(H471="Realizado",L471&lt;&gt;""),L471/60,0)</f>
        <v>0.5</v>
      </c>
    </row>
    <row r="472">
      <c r="A472" s="42" t="n">
        <v>46252</v>
      </c>
      <c r="B472" s="43" t="n">
        <v>0.4305555555555556</v>
      </c>
      <c r="C472" s="37" t="inlineStr">
        <is>
          <t>Dra. Carolina Mendes</t>
        </is>
      </c>
      <c r="D472" s="37" t="inlineStr">
        <is>
          <t>Sala 1</t>
        </is>
      </c>
      <c r="E472" s="36" t="inlineStr">
        <is>
          <t>Priscila Carvalho</t>
        </is>
      </c>
      <c r="F472" s="37" t="inlineStr">
        <is>
          <t>Vida Care</t>
        </is>
      </c>
      <c r="G472" s="37" t="inlineStr">
        <is>
          <t>Consulta</t>
        </is>
      </c>
      <c r="H472" s="37" t="inlineStr">
        <is>
          <t>Realizado</t>
        </is>
      </c>
      <c r="I472" s="37" t="inlineStr">
        <is>
          <t>Convênio</t>
        </is>
      </c>
      <c r="J472" s="37" t="n"/>
      <c r="K472" s="36" t="n"/>
      <c r="L472" s="44">
        <f>IF(G472="","",IFERROR(INDEX(Config!$K$5:$K$16,MATCH(G472,Config!$J$5:$J$16,0)),""))</f>
        <v>30</v>
      </c>
      <c r="M472" s="30">
        <f>IF(OR(G472="",F472=""),"",IFERROR(INDEX(Config!$M$5:$R$16,MATCH(G472,Config!$J$5:$J$16,0),MATCH(F472,Config!$H$5:$H$10,0)),""))</f>
        <v>90</v>
      </c>
      <c r="N472" s="29">
        <f>IF(A472="","",MONTH(A472))</f>
        <v>8</v>
      </c>
      <c r="O472" s="29">
        <f>IF(A472="","",YEAR(A472))</f>
        <v>2026</v>
      </c>
      <c r="P472" s="29" t="str">
        <f>IF(A472="","",CHOOSE(WEEKDAY(A472,2),"Segunda","Terça","Quarta","Quinta","Sexta","Sábado","Domingo"))</f>
        <v>Terça</v>
      </c>
      <c r="Q472" s="29" t="str">
        <f>IF(B472="","",IF(B472&lt;TIME(12,0,0),"Manhã",IF(B472&lt;TIME(18,0,0),"Tarde","Noite")))</f>
        <v>Manhã</v>
      </c>
      <c r="R472" s="45">
        <f>IF(AND(H472="Realizado",L472&lt;&gt;""),L472/60,0)</f>
        <v>0.5</v>
      </c>
    </row>
    <row r="473">
      <c r="A473" s="42" t="n">
        <v>46252</v>
      </c>
      <c r="B473" s="43" t="n">
        <v>0.4513888888888889</v>
      </c>
      <c r="C473" s="37" t="inlineStr">
        <is>
          <t>Dra. Carolina Mendes</t>
        </is>
      </c>
      <c r="D473" s="37" t="inlineStr">
        <is>
          <t>Sala 1</t>
        </is>
      </c>
      <c r="E473" s="36" t="inlineStr">
        <is>
          <t>Gustavo Barbosa</t>
        </is>
      </c>
      <c r="F473" s="37" t="inlineStr">
        <is>
          <t>Saúde Total</t>
        </is>
      </c>
      <c r="G473" s="37" t="inlineStr">
        <is>
          <t>Consulta</t>
        </is>
      </c>
      <c r="H473" s="37" t="inlineStr">
        <is>
          <t>Realizado</t>
        </is>
      </c>
      <c r="I473" s="37" t="inlineStr">
        <is>
          <t>Convênio</t>
        </is>
      </c>
      <c r="J473" s="37" t="n"/>
      <c r="K473" s="36" t="n"/>
      <c r="L473" s="44">
        <f>IF(G473="","",IFERROR(INDEX(Config!$K$5:$K$16,MATCH(G473,Config!$J$5:$J$16,0)),""))</f>
        <v>30</v>
      </c>
      <c r="M473" s="30">
        <f>IF(OR(G473="",F473=""),"",IFERROR(INDEX(Config!$M$5:$R$16,MATCH(G473,Config!$J$5:$J$16,0),MATCH(F473,Config!$H$5:$H$10,0)),""))</f>
        <v>120</v>
      </c>
      <c r="N473" s="29">
        <f>IF(A473="","",MONTH(A473))</f>
        <v>8</v>
      </c>
      <c r="O473" s="29">
        <f>IF(A473="","",YEAR(A473))</f>
        <v>2026</v>
      </c>
      <c r="P473" s="29" t="str">
        <f>IF(A473="","",CHOOSE(WEEKDAY(A473,2),"Segunda","Terça","Quarta","Quinta","Sexta","Sábado","Domingo"))</f>
        <v>Terça</v>
      </c>
      <c r="Q473" s="29" t="str">
        <f>IF(B473="","",IF(B473&lt;TIME(12,0,0),"Manhã",IF(B473&lt;TIME(18,0,0),"Tarde","Noite")))</f>
        <v>Manhã</v>
      </c>
      <c r="R473" s="45">
        <f>IF(AND(H473="Realizado",L473&lt;&gt;""),L473/60,0)</f>
        <v>0.5</v>
      </c>
    </row>
    <row r="474">
      <c r="A474" s="42" t="n">
        <v>46252</v>
      </c>
      <c r="B474" s="43" t="n">
        <v>0.4722222222222222</v>
      </c>
      <c r="C474" s="37" t="inlineStr">
        <is>
          <t>Dra. Carolina Mendes</t>
        </is>
      </c>
      <c r="D474" s="37" t="inlineStr">
        <is>
          <t>Sala 1</t>
        </is>
      </c>
      <c r="E474" s="36" t="inlineStr">
        <is>
          <t>Rodrigo Moreira</t>
        </is>
      </c>
      <c r="F474" s="37" t="inlineStr">
        <is>
          <t>Particular</t>
        </is>
      </c>
      <c r="G474" s="37" t="inlineStr">
        <is>
          <t>Consulta</t>
        </is>
      </c>
      <c r="H474" s="37" t="inlineStr">
        <is>
          <t>Realizado</t>
        </is>
      </c>
      <c r="I474" s="37" t="inlineStr">
        <is>
          <t>Cartão de crédito</t>
        </is>
      </c>
      <c r="J474" s="37" t="n">
        <v>2</v>
      </c>
      <c r="K474" s="36" t="n"/>
      <c r="L474" s="44">
        <f>IF(G474="","",IFERROR(INDEX(Config!$K$5:$K$16,MATCH(G474,Config!$J$5:$J$16,0)),""))</f>
        <v>30</v>
      </c>
      <c r="M474" s="30">
        <f>IF(OR(G474="",F474=""),"",IFERROR(INDEX(Config!$M$5:$R$16,MATCH(G474,Config!$J$5:$J$16,0),MATCH(F474,Config!$H$5:$H$10,0)),""))</f>
        <v>380</v>
      </c>
      <c r="N474" s="29">
        <f>IF(A474="","",MONTH(A474))</f>
        <v>8</v>
      </c>
      <c r="O474" s="29">
        <f>IF(A474="","",YEAR(A474))</f>
        <v>2026</v>
      </c>
      <c r="P474" s="29" t="str">
        <f>IF(A474="","",CHOOSE(WEEKDAY(A474,2),"Segunda","Terça","Quarta","Quinta","Sexta","Sábado","Domingo"))</f>
        <v>Terça</v>
      </c>
      <c r="Q474" s="29" t="str">
        <f>IF(B474="","",IF(B474&lt;TIME(12,0,0),"Manhã",IF(B474&lt;TIME(18,0,0),"Tarde","Noite")))</f>
        <v>Manhã</v>
      </c>
      <c r="R474" s="45">
        <f>IF(AND(H474="Realizado",L474&lt;&gt;""),L474/60,0)</f>
        <v>0.5</v>
      </c>
    </row>
    <row r="475">
      <c r="A475" s="42" t="n">
        <v>46252</v>
      </c>
      <c r="B475" s="43" t="n">
        <v>0.5833333333333334</v>
      </c>
      <c r="C475" s="37" t="inlineStr">
        <is>
          <t>Dra. Renata Sousa</t>
        </is>
      </c>
      <c r="D475" s="37" t="inlineStr">
        <is>
          <t>Sala 1</t>
        </is>
      </c>
      <c r="E475" s="36" t="inlineStr">
        <is>
          <t>Gustavo Carvalho</t>
        </is>
      </c>
      <c r="F475" s="37" t="inlineStr">
        <is>
          <t>Particular</t>
        </is>
      </c>
      <c r="G475" s="37" t="inlineStr">
        <is>
          <t>Retorno</t>
        </is>
      </c>
      <c r="H475" s="37" t="inlineStr">
        <is>
          <t>Realizado</t>
        </is>
      </c>
      <c r="I475" s="37" t="inlineStr">
        <is>
          <t>Sem cobrança</t>
        </is>
      </c>
      <c r="J475" s="37" t="n"/>
      <c r="K475" s="36" t="n"/>
      <c r="L475" s="44">
        <f>IF(G475="","",IFERROR(INDEX(Config!$K$5:$K$16,MATCH(G475,Config!$J$5:$J$16,0)),""))</f>
        <v>20</v>
      </c>
      <c r="M475" s="30">
        <f>IF(OR(G475="",F475=""),"",IFERROR(INDEX(Config!$M$5:$R$16,MATCH(G475,Config!$J$5:$J$16,0),MATCH(F475,Config!$H$5:$H$10,0)),""))</f>
        <v>0</v>
      </c>
      <c r="N475" s="29">
        <f>IF(A475="","",MONTH(A475))</f>
        <v>8</v>
      </c>
      <c r="O475" s="29">
        <f>IF(A475="","",YEAR(A475))</f>
        <v>2026</v>
      </c>
      <c r="P475" s="29" t="str">
        <f>IF(A475="","",CHOOSE(WEEKDAY(A475,2),"Segunda","Terça","Quarta","Quinta","Sexta","Sábado","Domingo"))</f>
        <v>Terça</v>
      </c>
      <c r="Q475" s="29" t="str">
        <f>IF(B475="","",IF(B475&lt;TIME(12,0,0),"Manhã",IF(B475&lt;TIME(18,0,0),"Tarde","Noite")))</f>
        <v>Tarde</v>
      </c>
      <c r="R475" s="45">
        <f>IF(AND(H475="Realizado",L475&lt;&gt;""),L475/60,0)</f>
        <v>0.333333333333333</v>
      </c>
    </row>
    <row r="476">
      <c r="A476" s="42" t="n">
        <v>46252</v>
      </c>
      <c r="B476" s="43" t="n">
        <v>0.5833333333333334</v>
      </c>
      <c r="C476" s="37" t="inlineStr">
        <is>
          <t>Dr. Paulo Andrade</t>
        </is>
      </c>
      <c r="D476" s="37" t="inlineStr">
        <is>
          <t>Sala 2</t>
        </is>
      </c>
      <c r="E476" s="36" t="inlineStr">
        <is>
          <t>Tatiana Cunha</t>
        </is>
      </c>
      <c r="F476" s="37" t="inlineStr">
        <is>
          <t>Saúde Total</t>
        </is>
      </c>
      <c r="G476" s="37" t="inlineStr">
        <is>
          <t>ECG</t>
        </is>
      </c>
      <c r="H476" s="37" t="inlineStr">
        <is>
          <t>Realizado</t>
        </is>
      </c>
      <c r="I476" s="37" t="inlineStr">
        <is>
          <t>Convênio</t>
        </is>
      </c>
      <c r="J476" s="37" t="n"/>
      <c r="K476" s="36" t="n"/>
      <c r="L476" s="44">
        <f>IF(G476="","",IFERROR(INDEX(Config!$K$5:$K$16,MATCH(G476,Config!$J$5:$J$16,0)),""))</f>
        <v>20</v>
      </c>
      <c r="M476" s="30">
        <f>IF(OR(G476="",F476=""),"",IFERROR(INDEX(Config!$M$5:$R$16,MATCH(G476,Config!$J$5:$J$16,0),MATCH(F476,Config!$H$5:$H$10,0)),""))</f>
        <v>40</v>
      </c>
      <c r="N476" s="29">
        <f>IF(A476="","",MONTH(A476))</f>
        <v>8</v>
      </c>
      <c r="O476" s="29">
        <f>IF(A476="","",YEAR(A476))</f>
        <v>2026</v>
      </c>
      <c r="P476" s="29" t="str">
        <f>IF(A476="","",CHOOSE(WEEKDAY(A476,2),"Segunda","Terça","Quarta","Quinta","Sexta","Sábado","Domingo"))</f>
        <v>Terça</v>
      </c>
      <c r="Q476" s="29" t="str">
        <f>IF(B476="","",IF(B476&lt;TIME(12,0,0),"Manhã",IF(B476&lt;TIME(18,0,0),"Tarde","Noite")))</f>
        <v>Tarde</v>
      </c>
      <c r="R476" s="45">
        <f>IF(AND(H476="Realizado",L476&lt;&gt;""),L476/60,0)</f>
        <v>0.333333333333333</v>
      </c>
    </row>
    <row r="477">
      <c r="A477" s="42" t="n">
        <v>46252</v>
      </c>
      <c r="B477" s="43" t="n">
        <v>0.5972222222222222</v>
      </c>
      <c r="C477" s="37" t="inlineStr">
        <is>
          <t>Dra. Renata Sousa</t>
        </is>
      </c>
      <c r="D477" s="37" t="inlineStr">
        <is>
          <t>Sala 1</t>
        </is>
      </c>
      <c r="E477" s="36" t="inlineStr">
        <is>
          <t>Gabriel Lopes</t>
        </is>
      </c>
      <c r="F477" s="37" t="inlineStr">
        <is>
          <t>Saúde Total</t>
        </is>
      </c>
      <c r="G477" s="37" t="inlineStr">
        <is>
          <t>Retorno</t>
        </is>
      </c>
      <c r="H477" s="37" t="inlineStr">
        <is>
          <t>Realizado</t>
        </is>
      </c>
      <c r="I477" s="37" t="inlineStr">
        <is>
          <t>Sem cobrança</t>
        </is>
      </c>
      <c r="J477" s="37" t="n"/>
      <c r="K477" s="36" t="n"/>
      <c r="L477" s="44">
        <f>IF(G477="","",IFERROR(INDEX(Config!$K$5:$K$16,MATCH(G477,Config!$J$5:$J$16,0)),""))</f>
        <v>20</v>
      </c>
      <c r="M477" s="30">
        <f>IF(OR(G477="",F477=""),"",IFERROR(INDEX(Config!$M$5:$R$16,MATCH(G477,Config!$J$5:$J$16,0),MATCH(F477,Config!$H$5:$H$10,0)),""))</f>
        <v>0</v>
      </c>
      <c r="N477" s="29">
        <f>IF(A477="","",MONTH(A477))</f>
        <v>8</v>
      </c>
      <c r="O477" s="29">
        <f>IF(A477="","",YEAR(A477))</f>
        <v>2026</v>
      </c>
      <c r="P477" s="29" t="str">
        <f>IF(A477="","",CHOOSE(WEEKDAY(A477,2),"Segunda","Terça","Quarta","Quinta","Sexta","Sábado","Domingo"))</f>
        <v>Terça</v>
      </c>
      <c r="Q477" s="29" t="str">
        <f>IF(B477="","",IF(B477&lt;TIME(12,0,0),"Manhã",IF(B477&lt;TIME(18,0,0),"Tarde","Noite")))</f>
        <v>Tarde</v>
      </c>
      <c r="R477" s="45">
        <f>IF(AND(H477="Realizado",L477&lt;&gt;""),L477/60,0)</f>
        <v>0.333333333333333</v>
      </c>
    </row>
    <row r="478">
      <c r="A478" s="42" t="n">
        <v>46252</v>
      </c>
      <c r="B478" s="43" t="n">
        <v>0.5972222222222222</v>
      </c>
      <c r="C478" s="37" t="inlineStr">
        <is>
          <t>Dr. Paulo Andrade</t>
        </is>
      </c>
      <c r="D478" s="37" t="inlineStr">
        <is>
          <t>Sala 2</t>
        </is>
      </c>
      <c r="E478" s="36" t="inlineStr">
        <is>
          <t>Patrícia Vieira</t>
        </is>
      </c>
      <c r="F478" s="37" t="inlineStr">
        <is>
          <t>Saúde Total</t>
        </is>
      </c>
      <c r="G478" s="37" t="inlineStr">
        <is>
          <t>Retorno</t>
        </is>
      </c>
      <c r="H478" s="37" t="inlineStr">
        <is>
          <t>Falta</t>
        </is>
      </c>
      <c r="I478" s="37" t="n"/>
      <c r="J478" s="37" t="n"/>
      <c r="K478" s="36" t="n"/>
      <c r="L478" s="44">
        <f>IF(G478="","",IFERROR(INDEX(Config!$K$5:$K$16,MATCH(G478,Config!$J$5:$J$16,0)),""))</f>
        <v>20</v>
      </c>
      <c r="M478" s="30">
        <f>IF(OR(G478="",F478=""),"",IFERROR(INDEX(Config!$M$5:$R$16,MATCH(G478,Config!$J$5:$J$16,0),MATCH(F478,Config!$H$5:$H$10,0)),""))</f>
        <v>0</v>
      </c>
      <c r="N478" s="29">
        <f>IF(A478="","",MONTH(A478))</f>
        <v>8</v>
      </c>
      <c r="O478" s="29">
        <f>IF(A478="","",YEAR(A478))</f>
        <v>2026</v>
      </c>
      <c r="P478" s="29" t="str">
        <f>IF(A478="","",CHOOSE(WEEKDAY(A478,2),"Segunda","Terça","Quarta","Quinta","Sexta","Sábado","Domingo"))</f>
        <v>Terça</v>
      </c>
      <c r="Q478" s="29" t="str">
        <f>IF(B478="","",IF(B478&lt;TIME(12,0,0),"Manhã",IF(B478&lt;TIME(18,0,0),"Tarde","Noite")))</f>
        <v>Tarde</v>
      </c>
      <c r="R478" s="45">
        <f>IF(AND(H478="Realizado",L478&lt;&gt;""),L478/60,0)</f>
        <v>0</v>
      </c>
    </row>
    <row r="479">
      <c r="A479" s="42" t="n">
        <v>46252</v>
      </c>
      <c r="B479" s="43" t="n">
        <v>0.6319444444444444</v>
      </c>
      <c r="C479" s="37" t="inlineStr">
        <is>
          <t>Dra. Renata Sousa</t>
        </is>
      </c>
      <c r="D479" s="37" t="inlineStr">
        <is>
          <t>Sala 1</t>
        </is>
      </c>
      <c r="E479" s="36" t="inlineStr">
        <is>
          <t>Carlos Gomes</t>
        </is>
      </c>
      <c r="F479" s="37" t="inlineStr">
        <is>
          <t>Saúde Total</t>
        </is>
      </c>
      <c r="G479" s="37" t="inlineStr">
        <is>
          <t>Avaliação endócrina</t>
        </is>
      </c>
      <c r="H479" s="37" t="inlineStr">
        <is>
          <t>Realizado</t>
        </is>
      </c>
      <c r="I479" s="37" t="inlineStr">
        <is>
          <t>Convênio</t>
        </is>
      </c>
      <c r="J479" s="37" t="n"/>
      <c r="K479" s="36" t="n"/>
      <c r="L479" s="44">
        <f>IF(G479="","",IFERROR(INDEX(Config!$K$5:$K$16,MATCH(G479,Config!$J$5:$J$16,0)),""))</f>
        <v>40</v>
      </c>
      <c r="M479" s="30">
        <f>IF(OR(G479="",F479=""),"",IFERROR(INDEX(Config!$M$5:$R$16,MATCH(G479,Config!$J$5:$J$16,0),MATCH(F479,Config!$H$5:$H$10,0)),""))</f>
        <v>130</v>
      </c>
      <c r="N479" s="29">
        <f>IF(A479="","",MONTH(A479))</f>
        <v>8</v>
      </c>
      <c r="O479" s="29">
        <f>IF(A479="","",YEAR(A479))</f>
        <v>2026</v>
      </c>
      <c r="P479" s="29" t="str">
        <f>IF(A479="","",CHOOSE(WEEKDAY(A479,2),"Segunda","Terça","Quarta","Quinta","Sexta","Sábado","Domingo"))</f>
        <v>Terça</v>
      </c>
      <c r="Q479" s="29" t="str">
        <f>IF(B479="","",IF(B479&lt;TIME(12,0,0),"Manhã",IF(B479&lt;TIME(18,0,0),"Tarde","Noite")))</f>
        <v>Tarde</v>
      </c>
      <c r="R479" s="45">
        <f>IF(AND(H479="Realizado",L479&lt;&gt;""),L479/60,0)</f>
        <v>0.666666666666667</v>
      </c>
    </row>
    <row r="480">
      <c r="A480" s="42" t="n">
        <v>46252</v>
      </c>
      <c r="B480" s="43" t="n">
        <v>0.6319444444444444</v>
      </c>
      <c r="C480" s="37" t="inlineStr">
        <is>
          <t>Dr. Paulo Andrade</t>
        </is>
      </c>
      <c r="D480" s="37" t="inlineStr">
        <is>
          <t>Sala 2</t>
        </is>
      </c>
      <c r="E480" s="36" t="inlineStr">
        <is>
          <t>Henrique Santos</t>
        </is>
      </c>
      <c r="F480" s="37" t="inlineStr">
        <is>
          <t>Vida Care</t>
        </is>
      </c>
      <c r="G480" s="37" t="inlineStr">
        <is>
          <t>Consulta</t>
        </is>
      </c>
      <c r="H480" s="37" t="inlineStr">
        <is>
          <t>Remarcado</t>
        </is>
      </c>
      <c r="I480" s="37" t="n"/>
      <c r="J480" s="37" t="n"/>
      <c r="K480" s="36" t="inlineStr">
        <is>
          <t>Paciente pediu outra data</t>
        </is>
      </c>
      <c r="L480" s="44">
        <f>IF(G480="","",IFERROR(INDEX(Config!$K$5:$K$16,MATCH(G480,Config!$J$5:$J$16,0)),""))</f>
        <v>30</v>
      </c>
      <c r="M480" s="30">
        <f>IF(OR(G480="",F480=""),"",IFERROR(INDEX(Config!$M$5:$R$16,MATCH(G480,Config!$J$5:$J$16,0),MATCH(F480,Config!$H$5:$H$10,0)),""))</f>
        <v>90</v>
      </c>
      <c r="N480" s="29">
        <f>IF(A480="","",MONTH(A480))</f>
        <v>8</v>
      </c>
      <c r="O480" s="29">
        <f>IF(A480="","",YEAR(A480))</f>
        <v>2026</v>
      </c>
      <c r="P480" s="29" t="str">
        <f>IF(A480="","",CHOOSE(WEEKDAY(A480,2),"Segunda","Terça","Quarta","Quinta","Sexta","Sábado","Domingo"))</f>
        <v>Terça</v>
      </c>
      <c r="Q480" s="29" t="str">
        <f>IF(B480="","",IF(B480&lt;TIME(12,0,0),"Manhã",IF(B480&lt;TIME(18,0,0),"Tarde","Noite")))</f>
        <v>Tarde</v>
      </c>
      <c r="R480" s="45">
        <f>IF(AND(H480="Realizado",L480&lt;&gt;""),L480/60,0)</f>
        <v>0</v>
      </c>
    </row>
    <row r="481">
      <c r="A481" s="42" t="n">
        <v>46252</v>
      </c>
      <c r="B481" s="43" t="n">
        <v>0.6527777777777778</v>
      </c>
      <c r="C481" s="37" t="inlineStr">
        <is>
          <t>Dr. Paulo Andrade</t>
        </is>
      </c>
      <c r="D481" s="37" t="inlineStr">
        <is>
          <t>Sala 2</t>
        </is>
      </c>
      <c r="E481" s="36" t="inlineStr">
        <is>
          <t>Leandro Cardoso</t>
        </is>
      </c>
      <c r="F481" s="37" t="inlineStr">
        <is>
          <t>MediPlan</t>
        </is>
      </c>
      <c r="G481" s="37" t="inlineStr">
        <is>
          <t>Consulta</t>
        </is>
      </c>
      <c r="H481" s="37" t="inlineStr">
        <is>
          <t>Realizado</t>
        </is>
      </c>
      <c r="I481" s="37" t="inlineStr">
        <is>
          <t>Convênio</t>
        </is>
      </c>
      <c r="J481" s="37" t="n"/>
      <c r="K481" s="36" t="n"/>
      <c r="L481" s="44">
        <f>IF(G481="","",IFERROR(INDEX(Config!$K$5:$K$16,MATCH(G481,Config!$J$5:$J$16,0)),""))</f>
        <v>30</v>
      </c>
      <c r="M481" s="30">
        <f>IF(OR(G481="",F481=""),"",IFERROR(INDEX(Config!$M$5:$R$16,MATCH(G481,Config!$J$5:$J$16,0),MATCH(F481,Config!$H$5:$H$10,0)),""))</f>
        <v>100</v>
      </c>
      <c r="N481" s="29">
        <f>IF(A481="","",MONTH(A481))</f>
        <v>8</v>
      </c>
      <c r="O481" s="29">
        <f>IF(A481="","",YEAR(A481))</f>
        <v>2026</v>
      </c>
      <c r="P481" s="29" t="str">
        <f>IF(A481="","",CHOOSE(WEEKDAY(A481,2),"Segunda","Terça","Quarta","Quinta","Sexta","Sábado","Domingo"))</f>
        <v>Terça</v>
      </c>
      <c r="Q481" s="29" t="str">
        <f>IF(B481="","",IF(B481&lt;TIME(12,0,0),"Manhã",IF(B481&lt;TIME(18,0,0),"Tarde","Noite")))</f>
        <v>Tarde</v>
      </c>
      <c r="R481" s="45">
        <f>IF(AND(H481="Realizado",L481&lt;&gt;""),L481/60,0)</f>
        <v>0.5</v>
      </c>
    </row>
    <row r="482">
      <c r="A482" s="42" t="n">
        <v>46252</v>
      </c>
      <c r="B482" s="43" t="n">
        <v>0.6597222222222222</v>
      </c>
      <c r="C482" s="37" t="inlineStr">
        <is>
          <t>Dra. Renata Sousa</t>
        </is>
      </c>
      <c r="D482" s="37" t="inlineStr">
        <is>
          <t>Sala 1</t>
        </is>
      </c>
      <c r="E482" s="36" t="inlineStr">
        <is>
          <t>Mariana Reis</t>
        </is>
      </c>
      <c r="F482" s="37" t="inlineStr">
        <is>
          <t>Particular</t>
        </is>
      </c>
      <c r="G482" s="37" t="inlineStr">
        <is>
          <t>Avaliação endócrina</t>
        </is>
      </c>
      <c r="H482" s="37" t="inlineStr">
        <is>
          <t>Realizado</t>
        </is>
      </c>
      <c r="I482" s="37" t="inlineStr">
        <is>
          <t>Pix</t>
        </is>
      </c>
      <c r="J482" s="37" t="n"/>
      <c r="K482" s="36" t="n"/>
      <c r="L482" s="44">
        <f>IF(G482="","",IFERROR(INDEX(Config!$K$5:$K$16,MATCH(G482,Config!$J$5:$J$16,0)),""))</f>
        <v>40</v>
      </c>
      <c r="M482" s="30">
        <f>IF(OR(G482="",F482=""),"",IFERROR(INDEX(Config!$M$5:$R$16,MATCH(G482,Config!$J$5:$J$16,0),MATCH(F482,Config!$H$5:$H$10,0)),""))</f>
        <v>400</v>
      </c>
      <c r="N482" s="29">
        <f>IF(A482="","",MONTH(A482))</f>
        <v>8</v>
      </c>
      <c r="O482" s="29">
        <f>IF(A482="","",YEAR(A482))</f>
        <v>2026</v>
      </c>
      <c r="P482" s="29" t="str">
        <f>IF(A482="","",CHOOSE(WEEKDAY(A482,2),"Segunda","Terça","Quarta","Quinta","Sexta","Sábado","Domingo"))</f>
        <v>Terça</v>
      </c>
      <c r="Q482" s="29" t="str">
        <f>IF(B482="","",IF(B482&lt;TIME(12,0,0),"Manhã",IF(B482&lt;TIME(18,0,0),"Tarde","Noite")))</f>
        <v>Tarde</v>
      </c>
      <c r="R482" s="45">
        <f>IF(AND(H482="Realizado",L482&lt;&gt;""),L482/60,0)</f>
        <v>0.666666666666667</v>
      </c>
    </row>
    <row r="483">
      <c r="A483" s="42" t="n">
        <v>46252</v>
      </c>
      <c r="B483" s="43" t="n">
        <v>0.6736111111111112</v>
      </c>
      <c r="C483" s="37" t="inlineStr">
        <is>
          <t>Dr. Paulo Andrade</t>
        </is>
      </c>
      <c r="D483" s="37" t="inlineStr">
        <is>
          <t>Sala 2</t>
        </is>
      </c>
      <c r="E483" s="36" t="inlineStr">
        <is>
          <t>Fábio Correia</t>
        </is>
      </c>
      <c r="F483" s="37" t="inlineStr">
        <is>
          <t>Particular</t>
        </is>
      </c>
      <c r="G483" s="37" t="inlineStr">
        <is>
          <t>Consulta</t>
        </is>
      </c>
      <c r="H483" s="37" t="inlineStr">
        <is>
          <t>Realizado</t>
        </is>
      </c>
      <c r="I483" s="37" t="inlineStr">
        <is>
          <t>Pix</t>
        </is>
      </c>
      <c r="J483" s="37" t="n"/>
      <c r="K483" s="36" t="n"/>
      <c r="L483" s="44">
        <f>IF(G483="","",IFERROR(INDEX(Config!$K$5:$K$16,MATCH(G483,Config!$J$5:$J$16,0)),""))</f>
        <v>30</v>
      </c>
      <c r="M483" s="30">
        <f>IF(OR(G483="",F483=""),"",IFERROR(INDEX(Config!$M$5:$R$16,MATCH(G483,Config!$J$5:$J$16,0),MATCH(F483,Config!$H$5:$H$10,0)),""))</f>
        <v>380</v>
      </c>
      <c r="N483" s="29">
        <f>IF(A483="","",MONTH(A483))</f>
        <v>8</v>
      </c>
      <c r="O483" s="29">
        <f>IF(A483="","",YEAR(A483))</f>
        <v>2026</v>
      </c>
      <c r="P483" s="29" t="str">
        <f>IF(A483="","",CHOOSE(WEEKDAY(A483,2),"Segunda","Terça","Quarta","Quinta","Sexta","Sábado","Domingo"))</f>
        <v>Terça</v>
      </c>
      <c r="Q483" s="29" t="str">
        <f>IF(B483="","",IF(B483&lt;TIME(12,0,0),"Manhã",IF(B483&lt;TIME(18,0,0),"Tarde","Noite")))</f>
        <v>Tarde</v>
      </c>
      <c r="R483" s="45">
        <f>IF(AND(H483="Realizado",L483&lt;&gt;""),L483/60,0)</f>
        <v>0.5</v>
      </c>
    </row>
    <row r="484">
      <c r="A484" s="42" t="n">
        <v>46252</v>
      </c>
      <c r="B484" s="43" t="n">
        <v>0.6875</v>
      </c>
      <c r="C484" s="37" t="inlineStr">
        <is>
          <t>Dra. Renata Sousa</t>
        </is>
      </c>
      <c r="D484" s="37" t="inlineStr">
        <is>
          <t>Sala 1</t>
        </is>
      </c>
      <c r="E484" s="36" t="inlineStr">
        <is>
          <t>Fábio Gomes</t>
        </is>
      </c>
      <c r="F484" s="37" t="inlineStr">
        <is>
          <t>Particular</t>
        </is>
      </c>
      <c r="G484" s="37" t="inlineStr">
        <is>
          <t>Avaliação endócrina</t>
        </is>
      </c>
      <c r="H484" s="37" t="inlineStr">
        <is>
          <t>Realizado</t>
        </is>
      </c>
      <c r="I484" s="37" t="inlineStr">
        <is>
          <t>A prazo</t>
        </is>
      </c>
      <c r="J484" s="37" t="n"/>
      <c r="K484" s="36" t="n"/>
      <c r="L484" s="44">
        <f>IF(G484="","",IFERROR(INDEX(Config!$K$5:$K$16,MATCH(G484,Config!$J$5:$J$16,0)),""))</f>
        <v>40</v>
      </c>
      <c r="M484" s="30">
        <f>IF(OR(G484="",F484=""),"",IFERROR(INDEX(Config!$M$5:$R$16,MATCH(G484,Config!$J$5:$J$16,0),MATCH(F484,Config!$H$5:$H$10,0)),""))</f>
        <v>400</v>
      </c>
      <c r="N484" s="29">
        <f>IF(A484="","",MONTH(A484))</f>
        <v>8</v>
      </c>
      <c r="O484" s="29">
        <f>IF(A484="","",YEAR(A484))</f>
        <v>2026</v>
      </c>
      <c r="P484" s="29" t="str">
        <f>IF(A484="","",CHOOSE(WEEKDAY(A484,2),"Segunda","Terça","Quarta","Quinta","Sexta","Sábado","Domingo"))</f>
        <v>Terça</v>
      </c>
      <c r="Q484" s="29" t="str">
        <f>IF(B484="","",IF(B484&lt;TIME(12,0,0),"Manhã",IF(B484&lt;TIME(18,0,0),"Tarde","Noite")))</f>
        <v>Tarde</v>
      </c>
      <c r="R484" s="45">
        <f>IF(AND(H484="Realizado",L484&lt;&gt;""),L484/60,0)</f>
        <v>0.666666666666667</v>
      </c>
    </row>
    <row r="485">
      <c r="A485" s="42" t="n">
        <v>46252</v>
      </c>
      <c r="B485" s="43" t="n">
        <v>0.6944444444444444</v>
      </c>
      <c r="C485" s="37" t="inlineStr">
        <is>
          <t>Dr. Paulo Andrade</t>
        </is>
      </c>
      <c r="D485" s="37" t="inlineStr">
        <is>
          <t>Sala 2</t>
        </is>
      </c>
      <c r="E485" s="36" t="inlineStr">
        <is>
          <t>Helena Ribeiro</t>
        </is>
      </c>
      <c r="F485" s="37" t="inlineStr">
        <is>
          <t>MediPlan</t>
        </is>
      </c>
      <c r="G485" s="37" t="inlineStr">
        <is>
          <t>Consulta</t>
        </is>
      </c>
      <c r="H485" s="37" t="inlineStr">
        <is>
          <t>Realizado</t>
        </is>
      </c>
      <c r="I485" s="37" t="inlineStr">
        <is>
          <t>Convênio</t>
        </is>
      </c>
      <c r="J485" s="37" t="n"/>
      <c r="K485" s="36" t="n"/>
      <c r="L485" s="44">
        <f>IF(G485="","",IFERROR(INDEX(Config!$K$5:$K$16,MATCH(G485,Config!$J$5:$J$16,0)),""))</f>
        <v>30</v>
      </c>
      <c r="M485" s="30">
        <f>IF(OR(G485="",F485=""),"",IFERROR(INDEX(Config!$M$5:$R$16,MATCH(G485,Config!$J$5:$J$16,0),MATCH(F485,Config!$H$5:$H$10,0)),""))</f>
        <v>100</v>
      </c>
      <c r="N485" s="29">
        <f>IF(A485="","",MONTH(A485))</f>
        <v>8</v>
      </c>
      <c r="O485" s="29">
        <f>IF(A485="","",YEAR(A485))</f>
        <v>2026</v>
      </c>
      <c r="P485" s="29" t="str">
        <f>IF(A485="","",CHOOSE(WEEKDAY(A485,2),"Segunda","Terça","Quarta","Quinta","Sexta","Sábado","Domingo"))</f>
        <v>Terça</v>
      </c>
      <c r="Q485" s="29" t="str">
        <f>IF(B485="","",IF(B485&lt;TIME(12,0,0),"Manhã",IF(B485&lt;TIME(18,0,0),"Tarde","Noite")))</f>
        <v>Tarde</v>
      </c>
      <c r="R485" s="45">
        <f>IF(AND(H485="Realizado",L485&lt;&gt;""),L485/60,0)</f>
        <v>0.5</v>
      </c>
    </row>
    <row r="486">
      <c r="A486" s="42" t="n">
        <v>46252</v>
      </c>
      <c r="B486" s="43" t="n">
        <v>0.7152777777777778</v>
      </c>
      <c r="C486" s="37" t="inlineStr">
        <is>
          <t>Dra. Renata Sousa</t>
        </is>
      </c>
      <c r="D486" s="37" t="inlineStr">
        <is>
          <t>Sala 1</t>
        </is>
      </c>
      <c r="E486" s="36" t="inlineStr">
        <is>
          <t>Beatriz Monteiro</t>
        </is>
      </c>
      <c r="F486" s="37" t="inlineStr">
        <is>
          <t>Particular</t>
        </is>
      </c>
      <c r="G486" s="37" t="inlineStr">
        <is>
          <t>Avaliação endócrina</t>
        </is>
      </c>
      <c r="H486" s="37" t="inlineStr">
        <is>
          <t>Cancelado</t>
        </is>
      </c>
      <c r="I486" s="37" t="n"/>
      <c r="J486" s="37" t="n"/>
      <c r="K486" s="36" t="n"/>
      <c r="L486" s="44">
        <f>IF(G486="","",IFERROR(INDEX(Config!$K$5:$K$16,MATCH(G486,Config!$J$5:$J$16,0)),""))</f>
        <v>40</v>
      </c>
      <c r="M486" s="30">
        <f>IF(OR(G486="",F486=""),"",IFERROR(INDEX(Config!$M$5:$R$16,MATCH(G486,Config!$J$5:$J$16,0),MATCH(F486,Config!$H$5:$H$10,0)),""))</f>
        <v>400</v>
      </c>
      <c r="N486" s="29">
        <f>IF(A486="","",MONTH(A486))</f>
        <v>8</v>
      </c>
      <c r="O486" s="29">
        <f>IF(A486="","",YEAR(A486))</f>
        <v>2026</v>
      </c>
      <c r="P486" s="29" t="str">
        <f>IF(A486="","",CHOOSE(WEEKDAY(A486,2),"Segunda","Terça","Quarta","Quinta","Sexta","Sábado","Domingo"))</f>
        <v>Terça</v>
      </c>
      <c r="Q486" s="29" t="str">
        <f>IF(B486="","",IF(B486&lt;TIME(12,0,0),"Manhã",IF(B486&lt;TIME(18,0,0),"Tarde","Noite")))</f>
        <v>Tarde</v>
      </c>
      <c r="R486" s="45">
        <f>IF(AND(H486="Realizado",L486&lt;&gt;""),L486/60,0)</f>
        <v>0</v>
      </c>
    </row>
    <row r="487">
      <c r="A487" s="42" t="n">
        <v>46252</v>
      </c>
      <c r="B487" s="43" t="n">
        <v>0.7152777777777778</v>
      </c>
      <c r="C487" s="37" t="inlineStr">
        <is>
          <t>Dr. Paulo Andrade</t>
        </is>
      </c>
      <c r="D487" s="37" t="inlineStr">
        <is>
          <t>Sala 2</t>
        </is>
      </c>
      <c r="E487" s="36" t="inlineStr">
        <is>
          <t>Natália Xavier</t>
        </is>
      </c>
      <c r="F487" s="37" t="inlineStr">
        <is>
          <t>MediPlan</t>
        </is>
      </c>
      <c r="G487" s="37" t="inlineStr">
        <is>
          <t>Consulta</t>
        </is>
      </c>
      <c r="H487" s="37" t="inlineStr">
        <is>
          <t>Realizado</t>
        </is>
      </c>
      <c r="I487" s="37" t="inlineStr">
        <is>
          <t>Convênio</t>
        </is>
      </c>
      <c r="J487" s="37" t="n"/>
      <c r="K487" s="36" t="n"/>
      <c r="L487" s="44">
        <f>IF(G487="","",IFERROR(INDEX(Config!$K$5:$K$16,MATCH(G487,Config!$J$5:$J$16,0)),""))</f>
        <v>30</v>
      </c>
      <c r="M487" s="30">
        <f>IF(OR(G487="",F487=""),"",IFERROR(INDEX(Config!$M$5:$R$16,MATCH(G487,Config!$J$5:$J$16,0),MATCH(F487,Config!$H$5:$H$10,0)),""))</f>
        <v>100</v>
      </c>
      <c r="N487" s="29">
        <f>IF(A487="","",MONTH(A487))</f>
        <v>8</v>
      </c>
      <c r="O487" s="29">
        <f>IF(A487="","",YEAR(A487))</f>
        <v>2026</v>
      </c>
      <c r="P487" s="29" t="str">
        <f>IF(A487="","",CHOOSE(WEEKDAY(A487,2),"Segunda","Terça","Quarta","Quinta","Sexta","Sábado","Domingo"))</f>
        <v>Terça</v>
      </c>
      <c r="Q487" s="29" t="str">
        <f>IF(B487="","",IF(B487&lt;TIME(12,0,0),"Manhã",IF(B487&lt;TIME(18,0,0),"Tarde","Noite")))</f>
        <v>Tarde</v>
      </c>
      <c r="R487" s="45">
        <f>IF(AND(H487="Realizado",L487&lt;&gt;""),L487/60,0)</f>
        <v>0.5</v>
      </c>
    </row>
    <row r="488">
      <c r="A488" s="42" t="n">
        <v>46252</v>
      </c>
      <c r="B488" s="43" t="n">
        <v>0.7361111111111112</v>
      </c>
      <c r="C488" s="37" t="inlineStr">
        <is>
          <t>Dr. Paulo Andrade</t>
        </is>
      </c>
      <c r="D488" s="37" t="inlineStr">
        <is>
          <t>Sala 2</t>
        </is>
      </c>
      <c r="E488" s="36" t="inlineStr">
        <is>
          <t>Rodrigo Moreira</t>
        </is>
      </c>
      <c r="F488" s="37" t="inlineStr">
        <is>
          <t>Particular</t>
        </is>
      </c>
      <c r="G488" s="37" t="inlineStr">
        <is>
          <t>MAPA</t>
        </is>
      </c>
      <c r="H488" s="37" t="inlineStr">
        <is>
          <t>Cancelado</t>
        </is>
      </c>
      <c r="I488" s="37" t="n"/>
      <c r="J488" s="37" t="n"/>
      <c r="K488" s="36" t="n"/>
      <c r="L488" s="44">
        <f>IF(G488="","",IFERROR(INDEX(Config!$K$5:$K$16,MATCH(G488,Config!$J$5:$J$16,0)),""))</f>
        <v>20</v>
      </c>
      <c r="M488" s="30">
        <f>IF(OR(G488="",F488=""),"",IFERROR(INDEX(Config!$M$5:$R$16,MATCH(G488,Config!$J$5:$J$16,0),MATCH(F488,Config!$H$5:$H$10,0)),""))</f>
        <v>300</v>
      </c>
      <c r="N488" s="29">
        <f>IF(A488="","",MONTH(A488))</f>
        <v>8</v>
      </c>
      <c r="O488" s="29">
        <f>IF(A488="","",YEAR(A488))</f>
        <v>2026</v>
      </c>
      <c r="P488" s="29" t="str">
        <f>IF(A488="","",CHOOSE(WEEKDAY(A488,2),"Segunda","Terça","Quarta","Quinta","Sexta","Sábado","Domingo"))</f>
        <v>Terça</v>
      </c>
      <c r="Q488" s="29" t="str">
        <f>IF(B488="","",IF(B488&lt;TIME(12,0,0),"Manhã",IF(B488&lt;TIME(18,0,0),"Tarde","Noite")))</f>
        <v>Tarde</v>
      </c>
      <c r="R488" s="45">
        <f>IF(AND(H488="Realizado",L488&lt;&gt;""),L488/60,0)</f>
        <v>0</v>
      </c>
    </row>
    <row r="489">
      <c r="A489" s="42" t="n">
        <v>46253</v>
      </c>
      <c r="B489" s="43" t="n">
        <v>0.5833333333333334</v>
      </c>
      <c r="C489" s="37" t="inlineStr">
        <is>
          <t>Dra. Carolina Mendes</t>
        </is>
      </c>
      <c r="D489" s="37" t="inlineStr">
        <is>
          <t>Sala 1</t>
        </is>
      </c>
      <c r="E489" s="36" t="inlineStr">
        <is>
          <t>Otávio Nascimento</t>
        </is>
      </c>
      <c r="F489" s="37" t="inlineStr">
        <is>
          <t>Particular</t>
        </is>
      </c>
      <c r="G489" s="37" t="inlineStr">
        <is>
          <t>Consulta</t>
        </is>
      </c>
      <c r="H489" s="37" t="inlineStr">
        <is>
          <t>Falta</t>
        </is>
      </c>
      <c r="I489" s="37" t="n"/>
      <c r="J489" s="37" t="n"/>
      <c r="K489" s="36" t="n"/>
      <c r="L489" s="44">
        <f>IF(G489="","",IFERROR(INDEX(Config!$K$5:$K$16,MATCH(G489,Config!$J$5:$J$16,0)),""))</f>
        <v>30</v>
      </c>
      <c r="M489" s="30">
        <f>IF(OR(G489="",F489=""),"",IFERROR(INDEX(Config!$M$5:$R$16,MATCH(G489,Config!$J$5:$J$16,0),MATCH(F489,Config!$H$5:$H$10,0)),""))</f>
        <v>380</v>
      </c>
      <c r="N489" s="29">
        <f>IF(A489="","",MONTH(A489))</f>
        <v>8</v>
      </c>
      <c r="O489" s="29">
        <f>IF(A489="","",YEAR(A489))</f>
        <v>2026</v>
      </c>
      <c r="P489" s="29" t="str">
        <f>IF(A489="","",CHOOSE(WEEKDAY(A489,2),"Segunda","Terça","Quarta","Quinta","Sexta","Sábado","Domingo"))</f>
        <v>Quarta</v>
      </c>
      <c r="Q489" s="29" t="str">
        <f>IF(B489="","",IF(B489&lt;TIME(12,0,0),"Manhã",IF(B489&lt;TIME(18,0,0),"Tarde","Noite")))</f>
        <v>Tarde</v>
      </c>
      <c r="R489" s="45">
        <f>IF(AND(H489="Realizado",L489&lt;&gt;""),L489/60,0)</f>
        <v>0</v>
      </c>
    </row>
    <row r="490">
      <c r="A490" s="42" t="n">
        <v>46253</v>
      </c>
      <c r="B490" s="43" t="n">
        <v>0.6041666666666666</v>
      </c>
      <c r="C490" s="37" t="inlineStr">
        <is>
          <t>Dra. Carolina Mendes</t>
        </is>
      </c>
      <c r="D490" s="37" t="inlineStr">
        <is>
          <t>Sala 1</t>
        </is>
      </c>
      <c r="E490" s="36" t="inlineStr">
        <is>
          <t>Isabela Pinto</t>
        </is>
      </c>
      <c r="F490" s="37" t="inlineStr">
        <is>
          <t>Saúde Total</t>
        </is>
      </c>
      <c r="G490" s="37" t="inlineStr">
        <is>
          <t>Consulta</t>
        </is>
      </c>
      <c r="H490" s="37" t="inlineStr">
        <is>
          <t>Remarcado</t>
        </is>
      </c>
      <c r="I490" s="37" t="n"/>
      <c r="J490" s="37" t="n"/>
      <c r="K490" s="36" t="inlineStr">
        <is>
          <t>Paciente pediu outra data</t>
        </is>
      </c>
      <c r="L490" s="44">
        <f>IF(G490="","",IFERROR(INDEX(Config!$K$5:$K$16,MATCH(G490,Config!$J$5:$J$16,0)),""))</f>
        <v>30</v>
      </c>
      <c r="M490" s="30">
        <f>IF(OR(G490="",F490=""),"",IFERROR(INDEX(Config!$M$5:$R$16,MATCH(G490,Config!$J$5:$J$16,0),MATCH(F490,Config!$H$5:$H$10,0)),""))</f>
        <v>120</v>
      </c>
      <c r="N490" s="29">
        <f>IF(A490="","",MONTH(A490))</f>
        <v>8</v>
      </c>
      <c r="O490" s="29">
        <f>IF(A490="","",YEAR(A490))</f>
        <v>2026</v>
      </c>
      <c r="P490" s="29" t="str">
        <f>IF(A490="","",CHOOSE(WEEKDAY(A490,2),"Segunda","Terça","Quarta","Quinta","Sexta","Sábado","Domingo"))</f>
        <v>Quarta</v>
      </c>
      <c r="Q490" s="29" t="str">
        <f>IF(B490="","",IF(B490&lt;TIME(12,0,0),"Manhã",IF(B490&lt;TIME(18,0,0),"Tarde","Noite")))</f>
        <v>Tarde</v>
      </c>
      <c r="R490" s="45">
        <f>IF(AND(H490="Realizado",L490&lt;&gt;""),L490/60,0)</f>
        <v>0</v>
      </c>
    </row>
    <row r="491">
      <c r="A491" s="42" t="n">
        <v>46253</v>
      </c>
      <c r="B491" s="43" t="n">
        <v>0.625</v>
      </c>
      <c r="C491" s="37" t="inlineStr">
        <is>
          <t>Dra. Carolina Mendes</t>
        </is>
      </c>
      <c r="D491" s="37" t="inlineStr">
        <is>
          <t>Sala 1</t>
        </is>
      </c>
      <c r="E491" s="36" t="inlineStr">
        <is>
          <t>Marcelo Santos</t>
        </is>
      </c>
      <c r="F491" s="37" t="inlineStr">
        <is>
          <t>Particular</t>
        </is>
      </c>
      <c r="G491" s="37" t="inlineStr">
        <is>
          <t>Consulta</t>
        </is>
      </c>
      <c r="H491" s="37" t="inlineStr">
        <is>
          <t>Realizado</t>
        </is>
      </c>
      <c r="I491" s="37" t="inlineStr">
        <is>
          <t>Pix</t>
        </is>
      </c>
      <c r="J491" s="37" t="n"/>
      <c r="K491" s="36" t="n"/>
      <c r="L491" s="44">
        <f>IF(G491="","",IFERROR(INDEX(Config!$K$5:$K$16,MATCH(G491,Config!$J$5:$J$16,0)),""))</f>
        <v>30</v>
      </c>
      <c r="M491" s="30">
        <f>IF(OR(G491="",F491=""),"",IFERROR(INDEX(Config!$M$5:$R$16,MATCH(G491,Config!$J$5:$J$16,0),MATCH(F491,Config!$H$5:$H$10,0)),""))</f>
        <v>380</v>
      </c>
      <c r="N491" s="29">
        <f>IF(A491="","",MONTH(A491))</f>
        <v>8</v>
      </c>
      <c r="O491" s="29">
        <f>IF(A491="","",YEAR(A491))</f>
        <v>2026</v>
      </c>
      <c r="P491" s="29" t="str">
        <f>IF(A491="","",CHOOSE(WEEKDAY(A491,2),"Segunda","Terça","Quarta","Quinta","Sexta","Sábado","Domingo"))</f>
        <v>Quarta</v>
      </c>
      <c r="Q491" s="29" t="str">
        <f>IF(B491="","",IF(B491&lt;TIME(12,0,0),"Manhã",IF(B491&lt;TIME(18,0,0),"Tarde","Noite")))</f>
        <v>Tarde</v>
      </c>
      <c r="R491" s="45">
        <f>IF(AND(H491="Realizado",L491&lt;&gt;""),L491/60,0)</f>
        <v>0.5</v>
      </c>
    </row>
    <row r="492">
      <c r="A492" s="42" t="n">
        <v>46253</v>
      </c>
      <c r="B492" s="43" t="n">
        <v>0.6458333333333334</v>
      </c>
      <c r="C492" s="37" t="inlineStr">
        <is>
          <t>Dra. Carolina Mendes</t>
        </is>
      </c>
      <c r="D492" s="37" t="inlineStr">
        <is>
          <t>Sala 1</t>
        </is>
      </c>
      <c r="E492" s="36" t="inlineStr">
        <is>
          <t>Cláudia Santos</t>
        </is>
      </c>
      <c r="F492" s="37" t="inlineStr">
        <is>
          <t>Particular</t>
        </is>
      </c>
      <c r="G492" s="37" t="inlineStr">
        <is>
          <t>Consulta</t>
        </is>
      </c>
      <c r="H492" s="37" t="inlineStr">
        <is>
          <t>Cancelado</t>
        </is>
      </c>
      <c r="I492" s="37" t="n"/>
      <c r="J492" s="37" t="n"/>
      <c r="K492" s="36" t="n"/>
      <c r="L492" s="44">
        <f>IF(G492="","",IFERROR(INDEX(Config!$K$5:$K$16,MATCH(G492,Config!$J$5:$J$16,0)),""))</f>
        <v>30</v>
      </c>
      <c r="M492" s="30">
        <f>IF(OR(G492="",F492=""),"",IFERROR(INDEX(Config!$M$5:$R$16,MATCH(G492,Config!$J$5:$J$16,0),MATCH(F492,Config!$H$5:$H$10,0)),""))</f>
        <v>380</v>
      </c>
      <c r="N492" s="29">
        <f>IF(A492="","",MONTH(A492))</f>
        <v>8</v>
      </c>
      <c r="O492" s="29">
        <f>IF(A492="","",YEAR(A492))</f>
        <v>2026</v>
      </c>
      <c r="P492" s="29" t="str">
        <f>IF(A492="","",CHOOSE(WEEKDAY(A492,2),"Segunda","Terça","Quarta","Quinta","Sexta","Sábado","Domingo"))</f>
        <v>Quarta</v>
      </c>
      <c r="Q492" s="29" t="str">
        <f>IF(B492="","",IF(B492&lt;TIME(12,0,0),"Manhã",IF(B492&lt;TIME(18,0,0),"Tarde","Noite")))</f>
        <v>Tarde</v>
      </c>
      <c r="R492" s="45">
        <f>IF(AND(H492="Realizado",L492&lt;&gt;""),L492/60,0)</f>
        <v>0</v>
      </c>
    </row>
    <row r="493">
      <c r="A493" s="42" t="n">
        <v>46253</v>
      </c>
      <c r="B493" s="43" t="n">
        <v>0.6666666666666666</v>
      </c>
      <c r="C493" s="37" t="inlineStr">
        <is>
          <t>Dra. Carolina Mendes</t>
        </is>
      </c>
      <c r="D493" s="37" t="inlineStr">
        <is>
          <t>Sala 1</t>
        </is>
      </c>
      <c r="E493" s="36" t="inlineStr">
        <is>
          <t>Isabela Pinto</t>
        </is>
      </c>
      <c r="F493" s="37" t="inlineStr">
        <is>
          <t>Saúde Total</t>
        </is>
      </c>
      <c r="G493" s="37" t="inlineStr">
        <is>
          <t>Consulta</t>
        </is>
      </c>
      <c r="H493" s="37" t="inlineStr">
        <is>
          <t>Realizado</t>
        </is>
      </c>
      <c r="I493" s="37" t="inlineStr">
        <is>
          <t>Convênio</t>
        </is>
      </c>
      <c r="J493" s="37" t="n"/>
      <c r="K493" s="36" t="n"/>
      <c r="L493" s="44">
        <f>IF(G493="","",IFERROR(INDEX(Config!$K$5:$K$16,MATCH(G493,Config!$J$5:$J$16,0)),""))</f>
        <v>30</v>
      </c>
      <c r="M493" s="30">
        <f>IF(OR(G493="",F493=""),"",IFERROR(INDEX(Config!$M$5:$R$16,MATCH(G493,Config!$J$5:$J$16,0),MATCH(F493,Config!$H$5:$H$10,0)),""))</f>
        <v>120</v>
      </c>
      <c r="N493" s="29">
        <f>IF(A493="","",MONTH(A493))</f>
        <v>8</v>
      </c>
      <c r="O493" s="29">
        <f>IF(A493="","",YEAR(A493))</f>
        <v>2026</v>
      </c>
      <c r="P493" s="29" t="str">
        <f>IF(A493="","",CHOOSE(WEEKDAY(A493,2),"Segunda","Terça","Quarta","Quinta","Sexta","Sábado","Domingo"))</f>
        <v>Quarta</v>
      </c>
      <c r="Q493" s="29" t="str">
        <f>IF(B493="","",IF(B493&lt;TIME(12,0,0),"Manhã",IF(B493&lt;TIME(18,0,0),"Tarde","Noite")))</f>
        <v>Tarde</v>
      </c>
      <c r="R493" s="45">
        <f>IF(AND(H493="Realizado",L493&lt;&gt;""),L493/60,0)</f>
        <v>0.5</v>
      </c>
    </row>
    <row r="494">
      <c r="A494" s="42" t="n">
        <v>46253</v>
      </c>
      <c r="B494" s="43" t="n">
        <v>0.6875</v>
      </c>
      <c r="C494" s="37" t="inlineStr">
        <is>
          <t>Dra. Carolina Mendes</t>
        </is>
      </c>
      <c r="D494" s="37" t="inlineStr">
        <is>
          <t>Sala 1</t>
        </is>
      </c>
      <c r="E494" s="36" t="inlineStr">
        <is>
          <t>Gisele Xavier</t>
        </is>
      </c>
      <c r="F494" s="37" t="inlineStr">
        <is>
          <t>Particular</t>
        </is>
      </c>
      <c r="G494" s="37" t="inlineStr">
        <is>
          <t>Consulta</t>
        </is>
      </c>
      <c r="H494" s="37" t="inlineStr">
        <is>
          <t>Realizado</t>
        </is>
      </c>
      <c r="I494" s="37" t="inlineStr">
        <is>
          <t>Cartão de débito</t>
        </is>
      </c>
      <c r="J494" s="37" t="n"/>
      <c r="K494" s="36" t="n"/>
      <c r="L494" s="44">
        <f>IF(G494="","",IFERROR(INDEX(Config!$K$5:$K$16,MATCH(G494,Config!$J$5:$J$16,0)),""))</f>
        <v>30</v>
      </c>
      <c r="M494" s="30">
        <f>IF(OR(G494="",F494=""),"",IFERROR(INDEX(Config!$M$5:$R$16,MATCH(G494,Config!$J$5:$J$16,0),MATCH(F494,Config!$H$5:$H$10,0)),""))</f>
        <v>380</v>
      </c>
      <c r="N494" s="29">
        <f>IF(A494="","",MONTH(A494))</f>
        <v>8</v>
      </c>
      <c r="O494" s="29">
        <f>IF(A494="","",YEAR(A494))</f>
        <v>2026</v>
      </c>
      <c r="P494" s="29" t="str">
        <f>IF(A494="","",CHOOSE(WEEKDAY(A494,2),"Segunda","Terça","Quarta","Quinta","Sexta","Sábado","Domingo"))</f>
        <v>Quarta</v>
      </c>
      <c r="Q494" s="29" t="str">
        <f>IF(B494="","",IF(B494&lt;TIME(12,0,0),"Manhã",IF(B494&lt;TIME(18,0,0),"Tarde","Noite")))</f>
        <v>Tarde</v>
      </c>
      <c r="R494" s="45">
        <f>IF(AND(H494="Realizado",L494&lt;&gt;""),L494/60,0)</f>
        <v>0.5</v>
      </c>
    </row>
    <row r="495">
      <c r="A495" s="42" t="n">
        <v>46253</v>
      </c>
      <c r="B495" s="43" t="n">
        <v>0.7083333333333334</v>
      </c>
      <c r="C495" s="37" t="inlineStr">
        <is>
          <t>Dra. Carolina Mendes</t>
        </is>
      </c>
      <c r="D495" s="37" t="inlineStr">
        <is>
          <t>Sala 1</t>
        </is>
      </c>
      <c r="E495" s="36" t="inlineStr">
        <is>
          <t>Mônica Batista</t>
        </is>
      </c>
      <c r="F495" s="37" t="inlineStr">
        <is>
          <t>MediPlan</t>
        </is>
      </c>
      <c r="G495" s="37" t="inlineStr">
        <is>
          <t>Consulta</t>
        </is>
      </c>
      <c r="H495" s="37" t="inlineStr">
        <is>
          <t>Realizado</t>
        </is>
      </c>
      <c r="I495" s="37" t="inlineStr">
        <is>
          <t>Convênio</t>
        </is>
      </c>
      <c r="J495" s="37" t="n"/>
      <c r="K495" s="36" t="n"/>
      <c r="L495" s="44">
        <f>IF(G495="","",IFERROR(INDEX(Config!$K$5:$K$16,MATCH(G495,Config!$J$5:$J$16,0)),""))</f>
        <v>30</v>
      </c>
      <c r="M495" s="30">
        <f>IF(OR(G495="",F495=""),"",IFERROR(INDEX(Config!$M$5:$R$16,MATCH(G495,Config!$J$5:$J$16,0),MATCH(F495,Config!$H$5:$H$10,0)),""))</f>
        <v>100</v>
      </c>
      <c r="N495" s="29">
        <f>IF(A495="","",MONTH(A495))</f>
        <v>8</v>
      </c>
      <c r="O495" s="29">
        <f>IF(A495="","",YEAR(A495))</f>
        <v>2026</v>
      </c>
      <c r="P495" s="29" t="str">
        <f>IF(A495="","",CHOOSE(WEEKDAY(A495,2),"Segunda","Terça","Quarta","Quinta","Sexta","Sábado","Domingo"))</f>
        <v>Quarta</v>
      </c>
      <c r="Q495" s="29" t="str">
        <f>IF(B495="","",IF(B495&lt;TIME(12,0,0),"Manhã",IF(B495&lt;TIME(18,0,0),"Tarde","Noite")))</f>
        <v>Tarde</v>
      </c>
      <c r="R495" s="45">
        <f>IF(AND(H495="Realizado",L495&lt;&gt;""),L495/60,0)</f>
        <v>0.5</v>
      </c>
    </row>
    <row r="496">
      <c r="A496" s="42" t="n">
        <v>46253</v>
      </c>
      <c r="B496" s="43" t="n">
        <v>0.7291666666666666</v>
      </c>
      <c r="C496" s="37" t="inlineStr">
        <is>
          <t>Dra. Carolina Mendes</t>
        </is>
      </c>
      <c r="D496" s="37" t="inlineStr">
        <is>
          <t>Sala 1</t>
        </is>
      </c>
      <c r="E496" s="36" t="inlineStr">
        <is>
          <t>Roberta Fernandes</t>
        </is>
      </c>
      <c r="F496" s="37" t="inlineStr">
        <is>
          <t>Saúde Total</t>
        </is>
      </c>
      <c r="G496" s="37" t="inlineStr">
        <is>
          <t>Consulta</t>
        </is>
      </c>
      <c r="H496" s="37" t="inlineStr">
        <is>
          <t>Realizado</t>
        </is>
      </c>
      <c r="I496" s="37" t="inlineStr">
        <is>
          <t>Convênio</t>
        </is>
      </c>
      <c r="J496" s="37" t="n"/>
      <c r="K496" s="36" t="n"/>
      <c r="L496" s="44">
        <f>IF(G496="","",IFERROR(INDEX(Config!$K$5:$K$16,MATCH(G496,Config!$J$5:$J$16,0)),""))</f>
        <v>30</v>
      </c>
      <c r="M496" s="30">
        <f>IF(OR(G496="",F496=""),"",IFERROR(INDEX(Config!$M$5:$R$16,MATCH(G496,Config!$J$5:$J$16,0),MATCH(F496,Config!$H$5:$H$10,0)),""))</f>
        <v>120</v>
      </c>
      <c r="N496" s="29">
        <f>IF(A496="","",MONTH(A496))</f>
        <v>8</v>
      </c>
      <c r="O496" s="29">
        <f>IF(A496="","",YEAR(A496))</f>
        <v>2026</v>
      </c>
      <c r="P496" s="29" t="str">
        <f>IF(A496="","",CHOOSE(WEEKDAY(A496,2),"Segunda","Terça","Quarta","Quinta","Sexta","Sábado","Domingo"))</f>
        <v>Quarta</v>
      </c>
      <c r="Q496" s="29" t="str">
        <f>IF(B496="","",IF(B496&lt;TIME(12,0,0),"Manhã",IF(B496&lt;TIME(18,0,0),"Tarde","Noite")))</f>
        <v>Tarde</v>
      </c>
      <c r="R496" s="45">
        <f>IF(AND(H496="Realizado",L496&lt;&gt;""),L496/60,0)</f>
        <v>0.5</v>
      </c>
    </row>
    <row r="497">
      <c r="A497" s="42" t="n">
        <v>46254</v>
      </c>
      <c r="B497" s="43" t="n">
        <v>0.3541666666666667</v>
      </c>
      <c r="C497" s="37" t="inlineStr">
        <is>
          <t>Dra. Carolina Mendes</t>
        </is>
      </c>
      <c r="D497" s="37" t="inlineStr">
        <is>
          <t>Sala 1</t>
        </is>
      </c>
      <c r="E497" s="36" t="inlineStr">
        <is>
          <t>Eduardo Lima</t>
        </is>
      </c>
      <c r="F497" s="37" t="inlineStr">
        <is>
          <t>Particular</t>
        </is>
      </c>
      <c r="G497" s="37" t="inlineStr">
        <is>
          <t>Consulta</t>
        </is>
      </c>
      <c r="H497" s="37" t="inlineStr">
        <is>
          <t>Realizado</t>
        </is>
      </c>
      <c r="I497" s="37" t="inlineStr">
        <is>
          <t>A prazo</t>
        </is>
      </c>
      <c r="J497" s="37" t="n"/>
      <c r="K497" s="36" t="n"/>
      <c r="L497" s="44">
        <f>IF(G497="","",IFERROR(INDEX(Config!$K$5:$K$16,MATCH(G497,Config!$J$5:$J$16,0)),""))</f>
        <v>30</v>
      </c>
      <c r="M497" s="30">
        <f>IF(OR(G497="",F497=""),"",IFERROR(INDEX(Config!$M$5:$R$16,MATCH(G497,Config!$J$5:$J$16,0),MATCH(F497,Config!$H$5:$H$10,0)),""))</f>
        <v>380</v>
      </c>
      <c r="N497" s="29">
        <f>IF(A497="","",MONTH(A497))</f>
        <v>8</v>
      </c>
      <c r="O497" s="29">
        <f>IF(A497="","",YEAR(A497))</f>
        <v>2026</v>
      </c>
      <c r="P497" s="29" t="str">
        <f>IF(A497="","",CHOOSE(WEEKDAY(A497,2),"Segunda","Terça","Quarta","Quinta","Sexta","Sábado","Domingo"))</f>
        <v>Quinta</v>
      </c>
      <c r="Q497" s="29" t="str">
        <f>IF(B497="","",IF(B497&lt;TIME(12,0,0),"Manhã",IF(B497&lt;TIME(18,0,0),"Tarde","Noite")))</f>
        <v>Manhã</v>
      </c>
      <c r="R497" s="45">
        <f>IF(AND(H497="Realizado",L497&lt;&gt;""),L497/60,0)</f>
        <v>0.5</v>
      </c>
    </row>
    <row r="498">
      <c r="A498" s="42" t="n">
        <v>46254</v>
      </c>
      <c r="B498" s="43" t="n">
        <v>0.375</v>
      </c>
      <c r="C498" s="37" t="inlineStr">
        <is>
          <t>Dra. Carolina Mendes</t>
        </is>
      </c>
      <c r="D498" s="37" t="inlineStr">
        <is>
          <t>Sala 1</t>
        </is>
      </c>
      <c r="E498" s="36" t="inlineStr">
        <is>
          <t>Daniel Almeida</t>
        </is>
      </c>
      <c r="F498" s="37" t="inlineStr">
        <is>
          <t>Saúde Total</t>
        </is>
      </c>
      <c r="G498" s="37" t="inlineStr">
        <is>
          <t>Retorno</t>
        </is>
      </c>
      <c r="H498" s="37" t="inlineStr">
        <is>
          <t>Realizado</t>
        </is>
      </c>
      <c r="I498" s="37" t="inlineStr">
        <is>
          <t>Sem cobrança</t>
        </is>
      </c>
      <c r="J498" s="37" t="n"/>
      <c r="K498" s="36" t="n"/>
      <c r="L498" s="44">
        <f>IF(G498="","",IFERROR(INDEX(Config!$K$5:$K$16,MATCH(G498,Config!$J$5:$J$16,0)),""))</f>
        <v>20</v>
      </c>
      <c r="M498" s="30">
        <f>IF(OR(G498="",F498=""),"",IFERROR(INDEX(Config!$M$5:$R$16,MATCH(G498,Config!$J$5:$J$16,0),MATCH(F498,Config!$H$5:$H$10,0)),""))</f>
        <v>0</v>
      </c>
      <c r="N498" s="29">
        <f>IF(A498="","",MONTH(A498))</f>
        <v>8</v>
      </c>
      <c r="O498" s="29">
        <f>IF(A498="","",YEAR(A498))</f>
        <v>2026</v>
      </c>
      <c r="P498" s="29" t="str">
        <f>IF(A498="","",CHOOSE(WEEKDAY(A498,2),"Segunda","Terça","Quarta","Quinta","Sexta","Sábado","Domingo"))</f>
        <v>Quinta</v>
      </c>
      <c r="Q498" s="29" t="str">
        <f>IF(B498="","",IF(B498&lt;TIME(12,0,0),"Manhã",IF(B498&lt;TIME(18,0,0),"Tarde","Noite")))</f>
        <v>Manhã</v>
      </c>
      <c r="R498" s="45">
        <f>IF(AND(H498="Realizado",L498&lt;&gt;""),L498/60,0)</f>
        <v>0.333333333333333</v>
      </c>
    </row>
    <row r="499">
      <c r="A499" s="42" t="n">
        <v>46254</v>
      </c>
      <c r="B499" s="43" t="n">
        <v>0.3888888888888889</v>
      </c>
      <c r="C499" s="37" t="inlineStr">
        <is>
          <t>Dra. Carolina Mendes</t>
        </is>
      </c>
      <c r="D499" s="37" t="inlineStr">
        <is>
          <t>Sala 1</t>
        </is>
      </c>
      <c r="E499" s="36" t="inlineStr">
        <is>
          <t>Regina Macedo</t>
        </is>
      </c>
      <c r="F499" s="37" t="inlineStr">
        <is>
          <t>Particular</t>
        </is>
      </c>
      <c r="G499" s="37" t="inlineStr">
        <is>
          <t>Consulta</t>
        </is>
      </c>
      <c r="H499" s="37" t="inlineStr">
        <is>
          <t>Realizado</t>
        </is>
      </c>
      <c r="I499" s="37" t="inlineStr">
        <is>
          <t>Pix</t>
        </is>
      </c>
      <c r="J499" s="37" t="n"/>
      <c r="K499" s="36" t="n"/>
      <c r="L499" s="44">
        <f>IF(G499="","",IFERROR(INDEX(Config!$K$5:$K$16,MATCH(G499,Config!$J$5:$J$16,0)),""))</f>
        <v>30</v>
      </c>
      <c r="M499" s="30">
        <f>IF(OR(G499="",F499=""),"",IFERROR(INDEX(Config!$M$5:$R$16,MATCH(G499,Config!$J$5:$J$16,0),MATCH(F499,Config!$H$5:$H$10,0)),""))</f>
        <v>380</v>
      </c>
      <c r="N499" s="29">
        <f>IF(A499="","",MONTH(A499))</f>
        <v>8</v>
      </c>
      <c r="O499" s="29">
        <f>IF(A499="","",YEAR(A499))</f>
        <v>2026</v>
      </c>
      <c r="P499" s="29" t="str">
        <f>IF(A499="","",CHOOSE(WEEKDAY(A499,2),"Segunda","Terça","Quarta","Quinta","Sexta","Sábado","Domingo"))</f>
        <v>Quinta</v>
      </c>
      <c r="Q499" s="29" t="str">
        <f>IF(B499="","",IF(B499&lt;TIME(12,0,0),"Manhã",IF(B499&lt;TIME(18,0,0),"Tarde","Noite")))</f>
        <v>Manhã</v>
      </c>
      <c r="R499" s="45">
        <f>IF(AND(H499="Realizado",L499&lt;&gt;""),L499/60,0)</f>
        <v>0.5</v>
      </c>
    </row>
    <row r="500">
      <c r="A500" s="42" t="n">
        <v>46254</v>
      </c>
      <c r="B500" s="43" t="n">
        <v>0.4097222222222222</v>
      </c>
      <c r="C500" s="37" t="inlineStr">
        <is>
          <t>Dra. Carolina Mendes</t>
        </is>
      </c>
      <c r="D500" s="37" t="inlineStr">
        <is>
          <t>Sala 1</t>
        </is>
      </c>
      <c r="E500" s="36" t="inlineStr">
        <is>
          <t>Eduardo Nunes</t>
        </is>
      </c>
      <c r="F500" s="37" t="inlineStr">
        <is>
          <t>MediPlan</t>
        </is>
      </c>
      <c r="G500" s="37" t="inlineStr">
        <is>
          <t>Consulta</t>
        </is>
      </c>
      <c r="H500" s="37" t="inlineStr">
        <is>
          <t>Realizado</t>
        </is>
      </c>
      <c r="I500" s="37" t="inlineStr">
        <is>
          <t>Convênio</t>
        </is>
      </c>
      <c r="J500" s="37" t="n"/>
      <c r="K500" s="36" t="n"/>
      <c r="L500" s="44">
        <f>IF(G500="","",IFERROR(INDEX(Config!$K$5:$K$16,MATCH(G500,Config!$J$5:$J$16,0)),""))</f>
        <v>30</v>
      </c>
      <c r="M500" s="30">
        <f>IF(OR(G500="",F500=""),"",IFERROR(INDEX(Config!$M$5:$R$16,MATCH(G500,Config!$J$5:$J$16,0),MATCH(F500,Config!$H$5:$H$10,0)),""))</f>
        <v>100</v>
      </c>
      <c r="N500" s="29">
        <f>IF(A500="","",MONTH(A500))</f>
        <v>8</v>
      </c>
      <c r="O500" s="29">
        <f>IF(A500="","",YEAR(A500))</f>
        <v>2026</v>
      </c>
      <c r="P500" s="29" t="str">
        <f>IF(A500="","",CHOOSE(WEEKDAY(A500,2),"Segunda","Terça","Quarta","Quinta","Sexta","Sábado","Domingo"))</f>
        <v>Quinta</v>
      </c>
      <c r="Q500" s="29" t="str">
        <f>IF(B500="","",IF(B500&lt;TIME(12,0,0),"Manhã",IF(B500&lt;TIME(18,0,0),"Tarde","Noite")))</f>
        <v>Manhã</v>
      </c>
      <c r="R500" s="45">
        <f>IF(AND(H500="Realizado",L500&lt;&gt;""),L500/60,0)</f>
        <v>0.5</v>
      </c>
    </row>
    <row r="501">
      <c r="A501" s="42" t="n">
        <v>46254</v>
      </c>
      <c r="B501" s="43" t="n">
        <v>0.4513888888888889</v>
      </c>
      <c r="C501" s="37" t="inlineStr">
        <is>
          <t>Dra. Carolina Mendes</t>
        </is>
      </c>
      <c r="D501" s="37" t="inlineStr">
        <is>
          <t>Sala 1</t>
        </is>
      </c>
      <c r="E501" s="36" t="inlineStr">
        <is>
          <t>Mônica Teixeira</t>
        </is>
      </c>
      <c r="F501" s="37" t="inlineStr">
        <is>
          <t>Vida Care</t>
        </is>
      </c>
      <c r="G501" s="37" t="inlineStr">
        <is>
          <t>Consulta</t>
        </is>
      </c>
      <c r="H501" s="37" t="inlineStr">
        <is>
          <t>Realizado</t>
        </is>
      </c>
      <c r="I501" s="37" t="inlineStr">
        <is>
          <t>Convênio</t>
        </is>
      </c>
      <c r="J501" s="37" t="n"/>
      <c r="K501" s="36" t="n"/>
      <c r="L501" s="44">
        <f>IF(G501="","",IFERROR(INDEX(Config!$K$5:$K$16,MATCH(G501,Config!$J$5:$J$16,0)),""))</f>
        <v>30</v>
      </c>
      <c r="M501" s="30">
        <f>IF(OR(G501="",F501=""),"",IFERROR(INDEX(Config!$M$5:$R$16,MATCH(G501,Config!$J$5:$J$16,0),MATCH(F501,Config!$H$5:$H$10,0)),""))</f>
        <v>90</v>
      </c>
      <c r="N501" s="29">
        <f>IF(A501="","",MONTH(A501))</f>
        <v>8</v>
      </c>
      <c r="O501" s="29">
        <f>IF(A501="","",YEAR(A501))</f>
        <v>2026</v>
      </c>
      <c r="P501" s="29" t="str">
        <f>IF(A501="","",CHOOSE(WEEKDAY(A501,2),"Segunda","Terça","Quarta","Quinta","Sexta","Sábado","Domingo"))</f>
        <v>Quinta</v>
      </c>
      <c r="Q501" s="29" t="str">
        <f>IF(B501="","",IF(B501&lt;TIME(12,0,0),"Manhã",IF(B501&lt;TIME(18,0,0),"Tarde","Noite")))</f>
        <v>Manhã</v>
      </c>
      <c r="R501" s="45">
        <f>IF(AND(H501="Realizado",L501&lt;&gt;""),L501/60,0)</f>
        <v>0.5</v>
      </c>
    </row>
    <row r="502">
      <c r="A502" s="42" t="n">
        <v>46254</v>
      </c>
      <c r="B502" s="43" t="n">
        <v>0.4722222222222222</v>
      </c>
      <c r="C502" s="37" t="inlineStr">
        <is>
          <t>Dra. Carolina Mendes</t>
        </is>
      </c>
      <c r="D502" s="37" t="inlineStr">
        <is>
          <t>Sala 1</t>
        </is>
      </c>
      <c r="E502" s="36" t="inlineStr">
        <is>
          <t>Otávio Cardoso</t>
        </is>
      </c>
      <c r="F502" s="37" t="inlineStr">
        <is>
          <t>Particular</t>
        </is>
      </c>
      <c r="G502" s="37" t="inlineStr">
        <is>
          <t>Consulta</t>
        </is>
      </c>
      <c r="H502" s="37" t="inlineStr">
        <is>
          <t>Cancelado</t>
        </is>
      </c>
      <c r="I502" s="37" t="n"/>
      <c r="J502" s="37" t="n"/>
      <c r="K502" s="36" t="n"/>
      <c r="L502" s="44">
        <f>IF(G502="","",IFERROR(INDEX(Config!$K$5:$K$16,MATCH(G502,Config!$J$5:$J$16,0)),""))</f>
        <v>30</v>
      </c>
      <c r="M502" s="30">
        <f>IF(OR(G502="",F502=""),"",IFERROR(INDEX(Config!$M$5:$R$16,MATCH(G502,Config!$J$5:$J$16,0),MATCH(F502,Config!$H$5:$H$10,0)),""))</f>
        <v>380</v>
      </c>
      <c r="N502" s="29">
        <f>IF(A502="","",MONTH(A502))</f>
        <v>8</v>
      </c>
      <c r="O502" s="29">
        <f>IF(A502="","",YEAR(A502))</f>
        <v>2026</v>
      </c>
      <c r="P502" s="29" t="str">
        <f>IF(A502="","",CHOOSE(WEEKDAY(A502,2),"Segunda","Terça","Quarta","Quinta","Sexta","Sábado","Domingo"))</f>
        <v>Quinta</v>
      </c>
      <c r="Q502" s="29" t="str">
        <f>IF(B502="","",IF(B502&lt;TIME(12,0,0),"Manhã",IF(B502&lt;TIME(18,0,0),"Tarde","Noite")))</f>
        <v>Manhã</v>
      </c>
      <c r="R502" s="45">
        <f>IF(AND(H502="Realizado",L502&lt;&gt;""),L502/60,0)</f>
        <v>0</v>
      </c>
    </row>
    <row r="503">
      <c r="A503" s="42" t="n">
        <v>46254</v>
      </c>
      <c r="B503" s="43" t="n">
        <v>0.5833333333333334</v>
      </c>
      <c r="C503" s="37" t="inlineStr">
        <is>
          <t>Dra. Renata Sousa</t>
        </is>
      </c>
      <c r="D503" s="37" t="inlineStr">
        <is>
          <t>Sala 1</t>
        </is>
      </c>
      <c r="E503" s="36" t="inlineStr">
        <is>
          <t>Beatriz Monteiro</t>
        </is>
      </c>
      <c r="F503" s="37" t="inlineStr">
        <is>
          <t>Particular</t>
        </is>
      </c>
      <c r="G503" s="37" t="inlineStr">
        <is>
          <t>Avaliação endócrina</t>
        </is>
      </c>
      <c r="H503" s="37" t="inlineStr">
        <is>
          <t>Cancelado</t>
        </is>
      </c>
      <c r="I503" s="37" t="n"/>
      <c r="J503" s="37" t="n"/>
      <c r="K503" s="36" t="n"/>
      <c r="L503" s="44">
        <f>IF(G503="","",IFERROR(INDEX(Config!$K$5:$K$16,MATCH(G503,Config!$J$5:$J$16,0)),""))</f>
        <v>40</v>
      </c>
      <c r="M503" s="30">
        <f>IF(OR(G503="",F503=""),"",IFERROR(INDEX(Config!$M$5:$R$16,MATCH(G503,Config!$J$5:$J$16,0),MATCH(F503,Config!$H$5:$H$10,0)),""))</f>
        <v>400</v>
      </c>
      <c r="N503" s="29">
        <f>IF(A503="","",MONTH(A503))</f>
        <v>8</v>
      </c>
      <c r="O503" s="29">
        <f>IF(A503="","",YEAR(A503))</f>
        <v>2026</v>
      </c>
      <c r="P503" s="29" t="str">
        <f>IF(A503="","",CHOOSE(WEEKDAY(A503,2),"Segunda","Terça","Quarta","Quinta","Sexta","Sábado","Domingo"))</f>
        <v>Quinta</v>
      </c>
      <c r="Q503" s="29" t="str">
        <f>IF(B503="","",IF(B503&lt;TIME(12,0,0),"Manhã",IF(B503&lt;TIME(18,0,0),"Tarde","Noite")))</f>
        <v>Tarde</v>
      </c>
      <c r="R503" s="45">
        <f>IF(AND(H503="Realizado",L503&lt;&gt;""),L503/60,0)</f>
        <v>0</v>
      </c>
    </row>
    <row r="504">
      <c r="A504" s="42" t="n">
        <v>46254</v>
      </c>
      <c r="B504" s="43" t="n">
        <v>0.6041666666666666</v>
      </c>
      <c r="C504" s="37" t="inlineStr">
        <is>
          <t>Dr. Paulo Andrade</t>
        </is>
      </c>
      <c r="D504" s="37" t="inlineStr">
        <is>
          <t>Sala 2</t>
        </is>
      </c>
      <c r="E504" s="36" t="inlineStr">
        <is>
          <t>Viviane Ribeiro</t>
        </is>
      </c>
      <c r="F504" s="37" t="inlineStr">
        <is>
          <t>Particular</t>
        </is>
      </c>
      <c r="G504" s="37" t="inlineStr">
        <is>
          <t>Teste ergométrico</t>
        </is>
      </c>
      <c r="H504" s="37" t="inlineStr">
        <is>
          <t>Realizado</t>
        </is>
      </c>
      <c r="I504" s="37" t="inlineStr">
        <is>
          <t>Pix</t>
        </is>
      </c>
      <c r="J504" s="37" t="n"/>
      <c r="K504" s="36" t="n"/>
      <c r="L504" s="44">
        <f>IF(G504="","",IFERROR(INDEX(Config!$K$5:$K$16,MATCH(G504,Config!$J$5:$J$16,0)),""))</f>
        <v>40</v>
      </c>
      <c r="M504" s="30">
        <f>IF(OR(G504="",F504=""),"",IFERROR(INDEX(Config!$M$5:$R$16,MATCH(G504,Config!$J$5:$J$16,0),MATCH(F504,Config!$H$5:$H$10,0)),""))</f>
        <v>450</v>
      </c>
      <c r="N504" s="29">
        <f>IF(A504="","",MONTH(A504))</f>
        <v>8</v>
      </c>
      <c r="O504" s="29">
        <f>IF(A504="","",YEAR(A504))</f>
        <v>2026</v>
      </c>
      <c r="P504" s="29" t="str">
        <f>IF(A504="","",CHOOSE(WEEKDAY(A504,2),"Segunda","Terça","Quarta","Quinta","Sexta","Sábado","Domingo"))</f>
        <v>Quinta</v>
      </c>
      <c r="Q504" s="29" t="str">
        <f>IF(B504="","",IF(B504&lt;TIME(12,0,0),"Manhã",IF(B504&lt;TIME(18,0,0),"Tarde","Noite")))</f>
        <v>Tarde</v>
      </c>
      <c r="R504" s="45">
        <f>IF(AND(H504="Realizado",L504&lt;&gt;""),L504/60,0)</f>
        <v>0.666666666666667</v>
      </c>
    </row>
    <row r="505">
      <c r="A505" s="42" t="n">
        <v>46254</v>
      </c>
      <c r="B505" s="43" t="n">
        <v>0.6319444444444444</v>
      </c>
      <c r="C505" s="37" t="inlineStr">
        <is>
          <t>Dra. Renata Sousa</t>
        </is>
      </c>
      <c r="D505" s="37" t="inlineStr">
        <is>
          <t>Sala 1</t>
        </is>
      </c>
      <c r="E505" s="36" t="inlineStr">
        <is>
          <t>Patrícia Dias</t>
        </is>
      </c>
      <c r="F505" s="37" t="inlineStr">
        <is>
          <t>Particular</t>
        </is>
      </c>
      <c r="G505" s="37" t="inlineStr">
        <is>
          <t>Avaliação endócrina</t>
        </is>
      </c>
      <c r="H505" s="37" t="inlineStr">
        <is>
          <t>Realizado</t>
        </is>
      </c>
      <c r="I505" s="37" t="inlineStr">
        <is>
          <t>Cartão de crédito</t>
        </is>
      </c>
      <c r="J505" s="37" t="n">
        <v>2</v>
      </c>
      <c r="K505" s="36" t="n"/>
      <c r="L505" s="44">
        <f>IF(G505="","",IFERROR(INDEX(Config!$K$5:$K$16,MATCH(G505,Config!$J$5:$J$16,0)),""))</f>
        <v>40</v>
      </c>
      <c r="M505" s="30">
        <f>IF(OR(G505="",F505=""),"",IFERROR(INDEX(Config!$M$5:$R$16,MATCH(G505,Config!$J$5:$J$16,0),MATCH(F505,Config!$H$5:$H$10,0)),""))</f>
        <v>400</v>
      </c>
      <c r="N505" s="29">
        <f>IF(A505="","",MONTH(A505))</f>
        <v>8</v>
      </c>
      <c r="O505" s="29">
        <f>IF(A505="","",YEAR(A505))</f>
        <v>2026</v>
      </c>
      <c r="P505" s="29" t="str">
        <f>IF(A505="","",CHOOSE(WEEKDAY(A505,2),"Segunda","Terça","Quarta","Quinta","Sexta","Sábado","Domingo"))</f>
        <v>Quinta</v>
      </c>
      <c r="Q505" s="29" t="str">
        <f>IF(B505="","",IF(B505&lt;TIME(12,0,0),"Manhã",IF(B505&lt;TIME(18,0,0),"Tarde","Noite")))</f>
        <v>Tarde</v>
      </c>
      <c r="R505" s="45">
        <f>IF(AND(H505="Realizado",L505&lt;&gt;""),L505/60,0)</f>
        <v>0.666666666666667</v>
      </c>
    </row>
    <row r="506">
      <c r="A506" s="42" t="n">
        <v>46254</v>
      </c>
      <c r="B506" s="43" t="n">
        <v>0.6319444444444444</v>
      </c>
      <c r="C506" s="37" t="inlineStr">
        <is>
          <t>Dr. Paulo Andrade</t>
        </is>
      </c>
      <c r="D506" s="37" t="inlineStr">
        <is>
          <t>Sala 2</t>
        </is>
      </c>
      <c r="E506" s="36" t="inlineStr">
        <is>
          <t>Wagner Costa</t>
        </is>
      </c>
      <c r="F506" s="37" t="inlineStr">
        <is>
          <t>Particular</t>
        </is>
      </c>
      <c r="G506" s="37" t="inlineStr">
        <is>
          <t>Consulta</t>
        </is>
      </c>
      <c r="H506" s="37" t="inlineStr">
        <is>
          <t>Realizado</t>
        </is>
      </c>
      <c r="I506" s="37" t="inlineStr">
        <is>
          <t>Pix</t>
        </is>
      </c>
      <c r="J506" s="37" t="n"/>
      <c r="K506" s="36" t="n"/>
      <c r="L506" s="44">
        <f>IF(G506="","",IFERROR(INDEX(Config!$K$5:$K$16,MATCH(G506,Config!$J$5:$J$16,0)),""))</f>
        <v>30</v>
      </c>
      <c r="M506" s="30">
        <f>IF(OR(G506="",F506=""),"",IFERROR(INDEX(Config!$M$5:$R$16,MATCH(G506,Config!$J$5:$J$16,0),MATCH(F506,Config!$H$5:$H$10,0)),""))</f>
        <v>380</v>
      </c>
      <c r="N506" s="29">
        <f>IF(A506="","",MONTH(A506))</f>
        <v>8</v>
      </c>
      <c r="O506" s="29">
        <f>IF(A506="","",YEAR(A506))</f>
        <v>2026</v>
      </c>
      <c r="P506" s="29" t="str">
        <f>IF(A506="","",CHOOSE(WEEKDAY(A506,2),"Segunda","Terça","Quarta","Quinta","Sexta","Sábado","Domingo"))</f>
        <v>Quinta</v>
      </c>
      <c r="Q506" s="29" t="str">
        <f>IF(B506="","",IF(B506&lt;TIME(12,0,0),"Manhã",IF(B506&lt;TIME(18,0,0),"Tarde","Noite")))</f>
        <v>Tarde</v>
      </c>
      <c r="R506" s="45">
        <f>IF(AND(H506="Realizado",L506&lt;&gt;""),L506/60,0)</f>
        <v>0.5</v>
      </c>
    </row>
    <row r="507">
      <c r="A507" s="42" t="n">
        <v>46254</v>
      </c>
      <c r="B507" s="43" t="n">
        <v>0.6527777777777778</v>
      </c>
      <c r="C507" s="37" t="inlineStr">
        <is>
          <t>Dr. Paulo Andrade</t>
        </is>
      </c>
      <c r="D507" s="37" t="inlineStr">
        <is>
          <t>Sala 2</t>
        </is>
      </c>
      <c r="E507" s="36" t="inlineStr">
        <is>
          <t>Regina Teixeira</t>
        </is>
      </c>
      <c r="F507" s="37" t="inlineStr">
        <is>
          <t>Particular</t>
        </is>
      </c>
      <c r="G507" s="37" t="inlineStr">
        <is>
          <t>Consulta</t>
        </is>
      </c>
      <c r="H507" s="37" t="inlineStr">
        <is>
          <t>Realizado</t>
        </is>
      </c>
      <c r="I507" s="37" t="inlineStr">
        <is>
          <t>Pix</t>
        </is>
      </c>
      <c r="J507" s="37" t="n"/>
      <c r="K507" s="36" t="inlineStr">
        <is>
          <t>Check-up cardiológico (consulta + ECG + teste ergométrico)</t>
        </is>
      </c>
      <c r="L507" s="44">
        <f>IF(G507="","",IFERROR(INDEX(Config!$K$5:$K$16,MATCH(G507,Config!$J$5:$J$16,0)),""))</f>
        <v>30</v>
      </c>
      <c r="M507" s="30">
        <f>IF(OR(G507="",F507=""),"",IFERROR(INDEX(Config!$M$5:$R$16,MATCH(G507,Config!$J$5:$J$16,0),MATCH(F507,Config!$H$5:$H$10,0)),""))</f>
        <v>380</v>
      </c>
      <c r="N507" s="29">
        <f>IF(A507="","",MONTH(A507))</f>
        <v>8</v>
      </c>
      <c r="O507" s="29">
        <f>IF(A507="","",YEAR(A507))</f>
        <v>2026</v>
      </c>
      <c r="P507" s="29" t="str">
        <f>IF(A507="","",CHOOSE(WEEKDAY(A507,2),"Segunda","Terça","Quarta","Quinta","Sexta","Sábado","Domingo"))</f>
        <v>Quinta</v>
      </c>
      <c r="Q507" s="29" t="str">
        <f>IF(B507="","",IF(B507&lt;TIME(12,0,0),"Manhã",IF(B507&lt;TIME(18,0,0),"Tarde","Noite")))</f>
        <v>Tarde</v>
      </c>
      <c r="R507" s="45">
        <f>IF(AND(H507="Realizado",L507&lt;&gt;""),L507/60,0)</f>
        <v>0.5</v>
      </c>
    </row>
    <row r="508">
      <c r="A508" s="42" t="n">
        <v>46254</v>
      </c>
      <c r="B508" s="43" t="n">
        <v>0.6597222222222222</v>
      </c>
      <c r="C508" s="37" t="inlineStr">
        <is>
          <t>Dra. Renata Sousa</t>
        </is>
      </c>
      <c r="D508" s="37" t="inlineStr">
        <is>
          <t>Sala 1</t>
        </is>
      </c>
      <c r="E508" s="36" t="inlineStr">
        <is>
          <t>Beatriz Monteiro</t>
        </is>
      </c>
      <c r="F508" s="37" t="inlineStr">
        <is>
          <t>Particular</t>
        </is>
      </c>
      <c r="G508" s="37" t="inlineStr">
        <is>
          <t>Avaliação endócrina</t>
        </is>
      </c>
      <c r="H508" s="37" t="inlineStr">
        <is>
          <t>Realizado</t>
        </is>
      </c>
      <c r="I508" s="37" t="inlineStr">
        <is>
          <t>Cartão de débito</t>
        </is>
      </c>
      <c r="J508" s="37" t="n"/>
      <c r="K508" s="36" t="n"/>
      <c r="L508" s="44">
        <f>IF(G508="","",IFERROR(INDEX(Config!$K$5:$K$16,MATCH(G508,Config!$J$5:$J$16,0)),""))</f>
        <v>40</v>
      </c>
      <c r="M508" s="30">
        <f>IF(OR(G508="",F508=""),"",IFERROR(INDEX(Config!$M$5:$R$16,MATCH(G508,Config!$J$5:$J$16,0),MATCH(F508,Config!$H$5:$H$10,0)),""))</f>
        <v>400</v>
      </c>
      <c r="N508" s="29">
        <f>IF(A508="","",MONTH(A508))</f>
        <v>8</v>
      </c>
      <c r="O508" s="29">
        <f>IF(A508="","",YEAR(A508))</f>
        <v>2026</v>
      </c>
      <c r="P508" s="29" t="str">
        <f>IF(A508="","",CHOOSE(WEEKDAY(A508,2),"Segunda","Terça","Quarta","Quinta","Sexta","Sábado","Domingo"))</f>
        <v>Quinta</v>
      </c>
      <c r="Q508" s="29" t="str">
        <f>IF(B508="","",IF(B508&lt;TIME(12,0,0),"Manhã",IF(B508&lt;TIME(18,0,0),"Tarde","Noite")))</f>
        <v>Tarde</v>
      </c>
      <c r="R508" s="45">
        <f>IF(AND(H508="Realizado",L508&lt;&gt;""),L508/60,0)</f>
        <v>0.666666666666667</v>
      </c>
    </row>
    <row r="509">
      <c r="A509" s="42" t="n">
        <v>46254</v>
      </c>
      <c r="B509" s="43" t="n">
        <v>0.6736111111111112</v>
      </c>
      <c r="C509" s="37" t="inlineStr">
        <is>
          <t>Dr. Paulo Andrade</t>
        </is>
      </c>
      <c r="D509" s="37" t="inlineStr">
        <is>
          <t>Sala 2</t>
        </is>
      </c>
      <c r="E509" s="36" t="inlineStr">
        <is>
          <t>Regina Teixeira</t>
        </is>
      </c>
      <c r="F509" s="37" t="inlineStr">
        <is>
          <t>Particular</t>
        </is>
      </c>
      <c r="G509" s="37" t="inlineStr">
        <is>
          <t>ECG</t>
        </is>
      </c>
      <c r="H509" s="37" t="inlineStr">
        <is>
          <t>Realizado</t>
        </is>
      </c>
      <c r="I509" s="37" t="inlineStr">
        <is>
          <t>Pix</t>
        </is>
      </c>
      <c r="J509" s="37" t="n"/>
      <c r="K509" s="36" t="inlineStr">
        <is>
          <t>Check-up cardiológico (consulta + ECG + teste ergométrico)</t>
        </is>
      </c>
      <c r="L509" s="44">
        <f>IF(G509="","",IFERROR(INDEX(Config!$K$5:$K$16,MATCH(G509,Config!$J$5:$J$16,0)),""))</f>
        <v>20</v>
      </c>
      <c r="M509" s="30">
        <f>IF(OR(G509="",F509=""),"",IFERROR(INDEX(Config!$M$5:$R$16,MATCH(G509,Config!$J$5:$J$16,0),MATCH(F509,Config!$H$5:$H$10,0)),""))</f>
        <v>130</v>
      </c>
      <c r="N509" s="29">
        <f>IF(A509="","",MONTH(A509))</f>
        <v>8</v>
      </c>
      <c r="O509" s="29">
        <f>IF(A509="","",YEAR(A509))</f>
        <v>2026</v>
      </c>
      <c r="P509" s="29" t="str">
        <f>IF(A509="","",CHOOSE(WEEKDAY(A509,2),"Segunda","Terça","Quarta","Quinta","Sexta","Sábado","Domingo"))</f>
        <v>Quinta</v>
      </c>
      <c r="Q509" s="29" t="str">
        <f>IF(B509="","",IF(B509&lt;TIME(12,0,0),"Manhã",IF(B509&lt;TIME(18,0,0),"Tarde","Noite")))</f>
        <v>Tarde</v>
      </c>
      <c r="R509" s="45">
        <f>IF(AND(H509="Realizado",L509&lt;&gt;""),L509/60,0)</f>
        <v>0.333333333333333</v>
      </c>
    </row>
    <row r="510">
      <c r="A510" s="42" t="n">
        <v>46254</v>
      </c>
      <c r="B510" s="43" t="n">
        <v>0.6875</v>
      </c>
      <c r="C510" s="37" t="inlineStr">
        <is>
          <t>Dra. Renata Sousa</t>
        </is>
      </c>
      <c r="D510" s="37" t="inlineStr">
        <is>
          <t>Sala 1</t>
        </is>
      </c>
      <c r="E510" s="36" t="inlineStr">
        <is>
          <t>Isabela Xavier</t>
        </is>
      </c>
      <c r="F510" s="37" t="inlineStr">
        <is>
          <t>Particular</t>
        </is>
      </c>
      <c r="G510" s="37" t="inlineStr">
        <is>
          <t>Avaliação endócrina</t>
        </is>
      </c>
      <c r="H510" s="37" t="inlineStr">
        <is>
          <t>Realizado</t>
        </is>
      </c>
      <c r="I510" s="37" t="inlineStr">
        <is>
          <t>Cartão de crédito</t>
        </is>
      </c>
      <c r="J510" s="37" t="n"/>
      <c r="K510" s="36" t="n"/>
      <c r="L510" s="44">
        <f>IF(G510="","",IFERROR(INDEX(Config!$K$5:$K$16,MATCH(G510,Config!$J$5:$J$16,0)),""))</f>
        <v>40</v>
      </c>
      <c r="M510" s="30">
        <f>IF(OR(G510="",F510=""),"",IFERROR(INDEX(Config!$M$5:$R$16,MATCH(G510,Config!$J$5:$J$16,0),MATCH(F510,Config!$H$5:$H$10,0)),""))</f>
        <v>400</v>
      </c>
      <c r="N510" s="29">
        <f>IF(A510="","",MONTH(A510))</f>
        <v>8</v>
      </c>
      <c r="O510" s="29">
        <f>IF(A510="","",YEAR(A510))</f>
        <v>2026</v>
      </c>
      <c r="P510" s="29" t="str">
        <f>IF(A510="","",CHOOSE(WEEKDAY(A510,2),"Segunda","Terça","Quarta","Quinta","Sexta","Sábado","Domingo"))</f>
        <v>Quinta</v>
      </c>
      <c r="Q510" s="29" t="str">
        <f>IF(B510="","",IF(B510&lt;TIME(12,0,0),"Manhã",IF(B510&lt;TIME(18,0,0),"Tarde","Noite")))</f>
        <v>Tarde</v>
      </c>
      <c r="R510" s="45">
        <f>IF(AND(H510="Realizado",L510&lt;&gt;""),L510/60,0)</f>
        <v>0.666666666666667</v>
      </c>
    </row>
    <row r="511">
      <c r="A511" s="42" t="n">
        <v>46254</v>
      </c>
      <c r="B511" s="43" t="n">
        <v>0.6875</v>
      </c>
      <c r="C511" s="37" t="inlineStr">
        <is>
          <t>Dr. Paulo Andrade</t>
        </is>
      </c>
      <c r="D511" s="37" t="inlineStr">
        <is>
          <t>Sala 2</t>
        </is>
      </c>
      <c r="E511" s="36" t="inlineStr">
        <is>
          <t>Regina Teixeira</t>
        </is>
      </c>
      <c r="F511" s="37" t="inlineStr">
        <is>
          <t>Particular</t>
        </is>
      </c>
      <c r="G511" s="37" t="inlineStr">
        <is>
          <t>Teste ergométrico</t>
        </is>
      </c>
      <c r="H511" s="37" t="inlineStr">
        <is>
          <t>Realizado</t>
        </is>
      </c>
      <c r="I511" s="37" t="inlineStr">
        <is>
          <t>Pix</t>
        </is>
      </c>
      <c r="J511" s="37" t="n"/>
      <c r="K511" s="36" t="inlineStr">
        <is>
          <t>Check-up cardiológico (consulta + ECG + teste ergométrico)</t>
        </is>
      </c>
      <c r="L511" s="44">
        <f>IF(G511="","",IFERROR(INDEX(Config!$K$5:$K$16,MATCH(G511,Config!$J$5:$J$16,0)),""))</f>
        <v>40</v>
      </c>
      <c r="M511" s="30">
        <f>IF(OR(G511="",F511=""),"",IFERROR(INDEX(Config!$M$5:$R$16,MATCH(G511,Config!$J$5:$J$16,0),MATCH(F511,Config!$H$5:$H$10,0)),""))</f>
        <v>450</v>
      </c>
      <c r="N511" s="29">
        <f>IF(A511="","",MONTH(A511))</f>
        <v>8</v>
      </c>
      <c r="O511" s="29">
        <f>IF(A511="","",YEAR(A511))</f>
        <v>2026</v>
      </c>
      <c r="P511" s="29" t="str">
        <f>IF(A511="","",CHOOSE(WEEKDAY(A511,2),"Segunda","Terça","Quarta","Quinta","Sexta","Sábado","Domingo"))</f>
        <v>Quinta</v>
      </c>
      <c r="Q511" s="29" t="str">
        <f>IF(B511="","",IF(B511&lt;TIME(12,0,0),"Manhã",IF(B511&lt;TIME(18,0,0),"Tarde","Noite")))</f>
        <v>Tarde</v>
      </c>
      <c r="R511" s="45">
        <f>IF(AND(H511="Realizado",L511&lt;&gt;""),L511/60,0)</f>
        <v>0.666666666666667</v>
      </c>
    </row>
    <row r="512">
      <c r="A512" s="42" t="n">
        <v>46254</v>
      </c>
      <c r="B512" s="43" t="n">
        <v>0.7152777777777778</v>
      </c>
      <c r="C512" s="37" t="inlineStr">
        <is>
          <t>Dra. Renata Sousa</t>
        </is>
      </c>
      <c r="D512" s="37" t="inlineStr">
        <is>
          <t>Sala 1</t>
        </is>
      </c>
      <c r="E512" s="36" t="inlineStr">
        <is>
          <t>Carlos Gonçalves</t>
        </is>
      </c>
      <c r="F512" s="37" t="inlineStr">
        <is>
          <t>Saúde Total</t>
        </is>
      </c>
      <c r="G512" s="37" t="inlineStr">
        <is>
          <t>Avaliação endócrina</t>
        </is>
      </c>
      <c r="H512" s="37" t="inlineStr">
        <is>
          <t>Realizado</t>
        </is>
      </c>
      <c r="I512" s="37" t="inlineStr">
        <is>
          <t>Convênio</t>
        </is>
      </c>
      <c r="J512" s="37" t="n"/>
      <c r="K512" s="36" t="n"/>
      <c r="L512" s="44">
        <f>IF(G512="","",IFERROR(INDEX(Config!$K$5:$K$16,MATCH(G512,Config!$J$5:$J$16,0)),""))</f>
        <v>40</v>
      </c>
      <c r="M512" s="30">
        <f>IF(OR(G512="",F512=""),"",IFERROR(INDEX(Config!$M$5:$R$16,MATCH(G512,Config!$J$5:$J$16,0),MATCH(F512,Config!$H$5:$H$10,0)),""))</f>
        <v>130</v>
      </c>
      <c r="N512" s="29">
        <f>IF(A512="","",MONTH(A512))</f>
        <v>8</v>
      </c>
      <c r="O512" s="29">
        <f>IF(A512="","",YEAR(A512))</f>
        <v>2026</v>
      </c>
      <c r="P512" s="29" t="str">
        <f>IF(A512="","",CHOOSE(WEEKDAY(A512,2),"Segunda","Terça","Quarta","Quinta","Sexta","Sábado","Domingo"))</f>
        <v>Quinta</v>
      </c>
      <c r="Q512" s="29" t="str">
        <f>IF(B512="","",IF(B512&lt;TIME(12,0,0),"Manhã",IF(B512&lt;TIME(18,0,0),"Tarde","Noite")))</f>
        <v>Tarde</v>
      </c>
      <c r="R512" s="45">
        <f>IF(AND(H512="Realizado",L512&lt;&gt;""),L512/60,0)</f>
        <v>0.666666666666667</v>
      </c>
    </row>
    <row r="513">
      <c r="A513" s="42" t="n">
        <v>46254</v>
      </c>
      <c r="B513" s="43" t="n">
        <v>0.7152777777777778</v>
      </c>
      <c r="C513" s="37" t="inlineStr">
        <is>
          <t>Dr. Paulo Andrade</t>
        </is>
      </c>
      <c r="D513" s="37" t="inlineStr">
        <is>
          <t>Sala 2</t>
        </is>
      </c>
      <c r="E513" s="36" t="inlineStr">
        <is>
          <t>Cláudia Santos</t>
        </is>
      </c>
      <c r="F513" s="37" t="inlineStr">
        <is>
          <t>Particular</t>
        </is>
      </c>
      <c r="G513" s="37" t="inlineStr">
        <is>
          <t>ECG</t>
        </is>
      </c>
      <c r="H513" s="37" t="inlineStr">
        <is>
          <t>Realizado</t>
        </is>
      </c>
      <c r="I513" s="37" t="inlineStr">
        <is>
          <t>Dinheiro</t>
        </is>
      </c>
      <c r="J513" s="37" t="n"/>
      <c r="K513" s="36" t="n"/>
      <c r="L513" s="44">
        <f>IF(G513="","",IFERROR(INDEX(Config!$K$5:$K$16,MATCH(G513,Config!$J$5:$J$16,0)),""))</f>
        <v>20</v>
      </c>
      <c r="M513" s="30">
        <f>IF(OR(G513="",F513=""),"",IFERROR(INDEX(Config!$M$5:$R$16,MATCH(G513,Config!$J$5:$J$16,0),MATCH(F513,Config!$H$5:$H$10,0)),""))</f>
        <v>130</v>
      </c>
      <c r="N513" s="29">
        <f>IF(A513="","",MONTH(A513))</f>
        <v>8</v>
      </c>
      <c r="O513" s="29">
        <f>IF(A513="","",YEAR(A513))</f>
        <v>2026</v>
      </c>
      <c r="P513" s="29" t="str">
        <f>IF(A513="","",CHOOSE(WEEKDAY(A513,2),"Segunda","Terça","Quarta","Quinta","Sexta","Sábado","Domingo"))</f>
        <v>Quinta</v>
      </c>
      <c r="Q513" s="29" t="str">
        <f>IF(B513="","",IF(B513&lt;TIME(12,0,0),"Manhã",IF(B513&lt;TIME(18,0,0),"Tarde","Noite")))</f>
        <v>Tarde</v>
      </c>
      <c r="R513" s="45">
        <f>IF(AND(H513="Realizado",L513&lt;&gt;""),L513/60,0)</f>
        <v>0.333333333333333</v>
      </c>
    </row>
    <row r="514">
      <c r="A514" s="42" t="n">
        <v>46254</v>
      </c>
      <c r="B514" s="43" t="n">
        <v>0.7291666666666666</v>
      </c>
      <c r="C514" s="37" t="inlineStr">
        <is>
          <t>Dr. Paulo Andrade</t>
        </is>
      </c>
      <c r="D514" s="37" t="inlineStr">
        <is>
          <t>Sala 2</t>
        </is>
      </c>
      <c r="E514" s="36" t="inlineStr">
        <is>
          <t>Gustavo Pinto</t>
        </is>
      </c>
      <c r="F514" s="37" t="inlineStr">
        <is>
          <t>Particular</t>
        </is>
      </c>
      <c r="G514" s="37" t="inlineStr">
        <is>
          <t>Retorno</t>
        </is>
      </c>
      <c r="H514" s="37" t="inlineStr">
        <is>
          <t>Realizado</t>
        </is>
      </c>
      <c r="I514" s="37" t="inlineStr">
        <is>
          <t>Sem cobrança</t>
        </is>
      </c>
      <c r="J514" s="37" t="n"/>
      <c r="K514" s="36" t="n"/>
      <c r="L514" s="44">
        <f>IF(G514="","",IFERROR(INDEX(Config!$K$5:$K$16,MATCH(G514,Config!$J$5:$J$16,0)),""))</f>
        <v>20</v>
      </c>
      <c r="M514" s="30">
        <f>IF(OR(G514="",F514=""),"",IFERROR(INDEX(Config!$M$5:$R$16,MATCH(G514,Config!$J$5:$J$16,0),MATCH(F514,Config!$H$5:$H$10,0)),""))</f>
        <v>0</v>
      </c>
      <c r="N514" s="29">
        <f>IF(A514="","",MONTH(A514))</f>
        <v>8</v>
      </c>
      <c r="O514" s="29">
        <f>IF(A514="","",YEAR(A514))</f>
        <v>2026</v>
      </c>
      <c r="P514" s="29" t="str">
        <f>IF(A514="","",CHOOSE(WEEKDAY(A514,2),"Segunda","Terça","Quarta","Quinta","Sexta","Sábado","Domingo"))</f>
        <v>Quinta</v>
      </c>
      <c r="Q514" s="29" t="str">
        <f>IF(B514="","",IF(B514&lt;TIME(12,0,0),"Manhã",IF(B514&lt;TIME(18,0,0),"Tarde","Noite")))</f>
        <v>Tarde</v>
      </c>
      <c r="R514" s="45">
        <f>IF(AND(H514="Realizado",L514&lt;&gt;""),L514/60,0)</f>
        <v>0.333333333333333</v>
      </c>
    </row>
    <row r="515">
      <c r="A515" s="42" t="n">
        <v>46255</v>
      </c>
      <c r="B515" s="43" t="n">
        <v>0.3541666666666667</v>
      </c>
      <c r="C515" s="37" t="inlineStr">
        <is>
          <t>Dr. Paulo Andrade</t>
        </is>
      </c>
      <c r="D515" s="37" t="inlineStr">
        <is>
          <t>Sala 2</t>
        </is>
      </c>
      <c r="E515" s="36" t="inlineStr">
        <is>
          <t>Mateus Dias</t>
        </is>
      </c>
      <c r="F515" s="37" t="inlineStr">
        <is>
          <t>Saúde Total</t>
        </is>
      </c>
      <c r="G515" s="37" t="inlineStr">
        <is>
          <t>Retorno</t>
        </is>
      </c>
      <c r="H515" s="37" t="inlineStr">
        <is>
          <t>Falta</t>
        </is>
      </c>
      <c r="I515" s="37" t="n"/>
      <c r="J515" s="37" t="n"/>
      <c r="K515" s="36" t="n"/>
      <c r="L515" s="44">
        <f>IF(G515="","",IFERROR(INDEX(Config!$K$5:$K$16,MATCH(G515,Config!$J$5:$J$16,0)),""))</f>
        <v>20</v>
      </c>
      <c r="M515" s="30">
        <f>IF(OR(G515="",F515=""),"",IFERROR(INDEX(Config!$M$5:$R$16,MATCH(G515,Config!$J$5:$J$16,0),MATCH(F515,Config!$H$5:$H$10,0)),""))</f>
        <v>0</v>
      </c>
      <c r="N515" s="29">
        <f>IF(A515="","",MONTH(A515))</f>
        <v>8</v>
      </c>
      <c r="O515" s="29">
        <f>IF(A515="","",YEAR(A515))</f>
        <v>2026</v>
      </c>
      <c r="P515" s="29" t="str">
        <f>IF(A515="","",CHOOSE(WEEKDAY(A515,2),"Segunda","Terça","Quarta","Quinta","Sexta","Sábado","Domingo"))</f>
        <v>Sexta</v>
      </c>
      <c r="Q515" s="29" t="str">
        <f>IF(B515="","",IF(B515&lt;TIME(12,0,0),"Manhã",IF(B515&lt;TIME(18,0,0),"Tarde","Noite")))</f>
        <v>Manhã</v>
      </c>
      <c r="R515" s="45">
        <f>IF(AND(H515="Realizado",L515&lt;&gt;""),L515/60,0)</f>
        <v>0</v>
      </c>
    </row>
    <row r="516">
      <c r="A516" s="42" t="n">
        <v>46255</v>
      </c>
      <c r="B516" s="43" t="n">
        <v>0.3680555555555556</v>
      </c>
      <c r="C516" s="37" t="inlineStr">
        <is>
          <t>Dr. Paulo Andrade</t>
        </is>
      </c>
      <c r="D516" s="37" t="inlineStr">
        <is>
          <t>Sala 2</t>
        </is>
      </c>
      <c r="E516" s="36" t="inlineStr">
        <is>
          <t>Paulo Ribeiro</t>
        </is>
      </c>
      <c r="F516" s="37" t="inlineStr">
        <is>
          <t>Saúde Total</t>
        </is>
      </c>
      <c r="G516" s="37" t="inlineStr">
        <is>
          <t>Consulta</t>
        </is>
      </c>
      <c r="H516" s="37" t="inlineStr">
        <is>
          <t>Realizado</t>
        </is>
      </c>
      <c r="I516" s="37" t="inlineStr">
        <is>
          <t>Convênio</t>
        </is>
      </c>
      <c r="J516" s="37" t="n"/>
      <c r="K516" s="36" t="n"/>
      <c r="L516" s="44">
        <f>IF(G516="","",IFERROR(INDEX(Config!$K$5:$K$16,MATCH(G516,Config!$J$5:$J$16,0)),""))</f>
        <v>30</v>
      </c>
      <c r="M516" s="30">
        <f>IF(OR(G516="",F516=""),"",IFERROR(INDEX(Config!$M$5:$R$16,MATCH(G516,Config!$J$5:$J$16,0),MATCH(F516,Config!$H$5:$H$10,0)),""))</f>
        <v>120</v>
      </c>
      <c r="N516" s="29">
        <f>IF(A516="","",MONTH(A516))</f>
        <v>8</v>
      </c>
      <c r="O516" s="29">
        <f>IF(A516="","",YEAR(A516))</f>
        <v>2026</v>
      </c>
      <c r="P516" s="29" t="str">
        <f>IF(A516="","",CHOOSE(WEEKDAY(A516,2),"Segunda","Terça","Quarta","Quinta","Sexta","Sábado","Domingo"))</f>
        <v>Sexta</v>
      </c>
      <c r="Q516" s="29" t="str">
        <f>IF(B516="","",IF(B516&lt;TIME(12,0,0),"Manhã",IF(B516&lt;TIME(18,0,0),"Tarde","Noite")))</f>
        <v>Manhã</v>
      </c>
      <c r="R516" s="45">
        <f>IF(AND(H516="Realizado",L516&lt;&gt;""),L516/60,0)</f>
        <v>0.5</v>
      </c>
    </row>
    <row r="517">
      <c r="A517" s="42" t="n">
        <v>46255</v>
      </c>
      <c r="B517" s="43" t="n">
        <v>0.4097222222222222</v>
      </c>
      <c r="C517" s="37" t="inlineStr">
        <is>
          <t>Dr. Paulo Andrade</t>
        </is>
      </c>
      <c r="D517" s="37" t="inlineStr">
        <is>
          <t>Sala 2</t>
        </is>
      </c>
      <c r="E517" s="36" t="inlineStr">
        <is>
          <t>Elaine Xavier</t>
        </is>
      </c>
      <c r="F517" s="37" t="inlineStr">
        <is>
          <t>MediPlan</t>
        </is>
      </c>
      <c r="G517" s="37" t="inlineStr">
        <is>
          <t>Retorno</t>
        </is>
      </c>
      <c r="H517" s="37" t="inlineStr">
        <is>
          <t>Realizado</t>
        </is>
      </c>
      <c r="I517" s="37" t="inlineStr">
        <is>
          <t>Sem cobrança</t>
        </is>
      </c>
      <c r="J517" s="37" t="n"/>
      <c r="K517" s="36" t="n"/>
      <c r="L517" s="44">
        <f>IF(G517="","",IFERROR(INDEX(Config!$K$5:$K$16,MATCH(G517,Config!$J$5:$J$16,0)),""))</f>
        <v>20</v>
      </c>
      <c r="M517" s="30">
        <f>IF(OR(G517="",F517=""),"",IFERROR(INDEX(Config!$M$5:$R$16,MATCH(G517,Config!$J$5:$J$16,0),MATCH(F517,Config!$H$5:$H$10,0)),""))</f>
        <v>0</v>
      </c>
      <c r="N517" s="29">
        <f>IF(A517="","",MONTH(A517))</f>
        <v>8</v>
      </c>
      <c r="O517" s="29">
        <f>IF(A517="","",YEAR(A517))</f>
        <v>2026</v>
      </c>
      <c r="P517" s="29" t="str">
        <f>IF(A517="","",CHOOSE(WEEKDAY(A517,2),"Segunda","Terça","Quarta","Quinta","Sexta","Sábado","Domingo"))</f>
        <v>Sexta</v>
      </c>
      <c r="Q517" s="29" t="str">
        <f>IF(B517="","",IF(B517&lt;TIME(12,0,0),"Manhã",IF(B517&lt;TIME(18,0,0),"Tarde","Noite")))</f>
        <v>Manhã</v>
      </c>
      <c r="R517" s="45">
        <f>IF(AND(H517="Realizado",L517&lt;&gt;""),L517/60,0)</f>
        <v>0.333333333333333</v>
      </c>
    </row>
    <row r="518">
      <c r="A518" s="42" t="n">
        <v>46255</v>
      </c>
      <c r="B518" s="43" t="n">
        <v>0.4236111111111111</v>
      </c>
      <c r="C518" s="37" t="inlineStr">
        <is>
          <t>Dr. Paulo Andrade</t>
        </is>
      </c>
      <c r="D518" s="37" t="inlineStr">
        <is>
          <t>Sala 2</t>
        </is>
      </c>
      <c r="E518" s="36" t="inlineStr">
        <is>
          <t>Mônica Pinto</t>
        </is>
      </c>
      <c r="F518" s="37" t="inlineStr">
        <is>
          <t>Saúde Total</t>
        </is>
      </c>
      <c r="G518" s="37" t="inlineStr">
        <is>
          <t>MAPA</t>
        </is>
      </c>
      <c r="H518" s="37" t="inlineStr">
        <is>
          <t>Realizado</t>
        </is>
      </c>
      <c r="I518" s="37" t="inlineStr">
        <is>
          <t>Convênio</t>
        </is>
      </c>
      <c r="J518" s="37" t="n"/>
      <c r="K518" s="36" t="n"/>
      <c r="L518" s="44">
        <f>IF(G518="","",IFERROR(INDEX(Config!$K$5:$K$16,MATCH(G518,Config!$J$5:$J$16,0)),""))</f>
        <v>20</v>
      </c>
      <c r="M518" s="30">
        <f>IF(OR(G518="",F518=""),"",IFERROR(INDEX(Config!$M$5:$R$16,MATCH(G518,Config!$J$5:$J$16,0),MATCH(F518,Config!$H$5:$H$10,0)),""))</f>
        <v>95</v>
      </c>
      <c r="N518" s="29">
        <f>IF(A518="","",MONTH(A518))</f>
        <v>8</v>
      </c>
      <c r="O518" s="29">
        <f>IF(A518="","",YEAR(A518))</f>
        <v>2026</v>
      </c>
      <c r="P518" s="29" t="str">
        <f>IF(A518="","",CHOOSE(WEEKDAY(A518,2),"Segunda","Terça","Quarta","Quinta","Sexta","Sábado","Domingo"))</f>
        <v>Sexta</v>
      </c>
      <c r="Q518" s="29" t="str">
        <f>IF(B518="","",IF(B518&lt;TIME(12,0,0),"Manhã",IF(B518&lt;TIME(18,0,0),"Tarde","Noite")))</f>
        <v>Manhã</v>
      </c>
      <c r="R518" s="45">
        <f>IF(AND(H518="Realizado",L518&lt;&gt;""),L518/60,0)</f>
        <v>0.333333333333333</v>
      </c>
    </row>
    <row r="519">
      <c r="A519" s="42" t="n">
        <v>46258</v>
      </c>
      <c r="B519" s="43" t="n">
        <v>0.3333333333333333</v>
      </c>
      <c r="C519" s="37" t="inlineStr">
        <is>
          <t>Dra. Carolina Mendes</t>
        </is>
      </c>
      <c r="D519" s="37" t="inlineStr">
        <is>
          <t>Sala 1</t>
        </is>
      </c>
      <c r="E519" s="36" t="inlineStr">
        <is>
          <t>Wagner Lima</t>
        </is>
      </c>
      <c r="F519" s="37" t="inlineStr">
        <is>
          <t>Particular</t>
        </is>
      </c>
      <c r="G519" s="37" t="inlineStr">
        <is>
          <t>Consulta</t>
        </is>
      </c>
      <c r="H519" s="37" t="inlineStr">
        <is>
          <t>Realizado</t>
        </is>
      </c>
      <c r="I519" s="37" t="inlineStr">
        <is>
          <t>Cartão de débito</t>
        </is>
      </c>
      <c r="J519" s="37" t="n"/>
      <c r="K519" s="36" t="n"/>
      <c r="L519" s="44">
        <f>IF(G519="","",IFERROR(INDEX(Config!$K$5:$K$16,MATCH(G519,Config!$J$5:$J$16,0)),""))</f>
        <v>30</v>
      </c>
      <c r="M519" s="30">
        <f>IF(OR(G519="",F519=""),"",IFERROR(INDEX(Config!$M$5:$R$16,MATCH(G519,Config!$J$5:$J$16,0),MATCH(F519,Config!$H$5:$H$10,0)),""))</f>
        <v>380</v>
      </c>
      <c r="N519" s="29">
        <f>IF(A519="","",MONTH(A519))</f>
        <v>8</v>
      </c>
      <c r="O519" s="29">
        <f>IF(A519="","",YEAR(A519))</f>
        <v>2026</v>
      </c>
      <c r="P519" s="29" t="str">
        <f>IF(A519="","",CHOOSE(WEEKDAY(A519,2),"Segunda","Terça","Quarta","Quinta","Sexta","Sábado","Domingo"))</f>
        <v>Segunda</v>
      </c>
      <c r="Q519" s="29" t="str">
        <f>IF(B519="","",IF(B519&lt;TIME(12,0,0),"Manhã",IF(B519&lt;TIME(18,0,0),"Tarde","Noite")))</f>
        <v>Manhã</v>
      </c>
      <c r="R519" s="45">
        <f>IF(AND(H519="Realizado",L519&lt;&gt;""),L519/60,0)</f>
        <v>0.5</v>
      </c>
    </row>
    <row r="520">
      <c r="A520" s="42" t="n">
        <v>46258</v>
      </c>
      <c r="B520" s="43" t="n">
        <v>0.3541666666666667</v>
      </c>
      <c r="C520" s="37" t="inlineStr">
        <is>
          <t>Dra. Carolina Mendes</t>
        </is>
      </c>
      <c r="D520" s="37" t="inlineStr">
        <is>
          <t>Sala 1</t>
        </is>
      </c>
      <c r="E520" s="36" t="inlineStr">
        <is>
          <t>Renato Dias</t>
        </is>
      </c>
      <c r="F520" s="37" t="inlineStr">
        <is>
          <t>Particular</t>
        </is>
      </c>
      <c r="G520" s="37" t="inlineStr">
        <is>
          <t>Consulta</t>
        </is>
      </c>
      <c r="H520" s="37" t="inlineStr">
        <is>
          <t>Realizado</t>
        </is>
      </c>
      <c r="I520" s="37" t="inlineStr">
        <is>
          <t>Pix</t>
        </is>
      </c>
      <c r="J520" s="37" t="n"/>
      <c r="K520" s="36" t="n"/>
      <c r="L520" s="44">
        <f>IF(G520="","",IFERROR(INDEX(Config!$K$5:$K$16,MATCH(G520,Config!$J$5:$J$16,0)),""))</f>
        <v>30</v>
      </c>
      <c r="M520" s="30">
        <f>IF(OR(G520="",F520=""),"",IFERROR(INDEX(Config!$M$5:$R$16,MATCH(G520,Config!$J$5:$J$16,0),MATCH(F520,Config!$H$5:$H$10,0)),""))</f>
        <v>380</v>
      </c>
      <c r="N520" s="29">
        <f>IF(A520="","",MONTH(A520))</f>
        <v>8</v>
      </c>
      <c r="O520" s="29">
        <f>IF(A520="","",YEAR(A520))</f>
        <v>2026</v>
      </c>
      <c r="P520" s="29" t="str">
        <f>IF(A520="","",CHOOSE(WEEKDAY(A520,2),"Segunda","Terça","Quarta","Quinta","Sexta","Sábado","Domingo"))</f>
        <v>Segunda</v>
      </c>
      <c r="Q520" s="29" t="str">
        <f>IF(B520="","",IF(B520&lt;TIME(12,0,0),"Manhã",IF(B520&lt;TIME(18,0,0),"Tarde","Noite")))</f>
        <v>Manhã</v>
      </c>
      <c r="R520" s="45">
        <f>IF(AND(H520="Realizado",L520&lt;&gt;""),L520/60,0)</f>
        <v>0.5</v>
      </c>
    </row>
    <row r="521">
      <c r="A521" s="42" t="n">
        <v>46258</v>
      </c>
      <c r="B521" s="43" t="n">
        <v>0.375</v>
      </c>
      <c r="C521" s="37" t="inlineStr">
        <is>
          <t>Dra. Carolina Mendes</t>
        </is>
      </c>
      <c r="D521" s="37" t="inlineStr">
        <is>
          <t>Sala 1</t>
        </is>
      </c>
      <c r="E521" s="36" t="inlineStr">
        <is>
          <t>Cláudia Santos</t>
        </is>
      </c>
      <c r="F521" s="37" t="inlineStr">
        <is>
          <t>Particular</t>
        </is>
      </c>
      <c r="G521" s="37" t="inlineStr">
        <is>
          <t>Consulta</t>
        </is>
      </c>
      <c r="H521" s="37" t="inlineStr">
        <is>
          <t>Realizado</t>
        </is>
      </c>
      <c r="I521" s="37" t="inlineStr">
        <is>
          <t>A prazo</t>
        </is>
      </c>
      <c r="J521" s="37" t="n"/>
      <c r="K521" s="36" t="n"/>
      <c r="L521" s="44">
        <f>IF(G521="","",IFERROR(INDEX(Config!$K$5:$K$16,MATCH(G521,Config!$J$5:$J$16,0)),""))</f>
        <v>30</v>
      </c>
      <c r="M521" s="30">
        <f>IF(OR(G521="",F521=""),"",IFERROR(INDEX(Config!$M$5:$R$16,MATCH(G521,Config!$J$5:$J$16,0),MATCH(F521,Config!$H$5:$H$10,0)),""))</f>
        <v>380</v>
      </c>
      <c r="N521" s="29">
        <f>IF(A521="","",MONTH(A521))</f>
        <v>8</v>
      </c>
      <c r="O521" s="29">
        <f>IF(A521="","",YEAR(A521))</f>
        <v>2026</v>
      </c>
      <c r="P521" s="29" t="str">
        <f>IF(A521="","",CHOOSE(WEEKDAY(A521,2),"Segunda","Terça","Quarta","Quinta","Sexta","Sábado","Domingo"))</f>
        <v>Segunda</v>
      </c>
      <c r="Q521" s="29" t="str">
        <f>IF(B521="","",IF(B521&lt;TIME(12,0,0),"Manhã",IF(B521&lt;TIME(18,0,0),"Tarde","Noite")))</f>
        <v>Manhã</v>
      </c>
      <c r="R521" s="45">
        <f>IF(AND(H521="Realizado",L521&lt;&gt;""),L521/60,0)</f>
        <v>0.5</v>
      </c>
    </row>
    <row r="522">
      <c r="A522" s="42" t="n">
        <v>46258</v>
      </c>
      <c r="B522" s="43" t="n">
        <v>0.3958333333333333</v>
      </c>
      <c r="C522" s="37" t="inlineStr">
        <is>
          <t>Dra. Carolina Mendes</t>
        </is>
      </c>
      <c r="D522" s="37" t="inlineStr">
        <is>
          <t>Sala 1</t>
        </is>
      </c>
      <c r="E522" s="36" t="inlineStr">
        <is>
          <t>Sérgio Batista</t>
        </is>
      </c>
      <c r="F522" s="37" t="inlineStr">
        <is>
          <t>MediPlan</t>
        </is>
      </c>
      <c r="G522" s="37" t="inlineStr">
        <is>
          <t>Consulta</t>
        </is>
      </c>
      <c r="H522" s="37" t="inlineStr">
        <is>
          <t>Realizado</t>
        </is>
      </c>
      <c r="I522" s="37" t="inlineStr">
        <is>
          <t>Convênio</t>
        </is>
      </c>
      <c r="J522" s="37" t="n"/>
      <c r="K522" s="36" t="n"/>
      <c r="L522" s="44">
        <f>IF(G522="","",IFERROR(INDEX(Config!$K$5:$K$16,MATCH(G522,Config!$J$5:$J$16,0)),""))</f>
        <v>30</v>
      </c>
      <c r="M522" s="30">
        <f>IF(OR(G522="",F522=""),"",IFERROR(INDEX(Config!$M$5:$R$16,MATCH(G522,Config!$J$5:$J$16,0),MATCH(F522,Config!$H$5:$H$10,0)),""))</f>
        <v>100</v>
      </c>
      <c r="N522" s="29">
        <f>IF(A522="","",MONTH(A522))</f>
        <v>8</v>
      </c>
      <c r="O522" s="29">
        <f>IF(A522="","",YEAR(A522))</f>
        <v>2026</v>
      </c>
      <c r="P522" s="29" t="str">
        <f>IF(A522="","",CHOOSE(WEEKDAY(A522,2),"Segunda","Terça","Quarta","Quinta","Sexta","Sábado","Domingo"))</f>
        <v>Segunda</v>
      </c>
      <c r="Q522" s="29" t="str">
        <f>IF(B522="","",IF(B522&lt;TIME(12,0,0),"Manhã",IF(B522&lt;TIME(18,0,0),"Tarde","Noite")))</f>
        <v>Manhã</v>
      </c>
      <c r="R522" s="45">
        <f>IF(AND(H522="Realizado",L522&lt;&gt;""),L522/60,0)</f>
        <v>0.5</v>
      </c>
    </row>
    <row r="523">
      <c r="A523" s="42" t="n">
        <v>46258</v>
      </c>
      <c r="B523" s="43" t="n">
        <v>0.4166666666666667</v>
      </c>
      <c r="C523" s="37" t="inlineStr">
        <is>
          <t>Dra. Carolina Mendes</t>
        </is>
      </c>
      <c r="D523" s="37" t="inlineStr">
        <is>
          <t>Sala 1</t>
        </is>
      </c>
      <c r="E523" s="36" t="inlineStr">
        <is>
          <t>Camila Batista</t>
        </is>
      </c>
      <c r="F523" s="37" t="inlineStr">
        <is>
          <t>MediPlan</t>
        </is>
      </c>
      <c r="G523" s="37" t="inlineStr">
        <is>
          <t>Consulta</t>
        </is>
      </c>
      <c r="H523" s="37" t="inlineStr">
        <is>
          <t>Realizado</t>
        </is>
      </c>
      <c r="I523" s="37" t="inlineStr">
        <is>
          <t>Convênio</t>
        </is>
      </c>
      <c r="J523" s="37" t="n"/>
      <c r="K523" s="36" t="n"/>
      <c r="L523" s="44">
        <f>IF(G523="","",IFERROR(INDEX(Config!$K$5:$K$16,MATCH(G523,Config!$J$5:$J$16,0)),""))</f>
        <v>30</v>
      </c>
      <c r="M523" s="30">
        <f>IF(OR(G523="",F523=""),"",IFERROR(INDEX(Config!$M$5:$R$16,MATCH(G523,Config!$J$5:$J$16,0),MATCH(F523,Config!$H$5:$H$10,0)),""))</f>
        <v>100</v>
      </c>
      <c r="N523" s="29">
        <f>IF(A523="","",MONTH(A523))</f>
        <v>8</v>
      </c>
      <c r="O523" s="29">
        <f>IF(A523="","",YEAR(A523))</f>
        <v>2026</v>
      </c>
      <c r="P523" s="29" t="str">
        <f>IF(A523="","",CHOOSE(WEEKDAY(A523,2),"Segunda","Terça","Quarta","Quinta","Sexta","Sábado","Domingo"))</f>
        <v>Segunda</v>
      </c>
      <c r="Q523" s="29" t="str">
        <f>IF(B523="","",IF(B523&lt;TIME(12,0,0),"Manhã",IF(B523&lt;TIME(18,0,0),"Tarde","Noite")))</f>
        <v>Manhã</v>
      </c>
      <c r="R523" s="45">
        <f>IF(AND(H523="Realizado",L523&lt;&gt;""),L523/60,0)</f>
        <v>0.5</v>
      </c>
    </row>
    <row r="524">
      <c r="A524" s="42" t="n">
        <v>46258</v>
      </c>
      <c r="B524" s="43" t="n">
        <v>0.4375</v>
      </c>
      <c r="C524" s="37" t="inlineStr">
        <is>
          <t>Dra. Carolina Mendes</t>
        </is>
      </c>
      <c r="D524" s="37" t="inlineStr">
        <is>
          <t>Sala 1</t>
        </is>
      </c>
      <c r="E524" s="36" t="inlineStr">
        <is>
          <t>Mariana Nascimento</t>
        </is>
      </c>
      <c r="F524" s="37" t="inlineStr">
        <is>
          <t>Particular</t>
        </is>
      </c>
      <c r="G524" s="37" t="inlineStr">
        <is>
          <t>Consulta</t>
        </is>
      </c>
      <c r="H524" s="37" t="inlineStr">
        <is>
          <t>Realizado</t>
        </is>
      </c>
      <c r="I524" s="37" t="inlineStr">
        <is>
          <t>Cartão de crédito</t>
        </is>
      </c>
      <c r="J524" s="37" t="n">
        <v>2</v>
      </c>
      <c r="K524" s="36" t="n"/>
      <c r="L524" s="44">
        <f>IF(G524="","",IFERROR(INDEX(Config!$K$5:$K$16,MATCH(G524,Config!$J$5:$J$16,0)),""))</f>
        <v>30</v>
      </c>
      <c r="M524" s="30">
        <f>IF(OR(G524="",F524=""),"",IFERROR(INDEX(Config!$M$5:$R$16,MATCH(G524,Config!$J$5:$J$16,0),MATCH(F524,Config!$H$5:$H$10,0)),""))</f>
        <v>380</v>
      </c>
      <c r="N524" s="29">
        <f>IF(A524="","",MONTH(A524))</f>
        <v>8</v>
      </c>
      <c r="O524" s="29">
        <f>IF(A524="","",YEAR(A524))</f>
        <v>2026</v>
      </c>
      <c r="P524" s="29" t="str">
        <f>IF(A524="","",CHOOSE(WEEKDAY(A524,2),"Segunda","Terça","Quarta","Quinta","Sexta","Sábado","Domingo"))</f>
        <v>Segunda</v>
      </c>
      <c r="Q524" s="29" t="str">
        <f>IF(B524="","",IF(B524&lt;TIME(12,0,0),"Manhã",IF(B524&lt;TIME(18,0,0),"Tarde","Noite")))</f>
        <v>Manhã</v>
      </c>
      <c r="R524" s="45">
        <f>IF(AND(H524="Realizado",L524&lt;&gt;""),L524/60,0)</f>
        <v>0.5</v>
      </c>
    </row>
    <row r="525">
      <c r="A525" s="42" t="n">
        <v>46258</v>
      </c>
      <c r="B525" s="43" t="n">
        <v>0.4791666666666667</v>
      </c>
      <c r="C525" s="37" t="inlineStr">
        <is>
          <t>Dra. Carolina Mendes</t>
        </is>
      </c>
      <c r="D525" s="37" t="inlineStr">
        <is>
          <t>Sala 1</t>
        </is>
      </c>
      <c r="E525" s="36" t="inlineStr">
        <is>
          <t>Ana Costa</t>
        </is>
      </c>
      <c r="F525" s="37" t="inlineStr">
        <is>
          <t>Particular</t>
        </is>
      </c>
      <c r="G525" s="37" t="inlineStr">
        <is>
          <t>Consulta</t>
        </is>
      </c>
      <c r="H525" s="37" t="inlineStr">
        <is>
          <t>Realizado</t>
        </is>
      </c>
      <c r="I525" s="37" t="inlineStr">
        <is>
          <t>Cartão de crédito</t>
        </is>
      </c>
      <c r="J525" s="37" t="n"/>
      <c r="K525" s="36" t="n"/>
      <c r="L525" s="44">
        <f>IF(G525="","",IFERROR(INDEX(Config!$K$5:$K$16,MATCH(G525,Config!$J$5:$J$16,0)),""))</f>
        <v>30</v>
      </c>
      <c r="M525" s="30">
        <f>IF(OR(G525="",F525=""),"",IFERROR(INDEX(Config!$M$5:$R$16,MATCH(G525,Config!$J$5:$J$16,0),MATCH(F525,Config!$H$5:$H$10,0)),""))</f>
        <v>380</v>
      </c>
      <c r="N525" s="29">
        <f>IF(A525="","",MONTH(A525))</f>
        <v>8</v>
      </c>
      <c r="O525" s="29">
        <f>IF(A525="","",YEAR(A525))</f>
        <v>2026</v>
      </c>
      <c r="P525" s="29" t="str">
        <f>IF(A525="","",CHOOSE(WEEKDAY(A525,2),"Segunda","Terça","Quarta","Quinta","Sexta","Sábado","Domingo"))</f>
        <v>Segunda</v>
      </c>
      <c r="Q525" s="29" t="str">
        <f>IF(B525="","",IF(B525&lt;TIME(12,0,0),"Manhã",IF(B525&lt;TIME(18,0,0),"Tarde","Noite")))</f>
        <v>Manhã</v>
      </c>
      <c r="R525" s="45">
        <f>IF(AND(H525="Realizado",L525&lt;&gt;""),L525/60,0)</f>
        <v>0.5</v>
      </c>
    </row>
    <row r="526">
      <c r="A526" s="42" t="n">
        <v>46258</v>
      </c>
      <c r="B526" s="43" t="n">
        <v>0.5833333333333334</v>
      </c>
      <c r="C526" s="37" t="inlineStr">
        <is>
          <t>Dr. Paulo Andrade</t>
        </is>
      </c>
      <c r="D526" s="37" t="inlineStr">
        <is>
          <t>Sala 2</t>
        </is>
      </c>
      <c r="E526" s="36" t="inlineStr">
        <is>
          <t>Carlos Fernandes</t>
        </is>
      </c>
      <c r="F526" s="37" t="inlineStr">
        <is>
          <t>Particular</t>
        </is>
      </c>
      <c r="G526" s="37" t="inlineStr">
        <is>
          <t>ECG</t>
        </is>
      </c>
      <c r="H526" s="37" t="inlineStr">
        <is>
          <t>Realizado</t>
        </is>
      </c>
      <c r="I526" s="37" t="inlineStr">
        <is>
          <t>Cartão de crédito</t>
        </is>
      </c>
      <c r="J526" s="37" t="n"/>
      <c r="K526" s="36" t="n"/>
      <c r="L526" s="44">
        <f>IF(G526="","",IFERROR(INDEX(Config!$K$5:$K$16,MATCH(G526,Config!$J$5:$J$16,0)),""))</f>
        <v>20</v>
      </c>
      <c r="M526" s="30">
        <f>IF(OR(G526="",F526=""),"",IFERROR(INDEX(Config!$M$5:$R$16,MATCH(G526,Config!$J$5:$J$16,0),MATCH(F526,Config!$H$5:$H$10,0)),""))</f>
        <v>130</v>
      </c>
      <c r="N526" s="29">
        <f>IF(A526="","",MONTH(A526))</f>
        <v>8</v>
      </c>
      <c r="O526" s="29">
        <f>IF(A526="","",YEAR(A526))</f>
        <v>2026</v>
      </c>
      <c r="P526" s="29" t="str">
        <f>IF(A526="","",CHOOSE(WEEKDAY(A526,2),"Segunda","Terça","Quarta","Quinta","Sexta","Sábado","Domingo"))</f>
        <v>Segunda</v>
      </c>
      <c r="Q526" s="29" t="str">
        <f>IF(B526="","",IF(B526&lt;TIME(12,0,0),"Manhã",IF(B526&lt;TIME(18,0,0),"Tarde","Noite")))</f>
        <v>Tarde</v>
      </c>
      <c r="R526" s="45">
        <f>IF(AND(H526="Realizado",L526&lt;&gt;""),L526/60,0)</f>
        <v>0.333333333333333</v>
      </c>
    </row>
    <row r="527">
      <c r="A527" s="42" t="n">
        <v>46258</v>
      </c>
      <c r="B527" s="43" t="n">
        <v>0.5972222222222222</v>
      </c>
      <c r="C527" s="37" t="inlineStr">
        <is>
          <t>Dr. Paulo Andrade</t>
        </is>
      </c>
      <c r="D527" s="37" t="inlineStr">
        <is>
          <t>Sala 2</t>
        </is>
      </c>
      <c r="E527" s="36" t="inlineStr">
        <is>
          <t>Vinícius Cardoso</t>
        </is>
      </c>
      <c r="F527" s="37" t="inlineStr">
        <is>
          <t>MediPlan</t>
        </is>
      </c>
      <c r="G527" s="37" t="inlineStr">
        <is>
          <t>Consulta</t>
        </is>
      </c>
      <c r="H527" s="37" t="inlineStr">
        <is>
          <t>Realizado</t>
        </is>
      </c>
      <c r="I527" s="37" t="inlineStr">
        <is>
          <t>Convênio</t>
        </is>
      </c>
      <c r="J527" s="37" t="n"/>
      <c r="K527" s="36" t="n"/>
      <c r="L527" s="44">
        <f>IF(G527="","",IFERROR(INDEX(Config!$K$5:$K$16,MATCH(G527,Config!$J$5:$J$16,0)),""))</f>
        <v>30</v>
      </c>
      <c r="M527" s="30">
        <f>IF(OR(G527="",F527=""),"",IFERROR(INDEX(Config!$M$5:$R$16,MATCH(G527,Config!$J$5:$J$16,0),MATCH(F527,Config!$H$5:$H$10,0)),""))</f>
        <v>100</v>
      </c>
      <c r="N527" s="29">
        <f>IF(A527="","",MONTH(A527))</f>
        <v>8</v>
      </c>
      <c r="O527" s="29">
        <f>IF(A527="","",YEAR(A527))</f>
        <v>2026</v>
      </c>
      <c r="P527" s="29" t="str">
        <f>IF(A527="","",CHOOSE(WEEKDAY(A527,2),"Segunda","Terça","Quarta","Quinta","Sexta","Sábado","Domingo"))</f>
        <v>Segunda</v>
      </c>
      <c r="Q527" s="29" t="str">
        <f>IF(B527="","",IF(B527&lt;TIME(12,0,0),"Manhã",IF(B527&lt;TIME(18,0,0),"Tarde","Noite")))</f>
        <v>Tarde</v>
      </c>
      <c r="R527" s="45">
        <f>IF(AND(H527="Realizado",L527&lt;&gt;""),L527/60,0)</f>
        <v>0.5</v>
      </c>
    </row>
    <row r="528">
      <c r="A528" s="42" t="n">
        <v>46258</v>
      </c>
      <c r="B528" s="43" t="n">
        <v>0.6180555555555556</v>
      </c>
      <c r="C528" s="37" t="inlineStr">
        <is>
          <t>Dr. Paulo Andrade</t>
        </is>
      </c>
      <c r="D528" s="37" t="inlineStr">
        <is>
          <t>Sala 2</t>
        </is>
      </c>
      <c r="E528" s="36" t="inlineStr">
        <is>
          <t>Camila Freitas</t>
        </is>
      </c>
      <c r="F528" s="37" t="inlineStr">
        <is>
          <t>Particular</t>
        </is>
      </c>
      <c r="G528" s="37" t="inlineStr">
        <is>
          <t>Consulta</t>
        </is>
      </c>
      <c r="H528" s="37" t="inlineStr">
        <is>
          <t>Realizado</t>
        </is>
      </c>
      <c r="I528" s="37" t="inlineStr">
        <is>
          <t>Pix</t>
        </is>
      </c>
      <c r="J528" s="37" t="n"/>
      <c r="K528" s="36" t="n"/>
      <c r="L528" s="44">
        <f>IF(G528="","",IFERROR(INDEX(Config!$K$5:$K$16,MATCH(G528,Config!$J$5:$J$16,0)),""))</f>
        <v>30</v>
      </c>
      <c r="M528" s="30">
        <f>IF(OR(G528="",F528=""),"",IFERROR(INDEX(Config!$M$5:$R$16,MATCH(G528,Config!$J$5:$J$16,0),MATCH(F528,Config!$H$5:$H$10,0)),""))</f>
        <v>380</v>
      </c>
      <c r="N528" s="29">
        <f>IF(A528="","",MONTH(A528))</f>
        <v>8</v>
      </c>
      <c r="O528" s="29">
        <f>IF(A528="","",YEAR(A528))</f>
        <v>2026</v>
      </c>
      <c r="P528" s="29" t="str">
        <f>IF(A528="","",CHOOSE(WEEKDAY(A528,2),"Segunda","Terça","Quarta","Quinta","Sexta","Sábado","Domingo"))</f>
        <v>Segunda</v>
      </c>
      <c r="Q528" s="29" t="str">
        <f>IF(B528="","",IF(B528&lt;TIME(12,0,0),"Manhã",IF(B528&lt;TIME(18,0,0),"Tarde","Noite")))</f>
        <v>Tarde</v>
      </c>
      <c r="R528" s="45">
        <f>IF(AND(H528="Realizado",L528&lt;&gt;""),L528/60,0)</f>
        <v>0.5</v>
      </c>
    </row>
    <row r="529">
      <c r="A529" s="42" t="n">
        <v>46258</v>
      </c>
      <c r="B529" s="43" t="n">
        <v>0.6388888888888888</v>
      </c>
      <c r="C529" s="37" t="inlineStr">
        <is>
          <t>Dr. Paulo Andrade</t>
        </is>
      </c>
      <c r="D529" s="37" t="inlineStr">
        <is>
          <t>Sala 2</t>
        </is>
      </c>
      <c r="E529" s="36" t="inlineStr">
        <is>
          <t>Otávio Martins</t>
        </is>
      </c>
      <c r="F529" s="37" t="inlineStr">
        <is>
          <t>MediPlan</t>
        </is>
      </c>
      <c r="G529" s="37" t="inlineStr">
        <is>
          <t>Retorno</t>
        </is>
      </c>
      <c r="H529" s="37" t="inlineStr">
        <is>
          <t>Realizado</t>
        </is>
      </c>
      <c r="I529" s="37" t="inlineStr">
        <is>
          <t>Sem cobrança</t>
        </is>
      </c>
      <c r="J529" s="37" t="n"/>
      <c r="K529" s="36" t="n"/>
      <c r="L529" s="44">
        <f>IF(G529="","",IFERROR(INDEX(Config!$K$5:$K$16,MATCH(G529,Config!$J$5:$J$16,0)),""))</f>
        <v>20</v>
      </c>
      <c r="M529" s="30">
        <f>IF(OR(G529="",F529=""),"",IFERROR(INDEX(Config!$M$5:$R$16,MATCH(G529,Config!$J$5:$J$16,0),MATCH(F529,Config!$H$5:$H$10,0)),""))</f>
        <v>0</v>
      </c>
      <c r="N529" s="29">
        <f>IF(A529="","",MONTH(A529))</f>
        <v>8</v>
      </c>
      <c r="O529" s="29">
        <f>IF(A529="","",YEAR(A529))</f>
        <v>2026</v>
      </c>
      <c r="P529" s="29" t="str">
        <f>IF(A529="","",CHOOSE(WEEKDAY(A529,2),"Segunda","Terça","Quarta","Quinta","Sexta","Sábado","Domingo"))</f>
        <v>Segunda</v>
      </c>
      <c r="Q529" s="29" t="str">
        <f>IF(B529="","",IF(B529&lt;TIME(12,0,0),"Manhã",IF(B529&lt;TIME(18,0,0),"Tarde","Noite")))</f>
        <v>Tarde</v>
      </c>
      <c r="R529" s="45">
        <f>IF(AND(H529="Realizado",L529&lt;&gt;""),L529/60,0)</f>
        <v>0.333333333333333</v>
      </c>
    </row>
    <row r="530">
      <c r="A530" s="42" t="n">
        <v>46258</v>
      </c>
      <c r="B530" s="43" t="n">
        <v>0.6527777777777778</v>
      </c>
      <c r="C530" s="37" t="inlineStr">
        <is>
          <t>Dr. Paulo Andrade</t>
        </is>
      </c>
      <c r="D530" s="37" t="inlineStr">
        <is>
          <t>Sala 2</t>
        </is>
      </c>
      <c r="E530" s="36" t="inlineStr">
        <is>
          <t>Gabriel Oliveira</t>
        </is>
      </c>
      <c r="F530" s="37" t="inlineStr">
        <is>
          <t>Particular</t>
        </is>
      </c>
      <c r="G530" s="37" t="inlineStr">
        <is>
          <t>Consulta</t>
        </is>
      </c>
      <c r="H530" s="37" t="inlineStr">
        <is>
          <t>Realizado</t>
        </is>
      </c>
      <c r="I530" s="37" t="inlineStr">
        <is>
          <t>Pix</t>
        </is>
      </c>
      <c r="J530" s="37" t="n"/>
      <c r="K530" s="36" t="n"/>
      <c r="L530" s="44">
        <f>IF(G530="","",IFERROR(INDEX(Config!$K$5:$K$16,MATCH(G530,Config!$J$5:$J$16,0)),""))</f>
        <v>30</v>
      </c>
      <c r="M530" s="30">
        <f>IF(OR(G530="",F530=""),"",IFERROR(INDEX(Config!$M$5:$R$16,MATCH(G530,Config!$J$5:$J$16,0),MATCH(F530,Config!$H$5:$H$10,0)),""))</f>
        <v>380</v>
      </c>
      <c r="N530" s="29">
        <f>IF(A530="","",MONTH(A530))</f>
        <v>8</v>
      </c>
      <c r="O530" s="29">
        <f>IF(A530="","",YEAR(A530))</f>
        <v>2026</v>
      </c>
      <c r="P530" s="29" t="str">
        <f>IF(A530="","",CHOOSE(WEEKDAY(A530,2),"Segunda","Terça","Quarta","Quinta","Sexta","Sábado","Domingo"))</f>
        <v>Segunda</v>
      </c>
      <c r="Q530" s="29" t="str">
        <f>IF(B530="","",IF(B530&lt;TIME(12,0,0),"Manhã",IF(B530&lt;TIME(18,0,0),"Tarde","Noite")))</f>
        <v>Tarde</v>
      </c>
      <c r="R530" s="45">
        <f>IF(AND(H530="Realizado",L530&lt;&gt;""),L530/60,0)</f>
        <v>0.5</v>
      </c>
    </row>
    <row r="531">
      <c r="A531" s="42" t="n">
        <v>46258</v>
      </c>
      <c r="B531" s="43" t="n">
        <v>0.6736111111111112</v>
      </c>
      <c r="C531" s="37" t="inlineStr">
        <is>
          <t>Dr. Paulo Andrade</t>
        </is>
      </c>
      <c r="D531" s="37" t="inlineStr">
        <is>
          <t>Sala 2</t>
        </is>
      </c>
      <c r="E531" s="36" t="inlineStr">
        <is>
          <t>Gabriel Vieira</t>
        </is>
      </c>
      <c r="F531" s="37" t="inlineStr">
        <is>
          <t>Vida Care</t>
        </is>
      </c>
      <c r="G531" s="37" t="inlineStr">
        <is>
          <t>Consulta</t>
        </is>
      </c>
      <c r="H531" s="37" t="inlineStr">
        <is>
          <t>Realizado</t>
        </is>
      </c>
      <c r="I531" s="37" t="inlineStr">
        <is>
          <t>Convênio</t>
        </is>
      </c>
      <c r="J531" s="37" t="n"/>
      <c r="K531" s="36" t="n"/>
      <c r="L531" s="44">
        <f>IF(G531="","",IFERROR(INDEX(Config!$K$5:$K$16,MATCH(G531,Config!$J$5:$J$16,0)),""))</f>
        <v>30</v>
      </c>
      <c r="M531" s="30">
        <f>IF(OR(G531="",F531=""),"",IFERROR(INDEX(Config!$M$5:$R$16,MATCH(G531,Config!$J$5:$J$16,0),MATCH(F531,Config!$H$5:$H$10,0)),""))</f>
        <v>90</v>
      </c>
      <c r="N531" s="29">
        <f>IF(A531="","",MONTH(A531))</f>
        <v>8</v>
      </c>
      <c r="O531" s="29">
        <f>IF(A531="","",YEAR(A531))</f>
        <v>2026</v>
      </c>
      <c r="P531" s="29" t="str">
        <f>IF(A531="","",CHOOSE(WEEKDAY(A531,2),"Segunda","Terça","Quarta","Quinta","Sexta","Sábado","Domingo"))</f>
        <v>Segunda</v>
      </c>
      <c r="Q531" s="29" t="str">
        <f>IF(B531="","",IF(B531&lt;TIME(12,0,0),"Manhã",IF(B531&lt;TIME(18,0,0),"Tarde","Noite")))</f>
        <v>Tarde</v>
      </c>
      <c r="R531" s="45">
        <f>IF(AND(H531="Realizado",L531&lt;&gt;""),L531/60,0)</f>
        <v>0.5</v>
      </c>
    </row>
    <row r="532">
      <c r="A532" s="42" t="n">
        <v>46258</v>
      </c>
      <c r="B532" s="43" t="n">
        <v>0.6944444444444444</v>
      </c>
      <c r="C532" s="37" t="inlineStr">
        <is>
          <t>Dr. Paulo Andrade</t>
        </is>
      </c>
      <c r="D532" s="37" t="inlineStr">
        <is>
          <t>Sala 2</t>
        </is>
      </c>
      <c r="E532" s="36" t="inlineStr">
        <is>
          <t>Daniel Melo</t>
        </is>
      </c>
      <c r="F532" s="37" t="inlineStr">
        <is>
          <t>Saúde Total</t>
        </is>
      </c>
      <c r="G532" s="37" t="inlineStr">
        <is>
          <t>MAPA</t>
        </is>
      </c>
      <c r="H532" s="37" t="inlineStr">
        <is>
          <t>Realizado</t>
        </is>
      </c>
      <c r="I532" s="37" t="inlineStr">
        <is>
          <t>Convênio</t>
        </is>
      </c>
      <c r="J532" s="37" t="n"/>
      <c r="K532" s="36" t="n"/>
      <c r="L532" s="44">
        <f>IF(G532="","",IFERROR(INDEX(Config!$K$5:$K$16,MATCH(G532,Config!$J$5:$J$16,0)),""))</f>
        <v>20</v>
      </c>
      <c r="M532" s="30">
        <f>IF(OR(G532="",F532=""),"",IFERROR(INDEX(Config!$M$5:$R$16,MATCH(G532,Config!$J$5:$J$16,0),MATCH(F532,Config!$H$5:$H$10,0)),""))</f>
        <v>95</v>
      </c>
      <c r="N532" s="29">
        <f>IF(A532="","",MONTH(A532))</f>
        <v>8</v>
      </c>
      <c r="O532" s="29">
        <f>IF(A532="","",YEAR(A532))</f>
        <v>2026</v>
      </c>
      <c r="P532" s="29" t="str">
        <f>IF(A532="","",CHOOSE(WEEKDAY(A532,2),"Segunda","Terça","Quarta","Quinta","Sexta","Sábado","Domingo"))</f>
        <v>Segunda</v>
      </c>
      <c r="Q532" s="29" t="str">
        <f>IF(B532="","",IF(B532&lt;TIME(12,0,0),"Manhã",IF(B532&lt;TIME(18,0,0),"Tarde","Noite")))</f>
        <v>Tarde</v>
      </c>
      <c r="R532" s="45">
        <f>IF(AND(H532="Realizado",L532&lt;&gt;""),L532/60,0)</f>
        <v>0.333333333333333</v>
      </c>
    </row>
    <row r="533">
      <c r="A533" s="42" t="n">
        <v>46258</v>
      </c>
      <c r="B533" s="43" t="n">
        <v>0.7083333333333334</v>
      </c>
      <c r="C533" s="37" t="inlineStr">
        <is>
          <t>Dr. Paulo Andrade</t>
        </is>
      </c>
      <c r="D533" s="37" t="inlineStr">
        <is>
          <t>Sala 2</t>
        </is>
      </c>
      <c r="E533" s="36" t="inlineStr">
        <is>
          <t>Sérgio Martins</t>
        </is>
      </c>
      <c r="F533" s="37" t="inlineStr">
        <is>
          <t>Particular</t>
        </is>
      </c>
      <c r="G533" s="37" t="inlineStr">
        <is>
          <t>Holter</t>
        </is>
      </c>
      <c r="H533" s="37" t="inlineStr">
        <is>
          <t>Realizado</t>
        </is>
      </c>
      <c r="I533" s="37" t="inlineStr">
        <is>
          <t>Dinheiro</t>
        </is>
      </c>
      <c r="J533" s="37" t="n"/>
      <c r="K533" s="36" t="n"/>
      <c r="L533" s="44">
        <f>IF(G533="","",IFERROR(INDEX(Config!$K$5:$K$16,MATCH(G533,Config!$J$5:$J$16,0)),""))</f>
        <v>20</v>
      </c>
      <c r="M533" s="30">
        <f>IF(OR(G533="",F533=""),"",IFERROR(INDEX(Config!$M$5:$R$16,MATCH(G533,Config!$J$5:$J$16,0),MATCH(F533,Config!$H$5:$H$10,0)),""))</f>
        <v>350</v>
      </c>
      <c r="N533" s="29">
        <f>IF(A533="","",MONTH(A533))</f>
        <v>8</v>
      </c>
      <c r="O533" s="29">
        <f>IF(A533="","",YEAR(A533))</f>
        <v>2026</v>
      </c>
      <c r="P533" s="29" t="str">
        <f>IF(A533="","",CHOOSE(WEEKDAY(A533,2),"Segunda","Terça","Quarta","Quinta","Sexta","Sábado","Domingo"))</f>
        <v>Segunda</v>
      </c>
      <c r="Q533" s="29" t="str">
        <f>IF(B533="","",IF(B533&lt;TIME(12,0,0),"Manhã",IF(B533&lt;TIME(18,0,0),"Tarde","Noite")))</f>
        <v>Tarde</v>
      </c>
      <c r="R533" s="45">
        <f>IF(AND(H533="Realizado",L533&lt;&gt;""),L533/60,0)</f>
        <v>0.333333333333333</v>
      </c>
    </row>
    <row r="534">
      <c r="A534" s="42" t="n">
        <v>46258</v>
      </c>
      <c r="B534" s="43" t="n">
        <v>0.7222222222222222</v>
      </c>
      <c r="C534" s="37" t="inlineStr">
        <is>
          <t>Dr. Paulo Andrade</t>
        </is>
      </c>
      <c r="D534" s="37" t="inlineStr">
        <is>
          <t>Sala 2</t>
        </is>
      </c>
      <c r="E534" s="36" t="inlineStr">
        <is>
          <t>Isabela Nascimento</t>
        </is>
      </c>
      <c r="F534" s="37" t="inlineStr">
        <is>
          <t>Vida Care</t>
        </is>
      </c>
      <c r="G534" s="37" t="inlineStr">
        <is>
          <t>Teste ergométrico</t>
        </is>
      </c>
      <c r="H534" s="37" t="inlineStr">
        <is>
          <t>Realizado</t>
        </is>
      </c>
      <c r="I534" s="37" t="inlineStr">
        <is>
          <t>Convênio</t>
        </is>
      </c>
      <c r="J534" s="37" t="n"/>
      <c r="K534" s="36" t="n"/>
      <c r="L534" s="44">
        <f>IF(G534="","",IFERROR(INDEX(Config!$K$5:$K$16,MATCH(G534,Config!$J$5:$J$16,0)),""))</f>
        <v>40</v>
      </c>
      <c r="M534" s="30">
        <f>IF(OR(G534="",F534=""),"",IFERROR(INDEX(Config!$M$5:$R$16,MATCH(G534,Config!$J$5:$J$16,0),MATCH(F534,Config!$H$5:$H$10,0)),""))</f>
        <v>110</v>
      </c>
      <c r="N534" s="29">
        <f>IF(A534="","",MONTH(A534))</f>
        <v>8</v>
      </c>
      <c r="O534" s="29">
        <f>IF(A534="","",YEAR(A534))</f>
        <v>2026</v>
      </c>
      <c r="P534" s="29" t="str">
        <f>IF(A534="","",CHOOSE(WEEKDAY(A534,2),"Segunda","Terça","Quarta","Quinta","Sexta","Sábado","Domingo"))</f>
        <v>Segunda</v>
      </c>
      <c r="Q534" s="29" t="str">
        <f>IF(B534="","",IF(B534&lt;TIME(12,0,0),"Manhã",IF(B534&lt;TIME(18,0,0),"Tarde","Noite")))</f>
        <v>Tarde</v>
      </c>
      <c r="R534" s="45">
        <f>IF(AND(H534="Realizado",L534&lt;&gt;""),L534/60,0)</f>
        <v>0.666666666666667</v>
      </c>
    </row>
    <row r="535">
      <c r="A535" s="42" t="n">
        <v>46259</v>
      </c>
      <c r="B535" s="43" t="n">
        <v>0.3333333333333333</v>
      </c>
      <c r="C535" s="37" t="inlineStr">
        <is>
          <t>Dra. Carolina Mendes</t>
        </is>
      </c>
      <c r="D535" s="37" t="inlineStr">
        <is>
          <t>Sala 1</t>
        </is>
      </c>
      <c r="E535" s="36" t="inlineStr">
        <is>
          <t>Gustavo Ferreira</t>
        </is>
      </c>
      <c r="F535" s="37" t="inlineStr">
        <is>
          <t>Particular</t>
        </is>
      </c>
      <c r="G535" s="37" t="inlineStr">
        <is>
          <t>Retorno</t>
        </is>
      </c>
      <c r="H535" s="37" t="inlineStr">
        <is>
          <t>Falta</t>
        </is>
      </c>
      <c r="I535" s="37" t="n"/>
      <c r="J535" s="37" t="n"/>
      <c r="K535" s="36" t="n"/>
      <c r="L535" s="44">
        <f>IF(G535="","",IFERROR(INDEX(Config!$K$5:$K$16,MATCH(G535,Config!$J$5:$J$16,0)),""))</f>
        <v>20</v>
      </c>
      <c r="M535" s="30">
        <f>IF(OR(G535="",F535=""),"",IFERROR(INDEX(Config!$M$5:$R$16,MATCH(G535,Config!$J$5:$J$16,0),MATCH(F535,Config!$H$5:$H$10,0)),""))</f>
        <v>0</v>
      </c>
      <c r="N535" s="29">
        <f>IF(A535="","",MONTH(A535))</f>
        <v>8</v>
      </c>
      <c r="O535" s="29">
        <f>IF(A535="","",YEAR(A535))</f>
        <v>2026</v>
      </c>
      <c r="P535" s="29" t="str">
        <f>IF(A535="","",CHOOSE(WEEKDAY(A535,2),"Segunda","Terça","Quarta","Quinta","Sexta","Sábado","Domingo"))</f>
        <v>Terça</v>
      </c>
      <c r="Q535" s="29" t="str">
        <f>IF(B535="","",IF(B535&lt;TIME(12,0,0),"Manhã",IF(B535&lt;TIME(18,0,0),"Tarde","Noite")))</f>
        <v>Manhã</v>
      </c>
      <c r="R535" s="45">
        <f>IF(AND(H535="Realizado",L535&lt;&gt;""),L535/60,0)</f>
        <v>0</v>
      </c>
    </row>
    <row r="536">
      <c r="A536" s="42" t="n">
        <v>46259</v>
      </c>
      <c r="B536" s="43" t="n">
        <v>0.3472222222222222</v>
      </c>
      <c r="C536" s="37" t="inlineStr">
        <is>
          <t>Dra. Carolina Mendes</t>
        </is>
      </c>
      <c r="D536" s="37" t="inlineStr">
        <is>
          <t>Sala 1</t>
        </is>
      </c>
      <c r="E536" s="36" t="inlineStr">
        <is>
          <t>Larissa Costa</t>
        </is>
      </c>
      <c r="F536" s="37" t="inlineStr">
        <is>
          <t>Particular</t>
        </is>
      </c>
      <c r="G536" s="37" t="inlineStr">
        <is>
          <t>Consulta</t>
        </is>
      </c>
      <c r="H536" s="37" t="inlineStr">
        <is>
          <t>Realizado</t>
        </is>
      </c>
      <c r="I536" s="37" t="inlineStr">
        <is>
          <t>Pix</t>
        </is>
      </c>
      <c r="J536" s="37" t="n"/>
      <c r="K536" s="36" t="n"/>
      <c r="L536" s="44">
        <f>IF(G536="","",IFERROR(INDEX(Config!$K$5:$K$16,MATCH(G536,Config!$J$5:$J$16,0)),""))</f>
        <v>30</v>
      </c>
      <c r="M536" s="30">
        <f>IF(OR(G536="",F536=""),"",IFERROR(INDEX(Config!$M$5:$R$16,MATCH(G536,Config!$J$5:$J$16,0),MATCH(F536,Config!$H$5:$H$10,0)),""))</f>
        <v>380</v>
      </c>
      <c r="N536" s="29">
        <f>IF(A536="","",MONTH(A536))</f>
        <v>8</v>
      </c>
      <c r="O536" s="29">
        <f>IF(A536="","",YEAR(A536))</f>
        <v>2026</v>
      </c>
      <c r="P536" s="29" t="str">
        <f>IF(A536="","",CHOOSE(WEEKDAY(A536,2),"Segunda","Terça","Quarta","Quinta","Sexta","Sábado","Domingo"))</f>
        <v>Terça</v>
      </c>
      <c r="Q536" s="29" t="str">
        <f>IF(B536="","",IF(B536&lt;TIME(12,0,0),"Manhã",IF(B536&lt;TIME(18,0,0),"Tarde","Noite")))</f>
        <v>Manhã</v>
      </c>
      <c r="R536" s="45">
        <f>IF(AND(H536="Realizado",L536&lt;&gt;""),L536/60,0)</f>
        <v>0.5</v>
      </c>
    </row>
    <row r="537">
      <c r="A537" s="42" t="n">
        <v>46259</v>
      </c>
      <c r="B537" s="43" t="n">
        <v>0.3680555555555556</v>
      </c>
      <c r="C537" s="37" t="inlineStr">
        <is>
          <t>Dra. Carolina Mendes</t>
        </is>
      </c>
      <c r="D537" s="37" t="inlineStr">
        <is>
          <t>Sala 1</t>
        </is>
      </c>
      <c r="E537" s="36" t="inlineStr">
        <is>
          <t>Otávio Nascimento</t>
        </is>
      </c>
      <c r="F537" s="37" t="inlineStr">
        <is>
          <t>Particular</t>
        </is>
      </c>
      <c r="G537" s="37" t="inlineStr">
        <is>
          <t>Consulta</t>
        </is>
      </c>
      <c r="H537" s="37" t="inlineStr">
        <is>
          <t>Realizado</t>
        </is>
      </c>
      <c r="I537" s="37" t="inlineStr">
        <is>
          <t>Cartão de crédito</t>
        </is>
      </c>
      <c r="J537" s="37" t="n">
        <v>2</v>
      </c>
      <c r="K537" s="36" t="n"/>
      <c r="L537" s="44">
        <f>IF(G537="","",IFERROR(INDEX(Config!$K$5:$K$16,MATCH(G537,Config!$J$5:$J$16,0)),""))</f>
        <v>30</v>
      </c>
      <c r="M537" s="30">
        <f>IF(OR(G537="",F537=""),"",IFERROR(INDEX(Config!$M$5:$R$16,MATCH(G537,Config!$J$5:$J$16,0),MATCH(F537,Config!$H$5:$H$10,0)),""))</f>
        <v>380</v>
      </c>
      <c r="N537" s="29">
        <f>IF(A537="","",MONTH(A537))</f>
        <v>8</v>
      </c>
      <c r="O537" s="29">
        <f>IF(A537="","",YEAR(A537))</f>
        <v>2026</v>
      </c>
      <c r="P537" s="29" t="str">
        <f>IF(A537="","",CHOOSE(WEEKDAY(A537,2),"Segunda","Terça","Quarta","Quinta","Sexta","Sábado","Domingo"))</f>
        <v>Terça</v>
      </c>
      <c r="Q537" s="29" t="str">
        <f>IF(B537="","",IF(B537&lt;TIME(12,0,0),"Manhã",IF(B537&lt;TIME(18,0,0),"Tarde","Noite")))</f>
        <v>Manhã</v>
      </c>
      <c r="R537" s="45">
        <f>IF(AND(H537="Realizado",L537&lt;&gt;""),L537/60,0)</f>
        <v>0.5</v>
      </c>
    </row>
    <row r="538">
      <c r="A538" s="42" t="n">
        <v>46259</v>
      </c>
      <c r="B538" s="43" t="n">
        <v>0.3888888888888889</v>
      </c>
      <c r="C538" s="37" t="inlineStr">
        <is>
          <t>Dra. Carolina Mendes</t>
        </is>
      </c>
      <c r="D538" s="37" t="inlineStr">
        <is>
          <t>Sala 1</t>
        </is>
      </c>
      <c r="E538" s="36" t="inlineStr">
        <is>
          <t>Daniel Melo</t>
        </is>
      </c>
      <c r="F538" s="37" t="inlineStr">
        <is>
          <t>Saúde Total</t>
        </is>
      </c>
      <c r="G538" s="37" t="inlineStr">
        <is>
          <t>Consulta</t>
        </is>
      </c>
      <c r="H538" s="37" t="inlineStr">
        <is>
          <t>Realizado</t>
        </is>
      </c>
      <c r="I538" s="37" t="inlineStr">
        <is>
          <t>Convênio</t>
        </is>
      </c>
      <c r="J538" s="37" t="n"/>
      <c r="K538" s="36" t="n"/>
      <c r="L538" s="44">
        <f>IF(G538="","",IFERROR(INDEX(Config!$K$5:$K$16,MATCH(G538,Config!$J$5:$J$16,0)),""))</f>
        <v>30</v>
      </c>
      <c r="M538" s="30">
        <f>IF(OR(G538="",F538=""),"",IFERROR(INDEX(Config!$M$5:$R$16,MATCH(G538,Config!$J$5:$J$16,0),MATCH(F538,Config!$H$5:$H$10,0)),""))</f>
        <v>120</v>
      </c>
      <c r="N538" s="29">
        <f>IF(A538="","",MONTH(A538))</f>
        <v>8</v>
      </c>
      <c r="O538" s="29">
        <f>IF(A538="","",YEAR(A538))</f>
        <v>2026</v>
      </c>
      <c r="P538" s="29" t="str">
        <f>IF(A538="","",CHOOSE(WEEKDAY(A538,2),"Segunda","Terça","Quarta","Quinta","Sexta","Sábado","Domingo"))</f>
        <v>Terça</v>
      </c>
      <c r="Q538" s="29" t="str">
        <f>IF(B538="","",IF(B538&lt;TIME(12,0,0),"Manhã",IF(B538&lt;TIME(18,0,0),"Tarde","Noite")))</f>
        <v>Manhã</v>
      </c>
      <c r="R538" s="45">
        <f>IF(AND(H538="Realizado",L538&lt;&gt;""),L538/60,0)</f>
        <v>0.5</v>
      </c>
    </row>
    <row r="539">
      <c r="A539" s="42" t="n">
        <v>46259</v>
      </c>
      <c r="B539" s="43" t="n">
        <v>0.4097222222222222</v>
      </c>
      <c r="C539" s="37" t="inlineStr">
        <is>
          <t>Dra. Carolina Mendes</t>
        </is>
      </c>
      <c r="D539" s="37" t="inlineStr">
        <is>
          <t>Sala 1</t>
        </is>
      </c>
      <c r="E539" s="36" t="inlineStr">
        <is>
          <t>Priscila Castro</t>
        </is>
      </c>
      <c r="F539" s="37" t="inlineStr">
        <is>
          <t>Saúde Total</t>
        </is>
      </c>
      <c r="G539" s="37" t="inlineStr">
        <is>
          <t>Consulta</t>
        </is>
      </c>
      <c r="H539" s="37" t="inlineStr">
        <is>
          <t>Realizado</t>
        </is>
      </c>
      <c r="I539" s="37" t="inlineStr">
        <is>
          <t>Convênio</t>
        </is>
      </c>
      <c r="J539" s="37" t="n"/>
      <c r="K539" s="36" t="n"/>
      <c r="L539" s="44">
        <f>IF(G539="","",IFERROR(INDEX(Config!$K$5:$K$16,MATCH(G539,Config!$J$5:$J$16,0)),""))</f>
        <v>30</v>
      </c>
      <c r="M539" s="30">
        <f>IF(OR(G539="",F539=""),"",IFERROR(INDEX(Config!$M$5:$R$16,MATCH(G539,Config!$J$5:$J$16,0),MATCH(F539,Config!$H$5:$H$10,0)),""))</f>
        <v>120</v>
      </c>
      <c r="N539" s="29">
        <f>IF(A539="","",MONTH(A539))</f>
        <v>8</v>
      </c>
      <c r="O539" s="29">
        <f>IF(A539="","",YEAR(A539))</f>
        <v>2026</v>
      </c>
      <c r="P539" s="29" t="str">
        <f>IF(A539="","",CHOOSE(WEEKDAY(A539,2),"Segunda","Terça","Quarta","Quinta","Sexta","Sábado","Domingo"))</f>
        <v>Terça</v>
      </c>
      <c r="Q539" s="29" t="str">
        <f>IF(B539="","",IF(B539&lt;TIME(12,0,0),"Manhã",IF(B539&lt;TIME(18,0,0),"Tarde","Noite")))</f>
        <v>Manhã</v>
      </c>
      <c r="R539" s="45">
        <f>IF(AND(H539="Realizado",L539&lt;&gt;""),L539/60,0)</f>
        <v>0.5</v>
      </c>
    </row>
    <row r="540">
      <c r="A540" s="42" t="n">
        <v>46259</v>
      </c>
      <c r="B540" s="43" t="n">
        <v>0.4513888888888889</v>
      </c>
      <c r="C540" s="37" t="inlineStr">
        <is>
          <t>Dra. Carolina Mendes</t>
        </is>
      </c>
      <c r="D540" s="37" t="inlineStr">
        <is>
          <t>Sala 1</t>
        </is>
      </c>
      <c r="E540" s="36" t="inlineStr">
        <is>
          <t>Gustavo Ferreira</t>
        </is>
      </c>
      <c r="F540" s="37" t="inlineStr">
        <is>
          <t>Particular</t>
        </is>
      </c>
      <c r="G540" s="37" t="inlineStr">
        <is>
          <t>Consulta</t>
        </is>
      </c>
      <c r="H540" s="37" t="inlineStr">
        <is>
          <t>Falta</t>
        </is>
      </c>
      <c r="I540" s="37" t="n"/>
      <c r="J540" s="37" t="n"/>
      <c r="K540" s="36" t="n"/>
      <c r="L540" s="44">
        <f>IF(G540="","",IFERROR(INDEX(Config!$K$5:$K$16,MATCH(G540,Config!$J$5:$J$16,0)),""))</f>
        <v>30</v>
      </c>
      <c r="M540" s="30">
        <f>IF(OR(G540="",F540=""),"",IFERROR(INDEX(Config!$M$5:$R$16,MATCH(G540,Config!$J$5:$J$16,0),MATCH(F540,Config!$H$5:$H$10,0)),""))</f>
        <v>380</v>
      </c>
      <c r="N540" s="29">
        <f>IF(A540="","",MONTH(A540))</f>
        <v>8</v>
      </c>
      <c r="O540" s="29">
        <f>IF(A540="","",YEAR(A540))</f>
        <v>2026</v>
      </c>
      <c r="P540" s="29" t="str">
        <f>IF(A540="","",CHOOSE(WEEKDAY(A540,2),"Segunda","Terça","Quarta","Quinta","Sexta","Sábado","Domingo"))</f>
        <v>Terça</v>
      </c>
      <c r="Q540" s="29" t="str">
        <f>IF(B540="","",IF(B540&lt;TIME(12,0,0),"Manhã",IF(B540&lt;TIME(18,0,0),"Tarde","Noite")))</f>
        <v>Manhã</v>
      </c>
      <c r="R540" s="45">
        <f>IF(AND(H540="Realizado",L540&lt;&gt;""),L540/60,0)</f>
        <v>0</v>
      </c>
    </row>
    <row r="541">
      <c r="A541" s="42" t="n">
        <v>46259</v>
      </c>
      <c r="B541" s="43" t="n">
        <v>0.4722222222222222</v>
      </c>
      <c r="C541" s="37" t="inlineStr">
        <is>
          <t>Dra. Carolina Mendes</t>
        </is>
      </c>
      <c r="D541" s="37" t="inlineStr">
        <is>
          <t>Sala 1</t>
        </is>
      </c>
      <c r="E541" s="36" t="inlineStr">
        <is>
          <t>Gustavo Barbosa</t>
        </is>
      </c>
      <c r="F541" s="37" t="inlineStr">
        <is>
          <t>Saúde Total</t>
        </is>
      </c>
      <c r="G541" s="37" t="inlineStr">
        <is>
          <t>Consulta</t>
        </is>
      </c>
      <c r="H541" s="37" t="inlineStr">
        <is>
          <t>Realizado</t>
        </is>
      </c>
      <c r="I541" s="37" t="inlineStr">
        <is>
          <t>Convênio</t>
        </is>
      </c>
      <c r="J541" s="37" t="n"/>
      <c r="K541" s="36" t="n"/>
      <c r="L541" s="44">
        <f>IF(G541="","",IFERROR(INDEX(Config!$K$5:$K$16,MATCH(G541,Config!$J$5:$J$16,0)),""))</f>
        <v>30</v>
      </c>
      <c r="M541" s="30">
        <f>IF(OR(G541="",F541=""),"",IFERROR(INDEX(Config!$M$5:$R$16,MATCH(G541,Config!$J$5:$J$16,0),MATCH(F541,Config!$H$5:$H$10,0)),""))</f>
        <v>120</v>
      </c>
      <c r="N541" s="29">
        <f>IF(A541="","",MONTH(A541))</f>
        <v>8</v>
      </c>
      <c r="O541" s="29">
        <f>IF(A541="","",YEAR(A541))</f>
        <v>2026</v>
      </c>
      <c r="P541" s="29" t="str">
        <f>IF(A541="","",CHOOSE(WEEKDAY(A541,2),"Segunda","Terça","Quarta","Quinta","Sexta","Sábado","Domingo"))</f>
        <v>Terça</v>
      </c>
      <c r="Q541" s="29" t="str">
        <f>IF(B541="","",IF(B541&lt;TIME(12,0,0),"Manhã",IF(B541&lt;TIME(18,0,0),"Tarde","Noite")))</f>
        <v>Manhã</v>
      </c>
      <c r="R541" s="45">
        <f>IF(AND(H541="Realizado",L541&lt;&gt;""),L541/60,0)</f>
        <v>0.5</v>
      </c>
    </row>
    <row r="542">
      <c r="A542" s="42" t="n">
        <v>46259</v>
      </c>
      <c r="B542" s="43" t="n">
        <v>0.5833333333333334</v>
      </c>
      <c r="C542" s="37" t="inlineStr">
        <is>
          <t>Dra. Renata Sousa</t>
        </is>
      </c>
      <c r="D542" s="37" t="inlineStr">
        <is>
          <t>Sala 1</t>
        </is>
      </c>
      <c r="E542" s="36" t="inlineStr">
        <is>
          <t>Mônica Almeida</t>
        </is>
      </c>
      <c r="F542" s="37" t="inlineStr">
        <is>
          <t>Particular</t>
        </is>
      </c>
      <c r="G542" s="37" t="inlineStr">
        <is>
          <t>Avaliação endócrina</t>
        </is>
      </c>
      <c r="H542" s="37" t="inlineStr">
        <is>
          <t>Realizado</t>
        </is>
      </c>
      <c r="I542" s="37" t="inlineStr">
        <is>
          <t>Cartão de crédito</t>
        </is>
      </c>
      <c r="J542" s="37" t="n">
        <v>2</v>
      </c>
      <c r="K542" s="36" t="n"/>
      <c r="L542" s="44">
        <f>IF(G542="","",IFERROR(INDEX(Config!$K$5:$K$16,MATCH(G542,Config!$J$5:$J$16,0)),""))</f>
        <v>40</v>
      </c>
      <c r="M542" s="30">
        <f>IF(OR(G542="",F542=""),"",IFERROR(INDEX(Config!$M$5:$R$16,MATCH(G542,Config!$J$5:$J$16,0),MATCH(F542,Config!$H$5:$H$10,0)),""))</f>
        <v>400</v>
      </c>
      <c r="N542" s="29">
        <f>IF(A542="","",MONTH(A542))</f>
        <v>8</v>
      </c>
      <c r="O542" s="29">
        <f>IF(A542="","",YEAR(A542))</f>
        <v>2026</v>
      </c>
      <c r="P542" s="29" t="str">
        <f>IF(A542="","",CHOOSE(WEEKDAY(A542,2),"Segunda","Terça","Quarta","Quinta","Sexta","Sábado","Domingo"))</f>
        <v>Terça</v>
      </c>
      <c r="Q542" s="29" t="str">
        <f>IF(B542="","",IF(B542&lt;TIME(12,0,0),"Manhã",IF(B542&lt;TIME(18,0,0),"Tarde","Noite")))</f>
        <v>Tarde</v>
      </c>
      <c r="R542" s="45">
        <f>IF(AND(H542="Realizado",L542&lt;&gt;""),L542/60,0)</f>
        <v>0.666666666666667</v>
      </c>
    </row>
    <row r="543">
      <c r="A543" s="42" t="n">
        <v>46259</v>
      </c>
      <c r="B543" s="43" t="n">
        <v>0.5833333333333334</v>
      </c>
      <c r="C543" s="37" t="inlineStr">
        <is>
          <t>Dr. Paulo Andrade</t>
        </is>
      </c>
      <c r="D543" s="37" t="inlineStr">
        <is>
          <t>Sala 2</t>
        </is>
      </c>
      <c r="E543" s="36" t="inlineStr">
        <is>
          <t>Lucas Cardoso</t>
        </is>
      </c>
      <c r="F543" s="37" t="inlineStr">
        <is>
          <t>Particular</t>
        </is>
      </c>
      <c r="G543" s="37" t="inlineStr">
        <is>
          <t>Consulta</t>
        </is>
      </c>
      <c r="H543" s="37" t="inlineStr">
        <is>
          <t>Realizado</t>
        </is>
      </c>
      <c r="I543" s="37" t="inlineStr">
        <is>
          <t>Pix</t>
        </is>
      </c>
      <c r="J543" s="37" t="n"/>
      <c r="K543" s="36" t="n"/>
      <c r="L543" s="44">
        <f>IF(G543="","",IFERROR(INDEX(Config!$K$5:$K$16,MATCH(G543,Config!$J$5:$J$16,0)),""))</f>
        <v>30</v>
      </c>
      <c r="M543" s="30">
        <f>IF(OR(G543="",F543=""),"",IFERROR(INDEX(Config!$M$5:$R$16,MATCH(G543,Config!$J$5:$J$16,0),MATCH(F543,Config!$H$5:$H$10,0)),""))</f>
        <v>380</v>
      </c>
      <c r="N543" s="29">
        <f>IF(A543="","",MONTH(A543))</f>
        <v>8</v>
      </c>
      <c r="O543" s="29">
        <f>IF(A543="","",YEAR(A543))</f>
        <v>2026</v>
      </c>
      <c r="P543" s="29" t="str">
        <f>IF(A543="","",CHOOSE(WEEKDAY(A543,2),"Segunda","Terça","Quarta","Quinta","Sexta","Sábado","Domingo"))</f>
        <v>Terça</v>
      </c>
      <c r="Q543" s="29" t="str">
        <f>IF(B543="","",IF(B543&lt;TIME(12,0,0),"Manhã",IF(B543&lt;TIME(18,0,0),"Tarde","Noite")))</f>
        <v>Tarde</v>
      </c>
      <c r="R543" s="45">
        <f>IF(AND(H543="Realizado",L543&lt;&gt;""),L543/60,0)</f>
        <v>0.5</v>
      </c>
    </row>
    <row r="544">
      <c r="A544" s="42" t="n">
        <v>46259</v>
      </c>
      <c r="B544" s="43" t="n">
        <v>0.6041666666666666</v>
      </c>
      <c r="C544" s="37" t="inlineStr">
        <is>
          <t>Dr. Paulo Andrade</t>
        </is>
      </c>
      <c r="D544" s="37" t="inlineStr">
        <is>
          <t>Sala 2</t>
        </is>
      </c>
      <c r="E544" s="36" t="inlineStr">
        <is>
          <t>Roberta Araújo</t>
        </is>
      </c>
      <c r="F544" s="37" t="inlineStr">
        <is>
          <t>Particular</t>
        </is>
      </c>
      <c r="G544" s="37" t="inlineStr">
        <is>
          <t>Holter</t>
        </is>
      </c>
      <c r="H544" s="37" t="inlineStr">
        <is>
          <t>Realizado</t>
        </is>
      </c>
      <c r="I544" s="37" t="inlineStr">
        <is>
          <t>Cartão de crédito</t>
        </is>
      </c>
      <c r="J544" s="37" t="n"/>
      <c r="K544" s="36" t="n"/>
      <c r="L544" s="44">
        <f>IF(G544="","",IFERROR(INDEX(Config!$K$5:$K$16,MATCH(G544,Config!$J$5:$J$16,0)),""))</f>
        <v>20</v>
      </c>
      <c r="M544" s="30">
        <f>IF(OR(G544="",F544=""),"",IFERROR(INDEX(Config!$M$5:$R$16,MATCH(G544,Config!$J$5:$J$16,0),MATCH(F544,Config!$H$5:$H$10,0)),""))</f>
        <v>350</v>
      </c>
      <c r="N544" s="29">
        <f>IF(A544="","",MONTH(A544))</f>
        <v>8</v>
      </c>
      <c r="O544" s="29">
        <f>IF(A544="","",YEAR(A544))</f>
        <v>2026</v>
      </c>
      <c r="P544" s="29" t="str">
        <f>IF(A544="","",CHOOSE(WEEKDAY(A544,2),"Segunda","Terça","Quarta","Quinta","Sexta","Sábado","Domingo"))</f>
        <v>Terça</v>
      </c>
      <c r="Q544" s="29" t="str">
        <f>IF(B544="","",IF(B544&lt;TIME(12,0,0),"Manhã",IF(B544&lt;TIME(18,0,0),"Tarde","Noite")))</f>
        <v>Tarde</v>
      </c>
      <c r="R544" s="45">
        <f>IF(AND(H544="Realizado",L544&lt;&gt;""),L544/60,0)</f>
        <v>0.333333333333333</v>
      </c>
    </row>
    <row r="545">
      <c r="A545" s="42" t="n">
        <v>46259</v>
      </c>
      <c r="B545" s="43" t="n">
        <v>0.6111111111111112</v>
      </c>
      <c r="C545" s="37" t="inlineStr">
        <is>
          <t>Dra. Renata Sousa</t>
        </is>
      </c>
      <c r="D545" s="37" t="inlineStr">
        <is>
          <t>Sala 1</t>
        </is>
      </c>
      <c r="E545" s="36" t="inlineStr">
        <is>
          <t>Beatriz Monteiro</t>
        </is>
      </c>
      <c r="F545" s="37" t="inlineStr">
        <is>
          <t>Particular</t>
        </is>
      </c>
      <c r="G545" s="37" t="inlineStr">
        <is>
          <t>Retorno</t>
        </is>
      </c>
      <c r="H545" s="37" t="inlineStr">
        <is>
          <t>Realizado</t>
        </is>
      </c>
      <c r="I545" s="37" t="inlineStr">
        <is>
          <t>Sem cobrança</t>
        </is>
      </c>
      <c r="J545" s="37" t="n"/>
      <c r="K545" s="36" t="n"/>
      <c r="L545" s="44">
        <f>IF(G545="","",IFERROR(INDEX(Config!$K$5:$K$16,MATCH(G545,Config!$J$5:$J$16,0)),""))</f>
        <v>20</v>
      </c>
      <c r="M545" s="30">
        <f>IF(OR(G545="",F545=""),"",IFERROR(INDEX(Config!$M$5:$R$16,MATCH(G545,Config!$J$5:$J$16,0),MATCH(F545,Config!$H$5:$H$10,0)),""))</f>
        <v>0</v>
      </c>
      <c r="N545" s="29">
        <f>IF(A545="","",MONTH(A545))</f>
        <v>8</v>
      </c>
      <c r="O545" s="29">
        <f>IF(A545="","",YEAR(A545))</f>
        <v>2026</v>
      </c>
      <c r="P545" s="29" t="str">
        <f>IF(A545="","",CHOOSE(WEEKDAY(A545,2),"Segunda","Terça","Quarta","Quinta","Sexta","Sábado","Domingo"))</f>
        <v>Terça</v>
      </c>
      <c r="Q545" s="29" t="str">
        <f>IF(B545="","",IF(B545&lt;TIME(12,0,0),"Manhã",IF(B545&lt;TIME(18,0,0),"Tarde","Noite")))</f>
        <v>Tarde</v>
      </c>
      <c r="R545" s="45">
        <f>IF(AND(H545="Realizado",L545&lt;&gt;""),L545/60,0)</f>
        <v>0.333333333333333</v>
      </c>
    </row>
    <row r="546">
      <c r="A546" s="42" t="n">
        <v>46259</v>
      </c>
      <c r="B546" s="43" t="n">
        <v>0.625</v>
      </c>
      <c r="C546" s="37" t="inlineStr">
        <is>
          <t>Dra. Renata Sousa</t>
        </is>
      </c>
      <c r="D546" s="37" t="inlineStr">
        <is>
          <t>Sala 1</t>
        </is>
      </c>
      <c r="E546" s="36" t="inlineStr">
        <is>
          <t>Rafael Pereira</t>
        </is>
      </c>
      <c r="F546" s="37" t="inlineStr">
        <is>
          <t>Particular</t>
        </is>
      </c>
      <c r="G546" s="37" t="inlineStr">
        <is>
          <t>Avaliação endócrina</t>
        </is>
      </c>
      <c r="H546" s="37" t="inlineStr">
        <is>
          <t>Realizado</t>
        </is>
      </c>
      <c r="I546" s="37" t="inlineStr">
        <is>
          <t>Dinheiro</t>
        </is>
      </c>
      <c r="J546" s="37" t="n"/>
      <c r="K546" s="36" t="n"/>
      <c r="L546" s="44">
        <f>IF(G546="","",IFERROR(INDEX(Config!$K$5:$K$16,MATCH(G546,Config!$J$5:$J$16,0)),""))</f>
        <v>40</v>
      </c>
      <c r="M546" s="30">
        <f>IF(OR(G546="",F546=""),"",IFERROR(INDEX(Config!$M$5:$R$16,MATCH(G546,Config!$J$5:$J$16,0),MATCH(F546,Config!$H$5:$H$10,0)),""))</f>
        <v>400</v>
      </c>
      <c r="N546" s="29">
        <f>IF(A546="","",MONTH(A546))</f>
        <v>8</v>
      </c>
      <c r="O546" s="29">
        <f>IF(A546="","",YEAR(A546))</f>
        <v>2026</v>
      </c>
      <c r="P546" s="29" t="str">
        <f>IF(A546="","",CHOOSE(WEEKDAY(A546,2),"Segunda","Terça","Quarta","Quinta","Sexta","Sábado","Domingo"))</f>
        <v>Terça</v>
      </c>
      <c r="Q546" s="29" t="str">
        <f>IF(B546="","",IF(B546&lt;TIME(12,0,0),"Manhã",IF(B546&lt;TIME(18,0,0),"Tarde","Noite")))</f>
        <v>Tarde</v>
      </c>
      <c r="R546" s="45">
        <f>IF(AND(H546="Realizado",L546&lt;&gt;""),L546/60,0)</f>
        <v>0.666666666666667</v>
      </c>
    </row>
    <row r="547">
      <c r="A547" s="42" t="n">
        <v>46259</v>
      </c>
      <c r="B547" s="43" t="n">
        <v>0.6388888888888888</v>
      </c>
      <c r="C547" s="37" t="inlineStr">
        <is>
          <t>Dr. Paulo Andrade</t>
        </is>
      </c>
      <c r="D547" s="37" t="inlineStr">
        <is>
          <t>Sala 2</t>
        </is>
      </c>
      <c r="E547" s="36" t="inlineStr">
        <is>
          <t>Rafael Barros</t>
        </is>
      </c>
      <c r="F547" s="37" t="inlineStr">
        <is>
          <t>Particular</t>
        </is>
      </c>
      <c r="G547" s="37" t="inlineStr">
        <is>
          <t>Consulta</t>
        </is>
      </c>
      <c r="H547" s="37" t="inlineStr">
        <is>
          <t>Realizado</t>
        </is>
      </c>
      <c r="I547" s="37" t="inlineStr">
        <is>
          <t>Cartão de crédito</t>
        </is>
      </c>
      <c r="J547" s="37" t="n">
        <v>2</v>
      </c>
      <c r="K547" s="36" t="n"/>
      <c r="L547" s="44">
        <f>IF(G547="","",IFERROR(INDEX(Config!$K$5:$K$16,MATCH(G547,Config!$J$5:$J$16,0)),""))</f>
        <v>30</v>
      </c>
      <c r="M547" s="30">
        <f>IF(OR(G547="",F547=""),"",IFERROR(INDEX(Config!$M$5:$R$16,MATCH(G547,Config!$J$5:$J$16,0),MATCH(F547,Config!$H$5:$H$10,0)),""))</f>
        <v>380</v>
      </c>
      <c r="N547" s="29">
        <f>IF(A547="","",MONTH(A547))</f>
        <v>8</v>
      </c>
      <c r="O547" s="29">
        <f>IF(A547="","",YEAR(A547))</f>
        <v>2026</v>
      </c>
      <c r="P547" s="29" t="str">
        <f>IF(A547="","",CHOOSE(WEEKDAY(A547,2),"Segunda","Terça","Quarta","Quinta","Sexta","Sábado","Domingo"))</f>
        <v>Terça</v>
      </c>
      <c r="Q547" s="29" t="str">
        <f>IF(B547="","",IF(B547&lt;TIME(12,0,0),"Manhã",IF(B547&lt;TIME(18,0,0),"Tarde","Noite")))</f>
        <v>Tarde</v>
      </c>
      <c r="R547" s="45">
        <f>IF(AND(H547="Realizado",L547&lt;&gt;""),L547/60,0)</f>
        <v>0.5</v>
      </c>
    </row>
    <row r="548">
      <c r="A548" s="42" t="n">
        <v>46259</v>
      </c>
      <c r="B548" s="43" t="n">
        <v>0.6527777777777778</v>
      </c>
      <c r="C548" s="37" t="inlineStr">
        <is>
          <t>Dra. Renata Sousa</t>
        </is>
      </c>
      <c r="D548" s="37" t="inlineStr">
        <is>
          <t>Sala 1</t>
        </is>
      </c>
      <c r="E548" s="36" t="inlineStr">
        <is>
          <t>Carlos Gomes</t>
        </is>
      </c>
      <c r="F548" s="37" t="inlineStr">
        <is>
          <t>Saúde Total</t>
        </is>
      </c>
      <c r="G548" s="37" t="inlineStr">
        <is>
          <t>Avaliação endócrina</t>
        </is>
      </c>
      <c r="H548" s="37" t="inlineStr">
        <is>
          <t>Realizado</t>
        </is>
      </c>
      <c r="I548" s="37" t="inlineStr">
        <is>
          <t>Convênio</t>
        </is>
      </c>
      <c r="J548" s="37" t="n"/>
      <c r="K548" s="36" t="n"/>
      <c r="L548" s="44">
        <f>IF(G548="","",IFERROR(INDEX(Config!$K$5:$K$16,MATCH(G548,Config!$J$5:$J$16,0)),""))</f>
        <v>40</v>
      </c>
      <c r="M548" s="30">
        <f>IF(OR(G548="",F548=""),"",IFERROR(INDEX(Config!$M$5:$R$16,MATCH(G548,Config!$J$5:$J$16,0),MATCH(F548,Config!$H$5:$H$10,0)),""))</f>
        <v>130</v>
      </c>
      <c r="N548" s="29">
        <f>IF(A548="","",MONTH(A548))</f>
        <v>8</v>
      </c>
      <c r="O548" s="29">
        <f>IF(A548="","",YEAR(A548))</f>
        <v>2026</v>
      </c>
      <c r="P548" s="29" t="str">
        <f>IF(A548="","",CHOOSE(WEEKDAY(A548,2),"Segunda","Terça","Quarta","Quinta","Sexta","Sábado","Domingo"))</f>
        <v>Terça</v>
      </c>
      <c r="Q548" s="29" t="str">
        <f>IF(B548="","",IF(B548&lt;TIME(12,0,0),"Manhã",IF(B548&lt;TIME(18,0,0),"Tarde","Noite")))</f>
        <v>Tarde</v>
      </c>
      <c r="R548" s="45">
        <f>IF(AND(H548="Realizado",L548&lt;&gt;""),L548/60,0)</f>
        <v>0.666666666666667</v>
      </c>
    </row>
    <row r="549">
      <c r="A549" s="42" t="n">
        <v>46259</v>
      </c>
      <c r="B549" s="43" t="n">
        <v>0.6597222222222222</v>
      </c>
      <c r="C549" s="37" t="inlineStr">
        <is>
          <t>Dr. Paulo Andrade</t>
        </is>
      </c>
      <c r="D549" s="37" t="inlineStr">
        <is>
          <t>Sala 2</t>
        </is>
      </c>
      <c r="E549" s="36" t="inlineStr">
        <is>
          <t>Natália Xavier</t>
        </is>
      </c>
      <c r="F549" s="37" t="inlineStr">
        <is>
          <t>MediPlan</t>
        </is>
      </c>
      <c r="G549" s="37" t="inlineStr">
        <is>
          <t>Consulta</t>
        </is>
      </c>
      <c r="H549" s="37" t="inlineStr">
        <is>
          <t>Realizado</t>
        </is>
      </c>
      <c r="I549" s="37" t="inlineStr">
        <is>
          <t>Convênio</t>
        </is>
      </c>
      <c r="J549" s="37" t="n"/>
      <c r="K549" s="36" t="n"/>
      <c r="L549" s="44">
        <f>IF(G549="","",IFERROR(INDEX(Config!$K$5:$K$16,MATCH(G549,Config!$J$5:$J$16,0)),""))</f>
        <v>30</v>
      </c>
      <c r="M549" s="30">
        <f>IF(OR(G549="",F549=""),"",IFERROR(INDEX(Config!$M$5:$R$16,MATCH(G549,Config!$J$5:$J$16,0),MATCH(F549,Config!$H$5:$H$10,0)),""))</f>
        <v>100</v>
      </c>
      <c r="N549" s="29">
        <f>IF(A549="","",MONTH(A549))</f>
        <v>8</v>
      </c>
      <c r="O549" s="29">
        <f>IF(A549="","",YEAR(A549))</f>
        <v>2026</v>
      </c>
      <c r="P549" s="29" t="str">
        <f>IF(A549="","",CHOOSE(WEEKDAY(A549,2),"Segunda","Terça","Quarta","Quinta","Sexta","Sábado","Domingo"))</f>
        <v>Terça</v>
      </c>
      <c r="Q549" s="29" t="str">
        <f>IF(B549="","",IF(B549&lt;TIME(12,0,0),"Manhã",IF(B549&lt;TIME(18,0,0),"Tarde","Noite")))</f>
        <v>Tarde</v>
      </c>
      <c r="R549" s="45">
        <f>IF(AND(H549="Realizado",L549&lt;&gt;""),L549/60,0)</f>
        <v>0.5</v>
      </c>
    </row>
    <row r="550">
      <c r="A550" s="42" t="n">
        <v>46259</v>
      </c>
      <c r="B550" s="43" t="n">
        <v>0.6805555555555556</v>
      </c>
      <c r="C550" s="37" t="inlineStr">
        <is>
          <t>Dra. Renata Sousa</t>
        </is>
      </c>
      <c r="D550" s="37" t="inlineStr">
        <is>
          <t>Sala 1</t>
        </is>
      </c>
      <c r="E550" s="36" t="inlineStr">
        <is>
          <t>Gabriel Lopes</t>
        </is>
      </c>
      <c r="F550" s="37" t="inlineStr">
        <is>
          <t>Saúde Total</t>
        </is>
      </c>
      <c r="G550" s="37" t="inlineStr">
        <is>
          <t>Avaliação endócrina</t>
        </is>
      </c>
      <c r="H550" s="37" t="inlineStr">
        <is>
          <t>Realizado</t>
        </is>
      </c>
      <c r="I550" s="37" t="inlineStr">
        <is>
          <t>Convênio</t>
        </is>
      </c>
      <c r="J550" s="37" t="n"/>
      <c r="K550" s="36" t="n"/>
      <c r="L550" s="44">
        <f>IF(G550="","",IFERROR(INDEX(Config!$K$5:$K$16,MATCH(G550,Config!$J$5:$J$16,0)),""))</f>
        <v>40</v>
      </c>
      <c r="M550" s="30">
        <f>IF(OR(G550="",F550=""),"",IFERROR(INDEX(Config!$M$5:$R$16,MATCH(G550,Config!$J$5:$J$16,0),MATCH(F550,Config!$H$5:$H$10,0)),""))</f>
        <v>130</v>
      </c>
      <c r="N550" s="29">
        <f>IF(A550="","",MONTH(A550))</f>
        <v>8</v>
      </c>
      <c r="O550" s="29">
        <f>IF(A550="","",YEAR(A550))</f>
        <v>2026</v>
      </c>
      <c r="P550" s="29" t="str">
        <f>IF(A550="","",CHOOSE(WEEKDAY(A550,2),"Segunda","Terça","Quarta","Quinta","Sexta","Sábado","Domingo"))</f>
        <v>Terça</v>
      </c>
      <c r="Q550" s="29" t="str">
        <f>IF(B550="","",IF(B550&lt;TIME(12,0,0),"Manhã",IF(B550&lt;TIME(18,0,0),"Tarde","Noite")))</f>
        <v>Tarde</v>
      </c>
      <c r="R550" s="45">
        <f>IF(AND(H550="Realizado",L550&lt;&gt;""),L550/60,0)</f>
        <v>0.666666666666667</v>
      </c>
    </row>
    <row r="551">
      <c r="A551" s="42" t="n">
        <v>46259</v>
      </c>
      <c r="B551" s="43" t="n">
        <v>0.6805555555555556</v>
      </c>
      <c r="C551" s="37" t="inlineStr">
        <is>
          <t>Dr. Paulo Andrade</t>
        </is>
      </c>
      <c r="D551" s="37" t="inlineStr">
        <is>
          <t>Sala 2</t>
        </is>
      </c>
      <c r="E551" s="36" t="inlineStr">
        <is>
          <t>Camila Martins</t>
        </is>
      </c>
      <c r="F551" s="37" t="inlineStr">
        <is>
          <t>Vida Care</t>
        </is>
      </c>
      <c r="G551" s="37" t="inlineStr">
        <is>
          <t>Consulta</t>
        </is>
      </c>
      <c r="H551" s="37" t="inlineStr">
        <is>
          <t>Realizado</t>
        </is>
      </c>
      <c r="I551" s="37" t="inlineStr">
        <is>
          <t>Convênio</t>
        </is>
      </c>
      <c r="J551" s="37" t="n"/>
      <c r="K551" s="36" t="n"/>
      <c r="L551" s="44">
        <f>IF(G551="","",IFERROR(INDEX(Config!$K$5:$K$16,MATCH(G551,Config!$J$5:$J$16,0)),""))</f>
        <v>30</v>
      </c>
      <c r="M551" s="30">
        <f>IF(OR(G551="",F551=""),"",IFERROR(INDEX(Config!$M$5:$R$16,MATCH(G551,Config!$J$5:$J$16,0),MATCH(F551,Config!$H$5:$H$10,0)),""))</f>
        <v>90</v>
      </c>
      <c r="N551" s="29">
        <f>IF(A551="","",MONTH(A551))</f>
        <v>8</v>
      </c>
      <c r="O551" s="29">
        <f>IF(A551="","",YEAR(A551))</f>
        <v>2026</v>
      </c>
      <c r="P551" s="29" t="str">
        <f>IF(A551="","",CHOOSE(WEEKDAY(A551,2),"Segunda","Terça","Quarta","Quinta","Sexta","Sábado","Domingo"))</f>
        <v>Terça</v>
      </c>
      <c r="Q551" s="29" t="str">
        <f>IF(B551="","",IF(B551&lt;TIME(12,0,0),"Manhã",IF(B551&lt;TIME(18,0,0),"Tarde","Noite")))</f>
        <v>Tarde</v>
      </c>
      <c r="R551" s="45">
        <f>IF(AND(H551="Realizado",L551&lt;&gt;""),L551/60,0)</f>
        <v>0.5</v>
      </c>
    </row>
    <row r="552">
      <c r="A552" s="42" t="n">
        <v>46259</v>
      </c>
      <c r="B552" s="43" t="n">
        <v>0.7013888888888888</v>
      </c>
      <c r="C552" s="37" t="inlineStr">
        <is>
          <t>Dr. Paulo Andrade</t>
        </is>
      </c>
      <c r="D552" s="37" t="inlineStr">
        <is>
          <t>Sala 2</t>
        </is>
      </c>
      <c r="E552" s="36" t="inlineStr">
        <is>
          <t>Simone Monteiro</t>
        </is>
      </c>
      <c r="F552" s="37" t="inlineStr">
        <is>
          <t>Vida Care</t>
        </is>
      </c>
      <c r="G552" s="37" t="inlineStr">
        <is>
          <t>ECG</t>
        </is>
      </c>
      <c r="H552" s="37" t="inlineStr">
        <is>
          <t>Realizado</t>
        </is>
      </c>
      <c r="I552" s="37" t="inlineStr">
        <is>
          <t>Convênio</t>
        </is>
      </c>
      <c r="J552" s="37" t="n"/>
      <c r="K552" s="36" t="n"/>
      <c r="L552" s="44">
        <f>IF(G552="","",IFERROR(INDEX(Config!$K$5:$K$16,MATCH(G552,Config!$J$5:$J$16,0)),""))</f>
        <v>20</v>
      </c>
      <c r="M552" s="30">
        <f>IF(OR(G552="",F552=""),"",IFERROR(INDEX(Config!$M$5:$R$16,MATCH(G552,Config!$J$5:$J$16,0),MATCH(F552,Config!$H$5:$H$10,0)),""))</f>
        <v>32</v>
      </c>
      <c r="N552" s="29">
        <f>IF(A552="","",MONTH(A552))</f>
        <v>8</v>
      </c>
      <c r="O552" s="29">
        <f>IF(A552="","",YEAR(A552))</f>
        <v>2026</v>
      </c>
      <c r="P552" s="29" t="str">
        <f>IF(A552="","",CHOOSE(WEEKDAY(A552,2),"Segunda","Terça","Quarta","Quinta","Sexta","Sábado","Domingo"))</f>
        <v>Terça</v>
      </c>
      <c r="Q552" s="29" t="str">
        <f>IF(B552="","",IF(B552&lt;TIME(12,0,0),"Manhã",IF(B552&lt;TIME(18,0,0),"Tarde","Noite")))</f>
        <v>Tarde</v>
      </c>
      <c r="R552" s="45">
        <f>IF(AND(H552="Realizado",L552&lt;&gt;""),L552/60,0)</f>
        <v>0.333333333333333</v>
      </c>
    </row>
    <row r="553">
      <c r="A553" s="42" t="n">
        <v>46259</v>
      </c>
      <c r="B553" s="43" t="n">
        <v>0.7083333333333334</v>
      </c>
      <c r="C553" s="37" t="inlineStr">
        <is>
          <t>Dra. Renata Sousa</t>
        </is>
      </c>
      <c r="D553" s="37" t="inlineStr">
        <is>
          <t>Sala 1</t>
        </is>
      </c>
      <c r="E553" s="36" t="inlineStr">
        <is>
          <t>Cláudia Melo</t>
        </is>
      </c>
      <c r="F553" s="37" t="inlineStr">
        <is>
          <t>Particular</t>
        </is>
      </c>
      <c r="G553" s="37" t="inlineStr">
        <is>
          <t>Avaliação endócrina</t>
        </is>
      </c>
      <c r="H553" s="37" t="inlineStr">
        <is>
          <t>Realizado</t>
        </is>
      </c>
      <c r="I553" s="37" t="inlineStr">
        <is>
          <t>Cartão de débito</t>
        </is>
      </c>
      <c r="J553" s="37" t="n"/>
      <c r="K553" s="36" t="n"/>
      <c r="L553" s="44">
        <f>IF(G553="","",IFERROR(INDEX(Config!$K$5:$K$16,MATCH(G553,Config!$J$5:$J$16,0)),""))</f>
        <v>40</v>
      </c>
      <c r="M553" s="30">
        <f>IF(OR(G553="",F553=""),"",IFERROR(INDEX(Config!$M$5:$R$16,MATCH(G553,Config!$J$5:$J$16,0),MATCH(F553,Config!$H$5:$H$10,0)),""))</f>
        <v>400</v>
      </c>
      <c r="N553" s="29">
        <f>IF(A553="","",MONTH(A553))</f>
        <v>8</v>
      </c>
      <c r="O553" s="29">
        <f>IF(A553="","",YEAR(A553))</f>
        <v>2026</v>
      </c>
      <c r="P553" s="29" t="str">
        <f>IF(A553="","",CHOOSE(WEEKDAY(A553,2),"Segunda","Terça","Quarta","Quinta","Sexta","Sábado","Domingo"))</f>
        <v>Terça</v>
      </c>
      <c r="Q553" s="29" t="str">
        <f>IF(B553="","",IF(B553&lt;TIME(12,0,0),"Manhã",IF(B553&lt;TIME(18,0,0),"Tarde","Noite")))</f>
        <v>Tarde</v>
      </c>
      <c r="R553" s="45">
        <f>IF(AND(H553="Realizado",L553&lt;&gt;""),L553/60,0)</f>
        <v>0.666666666666667</v>
      </c>
    </row>
    <row r="554">
      <c r="A554" s="42" t="n">
        <v>46259</v>
      </c>
      <c r="B554" s="43" t="n">
        <v>0.7152777777777778</v>
      </c>
      <c r="C554" s="37" t="inlineStr">
        <is>
          <t>Dr. Paulo Andrade</t>
        </is>
      </c>
      <c r="D554" s="37" t="inlineStr">
        <is>
          <t>Sala 2</t>
        </is>
      </c>
      <c r="E554" s="36" t="inlineStr">
        <is>
          <t>Paulo Reis</t>
        </is>
      </c>
      <c r="F554" s="37" t="inlineStr">
        <is>
          <t>Particular</t>
        </is>
      </c>
      <c r="G554" s="37" t="inlineStr">
        <is>
          <t>Holter</t>
        </is>
      </c>
      <c r="H554" s="37" t="inlineStr">
        <is>
          <t>Realizado</t>
        </is>
      </c>
      <c r="I554" s="37" t="inlineStr">
        <is>
          <t>Cartão de crédito</t>
        </is>
      </c>
      <c r="J554" s="37" t="n">
        <v>2</v>
      </c>
      <c r="K554" s="36" t="n"/>
      <c r="L554" s="44">
        <f>IF(G554="","",IFERROR(INDEX(Config!$K$5:$K$16,MATCH(G554,Config!$J$5:$J$16,0)),""))</f>
        <v>20</v>
      </c>
      <c r="M554" s="30">
        <f>IF(OR(G554="",F554=""),"",IFERROR(INDEX(Config!$M$5:$R$16,MATCH(G554,Config!$J$5:$J$16,0),MATCH(F554,Config!$H$5:$H$10,0)),""))</f>
        <v>350</v>
      </c>
      <c r="N554" s="29">
        <f>IF(A554="","",MONTH(A554))</f>
        <v>8</v>
      </c>
      <c r="O554" s="29">
        <f>IF(A554="","",YEAR(A554))</f>
        <v>2026</v>
      </c>
      <c r="P554" s="29" t="str">
        <f>IF(A554="","",CHOOSE(WEEKDAY(A554,2),"Segunda","Terça","Quarta","Quinta","Sexta","Sábado","Domingo"))</f>
        <v>Terça</v>
      </c>
      <c r="Q554" s="29" t="str">
        <f>IF(B554="","",IF(B554&lt;TIME(12,0,0),"Manhã",IF(B554&lt;TIME(18,0,0),"Tarde","Noite")))</f>
        <v>Tarde</v>
      </c>
      <c r="R554" s="45">
        <f>IF(AND(H554="Realizado",L554&lt;&gt;""),L554/60,0)</f>
        <v>0.333333333333333</v>
      </c>
    </row>
    <row r="555">
      <c r="A555" s="42" t="n">
        <v>46260</v>
      </c>
      <c r="B555" s="43" t="n">
        <v>0.5833333333333334</v>
      </c>
      <c r="C555" s="37" t="inlineStr">
        <is>
          <t>Dra. Carolina Mendes</t>
        </is>
      </c>
      <c r="D555" s="37" t="inlineStr">
        <is>
          <t>Sala 1</t>
        </is>
      </c>
      <c r="E555" s="36" t="inlineStr">
        <is>
          <t>Helena Moreira</t>
        </is>
      </c>
      <c r="F555" s="37" t="inlineStr">
        <is>
          <t>Particular</t>
        </is>
      </c>
      <c r="G555" s="37" t="inlineStr">
        <is>
          <t>Consulta</t>
        </is>
      </c>
      <c r="H555" s="37" t="inlineStr">
        <is>
          <t>Realizado</t>
        </is>
      </c>
      <c r="I555" s="37" t="inlineStr">
        <is>
          <t>Cartão de débito</t>
        </is>
      </c>
      <c r="J555" s="37" t="n"/>
      <c r="K555" s="36" t="n"/>
      <c r="L555" s="44">
        <f>IF(G555="","",IFERROR(INDEX(Config!$K$5:$K$16,MATCH(G555,Config!$J$5:$J$16,0)),""))</f>
        <v>30</v>
      </c>
      <c r="M555" s="30">
        <f>IF(OR(G555="",F555=""),"",IFERROR(INDEX(Config!$M$5:$R$16,MATCH(G555,Config!$J$5:$J$16,0),MATCH(F555,Config!$H$5:$H$10,0)),""))</f>
        <v>380</v>
      </c>
      <c r="N555" s="29">
        <f>IF(A555="","",MONTH(A555))</f>
        <v>8</v>
      </c>
      <c r="O555" s="29">
        <f>IF(A555="","",YEAR(A555))</f>
        <v>2026</v>
      </c>
      <c r="P555" s="29" t="str">
        <f>IF(A555="","",CHOOSE(WEEKDAY(A555,2),"Segunda","Terça","Quarta","Quinta","Sexta","Sábado","Domingo"))</f>
        <v>Quarta</v>
      </c>
      <c r="Q555" s="29" t="str">
        <f>IF(B555="","",IF(B555&lt;TIME(12,0,0),"Manhã",IF(B555&lt;TIME(18,0,0),"Tarde","Noite")))</f>
        <v>Tarde</v>
      </c>
      <c r="R555" s="45">
        <f>IF(AND(H555="Realizado",L555&lt;&gt;""),L555/60,0)</f>
        <v>0.5</v>
      </c>
    </row>
    <row r="556">
      <c r="A556" s="42" t="n">
        <v>46260</v>
      </c>
      <c r="B556" s="43" t="n">
        <v>0.6041666666666666</v>
      </c>
      <c r="C556" s="37" t="inlineStr">
        <is>
          <t>Dra. Carolina Mendes</t>
        </is>
      </c>
      <c r="D556" s="37" t="inlineStr">
        <is>
          <t>Sala 1</t>
        </is>
      </c>
      <c r="E556" s="36" t="inlineStr">
        <is>
          <t>Priscila Nunes</t>
        </is>
      </c>
      <c r="F556" s="37" t="inlineStr">
        <is>
          <t>MediPlan</t>
        </is>
      </c>
      <c r="G556" s="37" t="inlineStr">
        <is>
          <t>Consulta</t>
        </is>
      </c>
      <c r="H556" s="37" t="inlineStr">
        <is>
          <t>Realizado</t>
        </is>
      </c>
      <c r="I556" s="37" t="inlineStr">
        <is>
          <t>Convênio</t>
        </is>
      </c>
      <c r="J556" s="37" t="n"/>
      <c r="K556" s="36" t="n"/>
      <c r="L556" s="44">
        <f>IF(G556="","",IFERROR(INDEX(Config!$K$5:$K$16,MATCH(G556,Config!$J$5:$J$16,0)),""))</f>
        <v>30</v>
      </c>
      <c r="M556" s="30">
        <f>IF(OR(G556="",F556=""),"",IFERROR(INDEX(Config!$M$5:$R$16,MATCH(G556,Config!$J$5:$J$16,0),MATCH(F556,Config!$H$5:$H$10,0)),""))</f>
        <v>100</v>
      </c>
      <c r="N556" s="29">
        <f>IF(A556="","",MONTH(A556))</f>
        <v>8</v>
      </c>
      <c r="O556" s="29">
        <f>IF(A556="","",YEAR(A556))</f>
        <v>2026</v>
      </c>
      <c r="P556" s="29" t="str">
        <f>IF(A556="","",CHOOSE(WEEKDAY(A556,2),"Segunda","Terça","Quarta","Quinta","Sexta","Sábado","Domingo"))</f>
        <v>Quarta</v>
      </c>
      <c r="Q556" s="29" t="str">
        <f>IF(B556="","",IF(B556&lt;TIME(12,0,0),"Manhã",IF(B556&lt;TIME(18,0,0),"Tarde","Noite")))</f>
        <v>Tarde</v>
      </c>
      <c r="R556" s="45">
        <f>IF(AND(H556="Realizado",L556&lt;&gt;""),L556/60,0)</f>
        <v>0.5</v>
      </c>
    </row>
    <row r="557">
      <c r="A557" s="42" t="n">
        <v>46260</v>
      </c>
      <c r="B557" s="43" t="n">
        <v>0.625</v>
      </c>
      <c r="C557" s="37" t="inlineStr">
        <is>
          <t>Dra. Carolina Mendes</t>
        </is>
      </c>
      <c r="D557" s="37" t="inlineStr">
        <is>
          <t>Sala 1</t>
        </is>
      </c>
      <c r="E557" s="36" t="inlineStr">
        <is>
          <t>Sérgio Martins</t>
        </is>
      </c>
      <c r="F557" s="37" t="inlineStr">
        <is>
          <t>Particular</t>
        </is>
      </c>
      <c r="G557" s="37" t="inlineStr">
        <is>
          <t>Consulta</t>
        </is>
      </c>
      <c r="H557" s="37" t="inlineStr">
        <is>
          <t>Realizado</t>
        </is>
      </c>
      <c r="I557" s="37" t="inlineStr">
        <is>
          <t>A prazo</t>
        </is>
      </c>
      <c r="J557" s="37" t="n"/>
      <c r="K557" s="36" t="n"/>
      <c r="L557" s="44">
        <f>IF(G557="","",IFERROR(INDEX(Config!$K$5:$K$16,MATCH(G557,Config!$J$5:$J$16,0)),""))</f>
        <v>30</v>
      </c>
      <c r="M557" s="30">
        <f>IF(OR(G557="",F557=""),"",IFERROR(INDEX(Config!$M$5:$R$16,MATCH(G557,Config!$J$5:$J$16,0),MATCH(F557,Config!$H$5:$H$10,0)),""))</f>
        <v>380</v>
      </c>
      <c r="N557" s="29">
        <f>IF(A557="","",MONTH(A557))</f>
        <v>8</v>
      </c>
      <c r="O557" s="29">
        <f>IF(A557="","",YEAR(A557))</f>
        <v>2026</v>
      </c>
      <c r="P557" s="29" t="str">
        <f>IF(A557="","",CHOOSE(WEEKDAY(A557,2),"Segunda","Terça","Quarta","Quinta","Sexta","Sábado","Domingo"))</f>
        <v>Quarta</v>
      </c>
      <c r="Q557" s="29" t="str">
        <f>IF(B557="","",IF(B557&lt;TIME(12,0,0),"Manhã",IF(B557&lt;TIME(18,0,0),"Tarde","Noite")))</f>
        <v>Tarde</v>
      </c>
      <c r="R557" s="45">
        <f>IF(AND(H557="Realizado",L557&lt;&gt;""),L557/60,0)</f>
        <v>0.5</v>
      </c>
    </row>
    <row r="558">
      <c r="A558" s="42" t="n">
        <v>46260</v>
      </c>
      <c r="B558" s="43" t="n">
        <v>0.6458333333333334</v>
      </c>
      <c r="C558" s="37" t="inlineStr">
        <is>
          <t>Dra. Carolina Mendes</t>
        </is>
      </c>
      <c r="D558" s="37" t="inlineStr">
        <is>
          <t>Sala 1</t>
        </is>
      </c>
      <c r="E558" s="36" t="inlineStr">
        <is>
          <t>Carlos Castro</t>
        </is>
      </c>
      <c r="F558" s="37" t="inlineStr">
        <is>
          <t>Saúde Total</t>
        </is>
      </c>
      <c r="G558" s="37" t="inlineStr">
        <is>
          <t>Consulta</t>
        </is>
      </c>
      <c r="H558" s="37" t="inlineStr">
        <is>
          <t>Falta</t>
        </is>
      </c>
      <c r="I558" s="37" t="n"/>
      <c r="J558" s="37" t="n"/>
      <c r="K558" s="36" t="n"/>
      <c r="L558" s="44">
        <f>IF(G558="","",IFERROR(INDEX(Config!$K$5:$K$16,MATCH(G558,Config!$J$5:$J$16,0)),""))</f>
        <v>30</v>
      </c>
      <c r="M558" s="30">
        <f>IF(OR(G558="",F558=""),"",IFERROR(INDEX(Config!$M$5:$R$16,MATCH(G558,Config!$J$5:$J$16,0),MATCH(F558,Config!$H$5:$H$10,0)),""))</f>
        <v>120</v>
      </c>
      <c r="N558" s="29">
        <f>IF(A558="","",MONTH(A558))</f>
        <v>8</v>
      </c>
      <c r="O558" s="29">
        <f>IF(A558="","",YEAR(A558))</f>
        <v>2026</v>
      </c>
      <c r="P558" s="29" t="str">
        <f>IF(A558="","",CHOOSE(WEEKDAY(A558,2),"Segunda","Terça","Quarta","Quinta","Sexta","Sábado","Domingo"))</f>
        <v>Quarta</v>
      </c>
      <c r="Q558" s="29" t="str">
        <f>IF(B558="","",IF(B558&lt;TIME(12,0,0),"Manhã",IF(B558&lt;TIME(18,0,0),"Tarde","Noite")))</f>
        <v>Tarde</v>
      </c>
      <c r="R558" s="45">
        <f>IF(AND(H558="Realizado",L558&lt;&gt;""),L558/60,0)</f>
        <v>0</v>
      </c>
    </row>
    <row r="559">
      <c r="A559" s="42" t="n">
        <v>46260</v>
      </c>
      <c r="B559" s="43" t="n">
        <v>0.6875</v>
      </c>
      <c r="C559" s="37" t="inlineStr">
        <is>
          <t>Dra. Carolina Mendes</t>
        </is>
      </c>
      <c r="D559" s="37" t="inlineStr">
        <is>
          <t>Sala 1</t>
        </is>
      </c>
      <c r="E559" s="36" t="inlineStr">
        <is>
          <t>Carlos Castro</t>
        </is>
      </c>
      <c r="F559" s="37" t="inlineStr">
        <is>
          <t>Saúde Total</t>
        </is>
      </c>
      <c r="G559" s="37" t="inlineStr">
        <is>
          <t>Consulta</t>
        </is>
      </c>
      <c r="H559" s="37" t="inlineStr">
        <is>
          <t>Realizado</t>
        </is>
      </c>
      <c r="I559" s="37" t="inlineStr">
        <is>
          <t>Convênio</t>
        </is>
      </c>
      <c r="J559" s="37" t="n"/>
      <c r="K559" s="36" t="n"/>
      <c r="L559" s="44">
        <f>IF(G559="","",IFERROR(INDEX(Config!$K$5:$K$16,MATCH(G559,Config!$J$5:$J$16,0)),""))</f>
        <v>30</v>
      </c>
      <c r="M559" s="30">
        <f>IF(OR(G559="",F559=""),"",IFERROR(INDEX(Config!$M$5:$R$16,MATCH(G559,Config!$J$5:$J$16,0),MATCH(F559,Config!$H$5:$H$10,0)),""))</f>
        <v>120</v>
      </c>
      <c r="N559" s="29">
        <f>IF(A559="","",MONTH(A559))</f>
        <v>8</v>
      </c>
      <c r="O559" s="29">
        <f>IF(A559="","",YEAR(A559))</f>
        <v>2026</v>
      </c>
      <c r="P559" s="29" t="str">
        <f>IF(A559="","",CHOOSE(WEEKDAY(A559,2),"Segunda","Terça","Quarta","Quinta","Sexta","Sábado","Domingo"))</f>
        <v>Quarta</v>
      </c>
      <c r="Q559" s="29" t="str">
        <f>IF(B559="","",IF(B559&lt;TIME(12,0,0),"Manhã",IF(B559&lt;TIME(18,0,0),"Tarde","Noite")))</f>
        <v>Tarde</v>
      </c>
      <c r="R559" s="45">
        <f>IF(AND(H559="Realizado",L559&lt;&gt;""),L559/60,0)</f>
        <v>0.5</v>
      </c>
    </row>
    <row r="560">
      <c r="A560" s="42" t="n">
        <v>46260</v>
      </c>
      <c r="B560" s="43" t="n">
        <v>0.7083333333333334</v>
      </c>
      <c r="C560" s="37" t="inlineStr">
        <is>
          <t>Dra. Carolina Mendes</t>
        </is>
      </c>
      <c r="D560" s="37" t="inlineStr">
        <is>
          <t>Sala 1</t>
        </is>
      </c>
      <c r="E560" s="36" t="inlineStr">
        <is>
          <t>Rodrigo Moreira</t>
        </is>
      </c>
      <c r="F560" s="37" t="inlineStr">
        <is>
          <t>Particular</t>
        </is>
      </c>
      <c r="G560" s="37" t="inlineStr">
        <is>
          <t>Consulta</t>
        </is>
      </c>
      <c r="H560" s="37" t="inlineStr">
        <is>
          <t>Realizado</t>
        </is>
      </c>
      <c r="I560" s="37" t="inlineStr">
        <is>
          <t>Pix</t>
        </is>
      </c>
      <c r="J560" s="37" t="n"/>
      <c r="K560" s="36" t="n"/>
      <c r="L560" s="44">
        <f>IF(G560="","",IFERROR(INDEX(Config!$K$5:$K$16,MATCH(G560,Config!$J$5:$J$16,0)),""))</f>
        <v>30</v>
      </c>
      <c r="M560" s="30">
        <f>IF(OR(G560="",F560=""),"",IFERROR(INDEX(Config!$M$5:$R$16,MATCH(G560,Config!$J$5:$J$16,0),MATCH(F560,Config!$H$5:$H$10,0)),""))</f>
        <v>380</v>
      </c>
      <c r="N560" s="29">
        <f>IF(A560="","",MONTH(A560))</f>
        <v>8</v>
      </c>
      <c r="O560" s="29">
        <f>IF(A560="","",YEAR(A560))</f>
        <v>2026</v>
      </c>
      <c r="P560" s="29" t="str">
        <f>IF(A560="","",CHOOSE(WEEKDAY(A560,2),"Segunda","Terça","Quarta","Quinta","Sexta","Sábado","Domingo"))</f>
        <v>Quarta</v>
      </c>
      <c r="Q560" s="29" t="str">
        <f>IF(B560="","",IF(B560&lt;TIME(12,0,0),"Manhã",IF(B560&lt;TIME(18,0,0),"Tarde","Noite")))</f>
        <v>Tarde</v>
      </c>
      <c r="R560" s="45">
        <f>IF(AND(H560="Realizado",L560&lt;&gt;""),L560/60,0)</f>
        <v>0.5</v>
      </c>
    </row>
    <row r="561">
      <c r="A561" s="42" t="n">
        <v>46260</v>
      </c>
      <c r="B561" s="43" t="n">
        <v>0.7291666666666666</v>
      </c>
      <c r="C561" s="37" t="inlineStr">
        <is>
          <t>Dra. Carolina Mendes</t>
        </is>
      </c>
      <c r="D561" s="37" t="inlineStr">
        <is>
          <t>Sala 1</t>
        </is>
      </c>
      <c r="E561" s="36" t="inlineStr">
        <is>
          <t>Rafael Dias</t>
        </is>
      </c>
      <c r="F561" s="37" t="inlineStr">
        <is>
          <t>Particular</t>
        </is>
      </c>
      <c r="G561" s="37" t="inlineStr">
        <is>
          <t>Consulta</t>
        </is>
      </c>
      <c r="H561" s="37" t="inlineStr">
        <is>
          <t>Realizado</t>
        </is>
      </c>
      <c r="I561" s="37" t="inlineStr">
        <is>
          <t>Pix</t>
        </is>
      </c>
      <c r="J561" s="37" t="n"/>
      <c r="K561" s="36" t="n"/>
      <c r="L561" s="44">
        <f>IF(G561="","",IFERROR(INDEX(Config!$K$5:$K$16,MATCH(G561,Config!$J$5:$J$16,0)),""))</f>
        <v>30</v>
      </c>
      <c r="M561" s="30">
        <f>IF(OR(G561="",F561=""),"",IFERROR(INDEX(Config!$M$5:$R$16,MATCH(G561,Config!$J$5:$J$16,0),MATCH(F561,Config!$H$5:$H$10,0)),""))</f>
        <v>380</v>
      </c>
      <c r="N561" s="29">
        <f>IF(A561="","",MONTH(A561))</f>
        <v>8</v>
      </c>
      <c r="O561" s="29">
        <f>IF(A561="","",YEAR(A561))</f>
        <v>2026</v>
      </c>
      <c r="P561" s="29" t="str">
        <f>IF(A561="","",CHOOSE(WEEKDAY(A561,2),"Segunda","Terça","Quarta","Quinta","Sexta","Sábado","Domingo"))</f>
        <v>Quarta</v>
      </c>
      <c r="Q561" s="29" t="str">
        <f>IF(B561="","",IF(B561&lt;TIME(12,0,0),"Manhã",IF(B561&lt;TIME(18,0,0),"Tarde","Noite")))</f>
        <v>Tarde</v>
      </c>
      <c r="R561" s="45">
        <f>IF(AND(H561="Realizado",L561&lt;&gt;""),L561/60,0)</f>
        <v>0.5</v>
      </c>
    </row>
    <row r="562">
      <c r="A562" s="42" t="n">
        <v>46261</v>
      </c>
      <c r="B562" s="43" t="n">
        <v>0.3333333333333333</v>
      </c>
      <c r="C562" s="37" t="inlineStr">
        <is>
          <t>Dra. Carolina Mendes</t>
        </is>
      </c>
      <c r="D562" s="37" t="inlineStr">
        <is>
          <t>Sala 1</t>
        </is>
      </c>
      <c r="E562" s="36" t="inlineStr">
        <is>
          <t>Mateus Lima</t>
        </is>
      </c>
      <c r="F562" s="37" t="inlineStr">
        <is>
          <t>MediPlan</t>
        </is>
      </c>
      <c r="G562" s="37" t="inlineStr">
        <is>
          <t>Retorno</t>
        </is>
      </c>
      <c r="H562" s="37" t="inlineStr">
        <is>
          <t>Realizado</t>
        </is>
      </c>
      <c r="I562" s="37" t="inlineStr">
        <is>
          <t>Sem cobrança</t>
        </is>
      </c>
      <c r="J562" s="37" t="n"/>
      <c r="K562" s="36" t="n"/>
      <c r="L562" s="44">
        <f>IF(G562="","",IFERROR(INDEX(Config!$K$5:$K$16,MATCH(G562,Config!$J$5:$J$16,0)),""))</f>
        <v>20</v>
      </c>
      <c r="M562" s="30">
        <f>IF(OR(G562="",F562=""),"",IFERROR(INDEX(Config!$M$5:$R$16,MATCH(G562,Config!$J$5:$J$16,0),MATCH(F562,Config!$H$5:$H$10,0)),""))</f>
        <v>0</v>
      </c>
      <c r="N562" s="29">
        <f>IF(A562="","",MONTH(A562))</f>
        <v>8</v>
      </c>
      <c r="O562" s="29">
        <f>IF(A562="","",YEAR(A562))</f>
        <v>2026</v>
      </c>
      <c r="P562" s="29" t="str">
        <f>IF(A562="","",CHOOSE(WEEKDAY(A562,2),"Segunda","Terça","Quarta","Quinta","Sexta","Sábado","Domingo"))</f>
        <v>Quinta</v>
      </c>
      <c r="Q562" s="29" t="str">
        <f>IF(B562="","",IF(B562&lt;TIME(12,0,0),"Manhã",IF(B562&lt;TIME(18,0,0),"Tarde","Noite")))</f>
        <v>Manhã</v>
      </c>
      <c r="R562" s="45">
        <f>IF(AND(H562="Realizado",L562&lt;&gt;""),L562/60,0)</f>
        <v>0.333333333333333</v>
      </c>
    </row>
    <row r="563">
      <c r="A563" s="42" t="n">
        <v>46261</v>
      </c>
      <c r="B563" s="43" t="n">
        <v>0.3472222222222222</v>
      </c>
      <c r="C563" s="37" t="inlineStr">
        <is>
          <t>Dra. Carolina Mendes</t>
        </is>
      </c>
      <c r="D563" s="37" t="inlineStr">
        <is>
          <t>Sala 1</t>
        </is>
      </c>
      <c r="E563" s="36" t="inlineStr">
        <is>
          <t>Regina Duarte</t>
        </is>
      </c>
      <c r="F563" s="37" t="inlineStr">
        <is>
          <t>Particular</t>
        </is>
      </c>
      <c r="G563" s="37" t="inlineStr">
        <is>
          <t>Consulta</t>
        </is>
      </c>
      <c r="H563" s="37" t="inlineStr">
        <is>
          <t>Realizado</t>
        </is>
      </c>
      <c r="I563" s="37" t="inlineStr">
        <is>
          <t>Cartão de débito</t>
        </is>
      </c>
      <c r="J563" s="37" t="n"/>
      <c r="K563" s="36" t="n"/>
      <c r="L563" s="44">
        <f>IF(G563="","",IFERROR(INDEX(Config!$K$5:$K$16,MATCH(G563,Config!$J$5:$J$16,0)),""))</f>
        <v>30</v>
      </c>
      <c r="M563" s="30">
        <f>IF(OR(G563="",F563=""),"",IFERROR(INDEX(Config!$M$5:$R$16,MATCH(G563,Config!$J$5:$J$16,0),MATCH(F563,Config!$H$5:$H$10,0)),""))</f>
        <v>380</v>
      </c>
      <c r="N563" s="29">
        <f>IF(A563="","",MONTH(A563))</f>
        <v>8</v>
      </c>
      <c r="O563" s="29">
        <f>IF(A563="","",YEAR(A563))</f>
        <v>2026</v>
      </c>
      <c r="P563" s="29" t="str">
        <f>IF(A563="","",CHOOSE(WEEKDAY(A563,2),"Segunda","Terça","Quarta","Quinta","Sexta","Sábado","Domingo"))</f>
        <v>Quinta</v>
      </c>
      <c r="Q563" s="29" t="str">
        <f>IF(B563="","",IF(B563&lt;TIME(12,0,0),"Manhã",IF(B563&lt;TIME(18,0,0),"Tarde","Noite")))</f>
        <v>Manhã</v>
      </c>
      <c r="R563" s="45">
        <f>IF(AND(H563="Realizado",L563&lt;&gt;""),L563/60,0)</f>
        <v>0.5</v>
      </c>
    </row>
    <row r="564">
      <c r="A564" s="42" t="n">
        <v>46261</v>
      </c>
      <c r="B564" s="43" t="n">
        <v>0.3680555555555556</v>
      </c>
      <c r="C564" s="37" t="inlineStr">
        <is>
          <t>Dra. Carolina Mendes</t>
        </is>
      </c>
      <c r="D564" s="37" t="inlineStr">
        <is>
          <t>Sala 1</t>
        </is>
      </c>
      <c r="E564" s="36" t="inlineStr">
        <is>
          <t>Gisele Xavier</t>
        </is>
      </c>
      <c r="F564" s="37" t="inlineStr">
        <is>
          <t>Particular</t>
        </is>
      </c>
      <c r="G564" s="37" t="inlineStr">
        <is>
          <t>Consulta</t>
        </is>
      </c>
      <c r="H564" s="37" t="inlineStr">
        <is>
          <t>Realizado</t>
        </is>
      </c>
      <c r="I564" s="37" t="inlineStr">
        <is>
          <t>Cartão de crédito</t>
        </is>
      </c>
      <c r="J564" s="37" t="n"/>
      <c r="K564" s="36" t="n"/>
      <c r="L564" s="44">
        <f>IF(G564="","",IFERROR(INDEX(Config!$K$5:$K$16,MATCH(G564,Config!$J$5:$J$16,0)),""))</f>
        <v>30</v>
      </c>
      <c r="M564" s="30">
        <f>IF(OR(G564="",F564=""),"",IFERROR(INDEX(Config!$M$5:$R$16,MATCH(G564,Config!$J$5:$J$16,0),MATCH(F564,Config!$H$5:$H$10,0)),""))</f>
        <v>380</v>
      </c>
      <c r="N564" s="29">
        <f>IF(A564="","",MONTH(A564))</f>
        <v>8</v>
      </c>
      <c r="O564" s="29">
        <f>IF(A564="","",YEAR(A564))</f>
        <v>2026</v>
      </c>
      <c r="P564" s="29" t="str">
        <f>IF(A564="","",CHOOSE(WEEKDAY(A564,2),"Segunda","Terça","Quarta","Quinta","Sexta","Sábado","Domingo"))</f>
        <v>Quinta</v>
      </c>
      <c r="Q564" s="29" t="str">
        <f>IF(B564="","",IF(B564&lt;TIME(12,0,0),"Manhã",IF(B564&lt;TIME(18,0,0),"Tarde","Noite")))</f>
        <v>Manhã</v>
      </c>
      <c r="R564" s="45">
        <f>IF(AND(H564="Realizado",L564&lt;&gt;""),L564/60,0)</f>
        <v>0.5</v>
      </c>
    </row>
    <row r="565">
      <c r="A565" s="42" t="n">
        <v>46261</v>
      </c>
      <c r="B565" s="43" t="n">
        <v>0.3888888888888889</v>
      </c>
      <c r="C565" s="37" t="inlineStr">
        <is>
          <t>Dra. Carolina Mendes</t>
        </is>
      </c>
      <c r="D565" s="37" t="inlineStr">
        <is>
          <t>Sala 1</t>
        </is>
      </c>
      <c r="E565" s="36" t="inlineStr">
        <is>
          <t>Marcelo Santos</t>
        </is>
      </c>
      <c r="F565" s="37" t="inlineStr">
        <is>
          <t>Particular</t>
        </is>
      </c>
      <c r="G565" s="37" t="inlineStr">
        <is>
          <t>Consulta</t>
        </is>
      </c>
      <c r="H565" s="37" t="inlineStr">
        <is>
          <t>Realizado</t>
        </is>
      </c>
      <c r="I565" s="37" t="inlineStr">
        <is>
          <t>Cartão de crédito</t>
        </is>
      </c>
      <c r="J565" s="37" t="n"/>
      <c r="K565" s="36" t="n"/>
      <c r="L565" s="44">
        <f>IF(G565="","",IFERROR(INDEX(Config!$K$5:$K$16,MATCH(G565,Config!$J$5:$J$16,0)),""))</f>
        <v>30</v>
      </c>
      <c r="M565" s="30">
        <f>IF(OR(G565="",F565=""),"",IFERROR(INDEX(Config!$M$5:$R$16,MATCH(G565,Config!$J$5:$J$16,0),MATCH(F565,Config!$H$5:$H$10,0)),""))</f>
        <v>380</v>
      </c>
      <c r="N565" s="29">
        <f>IF(A565="","",MONTH(A565))</f>
        <v>8</v>
      </c>
      <c r="O565" s="29">
        <f>IF(A565="","",YEAR(A565))</f>
        <v>2026</v>
      </c>
      <c r="P565" s="29" t="str">
        <f>IF(A565="","",CHOOSE(WEEKDAY(A565,2),"Segunda","Terça","Quarta","Quinta","Sexta","Sábado","Domingo"))</f>
        <v>Quinta</v>
      </c>
      <c r="Q565" s="29" t="str">
        <f>IF(B565="","",IF(B565&lt;TIME(12,0,0),"Manhã",IF(B565&lt;TIME(18,0,0),"Tarde","Noite")))</f>
        <v>Manhã</v>
      </c>
      <c r="R565" s="45">
        <f>IF(AND(H565="Realizado",L565&lt;&gt;""),L565/60,0)</f>
        <v>0.5</v>
      </c>
    </row>
    <row r="566">
      <c r="A566" s="42" t="n">
        <v>46261</v>
      </c>
      <c r="B566" s="43" t="n">
        <v>0.4097222222222222</v>
      </c>
      <c r="C566" s="37" t="inlineStr">
        <is>
          <t>Dra. Carolina Mendes</t>
        </is>
      </c>
      <c r="D566" s="37" t="inlineStr">
        <is>
          <t>Sala 1</t>
        </is>
      </c>
      <c r="E566" s="36" t="inlineStr">
        <is>
          <t>Roberta Fernandes</t>
        </is>
      </c>
      <c r="F566" s="37" t="inlineStr">
        <is>
          <t>Saúde Total</t>
        </is>
      </c>
      <c r="G566" s="37" t="inlineStr">
        <is>
          <t>Consulta</t>
        </is>
      </c>
      <c r="H566" s="37" t="inlineStr">
        <is>
          <t>Realizado</t>
        </is>
      </c>
      <c r="I566" s="37" t="inlineStr">
        <is>
          <t>Convênio</t>
        </is>
      </c>
      <c r="J566" s="37" t="n"/>
      <c r="K566" s="36" t="n"/>
      <c r="L566" s="44">
        <f>IF(G566="","",IFERROR(INDEX(Config!$K$5:$K$16,MATCH(G566,Config!$J$5:$J$16,0)),""))</f>
        <v>30</v>
      </c>
      <c r="M566" s="30">
        <f>IF(OR(G566="",F566=""),"",IFERROR(INDEX(Config!$M$5:$R$16,MATCH(G566,Config!$J$5:$J$16,0),MATCH(F566,Config!$H$5:$H$10,0)),""))</f>
        <v>120</v>
      </c>
      <c r="N566" s="29">
        <f>IF(A566="","",MONTH(A566))</f>
        <v>8</v>
      </c>
      <c r="O566" s="29">
        <f>IF(A566="","",YEAR(A566))</f>
        <v>2026</v>
      </c>
      <c r="P566" s="29" t="str">
        <f>IF(A566="","",CHOOSE(WEEKDAY(A566,2),"Segunda","Terça","Quarta","Quinta","Sexta","Sábado","Domingo"))</f>
        <v>Quinta</v>
      </c>
      <c r="Q566" s="29" t="str">
        <f>IF(B566="","",IF(B566&lt;TIME(12,0,0),"Manhã",IF(B566&lt;TIME(18,0,0),"Tarde","Noite")))</f>
        <v>Manhã</v>
      </c>
      <c r="R566" s="45">
        <f>IF(AND(H566="Realizado",L566&lt;&gt;""),L566/60,0)</f>
        <v>0.5</v>
      </c>
    </row>
    <row r="567">
      <c r="A567" s="42" t="n">
        <v>46261</v>
      </c>
      <c r="B567" s="43" t="n">
        <v>0.4305555555555556</v>
      </c>
      <c r="C567" s="37" t="inlineStr">
        <is>
          <t>Dra. Carolina Mendes</t>
        </is>
      </c>
      <c r="D567" s="37" t="inlineStr">
        <is>
          <t>Sala 1</t>
        </is>
      </c>
      <c r="E567" s="36" t="inlineStr">
        <is>
          <t>Elaine Cardoso</t>
        </is>
      </c>
      <c r="F567" s="37" t="inlineStr">
        <is>
          <t>Particular</t>
        </is>
      </c>
      <c r="G567" s="37" t="inlineStr">
        <is>
          <t>Consulta</t>
        </is>
      </c>
      <c r="H567" s="37" t="inlineStr">
        <is>
          <t>Remarcado</t>
        </is>
      </c>
      <c r="I567" s="37" t="n"/>
      <c r="J567" s="37" t="n"/>
      <c r="K567" s="36" t="inlineStr">
        <is>
          <t>Paciente pediu outra data</t>
        </is>
      </c>
      <c r="L567" s="44">
        <f>IF(G567="","",IFERROR(INDEX(Config!$K$5:$K$16,MATCH(G567,Config!$J$5:$J$16,0)),""))</f>
        <v>30</v>
      </c>
      <c r="M567" s="30">
        <f>IF(OR(G567="",F567=""),"",IFERROR(INDEX(Config!$M$5:$R$16,MATCH(G567,Config!$J$5:$J$16,0),MATCH(F567,Config!$H$5:$H$10,0)),""))</f>
        <v>380</v>
      </c>
      <c r="N567" s="29">
        <f>IF(A567="","",MONTH(A567))</f>
        <v>8</v>
      </c>
      <c r="O567" s="29">
        <f>IF(A567="","",YEAR(A567))</f>
        <v>2026</v>
      </c>
      <c r="P567" s="29" t="str">
        <f>IF(A567="","",CHOOSE(WEEKDAY(A567,2),"Segunda","Terça","Quarta","Quinta","Sexta","Sábado","Domingo"))</f>
        <v>Quinta</v>
      </c>
      <c r="Q567" s="29" t="str">
        <f>IF(B567="","",IF(B567&lt;TIME(12,0,0),"Manhã",IF(B567&lt;TIME(18,0,0),"Tarde","Noite")))</f>
        <v>Manhã</v>
      </c>
      <c r="R567" s="45">
        <f>IF(AND(H567="Realizado",L567&lt;&gt;""),L567/60,0)</f>
        <v>0</v>
      </c>
    </row>
    <row r="568">
      <c r="A568" s="42" t="n">
        <v>46261</v>
      </c>
      <c r="B568" s="43" t="n">
        <v>0.4513888888888889</v>
      </c>
      <c r="C568" s="37" t="inlineStr">
        <is>
          <t>Dra. Carolina Mendes</t>
        </is>
      </c>
      <c r="D568" s="37" t="inlineStr">
        <is>
          <t>Sala 1</t>
        </is>
      </c>
      <c r="E568" s="36" t="inlineStr">
        <is>
          <t>Otávio Cardoso</t>
        </is>
      </c>
      <c r="F568" s="37" t="inlineStr">
        <is>
          <t>Particular</t>
        </is>
      </c>
      <c r="G568" s="37" t="inlineStr">
        <is>
          <t>Retorno</t>
        </is>
      </c>
      <c r="H568" s="37" t="inlineStr">
        <is>
          <t>Realizado</t>
        </is>
      </c>
      <c r="I568" s="37" t="inlineStr">
        <is>
          <t>Sem cobrança</t>
        </is>
      </c>
      <c r="J568" s="37" t="n"/>
      <c r="K568" s="36" t="n"/>
      <c r="L568" s="44">
        <f>IF(G568="","",IFERROR(INDEX(Config!$K$5:$K$16,MATCH(G568,Config!$J$5:$J$16,0)),""))</f>
        <v>20</v>
      </c>
      <c r="M568" s="30">
        <f>IF(OR(G568="",F568=""),"",IFERROR(INDEX(Config!$M$5:$R$16,MATCH(G568,Config!$J$5:$J$16,0),MATCH(F568,Config!$H$5:$H$10,0)),""))</f>
        <v>0</v>
      </c>
      <c r="N568" s="29">
        <f>IF(A568="","",MONTH(A568))</f>
        <v>8</v>
      </c>
      <c r="O568" s="29">
        <f>IF(A568="","",YEAR(A568))</f>
        <v>2026</v>
      </c>
      <c r="P568" s="29" t="str">
        <f>IF(A568="","",CHOOSE(WEEKDAY(A568,2),"Segunda","Terça","Quarta","Quinta","Sexta","Sábado","Domingo"))</f>
        <v>Quinta</v>
      </c>
      <c r="Q568" s="29" t="str">
        <f>IF(B568="","",IF(B568&lt;TIME(12,0,0),"Manhã",IF(B568&lt;TIME(18,0,0),"Tarde","Noite")))</f>
        <v>Manhã</v>
      </c>
      <c r="R568" s="45">
        <f>IF(AND(H568="Realizado",L568&lt;&gt;""),L568/60,0)</f>
        <v>0.333333333333333</v>
      </c>
    </row>
    <row r="569">
      <c r="A569" s="42" t="n">
        <v>46261</v>
      </c>
      <c r="B569" s="43" t="n">
        <v>0.4652777777777778</v>
      </c>
      <c r="C569" s="37" t="inlineStr">
        <is>
          <t>Dra. Carolina Mendes</t>
        </is>
      </c>
      <c r="D569" s="37" t="inlineStr">
        <is>
          <t>Sala 1</t>
        </is>
      </c>
      <c r="E569" s="36" t="inlineStr">
        <is>
          <t>Gisele Ribeiro</t>
        </is>
      </c>
      <c r="F569" s="37" t="inlineStr">
        <is>
          <t>Particular</t>
        </is>
      </c>
      <c r="G569" s="37" t="inlineStr">
        <is>
          <t>Consulta</t>
        </is>
      </c>
      <c r="H569" s="37" t="inlineStr">
        <is>
          <t>Realizado</t>
        </is>
      </c>
      <c r="I569" s="37" t="inlineStr">
        <is>
          <t>A prazo</t>
        </is>
      </c>
      <c r="J569" s="37" t="n"/>
      <c r="K569" s="36" t="n"/>
      <c r="L569" s="44">
        <f>IF(G569="","",IFERROR(INDEX(Config!$K$5:$K$16,MATCH(G569,Config!$J$5:$J$16,0)),""))</f>
        <v>30</v>
      </c>
      <c r="M569" s="30">
        <f>IF(OR(G569="",F569=""),"",IFERROR(INDEX(Config!$M$5:$R$16,MATCH(G569,Config!$J$5:$J$16,0),MATCH(F569,Config!$H$5:$H$10,0)),""))</f>
        <v>380</v>
      </c>
      <c r="N569" s="29">
        <f>IF(A569="","",MONTH(A569))</f>
        <v>8</v>
      </c>
      <c r="O569" s="29">
        <f>IF(A569="","",YEAR(A569))</f>
        <v>2026</v>
      </c>
      <c r="P569" s="29" t="str">
        <f>IF(A569="","",CHOOSE(WEEKDAY(A569,2),"Segunda","Terça","Quarta","Quinta","Sexta","Sábado","Domingo"))</f>
        <v>Quinta</v>
      </c>
      <c r="Q569" s="29" t="str">
        <f>IF(B569="","",IF(B569&lt;TIME(12,0,0),"Manhã",IF(B569&lt;TIME(18,0,0),"Tarde","Noite")))</f>
        <v>Manhã</v>
      </c>
      <c r="R569" s="45">
        <f>IF(AND(H569="Realizado",L569&lt;&gt;""),L569/60,0)</f>
        <v>0.5</v>
      </c>
    </row>
    <row r="570">
      <c r="A570" s="42" t="n">
        <v>46261</v>
      </c>
      <c r="B570" s="43" t="n">
        <v>0.4861111111111111</v>
      </c>
      <c r="C570" s="37" t="inlineStr">
        <is>
          <t>Dra. Carolina Mendes</t>
        </is>
      </c>
      <c r="D570" s="37" t="inlineStr">
        <is>
          <t>Sala 1</t>
        </is>
      </c>
      <c r="E570" s="36" t="inlineStr">
        <is>
          <t>Eduardo Lima</t>
        </is>
      </c>
      <c r="F570" s="37" t="inlineStr">
        <is>
          <t>Particular</t>
        </is>
      </c>
      <c r="G570" s="37" t="inlineStr">
        <is>
          <t>Retorno</t>
        </is>
      </c>
      <c r="H570" s="37" t="inlineStr">
        <is>
          <t>Falta</t>
        </is>
      </c>
      <c r="I570" s="37" t="n"/>
      <c r="J570" s="37" t="n"/>
      <c r="K570" s="36" t="n"/>
      <c r="L570" s="44">
        <f>IF(G570="","",IFERROR(INDEX(Config!$K$5:$K$16,MATCH(G570,Config!$J$5:$J$16,0)),""))</f>
        <v>20</v>
      </c>
      <c r="M570" s="30">
        <f>IF(OR(G570="",F570=""),"",IFERROR(INDEX(Config!$M$5:$R$16,MATCH(G570,Config!$J$5:$J$16,0),MATCH(F570,Config!$H$5:$H$10,0)),""))</f>
        <v>0</v>
      </c>
      <c r="N570" s="29">
        <f>IF(A570="","",MONTH(A570))</f>
        <v>8</v>
      </c>
      <c r="O570" s="29">
        <f>IF(A570="","",YEAR(A570))</f>
        <v>2026</v>
      </c>
      <c r="P570" s="29" t="str">
        <f>IF(A570="","",CHOOSE(WEEKDAY(A570,2),"Segunda","Terça","Quarta","Quinta","Sexta","Sábado","Domingo"))</f>
        <v>Quinta</v>
      </c>
      <c r="Q570" s="29" t="str">
        <f>IF(B570="","",IF(B570&lt;TIME(12,0,0),"Manhã",IF(B570&lt;TIME(18,0,0),"Tarde","Noite")))</f>
        <v>Manhã</v>
      </c>
      <c r="R570" s="45">
        <f>IF(AND(H570="Realizado",L570&lt;&gt;""),L570/60,0)</f>
        <v>0</v>
      </c>
    </row>
    <row r="571">
      <c r="A571" s="42" t="n">
        <v>46261</v>
      </c>
      <c r="B571" s="43" t="n">
        <v>0.5833333333333334</v>
      </c>
      <c r="C571" s="37" t="inlineStr">
        <is>
          <t>Dra. Renata Sousa</t>
        </is>
      </c>
      <c r="D571" s="37" t="inlineStr">
        <is>
          <t>Sala 1</t>
        </is>
      </c>
      <c r="E571" s="36" t="inlineStr">
        <is>
          <t>Priscila Reis</t>
        </is>
      </c>
      <c r="F571" s="37" t="inlineStr">
        <is>
          <t>Particular</t>
        </is>
      </c>
      <c r="G571" s="37" t="inlineStr">
        <is>
          <t>Retorno</t>
        </is>
      </c>
      <c r="H571" s="37" t="inlineStr">
        <is>
          <t>Cancelado</t>
        </is>
      </c>
      <c r="I571" s="37" t="n"/>
      <c r="J571" s="37" t="n"/>
      <c r="K571" s="36" t="n"/>
      <c r="L571" s="44">
        <f>IF(G571="","",IFERROR(INDEX(Config!$K$5:$K$16,MATCH(G571,Config!$J$5:$J$16,0)),""))</f>
        <v>20</v>
      </c>
      <c r="M571" s="30">
        <f>IF(OR(G571="",F571=""),"",IFERROR(INDEX(Config!$M$5:$R$16,MATCH(G571,Config!$J$5:$J$16,0),MATCH(F571,Config!$H$5:$H$10,0)),""))</f>
        <v>0</v>
      </c>
      <c r="N571" s="29">
        <f>IF(A571="","",MONTH(A571))</f>
        <v>8</v>
      </c>
      <c r="O571" s="29">
        <f>IF(A571="","",YEAR(A571))</f>
        <v>2026</v>
      </c>
      <c r="P571" s="29" t="str">
        <f>IF(A571="","",CHOOSE(WEEKDAY(A571,2),"Segunda","Terça","Quarta","Quinta","Sexta","Sábado","Domingo"))</f>
        <v>Quinta</v>
      </c>
      <c r="Q571" s="29" t="str">
        <f>IF(B571="","",IF(B571&lt;TIME(12,0,0),"Manhã",IF(B571&lt;TIME(18,0,0),"Tarde","Noite")))</f>
        <v>Tarde</v>
      </c>
      <c r="R571" s="45">
        <f>IF(AND(H571="Realizado",L571&lt;&gt;""),L571/60,0)</f>
        <v>0</v>
      </c>
    </row>
    <row r="572">
      <c r="A572" s="42" t="n">
        <v>46261</v>
      </c>
      <c r="B572" s="43" t="n">
        <v>0.5833333333333334</v>
      </c>
      <c r="C572" s="37" t="inlineStr">
        <is>
          <t>Dr. Paulo Andrade</t>
        </is>
      </c>
      <c r="D572" s="37" t="inlineStr">
        <is>
          <t>Sala 2</t>
        </is>
      </c>
      <c r="E572" s="36" t="inlineStr">
        <is>
          <t>Regina Castro</t>
        </is>
      </c>
      <c r="F572" s="37" t="inlineStr">
        <is>
          <t>Vida Care</t>
        </is>
      </c>
      <c r="G572" s="37" t="inlineStr">
        <is>
          <t>MAPA</t>
        </is>
      </c>
      <c r="H572" s="37" t="inlineStr">
        <is>
          <t>Realizado</t>
        </is>
      </c>
      <c r="I572" s="37" t="inlineStr">
        <is>
          <t>Convênio</t>
        </is>
      </c>
      <c r="J572" s="37" t="n"/>
      <c r="K572" s="36" t="n"/>
      <c r="L572" s="44">
        <f>IF(G572="","",IFERROR(INDEX(Config!$K$5:$K$16,MATCH(G572,Config!$J$5:$J$16,0)),""))</f>
        <v>20</v>
      </c>
      <c r="M572" s="30">
        <f>IF(OR(G572="",F572=""),"",IFERROR(INDEX(Config!$M$5:$R$16,MATCH(G572,Config!$J$5:$J$16,0),MATCH(F572,Config!$H$5:$H$10,0)),""))</f>
        <v>75</v>
      </c>
      <c r="N572" s="29">
        <f>IF(A572="","",MONTH(A572))</f>
        <v>8</v>
      </c>
      <c r="O572" s="29">
        <f>IF(A572="","",YEAR(A572))</f>
        <v>2026</v>
      </c>
      <c r="P572" s="29" t="str">
        <f>IF(A572="","",CHOOSE(WEEKDAY(A572,2),"Segunda","Terça","Quarta","Quinta","Sexta","Sábado","Domingo"))</f>
        <v>Quinta</v>
      </c>
      <c r="Q572" s="29" t="str">
        <f>IF(B572="","",IF(B572&lt;TIME(12,0,0),"Manhã",IF(B572&lt;TIME(18,0,0),"Tarde","Noite")))</f>
        <v>Tarde</v>
      </c>
      <c r="R572" s="45">
        <f>IF(AND(H572="Realizado",L572&lt;&gt;""),L572/60,0)</f>
        <v>0.333333333333333</v>
      </c>
    </row>
    <row r="573">
      <c r="A573" s="42" t="n">
        <v>46261</v>
      </c>
      <c r="B573" s="43" t="n">
        <v>0.5972222222222222</v>
      </c>
      <c r="C573" s="37" t="inlineStr">
        <is>
          <t>Dra. Renata Sousa</t>
        </is>
      </c>
      <c r="D573" s="37" t="inlineStr">
        <is>
          <t>Sala 1</t>
        </is>
      </c>
      <c r="E573" s="36" t="inlineStr">
        <is>
          <t>Priscila Reis</t>
        </is>
      </c>
      <c r="F573" s="37" t="inlineStr">
        <is>
          <t>Particular</t>
        </is>
      </c>
      <c r="G573" s="37" t="inlineStr">
        <is>
          <t>Avaliação endócrina</t>
        </is>
      </c>
      <c r="H573" s="37" t="inlineStr">
        <is>
          <t>Realizado</t>
        </is>
      </c>
      <c r="I573" s="37" t="inlineStr">
        <is>
          <t>Cartão de débito</t>
        </is>
      </c>
      <c r="J573" s="37" t="n"/>
      <c r="K573" s="36" t="n"/>
      <c r="L573" s="44">
        <f>IF(G573="","",IFERROR(INDEX(Config!$K$5:$K$16,MATCH(G573,Config!$J$5:$J$16,0)),""))</f>
        <v>40</v>
      </c>
      <c r="M573" s="30">
        <f>IF(OR(G573="",F573=""),"",IFERROR(INDEX(Config!$M$5:$R$16,MATCH(G573,Config!$J$5:$J$16,0),MATCH(F573,Config!$H$5:$H$10,0)),""))</f>
        <v>400</v>
      </c>
      <c r="N573" s="29">
        <f>IF(A573="","",MONTH(A573))</f>
        <v>8</v>
      </c>
      <c r="O573" s="29">
        <f>IF(A573="","",YEAR(A573))</f>
        <v>2026</v>
      </c>
      <c r="P573" s="29" t="str">
        <f>IF(A573="","",CHOOSE(WEEKDAY(A573,2),"Segunda","Terça","Quarta","Quinta","Sexta","Sábado","Domingo"))</f>
        <v>Quinta</v>
      </c>
      <c r="Q573" s="29" t="str">
        <f>IF(B573="","",IF(B573&lt;TIME(12,0,0),"Manhã",IF(B573&lt;TIME(18,0,0),"Tarde","Noite")))</f>
        <v>Tarde</v>
      </c>
      <c r="R573" s="45">
        <f>IF(AND(H573="Realizado",L573&lt;&gt;""),L573/60,0)</f>
        <v>0.666666666666667</v>
      </c>
    </row>
    <row r="574">
      <c r="A574" s="42" t="n">
        <v>46261</v>
      </c>
      <c r="B574" s="43" t="n">
        <v>0.5972222222222222</v>
      </c>
      <c r="C574" s="37" t="inlineStr">
        <is>
          <t>Dr. Paulo Andrade</t>
        </is>
      </c>
      <c r="D574" s="37" t="inlineStr">
        <is>
          <t>Sala 2</t>
        </is>
      </c>
      <c r="E574" s="36" t="inlineStr">
        <is>
          <t>Thiago Duarte</t>
        </is>
      </c>
      <c r="F574" s="37" t="inlineStr">
        <is>
          <t>Saúde Total</t>
        </is>
      </c>
      <c r="G574" s="37" t="inlineStr">
        <is>
          <t>ECG</t>
        </is>
      </c>
      <c r="H574" s="37" t="inlineStr">
        <is>
          <t>Realizado</t>
        </is>
      </c>
      <c r="I574" s="37" t="inlineStr">
        <is>
          <t>Convênio</t>
        </is>
      </c>
      <c r="J574" s="37" t="n"/>
      <c r="K574" s="36" t="n"/>
      <c r="L574" s="44">
        <f>IF(G574="","",IFERROR(INDEX(Config!$K$5:$K$16,MATCH(G574,Config!$J$5:$J$16,0)),""))</f>
        <v>20</v>
      </c>
      <c r="M574" s="30">
        <f>IF(OR(G574="",F574=""),"",IFERROR(INDEX(Config!$M$5:$R$16,MATCH(G574,Config!$J$5:$J$16,0),MATCH(F574,Config!$H$5:$H$10,0)),""))</f>
        <v>40</v>
      </c>
      <c r="N574" s="29">
        <f>IF(A574="","",MONTH(A574))</f>
        <v>8</v>
      </c>
      <c r="O574" s="29">
        <f>IF(A574="","",YEAR(A574))</f>
        <v>2026</v>
      </c>
      <c r="P574" s="29" t="str">
        <f>IF(A574="","",CHOOSE(WEEKDAY(A574,2),"Segunda","Terça","Quarta","Quinta","Sexta","Sábado","Domingo"))</f>
        <v>Quinta</v>
      </c>
      <c r="Q574" s="29" t="str">
        <f>IF(B574="","",IF(B574&lt;TIME(12,0,0),"Manhã",IF(B574&lt;TIME(18,0,0),"Tarde","Noite")))</f>
        <v>Tarde</v>
      </c>
      <c r="R574" s="45">
        <f>IF(AND(H574="Realizado",L574&lt;&gt;""),L574/60,0)</f>
        <v>0.333333333333333</v>
      </c>
    </row>
    <row r="575">
      <c r="A575" s="42" t="n">
        <v>46261</v>
      </c>
      <c r="B575" s="43" t="n">
        <v>0.6111111111111112</v>
      </c>
      <c r="C575" s="37" t="inlineStr">
        <is>
          <t>Dr. Paulo Andrade</t>
        </is>
      </c>
      <c r="D575" s="37" t="inlineStr">
        <is>
          <t>Sala 2</t>
        </is>
      </c>
      <c r="E575" s="36" t="inlineStr">
        <is>
          <t>Wagner Costa</t>
        </is>
      </c>
      <c r="F575" s="37" t="inlineStr">
        <is>
          <t>Particular</t>
        </is>
      </c>
      <c r="G575" s="37" t="inlineStr">
        <is>
          <t>MAPA</t>
        </is>
      </c>
      <c r="H575" s="37" t="inlineStr">
        <is>
          <t>Realizado</t>
        </is>
      </c>
      <c r="I575" s="37" t="inlineStr">
        <is>
          <t>Pix</t>
        </is>
      </c>
      <c r="J575" s="37" t="n"/>
      <c r="K575" s="36" t="n"/>
      <c r="L575" s="44">
        <f>IF(G575="","",IFERROR(INDEX(Config!$K$5:$K$16,MATCH(G575,Config!$J$5:$J$16,0)),""))</f>
        <v>20</v>
      </c>
      <c r="M575" s="30">
        <f>IF(OR(G575="",F575=""),"",IFERROR(INDEX(Config!$M$5:$R$16,MATCH(G575,Config!$J$5:$J$16,0),MATCH(F575,Config!$H$5:$H$10,0)),""))</f>
        <v>300</v>
      </c>
      <c r="N575" s="29">
        <f>IF(A575="","",MONTH(A575))</f>
        <v>8</v>
      </c>
      <c r="O575" s="29">
        <f>IF(A575="","",YEAR(A575))</f>
        <v>2026</v>
      </c>
      <c r="P575" s="29" t="str">
        <f>IF(A575="","",CHOOSE(WEEKDAY(A575,2),"Segunda","Terça","Quarta","Quinta","Sexta","Sábado","Domingo"))</f>
        <v>Quinta</v>
      </c>
      <c r="Q575" s="29" t="str">
        <f>IF(B575="","",IF(B575&lt;TIME(12,0,0),"Manhã",IF(B575&lt;TIME(18,0,0),"Tarde","Noite")))</f>
        <v>Tarde</v>
      </c>
      <c r="R575" s="45">
        <f>IF(AND(H575="Realizado",L575&lt;&gt;""),L575/60,0)</f>
        <v>0.333333333333333</v>
      </c>
    </row>
    <row r="576">
      <c r="A576" s="42" t="n">
        <v>46261</v>
      </c>
      <c r="B576" s="43" t="n">
        <v>0.625</v>
      </c>
      <c r="C576" s="37" t="inlineStr">
        <is>
          <t>Dr. Paulo Andrade</t>
        </is>
      </c>
      <c r="D576" s="37" t="inlineStr">
        <is>
          <t>Sala 2</t>
        </is>
      </c>
      <c r="E576" s="36" t="inlineStr">
        <is>
          <t>Renato Dias</t>
        </is>
      </c>
      <c r="F576" s="37" t="inlineStr">
        <is>
          <t>Particular</t>
        </is>
      </c>
      <c r="G576" s="37" t="inlineStr">
        <is>
          <t>Holter</t>
        </is>
      </c>
      <c r="H576" s="37" t="inlineStr">
        <is>
          <t>Realizado</t>
        </is>
      </c>
      <c r="I576" s="37" t="inlineStr">
        <is>
          <t>A prazo</t>
        </is>
      </c>
      <c r="J576" s="37" t="n"/>
      <c r="K576" s="36" t="n"/>
      <c r="L576" s="44">
        <f>IF(G576="","",IFERROR(INDEX(Config!$K$5:$K$16,MATCH(G576,Config!$J$5:$J$16,0)),""))</f>
        <v>20</v>
      </c>
      <c r="M576" s="30">
        <f>IF(OR(G576="",F576=""),"",IFERROR(INDEX(Config!$M$5:$R$16,MATCH(G576,Config!$J$5:$J$16,0),MATCH(F576,Config!$H$5:$H$10,0)),""))</f>
        <v>350</v>
      </c>
      <c r="N576" s="29">
        <f>IF(A576="","",MONTH(A576))</f>
        <v>8</v>
      </c>
      <c r="O576" s="29">
        <f>IF(A576="","",YEAR(A576))</f>
        <v>2026</v>
      </c>
      <c r="P576" s="29" t="str">
        <f>IF(A576="","",CHOOSE(WEEKDAY(A576,2),"Segunda","Terça","Quarta","Quinta","Sexta","Sábado","Domingo"))</f>
        <v>Quinta</v>
      </c>
      <c r="Q576" s="29" t="str">
        <f>IF(B576="","",IF(B576&lt;TIME(12,0,0),"Manhã",IF(B576&lt;TIME(18,0,0),"Tarde","Noite")))</f>
        <v>Tarde</v>
      </c>
      <c r="R576" s="45">
        <f>IF(AND(H576="Realizado",L576&lt;&gt;""),L576/60,0)</f>
        <v>0.333333333333333</v>
      </c>
    </row>
    <row r="577">
      <c r="A577" s="42" t="n">
        <v>46261</v>
      </c>
      <c r="B577" s="43" t="n">
        <v>0.6458333333333334</v>
      </c>
      <c r="C577" s="37" t="inlineStr">
        <is>
          <t>Dra. Renata Sousa</t>
        </is>
      </c>
      <c r="D577" s="37" t="inlineStr">
        <is>
          <t>Sala 1</t>
        </is>
      </c>
      <c r="E577" s="36" t="inlineStr">
        <is>
          <t>Tatiana Macedo</t>
        </is>
      </c>
      <c r="F577" s="37" t="inlineStr">
        <is>
          <t>Particular</t>
        </is>
      </c>
      <c r="G577" s="37" t="inlineStr">
        <is>
          <t>Avaliação endócrina</t>
        </is>
      </c>
      <c r="H577" s="37" t="inlineStr">
        <is>
          <t>Realizado</t>
        </is>
      </c>
      <c r="I577" s="37" t="inlineStr">
        <is>
          <t>Pix</t>
        </is>
      </c>
      <c r="J577" s="37" t="n"/>
      <c r="K577" s="36" t="n"/>
      <c r="L577" s="44">
        <f>IF(G577="","",IFERROR(INDEX(Config!$K$5:$K$16,MATCH(G577,Config!$J$5:$J$16,0)),""))</f>
        <v>40</v>
      </c>
      <c r="M577" s="30">
        <f>IF(OR(G577="",F577=""),"",IFERROR(INDEX(Config!$M$5:$R$16,MATCH(G577,Config!$J$5:$J$16,0),MATCH(F577,Config!$H$5:$H$10,0)),""))</f>
        <v>400</v>
      </c>
      <c r="N577" s="29">
        <f>IF(A577="","",MONTH(A577))</f>
        <v>8</v>
      </c>
      <c r="O577" s="29">
        <f>IF(A577="","",YEAR(A577))</f>
        <v>2026</v>
      </c>
      <c r="P577" s="29" t="str">
        <f>IF(A577="","",CHOOSE(WEEKDAY(A577,2),"Segunda","Terça","Quarta","Quinta","Sexta","Sábado","Domingo"))</f>
        <v>Quinta</v>
      </c>
      <c r="Q577" s="29" t="str">
        <f>IF(B577="","",IF(B577&lt;TIME(12,0,0),"Manhã",IF(B577&lt;TIME(18,0,0),"Tarde","Noite")))</f>
        <v>Tarde</v>
      </c>
      <c r="R577" s="45">
        <f>IF(AND(H577="Realizado",L577&lt;&gt;""),L577/60,0)</f>
        <v>0.666666666666667</v>
      </c>
    </row>
    <row r="578">
      <c r="A578" s="42" t="n">
        <v>46261</v>
      </c>
      <c r="B578" s="43" t="n">
        <v>0.6597222222222222</v>
      </c>
      <c r="C578" s="37" t="inlineStr">
        <is>
          <t>Dr. Paulo Andrade</t>
        </is>
      </c>
      <c r="D578" s="37" t="inlineStr">
        <is>
          <t>Sala 2</t>
        </is>
      </c>
      <c r="E578" s="36" t="inlineStr">
        <is>
          <t>Bruno Carvalho</t>
        </is>
      </c>
      <c r="F578" s="37" t="inlineStr">
        <is>
          <t>Saúde Total</t>
        </is>
      </c>
      <c r="G578" s="37" t="inlineStr">
        <is>
          <t>Consulta</t>
        </is>
      </c>
      <c r="H578" s="37" t="inlineStr">
        <is>
          <t>Realizado</t>
        </is>
      </c>
      <c r="I578" s="37" t="inlineStr">
        <is>
          <t>Convênio</t>
        </is>
      </c>
      <c r="J578" s="37" t="n"/>
      <c r="K578" s="36" t="n"/>
      <c r="L578" s="44">
        <f>IF(G578="","",IFERROR(INDEX(Config!$K$5:$K$16,MATCH(G578,Config!$J$5:$J$16,0)),""))</f>
        <v>30</v>
      </c>
      <c r="M578" s="30">
        <f>IF(OR(G578="",F578=""),"",IFERROR(INDEX(Config!$M$5:$R$16,MATCH(G578,Config!$J$5:$J$16,0),MATCH(F578,Config!$H$5:$H$10,0)),""))</f>
        <v>120</v>
      </c>
      <c r="N578" s="29">
        <f>IF(A578="","",MONTH(A578))</f>
        <v>8</v>
      </c>
      <c r="O578" s="29">
        <f>IF(A578="","",YEAR(A578))</f>
        <v>2026</v>
      </c>
      <c r="P578" s="29" t="str">
        <f>IF(A578="","",CHOOSE(WEEKDAY(A578,2),"Segunda","Terça","Quarta","Quinta","Sexta","Sábado","Domingo"))</f>
        <v>Quinta</v>
      </c>
      <c r="Q578" s="29" t="str">
        <f>IF(B578="","",IF(B578&lt;TIME(12,0,0),"Manhã",IF(B578&lt;TIME(18,0,0),"Tarde","Noite")))</f>
        <v>Tarde</v>
      </c>
      <c r="R578" s="45">
        <f>IF(AND(H578="Realizado",L578&lt;&gt;""),L578/60,0)</f>
        <v>0.5</v>
      </c>
    </row>
    <row r="579">
      <c r="A579" s="42" t="n">
        <v>46261</v>
      </c>
      <c r="B579" s="43" t="n">
        <v>0.6736111111111112</v>
      </c>
      <c r="C579" s="37" t="inlineStr">
        <is>
          <t>Dra. Renata Sousa</t>
        </is>
      </c>
      <c r="D579" s="37" t="inlineStr">
        <is>
          <t>Sala 1</t>
        </is>
      </c>
      <c r="E579" s="36" t="inlineStr">
        <is>
          <t>Mariana Reis</t>
        </is>
      </c>
      <c r="F579" s="37" t="inlineStr">
        <is>
          <t>Particular</t>
        </is>
      </c>
      <c r="G579" s="37" t="inlineStr">
        <is>
          <t>Avaliação endócrina</t>
        </is>
      </c>
      <c r="H579" s="37" t="inlineStr">
        <is>
          <t>Realizado</t>
        </is>
      </c>
      <c r="I579" s="37" t="inlineStr">
        <is>
          <t>A prazo</t>
        </is>
      </c>
      <c r="J579" s="37" t="n"/>
      <c r="K579" s="36" t="n"/>
      <c r="L579" s="44">
        <f>IF(G579="","",IFERROR(INDEX(Config!$K$5:$K$16,MATCH(G579,Config!$J$5:$J$16,0)),""))</f>
        <v>40</v>
      </c>
      <c r="M579" s="30">
        <f>IF(OR(G579="",F579=""),"",IFERROR(INDEX(Config!$M$5:$R$16,MATCH(G579,Config!$J$5:$J$16,0),MATCH(F579,Config!$H$5:$H$10,0)),""))</f>
        <v>400</v>
      </c>
      <c r="N579" s="29">
        <f>IF(A579="","",MONTH(A579))</f>
        <v>8</v>
      </c>
      <c r="O579" s="29">
        <f>IF(A579="","",YEAR(A579))</f>
        <v>2026</v>
      </c>
      <c r="P579" s="29" t="str">
        <f>IF(A579="","",CHOOSE(WEEKDAY(A579,2),"Segunda","Terça","Quarta","Quinta","Sexta","Sábado","Domingo"))</f>
        <v>Quinta</v>
      </c>
      <c r="Q579" s="29" t="str">
        <f>IF(B579="","",IF(B579&lt;TIME(12,0,0),"Manhã",IF(B579&lt;TIME(18,0,0),"Tarde","Noite")))</f>
        <v>Tarde</v>
      </c>
      <c r="R579" s="45">
        <f>IF(AND(H579="Realizado",L579&lt;&gt;""),L579/60,0)</f>
        <v>0.666666666666667</v>
      </c>
    </row>
    <row r="580">
      <c r="A580" s="42" t="n">
        <v>46261</v>
      </c>
      <c r="B580" s="43" t="n">
        <v>0.6805555555555556</v>
      </c>
      <c r="C580" s="37" t="inlineStr">
        <is>
          <t>Dr. Paulo Andrade</t>
        </is>
      </c>
      <c r="D580" s="37" t="inlineStr">
        <is>
          <t>Sala 2</t>
        </is>
      </c>
      <c r="E580" s="36" t="inlineStr">
        <is>
          <t>Fernanda Nunes</t>
        </is>
      </c>
      <c r="F580" s="37" t="inlineStr">
        <is>
          <t>MediPlan</t>
        </is>
      </c>
      <c r="G580" s="37" t="inlineStr">
        <is>
          <t>Consulta</t>
        </is>
      </c>
      <c r="H580" s="37" t="inlineStr">
        <is>
          <t>Realizado</t>
        </is>
      </c>
      <c r="I580" s="37" t="inlineStr">
        <is>
          <t>Convênio</t>
        </is>
      </c>
      <c r="J580" s="37" t="n"/>
      <c r="K580" s="36" t="n"/>
      <c r="L580" s="44">
        <f>IF(G580="","",IFERROR(INDEX(Config!$K$5:$K$16,MATCH(G580,Config!$J$5:$J$16,0)),""))</f>
        <v>30</v>
      </c>
      <c r="M580" s="30">
        <f>IF(OR(G580="",F580=""),"",IFERROR(INDEX(Config!$M$5:$R$16,MATCH(G580,Config!$J$5:$J$16,0),MATCH(F580,Config!$H$5:$H$10,0)),""))</f>
        <v>100</v>
      </c>
      <c r="N580" s="29">
        <f>IF(A580="","",MONTH(A580))</f>
        <v>8</v>
      </c>
      <c r="O580" s="29">
        <f>IF(A580="","",YEAR(A580))</f>
        <v>2026</v>
      </c>
      <c r="P580" s="29" t="str">
        <f>IF(A580="","",CHOOSE(WEEKDAY(A580,2),"Segunda","Terça","Quarta","Quinta","Sexta","Sábado","Domingo"))</f>
        <v>Quinta</v>
      </c>
      <c r="Q580" s="29" t="str">
        <f>IF(B580="","",IF(B580&lt;TIME(12,0,0),"Manhã",IF(B580&lt;TIME(18,0,0),"Tarde","Noite")))</f>
        <v>Tarde</v>
      </c>
      <c r="R580" s="45">
        <f>IF(AND(H580="Realizado",L580&lt;&gt;""),L580/60,0)</f>
        <v>0.5</v>
      </c>
    </row>
    <row r="581">
      <c r="A581" s="42" t="n">
        <v>46261</v>
      </c>
      <c r="B581" s="43" t="n">
        <v>0.7013888888888888</v>
      </c>
      <c r="C581" s="37" t="inlineStr">
        <is>
          <t>Dr. Paulo Andrade</t>
        </is>
      </c>
      <c r="D581" s="37" t="inlineStr">
        <is>
          <t>Sala 2</t>
        </is>
      </c>
      <c r="E581" s="36" t="inlineStr">
        <is>
          <t>Débora Moreira</t>
        </is>
      </c>
      <c r="F581" s="37" t="inlineStr">
        <is>
          <t>Particular</t>
        </is>
      </c>
      <c r="G581" s="37" t="inlineStr">
        <is>
          <t>Retorno</t>
        </is>
      </c>
      <c r="H581" s="37" t="inlineStr">
        <is>
          <t>Realizado</t>
        </is>
      </c>
      <c r="I581" s="37" t="inlineStr">
        <is>
          <t>Sem cobrança</t>
        </is>
      </c>
      <c r="J581" s="37" t="n"/>
      <c r="K581" s="36" t="n"/>
      <c r="L581" s="44">
        <f>IF(G581="","",IFERROR(INDEX(Config!$K$5:$K$16,MATCH(G581,Config!$J$5:$J$16,0)),""))</f>
        <v>20</v>
      </c>
      <c r="M581" s="30">
        <f>IF(OR(G581="",F581=""),"",IFERROR(INDEX(Config!$M$5:$R$16,MATCH(G581,Config!$J$5:$J$16,0),MATCH(F581,Config!$H$5:$H$10,0)),""))</f>
        <v>0</v>
      </c>
      <c r="N581" s="29">
        <f>IF(A581="","",MONTH(A581))</f>
        <v>8</v>
      </c>
      <c r="O581" s="29">
        <f>IF(A581="","",YEAR(A581))</f>
        <v>2026</v>
      </c>
      <c r="P581" s="29" t="str">
        <f>IF(A581="","",CHOOSE(WEEKDAY(A581,2),"Segunda","Terça","Quarta","Quinta","Sexta","Sábado","Domingo"))</f>
        <v>Quinta</v>
      </c>
      <c r="Q581" s="29" t="str">
        <f>IF(B581="","",IF(B581&lt;TIME(12,0,0),"Manhã",IF(B581&lt;TIME(18,0,0),"Tarde","Noite")))</f>
        <v>Tarde</v>
      </c>
      <c r="R581" s="45">
        <f>IF(AND(H581="Realizado",L581&lt;&gt;""),L581/60,0)</f>
        <v>0.333333333333333</v>
      </c>
    </row>
    <row r="582">
      <c r="A582" s="42" t="n">
        <v>46261</v>
      </c>
      <c r="B582" s="43" t="n">
        <v>0.7222222222222222</v>
      </c>
      <c r="C582" s="37" t="inlineStr">
        <is>
          <t>Dra. Renata Sousa</t>
        </is>
      </c>
      <c r="D582" s="37" t="inlineStr">
        <is>
          <t>Sala 1</t>
        </is>
      </c>
      <c r="E582" s="36" t="inlineStr">
        <is>
          <t>Patrícia Dias</t>
        </is>
      </c>
      <c r="F582" s="37" t="inlineStr">
        <is>
          <t>Particular</t>
        </is>
      </c>
      <c r="G582" s="37" t="inlineStr">
        <is>
          <t>Avaliação endócrina</t>
        </is>
      </c>
      <c r="H582" s="37" t="inlineStr">
        <is>
          <t>Falta</t>
        </is>
      </c>
      <c r="I582" s="37" t="n"/>
      <c r="J582" s="37" t="n"/>
      <c r="K582" s="36" t="n"/>
      <c r="L582" s="44">
        <f>IF(G582="","",IFERROR(INDEX(Config!$K$5:$K$16,MATCH(G582,Config!$J$5:$J$16,0)),""))</f>
        <v>40</v>
      </c>
      <c r="M582" s="30">
        <f>IF(OR(G582="",F582=""),"",IFERROR(INDEX(Config!$M$5:$R$16,MATCH(G582,Config!$J$5:$J$16,0),MATCH(F582,Config!$H$5:$H$10,0)),""))</f>
        <v>400</v>
      </c>
      <c r="N582" s="29">
        <f>IF(A582="","",MONTH(A582))</f>
        <v>8</v>
      </c>
      <c r="O582" s="29">
        <f>IF(A582="","",YEAR(A582))</f>
        <v>2026</v>
      </c>
      <c r="P582" s="29" t="str">
        <f>IF(A582="","",CHOOSE(WEEKDAY(A582,2),"Segunda","Terça","Quarta","Quinta","Sexta","Sábado","Domingo"))</f>
        <v>Quinta</v>
      </c>
      <c r="Q582" s="29" t="str">
        <f>IF(B582="","",IF(B582&lt;TIME(12,0,0),"Manhã",IF(B582&lt;TIME(18,0,0),"Tarde","Noite")))</f>
        <v>Tarde</v>
      </c>
      <c r="R582" s="45">
        <f>IF(AND(H582="Realizado",L582&lt;&gt;""),L582/60,0)</f>
        <v>0</v>
      </c>
    </row>
    <row r="583">
      <c r="A583" s="42" t="n">
        <v>46261</v>
      </c>
      <c r="B583" s="43" t="n">
        <v>0.7361111111111112</v>
      </c>
      <c r="C583" s="37" t="inlineStr">
        <is>
          <t>Dr. Paulo Andrade</t>
        </is>
      </c>
      <c r="D583" s="37" t="inlineStr">
        <is>
          <t>Sala 2</t>
        </is>
      </c>
      <c r="E583" s="36" t="inlineStr">
        <is>
          <t>Wagner Carvalho</t>
        </is>
      </c>
      <c r="F583" s="37" t="inlineStr">
        <is>
          <t>Vida Care</t>
        </is>
      </c>
      <c r="G583" s="37" t="inlineStr">
        <is>
          <t>Retorno</t>
        </is>
      </c>
      <c r="H583" s="37" t="inlineStr">
        <is>
          <t>Realizado</t>
        </is>
      </c>
      <c r="I583" s="37" t="inlineStr">
        <is>
          <t>Sem cobrança</t>
        </is>
      </c>
      <c r="J583" s="37" t="n"/>
      <c r="K583" s="36" t="n"/>
      <c r="L583" s="44">
        <f>IF(G583="","",IFERROR(INDEX(Config!$K$5:$K$16,MATCH(G583,Config!$J$5:$J$16,0)),""))</f>
        <v>20</v>
      </c>
      <c r="M583" s="30">
        <f>IF(OR(G583="",F583=""),"",IFERROR(INDEX(Config!$M$5:$R$16,MATCH(G583,Config!$J$5:$J$16,0),MATCH(F583,Config!$H$5:$H$10,0)),""))</f>
        <v>0</v>
      </c>
      <c r="N583" s="29">
        <f>IF(A583="","",MONTH(A583))</f>
        <v>8</v>
      </c>
      <c r="O583" s="29">
        <f>IF(A583="","",YEAR(A583))</f>
        <v>2026</v>
      </c>
      <c r="P583" s="29" t="str">
        <f>IF(A583="","",CHOOSE(WEEKDAY(A583,2),"Segunda","Terça","Quarta","Quinta","Sexta","Sábado","Domingo"))</f>
        <v>Quinta</v>
      </c>
      <c r="Q583" s="29" t="str">
        <f>IF(B583="","",IF(B583&lt;TIME(12,0,0),"Manhã",IF(B583&lt;TIME(18,0,0),"Tarde","Noite")))</f>
        <v>Tarde</v>
      </c>
      <c r="R583" s="45">
        <f>IF(AND(H583="Realizado",L583&lt;&gt;""),L583/60,0)</f>
        <v>0.333333333333333</v>
      </c>
    </row>
    <row r="584">
      <c r="A584" s="42" t="n">
        <v>46262</v>
      </c>
      <c r="B584" s="43" t="n">
        <v>0.3333333333333333</v>
      </c>
      <c r="C584" s="37" t="inlineStr">
        <is>
          <t>Dr. Paulo Andrade</t>
        </is>
      </c>
      <c r="D584" s="37" t="inlineStr">
        <is>
          <t>Sala 2</t>
        </is>
      </c>
      <c r="E584" s="36" t="inlineStr">
        <is>
          <t>Vanessa Carvalho</t>
        </is>
      </c>
      <c r="F584" s="37" t="inlineStr">
        <is>
          <t>Saúde Total</t>
        </is>
      </c>
      <c r="G584" s="37" t="inlineStr">
        <is>
          <t>Consulta</t>
        </is>
      </c>
      <c r="H584" s="37" t="inlineStr">
        <is>
          <t>Realizado</t>
        </is>
      </c>
      <c r="I584" s="37" t="inlineStr">
        <is>
          <t>Convênio</t>
        </is>
      </c>
      <c r="J584" s="37" t="n"/>
      <c r="K584" s="36" t="n"/>
      <c r="L584" s="44">
        <f>IF(G584="","",IFERROR(INDEX(Config!$K$5:$K$16,MATCH(G584,Config!$J$5:$J$16,0)),""))</f>
        <v>30</v>
      </c>
      <c r="M584" s="30">
        <f>IF(OR(G584="",F584=""),"",IFERROR(INDEX(Config!$M$5:$R$16,MATCH(G584,Config!$J$5:$J$16,0),MATCH(F584,Config!$H$5:$H$10,0)),""))</f>
        <v>120</v>
      </c>
      <c r="N584" s="29">
        <f>IF(A584="","",MONTH(A584))</f>
        <v>8</v>
      </c>
      <c r="O584" s="29">
        <f>IF(A584="","",YEAR(A584))</f>
        <v>2026</v>
      </c>
      <c r="P584" s="29" t="str">
        <f>IF(A584="","",CHOOSE(WEEKDAY(A584,2),"Segunda","Terça","Quarta","Quinta","Sexta","Sábado","Domingo"))</f>
        <v>Sexta</v>
      </c>
      <c r="Q584" s="29" t="str">
        <f>IF(B584="","",IF(B584&lt;TIME(12,0,0),"Manhã",IF(B584&lt;TIME(18,0,0),"Tarde","Noite")))</f>
        <v>Manhã</v>
      </c>
      <c r="R584" s="45">
        <f>IF(AND(H584="Realizado",L584&lt;&gt;""),L584/60,0)</f>
        <v>0.5</v>
      </c>
    </row>
    <row r="585">
      <c r="A585" s="42" t="n">
        <v>46262</v>
      </c>
      <c r="B585" s="43" t="n">
        <v>0.3541666666666667</v>
      </c>
      <c r="C585" s="37" t="inlineStr">
        <is>
          <t>Dr. Paulo Andrade</t>
        </is>
      </c>
      <c r="D585" s="37" t="inlineStr">
        <is>
          <t>Sala 2</t>
        </is>
      </c>
      <c r="E585" s="36" t="inlineStr">
        <is>
          <t>Mateus Martins</t>
        </is>
      </c>
      <c r="F585" s="37" t="inlineStr">
        <is>
          <t>Vida Care</t>
        </is>
      </c>
      <c r="G585" s="37" t="inlineStr">
        <is>
          <t>Consulta</t>
        </is>
      </c>
      <c r="H585" s="37" t="inlineStr">
        <is>
          <t>Realizado</t>
        </is>
      </c>
      <c r="I585" s="37" t="inlineStr">
        <is>
          <t>Convênio</t>
        </is>
      </c>
      <c r="J585" s="37" t="n"/>
      <c r="K585" s="36" t="n"/>
      <c r="L585" s="44">
        <f>IF(G585="","",IFERROR(INDEX(Config!$K$5:$K$16,MATCH(G585,Config!$J$5:$J$16,0)),""))</f>
        <v>30</v>
      </c>
      <c r="M585" s="30">
        <f>IF(OR(G585="",F585=""),"",IFERROR(INDEX(Config!$M$5:$R$16,MATCH(G585,Config!$J$5:$J$16,0),MATCH(F585,Config!$H$5:$H$10,0)),""))</f>
        <v>90</v>
      </c>
      <c r="N585" s="29">
        <f>IF(A585="","",MONTH(A585))</f>
        <v>8</v>
      </c>
      <c r="O585" s="29">
        <f>IF(A585="","",YEAR(A585))</f>
        <v>2026</v>
      </c>
      <c r="P585" s="29" t="str">
        <f>IF(A585="","",CHOOSE(WEEKDAY(A585,2),"Segunda","Terça","Quarta","Quinta","Sexta","Sábado","Domingo"))</f>
        <v>Sexta</v>
      </c>
      <c r="Q585" s="29" t="str">
        <f>IF(B585="","",IF(B585&lt;TIME(12,0,0),"Manhã",IF(B585&lt;TIME(18,0,0),"Tarde","Noite")))</f>
        <v>Manhã</v>
      </c>
      <c r="R585" s="45">
        <f>IF(AND(H585="Realizado",L585&lt;&gt;""),L585/60,0)</f>
        <v>0.5</v>
      </c>
    </row>
    <row r="586">
      <c r="A586" s="42" t="n">
        <v>46262</v>
      </c>
      <c r="B586" s="43" t="n">
        <v>0.3958333333333333</v>
      </c>
      <c r="C586" s="37" t="inlineStr">
        <is>
          <t>Dr. Paulo Andrade</t>
        </is>
      </c>
      <c r="D586" s="37" t="inlineStr">
        <is>
          <t>Sala 2</t>
        </is>
      </c>
      <c r="E586" s="36" t="inlineStr">
        <is>
          <t>Henrique Santos</t>
        </is>
      </c>
      <c r="F586" s="37" t="inlineStr">
        <is>
          <t>Vida Care</t>
        </is>
      </c>
      <c r="G586" s="37" t="inlineStr">
        <is>
          <t>Consulta</t>
        </is>
      </c>
      <c r="H586" s="37" t="inlineStr">
        <is>
          <t>Realizado</t>
        </is>
      </c>
      <c r="I586" s="37" t="inlineStr">
        <is>
          <t>Convênio</t>
        </is>
      </c>
      <c r="J586" s="37" t="n"/>
      <c r="K586" s="36" t="n"/>
      <c r="L586" s="44">
        <f>IF(G586="","",IFERROR(INDEX(Config!$K$5:$K$16,MATCH(G586,Config!$J$5:$J$16,0)),""))</f>
        <v>30</v>
      </c>
      <c r="M586" s="30">
        <f>IF(OR(G586="",F586=""),"",IFERROR(INDEX(Config!$M$5:$R$16,MATCH(G586,Config!$J$5:$J$16,0),MATCH(F586,Config!$H$5:$H$10,0)),""))</f>
        <v>90</v>
      </c>
      <c r="N586" s="29">
        <f>IF(A586="","",MONTH(A586))</f>
        <v>8</v>
      </c>
      <c r="O586" s="29">
        <f>IF(A586="","",YEAR(A586))</f>
        <v>2026</v>
      </c>
      <c r="P586" s="29" t="str">
        <f>IF(A586="","",CHOOSE(WEEKDAY(A586,2),"Segunda","Terça","Quarta","Quinta","Sexta","Sábado","Domingo"))</f>
        <v>Sexta</v>
      </c>
      <c r="Q586" s="29" t="str">
        <f>IF(B586="","",IF(B586&lt;TIME(12,0,0),"Manhã",IF(B586&lt;TIME(18,0,0),"Tarde","Noite")))</f>
        <v>Manhã</v>
      </c>
      <c r="R586" s="45">
        <f>IF(AND(H586="Realizado",L586&lt;&gt;""),L586/60,0)</f>
        <v>0.5</v>
      </c>
    </row>
    <row r="587">
      <c r="A587" s="42" t="n">
        <v>46262</v>
      </c>
      <c r="B587" s="43" t="n">
        <v>0.4375</v>
      </c>
      <c r="C587" s="37" t="inlineStr">
        <is>
          <t>Dr. Paulo Andrade</t>
        </is>
      </c>
      <c r="D587" s="37" t="inlineStr">
        <is>
          <t>Sala 2</t>
        </is>
      </c>
      <c r="E587" s="36" t="inlineStr">
        <is>
          <t>Paulo Nascimento</t>
        </is>
      </c>
      <c r="F587" s="37" t="inlineStr">
        <is>
          <t>MediPlan</t>
        </is>
      </c>
      <c r="G587" s="37" t="inlineStr">
        <is>
          <t>Consulta</t>
        </is>
      </c>
      <c r="H587" s="37" t="inlineStr">
        <is>
          <t>Realizado</t>
        </is>
      </c>
      <c r="I587" s="37" t="inlineStr">
        <is>
          <t>Convênio</t>
        </is>
      </c>
      <c r="J587" s="37" t="n"/>
      <c r="K587" s="36" t="n"/>
      <c r="L587" s="44">
        <f>IF(G587="","",IFERROR(INDEX(Config!$K$5:$K$16,MATCH(G587,Config!$J$5:$J$16,0)),""))</f>
        <v>30</v>
      </c>
      <c r="M587" s="30">
        <f>IF(OR(G587="",F587=""),"",IFERROR(INDEX(Config!$M$5:$R$16,MATCH(G587,Config!$J$5:$J$16,0),MATCH(F587,Config!$H$5:$H$10,0)),""))</f>
        <v>100</v>
      </c>
      <c r="N587" s="29">
        <f>IF(A587="","",MONTH(A587))</f>
        <v>8</v>
      </c>
      <c r="O587" s="29">
        <f>IF(A587="","",YEAR(A587))</f>
        <v>2026</v>
      </c>
      <c r="P587" s="29" t="str">
        <f>IF(A587="","",CHOOSE(WEEKDAY(A587,2),"Segunda","Terça","Quarta","Quinta","Sexta","Sábado","Domingo"))</f>
        <v>Sexta</v>
      </c>
      <c r="Q587" s="29" t="str">
        <f>IF(B587="","",IF(B587&lt;TIME(12,0,0),"Manhã",IF(B587&lt;TIME(18,0,0),"Tarde","Noite")))</f>
        <v>Manhã</v>
      </c>
      <c r="R587" s="45">
        <f>IF(AND(H587="Realizado",L587&lt;&gt;""),L587/60,0)</f>
        <v>0.5</v>
      </c>
    </row>
    <row r="588">
      <c r="A588" s="42" t="n">
        <v>46262</v>
      </c>
      <c r="B588" s="43" t="n">
        <v>0.4583333333333333</v>
      </c>
      <c r="C588" s="37" t="inlineStr">
        <is>
          <t>Dr. Paulo Andrade</t>
        </is>
      </c>
      <c r="D588" s="37" t="inlineStr">
        <is>
          <t>Sala 2</t>
        </is>
      </c>
      <c r="E588" s="36" t="inlineStr">
        <is>
          <t>Eduardo Reis</t>
        </is>
      </c>
      <c r="F588" s="37" t="inlineStr">
        <is>
          <t>Vida Care</t>
        </is>
      </c>
      <c r="G588" s="37" t="inlineStr">
        <is>
          <t>ECG</t>
        </is>
      </c>
      <c r="H588" s="37" t="inlineStr">
        <is>
          <t>Realizado</t>
        </is>
      </c>
      <c r="I588" s="37" t="inlineStr">
        <is>
          <t>Convênio</t>
        </is>
      </c>
      <c r="J588" s="37" t="n"/>
      <c r="K588" s="36" t="n"/>
      <c r="L588" s="44">
        <f>IF(G588="","",IFERROR(INDEX(Config!$K$5:$K$16,MATCH(G588,Config!$J$5:$J$16,0)),""))</f>
        <v>20</v>
      </c>
      <c r="M588" s="30">
        <f>IF(OR(G588="",F588=""),"",IFERROR(INDEX(Config!$M$5:$R$16,MATCH(G588,Config!$J$5:$J$16,0),MATCH(F588,Config!$H$5:$H$10,0)),""))</f>
        <v>32</v>
      </c>
      <c r="N588" s="29">
        <f>IF(A588="","",MONTH(A588))</f>
        <v>8</v>
      </c>
      <c r="O588" s="29">
        <f>IF(A588="","",YEAR(A588))</f>
        <v>2026</v>
      </c>
      <c r="P588" s="29" t="str">
        <f>IF(A588="","",CHOOSE(WEEKDAY(A588,2),"Segunda","Terça","Quarta","Quinta","Sexta","Sábado","Domingo"))</f>
        <v>Sexta</v>
      </c>
      <c r="Q588" s="29" t="str">
        <f>IF(B588="","",IF(B588&lt;TIME(12,0,0),"Manhã",IF(B588&lt;TIME(18,0,0),"Tarde","Noite")))</f>
        <v>Manhã</v>
      </c>
      <c r="R588" s="45">
        <f>IF(AND(H588="Realizado",L588&lt;&gt;""),L588/60,0)</f>
        <v>0.333333333333333</v>
      </c>
    </row>
    <row r="589">
      <c r="A589" s="42" t="n">
        <v>46262</v>
      </c>
      <c r="B589" s="43" t="n">
        <v>0.4722222222222222</v>
      </c>
      <c r="C589" s="37" t="inlineStr">
        <is>
          <t>Dr. Paulo Andrade</t>
        </is>
      </c>
      <c r="D589" s="37" t="inlineStr">
        <is>
          <t>Sala 2</t>
        </is>
      </c>
      <c r="E589" s="36" t="inlineStr">
        <is>
          <t>Sandra Cardoso</t>
        </is>
      </c>
      <c r="F589" s="37" t="inlineStr">
        <is>
          <t>Saúde Total</t>
        </is>
      </c>
      <c r="G589" s="37" t="inlineStr">
        <is>
          <t>Retorno</t>
        </is>
      </c>
      <c r="H589" s="37" t="inlineStr">
        <is>
          <t>Falta</t>
        </is>
      </c>
      <c r="I589" s="37" t="n"/>
      <c r="J589" s="37" t="n"/>
      <c r="K589" s="36" t="n"/>
      <c r="L589" s="44">
        <f>IF(G589="","",IFERROR(INDEX(Config!$K$5:$K$16,MATCH(G589,Config!$J$5:$J$16,0)),""))</f>
        <v>20</v>
      </c>
      <c r="M589" s="30">
        <f>IF(OR(G589="",F589=""),"",IFERROR(INDEX(Config!$M$5:$R$16,MATCH(G589,Config!$J$5:$J$16,0),MATCH(F589,Config!$H$5:$H$10,0)),""))</f>
        <v>0</v>
      </c>
      <c r="N589" s="29">
        <f>IF(A589="","",MONTH(A589))</f>
        <v>8</v>
      </c>
      <c r="O589" s="29">
        <f>IF(A589="","",YEAR(A589))</f>
        <v>2026</v>
      </c>
      <c r="P589" s="29" t="str">
        <f>IF(A589="","",CHOOSE(WEEKDAY(A589,2),"Segunda","Terça","Quarta","Quinta","Sexta","Sábado","Domingo"))</f>
        <v>Sexta</v>
      </c>
      <c r="Q589" s="29" t="str">
        <f>IF(B589="","",IF(B589&lt;TIME(12,0,0),"Manhã",IF(B589&lt;TIME(18,0,0),"Tarde","Noite")))</f>
        <v>Manhã</v>
      </c>
      <c r="R589" s="45">
        <f>IF(AND(H589="Realizado",L589&lt;&gt;""),L589/60,0)</f>
        <v>0</v>
      </c>
    </row>
    <row r="590">
      <c r="A590" s="42" t="n">
        <v>46262</v>
      </c>
      <c r="B590" s="43" t="n">
        <v>0.4861111111111111</v>
      </c>
      <c r="C590" s="37" t="inlineStr">
        <is>
          <t>Dr. Paulo Andrade</t>
        </is>
      </c>
      <c r="D590" s="37" t="inlineStr">
        <is>
          <t>Sala 2</t>
        </is>
      </c>
      <c r="E590" s="36" t="inlineStr">
        <is>
          <t>Gisele Pinto</t>
        </is>
      </c>
      <c r="F590" s="37" t="inlineStr">
        <is>
          <t>Saúde Total</t>
        </is>
      </c>
      <c r="G590" s="37" t="inlineStr">
        <is>
          <t>Retorno</t>
        </is>
      </c>
      <c r="H590" s="37" t="inlineStr">
        <is>
          <t>Realizado</t>
        </is>
      </c>
      <c r="I590" s="37" t="inlineStr">
        <is>
          <t>Sem cobrança</t>
        </is>
      </c>
      <c r="J590" s="37" t="n"/>
      <c r="K590" s="36" t="n"/>
      <c r="L590" s="44">
        <f>IF(G590="","",IFERROR(INDEX(Config!$K$5:$K$16,MATCH(G590,Config!$J$5:$J$16,0)),""))</f>
        <v>20</v>
      </c>
      <c r="M590" s="30">
        <f>IF(OR(G590="",F590=""),"",IFERROR(INDEX(Config!$M$5:$R$16,MATCH(G590,Config!$J$5:$J$16,0),MATCH(F590,Config!$H$5:$H$10,0)),""))</f>
        <v>0</v>
      </c>
      <c r="N590" s="29">
        <f>IF(A590="","",MONTH(A590))</f>
        <v>8</v>
      </c>
      <c r="O590" s="29">
        <f>IF(A590="","",YEAR(A590))</f>
        <v>2026</v>
      </c>
      <c r="P590" s="29" t="str">
        <f>IF(A590="","",CHOOSE(WEEKDAY(A590,2),"Segunda","Terça","Quarta","Quinta","Sexta","Sábado","Domingo"))</f>
        <v>Sexta</v>
      </c>
      <c r="Q590" s="29" t="str">
        <f>IF(B590="","",IF(B590&lt;TIME(12,0,0),"Manhã",IF(B590&lt;TIME(18,0,0),"Tarde","Noite")))</f>
        <v>Manhã</v>
      </c>
      <c r="R590" s="45">
        <f>IF(AND(H590="Realizado",L590&lt;&gt;""),L590/60,0)</f>
        <v>0.333333333333333</v>
      </c>
    </row>
    <row r="591">
      <c r="A591" s="42" t="n">
        <v>46265</v>
      </c>
      <c r="B591" s="43" t="n">
        <v>0.3333333333333333</v>
      </c>
      <c r="C591" s="37" t="inlineStr">
        <is>
          <t>Dra. Carolina Mendes</t>
        </is>
      </c>
      <c r="D591" s="37" t="inlineStr">
        <is>
          <t>Sala 1</t>
        </is>
      </c>
      <c r="E591" s="36" t="inlineStr">
        <is>
          <t>Elaine Cardoso</t>
        </is>
      </c>
      <c r="F591" s="37" t="inlineStr">
        <is>
          <t>Particular</t>
        </is>
      </c>
      <c r="G591" s="37" t="inlineStr">
        <is>
          <t>Retorno</t>
        </is>
      </c>
      <c r="H591" s="37" t="inlineStr">
        <is>
          <t>Realizado</t>
        </is>
      </c>
      <c r="I591" s="37" t="inlineStr">
        <is>
          <t>Sem cobrança</t>
        </is>
      </c>
      <c r="J591" s="37" t="n"/>
      <c r="K591" s="36" t="n"/>
      <c r="L591" s="44">
        <f>IF(G591="","",IFERROR(INDEX(Config!$K$5:$K$16,MATCH(G591,Config!$J$5:$J$16,0)),""))</f>
        <v>20</v>
      </c>
      <c r="M591" s="30">
        <f>IF(OR(G591="",F591=""),"",IFERROR(INDEX(Config!$M$5:$R$16,MATCH(G591,Config!$J$5:$J$16,0),MATCH(F591,Config!$H$5:$H$10,0)),""))</f>
        <v>0</v>
      </c>
      <c r="N591" s="29">
        <f>IF(A591="","",MONTH(A591))</f>
        <v>8</v>
      </c>
      <c r="O591" s="29">
        <f>IF(A591="","",YEAR(A591))</f>
        <v>2026</v>
      </c>
      <c r="P591" s="29" t="str">
        <f>IF(A591="","",CHOOSE(WEEKDAY(A591,2),"Segunda","Terça","Quarta","Quinta","Sexta","Sábado","Domingo"))</f>
        <v>Segunda</v>
      </c>
      <c r="Q591" s="29" t="str">
        <f>IF(B591="","",IF(B591&lt;TIME(12,0,0),"Manhã",IF(B591&lt;TIME(18,0,0),"Tarde","Noite")))</f>
        <v>Manhã</v>
      </c>
      <c r="R591" s="45">
        <f>IF(AND(H591="Realizado",L591&lt;&gt;""),L591/60,0)</f>
        <v>0.333333333333333</v>
      </c>
    </row>
    <row r="592">
      <c r="A592" s="42" t="n">
        <v>46265</v>
      </c>
      <c r="B592" s="43" t="n">
        <v>0.3472222222222222</v>
      </c>
      <c r="C592" s="37" t="inlineStr">
        <is>
          <t>Dra. Carolina Mendes</t>
        </is>
      </c>
      <c r="D592" s="37" t="inlineStr">
        <is>
          <t>Sala 1</t>
        </is>
      </c>
      <c r="E592" s="36" t="inlineStr">
        <is>
          <t>Lucas Xavier</t>
        </is>
      </c>
      <c r="F592" s="37" t="inlineStr">
        <is>
          <t>Saúde Total</t>
        </is>
      </c>
      <c r="G592" s="37" t="inlineStr">
        <is>
          <t>Consulta</t>
        </is>
      </c>
      <c r="H592" s="37" t="inlineStr">
        <is>
          <t>Realizado</t>
        </is>
      </c>
      <c r="I592" s="37" t="inlineStr">
        <is>
          <t>Convênio</t>
        </is>
      </c>
      <c r="J592" s="37" t="n"/>
      <c r="K592" s="36" t="n"/>
      <c r="L592" s="44">
        <f>IF(G592="","",IFERROR(INDEX(Config!$K$5:$K$16,MATCH(G592,Config!$J$5:$J$16,0)),""))</f>
        <v>30</v>
      </c>
      <c r="M592" s="30">
        <f>IF(OR(G592="",F592=""),"",IFERROR(INDEX(Config!$M$5:$R$16,MATCH(G592,Config!$J$5:$J$16,0),MATCH(F592,Config!$H$5:$H$10,0)),""))</f>
        <v>120</v>
      </c>
      <c r="N592" s="29">
        <f>IF(A592="","",MONTH(A592))</f>
        <v>8</v>
      </c>
      <c r="O592" s="29">
        <f>IF(A592="","",YEAR(A592))</f>
        <v>2026</v>
      </c>
      <c r="P592" s="29" t="str">
        <f>IF(A592="","",CHOOSE(WEEKDAY(A592,2),"Segunda","Terça","Quarta","Quinta","Sexta","Sábado","Domingo"))</f>
        <v>Segunda</v>
      </c>
      <c r="Q592" s="29" t="str">
        <f>IF(B592="","",IF(B592&lt;TIME(12,0,0),"Manhã",IF(B592&lt;TIME(18,0,0),"Tarde","Noite")))</f>
        <v>Manhã</v>
      </c>
      <c r="R592" s="45">
        <f>IF(AND(H592="Realizado",L592&lt;&gt;""),L592/60,0)</f>
        <v>0.5</v>
      </c>
    </row>
    <row r="593">
      <c r="A593" s="42" t="n">
        <v>46265</v>
      </c>
      <c r="B593" s="43" t="n">
        <v>0.3680555555555556</v>
      </c>
      <c r="C593" s="37" t="inlineStr">
        <is>
          <t>Dra. Carolina Mendes</t>
        </is>
      </c>
      <c r="D593" s="37" t="inlineStr">
        <is>
          <t>Sala 1</t>
        </is>
      </c>
      <c r="E593" s="36" t="inlineStr">
        <is>
          <t>Eduardo Nunes</t>
        </is>
      </c>
      <c r="F593" s="37" t="inlineStr">
        <is>
          <t>MediPlan</t>
        </is>
      </c>
      <c r="G593" s="37" t="inlineStr">
        <is>
          <t>Consulta</t>
        </is>
      </c>
      <c r="H593" s="37" t="inlineStr">
        <is>
          <t>Realizado</t>
        </is>
      </c>
      <c r="I593" s="37" t="inlineStr">
        <is>
          <t>Convênio</t>
        </is>
      </c>
      <c r="J593" s="37" t="n"/>
      <c r="K593" s="36" t="n"/>
      <c r="L593" s="44">
        <f>IF(G593="","",IFERROR(INDEX(Config!$K$5:$K$16,MATCH(G593,Config!$J$5:$J$16,0)),""))</f>
        <v>30</v>
      </c>
      <c r="M593" s="30">
        <f>IF(OR(G593="",F593=""),"",IFERROR(INDEX(Config!$M$5:$R$16,MATCH(G593,Config!$J$5:$J$16,0),MATCH(F593,Config!$H$5:$H$10,0)),""))</f>
        <v>100</v>
      </c>
      <c r="N593" s="29">
        <f>IF(A593="","",MONTH(A593))</f>
        <v>8</v>
      </c>
      <c r="O593" s="29">
        <f>IF(A593="","",YEAR(A593))</f>
        <v>2026</v>
      </c>
      <c r="P593" s="29" t="str">
        <f>IF(A593="","",CHOOSE(WEEKDAY(A593,2),"Segunda","Terça","Quarta","Quinta","Sexta","Sábado","Domingo"))</f>
        <v>Segunda</v>
      </c>
      <c r="Q593" s="29" t="str">
        <f>IF(B593="","",IF(B593&lt;TIME(12,0,0),"Manhã",IF(B593&lt;TIME(18,0,0),"Tarde","Noite")))</f>
        <v>Manhã</v>
      </c>
      <c r="R593" s="45">
        <f>IF(AND(H593="Realizado",L593&lt;&gt;""),L593/60,0)</f>
        <v>0.5</v>
      </c>
    </row>
    <row r="594">
      <c r="A594" s="42" t="n">
        <v>46265</v>
      </c>
      <c r="B594" s="43" t="n">
        <v>0.4097222222222222</v>
      </c>
      <c r="C594" s="37" t="inlineStr">
        <is>
          <t>Dra. Carolina Mendes</t>
        </is>
      </c>
      <c r="D594" s="37" t="inlineStr">
        <is>
          <t>Sala 1</t>
        </is>
      </c>
      <c r="E594" s="36" t="inlineStr">
        <is>
          <t>Simone Monteiro</t>
        </is>
      </c>
      <c r="F594" s="37" t="inlineStr">
        <is>
          <t>Vida Care</t>
        </is>
      </c>
      <c r="G594" s="37" t="inlineStr">
        <is>
          <t>Consulta</t>
        </is>
      </c>
      <c r="H594" s="37" t="inlineStr">
        <is>
          <t>Realizado</t>
        </is>
      </c>
      <c r="I594" s="37" t="inlineStr">
        <is>
          <t>Convênio</t>
        </is>
      </c>
      <c r="J594" s="37" t="n"/>
      <c r="K594" s="36" t="n"/>
      <c r="L594" s="44">
        <f>IF(G594="","",IFERROR(INDEX(Config!$K$5:$K$16,MATCH(G594,Config!$J$5:$J$16,0)),""))</f>
        <v>30</v>
      </c>
      <c r="M594" s="30">
        <f>IF(OR(G594="",F594=""),"",IFERROR(INDEX(Config!$M$5:$R$16,MATCH(G594,Config!$J$5:$J$16,0),MATCH(F594,Config!$H$5:$H$10,0)),""))</f>
        <v>90</v>
      </c>
      <c r="N594" s="29">
        <f>IF(A594="","",MONTH(A594))</f>
        <v>8</v>
      </c>
      <c r="O594" s="29">
        <f>IF(A594="","",YEAR(A594))</f>
        <v>2026</v>
      </c>
      <c r="P594" s="29" t="str">
        <f>IF(A594="","",CHOOSE(WEEKDAY(A594,2),"Segunda","Terça","Quarta","Quinta","Sexta","Sábado","Domingo"))</f>
        <v>Segunda</v>
      </c>
      <c r="Q594" s="29" t="str">
        <f>IF(B594="","",IF(B594&lt;TIME(12,0,0),"Manhã",IF(B594&lt;TIME(18,0,0),"Tarde","Noite")))</f>
        <v>Manhã</v>
      </c>
      <c r="R594" s="45">
        <f>IF(AND(H594="Realizado",L594&lt;&gt;""),L594/60,0)</f>
        <v>0.5</v>
      </c>
    </row>
    <row r="595">
      <c r="A595" s="42" t="n">
        <v>46265</v>
      </c>
      <c r="B595" s="43" t="n">
        <v>0.4305555555555556</v>
      </c>
      <c r="C595" s="37" t="inlineStr">
        <is>
          <t>Dra. Carolina Mendes</t>
        </is>
      </c>
      <c r="D595" s="37" t="inlineStr">
        <is>
          <t>Sala 1</t>
        </is>
      </c>
      <c r="E595" s="36" t="inlineStr">
        <is>
          <t>Isabela Nascimento</t>
        </is>
      </c>
      <c r="F595" s="37" t="inlineStr">
        <is>
          <t>Vida Care</t>
        </is>
      </c>
      <c r="G595" s="37" t="inlineStr">
        <is>
          <t>Consulta</t>
        </is>
      </c>
      <c r="H595" s="37" t="inlineStr">
        <is>
          <t>Realizado</t>
        </is>
      </c>
      <c r="I595" s="37" t="inlineStr">
        <is>
          <t>Convênio</t>
        </is>
      </c>
      <c r="J595" s="37" t="n"/>
      <c r="K595" s="36" t="n"/>
      <c r="L595" s="44">
        <f>IF(G595="","",IFERROR(INDEX(Config!$K$5:$K$16,MATCH(G595,Config!$J$5:$J$16,0)),""))</f>
        <v>30</v>
      </c>
      <c r="M595" s="30">
        <f>IF(OR(G595="",F595=""),"",IFERROR(INDEX(Config!$M$5:$R$16,MATCH(G595,Config!$J$5:$J$16,0),MATCH(F595,Config!$H$5:$H$10,0)),""))</f>
        <v>90</v>
      </c>
      <c r="N595" s="29">
        <f>IF(A595="","",MONTH(A595))</f>
        <v>8</v>
      </c>
      <c r="O595" s="29">
        <f>IF(A595="","",YEAR(A595))</f>
        <v>2026</v>
      </c>
      <c r="P595" s="29" t="str">
        <f>IF(A595="","",CHOOSE(WEEKDAY(A595,2),"Segunda","Terça","Quarta","Quinta","Sexta","Sábado","Domingo"))</f>
        <v>Segunda</v>
      </c>
      <c r="Q595" s="29" t="str">
        <f>IF(B595="","",IF(B595&lt;TIME(12,0,0),"Manhã",IF(B595&lt;TIME(18,0,0),"Tarde","Noite")))</f>
        <v>Manhã</v>
      </c>
      <c r="R595" s="45">
        <f>IF(AND(H595="Realizado",L595&lt;&gt;""),L595/60,0)</f>
        <v>0.5</v>
      </c>
    </row>
    <row r="596">
      <c r="A596" s="42" t="n">
        <v>46265</v>
      </c>
      <c r="B596" s="43" t="n">
        <v>0.4513888888888889</v>
      </c>
      <c r="C596" s="37" t="inlineStr">
        <is>
          <t>Dra. Carolina Mendes</t>
        </is>
      </c>
      <c r="D596" s="37" t="inlineStr">
        <is>
          <t>Sala 1</t>
        </is>
      </c>
      <c r="E596" s="36" t="inlineStr">
        <is>
          <t>Renato Dias</t>
        </is>
      </c>
      <c r="F596" s="37" t="inlineStr">
        <is>
          <t>Particular</t>
        </is>
      </c>
      <c r="G596" s="37" t="inlineStr">
        <is>
          <t>Consulta</t>
        </is>
      </c>
      <c r="H596" s="37" t="inlineStr">
        <is>
          <t>Realizado</t>
        </is>
      </c>
      <c r="I596" s="37" t="inlineStr">
        <is>
          <t>Cartão de débito</t>
        </is>
      </c>
      <c r="J596" s="37" t="n"/>
      <c r="K596" s="36" t="n"/>
      <c r="L596" s="44">
        <f>IF(G596="","",IFERROR(INDEX(Config!$K$5:$K$16,MATCH(G596,Config!$J$5:$J$16,0)),""))</f>
        <v>30</v>
      </c>
      <c r="M596" s="30">
        <f>IF(OR(G596="",F596=""),"",IFERROR(INDEX(Config!$M$5:$R$16,MATCH(G596,Config!$J$5:$J$16,0),MATCH(F596,Config!$H$5:$H$10,0)),""))</f>
        <v>380</v>
      </c>
      <c r="N596" s="29">
        <f>IF(A596="","",MONTH(A596))</f>
        <v>8</v>
      </c>
      <c r="O596" s="29">
        <f>IF(A596="","",YEAR(A596))</f>
        <v>2026</v>
      </c>
      <c r="P596" s="29" t="str">
        <f>IF(A596="","",CHOOSE(WEEKDAY(A596,2),"Segunda","Terça","Quarta","Quinta","Sexta","Sábado","Domingo"))</f>
        <v>Segunda</v>
      </c>
      <c r="Q596" s="29" t="str">
        <f>IF(B596="","",IF(B596&lt;TIME(12,0,0),"Manhã",IF(B596&lt;TIME(18,0,0),"Tarde","Noite")))</f>
        <v>Manhã</v>
      </c>
      <c r="R596" s="45">
        <f>IF(AND(H596="Realizado",L596&lt;&gt;""),L596/60,0)</f>
        <v>0.5</v>
      </c>
    </row>
    <row r="597">
      <c r="A597" s="42" t="n">
        <v>46265</v>
      </c>
      <c r="B597" s="43" t="n">
        <v>0.4722222222222222</v>
      </c>
      <c r="C597" s="37" t="inlineStr">
        <is>
          <t>Dra. Carolina Mendes</t>
        </is>
      </c>
      <c r="D597" s="37" t="inlineStr">
        <is>
          <t>Sala 1</t>
        </is>
      </c>
      <c r="E597" s="36" t="inlineStr">
        <is>
          <t>Mônica Teixeira</t>
        </is>
      </c>
      <c r="F597" s="37" t="inlineStr">
        <is>
          <t>Vida Care</t>
        </is>
      </c>
      <c r="G597" s="37" t="inlineStr">
        <is>
          <t>Consulta</t>
        </is>
      </c>
      <c r="H597" s="37" t="inlineStr">
        <is>
          <t>Cancelado</t>
        </is>
      </c>
      <c r="I597" s="37" t="n"/>
      <c r="J597" s="37" t="n"/>
      <c r="K597" s="36" t="n"/>
      <c r="L597" s="44">
        <f>IF(G597="","",IFERROR(INDEX(Config!$K$5:$K$16,MATCH(G597,Config!$J$5:$J$16,0)),""))</f>
        <v>30</v>
      </c>
      <c r="M597" s="30">
        <f>IF(OR(G597="",F597=""),"",IFERROR(INDEX(Config!$M$5:$R$16,MATCH(G597,Config!$J$5:$J$16,0),MATCH(F597,Config!$H$5:$H$10,0)),""))</f>
        <v>90</v>
      </c>
      <c r="N597" s="29">
        <f>IF(A597="","",MONTH(A597))</f>
        <v>8</v>
      </c>
      <c r="O597" s="29">
        <f>IF(A597="","",YEAR(A597))</f>
        <v>2026</v>
      </c>
      <c r="P597" s="29" t="str">
        <f>IF(A597="","",CHOOSE(WEEKDAY(A597,2),"Segunda","Terça","Quarta","Quinta","Sexta","Sábado","Domingo"))</f>
        <v>Segunda</v>
      </c>
      <c r="Q597" s="29" t="str">
        <f>IF(B597="","",IF(B597&lt;TIME(12,0,0),"Manhã",IF(B597&lt;TIME(18,0,0),"Tarde","Noite")))</f>
        <v>Manhã</v>
      </c>
      <c r="R597" s="45">
        <f>IF(AND(H597="Realizado",L597&lt;&gt;""),L597/60,0)</f>
        <v>0</v>
      </c>
    </row>
    <row r="598">
      <c r="A598" s="42" t="n">
        <v>46265</v>
      </c>
      <c r="B598" s="43" t="n">
        <v>0.5833333333333334</v>
      </c>
      <c r="C598" s="37" t="inlineStr">
        <is>
          <t>Dr. Paulo Andrade</t>
        </is>
      </c>
      <c r="D598" s="37" t="inlineStr">
        <is>
          <t>Sala 2</t>
        </is>
      </c>
      <c r="E598" s="36" t="inlineStr">
        <is>
          <t>Henrique Ribeiro</t>
        </is>
      </c>
      <c r="F598" s="37" t="inlineStr">
        <is>
          <t>Particular</t>
        </is>
      </c>
      <c r="G598" s="37" t="inlineStr">
        <is>
          <t>Consulta</t>
        </is>
      </c>
      <c r="H598" s="37" t="inlineStr">
        <is>
          <t>Realizado</t>
        </is>
      </c>
      <c r="I598" s="37" t="inlineStr">
        <is>
          <t>Pix</t>
        </is>
      </c>
      <c r="J598" s="37" t="n"/>
      <c r="K598" s="36" t="n"/>
      <c r="L598" s="44">
        <f>IF(G598="","",IFERROR(INDEX(Config!$K$5:$K$16,MATCH(G598,Config!$J$5:$J$16,0)),""))</f>
        <v>30</v>
      </c>
      <c r="M598" s="30">
        <f>IF(OR(G598="",F598=""),"",IFERROR(INDEX(Config!$M$5:$R$16,MATCH(G598,Config!$J$5:$J$16,0),MATCH(F598,Config!$H$5:$H$10,0)),""))</f>
        <v>380</v>
      </c>
      <c r="N598" s="29">
        <f>IF(A598="","",MONTH(A598))</f>
        <v>8</v>
      </c>
      <c r="O598" s="29">
        <f>IF(A598="","",YEAR(A598))</f>
        <v>2026</v>
      </c>
      <c r="P598" s="29" t="str">
        <f>IF(A598="","",CHOOSE(WEEKDAY(A598,2),"Segunda","Terça","Quarta","Quinta","Sexta","Sábado","Domingo"))</f>
        <v>Segunda</v>
      </c>
      <c r="Q598" s="29" t="str">
        <f>IF(B598="","",IF(B598&lt;TIME(12,0,0),"Manhã",IF(B598&lt;TIME(18,0,0),"Tarde","Noite")))</f>
        <v>Tarde</v>
      </c>
      <c r="R598" s="45">
        <f>IF(AND(H598="Realizado",L598&lt;&gt;""),L598/60,0)</f>
        <v>0.5</v>
      </c>
    </row>
    <row r="599">
      <c r="A599" s="42" t="n">
        <v>46265</v>
      </c>
      <c r="B599" s="43" t="n">
        <v>0.625</v>
      </c>
      <c r="C599" s="37" t="inlineStr">
        <is>
          <t>Dr. Paulo Andrade</t>
        </is>
      </c>
      <c r="D599" s="37" t="inlineStr">
        <is>
          <t>Sala 2</t>
        </is>
      </c>
      <c r="E599" s="36" t="inlineStr">
        <is>
          <t>Rafael Correia</t>
        </is>
      </c>
      <c r="F599" s="37" t="inlineStr">
        <is>
          <t>Particular</t>
        </is>
      </c>
      <c r="G599" s="37" t="inlineStr">
        <is>
          <t>Retorno</t>
        </is>
      </c>
      <c r="H599" s="37" t="inlineStr">
        <is>
          <t>Realizado</t>
        </is>
      </c>
      <c r="I599" s="37" t="inlineStr">
        <is>
          <t>Sem cobrança</t>
        </is>
      </c>
      <c r="J599" s="37" t="n"/>
      <c r="K599" s="36" t="n"/>
      <c r="L599" s="44">
        <f>IF(G599="","",IFERROR(INDEX(Config!$K$5:$K$16,MATCH(G599,Config!$J$5:$J$16,0)),""))</f>
        <v>20</v>
      </c>
      <c r="M599" s="30">
        <f>IF(OR(G599="",F599=""),"",IFERROR(INDEX(Config!$M$5:$R$16,MATCH(G599,Config!$J$5:$J$16,0),MATCH(F599,Config!$H$5:$H$10,0)),""))</f>
        <v>0</v>
      </c>
      <c r="N599" s="29">
        <f>IF(A599="","",MONTH(A599))</f>
        <v>8</v>
      </c>
      <c r="O599" s="29">
        <f>IF(A599="","",YEAR(A599))</f>
        <v>2026</v>
      </c>
      <c r="P599" s="29" t="str">
        <f>IF(A599="","",CHOOSE(WEEKDAY(A599,2),"Segunda","Terça","Quarta","Quinta","Sexta","Sábado","Domingo"))</f>
        <v>Segunda</v>
      </c>
      <c r="Q599" s="29" t="str">
        <f>IF(B599="","",IF(B599&lt;TIME(12,0,0),"Manhã",IF(B599&lt;TIME(18,0,0),"Tarde","Noite")))</f>
        <v>Tarde</v>
      </c>
      <c r="R599" s="45">
        <f>IF(AND(H599="Realizado",L599&lt;&gt;""),L599/60,0)</f>
        <v>0.333333333333333</v>
      </c>
    </row>
    <row r="600">
      <c r="A600" s="42" t="n">
        <v>46265</v>
      </c>
      <c r="B600" s="43" t="n">
        <v>0.6597222222222222</v>
      </c>
      <c r="C600" s="37" t="inlineStr">
        <is>
          <t>Dr. Paulo Andrade</t>
        </is>
      </c>
      <c r="D600" s="37" t="inlineStr">
        <is>
          <t>Sala 2</t>
        </is>
      </c>
      <c r="E600" s="36" t="inlineStr">
        <is>
          <t>Sandra Martins</t>
        </is>
      </c>
      <c r="F600" s="37" t="inlineStr">
        <is>
          <t>MediPlan</t>
        </is>
      </c>
      <c r="G600" s="37" t="inlineStr">
        <is>
          <t>Retorno</t>
        </is>
      </c>
      <c r="H600" s="37" t="inlineStr">
        <is>
          <t>Realizado</t>
        </is>
      </c>
      <c r="I600" s="37" t="inlineStr">
        <is>
          <t>Sem cobrança</t>
        </is>
      </c>
      <c r="J600" s="37" t="n"/>
      <c r="K600" s="36" t="n"/>
      <c r="L600" s="44">
        <f>IF(G600="","",IFERROR(INDEX(Config!$K$5:$K$16,MATCH(G600,Config!$J$5:$J$16,0)),""))</f>
        <v>20</v>
      </c>
      <c r="M600" s="30">
        <f>IF(OR(G600="",F600=""),"",IFERROR(INDEX(Config!$M$5:$R$16,MATCH(G600,Config!$J$5:$J$16,0),MATCH(F600,Config!$H$5:$H$10,0)),""))</f>
        <v>0</v>
      </c>
      <c r="N600" s="29">
        <f>IF(A600="","",MONTH(A600))</f>
        <v>8</v>
      </c>
      <c r="O600" s="29">
        <f>IF(A600="","",YEAR(A600))</f>
        <v>2026</v>
      </c>
      <c r="P600" s="29" t="str">
        <f>IF(A600="","",CHOOSE(WEEKDAY(A600,2),"Segunda","Terça","Quarta","Quinta","Sexta","Sábado","Domingo"))</f>
        <v>Segunda</v>
      </c>
      <c r="Q600" s="29" t="str">
        <f>IF(B600="","",IF(B600&lt;TIME(12,0,0),"Manhã",IF(B600&lt;TIME(18,0,0),"Tarde","Noite")))</f>
        <v>Tarde</v>
      </c>
      <c r="R600" s="45">
        <f>IF(AND(H600="Realizado",L600&lt;&gt;""),L600/60,0)</f>
        <v>0.333333333333333</v>
      </c>
    </row>
    <row r="601">
      <c r="A601" s="42" t="n">
        <v>46265</v>
      </c>
      <c r="B601" s="43" t="n">
        <v>0.6736111111111112</v>
      </c>
      <c r="C601" s="37" t="inlineStr">
        <is>
          <t>Dr. Paulo Andrade</t>
        </is>
      </c>
      <c r="D601" s="37" t="inlineStr">
        <is>
          <t>Sala 2</t>
        </is>
      </c>
      <c r="E601" s="36" t="inlineStr">
        <is>
          <t>Leandro Cardoso</t>
        </is>
      </c>
      <c r="F601" s="37" t="inlineStr">
        <is>
          <t>MediPlan</t>
        </is>
      </c>
      <c r="G601" s="37" t="inlineStr">
        <is>
          <t>Consulta</t>
        </is>
      </c>
      <c r="H601" s="37" t="inlineStr">
        <is>
          <t>Realizado</t>
        </is>
      </c>
      <c r="I601" s="37" t="inlineStr">
        <is>
          <t>Convênio</t>
        </is>
      </c>
      <c r="J601" s="37" t="n"/>
      <c r="K601" s="36" t="n"/>
      <c r="L601" s="44">
        <f>IF(G601="","",IFERROR(INDEX(Config!$K$5:$K$16,MATCH(G601,Config!$J$5:$J$16,0)),""))</f>
        <v>30</v>
      </c>
      <c r="M601" s="30">
        <f>IF(OR(G601="",F601=""),"",IFERROR(INDEX(Config!$M$5:$R$16,MATCH(G601,Config!$J$5:$J$16,0),MATCH(F601,Config!$H$5:$H$10,0)),""))</f>
        <v>100</v>
      </c>
      <c r="N601" s="29">
        <f>IF(A601="","",MONTH(A601))</f>
        <v>8</v>
      </c>
      <c r="O601" s="29">
        <f>IF(A601="","",YEAR(A601))</f>
        <v>2026</v>
      </c>
      <c r="P601" s="29" t="str">
        <f>IF(A601="","",CHOOSE(WEEKDAY(A601,2),"Segunda","Terça","Quarta","Quinta","Sexta","Sábado","Domingo"))</f>
        <v>Segunda</v>
      </c>
      <c r="Q601" s="29" t="str">
        <f>IF(B601="","",IF(B601&lt;TIME(12,0,0),"Manhã",IF(B601&lt;TIME(18,0,0),"Tarde","Noite")))</f>
        <v>Tarde</v>
      </c>
      <c r="R601" s="45">
        <f>IF(AND(H601="Realizado",L601&lt;&gt;""),L601/60,0)</f>
        <v>0.5</v>
      </c>
    </row>
    <row r="602">
      <c r="A602" s="42" t="n">
        <v>46265</v>
      </c>
      <c r="B602" s="43" t="n">
        <v>0.6944444444444444</v>
      </c>
      <c r="C602" s="37" t="inlineStr">
        <is>
          <t>Dr. Paulo Andrade</t>
        </is>
      </c>
      <c r="D602" s="37" t="inlineStr">
        <is>
          <t>Sala 2</t>
        </is>
      </c>
      <c r="E602" s="36" t="inlineStr">
        <is>
          <t>Marcelo Ferreira</t>
        </is>
      </c>
      <c r="F602" s="37" t="inlineStr">
        <is>
          <t>Particular</t>
        </is>
      </c>
      <c r="G602" s="37" t="inlineStr">
        <is>
          <t>Retorno</t>
        </is>
      </c>
      <c r="H602" s="37" t="inlineStr">
        <is>
          <t>Realizado</t>
        </is>
      </c>
      <c r="I602" s="37" t="inlineStr">
        <is>
          <t>Sem cobrança</t>
        </is>
      </c>
      <c r="J602" s="37" t="n"/>
      <c r="K602" s="36" t="n"/>
      <c r="L602" s="44">
        <f>IF(G602="","",IFERROR(INDEX(Config!$K$5:$K$16,MATCH(G602,Config!$J$5:$J$16,0)),""))</f>
        <v>20</v>
      </c>
      <c r="M602" s="30">
        <f>IF(OR(G602="",F602=""),"",IFERROR(INDEX(Config!$M$5:$R$16,MATCH(G602,Config!$J$5:$J$16,0),MATCH(F602,Config!$H$5:$H$10,0)),""))</f>
        <v>0</v>
      </c>
      <c r="N602" s="29">
        <f>IF(A602="","",MONTH(A602))</f>
        <v>8</v>
      </c>
      <c r="O602" s="29">
        <f>IF(A602="","",YEAR(A602))</f>
        <v>2026</v>
      </c>
      <c r="P602" s="29" t="str">
        <f>IF(A602="","",CHOOSE(WEEKDAY(A602,2),"Segunda","Terça","Quarta","Quinta","Sexta","Sábado","Domingo"))</f>
        <v>Segunda</v>
      </c>
      <c r="Q602" s="29" t="str">
        <f>IF(B602="","",IF(B602&lt;TIME(12,0,0),"Manhã",IF(B602&lt;TIME(18,0,0),"Tarde","Noite")))</f>
        <v>Tarde</v>
      </c>
      <c r="R602" s="45">
        <f>IF(AND(H602="Realizado",L602&lt;&gt;""),L602/60,0)</f>
        <v>0.333333333333333</v>
      </c>
    </row>
    <row r="603">
      <c r="A603" s="42" t="n">
        <v>46265</v>
      </c>
      <c r="B603" s="43" t="n">
        <v>0.7083333333333334</v>
      </c>
      <c r="C603" s="37" t="inlineStr">
        <is>
          <t>Dr. Paulo Andrade</t>
        </is>
      </c>
      <c r="D603" s="37" t="inlineStr">
        <is>
          <t>Sala 2</t>
        </is>
      </c>
      <c r="E603" s="36" t="inlineStr">
        <is>
          <t>Sandra Cardoso</t>
        </is>
      </c>
      <c r="F603" s="37" t="inlineStr">
        <is>
          <t>Saúde Total</t>
        </is>
      </c>
      <c r="G603" s="37" t="inlineStr">
        <is>
          <t>ECG</t>
        </is>
      </c>
      <c r="H603" s="37" t="inlineStr">
        <is>
          <t>Realizado</t>
        </is>
      </c>
      <c r="I603" s="37" t="inlineStr">
        <is>
          <t>Convênio</t>
        </is>
      </c>
      <c r="J603" s="37" t="n"/>
      <c r="K603" s="36" t="n"/>
      <c r="L603" s="44">
        <f>IF(G603="","",IFERROR(INDEX(Config!$K$5:$K$16,MATCH(G603,Config!$J$5:$J$16,0)),""))</f>
        <v>20</v>
      </c>
      <c r="M603" s="30">
        <f>IF(OR(G603="",F603=""),"",IFERROR(INDEX(Config!$M$5:$R$16,MATCH(G603,Config!$J$5:$J$16,0),MATCH(F603,Config!$H$5:$H$10,0)),""))</f>
        <v>40</v>
      </c>
      <c r="N603" s="29">
        <f>IF(A603="","",MONTH(A603))</f>
        <v>8</v>
      </c>
      <c r="O603" s="29">
        <f>IF(A603="","",YEAR(A603))</f>
        <v>2026</v>
      </c>
      <c r="P603" s="29" t="str">
        <f>IF(A603="","",CHOOSE(WEEKDAY(A603,2),"Segunda","Terça","Quarta","Quinta","Sexta","Sábado","Domingo"))</f>
        <v>Segunda</v>
      </c>
      <c r="Q603" s="29" t="str">
        <f>IF(B603="","",IF(B603&lt;TIME(12,0,0),"Manhã",IF(B603&lt;TIME(18,0,0),"Tarde","Noite")))</f>
        <v>Tarde</v>
      </c>
      <c r="R603" s="45">
        <f>IF(AND(H603="Realizado",L603&lt;&gt;""),L603/60,0)</f>
        <v>0.333333333333333</v>
      </c>
    </row>
    <row r="604">
      <c r="A604" s="42" t="n">
        <v>46265</v>
      </c>
      <c r="B604" s="43" t="n">
        <v>0.7222222222222222</v>
      </c>
      <c r="C604" s="37" t="inlineStr">
        <is>
          <t>Dr. Paulo Andrade</t>
        </is>
      </c>
      <c r="D604" s="37" t="inlineStr">
        <is>
          <t>Sala 2</t>
        </is>
      </c>
      <c r="E604" s="36" t="inlineStr">
        <is>
          <t>Débora Ramos</t>
        </is>
      </c>
      <c r="F604" s="37" t="inlineStr">
        <is>
          <t>Particular</t>
        </is>
      </c>
      <c r="G604" s="37" t="inlineStr">
        <is>
          <t>ECG</t>
        </is>
      </c>
      <c r="H604" s="37" t="inlineStr">
        <is>
          <t>Realizado</t>
        </is>
      </c>
      <c r="I604" s="37" t="inlineStr">
        <is>
          <t>Cartão de débito</t>
        </is>
      </c>
      <c r="J604" s="37" t="n"/>
      <c r="K604" s="36" t="n"/>
      <c r="L604" s="44">
        <f>IF(G604="","",IFERROR(INDEX(Config!$K$5:$K$16,MATCH(G604,Config!$J$5:$J$16,0)),""))</f>
        <v>20</v>
      </c>
      <c r="M604" s="30">
        <f>IF(OR(G604="",F604=""),"",IFERROR(INDEX(Config!$M$5:$R$16,MATCH(G604,Config!$J$5:$J$16,0),MATCH(F604,Config!$H$5:$H$10,0)),""))</f>
        <v>130</v>
      </c>
      <c r="N604" s="29">
        <f>IF(A604="","",MONTH(A604))</f>
        <v>8</v>
      </c>
      <c r="O604" s="29">
        <f>IF(A604="","",YEAR(A604))</f>
        <v>2026</v>
      </c>
      <c r="P604" s="29" t="str">
        <f>IF(A604="","",CHOOSE(WEEKDAY(A604,2),"Segunda","Terça","Quarta","Quinta","Sexta","Sábado","Domingo"))</f>
        <v>Segunda</v>
      </c>
      <c r="Q604" s="29" t="str">
        <f>IF(B604="","",IF(B604&lt;TIME(12,0,0),"Manhã",IF(B604&lt;TIME(18,0,0),"Tarde","Noite")))</f>
        <v>Tarde</v>
      </c>
      <c r="R604" s="45">
        <f>IF(AND(H604="Realizado",L604&lt;&gt;""),L604/60,0)</f>
        <v>0.333333333333333</v>
      </c>
    </row>
    <row r="605">
      <c r="A605" s="42" t="n">
        <v>46265</v>
      </c>
      <c r="B605" s="43" t="n">
        <v>0.7361111111111112</v>
      </c>
      <c r="C605" s="37" t="inlineStr">
        <is>
          <t>Dr. Paulo Andrade</t>
        </is>
      </c>
      <c r="D605" s="37" t="inlineStr">
        <is>
          <t>Sala 2</t>
        </is>
      </c>
      <c r="E605" s="36" t="inlineStr">
        <is>
          <t>Priscila Nunes</t>
        </is>
      </c>
      <c r="F605" s="37" t="inlineStr">
        <is>
          <t>MediPlan</t>
        </is>
      </c>
      <c r="G605" s="37" t="inlineStr">
        <is>
          <t>Holter</t>
        </is>
      </c>
      <c r="H605" s="37" t="inlineStr">
        <is>
          <t>Realizado</t>
        </is>
      </c>
      <c r="I605" s="37" t="inlineStr">
        <is>
          <t>Convênio</t>
        </is>
      </c>
      <c r="J605" s="37" t="n"/>
      <c r="K605" s="36" t="n"/>
      <c r="L605" s="44">
        <f>IF(G605="","",IFERROR(INDEX(Config!$K$5:$K$16,MATCH(G605,Config!$J$5:$J$16,0)),""))</f>
        <v>20</v>
      </c>
      <c r="M605" s="30">
        <f>IF(OR(G605="",F605=""),"",IFERROR(INDEX(Config!$M$5:$R$16,MATCH(G605,Config!$J$5:$J$16,0),MATCH(F605,Config!$H$5:$H$10,0)),""))</f>
        <v>95</v>
      </c>
      <c r="N605" s="29">
        <f>IF(A605="","",MONTH(A605))</f>
        <v>8</v>
      </c>
      <c r="O605" s="29">
        <f>IF(A605="","",YEAR(A605))</f>
        <v>2026</v>
      </c>
      <c r="P605" s="29" t="str">
        <f>IF(A605="","",CHOOSE(WEEKDAY(A605,2),"Segunda","Terça","Quarta","Quinta","Sexta","Sábado","Domingo"))</f>
        <v>Segunda</v>
      </c>
      <c r="Q605" s="29" t="str">
        <f>IF(B605="","",IF(B605&lt;TIME(12,0,0),"Manhã",IF(B605&lt;TIME(18,0,0),"Tarde","Noite")))</f>
        <v>Tarde</v>
      </c>
      <c r="R605" s="45">
        <f>IF(AND(H605="Realizado",L605&lt;&gt;""),L605/60,0)</f>
        <v>0.333333333333333</v>
      </c>
    </row>
    <row r="606">
      <c r="A606" s="42" t="n">
        <v>46266</v>
      </c>
      <c r="B606" s="43" t="n">
        <v>0.3333333333333333</v>
      </c>
      <c r="C606" s="37" t="inlineStr">
        <is>
          <t>Dra. Carolina Mendes</t>
        </is>
      </c>
      <c r="D606" s="37" t="inlineStr">
        <is>
          <t>Sala 1</t>
        </is>
      </c>
      <c r="E606" s="36" t="inlineStr">
        <is>
          <t>Ana Costa</t>
        </is>
      </c>
      <c r="F606" s="37" t="inlineStr">
        <is>
          <t>Particular</t>
        </is>
      </c>
      <c r="G606" s="37" t="inlineStr">
        <is>
          <t>Consulta</t>
        </is>
      </c>
      <c r="H606" s="37" t="inlineStr">
        <is>
          <t>Realizado</t>
        </is>
      </c>
      <c r="I606" s="37" t="inlineStr">
        <is>
          <t>Cartão de crédito</t>
        </is>
      </c>
      <c r="J606" s="37" t="n"/>
      <c r="K606" s="36" t="n"/>
      <c r="L606" s="44">
        <f>IF(G606="","",IFERROR(INDEX(Config!$K$5:$K$16,MATCH(G606,Config!$J$5:$J$16,0)),""))</f>
        <v>30</v>
      </c>
      <c r="M606" s="30">
        <f>IF(OR(G606="",F606=""),"",IFERROR(INDEX(Config!$M$5:$R$16,MATCH(G606,Config!$J$5:$J$16,0),MATCH(F606,Config!$H$5:$H$10,0)),""))</f>
        <v>380</v>
      </c>
      <c r="N606" s="29">
        <f>IF(A606="","",MONTH(A606))</f>
        <v>9</v>
      </c>
      <c r="O606" s="29">
        <f>IF(A606="","",YEAR(A606))</f>
        <v>2026</v>
      </c>
      <c r="P606" s="29" t="str">
        <f>IF(A606="","",CHOOSE(WEEKDAY(A606,2),"Segunda","Terça","Quarta","Quinta","Sexta","Sábado","Domingo"))</f>
        <v>Terça</v>
      </c>
      <c r="Q606" s="29" t="str">
        <f>IF(B606="","",IF(B606&lt;TIME(12,0,0),"Manhã",IF(B606&lt;TIME(18,0,0),"Tarde","Noite")))</f>
        <v>Manhã</v>
      </c>
      <c r="R606" s="45">
        <f>IF(AND(H606="Realizado",L606&lt;&gt;""),L606/60,0)</f>
        <v>0.5</v>
      </c>
    </row>
    <row r="607">
      <c r="A607" s="42" t="n">
        <v>46266</v>
      </c>
      <c r="B607" s="43" t="n">
        <v>0.3541666666666667</v>
      </c>
      <c r="C607" s="37" t="inlineStr">
        <is>
          <t>Dra. Carolina Mendes</t>
        </is>
      </c>
      <c r="D607" s="37" t="inlineStr">
        <is>
          <t>Sala 1</t>
        </is>
      </c>
      <c r="E607" s="36" t="inlineStr">
        <is>
          <t>Gustavo Ferreira</t>
        </is>
      </c>
      <c r="F607" s="37" t="inlineStr">
        <is>
          <t>Particular</t>
        </is>
      </c>
      <c r="G607" s="37" t="inlineStr">
        <is>
          <t>Consulta</t>
        </is>
      </c>
      <c r="H607" s="37" t="inlineStr">
        <is>
          <t>Realizado</t>
        </is>
      </c>
      <c r="I607" s="37" t="inlineStr">
        <is>
          <t>Cartão de crédito</t>
        </is>
      </c>
      <c r="J607" s="37" t="n"/>
      <c r="K607" s="36" t="n"/>
      <c r="L607" s="44">
        <f>IF(G607="","",IFERROR(INDEX(Config!$K$5:$K$16,MATCH(G607,Config!$J$5:$J$16,0)),""))</f>
        <v>30</v>
      </c>
      <c r="M607" s="30">
        <f>IF(OR(G607="",F607=""),"",IFERROR(INDEX(Config!$M$5:$R$16,MATCH(G607,Config!$J$5:$J$16,0),MATCH(F607,Config!$H$5:$H$10,0)),""))</f>
        <v>380</v>
      </c>
      <c r="N607" s="29">
        <f>IF(A607="","",MONTH(A607))</f>
        <v>9</v>
      </c>
      <c r="O607" s="29">
        <f>IF(A607="","",YEAR(A607))</f>
        <v>2026</v>
      </c>
      <c r="P607" s="29" t="str">
        <f>IF(A607="","",CHOOSE(WEEKDAY(A607,2),"Segunda","Terça","Quarta","Quinta","Sexta","Sábado","Domingo"))</f>
        <v>Terça</v>
      </c>
      <c r="Q607" s="29" t="str">
        <f>IF(B607="","",IF(B607&lt;TIME(12,0,0),"Manhã",IF(B607&lt;TIME(18,0,0),"Tarde","Noite")))</f>
        <v>Manhã</v>
      </c>
      <c r="R607" s="45">
        <f>IF(AND(H607="Realizado",L607&lt;&gt;""),L607/60,0)</f>
        <v>0.5</v>
      </c>
    </row>
    <row r="608">
      <c r="A608" s="42" t="n">
        <v>46266</v>
      </c>
      <c r="B608" s="43" t="n">
        <v>0.375</v>
      </c>
      <c r="C608" s="37" t="inlineStr">
        <is>
          <t>Dra. Carolina Mendes</t>
        </is>
      </c>
      <c r="D608" s="37" t="inlineStr">
        <is>
          <t>Sala 1</t>
        </is>
      </c>
      <c r="E608" s="36" t="inlineStr">
        <is>
          <t>Rodrigo Moreira</t>
        </is>
      </c>
      <c r="F608" s="37" t="inlineStr">
        <is>
          <t>Particular</t>
        </is>
      </c>
      <c r="G608" s="37" t="inlineStr">
        <is>
          <t>Retorno</t>
        </is>
      </c>
      <c r="H608" s="37" t="inlineStr">
        <is>
          <t>Realizado</t>
        </is>
      </c>
      <c r="I608" s="37" t="inlineStr">
        <is>
          <t>Sem cobrança</t>
        </is>
      </c>
      <c r="J608" s="37" t="n"/>
      <c r="K608" s="36" t="n"/>
      <c r="L608" s="44">
        <f>IF(G608="","",IFERROR(INDEX(Config!$K$5:$K$16,MATCH(G608,Config!$J$5:$J$16,0)),""))</f>
        <v>20</v>
      </c>
      <c r="M608" s="30">
        <f>IF(OR(G608="",F608=""),"",IFERROR(INDEX(Config!$M$5:$R$16,MATCH(G608,Config!$J$5:$J$16,0),MATCH(F608,Config!$H$5:$H$10,0)),""))</f>
        <v>0</v>
      </c>
      <c r="N608" s="29">
        <f>IF(A608="","",MONTH(A608))</f>
        <v>9</v>
      </c>
      <c r="O608" s="29">
        <f>IF(A608="","",YEAR(A608))</f>
        <v>2026</v>
      </c>
      <c r="P608" s="29" t="str">
        <f>IF(A608="","",CHOOSE(WEEKDAY(A608,2),"Segunda","Terça","Quarta","Quinta","Sexta","Sábado","Domingo"))</f>
        <v>Terça</v>
      </c>
      <c r="Q608" s="29" t="str">
        <f>IF(B608="","",IF(B608&lt;TIME(12,0,0),"Manhã",IF(B608&lt;TIME(18,0,0),"Tarde","Noite")))</f>
        <v>Manhã</v>
      </c>
      <c r="R608" s="45">
        <f>IF(AND(H608="Realizado",L608&lt;&gt;""),L608/60,0)</f>
        <v>0.333333333333333</v>
      </c>
    </row>
    <row r="609">
      <c r="A609" s="42" t="n">
        <v>46266</v>
      </c>
      <c r="B609" s="43" t="n">
        <v>0.4097222222222222</v>
      </c>
      <c r="C609" s="37" t="inlineStr">
        <is>
          <t>Dra. Carolina Mendes</t>
        </is>
      </c>
      <c r="D609" s="37" t="inlineStr">
        <is>
          <t>Sala 1</t>
        </is>
      </c>
      <c r="E609" s="36" t="inlineStr">
        <is>
          <t>Daniel Melo</t>
        </is>
      </c>
      <c r="F609" s="37" t="inlineStr">
        <is>
          <t>Saúde Total</t>
        </is>
      </c>
      <c r="G609" s="37" t="inlineStr">
        <is>
          <t>Consulta</t>
        </is>
      </c>
      <c r="H609" s="37" t="inlineStr">
        <is>
          <t>Realizado</t>
        </is>
      </c>
      <c r="I609" s="37" t="inlineStr">
        <is>
          <t>Convênio</t>
        </is>
      </c>
      <c r="J609" s="37" t="n"/>
      <c r="K609" s="36" t="n"/>
      <c r="L609" s="44">
        <f>IF(G609="","",IFERROR(INDEX(Config!$K$5:$K$16,MATCH(G609,Config!$J$5:$J$16,0)),""))</f>
        <v>30</v>
      </c>
      <c r="M609" s="30">
        <f>IF(OR(G609="",F609=""),"",IFERROR(INDEX(Config!$M$5:$R$16,MATCH(G609,Config!$J$5:$J$16,0),MATCH(F609,Config!$H$5:$H$10,0)),""))</f>
        <v>120</v>
      </c>
      <c r="N609" s="29">
        <f>IF(A609="","",MONTH(A609))</f>
        <v>9</v>
      </c>
      <c r="O609" s="29">
        <f>IF(A609="","",YEAR(A609))</f>
        <v>2026</v>
      </c>
      <c r="P609" s="29" t="str">
        <f>IF(A609="","",CHOOSE(WEEKDAY(A609,2),"Segunda","Terça","Quarta","Quinta","Sexta","Sábado","Domingo"))</f>
        <v>Terça</v>
      </c>
      <c r="Q609" s="29" t="str">
        <f>IF(B609="","",IF(B609&lt;TIME(12,0,0),"Manhã",IF(B609&lt;TIME(18,0,0),"Tarde","Noite")))</f>
        <v>Manhã</v>
      </c>
      <c r="R609" s="45">
        <f>IF(AND(H609="Realizado",L609&lt;&gt;""),L609/60,0)</f>
        <v>0.5</v>
      </c>
    </row>
    <row r="610">
      <c r="A610" s="42" t="n">
        <v>46266</v>
      </c>
      <c r="B610" s="43" t="n">
        <v>0.4305555555555556</v>
      </c>
      <c r="C610" s="37" t="inlineStr">
        <is>
          <t>Dra. Carolina Mendes</t>
        </is>
      </c>
      <c r="D610" s="37" t="inlineStr">
        <is>
          <t>Sala 1</t>
        </is>
      </c>
      <c r="E610" s="36" t="inlineStr">
        <is>
          <t>Otávio Nascimento</t>
        </is>
      </c>
      <c r="F610" s="37" t="inlineStr">
        <is>
          <t>Particular</t>
        </is>
      </c>
      <c r="G610" s="37" t="inlineStr">
        <is>
          <t>Consulta</t>
        </is>
      </c>
      <c r="H610" s="37" t="inlineStr">
        <is>
          <t>Realizado</t>
        </is>
      </c>
      <c r="I610" s="37" t="inlineStr">
        <is>
          <t>Cartão de crédito</t>
        </is>
      </c>
      <c r="J610" s="37" t="n">
        <v>2</v>
      </c>
      <c r="K610" s="36" t="n"/>
      <c r="L610" s="44">
        <f>IF(G610="","",IFERROR(INDEX(Config!$K$5:$K$16,MATCH(G610,Config!$J$5:$J$16,0)),""))</f>
        <v>30</v>
      </c>
      <c r="M610" s="30">
        <f>IF(OR(G610="",F610=""),"",IFERROR(INDEX(Config!$M$5:$R$16,MATCH(G610,Config!$J$5:$J$16,0),MATCH(F610,Config!$H$5:$H$10,0)),""))</f>
        <v>380</v>
      </c>
      <c r="N610" s="29">
        <f>IF(A610="","",MONTH(A610))</f>
        <v>9</v>
      </c>
      <c r="O610" s="29">
        <f>IF(A610="","",YEAR(A610))</f>
        <v>2026</v>
      </c>
      <c r="P610" s="29" t="str">
        <f>IF(A610="","",CHOOSE(WEEKDAY(A610,2),"Segunda","Terça","Quarta","Quinta","Sexta","Sábado","Domingo"))</f>
        <v>Terça</v>
      </c>
      <c r="Q610" s="29" t="str">
        <f>IF(B610="","",IF(B610&lt;TIME(12,0,0),"Manhã",IF(B610&lt;TIME(18,0,0),"Tarde","Noite")))</f>
        <v>Manhã</v>
      </c>
      <c r="R610" s="45">
        <f>IF(AND(H610="Realizado",L610&lt;&gt;""),L610/60,0)</f>
        <v>0.5</v>
      </c>
    </row>
    <row r="611">
      <c r="A611" s="42" t="n">
        <v>46266</v>
      </c>
      <c r="B611" s="43" t="n">
        <v>0.4513888888888889</v>
      </c>
      <c r="C611" s="37" t="inlineStr">
        <is>
          <t>Dra. Carolina Mendes</t>
        </is>
      </c>
      <c r="D611" s="37" t="inlineStr">
        <is>
          <t>Sala 1</t>
        </is>
      </c>
      <c r="E611" s="36" t="inlineStr">
        <is>
          <t>Mariana Nascimento</t>
        </is>
      </c>
      <c r="F611" s="37" t="inlineStr">
        <is>
          <t>Particular</t>
        </is>
      </c>
      <c r="G611" s="37" t="inlineStr">
        <is>
          <t>Consulta</t>
        </is>
      </c>
      <c r="H611" s="37" t="inlineStr">
        <is>
          <t>Realizado</t>
        </is>
      </c>
      <c r="I611" s="37" t="inlineStr">
        <is>
          <t>Cartão de crédito</t>
        </is>
      </c>
      <c r="J611" s="37" t="n"/>
      <c r="K611" s="36" t="n"/>
      <c r="L611" s="44">
        <f>IF(G611="","",IFERROR(INDEX(Config!$K$5:$K$16,MATCH(G611,Config!$J$5:$J$16,0)),""))</f>
        <v>30</v>
      </c>
      <c r="M611" s="30">
        <f>IF(OR(G611="",F611=""),"",IFERROR(INDEX(Config!$M$5:$R$16,MATCH(G611,Config!$J$5:$J$16,0),MATCH(F611,Config!$H$5:$H$10,0)),""))</f>
        <v>380</v>
      </c>
      <c r="N611" s="29">
        <f>IF(A611="","",MONTH(A611))</f>
        <v>9</v>
      </c>
      <c r="O611" s="29">
        <f>IF(A611="","",YEAR(A611))</f>
        <v>2026</v>
      </c>
      <c r="P611" s="29" t="str">
        <f>IF(A611="","",CHOOSE(WEEKDAY(A611,2),"Segunda","Terça","Quarta","Quinta","Sexta","Sábado","Domingo"))</f>
        <v>Terça</v>
      </c>
      <c r="Q611" s="29" t="str">
        <f>IF(B611="","",IF(B611&lt;TIME(12,0,0),"Manhã",IF(B611&lt;TIME(18,0,0),"Tarde","Noite")))</f>
        <v>Manhã</v>
      </c>
      <c r="R611" s="45">
        <f>IF(AND(H611="Realizado",L611&lt;&gt;""),L611/60,0)</f>
        <v>0.5</v>
      </c>
    </row>
    <row r="612">
      <c r="A612" s="42" t="n">
        <v>46266</v>
      </c>
      <c r="B612" s="43" t="n">
        <v>0.4722222222222222</v>
      </c>
      <c r="C612" s="37" t="inlineStr">
        <is>
          <t>Dra. Carolina Mendes</t>
        </is>
      </c>
      <c r="D612" s="37" t="inlineStr">
        <is>
          <t>Sala 1</t>
        </is>
      </c>
      <c r="E612" s="36" t="inlineStr">
        <is>
          <t>Carlos Barros</t>
        </is>
      </c>
      <c r="F612" s="37" t="inlineStr">
        <is>
          <t>MediPlan</t>
        </is>
      </c>
      <c r="G612" s="37" t="inlineStr">
        <is>
          <t>Retorno</t>
        </is>
      </c>
      <c r="H612" s="37" t="inlineStr">
        <is>
          <t>Realizado</t>
        </is>
      </c>
      <c r="I612" s="37" t="inlineStr">
        <is>
          <t>Sem cobrança</t>
        </is>
      </c>
      <c r="J612" s="37" t="n"/>
      <c r="K612" s="36" t="n"/>
      <c r="L612" s="44">
        <f>IF(G612="","",IFERROR(INDEX(Config!$K$5:$K$16,MATCH(G612,Config!$J$5:$J$16,0)),""))</f>
        <v>20</v>
      </c>
      <c r="M612" s="30">
        <f>IF(OR(G612="",F612=""),"",IFERROR(INDEX(Config!$M$5:$R$16,MATCH(G612,Config!$J$5:$J$16,0),MATCH(F612,Config!$H$5:$H$10,0)),""))</f>
        <v>0</v>
      </c>
      <c r="N612" s="29">
        <f>IF(A612="","",MONTH(A612))</f>
        <v>9</v>
      </c>
      <c r="O612" s="29">
        <f>IF(A612="","",YEAR(A612))</f>
        <v>2026</v>
      </c>
      <c r="P612" s="29" t="str">
        <f>IF(A612="","",CHOOSE(WEEKDAY(A612,2),"Segunda","Terça","Quarta","Quinta","Sexta","Sábado","Domingo"))</f>
        <v>Terça</v>
      </c>
      <c r="Q612" s="29" t="str">
        <f>IF(B612="","",IF(B612&lt;TIME(12,0,0),"Manhã",IF(B612&lt;TIME(18,0,0),"Tarde","Noite")))</f>
        <v>Manhã</v>
      </c>
      <c r="R612" s="45">
        <f>IF(AND(H612="Realizado",L612&lt;&gt;""),L612/60,0)</f>
        <v>0.333333333333333</v>
      </c>
    </row>
    <row r="613">
      <c r="A613" s="42" t="n">
        <v>46266</v>
      </c>
      <c r="B613" s="43" t="n">
        <v>0.4861111111111111</v>
      </c>
      <c r="C613" s="37" t="inlineStr">
        <is>
          <t>Dra. Carolina Mendes</t>
        </is>
      </c>
      <c r="D613" s="37" t="inlineStr">
        <is>
          <t>Sala 1</t>
        </is>
      </c>
      <c r="E613" s="36" t="inlineStr">
        <is>
          <t>Gustavo Barbosa</t>
        </is>
      </c>
      <c r="F613" s="37" t="inlineStr">
        <is>
          <t>Saúde Total</t>
        </is>
      </c>
      <c r="G613" s="37" t="inlineStr">
        <is>
          <t>Consulta</t>
        </is>
      </c>
      <c r="H613" s="37" t="inlineStr">
        <is>
          <t>Realizado</t>
        </is>
      </c>
      <c r="I613" s="37" t="inlineStr">
        <is>
          <t>Convênio</t>
        </is>
      </c>
      <c r="J613" s="37" t="n"/>
      <c r="K613" s="36" t="n"/>
      <c r="L613" s="44">
        <f>IF(G613="","",IFERROR(INDEX(Config!$K$5:$K$16,MATCH(G613,Config!$J$5:$J$16,0)),""))</f>
        <v>30</v>
      </c>
      <c r="M613" s="30">
        <f>IF(OR(G613="",F613=""),"",IFERROR(INDEX(Config!$M$5:$R$16,MATCH(G613,Config!$J$5:$J$16,0),MATCH(F613,Config!$H$5:$H$10,0)),""))</f>
        <v>120</v>
      </c>
      <c r="N613" s="29">
        <f>IF(A613="","",MONTH(A613))</f>
        <v>9</v>
      </c>
      <c r="O613" s="29">
        <f>IF(A613="","",YEAR(A613))</f>
        <v>2026</v>
      </c>
      <c r="P613" s="29" t="str">
        <f>IF(A613="","",CHOOSE(WEEKDAY(A613,2),"Segunda","Terça","Quarta","Quinta","Sexta","Sábado","Domingo"))</f>
        <v>Terça</v>
      </c>
      <c r="Q613" s="29" t="str">
        <f>IF(B613="","",IF(B613&lt;TIME(12,0,0),"Manhã",IF(B613&lt;TIME(18,0,0),"Tarde","Noite")))</f>
        <v>Manhã</v>
      </c>
      <c r="R613" s="45">
        <f>IF(AND(H613="Realizado",L613&lt;&gt;""),L613/60,0)</f>
        <v>0.5</v>
      </c>
    </row>
    <row r="614">
      <c r="A614" s="42" t="n">
        <v>46266</v>
      </c>
      <c r="B614" s="43" t="n">
        <v>0.5833333333333334</v>
      </c>
      <c r="C614" s="37" t="inlineStr">
        <is>
          <t>Dra. Renata Sousa</t>
        </is>
      </c>
      <c r="D614" s="37" t="inlineStr">
        <is>
          <t>Sala 1</t>
        </is>
      </c>
      <c r="E614" s="36" t="inlineStr">
        <is>
          <t>Paulo Fernandes</t>
        </is>
      </c>
      <c r="F614" s="37" t="inlineStr">
        <is>
          <t>Particular</t>
        </is>
      </c>
      <c r="G614" s="37" t="inlineStr">
        <is>
          <t>Avaliação endócrina</t>
        </is>
      </c>
      <c r="H614" s="37" t="inlineStr">
        <is>
          <t>Realizado</t>
        </is>
      </c>
      <c r="I614" s="37" t="inlineStr">
        <is>
          <t>Cartão de débito</t>
        </is>
      </c>
      <c r="J614" s="37" t="n"/>
      <c r="K614" s="36" t="n"/>
      <c r="L614" s="44">
        <f>IF(G614="","",IFERROR(INDEX(Config!$K$5:$K$16,MATCH(G614,Config!$J$5:$J$16,0)),""))</f>
        <v>40</v>
      </c>
      <c r="M614" s="30">
        <f>IF(OR(G614="",F614=""),"",IFERROR(INDEX(Config!$M$5:$R$16,MATCH(G614,Config!$J$5:$J$16,0),MATCH(F614,Config!$H$5:$H$10,0)),""))</f>
        <v>400</v>
      </c>
      <c r="N614" s="29">
        <f>IF(A614="","",MONTH(A614))</f>
        <v>9</v>
      </c>
      <c r="O614" s="29">
        <f>IF(A614="","",YEAR(A614))</f>
        <v>2026</v>
      </c>
      <c r="P614" s="29" t="str">
        <f>IF(A614="","",CHOOSE(WEEKDAY(A614,2),"Segunda","Terça","Quarta","Quinta","Sexta","Sábado","Domingo"))</f>
        <v>Terça</v>
      </c>
      <c r="Q614" s="29" t="str">
        <f>IF(B614="","",IF(B614&lt;TIME(12,0,0),"Manhã",IF(B614&lt;TIME(18,0,0),"Tarde","Noite")))</f>
        <v>Tarde</v>
      </c>
      <c r="R614" s="45">
        <f>IF(AND(H614="Realizado",L614&lt;&gt;""),L614/60,0)</f>
        <v>0.666666666666667</v>
      </c>
    </row>
    <row r="615">
      <c r="A615" s="42" t="n">
        <v>46266</v>
      </c>
      <c r="B615" s="43" t="n">
        <v>0.5833333333333334</v>
      </c>
      <c r="C615" s="37" t="inlineStr">
        <is>
          <t>Dr. Paulo Andrade</t>
        </is>
      </c>
      <c r="D615" s="37" t="inlineStr">
        <is>
          <t>Sala 2</t>
        </is>
      </c>
      <c r="E615" s="36" t="inlineStr">
        <is>
          <t>Mateus Dias</t>
        </is>
      </c>
      <c r="F615" s="37" t="inlineStr">
        <is>
          <t>Saúde Total</t>
        </is>
      </c>
      <c r="G615" s="37" t="inlineStr">
        <is>
          <t>Consulta</t>
        </is>
      </c>
      <c r="H615" s="37" t="inlineStr">
        <is>
          <t>Realizado</t>
        </is>
      </c>
      <c r="I615" s="37" t="inlineStr">
        <is>
          <t>Convênio</t>
        </is>
      </c>
      <c r="J615" s="37" t="n"/>
      <c r="K615" s="36" t="n"/>
      <c r="L615" s="44">
        <f>IF(G615="","",IFERROR(INDEX(Config!$K$5:$K$16,MATCH(G615,Config!$J$5:$J$16,0)),""))</f>
        <v>30</v>
      </c>
      <c r="M615" s="30">
        <f>IF(OR(G615="",F615=""),"",IFERROR(INDEX(Config!$M$5:$R$16,MATCH(G615,Config!$J$5:$J$16,0),MATCH(F615,Config!$H$5:$H$10,0)),""))</f>
        <v>120</v>
      </c>
      <c r="N615" s="29">
        <f>IF(A615="","",MONTH(A615))</f>
        <v>9</v>
      </c>
      <c r="O615" s="29">
        <f>IF(A615="","",YEAR(A615))</f>
        <v>2026</v>
      </c>
      <c r="P615" s="29" t="str">
        <f>IF(A615="","",CHOOSE(WEEKDAY(A615,2),"Segunda","Terça","Quarta","Quinta","Sexta","Sábado","Domingo"))</f>
        <v>Terça</v>
      </c>
      <c r="Q615" s="29" t="str">
        <f>IF(B615="","",IF(B615&lt;TIME(12,0,0),"Manhã",IF(B615&lt;TIME(18,0,0),"Tarde","Noite")))</f>
        <v>Tarde</v>
      </c>
      <c r="R615" s="45">
        <f>IF(AND(H615="Realizado",L615&lt;&gt;""),L615/60,0)</f>
        <v>0.5</v>
      </c>
    </row>
    <row r="616">
      <c r="A616" s="42" t="n">
        <v>46266</v>
      </c>
      <c r="B616" s="43" t="n">
        <v>0.6111111111111112</v>
      </c>
      <c r="C616" s="37" t="inlineStr">
        <is>
          <t>Dra. Renata Sousa</t>
        </is>
      </c>
      <c r="D616" s="37" t="inlineStr">
        <is>
          <t>Sala 1</t>
        </is>
      </c>
      <c r="E616" s="36" t="inlineStr">
        <is>
          <t>Gabriel Reis</t>
        </is>
      </c>
      <c r="F616" s="37" t="inlineStr">
        <is>
          <t>Particular</t>
        </is>
      </c>
      <c r="G616" s="37" t="inlineStr">
        <is>
          <t>Avaliação endócrina</t>
        </is>
      </c>
      <c r="H616" s="37" t="inlineStr">
        <is>
          <t>Realizado</t>
        </is>
      </c>
      <c r="I616" s="37" t="inlineStr">
        <is>
          <t>Pix</t>
        </is>
      </c>
      <c r="J616" s="37" t="n"/>
      <c r="K616" s="36" t="n"/>
      <c r="L616" s="44">
        <f>IF(G616="","",IFERROR(INDEX(Config!$K$5:$K$16,MATCH(G616,Config!$J$5:$J$16,0)),""))</f>
        <v>40</v>
      </c>
      <c r="M616" s="30">
        <f>IF(OR(G616="",F616=""),"",IFERROR(INDEX(Config!$M$5:$R$16,MATCH(G616,Config!$J$5:$J$16,0),MATCH(F616,Config!$H$5:$H$10,0)),""))</f>
        <v>400</v>
      </c>
      <c r="N616" s="29">
        <f>IF(A616="","",MONTH(A616))</f>
        <v>9</v>
      </c>
      <c r="O616" s="29">
        <f>IF(A616="","",YEAR(A616))</f>
        <v>2026</v>
      </c>
      <c r="P616" s="29" t="str">
        <f>IF(A616="","",CHOOSE(WEEKDAY(A616,2),"Segunda","Terça","Quarta","Quinta","Sexta","Sábado","Domingo"))</f>
        <v>Terça</v>
      </c>
      <c r="Q616" s="29" t="str">
        <f>IF(B616="","",IF(B616&lt;TIME(12,0,0),"Manhã",IF(B616&lt;TIME(18,0,0),"Tarde","Noite")))</f>
        <v>Tarde</v>
      </c>
      <c r="R616" s="45">
        <f>IF(AND(H616="Realizado",L616&lt;&gt;""),L616/60,0)</f>
        <v>0.666666666666667</v>
      </c>
    </row>
    <row r="617">
      <c r="A617" s="42" t="n">
        <v>46266</v>
      </c>
      <c r="B617" s="43" t="n">
        <v>0.625</v>
      </c>
      <c r="C617" s="37" t="inlineStr">
        <is>
          <t>Dr. Paulo Andrade</t>
        </is>
      </c>
      <c r="D617" s="37" t="inlineStr">
        <is>
          <t>Sala 2</t>
        </is>
      </c>
      <c r="E617" s="36" t="inlineStr">
        <is>
          <t>Sandra Barros</t>
        </is>
      </c>
      <c r="F617" s="37" t="inlineStr">
        <is>
          <t>Saúde Total</t>
        </is>
      </c>
      <c r="G617" s="37" t="inlineStr">
        <is>
          <t>Teste ergométrico</t>
        </is>
      </c>
      <c r="H617" s="37" t="inlineStr">
        <is>
          <t>Realizado</t>
        </is>
      </c>
      <c r="I617" s="37" t="inlineStr">
        <is>
          <t>Convênio</t>
        </is>
      </c>
      <c r="J617" s="37" t="n"/>
      <c r="K617" s="36" t="n"/>
      <c r="L617" s="44">
        <f>IF(G617="","",IFERROR(INDEX(Config!$K$5:$K$16,MATCH(G617,Config!$J$5:$J$16,0)),""))</f>
        <v>40</v>
      </c>
      <c r="M617" s="30">
        <f>IF(OR(G617="",F617=""),"",IFERROR(INDEX(Config!$M$5:$R$16,MATCH(G617,Config!$J$5:$J$16,0),MATCH(F617,Config!$H$5:$H$10,0)),""))</f>
        <v>140</v>
      </c>
      <c r="N617" s="29">
        <f>IF(A617="","",MONTH(A617))</f>
        <v>9</v>
      </c>
      <c r="O617" s="29">
        <f>IF(A617="","",YEAR(A617))</f>
        <v>2026</v>
      </c>
      <c r="P617" s="29" t="str">
        <f>IF(A617="","",CHOOSE(WEEKDAY(A617,2),"Segunda","Terça","Quarta","Quinta","Sexta","Sábado","Domingo"))</f>
        <v>Terça</v>
      </c>
      <c r="Q617" s="29" t="str">
        <f>IF(B617="","",IF(B617&lt;TIME(12,0,0),"Manhã",IF(B617&lt;TIME(18,0,0),"Tarde","Noite")))</f>
        <v>Tarde</v>
      </c>
      <c r="R617" s="45">
        <f>IF(AND(H617="Realizado",L617&lt;&gt;""),L617/60,0)</f>
        <v>0.666666666666667</v>
      </c>
    </row>
    <row r="618">
      <c r="A618" s="42" t="n">
        <v>46266</v>
      </c>
      <c r="B618" s="43" t="n">
        <v>0.6388888888888888</v>
      </c>
      <c r="C618" s="37" t="inlineStr">
        <is>
          <t>Dra. Renata Sousa</t>
        </is>
      </c>
      <c r="D618" s="37" t="inlineStr">
        <is>
          <t>Sala 1</t>
        </is>
      </c>
      <c r="E618" s="36" t="inlineStr">
        <is>
          <t>Rodrigo Cardoso</t>
        </is>
      </c>
      <c r="F618" s="37" t="inlineStr">
        <is>
          <t>Saúde Total</t>
        </is>
      </c>
      <c r="G618" s="37" t="inlineStr">
        <is>
          <t>Avaliação endócrina</t>
        </is>
      </c>
      <c r="H618" s="37" t="inlineStr">
        <is>
          <t>Realizado</t>
        </is>
      </c>
      <c r="I618" s="37" t="inlineStr">
        <is>
          <t>Convênio</t>
        </is>
      </c>
      <c r="J618" s="37" t="n"/>
      <c r="K618" s="36" t="n"/>
      <c r="L618" s="44">
        <f>IF(G618="","",IFERROR(INDEX(Config!$K$5:$K$16,MATCH(G618,Config!$J$5:$J$16,0)),""))</f>
        <v>40</v>
      </c>
      <c r="M618" s="30">
        <f>IF(OR(G618="",F618=""),"",IFERROR(INDEX(Config!$M$5:$R$16,MATCH(G618,Config!$J$5:$J$16,0),MATCH(F618,Config!$H$5:$H$10,0)),""))</f>
        <v>130</v>
      </c>
      <c r="N618" s="29">
        <f>IF(A618="","",MONTH(A618))</f>
        <v>9</v>
      </c>
      <c r="O618" s="29">
        <f>IF(A618="","",YEAR(A618))</f>
        <v>2026</v>
      </c>
      <c r="P618" s="29" t="str">
        <f>IF(A618="","",CHOOSE(WEEKDAY(A618,2),"Segunda","Terça","Quarta","Quinta","Sexta","Sábado","Domingo"))</f>
        <v>Terça</v>
      </c>
      <c r="Q618" s="29" t="str">
        <f>IF(B618="","",IF(B618&lt;TIME(12,0,0),"Manhã",IF(B618&lt;TIME(18,0,0),"Tarde","Noite")))</f>
        <v>Tarde</v>
      </c>
      <c r="R618" s="45">
        <f>IF(AND(H618="Realizado",L618&lt;&gt;""),L618/60,0)</f>
        <v>0.666666666666667</v>
      </c>
    </row>
    <row r="619">
      <c r="A619" s="42" t="n">
        <v>46266</v>
      </c>
      <c r="B619" s="43" t="n">
        <v>0.6527777777777778</v>
      </c>
      <c r="C619" s="37" t="inlineStr">
        <is>
          <t>Dr. Paulo Andrade</t>
        </is>
      </c>
      <c r="D619" s="37" t="inlineStr">
        <is>
          <t>Sala 2</t>
        </is>
      </c>
      <c r="E619" s="36" t="inlineStr">
        <is>
          <t>Juliana Ribeiro</t>
        </is>
      </c>
      <c r="F619" s="37" t="inlineStr">
        <is>
          <t>Saúde Total</t>
        </is>
      </c>
      <c r="G619" s="37" t="inlineStr">
        <is>
          <t>Teste ergométrico</t>
        </is>
      </c>
      <c r="H619" s="37" t="inlineStr">
        <is>
          <t>Realizado</t>
        </is>
      </c>
      <c r="I619" s="37" t="inlineStr">
        <is>
          <t>Convênio</t>
        </is>
      </c>
      <c r="J619" s="37" t="n"/>
      <c r="K619" s="36" t="n"/>
      <c r="L619" s="44">
        <f>IF(G619="","",IFERROR(INDEX(Config!$K$5:$K$16,MATCH(G619,Config!$J$5:$J$16,0)),""))</f>
        <v>40</v>
      </c>
      <c r="M619" s="30">
        <f>IF(OR(G619="",F619=""),"",IFERROR(INDEX(Config!$M$5:$R$16,MATCH(G619,Config!$J$5:$J$16,0),MATCH(F619,Config!$H$5:$H$10,0)),""))</f>
        <v>140</v>
      </c>
      <c r="N619" s="29">
        <f>IF(A619="","",MONTH(A619))</f>
        <v>9</v>
      </c>
      <c r="O619" s="29">
        <f>IF(A619="","",YEAR(A619))</f>
        <v>2026</v>
      </c>
      <c r="P619" s="29" t="str">
        <f>IF(A619="","",CHOOSE(WEEKDAY(A619,2),"Segunda","Terça","Quarta","Quinta","Sexta","Sábado","Domingo"))</f>
        <v>Terça</v>
      </c>
      <c r="Q619" s="29" t="str">
        <f>IF(B619="","",IF(B619&lt;TIME(12,0,0),"Manhã",IF(B619&lt;TIME(18,0,0),"Tarde","Noite")))</f>
        <v>Tarde</v>
      </c>
      <c r="R619" s="45">
        <f>IF(AND(H619="Realizado",L619&lt;&gt;""),L619/60,0)</f>
        <v>0.666666666666667</v>
      </c>
    </row>
    <row r="620">
      <c r="A620" s="42" t="n">
        <v>46266</v>
      </c>
      <c r="B620" s="43" t="n">
        <v>0.6805555555555556</v>
      </c>
      <c r="C620" s="37" t="inlineStr">
        <is>
          <t>Dr. Paulo Andrade</t>
        </is>
      </c>
      <c r="D620" s="37" t="inlineStr">
        <is>
          <t>Sala 2</t>
        </is>
      </c>
      <c r="E620" s="36" t="inlineStr">
        <is>
          <t>Helena Ribeiro</t>
        </is>
      </c>
      <c r="F620" s="37" t="inlineStr">
        <is>
          <t>MediPlan</t>
        </is>
      </c>
      <c r="G620" s="37" t="inlineStr">
        <is>
          <t>Retorno</t>
        </is>
      </c>
      <c r="H620" s="37" t="inlineStr">
        <is>
          <t>Realizado</t>
        </is>
      </c>
      <c r="I620" s="37" t="inlineStr">
        <is>
          <t>Sem cobrança</t>
        </is>
      </c>
      <c r="J620" s="37" t="n"/>
      <c r="K620" s="36" t="n"/>
      <c r="L620" s="44">
        <f>IF(G620="","",IFERROR(INDEX(Config!$K$5:$K$16,MATCH(G620,Config!$J$5:$J$16,0)),""))</f>
        <v>20</v>
      </c>
      <c r="M620" s="30">
        <f>IF(OR(G620="",F620=""),"",IFERROR(INDEX(Config!$M$5:$R$16,MATCH(G620,Config!$J$5:$J$16,0),MATCH(F620,Config!$H$5:$H$10,0)),""))</f>
        <v>0</v>
      </c>
      <c r="N620" s="29">
        <f>IF(A620="","",MONTH(A620))</f>
        <v>9</v>
      </c>
      <c r="O620" s="29">
        <f>IF(A620="","",YEAR(A620))</f>
        <v>2026</v>
      </c>
      <c r="P620" s="29" t="str">
        <f>IF(A620="","",CHOOSE(WEEKDAY(A620,2),"Segunda","Terça","Quarta","Quinta","Sexta","Sábado","Domingo"))</f>
        <v>Terça</v>
      </c>
      <c r="Q620" s="29" t="str">
        <f>IF(B620="","",IF(B620&lt;TIME(12,0,0),"Manhã",IF(B620&lt;TIME(18,0,0),"Tarde","Noite")))</f>
        <v>Tarde</v>
      </c>
      <c r="R620" s="45">
        <f>IF(AND(H620="Realizado",L620&lt;&gt;""),L620/60,0)</f>
        <v>0.333333333333333</v>
      </c>
    </row>
    <row r="621">
      <c r="A621" s="42" t="n">
        <v>46266</v>
      </c>
      <c r="B621" s="43" t="n">
        <v>0.6875</v>
      </c>
      <c r="C621" s="37" t="inlineStr">
        <is>
          <t>Dra. Renata Sousa</t>
        </is>
      </c>
      <c r="D621" s="37" t="inlineStr">
        <is>
          <t>Sala 1</t>
        </is>
      </c>
      <c r="E621" s="36" t="inlineStr">
        <is>
          <t>Fábio Gomes</t>
        </is>
      </c>
      <c r="F621" s="37" t="inlineStr">
        <is>
          <t>Particular</t>
        </is>
      </c>
      <c r="G621" s="37" t="inlineStr">
        <is>
          <t>Retorno</t>
        </is>
      </c>
      <c r="H621" s="37" t="inlineStr">
        <is>
          <t>Realizado</t>
        </is>
      </c>
      <c r="I621" s="37" t="inlineStr">
        <is>
          <t>Sem cobrança</t>
        </is>
      </c>
      <c r="J621" s="37" t="n"/>
      <c r="K621" s="36" t="n"/>
      <c r="L621" s="44">
        <f>IF(G621="","",IFERROR(INDEX(Config!$K$5:$K$16,MATCH(G621,Config!$J$5:$J$16,0)),""))</f>
        <v>20</v>
      </c>
      <c r="M621" s="30">
        <f>IF(OR(G621="",F621=""),"",IFERROR(INDEX(Config!$M$5:$R$16,MATCH(G621,Config!$J$5:$J$16,0),MATCH(F621,Config!$H$5:$H$10,0)),""))</f>
        <v>0</v>
      </c>
      <c r="N621" s="29">
        <f>IF(A621="","",MONTH(A621))</f>
        <v>9</v>
      </c>
      <c r="O621" s="29">
        <f>IF(A621="","",YEAR(A621))</f>
        <v>2026</v>
      </c>
      <c r="P621" s="29" t="str">
        <f>IF(A621="","",CHOOSE(WEEKDAY(A621,2),"Segunda","Terça","Quarta","Quinta","Sexta","Sábado","Domingo"))</f>
        <v>Terça</v>
      </c>
      <c r="Q621" s="29" t="str">
        <f>IF(B621="","",IF(B621&lt;TIME(12,0,0),"Manhã",IF(B621&lt;TIME(18,0,0),"Tarde","Noite")))</f>
        <v>Tarde</v>
      </c>
      <c r="R621" s="45">
        <f>IF(AND(H621="Realizado",L621&lt;&gt;""),L621/60,0)</f>
        <v>0.333333333333333</v>
      </c>
    </row>
    <row r="622">
      <c r="A622" s="42" t="n">
        <v>46266</v>
      </c>
      <c r="B622" s="43" t="n">
        <v>0.6944444444444444</v>
      </c>
      <c r="C622" s="37" t="inlineStr">
        <is>
          <t>Dr. Paulo Andrade</t>
        </is>
      </c>
      <c r="D622" s="37" t="inlineStr">
        <is>
          <t>Sala 2</t>
        </is>
      </c>
      <c r="E622" s="36" t="inlineStr">
        <is>
          <t>Sérgio Teixeira</t>
        </is>
      </c>
      <c r="F622" s="37" t="inlineStr">
        <is>
          <t>MediPlan</t>
        </is>
      </c>
      <c r="G622" s="37" t="inlineStr">
        <is>
          <t>Consulta</t>
        </is>
      </c>
      <c r="H622" s="37" t="inlineStr">
        <is>
          <t>Realizado</t>
        </is>
      </c>
      <c r="I622" s="37" t="inlineStr">
        <is>
          <t>Convênio</t>
        </is>
      </c>
      <c r="J622" s="37" t="n"/>
      <c r="K622" s="36" t="n"/>
      <c r="L622" s="44">
        <f>IF(G622="","",IFERROR(INDEX(Config!$K$5:$K$16,MATCH(G622,Config!$J$5:$J$16,0)),""))</f>
        <v>30</v>
      </c>
      <c r="M622" s="30">
        <f>IF(OR(G622="",F622=""),"",IFERROR(INDEX(Config!$M$5:$R$16,MATCH(G622,Config!$J$5:$J$16,0),MATCH(F622,Config!$H$5:$H$10,0)),""))</f>
        <v>100</v>
      </c>
      <c r="N622" s="29">
        <f>IF(A622="","",MONTH(A622))</f>
        <v>9</v>
      </c>
      <c r="O622" s="29">
        <f>IF(A622="","",YEAR(A622))</f>
        <v>2026</v>
      </c>
      <c r="P622" s="29" t="str">
        <f>IF(A622="","",CHOOSE(WEEKDAY(A622,2),"Segunda","Terça","Quarta","Quinta","Sexta","Sábado","Domingo"))</f>
        <v>Terça</v>
      </c>
      <c r="Q622" s="29" t="str">
        <f>IF(B622="","",IF(B622&lt;TIME(12,0,0),"Manhã",IF(B622&lt;TIME(18,0,0),"Tarde","Noite")))</f>
        <v>Tarde</v>
      </c>
      <c r="R622" s="45">
        <f>IF(AND(H622="Realizado",L622&lt;&gt;""),L622/60,0)</f>
        <v>0.5</v>
      </c>
    </row>
    <row r="623">
      <c r="A623" s="42" t="n">
        <v>46266</v>
      </c>
      <c r="B623" s="43" t="n">
        <v>0.7013888888888888</v>
      </c>
      <c r="C623" s="37" t="inlineStr">
        <is>
          <t>Dra. Renata Sousa</t>
        </is>
      </c>
      <c r="D623" s="37" t="inlineStr">
        <is>
          <t>Sala 1</t>
        </is>
      </c>
      <c r="E623" s="36" t="inlineStr">
        <is>
          <t>Isabela Xavier</t>
        </is>
      </c>
      <c r="F623" s="37" t="inlineStr">
        <is>
          <t>Particular</t>
        </is>
      </c>
      <c r="G623" s="37" t="inlineStr">
        <is>
          <t>Avaliação endócrina</t>
        </is>
      </c>
      <c r="H623" s="37" t="inlineStr">
        <is>
          <t>Realizado</t>
        </is>
      </c>
      <c r="I623" s="37" t="inlineStr">
        <is>
          <t>Cartão de crédito</t>
        </is>
      </c>
      <c r="J623" s="37" t="n"/>
      <c r="K623" s="36" t="n"/>
      <c r="L623" s="44">
        <f>IF(G623="","",IFERROR(INDEX(Config!$K$5:$K$16,MATCH(G623,Config!$J$5:$J$16,0)),""))</f>
        <v>40</v>
      </c>
      <c r="M623" s="30">
        <f>IF(OR(G623="",F623=""),"",IFERROR(INDEX(Config!$M$5:$R$16,MATCH(G623,Config!$J$5:$J$16,0),MATCH(F623,Config!$H$5:$H$10,0)),""))</f>
        <v>400</v>
      </c>
      <c r="N623" s="29">
        <f>IF(A623="","",MONTH(A623))</f>
        <v>9</v>
      </c>
      <c r="O623" s="29">
        <f>IF(A623="","",YEAR(A623))</f>
        <v>2026</v>
      </c>
      <c r="P623" s="29" t="str">
        <f>IF(A623="","",CHOOSE(WEEKDAY(A623,2),"Segunda","Terça","Quarta","Quinta","Sexta","Sábado","Domingo"))</f>
        <v>Terça</v>
      </c>
      <c r="Q623" s="29" t="str">
        <f>IF(B623="","",IF(B623&lt;TIME(12,0,0),"Manhã",IF(B623&lt;TIME(18,0,0),"Tarde","Noite")))</f>
        <v>Tarde</v>
      </c>
      <c r="R623" s="45">
        <f>IF(AND(H623="Realizado",L623&lt;&gt;""),L623/60,0)</f>
        <v>0.666666666666667</v>
      </c>
    </row>
    <row r="624">
      <c r="A624" s="42" t="n">
        <v>46266</v>
      </c>
      <c r="B624" s="43" t="n">
        <v>0.7152777777777778</v>
      </c>
      <c r="C624" s="37" t="inlineStr">
        <is>
          <t>Dr. Paulo Andrade</t>
        </is>
      </c>
      <c r="D624" s="37" t="inlineStr">
        <is>
          <t>Sala 2</t>
        </is>
      </c>
      <c r="E624" s="36" t="inlineStr">
        <is>
          <t>Viviane Duarte</t>
        </is>
      </c>
      <c r="F624" s="37" t="inlineStr">
        <is>
          <t>MediPlan</t>
        </is>
      </c>
      <c r="G624" s="37" t="inlineStr">
        <is>
          <t>Consulta</t>
        </is>
      </c>
      <c r="H624" s="37" t="inlineStr">
        <is>
          <t>Realizado</t>
        </is>
      </c>
      <c r="I624" s="37" t="inlineStr">
        <is>
          <t>Convênio</t>
        </is>
      </c>
      <c r="J624" s="37" t="n"/>
      <c r="K624" s="36" t="n"/>
      <c r="L624" s="44">
        <f>IF(G624="","",IFERROR(INDEX(Config!$K$5:$K$16,MATCH(G624,Config!$J$5:$J$16,0)),""))</f>
        <v>30</v>
      </c>
      <c r="M624" s="30">
        <f>IF(OR(G624="",F624=""),"",IFERROR(INDEX(Config!$M$5:$R$16,MATCH(G624,Config!$J$5:$J$16,0),MATCH(F624,Config!$H$5:$H$10,0)),""))</f>
        <v>100</v>
      </c>
      <c r="N624" s="29">
        <f>IF(A624="","",MONTH(A624))</f>
        <v>9</v>
      </c>
      <c r="O624" s="29">
        <f>IF(A624="","",YEAR(A624))</f>
        <v>2026</v>
      </c>
      <c r="P624" s="29" t="str">
        <f>IF(A624="","",CHOOSE(WEEKDAY(A624,2),"Segunda","Terça","Quarta","Quinta","Sexta","Sábado","Domingo"))</f>
        <v>Terça</v>
      </c>
      <c r="Q624" s="29" t="str">
        <f>IF(B624="","",IF(B624&lt;TIME(12,0,0),"Manhã",IF(B624&lt;TIME(18,0,0),"Tarde","Noite")))</f>
        <v>Tarde</v>
      </c>
      <c r="R624" s="45">
        <f>IF(AND(H624="Realizado",L624&lt;&gt;""),L624/60,0)</f>
        <v>0.5</v>
      </c>
    </row>
    <row r="625">
      <c r="A625" s="42" t="n">
        <v>46266</v>
      </c>
      <c r="B625" s="43" t="n">
        <v>0.7291666666666666</v>
      </c>
      <c r="C625" s="37" t="inlineStr">
        <is>
          <t>Dra. Renata Sousa</t>
        </is>
      </c>
      <c r="D625" s="37" t="inlineStr">
        <is>
          <t>Sala 1</t>
        </is>
      </c>
      <c r="E625" s="36" t="inlineStr">
        <is>
          <t>Mariana Reis</t>
        </is>
      </c>
      <c r="F625" s="37" t="inlineStr">
        <is>
          <t>Particular</t>
        </is>
      </c>
      <c r="G625" s="37" t="inlineStr">
        <is>
          <t>Retorno</t>
        </is>
      </c>
      <c r="H625" s="37" t="inlineStr">
        <is>
          <t>Realizado</t>
        </is>
      </c>
      <c r="I625" s="37" t="inlineStr">
        <is>
          <t>Sem cobrança</t>
        </is>
      </c>
      <c r="J625" s="37" t="n"/>
      <c r="K625" s="36" t="n"/>
      <c r="L625" s="44">
        <f>IF(G625="","",IFERROR(INDEX(Config!$K$5:$K$16,MATCH(G625,Config!$J$5:$J$16,0)),""))</f>
        <v>20</v>
      </c>
      <c r="M625" s="30">
        <f>IF(OR(G625="",F625=""),"",IFERROR(INDEX(Config!$M$5:$R$16,MATCH(G625,Config!$J$5:$J$16,0),MATCH(F625,Config!$H$5:$H$10,0)),""))</f>
        <v>0</v>
      </c>
      <c r="N625" s="29">
        <f>IF(A625="","",MONTH(A625))</f>
        <v>9</v>
      </c>
      <c r="O625" s="29">
        <f>IF(A625="","",YEAR(A625))</f>
        <v>2026</v>
      </c>
      <c r="P625" s="29" t="str">
        <f>IF(A625="","",CHOOSE(WEEKDAY(A625,2),"Segunda","Terça","Quarta","Quinta","Sexta","Sábado","Domingo"))</f>
        <v>Terça</v>
      </c>
      <c r="Q625" s="29" t="str">
        <f>IF(B625="","",IF(B625&lt;TIME(12,0,0),"Manhã",IF(B625&lt;TIME(18,0,0),"Tarde","Noite")))</f>
        <v>Tarde</v>
      </c>
      <c r="R625" s="45">
        <f>IF(AND(H625="Realizado",L625&lt;&gt;""),L625/60,0)</f>
        <v>0.333333333333333</v>
      </c>
    </row>
    <row r="626">
      <c r="A626" s="42" t="n">
        <v>46266</v>
      </c>
      <c r="B626" s="43" t="n">
        <v>0.7361111111111112</v>
      </c>
      <c r="C626" s="37" t="inlineStr">
        <is>
          <t>Dr. Paulo Andrade</t>
        </is>
      </c>
      <c r="D626" s="37" t="inlineStr">
        <is>
          <t>Sala 2</t>
        </is>
      </c>
      <c r="E626" s="36" t="inlineStr">
        <is>
          <t>Natália Xavier</t>
        </is>
      </c>
      <c r="F626" s="37" t="inlineStr">
        <is>
          <t>MediPlan</t>
        </is>
      </c>
      <c r="G626" s="37" t="inlineStr">
        <is>
          <t>Retorno</t>
        </is>
      </c>
      <c r="H626" s="37" t="inlineStr">
        <is>
          <t>Realizado</t>
        </is>
      </c>
      <c r="I626" s="37" t="inlineStr">
        <is>
          <t>Sem cobrança</t>
        </is>
      </c>
      <c r="J626" s="37" t="n"/>
      <c r="K626" s="36" t="n"/>
      <c r="L626" s="44">
        <f>IF(G626="","",IFERROR(INDEX(Config!$K$5:$K$16,MATCH(G626,Config!$J$5:$J$16,0)),""))</f>
        <v>20</v>
      </c>
      <c r="M626" s="30">
        <f>IF(OR(G626="",F626=""),"",IFERROR(INDEX(Config!$M$5:$R$16,MATCH(G626,Config!$J$5:$J$16,0),MATCH(F626,Config!$H$5:$H$10,0)),""))</f>
        <v>0</v>
      </c>
      <c r="N626" s="29">
        <f>IF(A626="","",MONTH(A626))</f>
        <v>9</v>
      </c>
      <c r="O626" s="29">
        <f>IF(A626="","",YEAR(A626))</f>
        <v>2026</v>
      </c>
      <c r="P626" s="29" t="str">
        <f>IF(A626="","",CHOOSE(WEEKDAY(A626,2),"Segunda","Terça","Quarta","Quinta","Sexta","Sábado","Domingo"))</f>
        <v>Terça</v>
      </c>
      <c r="Q626" s="29" t="str">
        <f>IF(B626="","",IF(B626&lt;TIME(12,0,0),"Manhã",IF(B626&lt;TIME(18,0,0),"Tarde","Noite")))</f>
        <v>Tarde</v>
      </c>
      <c r="R626" s="45">
        <f>IF(AND(H626="Realizado",L626&lt;&gt;""),L626/60,0)</f>
        <v>0.333333333333333</v>
      </c>
    </row>
    <row r="627">
      <c r="A627" s="42" t="n">
        <v>46267</v>
      </c>
      <c r="B627" s="43" t="n">
        <v>0.5833333333333334</v>
      </c>
      <c r="C627" s="37" t="inlineStr">
        <is>
          <t>Dra. Carolina Mendes</t>
        </is>
      </c>
      <c r="D627" s="37" t="inlineStr">
        <is>
          <t>Sala 1</t>
        </is>
      </c>
      <c r="E627" s="36" t="inlineStr">
        <is>
          <t>Isabela Pinto</t>
        </is>
      </c>
      <c r="F627" s="37" t="inlineStr">
        <is>
          <t>Saúde Total</t>
        </is>
      </c>
      <c r="G627" s="37" t="inlineStr">
        <is>
          <t>Retorno</t>
        </is>
      </c>
      <c r="H627" s="37" t="inlineStr">
        <is>
          <t>Realizado</t>
        </is>
      </c>
      <c r="I627" s="37" t="inlineStr">
        <is>
          <t>Sem cobrança</t>
        </is>
      </c>
      <c r="J627" s="37" t="n"/>
      <c r="K627" s="36" t="n"/>
      <c r="L627" s="44">
        <f>IF(G627="","",IFERROR(INDEX(Config!$K$5:$K$16,MATCH(G627,Config!$J$5:$J$16,0)),""))</f>
        <v>20</v>
      </c>
      <c r="M627" s="30">
        <f>IF(OR(G627="",F627=""),"",IFERROR(INDEX(Config!$M$5:$R$16,MATCH(G627,Config!$J$5:$J$16,0),MATCH(F627,Config!$H$5:$H$10,0)),""))</f>
        <v>0</v>
      </c>
      <c r="N627" s="29">
        <f>IF(A627="","",MONTH(A627))</f>
        <v>9</v>
      </c>
      <c r="O627" s="29">
        <f>IF(A627="","",YEAR(A627))</f>
        <v>2026</v>
      </c>
      <c r="P627" s="29" t="str">
        <f>IF(A627="","",CHOOSE(WEEKDAY(A627,2),"Segunda","Terça","Quarta","Quinta","Sexta","Sábado","Domingo"))</f>
        <v>Quarta</v>
      </c>
      <c r="Q627" s="29" t="str">
        <f>IF(B627="","",IF(B627&lt;TIME(12,0,0),"Manhã",IF(B627&lt;TIME(18,0,0),"Tarde","Noite")))</f>
        <v>Tarde</v>
      </c>
      <c r="R627" s="45">
        <f>IF(AND(H627="Realizado",L627&lt;&gt;""),L627/60,0)</f>
        <v>0.333333333333333</v>
      </c>
    </row>
    <row r="628">
      <c r="A628" s="42" t="n">
        <v>46267</v>
      </c>
      <c r="B628" s="43" t="n">
        <v>0.5972222222222222</v>
      </c>
      <c r="C628" s="37" t="inlineStr">
        <is>
          <t>Dra. Carolina Mendes</t>
        </is>
      </c>
      <c r="D628" s="37" t="inlineStr">
        <is>
          <t>Sala 1</t>
        </is>
      </c>
      <c r="E628" s="36" t="inlineStr">
        <is>
          <t>Mônica Batista</t>
        </is>
      </c>
      <c r="F628" s="37" t="inlineStr">
        <is>
          <t>MediPlan</t>
        </is>
      </c>
      <c r="G628" s="37" t="inlineStr">
        <is>
          <t>Retorno</t>
        </is>
      </c>
      <c r="H628" s="37" t="inlineStr">
        <is>
          <t>Realizado</t>
        </is>
      </c>
      <c r="I628" s="37" t="inlineStr">
        <is>
          <t>Sem cobrança</t>
        </is>
      </c>
      <c r="J628" s="37" t="n"/>
      <c r="K628" s="36" t="n"/>
      <c r="L628" s="44">
        <f>IF(G628="","",IFERROR(INDEX(Config!$K$5:$K$16,MATCH(G628,Config!$J$5:$J$16,0)),""))</f>
        <v>20</v>
      </c>
      <c r="M628" s="30">
        <f>IF(OR(G628="",F628=""),"",IFERROR(INDEX(Config!$M$5:$R$16,MATCH(G628,Config!$J$5:$J$16,0),MATCH(F628,Config!$H$5:$H$10,0)),""))</f>
        <v>0</v>
      </c>
      <c r="N628" s="29">
        <f>IF(A628="","",MONTH(A628))</f>
        <v>9</v>
      </c>
      <c r="O628" s="29">
        <f>IF(A628="","",YEAR(A628))</f>
        <v>2026</v>
      </c>
      <c r="P628" s="29" t="str">
        <f>IF(A628="","",CHOOSE(WEEKDAY(A628,2),"Segunda","Terça","Quarta","Quinta","Sexta","Sábado","Domingo"))</f>
        <v>Quarta</v>
      </c>
      <c r="Q628" s="29" t="str">
        <f>IF(B628="","",IF(B628&lt;TIME(12,0,0),"Manhã",IF(B628&lt;TIME(18,0,0),"Tarde","Noite")))</f>
        <v>Tarde</v>
      </c>
      <c r="R628" s="45">
        <f>IF(AND(H628="Realizado",L628&lt;&gt;""),L628/60,0)</f>
        <v>0.333333333333333</v>
      </c>
    </row>
    <row r="629">
      <c r="A629" s="42" t="n">
        <v>46267</v>
      </c>
      <c r="B629" s="43" t="n">
        <v>0.6111111111111112</v>
      </c>
      <c r="C629" s="37" t="inlineStr">
        <is>
          <t>Dra. Carolina Mendes</t>
        </is>
      </c>
      <c r="D629" s="37" t="inlineStr">
        <is>
          <t>Sala 1</t>
        </is>
      </c>
      <c r="E629" s="36" t="inlineStr">
        <is>
          <t>Helena Moreira</t>
        </is>
      </c>
      <c r="F629" s="37" t="inlineStr">
        <is>
          <t>Particular</t>
        </is>
      </c>
      <c r="G629" s="37" t="inlineStr">
        <is>
          <t>Consulta</t>
        </is>
      </c>
      <c r="H629" s="37" t="inlineStr">
        <is>
          <t>Realizado</t>
        </is>
      </c>
      <c r="I629" s="37" t="inlineStr">
        <is>
          <t>Cartão de débito</t>
        </is>
      </c>
      <c r="J629" s="37" t="n"/>
      <c r="K629" s="36" t="n"/>
      <c r="L629" s="44">
        <f>IF(G629="","",IFERROR(INDEX(Config!$K$5:$K$16,MATCH(G629,Config!$J$5:$J$16,0)),""))</f>
        <v>30</v>
      </c>
      <c r="M629" s="30">
        <f>IF(OR(G629="",F629=""),"",IFERROR(INDEX(Config!$M$5:$R$16,MATCH(G629,Config!$J$5:$J$16,0),MATCH(F629,Config!$H$5:$H$10,0)),""))</f>
        <v>380</v>
      </c>
      <c r="N629" s="29">
        <f>IF(A629="","",MONTH(A629))</f>
        <v>9</v>
      </c>
      <c r="O629" s="29">
        <f>IF(A629="","",YEAR(A629))</f>
        <v>2026</v>
      </c>
      <c r="P629" s="29" t="str">
        <f>IF(A629="","",CHOOSE(WEEKDAY(A629,2),"Segunda","Terça","Quarta","Quinta","Sexta","Sábado","Domingo"))</f>
        <v>Quarta</v>
      </c>
      <c r="Q629" s="29" t="str">
        <f>IF(B629="","",IF(B629&lt;TIME(12,0,0),"Manhã",IF(B629&lt;TIME(18,0,0),"Tarde","Noite")))</f>
        <v>Tarde</v>
      </c>
      <c r="R629" s="45">
        <f>IF(AND(H629="Realizado",L629&lt;&gt;""),L629/60,0)</f>
        <v>0.5</v>
      </c>
    </row>
    <row r="630">
      <c r="A630" s="42" t="n">
        <v>46267</v>
      </c>
      <c r="B630" s="43" t="n">
        <v>0.6319444444444444</v>
      </c>
      <c r="C630" s="37" t="inlineStr">
        <is>
          <t>Dra. Carolina Mendes</t>
        </is>
      </c>
      <c r="D630" s="37" t="inlineStr">
        <is>
          <t>Sala 1</t>
        </is>
      </c>
      <c r="E630" s="36" t="inlineStr">
        <is>
          <t>Rafael Dias</t>
        </is>
      </c>
      <c r="F630" s="37" t="inlineStr">
        <is>
          <t>Particular</t>
        </is>
      </c>
      <c r="G630" s="37" t="inlineStr">
        <is>
          <t>Consulta</t>
        </is>
      </c>
      <c r="H630" s="37" t="inlineStr">
        <is>
          <t>Realizado</t>
        </is>
      </c>
      <c r="I630" s="37" t="inlineStr">
        <is>
          <t>Pix</t>
        </is>
      </c>
      <c r="J630" s="37" t="n"/>
      <c r="K630" s="36" t="n"/>
      <c r="L630" s="44">
        <f>IF(G630="","",IFERROR(INDEX(Config!$K$5:$K$16,MATCH(G630,Config!$J$5:$J$16,0)),""))</f>
        <v>30</v>
      </c>
      <c r="M630" s="30">
        <f>IF(OR(G630="",F630=""),"",IFERROR(INDEX(Config!$M$5:$R$16,MATCH(G630,Config!$J$5:$J$16,0),MATCH(F630,Config!$H$5:$H$10,0)),""))</f>
        <v>380</v>
      </c>
      <c r="N630" s="29">
        <f>IF(A630="","",MONTH(A630))</f>
        <v>9</v>
      </c>
      <c r="O630" s="29">
        <f>IF(A630="","",YEAR(A630))</f>
        <v>2026</v>
      </c>
      <c r="P630" s="29" t="str">
        <f>IF(A630="","",CHOOSE(WEEKDAY(A630,2),"Segunda","Terça","Quarta","Quinta","Sexta","Sábado","Domingo"))</f>
        <v>Quarta</v>
      </c>
      <c r="Q630" s="29" t="str">
        <f>IF(B630="","",IF(B630&lt;TIME(12,0,0),"Manhã",IF(B630&lt;TIME(18,0,0),"Tarde","Noite")))</f>
        <v>Tarde</v>
      </c>
      <c r="R630" s="45">
        <f>IF(AND(H630="Realizado",L630&lt;&gt;""),L630/60,0)</f>
        <v>0.5</v>
      </c>
    </row>
    <row r="631">
      <c r="A631" s="42" t="n">
        <v>46267</v>
      </c>
      <c r="B631" s="43" t="n">
        <v>0.6527777777777778</v>
      </c>
      <c r="C631" s="37" t="inlineStr">
        <is>
          <t>Dra. Carolina Mendes</t>
        </is>
      </c>
      <c r="D631" s="37" t="inlineStr">
        <is>
          <t>Sala 1</t>
        </is>
      </c>
      <c r="E631" s="36" t="inlineStr">
        <is>
          <t>Camila Batista</t>
        </is>
      </c>
      <c r="F631" s="37" t="inlineStr">
        <is>
          <t>MediPlan</t>
        </is>
      </c>
      <c r="G631" s="37" t="inlineStr">
        <is>
          <t>Consulta</t>
        </is>
      </c>
      <c r="H631" s="37" t="inlineStr">
        <is>
          <t>Realizado</t>
        </is>
      </c>
      <c r="I631" s="37" t="inlineStr">
        <is>
          <t>Convênio</t>
        </is>
      </c>
      <c r="J631" s="37" t="n"/>
      <c r="K631" s="36" t="n"/>
      <c r="L631" s="44">
        <f>IF(G631="","",IFERROR(INDEX(Config!$K$5:$K$16,MATCH(G631,Config!$J$5:$J$16,0)),""))</f>
        <v>30</v>
      </c>
      <c r="M631" s="30">
        <f>IF(OR(G631="",F631=""),"",IFERROR(INDEX(Config!$M$5:$R$16,MATCH(G631,Config!$J$5:$J$16,0),MATCH(F631,Config!$H$5:$H$10,0)),""))</f>
        <v>100</v>
      </c>
      <c r="N631" s="29">
        <f>IF(A631="","",MONTH(A631))</f>
        <v>9</v>
      </c>
      <c r="O631" s="29">
        <f>IF(A631="","",YEAR(A631))</f>
        <v>2026</v>
      </c>
      <c r="P631" s="29" t="str">
        <f>IF(A631="","",CHOOSE(WEEKDAY(A631,2),"Segunda","Terça","Quarta","Quinta","Sexta","Sábado","Domingo"))</f>
        <v>Quarta</v>
      </c>
      <c r="Q631" s="29" t="str">
        <f>IF(B631="","",IF(B631&lt;TIME(12,0,0),"Manhã",IF(B631&lt;TIME(18,0,0),"Tarde","Noite")))</f>
        <v>Tarde</v>
      </c>
      <c r="R631" s="45">
        <f>IF(AND(H631="Realizado",L631&lt;&gt;""),L631/60,0)</f>
        <v>0.5</v>
      </c>
    </row>
    <row r="632">
      <c r="A632" s="42" t="n">
        <v>46267</v>
      </c>
      <c r="B632" s="43" t="n">
        <v>0.6736111111111112</v>
      </c>
      <c r="C632" s="37" t="inlineStr">
        <is>
          <t>Dra. Carolina Mendes</t>
        </is>
      </c>
      <c r="D632" s="37" t="inlineStr">
        <is>
          <t>Sala 1</t>
        </is>
      </c>
      <c r="E632" s="36" t="inlineStr">
        <is>
          <t>Cláudia Santos</t>
        </is>
      </c>
      <c r="F632" s="37" t="inlineStr">
        <is>
          <t>Particular</t>
        </is>
      </c>
      <c r="G632" s="37" t="inlineStr">
        <is>
          <t>Consulta</t>
        </is>
      </c>
      <c r="H632" s="37" t="inlineStr">
        <is>
          <t>Realizado</t>
        </is>
      </c>
      <c r="I632" s="37" t="inlineStr">
        <is>
          <t>Cartão de crédito</t>
        </is>
      </c>
      <c r="J632" s="37" t="n">
        <v>2</v>
      </c>
      <c r="K632" s="36" t="n"/>
      <c r="L632" s="44">
        <f>IF(G632="","",IFERROR(INDEX(Config!$K$5:$K$16,MATCH(G632,Config!$J$5:$J$16,0)),""))</f>
        <v>30</v>
      </c>
      <c r="M632" s="30">
        <f>IF(OR(G632="",F632=""),"",IFERROR(INDEX(Config!$M$5:$R$16,MATCH(G632,Config!$J$5:$J$16,0),MATCH(F632,Config!$H$5:$H$10,0)),""))</f>
        <v>380</v>
      </c>
      <c r="N632" s="29">
        <f>IF(A632="","",MONTH(A632))</f>
        <v>9</v>
      </c>
      <c r="O632" s="29">
        <f>IF(A632="","",YEAR(A632))</f>
        <v>2026</v>
      </c>
      <c r="P632" s="29" t="str">
        <f>IF(A632="","",CHOOSE(WEEKDAY(A632,2),"Segunda","Terça","Quarta","Quinta","Sexta","Sábado","Domingo"))</f>
        <v>Quarta</v>
      </c>
      <c r="Q632" s="29" t="str">
        <f>IF(B632="","",IF(B632&lt;TIME(12,0,0),"Manhã",IF(B632&lt;TIME(18,0,0),"Tarde","Noite")))</f>
        <v>Tarde</v>
      </c>
      <c r="R632" s="45">
        <f>IF(AND(H632="Realizado",L632&lt;&gt;""),L632/60,0)</f>
        <v>0.5</v>
      </c>
    </row>
    <row r="633">
      <c r="A633" s="42" t="n">
        <v>46267</v>
      </c>
      <c r="B633" s="43" t="n">
        <v>0.6944444444444444</v>
      </c>
      <c r="C633" s="37" t="inlineStr">
        <is>
          <t>Dra. Carolina Mendes</t>
        </is>
      </c>
      <c r="D633" s="37" t="inlineStr">
        <is>
          <t>Sala 1</t>
        </is>
      </c>
      <c r="E633" s="36" t="inlineStr">
        <is>
          <t>Sérgio Batista</t>
        </is>
      </c>
      <c r="F633" s="37" t="inlineStr">
        <is>
          <t>MediPlan</t>
        </is>
      </c>
      <c r="G633" s="37" t="inlineStr">
        <is>
          <t>Consulta</t>
        </is>
      </c>
      <c r="H633" s="37" t="inlineStr">
        <is>
          <t>Realizado</t>
        </is>
      </c>
      <c r="I633" s="37" t="inlineStr">
        <is>
          <t>Convênio</t>
        </is>
      </c>
      <c r="J633" s="37" t="n"/>
      <c r="K633" s="36" t="n"/>
      <c r="L633" s="44">
        <f>IF(G633="","",IFERROR(INDEX(Config!$K$5:$K$16,MATCH(G633,Config!$J$5:$J$16,0)),""))</f>
        <v>30</v>
      </c>
      <c r="M633" s="30">
        <f>IF(OR(G633="",F633=""),"",IFERROR(INDEX(Config!$M$5:$R$16,MATCH(G633,Config!$J$5:$J$16,0),MATCH(F633,Config!$H$5:$H$10,0)),""))</f>
        <v>100</v>
      </c>
      <c r="N633" s="29">
        <f>IF(A633="","",MONTH(A633))</f>
        <v>9</v>
      </c>
      <c r="O633" s="29">
        <f>IF(A633="","",YEAR(A633))</f>
        <v>2026</v>
      </c>
      <c r="P633" s="29" t="str">
        <f>IF(A633="","",CHOOSE(WEEKDAY(A633,2),"Segunda","Terça","Quarta","Quinta","Sexta","Sábado","Domingo"))</f>
        <v>Quarta</v>
      </c>
      <c r="Q633" s="29" t="str">
        <f>IF(B633="","",IF(B633&lt;TIME(12,0,0),"Manhã",IF(B633&lt;TIME(18,0,0),"Tarde","Noite")))</f>
        <v>Tarde</v>
      </c>
      <c r="R633" s="45">
        <f>IF(AND(H633="Realizado",L633&lt;&gt;""),L633/60,0)</f>
        <v>0.5</v>
      </c>
    </row>
    <row r="634">
      <c r="A634" s="42" t="n">
        <v>46267</v>
      </c>
      <c r="B634" s="43" t="n">
        <v>0.7152777777777778</v>
      </c>
      <c r="C634" s="37" t="inlineStr">
        <is>
          <t>Dra. Carolina Mendes</t>
        </is>
      </c>
      <c r="D634" s="37" t="inlineStr">
        <is>
          <t>Sala 1</t>
        </is>
      </c>
      <c r="E634" s="36" t="inlineStr">
        <is>
          <t>Mônica Teixeira</t>
        </is>
      </c>
      <c r="F634" s="37" t="inlineStr">
        <is>
          <t>Vida Care</t>
        </is>
      </c>
      <c r="G634" s="37" t="inlineStr">
        <is>
          <t>Consulta</t>
        </is>
      </c>
      <c r="H634" s="37" t="inlineStr">
        <is>
          <t>Realizado</t>
        </is>
      </c>
      <c r="I634" s="37" t="inlineStr">
        <is>
          <t>Convênio</t>
        </is>
      </c>
      <c r="J634" s="37" t="n"/>
      <c r="K634" s="36" t="n"/>
      <c r="L634" s="44">
        <f>IF(G634="","",IFERROR(INDEX(Config!$K$5:$K$16,MATCH(G634,Config!$J$5:$J$16,0)),""))</f>
        <v>30</v>
      </c>
      <c r="M634" s="30">
        <f>IF(OR(G634="",F634=""),"",IFERROR(INDEX(Config!$M$5:$R$16,MATCH(G634,Config!$J$5:$J$16,0),MATCH(F634,Config!$H$5:$H$10,0)),""))</f>
        <v>90</v>
      </c>
      <c r="N634" s="29">
        <f>IF(A634="","",MONTH(A634))</f>
        <v>9</v>
      </c>
      <c r="O634" s="29">
        <f>IF(A634="","",YEAR(A634))</f>
        <v>2026</v>
      </c>
      <c r="P634" s="29" t="str">
        <f>IF(A634="","",CHOOSE(WEEKDAY(A634,2),"Segunda","Terça","Quarta","Quinta","Sexta","Sábado","Domingo"))</f>
        <v>Quarta</v>
      </c>
      <c r="Q634" s="29" t="str">
        <f>IF(B634="","",IF(B634&lt;TIME(12,0,0),"Manhã",IF(B634&lt;TIME(18,0,0),"Tarde","Noite")))</f>
        <v>Tarde</v>
      </c>
      <c r="R634" s="45">
        <f>IF(AND(H634="Realizado",L634&lt;&gt;""),L634/60,0)</f>
        <v>0.5</v>
      </c>
    </row>
    <row r="635">
      <c r="A635" s="42" t="n">
        <v>46267</v>
      </c>
      <c r="B635" s="43" t="n">
        <v>0.7361111111111112</v>
      </c>
      <c r="C635" s="37" t="inlineStr">
        <is>
          <t>Dra. Carolina Mendes</t>
        </is>
      </c>
      <c r="D635" s="37" t="inlineStr">
        <is>
          <t>Sala 1</t>
        </is>
      </c>
      <c r="E635" s="36" t="inlineStr">
        <is>
          <t>Carlos Castro</t>
        </is>
      </c>
      <c r="F635" s="37" t="inlineStr">
        <is>
          <t>Saúde Total</t>
        </is>
      </c>
      <c r="G635" s="37" t="inlineStr">
        <is>
          <t>Consulta</t>
        </is>
      </c>
      <c r="H635" s="37" t="inlineStr">
        <is>
          <t>Realizado</t>
        </is>
      </c>
      <c r="I635" s="37" t="inlineStr">
        <is>
          <t>Convênio</t>
        </is>
      </c>
      <c r="J635" s="37" t="n"/>
      <c r="K635" s="36" t="n"/>
      <c r="L635" s="44">
        <f>IF(G635="","",IFERROR(INDEX(Config!$K$5:$K$16,MATCH(G635,Config!$J$5:$J$16,0)),""))</f>
        <v>30</v>
      </c>
      <c r="M635" s="30">
        <f>IF(OR(G635="",F635=""),"",IFERROR(INDEX(Config!$M$5:$R$16,MATCH(G635,Config!$J$5:$J$16,0),MATCH(F635,Config!$H$5:$H$10,0)),""))</f>
        <v>120</v>
      </c>
      <c r="N635" s="29">
        <f>IF(A635="","",MONTH(A635))</f>
        <v>9</v>
      </c>
      <c r="O635" s="29">
        <f>IF(A635="","",YEAR(A635))</f>
        <v>2026</v>
      </c>
      <c r="P635" s="29" t="str">
        <f>IF(A635="","",CHOOSE(WEEKDAY(A635,2),"Segunda","Terça","Quarta","Quinta","Sexta","Sábado","Domingo"))</f>
        <v>Quarta</v>
      </c>
      <c r="Q635" s="29" t="str">
        <f>IF(B635="","",IF(B635&lt;TIME(12,0,0),"Manhã",IF(B635&lt;TIME(18,0,0),"Tarde","Noite")))</f>
        <v>Tarde</v>
      </c>
      <c r="R635" s="45">
        <f>IF(AND(H635="Realizado",L635&lt;&gt;""),L635/60,0)</f>
        <v>0.5</v>
      </c>
    </row>
    <row r="636">
      <c r="A636" s="42" t="n">
        <v>46268</v>
      </c>
      <c r="B636" s="43" t="n">
        <v>0.3333333333333333</v>
      </c>
      <c r="C636" s="37" t="inlineStr">
        <is>
          <t>Dra. Carolina Mendes</t>
        </is>
      </c>
      <c r="D636" s="37" t="inlineStr">
        <is>
          <t>Sala 1</t>
        </is>
      </c>
      <c r="E636" s="36" t="inlineStr">
        <is>
          <t>Gisele Xavier</t>
        </is>
      </c>
      <c r="F636" s="37" t="inlineStr">
        <is>
          <t>Particular</t>
        </is>
      </c>
      <c r="G636" s="37" t="inlineStr">
        <is>
          <t>Consulta</t>
        </is>
      </c>
      <c r="H636" s="37" t="inlineStr">
        <is>
          <t>Realizado</t>
        </is>
      </c>
      <c r="I636" s="37" t="inlineStr">
        <is>
          <t>Cartão de crédito</t>
        </is>
      </c>
      <c r="J636" s="37" t="n"/>
      <c r="K636" s="36" t="n"/>
      <c r="L636" s="44">
        <f>IF(G636="","",IFERROR(INDEX(Config!$K$5:$K$16,MATCH(G636,Config!$J$5:$J$16,0)),""))</f>
        <v>30</v>
      </c>
      <c r="M636" s="30">
        <f>IF(OR(G636="",F636=""),"",IFERROR(INDEX(Config!$M$5:$R$16,MATCH(G636,Config!$J$5:$J$16,0),MATCH(F636,Config!$H$5:$H$10,0)),""))</f>
        <v>380</v>
      </c>
      <c r="N636" s="29">
        <f>IF(A636="","",MONTH(A636))</f>
        <v>9</v>
      </c>
      <c r="O636" s="29">
        <f>IF(A636="","",YEAR(A636))</f>
        <v>2026</v>
      </c>
      <c r="P636" s="29" t="str">
        <f>IF(A636="","",CHOOSE(WEEKDAY(A636,2),"Segunda","Terça","Quarta","Quinta","Sexta","Sábado","Domingo"))</f>
        <v>Quinta</v>
      </c>
      <c r="Q636" s="29" t="str">
        <f>IF(B636="","",IF(B636&lt;TIME(12,0,0),"Manhã",IF(B636&lt;TIME(18,0,0),"Tarde","Noite")))</f>
        <v>Manhã</v>
      </c>
      <c r="R636" s="45">
        <f>IF(AND(H636="Realizado",L636&lt;&gt;""),L636/60,0)</f>
        <v>0.5</v>
      </c>
    </row>
    <row r="637">
      <c r="A637" s="42" t="n">
        <v>46268</v>
      </c>
      <c r="B637" s="43" t="n">
        <v>0.3541666666666667</v>
      </c>
      <c r="C637" s="37" t="inlineStr">
        <is>
          <t>Dra. Carolina Mendes</t>
        </is>
      </c>
      <c r="D637" s="37" t="inlineStr">
        <is>
          <t>Sala 1</t>
        </is>
      </c>
      <c r="E637" s="36" t="inlineStr">
        <is>
          <t>Regina Macedo</t>
        </is>
      </c>
      <c r="F637" s="37" t="inlineStr">
        <is>
          <t>Particular</t>
        </is>
      </c>
      <c r="G637" s="37" t="inlineStr">
        <is>
          <t>Retorno</t>
        </is>
      </c>
      <c r="H637" s="37" t="inlineStr">
        <is>
          <t>Realizado</t>
        </is>
      </c>
      <c r="I637" s="37" t="inlineStr">
        <is>
          <t>Sem cobrança</t>
        </is>
      </c>
      <c r="J637" s="37" t="n"/>
      <c r="K637" s="36" t="n"/>
      <c r="L637" s="44">
        <f>IF(G637="","",IFERROR(INDEX(Config!$K$5:$K$16,MATCH(G637,Config!$J$5:$J$16,0)),""))</f>
        <v>20</v>
      </c>
      <c r="M637" s="30">
        <f>IF(OR(G637="",F637=""),"",IFERROR(INDEX(Config!$M$5:$R$16,MATCH(G637,Config!$J$5:$J$16,0),MATCH(F637,Config!$H$5:$H$10,0)),""))</f>
        <v>0</v>
      </c>
      <c r="N637" s="29">
        <f>IF(A637="","",MONTH(A637))</f>
        <v>9</v>
      </c>
      <c r="O637" s="29">
        <f>IF(A637="","",YEAR(A637))</f>
        <v>2026</v>
      </c>
      <c r="P637" s="29" t="str">
        <f>IF(A637="","",CHOOSE(WEEKDAY(A637,2),"Segunda","Terça","Quarta","Quinta","Sexta","Sábado","Domingo"))</f>
        <v>Quinta</v>
      </c>
      <c r="Q637" s="29" t="str">
        <f>IF(B637="","",IF(B637&lt;TIME(12,0,0),"Manhã",IF(B637&lt;TIME(18,0,0),"Tarde","Noite")))</f>
        <v>Manhã</v>
      </c>
      <c r="R637" s="45">
        <f>IF(AND(H637="Realizado",L637&lt;&gt;""),L637/60,0)</f>
        <v>0.333333333333333</v>
      </c>
    </row>
    <row r="638">
      <c r="A638" s="42" t="n">
        <v>46268</v>
      </c>
      <c r="B638" s="43" t="n">
        <v>0.3680555555555556</v>
      </c>
      <c r="C638" s="37" t="inlineStr">
        <is>
          <t>Dra. Carolina Mendes</t>
        </is>
      </c>
      <c r="D638" s="37" t="inlineStr">
        <is>
          <t>Sala 1</t>
        </is>
      </c>
      <c r="E638" s="36" t="inlineStr">
        <is>
          <t>Priscila Castro</t>
        </is>
      </c>
      <c r="F638" s="37" t="inlineStr">
        <is>
          <t>Saúde Total</t>
        </is>
      </c>
      <c r="G638" s="37" t="inlineStr">
        <is>
          <t>Consulta</t>
        </is>
      </c>
      <c r="H638" s="37" t="inlineStr">
        <is>
          <t>Realizado</t>
        </is>
      </c>
      <c r="I638" s="37" t="inlineStr">
        <is>
          <t>Convênio</t>
        </is>
      </c>
      <c r="J638" s="37" t="n"/>
      <c r="K638" s="36" t="n"/>
      <c r="L638" s="44">
        <f>IF(G638="","",IFERROR(INDEX(Config!$K$5:$K$16,MATCH(G638,Config!$J$5:$J$16,0)),""))</f>
        <v>30</v>
      </c>
      <c r="M638" s="30">
        <f>IF(OR(G638="",F638=""),"",IFERROR(INDEX(Config!$M$5:$R$16,MATCH(G638,Config!$J$5:$J$16,0),MATCH(F638,Config!$H$5:$H$10,0)),""))</f>
        <v>120</v>
      </c>
      <c r="N638" s="29">
        <f>IF(A638="","",MONTH(A638))</f>
        <v>9</v>
      </c>
      <c r="O638" s="29">
        <f>IF(A638="","",YEAR(A638))</f>
        <v>2026</v>
      </c>
      <c r="P638" s="29" t="str">
        <f>IF(A638="","",CHOOSE(WEEKDAY(A638,2),"Segunda","Terça","Quarta","Quinta","Sexta","Sábado","Domingo"))</f>
        <v>Quinta</v>
      </c>
      <c r="Q638" s="29" t="str">
        <f>IF(B638="","",IF(B638&lt;TIME(12,0,0),"Manhã",IF(B638&lt;TIME(18,0,0),"Tarde","Noite")))</f>
        <v>Manhã</v>
      </c>
      <c r="R638" s="45">
        <f>IF(AND(H638="Realizado",L638&lt;&gt;""),L638/60,0)</f>
        <v>0.5</v>
      </c>
    </row>
    <row r="639">
      <c r="A639" s="42" t="n">
        <v>46268</v>
      </c>
      <c r="B639" s="43" t="n">
        <v>0.3888888888888889</v>
      </c>
      <c r="C639" s="37" t="inlineStr">
        <is>
          <t>Dra. Carolina Mendes</t>
        </is>
      </c>
      <c r="D639" s="37" t="inlineStr">
        <is>
          <t>Sala 1</t>
        </is>
      </c>
      <c r="E639" s="36" t="inlineStr">
        <is>
          <t>Larissa Costa</t>
        </is>
      </c>
      <c r="F639" s="37" t="inlineStr">
        <is>
          <t>Particular</t>
        </is>
      </c>
      <c r="G639" s="37" t="inlineStr">
        <is>
          <t>Consulta</t>
        </is>
      </c>
      <c r="H639" s="37" t="inlineStr">
        <is>
          <t>Realizado</t>
        </is>
      </c>
      <c r="I639" s="37" t="inlineStr">
        <is>
          <t>A prazo</t>
        </is>
      </c>
      <c r="J639" s="37" t="n"/>
      <c r="K639" s="36" t="n"/>
      <c r="L639" s="44">
        <f>IF(G639="","",IFERROR(INDEX(Config!$K$5:$K$16,MATCH(G639,Config!$J$5:$J$16,0)),""))</f>
        <v>30</v>
      </c>
      <c r="M639" s="30">
        <f>IF(OR(G639="",F639=""),"",IFERROR(INDEX(Config!$M$5:$R$16,MATCH(G639,Config!$J$5:$J$16,0),MATCH(F639,Config!$H$5:$H$10,0)),""))</f>
        <v>380</v>
      </c>
      <c r="N639" s="29">
        <f>IF(A639="","",MONTH(A639))</f>
        <v>9</v>
      </c>
      <c r="O639" s="29">
        <f>IF(A639="","",YEAR(A639))</f>
        <v>2026</v>
      </c>
      <c r="P639" s="29" t="str">
        <f>IF(A639="","",CHOOSE(WEEKDAY(A639,2),"Segunda","Terça","Quarta","Quinta","Sexta","Sábado","Domingo"))</f>
        <v>Quinta</v>
      </c>
      <c r="Q639" s="29" t="str">
        <f>IF(B639="","",IF(B639&lt;TIME(12,0,0),"Manhã",IF(B639&lt;TIME(18,0,0),"Tarde","Noite")))</f>
        <v>Manhã</v>
      </c>
      <c r="R639" s="45">
        <f>IF(AND(H639="Realizado",L639&lt;&gt;""),L639/60,0)</f>
        <v>0.5</v>
      </c>
    </row>
    <row r="640">
      <c r="A640" s="42" t="n">
        <v>46268</v>
      </c>
      <c r="B640" s="43" t="n">
        <v>0.4097222222222222</v>
      </c>
      <c r="C640" s="37" t="inlineStr">
        <is>
          <t>Dra. Carolina Mendes</t>
        </is>
      </c>
      <c r="D640" s="37" t="inlineStr">
        <is>
          <t>Sala 1</t>
        </is>
      </c>
      <c r="E640" s="36" t="inlineStr">
        <is>
          <t>Marcelo Santos</t>
        </is>
      </c>
      <c r="F640" s="37" t="inlineStr">
        <is>
          <t>Particular</t>
        </is>
      </c>
      <c r="G640" s="37" t="inlineStr">
        <is>
          <t>Consulta</t>
        </is>
      </c>
      <c r="H640" s="37" t="inlineStr">
        <is>
          <t>Realizado</t>
        </is>
      </c>
      <c r="I640" s="37" t="inlineStr">
        <is>
          <t>Cartão de débito</t>
        </is>
      </c>
      <c r="J640" s="37" t="n"/>
      <c r="K640" s="36" t="n"/>
      <c r="L640" s="44">
        <f>IF(G640="","",IFERROR(INDEX(Config!$K$5:$K$16,MATCH(G640,Config!$J$5:$J$16,0)),""))</f>
        <v>30</v>
      </c>
      <c r="M640" s="30">
        <f>IF(OR(G640="",F640=""),"",IFERROR(INDEX(Config!$M$5:$R$16,MATCH(G640,Config!$J$5:$J$16,0),MATCH(F640,Config!$H$5:$H$10,0)),""))</f>
        <v>380</v>
      </c>
      <c r="N640" s="29">
        <f>IF(A640="","",MONTH(A640))</f>
        <v>9</v>
      </c>
      <c r="O640" s="29">
        <f>IF(A640="","",YEAR(A640))</f>
        <v>2026</v>
      </c>
      <c r="P640" s="29" t="str">
        <f>IF(A640="","",CHOOSE(WEEKDAY(A640,2),"Segunda","Terça","Quarta","Quinta","Sexta","Sábado","Domingo"))</f>
        <v>Quinta</v>
      </c>
      <c r="Q640" s="29" t="str">
        <f>IF(B640="","",IF(B640&lt;TIME(12,0,0),"Manhã",IF(B640&lt;TIME(18,0,0),"Tarde","Noite")))</f>
        <v>Manhã</v>
      </c>
      <c r="R640" s="45">
        <f>IF(AND(H640="Realizado",L640&lt;&gt;""),L640/60,0)</f>
        <v>0.5</v>
      </c>
    </row>
    <row r="641">
      <c r="A641" s="42" t="n">
        <v>46268</v>
      </c>
      <c r="B641" s="43" t="n">
        <v>0.4513888888888889</v>
      </c>
      <c r="C641" s="37" t="inlineStr">
        <is>
          <t>Dra. Carolina Mendes</t>
        </is>
      </c>
      <c r="D641" s="37" t="inlineStr">
        <is>
          <t>Sala 1</t>
        </is>
      </c>
      <c r="E641" s="36" t="inlineStr">
        <is>
          <t>Regina Duarte</t>
        </is>
      </c>
      <c r="F641" s="37" t="inlineStr">
        <is>
          <t>Particular</t>
        </is>
      </c>
      <c r="G641" s="37" t="inlineStr">
        <is>
          <t>Consulta</t>
        </is>
      </c>
      <c r="H641" s="37" t="inlineStr">
        <is>
          <t>Realizado</t>
        </is>
      </c>
      <c r="I641" s="37" t="inlineStr">
        <is>
          <t>Pix</t>
        </is>
      </c>
      <c r="J641" s="37" t="n"/>
      <c r="K641" s="36" t="n"/>
      <c r="L641" s="44">
        <f>IF(G641="","",IFERROR(INDEX(Config!$K$5:$K$16,MATCH(G641,Config!$J$5:$J$16,0)),""))</f>
        <v>30</v>
      </c>
      <c r="M641" s="30">
        <f>IF(OR(G641="",F641=""),"",IFERROR(INDEX(Config!$M$5:$R$16,MATCH(G641,Config!$J$5:$J$16,0),MATCH(F641,Config!$H$5:$H$10,0)),""))</f>
        <v>380</v>
      </c>
      <c r="N641" s="29">
        <f>IF(A641="","",MONTH(A641))</f>
        <v>9</v>
      </c>
      <c r="O641" s="29">
        <f>IF(A641="","",YEAR(A641))</f>
        <v>2026</v>
      </c>
      <c r="P641" s="29" t="str">
        <f>IF(A641="","",CHOOSE(WEEKDAY(A641,2),"Segunda","Terça","Quarta","Quinta","Sexta","Sábado","Domingo"))</f>
        <v>Quinta</v>
      </c>
      <c r="Q641" s="29" t="str">
        <f>IF(B641="","",IF(B641&lt;TIME(12,0,0),"Manhã",IF(B641&lt;TIME(18,0,0),"Tarde","Noite")))</f>
        <v>Manhã</v>
      </c>
      <c r="R641" s="45">
        <f>IF(AND(H641="Realizado",L641&lt;&gt;""),L641/60,0)</f>
        <v>0.5</v>
      </c>
    </row>
    <row r="642">
      <c r="A642" s="42" t="n">
        <v>46268</v>
      </c>
      <c r="B642" s="43" t="n">
        <v>0.4722222222222222</v>
      </c>
      <c r="C642" s="37" t="inlineStr">
        <is>
          <t>Dra. Carolina Mendes</t>
        </is>
      </c>
      <c r="D642" s="37" t="inlineStr">
        <is>
          <t>Sala 1</t>
        </is>
      </c>
      <c r="E642" s="36" t="inlineStr">
        <is>
          <t>Mateus Lima</t>
        </is>
      </c>
      <c r="F642" s="37" t="inlineStr">
        <is>
          <t>MediPlan</t>
        </is>
      </c>
      <c r="G642" s="37" t="inlineStr">
        <is>
          <t>Consulta</t>
        </is>
      </c>
      <c r="H642" s="37" t="inlineStr">
        <is>
          <t>Realizado</t>
        </is>
      </c>
      <c r="I642" s="37" t="inlineStr">
        <is>
          <t>Convênio</t>
        </is>
      </c>
      <c r="J642" s="37" t="n"/>
      <c r="K642" s="36" t="n"/>
      <c r="L642" s="44">
        <f>IF(G642="","",IFERROR(INDEX(Config!$K$5:$K$16,MATCH(G642,Config!$J$5:$J$16,0)),""))</f>
        <v>30</v>
      </c>
      <c r="M642" s="30">
        <f>IF(OR(G642="",F642=""),"",IFERROR(INDEX(Config!$M$5:$R$16,MATCH(G642,Config!$J$5:$J$16,0),MATCH(F642,Config!$H$5:$H$10,0)),""))</f>
        <v>100</v>
      </c>
      <c r="N642" s="29">
        <f>IF(A642="","",MONTH(A642))</f>
        <v>9</v>
      </c>
      <c r="O642" s="29">
        <f>IF(A642="","",YEAR(A642))</f>
        <v>2026</v>
      </c>
      <c r="P642" s="29" t="str">
        <f>IF(A642="","",CHOOSE(WEEKDAY(A642,2),"Segunda","Terça","Quarta","Quinta","Sexta","Sábado","Domingo"))</f>
        <v>Quinta</v>
      </c>
      <c r="Q642" s="29" t="str">
        <f>IF(B642="","",IF(B642&lt;TIME(12,0,0),"Manhã",IF(B642&lt;TIME(18,0,0),"Tarde","Noite")))</f>
        <v>Manhã</v>
      </c>
      <c r="R642" s="45">
        <f>IF(AND(H642="Realizado",L642&lt;&gt;""),L642/60,0)</f>
        <v>0.5</v>
      </c>
    </row>
    <row r="643">
      <c r="A643" s="42" t="n">
        <v>46268</v>
      </c>
      <c r="B643" s="43" t="n">
        <v>0.5833333333333334</v>
      </c>
      <c r="C643" s="37" t="inlineStr">
        <is>
          <t>Dra. Renata Sousa</t>
        </is>
      </c>
      <c r="D643" s="37" t="inlineStr">
        <is>
          <t>Sala 1</t>
        </is>
      </c>
      <c r="E643" s="36" t="inlineStr">
        <is>
          <t>Cláudia Melo</t>
        </is>
      </c>
      <c r="F643" s="37" t="inlineStr">
        <is>
          <t>Particular</t>
        </is>
      </c>
      <c r="G643" s="37" t="inlineStr">
        <is>
          <t>Avaliação endócrina</t>
        </is>
      </c>
      <c r="H643" s="37" t="inlineStr">
        <is>
          <t>Realizado</t>
        </is>
      </c>
      <c r="I643" s="37" t="inlineStr">
        <is>
          <t>Pix</t>
        </is>
      </c>
      <c r="J643" s="37" t="n"/>
      <c r="K643" s="36" t="n"/>
      <c r="L643" s="44">
        <f>IF(G643="","",IFERROR(INDEX(Config!$K$5:$K$16,MATCH(G643,Config!$J$5:$J$16,0)),""))</f>
        <v>40</v>
      </c>
      <c r="M643" s="30">
        <f>IF(OR(G643="",F643=""),"",IFERROR(INDEX(Config!$M$5:$R$16,MATCH(G643,Config!$J$5:$J$16,0),MATCH(F643,Config!$H$5:$H$10,0)),""))</f>
        <v>400</v>
      </c>
      <c r="N643" s="29">
        <f>IF(A643="","",MONTH(A643))</f>
        <v>9</v>
      </c>
      <c r="O643" s="29">
        <f>IF(A643="","",YEAR(A643))</f>
        <v>2026</v>
      </c>
      <c r="P643" s="29" t="str">
        <f>IF(A643="","",CHOOSE(WEEKDAY(A643,2),"Segunda","Terça","Quarta","Quinta","Sexta","Sábado","Domingo"))</f>
        <v>Quinta</v>
      </c>
      <c r="Q643" s="29" t="str">
        <f>IF(B643="","",IF(B643&lt;TIME(12,0,0),"Manhã",IF(B643&lt;TIME(18,0,0),"Tarde","Noite")))</f>
        <v>Tarde</v>
      </c>
      <c r="R643" s="45">
        <f>IF(AND(H643="Realizado",L643&lt;&gt;""),L643/60,0)</f>
        <v>0.666666666666667</v>
      </c>
    </row>
    <row r="644">
      <c r="A644" s="42" t="n">
        <v>46268</v>
      </c>
      <c r="B644" s="43" t="n">
        <v>0.5833333333333334</v>
      </c>
      <c r="C644" s="37" t="inlineStr">
        <is>
          <t>Dr. Paulo Andrade</t>
        </is>
      </c>
      <c r="D644" s="37" t="inlineStr">
        <is>
          <t>Sala 2</t>
        </is>
      </c>
      <c r="E644" s="36" t="inlineStr">
        <is>
          <t>Vinícius Cardoso</t>
        </is>
      </c>
      <c r="F644" s="37" t="inlineStr">
        <is>
          <t>MediPlan</t>
        </is>
      </c>
      <c r="G644" s="37" t="inlineStr">
        <is>
          <t>Consulta</t>
        </is>
      </c>
      <c r="H644" s="37" t="inlineStr">
        <is>
          <t>Realizado</t>
        </is>
      </c>
      <c r="I644" s="37" t="inlineStr">
        <is>
          <t>Convênio</t>
        </is>
      </c>
      <c r="J644" s="37" t="n"/>
      <c r="K644" s="36" t="n"/>
      <c r="L644" s="44">
        <f>IF(G644="","",IFERROR(INDEX(Config!$K$5:$K$16,MATCH(G644,Config!$J$5:$J$16,0)),""))</f>
        <v>30</v>
      </c>
      <c r="M644" s="30">
        <f>IF(OR(G644="",F644=""),"",IFERROR(INDEX(Config!$M$5:$R$16,MATCH(G644,Config!$J$5:$J$16,0),MATCH(F644,Config!$H$5:$H$10,0)),""))</f>
        <v>100</v>
      </c>
      <c r="N644" s="29">
        <f>IF(A644="","",MONTH(A644))</f>
        <v>9</v>
      </c>
      <c r="O644" s="29">
        <f>IF(A644="","",YEAR(A644))</f>
        <v>2026</v>
      </c>
      <c r="P644" s="29" t="str">
        <f>IF(A644="","",CHOOSE(WEEKDAY(A644,2),"Segunda","Terça","Quarta","Quinta","Sexta","Sábado","Domingo"))</f>
        <v>Quinta</v>
      </c>
      <c r="Q644" s="29" t="str">
        <f>IF(B644="","",IF(B644&lt;TIME(12,0,0),"Manhã",IF(B644&lt;TIME(18,0,0),"Tarde","Noite")))</f>
        <v>Tarde</v>
      </c>
      <c r="R644" s="45">
        <f>IF(AND(H644="Realizado",L644&lt;&gt;""),L644/60,0)</f>
        <v>0.5</v>
      </c>
    </row>
    <row r="645">
      <c r="A645" s="42" t="n">
        <v>46268</v>
      </c>
      <c r="B645" s="43" t="n">
        <v>0.6041666666666666</v>
      </c>
      <c r="C645" s="37" t="inlineStr">
        <is>
          <t>Dr. Paulo Andrade</t>
        </is>
      </c>
      <c r="D645" s="37" t="inlineStr">
        <is>
          <t>Sala 2</t>
        </is>
      </c>
      <c r="E645" s="36" t="inlineStr">
        <is>
          <t>Elaine Cardoso</t>
        </is>
      </c>
      <c r="F645" s="37" t="inlineStr">
        <is>
          <t>Particular</t>
        </is>
      </c>
      <c r="G645" s="37" t="inlineStr">
        <is>
          <t>ECG</t>
        </is>
      </c>
      <c r="H645" s="37" t="inlineStr">
        <is>
          <t>Realizado</t>
        </is>
      </c>
      <c r="I645" s="37" t="inlineStr">
        <is>
          <t>Cartão de débito</t>
        </is>
      </c>
      <c r="J645" s="37" t="n"/>
      <c r="K645" s="36" t="n"/>
      <c r="L645" s="44">
        <f>IF(G645="","",IFERROR(INDEX(Config!$K$5:$K$16,MATCH(G645,Config!$J$5:$J$16,0)),""))</f>
        <v>20</v>
      </c>
      <c r="M645" s="30">
        <f>IF(OR(G645="",F645=""),"",IFERROR(INDEX(Config!$M$5:$R$16,MATCH(G645,Config!$J$5:$J$16,0),MATCH(F645,Config!$H$5:$H$10,0)),""))</f>
        <v>130</v>
      </c>
      <c r="N645" s="29">
        <f>IF(A645="","",MONTH(A645))</f>
        <v>9</v>
      </c>
      <c r="O645" s="29">
        <f>IF(A645="","",YEAR(A645))</f>
        <v>2026</v>
      </c>
      <c r="P645" s="29" t="str">
        <f>IF(A645="","",CHOOSE(WEEKDAY(A645,2),"Segunda","Terça","Quarta","Quinta","Sexta","Sábado","Domingo"))</f>
        <v>Quinta</v>
      </c>
      <c r="Q645" s="29" t="str">
        <f>IF(B645="","",IF(B645&lt;TIME(12,0,0),"Manhã",IF(B645&lt;TIME(18,0,0),"Tarde","Noite")))</f>
        <v>Tarde</v>
      </c>
      <c r="R645" s="45">
        <f>IF(AND(H645="Realizado",L645&lt;&gt;""),L645/60,0)</f>
        <v>0.333333333333333</v>
      </c>
    </row>
    <row r="646">
      <c r="A646" s="42" t="n">
        <v>46268</v>
      </c>
      <c r="B646" s="43" t="n">
        <v>0.6111111111111112</v>
      </c>
      <c r="C646" s="37" t="inlineStr">
        <is>
          <t>Dra. Renata Sousa</t>
        </is>
      </c>
      <c r="D646" s="37" t="inlineStr">
        <is>
          <t>Sala 1</t>
        </is>
      </c>
      <c r="E646" s="36" t="inlineStr">
        <is>
          <t>Carlos Gonçalves</t>
        </is>
      </c>
      <c r="F646" s="37" t="inlineStr">
        <is>
          <t>Saúde Total</t>
        </is>
      </c>
      <c r="G646" s="37" t="inlineStr">
        <is>
          <t>Retorno</t>
        </is>
      </c>
      <c r="H646" s="37" t="inlineStr">
        <is>
          <t>Realizado</t>
        </is>
      </c>
      <c r="I646" s="37" t="inlineStr">
        <is>
          <t>Sem cobrança</t>
        </is>
      </c>
      <c r="J646" s="37" t="n"/>
      <c r="K646" s="36" t="n"/>
      <c r="L646" s="44">
        <f>IF(G646="","",IFERROR(INDEX(Config!$K$5:$K$16,MATCH(G646,Config!$J$5:$J$16,0)),""))</f>
        <v>20</v>
      </c>
      <c r="M646" s="30">
        <f>IF(OR(G646="",F646=""),"",IFERROR(INDEX(Config!$M$5:$R$16,MATCH(G646,Config!$J$5:$J$16,0),MATCH(F646,Config!$H$5:$H$10,0)),""))</f>
        <v>0</v>
      </c>
      <c r="N646" s="29">
        <f>IF(A646="","",MONTH(A646))</f>
        <v>9</v>
      </c>
      <c r="O646" s="29">
        <f>IF(A646="","",YEAR(A646))</f>
        <v>2026</v>
      </c>
      <c r="P646" s="29" t="str">
        <f>IF(A646="","",CHOOSE(WEEKDAY(A646,2),"Segunda","Terça","Quarta","Quinta","Sexta","Sábado","Domingo"))</f>
        <v>Quinta</v>
      </c>
      <c r="Q646" s="29" t="str">
        <f>IF(B646="","",IF(B646&lt;TIME(12,0,0),"Manhã",IF(B646&lt;TIME(18,0,0),"Tarde","Noite")))</f>
        <v>Tarde</v>
      </c>
      <c r="R646" s="45">
        <f>IF(AND(H646="Realizado",L646&lt;&gt;""),L646/60,0)</f>
        <v>0.333333333333333</v>
      </c>
    </row>
    <row r="647">
      <c r="A647" s="42" t="n">
        <v>46268</v>
      </c>
      <c r="B647" s="43" t="n">
        <v>0.6180555555555556</v>
      </c>
      <c r="C647" s="37" t="inlineStr">
        <is>
          <t>Dr. Paulo Andrade</t>
        </is>
      </c>
      <c r="D647" s="37" t="inlineStr">
        <is>
          <t>Sala 2</t>
        </is>
      </c>
      <c r="E647" s="36" t="inlineStr">
        <is>
          <t>Camila Batista</t>
        </is>
      </c>
      <c r="F647" s="37" t="inlineStr">
        <is>
          <t>MediPlan</t>
        </is>
      </c>
      <c r="G647" s="37" t="inlineStr">
        <is>
          <t>Holter</t>
        </is>
      </c>
      <c r="H647" s="37" t="inlineStr">
        <is>
          <t>Falta</t>
        </is>
      </c>
      <c r="I647" s="37" t="n"/>
      <c r="J647" s="37" t="n"/>
      <c r="K647" s="36" t="n"/>
      <c r="L647" s="44">
        <f>IF(G647="","",IFERROR(INDEX(Config!$K$5:$K$16,MATCH(G647,Config!$J$5:$J$16,0)),""))</f>
        <v>20</v>
      </c>
      <c r="M647" s="30">
        <f>IF(OR(G647="",F647=""),"",IFERROR(INDEX(Config!$M$5:$R$16,MATCH(G647,Config!$J$5:$J$16,0),MATCH(F647,Config!$H$5:$H$10,0)),""))</f>
        <v>95</v>
      </c>
      <c r="N647" s="29">
        <f>IF(A647="","",MONTH(A647))</f>
        <v>9</v>
      </c>
      <c r="O647" s="29">
        <f>IF(A647="","",YEAR(A647))</f>
        <v>2026</v>
      </c>
      <c r="P647" s="29" t="str">
        <f>IF(A647="","",CHOOSE(WEEKDAY(A647,2),"Segunda","Terça","Quarta","Quinta","Sexta","Sábado","Domingo"))</f>
        <v>Quinta</v>
      </c>
      <c r="Q647" s="29" t="str">
        <f>IF(B647="","",IF(B647&lt;TIME(12,0,0),"Manhã",IF(B647&lt;TIME(18,0,0),"Tarde","Noite")))</f>
        <v>Tarde</v>
      </c>
      <c r="R647" s="45">
        <f>IF(AND(H647="Realizado",L647&lt;&gt;""),L647/60,0)</f>
        <v>0</v>
      </c>
    </row>
    <row r="648">
      <c r="A648" s="42" t="n">
        <v>46268</v>
      </c>
      <c r="B648" s="43" t="n">
        <v>0.625</v>
      </c>
      <c r="C648" s="37" t="inlineStr">
        <is>
          <t>Dra. Renata Sousa</t>
        </is>
      </c>
      <c r="D648" s="37" t="inlineStr">
        <is>
          <t>Sala 1</t>
        </is>
      </c>
      <c r="E648" s="36" t="inlineStr">
        <is>
          <t>Carlos Gomes</t>
        </is>
      </c>
      <c r="F648" s="37" t="inlineStr">
        <is>
          <t>Saúde Total</t>
        </is>
      </c>
      <c r="G648" s="37" t="inlineStr">
        <is>
          <t>Avaliação endócrina</t>
        </is>
      </c>
      <c r="H648" s="37" t="inlineStr">
        <is>
          <t>Realizado</t>
        </is>
      </c>
      <c r="I648" s="37" t="inlineStr">
        <is>
          <t>Convênio</t>
        </is>
      </c>
      <c r="J648" s="37" t="n"/>
      <c r="K648" s="36" t="n"/>
      <c r="L648" s="44">
        <f>IF(G648="","",IFERROR(INDEX(Config!$K$5:$K$16,MATCH(G648,Config!$J$5:$J$16,0)),""))</f>
        <v>40</v>
      </c>
      <c r="M648" s="30">
        <f>IF(OR(G648="",F648=""),"",IFERROR(INDEX(Config!$M$5:$R$16,MATCH(G648,Config!$J$5:$J$16,0),MATCH(F648,Config!$H$5:$H$10,0)),""))</f>
        <v>130</v>
      </c>
      <c r="N648" s="29">
        <f>IF(A648="","",MONTH(A648))</f>
        <v>9</v>
      </c>
      <c r="O648" s="29">
        <f>IF(A648="","",YEAR(A648))</f>
        <v>2026</v>
      </c>
      <c r="P648" s="29" t="str">
        <f>IF(A648="","",CHOOSE(WEEKDAY(A648,2),"Segunda","Terça","Quarta","Quinta","Sexta","Sábado","Domingo"))</f>
        <v>Quinta</v>
      </c>
      <c r="Q648" s="29" t="str">
        <f>IF(B648="","",IF(B648&lt;TIME(12,0,0),"Manhã",IF(B648&lt;TIME(18,0,0),"Tarde","Noite")))</f>
        <v>Tarde</v>
      </c>
      <c r="R648" s="45">
        <f>IF(AND(H648="Realizado",L648&lt;&gt;""),L648/60,0)</f>
        <v>0.666666666666667</v>
      </c>
    </row>
    <row r="649">
      <c r="A649" s="42" t="n">
        <v>46268</v>
      </c>
      <c r="B649" s="43" t="n">
        <v>0.6319444444444444</v>
      </c>
      <c r="C649" s="37" t="inlineStr">
        <is>
          <t>Dr. Paulo Andrade</t>
        </is>
      </c>
      <c r="D649" s="37" t="inlineStr">
        <is>
          <t>Sala 2</t>
        </is>
      </c>
      <c r="E649" s="36" t="inlineStr">
        <is>
          <t>Paulo Ribeiro</t>
        </is>
      </c>
      <c r="F649" s="37" t="inlineStr">
        <is>
          <t>Saúde Total</t>
        </is>
      </c>
      <c r="G649" s="37" t="inlineStr">
        <is>
          <t>Consulta</t>
        </is>
      </c>
      <c r="H649" s="37" t="inlineStr">
        <is>
          <t>Realizado</t>
        </is>
      </c>
      <c r="I649" s="37" t="inlineStr">
        <is>
          <t>Convênio</t>
        </is>
      </c>
      <c r="J649" s="37" t="n"/>
      <c r="K649" s="36" t="n"/>
      <c r="L649" s="44">
        <f>IF(G649="","",IFERROR(INDEX(Config!$K$5:$K$16,MATCH(G649,Config!$J$5:$J$16,0)),""))</f>
        <v>30</v>
      </c>
      <c r="M649" s="30">
        <f>IF(OR(G649="",F649=""),"",IFERROR(INDEX(Config!$M$5:$R$16,MATCH(G649,Config!$J$5:$J$16,0),MATCH(F649,Config!$H$5:$H$10,0)),""))</f>
        <v>120</v>
      </c>
      <c r="N649" s="29">
        <f>IF(A649="","",MONTH(A649))</f>
        <v>9</v>
      </c>
      <c r="O649" s="29">
        <f>IF(A649="","",YEAR(A649))</f>
        <v>2026</v>
      </c>
      <c r="P649" s="29" t="str">
        <f>IF(A649="","",CHOOSE(WEEKDAY(A649,2),"Segunda","Terça","Quarta","Quinta","Sexta","Sábado","Domingo"))</f>
        <v>Quinta</v>
      </c>
      <c r="Q649" s="29" t="str">
        <f>IF(B649="","",IF(B649&lt;TIME(12,0,0),"Manhã",IF(B649&lt;TIME(18,0,0),"Tarde","Noite")))</f>
        <v>Tarde</v>
      </c>
      <c r="R649" s="45">
        <f>IF(AND(H649="Realizado",L649&lt;&gt;""),L649/60,0)</f>
        <v>0.5</v>
      </c>
    </row>
    <row r="650">
      <c r="A650" s="42" t="n">
        <v>46268</v>
      </c>
      <c r="B650" s="43" t="n">
        <v>0.6527777777777778</v>
      </c>
      <c r="C650" s="37" t="inlineStr">
        <is>
          <t>Dra. Renata Sousa</t>
        </is>
      </c>
      <c r="D650" s="37" t="inlineStr">
        <is>
          <t>Sala 1</t>
        </is>
      </c>
      <c r="E650" s="36" t="inlineStr">
        <is>
          <t>Patrícia Dias</t>
        </is>
      </c>
      <c r="F650" s="37" t="inlineStr">
        <is>
          <t>Particular</t>
        </is>
      </c>
      <c r="G650" s="37" t="inlineStr">
        <is>
          <t>Retorno</t>
        </is>
      </c>
      <c r="H650" s="37" t="inlineStr">
        <is>
          <t>Realizado</t>
        </is>
      </c>
      <c r="I650" s="37" t="inlineStr">
        <is>
          <t>Sem cobrança</t>
        </is>
      </c>
      <c r="J650" s="37" t="n"/>
      <c r="K650" s="36" t="n"/>
      <c r="L650" s="44">
        <f>IF(G650="","",IFERROR(INDEX(Config!$K$5:$K$16,MATCH(G650,Config!$J$5:$J$16,0)),""))</f>
        <v>20</v>
      </c>
      <c r="M650" s="30">
        <f>IF(OR(G650="",F650=""),"",IFERROR(INDEX(Config!$M$5:$R$16,MATCH(G650,Config!$J$5:$J$16,0),MATCH(F650,Config!$H$5:$H$10,0)),""))</f>
        <v>0</v>
      </c>
      <c r="N650" s="29">
        <f>IF(A650="","",MONTH(A650))</f>
        <v>9</v>
      </c>
      <c r="O650" s="29">
        <f>IF(A650="","",YEAR(A650))</f>
        <v>2026</v>
      </c>
      <c r="P650" s="29" t="str">
        <f>IF(A650="","",CHOOSE(WEEKDAY(A650,2),"Segunda","Terça","Quarta","Quinta","Sexta","Sábado","Domingo"))</f>
        <v>Quinta</v>
      </c>
      <c r="Q650" s="29" t="str">
        <f>IF(B650="","",IF(B650&lt;TIME(12,0,0),"Manhã",IF(B650&lt;TIME(18,0,0),"Tarde","Noite")))</f>
        <v>Tarde</v>
      </c>
      <c r="R650" s="45">
        <f>IF(AND(H650="Realizado",L650&lt;&gt;""),L650/60,0)</f>
        <v>0.333333333333333</v>
      </c>
    </row>
    <row r="651">
      <c r="A651" s="42" t="n">
        <v>46268</v>
      </c>
      <c r="B651" s="43" t="n">
        <v>0.6527777777777778</v>
      </c>
      <c r="C651" s="37" t="inlineStr">
        <is>
          <t>Dr. Paulo Andrade</t>
        </is>
      </c>
      <c r="D651" s="37" t="inlineStr">
        <is>
          <t>Sala 2</t>
        </is>
      </c>
      <c r="E651" s="36" t="inlineStr">
        <is>
          <t>Regina Teixeira</t>
        </is>
      </c>
      <c r="F651" s="37" t="inlineStr">
        <is>
          <t>Particular</t>
        </is>
      </c>
      <c r="G651" s="37" t="inlineStr">
        <is>
          <t>Retorno</t>
        </is>
      </c>
      <c r="H651" s="37" t="inlineStr">
        <is>
          <t>Realizado</t>
        </is>
      </c>
      <c r="I651" s="37" t="inlineStr">
        <is>
          <t>Sem cobrança</t>
        </is>
      </c>
      <c r="J651" s="37" t="n"/>
      <c r="K651" s="36" t="n"/>
      <c r="L651" s="44">
        <f>IF(G651="","",IFERROR(INDEX(Config!$K$5:$K$16,MATCH(G651,Config!$J$5:$J$16,0)),""))</f>
        <v>20</v>
      </c>
      <c r="M651" s="30">
        <f>IF(OR(G651="",F651=""),"",IFERROR(INDEX(Config!$M$5:$R$16,MATCH(G651,Config!$J$5:$J$16,0),MATCH(F651,Config!$H$5:$H$10,0)),""))</f>
        <v>0</v>
      </c>
      <c r="N651" s="29">
        <f>IF(A651="","",MONTH(A651))</f>
        <v>9</v>
      </c>
      <c r="O651" s="29">
        <f>IF(A651="","",YEAR(A651))</f>
        <v>2026</v>
      </c>
      <c r="P651" s="29" t="str">
        <f>IF(A651="","",CHOOSE(WEEKDAY(A651,2),"Segunda","Terça","Quarta","Quinta","Sexta","Sábado","Domingo"))</f>
        <v>Quinta</v>
      </c>
      <c r="Q651" s="29" t="str">
        <f>IF(B651="","",IF(B651&lt;TIME(12,0,0),"Manhã",IF(B651&lt;TIME(18,0,0),"Tarde","Noite")))</f>
        <v>Tarde</v>
      </c>
      <c r="R651" s="45">
        <f>IF(AND(H651="Realizado",L651&lt;&gt;""),L651/60,0)</f>
        <v>0.333333333333333</v>
      </c>
    </row>
    <row r="652">
      <c r="A652" s="42" t="n">
        <v>46268</v>
      </c>
      <c r="B652" s="43" t="n">
        <v>0.6666666666666666</v>
      </c>
      <c r="C652" s="37" t="inlineStr">
        <is>
          <t>Dra. Renata Sousa</t>
        </is>
      </c>
      <c r="D652" s="37" t="inlineStr">
        <is>
          <t>Sala 1</t>
        </is>
      </c>
      <c r="E652" s="36" t="inlineStr">
        <is>
          <t>Rafael Pereira</t>
        </is>
      </c>
      <c r="F652" s="37" t="inlineStr">
        <is>
          <t>Particular</t>
        </is>
      </c>
      <c r="G652" s="37" t="inlineStr">
        <is>
          <t>Avaliação endócrina</t>
        </is>
      </c>
      <c r="H652" s="37" t="inlineStr">
        <is>
          <t>Realizado</t>
        </is>
      </c>
      <c r="I652" s="37" t="inlineStr">
        <is>
          <t>Cartão de crédito</t>
        </is>
      </c>
      <c r="J652" s="37" t="n">
        <v>2</v>
      </c>
      <c r="K652" s="36" t="n"/>
      <c r="L652" s="44">
        <f>IF(G652="","",IFERROR(INDEX(Config!$K$5:$K$16,MATCH(G652,Config!$J$5:$J$16,0)),""))</f>
        <v>40</v>
      </c>
      <c r="M652" s="30">
        <f>IF(OR(G652="",F652=""),"",IFERROR(INDEX(Config!$M$5:$R$16,MATCH(G652,Config!$J$5:$J$16,0),MATCH(F652,Config!$H$5:$H$10,0)),""))</f>
        <v>400</v>
      </c>
      <c r="N652" s="29">
        <f>IF(A652="","",MONTH(A652))</f>
        <v>9</v>
      </c>
      <c r="O652" s="29">
        <f>IF(A652="","",YEAR(A652))</f>
        <v>2026</v>
      </c>
      <c r="P652" s="29" t="str">
        <f>IF(A652="","",CHOOSE(WEEKDAY(A652,2),"Segunda","Terça","Quarta","Quinta","Sexta","Sábado","Domingo"))</f>
        <v>Quinta</v>
      </c>
      <c r="Q652" s="29" t="str">
        <f>IF(B652="","",IF(B652&lt;TIME(12,0,0),"Manhã",IF(B652&lt;TIME(18,0,0),"Tarde","Noite")))</f>
        <v>Tarde</v>
      </c>
      <c r="R652" s="45">
        <f>IF(AND(H652="Realizado",L652&lt;&gt;""),L652/60,0)</f>
        <v>0.666666666666667</v>
      </c>
    </row>
    <row r="653">
      <c r="A653" s="42" t="n">
        <v>46268</v>
      </c>
      <c r="B653" s="43" t="n">
        <v>0.6666666666666666</v>
      </c>
      <c r="C653" s="37" t="inlineStr">
        <is>
          <t>Dr. Paulo Andrade</t>
        </is>
      </c>
      <c r="D653" s="37" t="inlineStr">
        <is>
          <t>Sala 2</t>
        </is>
      </c>
      <c r="E653" s="36" t="inlineStr">
        <is>
          <t>Isabela Pinto</t>
        </is>
      </c>
      <c r="F653" s="37" t="inlineStr">
        <is>
          <t>Saúde Total</t>
        </is>
      </c>
      <c r="G653" s="37" t="inlineStr">
        <is>
          <t>ECG</t>
        </is>
      </c>
      <c r="H653" s="37" t="inlineStr">
        <is>
          <t>Realizado</t>
        </is>
      </c>
      <c r="I653" s="37" t="inlineStr">
        <is>
          <t>Convênio</t>
        </is>
      </c>
      <c r="J653" s="37" t="n"/>
      <c r="K653" s="36" t="n"/>
      <c r="L653" s="44">
        <f>IF(G653="","",IFERROR(INDEX(Config!$K$5:$K$16,MATCH(G653,Config!$J$5:$J$16,0)),""))</f>
        <v>20</v>
      </c>
      <c r="M653" s="30">
        <f>IF(OR(G653="",F653=""),"",IFERROR(INDEX(Config!$M$5:$R$16,MATCH(G653,Config!$J$5:$J$16,0),MATCH(F653,Config!$H$5:$H$10,0)),""))</f>
        <v>40</v>
      </c>
      <c r="N653" s="29">
        <f>IF(A653="","",MONTH(A653))</f>
        <v>9</v>
      </c>
      <c r="O653" s="29">
        <f>IF(A653="","",YEAR(A653))</f>
        <v>2026</v>
      </c>
      <c r="P653" s="29" t="str">
        <f>IF(A653="","",CHOOSE(WEEKDAY(A653,2),"Segunda","Terça","Quarta","Quinta","Sexta","Sábado","Domingo"))</f>
        <v>Quinta</v>
      </c>
      <c r="Q653" s="29" t="str">
        <f>IF(B653="","",IF(B653&lt;TIME(12,0,0),"Manhã",IF(B653&lt;TIME(18,0,0),"Tarde","Noite")))</f>
        <v>Tarde</v>
      </c>
      <c r="R653" s="45">
        <f>IF(AND(H653="Realizado",L653&lt;&gt;""),L653/60,0)</f>
        <v>0.333333333333333</v>
      </c>
    </row>
    <row r="654">
      <c r="A654" s="42" t="n">
        <v>46268</v>
      </c>
      <c r="B654" s="43" t="n">
        <v>0.6805555555555556</v>
      </c>
      <c r="C654" s="37" t="inlineStr">
        <is>
          <t>Dr. Paulo Andrade</t>
        </is>
      </c>
      <c r="D654" s="37" t="inlineStr">
        <is>
          <t>Sala 2</t>
        </is>
      </c>
      <c r="E654" s="36" t="inlineStr">
        <is>
          <t>Rafael Barros</t>
        </is>
      </c>
      <c r="F654" s="37" t="inlineStr">
        <is>
          <t>Particular</t>
        </is>
      </c>
      <c r="G654" s="37" t="inlineStr">
        <is>
          <t>Teste ergométrico</t>
        </is>
      </c>
      <c r="H654" s="37" t="inlineStr">
        <is>
          <t>Realizado</t>
        </is>
      </c>
      <c r="I654" s="37" t="inlineStr">
        <is>
          <t>Cartão de débito</t>
        </is>
      </c>
      <c r="J654" s="37" t="n"/>
      <c r="K654" s="36" t="n"/>
      <c r="L654" s="44">
        <f>IF(G654="","",IFERROR(INDEX(Config!$K$5:$K$16,MATCH(G654,Config!$J$5:$J$16,0)),""))</f>
        <v>40</v>
      </c>
      <c r="M654" s="30">
        <f>IF(OR(G654="",F654=""),"",IFERROR(INDEX(Config!$M$5:$R$16,MATCH(G654,Config!$J$5:$J$16,0),MATCH(F654,Config!$H$5:$H$10,0)),""))</f>
        <v>450</v>
      </c>
      <c r="N654" s="29">
        <f>IF(A654="","",MONTH(A654))</f>
        <v>9</v>
      </c>
      <c r="O654" s="29">
        <f>IF(A654="","",YEAR(A654))</f>
        <v>2026</v>
      </c>
      <c r="P654" s="29" t="str">
        <f>IF(A654="","",CHOOSE(WEEKDAY(A654,2),"Segunda","Terça","Quarta","Quinta","Sexta","Sábado","Domingo"))</f>
        <v>Quinta</v>
      </c>
      <c r="Q654" s="29" t="str">
        <f>IF(B654="","",IF(B654&lt;TIME(12,0,0),"Manhã",IF(B654&lt;TIME(18,0,0),"Tarde","Noite")))</f>
        <v>Tarde</v>
      </c>
      <c r="R654" s="45">
        <f>IF(AND(H654="Realizado",L654&lt;&gt;""),L654/60,0)</f>
        <v>0.666666666666667</v>
      </c>
    </row>
    <row r="655">
      <c r="A655" s="42" t="n">
        <v>46268</v>
      </c>
      <c r="B655" s="43" t="n">
        <v>0.6944444444444444</v>
      </c>
      <c r="C655" s="37" t="inlineStr">
        <is>
          <t>Dra. Renata Sousa</t>
        </is>
      </c>
      <c r="D655" s="37" t="inlineStr">
        <is>
          <t>Sala 1</t>
        </is>
      </c>
      <c r="E655" s="36" t="inlineStr">
        <is>
          <t>Tatiana Macedo</t>
        </is>
      </c>
      <c r="F655" s="37" t="inlineStr">
        <is>
          <t>Particular</t>
        </is>
      </c>
      <c r="G655" s="37" t="inlineStr">
        <is>
          <t>Avaliação endócrina</t>
        </is>
      </c>
      <c r="H655" s="37" t="inlineStr">
        <is>
          <t>Realizado</t>
        </is>
      </c>
      <c r="I655" s="37" t="inlineStr">
        <is>
          <t>Pix</t>
        </is>
      </c>
      <c r="J655" s="37" t="n"/>
      <c r="K655" s="36" t="n"/>
      <c r="L655" s="44">
        <f>IF(G655="","",IFERROR(INDEX(Config!$K$5:$K$16,MATCH(G655,Config!$J$5:$J$16,0)),""))</f>
        <v>40</v>
      </c>
      <c r="M655" s="30">
        <f>IF(OR(G655="",F655=""),"",IFERROR(INDEX(Config!$M$5:$R$16,MATCH(G655,Config!$J$5:$J$16,0),MATCH(F655,Config!$H$5:$H$10,0)),""))</f>
        <v>400</v>
      </c>
      <c r="N655" s="29">
        <f>IF(A655="","",MONTH(A655))</f>
        <v>9</v>
      </c>
      <c r="O655" s="29">
        <f>IF(A655="","",YEAR(A655))</f>
        <v>2026</v>
      </c>
      <c r="P655" s="29" t="str">
        <f>IF(A655="","",CHOOSE(WEEKDAY(A655,2),"Segunda","Terça","Quarta","Quinta","Sexta","Sábado","Domingo"))</f>
        <v>Quinta</v>
      </c>
      <c r="Q655" s="29" t="str">
        <f>IF(B655="","",IF(B655&lt;TIME(12,0,0),"Manhã",IF(B655&lt;TIME(18,0,0),"Tarde","Noite")))</f>
        <v>Tarde</v>
      </c>
      <c r="R655" s="45">
        <f>IF(AND(H655="Realizado",L655&lt;&gt;""),L655/60,0)</f>
        <v>0.666666666666667</v>
      </c>
    </row>
    <row r="656">
      <c r="A656" s="42" t="n">
        <v>46268</v>
      </c>
      <c r="B656" s="43" t="n">
        <v>0.7083333333333334</v>
      </c>
      <c r="C656" s="37" t="inlineStr">
        <is>
          <t>Dr. Paulo Andrade</t>
        </is>
      </c>
      <c r="D656" s="37" t="inlineStr">
        <is>
          <t>Sala 2</t>
        </is>
      </c>
      <c r="E656" s="36" t="inlineStr">
        <is>
          <t>Fábio Correia</t>
        </is>
      </c>
      <c r="F656" s="37" t="inlineStr">
        <is>
          <t>Particular</t>
        </is>
      </c>
      <c r="G656" s="37" t="inlineStr">
        <is>
          <t>Retorno</t>
        </is>
      </c>
      <c r="H656" s="37" t="inlineStr">
        <is>
          <t>Realizado</t>
        </is>
      </c>
      <c r="I656" s="37" t="inlineStr">
        <is>
          <t>Sem cobrança</t>
        </is>
      </c>
      <c r="J656" s="37" t="n"/>
      <c r="K656" s="36" t="n"/>
      <c r="L656" s="44">
        <f>IF(G656="","",IFERROR(INDEX(Config!$K$5:$K$16,MATCH(G656,Config!$J$5:$J$16,0)),""))</f>
        <v>20</v>
      </c>
      <c r="M656" s="30">
        <f>IF(OR(G656="",F656=""),"",IFERROR(INDEX(Config!$M$5:$R$16,MATCH(G656,Config!$J$5:$J$16,0),MATCH(F656,Config!$H$5:$H$10,0)),""))</f>
        <v>0</v>
      </c>
      <c r="N656" s="29">
        <f>IF(A656="","",MONTH(A656))</f>
        <v>9</v>
      </c>
      <c r="O656" s="29">
        <f>IF(A656="","",YEAR(A656))</f>
        <v>2026</v>
      </c>
      <c r="P656" s="29" t="str">
        <f>IF(A656="","",CHOOSE(WEEKDAY(A656,2),"Segunda","Terça","Quarta","Quinta","Sexta","Sábado","Domingo"))</f>
        <v>Quinta</v>
      </c>
      <c r="Q656" s="29" t="str">
        <f>IF(B656="","",IF(B656&lt;TIME(12,0,0),"Manhã",IF(B656&lt;TIME(18,0,0),"Tarde","Noite")))</f>
        <v>Tarde</v>
      </c>
      <c r="R656" s="45">
        <f>IF(AND(H656="Realizado",L656&lt;&gt;""),L656/60,0)</f>
        <v>0.333333333333333</v>
      </c>
    </row>
    <row r="657">
      <c r="A657" s="42" t="n">
        <v>46268</v>
      </c>
      <c r="B657" s="43" t="n">
        <v>0.7222222222222222</v>
      </c>
      <c r="C657" s="37" t="inlineStr">
        <is>
          <t>Dra. Renata Sousa</t>
        </is>
      </c>
      <c r="D657" s="37" t="inlineStr">
        <is>
          <t>Sala 1</t>
        </is>
      </c>
      <c r="E657" s="36" t="inlineStr">
        <is>
          <t>Mônica Almeida</t>
        </is>
      </c>
      <c r="F657" s="37" t="inlineStr">
        <is>
          <t>Particular</t>
        </is>
      </c>
      <c r="G657" s="37" t="inlineStr">
        <is>
          <t>Avaliação endócrina</t>
        </is>
      </c>
      <c r="H657" s="37" t="inlineStr">
        <is>
          <t>Realizado</t>
        </is>
      </c>
      <c r="I657" s="37" t="inlineStr">
        <is>
          <t>Pix</t>
        </is>
      </c>
      <c r="J657" s="37" t="n"/>
      <c r="K657" s="36" t="n"/>
      <c r="L657" s="44">
        <f>IF(G657="","",IFERROR(INDEX(Config!$K$5:$K$16,MATCH(G657,Config!$J$5:$J$16,0)),""))</f>
        <v>40</v>
      </c>
      <c r="M657" s="30">
        <f>IF(OR(G657="",F657=""),"",IFERROR(INDEX(Config!$M$5:$R$16,MATCH(G657,Config!$J$5:$J$16,0),MATCH(F657,Config!$H$5:$H$10,0)),""))</f>
        <v>400</v>
      </c>
      <c r="N657" s="29">
        <f>IF(A657="","",MONTH(A657))</f>
        <v>9</v>
      </c>
      <c r="O657" s="29">
        <f>IF(A657="","",YEAR(A657))</f>
        <v>2026</v>
      </c>
      <c r="P657" s="29" t="str">
        <f>IF(A657="","",CHOOSE(WEEKDAY(A657,2),"Segunda","Terça","Quarta","Quinta","Sexta","Sábado","Domingo"))</f>
        <v>Quinta</v>
      </c>
      <c r="Q657" s="29" t="str">
        <f>IF(B657="","",IF(B657&lt;TIME(12,0,0),"Manhã",IF(B657&lt;TIME(18,0,0),"Tarde","Noite")))</f>
        <v>Tarde</v>
      </c>
      <c r="R657" s="45">
        <f>IF(AND(H657="Realizado",L657&lt;&gt;""),L657/60,0)</f>
        <v>0.666666666666667</v>
      </c>
    </row>
    <row r="658">
      <c r="A658" s="42" t="n">
        <v>46269</v>
      </c>
      <c r="B658" s="43" t="n">
        <v>0.3333333333333333</v>
      </c>
      <c r="C658" s="37" t="inlineStr">
        <is>
          <t>Dr. Paulo Andrade</t>
        </is>
      </c>
      <c r="D658" s="37" t="inlineStr">
        <is>
          <t>Sala 2</t>
        </is>
      </c>
      <c r="E658" s="36" t="inlineStr">
        <is>
          <t>Eduardo Nunes</t>
        </is>
      </c>
      <c r="F658" s="37" t="inlineStr">
        <is>
          <t>MediPlan</t>
        </is>
      </c>
      <c r="G658" s="37" t="inlineStr">
        <is>
          <t>MAPA</t>
        </is>
      </c>
      <c r="H658" s="37" t="inlineStr">
        <is>
          <t>Realizado</t>
        </is>
      </c>
      <c r="I658" s="37" t="inlineStr">
        <is>
          <t>Convênio</t>
        </is>
      </c>
      <c r="J658" s="37" t="n"/>
      <c r="K658" s="36" t="n"/>
      <c r="L658" s="44">
        <f>IF(G658="","",IFERROR(INDEX(Config!$K$5:$K$16,MATCH(G658,Config!$J$5:$J$16,0)),""))</f>
        <v>20</v>
      </c>
      <c r="M658" s="30">
        <f>IF(OR(G658="",F658=""),"",IFERROR(INDEX(Config!$M$5:$R$16,MATCH(G658,Config!$J$5:$J$16,0),MATCH(F658,Config!$H$5:$H$10,0)),""))</f>
        <v>85</v>
      </c>
      <c r="N658" s="29">
        <f>IF(A658="","",MONTH(A658))</f>
        <v>9</v>
      </c>
      <c r="O658" s="29">
        <f>IF(A658="","",YEAR(A658))</f>
        <v>2026</v>
      </c>
      <c r="P658" s="29" t="str">
        <f>IF(A658="","",CHOOSE(WEEKDAY(A658,2),"Segunda","Terça","Quarta","Quinta","Sexta","Sábado","Domingo"))</f>
        <v>Sexta</v>
      </c>
      <c r="Q658" s="29" t="str">
        <f>IF(B658="","",IF(B658&lt;TIME(12,0,0),"Manhã",IF(B658&lt;TIME(18,0,0),"Tarde","Noite")))</f>
        <v>Manhã</v>
      </c>
      <c r="R658" s="45">
        <f>IF(AND(H658="Realizado",L658&lt;&gt;""),L658/60,0)</f>
        <v>0.333333333333333</v>
      </c>
    </row>
    <row r="659">
      <c r="A659" s="42" t="n">
        <v>46269</v>
      </c>
      <c r="B659" s="43" t="n">
        <v>0.3472222222222222</v>
      </c>
      <c r="C659" s="37" t="inlineStr">
        <is>
          <t>Dr. Paulo Andrade</t>
        </is>
      </c>
      <c r="D659" s="37" t="inlineStr">
        <is>
          <t>Sala 2</t>
        </is>
      </c>
      <c r="E659" s="36" t="inlineStr">
        <is>
          <t>Camila Batista</t>
        </is>
      </c>
      <c r="F659" s="37" t="inlineStr">
        <is>
          <t>MediPlan</t>
        </is>
      </c>
      <c r="G659" s="37" t="inlineStr">
        <is>
          <t>Teste ergométrico</t>
        </is>
      </c>
      <c r="H659" s="37" t="inlineStr">
        <is>
          <t>Realizado</t>
        </is>
      </c>
      <c r="I659" s="37" t="inlineStr">
        <is>
          <t>Convênio</t>
        </is>
      </c>
      <c r="J659" s="37" t="n"/>
      <c r="K659" s="36" t="n"/>
      <c r="L659" s="44">
        <f>IF(G659="","",IFERROR(INDEX(Config!$K$5:$K$16,MATCH(G659,Config!$J$5:$J$16,0)),""))</f>
        <v>40</v>
      </c>
      <c r="M659" s="30">
        <f>IF(OR(G659="",F659=""),"",IFERROR(INDEX(Config!$M$5:$R$16,MATCH(G659,Config!$J$5:$J$16,0),MATCH(F659,Config!$H$5:$H$10,0)),""))</f>
        <v>125</v>
      </c>
      <c r="N659" s="29">
        <f>IF(A659="","",MONTH(A659))</f>
        <v>9</v>
      </c>
      <c r="O659" s="29">
        <f>IF(A659="","",YEAR(A659))</f>
        <v>2026</v>
      </c>
      <c r="P659" s="29" t="str">
        <f>IF(A659="","",CHOOSE(WEEKDAY(A659,2),"Segunda","Terça","Quarta","Quinta","Sexta","Sábado","Domingo"))</f>
        <v>Sexta</v>
      </c>
      <c r="Q659" s="29" t="str">
        <f>IF(B659="","",IF(B659&lt;TIME(12,0,0),"Manhã",IF(B659&lt;TIME(18,0,0),"Tarde","Noite")))</f>
        <v>Manhã</v>
      </c>
      <c r="R659" s="45">
        <f>IF(AND(H659="Realizado",L659&lt;&gt;""),L659/60,0)</f>
        <v>0.666666666666667</v>
      </c>
    </row>
    <row r="660">
      <c r="A660" s="42" t="n">
        <v>46269</v>
      </c>
      <c r="B660" s="43" t="n">
        <v>0.375</v>
      </c>
      <c r="C660" s="37" t="inlineStr">
        <is>
          <t>Dr. Paulo Andrade</t>
        </is>
      </c>
      <c r="D660" s="37" t="inlineStr">
        <is>
          <t>Sala 2</t>
        </is>
      </c>
      <c r="E660" s="36" t="inlineStr">
        <is>
          <t>Ricardo Melo</t>
        </is>
      </c>
      <c r="F660" s="37" t="inlineStr">
        <is>
          <t>Saúde Total</t>
        </is>
      </c>
      <c r="G660" s="37" t="inlineStr">
        <is>
          <t>Holter</t>
        </is>
      </c>
      <c r="H660" s="37" t="inlineStr">
        <is>
          <t>Falta</t>
        </is>
      </c>
      <c r="I660" s="37" t="n"/>
      <c r="J660" s="37" t="n"/>
      <c r="K660" s="36" t="n"/>
      <c r="L660" s="44">
        <f>IF(G660="","",IFERROR(INDEX(Config!$K$5:$K$16,MATCH(G660,Config!$J$5:$J$16,0)),""))</f>
        <v>20</v>
      </c>
      <c r="M660" s="30">
        <f>IF(OR(G660="",F660=""),"",IFERROR(INDEX(Config!$M$5:$R$16,MATCH(G660,Config!$J$5:$J$16,0),MATCH(F660,Config!$H$5:$H$10,0)),""))</f>
        <v>105</v>
      </c>
      <c r="N660" s="29">
        <f>IF(A660="","",MONTH(A660))</f>
        <v>9</v>
      </c>
      <c r="O660" s="29">
        <f>IF(A660="","",YEAR(A660))</f>
        <v>2026</v>
      </c>
      <c r="P660" s="29" t="str">
        <f>IF(A660="","",CHOOSE(WEEKDAY(A660,2),"Segunda","Terça","Quarta","Quinta","Sexta","Sábado","Domingo"))</f>
        <v>Sexta</v>
      </c>
      <c r="Q660" s="29" t="str">
        <f>IF(B660="","",IF(B660&lt;TIME(12,0,0),"Manhã",IF(B660&lt;TIME(18,0,0),"Tarde","Noite")))</f>
        <v>Manhã</v>
      </c>
      <c r="R660" s="45">
        <f>IF(AND(H660="Realizado",L660&lt;&gt;""),L660/60,0)</f>
        <v>0</v>
      </c>
    </row>
    <row r="661">
      <c r="A661" s="42" t="n">
        <v>46269</v>
      </c>
      <c r="B661" s="43" t="n">
        <v>0.3888888888888889</v>
      </c>
      <c r="C661" s="37" t="inlineStr">
        <is>
          <t>Dr. Paulo Andrade</t>
        </is>
      </c>
      <c r="D661" s="37" t="inlineStr">
        <is>
          <t>Sala 2</t>
        </is>
      </c>
      <c r="E661" s="36" t="inlineStr">
        <is>
          <t>Wagner Costa</t>
        </is>
      </c>
      <c r="F661" s="37" t="inlineStr">
        <is>
          <t>Particular</t>
        </is>
      </c>
      <c r="G661" s="37" t="inlineStr">
        <is>
          <t>Retorno</t>
        </is>
      </c>
      <c r="H661" s="37" t="inlineStr">
        <is>
          <t>Realizado</t>
        </is>
      </c>
      <c r="I661" s="37" t="inlineStr">
        <is>
          <t>Sem cobrança</t>
        </is>
      </c>
      <c r="J661" s="37" t="n"/>
      <c r="K661" s="36" t="n"/>
      <c r="L661" s="44">
        <f>IF(G661="","",IFERROR(INDEX(Config!$K$5:$K$16,MATCH(G661,Config!$J$5:$J$16,0)),""))</f>
        <v>20</v>
      </c>
      <c r="M661" s="30">
        <f>IF(OR(G661="",F661=""),"",IFERROR(INDEX(Config!$M$5:$R$16,MATCH(G661,Config!$J$5:$J$16,0),MATCH(F661,Config!$H$5:$H$10,0)),""))</f>
        <v>0</v>
      </c>
      <c r="N661" s="29">
        <f>IF(A661="","",MONTH(A661))</f>
        <v>9</v>
      </c>
      <c r="O661" s="29">
        <f>IF(A661="","",YEAR(A661))</f>
        <v>2026</v>
      </c>
      <c r="P661" s="29" t="str">
        <f>IF(A661="","",CHOOSE(WEEKDAY(A661,2),"Segunda","Terça","Quarta","Quinta","Sexta","Sábado","Domingo"))</f>
        <v>Sexta</v>
      </c>
      <c r="Q661" s="29" t="str">
        <f>IF(B661="","",IF(B661&lt;TIME(12,0,0),"Manhã",IF(B661&lt;TIME(18,0,0),"Tarde","Noite")))</f>
        <v>Manhã</v>
      </c>
      <c r="R661" s="45">
        <f>IF(AND(H661="Realizado",L661&lt;&gt;""),L661/60,0)</f>
        <v>0.333333333333333</v>
      </c>
    </row>
    <row r="662">
      <c r="A662" s="42" t="n">
        <v>46269</v>
      </c>
      <c r="B662" s="43" t="n">
        <v>0.4027777777777778</v>
      </c>
      <c r="C662" s="37" t="inlineStr">
        <is>
          <t>Dr. Paulo Andrade</t>
        </is>
      </c>
      <c r="D662" s="37" t="inlineStr">
        <is>
          <t>Sala 2</t>
        </is>
      </c>
      <c r="E662" s="36" t="inlineStr">
        <is>
          <t>Vanessa Carvalho</t>
        </is>
      </c>
      <c r="F662" s="37" t="inlineStr">
        <is>
          <t>Saúde Total</t>
        </is>
      </c>
      <c r="G662" s="37" t="inlineStr">
        <is>
          <t>Consulta</t>
        </is>
      </c>
      <c r="H662" s="37" t="inlineStr">
        <is>
          <t>Realizado</t>
        </is>
      </c>
      <c r="I662" s="37" t="inlineStr">
        <is>
          <t>Convênio</t>
        </is>
      </c>
      <c r="J662" s="37" t="n"/>
      <c r="K662" s="36" t="n"/>
      <c r="L662" s="44">
        <f>IF(G662="","",IFERROR(INDEX(Config!$K$5:$K$16,MATCH(G662,Config!$J$5:$J$16,0)),""))</f>
        <v>30</v>
      </c>
      <c r="M662" s="30">
        <f>IF(OR(G662="",F662=""),"",IFERROR(INDEX(Config!$M$5:$R$16,MATCH(G662,Config!$J$5:$J$16,0),MATCH(F662,Config!$H$5:$H$10,0)),""))</f>
        <v>120</v>
      </c>
      <c r="N662" s="29">
        <f>IF(A662="","",MONTH(A662))</f>
        <v>9</v>
      </c>
      <c r="O662" s="29">
        <f>IF(A662="","",YEAR(A662))</f>
        <v>2026</v>
      </c>
      <c r="P662" s="29" t="str">
        <f>IF(A662="","",CHOOSE(WEEKDAY(A662,2),"Segunda","Terça","Quarta","Quinta","Sexta","Sábado","Domingo"))</f>
        <v>Sexta</v>
      </c>
      <c r="Q662" s="29" t="str">
        <f>IF(B662="","",IF(B662&lt;TIME(12,0,0),"Manhã",IF(B662&lt;TIME(18,0,0),"Tarde","Noite")))</f>
        <v>Manhã</v>
      </c>
      <c r="R662" s="45">
        <f>IF(AND(H662="Realizado",L662&lt;&gt;""),L662/60,0)</f>
        <v>0.5</v>
      </c>
    </row>
    <row r="663">
      <c r="A663" s="42" t="n">
        <v>46269</v>
      </c>
      <c r="B663" s="43" t="n">
        <v>0.4236111111111111</v>
      </c>
      <c r="C663" s="37" t="inlineStr">
        <is>
          <t>Dr. Paulo Andrade</t>
        </is>
      </c>
      <c r="D663" s="37" t="inlineStr">
        <is>
          <t>Sala 2</t>
        </is>
      </c>
      <c r="E663" s="36" t="inlineStr">
        <is>
          <t>Gabriel Oliveira</t>
        </is>
      </c>
      <c r="F663" s="37" t="inlineStr">
        <is>
          <t>Particular</t>
        </is>
      </c>
      <c r="G663" s="37" t="inlineStr">
        <is>
          <t>Consulta</t>
        </is>
      </c>
      <c r="H663" s="37" t="inlineStr">
        <is>
          <t>Falta</t>
        </is>
      </c>
      <c r="I663" s="37" t="n"/>
      <c r="J663" s="37" t="n"/>
      <c r="K663" s="36" t="n"/>
      <c r="L663" s="44">
        <f>IF(G663="","",IFERROR(INDEX(Config!$K$5:$K$16,MATCH(G663,Config!$J$5:$J$16,0)),""))</f>
        <v>30</v>
      </c>
      <c r="M663" s="30">
        <f>IF(OR(G663="",F663=""),"",IFERROR(INDEX(Config!$M$5:$R$16,MATCH(G663,Config!$J$5:$J$16,0),MATCH(F663,Config!$H$5:$H$10,0)),""))</f>
        <v>380</v>
      </c>
      <c r="N663" s="29">
        <f>IF(A663="","",MONTH(A663))</f>
        <v>9</v>
      </c>
      <c r="O663" s="29">
        <f>IF(A663="","",YEAR(A663))</f>
        <v>2026</v>
      </c>
      <c r="P663" s="29" t="str">
        <f>IF(A663="","",CHOOSE(WEEKDAY(A663,2),"Segunda","Terça","Quarta","Quinta","Sexta","Sábado","Domingo"))</f>
        <v>Sexta</v>
      </c>
      <c r="Q663" s="29" t="str">
        <f>IF(B663="","",IF(B663&lt;TIME(12,0,0),"Manhã",IF(B663&lt;TIME(18,0,0),"Tarde","Noite")))</f>
        <v>Manhã</v>
      </c>
      <c r="R663" s="45">
        <f>IF(AND(H663="Realizado",L663&lt;&gt;""),L663/60,0)</f>
        <v>0</v>
      </c>
    </row>
    <row r="664">
      <c r="A664" s="42" t="n">
        <v>46269</v>
      </c>
      <c r="B664" s="43" t="n">
        <v>0.4444444444444444</v>
      </c>
      <c r="C664" s="37" t="inlineStr">
        <is>
          <t>Dr. Paulo Andrade</t>
        </is>
      </c>
      <c r="D664" s="37" t="inlineStr">
        <is>
          <t>Sala 2</t>
        </is>
      </c>
      <c r="E664" s="36" t="inlineStr">
        <is>
          <t>Fernanda Freitas</t>
        </is>
      </c>
      <c r="F664" s="37" t="inlineStr">
        <is>
          <t>Particular</t>
        </is>
      </c>
      <c r="G664" s="37" t="inlineStr">
        <is>
          <t>Teste ergométrico</t>
        </is>
      </c>
      <c r="H664" s="37" t="inlineStr">
        <is>
          <t>Realizado</t>
        </is>
      </c>
      <c r="I664" s="37" t="inlineStr">
        <is>
          <t>A prazo</t>
        </is>
      </c>
      <c r="J664" s="37" t="n"/>
      <c r="K664" s="36" t="n"/>
      <c r="L664" s="44">
        <f>IF(G664="","",IFERROR(INDEX(Config!$K$5:$K$16,MATCH(G664,Config!$J$5:$J$16,0)),""))</f>
        <v>40</v>
      </c>
      <c r="M664" s="30">
        <f>IF(OR(G664="",F664=""),"",IFERROR(INDEX(Config!$M$5:$R$16,MATCH(G664,Config!$J$5:$J$16,0),MATCH(F664,Config!$H$5:$H$10,0)),""))</f>
        <v>450</v>
      </c>
      <c r="N664" s="29">
        <f>IF(A664="","",MONTH(A664))</f>
        <v>9</v>
      </c>
      <c r="O664" s="29">
        <f>IF(A664="","",YEAR(A664))</f>
        <v>2026</v>
      </c>
      <c r="P664" s="29" t="str">
        <f>IF(A664="","",CHOOSE(WEEKDAY(A664,2),"Segunda","Terça","Quarta","Quinta","Sexta","Sábado","Domingo"))</f>
        <v>Sexta</v>
      </c>
      <c r="Q664" s="29" t="str">
        <f>IF(B664="","",IF(B664&lt;TIME(12,0,0),"Manhã",IF(B664&lt;TIME(18,0,0),"Tarde","Noite")))</f>
        <v>Manhã</v>
      </c>
      <c r="R664" s="45">
        <f>IF(AND(H664="Realizado",L664&lt;&gt;""),L664/60,0)</f>
        <v>0.666666666666667</v>
      </c>
    </row>
    <row r="665">
      <c r="A665" s="42" t="n">
        <v>46269</v>
      </c>
      <c r="B665" s="43" t="n">
        <v>0.4722222222222222</v>
      </c>
      <c r="C665" s="37" t="inlineStr">
        <is>
          <t>Dr. Paulo Andrade</t>
        </is>
      </c>
      <c r="D665" s="37" t="inlineStr">
        <is>
          <t>Sala 2</t>
        </is>
      </c>
      <c r="E665" s="36" t="inlineStr">
        <is>
          <t>Rafael Dias</t>
        </is>
      </c>
      <c r="F665" s="37" t="inlineStr">
        <is>
          <t>Particular</t>
        </is>
      </c>
      <c r="G665" s="37" t="inlineStr">
        <is>
          <t>MAPA</t>
        </is>
      </c>
      <c r="H665" s="37" t="inlineStr">
        <is>
          <t>Realizado</t>
        </is>
      </c>
      <c r="I665" s="37" t="inlineStr">
        <is>
          <t>Dinheiro</t>
        </is>
      </c>
      <c r="J665" s="37" t="n"/>
      <c r="K665" s="36" t="n"/>
      <c r="L665" s="44">
        <f>IF(G665="","",IFERROR(INDEX(Config!$K$5:$K$16,MATCH(G665,Config!$J$5:$J$16,0)),""))</f>
        <v>20</v>
      </c>
      <c r="M665" s="30">
        <f>IF(OR(G665="",F665=""),"",IFERROR(INDEX(Config!$M$5:$R$16,MATCH(G665,Config!$J$5:$J$16,0),MATCH(F665,Config!$H$5:$H$10,0)),""))</f>
        <v>300</v>
      </c>
      <c r="N665" s="29">
        <f>IF(A665="","",MONTH(A665))</f>
        <v>9</v>
      </c>
      <c r="O665" s="29">
        <f>IF(A665="","",YEAR(A665))</f>
        <v>2026</v>
      </c>
      <c r="P665" s="29" t="str">
        <f>IF(A665="","",CHOOSE(WEEKDAY(A665,2),"Segunda","Terça","Quarta","Quinta","Sexta","Sábado","Domingo"))</f>
        <v>Sexta</v>
      </c>
      <c r="Q665" s="29" t="str">
        <f>IF(B665="","",IF(B665&lt;TIME(12,0,0),"Manhã",IF(B665&lt;TIME(18,0,0),"Tarde","Noite")))</f>
        <v>Manhã</v>
      </c>
      <c r="R665" s="45">
        <f>IF(AND(H665="Realizado",L665&lt;&gt;""),L665/60,0)</f>
        <v>0.333333333333333</v>
      </c>
    </row>
    <row r="666">
      <c r="A666" s="42" t="n">
        <v>46269</v>
      </c>
      <c r="B666" s="43" t="n">
        <v>0.4861111111111111</v>
      </c>
      <c r="C666" s="37" t="inlineStr">
        <is>
          <t>Dr. Paulo Andrade</t>
        </is>
      </c>
      <c r="D666" s="37" t="inlineStr">
        <is>
          <t>Sala 2</t>
        </is>
      </c>
      <c r="E666" s="36" t="inlineStr">
        <is>
          <t>Camila Martins</t>
        </is>
      </c>
      <c r="F666" s="37" t="inlineStr">
        <is>
          <t>Vida Care</t>
        </is>
      </c>
      <c r="G666" s="37" t="inlineStr">
        <is>
          <t>Consulta</t>
        </is>
      </c>
      <c r="H666" s="37" t="inlineStr">
        <is>
          <t>Realizado</t>
        </is>
      </c>
      <c r="I666" s="37" t="inlineStr">
        <is>
          <t>Convênio</t>
        </is>
      </c>
      <c r="J666" s="37" t="n"/>
      <c r="K666" s="36" t="n"/>
      <c r="L666" s="44">
        <f>IF(G666="","",IFERROR(INDEX(Config!$K$5:$K$16,MATCH(G666,Config!$J$5:$J$16,0)),""))</f>
        <v>30</v>
      </c>
      <c r="M666" s="30">
        <f>IF(OR(G666="",F666=""),"",IFERROR(INDEX(Config!$M$5:$R$16,MATCH(G666,Config!$J$5:$J$16,0),MATCH(F666,Config!$H$5:$H$10,0)),""))</f>
        <v>90</v>
      </c>
      <c r="N666" s="29">
        <f>IF(A666="","",MONTH(A666))</f>
        <v>9</v>
      </c>
      <c r="O666" s="29">
        <f>IF(A666="","",YEAR(A666))</f>
        <v>2026</v>
      </c>
      <c r="P666" s="29" t="str">
        <f>IF(A666="","",CHOOSE(WEEKDAY(A666,2),"Segunda","Terça","Quarta","Quinta","Sexta","Sábado","Domingo"))</f>
        <v>Sexta</v>
      </c>
      <c r="Q666" s="29" t="str">
        <f>IF(B666="","",IF(B666&lt;TIME(12,0,0),"Manhã",IF(B666&lt;TIME(18,0,0),"Tarde","Noite")))</f>
        <v>Manhã</v>
      </c>
      <c r="R666" s="45">
        <f>IF(AND(H666="Realizado",L666&lt;&gt;""),L666/60,0)</f>
        <v>0.5</v>
      </c>
    </row>
    <row r="667">
      <c r="A667" s="42" t="n">
        <v>46273</v>
      </c>
      <c r="B667" s="43" t="n">
        <v>0.3333333333333333</v>
      </c>
      <c r="C667" s="37" t="inlineStr">
        <is>
          <t>Dra. Carolina Mendes</t>
        </is>
      </c>
      <c r="D667" s="37" t="inlineStr">
        <is>
          <t>Sala 1</t>
        </is>
      </c>
      <c r="E667" s="36" t="inlineStr">
        <is>
          <t>Gustavo Barbosa</t>
        </is>
      </c>
      <c r="F667" s="37" t="inlineStr">
        <is>
          <t>Saúde Total</t>
        </is>
      </c>
      <c r="G667" s="37" t="inlineStr">
        <is>
          <t>Consulta</t>
        </is>
      </c>
      <c r="H667" s="37" t="inlineStr">
        <is>
          <t>Realizado</t>
        </is>
      </c>
      <c r="I667" s="37" t="inlineStr">
        <is>
          <t>Convênio</t>
        </is>
      </c>
      <c r="J667" s="37" t="n"/>
      <c r="K667" s="36" t="n"/>
      <c r="L667" s="44">
        <f>IF(G667="","",IFERROR(INDEX(Config!$K$5:$K$16,MATCH(G667,Config!$J$5:$J$16,0)),""))</f>
        <v>30</v>
      </c>
      <c r="M667" s="30">
        <f>IF(OR(G667="",F667=""),"",IFERROR(INDEX(Config!$M$5:$R$16,MATCH(G667,Config!$J$5:$J$16,0),MATCH(F667,Config!$H$5:$H$10,0)),""))</f>
        <v>120</v>
      </c>
      <c r="N667" s="29">
        <f>IF(A667="","",MONTH(A667))</f>
        <v>9</v>
      </c>
      <c r="O667" s="29">
        <f>IF(A667="","",YEAR(A667))</f>
        <v>2026</v>
      </c>
      <c r="P667" s="29" t="str">
        <f>IF(A667="","",CHOOSE(WEEKDAY(A667,2),"Segunda","Terça","Quarta","Quinta","Sexta","Sábado","Domingo"))</f>
        <v>Terça</v>
      </c>
      <c r="Q667" s="29" t="str">
        <f>IF(B667="","",IF(B667&lt;TIME(12,0,0),"Manhã",IF(B667&lt;TIME(18,0,0),"Tarde","Noite")))</f>
        <v>Manhã</v>
      </c>
      <c r="R667" s="45">
        <f>IF(AND(H667="Realizado",L667&lt;&gt;""),L667/60,0)</f>
        <v>0.5</v>
      </c>
    </row>
    <row r="668">
      <c r="A668" s="42" t="n">
        <v>46273</v>
      </c>
      <c r="B668" s="43" t="n">
        <v>0.3541666666666667</v>
      </c>
      <c r="C668" s="37" t="inlineStr">
        <is>
          <t>Dra. Carolina Mendes</t>
        </is>
      </c>
      <c r="D668" s="37" t="inlineStr">
        <is>
          <t>Sala 1</t>
        </is>
      </c>
      <c r="E668" s="36" t="inlineStr">
        <is>
          <t>Wagner Lima</t>
        </is>
      </c>
      <c r="F668" s="37" t="inlineStr">
        <is>
          <t>Particular</t>
        </is>
      </c>
      <c r="G668" s="37" t="inlineStr">
        <is>
          <t>Retorno</t>
        </is>
      </c>
      <c r="H668" s="37" t="inlineStr">
        <is>
          <t>Realizado</t>
        </is>
      </c>
      <c r="I668" s="37" t="inlineStr">
        <is>
          <t>Sem cobrança</t>
        </is>
      </c>
      <c r="J668" s="37" t="n"/>
      <c r="K668" s="36" t="n"/>
      <c r="L668" s="44">
        <f>IF(G668="","",IFERROR(INDEX(Config!$K$5:$K$16,MATCH(G668,Config!$J$5:$J$16,0)),""))</f>
        <v>20</v>
      </c>
      <c r="M668" s="30">
        <f>IF(OR(G668="",F668=""),"",IFERROR(INDEX(Config!$M$5:$R$16,MATCH(G668,Config!$J$5:$J$16,0),MATCH(F668,Config!$H$5:$H$10,0)),""))</f>
        <v>0</v>
      </c>
      <c r="N668" s="29">
        <f>IF(A668="","",MONTH(A668))</f>
        <v>9</v>
      </c>
      <c r="O668" s="29">
        <f>IF(A668="","",YEAR(A668))</f>
        <v>2026</v>
      </c>
      <c r="P668" s="29" t="str">
        <f>IF(A668="","",CHOOSE(WEEKDAY(A668,2),"Segunda","Terça","Quarta","Quinta","Sexta","Sábado","Domingo"))</f>
        <v>Terça</v>
      </c>
      <c r="Q668" s="29" t="str">
        <f>IF(B668="","",IF(B668&lt;TIME(12,0,0),"Manhã",IF(B668&lt;TIME(18,0,0),"Tarde","Noite")))</f>
        <v>Manhã</v>
      </c>
      <c r="R668" s="45">
        <f>IF(AND(H668="Realizado",L668&lt;&gt;""),L668/60,0)</f>
        <v>0.333333333333333</v>
      </c>
    </row>
    <row r="669">
      <c r="A669" s="42" t="n">
        <v>46273</v>
      </c>
      <c r="B669" s="43" t="n">
        <v>0.3680555555555556</v>
      </c>
      <c r="C669" s="37" t="inlineStr">
        <is>
          <t>Dra. Carolina Mendes</t>
        </is>
      </c>
      <c r="D669" s="37" t="inlineStr">
        <is>
          <t>Sala 1</t>
        </is>
      </c>
      <c r="E669" s="36" t="inlineStr">
        <is>
          <t>Otávio Cardoso</t>
        </is>
      </c>
      <c r="F669" s="37" t="inlineStr">
        <is>
          <t>Particular</t>
        </is>
      </c>
      <c r="G669" s="37" t="inlineStr">
        <is>
          <t>Consulta</t>
        </is>
      </c>
      <c r="H669" s="37" t="inlineStr">
        <is>
          <t>Realizado</t>
        </is>
      </c>
      <c r="I669" s="37" t="inlineStr">
        <is>
          <t>Cartão de crédito</t>
        </is>
      </c>
      <c r="J669" s="37" t="n">
        <v>2</v>
      </c>
      <c r="K669" s="36" t="n"/>
      <c r="L669" s="44">
        <f>IF(G669="","",IFERROR(INDEX(Config!$K$5:$K$16,MATCH(G669,Config!$J$5:$J$16,0)),""))</f>
        <v>30</v>
      </c>
      <c r="M669" s="30">
        <f>IF(OR(G669="",F669=""),"",IFERROR(INDEX(Config!$M$5:$R$16,MATCH(G669,Config!$J$5:$J$16,0),MATCH(F669,Config!$H$5:$H$10,0)),""))</f>
        <v>380</v>
      </c>
      <c r="N669" s="29">
        <f>IF(A669="","",MONTH(A669))</f>
        <v>9</v>
      </c>
      <c r="O669" s="29">
        <f>IF(A669="","",YEAR(A669))</f>
        <v>2026</v>
      </c>
      <c r="P669" s="29" t="str">
        <f>IF(A669="","",CHOOSE(WEEKDAY(A669,2),"Segunda","Terça","Quarta","Quinta","Sexta","Sábado","Domingo"))</f>
        <v>Terça</v>
      </c>
      <c r="Q669" s="29" t="str">
        <f>IF(B669="","",IF(B669&lt;TIME(12,0,0),"Manhã",IF(B669&lt;TIME(18,0,0),"Tarde","Noite")))</f>
        <v>Manhã</v>
      </c>
      <c r="R669" s="45">
        <f>IF(AND(H669="Realizado",L669&lt;&gt;""),L669/60,0)</f>
        <v>0.5</v>
      </c>
    </row>
    <row r="670">
      <c r="A670" s="42" t="n">
        <v>46273</v>
      </c>
      <c r="B670" s="43" t="n">
        <v>0.3888888888888889</v>
      </c>
      <c r="C670" s="37" t="inlineStr">
        <is>
          <t>Dra. Carolina Mendes</t>
        </is>
      </c>
      <c r="D670" s="37" t="inlineStr">
        <is>
          <t>Sala 1</t>
        </is>
      </c>
      <c r="E670" s="36" t="inlineStr">
        <is>
          <t>Priscila Castro</t>
        </is>
      </c>
      <c r="F670" s="37" t="inlineStr">
        <is>
          <t>Saúde Total</t>
        </is>
      </c>
      <c r="G670" s="37" t="inlineStr">
        <is>
          <t>Retorno</t>
        </is>
      </c>
      <c r="H670" s="37" t="inlineStr">
        <is>
          <t>Realizado</t>
        </is>
      </c>
      <c r="I670" s="37" t="inlineStr">
        <is>
          <t>Sem cobrança</t>
        </is>
      </c>
      <c r="J670" s="37" t="n"/>
      <c r="K670" s="36" t="n"/>
      <c r="L670" s="44">
        <f>IF(G670="","",IFERROR(INDEX(Config!$K$5:$K$16,MATCH(G670,Config!$J$5:$J$16,0)),""))</f>
        <v>20</v>
      </c>
      <c r="M670" s="30">
        <f>IF(OR(G670="",F670=""),"",IFERROR(INDEX(Config!$M$5:$R$16,MATCH(G670,Config!$J$5:$J$16,0),MATCH(F670,Config!$H$5:$H$10,0)),""))</f>
        <v>0</v>
      </c>
      <c r="N670" s="29">
        <f>IF(A670="","",MONTH(A670))</f>
        <v>9</v>
      </c>
      <c r="O670" s="29">
        <f>IF(A670="","",YEAR(A670))</f>
        <v>2026</v>
      </c>
      <c r="P670" s="29" t="str">
        <f>IF(A670="","",CHOOSE(WEEKDAY(A670,2),"Segunda","Terça","Quarta","Quinta","Sexta","Sábado","Domingo"))</f>
        <v>Terça</v>
      </c>
      <c r="Q670" s="29" t="str">
        <f>IF(B670="","",IF(B670&lt;TIME(12,0,0),"Manhã",IF(B670&lt;TIME(18,0,0),"Tarde","Noite")))</f>
        <v>Manhã</v>
      </c>
      <c r="R670" s="45">
        <f>IF(AND(H670="Realizado",L670&lt;&gt;""),L670/60,0)</f>
        <v>0.333333333333333</v>
      </c>
    </row>
    <row r="671">
      <c r="A671" s="42" t="n">
        <v>46273</v>
      </c>
      <c r="B671" s="43" t="n">
        <v>0.4027777777777778</v>
      </c>
      <c r="C671" s="37" t="inlineStr">
        <is>
          <t>Dra. Carolina Mendes</t>
        </is>
      </c>
      <c r="D671" s="37" t="inlineStr">
        <is>
          <t>Sala 1</t>
        </is>
      </c>
      <c r="E671" s="36" t="inlineStr">
        <is>
          <t>Daniel Melo</t>
        </is>
      </c>
      <c r="F671" s="37" t="inlineStr">
        <is>
          <t>Saúde Total</t>
        </is>
      </c>
      <c r="G671" s="37" t="inlineStr">
        <is>
          <t>Retorno</t>
        </is>
      </c>
      <c r="H671" s="37" t="inlineStr">
        <is>
          <t>Falta</t>
        </is>
      </c>
      <c r="I671" s="37" t="n"/>
      <c r="J671" s="37" t="n"/>
      <c r="K671" s="36" t="n"/>
      <c r="L671" s="44">
        <f>IF(G671="","",IFERROR(INDEX(Config!$K$5:$K$16,MATCH(G671,Config!$J$5:$J$16,0)),""))</f>
        <v>20</v>
      </c>
      <c r="M671" s="30">
        <f>IF(OR(G671="",F671=""),"",IFERROR(INDEX(Config!$M$5:$R$16,MATCH(G671,Config!$J$5:$J$16,0),MATCH(F671,Config!$H$5:$H$10,0)),""))</f>
        <v>0</v>
      </c>
      <c r="N671" s="29">
        <f>IF(A671="","",MONTH(A671))</f>
        <v>9</v>
      </c>
      <c r="O671" s="29">
        <f>IF(A671="","",YEAR(A671))</f>
        <v>2026</v>
      </c>
      <c r="P671" s="29" t="str">
        <f>IF(A671="","",CHOOSE(WEEKDAY(A671,2),"Segunda","Terça","Quarta","Quinta","Sexta","Sábado","Domingo"))</f>
        <v>Terça</v>
      </c>
      <c r="Q671" s="29" t="str">
        <f>IF(B671="","",IF(B671&lt;TIME(12,0,0),"Manhã",IF(B671&lt;TIME(18,0,0),"Tarde","Noite")))</f>
        <v>Manhã</v>
      </c>
      <c r="R671" s="45">
        <f>IF(AND(H671="Realizado",L671&lt;&gt;""),L671/60,0)</f>
        <v>0</v>
      </c>
    </row>
    <row r="672">
      <c r="A672" s="42" t="n">
        <v>46273</v>
      </c>
      <c r="B672" s="43" t="n">
        <v>0.4166666666666667</v>
      </c>
      <c r="C672" s="37" t="inlineStr">
        <is>
          <t>Dra. Carolina Mendes</t>
        </is>
      </c>
      <c r="D672" s="37" t="inlineStr">
        <is>
          <t>Sala 1</t>
        </is>
      </c>
      <c r="E672" s="36" t="inlineStr">
        <is>
          <t>Isabela Nascimento</t>
        </is>
      </c>
      <c r="F672" s="37" t="inlineStr">
        <is>
          <t>Vida Care</t>
        </is>
      </c>
      <c r="G672" s="37" t="inlineStr">
        <is>
          <t>Consulta</t>
        </is>
      </c>
      <c r="H672" s="37" t="inlineStr">
        <is>
          <t>Cancelado</t>
        </is>
      </c>
      <c r="I672" s="37" t="n"/>
      <c r="J672" s="37" t="n"/>
      <c r="K672" s="36" t="n"/>
      <c r="L672" s="44">
        <f>IF(G672="","",IFERROR(INDEX(Config!$K$5:$K$16,MATCH(G672,Config!$J$5:$J$16,0)),""))</f>
        <v>30</v>
      </c>
      <c r="M672" s="30">
        <f>IF(OR(G672="",F672=""),"",IFERROR(INDEX(Config!$M$5:$R$16,MATCH(G672,Config!$J$5:$J$16,0),MATCH(F672,Config!$H$5:$H$10,0)),""))</f>
        <v>90</v>
      </c>
      <c r="N672" s="29">
        <f>IF(A672="","",MONTH(A672))</f>
        <v>9</v>
      </c>
      <c r="O672" s="29">
        <f>IF(A672="","",YEAR(A672))</f>
        <v>2026</v>
      </c>
      <c r="P672" s="29" t="str">
        <f>IF(A672="","",CHOOSE(WEEKDAY(A672,2),"Segunda","Terça","Quarta","Quinta","Sexta","Sábado","Domingo"))</f>
        <v>Terça</v>
      </c>
      <c r="Q672" s="29" t="str">
        <f>IF(B672="","",IF(B672&lt;TIME(12,0,0),"Manhã",IF(B672&lt;TIME(18,0,0),"Tarde","Noite")))</f>
        <v>Manhã</v>
      </c>
      <c r="R672" s="45">
        <f>IF(AND(H672="Realizado",L672&lt;&gt;""),L672/60,0)</f>
        <v>0</v>
      </c>
    </row>
    <row r="673">
      <c r="A673" s="42" t="n">
        <v>46273</v>
      </c>
      <c r="B673" s="43" t="n">
        <v>0.4375</v>
      </c>
      <c r="C673" s="37" t="inlineStr">
        <is>
          <t>Dra. Carolina Mendes</t>
        </is>
      </c>
      <c r="D673" s="37" t="inlineStr">
        <is>
          <t>Sala 1</t>
        </is>
      </c>
      <c r="E673" s="36" t="inlineStr">
        <is>
          <t>Carlos Barros</t>
        </is>
      </c>
      <c r="F673" s="37" t="inlineStr">
        <is>
          <t>MediPlan</t>
        </is>
      </c>
      <c r="G673" s="37" t="inlineStr">
        <is>
          <t>Consulta</t>
        </is>
      </c>
      <c r="H673" s="37" t="inlineStr">
        <is>
          <t>Realizado</t>
        </is>
      </c>
      <c r="I673" s="37" t="inlineStr">
        <is>
          <t>Convênio</t>
        </is>
      </c>
      <c r="J673" s="37" t="n"/>
      <c r="K673" s="36" t="n"/>
      <c r="L673" s="44">
        <f>IF(G673="","",IFERROR(INDEX(Config!$K$5:$K$16,MATCH(G673,Config!$J$5:$J$16,0)),""))</f>
        <v>30</v>
      </c>
      <c r="M673" s="30">
        <f>IF(OR(G673="",F673=""),"",IFERROR(INDEX(Config!$M$5:$R$16,MATCH(G673,Config!$J$5:$J$16,0),MATCH(F673,Config!$H$5:$H$10,0)),""))</f>
        <v>100</v>
      </c>
      <c r="N673" s="29">
        <f>IF(A673="","",MONTH(A673))</f>
        <v>9</v>
      </c>
      <c r="O673" s="29">
        <f>IF(A673="","",YEAR(A673))</f>
        <v>2026</v>
      </c>
      <c r="P673" s="29" t="str">
        <f>IF(A673="","",CHOOSE(WEEKDAY(A673,2),"Segunda","Terça","Quarta","Quinta","Sexta","Sábado","Domingo"))</f>
        <v>Terça</v>
      </c>
      <c r="Q673" s="29" t="str">
        <f>IF(B673="","",IF(B673&lt;TIME(12,0,0),"Manhã",IF(B673&lt;TIME(18,0,0),"Tarde","Noite")))</f>
        <v>Manhã</v>
      </c>
      <c r="R673" s="45">
        <f>IF(AND(H673="Realizado",L673&lt;&gt;""),L673/60,0)</f>
        <v>0.5</v>
      </c>
    </row>
    <row r="674">
      <c r="A674" s="42" t="n">
        <v>46273</v>
      </c>
      <c r="B674" s="43" t="n">
        <v>0.4583333333333333</v>
      </c>
      <c r="C674" s="37" t="inlineStr">
        <is>
          <t>Dra. Carolina Mendes</t>
        </is>
      </c>
      <c r="D674" s="37" t="inlineStr">
        <is>
          <t>Sala 1</t>
        </is>
      </c>
      <c r="E674" s="36" t="inlineStr">
        <is>
          <t>Otávio Nascimento</t>
        </is>
      </c>
      <c r="F674" s="37" t="inlineStr">
        <is>
          <t>Particular</t>
        </is>
      </c>
      <c r="G674" s="37" t="inlineStr">
        <is>
          <t>Consulta</t>
        </is>
      </c>
      <c r="H674" s="37" t="inlineStr">
        <is>
          <t>Realizado</t>
        </is>
      </c>
      <c r="I674" s="37" t="inlineStr">
        <is>
          <t>Cartão de crédito</t>
        </is>
      </c>
      <c r="J674" s="37" t="n">
        <v>2</v>
      </c>
      <c r="K674" s="36" t="n"/>
      <c r="L674" s="44">
        <f>IF(G674="","",IFERROR(INDEX(Config!$K$5:$K$16,MATCH(G674,Config!$J$5:$J$16,0)),""))</f>
        <v>30</v>
      </c>
      <c r="M674" s="30">
        <f>IF(OR(G674="",F674=""),"",IFERROR(INDEX(Config!$M$5:$R$16,MATCH(G674,Config!$J$5:$J$16,0),MATCH(F674,Config!$H$5:$H$10,0)),""))</f>
        <v>380</v>
      </c>
      <c r="N674" s="29">
        <f>IF(A674="","",MONTH(A674))</f>
        <v>9</v>
      </c>
      <c r="O674" s="29">
        <f>IF(A674="","",YEAR(A674))</f>
        <v>2026</v>
      </c>
      <c r="P674" s="29" t="str">
        <f>IF(A674="","",CHOOSE(WEEKDAY(A674,2),"Segunda","Terça","Quarta","Quinta","Sexta","Sábado","Domingo"))</f>
        <v>Terça</v>
      </c>
      <c r="Q674" s="29" t="str">
        <f>IF(B674="","",IF(B674&lt;TIME(12,0,0),"Manhã",IF(B674&lt;TIME(18,0,0),"Tarde","Noite")))</f>
        <v>Manhã</v>
      </c>
      <c r="R674" s="45">
        <f>IF(AND(H674="Realizado",L674&lt;&gt;""),L674/60,0)</f>
        <v>0.5</v>
      </c>
    </row>
    <row r="675">
      <c r="A675" s="42" t="n">
        <v>46273</v>
      </c>
      <c r="B675" s="43" t="n">
        <v>0.4791666666666667</v>
      </c>
      <c r="C675" s="37" t="inlineStr">
        <is>
          <t>Dra. Carolina Mendes</t>
        </is>
      </c>
      <c r="D675" s="37" t="inlineStr">
        <is>
          <t>Sala 1</t>
        </is>
      </c>
      <c r="E675" s="36" t="inlineStr">
        <is>
          <t>Mariana Nascimento</t>
        </is>
      </c>
      <c r="F675" s="37" t="inlineStr">
        <is>
          <t>Particular</t>
        </is>
      </c>
      <c r="G675" s="37" t="inlineStr">
        <is>
          <t>Consulta</t>
        </is>
      </c>
      <c r="H675" s="37" t="inlineStr">
        <is>
          <t>Realizado</t>
        </is>
      </c>
      <c r="I675" s="37" t="inlineStr">
        <is>
          <t>Cartão de crédito</t>
        </is>
      </c>
      <c r="J675" s="37" t="n"/>
      <c r="K675" s="36" t="n"/>
      <c r="L675" s="44">
        <f>IF(G675="","",IFERROR(INDEX(Config!$K$5:$K$16,MATCH(G675,Config!$J$5:$J$16,0)),""))</f>
        <v>30</v>
      </c>
      <c r="M675" s="30">
        <f>IF(OR(G675="",F675=""),"",IFERROR(INDEX(Config!$M$5:$R$16,MATCH(G675,Config!$J$5:$J$16,0),MATCH(F675,Config!$H$5:$H$10,0)),""))</f>
        <v>380</v>
      </c>
      <c r="N675" s="29">
        <f>IF(A675="","",MONTH(A675))</f>
        <v>9</v>
      </c>
      <c r="O675" s="29">
        <f>IF(A675="","",YEAR(A675))</f>
        <v>2026</v>
      </c>
      <c r="P675" s="29" t="str">
        <f>IF(A675="","",CHOOSE(WEEKDAY(A675,2),"Segunda","Terça","Quarta","Quinta","Sexta","Sábado","Domingo"))</f>
        <v>Terça</v>
      </c>
      <c r="Q675" s="29" t="str">
        <f>IF(B675="","",IF(B675&lt;TIME(12,0,0),"Manhã",IF(B675&lt;TIME(18,0,0),"Tarde","Noite")))</f>
        <v>Manhã</v>
      </c>
      <c r="R675" s="45">
        <f>IF(AND(H675="Realizado",L675&lt;&gt;""),L675/60,0)</f>
        <v>0.5</v>
      </c>
    </row>
    <row r="676">
      <c r="A676" s="42" t="n">
        <v>46273</v>
      </c>
      <c r="B676" s="43" t="n">
        <v>0.5833333333333334</v>
      </c>
      <c r="C676" s="37" t="inlineStr">
        <is>
          <t>Dra. Renata Sousa</t>
        </is>
      </c>
      <c r="D676" s="37" t="inlineStr">
        <is>
          <t>Sala 1</t>
        </is>
      </c>
      <c r="E676" s="36" t="inlineStr">
        <is>
          <t>Beatriz Gomes</t>
        </is>
      </c>
      <c r="F676" s="37" t="inlineStr">
        <is>
          <t>Particular</t>
        </is>
      </c>
      <c r="G676" s="37" t="inlineStr">
        <is>
          <t>Avaliação endócrina</t>
        </is>
      </c>
      <c r="H676" s="37" t="inlineStr">
        <is>
          <t>Realizado</t>
        </is>
      </c>
      <c r="I676" s="37" t="inlineStr">
        <is>
          <t>Cartão de crédito</t>
        </is>
      </c>
      <c r="J676" s="37" t="n"/>
      <c r="K676" s="36" t="n"/>
      <c r="L676" s="44">
        <f>IF(G676="","",IFERROR(INDEX(Config!$K$5:$K$16,MATCH(G676,Config!$J$5:$J$16,0)),""))</f>
        <v>40</v>
      </c>
      <c r="M676" s="30">
        <f>IF(OR(G676="",F676=""),"",IFERROR(INDEX(Config!$M$5:$R$16,MATCH(G676,Config!$J$5:$J$16,0),MATCH(F676,Config!$H$5:$H$10,0)),""))</f>
        <v>400</v>
      </c>
      <c r="N676" s="29">
        <f>IF(A676="","",MONTH(A676))</f>
        <v>9</v>
      </c>
      <c r="O676" s="29">
        <f>IF(A676="","",YEAR(A676))</f>
        <v>2026</v>
      </c>
      <c r="P676" s="29" t="str">
        <f>IF(A676="","",CHOOSE(WEEKDAY(A676,2),"Segunda","Terça","Quarta","Quinta","Sexta","Sábado","Domingo"))</f>
        <v>Terça</v>
      </c>
      <c r="Q676" s="29" t="str">
        <f>IF(B676="","",IF(B676&lt;TIME(12,0,0),"Manhã",IF(B676&lt;TIME(18,0,0),"Tarde","Noite")))</f>
        <v>Tarde</v>
      </c>
      <c r="R676" s="45">
        <f>IF(AND(H676="Realizado",L676&lt;&gt;""),L676/60,0)</f>
        <v>0.666666666666667</v>
      </c>
    </row>
    <row r="677">
      <c r="A677" s="42" t="n">
        <v>46273</v>
      </c>
      <c r="B677" s="43" t="n">
        <v>0.5833333333333334</v>
      </c>
      <c r="C677" s="37" t="inlineStr">
        <is>
          <t>Dr. Paulo Andrade</t>
        </is>
      </c>
      <c r="D677" s="37" t="inlineStr">
        <is>
          <t>Sala 2</t>
        </is>
      </c>
      <c r="E677" s="36" t="inlineStr">
        <is>
          <t>Gisele Xavier</t>
        </is>
      </c>
      <c r="F677" s="37" t="inlineStr">
        <is>
          <t>Particular</t>
        </is>
      </c>
      <c r="G677" s="37" t="inlineStr">
        <is>
          <t>MAPA</t>
        </is>
      </c>
      <c r="H677" s="37" t="inlineStr">
        <is>
          <t>Realizado</t>
        </is>
      </c>
      <c r="I677" s="37" t="inlineStr">
        <is>
          <t>Pix</t>
        </is>
      </c>
      <c r="J677" s="37" t="n"/>
      <c r="K677" s="36" t="n"/>
      <c r="L677" s="44">
        <f>IF(G677="","",IFERROR(INDEX(Config!$K$5:$K$16,MATCH(G677,Config!$J$5:$J$16,0)),""))</f>
        <v>20</v>
      </c>
      <c r="M677" s="30">
        <f>IF(OR(G677="",F677=""),"",IFERROR(INDEX(Config!$M$5:$R$16,MATCH(G677,Config!$J$5:$J$16,0),MATCH(F677,Config!$H$5:$H$10,0)),""))</f>
        <v>300</v>
      </c>
      <c r="N677" s="29">
        <f>IF(A677="","",MONTH(A677))</f>
        <v>9</v>
      </c>
      <c r="O677" s="29">
        <f>IF(A677="","",YEAR(A677))</f>
        <v>2026</v>
      </c>
      <c r="P677" s="29" t="str">
        <f>IF(A677="","",CHOOSE(WEEKDAY(A677,2),"Segunda","Terça","Quarta","Quinta","Sexta","Sábado","Domingo"))</f>
        <v>Terça</v>
      </c>
      <c r="Q677" s="29" t="str">
        <f>IF(B677="","",IF(B677&lt;TIME(12,0,0),"Manhã",IF(B677&lt;TIME(18,0,0),"Tarde","Noite")))</f>
        <v>Tarde</v>
      </c>
      <c r="R677" s="45">
        <f>IF(AND(H677="Realizado",L677&lt;&gt;""),L677/60,0)</f>
        <v>0.333333333333333</v>
      </c>
    </row>
    <row r="678">
      <c r="A678" s="42" t="n">
        <v>46273</v>
      </c>
      <c r="B678" s="43" t="n">
        <v>0.5972222222222222</v>
      </c>
      <c r="C678" s="37" t="inlineStr">
        <is>
          <t>Dr. Paulo Andrade</t>
        </is>
      </c>
      <c r="D678" s="37" t="inlineStr">
        <is>
          <t>Sala 2</t>
        </is>
      </c>
      <c r="E678" s="36" t="inlineStr">
        <is>
          <t>Regina Duarte</t>
        </is>
      </c>
      <c r="F678" s="37" t="inlineStr">
        <is>
          <t>Particular</t>
        </is>
      </c>
      <c r="G678" s="37" t="inlineStr">
        <is>
          <t>ECG</t>
        </is>
      </c>
      <c r="H678" s="37" t="inlineStr">
        <is>
          <t>Cancelado</t>
        </is>
      </c>
      <c r="I678" s="37" t="n"/>
      <c r="J678" s="37" t="n"/>
      <c r="K678" s="36" t="n"/>
      <c r="L678" s="44">
        <f>IF(G678="","",IFERROR(INDEX(Config!$K$5:$K$16,MATCH(G678,Config!$J$5:$J$16,0)),""))</f>
        <v>20</v>
      </c>
      <c r="M678" s="30">
        <f>IF(OR(G678="",F678=""),"",IFERROR(INDEX(Config!$M$5:$R$16,MATCH(G678,Config!$J$5:$J$16,0),MATCH(F678,Config!$H$5:$H$10,0)),""))</f>
        <v>130</v>
      </c>
      <c r="N678" s="29">
        <f>IF(A678="","",MONTH(A678))</f>
        <v>9</v>
      </c>
      <c r="O678" s="29">
        <f>IF(A678="","",YEAR(A678))</f>
        <v>2026</v>
      </c>
      <c r="P678" s="29" t="str">
        <f>IF(A678="","",CHOOSE(WEEKDAY(A678,2),"Segunda","Terça","Quarta","Quinta","Sexta","Sábado","Domingo"))</f>
        <v>Terça</v>
      </c>
      <c r="Q678" s="29" t="str">
        <f>IF(B678="","",IF(B678&lt;TIME(12,0,0),"Manhã",IF(B678&lt;TIME(18,0,0),"Tarde","Noite")))</f>
        <v>Tarde</v>
      </c>
      <c r="R678" s="45">
        <f>IF(AND(H678="Realizado",L678&lt;&gt;""),L678/60,0)</f>
        <v>0</v>
      </c>
    </row>
    <row r="679">
      <c r="A679" s="42" t="n">
        <v>46273</v>
      </c>
      <c r="B679" s="43" t="n">
        <v>0.6111111111111112</v>
      </c>
      <c r="C679" s="37" t="inlineStr">
        <is>
          <t>Dra. Renata Sousa</t>
        </is>
      </c>
      <c r="D679" s="37" t="inlineStr">
        <is>
          <t>Sala 1</t>
        </is>
      </c>
      <c r="E679" s="36" t="inlineStr">
        <is>
          <t>Rafael Pereira</t>
        </is>
      </c>
      <c r="F679" s="37" t="inlineStr">
        <is>
          <t>Particular</t>
        </is>
      </c>
      <c r="G679" s="37" t="inlineStr">
        <is>
          <t>Retorno</t>
        </is>
      </c>
      <c r="H679" s="37" t="inlineStr">
        <is>
          <t>Falta</t>
        </is>
      </c>
      <c r="I679" s="37" t="n"/>
      <c r="J679" s="37" t="n"/>
      <c r="K679" s="36" t="n"/>
      <c r="L679" s="44">
        <f>IF(G679="","",IFERROR(INDEX(Config!$K$5:$K$16,MATCH(G679,Config!$J$5:$J$16,0)),""))</f>
        <v>20</v>
      </c>
      <c r="M679" s="30">
        <f>IF(OR(G679="",F679=""),"",IFERROR(INDEX(Config!$M$5:$R$16,MATCH(G679,Config!$J$5:$J$16,0),MATCH(F679,Config!$H$5:$H$10,0)),""))</f>
        <v>0</v>
      </c>
      <c r="N679" s="29">
        <f>IF(A679="","",MONTH(A679))</f>
        <v>9</v>
      </c>
      <c r="O679" s="29">
        <f>IF(A679="","",YEAR(A679))</f>
        <v>2026</v>
      </c>
      <c r="P679" s="29" t="str">
        <f>IF(A679="","",CHOOSE(WEEKDAY(A679,2),"Segunda","Terça","Quarta","Quinta","Sexta","Sábado","Domingo"))</f>
        <v>Terça</v>
      </c>
      <c r="Q679" s="29" t="str">
        <f>IF(B679="","",IF(B679&lt;TIME(12,0,0),"Manhã",IF(B679&lt;TIME(18,0,0),"Tarde","Noite")))</f>
        <v>Tarde</v>
      </c>
      <c r="R679" s="45">
        <f>IF(AND(H679="Realizado",L679&lt;&gt;""),L679/60,0)</f>
        <v>0</v>
      </c>
    </row>
    <row r="680">
      <c r="A680" s="42" t="n">
        <v>46273</v>
      </c>
      <c r="B680" s="43" t="n">
        <v>0.6111111111111112</v>
      </c>
      <c r="C680" s="37" t="inlineStr">
        <is>
          <t>Dr. Paulo Andrade</t>
        </is>
      </c>
      <c r="D680" s="37" t="inlineStr">
        <is>
          <t>Sala 2</t>
        </is>
      </c>
      <c r="E680" s="36" t="inlineStr">
        <is>
          <t>Rafael Barros</t>
        </is>
      </c>
      <c r="F680" s="37" t="inlineStr">
        <is>
          <t>Particular</t>
        </is>
      </c>
      <c r="G680" s="37" t="inlineStr">
        <is>
          <t>Retorno</t>
        </is>
      </c>
      <c r="H680" s="37" t="inlineStr">
        <is>
          <t>Realizado</t>
        </is>
      </c>
      <c r="I680" s="37" t="inlineStr">
        <is>
          <t>Sem cobrança</t>
        </is>
      </c>
      <c r="J680" s="37" t="n"/>
      <c r="K680" s="36" t="n"/>
      <c r="L680" s="44">
        <f>IF(G680="","",IFERROR(INDEX(Config!$K$5:$K$16,MATCH(G680,Config!$J$5:$J$16,0)),""))</f>
        <v>20</v>
      </c>
      <c r="M680" s="30">
        <f>IF(OR(G680="",F680=""),"",IFERROR(INDEX(Config!$M$5:$R$16,MATCH(G680,Config!$J$5:$J$16,0),MATCH(F680,Config!$H$5:$H$10,0)),""))</f>
        <v>0</v>
      </c>
      <c r="N680" s="29">
        <f>IF(A680="","",MONTH(A680))</f>
        <v>9</v>
      </c>
      <c r="O680" s="29">
        <f>IF(A680="","",YEAR(A680))</f>
        <v>2026</v>
      </c>
      <c r="P680" s="29" t="str">
        <f>IF(A680="","",CHOOSE(WEEKDAY(A680,2),"Segunda","Terça","Quarta","Quinta","Sexta","Sábado","Domingo"))</f>
        <v>Terça</v>
      </c>
      <c r="Q680" s="29" t="str">
        <f>IF(B680="","",IF(B680&lt;TIME(12,0,0),"Manhã",IF(B680&lt;TIME(18,0,0),"Tarde","Noite")))</f>
        <v>Tarde</v>
      </c>
      <c r="R680" s="45">
        <f>IF(AND(H680="Realizado",L680&lt;&gt;""),L680/60,0)</f>
        <v>0.333333333333333</v>
      </c>
    </row>
    <row r="681">
      <c r="A681" s="42" t="n">
        <v>46273</v>
      </c>
      <c r="B681" s="43" t="n">
        <v>0.625</v>
      </c>
      <c r="C681" s="37" t="inlineStr">
        <is>
          <t>Dra. Renata Sousa</t>
        </is>
      </c>
      <c r="D681" s="37" t="inlineStr">
        <is>
          <t>Sala 1</t>
        </is>
      </c>
      <c r="E681" s="36" t="inlineStr">
        <is>
          <t>Carlos Gomes</t>
        </is>
      </c>
      <c r="F681" s="37" t="inlineStr">
        <is>
          <t>Saúde Total</t>
        </is>
      </c>
      <c r="G681" s="37" t="inlineStr">
        <is>
          <t>Retorno</t>
        </is>
      </c>
      <c r="H681" s="37" t="inlineStr">
        <is>
          <t>Realizado</t>
        </is>
      </c>
      <c r="I681" s="37" t="inlineStr">
        <is>
          <t>Sem cobrança</t>
        </is>
      </c>
      <c r="J681" s="37" t="n"/>
      <c r="K681" s="36" t="n"/>
      <c r="L681" s="44">
        <f>IF(G681="","",IFERROR(INDEX(Config!$K$5:$K$16,MATCH(G681,Config!$J$5:$J$16,0)),""))</f>
        <v>20</v>
      </c>
      <c r="M681" s="30">
        <f>IF(OR(G681="",F681=""),"",IFERROR(INDEX(Config!$M$5:$R$16,MATCH(G681,Config!$J$5:$J$16,0),MATCH(F681,Config!$H$5:$H$10,0)),""))</f>
        <v>0</v>
      </c>
      <c r="N681" s="29">
        <f>IF(A681="","",MONTH(A681))</f>
        <v>9</v>
      </c>
      <c r="O681" s="29">
        <f>IF(A681="","",YEAR(A681))</f>
        <v>2026</v>
      </c>
      <c r="P681" s="29" t="str">
        <f>IF(A681="","",CHOOSE(WEEKDAY(A681,2),"Segunda","Terça","Quarta","Quinta","Sexta","Sábado","Domingo"))</f>
        <v>Terça</v>
      </c>
      <c r="Q681" s="29" t="str">
        <f>IF(B681="","",IF(B681&lt;TIME(12,0,0),"Manhã",IF(B681&lt;TIME(18,0,0),"Tarde","Noite")))</f>
        <v>Tarde</v>
      </c>
      <c r="R681" s="45">
        <f>IF(AND(H681="Realizado",L681&lt;&gt;""),L681/60,0)</f>
        <v>0.333333333333333</v>
      </c>
    </row>
    <row r="682">
      <c r="A682" s="42" t="n">
        <v>46273</v>
      </c>
      <c r="B682" s="43" t="n">
        <v>0.625</v>
      </c>
      <c r="C682" s="37" t="inlineStr">
        <is>
          <t>Dr. Paulo Andrade</t>
        </is>
      </c>
      <c r="D682" s="37" t="inlineStr">
        <is>
          <t>Sala 2</t>
        </is>
      </c>
      <c r="E682" s="36" t="inlineStr">
        <is>
          <t>Gabriel Oliveira</t>
        </is>
      </c>
      <c r="F682" s="37" t="inlineStr">
        <is>
          <t>Particular</t>
        </is>
      </c>
      <c r="G682" s="37" t="inlineStr">
        <is>
          <t>Retorno</t>
        </is>
      </c>
      <c r="H682" s="37" t="inlineStr">
        <is>
          <t>Realizado</t>
        </is>
      </c>
      <c r="I682" s="37" t="inlineStr">
        <is>
          <t>Sem cobrança</t>
        </is>
      </c>
      <c r="J682" s="37" t="n"/>
      <c r="K682" s="36" t="n"/>
      <c r="L682" s="44">
        <f>IF(G682="","",IFERROR(INDEX(Config!$K$5:$K$16,MATCH(G682,Config!$J$5:$J$16,0)),""))</f>
        <v>20</v>
      </c>
      <c r="M682" s="30">
        <f>IF(OR(G682="",F682=""),"",IFERROR(INDEX(Config!$M$5:$R$16,MATCH(G682,Config!$J$5:$J$16,0),MATCH(F682,Config!$H$5:$H$10,0)),""))</f>
        <v>0</v>
      </c>
      <c r="N682" s="29">
        <f>IF(A682="","",MONTH(A682))</f>
        <v>9</v>
      </c>
      <c r="O682" s="29">
        <f>IF(A682="","",YEAR(A682))</f>
        <v>2026</v>
      </c>
      <c r="P682" s="29" t="str">
        <f>IF(A682="","",CHOOSE(WEEKDAY(A682,2),"Segunda","Terça","Quarta","Quinta","Sexta","Sábado","Domingo"))</f>
        <v>Terça</v>
      </c>
      <c r="Q682" s="29" t="str">
        <f>IF(B682="","",IF(B682&lt;TIME(12,0,0),"Manhã",IF(B682&lt;TIME(18,0,0),"Tarde","Noite")))</f>
        <v>Tarde</v>
      </c>
      <c r="R682" s="45">
        <f>IF(AND(H682="Realizado",L682&lt;&gt;""),L682/60,0)</f>
        <v>0.333333333333333</v>
      </c>
    </row>
    <row r="683">
      <c r="A683" s="42" t="n">
        <v>46273</v>
      </c>
      <c r="B683" s="43" t="n">
        <v>0.6388888888888888</v>
      </c>
      <c r="C683" s="37" t="inlineStr">
        <is>
          <t>Dra. Renata Sousa</t>
        </is>
      </c>
      <c r="D683" s="37" t="inlineStr">
        <is>
          <t>Sala 1</t>
        </is>
      </c>
      <c r="E683" s="36" t="inlineStr">
        <is>
          <t>Gabriel Lopes</t>
        </is>
      </c>
      <c r="F683" s="37" t="inlineStr">
        <is>
          <t>Saúde Total</t>
        </is>
      </c>
      <c r="G683" s="37" t="inlineStr">
        <is>
          <t>Avaliação endócrina</t>
        </is>
      </c>
      <c r="H683" s="37" t="inlineStr">
        <is>
          <t>Realizado</t>
        </is>
      </c>
      <c r="I683" s="37" t="inlineStr">
        <is>
          <t>Convênio</t>
        </is>
      </c>
      <c r="J683" s="37" t="n"/>
      <c r="K683" s="36" t="n"/>
      <c r="L683" s="44">
        <f>IF(G683="","",IFERROR(INDEX(Config!$K$5:$K$16,MATCH(G683,Config!$J$5:$J$16,0)),""))</f>
        <v>40</v>
      </c>
      <c r="M683" s="30">
        <f>IF(OR(G683="",F683=""),"",IFERROR(INDEX(Config!$M$5:$R$16,MATCH(G683,Config!$J$5:$J$16,0),MATCH(F683,Config!$H$5:$H$10,0)),""))</f>
        <v>130</v>
      </c>
      <c r="N683" s="29">
        <f>IF(A683="","",MONTH(A683))</f>
        <v>9</v>
      </c>
      <c r="O683" s="29">
        <f>IF(A683="","",YEAR(A683))</f>
        <v>2026</v>
      </c>
      <c r="P683" s="29" t="str">
        <f>IF(A683="","",CHOOSE(WEEKDAY(A683,2),"Segunda","Terça","Quarta","Quinta","Sexta","Sábado","Domingo"))</f>
        <v>Terça</v>
      </c>
      <c r="Q683" s="29" t="str">
        <f>IF(B683="","",IF(B683&lt;TIME(12,0,0),"Manhã",IF(B683&lt;TIME(18,0,0),"Tarde","Noite")))</f>
        <v>Tarde</v>
      </c>
      <c r="R683" s="45">
        <f>IF(AND(H683="Realizado",L683&lt;&gt;""),L683/60,0)</f>
        <v>0.666666666666667</v>
      </c>
    </row>
    <row r="684">
      <c r="A684" s="42" t="n">
        <v>46273</v>
      </c>
      <c r="B684" s="43" t="n">
        <v>0.6388888888888888</v>
      </c>
      <c r="C684" s="37" t="inlineStr">
        <is>
          <t>Dr. Paulo Andrade</t>
        </is>
      </c>
      <c r="D684" s="37" t="inlineStr">
        <is>
          <t>Sala 2</t>
        </is>
      </c>
      <c r="E684" s="36" t="inlineStr">
        <is>
          <t>Débora Machado</t>
        </is>
      </c>
      <c r="F684" s="37" t="inlineStr">
        <is>
          <t>Saúde Total</t>
        </is>
      </c>
      <c r="G684" s="37" t="inlineStr">
        <is>
          <t>ECG</t>
        </is>
      </c>
      <c r="H684" s="37" t="inlineStr">
        <is>
          <t>Realizado</t>
        </is>
      </c>
      <c r="I684" s="37" t="inlineStr">
        <is>
          <t>Convênio</t>
        </is>
      </c>
      <c r="J684" s="37" t="n"/>
      <c r="K684" s="36" t="n"/>
      <c r="L684" s="44">
        <f>IF(G684="","",IFERROR(INDEX(Config!$K$5:$K$16,MATCH(G684,Config!$J$5:$J$16,0)),""))</f>
        <v>20</v>
      </c>
      <c r="M684" s="30">
        <f>IF(OR(G684="",F684=""),"",IFERROR(INDEX(Config!$M$5:$R$16,MATCH(G684,Config!$J$5:$J$16,0),MATCH(F684,Config!$H$5:$H$10,0)),""))</f>
        <v>40</v>
      </c>
      <c r="N684" s="29">
        <f>IF(A684="","",MONTH(A684))</f>
        <v>9</v>
      </c>
      <c r="O684" s="29">
        <f>IF(A684="","",YEAR(A684))</f>
        <v>2026</v>
      </c>
      <c r="P684" s="29" t="str">
        <f>IF(A684="","",CHOOSE(WEEKDAY(A684,2),"Segunda","Terça","Quarta","Quinta","Sexta","Sábado","Domingo"))</f>
        <v>Terça</v>
      </c>
      <c r="Q684" s="29" t="str">
        <f>IF(B684="","",IF(B684&lt;TIME(12,0,0),"Manhã",IF(B684&lt;TIME(18,0,0),"Tarde","Noite")))</f>
        <v>Tarde</v>
      </c>
      <c r="R684" s="45">
        <f>IF(AND(H684="Realizado",L684&lt;&gt;""),L684/60,0)</f>
        <v>0.333333333333333</v>
      </c>
    </row>
    <row r="685">
      <c r="A685" s="42" t="n">
        <v>46273</v>
      </c>
      <c r="B685" s="43" t="n">
        <v>0.6666666666666666</v>
      </c>
      <c r="C685" s="37" t="inlineStr">
        <is>
          <t>Dra. Renata Sousa</t>
        </is>
      </c>
      <c r="D685" s="37" t="inlineStr">
        <is>
          <t>Sala 1</t>
        </is>
      </c>
      <c r="E685" s="36" t="inlineStr">
        <is>
          <t>Gabriel Reis</t>
        </is>
      </c>
      <c r="F685" s="37" t="inlineStr">
        <is>
          <t>Particular</t>
        </is>
      </c>
      <c r="G685" s="37" t="inlineStr">
        <is>
          <t>Avaliação endócrina</t>
        </is>
      </c>
      <c r="H685" s="37" t="inlineStr">
        <is>
          <t>Realizado</t>
        </is>
      </c>
      <c r="I685" s="37" t="inlineStr">
        <is>
          <t>Pix</t>
        </is>
      </c>
      <c r="J685" s="37" t="n"/>
      <c r="K685" s="36" t="n"/>
      <c r="L685" s="44">
        <f>IF(G685="","",IFERROR(INDEX(Config!$K$5:$K$16,MATCH(G685,Config!$J$5:$J$16,0)),""))</f>
        <v>40</v>
      </c>
      <c r="M685" s="30">
        <f>IF(OR(G685="",F685=""),"",IFERROR(INDEX(Config!$M$5:$R$16,MATCH(G685,Config!$J$5:$J$16,0),MATCH(F685,Config!$H$5:$H$10,0)),""))</f>
        <v>400</v>
      </c>
      <c r="N685" s="29">
        <f>IF(A685="","",MONTH(A685))</f>
        <v>9</v>
      </c>
      <c r="O685" s="29">
        <f>IF(A685="","",YEAR(A685))</f>
        <v>2026</v>
      </c>
      <c r="P685" s="29" t="str">
        <f>IF(A685="","",CHOOSE(WEEKDAY(A685,2),"Segunda","Terça","Quarta","Quinta","Sexta","Sábado","Domingo"))</f>
        <v>Terça</v>
      </c>
      <c r="Q685" s="29" t="str">
        <f>IF(B685="","",IF(B685&lt;TIME(12,0,0),"Manhã",IF(B685&lt;TIME(18,0,0),"Tarde","Noite")))</f>
        <v>Tarde</v>
      </c>
      <c r="R685" s="45">
        <f>IF(AND(H685="Realizado",L685&lt;&gt;""),L685/60,0)</f>
        <v>0.666666666666667</v>
      </c>
    </row>
    <row r="686">
      <c r="A686" s="42" t="n">
        <v>46273</v>
      </c>
      <c r="B686" s="43" t="n">
        <v>0.6736111111111112</v>
      </c>
      <c r="C686" s="37" t="inlineStr">
        <is>
          <t>Dr. Paulo Andrade</t>
        </is>
      </c>
      <c r="D686" s="37" t="inlineStr">
        <is>
          <t>Sala 2</t>
        </is>
      </c>
      <c r="E686" s="36" t="inlineStr">
        <is>
          <t>Priscila Nascimento</t>
        </is>
      </c>
      <c r="F686" s="37" t="inlineStr">
        <is>
          <t>MediPlan</t>
        </is>
      </c>
      <c r="G686" s="37" t="inlineStr">
        <is>
          <t>ECG</t>
        </is>
      </c>
      <c r="H686" s="37" t="inlineStr">
        <is>
          <t>Realizado</t>
        </is>
      </c>
      <c r="I686" s="37" t="inlineStr">
        <is>
          <t>Convênio</t>
        </is>
      </c>
      <c r="J686" s="37" t="n"/>
      <c r="K686" s="36" t="n"/>
      <c r="L686" s="44">
        <f>IF(G686="","",IFERROR(INDEX(Config!$K$5:$K$16,MATCH(G686,Config!$J$5:$J$16,0)),""))</f>
        <v>20</v>
      </c>
      <c r="M686" s="30">
        <f>IF(OR(G686="",F686=""),"",IFERROR(INDEX(Config!$M$5:$R$16,MATCH(G686,Config!$J$5:$J$16,0),MATCH(F686,Config!$H$5:$H$10,0)),""))</f>
        <v>35</v>
      </c>
      <c r="N686" s="29">
        <f>IF(A686="","",MONTH(A686))</f>
        <v>9</v>
      </c>
      <c r="O686" s="29">
        <f>IF(A686="","",YEAR(A686))</f>
        <v>2026</v>
      </c>
      <c r="P686" s="29" t="str">
        <f>IF(A686="","",CHOOSE(WEEKDAY(A686,2),"Segunda","Terça","Quarta","Quinta","Sexta","Sábado","Domingo"))</f>
        <v>Terça</v>
      </c>
      <c r="Q686" s="29" t="str">
        <f>IF(B686="","",IF(B686&lt;TIME(12,0,0),"Manhã",IF(B686&lt;TIME(18,0,0),"Tarde","Noite")))</f>
        <v>Tarde</v>
      </c>
      <c r="R686" s="45">
        <f>IF(AND(H686="Realizado",L686&lt;&gt;""),L686/60,0)</f>
        <v>0.333333333333333</v>
      </c>
    </row>
    <row r="687">
      <c r="A687" s="42" t="n">
        <v>46273</v>
      </c>
      <c r="B687" s="43" t="n">
        <v>0.6875</v>
      </c>
      <c r="C687" s="37" t="inlineStr">
        <is>
          <t>Dr. Paulo Andrade</t>
        </is>
      </c>
      <c r="D687" s="37" t="inlineStr">
        <is>
          <t>Sala 2</t>
        </is>
      </c>
      <c r="E687" s="36" t="inlineStr">
        <is>
          <t>Beatriz Gonçalves</t>
        </is>
      </c>
      <c r="F687" s="37" t="inlineStr">
        <is>
          <t>Saúde Total</t>
        </is>
      </c>
      <c r="G687" s="37" t="inlineStr">
        <is>
          <t>Consulta</t>
        </is>
      </c>
      <c r="H687" s="37" t="inlineStr">
        <is>
          <t>Realizado</t>
        </is>
      </c>
      <c r="I687" s="37" t="inlineStr">
        <is>
          <t>Convênio</t>
        </is>
      </c>
      <c r="J687" s="37" t="n"/>
      <c r="K687" s="36" t="n"/>
      <c r="L687" s="44">
        <f>IF(G687="","",IFERROR(INDEX(Config!$K$5:$K$16,MATCH(G687,Config!$J$5:$J$16,0)),""))</f>
        <v>30</v>
      </c>
      <c r="M687" s="30">
        <f>IF(OR(G687="",F687=""),"",IFERROR(INDEX(Config!$M$5:$R$16,MATCH(G687,Config!$J$5:$J$16,0),MATCH(F687,Config!$H$5:$H$10,0)),""))</f>
        <v>120</v>
      </c>
      <c r="N687" s="29">
        <f>IF(A687="","",MONTH(A687))</f>
        <v>9</v>
      </c>
      <c r="O687" s="29">
        <f>IF(A687="","",YEAR(A687))</f>
        <v>2026</v>
      </c>
      <c r="P687" s="29" t="str">
        <f>IF(A687="","",CHOOSE(WEEKDAY(A687,2),"Segunda","Terça","Quarta","Quinta","Sexta","Sábado","Domingo"))</f>
        <v>Terça</v>
      </c>
      <c r="Q687" s="29" t="str">
        <f>IF(B687="","",IF(B687&lt;TIME(12,0,0),"Manhã",IF(B687&lt;TIME(18,0,0),"Tarde","Noite")))</f>
        <v>Tarde</v>
      </c>
      <c r="R687" s="45">
        <f>IF(AND(H687="Realizado",L687&lt;&gt;""),L687/60,0)</f>
        <v>0.5</v>
      </c>
    </row>
    <row r="688">
      <c r="A688" s="42" t="n">
        <v>46273</v>
      </c>
      <c r="B688" s="43" t="n">
        <v>0.7083333333333334</v>
      </c>
      <c r="C688" s="37" t="inlineStr">
        <is>
          <t>Dr. Paulo Andrade</t>
        </is>
      </c>
      <c r="D688" s="37" t="inlineStr">
        <is>
          <t>Sala 2</t>
        </is>
      </c>
      <c r="E688" s="36" t="inlineStr">
        <is>
          <t>Paulo Nascimento</t>
        </is>
      </c>
      <c r="F688" s="37" t="inlineStr">
        <is>
          <t>MediPlan</t>
        </is>
      </c>
      <c r="G688" s="37" t="inlineStr">
        <is>
          <t>Consulta</t>
        </is>
      </c>
      <c r="H688" s="37" t="inlineStr">
        <is>
          <t>Realizado</t>
        </is>
      </c>
      <c r="I688" s="37" t="inlineStr">
        <is>
          <t>Convênio</t>
        </is>
      </c>
      <c r="J688" s="37" t="n"/>
      <c r="K688" s="36" t="n"/>
      <c r="L688" s="44">
        <f>IF(G688="","",IFERROR(INDEX(Config!$K$5:$K$16,MATCH(G688,Config!$J$5:$J$16,0)),""))</f>
        <v>30</v>
      </c>
      <c r="M688" s="30">
        <f>IF(OR(G688="",F688=""),"",IFERROR(INDEX(Config!$M$5:$R$16,MATCH(G688,Config!$J$5:$J$16,0),MATCH(F688,Config!$H$5:$H$10,0)),""))</f>
        <v>100</v>
      </c>
      <c r="N688" s="29">
        <f>IF(A688="","",MONTH(A688))</f>
        <v>9</v>
      </c>
      <c r="O688" s="29">
        <f>IF(A688="","",YEAR(A688))</f>
        <v>2026</v>
      </c>
      <c r="P688" s="29" t="str">
        <f>IF(A688="","",CHOOSE(WEEKDAY(A688,2),"Segunda","Terça","Quarta","Quinta","Sexta","Sábado","Domingo"))</f>
        <v>Terça</v>
      </c>
      <c r="Q688" s="29" t="str">
        <f>IF(B688="","",IF(B688&lt;TIME(12,0,0),"Manhã",IF(B688&lt;TIME(18,0,0),"Tarde","Noite")))</f>
        <v>Tarde</v>
      </c>
      <c r="R688" s="45">
        <f>IF(AND(H688="Realizado",L688&lt;&gt;""),L688/60,0)</f>
        <v>0.5</v>
      </c>
    </row>
    <row r="689">
      <c r="A689" s="42" t="n">
        <v>46273</v>
      </c>
      <c r="B689" s="43" t="n">
        <v>0.7152777777777778</v>
      </c>
      <c r="C689" s="37" t="inlineStr">
        <is>
          <t>Dra. Renata Sousa</t>
        </is>
      </c>
      <c r="D689" s="37" t="inlineStr">
        <is>
          <t>Sala 1</t>
        </is>
      </c>
      <c r="E689" s="36" t="inlineStr">
        <is>
          <t>Fábio Gomes</t>
        </is>
      </c>
      <c r="F689" s="37" t="inlineStr">
        <is>
          <t>Particular</t>
        </is>
      </c>
      <c r="G689" s="37" t="inlineStr">
        <is>
          <t>Avaliação endócrina</t>
        </is>
      </c>
      <c r="H689" s="37" t="inlineStr">
        <is>
          <t>Realizado</t>
        </is>
      </c>
      <c r="I689" s="37" t="inlineStr">
        <is>
          <t>Cartão de crédito</t>
        </is>
      </c>
      <c r="J689" s="37" t="n">
        <v>2</v>
      </c>
      <c r="K689" s="36" t="n"/>
      <c r="L689" s="44">
        <f>IF(G689="","",IFERROR(INDEX(Config!$K$5:$K$16,MATCH(G689,Config!$J$5:$J$16,0)),""))</f>
        <v>40</v>
      </c>
      <c r="M689" s="30">
        <f>IF(OR(G689="",F689=""),"",IFERROR(INDEX(Config!$M$5:$R$16,MATCH(G689,Config!$J$5:$J$16,0),MATCH(F689,Config!$H$5:$H$10,0)),""))</f>
        <v>400</v>
      </c>
      <c r="N689" s="29">
        <f>IF(A689="","",MONTH(A689))</f>
        <v>9</v>
      </c>
      <c r="O689" s="29">
        <f>IF(A689="","",YEAR(A689))</f>
        <v>2026</v>
      </c>
      <c r="P689" s="29" t="str">
        <f>IF(A689="","",CHOOSE(WEEKDAY(A689,2),"Segunda","Terça","Quarta","Quinta","Sexta","Sábado","Domingo"))</f>
        <v>Terça</v>
      </c>
      <c r="Q689" s="29" t="str">
        <f>IF(B689="","",IF(B689&lt;TIME(12,0,0),"Manhã",IF(B689&lt;TIME(18,0,0),"Tarde","Noite")))</f>
        <v>Tarde</v>
      </c>
      <c r="R689" s="45">
        <f>IF(AND(H689="Realizado",L689&lt;&gt;""),L689/60,0)</f>
        <v>0.666666666666667</v>
      </c>
    </row>
    <row r="690">
      <c r="A690" s="42" t="n">
        <v>46273</v>
      </c>
      <c r="B690" s="43" t="n">
        <v>0.7291666666666666</v>
      </c>
      <c r="C690" s="37" t="inlineStr">
        <is>
          <t>Dr. Paulo Andrade</t>
        </is>
      </c>
      <c r="D690" s="37" t="inlineStr">
        <is>
          <t>Sala 2</t>
        </is>
      </c>
      <c r="E690" s="36" t="inlineStr">
        <is>
          <t>Gisele Pinto</t>
        </is>
      </c>
      <c r="F690" s="37" t="inlineStr">
        <is>
          <t>Saúde Total</t>
        </is>
      </c>
      <c r="G690" s="37" t="inlineStr">
        <is>
          <t>Consulta</t>
        </is>
      </c>
      <c r="H690" s="37" t="inlineStr">
        <is>
          <t>Realizado</t>
        </is>
      </c>
      <c r="I690" s="37" t="inlineStr">
        <is>
          <t>Convênio</t>
        </is>
      </c>
      <c r="J690" s="37" t="n"/>
      <c r="K690" s="36" t="n"/>
      <c r="L690" s="44">
        <f>IF(G690="","",IFERROR(INDEX(Config!$K$5:$K$16,MATCH(G690,Config!$J$5:$J$16,0)),""))</f>
        <v>30</v>
      </c>
      <c r="M690" s="30">
        <f>IF(OR(G690="",F690=""),"",IFERROR(INDEX(Config!$M$5:$R$16,MATCH(G690,Config!$J$5:$J$16,0),MATCH(F690,Config!$H$5:$H$10,0)),""))</f>
        <v>120</v>
      </c>
      <c r="N690" s="29">
        <f>IF(A690="","",MONTH(A690))</f>
        <v>9</v>
      </c>
      <c r="O690" s="29">
        <f>IF(A690="","",YEAR(A690))</f>
        <v>2026</v>
      </c>
      <c r="P690" s="29" t="str">
        <f>IF(A690="","",CHOOSE(WEEKDAY(A690,2),"Segunda","Terça","Quarta","Quinta","Sexta","Sábado","Domingo"))</f>
        <v>Terça</v>
      </c>
      <c r="Q690" s="29" t="str">
        <f>IF(B690="","",IF(B690&lt;TIME(12,0,0),"Manhã",IF(B690&lt;TIME(18,0,0),"Tarde","Noite")))</f>
        <v>Tarde</v>
      </c>
      <c r="R690" s="45">
        <f>IF(AND(H690="Realizado",L690&lt;&gt;""),L690/60,0)</f>
        <v>0.5</v>
      </c>
    </row>
    <row r="691">
      <c r="A691" s="42" t="n">
        <v>46274</v>
      </c>
      <c r="B691" s="43" t="n">
        <v>0.5833333333333334</v>
      </c>
      <c r="C691" s="37" t="inlineStr">
        <is>
          <t>Dra. Carolina Mendes</t>
        </is>
      </c>
      <c r="D691" s="37" t="inlineStr">
        <is>
          <t>Sala 1</t>
        </is>
      </c>
      <c r="E691" s="36" t="inlineStr">
        <is>
          <t>Ana Costa</t>
        </is>
      </c>
      <c r="F691" s="37" t="inlineStr">
        <is>
          <t>Particular</t>
        </is>
      </c>
      <c r="G691" s="37" t="inlineStr">
        <is>
          <t>Consulta</t>
        </is>
      </c>
      <c r="H691" s="37" t="inlineStr">
        <is>
          <t>Realizado</t>
        </is>
      </c>
      <c r="I691" s="37" t="inlineStr">
        <is>
          <t>A prazo</t>
        </is>
      </c>
      <c r="J691" s="37" t="n"/>
      <c r="K691" s="36" t="n"/>
      <c r="L691" s="44">
        <f>IF(G691="","",IFERROR(INDEX(Config!$K$5:$K$16,MATCH(G691,Config!$J$5:$J$16,0)),""))</f>
        <v>30</v>
      </c>
      <c r="M691" s="30">
        <f>IF(OR(G691="",F691=""),"",IFERROR(INDEX(Config!$M$5:$R$16,MATCH(G691,Config!$J$5:$J$16,0),MATCH(F691,Config!$H$5:$H$10,0)),""))</f>
        <v>380</v>
      </c>
      <c r="N691" s="29">
        <f>IF(A691="","",MONTH(A691))</f>
        <v>9</v>
      </c>
      <c r="O691" s="29">
        <f>IF(A691="","",YEAR(A691))</f>
        <v>2026</v>
      </c>
      <c r="P691" s="29" t="str">
        <f>IF(A691="","",CHOOSE(WEEKDAY(A691,2),"Segunda","Terça","Quarta","Quinta","Sexta","Sábado","Domingo"))</f>
        <v>Quarta</v>
      </c>
      <c r="Q691" s="29" t="str">
        <f>IF(B691="","",IF(B691&lt;TIME(12,0,0),"Manhã",IF(B691&lt;TIME(18,0,0),"Tarde","Noite")))</f>
        <v>Tarde</v>
      </c>
      <c r="R691" s="45">
        <f>IF(AND(H691="Realizado",L691&lt;&gt;""),L691/60,0)</f>
        <v>0.5</v>
      </c>
    </row>
    <row r="692">
      <c r="A692" s="42" t="n">
        <v>46274</v>
      </c>
      <c r="B692" s="43" t="n">
        <v>0.6041666666666666</v>
      </c>
      <c r="C692" s="37" t="inlineStr">
        <is>
          <t>Dra. Carolina Mendes</t>
        </is>
      </c>
      <c r="D692" s="37" t="inlineStr">
        <is>
          <t>Sala 1</t>
        </is>
      </c>
      <c r="E692" s="36" t="inlineStr">
        <is>
          <t>Carlos Castro</t>
        </is>
      </c>
      <c r="F692" s="37" t="inlineStr">
        <is>
          <t>Saúde Total</t>
        </is>
      </c>
      <c r="G692" s="37" t="inlineStr">
        <is>
          <t>Retorno</t>
        </is>
      </c>
      <c r="H692" s="37" t="inlineStr">
        <is>
          <t>Realizado</t>
        </is>
      </c>
      <c r="I692" s="37" t="inlineStr">
        <is>
          <t>Sem cobrança</t>
        </is>
      </c>
      <c r="J692" s="37" t="n"/>
      <c r="K692" s="36" t="n"/>
      <c r="L692" s="44">
        <f>IF(G692="","",IFERROR(INDEX(Config!$K$5:$K$16,MATCH(G692,Config!$J$5:$J$16,0)),""))</f>
        <v>20</v>
      </c>
      <c r="M692" s="30">
        <f>IF(OR(G692="",F692=""),"",IFERROR(INDEX(Config!$M$5:$R$16,MATCH(G692,Config!$J$5:$J$16,0),MATCH(F692,Config!$H$5:$H$10,0)),""))</f>
        <v>0</v>
      </c>
      <c r="N692" s="29">
        <f>IF(A692="","",MONTH(A692))</f>
        <v>9</v>
      </c>
      <c r="O692" s="29">
        <f>IF(A692="","",YEAR(A692))</f>
        <v>2026</v>
      </c>
      <c r="P692" s="29" t="str">
        <f>IF(A692="","",CHOOSE(WEEKDAY(A692,2),"Segunda","Terça","Quarta","Quinta","Sexta","Sábado","Domingo"))</f>
        <v>Quarta</v>
      </c>
      <c r="Q692" s="29" t="str">
        <f>IF(B692="","",IF(B692&lt;TIME(12,0,0),"Manhã",IF(B692&lt;TIME(18,0,0),"Tarde","Noite")))</f>
        <v>Tarde</v>
      </c>
      <c r="R692" s="45">
        <f>IF(AND(H692="Realizado",L692&lt;&gt;""),L692/60,0)</f>
        <v>0.333333333333333</v>
      </c>
    </row>
    <row r="693">
      <c r="A693" s="42" t="n">
        <v>46274</v>
      </c>
      <c r="B693" s="43" t="n">
        <v>0.6180555555555556</v>
      </c>
      <c r="C693" s="37" t="inlineStr">
        <is>
          <t>Dra. Carolina Mendes</t>
        </is>
      </c>
      <c r="D693" s="37" t="inlineStr">
        <is>
          <t>Sala 1</t>
        </is>
      </c>
      <c r="E693" s="36" t="inlineStr">
        <is>
          <t>Sérgio Martins</t>
        </is>
      </c>
      <c r="F693" s="37" t="inlineStr">
        <is>
          <t>Particular</t>
        </is>
      </c>
      <c r="G693" s="37" t="inlineStr">
        <is>
          <t>Retorno</t>
        </is>
      </c>
      <c r="H693" s="37" t="inlineStr">
        <is>
          <t>Realizado</t>
        </is>
      </c>
      <c r="I693" s="37" t="inlineStr">
        <is>
          <t>Sem cobrança</t>
        </is>
      </c>
      <c r="J693" s="37" t="n"/>
      <c r="K693" s="36" t="n"/>
      <c r="L693" s="44">
        <f>IF(G693="","",IFERROR(INDEX(Config!$K$5:$K$16,MATCH(G693,Config!$J$5:$J$16,0)),""))</f>
        <v>20</v>
      </c>
      <c r="M693" s="30">
        <f>IF(OR(G693="",F693=""),"",IFERROR(INDEX(Config!$M$5:$R$16,MATCH(G693,Config!$J$5:$J$16,0),MATCH(F693,Config!$H$5:$H$10,0)),""))</f>
        <v>0</v>
      </c>
      <c r="N693" s="29">
        <f>IF(A693="","",MONTH(A693))</f>
        <v>9</v>
      </c>
      <c r="O693" s="29">
        <f>IF(A693="","",YEAR(A693))</f>
        <v>2026</v>
      </c>
      <c r="P693" s="29" t="str">
        <f>IF(A693="","",CHOOSE(WEEKDAY(A693,2),"Segunda","Terça","Quarta","Quinta","Sexta","Sábado","Domingo"))</f>
        <v>Quarta</v>
      </c>
      <c r="Q693" s="29" t="str">
        <f>IF(B693="","",IF(B693&lt;TIME(12,0,0),"Manhã",IF(B693&lt;TIME(18,0,0),"Tarde","Noite")))</f>
        <v>Tarde</v>
      </c>
      <c r="R693" s="45">
        <f>IF(AND(H693="Realizado",L693&lt;&gt;""),L693/60,0)</f>
        <v>0.333333333333333</v>
      </c>
    </row>
    <row r="694">
      <c r="A694" s="42" t="n">
        <v>46274</v>
      </c>
      <c r="B694" s="43" t="n">
        <v>0.6319444444444444</v>
      </c>
      <c r="C694" s="37" t="inlineStr">
        <is>
          <t>Dra. Carolina Mendes</t>
        </is>
      </c>
      <c r="D694" s="37" t="inlineStr">
        <is>
          <t>Sala 1</t>
        </is>
      </c>
      <c r="E694" s="36" t="inlineStr">
        <is>
          <t>Simone Monteiro</t>
        </is>
      </c>
      <c r="F694" s="37" t="inlineStr">
        <is>
          <t>Vida Care</t>
        </is>
      </c>
      <c r="G694" s="37" t="inlineStr">
        <is>
          <t>Consulta</t>
        </is>
      </c>
      <c r="H694" s="37" t="inlineStr">
        <is>
          <t>Realizado</t>
        </is>
      </c>
      <c r="I694" s="37" t="inlineStr">
        <is>
          <t>Convênio</t>
        </is>
      </c>
      <c r="J694" s="37" t="n"/>
      <c r="K694" s="36" t="n"/>
      <c r="L694" s="44">
        <f>IF(G694="","",IFERROR(INDEX(Config!$K$5:$K$16,MATCH(G694,Config!$J$5:$J$16,0)),""))</f>
        <v>30</v>
      </c>
      <c r="M694" s="30">
        <f>IF(OR(G694="",F694=""),"",IFERROR(INDEX(Config!$M$5:$R$16,MATCH(G694,Config!$J$5:$J$16,0),MATCH(F694,Config!$H$5:$H$10,0)),""))</f>
        <v>90</v>
      </c>
      <c r="N694" s="29">
        <f>IF(A694="","",MONTH(A694))</f>
        <v>9</v>
      </c>
      <c r="O694" s="29">
        <f>IF(A694="","",YEAR(A694))</f>
        <v>2026</v>
      </c>
      <c r="P694" s="29" t="str">
        <f>IF(A694="","",CHOOSE(WEEKDAY(A694,2),"Segunda","Terça","Quarta","Quinta","Sexta","Sábado","Domingo"))</f>
        <v>Quarta</v>
      </c>
      <c r="Q694" s="29" t="str">
        <f>IF(B694="","",IF(B694&lt;TIME(12,0,0),"Manhã",IF(B694&lt;TIME(18,0,0),"Tarde","Noite")))</f>
        <v>Tarde</v>
      </c>
      <c r="R694" s="45">
        <f>IF(AND(H694="Realizado",L694&lt;&gt;""),L694/60,0)</f>
        <v>0.5</v>
      </c>
    </row>
    <row r="695">
      <c r="A695" s="42" t="n">
        <v>46274</v>
      </c>
      <c r="B695" s="43" t="n">
        <v>0.6527777777777778</v>
      </c>
      <c r="C695" s="37" t="inlineStr">
        <is>
          <t>Dra. Carolina Mendes</t>
        </is>
      </c>
      <c r="D695" s="37" t="inlineStr">
        <is>
          <t>Sala 1</t>
        </is>
      </c>
      <c r="E695" s="36" t="inlineStr">
        <is>
          <t>Gisele Ribeiro</t>
        </is>
      </c>
      <c r="F695" s="37" t="inlineStr">
        <is>
          <t>Particular</t>
        </is>
      </c>
      <c r="G695" s="37" t="inlineStr">
        <is>
          <t>Consulta</t>
        </is>
      </c>
      <c r="H695" s="37" t="inlineStr">
        <is>
          <t>Realizado</t>
        </is>
      </c>
      <c r="I695" s="37" t="inlineStr">
        <is>
          <t>Cartão de crédito</t>
        </is>
      </c>
      <c r="J695" s="37" t="n">
        <v>2</v>
      </c>
      <c r="K695" s="36" t="n"/>
      <c r="L695" s="44">
        <f>IF(G695="","",IFERROR(INDEX(Config!$K$5:$K$16,MATCH(G695,Config!$J$5:$J$16,0)),""))</f>
        <v>30</v>
      </c>
      <c r="M695" s="30">
        <f>IF(OR(G695="",F695=""),"",IFERROR(INDEX(Config!$M$5:$R$16,MATCH(G695,Config!$J$5:$J$16,0),MATCH(F695,Config!$H$5:$H$10,0)),""))</f>
        <v>380</v>
      </c>
      <c r="N695" s="29">
        <f>IF(A695="","",MONTH(A695))</f>
        <v>9</v>
      </c>
      <c r="O695" s="29">
        <f>IF(A695="","",YEAR(A695))</f>
        <v>2026</v>
      </c>
      <c r="P695" s="29" t="str">
        <f>IF(A695="","",CHOOSE(WEEKDAY(A695,2),"Segunda","Terça","Quarta","Quinta","Sexta","Sábado","Domingo"))</f>
        <v>Quarta</v>
      </c>
      <c r="Q695" s="29" t="str">
        <f>IF(B695="","",IF(B695&lt;TIME(12,0,0),"Manhã",IF(B695&lt;TIME(18,0,0),"Tarde","Noite")))</f>
        <v>Tarde</v>
      </c>
      <c r="R695" s="45">
        <f>IF(AND(H695="Realizado",L695&lt;&gt;""),L695/60,0)</f>
        <v>0.5</v>
      </c>
    </row>
    <row r="696">
      <c r="A696" s="42" t="n">
        <v>46274</v>
      </c>
      <c r="B696" s="43" t="n">
        <v>0.6736111111111112</v>
      </c>
      <c r="C696" s="37" t="inlineStr">
        <is>
          <t>Dra. Carolina Mendes</t>
        </is>
      </c>
      <c r="D696" s="37" t="inlineStr">
        <is>
          <t>Sala 1</t>
        </is>
      </c>
      <c r="E696" s="36" t="inlineStr">
        <is>
          <t>Roberta Fernandes</t>
        </is>
      </c>
      <c r="F696" s="37" t="inlineStr">
        <is>
          <t>Saúde Total</t>
        </is>
      </c>
      <c r="G696" s="37" t="inlineStr">
        <is>
          <t>Consulta</t>
        </is>
      </c>
      <c r="H696" s="37" t="inlineStr">
        <is>
          <t>Realizado</t>
        </is>
      </c>
      <c r="I696" s="37" t="inlineStr">
        <is>
          <t>Convênio</t>
        </is>
      </c>
      <c r="J696" s="37" t="n"/>
      <c r="K696" s="36" t="n"/>
      <c r="L696" s="44">
        <f>IF(G696="","",IFERROR(INDEX(Config!$K$5:$K$16,MATCH(G696,Config!$J$5:$J$16,0)),""))</f>
        <v>30</v>
      </c>
      <c r="M696" s="30">
        <f>IF(OR(G696="",F696=""),"",IFERROR(INDEX(Config!$M$5:$R$16,MATCH(G696,Config!$J$5:$J$16,0),MATCH(F696,Config!$H$5:$H$10,0)),""))</f>
        <v>120</v>
      </c>
      <c r="N696" s="29">
        <f>IF(A696="","",MONTH(A696))</f>
        <v>9</v>
      </c>
      <c r="O696" s="29">
        <f>IF(A696="","",YEAR(A696))</f>
        <v>2026</v>
      </c>
      <c r="P696" s="29" t="str">
        <f>IF(A696="","",CHOOSE(WEEKDAY(A696,2),"Segunda","Terça","Quarta","Quinta","Sexta","Sábado","Domingo"))</f>
        <v>Quarta</v>
      </c>
      <c r="Q696" s="29" t="str">
        <f>IF(B696="","",IF(B696&lt;TIME(12,0,0),"Manhã",IF(B696&lt;TIME(18,0,0),"Tarde","Noite")))</f>
        <v>Tarde</v>
      </c>
      <c r="R696" s="45">
        <f>IF(AND(H696="Realizado",L696&lt;&gt;""),L696/60,0)</f>
        <v>0.5</v>
      </c>
    </row>
    <row r="697">
      <c r="A697" s="42" t="n">
        <v>46274</v>
      </c>
      <c r="B697" s="43" t="n">
        <v>0.6944444444444444</v>
      </c>
      <c r="C697" s="37" t="inlineStr">
        <is>
          <t>Dra. Carolina Mendes</t>
        </is>
      </c>
      <c r="D697" s="37" t="inlineStr">
        <is>
          <t>Sala 1</t>
        </is>
      </c>
      <c r="E697" s="36" t="inlineStr">
        <is>
          <t>Gustavo Ferreira</t>
        </is>
      </c>
      <c r="F697" s="37" t="inlineStr">
        <is>
          <t>Particular</t>
        </is>
      </c>
      <c r="G697" s="37" t="inlineStr">
        <is>
          <t>Consulta</t>
        </is>
      </c>
      <c r="H697" s="37" t="inlineStr">
        <is>
          <t>Realizado</t>
        </is>
      </c>
      <c r="I697" s="37" t="inlineStr">
        <is>
          <t>Pix</t>
        </is>
      </c>
      <c r="J697" s="37" t="n"/>
      <c r="K697" s="36" t="n"/>
      <c r="L697" s="44">
        <f>IF(G697="","",IFERROR(INDEX(Config!$K$5:$K$16,MATCH(G697,Config!$J$5:$J$16,0)),""))</f>
        <v>30</v>
      </c>
      <c r="M697" s="30">
        <f>IF(OR(G697="",F697=""),"",IFERROR(INDEX(Config!$M$5:$R$16,MATCH(G697,Config!$J$5:$J$16,0),MATCH(F697,Config!$H$5:$H$10,0)),""))</f>
        <v>380</v>
      </c>
      <c r="N697" s="29">
        <f>IF(A697="","",MONTH(A697))</f>
        <v>9</v>
      </c>
      <c r="O697" s="29">
        <f>IF(A697="","",YEAR(A697))</f>
        <v>2026</v>
      </c>
      <c r="P697" s="29" t="str">
        <f>IF(A697="","",CHOOSE(WEEKDAY(A697,2),"Segunda","Terça","Quarta","Quinta","Sexta","Sábado","Domingo"))</f>
        <v>Quarta</v>
      </c>
      <c r="Q697" s="29" t="str">
        <f>IF(B697="","",IF(B697&lt;TIME(12,0,0),"Manhã",IF(B697&lt;TIME(18,0,0),"Tarde","Noite")))</f>
        <v>Tarde</v>
      </c>
      <c r="R697" s="45">
        <f>IF(AND(H697="Realizado",L697&lt;&gt;""),L697/60,0)</f>
        <v>0.5</v>
      </c>
    </row>
    <row r="698">
      <c r="A698" s="42" t="n">
        <v>46274</v>
      </c>
      <c r="B698" s="43" t="n">
        <v>0.7152777777777778</v>
      </c>
      <c r="C698" s="37" t="inlineStr">
        <is>
          <t>Dra. Carolina Mendes</t>
        </is>
      </c>
      <c r="D698" s="37" t="inlineStr">
        <is>
          <t>Sala 1</t>
        </is>
      </c>
      <c r="E698" s="36" t="inlineStr">
        <is>
          <t>Cláudia Santos</t>
        </is>
      </c>
      <c r="F698" s="37" t="inlineStr">
        <is>
          <t>Particular</t>
        </is>
      </c>
      <c r="G698" s="37" t="inlineStr">
        <is>
          <t>Consulta</t>
        </is>
      </c>
      <c r="H698" s="37" t="inlineStr">
        <is>
          <t>Realizado</t>
        </is>
      </c>
      <c r="I698" s="37" t="inlineStr">
        <is>
          <t>Cartão de débito</t>
        </is>
      </c>
      <c r="J698" s="37" t="n"/>
      <c r="K698" s="36" t="n"/>
      <c r="L698" s="44">
        <f>IF(G698="","",IFERROR(INDEX(Config!$K$5:$K$16,MATCH(G698,Config!$J$5:$J$16,0)),""))</f>
        <v>30</v>
      </c>
      <c r="M698" s="30">
        <f>IF(OR(G698="",F698=""),"",IFERROR(INDEX(Config!$M$5:$R$16,MATCH(G698,Config!$J$5:$J$16,0),MATCH(F698,Config!$H$5:$H$10,0)),""))</f>
        <v>380</v>
      </c>
      <c r="N698" s="29">
        <f>IF(A698="","",MONTH(A698))</f>
        <v>9</v>
      </c>
      <c r="O698" s="29">
        <f>IF(A698="","",YEAR(A698))</f>
        <v>2026</v>
      </c>
      <c r="P698" s="29" t="str">
        <f>IF(A698="","",CHOOSE(WEEKDAY(A698,2),"Segunda","Terça","Quarta","Quinta","Sexta","Sábado","Domingo"))</f>
        <v>Quarta</v>
      </c>
      <c r="Q698" s="29" t="str">
        <f>IF(B698="","",IF(B698&lt;TIME(12,0,0),"Manhã",IF(B698&lt;TIME(18,0,0),"Tarde","Noite")))</f>
        <v>Tarde</v>
      </c>
      <c r="R698" s="45">
        <f>IF(AND(H698="Realizado",L698&lt;&gt;""),L698/60,0)</f>
        <v>0.5</v>
      </c>
    </row>
    <row r="699">
      <c r="A699" s="42" t="n">
        <v>46275</v>
      </c>
      <c r="B699" s="43" t="n">
        <v>0.3333333333333333</v>
      </c>
      <c r="C699" s="37" t="inlineStr">
        <is>
          <t>Dra. Carolina Mendes</t>
        </is>
      </c>
      <c r="D699" s="37" t="inlineStr">
        <is>
          <t>Sala 1</t>
        </is>
      </c>
      <c r="E699" s="36" t="inlineStr">
        <is>
          <t>Helena Moreira</t>
        </is>
      </c>
      <c r="F699" s="37" t="inlineStr">
        <is>
          <t>Particular</t>
        </is>
      </c>
      <c r="G699" s="37" t="inlineStr">
        <is>
          <t>Consulta</t>
        </is>
      </c>
      <c r="H699" s="37" t="inlineStr">
        <is>
          <t>Realizado</t>
        </is>
      </c>
      <c r="I699" s="37" t="inlineStr">
        <is>
          <t>Cartão de crédito</t>
        </is>
      </c>
      <c r="J699" s="37" t="n"/>
      <c r="K699" s="36" t="n"/>
      <c r="L699" s="44">
        <f>IF(G699="","",IFERROR(INDEX(Config!$K$5:$K$16,MATCH(G699,Config!$J$5:$J$16,0)),""))</f>
        <v>30</v>
      </c>
      <c r="M699" s="30">
        <f>IF(OR(G699="",F699=""),"",IFERROR(INDEX(Config!$M$5:$R$16,MATCH(G699,Config!$J$5:$J$16,0),MATCH(F699,Config!$H$5:$H$10,0)),""))</f>
        <v>380</v>
      </c>
      <c r="N699" s="29">
        <f>IF(A699="","",MONTH(A699))</f>
        <v>9</v>
      </c>
      <c r="O699" s="29">
        <f>IF(A699="","",YEAR(A699))</f>
        <v>2026</v>
      </c>
      <c r="P699" s="29" t="str">
        <f>IF(A699="","",CHOOSE(WEEKDAY(A699,2),"Segunda","Terça","Quarta","Quinta","Sexta","Sábado","Domingo"))</f>
        <v>Quinta</v>
      </c>
      <c r="Q699" s="29" t="str">
        <f>IF(B699="","",IF(B699&lt;TIME(12,0,0),"Manhã",IF(B699&lt;TIME(18,0,0),"Tarde","Noite")))</f>
        <v>Manhã</v>
      </c>
      <c r="R699" s="45">
        <f>IF(AND(H699="Realizado",L699&lt;&gt;""),L699/60,0)</f>
        <v>0.5</v>
      </c>
    </row>
    <row r="700">
      <c r="A700" s="42" t="n">
        <v>46275</v>
      </c>
      <c r="B700" s="43" t="n">
        <v>0.3541666666666667</v>
      </c>
      <c r="C700" s="37" t="inlineStr">
        <is>
          <t>Dra. Carolina Mendes</t>
        </is>
      </c>
      <c r="D700" s="37" t="inlineStr">
        <is>
          <t>Sala 1</t>
        </is>
      </c>
      <c r="E700" s="36" t="inlineStr">
        <is>
          <t>Regina Macedo</t>
        </is>
      </c>
      <c r="F700" s="37" t="inlineStr">
        <is>
          <t>Particular</t>
        </is>
      </c>
      <c r="G700" s="37" t="inlineStr">
        <is>
          <t>Consulta</t>
        </is>
      </c>
      <c r="H700" s="37" t="inlineStr">
        <is>
          <t>Realizado</t>
        </is>
      </c>
      <c r="I700" s="37" t="inlineStr">
        <is>
          <t>Pix</t>
        </is>
      </c>
      <c r="J700" s="37" t="n"/>
      <c r="K700" s="36" t="n"/>
      <c r="L700" s="44">
        <f>IF(G700="","",IFERROR(INDEX(Config!$K$5:$K$16,MATCH(G700,Config!$J$5:$J$16,0)),""))</f>
        <v>30</v>
      </c>
      <c r="M700" s="30">
        <f>IF(OR(G700="",F700=""),"",IFERROR(INDEX(Config!$M$5:$R$16,MATCH(G700,Config!$J$5:$J$16,0),MATCH(F700,Config!$H$5:$H$10,0)),""))</f>
        <v>380</v>
      </c>
      <c r="N700" s="29">
        <f>IF(A700="","",MONTH(A700))</f>
        <v>9</v>
      </c>
      <c r="O700" s="29">
        <f>IF(A700="","",YEAR(A700))</f>
        <v>2026</v>
      </c>
      <c r="P700" s="29" t="str">
        <f>IF(A700="","",CHOOSE(WEEKDAY(A700,2),"Segunda","Terça","Quarta","Quinta","Sexta","Sábado","Domingo"))</f>
        <v>Quinta</v>
      </c>
      <c r="Q700" s="29" t="str">
        <f>IF(B700="","",IF(B700&lt;TIME(12,0,0),"Manhã",IF(B700&lt;TIME(18,0,0),"Tarde","Noite")))</f>
        <v>Manhã</v>
      </c>
      <c r="R700" s="45">
        <f>IF(AND(H700="Realizado",L700&lt;&gt;""),L700/60,0)</f>
        <v>0.5</v>
      </c>
    </row>
    <row r="701">
      <c r="A701" s="42" t="n">
        <v>46275</v>
      </c>
      <c r="B701" s="43" t="n">
        <v>0.375</v>
      </c>
      <c r="C701" s="37" t="inlineStr">
        <is>
          <t>Dra. Carolina Mendes</t>
        </is>
      </c>
      <c r="D701" s="37" t="inlineStr">
        <is>
          <t>Sala 1</t>
        </is>
      </c>
      <c r="E701" s="36" t="inlineStr">
        <is>
          <t>Rafael Dias</t>
        </is>
      </c>
      <c r="F701" s="37" t="inlineStr">
        <is>
          <t>Particular</t>
        </is>
      </c>
      <c r="G701" s="37" t="inlineStr">
        <is>
          <t>Consulta</t>
        </is>
      </c>
      <c r="H701" s="37" t="inlineStr">
        <is>
          <t>Realizado</t>
        </is>
      </c>
      <c r="I701" s="37" t="inlineStr">
        <is>
          <t>Cartão de débito</t>
        </is>
      </c>
      <c r="J701" s="37" t="n"/>
      <c r="K701" s="36" t="n"/>
      <c r="L701" s="44">
        <f>IF(G701="","",IFERROR(INDEX(Config!$K$5:$K$16,MATCH(G701,Config!$J$5:$J$16,0)),""))</f>
        <v>30</v>
      </c>
      <c r="M701" s="30">
        <f>IF(OR(G701="",F701=""),"",IFERROR(INDEX(Config!$M$5:$R$16,MATCH(G701,Config!$J$5:$J$16,0),MATCH(F701,Config!$H$5:$H$10,0)),""))</f>
        <v>380</v>
      </c>
      <c r="N701" s="29">
        <f>IF(A701="","",MONTH(A701))</f>
        <v>9</v>
      </c>
      <c r="O701" s="29">
        <f>IF(A701="","",YEAR(A701))</f>
        <v>2026</v>
      </c>
      <c r="P701" s="29" t="str">
        <f>IF(A701="","",CHOOSE(WEEKDAY(A701,2),"Segunda","Terça","Quarta","Quinta","Sexta","Sábado","Domingo"))</f>
        <v>Quinta</v>
      </c>
      <c r="Q701" s="29" t="str">
        <f>IF(B701="","",IF(B701&lt;TIME(12,0,0),"Manhã",IF(B701&lt;TIME(18,0,0),"Tarde","Noite")))</f>
        <v>Manhã</v>
      </c>
      <c r="R701" s="45">
        <f>IF(AND(H701="Realizado",L701&lt;&gt;""),L701/60,0)</f>
        <v>0.5</v>
      </c>
    </row>
    <row r="702">
      <c r="A702" s="42" t="n">
        <v>46275</v>
      </c>
      <c r="B702" s="43" t="n">
        <v>0.3958333333333333</v>
      </c>
      <c r="C702" s="37" t="inlineStr">
        <is>
          <t>Dra. Carolina Mendes</t>
        </is>
      </c>
      <c r="D702" s="37" t="inlineStr">
        <is>
          <t>Sala 1</t>
        </is>
      </c>
      <c r="E702" s="36" t="inlineStr">
        <is>
          <t>Isabela Nascimento</t>
        </is>
      </c>
      <c r="F702" s="37" t="inlineStr">
        <is>
          <t>Vida Care</t>
        </is>
      </c>
      <c r="G702" s="37" t="inlineStr">
        <is>
          <t>Consulta</t>
        </is>
      </c>
      <c r="H702" s="37" t="inlineStr">
        <is>
          <t>Realizado</t>
        </is>
      </c>
      <c r="I702" s="37" t="inlineStr">
        <is>
          <t>Convênio</t>
        </is>
      </c>
      <c r="J702" s="37" t="n"/>
      <c r="K702" s="36" t="n"/>
      <c r="L702" s="44">
        <f>IF(G702="","",IFERROR(INDEX(Config!$K$5:$K$16,MATCH(G702,Config!$J$5:$J$16,0)),""))</f>
        <v>30</v>
      </c>
      <c r="M702" s="30">
        <f>IF(OR(G702="",F702=""),"",IFERROR(INDEX(Config!$M$5:$R$16,MATCH(G702,Config!$J$5:$J$16,0),MATCH(F702,Config!$H$5:$H$10,0)),""))</f>
        <v>90</v>
      </c>
      <c r="N702" s="29">
        <f>IF(A702="","",MONTH(A702))</f>
        <v>9</v>
      </c>
      <c r="O702" s="29">
        <f>IF(A702="","",YEAR(A702))</f>
        <v>2026</v>
      </c>
      <c r="P702" s="29" t="str">
        <f>IF(A702="","",CHOOSE(WEEKDAY(A702,2),"Segunda","Terça","Quarta","Quinta","Sexta","Sábado","Domingo"))</f>
        <v>Quinta</v>
      </c>
      <c r="Q702" s="29" t="str">
        <f>IF(B702="","",IF(B702&lt;TIME(12,0,0),"Manhã",IF(B702&lt;TIME(18,0,0),"Tarde","Noite")))</f>
        <v>Manhã</v>
      </c>
      <c r="R702" s="45">
        <f>IF(AND(H702="Realizado",L702&lt;&gt;""),L702/60,0)</f>
        <v>0.5</v>
      </c>
    </row>
    <row r="703">
      <c r="A703" s="42" t="n">
        <v>46275</v>
      </c>
      <c r="B703" s="43" t="n">
        <v>0.4166666666666667</v>
      </c>
      <c r="C703" s="37" t="inlineStr">
        <is>
          <t>Dra. Carolina Mendes</t>
        </is>
      </c>
      <c r="D703" s="37" t="inlineStr">
        <is>
          <t>Sala 1</t>
        </is>
      </c>
      <c r="E703" s="36" t="inlineStr">
        <is>
          <t>Larissa Costa</t>
        </is>
      </c>
      <c r="F703" s="37" t="inlineStr">
        <is>
          <t>Particular</t>
        </is>
      </c>
      <c r="G703" s="37" t="inlineStr">
        <is>
          <t>Consulta</t>
        </is>
      </c>
      <c r="H703" s="37" t="inlineStr">
        <is>
          <t>Realizado</t>
        </is>
      </c>
      <c r="I703" s="37" t="inlineStr">
        <is>
          <t>A prazo</t>
        </is>
      </c>
      <c r="J703" s="37" t="n"/>
      <c r="K703" s="36" t="n"/>
      <c r="L703" s="44">
        <f>IF(G703="","",IFERROR(INDEX(Config!$K$5:$K$16,MATCH(G703,Config!$J$5:$J$16,0)),""))</f>
        <v>30</v>
      </c>
      <c r="M703" s="30">
        <f>IF(OR(G703="",F703=""),"",IFERROR(INDEX(Config!$M$5:$R$16,MATCH(G703,Config!$J$5:$J$16,0),MATCH(F703,Config!$H$5:$H$10,0)),""))</f>
        <v>380</v>
      </c>
      <c r="N703" s="29">
        <f>IF(A703="","",MONTH(A703))</f>
        <v>9</v>
      </c>
      <c r="O703" s="29">
        <f>IF(A703="","",YEAR(A703))</f>
        <v>2026</v>
      </c>
      <c r="P703" s="29" t="str">
        <f>IF(A703="","",CHOOSE(WEEKDAY(A703,2),"Segunda","Terça","Quarta","Quinta","Sexta","Sábado","Domingo"))</f>
        <v>Quinta</v>
      </c>
      <c r="Q703" s="29" t="str">
        <f>IF(B703="","",IF(B703&lt;TIME(12,0,0),"Manhã",IF(B703&lt;TIME(18,0,0),"Tarde","Noite")))</f>
        <v>Manhã</v>
      </c>
      <c r="R703" s="45">
        <f>IF(AND(H703="Realizado",L703&lt;&gt;""),L703/60,0)</f>
        <v>0.5</v>
      </c>
    </row>
    <row r="704">
      <c r="A704" s="42" t="n">
        <v>46275</v>
      </c>
      <c r="B704" s="43" t="n">
        <v>0.4375</v>
      </c>
      <c r="C704" s="37" t="inlineStr">
        <is>
          <t>Dra. Carolina Mendes</t>
        </is>
      </c>
      <c r="D704" s="37" t="inlineStr">
        <is>
          <t>Sala 1</t>
        </is>
      </c>
      <c r="E704" s="36" t="inlineStr">
        <is>
          <t>Sérgio Batista</t>
        </is>
      </c>
      <c r="F704" s="37" t="inlineStr">
        <is>
          <t>MediPlan</t>
        </is>
      </c>
      <c r="G704" s="37" t="inlineStr">
        <is>
          <t>Consulta</t>
        </is>
      </c>
      <c r="H704" s="37" t="inlineStr">
        <is>
          <t>Realizado</t>
        </is>
      </c>
      <c r="I704" s="37" t="inlineStr">
        <is>
          <t>Convênio</t>
        </is>
      </c>
      <c r="J704" s="37" t="n"/>
      <c r="K704" s="36" t="n"/>
      <c r="L704" s="44">
        <f>IF(G704="","",IFERROR(INDEX(Config!$K$5:$K$16,MATCH(G704,Config!$J$5:$J$16,0)),""))</f>
        <v>30</v>
      </c>
      <c r="M704" s="30">
        <f>IF(OR(G704="",F704=""),"",IFERROR(INDEX(Config!$M$5:$R$16,MATCH(G704,Config!$J$5:$J$16,0),MATCH(F704,Config!$H$5:$H$10,0)),""))</f>
        <v>100</v>
      </c>
      <c r="N704" s="29">
        <f>IF(A704="","",MONTH(A704))</f>
        <v>9</v>
      </c>
      <c r="O704" s="29">
        <f>IF(A704="","",YEAR(A704))</f>
        <v>2026</v>
      </c>
      <c r="P704" s="29" t="str">
        <f>IF(A704="","",CHOOSE(WEEKDAY(A704,2),"Segunda","Terça","Quarta","Quinta","Sexta","Sábado","Domingo"))</f>
        <v>Quinta</v>
      </c>
      <c r="Q704" s="29" t="str">
        <f>IF(B704="","",IF(B704&lt;TIME(12,0,0),"Manhã",IF(B704&lt;TIME(18,0,0),"Tarde","Noite")))</f>
        <v>Manhã</v>
      </c>
      <c r="R704" s="45">
        <f>IF(AND(H704="Realizado",L704&lt;&gt;""),L704/60,0)</f>
        <v>0.5</v>
      </c>
    </row>
    <row r="705">
      <c r="A705" s="42" t="n">
        <v>46275</v>
      </c>
      <c r="B705" s="43" t="n">
        <v>0.4583333333333333</v>
      </c>
      <c r="C705" s="37" t="inlineStr">
        <is>
          <t>Dra. Carolina Mendes</t>
        </is>
      </c>
      <c r="D705" s="37" t="inlineStr">
        <is>
          <t>Sala 1</t>
        </is>
      </c>
      <c r="E705" s="36" t="inlineStr">
        <is>
          <t>Mateus Lima</t>
        </is>
      </c>
      <c r="F705" s="37" t="inlineStr">
        <is>
          <t>MediPlan</t>
        </is>
      </c>
      <c r="G705" s="37" t="inlineStr">
        <is>
          <t>Consulta</t>
        </is>
      </c>
      <c r="H705" s="37" t="inlineStr">
        <is>
          <t>Realizado</t>
        </is>
      </c>
      <c r="I705" s="37" t="inlineStr">
        <is>
          <t>Convênio</t>
        </is>
      </c>
      <c r="J705" s="37" t="n"/>
      <c r="K705" s="36" t="n"/>
      <c r="L705" s="44">
        <f>IF(G705="","",IFERROR(INDEX(Config!$K$5:$K$16,MATCH(G705,Config!$J$5:$J$16,0)),""))</f>
        <v>30</v>
      </c>
      <c r="M705" s="30">
        <f>IF(OR(G705="",F705=""),"",IFERROR(INDEX(Config!$M$5:$R$16,MATCH(G705,Config!$J$5:$J$16,0),MATCH(F705,Config!$H$5:$H$10,0)),""))</f>
        <v>100</v>
      </c>
      <c r="N705" s="29">
        <f>IF(A705="","",MONTH(A705))</f>
        <v>9</v>
      </c>
      <c r="O705" s="29">
        <f>IF(A705="","",YEAR(A705))</f>
        <v>2026</v>
      </c>
      <c r="P705" s="29" t="str">
        <f>IF(A705="","",CHOOSE(WEEKDAY(A705,2),"Segunda","Terça","Quarta","Quinta","Sexta","Sábado","Domingo"))</f>
        <v>Quinta</v>
      </c>
      <c r="Q705" s="29" t="str">
        <f>IF(B705="","",IF(B705&lt;TIME(12,0,0),"Manhã",IF(B705&lt;TIME(18,0,0),"Tarde","Noite")))</f>
        <v>Manhã</v>
      </c>
      <c r="R705" s="45">
        <f>IF(AND(H705="Realizado",L705&lt;&gt;""),L705/60,0)</f>
        <v>0.5</v>
      </c>
    </row>
    <row r="706">
      <c r="A706" s="42" t="n">
        <v>46275</v>
      </c>
      <c r="B706" s="43" t="n">
        <v>0.4791666666666667</v>
      </c>
      <c r="C706" s="37" t="inlineStr">
        <is>
          <t>Dra. Carolina Mendes</t>
        </is>
      </c>
      <c r="D706" s="37" t="inlineStr">
        <is>
          <t>Sala 1</t>
        </is>
      </c>
      <c r="E706" s="36" t="inlineStr">
        <is>
          <t>Mônica Batista</t>
        </is>
      </c>
      <c r="F706" s="37" t="inlineStr">
        <is>
          <t>MediPlan</t>
        </is>
      </c>
      <c r="G706" s="37" t="inlineStr">
        <is>
          <t>Consulta</t>
        </is>
      </c>
      <c r="H706" s="37" t="inlineStr">
        <is>
          <t>Realizado</t>
        </is>
      </c>
      <c r="I706" s="37" t="inlineStr">
        <is>
          <t>Convênio</t>
        </is>
      </c>
      <c r="J706" s="37" t="n"/>
      <c r="K706" s="36" t="n"/>
      <c r="L706" s="44">
        <f>IF(G706="","",IFERROR(INDEX(Config!$K$5:$K$16,MATCH(G706,Config!$J$5:$J$16,0)),""))</f>
        <v>30</v>
      </c>
      <c r="M706" s="30">
        <f>IF(OR(G706="",F706=""),"",IFERROR(INDEX(Config!$M$5:$R$16,MATCH(G706,Config!$J$5:$J$16,0),MATCH(F706,Config!$H$5:$H$10,0)),""))</f>
        <v>100</v>
      </c>
      <c r="N706" s="29">
        <f>IF(A706="","",MONTH(A706))</f>
        <v>9</v>
      </c>
      <c r="O706" s="29">
        <f>IF(A706="","",YEAR(A706))</f>
        <v>2026</v>
      </c>
      <c r="P706" s="29" t="str">
        <f>IF(A706="","",CHOOSE(WEEKDAY(A706,2),"Segunda","Terça","Quarta","Quinta","Sexta","Sábado","Domingo"))</f>
        <v>Quinta</v>
      </c>
      <c r="Q706" s="29" t="str">
        <f>IF(B706="","",IF(B706&lt;TIME(12,0,0),"Manhã",IF(B706&lt;TIME(18,0,0),"Tarde","Noite")))</f>
        <v>Manhã</v>
      </c>
      <c r="R706" s="45">
        <f>IF(AND(H706="Realizado",L706&lt;&gt;""),L706/60,0)</f>
        <v>0.5</v>
      </c>
    </row>
    <row r="707">
      <c r="A707" s="42" t="n">
        <v>46275</v>
      </c>
      <c r="B707" s="43" t="n">
        <v>0.5833333333333334</v>
      </c>
      <c r="C707" s="37" t="inlineStr">
        <is>
          <t>Dra. Renata Sousa</t>
        </is>
      </c>
      <c r="D707" s="37" t="inlineStr">
        <is>
          <t>Sala 1</t>
        </is>
      </c>
      <c r="E707" s="36" t="inlineStr">
        <is>
          <t>Priscila Reis</t>
        </is>
      </c>
      <c r="F707" s="37" t="inlineStr">
        <is>
          <t>Particular</t>
        </is>
      </c>
      <c r="G707" s="37" t="inlineStr">
        <is>
          <t>Retorno</t>
        </is>
      </c>
      <c r="H707" s="37" t="inlineStr">
        <is>
          <t>Realizado</t>
        </is>
      </c>
      <c r="I707" s="37" t="inlineStr">
        <is>
          <t>Sem cobrança</t>
        </is>
      </c>
      <c r="J707" s="37" t="n"/>
      <c r="K707" s="36" t="n"/>
      <c r="L707" s="44">
        <f>IF(G707="","",IFERROR(INDEX(Config!$K$5:$K$16,MATCH(G707,Config!$J$5:$J$16,0)),""))</f>
        <v>20</v>
      </c>
      <c r="M707" s="30">
        <f>IF(OR(G707="",F707=""),"",IFERROR(INDEX(Config!$M$5:$R$16,MATCH(G707,Config!$J$5:$J$16,0),MATCH(F707,Config!$H$5:$H$10,0)),""))</f>
        <v>0</v>
      </c>
      <c r="N707" s="29">
        <f>IF(A707="","",MONTH(A707))</f>
        <v>9</v>
      </c>
      <c r="O707" s="29">
        <f>IF(A707="","",YEAR(A707))</f>
        <v>2026</v>
      </c>
      <c r="P707" s="29" t="str">
        <f>IF(A707="","",CHOOSE(WEEKDAY(A707,2),"Segunda","Terça","Quarta","Quinta","Sexta","Sábado","Domingo"))</f>
        <v>Quinta</v>
      </c>
      <c r="Q707" s="29" t="str">
        <f>IF(B707="","",IF(B707&lt;TIME(12,0,0),"Manhã",IF(B707&lt;TIME(18,0,0),"Tarde","Noite")))</f>
        <v>Tarde</v>
      </c>
      <c r="R707" s="45">
        <f>IF(AND(H707="Realizado",L707&lt;&gt;""),L707/60,0)</f>
        <v>0.333333333333333</v>
      </c>
    </row>
    <row r="708">
      <c r="A708" s="42" t="n">
        <v>46275</v>
      </c>
      <c r="B708" s="43" t="n">
        <v>0.5833333333333334</v>
      </c>
      <c r="C708" s="37" t="inlineStr">
        <is>
          <t>Dr. Paulo Andrade</t>
        </is>
      </c>
      <c r="D708" s="37" t="inlineStr">
        <is>
          <t>Sala 2</t>
        </is>
      </c>
      <c r="E708" s="36" t="inlineStr">
        <is>
          <t>Gabriel Vieira</t>
        </is>
      </c>
      <c r="F708" s="37" t="inlineStr">
        <is>
          <t>Vida Care</t>
        </is>
      </c>
      <c r="G708" s="37" t="inlineStr">
        <is>
          <t>Retorno</t>
        </is>
      </c>
      <c r="H708" s="37" t="inlineStr">
        <is>
          <t>Realizado</t>
        </is>
      </c>
      <c r="I708" s="37" t="inlineStr">
        <is>
          <t>Sem cobrança</t>
        </is>
      </c>
      <c r="J708" s="37" t="n"/>
      <c r="K708" s="36" t="n"/>
      <c r="L708" s="44">
        <f>IF(G708="","",IFERROR(INDEX(Config!$K$5:$K$16,MATCH(G708,Config!$J$5:$J$16,0)),""))</f>
        <v>20</v>
      </c>
      <c r="M708" s="30">
        <f>IF(OR(G708="",F708=""),"",IFERROR(INDEX(Config!$M$5:$R$16,MATCH(G708,Config!$J$5:$J$16,0),MATCH(F708,Config!$H$5:$H$10,0)),""))</f>
        <v>0</v>
      </c>
      <c r="N708" s="29">
        <f>IF(A708="","",MONTH(A708))</f>
        <v>9</v>
      </c>
      <c r="O708" s="29">
        <f>IF(A708="","",YEAR(A708))</f>
        <v>2026</v>
      </c>
      <c r="P708" s="29" t="str">
        <f>IF(A708="","",CHOOSE(WEEKDAY(A708,2),"Segunda","Terça","Quarta","Quinta","Sexta","Sábado","Domingo"))</f>
        <v>Quinta</v>
      </c>
      <c r="Q708" s="29" t="str">
        <f>IF(B708="","",IF(B708&lt;TIME(12,0,0),"Manhã",IF(B708&lt;TIME(18,0,0),"Tarde","Noite")))</f>
        <v>Tarde</v>
      </c>
      <c r="R708" s="45">
        <f>IF(AND(H708="Realizado",L708&lt;&gt;""),L708/60,0)</f>
        <v>0.333333333333333</v>
      </c>
    </row>
    <row r="709">
      <c r="A709" s="42" t="n">
        <v>46275</v>
      </c>
      <c r="B709" s="43" t="n">
        <v>0.5972222222222222</v>
      </c>
      <c r="C709" s="37" t="inlineStr">
        <is>
          <t>Dra. Renata Sousa</t>
        </is>
      </c>
      <c r="D709" s="37" t="inlineStr">
        <is>
          <t>Sala 1</t>
        </is>
      </c>
      <c r="E709" s="36" t="inlineStr">
        <is>
          <t>Rodrigo Cardoso</t>
        </is>
      </c>
      <c r="F709" s="37" t="inlineStr">
        <is>
          <t>Saúde Total</t>
        </is>
      </c>
      <c r="G709" s="37" t="inlineStr">
        <is>
          <t>Avaliação endócrina</t>
        </is>
      </c>
      <c r="H709" s="37" t="inlineStr">
        <is>
          <t>Realizado</t>
        </is>
      </c>
      <c r="I709" s="37" t="inlineStr">
        <is>
          <t>Convênio</t>
        </is>
      </c>
      <c r="J709" s="37" t="n"/>
      <c r="K709" s="36" t="n"/>
      <c r="L709" s="44">
        <f>IF(G709="","",IFERROR(INDEX(Config!$K$5:$K$16,MATCH(G709,Config!$J$5:$J$16,0)),""))</f>
        <v>40</v>
      </c>
      <c r="M709" s="30">
        <f>IF(OR(G709="",F709=""),"",IFERROR(INDEX(Config!$M$5:$R$16,MATCH(G709,Config!$J$5:$J$16,0),MATCH(F709,Config!$H$5:$H$10,0)),""))</f>
        <v>130</v>
      </c>
      <c r="N709" s="29">
        <f>IF(A709="","",MONTH(A709))</f>
        <v>9</v>
      </c>
      <c r="O709" s="29">
        <f>IF(A709="","",YEAR(A709))</f>
        <v>2026</v>
      </c>
      <c r="P709" s="29" t="str">
        <f>IF(A709="","",CHOOSE(WEEKDAY(A709,2),"Segunda","Terça","Quarta","Quinta","Sexta","Sábado","Domingo"))</f>
        <v>Quinta</v>
      </c>
      <c r="Q709" s="29" t="str">
        <f>IF(B709="","",IF(B709&lt;TIME(12,0,0),"Manhã",IF(B709&lt;TIME(18,0,0),"Tarde","Noite")))</f>
        <v>Tarde</v>
      </c>
      <c r="R709" s="45">
        <f>IF(AND(H709="Realizado",L709&lt;&gt;""),L709/60,0)</f>
        <v>0.666666666666667</v>
      </c>
    </row>
    <row r="710">
      <c r="A710" s="42" t="n">
        <v>46275</v>
      </c>
      <c r="B710" s="43" t="n">
        <v>0.625</v>
      </c>
      <c r="C710" s="37" t="inlineStr">
        <is>
          <t>Dra. Renata Sousa</t>
        </is>
      </c>
      <c r="D710" s="37" t="inlineStr">
        <is>
          <t>Sala 1</t>
        </is>
      </c>
      <c r="E710" s="36" t="inlineStr">
        <is>
          <t>Mônica Almeida</t>
        </is>
      </c>
      <c r="F710" s="37" t="inlineStr">
        <is>
          <t>Particular</t>
        </is>
      </c>
      <c r="G710" s="37" t="inlineStr">
        <is>
          <t>Avaliação endócrina</t>
        </is>
      </c>
      <c r="H710" s="37" t="inlineStr">
        <is>
          <t>Realizado</t>
        </is>
      </c>
      <c r="I710" s="37" t="inlineStr">
        <is>
          <t>Pix</t>
        </is>
      </c>
      <c r="J710" s="37" t="n"/>
      <c r="K710" s="36" t="n"/>
      <c r="L710" s="44">
        <f>IF(G710="","",IFERROR(INDEX(Config!$K$5:$K$16,MATCH(G710,Config!$J$5:$J$16,0)),""))</f>
        <v>40</v>
      </c>
      <c r="M710" s="30">
        <f>IF(OR(G710="",F710=""),"",IFERROR(INDEX(Config!$M$5:$R$16,MATCH(G710,Config!$J$5:$J$16,0),MATCH(F710,Config!$H$5:$H$10,0)),""))</f>
        <v>400</v>
      </c>
      <c r="N710" s="29">
        <f>IF(A710="","",MONTH(A710))</f>
        <v>9</v>
      </c>
      <c r="O710" s="29">
        <f>IF(A710="","",YEAR(A710))</f>
        <v>2026</v>
      </c>
      <c r="P710" s="29" t="str">
        <f>IF(A710="","",CHOOSE(WEEKDAY(A710,2),"Segunda","Terça","Quarta","Quinta","Sexta","Sábado","Domingo"))</f>
        <v>Quinta</v>
      </c>
      <c r="Q710" s="29" t="str">
        <f>IF(B710="","",IF(B710&lt;TIME(12,0,0),"Manhã",IF(B710&lt;TIME(18,0,0),"Tarde","Noite")))</f>
        <v>Tarde</v>
      </c>
      <c r="R710" s="45">
        <f>IF(AND(H710="Realizado",L710&lt;&gt;""),L710/60,0)</f>
        <v>0.666666666666667</v>
      </c>
    </row>
    <row r="711">
      <c r="A711" s="42" t="n">
        <v>46275</v>
      </c>
      <c r="B711" s="43" t="n">
        <v>0.6527777777777778</v>
      </c>
      <c r="C711" s="37" t="inlineStr">
        <is>
          <t>Dra. Renata Sousa</t>
        </is>
      </c>
      <c r="D711" s="37" t="inlineStr">
        <is>
          <t>Sala 1</t>
        </is>
      </c>
      <c r="E711" s="36" t="inlineStr">
        <is>
          <t>Tatiana Macedo</t>
        </is>
      </c>
      <c r="F711" s="37" t="inlineStr">
        <is>
          <t>Particular</t>
        </is>
      </c>
      <c r="G711" s="37" t="inlineStr">
        <is>
          <t>Avaliação endócrina</t>
        </is>
      </c>
      <c r="H711" s="37" t="inlineStr">
        <is>
          <t>Realizado</t>
        </is>
      </c>
      <c r="I711" s="37" t="inlineStr">
        <is>
          <t>A prazo</t>
        </is>
      </c>
      <c r="J711" s="37" t="n"/>
      <c r="K711" s="36" t="n"/>
      <c r="L711" s="44">
        <f>IF(G711="","",IFERROR(INDEX(Config!$K$5:$K$16,MATCH(G711,Config!$J$5:$J$16,0)),""))</f>
        <v>40</v>
      </c>
      <c r="M711" s="30">
        <f>IF(OR(G711="",F711=""),"",IFERROR(INDEX(Config!$M$5:$R$16,MATCH(G711,Config!$J$5:$J$16,0),MATCH(F711,Config!$H$5:$H$10,0)),""))</f>
        <v>400</v>
      </c>
      <c r="N711" s="29">
        <f>IF(A711="","",MONTH(A711))</f>
        <v>9</v>
      </c>
      <c r="O711" s="29">
        <f>IF(A711="","",YEAR(A711))</f>
        <v>2026</v>
      </c>
      <c r="P711" s="29" t="str">
        <f>IF(A711="","",CHOOSE(WEEKDAY(A711,2),"Segunda","Terça","Quarta","Quinta","Sexta","Sábado","Domingo"))</f>
        <v>Quinta</v>
      </c>
      <c r="Q711" s="29" t="str">
        <f>IF(B711="","",IF(B711&lt;TIME(12,0,0),"Manhã",IF(B711&lt;TIME(18,0,0),"Tarde","Noite")))</f>
        <v>Tarde</v>
      </c>
      <c r="R711" s="45">
        <f>IF(AND(H711="Realizado",L711&lt;&gt;""),L711/60,0)</f>
        <v>0.666666666666667</v>
      </c>
    </row>
    <row r="712">
      <c r="A712" s="42" t="n">
        <v>46275</v>
      </c>
      <c r="B712" s="43" t="n">
        <v>0.6805555555555556</v>
      </c>
      <c r="C712" s="37" t="inlineStr">
        <is>
          <t>Dra. Renata Sousa</t>
        </is>
      </c>
      <c r="D712" s="37" t="inlineStr">
        <is>
          <t>Sala 1</t>
        </is>
      </c>
      <c r="E712" s="36" t="inlineStr">
        <is>
          <t>Cláudia Melo</t>
        </is>
      </c>
      <c r="F712" s="37" t="inlineStr">
        <is>
          <t>Particular</t>
        </is>
      </c>
      <c r="G712" s="37" t="inlineStr">
        <is>
          <t>Avaliação endócrina</t>
        </is>
      </c>
      <c r="H712" s="37" t="inlineStr">
        <is>
          <t>Realizado</t>
        </is>
      </c>
      <c r="I712" s="37" t="inlineStr">
        <is>
          <t>Cartão de crédito</t>
        </is>
      </c>
      <c r="J712" s="37" t="n"/>
      <c r="K712" s="36" t="n"/>
      <c r="L712" s="44">
        <f>IF(G712="","",IFERROR(INDEX(Config!$K$5:$K$16,MATCH(G712,Config!$J$5:$J$16,0)),""))</f>
        <v>40</v>
      </c>
      <c r="M712" s="30">
        <f>IF(OR(G712="",F712=""),"",IFERROR(INDEX(Config!$M$5:$R$16,MATCH(G712,Config!$J$5:$J$16,0),MATCH(F712,Config!$H$5:$H$10,0)),""))</f>
        <v>400</v>
      </c>
      <c r="N712" s="29">
        <f>IF(A712="","",MONTH(A712))</f>
        <v>9</v>
      </c>
      <c r="O712" s="29">
        <f>IF(A712="","",YEAR(A712))</f>
        <v>2026</v>
      </c>
      <c r="P712" s="29" t="str">
        <f>IF(A712="","",CHOOSE(WEEKDAY(A712,2),"Segunda","Terça","Quarta","Quinta","Sexta","Sábado","Domingo"))</f>
        <v>Quinta</v>
      </c>
      <c r="Q712" s="29" t="str">
        <f>IF(B712="","",IF(B712&lt;TIME(12,0,0),"Manhã",IF(B712&lt;TIME(18,0,0),"Tarde","Noite")))</f>
        <v>Tarde</v>
      </c>
      <c r="R712" s="45">
        <f>IF(AND(H712="Realizado",L712&lt;&gt;""),L712/60,0)</f>
        <v>0.666666666666667</v>
      </c>
    </row>
    <row r="713">
      <c r="A713" s="42" t="n">
        <v>46275</v>
      </c>
      <c r="B713" s="43" t="n">
        <v>0.7013888888888888</v>
      </c>
      <c r="C713" s="37" t="inlineStr">
        <is>
          <t>Dr. Paulo Andrade</t>
        </is>
      </c>
      <c r="D713" s="37" t="inlineStr">
        <is>
          <t>Sala 2</t>
        </is>
      </c>
      <c r="E713" s="36" t="inlineStr">
        <is>
          <t>Wagner Carvalho</t>
        </is>
      </c>
      <c r="F713" s="37" t="inlineStr">
        <is>
          <t>Vida Care</t>
        </is>
      </c>
      <c r="G713" s="37" t="inlineStr">
        <is>
          <t>Consulta</t>
        </is>
      </c>
      <c r="H713" s="37" t="inlineStr">
        <is>
          <t>Falta</t>
        </is>
      </c>
      <c r="I713" s="37" t="n"/>
      <c r="J713" s="37" t="n"/>
      <c r="K713" s="36" t="n"/>
      <c r="L713" s="44">
        <f>IF(G713="","",IFERROR(INDEX(Config!$K$5:$K$16,MATCH(G713,Config!$J$5:$J$16,0)),""))</f>
        <v>30</v>
      </c>
      <c r="M713" s="30">
        <f>IF(OR(G713="",F713=""),"",IFERROR(INDEX(Config!$M$5:$R$16,MATCH(G713,Config!$J$5:$J$16,0),MATCH(F713,Config!$H$5:$H$10,0)),""))</f>
        <v>90</v>
      </c>
      <c r="N713" s="29">
        <f>IF(A713="","",MONTH(A713))</f>
        <v>9</v>
      </c>
      <c r="O713" s="29">
        <f>IF(A713="","",YEAR(A713))</f>
        <v>2026</v>
      </c>
      <c r="P713" s="29" t="str">
        <f>IF(A713="","",CHOOSE(WEEKDAY(A713,2),"Segunda","Terça","Quarta","Quinta","Sexta","Sábado","Domingo"))</f>
        <v>Quinta</v>
      </c>
      <c r="Q713" s="29" t="str">
        <f>IF(B713="","",IF(B713&lt;TIME(12,0,0),"Manhã",IF(B713&lt;TIME(18,0,0),"Tarde","Noite")))</f>
        <v>Tarde</v>
      </c>
      <c r="R713" s="45">
        <f>IF(AND(H713="Realizado",L713&lt;&gt;""),L713/60,0)</f>
        <v>0</v>
      </c>
    </row>
    <row r="714">
      <c r="A714" s="42" t="n">
        <v>46275</v>
      </c>
      <c r="B714" s="43" t="n">
        <v>0.7222222222222222</v>
      </c>
      <c r="C714" s="37" t="inlineStr">
        <is>
          <t>Dr. Paulo Andrade</t>
        </is>
      </c>
      <c r="D714" s="37" t="inlineStr">
        <is>
          <t>Sala 2</t>
        </is>
      </c>
      <c r="E714" s="36" t="inlineStr">
        <is>
          <t>Eduardo Lima</t>
        </is>
      </c>
      <c r="F714" s="37" t="inlineStr">
        <is>
          <t>Particular</t>
        </is>
      </c>
      <c r="G714" s="37" t="inlineStr">
        <is>
          <t>MAPA</t>
        </is>
      </c>
      <c r="H714" s="37" t="inlineStr">
        <is>
          <t>Realizado</t>
        </is>
      </c>
      <c r="I714" s="37" t="inlineStr">
        <is>
          <t>Cartão de débito</t>
        </is>
      </c>
      <c r="J714" s="37" t="n"/>
      <c r="K714" s="36" t="n"/>
      <c r="L714" s="44">
        <f>IF(G714="","",IFERROR(INDEX(Config!$K$5:$K$16,MATCH(G714,Config!$J$5:$J$16,0)),""))</f>
        <v>20</v>
      </c>
      <c r="M714" s="30">
        <f>IF(OR(G714="",F714=""),"",IFERROR(INDEX(Config!$M$5:$R$16,MATCH(G714,Config!$J$5:$J$16,0),MATCH(F714,Config!$H$5:$H$10,0)),""))</f>
        <v>300</v>
      </c>
      <c r="N714" s="29">
        <f>IF(A714="","",MONTH(A714))</f>
        <v>9</v>
      </c>
      <c r="O714" s="29">
        <f>IF(A714="","",YEAR(A714))</f>
        <v>2026</v>
      </c>
      <c r="P714" s="29" t="str">
        <f>IF(A714="","",CHOOSE(WEEKDAY(A714,2),"Segunda","Terça","Quarta","Quinta","Sexta","Sábado","Domingo"))</f>
        <v>Quinta</v>
      </c>
      <c r="Q714" s="29" t="str">
        <f>IF(B714="","",IF(B714&lt;TIME(12,0,0),"Manhã",IF(B714&lt;TIME(18,0,0),"Tarde","Noite")))</f>
        <v>Tarde</v>
      </c>
      <c r="R714" s="45">
        <f>IF(AND(H714="Realizado",L714&lt;&gt;""),L714/60,0)</f>
        <v>0.333333333333333</v>
      </c>
    </row>
    <row r="715">
      <c r="A715" s="42" t="n">
        <v>46275</v>
      </c>
      <c r="B715" s="43" t="n">
        <v>0.7291666666666666</v>
      </c>
      <c r="C715" s="37" t="inlineStr">
        <is>
          <t>Dra. Renata Sousa</t>
        </is>
      </c>
      <c r="D715" s="37" t="inlineStr">
        <is>
          <t>Sala 1</t>
        </is>
      </c>
      <c r="E715" s="36" t="inlineStr">
        <is>
          <t>Carlos Gonçalves</t>
        </is>
      </c>
      <c r="F715" s="37" t="inlineStr">
        <is>
          <t>Saúde Total</t>
        </is>
      </c>
      <c r="G715" s="37" t="inlineStr">
        <is>
          <t>Avaliação endócrina</t>
        </is>
      </c>
      <c r="H715" s="37" t="inlineStr">
        <is>
          <t>Realizado</t>
        </is>
      </c>
      <c r="I715" s="37" t="inlineStr">
        <is>
          <t>Convênio</t>
        </is>
      </c>
      <c r="J715" s="37" t="n"/>
      <c r="K715" s="36" t="n"/>
      <c r="L715" s="44">
        <f>IF(G715="","",IFERROR(INDEX(Config!$K$5:$K$16,MATCH(G715,Config!$J$5:$J$16,0)),""))</f>
        <v>40</v>
      </c>
      <c r="M715" s="30">
        <f>IF(OR(G715="",F715=""),"",IFERROR(INDEX(Config!$M$5:$R$16,MATCH(G715,Config!$J$5:$J$16,0),MATCH(F715,Config!$H$5:$H$10,0)),""))</f>
        <v>130</v>
      </c>
      <c r="N715" s="29">
        <f>IF(A715="","",MONTH(A715))</f>
        <v>9</v>
      </c>
      <c r="O715" s="29">
        <f>IF(A715="","",YEAR(A715))</f>
        <v>2026</v>
      </c>
      <c r="P715" s="29" t="str">
        <f>IF(A715="","",CHOOSE(WEEKDAY(A715,2),"Segunda","Terça","Quarta","Quinta","Sexta","Sábado","Domingo"))</f>
        <v>Quinta</v>
      </c>
      <c r="Q715" s="29" t="str">
        <f>IF(B715="","",IF(B715&lt;TIME(12,0,0),"Manhã",IF(B715&lt;TIME(18,0,0),"Tarde","Noite")))</f>
        <v>Tarde</v>
      </c>
      <c r="R715" s="45">
        <f>IF(AND(H715="Realizado",L715&lt;&gt;""),L715/60,0)</f>
        <v>0.666666666666667</v>
      </c>
    </row>
    <row r="716">
      <c r="A716" s="42" t="n">
        <v>46275</v>
      </c>
      <c r="B716" s="43" t="n">
        <v>0.7361111111111112</v>
      </c>
      <c r="C716" s="37" t="inlineStr">
        <is>
          <t>Dr. Paulo Andrade</t>
        </is>
      </c>
      <c r="D716" s="37" t="inlineStr">
        <is>
          <t>Sala 2</t>
        </is>
      </c>
      <c r="E716" s="36" t="inlineStr">
        <is>
          <t>Juliana Silva</t>
        </is>
      </c>
      <c r="F716" s="37" t="inlineStr">
        <is>
          <t>Vida Care</t>
        </is>
      </c>
      <c r="G716" s="37" t="inlineStr">
        <is>
          <t>MAPA</t>
        </is>
      </c>
      <c r="H716" s="37" t="inlineStr">
        <is>
          <t>Realizado</t>
        </is>
      </c>
      <c r="I716" s="37" t="inlineStr">
        <is>
          <t>Convênio</t>
        </is>
      </c>
      <c r="J716" s="37" t="n"/>
      <c r="K716" s="36" t="n"/>
      <c r="L716" s="44">
        <f>IF(G716="","",IFERROR(INDEX(Config!$K$5:$K$16,MATCH(G716,Config!$J$5:$J$16,0)),""))</f>
        <v>20</v>
      </c>
      <c r="M716" s="30">
        <f>IF(OR(G716="",F716=""),"",IFERROR(INDEX(Config!$M$5:$R$16,MATCH(G716,Config!$J$5:$J$16,0),MATCH(F716,Config!$H$5:$H$10,0)),""))</f>
        <v>75</v>
      </c>
      <c r="N716" s="29">
        <f>IF(A716="","",MONTH(A716))</f>
        <v>9</v>
      </c>
      <c r="O716" s="29">
        <f>IF(A716="","",YEAR(A716))</f>
        <v>2026</v>
      </c>
      <c r="P716" s="29" t="str">
        <f>IF(A716="","",CHOOSE(WEEKDAY(A716,2),"Segunda","Terça","Quarta","Quinta","Sexta","Sábado","Domingo"))</f>
        <v>Quinta</v>
      </c>
      <c r="Q716" s="29" t="str">
        <f>IF(B716="","",IF(B716&lt;TIME(12,0,0),"Manhã",IF(B716&lt;TIME(18,0,0),"Tarde","Noite")))</f>
        <v>Tarde</v>
      </c>
      <c r="R716" s="45">
        <f>IF(AND(H716="Realizado",L716&lt;&gt;""),L716/60,0)</f>
        <v>0.333333333333333</v>
      </c>
    </row>
    <row r="717">
      <c r="A717" s="42" t="n">
        <v>46276</v>
      </c>
      <c r="B717" s="43" t="n">
        <v>0.3333333333333333</v>
      </c>
      <c r="C717" s="37" t="inlineStr">
        <is>
          <t>Dr. Paulo Andrade</t>
        </is>
      </c>
      <c r="D717" s="37" t="inlineStr">
        <is>
          <t>Sala 2</t>
        </is>
      </c>
      <c r="E717" s="36" t="inlineStr">
        <is>
          <t>Fernanda Nunes</t>
        </is>
      </c>
      <c r="F717" s="37" t="inlineStr">
        <is>
          <t>MediPlan</t>
        </is>
      </c>
      <c r="G717" s="37" t="inlineStr">
        <is>
          <t>Consulta</t>
        </is>
      </c>
      <c r="H717" s="37" t="inlineStr">
        <is>
          <t>Realizado</t>
        </is>
      </c>
      <c r="I717" s="37" t="inlineStr">
        <is>
          <t>Convênio</t>
        </is>
      </c>
      <c r="J717" s="37" t="n"/>
      <c r="K717" s="36" t="n"/>
      <c r="L717" s="44">
        <f>IF(G717="","",IFERROR(INDEX(Config!$K$5:$K$16,MATCH(G717,Config!$J$5:$J$16,0)),""))</f>
        <v>30</v>
      </c>
      <c r="M717" s="30">
        <f>IF(OR(G717="",F717=""),"",IFERROR(INDEX(Config!$M$5:$R$16,MATCH(G717,Config!$J$5:$J$16,0),MATCH(F717,Config!$H$5:$H$10,0)),""))</f>
        <v>100</v>
      </c>
      <c r="N717" s="29">
        <f>IF(A717="","",MONTH(A717))</f>
        <v>9</v>
      </c>
      <c r="O717" s="29">
        <f>IF(A717="","",YEAR(A717))</f>
        <v>2026</v>
      </c>
      <c r="P717" s="29" t="str">
        <f>IF(A717="","",CHOOSE(WEEKDAY(A717,2),"Segunda","Terça","Quarta","Quinta","Sexta","Sábado","Domingo"))</f>
        <v>Sexta</v>
      </c>
      <c r="Q717" s="29" t="str">
        <f>IF(B717="","",IF(B717&lt;TIME(12,0,0),"Manhã",IF(B717&lt;TIME(18,0,0),"Tarde","Noite")))</f>
        <v>Manhã</v>
      </c>
      <c r="R717" s="45">
        <f>IF(AND(H717="Realizado",L717&lt;&gt;""),L717/60,0)</f>
        <v>0.5</v>
      </c>
    </row>
    <row r="718">
      <c r="A718" s="42" t="n">
        <v>46276</v>
      </c>
      <c r="B718" s="43" t="n">
        <v>0.375</v>
      </c>
      <c r="C718" s="37" t="inlineStr">
        <is>
          <t>Dr. Paulo Andrade</t>
        </is>
      </c>
      <c r="D718" s="37" t="inlineStr">
        <is>
          <t>Sala 2</t>
        </is>
      </c>
      <c r="E718" s="36" t="inlineStr">
        <is>
          <t>Mônica Pinto</t>
        </is>
      </c>
      <c r="F718" s="37" t="inlineStr">
        <is>
          <t>Saúde Total</t>
        </is>
      </c>
      <c r="G718" s="37" t="inlineStr">
        <is>
          <t>Holter</t>
        </is>
      </c>
      <c r="H718" s="37" t="inlineStr">
        <is>
          <t>Realizado</t>
        </is>
      </c>
      <c r="I718" s="37" t="inlineStr">
        <is>
          <t>Convênio</t>
        </is>
      </c>
      <c r="J718" s="37" t="n"/>
      <c r="K718" s="36" t="n"/>
      <c r="L718" s="44">
        <f>IF(G718="","",IFERROR(INDEX(Config!$K$5:$K$16,MATCH(G718,Config!$J$5:$J$16,0)),""))</f>
        <v>20</v>
      </c>
      <c r="M718" s="30">
        <f>IF(OR(G718="",F718=""),"",IFERROR(INDEX(Config!$M$5:$R$16,MATCH(G718,Config!$J$5:$J$16,0),MATCH(F718,Config!$H$5:$H$10,0)),""))</f>
        <v>105</v>
      </c>
      <c r="N718" s="29">
        <f>IF(A718="","",MONTH(A718))</f>
        <v>9</v>
      </c>
      <c r="O718" s="29">
        <f>IF(A718="","",YEAR(A718))</f>
        <v>2026</v>
      </c>
      <c r="P718" s="29" t="str">
        <f>IF(A718="","",CHOOSE(WEEKDAY(A718,2),"Segunda","Terça","Quarta","Quinta","Sexta","Sábado","Domingo"))</f>
        <v>Sexta</v>
      </c>
      <c r="Q718" s="29" t="str">
        <f>IF(B718="","",IF(B718&lt;TIME(12,0,0),"Manhã",IF(B718&lt;TIME(18,0,0),"Tarde","Noite")))</f>
        <v>Manhã</v>
      </c>
      <c r="R718" s="45">
        <f>IF(AND(H718="Realizado",L718&lt;&gt;""),L718/60,0)</f>
        <v>0.333333333333333</v>
      </c>
    </row>
    <row r="719">
      <c r="A719" s="42" t="n">
        <v>46276</v>
      </c>
      <c r="B719" s="43" t="n">
        <v>0.3888888888888889</v>
      </c>
      <c r="C719" s="37" t="inlineStr">
        <is>
          <t>Dr. Paulo Andrade</t>
        </is>
      </c>
      <c r="D719" s="37" t="inlineStr">
        <is>
          <t>Sala 2</t>
        </is>
      </c>
      <c r="E719" s="36" t="inlineStr">
        <is>
          <t>Regina Duarte</t>
        </is>
      </c>
      <c r="F719" s="37" t="inlineStr">
        <is>
          <t>Particular</t>
        </is>
      </c>
      <c r="G719" s="37" t="inlineStr">
        <is>
          <t>ECG</t>
        </is>
      </c>
      <c r="H719" s="37" t="inlineStr">
        <is>
          <t>Realizado</t>
        </is>
      </c>
      <c r="I719" s="37" t="inlineStr">
        <is>
          <t>Cartão de crédito</t>
        </is>
      </c>
      <c r="J719" s="37" t="n"/>
      <c r="K719" s="36" t="n"/>
      <c r="L719" s="44">
        <f>IF(G719="","",IFERROR(INDEX(Config!$K$5:$K$16,MATCH(G719,Config!$J$5:$J$16,0)),""))</f>
        <v>20</v>
      </c>
      <c r="M719" s="30">
        <f>IF(OR(G719="",F719=""),"",IFERROR(INDEX(Config!$M$5:$R$16,MATCH(G719,Config!$J$5:$J$16,0),MATCH(F719,Config!$H$5:$H$10,0)),""))</f>
        <v>130</v>
      </c>
      <c r="N719" s="29">
        <f>IF(A719="","",MONTH(A719))</f>
        <v>9</v>
      </c>
      <c r="O719" s="29">
        <f>IF(A719="","",YEAR(A719))</f>
        <v>2026</v>
      </c>
      <c r="P719" s="29" t="str">
        <f>IF(A719="","",CHOOSE(WEEKDAY(A719,2),"Segunda","Terça","Quarta","Quinta","Sexta","Sábado","Domingo"))</f>
        <v>Sexta</v>
      </c>
      <c r="Q719" s="29" t="str">
        <f>IF(B719="","",IF(B719&lt;TIME(12,0,0),"Manhã",IF(B719&lt;TIME(18,0,0),"Tarde","Noite")))</f>
        <v>Manhã</v>
      </c>
      <c r="R719" s="45">
        <f>IF(AND(H719="Realizado",L719&lt;&gt;""),L719/60,0)</f>
        <v>0.333333333333333</v>
      </c>
    </row>
    <row r="720">
      <c r="A720" s="42" t="n">
        <v>46276</v>
      </c>
      <c r="B720" s="43" t="n">
        <v>0.4027777777777778</v>
      </c>
      <c r="C720" s="37" t="inlineStr">
        <is>
          <t>Dr. Paulo Andrade</t>
        </is>
      </c>
      <c r="D720" s="37" t="inlineStr">
        <is>
          <t>Sala 2</t>
        </is>
      </c>
      <c r="E720" s="36" t="inlineStr">
        <is>
          <t>Mônica Teixeira</t>
        </is>
      </c>
      <c r="F720" s="37" t="inlineStr">
        <is>
          <t>Vida Care</t>
        </is>
      </c>
      <c r="G720" s="37" t="inlineStr">
        <is>
          <t>Teste ergométrico</t>
        </is>
      </c>
      <c r="H720" s="37" t="inlineStr">
        <is>
          <t>Realizado</t>
        </is>
      </c>
      <c r="I720" s="37" t="inlineStr">
        <is>
          <t>Convênio</t>
        </is>
      </c>
      <c r="J720" s="37" t="n"/>
      <c r="K720" s="36" t="n"/>
      <c r="L720" s="44">
        <f>IF(G720="","",IFERROR(INDEX(Config!$K$5:$K$16,MATCH(G720,Config!$J$5:$J$16,0)),""))</f>
        <v>40</v>
      </c>
      <c r="M720" s="30">
        <f>IF(OR(G720="",F720=""),"",IFERROR(INDEX(Config!$M$5:$R$16,MATCH(G720,Config!$J$5:$J$16,0),MATCH(F720,Config!$H$5:$H$10,0)),""))</f>
        <v>110</v>
      </c>
      <c r="N720" s="29">
        <f>IF(A720="","",MONTH(A720))</f>
        <v>9</v>
      </c>
      <c r="O720" s="29">
        <f>IF(A720="","",YEAR(A720))</f>
        <v>2026</v>
      </c>
      <c r="P720" s="29" t="str">
        <f>IF(A720="","",CHOOSE(WEEKDAY(A720,2),"Segunda","Terça","Quarta","Quinta","Sexta","Sábado","Domingo"))</f>
        <v>Sexta</v>
      </c>
      <c r="Q720" s="29" t="str">
        <f>IF(B720="","",IF(B720&lt;TIME(12,0,0),"Manhã",IF(B720&lt;TIME(18,0,0),"Tarde","Noite")))</f>
        <v>Manhã</v>
      </c>
      <c r="R720" s="45">
        <f>IF(AND(H720="Realizado",L720&lt;&gt;""),L720/60,0)</f>
        <v>0.666666666666667</v>
      </c>
    </row>
    <row r="721">
      <c r="A721" s="42" t="n">
        <v>46276</v>
      </c>
      <c r="B721" s="43" t="n">
        <v>0.4513888888888889</v>
      </c>
      <c r="C721" s="37" t="inlineStr">
        <is>
          <t>Dr. Paulo Andrade</t>
        </is>
      </c>
      <c r="D721" s="37" t="inlineStr">
        <is>
          <t>Sala 2</t>
        </is>
      </c>
      <c r="E721" s="36" t="inlineStr">
        <is>
          <t>Leandro Cardoso</t>
        </is>
      </c>
      <c r="F721" s="37" t="inlineStr">
        <is>
          <t>MediPlan</t>
        </is>
      </c>
      <c r="G721" s="37" t="inlineStr">
        <is>
          <t>Consulta</t>
        </is>
      </c>
      <c r="H721" s="37" t="inlineStr">
        <is>
          <t>Cancelado</t>
        </is>
      </c>
      <c r="I721" s="37" t="n"/>
      <c r="J721" s="37" t="n"/>
      <c r="K721" s="36" t="n"/>
      <c r="L721" s="44">
        <f>IF(G721="","",IFERROR(INDEX(Config!$K$5:$K$16,MATCH(G721,Config!$J$5:$J$16,0)),""))</f>
        <v>30</v>
      </c>
      <c r="M721" s="30">
        <f>IF(OR(G721="",F721=""),"",IFERROR(INDEX(Config!$M$5:$R$16,MATCH(G721,Config!$J$5:$J$16,0),MATCH(F721,Config!$H$5:$H$10,0)),""))</f>
        <v>100</v>
      </c>
      <c r="N721" s="29">
        <f>IF(A721="","",MONTH(A721))</f>
        <v>9</v>
      </c>
      <c r="O721" s="29">
        <f>IF(A721="","",YEAR(A721))</f>
        <v>2026</v>
      </c>
      <c r="P721" s="29" t="str">
        <f>IF(A721="","",CHOOSE(WEEKDAY(A721,2),"Segunda","Terça","Quarta","Quinta","Sexta","Sábado","Domingo"))</f>
        <v>Sexta</v>
      </c>
      <c r="Q721" s="29" t="str">
        <f>IF(B721="","",IF(B721&lt;TIME(12,0,0),"Manhã",IF(B721&lt;TIME(18,0,0),"Tarde","Noite")))</f>
        <v>Manhã</v>
      </c>
      <c r="R721" s="45">
        <f>IF(AND(H721="Realizado",L721&lt;&gt;""),L721/60,0)</f>
        <v>0</v>
      </c>
    </row>
    <row r="722">
      <c r="A722" s="42">
        <f>TODAY()</f>
        <v>46279.0</v>
      </c>
      <c r="B722" s="43" t="n">
        <v>0.3333333333333333</v>
      </c>
      <c r="C722" s="37" t="inlineStr">
        <is>
          <t>Dra. Carolina Mendes</t>
        </is>
      </c>
      <c r="D722" s="37" t="inlineStr">
        <is>
          <t>Sala 1</t>
        </is>
      </c>
      <c r="E722" s="36" t="inlineStr">
        <is>
          <t>Juliana Silva</t>
        </is>
      </c>
      <c r="F722" s="37" t="inlineStr">
        <is>
          <t>Vida Care</t>
        </is>
      </c>
      <c r="G722" s="37" t="inlineStr">
        <is>
          <t>Consulta</t>
        </is>
      </c>
      <c r="H722" s="37" t="inlineStr">
        <is>
          <t>Agendado</t>
        </is>
      </c>
      <c r="I722" s="37" t="n"/>
      <c r="J722" s="37" t="n"/>
      <c r="K722" s="36" t="n"/>
      <c r="L722" s="44">
        <f>IF(G722="","",IFERROR(INDEX(Config!$K$5:$K$16,MATCH(G722,Config!$J$5:$J$16,0)),""))</f>
        <v>30</v>
      </c>
      <c r="M722" s="30">
        <f>IF(OR(G722="",F722=""),"",IFERROR(INDEX(Config!$M$5:$R$16,MATCH(G722,Config!$J$5:$J$16,0),MATCH(F722,Config!$H$5:$H$10,0)),""))</f>
        <v>90</v>
      </c>
      <c r="N722" s="29">
        <f>IF(A722="","",MONTH(A722))</f>
        <v>9</v>
      </c>
      <c r="O722" s="29">
        <f>IF(A722="","",YEAR(A722))</f>
        <v>2026</v>
      </c>
      <c r="P722" s="29" t="str">
        <f>IF(A722="","",CHOOSE(WEEKDAY(A722,2),"Segunda","Terça","Quarta","Quinta","Sexta","Sábado","Domingo"))</f>
        <v>Segunda</v>
      </c>
      <c r="Q722" s="29" t="str">
        <f>IF(B722="","",IF(B722&lt;TIME(12,0,0),"Manhã",IF(B722&lt;TIME(18,0,0),"Tarde","Noite")))</f>
        <v>Manhã</v>
      </c>
      <c r="R722" s="45">
        <f>IF(AND(H722="Realizado",L722&lt;&gt;""),L722/60,0)</f>
        <v>0</v>
      </c>
    </row>
    <row r="723">
      <c r="A723" s="42">
        <f>TODAY()</f>
        <v>46279.0</v>
      </c>
      <c r="B723" s="43" t="n">
        <v>0.3541666666666667</v>
      </c>
      <c r="C723" s="37" t="inlineStr">
        <is>
          <t>Dra. Carolina Mendes</t>
        </is>
      </c>
      <c r="D723" s="37" t="inlineStr">
        <is>
          <t>Sala 1</t>
        </is>
      </c>
      <c r="E723" s="36" t="inlineStr">
        <is>
          <t>Rodrigo Gomes</t>
        </is>
      </c>
      <c r="F723" s="37" t="inlineStr">
        <is>
          <t>Vida Care</t>
        </is>
      </c>
      <c r="G723" s="37" t="inlineStr">
        <is>
          <t>Consulta</t>
        </is>
      </c>
      <c r="H723" s="37" t="inlineStr">
        <is>
          <t>Confirmado</t>
        </is>
      </c>
      <c r="I723" s="37" t="n"/>
      <c r="J723" s="37" t="n"/>
      <c r="K723" s="36" t="n"/>
      <c r="L723" s="44">
        <f>IF(G723="","",IFERROR(INDEX(Config!$K$5:$K$16,MATCH(G723,Config!$J$5:$J$16,0)),""))</f>
        <v>30</v>
      </c>
      <c r="M723" s="30">
        <f>IF(OR(G723="",F723=""),"",IFERROR(INDEX(Config!$M$5:$R$16,MATCH(G723,Config!$J$5:$J$16,0),MATCH(F723,Config!$H$5:$H$10,0)),""))</f>
        <v>90</v>
      </c>
      <c r="N723" s="29">
        <f>IF(A723="","",MONTH(A723))</f>
        <v>9</v>
      </c>
      <c r="O723" s="29">
        <f>IF(A723="","",YEAR(A723))</f>
        <v>2026</v>
      </c>
      <c r="P723" s="29" t="str">
        <f>IF(A723="","",CHOOSE(WEEKDAY(A723,2),"Segunda","Terça","Quarta","Quinta","Sexta","Sábado","Domingo"))</f>
        <v>Segunda</v>
      </c>
      <c r="Q723" s="29" t="str">
        <f>IF(B723="","",IF(B723&lt;TIME(12,0,0),"Manhã",IF(B723&lt;TIME(18,0,0),"Tarde","Noite")))</f>
        <v>Manhã</v>
      </c>
      <c r="R723" s="45">
        <f>IF(AND(H723="Realizado",L723&lt;&gt;""),L723/60,0)</f>
        <v>0</v>
      </c>
    </row>
    <row r="724">
      <c r="A724" s="42">
        <f>TODAY()</f>
        <v>46279.0</v>
      </c>
      <c r="B724" s="43" t="n">
        <v>0.375</v>
      </c>
      <c r="C724" s="37" t="inlineStr">
        <is>
          <t>Dra. Carolina Mendes</t>
        </is>
      </c>
      <c r="D724" s="37" t="inlineStr">
        <is>
          <t>Sala 1</t>
        </is>
      </c>
      <c r="E724" s="36" t="inlineStr">
        <is>
          <t>Camila Batista</t>
        </is>
      </c>
      <c r="F724" s="37" t="inlineStr">
        <is>
          <t>MediPlan</t>
        </is>
      </c>
      <c r="G724" s="37" t="inlineStr">
        <is>
          <t>Consulta</t>
        </is>
      </c>
      <c r="H724" s="37" t="inlineStr">
        <is>
          <t>Confirmado</t>
        </is>
      </c>
      <c r="I724" s="37" t="n"/>
      <c r="J724" s="37" t="n"/>
      <c r="K724" s="36" t="n"/>
      <c r="L724" s="44">
        <f>IF(G724="","",IFERROR(INDEX(Config!$K$5:$K$16,MATCH(G724,Config!$J$5:$J$16,0)),""))</f>
        <v>30</v>
      </c>
      <c r="M724" s="30">
        <f>IF(OR(G724="",F724=""),"",IFERROR(INDEX(Config!$M$5:$R$16,MATCH(G724,Config!$J$5:$J$16,0),MATCH(F724,Config!$H$5:$H$10,0)),""))</f>
        <v>100</v>
      </c>
      <c r="N724" s="29">
        <f>IF(A724="","",MONTH(A724))</f>
        <v>9</v>
      </c>
      <c r="O724" s="29">
        <f>IF(A724="","",YEAR(A724))</f>
        <v>2026</v>
      </c>
      <c r="P724" s="29" t="str">
        <f>IF(A724="","",CHOOSE(WEEKDAY(A724,2),"Segunda","Terça","Quarta","Quinta","Sexta","Sábado","Domingo"))</f>
        <v>Segunda</v>
      </c>
      <c r="Q724" s="29" t="str">
        <f>IF(B724="","",IF(B724&lt;TIME(12,0,0),"Manhã",IF(B724&lt;TIME(18,0,0),"Tarde","Noite")))</f>
        <v>Manhã</v>
      </c>
      <c r="R724" s="45">
        <f>IF(AND(H724="Realizado",L724&lt;&gt;""),L724/60,0)</f>
        <v>0</v>
      </c>
    </row>
    <row r="725">
      <c r="A725" s="42">
        <f>TODAY()</f>
        <v>46279.0</v>
      </c>
      <c r="B725" s="43" t="n">
        <v>0.3958333333333333</v>
      </c>
      <c r="C725" s="37" t="inlineStr">
        <is>
          <t>Dra. Carolina Mendes</t>
        </is>
      </c>
      <c r="D725" s="37" t="inlineStr">
        <is>
          <t>Sala 1</t>
        </is>
      </c>
      <c r="E725" s="36" t="inlineStr">
        <is>
          <t>Gisele Xavier</t>
        </is>
      </c>
      <c r="F725" s="37" t="inlineStr">
        <is>
          <t>Particular</t>
        </is>
      </c>
      <c r="G725" s="37" t="inlineStr">
        <is>
          <t>Consulta</t>
        </is>
      </c>
      <c r="H725" s="37" t="inlineStr">
        <is>
          <t>Confirmado</t>
        </is>
      </c>
      <c r="I725" s="37" t="n"/>
      <c r="J725" s="37" t="n"/>
      <c r="K725" s="36" t="n"/>
      <c r="L725" s="44">
        <f>IF(G725="","",IFERROR(INDEX(Config!$K$5:$K$16,MATCH(G725,Config!$J$5:$J$16,0)),""))</f>
        <v>30</v>
      </c>
      <c r="M725" s="30">
        <f>IF(OR(G725="",F725=""),"",IFERROR(INDEX(Config!$M$5:$R$16,MATCH(G725,Config!$J$5:$J$16,0),MATCH(F725,Config!$H$5:$H$10,0)),""))</f>
        <v>380</v>
      </c>
      <c r="N725" s="29">
        <f>IF(A725="","",MONTH(A725))</f>
        <v>9</v>
      </c>
      <c r="O725" s="29">
        <f>IF(A725="","",YEAR(A725))</f>
        <v>2026</v>
      </c>
      <c r="P725" s="29" t="str">
        <f>IF(A725="","",CHOOSE(WEEKDAY(A725,2),"Segunda","Terça","Quarta","Quinta","Sexta","Sábado","Domingo"))</f>
        <v>Segunda</v>
      </c>
      <c r="Q725" s="29" t="str">
        <f>IF(B725="","",IF(B725&lt;TIME(12,0,0),"Manhã",IF(B725&lt;TIME(18,0,0),"Tarde","Noite")))</f>
        <v>Manhã</v>
      </c>
      <c r="R725" s="45">
        <f>IF(AND(H725="Realizado",L725&lt;&gt;""),L725/60,0)</f>
        <v>0</v>
      </c>
    </row>
    <row r="726">
      <c r="A726" s="42">
        <f>TODAY()</f>
        <v>46279.0</v>
      </c>
      <c r="B726" s="43" t="n">
        <v>0.4166666666666667</v>
      </c>
      <c r="C726" s="37" t="inlineStr">
        <is>
          <t>Dra. Carolina Mendes</t>
        </is>
      </c>
      <c r="D726" s="37" t="inlineStr">
        <is>
          <t>Sala 1</t>
        </is>
      </c>
      <c r="E726" s="36" t="inlineStr">
        <is>
          <t>Renato Dias</t>
        </is>
      </c>
      <c r="F726" s="37" t="inlineStr">
        <is>
          <t>Particular</t>
        </is>
      </c>
      <c r="G726" s="37" t="inlineStr">
        <is>
          <t>Retorno</t>
        </is>
      </c>
      <c r="H726" s="37" t="inlineStr">
        <is>
          <t>Confirmado</t>
        </is>
      </c>
      <c r="I726" s="37" t="n"/>
      <c r="J726" s="37" t="n"/>
      <c r="K726" s="36" t="n"/>
      <c r="L726" s="44">
        <f>IF(G726="","",IFERROR(INDEX(Config!$K$5:$K$16,MATCH(G726,Config!$J$5:$J$16,0)),""))</f>
        <v>20</v>
      </c>
      <c r="M726" s="30">
        <f>IF(OR(G726="",F726=""),"",IFERROR(INDEX(Config!$M$5:$R$16,MATCH(G726,Config!$J$5:$J$16,0),MATCH(F726,Config!$H$5:$H$10,0)),""))</f>
        <v>0</v>
      </c>
      <c r="N726" s="29">
        <f>IF(A726="","",MONTH(A726))</f>
        <v>9</v>
      </c>
      <c r="O726" s="29">
        <f>IF(A726="","",YEAR(A726))</f>
        <v>2026</v>
      </c>
      <c r="P726" s="29" t="str">
        <f>IF(A726="","",CHOOSE(WEEKDAY(A726,2),"Segunda","Terça","Quarta","Quinta","Sexta","Sábado","Domingo"))</f>
        <v>Segunda</v>
      </c>
      <c r="Q726" s="29" t="str">
        <f>IF(B726="","",IF(B726&lt;TIME(12,0,0),"Manhã",IF(B726&lt;TIME(18,0,0),"Tarde","Noite")))</f>
        <v>Manhã</v>
      </c>
      <c r="R726" s="45">
        <f>IF(AND(H726="Realizado",L726&lt;&gt;""),L726/60,0)</f>
        <v>0</v>
      </c>
    </row>
    <row r="727">
      <c r="A727" s="42">
        <f>TODAY()</f>
        <v>46279.0</v>
      </c>
      <c r="B727" s="43" t="n">
        <v>0.4305555555555556</v>
      </c>
      <c r="C727" s="37" t="inlineStr">
        <is>
          <t>Dra. Carolina Mendes</t>
        </is>
      </c>
      <c r="D727" s="37" t="inlineStr">
        <is>
          <t>Sala 1</t>
        </is>
      </c>
      <c r="E727" s="36" t="inlineStr">
        <is>
          <t>Marcelo Santos</t>
        </is>
      </c>
      <c r="F727" s="37" t="inlineStr">
        <is>
          <t>Particular</t>
        </is>
      </c>
      <c r="G727" s="37" t="inlineStr">
        <is>
          <t>Consulta</t>
        </is>
      </c>
      <c r="H727" s="37" t="inlineStr">
        <is>
          <t>Confirmado</t>
        </is>
      </c>
      <c r="I727" s="37" t="n"/>
      <c r="J727" s="37" t="n"/>
      <c r="K727" s="36" t="n"/>
      <c r="L727" s="44">
        <f>IF(G727="","",IFERROR(INDEX(Config!$K$5:$K$16,MATCH(G727,Config!$J$5:$J$16,0)),""))</f>
        <v>30</v>
      </c>
      <c r="M727" s="30">
        <f>IF(OR(G727="",F727=""),"",IFERROR(INDEX(Config!$M$5:$R$16,MATCH(G727,Config!$J$5:$J$16,0),MATCH(F727,Config!$H$5:$H$10,0)),""))</f>
        <v>380</v>
      </c>
      <c r="N727" s="29">
        <f>IF(A727="","",MONTH(A727))</f>
        <v>9</v>
      </c>
      <c r="O727" s="29">
        <f>IF(A727="","",YEAR(A727))</f>
        <v>2026</v>
      </c>
      <c r="P727" s="29" t="str">
        <f>IF(A727="","",CHOOSE(WEEKDAY(A727,2),"Segunda","Terça","Quarta","Quinta","Sexta","Sábado","Domingo"))</f>
        <v>Segunda</v>
      </c>
      <c r="Q727" s="29" t="str">
        <f>IF(B727="","",IF(B727&lt;TIME(12,0,0),"Manhã",IF(B727&lt;TIME(18,0,0),"Tarde","Noite")))</f>
        <v>Manhã</v>
      </c>
      <c r="R727" s="45">
        <f>IF(AND(H727="Realizado",L727&lt;&gt;""),L727/60,0)</f>
        <v>0</v>
      </c>
    </row>
    <row r="728">
      <c r="A728" s="42">
        <f>TODAY()</f>
        <v>46279.0</v>
      </c>
      <c r="B728" s="43" t="n">
        <v>0.4513888888888889</v>
      </c>
      <c r="C728" s="37" t="inlineStr">
        <is>
          <t>Dra. Carolina Mendes</t>
        </is>
      </c>
      <c r="D728" s="37" t="inlineStr">
        <is>
          <t>Sala 1</t>
        </is>
      </c>
      <c r="E728" s="36" t="inlineStr">
        <is>
          <t>Eduardo Nunes</t>
        </is>
      </c>
      <c r="F728" s="37" t="inlineStr">
        <is>
          <t>MediPlan</t>
        </is>
      </c>
      <c r="G728" s="37" t="inlineStr">
        <is>
          <t>Consulta</t>
        </is>
      </c>
      <c r="H728" s="37" t="inlineStr">
        <is>
          <t>Agendado</t>
        </is>
      </c>
      <c r="I728" s="37" t="n"/>
      <c r="J728" s="37" t="n"/>
      <c r="K728" s="36" t="n"/>
      <c r="L728" s="44">
        <f>IF(G728="","",IFERROR(INDEX(Config!$K$5:$K$16,MATCH(G728,Config!$J$5:$J$16,0)),""))</f>
        <v>30</v>
      </c>
      <c r="M728" s="30">
        <f>IF(OR(G728="",F728=""),"",IFERROR(INDEX(Config!$M$5:$R$16,MATCH(G728,Config!$J$5:$J$16,0),MATCH(F728,Config!$H$5:$H$10,0)),""))</f>
        <v>100</v>
      </c>
      <c r="N728" s="29">
        <f>IF(A728="","",MONTH(A728))</f>
        <v>9</v>
      </c>
      <c r="O728" s="29">
        <f>IF(A728="","",YEAR(A728))</f>
        <v>2026</v>
      </c>
      <c r="P728" s="29" t="str">
        <f>IF(A728="","",CHOOSE(WEEKDAY(A728,2),"Segunda","Terça","Quarta","Quinta","Sexta","Sábado","Domingo"))</f>
        <v>Segunda</v>
      </c>
      <c r="Q728" s="29" t="str">
        <f>IF(B728="","",IF(B728&lt;TIME(12,0,0),"Manhã",IF(B728&lt;TIME(18,0,0),"Tarde","Noite")))</f>
        <v>Manhã</v>
      </c>
      <c r="R728" s="45">
        <f>IF(AND(H728="Realizado",L728&lt;&gt;""),L728/60,0)</f>
        <v>0</v>
      </c>
    </row>
    <row r="729">
      <c r="A729" s="42">
        <f>TODAY()</f>
        <v>46279.0</v>
      </c>
      <c r="B729" s="43" t="n">
        <v>0.4722222222222222</v>
      </c>
      <c r="C729" s="37" t="inlineStr">
        <is>
          <t>Dra. Carolina Mendes</t>
        </is>
      </c>
      <c r="D729" s="37" t="inlineStr">
        <is>
          <t>Sala 1</t>
        </is>
      </c>
      <c r="E729" s="36" t="inlineStr">
        <is>
          <t>Regina Duarte</t>
        </is>
      </c>
      <c r="F729" s="37" t="inlineStr">
        <is>
          <t>Particular</t>
        </is>
      </c>
      <c r="G729" s="37" t="inlineStr">
        <is>
          <t>Consulta</t>
        </is>
      </c>
      <c r="H729" s="37" t="inlineStr">
        <is>
          <t>Confirmado</t>
        </is>
      </c>
      <c r="I729" s="37" t="n"/>
      <c r="J729" s="37" t="n"/>
      <c r="K729" s="36" t="n"/>
      <c r="L729" s="44">
        <f>IF(G729="","",IFERROR(INDEX(Config!$K$5:$K$16,MATCH(G729,Config!$J$5:$J$16,0)),""))</f>
        <v>30</v>
      </c>
      <c r="M729" s="30">
        <f>IF(OR(G729="",F729=""),"",IFERROR(INDEX(Config!$M$5:$R$16,MATCH(G729,Config!$J$5:$J$16,0),MATCH(F729,Config!$H$5:$H$10,0)),""))</f>
        <v>380</v>
      </c>
      <c r="N729" s="29">
        <f>IF(A729="","",MONTH(A729))</f>
        <v>9</v>
      </c>
      <c r="O729" s="29">
        <f>IF(A729="","",YEAR(A729))</f>
        <v>2026</v>
      </c>
      <c r="P729" s="29" t="str">
        <f>IF(A729="","",CHOOSE(WEEKDAY(A729,2),"Segunda","Terça","Quarta","Quinta","Sexta","Sábado","Domingo"))</f>
        <v>Segunda</v>
      </c>
      <c r="Q729" s="29" t="str">
        <f>IF(B729="","",IF(B729&lt;TIME(12,0,0),"Manhã",IF(B729&lt;TIME(18,0,0),"Tarde","Noite")))</f>
        <v>Manhã</v>
      </c>
      <c r="R729" s="45">
        <f>IF(AND(H729="Realizado",L729&lt;&gt;""),L729/60,0)</f>
        <v>0</v>
      </c>
    </row>
    <row r="730">
      <c r="A730" s="42">
        <f>TODAY()</f>
        <v>46279.0</v>
      </c>
      <c r="B730" s="43" t="n">
        <v>0.5833333333333334</v>
      </c>
      <c r="C730" s="37" t="inlineStr">
        <is>
          <t>Dr. Paulo Andrade</t>
        </is>
      </c>
      <c r="D730" s="37" t="inlineStr">
        <is>
          <t>Sala 2</t>
        </is>
      </c>
      <c r="E730" s="36" t="inlineStr">
        <is>
          <t>Bruno Carvalho</t>
        </is>
      </c>
      <c r="F730" s="37" t="inlineStr">
        <is>
          <t>Saúde Total</t>
        </is>
      </c>
      <c r="G730" s="37" t="inlineStr">
        <is>
          <t>Retorno</t>
        </is>
      </c>
      <c r="H730" s="37" t="inlineStr">
        <is>
          <t>Confirmado</t>
        </is>
      </c>
      <c r="I730" s="37" t="n"/>
      <c r="J730" s="37" t="n"/>
      <c r="K730" s="36" t="n"/>
      <c r="L730" s="44">
        <f>IF(G730="","",IFERROR(INDEX(Config!$K$5:$K$16,MATCH(G730,Config!$J$5:$J$16,0)),""))</f>
        <v>20</v>
      </c>
      <c r="M730" s="30">
        <f>IF(OR(G730="",F730=""),"",IFERROR(INDEX(Config!$M$5:$R$16,MATCH(G730,Config!$J$5:$J$16,0),MATCH(F730,Config!$H$5:$H$10,0)),""))</f>
        <v>0</v>
      </c>
      <c r="N730" s="29">
        <f>IF(A730="","",MONTH(A730))</f>
        <v>9</v>
      </c>
      <c r="O730" s="29">
        <f>IF(A730="","",YEAR(A730))</f>
        <v>2026</v>
      </c>
      <c r="P730" s="29" t="str">
        <f>IF(A730="","",CHOOSE(WEEKDAY(A730,2),"Segunda","Terça","Quarta","Quinta","Sexta","Sábado","Domingo"))</f>
        <v>Segunda</v>
      </c>
      <c r="Q730" s="29" t="str">
        <f>IF(B730="","",IF(B730&lt;TIME(12,0,0),"Manhã",IF(B730&lt;TIME(18,0,0),"Tarde","Noite")))</f>
        <v>Tarde</v>
      </c>
      <c r="R730" s="45">
        <f>IF(AND(H730="Realizado",L730&lt;&gt;""),L730/60,0)</f>
        <v>0</v>
      </c>
    </row>
    <row r="731">
      <c r="A731" s="42">
        <f>TODAY()</f>
        <v>46279.0</v>
      </c>
      <c r="B731" s="43" t="n">
        <v>0.6180555555555556</v>
      </c>
      <c r="C731" s="37" t="inlineStr">
        <is>
          <t>Dr. Paulo Andrade</t>
        </is>
      </c>
      <c r="D731" s="37" t="inlineStr">
        <is>
          <t>Sala 2</t>
        </is>
      </c>
      <c r="E731" s="36" t="inlineStr">
        <is>
          <t>Henrique Ribeiro</t>
        </is>
      </c>
      <c r="F731" s="37" t="inlineStr">
        <is>
          <t>Particular</t>
        </is>
      </c>
      <c r="G731" s="37" t="inlineStr">
        <is>
          <t>Retorno</t>
        </is>
      </c>
      <c r="H731" s="37" t="inlineStr">
        <is>
          <t>Agendado</t>
        </is>
      </c>
      <c r="I731" s="37" t="n"/>
      <c r="J731" s="37" t="n"/>
      <c r="K731" s="36" t="n"/>
      <c r="L731" s="44">
        <f>IF(G731="","",IFERROR(INDEX(Config!$K$5:$K$16,MATCH(G731,Config!$J$5:$J$16,0)),""))</f>
        <v>20</v>
      </c>
      <c r="M731" s="30">
        <f>IF(OR(G731="",F731=""),"",IFERROR(INDEX(Config!$M$5:$R$16,MATCH(G731,Config!$J$5:$J$16,0),MATCH(F731,Config!$H$5:$H$10,0)),""))</f>
        <v>0</v>
      </c>
      <c r="N731" s="29">
        <f>IF(A731="","",MONTH(A731))</f>
        <v>9</v>
      </c>
      <c r="O731" s="29">
        <f>IF(A731="","",YEAR(A731))</f>
        <v>2026</v>
      </c>
      <c r="P731" s="29" t="str">
        <f>IF(A731="","",CHOOSE(WEEKDAY(A731,2),"Segunda","Terça","Quarta","Quinta","Sexta","Sábado","Domingo"))</f>
        <v>Segunda</v>
      </c>
      <c r="Q731" s="29" t="str">
        <f>IF(B731="","",IF(B731&lt;TIME(12,0,0),"Manhã",IF(B731&lt;TIME(18,0,0),"Tarde","Noite")))</f>
        <v>Tarde</v>
      </c>
      <c r="R731" s="45">
        <f>IF(AND(H731="Realizado",L731&lt;&gt;""),L731/60,0)</f>
        <v>0</v>
      </c>
    </row>
    <row r="732">
      <c r="A732" s="42">
        <f>TODAY()</f>
        <v>46279.0</v>
      </c>
      <c r="B732" s="43" t="n">
        <v>0.6319444444444444</v>
      </c>
      <c r="C732" s="37" t="inlineStr">
        <is>
          <t>Dr. Paulo Andrade</t>
        </is>
      </c>
      <c r="D732" s="37" t="inlineStr">
        <is>
          <t>Sala 2</t>
        </is>
      </c>
      <c r="E732" s="36" t="inlineStr">
        <is>
          <t>Regina Castro</t>
        </is>
      </c>
      <c r="F732" s="37" t="inlineStr">
        <is>
          <t>Vida Care</t>
        </is>
      </c>
      <c r="G732" s="37" t="inlineStr">
        <is>
          <t>Teste ergométrico</t>
        </is>
      </c>
      <c r="H732" s="37" t="inlineStr">
        <is>
          <t>Confirmado</t>
        </is>
      </c>
      <c r="I732" s="37" t="n"/>
      <c r="J732" s="37" t="n"/>
      <c r="K732" s="36" t="n"/>
      <c r="L732" s="44">
        <f>IF(G732="","",IFERROR(INDEX(Config!$K$5:$K$16,MATCH(G732,Config!$J$5:$J$16,0)),""))</f>
        <v>40</v>
      </c>
      <c r="M732" s="30">
        <f>IF(OR(G732="",F732=""),"",IFERROR(INDEX(Config!$M$5:$R$16,MATCH(G732,Config!$J$5:$J$16,0),MATCH(F732,Config!$H$5:$H$10,0)),""))</f>
        <v>110</v>
      </c>
      <c r="N732" s="29">
        <f>IF(A732="","",MONTH(A732))</f>
        <v>9</v>
      </c>
      <c r="O732" s="29">
        <f>IF(A732="","",YEAR(A732))</f>
        <v>2026</v>
      </c>
      <c r="P732" s="29" t="str">
        <f>IF(A732="","",CHOOSE(WEEKDAY(A732,2),"Segunda","Terça","Quarta","Quinta","Sexta","Sábado","Domingo"))</f>
        <v>Segunda</v>
      </c>
      <c r="Q732" s="29" t="str">
        <f>IF(B732="","",IF(B732&lt;TIME(12,0,0),"Manhã",IF(B732&lt;TIME(18,0,0),"Tarde","Noite")))</f>
        <v>Tarde</v>
      </c>
      <c r="R732" s="45">
        <f>IF(AND(H732="Realizado",L732&lt;&gt;""),L732/60,0)</f>
        <v>0</v>
      </c>
    </row>
    <row r="733">
      <c r="A733" s="42">
        <f>TODAY()</f>
        <v>46279.0</v>
      </c>
      <c r="B733" s="43" t="n">
        <v>0.6805555555555556</v>
      </c>
      <c r="C733" s="37" t="inlineStr">
        <is>
          <t>Dr. Paulo Andrade</t>
        </is>
      </c>
      <c r="D733" s="37" t="inlineStr">
        <is>
          <t>Sala 2</t>
        </is>
      </c>
      <c r="E733" s="36" t="inlineStr">
        <is>
          <t>Mariana Nascimento</t>
        </is>
      </c>
      <c r="F733" s="37" t="inlineStr">
        <is>
          <t>Particular</t>
        </is>
      </c>
      <c r="G733" s="37" t="inlineStr">
        <is>
          <t>ECG</t>
        </is>
      </c>
      <c r="H733" s="37" t="inlineStr">
        <is>
          <t>Agendado</t>
        </is>
      </c>
      <c r="I733" s="37" t="n"/>
      <c r="J733" s="37" t="n"/>
      <c r="K733" s="36" t="n"/>
      <c r="L733" s="44">
        <f>IF(G733="","",IFERROR(INDEX(Config!$K$5:$K$16,MATCH(G733,Config!$J$5:$J$16,0)),""))</f>
        <v>20</v>
      </c>
      <c r="M733" s="30">
        <f>IF(OR(G733="",F733=""),"",IFERROR(INDEX(Config!$M$5:$R$16,MATCH(G733,Config!$J$5:$J$16,0),MATCH(F733,Config!$H$5:$H$10,0)),""))</f>
        <v>130</v>
      </c>
      <c r="N733" s="29">
        <f>IF(A733="","",MONTH(A733))</f>
        <v>9</v>
      </c>
      <c r="O733" s="29">
        <f>IF(A733="","",YEAR(A733))</f>
        <v>2026</v>
      </c>
      <c r="P733" s="29" t="str">
        <f>IF(A733="","",CHOOSE(WEEKDAY(A733,2),"Segunda","Terça","Quarta","Quinta","Sexta","Sábado","Domingo"))</f>
        <v>Segunda</v>
      </c>
      <c r="Q733" s="29" t="str">
        <f>IF(B733="","",IF(B733&lt;TIME(12,0,0),"Manhã",IF(B733&lt;TIME(18,0,0),"Tarde","Noite")))</f>
        <v>Tarde</v>
      </c>
      <c r="R733" s="45">
        <f>IF(AND(H733="Realizado",L733&lt;&gt;""),L733/60,0)</f>
        <v>0</v>
      </c>
    </row>
    <row r="734">
      <c r="A734" s="42">
        <f>TODAY()</f>
        <v>46279.0</v>
      </c>
      <c r="B734" s="43" t="n">
        <v>0.6944444444444444</v>
      </c>
      <c r="C734" s="37" t="inlineStr">
        <is>
          <t>Dr. Paulo Andrade</t>
        </is>
      </c>
      <c r="D734" s="37" t="inlineStr">
        <is>
          <t>Sala 2</t>
        </is>
      </c>
      <c r="E734" s="36" t="inlineStr">
        <is>
          <t>Mateus Martins</t>
        </is>
      </c>
      <c r="F734" s="37" t="inlineStr">
        <is>
          <t>Vida Care</t>
        </is>
      </c>
      <c r="G734" s="37" t="inlineStr">
        <is>
          <t>Retorno</t>
        </is>
      </c>
      <c r="H734" s="37" t="inlineStr">
        <is>
          <t>Confirmado</t>
        </is>
      </c>
      <c r="I734" s="37" t="n"/>
      <c r="J734" s="37" t="n"/>
      <c r="K734" s="36" t="n"/>
      <c r="L734" s="44">
        <f>IF(G734="","",IFERROR(INDEX(Config!$K$5:$K$16,MATCH(G734,Config!$J$5:$J$16,0)),""))</f>
        <v>20</v>
      </c>
      <c r="M734" s="30">
        <f>IF(OR(G734="",F734=""),"",IFERROR(INDEX(Config!$M$5:$R$16,MATCH(G734,Config!$J$5:$J$16,0),MATCH(F734,Config!$H$5:$H$10,0)),""))</f>
        <v>0</v>
      </c>
      <c r="N734" s="29">
        <f>IF(A734="","",MONTH(A734))</f>
        <v>9</v>
      </c>
      <c r="O734" s="29">
        <f>IF(A734="","",YEAR(A734))</f>
        <v>2026</v>
      </c>
      <c r="P734" s="29" t="str">
        <f>IF(A734="","",CHOOSE(WEEKDAY(A734,2),"Segunda","Terça","Quarta","Quinta","Sexta","Sábado","Domingo"))</f>
        <v>Segunda</v>
      </c>
      <c r="Q734" s="29" t="str">
        <f>IF(B734="","",IF(B734&lt;TIME(12,0,0),"Manhã",IF(B734&lt;TIME(18,0,0),"Tarde","Noite")))</f>
        <v>Tarde</v>
      </c>
      <c r="R734" s="45">
        <f>IF(AND(H734="Realizado",L734&lt;&gt;""),L734/60,0)</f>
        <v>0</v>
      </c>
    </row>
    <row r="735">
      <c r="A735" s="42">
        <f>TODAY()</f>
        <v>46279.0</v>
      </c>
      <c r="B735" s="43" t="n">
        <v>0.7083333333333334</v>
      </c>
      <c r="C735" s="37" t="inlineStr">
        <is>
          <t>Dr. Paulo Andrade</t>
        </is>
      </c>
      <c r="D735" s="37" t="inlineStr">
        <is>
          <t>Sala 2</t>
        </is>
      </c>
      <c r="E735" s="36" t="inlineStr">
        <is>
          <t>Priscila Carvalho</t>
        </is>
      </c>
      <c r="F735" s="37" t="inlineStr">
        <is>
          <t>Vida Care</t>
        </is>
      </c>
      <c r="G735" s="37" t="inlineStr">
        <is>
          <t>ECG</t>
        </is>
      </c>
      <c r="H735" s="37" t="inlineStr">
        <is>
          <t>Confirmado</t>
        </is>
      </c>
      <c r="I735" s="37" t="n"/>
      <c r="J735" s="37" t="n"/>
      <c r="K735" s="36" t="n"/>
      <c r="L735" s="44">
        <f>IF(G735="","",IFERROR(INDEX(Config!$K$5:$K$16,MATCH(G735,Config!$J$5:$J$16,0)),""))</f>
        <v>20</v>
      </c>
      <c r="M735" s="30">
        <f>IF(OR(G735="",F735=""),"",IFERROR(INDEX(Config!$M$5:$R$16,MATCH(G735,Config!$J$5:$J$16,0),MATCH(F735,Config!$H$5:$H$10,0)),""))</f>
        <v>32</v>
      </c>
      <c r="N735" s="29">
        <f>IF(A735="","",MONTH(A735))</f>
        <v>9</v>
      </c>
      <c r="O735" s="29">
        <f>IF(A735="","",YEAR(A735))</f>
        <v>2026</v>
      </c>
      <c r="P735" s="29" t="str">
        <f>IF(A735="","",CHOOSE(WEEKDAY(A735,2),"Segunda","Terça","Quarta","Quinta","Sexta","Sábado","Domingo"))</f>
        <v>Segunda</v>
      </c>
      <c r="Q735" s="29" t="str">
        <f>IF(B735="","",IF(B735&lt;TIME(12,0,0),"Manhã",IF(B735&lt;TIME(18,0,0),"Tarde","Noite")))</f>
        <v>Tarde</v>
      </c>
      <c r="R735" s="45">
        <f>IF(AND(H735="Realizado",L735&lt;&gt;""),L735/60,0)</f>
        <v>0</v>
      </c>
    </row>
    <row r="736">
      <c r="A736" s="42">
        <f>TODAY()</f>
        <v>46279.0</v>
      </c>
      <c r="B736" s="43" t="n">
        <v>0.7222222222222222</v>
      </c>
      <c r="C736" s="37" t="inlineStr">
        <is>
          <t>Dr. Paulo Andrade</t>
        </is>
      </c>
      <c r="D736" s="37" t="inlineStr">
        <is>
          <t>Sala 2</t>
        </is>
      </c>
      <c r="E736" s="36" t="inlineStr">
        <is>
          <t>Priscila Rocha</t>
        </is>
      </c>
      <c r="F736" s="37" t="inlineStr">
        <is>
          <t>MediPlan</t>
        </is>
      </c>
      <c r="G736" s="37" t="inlineStr">
        <is>
          <t>Consulta</t>
        </is>
      </c>
      <c r="H736" s="37" t="inlineStr">
        <is>
          <t>Confirmado</t>
        </is>
      </c>
      <c r="I736" s="37" t="n"/>
      <c r="J736" s="37" t="n"/>
      <c r="K736" s="36" t="n"/>
      <c r="L736" s="44">
        <f>IF(G736="","",IFERROR(INDEX(Config!$K$5:$K$16,MATCH(G736,Config!$J$5:$J$16,0)),""))</f>
        <v>30</v>
      </c>
      <c r="M736" s="30">
        <f>IF(OR(G736="",F736=""),"",IFERROR(INDEX(Config!$M$5:$R$16,MATCH(G736,Config!$J$5:$J$16,0),MATCH(F736,Config!$H$5:$H$10,0)),""))</f>
        <v>100</v>
      </c>
      <c r="N736" s="29">
        <f>IF(A736="","",MONTH(A736))</f>
        <v>9</v>
      </c>
      <c r="O736" s="29">
        <f>IF(A736="","",YEAR(A736))</f>
        <v>2026</v>
      </c>
      <c r="P736" s="29" t="str">
        <f>IF(A736="","",CHOOSE(WEEKDAY(A736,2),"Segunda","Terça","Quarta","Quinta","Sexta","Sábado","Domingo"))</f>
        <v>Segunda</v>
      </c>
      <c r="Q736" s="29" t="str">
        <f>IF(B736="","",IF(B736&lt;TIME(12,0,0),"Manhã",IF(B736&lt;TIME(18,0,0),"Tarde","Noite")))</f>
        <v>Tarde</v>
      </c>
      <c r="R736" s="45">
        <f>IF(AND(H736="Realizado",L736&lt;&gt;""),L736/60,0)</f>
        <v>0</v>
      </c>
    </row>
    <row r="737">
      <c r="A737" s="42">
        <f>TODAY()+1</f>
        <v>46280.0</v>
      </c>
      <c r="B737" s="43" t="n">
        <v>0.3333333333333333</v>
      </c>
      <c r="C737" s="37" t="inlineStr">
        <is>
          <t>Dra. Carolina Mendes</t>
        </is>
      </c>
      <c r="D737" s="37" t="inlineStr">
        <is>
          <t>Sala 1</t>
        </is>
      </c>
      <c r="E737" s="36" t="inlineStr">
        <is>
          <t>Gustavo Ferreira</t>
        </is>
      </c>
      <c r="F737" s="37" t="inlineStr">
        <is>
          <t>Particular</t>
        </is>
      </c>
      <c r="G737" s="37" t="inlineStr">
        <is>
          <t>Retorno</t>
        </is>
      </c>
      <c r="H737" s="37" t="inlineStr">
        <is>
          <t>Confirmado</t>
        </is>
      </c>
      <c r="I737" s="37" t="n"/>
      <c r="J737" s="37" t="n"/>
      <c r="K737" s="36" t="n"/>
      <c r="L737" s="44">
        <f>IF(G737="","",IFERROR(INDEX(Config!$K$5:$K$16,MATCH(G737,Config!$J$5:$J$16,0)),""))</f>
        <v>20</v>
      </c>
      <c r="M737" s="30">
        <f>IF(OR(G737="",F737=""),"",IFERROR(INDEX(Config!$M$5:$R$16,MATCH(G737,Config!$J$5:$J$16,0),MATCH(F737,Config!$H$5:$H$10,0)),""))</f>
        <v>0</v>
      </c>
      <c r="N737" s="29">
        <f>IF(A737="","",MONTH(A737))</f>
        <v>9</v>
      </c>
      <c r="O737" s="29">
        <f>IF(A737="","",YEAR(A737))</f>
        <v>2026</v>
      </c>
      <c r="P737" s="29" t="str">
        <f>IF(A737="","",CHOOSE(WEEKDAY(A737,2),"Segunda","Terça","Quarta","Quinta","Sexta","Sábado","Domingo"))</f>
        <v>Terça</v>
      </c>
      <c r="Q737" s="29" t="str">
        <f>IF(B737="","",IF(B737&lt;TIME(12,0,0),"Manhã",IF(B737&lt;TIME(18,0,0),"Tarde","Noite")))</f>
        <v>Manhã</v>
      </c>
      <c r="R737" s="45">
        <f>IF(AND(H737="Realizado",L737&lt;&gt;""),L737/60,0)</f>
        <v>0</v>
      </c>
    </row>
    <row r="738">
      <c r="A738" s="42">
        <f>TODAY()+1</f>
        <v>46280.0</v>
      </c>
      <c r="B738" s="43" t="n">
        <v>0.3472222222222222</v>
      </c>
      <c r="C738" s="37" t="inlineStr">
        <is>
          <t>Dra. Carolina Mendes</t>
        </is>
      </c>
      <c r="D738" s="37" t="inlineStr">
        <is>
          <t>Sala 1</t>
        </is>
      </c>
      <c r="E738" s="36" t="inlineStr">
        <is>
          <t>Mônica Teixeira</t>
        </is>
      </c>
      <c r="F738" s="37" t="inlineStr">
        <is>
          <t>Vida Care</t>
        </is>
      </c>
      <c r="G738" s="37" t="inlineStr">
        <is>
          <t>Consulta</t>
        </is>
      </c>
      <c r="H738" s="37" t="inlineStr">
        <is>
          <t>Agendado</t>
        </is>
      </c>
      <c r="I738" s="37" t="n"/>
      <c r="J738" s="37" t="n"/>
      <c r="K738" s="36" t="n"/>
      <c r="L738" s="44">
        <f>IF(G738="","",IFERROR(INDEX(Config!$K$5:$K$16,MATCH(G738,Config!$J$5:$J$16,0)),""))</f>
        <v>30</v>
      </c>
      <c r="M738" s="30">
        <f>IF(OR(G738="",F738=""),"",IFERROR(INDEX(Config!$M$5:$R$16,MATCH(G738,Config!$J$5:$J$16,0),MATCH(F738,Config!$H$5:$H$10,0)),""))</f>
        <v>90</v>
      </c>
      <c r="N738" s="29">
        <f>IF(A738="","",MONTH(A738))</f>
        <v>9</v>
      </c>
      <c r="O738" s="29">
        <f>IF(A738="","",YEAR(A738))</f>
        <v>2026</v>
      </c>
      <c r="P738" s="29" t="str">
        <f>IF(A738="","",CHOOSE(WEEKDAY(A738,2),"Segunda","Terça","Quarta","Quinta","Sexta","Sábado","Domingo"))</f>
        <v>Terça</v>
      </c>
      <c r="Q738" s="29" t="str">
        <f>IF(B738="","",IF(B738&lt;TIME(12,0,0),"Manhã",IF(B738&lt;TIME(18,0,0),"Tarde","Noite")))</f>
        <v>Manhã</v>
      </c>
      <c r="R738" s="45">
        <f>IF(AND(H738="Realizado",L738&lt;&gt;""),L738/60,0)</f>
        <v>0</v>
      </c>
    </row>
    <row r="739">
      <c r="A739" s="42">
        <f>TODAY()+1</f>
        <v>46280.0</v>
      </c>
      <c r="B739" s="43" t="n">
        <v>0.3680555555555556</v>
      </c>
      <c r="C739" s="37" t="inlineStr">
        <is>
          <t>Dra. Carolina Mendes</t>
        </is>
      </c>
      <c r="D739" s="37" t="inlineStr">
        <is>
          <t>Sala 1</t>
        </is>
      </c>
      <c r="E739" s="36" t="inlineStr">
        <is>
          <t>Gustavo Barbosa</t>
        </is>
      </c>
      <c r="F739" s="37" t="inlineStr">
        <is>
          <t>Saúde Total</t>
        </is>
      </c>
      <c r="G739" s="37" t="inlineStr">
        <is>
          <t>Consulta</t>
        </is>
      </c>
      <c r="H739" s="37" t="inlineStr">
        <is>
          <t>Agendado</t>
        </is>
      </c>
      <c r="I739" s="37" t="n"/>
      <c r="J739" s="37" t="n"/>
      <c r="K739" s="36" t="n"/>
      <c r="L739" s="44">
        <f>IF(G739="","",IFERROR(INDEX(Config!$K$5:$K$16,MATCH(G739,Config!$J$5:$J$16,0)),""))</f>
        <v>30</v>
      </c>
      <c r="M739" s="30">
        <f>IF(OR(G739="",F739=""),"",IFERROR(INDEX(Config!$M$5:$R$16,MATCH(G739,Config!$J$5:$J$16,0),MATCH(F739,Config!$H$5:$H$10,0)),""))</f>
        <v>120</v>
      </c>
      <c r="N739" s="29">
        <f>IF(A739="","",MONTH(A739))</f>
        <v>9</v>
      </c>
      <c r="O739" s="29">
        <f>IF(A739="","",YEAR(A739))</f>
        <v>2026</v>
      </c>
      <c r="P739" s="29" t="str">
        <f>IF(A739="","",CHOOSE(WEEKDAY(A739,2),"Segunda","Terça","Quarta","Quinta","Sexta","Sábado","Domingo"))</f>
        <v>Terça</v>
      </c>
      <c r="Q739" s="29" t="str">
        <f>IF(B739="","",IF(B739&lt;TIME(12,0,0),"Manhã",IF(B739&lt;TIME(18,0,0),"Tarde","Noite")))</f>
        <v>Manhã</v>
      </c>
      <c r="R739" s="45">
        <f>IF(AND(H739="Realizado",L739&lt;&gt;""),L739/60,0)</f>
        <v>0</v>
      </c>
    </row>
    <row r="740">
      <c r="A740" s="42">
        <f>TODAY()+1</f>
        <v>46280.0</v>
      </c>
      <c r="B740" s="43" t="n">
        <v>0.3888888888888889</v>
      </c>
      <c r="C740" s="37" t="inlineStr">
        <is>
          <t>Dra. Carolina Mendes</t>
        </is>
      </c>
      <c r="D740" s="37" t="inlineStr">
        <is>
          <t>Sala 1</t>
        </is>
      </c>
      <c r="E740" s="36" t="inlineStr">
        <is>
          <t>Otávio Nascimento</t>
        </is>
      </c>
      <c r="F740" s="37" t="inlineStr">
        <is>
          <t>Particular</t>
        </is>
      </c>
      <c r="G740" s="37" t="inlineStr">
        <is>
          <t>Retorno</t>
        </is>
      </c>
      <c r="H740" s="37" t="inlineStr">
        <is>
          <t>Agendado</t>
        </is>
      </c>
      <c r="I740" s="37" t="n"/>
      <c r="J740" s="37" t="n"/>
      <c r="K740" s="36" t="n"/>
      <c r="L740" s="44">
        <f>IF(G740="","",IFERROR(INDEX(Config!$K$5:$K$16,MATCH(G740,Config!$J$5:$J$16,0)),""))</f>
        <v>20</v>
      </c>
      <c r="M740" s="30">
        <f>IF(OR(G740="",F740=""),"",IFERROR(INDEX(Config!$M$5:$R$16,MATCH(G740,Config!$J$5:$J$16,0),MATCH(F740,Config!$H$5:$H$10,0)),""))</f>
        <v>0</v>
      </c>
      <c r="N740" s="29">
        <f>IF(A740="","",MONTH(A740))</f>
        <v>9</v>
      </c>
      <c r="O740" s="29">
        <f>IF(A740="","",YEAR(A740))</f>
        <v>2026</v>
      </c>
      <c r="P740" s="29" t="str">
        <f>IF(A740="","",CHOOSE(WEEKDAY(A740,2),"Segunda","Terça","Quarta","Quinta","Sexta","Sábado","Domingo"))</f>
        <v>Terça</v>
      </c>
      <c r="Q740" s="29" t="str">
        <f>IF(B740="","",IF(B740&lt;TIME(12,0,0),"Manhã",IF(B740&lt;TIME(18,0,0),"Tarde","Noite")))</f>
        <v>Manhã</v>
      </c>
      <c r="R740" s="45">
        <f>IF(AND(H740="Realizado",L740&lt;&gt;""),L740/60,0)</f>
        <v>0</v>
      </c>
    </row>
    <row r="741">
      <c r="A741" s="42">
        <f>TODAY()+1</f>
        <v>46280.0</v>
      </c>
      <c r="B741" s="43" t="n">
        <v>0.4027777777777778</v>
      </c>
      <c r="C741" s="37" t="inlineStr">
        <is>
          <t>Dra. Carolina Mendes</t>
        </is>
      </c>
      <c r="D741" s="37" t="inlineStr">
        <is>
          <t>Sala 1</t>
        </is>
      </c>
      <c r="E741" s="36" t="inlineStr">
        <is>
          <t>Eduardo Nunes</t>
        </is>
      </c>
      <c r="F741" s="37" t="inlineStr">
        <is>
          <t>MediPlan</t>
        </is>
      </c>
      <c r="G741" s="37" t="inlineStr">
        <is>
          <t>Retorno</t>
        </is>
      </c>
      <c r="H741" s="37" t="inlineStr">
        <is>
          <t>Confirmado</t>
        </is>
      </c>
      <c r="I741" s="37" t="n"/>
      <c r="J741" s="37" t="n"/>
      <c r="K741" s="36" t="n"/>
      <c r="L741" s="44">
        <f>IF(G741="","",IFERROR(INDEX(Config!$K$5:$K$16,MATCH(G741,Config!$J$5:$J$16,0)),""))</f>
        <v>20</v>
      </c>
      <c r="M741" s="30">
        <f>IF(OR(G741="",F741=""),"",IFERROR(INDEX(Config!$M$5:$R$16,MATCH(G741,Config!$J$5:$J$16,0),MATCH(F741,Config!$H$5:$H$10,0)),""))</f>
        <v>0</v>
      </c>
      <c r="N741" s="29">
        <f>IF(A741="","",MONTH(A741))</f>
        <v>9</v>
      </c>
      <c r="O741" s="29">
        <f>IF(A741="","",YEAR(A741))</f>
        <v>2026</v>
      </c>
      <c r="P741" s="29" t="str">
        <f>IF(A741="","",CHOOSE(WEEKDAY(A741,2),"Segunda","Terça","Quarta","Quinta","Sexta","Sábado","Domingo"))</f>
        <v>Terça</v>
      </c>
      <c r="Q741" s="29" t="str">
        <f>IF(B741="","",IF(B741&lt;TIME(12,0,0),"Manhã",IF(B741&lt;TIME(18,0,0),"Tarde","Noite")))</f>
        <v>Manhã</v>
      </c>
      <c r="R741" s="45">
        <f>IF(AND(H741="Realizado",L741&lt;&gt;""),L741/60,0)</f>
        <v>0</v>
      </c>
    </row>
    <row r="742">
      <c r="A742" s="42">
        <f>TODAY()+1</f>
        <v>46280.0</v>
      </c>
      <c r="B742" s="43" t="n">
        <v>0.4166666666666667</v>
      </c>
      <c r="C742" s="37" t="inlineStr">
        <is>
          <t>Dra. Carolina Mendes</t>
        </is>
      </c>
      <c r="D742" s="37" t="inlineStr">
        <is>
          <t>Sala 1</t>
        </is>
      </c>
      <c r="E742" s="36" t="inlineStr">
        <is>
          <t>Mariana Nascimento</t>
        </is>
      </c>
      <c r="F742" s="37" t="inlineStr">
        <is>
          <t>Particular</t>
        </is>
      </c>
      <c r="G742" s="37" t="inlineStr">
        <is>
          <t>Consulta</t>
        </is>
      </c>
      <c r="H742" s="37" t="inlineStr">
        <is>
          <t>Confirmado</t>
        </is>
      </c>
      <c r="I742" s="37" t="n"/>
      <c r="J742" s="37" t="n"/>
      <c r="K742" s="36" t="n"/>
      <c r="L742" s="44">
        <f>IF(G742="","",IFERROR(INDEX(Config!$K$5:$K$16,MATCH(G742,Config!$J$5:$J$16,0)),""))</f>
        <v>30</v>
      </c>
      <c r="M742" s="30">
        <f>IF(OR(G742="",F742=""),"",IFERROR(INDEX(Config!$M$5:$R$16,MATCH(G742,Config!$J$5:$J$16,0),MATCH(F742,Config!$H$5:$H$10,0)),""))</f>
        <v>380</v>
      </c>
      <c r="N742" s="29">
        <f>IF(A742="","",MONTH(A742))</f>
        <v>9</v>
      </c>
      <c r="O742" s="29">
        <f>IF(A742="","",YEAR(A742))</f>
        <v>2026</v>
      </c>
      <c r="P742" s="29" t="str">
        <f>IF(A742="","",CHOOSE(WEEKDAY(A742,2),"Segunda","Terça","Quarta","Quinta","Sexta","Sábado","Domingo"))</f>
        <v>Terça</v>
      </c>
      <c r="Q742" s="29" t="str">
        <f>IF(B742="","",IF(B742&lt;TIME(12,0,0),"Manhã",IF(B742&lt;TIME(18,0,0),"Tarde","Noite")))</f>
        <v>Manhã</v>
      </c>
      <c r="R742" s="45">
        <f>IF(AND(H742="Realizado",L742&lt;&gt;""),L742/60,0)</f>
        <v>0</v>
      </c>
    </row>
    <row r="743">
      <c r="A743" s="42">
        <f>TODAY()+1</f>
        <v>46280.0</v>
      </c>
      <c r="B743" s="43" t="n">
        <v>0.4375</v>
      </c>
      <c r="C743" s="37" t="inlineStr">
        <is>
          <t>Dra. Carolina Mendes</t>
        </is>
      </c>
      <c r="D743" s="37" t="inlineStr">
        <is>
          <t>Sala 1</t>
        </is>
      </c>
      <c r="E743" s="36" t="inlineStr">
        <is>
          <t>Wagner Lima</t>
        </is>
      </c>
      <c r="F743" s="37" t="inlineStr">
        <is>
          <t>Particular</t>
        </is>
      </c>
      <c r="G743" s="37" t="inlineStr">
        <is>
          <t>Consulta</t>
        </is>
      </c>
      <c r="H743" s="37" t="inlineStr">
        <is>
          <t>Confirmado</t>
        </is>
      </c>
      <c r="I743" s="37" t="n"/>
      <c r="J743" s="37" t="n"/>
      <c r="K743" s="36" t="n"/>
      <c r="L743" s="44">
        <f>IF(G743="","",IFERROR(INDEX(Config!$K$5:$K$16,MATCH(G743,Config!$J$5:$J$16,0)),""))</f>
        <v>30</v>
      </c>
      <c r="M743" s="30">
        <f>IF(OR(G743="",F743=""),"",IFERROR(INDEX(Config!$M$5:$R$16,MATCH(G743,Config!$J$5:$J$16,0),MATCH(F743,Config!$H$5:$H$10,0)),""))</f>
        <v>380</v>
      </c>
      <c r="N743" s="29">
        <f>IF(A743="","",MONTH(A743))</f>
        <v>9</v>
      </c>
      <c r="O743" s="29">
        <f>IF(A743="","",YEAR(A743))</f>
        <v>2026</v>
      </c>
      <c r="P743" s="29" t="str">
        <f>IF(A743="","",CHOOSE(WEEKDAY(A743,2),"Segunda","Terça","Quarta","Quinta","Sexta","Sábado","Domingo"))</f>
        <v>Terça</v>
      </c>
      <c r="Q743" s="29" t="str">
        <f>IF(B743="","",IF(B743&lt;TIME(12,0,0),"Manhã",IF(B743&lt;TIME(18,0,0),"Tarde","Noite")))</f>
        <v>Manhã</v>
      </c>
      <c r="R743" s="45">
        <f>IF(AND(H743="Realizado",L743&lt;&gt;""),L743/60,0)</f>
        <v>0</v>
      </c>
    </row>
    <row r="744">
      <c r="A744" s="42">
        <f>TODAY()+1</f>
        <v>46280.0</v>
      </c>
      <c r="B744" s="43" t="n">
        <v>0.4583333333333333</v>
      </c>
      <c r="C744" s="37" t="inlineStr">
        <is>
          <t>Dra. Carolina Mendes</t>
        </is>
      </c>
      <c r="D744" s="37" t="inlineStr">
        <is>
          <t>Sala 1</t>
        </is>
      </c>
      <c r="E744" s="36" t="inlineStr">
        <is>
          <t>Carlos Barros</t>
        </is>
      </c>
      <c r="F744" s="37" t="inlineStr">
        <is>
          <t>MediPlan</t>
        </is>
      </c>
      <c r="G744" s="37" t="inlineStr">
        <is>
          <t>Consulta</t>
        </is>
      </c>
      <c r="H744" s="37" t="inlineStr">
        <is>
          <t>Confirmado</t>
        </is>
      </c>
      <c r="I744" s="37" t="n"/>
      <c r="J744" s="37" t="n"/>
      <c r="K744" s="36" t="n"/>
      <c r="L744" s="44">
        <f>IF(G744="","",IFERROR(INDEX(Config!$K$5:$K$16,MATCH(G744,Config!$J$5:$J$16,0)),""))</f>
        <v>30</v>
      </c>
      <c r="M744" s="30">
        <f>IF(OR(G744="",F744=""),"",IFERROR(INDEX(Config!$M$5:$R$16,MATCH(G744,Config!$J$5:$J$16,0),MATCH(F744,Config!$H$5:$H$10,0)),""))</f>
        <v>100</v>
      </c>
      <c r="N744" s="29">
        <f>IF(A744="","",MONTH(A744))</f>
        <v>9</v>
      </c>
      <c r="O744" s="29">
        <f>IF(A744="","",YEAR(A744))</f>
        <v>2026</v>
      </c>
      <c r="P744" s="29" t="str">
        <f>IF(A744="","",CHOOSE(WEEKDAY(A744,2),"Segunda","Terça","Quarta","Quinta","Sexta","Sábado","Domingo"))</f>
        <v>Terça</v>
      </c>
      <c r="Q744" s="29" t="str">
        <f>IF(B744="","",IF(B744&lt;TIME(12,0,0),"Manhã",IF(B744&lt;TIME(18,0,0),"Tarde","Noite")))</f>
        <v>Manhã</v>
      </c>
      <c r="R744" s="45">
        <f>IF(AND(H744="Realizado",L744&lt;&gt;""),L744/60,0)</f>
        <v>0</v>
      </c>
    </row>
    <row r="745">
      <c r="A745" s="42">
        <f>TODAY()+1</f>
        <v>46280.0</v>
      </c>
      <c r="B745" s="43" t="n">
        <v>0.4791666666666667</v>
      </c>
      <c r="C745" s="37" t="inlineStr">
        <is>
          <t>Dra. Carolina Mendes</t>
        </is>
      </c>
      <c r="D745" s="37" t="inlineStr">
        <is>
          <t>Sala 1</t>
        </is>
      </c>
      <c r="E745" s="36" t="inlineStr">
        <is>
          <t>Otávio Cardoso</t>
        </is>
      </c>
      <c r="F745" s="37" t="inlineStr">
        <is>
          <t>Particular</t>
        </is>
      </c>
      <c r="G745" s="37" t="inlineStr">
        <is>
          <t>Consulta</t>
        </is>
      </c>
      <c r="H745" s="37" t="inlineStr">
        <is>
          <t>Confirmado</t>
        </is>
      </c>
      <c r="I745" s="37" t="n"/>
      <c r="J745" s="37" t="n"/>
      <c r="K745" s="36" t="n"/>
      <c r="L745" s="44">
        <f>IF(G745="","",IFERROR(INDEX(Config!$K$5:$K$16,MATCH(G745,Config!$J$5:$J$16,0)),""))</f>
        <v>30</v>
      </c>
      <c r="M745" s="30">
        <f>IF(OR(G745="",F745=""),"",IFERROR(INDEX(Config!$M$5:$R$16,MATCH(G745,Config!$J$5:$J$16,0),MATCH(F745,Config!$H$5:$H$10,0)),""))</f>
        <v>380</v>
      </c>
      <c r="N745" s="29">
        <f>IF(A745="","",MONTH(A745))</f>
        <v>9</v>
      </c>
      <c r="O745" s="29">
        <f>IF(A745="","",YEAR(A745))</f>
        <v>2026</v>
      </c>
      <c r="P745" s="29" t="str">
        <f>IF(A745="","",CHOOSE(WEEKDAY(A745,2),"Segunda","Terça","Quarta","Quinta","Sexta","Sábado","Domingo"))</f>
        <v>Terça</v>
      </c>
      <c r="Q745" s="29" t="str">
        <f>IF(B745="","",IF(B745&lt;TIME(12,0,0),"Manhã",IF(B745&lt;TIME(18,0,0),"Tarde","Noite")))</f>
        <v>Manhã</v>
      </c>
      <c r="R745" s="45">
        <f>IF(AND(H745="Realizado",L745&lt;&gt;""),L745/60,0)</f>
        <v>0</v>
      </c>
    </row>
    <row r="746">
      <c r="A746" s="42">
        <f>TODAY()+1</f>
        <v>46280.0</v>
      </c>
      <c r="B746" s="43" t="n">
        <v>0.5833333333333334</v>
      </c>
      <c r="C746" s="37" t="inlineStr">
        <is>
          <t>Dra. Renata Sousa</t>
        </is>
      </c>
      <c r="D746" s="37" t="inlineStr">
        <is>
          <t>Sala 1</t>
        </is>
      </c>
      <c r="E746" s="36" t="inlineStr">
        <is>
          <t>Thiago Melo</t>
        </is>
      </c>
      <c r="F746" s="37" t="inlineStr">
        <is>
          <t>Particular</t>
        </is>
      </c>
      <c r="G746" s="37" t="inlineStr">
        <is>
          <t>Avaliação endócrina</t>
        </is>
      </c>
      <c r="H746" s="37" t="inlineStr">
        <is>
          <t>Confirmado</t>
        </is>
      </c>
      <c r="I746" s="37" t="n"/>
      <c r="J746" s="37" t="n"/>
      <c r="K746" s="36" t="n"/>
      <c r="L746" s="44">
        <f>IF(G746="","",IFERROR(INDEX(Config!$K$5:$K$16,MATCH(G746,Config!$J$5:$J$16,0)),""))</f>
        <v>40</v>
      </c>
      <c r="M746" s="30">
        <f>IF(OR(G746="",F746=""),"",IFERROR(INDEX(Config!$M$5:$R$16,MATCH(G746,Config!$J$5:$J$16,0),MATCH(F746,Config!$H$5:$H$10,0)),""))</f>
        <v>400</v>
      </c>
      <c r="N746" s="29">
        <f>IF(A746="","",MONTH(A746))</f>
        <v>9</v>
      </c>
      <c r="O746" s="29">
        <f>IF(A746="","",YEAR(A746))</f>
        <v>2026</v>
      </c>
      <c r="P746" s="29" t="str">
        <f>IF(A746="","",CHOOSE(WEEKDAY(A746,2),"Segunda","Terça","Quarta","Quinta","Sexta","Sábado","Domingo"))</f>
        <v>Terça</v>
      </c>
      <c r="Q746" s="29" t="str">
        <f>IF(B746="","",IF(B746&lt;TIME(12,0,0),"Manhã",IF(B746&lt;TIME(18,0,0),"Tarde","Noite")))</f>
        <v>Tarde</v>
      </c>
      <c r="R746" s="45">
        <f>IF(AND(H746="Realizado",L746&lt;&gt;""),L746/60,0)</f>
        <v>0</v>
      </c>
    </row>
    <row r="747">
      <c r="A747" s="42">
        <f>TODAY()+1</f>
        <v>46280.0</v>
      </c>
      <c r="B747" s="43" t="n">
        <v>0.5833333333333334</v>
      </c>
      <c r="C747" s="37" t="inlineStr">
        <is>
          <t>Dr. Paulo Andrade</t>
        </is>
      </c>
      <c r="D747" s="37" t="inlineStr">
        <is>
          <t>Sala 2</t>
        </is>
      </c>
      <c r="E747" s="36" t="inlineStr">
        <is>
          <t>Letícia Vieira</t>
        </is>
      </c>
      <c r="F747" s="37" t="inlineStr">
        <is>
          <t>Saúde Total</t>
        </is>
      </c>
      <c r="G747" s="37" t="inlineStr">
        <is>
          <t>ECG</t>
        </is>
      </c>
      <c r="H747" s="37" t="inlineStr">
        <is>
          <t>Confirmado</t>
        </is>
      </c>
      <c r="I747" s="37" t="n"/>
      <c r="J747" s="37" t="n"/>
      <c r="K747" s="36" t="n"/>
      <c r="L747" s="44">
        <f>IF(G747="","",IFERROR(INDEX(Config!$K$5:$K$16,MATCH(G747,Config!$J$5:$J$16,0)),""))</f>
        <v>20</v>
      </c>
      <c r="M747" s="30">
        <f>IF(OR(G747="",F747=""),"",IFERROR(INDEX(Config!$M$5:$R$16,MATCH(G747,Config!$J$5:$J$16,0),MATCH(F747,Config!$H$5:$H$10,0)),""))</f>
        <v>40</v>
      </c>
      <c r="N747" s="29">
        <f>IF(A747="","",MONTH(A747))</f>
        <v>9</v>
      </c>
      <c r="O747" s="29">
        <f>IF(A747="","",YEAR(A747))</f>
        <v>2026</v>
      </c>
      <c r="P747" s="29" t="str">
        <f>IF(A747="","",CHOOSE(WEEKDAY(A747,2),"Segunda","Terça","Quarta","Quinta","Sexta","Sábado","Domingo"))</f>
        <v>Terça</v>
      </c>
      <c r="Q747" s="29" t="str">
        <f>IF(B747="","",IF(B747&lt;TIME(12,0,0),"Manhã",IF(B747&lt;TIME(18,0,0),"Tarde","Noite")))</f>
        <v>Tarde</v>
      </c>
      <c r="R747" s="45">
        <f>IF(AND(H747="Realizado",L747&lt;&gt;""),L747/60,0)</f>
        <v>0</v>
      </c>
    </row>
    <row r="748">
      <c r="A748" s="42">
        <f>TODAY()+1</f>
        <v>46280.0</v>
      </c>
      <c r="B748" s="43" t="n">
        <v>0.5972222222222222</v>
      </c>
      <c r="C748" s="37" t="inlineStr">
        <is>
          <t>Dr. Paulo Andrade</t>
        </is>
      </c>
      <c r="D748" s="37" t="inlineStr">
        <is>
          <t>Sala 2</t>
        </is>
      </c>
      <c r="E748" s="36" t="inlineStr">
        <is>
          <t>Sérgio Batista</t>
        </is>
      </c>
      <c r="F748" s="37" t="inlineStr">
        <is>
          <t>MediPlan</t>
        </is>
      </c>
      <c r="G748" s="37" t="inlineStr">
        <is>
          <t>ECG</t>
        </is>
      </c>
      <c r="H748" s="37" t="inlineStr">
        <is>
          <t>Confirmado</t>
        </is>
      </c>
      <c r="I748" s="37" t="n"/>
      <c r="J748" s="37" t="n"/>
      <c r="K748" s="36" t="n"/>
      <c r="L748" s="44">
        <f>IF(G748="","",IFERROR(INDEX(Config!$K$5:$K$16,MATCH(G748,Config!$J$5:$J$16,0)),""))</f>
        <v>20</v>
      </c>
      <c r="M748" s="30">
        <f>IF(OR(G748="",F748=""),"",IFERROR(INDEX(Config!$M$5:$R$16,MATCH(G748,Config!$J$5:$J$16,0),MATCH(F748,Config!$H$5:$H$10,0)),""))</f>
        <v>35</v>
      </c>
      <c r="N748" s="29">
        <f>IF(A748="","",MONTH(A748))</f>
        <v>9</v>
      </c>
      <c r="O748" s="29">
        <f>IF(A748="","",YEAR(A748))</f>
        <v>2026</v>
      </c>
      <c r="P748" s="29" t="str">
        <f>IF(A748="","",CHOOSE(WEEKDAY(A748,2),"Segunda","Terça","Quarta","Quinta","Sexta","Sábado","Domingo"))</f>
        <v>Terça</v>
      </c>
      <c r="Q748" s="29" t="str">
        <f>IF(B748="","",IF(B748&lt;TIME(12,0,0),"Manhã",IF(B748&lt;TIME(18,0,0),"Tarde","Noite")))</f>
        <v>Tarde</v>
      </c>
      <c r="R748" s="45">
        <f>IF(AND(H748="Realizado",L748&lt;&gt;""),L748/60,0)</f>
        <v>0</v>
      </c>
    </row>
    <row r="749">
      <c r="A749" s="42">
        <f>TODAY()+1</f>
        <v>46280.0</v>
      </c>
      <c r="B749" s="43" t="n">
        <v>0.6111111111111112</v>
      </c>
      <c r="C749" s="37" t="inlineStr">
        <is>
          <t>Dra. Renata Sousa</t>
        </is>
      </c>
      <c r="D749" s="37" t="inlineStr">
        <is>
          <t>Sala 1</t>
        </is>
      </c>
      <c r="E749" s="36" t="inlineStr">
        <is>
          <t>Isabela Xavier</t>
        </is>
      </c>
      <c r="F749" s="37" t="inlineStr">
        <is>
          <t>Particular</t>
        </is>
      </c>
      <c r="G749" s="37" t="inlineStr">
        <is>
          <t>Retorno</t>
        </is>
      </c>
      <c r="H749" s="37" t="inlineStr">
        <is>
          <t>Agendado</t>
        </is>
      </c>
      <c r="I749" s="37" t="n"/>
      <c r="J749" s="37" t="n"/>
      <c r="K749" s="36" t="n"/>
      <c r="L749" s="44">
        <f>IF(G749="","",IFERROR(INDEX(Config!$K$5:$K$16,MATCH(G749,Config!$J$5:$J$16,0)),""))</f>
        <v>20</v>
      </c>
      <c r="M749" s="30">
        <f>IF(OR(G749="",F749=""),"",IFERROR(INDEX(Config!$M$5:$R$16,MATCH(G749,Config!$J$5:$J$16,0),MATCH(F749,Config!$H$5:$H$10,0)),""))</f>
        <v>0</v>
      </c>
      <c r="N749" s="29">
        <f>IF(A749="","",MONTH(A749))</f>
        <v>9</v>
      </c>
      <c r="O749" s="29">
        <f>IF(A749="","",YEAR(A749))</f>
        <v>2026</v>
      </c>
      <c r="P749" s="29" t="str">
        <f>IF(A749="","",CHOOSE(WEEKDAY(A749,2),"Segunda","Terça","Quarta","Quinta","Sexta","Sábado","Domingo"))</f>
        <v>Terça</v>
      </c>
      <c r="Q749" s="29" t="str">
        <f>IF(B749="","",IF(B749&lt;TIME(12,0,0),"Manhã",IF(B749&lt;TIME(18,0,0),"Tarde","Noite")))</f>
        <v>Tarde</v>
      </c>
      <c r="R749" s="45">
        <f>IF(AND(H749="Realizado",L749&lt;&gt;""),L749/60,0)</f>
        <v>0</v>
      </c>
    </row>
    <row r="750">
      <c r="A750" s="42">
        <f>TODAY()+1</f>
        <v>46280.0</v>
      </c>
      <c r="B750" s="43" t="n">
        <v>0.6111111111111112</v>
      </c>
      <c r="C750" s="37" t="inlineStr">
        <is>
          <t>Dr. Paulo Andrade</t>
        </is>
      </c>
      <c r="D750" s="37" t="inlineStr">
        <is>
          <t>Sala 2</t>
        </is>
      </c>
      <c r="E750" s="36" t="inlineStr">
        <is>
          <t>Lucas Cardoso</t>
        </is>
      </c>
      <c r="F750" s="37" t="inlineStr">
        <is>
          <t>Particular</t>
        </is>
      </c>
      <c r="G750" s="37" t="inlineStr">
        <is>
          <t>Retorno</t>
        </is>
      </c>
      <c r="H750" s="37" t="inlineStr">
        <is>
          <t>Confirmado</t>
        </is>
      </c>
      <c r="I750" s="37" t="n"/>
      <c r="J750" s="37" t="n"/>
      <c r="K750" s="36" t="n"/>
      <c r="L750" s="44">
        <f>IF(G750="","",IFERROR(INDEX(Config!$K$5:$K$16,MATCH(G750,Config!$J$5:$J$16,0)),""))</f>
        <v>20</v>
      </c>
      <c r="M750" s="30">
        <f>IF(OR(G750="",F750=""),"",IFERROR(INDEX(Config!$M$5:$R$16,MATCH(G750,Config!$J$5:$J$16,0),MATCH(F750,Config!$H$5:$H$10,0)),""))</f>
        <v>0</v>
      </c>
      <c r="N750" s="29">
        <f>IF(A750="","",MONTH(A750))</f>
        <v>9</v>
      </c>
      <c r="O750" s="29">
        <f>IF(A750="","",YEAR(A750))</f>
        <v>2026</v>
      </c>
      <c r="P750" s="29" t="str">
        <f>IF(A750="","",CHOOSE(WEEKDAY(A750,2),"Segunda","Terça","Quarta","Quinta","Sexta","Sábado","Domingo"))</f>
        <v>Terça</v>
      </c>
      <c r="Q750" s="29" t="str">
        <f>IF(B750="","",IF(B750&lt;TIME(12,0,0),"Manhã",IF(B750&lt;TIME(18,0,0),"Tarde","Noite")))</f>
        <v>Tarde</v>
      </c>
      <c r="R750" s="45">
        <f>IF(AND(H750="Realizado",L750&lt;&gt;""),L750/60,0)</f>
        <v>0</v>
      </c>
    </row>
    <row r="751">
      <c r="A751" s="42">
        <f>TODAY()+1</f>
        <v>46280.0</v>
      </c>
      <c r="B751" s="43" t="n">
        <v>0.625</v>
      </c>
      <c r="C751" s="37" t="inlineStr">
        <is>
          <t>Dra. Renata Sousa</t>
        </is>
      </c>
      <c r="D751" s="37" t="inlineStr">
        <is>
          <t>Sala 1</t>
        </is>
      </c>
      <c r="E751" s="36" t="inlineStr">
        <is>
          <t>Beatriz Gomes</t>
        </is>
      </c>
      <c r="F751" s="37" t="inlineStr">
        <is>
          <t>Particular</t>
        </is>
      </c>
      <c r="G751" s="37" t="inlineStr">
        <is>
          <t>Avaliação endócrina</t>
        </is>
      </c>
      <c r="H751" s="37" t="inlineStr">
        <is>
          <t>Confirmado</t>
        </is>
      </c>
      <c r="I751" s="37" t="n"/>
      <c r="J751" s="37" t="n"/>
      <c r="K751" s="36" t="n"/>
      <c r="L751" s="44">
        <f>IF(G751="","",IFERROR(INDEX(Config!$K$5:$K$16,MATCH(G751,Config!$J$5:$J$16,0)),""))</f>
        <v>40</v>
      </c>
      <c r="M751" s="30">
        <f>IF(OR(G751="",F751=""),"",IFERROR(INDEX(Config!$M$5:$R$16,MATCH(G751,Config!$J$5:$J$16,0),MATCH(F751,Config!$H$5:$H$10,0)),""))</f>
        <v>400</v>
      </c>
      <c r="N751" s="29">
        <f>IF(A751="","",MONTH(A751))</f>
        <v>9</v>
      </c>
      <c r="O751" s="29">
        <f>IF(A751="","",YEAR(A751))</f>
        <v>2026</v>
      </c>
      <c r="P751" s="29" t="str">
        <f>IF(A751="","",CHOOSE(WEEKDAY(A751,2),"Segunda","Terça","Quarta","Quinta","Sexta","Sábado","Domingo"))</f>
        <v>Terça</v>
      </c>
      <c r="Q751" s="29" t="str">
        <f>IF(B751="","",IF(B751&lt;TIME(12,0,0),"Manhã",IF(B751&lt;TIME(18,0,0),"Tarde","Noite")))</f>
        <v>Tarde</v>
      </c>
      <c r="R751" s="45">
        <f>IF(AND(H751="Realizado",L751&lt;&gt;""),L751/60,0)</f>
        <v>0</v>
      </c>
    </row>
    <row r="752">
      <c r="A752" s="42">
        <f>TODAY()+1</f>
        <v>46280.0</v>
      </c>
      <c r="B752" s="43" t="n">
        <v>0.625</v>
      </c>
      <c r="C752" s="37" t="inlineStr">
        <is>
          <t>Dr. Paulo Andrade</t>
        </is>
      </c>
      <c r="D752" s="37" t="inlineStr">
        <is>
          <t>Sala 2</t>
        </is>
      </c>
      <c r="E752" s="36" t="inlineStr">
        <is>
          <t>Carlos Oliveira</t>
        </is>
      </c>
      <c r="F752" s="37" t="inlineStr">
        <is>
          <t>Particular</t>
        </is>
      </c>
      <c r="G752" s="37" t="inlineStr">
        <is>
          <t>Consulta</t>
        </is>
      </c>
      <c r="H752" s="37" t="inlineStr">
        <is>
          <t>Confirmado</t>
        </is>
      </c>
      <c r="I752" s="37" t="n"/>
      <c r="J752" s="37" t="n"/>
      <c r="K752" s="36" t="n"/>
      <c r="L752" s="44">
        <f>IF(G752="","",IFERROR(INDEX(Config!$K$5:$K$16,MATCH(G752,Config!$J$5:$J$16,0)),""))</f>
        <v>30</v>
      </c>
      <c r="M752" s="30">
        <f>IF(OR(G752="",F752=""),"",IFERROR(INDEX(Config!$M$5:$R$16,MATCH(G752,Config!$J$5:$J$16,0),MATCH(F752,Config!$H$5:$H$10,0)),""))</f>
        <v>380</v>
      </c>
      <c r="N752" s="29">
        <f>IF(A752="","",MONTH(A752))</f>
        <v>9</v>
      </c>
      <c r="O752" s="29">
        <f>IF(A752="","",YEAR(A752))</f>
        <v>2026</v>
      </c>
      <c r="P752" s="29" t="str">
        <f>IF(A752="","",CHOOSE(WEEKDAY(A752,2),"Segunda","Terça","Quarta","Quinta","Sexta","Sábado","Domingo"))</f>
        <v>Terça</v>
      </c>
      <c r="Q752" s="29" t="str">
        <f>IF(B752="","",IF(B752&lt;TIME(12,0,0),"Manhã",IF(B752&lt;TIME(18,0,0),"Tarde","Noite")))</f>
        <v>Tarde</v>
      </c>
      <c r="R752" s="45">
        <f>IF(AND(H752="Realizado",L752&lt;&gt;""),L752/60,0)</f>
        <v>0</v>
      </c>
    </row>
    <row r="753">
      <c r="A753" s="42">
        <f>TODAY()+1</f>
        <v>46280.0</v>
      </c>
      <c r="B753" s="43" t="n">
        <v>0.6458333333333334</v>
      </c>
      <c r="C753" s="37" t="inlineStr">
        <is>
          <t>Dr. Paulo Andrade</t>
        </is>
      </c>
      <c r="D753" s="37" t="inlineStr">
        <is>
          <t>Sala 2</t>
        </is>
      </c>
      <c r="E753" s="36" t="inlineStr">
        <is>
          <t>Rafael Correia</t>
        </is>
      </c>
      <c r="F753" s="37" t="inlineStr">
        <is>
          <t>Particular</t>
        </is>
      </c>
      <c r="G753" s="37" t="inlineStr">
        <is>
          <t>Consulta</t>
        </is>
      </c>
      <c r="H753" s="37" t="inlineStr">
        <is>
          <t>Confirmado</t>
        </is>
      </c>
      <c r="I753" s="37" t="n"/>
      <c r="J753" s="37" t="n"/>
      <c r="K753" s="36" t="n"/>
      <c r="L753" s="44">
        <f>IF(G753="","",IFERROR(INDEX(Config!$K$5:$K$16,MATCH(G753,Config!$J$5:$J$16,0)),""))</f>
        <v>30</v>
      </c>
      <c r="M753" s="30">
        <f>IF(OR(G753="",F753=""),"",IFERROR(INDEX(Config!$M$5:$R$16,MATCH(G753,Config!$J$5:$J$16,0),MATCH(F753,Config!$H$5:$H$10,0)),""))</f>
        <v>380</v>
      </c>
      <c r="N753" s="29">
        <f>IF(A753="","",MONTH(A753))</f>
        <v>9</v>
      </c>
      <c r="O753" s="29">
        <f>IF(A753="","",YEAR(A753))</f>
        <v>2026</v>
      </c>
      <c r="P753" s="29" t="str">
        <f>IF(A753="","",CHOOSE(WEEKDAY(A753,2),"Segunda","Terça","Quarta","Quinta","Sexta","Sábado","Domingo"))</f>
        <v>Terça</v>
      </c>
      <c r="Q753" s="29" t="str">
        <f>IF(B753="","",IF(B753&lt;TIME(12,0,0),"Manhã",IF(B753&lt;TIME(18,0,0),"Tarde","Noite")))</f>
        <v>Tarde</v>
      </c>
      <c r="R753" s="45">
        <f>IF(AND(H753="Realizado",L753&lt;&gt;""),L753/60,0)</f>
        <v>0</v>
      </c>
    </row>
    <row r="754">
      <c r="A754" s="42">
        <f>TODAY()+1</f>
        <v>46280.0</v>
      </c>
      <c r="B754" s="43" t="n">
        <v>0.6527777777777778</v>
      </c>
      <c r="C754" s="37" t="inlineStr">
        <is>
          <t>Dra. Renata Sousa</t>
        </is>
      </c>
      <c r="D754" s="37" t="inlineStr">
        <is>
          <t>Sala 1</t>
        </is>
      </c>
      <c r="E754" s="36" t="inlineStr">
        <is>
          <t>Fábio Gomes</t>
        </is>
      </c>
      <c r="F754" s="37" t="inlineStr">
        <is>
          <t>Particular</t>
        </is>
      </c>
      <c r="G754" s="37" t="inlineStr">
        <is>
          <t>Avaliação endócrina</t>
        </is>
      </c>
      <c r="H754" s="37" t="inlineStr">
        <is>
          <t>Agendado</t>
        </is>
      </c>
      <c r="I754" s="37" t="n"/>
      <c r="J754" s="37" t="n"/>
      <c r="K754" s="36" t="n"/>
      <c r="L754" s="44">
        <f>IF(G754="","",IFERROR(INDEX(Config!$K$5:$K$16,MATCH(G754,Config!$J$5:$J$16,0)),""))</f>
        <v>40</v>
      </c>
      <c r="M754" s="30">
        <f>IF(OR(G754="",F754=""),"",IFERROR(INDEX(Config!$M$5:$R$16,MATCH(G754,Config!$J$5:$J$16,0),MATCH(F754,Config!$H$5:$H$10,0)),""))</f>
        <v>400</v>
      </c>
      <c r="N754" s="29">
        <f>IF(A754="","",MONTH(A754))</f>
        <v>9</v>
      </c>
      <c r="O754" s="29">
        <f>IF(A754="","",YEAR(A754))</f>
        <v>2026</v>
      </c>
      <c r="P754" s="29" t="str">
        <f>IF(A754="","",CHOOSE(WEEKDAY(A754,2),"Segunda","Terça","Quarta","Quinta","Sexta","Sábado","Domingo"))</f>
        <v>Terça</v>
      </c>
      <c r="Q754" s="29" t="str">
        <f>IF(B754="","",IF(B754&lt;TIME(12,0,0),"Manhã",IF(B754&lt;TIME(18,0,0),"Tarde","Noite")))</f>
        <v>Tarde</v>
      </c>
      <c r="R754" s="45">
        <f>IF(AND(H754="Realizado",L754&lt;&gt;""),L754/60,0)</f>
        <v>0</v>
      </c>
    </row>
    <row r="755">
      <c r="A755" s="42">
        <f>TODAY()+1</f>
        <v>46280.0</v>
      </c>
      <c r="B755" s="43" t="n">
        <v>0.6666666666666666</v>
      </c>
      <c r="C755" s="37" t="inlineStr">
        <is>
          <t>Dr. Paulo Andrade</t>
        </is>
      </c>
      <c r="D755" s="37" t="inlineStr">
        <is>
          <t>Sala 2</t>
        </is>
      </c>
      <c r="E755" s="36" t="inlineStr">
        <is>
          <t>Carlos Barros</t>
        </is>
      </c>
      <c r="F755" s="37" t="inlineStr">
        <is>
          <t>MediPlan</t>
        </is>
      </c>
      <c r="G755" s="37" t="inlineStr">
        <is>
          <t>ECG</t>
        </is>
      </c>
      <c r="H755" s="37" t="inlineStr">
        <is>
          <t>Confirmado</t>
        </is>
      </c>
      <c r="I755" s="37" t="n"/>
      <c r="J755" s="37" t="n"/>
      <c r="K755" s="36" t="n"/>
      <c r="L755" s="44">
        <f>IF(G755="","",IFERROR(INDEX(Config!$K$5:$K$16,MATCH(G755,Config!$J$5:$J$16,0)),""))</f>
        <v>20</v>
      </c>
      <c r="M755" s="30">
        <f>IF(OR(G755="",F755=""),"",IFERROR(INDEX(Config!$M$5:$R$16,MATCH(G755,Config!$J$5:$J$16,0),MATCH(F755,Config!$H$5:$H$10,0)),""))</f>
        <v>35</v>
      </c>
      <c r="N755" s="29">
        <f>IF(A755="","",MONTH(A755))</f>
        <v>9</v>
      </c>
      <c r="O755" s="29">
        <f>IF(A755="","",YEAR(A755))</f>
        <v>2026</v>
      </c>
      <c r="P755" s="29" t="str">
        <f>IF(A755="","",CHOOSE(WEEKDAY(A755,2),"Segunda","Terça","Quarta","Quinta","Sexta","Sábado","Domingo"))</f>
        <v>Terça</v>
      </c>
      <c r="Q755" s="29" t="str">
        <f>IF(B755="","",IF(B755&lt;TIME(12,0,0),"Manhã",IF(B755&lt;TIME(18,0,0),"Tarde","Noite")))</f>
        <v>Tarde</v>
      </c>
      <c r="R755" s="45">
        <f>IF(AND(H755="Realizado",L755&lt;&gt;""),L755/60,0)</f>
        <v>0</v>
      </c>
    </row>
    <row r="756">
      <c r="A756" s="42">
        <f>TODAY()+1</f>
        <v>46280.0</v>
      </c>
      <c r="B756" s="43" t="n">
        <v>0.6805555555555556</v>
      </c>
      <c r="C756" s="37" t="inlineStr">
        <is>
          <t>Dr. Paulo Andrade</t>
        </is>
      </c>
      <c r="D756" s="37" t="inlineStr">
        <is>
          <t>Sala 2</t>
        </is>
      </c>
      <c r="E756" s="36" t="inlineStr">
        <is>
          <t>Priscila Castro</t>
        </is>
      </c>
      <c r="F756" s="37" t="inlineStr">
        <is>
          <t>Saúde Total</t>
        </is>
      </c>
      <c r="G756" s="37" t="inlineStr">
        <is>
          <t>Teste ergométrico</t>
        </is>
      </c>
      <c r="H756" s="37" t="inlineStr">
        <is>
          <t>Confirmado</t>
        </is>
      </c>
      <c r="I756" s="37" t="n"/>
      <c r="J756" s="37" t="n"/>
      <c r="K756" s="36" t="n"/>
      <c r="L756" s="44">
        <f>IF(G756="","",IFERROR(INDEX(Config!$K$5:$K$16,MATCH(G756,Config!$J$5:$J$16,0)),""))</f>
        <v>40</v>
      </c>
      <c r="M756" s="30">
        <f>IF(OR(G756="",F756=""),"",IFERROR(INDEX(Config!$M$5:$R$16,MATCH(G756,Config!$J$5:$J$16,0),MATCH(F756,Config!$H$5:$H$10,0)),""))</f>
        <v>140</v>
      </c>
      <c r="N756" s="29">
        <f>IF(A756="","",MONTH(A756))</f>
        <v>9</v>
      </c>
      <c r="O756" s="29">
        <f>IF(A756="","",YEAR(A756))</f>
        <v>2026</v>
      </c>
      <c r="P756" s="29" t="str">
        <f>IF(A756="","",CHOOSE(WEEKDAY(A756,2),"Segunda","Terça","Quarta","Quinta","Sexta","Sábado","Domingo"))</f>
        <v>Terça</v>
      </c>
      <c r="Q756" s="29" t="str">
        <f>IF(B756="","",IF(B756&lt;TIME(12,0,0),"Manhã",IF(B756&lt;TIME(18,0,0),"Tarde","Noite")))</f>
        <v>Tarde</v>
      </c>
      <c r="R756" s="45">
        <f>IF(AND(H756="Realizado",L756&lt;&gt;""),L756/60,0)</f>
        <v>0</v>
      </c>
    </row>
    <row r="757">
      <c r="A757" s="42">
        <f>TODAY()+1</f>
        <v>46280.0</v>
      </c>
      <c r="B757" s="43" t="n">
        <v>0.7013888888888888</v>
      </c>
      <c r="C757" s="37" t="inlineStr">
        <is>
          <t>Dra. Renata Sousa</t>
        </is>
      </c>
      <c r="D757" s="37" t="inlineStr">
        <is>
          <t>Sala 1</t>
        </is>
      </c>
      <c r="E757" s="36" t="inlineStr">
        <is>
          <t>Gabriel Reis</t>
        </is>
      </c>
      <c r="F757" s="37" t="inlineStr">
        <is>
          <t>Particular</t>
        </is>
      </c>
      <c r="G757" s="37" t="inlineStr">
        <is>
          <t>Avaliação endócrina</t>
        </is>
      </c>
      <c r="H757" s="37" t="inlineStr">
        <is>
          <t>Confirmado</t>
        </is>
      </c>
      <c r="I757" s="37" t="n"/>
      <c r="J757" s="37" t="n"/>
      <c r="K757" s="36" t="n"/>
      <c r="L757" s="44">
        <f>IF(G757="","",IFERROR(INDEX(Config!$K$5:$K$16,MATCH(G757,Config!$J$5:$J$16,0)),""))</f>
        <v>40</v>
      </c>
      <c r="M757" s="30">
        <f>IF(OR(G757="",F757=""),"",IFERROR(INDEX(Config!$M$5:$R$16,MATCH(G757,Config!$J$5:$J$16,0),MATCH(F757,Config!$H$5:$H$10,0)),""))</f>
        <v>400</v>
      </c>
      <c r="N757" s="29">
        <f>IF(A757="","",MONTH(A757))</f>
        <v>9</v>
      </c>
      <c r="O757" s="29">
        <f>IF(A757="","",YEAR(A757))</f>
        <v>2026</v>
      </c>
      <c r="P757" s="29" t="str">
        <f>IF(A757="","",CHOOSE(WEEKDAY(A757,2),"Segunda","Terça","Quarta","Quinta","Sexta","Sábado","Domingo"))</f>
        <v>Terça</v>
      </c>
      <c r="Q757" s="29" t="str">
        <f>IF(B757="","",IF(B757&lt;TIME(12,0,0),"Manhã",IF(B757&lt;TIME(18,0,0),"Tarde","Noite")))</f>
        <v>Tarde</v>
      </c>
      <c r="R757" s="45">
        <f>IF(AND(H757="Realizado",L757&lt;&gt;""),L757/60,0)</f>
        <v>0</v>
      </c>
    </row>
    <row r="758">
      <c r="A758" s="42">
        <f>TODAY()+1</f>
        <v>46280.0</v>
      </c>
      <c r="B758" s="43" t="n">
        <v>0.7291666666666666</v>
      </c>
      <c r="C758" s="37" t="inlineStr">
        <is>
          <t>Dra. Renata Sousa</t>
        </is>
      </c>
      <c r="D758" s="37" t="inlineStr">
        <is>
          <t>Sala 1</t>
        </is>
      </c>
      <c r="E758" s="36" t="inlineStr">
        <is>
          <t>Gabriel Lopes</t>
        </is>
      </c>
      <c r="F758" s="37" t="inlineStr">
        <is>
          <t>Saúde Total</t>
        </is>
      </c>
      <c r="G758" s="37" t="inlineStr">
        <is>
          <t>Avaliação endócrina</t>
        </is>
      </c>
      <c r="H758" s="37" t="inlineStr">
        <is>
          <t>Confirmado</t>
        </is>
      </c>
      <c r="I758" s="37" t="n"/>
      <c r="J758" s="37" t="n"/>
      <c r="K758" s="36" t="n"/>
      <c r="L758" s="44">
        <f>IF(G758="","",IFERROR(INDEX(Config!$K$5:$K$16,MATCH(G758,Config!$J$5:$J$16,0)),""))</f>
        <v>40</v>
      </c>
      <c r="M758" s="30">
        <f>IF(OR(G758="",F758=""),"",IFERROR(INDEX(Config!$M$5:$R$16,MATCH(G758,Config!$J$5:$J$16,0),MATCH(F758,Config!$H$5:$H$10,0)),""))</f>
        <v>130</v>
      </c>
      <c r="N758" s="29">
        <f>IF(A758="","",MONTH(A758))</f>
        <v>9</v>
      </c>
      <c r="O758" s="29">
        <f>IF(A758="","",YEAR(A758))</f>
        <v>2026</v>
      </c>
      <c r="P758" s="29" t="str">
        <f>IF(A758="","",CHOOSE(WEEKDAY(A758,2),"Segunda","Terça","Quarta","Quinta","Sexta","Sábado","Domingo"))</f>
        <v>Terça</v>
      </c>
      <c r="Q758" s="29" t="str">
        <f>IF(B758="","",IF(B758&lt;TIME(12,0,0),"Manhã",IF(B758&lt;TIME(18,0,0),"Tarde","Noite")))</f>
        <v>Tarde</v>
      </c>
      <c r="R758" s="45">
        <f>IF(AND(H758="Realizado",L758&lt;&gt;""),L758/60,0)</f>
        <v>0</v>
      </c>
    </row>
    <row r="759">
      <c r="A759" s="42">
        <f>TODAY()+2</f>
        <v>46281.0</v>
      </c>
      <c r="B759" s="43" t="n">
        <v>0.5833333333333334</v>
      </c>
      <c r="C759" s="37" t="inlineStr">
        <is>
          <t>Dra. Carolina Mendes</t>
        </is>
      </c>
      <c r="D759" s="37" t="inlineStr">
        <is>
          <t>Sala 1</t>
        </is>
      </c>
      <c r="E759" s="36" t="inlineStr">
        <is>
          <t>Rafael Dias</t>
        </is>
      </c>
      <c r="F759" s="37" t="inlineStr">
        <is>
          <t>Particular</t>
        </is>
      </c>
      <c r="G759" s="37" t="inlineStr">
        <is>
          <t>Retorno</t>
        </is>
      </c>
      <c r="H759" s="37" t="inlineStr">
        <is>
          <t>Confirmado</t>
        </is>
      </c>
      <c r="I759" s="37" t="n"/>
      <c r="J759" s="37" t="n"/>
      <c r="K759" s="36" t="n"/>
      <c r="L759" s="44">
        <f>IF(G759="","",IFERROR(INDEX(Config!$K$5:$K$16,MATCH(G759,Config!$J$5:$J$16,0)),""))</f>
        <v>20</v>
      </c>
      <c r="M759" s="30">
        <f>IF(OR(G759="",F759=""),"",IFERROR(INDEX(Config!$M$5:$R$16,MATCH(G759,Config!$J$5:$J$16,0),MATCH(F759,Config!$H$5:$H$10,0)),""))</f>
        <v>0</v>
      </c>
      <c r="N759" s="29">
        <f>IF(A759="","",MONTH(A759))</f>
        <v>9</v>
      </c>
      <c r="O759" s="29">
        <f>IF(A759="","",YEAR(A759))</f>
        <v>2026</v>
      </c>
      <c r="P759" s="29" t="str">
        <f>IF(A759="","",CHOOSE(WEEKDAY(A759,2),"Segunda","Terça","Quarta","Quinta","Sexta","Sábado","Domingo"))</f>
        <v>Quarta</v>
      </c>
      <c r="Q759" s="29" t="str">
        <f>IF(B759="","",IF(B759&lt;TIME(12,0,0),"Manhã",IF(B759&lt;TIME(18,0,0),"Tarde","Noite")))</f>
        <v>Tarde</v>
      </c>
      <c r="R759" s="45">
        <f>IF(AND(H759="Realizado",L759&lt;&gt;""),L759/60,0)</f>
        <v>0</v>
      </c>
    </row>
    <row r="760">
      <c r="A760" s="42">
        <f>TODAY()+2</f>
        <v>46281.0</v>
      </c>
      <c r="B760" s="43" t="n">
        <v>0.6180555555555556</v>
      </c>
      <c r="C760" s="37" t="inlineStr">
        <is>
          <t>Dra. Carolina Mendes</t>
        </is>
      </c>
      <c r="D760" s="37" t="inlineStr">
        <is>
          <t>Sala 1</t>
        </is>
      </c>
      <c r="E760" s="36" t="inlineStr">
        <is>
          <t>Sandra Barros</t>
        </is>
      </c>
      <c r="F760" s="37" t="inlineStr">
        <is>
          <t>Saúde Total</t>
        </is>
      </c>
      <c r="G760" s="37" t="inlineStr">
        <is>
          <t>Consulta</t>
        </is>
      </c>
      <c r="H760" s="37" t="inlineStr">
        <is>
          <t>Confirmado</t>
        </is>
      </c>
      <c r="I760" s="37" t="n"/>
      <c r="J760" s="37" t="n"/>
      <c r="K760" s="36" t="n"/>
      <c r="L760" s="44">
        <f>IF(G760="","",IFERROR(INDEX(Config!$K$5:$K$16,MATCH(G760,Config!$J$5:$J$16,0)),""))</f>
        <v>30</v>
      </c>
      <c r="M760" s="30">
        <f>IF(OR(G760="",F760=""),"",IFERROR(INDEX(Config!$M$5:$R$16,MATCH(G760,Config!$J$5:$J$16,0),MATCH(F760,Config!$H$5:$H$10,0)),""))</f>
        <v>120</v>
      </c>
      <c r="N760" s="29">
        <f>IF(A760="","",MONTH(A760))</f>
        <v>9</v>
      </c>
      <c r="O760" s="29">
        <f>IF(A760="","",YEAR(A760))</f>
        <v>2026</v>
      </c>
      <c r="P760" s="29" t="str">
        <f>IF(A760="","",CHOOSE(WEEKDAY(A760,2),"Segunda","Terça","Quarta","Quinta","Sexta","Sábado","Domingo"))</f>
        <v>Quarta</v>
      </c>
      <c r="Q760" s="29" t="str">
        <f>IF(B760="","",IF(B760&lt;TIME(12,0,0),"Manhã",IF(B760&lt;TIME(18,0,0),"Tarde","Noite")))</f>
        <v>Tarde</v>
      </c>
      <c r="R760" s="45">
        <f>IF(AND(H760="Realizado",L760&lt;&gt;""),L760/60,0)</f>
        <v>0</v>
      </c>
    </row>
    <row r="761">
      <c r="A761" s="42">
        <f>TODAY()+2</f>
        <v>46281.0</v>
      </c>
      <c r="B761" s="43" t="n">
        <v>0.6388888888888888</v>
      </c>
      <c r="C761" s="37" t="inlineStr">
        <is>
          <t>Dra. Carolina Mendes</t>
        </is>
      </c>
      <c r="D761" s="37" t="inlineStr">
        <is>
          <t>Sala 1</t>
        </is>
      </c>
      <c r="E761" s="36" t="inlineStr">
        <is>
          <t>Cláudia Santos</t>
        </is>
      </c>
      <c r="F761" s="37" t="inlineStr">
        <is>
          <t>Particular</t>
        </is>
      </c>
      <c r="G761" s="37" t="inlineStr">
        <is>
          <t>Consulta</t>
        </is>
      </c>
      <c r="H761" s="37" t="inlineStr">
        <is>
          <t>Agendado</t>
        </is>
      </c>
      <c r="I761" s="37" t="n"/>
      <c r="J761" s="37" t="n"/>
      <c r="K761" s="36" t="n"/>
      <c r="L761" s="44">
        <f>IF(G761="","",IFERROR(INDEX(Config!$K$5:$K$16,MATCH(G761,Config!$J$5:$J$16,0)),""))</f>
        <v>30</v>
      </c>
      <c r="M761" s="30">
        <f>IF(OR(G761="",F761=""),"",IFERROR(INDEX(Config!$M$5:$R$16,MATCH(G761,Config!$J$5:$J$16,0),MATCH(F761,Config!$H$5:$H$10,0)),""))</f>
        <v>380</v>
      </c>
      <c r="N761" s="29">
        <f>IF(A761="","",MONTH(A761))</f>
        <v>9</v>
      </c>
      <c r="O761" s="29">
        <f>IF(A761="","",YEAR(A761))</f>
        <v>2026</v>
      </c>
      <c r="P761" s="29" t="str">
        <f>IF(A761="","",CHOOSE(WEEKDAY(A761,2),"Segunda","Terça","Quarta","Quinta","Sexta","Sábado","Domingo"))</f>
        <v>Quarta</v>
      </c>
      <c r="Q761" s="29" t="str">
        <f>IF(B761="","",IF(B761&lt;TIME(12,0,0),"Manhã",IF(B761&lt;TIME(18,0,0),"Tarde","Noite")))</f>
        <v>Tarde</v>
      </c>
      <c r="R761" s="45">
        <f>IF(AND(H761="Realizado",L761&lt;&gt;""),L761/60,0)</f>
        <v>0</v>
      </c>
    </row>
    <row r="762">
      <c r="A762" s="42">
        <f>TODAY()+2</f>
        <v>46281.0</v>
      </c>
      <c r="B762" s="43" t="n">
        <v>0.6597222222222222</v>
      </c>
      <c r="C762" s="37" t="inlineStr">
        <is>
          <t>Dra. Carolina Mendes</t>
        </is>
      </c>
      <c r="D762" s="37" t="inlineStr">
        <is>
          <t>Sala 1</t>
        </is>
      </c>
      <c r="E762" s="36" t="inlineStr">
        <is>
          <t>Simone Monteiro</t>
        </is>
      </c>
      <c r="F762" s="37" t="inlineStr">
        <is>
          <t>Vida Care</t>
        </is>
      </c>
      <c r="G762" s="37" t="inlineStr">
        <is>
          <t>Consulta</t>
        </is>
      </c>
      <c r="H762" s="37" t="inlineStr">
        <is>
          <t>Agendado</t>
        </is>
      </c>
      <c r="I762" s="37" t="n"/>
      <c r="J762" s="37" t="n"/>
      <c r="K762" s="36" t="n"/>
      <c r="L762" s="44">
        <f>IF(G762="","",IFERROR(INDEX(Config!$K$5:$K$16,MATCH(G762,Config!$J$5:$J$16,0)),""))</f>
        <v>30</v>
      </c>
      <c r="M762" s="30">
        <f>IF(OR(G762="",F762=""),"",IFERROR(INDEX(Config!$M$5:$R$16,MATCH(G762,Config!$J$5:$J$16,0),MATCH(F762,Config!$H$5:$H$10,0)),""))</f>
        <v>90</v>
      </c>
      <c r="N762" s="29">
        <f>IF(A762="","",MONTH(A762))</f>
        <v>9</v>
      </c>
      <c r="O762" s="29">
        <f>IF(A762="","",YEAR(A762))</f>
        <v>2026</v>
      </c>
      <c r="P762" s="29" t="str">
        <f>IF(A762="","",CHOOSE(WEEKDAY(A762,2),"Segunda","Terça","Quarta","Quinta","Sexta","Sábado","Domingo"))</f>
        <v>Quarta</v>
      </c>
      <c r="Q762" s="29" t="str">
        <f>IF(B762="","",IF(B762&lt;TIME(12,0,0),"Manhã",IF(B762&lt;TIME(18,0,0),"Tarde","Noite")))</f>
        <v>Tarde</v>
      </c>
      <c r="R762" s="45">
        <f>IF(AND(H762="Realizado",L762&lt;&gt;""),L762/60,0)</f>
        <v>0</v>
      </c>
    </row>
    <row r="763">
      <c r="A763" s="42">
        <f>TODAY()+2</f>
        <v>46281.0</v>
      </c>
      <c r="B763" s="43" t="n">
        <v>0.6805555555555556</v>
      </c>
      <c r="C763" s="37" t="inlineStr">
        <is>
          <t>Dra. Carolina Mendes</t>
        </is>
      </c>
      <c r="D763" s="37" t="inlineStr">
        <is>
          <t>Sala 1</t>
        </is>
      </c>
      <c r="E763" s="36" t="inlineStr">
        <is>
          <t>Mônica Teixeira</t>
        </is>
      </c>
      <c r="F763" s="37" t="inlineStr">
        <is>
          <t>Vida Care</t>
        </is>
      </c>
      <c r="G763" s="37" t="inlineStr">
        <is>
          <t>Retorno</t>
        </is>
      </c>
      <c r="H763" s="37" t="inlineStr">
        <is>
          <t>Confirmado</t>
        </is>
      </c>
      <c r="I763" s="37" t="n"/>
      <c r="J763" s="37" t="n"/>
      <c r="K763" s="36" t="n"/>
      <c r="L763" s="44">
        <f>IF(G763="","",IFERROR(INDEX(Config!$K$5:$K$16,MATCH(G763,Config!$J$5:$J$16,0)),""))</f>
        <v>20</v>
      </c>
      <c r="M763" s="30">
        <f>IF(OR(G763="",F763=""),"",IFERROR(INDEX(Config!$M$5:$R$16,MATCH(G763,Config!$J$5:$J$16,0),MATCH(F763,Config!$H$5:$H$10,0)),""))</f>
        <v>0</v>
      </c>
      <c r="N763" s="29">
        <f>IF(A763="","",MONTH(A763))</f>
        <v>9</v>
      </c>
      <c r="O763" s="29">
        <f>IF(A763="","",YEAR(A763))</f>
        <v>2026</v>
      </c>
      <c r="P763" s="29" t="str">
        <f>IF(A763="","",CHOOSE(WEEKDAY(A763,2),"Segunda","Terça","Quarta","Quinta","Sexta","Sábado","Domingo"))</f>
        <v>Quarta</v>
      </c>
      <c r="Q763" s="29" t="str">
        <f>IF(B763="","",IF(B763&lt;TIME(12,0,0),"Manhã",IF(B763&lt;TIME(18,0,0),"Tarde","Noite")))</f>
        <v>Tarde</v>
      </c>
      <c r="R763" s="45">
        <f>IF(AND(H763="Realizado",L763&lt;&gt;""),L763/60,0)</f>
        <v>0</v>
      </c>
    </row>
    <row r="764">
      <c r="A764" s="42">
        <f>TODAY()+2</f>
        <v>46281.0</v>
      </c>
      <c r="B764" s="43" t="n">
        <v>0.7152777777777778</v>
      </c>
      <c r="C764" s="37" t="inlineStr">
        <is>
          <t>Dra. Carolina Mendes</t>
        </is>
      </c>
      <c r="D764" s="37" t="inlineStr">
        <is>
          <t>Sala 1</t>
        </is>
      </c>
      <c r="E764" s="36" t="inlineStr">
        <is>
          <t>Camila Batista</t>
        </is>
      </c>
      <c r="F764" s="37" t="inlineStr">
        <is>
          <t>MediPlan</t>
        </is>
      </c>
      <c r="G764" s="37" t="inlineStr">
        <is>
          <t>Retorno</t>
        </is>
      </c>
      <c r="H764" s="37" t="inlineStr">
        <is>
          <t>Confirmado</t>
        </is>
      </c>
      <c r="I764" s="37" t="n"/>
      <c r="J764" s="37" t="n"/>
      <c r="K764" s="36" t="n"/>
      <c r="L764" s="44">
        <f>IF(G764="","",IFERROR(INDEX(Config!$K$5:$K$16,MATCH(G764,Config!$J$5:$J$16,0)),""))</f>
        <v>20</v>
      </c>
      <c r="M764" s="30">
        <f>IF(OR(G764="",F764=""),"",IFERROR(INDEX(Config!$M$5:$R$16,MATCH(G764,Config!$J$5:$J$16,0),MATCH(F764,Config!$H$5:$H$10,0)),""))</f>
        <v>0</v>
      </c>
      <c r="N764" s="29">
        <f>IF(A764="","",MONTH(A764))</f>
        <v>9</v>
      </c>
      <c r="O764" s="29">
        <f>IF(A764="","",YEAR(A764))</f>
        <v>2026</v>
      </c>
      <c r="P764" s="29" t="str">
        <f>IF(A764="","",CHOOSE(WEEKDAY(A764,2),"Segunda","Terça","Quarta","Quinta","Sexta","Sábado","Domingo"))</f>
        <v>Quarta</v>
      </c>
      <c r="Q764" s="29" t="str">
        <f>IF(B764="","",IF(B764&lt;TIME(12,0,0),"Manhã",IF(B764&lt;TIME(18,0,0),"Tarde","Noite")))</f>
        <v>Tarde</v>
      </c>
      <c r="R764" s="45">
        <f>IF(AND(H764="Realizado",L764&lt;&gt;""),L764/60,0)</f>
        <v>0</v>
      </c>
    </row>
    <row r="765">
      <c r="A765" s="42">
        <f>TODAY()+2</f>
        <v>46281.0</v>
      </c>
      <c r="B765" s="43" t="n">
        <v>0.7291666666666666</v>
      </c>
      <c r="C765" s="37" t="inlineStr">
        <is>
          <t>Dra. Carolina Mendes</t>
        </is>
      </c>
      <c r="D765" s="37" t="inlineStr">
        <is>
          <t>Sala 1</t>
        </is>
      </c>
      <c r="E765" s="36" t="inlineStr">
        <is>
          <t>Ana Costa</t>
        </is>
      </c>
      <c r="F765" s="37" t="inlineStr">
        <is>
          <t>Particular</t>
        </is>
      </c>
      <c r="G765" s="37" t="inlineStr">
        <is>
          <t>Consulta</t>
        </is>
      </c>
      <c r="H765" s="37" t="inlineStr">
        <is>
          <t>Confirmado</t>
        </is>
      </c>
      <c r="I765" s="37" t="n"/>
      <c r="J765" s="37" t="n"/>
      <c r="K765" s="36" t="n"/>
      <c r="L765" s="44">
        <f>IF(G765="","",IFERROR(INDEX(Config!$K$5:$K$16,MATCH(G765,Config!$J$5:$J$16,0)),""))</f>
        <v>30</v>
      </c>
      <c r="M765" s="30">
        <f>IF(OR(G765="",F765=""),"",IFERROR(INDEX(Config!$M$5:$R$16,MATCH(G765,Config!$J$5:$J$16,0),MATCH(F765,Config!$H$5:$H$10,0)),""))</f>
        <v>380</v>
      </c>
      <c r="N765" s="29">
        <f>IF(A765="","",MONTH(A765))</f>
        <v>9</v>
      </c>
      <c r="O765" s="29">
        <f>IF(A765="","",YEAR(A765))</f>
        <v>2026</v>
      </c>
      <c r="P765" s="29" t="str">
        <f>IF(A765="","",CHOOSE(WEEKDAY(A765,2),"Segunda","Terça","Quarta","Quinta","Sexta","Sábado","Domingo"))</f>
        <v>Quarta</v>
      </c>
      <c r="Q765" s="29" t="str">
        <f>IF(B765="","",IF(B765&lt;TIME(12,0,0),"Manhã",IF(B765&lt;TIME(18,0,0),"Tarde","Noite")))</f>
        <v>Tarde</v>
      </c>
      <c r="R765" s="45">
        <f>IF(AND(H765="Realizado",L765&lt;&gt;""),L765/60,0)</f>
        <v>0</v>
      </c>
    </row>
    <row r="766">
      <c r="A766" s="42">
        <f>TODAY()+3</f>
        <v>46282.0</v>
      </c>
      <c r="B766" s="43" t="n">
        <v>0.3333333333333333</v>
      </c>
      <c r="C766" s="37" t="inlineStr">
        <is>
          <t>Dra. Carolina Mendes</t>
        </is>
      </c>
      <c r="D766" s="37" t="inlineStr">
        <is>
          <t>Sala 1</t>
        </is>
      </c>
      <c r="E766" s="36" t="inlineStr">
        <is>
          <t>Larissa Costa</t>
        </is>
      </c>
      <c r="F766" s="37" t="inlineStr">
        <is>
          <t>Particular</t>
        </is>
      </c>
      <c r="G766" s="37" t="inlineStr">
        <is>
          <t>Retorno</t>
        </is>
      </c>
      <c r="H766" s="37" t="inlineStr">
        <is>
          <t>Agendado</t>
        </is>
      </c>
      <c r="I766" s="37" t="n"/>
      <c r="J766" s="37" t="n"/>
      <c r="K766" s="36" t="n"/>
      <c r="L766" s="44">
        <f>IF(G766="","",IFERROR(INDEX(Config!$K$5:$K$16,MATCH(G766,Config!$J$5:$J$16,0)),""))</f>
        <v>20</v>
      </c>
      <c r="M766" s="30">
        <f>IF(OR(G766="",F766=""),"",IFERROR(INDEX(Config!$M$5:$R$16,MATCH(G766,Config!$J$5:$J$16,0),MATCH(F766,Config!$H$5:$H$10,0)),""))</f>
        <v>0</v>
      </c>
      <c r="N766" s="29">
        <f>IF(A766="","",MONTH(A766))</f>
        <v>9</v>
      </c>
      <c r="O766" s="29">
        <f>IF(A766="","",YEAR(A766))</f>
        <v>2026</v>
      </c>
      <c r="P766" s="29" t="str">
        <f>IF(A766="","",CHOOSE(WEEKDAY(A766,2),"Segunda","Terça","Quarta","Quinta","Sexta","Sábado","Domingo"))</f>
        <v>Quinta</v>
      </c>
      <c r="Q766" s="29" t="str">
        <f>IF(B766="","",IF(B766&lt;TIME(12,0,0),"Manhã",IF(B766&lt;TIME(18,0,0),"Tarde","Noite")))</f>
        <v>Manhã</v>
      </c>
      <c r="R766" s="45">
        <f>IF(AND(H766="Realizado",L766&lt;&gt;""),L766/60,0)</f>
        <v>0</v>
      </c>
    </row>
    <row r="767">
      <c r="A767" s="42">
        <f>TODAY()+3</f>
        <v>46282.0</v>
      </c>
      <c r="B767" s="43" t="n">
        <v>0.3680555555555556</v>
      </c>
      <c r="C767" s="37" t="inlineStr">
        <is>
          <t>Dra. Carolina Mendes</t>
        </is>
      </c>
      <c r="D767" s="37" t="inlineStr">
        <is>
          <t>Sala 1</t>
        </is>
      </c>
      <c r="E767" s="36" t="inlineStr">
        <is>
          <t>Regina Duarte</t>
        </is>
      </c>
      <c r="F767" s="37" t="inlineStr">
        <is>
          <t>Particular</t>
        </is>
      </c>
      <c r="G767" s="37" t="inlineStr">
        <is>
          <t>Retorno</t>
        </is>
      </c>
      <c r="H767" s="37" t="inlineStr">
        <is>
          <t>Agendado</t>
        </is>
      </c>
      <c r="I767" s="37" t="n"/>
      <c r="J767" s="37" t="n"/>
      <c r="K767" s="36" t="n"/>
      <c r="L767" s="44">
        <f>IF(G767="","",IFERROR(INDEX(Config!$K$5:$K$16,MATCH(G767,Config!$J$5:$J$16,0)),""))</f>
        <v>20</v>
      </c>
      <c r="M767" s="30">
        <f>IF(OR(G767="",F767=""),"",IFERROR(INDEX(Config!$M$5:$R$16,MATCH(G767,Config!$J$5:$J$16,0),MATCH(F767,Config!$H$5:$H$10,0)),""))</f>
        <v>0</v>
      </c>
      <c r="N767" s="29">
        <f>IF(A767="","",MONTH(A767))</f>
        <v>9</v>
      </c>
      <c r="O767" s="29">
        <f>IF(A767="","",YEAR(A767))</f>
        <v>2026</v>
      </c>
      <c r="P767" s="29" t="str">
        <f>IF(A767="","",CHOOSE(WEEKDAY(A767,2),"Segunda","Terça","Quarta","Quinta","Sexta","Sábado","Domingo"))</f>
        <v>Quinta</v>
      </c>
      <c r="Q767" s="29" t="str">
        <f>IF(B767="","",IF(B767&lt;TIME(12,0,0),"Manhã",IF(B767&lt;TIME(18,0,0),"Tarde","Noite")))</f>
        <v>Manhã</v>
      </c>
      <c r="R767" s="45">
        <f>IF(AND(H767="Realizado",L767&lt;&gt;""),L767/60,0)</f>
        <v>0</v>
      </c>
    </row>
    <row r="768">
      <c r="A768" s="42">
        <f>TODAY()+3</f>
        <v>46282.0</v>
      </c>
      <c r="B768" s="43" t="n">
        <v>0.3819444444444444</v>
      </c>
      <c r="C768" s="37" t="inlineStr">
        <is>
          <t>Dra. Carolina Mendes</t>
        </is>
      </c>
      <c r="D768" s="37" t="inlineStr">
        <is>
          <t>Sala 1</t>
        </is>
      </c>
      <c r="E768" s="36" t="inlineStr">
        <is>
          <t>Mônica Batista</t>
        </is>
      </c>
      <c r="F768" s="37" t="inlineStr">
        <is>
          <t>MediPlan</t>
        </is>
      </c>
      <c r="G768" s="37" t="inlineStr">
        <is>
          <t>Consulta</t>
        </is>
      </c>
      <c r="H768" s="37" t="inlineStr">
        <is>
          <t>Agendado</t>
        </is>
      </c>
      <c r="I768" s="37" t="n"/>
      <c r="J768" s="37" t="n"/>
      <c r="K768" s="36" t="n"/>
      <c r="L768" s="44">
        <f>IF(G768="","",IFERROR(INDEX(Config!$K$5:$K$16,MATCH(G768,Config!$J$5:$J$16,0)),""))</f>
        <v>30</v>
      </c>
      <c r="M768" s="30">
        <f>IF(OR(G768="",F768=""),"",IFERROR(INDEX(Config!$M$5:$R$16,MATCH(G768,Config!$J$5:$J$16,0),MATCH(F768,Config!$H$5:$H$10,0)),""))</f>
        <v>100</v>
      </c>
      <c r="N768" s="29">
        <f>IF(A768="","",MONTH(A768))</f>
        <v>9</v>
      </c>
      <c r="O768" s="29">
        <f>IF(A768="","",YEAR(A768))</f>
        <v>2026</v>
      </c>
      <c r="P768" s="29" t="str">
        <f>IF(A768="","",CHOOSE(WEEKDAY(A768,2),"Segunda","Terça","Quarta","Quinta","Sexta","Sábado","Domingo"))</f>
        <v>Quinta</v>
      </c>
      <c r="Q768" s="29" t="str">
        <f>IF(B768="","",IF(B768&lt;TIME(12,0,0),"Manhã",IF(B768&lt;TIME(18,0,0),"Tarde","Noite")))</f>
        <v>Manhã</v>
      </c>
      <c r="R768" s="45">
        <f>IF(AND(H768="Realizado",L768&lt;&gt;""),L768/60,0)</f>
        <v>0</v>
      </c>
    </row>
    <row r="769">
      <c r="A769" s="42">
        <f>TODAY()+3</f>
        <v>46282.0</v>
      </c>
      <c r="B769" s="43" t="n">
        <v>0.4027777777777778</v>
      </c>
      <c r="C769" s="37" t="inlineStr">
        <is>
          <t>Dra. Carolina Mendes</t>
        </is>
      </c>
      <c r="D769" s="37" t="inlineStr">
        <is>
          <t>Sala 1</t>
        </is>
      </c>
      <c r="E769" s="36" t="inlineStr">
        <is>
          <t>Marcelo Santos</t>
        </is>
      </c>
      <c r="F769" s="37" t="inlineStr">
        <is>
          <t>Particular</t>
        </is>
      </c>
      <c r="G769" s="37" t="inlineStr">
        <is>
          <t>Retorno</t>
        </is>
      </c>
      <c r="H769" s="37" t="inlineStr">
        <is>
          <t>Agendado</t>
        </is>
      </c>
      <c r="I769" s="37" t="n"/>
      <c r="J769" s="37" t="n"/>
      <c r="K769" s="36" t="n"/>
      <c r="L769" s="44">
        <f>IF(G769="","",IFERROR(INDEX(Config!$K$5:$K$16,MATCH(G769,Config!$J$5:$J$16,0)),""))</f>
        <v>20</v>
      </c>
      <c r="M769" s="30">
        <f>IF(OR(G769="",F769=""),"",IFERROR(INDEX(Config!$M$5:$R$16,MATCH(G769,Config!$J$5:$J$16,0),MATCH(F769,Config!$H$5:$H$10,0)),""))</f>
        <v>0</v>
      </c>
      <c r="N769" s="29">
        <f>IF(A769="","",MONTH(A769))</f>
        <v>9</v>
      </c>
      <c r="O769" s="29">
        <f>IF(A769="","",YEAR(A769))</f>
        <v>2026</v>
      </c>
      <c r="P769" s="29" t="str">
        <f>IF(A769="","",CHOOSE(WEEKDAY(A769,2),"Segunda","Terça","Quarta","Quinta","Sexta","Sábado","Domingo"))</f>
        <v>Quinta</v>
      </c>
      <c r="Q769" s="29" t="str">
        <f>IF(B769="","",IF(B769&lt;TIME(12,0,0),"Manhã",IF(B769&lt;TIME(18,0,0),"Tarde","Noite")))</f>
        <v>Manhã</v>
      </c>
      <c r="R769" s="45">
        <f>IF(AND(H769="Realizado",L769&lt;&gt;""),L769/60,0)</f>
        <v>0</v>
      </c>
    </row>
    <row r="770">
      <c r="A770" s="42">
        <f>TODAY()+3</f>
        <v>46282.0</v>
      </c>
      <c r="B770" s="43" t="n">
        <v>0.4166666666666667</v>
      </c>
      <c r="C770" s="37" t="inlineStr">
        <is>
          <t>Dra. Carolina Mendes</t>
        </is>
      </c>
      <c r="D770" s="37" t="inlineStr">
        <is>
          <t>Sala 1</t>
        </is>
      </c>
      <c r="E770" s="36" t="inlineStr">
        <is>
          <t>Gisele Xavier</t>
        </is>
      </c>
      <c r="F770" s="37" t="inlineStr">
        <is>
          <t>Particular</t>
        </is>
      </c>
      <c r="G770" s="37" t="inlineStr">
        <is>
          <t>Retorno</t>
        </is>
      </c>
      <c r="H770" s="37" t="inlineStr">
        <is>
          <t>Agendado</t>
        </is>
      </c>
      <c r="I770" s="37" t="n"/>
      <c r="J770" s="37" t="n"/>
      <c r="K770" s="36" t="n"/>
      <c r="L770" s="44">
        <f>IF(G770="","",IFERROR(INDEX(Config!$K$5:$K$16,MATCH(G770,Config!$J$5:$J$16,0)),""))</f>
        <v>20</v>
      </c>
      <c r="M770" s="30">
        <f>IF(OR(G770="",F770=""),"",IFERROR(INDEX(Config!$M$5:$R$16,MATCH(G770,Config!$J$5:$J$16,0),MATCH(F770,Config!$H$5:$H$10,0)),""))</f>
        <v>0</v>
      </c>
      <c r="N770" s="29">
        <f>IF(A770="","",MONTH(A770))</f>
        <v>9</v>
      </c>
      <c r="O770" s="29">
        <f>IF(A770="","",YEAR(A770))</f>
        <v>2026</v>
      </c>
      <c r="P770" s="29" t="str">
        <f>IF(A770="","",CHOOSE(WEEKDAY(A770,2),"Segunda","Terça","Quarta","Quinta","Sexta","Sábado","Domingo"))</f>
        <v>Quinta</v>
      </c>
      <c r="Q770" s="29" t="str">
        <f>IF(B770="","",IF(B770&lt;TIME(12,0,0),"Manhã",IF(B770&lt;TIME(18,0,0),"Tarde","Noite")))</f>
        <v>Manhã</v>
      </c>
      <c r="R770" s="45">
        <f>IF(AND(H770="Realizado",L770&lt;&gt;""),L770/60,0)</f>
        <v>0</v>
      </c>
    </row>
    <row r="771">
      <c r="A771" s="42">
        <f>TODAY()+3</f>
        <v>46282.0</v>
      </c>
      <c r="B771" s="43" t="n">
        <v>0.4305555555555556</v>
      </c>
      <c r="C771" s="37" t="inlineStr">
        <is>
          <t>Dra. Carolina Mendes</t>
        </is>
      </c>
      <c r="D771" s="37" t="inlineStr">
        <is>
          <t>Sala 1</t>
        </is>
      </c>
      <c r="E771" s="36" t="inlineStr">
        <is>
          <t>Sérgio Batista</t>
        </is>
      </c>
      <c r="F771" s="37" t="inlineStr">
        <is>
          <t>MediPlan</t>
        </is>
      </c>
      <c r="G771" s="37" t="inlineStr">
        <is>
          <t>Consulta</t>
        </is>
      </c>
      <c r="H771" s="37" t="inlineStr">
        <is>
          <t>Agendado</t>
        </is>
      </c>
      <c r="I771" s="37" t="n"/>
      <c r="J771" s="37" t="n"/>
      <c r="K771" s="36" t="n"/>
      <c r="L771" s="44">
        <f>IF(G771="","",IFERROR(INDEX(Config!$K$5:$K$16,MATCH(G771,Config!$J$5:$J$16,0)),""))</f>
        <v>30</v>
      </c>
      <c r="M771" s="30">
        <f>IF(OR(G771="",F771=""),"",IFERROR(INDEX(Config!$M$5:$R$16,MATCH(G771,Config!$J$5:$J$16,0),MATCH(F771,Config!$H$5:$H$10,0)),""))</f>
        <v>100</v>
      </c>
      <c r="N771" s="29">
        <f>IF(A771="","",MONTH(A771))</f>
        <v>9</v>
      </c>
      <c r="O771" s="29">
        <f>IF(A771="","",YEAR(A771))</f>
        <v>2026</v>
      </c>
      <c r="P771" s="29" t="str">
        <f>IF(A771="","",CHOOSE(WEEKDAY(A771,2),"Segunda","Terça","Quarta","Quinta","Sexta","Sábado","Domingo"))</f>
        <v>Quinta</v>
      </c>
      <c r="Q771" s="29" t="str">
        <f>IF(B771="","",IF(B771&lt;TIME(12,0,0),"Manhã",IF(B771&lt;TIME(18,0,0),"Tarde","Noite")))</f>
        <v>Manhã</v>
      </c>
      <c r="R771" s="45">
        <f>IF(AND(H771="Realizado",L771&lt;&gt;""),L771/60,0)</f>
        <v>0</v>
      </c>
    </row>
    <row r="772">
      <c r="A772" s="42">
        <f>TODAY()+3</f>
        <v>46282.0</v>
      </c>
      <c r="B772" s="43" t="n">
        <v>0.4513888888888889</v>
      </c>
      <c r="C772" s="37" t="inlineStr">
        <is>
          <t>Dra. Carolina Mendes</t>
        </is>
      </c>
      <c r="D772" s="37" t="inlineStr">
        <is>
          <t>Sala 1</t>
        </is>
      </c>
      <c r="E772" s="36" t="inlineStr">
        <is>
          <t>Roberta Fernandes</t>
        </is>
      </c>
      <c r="F772" s="37" t="inlineStr">
        <is>
          <t>Saúde Total</t>
        </is>
      </c>
      <c r="G772" s="37" t="inlineStr">
        <is>
          <t>Consulta</t>
        </is>
      </c>
      <c r="H772" s="37" t="inlineStr">
        <is>
          <t>Agendado</t>
        </is>
      </c>
      <c r="I772" s="37" t="n"/>
      <c r="J772" s="37" t="n"/>
      <c r="K772" s="36" t="n"/>
      <c r="L772" s="44">
        <f>IF(G772="","",IFERROR(INDEX(Config!$K$5:$K$16,MATCH(G772,Config!$J$5:$J$16,0)),""))</f>
        <v>30</v>
      </c>
      <c r="M772" s="30">
        <f>IF(OR(G772="",F772=""),"",IFERROR(INDEX(Config!$M$5:$R$16,MATCH(G772,Config!$J$5:$J$16,0),MATCH(F772,Config!$H$5:$H$10,0)),""))</f>
        <v>120</v>
      </c>
      <c r="N772" s="29">
        <f>IF(A772="","",MONTH(A772))</f>
        <v>9</v>
      </c>
      <c r="O772" s="29">
        <f>IF(A772="","",YEAR(A772))</f>
        <v>2026</v>
      </c>
      <c r="P772" s="29" t="str">
        <f>IF(A772="","",CHOOSE(WEEKDAY(A772,2),"Segunda","Terça","Quarta","Quinta","Sexta","Sábado","Domingo"))</f>
        <v>Quinta</v>
      </c>
      <c r="Q772" s="29" t="str">
        <f>IF(B772="","",IF(B772&lt;TIME(12,0,0),"Manhã",IF(B772&lt;TIME(18,0,0),"Tarde","Noite")))</f>
        <v>Manhã</v>
      </c>
      <c r="R772" s="45">
        <f>IF(AND(H772="Realizado",L772&lt;&gt;""),L772/60,0)</f>
        <v>0</v>
      </c>
    </row>
    <row r="773">
      <c r="A773" s="42">
        <f>TODAY()+3</f>
        <v>46282.0</v>
      </c>
      <c r="B773" s="43" t="n">
        <v>0.4722222222222222</v>
      </c>
      <c r="C773" s="37" t="inlineStr">
        <is>
          <t>Dra. Carolina Mendes</t>
        </is>
      </c>
      <c r="D773" s="37" t="inlineStr">
        <is>
          <t>Sala 1</t>
        </is>
      </c>
      <c r="E773" s="36" t="inlineStr">
        <is>
          <t>Helena Moreira</t>
        </is>
      </c>
      <c r="F773" s="37" t="inlineStr">
        <is>
          <t>Particular</t>
        </is>
      </c>
      <c r="G773" s="37" t="inlineStr">
        <is>
          <t>Consulta</t>
        </is>
      </c>
      <c r="H773" s="37" t="inlineStr">
        <is>
          <t>Agendado</t>
        </is>
      </c>
      <c r="I773" s="37" t="n"/>
      <c r="J773" s="37" t="n"/>
      <c r="K773" s="36" t="n"/>
      <c r="L773" s="44">
        <f>IF(G773="","",IFERROR(INDEX(Config!$K$5:$K$16,MATCH(G773,Config!$J$5:$J$16,0)),""))</f>
        <v>30</v>
      </c>
      <c r="M773" s="30">
        <f>IF(OR(G773="",F773=""),"",IFERROR(INDEX(Config!$M$5:$R$16,MATCH(G773,Config!$J$5:$J$16,0),MATCH(F773,Config!$H$5:$H$10,0)),""))</f>
        <v>380</v>
      </c>
      <c r="N773" s="29">
        <f>IF(A773="","",MONTH(A773))</f>
        <v>9</v>
      </c>
      <c r="O773" s="29">
        <f>IF(A773="","",YEAR(A773))</f>
        <v>2026</v>
      </c>
      <c r="P773" s="29" t="str">
        <f>IF(A773="","",CHOOSE(WEEKDAY(A773,2),"Segunda","Terça","Quarta","Quinta","Sexta","Sábado","Domingo"))</f>
        <v>Quinta</v>
      </c>
      <c r="Q773" s="29" t="str">
        <f>IF(B773="","",IF(B773&lt;TIME(12,0,0),"Manhã",IF(B773&lt;TIME(18,0,0),"Tarde","Noite")))</f>
        <v>Manhã</v>
      </c>
      <c r="R773" s="45">
        <f>IF(AND(H773="Realizado",L773&lt;&gt;""),L773/60,0)</f>
        <v>0</v>
      </c>
    </row>
    <row r="774">
      <c r="A774" s="42">
        <f>TODAY()+3</f>
        <v>46282.0</v>
      </c>
      <c r="B774" s="43" t="n">
        <v>0.5833333333333334</v>
      </c>
      <c r="C774" s="37" t="inlineStr">
        <is>
          <t>Dra. Renata Sousa</t>
        </is>
      </c>
      <c r="D774" s="37" t="inlineStr">
        <is>
          <t>Sala 1</t>
        </is>
      </c>
      <c r="E774" s="36" t="inlineStr">
        <is>
          <t>Rodrigo Cardoso</t>
        </is>
      </c>
      <c r="F774" s="37" t="inlineStr">
        <is>
          <t>Saúde Total</t>
        </is>
      </c>
      <c r="G774" s="37" t="inlineStr">
        <is>
          <t>Avaliação endócrina</t>
        </is>
      </c>
      <c r="H774" s="37" t="inlineStr">
        <is>
          <t>Agendado</t>
        </is>
      </c>
      <c r="I774" s="37" t="n"/>
      <c r="J774" s="37" t="n"/>
      <c r="K774" s="36" t="n"/>
      <c r="L774" s="44">
        <f>IF(G774="","",IFERROR(INDEX(Config!$K$5:$K$16,MATCH(G774,Config!$J$5:$J$16,0)),""))</f>
        <v>40</v>
      </c>
      <c r="M774" s="30">
        <f>IF(OR(G774="",F774=""),"",IFERROR(INDEX(Config!$M$5:$R$16,MATCH(G774,Config!$J$5:$J$16,0),MATCH(F774,Config!$H$5:$H$10,0)),""))</f>
        <v>130</v>
      </c>
      <c r="N774" s="29">
        <f>IF(A774="","",MONTH(A774))</f>
        <v>9</v>
      </c>
      <c r="O774" s="29">
        <f>IF(A774="","",YEAR(A774))</f>
        <v>2026</v>
      </c>
      <c r="P774" s="29" t="str">
        <f>IF(A774="","",CHOOSE(WEEKDAY(A774,2),"Segunda","Terça","Quarta","Quinta","Sexta","Sábado","Domingo"))</f>
        <v>Quinta</v>
      </c>
      <c r="Q774" s="29" t="str">
        <f>IF(B774="","",IF(B774&lt;TIME(12,0,0),"Manhã",IF(B774&lt;TIME(18,0,0),"Tarde","Noite")))</f>
        <v>Tarde</v>
      </c>
      <c r="R774" s="45">
        <f>IF(AND(H774="Realizado",L774&lt;&gt;""),L774/60,0)</f>
        <v>0</v>
      </c>
    </row>
    <row r="775">
      <c r="A775" s="42">
        <f>TODAY()+3</f>
        <v>46282.0</v>
      </c>
      <c r="B775" s="43" t="n">
        <v>0.6111111111111112</v>
      </c>
      <c r="C775" s="37" t="inlineStr">
        <is>
          <t>Dra. Renata Sousa</t>
        </is>
      </c>
      <c r="D775" s="37" t="inlineStr">
        <is>
          <t>Sala 1</t>
        </is>
      </c>
      <c r="E775" s="36" t="inlineStr">
        <is>
          <t>Carlos Gonçalves</t>
        </is>
      </c>
      <c r="F775" s="37" t="inlineStr">
        <is>
          <t>Saúde Total</t>
        </is>
      </c>
      <c r="G775" s="37" t="inlineStr">
        <is>
          <t>Avaliação endócrina</t>
        </is>
      </c>
      <c r="H775" s="37" t="inlineStr">
        <is>
          <t>Agendado</t>
        </is>
      </c>
      <c r="I775" s="37" t="n"/>
      <c r="J775" s="37" t="n"/>
      <c r="K775" s="36" t="n"/>
      <c r="L775" s="44">
        <f>IF(G775="","",IFERROR(INDEX(Config!$K$5:$K$16,MATCH(G775,Config!$J$5:$J$16,0)),""))</f>
        <v>40</v>
      </c>
      <c r="M775" s="30">
        <f>IF(OR(G775="",F775=""),"",IFERROR(INDEX(Config!$M$5:$R$16,MATCH(G775,Config!$J$5:$J$16,0),MATCH(F775,Config!$H$5:$H$10,0)),""))</f>
        <v>130</v>
      </c>
      <c r="N775" s="29">
        <f>IF(A775="","",MONTH(A775))</f>
        <v>9</v>
      </c>
      <c r="O775" s="29">
        <f>IF(A775="","",YEAR(A775))</f>
        <v>2026</v>
      </c>
      <c r="P775" s="29" t="str">
        <f>IF(A775="","",CHOOSE(WEEKDAY(A775,2),"Segunda","Terça","Quarta","Quinta","Sexta","Sábado","Domingo"))</f>
        <v>Quinta</v>
      </c>
      <c r="Q775" s="29" t="str">
        <f>IF(B775="","",IF(B775&lt;TIME(12,0,0),"Manhã",IF(B775&lt;TIME(18,0,0),"Tarde","Noite")))</f>
        <v>Tarde</v>
      </c>
      <c r="R775" s="45">
        <f>IF(AND(H775="Realizado",L775&lt;&gt;""),L775/60,0)</f>
        <v>0</v>
      </c>
    </row>
    <row r="776">
      <c r="A776" s="42">
        <f>TODAY()+3</f>
        <v>46282.0</v>
      </c>
      <c r="B776" s="43" t="n">
        <v>0.625</v>
      </c>
      <c r="C776" s="37" t="inlineStr">
        <is>
          <t>Dr. Paulo Andrade</t>
        </is>
      </c>
      <c r="D776" s="37" t="inlineStr">
        <is>
          <t>Sala 2</t>
        </is>
      </c>
      <c r="E776" s="36" t="inlineStr">
        <is>
          <t>Sérgio Teixeira</t>
        </is>
      </c>
      <c r="F776" s="37" t="inlineStr">
        <is>
          <t>MediPlan</t>
        </is>
      </c>
      <c r="G776" s="37" t="inlineStr">
        <is>
          <t>Retorno</t>
        </is>
      </c>
      <c r="H776" s="37" t="inlineStr">
        <is>
          <t>Agendado</t>
        </is>
      </c>
      <c r="I776" s="37" t="n"/>
      <c r="J776" s="37" t="n"/>
      <c r="K776" s="36" t="n"/>
      <c r="L776" s="44">
        <f>IF(G776="","",IFERROR(INDEX(Config!$K$5:$K$16,MATCH(G776,Config!$J$5:$J$16,0)),""))</f>
        <v>20</v>
      </c>
      <c r="M776" s="30">
        <f>IF(OR(G776="",F776=""),"",IFERROR(INDEX(Config!$M$5:$R$16,MATCH(G776,Config!$J$5:$J$16,0),MATCH(F776,Config!$H$5:$H$10,0)),""))</f>
        <v>0</v>
      </c>
      <c r="N776" s="29">
        <f>IF(A776="","",MONTH(A776))</f>
        <v>9</v>
      </c>
      <c r="O776" s="29">
        <f>IF(A776="","",YEAR(A776))</f>
        <v>2026</v>
      </c>
      <c r="P776" s="29" t="str">
        <f>IF(A776="","",CHOOSE(WEEKDAY(A776,2),"Segunda","Terça","Quarta","Quinta","Sexta","Sábado","Domingo"))</f>
        <v>Quinta</v>
      </c>
      <c r="Q776" s="29" t="str">
        <f>IF(B776="","",IF(B776&lt;TIME(12,0,0),"Manhã",IF(B776&lt;TIME(18,0,0),"Tarde","Noite")))</f>
        <v>Tarde</v>
      </c>
      <c r="R776" s="45">
        <f>IF(AND(H776="Realizado",L776&lt;&gt;""),L776/60,0)</f>
        <v>0</v>
      </c>
    </row>
    <row r="777">
      <c r="A777" s="42">
        <f>TODAY()+3</f>
        <v>46282.0</v>
      </c>
      <c r="B777" s="43" t="n">
        <v>0.6388888888888888</v>
      </c>
      <c r="C777" s="37" t="inlineStr">
        <is>
          <t>Dr. Paulo Andrade</t>
        </is>
      </c>
      <c r="D777" s="37" t="inlineStr">
        <is>
          <t>Sala 2</t>
        </is>
      </c>
      <c r="E777" s="36" t="inlineStr">
        <is>
          <t>Renato Pereira</t>
        </is>
      </c>
      <c r="F777" s="37" t="inlineStr">
        <is>
          <t>MediPlan</t>
        </is>
      </c>
      <c r="G777" s="37" t="inlineStr">
        <is>
          <t>Consulta</t>
        </is>
      </c>
      <c r="H777" s="37" t="inlineStr">
        <is>
          <t>Agendado</t>
        </is>
      </c>
      <c r="I777" s="37" t="n"/>
      <c r="J777" s="37" t="n"/>
      <c r="K777" s="36" t="n"/>
      <c r="L777" s="44">
        <f>IF(G777="","",IFERROR(INDEX(Config!$K$5:$K$16,MATCH(G777,Config!$J$5:$J$16,0)),""))</f>
        <v>30</v>
      </c>
      <c r="M777" s="30">
        <f>IF(OR(G777="",F777=""),"",IFERROR(INDEX(Config!$M$5:$R$16,MATCH(G777,Config!$J$5:$J$16,0),MATCH(F777,Config!$H$5:$H$10,0)),""))</f>
        <v>100</v>
      </c>
      <c r="N777" s="29">
        <f>IF(A777="","",MONTH(A777))</f>
        <v>9</v>
      </c>
      <c r="O777" s="29">
        <f>IF(A777="","",YEAR(A777))</f>
        <v>2026</v>
      </c>
      <c r="P777" s="29" t="str">
        <f>IF(A777="","",CHOOSE(WEEKDAY(A777,2),"Segunda","Terça","Quarta","Quinta","Sexta","Sábado","Domingo"))</f>
        <v>Quinta</v>
      </c>
      <c r="Q777" s="29" t="str">
        <f>IF(B777="","",IF(B777&lt;TIME(12,0,0),"Manhã",IF(B777&lt;TIME(18,0,0),"Tarde","Noite")))</f>
        <v>Tarde</v>
      </c>
      <c r="R777" s="45">
        <f>IF(AND(H777="Realizado",L777&lt;&gt;""),L777/60,0)</f>
        <v>0</v>
      </c>
    </row>
    <row r="778">
      <c r="A778" s="42">
        <f>TODAY()+3</f>
        <v>46282.0</v>
      </c>
      <c r="B778" s="43" t="n">
        <v>0.6597222222222222</v>
      </c>
      <c r="C778" s="37" t="inlineStr">
        <is>
          <t>Dra. Renata Sousa</t>
        </is>
      </c>
      <c r="D778" s="37" t="inlineStr">
        <is>
          <t>Sala 1</t>
        </is>
      </c>
      <c r="E778" s="36" t="inlineStr">
        <is>
          <t>Mônica Almeida</t>
        </is>
      </c>
      <c r="F778" s="37" t="inlineStr">
        <is>
          <t>Particular</t>
        </is>
      </c>
      <c r="G778" s="37" t="inlineStr">
        <is>
          <t>Avaliação endócrina</t>
        </is>
      </c>
      <c r="H778" s="37" t="inlineStr">
        <is>
          <t>Agendado</t>
        </is>
      </c>
      <c r="I778" s="37" t="n"/>
      <c r="J778" s="37" t="n"/>
      <c r="K778" s="36" t="n"/>
      <c r="L778" s="44">
        <f>IF(G778="","",IFERROR(INDEX(Config!$K$5:$K$16,MATCH(G778,Config!$J$5:$J$16,0)),""))</f>
        <v>40</v>
      </c>
      <c r="M778" s="30">
        <f>IF(OR(G778="",F778=""),"",IFERROR(INDEX(Config!$M$5:$R$16,MATCH(G778,Config!$J$5:$J$16,0),MATCH(F778,Config!$H$5:$H$10,0)),""))</f>
        <v>400</v>
      </c>
      <c r="N778" s="29">
        <f>IF(A778="","",MONTH(A778))</f>
        <v>9</v>
      </c>
      <c r="O778" s="29">
        <f>IF(A778="","",YEAR(A778))</f>
        <v>2026</v>
      </c>
      <c r="P778" s="29" t="str">
        <f>IF(A778="","",CHOOSE(WEEKDAY(A778,2),"Segunda","Terça","Quarta","Quinta","Sexta","Sábado","Domingo"))</f>
        <v>Quinta</v>
      </c>
      <c r="Q778" s="29" t="str">
        <f>IF(B778="","",IF(B778&lt;TIME(12,0,0),"Manhã",IF(B778&lt;TIME(18,0,0),"Tarde","Noite")))</f>
        <v>Tarde</v>
      </c>
      <c r="R778" s="45">
        <f>IF(AND(H778="Realizado",L778&lt;&gt;""),L778/60,0)</f>
        <v>0</v>
      </c>
    </row>
    <row r="779">
      <c r="A779" s="42">
        <f>TODAY()+3</f>
        <v>46282.0</v>
      </c>
      <c r="B779" s="43" t="n">
        <v>0.6597222222222222</v>
      </c>
      <c r="C779" s="37" t="inlineStr">
        <is>
          <t>Dr. Paulo Andrade</t>
        </is>
      </c>
      <c r="D779" s="37" t="inlineStr">
        <is>
          <t>Sala 2</t>
        </is>
      </c>
      <c r="E779" s="36" t="inlineStr">
        <is>
          <t>Viviane Duarte</t>
        </is>
      </c>
      <c r="F779" s="37" t="inlineStr">
        <is>
          <t>MediPlan</t>
        </is>
      </c>
      <c r="G779" s="37" t="inlineStr">
        <is>
          <t>Retorno</t>
        </is>
      </c>
      <c r="H779" s="37" t="inlineStr">
        <is>
          <t>Agendado</t>
        </is>
      </c>
      <c r="I779" s="37" t="n"/>
      <c r="J779" s="37" t="n"/>
      <c r="K779" s="36" t="n"/>
      <c r="L779" s="44">
        <f>IF(G779="","",IFERROR(INDEX(Config!$K$5:$K$16,MATCH(G779,Config!$J$5:$J$16,0)),""))</f>
        <v>20</v>
      </c>
      <c r="M779" s="30">
        <f>IF(OR(G779="",F779=""),"",IFERROR(INDEX(Config!$M$5:$R$16,MATCH(G779,Config!$J$5:$J$16,0),MATCH(F779,Config!$H$5:$H$10,0)),""))</f>
        <v>0</v>
      </c>
      <c r="N779" s="29">
        <f>IF(A779="","",MONTH(A779))</f>
        <v>9</v>
      </c>
      <c r="O779" s="29">
        <f>IF(A779="","",YEAR(A779))</f>
        <v>2026</v>
      </c>
      <c r="P779" s="29" t="str">
        <f>IF(A779="","",CHOOSE(WEEKDAY(A779,2),"Segunda","Terça","Quarta","Quinta","Sexta","Sábado","Domingo"))</f>
        <v>Quinta</v>
      </c>
      <c r="Q779" s="29" t="str">
        <f>IF(B779="","",IF(B779&lt;TIME(12,0,0),"Manhã",IF(B779&lt;TIME(18,0,0),"Tarde","Noite")))</f>
        <v>Tarde</v>
      </c>
      <c r="R779" s="45">
        <f>IF(AND(H779="Realizado",L779&lt;&gt;""),L779/60,0)</f>
        <v>0</v>
      </c>
    </row>
    <row r="780">
      <c r="A780" s="42">
        <f>TODAY()+3</f>
        <v>46282.0</v>
      </c>
      <c r="B780" s="43" t="n">
        <v>0.6736111111111112</v>
      </c>
      <c r="C780" s="37" t="inlineStr">
        <is>
          <t>Dr. Paulo Andrade</t>
        </is>
      </c>
      <c r="D780" s="37" t="inlineStr">
        <is>
          <t>Sala 2</t>
        </is>
      </c>
      <c r="E780" s="36" t="inlineStr">
        <is>
          <t>Natália Martins</t>
        </is>
      </c>
      <c r="F780" s="37" t="inlineStr">
        <is>
          <t>Particular</t>
        </is>
      </c>
      <c r="G780" s="37" t="inlineStr">
        <is>
          <t>Consulta</t>
        </is>
      </c>
      <c r="H780" s="37" t="inlineStr">
        <is>
          <t>Agendado</t>
        </is>
      </c>
      <c r="I780" s="37" t="n"/>
      <c r="J780" s="37" t="n"/>
      <c r="K780" s="36" t="n"/>
      <c r="L780" s="44">
        <f>IF(G780="","",IFERROR(INDEX(Config!$K$5:$K$16,MATCH(G780,Config!$J$5:$J$16,0)),""))</f>
        <v>30</v>
      </c>
      <c r="M780" s="30">
        <f>IF(OR(G780="",F780=""),"",IFERROR(INDEX(Config!$M$5:$R$16,MATCH(G780,Config!$J$5:$J$16,0),MATCH(F780,Config!$H$5:$H$10,0)),""))</f>
        <v>380</v>
      </c>
      <c r="N780" s="29">
        <f>IF(A780="","",MONTH(A780))</f>
        <v>9</v>
      </c>
      <c r="O780" s="29">
        <f>IF(A780="","",YEAR(A780))</f>
        <v>2026</v>
      </c>
      <c r="P780" s="29" t="str">
        <f>IF(A780="","",CHOOSE(WEEKDAY(A780,2),"Segunda","Terça","Quarta","Quinta","Sexta","Sábado","Domingo"))</f>
        <v>Quinta</v>
      </c>
      <c r="Q780" s="29" t="str">
        <f>IF(B780="","",IF(B780&lt;TIME(12,0,0),"Manhã",IF(B780&lt;TIME(18,0,0),"Tarde","Noite")))</f>
        <v>Tarde</v>
      </c>
      <c r="R780" s="45">
        <f>IF(AND(H780="Realizado",L780&lt;&gt;""),L780/60,0)</f>
        <v>0</v>
      </c>
    </row>
    <row r="781">
      <c r="A781" s="42">
        <f>TODAY()+3</f>
        <v>46282.0</v>
      </c>
      <c r="B781" s="43" t="n">
        <v>0.6875</v>
      </c>
      <c r="C781" s="37" t="inlineStr">
        <is>
          <t>Dra. Renata Sousa</t>
        </is>
      </c>
      <c r="D781" s="37" t="inlineStr">
        <is>
          <t>Sala 1</t>
        </is>
      </c>
      <c r="E781" s="36" t="inlineStr">
        <is>
          <t>Tatiana Macedo</t>
        </is>
      </c>
      <c r="F781" s="37" t="inlineStr">
        <is>
          <t>Particular</t>
        </is>
      </c>
      <c r="G781" s="37" t="inlineStr">
        <is>
          <t>Avaliação endócrina</t>
        </is>
      </c>
      <c r="H781" s="37" t="inlineStr">
        <is>
          <t>Agendado</t>
        </is>
      </c>
      <c r="I781" s="37" t="n"/>
      <c r="J781" s="37" t="n"/>
      <c r="K781" s="36" t="n"/>
      <c r="L781" s="44">
        <f>IF(G781="","",IFERROR(INDEX(Config!$K$5:$K$16,MATCH(G781,Config!$J$5:$J$16,0)),""))</f>
        <v>40</v>
      </c>
      <c r="M781" s="30">
        <f>IF(OR(G781="",F781=""),"",IFERROR(INDEX(Config!$M$5:$R$16,MATCH(G781,Config!$J$5:$J$16,0),MATCH(F781,Config!$H$5:$H$10,0)),""))</f>
        <v>400</v>
      </c>
      <c r="N781" s="29">
        <f>IF(A781="","",MONTH(A781))</f>
        <v>9</v>
      </c>
      <c r="O781" s="29">
        <f>IF(A781="","",YEAR(A781))</f>
        <v>2026</v>
      </c>
      <c r="P781" s="29" t="str">
        <f>IF(A781="","",CHOOSE(WEEKDAY(A781,2),"Segunda","Terça","Quarta","Quinta","Sexta","Sábado","Domingo"))</f>
        <v>Quinta</v>
      </c>
      <c r="Q781" s="29" t="str">
        <f>IF(B781="","",IF(B781&lt;TIME(12,0,0),"Manhã",IF(B781&lt;TIME(18,0,0),"Tarde","Noite")))</f>
        <v>Tarde</v>
      </c>
      <c r="R781" s="45">
        <f>IF(AND(H781="Realizado",L781&lt;&gt;""),L781/60,0)</f>
        <v>0</v>
      </c>
    </row>
    <row r="782">
      <c r="A782" s="42">
        <f>TODAY()+3</f>
        <v>46282.0</v>
      </c>
      <c r="B782" s="43" t="n">
        <v>0.7152777777777778</v>
      </c>
      <c r="C782" s="37" t="inlineStr">
        <is>
          <t>Dra. Renata Sousa</t>
        </is>
      </c>
      <c r="D782" s="37" t="inlineStr">
        <is>
          <t>Sala 1</t>
        </is>
      </c>
      <c r="E782" s="36" t="inlineStr">
        <is>
          <t>Cláudia Melo</t>
        </is>
      </c>
      <c r="F782" s="37" t="inlineStr">
        <is>
          <t>Particular</t>
        </is>
      </c>
      <c r="G782" s="37" t="inlineStr">
        <is>
          <t>Avaliação endócrina</t>
        </is>
      </c>
      <c r="H782" s="37" t="inlineStr">
        <is>
          <t>Agendado</t>
        </is>
      </c>
      <c r="I782" s="37" t="n"/>
      <c r="J782" s="37" t="n"/>
      <c r="K782" s="36" t="n"/>
      <c r="L782" s="44">
        <f>IF(G782="","",IFERROR(INDEX(Config!$K$5:$K$16,MATCH(G782,Config!$J$5:$J$16,0)),""))</f>
        <v>40</v>
      </c>
      <c r="M782" s="30">
        <f>IF(OR(G782="",F782=""),"",IFERROR(INDEX(Config!$M$5:$R$16,MATCH(G782,Config!$J$5:$J$16,0),MATCH(F782,Config!$H$5:$H$10,0)),""))</f>
        <v>400</v>
      </c>
      <c r="N782" s="29">
        <f>IF(A782="","",MONTH(A782))</f>
        <v>9</v>
      </c>
      <c r="O782" s="29">
        <f>IF(A782="","",YEAR(A782))</f>
        <v>2026</v>
      </c>
      <c r="P782" s="29" t="str">
        <f>IF(A782="","",CHOOSE(WEEKDAY(A782,2),"Segunda","Terça","Quarta","Quinta","Sexta","Sábado","Domingo"))</f>
        <v>Quinta</v>
      </c>
      <c r="Q782" s="29" t="str">
        <f>IF(B782="","",IF(B782&lt;TIME(12,0,0),"Manhã",IF(B782&lt;TIME(18,0,0),"Tarde","Noite")))</f>
        <v>Tarde</v>
      </c>
      <c r="R782" s="45">
        <f>IF(AND(H782="Realizado",L782&lt;&gt;""),L782/60,0)</f>
        <v>0</v>
      </c>
    </row>
    <row r="783">
      <c r="A783" s="42">
        <f>TODAY()+3</f>
        <v>46282.0</v>
      </c>
      <c r="B783" s="43" t="n">
        <v>0.7152777777777778</v>
      </c>
      <c r="C783" s="37" t="inlineStr">
        <is>
          <t>Dr. Paulo Andrade</t>
        </is>
      </c>
      <c r="D783" s="37" t="inlineStr">
        <is>
          <t>Sala 2</t>
        </is>
      </c>
      <c r="E783" s="36" t="inlineStr">
        <is>
          <t>Vinícius Cardoso</t>
        </is>
      </c>
      <c r="F783" s="37" t="inlineStr">
        <is>
          <t>MediPlan</t>
        </is>
      </c>
      <c r="G783" s="37" t="inlineStr">
        <is>
          <t>Consulta</t>
        </is>
      </c>
      <c r="H783" s="37" t="inlineStr">
        <is>
          <t>Agendado</t>
        </is>
      </c>
      <c r="I783" s="37" t="n"/>
      <c r="J783" s="37" t="n"/>
      <c r="K783" s="36" t="n"/>
      <c r="L783" s="44">
        <f>IF(G783="","",IFERROR(INDEX(Config!$K$5:$K$16,MATCH(G783,Config!$J$5:$J$16,0)),""))</f>
        <v>30</v>
      </c>
      <c r="M783" s="30">
        <f>IF(OR(G783="",F783=""),"",IFERROR(INDEX(Config!$M$5:$R$16,MATCH(G783,Config!$J$5:$J$16,0),MATCH(F783,Config!$H$5:$H$10,0)),""))</f>
        <v>100</v>
      </c>
      <c r="N783" s="29">
        <f>IF(A783="","",MONTH(A783))</f>
        <v>9</v>
      </c>
      <c r="O783" s="29">
        <f>IF(A783="","",YEAR(A783))</f>
        <v>2026</v>
      </c>
      <c r="P783" s="29" t="str">
        <f>IF(A783="","",CHOOSE(WEEKDAY(A783,2),"Segunda","Terça","Quarta","Quinta","Sexta","Sábado","Domingo"))</f>
        <v>Quinta</v>
      </c>
      <c r="Q783" s="29" t="str">
        <f>IF(B783="","",IF(B783&lt;TIME(12,0,0),"Manhã",IF(B783&lt;TIME(18,0,0),"Tarde","Noite")))</f>
        <v>Tarde</v>
      </c>
      <c r="R783" s="45">
        <f>IF(AND(H783="Realizado",L783&lt;&gt;""),L783/60,0)</f>
        <v>0</v>
      </c>
    </row>
    <row r="784">
      <c r="A784" s="42">
        <f>TODAY()+3</f>
        <v>46282.0</v>
      </c>
      <c r="B784" s="43" t="n">
        <v>0.7361111111111112</v>
      </c>
      <c r="C784" s="37" t="inlineStr">
        <is>
          <t>Dr. Paulo Andrade</t>
        </is>
      </c>
      <c r="D784" s="37" t="inlineStr">
        <is>
          <t>Sala 2</t>
        </is>
      </c>
      <c r="E784" s="36" t="inlineStr">
        <is>
          <t>Paulo Reis</t>
        </is>
      </c>
      <c r="F784" s="37" t="inlineStr">
        <is>
          <t>Particular</t>
        </is>
      </c>
      <c r="G784" s="37" t="inlineStr">
        <is>
          <t>Holter</t>
        </is>
      </c>
      <c r="H784" s="37" t="inlineStr">
        <is>
          <t>Agendado</t>
        </is>
      </c>
      <c r="I784" s="37" t="n"/>
      <c r="J784" s="37" t="n"/>
      <c r="K784" s="36" t="n"/>
      <c r="L784" s="44">
        <f>IF(G784="","",IFERROR(INDEX(Config!$K$5:$K$16,MATCH(G784,Config!$J$5:$J$16,0)),""))</f>
        <v>20</v>
      </c>
      <c r="M784" s="30">
        <f>IF(OR(G784="",F784=""),"",IFERROR(INDEX(Config!$M$5:$R$16,MATCH(G784,Config!$J$5:$J$16,0),MATCH(F784,Config!$H$5:$H$10,0)),""))</f>
        <v>350</v>
      </c>
      <c r="N784" s="29">
        <f>IF(A784="","",MONTH(A784))</f>
        <v>9</v>
      </c>
      <c r="O784" s="29">
        <f>IF(A784="","",YEAR(A784))</f>
        <v>2026</v>
      </c>
      <c r="P784" s="29" t="str">
        <f>IF(A784="","",CHOOSE(WEEKDAY(A784,2),"Segunda","Terça","Quarta","Quinta","Sexta","Sábado","Domingo"))</f>
        <v>Quinta</v>
      </c>
      <c r="Q784" s="29" t="str">
        <f>IF(B784="","",IF(B784&lt;TIME(12,0,0),"Manhã",IF(B784&lt;TIME(18,0,0),"Tarde","Noite")))</f>
        <v>Tarde</v>
      </c>
      <c r="R784" s="45">
        <f>IF(AND(H784="Realizado",L784&lt;&gt;""),L784/60,0)</f>
        <v>0</v>
      </c>
    </row>
    <row r="785">
      <c r="A785" s="42">
        <f>TODAY()+4</f>
        <v>46283.0</v>
      </c>
      <c r="B785" s="43" t="n">
        <v>0.3333333333333333</v>
      </c>
      <c r="C785" s="37" t="inlineStr">
        <is>
          <t>Dr. Paulo Andrade</t>
        </is>
      </c>
      <c r="D785" s="37" t="inlineStr">
        <is>
          <t>Sala 2</t>
        </is>
      </c>
      <c r="E785" s="36" t="inlineStr">
        <is>
          <t>Vanessa Carvalho</t>
        </is>
      </c>
      <c r="F785" s="37" t="inlineStr">
        <is>
          <t>Saúde Total</t>
        </is>
      </c>
      <c r="G785" s="37" t="inlineStr">
        <is>
          <t>Retorno</t>
        </is>
      </c>
      <c r="H785" s="37" t="inlineStr">
        <is>
          <t>Agendado</t>
        </is>
      </c>
      <c r="I785" s="37" t="n"/>
      <c r="J785" s="37" t="n"/>
      <c r="K785" s="36" t="n"/>
      <c r="L785" s="44">
        <f>IF(G785="","",IFERROR(INDEX(Config!$K$5:$K$16,MATCH(G785,Config!$J$5:$J$16,0)),""))</f>
        <v>20</v>
      </c>
      <c r="M785" s="30">
        <f>IF(OR(G785="",F785=""),"",IFERROR(INDEX(Config!$M$5:$R$16,MATCH(G785,Config!$J$5:$J$16,0),MATCH(F785,Config!$H$5:$H$10,0)),""))</f>
        <v>0</v>
      </c>
      <c r="N785" s="29">
        <f>IF(A785="","",MONTH(A785))</f>
        <v>9</v>
      </c>
      <c r="O785" s="29">
        <f>IF(A785="","",YEAR(A785))</f>
        <v>2026</v>
      </c>
      <c r="P785" s="29" t="str">
        <f>IF(A785="","",CHOOSE(WEEKDAY(A785,2),"Segunda","Terça","Quarta","Quinta","Sexta","Sábado","Domingo"))</f>
        <v>Sexta</v>
      </c>
      <c r="Q785" s="29" t="str">
        <f>IF(B785="","",IF(B785&lt;TIME(12,0,0),"Manhã",IF(B785&lt;TIME(18,0,0),"Tarde","Noite")))</f>
        <v>Manhã</v>
      </c>
      <c r="R785" s="45">
        <f>IF(AND(H785="Realizado",L785&lt;&gt;""),L785/60,0)</f>
        <v>0</v>
      </c>
    </row>
    <row r="786">
      <c r="A786" s="42">
        <f>TODAY()+4</f>
        <v>46283.0</v>
      </c>
      <c r="B786" s="43" t="n">
        <v>0.3472222222222222</v>
      </c>
      <c r="C786" s="37" t="inlineStr">
        <is>
          <t>Dr. Paulo Andrade</t>
        </is>
      </c>
      <c r="D786" s="37" t="inlineStr">
        <is>
          <t>Sala 2</t>
        </is>
      </c>
      <c r="E786" s="36" t="inlineStr">
        <is>
          <t>Helena Ribeiro</t>
        </is>
      </c>
      <c r="F786" s="37" t="inlineStr">
        <is>
          <t>MediPlan</t>
        </is>
      </c>
      <c r="G786" s="37" t="inlineStr">
        <is>
          <t>ECG</t>
        </is>
      </c>
      <c r="H786" s="37" t="inlineStr">
        <is>
          <t>Agendado</t>
        </is>
      </c>
      <c r="I786" s="37" t="n"/>
      <c r="J786" s="37" t="n"/>
      <c r="K786" s="36" t="n"/>
      <c r="L786" s="44">
        <f>IF(G786="","",IFERROR(INDEX(Config!$K$5:$K$16,MATCH(G786,Config!$J$5:$J$16,0)),""))</f>
        <v>20</v>
      </c>
      <c r="M786" s="30">
        <f>IF(OR(G786="",F786=""),"",IFERROR(INDEX(Config!$M$5:$R$16,MATCH(G786,Config!$J$5:$J$16,0),MATCH(F786,Config!$H$5:$H$10,0)),""))</f>
        <v>35</v>
      </c>
      <c r="N786" s="29">
        <f>IF(A786="","",MONTH(A786))</f>
        <v>9</v>
      </c>
      <c r="O786" s="29">
        <f>IF(A786="","",YEAR(A786))</f>
        <v>2026</v>
      </c>
      <c r="P786" s="29" t="str">
        <f>IF(A786="","",CHOOSE(WEEKDAY(A786,2),"Segunda","Terça","Quarta","Quinta","Sexta","Sábado","Domingo"))</f>
        <v>Sexta</v>
      </c>
      <c r="Q786" s="29" t="str">
        <f>IF(B786="","",IF(B786&lt;TIME(12,0,0),"Manhã",IF(B786&lt;TIME(18,0,0),"Tarde","Noite")))</f>
        <v>Manhã</v>
      </c>
      <c r="R786" s="45">
        <f>IF(AND(H786="Realizado",L786&lt;&gt;""),L786/60,0)</f>
        <v>0</v>
      </c>
    </row>
    <row r="787">
      <c r="A787" s="42">
        <f>TODAY()+4</f>
        <v>46283.0</v>
      </c>
      <c r="B787" s="43" t="n">
        <v>0.3611111111111111</v>
      </c>
      <c r="C787" s="37" t="inlineStr">
        <is>
          <t>Dr. Paulo Andrade</t>
        </is>
      </c>
      <c r="D787" s="37" t="inlineStr">
        <is>
          <t>Sala 2</t>
        </is>
      </c>
      <c r="E787" s="36" t="inlineStr">
        <is>
          <t>Daniel Almeida</t>
        </is>
      </c>
      <c r="F787" s="37" t="inlineStr">
        <is>
          <t>Saúde Total</t>
        </is>
      </c>
      <c r="G787" s="37" t="inlineStr">
        <is>
          <t>ECG</t>
        </is>
      </c>
      <c r="H787" s="37" t="inlineStr">
        <is>
          <t>Agendado</t>
        </is>
      </c>
      <c r="I787" s="37" t="n"/>
      <c r="J787" s="37" t="n"/>
      <c r="K787" s="36" t="n"/>
      <c r="L787" s="44">
        <f>IF(G787="","",IFERROR(INDEX(Config!$K$5:$K$16,MATCH(G787,Config!$J$5:$J$16,0)),""))</f>
        <v>20</v>
      </c>
      <c r="M787" s="30">
        <f>IF(OR(G787="",F787=""),"",IFERROR(INDEX(Config!$M$5:$R$16,MATCH(G787,Config!$J$5:$J$16,0),MATCH(F787,Config!$H$5:$H$10,0)),""))</f>
        <v>40</v>
      </c>
      <c r="N787" s="29">
        <f>IF(A787="","",MONTH(A787))</f>
        <v>9</v>
      </c>
      <c r="O787" s="29">
        <f>IF(A787="","",YEAR(A787))</f>
        <v>2026</v>
      </c>
      <c r="P787" s="29" t="str">
        <f>IF(A787="","",CHOOSE(WEEKDAY(A787,2),"Segunda","Terça","Quarta","Quinta","Sexta","Sábado","Domingo"))</f>
        <v>Sexta</v>
      </c>
      <c r="Q787" s="29" t="str">
        <f>IF(B787="","",IF(B787&lt;TIME(12,0,0),"Manhã",IF(B787&lt;TIME(18,0,0),"Tarde","Noite")))</f>
        <v>Manhã</v>
      </c>
      <c r="R787" s="45">
        <f>IF(AND(H787="Realizado",L787&lt;&gt;""),L787/60,0)</f>
        <v>0</v>
      </c>
    </row>
    <row r="788">
      <c r="A788" s="42">
        <f>TODAY()+4</f>
        <v>46283.0</v>
      </c>
      <c r="B788" s="43" t="n">
        <v>0.3958333333333333</v>
      </c>
      <c r="C788" s="37" t="inlineStr">
        <is>
          <t>Dr. Paulo Andrade</t>
        </is>
      </c>
      <c r="D788" s="37" t="inlineStr">
        <is>
          <t>Sala 2</t>
        </is>
      </c>
      <c r="E788" s="36" t="inlineStr">
        <is>
          <t>Leandro Cardoso</t>
        </is>
      </c>
      <c r="F788" s="37" t="inlineStr">
        <is>
          <t>MediPlan</t>
        </is>
      </c>
      <c r="G788" s="37" t="inlineStr">
        <is>
          <t>Retorno</t>
        </is>
      </c>
      <c r="H788" s="37" t="inlineStr">
        <is>
          <t>Agendado</t>
        </is>
      </c>
      <c r="I788" s="37" t="n"/>
      <c r="J788" s="37" t="n"/>
      <c r="K788" s="36" t="n"/>
      <c r="L788" s="44">
        <f>IF(G788="","",IFERROR(INDEX(Config!$K$5:$K$16,MATCH(G788,Config!$J$5:$J$16,0)),""))</f>
        <v>20</v>
      </c>
      <c r="M788" s="30">
        <f>IF(OR(G788="",F788=""),"",IFERROR(INDEX(Config!$M$5:$R$16,MATCH(G788,Config!$J$5:$J$16,0),MATCH(F788,Config!$H$5:$H$10,0)),""))</f>
        <v>0</v>
      </c>
      <c r="N788" s="29">
        <f>IF(A788="","",MONTH(A788))</f>
        <v>9</v>
      </c>
      <c r="O788" s="29">
        <f>IF(A788="","",YEAR(A788))</f>
        <v>2026</v>
      </c>
      <c r="P788" s="29" t="str">
        <f>IF(A788="","",CHOOSE(WEEKDAY(A788,2),"Segunda","Terça","Quarta","Quinta","Sexta","Sábado","Domingo"))</f>
        <v>Sexta</v>
      </c>
      <c r="Q788" s="29" t="str">
        <f>IF(B788="","",IF(B788&lt;TIME(12,0,0),"Manhã",IF(B788&lt;TIME(18,0,0),"Tarde","Noite")))</f>
        <v>Manhã</v>
      </c>
      <c r="R788" s="45">
        <f>IF(AND(H788="Realizado",L788&lt;&gt;""),L788/60,0)</f>
        <v>0</v>
      </c>
    </row>
    <row r="789">
      <c r="A789" s="42">
        <f>TODAY()+4</f>
        <v>46283.0</v>
      </c>
      <c r="B789" s="43" t="n">
        <v>0.4097222222222222</v>
      </c>
      <c r="C789" s="37" t="inlineStr">
        <is>
          <t>Dr. Paulo Andrade</t>
        </is>
      </c>
      <c r="D789" s="37" t="inlineStr">
        <is>
          <t>Sala 2</t>
        </is>
      </c>
      <c r="E789" s="36" t="inlineStr">
        <is>
          <t>Patrícia Fernandes</t>
        </is>
      </c>
      <c r="F789" s="37" t="inlineStr">
        <is>
          <t>Particular</t>
        </is>
      </c>
      <c r="G789" s="37" t="inlineStr">
        <is>
          <t>ECG</t>
        </is>
      </c>
      <c r="H789" s="37" t="inlineStr">
        <is>
          <t>Agendado</t>
        </is>
      </c>
      <c r="I789" s="37" t="n"/>
      <c r="J789" s="37" t="n"/>
      <c r="K789" s="36" t="n"/>
      <c r="L789" s="44">
        <f>IF(G789="","",IFERROR(INDEX(Config!$K$5:$K$16,MATCH(G789,Config!$J$5:$J$16,0)),""))</f>
        <v>20</v>
      </c>
      <c r="M789" s="30">
        <f>IF(OR(G789="",F789=""),"",IFERROR(INDEX(Config!$M$5:$R$16,MATCH(G789,Config!$J$5:$J$16,0),MATCH(F789,Config!$H$5:$H$10,0)),""))</f>
        <v>130</v>
      </c>
      <c r="N789" s="29">
        <f>IF(A789="","",MONTH(A789))</f>
        <v>9</v>
      </c>
      <c r="O789" s="29">
        <f>IF(A789="","",YEAR(A789))</f>
        <v>2026</v>
      </c>
      <c r="P789" s="29" t="str">
        <f>IF(A789="","",CHOOSE(WEEKDAY(A789,2),"Segunda","Terça","Quarta","Quinta","Sexta","Sábado","Domingo"))</f>
        <v>Sexta</v>
      </c>
      <c r="Q789" s="29" t="str">
        <f>IF(B789="","",IF(B789&lt;TIME(12,0,0),"Manhã",IF(B789&lt;TIME(18,0,0),"Tarde","Noite")))</f>
        <v>Manhã</v>
      </c>
      <c r="R789" s="45">
        <f>IF(AND(H789="Realizado",L789&lt;&gt;""),L789/60,0)</f>
        <v>0</v>
      </c>
    </row>
    <row r="790">
      <c r="A790" s="42">
        <f>TODAY()+4</f>
        <v>46283.0</v>
      </c>
      <c r="B790" s="43" t="n">
        <v>0.4236111111111111</v>
      </c>
      <c r="C790" s="37" t="inlineStr">
        <is>
          <t>Dr. Paulo Andrade</t>
        </is>
      </c>
      <c r="D790" s="37" t="inlineStr">
        <is>
          <t>Sala 2</t>
        </is>
      </c>
      <c r="E790" s="36" t="inlineStr">
        <is>
          <t>Regina Macedo</t>
        </is>
      </c>
      <c r="F790" s="37" t="inlineStr">
        <is>
          <t>Particular</t>
        </is>
      </c>
      <c r="G790" s="37" t="inlineStr">
        <is>
          <t>ECG</t>
        </is>
      </c>
      <c r="H790" s="37" t="inlineStr">
        <is>
          <t>Agendado</t>
        </is>
      </c>
      <c r="I790" s="37" t="n"/>
      <c r="J790" s="37" t="n"/>
      <c r="K790" s="36" t="n"/>
      <c r="L790" s="44">
        <f>IF(G790="","",IFERROR(INDEX(Config!$K$5:$K$16,MATCH(G790,Config!$J$5:$J$16,0)),""))</f>
        <v>20</v>
      </c>
      <c r="M790" s="30">
        <f>IF(OR(G790="",F790=""),"",IFERROR(INDEX(Config!$M$5:$R$16,MATCH(G790,Config!$J$5:$J$16,0),MATCH(F790,Config!$H$5:$H$10,0)),""))</f>
        <v>130</v>
      </c>
      <c r="N790" s="29">
        <f>IF(A790="","",MONTH(A790))</f>
        <v>9</v>
      </c>
      <c r="O790" s="29">
        <f>IF(A790="","",YEAR(A790))</f>
        <v>2026</v>
      </c>
      <c r="P790" s="29" t="str">
        <f>IF(A790="","",CHOOSE(WEEKDAY(A790,2),"Segunda","Terça","Quarta","Quinta","Sexta","Sábado","Domingo"))</f>
        <v>Sexta</v>
      </c>
      <c r="Q790" s="29" t="str">
        <f>IF(B790="","",IF(B790&lt;TIME(12,0,0),"Manhã",IF(B790&lt;TIME(18,0,0),"Tarde","Noite")))</f>
        <v>Manhã</v>
      </c>
      <c r="R790" s="45">
        <f>IF(AND(H790="Realizado",L790&lt;&gt;""),L790/60,0)</f>
        <v>0</v>
      </c>
    </row>
    <row r="791">
      <c r="A791" s="42">
        <f>TODAY()+4</f>
        <v>46283.0</v>
      </c>
      <c r="B791" s="43" t="n">
        <v>0.4375</v>
      </c>
      <c r="C791" s="37" t="inlineStr">
        <is>
          <t>Dr. Paulo Andrade</t>
        </is>
      </c>
      <c r="D791" s="37" t="inlineStr">
        <is>
          <t>Sala 2</t>
        </is>
      </c>
      <c r="E791" s="36" t="inlineStr">
        <is>
          <t>Marcelo Ferreira</t>
        </is>
      </c>
      <c r="F791" s="37" t="inlineStr">
        <is>
          <t>Particular</t>
        </is>
      </c>
      <c r="G791" s="37" t="inlineStr">
        <is>
          <t>Consulta</t>
        </is>
      </c>
      <c r="H791" s="37" t="inlineStr">
        <is>
          <t>Agendado</t>
        </is>
      </c>
      <c r="I791" s="37" t="n"/>
      <c r="J791" s="37" t="n"/>
      <c r="K791" s="36" t="n"/>
      <c r="L791" s="44">
        <f>IF(G791="","",IFERROR(INDEX(Config!$K$5:$K$16,MATCH(G791,Config!$J$5:$J$16,0)),""))</f>
        <v>30</v>
      </c>
      <c r="M791" s="30">
        <f>IF(OR(G791="",F791=""),"",IFERROR(INDEX(Config!$M$5:$R$16,MATCH(G791,Config!$J$5:$J$16,0),MATCH(F791,Config!$H$5:$H$10,0)),""))</f>
        <v>380</v>
      </c>
      <c r="N791" s="29">
        <f>IF(A791="","",MONTH(A791))</f>
        <v>9</v>
      </c>
      <c r="O791" s="29">
        <f>IF(A791="","",YEAR(A791))</f>
        <v>2026</v>
      </c>
      <c r="P791" s="29" t="str">
        <f>IF(A791="","",CHOOSE(WEEKDAY(A791,2),"Segunda","Terça","Quarta","Quinta","Sexta","Sábado","Domingo"))</f>
        <v>Sexta</v>
      </c>
      <c r="Q791" s="29" t="str">
        <f>IF(B791="","",IF(B791&lt;TIME(12,0,0),"Manhã",IF(B791&lt;TIME(18,0,0),"Tarde","Noite")))</f>
        <v>Manhã</v>
      </c>
      <c r="R791" s="45">
        <f>IF(AND(H791="Realizado",L791&lt;&gt;""),L791/60,0)</f>
        <v>0</v>
      </c>
    </row>
    <row r="792">
      <c r="A792" s="42">
        <f>TODAY()+4</f>
        <v>46283.0</v>
      </c>
      <c r="B792" s="43" t="n">
        <v>0.4583333333333333</v>
      </c>
      <c r="C792" s="37" t="inlineStr">
        <is>
          <t>Dr. Paulo Andrade</t>
        </is>
      </c>
      <c r="D792" s="37" t="inlineStr">
        <is>
          <t>Sala 2</t>
        </is>
      </c>
      <c r="E792" s="36" t="inlineStr">
        <is>
          <t>Thiago Duarte</t>
        </is>
      </c>
      <c r="F792" s="37" t="inlineStr">
        <is>
          <t>Saúde Total</t>
        </is>
      </c>
      <c r="G792" s="37" t="inlineStr">
        <is>
          <t>Teste ergométrico</t>
        </is>
      </c>
      <c r="H792" s="37" t="inlineStr">
        <is>
          <t>Agendado</t>
        </is>
      </c>
      <c r="I792" s="37" t="n"/>
      <c r="J792" s="37" t="n"/>
      <c r="K792" s="36" t="n"/>
      <c r="L792" s="44">
        <f>IF(G792="","",IFERROR(INDEX(Config!$K$5:$K$16,MATCH(G792,Config!$J$5:$J$16,0)),""))</f>
        <v>40</v>
      </c>
      <c r="M792" s="30">
        <f>IF(OR(G792="",F792=""),"",IFERROR(INDEX(Config!$M$5:$R$16,MATCH(G792,Config!$J$5:$J$16,0),MATCH(F792,Config!$H$5:$H$10,0)),""))</f>
        <v>140</v>
      </c>
      <c r="N792" s="29">
        <f>IF(A792="","",MONTH(A792))</f>
        <v>9</v>
      </c>
      <c r="O792" s="29">
        <f>IF(A792="","",YEAR(A792))</f>
        <v>2026</v>
      </c>
      <c r="P792" s="29" t="str">
        <f>IF(A792="","",CHOOSE(WEEKDAY(A792,2),"Segunda","Terça","Quarta","Quinta","Sexta","Sábado","Domingo"))</f>
        <v>Sexta</v>
      </c>
      <c r="Q792" s="29" t="str">
        <f>IF(B792="","",IF(B792&lt;TIME(12,0,0),"Manhã",IF(B792&lt;TIME(18,0,0),"Tarde","Noite")))</f>
        <v>Manhã</v>
      </c>
      <c r="R792" s="45">
        <f>IF(AND(H792="Realizado",L792&lt;&gt;""),L792/60,0)</f>
        <v>0</v>
      </c>
    </row>
    <row r="793">
      <c r="A793" s="42">
        <f>TODAY()+4</f>
        <v>46283.0</v>
      </c>
      <c r="B793" s="43" t="n">
        <v>0.4861111111111111</v>
      </c>
      <c r="C793" s="37" t="inlineStr">
        <is>
          <t>Dr. Paulo Andrade</t>
        </is>
      </c>
      <c r="D793" s="37" t="inlineStr">
        <is>
          <t>Sala 2</t>
        </is>
      </c>
      <c r="E793" s="36" t="inlineStr">
        <is>
          <t>Vinícius Cardoso</t>
        </is>
      </c>
      <c r="F793" s="37" t="inlineStr">
        <is>
          <t>MediPlan</t>
        </is>
      </c>
      <c r="G793" s="37" t="inlineStr">
        <is>
          <t>Retorno</t>
        </is>
      </c>
      <c r="H793" s="37" t="inlineStr">
        <is>
          <t>Agendado</t>
        </is>
      </c>
      <c r="I793" s="37" t="n"/>
      <c r="J793" s="37" t="n"/>
      <c r="K793" s="36" t="n"/>
      <c r="L793" s="44">
        <f>IF(G793="","",IFERROR(INDEX(Config!$K$5:$K$16,MATCH(G793,Config!$J$5:$J$16,0)),""))</f>
        <v>20</v>
      </c>
      <c r="M793" s="30">
        <f>IF(OR(G793="",F793=""),"",IFERROR(INDEX(Config!$M$5:$R$16,MATCH(G793,Config!$J$5:$J$16,0),MATCH(F793,Config!$H$5:$H$10,0)),""))</f>
        <v>0</v>
      </c>
      <c r="N793" s="29">
        <f>IF(A793="","",MONTH(A793))</f>
        <v>9</v>
      </c>
      <c r="O793" s="29">
        <f>IF(A793="","",YEAR(A793))</f>
        <v>2026</v>
      </c>
      <c r="P793" s="29" t="str">
        <f>IF(A793="","",CHOOSE(WEEKDAY(A793,2),"Segunda","Terça","Quarta","Quinta","Sexta","Sábado","Domingo"))</f>
        <v>Sexta</v>
      </c>
      <c r="Q793" s="29" t="str">
        <f>IF(B793="","",IF(B793&lt;TIME(12,0,0),"Manhã",IF(B793&lt;TIME(18,0,0),"Tarde","Noite")))</f>
        <v>Manhã</v>
      </c>
      <c r="R793" s="45">
        <f>IF(AND(H793="Realizado",L793&lt;&gt;""),L793/60,0)</f>
        <v>0</v>
      </c>
    </row>
    <row r="794">
      <c r="A794" s="42">
        <f>TODAY()+7</f>
        <v>46286.0</v>
      </c>
      <c r="B794" s="43" t="n">
        <v>0.3333333333333333</v>
      </c>
      <c r="C794" s="37" t="inlineStr">
        <is>
          <t>Dra. Carolina Mendes</t>
        </is>
      </c>
      <c r="D794" s="37" t="inlineStr">
        <is>
          <t>Sala 1</t>
        </is>
      </c>
      <c r="E794" s="36" t="inlineStr">
        <is>
          <t>Sérgio Martins</t>
        </is>
      </c>
      <c r="F794" s="37" t="inlineStr">
        <is>
          <t>Particular</t>
        </is>
      </c>
      <c r="G794" s="37" t="inlineStr">
        <is>
          <t>Consulta</t>
        </is>
      </c>
      <c r="H794" s="37" t="inlineStr">
        <is>
          <t>Agendado</t>
        </is>
      </c>
      <c r="I794" s="37" t="n"/>
      <c r="J794" s="37" t="n"/>
      <c r="K794" s="36" t="n"/>
      <c r="L794" s="44">
        <f>IF(G794="","",IFERROR(INDEX(Config!$K$5:$K$16,MATCH(G794,Config!$J$5:$J$16,0)),""))</f>
        <v>30</v>
      </c>
      <c r="M794" s="30">
        <f>IF(OR(G794="",F794=""),"",IFERROR(INDEX(Config!$M$5:$R$16,MATCH(G794,Config!$J$5:$J$16,0),MATCH(F794,Config!$H$5:$H$10,0)),""))</f>
        <v>380</v>
      </c>
      <c r="N794" s="29">
        <f>IF(A794="","",MONTH(A794))</f>
        <v>9</v>
      </c>
      <c r="O794" s="29">
        <f>IF(A794="","",YEAR(A794))</f>
        <v>2026</v>
      </c>
      <c r="P794" s="29" t="str">
        <f>IF(A794="","",CHOOSE(WEEKDAY(A794,2),"Segunda","Terça","Quarta","Quinta","Sexta","Sábado","Domingo"))</f>
        <v>Segunda</v>
      </c>
      <c r="Q794" s="29" t="str">
        <f>IF(B794="","",IF(B794&lt;TIME(12,0,0),"Manhã",IF(B794&lt;TIME(18,0,0),"Tarde","Noite")))</f>
        <v>Manhã</v>
      </c>
      <c r="R794" s="45">
        <f>IF(AND(H794="Realizado",L794&lt;&gt;""),L794/60,0)</f>
        <v>0</v>
      </c>
    </row>
    <row r="795">
      <c r="A795" s="42">
        <f>TODAY()+7</f>
        <v>46286.0</v>
      </c>
      <c r="B795" s="43" t="n">
        <v>0.3541666666666667</v>
      </c>
      <c r="C795" s="37" t="inlineStr">
        <is>
          <t>Dra. Carolina Mendes</t>
        </is>
      </c>
      <c r="D795" s="37" t="inlineStr">
        <is>
          <t>Sala 1</t>
        </is>
      </c>
      <c r="E795" s="36" t="inlineStr">
        <is>
          <t>Gisele Ribeiro</t>
        </is>
      </c>
      <c r="F795" s="37" t="inlineStr">
        <is>
          <t>Particular</t>
        </is>
      </c>
      <c r="G795" s="37" t="inlineStr">
        <is>
          <t>Consulta</t>
        </is>
      </c>
      <c r="H795" s="37" t="inlineStr">
        <is>
          <t>Agendado</t>
        </is>
      </c>
      <c r="I795" s="37" t="n"/>
      <c r="J795" s="37" t="n"/>
      <c r="K795" s="36" t="n"/>
      <c r="L795" s="44">
        <f>IF(G795="","",IFERROR(INDEX(Config!$K$5:$K$16,MATCH(G795,Config!$J$5:$J$16,0)),""))</f>
        <v>30</v>
      </c>
      <c r="M795" s="30">
        <f>IF(OR(G795="",F795=""),"",IFERROR(INDEX(Config!$M$5:$R$16,MATCH(G795,Config!$J$5:$J$16,0),MATCH(F795,Config!$H$5:$H$10,0)),""))</f>
        <v>380</v>
      </c>
      <c r="N795" s="29">
        <f>IF(A795="","",MONTH(A795))</f>
        <v>9</v>
      </c>
      <c r="O795" s="29">
        <f>IF(A795="","",YEAR(A795))</f>
        <v>2026</v>
      </c>
      <c r="P795" s="29" t="str">
        <f>IF(A795="","",CHOOSE(WEEKDAY(A795,2),"Segunda","Terça","Quarta","Quinta","Sexta","Sábado","Domingo"))</f>
        <v>Segunda</v>
      </c>
      <c r="Q795" s="29" t="str">
        <f>IF(B795="","",IF(B795&lt;TIME(12,0,0),"Manhã",IF(B795&lt;TIME(18,0,0),"Tarde","Noite")))</f>
        <v>Manhã</v>
      </c>
      <c r="R795" s="45">
        <f>IF(AND(H795="Realizado",L795&lt;&gt;""),L795/60,0)</f>
        <v>0</v>
      </c>
    </row>
    <row r="796">
      <c r="A796" s="42">
        <f>TODAY()+7</f>
        <v>46286.0</v>
      </c>
      <c r="B796" s="43" t="n">
        <v>0.3958333333333333</v>
      </c>
      <c r="C796" s="37" t="inlineStr">
        <is>
          <t>Dra. Carolina Mendes</t>
        </is>
      </c>
      <c r="D796" s="37" t="inlineStr">
        <is>
          <t>Sala 1</t>
        </is>
      </c>
      <c r="E796" s="36" t="inlineStr">
        <is>
          <t>Regina Macedo</t>
        </is>
      </c>
      <c r="F796" s="37" t="inlineStr">
        <is>
          <t>Particular</t>
        </is>
      </c>
      <c r="G796" s="37" t="inlineStr">
        <is>
          <t>Consulta</t>
        </is>
      </c>
      <c r="H796" s="37" t="inlineStr">
        <is>
          <t>Agendado</t>
        </is>
      </c>
      <c r="I796" s="37" t="n"/>
      <c r="J796" s="37" t="n"/>
      <c r="K796" s="36" t="n"/>
      <c r="L796" s="44">
        <f>IF(G796="","",IFERROR(INDEX(Config!$K$5:$K$16,MATCH(G796,Config!$J$5:$J$16,0)),""))</f>
        <v>30</v>
      </c>
      <c r="M796" s="30">
        <f>IF(OR(G796="",F796=""),"",IFERROR(INDEX(Config!$M$5:$R$16,MATCH(G796,Config!$J$5:$J$16,0),MATCH(F796,Config!$H$5:$H$10,0)),""))</f>
        <v>380</v>
      </c>
      <c r="N796" s="29">
        <f>IF(A796="","",MONTH(A796))</f>
        <v>9</v>
      </c>
      <c r="O796" s="29">
        <f>IF(A796="","",YEAR(A796))</f>
        <v>2026</v>
      </c>
      <c r="P796" s="29" t="str">
        <f>IF(A796="","",CHOOSE(WEEKDAY(A796,2),"Segunda","Terça","Quarta","Quinta","Sexta","Sábado","Domingo"))</f>
        <v>Segunda</v>
      </c>
      <c r="Q796" s="29" t="str">
        <f>IF(B796="","",IF(B796&lt;TIME(12,0,0),"Manhã",IF(B796&lt;TIME(18,0,0),"Tarde","Noite")))</f>
        <v>Manhã</v>
      </c>
      <c r="R796" s="45">
        <f>IF(AND(H796="Realizado",L796&lt;&gt;""),L796/60,0)</f>
        <v>0</v>
      </c>
    </row>
    <row r="797">
      <c r="A797" s="42">
        <f>TODAY()+7</f>
        <v>46286.0</v>
      </c>
      <c r="B797" s="43" t="n">
        <v>0.4166666666666667</v>
      </c>
      <c r="C797" s="37" t="inlineStr">
        <is>
          <t>Dra. Carolina Mendes</t>
        </is>
      </c>
      <c r="D797" s="37" t="inlineStr">
        <is>
          <t>Sala 1</t>
        </is>
      </c>
      <c r="E797" s="36" t="inlineStr">
        <is>
          <t>Mateus Lima</t>
        </is>
      </c>
      <c r="F797" s="37" t="inlineStr">
        <is>
          <t>MediPlan</t>
        </is>
      </c>
      <c r="G797" s="37" t="inlineStr">
        <is>
          <t>Consulta</t>
        </is>
      </c>
      <c r="H797" s="37" t="inlineStr">
        <is>
          <t>Agendado</t>
        </is>
      </c>
      <c r="I797" s="37" t="n"/>
      <c r="J797" s="37" t="n"/>
      <c r="K797" s="36" t="n"/>
      <c r="L797" s="44">
        <f>IF(G797="","",IFERROR(INDEX(Config!$K$5:$K$16,MATCH(G797,Config!$J$5:$J$16,0)),""))</f>
        <v>30</v>
      </c>
      <c r="M797" s="30">
        <f>IF(OR(G797="",F797=""),"",IFERROR(INDEX(Config!$M$5:$R$16,MATCH(G797,Config!$J$5:$J$16,0),MATCH(F797,Config!$H$5:$H$10,0)),""))</f>
        <v>100</v>
      </c>
      <c r="N797" s="29">
        <f>IF(A797="","",MONTH(A797))</f>
        <v>9</v>
      </c>
      <c r="O797" s="29">
        <f>IF(A797="","",YEAR(A797))</f>
        <v>2026</v>
      </c>
      <c r="P797" s="29" t="str">
        <f>IF(A797="","",CHOOSE(WEEKDAY(A797,2),"Segunda","Terça","Quarta","Quinta","Sexta","Sábado","Domingo"))</f>
        <v>Segunda</v>
      </c>
      <c r="Q797" s="29" t="str">
        <f>IF(B797="","",IF(B797&lt;TIME(12,0,0),"Manhã",IF(B797&lt;TIME(18,0,0),"Tarde","Noite")))</f>
        <v>Manhã</v>
      </c>
      <c r="R797" s="45">
        <f>IF(AND(H797="Realizado",L797&lt;&gt;""),L797/60,0)</f>
        <v>0</v>
      </c>
    </row>
    <row r="798">
      <c r="A798" s="42">
        <f>TODAY()+7</f>
        <v>46286.0</v>
      </c>
      <c r="B798" s="43" t="n">
        <v>0.4375</v>
      </c>
      <c r="C798" s="37" t="inlineStr">
        <is>
          <t>Dra. Carolina Mendes</t>
        </is>
      </c>
      <c r="D798" s="37" t="inlineStr">
        <is>
          <t>Sala 1</t>
        </is>
      </c>
      <c r="E798" s="36" t="inlineStr">
        <is>
          <t>Rodrigo Gomes</t>
        </is>
      </c>
      <c r="F798" s="37" t="inlineStr">
        <is>
          <t>Vida Care</t>
        </is>
      </c>
      <c r="G798" s="37" t="inlineStr">
        <is>
          <t>Consulta</t>
        </is>
      </c>
      <c r="H798" s="37" t="inlineStr">
        <is>
          <t>Agendado</t>
        </is>
      </c>
      <c r="I798" s="37" t="n"/>
      <c r="J798" s="37" t="n"/>
      <c r="K798" s="36" t="n"/>
      <c r="L798" s="44">
        <f>IF(G798="","",IFERROR(INDEX(Config!$K$5:$K$16,MATCH(G798,Config!$J$5:$J$16,0)),""))</f>
        <v>30</v>
      </c>
      <c r="M798" s="30">
        <f>IF(OR(G798="",F798=""),"",IFERROR(INDEX(Config!$M$5:$R$16,MATCH(G798,Config!$J$5:$J$16,0),MATCH(F798,Config!$H$5:$H$10,0)),""))</f>
        <v>90</v>
      </c>
      <c r="N798" s="29">
        <f>IF(A798="","",MONTH(A798))</f>
        <v>9</v>
      </c>
      <c r="O798" s="29">
        <f>IF(A798="","",YEAR(A798))</f>
        <v>2026</v>
      </c>
      <c r="P798" s="29" t="str">
        <f>IF(A798="","",CHOOSE(WEEKDAY(A798,2),"Segunda","Terça","Quarta","Quinta","Sexta","Sábado","Domingo"))</f>
        <v>Segunda</v>
      </c>
      <c r="Q798" s="29" t="str">
        <f>IF(B798="","",IF(B798&lt;TIME(12,0,0),"Manhã",IF(B798&lt;TIME(18,0,0),"Tarde","Noite")))</f>
        <v>Manhã</v>
      </c>
      <c r="R798" s="45">
        <f>IF(AND(H798="Realizado",L798&lt;&gt;""),L798/60,0)</f>
        <v>0</v>
      </c>
    </row>
    <row r="799">
      <c r="A799" s="42">
        <f>TODAY()+7</f>
        <v>46286.0</v>
      </c>
      <c r="B799" s="43" t="n">
        <v>0.4583333333333333</v>
      </c>
      <c r="C799" s="37" t="inlineStr">
        <is>
          <t>Dra. Carolina Mendes</t>
        </is>
      </c>
      <c r="D799" s="37" t="inlineStr">
        <is>
          <t>Sala 1</t>
        </is>
      </c>
      <c r="E799" s="36" t="inlineStr">
        <is>
          <t>Isabela Nascimento</t>
        </is>
      </c>
      <c r="F799" s="37" t="inlineStr">
        <is>
          <t>Vida Care</t>
        </is>
      </c>
      <c r="G799" s="37" t="inlineStr">
        <is>
          <t>Consulta</t>
        </is>
      </c>
      <c r="H799" s="37" t="inlineStr">
        <is>
          <t>Agendado</t>
        </is>
      </c>
      <c r="I799" s="37" t="n"/>
      <c r="J799" s="37" t="n"/>
      <c r="K799" s="36" t="n"/>
      <c r="L799" s="44">
        <f>IF(G799="","",IFERROR(INDEX(Config!$K$5:$K$16,MATCH(G799,Config!$J$5:$J$16,0)),""))</f>
        <v>30</v>
      </c>
      <c r="M799" s="30">
        <f>IF(OR(G799="",F799=""),"",IFERROR(INDEX(Config!$M$5:$R$16,MATCH(G799,Config!$J$5:$J$16,0),MATCH(F799,Config!$H$5:$H$10,0)),""))</f>
        <v>90</v>
      </c>
      <c r="N799" s="29">
        <f>IF(A799="","",MONTH(A799))</f>
        <v>9</v>
      </c>
      <c r="O799" s="29">
        <f>IF(A799="","",YEAR(A799))</f>
        <v>2026</v>
      </c>
      <c r="P799" s="29" t="str">
        <f>IF(A799="","",CHOOSE(WEEKDAY(A799,2),"Segunda","Terça","Quarta","Quinta","Sexta","Sábado","Domingo"))</f>
        <v>Segunda</v>
      </c>
      <c r="Q799" s="29" t="str">
        <f>IF(B799="","",IF(B799&lt;TIME(12,0,0),"Manhã",IF(B799&lt;TIME(18,0,0),"Tarde","Noite")))</f>
        <v>Manhã</v>
      </c>
      <c r="R799" s="45">
        <f>IF(AND(H799="Realizado",L799&lt;&gt;""),L799/60,0)</f>
        <v>0</v>
      </c>
    </row>
    <row r="800">
      <c r="A800" s="42">
        <f>TODAY()+7</f>
        <v>46286.0</v>
      </c>
      <c r="B800" s="43" t="n">
        <v>0.4791666666666667</v>
      </c>
      <c r="C800" s="37" t="inlineStr">
        <is>
          <t>Dra. Carolina Mendes</t>
        </is>
      </c>
      <c r="D800" s="37" t="inlineStr">
        <is>
          <t>Sala 1</t>
        </is>
      </c>
      <c r="E800" s="36" t="inlineStr">
        <is>
          <t>Juliana Silva</t>
        </is>
      </c>
      <c r="F800" s="37" t="inlineStr">
        <is>
          <t>Vida Care</t>
        </is>
      </c>
      <c r="G800" s="37" t="inlineStr">
        <is>
          <t>Consulta</t>
        </is>
      </c>
      <c r="H800" s="37" t="inlineStr">
        <is>
          <t>Agendado</t>
        </is>
      </c>
      <c r="I800" s="37" t="n"/>
      <c r="J800" s="37" t="n"/>
      <c r="K800" s="36" t="n"/>
      <c r="L800" s="44">
        <f>IF(G800="","",IFERROR(INDEX(Config!$K$5:$K$16,MATCH(G800,Config!$J$5:$J$16,0)),""))</f>
        <v>30</v>
      </c>
      <c r="M800" s="30">
        <f>IF(OR(G800="",F800=""),"",IFERROR(INDEX(Config!$M$5:$R$16,MATCH(G800,Config!$J$5:$J$16,0),MATCH(F800,Config!$H$5:$H$10,0)),""))</f>
        <v>90</v>
      </c>
      <c r="N800" s="29">
        <f>IF(A800="","",MONTH(A800))</f>
        <v>9</v>
      </c>
      <c r="O800" s="29">
        <f>IF(A800="","",YEAR(A800))</f>
        <v>2026</v>
      </c>
      <c r="P800" s="29" t="str">
        <f>IF(A800="","",CHOOSE(WEEKDAY(A800,2),"Segunda","Terça","Quarta","Quinta","Sexta","Sábado","Domingo"))</f>
        <v>Segunda</v>
      </c>
      <c r="Q800" s="29" t="str">
        <f>IF(B800="","",IF(B800&lt;TIME(12,0,0),"Manhã",IF(B800&lt;TIME(18,0,0),"Tarde","Noite")))</f>
        <v>Manhã</v>
      </c>
      <c r="R800" s="45">
        <f>IF(AND(H800="Realizado",L800&lt;&gt;""),L800/60,0)</f>
        <v>0</v>
      </c>
    </row>
    <row r="801">
      <c r="A801" s="42">
        <f>TODAY()+7</f>
        <v>46286.0</v>
      </c>
      <c r="B801" s="43" t="n">
        <v>0.5833333333333334</v>
      </c>
      <c r="C801" s="37" t="inlineStr">
        <is>
          <t>Dr. Paulo Andrade</t>
        </is>
      </c>
      <c r="D801" s="37" t="inlineStr">
        <is>
          <t>Sala 2</t>
        </is>
      </c>
      <c r="E801" s="36" t="inlineStr">
        <is>
          <t>Priscila Rocha</t>
        </is>
      </c>
      <c r="F801" s="37" t="inlineStr">
        <is>
          <t>MediPlan</t>
        </is>
      </c>
      <c r="G801" s="37" t="inlineStr">
        <is>
          <t>Teste ergométrico</t>
        </is>
      </c>
      <c r="H801" s="37" t="inlineStr">
        <is>
          <t>Agendado</t>
        </is>
      </c>
      <c r="I801" s="37" t="n"/>
      <c r="J801" s="37" t="n"/>
      <c r="K801" s="36" t="n"/>
      <c r="L801" s="44">
        <f>IF(G801="","",IFERROR(INDEX(Config!$K$5:$K$16,MATCH(G801,Config!$J$5:$J$16,0)),""))</f>
        <v>40</v>
      </c>
      <c r="M801" s="30">
        <f>IF(OR(G801="",F801=""),"",IFERROR(INDEX(Config!$M$5:$R$16,MATCH(G801,Config!$J$5:$J$16,0),MATCH(F801,Config!$H$5:$H$10,0)),""))</f>
        <v>125</v>
      </c>
      <c r="N801" s="29">
        <f>IF(A801="","",MONTH(A801))</f>
        <v>9</v>
      </c>
      <c r="O801" s="29">
        <f>IF(A801="","",YEAR(A801))</f>
        <v>2026</v>
      </c>
      <c r="P801" s="29" t="str">
        <f>IF(A801="","",CHOOSE(WEEKDAY(A801,2),"Segunda","Terça","Quarta","Quinta","Sexta","Sábado","Domingo"))</f>
        <v>Segunda</v>
      </c>
      <c r="Q801" s="29" t="str">
        <f>IF(B801="","",IF(B801&lt;TIME(12,0,0),"Manhã",IF(B801&lt;TIME(18,0,0),"Tarde","Noite")))</f>
        <v>Tarde</v>
      </c>
      <c r="R801" s="45">
        <f>IF(AND(H801="Realizado",L801&lt;&gt;""),L801/60,0)</f>
        <v>0</v>
      </c>
    </row>
    <row r="802">
      <c r="A802" s="42">
        <f>TODAY()+7</f>
        <v>46286.0</v>
      </c>
      <c r="B802" s="43" t="n">
        <v>0.6111111111111112</v>
      </c>
      <c r="C802" s="37" t="inlineStr">
        <is>
          <t>Dr. Paulo Andrade</t>
        </is>
      </c>
      <c r="D802" s="37" t="inlineStr">
        <is>
          <t>Sala 2</t>
        </is>
      </c>
      <c r="E802" s="36" t="inlineStr">
        <is>
          <t>Otávio Martins</t>
        </is>
      </c>
      <c r="F802" s="37" t="inlineStr">
        <is>
          <t>MediPlan</t>
        </is>
      </c>
      <c r="G802" s="37" t="inlineStr">
        <is>
          <t>Consulta</t>
        </is>
      </c>
      <c r="H802" s="37" t="inlineStr">
        <is>
          <t>Agendado</t>
        </is>
      </c>
      <c r="I802" s="37" t="n"/>
      <c r="J802" s="37" t="n"/>
      <c r="K802" s="36" t="n"/>
      <c r="L802" s="44">
        <f>IF(G802="","",IFERROR(INDEX(Config!$K$5:$K$16,MATCH(G802,Config!$J$5:$J$16,0)),""))</f>
        <v>30</v>
      </c>
      <c r="M802" s="30">
        <f>IF(OR(G802="",F802=""),"",IFERROR(INDEX(Config!$M$5:$R$16,MATCH(G802,Config!$J$5:$J$16,0),MATCH(F802,Config!$H$5:$H$10,0)),""))</f>
        <v>100</v>
      </c>
      <c r="N802" s="29">
        <f>IF(A802="","",MONTH(A802))</f>
        <v>9</v>
      </c>
      <c r="O802" s="29">
        <f>IF(A802="","",YEAR(A802))</f>
        <v>2026</v>
      </c>
      <c r="P802" s="29" t="str">
        <f>IF(A802="","",CHOOSE(WEEKDAY(A802,2),"Segunda","Terça","Quarta","Quinta","Sexta","Sábado","Domingo"))</f>
        <v>Segunda</v>
      </c>
      <c r="Q802" s="29" t="str">
        <f>IF(B802="","",IF(B802&lt;TIME(12,0,0),"Manhã",IF(B802&lt;TIME(18,0,0),"Tarde","Noite")))</f>
        <v>Tarde</v>
      </c>
      <c r="R802" s="45">
        <f>IF(AND(H802="Realizado",L802&lt;&gt;""),L802/60,0)</f>
        <v>0</v>
      </c>
    </row>
    <row r="803">
      <c r="A803" s="42">
        <f>TODAY()+7</f>
        <v>46286.0</v>
      </c>
      <c r="B803" s="43" t="n">
        <v>0.6319444444444444</v>
      </c>
      <c r="C803" s="37" t="inlineStr">
        <is>
          <t>Dr. Paulo Andrade</t>
        </is>
      </c>
      <c r="D803" s="37" t="inlineStr">
        <is>
          <t>Sala 2</t>
        </is>
      </c>
      <c r="E803" s="36" t="inlineStr">
        <is>
          <t>Débora Moreira</t>
        </is>
      </c>
      <c r="F803" s="37" t="inlineStr">
        <is>
          <t>Particular</t>
        </is>
      </c>
      <c r="G803" s="37" t="inlineStr">
        <is>
          <t>Consulta</t>
        </is>
      </c>
      <c r="H803" s="37" t="inlineStr">
        <is>
          <t>Agendado</t>
        </is>
      </c>
      <c r="I803" s="37" t="n"/>
      <c r="J803" s="37" t="n"/>
      <c r="K803" s="36" t="n"/>
      <c r="L803" s="44">
        <f>IF(G803="","",IFERROR(INDEX(Config!$K$5:$K$16,MATCH(G803,Config!$J$5:$J$16,0)),""))</f>
        <v>30</v>
      </c>
      <c r="M803" s="30">
        <f>IF(OR(G803="",F803=""),"",IFERROR(INDEX(Config!$M$5:$R$16,MATCH(G803,Config!$J$5:$J$16,0),MATCH(F803,Config!$H$5:$H$10,0)),""))</f>
        <v>380</v>
      </c>
      <c r="N803" s="29">
        <f>IF(A803="","",MONTH(A803))</f>
        <v>9</v>
      </c>
      <c r="O803" s="29">
        <f>IF(A803="","",YEAR(A803))</f>
        <v>2026</v>
      </c>
      <c r="P803" s="29" t="str">
        <f>IF(A803="","",CHOOSE(WEEKDAY(A803,2),"Segunda","Terça","Quarta","Quinta","Sexta","Sábado","Domingo"))</f>
        <v>Segunda</v>
      </c>
      <c r="Q803" s="29" t="str">
        <f>IF(B803="","",IF(B803&lt;TIME(12,0,0),"Manhã",IF(B803&lt;TIME(18,0,0),"Tarde","Noite")))</f>
        <v>Tarde</v>
      </c>
      <c r="R803" s="45">
        <f>IF(AND(H803="Realizado",L803&lt;&gt;""),L803/60,0)</f>
        <v>0</v>
      </c>
    </row>
    <row r="804">
      <c r="A804" s="42">
        <f>TODAY()+7</f>
        <v>46286.0</v>
      </c>
      <c r="B804" s="43" t="n">
        <v>0.6736111111111112</v>
      </c>
      <c r="C804" s="37" t="inlineStr">
        <is>
          <t>Dr. Paulo Andrade</t>
        </is>
      </c>
      <c r="D804" s="37" t="inlineStr">
        <is>
          <t>Sala 2</t>
        </is>
      </c>
      <c r="E804" s="36" t="inlineStr">
        <is>
          <t>Ana Costa</t>
        </is>
      </c>
      <c r="F804" s="37" t="inlineStr">
        <is>
          <t>Particular</t>
        </is>
      </c>
      <c r="G804" s="37" t="inlineStr">
        <is>
          <t>Holter</t>
        </is>
      </c>
      <c r="H804" s="37" t="inlineStr">
        <is>
          <t>Agendado</t>
        </is>
      </c>
      <c r="I804" s="37" t="n"/>
      <c r="J804" s="37" t="n"/>
      <c r="K804" s="36" t="n"/>
      <c r="L804" s="44">
        <f>IF(G804="","",IFERROR(INDEX(Config!$K$5:$K$16,MATCH(G804,Config!$J$5:$J$16,0)),""))</f>
        <v>20</v>
      </c>
      <c r="M804" s="30">
        <f>IF(OR(G804="",F804=""),"",IFERROR(INDEX(Config!$M$5:$R$16,MATCH(G804,Config!$J$5:$J$16,0),MATCH(F804,Config!$H$5:$H$10,0)),""))</f>
        <v>350</v>
      </c>
      <c r="N804" s="29">
        <f>IF(A804="","",MONTH(A804))</f>
        <v>9</v>
      </c>
      <c r="O804" s="29">
        <f>IF(A804="","",YEAR(A804))</f>
        <v>2026</v>
      </c>
      <c r="P804" s="29" t="str">
        <f>IF(A804="","",CHOOSE(WEEKDAY(A804,2),"Segunda","Terça","Quarta","Quinta","Sexta","Sábado","Domingo"))</f>
        <v>Segunda</v>
      </c>
      <c r="Q804" s="29" t="str">
        <f>IF(B804="","",IF(B804&lt;TIME(12,0,0),"Manhã",IF(B804&lt;TIME(18,0,0),"Tarde","Noite")))</f>
        <v>Tarde</v>
      </c>
      <c r="R804" s="45">
        <f>IF(AND(H804="Realizado",L804&lt;&gt;""),L804/60,0)</f>
        <v>0</v>
      </c>
    </row>
    <row r="805">
      <c r="A805" s="42">
        <f>TODAY()+7</f>
        <v>46286.0</v>
      </c>
      <c r="B805" s="43" t="n">
        <v>0.6875</v>
      </c>
      <c r="C805" s="37" t="inlineStr">
        <is>
          <t>Dr. Paulo Andrade</t>
        </is>
      </c>
      <c r="D805" s="37" t="inlineStr">
        <is>
          <t>Sala 2</t>
        </is>
      </c>
      <c r="E805" s="36" t="inlineStr">
        <is>
          <t>Tatiana Gonçalves</t>
        </is>
      </c>
      <c r="F805" s="37" t="inlineStr">
        <is>
          <t>Saúde Total</t>
        </is>
      </c>
      <c r="G805" s="37" t="inlineStr">
        <is>
          <t>Consulta</t>
        </is>
      </c>
      <c r="H805" s="37" t="inlineStr">
        <is>
          <t>Agendado</t>
        </is>
      </c>
      <c r="I805" s="37" t="n"/>
      <c r="J805" s="37" t="n"/>
      <c r="K805" s="36" t="n"/>
      <c r="L805" s="44">
        <f>IF(G805="","",IFERROR(INDEX(Config!$K$5:$K$16,MATCH(G805,Config!$J$5:$J$16,0)),""))</f>
        <v>30</v>
      </c>
      <c r="M805" s="30">
        <f>IF(OR(G805="",F805=""),"",IFERROR(INDEX(Config!$M$5:$R$16,MATCH(G805,Config!$J$5:$J$16,0),MATCH(F805,Config!$H$5:$H$10,0)),""))</f>
        <v>120</v>
      </c>
      <c r="N805" s="29">
        <f>IF(A805="","",MONTH(A805))</f>
        <v>9</v>
      </c>
      <c r="O805" s="29">
        <f>IF(A805="","",YEAR(A805))</f>
        <v>2026</v>
      </c>
      <c r="P805" s="29" t="str">
        <f>IF(A805="","",CHOOSE(WEEKDAY(A805,2),"Segunda","Terça","Quarta","Quinta","Sexta","Sábado","Domingo"))</f>
        <v>Segunda</v>
      </c>
      <c r="Q805" s="29" t="str">
        <f>IF(B805="","",IF(B805&lt;TIME(12,0,0),"Manhã",IF(B805&lt;TIME(18,0,0),"Tarde","Noite")))</f>
        <v>Tarde</v>
      </c>
      <c r="R805" s="45">
        <f>IF(AND(H805="Realizado",L805&lt;&gt;""),L805/60,0)</f>
        <v>0</v>
      </c>
    </row>
    <row r="806">
      <c r="A806" s="42">
        <f>TODAY()+7</f>
        <v>46286.0</v>
      </c>
      <c r="B806" s="43" t="n">
        <v>0.7083333333333334</v>
      </c>
      <c r="C806" s="37" t="inlineStr">
        <is>
          <t>Dr. Paulo Andrade</t>
        </is>
      </c>
      <c r="D806" s="37" t="inlineStr">
        <is>
          <t>Sala 2</t>
        </is>
      </c>
      <c r="E806" s="36" t="inlineStr">
        <is>
          <t>Paulo Nascimento</t>
        </is>
      </c>
      <c r="F806" s="37" t="inlineStr">
        <is>
          <t>MediPlan</t>
        </is>
      </c>
      <c r="G806" s="37" t="inlineStr">
        <is>
          <t>Consulta</t>
        </is>
      </c>
      <c r="H806" s="37" t="inlineStr">
        <is>
          <t>Agendado</t>
        </is>
      </c>
      <c r="I806" s="37" t="n"/>
      <c r="J806" s="37" t="n"/>
      <c r="K806" s="36" t="n"/>
      <c r="L806" s="44">
        <f>IF(G806="","",IFERROR(INDEX(Config!$K$5:$K$16,MATCH(G806,Config!$J$5:$J$16,0)),""))</f>
        <v>30</v>
      </c>
      <c r="M806" s="30">
        <f>IF(OR(G806="",F806=""),"",IFERROR(INDEX(Config!$M$5:$R$16,MATCH(G806,Config!$J$5:$J$16,0),MATCH(F806,Config!$H$5:$H$10,0)),""))</f>
        <v>100</v>
      </c>
      <c r="N806" s="29">
        <f>IF(A806="","",MONTH(A806))</f>
        <v>9</v>
      </c>
      <c r="O806" s="29">
        <f>IF(A806="","",YEAR(A806))</f>
        <v>2026</v>
      </c>
      <c r="P806" s="29" t="str">
        <f>IF(A806="","",CHOOSE(WEEKDAY(A806,2),"Segunda","Terça","Quarta","Quinta","Sexta","Sábado","Domingo"))</f>
        <v>Segunda</v>
      </c>
      <c r="Q806" s="29" t="str">
        <f>IF(B806="","",IF(B806&lt;TIME(12,0,0),"Manhã",IF(B806&lt;TIME(18,0,0),"Tarde","Noite")))</f>
        <v>Tarde</v>
      </c>
      <c r="R806" s="45">
        <f>IF(AND(H806="Realizado",L806&lt;&gt;""),L806/60,0)</f>
        <v>0</v>
      </c>
    </row>
    <row r="807">
      <c r="A807" s="42">
        <f>TODAY()+7</f>
        <v>46286.0</v>
      </c>
      <c r="B807" s="43" t="n">
        <v>0.7291666666666666</v>
      </c>
      <c r="C807" s="37" t="inlineStr">
        <is>
          <t>Dr. Paulo Andrade</t>
        </is>
      </c>
      <c r="D807" s="37" t="inlineStr">
        <is>
          <t>Sala 2</t>
        </is>
      </c>
      <c r="E807" s="36" t="inlineStr">
        <is>
          <t>Wagner Santos</t>
        </is>
      </c>
      <c r="F807" s="37" t="inlineStr">
        <is>
          <t>Particular</t>
        </is>
      </c>
      <c r="G807" s="37" t="inlineStr">
        <is>
          <t>ECG</t>
        </is>
      </c>
      <c r="H807" s="37" t="inlineStr">
        <is>
          <t>Agendado</t>
        </is>
      </c>
      <c r="I807" s="37" t="n"/>
      <c r="J807" s="37" t="n"/>
      <c r="K807" s="36" t="n"/>
      <c r="L807" s="44">
        <f>IF(G807="","",IFERROR(INDEX(Config!$K$5:$K$16,MATCH(G807,Config!$J$5:$J$16,0)),""))</f>
        <v>20</v>
      </c>
      <c r="M807" s="30">
        <f>IF(OR(G807="",F807=""),"",IFERROR(INDEX(Config!$M$5:$R$16,MATCH(G807,Config!$J$5:$J$16,0),MATCH(F807,Config!$H$5:$H$10,0)),""))</f>
        <v>130</v>
      </c>
      <c r="N807" s="29">
        <f>IF(A807="","",MONTH(A807))</f>
        <v>9</v>
      </c>
      <c r="O807" s="29">
        <f>IF(A807="","",YEAR(A807))</f>
        <v>2026</v>
      </c>
      <c r="P807" s="29" t="str">
        <f>IF(A807="","",CHOOSE(WEEKDAY(A807,2),"Segunda","Terça","Quarta","Quinta","Sexta","Sábado","Domingo"))</f>
        <v>Segunda</v>
      </c>
      <c r="Q807" s="29" t="str">
        <f>IF(B807="","",IF(B807&lt;TIME(12,0,0),"Manhã",IF(B807&lt;TIME(18,0,0),"Tarde","Noite")))</f>
        <v>Tarde</v>
      </c>
      <c r="R807" s="45">
        <f>IF(AND(H807="Realizado",L807&lt;&gt;""),L807/60,0)</f>
        <v>0</v>
      </c>
    </row>
    <row r="808">
      <c r="A808" s="42">
        <f>TODAY()+8</f>
        <v>46287.0</v>
      </c>
      <c r="B808" s="43" t="n">
        <v>0.3541666666666667</v>
      </c>
      <c r="C808" s="37" t="inlineStr">
        <is>
          <t>Dra. Carolina Mendes</t>
        </is>
      </c>
      <c r="D808" s="37" t="inlineStr">
        <is>
          <t>Sala 1</t>
        </is>
      </c>
      <c r="E808" s="36" t="inlineStr">
        <is>
          <t>Fábio Machado</t>
        </is>
      </c>
      <c r="F808" s="37" t="inlineStr">
        <is>
          <t>Particular</t>
        </is>
      </c>
      <c r="G808" s="37" t="inlineStr">
        <is>
          <t>Consulta</t>
        </is>
      </c>
      <c r="H808" s="37" t="inlineStr">
        <is>
          <t>Agendado</t>
        </is>
      </c>
      <c r="I808" s="37" t="n"/>
      <c r="J808" s="37" t="n"/>
      <c r="K808" s="36" t="n"/>
      <c r="L808" s="44">
        <f>IF(G808="","",IFERROR(INDEX(Config!$K$5:$K$16,MATCH(G808,Config!$J$5:$J$16,0)),""))</f>
        <v>30</v>
      </c>
      <c r="M808" s="30">
        <f>IF(OR(G808="",F808=""),"",IFERROR(INDEX(Config!$M$5:$R$16,MATCH(G808,Config!$J$5:$J$16,0),MATCH(F808,Config!$H$5:$H$10,0)),""))</f>
        <v>380</v>
      </c>
      <c r="N808" s="29">
        <f>IF(A808="","",MONTH(A808))</f>
        <v>9</v>
      </c>
      <c r="O808" s="29">
        <f>IF(A808="","",YEAR(A808))</f>
        <v>2026</v>
      </c>
      <c r="P808" s="29" t="str">
        <f>IF(A808="","",CHOOSE(WEEKDAY(A808,2),"Segunda","Terça","Quarta","Quinta","Sexta","Sábado","Domingo"))</f>
        <v>Terça</v>
      </c>
      <c r="Q808" s="29" t="str">
        <f>IF(B808="","",IF(B808&lt;TIME(12,0,0),"Manhã",IF(B808&lt;TIME(18,0,0),"Tarde","Noite")))</f>
        <v>Manhã</v>
      </c>
      <c r="R808" s="45">
        <f>IF(AND(H808="Realizado",L808&lt;&gt;""),L808/60,0)</f>
        <v>0</v>
      </c>
    </row>
    <row r="809">
      <c r="A809" s="42">
        <f>TODAY()+8</f>
        <v>46287.0</v>
      </c>
      <c r="B809" s="43" t="n">
        <v>0.375</v>
      </c>
      <c r="C809" s="37" t="inlineStr">
        <is>
          <t>Dra. Carolina Mendes</t>
        </is>
      </c>
      <c r="D809" s="37" t="inlineStr">
        <is>
          <t>Sala 1</t>
        </is>
      </c>
      <c r="E809" s="36" t="inlineStr">
        <is>
          <t>Wagner Lima</t>
        </is>
      </c>
      <c r="F809" s="37" t="inlineStr">
        <is>
          <t>Particular</t>
        </is>
      </c>
      <c r="G809" s="37" t="inlineStr">
        <is>
          <t>Consulta</t>
        </is>
      </c>
      <c r="H809" s="37" t="inlineStr">
        <is>
          <t>Agendado</t>
        </is>
      </c>
      <c r="I809" s="37" t="n"/>
      <c r="J809" s="37" t="n"/>
      <c r="K809" s="36" t="n"/>
      <c r="L809" s="44">
        <f>IF(G809="","",IFERROR(INDEX(Config!$K$5:$K$16,MATCH(G809,Config!$J$5:$J$16,0)),""))</f>
        <v>30</v>
      </c>
      <c r="M809" s="30">
        <f>IF(OR(G809="",F809=""),"",IFERROR(INDEX(Config!$M$5:$R$16,MATCH(G809,Config!$J$5:$J$16,0),MATCH(F809,Config!$H$5:$H$10,0)),""))</f>
        <v>380</v>
      </c>
      <c r="N809" s="29">
        <f>IF(A809="","",MONTH(A809))</f>
        <v>9</v>
      </c>
      <c r="O809" s="29">
        <f>IF(A809="","",YEAR(A809))</f>
        <v>2026</v>
      </c>
      <c r="P809" s="29" t="str">
        <f>IF(A809="","",CHOOSE(WEEKDAY(A809,2),"Segunda","Terça","Quarta","Quinta","Sexta","Sábado","Domingo"))</f>
        <v>Terça</v>
      </c>
      <c r="Q809" s="29" t="str">
        <f>IF(B809="","",IF(B809&lt;TIME(12,0,0),"Manhã",IF(B809&lt;TIME(18,0,0),"Tarde","Noite")))</f>
        <v>Manhã</v>
      </c>
      <c r="R809" s="45">
        <f>IF(AND(H809="Realizado",L809&lt;&gt;""),L809/60,0)</f>
        <v>0</v>
      </c>
    </row>
    <row r="810">
      <c r="A810" s="42">
        <f>TODAY()+8</f>
        <v>46287.0</v>
      </c>
      <c r="B810" s="43" t="n">
        <v>0.3958333333333333</v>
      </c>
      <c r="C810" s="37" t="inlineStr">
        <is>
          <t>Dra. Carolina Mendes</t>
        </is>
      </c>
      <c r="D810" s="37" t="inlineStr">
        <is>
          <t>Sala 1</t>
        </is>
      </c>
      <c r="E810" s="36" t="inlineStr">
        <is>
          <t>Renato Dias</t>
        </is>
      </c>
      <c r="F810" s="37" t="inlineStr">
        <is>
          <t>Particular</t>
        </is>
      </c>
      <c r="G810" s="37" t="inlineStr">
        <is>
          <t>Consulta</t>
        </is>
      </c>
      <c r="H810" s="37" t="inlineStr">
        <is>
          <t>Agendado</t>
        </is>
      </c>
      <c r="I810" s="37" t="n"/>
      <c r="J810" s="37" t="n"/>
      <c r="K810" s="36" t="n"/>
      <c r="L810" s="44">
        <f>IF(G810="","",IFERROR(INDEX(Config!$K$5:$K$16,MATCH(G810,Config!$J$5:$J$16,0)),""))</f>
        <v>30</v>
      </c>
      <c r="M810" s="30">
        <f>IF(OR(G810="",F810=""),"",IFERROR(INDEX(Config!$M$5:$R$16,MATCH(G810,Config!$J$5:$J$16,0),MATCH(F810,Config!$H$5:$H$10,0)),""))</f>
        <v>380</v>
      </c>
      <c r="N810" s="29">
        <f>IF(A810="","",MONTH(A810))</f>
        <v>9</v>
      </c>
      <c r="O810" s="29">
        <f>IF(A810="","",YEAR(A810))</f>
        <v>2026</v>
      </c>
      <c r="P810" s="29" t="str">
        <f>IF(A810="","",CHOOSE(WEEKDAY(A810,2),"Segunda","Terça","Quarta","Quinta","Sexta","Sábado","Domingo"))</f>
        <v>Terça</v>
      </c>
      <c r="Q810" s="29" t="str">
        <f>IF(B810="","",IF(B810&lt;TIME(12,0,0),"Manhã",IF(B810&lt;TIME(18,0,0),"Tarde","Noite")))</f>
        <v>Manhã</v>
      </c>
      <c r="R810" s="45">
        <f>IF(AND(H810="Realizado",L810&lt;&gt;""),L810/60,0)</f>
        <v>0</v>
      </c>
    </row>
    <row r="811">
      <c r="A811" s="42">
        <f>TODAY()+8</f>
        <v>46287.0</v>
      </c>
      <c r="B811" s="43" t="n">
        <v>0.4166666666666667</v>
      </c>
      <c r="C811" s="37" t="inlineStr">
        <is>
          <t>Dra. Carolina Mendes</t>
        </is>
      </c>
      <c r="D811" s="37" t="inlineStr">
        <is>
          <t>Sala 1</t>
        </is>
      </c>
      <c r="E811" s="36" t="inlineStr">
        <is>
          <t>Otávio Cardoso</t>
        </is>
      </c>
      <c r="F811" s="37" t="inlineStr">
        <is>
          <t>Particular</t>
        </is>
      </c>
      <c r="G811" s="37" t="inlineStr">
        <is>
          <t>Retorno</t>
        </is>
      </c>
      <c r="H811" s="37" t="inlineStr">
        <is>
          <t>Agendado</t>
        </is>
      </c>
      <c r="I811" s="37" t="n"/>
      <c r="J811" s="37" t="n"/>
      <c r="K811" s="36" t="n"/>
      <c r="L811" s="44">
        <f>IF(G811="","",IFERROR(INDEX(Config!$K$5:$K$16,MATCH(G811,Config!$J$5:$J$16,0)),""))</f>
        <v>20</v>
      </c>
      <c r="M811" s="30">
        <f>IF(OR(G811="",F811=""),"",IFERROR(INDEX(Config!$M$5:$R$16,MATCH(G811,Config!$J$5:$J$16,0),MATCH(F811,Config!$H$5:$H$10,0)),""))</f>
        <v>0</v>
      </c>
      <c r="N811" s="29">
        <f>IF(A811="","",MONTH(A811))</f>
        <v>9</v>
      </c>
      <c r="O811" s="29">
        <f>IF(A811="","",YEAR(A811))</f>
        <v>2026</v>
      </c>
      <c r="P811" s="29" t="str">
        <f>IF(A811="","",CHOOSE(WEEKDAY(A811,2),"Segunda","Terça","Quarta","Quinta","Sexta","Sábado","Domingo"))</f>
        <v>Terça</v>
      </c>
      <c r="Q811" s="29" t="str">
        <f>IF(B811="","",IF(B811&lt;TIME(12,0,0),"Manhã",IF(B811&lt;TIME(18,0,0),"Tarde","Noite")))</f>
        <v>Manhã</v>
      </c>
      <c r="R811" s="45">
        <f>IF(AND(H811="Realizado",L811&lt;&gt;""),L811/60,0)</f>
        <v>0</v>
      </c>
    </row>
    <row r="812">
      <c r="A812" s="42">
        <f>TODAY()+8</f>
        <v>46287.0</v>
      </c>
      <c r="B812" s="43" t="n">
        <v>0.4305555555555556</v>
      </c>
      <c r="C812" s="37" t="inlineStr">
        <is>
          <t>Dra. Carolina Mendes</t>
        </is>
      </c>
      <c r="D812" s="37" t="inlineStr">
        <is>
          <t>Sala 1</t>
        </is>
      </c>
      <c r="E812" s="36" t="inlineStr">
        <is>
          <t>Eduardo Nunes</t>
        </is>
      </c>
      <c r="F812" s="37" t="inlineStr">
        <is>
          <t>MediPlan</t>
        </is>
      </c>
      <c r="G812" s="37" t="inlineStr">
        <is>
          <t>Consulta</t>
        </is>
      </c>
      <c r="H812" s="37" t="inlineStr">
        <is>
          <t>Agendado</t>
        </is>
      </c>
      <c r="I812" s="37" t="n"/>
      <c r="J812" s="37" t="n"/>
      <c r="K812" s="36" t="n"/>
      <c r="L812" s="44">
        <f>IF(G812="","",IFERROR(INDEX(Config!$K$5:$K$16,MATCH(G812,Config!$J$5:$J$16,0)),""))</f>
        <v>30</v>
      </c>
      <c r="M812" s="30">
        <f>IF(OR(G812="",F812=""),"",IFERROR(INDEX(Config!$M$5:$R$16,MATCH(G812,Config!$J$5:$J$16,0),MATCH(F812,Config!$H$5:$H$10,0)),""))</f>
        <v>100</v>
      </c>
      <c r="N812" s="29">
        <f>IF(A812="","",MONTH(A812))</f>
        <v>9</v>
      </c>
      <c r="O812" s="29">
        <f>IF(A812="","",YEAR(A812))</f>
        <v>2026</v>
      </c>
      <c r="P812" s="29" t="str">
        <f>IF(A812="","",CHOOSE(WEEKDAY(A812,2),"Segunda","Terça","Quarta","Quinta","Sexta","Sábado","Domingo"))</f>
        <v>Terça</v>
      </c>
      <c r="Q812" s="29" t="str">
        <f>IF(B812="","",IF(B812&lt;TIME(12,0,0),"Manhã",IF(B812&lt;TIME(18,0,0),"Tarde","Noite")))</f>
        <v>Manhã</v>
      </c>
      <c r="R812" s="45">
        <f>IF(AND(H812="Realizado",L812&lt;&gt;""),L812/60,0)</f>
        <v>0</v>
      </c>
    </row>
    <row r="813">
      <c r="A813" s="42">
        <f>TODAY()+8</f>
        <v>46287.0</v>
      </c>
      <c r="B813" s="43" t="n">
        <v>0.4513888888888889</v>
      </c>
      <c r="C813" s="37" t="inlineStr">
        <is>
          <t>Dra. Carolina Mendes</t>
        </is>
      </c>
      <c r="D813" s="37" t="inlineStr">
        <is>
          <t>Sala 1</t>
        </is>
      </c>
      <c r="E813" s="36" t="inlineStr">
        <is>
          <t>Mariana Nascimento</t>
        </is>
      </c>
      <c r="F813" s="37" t="inlineStr">
        <is>
          <t>Particular</t>
        </is>
      </c>
      <c r="G813" s="37" t="inlineStr">
        <is>
          <t>Consulta</t>
        </is>
      </c>
      <c r="H813" s="37" t="inlineStr">
        <is>
          <t>Agendado</t>
        </is>
      </c>
      <c r="I813" s="37" t="n"/>
      <c r="J813" s="37" t="n"/>
      <c r="K813" s="36" t="n"/>
      <c r="L813" s="44">
        <f>IF(G813="","",IFERROR(INDEX(Config!$K$5:$K$16,MATCH(G813,Config!$J$5:$J$16,0)),""))</f>
        <v>30</v>
      </c>
      <c r="M813" s="30">
        <f>IF(OR(G813="",F813=""),"",IFERROR(INDEX(Config!$M$5:$R$16,MATCH(G813,Config!$J$5:$J$16,0),MATCH(F813,Config!$H$5:$H$10,0)),""))</f>
        <v>380</v>
      </c>
      <c r="N813" s="29">
        <f>IF(A813="","",MONTH(A813))</f>
        <v>9</v>
      </c>
      <c r="O813" s="29">
        <f>IF(A813="","",YEAR(A813))</f>
        <v>2026</v>
      </c>
      <c r="P813" s="29" t="str">
        <f>IF(A813="","",CHOOSE(WEEKDAY(A813,2),"Segunda","Terça","Quarta","Quinta","Sexta","Sábado","Domingo"))</f>
        <v>Terça</v>
      </c>
      <c r="Q813" s="29" t="str">
        <f>IF(B813="","",IF(B813&lt;TIME(12,0,0),"Manhã",IF(B813&lt;TIME(18,0,0),"Tarde","Noite")))</f>
        <v>Manhã</v>
      </c>
      <c r="R813" s="45">
        <f>IF(AND(H813="Realizado",L813&lt;&gt;""),L813/60,0)</f>
        <v>0</v>
      </c>
    </row>
    <row r="814">
      <c r="A814" s="42">
        <f>TODAY()+8</f>
        <v>46287.0</v>
      </c>
      <c r="B814" s="43" t="n">
        <v>0.4722222222222222</v>
      </c>
      <c r="C814" s="37" t="inlineStr">
        <is>
          <t>Dra. Carolina Mendes</t>
        </is>
      </c>
      <c r="D814" s="37" t="inlineStr">
        <is>
          <t>Sala 1</t>
        </is>
      </c>
      <c r="E814" s="36" t="inlineStr">
        <is>
          <t>Gustavo Barbosa</t>
        </is>
      </c>
      <c r="F814" s="37" t="inlineStr">
        <is>
          <t>Saúde Total</t>
        </is>
      </c>
      <c r="G814" s="37" t="inlineStr">
        <is>
          <t>Retorno</t>
        </is>
      </c>
      <c r="H814" s="37" t="inlineStr">
        <is>
          <t>Agendado</t>
        </is>
      </c>
      <c r="I814" s="37" t="n"/>
      <c r="J814" s="37" t="n"/>
      <c r="K814" s="36" t="n"/>
      <c r="L814" s="44">
        <f>IF(G814="","",IFERROR(INDEX(Config!$K$5:$K$16,MATCH(G814,Config!$J$5:$J$16,0)),""))</f>
        <v>20</v>
      </c>
      <c r="M814" s="30">
        <f>IF(OR(G814="",F814=""),"",IFERROR(INDEX(Config!$M$5:$R$16,MATCH(G814,Config!$J$5:$J$16,0),MATCH(F814,Config!$H$5:$H$10,0)),""))</f>
        <v>0</v>
      </c>
      <c r="N814" s="29">
        <f>IF(A814="","",MONTH(A814))</f>
        <v>9</v>
      </c>
      <c r="O814" s="29">
        <f>IF(A814="","",YEAR(A814))</f>
        <v>2026</v>
      </c>
      <c r="P814" s="29" t="str">
        <f>IF(A814="","",CHOOSE(WEEKDAY(A814,2),"Segunda","Terça","Quarta","Quinta","Sexta","Sábado","Domingo"))</f>
        <v>Terça</v>
      </c>
      <c r="Q814" s="29" t="str">
        <f>IF(B814="","",IF(B814&lt;TIME(12,0,0),"Manhã",IF(B814&lt;TIME(18,0,0),"Tarde","Noite")))</f>
        <v>Manhã</v>
      </c>
      <c r="R814" s="45">
        <f>IF(AND(H814="Realizado",L814&lt;&gt;""),L814/60,0)</f>
        <v>0</v>
      </c>
    </row>
    <row r="815">
      <c r="A815" s="42">
        <f>TODAY()+8</f>
        <v>46287.0</v>
      </c>
      <c r="B815" s="43" t="n">
        <v>0.4861111111111111</v>
      </c>
      <c r="C815" s="37" t="inlineStr">
        <is>
          <t>Dra. Carolina Mendes</t>
        </is>
      </c>
      <c r="D815" s="37" t="inlineStr">
        <is>
          <t>Sala 1</t>
        </is>
      </c>
      <c r="E815" s="36" t="inlineStr">
        <is>
          <t>Mariana Nascimento</t>
        </is>
      </c>
      <c r="F815" s="37" t="inlineStr">
        <is>
          <t>Particular</t>
        </is>
      </c>
      <c r="G815" s="37" t="inlineStr">
        <is>
          <t>Retorno</t>
        </is>
      </c>
      <c r="H815" s="37" t="inlineStr">
        <is>
          <t>Agendado</t>
        </is>
      </c>
      <c r="I815" s="37" t="n"/>
      <c r="J815" s="37" t="n"/>
      <c r="K815" s="36" t="n"/>
      <c r="L815" s="44">
        <f>IF(G815="","",IFERROR(INDEX(Config!$K$5:$K$16,MATCH(G815,Config!$J$5:$J$16,0)),""))</f>
        <v>20</v>
      </c>
      <c r="M815" s="30">
        <f>IF(OR(G815="",F815=""),"",IFERROR(INDEX(Config!$M$5:$R$16,MATCH(G815,Config!$J$5:$J$16,0),MATCH(F815,Config!$H$5:$H$10,0)),""))</f>
        <v>0</v>
      </c>
      <c r="N815" s="29">
        <f>IF(A815="","",MONTH(A815))</f>
        <v>9</v>
      </c>
      <c r="O815" s="29">
        <f>IF(A815="","",YEAR(A815))</f>
        <v>2026</v>
      </c>
      <c r="P815" s="29" t="str">
        <f>IF(A815="","",CHOOSE(WEEKDAY(A815,2),"Segunda","Terça","Quarta","Quinta","Sexta","Sábado","Domingo"))</f>
        <v>Terça</v>
      </c>
      <c r="Q815" s="29" t="str">
        <f>IF(B815="","",IF(B815&lt;TIME(12,0,0),"Manhã",IF(B815&lt;TIME(18,0,0),"Tarde","Noite")))</f>
        <v>Manhã</v>
      </c>
      <c r="R815" s="45">
        <f>IF(AND(H815="Realizado",L815&lt;&gt;""),L815/60,0)</f>
        <v>0</v>
      </c>
    </row>
    <row r="816">
      <c r="A816" s="42">
        <f>TODAY()+8</f>
        <v>46287.0</v>
      </c>
      <c r="B816" s="43" t="n">
        <v>0.5833333333333334</v>
      </c>
      <c r="C816" s="37" t="inlineStr">
        <is>
          <t>Dra. Renata Sousa</t>
        </is>
      </c>
      <c r="D816" s="37" t="inlineStr">
        <is>
          <t>Sala 1</t>
        </is>
      </c>
      <c r="E816" s="36" t="inlineStr">
        <is>
          <t>Fernanda Gonçalves</t>
        </is>
      </c>
      <c r="F816" s="37" t="inlineStr">
        <is>
          <t>Saúde Total</t>
        </is>
      </c>
      <c r="G816" s="37" t="inlineStr">
        <is>
          <t>Avaliação endócrina</t>
        </is>
      </c>
      <c r="H816" s="37" t="inlineStr">
        <is>
          <t>Agendado</t>
        </is>
      </c>
      <c r="I816" s="37" t="n"/>
      <c r="J816" s="37" t="n"/>
      <c r="K816" s="36" t="n"/>
      <c r="L816" s="44">
        <f>IF(G816="","",IFERROR(INDEX(Config!$K$5:$K$16,MATCH(G816,Config!$J$5:$J$16,0)),""))</f>
        <v>40</v>
      </c>
      <c r="M816" s="30">
        <f>IF(OR(G816="",F816=""),"",IFERROR(INDEX(Config!$M$5:$R$16,MATCH(G816,Config!$J$5:$J$16,0),MATCH(F816,Config!$H$5:$H$10,0)),""))</f>
        <v>130</v>
      </c>
      <c r="N816" s="29">
        <f>IF(A816="","",MONTH(A816))</f>
        <v>9</v>
      </c>
      <c r="O816" s="29">
        <f>IF(A816="","",YEAR(A816))</f>
        <v>2026</v>
      </c>
      <c r="P816" s="29" t="str">
        <f>IF(A816="","",CHOOSE(WEEKDAY(A816,2),"Segunda","Terça","Quarta","Quinta","Sexta","Sábado","Domingo"))</f>
        <v>Terça</v>
      </c>
      <c r="Q816" s="29" t="str">
        <f>IF(B816="","",IF(B816&lt;TIME(12,0,0),"Manhã",IF(B816&lt;TIME(18,0,0),"Tarde","Noite")))</f>
        <v>Tarde</v>
      </c>
      <c r="R816" s="45">
        <f>IF(AND(H816="Realizado",L816&lt;&gt;""),L816/60,0)</f>
        <v>0</v>
      </c>
    </row>
    <row r="817">
      <c r="A817" s="42">
        <f>TODAY()+8</f>
        <v>46287.0</v>
      </c>
      <c r="B817" s="43" t="n">
        <v>0.5833333333333334</v>
      </c>
      <c r="C817" s="37" t="inlineStr">
        <is>
          <t>Dr. Paulo Andrade</t>
        </is>
      </c>
      <c r="D817" s="37" t="inlineStr">
        <is>
          <t>Sala 2</t>
        </is>
      </c>
      <c r="E817" s="36" t="inlineStr">
        <is>
          <t>Beatriz Gonçalves</t>
        </is>
      </c>
      <c r="F817" s="37" t="inlineStr">
        <is>
          <t>Saúde Total</t>
        </is>
      </c>
      <c r="G817" s="37" t="inlineStr">
        <is>
          <t>Retorno</t>
        </is>
      </c>
      <c r="H817" s="37" t="inlineStr">
        <is>
          <t>Agendado</t>
        </is>
      </c>
      <c r="I817" s="37" t="n"/>
      <c r="J817" s="37" t="n"/>
      <c r="K817" s="36" t="n"/>
      <c r="L817" s="44">
        <f>IF(G817="","",IFERROR(INDEX(Config!$K$5:$K$16,MATCH(G817,Config!$J$5:$J$16,0)),""))</f>
        <v>20</v>
      </c>
      <c r="M817" s="30">
        <f>IF(OR(G817="",F817=""),"",IFERROR(INDEX(Config!$M$5:$R$16,MATCH(G817,Config!$J$5:$J$16,0),MATCH(F817,Config!$H$5:$H$10,0)),""))</f>
        <v>0</v>
      </c>
      <c r="N817" s="29">
        <f>IF(A817="","",MONTH(A817))</f>
        <v>9</v>
      </c>
      <c r="O817" s="29">
        <f>IF(A817="","",YEAR(A817))</f>
        <v>2026</v>
      </c>
      <c r="P817" s="29" t="str">
        <f>IF(A817="","",CHOOSE(WEEKDAY(A817,2),"Segunda","Terça","Quarta","Quinta","Sexta","Sábado","Domingo"))</f>
        <v>Terça</v>
      </c>
      <c r="Q817" s="29" t="str">
        <f>IF(B817="","",IF(B817&lt;TIME(12,0,0),"Manhã",IF(B817&lt;TIME(18,0,0),"Tarde","Noite")))</f>
        <v>Tarde</v>
      </c>
      <c r="R817" s="45">
        <f>IF(AND(H817="Realizado",L817&lt;&gt;""),L817/60,0)</f>
        <v>0</v>
      </c>
    </row>
    <row r="818">
      <c r="A818" s="42">
        <f>TODAY()+8</f>
        <v>46287.0</v>
      </c>
      <c r="B818" s="43" t="n">
        <v>0.6111111111111112</v>
      </c>
      <c r="C818" s="37" t="inlineStr">
        <is>
          <t>Dra. Renata Sousa</t>
        </is>
      </c>
      <c r="D818" s="37" t="inlineStr">
        <is>
          <t>Sala 1</t>
        </is>
      </c>
      <c r="E818" s="36" t="inlineStr">
        <is>
          <t>Beatriz Gomes</t>
        </is>
      </c>
      <c r="F818" s="37" t="inlineStr">
        <is>
          <t>Particular</t>
        </is>
      </c>
      <c r="G818" s="37" t="inlineStr">
        <is>
          <t>Avaliação endócrina</t>
        </is>
      </c>
      <c r="H818" s="37" t="inlineStr">
        <is>
          <t>Agendado</t>
        </is>
      </c>
      <c r="I818" s="37" t="n"/>
      <c r="J818" s="37" t="n"/>
      <c r="K818" s="36" t="n"/>
      <c r="L818" s="44">
        <f>IF(G818="","",IFERROR(INDEX(Config!$K$5:$K$16,MATCH(G818,Config!$J$5:$J$16,0)),""))</f>
        <v>40</v>
      </c>
      <c r="M818" s="30">
        <f>IF(OR(G818="",F818=""),"",IFERROR(INDEX(Config!$M$5:$R$16,MATCH(G818,Config!$J$5:$J$16,0),MATCH(F818,Config!$H$5:$H$10,0)),""))</f>
        <v>400</v>
      </c>
      <c r="N818" s="29">
        <f>IF(A818="","",MONTH(A818))</f>
        <v>9</v>
      </c>
      <c r="O818" s="29">
        <f>IF(A818="","",YEAR(A818))</f>
        <v>2026</v>
      </c>
      <c r="P818" s="29" t="str">
        <f>IF(A818="","",CHOOSE(WEEKDAY(A818,2),"Segunda","Terça","Quarta","Quinta","Sexta","Sábado","Domingo"))</f>
        <v>Terça</v>
      </c>
      <c r="Q818" s="29" t="str">
        <f>IF(B818="","",IF(B818&lt;TIME(12,0,0),"Manhã",IF(B818&lt;TIME(18,0,0),"Tarde","Noite")))</f>
        <v>Tarde</v>
      </c>
      <c r="R818" s="45">
        <f>IF(AND(H818="Realizado",L818&lt;&gt;""),L818/60,0)</f>
        <v>0</v>
      </c>
    </row>
    <row r="819">
      <c r="A819" s="42">
        <f>TODAY()+8</f>
        <v>46287.0</v>
      </c>
      <c r="B819" s="43" t="n">
        <v>0.6180555555555556</v>
      </c>
      <c r="C819" s="37" t="inlineStr">
        <is>
          <t>Dr. Paulo Andrade</t>
        </is>
      </c>
      <c r="D819" s="37" t="inlineStr">
        <is>
          <t>Sala 2</t>
        </is>
      </c>
      <c r="E819" s="36" t="inlineStr">
        <is>
          <t>Viviane Ribeiro</t>
        </is>
      </c>
      <c r="F819" s="37" t="inlineStr">
        <is>
          <t>Particular</t>
        </is>
      </c>
      <c r="G819" s="37" t="inlineStr">
        <is>
          <t>ECG</t>
        </is>
      </c>
      <c r="H819" s="37" t="inlineStr">
        <is>
          <t>Agendado</t>
        </is>
      </c>
      <c r="I819" s="37" t="n"/>
      <c r="J819" s="37" t="n"/>
      <c r="K819" s="36" t="n"/>
      <c r="L819" s="44">
        <f>IF(G819="","",IFERROR(INDEX(Config!$K$5:$K$16,MATCH(G819,Config!$J$5:$J$16,0)),""))</f>
        <v>20</v>
      </c>
      <c r="M819" s="30">
        <f>IF(OR(G819="",F819=""),"",IFERROR(INDEX(Config!$M$5:$R$16,MATCH(G819,Config!$J$5:$J$16,0),MATCH(F819,Config!$H$5:$H$10,0)),""))</f>
        <v>130</v>
      </c>
      <c r="N819" s="29">
        <f>IF(A819="","",MONTH(A819))</f>
        <v>9</v>
      </c>
      <c r="O819" s="29">
        <f>IF(A819="","",YEAR(A819))</f>
        <v>2026</v>
      </c>
      <c r="P819" s="29" t="str">
        <f>IF(A819="","",CHOOSE(WEEKDAY(A819,2),"Segunda","Terça","Quarta","Quinta","Sexta","Sábado","Domingo"))</f>
        <v>Terça</v>
      </c>
      <c r="Q819" s="29" t="str">
        <f>IF(B819="","",IF(B819&lt;TIME(12,0,0),"Manhã",IF(B819&lt;TIME(18,0,0),"Tarde","Noite")))</f>
        <v>Tarde</v>
      </c>
      <c r="R819" s="45">
        <f>IF(AND(H819="Realizado",L819&lt;&gt;""),L819/60,0)</f>
        <v>0</v>
      </c>
    </row>
    <row r="820">
      <c r="A820" s="42">
        <f>TODAY()+8</f>
        <v>46287.0</v>
      </c>
      <c r="B820" s="43" t="n">
        <v>0.6319444444444444</v>
      </c>
      <c r="C820" s="37" t="inlineStr">
        <is>
          <t>Dr. Paulo Andrade</t>
        </is>
      </c>
      <c r="D820" s="37" t="inlineStr">
        <is>
          <t>Sala 2</t>
        </is>
      </c>
      <c r="E820" s="36" t="inlineStr">
        <is>
          <t>Leandro Oliveira</t>
        </is>
      </c>
      <c r="F820" s="37" t="inlineStr">
        <is>
          <t>Particular</t>
        </is>
      </c>
      <c r="G820" s="37" t="inlineStr">
        <is>
          <t>Teste ergométrico</t>
        </is>
      </c>
      <c r="H820" s="37" t="inlineStr">
        <is>
          <t>Agendado</t>
        </is>
      </c>
      <c r="I820" s="37" t="n"/>
      <c r="J820" s="37" t="n"/>
      <c r="K820" s="36" t="n"/>
      <c r="L820" s="44">
        <f>IF(G820="","",IFERROR(INDEX(Config!$K$5:$K$16,MATCH(G820,Config!$J$5:$J$16,0)),""))</f>
        <v>40</v>
      </c>
      <c r="M820" s="30">
        <f>IF(OR(G820="",F820=""),"",IFERROR(INDEX(Config!$M$5:$R$16,MATCH(G820,Config!$J$5:$J$16,0),MATCH(F820,Config!$H$5:$H$10,0)),""))</f>
        <v>450</v>
      </c>
      <c r="N820" s="29">
        <f>IF(A820="","",MONTH(A820))</f>
        <v>9</v>
      </c>
      <c r="O820" s="29">
        <f>IF(A820="","",YEAR(A820))</f>
        <v>2026</v>
      </c>
      <c r="P820" s="29" t="str">
        <f>IF(A820="","",CHOOSE(WEEKDAY(A820,2),"Segunda","Terça","Quarta","Quinta","Sexta","Sábado","Domingo"))</f>
        <v>Terça</v>
      </c>
      <c r="Q820" s="29" t="str">
        <f>IF(B820="","",IF(B820&lt;TIME(12,0,0),"Manhã",IF(B820&lt;TIME(18,0,0),"Tarde","Noite")))</f>
        <v>Tarde</v>
      </c>
      <c r="R820" s="45">
        <f>IF(AND(H820="Realizado",L820&lt;&gt;""),L820/60,0)</f>
        <v>0</v>
      </c>
    </row>
    <row r="821">
      <c r="A821" s="42">
        <f>TODAY()+8</f>
        <v>46287.0</v>
      </c>
      <c r="B821" s="43" t="n">
        <v>0.6388888888888888</v>
      </c>
      <c r="C821" s="37" t="inlineStr">
        <is>
          <t>Dra. Renata Sousa</t>
        </is>
      </c>
      <c r="D821" s="37" t="inlineStr">
        <is>
          <t>Sala 1</t>
        </is>
      </c>
      <c r="E821" s="36" t="inlineStr">
        <is>
          <t>Priscila Reis</t>
        </is>
      </c>
      <c r="F821" s="37" t="inlineStr">
        <is>
          <t>Particular</t>
        </is>
      </c>
      <c r="G821" s="37" t="inlineStr">
        <is>
          <t>Avaliação endócrina</t>
        </is>
      </c>
      <c r="H821" s="37" t="inlineStr">
        <is>
          <t>Agendado</t>
        </is>
      </c>
      <c r="I821" s="37" t="n"/>
      <c r="J821" s="37" t="n"/>
      <c r="K821" s="36" t="n"/>
      <c r="L821" s="44">
        <f>IF(G821="","",IFERROR(INDEX(Config!$K$5:$K$16,MATCH(G821,Config!$J$5:$J$16,0)),""))</f>
        <v>40</v>
      </c>
      <c r="M821" s="30">
        <f>IF(OR(G821="",F821=""),"",IFERROR(INDEX(Config!$M$5:$R$16,MATCH(G821,Config!$J$5:$J$16,0),MATCH(F821,Config!$H$5:$H$10,0)),""))</f>
        <v>400</v>
      </c>
      <c r="N821" s="29">
        <f>IF(A821="","",MONTH(A821))</f>
        <v>9</v>
      </c>
      <c r="O821" s="29">
        <f>IF(A821="","",YEAR(A821))</f>
        <v>2026</v>
      </c>
      <c r="P821" s="29" t="str">
        <f>IF(A821="","",CHOOSE(WEEKDAY(A821,2),"Segunda","Terça","Quarta","Quinta","Sexta","Sábado","Domingo"))</f>
        <v>Terça</v>
      </c>
      <c r="Q821" s="29" t="str">
        <f>IF(B821="","",IF(B821&lt;TIME(12,0,0),"Manhã",IF(B821&lt;TIME(18,0,0),"Tarde","Noite")))</f>
        <v>Tarde</v>
      </c>
      <c r="R821" s="45">
        <f>IF(AND(H821="Realizado",L821&lt;&gt;""),L821/60,0)</f>
        <v>0</v>
      </c>
    </row>
    <row r="822">
      <c r="A822" s="42">
        <f>TODAY()+8</f>
        <v>46287.0</v>
      </c>
      <c r="B822" s="43" t="n">
        <v>0.6597222222222222</v>
      </c>
      <c r="C822" s="37" t="inlineStr">
        <is>
          <t>Dr. Paulo Andrade</t>
        </is>
      </c>
      <c r="D822" s="37" t="inlineStr">
        <is>
          <t>Sala 2</t>
        </is>
      </c>
      <c r="E822" s="36" t="inlineStr">
        <is>
          <t>Wagner Lima</t>
        </is>
      </c>
      <c r="F822" s="37" t="inlineStr">
        <is>
          <t>Particular</t>
        </is>
      </c>
      <c r="G822" s="37" t="inlineStr">
        <is>
          <t>Holter</t>
        </is>
      </c>
      <c r="H822" s="37" t="inlineStr">
        <is>
          <t>Agendado</t>
        </is>
      </c>
      <c r="I822" s="37" t="n"/>
      <c r="J822" s="37" t="n"/>
      <c r="K822" s="36" t="n"/>
      <c r="L822" s="44">
        <f>IF(G822="","",IFERROR(INDEX(Config!$K$5:$K$16,MATCH(G822,Config!$J$5:$J$16,0)),""))</f>
        <v>20</v>
      </c>
      <c r="M822" s="30">
        <f>IF(OR(G822="",F822=""),"",IFERROR(INDEX(Config!$M$5:$R$16,MATCH(G822,Config!$J$5:$J$16,0),MATCH(F822,Config!$H$5:$H$10,0)),""))</f>
        <v>350</v>
      </c>
      <c r="N822" s="29">
        <f>IF(A822="","",MONTH(A822))</f>
        <v>9</v>
      </c>
      <c r="O822" s="29">
        <f>IF(A822="","",YEAR(A822))</f>
        <v>2026</v>
      </c>
      <c r="P822" s="29" t="str">
        <f>IF(A822="","",CHOOSE(WEEKDAY(A822,2),"Segunda","Terça","Quarta","Quinta","Sexta","Sábado","Domingo"))</f>
        <v>Terça</v>
      </c>
      <c r="Q822" s="29" t="str">
        <f>IF(B822="","",IF(B822&lt;TIME(12,0,0),"Manhã",IF(B822&lt;TIME(18,0,0),"Tarde","Noite")))</f>
        <v>Tarde</v>
      </c>
      <c r="R822" s="45">
        <f>IF(AND(H822="Realizado",L822&lt;&gt;""),L822/60,0)</f>
        <v>0</v>
      </c>
    </row>
    <row r="823">
      <c r="A823" s="42">
        <f>TODAY()+8</f>
        <v>46287.0</v>
      </c>
      <c r="B823" s="43" t="n">
        <v>0.6666666666666666</v>
      </c>
      <c r="C823" s="37" t="inlineStr">
        <is>
          <t>Dra. Renata Sousa</t>
        </is>
      </c>
      <c r="D823" s="37" t="inlineStr">
        <is>
          <t>Sala 1</t>
        </is>
      </c>
      <c r="E823" s="36" t="inlineStr">
        <is>
          <t>Gabriel Reis</t>
        </is>
      </c>
      <c r="F823" s="37" t="inlineStr">
        <is>
          <t>Particular</t>
        </is>
      </c>
      <c r="G823" s="37" t="inlineStr">
        <is>
          <t>Avaliação endócrina</t>
        </is>
      </c>
      <c r="H823" s="37" t="inlineStr">
        <is>
          <t>Agendado</t>
        </is>
      </c>
      <c r="I823" s="37" t="n"/>
      <c r="J823" s="37" t="n"/>
      <c r="K823" s="36" t="n"/>
      <c r="L823" s="44">
        <f>IF(G823="","",IFERROR(INDEX(Config!$K$5:$K$16,MATCH(G823,Config!$J$5:$J$16,0)),""))</f>
        <v>40</v>
      </c>
      <c r="M823" s="30">
        <f>IF(OR(G823="",F823=""),"",IFERROR(INDEX(Config!$M$5:$R$16,MATCH(G823,Config!$J$5:$J$16,0),MATCH(F823,Config!$H$5:$H$10,0)),""))</f>
        <v>400</v>
      </c>
      <c r="N823" s="29">
        <f>IF(A823="","",MONTH(A823))</f>
        <v>9</v>
      </c>
      <c r="O823" s="29">
        <f>IF(A823="","",YEAR(A823))</f>
        <v>2026</v>
      </c>
      <c r="P823" s="29" t="str">
        <f>IF(A823="","",CHOOSE(WEEKDAY(A823,2),"Segunda","Terça","Quarta","Quinta","Sexta","Sábado","Domingo"))</f>
        <v>Terça</v>
      </c>
      <c r="Q823" s="29" t="str">
        <f>IF(B823="","",IF(B823&lt;TIME(12,0,0),"Manhã",IF(B823&lt;TIME(18,0,0),"Tarde","Noite")))</f>
        <v>Tarde</v>
      </c>
      <c r="R823" s="45">
        <f>IF(AND(H823="Realizado",L823&lt;&gt;""),L823/60,0)</f>
        <v>0</v>
      </c>
    </row>
    <row r="824">
      <c r="A824" s="42">
        <f>TODAY()+8</f>
        <v>46287.0</v>
      </c>
      <c r="B824" s="43" t="n">
        <v>0.6944444444444444</v>
      </c>
      <c r="C824" s="37" t="inlineStr">
        <is>
          <t>Dra. Renata Sousa</t>
        </is>
      </c>
      <c r="D824" s="37" t="inlineStr">
        <is>
          <t>Sala 1</t>
        </is>
      </c>
      <c r="E824" s="36" t="inlineStr">
        <is>
          <t>Isabela Xavier</t>
        </is>
      </c>
      <c r="F824" s="37" t="inlineStr">
        <is>
          <t>Particular</t>
        </is>
      </c>
      <c r="G824" s="37" t="inlineStr">
        <is>
          <t>Avaliação endócrina</t>
        </is>
      </c>
      <c r="H824" s="37" t="inlineStr">
        <is>
          <t>Agendado</t>
        </is>
      </c>
      <c r="I824" s="37" t="n"/>
      <c r="J824" s="37" t="n"/>
      <c r="K824" s="36" t="n"/>
      <c r="L824" s="44">
        <f>IF(G824="","",IFERROR(INDEX(Config!$K$5:$K$16,MATCH(G824,Config!$J$5:$J$16,0)),""))</f>
        <v>40</v>
      </c>
      <c r="M824" s="30">
        <f>IF(OR(G824="",F824=""),"",IFERROR(INDEX(Config!$M$5:$R$16,MATCH(G824,Config!$J$5:$J$16,0),MATCH(F824,Config!$H$5:$H$10,0)),""))</f>
        <v>400</v>
      </c>
      <c r="N824" s="29">
        <f>IF(A824="","",MONTH(A824))</f>
        <v>9</v>
      </c>
      <c r="O824" s="29">
        <f>IF(A824="","",YEAR(A824))</f>
        <v>2026</v>
      </c>
      <c r="P824" s="29" t="str">
        <f>IF(A824="","",CHOOSE(WEEKDAY(A824,2),"Segunda","Terça","Quarta","Quinta","Sexta","Sábado","Domingo"))</f>
        <v>Terça</v>
      </c>
      <c r="Q824" s="29" t="str">
        <f>IF(B824="","",IF(B824&lt;TIME(12,0,0),"Manhã",IF(B824&lt;TIME(18,0,0),"Tarde","Noite")))</f>
        <v>Tarde</v>
      </c>
      <c r="R824" s="45">
        <f>IF(AND(H824="Realizado",L824&lt;&gt;""),L824/60,0)</f>
        <v>0</v>
      </c>
    </row>
    <row r="825">
      <c r="A825" s="42">
        <f>TODAY()+8</f>
        <v>46287.0</v>
      </c>
      <c r="B825" s="43" t="n">
        <v>0.6944444444444444</v>
      </c>
      <c r="C825" s="37" t="inlineStr">
        <is>
          <t>Dr. Paulo Andrade</t>
        </is>
      </c>
      <c r="D825" s="37" t="inlineStr">
        <is>
          <t>Sala 2</t>
        </is>
      </c>
      <c r="E825" s="36" t="inlineStr">
        <is>
          <t>Gustavo Pinto</t>
        </is>
      </c>
      <c r="F825" s="37" t="inlineStr">
        <is>
          <t>Particular</t>
        </is>
      </c>
      <c r="G825" s="37" t="inlineStr">
        <is>
          <t>Consulta</t>
        </is>
      </c>
      <c r="H825" s="37" t="inlineStr">
        <is>
          <t>Agendado</t>
        </is>
      </c>
      <c r="I825" s="37" t="n"/>
      <c r="J825" s="37" t="n"/>
      <c r="K825" s="36" t="n"/>
      <c r="L825" s="44">
        <f>IF(G825="","",IFERROR(INDEX(Config!$K$5:$K$16,MATCH(G825,Config!$J$5:$J$16,0)),""))</f>
        <v>30</v>
      </c>
      <c r="M825" s="30">
        <f>IF(OR(G825="",F825=""),"",IFERROR(INDEX(Config!$M$5:$R$16,MATCH(G825,Config!$J$5:$J$16,0),MATCH(F825,Config!$H$5:$H$10,0)),""))</f>
        <v>380</v>
      </c>
      <c r="N825" s="29">
        <f>IF(A825="","",MONTH(A825))</f>
        <v>9</v>
      </c>
      <c r="O825" s="29">
        <f>IF(A825="","",YEAR(A825))</f>
        <v>2026</v>
      </c>
      <c r="P825" s="29" t="str">
        <f>IF(A825="","",CHOOSE(WEEKDAY(A825,2),"Segunda","Terça","Quarta","Quinta","Sexta","Sábado","Domingo"))</f>
        <v>Terça</v>
      </c>
      <c r="Q825" s="29" t="str">
        <f>IF(B825="","",IF(B825&lt;TIME(12,0,0),"Manhã",IF(B825&lt;TIME(18,0,0),"Tarde","Noite")))</f>
        <v>Tarde</v>
      </c>
      <c r="R825" s="45">
        <f>IF(AND(H825="Realizado",L825&lt;&gt;""),L825/60,0)</f>
        <v>0</v>
      </c>
    </row>
    <row r="826">
      <c r="A826" s="42">
        <f>TODAY()+8</f>
        <v>46287.0</v>
      </c>
      <c r="B826" s="43" t="n">
        <v>0.7152777777777778</v>
      </c>
      <c r="C826" s="37" t="inlineStr">
        <is>
          <t>Dr. Paulo Andrade</t>
        </is>
      </c>
      <c r="D826" s="37" t="inlineStr">
        <is>
          <t>Sala 2</t>
        </is>
      </c>
      <c r="E826" s="36" t="inlineStr">
        <is>
          <t>Paulo Ribeiro</t>
        </is>
      </c>
      <c r="F826" s="37" t="inlineStr">
        <is>
          <t>Saúde Total</t>
        </is>
      </c>
      <c r="G826" s="37" t="inlineStr">
        <is>
          <t>Retorno</t>
        </is>
      </c>
      <c r="H826" s="37" t="inlineStr">
        <is>
          <t>Agendado</t>
        </is>
      </c>
      <c r="I826" s="37" t="n"/>
      <c r="J826" s="37" t="n"/>
      <c r="K826" s="36" t="n"/>
      <c r="L826" s="44">
        <f>IF(G826="","",IFERROR(INDEX(Config!$K$5:$K$16,MATCH(G826,Config!$J$5:$J$16,0)),""))</f>
        <v>20</v>
      </c>
      <c r="M826" s="30">
        <f>IF(OR(G826="",F826=""),"",IFERROR(INDEX(Config!$M$5:$R$16,MATCH(G826,Config!$J$5:$J$16,0),MATCH(F826,Config!$H$5:$H$10,0)),""))</f>
        <v>0</v>
      </c>
      <c r="N826" s="29">
        <f>IF(A826="","",MONTH(A826))</f>
        <v>9</v>
      </c>
      <c r="O826" s="29">
        <f>IF(A826="","",YEAR(A826))</f>
        <v>2026</v>
      </c>
      <c r="P826" s="29" t="str">
        <f>IF(A826="","",CHOOSE(WEEKDAY(A826,2),"Segunda","Terça","Quarta","Quinta","Sexta","Sábado","Domingo"))</f>
        <v>Terça</v>
      </c>
      <c r="Q826" s="29" t="str">
        <f>IF(B826="","",IF(B826&lt;TIME(12,0,0),"Manhã",IF(B826&lt;TIME(18,0,0),"Tarde","Noite")))</f>
        <v>Tarde</v>
      </c>
      <c r="R826" s="45">
        <f>IF(AND(H826="Realizado",L826&lt;&gt;""),L826/60,0)</f>
        <v>0</v>
      </c>
    </row>
    <row r="827">
      <c r="A827" s="42">
        <f>TODAY()+8</f>
        <v>46287.0</v>
      </c>
      <c r="B827" s="43" t="n">
        <v>0.7291666666666666</v>
      </c>
      <c r="C827" s="37" t="inlineStr">
        <is>
          <t>Dr. Paulo Andrade</t>
        </is>
      </c>
      <c r="D827" s="37" t="inlineStr">
        <is>
          <t>Sala 2</t>
        </is>
      </c>
      <c r="E827" s="36" t="inlineStr">
        <is>
          <t>Patrícia Correia</t>
        </is>
      </c>
      <c r="F827" s="37" t="inlineStr">
        <is>
          <t>Saúde Total</t>
        </is>
      </c>
      <c r="G827" s="37" t="inlineStr">
        <is>
          <t>Consulta</t>
        </is>
      </c>
      <c r="H827" s="37" t="inlineStr">
        <is>
          <t>Agendado</t>
        </is>
      </c>
      <c r="I827" s="37" t="n"/>
      <c r="J827" s="37" t="n"/>
      <c r="K827" s="36" t="n"/>
      <c r="L827" s="44">
        <f>IF(G827="","",IFERROR(INDEX(Config!$K$5:$K$16,MATCH(G827,Config!$J$5:$J$16,0)),""))</f>
        <v>30</v>
      </c>
      <c r="M827" s="30">
        <f>IF(OR(G827="",F827=""),"",IFERROR(INDEX(Config!$M$5:$R$16,MATCH(G827,Config!$J$5:$J$16,0),MATCH(F827,Config!$H$5:$H$10,0)),""))</f>
        <v>120</v>
      </c>
      <c r="N827" s="29">
        <f>IF(A827="","",MONTH(A827))</f>
        <v>9</v>
      </c>
      <c r="O827" s="29">
        <f>IF(A827="","",YEAR(A827))</f>
        <v>2026</v>
      </c>
      <c r="P827" s="29" t="str">
        <f>IF(A827="","",CHOOSE(WEEKDAY(A827,2),"Segunda","Terça","Quarta","Quinta","Sexta","Sábado","Domingo"))</f>
        <v>Terça</v>
      </c>
      <c r="Q827" s="29" t="str">
        <f>IF(B827="","",IF(B827&lt;TIME(12,0,0),"Manhã",IF(B827&lt;TIME(18,0,0),"Tarde","Noite")))</f>
        <v>Tarde</v>
      </c>
      <c r="R827" s="45">
        <f>IF(AND(H827="Realizado",L827&lt;&gt;""),L827/60,0)</f>
        <v>0</v>
      </c>
    </row>
    <row r="828">
      <c r="A828" s="42">
        <f>TODAY()+9</f>
        <v>46288.0</v>
      </c>
      <c r="B828" s="43" t="n">
        <v>0.5833333333333334</v>
      </c>
      <c r="C828" s="37" t="inlineStr">
        <is>
          <t>Dra. Carolina Mendes</t>
        </is>
      </c>
      <c r="D828" s="37" t="inlineStr">
        <is>
          <t>Sala 1</t>
        </is>
      </c>
      <c r="E828" s="36" t="inlineStr">
        <is>
          <t>Camila Batista</t>
        </is>
      </c>
      <c r="F828" s="37" t="inlineStr">
        <is>
          <t>MediPlan</t>
        </is>
      </c>
      <c r="G828" s="37" t="inlineStr">
        <is>
          <t>Consulta</t>
        </is>
      </c>
      <c r="H828" s="37" t="inlineStr">
        <is>
          <t>Agendado</t>
        </is>
      </c>
      <c r="I828" s="37" t="n"/>
      <c r="J828" s="37" t="n"/>
      <c r="K828" s="36" t="n"/>
      <c r="L828" s="44">
        <f>IF(G828="","",IFERROR(INDEX(Config!$K$5:$K$16,MATCH(G828,Config!$J$5:$J$16,0)),""))</f>
        <v>30</v>
      </c>
      <c r="M828" s="30">
        <f>IF(OR(G828="",F828=""),"",IFERROR(INDEX(Config!$M$5:$R$16,MATCH(G828,Config!$J$5:$J$16,0),MATCH(F828,Config!$H$5:$H$10,0)),""))</f>
        <v>100</v>
      </c>
      <c r="N828" s="29">
        <f>IF(A828="","",MONTH(A828))</f>
        <v>9</v>
      </c>
      <c r="O828" s="29">
        <f>IF(A828="","",YEAR(A828))</f>
        <v>2026</v>
      </c>
      <c r="P828" s="29" t="str">
        <f>IF(A828="","",CHOOSE(WEEKDAY(A828,2),"Segunda","Terça","Quarta","Quinta","Sexta","Sábado","Domingo"))</f>
        <v>Quarta</v>
      </c>
      <c r="Q828" s="29" t="str">
        <f>IF(B828="","",IF(B828&lt;TIME(12,0,0),"Manhã",IF(B828&lt;TIME(18,0,0),"Tarde","Noite")))</f>
        <v>Tarde</v>
      </c>
      <c r="R828" s="45">
        <f>IF(AND(H828="Realizado",L828&lt;&gt;""),L828/60,0)</f>
        <v>0</v>
      </c>
    </row>
    <row r="829">
      <c r="A829" s="42">
        <f>TODAY()+9</f>
        <v>46288.0</v>
      </c>
      <c r="B829" s="43" t="n">
        <v>0.6041666666666666</v>
      </c>
      <c r="C829" s="37" t="inlineStr">
        <is>
          <t>Dra. Carolina Mendes</t>
        </is>
      </c>
      <c r="D829" s="37" t="inlineStr">
        <is>
          <t>Sala 1</t>
        </is>
      </c>
      <c r="E829" s="36" t="inlineStr">
        <is>
          <t>Gisele Ribeiro</t>
        </is>
      </c>
      <c r="F829" s="37" t="inlineStr">
        <is>
          <t>Particular</t>
        </is>
      </c>
      <c r="G829" s="37" t="inlineStr">
        <is>
          <t>Retorno</t>
        </is>
      </c>
      <c r="H829" s="37" t="inlineStr">
        <is>
          <t>Agendado</t>
        </is>
      </c>
      <c r="I829" s="37" t="n"/>
      <c r="J829" s="37" t="n"/>
      <c r="K829" s="36" t="n"/>
      <c r="L829" s="44">
        <f>IF(G829="","",IFERROR(INDEX(Config!$K$5:$K$16,MATCH(G829,Config!$J$5:$J$16,0)),""))</f>
        <v>20</v>
      </c>
      <c r="M829" s="30">
        <f>IF(OR(G829="",F829=""),"",IFERROR(INDEX(Config!$M$5:$R$16,MATCH(G829,Config!$J$5:$J$16,0),MATCH(F829,Config!$H$5:$H$10,0)),""))</f>
        <v>0</v>
      </c>
      <c r="N829" s="29">
        <f>IF(A829="","",MONTH(A829))</f>
        <v>9</v>
      </c>
      <c r="O829" s="29">
        <f>IF(A829="","",YEAR(A829))</f>
        <v>2026</v>
      </c>
      <c r="P829" s="29" t="str">
        <f>IF(A829="","",CHOOSE(WEEKDAY(A829,2),"Segunda","Terça","Quarta","Quinta","Sexta","Sábado","Domingo"))</f>
        <v>Quarta</v>
      </c>
      <c r="Q829" s="29" t="str">
        <f>IF(B829="","",IF(B829&lt;TIME(12,0,0),"Manhã",IF(B829&lt;TIME(18,0,0),"Tarde","Noite")))</f>
        <v>Tarde</v>
      </c>
      <c r="R829" s="45">
        <f>IF(AND(H829="Realizado",L829&lt;&gt;""),L829/60,0)</f>
        <v>0</v>
      </c>
    </row>
    <row r="830">
      <c r="A830" s="42">
        <f>TODAY()+9</f>
        <v>46288.0</v>
      </c>
      <c r="B830" s="43" t="n">
        <v>0.6388888888888888</v>
      </c>
      <c r="C830" s="37" t="inlineStr">
        <is>
          <t>Dra. Carolina Mendes</t>
        </is>
      </c>
      <c r="D830" s="37" t="inlineStr">
        <is>
          <t>Sala 1</t>
        </is>
      </c>
      <c r="E830" s="36" t="inlineStr">
        <is>
          <t>Roberta Fernandes</t>
        </is>
      </c>
      <c r="F830" s="37" t="inlineStr">
        <is>
          <t>Saúde Total</t>
        </is>
      </c>
      <c r="G830" s="37" t="inlineStr">
        <is>
          <t>Retorno</t>
        </is>
      </c>
      <c r="H830" s="37" t="inlineStr">
        <is>
          <t>Agendado</t>
        </is>
      </c>
      <c r="I830" s="37" t="n"/>
      <c r="J830" s="37" t="n"/>
      <c r="K830" s="36" t="n"/>
      <c r="L830" s="44">
        <f>IF(G830="","",IFERROR(INDEX(Config!$K$5:$K$16,MATCH(G830,Config!$J$5:$J$16,0)),""))</f>
        <v>20</v>
      </c>
      <c r="M830" s="30">
        <f>IF(OR(G830="",F830=""),"",IFERROR(INDEX(Config!$M$5:$R$16,MATCH(G830,Config!$J$5:$J$16,0),MATCH(F830,Config!$H$5:$H$10,0)),""))</f>
        <v>0</v>
      </c>
      <c r="N830" s="29">
        <f>IF(A830="","",MONTH(A830))</f>
        <v>9</v>
      </c>
      <c r="O830" s="29">
        <f>IF(A830="","",YEAR(A830))</f>
        <v>2026</v>
      </c>
      <c r="P830" s="29" t="str">
        <f>IF(A830="","",CHOOSE(WEEKDAY(A830,2),"Segunda","Terça","Quarta","Quinta","Sexta","Sábado","Domingo"))</f>
        <v>Quarta</v>
      </c>
      <c r="Q830" s="29" t="str">
        <f>IF(B830="","",IF(B830&lt;TIME(12,0,0),"Manhã",IF(B830&lt;TIME(18,0,0),"Tarde","Noite")))</f>
        <v>Tarde</v>
      </c>
      <c r="R830" s="45">
        <f>IF(AND(H830="Realizado",L830&lt;&gt;""),L830/60,0)</f>
        <v>0</v>
      </c>
    </row>
    <row r="831">
      <c r="A831" s="42">
        <f>TODAY()+9</f>
        <v>46288.0</v>
      </c>
      <c r="B831" s="43" t="n">
        <v>0.6527777777777778</v>
      </c>
      <c r="C831" s="37" t="inlineStr">
        <is>
          <t>Dra. Carolina Mendes</t>
        </is>
      </c>
      <c r="D831" s="37" t="inlineStr">
        <is>
          <t>Sala 1</t>
        </is>
      </c>
      <c r="E831" s="36" t="inlineStr">
        <is>
          <t>Sandra Barros</t>
        </is>
      </c>
      <c r="F831" s="37" t="inlineStr">
        <is>
          <t>Saúde Total</t>
        </is>
      </c>
      <c r="G831" s="37" t="inlineStr">
        <is>
          <t>Consulta</t>
        </is>
      </c>
      <c r="H831" s="37" t="inlineStr">
        <is>
          <t>Agendado</t>
        </is>
      </c>
      <c r="I831" s="37" t="n"/>
      <c r="J831" s="37" t="n"/>
      <c r="K831" s="36" t="n"/>
      <c r="L831" s="44">
        <f>IF(G831="","",IFERROR(INDEX(Config!$K$5:$K$16,MATCH(G831,Config!$J$5:$J$16,0)),""))</f>
        <v>30</v>
      </c>
      <c r="M831" s="30">
        <f>IF(OR(G831="",F831=""),"",IFERROR(INDEX(Config!$M$5:$R$16,MATCH(G831,Config!$J$5:$J$16,0),MATCH(F831,Config!$H$5:$H$10,0)),""))</f>
        <v>120</v>
      </c>
      <c r="N831" s="29">
        <f>IF(A831="","",MONTH(A831))</f>
        <v>9</v>
      </c>
      <c r="O831" s="29">
        <f>IF(A831="","",YEAR(A831))</f>
        <v>2026</v>
      </c>
      <c r="P831" s="29" t="str">
        <f>IF(A831="","",CHOOSE(WEEKDAY(A831,2),"Segunda","Terça","Quarta","Quinta","Sexta","Sábado","Domingo"))</f>
        <v>Quarta</v>
      </c>
      <c r="Q831" s="29" t="str">
        <f>IF(B831="","",IF(B831&lt;TIME(12,0,0),"Manhã",IF(B831&lt;TIME(18,0,0),"Tarde","Noite")))</f>
        <v>Tarde</v>
      </c>
      <c r="R831" s="45">
        <f>IF(AND(H831="Realizado",L831&lt;&gt;""),L831/60,0)</f>
        <v>0</v>
      </c>
    </row>
    <row r="832">
      <c r="A832" s="42">
        <f>TODAY()+9</f>
        <v>46288.0</v>
      </c>
      <c r="B832" s="43" t="n">
        <v>0.6736111111111112</v>
      </c>
      <c r="C832" s="37" t="inlineStr">
        <is>
          <t>Dra. Carolina Mendes</t>
        </is>
      </c>
      <c r="D832" s="37" t="inlineStr">
        <is>
          <t>Sala 1</t>
        </is>
      </c>
      <c r="E832" s="36" t="inlineStr">
        <is>
          <t>Carlos Barros</t>
        </is>
      </c>
      <c r="F832" s="37" t="inlineStr">
        <is>
          <t>MediPlan</t>
        </is>
      </c>
      <c r="G832" s="37" t="inlineStr">
        <is>
          <t>Consulta</t>
        </is>
      </c>
      <c r="H832" s="37" t="inlineStr">
        <is>
          <t>Agendado</t>
        </is>
      </c>
      <c r="I832" s="37" t="n"/>
      <c r="J832" s="37" t="n"/>
      <c r="K832" s="36" t="n"/>
      <c r="L832" s="44">
        <f>IF(G832="","",IFERROR(INDEX(Config!$K$5:$K$16,MATCH(G832,Config!$J$5:$J$16,0)),""))</f>
        <v>30</v>
      </c>
      <c r="M832" s="30">
        <f>IF(OR(G832="",F832=""),"",IFERROR(INDEX(Config!$M$5:$R$16,MATCH(G832,Config!$J$5:$J$16,0),MATCH(F832,Config!$H$5:$H$10,0)),""))</f>
        <v>100</v>
      </c>
      <c r="N832" s="29">
        <f>IF(A832="","",MONTH(A832))</f>
        <v>9</v>
      </c>
      <c r="O832" s="29">
        <f>IF(A832="","",YEAR(A832))</f>
        <v>2026</v>
      </c>
      <c r="P832" s="29" t="str">
        <f>IF(A832="","",CHOOSE(WEEKDAY(A832,2),"Segunda","Terça","Quarta","Quinta","Sexta","Sábado","Domingo"))</f>
        <v>Quarta</v>
      </c>
      <c r="Q832" s="29" t="str">
        <f>IF(B832="","",IF(B832&lt;TIME(12,0,0),"Manhã",IF(B832&lt;TIME(18,0,0),"Tarde","Noite")))</f>
        <v>Tarde</v>
      </c>
      <c r="R832" s="45">
        <f>IF(AND(H832="Realizado",L832&lt;&gt;""),L832/60,0)</f>
        <v>0</v>
      </c>
    </row>
    <row r="833">
      <c r="A833" s="42">
        <f>TODAY()+9</f>
        <v>46288.0</v>
      </c>
      <c r="B833" s="43" t="n">
        <v>0.7152777777777778</v>
      </c>
      <c r="C833" s="37" t="inlineStr">
        <is>
          <t>Dra. Carolina Mendes</t>
        </is>
      </c>
      <c r="D833" s="37" t="inlineStr">
        <is>
          <t>Sala 1</t>
        </is>
      </c>
      <c r="E833" s="36" t="inlineStr">
        <is>
          <t>Cláudia Santos</t>
        </is>
      </c>
      <c r="F833" s="37" t="inlineStr">
        <is>
          <t>Particular</t>
        </is>
      </c>
      <c r="G833" s="37" t="inlineStr">
        <is>
          <t>Retorno</t>
        </is>
      </c>
      <c r="H833" s="37" t="inlineStr">
        <is>
          <t>Agendado</t>
        </is>
      </c>
      <c r="I833" s="37" t="n"/>
      <c r="J833" s="37" t="n"/>
      <c r="K833" s="36" t="n"/>
      <c r="L833" s="44">
        <f>IF(G833="","",IFERROR(INDEX(Config!$K$5:$K$16,MATCH(G833,Config!$J$5:$J$16,0)),""))</f>
        <v>20</v>
      </c>
      <c r="M833" s="30">
        <f>IF(OR(G833="",F833=""),"",IFERROR(INDEX(Config!$M$5:$R$16,MATCH(G833,Config!$J$5:$J$16,0),MATCH(F833,Config!$H$5:$H$10,0)),""))</f>
        <v>0</v>
      </c>
      <c r="N833" s="29">
        <f>IF(A833="","",MONTH(A833))</f>
        <v>9</v>
      </c>
      <c r="O833" s="29">
        <f>IF(A833="","",YEAR(A833))</f>
        <v>2026</v>
      </c>
      <c r="P833" s="29" t="str">
        <f>IF(A833="","",CHOOSE(WEEKDAY(A833,2),"Segunda","Terça","Quarta","Quinta","Sexta","Sábado","Domingo"))</f>
        <v>Quarta</v>
      </c>
      <c r="Q833" s="29" t="str">
        <f>IF(B833="","",IF(B833&lt;TIME(12,0,0),"Manhã",IF(B833&lt;TIME(18,0,0),"Tarde","Noite")))</f>
        <v>Tarde</v>
      </c>
      <c r="R833" s="45">
        <f>IF(AND(H833="Realizado",L833&lt;&gt;""),L833/60,0)</f>
        <v>0</v>
      </c>
    </row>
    <row r="834">
      <c r="A834" s="42">
        <f>TODAY()+9</f>
        <v>46288.0</v>
      </c>
      <c r="B834" s="43" t="n">
        <v>0.7291666666666666</v>
      </c>
      <c r="C834" s="37" t="inlineStr">
        <is>
          <t>Dra. Carolina Mendes</t>
        </is>
      </c>
      <c r="D834" s="37" t="inlineStr">
        <is>
          <t>Sala 1</t>
        </is>
      </c>
      <c r="E834" s="36" t="inlineStr">
        <is>
          <t>Simone Monteiro</t>
        </is>
      </c>
      <c r="F834" s="37" t="inlineStr">
        <is>
          <t>Vida Care</t>
        </is>
      </c>
      <c r="G834" s="37" t="inlineStr">
        <is>
          <t>Consulta</t>
        </is>
      </c>
      <c r="H834" s="37" t="inlineStr">
        <is>
          <t>Agendado</t>
        </is>
      </c>
      <c r="I834" s="37" t="n"/>
      <c r="J834" s="37" t="n"/>
      <c r="K834" s="36" t="n"/>
      <c r="L834" s="44">
        <f>IF(G834="","",IFERROR(INDEX(Config!$K$5:$K$16,MATCH(G834,Config!$J$5:$J$16,0)),""))</f>
        <v>30</v>
      </c>
      <c r="M834" s="30">
        <f>IF(OR(G834="",F834=""),"",IFERROR(INDEX(Config!$M$5:$R$16,MATCH(G834,Config!$J$5:$J$16,0),MATCH(F834,Config!$H$5:$H$10,0)),""))</f>
        <v>90</v>
      </c>
      <c r="N834" s="29">
        <f>IF(A834="","",MONTH(A834))</f>
        <v>9</v>
      </c>
      <c r="O834" s="29">
        <f>IF(A834="","",YEAR(A834))</f>
        <v>2026</v>
      </c>
      <c r="P834" s="29" t="str">
        <f>IF(A834="","",CHOOSE(WEEKDAY(A834,2),"Segunda","Terça","Quarta","Quinta","Sexta","Sábado","Domingo"))</f>
        <v>Quarta</v>
      </c>
      <c r="Q834" s="29" t="str">
        <f>IF(B834="","",IF(B834&lt;TIME(12,0,0),"Manhã",IF(B834&lt;TIME(18,0,0),"Tarde","Noite")))</f>
        <v>Tarde</v>
      </c>
      <c r="R834" s="45">
        <f>IF(AND(H834="Realizado",L834&lt;&gt;""),L834/60,0)</f>
        <v>0</v>
      </c>
    </row>
    <row r="835">
      <c r="A835" s="42">
        <f>TODAY()+10</f>
        <v>46289.0</v>
      </c>
      <c r="B835" s="43" t="n">
        <v>0.3541666666666667</v>
      </c>
      <c r="C835" s="37" t="inlineStr">
        <is>
          <t>Dra. Carolina Mendes</t>
        </is>
      </c>
      <c r="D835" s="37" t="inlineStr">
        <is>
          <t>Sala 1</t>
        </is>
      </c>
      <c r="E835" s="36" t="inlineStr">
        <is>
          <t>Isabela Nascimento</t>
        </is>
      </c>
      <c r="F835" s="37" t="inlineStr">
        <is>
          <t>Vida Care</t>
        </is>
      </c>
      <c r="G835" s="37" t="inlineStr">
        <is>
          <t>Retorno</t>
        </is>
      </c>
      <c r="H835" s="37" t="inlineStr">
        <is>
          <t>Agendado</t>
        </is>
      </c>
      <c r="I835" s="37" t="n"/>
      <c r="J835" s="37" t="n"/>
      <c r="K835" s="36" t="n"/>
      <c r="L835" s="44">
        <f>IF(G835="","",IFERROR(INDEX(Config!$K$5:$K$16,MATCH(G835,Config!$J$5:$J$16,0)),""))</f>
        <v>20</v>
      </c>
      <c r="M835" s="30">
        <f>IF(OR(G835="",F835=""),"",IFERROR(INDEX(Config!$M$5:$R$16,MATCH(G835,Config!$J$5:$J$16,0),MATCH(F835,Config!$H$5:$H$10,0)),""))</f>
        <v>0</v>
      </c>
      <c r="N835" s="29">
        <f>IF(A835="","",MONTH(A835))</f>
        <v>9</v>
      </c>
      <c r="O835" s="29">
        <f>IF(A835="","",YEAR(A835))</f>
        <v>2026</v>
      </c>
      <c r="P835" s="29" t="str">
        <f>IF(A835="","",CHOOSE(WEEKDAY(A835,2),"Segunda","Terça","Quarta","Quinta","Sexta","Sábado","Domingo"))</f>
        <v>Quinta</v>
      </c>
      <c r="Q835" s="29" t="str">
        <f>IF(B835="","",IF(B835&lt;TIME(12,0,0),"Manhã",IF(B835&lt;TIME(18,0,0),"Tarde","Noite")))</f>
        <v>Manhã</v>
      </c>
      <c r="R835" s="45">
        <f>IF(AND(H835="Realizado",L835&lt;&gt;""),L835/60,0)</f>
        <v>0</v>
      </c>
    </row>
    <row r="836">
      <c r="A836" s="42">
        <f>TODAY()+10</f>
        <v>46289.0</v>
      </c>
      <c r="B836" s="43" t="n">
        <v>0.3680555555555556</v>
      </c>
      <c r="C836" s="37" t="inlineStr">
        <is>
          <t>Dra. Carolina Mendes</t>
        </is>
      </c>
      <c r="D836" s="37" t="inlineStr">
        <is>
          <t>Sala 1</t>
        </is>
      </c>
      <c r="E836" s="36" t="inlineStr">
        <is>
          <t>Marcelo Santos</t>
        </is>
      </c>
      <c r="F836" s="37" t="inlineStr">
        <is>
          <t>Particular</t>
        </is>
      </c>
      <c r="G836" s="37" t="inlineStr">
        <is>
          <t>Consulta</t>
        </is>
      </c>
      <c r="H836" s="37" t="inlineStr">
        <is>
          <t>Agendado</t>
        </is>
      </c>
      <c r="I836" s="37" t="n"/>
      <c r="J836" s="37" t="n"/>
      <c r="K836" s="36" t="n"/>
      <c r="L836" s="44">
        <f>IF(G836="","",IFERROR(INDEX(Config!$K$5:$K$16,MATCH(G836,Config!$J$5:$J$16,0)),""))</f>
        <v>30</v>
      </c>
      <c r="M836" s="30">
        <f>IF(OR(G836="",F836=""),"",IFERROR(INDEX(Config!$M$5:$R$16,MATCH(G836,Config!$J$5:$J$16,0),MATCH(F836,Config!$H$5:$H$10,0)),""))</f>
        <v>380</v>
      </c>
      <c r="N836" s="29">
        <f>IF(A836="","",MONTH(A836))</f>
        <v>9</v>
      </c>
      <c r="O836" s="29">
        <f>IF(A836="","",YEAR(A836))</f>
        <v>2026</v>
      </c>
      <c r="P836" s="29" t="str">
        <f>IF(A836="","",CHOOSE(WEEKDAY(A836,2),"Segunda","Terça","Quarta","Quinta","Sexta","Sábado","Domingo"))</f>
        <v>Quinta</v>
      </c>
      <c r="Q836" s="29" t="str">
        <f>IF(B836="","",IF(B836&lt;TIME(12,0,0),"Manhã",IF(B836&lt;TIME(18,0,0),"Tarde","Noite")))</f>
        <v>Manhã</v>
      </c>
      <c r="R836" s="45">
        <f>IF(AND(H836="Realizado",L836&lt;&gt;""),L836/60,0)</f>
        <v>0</v>
      </c>
    </row>
    <row r="837">
      <c r="A837" s="42">
        <f>TODAY()+10</f>
        <v>46289.0</v>
      </c>
      <c r="B837" s="43" t="n">
        <v>0.3888888888888889</v>
      </c>
      <c r="C837" s="37" t="inlineStr">
        <is>
          <t>Dra. Carolina Mendes</t>
        </is>
      </c>
      <c r="D837" s="37" t="inlineStr">
        <is>
          <t>Sala 1</t>
        </is>
      </c>
      <c r="E837" s="36" t="inlineStr">
        <is>
          <t>Sérgio Batista</t>
        </is>
      </c>
      <c r="F837" s="37" t="inlineStr">
        <is>
          <t>MediPlan</t>
        </is>
      </c>
      <c r="G837" s="37" t="inlineStr">
        <is>
          <t>Retorno</t>
        </is>
      </c>
      <c r="H837" s="37" t="inlineStr">
        <is>
          <t>Agendado</t>
        </is>
      </c>
      <c r="I837" s="37" t="n"/>
      <c r="J837" s="37" t="n"/>
      <c r="K837" s="36" t="n"/>
      <c r="L837" s="44">
        <f>IF(G837="","",IFERROR(INDEX(Config!$K$5:$K$16,MATCH(G837,Config!$J$5:$J$16,0)),""))</f>
        <v>20</v>
      </c>
      <c r="M837" s="30">
        <f>IF(OR(G837="",F837=""),"",IFERROR(INDEX(Config!$M$5:$R$16,MATCH(G837,Config!$J$5:$J$16,0),MATCH(F837,Config!$H$5:$H$10,0)),""))</f>
        <v>0</v>
      </c>
      <c r="N837" s="29">
        <f>IF(A837="","",MONTH(A837))</f>
        <v>9</v>
      </c>
      <c r="O837" s="29">
        <f>IF(A837="","",YEAR(A837))</f>
        <v>2026</v>
      </c>
      <c r="P837" s="29" t="str">
        <f>IF(A837="","",CHOOSE(WEEKDAY(A837,2),"Segunda","Terça","Quarta","Quinta","Sexta","Sábado","Domingo"))</f>
        <v>Quinta</v>
      </c>
      <c r="Q837" s="29" t="str">
        <f>IF(B837="","",IF(B837&lt;TIME(12,0,0),"Manhã",IF(B837&lt;TIME(18,0,0),"Tarde","Noite")))</f>
        <v>Manhã</v>
      </c>
      <c r="R837" s="45">
        <f>IF(AND(H837="Realizado",L837&lt;&gt;""),L837/60,0)</f>
        <v>0</v>
      </c>
    </row>
    <row r="838">
      <c r="A838" s="42">
        <f>TODAY()+10</f>
        <v>46289.0</v>
      </c>
      <c r="B838" s="43" t="n">
        <v>0.4236111111111111</v>
      </c>
      <c r="C838" s="37" t="inlineStr">
        <is>
          <t>Dra. Carolina Mendes</t>
        </is>
      </c>
      <c r="D838" s="37" t="inlineStr">
        <is>
          <t>Sala 1</t>
        </is>
      </c>
      <c r="E838" s="36" t="inlineStr">
        <is>
          <t>Helena Moreira</t>
        </is>
      </c>
      <c r="F838" s="37" t="inlineStr">
        <is>
          <t>Particular</t>
        </is>
      </c>
      <c r="G838" s="37" t="inlineStr">
        <is>
          <t>Consulta</t>
        </is>
      </c>
      <c r="H838" s="37" t="inlineStr">
        <is>
          <t>Agendado</t>
        </is>
      </c>
      <c r="I838" s="37" t="n"/>
      <c r="J838" s="37" t="n"/>
      <c r="K838" s="36" t="n"/>
      <c r="L838" s="44">
        <f>IF(G838="","",IFERROR(INDEX(Config!$K$5:$K$16,MATCH(G838,Config!$J$5:$J$16,0)),""))</f>
        <v>30</v>
      </c>
      <c r="M838" s="30">
        <f>IF(OR(G838="",F838=""),"",IFERROR(INDEX(Config!$M$5:$R$16,MATCH(G838,Config!$J$5:$J$16,0),MATCH(F838,Config!$H$5:$H$10,0)),""))</f>
        <v>380</v>
      </c>
      <c r="N838" s="29">
        <f>IF(A838="","",MONTH(A838))</f>
        <v>9</v>
      </c>
      <c r="O838" s="29">
        <f>IF(A838="","",YEAR(A838))</f>
        <v>2026</v>
      </c>
      <c r="P838" s="29" t="str">
        <f>IF(A838="","",CHOOSE(WEEKDAY(A838,2),"Segunda","Terça","Quarta","Quinta","Sexta","Sábado","Domingo"))</f>
        <v>Quinta</v>
      </c>
      <c r="Q838" s="29" t="str">
        <f>IF(B838="","",IF(B838&lt;TIME(12,0,0),"Manhã",IF(B838&lt;TIME(18,0,0),"Tarde","Noite")))</f>
        <v>Manhã</v>
      </c>
      <c r="R838" s="45">
        <f>IF(AND(H838="Realizado",L838&lt;&gt;""),L838/60,0)</f>
        <v>0</v>
      </c>
    </row>
    <row r="839">
      <c r="A839" s="42">
        <f>TODAY()+10</f>
        <v>46289.0</v>
      </c>
      <c r="B839" s="43" t="n">
        <v>0.4444444444444444</v>
      </c>
      <c r="C839" s="37" t="inlineStr">
        <is>
          <t>Dra. Carolina Mendes</t>
        </is>
      </c>
      <c r="D839" s="37" t="inlineStr">
        <is>
          <t>Sala 1</t>
        </is>
      </c>
      <c r="E839" s="36" t="inlineStr">
        <is>
          <t>Ana Costa</t>
        </is>
      </c>
      <c r="F839" s="37" t="inlineStr">
        <is>
          <t>Particular</t>
        </is>
      </c>
      <c r="G839" s="37" t="inlineStr">
        <is>
          <t>Consulta</t>
        </is>
      </c>
      <c r="H839" s="37" t="inlineStr">
        <is>
          <t>Agendado</t>
        </is>
      </c>
      <c r="I839" s="37" t="n"/>
      <c r="J839" s="37" t="n"/>
      <c r="K839" s="36" t="n"/>
      <c r="L839" s="44">
        <f>IF(G839="","",IFERROR(INDEX(Config!$K$5:$K$16,MATCH(G839,Config!$J$5:$J$16,0)),""))</f>
        <v>30</v>
      </c>
      <c r="M839" s="30">
        <f>IF(OR(G839="",F839=""),"",IFERROR(INDEX(Config!$M$5:$R$16,MATCH(G839,Config!$J$5:$J$16,0),MATCH(F839,Config!$H$5:$H$10,0)),""))</f>
        <v>380</v>
      </c>
      <c r="N839" s="29">
        <f>IF(A839="","",MONTH(A839))</f>
        <v>9</v>
      </c>
      <c r="O839" s="29">
        <f>IF(A839="","",YEAR(A839))</f>
        <v>2026</v>
      </c>
      <c r="P839" s="29" t="str">
        <f>IF(A839="","",CHOOSE(WEEKDAY(A839,2),"Segunda","Terça","Quarta","Quinta","Sexta","Sábado","Domingo"))</f>
        <v>Quinta</v>
      </c>
      <c r="Q839" s="29" t="str">
        <f>IF(B839="","",IF(B839&lt;TIME(12,0,0),"Manhã",IF(B839&lt;TIME(18,0,0),"Tarde","Noite")))</f>
        <v>Manhã</v>
      </c>
      <c r="R839" s="45">
        <f>IF(AND(H839="Realizado",L839&lt;&gt;""),L839/60,0)</f>
        <v>0</v>
      </c>
    </row>
    <row r="840">
      <c r="A840" s="42">
        <f>TODAY()+10</f>
        <v>46289.0</v>
      </c>
      <c r="B840" s="43" t="n">
        <v>0.4652777777777778</v>
      </c>
      <c r="C840" s="37" t="inlineStr">
        <is>
          <t>Dra. Carolina Mendes</t>
        </is>
      </c>
      <c r="D840" s="37" t="inlineStr">
        <is>
          <t>Sala 1</t>
        </is>
      </c>
      <c r="E840" s="36" t="inlineStr">
        <is>
          <t>Carlos Barros</t>
        </is>
      </c>
      <c r="F840" s="37" t="inlineStr">
        <is>
          <t>MediPlan</t>
        </is>
      </c>
      <c r="G840" s="37" t="inlineStr">
        <is>
          <t>Retorno</t>
        </is>
      </c>
      <c r="H840" s="37" t="inlineStr">
        <is>
          <t>Agendado</t>
        </is>
      </c>
      <c r="I840" s="37" t="n"/>
      <c r="J840" s="37" t="n"/>
      <c r="K840" s="36" t="n"/>
      <c r="L840" s="44">
        <f>IF(G840="","",IFERROR(INDEX(Config!$K$5:$K$16,MATCH(G840,Config!$J$5:$J$16,0)),""))</f>
        <v>20</v>
      </c>
      <c r="M840" s="30">
        <f>IF(OR(G840="",F840=""),"",IFERROR(INDEX(Config!$M$5:$R$16,MATCH(G840,Config!$J$5:$J$16,0),MATCH(F840,Config!$H$5:$H$10,0)),""))</f>
        <v>0</v>
      </c>
      <c r="N840" s="29">
        <f>IF(A840="","",MONTH(A840))</f>
        <v>9</v>
      </c>
      <c r="O840" s="29">
        <f>IF(A840="","",YEAR(A840))</f>
        <v>2026</v>
      </c>
      <c r="P840" s="29" t="str">
        <f>IF(A840="","",CHOOSE(WEEKDAY(A840,2),"Segunda","Terça","Quarta","Quinta","Sexta","Sábado","Domingo"))</f>
        <v>Quinta</v>
      </c>
      <c r="Q840" s="29" t="str">
        <f>IF(B840="","",IF(B840&lt;TIME(12,0,0),"Manhã",IF(B840&lt;TIME(18,0,0),"Tarde","Noite")))</f>
        <v>Manhã</v>
      </c>
      <c r="R840" s="45">
        <f>IF(AND(H840="Realizado",L840&lt;&gt;""),L840/60,0)</f>
        <v>0</v>
      </c>
    </row>
    <row r="841">
      <c r="A841" s="42">
        <f>TODAY()+10</f>
        <v>46289.0</v>
      </c>
      <c r="B841" s="43" t="n">
        <v>0.4791666666666667</v>
      </c>
      <c r="C841" s="37" t="inlineStr">
        <is>
          <t>Dra. Carolina Mendes</t>
        </is>
      </c>
      <c r="D841" s="37" t="inlineStr">
        <is>
          <t>Sala 1</t>
        </is>
      </c>
      <c r="E841" s="36" t="inlineStr">
        <is>
          <t>Mônica Batista</t>
        </is>
      </c>
      <c r="F841" s="37" t="inlineStr">
        <is>
          <t>MediPlan</t>
        </is>
      </c>
      <c r="G841" s="37" t="inlineStr">
        <is>
          <t>Consulta</t>
        </is>
      </c>
      <c r="H841" s="37" t="inlineStr">
        <is>
          <t>Agendado</t>
        </is>
      </c>
      <c r="I841" s="37" t="n"/>
      <c r="J841" s="37" t="n"/>
      <c r="K841" s="36" t="n"/>
      <c r="L841" s="44">
        <f>IF(G841="","",IFERROR(INDEX(Config!$K$5:$K$16,MATCH(G841,Config!$J$5:$J$16,0)),""))</f>
        <v>30</v>
      </c>
      <c r="M841" s="30">
        <f>IF(OR(G841="",F841=""),"",IFERROR(INDEX(Config!$M$5:$R$16,MATCH(G841,Config!$J$5:$J$16,0),MATCH(F841,Config!$H$5:$H$10,0)),""))</f>
        <v>100</v>
      </c>
      <c r="N841" s="29">
        <f>IF(A841="","",MONTH(A841))</f>
        <v>9</v>
      </c>
      <c r="O841" s="29">
        <f>IF(A841="","",YEAR(A841))</f>
        <v>2026</v>
      </c>
      <c r="P841" s="29" t="str">
        <f>IF(A841="","",CHOOSE(WEEKDAY(A841,2),"Segunda","Terça","Quarta","Quinta","Sexta","Sábado","Domingo"))</f>
        <v>Quinta</v>
      </c>
      <c r="Q841" s="29" t="str">
        <f>IF(B841="","",IF(B841&lt;TIME(12,0,0),"Manhã",IF(B841&lt;TIME(18,0,0),"Tarde","Noite")))</f>
        <v>Manhã</v>
      </c>
      <c r="R841" s="45">
        <f>IF(AND(H841="Realizado",L841&lt;&gt;""),L841/60,0)</f>
        <v>0</v>
      </c>
    </row>
    <row r="842">
      <c r="A842" s="42">
        <f>TODAY()+10</f>
        <v>46289.0</v>
      </c>
      <c r="B842" s="43" t="n">
        <v>0.5833333333333334</v>
      </c>
      <c r="C842" s="37" t="inlineStr">
        <is>
          <t>Dra. Renata Sousa</t>
        </is>
      </c>
      <c r="D842" s="37" t="inlineStr">
        <is>
          <t>Sala 1</t>
        </is>
      </c>
      <c r="E842" s="36" t="inlineStr">
        <is>
          <t>Tatiana Macedo</t>
        </is>
      </c>
      <c r="F842" s="37" t="inlineStr">
        <is>
          <t>Particular</t>
        </is>
      </c>
      <c r="G842" s="37" t="inlineStr">
        <is>
          <t>Retorno</t>
        </is>
      </c>
      <c r="H842" s="37" t="inlineStr">
        <is>
          <t>Agendado</t>
        </is>
      </c>
      <c r="I842" s="37" t="n"/>
      <c r="J842" s="37" t="n"/>
      <c r="K842" s="36" t="n"/>
      <c r="L842" s="44">
        <f>IF(G842="","",IFERROR(INDEX(Config!$K$5:$K$16,MATCH(G842,Config!$J$5:$J$16,0)),""))</f>
        <v>20</v>
      </c>
      <c r="M842" s="30">
        <f>IF(OR(G842="",F842=""),"",IFERROR(INDEX(Config!$M$5:$R$16,MATCH(G842,Config!$J$5:$J$16,0),MATCH(F842,Config!$H$5:$H$10,0)),""))</f>
        <v>0</v>
      </c>
      <c r="N842" s="29">
        <f>IF(A842="","",MONTH(A842))</f>
        <v>9</v>
      </c>
      <c r="O842" s="29">
        <f>IF(A842="","",YEAR(A842))</f>
        <v>2026</v>
      </c>
      <c r="P842" s="29" t="str">
        <f>IF(A842="","",CHOOSE(WEEKDAY(A842,2),"Segunda","Terça","Quarta","Quinta","Sexta","Sábado","Domingo"))</f>
        <v>Quinta</v>
      </c>
      <c r="Q842" s="29" t="str">
        <f>IF(B842="","",IF(B842&lt;TIME(12,0,0),"Manhã",IF(B842&lt;TIME(18,0,0),"Tarde","Noite")))</f>
        <v>Tarde</v>
      </c>
      <c r="R842" s="45">
        <f>IF(AND(H842="Realizado",L842&lt;&gt;""),L842/60,0)</f>
        <v>0</v>
      </c>
    </row>
    <row r="843">
      <c r="A843" s="42">
        <f>TODAY()+10</f>
        <v>46289.0</v>
      </c>
      <c r="B843" s="43" t="n">
        <v>0.6041666666666666</v>
      </c>
      <c r="C843" s="37" t="inlineStr">
        <is>
          <t>Dr. Paulo Andrade</t>
        </is>
      </c>
      <c r="D843" s="37" t="inlineStr">
        <is>
          <t>Sala 2</t>
        </is>
      </c>
      <c r="E843" s="36" t="inlineStr">
        <is>
          <t>Fábio Correia</t>
        </is>
      </c>
      <c r="F843" s="37" t="inlineStr">
        <is>
          <t>Particular</t>
        </is>
      </c>
      <c r="G843" s="37" t="inlineStr">
        <is>
          <t>Consulta</t>
        </is>
      </c>
      <c r="H843" s="37" t="inlineStr">
        <is>
          <t>Agendado</t>
        </is>
      </c>
      <c r="I843" s="37" t="n"/>
      <c r="J843" s="37" t="n"/>
      <c r="K843" s="36" t="n"/>
      <c r="L843" s="44">
        <f>IF(G843="","",IFERROR(INDEX(Config!$K$5:$K$16,MATCH(G843,Config!$J$5:$J$16,0)),""))</f>
        <v>30</v>
      </c>
      <c r="M843" s="30">
        <f>IF(OR(G843="",F843=""),"",IFERROR(INDEX(Config!$M$5:$R$16,MATCH(G843,Config!$J$5:$J$16,0),MATCH(F843,Config!$H$5:$H$10,0)),""))</f>
        <v>380</v>
      </c>
      <c r="N843" s="29">
        <f>IF(A843="","",MONTH(A843))</f>
        <v>9</v>
      </c>
      <c r="O843" s="29">
        <f>IF(A843="","",YEAR(A843))</f>
        <v>2026</v>
      </c>
      <c r="P843" s="29" t="str">
        <f>IF(A843="","",CHOOSE(WEEKDAY(A843,2),"Segunda","Terça","Quarta","Quinta","Sexta","Sábado","Domingo"))</f>
        <v>Quinta</v>
      </c>
      <c r="Q843" s="29" t="str">
        <f>IF(B843="","",IF(B843&lt;TIME(12,0,0),"Manhã",IF(B843&lt;TIME(18,0,0),"Tarde","Noite")))</f>
        <v>Tarde</v>
      </c>
      <c r="R843" s="45">
        <f>IF(AND(H843="Realizado",L843&lt;&gt;""),L843/60,0)</f>
        <v>0</v>
      </c>
    </row>
    <row r="844">
      <c r="A844" s="42">
        <f>TODAY()+10</f>
        <v>46289.0</v>
      </c>
      <c r="B844" s="43" t="n">
        <v>0.6180555555555556</v>
      </c>
      <c r="C844" s="37" t="inlineStr">
        <is>
          <t>Dra. Renata Sousa</t>
        </is>
      </c>
      <c r="D844" s="37" t="inlineStr">
        <is>
          <t>Sala 1</t>
        </is>
      </c>
      <c r="E844" s="36" t="inlineStr">
        <is>
          <t>Carlos Gonçalves</t>
        </is>
      </c>
      <c r="F844" s="37" t="inlineStr">
        <is>
          <t>Saúde Total</t>
        </is>
      </c>
      <c r="G844" s="37" t="inlineStr">
        <is>
          <t>Avaliação endócrina</t>
        </is>
      </c>
      <c r="H844" s="37" t="inlineStr">
        <is>
          <t>Agendado</t>
        </is>
      </c>
      <c r="I844" s="37" t="n"/>
      <c r="J844" s="37" t="n"/>
      <c r="K844" s="36" t="n"/>
      <c r="L844" s="44">
        <f>IF(G844="","",IFERROR(INDEX(Config!$K$5:$K$16,MATCH(G844,Config!$J$5:$J$16,0)),""))</f>
        <v>40</v>
      </c>
      <c r="M844" s="30">
        <f>IF(OR(G844="",F844=""),"",IFERROR(INDEX(Config!$M$5:$R$16,MATCH(G844,Config!$J$5:$J$16,0),MATCH(F844,Config!$H$5:$H$10,0)),""))</f>
        <v>130</v>
      </c>
      <c r="N844" s="29">
        <f>IF(A844="","",MONTH(A844))</f>
        <v>9</v>
      </c>
      <c r="O844" s="29">
        <f>IF(A844="","",YEAR(A844))</f>
        <v>2026</v>
      </c>
      <c r="P844" s="29" t="str">
        <f>IF(A844="","",CHOOSE(WEEKDAY(A844,2),"Segunda","Terça","Quarta","Quinta","Sexta","Sábado","Domingo"))</f>
        <v>Quinta</v>
      </c>
      <c r="Q844" s="29" t="str">
        <f>IF(B844="","",IF(B844&lt;TIME(12,0,0),"Manhã",IF(B844&lt;TIME(18,0,0),"Tarde","Noite")))</f>
        <v>Tarde</v>
      </c>
      <c r="R844" s="45">
        <f>IF(AND(H844="Realizado",L844&lt;&gt;""),L844/60,0)</f>
        <v>0</v>
      </c>
    </row>
    <row r="845">
      <c r="A845" s="42">
        <f>TODAY()+10</f>
        <v>46289.0</v>
      </c>
      <c r="B845" s="43" t="n">
        <v>0.625</v>
      </c>
      <c r="C845" s="37" t="inlineStr">
        <is>
          <t>Dr. Paulo Andrade</t>
        </is>
      </c>
      <c r="D845" s="37" t="inlineStr">
        <is>
          <t>Sala 2</t>
        </is>
      </c>
      <c r="E845" s="36" t="inlineStr">
        <is>
          <t>Carlos Castro</t>
        </is>
      </c>
      <c r="F845" s="37" t="inlineStr">
        <is>
          <t>Saúde Total</t>
        </is>
      </c>
      <c r="G845" s="37" t="inlineStr">
        <is>
          <t>ECG</t>
        </is>
      </c>
      <c r="H845" s="37" t="inlineStr">
        <is>
          <t>Agendado</t>
        </is>
      </c>
      <c r="I845" s="37" t="n"/>
      <c r="J845" s="37" t="n"/>
      <c r="K845" s="36" t="n"/>
      <c r="L845" s="44">
        <f>IF(G845="","",IFERROR(INDEX(Config!$K$5:$K$16,MATCH(G845,Config!$J$5:$J$16,0)),""))</f>
        <v>20</v>
      </c>
      <c r="M845" s="30">
        <f>IF(OR(G845="",F845=""),"",IFERROR(INDEX(Config!$M$5:$R$16,MATCH(G845,Config!$J$5:$J$16,0),MATCH(F845,Config!$H$5:$H$10,0)),""))</f>
        <v>40</v>
      </c>
      <c r="N845" s="29">
        <f>IF(A845="","",MONTH(A845))</f>
        <v>9</v>
      </c>
      <c r="O845" s="29">
        <f>IF(A845="","",YEAR(A845))</f>
        <v>2026</v>
      </c>
      <c r="P845" s="29" t="str">
        <f>IF(A845="","",CHOOSE(WEEKDAY(A845,2),"Segunda","Terça","Quarta","Quinta","Sexta","Sábado","Domingo"))</f>
        <v>Quinta</v>
      </c>
      <c r="Q845" s="29" t="str">
        <f>IF(B845="","",IF(B845&lt;TIME(12,0,0),"Manhã",IF(B845&lt;TIME(18,0,0),"Tarde","Noite")))</f>
        <v>Tarde</v>
      </c>
      <c r="R845" s="45">
        <f>IF(AND(H845="Realizado",L845&lt;&gt;""),L845/60,0)</f>
        <v>0</v>
      </c>
    </row>
    <row r="846">
      <c r="A846" s="42">
        <f>TODAY()+10</f>
        <v>46289.0</v>
      </c>
      <c r="B846" s="43" t="n">
        <v>0.6388888888888888</v>
      </c>
      <c r="C846" s="37" t="inlineStr">
        <is>
          <t>Dr. Paulo Andrade</t>
        </is>
      </c>
      <c r="D846" s="37" t="inlineStr">
        <is>
          <t>Sala 2</t>
        </is>
      </c>
      <c r="E846" s="36" t="inlineStr">
        <is>
          <t>Roberta Fernandes</t>
        </is>
      </c>
      <c r="F846" s="37" t="inlineStr">
        <is>
          <t>Saúde Total</t>
        </is>
      </c>
      <c r="G846" s="37" t="inlineStr">
        <is>
          <t>ECG</t>
        </is>
      </c>
      <c r="H846" s="37" t="inlineStr">
        <is>
          <t>Agendado</t>
        </is>
      </c>
      <c r="I846" s="37" t="n"/>
      <c r="J846" s="37" t="n"/>
      <c r="K846" s="36" t="n"/>
      <c r="L846" s="44">
        <f>IF(G846="","",IFERROR(INDEX(Config!$K$5:$K$16,MATCH(G846,Config!$J$5:$J$16,0)),""))</f>
        <v>20</v>
      </c>
      <c r="M846" s="30">
        <f>IF(OR(G846="",F846=""),"",IFERROR(INDEX(Config!$M$5:$R$16,MATCH(G846,Config!$J$5:$J$16,0),MATCH(F846,Config!$H$5:$H$10,0)),""))</f>
        <v>40</v>
      </c>
      <c r="N846" s="29">
        <f>IF(A846="","",MONTH(A846))</f>
        <v>9</v>
      </c>
      <c r="O846" s="29">
        <f>IF(A846="","",YEAR(A846))</f>
        <v>2026</v>
      </c>
      <c r="P846" s="29" t="str">
        <f>IF(A846="","",CHOOSE(WEEKDAY(A846,2),"Segunda","Terça","Quarta","Quinta","Sexta","Sábado","Domingo"))</f>
        <v>Quinta</v>
      </c>
      <c r="Q846" s="29" t="str">
        <f>IF(B846="","",IF(B846&lt;TIME(12,0,0),"Manhã",IF(B846&lt;TIME(18,0,0),"Tarde","Noite")))</f>
        <v>Tarde</v>
      </c>
      <c r="R846" s="45">
        <f>IF(AND(H846="Realizado",L846&lt;&gt;""),L846/60,0)</f>
        <v>0</v>
      </c>
    </row>
    <row r="847">
      <c r="A847" s="42">
        <f>TODAY()+10</f>
        <v>46289.0</v>
      </c>
      <c r="B847" s="43" t="n">
        <v>0.6458333333333334</v>
      </c>
      <c r="C847" s="37" t="inlineStr">
        <is>
          <t>Dra. Renata Sousa</t>
        </is>
      </c>
      <c r="D847" s="37" t="inlineStr">
        <is>
          <t>Sala 1</t>
        </is>
      </c>
      <c r="E847" s="36" t="inlineStr">
        <is>
          <t>Gabriel Lopes</t>
        </is>
      </c>
      <c r="F847" s="37" t="inlineStr">
        <is>
          <t>Saúde Total</t>
        </is>
      </c>
      <c r="G847" s="37" t="inlineStr">
        <is>
          <t>Avaliação endócrina</t>
        </is>
      </c>
      <c r="H847" s="37" t="inlineStr">
        <is>
          <t>Agendado</t>
        </is>
      </c>
      <c r="I847" s="37" t="n"/>
      <c r="J847" s="37" t="n"/>
      <c r="K847" s="36" t="n"/>
      <c r="L847" s="44">
        <f>IF(G847="","",IFERROR(INDEX(Config!$K$5:$K$16,MATCH(G847,Config!$J$5:$J$16,0)),""))</f>
        <v>40</v>
      </c>
      <c r="M847" s="30">
        <f>IF(OR(G847="",F847=""),"",IFERROR(INDEX(Config!$M$5:$R$16,MATCH(G847,Config!$J$5:$J$16,0),MATCH(F847,Config!$H$5:$H$10,0)),""))</f>
        <v>130</v>
      </c>
      <c r="N847" s="29">
        <f>IF(A847="","",MONTH(A847))</f>
        <v>9</v>
      </c>
      <c r="O847" s="29">
        <f>IF(A847="","",YEAR(A847))</f>
        <v>2026</v>
      </c>
      <c r="P847" s="29" t="str">
        <f>IF(A847="","",CHOOSE(WEEKDAY(A847,2),"Segunda","Terça","Quarta","Quinta","Sexta","Sábado","Domingo"))</f>
        <v>Quinta</v>
      </c>
      <c r="Q847" s="29" t="str">
        <f>IF(B847="","",IF(B847&lt;TIME(12,0,0),"Manhã",IF(B847&lt;TIME(18,0,0),"Tarde","Noite")))</f>
        <v>Tarde</v>
      </c>
      <c r="R847" s="45">
        <f>IF(AND(H847="Realizado",L847&lt;&gt;""),L847/60,0)</f>
        <v>0</v>
      </c>
    </row>
    <row r="848">
      <c r="A848" s="42">
        <f>TODAY()+10</f>
        <v>46289.0</v>
      </c>
      <c r="B848" s="43" t="n">
        <v>0.6527777777777778</v>
      </c>
      <c r="C848" s="37" t="inlineStr">
        <is>
          <t>Dr. Paulo Andrade</t>
        </is>
      </c>
      <c r="D848" s="37" t="inlineStr">
        <is>
          <t>Sala 2</t>
        </is>
      </c>
      <c r="E848" s="36" t="inlineStr">
        <is>
          <t>Otávio Cardoso</t>
        </is>
      </c>
      <c r="F848" s="37" t="inlineStr">
        <is>
          <t>Particular</t>
        </is>
      </c>
      <c r="G848" s="37" t="inlineStr">
        <is>
          <t>ECG</t>
        </is>
      </c>
      <c r="H848" s="37" t="inlineStr">
        <is>
          <t>Agendado</t>
        </is>
      </c>
      <c r="I848" s="37" t="n"/>
      <c r="J848" s="37" t="n"/>
      <c r="K848" s="36" t="n"/>
      <c r="L848" s="44">
        <f>IF(G848="","",IFERROR(INDEX(Config!$K$5:$K$16,MATCH(G848,Config!$J$5:$J$16,0)),""))</f>
        <v>20</v>
      </c>
      <c r="M848" s="30">
        <f>IF(OR(G848="",F848=""),"",IFERROR(INDEX(Config!$M$5:$R$16,MATCH(G848,Config!$J$5:$J$16,0),MATCH(F848,Config!$H$5:$H$10,0)),""))</f>
        <v>130</v>
      </c>
      <c r="N848" s="29">
        <f>IF(A848="","",MONTH(A848))</f>
        <v>9</v>
      </c>
      <c r="O848" s="29">
        <f>IF(A848="","",YEAR(A848))</f>
        <v>2026</v>
      </c>
      <c r="P848" s="29" t="str">
        <f>IF(A848="","",CHOOSE(WEEKDAY(A848,2),"Segunda","Terça","Quarta","Quinta","Sexta","Sábado","Domingo"))</f>
        <v>Quinta</v>
      </c>
      <c r="Q848" s="29" t="str">
        <f>IF(B848="","",IF(B848&lt;TIME(12,0,0),"Manhã",IF(B848&lt;TIME(18,0,0),"Tarde","Noite")))</f>
        <v>Tarde</v>
      </c>
      <c r="R848" s="45">
        <f>IF(AND(H848="Realizado",L848&lt;&gt;""),L848/60,0)</f>
        <v>0</v>
      </c>
    </row>
    <row r="849">
      <c r="A849" s="42">
        <f>TODAY()+10</f>
        <v>46289.0</v>
      </c>
      <c r="B849" s="43" t="n">
        <v>0.6666666666666666</v>
      </c>
      <c r="C849" s="37" t="inlineStr">
        <is>
          <t>Dr. Paulo Andrade</t>
        </is>
      </c>
      <c r="D849" s="37" t="inlineStr">
        <is>
          <t>Sala 2</t>
        </is>
      </c>
      <c r="E849" s="36" t="inlineStr">
        <is>
          <t>Camila Martins</t>
        </is>
      </c>
      <c r="F849" s="37" t="inlineStr">
        <is>
          <t>Vida Care</t>
        </is>
      </c>
      <c r="G849" s="37" t="inlineStr">
        <is>
          <t>Retorno</t>
        </is>
      </c>
      <c r="H849" s="37" t="inlineStr">
        <is>
          <t>Agendado</t>
        </is>
      </c>
      <c r="I849" s="37" t="n"/>
      <c r="J849" s="37" t="n"/>
      <c r="K849" s="36" t="n"/>
      <c r="L849" s="44">
        <f>IF(G849="","",IFERROR(INDEX(Config!$K$5:$K$16,MATCH(G849,Config!$J$5:$J$16,0)),""))</f>
        <v>20</v>
      </c>
      <c r="M849" s="30">
        <f>IF(OR(G849="",F849=""),"",IFERROR(INDEX(Config!$M$5:$R$16,MATCH(G849,Config!$J$5:$J$16,0),MATCH(F849,Config!$H$5:$H$10,0)),""))</f>
        <v>0</v>
      </c>
      <c r="N849" s="29">
        <f>IF(A849="","",MONTH(A849))</f>
        <v>9</v>
      </c>
      <c r="O849" s="29">
        <f>IF(A849="","",YEAR(A849))</f>
        <v>2026</v>
      </c>
      <c r="P849" s="29" t="str">
        <f>IF(A849="","",CHOOSE(WEEKDAY(A849,2),"Segunda","Terça","Quarta","Quinta","Sexta","Sábado","Domingo"))</f>
        <v>Quinta</v>
      </c>
      <c r="Q849" s="29" t="str">
        <f>IF(B849="","",IF(B849&lt;TIME(12,0,0),"Manhã",IF(B849&lt;TIME(18,0,0),"Tarde","Noite")))</f>
        <v>Tarde</v>
      </c>
      <c r="R849" s="45">
        <f>IF(AND(H849="Realizado",L849&lt;&gt;""),L849/60,0)</f>
        <v>0</v>
      </c>
    </row>
    <row r="850">
      <c r="A850" s="42">
        <f>TODAY()+10</f>
        <v>46289.0</v>
      </c>
      <c r="B850" s="43" t="n">
        <v>0.6736111111111112</v>
      </c>
      <c r="C850" s="37" t="inlineStr">
        <is>
          <t>Dra. Renata Sousa</t>
        </is>
      </c>
      <c r="D850" s="37" t="inlineStr">
        <is>
          <t>Sala 1</t>
        </is>
      </c>
      <c r="E850" s="36" t="inlineStr">
        <is>
          <t>Mônica Almeida</t>
        </is>
      </c>
      <c r="F850" s="37" t="inlineStr">
        <is>
          <t>Particular</t>
        </is>
      </c>
      <c r="G850" s="37" t="inlineStr">
        <is>
          <t>Avaliação endócrina</t>
        </is>
      </c>
      <c r="H850" s="37" t="inlineStr">
        <is>
          <t>Agendado</t>
        </is>
      </c>
      <c r="I850" s="37" t="n"/>
      <c r="J850" s="37" t="n"/>
      <c r="K850" s="36" t="n"/>
      <c r="L850" s="44">
        <f>IF(G850="","",IFERROR(INDEX(Config!$K$5:$K$16,MATCH(G850,Config!$J$5:$J$16,0)),""))</f>
        <v>40</v>
      </c>
      <c r="M850" s="30">
        <f>IF(OR(G850="",F850=""),"",IFERROR(INDEX(Config!$M$5:$R$16,MATCH(G850,Config!$J$5:$J$16,0),MATCH(F850,Config!$H$5:$H$10,0)),""))</f>
        <v>400</v>
      </c>
      <c r="N850" s="29">
        <f>IF(A850="","",MONTH(A850))</f>
        <v>9</v>
      </c>
      <c r="O850" s="29">
        <f>IF(A850="","",YEAR(A850))</f>
        <v>2026</v>
      </c>
      <c r="P850" s="29" t="str">
        <f>IF(A850="","",CHOOSE(WEEKDAY(A850,2),"Segunda","Terça","Quarta","Quinta","Sexta","Sábado","Domingo"))</f>
        <v>Quinta</v>
      </c>
      <c r="Q850" s="29" t="str">
        <f>IF(B850="","",IF(B850&lt;TIME(12,0,0),"Manhã",IF(B850&lt;TIME(18,0,0),"Tarde","Noite")))</f>
        <v>Tarde</v>
      </c>
      <c r="R850" s="45">
        <f>IF(AND(H850="Realizado",L850&lt;&gt;""),L850/60,0)</f>
        <v>0</v>
      </c>
    </row>
    <row r="851">
      <c r="A851" s="42">
        <f>TODAY()+10</f>
        <v>46289.0</v>
      </c>
      <c r="B851" s="43" t="n">
        <v>0.6805555555555556</v>
      </c>
      <c r="C851" s="37" t="inlineStr">
        <is>
          <t>Dr. Paulo Andrade</t>
        </is>
      </c>
      <c r="D851" s="37" t="inlineStr">
        <is>
          <t>Sala 2</t>
        </is>
      </c>
      <c r="E851" s="36" t="inlineStr">
        <is>
          <t>Mateus Dias</t>
        </is>
      </c>
      <c r="F851" s="37" t="inlineStr">
        <is>
          <t>Saúde Total</t>
        </is>
      </c>
      <c r="G851" s="37" t="inlineStr">
        <is>
          <t>Retorno</t>
        </is>
      </c>
      <c r="H851" s="37" t="inlineStr">
        <is>
          <t>Agendado</t>
        </is>
      </c>
      <c r="I851" s="37" t="n"/>
      <c r="J851" s="37" t="n"/>
      <c r="K851" s="36" t="n"/>
      <c r="L851" s="44">
        <f>IF(G851="","",IFERROR(INDEX(Config!$K$5:$K$16,MATCH(G851,Config!$J$5:$J$16,0)),""))</f>
        <v>20</v>
      </c>
      <c r="M851" s="30">
        <f>IF(OR(G851="",F851=""),"",IFERROR(INDEX(Config!$M$5:$R$16,MATCH(G851,Config!$J$5:$J$16,0),MATCH(F851,Config!$H$5:$H$10,0)),""))</f>
        <v>0</v>
      </c>
      <c r="N851" s="29">
        <f>IF(A851="","",MONTH(A851))</f>
        <v>9</v>
      </c>
      <c r="O851" s="29">
        <f>IF(A851="","",YEAR(A851))</f>
        <v>2026</v>
      </c>
      <c r="P851" s="29" t="str">
        <f>IF(A851="","",CHOOSE(WEEKDAY(A851,2),"Segunda","Terça","Quarta","Quinta","Sexta","Sábado","Domingo"))</f>
        <v>Quinta</v>
      </c>
      <c r="Q851" s="29" t="str">
        <f>IF(B851="","",IF(B851&lt;TIME(12,0,0),"Manhã",IF(B851&lt;TIME(18,0,0),"Tarde","Noite")))</f>
        <v>Tarde</v>
      </c>
      <c r="R851" s="45">
        <f>IF(AND(H851="Realizado",L851&lt;&gt;""),L851/60,0)</f>
        <v>0</v>
      </c>
    </row>
    <row r="852">
      <c r="A852" s="42">
        <f>TODAY()+10</f>
        <v>46289.0</v>
      </c>
      <c r="B852" s="43" t="n">
        <v>0.6944444444444444</v>
      </c>
      <c r="C852" s="37" t="inlineStr">
        <is>
          <t>Dr. Paulo Andrade</t>
        </is>
      </c>
      <c r="D852" s="37" t="inlineStr">
        <is>
          <t>Sala 2</t>
        </is>
      </c>
      <c r="E852" s="36" t="inlineStr">
        <is>
          <t>Rafael Barros</t>
        </is>
      </c>
      <c r="F852" s="37" t="inlineStr">
        <is>
          <t>Particular</t>
        </is>
      </c>
      <c r="G852" s="37" t="inlineStr">
        <is>
          <t>Consulta</t>
        </is>
      </c>
      <c r="H852" s="37" t="inlineStr">
        <is>
          <t>Agendado</t>
        </is>
      </c>
      <c r="I852" s="37" t="n"/>
      <c r="J852" s="37" t="n"/>
      <c r="K852" s="36" t="n"/>
      <c r="L852" s="44">
        <f>IF(G852="","",IFERROR(INDEX(Config!$K$5:$K$16,MATCH(G852,Config!$J$5:$J$16,0)),""))</f>
        <v>30</v>
      </c>
      <c r="M852" s="30">
        <f>IF(OR(G852="",F852=""),"",IFERROR(INDEX(Config!$M$5:$R$16,MATCH(G852,Config!$J$5:$J$16,0),MATCH(F852,Config!$H$5:$H$10,0)),""))</f>
        <v>380</v>
      </c>
      <c r="N852" s="29">
        <f>IF(A852="","",MONTH(A852))</f>
        <v>9</v>
      </c>
      <c r="O852" s="29">
        <f>IF(A852="","",YEAR(A852))</f>
        <v>2026</v>
      </c>
      <c r="P852" s="29" t="str">
        <f>IF(A852="","",CHOOSE(WEEKDAY(A852,2),"Segunda","Terça","Quarta","Quinta","Sexta","Sábado","Domingo"))</f>
        <v>Quinta</v>
      </c>
      <c r="Q852" s="29" t="str">
        <f>IF(B852="","",IF(B852&lt;TIME(12,0,0),"Manhã",IF(B852&lt;TIME(18,0,0),"Tarde","Noite")))</f>
        <v>Tarde</v>
      </c>
      <c r="R852" s="45">
        <f>IF(AND(H852="Realizado",L852&lt;&gt;""),L852/60,0)</f>
        <v>0</v>
      </c>
    </row>
    <row r="853">
      <c r="A853" s="42">
        <f>TODAY()+10</f>
        <v>46289.0</v>
      </c>
      <c r="B853" s="43" t="n">
        <v>0.7013888888888888</v>
      </c>
      <c r="C853" s="37" t="inlineStr">
        <is>
          <t>Dra. Renata Sousa</t>
        </is>
      </c>
      <c r="D853" s="37" t="inlineStr">
        <is>
          <t>Sala 1</t>
        </is>
      </c>
      <c r="E853" s="36" t="inlineStr">
        <is>
          <t>Fábio Gomes</t>
        </is>
      </c>
      <c r="F853" s="37" t="inlineStr">
        <is>
          <t>Particular</t>
        </is>
      </c>
      <c r="G853" s="37" t="inlineStr">
        <is>
          <t>Avaliação endócrina</t>
        </is>
      </c>
      <c r="H853" s="37" t="inlineStr">
        <is>
          <t>Agendado</t>
        </is>
      </c>
      <c r="I853" s="37" t="n"/>
      <c r="J853" s="37" t="n"/>
      <c r="K853" s="36" t="n"/>
      <c r="L853" s="44">
        <f>IF(G853="","",IFERROR(INDEX(Config!$K$5:$K$16,MATCH(G853,Config!$J$5:$J$16,0)),""))</f>
        <v>40</v>
      </c>
      <c r="M853" s="30">
        <f>IF(OR(G853="",F853=""),"",IFERROR(INDEX(Config!$M$5:$R$16,MATCH(G853,Config!$J$5:$J$16,0),MATCH(F853,Config!$H$5:$H$10,0)),""))</f>
        <v>400</v>
      </c>
      <c r="N853" s="29">
        <f>IF(A853="","",MONTH(A853))</f>
        <v>9</v>
      </c>
      <c r="O853" s="29">
        <f>IF(A853="","",YEAR(A853))</f>
        <v>2026</v>
      </c>
      <c r="P853" s="29" t="str">
        <f>IF(A853="","",CHOOSE(WEEKDAY(A853,2),"Segunda","Terça","Quarta","Quinta","Sexta","Sábado","Domingo"))</f>
        <v>Quinta</v>
      </c>
      <c r="Q853" s="29" t="str">
        <f>IF(B853="","",IF(B853&lt;TIME(12,0,0),"Manhã",IF(B853&lt;TIME(18,0,0),"Tarde","Noite")))</f>
        <v>Tarde</v>
      </c>
      <c r="R853" s="45">
        <f>IF(AND(H853="Realizado",L853&lt;&gt;""),L853/60,0)</f>
        <v>0</v>
      </c>
    </row>
    <row r="854">
      <c r="A854" s="42">
        <f>TODAY()+10</f>
        <v>46289.0</v>
      </c>
      <c r="B854" s="43" t="n">
        <v>0.7152777777777778</v>
      </c>
      <c r="C854" s="37" t="inlineStr">
        <is>
          <t>Dr. Paulo Andrade</t>
        </is>
      </c>
      <c r="D854" s="37" t="inlineStr">
        <is>
          <t>Sala 2</t>
        </is>
      </c>
      <c r="E854" s="36" t="inlineStr">
        <is>
          <t>Camila Freitas</t>
        </is>
      </c>
      <c r="F854" s="37" t="inlineStr">
        <is>
          <t>Particular</t>
        </is>
      </c>
      <c r="G854" s="37" t="inlineStr">
        <is>
          <t>Retorno</t>
        </is>
      </c>
      <c r="H854" s="37" t="inlineStr">
        <is>
          <t>Agendado</t>
        </is>
      </c>
      <c r="I854" s="37" t="n"/>
      <c r="J854" s="37" t="n"/>
      <c r="K854" s="36" t="n"/>
      <c r="L854" s="44">
        <f>IF(G854="","",IFERROR(INDEX(Config!$K$5:$K$16,MATCH(G854,Config!$J$5:$J$16,0)),""))</f>
        <v>20</v>
      </c>
      <c r="M854" s="30">
        <f>IF(OR(G854="",F854=""),"",IFERROR(INDEX(Config!$M$5:$R$16,MATCH(G854,Config!$J$5:$J$16,0),MATCH(F854,Config!$H$5:$H$10,0)),""))</f>
        <v>0</v>
      </c>
      <c r="N854" s="29">
        <f>IF(A854="","",MONTH(A854))</f>
        <v>9</v>
      </c>
      <c r="O854" s="29">
        <f>IF(A854="","",YEAR(A854))</f>
        <v>2026</v>
      </c>
      <c r="P854" s="29" t="str">
        <f>IF(A854="","",CHOOSE(WEEKDAY(A854,2),"Segunda","Terça","Quarta","Quinta","Sexta","Sábado","Domingo"))</f>
        <v>Quinta</v>
      </c>
      <c r="Q854" s="29" t="str">
        <f>IF(B854="","",IF(B854&lt;TIME(12,0,0),"Manhã",IF(B854&lt;TIME(18,0,0),"Tarde","Noite")))</f>
        <v>Tarde</v>
      </c>
      <c r="R854" s="45">
        <f>IF(AND(H854="Realizado",L854&lt;&gt;""),L854/60,0)</f>
        <v>0</v>
      </c>
    </row>
    <row r="855">
      <c r="A855" s="42">
        <f>TODAY()+10</f>
        <v>46289.0</v>
      </c>
      <c r="B855" s="43" t="n">
        <v>0.7291666666666666</v>
      </c>
      <c r="C855" s="37" t="inlineStr">
        <is>
          <t>Dra. Renata Sousa</t>
        </is>
      </c>
      <c r="D855" s="37" t="inlineStr">
        <is>
          <t>Sala 1</t>
        </is>
      </c>
      <c r="E855" s="36" t="inlineStr">
        <is>
          <t>Mônica Almeida</t>
        </is>
      </c>
      <c r="F855" s="37" t="inlineStr">
        <is>
          <t>Particular</t>
        </is>
      </c>
      <c r="G855" s="37" t="inlineStr">
        <is>
          <t>Retorno</t>
        </is>
      </c>
      <c r="H855" s="37" t="inlineStr">
        <is>
          <t>Agendado</t>
        </is>
      </c>
      <c r="I855" s="37" t="n"/>
      <c r="J855" s="37" t="n"/>
      <c r="K855" s="36" t="n"/>
      <c r="L855" s="44">
        <f>IF(G855="","",IFERROR(INDEX(Config!$K$5:$K$16,MATCH(G855,Config!$J$5:$J$16,0)),""))</f>
        <v>20</v>
      </c>
      <c r="M855" s="30">
        <f>IF(OR(G855="",F855=""),"",IFERROR(INDEX(Config!$M$5:$R$16,MATCH(G855,Config!$J$5:$J$16,0),MATCH(F855,Config!$H$5:$H$10,0)),""))</f>
        <v>0</v>
      </c>
      <c r="N855" s="29">
        <f>IF(A855="","",MONTH(A855))</f>
        <v>9</v>
      </c>
      <c r="O855" s="29">
        <f>IF(A855="","",YEAR(A855))</f>
        <v>2026</v>
      </c>
      <c r="P855" s="29" t="str">
        <f>IF(A855="","",CHOOSE(WEEKDAY(A855,2),"Segunda","Terça","Quarta","Quinta","Sexta","Sábado","Domingo"))</f>
        <v>Quinta</v>
      </c>
      <c r="Q855" s="29" t="str">
        <f>IF(B855="","",IF(B855&lt;TIME(12,0,0),"Manhã",IF(B855&lt;TIME(18,0,0),"Tarde","Noite")))</f>
        <v>Tarde</v>
      </c>
      <c r="R855" s="45">
        <f>IF(AND(H855="Realizado",L855&lt;&gt;""),L855/60,0)</f>
        <v>0</v>
      </c>
    </row>
    <row r="856">
      <c r="A856" s="42">
        <f>TODAY()+10</f>
        <v>46289.0</v>
      </c>
      <c r="B856" s="43" t="n">
        <v>0.7291666666666666</v>
      </c>
      <c r="C856" s="37" t="inlineStr">
        <is>
          <t>Dr. Paulo Andrade</t>
        </is>
      </c>
      <c r="D856" s="37" t="inlineStr">
        <is>
          <t>Sala 2</t>
        </is>
      </c>
      <c r="E856" s="36" t="inlineStr">
        <is>
          <t>Gustavo Barbosa</t>
        </is>
      </c>
      <c r="F856" s="37" t="inlineStr">
        <is>
          <t>Saúde Total</t>
        </is>
      </c>
      <c r="G856" s="37" t="inlineStr">
        <is>
          <t>ECG</t>
        </is>
      </c>
      <c r="H856" s="37" t="inlineStr">
        <is>
          <t>Agendado</t>
        </is>
      </c>
      <c r="I856" s="37" t="n"/>
      <c r="J856" s="37" t="n"/>
      <c r="K856" s="36" t="n"/>
      <c r="L856" s="44">
        <f>IF(G856="","",IFERROR(INDEX(Config!$K$5:$K$16,MATCH(G856,Config!$J$5:$J$16,0)),""))</f>
        <v>20</v>
      </c>
      <c r="M856" s="30">
        <f>IF(OR(G856="",F856=""),"",IFERROR(INDEX(Config!$M$5:$R$16,MATCH(G856,Config!$J$5:$J$16,0),MATCH(F856,Config!$H$5:$H$10,0)),""))</f>
        <v>40</v>
      </c>
      <c r="N856" s="29">
        <f>IF(A856="","",MONTH(A856))</f>
        <v>9</v>
      </c>
      <c r="O856" s="29">
        <f>IF(A856="","",YEAR(A856))</f>
        <v>2026</v>
      </c>
      <c r="P856" s="29" t="str">
        <f>IF(A856="","",CHOOSE(WEEKDAY(A856,2),"Segunda","Terça","Quarta","Quinta","Sexta","Sábado","Domingo"))</f>
        <v>Quinta</v>
      </c>
      <c r="Q856" s="29" t="str">
        <f>IF(B856="","",IF(B856&lt;TIME(12,0,0),"Manhã",IF(B856&lt;TIME(18,0,0),"Tarde","Noite")))</f>
        <v>Tarde</v>
      </c>
      <c r="R856" s="45">
        <f>IF(AND(H856="Realizado",L856&lt;&gt;""),L856/60,0)</f>
        <v>0</v>
      </c>
    </row>
    <row r="857">
      <c r="A857" s="42">
        <f>TODAY()+11</f>
        <v>46290.0</v>
      </c>
      <c r="B857" s="43" t="n">
        <v>0.3333333333333333</v>
      </c>
      <c r="C857" s="37" t="inlineStr">
        <is>
          <t>Dr. Paulo Andrade</t>
        </is>
      </c>
      <c r="D857" s="37" t="inlineStr">
        <is>
          <t>Sala 2</t>
        </is>
      </c>
      <c r="E857" s="36" t="inlineStr">
        <is>
          <t>Débora Machado</t>
        </is>
      </c>
      <c r="F857" s="37" t="inlineStr">
        <is>
          <t>Saúde Total</t>
        </is>
      </c>
      <c r="G857" s="37" t="inlineStr">
        <is>
          <t>ECG</t>
        </is>
      </c>
      <c r="H857" s="37" t="inlineStr">
        <is>
          <t>Agendado</t>
        </is>
      </c>
      <c r="I857" s="37" t="n"/>
      <c r="J857" s="37" t="n"/>
      <c r="K857" s="36" t="n"/>
      <c r="L857" s="44">
        <f>IF(G857="","",IFERROR(INDEX(Config!$K$5:$K$16,MATCH(G857,Config!$J$5:$J$16,0)),""))</f>
        <v>20</v>
      </c>
      <c r="M857" s="30">
        <f>IF(OR(G857="",F857=""),"",IFERROR(INDEX(Config!$M$5:$R$16,MATCH(G857,Config!$J$5:$J$16,0),MATCH(F857,Config!$H$5:$H$10,0)),""))</f>
        <v>40</v>
      </c>
      <c r="N857" s="29">
        <f>IF(A857="","",MONTH(A857))</f>
        <v>9</v>
      </c>
      <c r="O857" s="29">
        <f>IF(A857="","",YEAR(A857))</f>
        <v>2026</v>
      </c>
      <c r="P857" s="29" t="str">
        <f>IF(A857="","",CHOOSE(WEEKDAY(A857,2),"Segunda","Terça","Quarta","Quinta","Sexta","Sábado","Domingo"))</f>
        <v>Sexta</v>
      </c>
      <c r="Q857" s="29" t="str">
        <f>IF(B857="","",IF(B857&lt;TIME(12,0,0),"Manhã",IF(B857&lt;TIME(18,0,0),"Tarde","Noite")))</f>
        <v>Manhã</v>
      </c>
      <c r="R857" s="45">
        <f>IF(AND(H857="Realizado",L857&lt;&gt;""),L857/60,0)</f>
        <v>0</v>
      </c>
    </row>
    <row r="858">
      <c r="A858" s="42">
        <f>TODAY()+11</f>
        <v>46290.0</v>
      </c>
      <c r="B858" s="43" t="n">
        <v>0.3680555555555556</v>
      </c>
      <c r="C858" s="37" t="inlineStr">
        <is>
          <t>Dr. Paulo Andrade</t>
        </is>
      </c>
      <c r="D858" s="37" t="inlineStr">
        <is>
          <t>Sala 2</t>
        </is>
      </c>
      <c r="E858" s="36" t="inlineStr">
        <is>
          <t>Rafael Correia</t>
        </is>
      </c>
      <c r="F858" s="37" t="inlineStr">
        <is>
          <t>Particular</t>
        </is>
      </c>
      <c r="G858" s="37" t="inlineStr">
        <is>
          <t>Consulta</t>
        </is>
      </c>
      <c r="H858" s="37" t="inlineStr">
        <is>
          <t>Agendado</t>
        </is>
      </c>
      <c r="I858" s="37" t="n"/>
      <c r="J858" s="37" t="n"/>
      <c r="K858" s="36" t="n"/>
      <c r="L858" s="44">
        <f>IF(G858="","",IFERROR(INDEX(Config!$K$5:$K$16,MATCH(G858,Config!$J$5:$J$16,0)),""))</f>
        <v>30</v>
      </c>
      <c r="M858" s="30">
        <f>IF(OR(G858="",F858=""),"",IFERROR(INDEX(Config!$M$5:$R$16,MATCH(G858,Config!$J$5:$J$16,0),MATCH(F858,Config!$H$5:$H$10,0)),""))</f>
        <v>380</v>
      </c>
      <c r="N858" s="29">
        <f>IF(A858="","",MONTH(A858))</f>
        <v>9</v>
      </c>
      <c r="O858" s="29">
        <f>IF(A858="","",YEAR(A858))</f>
        <v>2026</v>
      </c>
      <c r="P858" s="29" t="str">
        <f>IF(A858="","",CHOOSE(WEEKDAY(A858,2),"Segunda","Terça","Quarta","Quinta","Sexta","Sábado","Domingo"))</f>
        <v>Sexta</v>
      </c>
      <c r="Q858" s="29" t="str">
        <f>IF(B858="","",IF(B858&lt;TIME(12,0,0),"Manhã",IF(B858&lt;TIME(18,0,0),"Tarde","Noite")))</f>
        <v>Manhã</v>
      </c>
      <c r="R858" s="45">
        <f>IF(AND(H858="Realizado",L858&lt;&gt;""),L858/60,0)</f>
        <v>0</v>
      </c>
    </row>
    <row r="859">
      <c r="A859" s="42">
        <f>TODAY()+11</f>
        <v>46290.0</v>
      </c>
      <c r="B859" s="43" t="n">
        <v>0.3888888888888889</v>
      </c>
      <c r="C859" s="37" t="inlineStr">
        <is>
          <t>Dr. Paulo Andrade</t>
        </is>
      </c>
      <c r="D859" s="37" t="inlineStr">
        <is>
          <t>Sala 2</t>
        </is>
      </c>
      <c r="E859" s="36" t="inlineStr">
        <is>
          <t>Paulo Nascimento</t>
        </is>
      </c>
      <c r="F859" s="37" t="inlineStr">
        <is>
          <t>MediPlan</t>
        </is>
      </c>
      <c r="G859" s="37" t="inlineStr">
        <is>
          <t>Retorno</t>
        </is>
      </c>
      <c r="H859" s="37" t="inlineStr">
        <is>
          <t>Agendado</t>
        </is>
      </c>
      <c r="I859" s="37" t="n"/>
      <c r="J859" s="37" t="n"/>
      <c r="K859" s="36" t="n"/>
      <c r="L859" s="44">
        <f>IF(G859="","",IFERROR(INDEX(Config!$K$5:$K$16,MATCH(G859,Config!$J$5:$J$16,0)),""))</f>
        <v>20</v>
      </c>
      <c r="M859" s="30">
        <f>IF(OR(G859="",F859=""),"",IFERROR(INDEX(Config!$M$5:$R$16,MATCH(G859,Config!$J$5:$J$16,0),MATCH(F859,Config!$H$5:$H$10,0)),""))</f>
        <v>0</v>
      </c>
      <c r="N859" s="29">
        <f>IF(A859="","",MONTH(A859))</f>
        <v>9</v>
      </c>
      <c r="O859" s="29">
        <f>IF(A859="","",YEAR(A859))</f>
        <v>2026</v>
      </c>
      <c r="P859" s="29" t="str">
        <f>IF(A859="","",CHOOSE(WEEKDAY(A859,2),"Segunda","Terça","Quarta","Quinta","Sexta","Sábado","Domingo"))</f>
        <v>Sexta</v>
      </c>
      <c r="Q859" s="29" t="str">
        <f>IF(B859="","",IF(B859&lt;TIME(12,0,0),"Manhã",IF(B859&lt;TIME(18,0,0),"Tarde","Noite")))</f>
        <v>Manhã</v>
      </c>
      <c r="R859" s="45">
        <f>IF(AND(H859="Realizado",L859&lt;&gt;""),L859/60,0)</f>
        <v>0</v>
      </c>
    </row>
    <row r="860">
      <c r="A860" s="42">
        <f>TODAY()+11</f>
        <v>46290.0</v>
      </c>
      <c r="B860" s="43" t="n">
        <v>0.4027777777777778</v>
      </c>
      <c r="C860" s="37" t="inlineStr">
        <is>
          <t>Dr. Paulo Andrade</t>
        </is>
      </c>
      <c r="D860" s="37" t="inlineStr">
        <is>
          <t>Sala 2</t>
        </is>
      </c>
      <c r="E860" s="36" t="inlineStr">
        <is>
          <t>Sandra Cardoso</t>
        </is>
      </c>
      <c r="F860" s="37" t="inlineStr">
        <is>
          <t>Saúde Total</t>
        </is>
      </c>
      <c r="G860" s="37" t="inlineStr">
        <is>
          <t>Consulta</t>
        </is>
      </c>
      <c r="H860" s="37" t="inlineStr">
        <is>
          <t>Agendado</t>
        </is>
      </c>
      <c r="I860" s="37" t="n"/>
      <c r="J860" s="37" t="n"/>
      <c r="K860" s="36" t="n"/>
      <c r="L860" s="44">
        <f>IF(G860="","",IFERROR(INDEX(Config!$K$5:$K$16,MATCH(G860,Config!$J$5:$J$16,0)),""))</f>
        <v>30</v>
      </c>
      <c r="M860" s="30">
        <f>IF(OR(G860="",F860=""),"",IFERROR(INDEX(Config!$M$5:$R$16,MATCH(G860,Config!$J$5:$J$16,0),MATCH(F860,Config!$H$5:$H$10,0)),""))</f>
        <v>120</v>
      </c>
      <c r="N860" s="29">
        <f>IF(A860="","",MONTH(A860))</f>
        <v>9</v>
      </c>
      <c r="O860" s="29">
        <f>IF(A860="","",YEAR(A860))</f>
        <v>2026</v>
      </c>
      <c r="P860" s="29" t="str">
        <f>IF(A860="","",CHOOSE(WEEKDAY(A860,2),"Segunda","Terça","Quarta","Quinta","Sexta","Sábado","Domingo"))</f>
        <v>Sexta</v>
      </c>
      <c r="Q860" s="29" t="str">
        <f>IF(B860="","",IF(B860&lt;TIME(12,0,0),"Manhã",IF(B860&lt;TIME(18,0,0),"Tarde","Noite")))</f>
        <v>Manhã</v>
      </c>
      <c r="R860" s="45">
        <f>IF(AND(H860="Realizado",L860&lt;&gt;""),L860/60,0)</f>
        <v>0</v>
      </c>
    </row>
    <row r="861">
      <c r="A861" s="42">
        <f>TODAY()+11</f>
        <v>46290.0</v>
      </c>
      <c r="B861" s="43" t="n">
        <v>0.4236111111111111</v>
      </c>
      <c r="C861" s="37" t="inlineStr">
        <is>
          <t>Dr. Paulo Andrade</t>
        </is>
      </c>
      <c r="D861" s="37" t="inlineStr">
        <is>
          <t>Sala 2</t>
        </is>
      </c>
      <c r="E861" s="36" t="inlineStr">
        <is>
          <t>Paulo Reis</t>
        </is>
      </c>
      <c r="F861" s="37" t="inlineStr">
        <is>
          <t>Particular</t>
        </is>
      </c>
      <c r="G861" s="37" t="inlineStr">
        <is>
          <t>Consulta</t>
        </is>
      </c>
      <c r="H861" s="37" t="inlineStr">
        <is>
          <t>Agendado</t>
        </is>
      </c>
      <c r="I861" s="37" t="n"/>
      <c r="J861" s="37" t="n"/>
      <c r="K861" s="36" t="n"/>
      <c r="L861" s="44">
        <f>IF(G861="","",IFERROR(INDEX(Config!$K$5:$K$16,MATCH(G861,Config!$J$5:$J$16,0)),""))</f>
        <v>30</v>
      </c>
      <c r="M861" s="30">
        <f>IF(OR(G861="",F861=""),"",IFERROR(INDEX(Config!$M$5:$R$16,MATCH(G861,Config!$J$5:$J$16,0),MATCH(F861,Config!$H$5:$H$10,0)),""))</f>
        <v>380</v>
      </c>
      <c r="N861" s="29">
        <f>IF(A861="","",MONTH(A861))</f>
        <v>9</v>
      </c>
      <c r="O861" s="29">
        <f>IF(A861="","",YEAR(A861))</f>
        <v>2026</v>
      </c>
      <c r="P861" s="29" t="str">
        <f>IF(A861="","",CHOOSE(WEEKDAY(A861,2),"Segunda","Terça","Quarta","Quinta","Sexta","Sábado","Domingo"))</f>
        <v>Sexta</v>
      </c>
      <c r="Q861" s="29" t="str">
        <f>IF(B861="","",IF(B861&lt;TIME(12,0,0),"Manhã",IF(B861&lt;TIME(18,0,0),"Tarde","Noite")))</f>
        <v>Manhã</v>
      </c>
      <c r="R861" s="45">
        <f>IF(AND(H861="Realizado",L861&lt;&gt;""),L861/60,0)</f>
        <v>0</v>
      </c>
    </row>
    <row r="862">
      <c r="A862" s="42">
        <f>TODAY()+11</f>
        <v>46290.0</v>
      </c>
      <c r="B862" s="43" t="n">
        <v>0.4444444444444444</v>
      </c>
      <c r="C862" s="37" t="inlineStr">
        <is>
          <t>Dr. Paulo Andrade</t>
        </is>
      </c>
      <c r="D862" s="37" t="inlineStr">
        <is>
          <t>Sala 2</t>
        </is>
      </c>
      <c r="E862" s="36" t="inlineStr">
        <is>
          <t>Natália Martins</t>
        </is>
      </c>
      <c r="F862" s="37" t="inlineStr">
        <is>
          <t>Particular</t>
        </is>
      </c>
      <c r="G862" s="37" t="inlineStr">
        <is>
          <t>ECG</t>
        </is>
      </c>
      <c r="H862" s="37" t="inlineStr">
        <is>
          <t>Agendado</t>
        </is>
      </c>
      <c r="I862" s="37" t="n"/>
      <c r="J862" s="37" t="n"/>
      <c r="K862" s="36" t="n"/>
      <c r="L862" s="44">
        <f>IF(G862="","",IFERROR(INDEX(Config!$K$5:$K$16,MATCH(G862,Config!$J$5:$J$16,0)),""))</f>
        <v>20</v>
      </c>
      <c r="M862" s="30">
        <f>IF(OR(G862="",F862=""),"",IFERROR(INDEX(Config!$M$5:$R$16,MATCH(G862,Config!$J$5:$J$16,0),MATCH(F862,Config!$H$5:$H$10,0)),""))</f>
        <v>130</v>
      </c>
      <c r="N862" s="29">
        <f>IF(A862="","",MONTH(A862))</f>
        <v>9</v>
      </c>
      <c r="O862" s="29">
        <f>IF(A862="","",YEAR(A862))</f>
        <v>2026</v>
      </c>
      <c r="P862" s="29" t="str">
        <f>IF(A862="","",CHOOSE(WEEKDAY(A862,2),"Segunda","Terça","Quarta","Quinta","Sexta","Sábado","Domingo"))</f>
        <v>Sexta</v>
      </c>
      <c r="Q862" s="29" t="str">
        <f>IF(B862="","",IF(B862&lt;TIME(12,0,0),"Manhã",IF(B862&lt;TIME(18,0,0),"Tarde","Noite")))</f>
        <v>Manhã</v>
      </c>
      <c r="R862" s="45">
        <f>IF(AND(H862="Realizado",L862&lt;&gt;""),L862/60,0)</f>
        <v>0</v>
      </c>
    </row>
    <row r="863">
      <c r="A863" s="42">
        <f>TODAY()+11</f>
        <v>46290.0</v>
      </c>
      <c r="B863" s="43" t="n">
        <v>0.4583333333333333</v>
      </c>
      <c r="C863" s="37" t="inlineStr">
        <is>
          <t>Dr. Paulo Andrade</t>
        </is>
      </c>
      <c r="D863" s="37" t="inlineStr">
        <is>
          <t>Sala 2</t>
        </is>
      </c>
      <c r="E863" s="36" t="inlineStr">
        <is>
          <t>Fernanda Nunes</t>
        </is>
      </c>
      <c r="F863" s="37" t="inlineStr">
        <is>
          <t>MediPlan</t>
        </is>
      </c>
      <c r="G863" s="37" t="inlineStr">
        <is>
          <t>Retorno</t>
        </is>
      </c>
      <c r="H863" s="37" t="inlineStr">
        <is>
          <t>Agendado</t>
        </is>
      </c>
      <c r="I863" s="37" t="n"/>
      <c r="J863" s="37" t="n"/>
      <c r="K863" s="36" t="n"/>
      <c r="L863" s="44">
        <f>IF(G863="","",IFERROR(INDEX(Config!$K$5:$K$16,MATCH(G863,Config!$J$5:$J$16,0)),""))</f>
        <v>20</v>
      </c>
      <c r="M863" s="30">
        <f>IF(OR(G863="",F863=""),"",IFERROR(INDEX(Config!$M$5:$R$16,MATCH(G863,Config!$J$5:$J$16,0),MATCH(F863,Config!$H$5:$H$10,0)),""))</f>
        <v>0</v>
      </c>
      <c r="N863" s="29">
        <f>IF(A863="","",MONTH(A863))</f>
        <v>9</v>
      </c>
      <c r="O863" s="29">
        <f>IF(A863="","",YEAR(A863))</f>
        <v>2026</v>
      </c>
      <c r="P863" s="29" t="str">
        <f>IF(A863="","",CHOOSE(WEEKDAY(A863,2),"Segunda","Terça","Quarta","Quinta","Sexta","Sábado","Domingo"))</f>
        <v>Sexta</v>
      </c>
      <c r="Q863" s="29" t="str">
        <f>IF(B863="","",IF(B863&lt;TIME(12,0,0),"Manhã",IF(B863&lt;TIME(18,0,0),"Tarde","Noite")))</f>
        <v>Manhã</v>
      </c>
      <c r="R863" s="45">
        <f>IF(AND(H863="Realizado",L863&lt;&gt;""),L863/60,0)</f>
        <v>0</v>
      </c>
    </row>
    <row r="864">
      <c r="A864" s="42">
        <f>TODAY()+11</f>
        <v>46290.0</v>
      </c>
      <c r="B864" s="43" t="n">
        <v>0.4722222222222222</v>
      </c>
      <c r="C864" s="37" t="inlineStr">
        <is>
          <t>Dr. Paulo Andrade</t>
        </is>
      </c>
      <c r="D864" s="37" t="inlineStr">
        <is>
          <t>Sala 2</t>
        </is>
      </c>
      <c r="E864" s="36" t="inlineStr">
        <is>
          <t>Rafael Batista</t>
        </is>
      </c>
      <c r="F864" s="37" t="inlineStr">
        <is>
          <t>Saúde Total</t>
        </is>
      </c>
      <c r="G864" s="37" t="inlineStr">
        <is>
          <t>Teste ergométrico</t>
        </is>
      </c>
      <c r="H864" s="37" t="inlineStr">
        <is>
          <t>Agendado</t>
        </is>
      </c>
      <c r="I864" s="37" t="n"/>
      <c r="J864" s="37" t="n"/>
      <c r="K864" s="36" t="n"/>
      <c r="L864" s="44">
        <f>IF(G864="","",IFERROR(INDEX(Config!$K$5:$K$16,MATCH(G864,Config!$J$5:$J$16,0)),""))</f>
        <v>40</v>
      </c>
      <c r="M864" s="30">
        <f>IF(OR(G864="",F864=""),"",IFERROR(INDEX(Config!$M$5:$R$16,MATCH(G864,Config!$J$5:$J$16,0),MATCH(F864,Config!$H$5:$H$10,0)),""))</f>
        <v>140</v>
      </c>
      <c r="N864" s="29">
        <f>IF(A864="","",MONTH(A864))</f>
        <v>9</v>
      </c>
      <c r="O864" s="29">
        <f>IF(A864="","",YEAR(A864))</f>
        <v>2026</v>
      </c>
      <c r="P864" s="29" t="str">
        <f>IF(A864="","",CHOOSE(WEEKDAY(A864,2),"Segunda","Terça","Quarta","Quinta","Sexta","Sábado","Domingo"))</f>
        <v>Sexta</v>
      </c>
      <c r="Q864" s="29" t="str">
        <f>IF(B864="","",IF(B864&lt;TIME(12,0,0),"Manhã",IF(B864&lt;TIME(18,0,0),"Tarde","Noite")))</f>
        <v>Manhã</v>
      </c>
      <c r="R864" s="45">
        <f>IF(AND(H864="Realizado",L864&lt;&gt;""),L864/60,0)</f>
        <v>0</v>
      </c>
    </row>
    <row r="865">
      <c r="A865" s="42">
        <f>TODAY()+14</f>
        <v>46293.0</v>
      </c>
      <c r="B865" s="43" t="n">
        <v>0.3333333333333333</v>
      </c>
      <c r="C865" s="37" t="inlineStr">
        <is>
          <t>Dra. Carolina Mendes</t>
        </is>
      </c>
      <c r="D865" s="37" t="inlineStr">
        <is>
          <t>Sala 1</t>
        </is>
      </c>
      <c r="E865" s="36" t="inlineStr">
        <is>
          <t>Cláudia Costa</t>
        </is>
      </c>
      <c r="F865" s="37" t="inlineStr">
        <is>
          <t>Particular</t>
        </is>
      </c>
      <c r="G865" s="37" t="inlineStr">
        <is>
          <t>Consulta</t>
        </is>
      </c>
      <c r="H865" s="37" t="inlineStr">
        <is>
          <t>Agendado</t>
        </is>
      </c>
      <c r="I865" s="37" t="n"/>
      <c r="J865" s="37" t="n"/>
      <c r="K865" s="36" t="n"/>
      <c r="L865" s="44">
        <f>IF(G865="","",IFERROR(INDEX(Config!$K$5:$K$16,MATCH(G865,Config!$J$5:$J$16,0)),""))</f>
        <v>30</v>
      </c>
      <c r="M865" s="30">
        <f>IF(OR(G865="",F865=""),"",IFERROR(INDEX(Config!$M$5:$R$16,MATCH(G865,Config!$J$5:$J$16,0),MATCH(F865,Config!$H$5:$H$10,0)),""))</f>
        <v>380</v>
      </c>
      <c r="N865" s="29">
        <f>IF(A865="","",MONTH(A865))</f>
        <v>9</v>
      </c>
      <c r="O865" s="29">
        <f>IF(A865="","",YEAR(A865))</f>
        <v>2026</v>
      </c>
      <c r="P865" s="29" t="str">
        <f>IF(A865="","",CHOOSE(WEEKDAY(A865,2),"Segunda","Terça","Quarta","Quinta","Sexta","Sábado","Domingo"))</f>
        <v>Segunda</v>
      </c>
      <c r="Q865" s="29" t="str">
        <f>IF(B865="","",IF(B865&lt;TIME(12,0,0),"Manhã",IF(B865&lt;TIME(18,0,0),"Tarde","Noite")))</f>
        <v>Manhã</v>
      </c>
      <c r="R865" s="45">
        <f>IF(AND(H865="Realizado",L865&lt;&gt;""),L865/60,0)</f>
        <v>0</v>
      </c>
    </row>
    <row r="866">
      <c r="A866" s="42">
        <f>TODAY()+14</f>
        <v>46293.0</v>
      </c>
      <c r="B866" s="43" t="n">
        <v>0.3541666666666667</v>
      </c>
      <c r="C866" s="37" t="inlineStr">
        <is>
          <t>Dra. Carolina Mendes</t>
        </is>
      </c>
      <c r="D866" s="37" t="inlineStr">
        <is>
          <t>Sala 1</t>
        </is>
      </c>
      <c r="E866" s="36" t="inlineStr">
        <is>
          <t>Roberta Araújo</t>
        </is>
      </c>
      <c r="F866" s="37" t="inlineStr">
        <is>
          <t>Particular</t>
        </is>
      </c>
      <c r="G866" s="37" t="inlineStr">
        <is>
          <t>Consulta</t>
        </is>
      </c>
      <c r="H866" s="37" t="inlineStr">
        <is>
          <t>Agendado</t>
        </is>
      </c>
      <c r="I866" s="37" t="n"/>
      <c r="J866" s="37" t="n"/>
      <c r="K866" s="36" t="n"/>
      <c r="L866" s="44">
        <f>IF(G866="","",IFERROR(INDEX(Config!$K$5:$K$16,MATCH(G866,Config!$J$5:$J$16,0)),""))</f>
        <v>30</v>
      </c>
      <c r="M866" s="30">
        <f>IF(OR(G866="",F866=""),"",IFERROR(INDEX(Config!$M$5:$R$16,MATCH(G866,Config!$J$5:$J$16,0),MATCH(F866,Config!$H$5:$H$10,0)),""))</f>
        <v>380</v>
      </c>
      <c r="N866" s="29">
        <f>IF(A866="","",MONTH(A866))</f>
        <v>9</v>
      </c>
      <c r="O866" s="29">
        <f>IF(A866="","",YEAR(A866))</f>
        <v>2026</v>
      </c>
      <c r="P866" s="29" t="str">
        <f>IF(A866="","",CHOOSE(WEEKDAY(A866,2),"Segunda","Terça","Quarta","Quinta","Sexta","Sábado","Domingo"))</f>
        <v>Segunda</v>
      </c>
      <c r="Q866" s="29" t="str">
        <f>IF(B866="","",IF(B866&lt;TIME(12,0,0),"Manhã",IF(B866&lt;TIME(18,0,0),"Tarde","Noite")))</f>
        <v>Manhã</v>
      </c>
      <c r="R866" s="45">
        <f>IF(AND(H866="Realizado",L866&lt;&gt;""),L866/60,0)</f>
        <v>0</v>
      </c>
    </row>
    <row r="867">
      <c r="A867" s="42">
        <f>TODAY()+14</f>
        <v>46293.0</v>
      </c>
      <c r="B867" s="43" t="n">
        <v>0.375</v>
      </c>
      <c r="C867" s="37" t="inlineStr">
        <is>
          <t>Dra. Carolina Mendes</t>
        </is>
      </c>
      <c r="D867" s="37" t="inlineStr">
        <is>
          <t>Sala 1</t>
        </is>
      </c>
      <c r="E867" s="36" t="inlineStr">
        <is>
          <t>Regina Macedo</t>
        </is>
      </c>
      <c r="F867" s="37" t="inlineStr">
        <is>
          <t>Particular</t>
        </is>
      </c>
      <c r="G867" s="37" t="inlineStr">
        <is>
          <t>Consulta</t>
        </is>
      </c>
      <c r="H867" s="37" t="inlineStr">
        <is>
          <t>Agendado</t>
        </is>
      </c>
      <c r="I867" s="37" t="n"/>
      <c r="J867" s="37" t="n"/>
      <c r="K867" s="36" t="n"/>
      <c r="L867" s="44">
        <f>IF(G867="","",IFERROR(INDEX(Config!$K$5:$K$16,MATCH(G867,Config!$J$5:$J$16,0)),""))</f>
        <v>30</v>
      </c>
      <c r="M867" s="30">
        <f>IF(OR(G867="",F867=""),"",IFERROR(INDEX(Config!$M$5:$R$16,MATCH(G867,Config!$J$5:$J$16,0),MATCH(F867,Config!$H$5:$H$10,0)),""))</f>
        <v>380</v>
      </c>
      <c r="N867" s="29">
        <f>IF(A867="","",MONTH(A867))</f>
        <v>9</v>
      </c>
      <c r="O867" s="29">
        <f>IF(A867="","",YEAR(A867))</f>
        <v>2026</v>
      </c>
      <c r="P867" s="29" t="str">
        <f>IF(A867="","",CHOOSE(WEEKDAY(A867,2),"Segunda","Terça","Quarta","Quinta","Sexta","Sábado","Domingo"))</f>
        <v>Segunda</v>
      </c>
      <c r="Q867" s="29" t="str">
        <f>IF(B867="","",IF(B867&lt;TIME(12,0,0),"Manhã",IF(B867&lt;TIME(18,0,0),"Tarde","Noite")))</f>
        <v>Manhã</v>
      </c>
      <c r="R867" s="45">
        <f>IF(AND(H867="Realizado",L867&lt;&gt;""),L867/60,0)</f>
        <v>0</v>
      </c>
    </row>
    <row r="868">
      <c r="A868" s="42">
        <f>TODAY()+14</f>
        <v>46293.0</v>
      </c>
      <c r="B868" s="43" t="n">
        <v>0.3958333333333333</v>
      </c>
      <c r="C868" s="37" t="inlineStr">
        <is>
          <t>Dra. Carolina Mendes</t>
        </is>
      </c>
      <c r="D868" s="37" t="inlineStr">
        <is>
          <t>Sala 1</t>
        </is>
      </c>
      <c r="E868" s="36" t="inlineStr">
        <is>
          <t>Rodrigo Gomes</t>
        </is>
      </c>
      <c r="F868" s="37" t="inlineStr">
        <is>
          <t>Vida Care</t>
        </is>
      </c>
      <c r="G868" s="37" t="inlineStr">
        <is>
          <t>Consulta</t>
        </is>
      </c>
      <c r="H868" s="37" t="inlineStr">
        <is>
          <t>Agendado</t>
        </is>
      </c>
      <c r="I868" s="37" t="n"/>
      <c r="J868" s="37" t="n"/>
      <c r="K868" s="36" t="n"/>
      <c r="L868" s="44">
        <f>IF(G868="","",IFERROR(INDEX(Config!$K$5:$K$16,MATCH(G868,Config!$J$5:$J$16,0)),""))</f>
        <v>30</v>
      </c>
      <c r="M868" s="30">
        <f>IF(OR(G868="",F868=""),"",IFERROR(INDEX(Config!$M$5:$R$16,MATCH(G868,Config!$J$5:$J$16,0),MATCH(F868,Config!$H$5:$H$10,0)),""))</f>
        <v>90</v>
      </c>
      <c r="N868" s="29">
        <f>IF(A868="","",MONTH(A868))</f>
        <v>9</v>
      </c>
      <c r="O868" s="29">
        <f>IF(A868="","",YEAR(A868))</f>
        <v>2026</v>
      </c>
      <c r="P868" s="29" t="str">
        <f>IF(A868="","",CHOOSE(WEEKDAY(A868,2),"Segunda","Terça","Quarta","Quinta","Sexta","Sábado","Domingo"))</f>
        <v>Segunda</v>
      </c>
      <c r="Q868" s="29" t="str">
        <f>IF(B868="","",IF(B868&lt;TIME(12,0,0),"Manhã",IF(B868&lt;TIME(18,0,0),"Tarde","Noite")))</f>
        <v>Manhã</v>
      </c>
      <c r="R868" s="45">
        <f>IF(AND(H868="Realizado",L868&lt;&gt;""),L868/60,0)</f>
        <v>0</v>
      </c>
    </row>
    <row r="869">
      <c r="A869" s="42">
        <f>TODAY()+14</f>
        <v>46293.0</v>
      </c>
      <c r="B869" s="43" t="n">
        <v>0.4166666666666667</v>
      </c>
      <c r="C869" s="37" t="inlineStr">
        <is>
          <t>Dra. Carolina Mendes</t>
        </is>
      </c>
      <c r="D869" s="37" t="inlineStr">
        <is>
          <t>Sala 1</t>
        </is>
      </c>
      <c r="E869" s="36" t="inlineStr">
        <is>
          <t>Gisele Xavier</t>
        </is>
      </c>
      <c r="F869" s="37" t="inlineStr">
        <is>
          <t>Particular</t>
        </is>
      </c>
      <c r="G869" s="37" t="inlineStr">
        <is>
          <t>Consulta</t>
        </is>
      </c>
      <c r="H869" s="37" t="inlineStr">
        <is>
          <t>Agendado</t>
        </is>
      </c>
      <c r="I869" s="37" t="n"/>
      <c r="J869" s="37" t="n"/>
      <c r="K869" s="36" t="n"/>
      <c r="L869" s="44">
        <f>IF(G869="","",IFERROR(INDEX(Config!$K$5:$K$16,MATCH(G869,Config!$J$5:$J$16,0)),""))</f>
        <v>30</v>
      </c>
      <c r="M869" s="30">
        <f>IF(OR(G869="",F869=""),"",IFERROR(INDEX(Config!$M$5:$R$16,MATCH(G869,Config!$J$5:$J$16,0),MATCH(F869,Config!$H$5:$H$10,0)),""))</f>
        <v>380</v>
      </c>
      <c r="N869" s="29">
        <f>IF(A869="","",MONTH(A869))</f>
        <v>9</v>
      </c>
      <c r="O869" s="29">
        <f>IF(A869="","",YEAR(A869))</f>
        <v>2026</v>
      </c>
      <c r="P869" s="29" t="str">
        <f>IF(A869="","",CHOOSE(WEEKDAY(A869,2),"Segunda","Terça","Quarta","Quinta","Sexta","Sábado","Domingo"))</f>
        <v>Segunda</v>
      </c>
      <c r="Q869" s="29" t="str">
        <f>IF(B869="","",IF(B869&lt;TIME(12,0,0),"Manhã",IF(B869&lt;TIME(18,0,0),"Tarde","Noite")))</f>
        <v>Manhã</v>
      </c>
      <c r="R869" s="45">
        <f>IF(AND(H869="Realizado",L869&lt;&gt;""),L869/60,0)</f>
        <v>0</v>
      </c>
    </row>
    <row r="870">
      <c r="A870" s="42">
        <f>TODAY()+14</f>
        <v>46293.0</v>
      </c>
      <c r="B870" s="43" t="n">
        <v>0.4791666666666667</v>
      </c>
      <c r="C870" s="37" t="inlineStr">
        <is>
          <t>Dra. Carolina Mendes</t>
        </is>
      </c>
      <c r="D870" s="37" t="inlineStr">
        <is>
          <t>Sala 1</t>
        </is>
      </c>
      <c r="E870" s="36" t="inlineStr">
        <is>
          <t>Juliana Silva</t>
        </is>
      </c>
      <c r="F870" s="37" t="inlineStr">
        <is>
          <t>Vida Care</t>
        </is>
      </c>
      <c r="G870" s="37" t="inlineStr">
        <is>
          <t>Consulta</t>
        </is>
      </c>
      <c r="H870" s="37" t="inlineStr">
        <is>
          <t>Agendado</t>
        </is>
      </c>
      <c r="I870" s="37" t="n"/>
      <c r="J870" s="37" t="n"/>
      <c r="K870" s="36" t="n"/>
      <c r="L870" s="44">
        <f>IF(G870="","",IFERROR(INDEX(Config!$K$5:$K$16,MATCH(G870,Config!$J$5:$J$16,0)),""))</f>
        <v>30</v>
      </c>
      <c r="M870" s="30">
        <f>IF(OR(G870="",F870=""),"",IFERROR(INDEX(Config!$M$5:$R$16,MATCH(G870,Config!$J$5:$J$16,0),MATCH(F870,Config!$H$5:$H$10,0)),""))</f>
        <v>90</v>
      </c>
      <c r="N870" s="29">
        <f>IF(A870="","",MONTH(A870))</f>
        <v>9</v>
      </c>
      <c r="O870" s="29">
        <f>IF(A870="","",YEAR(A870))</f>
        <v>2026</v>
      </c>
      <c r="P870" s="29" t="str">
        <f>IF(A870="","",CHOOSE(WEEKDAY(A870,2),"Segunda","Terça","Quarta","Quinta","Sexta","Sábado","Domingo"))</f>
        <v>Segunda</v>
      </c>
      <c r="Q870" s="29" t="str">
        <f>IF(B870="","",IF(B870&lt;TIME(12,0,0),"Manhã",IF(B870&lt;TIME(18,0,0),"Tarde","Noite")))</f>
        <v>Manhã</v>
      </c>
      <c r="R870" s="45">
        <f>IF(AND(H870="Realizado",L870&lt;&gt;""),L870/60,0)</f>
        <v>0</v>
      </c>
    </row>
    <row r="871">
      <c r="A871" s="42">
        <f>TODAY()+14</f>
        <v>46293.0</v>
      </c>
      <c r="B871" s="43" t="n">
        <v>0.5833333333333334</v>
      </c>
      <c r="C871" s="37" t="inlineStr">
        <is>
          <t>Dr. Paulo Andrade</t>
        </is>
      </c>
      <c r="D871" s="37" t="inlineStr">
        <is>
          <t>Sala 2</t>
        </is>
      </c>
      <c r="E871" s="36" t="inlineStr">
        <is>
          <t>Fábio Martins</t>
        </is>
      </c>
      <c r="F871" s="37" t="inlineStr">
        <is>
          <t>MediPlan</t>
        </is>
      </c>
      <c r="G871" s="37" t="inlineStr">
        <is>
          <t>Consulta</t>
        </is>
      </c>
      <c r="H871" s="37" t="inlineStr">
        <is>
          <t>Agendado</t>
        </is>
      </c>
      <c r="I871" s="37" t="n"/>
      <c r="J871" s="37" t="n"/>
      <c r="K871" s="36" t="n"/>
      <c r="L871" s="44">
        <f>IF(G871="","",IFERROR(INDEX(Config!$K$5:$K$16,MATCH(G871,Config!$J$5:$J$16,0)),""))</f>
        <v>30</v>
      </c>
      <c r="M871" s="30">
        <f>IF(OR(G871="",F871=""),"",IFERROR(INDEX(Config!$M$5:$R$16,MATCH(G871,Config!$J$5:$J$16,0),MATCH(F871,Config!$H$5:$H$10,0)),""))</f>
        <v>100</v>
      </c>
      <c r="N871" s="29">
        <f>IF(A871="","",MONTH(A871))</f>
        <v>9</v>
      </c>
      <c r="O871" s="29">
        <f>IF(A871="","",YEAR(A871))</f>
        <v>2026</v>
      </c>
      <c r="P871" s="29" t="str">
        <f>IF(A871="","",CHOOSE(WEEKDAY(A871,2),"Segunda","Terça","Quarta","Quinta","Sexta","Sábado","Domingo"))</f>
        <v>Segunda</v>
      </c>
      <c r="Q871" s="29" t="str">
        <f>IF(B871="","",IF(B871&lt;TIME(12,0,0),"Manhã",IF(B871&lt;TIME(18,0,0),"Tarde","Noite")))</f>
        <v>Tarde</v>
      </c>
      <c r="R871" s="45">
        <f>IF(AND(H871="Realizado",L871&lt;&gt;""),L871/60,0)</f>
        <v>0</v>
      </c>
    </row>
    <row r="872">
      <c r="A872" s="42">
        <f>TODAY()+14</f>
        <v>46293.0</v>
      </c>
      <c r="B872" s="43" t="n">
        <v>0.6041666666666666</v>
      </c>
      <c r="C872" s="37" t="inlineStr">
        <is>
          <t>Dr. Paulo Andrade</t>
        </is>
      </c>
      <c r="D872" s="37" t="inlineStr">
        <is>
          <t>Sala 2</t>
        </is>
      </c>
      <c r="E872" s="36" t="inlineStr">
        <is>
          <t>Wagner Carvalho</t>
        </is>
      </c>
      <c r="F872" s="37" t="inlineStr">
        <is>
          <t>Vida Care</t>
        </is>
      </c>
      <c r="G872" s="37" t="inlineStr">
        <is>
          <t>Consulta</t>
        </is>
      </c>
      <c r="H872" s="37" t="inlineStr">
        <is>
          <t>Agendado</t>
        </is>
      </c>
      <c r="I872" s="37" t="n"/>
      <c r="J872" s="37" t="n"/>
      <c r="K872" s="36" t="n"/>
      <c r="L872" s="44">
        <f>IF(G872="","",IFERROR(INDEX(Config!$K$5:$K$16,MATCH(G872,Config!$J$5:$J$16,0)),""))</f>
        <v>30</v>
      </c>
      <c r="M872" s="30">
        <f>IF(OR(G872="",F872=""),"",IFERROR(INDEX(Config!$M$5:$R$16,MATCH(G872,Config!$J$5:$J$16,0),MATCH(F872,Config!$H$5:$H$10,0)),""))</f>
        <v>90</v>
      </c>
      <c r="N872" s="29">
        <f>IF(A872="","",MONTH(A872))</f>
        <v>9</v>
      </c>
      <c r="O872" s="29">
        <f>IF(A872="","",YEAR(A872))</f>
        <v>2026</v>
      </c>
      <c r="P872" s="29" t="str">
        <f>IF(A872="","",CHOOSE(WEEKDAY(A872,2),"Segunda","Terça","Quarta","Quinta","Sexta","Sábado","Domingo"))</f>
        <v>Segunda</v>
      </c>
      <c r="Q872" s="29" t="str">
        <f>IF(B872="","",IF(B872&lt;TIME(12,0,0),"Manhã",IF(B872&lt;TIME(18,0,0),"Tarde","Noite")))</f>
        <v>Tarde</v>
      </c>
      <c r="R872" s="45">
        <f>IF(AND(H872="Realizado",L872&lt;&gt;""),L872/60,0)</f>
        <v>0</v>
      </c>
    </row>
    <row r="873">
      <c r="A873" s="42">
        <f>TODAY()+14</f>
        <v>46293.0</v>
      </c>
      <c r="B873" s="43" t="n">
        <v>0.625</v>
      </c>
      <c r="C873" s="37" t="inlineStr">
        <is>
          <t>Dr. Paulo Andrade</t>
        </is>
      </c>
      <c r="D873" s="37" t="inlineStr">
        <is>
          <t>Sala 2</t>
        </is>
      </c>
      <c r="E873" s="36" t="inlineStr">
        <is>
          <t>Gustavo Ferreira</t>
        </is>
      </c>
      <c r="F873" s="37" t="inlineStr">
        <is>
          <t>Particular</t>
        </is>
      </c>
      <c r="G873" s="37" t="inlineStr">
        <is>
          <t>Teste ergométrico</t>
        </is>
      </c>
      <c r="H873" s="37" t="inlineStr">
        <is>
          <t>Agendado</t>
        </is>
      </c>
      <c r="I873" s="37" t="n"/>
      <c r="J873" s="37" t="n"/>
      <c r="K873" s="36" t="n"/>
      <c r="L873" s="44">
        <f>IF(G873="","",IFERROR(INDEX(Config!$K$5:$K$16,MATCH(G873,Config!$J$5:$J$16,0)),""))</f>
        <v>40</v>
      </c>
      <c r="M873" s="30">
        <f>IF(OR(G873="",F873=""),"",IFERROR(INDEX(Config!$M$5:$R$16,MATCH(G873,Config!$J$5:$J$16,0),MATCH(F873,Config!$H$5:$H$10,0)),""))</f>
        <v>450</v>
      </c>
      <c r="N873" s="29">
        <f>IF(A873="","",MONTH(A873))</f>
        <v>9</v>
      </c>
      <c r="O873" s="29">
        <f>IF(A873="","",YEAR(A873))</f>
        <v>2026</v>
      </c>
      <c r="P873" s="29" t="str">
        <f>IF(A873="","",CHOOSE(WEEKDAY(A873,2),"Segunda","Terça","Quarta","Quinta","Sexta","Sábado","Domingo"))</f>
        <v>Segunda</v>
      </c>
      <c r="Q873" s="29" t="str">
        <f>IF(B873="","",IF(B873&lt;TIME(12,0,0),"Manhã",IF(B873&lt;TIME(18,0,0),"Tarde","Noite")))</f>
        <v>Tarde</v>
      </c>
      <c r="R873" s="45">
        <f>IF(AND(H873="Realizado",L873&lt;&gt;""),L873/60,0)</f>
        <v>0</v>
      </c>
    </row>
    <row r="874">
      <c r="A874" s="42">
        <f>TODAY()+14</f>
        <v>46293.0</v>
      </c>
      <c r="B874" s="43" t="n">
        <v>0.6944444444444444</v>
      </c>
      <c r="C874" s="37" t="inlineStr">
        <is>
          <t>Dr. Paulo Andrade</t>
        </is>
      </c>
      <c r="D874" s="37" t="inlineStr">
        <is>
          <t>Sala 2</t>
        </is>
      </c>
      <c r="E874" s="36" t="inlineStr">
        <is>
          <t>Thiago Duarte</t>
        </is>
      </c>
      <c r="F874" s="37" t="inlineStr">
        <is>
          <t>Saúde Total</t>
        </is>
      </c>
      <c r="G874" s="37" t="inlineStr">
        <is>
          <t>Consulta</t>
        </is>
      </c>
      <c r="H874" s="37" t="inlineStr">
        <is>
          <t>Agendado</t>
        </is>
      </c>
      <c r="I874" s="37" t="n"/>
      <c r="J874" s="37" t="n"/>
      <c r="K874" s="36" t="n"/>
      <c r="L874" s="44">
        <f>IF(G874="","",IFERROR(INDEX(Config!$K$5:$K$16,MATCH(G874,Config!$J$5:$J$16,0)),""))</f>
        <v>30</v>
      </c>
      <c r="M874" s="30">
        <f>IF(OR(G874="",F874=""),"",IFERROR(INDEX(Config!$M$5:$R$16,MATCH(G874,Config!$J$5:$J$16,0),MATCH(F874,Config!$H$5:$H$10,0)),""))</f>
        <v>120</v>
      </c>
      <c r="N874" s="29">
        <f>IF(A874="","",MONTH(A874))</f>
        <v>9</v>
      </c>
      <c r="O874" s="29">
        <f>IF(A874="","",YEAR(A874))</f>
        <v>2026</v>
      </c>
      <c r="P874" s="29" t="str">
        <f>IF(A874="","",CHOOSE(WEEKDAY(A874,2),"Segunda","Terça","Quarta","Quinta","Sexta","Sábado","Domingo"))</f>
        <v>Segunda</v>
      </c>
      <c r="Q874" s="29" t="str">
        <f>IF(B874="","",IF(B874&lt;TIME(12,0,0),"Manhã",IF(B874&lt;TIME(18,0,0),"Tarde","Noite")))</f>
        <v>Tarde</v>
      </c>
      <c r="R874" s="45">
        <f>IF(AND(H874="Realizado",L874&lt;&gt;""),L874/60,0)</f>
        <v>0</v>
      </c>
    </row>
    <row r="875">
      <c r="A875" s="42">
        <f>TODAY()+14</f>
        <v>46293.0</v>
      </c>
      <c r="B875" s="43" t="n">
        <v>0.7152777777777778</v>
      </c>
      <c r="C875" s="37" t="inlineStr">
        <is>
          <t>Dr. Paulo Andrade</t>
        </is>
      </c>
      <c r="D875" s="37" t="inlineStr">
        <is>
          <t>Sala 2</t>
        </is>
      </c>
      <c r="E875" s="36" t="inlineStr">
        <is>
          <t>Gisele Pinto</t>
        </is>
      </c>
      <c r="F875" s="37" t="inlineStr">
        <is>
          <t>Saúde Total</t>
        </is>
      </c>
      <c r="G875" s="37" t="inlineStr">
        <is>
          <t>Consulta</t>
        </is>
      </c>
      <c r="H875" s="37" t="inlineStr">
        <is>
          <t>Agendado</t>
        </is>
      </c>
      <c r="I875" s="37" t="n"/>
      <c r="J875" s="37" t="n"/>
      <c r="K875" s="36" t="n"/>
      <c r="L875" s="44">
        <f>IF(G875="","",IFERROR(INDEX(Config!$K$5:$K$16,MATCH(G875,Config!$J$5:$J$16,0)),""))</f>
        <v>30</v>
      </c>
      <c r="M875" s="30">
        <f>IF(OR(G875="",F875=""),"",IFERROR(INDEX(Config!$M$5:$R$16,MATCH(G875,Config!$J$5:$J$16,0),MATCH(F875,Config!$H$5:$H$10,0)),""))</f>
        <v>120</v>
      </c>
      <c r="N875" s="29">
        <f>IF(A875="","",MONTH(A875))</f>
        <v>9</v>
      </c>
      <c r="O875" s="29">
        <f>IF(A875="","",YEAR(A875))</f>
        <v>2026</v>
      </c>
      <c r="P875" s="29" t="str">
        <f>IF(A875="","",CHOOSE(WEEKDAY(A875,2),"Segunda","Terça","Quarta","Quinta","Sexta","Sábado","Domingo"))</f>
        <v>Segunda</v>
      </c>
      <c r="Q875" s="29" t="str">
        <f>IF(B875="","",IF(B875&lt;TIME(12,0,0),"Manhã",IF(B875&lt;TIME(18,0,0),"Tarde","Noite")))</f>
        <v>Tarde</v>
      </c>
      <c r="R875" s="45">
        <f>IF(AND(H875="Realizado",L875&lt;&gt;""),L875/60,0)</f>
        <v>0</v>
      </c>
    </row>
    <row r="876">
      <c r="A876" s="42">
        <f>TODAY()+14</f>
        <v>46293.0</v>
      </c>
      <c r="B876" s="43" t="n">
        <v>0.7361111111111112</v>
      </c>
      <c r="C876" s="37" t="inlineStr">
        <is>
          <t>Dr. Paulo Andrade</t>
        </is>
      </c>
      <c r="D876" s="37" t="inlineStr">
        <is>
          <t>Sala 2</t>
        </is>
      </c>
      <c r="E876" s="36" t="inlineStr">
        <is>
          <t>Mônica Batista</t>
        </is>
      </c>
      <c r="F876" s="37" t="inlineStr">
        <is>
          <t>MediPlan</t>
        </is>
      </c>
      <c r="G876" s="37" t="inlineStr">
        <is>
          <t>MAPA</t>
        </is>
      </c>
      <c r="H876" s="37" t="inlineStr">
        <is>
          <t>Agendado</t>
        </is>
      </c>
      <c r="I876" s="37" t="n"/>
      <c r="J876" s="37" t="n"/>
      <c r="K876" s="36" t="n"/>
      <c r="L876" s="44">
        <f>IF(G876="","",IFERROR(INDEX(Config!$K$5:$K$16,MATCH(G876,Config!$J$5:$J$16,0)),""))</f>
        <v>20</v>
      </c>
      <c r="M876" s="30">
        <f>IF(OR(G876="",F876=""),"",IFERROR(INDEX(Config!$M$5:$R$16,MATCH(G876,Config!$J$5:$J$16,0),MATCH(F876,Config!$H$5:$H$10,0)),""))</f>
        <v>85</v>
      </c>
      <c r="N876" s="29">
        <f>IF(A876="","",MONTH(A876))</f>
        <v>9</v>
      </c>
      <c r="O876" s="29">
        <f>IF(A876="","",YEAR(A876))</f>
        <v>2026</v>
      </c>
      <c r="P876" s="29" t="str">
        <f>IF(A876="","",CHOOSE(WEEKDAY(A876,2),"Segunda","Terça","Quarta","Quinta","Sexta","Sábado","Domingo"))</f>
        <v>Segunda</v>
      </c>
      <c r="Q876" s="29" t="str">
        <f>IF(B876="","",IF(B876&lt;TIME(12,0,0),"Manhã",IF(B876&lt;TIME(18,0,0),"Tarde","Noite")))</f>
        <v>Tarde</v>
      </c>
      <c r="R876" s="45">
        <f>IF(AND(H876="Realizado",L876&lt;&gt;""),L876/60,0)</f>
        <v>0</v>
      </c>
    </row>
    <row r="877">
      <c r="A877" s="42">
        <f>TODAY()+15</f>
        <v>46294.0</v>
      </c>
      <c r="B877" s="43" t="n">
        <v>0.3541666666666667</v>
      </c>
      <c r="C877" s="37" t="inlineStr">
        <is>
          <t>Dra. Carolina Mendes</t>
        </is>
      </c>
      <c r="D877" s="37" t="inlineStr">
        <is>
          <t>Sala 1</t>
        </is>
      </c>
      <c r="E877" s="36" t="inlineStr">
        <is>
          <t>Mônica Batista</t>
        </is>
      </c>
      <c r="F877" s="37" t="inlineStr">
        <is>
          <t>MediPlan</t>
        </is>
      </c>
      <c r="G877" s="37" t="inlineStr">
        <is>
          <t>Retorno</t>
        </is>
      </c>
      <c r="H877" s="37" t="inlineStr">
        <is>
          <t>Agendado</t>
        </is>
      </c>
      <c r="I877" s="37" t="n"/>
      <c r="J877" s="37" t="n"/>
      <c r="K877" s="36" t="n"/>
      <c r="L877" s="44">
        <f>IF(G877="","",IFERROR(INDEX(Config!$K$5:$K$16,MATCH(G877,Config!$J$5:$J$16,0)),""))</f>
        <v>20</v>
      </c>
      <c r="M877" s="30">
        <f>IF(OR(G877="",F877=""),"",IFERROR(INDEX(Config!$M$5:$R$16,MATCH(G877,Config!$J$5:$J$16,0),MATCH(F877,Config!$H$5:$H$10,0)),""))</f>
        <v>0</v>
      </c>
      <c r="N877" s="29">
        <f>IF(A877="","",MONTH(A877))</f>
        <v>9</v>
      </c>
      <c r="O877" s="29">
        <f>IF(A877="","",YEAR(A877))</f>
        <v>2026</v>
      </c>
      <c r="P877" s="29" t="str">
        <f>IF(A877="","",CHOOSE(WEEKDAY(A877,2),"Segunda","Terça","Quarta","Quinta","Sexta","Sábado","Domingo"))</f>
        <v>Terça</v>
      </c>
      <c r="Q877" s="29" t="str">
        <f>IF(B877="","",IF(B877&lt;TIME(12,0,0),"Manhã",IF(B877&lt;TIME(18,0,0),"Tarde","Noite")))</f>
        <v>Manhã</v>
      </c>
      <c r="R877" s="45">
        <f>IF(AND(H877="Realizado",L877&lt;&gt;""),L877/60,0)</f>
        <v>0</v>
      </c>
    </row>
    <row r="878">
      <c r="A878" s="42">
        <f>TODAY()+15</f>
        <v>46294.0</v>
      </c>
      <c r="B878" s="43" t="n">
        <v>0.3680555555555556</v>
      </c>
      <c r="C878" s="37" t="inlineStr">
        <is>
          <t>Dra. Carolina Mendes</t>
        </is>
      </c>
      <c r="D878" s="37" t="inlineStr">
        <is>
          <t>Sala 1</t>
        </is>
      </c>
      <c r="E878" s="36" t="inlineStr">
        <is>
          <t>Fábio Machado</t>
        </is>
      </c>
      <c r="F878" s="37" t="inlineStr">
        <is>
          <t>Particular</t>
        </is>
      </c>
      <c r="G878" s="37" t="inlineStr">
        <is>
          <t>Consulta</t>
        </is>
      </c>
      <c r="H878" s="37" t="inlineStr">
        <is>
          <t>Agendado</t>
        </is>
      </c>
      <c r="I878" s="37" t="n"/>
      <c r="J878" s="37" t="n"/>
      <c r="K878" s="36" t="n"/>
      <c r="L878" s="44">
        <f>IF(G878="","",IFERROR(INDEX(Config!$K$5:$K$16,MATCH(G878,Config!$J$5:$J$16,0)),""))</f>
        <v>30</v>
      </c>
      <c r="M878" s="30">
        <f>IF(OR(G878="",F878=""),"",IFERROR(INDEX(Config!$M$5:$R$16,MATCH(G878,Config!$J$5:$J$16,0),MATCH(F878,Config!$H$5:$H$10,0)),""))</f>
        <v>380</v>
      </c>
      <c r="N878" s="29">
        <f>IF(A878="","",MONTH(A878))</f>
        <v>9</v>
      </c>
      <c r="O878" s="29">
        <f>IF(A878="","",YEAR(A878))</f>
        <v>2026</v>
      </c>
      <c r="P878" s="29" t="str">
        <f>IF(A878="","",CHOOSE(WEEKDAY(A878,2),"Segunda","Terça","Quarta","Quinta","Sexta","Sábado","Domingo"))</f>
        <v>Terça</v>
      </c>
      <c r="Q878" s="29" t="str">
        <f>IF(B878="","",IF(B878&lt;TIME(12,0,0),"Manhã",IF(B878&lt;TIME(18,0,0),"Tarde","Noite")))</f>
        <v>Manhã</v>
      </c>
      <c r="R878" s="45">
        <f>IF(AND(H878="Realizado",L878&lt;&gt;""),L878/60,0)</f>
        <v>0</v>
      </c>
    </row>
    <row r="879">
      <c r="A879" s="42">
        <f>TODAY()+15</f>
        <v>46294.0</v>
      </c>
      <c r="B879" s="43" t="n">
        <v>0.3888888888888889</v>
      </c>
      <c r="C879" s="37" t="inlineStr">
        <is>
          <t>Dra. Carolina Mendes</t>
        </is>
      </c>
      <c r="D879" s="37" t="inlineStr">
        <is>
          <t>Sala 1</t>
        </is>
      </c>
      <c r="E879" s="36" t="inlineStr">
        <is>
          <t>Mateus Lima</t>
        </is>
      </c>
      <c r="F879" s="37" t="inlineStr">
        <is>
          <t>MediPlan</t>
        </is>
      </c>
      <c r="G879" s="37" t="inlineStr">
        <is>
          <t>Consulta</t>
        </is>
      </c>
      <c r="H879" s="37" t="inlineStr">
        <is>
          <t>Agendado</t>
        </is>
      </c>
      <c r="I879" s="37" t="n"/>
      <c r="J879" s="37" t="n"/>
      <c r="K879" s="36" t="n"/>
      <c r="L879" s="44">
        <f>IF(G879="","",IFERROR(INDEX(Config!$K$5:$K$16,MATCH(G879,Config!$J$5:$J$16,0)),""))</f>
        <v>30</v>
      </c>
      <c r="M879" s="30">
        <f>IF(OR(G879="",F879=""),"",IFERROR(INDEX(Config!$M$5:$R$16,MATCH(G879,Config!$J$5:$J$16,0),MATCH(F879,Config!$H$5:$H$10,0)),""))</f>
        <v>100</v>
      </c>
      <c r="N879" s="29">
        <f>IF(A879="","",MONTH(A879))</f>
        <v>9</v>
      </c>
      <c r="O879" s="29">
        <f>IF(A879="","",YEAR(A879))</f>
        <v>2026</v>
      </c>
      <c r="P879" s="29" t="str">
        <f>IF(A879="","",CHOOSE(WEEKDAY(A879,2),"Segunda","Terça","Quarta","Quinta","Sexta","Sábado","Domingo"))</f>
        <v>Terça</v>
      </c>
      <c r="Q879" s="29" t="str">
        <f>IF(B879="","",IF(B879&lt;TIME(12,0,0),"Manhã",IF(B879&lt;TIME(18,0,0),"Tarde","Noite")))</f>
        <v>Manhã</v>
      </c>
      <c r="R879" s="45">
        <f>IF(AND(H879="Realizado",L879&lt;&gt;""),L879/60,0)</f>
        <v>0</v>
      </c>
    </row>
    <row r="880">
      <c r="A880" s="42">
        <f>TODAY()+15</f>
        <v>46294.0</v>
      </c>
      <c r="B880" s="43" t="n">
        <v>0.4097222222222222</v>
      </c>
      <c r="C880" s="37" t="inlineStr">
        <is>
          <t>Dra. Carolina Mendes</t>
        </is>
      </c>
      <c r="D880" s="37" t="inlineStr">
        <is>
          <t>Sala 1</t>
        </is>
      </c>
      <c r="E880" s="36" t="inlineStr">
        <is>
          <t>Simone Monteiro</t>
        </is>
      </c>
      <c r="F880" s="37" t="inlineStr">
        <is>
          <t>Vida Care</t>
        </is>
      </c>
      <c r="G880" s="37" t="inlineStr">
        <is>
          <t>Retorno</t>
        </is>
      </c>
      <c r="H880" s="37" t="inlineStr">
        <is>
          <t>Agendado</t>
        </is>
      </c>
      <c r="I880" s="37" t="n"/>
      <c r="J880" s="37" t="n"/>
      <c r="K880" s="36" t="n"/>
      <c r="L880" s="44">
        <f>IF(G880="","",IFERROR(INDEX(Config!$K$5:$K$16,MATCH(G880,Config!$J$5:$J$16,0)),""))</f>
        <v>20</v>
      </c>
      <c r="M880" s="30">
        <f>IF(OR(G880="",F880=""),"",IFERROR(INDEX(Config!$M$5:$R$16,MATCH(G880,Config!$J$5:$J$16,0),MATCH(F880,Config!$H$5:$H$10,0)),""))</f>
        <v>0</v>
      </c>
      <c r="N880" s="29">
        <f>IF(A880="","",MONTH(A880))</f>
        <v>9</v>
      </c>
      <c r="O880" s="29">
        <f>IF(A880="","",YEAR(A880))</f>
        <v>2026</v>
      </c>
      <c r="P880" s="29" t="str">
        <f>IF(A880="","",CHOOSE(WEEKDAY(A880,2),"Segunda","Terça","Quarta","Quinta","Sexta","Sábado","Domingo"))</f>
        <v>Terça</v>
      </c>
      <c r="Q880" s="29" t="str">
        <f>IF(B880="","",IF(B880&lt;TIME(12,0,0),"Manhã",IF(B880&lt;TIME(18,0,0),"Tarde","Noite")))</f>
        <v>Manhã</v>
      </c>
      <c r="R880" s="45">
        <f>IF(AND(H880="Realizado",L880&lt;&gt;""),L880/60,0)</f>
        <v>0</v>
      </c>
    </row>
    <row r="881">
      <c r="A881" s="42">
        <f>TODAY()+15</f>
        <v>46294.0</v>
      </c>
      <c r="B881" s="43" t="n">
        <v>0.4236111111111111</v>
      </c>
      <c r="C881" s="37" t="inlineStr">
        <is>
          <t>Dra. Carolina Mendes</t>
        </is>
      </c>
      <c r="D881" s="37" t="inlineStr">
        <is>
          <t>Sala 1</t>
        </is>
      </c>
      <c r="E881" s="36" t="inlineStr">
        <is>
          <t>Ana Costa</t>
        </is>
      </c>
      <c r="F881" s="37" t="inlineStr">
        <is>
          <t>Particular</t>
        </is>
      </c>
      <c r="G881" s="37" t="inlineStr">
        <is>
          <t>Retorno</t>
        </is>
      </c>
      <c r="H881" s="37" t="inlineStr">
        <is>
          <t>Agendado</t>
        </is>
      </c>
      <c r="I881" s="37" t="n"/>
      <c r="J881" s="37" t="n"/>
      <c r="K881" s="36" t="n"/>
      <c r="L881" s="44">
        <f>IF(G881="","",IFERROR(INDEX(Config!$K$5:$K$16,MATCH(G881,Config!$J$5:$J$16,0)),""))</f>
        <v>20</v>
      </c>
      <c r="M881" s="30">
        <f>IF(OR(G881="",F881=""),"",IFERROR(INDEX(Config!$M$5:$R$16,MATCH(G881,Config!$J$5:$J$16,0),MATCH(F881,Config!$H$5:$H$10,0)),""))</f>
        <v>0</v>
      </c>
      <c r="N881" s="29">
        <f>IF(A881="","",MONTH(A881))</f>
        <v>9</v>
      </c>
      <c r="O881" s="29">
        <f>IF(A881="","",YEAR(A881))</f>
        <v>2026</v>
      </c>
      <c r="P881" s="29" t="str">
        <f>IF(A881="","",CHOOSE(WEEKDAY(A881,2),"Segunda","Terça","Quarta","Quinta","Sexta","Sábado","Domingo"))</f>
        <v>Terça</v>
      </c>
      <c r="Q881" s="29" t="str">
        <f>IF(B881="","",IF(B881&lt;TIME(12,0,0),"Manhã",IF(B881&lt;TIME(18,0,0),"Tarde","Noite")))</f>
        <v>Manhã</v>
      </c>
      <c r="R881" s="45">
        <f>IF(AND(H881="Realizado",L881&lt;&gt;""),L881/60,0)</f>
        <v>0</v>
      </c>
    </row>
    <row r="882">
      <c r="A882" s="42">
        <f>TODAY()+15</f>
        <v>46294.0</v>
      </c>
      <c r="B882" s="43" t="n">
        <v>0.4375</v>
      </c>
      <c r="C882" s="37" t="inlineStr">
        <is>
          <t>Dra. Carolina Mendes</t>
        </is>
      </c>
      <c r="D882" s="37" t="inlineStr">
        <is>
          <t>Sala 1</t>
        </is>
      </c>
      <c r="E882" s="36" t="inlineStr">
        <is>
          <t>Renato Dias</t>
        </is>
      </c>
      <c r="F882" s="37" t="inlineStr">
        <is>
          <t>Particular</t>
        </is>
      </c>
      <c r="G882" s="37" t="inlineStr">
        <is>
          <t>Consulta</t>
        </is>
      </c>
      <c r="H882" s="37" t="inlineStr">
        <is>
          <t>Agendado</t>
        </is>
      </c>
      <c r="I882" s="37" t="n"/>
      <c r="J882" s="37" t="n"/>
      <c r="K882" s="36" t="n"/>
      <c r="L882" s="44">
        <f>IF(G882="","",IFERROR(INDEX(Config!$K$5:$K$16,MATCH(G882,Config!$J$5:$J$16,0)),""))</f>
        <v>30</v>
      </c>
      <c r="M882" s="30">
        <f>IF(OR(G882="",F882=""),"",IFERROR(INDEX(Config!$M$5:$R$16,MATCH(G882,Config!$J$5:$J$16,0),MATCH(F882,Config!$H$5:$H$10,0)),""))</f>
        <v>380</v>
      </c>
      <c r="N882" s="29">
        <f>IF(A882="","",MONTH(A882))</f>
        <v>9</v>
      </c>
      <c r="O882" s="29">
        <f>IF(A882="","",YEAR(A882))</f>
        <v>2026</v>
      </c>
      <c r="P882" s="29" t="str">
        <f>IF(A882="","",CHOOSE(WEEKDAY(A882,2),"Segunda","Terça","Quarta","Quinta","Sexta","Sábado","Domingo"))</f>
        <v>Terça</v>
      </c>
      <c r="Q882" s="29" t="str">
        <f>IF(B882="","",IF(B882&lt;TIME(12,0,0),"Manhã",IF(B882&lt;TIME(18,0,0),"Tarde","Noite")))</f>
        <v>Manhã</v>
      </c>
      <c r="R882" s="45">
        <f>IF(AND(H882="Realizado",L882&lt;&gt;""),L882/60,0)</f>
        <v>0</v>
      </c>
    </row>
    <row r="883">
      <c r="A883" s="42">
        <f>TODAY()+15</f>
        <v>46294.0</v>
      </c>
      <c r="B883" s="43" t="n">
        <v>0.4583333333333333</v>
      </c>
      <c r="C883" s="37" t="inlineStr">
        <is>
          <t>Dra. Carolina Mendes</t>
        </is>
      </c>
      <c r="D883" s="37" t="inlineStr">
        <is>
          <t>Sala 1</t>
        </is>
      </c>
      <c r="E883" s="36" t="inlineStr">
        <is>
          <t>Otávio Cardoso</t>
        </is>
      </c>
      <c r="F883" s="37" t="inlineStr">
        <is>
          <t>Particular</t>
        </is>
      </c>
      <c r="G883" s="37" t="inlineStr">
        <is>
          <t>Consulta</t>
        </is>
      </c>
      <c r="H883" s="37" t="inlineStr">
        <is>
          <t>Agendado</t>
        </is>
      </c>
      <c r="I883" s="37" t="n"/>
      <c r="J883" s="37" t="n"/>
      <c r="K883" s="36" t="n"/>
      <c r="L883" s="44">
        <f>IF(G883="","",IFERROR(INDEX(Config!$K$5:$K$16,MATCH(G883,Config!$J$5:$J$16,0)),""))</f>
        <v>30</v>
      </c>
      <c r="M883" s="30">
        <f>IF(OR(G883="",F883=""),"",IFERROR(INDEX(Config!$M$5:$R$16,MATCH(G883,Config!$J$5:$J$16,0),MATCH(F883,Config!$H$5:$H$10,0)),""))</f>
        <v>380</v>
      </c>
      <c r="N883" s="29">
        <f>IF(A883="","",MONTH(A883))</f>
        <v>9</v>
      </c>
      <c r="O883" s="29">
        <f>IF(A883="","",YEAR(A883))</f>
        <v>2026</v>
      </c>
      <c r="P883" s="29" t="str">
        <f>IF(A883="","",CHOOSE(WEEKDAY(A883,2),"Segunda","Terça","Quarta","Quinta","Sexta","Sábado","Domingo"))</f>
        <v>Terça</v>
      </c>
      <c r="Q883" s="29" t="str">
        <f>IF(B883="","",IF(B883&lt;TIME(12,0,0),"Manhã",IF(B883&lt;TIME(18,0,0),"Tarde","Noite")))</f>
        <v>Manhã</v>
      </c>
      <c r="R883" s="45">
        <f>IF(AND(H883="Realizado",L883&lt;&gt;""),L883/60,0)</f>
        <v>0</v>
      </c>
    </row>
    <row r="884">
      <c r="A884" s="42">
        <f>TODAY()+15</f>
        <v>46294.0</v>
      </c>
      <c r="B884" s="43" t="n">
        <v>0.4791666666666667</v>
      </c>
      <c r="C884" s="37" t="inlineStr">
        <is>
          <t>Dra. Carolina Mendes</t>
        </is>
      </c>
      <c r="D884" s="37" t="inlineStr">
        <is>
          <t>Sala 1</t>
        </is>
      </c>
      <c r="E884" s="36" t="inlineStr">
        <is>
          <t>Mateus Lima</t>
        </is>
      </c>
      <c r="F884" s="37" t="inlineStr">
        <is>
          <t>MediPlan</t>
        </is>
      </c>
      <c r="G884" s="37" t="inlineStr">
        <is>
          <t>Retorno</t>
        </is>
      </c>
      <c r="H884" s="37" t="inlineStr">
        <is>
          <t>Agendado</t>
        </is>
      </c>
      <c r="I884" s="37" t="n"/>
      <c r="J884" s="37" t="n"/>
      <c r="K884" s="36" t="n"/>
      <c r="L884" s="44">
        <f>IF(G884="","",IFERROR(INDEX(Config!$K$5:$K$16,MATCH(G884,Config!$J$5:$J$16,0)),""))</f>
        <v>20</v>
      </c>
      <c r="M884" s="30">
        <f>IF(OR(G884="",F884=""),"",IFERROR(INDEX(Config!$M$5:$R$16,MATCH(G884,Config!$J$5:$J$16,0),MATCH(F884,Config!$H$5:$H$10,0)),""))</f>
        <v>0</v>
      </c>
      <c r="N884" s="29">
        <f>IF(A884="","",MONTH(A884))</f>
        <v>9</v>
      </c>
      <c r="O884" s="29">
        <f>IF(A884="","",YEAR(A884))</f>
        <v>2026</v>
      </c>
      <c r="P884" s="29" t="str">
        <f>IF(A884="","",CHOOSE(WEEKDAY(A884,2),"Segunda","Terça","Quarta","Quinta","Sexta","Sábado","Domingo"))</f>
        <v>Terça</v>
      </c>
      <c r="Q884" s="29" t="str">
        <f>IF(B884="","",IF(B884&lt;TIME(12,0,0),"Manhã",IF(B884&lt;TIME(18,0,0),"Tarde","Noite")))</f>
        <v>Manhã</v>
      </c>
      <c r="R884" s="45">
        <f>IF(AND(H884="Realizado",L884&lt;&gt;""),L884/60,0)</f>
        <v>0</v>
      </c>
    </row>
    <row r="885">
      <c r="A885" s="42">
        <f>TODAY()+15</f>
        <v>46294.0</v>
      </c>
      <c r="B885" s="43" t="n">
        <v>0.6041666666666666</v>
      </c>
      <c r="C885" s="37" t="inlineStr">
        <is>
          <t>Dr. Paulo Andrade</t>
        </is>
      </c>
      <c r="D885" s="37" t="inlineStr">
        <is>
          <t>Sala 2</t>
        </is>
      </c>
      <c r="E885" s="36" t="inlineStr">
        <is>
          <t>Gabriel Vieira</t>
        </is>
      </c>
      <c r="F885" s="37" t="inlineStr">
        <is>
          <t>Vida Care</t>
        </is>
      </c>
      <c r="G885" s="37" t="inlineStr">
        <is>
          <t>Consulta</t>
        </is>
      </c>
      <c r="H885" s="37" t="inlineStr">
        <is>
          <t>Agendado</t>
        </is>
      </c>
      <c r="I885" s="37" t="n"/>
      <c r="J885" s="37" t="n"/>
      <c r="K885" s="36" t="n"/>
      <c r="L885" s="44">
        <f>IF(G885="","",IFERROR(INDEX(Config!$K$5:$K$16,MATCH(G885,Config!$J$5:$J$16,0)),""))</f>
        <v>30</v>
      </c>
      <c r="M885" s="30">
        <f>IF(OR(G885="",F885=""),"",IFERROR(INDEX(Config!$M$5:$R$16,MATCH(G885,Config!$J$5:$J$16,0),MATCH(F885,Config!$H$5:$H$10,0)),""))</f>
        <v>90</v>
      </c>
      <c r="N885" s="29">
        <f>IF(A885="","",MONTH(A885))</f>
        <v>9</v>
      </c>
      <c r="O885" s="29">
        <f>IF(A885="","",YEAR(A885))</f>
        <v>2026</v>
      </c>
      <c r="P885" s="29" t="str">
        <f>IF(A885="","",CHOOSE(WEEKDAY(A885,2),"Segunda","Terça","Quarta","Quinta","Sexta","Sábado","Domingo"))</f>
        <v>Terça</v>
      </c>
      <c r="Q885" s="29" t="str">
        <f>IF(B885="","",IF(B885&lt;TIME(12,0,0),"Manhã",IF(B885&lt;TIME(18,0,0),"Tarde","Noite")))</f>
        <v>Tarde</v>
      </c>
      <c r="R885" s="45">
        <f>IF(AND(H885="Realizado",L885&lt;&gt;""),L885/60,0)</f>
        <v>0</v>
      </c>
    </row>
    <row r="886">
      <c r="A886" s="42">
        <f>TODAY()+15</f>
        <v>46294.0</v>
      </c>
      <c r="B886" s="43" t="n">
        <v>0.6458333333333334</v>
      </c>
      <c r="C886" s="37" t="inlineStr">
        <is>
          <t>Dr. Paulo Andrade</t>
        </is>
      </c>
      <c r="D886" s="37" t="inlineStr">
        <is>
          <t>Sala 2</t>
        </is>
      </c>
      <c r="E886" s="36" t="inlineStr">
        <is>
          <t>Gisele Pinto</t>
        </is>
      </c>
      <c r="F886" s="37" t="inlineStr">
        <is>
          <t>Saúde Total</t>
        </is>
      </c>
      <c r="G886" s="37" t="inlineStr">
        <is>
          <t>Retorno</t>
        </is>
      </c>
      <c r="H886" s="37" t="inlineStr">
        <is>
          <t>Agendado</t>
        </is>
      </c>
      <c r="I886" s="37" t="n"/>
      <c r="J886" s="37" t="n"/>
      <c r="K886" s="36" t="n"/>
      <c r="L886" s="44">
        <f>IF(G886="","",IFERROR(INDEX(Config!$K$5:$K$16,MATCH(G886,Config!$J$5:$J$16,0)),""))</f>
        <v>20</v>
      </c>
      <c r="M886" s="30">
        <f>IF(OR(G886="",F886=""),"",IFERROR(INDEX(Config!$M$5:$R$16,MATCH(G886,Config!$J$5:$J$16,0),MATCH(F886,Config!$H$5:$H$10,0)),""))</f>
        <v>0</v>
      </c>
      <c r="N886" s="29">
        <f>IF(A886="","",MONTH(A886))</f>
        <v>9</v>
      </c>
      <c r="O886" s="29">
        <f>IF(A886="","",YEAR(A886))</f>
        <v>2026</v>
      </c>
      <c r="P886" s="29" t="str">
        <f>IF(A886="","",CHOOSE(WEEKDAY(A886,2),"Segunda","Terça","Quarta","Quinta","Sexta","Sábado","Domingo"))</f>
        <v>Terça</v>
      </c>
      <c r="Q886" s="29" t="str">
        <f>IF(B886="","",IF(B886&lt;TIME(12,0,0),"Manhã",IF(B886&lt;TIME(18,0,0),"Tarde","Noite")))</f>
        <v>Tarde</v>
      </c>
      <c r="R886" s="45">
        <f>IF(AND(H886="Realizado",L886&lt;&gt;""),L886/60,0)</f>
        <v>0</v>
      </c>
    </row>
    <row r="887">
      <c r="A887" s="42">
        <f>TODAY()+15</f>
        <v>46294.0</v>
      </c>
      <c r="B887" s="43" t="n">
        <v>0.6597222222222222</v>
      </c>
      <c r="C887" s="37" t="inlineStr">
        <is>
          <t>Dr. Paulo Andrade</t>
        </is>
      </c>
      <c r="D887" s="37" t="inlineStr">
        <is>
          <t>Sala 2</t>
        </is>
      </c>
      <c r="E887" s="36" t="inlineStr">
        <is>
          <t>Helena Ribeiro</t>
        </is>
      </c>
      <c r="F887" s="37" t="inlineStr">
        <is>
          <t>MediPlan</t>
        </is>
      </c>
      <c r="G887" s="37" t="inlineStr">
        <is>
          <t>Consulta</t>
        </is>
      </c>
      <c r="H887" s="37" t="inlineStr">
        <is>
          <t>Agendado</t>
        </is>
      </c>
      <c r="I887" s="37" t="n"/>
      <c r="J887" s="37" t="n"/>
      <c r="K887" s="36" t="n"/>
      <c r="L887" s="44">
        <f>IF(G887="","",IFERROR(INDEX(Config!$K$5:$K$16,MATCH(G887,Config!$J$5:$J$16,0)),""))</f>
        <v>30</v>
      </c>
      <c r="M887" s="30">
        <f>IF(OR(G887="",F887=""),"",IFERROR(INDEX(Config!$M$5:$R$16,MATCH(G887,Config!$J$5:$J$16,0),MATCH(F887,Config!$H$5:$H$10,0)),""))</f>
        <v>100</v>
      </c>
      <c r="N887" s="29">
        <f>IF(A887="","",MONTH(A887))</f>
        <v>9</v>
      </c>
      <c r="O887" s="29">
        <f>IF(A887="","",YEAR(A887))</f>
        <v>2026</v>
      </c>
      <c r="P887" s="29" t="str">
        <f>IF(A887="","",CHOOSE(WEEKDAY(A887,2),"Segunda","Terça","Quarta","Quinta","Sexta","Sábado","Domingo"))</f>
        <v>Terça</v>
      </c>
      <c r="Q887" s="29" t="str">
        <f>IF(B887="","",IF(B887&lt;TIME(12,0,0),"Manhã",IF(B887&lt;TIME(18,0,0),"Tarde","Noite")))</f>
        <v>Tarde</v>
      </c>
      <c r="R887" s="45">
        <f>IF(AND(H887="Realizado",L887&lt;&gt;""),L887/60,0)</f>
        <v>0</v>
      </c>
    </row>
    <row r="888">
      <c r="A888" s="42">
        <f>TODAY()+15</f>
        <v>46294.0</v>
      </c>
      <c r="B888" s="43" t="n">
        <v>0.6805555555555556</v>
      </c>
      <c r="C888" s="37" t="inlineStr">
        <is>
          <t>Dr. Paulo Andrade</t>
        </is>
      </c>
      <c r="D888" s="37" t="inlineStr">
        <is>
          <t>Sala 2</t>
        </is>
      </c>
      <c r="E888" s="36" t="inlineStr">
        <is>
          <t>Gisele Lima</t>
        </is>
      </c>
      <c r="F888" s="37" t="inlineStr">
        <is>
          <t>Saúde Total</t>
        </is>
      </c>
      <c r="G888" s="37" t="inlineStr">
        <is>
          <t>Consulta</t>
        </is>
      </c>
      <c r="H888" s="37" t="inlineStr">
        <is>
          <t>Agendado</t>
        </is>
      </c>
      <c r="I888" s="37" t="n"/>
      <c r="J888" s="37" t="n"/>
      <c r="K888" s="36" t="n"/>
      <c r="L888" s="44">
        <f>IF(G888="","",IFERROR(INDEX(Config!$K$5:$K$16,MATCH(G888,Config!$J$5:$J$16,0)),""))</f>
        <v>30</v>
      </c>
      <c r="M888" s="30">
        <f>IF(OR(G888="",F888=""),"",IFERROR(INDEX(Config!$M$5:$R$16,MATCH(G888,Config!$J$5:$J$16,0),MATCH(F888,Config!$H$5:$H$10,0)),""))</f>
        <v>120</v>
      </c>
      <c r="N888" s="29">
        <f>IF(A888="","",MONTH(A888))</f>
        <v>9</v>
      </c>
      <c r="O888" s="29">
        <f>IF(A888="","",YEAR(A888))</f>
        <v>2026</v>
      </c>
      <c r="P888" s="29" t="str">
        <f>IF(A888="","",CHOOSE(WEEKDAY(A888,2),"Segunda","Terça","Quarta","Quinta","Sexta","Sábado","Domingo"))</f>
        <v>Terça</v>
      </c>
      <c r="Q888" s="29" t="str">
        <f>IF(B888="","",IF(B888&lt;TIME(12,0,0),"Manhã",IF(B888&lt;TIME(18,0,0),"Tarde","Noite")))</f>
        <v>Tarde</v>
      </c>
      <c r="R888" s="45">
        <f>IF(AND(H888="Realizado",L888&lt;&gt;""),L888/60,0)</f>
        <v>0</v>
      </c>
    </row>
    <row r="889">
      <c r="A889" s="42">
        <f>TODAY()+15</f>
        <v>46294.0</v>
      </c>
      <c r="B889" s="43" t="n">
        <v>0.6875</v>
      </c>
      <c r="C889" s="37" t="inlineStr">
        <is>
          <t>Dra. Renata Sousa</t>
        </is>
      </c>
      <c r="D889" s="37" t="inlineStr">
        <is>
          <t>Sala 1</t>
        </is>
      </c>
      <c r="E889" s="36" t="inlineStr">
        <is>
          <t>Daniel Moreira</t>
        </is>
      </c>
      <c r="F889" s="37" t="inlineStr">
        <is>
          <t>Saúde Total</t>
        </is>
      </c>
      <c r="G889" s="37" t="inlineStr">
        <is>
          <t>Avaliação endócrina</t>
        </is>
      </c>
      <c r="H889" s="37" t="inlineStr">
        <is>
          <t>Agendado</t>
        </is>
      </c>
      <c r="I889" s="37" t="n"/>
      <c r="J889" s="37" t="n"/>
      <c r="K889" s="36" t="n"/>
      <c r="L889" s="44">
        <f>IF(G889="","",IFERROR(INDEX(Config!$K$5:$K$16,MATCH(G889,Config!$J$5:$J$16,0)),""))</f>
        <v>40</v>
      </c>
      <c r="M889" s="30">
        <f>IF(OR(G889="",F889=""),"",IFERROR(INDEX(Config!$M$5:$R$16,MATCH(G889,Config!$J$5:$J$16,0),MATCH(F889,Config!$H$5:$H$10,0)),""))</f>
        <v>130</v>
      </c>
      <c r="N889" s="29">
        <f>IF(A889="","",MONTH(A889))</f>
        <v>9</v>
      </c>
      <c r="O889" s="29">
        <f>IF(A889="","",YEAR(A889))</f>
        <v>2026</v>
      </c>
      <c r="P889" s="29" t="str">
        <f>IF(A889="","",CHOOSE(WEEKDAY(A889,2),"Segunda","Terça","Quarta","Quinta","Sexta","Sábado","Domingo"))</f>
        <v>Terça</v>
      </c>
      <c r="Q889" s="29" t="str">
        <f>IF(B889="","",IF(B889&lt;TIME(12,0,0),"Manhã",IF(B889&lt;TIME(18,0,0),"Tarde","Noite")))</f>
        <v>Tarde</v>
      </c>
      <c r="R889" s="45">
        <f>IF(AND(H889="Realizado",L889&lt;&gt;""),L889/60,0)</f>
        <v>0</v>
      </c>
    </row>
    <row r="890">
      <c r="A890" s="42">
        <f>TODAY()+15</f>
        <v>46294.0</v>
      </c>
      <c r="B890" s="43" t="n">
        <v>0.7013888888888888</v>
      </c>
      <c r="C890" s="37" t="inlineStr">
        <is>
          <t>Dr. Paulo Andrade</t>
        </is>
      </c>
      <c r="D890" s="37" t="inlineStr">
        <is>
          <t>Sala 2</t>
        </is>
      </c>
      <c r="E890" s="36" t="inlineStr">
        <is>
          <t>Priscila Rocha</t>
        </is>
      </c>
      <c r="F890" s="37" t="inlineStr">
        <is>
          <t>MediPlan</t>
        </is>
      </c>
      <c r="G890" s="37" t="inlineStr">
        <is>
          <t>Consulta</t>
        </is>
      </c>
      <c r="H890" s="37" t="inlineStr">
        <is>
          <t>Agendado</t>
        </is>
      </c>
      <c r="I890" s="37" t="n"/>
      <c r="J890" s="37" t="n"/>
      <c r="K890" s="36" t="n"/>
      <c r="L890" s="44">
        <f>IF(G890="","",IFERROR(INDEX(Config!$K$5:$K$16,MATCH(G890,Config!$J$5:$J$16,0)),""))</f>
        <v>30</v>
      </c>
      <c r="M890" s="30">
        <f>IF(OR(G890="",F890=""),"",IFERROR(INDEX(Config!$M$5:$R$16,MATCH(G890,Config!$J$5:$J$16,0),MATCH(F890,Config!$H$5:$H$10,0)),""))</f>
        <v>100</v>
      </c>
      <c r="N890" s="29">
        <f>IF(A890="","",MONTH(A890))</f>
        <v>9</v>
      </c>
      <c r="O890" s="29">
        <f>IF(A890="","",YEAR(A890))</f>
        <v>2026</v>
      </c>
      <c r="P890" s="29" t="str">
        <f>IF(A890="","",CHOOSE(WEEKDAY(A890,2),"Segunda","Terça","Quarta","Quinta","Sexta","Sábado","Domingo"))</f>
        <v>Terça</v>
      </c>
      <c r="Q890" s="29" t="str">
        <f>IF(B890="","",IF(B890&lt;TIME(12,0,0),"Manhã",IF(B890&lt;TIME(18,0,0),"Tarde","Noite")))</f>
        <v>Tarde</v>
      </c>
      <c r="R890" s="45">
        <f>IF(AND(H890="Realizado",L890&lt;&gt;""),L890/60,0)</f>
        <v>0</v>
      </c>
    </row>
    <row r="891">
      <c r="A891" s="42">
        <f>TODAY()+15</f>
        <v>46294.0</v>
      </c>
      <c r="B891" s="43" t="n">
        <v>0.7152777777777778</v>
      </c>
      <c r="C891" s="37" t="inlineStr">
        <is>
          <t>Dra. Renata Sousa</t>
        </is>
      </c>
      <c r="D891" s="37" t="inlineStr">
        <is>
          <t>Sala 1</t>
        </is>
      </c>
      <c r="E891" s="36" t="inlineStr">
        <is>
          <t>Beatriz Gomes</t>
        </is>
      </c>
      <c r="F891" s="37" t="inlineStr">
        <is>
          <t>Particular</t>
        </is>
      </c>
      <c r="G891" s="37" t="inlineStr">
        <is>
          <t>Avaliação endócrina</t>
        </is>
      </c>
      <c r="H891" s="37" t="inlineStr">
        <is>
          <t>Agendado</t>
        </is>
      </c>
      <c r="I891" s="37" t="n"/>
      <c r="J891" s="37" t="n"/>
      <c r="K891" s="36" t="n"/>
      <c r="L891" s="44">
        <f>IF(G891="","",IFERROR(INDEX(Config!$K$5:$K$16,MATCH(G891,Config!$J$5:$J$16,0)),""))</f>
        <v>40</v>
      </c>
      <c r="M891" s="30">
        <f>IF(OR(G891="",F891=""),"",IFERROR(INDEX(Config!$M$5:$R$16,MATCH(G891,Config!$J$5:$J$16,0),MATCH(F891,Config!$H$5:$H$10,0)),""))</f>
        <v>400</v>
      </c>
      <c r="N891" s="29">
        <f>IF(A891="","",MONTH(A891))</f>
        <v>9</v>
      </c>
      <c r="O891" s="29">
        <f>IF(A891="","",YEAR(A891))</f>
        <v>2026</v>
      </c>
      <c r="P891" s="29" t="str">
        <f>IF(A891="","",CHOOSE(WEEKDAY(A891,2),"Segunda","Terça","Quarta","Quinta","Sexta","Sábado","Domingo"))</f>
        <v>Terça</v>
      </c>
      <c r="Q891" s="29" t="str">
        <f>IF(B891="","",IF(B891&lt;TIME(12,0,0),"Manhã",IF(B891&lt;TIME(18,0,0),"Tarde","Noite")))</f>
        <v>Tarde</v>
      </c>
      <c r="R891" s="45">
        <f>IF(AND(H891="Realizado",L891&lt;&gt;""),L891/60,0)</f>
        <v>0</v>
      </c>
    </row>
    <row r="892">
      <c r="A892" s="42">
        <f>TODAY()+15</f>
        <v>46294.0</v>
      </c>
      <c r="B892" s="43" t="n">
        <v>0.7222222222222222</v>
      </c>
      <c r="C892" s="37" t="inlineStr">
        <is>
          <t>Dr. Paulo Andrade</t>
        </is>
      </c>
      <c r="D892" s="37" t="inlineStr">
        <is>
          <t>Sala 2</t>
        </is>
      </c>
      <c r="E892" s="36" t="inlineStr">
        <is>
          <t>Lucas Cardoso</t>
        </is>
      </c>
      <c r="F892" s="37" t="inlineStr">
        <is>
          <t>Particular</t>
        </is>
      </c>
      <c r="G892" s="37" t="inlineStr">
        <is>
          <t>Consulta</t>
        </is>
      </c>
      <c r="H892" s="37" t="inlineStr">
        <is>
          <t>Agendado</t>
        </is>
      </c>
      <c r="I892" s="37" t="n"/>
      <c r="J892" s="37" t="n"/>
      <c r="K892" s="36" t="n"/>
      <c r="L892" s="44">
        <f>IF(G892="","",IFERROR(INDEX(Config!$K$5:$K$16,MATCH(G892,Config!$J$5:$J$16,0)),""))</f>
        <v>30</v>
      </c>
      <c r="M892" s="30">
        <f>IF(OR(G892="",F892=""),"",IFERROR(INDEX(Config!$M$5:$R$16,MATCH(G892,Config!$J$5:$J$16,0),MATCH(F892,Config!$H$5:$H$10,0)),""))</f>
        <v>380</v>
      </c>
      <c r="N892" s="29">
        <f>IF(A892="","",MONTH(A892))</f>
        <v>9</v>
      </c>
      <c r="O892" s="29">
        <f>IF(A892="","",YEAR(A892))</f>
        <v>2026</v>
      </c>
      <c r="P892" s="29" t="str">
        <f>IF(A892="","",CHOOSE(WEEKDAY(A892,2),"Segunda","Terça","Quarta","Quinta","Sexta","Sábado","Domingo"))</f>
        <v>Terça</v>
      </c>
      <c r="Q892" s="29" t="str">
        <f>IF(B892="","",IF(B892&lt;TIME(12,0,0),"Manhã",IF(B892&lt;TIME(18,0,0),"Tarde","Noite")))</f>
        <v>Tarde</v>
      </c>
      <c r="R892" s="45">
        <f>IF(AND(H892="Realizado",L892&lt;&gt;""),L892/60,0)</f>
        <v>0</v>
      </c>
    </row>
    <row r="893">
      <c r="A893" s="42">
        <f>TODAY()+16</f>
        <v>46295.0</v>
      </c>
      <c r="B893" s="43" t="n">
        <v>0.5833333333333334</v>
      </c>
      <c r="C893" s="37" t="inlineStr">
        <is>
          <t>Dra. Carolina Mendes</t>
        </is>
      </c>
      <c r="D893" s="37" t="inlineStr">
        <is>
          <t>Sala 1</t>
        </is>
      </c>
      <c r="E893" s="36" t="inlineStr">
        <is>
          <t>Gisele Ribeiro</t>
        </is>
      </c>
      <c r="F893" s="37" t="inlineStr">
        <is>
          <t>Particular</t>
        </is>
      </c>
      <c r="G893" s="37" t="inlineStr">
        <is>
          <t>Consulta</t>
        </is>
      </c>
      <c r="H893" s="37" t="inlineStr">
        <is>
          <t>Agendado</t>
        </is>
      </c>
      <c r="I893" s="37" t="n"/>
      <c r="J893" s="37" t="n"/>
      <c r="K893" s="36" t="n"/>
      <c r="L893" s="44">
        <f>IF(G893="","",IFERROR(INDEX(Config!$K$5:$K$16,MATCH(G893,Config!$J$5:$J$16,0)),""))</f>
        <v>30</v>
      </c>
      <c r="M893" s="30">
        <f>IF(OR(G893="",F893=""),"",IFERROR(INDEX(Config!$M$5:$R$16,MATCH(G893,Config!$J$5:$J$16,0),MATCH(F893,Config!$H$5:$H$10,0)),""))</f>
        <v>380</v>
      </c>
      <c r="N893" s="29">
        <f>IF(A893="","",MONTH(A893))</f>
        <v>9</v>
      </c>
      <c r="O893" s="29">
        <f>IF(A893="","",YEAR(A893))</f>
        <v>2026</v>
      </c>
      <c r="P893" s="29" t="str">
        <f>IF(A893="","",CHOOSE(WEEKDAY(A893,2),"Segunda","Terça","Quarta","Quinta","Sexta","Sábado","Domingo"))</f>
        <v>Quarta</v>
      </c>
      <c r="Q893" s="29" t="str">
        <f>IF(B893="","",IF(B893&lt;TIME(12,0,0),"Manhã",IF(B893&lt;TIME(18,0,0),"Tarde","Noite")))</f>
        <v>Tarde</v>
      </c>
      <c r="R893" s="45">
        <f>IF(AND(H893="Realizado",L893&lt;&gt;""),L893/60,0)</f>
        <v>0</v>
      </c>
    </row>
    <row r="894">
      <c r="A894" s="42">
        <f>TODAY()+16</f>
        <v>46295.0</v>
      </c>
      <c r="B894" s="43" t="n">
        <v>0.6041666666666666</v>
      </c>
      <c r="C894" s="37" t="inlineStr">
        <is>
          <t>Dra. Carolina Mendes</t>
        </is>
      </c>
      <c r="D894" s="37" t="inlineStr">
        <is>
          <t>Sala 1</t>
        </is>
      </c>
      <c r="E894" s="36" t="inlineStr">
        <is>
          <t>Helena Moreira</t>
        </is>
      </c>
      <c r="F894" s="37" t="inlineStr">
        <is>
          <t>Particular</t>
        </is>
      </c>
      <c r="G894" s="37" t="inlineStr">
        <is>
          <t>Retorno</t>
        </is>
      </c>
      <c r="H894" s="37" t="inlineStr">
        <is>
          <t>Agendado</t>
        </is>
      </c>
      <c r="I894" s="37" t="n"/>
      <c r="J894" s="37" t="n"/>
      <c r="K894" s="36" t="n"/>
      <c r="L894" s="44">
        <f>IF(G894="","",IFERROR(INDEX(Config!$K$5:$K$16,MATCH(G894,Config!$J$5:$J$16,0)),""))</f>
        <v>20</v>
      </c>
      <c r="M894" s="30">
        <f>IF(OR(G894="",F894=""),"",IFERROR(INDEX(Config!$M$5:$R$16,MATCH(G894,Config!$J$5:$J$16,0),MATCH(F894,Config!$H$5:$H$10,0)),""))</f>
        <v>0</v>
      </c>
      <c r="N894" s="29">
        <f>IF(A894="","",MONTH(A894))</f>
        <v>9</v>
      </c>
      <c r="O894" s="29">
        <f>IF(A894="","",YEAR(A894))</f>
        <v>2026</v>
      </c>
      <c r="P894" s="29" t="str">
        <f>IF(A894="","",CHOOSE(WEEKDAY(A894,2),"Segunda","Terça","Quarta","Quinta","Sexta","Sábado","Domingo"))</f>
        <v>Quarta</v>
      </c>
      <c r="Q894" s="29" t="str">
        <f>IF(B894="","",IF(B894&lt;TIME(12,0,0),"Manhã",IF(B894&lt;TIME(18,0,0),"Tarde","Noite")))</f>
        <v>Tarde</v>
      </c>
      <c r="R894" s="45">
        <f>IF(AND(H894="Realizado",L894&lt;&gt;""),L894/60,0)</f>
        <v>0</v>
      </c>
    </row>
    <row r="895">
      <c r="A895" s="42">
        <f>TODAY()+16</f>
        <v>46295.0</v>
      </c>
      <c r="B895" s="43" t="n">
        <v>0.6180555555555556</v>
      </c>
      <c r="C895" s="37" t="inlineStr">
        <is>
          <t>Dra. Carolina Mendes</t>
        </is>
      </c>
      <c r="D895" s="37" t="inlineStr">
        <is>
          <t>Sala 1</t>
        </is>
      </c>
      <c r="E895" s="36" t="inlineStr">
        <is>
          <t>Regina Macedo</t>
        </is>
      </c>
      <c r="F895" s="37" t="inlineStr">
        <is>
          <t>Particular</t>
        </is>
      </c>
      <c r="G895" s="37" t="inlineStr">
        <is>
          <t>Retorno</t>
        </is>
      </c>
      <c r="H895" s="37" t="inlineStr">
        <is>
          <t>Agendado</t>
        </is>
      </c>
      <c r="I895" s="37" t="n"/>
      <c r="J895" s="37" t="n"/>
      <c r="K895" s="36" t="n"/>
      <c r="L895" s="44">
        <f>IF(G895="","",IFERROR(INDEX(Config!$K$5:$K$16,MATCH(G895,Config!$J$5:$J$16,0)),""))</f>
        <v>20</v>
      </c>
      <c r="M895" s="30">
        <f>IF(OR(G895="",F895=""),"",IFERROR(INDEX(Config!$M$5:$R$16,MATCH(G895,Config!$J$5:$J$16,0),MATCH(F895,Config!$H$5:$H$10,0)),""))</f>
        <v>0</v>
      </c>
      <c r="N895" s="29">
        <f>IF(A895="","",MONTH(A895))</f>
        <v>9</v>
      </c>
      <c r="O895" s="29">
        <f>IF(A895="","",YEAR(A895))</f>
        <v>2026</v>
      </c>
      <c r="P895" s="29" t="str">
        <f>IF(A895="","",CHOOSE(WEEKDAY(A895,2),"Segunda","Terça","Quarta","Quinta","Sexta","Sábado","Domingo"))</f>
        <v>Quarta</v>
      </c>
      <c r="Q895" s="29" t="str">
        <f>IF(B895="","",IF(B895&lt;TIME(12,0,0),"Manhã",IF(B895&lt;TIME(18,0,0),"Tarde","Noite")))</f>
        <v>Tarde</v>
      </c>
      <c r="R895" s="45">
        <f>IF(AND(H895="Realizado",L895&lt;&gt;""),L895/60,0)</f>
        <v>0</v>
      </c>
    </row>
    <row r="896">
      <c r="A896" s="42">
        <f>TODAY()+16</f>
        <v>46295.0</v>
      </c>
      <c r="B896" s="43" t="n">
        <v>0.6319444444444444</v>
      </c>
      <c r="C896" s="37" t="inlineStr">
        <is>
          <t>Dra. Carolina Mendes</t>
        </is>
      </c>
      <c r="D896" s="37" t="inlineStr">
        <is>
          <t>Sala 1</t>
        </is>
      </c>
      <c r="E896" s="36" t="inlineStr">
        <is>
          <t>Camila Batista</t>
        </is>
      </c>
      <c r="F896" s="37" t="inlineStr">
        <is>
          <t>MediPlan</t>
        </is>
      </c>
      <c r="G896" s="37" t="inlineStr">
        <is>
          <t>Consulta</t>
        </is>
      </c>
      <c r="H896" s="37" t="inlineStr">
        <is>
          <t>Agendado</t>
        </is>
      </c>
      <c r="I896" s="37" t="n"/>
      <c r="J896" s="37" t="n"/>
      <c r="K896" s="36" t="n"/>
      <c r="L896" s="44">
        <f>IF(G896="","",IFERROR(INDEX(Config!$K$5:$K$16,MATCH(G896,Config!$J$5:$J$16,0)),""))</f>
        <v>30</v>
      </c>
      <c r="M896" s="30">
        <f>IF(OR(G896="",F896=""),"",IFERROR(INDEX(Config!$M$5:$R$16,MATCH(G896,Config!$J$5:$J$16,0),MATCH(F896,Config!$H$5:$H$10,0)),""))</f>
        <v>100</v>
      </c>
      <c r="N896" s="29">
        <f>IF(A896="","",MONTH(A896))</f>
        <v>9</v>
      </c>
      <c r="O896" s="29">
        <f>IF(A896="","",YEAR(A896))</f>
        <v>2026</v>
      </c>
      <c r="P896" s="29" t="str">
        <f>IF(A896="","",CHOOSE(WEEKDAY(A896,2),"Segunda","Terça","Quarta","Quinta","Sexta","Sábado","Domingo"))</f>
        <v>Quarta</v>
      </c>
      <c r="Q896" s="29" t="str">
        <f>IF(B896="","",IF(B896&lt;TIME(12,0,0),"Manhã",IF(B896&lt;TIME(18,0,0),"Tarde","Noite")))</f>
        <v>Tarde</v>
      </c>
      <c r="R896" s="45">
        <f>IF(AND(H896="Realizado",L896&lt;&gt;""),L896/60,0)</f>
        <v>0</v>
      </c>
    </row>
    <row r="897">
      <c r="A897" s="42">
        <f>TODAY()+16</f>
        <v>46295.0</v>
      </c>
      <c r="B897" s="43" t="n">
        <v>0.6527777777777778</v>
      </c>
      <c r="C897" s="37" t="inlineStr">
        <is>
          <t>Dra. Carolina Mendes</t>
        </is>
      </c>
      <c r="D897" s="37" t="inlineStr">
        <is>
          <t>Sala 1</t>
        </is>
      </c>
      <c r="E897" s="36" t="inlineStr">
        <is>
          <t>Wagner Lima</t>
        </is>
      </c>
      <c r="F897" s="37" t="inlineStr">
        <is>
          <t>Particular</t>
        </is>
      </c>
      <c r="G897" s="37" t="inlineStr">
        <is>
          <t>Consulta</t>
        </is>
      </c>
      <c r="H897" s="37" t="inlineStr">
        <is>
          <t>Agendado</t>
        </is>
      </c>
      <c r="I897" s="37" t="n"/>
      <c r="J897" s="37" t="n"/>
      <c r="K897" s="36" t="n"/>
      <c r="L897" s="44">
        <f>IF(G897="","",IFERROR(INDEX(Config!$K$5:$K$16,MATCH(G897,Config!$J$5:$J$16,0)),""))</f>
        <v>30</v>
      </c>
      <c r="M897" s="30">
        <f>IF(OR(G897="",F897=""),"",IFERROR(INDEX(Config!$M$5:$R$16,MATCH(G897,Config!$J$5:$J$16,0),MATCH(F897,Config!$H$5:$H$10,0)),""))</f>
        <v>380</v>
      </c>
      <c r="N897" s="29">
        <f>IF(A897="","",MONTH(A897))</f>
        <v>9</v>
      </c>
      <c r="O897" s="29">
        <f>IF(A897="","",YEAR(A897))</f>
        <v>2026</v>
      </c>
      <c r="P897" s="29" t="str">
        <f>IF(A897="","",CHOOSE(WEEKDAY(A897,2),"Segunda","Terça","Quarta","Quinta","Sexta","Sábado","Domingo"))</f>
        <v>Quarta</v>
      </c>
      <c r="Q897" s="29" t="str">
        <f>IF(B897="","",IF(B897&lt;TIME(12,0,0),"Manhã",IF(B897&lt;TIME(18,0,0),"Tarde","Noite")))</f>
        <v>Tarde</v>
      </c>
      <c r="R897" s="45">
        <f>IF(AND(H897="Realizado",L897&lt;&gt;""),L897/60,0)</f>
        <v>0</v>
      </c>
    </row>
    <row r="898">
      <c r="A898" s="42">
        <f>TODAY()+16</f>
        <v>46295.0</v>
      </c>
      <c r="B898" s="43" t="n">
        <v>0.6736111111111112</v>
      </c>
      <c r="C898" s="37" t="inlineStr">
        <is>
          <t>Dra. Carolina Mendes</t>
        </is>
      </c>
      <c r="D898" s="37" t="inlineStr">
        <is>
          <t>Sala 1</t>
        </is>
      </c>
      <c r="E898" s="36" t="inlineStr">
        <is>
          <t>Sandra Barros</t>
        </is>
      </c>
      <c r="F898" s="37" t="inlineStr">
        <is>
          <t>Saúde Total</t>
        </is>
      </c>
      <c r="G898" s="37" t="inlineStr">
        <is>
          <t>Consulta</t>
        </is>
      </c>
      <c r="H898" s="37" t="inlineStr">
        <is>
          <t>Agendado</t>
        </is>
      </c>
      <c r="I898" s="37" t="n"/>
      <c r="J898" s="37" t="n"/>
      <c r="K898" s="36" t="n"/>
      <c r="L898" s="44">
        <f>IF(G898="","",IFERROR(INDEX(Config!$K$5:$K$16,MATCH(G898,Config!$J$5:$J$16,0)),""))</f>
        <v>30</v>
      </c>
      <c r="M898" s="30">
        <f>IF(OR(G898="",F898=""),"",IFERROR(INDEX(Config!$M$5:$R$16,MATCH(G898,Config!$J$5:$J$16,0),MATCH(F898,Config!$H$5:$H$10,0)),""))</f>
        <v>120</v>
      </c>
      <c r="N898" s="29">
        <f>IF(A898="","",MONTH(A898))</f>
        <v>9</v>
      </c>
      <c r="O898" s="29">
        <f>IF(A898="","",YEAR(A898))</f>
        <v>2026</v>
      </c>
      <c r="P898" s="29" t="str">
        <f>IF(A898="","",CHOOSE(WEEKDAY(A898,2),"Segunda","Terça","Quarta","Quinta","Sexta","Sábado","Domingo"))</f>
        <v>Quarta</v>
      </c>
      <c r="Q898" s="29" t="str">
        <f>IF(B898="","",IF(B898&lt;TIME(12,0,0),"Manhã",IF(B898&lt;TIME(18,0,0),"Tarde","Noite")))</f>
        <v>Tarde</v>
      </c>
      <c r="R898" s="45">
        <f>IF(AND(H898="Realizado",L898&lt;&gt;""),L898/60,0)</f>
        <v>0</v>
      </c>
    </row>
    <row r="899">
      <c r="A899" s="42">
        <f>TODAY()+16</f>
        <v>46295.0</v>
      </c>
      <c r="B899" s="43" t="n">
        <v>0.6944444444444444</v>
      </c>
      <c r="C899" s="37" t="inlineStr">
        <is>
          <t>Dra. Carolina Mendes</t>
        </is>
      </c>
      <c r="D899" s="37" t="inlineStr">
        <is>
          <t>Sala 1</t>
        </is>
      </c>
      <c r="E899" s="36" t="inlineStr">
        <is>
          <t>Cláudia Santos</t>
        </is>
      </c>
      <c r="F899" s="37" t="inlineStr">
        <is>
          <t>Particular</t>
        </is>
      </c>
      <c r="G899" s="37" t="inlineStr">
        <is>
          <t>Consulta</t>
        </is>
      </c>
      <c r="H899" s="37" t="inlineStr">
        <is>
          <t>Agendado</t>
        </is>
      </c>
      <c r="I899" s="37" t="n"/>
      <c r="J899" s="37" t="n"/>
      <c r="K899" s="36" t="n"/>
      <c r="L899" s="44">
        <f>IF(G899="","",IFERROR(INDEX(Config!$K$5:$K$16,MATCH(G899,Config!$J$5:$J$16,0)),""))</f>
        <v>30</v>
      </c>
      <c r="M899" s="30">
        <f>IF(OR(G899="",F899=""),"",IFERROR(INDEX(Config!$M$5:$R$16,MATCH(G899,Config!$J$5:$J$16,0),MATCH(F899,Config!$H$5:$H$10,0)),""))</f>
        <v>380</v>
      </c>
      <c r="N899" s="29">
        <f>IF(A899="","",MONTH(A899))</f>
        <v>9</v>
      </c>
      <c r="O899" s="29">
        <f>IF(A899="","",YEAR(A899))</f>
        <v>2026</v>
      </c>
      <c r="P899" s="29" t="str">
        <f>IF(A899="","",CHOOSE(WEEKDAY(A899,2),"Segunda","Terça","Quarta","Quinta","Sexta","Sábado","Domingo"))</f>
        <v>Quarta</v>
      </c>
      <c r="Q899" s="29" t="str">
        <f>IF(B899="","",IF(B899&lt;TIME(12,0,0),"Manhã",IF(B899&lt;TIME(18,0,0),"Tarde","Noite")))</f>
        <v>Tarde</v>
      </c>
      <c r="R899" s="45">
        <f>IF(AND(H899="Realizado",L899&lt;&gt;""),L899/60,0)</f>
        <v>0</v>
      </c>
    </row>
    <row r="900">
      <c r="A900" s="42">
        <f>TODAY()+16</f>
        <v>46295.0</v>
      </c>
      <c r="B900" s="43" t="n">
        <v>0.7152777777777778</v>
      </c>
      <c r="C900" s="37" t="inlineStr">
        <is>
          <t>Dra. Carolina Mendes</t>
        </is>
      </c>
      <c r="D900" s="37" t="inlineStr">
        <is>
          <t>Sala 1</t>
        </is>
      </c>
      <c r="E900" s="36" t="inlineStr">
        <is>
          <t>Mônica Teixeira</t>
        </is>
      </c>
      <c r="F900" s="37" t="inlineStr">
        <is>
          <t>Vida Care</t>
        </is>
      </c>
      <c r="G900" s="37" t="inlineStr">
        <is>
          <t>Consulta</t>
        </is>
      </c>
      <c r="H900" s="37" t="inlineStr">
        <is>
          <t>Agendado</t>
        </is>
      </c>
      <c r="I900" s="37" t="n"/>
      <c r="J900" s="37" t="n"/>
      <c r="K900" s="36" t="n"/>
      <c r="L900" s="44">
        <f>IF(G900="","",IFERROR(INDEX(Config!$K$5:$K$16,MATCH(G900,Config!$J$5:$J$16,0)),""))</f>
        <v>30</v>
      </c>
      <c r="M900" s="30">
        <f>IF(OR(G900="",F900=""),"",IFERROR(INDEX(Config!$M$5:$R$16,MATCH(G900,Config!$J$5:$J$16,0),MATCH(F900,Config!$H$5:$H$10,0)),""))</f>
        <v>90</v>
      </c>
      <c r="N900" s="29">
        <f>IF(A900="","",MONTH(A900))</f>
        <v>9</v>
      </c>
      <c r="O900" s="29">
        <f>IF(A900="","",YEAR(A900))</f>
        <v>2026</v>
      </c>
      <c r="P900" s="29" t="str">
        <f>IF(A900="","",CHOOSE(WEEKDAY(A900,2),"Segunda","Terça","Quarta","Quinta","Sexta","Sábado","Domingo"))</f>
        <v>Quarta</v>
      </c>
      <c r="Q900" s="29" t="str">
        <f>IF(B900="","",IF(B900&lt;TIME(12,0,0),"Manhã",IF(B900&lt;TIME(18,0,0),"Tarde","Noite")))</f>
        <v>Tarde</v>
      </c>
      <c r="R900" s="45">
        <f>IF(AND(H900="Realizado",L900&lt;&gt;""),L900/60,0)</f>
        <v>0</v>
      </c>
    </row>
    <row r="901">
      <c r="A901" s="42">
        <f>TODAY()+16</f>
        <v>46295.0</v>
      </c>
      <c r="B901" s="43" t="n">
        <v>0.7361111111111112</v>
      </c>
      <c r="C901" s="37" t="inlineStr">
        <is>
          <t>Dra. Carolina Mendes</t>
        </is>
      </c>
      <c r="D901" s="37" t="inlineStr">
        <is>
          <t>Sala 1</t>
        </is>
      </c>
      <c r="E901" s="36" t="inlineStr">
        <is>
          <t>Gustavo Barbosa</t>
        </is>
      </c>
      <c r="F901" s="37" t="inlineStr">
        <is>
          <t>Saúde Total</t>
        </is>
      </c>
      <c r="G901" s="37" t="inlineStr">
        <is>
          <t>Consulta</t>
        </is>
      </c>
      <c r="H901" s="37" t="inlineStr">
        <is>
          <t>Agendado</t>
        </is>
      </c>
      <c r="I901" s="37" t="n"/>
      <c r="J901" s="37" t="n"/>
      <c r="K901" s="36" t="n"/>
      <c r="L901" s="44">
        <f>IF(G901="","",IFERROR(INDEX(Config!$K$5:$K$16,MATCH(G901,Config!$J$5:$J$16,0)),""))</f>
        <v>30</v>
      </c>
      <c r="M901" s="30">
        <f>IF(OR(G901="",F901=""),"",IFERROR(INDEX(Config!$M$5:$R$16,MATCH(G901,Config!$J$5:$J$16,0),MATCH(F901,Config!$H$5:$H$10,0)),""))</f>
        <v>120</v>
      </c>
      <c r="N901" s="29">
        <f>IF(A901="","",MONTH(A901))</f>
        <v>9</v>
      </c>
      <c r="O901" s="29">
        <f>IF(A901="","",YEAR(A901))</f>
        <v>2026</v>
      </c>
      <c r="P901" s="29" t="str">
        <f>IF(A901="","",CHOOSE(WEEKDAY(A901,2),"Segunda","Terça","Quarta","Quinta","Sexta","Sábado","Domingo"))</f>
        <v>Quarta</v>
      </c>
      <c r="Q901" s="29" t="str">
        <f>IF(B901="","",IF(B901&lt;TIME(12,0,0),"Manhã",IF(B901&lt;TIME(18,0,0),"Tarde","Noite")))</f>
        <v>Tarde</v>
      </c>
      <c r="R901" s="45">
        <f>IF(AND(H901="Realizado",L901&lt;&gt;""),L901/60,0)</f>
        <v>0</v>
      </c>
    </row>
    <row r="902">
      <c r="A902" s="42">
        <f>TODAY()+17</f>
        <v>46296.0</v>
      </c>
      <c r="B902" s="43" t="n">
        <v>0.3333333333333333</v>
      </c>
      <c r="C902" s="37" t="inlineStr">
        <is>
          <t>Dra. Carolina Mendes</t>
        </is>
      </c>
      <c r="D902" s="37" t="inlineStr">
        <is>
          <t>Sala 1</t>
        </is>
      </c>
      <c r="E902" s="36" t="inlineStr">
        <is>
          <t>Marcelo Santos</t>
        </is>
      </c>
      <c r="F902" s="37" t="inlineStr">
        <is>
          <t>Particular</t>
        </is>
      </c>
      <c r="G902" s="37" t="inlineStr">
        <is>
          <t>Consulta</t>
        </is>
      </c>
      <c r="H902" s="37" t="inlineStr">
        <is>
          <t>Agendado</t>
        </is>
      </c>
      <c r="I902" s="37" t="n"/>
      <c r="J902" s="37" t="n"/>
      <c r="K902" s="36" t="n"/>
      <c r="L902" s="44">
        <f>IF(G902="","",IFERROR(INDEX(Config!$K$5:$K$16,MATCH(G902,Config!$J$5:$J$16,0)),""))</f>
        <v>30</v>
      </c>
      <c r="M902" s="30">
        <f>IF(OR(G902="",F902=""),"",IFERROR(INDEX(Config!$M$5:$R$16,MATCH(G902,Config!$J$5:$J$16,0),MATCH(F902,Config!$H$5:$H$10,0)),""))</f>
        <v>380</v>
      </c>
      <c r="N902" s="29">
        <f>IF(A902="","",MONTH(A902))</f>
        <v>10</v>
      </c>
      <c r="O902" s="29">
        <f>IF(A902="","",YEAR(A902))</f>
        <v>2026</v>
      </c>
      <c r="P902" s="29" t="str">
        <f>IF(A902="","",CHOOSE(WEEKDAY(A902,2),"Segunda","Terça","Quarta","Quinta","Sexta","Sábado","Domingo"))</f>
        <v>Quinta</v>
      </c>
      <c r="Q902" s="29" t="str">
        <f>IF(B902="","",IF(B902&lt;TIME(12,0,0),"Manhã",IF(B902&lt;TIME(18,0,0),"Tarde","Noite")))</f>
        <v>Manhã</v>
      </c>
      <c r="R902" s="45">
        <f>IF(AND(H902="Realizado",L902&lt;&gt;""),L902/60,0)</f>
        <v>0</v>
      </c>
    </row>
    <row r="903">
      <c r="A903" s="42">
        <f>TODAY()+17</f>
        <v>46296.0</v>
      </c>
      <c r="B903" s="43" t="n">
        <v>0.375</v>
      </c>
      <c r="C903" s="37" t="inlineStr">
        <is>
          <t>Dra. Carolina Mendes</t>
        </is>
      </c>
      <c r="D903" s="37" t="inlineStr">
        <is>
          <t>Sala 1</t>
        </is>
      </c>
      <c r="E903" s="36" t="inlineStr">
        <is>
          <t>Sérgio Martins</t>
        </is>
      </c>
      <c r="F903" s="37" t="inlineStr">
        <is>
          <t>Particular</t>
        </is>
      </c>
      <c r="G903" s="37" t="inlineStr">
        <is>
          <t>Consulta</t>
        </is>
      </c>
      <c r="H903" s="37" t="inlineStr">
        <is>
          <t>Agendado</t>
        </is>
      </c>
      <c r="I903" s="37" t="n"/>
      <c r="J903" s="37" t="n"/>
      <c r="K903" s="36" t="n"/>
      <c r="L903" s="44">
        <f>IF(G903="","",IFERROR(INDEX(Config!$K$5:$K$16,MATCH(G903,Config!$J$5:$J$16,0)),""))</f>
        <v>30</v>
      </c>
      <c r="M903" s="30">
        <f>IF(OR(G903="",F903=""),"",IFERROR(INDEX(Config!$M$5:$R$16,MATCH(G903,Config!$J$5:$J$16,0),MATCH(F903,Config!$H$5:$H$10,0)),""))</f>
        <v>380</v>
      </c>
      <c r="N903" s="29">
        <f>IF(A903="","",MONTH(A903))</f>
        <v>10</v>
      </c>
      <c r="O903" s="29">
        <f>IF(A903="","",YEAR(A903))</f>
        <v>2026</v>
      </c>
      <c r="P903" s="29" t="str">
        <f>IF(A903="","",CHOOSE(WEEKDAY(A903,2),"Segunda","Terça","Quarta","Quinta","Sexta","Sábado","Domingo"))</f>
        <v>Quinta</v>
      </c>
      <c r="Q903" s="29" t="str">
        <f>IF(B903="","",IF(B903&lt;TIME(12,0,0),"Manhã",IF(B903&lt;TIME(18,0,0),"Tarde","Noite")))</f>
        <v>Manhã</v>
      </c>
      <c r="R903" s="45">
        <f>IF(AND(H903="Realizado",L903&lt;&gt;""),L903/60,0)</f>
        <v>0</v>
      </c>
    </row>
    <row r="904">
      <c r="A904" s="42">
        <f>TODAY()+17</f>
        <v>46296.0</v>
      </c>
      <c r="B904" s="43" t="n">
        <v>0.3958333333333333</v>
      </c>
      <c r="C904" s="37" t="inlineStr">
        <is>
          <t>Dra. Carolina Mendes</t>
        </is>
      </c>
      <c r="D904" s="37" t="inlineStr">
        <is>
          <t>Sala 1</t>
        </is>
      </c>
      <c r="E904" s="36" t="inlineStr">
        <is>
          <t>Isabela Nascimento</t>
        </is>
      </c>
      <c r="F904" s="37" t="inlineStr">
        <is>
          <t>Vida Care</t>
        </is>
      </c>
      <c r="G904" s="37" t="inlineStr">
        <is>
          <t>Consulta</t>
        </is>
      </c>
      <c r="H904" s="37" t="inlineStr">
        <is>
          <t>Agendado</t>
        </is>
      </c>
      <c r="I904" s="37" t="n"/>
      <c r="J904" s="37" t="n"/>
      <c r="K904" s="36" t="n"/>
      <c r="L904" s="44">
        <f>IF(G904="","",IFERROR(INDEX(Config!$K$5:$K$16,MATCH(G904,Config!$J$5:$J$16,0)),""))</f>
        <v>30</v>
      </c>
      <c r="M904" s="30">
        <f>IF(OR(G904="",F904=""),"",IFERROR(INDEX(Config!$M$5:$R$16,MATCH(G904,Config!$J$5:$J$16,0),MATCH(F904,Config!$H$5:$H$10,0)),""))</f>
        <v>90</v>
      </c>
      <c r="N904" s="29">
        <f>IF(A904="","",MONTH(A904))</f>
        <v>10</v>
      </c>
      <c r="O904" s="29">
        <f>IF(A904="","",YEAR(A904))</f>
        <v>2026</v>
      </c>
      <c r="P904" s="29" t="str">
        <f>IF(A904="","",CHOOSE(WEEKDAY(A904,2),"Segunda","Terça","Quarta","Quinta","Sexta","Sábado","Domingo"))</f>
        <v>Quinta</v>
      </c>
      <c r="Q904" s="29" t="str">
        <f>IF(B904="","",IF(B904&lt;TIME(12,0,0),"Manhã",IF(B904&lt;TIME(18,0,0),"Tarde","Noite")))</f>
        <v>Manhã</v>
      </c>
      <c r="R904" s="45">
        <f>IF(AND(H904="Realizado",L904&lt;&gt;""),L904/60,0)</f>
        <v>0</v>
      </c>
    </row>
    <row r="905">
      <c r="A905" s="42">
        <f>TODAY()+17</f>
        <v>46296.0</v>
      </c>
      <c r="B905" s="43" t="n">
        <v>0.4166666666666667</v>
      </c>
      <c r="C905" s="37" t="inlineStr">
        <is>
          <t>Dra. Carolina Mendes</t>
        </is>
      </c>
      <c r="D905" s="37" t="inlineStr">
        <is>
          <t>Sala 1</t>
        </is>
      </c>
      <c r="E905" s="36" t="inlineStr">
        <is>
          <t>Eduardo Nunes</t>
        </is>
      </c>
      <c r="F905" s="37" t="inlineStr">
        <is>
          <t>MediPlan</t>
        </is>
      </c>
      <c r="G905" s="37" t="inlineStr">
        <is>
          <t>Consulta</t>
        </is>
      </c>
      <c r="H905" s="37" t="inlineStr">
        <is>
          <t>Agendado</t>
        </is>
      </c>
      <c r="I905" s="37" t="n"/>
      <c r="J905" s="37" t="n"/>
      <c r="K905" s="36" t="n"/>
      <c r="L905" s="44">
        <f>IF(G905="","",IFERROR(INDEX(Config!$K$5:$K$16,MATCH(G905,Config!$J$5:$J$16,0)),""))</f>
        <v>30</v>
      </c>
      <c r="M905" s="30">
        <f>IF(OR(G905="",F905=""),"",IFERROR(INDEX(Config!$M$5:$R$16,MATCH(G905,Config!$J$5:$J$16,0),MATCH(F905,Config!$H$5:$H$10,0)),""))</f>
        <v>100</v>
      </c>
      <c r="N905" s="29">
        <f>IF(A905="","",MONTH(A905))</f>
        <v>10</v>
      </c>
      <c r="O905" s="29">
        <f>IF(A905="","",YEAR(A905))</f>
        <v>2026</v>
      </c>
      <c r="P905" s="29" t="str">
        <f>IF(A905="","",CHOOSE(WEEKDAY(A905,2),"Segunda","Terça","Quarta","Quinta","Sexta","Sábado","Domingo"))</f>
        <v>Quinta</v>
      </c>
      <c r="Q905" s="29" t="str">
        <f>IF(B905="","",IF(B905&lt;TIME(12,0,0),"Manhã",IF(B905&lt;TIME(18,0,0),"Tarde","Noite")))</f>
        <v>Manhã</v>
      </c>
      <c r="R905" s="45">
        <f>IF(AND(H905="Realizado",L905&lt;&gt;""),L905/60,0)</f>
        <v>0</v>
      </c>
    </row>
    <row r="906">
      <c r="A906" s="42">
        <f>TODAY()+17</f>
        <v>46296.0</v>
      </c>
      <c r="B906" s="43" t="n">
        <v>0.4583333333333333</v>
      </c>
      <c r="C906" s="37" t="inlineStr">
        <is>
          <t>Dra. Carolina Mendes</t>
        </is>
      </c>
      <c r="D906" s="37" t="inlineStr">
        <is>
          <t>Sala 1</t>
        </is>
      </c>
      <c r="E906" s="36" t="inlineStr">
        <is>
          <t>Sérgio Batista</t>
        </is>
      </c>
      <c r="F906" s="37" t="inlineStr">
        <is>
          <t>MediPlan</t>
        </is>
      </c>
      <c r="G906" s="37" t="inlineStr">
        <is>
          <t>Consulta</t>
        </is>
      </c>
      <c r="H906" s="37" t="inlineStr">
        <is>
          <t>Agendado</t>
        </is>
      </c>
      <c r="I906" s="37" t="n"/>
      <c r="J906" s="37" t="n"/>
      <c r="K906" s="36" t="n"/>
      <c r="L906" s="44">
        <f>IF(G906="","",IFERROR(INDEX(Config!$K$5:$K$16,MATCH(G906,Config!$J$5:$J$16,0)),""))</f>
        <v>30</v>
      </c>
      <c r="M906" s="30">
        <f>IF(OR(G906="",F906=""),"",IFERROR(INDEX(Config!$M$5:$R$16,MATCH(G906,Config!$J$5:$J$16,0),MATCH(F906,Config!$H$5:$H$10,0)),""))</f>
        <v>100</v>
      </c>
      <c r="N906" s="29">
        <f>IF(A906="","",MONTH(A906))</f>
        <v>10</v>
      </c>
      <c r="O906" s="29">
        <f>IF(A906="","",YEAR(A906))</f>
        <v>2026</v>
      </c>
      <c r="P906" s="29" t="str">
        <f>IF(A906="","",CHOOSE(WEEKDAY(A906,2),"Segunda","Terça","Quarta","Quinta","Sexta","Sábado","Domingo"))</f>
        <v>Quinta</v>
      </c>
      <c r="Q906" s="29" t="str">
        <f>IF(B906="","",IF(B906&lt;TIME(12,0,0),"Manhã",IF(B906&lt;TIME(18,0,0),"Tarde","Noite")))</f>
        <v>Manhã</v>
      </c>
      <c r="R906" s="45">
        <f>IF(AND(H906="Realizado",L906&lt;&gt;""),L906/60,0)</f>
        <v>0</v>
      </c>
    </row>
    <row r="907">
      <c r="A907" s="42">
        <f>TODAY()+17</f>
        <v>46296.0</v>
      </c>
      <c r="B907" s="43" t="n">
        <v>0.4791666666666667</v>
      </c>
      <c r="C907" s="37" t="inlineStr">
        <is>
          <t>Dra. Carolina Mendes</t>
        </is>
      </c>
      <c r="D907" s="37" t="inlineStr">
        <is>
          <t>Sala 1</t>
        </is>
      </c>
      <c r="E907" s="36" t="inlineStr">
        <is>
          <t>Tatiana Cunha</t>
        </is>
      </c>
      <c r="F907" s="37" t="inlineStr">
        <is>
          <t>Saúde Total</t>
        </is>
      </c>
      <c r="G907" s="37" t="inlineStr">
        <is>
          <t>Consulta</t>
        </is>
      </c>
      <c r="H907" s="37" t="inlineStr">
        <is>
          <t>Agendado</t>
        </is>
      </c>
      <c r="I907" s="37" t="n"/>
      <c r="J907" s="37" t="n"/>
      <c r="K907" s="36" t="n"/>
      <c r="L907" s="44">
        <f>IF(G907="","",IFERROR(INDEX(Config!$K$5:$K$16,MATCH(G907,Config!$J$5:$J$16,0)),""))</f>
        <v>30</v>
      </c>
      <c r="M907" s="30">
        <f>IF(OR(G907="",F907=""),"",IFERROR(INDEX(Config!$M$5:$R$16,MATCH(G907,Config!$J$5:$J$16,0),MATCH(F907,Config!$H$5:$H$10,0)),""))</f>
        <v>120</v>
      </c>
      <c r="N907" s="29">
        <f>IF(A907="","",MONTH(A907))</f>
        <v>10</v>
      </c>
      <c r="O907" s="29">
        <f>IF(A907="","",YEAR(A907))</f>
        <v>2026</v>
      </c>
      <c r="P907" s="29" t="str">
        <f>IF(A907="","",CHOOSE(WEEKDAY(A907,2),"Segunda","Terça","Quarta","Quinta","Sexta","Sábado","Domingo"))</f>
        <v>Quinta</v>
      </c>
      <c r="Q907" s="29" t="str">
        <f>IF(B907="","",IF(B907&lt;TIME(12,0,0),"Manhã",IF(B907&lt;TIME(18,0,0),"Tarde","Noite")))</f>
        <v>Manhã</v>
      </c>
      <c r="R907" s="45">
        <f>IF(AND(H907="Realizado",L907&lt;&gt;""),L907/60,0)</f>
        <v>0</v>
      </c>
    </row>
    <row r="908">
      <c r="A908" s="42">
        <f>TODAY()+17</f>
        <v>46296.0</v>
      </c>
      <c r="B908" s="43" t="n">
        <v>0.5833333333333334</v>
      </c>
      <c r="C908" s="37" t="inlineStr">
        <is>
          <t>Dra. Renata Sousa</t>
        </is>
      </c>
      <c r="D908" s="37" t="inlineStr">
        <is>
          <t>Sala 1</t>
        </is>
      </c>
      <c r="E908" s="36" t="inlineStr">
        <is>
          <t>Priscila Reis</t>
        </is>
      </c>
      <c r="F908" s="37" t="inlineStr">
        <is>
          <t>Particular</t>
        </is>
      </c>
      <c r="G908" s="37" t="inlineStr">
        <is>
          <t>Avaliação endócrina</t>
        </is>
      </c>
      <c r="H908" s="37" t="inlineStr">
        <is>
          <t>Agendado</t>
        </is>
      </c>
      <c r="I908" s="37" t="n"/>
      <c r="J908" s="37" t="n"/>
      <c r="K908" s="36" t="n"/>
      <c r="L908" s="44">
        <f>IF(G908="","",IFERROR(INDEX(Config!$K$5:$K$16,MATCH(G908,Config!$J$5:$J$16,0)),""))</f>
        <v>40</v>
      </c>
      <c r="M908" s="30">
        <f>IF(OR(G908="",F908=""),"",IFERROR(INDEX(Config!$M$5:$R$16,MATCH(G908,Config!$J$5:$J$16,0),MATCH(F908,Config!$H$5:$H$10,0)),""))</f>
        <v>400</v>
      </c>
      <c r="N908" s="29">
        <f>IF(A908="","",MONTH(A908))</f>
        <v>10</v>
      </c>
      <c r="O908" s="29">
        <f>IF(A908="","",YEAR(A908))</f>
        <v>2026</v>
      </c>
      <c r="P908" s="29" t="str">
        <f>IF(A908="","",CHOOSE(WEEKDAY(A908,2),"Segunda","Terça","Quarta","Quinta","Sexta","Sábado","Domingo"))</f>
        <v>Quinta</v>
      </c>
      <c r="Q908" s="29" t="str">
        <f>IF(B908="","",IF(B908&lt;TIME(12,0,0),"Manhã",IF(B908&lt;TIME(18,0,0),"Tarde","Noite")))</f>
        <v>Tarde</v>
      </c>
      <c r="R908" s="45">
        <f>IF(AND(H908="Realizado",L908&lt;&gt;""),L908/60,0)</f>
        <v>0</v>
      </c>
    </row>
    <row r="909">
      <c r="A909" s="42">
        <f>TODAY()+17</f>
        <v>46296.0</v>
      </c>
      <c r="B909" s="43" t="n">
        <v>0.5833333333333334</v>
      </c>
      <c r="C909" s="37" t="inlineStr">
        <is>
          <t>Dr. Paulo Andrade</t>
        </is>
      </c>
      <c r="D909" s="37" t="inlineStr">
        <is>
          <t>Sala 2</t>
        </is>
      </c>
      <c r="E909" s="36" t="inlineStr">
        <is>
          <t>Wagner Costa</t>
        </is>
      </c>
      <c r="F909" s="37" t="inlineStr">
        <is>
          <t>Particular</t>
        </is>
      </c>
      <c r="G909" s="37" t="inlineStr">
        <is>
          <t>MAPA</t>
        </is>
      </c>
      <c r="H909" s="37" t="inlineStr">
        <is>
          <t>Agendado</t>
        </is>
      </c>
      <c r="I909" s="37" t="n"/>
      <c r="J909" s="37" t="n"/>
      <c r="K909" s="36" t="n"/>
      <c r="L909" s="44">
        <f>IF(G909="","",IFERROR(INDEX(Config!$K$5:$K$16,MATCH(G909,Config!$J$5:$J$16,0)),""))</f>
        <v>20</v>
      </c>
      <c r="M909" s="30">
        <f>IF(OR(G909="",F909=""),"",IFERROR(INDEX(Config!$M$5:$R$16,MATCH(G909,Config!$J$5:$J$16,0),MATCH(F909,Config!$H$5:$H$10,0)),""))</f>
        <v>300</v>
      </c>
      <c r="N909" s="29">
        <f>IF(A909="","",MONTH(A909))</f>
        <v>10</v>
      </c>
      <c r="O909" s="29">
        <f>IF(A909="","",YEAR(A909))</f>
        <v>2026</v>
      </c>
      <c r="P909" s="29" t="str">
        <f>IF(A909="","",CHOOSE(WEEKDAY(A909,2),"Segunda","Terça","Quarta","Quinta","Sexta","Sábado","Domingo"))</f>
        <v>Quinta</v>
      </c>
      <c r="Q909" s="29" t="str">
        <f>IF(B909="","",IF(B909&lt;TIME(12,0,0),"Manhã",IF(B909&lt;TIME(18,0,0),"Tarde","Noite")))</f>
        <v>Tarde</v>
      </c>
      <c r="R909" s="45">
        <f>IF(AND(H909="Realizado",L909&lt;&gt;""),L909/60,0)</f>
        <v>0</v>
      </c>
    </row>
    <row r="910">
      <c r="A910" s="42">
        <f>TODAY()+17</f>
        <v>46296.0</v>
      </c>
      <c r="B910" s="43" t="n">
        <v>0.5972222222222222</v>
      </c>
      <c r="C910" s="37" t="inlineStr">
        <is>
          <t>Dr. Paulo Andrade</t>
        </is>
      </c>
      <c r="D910" s="37" t="inlineStr">
        <is>
          <t>Sala 2</t>
        </is>
      </c>
      <c r="E910" s="36" t="inlineStr">
        <is>
          <t>Lucas Lopes</t>
        </is>
      </c>
      <c r="F910" s="37" t="inlineStr">
        <is>
          <t>Particular</t>
        </is>
      </c>
      <c r="G910" s="37" t="inlineStr">
        <is>
          <t>MAPA</t>
        </is>
      </c>
      <c r="H910" s="37" t="inlineStr">
        <is>
          <t>Agendado</t>
        </is>
      </c>
      <c r="I910" s="37" t="n"/>
      <c r="J910" s="37" t="n"/>
      <c r="K910" s="36" t="n"/>
      <c r="L910" s="44">
        <f>IF(G910="","",IFERROR(INDEX(Config!$K$5:$K$16,MATCH(G910,Config!$J$5:$J$16,0)),""))</f>
        <v>20</v>
      </c>
      <c r="M910" s="30">
        <f>IF(OR(G910="",F910=""),"",IFERROR(INDEX(Config!$M$5:$R$16,MATCH(G910,Config!$J$5:$J$16,0),MATCH(F910,Config!$H$5:$H$10,0)),""))</f>
        <v>300</v>
      </c>
      <c r="N910" s="29">
        <f>IF(A910="","",MONTH(A910))</f>
        <v>10</v>
      </c>
      <c r="O910" s="29">
        <f>IF(A910="","",YEAR(A910))</f>
        <v>2026</v>
      </c>
      <c r="P910" s="29" t="str">
        <f>IF(A910="","",CHOOSE(WEEKDAY(A910,2),"Segunda","Terça","Quarta","Quinta","Sexta","Sábado","Domingo"))</f>
        <v>Quinta</v>
      </c>
      <c r="Q910" s="29" t="str">
        <f>IF(B910="","",IF(B910&lt;TIME(12,0,0),"Manhã",IF(B910&lt;TIME(18,0,0),"Tarde","Noite")))</f>
        <v>Tarde</v>
      </c>
      <c r="R910" s="45">
        <f>IF(AND(H910="Realizado",L910&lt;&gt;""),L910/60,0)</f>
        <v>0</v>
      </c>
    </row>
    <row r="911">
      <c r="A911" s="42">
        <f>TODAY()+17</f>
        <v>46296.0</v>
      </c>
      <c r="B911" s="43" t="n">
        <v>0.6111111111111112</v>
      </c>
      <c r="C911" s="37" t="inlineStr">
        <is>
          <t>Dr. Paulo Andrade</t>
        </is>
      </c>
      <c r="D911" s="37" t="inlineStr">
        <is>
          <t>Sala 2</t>
        </is>
      </c>
      <c r="E911" s="36" t="inlineStr">
        <is>
          <t>Débora Moreira</t>
        </is>
      </c>
      <c r="F911" s="37" t="inlineStr">
        <is>
          <t>Particular</t>
        </is>
      </c>
      <c r="G911" s="37" t="inlineStr">
        <is>
          <t>Consulta</t>
        </is>
      </c>
      <c r="H911" s="37" t="inlineStr">
        <is>
          <t>Agendado</t>
        </is>
      </c>
      <c r="I911" s="37" t="n"/>
      <c r="J911" s="37" t="n"/>
      <c r="K911" s="36" t="n"/>
      <c r="L911" s="44">
        <f>IF(G911="","",IFERROR(INDEX(Config!$K$5:$K$16,MATCH(G911,Config!$J$5:$J$16,0)),""))</f>
        <v>30</v>
      </c>
      <c r="M911" s="30">
        <f>IF(OR(G911="",F911=""),"",IFERROR(INDEX(Config!$M$5:$R$16,MATCH(G911,Config!$J$5:$J$16,0),MATCH(F911,Config!$H$5:$H$10,0)),""))</f>
        <v>380</v>
      </c>
      <c r="N911" s="29">
        <f>IF(A911="","",MONTH(A911))</f>
        <v>10</v>
      </c>
      <c r="O911" s="29">
        <f>IF(A911="","",YEAR(A911))</f>
        <v>2026</v>
      </c>
      <c r="P911" s="29" t="str">
        <f>IF(A911="","",CHOOSE(WEEKDAY(A911,2),"Segunda","Terça","Quarta","Quinta","Sexta","Sábado","Domingo"))</f>
        <v>Quinta</v>
      </c>
      <c r="Q911" s="29" t="str">
        <f>IF(B911="","",IF(B911&lt;TIME(12,0,0),"Manhã",IF(B911&lt;TIME(18,0,0),"Tarde","Noite")))</f>
        <v>Tarde</v>
      </c>
      <c r="R911" s="45">
        <f>IF(AND(H911="Realizado",L911&lt;&gt;""),L911/60,0)</f>
        <v>0</v>
      </c>
    </row>
    <row r="912">
      <c r="A912" s="42">
        <f>TODAY()+17</f>
        <v>46296.0</v>
      </c>
      <c r="B912" s="43" t="n">
        <v>0.6319444444444444</v>
      </c>
      <c r="C912" s="37" t="inlineStr">
        <is>
          <t>Dra. Renata Sousa</t>
        </is>
      </c>
      <c r="D912" s="37" t="inlineStr">
        <is>
          <t>Sala 1</t>
        </is>
      </c>
      <c r="E912" s="36" t="inlineStr">
        <is>
          <t>Mariana Gomes</t>
        </is>
      </c>
      <c r="F912" s="37" t="inlineStr">
        <is>
          <t>Particular</t>
        </is>
      </c>
      <c r="G912" s="37" t="inlineStr">
        <is>
          <t>Avaliação endócrina</t>
        </is>
      </c>
      <c r="H912" s="37" t="inlineStr">
        <is>
          <t>Agendado</t>
        </is>
      </c>
      <c r="I912" s="37" t="n"/>
      <c r="J912" s="37" t="n"/>
      <c r="K912" s="36" t="n"/>
      <c r="L912" s="44">
        <f>IF(G912="","",IFERROR(INDEX(Config!$K$5:$K$16,MATCH(G912,Config!$J$5:$J$16,0)),""))</f>
        <v>40</v>
      </c>
      <c r="M912" s="30">
        <f>IF(OR(G912="",F912=""),"",IFERROR(INDEX(Config!$M$5:$R$16,MATCH(G912,Config!$J$5:$J$16,0),MATCH(F912,Config!$H$5:$H$10,0)),""))</f>
        <v>400</v>
      </c>
      <c r="N912" s="29">
        <f>IF(A912="","",MONTH(A912))</f>
        <v>10</v>
      </c>
      <c r="O912" s="29">
        <f>IF(A912="","",YEAR(A912))</f>
        <v>2026</v>
      </c>
      <c r="P912" s="29" t="str">
        <f>IF(A912="","",CHOOSE(WEEKDAY(A912,2),"Segunda","Terça","Quarta","Quinta","Sexta","Sábado","Domingo"))</f>
        <v>Quinta</v>
      </c>
      <c r="Q912" s="29" t="str">
        <f>IF(B912="","",IF(B912&lt;TIME(12,0,0),"Manhã",IF(B912&lt;TIME(18,0,0),"Tarde","Noite")))</f>
        <v>Tarde</v>
      </c>
      <c r="R912" s="45">
        <f>IF(AND(H912="Realizado",L912&lt;&gt;""),L912/60,0)</f>
        <v>0</v>
      </c>
    </row>
    <row r="913">
      <c r="A913" s="42">
        <f>TODAY()+17</f>
        <v>46296.0</v>
      </c>
      <c r="B913" s="43" t="n">
        <v>0.6319444444444444</v>
      </c>
      <c r="C913" s="37" t="inlineStr">
        <is>
          <t>Dr. Paulo Andrade</t>
        </is>
      </c>
      <c r="D913" s="37" t="inlineStr">
        <is>
          <t>Sala 2</t>
        </is>
      </c>
      <c r="E913" s="36" t="inlineStr">
        <is>
          <t>Cláudia Castro</t>
        </is>
      </c>
      <c r="F913" s="37" t="inlineStr">
        <is>
          <t>Vida Care</t>
        </is>
      </c>
      <c r="G913" s="37" t="inlineStr">
        <is>
          <t>Consulta</t>
        </is>
      </c>
      <c r="H913" s="37" t="inlineStr">
        <is>
          <t>Agendado</t>
        </is>
      </c>
      <c r="I913" s="37" t="n"/>
      <c r="J913" s="37" t="n"/>
      <c r="K913" s="36" t="n"/>
      <c r="L913" s="44">
        <f>IF(G913="","",IFERROR(INDEX(Config!$K$5:$K$16,MATCH(G913,Config!$J$5:$J$16,0)),""))</f>
        <v>30</v>
      </c>
      <c r="M913" s="30">
        <f>IF(OR(G913="",F913=""),"",IFERROR(INDEX(Config!$M$5:$R$16,MATCH(G913,Config!$J$5:$J$16,0),MATCH(F913,Config!$H$5:$H$10,0)),""))</f>
        <v>90</v>
      </c>
      <c r="N913" s="29">
        <f>IF(A913="","",MONTH(A913))</f>
        <v>10</v>
      </c>
      <c r="O913" s="29">
        <f>IF(A913="","",YEAR(A913))</f>
        <v>2026</v>
      </c>
      <c r="P913" s="29" t="str">
        <f>IF(A913="","",CHOOSE(WEEKDAY(A913,2),"Segunda","Terça","Quarta","Quinta","Sexta","Sábado","Domingo"))</f>
        <v>Quinta</v>
      </c>
      <c r="Q913" s="29" t="str">
        <f>IF(B913="","",IF(B913&lt;TIME(12,0,0),"Manhã",IF(B913&lt;TIME(18,0,0),"Tarde","Noite")))</f>
        <v>Tarde</v>
      </c>
      <c r="R913" s="45">
        <f>IF(AND(H913="Realizado",L913&lt;&gt;""),L913/60,0)</f>
        <v>0</v>
      </c>
    </row>
    <row r="914">
      <c r="A914" s="42">
        <f>TODAY()+17</f>
        <v>46296.0</v>
      </c>
      <c r="B914" s="43" t="n">
        <v>0.6527777777777778</v>
      </c>
      <c r="C914" s="37" t="inlineStr">
        <is>
          <t>Dr. Paulo Andrade</t>
        </is>
      </c>
      <c r="D914" s="37" t="inlineStr">
        <is>
          <t>Sala 2</t>
        </is>
      </c>
      <c r="E914" s="36" t="inlineStr">
        <is>
          <t>Priscila Nascimento</t>
        </is>
      </c>
      <c r="F914" s="37" t="inlineStr">
        <is>
          <t>MediPlan</t>
        </is>
      </c>
      <c r="G914" s="37" t="inlineStr">
        <is>
          <t>Consulta</t>
        </is>
      </c>
      <c r="H914" s="37" t="inlineStr">
        <is>
          <t>Agendado</t>
        </is>
      </c>
      <c r="I914" s="37" t="n"/>
      <c r="J914" s="37" t="n"/>
      <c r="K914" s="36" t="n"/>
      <c r="L914" s="44">
        <f>IF(G914="","",IFERROR(INDEX(Config!$K$5:$K$16,MATCH(G914,Config!$J$5:$J$16,0)),""))</f>
        <v>30</v>
      </c>
      <c r="M914" s="30">
        <f>IF(OR(G914="",F914=""),"",IFERROR(INDEX(Config!$M$5:$R$16,MATCH(G914,Config!$J$5:$J$16,0),MATCH(F914,Config!$H$5:$H$10,0)),""))</f>
        <v>100</v>
      </c>
      <c r="N914" s="29">
        <f>IF(A914="","",MONTH(A914))</f>
        <v>10</v>
      </c>
      <c r="O914" s="29">
        <f>IF(A914="","",YEAR(A914))</f>
        <v>2026</v>
      </c>
      <c r="P914" s="29" t="str">
        <f>IF(A914="","",CHOOSE(WEEKDAY(A914,2),"Segunda","Terça","Quarta","Quinta","Sexta","Sábado","Domingo"))</f>
        <v>Quinta</v>
      </c>
      <c r="Q914" s="29" t="str">
        <f>IF(B914="","",IF(B914&lt;TIME(12,0,0),"Manhã",IF(B914&lt;TIME(18,0,0),"Tarde","Noite")))</f>
        <v>Tarde</v>
      </c>
      <c r="R914" s="45">
        <f>IF(AND(H914="Realizado",L914&lt;&gt;""),L914/60,0)</f>
        <v>0</v>
      </c>
    </row>
    <row r="915">
      <c r="A915" s="42">
        <f>TODAY()+17</f>
        <v>46296.0</v>
      </c>
      <c r="B915" s="43" t="n">
        <v>0.6597222222222222</v>
      </c>
      <c r="C915" s="37" t="inlineStr">
        <is>
          <t>Dra. Renata Sousa</t>
        </is>
      </c>
      <c r="D915" s="37" t="inlineStr">
        <is>
          <t>Sala 1</t>
        </is>
      </c>
      <c r="E915" s="36" t="inlineStr">
        <is>
          <t>Fábio Gomes</t>
        </is>
      </c>
      <c r="F915" s="37" t="inlineStr">
        <is>
          <t>Particular</t>
        </is>
      </c>
      <c r="G915" s="37" t="inlineStr">
        <is>
          <t>Retorno</t>
        </is>
      </c>
      <c r="H915" s="37" t="inlineStr">
        <is>
          <t>Agendado</t>
        </is>
      </c>
      <c r="I915" s="37" t="n"/>
      <c r="J915" s="37" t="n"/>
      <c r="K915" s="36" t="n"/>
      <c r="L915" s="44">
        <f>IF(G915="","",IFERROR(INDEX(Config!$K$5:$K$16,MATCH(G915,Config!$J$5:$J$16,0)),""))</f>
        <v>20</v>
      </c>
      <c r="M915" s="30">
        <f>IF(OR(G915="",F915=""),"",IFERROR(INDEX(Config!$M$5:$R$16,MATCH(G915,Config!$J$5:$J$16,0),MATCH(F915,Config!$H$5:$H$10,0)),""))</f>
        <v>0</v>
      </c>
      <c r="N915" s="29">
        <f>IF(A915="","",MONTH(A915))</f>
        <v>10</v>
      </c>
      <c r="O915" s="29">
        <f>IF(A915="","",YEAR(A915))</f>
        <v>2026</v>
      </c>
      <c r="P915" s="29" t="str">
        <f>IF(A915="","",CHOOSE(WEEKDAY(A915,2),"Segunda","Terça","Quarta","Quinta","Sexta","Sábado","Domingo"))</f>
        <v>Quinta</v>
      </c>
      <c r="Q915" s="29" t="str">
        <f>IF(B915="","",IF(B915&lt;TIME(12,0,0),"Manhã",IF(B915&lt;TIME(18,0,0),"Tarde","Noite")))</f>
        <v>Tarde</v>
      </c>
      <c r="R915" s="45">
        <f>IF(AND(H915="Realizado",L915&lt;&gt;""),L915/60,0)</f>
        <v>0</v>
      </c>
    </row>
    <row r="916">
      <c r="A916" s="42">
        <f>TODAY()+17</f>
        <v>46296.0</v>
      </c>
      <c r="B916" s="43" t="n">
        <v>0.6736111111111112</v>
      </c>
      <c r="C916" s="37" t="inlineStr">
        <is>
          <t>Dr. Paulo Andrade</t>
        </is>
      </c>
      <c r="D916" s="37" t="inlineStr">
        <is>
          <t>Sala 2</t>
        </is>
      </c>
      <c r="E916" s="36" t="inlineStr">
        <is>
          <t>Rodrigo Teixeira</t>
        </is>
      </c>
      <c r="F916" s="37" t="inlineStr">
        <is>
          <t>Vida Care</t>
        </is>
      </c>
      <c r="G916" s="37" t="inlineStr">
        <is>
          <t>ECG</t>
        </is>
      </c>
      <c r="H916" s="37" t="inlineStr">
        <is>
          <t>Agendado</t>
        </is>
      </c>
      <c r="I916" s="37" t="n"/>
      <c r="J916" s="37" t="n"/>
      <c r="K916" s="36" t="n"/>
      <c r="L916" s="44">
        <f>IF(G916="","",IFERROR(INDEX(Config!$K$5:$K$16,MATCH(G916,Config!$J$5:$J$16,0)),""))</f>
        <v>20</v>
      </c>
      <c r="M916" s="30">
        <f>IF(OR(G916="",F916=""),"",IFERROR(INDEX(Config!$M$5:$R$16,MATCH(G916,Config!$J$5:$J$16,0),MATCH(F916,Config!$H$5:$H$10,0)),""))</f>
        <v>32</v>
      </c>
      <c r="N916" s="29">
        <f>IF(A916="","",MONTH(A916))</f>
        <v>10</v>
      </c>
      <c r="O916" s="29">
        <f>IF(A916="","",YEAR(A916))</f>
        <v>2026</v>
      </c>
      <c r="P916" s="29" t="str">
        <f>IF(A916="","",CHOOSE(WEEKDAY(A916,2),"Segunda","Terça","Quarta","Quinta","Sexta","Sábado","Domingo"))</f>
        <v>Quinta</v>
      </c>
      <c r="Q916" s="29" t="str">
        <f>IF(B916="","",IF(B916&lt;TIME(12,0,0),"Manhã",IF(B916&lt;TIME(18,0,0),"Tarde","Noite")))</f>
        <v>Tarde</v>
      </c>
      <c r="R916" s="45">
        <f>IF(AND(H916="Realizado",L916&lt;&gt;""),L916/60,0)</f>
        <v>0</v>
      </c>
    </row>
    <row r="917">
      <c r="A917" s="42">
        <f>TODAY()+17</f>
        <v>46296.0</v>
      </c>
      <c r="B917" s="43" t="n">
        <v>0.6875</v>
      </c>
      <c r="C917" s="37" t="inlineStr">
        <is>
          <t>Dr. Paulo Andrade</t>
        </is>
      </c>
      <c r="D917" s="37" t="inlineStr">
        <is>
          <t>Sala 2</t>
        </is>
      </c>
      <c r="E917" s="36" t="inlineStr">
        <is>
          <t>Paulo Ribeiro</t>
        </is>
      </c>
      <c r="F917" s="37" t="inlineStr">
        <is>
          <t>Saúde Total</t>
        </is>
      </c>
      <c r="G917" s="37" t="inlineStr">
        <is>
          <t>Consulta</t>
        </is>
      </c>
      <c r="H917" s="37" t="inlineStr">
        <is>
          <t>Agendado</t>
        </is>
      </c>
      <c r="I917" s="37" t="n"/>
      <c r="J917" s="37" t="n"/>
      <c r="K917" s="36" t="n"/>
      <c r="L917" s="44">
        <f>IF(G917="","",IFERROR(INDEX(Config!$K$5:$K$16,MATCH(G917,Config!$J$5:$J$16,0)),""))</f>
        <v>30</v>
      </c>
      <c r="M917" s="30">
        <f>IF(OR(G917="",F917=""),"",IFERROR(INDEX(Config!$M$5:$R$16,MATCH(G917,Config!$J$5:$J$16,0),MATCH(F917,Config!$H$5:$H$10,0)),""))</f>
        <v>120</v>
      </c>
      <c r="N917" s="29">
        <f>IF(A917="","",MONTH(A917))</f>
        <v>10</v>
      </c>
      <c r="O917" s="29">
        <f>IF(A917="","",YEAR(A917))</f>
        <v>2026</v>
      </c>
      <c r="P917" s="29" t="str">
        <f>IF(A917="","",CHOOSE(WEEKDAY(A917,2),"Segunda","Terça","Quarta","Quinta","Sexta","Sábado","Domingo"))</f>
        <v>Quinta</v>
      </c>
      <c r="Q917" s="29" t="str">
        <f>IF(B917="","",IF(B917&lt;TIME(12,0,0),"Manhã",IF(B917&lt;TIME(18,0,0),"Tarde","Noite")))</f>
        <v>Tarde</v>
      </c>
      <c r="R917" s="45">
        <f>IF(AND(H917="Realizado",L917&lt;&gt;""),L917/60,0)</f>
        <v>0</v>
      </c>
    </row>
    <row r="918">
      <c r="A918" s="42">
        <f>TODAY()+17</f>
        <v>46296.0</v>
      </c>
      <c r="B918" s="43" t="n">
        <v>0.6944444444444444</v>
      </c>
      <c r="C918" s="37" t="inlineStr">
        <is>
          <t>Dra. Renata Sousa</t>
        </is>
      </c>
      <c r="D918" s="37" t="inlineStr">
        <is>
          <t>Sala 1</t>
        </is>
      </c>
      <c r="E918" s="36" t="inlineStr">
        <is>
          <t>Cláudia Melo</t>
        </is>
      </c>
      <c r="F918" s="37" t="inlineStr">
        <is>
          <t>Particular</t>
        </is>
      </c>
      <c r="G918" s="37" t="inlineStr">
        <is>
          <t>Avaliação endócrina</t>
        </is>
      </c>
      <c r="H918" s="37" t="inlineStr">
        <is>
          <t>Agendado</t>
        </is>
      </c>
      <c r="I918" s="37" t="n"/>
      <c r="J918" s="37" t="n"/>
      <c r="K918" s="36" t="n"/>
      <c r="L918" s="44">
        <f>IF(G918="","",IFERROR(INDEX(Config!$K$5:$K$16,MATCH(G918,Config!$J$5:$J$16,0)),""))</f>
        <v>40</v>
      </c>
      <c r="M918" s="30">
        <f>IF(OR(G918="",F918=""),"",IFERROR(INDEX(Config!$M$5:$R$16,MATCH(G918,Config!$J$5:$J$16,0),MATCH(F918,Config!$H$5:$H$10,0)),""))</f>
        <v>400</v>
      </c>
      <c r="N918" s="29">
        <f>IF(A918="","",MONTH(A918))</f>
        <v>10</v>
      </c>
      <c r="O918" s="29">
        <f>IF(A918="","",YEAR(A918))</f>
        <v>2026</v>
      </c>
      <c r="P918" s="29" t="str">
        <f>IF(A918="","",CHOOSE(WEEKDAY(A918,2),"Segunda","Terça","Quarta","Quinta","Sexta","Sábado","Domingo"))</f>
        <v>Quinta</v>
      </c>
      <c r="Q918" s="29" t="str">
        <f>IF(B918="","",IF(B918&lt;TIME(12,0,0),"Manhã",IF(B918&lt;TIME(18,0,0),"Tarde","Noite")))</f>
        <v>Tarde</v>
      </c>
      <c r="R918" s="45">
        <f>IF(AND(H918="Realizado",L918&lt;&gt;""),L918/60,0)</f>
        <v>0</v>
      </c>
    </row>
    <row r="919">
      <c r="A919" s="42">
        <f>TODAY()+17</f>
        <v>46296.0</v>
      </c>
      <c r="B919" s="43" t="n">
        <v>0.7083333333333334</v>
      </c>
      <c r="C919" s="37" t="inlineStr">
        <is>
          <t>Dr. Paulo Andrade</t>
        </is>
      </c>
      <c r="D919" s="37" t="inlineStr">
        <is>
          <t>Sala 2</t>
        </is>
      </c>
      <c r="E919" s="36" t="inlineStr">
        <is>
          <t>Mateus Martins</t>
        </is>
      </c>
      <c r="F919" s="37" t="inlineStr">
        <is>
          <t>Vida Care</t>
        </is>
      </c>
      <c r="G919" s="37" t="inlineStr">
        <is>
          <t>Consulta</t>
        </is>
      </c>
      <c r="H919" s="37" t="inlineStr">
        <is>
          <t>Agendado</t>
        </is>
      </c>
      <c r="I919" s="37" t="n"/>
      <c r="J919" s="37" t="n"/>
      <c r="K919" s="36" t="n"/>
      <c r="L919" s="44">
        <f>IF(G919="","",IFERROR(INDEX(Config!$K$5:$K$16,MATCH(G919,Config!$J$5:$J$16,0)),""))</f>
        <v>30</v>
      </c>
      <c r="M919" s="30">
        <f>IF(OR(G919="",F919=""),"",IFERROR(INDEX(Config!$M$5:$R$16,MATCH(G919,Config!$J$5:$J$16,0),MATCH(F919,Config!$H$5:$H$10,0)),""))</f>
        <v>90</v>
      </c>
      <c r="N919" s="29">
        <f>IF(A919="","",MONTH(A919))</f>
        <v>10</v>
      </c>
      <c r="O919" s="29">
        <f>IF(A919="","",YEAR(A919))</f>
        <v>2026</v>
      </c>
      <c r="P919" s="29" t="str">
        <f>IF(A919="","",CHOOSE(WEEKDAY(A919,2),"Segunda","Terça","Quarta","Quinta","Sexta","Sábado","Domingo"))</f>
        <v>Quinta</v>
      </c>
      <c r="Q919" s="29" t="str">
        <f>IF(B919="","",IF(B919&lt;TIME(12,0,0),"Manhã",IF(B919&lt;TIME(18,0,0),"Tarde","Noite")))</f>
        <v>Tarde</v>
      </c>
      <c r="R919" s="45">
        <f>IF(AND(H919="Realizado",L919&lt;&gt;""),L919/60,0)</f>
        <v>0</v>
      </c>
    </row>
    <row r="920">
      <c r="A920" s="42">
        <f>TODAY()+17</f>
        <v>46296.0</v>
      </c>
      <c r="B920" s="43" t="n">
        <v>0.7222222222222222</v>
      </c>
      <c r="C920" s="37" t="inlineStr">
        <is>
          <t>Dra. Renata Sousa</t>
        </is>
      </c>
      <c r="D920" s="37" t="inlineStr">
        <is>
          <t>Sala 1</t>
        </is>
      </c>
      <c r="E920" s="36" t="inlineStr">
        <is>
          <t>Rodrigo Cardoso</t>
        </is>
      </c>
      <c r="F920" s="37" t="inlineStr">
        <is>
          <t>Saúde Total</t>
        </is>
      </c>
      <c r="G920" s="37" t="inlineStr">
        <is>
          <t>Avaliação endócrina</t>
        </is>
      </c>
      <c r="H920" s="37" t="inlineStr">
        <is>
          <t>Agendado</t>
        </is>
      </c>
      <c r="I920" s="37" t="n"/>
      <c r="J920" s="37" t="n"/>
      <c r="K920" s="36" t="n"/>
      <c r="L920" s="44">
        <f>IF(G920="","",IFERROR(INDEX(Config!$K$5:$K$16,MATCH(G920,Config!$J$5:$J$16,0)),""))</f>
        <v>40</v>
      </c>
      <c r="M920" s="30">
        <f>IF(OR(G920="",F920=""),"",IFERROR(INDEX(Config!$M$5:$R$16,MATCH(G920,Config!$J$5:$J$16,0),MATCH(F920,Config!$H$5:$H$10,0)),""))</f>
        <v>130</v>
      </c>
      <c r="N920" s="29">
        <f>IF(A920="","",MONTH(A920))</f>
        <v>10</v>
      </c>
      <c r="O920" s="29">
        <f>IF(A920="","",YEAR(A920))</f>
        <v>2026</v>
      </c>
      <c r="P920" s="29" t="str">
        <f>IF(A920="","",CHOOSE(WEEKDAY(A920,2),"Segunda","Terça","Quarta","Quinta","Sexta","Sábado","Domingo"))</f>
        <v>Quinta</v>
      </c>
      <c r="Q920" s="29" t="str">
        <f>IF(B920="","",IF(B920&lt;TIME(12,0,0),"Manhã",IF(B920&lt;TIME(18,0,0),"Tarde","Noite")))</f>
        <v>Tarde</v>
      </c>
      <c r="R920" s="45">
        <f>IF(AND(H920="Realizado",L920&lt;&gt;""),L920/60,0)</f>
        <v>0</v>
      </c>
    </row>
    <row r="921">
      <c r="A921" s="42">
        <f>TODAY()+17</f>
        <v>46296.0</v>
      </c>
      <c r="B921" s="43" t="n">
        <v>0.7291666666666666</v>
      </c>
      <c r="C921" s="37" t="inlineStr">
        <is>
          <t>Dr. Paulo Andrade</t>
        </is>
      </c>
      <c r="D921" s="37" t="inlineStr">
        <is>
          <t>Sala 2</t>
        </is>
      </c>
      <c r="E921" s="36" t="inlineStr">
        <is>
          <t>Leandro Ferreira</t>
        </is>
      </c>
      <c r="F921" s="37" t="inlineStr">
        <is>
          <t>Saúde Total</t>
        </is>
      </c>
      <c r="G921" s="37" t="inlineStr">
        <is>
          <t>Consulta</t>
        </is>
      </c>
      <c r="H921" s="37" t="inlineStr">
        <is>
          <t>Agendado</t>
        </is>
      </c>
      <c r="I921" s="37" t="n"/>
      <c r="J921" s="37" t="n"/>
      <c r="K921" s="36" t="n"/>
      <c r="L921" s="44">
        <f>IF(G921="","",IFERROR(INDEX(Config!$K$5:$K$16,MATCH(G921,Config!$J$5:$J$16,0)),""))</f>
        <v>30</v>
      </c>
      <c r="M921" s="30">
        <f>IF(OR(G921="",F921=""),"",IFERROR(INDEX(Config!$M$5:$R$16,MATCH(G921,Config!$J$5:$J$16,0),MATCH(F921,Config!$H$5:$H$10,0)),""))</f>
        <v>120</v>
      </c>
      <c r="N921" s="29">
        <f>IF(A921="","",MONTH(A921))</f>
        <v>10</v>
      </c>
      <c r="O921" s="29">
        <f>IF(A921="","",YEAR(A921))</f>
        <v>2026</v>
      </c>
      <c r="P921" s="29" t="str">
        <f>IF(A921="","",CHOOSE(WEEKDAY(A921,2),"Segunda","Terça","Quarta","Quinta","Sexta","Sábado","Domingo"))</f>
        <v>Quinta</v>
      </c>
      <c r="Q921" s="29" t="str">
        <f>IF(B921="","",IF(B921&lt;TIME(12,0,0),"Manhã",IF(B921&lt;TIME(18,0,0),"Tarde","Noite")))</f>
        <v>Tarde</v>
      </c>
      <c r="R921" s="45">
        <f>IF(AND(H921="Realizado",L921&lt;&gt;""),L921/60,0)</f>
        <v>0</v>
      </c>
    </row>
    <row r="922">
      <c r="A922" s="42">
        <f>TODAY()+18</f>
        <v>46297.0</v>
      </c>
      <c r="B922" s="43" t="n">
        <v>0.3333333333333333</v>
      </c>
      <c r="C922" s="37" t="inlineStr">
        <is>
          <t>Dr. Paulo Andrade</t>
        </is>
      </c>
      <c r="D922" s="37" t="inlineStr">
        <is>
          <t>Sala 2</t>
        </is>
      </c>
      <c r="E922" s="36" t="inlineStr">
        <is>
          <t>Viviane Duarte</t>
        </is>
      </c>
      <c r="F922" s="37" t="inlineStr">
        <is>
          <t>MediPlan</t>
        </is>
      </c>
      <c r="G922" s="37" t="inlineStr">
        <is>
          <t>Consulta</t>
        </is>
      </c>
      <c r="H922" s="37" t="inlineStr">
        <is>
          <t>Agendado</t>
        </is>
      </c>
      <c r="I922" s="37" t="n"/>
      <c r="J922" s="37" t="n"/>
      <c r="K922" s="36" t="n"/>
      <c r="L922" s="44">
        <f>IF(G922="","",IFERROR(INDEX(Config!$K$5:$K$16,MATCH(G922,Config!$J$5:$J$16,0)),""))</f>
        <v>30</v>
      </c>
      <c r="M922" s="30">
        <f>IF(OR(G922="",F922=""),"",IFERROR(INDEX(Config!$M$5:$R$16,MATCH(G922,Config!$J$5:$J$16,0),MATCH(F922,Config!$H$5:$H$10,0)),""))</f>
        <v>100</v>
      </c>
      <c r="N922" s="29">
        <f>IF(A922="","",MONTH(A922))</f>
        <v>10</v>
      </c>
      <c r="O922" s="29">
        <f>IF(A922="","",YEAR(A922))</f>
        <v>2026</v>
      </c>
      <c r="P922" s="29" t="str">
        <f>IF(A922="","",CHOOSE(WEEKDAY(A922,2),"Segunda","Terça","Quarta","Quinta","Sexta","Sábado","Domingo"))</f>
        <v>Sexta</v>
      </c>
      <c r="Q922" s="29" t="str">
        <f>IF(B922="","",IF(B922&lt;TIME(12,0,0),"Manhã",IF(B922&lt;TIME(18,0,0),"Tarde","Noite")))</f>
        <v>Manhã</v>
      </c>
      <c r="R922" s="45">
        <f>IF(AND(H922="Realizado",L922&lt;&gt;""),L922/60,0)</f>
        <v>0</v>
      </c>
    </row>
    <row r="923">
      <c r="A923" s="42">
        <f>TODAY()+18</f>
        <v>46297.0</v>
      </c>
      <c r="B923" s="43" t="n">
        <v>0.3541666666666667</v>
      </c>
      <c r="C923" s="37" t="inlineStr">
        <is>
          <t>Dr. Paulo Andrade</t>
        </is>
      </c>
      <c r="D923" s="37" t="inlineStr">
        <is>
          <t>Sala 2</t>
        </is>
      </c>
      <c r="E923" s="36" t="inlineStr">
        <is>
          <t>Carlos Oliveira</t>
        </is>
      </c>
      <c r="F923" s="37" t="inlineStr">
        <is>
          <t>Particular</t>
        </is>
      </c>
      <c r="G923" s="37" t="inlineStr">
        <is>
          <t>Consulta</t>
        </is>
      </c>
      <c r="H923" s="37" t="inlineStr">
        <is>
          <t>Agendado</t>
        </is>
      </c>
      <c r="I923" s="37" t="n"/>
      <c r="J923" s="37" t="n"/>
      <c r="K923" s="36" t="n"/>
      <c r="L923" s="44">
        <f>IF(G923="","",IFERROR(INDEX(Config!$K$5:$K$16,MATCH(G923,Config!$J$5:$J$16,0)),""))</f>
        <v>30</v>
      </c>
      <c r="M923" s="30">
        <f>IF(OR(G923="",F923=""),"",IFERROR(INDEX(Config!$M$5:$R$16,MATCH(G923,Config!$J$5:$J$16,0),MATCH(F923,Config!$H$5:$H$10,0)),""))</f>
        <v>380</v>
      </c>
      <c r="N923" s="29">
        <f>IF(A923="","",MONTH(A923))</f>
        <v>10</v>
      </c>
      <c r="O923" s="29">
        <f>IF(A923="","",YEAR(A923))</f>
        <v>2026</v>
      </c>
      <c r="P923" s="29" t="str">
        <f>IF(A923="","",CHOOSE(WEEKDAY(A923,2),"Segunda","Terça","Quarta","Quinta","Sexta","Sábado","Domingo"))</f>
        <v>Sexta</v>
      </c>
      <c r="Q923" s="29" t="str">
        <f>IF(B923="","",IF(B923&lt;TIME(12,0,0),"Manhã",IF(B923&lt;TIME(18,0,0),"Tarde","Noite")))</f>
        <v>Manhã</v>
      </c>
      <c r="R923" s="45">
        <f>IF(AND(H923="Realizado",L923&lt;&gt;""),L923/60,0)</f>
        <v>0</v>
      </c>
    </row>
    <row r="924">
      <c r="A924" s="42">
        <f>TODAY()+18</f>
        <v>46297.0</v>
      </c>
      <c r="B924" s="43" t="n">
        <v>0.3958333333333333</v>
      </c>
      <c r="C924" s="37" t="inlineStr">
        <is>
          <t>Dr. Paulo Andrade</t>
        </is>
      </c>
      <c r="D924" s="37" t="inlineStr">
        <is>
          <t>Sala 2</t>
        </is>
      </c>
      <c r="E924" s="36" t="inlineStr">
        <is>
          <t>Mateus Lima</t>
        </is>
      </c>
      <c r="F924" s="37" t="inlineStr">
        <is>
          <t>MediPlan</t>
        </is>
      </c>
      <c r="G924" s="37" t="inlineStr">
        <is>
          <t>MAPA</t>
        </is>
      </c>
      <c r="H924" s="37" t="inlineStr">
        <is>
          <t>Agendado</t>
        </is>
      </c>
      <c r="I924" s="37" t="n"/>
      <c r="J924" s="37" t="n"/>
      <c r="K924" s="36" t="n"/>
      <c r="L924" s="44">
        <f>IF(G924="","",IFERROR(INDEX(Config!$K$5:$K$16,MATCH(G924,Config!$J$5:$J$16,0)),""))</f>
        <v>20</v>
      </c>
      <c r="M924" s="30">
        <f>IF(OR(G924="",F924=""),"",IFERROR(INDEX(Config!$M$5:$R$16,MATCH(G924,Config!$J$5:$J$16,0),MATCH(F924,Config!$H$5:$H$10,0)),""))</f>
        <v>85</v>
      </c>
      <c r="N924" s="29">
        <f>IF(A924="","",MONTH(A924))</f>
        <v>10</v>
      </c>
      <c r="O924" s="29">
        <f>IF(A924="","",YEAR(A924))</f>
        <v>2026</v>
      </c>
      <c r="P924" s="29" t="str">
        <f>IF(A924="","",CHOOSE(WEEKDAY(A924,2),"Segunda","Terça","Quarta","Quinta","Sexta","Sábado","Domingo"))</f>
        <v>Sexta</v>
      </c>
      <c r="Q924" s="29" t="str">
        <f>IF(B924="","",IF(B924&lt;TIME(12,0,0),"Manhã",IF(B924&lt;TIME(18,0,0),"Tarde","Noite")))</f>
        <v>Manhã</v>
      </c>
      <c r="R924" s="45">
        <f>IF(AND(H924="Realizado",L924&lt;&gt;""),L924/60,0)</f>
        <v>0</v>
      </c>
    </row>
    <row r="925">
      <c r="A925" s="42">
        <f>TODAY()+18</f>
        <v>46297.0</v>
      </c>
      <c r="B925" s="43" t="n">
        <v>0.4097222222222222</v>
      </c>
      <c r="C925" s="37" t="inlineStr">
        <is>
          <t>Dr. Paulo Andrade</t>
        </is>
      </c>
      <c r="D925" s="37" t="inlineStr">
        <is>
          <t>Sala 2</t>
        </is>
      </c>
      <c r="E925" s="36" t="inlineStr">
        <is>
          <t>Sandra Cardoso</t>
        </is>
      </c>
      <c r="F925" s="37" t="inlineStr">
        <is>
          <t>Saúde Total</t>
        </is>
      </c>
      <c r="G925" s="37" t="inlineStr">
        <is>
          <t>Consulta</t>
        </is>
      </c>
      <c r="H925" s="37" t="inlineStr">
        <is>
          <t>Agendado</t>
        </is>
      </c>
      <c r="I925" s="37" t="n"/>
      <c r="J925" s="37" t="n"/>
      <c r="K925" s="36" t="n"/>
      <c r="L925" s="44">
        <f>IF(G925="","",IFERROR(INDEX(Config!$K$5:$K$16,MATCH(G925,Config!$J$5:$J$16,0)),""))</f>
        <v>30</v>
      </c>
      <c r="M925" s="30">
        <f>IF(OR(G925="",F925=""),"",IFERROR(INDEX(Config!$M$5:$R$16,MATCH(G925,Config!$J$5:$J$16,0),MATCH(F925,Config!$H$5:$H$10,0)),""))</f>
        <v>120</v>
      </c>
      <c r="N925" s="29">
        <f>IF(A925="","",MONTH(A925))</f>
        <v>10</v>
      </c>
      <c r="O925" s="29">
        <f>IF(A925="","",YEAR(A925))</f>
        <v>2026</v>
      </c>
      <c r="P925" s="29" t="str">
        <f>IF(A925="","",CHOOSE(WEEKDAY(A925,2),"Segunda","Terça","Quarta","Quinta","Sexta","Sábado","Domingo"))</f>
        <v>Sexta</v>
      </c>
      <c r="Q925" s="29" t="str">
        <f>IF(B925="","",IF(B925&lt;TIME(12,0,0),"Manhã",IF(B925&lt;TIME(18,0,0),"Tarde","Noite")))</f>
        <v>Manhã</v>
      </c>
      <c r="R925" s="45">
        <f>IF(AND(H925="Realizado",L925&lt;&gt;""),L925/60,0)</f>
        <v>0</v>
      </c>
    </row>
    <row r="926">
      <c r="A926" s="42">
        <f>TODAY()+18</f>
        <v>46297.0</v>
      </c>
      <c r="B926" s="43" t="n">
        <v>0.4305555555555556</v>
      </c>
      <c r="C926" s="37" t="inlineStr">
        <is>
          <t>Dr. Paulo Andrade</t>
        </is>
      </c>
      <c r="D926" s="37" t="inlineStr">
        <is>
          <t>Sala 2</t>
        </is>
      </c>
      <c r="E926" s="36" t="inlineStr">
        <is>
          <t>Rodrigo Moreira</t>
        </is>
      </c>
      <c r="F926" s="37" t="inlineStr">
        <is>
          <t>Particular</t>
        </is>
      </c>
      <c r="G926" s="37" t="inlineStr">
        <is>
          <t>Teste ergométrico</t>
        </is>
      </c>
      <c r="H926" s="37" t="inlineStr">
        <is>
          <t>Agendado</t>
        </is>
      </c>
      <c r="I926" s="37" t="n"/>
      <c r="J926" s="37" t="n"/>
      <c r="K926" s="36" t="n"/>
      <c r="L926" s="44">
        <f>IF(G926="","",IFERROR(INDEX(Config!$K$5:$K$16,MATCH(G926,Config!$J$5:$J$16,0)),""))</f>
        <v>40</v>
      </c>
      <c r="M926" s="30">
        <f>IF(OR(G926="",F926=""),"",IFERROR(INDEX(Config!$M$5:$R$16,MATCH(G926,Config!$J$5:$J$16,0),MATCH(F926,Config!$H$5:$H$10,0)),""))</f>
        <v>450</v>
      </c>
      <c r="N926" s="29">
        <f>IF(A926="","",MONTH(A926))</f>
        <v>10</v>
      </c>
      <c r="O926" s="29">
        <f>IF(A926="","",YEAR(A926))</f>
        <v>2026</v>
      </c>
      <c r="P926" s="29" t="str">
        <f>IF(A926="","",CHOOSE(WEEKDAY(A926,2),"Segunda","Terça","Quarta","Quinta","Sexta","Sábado","Domingo"))</f>
        <v>Sexta</v>
      </c>
      <c r="Q926" s="29" t="str">
        <f>IF(B926="","",IF(B926&lt;TIME(12,0,0),"Manhã",IF(B926&lt;TIME(18,0,0),"Tarde","Noite")))</f>
        <v>Manhã</v>
      </c>
      <c r="R926" s="45">
        <f>IF(AND(H926="Realizado",L926&lt;&gt;""),L926/60,0)</f>
        <v>0</v>
      </c>
    </row>
    <row r="927">
      <c r="A927" s="42">
        <f>TODAY()+18</f>
        <v>46297.0</v>
      </c>
      <c r="B927" s="43" t="n">
        <v>0.4583333333333333</v>
      </c>
      <c r="C927" s="37" t="inlineStr">
        <is>
          <t>Dr. Paulo Andrade</t>
        </is>
      </c>
      <c r="D927" s="37" t="inlineStr">
        <is>
          <t>Sala 2</t>
        </is>
      </c>
      <c r="E927" s="36" t="inlineStr">
        <is>
          <t>Tatiana Cunha</t>
        </is>
      </c>
      <c r="F927" s="37" t="inlineStr">
        <is>
          <t>Saúde Total</t>
        </is>
      </c>
      <c r="G927" s="37" t="inlineStr">
        <is>
          <t>ECG</t>
        </is>
      </c>
      <c r="H927" s="37" t="inlineStr">
        <is>
          <t>Agendado</t>
        </is>
      </c>
      <c r="I927" s="37" t="n"/>
      <c r="J927" s="37" t="n"/>
      <c r="K927" s="36" t="n"/>
      <c r="L927" s="44">
        <f>IF(G927="","",IFERROR(INDEX(Config!$K$5:$K$16,MATCH(G927,Config!$J$5:$J$16,0)),""))</f>
        <v>20</v>
      </c>
      <c r="M927" s="30">
        <f>IF(OR(G927="",F927=""),"",IFERROR(INDEX(Config!$M$5:$R$16,MATCH(G927,Config!$J$5:$J$16,0),MATCH(F927,Config!$H$5:$H$10,0)),""))</f>
        <v>40</v>
      </c>
      <c r="N927" s="29">
        <f>IF(A927="","",MONTH(A927))</f>
        <v>10</v>
      </c>
      <c r="O927" s="29">
        <f>IF(A927="","",YEAR(A927))</f>
        <v>2026</v>
      </c>
      <c r="P927" s="29" t="str">
        <f>IF(A927="","",CHOOSE(WEEKDAY(A927,2),"Segunda","Terça","Quarta","Quinta","Sexta","Sábado","Domingo"))</f>
        <v>Sexta</v>
      </c>
      <c r="Q927" s="29" t="str">
        <f>IF(B927="","",IF(B927&lt;TIME(12,0,0),"Manhã",IF(B927&lt;TIME(18,0,0),"Tarde","Noite")))</f>
        <v>Manhã</v>
      </c>
      <c r="R927" s="45">
        <f>IF(AND(H927="Realizado",L927&lt;&gt;""),L927/60,0)</f>
        <v>0</v>
      </c>
    </row>
    <row r="928">
      <c r="A928" s="42">
        <f>TODAY()+21</f>
        <v>46300.0</v>
      </c>
      <c r="B928" s="43" t="n">
        <v>0.3333333333333333</v>
      </c>
      <c r="C928" s="37" t="inlineStr">
        <is>
          <t>Dra. Carolina Mendes</t>
        </is>
      </c>
      <c r="D928" s="37" t="inlineStr">
        <is>
          <t>Sala 1</t>
        </is>
      </c>
      <c r="E928" s="36" t="inlineStr">
        <is>
          <t>Débora Machado</t>
        </is>
      </c>
      <c r="F928" s="37" t="inlineStr">
        <is>
          <t>Saúde Total</t>
        </is>
      </c>
      <c r="G928" s="37" t="inlineStr">
        <is>
          <t>Consulta</t>
        </is>
      </c>
      <c r="H928" s="37" t="inlineStr">
        <is>
          <t>Agendado</t>
        </is>
      </c>
      <c r="I928" s="37" t="n"/>
      <c r="J928" s="37" t="n"/>
      <c r="K928" s="36" t="n"/>
      <c r="L928" s="44">
        <f>IF(G928="","",IFERROR(INDEX(Config!$K$5:$K$16,MATCH(G928,Config!$J$5:$J$16,0)),""))</f>
        <v>30</v>
      </c>
      <c r="M928" s="30">
        <f>IF(OR(G928="",F928=""),"",IFERROR(INDEX(Config!$M$5:$R$16,MATCH(G928,Config!$J$5:$J$16,0),MATCH(F928,Config!$H$5:$H$10,0)),""))</f>
        <v>120</v>
      </c>
      <c r="N928" s="29">
        <f>IF(A928="","",MONTH(A928))</f>
        <v>10</v>
      </c>
      <c r="O928" s="29">
        <f>IF(A928="","",YEAR(A928))</f>
        <v>2026</v>
      </c>
      <c r="P928" s="29" t="str">
        <f>IF(A928="","",CHOOSE(WEEKDAY(A928,2),"Segunda","Terça","Quarta","Quinta","Sexta","Sábado","Domingo"))</f>
        <v>Segunda</v>
      </c>
      <c r="Q928" s="29" t="str">
        <f>IF(B928="","",IF(B928&lt;TIME(12,0,0),"Manhã",IF(B928&lt;TIME(18,0,0),"Tarde","Noite")))</f>
        <v>Manhã</v>
      </c>
      <c r="R928" s="45">
        <f>IF(AND(H928="Realizado",L928&lt;&gt;""),L928/60,0)</f>
        <v>0</v>
      </c>
    </row>
    <row r="929">
      <c r="A929" s="42">
        <f>TODAY()+21</f>
        <v>46300.0</v>
      </c>
      <c r="B929" s="43" t="n">
        <v>0.3541666666666667</v>
      </c>
      <c r="C929" s="37" t="inlineStr">
        <is>
          <t>Dra. Carolina Mendes</t>
        </is>
      </c>
      <c r="D929" s="37" t="inlineStr">
        <is>
          <t>Sala 1</t>
        </is>
      </c>
      <c r="E929" s="36" t="inlineStr">
        <is>
          <t>Juliana Silva</t>
        </is>
      </c>
      <c r="F929" s="37" t="inlineStr">
        <is>
          <t>Vida Care</t>
        </is>
      </c>
      <c r="G929" s="37" t="inlineStr">
        <is>
          <t>Consulta</t>
        </is>
      </c>
      <c r="H929" s="37" t="inlineStr">
        <is>
          <t>Agendado</t>
        </is>
      </c>
      <c r="I929" s="37" t="n"/>
      <c r="J929" s="37" t="n"/>
      <c r="K929" s="36" t="n"/>
      <c r="L929" s="44">
        <f>IF(G929="","",IFERROR(INDEX(Config!$K$5:$K$16,MATCH(G929,Config!$J$5:$J$16,0)),""))</f>
        <v>30</v>
      </c>
      <c r="M929" s="30">
        <f>IF(OR(G929="",F929=""),"",IFERROR(INDEX(Config!$M$5:$R$16,MATCH(G929,Config!$J$5:$J$16,0),MATCH(F929,Config!$H$5:$H$10,0)),""))</f>
        <v>90</v>
      </c>
      <c r="N929" s="29">
        <f>IF(A929="","",MONTH(A929))</f>
        <v>10</v>
      </c>
      <c r="O929" s="29">
        <f>IF(A929="","",YEAR(A929))</f>
        <v>2026</v>
      </c>
      <c r="P929" s="29" t="str">
        <f>IF(A929="","",CHOOSE(WEEKDAY(A929,2),"Segunda","Terça","Quarta","Quinta","Sexta","Sábado","Domingo"))</f>
        <v>Segunda</v>
      </c>
      <c r="Q929" s="29" t="str">
        <f>IF(B929="","",IF(B929&lt;TIME(12,0,0),"Manhã",IF(B929&lt;TIME(18,0,0),"Tarde","Noite")))</f>
        <v>Manhã</v>
      </c>
      <c r="R929" s="45">
        <f>IF(AND(H929="Realizado",L929&lt;&gt;""),L929/60,0)</f>
        <v>0</v>
      </c>
    </row>
    <row r="930">
      <c r="A930" s="42">
        <f>TODAY()+21</f>
        <v>46300.0</v>
      </c>
      <c r="B930" s="43" t="n">
        <v>0.375</v>
      </c>
      <c r="C930" s="37" t="inlineStr">
        <is>
          <t>Dra. Carolina Mendes</t>
        </is>
      </c>
      <c r="D930" s="37" t="inlineStr">
        <is>
          <t>Sala 1</t>
        </is>
      </c>
      <c r="E930" s="36" t="inlineStr">
        <is>
          <t>Ricardo Melo</t>
        </is>
      </c>
      <c r="F930" s="37" t="inlineStr">
        <is>
          <t>Saúde Total</t>
        </is>
      </c>
      <c r="G930" s="37" t="inlineStr">
        <is>
          <t>Consulta</t>
        </is>
      </c>
      <c r="H930" s="37" t="inlineStr">
        <is>
          <t>Agendado</t>
        </is>
      </c>
      <c r="I930" s="37" t="n"/>
      <c r="J930" s="37" t="n"/>
      <c r="K930" s="36" t="n"/>
      <c r="L930" s="44">
        <f>IF(G930="","",IFERROR(INDEX(Config!$K$5:$K$16,MATCH(G930,Config!$J$5:$J$16,0)),""))</f>
        <v>30</v>
      </c>
      <c r="M930" s="30">
        <f>IF(OR(G930="",F930=""),"",IFERROR(INDEX(Config!$M$5:$R$16,MATCH(G930,Config!$J$5:$J$16,0),MATCH(F930,Config!$H$5:$H$10,0)),""))</f>
        <v>120</v>
      </c>
      <c r="N930" s="29">
        <f>IF(A930="","",MONTH(A930))</f>
        <v>10</v>
      </c>
      <c r="O930" s="29">
        <f>IF(A930="","",YEAR(A930))</f>
        <v>2026</v>
      </c>
      <c r="P930" s="29" t="str">
        <f>IF(A930="","",CHOOSE(WEEKDAY(A930,2),"Segunda","Terça","Quarta","Quinta","Sexta","Sábado","Domingo"))</f>
        <v>Segunda</v>
      </c>
      <c r="Q930" s="29" t="str">
        <f>IF(B930="","",IF(B930&lt;TIME(12,0,0),"Manhã",IF(B930&lt;TIME(18,0,0),"Tarde","Noite")))</f>
        <v>Manhã</v>
      </c>
      <c r="R930" s="45">
        <f>IF(AND(H930="Realizado",L930&lt;&gt;""),L930/60,0)</f>
        <v>0</v>
      </c>
    </row>
    <row r="931">
      <c r="A931" s="42">
        <f>TODAY()+21</f>
        <v>46300.0</v>
      </c>
      <c r="B931" s="43" t="n">
        <v>0.4166666666666667</v>
      </c>
      <c r="C931" s="37" t="inlineStr">
        <is>
          <t>Dra. Carolina Mendes</t>
        </is>
      </c>
      <c r="D931" s="37" t="inlineStr">
        <is>
          <t>Sala 1</t>
        </is>
      </c>
      <c r="E931" s="36" t="inlineStr">
        <is>
          <t>Leandro Oliveira</t>
        </is>
      </c>
      <c r="F931" s="37" t="inlineStr">
        <is>
          <t>Particular</t>
        </is>
      </c>
      <c r="G931" s="37" t="inlineStr">
        <is>
          <t>Consulta</t>
        </is>
      </c>
      <c r="H931" s="37" t="inlineStr">
        <is>
          <t>Agendado</t>
        </is>
      </c>
      <c r="I931" s="37" t="n"/>
      <c r="J931" s="37" t="n"/>
      <c r="K931" s="36" t="n"/>
      <c r="L931" s="44">
        <f>IF(G931="","",IFERROR(INDEX(Config!$K$5:$K$16,MATCH(G931,Config!$J$5:$J$16,0)),""))</f>
        <v>30</v>
      </c>
      <c r="M931" s="30">
        <f>IF(OR(G931="",F931=""),"",IFERROR(INDEX(Config!$M$5:$R$16,MATCH(G931,Config!$J$5:$J$16,0),MATCH(F931,Config!$H$5:$H$10,0)),""))</f>
        <v>380</v>
      </c>
      <c r="N931" s="29">
        <f>IF(A931="","",MONTH(A931))</f>
        <v>10</v>
      </c>
      <c r="O931" s="29">
        <f>IF(A931="","",YEAR(A931))</f>
        <v>2026</v>
      </c>
      <c r="P931" s="29" t="str">
        <f>IF(A931="","",CHOOSE(WEEKDAY(A931,2),"Segunda","Terça","Quarta","Quinta","Sexta","Sábado","Domingo"))</f>
        <v>Segunda</v>
      </c>
      <c r="Q931" s="29" t="str">
        <f>IF(B931="","",IF(B931&lt;TIME(12,0,0),"Manhã",IF(B931&lt;TIME(18,0,0),"Tarde","Noite")))</f>
        <v>Manhã</v>
      </c>
      <c r="R931" s="45">
        <f>IF(AND(H931="Realizado",L931&lt;&gt;""),L931/60,0)</f>
        <v>0</v>
      </c>
    </row>
    <row r="932">
      <c r="A932" s="42">
        <f>TODAY()+21</f>
        <v>46300.0</v>
      </c>
      <c r="B932" s="43" t="n">
        <v>0.4375</v>
      </c>
      <c r="C932" s="37" t="inlineStr">
        <is>
          <t>Dra. Carolina Mendes</t>
        </is>
      </c>
      <c r="D932" s="37" t="inlineStr">
        <is>
          <t>Sala 1</t>
        </is>
      </c>
      <c r="E932" s="36" t="inlineStr">
        <is>
          <t>Leandro Gomes</t>
        </is>
      </c>
      <c r="F932" s="37" t="inlineStr">
        <is>
          <t>Saúde Total</t>
        </is>
      </c>
      <c r="G932" s="37" t="inlineStr">
        <is>
          <t>Consulta</t>
        </is>
      </c>
      <c r="H932" s="37" t="inlineStr">
        <is>
          <t>Agendado</t>
        </is>
      </c>
      <c r="I932" s="37" t="n"/>
      <c r="J932" s="37" t="n"/>
      <c r="K932" s="36" t="n"/>
      <c r="L932" s="44">
        <f>IF(G932="","",IFERROR(INDEX(Config!$K$5:$K$16,MATCH(G932,Config!$J$5:$J$16,0)),""))</f>
        <v>30</v>
      </c>
      <c r="M932" s="30">
        <f>IF(OR(G932="",F932=""),"",IFERROR(INDEX(Config!$M$5:$R$16,MATCH(G932,Config!$J$5:$J$16,0),MATCH(F932,Config!$H$5:$H$10,0)),""))</f>
        <v>120</v>
      </c>
      <c r="N932" s="29">
        <f>IF(A932="","",MONTH(A932))</f>
        <v>10</v>
      </c>
      <c r="O932" s="29">
        <f>IF(A932="","",YEAR(A932))</f>
        <v>2026</v>
      </c>
      <c r="P932" s="29" t="str">
        <f>IF(A932="","",CHOOSE(WEEKDAY(A932,2),"Segunda","Terça","Quarta","Quinta","Sexta","Sábado","Domingo"))</f>
        <v>Segunda</v>
      </c>
      <c r="Q932" s="29" t="str">
        <f>IF(B932="","",IF(B932&lt;TIME(12,0,0),"Manhã",IF(B932&lt;TIME(18,0,0),"Tarde","Noite")))</f>
        <v>Manhã</v>
      </c>
      <c r="R932" s="45">
        <f>IF(AND(H932="Realizado",L932&lt;&gt;""),L932/60,0)</f>
        <v>0</v>
      </c>
    </row>
    <row r="933">
      <c r="A933" s="42">
        <f>TODAY()+21</f>
        <v>46300.0</v>
      </c>
      <c r="B933" s="43" t="n">
        <v>0.4583333333333333</v>
      </c>
      <c r="C933" s="37" t="inlineStr">
        <is>
          <t>Dra. Carolina Mendes</t>
        </is>
      </c>
      <c r="D933" s="37" t="inlineStr">
        <is>
          <t>Sala 1</t>
        </is>
      </c>
      <c r="E933" s="36" t="inlineStr">
        <is>
          <t>Rodrigo Gomes</t>
        </is>
      </c>
      <c r="F933" s="37" t="inlineStr">
        <is>
          <t>Vida Care</t>
        </is>
      </c>
      <c r="G933" s="37" t="inlineStr">
        <is>
          <t>Consulta</t>
        </is>
      </c>
      <c r="H933" s="37" t="inlineStr">
        <is>
          <t>Agendado</t>
        </is>
      </c>
      <c r="I933" s="37" t="n"/>
      <c r="J933" s="37" t="n"/>
      <c r="K933" s="36" t="n"/>
      <c r="L933" s="44">
        <f>IF(G933="","",IFERROR(INDEX(Config!$K$5:$K$16,MATCH(G933,Config!$J$5:$J$16,0)),""))</f>
        <v>30</v>
      </c>
      <c r="M933" s="30">
        <f>IF(OR(G933="",F933=""),"",IFERROR(INDEX(Config!$M$5:$R$16,MATCH(G933,Config!$J$5:$J$16,0),MATCH(F933,Config!$H$5:$H$10,0)),""))</f>
        <v>90</v>
      </c>
      <c r="N933" s="29">
        <f>IF(A933="","",MONTH(A933))</f>
        <v>10</v>
      </c>
      <c r="O933" s="29">
        <f>IF(A933="","",YEAR(A933))</f>
        <v>2026</v>
      </c>
      <c r="P933" s="29" t="str">
        <f>IF(A933="","",CHOOSE(WEEKDAY(A933,2),"Segunda","Terça","Quarta","Quinta","Sexta","Sábado","Domingo"))</f>
        <v>Segunda</v>
      </c>
      <c r="Q933" s="29" t="str">
        <f>IF(B933="","",IF(B933&lt;TIME(12,0,0),"Manhã",IF(B933&lt;TIME(18,0,0),"Tarde","Noite")))</f>
        <v>Manhã</v>
      </c>
      <c r="R933" s="45">
        <f>IF(AND(H933="Realizado",L933&lt;&gt;""),L933/60,0)</f>
        <v>0</v>
      </c>
    </row>
    <row r="934">
      <c r="A934" s="42">
        <f>TODAY()+21</f>
        <v>46300.0</v>
      </c>
      <c r="B934" s="43" t="n">
        <v>0.4791666666666667</v>
      </c>
      <c r="C934" s="37" t="inlineStr">
        <is>
          <t>Dra. Carolina Mendes</t>
        </is>
      </c>
      <c r="D934" s="37" t="inlineStr">
        <is>
          <t>Sala 1</t>
        </is>
      </c>
      <c r="E934" s="36" t="inlineStr">
        <is>
          <t>Roberta Araújo</t>
        </is>
      </c>
      <c r="F934" s="37" t="inlineStr">
        <is>
          <t>Particular</t>
        </is>
      </c>
      <c r="G934" s="37" t="inlineStr">
        <is>
          <t>Consulta</t>
        </is>
      </c>
      <c r="H934" s="37" t="inlineStr">
        <is>
          <t>Agendado</t>
        </is>
      </c>
      <c r="I934" s="37" t="n"/>
      <c r="J934" s="37" t="n"/>
      <c r="K934" s="36" t="n"/>
      <c r="L934" s="44">
        <f>IF(G934="","",IFERROR(INDEX(Config!$K$5:$K$16,MATCH(G934,Config!$J$5:$J$16,0)),""))</f>
        <v>30</v>
      </c>
      <c r="M934" s="30">
        <f>IF(OR(G934="",F934=""),"",IFERROR(INDEX(Config!$M$5:$R$16,MATCH(G934,Config!$J$5:$J$16,0),MATCH(F934,Config!$H$5:$H$10,0)),""))</f>
        <v>380</v>
      </c>
      <c r="N934" s="29">
        <f>IF(A934="","",MONTH(A934))</f>
        <v>10</v>
      </c>
      <c r="O934" s="29">
        <f>IF(A934="","",YEAR(A934))</f>
        <v>2026</v>
      </c>
      <c r="P934" s="29" t="str">
        <f>IF(A934="","",CHOOSE(WEEKDAY(A934,2),"Segunda","Terça","Quarta","Quinta","Sexta","Sábado","Domingo"))</f>
        <v>Segunda</v>
      </c>
      <c r="Q934" s="29" t="str">
        <f>IF(B934="","",IF(B934&lt;TIME(12,0,0),"Manhã",IF(B934&lt;TIME(18,0,0),"Tarde","Noite")))</f>
        <v>Manhã</v>
      </c>
      <c r="R934" s="45">
        <f>IF(AND(H934="Realizado",L934&lt;&gt;""),L934/60,0)</f>
        <v>0</v>
      </c>
    </row>
    <row r="935">
      <c r="A935" s="42">
        <f>TODAY()+21</f>
        <v>46300.0</v>
      </c>
      <c r="B935" s="43" t="n">
        <v>0.5833333333333334</v>
      </c>
      <c r="C935" s="37" t="inlineStr">
        <is>
          <t>Dr. Paulo Andrade</t>
        </is>
      </c>
      <c r="D935" s="37" t="inlineStr">
        <is>
          <t>Sala 2</t>
        </is>
      </c>
      <c r="E935" s="36" t="inlineStr">
        <is>
          <t>Elaine Cardoso</t>
        </is>
      </c>
      <c r="F935" s="37" t="inlineStr">
        <is>
          <t>Particular</t>
        </is>
      </c>
      <c r="G935" s="37" t="inlineStr">
        <is>
          <t>MAPA</t>
        </is>
      </c>
      <c r="H935" s="37" t="inlineStr">
        <is>
          <t>Agendado</t>
        </is>
      </c>
      <c r="I935" s="37" t="n"/>
      <c r="J935" s="37" t="n"/>
      <c r="K935" s="36" t="n"/>
      <c r="L935" s="44">
        <f>IF(G935="","",IFERROR(INDEX(Config!$K$5:$K$16,MATCH(G935,Config!$J$5:$J$16,0)),""))</f>
        <v>20</v>
      </c>
      <c r="M935" s="30">
        <f>IF(OR(G935="",F935=""),"",IFERROR(INDEX(Config!$M$5:$R$16,MATCH(G935,Config!$J$5:$J$16,0),MATCH(F935,Config!$H$5:$H$10,0)),""))</f>
        <v>300</v>
      </c>
      <c r="N935" s="29">
        <f>IF(A935="","",MONTH(A935))</f>
        <v>10</v>
      </c>
      <c r="O935" s="29">
        <f>IF(A935="","",YEAR(A935))</f>
        <v>2026</v>
      </c>
      <c r="P935" s="29" t="str">
        <f>IF(A935="","",CHOOSE(WEEKDAY(A935,2),"Segunda","Terça","Quarta","Quinta","Sexta","Sábado","Domingo"))</f>
        <v>Segunda</v>
      </c>
      <c r="Q935" s="29" t="str">
        <f>IF(B935="","",IF(B935&lt;TIME(12,0,0),"Manhã",IF(B935&lt;TIME(18,0,0),"Tarde","Noite")))</f>
        <v>Tarde</v>
      </c>
      <c r="R935" s="45">
        <f>IF(AND(H935="Realizado",L935&lt;&gt;""),L935/60,0)</f>
        <v>0</v>
      </c>
    </row>
    <row r="936">
      <c r="A936" s="42">
        <f>TODAY()+21</f>
        <v>46300.0</v>
      </c>
      <c r="B936" s="43" t="n">
        <v>0.5972222222222222</v>
      </c>
      <c r="C936" s="37" t="inlineStr">
        <is>
          <t>Dr. Paulo Andrade</t>
        </is>
      </c>
      <c r="D936" s="37" t="inlineStr">
        <is>
          <t>Sala 2</t>
        </is>
      </c>
      <c r="E936" s="36" t="inlineStr">
        <is>
          <t>Marcelo Ferreira</t>
        </is>
      </c>
      <c r="F936" s="37" t="inlineStr">
        <is>
          <t>Particular</t>
        </is>
      </c>
      <c r="G936" s="37" t="inlineStr">
        <is>
          <t>Consulta</t>
        </is>
      </c>
      <c r="H936" s="37" t="inlineStr">
        <is>
          <t>Agendado</t>
        </is>
      </c>
      <c r="I936" s="37" t="n"/>
      <c r="J936" s="37" t="n"/>
      <c r="K936" s="36" t="n"/>
      <c r="L936" s="44">
        <f>IF(G936="","",IFERROR(INDEX(Config!$K$5:$K$16,MATCH(G936,Config!$J$5:$J$16,0)),""))</f>
        <v>30</v>
      </c>
      <c r="M936" s="30">
        <f>IF(OR(G936="",F936=""),"",IFERROR(INDEX(Config!$M$5:$R$16,MATCH(G936,Config!$J$5:$J$16,0),MATCH(F936,Config!$H$5:$H$10,0)),""))</f>
        <v>380</v>
      </c>
      <c r="N936" s="29">
        <f>IF(A936="","",MONTH(A936))</f>
        <v>10</v>
      </c>
      <c r="O936" s="29">
        <f>IF(A936="","",YEAR(A936))</f>
        <v>2026</v>
      </c>
      <c r="P936" s="29" t="str">
        <f>IF(A936="","",CHOOSE(WEEKDAY(A936,2),"Segunda","Terça","Quarta","Quinta","Sexta","Sábado","Domingo"))</f>
        <v>Segunda</v>
      </c>
      <c r="Q936" s="29" t="str">
        <f>IF(B936="","",IF(B936&lt;TIME(12,0,0),"Manhã",IF(B936&lt;TIME(18,0,0),"Tarde","Noite")))</f>
        <v>Tarde</v>
      </c>
      <c r="R936" s="45">
        <f>IF(AND(H936="Realizado",L936&lt;&gt;""),L936/60,0)</f>
        <v>0</v>
      </c>
    </row>
    <row r="937">
      <c r="A937" s="42">
        <f>TODAY()+21</f>
        <v>46300.0</v>
      </c>
      <c r="B937" s="43" t="n">
        <v>0.6180555555555556</v>
      </c>
      <c r="C937" s="37" t="inlineStr">
        <is>
          <t>Dr. Paulo Andrade</t>
        </is>
      </c>
      <c r="D937" s="37" t="inlineStr">
        <is>
          <t>Sala 2</t>
        </is>
      </c>
      <c r="E937" s="36" t="inlineStr">
        <is>
          <t>Priscila Nunes</t>
        </is>
      </c>
      <c r="F937" s="37" t="inlineStr">
        <is>
          <t>MediPlan</t>
        </is>
      </c>
      <c r="G937" s="37" t="inlineStr">
        <is>
          <t>Teste ergométrico</t>
        </is>
      </c>
      <c r="H937" s="37" t="inlineStr">
        <is>
          <t>Agendado</t>
        </is>
      </c>
      <c r="I937" s="37" t="n"/>
      <c r="J937" s="37" t="n"/>
      <c r="K937" s="36" t="n"/>
      <c r="L937" s="44">
        <f>IF(G937="","",IFERROR(INDEX(Config!$K$5:$K$16,MATCH(G937,Config!$J$5:$J$16,0)),""))</f>
        <v>40</v>
      </c>
      <c r="M937" s="30">
        <f>IF(OR(G937="",F937=""),"",IFERROR(INDEX(Config!$M$5:$R$16,MATCH(G937,Config!$J$5:$J$16,0),MATCH(F937,Config!$H$5:$H$10,0)),""))</f>
        <v>125</v>
      </c>
      <c r="N937" s="29">
        <f>IF(A937="","",MONTH(A937))</f>
        <v>10</v>
      </c>
      <c r="O937" s="29">
        <f>IF(A937="","",YEAR(A937))</f>
        <v>2026</v>
      </c>
      <c r="P937" s="29" t="str">
        <f>IF(A937="","",CHOOSE(WEEKDAY(A937,2),"Segunda","Terça","Quarta","Quinta","Sexta","Sábado","Domingo"))</f>
        <v>Segunda</v>
      </c>
      <c r="Q937" s="29" t="str">
        <f>IF(B937="","",IF(B937&lt;TIME(12,0,0),"Manhã",IF(B937&lt;TIME(18,0,0),"Tarde","Noite")))</f>
        <v>Tarde</v>
      </c>
      <c r="R937" s="45">
        <f>IF(AND(H937="Realizado",L937&lt;&gt;""),L937/60,0)</f>
        <v>0</v>
      </c>
    </row>
    <row r="938">
      <c r="A938" s="42">
        <f>TODAY()+21</f>
        <v>46300.0</v>
      </c>
      <c r="B938" s="43" t="n">
        <v>0.6458333333333334</v>
      </c>
      <c r="C938" s="37" t="inlineStr">
        <is>
          <t>Dr. Paulo Andrade</t>
        </is>
      </c>
      <c r="D938" s="37" t="inlineStr">
        <is>
          <t>Sala 2</t>
        </is>
      </c>
      <c r="E938" s="36" t="inlineStr">
        <is>
          <t>Mateus Dias</t>
        </is>
      </c>
      <c r="F938" s="37" t="inlineStr">
        <is>
          <t>Saúde Total</t>
        </is>
      </c>
      <c r="G938" s="37" t="inlineStr">
        <is>
          <t>Consulta</t>
        </is>
      </c>
      <c r="H938" s="37" t="inlineStr">
        <is>
          <t>Agendado</t>
        </is>
      </c>
      <c r="I938" s="37" t="n"/>
      <c r="J938" s="37" t="n"/>
      <c r="K938" s="36" t="n"/>
      <c r="L938" s="44">
        <f>IF(G938="","",IFERROR(INDEX(Config!$K$5:$K$16,MATCH(G938,Config!$J$5:$J$16,0)),""))</f>
        <v>30</v>
      </c>
      <c r="M938" s="30">
        <f>IF(OR(G938="",F938=""),"",IFERROR(INDEX(Config!$M$5:$R$16,MATCH(G938,Config!$J$5:$J$16,0),MATCH(F938,Config!$H$5:$H$10,0)),""))</f>
        <v>120</v>
      </c>
      <c r="N938" s="29">
        <f>IF(A938="","",MONTH(A938))</f>
        <v>10</v>
      </c>
      <c r="O938" s="29">
        <f>IF(A938="","",YEAR(A938))</f>
        <v>2026</v>
      </c>
      <c r="P938" s="29" t="str">
        <f>IF(A938="","",CHOOSE(WEEKDAY(A938,2),"Segunda","Terça","Quarta","Quinta","Sexta","Sábado","Domingo"))</f>
        <v>Segunda</v>
      </c>
      <c r="Q938" s="29" t="str">
        <f>IF(B938="","",IF(B938&lt;TIME(12,0,0),"Manhã",IF(B938&lt;TIME(18,0,0),"Tarde","Noite")))</f>
        <v>Tarde</v>
      </c>
      <c r="R938" s="45">
        <f>IF(AND(H938="Realizado",L938&lt;&gt;""),L938/60,0)</f>
        <v>0</v>
      </c>
    </row>
    <row r="939">
      <c r="A939" s="42">
        <f>TODAY()+21</f>
        <v>46300.0</v>
      </c>
      <c r="B939" s="43" t="n">
        <v>0.6666666666666666</v>
      </c>
      <c r="C939" s="37" t="inlineStr">
        <is>
          <t>Dr. Paulo Andrade</t>
        </is>
      </c>
      <c r="D939" s="37" t="inlineStr">
        <is>
          <t>Sala 2</t>
        </is>
      </c>
      <c r="E939" s="36" t="inlineStr">
        <is>
          <t>Viviane Ribeiro</t>
        </is>
      </c>
      <c r="F939" s="37" t="inlineStr">
        <is>
          <t>Particular</t>
        </is>
      </c>
      <c r="G939" s="37" t="inlineStr">
        <is>
          <t>MAPA</t>
        </is>
      </c>
      <c r="H939" s="37" t="inlineStr">
        <is>
          <t>Agendado</t>
        </is>
      </c>
      <c r="I939" s="37" t="n"/>
      <c r="J939" s="37" t="n"/>
      <c r="K939" s="36" t="n"/>
      <c r="L939" s="44">
        <f>IF(G939="","",IFERROR(INDEX(Config!$K$5:$K$16,MATCH(G939,Config!$J$5:$J$16,0)),""))</f>
        <v>20</v>
      </c>
      <c r="M939" s="30">
        <f>IF(OR(G939="",F939=""),"",IFERROR(INDEX(Config!$M$5:$R$16,MATCH(G939,Config!$J$5:$J$16,0),MATCH(F939,Config!$H$5:$H$10,0)),""))</f>
        <v>300</v>
      </c>
      <c r="N939" s="29">
        <f>IF(A939="","",MONTH(A939))</f>
        <v>10</v>
      </c>
      <c r="O939" s="29">
        <f>IF(A939="","",YEAR(A939))</f>
        <v>2026</v>
      </c>
      <c r="P939" s="29" t="str">
        <f>IF(A939="","",CHOOSE(WEEKDAY(A939,2),"Segunda","Terça","Quarta","Quinta","Sexta","Sábado","Domingo"))</f>
        <v>Segunda</v>
      </c>
      <c r="Q939" s="29" t="str">
        <f>IF(B939="","",IF(B939&lt;TIME(12,0,0),"Manhã",IF(B939&lt;TIME(18,0,0),"Tarde","Noite")))</f>
        <v>Tarde</v>
      </c>
      <c r="R939" s="45">
        <f>IF(AND(H939="Realizado",L939&lt;&gt;""),L939/60,0)</f>
        <v>0</v>
      </c>
    </row>
    <row r="940">
      <c r="A940" s="42">
        <f>TODAY()+21</f>
        <v>46300.0</v>
      </c>
      <c r="B940" s="43" t="n">
        <v>0.6805555555555556</v>
      </c>
      <c r="C940" s="37" t="inlineStr">
        <is>
          <t>Dr. Paulo Andrade</t>
        </is>
      </c>
      <c r="D940" s="37" t="inlineStr">
        <is>
          <t>Sala 2</t>
        </is>
      </c>
      <c r="E940" s="36" t="inlineStr">
        <is>
          <t>Gisele Ribeiro</t>
        </is>
      </c>
      <c r="F940" s="37" t="inlineStr">
        <is>
          <t>Particular</t>
        </is>
      </c>
      <c r="G940" s="37" t="inlineStr">
        <is>
          <t>Teste ergométrico</t>
        </is>
      </c>
      <c r="H940" s="37" t="inlineStr">
        <is>
          <t>Agendado</t>
        </is>
      </c>
      <c r="I940" s="37" t="n"/>
      <c r="J940" s="37" t="n"/>
      <c r="K940" s="36" t="n"/>
      <c r="L940" s="44">
        <f>IF(G940="","",IFERROR(INDEX(Config!$K$5:$K$16,MATCH(G940,Config!$J$5:$J$16,0)),""))</f>
        <v>40</v>
      </c>
      <c r="M940" s="30">
        <f>IF(OR(G940="",F940=""),"",IFERROR(INDEX(Config!$M$5:$R$16,MATCH(G940,Config!$J$5:$J$16,0),MATCH(F940,Config!$H$5:$H$10,0)),""))</f>
        <v>450</v>
      </c>
      <c r="N940" s="29">
        <f>IF(A940="","",MONTH(A940))</f>
        <v>10</v>
      </c>
      <c r="O940" s="29">
        <f>IF(A940="","",YEAR(A940))</f>
        <v>2026</v>
      </c>
      <c r="P940" s="29" t="str">
        <f>IF(A940="","",CHOOSE(WEEKDAY(A940,2),"Segunda","Terça","Quarta","Quinta","Sexta","Sábado","Domingo"))</f>
        <v>Segunda</v>
      </c>
      <c r="Q940" s="29" t="str">
        <f>IF(B940="","",IF(B940&lt;TIME(12,0,0),"Manhã",IF(B940&lt;TIME(18,0,0),"Tarde","Noite")))</f>
        <v>Tarde</v>
      </c>
      <c r="R940" s="45">
        <f>IF(AND(H940="Realizado",L940&lt;&gt;""),L940/60,0)</f>
        <v>0</v>
      </c>
    </row>
    <row r="941">
      <c r="A941" s="42">
        <f>TODAY()+21</f>
        <v>46300.0</v>
      </c>
      <c r="B941" s="43" t="n">
        <v>0.7083333333333334</v>
      </c>
      <c r="C941" s="37" t="inlineStr">
        <is>
          <t>Dr. Paulo Andrade</t>
        </is>
      </c>
      <c r="D941" s="37" t="inlineStr">
        <is>
          <t>Sala 2</t>
        </is>
      </c>
      <c r="E941" s="36" t="inlineStr">
        <is>
          <t>Sandra Barros</t>
        </is>
      </c>
      <c r="F941" s="37" t="inlineStr">
        <is>
          <t>Saúde Total</t>
        </is>
      </c>
      <c r="G941" s="37" t="inlineStr">
        <is>
          <t>ECG</t>
        </is>
      </c>
      <c r="H941" s="37" t="inlineStr">
        <is>
          <t>Agendado</t>
        </is>
      </c>
      <c r="I941" s="37" t="n"/>
      <c r="J941" s="37" t="n"/>
      <c r="K941" s="36" t="n"/>
      <c r="L941" s="44">
        <f>IF(G941="","",IFERROR(INDEX(Config!$K$5:$K$16,MATCH(G941,Config!$J$5:$J$16,0)),""))</f>
        <v>20</v>
      </c>
      <c r="M941" s="30">
        <f>IF(OR(G941="",F941=""),"",IFERROR(INDEX(Config!$M$5:$R$16,MATCH(G941,Config!$J$5:$J$16,0),MATCH(F941,Config!$H$5:$H$10,0)),""))</f>
        <v>40</v>
      </c>
      <c r="N941" s="29">
        <f>IF(A941="","",MONTH(A941))</f>
        <v>10</v>
      </c>
      <c r="O941" s="29">
        <f>IF(A941="","",YEAR(A941))</f>
        <v>2026</v>
      </c>
      <c r="P941" s="29" t="str">
        <f>IF(A941="","",CHOOSE(WEEKDAY(A941,2),"Segunda","Terça","Quarta","Quinta","Sexta","Sábado","Domingo"))</f>
        <v>Segunda</v>
      </c>
      <c r="Q941" s="29" t="str">
        <f>IF(B941="","",IF(B941&lt;TIME(12,0,0),"Manhã",IF(B941&lt;TIME(18,0,0),"Tarde","Noite")))</f>
        <v>Tarde</v>
      </c>
      <c r="R941" s="45">
        <f>IF(AND(H941="Realizado",L941&lt;&gt;""),L941/60,0)</f>
        <v>0</v>
      </c>
    </row>
    <row r="942">
      <c r="A942" s="42">
        <f>TODAY()+21</f>
        <v>46300.0</v>
      </c>
      <c r="B942" s="43" t="n">
        <v>0.7222222222222222</v>
      </c>
      <c r="C942" s="37" t="inlineStr">
        <is>
          <t>Dr. Paulo Andrade</t>
        </is>
      </c>
      <c r="D942" s="37" t="inlineStr">
        <is>
          <t>Sala 2</t>
        </is>
      </c>
      <c r="E942" s="36" t="inlineStr">
        <is>
          <t>Rodrigo Gomes</t>
        </is>
      </c>
      <c r="F942" s="37" t="inlineStr">
        <is>
          <t>Vida Care</t>
        </is>
      </c>
      <c r="G942" s="37" t="inlineStr">
        <is>
          <t>MAPA</t>
        </is>
      </c>
      <c r="H942" s="37" t="inlineStr">
        <is>
          <t>Agendado</t>
        </is>
      </c>
      <c r="I942" s="37" t="n"/>
      <c r="J942" s="37" t="n"/>
      <c r="K942" s="36" t="n"/>
      <c r="L942" s="44">
        <f>IF(G942="","",IFERROR(INDEX(Config!$K$5:$K$16,MATCH(G942,Config!$J$5:$J$16,0)),""))</f>
        <v>20</v>
      </c>
      <c r="M942" s="30">
        <f>IF(OR(G942="",F942=""),"",IFERROR(INDEX(Config!$M$5:$R$16,MATCH(G942,Config!$J$5:$J$16,0),MATCH(F942,Config!$H$5:$H$10,0)),""))</f>
        <v>75</v>
      </c>
      <c r="N942" s="29">
        <f>IF(A942="","",MONTH(A942))</f>
        <v>10</v>
      </c>
      <c r="O942" s="29">
        <f>IF(A942="","",YEAR(A942))</f>
        <v>2026</v>
      </c>
      <c r="P942" s="29" t="str">
        <f>IF(A942="","",CHOOSE(WEEKDAY(A942,2),"Segunda","Terça","Quarta","Quinta","Sexta","Sábado","Domingo"))</f>
        <v>Segunda</v>
      </c>
      <c r="Q942" s="29" t="str">
        <f>IF(B942="","",IF(B942&lt;TIME(12,0,0),"Manhã",IF(B942&lt;TIME(18,0,0),"Tarde","Noite")))</f>
        <v>Tarde</v>
      </c>
      <c r="R942" s="45">
        <f>IF(AND(H942="Realizado",L942&lt;&gt;""),L942/60,0)</f>
        <v>0</v>
      </c>
    </row>
    <row r="943">
      <c r="A943" s="42">
        <f>TODAY()+21</f>
        <v>46300.0</v>
      </c>
      <c r="B943" s="43" t="n">
        <v>0.7361111111111112</v>
      </c>
      <c r="C943" s="37" t="inlineStr">
        <is>
          <t>Dr. Paulo Andrade</t>
        </is>
      </c>
      <c r="D943" s="37" t="inlineStr">
        <is>
          <t>Sala 2</t>
        </is>
      </c>
      <c r="E943" s="36" t="inlineStr">
        <is>
          <t>Isabela Pinto</t>
        </is>
      </c>
      <c r="F943" s="37" t="inlineStr">
        <is>
          <t>Saúde Total</t>
        </is>
      </c>
      <c r="G943" s="37" t="inlineStr">
        <is>
          <t>ECG</t>
        </is>
      </c>
      <c r="H943" s="37" t="inlineStr">
        <is>
          <t>Agendado</t>
        </is>
      </c>
      <c r="I943" s="37" t="n"/>
      <c r="J943" s="37" t="n"/>
      <c r="K943" s="36" t="n"/>
      <c r="L943" s="44">
        <f>IF(G943="","",IFERROR(INDEX(Config!$K$5:$K$16,MATCH(G943,Config!$J$5:$J$16,0)),""))</f>
        <v>20</v>
      </c>
      <c r="M943" s="30">
        <f>IF(OR(G943="",F943=""),"",IFERROR(INDEX(Config!$M$5:$R$16,MATCH(G943,Config!$J$5:$J$16,0),MATCH(F943,Config!$H$5:$H$10,0)),""))</f>
        <v>40</v>
      </c>
      <c r="N943" s="29">
        <f>IF(A943="","",MONTH(A943))</f>
        <v>10</v>
      </c>
      <c r="O943" s="29">
        <f>IF(A943="","",YEAR(A943))</f>
        <v>2026</v>
      </c>
      <c r="P943" s="29" t="str">
        <f>IF(A943="","",CHOOSE(WEEKDAY(A943,2),"Segunda","Terça","Quarta","Quinta","Sexta","Sábado","Domingo"))</f>
        <v>Segunda</v>
      </c>
      <c r="Q943" s="29" t="str">
        <f>IF(B943="","",IF(B943&lt;TIME(12,0,0),"Manhã",IF(B943&lt;TIME(18,0,0),"Tarde","Noite")))</f>
        <v>Tarde</v>
      </c>
      <c r="R943" s="45">
        <f>IF(AND(H943="Realizado",L943&lt;&gt;""),L943/60,0)</f>
        <v>0</v>
      </c>
    </row>
    <row r="944">
      <c r="A944" s="42" t="n"/>
      <c r="B944" s="43" t="n"/>
      <c r="C944" s="37" t="n"/>
      <c r="D944" s="37" t="n"/>
      <c r="E944" s="36" t="n"/>
      <c r="F944" s="37" t="n"/>
      <c r="G944" s="37" t="n"/>
      <c r="H944" s="37" t="n"/>
      <c r="I944" s="37" t="n"/>
      <c r="J944" s="37" t="n"/>
      <c r="K944" s="36" t="n"/>
      <c r="L944" s="44">
        <f>IF(G944="","",IFERROR(INDEX(Config!$K$5:$K$16,MATCH(G944,Config!$J$5:$J$16,0)),""))</f>
        <v/>
      </c>
      <c r="M944" s="30">
        <f>IF(OR(G944="",F944=""),"",IFERROR(INDEX(Config!$M$5:$R$16,MATCH(G944,Config!$J$5:$J$16,0),MATCH(F944,Config!$H$5:$H$10,0)),""))</f>
        <v/>
      </c>
      <c r="N944" s="29">
        <f>IF(A944="","",MONTH(A944))</f>
        <v/>
      </c>
      <c r="O944" s="29">
        <f>IF(A944="","",YEAR(A944))</f>
        <v/>
      </c>
      <c r="P944" s="29">
        <f>IF(A944="","",CHOOSE(WEEKDAY(A944,2),"Segunda","Terça","Quarta","Quinta","Sexta","Sábado","Domingo"))</f>
        <v/>
      </c>
      <c r="Q944" s="29">
        <f>IF(B944="","",IF(B944&lt;TIME(12,0,0),"Manhã",IF(B944&lt;TIME(18,0,0),"Tarde","Noite")))</f>
        <v/>
      </c>
      <c r="R944" s="45">
        <f>IF(AND(H944="Realizado",L944&lt;&gt;""),L944/60,0)</f>
        <v>0</v>
      </c>
    </row>
    <row r="945">
      <c r="A945" s="42" t="n"/>
      <c r="B945" s="43" t="n"/>
      <c r="C945" s="37" t="n"/>
      <c r="D945" s="37" t="n"/>
      <c r="E945" s="36" t="n"/>
      <c r="F945" s="37" t="n"/>
      <c r="G945" s="37" t="n"/>
      <c r="H945" s="37" t="n"/>
      <c r="I945" s="37" t="n"/>
      <c r="J945" s="37" t="n"/>
      <c r="K945" s="36" t="n"/>
      <c r="L945" s="44">
        <f>IF(G945="","",IFERROR(INDEX(Config!$K$5:$K$16,MATCH(G945,Config!$J$5:$J$16,0)),""))</f>
        <v/>
      </c>
      <c r="M945" s="30">
        <f>IF(OR(G945="",F945=""),"",IFERROR(INDEX(Config!$M$5:$R$16,MATCH(G945,Config!$J$5:$J$16,0),MATCH(F945,Config!$H$5:$H$10,0)),""))</f>
        <v/>
      </c>
      <c r="N945" s="29">
        <f>IF(A945="","",MONTH(A945))</f>
        <v/>
      </c>
      <c r="O945" s="29">
        <f>IF(A945="","",YEAR(A945))</f>
        <v/>
      </c>
      <c r="P945" s="29">
        <f>IF(A945="","",CHOOSE(WEEKDAY(A945,2),"Segunda","Terça","Quarta","Quinta","Sexta","Sábado","Domingo"))</f>
        <v/>
      </c>
      <c r="Q945" s="29">
        <f>IF(B945="","",IF(B945&lt;TIME(12,0,0),"Manhã",IF(B945&lt;TIME(18,0,0),"Tarde","Noite")))</f>
        <v/>
      </c>
      <c r="R945" s="45">
        <f>IF(AND(H945="Realizado",L945&lt;&gt;""),L945/60,0)</f>
        <v>0</v>
      </c>
    </row>
    <row r="946">
      <c r="A946" s="42" t="n"/>
      <c r="B946" s="43" t="n"/>
      <c r="C946" s="37" t="n"/>
      <c r="D946" s="37" t="n"/>
      <c r="E946" s="36" t="n"/>
      <c r="F946" s="37" t="n"/>
      <c r="G946" s="37" t="n"/>
      <c r="H946" s="37" t="n"/>
      <c r="I946" s="37" t="n"/>
      <c r="J946" s="37" t="n"/>
      <c r="K946" s="36" t="n"/>
      <c r="L946" s="44">
        <f>IF(G946="","",IFERROR(INDEX(Config!$K$5:$K$16,MATCH(G946,Config!$J$5:$J$16,0)),""))</f>
        <v/>
      </c>
      <c r="M946" s="30">
        <f>IF(OR(G946="",F946=""),"",IFERROR(INDEX(Config!$M$5:$R$16,MATCH(G946,Config!$J$5:$J$16,0),MATCH(F946,Config!$H$5:$H$10,0)),""))</f>
        <v/>
      </c>
      <c r="N946" s="29">
        <f>IF(A946="","",MONTH(A946))</f>
        <v/>
      </c>
      <c r="O946" s="29">
        <f>IF(A946="","",YEAR(A946))</f>
        <v/>
      </c>
      <c r="P946" s="29">
        <f>IF(A946="","",CHOOSE(WEEKDAY(A946,2),"Segunda","Terça","Quarta","Quinta","Sexta","Sábado","Domingo"))</f>
        <v/>
      </c>
      <c r="Q946" s="29">
        <f>IF(B946="","",IF(B946&lt;TIME(12,0,0),"Manhã",IF(B946&lt;TIME(18,0,0),"Tarde","Noite")))</f>
        <v/>
      </c>
      <c r="R946" s="45">
        <f>IF(AND(H946="Realizado",L946&lt;&gt;""),L946/60,0)</f>
        <v>0</v>
      </c>
    </row>
    <row r="947">
      <c r="A947" s="42" t="n"/>
      <c r="B947" s="43" t="n"/>
      <c r="C947" s="37" t="n"/>
      <c r="D947" s="37" t="n"/>
      <c r="E947" s="36" t="n"/>
      <c r="F947" s="37" t="n"/>
      <c r="G947" s="37" t="n"/>
      <c r="H947" s="37" t="n"/>
      <c r="I947" s="37" t="n"/>
      <c r="J947" s="37" t="n"/>
      <c r="K947" s="36" t="n"/>
      <c r="L947" s="44">
        <f>IF(G947="","",IFERROR(INDEX(Config!$K$5:$K$16,MATCH(G947,Config!$J$5:$J$16,0)),""))</f>
        <v/>
      </c>
      <c r="M947" s="30">
        <f>IF(OR(G947="",F947=""),"",IFERROR(INDEX(Config!$M$5:$R$16,MATCH(G947,Config!$J$5:$J$16,0),MATCH(F947,Config!$H$5:$H$10,0)),""))</f>
        <v/>
      </c>
      <c r="N947" s="29">
        <f>IF(A947="","",MONTH(A947))</f>
        <v/>
      </c>
      <c r="O947" s="29">
        <f>IF(A947="","",YEAR(A947))</f>
        <v/>
      </c>
      <c r="P947" s="29">
        <f>IF(A947="","",CHOOSE(WEEKDAY(A947,2),"Segunda","Terça","Quarta","Quinta","Sexta","Sábado","Domingo"))</f>
        <v/>
      </c>
      <c r="Q947" s="29">
        <f>IF(B947="","",IF(B947&lt;TIME(12,0,0),"Manhã",IF(B947&lt;TIME(18,0,0),"Tarde","Noite")))</f>
        <v/>
      </c>
      <c r="R947" s="45">
        <f>IF(AND(H947="Realizado",L947&lt;&gt;""),L947/60,0)</f>
        <v>0</v>
      </c>
    </row>
    <row r="948">
      <c r="A948" s="42" t="n"/>
      <c r="B948" s="43" t="n"/>
      <c r="C948" s="37" t="n"/>
      <c r="D948" s="37" t="n"/>
      <c r="E948" s="36" t="n"/>
      <c r="F948" s="37" t="n"/>
      <c r="G948" s="37" t="n"/>
      <c r="H948" s="37" t="n"/>
      <c r="I948" s="37" t="n"/>
      <c r="J948" s="37" t="n"/>
      <c r="K948" s="36" t="n"/>
      <c r="L948" s="44">
        <f>IF(G948="","",IFERROR(INDEX(Config!$K$5:$K$16,MATCH(G948,Config!$J$5:$J$16,0)),""))</f>
        <v/>
      </c>
      <c r="M948" s="30">
        <f>IF(OR(G948="",F948=""),"",IFERROR(INDEX(Config!$M$5:$R$16,MATCH(G948,Config!$J$5:$J$16,0),MATCH(F948,Config!$H$5:$H$10,0)),""))</f>
        <v/>
      </c>
      <c r="N948" s="29">
        <f>IF(A948="","",MONTH(A948))</f>
        <v/>
      </c>
      <c r="O948" s="29">
        <f>IF(A948="","",YEAR(A948))</f>
        <v/>
      </c>
      <c r="P948" s="29">
        <f>IF(A948="","",CHOOSE(WEEKDAY(A948,2),"Segunda","Terça","Quarta","Quinta","Sexta","Sábado","Domingo"))</f>
        <v/>
      </c>
      <c r="Q948" s="29">
        <f>IF(B948="","",IF(B948&lt;TIME(12,0,0),"Manhã",IF(B948&lt;TIME(18,0,0),"Tarde","Noite")))</f>
        <v/>
      </c>
      <c r="R948" s="45">
        <f>IF(AND(H948="Realizado",L948&lt;&gt;""),L948/60,0)</f>
        <v>0</v>
      </c>
    </row>
    <row r="949">
      <c r="A949" s="42" t="n"/>
      <c r="B949" s="43" t="n"/>
      <c r="C949" s="37" t="n"/>
      <c r="D949" s="37" t="n"/>
      <c r="E949" s="36" t="n"/>
      <c r="F949" s="37" t="n"/>
      <c r="G949" s="37" t="n"/>
      <c r="H949" s="37" t="n"/>
      <c r="I949" s="37" t="n"/>
      <c r="J949" s="37" t="n"/>
      <c r="K949" s="36" t="n"/>
      <c r="L949" s="44">
        <f>IF(G949="","",IFERROR(INDEX(Config!$K$5:$K$16,MATCH(G949,Config!$J$5:$J$16,0)),""))</f>
        <v/>
      </c>
      <c r="M949" s="30">
        <f>IF(OR(G949="",F949=""),"",IFERROR(INDEX(Config!$M$5:$R$16,MATCH(G949,Config!$J$5:$J$16,0),MATCH(F949,Config!$H$5:$H$10,0)),""))</f>
        <v/>
      </c>
      <c r="N949" s="29">
        <f>IF(A949="","",MONTH(A949))</f>
        <v/>
      </c>
      <c r="O949" s="29">
        <f>IF(A949="","",YEAR(A949))</f>
        <v/>
      </c>
      <c r="P949" s="29">
        <f>IF(A949="","",CHOOSE(WEEKDAY(A949,2),"Segunda","Terça","Quarta","Quinta","Sexta","Sábado","Domingo"))</f>
        <v/>
      </c>
      <c r="Q949" s="29">
        <f>IF(B949="","",IF(B949&lt;TIME(12,0,0),"Manhã",IF(B949&lt;TIME(18,0,0),"Tarde","Noite")))</f>
        <v/>
      </c>
      <c r="R949" s="45">
        <f>IF(AND(H949="Realizado",L949&lt;&gt;""),L949/60,0)</f>
        <v>0</v>
      </c>
    </row>
    <row r="950">
      <c r="A950" s="42" t="n"/>
      <c r="B950" s="43" t="n"/>
      <c r="C950" s="37" t="n"/>
      <c r="D950" s="37" t="n"/>
      <c r="E950" s="36" t="n"/>
      <c r="F950" s="37" t="n"/>
      <c r="G950" s="37" t="n"/>
      <c r="H950" s="37" t="n"/>
      <c r="I950" s="37" t="n"/>
      <c r="J950" s="37" t="n"/>
      <c r="K950" s="36" t="n"/>
      <c r="L950" s="44">
        <f>IF(G950="","",IFERROR(INDEX(Config!$K$5:$K$16,MATCH(G950,Config!$J$5:$J$16,0)),""))</f>
        <v/>
      </c>
      <c r="M950" s="30">
        <f>IF(OR(G950="",F950=""),"",IFERROR(INDEX(Config!$M$5:$R$16,MATCH(G950,Config!$J$5:$J$16,0),MATCH(F950,Config!$H$5:$H$10,0)),""))</f>
        <v/>
      </c>
      <c r="N950" s="29">
        <f>IF(A950="","",MONTH(A950))</f>
        <v/>
      </c>
      <c r="O950" s="29">
        <f>IF(A950="","",YEAR(A950))</f>
        <v/>
      </c>
      <c r="P950" s="29">
        <f>IF(A950="","",CHOOSE(WEEKDAY(A950,2),"Segunda","Terça","Quarta","Quinta","Sexta","Sábado","Domingo"))</f>
        <v/>
      </c>
      <c r="Q950" s="29">
        <f>IF(B950="","",IF(B950&lt;TIME(12,0,0),"Manhã",IF(B950&lt;TIME(18,0,0),"Tarde","Noite")))</f>
        <v/>
      </c>
      <c r="R950" s="45">
        <f>IF(AND(H950="Realizado",L950&lt;&gt;""),L950/60,0)</f>
        <v>0</v>
      </c>
    </row>
    <row r="951">
      <c r="A951" s="42" t="n"/>
      <c r="B951" s="43" t="n"/>
      <c r="C951" s="37" t="n"/>
      <c r="D951" s="37" t="n"/>
      <c r="E951" s="36" t="n"/>
      <c r="F951" s="37" t="n"/>
      <c r="G951" s="37" t="n"/>
      <c r="H951" s="37" t="n"/>
      <c r="I951" s="37" t="n"/>
      <c r="J951" s="37" t="n"/>
      <c r="K951" s="36" t="n"/>
      <c r="L951" s="44">
        <f>IF(G951="","",IFERROR(INDEX(Config!$K$5:$K$16,MATCH(G951,Config!$J$5:$J$16,0)),""))</f>
        <v/>
      </c>
      <c r="M951" s="30">
        <f>IF(OR(G951="",F951=""),"",IFERROR(INDEX(Config!$M$5:$R$16,MATCH(G951,Config!$J$5:$J$16,0),MATCH(F951,Config!$H$5:$H$10,0)),""))</f>
        <v/>
      </c>
      <c r="N951" s="29">
        <f>IF(A951="","",MONTH(A951))</f>
        <v/>
      </c>
      <c r="O951" s="29">
        <f>IF(A951="","",YEAR(A951))</f>
        <v/>
      </c>
      <c r="P951" s="29">
        <f>IF(A951="","",CHOOSE(WEEKDAY(A951,2),"Segunda","Terça","Quarta","Quinta","Sexta","Sábado","Domingo"))</f>
        <v/>
      </c>
      <c r="Q951" s="29">
        <f>IF(B951="","",IF(B951&lt;TIME(12,0,0),"Manhã",IF(B951&lt;TIME(18,0,0),"Tarde","Noite")))</f>
        <v/>
      </c>
      <c r="R951" s="45">
        <f>IF(AND(H951="Realizado",L951&lt;&gt;""),L951/60,0)</f>
        <v>0</v>
      </c>
    </row>
    <row r="952">
      <c r="A952" s="42" t="n"/>
      <c r="B952" s="43" t="n"/>
      <c r="C952" s="37" t="n"/>
      <c r="D952" s="37" t="n"/>
      <c r="E952" s="36" t="n"/>
      <c r="F952" s="37" t="n"/>
      <c r="G952" s="37" t="n"/>
      <c r="H952" s="37" t="n"/>
      <c r="I952" s="37" t="n"/>
      <c r="J952" s="37" t="n"/>
      <c r="K952" s="36" t="n"/>
      <c r="L952" s="44">
        <f>IF(G952="","",IFERROR(INDEX(Config!$K$5:$K$16,MATCH(G952,Config!$J$5:$J$16,0)),""))</f>
        <v/>
      </c>
      <c r="M952" s="30">
        <f>IF(OR(G952="",F952=""),"",IFERROR(INDEX(Config!$M$5:$R$16,MATCH(G952,Config!$J$5:$J$16,0),MATCH(F952,Config!$H$5:$H$10,0)),""))</f>
        <v/>
      </c>
      <c r="N952" s="29">
        <f>IF(A952="","",MONTH(A952))</f>
        <v/>
      </c>
      <c r="O952" s="29">
        <f>IF(A952="","",YEAR(A952))</f>
        <v/>
      </c>
      <c r="P952" s="29">
        <f>IF(A952="","",CHOOSE(WEEKDAY(A952,2),"Segunda","Terça","Quarta","Quinta","Sexta","Sábado","Domingo"))</f>
        <v/>
      </c>
      <c r="Q952" s="29">
        <f>IF(B952="","",IF(B952&lt;TIME(12,0,0),"Manhã",IF(B952&lt;TIME(18,0,0),"Tarde","Noite")))</f>
        <v/>
      </c>
      <c r="R952" s="45">
        <f>IF(AND(H952="Realizado",L952&lt;&gt;""),L952/60,0)</f>
        <v>0</v>
      </c>
    </row>
    <row r="953">
      <c r="A953" s="42" t="n"/>
      <c r="B953" s="43" t="n"/>
      <c r="C953" s="37" t="n"/>
      <c r="D953" s="37" t="n"/>
      <c r="E953" s="36" t="n"/>
      <c r="F953" s="37" t="n"/>
      <c r="G953" s="37" t="n"/>
      <c r="H953" s="37" t="n"/>
      <c r="I953" s="37" t="n"/>
      <c r="J953" s="37" t="n"/>
      <c r="K953" s="36" t="n"/>
      <c r="L953" s="44">
        <f>IF(G953="","",IFERROR(INDEX(Config!$K$5:$K$16,MATCH(G953,Config!$J$5:$J$16,0)),""))</f>
        <v/>
      </c>
      <c r="M953" s="30">
        <f>IF(OR(G953="",F953=""),"",IFERROR(INDEX(Config!$M$5:$R$16,MATCH(G953,Config!$J$5:$J$16,0),MATCH(F953,Config!$H$5:$H$10,0)),""))</f>
        <v/>
      </c>
      <c r="N953" s="29">
        <f>IF(A953="","",MONTH(A953))</f>
        <v/>
      </c>
      <c r="O953" s="29">
        <f>IF(A953="","",YEAR(A953))</f>
        <v/>
      </c>
      <c r="P953" s="29">
        <f>IF(A953="","",CHOOSE(WEEKDAY(A953,2),"Segunda","Terça","Quarta","Quinta","Sexta","Sábado","Domingo"))</f>
        <v/>
      </c>
      <c r="Q953" s="29">
        <f>IF(B953="","",IF(B953&lt;TIME(12,0,0),"Manhã",IF(B953&lt;TIME(18,0,0),"Tarde","Noite")))</f>
        <v/>
      </c>
      <c r="R953" s="45">
        <f>IF(AND(H953="Realizado",L953&lt;&gt;""),L953/60,0)</f>
        <v>0</v>
      </c>
    </row>
    <row r="954">
      <c r="A954" s="42" t="n"/>
      <c r="B954" s="43" t="n"/>
      <c r="C954" s="37" t="n"/>
      <c r="D954" s="37" t="n"/>
      <c r="E954" s="36" t="n"/>
      <c r="F954" s="37" t="n"/>
      <c r="G954" s="37" t="n"/>
      <c r="H954" s="37" t="n"/>
      <c r="I954" s="37" t="n"/>
      <c r="J954" s="37" t="n"/>
      <c r="K954" s="36" t="n"/>
      <c r="L954" s="44">
        <f>IF(G954="","",IFERROR(INDEX(Config!$K$5:$K$16,MATCH(G954,Config!$J$5:$J$16,0)),""))</f>
        <v/>
      </c>
      <c r="M954" s="30">
        <f>IF(OR(G954="",F954=""),"",IFERROR(INDEX(Config!$M$5:$R$16,MATCH(G954,Config!$J$5:$J$16,0),MATCH(F954,Config!$H$5:$H$10,0)),""))</f>
        <v/>
      </c>
      <c r="N954" s="29">
        <f>IF(A954="","",MONTH(A954))</f>
        <v/>
      </c>
      <c r="O954" s="29">
        <f>IF(A954="","",YEAR(A954))</f>
        <v/>
      </c>
      <c r="P954" s="29">
        <f>IF(A954="","",CHOOSE(WEEKDAY(A954,2),"Segunda","Terça","Quarta","Quinta","Sexta","Sábado","Domingo"))</f>
        <v/>
      </c>
      <c r="Q954" s="29">
        <f>IF(B954="","",IF(B954&lt;TIME(12,0,0),"Manhã",IF(B954&lt;TIME(18,0,0),"Tarde","Noite")))</f>
        <v/>
      </c>
      <c r="R954" s="45">
        <f>IF(AND(H954="Realizado",L954&lt;&gt;""),L954/60,0)</f>
        <v>0</v>
      </c>
    </row>
    <row r="955">
      <c r="A955" s="42" t="n"/>
      <c r="B955" s="43" t="n"/>
      <c r="C955" s="37" t="n"/>
      <c r="D955" s="37" t="n"/>
      <c r="E955" s="36" t="n"/>
      <c r="F955" s="37" t="n"/>
      <c r="G955" s="37" t="n"/>
      <c r="H955" s="37" t="n"/>
      <c r="I955" s="37" t="n"/>
      <c r="J955" s="37" t="n"/>
      <c r="K955" s="36" t="n"/>
      <c r="L955" s="44">
        <f>IF(G955="","",IFERROR(INDEX(Config!$K$5:$K$16,MATCH(G955,Config!$J$5:$J$16,0)),""))</f>
        <v/>
      </c>
      <c r="M955" s="30">
        <f>IF(OR(G955="",F955=""),"",IFERROR(INDEX(Config!$M$5:$R$16,MATCH(G955,Config!$J$5:$J$16,0),MATCH(F955,Config!$H$5:$H$10,0)),""))</f>
        <v/>
      </c>
      <c r="N955" s="29">
        <f>IF(A955="","",MONTH(A955))</f>
        <v/>
      </c>
      <c r="O955" s="29">
        <f>IF(A955="","",YEAR(A955))</f>
        <v/>
      </c>
      <c r="P955" s="29">
        <f>IF(A955="","",CHOOSE(WEEKDAY(A955,2),"Segunda","Terça","Quarta","Quinta","Sexta","Sábado","Domingo"))</f>
        <v/>
      </c>
      <c r="Q955" s="29">
        <f>IF(B955="","",IF(B955&lt;TIME(12,0,0),"Manhã",IF(B955&lt;TIME(18,0,0),"Tarde","Noite")))</f>
        <v/>
      </c>
      <c r="R955" s="45">
        <f>IF(AND(H955="Realizado",L955&lt;&gt;""),L955/60,0)</f>
        <v>0</v>
      </c>
    </row>
    <row r="956">
      <c r="A956" s="42" t="n"/>
      <c r="B956" s="43" t="n"/>
      <c r="C956" s="37" t="n"/>
      <c r="D956" s="37" t="n"/>
      <c r="E956" s="36" t="n"/>
      <c r="F956" s="37" t="n"/>
      <c r="G956" s="37" t="n"/>
      <c r="H956" s="37" t="n"/>
      <c r="I956" s="37" t="n"/>
      <c r="J956" s="37" t="n"/>
      <c r="K956" s="36" t="n"/>
      <c r="L956" s="44">
        <f>IF(G956="","",IFERROR(INDEX(Config!$K$5:$K$16,MATCH(G956,Config!$J$5:$J$16,0)),""))</f>
        <v/>
      </c>
      <c r="M956" s="30">
        <f>IF(OR(G956="",F956=""),"",IFERROR(INDEX(Config!$M$5:$R$16,MATCH(G956,Config!$J$5:$J$16,0),MATCH(F956,Config!$H$5:$H$10,0)),""))</f>
        <v/>
      </c>
      <c r="N956" s="29">
        <f>IF(A956="","",MONTH(A956))</f>
        <v/>
      </c>
      <c r="O956" s="29">
        <f>IF(A956="","",YEAR(A956))</f>
        <v/>
      </c>
      <c r="P956" s="29">
        <f>IF(A956="","",CHOOSE(WEEKDAY(A956,2),"Segunda","Terça","Quarta","Quinta","Sexta","Sábado","Domingo"))</f>
        <v/>
      </c>
      <c r="Q956" s="29">
        <f>IF(B956="","",IF(B956&lt;TIME(12,0,0),"Manhã",IF(B956&lt;TIME(18,0,0),"Tarde","Noite")))</f>
        <v/>
      </c>
      <c r="R956" s="45">
        <f>IF(AND(H956="Realizado",L956&lt;&gt;""),L956/60,0)</f>
        <v>0</v>
      </c>
    </row>
    <row r="957">
      <c r="A957" s="42" t="n"/>
      <c r="B957" s="43" t="n"/>
      <c r="C957" s="37" t="n"/>
      <c r="D957" s="37" t="n"/>
      <c r="E957" s="36" t="n"/>
      <c r="F957" s="37" t="n"/>
      <c r="G957" s="37" t="n"/>
      <c r="H957" s="37" t="n"/>
      <c r="I957" s="37" t="n"/>
      <c r="J957" s="37" t="n"/>
      <c r="K957" s="36" t="n"/>
      <c r="L957" s="44">
        <f>IF(G957="","",IFERROR(INDEX(Config!$K$5:$K$16,MATCH(G957,Config!$J$5:$J$16,0)),""))</f>
        <v/>
      </c>
      <c r="M957" s="30">
        <f>IF(OR(G957="",F957=""),"",IFERROR(INDEX(Config!$M$5:$R$16,MATCH(G957,Config!$J$5:$J$16,0),MATCH(F957,Config!$H$5:$H$10,0)),""))</f>
        <v/>
      </c>
      <c r="N957" s="29">
        <f>IF(A957="","",MONTH(A957))</f>
        <v/>
      </c>
      <c r="O957" s="29">
        <f>IF(A957="","",YEAR(A957))</f>
        <v/>
      </c>
      <c r="P957" s="29">
        <f>IF(A957="","",CHOOSE(WEEKDAY(A957,2),"Segunda","Terça","Quarta","Quinta","Sexta","Sábado","Domingo"))</f>
        <v/>
      </c>
      <c r="Q957" s="29">
        <f>IF(B957="","",IF(B957&lt;TIME(12,0,0),"Manhã",IF(B957&lt;TIME(18,0,0),"Tarde","Noite")))</f>
        <v/>
      </c>
      <c r="R957" s="45">
        <f>IF(AND(H957="Realizado",L957&lt;&gt;""),L957/60,0)</f>
        <v>0</v>
      </c>
    </row>
    <row r="958">
      <c r="A958" s="42" t="n"/>
      <c r="B958" s="43" t="n"/>
      <c r="C958" s="37" t="n"/>
      <c r="D958" s="37" t="n"/>
      <c r="E958" s="36" t="n"/>
      <c r="F958" s="37" t="n"/>
      <c r="G958" s="37" t="n"/>
      <c r="H958" s="37" t="n"/>
      <c r="I958" s="37" t="n"/>
      <c r="J958" s="37" t="n"/>
      <c r="K958" s="36" t="n"/>
      <c r="L958" s="44">
        <f>IF(G958="","",IFERROR(INDEX(Config!$K$5:$K$16,MATCH(G958,Config!$J$5:$J$16,0)),""))</f>
        <v/>
      </c>
      <c r="M958" s="30">
        <f>IF(OR(G958="",F958=""),"",IFERROR(INDEX(Config!$M$5:$R$16,MATCH(G958,Config!$J$5:$J$16,0),MATCH(F958,Config!$H$5:$H$10,0)),""))</f>
        <v/>
      </c>
      <c r="N958" s="29">
        <f>IF(A958="","",MONTH(A958))</f>
        <v/>
      </c>
      <c r="O958" s="29">
        <f>IF(A958="","",YEAR(A958))</f>
        <v/>
      </c>
      <c r="P958" s="29">
        <f>IF(A958="","",CHOOSE(WEEKDAY(A958,2),"Segunda","Terça","Quarta","Quinta","Sexta","Sábado","Domingo"))</f>
        <v/>
      </c>
      <c r="Q958" s="29">
        <f>IF(B958="","",IF(B958&lt;TIME(12,0,0),"Manhã",IF(B958&lt;TIME(18,0,0),"Tarde","Noite")))</f>
        <v/>
      </c>
      <c r="R958" s="45">
        <f>IF(AND(H958="Realizado",L958&lt;&gt;""),L958/60,0)</f>
        <v>0</v>
      </c>
    </row>
    <row r="959">
      <c r="A959" s="42" t="n"/>
      <c r="B959" s="43" t="n"/>
      <c r="C959" s="37" t="n"/>
      <c r="D959" s="37" t="n"/>
      <c r="E959" s="36" t="n"/>
      <c r="F959" s="37" t="n"/>
      <c r="G959" s="37" t="n"/>
      <c r="H959" s="37" t="n"/>
      <c r="I959" s="37" t="n"/>
      <c r="J959" s="37" t="n"/>
      <c r="K959" s="36" t="n"/>
      <c r="L959" s="44">
        <f>IF(G959="","",IFERROR(INDEX(Config!$K$5:$K$16,MATCH(G959,Config!$J$5:$J$16,0)),""))</f>
        <v/>
      </c>
      <c r="M959" s="30">
        <f>IF(OR(G959="",F959=""),"",IFERROR(INDEX(Config!$M$5:$R$16,MATCH(G959,Config!$J$5:$J$16,0),MATCH(F959,Config!$H$5:$H$10,0)),""))</f>
        <v/>
      </c>
      <c r="N959" s="29">
        <f>IF(A959="","",MONTH(A959))</f>
        <v/>
      </c>
      <c r="O959" s="29">
        <f>IF(A959="","",YEAR(A959))</f>
        <v/>
      </c>
      <c r="P959" s="29">
        <f>IF(A959="","",CHOOSE(WEEKDAY(A959,2),"Segunda","Terça","Quarta","Quinta","Sexta","Sábado","Domingo"))</f>
        <v/>
      </c>
      <c r="Q959" s="29">
        <f>IF(B959="","",IF(B959&lt;TIME(12,0,0),"Manhã",IF(B959&lt;TIME(18,0,0),"Tarde","Noite")))</f>
        <v/>
      </c>
      <c r="R959" s="45">
        <f>IF(AND(H959="Realizado",L959&lt;&gt;""),L959/60,0)</f>
        <v>0</v>
      </c>
    </row>
    <row r="960">
      <c r="A960" s="42" t="n"/>
      <c r="B960" s="43" t="n"/>
      <c r="C960" s="37" t="n"/>
      <c r="D960" s="37" t="n"/>
      <c r="E960" s="36" t="n"/>
      <c r="F960" s="37" t="n"/>
      <c r="G960" s="37" t="n"/>
      <c r="H960" s="37" t="n"/>
      <c r="I960" s="37" t="n"/>
      <c r="J960" s="37" t="n"/>
      <c r="K960" s="36" t="n"/>
      <c r="L960" s="44">
        <f>IF(G960="","",IFERROR(INDEX(Config!$K$5:$K$16,MATCH(G960,Config!$J$5:$J$16,0)),""))</f>
        <v/>
      </c>
      <c r="M960" s="30">
        <f>IF(OR(G960="",F960=""),"",IFERROR(INDEX(Config!$M$5:$R$16,MATCH(G960,Config!$J$5:$J$16,0),MATCH(F960,Config!$H$5:$H$10,0)),""))</f>
        <v/>
      </c>
      <c r="N960" s="29">
        <f>IF(A960="","",MONTH(A960))</f>
        <v/>
      </c>
      <c r="O960" s="29">
        <f>IF(A960="","",YEAR(A960))</f>
        <v/>
      </c>
      <c r="P960" s="29">
        <f>IF(A960="","",CHOOSE(WEEKDAY(A960,2),"Segunda","Terça","Quarta","Quinta","Sexta","Sábado","Domingo"))</f>
        <v/>
      </c>
      <c r="Q960" s="29">
        <f>IF(B960="","",IF(B960&lt;TIME(12,0,0),"Manhã",IF(B960&lt;TIME(18,0,0),"Tarde","Noite")))</f>
        <v/>
      </c>
      <c r="R960" s="45">
        <f>IF(AND(H960="Realizado",L960&lt;&gt;""),L960/60,0)</f>
        <v>0</v>
      </c>
    </row>
    <row r="961">
      <c r="A961" s="42" t="n"/>
      <c r="B961" s="43" t="n"/>
      <c r="C961" s="37" t="n"/>
      <c r="D961" s="37" t="n"/>
      <c r="E961" s="36" t="n"/>
      <c r="F961" s="37" t="n"/>
      <c r="G961" s="37" t="n"/>
      <c r="H961" s="37" t="n"/>
      <c r="I961" s="37" t="n"/>
      <c r="J961" s="37" t="n"/>
      <c r="K961" s="36" t="n"/>
      <c r="L961" s="44">
        <f>IF(G961="","",IFERROR(INDEX(Config!$K$5:$K$16,MATCH(G961,Config!$J$5:$J$16,0)),""))</f>
        <v/>
      </c>
      <c r="M961" s="30">
        <f>IF(OR(G961="",F961=""),"",IFERROR(INDEX(Config!$M$5:$R$16,MATCH(G961,Config!$J$5:$J$16,0),MATCH(F961,Config!$H$5:$H$10,0)),""))</f>
        <v/>
      </c>
      <c r="N961" s="29">
        <f>IF(A961="","",MONTH(A961))</f>
        <v/>
      </c>
      <c r="O961" s="29">
        <f>IF(A961="","",YEAR(A961))</f>
        <v/>
      </c>
      <c r="P961" s="29">
        <f>IF(A961="","",CHOOSE(WEEKDAY(A961,2),"Segunda","Terça","Quarta","Quinta","Sexta","Sábado","Domingo"))</f>
        <v/>
      </c>
      <c r="Q961" s="29">
        <f>IF(B961="","",IF(B961&lt;TIME(12,0,0),"Manhã",IF(B961&lt;TIME(18,0,0),"Tarde","Noite")))</f>
        <v/>
      </c>
      <c r="R961" s="45">
        <f>IF(AND(H961="Realizado",L961&lt;&gt;""),L961/60,0)</f>
        <v>0</v>
      </c>
    </row>
    <row r="962">
      <c r="A962" s="42" t="n"/>
      <c r="B962" s="43" t="n"/>
      <c r="C962" s="37" t="n"/>
      <c r="D962" s="37" t="n"/>
      <c r="E962" s="36" t="n"/>
      <c r="F962" s="37" t="n"/>
      <c r="G962" s="37" t="n"/>
      <c r="H962" s="37" t="n"/>
      <c r="I962" s="37" t="n"/>
      <c r="J962" s="37" t="n"/>
      <c r="K962" s="36" t="n"/>
      <c r="L962" s="44">
        <f>IF(G962="","",IFERROR(INDEX(Config!$K$5:$K$16,MATCH(G962,Config!$J$5:$J$16,0)),""))</f>
        <v/>
      </c>
      <c r="M962" s="30">
        <f>IF(OR(G962="",F962=""),"",IFERROR(INDEX(Config!$M$5:$R$16,MATCH(G962,Config!$J$5:$J$16,0),MATCH(F962,Config!$H$5:$H$10,0)),""))</f>
        <v/>
      </c>
      <c r="N962" s="29">
        <f>IF(A962="","",MONTH(A962))</f>
        <v/>
      </c>
      <c r="O962" s="29">
        <f>IF(A962="","",YEAR(A962))</f>
        <v/>
      </c>
      <c r="P962" s="29">
        <f>IF(A962="","",CHOOSE(WEEKDAY(A962,2),"Segunda","Terça","Quarta","Quinta","Sexta","Sábado","Domingo"))</f>
        <v/>
      </c>
      <c r="Q962" s="29">
        <f>IF(B962="","",IF(B962&lt;TIME(12,0,0),"Manhã",IF(B962&lt;TIME(18,0,0),"Tarde","Noite")))</f>
        <v/>
      </c>
      <c r="R962" s="45">
        <f>IF(AND(H962="Realizado",L962&lt;&gt;""),L962/60,0)</f>
        <v>0</v>
      </c>
    </row>
    <row r="963">
      <c r="A963" s="42" t="n"/>
      <c r="B963" s="43" t="n"/>
      <c r="C963" s="37" t="n"/>
      <c r="D963" s="37" t="n"/>
      <c r="E963" s="36" t="n"/>
      <c r="F963" s="37" t="n"/>
      <c r="G963" s="37" t="n"/>
      <c r="H963" s="37" t="n"/>
      <c r="I963" s="37" t="n"/>
      <c r="J963" s="37" t="n"/>
      <c r="K963" s="36" t="n"/>
      <c r="L963" s="44">
        <f>IF(G963="","",IFERROR(INDEX(Config!$K$5:$K$16,MATCH(G963,Config!$J$5:$J$16,0)),""))</f>
        <v/>
      </c>
      <c r="M963" s="30">
        <f>IF(OR(G963="",F963=""),"",IFERROR(INDEX(Config!$M$5:$R$16,MATCH(G963,Config!$J$5:$J$16,0),MATCH(F963,Config!$H$5:$H$10,0)),""))</f>
        <v/>
      </c>
      <c r="N963" s="29">
        <f>IF(A963="","",MONTH(A963))</f>
        <v/>
      </c>
      <c r="O963" s="29">
        <f>IF(A963="","",YEAR(A963))</f>
        <v/>
      </c>
      <c r="P963" s="29">
        <f>IF(A963="","",CHOOSE(WEEKDAY(A963,2),"Segunda","Terça","Quarta","Quinta","Sexta","Sábado","Domingo"))</f>
        <v/>
      </c>
      <c r="Q963" s="29">
        <f>IF(B963="","",IF(B963&lt;TIME(12,0,0),"Manhã",IF(B963&lt;TIME(18,0,0),"Tarde","Noite")))</f>
        <v/>
      </c>
      <c r="R963" s="45">
        <f>IF(AND(H963="Realizado",L963&lt;&gt;""),L963/60,0)</f>
        <v>0</v>
      </c>
    </row>
    <row r="964">
      <c r="A964" s="42" t="n"/>
      <c r="B964" s="43" t="n"/>
      <c r="C964" s="37" t="n"/>
      <c r="D964" s="37" t="n"/>
      <c r="E964" s="36" t="n"/>
      <c r="F964" s="37" t="n"/>
      <c r="G964" s="37" t="n"/>
      <c r="H964" s="37" t="n"/>
      <c r="I964" s="37" t="n"/>
      <c r="J964" s="37" t="n"/>
      <c r="K964" s="36" t="n"/>
      <c r="L964" s="44">
        <f>IF(G964="","",IFERROR(INDEX(Config!$K$5:$K$16,MATCH(G964,Config!$J$5:$J$16,0)),""))</f>
        <v/>
      </c>
      <c r="M964" s="30">
        <f>IF(OR(G964="",F964=""),"",IFERROR(INDEX(Config!$M$5:$R$16,MATCH(G964,Config!$J$5:$J$16,0),MATCH(F964,Config!$H$5:$H$10,0)),""))</f>
        <v/>
      </c>
      <c r="N964" s="29">
        <f>IF(A964="","",MONTH(A964))</f>
        <v/>
      </c>
      <c r="O964" s="29">
        <f>IF(A964="","",YEAR(A964))</f>
        <v/>
      </c>
      <c r="P964" s="29">
        <f>IF(A964="","",CHOOSE(WEEKDAY(A964,2),"Segunda","Terça","Quarta","Quinta","Sexta","Sábado","Domingo"))</f>
        <v/>
      </c>
      <c r="Q964" s="29">
        <f>IF(B964="","",IF(B964&lt;TIME(12,0,0),"Manhã",IF(B964&lt;TIME(18,0,0),"Tarde","Noite")))</f>
        <v/>
      </c>
      <c r="R964" s="45">
        <f>IF(AND(H964="Realizado",L964&lt;&gt;""),L964/60,0)</f>
        <v>0</v>
      </c>
    </row>
    <row r="965">
      <c r="A965" s="42" t="n"/>
      <c r="B965" s="43" t="n"/>
      <c r="C965" s="37" t="n"/>
      <c r="D965" s="37" t="n"/>
      <c r="E965" s="36" t="n"/>
      <c r="F965" s="37" t="n"/>
      <c r="G965" s="37" t="n"/>
      <c r="H965" s="37" t="n"/>
      <c r="I965" s="37" t="n"/>
      <c r="J965" s="37" t="n"/>
      <c r="K965" s="36" t="n"/>
      <c r="L965" s="44">
        <f>IF(G965="","",IFERROR(INDEX(Config!$K$5:$K$16,MATCH(G965,Config!$J$5:$J$16,0)),""))</f>
        <v/>
      </c>
      <c r="M965" s="30">
        <f>IF(OR(G965="",F965=""),"",IFERROR(INDEX(Config!$M$5:$R$16,MATCH(G965,Config!$J$5:$J$16,0),MATCH(F965,Config!$H$5:$H$10,0)),""))</f>
        <v/>
      </c>
      <c r="N965" s="29">
        <f>IF(A965="","",MONTH(A965))</f>
        <v/>
      </c>
      <c r="O965" s="29">
        <f>IF(A965="","",YEAR(A965))</f>
        <v/>
      </c>
      <c r="P965" s="29">
        <f>IF(A965="","",CHOOSE(WEEKDAY(A965,2),"Segunda","Terça","Quarta","Quinta","Sexta","Sábado","Domingo"))</f>
        <v/>
      </c>
      <c r="Q965" s="29">
        <f>IF(B965="","",IF(B965&lt;TIME(12,0,0),"Manhã",IF(B965&lt;TIME(18,0,0),"Tarde","Noite")))</f>
        <v/>
      </c>
      <c r="R965" s="45">
        <f>IF(AND(H965="Realizado",L965&lt;&gt;""),L965/60,0)</f>
        <v>0</v>
      </c>
    </row>
    <row r="966">
      <c r="A966" s="42" t="n"/>
      <c r="B966" s="43" t="n"/>
      <c r="C966" s="37" t="n"/>
      <c r="D966" s="37" t="n"/>
      <c r="E966" s="36" t="n"/>
      <c r="F966" s="37" t="n"/>
      <c r="G966" s="37" t="n"/>
      <c r="H966" s="37" t="n"/>
      <c r="I966" s="37" t="n"/>
      <c r="J966" s="37" t="n"/>
      <c r="K966" s="36" t="n"/>
      <c r="L966" s="44">
        <f>IF(G966="","",IFERROR(INDEX(Config!$K$5:$K$16,MATCH(G966,Config!$J$5:$J$16,0)),""))</f>
        <v/>
      </c>
      <c r="M966" s="30">
        <f>IF(OR(G966="",F966=""),"",IFERROR(INDEX(Config!$M$5:$R$16,MATCH(G966,Config!$J$5:$J$16,0),MATCH(F966,Config!$H$5:$H$10,0)),""))</f>
        <v/>
      </c>
      <c r="N966" s="29">
        <f>IF(A966="","",MONTH(A966))</f>
        <v/>
      </c>
      <c r="O966" s="29">
        <f>IF(A966="","",YEAR(A966))</f>
        <v/>
      </c>
      <c r="P966" s="29">
        <f>IF(A966="","",CHOOSE(WEEKDAY(A966,2),"Segunda","Terça","Quarta","Quinta","Sexta","Sábado","Domingo"))</f>
        <v/>
      </c>
      <c r="Q966" s="29">
        <f>IF(B966="","",IF(B966&lt;TIME(12,0,0),"Manhã",IF(B966&lt;TIME(18,0,0),"Tarde","Noite")))</f>
        <v/>
      </c>
      <c r="R966" s="45">
        <f>IF(AND(H966="Realizado",L966&lt;&gt;""),L966/60,0)</f>
        <v>0</v>
      </c>
    </row>
    <row r="967">
      <c r="A967" s="42" t="n"/>
      <c r="B967" s="43" t="n"/>
      <c r="C967" s="37" t="n"/>
      <c r="D967" s="37" t="n"/>
      <c r="E967" s="36" t="n"/>
      <c r="F967" s="37" t="n"/>
      <c r="G967" s="37" t="n"/>
      <c r="H967" s="37" t="n"/>
      <c r="I967" s="37" t="n"/>
      <c r="J967" s="37" t="n"/>
      <c r="K967" s="36" t="n"/>
      <c r="L967" s="44">
        <f>IF(G967="","",IFERROR(INDEX(Config!$K$5:$K$16,MATCH(G967,Config!$J$5:$J$16,0)),""))</f>
        <v/>
      </c>
      <c r="M967" s="30">
        <f>IF(OR(G967="",F967=""),"",IFERROR(INDEX(Config!$M$5:$R$16,MATCH(G967,Config!$J$5:$J$16,0),MATCH(F967,Config!$H$5:$H$10,0)),""))</f>
        <v/>
      </c>
      <c r="N967" s="29">
        <f>IF(A967="","",MONTH(A967))</f>
        <v/>
      </c>
      <c r="O967" s="29">
        <f>IF(A967="","",YEAR(A967))</f>
        <v/>
      </c>
      <c r="P967" s="29">
        <f>IF(A967="","",CHOOSE(WEEKDAY(A967,2),"Segunda","Terça","Quarta","Quinta","Sexta","Sábado","Domingo"))</f>
        <v/>
      </c>
      <c r="Q967" s="29">
        <f>IF(B967="","",IF(B967&lt;TIME(12,0,0),"Manhã",IF(B967&lt;TIME(18,0,0),"Tarde","Noite")))</f>
        <v/>
      </c>
      <c r="R967" s="45">
        <f>IF(AND(H967="Realizado",L967&lt;&gt;""),L967/60,0)</f>
        <v>0</v>
      </c>
    </row>
    <row r="968">
      <c r="A968" s="42" t="n"/>
      <c r="B968" s="43" t="n"/>
      <c r="C968" s="37" t="n"/>
      <c r="D968" s="37" t="n"/>
      <c r="E968" s="36" t="n"/>
      <c r="F968" s="37" t="n"/>
      <c r="G968" s="37" t="n"/>
      <c r="H968" s="37" t="n"/>
      <c r="I968" s="37" t="n"/>
      <c r="J968" s="37" t="n"/>
      <c r="K968" s="36" t="n"/>
      <c r="L968" s="44">
        <f>IF(G968="","",IFERROR(INDEX(Config!$K$5:$K$16,MATCH(G968,Config!$J$5:$J$16,0)),""))</f>
        <v/>
      </c>
      <c r="M968" s="30">
        <f>IF(OR(G968="",F968=""),"",IFERROR(INDEX(Config!$M$5:$R$16,MATCH(G968,Config!$J$5:$J$16,0),MATCH(F968,Config!$H$5:$H$10,0)),""))</f>
        <v/>
      </c>
      <c r="N968" s="29">
        <f>IF(A968="","",MONTH(A968))</f>
        <v/>
      </c>
      <c r="O968" s="29">
        <f>IF(A968="","",YEAR(A968))</f>
        <v/>
      </c>
      <c r="P968" s="29">
        <f>IF(A968="","",CHOOSE(WEEKDAY(A968,2),"Segunda","Terça","Quarta","Quinta","Sexta","Sábado","Domingo"))</f>
        <v/>
      </c>
      <c r="Q968" s="29">
        <f>IF(B968="","",IF(B968&lt;TIME(12,0,0),"Manhã",IF(B968&lt;TIME(18,0,0),"Tarde","Noite")))</f>
        <v/>
      </c>
      <c r="R968" s="45">
        <f>IF(AND(H968="Realizado",L968&lt;&gt;""),L968/60,0)</f>
        <v>0</v>
      </c>
    </row>
    <row r="969">
      <c r="A969" s="42" t="n"/>
      <c r="B969" s="43" t="n"/>
      <c r="C969" s="37" t="n"/>
      <c r="D969" s="37" t="n"/>
      <c r="E969" s="36" t="n"/>
      <c r="F969" s="37" t="n"/>
      <c r="G969" s="37" t="n"/>
      <c r="H969" s="37" t="n"/>
      <c r="I969" s="37" t="n"/>
      <c r="J969" s="37" t="n"/>
      <c r="K969" s="36" t="n"/>
      <c r="L969" s="44">
        <f>IF(G969="","",IFERROR(INDEX(Config!$K$5:$K$16,MATCH(G969,Config!$J$5:$J$16,0)),""))</f>
        <v/>
      </c>
      <c r="M969" s="30">
        <f>IF(OR(G969="",F969=""),"",IFERROR(INDEX(Config!$M$5:$R$16,MATCH(G969,Config!$J$5:$J$16,0),MATCH(F969,Config!$H$5:$H$10,0)),""))</f>
        <v/>
      </c>
      <c r="N969" s="29">
        <f>IF(A969="","",MONTH(A969))</f>
        <v/>
      </c>
      <c r="O969" s="29">
        <f>IF(A969="","",YEAR(A969))</f>
        <v/>
      </c>
      <c r="P969" s="29">
        <f>IF(A969="","",CHOOSE(WEEKDAY(A969,2),"Segunda","Terça","Quarta","Quinta","Sexta","Sábado","Domingo"))</f>
        <v/>
      </c>
      <c r="Q969" s="29">
        <f>IF(B969="","",IF(B969&lt;TIME(12,0,0),"Manhã",IF(B969&lt;TIME(18,0,0),"Tarde","Noite")))</f>
        <v/>
      </c>
      <c r="R969" s="45">
        <f>IF(AND(H969="Realizado",L969&lt;&gt;""),L969/60,0)</f>
        <v>0</v>
      </c>
    </row>
    <row r="970">
      <c r="A970" s="42" t="n"/>
      <c r="B970" s="43" t="n"/>
      <c r="C970" s="37" t="n"/>
      <c r="D970" s="37" t="n"/>
      <c r="E970" s="36" t="n"/>
      <c r="F970" s="37" t="n"/>
      <c r="G970" s="37" t="n"/>
      <c r="H970" s="37" t="n"/>
      <c r="I970" s="37" t="n"/>
      <c r="J970" s="37" t="n"/>
      <c r="K970" s="36" t="n"/>
      <c r="L970" s="44">
        <f>IF(G970="","",IFERROR(INDEX(Config!$K$5:$K$16,MATCH(G970,Config!$J$5:$J$16,0)),""))</f>
        <v/>
      </c>
      <c r="M970" s="30">
        <f>IF(OR(G970="",F970=""),"",IFERROR(INDEX(Config!$M$5:$R$16,MATCH(G970,Config!$J$5:$J$16,0),MATCH(F970,Config!$H$5:$H$10,0)),""))</f>
        <v/>
      </c>
      <c r="N970" s="29">
        <f>IF(A970="","",MONTH(A970))</f>
        <v/>
      </c>
      <c r="O970" s="29">
        <f>IF(A970="","",YEAR(A970))</f>
        <v/>
      </c>
      <c r="P970" s="29">
        <f>IF(A970="","",CHOOSE(WEEKDAY(A970,2),"Segunda","Terça","Quarta","Quinta","Sexta","Sábado","Domingo"))</f>
        <v/>
      </c>
      <c r="Q970" s="29">
        <f>IF(B970="","",IF(B970&lt;TIME(12,0,0),"Manhã",IF(B970&lt;TIME(18,0,0),"Tarde","Noite")))</f>
        <v/>
      </c>
      <c r="R970" s="45">
        <f>IF(AND(H970="Realizado",L970&lt;&gt;""),L970/60,0)</f>
        <v>0</v>
      </c>
    </row>
    <row r="971">
      <c r="A971" s="42" t="n"/>
      <c r="B971" s="43" t="n"/>
      <c r="C971" s="37" t="n"/>
      <c r="D971" s="37" t="n"/>
      <c r="E971" s="36" t="n"/>
      <c r="F971" s="37" t="n"/>
      <c r="G971" s="37" t="n"/>
      <c r="H971" s="37" t="n"/>
      <c r="I971" s="37" t="n"/>
      <c r="J971" s="37" t="n"/>
      <c r="K971" s="36" t="n"/>
      <c r="L971" s="44">
        <f>IF(G971="","",IFERROR(INDEX(Config!$K$5:$K$16,MATCH(G971,Config!$J$5:$J$16,0)),""))</f>
        <v/>
      </c>
      <c r="M971" s="30">
        <f>IF(OR(G971="",F971=""),"",IFERROR(INDEX(Config!$M$5:$R$16,MATCH(G971,Config!$J$5:$J$16,0),MATCH(F971,Config!$H$5:$H$10,0)),""))</f>
        <v/>
      </c>
      <c r="N971" s="29">
        <f>IF(A971="","",MONTH(A971))</f>
        <v/>
      </c>
      <c r="O971" s="29">
        <f>IF(A971="","",YEAR(A971))</f>
        <v/>
      </c>
      <c r="P971" s="29">
        <f>IF(A971="","",CHOOSE(WEEKDAY(A971,2),"Segunda","Terça","Quarta","Quinta","Sexta","Sábado","Domingo"))</f>
        <v/>
      </c>
      <c r="Q971" s="29">
        <f>IF(B971="","",IF(B971&lt;TIME(12,0,0),"Manhã",IF(B971&lt;TIME(18,0,0),"Tarde","Noite")))</f>
        <v/>
      </c>
      <c r="R971" s="45">
        <f>IF(AND(H971="Realizado",L971&lt;&gt;""),L971/60,0)</f>
        <v>0</v>
      </c>
    </row>
    <row r="972">
      <c r="A972" s="42" t="n"/>
      <c r="B972" s="43" t="n"/>
      <c r="C972" s="37" t="n"/>
      <c r="D972" s="37" t="n"/>
      <c r="E972" s="36" t="n"/>
      <c r="F972" s="37" t="n"/>
      <c r="G972" s="37" t="n"/>
      <c r="H972" s="37" t="n"/>
      <c r="I972" s="37" t="n"/>
      <c r="J972" s="37" t="n"/>
      <c r="K972" s="36" t="n"/>
      <c r="L972" s="44">
        <f>IF(G972="","",IFERROR(INDEX(Config!$K$5:$K$16,MATCH(G972,Config!$J$5:$J$16,0)),""))</f>
        <v/>
      </c>
      <c r="M972" s="30">
        <f>IF(OR(G972="",F972=""),"",IFERROR(INDEX(Config!$M$5:$R$16,MATCH(G972,Config!$J$5:$J$16,0),MATCH(F972,Config!$H$5:$H$10,0)),""))</f>
        <v/>
      </c>
      <c r="N972" s="29">
        <f>IF(A972="","",MONTH(A972))</f>
        <v/>
      </c>
      <c r="O972" s="29">
        <f>IF(A972="","",YEAR(A972))</f>
        <v/>
      </c>
      <c r="P972" s="29">
        <f>IF(A972="","",CHOOSE(WEEKDAY(A972,2),"Segunda","Terça","Quarta","Quinta","Sexta","Sábado","Domingo"))</f>
        <v/>
      </c>
      <c r="Q972" s="29">
        <f>IF(B972="","",IF(B972&lt;TIME(12,0,0),"Manhã",IF(B972&lt;TIME(18,0,0),"Tarde","Noite")))</f>
        <v/>
      </c>
      <c r="R972" s="45">
        <f>IF(AND(H972="Realizado",L972&lt;&gt;""),L972/60,0)</f>
        <v>0</v>
      </c>
    </row>
    <row r="973">
      <c r="A973" s="42" t="n"/>
      <c r="B973" s="43" t="n"/>
      <c r="C973" s="37" t="n"/>
      <c r="D973" s="37" t="n"/>
      <c r="E973" s="36" t="n"/>
      <c r="F973" s="37" t="n"/>
      <c r="G973" s="37" t="n"/>
      <c r="H973" s="37" t="n"/>
      <c r="I973" s="37" t="n"/>
      <c r="J973" s="37" t="n"/>
      <c r="K973" s="36" t="n"/>
      <c r="L973" s="44">
        <f>IF(G973="","",IFERROR(INDEX(Config!$K$5:$K$16,MATCH(G973,Config!$J$5:$J$16,0)),""))</f>
        <v/>
      </c>
      <c r="M973" s="30">
        <f>IF(OR(G973="",F973=""),"",IFERROR(INDEX(Config!$M$5:$R$16,MATCH(G973,Config!$J$5:$J$16,0),MATCH(F973,Config!$H$5:$H$10,0)),""))</f>
        <v/>
      </c>
      <c r="N973" s="29">
        <f>IF(A973="","",MONTH(A973))</f>
        <v/>
      </c>
      <c r="O973" s="29">
        <f>IF(A973="","",YEAR(A973))</f>
        <v/>
      </c>
      <c r="P973" s="29">
        <f>IF(A973="","",CHOOSE(WEEKDAY(A973,2),"Segunda","Terça","Quarta","Quinta","Sexta","Sábado","Domingo"))</f>
        <v/>
      </c>
      <c r="Q973" s="29">
        <f>IF(B973="","",IF(B973&lt;TIME(12,0,0),"Manhã",IF(B973&lt;TIME(18,0,0),"Tarde","Noite")))</f>
        <v/>
      </c>
      <c r="R973" s="45">
        <f>IF(AND(H973="Realizado",L973&lt;&gt;""),L973/60,0)</f>
        <v>0</v>
      </c>
    </row>
    <row r="974">
      <c r="A974" s="42" t="n"/>
      <c r="B974" s="43" t="n"/>
      <c r="C974" s="37" t="n"/>
      <c r="D974" s="37" t="n"/>
      <c r="E974" s="36" t="n"/>
      <c r="F974" s="37" t="n"/>
      <c r="G974" s="37" t="n"/>
      <c r="H974" s="37" t="n"/>
      <c r="I974" s="37" t="n"/>
      <c r="J974" s="37" t="n"/>
      <c r="K974" s="36" t="n"/>
      <c r="L974" s="44">
        <f>IF(G974="","",IFERROR(INDEX(Config!$K$5:$K$16,MATCH(G974,Config!$J$5:$J$16,0)),""))</f>
        <v/>
      </c>
      <c r="M974" s="30">
        <f>IF(OR(G974="",F974=""),"",IFERROR(INDEX(Config!$M$5:$R$16,MATCH(G974,Config!$J$5:$J$16,0),MATCH(F974,Config!$H$5:$H$10,0)),""))</f>
        <v/>
      </c>
      <c r="N974" s="29">
        <f>IF(A974="","",MONTH(A974))</f>
        <v/>
      </c>
      <c r="O974" s="29">
        <f>IF(A974="","",YEAR(A974))</f>
        <v/>
      </c>
      <c r="P974" s="29">
        <f>IF(A974="","",CHOOSE(WEEKDAY(A974,2),"Segunda","Terça","Quarta","Quinta","Sexta","Sábado","Domingo"))</f>
        <v/>
      </c>
      <c r="Q974" s="29">
        <f>IF(B974="","",IF(B974&lt;TIME(12,0,0),"Manhã",IF(B974&lt;TIME(18,0,0),"Tarde","Noite")))</f>
        <v/>
      </c>
      <c r="R974" s="45">
        <f>IF(AND(H974="Realizado",L974&lt;&gt;""),L974/60,0)</f>
        <v>0</v>
      </c>
    </row>
    <row r="975">
      <c r="A975" s="42" t="n"/>
      <c r="B975" s="43" t="n"/>
      <c r="C975" s="37" t="n"/>
      <c r="D975" s="37" t="n"/>
      <c r="E975" s="36" t="n"/>
      <c r="F975" s="37" t="n"/>
      <c r="G975" s="37" t="n"/>
      <c r="H975" s="37" t="n"/>
      <c r="I975" s="37" t="n"/>
      <c r="J975" s="37" t="n"/>
      <c r="K975" s="36" t="n"/>
      <c r="L975" s="44">
        <f>IF(G975="","",IFERROR(INDEX(Config!$K$5:$K$16,MATCH(G975,Config!$J$5:$J$16,0)),""))</f>
        <v/>
      </c>
      <c r="M975" s="30">
        <f>IF(OR(G975="",F975=""),"",IFERROR(INDEX(Config!$M$5:$R$16,MATCH(G975,Config!$J$5:$J$16,0),MATCH(F975,Config!$H$5:$H$10,0)),""))</f>
        <v/>
      </c>
      <c r="N975" s="29">
        <f>IF(A975="","",MONTH(A975))</f>
        <v/>
      </c>
      <c r="O975" s="29">
        <f>IF(A975="","",YEAR(A975))</f>
        <v/>
      </c>
      <c r="P975" s="29">
        <f>IF(A975="","",CHOOSE(WEEKDAY(A975,2),"Segunda","Terça","Quarta","Quinta","Sexta","Sábado","Domingo"))</f>
        <v/>
      </c>
      <c r="Q975" s="29">
        <f>IF(B975="","",IF(B975&lt;TIME(12,0,0),"Manhã",IF(B975&lt;TIME(18,0,0),"Tarde","Noite")))</f>
        <v/>
      </c>
      <c r="R975" s="45">
        <f>IF(AND(H975="Realizado",L975&lt;&gt;""),L975/60,0)</f>
        <v>0</v>
      </c>
    </row>
    <row r="976">
      <c r="A976" s="42" t="n"/>
      <c r="B976" s="43" t="n"/>
      <c r="C976" s="37" t="n"/>
      <c r="D976" s="37" t="n"/>
      <c r="E976" s="36" t="n"/>
      <c r="F976" s="37" t="n"/>
      <c r="G976" s="37" t="n"/>
      <c r="H976" s="37" t="n"/>
      <c r="I976" s="37" t="n"/>
      <c r="J976" s="37" t="n"/>
      <c r="K976" s="36" t="n"/>
      <c r="L976" s="44">
        <f>IF(G976="","",IFERROR(INDEX(Config!$K$5:$K$16,MATCH(G976,Config!$J$5:$J$16,0)),""))</f>
        <v/>
      </c>
      <c r="M976" s="30">
        <f>IF(OR(G976="",F976=""),"",IFERROR(INDEX(Config!$M$5:$R$16,MATCH(G976,Config!$J$5:$J$16,0),MATCH(F976,Config!$H$5:$H$10,0)),""))</f>
        <v/>
      </c>
      <c r="N976" s="29">
        <f>IF(A976="","",MONTH(A976))</f>
        <v/>
      </c>
      <c r="O976" s="29">
        <f>IF(A976="","",YEAR(A976))</f>
        <v/>
      </c>
      <c r="P976" s="29">
        <f>IF(A976="","",CHOOSE(WEEKDAY(A976,2),"Segunda","Terça","Quarta","Quinta","Sexta","Sábado","Domingo"))</f>
        <v/>
      </c>
      <c r="Q976" s="29">
        <f>IF(B976="","",IF(B976&lt;TIME(12,0,0),"Manhã",IF(B976&lt;TIME(18,0,0),"Tarde","Noite")))</f>
        <v/>
      </c>
      <c r="R976" s="45">
        <f>IF(AND(H976="Realizado",L976&lt;&gt;""),L976/60,0)</f>
        <v>0</v>
      </c>
    </row>
    <row r="977">
      <c r="A977" s="42" t="n"/>
      <c r="B977" s="43" t="n"/>
      <c r="C977" s="37" t="n"/>
      <c r="D977" s="37" t="n"/>
      <c r="E977" s="36" t="n"/>
      <c r="F977" s="37" t="n"/>
      <c r="G977" s="37" t="n"/>
      <c r="H977" s="37" t="n"/>
      <c r="I977" s="37" t="n"/>
      <c r="J977" s="37" t="n"/>
      <c r="K977" s="36" t="n"/>
      <c r="L977" s="44">
        <f>IF(G977="","",IFERROR(INDEX(Config!$K$5:$K$16,MATCH(G977,Config!$J$5:$J$16,0)),""))</f>
        <v/>
      </c>
      <c r="M977" s="30">
        <f>IF(OR(G977="",F977=""),"",IFERROR(INDEX(Config!$M$5:$R$16,MATCH(G977,Config!$J$5:$J$16,0),MATCH(F977,Config!$H$5:$H$10,0)),""))</f>
        <v/>
      </c>
      <c r="N977" s="29">
        <f>IF(A977="","",MONTH(A977))</f>
        <v/>
      </c>
      <c r="O977" s="29">
        <f>IF(A977="","",YEAR(A977))</f>
        <v/>
      </c>
      <c r="P977" s="29">
        <f>IF(A977="","",CHOOSE(WEEKDAY(A977,2),"Segunda","Terça","Quarta","Quinta","Sexta","Sábado","Domingo"))</f>
        <v/>
      </c>
      <c r="Q977" s="29">
        <f>IF(B977="","",IF(B977&lt;TIME(12,0,0),"Manhã",IF(B977&lt;TIME(18,0,0),"Tarde","Noite")))</f>
        <v/>
      </c>
      <c r="R977" s="45">
        <f>IF(AND(H977="Realizado",L977&lt;&gt;""),L977/60,0)</f>
        <v>0</v>
      </c>
    </row>
    <row r="978">
      <c r="A978" s="42" t="n"/>
      <c r="B978" s="43" t="n"/>
      <c r="C978" s="37" t="n"/>
      <c r="D978" s="37" t="n"/>
      <c r="E978" s="36" t="n"/>
      <c r="F978" s="37" t="n"/>
      <c r="G978" s="37" t="n"/>
      <c r="H978" s="37" t="n"/>
      <c r="I978" s="37" t="n"/>
      <c r="J978" s="37" t="n"/>
      <c r="K978" s="36" t="n"/>
      <c r="L978" s="44">
        <f>IF(G978="","",IFERROR(INDEX(Config!$K$5:$K$16,MATCH(G978,Config!$J$5:$J$16,0)),""))</f>
        <v/>
      </c>
      <c r="M978" s="30">
        <f>IF(OR(G978="",F978=""),"",IFERROR(INDEX(Config!$M$5:$R$16,MATCH(G978,Config!$J$5:$J$16,0),MATCH(F978,Config!$H$5:$H$10,0)),""))</f>
        <v/>
      </c>
      <c r="N978" s="29">
        <f>IF(A978="","",MONTH(A978))</f>
        <v/>
      </c>
      <c r="O978" s="29">
        <f>IF(A978="","",YEAR(A978))</f>
        <v/>
      </c>
      <c r="P978" s="29">
        <f>IF(A978="","",CHOOSE(WEEKDAY(A978,2),"Segunda","Terça","Quarta","Quinta","Sexta","Sábado","Domingo"))</f>
        <v/>
      </c>
      <c r="Q978" s="29">
        <f>IF(B978="","",IF(B978&lt;TIME(12,0,0),"Manhã",IF(B978&lt;TIME(18,0,0),"Tarde","Noite")))</f>
        <v/>
      </c>
      <c r="R978" s="45">
        <f>IF(AND(H978="Realizado",L978&lt;&gt;""),L978/60,0)</f>
        <v>0</v>
      </c>
    </row>
    <row r="979">
      <c r="A979" s="42" t="n"/>
      <c r="B979" s="43" t="n"/>
      <c r="C979" s="37" t="n"/>
      <c r="D979" s="37" t="n"/>
      <c r="E979" s="36" t="n"/>
      <c r="F979" s="37" t="n"/>
      <c r="G979" s="37" t="n"/>
      <c r="H979" s="37" t="n"/>
      <c r="I979" s="37" t="n"/>
      <c r="J979" s="37" t="n"/>
      <c r="K979" s="36" t="n"/>
      <c r="L979" s="44">
        <f>IF(G979="","",IFERROR(INDEX(Config!$K$5:$K$16,MATCH(G979,Config!$J$5:$J$16,0)),""))</f>
        <v/>
      </c>
      <c r="M979" s="30">
        <f>IF(OR(G979="",F979=""),"",IFERROR(INDEX(Config!$M$5:$R$16,MATCH(G979,Config!$J$5:$J$16,0),MATCH(F979,Config!$H$5:$H$10,0)),""))</f>
        <v/>
      </c>
      <c r="N979" s="29">
        <f>IF(A979="","",MONTH(A979))</f>
        <v/>
      </c>
      <c r="O979" s="29">
        <f>IF(A979="","",YEAR(A979))</f>
        <v/>
      </c>
      <c r="P979" s="29">
        <f>IF(A979="","",CHOOSE(WEEKDAY(A979,2),"Segunda","Terça","Quarta","Quinta","Sexta","Sábado","Domingo"))</f>
        <v/>
      </c>
      <c r="Q979" s="29">
        <f>IF(B979="","",IF(B979&lt;TIME(12,0,0),"Manhã",IF(B979&lt;TIME(18,0,0),"Tarde","Noite")))</f>
        <v/>
      </c>
      <c r="R979" s="45">
        <f>IF(AND(H979="Realizado",L979&lt;&gt;""),L979/60,0)</f>
        <v>0</v>
      </c>
    </row>
    <row r="980">
      <c r="A980" s="42" t="n"/>
      <c r="B980" s="43" t="n"/>
      <c r="C980" s="37" t="n"/>
      <c r="D980" s="37" t="n"/>
      <c r="E980" s="36" t="n"/>
      <c r="F980" s="37" t="n"/>
      <c r="G980" s="37" t="n"/>
      <c r="H980" s="37" t="n"/>
      <c r="I980" s="37" t="n"/>
      <c r="J980" s="37" t="n"/>
      <c r="K980" s="36" t="n"/>
      <c r="L980" s="44">
        <f>IF(G980="","",IFERROR(INDEX(Config!$K$5:$K$16,MATCH(G980,Config!$J$5:$J$16,0)),""))</f>
        <v/>
      </c>
      <c r="M980" s="30">
        <f>IF(OR(G980="",F980=""),"",IFERROR(INDEX(Config!$M$5:$R$16,MATCH(G980,Config!$J$5:$J$16,0),MATCH(F980,Config!$H$5:$H$10,0)),""))</f>
        <v/>
      </c>
      <c r="N980" s="29">
        <f>IF(A980="","",MONTH(A980))</f>
        <v/>
      </c>
      <c r="O980" s="29">
        <f>IF(A980="","",YEAR(A980))</f>
        <v/>
      </c>
      <c r="P980" s="29">
        <f>IF(A980="","",CHOOSE(WEEKDAY(A980,2),"Segunda","Terça","Quarta","Quinta","Sexta","Sábado","Domingo"))</f>
        <v/>
      </c>
      <c r="Q980" s="29">
        <f>IF(B980="","",IF(B980&lt;TIME(12,0,0),"Manhã",IF(B980&lt;TIME(18,0,0),"Tarde","Noite")))</f>
        <v/>
      </c>
      <c r="R980" s="45">
        <f>IF(AND(H980="Realizado",L980&lt;&gt;""),L980/60,0)</f>
        <v>0</v>
      </c>
    </row>
    <row r="981">
      <c r="A981" s="42" t="n"/>
      <c r="B981" s="43" t="n"/>
      <c r="C981" s="37" t="n"/>
      <c r="D981" s="37" t="n"/>
      <c r="E981" s="36" t="n"/>
      <c r="F981" s="37" t="n"/>
      <c r="G981" s="37" t="n"/>
      <c r="H981" s="37" t="n"/>
      <c r="I981" s="37" t="n"/>
      <c r="J981" s="37" t="n"/>
      <c r="K981" s="36" t="n"/>
      <c r="L981" s="44">
        <f>IF(G981="","",IFERROR(INDEX(Config!$K$5:$K$16,MATCH(G981,Config!$J$5:$J$16,0)),""))</f>
        <v/>
      </c>
      <c r="M981" s="30">
        <f>IF(OR(G981="",F981=""),"",IFERROR(INDEX(Config!$M$5:$R$16,MATCH(G981,Config!$J$5:$J$16,0),MATCH(F981,Config!$H$5:$H$10,0)),""))</f>
        <v/>
      </c>
      <c r="N981" s="29">
        <f>IF(A981="","",MONTH(A981))</f>
        <v/>
      </c>
      <c r="O981" s="29">
        <f>IF(A981="","",YEAR(A981))</f>
        <v/>
      </c>
      <c r="P981" s="29">
        <f>IF(A981="","",CHOOSE(WEEKDAY(A981,2),"Segunda","Terça","Quarta","Quinta","Sexta","Sábado","Domingo"))</f>
        <v/>
      </c>
      <c r="Q981" s="29">
        <f>IF(B981="","",IF(B981&lt;TIME(12,0,0),"Manhã",IF(B981&lt;TIME(18,0,0),"Tarde","Noite")))</f>
        <v/>
      </c>
      <c r="R981" s="45">
        <f>IF(AND(H981="Realizado",L981&lt;&gt;""),L981/60,0)</f>
        <v>0</v>
      </c>
    </row>
    <row r="982">
      <c r="A982" s="42" t="n"/>
      <c r="B982" s="43" t="n"/>
      <c r="C982" s="37" t="n"/>
      <c r="D982" s="37" t="n"/>
      <c r="E982" s="36" t="n"/>
      <c r="F982" s="37" t="n"/>
      <c r="G982" s="37" t="n"/>
      <c r="H982" s="37" t="n"/>
      <c r="I982" s="37" t="n"/>
      <c r="J982" s="37" t="n"/>
      <c r="K982" s="36" t="n"/>
      <c r="L982" s="44">
        <f>IF(G982="","",IFERROR(INDEX(Config!$K$5:$K$16,MATCH(G982,Config!$J$5:$J$16,0)),""))</f>
        <v/>
      </c>
      <c r="M982" s="30">
        <f>IF(OR(G982="",F982=""),"",IFERROR(INDEX(Config!$M$5:$R$16,MATCH(G982,Config!$J$5:$J$16,0),MATCH(F982,Config!$H$5:$H$10,0)),""))</f>
        <v/>
      </c>
      <c r="N982" s="29">
        <f>IF(A982="","",MONTH(A982))</f>
        <v/>
      </c>
      <c r="O982" s="29">
        <f>IF(A982="","",YEAR(A982))</f>
        <v/>
      </c>
      <c r="P982" s="29">
        <f>IF(A982="","",CHOOSE(WEEKDAY(A982,2),"Segunda","Terça","Quarta","Quinta","Sexta","Sábado","Domingo"))</f>
        <v/>
      </c>
      <c r="Q982" s="29">
        <f>IF(B982="","",IF(B982&lt;TIME(12,0,0),"Manhã",IF(B982&lt;TIME(18,0,0),"Tarde","Noite")))</f>
        <v/>
      </c>
      <c r="R982" s="45">
        <f>IF(AND(H982="Realizado",L982&lt;&gt;""),L982/60,0)</f>
        <v>0</v>
      </c>
    </row>
    <row r="983">
      <c r="A983" s="42" t="n"/>
      <c r="B983" s="43" t="n"/>
      <c r="C983" s="37" t="n"/>
      <c r="D983" s="37" t="n"/>
      <c r="E983" s="36" t="n"/>
      <c r="F983" s="37" t="n"/>
      <c r="G983" s="37" t="n"/>
      <c r="H983" s="37" t="n"/>
      <c r="I983" s="37" t="n"/>
      <c r="J983" s="37" t="n"/>
      <c r="K983" s="36" t="n"/>
      <c r="L983" s="44">
        <f>IF(G983="","",IFERROR(INDEX(Config!$K$5:$K$16,MATCH(G983,Config!$J$5:$J$16,0)),""))</f>
        <v/>
      </c>
      <c r="M983" s="30">
        <f>IF(OR(G983="",F983=""),"",IFERROR(INDEX(Config!$M$5:$R$16,MATCH(G983,Config!$J$5:$J$16,0),MATCH(F983,Config!$H$5:$H$10,0)),""))</f>
        <v/>
      </c>
      <c r="N983" s="29">
        <f>IF(A983="","",MONTH(A983))</f>
        <v/>
      </c>
      <c r="O983" s="29">
        <f>IF(A983="","",YEAR(A983))</f>
        <v/>
      </c>
      <c r="P983" s="29">
        <f>IF(A983="","",CHOOSE(WEEKDAY(A983,2),"Segunda","Terça","Quarta","Quinta","Sexta","Sábado","Domingo"))</f>
        <v/>
      </c>
      <c r="Q983" s="29">
        <f>IF(B983="","",IF(B983&lt;TIME(12,0,0),"Manhã",IF(B983&lt;TIME(18,0,0),"Tarde","Noite")))</f>
        <v/>
      </c>
      <c r="R983" s="45">
        <f>IF(AND(H983="Realizado",L983&lt;&gt;""),L983/60,0)</f>
        <v>0</v>
      </c>
    </row>
    <row r="984">
      <c r="A984" s="42" t="n"/>
      <c r="B984" s="43" t="n"/>
      <c r="C984" s="37" t="n"/>
      <c r="D984" s="37" t="n"/>
      <c r="E984" s="36" t="n"/>
      <c r="F984" s="37" t="n"/>
      <c r="G984" s="37" t="n"/>
      <c r="H984" s="37" t="n"/>
      <c r="I984" s="37" t="n"/>
      <c r="J984" s="37" t="n"/>
      <c r="K984" s="36" t="n"/>
      <c r="L984" s="44">
        <f>IF(G984="","",IFERROR(INDEX(Config!$K$5:$K$16,MATCH(G984,Config!$J$5:$J$16,0)),""))</f>
        <v/>
      </c>
      <c r="M984" s="30">
        <f>IF(OR(G984="",F984=""),"",IFERROR(INDEX(Config!$M$5:$R$16,MATCH(G984,Config!$J$5:$J$16,0),MATCH(F984,Config!$H$5:$H$10,0)),""))</f>
        <v/>
      </c>
      <c r="N984" s="29">
        <f>IF(A984="","",MONTH(A984))</f>
        <v/>
      </c>
      <c r="O984" s="29">
        <f>IF(A984="","",YEAR(A984))</f>
        <v/>
      </c>
      <c r="P984" s="29">
        <f>IF(A984="","",CHOOSE(WEEKDAY(A984,2),"Segunda","Terça","Quarta","Quinta","Sexta","Sábado","Domingo"))</f>
        <v/>
      </c>
      <c r="Q984" s="29">
        <f>IF(B984="","",IF(B984&lt;TIME(12,0,0),"Manhã",IF(B984&lt;TIME(18,0,0),"Tarde","Noite")))</f>
        <v/>
      </c>
      <c r="R984" s="45">
        <f>IF(AND(H984="Realizado",L984&lt;&gt;""),L984/60,0)</f>
        <v>0</v>
      </c>
    </row>
    <row r="985">
      <c r="A985" s="42" t="n"/>
      <c r="B985" s="43" t="n"/>
      <c r="C985" s="37" t="n"/>
      <c r="D985" s="37" t="n"/>
      <c r="E985" s="36" t="n"/>
      <c r="F985" s="37" t="n"/>
      <c r="G985" s="37" t="n"/>
      <c r="H985" s="37" t="n"/>
      <c r="I985" s="37" t="n"/>
      <c r="J985" s="37" t="n"/>
      <c r="K985" s="36" t="n"/>
      <c r="L985" s="44">
        <f>IF(G985="","",IFERROR(INDEX(Config!$K$5:$K$16,MATCH(G985,Config!$J$5:$J$16,0)),""))</f>
        <v/>
      </c>
      <c r="M985" s="30">
        <f>IF(OR(G985="",F985=""),"",IFERROR(INDEX(Config!$M$5:$R$16,MATCH(G985,Config!$J$5:$J$16,0),MATCH(F985,Config!$H$5:$H$10,0)),""))</f>
        <v/>
      </c>
      <c r="N985" s="29">
        <f>IF(A985="","",MONTH(A985))</f>
        <v/>
      </c>
      <c r="O985" s="29">
        <f>IF(A985="","",YEAR(A985))</f>
        <v/>
      </c>
      <c r="P985" s="29">
        <f>IF(A985="","",CHOOSE(WEEKDAY(A985,2),"Segunda","Terça","Quarta","Quinta","Sexta","Sábado","Domingo"))</f>
        <v/>
      </c>
      <c r="Q985" s="29">
        <f>IF(B985="","",IF(B985&lt;TIME(12,0,0),"Manhã",IF(B985&lt;TIME(18,0,0),"Tarde","Noite")))</f>
        <v/>
      </c>
      <c r="R985" s="45">
        <f>IF(AND(H985="Realizado",L985&lt;&gt;""),L985/60,0)</f>
        <v>0</v>
      </c>
    </row>
    <row r="986">
      <c r="A986" s="42" t="n"/>
      <c r="B986" s="43" t="n"/>
      <c r="C986" s="37" t="n"/>
      <c r="D986" s="37" t="n"/>
      <c r="E986" s="36" t="n"/>
      <c r="F986" s="37" t="n"/>
      <c r="G986" s="37" t="n"/>
      <c r="H986" s="37" t="n"/>
      <c r="I986" s="37" t="n"/>
      <c r="J986" s="37" t="n"/>
      <c r="K986" s="36" t="n"/>
      <c r="L986" s="44">
        <f>IF(G986="","",IFERROR(INDEX(Config!$K$5:$K$16,MATCH(G986,Config!$J$5:$J$16,0)),""))</f>
        <v/>
      </c>
      <c r="M986" s="30">
        <f>IF(OR(G986="",F986=""),"",IFERROR(INDEX(Config!$M$5:$R$16,MATCH(G986,Config!$J$5:$J$16,0),MATCH(F986,Config!$H$5:$H$10,0)),""))</f>
        <v/>
      </c>
      <c r="N986" s="29">
        <f>IF(A986="","",MONTH(A986))</f>
        <v/>
      </c>
      <c r="O986" s="29">
        <f>IF(A986="","",YEAR(A986))</f>
        <v/>
      </c>
      <c r="P986" s="29">
        <f>IF(A986="","",CHOOSE(WEEKDAY(A986,2),"Segunda","Terça","Quarta","Quinta","Sexta","Sábado","Domingo"))</f>
        <v/>
      </c>
      <c r="Q986" s="29">
        <f>IF(B986="","",IF(B986&lt;TIME(12,0,0),"Manhã",IF(B986&lt;TIME(18,0,0),"Tarde","Noite")))</f>
        <v/>
      </c>
      <c r="R986" s="45">
        <f>IF(AND(H986="Realizado",L986&lt;&gt;""),L986/60,0)</f>
        <v>0</v>
      </c>
    </row>
    <row r="987">
      <c r="A987" s="42" t="n"/>
      <c r="B987" s="43" t="n"/>
      <c r="C987" s="37" t="n"/>
      <c r="D987" s="37" t="n"/>
      <c r="E987" s="36" t="n"/>
      <c r="F987" s="37" t="n"/>
      <c r="G987" s="37" t="n"/>
      <c r="H987" s="37" t="n"/>
      <c r="I987" s="37" t="n"/>
      <c r="J987" s="37" t="n"/>
      <c r="K987" s="36" t="n"/>
      <c r="L987" s="44">
        <f>IF(G987="","",IFERROR(INDEX(Config!$K$5:$K$16,MATCH(G987,Config!$J$5:$J$16,0)),""))</f>
        <v/>
      </c>
      <c r="M987" s="30">
        <f>IF(OR(G987="",F987=""),"",IFERROR(INDEX(Config!$M$5:$R$16,MATCH(G987,Config!$J$5:$J$16,0),MATCH(F987,Config!$H$5:$H$10,0)),""))</f>
        <v/>
      </c>
      <c r="N987" s="29">
        <f>IF(A987="","",MONTH(A987))</f>
        <v/>
      </c>
      <c r="O987" s="29">
        <f>IF(A987="","",YEAR(A987))</f>
        <v/>
      </c>
      <c r="P987" s="29">
        <f>IF(A987="","",CHOOSE(WEEKDAY(A987,2),"Segunda","Terça","Quarta","Quinta","Sexta","Sábado","Domingo"))</f>
        <v/>
      </c>
      <c r="Q987" s="29">
        <f>IF(B987="","",IF(B987&lt;TIME(12,0,0),"Manhã",IF(B987&lt;TIME(18,0,0),"Tarde","Noite")))</f>
        <v/>
      </c>
      <c r="R987" s="45">
        <f>IF(AND(H987="Realizado",L987&lt;&gt;""),L987/60,0)</f>
        <v>0</v>
      </c>
    </row>
    <row r="988">
      <c r="A988" s="42" t="n"/>
      <c r="B988" s="43" t="n"/>
      <c r="C988" s="37" t="n"/>
      <c r="D988" s="37" t="n"/>
      <c r="E988" s="36" t="n"/>
      <c r="F988" s="37" t="n"/>
      <c r="G988" s="37" t="n"/>
      <c r="H988" s="37" t="n"/>
      <c r="I988" s="37" t="n"/>
      <c r="J988" s="37" t="n"/>
      <c r="K988" s="36" t="n"/>
      <c r="L988" s="44">
        <f>IF(G988="","",IFERROR(INDEX(Config!$K$5:$K$16,MATCH(G988,Config!$J$5:$J$16,0)),""))</f>
        <v/>
      </c>
      <c r="M988" s="30">
        <f>IF(OR(G988="",F988=""),"",IFERROR(INDEX(Config!$M$5:$R$16,MATCH(G988,Config!$J$5:$J$16,0),MATCH(F988,Config!$H$5:$H$10,0)),""))</f>
        <v/>
      </c>
      <c r="N988" s="29">
        <f>IF(A988="","",MONTH(A988))</f>
        <v/>
      </c>
      <c r="O988" s="29">
        <f>IF(A988="","",YEAR(A988))</f>
        <v/>
      </c>
      <c r="P988" s="29">
        <f>IF(A988="","",CHOOSE(WEEKDAY(A988,2),"Segunda","Terça","Quarta","Quinta","Sexta","Sábado","Domingo"))</f>
        <v/>
      </c>
      <c r="Q988" s="29">
        <f>IF(B988="","",IF(B988&lt;TIME(12,0,0),"Manhã",IF(B988&lt;TIME(18,0,0),"Tarde","Noite")))</f>
        <v/>
      </c>
      <c r="R988" s="45">
        <f>IF(AND(H988="Realizado",L988&lt;&gt;""),L988/60,0)</f>
        <v>0</v>
      </c>
    </row>
    <row r="989">
      <c r="A989" s="42" t="n"/>
      <c r="B989" s="43" t="n"/>
      <c r="C989" s="37" t="n"/>
      <c r="D989" s="37" t="n"/>
      <c r="E989" s="36" t="n"/>
      <c r="F989" s="37" t="n"/>
      <c r="G989" s="37" t="n"/>
      <c r="H989" s="37" t="n"/>
      <c r="I989" s="37" t="n"/>
      <c r="J989" s="37" t="n"/>
      <c r="K989" s="36" t="n"/>
      <c r="L989" s="44">
        <f>IF(G989="","",IFERROR(INDEX(Config!$K$5:$K$16,MATCH(G989,Config!$J$5:$J$16,0)),""))</f>
        <v/>
      </c>
      <c r="M989" s="30">
        <f>IF(OR(G989="",F989=""),"",IFERROR(INDEX(Config!$M$5:$R$16,MATCH(G989,Config!$J$5:$J$16,0),MATCH(F989,Config!$H$5:$H$10,0)),""))</f>
        <v/>
      </c>
      <c r="N989" s="29">
        <f>IF(A989="","",MONTH(A989))</f>
        <v/>
      </c>
      <c r="O989" s="29">
        <f>IF(A989="","",YEAR(A989))</f>
        <v/>
      </c>
      <c r="P989" s="29">
        <f>IF(A989="","",CHOOSE(WEEKDAY(A989,2),"Segunda","Terça","Quarta","Quinta","Sexta","Sábado","Domingo"))</f>
        <v/>
      </c>
      <c r="Q989" s="29">
        <f>IF(B989="","",IF(B989&lt;TIME(12,0,0),"Manhã",IF(B989&lt;TIME(18,0,0),"Tarde","Noite")))</f>
        <v/>
      </c>
      <c r="R989" s="45">
        <f>IF(AND(H989="Realizado",L989&lt;&gt;""),L989/60,0)</f>
        <v>0</v>
      </c>
    </row>
    <row r="990">
      <c r="A990" s="42" t="n"/>
      <c r="B990" s="43" t="n"/>
      <c r="C990" s="37" t="n"/>
      <c r="D990" s="37" t="n"/>
      <c r="E990" s="36" t="n"/>
      <c r="F990" s="37" t="n"/>
      <c r="G990" s="37" t="n"/>
      <c r="H990" s="37" t="n"/>
      <c r="I990" s="37" t="n"/>
      <c r="J990" s="37" t="n"/>
      <c r="K990" s="36" t="n"/>
      <c r="L990" s="44">
        <f>IF(G990="","",IFERROR(INDEX(Config!$K$5:$K$16,MATCH(G990,Config!$J$5:$J$16,0)),""))</f>
        <v/>
      </c>
      <c r="M990" s="30">
        <f>IF(OR(G990="",F990=""),"",IFERROR(INDEX(Config!$M$5:$R$16,MATCH(G990,Config!$J$5:$J$16,0),MATCH(F990,Config!$H$5:$H$10,0)),""))</f>
        <v/>
      </c>
      <c r="N990" s="29">
        <f>IF(A990="","",MONTH(A990))</f>
        <v/>
      </c>
      <c r="O990" s="29">
        <f>IF(A990="","",YEAR(A990))</f>
        <v/>
      </c>
      <c r="P990" s="29">
        <f>IF(A990="","",CHOOSE(WEEKDAY(A990,2),"Segunda","Terça","Quarta","Quinta","Sexta","Sábado","Domingo"))</f>
        <v/>
      </c>
      <c r="Q990" s="29">
        <f>IF(B990="","",IF(B990&lt;TIME(12,0,0),"Manhã",IF(B990&lt;TIME(18,0,0),"Tarde","Noite")))</f>
        <v/>
      </c>
      <c r="R990" s="45">
        <f>IF(AND(H990="Realizado",L990&lt;&gt;""),L990/60,0)</f>
        <v>0</v>
      </c>
    </row>
    <row r="991">
      <c r="A991" s="42" t="n"/>
      <c r="B991" s="43" t="n"/>
      <c r="C991" s="37" t="n"/>
      <c r="D991" s="37" t="n"/>
      <c r="E991" s="36" t="n"/>
      <c r="F991" s="37" t="n"/>
      <c r="G991" s="37" t="n"/>
      <c r="H991" s="37" t="n"/>
      <c r="I991" s="37" t="n"/>
      <c r="J991" s="37" t="n"/>
      <c r="K991" s="36" t="n"/>
      <c r="L991" s="44">
        <f>IF(G991="","",IFERROR(INDEX(Config!$K$5:$K$16,MATCH(G991,Config!$J$5:$J$16,0)),""))</f>
        <v/>
      </c>
      <c r="M991" s="30">
        <f>IF(OR(G991="",F991=""),"",IFERROR(INDEX(Config!$M$5:$R$16,MATCH(G991,Config!$J$5:$J$16,0),MATCH(F991,Config!$H$5:$H$10,0)),""))</f>
        <v/>
      </c>
      <c r="N991" s="29">
        <f>IF(A991="","",MONTH(A991))</f>
        <v/>
      </c>
      <c r="O991" s="29">
        <f>IF(A991="","",YEAR(A991))</f>
        <v/>
      </c>
      <c r="P991" s="29">
        <f>IF(A991="","",CHOOSE(WEEKDAY(A991,2),"Segunda","Terça","Quarta","Quinta","Sexta","Sábado","Domingo"))</f>
        <v/>
      </c>
      <c r="Q991" s="29">
        <f>IF(B991="","",IF(B991&lt;TIME(12,0,0),"Manhã",IF(B991&lt;TIME(18,0,0),"Tarde","Noite")))</f>
        <v/>
      </c>
      <c r="R991" s="45">
        <f>IF(AND(H991="Realizado",L991&lt;&gt;""),L991/60,0)</f>
        <v>0</v>
      </c>
    </row>
    <row r="992">
      <c r="A992" s="42" t="n"/>
      <c r="B992" s="43" t="n"/>
      <c r="C992" s="37" t="n"/>
      <c r="D992" s="37" t="n"/>
      <c r="E992" s="36" t="n"/>
      <c r="F992" s="37" t="n"/>
      <c r="G992" s="37" t="n"/>
      <c r="H992" s="37" t="n"/>
      <c r="I992" s="37" t="n"/>
      <c r="J992" s="37" t="n"/>
      <c r="K992" s="36" t="n"/>
      <c r="L992" s="44">
        <f>IF(G992="","",IFERROR(INDEX(Config!$K$5:$K$16,MATCH(G992,Config!$J$5:$J$16,0)),""))</f>
        <v/>
      </c>
      <c r="M992" s="30">
        <f>IF(OR(G992="",F992=""),"",IFERROR(INDEX(Config!$M$5:$R$16,MATCH(G992,Config!$J$5:$J$16,0),MATCH(F992,Config!$H$5:$H$10,0)),""))</f>
        <v/>
      </c>
      <c r="N992" s="29">
        <f>IF(A992="","",MONTH(A992))</f>
        <v/>
      </c>
      <c r="O992" s="29">
        <f>IF(A992="","",YEAR(A992))</f>
        <v/>
      </c>
      <c r="P992" s="29">
        <f>IF(A992="","",CHOOSE(WEEKDAY(A992,2),"Segunda","Terça","Quarta","Quinta","Sexta","Sábado","Domingo"))</f>
        <v/>
      </c>
      <c r="Q992" s="29">
        <f>IF(B992="","",IF(B992&lt;TIME(12,0,0),"Manhã",IF(B992&lt;TIME(18,0,0),"Tarde","Noite")))</f>
        <v/>
      </c>
      <c r="R992" s="45">
        <f>IF(AND(H992="Realizado",L992&lt;&gt;""),L992/60,0)</f>
        <v>0</v>
      </c>
    </row>
    <row r="993">
      <c r="A993" s="42" t="n"/>
      <c r="B993" s="43" t="n"/>
      <c r="C993" s="37" t="n"/>
      <c r="D993" s="37" t="n"/>
      <c r="E993" s="36" t="n"/>
      <c r="F993" s="37" t="n"/>
      <c r="G993" s="37" t="n"/>
      <c r="H993" s="37" t="n"/>
      <c r="I993" s="37" t="n"/>
      <c r="J993" s="37" t="n"/>
      <c r="K993" s="36" t="n"/>
      <c r="L993" s="44">
        <f>IF(G993="","",IFERROR(INDEX(Config!$K$5:$K$16,MATCH(G993,Config!$J$5:$J$16,0)),""))</f>
        <v/>
      </c>
      <c r="M993" s="30">
        <f>IF(OR(G993="",F993=""),"",IFERROR(INDEX(Config!$M$5:$R$16,MATCH(G993,Config!$J$5:$J$16,0),MATCH(F993,Config!$H$5:$H$10,0)),""))</f>
        <v/>
      </c>
      <c r="N993" s="29">
        <f>IF(A993="","",MONTH(A993))</f>
        <v/>
      </c>
      <c r="O993" s="29">
        <f>IF(A993="","",YEAR(A993))</f>
        <v/>
      </c>
      <c r="P993" s="29">
        <f>IF(A993="","",CHOOSE(WEEKDAY(A993,2),"Segunda","Terça","Quarta","Quinta","Sexta","Sábado","Domingo"))</f>
        <v/>
      </c>
      <c r="Q993" s="29">
        <f>IF(B993="","",IF(B993&lt;TIME(12,0,0),"Manhã",IF(B993&lt;TIME(18,0,0),"Tarde","Noite")))</f>
        <v/>
      </c>
      <c r="R993" s="45">
        <f>IF(AND(H993="Realizado",L993&lt;&gt;""),L993/60,0)</f>
        <v>0</v>
      </c>
    </row>
    <row r="994">
      <c r="A994" s="42" t="n"/>
      <c r="B994" s="43" t="n"/>
      <c r="C994" s="37" t="n"/>
      <c r="D994" s="37" t="n"/>
      <c r="E994" s="36" t="n"/>
      <c r="F994" s="37" t="n"/>
      <c r="G994" s="37" t="n"/>
      <c r="H994" s="37" t="n"/>
      <c r="I994" s="37" t="n"/>
      <c r="J994" s="37" t="n"/>
      <c r="K994" s="36" t="n"/>
      <c r="L994" s="44">
        <f>IF(G994="","",IFERROR(INDEX(Config!$K$5:$K$16,MATCH(G994,Config!$J$5:$J$16,0)),""))</f>
        <v/>
      </c>
      <c r="M994" s="30">
        <f>IF(OR(G994="",F994=""),"",IFERROR(INDEX(Config!$M$5:$R$16,MATCH(G994,Config!$J$5:$J$16,0),MATCH(F994,Config!$H$5:$H$10,0)),""))</f>
        <v/>
      </c>
      <c r="N994" s="29">
        <f>IF(A994="","",MONTH(A994))</f>
        <v/>
      </c>
      <c r="O994" s="29">
        <f>IF(A994="","",YEAR(A994))</f>
        <v/>
      </c>
      <c r="P994" s="29">
        <f>IF(A994="","",CHOOSE(WEEKDAY(A994,2),"Segunda","Terça","Quarta","Quinta","Sexta","Sábado","Domingo"))</f>
        <v/>
      </c>
      <c r="Q994" s="29">
        <f>IF(B994="","",IF(B994&lt;TIME(12,0,0),"Manhã",IF(B994&lt;TIME(18,0,0),"Tarde","Noite")))</f>
        <v/>
      </c>
      <c r="R994" s="45">
        <f>IF(AND(H994="Realizado",L994&lt;&gt;""),L994/60,0)</f>
        <v>0</v>
      </c>
    </row>
    <row r="995">
      <c r="A995" s="42" t="n"/>
      <c r="B995" s="43" t="n"/>
      <c r="C995" s="37" t="n"/>
      <c r="D995" s="37" t="n"/>
      <c r="E995" s="36" t="n"/>
      <c r="F995" s="37" t="n"/>
      <c r="G995" s="37" t="n"/>
      <c r="H995" s="37" t="n"/>
      <c r="I995" s="37" t="n"/>
      <c r="J995" s="37" t="n"/>
      <c r="K995" s="36" t="n"/>
      <c r="L995" s="44">
        <f>IF(G995="","",IFERROR(INDEX(Config!$K$5:$K$16,MATCH(G995,Config!$J$5:$J$16,0)),""))</f>
        <v/>
      </c>
      <c r="M995" s="30">
        <f>IF(OR(G995="",F995=""),"",IFERROR(INDEX(Config!$M$5:$R$16,MATCH(G995,Config!$J$5:$J$16,0),MATCH(F995,Config!$H$5:$H$10,0)),""))</f>
        <v/>
      </c>
      <c r="N995" s="29">
        <f>IF(A995="","",MONTH(A995))</f>
        <v/>
      </c>
      <c r="O995" s="29">
        <f>IF(A995="","",YEAR(A995))</f>
        <v/>
      </c>
      <c r="P995" s="29">
        <f>IF(A995="","",CHOOSE(WEEKDAY(A995,2),"Segunda","Terça","Quarta","Quinta","Sexta","Sábado","Domingo"))</f>
        <v/>
      </c>
      <c r="Q995" s="29">
        <f>IF(B995="","",IF(B995&lt;TIME(12,0,0),"Manhã",IF(B995&lt;TIME(18,0,0),"Tarde","Noite")))</f>
        <v/>
      </c>
      <c r="R995" s="45">
        <f>IF(AND(H995="Realizado",L995&lt;&gt;""),L995/60,0)</f>
        <v>0</v>
      </c>
    </row>
    <row r="996">
      <c r="A996" s="42" t="n"/>
      <c r="B996" s="43" t="n"/>
      <c r="C996" s="37" t="n"/>
      <c r="D996" s="37" t="n"/>
      <c r="E996" s="36" t="n"/>
      <c r="F996" s="37" t="n"/>
      <c r="G996" s="37" t="n"/>
      <c r="H996" s="37" t="n"/>
      <c r="I996" s="37" t="n"/>
      <c r="J996" s="37" t="n"/>
      <c r="K996" s="36" t="n"/>
      <c r="L996" s="44">
        <f>IF(G996="","",IFERROR(INDEX(Config!$K$5:$K$16,MATCH(G996,Config!$J$5:$J$16,0)),""))</f>
        <v/>
      </c>
      <c r="M996" s="30">
        <f>IF(OR(G996="",F996=""),"",IFERROR(INDEX(Config!$M$5:$R$16,MATCH(G996,Config!$J$5:$J$16,0),MATCH(F996,Config!$H$5:$H$10,0)),""))</f>
        <v/>
      </c>
      <c r="N996" s="29">
        <f>IF(A996="","",MONTH(A996))</f>
        <v/>
      </c>
      <c r="O996" s="29">
        <f>IF(A996="","",YEAR(A996))</f>
        <v/>
      </c>
      <c r="P996" s="29">
        <f>IF(A996="","",CHOOSE(WEEKDAY(A996,2),"Segunda","Terça","Quarta","Quinta","Sexta","Sábado","Domingo"))</f>
        <v/>
      </c>
      <c r="Q996" s="29">
        <f>IF(B996="","",IF(B996&lt;TIME(12,0,0),"Manhã",IF(B996&lt;TIME(18,0,0),"Tarde","Noite")))</f>
        <v/>
      </c>
      <c r="R996" s="45">
        <f>IF(AND(H996="Realizado",L996&lt;&gt;""),L996/60,0)</f>
        <v>0</v>
      </c>
    </row>
    <row r="997">
      <c r="A997" s="42" t="n"/>
      <c r="B997" s="43" t="n"/>
      <c r="C997" s="37" t="n"/>
      <c r="D997" s="37" t="n"/>
      <c r="E997" s="36" t="n"/>
      <c r="F997" s="37" t="n"/>
      <c r="G997" s="37" t="n"/>
      <c r="H997" s="37" t="n"/>
      <c r="I997" s="37" t="n"/>
      <c r="J997" s="37" t="n"/>
      <c r="K997" s="36" t="n"/>
      <c r="L997" s="44">
        <f>IF(G997="","",IFERROR(INDEX(Config!$K$5:$K$16,MATCH(G997,Config!$J$5:$J$16,0)),""))</f>
        <v/>
      </c>
      <c r="M997" s="30">
        <f>IF(OR(G997="",F997=""),"",IFERROR(INDEX(Config!$M$5:$R$16,MATCH(G997,Config!$J$5:$J$16,0),MATCH(F997,Config!$H$5:$H$10,0)),""))</f>
        <v/>
      </c>
      <c r="N997" s="29">
        <f>IF(A997="","",MONTH(A997))</f>
        <v/>
      </c>
      <c r="O997" s="29">
        <f>IF(A997="","",YEAR(A997))</f>
        <v/>
      </c>
      <c r="P997" s="29">
        <f>IF(A997="","",CHOOSE(WEEKDAY(A997,2),"Segunda","Terça","Quarta","Quinta","Sexta","Sábado","Domingo"))</f>
        <v/>
      </c>
      <c r="Q997" s="29">
        <f>IF(B997="","",IF(B997&lt;TIME(12,0,0),"Manhã",IF(B997&lt;TIME(18,0,0),"Tarde","Noite")))</f>
        <v/>
      </c>
      <c r="R997" s="45">
        <f>IF(AND(H997="Realizado",L997&lt;&gt;""),L997/60,0)</f>
        <v>0</v>
      </c>
    </row>
    <row r="998">
      <c r="A998" s="42" t="n"/>
      <c r="B998" s="43" t="n"/>
      <c r="C998" s="37" t="n"/>
      <c r="D998" s="37" t="n"/>
      <c r="E998" s="36" t="n"/>
      <c r="F998" s="37" t="n"/>
      <c r="G998" s="37" t="n"/>
      <c r="H998" s="37" t="n"/>
      <c r="I998" s="37" t="n"/>
      <c r="J998" s="37" t="n"/>
      <c r="K998" s="36" t="n"/>
      <c r="L998" s="44">
        <f>IF(G998="","",IFERROR(INDEX(Config!$K$5:$K$16,MATCH(G998,Config!$J$5:$J$16,0)),""))</f>
        <v/>
      </c>
      <c r="M998" s="30">
        <f>IF(OR(G998="",F998=""),"",IFERROR(INDEX(Config!$M$5:$R$16,MATCH(G998,Config!$J$5:$J$16,0),MATCH(F998,Config!$H$5:$H$10,0)),""))</f>
        <v/>
      </c>
      <c r="N998" s="29">
        <f>IF(A998="","",MONTH(A998))</f>
        <v/>
      </c>
      <c r="O998" s="29">
        <f>IF(A998="","",YEAR(A998))</f>
        <v/>
      </c>
      <c r="P998" s="29">
        <f>IF(A998="","",CHOOSE(WEEKDAY(A998,2),"Segunda","Terça","Quarta","Quinta","Sexta","Sábado","Domingo"))</f>
        <v/>
      </c>
      <c r="Q998" s="29">
        <f>IF(B998="","",IF(B998&lt;TIME(12,0,0),"Manhã",IF(B998&lt;TIME(18,0,0),"Tarde","Noite")))</f>
        <v/>
      </c>
      <c r="R998" s="45">
        <f>IF(AND(H998="Realizado",L998&lt;&gt;""),L998/60,0)</f>
        <v>0</v>
      </c>
    </row>
    <row r="999">
      <c r="A999" s="42" t="n"/>
      <c r="B999" s="43" t="n"/>
      <c r="C999" s="37" t="n"/>
      <c r="D999" s="37" t="n"/>
      <c r="E999" s="36" t="n"/>
      <c r="F999" s="37" t="n"/>
      <c r="G999" s="37" t="n"/>
      <c r="H999" s="37" t="n"/>
      <c r="I999" s="37" t="n"/>
      <c r="J999" s="37" t="n"/>
      <c r="K999" s="36" t="n"/>
      <c r="L999" s="44">
        <f>IF(G999="","",IFERROR(INDEX(Config!$K$5:$K$16,MATCH(G999,Config!$J$5:$J$16,0)),""))</f>
        <v/>
      </c>
      <c r="M999" s="30">
        <f>IF(OR(G999="",F999=""),"",IFERROR(INDEX(Config!$M$5:$R$16,MATCH(G999,Config!$J$5:$J$16,0),MATCH(F999,Config!$H$5:$H$10,0)),""))</f>
        <v/>
      </c>
      <c r="N999" s="29">
        <f>IF(A999="","",MONTH(A999))</f>
        <v/>
      </c>
      <c r="O999" s="29">
        <f>IF(A999="","",YEAR(A999))</f>
        <v/>
      </c>
      <c r="P999" s="29">
        <f>IF(A999="","",CHOOSE(WEEKDAY(A999,2),"Segunda","Terça","Quarta","Quinta","Sexta","Sábado","Domingo"))</f>
        <v/>
      </c>
      <c r="Q999" s="29">
        <f>IF(B999="","",IF(B999&lt;TIME(12,0,0),"Manhã",IF(B999&lt;TIME(18,0,0),"Tarde","Noite")))</f>
        <v/>
      </c>
      <c r="R999" s="45">
        <f>IF(AND(H999="Realizado",L999&lt;&gt;""),L999/60,0)</f>
        <v>0</v>
      </c>
    </row>
    <row r="1000">
      <c r="A1000" s="42" t="n"/>
      <c r="B1000" s="43" t="n"/>
      <c r="C1000" s="37" t="n"/>
      <c r="D1000" s="37" t="n"/>
      <c r="E1000" s="36" t="n"/>
      <c r="F1000" s="37" t="n"/>
      <c r="G1000" s="37" t="n"/>
      <c r="H1000" s="37" t="n"/>
      <c r="I1000" s="37" t="n"/>
      <c r="J1000" s="37" t="n"/>
      <c r="K1000" s="36" t="n"/>
      <c r="L1000" s="44">
        <f>IF(G1000="","",IFERROR(INDEX(Config!$K$5:$K$16,MATCH(G1000,Config!$J$5:$J$16,0)),""))</f>
        <v/>
      </c>
      <c r="M1000" s="30">
        <f>IF(OR(G1000="",F1000=""),"",IFERROR(INDEX(Config!$M$5:$R$16,MATCH(G1000,Config!$J$5:$J$16,0),MATCH(F1000,Config!$H$5:$H$10,0)),""))</f>
        <v/>
      </c>
      <c r="N1000" s="29">
        <f>IF(A1000="","",MONTH(A1000))</f>
        <v/>
      </c>
      <c r="O1000" s="29">
        <f>IF(A1000="","",YEAR(A1000))</f>
        <v/>
      </c>
      <c r="P1000" s="29">
        <f>IF(A1000="","",CHOOSE(WEEKDAY(A1000,2),"Segunda","Terça","Quarta","Quinta","Sexta","Sábado","Domingo"))</f>
        <v/>
      </c>
      <c r="Q1000" s="29">
        <f>IF(B1000="","",IF(B1000&lt;TIME(12,0,0),"Manhã",IF(B1000&lt;TIME(18,0,0),"Tarde","Noite")))</f>
        <v/>
      </c>
      <c r="R1000" s="45">
        <f>IF(AND(H1000="Realizado",L1000&lt;&gt;""),L1000/60,0)</f>
        <v>0</v>
      </c>
    </row>
    <row r="1001">
      <c r="A1001" s="42" t="n"/>
      <c r="B1001" s="43" t="n"/>
      <c r="C1001" s="37" t="n"/>
      <c r="D1001" s="37" t="n"/>
      <c r="E1001" s="36" t="n"/>
      <c r="F1001" s="37" t="n"/>
      <c r="G1001" s="37" t="n"/>
      <c r="H1001" s="37" t="n"/>
      <c r="I1001" s="37" t="n"/>
      <c r="J1001" s="37" t="n"/>
      <c r="K1001" s="36" t="n"/>
      <c r="L1001" s="44">
        <f>IF(G1001="","",IFERROR(INDEX(Config!$K$5:$K$16,MATCH(G1001,Config!$J$5:$J$16,0)),""))</f>
        <v/>
      </c>
      <c r="M1001" s="30">
        <f>IF(OR(G1001="",F1001=""),"",IFERROR(INDEX(Config!$M$5:$R$16,MATCH(G1001,Config!$J$5:$J$16,0),MATCH(F1001,Config!$H$5:$H$10,0)),""))</f>
        <v/>
      </c>
      <c r="N1001" s="29">
        <f>IF(A1001="","",MONTH(A1001))</f>
        <v/>
      </c>
      <c r="O1001" s="29">
        <f>IF(A1001="","",YEAR(A1001))</f>
        <v/>
      </c>
      <c r="P1001" s="29">
        <f>IF(A1001="","",CHOOSE(WEEKDAY(A1001,2),"Segunda","Terça","Quarta","Quinta","Sexta","Sábado","Domingo"))</f>
        <v/>
      </c>
      <c r="Q1001" s="29">
        <f>IF(B1001="","",IF(B1001&lt;TIME(12,0,0),"Manhã",IF(B1001&lt;TIME(18,0,0),"Tarde","Noite")))</f>
        <v/>
      </c>
      <c r="R1001" s="45">
        <f>IF(AND(H1001="Realizado",L1001&lt;&gt;""),L1001/60,0)</f>
        <v>0</v>
      </c>
    </row>
    <row r="1002">
      <c r="A1002" s="42" t="n"/>
      <c r="B1002" s="43" t="n"/>
      <c r="C1002" s="37" t="n"/>
      <c r="D1002" s="37" t="n"/>
      <c r="E1002" s="36" t="n"/>
      <c r="F1002" s="37" t="n"/>
      <c r="G1002" s="37" t="n"/>
      <c r="H1002" s="37" t="n"/>
      <c r="I1002" s="37" t="n"/>
      <c r="J1002" s="37" t="n"/>
      <c r="K1002" s="36" t="n"/>
      <c r="L1002" s="44">
        <f>IF(G1002="","",IFERROR(INDEX(Config!$K$5:$K$16,MATCH(G1002,Config!$J$5:$J$16,0)),""))</f>
        <v/>
      </c>
      <c r="M1002" s="30">
        <f>IF(OR(G1002="",F1002=""),"",IFERROR(INDEX(Config!$M$5:$R$16,MATCH(G1002,Config!$J$5:$J$16,0),MATCH(F1002,Config!$H$5:$H$10,0)),""))</f>
        <v/>
      </c>
      <c r="N1002" s="29">
        <f>IF(A1002="","",MONTH(A1002))</f>
        <v/>
      </c>
      <c r="O1002" s="29">
        <f>IF(A1002="","",YEAR(A1002))</f>
        <v/>
      </c>
      <c r="P1002" s="29">
        <f>IF(A1002="","",CHOOSE(WEEKDAY(A1002,2),"Segunda","Terça","Quarta","Quinta","Sexta","Sábado","Domingo"))</f>
        <v/>
      </c>
      <c r="Q1002" s="29">
        <f>IF(B1002="","",IF(B1002&lt;TIME(12,0,0),"Manhã",IF(B1002&lt;TIME(18,0,0),"Tarde","Noite")))</f>
        <v/>
      </c>
      <c r="R1002" s="45">
        <f>IF(AND(H1002="Realizado",L1002&lt;&gt;""),L1002/60,0)</f>
        <v>0</v>
      </c>
    </row>
    <row r="1003">
      <c r="A1003" s="42" t="n"/>
      <c r="B1003" s="43" t="n"/>
      <c r="C1003" s="37" t="n"/>
      <c r="D1003" s="37" t="n"/>
      <c r="E1003" s="36" t="n"/>
      <c r="F1003" s="37" t="n"/>
      <c r="G1003" s="37" t="n"/>
      <c r="H1003" s="37" t="n"/>
      <c r="I1003" s="37" t="n"/>
      <c r="J1003" s="37" t="n"/>
      <c r="K1003" s="36" t="n"/>
      <c r="L1003" s="44">
        <f>IF(G1003="","",IFERROR(INDEX(Config!$K$5:$K$16,MATCH(G1003,Config!$J$5:$J$16,0)),""))</f>
        <v/>
      </c>
      <c r="M1003" s="30">
        <f>IF(OR(G1003="",F1003=""),"",IFERROR(INDEX(Config!$M$5:$R$16,MATCH(G1003,Config!$J$5:$J$16,0),MATCH(F1003,Config!$H$5:$H$10,0)),""))</f>
        <v/>
      </c>
      <c r="N1003" s="29">
        <f>IF(A1003="","",MONTH(A1003))</f>
        <v/>
      </c>
      <c r="O1003" s="29">
        <f>IF(A1003="","",YEAR(A1003))</f>
        <v/>
      </c>
      <c r="P1003" s="29">
        <f>IF(A1003="","",CHOOSE(WEEKDAY(A1003,2),"Segunda","Terça","Quarta","Quinta","Sexta","Sábado","Domingo"))</f>
        <v/>
      </c>
      <c r="Q1003" s="29">
        <f>IF(B1003="","",IF(B1003&lt;TIME(12,0,0),"Manhã",IF(B1003&lt;TIME(18,0,0),"Tarde","Noite")))</f>
        <v/>
      </c>
      <c r="R1003" s="45">
        <f>IF(AND(H1003="Realizado",L1003&lt;&gt;""),L1003/60,0)</f>
        <v>0</v>
      </c>
    </row>
    <row r="1004">
      <c r="A1004" s="42" t="n"/>
      <c r="B1004" s="43" t="n"/>
      <c r="C1004" s="37" t="n"/>
      <c r="D1004" s="37" t="n"/>
      <c r="E1004" s="36" t="n"/>
      <c r="F1004" s="37" t="n"/>
      <c r="G1004" s="37" t="n"/>
      <c r="H1004" s="37" t="n"/>
      <c r="I1004" s="37" t="n"/>
      <c r="J1004" s="37" t="n"/>
      <c r="K1004" s="36" t="n"/>
      <c r="L1004" s="44">
        <f>IF(G1004="","",IFERROR(INDEX(Config!$K$5:$K$16,MATCH(G1004,Config!$J$5:$J$16,0)),""))</f>
        <v/>
      </c>
      <c r="M1004" s="30">
        <f>IF(OR(G1004="",F1004=""),"",IFERROR(INDEX(Config!$M$5:$R$16,MATCH(G1004,Config!$J$5:$J$16,0),MATCH(F1004,Config!$H$5:$H$10,0)),""))</f>
        <v/>
      </c>
      <c r="N1004" s="29">
        <f>IF(A1004="","",MONTH(A1004))</f>
        <v/>
      </c>
      <c r="O1004" s="29">
        <f>IF(A1004="","",YEAR(A1004))</f>
        <v/>
      </c>
      <c r="P1004" s="29">
        <f>IF(A1004="","",CHOOSE(WEEKDAY(A1004,2),"Segunda","Terça","Quarta","Quinta","Sexta","Sábado","Domingo"))</f>
        <v/>
      </c>
      <c r="Q1004" s="29">
        <f>IF(B1004="","",IF(B1004&lt;TIME(12,0,0),"Manhã",IF(B1004&lt;TIME(18,0,0),"Tarde","Noite")))</f>
        <v/>
      </c>
      <c r="R1004" s="45">
        <f>IF(AND(H1004="Realizado",L1004&lt;&gt;""),L1004/60,0)</f>
        <v>0</v>
      </c>
    </row>
    <row r="1005">
      <c r="A1005" s="42" t="n"/>
      <c r="B1005" s="43" t="n"/>
      <c r="C1005" s="37" t="n"/>
      <c r="D1005" s="37" t="n"/>
      <c r="E1005" s="36" t="n"/>
      <c r="F1005" s="37" t="n"/>
      <c r="G1005" s="37" t="n"/>
      <c r="H1005" s="37" t="n"/>
      <c r="I1005" s="37" t="n"/>
      <c r="J1005" s="37" t="n"/>
      <c r="K1005" s="36" t="n"/>
      <c r="L1005" s="44">
        <f>IF(G1005="","",IFERROR(INDEX(Config!$K$5:$K$16,MATCH(G1005,Config!$J$5:$J$16,0)),""))</f>
        <v/>
      </c>
      <c r="M1005" s="30">
        <f>IF(OR(G1005="",F1005=""),"",IFERROR(INDEX(Config!$M$5:$R$16,MATCH(G1005,Config!$J$5:$J$16,0),MATCH(F1005,Config!$H$5:$H$10,0)),""))</f>
        <v/>
      </c>
      <c r="N1005" s="29">
        <f>IF(A1005="","",MONTH(A1005))</f>
        <v/>
      </c>
      <c r="O1005" s="29">
        <f>IF(A1005="","",YEAR(A1005))</f>
        <v/>
      </c>
      <c r="P1005" s="29">
        <f>IF(A1005="","",CHOOSE(WEEKDAY(A1005,2),"Segunda","Terça","Quarta","Quinta","Sexta","Sábado","Domingo"))</f>
        <v/>
      </c>
      <c r="Q1005" s="29">
        <f>IF(B1005="","",IF(B1005&lt;TIME(12,0,0),"Manhã",IF(B1005&lt;TIME(18,0,0),"Tarde","Noite")))</f>
        <v/>
      </c>
      <c r="R1005" s="45">
        <f>IF(AND(H1005="Realizado",L1005&lt;&gt;""),L1005/60,0)</f>
        <v>0</v>
      </c>
    </row>
    <row r="1006">
      <c r="A1006" s="42" t="n"/>
      <c r="B1006" s="43" t="n"/>
      <c r="C1006" s="37" t="n"/>
      <c r="D1006" s="37" t="n"/>
      <c r="E1006" s="36" t="n"/>
      <c r="F1006" s="37" t="n"/>
      <c r="G1006" s="37" t="n"/>
      <c r="H1006" s="37" t="n"/>
      <c r="I1006" s="37" t="n"/>
      <c r="J1006" s="37" t="n"/>
      <c r="K1006" s="36" t="n"/>
      <c r="L1006" s="44">
        <f>IF(G1006="","",IFERROR(INDEX(Config!$K$5:$K$16,MATCH(G1006,Config!$J$5:$J$16,0)),""))</f>
        <v/>
      </c>
      <c r="M1006" s="30">
        <f>IF(OR(G1006="",F1006=""),"",IFERROR(INDEX(Config!$M$5:$R$16,MATCH(G1006,Config!$J$5:$J$16,0),MATCH(F1006,Config!$H$5:$H$10,0)),""))</f>
        <v/>
      </c>
      <c r="N1006" s="29">
        <f>IF(A1006="","",MONTH(A1006))</f>
        <v/>
      </c>
      <c r="O1006" s="29">
        <f>IF(A1006="","",YEAR(A1006))</f>
        <v/>
      </c>
      <c r="P1006" s="29">
        <f>IF(A1006="","",CHOOSE(WEEKDAY(A1006,2),"Segunda","Terça","Quarta","Quinta","Sexta","Sábado","Domingo"))</f>
        <v/>
      </c>
      <c r="Q1006" s="29">
        <f>IF(B1006="","",IF(B1006&lt;TIME(12,0,0),"Manhã",IF(B1006&lt;TIME(18,0,0),"Tarde","Noite")))</f>
        <v/>
      </c>
      <c r="R1006" s="45">
        <f>IF(AND(H1006="Realizado",L1006&lt;&gt;""),L1006/60,0)</f>
        <v>0</v>
      </c>
    </row>
    <row r="1007">
      <c r="A1007" s="42" t="n"/>
      <c r="B1007" s="43" t="n"/>
      <c r="C1007" s="37" t="n"/>
      <c r="D1007" s="37" t="n"/>
      <c r="E1007" s="36" t="n"/>
      <c r="F1007" s="37" t="n"/>
      <c r="G1007" s="37" t="n"/>
      <c r="H1007" s="37" t="n"/>
      <c r="I1007" s="37" t="n"/>
      <c r="J1007" s="37" t="n"/>
      <c r="K1007" s="36" t="n"/>
      <c r="L1007" s="44">
        <f>IF(G1007="","",IFERROR(INDEX(Config!$K$5:$K$16,MATCH(G1007,Config!$J$5:$J$16,0)),""))</f>
        <v/>
      </c>
      <c r="M1007" s="30">
        <f>IF(OR(G1007="",F1007=""),"",IFERROR(INDEX(Config!$M$5:$R$16,MATCH(G1007,Config!$J$5:$J$16,0),MATCH(F1007,Config!$H$5:$H$10,0)),""))</f>
        <v/>
      </c>
      <c r="N1007" s="29">
        <f>IF(A1007="","",MONTH(A1007))</f>
        <v/>
      </c>
      <c r="O1007" s="29">
        <f>IF(A1007="","",YEAR(A1007))</f>
        <v/>
      </c>
      <c r="P1007" s="29">
        <f>IF(A1007="","",CHOOSE(WEEKDAY(A1007,2),"Segunda","Terça","Quarta","Quinta","Sexta","Sábado","Domingo"))</f>
        <v/>
      </c>
      <c r="Q1007" s="29">
        <f>IF(B1007="","",IF(B1007&lt;TIME(12,0,0),"Manhã",IF(B1007&lt;TIME(18,0,0),"Tarde","Noite")))</f>
        <v/>
      </c>
      <c r="R1007" s="45">
        <f>IF(AND(H1007="Realizado",L1007&lt;&gt;""),L1007/60,0)</f>
        <v>0</v>
      </c>
    </row>
    <row r="1008">
      <c r="A1008" s="42" t="n"/>
      <c r="B1008" s="43" t="n"/>
      <c r="C1008" s="37" t="n"/>
      <c r="D1008" s="37" t="n"/>
      <c r="E1008" s="36" t="n"/>
      <c r="F1008" s="37" t="n"/>
      <c r="G1008" s="37" t="n"/>
      <c r="H1008" s="37" t="n"/>
      <c r="I1008" s="37" t="n"/>
      <c r="J1008" s="37" t="n"/>
      <c r="K1008" s="36" t="n"/>
      <c r="L1008" s="44">
        <f>IF(G1008="","",IFERROR(INDEX(Config!$K$5:$K$16,MATCH(G1008,Config!$J$5:$J$16,0)),""))</f>
        <v/>
      </c>
      <c r="M1008" s="30">
        <f>IF(OR(G1008="",F1008=""),"",IFERROR(INDEX(Config!$M$5:$R$16,MATCH(G1008,Config!$J$5:$J$16,0),MATCH(F1008,Config!$H$5:$H$10,0)),""))</f>
        <v/>
      </c>
      <c r="N1008" s="29">
        <f>IF(A1008="","",MONTH(A1008))</f>
        <v/>
      </c>
      <c r="O1008" s="29">
        <f>IF(A1008="","",YEAR(A1008))</f>
        <v/>
      </c>
      <c r="P1008" s="29">
        <f>IF(A1008="","",CHOOSE(WEEKDAY(A1008,2),"Segunda","Terça","Quarta","Quinta","Sexta","Sábado","Domingo"))</f>
        <v/>
      </c>
      <c r="Q1008" s="29">
        <f>IF(B1008="","",IF(B1008&lt;TIME(12,0,0),"Manhã",IF(B1008&lt;TIME(18,0,0),"Tarde","Noite")))</f>
        <v/>
      </c>
      <c r="R1008" s="45">
        <f>IF(AND(H1008="Realizado",L1008&lt;&gt;""),L1008/60,0)</f>
        <v>0</v>
      </c>
    </row>
    <row r="1009">
      <c r="A1009" s="42" t="n"/>
      <c r="B1009" s="43" t="n"/>
      <c r="C1009" s="37" t="n"/>
      <c r="D1009" s="37" t="n"/>
      <c r="E1009" s="36" t="n"/>
      <c r="F1009" s="37" t="n"/>
      <c r="G1009" s="37" t="n"/>
      <c r="H1009" s="37" t="n"/>
      <c r="I1009" s="37" t="n"/>
      <c r="J1009" s="37" t="n"/>
      <c r="K1009" s="36" t="n"/>
      <c r="L1009" s="44">
        <f>IF(G1009="","",IFERROR(INDEX(Config!$K$5:$K$16,MATCH(G1009,Config!$J$5:$J$16,0)),""))</f>
        <v/>
      </c>
      <c r="M1009" s="30">
        <f>IF(OR(G1009="",F1009=""),"",IFERROR(INDEX(Config!$M$5:$R$16,MATCH(G1009,Config!$J$5:$J$16,0),MATCH(F1009,Config!$H$5:$H$10,0)),""))</f>
        <v/>
      </c>
      <c r="N1009" s="29">
        <f>IF(A1009="","",MONTH(A1009))</f>
        <v/>
      </c>
      <c r="O1009" s="29">
        <f>IF(A1009="","",YEAR(A1009))</f>
        <v/>
      </c>
      <c r="P1009" s="29">
        <f>IF(A1009="","",CHOOSE(WEEKDAY(A1009,2),"Segunda","Terça","Quarta","Quinta","Sexta","Sábado","Domingo"))</f>
        <v/>
      </c>
      <c r="Q1009" s="29">
        <f>IF(B1009="","",IF(B1009&lt;TIME(12,0,0),"Manhã",IF(B1009&lt;TIME(18,0,0),"Tarde","Noite")))</f>
        <v/>
      </c>
      <c r="R1009" s="45">
        <f>IF(AND(H1009="Realizado",L1009&lt;&gt;""),L1009/60,0)</f>
        <v>0</v>
      </c>
    </row>
    <row r="1010">
      <c r="A1010" s="42" t="n"/>
      <c r="B1010" s="43" t="n"/>
      <c r="C1010" s="37" t="n"/>
      <c r="D1010" s="37" t="n"/>
      <c r="E1010" s="36" t="n"/>
      <c r="F1010" s="37" t="n"/>
      <c r="G1010" s="37" t="n"/>
      <c r="H1010" s="37" t="n"/>
      <c r="I1010" s="37" t="n"/>
      <c r="J1010" s="37" t="n"/>
      <c r="K1010" s="36" t="n"/>
      <c r="L1010" s="44">
        <f>IF(G1010="","",IFERROR(INDEX(Config!$K$5:$K$16,MATCH(G1010,Config!$J$5:$J$16,0)),""))</f>
        <v/>
      </c>
      <c r="M1010" s="30">
        <f>IF(OR(G1010="",F1010=""),"",IFERROR(INDEX(Config!$M$5:$R$16,MATCH(G1010,Config!$J$5:$J$16,0),MATCH(F1010,Config!$H$5:$H$10,0)),""))</f>
        <v/>
      </c>
      <c r="N1010" s="29">
        <f>IF(A1010="","",MONTH(A1010))</f>
        <v/>
      </c>
      <c r="O1010" s="29">
        <f>IF(A1010="","",YEAR(A1010))</f>
        <v/>
      </c>
      <c r="P1010" s="29">
        <f>IF(A1010="","",CHOOSE(WEEKDAY(A1010,2),"Segunda","Terça","Quarta","Quinta","Sexta","Sábado","Domingo"))</f>
        <v/>
      </c>
      <c r="Q1010" s="29">
        <f>IF(B1010="","",IF(B1010&lt;TIME(12,0,0),"Manhã",IF(B1010&lt;TIME(18,0,0),"Tarde","Noite")))</f>
        <v/>
      </c>
      <c r="R1010" s="45">
        <f>IF(AND(H1010="Realizado",L1010&lt;&gt;""),L1010/60,0)</f>
        <v>0</v>
      </c>
    </row>
    <row r="1011">
      <c r="A1011" s="42" t="n"/>
      <c r="B1011" s="43" t="n"/>
      <c r="C1011" s="37" t="n"/>
      <c r="D1011" s="37" t="n"/>
      <c r="E1011" s="36" t="n"/>
      <c r="F1011" s="37" t="n"/>
      <c r="G1011" s="37" t="n"/>
      <c r="H1011" s="37" t="n"/>
      <c r="I1011" s="37" t="n"/>
      <c r="J1011" s="37" t="n"/>
      <c r="K1011" s="36" t="n"/>
      <c r="L1011" s="44">
        <f>IF(G1011="","",IFERROR(INDEX(Config!$K$5:$K$16,MATCH(G1011,Config!$J$5:$J$16,0)),""))</f>
        <v/>
      </c>
      <c r="M1011" s="30">
        <f>IF(OR(G1011="",F1011=""),"",IFERROR(INDEX(Config!$M$5:$R$16,MATCH(G1011,Config!$J$5:$J$16,0),MATCH(F1011,Config!$H$5:$H$10,0)),""))</f>
        <v/>
      </c>
      <c r="N1011" s="29">
        <f>IF(A1011="","",MONTH(A1011))</f>
        <v/>
      </c>
      <c r="O1011" s="29">
        <f>IF(A1011="","",YEAR(A1011))</f>
        <v/>
      </c>
      <c r="P1011" s="29">
        <f>IF(A1011="","",CHOOSE(WEEKDAY(A1011,2),"Segunda","Terça","Quarta","Quinta","Sexta","Sábado","Domingo"))</f>
        <v/>
      </c>
      <c r="Q1011" s="29">
        <f>IF(B1011="","",IF(B1011&lt;TIME(12,0,0),"Manhã",IF(B1011&lt;TIME(18,0,0),"Tarde","Noite")))</f>
        <v/>
      </c>
      <c r="R1011" s="45">
        <f>IF(AND(H1011="Realizado",L1011&lt;&gt;""),L1011/60,0)</f>
        <v>0</v>
      </c>
    </row>
    <row r="1012">
      <c r="A1012" s="42" t="n"/>
      <c r="B1012" s="43" t="n"/>
      <c r="C1012" s="37" t="n"/>
      <c r="D1012" s="37" t="n"/>
      <c r="E1012" s="36" t="n"/>
      <c r="F1012" s="37" t="n"/>
      <c r="G1012" s="37" t="n"/>
      <c r="H1012" s="37" t="n"/>
      <c r="I1012" s="37" t="n"/>
      <c r="J1012" s="37" t="n"/>
      <c r="K1012" s="36" t="n"/>
      <c r="L1012" s="44">
        <f>IF(G1012="","",IFERROR(INDEX(Config!$K$5:$K$16,MATCH(G1012,Config!$J$5:$J$16,0)),""))</f>
        <v/>
      </c>
      <c r="M1012" s="30">
        <f>IF(OR(G1012="",F1012=""),"",IFERROR(INDEX(Config!$M$5:$R$16,MATCH(G1012,Config!$J$5:$J$16,0),MATCH(F1012,Config!$H$5:$H$10,0)),""))</f>
        <v/>
      </c>
      <c r="N1012" s="29">
        <f>IF(A1012="","",MONTH(A1012))</f>
        <v/>
      </c>
      <c r="O1012" s="29">
        <f>IF(A1012="","",YEAR(A1012))</f>
        <v/>
      </c>
      <c r="P1012" s="29">
        <f>IF(A1012="","",CHOOSE(WEEKDAY(A1012,2),"Segunda","Terça","Quarta","Quinta","Sexta","Sábado","Domingo"))</f>
        <v/>
      </c>
      <c r="Q1012" s="29">
        <f>IF(B1012="","",IF(B1012&lt;TIME(12,0,0),"Manhã",IF(B1012&lt;TIME(18,0,0),"Tarde","Noite")))</f>
        <v/>
      </c>
      <c r="R1012" s="45">
        <f>IF(AND(H1012="Realizado",L1012&lt;&gt;""),L1012/60,0)</f>
        <v>0</v>
      </c>
    </row>
    <row r="1013">
      <c r="A1013" s="42" t="n"/>
      <c r="B1013" s="43" t="n"/>
      <c r="C1013" s="37" t="n"/>
      <c r="D1013" s="37" t="n"/>
      <c r="E1013" s="36" t="n"/>
      <c r="F1013" s="37" t="n"/>
      <c r="G1013" s="37" t="n"/>
      <c r="H1013" s="37" t="n"/>
      <c r="I1013" s="37" t="n"/>
      <c r="J1013" s="37" t="n"/>
      <c r="K1013" s="36" t="n"/>
      <c r="L1013" s="44">
        <f>IF(G1013="","",IFERROR(INDEX(Config!$K$5:$K$16,MATCH(G1013,Config!$J$5:$J$16,0)),""))</f>
        <v/>
      </c>
      <c r="M1013" s="30">
        <f>IF(OR(G1013="",F1013=""),"",IFERROR(INDEX(Config!$M$5:$R$16,MATCH(G1013,Config!$J$5:$J$16,0),MATCH(F1013,Config!$H$5:$H$10,0)),""))</f>
        <v/>
      </c>
      <c r="N1013" s="29">
        <f>IF(A1013="","",MONTH(A1013))</f>
        <v/>
      </c>
      <c r="O1013" s="29">
        <f>IF(A1013="","",YEAR(A1013))</f>
        <v/>
      </c>
      <c r="P1013" s="29">
        <f>IF(A1013="","",CHOOSE(WEEKDAY(A1013,2),"Segunda","Terça","Quarta","Quinta","Sexta","Sábado","Domingo"))</f>
        <v/>
      </c>
      <c r="Q1013" s="29">
        <f>IF(B1013="","",IF(B1013&lt;TIME(12,0,0),"Manhã",IF(B1013&lt;TIME(18,0,0),"Tarde","Noite")))</f>
        <v/>
      </c>
      <c r="R1013" s="45">
        <f>IF(AND(H1013="Realizado",L1013&lt;&gt;""),L1013/60,0)</f>
        <v>0</v>
      </c>
    </row>
    <row r="1014">
      <c r="A1014" s="42" t="n"/>
      <c r="B1014" s="43" t="n"/>
      <c r="C1014" s="37" t="n"/>
      <c r="D1014" s="37" t="n"/>
      <c r="E1014" s="36" t="n"/>
      <c r="F1014" s="37" t="n"/>
      <c r="G1014" s="37" t="n"/>
      <c r="H1014" s="37" t="n"/>
      <c r="I1014" s="37" t="n"/>
      <c r="J1014" s="37" t="n"/>
      <c r="K1014" s="36" t="n"/>
      <c r="L1014" s="44">
        <f>IF(G1014="","",IFERROR(INDEX(Config!$K$5:$K$16,MATCH(G1014,Config!$J$5:$J$16,0)),""))</f>
        <v/>
      </c>
      <c r="M1014" s="30">
        <f>IF(OR(G1014="",F1014=""),"",IFERROR(INDEX(Config!$M$5:$R$16,MATCH(G1014,Config!$J$5:$J$16,0),MATCH(F1014,Config!$H$5:$H$10,0)),""))</f>
        <v/>
      </c>
      <c r="N1014" s="29">
        <f>IF(A1014="","",MONTH(A1014))</f>
        <v/>
      </c>
      <c r="O1014" s="29">
        <f>IF(A1014="","",YEAR(A1014))</f>
        <v/>
      </c>
      <c r="P1014" s="29">
        <f>IF(A1014="","",CHOOSE(WEEKDAY(A1014,2),"Segunda","Terça","Quarta","Quinta","Sexta","Sábado","Domingo"))</f>
        <v/>
      </c>
      <c r="Q1014" s="29">
        <f>IF(B1014="","",IF(B1014&lt;TIME(12,0,0),"Manhã",IF(B1014&lt;TIME(18,0,0),"Tarde","Noite")))</f>
        <v/>
      </c>
      <c r="R1014" s="45">
        <f>IF(AND(H1014="Realizado",L1014&lt;&gt;""),L1014/60,0)</f>
        <v>0</v>
      </c>
    </row>
    <row r="1015">
      <c r="A1015" s="42" t="n"/>
      <c r="B1015" s="43" t="n"/>
      <c r="C1015" s="37" t="n"/>
      <c r="D1015" s="37" t="n"/>
      <c r="E1015" s="36" t="n"/>
      <c r="F1015" s="37" t="n"/>
      <c r="G1015" s="37" t="n"/>
      <c r="H1015" s="37" t="n"/>
      <c r="I1015" s="37" t="n"/>
      <c r="J1015" s="37" t="n"/>
      <c r="K1015" s="36" t="n"/>
      <c r="L1015" s="44">
        <f>IF(G1015="","",IFERROR(INDEX(Config!$K$5:$K$16,MATCH(G1015,Config!$J$5:$J$16,0)),""))</f>
        <v/>
      </c>
      <c r="M1015" s="30">
        <f>IF(OR(G1015="",F1015=""),"",IFERROR(INDEX(Config!$M$5:$R$16,MATCH(G1015,Config!$J$5:$J$16,0),MATCH(F1015,Config!$H$5:$H$10,0)),""))</f>
        <v/>
      </c>
      <c r="N1015" s="29">
        <f>IF(A1015="","",MONTH(A1015))</f>
        <v/>
      </c>
      <c r="O1015" s="29">
        <f>IF(A1015="","",YEAR(A1015))</f>
        <v/>
      </c>
      <c r="P1015" s="29">
        <f>IF(A1015="","",CHOOSE(WEEKDAY(A1015,2),"Segunda","Terça","Quarta","Quinta","Sexta","Sábado","Domingo"))</f>
        <v/>
      </c>
      <c r="Q1015" s="29">
        <f>IF(B1015="","",IF(B1015&lt;TIME(12,0,0),"Manhã",IF(B1015&lt;TIME(18,0,0),"Tarde","Noite")))</f>
        <v/>
      </c>
      <c r="R1015" s="45">
        <f>IF(AND(H1015="Realizado",L1015&lt;&gt;""),L1015/60,0)</f>
        <v>0</v>
      </c>
    </row>
    <row r="1016">
      <c r="A1016" s="42" t="n"/>
      <c r="B1016" s="43" t="n"/>
      <c r="C1016" s="37" t="n"/>
      <c r="D1016" s="37" t="n"/>
      <c r="E1016" s="36" t="n"/>
      <c r="F1016" s="37" t="n"/>
      <c r="G1016" s="37" t="n"/>
      <c r="H1016" s="37" t="n"/>
      <c r="I1016" s="37" t="n"/>
      <c r="J1016" s="37" t="n"/>
      <c r="K1016" s="36" t="n"/>
      <c r="L1016" s="44">
        <f>IF(G1016="","",IFERROR(INDEX(Config!$K$5:$K$16,MATCH(G1016,Config!$J$5:$J$16,0)),""))</f>
        <v/>
      </c>
      <c r="M1016" s="30">
        <f>IF(OR(G1016="",F1016=""),"",IFERROR(INDEX(Config!$M$5:$R$16,MATCH(G1016,Config!$J$5:$J$16,0),MATCH(F1016,Config!$H$5:$H$10,0)),""))</f>
        <v/>
      </c>
      <c r="N1016" s="29">
        <f>IF(A1016="","",MONTH(A1016))</f>
        <v/>
      </c>
      <c r="O1016" s="29">
        <f>IF(A1016="","",YEAR(A1016))</f>
        <v/>
      </c>
      <c r="P1016" s="29">
        <f>IF(A1016="","",CHOOSE(WEEKDAY(A1016,2),"Segunda","Terça","Quarta","Quinta","Sexta","Sábado","Domingo"))</f>
        <v/>
      </c>
      <c r="Q1016" s="29">
        <f>IF(B1016="","",IF(B1016&lt;TIME(12,0,0),"Manhã",IF(B1016&lt;TIME(18,0,0),"Tarde","Noite")))</f>
        <v/>
      </c>
      <c r="R1016" s="45">
        <f>IF(AND(H1016="Realizado",L1016&lt;&gt;""),L1016/60,0)</f>
        <v>0</v>
      </c>
    </row>
    <row r="1017">
      <c r="A1017" s="42" t="n"/>
      <c r="B1017" s="43" t="n"/>
      <c r="C1017" s="37" t="n"/>
      <c r="D1017" s="37" t="n"/>
      <c r="E1017" s="36" t="n"/>
      <c r="F1017" s="37" t="n"/>
      <c r="G1017" s="37" t="n"/>
      <c r="H1017" s="37" t="n"/>
      <c r="I1017" s="37" t="n"/>
      <c r="J1017" s="37" t="n"/>
      <c r="K1017" s="36" t="n"/>
      <c r="L1017" s="44">
        <f>IF(G1017="","",IFERROR(INDEX(Config!$K$5:$K$16,MATCH(G1017,Config!$J$5:$J$16,0)),""))</f>
        <v/>
      </c>
      <c r="M1017" s="30">
        <f>IF(OR(G1017="",F1017=""),"",IFERROR(INDEX(Config!$M$5:$R$16,MATCH(G1017,Config!$J$5:$J$16,0),MATCH(F1017,Config!$H$5:$H$10,0)),""))</f>
        <v/>
      </c>
      <c r="N1017" s="29">
        <f>IF(A1017="","",MONTH(A1017))</f>
        <v/>
      </c>
      <c r="O1017" s="29">
        <f>IF(A1017="","",YEAR(A1017))</f>
        <v/>
      </c>
      <c r="P1017" s="29">
        <f>IF(A1017="","",CHOOSE(WEEKDAY(A1017,2),"Segunda","Terça","Quarta","Quinta","Sexta","Sábado","Domingo"))</f>
        <v/>
      </c>
      <c r="Q1017" s="29">
        <f>IF(B1017="","",IF(B1017&lt;TIME(12,0,0),"Manhã",IF(B1017&lt;TIME(18,0,0),"Tarde","Noite")))</f>
        <v/>
      </c>
      <c r="R1017" s="45">
        <f>IF(AND(H1017="Realizado",L1017&lt;&gt;""),L1017/60,0)</f>
        <v>0</v>
      </c>
    </row>
    <row r="1018">
      <c r="A1018" s="42" t="n"/>
      <c r="B1018" s="43" t="n"/>
      <c r="C1018" s="37" t="n"/>
      <c r="D1018" s="37" t="n"/>
      <c r="E1018" s="36" t="n"/>
      <c r="F1018" s="37" t="n"/>
      <c r="G1018" s="37" t="n"/>
      <c r="H1018" s="37" t="n"/>
      <c r="I1018" s="37" t="n"/>
      <c r="J1018" s="37" t="n"/>
      <c r="K1018" s="36" t="n"/>
      <c r="L1018" s="44">
        <f>IF(G1018="","",IFERROR(INDEX(Config!$K$5:$K$16,MATCH(G1018,Config!$J$5:$J$16,0)),""))</f>
        <v/>
      </c>
      <c r="M1018" s="30">
        <f>IF(OR(G1018="",F1018=""),"",IFERROR(INDEX(Config!$M$5:$R$16,MATCH(G1018,Config!$J$5:$J$16,0),MATCH(F1018,Config!$H$5:$H$10,0)),""))</f>
        <v/>
      </c>
      <c r="N1018" s="29">
        <f>IF(A1018="","",MONTH(A1018))</f>
        <v/>
      </c>
      <c r="O1018" s="29">
        <f>IF(A1018="","",YEAR(A1018))</f>
        <v/>
      </c>
      <c r="P1018" s="29">
        <f>IF(A1018="","",CHOOSE(WEEKDAY(A1018,2),"Segunda","Terça","Quarta","Quinta","Sexta","Sábado","Domingo"))</f>
        <v/>
      </c>
      <c r="Q1018" s="29">
        <f>IF(B1018="","",IF(B1018&lt;TIME(12,0,0),"Manhã",IF(B1018&lt;TIME(18,0,0),"Tarde","Noite")))</f>
        <v/>
      </c>
      <c r="R1018" s="45">
        <f>IF(AND(H1018="Realizado",L1018&lt;&gt;""),L1018/60,0)</f>
        <v>0</v>
      </c>
    </row>
    <row r="1019">
      <c r="A1019" s="42" t="n"/>
      <c r="B1019" s="43" t="n"/>
      <c r="C1019" s="37" t="n"/>
      <c r="D1019" s="37" t="n"/>
      <c r="E1019" s="36" t="n"/>
      <c r="F1019" s="37" t="n"/>
      <c r="G1019" s="37" t="n"/>
      <c r="H1019" s="37" t="n"/>
      <c r="I1019" s="37" t="n"/>
      <c r="J1019" s="37" t="n"/>
      <c r="K1019" s="36" t="n"/>
      <c r="L1019" s="44">
        <f>IF(G1019="","",IFERROR(INDEX(Config!$K$5:$K$16,MATCH(G1019,Config!$J$5:$J$16,0)),""))</f>
        <v/>
      </c>
      <c r="M1019" s="30">
        <f>IF(OR(G1019="",F1019=""),"",IFERROR(INDEX(Config!$M$5:$R$16,MATCH(G1019,Config!$J$5:$J$16,0),MATCH(F1019,Config!$H$5:$H$10,0)),""))</f>
        <v/>
      </c>
      <c r="N1019" s="29">
        <f>IF(A1019="","",MONTH(A1019))</f>
        <v/>
      </c>
      <c r="O1019" s="29">
        <f>IF(A1019="","",YEAR(A1019))</f>
        <v/>
      </c>
      <c r="P1019" s="29">
        <f>IF(A1019="","",CHOOSE(WEEKDAY(A1019,2),"Segunda","Terça","Quarta","Quinta","Sexta","Sábado","Domingo"))</f>
        <v/>
      </c>
      <c r="Q1019" s="29">
        <f>IF(B1019="","",IF(B1019&lt;TIME(12,0,0),"Manhã",IF(B1019&lt;TIME(18,0,0),"Tarde","Noite")))</f>
        <v/>
      </c>
      <c r="R1019" s="45">
        <f>IF(AND(H1019="Realizado",L1019&lt;&gt;""),L1019/60,0)</f>
        <v>0</v>
      </c>
    </row>
    <row r="1020">
      <c r="A1020" s="42" t="n"/>
      <c r="B1020" s="43" t="n"/>
      <c r="C1020" s="37" t="n"/>
      <c r="D1020" s="37" t="n"/>
      <c r="E1020" s="36" t="n"/>
      <c r="F1020" s="37" t="n"/>
      <c r="G1020" s="37" t="n"/>
      <c r="H1020" s="37" t="n"/>
      <c r="I1020" s="37" t="n"/>
      <c r="J1020" s="37" t="n"/>
      <c r="K1020" s="36" t="n"/>
      <c r="L1020" s="44">
        <f>IF(G1020="","",IFERROR(INDEX(Config!$K$5:$K$16,MATCH(G1020,Config!$J$5:$J$16,0)),""))</f>
        <v/>
      </c>
      <c r="M1020" s="30">
        <f>IF(OR(G1020="",F1020=""),"",IFERROR(INDEX(Config!$M$5:$R$16,MATCH(G1020,Config!$J$5:$J$16,0),MATCH(F1020,Config!$H$5:$H$10,0)),""))</f>
        <v/>
      </c>
      <c r="N1020" s="29">
        <f>IF(A1020="","",MONTH(A1020))</f>
        <v/>
      </c>
      <c r="O1020" s="29">
        <f>IF(A1020="","",YEAR(A1020))</f>
        <v/>
      </c>
      <c r="P1020" s="29">
        <f>IF(A1020="","",CHOOSE(WEEKDAY(A1020,2),"Segunda","Terça","Quarta","Quinta","Sexta","Sábado","Domingo"))</f>
        <v/>
      </c>
      <c r="Q1020" s="29">
        <f>IF(B1020="","",IF(B1020&lt;TIME(12,0,0),"Manhã",IF(B1020&lt;TIME(18,0,0),"Tarde","Noite")))</f>
        <v/>
      </c>
      <c r="R1020" s="45">
        <f>IF(AND(H1020="Realizado",L1020&lt;&gt;""),L1020/60,0)</f>
        <v>0</v>
      </c>
    </row>
    <row r="1021">
      <c r="A1021" s="42" t="n"/>
      <c r="B1021" s="43" t="n"/>
      <c r="C1021" s="37" t="n"/>
      <c r="D1021" s="37" t="n"/>
      <c r="E1021" s="36" t="n"/>
      <c r="F1021" s="37" t="n"/>
      <c r="G1021" s="37" t="n"/>
      <c r="H1021" s="37" t="n"/>
      <c r="I1021" s="37" t="n"/>
      <c r="J1021" s="37" t="n"/>
      <c r="K1021" s="36" t="n"/>
      <c r="L1021" s="44">
        <f>IF(G1021="","",IFERROR(INDEX(Config!$K$5:$K$16,MATCH(G1021,Config!$J$5:$J$16,0)),""))</f>
        <v/>
      </c>
      <c r="M1021" s="30">
        <f>IF(OR(G1021="",F1021=""),"",IFERROR(INDEX(Config!$M$5:$R$16,MATCH(G1021,Config!$J$5:$J$16,0),MATCH(F1021,Config!$H$5:$H$10,0)),""))</f>
        <v/>
      </c>
      <c r="N1021" s="29">
        <f>IF(A1021="","",MONTH(A1021))</f>
        <v/>
      </c>
      <c r="O1021" s="29">
        <f>IF(A1021="","",YEAR(A1021))</f>
        <v/>
      </c>
      <c r="P1021" s="29">
        <f>IF(A1021="","",CHOOSE(WEEKDAY(A1021,2),"Segunda","Terça","Quarta","Quinta","Sexta","Sábado","Domingo"))</f>
        <v/>
      </c>
      <c r="Q1021" s="29">
        <f>IF(B1021="","",IF(B1021&lt;TIME(12,0,0),"Manhã",IF(B1021&lt;TIME(18,0,0),"Tarde","Noite")))</f>
        <v/>
      </c>
      <c r="R1021" s="45">
        <f>IF(AND(H1021="Realizado",L1021&lt;&gt;""),L1021/60,0)</f>
        <v>0</v>
      </c>
    </row>
    <row r="1022">
      <c r="A1022" s="42" t="n"/>
      <c r="B1022" s="43" t="n"/>
      <c r="C1022" s="37" t="n"/>
      <c r="D1022" s="37" t="n"/>
      <c r="E1022" s="36" t="n"/>
      <c r="F1022" s="37" t="n"/>
      <c r="G1022" s="37" t="n"/>
      <c r="H1022" s="37" t="n"/>
      <c r="I1022" s="37" t="n"/>
      <c r="J1022" s="37" t="n"/>
      <c r="K1022" s="36" t="n"/>
      <c r="L1022" s="44">
        <f>IF(G1022="","",IFERROR(INDEX(Config!$K$5:$K$16,MATCH(G1022,Config!$J$5:$J$16,0)),""))</f>
        <v/>
      </c>
      <c r="M1022" s="30">
        <f>IF(OR(G1022="",F1022=""),"",IFERROR(INDEX(Config!$M$5:$R$16,MATCH(G1022,Config!$J$5:$J$16,0),MATCH(F1022,Config!$H$5:$H$10,0)),""))</f>
        <v/>
      </c>
      <c r="N1022" s="29">
        <f>IF(A1022="","",MONTH(A1022))</f>
        <v/>
      </c>
      <c r="O1022" s="29">
        <f>IF(A1022="","",YEAR(A1022))</f>
        <v/>
      </c>
      <c r="P1022" s="29">
        <f>IF(A1022="","",CHOOSE(WEEKDAY(A1022,2),"Segunda","Terça","Quarta","Quinta","Sexta","Sábado","Domingo"))</f>
        <v/>
      </c>
      <c r="Q1022" s="29">
        <f>IF(B1022="","",IF(B1022&lt;TIME(12,0,0),"Manhã",IF(B1022&lt;TIME(18,0,0),"Tarde","Noite")))</f>
        <v/>
      </c>
      <c r="R1022" s="45">
        <f>IF(AND(H1022="Realizado",L1022&lt;&gt;""),L1022/60,0)</f>
        <v>0</v>
      </c>
    </row>
    <row r="1023">
      <c r="A1023" s="42" t="n"/>
      <c r="B1023" s="43" t="n"/>
      <c r="C1023" s="37" t="n"/>
      <c r="D1023" s="37" t="n"/>
      <c r="E1023" s="36" t="n"/>
      <c r="F1023" s="37" t="n"/>
      <c r="G1023" s="37" t="n"/>
      <c r="H1023" s="37" t="n"/>
      <c r="I1023" s="37" t="n"/>
      <c r="J1023" s="37" t="n"/>
      <c r="K1023" s="36" t="n"/>
      <c r="L1023" s="44">
        <f>IF(G1023="","",IFERROR(INDEX(Config!$K$5:$K$16,MATCH(G1023,Config!$J$5:$J$16,0)),""))</f>
        <v/>
      </c>
      <c r="M1023" s="30">
        <f>IF(OR(G1023="",F1023=""),"",IFERROR(INDEX(Config!$M$5:$R$16,MATCH(G1023,Config!$J$5:$J$16,0),MATCH(F1023,Config!$H$5:$H$10,0)),""))</f>
        <v/>
      </c>
      <c r="N1023" s="29">
        <f>IF(A1023="","",MONTH(A1023))</f>
        <v/>
      </c>
      <c r="O1023" s="29">
        <f>IF(A1023="","",YEAR(A1023))</f>
        <v/>
      </c>
      <c r="P1023" s="29">
        <f>IF(A1023="","",CHOOSE(WEEKDAY(A1023,2),"Segunda","Terça","Quarta","Quinta","Sexta","Sábado","Domingo"))</f>
        <v/>
      </c>
      <c r="Q1023" s="29">
        <f>IF(B1023="","",IF(B1023&lt;TIME(12,0,0),"Manhã",IF(B1023&lt;TIME(18,0,0),"Tarde","Noite")))</f>
        <v/>
      </c>
      <c r="R1023" s="45">
        <f>IF(AND(H1023="Realizado",L1023&lt;&gt;""),L1023/60,0)</f>
        <v>0</v>
      </c>
    </row>
    <row r="1024">
      <c r="A1024" s="42" t="n"/>
      <c r="B1024" s="43" t="n"/>
      <c r="C1024" s="37" t="n"/>
      <c r="D1024" s="37" t="n"/>
      <c r="E1024" s="36" t="n"/>
      <c r="F1024" s="37" t="n"/>
      <c r="G1024" s="37" t="n"/>
      <c r="H1024" s="37" t="n"/>
      <c r="I1024" s="37" t="n"/>
      <c r="J1024" s="37" t="n"/>
      <c r="K1024" s="36" t="n"/>
      <c r="L1024" s="44">
        <f>IF(G1024="","",IFERROR(INDEX(Config!$K$5:$K$16,MATCH(G1024,Config!$J$5:$J$16,0)),""))</f>
        <v/>
      </c>
      <c r="M1024" s="30">
        <f>IF(OR(G1024="",F1024=""),"",IFERROR(INDEX(Config!$M$5:$R$16,MATCH(G1024,Config!$J$5:$J$16,0),MATCH(F1024,Config!$H$5:$H$10,0)),""))</f>
        <v/>
      </c>
      <c r="N1024" s="29">
        <f>IF(A1024="","",MONTH(A1024))</f>
        <v/>
      </c>
      <c r="O1024" s="29">
        <f>IF(A1024="","",YEAR(A1024))</f>
        <v/>
      </c>
      <c r="P1024" s="29">
        <f>IF(A1024="","",CHOOSE(WEEKDAY(A1024,2),"Segunda","Terça","Quarta","Quinta","Sexta","Sábado","Domingo"))</f>
        <v/>
      </c>
      <c r="Q1024" s="29">
        <f>IF(B1024="","",IF(B1024&lt;TIME(12,0,0),"Manhã",IF(B1024&lt;TIME(18,0,0),"Tarde","Noite")))</f>
        <v/>
      </c>
      <c r="R1024" s="45">
        <f>IF(AND(H1024="Realizado",L1024&lt;&gt;""),L1024/60,0)</f>
        <v>0</v>
      </c>
    </row>
    <row r="1025">
      <c r="A1025" s="42" t="n"/>
      <c r="B1025" s="43" t="n"/>
      <c r="C1025" s="37" t="n"/>
      <c r="D1025" s="37" t="n"/>
      <c r="E1025" s="36" t="n"/>
      <c r="F1025" s="37" t="n"/>
      <c r="G1025" s="37" t="n"/>
      <c r="H1025" s="37" t="n"/>
      <c r="I1025" s="37" t="n"/>
      <c r="J1025" s="37" t="n"/>
      <c r="K1025" s="36" t="n"/>
      <c r="L1025" s="44">
        <f>IF(G1025="","",IFERROR(INDEX(Config!$K$5:$K$16,MATCH(G1025,Config!$J$5:$J$16,0)),""))</f>
        <v/>
      </c>
      <c r="M1025" s="30">
        <f>IF(OR(G1025="",F1025=""),"",IFERROR(INDEX(Config!$M$5:$R$16,MATCH(G1025,Config!$J$5:$J$16,0),MATCH(F1025,Config!$H$5:$H$10,0)),""))</f>
        <v/>
      </c>
      <c r="N1025" s="29">
        <f>IF(A1025="","",MONTH(A1025))</f>
        <v/>
      </c>
      <c r="O1025" s="29">
        <f>IF(A1025="","",YEAR(A1025))</f>
        <v/>
      </c>
      <c r="P1025" s="29">
        <f>IF(A1025="","",CHOOSE(WEEKDAY(A1025,2),"Segunda","Terça","Quarta","Quinta","Sexta","Sábado","Domingo"))</f>
        <v/>
      </c>
      <c r="Q1025" s="29">
        <f>IF(B1025="","",IF(B1025&lt;TIME(12,0,0),"Manhã",IF(B1025&lt;TIME(18,0,0),"Tarde","Noite")))</f>
        <v/>
      </c>
      <c r="R1025" s="45">
        <f>IF(AND(H1025="Realizado",L1025&lt;&gt;""),L1025/60,0)</f>
        <v>0</v>
      </c>
    </row>
    <row r="1026">
      <c r="A1026" s="42" t="n"/>
      <c r="B1026" s="43" t="n"/>
      <c r="C1026" s="37" t="n"/>
      <c r="D1026" s="37" t="n"/>
      <c r="E1026" s="36" t="n"/>
      <c r="F1026" s="37" t="n"/>
      <c r="G1026" s="37" t="n"/>
      <c r="H1026" s="37" t="n"/>
      <c r="I1026" s="37" t="n"/>
      <c r="J1026" s="37" t="n"/>
      <c r="K1026" s="36" t="n"/>
      <c r="L1026" s="44">
        <f>IF(G1026="","",IFERROR(INDEX(Config!$K$5:$K$16,MATCH(G1026,Config!$J$5:$J$16,0)),""))</f>
        <v/>
      </c>
      <c r="M1026" s="30">
        <f>IF(OR(G1026="",F1026=""),"",IFERROR(INDEX(Config!$M$5:$R$16,MATCH(G1026,Config!$J$5:$J$16,0),MATCH(F1026,Config!$H$5:$H$10,0)),""))</f>
        <v/>
      </c>
      <c r="N1026" s="29">
        <f>IF(A1026="","",MONTH(A1026))</f>
        <v/>
      </c>
      <c r="O1026" s="29">
        <f>IF(A1026="","",YEAR(A1026))</f>
        <v/>
      </c>
      <c r="P1026" s="29">
        <f>IF(A1026="","",CHOOSE(WEEKDAY(A1026,2),"Segunda","Terça","Quarta","Quinta","Sexta","Sábado","Domingo"))</f>
        <v/>
      </c>
      <c r="Q1026" s="29">
        <f>IF(B1026="","",IF(B1026&lt;TIME(12,0,0),"Manhã",IF(B1026&lt;TIME(18,0,0),"Tarde","Noite")))</f>
        <v/>
      </c>
      <c r="R1026" s="45">
        <f>IF(AND(H1026="Realizado",L1026&lt;&gt;""),L1026/60,0)</f>
        <v>0</v>
      </c>
    </row>
    <row r="1027">
      <c r="A1027" s="42" t="n"/>
      <c r="B1027" s="43" t="n"/>
      <c r="C1027" s="37" t="n"/>
      <c r="D1027" s="37" t="n"/>
      <c r="E1027" s="36" t="n"/>
      <c r="F1027" s="37" t="n"/>
      <c r="G1027" s="37" t="n"/>
      <c r="H1027" s="37" t="n"/>
      <c r="I1027" s="37" t="n"/>
      <c r="J1027" s="37" t="n"/>
      <c r="K1027" s="36" t="n"/>
      <c r="L1027" s="44">
        <f>IF(G1027="","",IFERROR(INDEX(Config!$K$5:$K$16,MATCH(G1027,Config!$J$5:$J$16,0)),""))</f>
        <v/>
      </c>
      <c r="M1027" s="30">
        <f>IF(OR(G1027="",F1027=""),"",IFERROR(INDEX(Config!$M$5:$R$16,MATCH(G1027,Config!$J$5:$J$16,0),MATCH(F1027,Config!$H$5:$H$10,0)),""))</f>
        <v/>
      </c>
      <c r="N1027" s="29">
        <f>IF(A1027="","",MONTH(A1027))</f>
        <v/>
      </c>
      <c r="O1027" s="29">
        <f>IF(A1027="","",YEAR(A1027))</f>
        <v/>
      </c>
      <c r="P1027" s="29">
        <f>IF(A1027="","",CHOOSE(WEEKDAY(A1027,2),"Segunda","Terça","Quarta","Quinta","Sexta","Sábado","Domingo"))</f>
        <v/>
      </c>
      <c r="Q1027" s="29">
        <f>IF(B1027="","",IF(B1027&lt;TIME(12,0,0),"Manhã",IF(B1027&lt;TIME(18,0,0),"Tarde","Noite")))</f>
        <v/>
      </c>
      <c r="R1027" s="45">
        <f>IF(AND(H1027="Realizado",L1027&lt;&gt;""),L1027/60,0)</f>
        <v>0</v>
      </c>
    </row>
    <row r="1028">
      <c r="A1028" s="42" t="n"/>
      <c r="B1028" s="43" t="n"/>
      <c r="C1028" s="37" t="n"/>
      <c r="D1028" s="37" t="n"/>
      <c r="E1028" s="36" t="n"/>
      <c r="F1028" s="37" t="n"/>
      <c r="G1028" s="37" t="n"/>
      <c r="H1028" s="37" t="n"/>
      <c r="I1028" s="37" t="n"/>
      <c r="J1028" s="37" t="n"/>
      <c r="K1028" s="36" t="n"/>
      <c r="L1028" s="44">
        <f>IF(G1028="","",IFERROR(INDEX(Config!$K$5:$K$16,MATCH(G1028,Config!$J$5:$J$16,0)),""))</f>
        <v/>
      </c>
      <c r="M1028" s="30">
        <f>IF(OR(G1028="",F1028=""),"",IFERROR(INDEX(Config!$M$5:$R$16,MATCH(G1028,Config!$J$5:$J$16,0),MATCH(F1028,Config!$H$5:$H$10,0)),""))</f>
        <v/>
      </c>
      <c r="N1028" s="29">
        <f>IF(A1028="","",MONTH(A1028))</f>
        <v/>
      </c>
      <c r="O1028" s="29">
        <f>IF(A1028="","",YEAR(A1028))</f>
        <v/>
      </c>
      <c r="P1028" s="29">
        <f>IF(A1028="","",CHOOSE(WEEKDAY(A1028,2),"Segunda","Terça","Quarta","Quinta","Sexta","Sábado","Domingo"))</f>
        <v/>
      </c>
      <c r="Q1028" s="29">
        <f>IF(B1028="","",IF(B1028&lt;TIME(12,0,0),"Manhã",IF(B1028&lt;TIME(18,0,0),"Tarde","Noite")))</f>
        <v/>
      </c>
      <c r="R1028" s="45">
        <f>IF(AND(H1028="Realizado",L1028&lt;&gt;""),L1028/60,0)</f>
        <v>0</v>
      </c>
    </row>
    <row r="1029">
      <c r="A1029" s="42" t="n"/>
      <c r="B1029" s="43" t="n"/>
      <c r="C1029" s="37" t="n"/>
      <c r="D1029" s="37" t="n"/>
      <c r="E1029" s="36" t="n"/>
      <c r="F1029" s="37" t="n"/>
      <c r="G1029" s="37" t="n"/>
      <c r="H1029" s="37" t="n"/>
      <c r="I1029" s="37" t="n"/>
      <c r="J1029" s="37" t="n"/>
      <c r="K1029" s="36" t="n"/>
      <c r="L1029" s="44">
        <f>IF(G1029="","",IFERROR(INDEX(Config!$K$5:$K$16,MATCH(G1029,Config!$J$5:$J$16,0)),""))</f>
        <v/>
      </c>
      <c r="M1029" s="30">
        <f>IF(OR(G1029="",F1029=""),"",IFERROR(INDEX(Config!$M$5:$R$16,MATCH(G1029,Config!$J$5:$J$16,0),MATCH(F1029,Config!$H$5:$H$10,0)),""))</f>
        <v/>
      </c>
      <c r="N1029" s="29">
        <f>IF(A1029="","",MONTH(A1029))</f>
        <v/>
      </c>
      <c r="O1029" s="29">
        <f>IF(A1029="","",YEAR(A1029))</f>
        <v/>
      </c>
      <c r="P1029" s="29">
        <f>IF(A1029="","",CHOOSE(WEEKDAY(A1029,2),"Segunda","Terça","Quarta","Quinta","Sexta","Sábado","Domingo"))</f>
        <v/>
      </c>
      <c r="Q1029" s="29">
        <f>IF(B1029="","",IF(B1029&lt;TIME(12,0,0),"Manhã",IF(B1029&lt;TIME(18,0,0),"Tarde","Noite")))</f>
        <v/>
      </c>
      <c r="R1029" s="45">
        <f>IF(AND(H1029="Realizado",L1029&lt;&gt;""),L1029/60,0)</f>
        <v>0</v>
      </c>
    </row>
    <row r="1030">
      <c r="A1030" s="42" t="n"/>
      <c r="B1030" s="43" t="n"/>
      <c r="C1030" s="37" t="n"/>
      <c r="D1030" s="37" t="n"/>
      <c r="E1030" s="36" t="n"/>
      <c r="F1030" s="37" t="n"/>
      <c r="G1030" s="37" t="n"/>
      <c r="H1030" s="37" t="n"/>
      <c r="I1030" s="37" t="n"/>
      <c r="J1030" s="37" t="n"/>
      <c r="K1030" s="36" t="n"/>
      <c r="L1030" s="44">
        <f>IF(G1030="","",IFERROR(INDEX(Config!$K$5:$K$16,MATCH(G1030,Config!$J$5:$J$16,0)),""))</f>
        <v/>
      </c>
      <c r="M1030" s="30">
        <f>IF(OR(G1030="",F1030=""),"",IFERROR(INDEX(Config!$M$5:$R$16,MATCH(G1030,Config!$J$5:$J$16,0),MATCH(F1030,Config!$H$5:$H$10,0)),""))</f>
        <v/>
      </c>
      <c r="N1030" s="29">
        <f>IF(A1030="","",MONTH(A1030))</f>
        <v/>
      </c>
      <c r="O1030" s="29">
        <f>IF(A1030="","",YEAR(A1030))</f>
        <v/>
      </c>
      <c r="P1030" s="29">
        <f>IF(A1030="","",CHOOSE(WEEKDAY(A1030,2),"Segunda","Terça","Quarta","Quinta","Sexta","Sábado","Domingo"))</f>
        <v/>
      </c>
      <c r="Q1030" s="29">
        <f>IF(B1030="","",IF(B1030&lt;TIME(12,0,0),"Manhã",IF(B1030&lt;TIME(18,0,0),"Tarde","Noite")))</f>
        <v/>
      </c>
      <c r="R1030" s="45">
        <f>IF(AND(H1030="Realizado",L1030&lt;&gt;""),L1030/60,0)</f>
        <v>0</v>
      </c>
    </row>
    <row r="1031">
      <c r="A1031" s="42" t="n"/>
      <c r="B1031" s="43" t="n"/>
      <c r="C1031" s="37" t="n"/>
      <c r="D1031" s="37" t="n"/>
      <c r="E1031" s="36" t="n"/>
      <c r="F1031" s="37" t="n"/>
      <c r="G1031" s="37" t="n"/>
      <c r="H1031" s="37" t="n"/>
      <c r="I1031" s="37" t="n"/>
      <c r="J1031" s="37" t="n"/>
      <c r="K1031" s="36" t="n"/>
      <c r="L1031" s="44">
        <f>IF(G1031="","",IFERROR(INDEX(Config!$K$5:$K$16,MATCH(G1031,Config!$J$5:$J$16,0)),""))</f>
        <v/>
      </c>
      <c r="M1031" s="30">
        <f>IF(OR(G1031="",F1031=""),"",IFERROR(INDEX(Config!$M$5:$R$16,MATCH(G1031,Config!$J$5:$J$16,0),MATCH(F1031,Config!$H$5:$H$10,0)),""))</f>
        <v/>
      </c>
      <c r="N1031" s="29">
        <f>IF(A1031="","",MONTH(A1031))</f>
        <v/>
      </c>
      <c r="O1031" s="29">
        <f>IF(A1031="","",YEAR(A1031))</f>
        <v/>
      </c>
      <c r="P1031" s="29">
        <f>IF(A1031="","",CHOOSE(WEEKDAY(A1031,2),"Segunda","Terça","Quarta","Quinta","Sexta","Sábado","Domingo"))</f>
        <v/>
      </c>
      <c r="Q1031" s="29">
        <f>IF(B1031="","",IF(B1031&lt;TIME(12,0,0),"Manhã",IF(B1031&lt;TIME(18,0,0),"Tarde","Noite")))</f>
        <v/>
      </c>
      <c r="R1031" s="45">
        <f>IF(AND(H1031="Realizado",L1031&lt;&gt;""),L1031/60,0)</f>
        <v>0</v>
      </c>
    </row>
    <row r="1032">
      <c r="A1032" s="42" t="n"/>
      <c r="B1032" s="43" t="n"/>
      <c r="C1032" s="37" t="n"/>
      <c r="D1032" s="37" t="n"/>
      <c r="E1032" s="36" t="n"/>
      <c r="F1032" s="37" t="n"/>
      <c r="G1032" s="37" t="n"/>
      <c r="H1032" s="37" t="n"/>
      <c r="I1032" s="37" t="n"/>
      <c r="J1032" s="37" t="n"/>
      <c r="K1032" s="36" t="n"/>
      <c r="L1032" s="44">
        <f>IF(G1032="","",IFERROR(INDEX(Config!$K$5:$K$16,MATCH(G1032,Config!$J$5:$J$16,0)),""))</f>
        <v/>
      </c>
      <c r="M1032" s="30">
        <f>IF(OR(G1032="",F1032=""),"",IFERROR(INDEX(Config!$M$5:$R$16,MATCH(G1032,Config!$J$5:$J$16,0),MATCH(F1032,Config!$H$5:$H$10,0)),""))</f>
        <v/>
      </c>
      <c r="N1032" s="29">
        <f>IF(A1032="","",MONTH(A1032))</f>
        <v/>
      </c>
      <c r="O1032" s="29">
        <f>IF(A1032="","",YEAR(A1032))</f>
        <v/>
      </c>
      <c r="P1032" s="29">
        <f>IF(A1032="","",CHOOSE(WEEKDAY(A1032,2),"Segunda","Terça","Quarta","Quinta","Sexta","Sábado","Domingo"))</f>
        <v/>
      </c>
      <c r="Q1032" s="29">
        <f>IF(B1032="","",IF(B1032&lt;TIME(12,0,0),"Manhã",IF(B1032&lt;TIME(18,0,0),"Tarde","Noite")))</f>
        <v/>
      </c>
      <c r="R1032" s="45">
        <f>IF(AND(H1032="Realizado",L1032&lt;&gt;""),L1032/60,0)</f>
        <v>0</v>
      </c>
    </row>
    <row r="1033">
      <c r="A1033" s="42" t="n"/>
      <c r="B1033" s="43" t="n"/>
      <c r="C1033" s="37" t="n"/>
      <c r="D1033" s="37" t="n"/>
      <c r="E1033" s="36" t="n"/>
      <c r="F1033" s="37" t="n"/>
      <c r="G1033" s="37" t="n"/>
      <c r="H1033" s="37" t="n"/>
      <c r="I1033" s="37" t="n"/>
      <c r="J1033" s="37" t="n"/>
      <c r="K1033" s="36" t="n"/>
      <c r="L1033" s="44">
        <f>IF(G1033="","",IFERROR(INDEX(Config!$K$5:$K$16,MATCH(G1033,Config!$J$5:$J$16,0)),""))</f>
        <v/>
      </c>
      <c r="M1033" s="30">
        <f>IF(OR(G1033="",F1033=""),"",IFERROR(INDEX(Config!$M$5:$R$16,MATCH(G1033,Config!$J$5:$J$16,0),MATCH(F1033,Config!$H$5:$H$10,0)),""))</f>
        <v/>
      </c>
      <c r="N1033" s="29">
        <f>IF(A1033="","",MONTH(A1033))</f>
        <v/>
      </c>
      <c r="O1033" s="29">
        <f>IF(A1033="","",YEAR(A1033))</f>
        <v/>
      </c>
      <c r="P1033" s="29">
        <f>IF(A1033="","",CHOOSE(WEEKDAY(A1033,2),"Segunda","Terça","Quarta","Quinta","Sexta","Sábado","Domingo"))</f>
        <v/>
      </c>
      <c r="Q1033" s="29">
        <f>IF(B1033="","",IF(B1033&lt;TIME(12,0,0),"Manhã",IF(B1033&lt;TIME(18,0,0),"Tarde","Noite")))</f>
        <v/>
      </c>
      <c r="R1033" s="45">
        <f>IF(AND(H1033="Realizado",L1033&lt;&gt;""),L1033/60,0)</f>
        <v>0</v>
      </c>
    </row>
    <row r="1034">
      <c r="A1034" s="42" t="n"/>
      <c r="B1034" s="43" t="n"/>
      <c r="C1034" s="37" t="n"/>
      <c r="D1034" s="37" t="n"/>
      <c r="E1034" s="36" t="n"/>
      <c r="F1034" s="37" t="n"/>
      <c r="G1034" s="37" t="n"/>
      <c r="H1034" s="37" t="n"/>
      <c r="I1034" s="37" t="n"/>
      <c r="J1034" s="37" t="n"/>
      <c r="K1034" s="36" t="n"/>
      <c r="L1034" s="44">
        <f>IF(G1034="","",IFERROR(INDEX(Config!$K$5:$K$16,MATCH(G1034,Config!$J$5:$J$16,0)),""))</f>
        <v/>
      </c>
      <c r="M1034" s="30">
        <f>IF(OR(G1034="",F1034=""),"",IFERROR(INDEX(Config!$M$5:$R$16,MATCH(G1034,Config!$J$5:$J$16,0),MATCH(F1034,Config!$H$5:$H$10,0)),""))</f>
        <v/>
      </c>
      <c r="N1034" s="29">
        <f>IF(A1034="","",MONTH(A1034))</f>
        <v/>
      </c>
      <c r="O1034" s="29">
        <f>IF(A1034="","",YEAR(A1034))</f>
        <v/>
      </c>
      <c r="P1034" s="29">
        <f>IF(A1034="","",CHOOSE(WEEKDAY(A1034,2),"Segunda","Terça","Quarta","Quinta","Sexta","Sábado","Domingo"))</f>
        <v/>
      </c>
      <c r="Q1034" s="29">
        <f>IF(B1034="","",IF(B1034&lt;TIME(12,0,0),"Manhã",IF(B1034&lt;TIME(18,0,0),"Tarde","Noite")))</f>
        <v/>
      </c>
      <c r="R1034" s="45">
        <f>IF(AND(H1034="Realizado",L1034&lt;&gt;""),L1034/60,0)</f>
        <v>0</v>
      </c>
    </row>
    <row r="1035">
      <c r="A1035" s="42" t="n"/>
      <c r="B1035" s="43" t="n"/>
      <c r="C1035" s="37" t="n"/>
      <c r="D1035" s="37" t="n"/>
      <c r="E1035" s="36" t="n"/>
      <c r="F1035" s="37" t="n"/>
      <c r="G1035" s="37" t="n"/>
      <c r="H1035" s="37" t="n"/>
      <c r="I1035" s="37" t="n"/>
      <c r="J1035" s="37" t="n"/>
      <c r="K1035" s="36" t="n"/>
      <c r="L1035" s="44">
        <f>IF(G1035="","",IFERROR(INDEX(Config!$K$5:$K$16,MATCH(G1035,Config!$J$5:$J$16,0)),""))</f>
        <v/>
      </c>
      <c r="M1035" s="30">
        <f>IF(OR(G1035="",F1035=""),"",IFERROR(INDEX(Config!$M$5:$R$16,MATCH(G1035,Config!$J$5:$J$16,0),MATCH(F1035,Config!$H$5:$H$10,0)),""))</f>
        <v/>
      </c>
      <c r="N1035" s="29">
        <f>IF(A1035="","",MONTH(A1035))</f>
        <v/>
      </c>
      <c r="O1035" s="29">
        <f>IF(A1035="","",YEAR(A1035))</f>
        <v/>
      </c>
      <c r="P1035" s="29">
        <f>IF(A1035="","",CHOOSE(WEEKDAY(A1035,2),"Segunda","Terça","Quarta","Quinta","Sexta","Sábado","Domingo"))</f>
        <v/>
      </c>
      <c r="Q1035" s="29">
        <f>IF(B1035="","",IF(B1035&lt;TIME(12,0,0),"Manhã",IF(B1035&lt;TIME(18,0,0),"Tarde","Noite")))</f>
        <v/>
      </c>
      <c r="R1035" s="45">
        <f>IF(AND(H1035="Realizado",L1035&lt;&gt;""),L1035/60,0)</f>
        <v>0</v>
      </c>
    </row>
    <row r="1036">
      <c r="A1036" s="42" t="n"/>
      <c r="B1036" s="43" t="n"/>
      <c r="C1036" s="37" t="n"/>
      <c r="D1036" s="37" t="n"/>
      <c r="E1036" s="36" t="n"/>
      <c r="F1036" s="37" t="n"/>
      <c r="G1036" s="37" t="n"/>
      <c r="H1036" s="37" t="n"/>
      <c r="I1036" s="37" t="n"/>
      <c r="J1036" s="37" t="n"/>
      <c r="K1036" s="36" t="n"/>
      <c r="L1036" s="44">
        <f>IF(G1036="","",IFERROR(INDEX(Config!$K$5:$K$16,MATCH(G1036,Config!$J$5:$J$16,0)),""))</f>
        <v/>
      </c>
      <c r="M1036" s="30">
        <f>IF(OR(G1036="",F1036=""),"",IFERROR(INDEX(Config!$M$5:$R$16,MATCH(G1036,Config!$J$5:$J$16,0),MATCH(F1036,Config!$H$5:$H$10,0)),""))</f>
        <v/>
      </c>
      <c r="N1036" s="29">
        <f>IF(A1036="","",MONTH(A1036))</f>
        <v/>
      </c>
      <c r="O1036" s="29">
        <f>IF(A1036="","",YEAR(A1036))</f>
        <v/>
      </c>
      <c r="P1036" s="29">
        <f>IF(A1036="","",CHOOSE(WEEKDAY(A1036,2),"Segunda","Terça","Quarta","Quinta","Sexta","Sábado","Domingo"))</f>
        <v/>
      </c>
      <c r="Q1036" s="29">
        <f>IF(B1036="","",IF(B1036&lt;TIME(12,0,0),"Manhã",IF(B1036&lt;TIME(18,0,0),"Tarde","Noite")))</f>
        <v/>
      </c>
      <c r="R1036" s="45">
        <f>IF(AND(H1036="Realizado",L1036&lt;&gt;""),L1036/60,0)</f>
        <v>0</v>
      </c>
    </row>
    <row r="1037">
      <c r="A1037" s="42" t="n"/>
      <c r="B1037" s="43" t="n"/>
      <c r="C1037" s="37" t="n"/>
      <c r="D1037" s="37" t="n"/>
      <c r="E1037" s="36" t="n"/>
      <c r="F1037" s="37" t="n"/>
      <c r="G1037" s="37" t="n"/>
      <c r="H1037" s="37" t="n"/>
      <c r="I1037" s="37" t="n"/>
      <c r="J1037" s="37" t="n"/>
      <c r="K1037" s="36" t="n"/>
      <c r="L1037" s="44">
        <f>IF(G1037="","",IFERROR(INDEX(Config!$K$5:$K$16,MATCH(G1037,Config!$J$5:$J$16,0)),""))</f>
        <v/>
      </c>
      <c r="M1037" s="30">
        <f>IF(OR(G1037="",F1037=""),"",IFERROR(INDEX(Config!$M$5:$R$16,MATCH(G1037,Config!$J$5:$J$16,0),MATCH(F1037,Config!$H$5:$H$10,0)),""))</f>
        <v/>
      </c>
      <c r="N1037" s="29">
        <f>IF(A1037="","",MONTH(A1037))</f>
        <v/>
      </c>
      <c r="O1037" s="29">
        <f>IF(A1037="","",YEAR(A1037))</f>
        <v/>
      </c>
      <c r="P1037" s="29">
        <f>IF(A1037="","",CHOOSE(WEEKDAY(A1037,2),"Segunda","Terça","Quarta","Quinta","Sexta","Sábado","Domingo"))</f>
        <v/>
      </c>
      <c r="Q1037" s="29">
        <f>IF(B1037="","",IF(B1037&lt;TIME(12,0,0),"Manhã",IF(B1037&lt;TIME(18,0,0),"Tarde","Noite")))</f>
        <v/>
      </c>
      <c r="R1037" s="45">
        <f>IF(AND(H1037="Realizado",L1037&lt;&gt;""),L1037/60,0)</f>
        <v>0</v>
      </c>
    </row>
    <row r="1038">
      <c r="A1038" s="42" t="n"/>
      <c r="B1038" s="43" t="n"/>
      <c r="C1038" s="37" t="n"/>
      <c r="D1038" s="37" t="n"/>
      <c r="E1038" s="36" t="n"/>
      <c r="F1038" s="37" t="n"/>
      <c r="G1038" s="37" t="n"/>
      <c r="H1038" s="37" t="n"/>
      <c r="I1038" s="37" t="n"/>
      <c r="J1038" s="37" t="n"/>
      <c r="K1038" s="36" t="n"/>
      <c r="L1038" s="44">
        <f>IF(G1038="","",IFERROR(INDEX(Config!$K$5:$K$16,MATCH(G1038,Config!$J$5:$J$16,0)),""))</f>
        <v/>
      </c>
      <c r="M1038" s="30">
        <f>IF(OR(G1038="",F1038=""),"",IFERROR(INDEX(Config!$M$5:$R$16,MATCH(G1038,Config!$J$5:$J$16,0),MATCH(F1038,Config!$H$5:$H$10,0)),""))</f>
        <v/>
      </c>
      <c r="N1038" s="29">
        <f>IF(A1038="","",MONTH(A1038))</f>
        <v/>
      </c>
      <c r="O1038" s="29">
        <f>IF(A1038="","",YEAR(A1038))</f>
        <v/>
      </c>
      <c r="P1038" s="29">
        <f>IF(A1038="","",CHOOSE(WEEKDAY(A1038,2),"Segunda","Terça","Quarta","Quinta","Sexta","Sábado","Domingo"))</f>
        <v/>
      </c>
      <c r="Q1038" s="29">
        <f>IF(B1038="","",IF(B1038&lt;TIME(12,0,0),"Manhã",IF(B1038&lt;TIME(18,0,0),"Tarde","Noite")))</f>
        <v/>
      </c>
      <c r="R1038" s="45">
        <f>IF(AND(H1038="Realizado",L1038&lt;&gt;""),L1038/60,0)</f>
        <v>0</v>
      </c>
    </row>
    <row r="1039">
      <c r="A1039" s="42" t="n"/>
      <c r="B1039" s="43" t="n"/>
      <c r="C1039" s="37" t="n"/>
      <c r="D1039" s="37" t="n"/>
      <c r="E1039" s="36" t="n"/>
      <c r="F1039" s="37" t="n"/>
      <c r="G1039" s="37" t="n"/>
      <c r="H1039" s="37" t="n"/>
      <c r="I1039" s="37" t="n"/>
      <c r="J1039" s="37" t="n"/>
      <c r="K1039" s="36" t="n"/>
      <c r="L1039" s="44">
        <f>IF(G1039="","",IFERROR(INDEX(Config!$K$5:$K$16,MATCH(G1039,Config!$J$5:$J$16,0)),""))</f>
        <v/>
      </c>
      <c r="M1039" s="30">
        <f>IF(OR(G1039="",F1039=""),"",IFERROR(INDEX(Config!$M$5:$R$16,MATCH(G1039,Config!$J$5:$J$16,0),MATCH(F1039,Config!$H$5:$H$10,0)),""))</f>
        <v/>
      </c>
      <c r="N1039" s="29">
        <f>IF(A1039="","",MONTH(A1039))</f>
        <v/>
      </c>
      <c r="O1039" s="29">
        <f>IF(A1039="","",YEAR(A1039))</f>
        <v/>
      </c>
      <c r="P1039" s="29">
        <f>IF(A1039="","",CHOOSE(WEEKDAY(A1039,2),"Segunda","Terça","Quarta","Quinta","Sexta","Sábado","Domingo"))</f>
        <v/>
      </c>
      <c r="Q1039" s="29">
        <f>IF(B1039="","",IF(B1039&lt;TIME(12,0,0),"Manhã",IF(B1039&lt;TIME(18,0,0),"Tarde","Noite")))</f>
        <v/>
      </c>
      <c r="R1039" s="45">
        <f>IF(AND(H1039="Realizado",L1039&lt;&gt;""),L1039/60,0)</f>
        <v>0</v>
      </c>
    </row>
    <row r="1040">
      <c r="A1040" s="42" t="n"/>
      <c r="B1040" s="43" t="n"/>
      <c r="C1040" s="37" t="n"/>
      <c r="D1040" s="37" t="n"/>
      <c r="E1040" s="36" t="n"/>
      <c r="F1040" s="37" t="n"/>
      <c r="G1040" s="37" t="n"/>
      <c r="H1040" s="37" t="n"/>
      <c r="I1040" s="37" t="n"/>
      <c r="J1040" s="37" t="n"/>
      <c r="K1040" s="36" t="n"/>
      <c r="L1040" s="44">
        <f>IF(G1040="","",IFERROR(INDEX(Config!$K$5:$K$16,MATCH(G1040,Config!$J$5:$J$16,0)),""))</f>
        <v/>
      </c>
      <c r="M1040" s="30">
        <f>IF(OR(G1040="",F1040=""),"",IFERROR(INDEX(Config!$M$5:$R$16,MATCH(G1040,Config!$J$5:$J$16,0),MATCH(F1040,Config!$H$5:$H$10,0)),""))</f>
        <v/>
      </c>
      <c r="N1040" s="29">
        <f>IF(A1040="","",MONTH(A1040))</f>
        <v/>
      </c>
      <c r="O1040" s="29">
        <f>IF(A1040="","",YEAR(A1040))</f>
        <v/>
      </c>
      <c r="P1040" s="29">
        <f>IF(A1040="","",CHOOSE(WEEKDAY(A1040,2),"Segunda","Terça","Quarta","Quinta","Sexta","Sábado","Domingo"))</f>
        <v/>
      </c>
      <c r="Q1040" s="29">
        <f>IF(B1040="","",IF(B1040&lt;TIME(12,0,0),"Manhã",IF(B1040&lt;TIME(18,0,0),"Tarde","Noite")))</f>
        <v/>
      </c>
      <c r="R1040" s="45">
        <f>IF(AND(H1040="Realizado",L1040&lt;&gt;""),L1040/60,0)</f>
        <v>0</v>
      </c>
    </row>
    <row r="1041">
      <c r="A1041" s="42" t="n"/>
      <c r="B1041" s="43" t="n"/>
      <c r="C1041" s="37" t="n"/>
      <c r="D1041" s="37" t="n"/>
      <c r="E1041" s="36" t="n"/>
      <c r="F1041" s="37" t="n"/>
      <c r="G1041" s="37" t="n"/>
      <c r="H1041" s="37" t="n"/>
      <c r="I1041" s="37" t="n"/>
      <c r="J1041" s="37" t="n"/>
      <c r="K1041" s="36" t="n"/>
      <c r="L1041" s="44">
        <f>IF(G1041="","",IFERROR(INDEX(Config!$K$5:$K$16,MATCH(G1041,Config!$J$5:$J$16,0)),""))</f>
        <v/>
      </c>
      <c r="M1041" s="30">
        <f>IF(OR(G1041="",F1041=""),"",IFERROR(INDEX(Config!$M$5:$R$16,MATCH(G1041,Config!$J$5:$J$16,0),MATCH(F1041,Config!$H$5:$H$10,0)),""))</f>
        <v/>
      </c>
      <c r="N1041" s="29">
        <f>IF(A1041="","",MONTH(A1041))</f>
        <v/>
      </c>
      <c r="O1041" s="29">
        <f>IF(A1041="","",YEAR(A1041))</f>
        <v/>
      </c>
      <c r="P1041" s="29">
        <f>IF(A1041="","",CHOOSE(WEEKDAY(A1041,2),"Segunda","Terça","Quarta","Quinta","Sexta","Sábado","Domingo"))</f>
        <v/>
      </c>
      <c r="Q1041" s="29">
        <f>IF(B1041="","",IF(B1041&lt;TIME(12,0,0),"Manhã",IF(B1041&lt;TIME(18,0,0),"Tarde","Noite")))</f>
        <v/>
      </c>
      <c r="R1041" s="45">
        <f>IF(AND(H1041="Realizado",L1041&lt;&gt;""),L1041/60,0)</f>
        <v>0</v>
      </c>
    </row>
    <row r="1042">
      <c r="A1042" s="42" t="n"/>
      <c r="B1042" s="43" t="n"/>
      <c r="C1042" s="37" t="n"/>
      <c r="D1042" s="37" t="n"/>
      <c r="E1042" s="36" t="n"/>
      <c r="F1042" s="37" t="n"/>
      <c r="G1042" s="37" t="n"/>
      <c r="H1042" s="37" t="n"/>
      <c r="I1042" s="37" t="n"/>
      <c r="J1042" s="37" t="n"/>
      <c r="K1042" s="36" t="n"/>
      <c r="L1042" s="44">
        <f>IF(G1042="","",IFERROR(INDEX(Config!$K$5:$K$16,MATCH(G1042,Config!$J$5:$J$16,0)),""))</f>
        <v/>
      </c>
      <c r="M1042" s="30">
        <f>IF(OR(G1042="",F1042=""),"",IFERROR(INDEX(Config!$M$5:$R$16,MATCH(G1042,Config!$J$5:$J$16,0),MATCH(F1042,Config!$H$5:$H$10,0)),""))</f>
        <v/>
      </c>
      <c r="N1042" s="29">
        <f>IF(A1042="","",MONTH(A1042))</f>
        <v/>
      </c>
      <c r="O1042" s="29">
        <f>IF(A1042="","",YEAR(A1042))</f>
        <v/>
      </c>
      <c r="P1042" s="29">
        <f>IF(A1042="","",CHOOSE(WEEKDAY(A1042,2),"Segunda","Terça","Quarta","Quinta","Sexta","Sábado","Domingo"))</f>
        <v/>
      </c>
      <c r="Q1042" s="29">
        <f>IF(B1042="","",IF(B1042&lt;TIME(12,0,0),"Manhã",IF(B1042&lt;TIME(18,0,0),"Tarde","Noite")))</f>
        <v/>
      </c>
      <c r="R1042" s="45">
        <f>IF(AND(H1042="Realizado",L1042&lt;&gt;""),L1042/60,0)</f>
        <v>0</v>
      </c>
    </row>
    <row r="1043">
      <c r="A1043" s="42" t="n"/>
      <c r="B1043" s="43" t="n"/>
      <c r="C1043" s="37" t="n"/>
      <c r="D1043" s="37" t="n"/>
      <c r="E1043" s="36" t="n"/>
      <c r="F1043" s="37" t="n"/>
      <c r="G1043" s="37" t="n"/>
      <c r="H1043" s="37" t="n"/>
      <c r="I1043" s="37" t="n"/>
      <c r="J1043" s="37" t="n"/>
      <c r="K1043" s="36" t="n"/>
      <c r="L1043" s="44">
        <f>IF(G1043="","",IFERROR(INDEX(Config!$K$5:$K$16,MATCH(G1043,Config!$J$5:$J$16,0)),""))</f>
        <v/>
      </c>
      <c r="M1043" s="30">
        <f>IF(OR(G1043="",F1043=""),"",IFERROR(INDEX(Config!$M$5:$R$16,MATCH(G1043,Config!$J$5:$J$16,0),MATCH(F1043,Config!$H$5:$H$10,0)),""))</f>
        <v/>
      </c>
      <c r="N1043" s="29">
        <f>IF(A1043="","",MONTH(A1043))</f>
        <v/>
      </c>
      <c r="O1043" s="29">
        <f>IF(A1043="","",YEAR(A1043))</f>
        <v/>
      </c>
      <c r="P1043" s="29">
        <f>IF(A1043="","",CHOOSE(WEEKDAY(A1043,2),"Segunda","Terça","Quarta","Quinta","Sexta","Sábado","Domingo"))</f>
        <v/>
      </c>
      <c r="Q1043" s="29">
        <f>IF(B1043="","",IF(B1043&lt;TIME(12,0,0),"Manhã",IF(B1043&lt;TIME(18,0,0),"Tarde","Noite")))</f>
        <v/>
      </c>
      <c r="R1043" s="45">
        <f>IF(AND(H1043="Realizado",L1043&lt;&gt;""),L1043/60,0)</f>
        <v>0</v>
      </c>
    </row>
    <row r="1044">
      <c r="A1044" s="42" t="n"/>
      <c r="B1044" s="43" t="n"/>
      <c r="C1044" s="37" t="n"/>
      <c r="D1044" s="37" t="n"/>
      <c r="E1044" s="36" t="n"/>
      <c r="F1044" s="37" t="n"/>
      <c r="G1044" s="37" t="n"/>
      <c r="H1044" s="37" t="n"/>
      <c r="I1044" s="37" t="n"/>
      <c r="J1044" s="37" t="n"/>
      <c r="K1044" s="36" t="n"/>
      <c r="L1044" s="44">
        <f>IF(G1044="","",IFERROR(INDEX(Config!$K$5:$K$16,MATCH(G1044,Config!$J$5:$J$16,0)),""))</f>
        <v/>
      </c>
      <c r="M1044" s="30">
        <f>IF(OR(G1044="",F1044=""),"",IFERROR(INDEX(Config!$M$5:$R$16,MATCH(G1044,Config!$J$5:$J$16,0),MATCH(F1044,Config!$H$5:$H$10,0)),""))</f>
        <v/>
      </c>
      <c r="N1044" s="29">
        <f>IF(A1044="","",MONTH(A1044))</f>
        <v/>
      </c>
      <c r="O1044" s="29">
        <f>IF(A1044="","",YEAR(A1044))</f>
        <v/>
      </c>
      <c r="P1044" s="29">
        <f>IF(A1044="","",CHOOSE(WEEKDAY(A1044,2),"Segunda","Terça","Quarta","Quinta","Sexta","Sábado","Domingo"))</f>
        <v/>
      </c>
      <c r="Q1044" s="29">
        <f>IF(B1044="","",IF(B1044&lt;TIME(12,0,0),"Manhã",IF(B1044&lt;TIME(18,0,0),"Tarde","Noite")))</f>
        <v/>
      </c>
      <c r="R1044" s="45">
        <f>IF(AND(H1044="Realizado",L1044&lt;&gt;""),L1044/60,0)</f>
        <v>0</v>
      </c>
    </row>
    <row r="1045">
      <c r="A1045" s="42" t="n"/>
      <c r="B1045" s="43" t="n"/>
      <c r="C1045" s="37" t="n"/>
      <c r="D1045" s="37" t="n"/>
      <c r="E1045" s="36" t="n"/>
      <c r="F1045" s="37" t="n"/>
      <c r="G1045" s="37" t="n"/>
      <c r="H1045" s="37" t="n"/>
      <c r="I1045" s="37" t="n"/>
      <c r="J1045" s="37" t="n"/>
      <c r="K1045" s="36" t="n"/>
      <c r="L1045" s="44">
        <f>IF(G1045="","",IFERROR(INDEX(Config!$K$5:$K$16,MATCH(G1045,Config!$J$5:$J$16,0)),""))</f>
        <v/>
      </c>
      <c r="M1045" s="30">
        <f>IF(OR(G1045="",F1045=""),"",IFERROR(INDEX(Config!$M$5:$R$16,MATCH(G1045,Config!$J$5:$J$16,0),MATCH(F1045,Config!$H$5:$H$10,0)),""))</f>
        <v/>
      </c>
      <c r="N1045" s="29">
        <f>IF(A1045="","",MONTH(A1045))</f>
        <v/>
      </c>
      <c r="O1045" s="29">
        <f>IF(A1045="","",YEAR(A1045))</f>
        <v/>
      </c>
      <c r="P1045" s="29">
        <f>IF(A1045="","",CHOOSE(WEEKDAY(A1045,2),"Segunda","Terça","Quarta","Quinta","Sexta","Sábado","Domingo"))</f>
        <v/>
      </c>
      <c r="Q1045" s="29">
        <f>IF(B1045="","",IF(B1045&lt;TIME(12,0,0),"Manhã",IF(B1045&lt;TIME(18,0,0),"Tarde","Noite")))</f>
        <v/>
      </c>
      <c r="R1045" s="45">
        <f>IF(AND(H1045="Realizado",L1045&lt;&gt;""),L1045/60,0)</f>
        <v>0</v>
      </c>
    </row>
    <row r="1046">
      <c r="A1046" s="42" t="n"/>
      <c r="B1046" s="43" t="n"/>
      <c r="C1046" s="37" t="n"/>
      <c r="D1046" s="37" t="n"/>
      <c r="E1046" s="36" t="n"/>
      <c r="F1046" s="37" t="n"/>
      <c r="G1046" s="37" t="n"/>
      <c r="H1046" s="37" t="n"/>
      <c r="I1046" s="37" t="n"/>
      <c r="J1046" s="37" t="n"/>
      <c r="K1046" s="36" t="n"/>
      <c r="L1046" s="44">
        <f>IF(G1046="","",IFERROR(INDEX(Config!$K$5:$K$16,MATCH(G1046,Config!$J$5:$J$16,0)),""))</f>
        <v/>
      </c>
      <c r="M1046" s="30">
        <f>IF(OR(G1046="",F1046=""),"",IFERROR(INDEX(Config!$M$5:$R$16,MATCH(G1046,Config!$J$5:$J$16,0),MATCH(F1046,Config!$H$5:$H$10,0)),""))</f>
        <v/>
      </c>
      <c r="N1046" s="29">
        <f>IF(A1046="","",MONTH(A1046))</f>
        <v/>
      </c>
      <c r="O1046" s="29">
        <f>IF(A1046="","",YEAR(A1046))</f>
        <v/>
      </c>
      <c r="P1046" s="29">
        <f>IF(A1046="","",CHOOSE(WEEKDAY(A1046,2),"Segunda","Terça","Quarta","Quinta","Sexta","Sábado","Domingo"))</f>
        <v/>
      </c>
      <c r="Q1046" s="29">
        <f>IF(B1046="","",IF(B1046&lt;TIME(12,0,0),"Manhã",IF(B1046&lt;TIME(18,0,0),"Tarde","Noite")))</f>
        <v/>
      </c>
      <c r="R1046" s="45">
        <f>IF(AND(H1046="Realizado",L1046&lt;&gt;""),L1046/60,0)</f>
        <v>0</v>
      </c>
    </row>
    <row r="1047">
      <c r="A1047" s="42" t="n"/>
      <c r="B1047" s="43" t="n"/>
      <c r="C1047" s="37" t="n"/>
      <c r="D1047" s="37" t="n"/>
      <c r="E1047" s="36" t="n"/>
      <c r="F1047" s="37" t="n"/>
      <c r="G1047" s="37" t="n"/>
      <c r="H1047" s="37" t="n"/>
      <c r="I1047" s="37" t="n"/>
      <c r="J1047" s="37" t="n"/>
      <c r="K1047" s="36" t="n"/>
      <c r="L1047" s="44">
        <f>IF(G1047="","",IFERROR(INDEX(Config!$K$5:$K$16,MATCH(G1047,Config!$J$5:$J$16,0)),""))</f>
        <v/>
      </c>
      <c r="M1047" s="30">
        <f>IF(OR(G1047="",F1047=""),"",IFERROR(INDEX(Config!$M$5:$R$16,MATCH(G1047,Config!$J$5:$J$16,0),MATCH(F1047,Config!$H$5:$H$10,0)),""))</f>
        <v/>
      </c>
      <c r="N1047" s="29">
        <f>IF(A1047="","",MONTH(A1047))</f>
        <v/>
      </c>
      <c r="O1047" s="29">
        <f>IF(A1047="","",YEAR(A1047))</f>
        <v/>
      </c>
      <c r="P1047" s="29">
        <f>IF(A1047="","",CHOOSE(WEEKDAY(A1047,2),"Segunda","Terça","Quarta","Quinta","Sexta","Sábado","Domingo"))</f>
        <v/>
      </c>
      <c r="Q1047" s="29">
        <f>IF(B1047="","",IF(B1047&lt;TIME(12,0,0),"Manhã",IF(B1047&lt;TIME(18,0,0),"Tarde","Noite")))</f>
        <v/>
      </c>
      <c r="R1047" s="45">
        <f>IF(AND(H1047="Realizado",L1047&lt;&gt;""),L1047/60,0)</f>
        <v>0</v>
      </c>
    </row>
    <row r="1048">
      <c r="A1048" s="42" t="n"/>
      <c r="B1048" s="43" t="n"/>
      <c r="C1048" s="37" t="n"/>
      <c r="D1048" s="37" t="n"/>
      <c r="E1048" s="36" t="n"/>
      <c r="F1048" s="37" t="n"/>
      <c r="G1048" s="37" t="n"/>
      <c r="H1048" s="37" t="n"/>
      <c r="I1048" s="37" t="n"/>
      <c r="J1048" s="37" t="n"/>
      <c r="K1048" s="36" t="n"/>
      <c r="L1048" s="44">
        <f>IF(G1048="","",IFERROR(INDEX(Config!$K$5:$K$16,MATCH(G1048,Config!$J$5:$J$16,0)),""))</f>
        <v/>
      </c>
      <c r="M1048" s="30">
        <f>IF(OR(G1048="",F1048=""),"",IFERROR(INDEX(Config!$M$5:$R$16,MATCH(G1048,Config!$J$5:$J$16,0),MATCH(F1048,Config!$H$5:$H$10,0)),""))</f>
        <v/>
      </c>
      <c r="N1048" s="29">
        <f>IF(A1048="","",MONTH(A1048))</f>
        <v/>
      </c>
      <c r="O1048" s="29">
        <f>IF(A1048="","",YEAR(A1048))</f>
        <v/>
      </c>
      <c r="P1048" s="29">
        <f>IF(A1048="","",CHOOSE(WEEKDAY(A1048,2),"Segunda","Terça","Quarta","Quinta","Sexta","Sábado","Domingo"))</f>
        <v/>
      </c>
      <c r="Q1048" s="29">
        <f>IF(B1048="","",IF(B1048&lt;TIME(12,0,0),"Manhã",IF(B1048&lt;TIME(18,0,0),"Tarde","Noite")))</f>
        <v/>
      </c>
      <c r="R1048" s="45">
        <f>IF(AND(H1048="Realizado",L1048&lt;&gt;""),L1048/60,0)</f>
        <v>0</v>
      </c>
    </row>
    <row r="1049">
      <c r="A1049" s="42" t="n"/>
      <c r="B1049" s="43" t="n"/>
      <c r="C1049" s="37" t="n"/>
      <c r="D1049" s="37" t="n"/>
      <c r="E1049" s="36" t="n"/>
      <c r="F1049" s="37" t="n"/>
      <c r="G1049" s="37" t="n"/>
      <c r="H1049" s="37" t="n"/>
      <c r="I1049" s="37" t="n"/>
      <c r="J1049" s="37" t="n"/>
      <c r="K1049" s="36" t="n"/>
      <c r="L1049" s="44">
        <f>IF(G1049="","",IFERROR(INDEX(Config!$K$5:$K$16,MATCH(G1049,Config!$J$5:$J$16,0)),""))</f>
        <v/>
      </c>
      <c r="M1049" s="30">
        <f>IF(OR(G1049="",F1049=""),"",IFERROR(INDEX(Config!$M$5:$R$16,MATCH(G1049,Config!$J$5:$J$16,0),MATCH(F1049,Config!$H$5:$H$10,0)),""))</f>
        <v/>
      </c>
      <c r="N1049" s="29">
        <f>IF(A1049="","",MONTH(A1049))</f>
        <v/>
      </c>
      <c r="O1049" s="29">
        <f>IF(A1049="","",YEAR(A1049))</f>
        <v/>
      </c>
      <c r="P1049" s="29">
        <f>IF(A1049="","",CHOOSE(WEEKDAY(A1049,2),"Segunda","Terça","Quarta","Quinta","Sexta","Sábado","Domingo"))</f>
        <v/>
      </c>
      <c r="Q1049" s="29">
        <f>IF(B1049="","",IF(B1049&lt;TIME(12,0,0),"Manhã",IF(B1049&lt;TIME(18,0,0),"Tarde","Noite")))</f>
        <v/>
      </c>
      <c r="R1049" s="45">
        <f>IF(AND(H1049="Realizado",L1049&lt;&gt;""),L1049/60,0)</f>
        <v>0</v>
      </c>
    </row>
    <row r="1050">
      <c r="A1050" s="42" t="n"/>
      <c r="B1050" s="43" t="n"/>
      <c r="C1050" s="37" t="n"/>
      <c r="D1050" s="37" t="n"/>
      <c r="E1050" s="36" t="n"/>
      <c r="F1050" s="37" t="n"/>
      <c r="G1050" s="37" t="n"/>
      <c r="H1050" s="37" t="n"/>
      <c r="I1050" s="37" t="n"/>
      <c r="J1050" s="37" t="n"/>
      <c r="K1050" s="36" t="n"/>
      <c r="L1050" s="44">
        <f>IF(G1050="","",IFERROR(INDEX(Config!$K$5:$K$16,MATCH(G1050,Config!$J$5:$J$16,0)),""))</f>
        <v/>
      </c>
      <c r="M1050" s="30">
        <f>IF(OR(G1050="",F1050=""),"",IFERROR(INDEX(Config!$M$5:$R$16,MATCH(G1050,Config!$J$5:$J$16,0),MATCH(F1050,Config!$H$5:$H$10,0)),""))</f>
        <v/>
      </c>
      <c r="N1050" s="29">
        <f>IF(A1050="","",MONTH(A1050))</f>
        <v/>
      </c>
      <c r="O1050" s="29">
        <f>IF(A1050="","",YEAR(A1050))</f>
        <v/>
      </c>
      <c r="P1050" s="29">
        <f>IF(A1050="","",CHOOSE(WEEKDAY(A1050,2),"Segunda","Terça","Quarta","Quinta","Sexta","Sábado","Domingo"))</f>
        <v/>
      </c>
      <c r="Q1050" s="29">
        <f>IF(B1050="","",IF(B1050&lt;TIME(12,0,0),"Manhã",IF(B1050&lt;TIME(18,0,0),"Tarde","Noite")))</f>
        <v/>
      </c>
      <c r="R1050" s="45">
        <f>IF(AND(H1050="Realizado",L1050&lt;&gt;""),L1050/60,0)</f>
        <v>0</v>
      </c>
    </row>
    <row r="1051">
      <c r="A1051" s="42" t="n"/>
      <c r="B1051" s="43" t="n"/>
      <c r="C1051" s="37" t="n"/>
      <c r="D1051" s="37" t="n"/>
      <c r="E1051" s="36" t="n"/>
      <c r="F1051" s="37" t="n"/>
      <c r="G1051" s="37" t="n"/>
      <c r="H1051" s="37" t="n"/>
      <c r="I1051" s="37" t="n"/>
      <c r="J1051" s="37" t="n"/>
      <c r="K1051" s="36" t="n"/>
      <c r="L1051" s="44">
        <f>IF(G1051="","",IFERROR(INDEX(Config!$K$5:$K$16,MATCH(G1051,Config!$J$5:$J$16,0)),""))</f>
        <v/>
      </c>
      <c r="M1051" s="30">
        <f>IF(OR(G1051="",F1051=""),"",IFERROR(INDEX(Config!$M$5:$R$16,MATCH(G1051,Config!$J$5:$J$16,0),MATCH(F1051,Config!$H$5:$H$10,0)),""))</f>
        <v/>
      </c>
      <c r="N1051" s="29">
        <f>IF(A1051="","",MONTH(A1051))</f>
        <v/>
      </c>
      <c r="O1051" s="29">
        <f>IF(A1051="","",YEAR(A1051))</f>
        <v/>
      </c>
      <c r="P1051" s="29">
        <f>IF(A1051="","",CHOOSE(WEEKDAY(A1051,2),"Segunda","Terça","Quarta","Quinta","Sexta","Sábado","Domingo"))</f>
        <v/>
      </c>
      <c r="Q1051" s="29">
        <f>IF(B1051="","",IF(B1051&lt;TIME(12,0,0),"Manhã",IF(B1051&lt;TIME(18,0,0),"Tarde","Noite")))</f>
        <v/>
      </c>
      <c r="R1051" s="45">
        <f>IF(AND(H1051="Realizado",L1051&lt;&gt;""),L1051/60,0)</f>
        <v>0</v>
      </c>
    </row>
    <row r="1052">
      <c r="A1052" s="42" t="n"/>
      <c r="B1052" s="43" t="n"/>
      <c r="C1052" s="37" t="n"/>
      <c r="D1052" s="37" t="n"/>
      <c r="E1052" s="36" t="n"/>
      <c r="F1052" s="37" t="n"/>
      <c r="G1052" s="37" t="n"/>
      <c r="H1052" s="37" t="n"/>
      <c r="I1052" s="37" t="n"/>
      <c r="J1052" s="37" t="n"/>
      <c r="K1052" s="36" t="n"/>
      <c r="L1052" s="44">
        <f>IF(G1052="","",IFERROR(INDEX(Config!$K$5:$K$16,MATCH(G1052,Config!$J$5:$J$16,0)),""))</f>
        <v/>
      </c>
      <c r="M1052" s="30">
        <f>IF(OR(G1052="",F1052=""),"",IFERROR(INDEX(Config!$M$5:$R$16,MATCH(G1052,Config!$J$5:$J$16,0),MATCH(F1052,Config!$H$5:$H$10,0)),""))</f>
        <v/>
      </c>
      <c r="N1052" s="29">
        <f>IF(A1052="","",MONTH(A1052))</f>
        <v/>
      </c>
      <c r="O1052" s="29">
        <f>IF(A1052="","",YEAR(A1052))</f>
        <v/>
      </c>
      <c r="P1052" s="29">
        <f>IF(A1052="","",CHOOSE(WEEKDAY(A1052,2),"Segunda","Terça","Quarta","Quinta","Sexta","Sábado","Domingo"))</f>
        <v/>
      </c>
      <c r="Q1052" s="29">
        <f>IF(B1052="","",IF(B1052&lt;TIME(12,0,0),"Manhã",IF(B1052&lt;TIME(18,0,0),"Tarde","Noite")))</f>
        <v/>
      </c>
      <c r="R1052" s="45">
        <f>IF(AND(H1052="Realizado",L1052&lt;&gt;""),L1052/60,0)</f>
        <v>0</v>
      </c>
    </row>
    <row r="1053">
      <c r="A1053" s="42" t="n"/>
      <c r="B1053" s="43" t="n"/>
      <c r="C1053" s="37" t="n"/>
      <c r="D1053" s="37" t="n"/>
      <c r="E1053" s="36" t="n"/>
      <c r="F1053" s="37" t="n"/>
      <c r="G1053" s="37" t="n"/>
      <c r="H1053" s="37" t="n"/>
      <c r="I1053" s="37" t="n"/>
      <c r="J1053" s="37" t="n"/>
      <c r="K1053" s="36" t="n"/>
      <c r="L1053" s="44">
        <f>IF(G1053="","",IFERROR(INDEX(Config!$K$5:$K$16,MATCH(G1053,Config!$J$5:$J$16,0)),""))</f>
        <v/>
      </c>
      <c r="M1053" s="30">
        <f>IF(OR(G1053="",F1053=""),"",IFERROR(INDEX(Config!$M$5:$R$16,MATCH(G1053,Config!$J$5:$J$16,0),MATCH(F1053,Config!$H$5:$H$10,0)),""))</f>
        <v/>
      </c>
      <c r="N1053" s="29">
        <f>IF(A1053="","",MONTH(A1053))</f>
        <v/>
      </c>
      <c r="O1053" s="29">
        <f>IF(A1053="","",YEAR(A1053))</f>
        <v/>
      </c>
      <c r="P1053" s="29">
        <f>IF(A1053="","",CHOOSE(WEEKDAY(A1053,2),"Segunda","Terça","Quarta","Quinta","Sexta","Sábado","Domingo"))</f>
        <v/>
      </c>
      <c r="Q1053" s="29">
        <f>IF(B1053="","",IF(B1053&lt;TIME(12,0,0),"Manhã",IF(B1053&lt;TIME(18,0,0),"Tarde","Noite")))</f>
        <v/>
      </c>
      <c r="R1053" s="45">
        <f>IF(AND(H1053="Realizado",L1053&lt;&gt;""),L1053/60,0)</f>
        <v>0</v>
      </c>
    </row>
    <row r="1054">
      <c r="A1054" s="42" t="n"/>
      <c r="B1054" s="43" t="n"/>
      <c r="C1054" s="37" t="n"/>
      <c r="D1054" s="37" t="n"/>
      <c r="E1054" s="36" t="n"/>
      <c r="F1054" s="37" t="n"/>
      <c r="G1054" s="37" t="n"/>
      <c r="H1054" s="37" t="n"/>
      <c r="I1054" s="37" t="n"/>
      <c r="J1054" s="37" t="n"/>
      <c r="K1054" s="36" t="n"/>
      <c r="L1054" s="44">
        <f>IF(G1054="","",IFERROR(INDEX(Config!$K$5:$K$16,MATCH(G1054,Config!$J$5:$J$16,0)),""))</f>
        <v/>
      </c>
      <c r="M1054" s="30">
        <f>IF(OR(G1054="",F1054=""),"",IFERROR(INDEX(Config!$M$5:$R$16,MATCH(G1054,Config!$J$5:$J$16,0),MATCH(F1054,Config!$H$5:$H$10,0)),""))</f>
        <v/>
      </c>
      <c r="N1054" s="29">
        <f>IF(A1054="","",MONTH(A1054))</f>
        <v/>
      </c>
      <c r="O1054" s="29">
        <f>IF(A1054="","",YEAR(A1054))</f>
        <v/>
      </c>
      <c r="P1054" s="29">
        <f>IF(A1054="","",CHOOSE(WEEKDAY(A1054,2),"Segunda","Terça","Quarta","Quinta","Sexta","Sábado","Domingo"))</f>
        <v/>
      </c>
      <c r="Q1054" s="29">
        <f>IF(B1054="","",IF(B1054&lt;TIME(12,0,0),"Manhã",IF(B1054&lt;TIME(18,0,0),"Tarde","Noite")))</f>
        <v/>
      </c>
      <c r="R1054" s="45">
        <f>IF(AND(H1054="Realizado",L1054&lt;&gt;""),L1054/60,0)</f>
        <v>0</v>
      </c>
    </row>
    <row r="1055">
      <c r="A1055" s="42" t="n"/>
      <c r="B1055" s="43" t="n"/>
      <c r="C1055" s="37" t="n"/>
      <c r="D1055" s="37" t="n"/>
      <c r="E1055" s="36" t="n"/>
      <c r="F1055" s="37" t="n"/>
      <c r="G1055" s="37" t="n"/>
      <c r="H1055" s="37" t="n"/>
      <c r="I1055" s="37" t="n"/>
      <c r="J1055" s="37" t="n"/>
      <c r="K1055" s="36" t="n"/>
      <c r="L1055" s="44">
        <f>IF(G1055="","",IFERROR(INDEX(Config!$K$5:$K$16,MATCH(G1055,Config!$J$5:$J$16,0)),""))</f>
        <v/>
      </c>
      <c r="M1055" s="30">
        <f>IF(OR(G1055="",F1055=""),"",IFERROR(INDEX(Config!$M$5:$R$16,MATCH(G1055,Config!$J$5:$J$16,0),MATCH(F1055,Config!$H$5:$H$10,0)),""))</f>
        <v/>
      </c>
      <c r="N1055" s="29">
        <f>IF(A1055="","",MONTH(A1055))</f>
        <v/>
      </c>
      <c r="O1055" s="29">
        <f>IF(A1055="","",YEAR(A1055))</f>
        <v/>
      </c>
      <c r="P1055" s="29">
        <f>IF(A1055="","",CHOOSE(WEEKDAY(A1055,2),"Segunda","Terça","Quarta","Quinta","Sexta","Sábado","Domingo"))</f>
        <v/>
      </c>
      <c r="Q1055" s="29">
        <f>IF(B1055="","",IF(B1055&lt;TIME(12,0,0),"Manhã",IF(B1055&lt;TIME(18,0,0),"Tarde","Noite")))</f>
        <v/>
      </c>
      <c r="R1055" s="45">
        <f>IF(AND(H1055="Realizado",L1055&lt;&gt;""),L1055/60,0)</f>
        <v>0</v>
      </c>
    </row>
    <row r="1056">
      <c r="A1056" s="42" t="n"/>
      <c r="B1056" s="43" t="n"/>
      <c r="C1056" s="37" t="n"/>
      <c r="D1056" s="37" t="n"/>
      <c r="E1056" s="36" t="n"/>
      <c r="F1056" s="37" t="n"/>
      <c r="G1056" s="37" t="n"/>
      <c r="H1056" s="37" t="n"/>
      <c r="I1056" s="37" t="n"/>
      <c r="J1056" s="37" t="n"/>
      <c r="K1056" s="36" t="n"/>
      <c r="L1056" s="44">
        <f>IF(G1056="","",IFERROR(INDEX(Config!$K$5:$K$16,MATCH(G1056,Config!$J$5:$J$16,0)),""))</f>
        <v/>
      </c>
      <c r="M1056" s="30">
        <f>IF(OR(G1056="",F1056=""),"",IFERROR(INDEX(Config!$M$5:$R$16,MATCH(G1056,Config!$J$5:$J$16,0),MATCH(F1056,Config!$H$5:$H$10,0)),""))</f>
        <v/>
      </c>
      <c r="N1056" s="29">
        <f>IF(A1056="","",MONTH(A1056))</f>
        <v/>
      </c>
      <c r="O1056" s="29">
        <f>IF(A1056="","",YEAR(A1056))</f>
        <v/>
      </c>
      <c r="P1056" s="29">
        <f>IF(A1056="","",CHOOSE(WEEKDAY(A1056,2),"Segunda","Terça","Quarta","Quinta","Sexta","Sábado","Domingo"))</f>
        <v/>
      </c>
      <c r="Q1056" s="29">
        <f>IF(B1056="","",IF(B1056&lt;TIME(12,0,0),"Manhã",IF(B1056&lt;TIME(18,0,0),"Tarde","Noite")))</f>
        <v/>
      </c>
      <c r="R1056" s="45">
        <f>IF(AND(H1056="Realizado",L1056&lt;&gt;""),L1056/60,0)</f>
        <v>0</v>
      </c>
    </row>
    <row r="1057">
      <c r="A1057" s="42" t="n"/>
      <c r="B1057" s="43" t="n"/>
      <c r="C1057" s="37" t="n"/>
      <c r="D1057" s="37" t="n"/>
      <c r="E1057" s="36" t="n"/>
      <c r="F1057" s="37" t="n"/>
      <c r="G1057" s="37" t="n"/>
      <c r="H1057" s="37" t="n"/>
      <c r="I1057" s="37" t="n"/>
      <c r="J1057" s="37" t="n"/>
      <c r="K1057" s="36" t="n"/>
      <c r="L1057" s="44">
        <f>IF(G1057="","",IFERROR(INDEX(Config!$K$5:$K$16,MATCH(G1057,Config!$J$5:$J$16,0)),""))</f>
        <v/>
      </c>
      <c r="M1057" s="30">
        <f>IF(OR(G1057="",F1057=""),"",IFERROR(INDEX(Config!$M$5:$R$16,MATCH(G1057,Config!$J$5:$J$16,0),MATCH(F1057,Config!$H$5:$H$10,0)),""))</f>
        <v/>
      </c>
      <c r="N1057" s="29">
        <f>IF(A1057="","",MONTH(A1057))</f>
        <v/>
      </c>
      <c r="O1057" s="29">
        <f>IF(A1057="","",YEAR(A1057))</f>
        <v/>
      </c>
      <c r="P1057" s="29">
        <f>IF(A1057="","",CHOOSE(WEEKDAY(A1057,2),"Segunda","Terça","Quarta","Quinta","Sexta","Sábado","Domingo"))</f>
        <v/>
      </c>
      <c r="Q1057" s="29">
        <f>IF(B1057="","",IF(B1057&lt;TIME(12,0,0),"Manhã",IF(B1057&lt;TIME(18,0,0),"Tarde","Noite")))</f>
        <v/>
      </c>
      <c r="R1057" s="45">
        <f>IF(AND(H1057="Realizado",L1057&lt;&gt;""),L1057/60,0)</f>
        <v>0</v>
      </c>
    </row>
    <row r="1058">
      <c r="A1058" s="42" t="n"/>
      <c r="B1058" s="43" t="n"/>
      <c r="C1058" s="37" t="n"/>
      <c r="D1058" s="37" t="n"/>
      <c r="E1058" s="36" t="n"/>
      <c r="F1058" s="37" t="n"/>
      <c r="G1058" s="37" t="n"/>
      <c r="H1058" s="37" t="n"/>
      <c r="I1058" s="37" t="n"/>
      <c r="J1058" s="37" t="n"/>
      <c r="K1058" s="36" t="n"/>
      <c r="L1058" s="44">
        <f>IF(G1058="","",IFERROR(INDEX(Config!$K$5:$K$16,MATCH(G1058,Config!$J$5:$J$16,0)),""))</f>
        <v/>
      </c>
      <c r="M1058" s="30">
        <f>IF(OR(G1058="",F1058=""),"",IFERROR(INDEX(Config!$M$5:$R$16,MATCH(G1058,Config!$J$5:$J$16,0),MATCH(F1058,Config!$H$5:$H$10,0)),""))</f>
        <v/>
      </c>
      <c r="N1058" s="29">
        <f>IF(A1058="","",MONTH(A1058))</f>
        <v/>
      </c>
      <c r="O1058" s="29">
        <f>IF(A1058="","",YEAR(A1058))</f>
        <v/>
      </c>
      <c r="P1058" s="29">
        <f>IF(A1058="","",CHOOSE(WEEKDAY(A1058,2),"Segunda","Terça","Quarta","Quinta","Sexta","Sábado","Domingo"))</f>
        <v/>
      </c>
      <c r="Q1058" s="29">
        <f>IF(B1058="","",IF(B1058&lt;TIME(12,0,0),"Manhã",IF(B1058&lt;TIME(18,0,0),"Tarde","Noite")))</f>
        <v/>
      </c>
      <c r="R1058" s="45">
        <f>IF(AND(H1058="Realizado",L1058&lt;&gt;""),L1058/60,0)</f>
        <v>0</v>
      </c>
    </row>
    <row r="1059">
      <c r="A1059" s="42" t="n"/>
      <c r="B1059" s="43" t="n"/>
      <c r="C1059" s="37" t="n"/>
      <c r="D1059" s="37" t="n"/>
      <c r="E1059" s="36" t="n"/>
      <c r="F1059" s="37" t="n"/>
      <c r="G1059" s="37" t="n"/>
      <c r="H1059" s="37" t="n"/>
      <c r="I1059" s="37" t="n"/>
      <c r="J1059" s="37" t="n"/>
      <c r="K1059" s="36" t="n"/>
      <c r="L1059" s="44">
        <f>IF(G1059="","",IFERROR(INDEX(Config!$K$5:$K$16,MATCH(G1059,Config!$J$5:$J$16,0)),""))</f>
        <v/>
      </c>
      <c r="M1059" s="30">
        <f>IF(OR(G1059="",F1059=""),"",IFERROR(INDEX(Config!$M$5:$R$16,MATCH(G1059,Config!$J$5:$J$16,0),MATCH(F1059,Config!$H$5:$H$10,0)),""))</f>
        <v/>
      </c>
      <c r="N1059" s="29">
        <f>IF(A1059="","",MONTH(A1059))</f>
        <v/>
      </c>
      <c r="O1059" s="29">
        <f>IF(A1059="","",YEAR(A1059))</f>
        <v/>
      </c>
      <c r="P1059" s="29">
        <f>IF(A1059="","",CHOOSE(WEEKDAY(A1059,2),"Segunda","Terça","Quarta","Quinta","Sexta","Sábado","Domingo"))</f>
        <v/>
      </c>
      <c r="Q1059" s="29">
        <f>IF(B1059="","",IF(B1059&lt;TIME(12,0,0),"Manhã",IF(B1059&lt;TIME(18,0,0),"Tarde","Noite")))</f>
        <v/>
      </c>
      <c r="R1059" s="45">
        <f>IF(AND(H1059="Realizado",L1059&lt;&gt;""),L1059/60,0)</f>
        <v>0</v>
      </c>
    </row>
    <row r="1060">
      <c r="A1060" s="42" t="n"/>
      <c r="B1060" s="43" t="n"/>
      <c r="C1060" s="37" t="n"/>
      <c r="D1060" s="37" t="n"/>
      <c r="E1060" s="36" t="n"/>
      <c r="F1060" s="37" t="n"/>
      <c r="G1060" s="37" t="n"/>
      <c r="H1060" s="37" t="n"/>
      <c r="I1060" s="37" t="n"/>
      <c r="J1060" s="37" t="n"/>
      <c r="K1060" s="36" t="n"/>
      <c r="L1060" s="44">
        <f>IF(G1060="","",IFERROR(INDEX(Config!$K$5:$K$16,MATCH(G1060,Config!$J$5:$J$16,0)),""))</f>
        <v/>
      </c>
      <c r="M1060" s="30">
        <f>IF(OR(G1060="",F1060=""),"",IFERROR(INDEX(Config!$M$5:$R$16,MATCH(G1060,Config!$J$5:$J$16,0),MATCH(F1060,Config!$H$5:$H$10,0)),""))</f>
        <v/>
      </c>
      <c r="N1060" s="29">
        <f>IF(A1060="","",MONTH(A1060))</f>
        <v/>
      </c>
      <c r="O1060" s="29">
        <f>IF(A1060="","",YEAR(A1060))</f>
        <v/>
      </c>
      <c r="P1060" s="29">
        <f>IF(A1060="","",CHOOSE(WEEKDAY(A1060,2),"Segunda","Terça","Quarta","Quinta","Sexta","Sábado","Domingo"))</f>
        <v/>
      </c>
      <c r="Q1060" s="29">
        <f>IF(B1060="","",IF(B1060&lt;TIME(12,0,0),"Manhã",IF(B1060&lt;TIME(18,0,0),"Tarde","Noite")))</f>
        <v/>
      </c>
      <c r="R1060" s="45">
        <f>IF(AND(H1060="Realizado",L1060&lt;&gt;""),L1060/60,0)</f>
        <v>0</v>
      </c>
    </row>
    <row r="1061">
      <c r="A1061" s="42" t="n"/>
      <c r="B1061" s="43" t="n"/>
      <c r="C1061" s="37" t="n"/>
      <c r="D1061" s="37" t="n"/>
      <c r="E1061" s="36" t="n"/>
      <c r="F1061" s="37" t="n"/>
      <c r="G1061" s="37" t="n"/>
      <c r="H1061" s="37" t="n"/>
      <c r="I1061" s="37" t="n"/>
      <c r="J1061" s="37" t="n"/>
      <c r="K1061" s="36" t="n"/>
      <c r="L1061" s="44">
        <f>IF(G1061="","",IFERROR(INDEX(Config!$K$5:$K$16,MATCH(G1061,Config!$J$5:$J$16,0)),""))</f>
        <v/>
      </c>
      <c r="M1061" s="30">
        <f>IF(OR(G1061="",F1061=""),"",IFERROR(INDEX(Config!$M$5:$R$16,MATCH(G1061,Config!$J$5:$J$16,0),MATCH(F1061,Config!$H$5:$H$10,0)),""))</f>
        <v/>
      </c>
      <c r="N1061" s="29">
        <f>IF(A1061="","",MONTH(A1061))</f>
        <v/>
      </c>
      <c r="O1061" s="29">
        <f>IF(A1061="","",YEAR(A1061))</f>
        <v/>
      </c>
      <c r="P1061" s="29">
        <f>IF(A1061="","",CHOOSE(WEEKDAY(A1061,2),"Segunda","Terça","Quarta","Quinta","Sexta","Sábado","Domingo"))</f>
        <v/>
      </c>
      <c r="Q1061" s="29">
        <f>IF(B1061="","",IF(B1061&lt;TIME(12,0,0),"Manhã",IF(B1061&lt;TIME(18,0,0),"Tarde","Noite")))</f>
        <v/>
      </c>
      <c r="R1061" s="45">
        <f>IF(AND(H1061="Realizado",L1061&lt;&gt;""),L1061/60,0)</f>
        <v>0</v>
      </c>
    </row>
    <row r="1062">
      <c r="A1062" s="42" t="n"/>
      <c r="B1062" s="43" t="n"/>
      <c r="C1062" s="37" t="n"/>
      <c r="D1062" s="37" t="n"/>
      <c r="E1062" s="36" t="n"/>
      <c r="F1062" s="37" t="n"/>
      <c r="G1062" s="37" t="n"/>
      <c r="H1062" s="37" t="n"/>
      <c r="I1062" s="37" t="n"/>
      <c r="J1062" s="37" t="n"/>
      <c r="K1062" s="36" t="n"/>
      <c r="L1062" s="44">
        <f>IF(G1062="","",IFERROR(INDEX(Config!$K$5:$K$16,MATCH(G1062,Config!$J$5:$J$16,0)),""))</f>
        <v/>
      </c>
      <c r="M1062" s="30">
        <f>IF(OR(G1062="",F1062=""),"",IFERROR(INDEX(Config!$M$5:$R$16,MATCH(G1062,Config!$J$5:$J$16,0),MATCH(F1062,Config!$H$5:$H$10,0)),""))</f>
        <v/>
      </c>
      <c r="N1062" s="29">
        <f>IF(A1062="","",MONTH(A1062))</f>
        <v/>
      </c>
      <c r="O1062" s="29">
        <f>IF(A1062="","",YEAR(A1062))</f>
        <v/>
      </c>
      <c r="P1062" s="29">
        <f>IF(A1062="","",CHOOSE(WEEKDAY(A1062,2),"Segunda","Terça","Quarta","Quinta","Sexta","Sábado","Domingo"))</f>
        <v/>
      </c>
      <c r="Q1062" s="29">
        <f>IF(B1062="","",IF(B1062&lt;TIME(12,0,0),"Manhã",IF(B1062&lt;TIME(18,0,0),"Tarde","Noite")))</f>
        <v/>
      </c>
      <c r="R1062" s="45">
        <f>IF(AND(H1062="Realizado",L1062&lt;&gt;""),L1062/60,0)</f>
        <v>0</v>
      </c>
    </row>
    <row r="1063">
      <c r="A1063" s="42" t="n"/>
      <c r="B1063" s="43" t="n"/>
      <c r="C1063" s="37" t="n"/>
      <c r="D1063" s="37" t="n"/>
      <c r="E1063" s="36" t="n"/>
      <c r="F1063" s="37" t="n"/>
      <c r="G1063" s="37" t="n"/>
      <c r="H1063" s="37" t="n"/>
      <c r="I1063" s="37" t="n"/>
      <c r="J1063" s="37" t="n"/>
      <c r="K1063" s="36" t="n"/>
      <c r="L1063" s="44">
        <f>IF(G1063="","",IFERROR(INDEX(Config!$K$5:$K$16,MATCH(G1063,Config!$J$5:$J$16,0)),""))</f>
        <v/>
      </c>
      <c r="M1063" s="30">
        <f>IF(OR(G1063="",F1063=""),"",IFERROR(INDEX(Config!$M$5:$R$16,MATCH(G1063,Config!$J$5:$J$16,0),MATCH(F1063,Config!$H$5:$H$10,0)),""))</f>
        <v/>
      </c>
      <c r="N1063" s="29">
        <f>IF(A1063="","",MONTH(A1063))</f>
        <v/>
      </c>
      <c r="O1063" s="29">
        <f>IF(A1063="","",YEAR(A1063))</f>
        <v/>
      </c>
      <c r="P1063" s="29">
        <f>IF(A1063="","",CHOOSE(WEEKDAY(A1063,2),"Segunda","Terça","Quarta","Quinta","Sexta","Sábado","Domingo"))</f>
        <v/>
      </c>
      <c r="Q1063" s="29">
        <f>IF(B1063="","",IF(B1063&lt;TIME(12,0,0),"Manhã",IF(B1063&lt;TIME(18,0,0),"Tarde","Noite")))</f>
        <v/>
      </c>
      <c r="R1063" s="45">
        <f>IF(AND(H1063="Realizado",L1063&lt;&gt;""),L1063/60,0)</f>
        <v>0</v>
      </c>
    </row>
    <row r="1064">
      <c r="A1064" s="42" t="n"/>
      <c r="B1064" s="43" t="n"/>
      <c r="C1064" s="37" t="n"/>
      <c r="D1064" s="37" t="n"/>
      <c r="E1064" s="36" t="n"/>
      <c r="F1064" s="37" t="n"/>
      <c r="G1064" s="37" t="n"/>
      <c r="H1064" s="37" t="n"/>
      <c r="I1064" s="37" t="n"/>
      <c r="J1064" s="37" t="n"/>
      <c r="K1064" s="36" t="n"/>
      <c r="L1064" s="44">
        <f>IF(G1064="","",IFERROR(INDEX(Config!$K$5:$K$16,MATCH(G1064,Config!$J$5:$J$16,0)),""))</f>
        <v/>
      </c>
      <c r="M1064" s="30">
        <f>IF(OR(G1064="",F1064=""),"",IFERROR(INDEX(Config!$M$5:$R$16,MATCH(G1064,Config!$J$5:$J$16,0),MATCH(F1064,Config!$H$5:$H$10,0)),""))</f>
        <v/>
      </c>
      <c r="N1064" s="29">
        <f>IF(A1064="","",MONTH(A1064))</f>
        <v/>
      </c>
      <c r="O1064" s="29">
        <f>IF(A1064="","",YEAR(A1064))</f>
        <v/>
      </c>
      <c r="P1064" s="29">
        <f>IF(A1064="","",CHOOSE(WEEKDAY(A1064,2),"Segunda","Terça","Quarta","Quinta","Sexta","Sábado","Domingo"))</f>
        <v/>
      </c>
      <c r="Q1064" s="29">
        <f>IF(B1064="","",IF(B1064&lt;TIME(12,0,0),"Manhã",IF(B1064&lt;TIME(18,0,0),"Tarde","Noite")))</f>
        <v/>
      </c>
      <c r="R1064" s="45">
        <f>IF(AND(H1064="Realizado",L1064&lt;&gt;""),L1064/60,0)</f>
        <v>0</v>
      </c>
    </row>
    <row r="1065">
      <c r="A1065" s="42" t="n"/>
      <c r="B1065" s="43" t="n"/>
      <c r="C1065" s="37" t="n"/>
      <c r="D1065" s="37" t="n"/>
      <c r="E1065" s="36" t="n"/>
      <c r="F1065" s="37" t="n"/>
      <c r="G1065" s="37" t="n"/>
      <c r="H1065" s="37" t="n"/>
      <c r="I1065" s="37" t="n"/>
      <c r="J1065" s="37" t="n"/>
      <c r="K1065" s="36" t="n"/>
      <c r="L1065" s="44">
        <f>IF(G1065="","",IFERROR(INDEX(Config!$K$5:$K$16,MATCH(G1065,Config!$J$5:$J$16,0)),""))</f>
        <v/>
      </c>
      <c r="M1065" s="30">
        <f>IF(OR(G1065="",F1065=""),"",IFERROR(INDEX(Config!$M$5:$R$16,MATCH(G1065,Config!$J$5:$J$16,0),MATCH(F1065,Config!$H$5:$H$10,0)),""))</f>
        <v/>
      </c>
      <c r="N1065" s="29">
        <f>IF(A1065="","",MONTH(A1065))</f>
        <v/>
      </c>
      <c r="O1065" s="29">
        <f>IF(A1065="","",YEAR(A1065))</f>
        <v/>
      </c>
      <c r="P1065" s="29">
        <f>IF(A1065="","",CHOOSE(WEEKDAY(A1065,2),"Segunda","Terça","Quarta","Quinta","Sexta","Sábado","Domingo"))</f>
        <v/>
      </c>
      <c r="Q1065" s="29">
        <f>IF(B1065="","",IF(B1065&lt;TIME(12,0,0),"Manhã",IF(B1065&lt;TIME(18,0,0),"Tarde","Noite")))</f>
        <v/>
      </c>
      <c r="R1065" s="45">
        <f>IF(AND(H1065="Realizado",L1065&lt;&gt;""),L1065/60,0)</f>
        <v>0</v>
      </c>
    </row>
    <row r="1066">
      <c r="A1066" s="42" t="n"/>
      <c r="B1066" s="43" t="n"/>
      <c r="C1066" s="37" t="n"/>
      <c r="D1066" s="37" t="n"/>
      <c r="E1066" s="36" t="n"/>
      <c r="F1066" s="37" t="n"/>
      <c r="G1066" s="37" t="n"/>
      <c r="H1066" s="37" t="n"/>
      <c r="I1066" s="37" t="n"/>
      <c r="J1066" s="37" t="n"/>
      <c r="K1066" s="36" t="n"/>
      <c r="L1066" s="44">
        <f>IF(G1066="","",IFERROR(INDEX(Config!$K$5:$K$16,MATCH(G1066,Config!$J$5:$J$16,0)),""))</f>
        <v/>
      </c>
      <c r="M1066" s="30">
        <f>IF(OR(G1066="",F1066=""),"",IFERROR(INDEX(Config!$M$5:$R$16,MATCH(G1066,Config!$J$5:$J$16,0),MATCH(F1066,Config!$H$5:$H$10,0)),""))</f>
        <v/>
      </c>
      <c r="N1066" s="29">
        <f>IF(A1066="","",MONTH(A1066))</f>
        <v/>
      </c>
      <c r="O1066" s="29">
        <f>IF(A1066="","",YEAR(A1066))</f>
        <v/>
      </c>
      <c r="P1066" s="29">
        <f>IF(A1066="","",CHOOSE(WEEKDAY(A1066,2),"Segunda","Terça","Quarta","Quinta","Sexta","Sábado","Domingo"))</f>
        <v/>
      </c>
      <c r="Q1066" s="29">
        <f>IF(B1066="","",IF(B1066&lt;TIME(12,0,0),"Manhã",IF(B1066&lt;TIME(18,0,0),"Tarde","Noite")))</f>
        <v/>
      </c>
      <c r="R1066" s="45">
        <f>IF(AND(H1066="Realizado",L1066&lt;&gt;""),L1066/60,0)</f>
        <v>0</v>
      </c>
    </row>
    <row r="1067">
      <c r="A1067" s="42" t="n"/>
      <c r="B1067" s="43" t="n"/>
      <c r="C1067" s="37" t="n"/>
      <c r="D1067" s="37" t="n"/>
      <c r="E1067" s="36" t="n"/>
      <c r="F1067" s="37" t="n"/>
      <c r="G1067" s="37" t="n"/>
      <c r="H1067" s="37" t="n"/>
      <c r="I1067" s="37" t="n"/>
      <c r="J1067" s="37" t="n"/>
      <c r="K1067" s="36" t="n"/>
      <c r="L1067" s="44">
        <f>IF(G1067="","",IFERROR(INDEX(Config!$K$5:$K$16,MATCH(G1067,Config!$J$5:$J$16,0)),""))</f>
        <v/>
      </c>
      <c r="M1067" s="30">
        <f>IF(OR(G1067="",F1067=""),"",IFERROR(INDEX(Config!$M$5:$R$16,MATCH(G1067,Config!$J$5:$J$16,0),MATCH(F1067,Config!$H$5:$H$10,0)),""))</f>
        <v/>
      </c>
      <c r="N1067" s="29">
        <f>IF(A1067="","",MONTH(A1067))</f>
        <v/>
      </c>
      <c r="O1067" s="29">
        <f>IF(A1067="","",YEAR(A1067))</f>
        <v/>
      </c>
      <c r="P1067" s="29">
        <f>IF(A1067="","",CHOOSE(WEEKDAY(A1067,2),"Segunda","Terça","Quarta","Quinta","Sexta","Sábado","Domingo"))</f>
        <v/>
      </c>
      <c r="Q1067" s="29">
        <f>IF(B1067="","",IF(B1067&lt;TIME(12,0,0),"Manhã",IF(B1067&lt;TIME(18,0,0),"Tarde","Noite")))</f>
        <v/>
      </c>
      <c r="R1067" s="45">
        <f>IF(AND(H1067="Realizado",L1067&lt;&gt;""),L1067/60,0)</f>
        <v>0</v>
      </c>
    </row>
    <row r="1068">
      <c r="A1068" s="42" t="n"/>
      <c r="B1068" s="43" t="n"/>
      <c r="C1068" s="37" t="n"/>
      <c r="D1068" s="37" t="n"/>
      <c r="E1068" s="36" t="n"/>
      <c r="F1068" s="37" t="n"/>
      <c r="G1068" s="37" t="n"/>
      <c r="H1068" s="37" t="n"/>
      <c r="I1068" s="37" t="n"/>
      <c r="J1068" s="37" t="n"/>
      <c r="K1068" s="36" t="n"/>
      <c r="L1068" s="44">
        <f>IF(G1068="","",IFERROR(INDEX(Config!$K$5:$K$16,MATCH(G1068,Config!$J$5:$J$16,0)),""))</f>
        <v/>
      </c>
      <c r="M1068" s="30">
        <f>IF(OR(G1068="",F1068=""),"",IFERROR(INDEX(Config!$M$5:$R$16,MATCH(G1068,Config!$J$5:$J$16,0),MATCH(F1068,Config!$H$5:$H$10,0)),""))</f>
        <v/>
      </c>
      <c r="N1068" s="29">
        <f>IF(A1068="","",MONTH(A1068))</f>
        <v/>
      </c>
      <c r="O1068" s="29">
        <f>IF(A1068="","",YEAR(A1068))</f>
        <v/>
      </c>
      <c r="P1068" s="29">
        <f>IF(A1068="","",CHOOSE(WEEKDAY(A1068,2),"Segunda","Terça","Quarta","Quinta","Sexta","Sábado","Domingo"))</f>
        <v/>
      </c>
      <c r="Q1068" s="29">
        <f>IF(B1068="","",IF(B1068&lt;TIME(12,0,0),"Manhã",IF(B1068&lt;TIME(18,0,0),"Tarde","Noite")))</f>
        <v/>
      </c>
      <c r="R1068" s="45">
        <f>IF(AND(H1068="Realizado",L1068&lt;&gt;""),L1068/60,0)</f>
        <v>0</v>
      </c>
    </row>
    <row r="1069">
      <c r="A1069" s="42" t="n"/>
      <c r="B1069" s="43" t="n"/>
      <c r="C1069" s="37" t="n"/>
      <c r="D1069" s="37" t="n"/>
      <c r="E1069" s="36" t="n"/>
      <c r="F1069" s="37" t="n"/>
      <c r="G1069" s="37" t="n"/>
      <c r="H1069" s="37" t="n"/>
      <c r="I1069" s="37" t="n"/>
      <c r="J1069" s="37" t="n"/>
      <c r="K1069" s="36" t="n"/>
      <c r="L1069" s="44">
        <f>IF(G1069="","",IFERROR(INDEX(Config!$K$5:$K$16,MATCH(G1069,Config!$J$5:$J$16,0)),""))</f>
        <v/>
      </c>
      <c r="M1069" s="30">
        <f>IF(OR(G1069="",F1069=""),"",IFERROR(INDEX(Config!$M$5:$R$16,MATCH(G1069,Config!$J$5:$J$16,0),MATCH(F1069,Config!$H$5:$H$10,0)),""))</f>
        <v/>
      </c>
      <c r="N1069" s="29">
        <f>IF(A1069="","",MONTH(A1069))</f>
        <v/>
      </c>
      <c r="O1069" s="29">
        <f>IF(A1069="","",YEAR(A1069))</f>
        <v/>
      </c>
      <c r="P1069" s="29">
        <f>IF(A1069="","",CHOOSE(WEEKDAY(A1069,2),"Segunda","Terça","Quarta","Quinta","Sexta","Sábado","Domingo"))</f>
        <v/>
      </c>
      <c r="Q1069" s="29">
        <f>IF(B1069="","",IF(B1069&lt;TIME(12,0,0),"Manhã",IF(B1069&lt;TIME(18,0,0),"Tarde","Noite")))</f>
        <v/>
      </c>
      <c r="R1069" s="45">
        <f>IF(AND(H1069="Realizado",L1069&lt;&gt;""),L1069/60,0)</f>
        <v>0</v>
      </c>
    </row>
    <row r="1070">
      <c r="A1070" s="42" t="n"/>
      <c r="B1070" s="43" t="n"/>
      <c r="C1070" s="37" t="n"/>
      <c r="D1070" s="37" t="n"/>
      <c r="E1070" s="36" t="n"/>
      <c r="F1070" s="37" t="n"/>
      <c r="G1070" s="37" t="n"/>
      <c r="H1070" s="37" t="n"/>
      <c r="I1070" s="37" t="n"/>
      <c r="J1070" s="37" t="n"/>
      <c r="K1070" s="36" t="n"/>
      <c r="L1070" s="44">
        <f>IF(G1070="","",IFERROR(INDEX(Config!$K$5:$K$16,MATCH(G1070,Config!$J$5:$J$16,0)),""))</f>
        <v/>
      </c>
      <c r="M1070" s="30">
        <f>IF(OR(G1070="",F1070=""),"",IFERROR(INDEX(Config!$M$5:$R$16,MATCH(G1070,Config!$J$5:$J$16,0),MATCH(F1070,Config!$H$5:$H$10,0)),""))</f>
        <v/>
      </c>
      <c r="N1070" s="29">
        <f>IF(A1070="","",MONTH(A1070))</f>
        <v/>
      </c>
      <c r="O1070" s="29">
        <f>IF(A1070="","",YEAR(A1070))</f>
        <v/>
      </c>
      <c r="P1070" s="29">
        <f>IF(A1070="","",CHOOSE(WEEKDAY(A1070,2),"Segunda","Terça","Quarta","Quinta","Sexta","Sábado","Domingo"))</f>
        <v/>
      </c>
      <c r="Q1070" s="29">
        <f>IF(B1070="","",IF(B1070&lt;TIME(12,0,0),"Manhã",IF(B1070&lt;TIME(18,0,0),"Tarde","Noite")))</f>
        <v/>
      </c>
      <c r="R1070" s="45">
        <f>IF(AND(H1070="Realizado",L1070&lt;&gt;""),L1070/60,0)</f>
        <v>0</v>
      </c>
    </row>
    <row r="1071">
      <c r="A1071" s="42" t="n"/>
      <c r="B1071" s="43" t="n"/>
      <c r="C1071" s="37" t="n"/>
      <c r="D1071" s="37" t="n"/>
      <c r="E1071" s="36" t="n"/>
      <c r="F1071" s="37" t="n"/>
      <c r="G1071" s="37" t="n"/>
      <c r="H1071" s="37" t="n"/>
      <c r="I1071" s="37" t="n"/>
      <c r="J1071" s="37" t="n"/>
      <c r="K1071" s="36" t="n"/>
      <c r="L1071" s="44">
        <f>IF(G1071="","",IFERROR(INDEX(Config!$K$5:$K$16,MATCH(G1071,Config!$J$5:$J$16,0)),""))</f>
        <v/>
      </c>
      <c r="M1071" s="30">
        <f>IF(OR(G1071="",F1071=""),"",IFERROR(INDEX(Config!$M$5:$R$16,MATCH(G1071,Config!$J$5:$J$16,0),MATCH(F1071,Config!$H$5:$H$10,0)),""))</f>
        <v/>
      </c>
      <c r="N1071" s="29">
        <f>IF(A1071="","",MONTH(A1071))</f>
        <v/>
      </c>
      <c r="O1071" s="29">
        <f>IF(A1071="","",YEAR(A1071))</f>
        <v/>
      </c>
      <c r="P1071" s="29">
        <f>IF(A1071="","",CHOOSE(WEEKDAY(A1071,2),"Segunda","Terça","Quarta","Quinta","Sexta","Sábado","Domingo"))</f>
        <v/>
      </c>
      <c r="Q1071" s="29">
        <f>IF(B1071="","",IF(B1071&lt;TIME(12,0,0),"Manhã",IF(B1071&lt;TIME(18,0,0),"Tarde","Noite")))</f>
        <v/>
      </c>
      <c r="R1071" s="45">
        <f>IF(AND(H1071="Realizado",L1071&lt;&gt;""),L1071/60,0)</f>
        <v>0</v>
      </c>
    </row>
    <row r="1072">
      <c r="A1072" s="42" t="n"/>
      <c r="B1072" s="43" t="n"/>
      <c r="C1072" s="37" t="n"/>
      <c r="D1072" s="37" t="n"/>
      <c r="E1072" s="36" t="n"/>
      <c r="F1072" s="37" t="n"/>
      <c r="G1072" s="37" t="n"/>
      <c r="H1072" s="37" t="n"/>
      <c r="I1072" s="37" t="n"/>
      <c r="J1072" s="37" t="n"/>
      <c r="K1072" s="36" t="n"/>
      <c r="L1072" s="44">
        <f>IF(G1072="","",IFERROR(INDEX(Config!$K$5:$K$16,MATCH(G1072,Config!$J$5:$J$16,0)),""))</f>
        <v/>
      </c>
      <c r="M1072" s="30">
        <f>IF(OR(G1072="",F1072=""),"",IFERROR(INDEX(Config!$M$5:$R$16,MATCH(G1072,Config!$J$5:$J$16,0),MATCH(F1072,Config!$H$5:$H$10,0)),""))</f>
        <v/>
      </c>
      <c r="N1072" s="29">
        <f>IF(A1072="","",MONTH(A1072))</f>
        <v/>
      </c>
      <c r="O1072" s="29">
        <f>IF(A1072="","",YEAR(A1072))</f>
        <v/>
      </c>
      <c r="P1072" s="29">
        <f>IF(A1072="","",CHOOSE(WEEKDAY(A1072,2),"Segunda","Terça","Quarta","Quinta","Sexta","Sábado","Domingo"))</f>
        <v/>
      </c>
      <c r="Q1072" s="29">
        <f>IF(B1072="","",IF(B1072&lt;TIME(12,0,0),"Manhã",IF(B1072&lt;TIME(18,0,0),"Tarde","Noite")))</f>
        <v/>
      </c>
      <c r="R1072" s="45">
        <f>IF(AND(H1072="Realizado",L1072&lt;&gt;""),L1072/60,0)</f>
        <v>0</v>
      </c>
    </row>
    <row r="1073">
      <c r="A1073" s="42" t="n"/>
      <c r="B1073" s="43" t="n"/>
      <c r="C1073" s="37" t="n"/>
      <c r="D1073" s="37" t="n"/>
      <c r="E1073" s="36" t="n"/>
      <c r="F1073" s="37" t="n"/>
      <c r="G1073" s="37" t="n"/>
      <c r="H1073" s="37" t="n"/>
      <c r="I1073" s="37" t="n"/>
      <c r="J1073" s="37" t="n"/>
      <c r="K1073" s="36" t="n"/>
      <c r="L1073" s="44">
        <f>IF(G1073="","",IFERROR(INDEX(Config!$K$5:$K$16,MATCH(G1073,Config!$J$5:$J$16,0)),""))</f>
        <v/>
      </c>
      <c r="M1073" s="30">
        <f>IF(OR(G1073="",F1073=""),"",IFERROR(INDEX(Config!$M$5:$R$16,MATCH(G1073,Config!$J$5:$J$16,0),MATCH(F1073,Config!$H$5:$H$10,0)),""))</f>
        <v/>
      </c>
      <c r="N1073" s="29">
        <f>IF(A1073="","",MONTH(A1073))</f>
        <v/>
      </c>
      <c r="O1073" s="29">
        <f>IF(A1073="","",YEAR(A1073))</f>
        <v/>
      </c>
      <c r="P1073" s="29">
        <f>IF(A1073="","",CHOOSE(WEEKDAY(A1073,2),"Segunda","Terça","Quarta","Quinta","Sexta","Sábado","Domingo"))</f>
        <v/>
      </c>
      <c r="Q1073" s="29">
        <f>IF(B1073="","",IF(B1073&lt;TIME(12,0,0),"Manhã",IF(B1073&lt;TIME(18,0,0),"Tarde","Noite")))</f>
        <v/>
      </c>
      <c r="R1073" s="45">
        <f>IF(AND(H1073="Realizado",L1073&lt;&gt;""),L1073/60,0)</f>
        <v>0</v>
      </c>
    </row>
    <row r="1074">
      <c r="A1074" s="42" t="n"/>
      <c r="B1074" s="43" t="n"/>
      <c r="C1074" s="37" t="n"/>
      <c r="D1074" s="37" t="n"/>
      <c r="E1074" s="36" t="n"/>
      <c r="F1074" s="37" t="n"/>
      <c r="G1074" s="37" t="n"/>
      <c r="H1074" s="37" t="n"/>
      <c r="I1074" s="37" t="n"/>
      <c r="J1074" s="37" t="n"/>
      <c r="K1074" s="36" t="n"/>
      <c r="L1074" s="44">
        <f>IF(G1074="","",IFERROR(INDEX(Config!$K$5:$K$16,MATCH(G1074,Config!$J$5:$J$16,0)),""))</f>
        <v/>
      </c>
      <c r="M1074" s="30">
        <f>IF(OR(G1074="",F1074=""),"",IFERROR(INDEX(Config!$M$5:$R$16,MATCH(G1074,Config!$J$5:$J$16,0),MATCH(F1074,Config!$H$5:$H$10,0)),""))</f>
        <v/>
      </c>
      <c r="N1074" s="29">
        <f>IF(A1074="","",MONTH(A1074))</f>
        <v/>
      </c>
      <c r="O1074" s="29">
        <f>IF(A1074="","",YEAR(A1074))</f>
        <v/>
      </c>
      <c r="P1074" s="29">
        <f>IF(A1074="","",CHOOSE(WEEKDAY(A1074,2),"Segunda","Terça","Quarta","Quinta","Sexta","Sábado","Domingo"))</f>
        <v/>
      </c>
      <c r="Q1074" s="29">
        <f>IF(B1074="","",IF(B1074&lt;TIME(12,0,0),"Manhã",IF(B1074&lt;TIME(18,0,0),"Tarde","Noite")))</f>
        <v/>
      </c>
      <c r="R1074" s="45">
        <f>IF(AND(H1074="Realizado",L1074&lt;&gt;""),L1074/60,0)</f>
        <v>0</v>
      </c>
    </row>
    <row r="1075">
      <c r="A1075" s="42" t="n"/>
      <c r="B1075" s="43" t="n"/>
      <c r="C1075" s="37" t="n"/>
      <c r="D1075" s="37" t="n"/>
      <c r="E1075" s="36" t="n"/>
      <c r="F1075" s="37" t="n"/>
      <c r="G1075" s="37" t="n"/>
      <c r="H1075" s="37" t="n"/>
      <c r="I1075" s="37" t="n"/>
      <c r="J1075" s="37" t="n"/>
      <c r="K1075" s="36" t="n"/>
      <c r="L1075" s="44">
        <f>IF(G1075="","",IFERROR(INDEX(Config!$K$5:$K$16,MATCH(G1075,Config!$J$5:$J$16,0)),""))</f>
        <v/>
      </c>
      <c r="M1075" s="30">
        <f>IF(OR(G1075="",F1075=""),"",IFERROR(INDEX(Config!$M$5:$R$16,MATCH(G1075,Config!$J$5:$J$16,0),MATCH(F1075,Config!$H$5:$H$10,0)),""))</f>
        <v/>
      </c>
      <c r="N1075" s="29">
        <f>IF(A1075="","",MONTH(A1075))</f>
        <v/>
      </c>
      <c r="O1075" s="29">
        <f>IF(A1075="","",YEAR(A1075))</f>
        <v/>
      </c>
      <c r="P1075" s="29">
        <f>IF(A1075="","",CHOOSE(WEEKDAY(A1075,2),"Segunda","Terça","Quarta","Quinta","Sexta","Sábado","Domingo"))</f>
        <v/>
      </c>
      <c r="Q1075" s="29">
        <f>IF(B1075="","",IF(B1075&lt;TIME(12,0,0),"Manhã",IF(B1075&lt;TIME(18,0,0),"Tarde","Noite")))</f>
        <v/>
      </c>
      <c r="R1075" s="45">
        <f>IF(AND(H1075="Realizado",L1075&lt;&gt;""),L1075/60,0)</f>
        <v>0</v>
      </c>
    </row>
    <row r="1076">
      <c r="A1076" s="42" t="n"/>
      <c r="B1076" s="43" t="n"/>
      <c r="C1076" s="37" t="n"/>
      <c r="D1076" s="37" t="n"/>
      <c r="E1076" s="36" t="n"/>
      <c r="F1076" s="37" t="n"/>
      <c r="G1076" s="37" t="n"/>
      <c r="H1076" s="37" t="n"/>
      <c r="I1076" s="37" t="n"/>
      <c r="J1076" s="37" t="n"/>
      <c r="K1076" s="36" t="n"/>
      <c r="L1076" s="44">
        <f>IF(G1076="","",IFERROR(INDEX(Config!$K$5:$K$16,MATCH(G1076,Config!$J$5:$J$16,0)),""))</f>
        <v/>
      </c>
      <c r="M1076" s="30">
        <f>IF(OR(G1076="",F1076=""),"",IFERROR(INDEX(Config!$M$5:$R$16,MATCH(G1076,Config!$J$5:$J$16,0),MATCH(F1076,Config!$H$5:$H$10,0)),""))</f>
        <v/>
      </c>
      <c r="N1076" s="29">
        <f>IF(A1076="","",MONTH(A1076))</f>
        <v/>
      </c>
      <c r="O1076" s="29">
        <f>IF(A1076="","",YEAR(A1076))</f>
        <v/>
      </c>
      <c r="P1076" s="29">
        <f>IF(A1076="","",CHOOSE(WEEKDAY(A1076,2),"Segunda","Terça","Quarta","Quinta","Sexta","Sábado","Domingo"))</f>
        <v/>
      </c>
      <c r="Q1076" s="29">
        <f>IF(B1076="","",IF(B1076&lt;TIME(12,0,0),"Manhã",IF(B1076&lt;TIME(18,0,0),"Tarde","Noite")))</f>
        <v/>
      </c>
      <c r="R1076" s="45">
        <f>IF(AND(H1076="Realizado",L1076&lt;&gt;""),L1076/60,0)</f>
        <v>0</v>
      </c>
    </row>
    <row r="1077">
      <c r="A1077" s="42" t="n"/>
      <c r="B1077" s="43" t="n"/>
      <c r="C1077" s="37" t="n"/>
      <c r="D1077" s="37" t="n"/>
      <c r="E1077" s="36" t="n"/>
      <c r="F1077" s="37" t="n"/>
      <c r="G1077" s="37" t="n"/>
      <c r="H1077" s="37" t="n"/>
      <c r="I1077" s="37" t="n"/>
      <c r="J1077" s="37" t="n"/>
      <c r="K1077" s="36" t="n"/>
      <c r="L1077" s="44">
        <f>IF(G1077="","",IFERROR(INDEX(Config!$K$5:$K$16,MATCH(G1077,Config!$J$5:$J$16,0)),""))</f>
        <v/>
      </c>
      <c r="M1077" s="30">
        <f>IF(OR(G1077="",F1077=""),"",IFERROR(INDEX(Config!$M$5:$R$16,MATCH(G1077,Config!$J$5:$J$16,0),MATCH(F1077,Config!$H$5:$H$10,0)),""))</f>
        <v/>
      </c>
      <c r="N1077" s="29">
        <f>IF(A1077="","",MONTH(A1077))</f>
        <v/>
      </c>
      <c r="O1077" s="29">
        <f>IF(A1077="","",YEAR(A1077))</f>
        <v/>
      </c>
      <c r="P1077" s="29">
        <f>IF(A1077="","",CHOOSE(WEEKDAY(A1077,2),"Segunda","Terça","Quarta","Quinta","Sexta","Sábado","Domingo"))</f>
        <v/>
      </c>
      <c r="Q1077" s="29">
        <f>IF(B1077="","",IF(B1077&lt;TIME(12,0,0),"Manhã",IF(B1077&lt;TIME(18,0,0),"Tarde","Noite")))</f>
        <v/>
      </c>
      <c r="R1077" s="45">
        <f>IF(AND(H1077="Realizado",L1077&lt;&gt;""),L1077/60,0)</f>
        <v>0</v>
      </c>
    </row>
    <row r="1078">
      <c r="A1078" s="42" t="n"/>
      <c r="B1078" s="43" t="n"/>
      <c r="C1078" s="37" t="n"/>
      <c r="D1078" s="37" t="n"/>
      <c r="E1078" s="36" t="n"/>
      <c r="F1078" s="37" t="n"/>
      <c r="G1078" s="37" t="n"/>
      <c r="H1078" s="37" t="n"/>
      <c r="I1078" s="37" t="n"/>
      <c r="J1078" s="37" t="n"/>
      <c r="K1078" s="36" t="n"/>
      <c r="L1078" s="44">
        <f>IF(G1078="","",IFERROR(INDEX(Config!$K$5:$K$16,MATCH(G1078,Config!$J$5:$J$16,0)),""))</f>
        <v/>
      </c>
      <c r="M1078" s="30">
        <f>IF(OR(G1078="",F1078=""),"",IFERROR(INDEX(Config!$M$5:$R$16,MATCH(G1078,Config!$J$5:$J$16,0),MATCH(F1078,Config!$H$5:$H$10,0)),""))</f>
        <v/>
      </c>
      <c r="N1078" s="29">
        <f>IF(A1078="","",MONTH(A1078))</f>
        <v/>
      </c>
      <c r="O1078" s="29">
        <f>IF(A1078="","",YEAR(A1078))</f>
        <v/>
      </c>
      <c r="P1078" s="29">
        <f>IF(A1078="","",CHOOSE(WEEKDAY(A1078,2),"Segunda","Terça","Quarta","Quinta","Sexta","Sábado","Domingo"))</f>
        <v/>
      </c>
      <c r="Q1078" s="29">
        <f>IF(B1078="","",IF(B1078&lt;TIME(12,0,0),"Manhã",IF(B1078&lt;TIME(18,0,0),"Tarde","Noite")))</f>
        <v/>
      </c>
      <c r="R1078" s="45">
        <f>IF(AND(H1078="Realizado",L1078&lt;&gt;""),L1078/60,0)</f>
        <v>0</v>
      </c>
    </row>
    <row r="1079">
      <c r="A1079" s="42" t="n"/>
      <c r="B1079" s="43" t="n"/>
      <c r="C1079" s="37" t="n"/>
      <c r="D1079" s="37" t="n"/>
      <c r="E1079" s="36" t="n"/>
      <c r="F1079" s="37" t="n"/>
      <c r="G1079" s="37" t="n"/>
      <c r="H1079" s="37" t="n"/>
      <c r="I1079" s="37" t="n"/>
      <c r="J1079" s="37" t="n"/>
      <c r="K1079" s="36" t="n"/>
      <c r="L1079" s="44">
        <f>IF(G1079="","",IFERROR(INDEX(Config!$K$5:$K$16,MATCH(G1079,Config!$J$5:$J$16,0)),""))</f>
        <v/>
      </c>
      <c r="M1079" s="30">
        <f>IF(OR(G1079="",F1079=""),"",IFERROR(INDEX(Config!$M$5:$R$16,MATCH(G1079,Config!$J$5:$J$16,0),MATCH(F1079,Config!$H$5:$H$10,0)),""))</f>
        <v/>
      </c>
      <c r="N1079" s="29">
        <f>IF(A1079="","",MONTH(A1079))</f>
        <v/>
      </c>
      <c r="O1079" s="29">
        <f>IF(A1079="","",YEAR(A1079))</f>
        <v/>
      </c>
      <c r="P1079" s="29">
        <f>IF(A1079="","",CHOOSE(WEEKDAY(A1079,2),"Segunda","Terça","Quarta","Quinta","Sexta","Sábado","Domingo"))</f>
        <v/>
      </c>
      <c r="Q1079" s="29">
        <f>IF(B1079="","",IF(B1079&lt;TIME(12,0,0),"Manhã",IF(B1079&lt;TIME(18,0,0),"Tarde","Noite")))</f>
        <v/>
      </c>
      <c r="R1079" s="45">
        <f>IF(AND(H1079="Realizado",L1079&lt;&gt;""),L1079/60,0)</f>
        <v>0</v>
      </c>
    </row>
    <row r="1080">
      <c r="A1080" s="42" t="n"/>
      <c r="B1080" s="43" t="n"/>
      <c r="C1080" s="37" t="n"/>
      <c r="D1080" s="37" t="n"/>
      <c r="E1080" s="36" t="n"/>
      <c r="F1080" s="37" t="n"/>
      <c r="G1080" s="37" t="n"/>
      <c r="H1080" s="37" t="n"/>
      <c r="I1080" s="37" t="n"/>
      <c r="J1080" s="37" t="n"/>
      <c r="K1080" s="36" t="n"/>
      <c r="L1080" s="44">
        <f>IF(G1080="","",IFERROR(INDEX(Config!$K$5:$K$16,MATCH(G1080,Config!$J$5:$J$16,0)),""))</f>
        <v/>
      </c>
      <c r="M1080" s="30">
        <f>IF(OR(G1080="",F1080=""),"",IFERROR(INDEX(Config!$M$5:$R$16,MATCH(G1080,Config!$J$5:$J$16,0),MATCH(F1080,Config!$H$5:$H$10,0)),""))</f>
        <v/>
      </c>
      <c r="N1080" s="29">
        <f>IF(A1080="","",MONTH(A1080))</f>
        <v/>
      </c>
      <c r="O1080" s="29">
        <f>IF(A1080="","",YEAR(A1080))</f>
        <v/>
      </c>
      <c r="P1080" s="29">
        <f>IF(A1080="","",CHOOSE(WEEKDAY(A1080,2),"Segunda","Terça","Quarta","Quinta","Sexta","Sábado","Domingo"))</f>
        <v/>
      </c>
      <c r="Q1080" s="29">
        <f>IF(B1080="","",IF(B1080&lt;TIME(12,0,0),"Manhã",IF(B1080&lt;TIME(18,0,0),"Tarde","Noite")))</f>
        <v/>
      </c>
      <c r="R1080" s="45">
        <f>IF(AND(H1080="Realizado",L1080&lt;&gt;""),L1080/60,0)</f>
        <v>0</v>
      </c>
    </row>
    <row r="1081">
      <c r="A1081" s="42" t="n"/>
      <c r="B1081" s="43" t="n"/>
      <c r="C1081" s="37" t="n"/>
      <c r="D1081" s="37" t="n"/>
      <c r="E1081" s="36" t="n"/>
      <c r="F1081" s="37" t="n"/>
      <c r="G1081" s="37" t="n"/>
      <c r="H1081" s="37" t="n"/>
      <c r="I1081" s="37" t="n"/>
      <c r="J1081" s="37" t="n"/>
      <c r="K1081" s="36" t="n"/>
      <c r="L1081" s="44">
        <f>IF(G1081="","",IFERROR(INDEX(Config!$K$5:$K$16,MATCH(G1081,Config!$J$5:$J$16,0)),""))</f>
        <v/>
      </c>
      <c r="M1081" s="30">
        <f>IF(OR(G1081="",F1081=""),"",IFERROR(INDEX(Config!$M$5:$R$16,MATCH(G1081,Config!$J$5:$J$16,0),MATCH(F1081,Config!$H$5:$H$10,0)),""))</f>
        <v/>
      </c>
      <c r="N1081" s="29">
        <f>IF(A1081="","",MONTH(A1081))</f>
        <v/>
      </c>
      <c r="O1081" s="29">
        <f>IF(A1081="","",YEAR(A1081))</f>
        <v/>
      </c>
      <c r="P1081" s="29">
        <f>IF(A1081="","",CHOOSE(WEEKDAY(A1081,2),"Segunda","Terça","Quarta","Quinta","Sexta","Sábado","Domingo"))</f>
        <v/>
      </c>
      <c r="Q1081" s="29">
        <f>IF(B1081="","",IF(B1081&lt;TIME(12,0,0),"Manhã",IF(B1081&lt;TIME(18,0,0),"Tarde","Noite")))</f>
        <v/>
      </c>
      <c r="R1081" s="45">
        <f>IF(AND(H1081="Realizado",L1081&lt;&gt;""),L1081/60,0)</f>
        <v>0</v>
      </c>
    </row>
    <row r="1082">
      <c r="A1082" s="42" t="n"/>
      <c r="B1082" s="43" t="n"/>
      <c r="C1082" s="37" t="n"/>
      <c r="D1082" s="37" t="n"/>
      <c r="E1082" s="36" t="n"/>
      <c r="F1082" s="37" t="n"/>
      <c r="G1082" s="37" t="n"/>
      <c r="H1082" s="37" t="n"/>
      <c r="I1082" s="37" t="n"/>
      <c r="J1082" s="37" t="n"/>
      <c r="K1082" s="36" t="n"/>
      <c r="L1082" s="44">
        <f>IF(G1082="","",IFERROR(INDEX(Config!$K$5:$K$16,MATCH(G1082,Config!$J$5:$J$16,0)),""))</f>
        <v/>
      </c>
      <c r="M1082" s="30">
        <f>IF(OR(G1082="",F1082=""),"",IFERROR(INDEX(Config!$M$5:$R$16,MATCH(G1082,Config!$J$5:$J$16,0),MATCH(F1082,Config!$H$5:$H$10,0)),""))</f>
        <v/>
      </c>
      <c r="N1082" s="29">
        <f>IF(A1082="","",MONTH(A1082))</f>
        <v/>
      </c>
      <c r="O1082" s="29">
        <f>IF(A1082="","",YEAR(A1082))</f>
        <v/>
      </c>
      <c r="P1082" s="29">
        <f>IF(A1082="","",CHOOSE(WEEKDAY(A1082,2),"Segunda","Terça","Quarta","Quinta","Sexta","Sábado","Domingo"))</f>
        <v/>
      </c>
      <c r="Q1082" s="29">
        <f>IF(B1082="","",IF(B1082&lt;TIME(12,0,0),"Manhã",IF(B1082&lt;TIME(18,0,0),"Tarde","Noite")))</f>
        <v/>
      </c>
      <c r="R1082" s="45">
        <f>IF(AND(H1082="Realizado",L1082&lt;&gt;""),L1082/60,0)</f>
        <v>0</v>
      </c>
    </row>
    <row r="1083">
      <c r="A1083" s="42" t="n"/>
      <c r="B1083" s="43" t="n"/>
      <c r="C1083" s="37" t="n"/>
      <c r="D1083" s="37" t="n"/>
      <c r="E1083" s="36" t="n"/>
      <c r="F1083" s="37" t="n"/>
      <c r="G1083" s="37" t="n"/>
      <c r="H1083" s="37" t="n"/>
      <c r="I1083" s="37" t="n"/>
      <c r="J1083" s="37" t="n"/>
      <c r="K1083" s="36" t="n"/>
      <c r="L1083" s="44">
        <f>IF(G1083="","",IFERROR(INDEX(Config!$K$5:$K$16,MATCH(G1083,Config!$J$5:$J$16,0)),""))</f>
        <v/>
      </c>
      <c r="M1083" s="30">
        <f>IF(OR(G1083="",F1083=""),"",IFERROR(INDEX(Config!$M$5:$R$16,MATCH(G1083,Config!$J$5:$J$16,0),MATCH(F1083,Config!$H$5:$H$10,0)),""))</f>
        <v/>
      </c>
      <c r="N1083" s="29">
        <f>IF(A1083="","",MONTH(A1083))</f>
        <v/>
      </c>
      <c r="O1083" s="29">
        <f>IF(A1083="","",YEAR(A1083))</f>
        <v/>
      </c>
      <c r="P1083" s="29">
        <f>IF(A1083="","",CHOOSE(WEEKDAY(A1083,2),"Segunda","Terça","Quarta","Quinta","Sexta","Sábado","Domingo"))</f>
        <v/>
      </c>
      <c r="Q1083" s="29">
        <f>IF(B1083="","",IF(B1083&lt;TIME(12,0,0),"Manhã",IF(B1083&lt;TIME(18,0,0),"Tarde","Noite")))</f>
        <v/>
      </c>
      <c r="R1083" s="45">
        <f>IF(AND(H1083="Realizado",L1083&lt;&gt;""),L1083/60,0)</f>
        <v>0</v>
      </c>
    </row>
    <row r="1084">
      <c r="A1084" s="42" t="n"/>
      <c r="B1084" s="43" t="n"/>
      <c r="C1084" s="37" t="n"/>
      <c r="D1084" s="37" t="n"/>
      <c r="E1084" s="36" t="n"/>
      <c r="F1084" s="37" t="n"/>
      <c r="G1084" s="37" t="n"/>
      <c r="H1084" s="37" t="n"/>
      <c r="I1084" s="37" t="n"/>
      <c r="J1084" s="37" t="n"/>
      <c r="K1084" s="36" t="n"/>
      <c r="L1084" s="44">
        <f>IF(G1084="","",IFERROR(INDEX(Config!$K$5:$K$16,MATCH(G1084,Config!$J$5:$J$16,0)),""))</f>
        <v/>
      </c>
      <c r="M1084" s="30">
        <f>IF(OR(G1084="",F1084=""),"",IFERROR(INDEX(Config!$M$5:$R$16,MATCH(G1084,Config!$J$5:$J$16,0),MATCH(F1084,Config!$H$5:$H$10,0)),""))</f>
        <v/>
      </c>
      <c r="N1084" s="29">
        <f>IF(A1084="","",MONTH(A1084))</f>
        <v/>
      </c>
      <c r="O1084" s="29">
        <f>IF(A1084="","",YEAR(A1084))</f>
        <v/>
      </c>
      <c r="P1084" s="29">
        <f>IF(A1084="","",CHOOSE(WEEKDAY(A1084,2),"Segunda","Terça","Quarta","Quinta","Sexta","Sábado","Domingo"))</f>
        <v/>
      </c>
      <c r="Q1084" s="29">
        <f>IF(B1084="","",IF(B1084&lt;TIME(12,0,0),"Manhã",IF(B1084&lt;TIME(18,0,0),"Tarde","Noite")))</f>
        <v/>
      </c>
      <c r="R1084" s="45">
        <f>IF(AND(H1084="Realizado",L1084&lt;&gt;""),L1084/60,0)</f>
        <v>0</v>
      </c>
    </row>
    <row r="1085">
      <c r="A1085" s="42" t="n"/>
      <c r="B1085" s="43" t="n"/>
      <c r="C1085" s="37" t="n"/>
      <c r="D1085" s="37" t="n"/>
      <c r="E1085" s="36" t="n"/>
      <c r="F1085" s="37" t="n"/>
      <c r="G1085" s="37" t="n"/>
      <c r="H1085" s="37" t="n"/>
      <c r="I1085" s="37" t="n"/>
      <c r="J1085" s="37" t="n"/>
      <c r="K1085" s="36" t="n"/>
      <c r="L1085" s="44">
        <f>IF(G1085="","",IFERROR(INDEX(Config!$K$5:$K$16,MATCH(G1085,Config!$J$5:$J$16,0)),""))</f>
        <v/>
      </c>
      <c r="M1085" s="30">
        <f>IF(OR(G1085="",F1085=""),"",IFERROR(INDEX(Config!$M$5:$R$16,MATCH(G1085,Config!$J$5:$J$16,0),MATCH(F1085,Config!$H$5:$H$10,0)),""))</f>
        <v/>
      </c>
      <c r="N1085" s="29">
        <f>IF(A1085="","",MONTH(A1085))</f>
        <v/>
      </c>
      <c r="O1085" s="29">
        <f>IF(A1085="","",YEAR(A1085))</f>
        <v/>
      </c>
      <c r="P1085" s="29">
        <f>IF(A1085="","",CHOOSE(WEEKDAY(A1085,2),"Segunda","Terça","Quarta","Quinta","Sexta","Sábado","Domingo"))</f>
        <v/>
      </c>
      <c r="Q1085" s="29">
        <f>IF(B1085="","",IF(B1085&lt;TIME(12,0,0),"Manhã",IF(B1085&lt;TIME(18,0,0),"Tarde","Noite")))</f>
        <v/>
      </c>
      <c r="R1085" s="45">
        <f>IF(AND(H1085="Realizado",L1085&lt;&gt;""),L1085/60,0)</f>
        <v>0</v>
      </c>
    </row>
    <row r="1086">
      <c r="A1086" s="42" t="n"/>
      <c r="B1086" s="43" t="n"/>
      <c r="C1086" s="37" t="n"/>
      <c r="D1086" s="37" t="n"/>
      <c r="E1086" s="36" t="n"/>
      <c r="F1086" s="37" t="n"/>
      <c r="G1086" s="37" t="n"/>
      <c r="H1086" s="37" t="n"/>
      <c r="I1086" s="37" t="n"/>
      <c r="J1086" s="37" t="n"/>
      <c r="K1086" s="36" t="n"/>
      <c r="L1086" s="44">
        <f>IF(G1086="","",IFERROR(INDEX(Config!$K$5:$K$16,MATCH(G1086,Config!$J$5:$J$16,0)),""))</f>
        <v/>
      </c>
      <c r="M1086" s="30">
        <f>IF(OR(G1086="",F1086=""),"",IFERROR(INDEX(Config!$M$5:$R$16,MATCH(G1086,Config!$J$5:$J$16,0),MATCH(F1086,Config!$H$5:$H$10,0)),""))</f>
        <v/>
      </c>
      <c r="N1086" s="29">
        <f>IF(A1086="","",MONTH(A1086))</f>
        <v/>
      </c>
      <c r="O1086" s="29">
        <f>IF(A1086="","",YEAR(A1086))</f>
        <v/>
      </c>
      <c r="P1086" s="29">
        <f>IF(A1086="","",CHOOSE(WEEKDAY(A1086,2),"Segunda","Terça","Quarta","Quinta","Sexta","Sábado","Domingo"))</f>
        <v/>
      </c>
      <c r="Q1086" s="29">
        <f>IF(B1086="","",IF(B1086&lt;TIME(12,0,0),"Manhã",IF(B1086&lt;TIME(18,0,0),"Tarde","Noite")))</f>
        <v/>
      </c>
      <c r="R1086" s="45">
        <f>IF(AND(H1086="Realizado",L1086&lt;&gt;""),L1086/60,0)</f>
        <v>0</v>
      </c>
    </row>
    <row r="1087">
      <c r="A1087" s="42" t="n"/>
      <c r="B1087" s="43" t="n"/>
      <c r="C1087" s="37" t="n"/>
      <c r="D1087" s="37" t="n"/>
      <c r="E1087" s="36" t="n"/>
      <c r="F1087" s="37" t="n"/>
      <c r="G1087" s="37" t="n"/>
      <c r="H1087" s="37" t="n"/>
      <c r="I1087" s="37" t="n"/>
      <c r="J1087" s="37" t="n"/>
      <c r="K1087" s="36" t="n"/>
      <c r="L1087" s="44">
        <f>IF(G1087="","",IFERROR(INDEX(Config!$K$5:$K$16,MATCH(G1087,Config!$J$5:$J$16,0)),""))</f>
        <v/>
      </c>
      <c r="M1087" s="30">
        <f>IF(OR(G1087="",F1087=""),"",IFERROR(INDEX(Config!$M$5:$R$16,MATCH(G1087,Config!$J$5:$J$16,0),MATCH(F1087,Config!$H$5:$H$10,0)),""))</f>
        <v/>
      </c>
      <c r="N1087" s="29">
        <f>IF(A1087="","",MONTH(A1087))</f>
        <v/>
      </c>
      <c r="O1087" s="29">
        <f>IF(A1087="","",YEAR(A1087))</f>
        <v/>
      </c>
      <c r="P1087" s="29">
        <f>IF(A1087="","",CHOOSE(WEEKDAY(A1087,2),"Segunda","Terça","Quarta","Quinta","Sexta","Sábado","Domingo"))</f>
        <v/>
      </c>
      <c r="Q1087" s="29">
        <f>IF(B1087="","",IF(B1087&lt;TIME(12,0,0),"Manhã",IF(B1087&lt;TIME(18,0,0),"Tarde","Noite")))</f>
        <v/>
      </c>
      <c r="R1087" s="45">
        <f>IF(AND(H1087="Realizado",L1087&lt;&gt;""),L1087/60,0)</f>
        <v>0</v>
      </c>
    </row>
    <row r="1088">
      <c r="A1088" s="42" t="n"/>
      <c r="B1088" s="43" t="n"/>
      <c r="C1088" s="37" t="n"/>
      <c r="D1088" s="37" t="n"/>
      <c r="E1088" s="36" t="n"/>
      <c r="F1088" s="37" t="n"/>
      <c r="G1088" s="37" t="n"/>
      <c r="H1088" s="37" t="n"/>
      <c r="I1088" s="37" t="n"/>
      <c r="J1088" s="37" t="n"/>
      <c r="K1088" s="36" t="n"/>
      <c r="L1088" s="44">
        <f>IF(G1088="","",IFERROR(INDEX(Config!$K$5:$K$16,MATCH(G1088,Config!$J$5:$J$16,0)),""))</f>
        <v/>
      </c>
      <c r="M1088" s="30">
        <f>IF(OR(G1088="",F1088=""),"",IFERROR(INDEX(Config!$M$5:$R$16,MATCH(G1088,Config!$J$5:$J$16,0),MATCH(F1088,Config!$H$5:$H$10,0)),""))</f>
        <v/>
      </c>
      <c r="N1088" s="29">
        <f>IF(A1088="","",MONTH(A1088))</f>
        <v/>
      </c>
      <c r="O1088" s="29">
        <f>IF(A1088="","",YEAR(A1088))</f>
        <v/>
      </c>
      <c r="P1088" s="29">
        <f>IF(A1088="","",CHOOSE(WEEKDAY(A1088,2),"Segunda","Terça","Quarta","Quinta","Sexta","Sábado","Domingo"))</f>
        <v/>
      </c>
      <c r="Q1088" s="29">
        <f>IF(B1088="","",IF(B1088&lt;TIME(12,0,0),"Manhã",IF(B1088&lt;TIME(18,0,0),"Tarde","Noite")))</f>
        <v/>
      </c>
      <c r="R1088" s="45">
        <f>IF(AND(H1088="Realizado",L1088&lt;&gt;""),L1088/60,0)</f>
        <v>0</v>
      </c>
    </row>
    <row r="1089">
      <c r="A1089" s="42" t="n"/>
      <c r="B1089" s="43" t="n"/>
      <c r="C1089" s="37" t="n"/>
      <c r="D1089" s="37" t="n"/>
      <c r="E1089" s="36" t="n"/>
      <c r="F1089" s="37" t="n"/>
      <c r="G1089" s="37" t="n"/>
      <c r="H1089" s="37" t="n"/>
      <c r="I1089" s="37" t="n"/>
      <c r="J1089" s="37" t="n"/>
      <c r="K1089" s="36" t="n"/>
      <c r="L1089" s="44">
        <f>IF(G1089="","",IFERROR(INDEX(Config!$K$5:$K$16,MATCH(G1089,Config!$J$5:$J$16,0)),""))</f>
        <v/>
      </c>
      <c r="M1089" s="30">
        <f>IF(OR(G1089="",F1089=""),"",IFERROR(INDEX(Config!$M$5:$R$16,MATCH(G1089,Config!$J$5:$J$16,0),MATCH(F1089,Config!$H$5:$H$10,0)),""))</f>
        <v/>
      </c>
      <c r="N1089" s="29">
        <f>IF(A1089="","",MONTH(A1089))</f>
        <v/>
      </c>
      <c r="O1089" s="29">
        <f>IF(A1089="","",YEAR(A1089))</f>
        <v/>
      </c>
      <c r="P1089" s="29">
        <f>IF(A1089="","",CHOOSE(WEEKDAY(A1089,2),"Segunda","Terça","Quarta","Quinta","Sexta","Sábado","Domingo"))</f>
        <v/>
      </c>
      <c r="Q1089" s="29">
        <f>IF(B1089="","",IF(B1089&lt;TIME(12,0,0),"Manhã",IF(B1089&lt;TIME(18,0,0),"Tarde","Noite")))</f>
        <v/>
      </c>
      <c r="R1089" s="45">
        <f>IF(AND(H1089="Realizado",L1089&lt;&gt;""),L1089/60,0)</f>
        <v>0</v>
      </c>
    </row>
    <row r="1090">
      <c r="A1090" s="42" t="n"/>
      <c r="B1090" s="43" t="n"/>
      <c r="C1090" s="37" t="n"/>
      <c r="D1090" s="37" t="n"/>
      <c r="E1090" s="36" t="n"/>
      <c r="F1090" s="37" t="n"/>
      <c r="G1090" s="37" t="n"/>
      <c r="H1090" s="37" t="n"/>
      <c r="I1090" s="37" t="n"/>
      <c r="J1090" s="37" t="n"/>
      <c r="K1090" s="36" t="n"/>
      <c r="L1090" s="44">
        <f>IF(G1090="","",IFERROR(INDEX(Config!$K$5:$K$16,MATCH(G1090,Config!$J$5:$J$16,0)),""))</f>
        <v/>
      </c>
      <c r="M1090" s="30">
        <f>IF(OR(G1090="",F1090=""),"",IFERROR(INDEX(Config!$M$5:$R$16,MATCH(G1090,Config!$J$5:$J$16,0),MATCH(F1090,Config!$H$5:$H$10,0)),""))</f>
        <v/>
      </c>
      <c r="N1090" s="29">
        <f>IF(A1090="","",MONTH(A1090))</f>
        <v/>
      </c>
      <c r="O1090" s="29">
        <f>IF(A1090="","",YEAR(A1090))</f>
        <v/>
      </c>
      <c r="P1090" s="29">
        <f>IF(A1090="","",CHOOSE(WEEKDAY(A1090,2),"Segunda","Terça","Quarta","Quinta","Sexta","Sábado","Domingo"))</f>
        <v/>
      </c>
      <c r="Q1090" s="29">
        <f>IF(B1090="","",IF(B1090&lt;TIME(12,0,0),"Manhã",IF(B1090&lt;TIME(18,0,0),"Tarde","Noite")))</f>
        <v/>
      </c>
      <c r="R1090" s="45">
        <f>IF(AND(H1090="Realizado",L1090&lt;&gt;""),L1090/60,0)</f>
        <v>0</v>
      </c>
    </row>
    <row r="1091">
      <c r="A1091" s="42" t="n"/>
      <c r="B1091" s="43" t="n"/>
      <c r="C1091" s="37" t="n"/>
      <c r="D1091" s="37" t="n"/>
      <c r="E1091" s="36" t="n"/>
      <c r="F1091" s="37" t="n"/>
      <c r="G1091" s="37" t="n"/>
      <c r="H1091" s="37" t="n"/>
      <c r="I1091" s="37" t="n"/>
      <c r="J1091" s="37" t="n"/>
      <c r="K1091" s="36" t="n"/>
      <c r="L1091" s="44">
        <f>IF(G1091="","",IFERROR(INDEX(Config!$K$5:$K$16,MATCH(G1091,Config!$J$5:$J$16,0)),""))</f>
        <v/>
      </c>
      <c r="M1091" s="30">
        <f>IF(OR(G1091="",F1091=""),"",IFERROR(INDEX(Config!$M$5:$R$16,MATCH(G1091,Config!$J$5:$J$16,0),MATCH(F1091,Config!$H$5:$H$10,0)),""))</f>
        <v/>
      </c>
      <c r="N1091" s="29">
        <f>IF(A1091="","",MONTH(A1091))</f>
        <v/>
      </c>
      <c r="O1091" s="29">
        <f>IF(A1091="","",YEAR(A1091))</f>
        <v/>
      </c>
      <c r="P1091" s="29">
        <f>IF(A1091="","",CHOOSE(WEEKDAY(A1091,2),"Segunda","Terça","Quarta","Quinta","Sexta","Sábado","Domingo"))</f>
        <v/>
      </c>
      <c r="Q1091" s="29">
        <f>IF(B1091="","",IF(B1091&lt;TIME(12,0,0),"Manhã",IF(B1091&lt;TIME(18,0,0),"Tarde","Noite")))</f>
        <v/>
      </c>
      <c r="R1091" s="45">
        <f>IF(AND(H1091="Realizado",L1091&lt;&gt;""),L1091/60,0)</f>
        <v>0</v>
      </c>
    </row>
    <row r="1092">
      <c r="A1092" s="42" t="n"/>
      <c r="B1092" s="43" t="n"/>
      <c r="C1092" s="37" t="n"/>
      <c r="D1092" s="37" t="n"/>
      <c r="E1092" s="36" t="n"/>
      <c r="F1092" s="37" t="n"/>
      <c r="G1092" s="37" t="n"/>
      <c r="H1092" s="37" t="n"/>
      <c r="I1092" s="37" t="n"/>
      <c r="J1092" s="37" t="n"/>
      <c r="K1092" s="36" t="n"/>
      <c r="L1092" s="44">
        <f>IF(G1092="","",IFERROR(INDEX(Config!$K$5:$K$16,MATCH(G1092,Config!$J$5:$J$16,0)),""))</f>
        <v/>
      </c>
      <c r="M1092" s="30">
        <f>IF(OR(G1092="",F1092=""),"",IFERROR(INDEX(Config!$M$5:$R$16,MATCH(G1092,Config!$J$5:$J$16,0),MATCH(F1092,Config!$H$5:$H$10,0)),""))</f>
        <v/>
      </c>
      <c r="N1092" s="29">
        <f>IF(A1092="","",MONTH(A1092))</f>
        <v/>
      </c>
      <c r="O1092" s="29">
        <f>IF(A1092="","",YEAR(A1092))</f>
        <v/>
      </c>
      <c r="P1092" s="29">
        <f>IF(A1092="","",CHOOSE(WEEKDAY(A1092,2),"Segunda","Terça","Quarta","Quinta","Sexta","Sábado","Domingo"))</f>
        <v/>
      </c>
      <c r="Q1092" s="29">
        <f>IF(B1092="","",IF(B1092&lt;TIME(12,0,0),"Manhã",IF(B1092&lt;TIME(18,0,0),"Tarde","Noite")))</f>
        <v/>
      </c>
      <c r="R1092" s="45">
        <f>IF(AND(H1092="Realizado",L1092&lt;&gt;""),L1092/60,0)</f>
        <v>0</v>
      </c>
    </row>
    <row r="1093">
      <c r="A1093" s="42" t="n"/>
      <c r="B1093" s="43" t="n"/>
      <c r="C1093" s="37" t="n"/>
      <c r="D1093" s="37" t="n"/>
      <c r="E1093" s="36" t="n"/>
      <c r="F1093" s="37" t="n"/>
      <c r="G1093" s="37" t="n"/>
      <c r="H1093" s="37" t="n"/>
      <c r="I1093" s="37" t="n"/>
      <c r="J1093" s="37" t="n"/>
      <c r="K1093" s="36" t="n"/>
      <c r="L1093" s="44">
        <f>IF(G1093="","",IFERROR(INDEX(Config!$K$5:$K$16,MATCH(G1093,Config!$J$5:$J$16,0)),""))</f>
        <v/>
      </c>
      <c r="M1093" s="30">
        <f>IF(OR(G1093="",F1093=""),"",IFERROR(INDEX(Config!$M$5:$R$16,MATCH(G1093,Config!$J$5:$J$16,0),MATCH(F1093,Config!$H$5:$H$10,0)),""))</f>
        <v/>
      </c>
      <c r="N1093" s="29">
        <f>IF(A1093="","",MONTH(A1093))</f>
        <v/>
      </c>
      <c r="O1093" s="29">
        <f>IF(A1093="","",YEAR(A1093))</f>
        <v/>
      </c>
      <c r="P1093" s="29">
        <f>IF(A1093="","",CHOOSE(WEEKDAY(A1093,2),"Segunda","Terça","Quarta","Quinta","Sexta","Sábado","Domingo"))</f>
        <v/>
      </c>
      <c r="Q1093" s="29">
        <f>IF(B1093="","",IF(B1093&lt;TIME(12,0,0),"Manhã",IF(B1093&lt;TIME(18,0,0),"Tarde","Noite")))</f>
        <v/>
      </c>
      <c r="R1093" s="45">
        <f>IF(AND(H1093="Realizado",L1093&lt;&gt;""),L1093/60,0)</f>
        <v>0</v>
      </c>
    </row>
    <row r="1094">
      <c r="A1094" s="42" t="n"/>
      <c r="B1094" s="43" t="n"/>
      <c r="C1094" s="37" t="n"/>
      <c r="D1094" s="37" t="n"/>
      <c r="E1094" s="36" t="n"/>
      <c r="F1094" s="37" t="n"/>
      <c r="G1094" s="37" t="n"/>
      <c r="H1094" s="37" t="n"/>
      <c r="I1094" s="37" t="n"/>
      <c r="J1094" s="37" t="n"/>
      <c r="K1094" s="36" t="n"/>
      <c r="L1094" s="44">
        <f>IF(G1094="","",IFERROR(INDEX(Config!$K$5:$K$16,MATCH(G1094,Config!$J$5:$J$16,0)),""))</f>
        <v/>
      </c>
      <c r="M1094" s="30">
        <f>IF(OR(G1094="",F1094=""),"",IFERROR(INDEX(Config!$M$5:$R$16,MATCH(G1094,Config!$J$5:$J$16,0),MATCH(F1094,Config!$H$5:$H$10,0)),""))</f>
        <v/>
      </c>
      <c r="N1094" s="29">
        <f>IF(A1094="","",MONTH(A1094))</f>
        <v/>
      </c>
      <c r="O1094" s="29">
        <f>IF(A1094="","",YEAR(A1094))</f>
        <v/>
      </c>
      <c r="P1094" s="29">
        <f>IF(A1094="","",CHOOSE(WEEKDAY(A1094,2),"Segunda","Terça","Quarta","Quinta","Sexta","Sábado","Domingo"))</f>
        <v/>
      </c>
      <c r="Q1094" s="29">
        <f>IF(B1094="","",IF(B1094&lt;TIME(12,0,0),"Manhã",IF(B1094&lt;TIME(18,0,0),"Tarde","Noite")))</f>
        <v/>
      </c>
      <c r="R1094" s="45">
        <f>IF(AND(H1094="Realizado",L1094&lt;&gt;""),L1094/60,0)</f>
        <v>0</v>
      </c>
    </row>
    <row r="1095">
      <c r="A1095" s="42" t="n"/>
      <c r="B1095" s="43" t="n"/>
      <c r="C1095" s="37" t="n"/>
      <c r="D1095" s="37" t="n"/>
      <c r="E1095" s="36" t="n"/>
      <c r="F1095" s="37" t="n"/>
      <c r="G1095" s="37" t="n"/>
      <c r="H1095" s="37" t="n"/>
      <c r="I1095" s="37" t="n"/>
      <c r="J1095" s="37" t="n"/>
      <c r="K1095" s="36" t="n"/>
      <c r="L1095" s="44">
        <f>IF(G1095="","",IFERROR(INDEX(Config!$K$5:$K$16,MATCH(G1095,Config!$J$5:$J$16,0)),""))</f>
        <v/>
      </c>
      <c r="M1095" s="30">
        <f>IF(OR(G1095="",F1095=""),"",IFERROR(INDEX(Config!$M$5:$R$16,MATCH(G1095,Config!$J$5:$J$16,0),MATCH(F1095,Config!$H$5:$H$10,0)),""))</f>
        <v/>
      </c>
      <c r="N1095" s="29">
        <f>IF(A1095="","",MONTH(A1095))</f>
        <v/>
      </c>
      <c r="O1095" s="29">
        <f>IF(A1095="","",YEAR(A1095))</f>
        <v/>
      </c>
      <c r="P1095" s="29">
        <f>IF(A1095="","",CHOOSE(WEEKDAY(A1095,2),"Segunda","Terça","Quarta","Quinta","Sexta","Sábado","Domingo"))</f>
        <v/>
      </c>
      <c r="Q1095" s="29">
        <f>IF(B1095="","",IF(B1095&lt;TIME(12,0,0),"Manhã",IF(B1095&lt;TIME(18,0,0),"Tarde","Noite")))</f>
        <v/>
      </c>
      <c r="R1095" s="45">
        <f>IF(AND(H1095="Realizado",L1095&lt;&gt;""),L1095/60,0)</f>
        <v>0</v>
      </c>
    </row>
    <row r="1096">
      <c r="A1096" s="42" t="n"/>
      <c r="B1096" s="43" t="n"/>
      <c r="C1096" s="37" t="n"/>
      <c r="D1096" s="37" t="n"/>
      <c r="E1096" s="36" t="n"/>
      <c r="F1096" s="37" t="n"/>
      <c r="G1096" s="37" t="n"/>
      <c r="H1096" s="37" t="n"/>
      <c r="I1096" s="37" t="n"/>
      <c r="J1096" s="37" t="n"/>
      <c r="K1096" s="36" t="n"/>
      <c r="L1096" s="44">
        <f>IF(G1096="","",IFERROR(INDEX(Config!$K$5:$K$16,MATCH(G1096,Config!$J$5:$J$16,0)),""))</f>
        <v/>
      </c>
      <c r="M1096" s="30">
        <f>IF(OR(G1096="",F1096=""),"",IFERROR(INDEX(Config!$M$5:$R$16,MATCH(G1096,Config!$J$5:$J$16,0),MATCH(F1096,Config!$H$5:$H$10,0)),""))</f>
        <v/>
      </c>
      <c r="N1096" s="29">
        <f>IF(A1096="","",MONTH(A1096))</f>
        <v/>
      </c>
      <c r="O1096" s="29">
        <f>IF(A1096="","",YEAR(A1096))</f>
        <v/>
      </c>
      <c r="P1096" s="29">
        <f>IF(A1096="","",CHOOSE(WEEKDAY(A1096,2),"Segunda","Terça","Quarta","Quinta","Sexta","Sábado","Domingo"))</f>
        <v/>
      </c>
      <c r="Q1096" s="29">
        <f>IF(B1096="","",IF(B1096&lt;TIME(12,0,0),"Manhã",IF(B1096&lt;TIME(18,0,0),"Tarde","Noite")))</f>
        <v/>
      </c>
      <c r="R1096" s="45">
        <f>IF(AND(H1096="Realizado",L1096&lt;&gt;""),L1096/60,0)</f>
        <v>0</v>
      </c>
    </row>
    <row r="1097">
      <c r="A1097" s="42" t="n"/>
      <c r="B1097" s="43" t="n"/>
      <c r="C1097" s="37" t="n"/>
      <c r="D1097" s="37" t="n"/>
      <c r="E1097" s="36" t="n"/>
      <c r="F1097" s="37" t="n"/>
      <c r="G1097" s="37" t="n"/>
      <c r="H1097" s="37" t="n"/>
      <c r="I1097" s="37" t="n"/>
      <c r="J1097" s="37" t="n"/>
      <c r="K1097" s="36" t="n"/>
      <c r="L1097" s="44">
        <f>IF(G1097="","",IFERROR(INDEX(Config!$K$5:$K$16,MATCH(G1097,Config!$J$5:$J$16,0)),""))</f>
        <v/>
      </c>
      <c r="M1097" s="30">
        <f>IF(OR(G1097="",F1097=""),"",IFERROR(INDEX(Config!$M$5:$R$16,MATCH(G1097,Config!$J$5:$J$16,0),MATCH(F1097,Config!$H$5:$H$10,0)),""))</f>
        <v/>
      </c>
      <c r="N1097" s="29">
        <f>IF(A1097="","",MONTH(A1097))</f>
        <v/>
      </c>
      <c r="O1097" s="29">
        <f>IF(A1097="","",YEAR(A1097))</f>
        <v/>
      </c>
      <c r="P1097" s="29">
        <f>IF(A1097="","",CHOOSE(WEEKDAY(A1097,2),"Segunda","Terça","Quarta","Quinta","Sexta","Sábado","Domingo"))</f>
        <v/>
      </c>
      <c r="Q1097" s="29">
        <f>IF(B1097="","",IF(B1097&lt;TIME(12,0,0),"Manhã",IF(B1097&lt;TIME(18,0,0),"Tarde","Noite")))</f>
        <v/>
      </c>
      <c r="R1097" s="45">
        <f>IF(AND(H1097="Realizado",L1097&lt;&gt;""),L1097/60,0)</f>
        <v>0</v>
      </c>
    </row>
    <row r="1098">
      <c r="A1098" s="42" t="n"/>
      <c r="B1098" s="43" t="n"/>
      <c r="C1098" s="37" t="n"/>
      <c r="D1098" s="37" t="n"/>
      <c r="E1098" s="36" t="n"/>
      <c r="F1098" s="37" t="n"/>
      <c r="G1098" s="37" t="n"/>
      <c r="H1098" s="37" t="n"/>
      <c r="I1098" s="37" t="n"/>
      <c r="J1098" s="37" t="n"/>
      <c r="K1098" s="36" t="n"/>
      <c r="L1098" s="44">
        <f>IF(G1098="","",IFERROR(INDEX(Config!$K$5:$K$16,MATCH(G1098,Config!$J$5:$J$16,0)),""))</f>
        <v/>
      </c>
      <c r="M1098" s="30">
        <f>IF(OR(G1098="",F1098=""),"",IFERROR(INDEX(Config!$M$5:$R$16,MATCH(G1098,Config!$J$5:$J$16,0),MATCH(F1098,Config!$H$5:$H$10,0)),""))</f>
        <v/>
      </c>
      <c r="N1098" s="29">
        <f>IF(A1098="","",MONTH(A1098))</f>
        <v/>
      </c>
      <c r="O1098" s="29">
        <f>IF(A1098="","",YEAR(A1098))</f>
        <v/>
      </c>
      <c r="P1098" s="29">
        <f>IF(A1098="","",CHOOSE(WEEKDAY(A1098,2),"Segunda","Terça","Quarta","Quinta","Sexta","Sábado","Domingo"))</f>
        <v/>
      </c>
      <c r="Q1098" s="29">
        <f>IF(B1098="","",IF(B1098&lt;TIME(12,0,0),"Manhã",IF(B1098&lt;TIME(18,0,0),"Tarde","Noite")))</f>
        <v/>
      </c>
      <c r="R1098" s="45">
        <f>IF(AND(H1098="Realizado",L1098&lt;&gt;""),L1098/60,0)</f>
        <v>0</v>
      </c>
    </row>
    <row r="1099">
      <c r="A1099" s="42" t="n"/>
      <c r="B1099" s="43" t="n"/>
      <c r="C1099" s="37" t="n"/>
      <c r="D1099" s="37" t="n"/>
      <c r="E1099" s="36" t="n"/>
      <c r="F1099" s="37" t="n"/>
      <c r="G1099" s="37" t="n"/>
      <c r="H1099" s="37" t="n"/>
      <c r="I1099" s="37" t="n"/>
      <c r="J1099" s="37" t="n"/>
      <c r="K1099" s="36" t="n"/>
      <c r="L1099" s="44">
        <f>IF(G1099="","",IFERROR(INDEX(Config!$K$5:$K$16,MATCH(G1099,Config!$J$5:$J$16,0)),""))</f>
        <v/>
      </c>
      <c r="M1099" s="30">
        <f>IF(OR(G1099="",F1099=""),"",IFERROR(INDEX(Config!$M$5:$R$16,MATCH(G1099,Config!$J$5:$J$16,0),MATCH(F1099,Config!$H$5:$H$10,0)),""))</f>
        <v/>
      </c>
      <c r="N1099" s="29">
        <f>IF(A1099="","",MONTH(A1099))</f>
        <v/>
      </c>
      <c r="O1099" s="29">
        <f>IF(A1099="","",YEAR(A1099))</f>
        <v/>
      </c>
      <c r="P1099" s="29">
        <f>IF(A1099="","",CHOOSE(WEEKDAY(A1099,2),"Segunda","Terça","Quarta","Quinta","Sexta","Sábado","Domingo"))</f>
        <v/>
      </c>
      <c r="Q1099" s="29">
        <f>IF(B1099="","",IF(B1099&lt;TIME(12,0,0),"Manhã",IF(B1099&lt;TIME(18,0,0),"Tarde","Noite")))</f>
        <v/>
      </c>
      <c r="R1099" s="45">
        <f>IF(AND(H1099="Realizado",L1099&lt;&gt;""),L1099/60,0)</f>
        <v>0</v>
      </c>
    </row>
    <row r="1100">
      <c r="A1100" s="42" t="n"/>
      <c r="B1100" s="43" t="n"/>
      <c r="C1100" s="37" t="n"/>
      <c r="D1100" s="37" t="n"/>
      <c r="E1100" s="36" t="n"/>
      <c r="F1100" s="37" t="n"/>
      <c r="G1100" s="37" t="n"/>
      <c r="H1100" s="37" t="n"/>
      <c r="I1100" s="37" t="n"/>
      <c r="J1100" s="37" t="n"/>
      <c r="K1100" s="36" t="n"/>
      <c r="L1100" s="44">
        <f>IF(G1100="","",IFERROR(INDEX(Config!$K$5:$K$16,MATCH(G1100,Config!$J$5:$J$16,0)),""))</f>
        <v/>
      </c>
      <c r="M1100" s="30">
        <f>IF(OR(G1100="",F1100=""),"",IFERROR(INDEX(Config!$M$5:$R$16,MATCH(G1100,Config!$J$5:$J$16,0),MATCH(F1100,Config!$H$5:$H$10,0)),""))</f>
        <v/>
      </c>
      <c r="N1100" s="29">
        <f>IF(A1100="","",MONTH(A1100))</f>
        <v/>
      </c>
      <c r="O1100" s="29">
        <f>IF(A1100="","",YEAR(A1100))</f>
        <v/>
      </c>
      <c r="P1100" s="29">
        <f>IF(A1100="","",CHOOSE(WEEKDAY(A1100,2),"Segunda","Terça","Quarta","Quinta","Sexta","Sábado","Domingo"))</f>
        <v/>
      </c>
      <c r="Q1100" s="29">
        <f>IF(B1100="","",IF(B1100&lt;TIME(12,0,0),"Manhã",IF(B1100&lt;TIME(18,0,0),"Tarde","Noite")))</f>
        <v/>
      </c>
      <c r="R1100" s="45">
        <f>IF(AND(H1100="Realizado",L1100&lt;&gt;""),L1100/60,0)</f>
        <v>0</v>
      </c>
    </row>
    <row r="1101">
      <c r="A1101" s="42" t="n"/>
      <c r="B1101" s="43" t="n"/>
      <c r="C1101" s="37" t="n"/>
      <c r="D1101" s="37" t="n"/>
      <c r="E1101" s="36" t="n"/>
      <c r="F1101" s="37" t="n"/>
      <c r="G1101" s="37" t="n"/>
      <c r="H1101" s="37" t="n"/>
      <c r="I1101" s="37" t="n"/>
      <c r="J1101" s="37" t="n"/>
      <c r="K1101" s="36" t="n"/>
      <c r="L1101" s="44">
        <f>IF(G1101="","",IFERROR(INDEX(Config!$K$5:$K$16,MATCH(G1101,Config!$J$5:$J$16,0)),""))</f>
        <v/>
      </c>
      <c r="M1101" s="30">
        <f>IF(OR(G1101="",F1101=""),"",IFERROR(INDEX(Config!$M$5:$R$16,MATCH(G1101,Config!$J$5:$J$16,0),MATCH(F1101,Config!$H$5:$H$10,0)),""))</f>
        <v/>
      </c>
      <c r="N1101" s="29">
        <f>IF(A1101="","",MONTH(A1101))</f>
        <v/>
      </c>
      <c r="O1101" s="29">
        <f>IF(A1101="","",YEAR(A1101))</f>
        <v/>
      </c>
      <c r="P1101" s="29">
        <f>IF(A1101="","",CHOOSE(WEEKDAY(A1101,2),"Segunda","Terça","Quarta","Quinta","Sexta","Sábado","Domingo"))</f>
        <v/>
      </c>
      <c r="Q1101" s="29">
        <f>IF(B1101="","",IF(B1101&lt;TIME(12,0,0),"Manhã",IF(B1101&lt;TIME(18,0,0),"Tarde","Noite")))</f>
        <v/>
      </c>
      <c r="R1101" s="45">
        <f>IF(AND(H1101="Realizado",L1101&lt;&gt;""),L1101/60,0)</f>
        <v>0</v>
      </c>
    </row>
    <row r="1102">
      <c r="A1102" s="42" t="n"/>
      <c r="B1102" s="43" t="n"/>
      <c r="C1102" s="37" t="n"/>
      <c r="D1102" s="37" t="n"/>
      <c r="E1102" s="36" t="n"/>
      <c r="F1102" s="37" t="n"/>
      <c r="G1102" s="37" t="n"/>
      <c r="H1102" s="37" t="n"/>
      <c r="I1102" s="37" t="n"/>
      <c r="J1102" s="37" t="n"/>
      <c r="K1102" s="36" t="n"/>
      <c r="L1102" s="44">
        <f>IF(G1102="","",IFERROR(INDEX(Config!$K$5:$K$16,MATCH(G1102,Config!$J$5:$J$16,0)),""))</f>
        <v/>
      </c>
      <c r="M1102" s="30">
        <f>IF(OR(G1102="",F1102=""),"",IFERROR(INDEX(Config!$M$5:$R$16,MATCH(G1102,Config!$J$5:$J$16,0),MATCH(F1102,Config!$H$5:$H$10,0)),""))</f>
        <v/>
      </c>
      <c r="N1102" s="29">
        <f>IF(A1102="","",MONTH(A1102))</f>
        <v/>
      </c>
      <c r="O1102" s="29">
        <f>IF(A1102="","",YEAR(A1102))</f>
        <v/>
      </c>
      <c r="P1102" s="29">
        <f>IF(A1102="","",CHOOSE(WEEKDAY(A1102,2),"Segunda","Terça","Quarta","Quinta","Sexta","Sábado","Domingo"))</f>
        <v/>
      </c>
      <c r="Q1102" s="29">
        <f>IF(B1102="","",IF(B1102&lt;TIME(12,0,0),"Manhã",IF(B1102&lt;TIME(18,0,0),"Tarde","Noite")))</f>
        <v/>
      </c>
      <c r="R1102" s="45">
        <f>IF(AND(H1102="Realizado",L1102&lt;&gt;""),L1102/60,0)</f>
        <v>0</v>
      </c>
    </row>
    <row r="1103">
      <c r="A1103" s="42" t="n"/>
      <c r="B1103" s="43" t="n"/>
      <c r="C1103" s="37" t="n"/>
      <c r="D1103" s="37" t="n"/>
      <c r="E1103" s="36" t="n"/>
      <c r="F1103" s="37" t="n"/>
      <c r="G1103" s="37" t="n"/>
      <c r="H1103" s="37" t="n"/>
      <c r="I1103" s="37" t="n"/>
      <c r="J1103" s="37" t="n"/>
      <c r="K1103" s="36" t="n"/>
      <c r="L1103" s="44">
        <f>IF(G1103="","",IFERROR(INDEX(Config!$K$5:$K$16,MATCH(G1103,Config!$J$5:$J$16,0)),""))</f>
        <v/>
      </c>
      <c r="M1103" s="30">
        <f>IF(OR(G1103="",F1103=""),"",IFERROR(INDEX(Config!$M$5:$R$16,MATCH(G1103,Config!$J$5:$J$16,0),MATCH(F1103,Config!$H$5:$H$10,0)),""))</f>
        <v/>
      </c>
      <c r="N1103" s="29">
        <f>IF(A1103="","",MONTH(A1103))</f>
        <v/>
      </c>
      <c r="O1103" s="29">
        <f>IF(A1103="","",YEAR(A1103))</f>
        <v/>
      </c>
      <c r="P1103" s="29">
        <f>IF(A1103="","",CHOOSE(WEEKDAY(A1103,2),"Segunda","Terça","Quarta","Quinta","Sexta","Sábado","Domingo"))</f>
        <v/>
      </c>
      <c r="Q1103" s="29">
        <f>IF(B1103="","",IF(B1103&lt;TIME(12,0,0),"Manhã",IF(B1103&lt;TIME(18,0,0),"Tarde","Noite")))</f>
        <v/>
      </c>
      <c r="R1103" s="45">
        <f>IF(AND(H1103="Realizado",L1103&lt;&gt;""),L1103/60,0)</f>
        <v>0</v>
      </c>
    </row>
    <row r="1104">
      <c r="A1104" s="42" t="n"/>
      <c r="B1104" s="43" t="n"/>
      <c r="C1104" s="37" t="n"/>
      <c r="D1104" s="37" t="n"/>
      <c r="E1104" s="36" t="n"/>
      <c r="F1104" s="37" t="n"/>
      <c r="G1104" s="37" t="n"/>
      <c r="H1104" s="37" t="n"/>
      <c r="I1104" s="37" t="n"/>
      <c r="J1104" s="37" t="n"/>
      <c r="K1104" s="36" t="n"/>
      <c r="L1104" s="44">
        <f>IF(G1104="","",IFERROR(INDEX(Config!$K$5:$K$16,MATCH(G1104,Config!$J$5:$J$16,0)),""))</f>
        <v/>
      </c>
      <c r="M1104" s="30">
        <f>IF(OR(G1104="",F1104=""),"",IFERROR(INDEX(Config!$M$5:$R$16,MATCH(G1104,Config!$J$5:$J$16,0),MATCH(F1104,Config!$H$5:$H$10,0)),""))</f>
        <v/>
      </c>
      <c r="N1104" s="29">
        <f>IF(A1104="","",MONTH(A1104))</f>
        <v/>
      </c>
      <c r="O1104" s="29">
        <f>IF(A1104="","",YEAR(A1104))</f>
        <v/>
      </c>
      <c r="P1104" s="29">
        <f>IF(A1104="","",CHOOSE(WEEKDAY(A1104,2),"Segunda","Terça","Quarta","Quinta","Sexta","Sábado","Domingo"))</f>
        <v/>
      </c>
      <c r="Q1104" s="29">
        <f>IF(B1104="","",IF(B1104&lt;TIME(12,0,0),"Manhã",IF(B1104&lt;TIME(18,0,0),"Tarde","Noite")))</f>
        <v/>
      </c>
      <c r="R1104" s="45">
        <f>IF(AND(H1104="Realizado",L1104&lt;&gt;""),L1104/60,0)</f>
        <v>0</v>
      </c>
    </row>
    <row r="1105">
      <c r="A1105" s="42" t="n"/>
      <c r="B1105" s="43" t="n"/>
      <c r="C1105" s="37" t="n"/>
      <c r="D1105" s="37" t="n"/>
      <c r="E1105" s="36" t="n"/>
      <c r="F1105" s="37" t="n"/>
      <c r="G1105" s="37" t="n"/>
      <c r="H1105" s="37" t="n"/>
      <c r="I1105" s="37" t="n"/>
      <c r="J1105" s="37" t="n"/>
      <c r="K1105" s="36" t="n"/>
      <c r="L1105" s="44">
        <f>IF(G1105="","",IFERROR(INDEX(Config!$K$5:$K$16,MATCH(G1105,Config!$J$5:$J$16,0)),""))</f>
        <v/>
      </c>
      <c r="M1105" s="30">
        <f>IF(OR(G1105="",F1105=""),"",IFERROR(INDEX(Config!$M$5:$R$16,MATCH(G1105,Config!$J$5:$J$16,0),MATCH(F1105,Config!$H$5:$H$10,0)),""))</f>
        <v/>
      </c>
      <c r="N1105" s="29">
        <f>IF(A1105="","",MONTH(A1105))</f>
        <v/>
      </c>
      <c r="O1105" s="29">
        <f>IF(A1105="","",YEAR(A1105))</f>
        <v/>
      </c>
      <c r="P1105" s="29">
        <f>IF(A1105="","",CHOOSE(WEEKDAY(A1105,2),"Segunda","Terça","Quarta","Quinta","Sexta","Sábado","Domingo"))</f>
        <v/>
      </c>
      <c r="Q1105" s="29">
        <f>IF(B1105="","",IF(B1105&lt;TIME(12,0,0),"Manhã",IF(B1105&lt;TIME(18,0,0),"Tarde","Noite")))</f>
        <v/>
      </c>
      <c r="R1105" s="45">
        <f>IF(AND(H1105="Realizado",L1105&lt;&gt;""),L1105/60,0)</f>
        <v>0</v>
      </c>
    </row>
    <row r="1106">
      <c r="A1106" s="42" t="n"/>
      <c r="B1106" s="43" t="n"/>
      <c r="C1106" s="37" t="n"/>
      <c r="D1106" s="37" t="n"/>
      <c r="E1106" s="36" t="n"/>
      <c r="F1106" s="37" t="n"/>
      <c r="G1106" s="37" t="n"/>
      <c r="H1106" s="37" t="n"/>
      <c r="I1106" s="37" t="n"/>
      <c r="J1106" s="37" t="n"/>
      <c r="K1106" s="36" t="n"/>
      <c r="L1106" s="44">
        <f>IF(G1106="","",IFERROR(INDEX(Config!$K$5:$K$16,MATCH(G1106,Config!$J$5:$J$16,0)),""))</f>
        <v/>
      </c>
      <c r="M1106" s="30">
        <f>IF(OR(G1106="",F1106=""),"",IFERROR(INDEX(Config!$M$5:$R$16,MATCH(G1106,Config!$J$5:$J$16,0),MATCH(F1106,Config!$H$5:$H$10,0)),""))</f>
        <v/>
      </c>
      <c r="N1106" s="29">
        <f>IF(A1106="","",MONTH(A1106))</f>
        <v/>
      </c>
      <c r="O1106" s="29">
        <f>IF(A1106="","",YEAR(A1106))</f>
        <v/>
      </c>
      <c r="P1106" s="29">
        <f>IF(A1106="","",CHOOSE(WEEKDAY(A1106,2),"Segunda","Terça","Quarta","Quinta","Sexta","Sábado","Domingo"))</f>
        <v/>
      </c>
      <c r="Q1106" s="29">
        <f>IF(B1106="","",IF(B1106&lt;TIME(12,0,0),"Manhã",IF(B1106&lt;TIME(18,0,0),"Tarde","Noite")))</f>
        <v/>
      </c>
      <c r="R1106" s="45">
        <f>IF(AND(H1106="Realizado",L1106&lt;&gt;""),L1106/60,0)</f>
        <v>0</v>
      </c>
    </row>
    <row r="1107">
      <c r="A1107" s="42" t="n"/>
      <c r="B1107" s="43" t="n"/>
      <c r="C1107" s="37" t="n"/>
      <c r="D1107" s="37" t="n"/>
      <c r="E1107" s="36" t="n"/>
      <c r="F1107" s="37" t="n"/>
      <c r="G1107" s="37" t="n"/>
      <c r="H1107" s="37" t="n"/>
      <c r="I1107" s="37" t="n"/>
      <c r="J1107" s="37" t="n"/>
      <c r="K1107" s="36" t="n"/>
      <c r="L1107" s="44">
        <f>IF(G1107="","",IFERROR(INDEX(Config!$K$5:$K$16,MATCH(G1107,Config!$J$5:$J$16,0)),""))</f>
        <v/>
      </c>
      <c r="M1107" s="30">
        <f>IF(OR(G1107="",F1107=""),"",IFERROR(INDEX(Config!$M$5:$R$16,MATCH(G1107,Config!$J$5:$J$16,0),MATCH(F1107,Config!$H$5:$H$10,0)),""))</f>
        <v/>
      </c>
      <c r="N1107" s="29">
        <f>IF(A1107="","",MONTH(A1107))</f>
        <v/>
      </c>
      <c r="O1107" s="29">
        <f>IF(A1107="","",YEAR(A1107))</f>
        <v/>
      </c>
      <c r="P1107" s="29">
        <f>IF(A1107="","",CHOOSE(WEEKDAY(A1107,2),"Segunda","Terça","Quarta","Quinta","Sexta","Sábado","Domingo"))</f>
        <v/>
      </c>
      <c r="Q1107" s="29">
        <f>IF(B1107="","",IF(B1107&lt;TIME(12,0,0),"Manhã",IF(B1107&lt;TIME(18,0,0),"Tarde","Noite")))</f>
        <v/>
      </c>
      <c r="R1107" s="45">
        <f>IF(AND(H1107="Realizado",L1107&lt;&gt;""),L1107/60,0)</f>
        <v>0</v>
      </c>
    </row>
    <row r="1108">
      <c r="A1108" s="42" t="n"/>
      <c r="B1108" s="43" t="n"/>
      <c r="C1108" s="37" t="n"/>
      <c r="D1108" s="37" t="n"/>
      <c r="E1108" s="36" t="n"/>
      <c r="F1108" s="37" t="n"/>
      <c r="G1108" s="37" t="n"/>
      <c r="H1108" s="37" t="n"/>
      <c r="I1108" s="37" t="n"/>
      <c r="J1108" s="37" t="n"/>
      <c r="K1108" s="36" t="n"/>
      <c r="L1108" s="44">
        <f>IF(G1108="","",IFERROR(INDEX(Config!$K$5:$K$16,MATCH(G1108,Config!$J$5:$J$16,0)),""))</f>
        <v/>
      </c>
      <c r="M1108" s="30">
        <f>IF(OR(G1108="",F1108=""),"",IFERROR(INDEX(Config!$M$5:$R$16,MATCH(G1108,Config!$J$5:$J$16,0),MATCH(F1108,Config!$H$5:$H$10,0)),""))</f>
        <v/>
      </c>
      <c r="N1108" s="29">
        <f>IF(A1108="","",MONTH(A1108))</f>
        <v/>
      </c>
      <c r="O1108" s="29">
        <f>IF(A1108="","",YEAR(A1108))</f>
        <v/>
      </c>
      <c r="P1108" s="29">
        <f>IF(A1108="","",CHOOSE(WEEKDAY(A1108,2),"Segunda","Terça","Quarta","Quinta","Sexta","Sábado","Domingo"))</f>
        <v/>
      </c>
      <c r="Q1108" s="29">
        <f>IF(B1108="","",IF(B1108&lt;TIME(12,0,0),"Manhã",IF(B1108&lt;TIME(18,0,0),"Tarde","Noite")))</f>
        <v/>
      </c>
      <c r="R1108" s="45">
        <f>IF(AND(H1108="Realizado",L1108&lt;&gt;""),L1108/60,0)</f>
        <v>0</v>
      </c>
    </row>
    <row r="1109">
      <c r="A1109" s="42" t="n"/>
      <c r="B1109" s="43" t="n"/>
      <c r="C1109" s="37" t="n"/>
      <c r="D1109" s="37" t="n"/>
      <c r="E1109" s="36" t="n"/>
      <c r="F1109" s="37" t="n"/>
      <c r="G1109" s="37" t="n"/>
      <c r="H1109" s="37" t="n"/>
      <c r="I1109" s="37" t="n"/>
      <c r="J1109" s="37" t="n"/>
      <c r="K1109" s="36" t="n"/>
      <c r="L1109" s="44">
        <f>IF(G1109="","",IFERROR(INDEX(Config!$K$5:$K$16,MATCH(G1109,Config!$J$5:$J$16,0)),""))</f>
        <v/>
      </c>
      <c r="M1109" s="30">
        <f>IF(OR(G1109="",F1109=""),"",IFERROR(INDEX(Config!$M$5:$R$16,MATCH(G1109,Config!$J$5:$J$16,0),MATCH(F1109,Config!$H$5:$H$10,0)),""))</f>
        <v/>
      </c>
      <c r="N1109" s="29">
        <f>IF(A1109="","",MONTH(A1109))</f>
        <v/>
      </c>
      <c r="O1109" s="29">
        <f>IF(A1109="","",YEAR(A1109))</f>
        <v/>
      </c>
      <c r="P1109" s="29">
        <f>IF(A1109="","",CHOOSE(WEEKDAY(A1109,2),"Segunda","Terça","Quarta","Quinta","Sexta","Sábado","Domingo"))</f>
        <v/>
      </c>
      <c r="Q1109" s="29">
        <f>IF(B1109="","",IF(B1109&lt;TIME(12,0,0),"Manhã",IF(B1109&lt;TIME(18,0,0),"Tarde","Noite")))</f>
        <v/>
      </c>
      <c r="R1109" s="45">
        <f>IF(AND(H1109="Realizado",L1109&lt;&gt;""),L1109/60,0)</f>
        <v>0</v>
      </c>
    </row>
    <row r="1110">
      <c r="A1110" s="42" t="n"/>
      <c r="B1110" s="43" t="n"/>
      <c r="C1110" s="37" t="n"/>
      <c r="D1110" s="37" t="n"/>
      <c r="E1110" s="36" t="n"/>
      <c r="F1110" s="37" t="n"/>
      <c r="G1110" s="37" t="n"/>
      <c r="H1110" s="37" t="n"/>
      <c r="I1110" s="37" t="n"/>
      <c r="J1110" s="37" t="n"/>
      <c r="K1110" s="36" t="n"/>
      <c r="L1110" s="44">
        <f>IF(G1110="","",IFERROR(INDEX(Config!$K$5:$K$16,MATCH(G1110,Config!$J$5:$J$16,0)),""))</f>
        <v/>
      </c>
      <c r="M1110" s="30">
        <f>IF(OR(G1110="",F1110=""),"",IFERROR(INDEX(Config!$M$5:$R$16,MATCH(G1110,Config!$J$5:$J$16,0),MATCH(F1110,Config!$H$5:$H$10,0)),""))</f>
        <v/>
      </c>
      <c r="N1110" s="29">
        <f>IF(A1110="","",MONTH(A1110))</f>
        <v/>
      </c>
      <c r="O1110" s="29">
        <f>IF(A1110="","",YEAR(A1110))</f>
        <v/>
      </c>
      <c r="P1110" s="29">
        <f>IF(A1110="","",CHOOSE(WEEKDAY(A1110,2),"Segunda","Terça","Quarta","Quinta","Sexta","Sábado","Domingo"))</f>
        <v/>
      </c>
      <c r="Q1110" s="29">
        <f>IF(B1110="","",IF(B1110&lt;TIME(12,0,0),"Manhã",IF(B1110&lt;TIME(18,0,0),"Tarde","Noite")))</f>
        <v/>
      </c>
      <c r="R1110" s="45">
        <f>IF(AND(H1110="Realizado",L1110&lt;&gt;""),L1110/60,0)</f>
        <v>0</v>
      </c>
    </row>
    <row r="1111">
      <c r="A1111" s="42" t="n"/>
      <c r="B1111" s="43" t="n"/>
      <c r="C1111" s="37" t="n"/>
      <c r="D1111" s="37" t="n"/>
      <c r="E1111" s="36" t="n"/>
      <c r="F1111" s="37" t="n"/>
      <c r="G1111" s="37" t="n"/>
      <c r="H1111" s="37" t="n"/>
      <c r="I1111" s="37" t="n"/>
      <c r="J1111" s="37" t="n"/>
      <c r="K1111" s="36" t="n"/>
      <c r="L1111" s="44">
        <f>IF(G1111="","",IFERROR(INDEX(Config!$K$5:$K$16,MATCH(G1111,Config!$J$5:$J$16,0)),""))</f>
        <v/>
      </c>
      <c r="M1111" s="30">
        <f>IF(OR(G1111="",F1111=""),"",IFERROR(INDEX(Config!$M$5:$R$16,MATCH(G1111,Config!$J$5:$J$16,0),MATCH(F1111,Config!$H$5:$H$10,0)),""))</f>
        <v/>
      </c>
      <c r="N1111" s="29">
        <f>IF(A1111="","",MONTH(A1111))</f>
        <v/>
      </c>
      <c r="O1111" s="29">
        <f>IF(A1111="","",YEAR(A1111))</f>
        <v/>
      </c>
      <c r="P1111" s="29">
        <f>IF(A1111="","",CHOOSE(WEEKDAY(A1111,2),"Segunda","Terça","Quarta","Quinta","Sexta","Sábado","Domingo"))</f>
        <v/>
      </c>
      <c r="Q1111" s="29">
        <f>IF(B1111="","",IF(B1111&lt;TIME(12,0,0),"Manhã",IF(B1111&lt;TIME(18,0,0),"Tarde","Noite")))</f>
        <v/>
      </c>
      <c r="R1111" s="45">
        <f>IF(AND(H1111="Realizado",L1111&lt;&gt;""),L1111/60,0)</f>
        <v>0</v>
      </c>
    </row>
    <row r="1112">
      <c r="A1112" s="42" t="n"/>
      <c r="B1112" s="43" t="n"/>
      <c r="C1112" s="37" t="n"/>
      <c r="D1112" s="37" t="n"/>
      <c r="E1112" s="36" t="n"/>
      <c r="F1112" s="37" t="n"/>
      <c r="G1112" s="37" t="n"/>
      <c r="H1112" s="37" t="n"/>
      <c r="I1112" s="37" t="n"/>
      <c r="J1112" s="37" t="n"/>
      <c r="K1112" s="36" t="n"/>
      <c r="L1112" s="44">
        <f>IF(G1112="","",IFERROR(INDEX(Config!$K$5:$K$16,MATCH(G1112,Config!$J$5:$J$16,0)),""))</f>
        <v/>
      </c>
      <c r="M1112" s="30">
        <f>IF(OR(G1112="",F1112=""),"",IFERROR(INDEX(Config!$M$5:$R$16,MATCH(G1112,Config!$J$5:$J$16,0),MATCH(F1112,Config!$H$5:$H$10,0)),""))</f>
        <v/>
      </c>
      <c r="N1112" s="29">
        <f>IF(A1112="","",MONTH(A1112))</f>
        <v/>
      </c>
      <c r="O1112" s="29">
        <f>IF(A1112="","",YEAR(A1112))</f>
        <v/>
      </c>
      <c r="P1112" s="29">
        <f>IF(A1112="","",CHOOSE(WEEKDAY(A1112,2),"Segunda","Terça","Quarta","Quinta","Sexta","Sábado","Domingo"))</f>
        <v/>
      </c>
      <c r="Q1112" s="29">
        <f>IF(B1112="","",IF(B1112&lt;TIME(12,0,0),"Manhã",IF(B1112&lt;TIME(18,0,0),"Tarde","Noite")))</f>
        <v/>
      </c>
      <c r="R1112" s="45">
        <f>IF(AND(H1112="Realizado",L1112&lt;&gt;""),L1112/60,0)</f>
        <v>0</v>
      </c>
    </row>
    <row r="1113">
      <c r="A1113" s="42" t="n"/>
      <c r="B1113" s="43" t="n"/>
      <c r="C1113" s="37" t="n"/>
      <c r="D1113" s="37" t="n"/>
      <c r="E1113" s="36" t="n"/>
      <c r="F1113" s="37" t="n"/>
      <c r="G1113" s="37" t="n"/>
      <c r="H1113" s="37" t="n"/>
      <c r="I1113" s="37" t="n"/>
      <c r="J1113" s="37" t="n"/>
      <c r="K1113" s="36" t="n"/>
      <c r="L1113" s="44">
        <f>IF(G1113="","",IFERROR(INDEX(Config!$K$5:$K$16,MATCH(G1113,Config!$J$5:$J$16,0)),""))</f>
        <v/>
      </c>
      <c r="M1113" s="30">
        <f>IF(OR(G1113="",F1113=""),"",IFERROR(INDEX(Config!$M$5:$R$16,MATCH(G1113,Config!$J$5:$J$16,0),MATCH(F1113,Config!$H$5:$H$10,0)),""))</f>
        <v/>
      </c>
      <c r="N1113" s="29">
        <f>IF(A1113="","",MONTH(A1113))</f>
        <v/>
      </c>
      <c r="O1113" s="29">
        <f>IF(A1113="","",YEAR(A1113))</f>
        <v/>
      </c>
      <c r="P1113" s="29">
        <f>IF(A1113="","",CHOOSE(WEEKDAY(A1113,2),"Segunda","Terça","Quarta","Quinta","Sexta","Sábado","Domingo"))</f>
        <v/>
      </c>
      <c r="Q1113" s="29">
        <f>IF(B1113="","",IF(B1113&lt;TIME(12,0,0),"Manhã",IF(B1113&lt;TIME(18,0,0),"Tarde","Noite")))</f>
        <v/>
      </c>
      <c r="R1113" s="45">
        <f>IF(AND(H1113="Realizado",L1113&lt;&gt;""),L1113/60,0)</f>
        <v>0</v>
      </c>
    </row>
    <row r="1114">
      <c r="A1114" s="42" t="n"/>
      <c r="B1114" s="43" t="n"/>
      <c r="C1114" s="37" t="n"/>
      <c r="D1114" s="37" t="n"/>
      <c r="E1114" s="36" t="n"/>
      <c r="F1114" s="37" t="n"/>
      <c r="G1114" s="37" t="n"/>
      <c r="H1114" s="37" t="n"/>
      <c r="I1114" s="37" t="n"/>
      <c r="J1114" s="37" t="n"/>
      <c r="K1114" s="36" t="n"/>
      <c r="L1114" s="44">
        <f>IF(G1114="","",IFERROR(INDEX(Config!$K$5:$K$16,MATCH(G1114,Config!$J$5:$J$16,0)),""))</f>
        <v/>
      </c>
      <c r="M1114" s="30">
        <f>IF(OR(G1114="",F1114=""),"",IFERROR(INDEX(Config!$M$5:$R$16,MATCH(G1114,Config!$J$5:$J$16,0),MATCH(F1114,Config!$H$5:$H$10,0)),""))</f>
        <v/>
      </c>
      <c r="N1114" s="29">
        <f>IF(A1114="","",MONTH(A1114))</f>
        <v/>
      </c>
      <c r="O1114" s="29">
        <f>IF(A1114="","",YEAR(A1114))</f>
        <v/>
      </c>
      <c r="P1114" s="29">
        <f>IF(A1114="","",CHOOSE(WEEKDAY(A1114,2),"Segunda","Terça","Quarta","Quinta","Sexta","Sábado","Domingo"))</f>
        <v/>
      </c>
      <c r="Q1114" s="29">
        <f>IF(B1114="","",IF(B1114&lt;TIME(12,0,0),"Manhã",IF(B1114&lt;TIME(18,0,0),"Tarde","Noite")))</f>
        <v/>
      </c>
      <c r="R1114" s="45">
        <f>IF(AND(H1114="Realizado",L1114&lt;&gt;""),L1114/60,0)</f>
        <v>0</v>
      </c>
    </row>
    <row r="1115">
      <c r="A1115" s="42" t="n"/>
      <c r="B1115" s="43" t="n"/>
      <c r="C1115" s="37" t="n"/>
      <c r="D1115" s="37" t="n"/>
      <c r="E1115" s="36" t="n"/>
      <c r="F1115" s="37" t="n"/>
      <c r="G1115" s="37" t="n"/>
      <c r="H1115" s="37" t="n"/>
      <c r="I1115" s="37" t="n"/>
      <c r="J1115" s="37" t="n"/>
      <c r="K1115" s="36" t="n"/>
      <c r="L1115" s="44">
        <f>IF(G1115="","",IFERROR(INDEX(Config!$K$5:$K$16,MATCH(G1115,Config!$J$5:$J$16,0)),""))</f>
        <v/>
      </c>
      <c r="M1115" s="30">
        <f>IF(OR(G1115="",F1115=""),"",IFERROR(INDEX(Config!$M$5:$R$16,MATCH(G1115,Config!$J$5:$J$16,0),MATCH(F1115,Config!$H$5:$H$10,0)),""))</f>
        <v/>
      </c>
      <c r="N1115" s="29">
        <f>IF(A1115="","",MONTH(A1115))</f>
        <v/>
      </c>
      <c r="O1115" s="29">
        <f>IF(A1115="","",YEAR(A1115))</f>
        <v/>
      </c>
      <c r="P1115" s="29">
        <f>IF(A1115="","",CHOOSE(WEEKDAY(A1115,2),"Segunda","Terça","Quarta","Quinta","Sexta","Sábado","Domingo"))</f>
        <v/>
      </c>
      <c r="Q1115" s="29">
        <f>IF(B1115="","",IF(B1115&lt;TIME(12,0,0),"Manhã",IF(B1115&lt;TIME(18,0,0),"Tarde","Noite")))</f>
        <v/>
      </c>
      <c r="R1115" s="45">
        <f>IF(AND(H1115="Realizado",L1115&lt;&gt;""),L1115/60,0)</f>
        <v>0</v>
      </c>
    </row>
    <row r="1116">
      <c r="A1116" s="42" t="n"/>
      <c r="B1116" s="43" t="n"/>
      <c r="C1116" s="37" t="n"/>
      <c r="D1116" s="37" t="n"/>
      <c r="E1116" s="36" t="n"/>
      <c r="F1116" s="37" t="n"/>
      <c r="G1116" s="37" t="n"/>
      <c r="H1116" s="37" t="n"/>
      <c r="I1116" s="37" t="n"/>
      <c r="J1116" s="37" t="n"/>
      <c r="K1116" s="36" t="n"/>
      <c r="L1116" s="44">
        <f>IF(G1116="","",IFERROR(INDEX(Config!$K$5:$K$16,MATCH(G1116,Config!$J$5:$J$16,0)),""))</f>
        <v/>
      </c>
      <c r="M1116" s="30">
        <f>IF(OR(G1116="",F1116=""),"",IFERROR(INDEX(Config!$M$5:$R$16,MATCH(G1116,Config!$J$5:$J$16,0),MATCH(F1116,Config!$H$5:$H$10,0)),""))</f>
        <v/>
      </c>
      <c r="N1116" s="29">
        <f>IF(A1116="","",MONTH(A1116))</f>
        <v/>
      </c>
      <c r="O1116" s="29">
        <f>IF(A1116="","",YEAR(A1116))</f>
        <v/>
      </c>
      <c r="P1116" s="29">
        <f>IF(A1116="","",CHOOSE(WEEKDAY(A1116,2),"Segunda","Terça","Quarta","Quinta","Sexta","Sábado","Domingo"))</f>
        <v/>
      </c>
      <c r="Q1116" s="29">
        <f>IF(B1116="","",IF(B1116&lt;TIME(12,0,0),"Manhã",IF(B1116&lt;TIME(18,0,0),"Tarde","Noite")))</f>
        <v/>
      </c>
      <c r="R1116" s="45">
        <f>IF(AND(H1116="Realizado",L1116&lt;&gt;""),L1116/60,0)</f>
        <v>0</v>
      </c>
    </row>
    <row r="1117">
      <c r="A1117" s="42" t="n"/>
      <c r="B1117" s="43" t="n"/>
      <c r="C1117" s="37" t="n"/>
      <c r="D1117" s="37" t="n"/>
      <c r="E1117" s="36" t="n"/>
      <c r="F1117" s="37" t="n"/>
      <c r="G1117" s="37" t="n"/>
      <c r="H1117" s="37" t="n"/>
      <c r="I1117" s="37" t="n"/>
      <c r="J1117" s="37" t="n"/>
      <c r="K1117" s="36" t="n"/>
      <c r="L1117" s="44">
        <f>IF(G1117="","",IFERROR(INDEX(Config!$K$5:$K$16,MATCH(G1117,Config!$J$5:$J$16,0)),""))</f>
        <v/>
      </c>
      <c r="M1117" s="30">
        <f>IF(OR(G1117="",F1117=""),"",IFERROR(INDEX(Config!$M$5:$R$16,MATCH(G1117,Config!$J$5:$J$16,0),MATCH(F1117,Config!$H$5:$H$10,0)),""))</f>
        <v/>
      </c>
      <c r="N1117" s="29">
        <f>IF(A1117="","",MONTH(A1117))</f>
        <v/>
      </c>
      <c r="O1117" s="29">
        <f>IF(A1117="","",YEAR(A1117))</f>
        <v/>
      </c>
      <c r="P1117" s="29">
        <f>IF(A1117="","",CHOOSE(WEEKDAY(A1117,2),"Segunda","Terça","Quarta","Quinta","Sexta","Sábado","Domingo"))</f>
        <v/>
      </c>
      <c r="Q1117" s="29">
        <f>IF(B1117="","",IF(B1117&lt;TIME(12,0,0),"Manhã",IF(B1117&lt;TIME(18,0,0),"Tarde","Noite")))</f>
        <v/>
      </c>
      <c r="R1117" s="45">
        <f>IF(AND(H1117="Realizado",L1117&lt;&gt;""),L1117/60,0)</f>
        <v>0</v>
      </c>
    </row>
    <row r="1118">
      <c r="A1118" s="42" t="n"/>
      <c r="B1118" s="43" t="n"/>
      <c r="C1118" s="37" t="n"/>
      <c r="D1118" s="37" t="n"/>
      <c r="E1118" s="36" t="n"/>
      <c r="F1118" s="37" t="n"/>
      <c r="G1118" s="37" t="n"/>
      <c r="H1118" s="37" t="n"/>
      <c r="I1118" s="37" t="n"/>
      <c r="J1118" s="37" t="n"/>
      <c r="K1118" s="36" t="n"/>
      <c r="L1118" s="44">
        <f>IF(G1118="","",IFERROR(INDEX(Config!$K$5:$K$16,MATCH(G1118,Config!$J$5:$J$16,0)),""))</f>
        <v/>
      </c>
      <c r="M1118" s="30">
        <f>IF(OR(G1118="",F1118=""),"",IFERROR(INDEX(Config!$M$5:$R$16,MATCH(G1118,Config!$J$5:$J$16,0),MATCH(F1118,Config!$H$5:$H$10,0)),""))</f>
        <v/>
      </c>
      <c r="N1118" s="29">
        <f>IF(A1118="","",MONTH(A1118))</f>
        <v/>
      </c>
      <c r="O1118" s="29">
        <f>IF(A1118="","",YEAR(A1118))</f>
        <v/>
      </c>
      <c r="P1118" s="29">
        <f>IF(A1118="","",CHOOSE(WEEKDAY(A1118,2),"Segunda","Terça","Quarta","Quinta","Sexta","Sábado","Domingo"))</f>
        <v/>
      </c>
      <c r="Q1118" s="29">
        <f>IF(B1118="","",IF(B1118&lt;TIME(12,0,0),"Manhã",IF(B1118&lt;TIME(18,0,0),"Tarde","Noite")))</f>
        <v/>
      </c>
      <c r="R1118" s="45">
        <f>IF(AND(H1118="Realizado",L1118&lt;&gt;""),L1118/60,0)</f>
        <v>0</v>
      </c>
    </row>
    <row r="1119">
      <c r="A1119" s="42" t="n"/>
      <c r="B1119" s="43" t="n"/>
      <c r="C1119" s="37" t="n"/>
      <c r="D1119" s="37" t="n"/>
      <c r="E1119" s="36" t="n"/>
      <c r="F1119" s="37" t="n"/>
      <c r="G1119" s="37" t="n"/>
      <c r="H1119" s="37" t="n"/>
      <c r="I1119" s="37" t="n"/>
      <c r="J1119" s="37" t="n"/>
      <c r="K1119" s="36" t="n"/>
      <c r="L1119" s="44">
        <f>IF(G1119="","",IFERROR(INDEX(Config!$K$5:$K$16,MATCH(G1119,Config!$J$5:$J$16,0)),""))</f>
        <v/>
      </c>
      <c r="M1119" s="30">
        <f>IF(OR(G1119="",F1119=""),"",IFERROR(INDEX(Config!$M$5:$R$16,MATCH(G1119,Config!$J$5:$J$16,0),MATCH(F1119,Config!$H$5:$H$10,0)),""))</f>
        <v/>
      </c>
      <c r="N1119" s="29">
        <f>IF(A1119="","",MONTH(A1119))</f>
        <v/>
      </c>
      <c r="O1119" s="29">
        <f>IF(A1119="","",YEAR(A1119))</f>
        <v/>
      </c>
      <c r="P1119" s="29">
        <f>IF(A1119="","",CHOOSE(WEEKDAY(A1119,2),"Segunda","Terça","Quarta","Quinta","Sexta","Sábado","Domingo"))</f>
        <v/>
      </c>
      <c r="Q1119" s="29">
        <f>IF(B1119="","",IF(B1119&lt;TIME(12,0,0),"Manhã",IF(B1119&lt;TIME(18,0,0),"Tarde","Noite")))</f>
        <v/>
      </c>
      <c r="R1119" s="45">
        <f>IF(AND(H1119="Realizado",L1119&lt;&gt;""),L1119/60,0)</f>
        <v>0</v>
      </c>
    </row>
    <row r="1120">
      <c r="A1120" s="42" t="n"/>
      <c r="B1120" s="43" t="n"/>
      <c r="C1120" s="37" t="n"/>
      <c r="D1120" s="37" t="n"/>
      <c r="E1120" s="36" t="n"/>
      <c r="F1120" s="37" t="n"/>
      <c r="G1120" s="37" t="n"/>
      <c r="H1120" s="37" t="n"/>
      <c r="I1120" s="37" t="n"/>
      <c r="J1120" s="37" t="n"/>
      <c r="K1120" s="36" t="n"/>
      <c r="L1120" s="44">
        <f>IF(G1120="","",IFERROR(INDEX(Config!$K$5:$K$16,MATCH(G1120,Config!$J$5:$J$16,0)),""))</f>
        <v/>
      </c>
      <c r="M1120" s="30">
        <f>IF(OR(G1120="",F1120=""),"",IFERROR(INDEX(Config!$M$5:$R$16,MATCH(G1120,Config!$J$5:$J$16,0),MATCH(F1120,Config!$H$5:$H$10,0)),""))</f>
        <v/>
      </c>
      <c r="N1120" s="29">
        <f>IF(A1120="","",MONTH(A1120))</f>
        <v/>
      </c>
      <c r="O1120" s="29">
        <f>IF(A1120="","",YEAR(A1120))</f>
        <v/>
      </c>
      <c r="P1120" s="29">
        <f>IF(A1120="","",CHOOSE(WEEKDAY(A1120,2),"Segunda","Terça","Quarta","Quinta","Sexta","Sábado","Domingo"))</f>
        <v/>
      </c>
      <c r="Q1120" s="29">
        <f>IF(B1120="","",IF(B1120&lt;TIME(12,0,0),"Manhã",IF(B1120&lt;TIME(18,0,0),"Tarde","Noite")))</f>
        <v/>
      </c>
      <c r="R1120" s="45">
        <f>IF(AND(H1120="Realizado",L1120&lt;&gt;""),L1120/60,0)</f>
        <v>0</v>
      </c>
    </row>
    <row r="1121">
      <c r="A1121" s="42" t="n"/>
      <c r="B1121" s="43" t="n"/>
      <c r="C1121" s="37" t="n"/>
      <c r="D1121" s="37" t="n"/>
      <c r="E1121" s="36" t="n"/>
      <c r="F1121" s="37" t="n"/>
      <c r="G1121" s="37" t="n"/>
      <c r="H1121" s="37" t="n"/>
      <c r="I1121" s="37" t="n"/>
      <c r="J1121" s="37" t="n"/>
      <c r="K1121" s="36" t="n"/>
      <c r="L1121" s="44">
        <f>IF(G1121="","",IFERROR(INDEX(Config!$K$5:$K$16,MATCH(G1121,Config!$J$5:$J$16,0)),""))</f>
        <v/>
      </c>
      <c r="M1121" s="30">
        <f>IF(OR(G1121="",F1121=""),"",IFERROR(INDEX(Config!$M$5:$R$16,MATCH(G1121,Config!$J$5:$J$16,0),MATCH(F1121,Config!$H$5:$H$10,0)),""))</f>
        <v/>
      </c>
      <c r="N1121" s="29">
        <f>IF(A1121="","",MONTH(A1121))</f>
        <v/>
      </c>
      <c r="O1121" s="29">
        <f>IF(A1121="","",YEAR(A1121))</f>
        <v/>
      </c>
      <c r="P1121" s="29">
        <f>IF(A1121="","",CHOOSE(WEEKDAY(A1121,2),"Segunda","Terça","Quarta","Quinta","Sexta","Sábado","Domingo"))</f>
        <v/>
      </c>
      <c r="Q1121" s="29">
        <f>IF(B1121="","",IF(B1121&lt;TIME(12,0,0),"Manhã",IF(B1121&lt;TIME(18,0,0),"Tarde","Noite")))</f>
        <v/>
      </c>
      <c r="R1121" s="45">
        <f>IF(AND(H1121="Realizado",L1121&lt;&gt;""),L1121/60,0)</f>
        <v>0</v>
      </c>
    </row>
    <row r="1122">
      <c r="A1122" s="42" t="n"/>
      <c r="B1122" s="43" t="n"/>
      <c r="C1122" s="37" t="n"/>
      <c r="D1122" s="37" t="n"/>
      <c r="E1122" s="36" t="n"/>
      <c r="F1122" s="37" t="n"/>
      <c r="G1122" s="37" t="n"/>
      <c r="H1122" s="37" t="n"/>
      <c r="I1122" s="37" t="n"/>
      <c r="J1122" s="37" t="n"/>
      <c r="K1122" s="36" t="n"/>
      <c r="L1122" s="44">
        <f>IF(G1122="","",IFERROR(INDEX(Config!$K$5:$K$16,MATCH(G1122,Config!$J$5:$J$16,0)),""))</f>
        <v/>
      </c>
      <c r="M1122" s="30">
        <f>IF(OR(G1122="",F1122=""),"",IFERROR(INDEX(Config!$M$5:$R$16,MATCH(G1122,Config!$J$5:$J$16,0),MATCH(F1122,Config!$H$5:$H$10,0)),""))</f>
        <v/>
      </c>
      <c r="N1122" s="29">
        <f>IF(A1122="","",MONTH(A1122))</f>
        <v/>
      </c>
      <c r="O1122" s="29">
        <f>IF(A1122="","",YEAR(A1122))</f>
        <v/>
      </c>
      <c r="P1122" s="29">
        <f>IF(A1122="","",CHOOSE(WEEKDAY(A1122,2),"Segunda","Terça","Quarta","Quinta","Sexta","Sábado","Domingo"))</f>
        <v/>
      </c>
      <c r="Q1122" s="29">
        <f>IF(B1122="","",IF(B1122&lt;TIME(12,0,0),"Manhã",IF(B1122&lt;TIME(18,0,0),"Tarde","Noite")))</f>
        <v/>
      </c>
      <c r="R1122" s="45">
        <f>IF(AND(H1122="Realizado",L1122&lt;&gt;""),L1122/60,0)</f>
        <v>0</v>
      </c>
    </row>
    <row r="1123">
      <c r="A1123" s="42" t="n"/>
      <c r="B1123" s="43" t="n"/>
      <c r="C1123" s="37" t="n"/>
      <c r="D1123" s="37" t="n"/>
      <c r="E1123" s="36" t="n"/>
      <c r="F1123" s="37" t="n"/>
      <c r="G1123" s="37" t="n"/>
      <c r="H1123" s="37" t="n"/>
      <c r="I1123" s="37" t="n"/>
      <c r="J1123" s="37" t="n"/>
      <c r="K1123" s="36" t="n"/>
      <c r="L1123" s="44">
        <f>IF(G1123="","",IFERROR(INDEX(Config!$K$5:$K$16,MATCH(G1123,Config!$J$5:$J$16,0)),""))</f>
        <v/>
      </c>
      <c r="M1123" s="30">
        <f>IF(OR(G1123="",F1123=""),"",IFERROR(INDEX(Config!$M$5:$R$16,MATCH(G1123,Config!$J$5:$J$16,0),MATCH(F1123,Config!$H$5:$H$10,0)),""))</f>
        <v/>
      </c>
      <c r="N1123" s="29">
        <f>IF(A1123="","",MONTH(A1123))</f>
        <v/>
      </c>
      <c r="O1123" s="29">
        <f>IF(A1123="","",YEAR(A1123))</f>
        <v/>
      </c>
      <c r="P1123" s="29">
        <f>IF(A1123="","",CHOOSE(WEEKDAY(A1123,2),"Segunda","Terça","Quarta","Quinta","Sexta","Sábado","Domingo"))</f>
        <v/>
      </c>
      <c r="Q1123" s="29">
        <f>IF(B1123="","",IF(B1123&lt;TIME(12,0,0),"Manhã",IF(B1123&lt;TIME(18,0,0),"Tarde","Noite")))</f>
        <v/>
      </c>
      <c r="R1123" s="45">
        <f>IF(AND(H1123="Realizado",L1123&lt;&gt;""),L1123/60,0)</f>
        <v>0</v>
      </c>
    </row>
    <row r="1124">
      <c r="A1124" s="42" t="n"/>
      <c r="B1124" s="43" t="n"/>
      <c r="C1124" s="37" t="n"/>
      <c r="D1124" s="37" t="n"/>
      <c r="E1124" s="36" t="n"/>
      <c r="F1124" s="37" t="n"/>
      <c r="G1124" s="37" t="n"/>
      <c r="H1124" s="37" t="n"/>
      <c r="I1124" s="37" t="n"/>
      <c r="J1124" s="37" t="n"/>
      <c r="K1124" s="36" t="n"/>
      <c r="L1124" s="44">
        <f>IF(G1124="","",IFERROR(INDEX(Config!$K$5:$K$16,MATCH(G1124,Config!$J$5:$J$16,0)),""))</f>
        <v/>
      </c>
      <c r="M1124" s="30">
        <f>IF(OR(G1124="",F1124=""),"",IFERROR(INDEX(Config!$M$5:$R$16,MATCH(G1124,Config!$J$5:$J$16,0),MATCH(F1124,Config!$H$5:$H$10,0)),""))</f>
        <v/>
      </c>
      <c r="N1124" s="29">
        <f>IF(A1124="","",MONTH(A1124))</f>
        <v/>
      </c>
      <c r="O1124" s="29">
        <f>IF(A1124="","",YEAR(A1124))</f>
        <v/>
      </c>
      <c r="P1124" s="29">
        <f>IF(A1124="","",CHOOSE(WEEKDAY(A1124,2),"Segunda","Terça","Quarta","Quinta","Sexta","Sábado","Domingo"))</f>
        <v/>
      </c>
      <c r="Q1124" s="29">
        <f>IF(B1124="","",IF(B1124&lt;TIME(12,0,0),"Manhã",IF(B1124&lt;TIME(18,0,0),"Tarde","Noite")))</f>
        <v/>
      </c>
      <c r="R1124" s="45">
        <f>IF(AND(H1124="Realizado",L1124&lt;&gt;""),L1124/60,0)</f>
        <v>0</v>
      </c>
    </row>
    <row r="1125">
      <c r="A1125" s="42" t="n"/>
      <c r="B1125" s="43" t="n"/>
      <c r="C1125" s="37" t="n"/>
      <c r="D1125" s="37" t="n"/>
      <c r="E1125" s="36" t="n"/>
      <c r="F1125" s="37" t="n"/>
      <c r="G1125" s="37" t="n"/>
      <c r="H1125" s="37" t="n"/>
      <c r="I1125" s="37" t="n"/>
      <c r="J1125" s="37" t="n"/>
      <c r="K1125" s="36" t="n"/>
      <c r="L1125" s="44">
        <f>IF(G1125="","",IFERROR(INDEX(Config!$K$5:$K$16,MATCH(G1125,Config!$J$5:$J$16,0)),""))</f>
        <v/>
      </c>
      <c r="M1125" s="30">
        <f>IF(OR(G1125="",F1125=""),"",IFERROR(INDEX(Config!$M$5:$R$16,MATCH(G1125,Config!$J$5:$J$16,0),MATCH(F1125,Config!$H$5:$H$10,0)),""))</f>
        <v/>
      </c>
      <c r="N1125" s="29">
        <f>IF(A1125="","",MONTH(A1125))</f>
        <v/>
      </c>
      <c r="O1125" s="29">
        <f>IF(A1125="","",YEAR(A1125))</f>
        <v/>
      </c>
      <c r="P1125" s="29">
        <f>IF(A1125="","",CHOOSE(WEEKDAY(A1125,2),"Segunda","Terça","Quarta","Quinta","Sexta","Sábado","Domingo"))</f>
        <v/>
      </c>
      <c r="Q1125" s="29">
        <f>IF(B1125="","",IF(B1125&lt;TIME(12,0,0),"Manhã",IF(B1125&lt;TIME(18,0,0),"Tarde","Noite")))</f>
        <v/>
      </c>
      <c r="R1125" s="45">
        <f>IF(AND(H1125="Realizado",L1125&lt;&gt;""),L1125/60,0)</f>
        <v>0</v>
      </c>
    </row>
    <row r="1126">
      <c r="A1126" s="42" t="n"/>
      <c r="B1126" s="43" t="n"/>
      <c r="C1126" s="37" t="n"/>
      <c r="D1126" s="37" t="n"/>
      <c r="E1126" s="36" t="n"/>
      <c r="F1126" s="37" t="n"/>
      <c r="G1126" s="37" t="n"/>
      <c r="H1126" s="37" t="n"/>
      <c r="I1126" s="37" t="n"/>
      <c r="J1126" s="37" t="n"/>
      <c r="K1126" s="36" t="n"/>
      <c r="L1126" s="44">
        <f>IF(G1126="","",IFERROR(INDEX(Config!$K$5:$K$16,MATCH(G1126,Config!$J$5:$J$16,0)),""))</f>
        <v/>
      </c>
      <c r="M1126" s="30">
        <f>IF(OR(G1126="",F1126=""),"",IFERROR(INDEX(Config!$M$5:$R$16,MATCH(G1126,Config!$J$5:$J$16,0),MATCH(F1126,Config!$H$5:$H$10,0)),""))</f>
        <v/>
      </c>
      <c r="N1126" s="29">
        <f>IF(A1126="","",MONTH(A1126))</f>
        <v/>
      </c>
      <c r="O1126" s="29">
        <f>IF(A1126="","",YEAR(A1126))</f>
        <v/>
      </c>
      <c r="P1126" s="29">
        <f>IF(A1126="","",CHOOSE(WEEKDAY(A1126,2),"Segunda","Terça","Quarta","Quinta","Sexta","Sábado","Domingo"))</f>
        <v/>
      </c>
      <c r="Q1126" s="29">
        <f>IF(B1126="","",IF(B1126&lt;TIME(12,0,0),"Manhã",IF(B1126&lt;TIME(18,0,0),"Tarde","Noite")))</f>
        <v/>
      </c>
      <c r="R1126" s="45">
        <f>IF(AND(H1126="Realizado",L1126&lt;&gt;""),L1126/60,0)</f>
        <v>0</v>
      </c>
    </row>
    <row r="1127">
      <c r="A1127" s="42" t="n"/>
      <c r="B1127" s="43" t="n"/>
      <c r="C1127" s="37" t="n"/>
      <c r="D1127" s="37" t="n"/>
      <c r="E1127" s="36" t="n"/>
      <c r="F1127" s="37" t="n"/>
      <c r="G1127" s="37" t="n"/>
      <c r="H1127" s="37" t="n"/>
      <c r="I1127" s="37" t="n"/>
      <c r="J1127" s="37" t="n"/>
      <c r="K1127" s="36" t="n"/>
      <c r="L1127" s="44">
        <f>IF(G1127="","",IFERROR(INDEX(Config!$K$5:$K$16,MATCH(G1127,Config!$J$5:$J$16,0)),""))</f>
        <v/>
      </c>
      <c r="M1127" s="30">
        <f>IF(OR(G1127="",F1127=""),"",IFERROR(INDEX(Config!$M$5:$R$16,MATCH(G1127,Config!$J$5:$J$16,0),MATCH(F1127,Config!$H$5:$H$10,0)),""))</f>
        <v/>
      </c>
      <c r="N1127" s="29">
        <f>IF(A1127="","",MONTH(A1127))</f>
        <v/>
      </c>
      <c r="O1127" s="29">
        <f>IF(A1127="","",YEAR(A1127))</f>
        <v/>
      </c>
      <c r="P1127" s="29">
        <f>IF(A1127="","",CHOOSE(WEEKDAY(A1127,2),"Segunda","Terça","Quarta","Quinta","Sexta","Sábado","Domingo"))</f>
        <v/>
      </c>
      <c r="Q1127" s="29">
        <f>IF(B1127="","",IF(B1127&lt;TIME(12,0,0),"Manhã",IF(B1127&lt;TIME(18,0,0),"Tarde","Noite")))</f>
        <v/>
      </c>
      <c r="R1127" s="45">
        <f>IF(AND(H1127="Realizado",L1127&lt;&gt;""),L1127/60,0)</f>
        <v>0</v>
      </c>
    </row>
    <row r="1128">
      <c r="A1128" s="42" t="n"/>
      <c r="B1128" s="43" t="n"/>
      <c r="C1128" s="37" t="n"/>
      <c r="D1128" s="37" t="n"/>
      <c r="E1128" s="36" t="n"/>
      <c r="F1128" s="37" t="n"/>
      <c r="G1128" s="37" t="n"/>
      <c r="H1128" s="37" t="n"/>
      <c r="I1128" s="37" t="n"/>
      <c r="J1128" s="37" t="n"/>
      <c r="K1128" s="36" t="n"/>
      <c r="L1128" s="44">
        <f>IF(G1128="","",IFERROR(INDEX(Config!$K$5:$K$16,MATCH(G1128,Config!$J$5:$J$16,0)),""))</f>
        <v/>
      </c>
      <c r="M1128" s="30">
        <f>IF(OR(G1128="",F1128=""),"",IFERROR(INDEX(Config!$M$5:$R$16,MATCH(G1128,Config!$J$5:$J$16,0),MATCH(F1128,Config!$H$5:$H$10,0)),""))</f>
        <v/>
      </c>
      <c r="N1128" s="29">
        <f>IF(A1128="","",MONTH(A1128))</f>
        <v/>
      </c>
      <c r="O1128" s="29">
        <f>IF(A1128="","",YEAR(A1128))</f>
        <v/>
      </c>
      <c r="P1128" s="29">
        <f>IF(A1128="","",CHOOSE(WEEKDAY(A1128,2),"Segunda","Terça","Quarta","Quinta","Sexta","Sábado","Domingo"))</f>
        <v/>
      </c>
      <c r="Q1128" s="29">
        <f>IF(B1128="","",IF(B1128&lt;TIME(12,0,0),"Manhã",IF(B1128&lt;TIME(18,0,0),"Tarde","Noite")))</f>
        <v/>
      </c>
      <c r="R1128" s="45">
        <f>IF(AND(H1128="Realizado",L1128&lt;&gt;""),L1128/60,0)</f>
        <v>0</v>
      </c>
    </row>
    <row r="1129">
      <c r="A1129" s="42" t="n"/>
      <c r="B1129" s="43" t="n"/>
      <c r="C1129" s="37" t="n"/>
      <c r="D1129" s="37" t="n"/>
      <c r="E1129" s="36" t="n"/>
      <c r="F1129" s="37" t="n"/>
      <c r="G1129" s="37" t="n"/>
      <c r="H1129" s="37" t="n"/>
      <c r="I1129" s="37" t="n"/>
      <c r="J1129" s="37" t="n"/>
      <c r="K1129" s="36" t="n"/>
      <c r="L1129" s="44">
        <f>IF(G1129="","",IFERROR(INDEX(Config!$K$5:$K$16,MATCH(G1129,Config!$J$5:$J$16,0)),""))</f>
        <v/>
      </c>
      <c r="M1129" s="30">
        <f>IF(OR(G1129="",F1129=""),"",IFERROR(INDEX(Config!$M$5:$R$16,MATCH(G1129,Config!$J$5:$J$16,0),MATCH(F1129,Config!$H$5:$H$10,0)),""))</f>
        <v/>
      </c>
      <c r="N1129" s="29">
        <f>IF(A1129="","",MONTH(A1129))</f>
        <v/>
      </c>
      <c r="O1129" s="29">
        <f>IF(A1129="","",YEAR(A1129))</f>
        <v/>
      </c>
      <c r="P1129" s="29">
        <f>IF(A1129="","",CHOOSE(WEEKDAY(A1129,2),"Segunda","Terça","Quarta","Quinta","Sexta","Sábado","Domingo"))</f>
        <v/>
      </c>
      <c r="Q1129" s="29">
        <f>IF(B1129="","",IF(B1129&lt;TIME(12,0,0),"Manhã",IF(B1129&lt;TIME(18,0,0),"Tarde","Noite")))</f>
        <v/>
      </c>
      <c r="R1129" s="45">
        <f>IF(AND(H1129="Realizado",L1129&lt;&gt;""),L1129/60,0)</f>
        <v>0</v>
      </c>
    </row>
    <row r="1130">
      <c r="A1130" s="42" t="n"/>
      <c r="B1130" s="43" t="n"/>
      <c r="C1130" s="37" t="n"/>
      <c r="D1130" s="37" t="n"/>
      <c r="E1130" s="36" t="n"/>
      <c r="F1130" s="37" t="n"/>
      <c r="G1130" s="37" t="n"/>
      <c r="H1130" s="37" t="n"/>
      <c r="I1130" s="37" t="n"/>
      <c r="J1130" s="37" t="n"/>
      <c r="K1130" s="36" t="n"/>
      <c r="L1130" s="44">
        <f>IF(G1130="","",IFERROR(INDEX(Config!$K$5:$K$16,MATCH(G1130,Config!$J$5:$J$16,0)),""))</f>
        <v/>
      </c>
      <c r="M1130" s="30">
        <f>IF(OR(G1130="",F1130=""),"",IFERROR(INDEX(Config!$M$5:$R$16,MATCH(G1130,Config!$J$5:$J$16,0),MATCH(F1130,Config!$H$5:$H$10,0)),""))</f>
        <v/>
      </c>
      <c r="N1130" s="29">
        <f>IF(A1130="","",MONTH(A1130))</f>
        <v/>
      </c>
      <c r="O1130" s="29">
        <f>IF(A1130="","",YEAR(A1130))</f>
        <v/>
      </c>
      <c r="P1130" s="29">
        <f>IF(A1130="","",CHOOSE(WEEKDAY(A1130,2),"Segunda","Terça","Quarta","Quinta","Sexta","Sábado","Domingo"))</f>
        <v/>
      </c>
      <c r="Q1130" s="29">
        <f>IF(B1130="","",IF(B1130&lt;TIME(12,0,0),"Manhã",IF(B1130&lt;TIME(18,0,0),"Tarde","Noite")))</f>
        <v/>
      </c>
      <c r="R1130" s="45">
        <f>IF(AND(H1130="Realizado",L1130&lt;&gt;""),L1130/60,0)</f>
        <v>0</v>
      </c>
    </row>
    <row r="1131">
      <c r="A1131" s="42" t="n"/>
      <c r="B1131" s="43" t="n"/>
      <c r="C1131" s="37" t="n"/>
      <c r="D1131" s="37" t="n"/>
      <c r="E1131" s="36" t="n"/>
      <c r="F1131" s="37" t="n"/>
      <c r="G1131" s="37" t="n"/>
      <c r="H1131" s="37" t="n"/>
      <c r="I1131" s="37" t="n"/>
      <c r="J1131" s="37" t="n"/>
      <c r="K1131" s="36" t="n"/>
      <c r="L1131" s="44">
        <f>IF(G1131="","",IFERROR(INDEX(Config!$K$5:$K$16,MATCH(G1131,Config!$J$5:$J$16,0)),""))</f>
        <v/>
      </c>
      <c r="M1131" s="30">
        <f>IF(OR(G1131="",F1131=""),"",IFERROR(INDEX(Config!$M$5:$R$16,MATCH(G1131,Config!$J$5:$J$16,0),MATCH(F1131,Config!$H$5:$H$10,0)),""))</f>
        <v/>
      </c>
      <c r="N1131" s="29">
        <f>IF(A1131="","",MONTH(A1131))</f>
        <v/>
      </c>
      <c r="O1131" s="29">
        <f>IF(A1131="","",YEAR(A1131))</f>
        <v/>
      </c>
      <c r="P1131" s="29">
        <f>IF(A1131="","",CHOOSE(WEEKDAY(A1131,2),"Segunda","Terça","Quarta","Quinta","Sexta","Sábado","Domingo"))</f>
        <v/>
      </c>
      <c r="Q1131" s="29">
        <f>IF(B1131="","",IF(B1131&lt;TIME(12,0,0),"Manhã",IF(B1131&lt;TIME(18,0,0),"Tarde","Noite")))</f>
        <v/>
      </c>
      <c r="R1131" s="45">
        <f>IF(AND(H1131="Realizado",L1131&lt;&gt;""),L1131/60,0)</f>
        <v>0</v>
      </c>
    </row>
    <row r="1132">
      <c r="A1132" s="42" t="n"/>
      <c r="B1132" s="43" t="n"/>
      <c r="C1132" s="37" t="n"/>
      <c r="D1132" s="37" t="n"/>
      <c r="E1132" s="36" t="n"/>
      <c r="F1132" s="37" t="n"/>
      <c r="G1132" s="37" t="n"/>
      <c r="H1132" s="37" t="n"/>
      <c r="I1132" s="37" t="n"/>
      <c r="J1132" s="37" t="n"/>
      <c r="K1132" s="36" t="n"/>
      <c r="L1132" s="44">
        <f>IF(G1132="","",IFERROR(INDEX(Config!$K$5:$K$16,MATCH(G1132,Config!$J$5:$J$16,0)),""))</f>
        <v/>
      </c>
      <c r="M1132" s="30">
        <f>IF(OR(G1132="",F1132=""),"",IFERROR(INDEX(Config!$M$5:$R$16,MATCH(G1132,Config!$J$5:$J$16,0),MATCH(F1132,Config!$H$5:$H$10,0)),""))</f>
        <v/>
      </c>
      <c r="N1132" s="29">
        <f>IF(A1132="","",MONTH(A1132))</f>
        <v/>
      </c>
      <c r="O1132" s="29">
        <f>IF(A1132="","",YEAR(A1132))</f>
        <v/>
      </c>
      <c r="P1132" s="29">
        <f>IF(A1132="","",CHOOSE(WEEKDAY(A1132,2),"Segunda","Terça","Quarta","Quinta","Sexta","Sábado","Domingo"))</f>
        <v/>
      </c>
      <c r="Q1132" s="29">
        <f>IF(B1132="","",IF(B1132&lt;TIME(12,0,0),"Manhã",IF(B1132&lt;TIME(18,0,0),"Tarde","Noite")))</f>
        <v/>
      </c>
      <c r="R1132" s="45">
        <f>IF(AND(H1132="Realizado",L1132&lt;&gt;""),L1132/60,0)</f>
        <v>0</v>
      </c>
    </row>
    <row r="1133">
      <c r="A1133" s="42" t="n"/>
      <c r="B1133" s="43" t="n"/>
      <c r="C1133" s="37" t="n"/>
      <c r="D1133" s="37" t="n"/>
      <c r="E1133" s="36" t="n"/>
      <c r="F1133" s="37" t="n"/>
      <c r="G1133" s="37" t="n"/>
      <c r="H1133" s="37" t="n"/>
      <c r="I1133" s="37" t="n"/>
      <c r="J1133" s="37" t="n"/>
      <c r="K1133" s="36" t="n"/>
      <c r="L1133" s="44">
        <f>IF(G1133="","",IFERROR(INDEX(Config!$K$5:$K$16,MATCH(G1133,Config!$J$5:$J$16,0)),""))</f>
        <v/>
      </c>
      <c r="M1133" s="30">
        <f>IF(OR(G1133="",F1133=""),"",IFERROR(INDEX(Config!$M$5:$R$16,MATCH(G1133,Config!$J$5:$J$16,0),MATCH(F1133,Config!$H$5:$H$10,0)),""))</f>
        <v/>
      </c>
      <c r="N1133" s="29">
        <f>IF(A1133="","",MONTH(A1133))</f>
        <v/>
      </c>
      <c r="O1133" s="29">
        <f>IF(A1133="","",YEAR(A1133))</f>
        <v/>
      </c>
      <c r="P1133" s="29">
        <f>IF(A1133="","",CHOOSE(WEEKDAY(A1133,2),"Segunda","Terça","Quarta","Quinta","Sexta","Sábado","Domingo"))</f>
        <v/>
      </c>
      <c r="Q1133" s="29">
        <f>IF(B1133="","",IF(B1133&lt;TIME(12,0,0),"Manhã",IF(B1133&lt;TIME(18,0,0),"Tarde","Noite")))</f>
        <v/>
      </c>
      <c r="R1133" s="45">
        <f>IF(AND(H1133="Realizado",L1133&lt;&gt;""),L1133/60,0)</f>
        <v>0</v>
      </c>
    </row>
    <row r="1134">
      <c r="A1134" s="42" t="n"/>
      <c r="B1134" s="43" t="n"/>
      <c r="C1134" s="37" t="n"/>
      <c r="D1134" s="37" t="n"/>
      <c r="E1134" s="36" t="n"/>
      <c r="F1134" s="37" t="n"/>
      <c r="G1134" s="37" t="n"/>
      <c r="H1134" s="37" t="n"/>
      <c r="I1134" s="37" t="n"/>
      <c r="J1134" s="37" t="n"/>
      <c r="K1134" s="36" t="n"/>
      <c r="L1134" s="44">
        <f>IF(G1134="","",IFERROR(INDEX(Config!$K$5:$K$16,MATCH(G1134,Config!$J$5:$J$16,0)),""))</f>
        <v/>
      </c>
      <c r="M1134" s="30">
        <f>IF(OR(G1134="",F1134=""),"",IFERROR(INDEX(Config!$M$5:$R$16,MATCH(G1134,Config!$J$5:$J$16,0),MATCH(F1134,Config!$H$5:$H$10,0)),""))</f>
        <v/>
      </c>
      <c r="N1134" s="29">
        <f>IF(A1134="","",MONTH(A1134))</f>
        <v/>
      </c>
      <c r="O1134" s="29">
        <f>IF(A1134="","",YEAR(A1134))</f>
        <v/>
      </c>
      <c r="P1134" s="29">
        <f>IF(A1134="","",CHOOSE(WEEKDAY(A1134,2),"Segunda","Terça","Quarta","Quinta","Sexta","Sábado","Domingo"))</f>
        <v/>
      </c>
      <c r="Q1134" s="29">
        <f>IF(B1134="","",IF(B1134&lt;TIME(12,0,0),"Manhã",IF(B1134&lt;TIME(18,0,0),"Tarde","Noite")))</f>
        <v/>
      </c>
      <c r="R1134" s="45">
        <f>IF(AND(H1134="Realizado",L1134&lt;&gt;""),L1134/60,0)</f>
        <v>0</v>
      </c>
    </row>
    <row r="1135">
      <c r="A1135" s="42" t="n"/>
      <c r="B1135" s="43" t="n"/>
      <c r="C1135" s="37" t="n"/>
      <c r="D1135" s="37" t="n"/>
      <c r="E1135" s="36" t="n"/>
      <c r="F1135" s="37" t="n"/>
      <c r="G1135" s="37" t="n"/>
      <c r="H1135" s="37" t="n"/>
      <c r="I1135" s="37" t="n"/>
      <c r="J1135" s="37" t="n"/>
      <c r="K1135" s="36" t="n"/>
      <c r="L1135" s="44">
        <f>IF(G1135="","",IFERROR(INDEX(Config!$K$5:$K$16,MATCH(G1135,Config!$J$5:$J$16,0)),""))</f>
        <v/>
      </c>
      <c r="M1135" s="30">
        <f>IF(OR(G1135="",F1135=""),"",IFERROR(INDEX(Config!$M$5:$R$16,MATCH(G1135,Config!$J$5:$J$16,0),MATCH(F1135,Config!$H$5:$H$10,0)),""))</f>
        <v/>
      </c>
      <c r="N1135" s="29">
        <f>IF(A1135="","",MONTH(A1135))</f>
        <v/>
      </c>
      <c r="O1135" s="29">
        <f>IF(A1135="","",YEAR(A1135))</f>
        <v/>
      </c>
      <c r="P1135" s="29">
        <f>IF(A1135="","",CHOOSE(WEEKDAY(A1135,2),"Segunda","Terça","Quarta","Quinta","Sexta","Sábado","Domingo"))</f>
        <v/>
      </c>
      <c r="Q1135" s="29">
        <f>IF(B1135="","",IF(B1135&lt;TIME(12,0,0),"Manhã",IF(B1135&lt;TIME(18,0,0),"Tarde","Noite")))</f>
        <v/>
      </c>
      <c r="R1135" s="45">
        <f>IF(AND(H1135="Realizado",L1135&lt;&gt;""),L1135/60,0)</f>
        <v>0</v>
      </c>
    </row>
    <row r="1136">
      <c r="A1136" s="42" t="n"/>
      <c r="B1136" s="43" t="n"/>
      <c r="C1136" s="37" t="n"/>
      <c r="D1136" s="37" t="n"/>
      <c r="E1136" s="36" t="n"/>
      <c r="F1136" s="37" t="n"/>
      <c r="G1136" s="37" t="n"/>
      <c r="H1136" s="37" t="n"/>
      <c r="I1136" s="37" t="n"/>
      <c r="J1136" s="37" t="n"/>
      <c r="K1136" s="36" t="n"/>
      <c r="L1136" s="44">
        <f>IF(G1136="","",IFERROR(INDEX(Config!$K$5:$K$16,MATCH(G1136,Config!$J$5:$J$16,0)),""))</f>
        <v/>
      </c>
      <c r="M1136" s="30">
        <f>IF(OR(G1136="",F1136=""),"",IFERROR(INDEX(Config!$M$5:$R$16,MATCH(G1136,Config!$J$5:$J$16,0),MATCH(F1136,Config!$H$5:$H$10,0)),""))</f>
        <v/>
      </c>
      <c r="N1136" s="29">
        <f>IF(A1136="","",MONTH(A1136))</f>
        <v/>
      </c>
      <c r="O1136" s="29">
        <f>IF(A1136="","",YEAR(A1136))</f>
        <v/>
      </c>
      <c r="P1136" s="29">
        <f>IF(A1136="","",CHOOSE(WEEKDAY(A1136,2),"Segunda","Terça","Quarta","Quinta","Sexta","Sábado","Domingo"))</f>
        <v/>
      </c>
      <c r="Q1136" s="29">
        <f>IF(B1136="","",IF(B1136&lt;TIME(12,0,0),"Manhã",IF(B1136&lt;TIME(18,0,0),"Tarde","Noite")))</f>
        <v/>
      </c>
      <c r="R1136" s="45">
        <f>IF(AND(H1136="Realizado",L1136&lt;&gt;""),L1136/60,0)</f>
        <v>0</v>
      </c>
    </row>
    <row r="1137">
      <c r="A1137" s="42" t="n"/>
      <c r="B1137" s="43" t="n"/>
      <c r="C1137" s="37" t="n"/>
      <c r="D1137" s="37" t="n"/>
      <c r="E1137" s="36" t="n"/>
      <c r="F1137" s="37" t="n"/>
      <c r="G1137" s="37" t="n"/>
      <c r="H1137" s="37" t="n"/>
      <c r="I1137" s="37" t="n"/>
      <c r="J1137" s="37" t="n"/>
      <c r="K1137" s="36" t="n"/>
      <c r="L1137" s="44">
        <f>IF(G1137="","",IFERROR(INDEX(Config!$K$5:$K$16,MATCH(G1137,Config!$J$5:$J$16,0)),""))</f>
        <v/>
      </c>
      <c r="M1137" s="30">
        <f>IF(OR(G1137="",F1137=""),"",IFERROR(INDEX(Config!$M$5:$R$16,MATCH(G1137,Config!$J$5:$J$16,0),MATCH(F1137,Config!$H$5:$H$10,0)),""))</f>
        <v/>
      </c>
      <c r="N1137" s="29">
        <f>IF(A1137="","",MONTH(A1137))</f>
        <v/>
      </c>
      <c r="O1137" s="29">
        <f>IF(A1137="","",YEAR(A1137))</f>
        <v/>
      </c>
      <c r="P1137" s="29">
        <f>IF(A1137="","",CHOOSE(WEEKDAY(A1137,2),"Segunda","Terça","Quarta","Quinta","Sexta","Sábado","Domingo"))</f>
        <v/>
      </c>
      <c r="Q1137" s="29">
        <f>IF(B1137="","",IF(B1137&lt;TIME(12,0,0),"Manhã",IF(B1137&lt;TIME(18,0,0),"Tarde","Noite")))</f>
        <v/>
      </c>
      <c r="R1137" s="45">
        <f>IF(AND(H1137="Realizado",L1137&lt;&gt;""),L1137/60,0)</f>
        <v>0</v>
      </c>
    </row>
    <row r="1138">
      <c r="A1138" s="42" t="n"/>
      <c r="B1138" s="43" t="n"/>
      <c r="C1138" s="37" t="n"/>
      <c r="D1138" s="37" t="n"/>
      <c r="E1138" s="36" t="n"/>
      <c r="F1138" s="37" t="n"/>
      <c r="G1138" s="37" t="n"/>
      <c r="H1138" s="37" t="n"/>
      <c r="I1138" s="37" t="n"/>
      <c r="J1138" s="37" t="n"/>
      <c r="K1138" s="36" t="n"/>
      <c r="L1138" s="44">
        <f>IF(G1138="","",IFERROR(INDEX(Config!$K$5:$K$16,MATCH(G1138,Config!$J$5:$J$16,0)),""))</f>
        <v/>
      </c>
      <c r="M1138" s="30">
        <f>IF(OR(G1138="",F1138=""),"",IFERROR(INDEX(Config!$M$5:$R$16,MATCH(G1138,Config!$J$5:$J$16,0),MATCH(F1138,Config!$H$5:$H$10,0)),""))</f>
        <v/>
      </c>
      <c r="N1138" s="29">
        <f>IF(A1138="","",MONTH(A1138))</f>
        <v/>
      </c>
      <c r="O1138" s="29">
        <f>IF(A1138="","",YEAR(A1138))</f>
        <v/>
      </c>
      <c r="P1138" s="29">
        <f>IF(A1138="","",CHOOSE(WEEKDAY(A1138,2),"Segunda","Terça","Quarta","Quinta","Sexta","Sábado","Domingo"))</f>
        <v/>
      </c>
      <c r="Q1138" s="29">
        <f>IF(B1138="","",IF(B1138&lt;TIME(12,0,0),"Manhã",IF(B1138&lt;TIME(18,0,0),"Tarde","Noite")))</f>
        <v/>
      </c>
      <c r="R1138" s="45">
        <f>IF(AND(H1138="Realizado",L1138&lt;&gt;""),L1138/60,0)</f>
        <v>0</v>
      </c>
    </row>
    <row r="1139">
      <c r="A1139" s="42" t="n"/>
      <c r="B1139" s="43" t="n"/>
      <c r="C1139" s="37" t="n"/>
      <c r="D1139" s="37" t="n"/>
      <c r="E1139" s="36" t="n"/>
      <c r="F1139" s="37" t="n"/>
      <c r="G1139" s="37" t="n"/>
      <c r="H1139" s="37" t="n"/>
      <c r="I1139" s="37" t="n"/>
      <c r="J1139" s="37" t="n"/>
      <c r="K1139" s="36" t="n"/>
      <c r="L1139" s="44">
        <f>IF(G1139="","",IFERROR(INDEX(Config!$K$5:$K$16,MATCH(G1139,Config!$J$5:$J$16,0)),""))</f>
        <v/>
      </c>
      <c r="M1139" s="30">
        <f>IF(OR(G1139="",F1139=""),"",IFERROR(INDEX(Config!$M$5:$R$16,MATCH(G1139,Config!$J$5:$J$16,0),MATCH(F1139,Config!$H$5:$H$10,0)),""))</f>
        <v/>
      </c>
      <c r="N1139" s="29">
        <f>IF(A1139="","",MONTH(A1139))</f>
        <v/>
      </c>
      <c r="O1139" s="29">
        <f>IF(A1139="","",YEAR(A1139))</f>
        <v/>
      </c>
      <c r="P1139" s="29">
        <f>IF(A1139="","",CHOOSE(WEEKDAY(A1139,2),"Segunda","Terça","Quarta","Quinta","Sexta","Sábado","Domingo"))</f>
        <v/>
      </c>
      <c r="Q1139" s="29">
        <f>IF(B1139="","",IF(B1139&lt;TIME(12,0,0),"Manhã",IF(B1139&lt;TIME(18,0,0),"Tarde","Noite")))</f>
        <v/>
      </c>
      <c r="R1139" s="45">
        <f>IF(AND(H1139="Realizado",L1139&lt;&gt;""),L1139/60,0)</f>
        <v>0</v>
      </c>
    </row>
    <row r="1140">
      <c r="A1140" s="42" t="n"/>
      <c r="B1140" s="43" t="n"/>
      <c r="C1140" s="37" t="n"/>
      <c r="D1140" s="37" t="n"/>
      <c r="E1140" s="36" t="n"/>
      <c r="F1140" s="37" t="n"/>
      <c r="G1140" s="37" t="n"/>
      <c r="H1140" s="37" t="n"/>
      <c r="I1140" s="37" t="n"/>
      <c r="J1140" s="37" t="n"/>
      <c r="K1140" s="36" t="n"/>
      <c r="L1140" s="44">
        <f>IF(G1140="","",IFERROR(INDEX(Config!$K$5:$K$16,MATCH(G1140,Config!$J$5:$J$16,0)),""))</f>
        <v/>
      </c>
      <c r="M1140" s="30">
        <f>IF(OR(G1140="",F1140=""),"",IFERROR(INDEX(Config!$M$5:$R$16,MATCH(G1140,Config!$J$5:$J$16,0),MATCH(F1140,Config!$H$5:$H$10,0)),""))</f>
        <v/>
      </c>
      <c r="N1140" s="29">
        <f>IF(A1140="","",MONTH(A1140))</f>
        <v/>
      </c>
      <c r="O1140" s="29">
        <f>IF(A1140="","",YEAR(A1140))</f>
        <v/>
      </c>
      <c r="P1140" s="29">
        <f>IF(A1140="","",CHOOSE(WEEKDAY(A1140,2),"Segunda","Terça","Quarta","Quinta","Sexta","Sábado","Domingo"))</f>
        <v/>
      </c>
      <c r="Q1140" s="29">
        <f>IF(B1140="","",IF(B1140&lt;TIME(12,0,0),"Manhã",IF(B1140&lt;TIME(18,0,0),"Tarde","Noite")))</f>
        <v/>
      </c>
      <c r="R1140" s="45">
        <f>IF(AND(H1140="Realizado",L1140&lt;&gt;""),L1140/60,0)</f>
        <v>0</v>
      </c>
    </row>
    <row r="1141">
      <c r="A1141" s="42" t="n"/>
      <c r="B1141" s="43" t="n"/>
      <c r="C1141" s="37" t="n"/>
      <c r="D1141" s="37" t="n"/>
      <c r="E1141" s="36" t="n"/>
      <c r="F1141" s="37" t="n"/>
      <c r="G1141" s="37" t="n"/>
      <c r="H1141" s="37" t="n"/>
      <c r="I1141" s="37" t="n"/>
      <c r="J1141" s="37" t="n"/>
      <c r="K1141" s="36" t="n"/>
      <c r="L1141" s="44">
        <f>IF(G1141="","",IFERROR(INDEX(Config!$K$5:$K$16,MATCH(G1141,Config!$J$5:$J$16,0)),""))</f>
        <v/>
      </c>
      <c r="M1141" s="30">
        <f>IF(OR(G1141="",F1141=""),"",IFERROR(INDEX(Config!$M$5:$R$16,MATCH(G1141,Config!$J$5:$J$16,0),MATCH(F1141,Config!$H$5:$H$10,0)),""))</f>
        <v/>
      </c>
      <c r="N1141" s="29">
        <f>IF(A1141="","",MONTH(A1141))</f>
        <v/>
      </c>
      <c r="O1141" s="29">
        <f>IF(A1141="","",YEAR(A1141))</f>
        <v/>
      </c>
      <c r="P1141" s="29">
        <f>IF(A1141="","",CHOOSE(WEEKDAY(A1141,2),"Segunda","Terça","Quarta","Quinta","Sexta","Sábado","Domingo"))</f>
        <v/>
      </c>
      <c r="Q1141" s="29">
        <f>IF(B1141="","",IF(B1141&lt;TIME(12,0,0),"Manhã",IF(B1141&lt;TIME(18,0,0),"Tarde","Noite")))</f>
        <v/>
      </c>
      <c r="R1141" s="45">
        <f>IF(AND(H1141="Realizado",L1141&lt;&gt;""),L1141/60,0)</f>
        <v>0</v>
      </c>
    </row>
    <row r="1142">
      <c r="A1142" s="42" t="n"/>
      <c r="B1142" s="43" t="n"/>
      <c r="C1142" s="37" t="n"/>
      <c r="D1142" s="37" t="n"/>
      <c r="E1142" s="36" t="n"/>
      <c r="F1142" s="37" t="n"/>
      <c r="G1142" s="37" t="n"/>
      <c r="H1142" s="37" t="n"/>
      <c r="I1142" s="37" t="n"/>
      <c r="J1142" s="37" t="n"/>
      <c r="K1142" s="36" t="n"/>
      <c r="L1142" s="44">
        <f>IF(G1142="","",IFERROR(INDEX(Config!$K$5:$K$16,MATCH(G1142,Config!$J$5:$J$16,0)),""))</f>
        <v/>
      </c>
      <c r="M1142" s="30">
        <f>IF(OR(G1142="",F1142=""),"",IFERROR(INDEX(Config!$M$5:$R$16,MATCH(G1142,Config!$J$5:$J$16,0),MATCH(F1142,Config!$H$5:$H$10,0)),""))</f>
        <v/>
      </c>
      <c r="N1142" s="29">
        <f>IF(A1142="","",MONTH(A1142))</f>
        <v/>
      </c>
      <c r="O1142" s="29">
        <f>IF(A1142="","",YEAR(A1142))</f>
        <v/>
      </c>
      <c r="P1142" s="29">
        <f>IF(A1142="","",CHOOSE(WEEKDAY(A1142,2),"Segunda","Terça","Quarta","Quinta","Sexta","Sábado","Domingo"))</f>
        <v/>
      </c>
      <c r="Q1142" s="29">
        <f>IF(B1142="","",IF(B1142&lt;TIME(12,0,0),"Manhã",IF(B1142&lt;TIME(18,0,0),"Tarde","Noite")))</f>
        <v/>
      </c>
      <c r="R1142" s="45">
        <f>IF(AND(H1142="Realizado",L1142&lt;&gt;""),L1142/60,0)</f>
        <v>0</v>
      </c>
    </row>
    <row r="1143">
      <c r="A1143" s="42" t="n"/>
      <c r="B1143" s="43" t="n"/>
      <c r="C1143" s="37" t="n"/>
      <c r="D1143" s="37" t="n"/>
      <c r="E1143" s="36" t="n"/>
      <c r="F1143" s="37" t="n"/>
      <c r="G1143" s="37" t="n"/>
      <c r="H1143" s="37" t="n"/>
      <c r="I1143" s="37" t="n"/>
      <c r="J1143" s="37" t="n"/>
      <c r="K1143" s="36" t="n"/>
      <c r="L1143" s="44">
        <f>IF(G1143="","",IFERROR(INDEX(Config!$K$5:$K$16,MATCH(G1143,Config!$J$5:$J$16,0)),""))</f>
        <v/>
      </c>
      <c r="M1143" s="30">
        <f>IF(OR(G1143="",F1143=""),"",IFERROR(INDEX(Config!$M$5:$R$16,MATCH(G1143,Config!$J$5:$J$16,0),MATCH(F1143,Config!$H$5:$H$10,0)),""))</f>
        <v/>
      </c>
      <c r="N1143" s="29">
        <f>IF(A1143="","",MONTH(A1143))</f>
        <v/>
      </c>
      <c r="O1143" s="29">
        <f>IF(A1143="","",YEAR(A1143))</f>
        <v/>
      </c>
      <c r="P1143" s="29">
        <f>IF(A1143="","",CHOOSE(WEEKDAY(A1143,2),"Segunda","Terça","Quarta","Quinta","Sexta","Sábado","Domingo"))</f>
        <v/>
      </c>
      <c r="Q1143" s="29">
        <f>IF(B1143="","",IF(B1143&lt;TIME(12,0,0),"Manhã",IF(B1143&lt;TIME(18,0,0),"Tarde","Noite")))</f>
        <v/>
      </c>
      <c r="R1143" s="45">
        <f>IF(AND(H1143="Realizado",L1143&lt;&gt;""),L1143/60,0)</f>
        <v>0</v>
      </c>
    </row>
    <row r="1144">
      <c r="A1144" s="42" t="n"/>
      <c r="B1144" s="43" t="n"/>
      <c r="C1144" s="37" t="n"/>
      <c r="D1144" s="37" t="n"/>
      <c r="E1144" s="36" t="n"/>
      <c r="F1144" s="37" t="n"/>
      <c r="G1144" s="37" t="n"/>
      <c r="H1144" s="37" t="n"/>
      <c r="I1144" s="37" t="n"/>
      <c r="J1144" s="37" t="n"/>
      <c r="K1144" s="36" t="n"/>
      <c r="L1144" s="44">
        <f>IF(G1144="","",IFERROR(INDEX(Config!$K$5:$K$16,MATCH(G1144,Config!$J$5:$J$16,0)),""))</f>
        <v/>
      </c>
      <c r="M1144" s="30">
        <f>IF(OR(G1144="",F1144=""),"",IFERROR(INDEX(Config!$M$5:$R$16,MATCH(G1144,Config!$J$5:$J$16,0),MATCH(F1144,Config!$H$5:$H$10,0)),""))</f>
        <v/>
      </c>
      <c r="N1144" s="29">
        <f>IF(A1144="","",MONTH(A1144))</f>
        <v/>
      </c>
      <c r="O1144" s="29">
        <f>IF(A1144="","",YEAR(A1144))</f>
        <v/>
      </c>
      <c r="P1144" s="29">
        <f>IF(A1144="","",CHOOSE(WEEKDAY(A1144,2),"Segunda","Terça","Quarta","Quinta","Sexta","Sábado","Domingo"))</f>
        <v/>
      </c>
      <c r="Q1144" s="29">
        <f>IF(B1144="","",IF(B1144&lt;TIME(12,0,0),"Manhã",IF(B1144&lt;TIME(18,0,0),"Tarde","Noite")))</f>
        <v/>
      </c>
      <c r="R1144" s="45">
        <f>IF(AND(H1144="Realizado",L1144&lt;&gt;""),L1144/60,0)</f>
        <v>0</v>
      </c>
    </row>
    <row r="1145">
      <c r="A1145" s="42" t="n"/>
      <c r="B1145" s="43" t="n"/>
      <c r="C1145" s="37" t="n"/>
      <c r="D1145" s="37" t="n"/>
      <c r="E1145" s="36" t="n"/>
      <c r="F1145" s="37" t="n"/>
      <c r="G1145" s="37" t="n"/>
      <c r="H1145" s="37" t="n"/>
      <c r="I1145" s="37" t="n"/>
      <c r="J1145" s="37" t="n"/>
      <c r="K1145" s="36" t="n"/>
      <c r="L1145" s="44">
        <f>IF(G1145="","",IFERROR(INDEX(Config!$K$5:$K$16,MATCH(G1145,Config!$J$5:$J$16,0)),""))</f>
        <v/>
      </c>
      <c r="M1145" s="30">
        <f>IF(OR(G1145="",F1145=""),"",IFERROR(INDEX(Config!$M$5:$R$16,MATCH(G1145,Config!$J$5:$J$16,0),MATCH(F1145,Config!$H$5:$H$10,0)),""))</f>
        <v/>
      </c>
      <c r="N1145" s="29">
        <f>IF(A1145="","",MONTH(A1145))</f>
        <v/>
      </c>
      <c r="O1145" s="29">
        <f>IF(A1145="","",YEAR(A1145))</f>
        <v/>
      </c>
      <c r="P1145" s="29">
        <f>IF(A1145="","",CHOOSE(WEEKDAY(A1145,2),"Segunda","Terça","Quarta","Quinta","Sexta","Sábado","Domingo"))</f>
        <v/>
      </c>
      <c r="Q1145" s="29">
        <f>IF(B1145="","",IF(B1145&lt;TIME(12,0,0),"Manhã",IF(B1145&lt;TIME(18,0,0),"Tarde","Noite")))</f>
        <v/>
      </c>
      <c r="R1145" s="45">
        <f>IF(AND(H1145="Realizado",L1145&lt;&gt;""),L1145/60,0)</f>
        <v>0</v>
      </c>
    </row>
    <row r="1146">
      <c r="A1146" s="42" t="n"/>
      <c r="B1146" s="43" t="n"/>
      <c r="C1146" s="37" t="n"/>
      <c r="D1146" s="37" t="n"/>
      <c r="E1146" s="36" t="n"/>
      <c r="F1146" s="37" t="n"/>
      <c r="G1146" s="37" t="n"/>
      <c r="H1146" s="37" t="n"/>
      <c r="I1146" s="37" t="n"/>
      <c r="J1146" s="37" t="n"/>
      <c r="K1146" s="36" t="n"/>
      <c r="L1146" s="44">
        <f>IF(G1146="","",IFERROR(INDEX(Config!$K$5:$K$16,MATCH(G1146,Config!$J$5:$J$16,0)),""))</f>
        <v/>
      </c>
      <c r="M1146" s="30">
        <f>IF(OR(G1146="",F1146=""),"",IFERROR(INDEX(Config!$M$5:$R$16,MATCH(G1146,Config!$J$5:$J$16,0),MATCH(F1146,Config!$H$5:$H$10,0)),""))</f>
        <v/>
      </c>
      <c r="N1146" s="29">
        <f>IF(A1146="","",MONTH(A1146))</f>
        <v/>
      </c>
      <c r="O1146" s="29">
        <f>IF(A1146="","",YEAR(A1146))</f>
        <v/>
      </c>
      <c r="P1146" s="29">
        <f>IF(A1146="","",CHOOSE(WEEKDAY(A1146,2),"Segunda","Terça","Quarta","Quinta","Sexta","Sábado","Domingo"))</f>
        <v/>
      </c>
      <c r="Q1146" s="29">
        <f>IF(B1146="","",IF(B1146&lt;TIME(12,0,0),"Manhã",IF(B1146&lt;TIME(18,0,0),"Tarde","Noite")))</f>
        <v/>
      </c>
      <c r="R1146" s="45">
        <f>IF(AND(H1146="Realizado",L1146&lt;&gt;""),L1146/60,0)</f>
        <v>0</v>
      </c>
    </row>
    <row r="1147">
      <c r="A1147" s="42" t="n"/>
      <c r="B1147" s="43" t="n"/>
      <c r="C1147" s="37" t="n"/>
      <c r="D1147" s="37" t="n"/>
      <c r="E1147" s="36" t="n"/>
      <c r="F1147" s="37" t="n"/>
      <c r="G1147" s="37" t="n"/>
      <c r="H1147" s="37" t="n"/>
      <c r="I1147" s="37" t="n"/>
      <c r="J1147" s="37" t="n"/>
      <c r="K1147" s="36" t="n"/>
      <c r="L1147" s="44">
        <f>IF(G1147="","",IFERROR(INDEX(Config!$K$5:$K$16,MATCH(G1147,Config!$J$5:$J$16,0)),""))</f>
        <v/>
      </c>
      <c r="M1147" s="30">
        <f>IF(OR(G1147="",F1147=""),"",IFERROR(INDEX(Config!$M$5:$R$16,MATCH(G1147,Config!$J$5:$J$16,0),MATCH(F1147,Config!$H$5:$H$10,0)),""))</f>
        <v/>
      </c>
      <c r="N1147" s="29">
        <f>IF(A1147="","",MONTH(A1147))</f>
        <v/>
      </c>
      <c r="O1147" s="29">
        <f>IF(A1147="","",YEAR(A1147))</f>
        <v/>
      </c>
      <c r="P1147" s="29">
        <f>IF(A1147="","",CHOOSE(WEEKDAY(A1147,2),"Segunda","Terça","Quarta","Quinta","Sexta","Sábado","Domingo"))</f>
        <v/>
      </c>
      <c r="Q1147" s="29">
        <f>IF(B1147="","",IF(B1147&lt;TIME(12,0,0),"Manhã",IF(B1147&lt;TIME(18,0,0),"Tarde","Noite")))</f>
        <v/>
      </c>
      <c r="R1147" s="45">
        <f>IF(AND(H1147="Realizado",L1147&lt;&gt;""),L1147/60,0)</f>
        <v>0</v>
      </c>
    </row>
    <row r="1148">
      <c r="A1148" s="42" t="n"/>
      <c r="B1148" s="43" t="n"/>
      <c r="C1148" s="37" t="n"/>
      <c r="D1148" s="37" t="n"/>
      <c r="E1148" s="36" t="n"/>
      <c r="F1148" s="37" t="n"/>
      <c r="G1148" s="37" t="n"/>
      <c r="H1148" s="37" t="n"/>
      <c r="I1148" s="37" t="n"/>
      <c r="J1148" s="37" t="n"/>
      <c r="K1148" s="36" t="n"/>
      <c r="L1148" s="44">
        <f>IF(G1148="","",IFERROR(INDEX(Config!$K$5:$K$16,MATCH(G1148,Config!$J$5:$J$16,0)),""))</f>
        <v/>
      </c>
      <c r="M1148" s="30">
        <f>IF(OR(G1148="",F1148=""),"",IFERROR(INDEX(Config!$M$5:$R$16,MATCH(G1148,Config!$J$5:$J$16,0),MATCH(F1148,Config!$H$5:$H$10,0)),""))</f>
        <v/>
      </c>
      <c r="N1148" s="29">
        <f>IF(A1148="","",MONTH(A1148))</f>
        <v/>
      </c>
      <c r="O1148" s="29">
        <f>IF(A1148="","",YEAR(A1148))</f>
        <v/>
      </c>
      <c r="P1148" s="29">
        <f>IF(A1148="","",CHOOSE(WEEKDAY(A1148,2),"Segunda","Terça","Quarta","Quinta","Sexta","Sábado","Domingo"))</f>
        <v/>
      </c>
      <c r="Q1148" s="29">
        <f>IF(B1148="","",IF(B1148&lt;TIME(12,0,0),"Manhã",IF(B1148&lt;TIME(18,0,0),"Tarde","Noite")))</f>
        <v/>
      </c>
      <c r="R1148" s="45">
        <f>IF(AND(H1148="Realizado",L1148&lt;&gt;""),L1148/60,0)</f>
        <v>0</v>
      </c>
    </row>
    <row r="1149">
      <c r="A1149" s="42" t="n"/>
      <c r="B1149" s="43" t="n"/>
      <c r="C1149" s="37" t="n"/>
      <c r="D1149" s="37" t="n"/>
      <c r="E1149" s="36" t="n"/>
      <c r="F1149" s="37" t="n"/>
      <c r="G1149" s="37" t="n"/>
      <c r="H1149" s="37" t="n"/>
      <c r="I1149" s="37" t="n"/>
      <c r="J1149" s="37" t="n"/>
      <c r="K1149" s="36" t="n"/>
      <c r="L1149" s="44">
        <f>IF(G1149="","",IFERROR(INDEX(Config!$K$5:$K$16,MATCH(G1149,Config!$J$5:$J$16,0)),""))</f>
        <v/>
      </c>
      <c r="M1149" s="30">
        <f>IF(OR(G1149="",F1149=""),"",IFERROR(INDEX(Config!$M$5:$R$16,MATCH(G1149,Config!$J$5:$J$16,0),MATCH(F1149,Config!$H$5:$H$10,0)),""))</f>
        <v/>
      </c>
      <c r="N1149" s="29">
        <f>IF(A1149="","",MONTH(A1149))</f>
        <v/>
      </c>
      <c r="O1149" s="29">
        <f>IF(A1149="","",YEAR(A1149))</f>
        <v/>
      </c>
      <c r="P1149" s="29">
        <f>IF(A1149="","",CHOOSE(WEEKDAY(A1149,2),"Segunda","Terça","Quarta","Quinta","Sexta","Sábado","Domingo"))</f>
        <v/>
      </c>
      <c r="Q1149" s="29">
        <f>IF(B1149="","",IF(B1149&lt;TIME(12,0,0),"Manhã",IF(B1149&lt;TIME(18,0,0),"Tarde","Noite")))</f>
        <v/>
      </c>
      <c r="R1149" s="45">
        <f>IF(AND(H1149="Realizado",L1149&lt;&gt;""),L1149/60,0)</f>
        <v>0</v>
      </c>
    </row>
    <row r="1150">
      <c r="A1150" s="42" t="n"/>
      <c r="B1150" s="43" t="n"/>
      <c r="C1150" s="37" t="n"/>
      <c r="D1150" s="37" t="n"/>
      <c r="E1150" s="36" t="n"/>
      <c r="F1150" s="37" t="n"/>
      <c r="G1150" s="37" t="n"/>
      <c r="H1150" s="37" t="n"/>
      <c r="I1150" s="37" t="n"/>
      <c r="J1150" s="37" t="n"/>
      <c r="K1150" s="36" t="n"/>
      <c r="L1150" s="44">
        <f>IF(G1150="","",IFERROR(INDEX(Config!$K$5:$K$16,MATCH(G1150,Config!$J$5:$J$16,0)),""))</f>
        <v/>
      </c>
      <c r="M1150" s="30">
        <f>IF(OR(G1150="",F1150=""),"",IFERROR(INDEX(Config!$M$5:$R$16,MATCH(G1150,Config!$J$5:$J$16,0),MATCH(F1150,Config!$H$5:$H$10,0)),""))</f>
        <v/>
      </c>
      <c r="N1150" s="29">
        <f>IF(A1150="","",MONTH(A1150))</f>
        <v/>
      </c>
      <c r="O1150" s="29">
        <f>IF(A1150="","",YEAR(A1150))</f>
        <v/>
      </c>
      <c r="P1150" s="29">
        <f>IF(A1150="","",CHOOSE(WEEKDAY(A1150,2),"Segunda","Terça","Quarta","Quinta","Sexta","Sábado","Domingo"))</f>
        <v/>
      </c>
      <c r="Q1150" s="29">
        <f>IF(B1150="","",IF(B1150&lt;TIME(12,0,0),"Manhã",IF(B1150&lt;TIME(18,0,0),"Tarde","Noite")))</f>
        <v/>
      </c>
      <c r="R1150" s="45">
        <f>IF(AND(H1150="Realizado",L1150&lt;&gt;""),L1150/60,0)</f>
        <v>0</v>
      </c>
    </row>
    <row r="1151">
      <c r="A1151" s="42" t="n"/>
      <c r="B1151" s="43" t="n"/>
      <c r="C1151" s="37" t="n"/>
      <c r="D1151" s="37" t="n"/>
      <c r="E1151" s="36" t="n"/>
      <c r="F1151" s="37" t="n"/>
      <c r="G1151" s="37" t="n"/>
      <c r="H1151" s="37" t="n"/>
      <c r="I1151" s="37" t="n"/>
      <c r="J1151" s="37" t="n"/>
      <c r="K1151" s="36" t="n"/>
      <c r="L1151" s="44">
        <f>IF(G1151="","",IFERROR(INDEX(Config!$K$5:$K$16,MATCH(G1151,Config!$J$5:$J$16,0)),""))</f>
        <v/>
      </c>
      <c r="M1151" s="30">
        <f>IF(OR(G1151="",F1151=""),"",IFERROR(INDEX(Config!$M$5:$R$16,MATCH(G1151,Config!$J$5:$J$16,0),MATCH(F1151,Config!$H$5:$H$10,0)),""))</f>
        <v/>
      </c>
      <c r="N1151" s="29">
        <f>IF(A1151="","",MONTH(A1151))</f>
        <v/>
      </c>
      <c r="O1151" s="29">
        <f>IF(A1151="","",YEAR(A1151))</f>
        <v/>
      </c>
      <c r="P1151" s="29">
        <f>IF(A1151="","",CHOOSE(WEEKDAY(A1151,2),"Segunda","Terça","Quarta","Quinta","Sexta","Sábado","Domingo"))</f>
        <v/>
      </c>
      <c r="Q1151" s="29">
        <f>IF(B1151="","",IF(B1151&lt;TIME(12,0,0),"Manhã",IF(B1151&lt;TIME(18,0,0),"Tarde","Noite")))</f>
        <v/>
      </c>
      <c r="R1151" s="45">
        <f>IF(AND(H1151="Realizado",L1151&lt;&gt;""),L1151/60,0)</f>
        <v>0</v>
      </c>
    </row>
    <row r="1152">
      <c r="A1152" s="42" t="n"/>
      <c r="B1152" s="43" t="n"/>
      <c r="C1152" s="37" t="n"/>
      <c r="D1152" s="37" t="n"/>
      <c r="E1152" s="36" t="n"/>
      <c r="F1152" s="37" t="n"/>
      <c r="G1152" s="37" t="n"/>
      <c r="H1152" s="37" t="n"/>
      <c r="I1152" s="37" t="n"/>
      <c r="J1152" s="37" t="n"/>
      <c r="K1152" s="36" t="n"/>
      <c r="L1152" s="44">
        <f>IF(G1152="","",IFERROR(INDEX(Config!$K$5:$K$16,MATCH(G1152,Config!$J$5:$J$16,0)),""))</f>
        <v/>
      </c>
      <c r="M1152" s="30">
        <f>IF(OR(G1152="",F1152=""),"",IFERROR(INDEX(Config!$M$5:$R$16,MATCH(G1152,Config!$J$5:$J$16,0),MATCH(F1152,Config!$H$5:$H$10,0)),""))</f>
        <v/>
      </c>
      <c r="N1152" s="29">
        <f>IF(A1152="","",MONTH(A1152))</f>
        <v/>
      </c>
      <c r="O1152" s="29">
        <f>IF(A1152="","",YEAR(A1152))</f>
        <v/>
      </c>
      <c r="P1152" s="29">
        <f>IF(A1152="","",CHOOSE(WEEKDAY(A1152,2),"Segunda","Terça","Quarta","Quinta","Sexta","Sábado","Domingo"))</f>
        <v/>
      </c>
      <c r="Q1152" s="29">
        <f>IF(B1152="","",IF(B1152&lt;TIME(12,0,0),"Manhã",IF(B1152&lt;TIME(18,0,0),"Tarde","Noite")))</f>
        <v/>
      </c>
      <c r="R1152" s="45">
        <f>IF(AND(H1152="Realizado",L1152&lt;&gt;""),L1152/60,0)</f>
        <v>0</v>
      </c>
    </row>
    <row r="1153">
      <c r="A1153" s="42" t="n"/>
      <c r="B1153" s="43" t="n"/>
      <c r="C1153" s="37" t="n"/>
      <c r="D1153" s="37" t="n"/>
      <c r="E1153" s="36" t="n"/>
      <c r="F1153" s="37" t="n"/>
      <c r="G1153" s="37" t="n"/>
      <c r="H1153" s="37" t="n"/>
      <c r="I1153" s="37" t="n"/>
      <c r="J1153" s="37" t="n"/>
      <c r="K1153" s="36" t="n"/>
      <c r="L1153" s="44">
        <f>IF(G1153="","",IFERROR(INDEX(Config!$K$5:$K$16,MATCH(G1153,Config!$J$5:$J$16,0)),""))</f>
        <v/>
      </c>
      <c r="M1153" s="30">
        <f>IF(OR(G1153="",F1153=""),"",IFERROR(INDEX(Config!$M$5:$R$16,MATCH(G1153,Config!$J$5:$J$16,0),MATCH(F1153,Config!$H$5:$H$10,0)),""))</f>
        <v/>
      </c>
      <c r="N1153" s="29">
        <f>IF(A1153="","",MONTH(A1153))</f>
        <v/>
      </c>
      <c r="O1153" s="29">
        <f>IF(A1153="","",YEAR(A1153))</f>
        <v/>
      </c>
      <c r="P1153" s="29">
        <f>IF(A1153="","",CHOOSE(WEEKDAY(A1153,2),"Segunda","Terça","Quarta","Quinta","Sexta","Sábado","Domingo"))</f>
        <v/>
      </c>
      <c r="Q1153" s="29">
        <f>IF(B1153="","",IF(B1153&lt;TIME(12,0,0),"Manhã",IF(B1153&lt;TIME(18,0,0),"Tarde","Noite")))</f>
        <v/>
      </c>
      <c r="R1153" s="45">
        <f>IF(AND(H1153="Realizado",L1153&lt;&gt;""),L1153/60,0)</f>
        <v>0</v>
      </c>
    </row>
    <row r="1154">
      <c r="A1154" s="42" t="n"/>
      <c r="B1154" s="43" t="n"/>
      <c r="C1154" s="37" t="n"/>
      <c r="D1154" s="37" t="n"/>
      <c r="E1154" s="36" t="n"/>
      <c r="F1154" s="37" t="n"/>
      <c r="G1154" s="37" t="n"/>
      <c r="H1154" s="37" t="n"/>
      <c r="I1154" s="37" t="n"/>
      <c r="J1154" s="37" t="n"/>
      <c r="K1154" s="36" t="n"/>
      <c r="L1154" s="44">
        <f>IF(G1154="","",IFERROR(INDEX(Config!$K$5:$K$16,MATCH(G1154,Config!$J$5:$J$16,0)),""))</f>
        <v/>
      </c>
      <c r="M1154" s="30">
        <f>IF(OR(G1154="",F1154=""),"",IFERROR(INDEX(Config!$M$5:$R$16,MATCH(G1154,Config!$J$5:$J$16,0),MATCH(F1154,Config!$H$5:$H$10,0)),""))</f>
        <v/>
      </c>
      <c r="N1154" s="29">
        <f>IF(A1154="","",MONTH(A1154))</f>
        <v/>
      </c>
      <c r="O1154" s="29">
        <f>IF(A1154="","",YEAR(A1154))</f>
        <v/>
      </c>
      <c r="P1154" s="29">
        <f>IF(A1154="","",CHOOSE(WEEKDAY(A1154,2),"Segunda","Terça","Quarta","Quinta","Sexta","Sábado","Domingo"))</f>
        <v/>
      </c>
      <c r="Q1154" s="29">
        <f>IF(B1154="","",IF(B1154&lt;TIME(12,0,0),"Manhã",IF(B1154&lt;TIME(18,0,0),"Tarde","Noite")))</f>
        <v/>
      </c>
      <c r="R1154" s="45">
        <f>IF(AND(H1154="Realizado",L1154&lt;&gt;""),L1154/60,0)</f>
        <v>0</v>
      </c>
    </row>
    <row r="1155">
      <c r="A1155" s="42" t="n"/>
      <c r="B1155" s="43" t="n"/>
      <c r="C1155" s="37" t="n"/>
      <c r="D1155" s="37" t="n"/>
      <c r="E1155" s="36" t="n"/>
      <c r="F1155" s="37" t="n"/>
      <c r="G1155" s="37" t="n"/>
      <c r="H1155" s="37" t="n"/>
      <c r="I1155" s="37" t="n"/>
      <c r="J1155" s="37" t="n"/>
      <c r="K1155" s="36" t="n"/>
      <c r="L1155" s="44">
        <f>IF(G1155="","",IFERROR(INDEX(Config!$K$5:$K$16,MATCH(G1155,Config!$J$5:$J$16,0)),""))</f>
        <v/>
      </c>
      <c r="M1155" s="30">
        <f>IF(OR(G1155="",F1155=""),"",IFERROR(INDEX(Config!$M$5:$R$16,MATCH(G1155,Config!$J$5:$J$16,0),MATCH(F1155,Config!$H$5:$H$10,0)),""))</f>
        <v/>
      </c>
      <c r="N1155" s="29">
        <f>IF(A1155="","",MONTH(A1155))</f>
        <v/>
      </c>
      <c r="O1155" s="29">
        <f>IF(A1155="","",YEAR(A1155))</f>
        <v/>
      </c>
      <c r="P1155" s="29">
        <f>IF(A1155="","",CHOOSE(WEEKDAY(A1155,2),"Segunda","Terça","Quarta","Quinta","Sexta","Sábado","Domingo"))</f>
        <v/>
      </c>
      <c r="Q1155" s="29">
        <f>IF(B1155="","",IF(B1155&lt;TIME(12,0,0),"Manhã",IF(B1155&lt;TIME(18,0,0),"Tarde","Noite")))</f>
        <v/>
      </c>
      <c r="R1155" s="45">
        <f>IF(AND(H1155="Realizado",L1155&lt;&gt;""),L1155/60,0)</f>
        <v>0</v>
      </c>
    </row>
    <row r="1156">
      <c r="A1156" s="42" t="n"/>
      <c r="B1156" s="43" t="n"/>
      <c r="C1156" s="37" t="n"/>
      <c r="D1156" s="37" t="n"/>
      <c r="E1156" s="36" t="n"/>
      <c r="F1156" s="37" t="n"/>
      <c r="G1156" s="37" t="n"/>
      <c r="H1156" s="37" t="n"/>
      <c r="I1156" s="37" t="n"/>
      <c r="J1156" s="37" t="n"/>
      <c r="K1156" s="36" t="n"/>
      <c r="L1156" s="44">
        <f>IF(G1156="","",IFERROR(INDEX(Config!$K$5:$K$16,MATCH(G1156,Config!$J$5:$J$16,0)),""))</f>
        <v/>
      </c>
      <c r="M1156" s="30">
        <f>IF(OR(G1156="",F1156=""),"",IFERROR(INDEX(Config!$M$5:$R$16,MATCH(G1156,Config!$J$5:$J$16,0),MATCH(F1156,Config!$H$5:$H$10,0)),""))</f>
        <v/>
      </c>
      <c r="N1156" s="29">
        <f>IF(A1156="","",MONTH(A1156))</f>
        <v/>
      </c>
      <c r="O1156" s="29">
        <f>IF(A1156="","",YEAR(A1156))</f>
        <v/>
      </c>
      <c r="P1156" s="29">
        <f>IF(A1156="","",CHOOSE(WEEKDAY(A1156,2),"Segunda","Terça","Quarta","Quinta","Sexta","Sábado","Domingo"))</f>
        <v/>
      </c>
      <c r="Q1156" s="29">
        <f>IF(B1156="","",IF(B1156&lt;TIME(12,0,0),"Manhã",IF(B1156&lt;TIME(18,0,0),"Tarde","Noite")))</f>
        <v/>
      </c>
      <c r="R1156" s="45">
        <f>IF(AND(H1156="Realizado",L1156&lt;&gt;""),L1156/60,0)</f>
        <v>0</v>
      </c>
    </row>
    <row r="1157">
      <c r="A1157" s="42" t="n"/>
      <c r="B1157" s="43" t="n"/>
      <c r="C1157" s="37" t="n"/>
      <c r="D1157" s="37" t="n"/>
      <c r="E1157" s="36" t="n"/>
      <c r="F1157" s="37" t="n"/>
      <c r="G1157" s="37" t="n"/>
      <c r="H1157" s="37" t="n"/>
      <c r="I1157" s="37" t="n"/>
      <c r="J1157" s="37" t="n"/>
      <c r="K1157" s="36" t="n"/>
      <c r="L1157" s="44">
        <f>IF(G1157="","",IFERROR(INDEX(Config!$K$5:$K$16,MATCH(G1157,Config!$J$5:$J$16,0)),""))</f>
        <v/>
      </c>
      <c r="M1157" s="30">
        <f>IF(OR(G1157="",F1157=""),"",IFERROR(INDEX(Config!$M$5:$R$16,MATCH(G1157,Config!$J$5:$J$16,0),MATCH(F1157,Config!$H$5:$H$10,0)),""))</f>
        <v/>
      </c>
      <c r="N1157" s="29">
        <f>IF(A1157="","",MONTH(A1157))</f>
        <v/>
      </c>
      <c r="O1157" s="29">
        <f>IF(A1157="","",YEAR(A1157))</f>
        <v/>
      </c>
      <c r="P1157" s="29">
        <f>IF(A1157="","",CHOOSE(WEEKDAY(A1157,2),"Segunda","Terça","Quarta","Quinta","Sexta","Sábado","Domingo"))</f>
        <v/>
      </c>
      <c r="Q1157" s="29">
        <f>IF(B1157="","",IF(B1157&lt;TIME(12,0,0),"Manhã",IF(B1157&lt;TIME(18,0,0),"Tarde","Noite")))</f>
        <v/>
      </c>
      <c r="R1157" s="45">
        <f>IF(AND(H1157="Realizado",L1157&lt;&gt;""),L1157/60,0)</f>
        <v>0</v>
      </c>
    </row>
    <row r="1158">
      <c r="A1158" s="42" t="n"/>
      <c r="B1158" s="43" t="n"/>
      <c r="C1158" s="37" t="n"/>
      <c r="D1158" s="37" t="n"/>
      <c r="E1158" s="36" t="n"/>
      <c r="F1158" s="37" t="n"/>
      <c r="G1158" s="37" t="n"/>
      <c r="H1158" s="37" t="n"/>
      <c r="I1158" s="37" t="n"/>
      <c r="J1158" s="37" t="n"/>
      <c r="K1158" s="36" t="n"/>
      <c r="L1158" s="44">
        <f>IF(G1158="","",IFERROR(INDEX(Config!$K$5:$K$16,MATCH(G1158,Config!$J$5:$J$16,0)),""))</f>
        <v/>
      </c>
      <c r="M1158" s="30">
        <f>IF(OR(G1158="",F1158=""),"",IFERROR(INDEX(Config!$M$5:$R$16,MATCH(G1158,Config!$J$5:$J$16,0),MATCH(F1158,Config!$H$5:$H$10,0)),""))</f>
        <v/>
      </c>
      <c r="N1158" s="29">
        <f>IF(A1158="","",MONTH(A1158))</f>
        <v/>
      </c>
      <c r="O1158" s="29">
        <f>IF(A1158="","",YEAR(A1158))</f>
        <v/>
      </c>
      <c r="P1158" s="29">
        <f>IF(A1158="","",CHOOSE(WEEKDAY(A1158,2),"Segunda","Terça","Quarta","Quinta","Sexta","Sábado","Domingo"))</f>
        <v/>
      </c>
      <c r="Q1158" s="29">
        <f>IF(B1158="","",IF(B1158&lt;TIME(12,0,0),"Manhã",IF(B1158&lt;TIME(18,0,0),"Tarde","Noite")))</f>
        <v/>
      </c>
      <c r="R1158" s="45">
        <f>IF(AND(H1158="Realizado",L1158&lt;&gt;""),L1158/60,0)</f>
        <v>0</v>
      </c>
    </row>
    <row r="1159">
      <c r="A1159" s="42" t="n"/>
      <c r="B1159" s="43" t="n"/>
      <c r="C1159" s="37" t="n"/>
      <c r="D1159" s="37" t="n"/>
      <c r="E1159" s="36" t="n"/>
      <c r="F1159" s="37" t="n"/>
      <c r="G1159" s="37" t="n"/>
      <c r="H1159" s="37" t="n"/>
      <c r="I1159" s="37" t="n"/>
      <c r="J1159" s="37" t="n"/>
      <c r="K1159" s="36" t="n"/>
      <c r="L1159" s="44">
        <f>IF(G1159="","",IFERROR(INDEX(Config!$K$5:$K$16,MATCH(G1159,Config!$J$5:$J$16,0)),""))</f>
        <v/>
      </c>
      <c r="M1159" s="30">
        <f>IF(OR(G1159="",F1159=""),"",IFERROR(INDEX(Config!$M$5:$R$16,MATCH(G1159,Config!$J$5:$J$16,0),MATCH(F1159,Config!$H$5:$H$10,0)),""))</f>
        <v/>
      </c>
      <c r="N1159" s="29">
        <f>IF(A1159="","",MONTH(A1159))</f>
        <v/>
      </c>
      <c r="O1159" s="29">
        <f>IF(A1159="","",YEAR(A1159))</f>
        <v/>
      </c>
      <c r="P1159" s="29">
        <f>IF(A1159="","",CHOOSE(WEEKDAY(A1159,2),"Segunda","Terça","Quarta","Quinta","Sexta","Sábado","Domingo"))</f>
        <v/>
      </c>
      <c r="Q1159" s="29">
        <f>IF(B1159="","",IF(B1159&lt;TIME(12,0,0),"Manhã",IF(B1159&lt;TIME(18,0,0),"Tarde","Noite")))</f>
        <v/>
      </c>
      <c r="R1159" s="45">
        <f>IF(AND(H1159="Realizado",L1159&lt;&gt;""),L1159/60,0)</f>
        <v>0</v>
      </c>
    </row>
    <row r="1160">
      <c r="A1160" s="42" t="n"/>
      <c r="B1160" s="43" t="n"/>
      <c r="C1160" s="37" t="n"/>
      <c r="D1160" s="37" t="n"/>
      <c r="E1160" s="36" t="n"/>
      <c r="F1160" s="37" t="n"/>
      <c r="G1160" s="37" t="n"/>
      <c r="H1160" s="37" t="n"/>
      <c r="I1160" s="37" t="n"/>
      <c r="J1160" s="37" t="n"/>
      <c r="K1160" s="36" t="n"/>
      <c r="L1160" s="44">
        <f>IF(G1160="","",IFERROR(INDEX(Config!$K$5:$K$16,MATCH(G1160,Config!$J$5:$J$16,0)),""))</f>
        <v/>
      </c>
      <c r="M1160" s="30">
        <f>IF(OR(G1160="",F1160=""),"",IFERROR(INDEX(Config!$M$5:$R$16,MATCH(G1160,Config!$J$5:$J$16,0),MATCH(F1160,Config!$H$5:$H$10,0)),""))</f>
        <v/>
      </c>
      <c r="N1160" s="29">
        <f>IF(A1160="","",MONTH(A1160))</f>
        <v/>
      </c>
      <c r="O1160" s="29">
        <f>IF(A1160="","",YEAR(A1160))</f>
        <v/>
      </c>
      <c r="P1160" s="29">
        <f>IF(A1160="","",CHOOSE(WEEKDAY(A1160,2),"Segunda","Terça","Quarta","Quinta","Sexta","Sábado","Domingo"))</f>
        <v/>
      </c>
      <c r="Q1160" s="29">
        <f>IF(B1160="","",IF(B1160&lt;TIME(12,0,0),"Manhã",IF(B1160&lt;TIME(18,0,0),"Tarde","Noite")))</f>
        <v/>
      </c>
      <c r="R1160" s="45">
        <f>IF(AND(H1160="Realizado",L1160&lt;&gt;""),L1160/60,0)</f>
        <v>0</v>
      </c>
    </row>
    <row r="1161">
      <c r="A1161" s="42" t="n"/>
      <c r="B1161" s="43" t="n"/>
      <c r="C1161" s="37" t="n"/>
      <c r="D1161" s="37" t="n"/>
      <c r="E1161" s="36" t="n"/>
      <c r="F1161" s="37" t="n"/>
      <c r="G1161" s="37" t="n"/>
      <c r="H1161" s="37" t="n"/>
      <c r="I1161" s="37" t="n"/>
      <c r="J1161" s="37" t="n"/>
      <c r="K1161" s="36" t="n"/>
      <c r="L1161" s="44">
        <f>IF(G1161="","",IFERROR(INDEX(Config!$K$5:$K$16,MATCH(G1161,Config!$J$5:$J$16,0)),""))</f>
        <v/>
      </c>
      <c r="M1161" s="30">
        <f>IF(OR(G1161="",F1161=""),"",IFERROR(INDEX(Config!$M$5:$R$16,MATCH(G1161,Config!$J$5:$J$16,0),MATCH(F1161,Config!$H$5:$H$10,0)),""))</f>
        <v/>
      </c>
      <c r="N1161" s="29">
        <f>IF(A1161="","",MONTH(A1161))</f>
        <v/>
      </c>
      <c r="O1161" s="29">
        <f>IF(A1161="","",YEAR(A1161))</f>
        <v/>
      </c>
      <c r="P1161" s="29">
        <f>IF(A1161="","",CHOOSE(WEEKDAY(A1161,2),"Segunda","Terça","Quarta","Quinta","Sexta","Sábado","Domingo"))</f>
        <v/>
      </c>
      <c r="Q1161" s="29">
        <f>IF(B1161="","",IF(B1161&lt;TIME(12,0,0),"Manhã",IF(B1161&lt;TIME(18,0,0),"Tarde","Noite")))</f>
        <v/>
      </c>
      <c r="R1161" s="45">
        <f>IF(AND(H1161="Realizado",L1161&lt;&gt;""),L1161/60,0)</f>
        <v>0</v>
      </c>
    </row>
    <row r="1162">
      <c r="A1162" s="42" t="n"/>
      <c r="B1162" s="43" t="n"/>
      <c r="C1162" s="37" t="n"/>
      <c r="D1162" s="37" t="n"/>
      <c r="E1162" s="36" t="n"/>
      <c r="F1162" s="37" t="n"/>
      <c r="G1162" s="37" t="n"/>
      <c r="H1162" s="37" t="n"/>
      <c r="I1162" s="37" t="n"/>
      <c r="J1162" s="37" t="n"/>
      <c r="K1162" s="36" t="n"/>
      <c r="L1162" s="44">
        <f>IF(G1162="","",IFERROR(INDEX(Config!$K$5:$K$16,MATCH(G1162,Config!$J$5:$J$16,0)),""))</f>
        <v/>
      </c>
      <c r="M1162" s="30">
        <f>IF(OR(G1162="",F1162=""),"",IFERROR(INDEX(Config!$M$5:$R$16,MATCH(G1162,Config!$J$5:$J$16,0),MATCH(F1162,Config!$H$5:$H$10,0)),""))</f>
        <v/>
      </c>
      <c r="N1162" s="29">
        <f>IF(A1162="","",MONTH(A1162))</f>
        <v/>
      </c>
      <c r="O1162" s="29">
        <f>IF(A1162="","",YEAR(A1162))</f>
        <v/>
      </c>
      <c r="P1162" s="29">
        <f>IF(A1162="","",CHOOSE(WEEKDAY(A1162,2),"Segunda","Terça","Quarta","Quinta","Sexta","Sábado","Domingo"))</f>
        <v/>
      </c>
      <c r="Q1162" s="29">
        <f>IF(B1162="","",IF(B1162&lt;TIME(12,0,0),"Manhã",IF(B1162&lt;TIME(18,0,0),"Tarde","Noite")))</f>
        <v/>
      </c>
      <c r="R1162" s="45">
        <f>IF(AND(H1162="Realizado",L1162&lt;&gt;""),L1162/60,0)</f>
        <v>0</v>
      </c>
    </row>
    <row r="1163">
      <c r="A1163" s="42" t="n"/>
      <c r="B1163" s="43" t="n"/>
      <c r="C1163" s="37" t="n"/>
      <c r="D1163" s="37" t="n"/>
      <c r="E1163" s="36" t="n"/>
      <c r="F1163" s="37" t="n"/>
      <c r="G1163" s="37" t="n"/>
      <c r="H1163" s="37" t="n"/>
      <c r="I1163" s="37" t="n"/>
      <c r="J1163" s="37" t="n"/>
      <c r="K1163" s="36" t="n"/>
      <c r="L1163" s="44">
        <f>IF(G1163="","",IFERROR(INDEX(Config!$K$5:$K$16,MATCH(G1163,Config!$J$5:$J$16,0)),""))</f>
        <v/>
      </c>
      <c r="M1163" s="30">
        <f>IF(OR(G1163="",F1163=""),"",IFERROR(INDEX(Config!$M$5:$R$16,MATCH(G1163,Config!$J$5:$J$16,0),MATCH(F1163,Config!$H$5:$H$10,0)),""))</f>
        <v/>
      </c>
      <c r="N1163" s="29">
        <f>IF(A1163="","",MONTH(A1163))</f>
        <v/>
      </c>
      <c r="O1163" s="29">
        <f>IF(A1163="","",YEAR(A1163))</f>
        <v/>
      </c>
      <c r="P1163" s="29">
        <f>IF(A1163="","",CHOOSE(WEEKDAY(A1163,2),"Segunda","Terça","Quarta","Quinta","Sexta","Sábado","Domingo"))</f>
        <v/>
      </c>
      <c r="Q1163" s="29">
        <f>IF(B1163="","",IF(B1163&lt;TIME(12,0,0),"Manhã",IF(B1163&lt;TIME(18,0,0),"Tarde","Noite")))</f>
        <v/>
      </c>
      <c r="R1163" s="45">
        <f>IF(AND(H1163="Realizado",L1163&lt;&gt;""),L1163/60,0)</f>
        <v>0</v>
      </c>
    </row>
    <row r="1164">
      <c r="A1164" s="42" t="n"/>
      <c r="B1164" s="43" t="n"/>
      <c r="C1164" s="37" t="n"/>
      <c r="D1164" s="37" t="n"/>
      <c r="E1164" s="36" t="n"/>
      <c r="F1164" s="37" t="n"/>
      <c r="G1164" s="37" t="n"/>
      <c r="H1164" s="37" t="n"/>
      <c r="I1164" s="37" t="n"/>
      <c r="J1164" s="37" t="n"/>
      <c r="K1164" s="36" t="n"/>
      <c r="L1164" s="44">
        <f>IF(G1164="","",IFERROR(INDEX(Config!$K$5:$K$16,MATCH(G1164,Config!$J$5:$J$16,0)),""))</f>
        <v/>
      </c>
      <c r="M1164" s="30">
        <f>IF(OR(G1164="",F1164=""),"",IFERROR(INDEX(Config!$M$5:$R$16,MATCH(G1164,Config!$J$5:$J$16,0),MATCH(F1164,Config!$H$5:$H$10,0)),""))</f>
        <v/>
      </c>
      <c r="N1164" s="29">
        <f>IF(A1164="","",MONTH(A1164))</f>
        <v/>
      </c>
      <c r="O1164" s="29">
        <f>IF(A1164="","",YEAR(A1164))</f>
        <v/>
      </c>
      <c r="P1164" s="29">
        <f>IF(A1164="","",CHOOSE(WEEKDAY(A1164,2),"Segunda","Terça","Quarta","Quinta","Sexta","Sábado","Domingo"))</f>
        <v/>
      </c>
      <c r="Q1164" s="29">
        <f>IF(B1164="","",IF(B1164&lt;TIME(12,0,0),"Manhã",IF(B1164&lt;TIME(18,0,0),"Tarde","Noite")))</f>
        <v/>
      </c>
      <c r="R1164" s="45">
        <f>IF(AND(H1164="Realizado",L1164&lt;&gt;""),L1164/60,0)</f>
        <v>0</v>
      </c>
    </row>
    <row r="1165">
      <c r="A1165" s="42" t="n"/>
      <c r="B1165" s="43" t="n"/>
      <c r="C1165" s="37" t="n"/>
      <c r="D1165" s="37" t="n"/>
      <c r="E1165" s="36" t="n"/>
      <c r="F1165" s="37" t="n"/>
      <c r="G1165" s="37" t="n"/>
      <c r="H1165" s="37" t="n"/>
      <c r="I1165" s="37" t="n"/>
      <c r="J1165" s="37" t="n"/>
      <c r="K1165" s="36" t="n"/>
      <c r="L1165" s="44">
        <f>IF(G1165="","",IFERROR(INDEX(Config!$K$5:$K$16,MATCH(G1165,Config!$J$5:$J$16,0)),""))</f>
        <v/>
      </c>
      <c r="M1165" s="30">
        <f>IF(OR(G1165="",F1165=""),"",IFERROR(INDEX(Config!$M$5:$R$16,MATCH(G1165,Config!$J$5:$J$16,0),MATCH(F1165,Config!$H$5:$H$10,0)),""))</f>
        <v/>
      </c>
      <c r="N1165" s="29">
        <f>IF(A1165="","",MONTH(A1165))</f>
        <v/>
      </c>
      <c r="O1165" s="29">
        <f>IF(A1165="","",YEAR(A1165))</f>
        <v/>
      </c>
      <c r="P1165" s="29">
        <f>IF(A1165="","",CHOOSE(WEEKDAY(A1165,2),"Segunda","Terça","Quarta","Quinta","Sexta","Sábado","Domingo"))</f>
        <v/>
      </c>
      <c r="Q1165" s="29">
        <f>IF(B1165="","",IF(B1165&lt;TIME(12,0,0),"Manhã",IF(B1165&lt;TIME(18,0,0),"Tarde","Noite")))</f>
        <v/>
      </c>
      <c r="R1165" s="45">
        <f>IF(AND(H1165="Realizado",L1165&lt;&gt;""),L1165/60,0)</f>
        <v>0</v>
      </c>
    </row>
    <row r="1166">
      <c r="A1166" s="42" t="n"/>
      <c r="B1166" s="43" t="n"/>
      <c r="C1166" s="37" t="n"/>
      <c r="D1166" s="37" t="n"/>
      <c r="E1166" s="36" t="n"/>
      <c r="F1166" s="37" t="n"/>
      <c r="G1166" s="37" t="n"/>
      <c r="H1166" s="37" t="n"/>
      <c r="I1166" s="37" t="n"/>
      <c r="J1166" s="37" t="n"/>
      <c r="K1166" s="36" t="n"/>
      <c r="L1166" s="44">
        <f>IF(G1166="","",IFERROR(INDEX(Config!$K$5:$K$16,MATCH(G1166,Config!$J$5:$J$16,0)),""))</f>
        <v/>
      </c>
      <c r="M1166" s="30">
        <f>IF(OR(G1166="",F1166=""),"",IFERROR(INDEX(Config!$M$5:$R$16,MATCH(G1166,Config!$J$5:$J$16,0),MATCH(F1166,Config!$H$5:$H$10,0)),""))</f>
        <v/>
      </c>
      <c r="N1166" s="29">
        <f>IF(A1166="","",MONTH(A1166))</f>
        <v/>
      </c>
      <c r="O1166" s="29">
        <f>IF(A1166="","",YEAR(A1166))</f>
        <v/>
      </c>
      <c r="P1166" s="29">
        <f>IF(A1166="","",CHOOSE(WEEKDAY(A1166,2),"Segunda","Terça","Quarta","Quinta","Sexta","Sábado","Domingo"))</f>
        <v/>
      </c>
      <c r="Q1166" s="29">
        <f>IF(B1166="","",IF(B1166&lt;TIME(12,0,0),"Manhã",IF(B1166&lt;TIME(18,0,0),"Tarde","Noite")))</f>
        <v/>
      </c>
      <c r="R1166" s="45">
        <f>IF(AND(H1166="Realizado",L1166&lt;&gt;""),L1166/60,0)</f>
        <v>0</v>
      </c>
    </row>
    <row r="1167">
      <c r="A1167" s="42" t="n"/>
      <c r="B1167" s="43" t="n"/>
      <c r="C1167" s="37" t="n"/>
      <c r="D1167" s="37" t="n"/>
      <c r="E1167" s="36" t="n"/>
      <c r="F1167" s="37" t="n"/>
      <c r="G1167" s="37" t="n"/>
      <c r="H1167" s="37" t="n"/>
      <c r="I1167" s="37" t="n"/>
      <c r="J1167" s="37" t="n"/>
      <c r="K1167" s="36" t="n"/>
      <c r="L1167" s="44">
        <f>IF(G1167="","",IFERROR(INDEX(Config!$K$5:$K$16,MATCH(G1167,Config!$J$5:$J$16,0)),""))</f>
        <v/>
      </c>
      <c r="M1167" s="30">
        <f>IF(OR(G1167="",F1167=""),"",IFERROR(INDEX(Config!$M$5:$R$16,MATCH(G1167,Config!$J$5:$J$16,0),MATCH(F1167,Config!$H$5:$H$10,0)),""))</f>
        <v/>
      </c>
      <c r="N1167" s="29">
        <f>IF(A1167="","",MONTH(A1167))</f>
        <v/>
      </c>
      <c r="O1167" s="29">
        <f>IF(A1167="","",YEAR(A1167))</f>
        <v/>
      </c>
      <c r="P1167" s="29">
        <f>IF(A1167="","",CHOOSE(WEEKDAY(A1167,2),"Segunda","Terça","Quarta","Quinta","Sexta","Sábado","Domingo"))</f>
        <v/>
      </c>
      <c r="Q1167" s="29">
        <f>IF(B1167="","",IF(B1167&lt;TIME(12,0,0),"Manhã",IF(B1167&lt;TIME(18,0,0),"Tarde","Noite")))</f>
        <v/>
      </c>
      <c r="R1167" s="45">
        <f>IF(AND(H1167="Realizado",L1167&lt;&gt;""),L1167/60,0)</f>
        <v>0</v>
      </c>
    </row>
    <row r="1168">
      <c r="A1168" s="42" t="n"/>
      <c r="B1168" s="43" t="n"/>
      <c r="C1168" s="37" t="n"/>
      <c r="D1168" s="37" t="n"/>
      <c r="E1168" s="36" t="n"/>
      <c r="F1168" s="37" t="n"/>
      <c r="G1168" s="37" t="n"/>
      <c r="H1168" s="37" t="n"/>
      <c r="I1168" s="37" t="n"/>
      <c r="J1168" s="37" t="n"/>
      <c r="K1168" s="36" t="n"/>
      <c r="L1168" s="44">
        <f>IF(G1168="","",IFERROR(INDEX(Config!$K$5:$K$16,MATCH(G1168,Config!$J$5:$J$16,0)),""))</f>
        <v/>
      </c>
      <c r="M1168" s="30">
        <f>IF(OR(G1168="",F1168=""),"",IFERROR(INDEX(Config!$M$5:$R$16,MATCH(G1168,Config!$J$5:$J$16,0),MATCH(F1168,Config!$H$5:$H$10,0)),""))</f>
        <v/>
      </c>
      <c r="N1168" s="29">
        <f>IF(A1168="","",MONTH(A1168))</f>
        <v/>
      </c>
      <c r="O1168" s="29">
        <f>IF(A1168="","",YEAR(A1168))</f>
        <v/>
      </c>
      <c r="P1168" s="29">
        <f>IF(A1168="","",CHOOSE(WEEKDAY(A1168,2),"Segunda","Terça","Quarta","Quinta","Sexta","Sábado","Domingo"))</f>
        <v/>
      </c>
      <c r="Q1168" s="29">
        <f>IF(B1168="","",IF(B1168&lt;TIME(12,0,0),"Manhã",IF(B1168&lt;TIME(18,0,0),"Tarde","Noite")))</f>
        <v/>
      </c>
      <c r="R1168" s="45">
        <f>IF(AND(H1168="Realizado",L1168&lt;&gt;""),L1168/60,0)</f>
        <v>0</v>
      </c>
    </row>
    <row r="1169">
      <c r="A1169" s="42" t="n"/>
      <c r="B1169" s="43" t="n"/>
      <c r="C1169" s="37" t="n"/>
      <c r="D1169" s="37" t="n"/>
      <c r="E1169" s="36" t="n"/>
      <c r="F1169" s="37" t="n"/>
      <c r="G1169" s="37" t="n"/>
      <c r="H1169" s="37" t="n"/>
      <c r="I1169" s="37" t="n"/>
      <c r="J1169" s="37" t="n"/>
      <c r="K1169" s="36" t="n"/>
      <c r="L1169" s="44">
        <f>IF(G1169="","",IFERROR(INDEX(Config!$K$5:$K$16,MATCH(G1169,Config!$J$5:$J$16,0)),""))</f>
        <v/>
      </c>
      <c r="M1169" s="30">
        <f>IF(OR(G1169="",F1169=""),"",IFERROR(INDEX(Config!$M$5:$R$16,MATCH(G1169,Config!$J$5:$J$16,0),MATCH(F1169,Config!$H$5:$H$10,0)),""))</f>
        <v/>
      </c>
      <c r="N1169" s="29">
        <f>IF(A1169="","",MONTH(A1169))</f>
        <v/>
      </c>
      <c r="O1169" s="29">
        <f>IF(A1169="","",YEAR(A1169))</f>
        <v/>
      </c>
      <c r="P1169" s="29">
        <f>IF(A1169="","",CHOOSE(WEEKDAY(A1169,2),"Segunda","Terça","Quarta","Quinta","Sexta","Sábado","Domingo"))</f>
        <v/>
      </c>
      <c r="Q1169" s="29">
        <f>IF(B1169="","",IF(B1169&lt;TIME(12,0,0),"Manhã",IF(B1169&lt;TIME(18,0,0),"Tarde","Noite")))</f>
        <v/>
      </c>
      <c r="R1169" s="45">
        <f>IF(AND(H1169="Realizado",L1169&lt;&gt;""),L1169/60,0)</f>
        <v>0</v>
      </c>
    </row>
    <row r="1170">
      <c r="A1170" s="42" t="n"/>
      <c r="B1170" s="43" t="n"/>
      <c r="C1170" s="37" t="n"/>
      <c r="D1170" s="37" t="n"/>
      <c r="E1170" s="36" t="n"/>
      <c r="F1170" s="37" t="n"/>
      <c r="G1170" s="37" t="n"/>
      <c r="H1170" s="37" t="n"/>
      <c r="I1170" s="37" t="n"/>
      <c r="J1170" s="37" t="n"/>
      <c r="K1170" s="36" t="n"/>
      <c r="L1170" s="44">
        <f>IF(G1170="","",IFERROR(INDEX(Config!$K$5:$K$16,MATCH(G1170,Config!$J$5:$J$16,0)),""))</f>
        <v/>
      </c>
      <c r="M1170" s="30">
        <f>IF(OR(G1170="",F1170=""),"",IFERROR(INDEX(Config!$M$5:$R$16,MATCH(G1170,Config!$J$5:$J$16,0),MATCH(F1170,Config!$H$5:$H$10,0)),""))</f>
        <v/>
      </c>
      <c r="N1170" s="29">
        <f>IF(A1170="","",MONTH(A1170))</f>
        <v/>
      </c>
      <c r="O1170" s="29">
        <f>IF(A1170="","",YEAR(A1170))</f>
        <v/>
      </c>
      <c r="P1170" s="29">
        <f>IF(A1170="","",CHOOSE(WEEKDAY(A1170,2),"Segunda","Terça","Quarta","Quinta","Sexta","Sábado","Domingo"))</f>
        <v/>
      </c>
      <c r="Q1170" s="29">
        <f>IF(B1170="","",IF(B1170&lt;TIME(12,0,0),"Manhã",IF(B1170&lt;TIME(18,0,0),"Tarde","Noite")))</f>
        <v/>
      </c>
      <c r="R1170" s="45">
        <f>IF(AND(H1170="Realizado",L1170&lt;&gt;""),L1170/60,0)</f>
        <v>0</v>
      </c>
    </row>
    <row r="1171">
      <c r="A1171" s="42" t="n"/>
      <c r="B1171" s="43" t="n"/>
      <c r="C1171" s="37" t="n"/>
      <c r="D1171" s="37" t="n"/>
      <c r="E1171" s="36" t="n"/>
      <c r="F1171" s="37" t="n"/>
      <c r="G1171" s="37" t="n"/>
      <c r="H1171" s="37" t="n"/>
      <c r="I1171" s="37" t="n"/>
      <c r="J1171" s="37" t="n"/>
      <c r="K1171" s="36" t="n"/>
      <c r="L1171" s="44">
        <f>IF(G1171="","",IFERROR(INDEX(Config!$K$5:$K$16,MATCH(G1171,Config!$J$5:$J$16,0)),""))</f>
        <v/>
      </c>
      <c r="M1171" s="30">
        <f>IF(OR(G1171="",F1171=""),"",IFERROR(INDEX(Config!$M$5:$R$16,MATCH(G1171,Config!$J$5:$J$16,0),MATCH(F1171,Config!$H$5:$H$10,0)),""))</f>
        <v/>
      </c>
      <c r="N1171" s="29">
        <f>IF(A1171="","",MONTH(A1171))</f>
        <v/>
      </c>
      <c r="O1171" s="29">
        <f>IF(A1171="","",YEAR(A1171))</f>
        <v/>
      </c>
      <c r="P1171" s="29">
        <f>IF(A1171="","",CHOOSE(WEEKDAY(A1171,2),"Segunda","Terça","Quarta","Quinta","Sexta","Sábado","Domingo"))</f>
        <v/>
      </c>
      <c r="Q1171" s="29">
        <f>IF(B1171="","",IF(B1171&lt;TIME(12,0,0),"Manhã",IF(B1171&lt;TIME(18,0,0),"Tarde","Noite")))</f>
        <v/>
      </c>
      <c r="R1171" s="45">
        <f>IF(AND(H1171="Realizado",L1171&lt;&gt;""),L1171/60,0)</f>
        <v>0</v>
      </c>
    </row>
    <row r="1172">
      <c r="A1172" s="42" t="n"/>
      <c r="B1172" s="43" t="n"/>
      <c r="C1172" s="37" t="n"/>
      <c r="D1172" s="37" t="n"/>
      <c r="E1172" s="36" t="n"/>
      <c r="F1172" s="37" t="n"/>
      <c r="G1172" s="37" t="n"/>
      <c r="H1172" s="37" t="n"/>
      <c r="I1172" s="37" t="n"/>
      <c r="J1172" s="37" t="n"/>
      <c r="K1172" s="36" t="n"/>
      <c r="L1172" s="44">
        <f>IF(G1172="","",IFERROR(INDEX(Config!$K$5:$K$16,MATCH(G1172,Config!$J$5:$J$16,0)),""))</f>
        <v/>
      </c>
      <c r="M1172" s="30">
        <f>IF(OR(G1172="",F1172=""),"",IFERROR(INDEX(Config!$M$5:$R$16,MATCH(G1172,Config!$J$5:$J$16,0),MATCH(F1172,Config!$H$5:$H$10,0)),""))</f>
        <v/>
      </c>
      <c r="N1172" s="29">
        <f>IF(A1172="","",MONTH(A1172))</f>
        <v/>
      </c>
      <c r="O1172" s="29">
        <f>IF(A1172="","",YEAR(A1172))</f>
        <v/>
      </c>
      <c r="P1172" s="29">
        <f>IF(A1172="","",CHOOSE(WEEKDAY(A1172,2),"Segunda","Terça","Quarta","Quinta","Sexta","Sábado","Domingo"))</f>
        <v/>
      </c>
      <c r="Q1172" s="29">
        <f>IF(B1172="","",IF(B1172&lt;TIME(12,0,0),"Manhã",IF(B1172&lt;TIME(18,0,0),"Tarde","Noite")))</f>
        <v/>
      </c>
      <c r="R1172" s="45">
        <f>IF(AND(H1172="Realizado",L1172&lt;&gt;""),L1172/60,0)</f>
        <v>0</v>
      </c>
    </row>
    <row r="1173">
      <c r="A1173" s="42" t="n"/>
      <c r="B1173" s="43" t="n"/>
      <c r="C1173" s="37" t="n"/>
      <c r="D1173" s="37" t="n"/>
      <c r="E1173" s="36" t="n"/>
      <c r="F1173" s="37" t="n"/>
      <c r="G1173" s="37" t="n"/>
      <c r="H1173" s="37" t="n"/>
      <c r="I1173" s="37" t="n"/>
      <c r="J1173" s="37" t="n"/>
      <c r="K1173" s="36" t="n"/>
      <c r="L1173" s="44">
        <f>IF(G1173="","",IFERROR(INDEX(Config!$K$5:$K$16,MATCH(G1173,Config!$J$5:$J$16,0)),""))</f>
        <v/>
      </c>
      <c r="M1173" s="30">
        <f>IF(OR(G1173="",F1173=""),"",IFERROR(INDEX(Config!$M$5:$R$16,MATCH(G1173,Config!$J$5:$J$16,0),MATCH(F1173,Config!$H$5:$H$10,0)),""))</f>
        <v/>
      </c>
      <c r="N1173" s="29">
        <f>IF(A1173="","",MONTH(A1173))</f>
        <v/>
      </c>
      <c r="O1173" s="29">
        <f>IF(A1173="","",YEAR(A1173))</f>
        <v/>
      </c>
      <c r="P1173" s="29">
        <f>IF(A1173="","",CHOOSE(WEEKDAY(A1173,2),"Segunda","Terça","Quarta","Quinta","Sexta","Sábado","Domingo"))</f>
        <v/>
      </c>
      <c r="Q1173" s="29">
        <f>IF(B1173="","",IF(B1173&lt;TIME(12,0,0),"Manhã",IF(B1173&lt;TIME(18,0,0),"Tarde","Noite")))</f>
        <v/>
      </c>
      <c r="R1173" s="45">
        <f>IF(AND(H1173="Realizado",L1173&lt;&gt;""),L1173/60,0)</f>
        <v>0</v>
      </c>
    </row>
    <row r="1174">
      <c r="A1174" s="42" t="n"/>
      <c r="B1174" s="43" t="n"/>
      <c r="C1174" s="37" t="n"/>
      <c r="D1174" s="37" t="n"/>
      <c r="E1174" s="36" t="n"/>
      <c r="F1174" s="37" t="n"/>
      <c r="G1174" s="37" t="n"/>
      <c r="H1174" s="37" t="n"/>
      <c r="I1174" s="37" t="n"/>
      <c r="J1174" s="37" t="n"/>
      <c r="K1174" s="36" t="n"/>
      <c r="L1174" s="44">
        <f>IF(G1174="","",IFERROR(INDEX(Config!$K$5:$K$16,MATCH(G1174,Config!$J$5:$J$16,0)),""))</f>
        <v/>
      </c>
      <c r="M1174" s="30">
        <f>IF(OR(G1174="",F1174=""),"",IFERROR(INDEX(Config!$M$5:$R$16,MATCH(G1174,Config!$J$5:$J$16,0),MATCH(F1174,Config!$H$5:$H$10,0)),""))</f>
        <v/>
      </c>
      <c r="N1174" s="29">
        <f>IF(A1174="","",MONTH(A1174))</f>
        <v/>
      </c>
      <c r="O1174" s="29">
        <f>IF(A1174="","",YEAR(A1174))</f>
        <v/>
      </c>
      <c r="P1174" s="29">
        <f>IF(A1174="","",CHOOSE(WEEKDAY(A1174,2),"Segunda","Terça","Quarta","Quinta","Sexta","Sábado","Domingo"))</f>
        <v/>
      </c>
      <c r="Q1174" s="29">
        <f>IF(B1174="","",IF(B1174&lt;TIME(12,0,0),"Manhã",IF(B1174&lt;TIME(18,0,0),"Tarde","Noite")))</f>
        <v/>
      </c>
      <c r="R1174" s="45">
        <f>IF(AND(H1174="Realizado",L1174&lt;&gt;""),L1174/60,0)</f>
        <v>0</v>
      </c>
    </row>
    <row r="1175">
      <c r="A1175" s="42" t="n"/>
      <c r="B1175" s="43" t="n"/>
      <c r="C1175" s="37" t="n"/>
      <c r="D1175" s="37" t="n"/>
      <c r="E1175" s="36" t="n"/>
      <c r="F1175" s="37" t="n"/>
      <c r="G1175" s="37" t="n"/>
      <c r="H1175" s="37" t="n"/>
      <c r="I1175" s="37" t="n"/>
      <c r="J1175" s="37" t="n"/>
      <c r="K1175" s="36" t="n"/>
      <c r="L1175" s="44">
        <f>IF(G1175="","",IFERROR(INDEX(Config!$K$5:$K$16,MATCH(G1175,Config!$J$5:$J$16,0)),""))</f>
        <v/>
      </c>
      <c r="M1175" s="30">
        <f>IF(OR(G1175="",F1175=""),"",IFERROR(INDEX(Config!$M$5:$R$16,MATCH(G1175,Config!$J$5:$J$16,0),MATCH(F1175,Config!$H$5:$H$10,0)),""))</f>
        <v/>
      </c>
      <c r="N1175" s="29">
        <f>IF(A1175="","",MONTH(A1175))</f>
        <v/>
      </c>
      <c r="O1175" s="29">
        <f>IF(A1175="","",YEAR(A1175))</f>
        <v/>
      </c>
      <c r="P1175" s="29">
        <f>IF(A1175="","",CHOOSE(WEEKDAY(A1175,2),"Segunda","Terça","Quarta","Quinta","Sexta","Sábado","Domingo"))</f>
        <v/>
      </c>
      <c r="Q1175" s="29">
        <f>IF(B1175="","",IF(B1175&lt;TIME(12,0,0),"Manhã",IF(B1175&lt;TIME(18,0,0),"Tarde","Noite")))</f>
        <v/>
      </c>
      <c r="R1175" s="45">
        <f>IF(AND(H1175="Realizado",L1175&lt;&gt;""),L1175/60,0)</f>
        <v>0</v>
      </c>
    </row>
    <row r="1176">
      <c r="A1176" s="42" t="n"/>
      <c r="B1176" s="43" t="n"/>
      <c r="C1176" s="37" t="n"/>
      <c r="D1176" s="37" t="n"/>
      <c r="E1176" s="36" t="n"/>
      <c r="F1176" s="37" t="n"/>
      <c r="G1176" s="37" t="n"/>
      <c r="H1176" s="37" t="n"/>
      <c r="I1176" s="37" t="n"/>
      <c r="J1176" s="37" t="n"/>
      <c r="K1176" s="36" t="n"/>
      <c r="L1176" s="44">
        <f>IF(G1176="","",IFERROR(INDEX(Config!$K$5:$K$16,MATCH(G1176,Config!$J$5:$J$16,0)),""))</f>
        <v/>
      </c>
      <c r="M1176" s="30">
        <f>IF(OR(G1176="",F1176=""),"",IFERROR(INDEX(Config!$M$5:$R$16,MATCH(G1176,Config!$J$5:$J$16,0),MATCH(F1176,Config!$H$5:$H$10,0)),""))</f>
        <v/>
      </c>
      <c r="N1176" s="29">
        <f>IF(A1176="","",MONTH(A1176))</f>
        <v/>
      </c>
      <c r="O1176" s="29">
        <f>IF(A1176="","",YEAR(A1176))</f>
        <v/>
      </c>
      <c r="P1176" s="29">
        <f>IF(A1176="","",CHOOSE(WEEKDAY(A1176,2),"Segunda","Terça","Quarta","Quinta","Sexta","Sábado","Domingo"))</f>
        <v/>
      </c>
      <c r="Q1176" s="29">
        <f>IF(B1176="","",IF(B1176&lt;TIME(12,0,0),"Manhã",IF(B1176&lt;TIME(18,0,0),"Tarde","Noite")))</f>
        <v/>
      </c>
      <c r="R1176" s="45">
        <f>IF(AND(H1176="Realizado",L1176&lt;&gt;""),L1176/60,0)</f>
        <v>0</v>
      </c>
    </row>
    <row r="1177">
      <c r="A1177" s="42" t="n"/>
      <c r="B1177" s="43" t="n"/>
      <c r="C1177" s="37" t="n"/>
      <c r="D1177" s="37" t="n"/>
      <c r="E1177" s="36" t="n"/>
      <c r="F1177" s="37" t="n"/>
      <c r="G1177" s="37" t="n"/>
      <c r="H1177" s="37" t="n"/>
      <c r="I1177" s="37" t="n"/>
      <c r="J1177" s="37" t="n"/>
      <c r="K1177" s="36" t="n"/>
      <c r="L1177" s="44">
        <f>IF(G1177="","",IFERROR(INDEX(Config!$K$5:$K$16,MATCH(G1177,Config!$J$5:$J$16,0)),""))</f>
        <v/>
      </c>
      <c r="M1177" s="30">
        <f>IF(OR(G1177="",F1177=""),"",IFERROR(INDEX(Config!$M$5:$R$16,MATCH(G1177,Config!$J$5:$J$16,0),MATCH(F1177,Config!$H$5:$H$10,0)),""))</f>
        <v/>
      </c>
      <c r="N1177" s="29">
        <f>IF(A1177="","",MONTH(A1177))</f>
        <v/>
      </c>
      <c r="O1177" s="29">
        <f>IF(A1177="","",YEAR(A1177))</f>
        <v/>
      </c>
      <c r="P1177" s="29">
        <f>IF(A1177="","",CHOOSE(WEEKDAY(A1177,2),"Segunda","Terça","Quarta","Quinta","Sexta","Sábado","Domingo"))</f>
        <v/>
      </c>
      <c r="Q1177" s="29">
        <f>IF(B1177="","",IF(B1177&lt;TIME(12,0,0),"Manhã",IF(B1177&lt;TIME(18,0,0),"Tarde","Noite")))</f>
        <v/>
      </c>
      <c r="R1177" s="45">
        <f>IF(AND(H1177="Realizado",L1177&lt;&gt;""),L1177/60,0)</f>
        <v>0</v>
      </c>
    </row>
    <row r="1178">
      <c r="A1178" s="42" t="n"/>
      <c r="B1178" s="43" t="n"/>
      <c r="C1178" s="37" t="n"/>
      <c r="D1178" s="37" t="n"/>
      <c r="E1178" s="36" t="n"/>
      <c r="F1178" s="37" t="n"/>
      <c r="G1178" s="37" t="n"/>
      <c r="H1178" s="37" t="n"/>
      <c r="I1178" s="37" t="n"/>
      <c r="J1178" s="37" t="n"/>
      <c r="K1178" s="36" t="n"/>
      <c r="L1178" s="44">
        <f>IF(G1178="","",IFERROR(INDEX(Config!$K$5:$K$16,MATCH(G1178,Config!$J$5:$J$16,0)),""))</f>
        <v/>
      </c>
      <c r="M1178" s="30">
        <f>IF(OR(G1178="",F1178=""),"",IFERROR(INDEX(Config!$M$5:$R$16,MATCH(G1178,Config!$J$5:$J$16,0),MATCH(F1178,Config!$H$5:$H$10,0)),""))</f>
        <v/>
      </c>
      <c r="N1178" s="29">
        <f>IF(A1178="","",MONTH(A1178))</f>
        <v/>
      </c>
      <c r="O1178" s="29">
        <f>IF(A1178="","",YEAR(A1178))</f>
        <v/>
      </c>
      <c r="P1178" s="29">
        <f>IF(A1178="","",CHOOSE(WEEKDAY(A1178,2),"Segunda","Terça","Quarta","Quinta","Sexta","Sábado","Domingo"))</f>
        <v/>
      </c>
      <c r="Q1178" s="29">
        <f>IF(B1178="","",IF(B1178&lt;TIME(12,0,0),"Manhã",IF(B1178&lt;TIME(18,0,0),"Tarde","Noite")))</f>
        <v/>
      </c>
      <c r="R1178" s="45">
        <f>IF(AND(H1178="Realizado",L1178&lt;&gt;""),L1178/60,0)</f>
        <v>0</v>
      </c>
    </row>
    <row r="1179">
      <c r="A1179" s="42" t="n"/>
      <c r="B1179" s="43" t="n"/>
      <c r="C1179" s="37" t="n"/>
      <c r="D1179" s="37" t="n"/>
      <c r="E1179" s="36" t="n"/>
      <c r="F1179" s="37" t="n"/>
      <c r="G1179" s="37" t="n"/>
      <c r="H1179" s="37" t="n"/>
      <c r="I1179" s="37" t="n"/>
      <c r="J1179" s="37" t="n"/>
      <c r="K1179" s="36" t="n"/>
      <c r="L1179" s="44">
        <f>IF(G1179="","",IFERROR(INDEX(Config!$K$5:$K$16,MATCH(G1179,Config!$J$5:$J$16,0)),""))</f>
        <v/>
      </c>
      <c r="M1179" s="30">
        <f>IF(OR(G1179="",F1179=""),"",IFERROR(INDEX(Config!$M$5:$R$16,MATCH(G1179,Config!$J$5:$J$16,0),MATCH(F1179,Config!$H$5:$H$10,0)),""))</f>
        <v/>
      </c>
      <c r="N1179" s="29">
        <f>IF(A1179="","",MONTH(A1179))</f>
        <v/>
      </c>
      <c r="O1179" s="29">
        <f>IF(A1179="","",YEAR(A1179))</f>
        <v/>
      </c>
      <c r="P1179" s="29">
        <f>IF(A1179="","",CHOOSE(WEEKDAY(A1179,2),"Segunda","Terça","Quarta","Quinta","Sexta","Sábado","Domingo"))</f>
        <v/>
      </c>
      <c r="Q1179" s="29">
        <f>IF(B1179="","",IF(B1179&lt;TIME(12,0,0),"Manhã",IF(B1179&lt;TIME(18,0,0),"Tarde","Noite")))</f>
        <v/>
      </c>
      <c r="R1179" s="45">
        <f>IF(AND(H1179="Realizado",L1179&lt;&gt;""),L1179/60,0)</f>
        <v>0</v>
      </c>
    </row>
    <row r="1180">
      <c r="A1180" s="42" t="n"/>
      <c r="B1180" s="43" t="n"/>
      <c r="C1180" s="37" t="n"/>
      <c r="D1180" s="37" t="n"/>
      <c r="E1180" s="36" t="n"/>
      <c r="F1180" s="37" t="n"/>
      <c r="G1180" s="37" t="n"/>
      <c r="H1180" s="37" t="n"/>
      <c r="I1180" s="37" t="n"/>
      <c r="J1180" s="37" t="n"/>
      <c r="K1180" s="36" t="n"/>
      <c r="L1180" s="44">
        <f>IF(G1180="","",IFERROR(INDEX(Config!$K$5:$K$16,MATCH(G1180,Config!$J$5:$J$16,0)),""))</f>
        <v/>
      </c>
      <c r="M1180" s="30">
        <f>IF(OR(G1180="",F1180=""),"",IFERROR(INDEX(Config!$M$5:$R$16,MATCH(G1180,Config!$J$5:$J$16,0),MATCH(F1180,Config!$H$5:$H$10,0)),""))</f>
        <v/>
      </c>
      <c r="N1180" s="29">
        <f>IF(A1180="","",MONTH(A1180))</f>
        <v/>
      </c>
      <c r="O1180" s="29">
        <f>IF(A1180="","",YEAR(A1180))</f>
        <v/>
      </c>
      <c r="P1180" s="29">
        <f>IF(A1180="","",CHOOSE(WEEKDAY(A1180,2),"Segunda","Terça","Quarta","Quinta","Sexta","Sábado","Domingo"))</f>
        <v/>
      </c>
      <c r="Q1180" s="29">
        <f>IF(B1180="","",IF(B1180&lt;TIME(12,0,0),"Manhã",IF(B1180&lt;TIME(18,0,0),"Tarde","Noite")))</f>
        <v/>
      </c>
      <c r="R1180" s="45">
        <f>IF(AND(H1180="Realizado",L1180&lt;&gt;""),L1180/60,0)</f>
        <v>0</v>
      </c>
    </row>
    <row r="1181">
      <c r="A1181" s="42" t="n"/>
      <c r="B1181" s="43" t="n"/>
      <c r="C1181" s="37" t="n"/>
      <c r="D1181" s="37" t="n"/>
      <c r="E1181" s="36" t="n"/>
      <c r="F1181" s="37" t="n"/>
      <c r="G1181" s="37" t="n"/>
      <c r="H1181" s="37" t="n"/>
      <c r="I1181" s="37" t="n"/>
      <c r="J1181" s="37" t="n"/>
      <c r="K1181" s="36" t="n"/>
      <c r="L1181" s="44">
        <f>IF(G1181="","",IFERROR(INDEX(Config!$K$5:$K$16,MATCH(G1181,Config!$J$5:$J$16,0)),""))</f>
        <v/>
      </c>
      <c r="M1181" s="30">
        <f>IF(OR(G1181="",F1181=""),"",IFERROR(INDEX(Config!$M$5:$R$16,MATCH(G1181,Config!$J$5:$J$16,0),MATCH(F1181,Config!$H$5:$H$10,0)),""))</f>
        <v/>
      </c>
      <c r="N1181" s="29">
        <f>IF(A1181="","",MONTH(A1181))</f>
        <v/>
      </c>
      <c r="O1181" s="29">
        <f>IF(A1181="","",YEAR(A1181))</f>
        <v/>
      </c>
      <c r="P1181" s="29">
        <f>IF(A1181="","",CHOOSE(WEEKDAY(A1181,2),"Segunda","Terça","Quarta","Quinta","Sexta","Sábado","Domingo"))</f>
        <v/>
      </c>
      <c r="Q1181" s="29">
        <f>IF(B1181="","",IF(B1181&lt;TIME(12,0,0),"Manhã",IF(B1181&lt;TIME(18,0,0),"Tarde","Noite")))</f>
        <v/>
      </c>
      <c r="R1181" s="45">
        <f>IF(AND(H1181="Realizado",L1181&lt;&gt;""),L1181/60,0)</f>
        <v>0</v>
      </c>
    </row>
    <row r="1182">
      <c r="A1182" s="42" t="n"/>
      <c r="B1182" s="43" t="n"/>
      <c r="C1182" s="37" t="n"/>
      <c r="D1182" s="37" t="n"/>
      <c r="E1182" s="36" t="n"/>
      <c r="F1182" s="37" t="n"/>
      <c r="G1182" s="37" t="n"/>
      <c r="H1182" s="37" t="n"/>
      <c r="I1182" s="37" t="n"/>
      <c r="J1182" s="37" t="n"/>
      <c r="K1182" s="36" t="n"/>
      <c r="L1182" s="44">
        <f>IF(G1182="","",IFERROR(INDEX(Config!$K$5:$K$16,MATCH(G1182,Config!$J$5:$J$16,0)),""))</f>
        <v/>
      </c>
      <c r="M1182" s="30">
        <f>IF(OR(G1182="",F1182=""),"",IFERROR(INDEX(Config!$M$5:$R$16,MATCH(G1182,Config!$J$5:$J$16,0),MATCH(F1182,Config!$H$5:$H$10,0)),""))</f>
        <v/>
      </c>
      <c r="N1182" s="29">
        <f>IF(A1182="","",MONTH(A1182))</f>
        <v/>
      </c>
      <c r="O1182" s="29">
        <f>IF(A1182="","",YEAR(A1182))</f>
        <v/>
      </c>
      <c r="P1182" s="29">
        <f>IF(A1182="","",CHOOSE(WEEKDAY(A1182,2),"Segunda","Terça","Quarta","Quinta","Sexta","Sábado","Domingo"))</f>
        <v/>
      </c>
      <c r="Q1182" s="29">
        <f>IF(B1182="","",IF(B1182&lt;TIME(12,0,0),"Manhã",IF(B1182&lt;TIME(18,0,0),"Tarde","Noite")))</f>
        <v/>
      </c>
      <c r="R1182" s="45">
        <f>IF(AND(H1182="Realizado",L1182&lt;&gt;""),L1182/60,0)</f>
        <v>0</v>
      </c>
    </row>
    <row r="1183">
      <c r="A1183" s="42" t="n"/>
      <c r="B1183" s="43" t="n"/>
      <c r="C1183" s="37" t="n"/>
      <c r="D1183" s="37" t="n"/>
      <c r="E1183" s="36" t="n"/>
      <c r="F1183" s="37" t="n"/>
      <c r="G1183" s="37" t="n"/>
      <c r="H1183" s="37" t="n"/>
      <c r="I1183" s="37" t="n"/>
      <c r="J1183" s="37" t="n"/>
      <c r="K1183" s="36" t="n"/>
      <c r="L1183" s="44">
        <f>IF(G1183="","",IFERROR(INDEX(Config!$K$5:$K$16,MATCH(G1183,Config!$J$5:$J$16,0)),""))</f>
        <v/>
      </c>
      <c r="M1183" s="30">
        <f>IF(OR(G1183="",F1183=""),"",IFERROR(INDEX(Config!$M$5:$R$16,MATCH(G1183,Config!$J$5:$J$16,0),MATCH(F1183,Config!$H$5:$H$10,0)),""))</f>
        <v/>
      </c>
      <c r="N1183" s="29">
        <f>IF(A1183="","",MONTH(A1183))</f>
        <v/>
      </c>
      <c r="O1183" s="29">
        <f>IF(A1183="","",YEAR(A1183))</f>
        <v/>
      </c>
      <c r="P1183" s="29">
        <f>IF(A1183="","",CHOOSE(WEEKDAY(A1183,2),"Segunda","Terça","Quarta","Quinta","Sexta","Sábado","Domingo"))</f>
        <v/>
      </c>
      <c r="Q1183" s="29">
        <f>IF(B1183="","",IF(B1183&lt;TIME(12,0,0),"Manhã",IF(B1183&lt;TIME(18,0,0),"Tarde","Noite")))</f>
        <v/>
      </c>
      <c r="R1183" s="45">
        <f>IF(AND(H1183="Realizado",L1183&lt;&gt;""),L1183/60,0)</f>
        <v>0</v>
      </c>
    </row>
    <row r="1184">
      <c r="A1184" s="42" t="n"/>
      <c r="B1184" s="43" t="n"/>
      <c r="C1184" s="37" t="n"/>
      <c r="D1184" s="37" t="n"/>
      <c r="E1184" s="36" t="n"/>
      <c r="F1184" s="37" t="n"/>
      <c r="G1184" s="37" t="n"/>
      <c r="H1184" s="37" t="n"/>
      <c r="I1184" s="37" t="n"/>
      <c r="J1184" s="37" t="n"/>
      <c r="K1184" s="36" t="n"/>
      <c r="L1184" s="44">
        <f>IF(G1184="","",IFERROR(INDEX(Config!$K$5:$K$16,MATCH(G1184,Config!$J$5:$J$16,0)),""))</f>
        <v/>
      </c>
      <c r="M1184" s="30">
        <f>IF(OR(G1184="",F1184=""),"",IFERROR(INDEX(Config!$M$5:$R$16,MATCH(G1184,Config!$J$5:$J$16,0),MATCH(F1184,Config!$H$5:$H$10,0)),""))</f>
        <v/>
      </c>
      <c r="N1184" s="29">
        <f>IF(A1184="","",MONTH(A1184))</f>
        <v/>
      </c>
      <c r="O1184" s="29">
        <f>IF(A1184="","",YEAR(A1184))</f>
        <v/>
      </c>
      <c r="P1184" s="29">
        <f>IF(A1184="","",CHOOSE(WEEKDAY(A1184,2),"Segunda","Terça","Quarta","Quinta","Sexta","Sábado","Domingo"))</f>
        <v/>
      </c>
      <c r="Q1184" s="29">
        <f>IF(B1184="","",IF(B1184&lt;TIME(12,0,0),"Manhã",IF(B1184&lt;TIME(18,0,0),"Tarde","Noite")))</f>
        <v/>
      </c>
      <c r="R1184" s="45">
        <f>IF(AND(H1184="Realizado",L1184&lt;&gt;""),L1184/60,0)</f>
        <v>0</v>
      </c>
    </row>
    <row r="1185">
      <c r="A1185" s="42" t="n"/>
      <c r="B1185" s="43" t="n"/>
      <c r="C1185" s="37" t="n"/>
      <c r="D1185" s="37" t="n"/>
      <c r="E1185" s="36" t="n"/>
      <c r="F1185" s="37" t="n"/>
      <c r="G1185" s="37" t="n"/>
      <c r="H1185" s="37" t="n"/>
      <c r="I1185" s="37" t="n"/>
      <c r="J1185" s="37" t="n"/>
      <c r="K1185" s="36" t="n"/>
      <c r="L1185" s="44">
        <f>IF(G1185="","",IFERROR(INDEX(Config!$K$5:$K$16,MATCH(G1185,Config!$J$5:$J$16,0)),""))</f>
        <v/>
      </c>
      <c r="M1185" s="30">
        <f>IF(OR(G1185="",F1185=""),"",IFERROR(INDEX(Config!$M$5:$R$16,MATCH(G1185,Config!$J$5:$J$16,0),MATCH(F1185,Config!$H$5:$H$10,0)),""))</f>
        <v/>
      </c>
      <c r="N1185" s="29">
        <f>IF(A1185="","",MONTH(A1185))</f>
        <v/>
      </c>
      <c r="O1185" s="29">
        <f>IF(A1185="","",YEAR(A1185))</f>
        <v/>
      </c>
      <c r="P1185" s="29">
        <f>IF(A1185="","",CHOOSE(WEEKDAY(A1185,2),"Segunda","Terça","Quarta","Quinta","Sexta","Sábado","Domingo"))</f>
        <v/>
      </c>
      <c r="Q1185" s="29">
        <f>IF(B1185="","",IF(B1185&lt;TIME(12,0,0),"Manhã",IF(B1185&lt;TIME(18,0,0),"Tarde","Noite")))</f>
        <v/>
      </c>
      <c r="R1185" s="45">
        <f>IF(AND(H1185="Realizado",L1185&lt;&gt;""),L1185/60,0)</f>
        <v>0</v>
      </c>
    </row>
    <row r="1186">
      <c r="A1186" s="42" t="n"/>
      <c r="B1186" s="43" t="n"/>
      <c r="C1186" s="37" t="n"/>
      <c r="D1186" s="37" t="n"/>
      <c r="E1186" s="36" t="n"/>
      <c r="F1186" s="37" t="n"/>
      <c r="G1186" s="37" t="n"/>
      <c r="H1186" s="37" t="n"/>
      <c r="I1186" s="37" t="n"/>
      <c r="J1186" s="37" t="n"/>
      <c r="K1186" s="36" t="n"/>
      <c r="L1186" s="44">
        <f>IF(G1186="","",IFERROR(INDEX(Config!$K$5:$K$16,MATCH(G1186,Config!$J$5:$J$16,0)),""))</f>
        <v/>
      </c>
      <c r="M1186" s="30">
        <f>IF(OR(G1186="",F1186=""),"",IFERROR(INDEX(Config!$M$5:$R$16,MATCH(G1186,Config!$J$5:$J$16,0),MATCH(F1186,Config!$H$5:$H$10,0)),""))</f>
        <v/>
      </c>
      <c r="N1186" s="29">
        <f>IF(A1186="","",MONTH(A1186))</f>
        <v/>
      </c>
      <c r="O1186" s="29">
        <f>IF(A1186="","",YEAR(A1186))</f>
        <v/>
      </c>
      <c r="P1186" s="29">
        <f>IF(A1186="","",CHOOSE(WEEKDAY(A1186,2),"Segunda","Terça","Quarta","Quinta","Sexta","Sábado","Domingo"))</f>
        <v/>
      </c>
      <c r="Q1186" s="29">
        <f>IF(B1186="","",IF(B1186&lt;TIME(12,0,0),"Manhã",IF(B1186&lt;TIME(18,0,0),"Tarde","Noite")))</f>
        <v/>
      </c>
      <c r="R1186" s="45">
        <f>IF(AND(H1186="Realizado",L1186&lt;&gt;""),L1186/60,0)</f>
        <v>0</v>
      </c>
    </row>
    <row r="1187">
      <c r="A1187" s="42" t="n"/>
      <c r="B1187" s="43" t="n"/>
      <c r="C1187" s="37" t="n"/>
      <c r="D1187" s="37" t="n"/>
      <c r="E1187" s="36" t="n"/>
      <c r="F1187" s="37" t="n"/>
      <c r="G1187" s="37" t="n"/>
      <c r="H1187" s="37" t="n"/>
      <c r="I1187" s="37" t="n"/>
      <c r="J1187" s="37" t="n"/>
      <c r="K1187" s="36" t="n"/>
      <c r="L1187" s="44">
        <f>IF(G1187="","",IFERROR(INDEX(Config!$K$5:$K$16,MATCH(G1187,Config!$J$5:$J$16,0)),""))</f>
        <v/>
      </c>
      <c r="M1187" s="30">
        <f>IF(OR(G1187="",F1187=""),"",IFERROR(INDEX(Config!$M$5:$R$16,MATCH(G1187,Config!$J$5:$J$16,0),MATCH(F1187,Config!$H$5:$H$10,0)),""))</f>
        <v/>
      </c>
      <c r="N1187" s="29">
        <f>IF(A1187="","",MONTH(A1187))</f>
        <v/>
      </c>
      <c r="O1187" s="29">
        <f>IF(A1187="","",YEAR(A1187))</f>
        <v/>
      </c>
      <c r="P1187" s="29">
        <f>IF(A1187="","",CHOOSE(WEEKDAY(A1187,2),"Segunda","Terça","Quarta","Quinta","Sexta","Sábado","Domingo"))</f>
        <v/>
      </c>
      <c r="Q1187" s="29">
        <f>IF(B1187="","",IF(B1187&lt;TIME(12,0,0),"Manhã",IF(B1187&lt;TIME(18,0,0),"Tarde","Noite")))</f>
        <v/>
      </c>
      <c r="R1187" s="45">
        <f>IF(AND(H1187="Realizado",L1187&lt;&gt;""),L1187/60,0)</f>
        <v>0</v>
      </c>
    </row>
    <row r="1188">
      <c r="A1188" s="42" t="n"/>
      <c r="B1188" s="43" t="n"/>
      <c r="C1188" s="37" t="n"/>
      <c r="D1188" s="37" t="n"/>
      <c r="E1188" s="36" t="n"/>
      <c r="F1188" s="37" t="n"/>
      <c r="G1188" s="37" t="n"/>
      <c r="H1188" s="37" t="n"/>
      <c r="I1188" s="37" t="n"/>
      <c r="J1188" s="37" t="n"/>
      <c r="K1188" s="36" t="n"/>
      <c r="L1188" s="44">
        <f>IF(G1188="","",IFERROR(INDEX(Config!$K$5:$K$16,MATCH(G1188,Config!$J$5:$J$16,0)),""))</f>
        <v/>
      </c>
      <c r="M1188" s="30">
        <f>IF(OR(G1188="",F1188=""),"",IFERROR(INDEX(Config!$M$5:$R$16,MATCH(G1188,Config!$J$5:$J$16,0),MATCH(F1188,Config!$H$5:$H$10,0)),""))</f>
        <v/>
      </c>
      <c r="N1188" s="29">
        <f>IF(A1188="","",MONTH(A1188))</f>
        <v/>
      </c>
      <c r="O1188" s="29">
        <f>IF(A1188="","",YEAR(A1188))</f>
        <v/>
      </c>
      <c r="P1188" s="29">
        <f>IF(A1188="","",CHOOSE(WEEKDAY(A1188,2),"Segunda","Terça","Quarta","Quinta","Sexta","Sábado","Domingo"))</f>
        <v/>
      </c>
      <c r="Q1188" s="29">
        <f>IF(B1188="","",IF(B1188&lt;TIME(12,0,0),"Manhã",IF(B1188&lt;TIME(18,0,0),"Tarde","Noite")))</f>
        <v/>
      </c>
      <c r="R1188" s="45">
        <f>IF(AND(H1188="Realizado",L1188&lt;&gt;""),L1188/60,0)</f>
        <v>0</v>
      </c>
    </row>
    <row r="1189">
      <c r="A1189" s="42" t="n"/>
      <c r="B1189" s="43" t="n"/>
      <c r="C1189" s="37" t="n"/>
      <c r="D1189" s="37" t="n"/>
      <c r="E1189" s="36" t="n"/>
      <c r="F1189" s="37" t="n"/>
      <c r="G1189" s="37" t="n"/>
      <c r="H1189" s="37" t="n"/>
      <c r="I1189" s="37" t="n"/>
      <c r="J1189" s="37" t="n"/>
      <c r="K1189" s="36" t="n"/>
      <c r="L1189" s="44">
        <f>IF(G1189="","",IFERROR(INDEX(Config!$K$5:$K$16,MATCH(G1189,Config!$J$5:$J$16,0)),""))</f>
        <v/>
      </c>
      <c r="M1189" s="30">
        <f>IF(OR(G1189="",F1189=""),"",IFERROR(INDEX(Config!$M$5:$R$16,MATCH(G1189,Config!$J$5:$J$16,0),MATCH(F1189,Config!$H$5:$H$10,0)),""))</f>
        <v/>
      </c>
      <c r="N1189" s="29">
        <f>IF(A1189="","",MONTH(A1189))</f>
        <v/>
      </c>
      <c r="O1189" s="29">
        <f>IF(A1189="","",YEAR(A1189))</f>
        <v/>
      </c>
      <c r="P1189" s="29">
        <f>IF(A1189="","",CHOOSE(WEEKDAY(A1189,2),"Segunda","Terça","Quarta","Quinta","Sexta","Sábado","Domingo"))</f>
        <v/>
      </c>
      <c r="Q1189" s="29">
        <f>IF(B1189="","",IF(B1189&lt;TIME(12,0,0),"Manhã",IF(B1189&lt;TIME(18,0,0),"Tarde","Noite")))</f>
        <v/>
      </c>
      <c r="R1189" s="45">
        <f>IF(AND(H1189="Realizado",L1189&lt;&gt;""),L1189/60,0)</f>
        <v>0</v>
      </c>
    </row>
    <row r="1190">
      <c r="A1190" s="42" t="n"/>
      <c r="B1190" s="43" t="n"/>
      <c r="C1190" s="37" t="n"/>
      <c r="D1190" s="37" t="n"/>
      <c r="E1190" s="36" t="n"/>
      <c r="F1190" s="37" t="n"/>
      <c r="G1190" s="37" t="n"/>
      <c r="H1190" s="37" t="n"/>
      <c r="I1190" s="37" t="n"/>
      <c r="J1190" s="37" t="n"/>
      <c r="K1190" s="36" t="n"/>
      <c r="L1190" s="44">
        <f>IF(G1190="","",IFERROR(INDEX(Config!$K$5:$K$16,MATCH(G1190,Config!$J$5:$J$16,0)),""))</f>
        <v/>
      </c>
      <c r="M1190" s="30">
        <f>IF(OR(G1190="",F1190=""),"",IFERROR(INDEX(Config!$M$5:$R$16,MATCH(G1190,Config!$J$5:$J$16,0),MATCH(F1190,Config!$H$5:$H$10,0)),""))</f>
        <v/>
      </c>
      <c r="N1190" s="29">
        <f>IF(A1190="","",MONTH(A1190))</f>
        <v/>
      </c>
      <c r="O1190" s="29">
        <f>IF(A1190="","",YEAR(A1190))</f>
        <v/>
      </c>
      <c r="P1190" s="29">
        <f>IF(A1190="","",CHOOSE(WEEKDAY(A1190,2),"Segunda","Terça","Quarta","Quinta","Sexta","Sábado","Domingo"))</f>
        <v/>
      </c>
      <c r="Q1190" s="29">
        <f>IF(B1190="","",IF(B1190&lt;TIME(12,0,0),"Manhã",IF(B1190&lt;TIME(18,0,0),"Tarde","Noite")))</f>
        <v/>
      </c>
      <c r="R1190" s="45">
        <f>IF(AND(H1190="Realizado",L1190&lt;&gt;""),L1190/60,0)</f>
        <v>0</v>
      </c>
    </row>
    <row r="1191">
      <c r="A1191" s="42" t="n"/>
      <c r="B1191" s="43" t="n"/>
      <c r="C1191" s="37" t="n"/>
      <c r="D1191" s="37" t="n"/>
      <c r="E1191" s="36" t="n"/>
      <c r="F1191" s="37" t="n"/>
      <c r="G1191" s="37" t="n"/>
      <c r="H1191" s="37" t="n"/>
      <c r="I1191" s="37" t="n"/>
      <c r="J1191" s="37" t="n"/>
      <c r="K1191" s="36" t="n"/>
      <c r="L1191" s="44">
        <f>IF(G1191="","",IFERROR(INDEX(Config!$K$5:$K$16,MATCH(G1191,Config!$J$5:$J$16,0)),""))</f>
        <v/>
      </c>
      <c r="M1191" s="30">
        <f>IF(OR(G1191="",F1191=""),"",IFERROR(INDEX(Config!$M$5:$R$16,MATCH(G1191,Config!$J$5:$J$16,0),MATCH(F1191,Config!$H$5:$H$10,0)),""))</f>
        <v/>
      </c>
      <c r="N1191" s="29">
        <f>IF(A1191="","",MONTH(A1191))</f>
        <v/>
      </c>
      <c r="O1191" s="29">
        <f>IF(A1191="","",YEAR(A1191))</f>
        <v/>
      </c>
      <c r="P1191" s="29">
        <f>IF(A1191="","",CHOOSE(WEEKDAY(A1191,2),"Segunda","Terça","Quarta","Quinta","Sexta","Sábado","Domingo"))</f>
        <v/>
      </c>
      <c r="Q1191" s="29">
        <f>IF(B1191="","",IF(B1191&lt;TIME(12,0,0),"Manhã",IF(B1191&lt;TIME(18,0,0),"Tarde","Noite")))</f>
        <v/>
      </c>
      <c r="R1191" s="45">
        <f>IF(AND(H1191="Realizado",L1191&lt;&gt;""),L1191/60,0)</f>
        <v>0</v>
      </c>
    </row>
    <row r="1192">
      <c r="A1192" s="42" t="n"/>
      <c r="B1192" s="43" t="n"/>
      <c r="C1192" s="37" t="n"/>
      <c r="D1192" s="37" t="n"/>
      <c r="E1192" s="36" t="n"/>
      <c r="F1192" s="37" t="n"/>
      <c r="G1192" s="37" t="n"/>
      <c r="H1192" s="37" t="n"/>
      <c r="I1192" s="37" t="n"/>
      <c r="J1192" s="37" t="n"/>
      <c r="K1192" s="36" t="n"/>
      <c r="L1192" s="44">
        <f>IF(G1192="","",IFERROR(INDEX(Config!$K$5:$K$16,MATCH(G1192,Config!$J$5:$J$16,0)),""))</f>
        <v/>
      </c>
      <c r="M1192" s="30">
        <f>IF(OR(G1192="",F1192=""),"",IFERROR(INDEX(Config!$M$5:$R$16,MATCH(G1192,Config!$J$5:$J$16,0),MATCH(F1192,Config!$H$5:$H$10,0)),""))</f>
        <v/>
      </c>
      <c r="N1192" s="29">
        <f>IF(A1192="","",MONTH(A1192))</f>
        <v/>
      </c>
      <c r="O1192" s="29">
        <f>IF(A1192="","",YEAR(A1192))</f>
        <v/>
      </c>
      <c r="P1192" s="29">
        <f>IF(A1192="","",CHOOSE(WEEKDAY(A1192,2),"Segunda","Terça","Quarta","Quinta","Sexta","Sábado","Domingo"))</f>
        <v/>
      </c>
      <c r="Q1192" s="29">
        <f>IF(B1192="","",IF(B1192&lt;TIME(12,0,0),"Manhã",IF(B1192&lt;TIME(18,0,0),"Tarde","Noite")))</f>
        <v/>
      </c>
      <c r="R1192" s="45">
        <f>IF(AND(H1192="Realizado",L1192&lt;&gt;""),L1192/60,0)</f>
        <v>0</v>
      </c>
    </row>
    <row r="1193">
      <c r="A1193" s="42" t="n"/>
      <c r="B1193" s="43" t="n"/>
      <c r="C1193" s="37" t="n"/>
      <c r="D1193" s="37" t="n"/>
      <c r="E1193" s="36" t="n"/>
      <c r="F1193" s="37" t="n"/>
      <c r="G1193" s="37" t="n"/>
      <c r="H1193" s="37" t="n"/>
      <c r="I1193" s="37" t="n"/>
      <c r="J1193" s="37" t="n"/>
      <c r="K1193" s="36" t="n"/>
      <c r="L1193" s="44">
        <f>IF(G1193="","",IFERROR(INDEX(Config!$K$5:$K$16,MATCH(G1193,Config!$J$5:$J$16,0)),""))</f>
        <v/>
      </c>
      <c r="M1193" s="30">
        <f>IF(OR(G1193="",F1193=""),"",IFERROR(INDEX(Config!$M$5:$R$16,MATCH(G1193,Config!$J$5:$J$16,0),MATCH(F1193,Config!$H$5:$H$10,0)),""))</f>
        <v/>
      </c>
      <c r="N1193" s="29">
        <f>IF(A1193="","",MONTH(A1193))</f>
        <v/>
      </c>
      <c r="O1193" s="29">
        <f>IF(A1193="","",YEAR(A1193))</f>
        <v/>
      </c>
      <c r="P1193" s="29">
        <f>IF(A1193="","",CHOOSE(WEEKDAY(A1193,2),"Segunda","Terça","Quarta","Quinta","Sexta","Sábado","Domingo"))</f>
        <v/>
      </c>
      <c r="Q1193" s="29">
        <f>IF(B1193="","",IF(B1193&lt;TIME(12,0,0),"Manhã",IF(B1193&lt;TIME(18,0,0),"Tarde","Noite")))</f>
        <v/>
      </c>
      <c r="R1193" s="45">
        <f>IF(AND(H1193="Realizado",L1193&lt;&gt;""),L1193/60,0)</f>
        <v>0</v>
      </c>
    </row>
    <row r="1194">
      <c r="A1194" s="42" t="n"/>
      <c r="B1194" s="43" t="n"/>
      <c r="C1194" s="37" t="n"/>
      <c r="D1194" s="37" t="n"/>
      <c r="E1194" s="36" t="n"/>
      <c r="F1194" s="37" t="n"/>
      <c r="G1194" s="37" t="n"/>
      <c r="H1194" s="37" t="n"/>
      <c r="I1194" s="37" t="n"/>
      <c r="J1194" s="37" t="n"/>
      <c r="K1194" s="36" t="n"/>
      <c r="L1194" s="44">
        <f>IF(G1194="","",IFERROR(INDEX(Config!$K$5:$K$16,MATCH(G1194,Config!$J$5:$J$16,0)),""))</f>
        <v/>
      </c>
      <c r="M1194" s="30">
        <f>IF(OR(G1194="",F1194=""),"",IFERROR(INDEX(Config!$M$5:$R$16,MATCH(G1194,Config!$J$5:$J$16,0),MATCH(F1194,Config!$H$5:$H$10,0)),""))</f>
        <v/>
      </c>
      <c r="N1194" s="29">
        <f>IF(A1194="","",MONTH(A1194))</f>
        <v/>
      </c>
      <c r="O1194" s="29">
        <f>IF(A1194="","",YEAR(A1194))</f>
        <v/>
      </c>
      <c r="P1194" s="29">
        <f>IF(A1194="","",CHOOSE(WEEKDAY(A1194,2),"Segunda","Terça","Quarta","Quinta","Sexta","Sábado","Domingo"))</f>
        <v/>
      </c>
      <c r="Q1194" s="29">
        <f>IF(B1194="","",IF(B1194&lt;TIME(12,0,0),"Manhã",IF(B1194&lt;TIME(18,0,0),"Tarde","Noite")))</f>
        <v/>
      </c>
      <c r="R1194" s="45">
        <f>IF(AND(H1194="Realizado",L1194&lt;&gt;""),L1194/60,0)</f>
        <v>0</v>
      </c>
    </row>
    <row r="1195">
      <c r="A1195" s="42" t="n"/>
      <c r="B1195" s="43" t="n"/>
      <c r="C1195" s="37" t="n"/>
      <c r="D1195" s="37" t="n"/>
      <c r="E1195" s="36" t="n"/>
      <c r="F1195" s="37" t="n"/>
      <c r="G1195" s="37" t="n"/>
      <c r="H1195" s="37" t="n"/>
      <c r="I1195" s="37" t="n"/>
      <c r="J1195" s="37" t="n"/>
      <c r="K1195" s="36" t="n"/>
      <c r="L1195" s="44">
        <f>IF(G1195="","",IFERROR(INDEX(Config!$K$5:$K$16,MATCH(G1195,Config!$J$5:$J$16,0)),""))</f>
        <v/>
      </c>
      <c r="M1195" s="30">
        <f>IF(OR(G1195="",F1195=""),"",IFERROR(INDEX(Config!$M$5:$R$16,MATCH(G1195,Config!$J$5:$J$16,0),MATCH(F1195,Config!$H$5:$H$10,0)),""))</f>
        <v/>
      </c>
      <c r="N1195" s="29">
        <f>IF(A1195="","",MONTH(A1195))</f>
        <v/>
      </c>
      <c r="O1195" s="29">
        <f>IF(A1195="","",YEAR(A1195))</f>
        <v/>
      </c>
      <c r="P1195" s="29">
        <f>IF(A1195="","",CHOOSE(WEEKDAY(A1195,2),"Segunda","Terça","Quarta","Quinta","Sexta","Sábado","Domingo"))</f>
        <v/>
      </c>
      <c r="Q1195" s="29">
        <f>IF(B1195="","",IF(B1195&lt;TIME(12,0,0),"Manhã",IF(B1195&lt;TIME(18,0,0),"Tarde","Noite")))</f>
        <v/>
      </c>
      <c r="R1195" s="45">
        <f>IF(AND(H1195="Realizado",L1195&lt;&gt;""),L1195/60,0)</f>
        <v>0</v>
      </c>
    </row>
    <row r="1196">
      <c r="A1196" s="42" t="n"/>
      <c r="B1196" s="43" t="n"/>
      <c r="C1196" s="37" t="n"/>
      <c r="D1196" s="37" t="n"/>
      <c r="E1196" s="36" t="n"/>
      <c r="F1196" s="37" t="n"/>
      <c r="G1196" s="37" t="n"/>
      <c r="H1196" s="37" t="n"/>
      <c r="I1196" s="37" t="n"/>
      <c r="J1196" s="37" t="n"/>
      <c r="K1196" s="36" t="n"/>
      <c r="L1196" s="44">
        <f>IF(G1196="","",IFERROR(INDEX(Config!$K$5:$K$16,MATCH(G1196,Config!$J$5:$J$16,0)),""))</f>
        <v/>
      </c>
      <c r="M1196" s="30">
        <f>IF(OR(G1196="",F1196=""),"",IFERROR(INDEX(Config!$M$5:$R$16,MATCH(G1196,Config!$J$5:$J$16,0),MATCH(F1196,Config!$H$5:$H$10,0)),""))</f>
        <v/>
      </c>
      <c r="N1196" s="29">
        <f>IF(A1196="","",MONTH(A1196))</f>
        <v/>
      </c>
      <c r="O1196" s="29">
        <f>IF(A1196="","",YEAR(A1196))</f>
        <v/>
      </c>
      <c r="P1196" s="29">
        <f>IF(A1196="","",CHOOSE(WEEKDAY(A1196,2),"Segunda","Terça","Quarta","Quinta","Sexta","Sábado","Domingo"))</f>
        <v/>
      </c>
      <c r="Q1196" s="29">
        <f>IF(B1196="","",IF(B1196&lt;TIME(12,0,0),"Manhã",IF(B1196&lt;TIME(18,0,0),"Tarde","Noite")))</f>
        <v/>
      </c>
      <c r="R1196" s="45">
        <f>IF(AND(H1196="Realizado",L1196&lt;&gt;""),L1196/60,0)</f>
        <v>0</v>
      </c>
    </row>
    <row r="1197">
      <c r="A1197" s="42" t="n"/>
      <c r="B1197" s="43" t="n"/>
      <c r="C1197" s="37" t="n"/>
      <c r="D1197" s="37" t="n"/>
      <c r="E1197" s="36" t="n"/>
      <c r="F1197" s="37" t="n"/>
      <c r="G1197" s="37" t="n"/>
      <c r="H1197" s="37" t="n"/>
      <c r="I1197" s="37" t="n"/>
      <c r="J1197" s="37" t="n"/>
      <c r="K1197" s="36" t="n"/>
      <c r="L1197" s="44">
        <f>IF(G1197="","",IFERROR(INDEX(Config!$K$5:$K$16,MATCH(G1197,Config!$J$5:$J$16,0)),""))</f>
        <v/>
      </c>
      <c r="M1197" s="30">
        <f>IF(OR(G1197="",F1197=""),"",IFERROR(INDEX(Config!$M$5:$R$16,MATCH(G1197,Config!$J$5:$J$16,0),MATCH(F1197,Config!$H$5:$H$10,0)),""))</f>
        <v/>
      </c>
      <c r="N1197" s="29">
        <f>IF(A1197="","",MONTH(A1197))</f>
        <v/>
      </c>
      <c r="O1197" s="29">
        <f>IF(A1197="","",YEAR(A1197))</f>
        <v/>
      </c>
      <c r="P1197" s="29">
        <f>IF(A1197="","",CHOOSE(WEEKDAY(A1197,2),"Segunda","Terça","Quarta","Quinta","Sexta","Sábado","Domingo"))</f>
        <v/>
      </c>
      <c r="Q1197" s="29">
        <f>IF(B1197="","",IF(B1197&lt;TIME(12,0,0),"Manhã",IF(B1197&lt;TIME(18,0,0),"Tarde","Noite")))</f>
        <v/>
      </c>
      <c r="R1197" s="45">
        <f>IF(AND(H1197="Realizado",L1197&lt;&gt;""),L1197/60,0)</f>
        <v>0</v>
      </c>
    </row>
    <row r="1198">
      <c r="A1198" s="42" t="n"/>
      <c r="B1198" s="43" t="n"/>
      <c r="C1198" s="37" t="n"/>
      <c r="D1198" s="37" t="n"/>
      <c r="E1198" s="36" t="n"/>
      <c r="F1198" s="37" t="n"/>
      <c r="G1198" s="37" t="n"/>
      <c r="H1198" s="37" t="n"/>
      <c r="I1198" s="37" t="n"/>
      <c r="J1198" s="37" t="n"/>
      <c r="K1198" s="36" t="n"/>
      <c r="L1198" s="44">
        <f>IF(G1198="","",IFERROR(INDEX(Config!$K$5:$K$16,MATCH(G1198,Config!$J$5:$J$16,0)),""))</f>
        <v/>
      </c>
      <c r="M1198" s="30">
        <f>IF(OR(G1198="",F1198=""),"",IFERROR(INDEX(Config!$M$5:$R$16,MATCH(G1198,Config!$J$5:$J$16,0),MATCH(F1198,Config!$H$5:$H$10,0)),""))</f>
        <v/>
      </c>
      <c r="N1198" s="29">
        <f>IF(A1198="","",MONTH(A1198))</f>
        <v/>
      </c>
      <c r="O1198" s="29">
        <f>IF(A1198="","",YEAR(A1198))</f>
        <v/>
      </c>
      <c r="P1198" s="29">
        <f>IF(A1198="","",CHOOSE(WEEKDAY(A1198,2),"Segunda","Terça","Quarta","Quinta","Sexta","Sábado","Domingo"))</f>
        <v/>
      </c>
      <c r="Q1198" s="29">
        <f>IF(B1198="","",IF(B1198&lt;TIME(12,0,0),"Manhã",IF(B1198&lt;TIME(18,0,0),"Tarde","Noite")))</f>
        <v/>
      </c>
      <c r="R1198" s="45">
        <f>IF(AND(H1198="Realizado",L1198&lt;&gt;""),L1198/60,0)</f>
        <v>0</v>
      </c>
    </row>
    <row r="1199">
      <c r="A1199" s="42" t="n"/>
      <c r="B1199" s="43" t="n"/>
      <c r="C1199" s="37" t="n"/>
      <c r="D1199" s="37" t="n"/>
      <c r="E1199" s="36" t="n"/>
      <c r="F1199" s="37" t="n"/>
      <c r="G1199" s="37" t="n"/>
      <c r="H1199" s="37" t="n"/>
      <c r="I1199" s="37" t="n"/>
      <c r="J1199" s="37" t="n"/>
      <c r="K1199" s="36" t="n"/>
      <c r="L1199" s="44">
        <f>IF(G1199="","",IFERROR(INDEX(Config!$K$5:$K$16,MATCH(G1199,Config!$J$5:$J$16,0)),""))</f>
        <v/>
      </c>
      <c r="M1199" s="30">
        <f>IF(OR(G1199="",F1199=""),"",IFERROR(INDEX(Config!$M$5:$R$16,MATCH(G1199,Config!$J$5:$J$16,0),MATCH(F1199,Config!$H$5:$H$10,0)),""))</f>
        <v/>
      </c>
      <c r="N1199" s="29">
        <f>IF(A1199="","",MONTH(A1199))</f>
        <v/>
      </c>
      <c r="O1199" s="29">
        <f>IF(A1199="","",YEAR(A1199))</f>
        <v/>
      </c>
      <c r="P1199" s="29">
        <f>IF(A1199="","",CHOOSE(WEEKDAY(A1199,2),"Segunda","Terça","Quarta","Quinta","Sexta","Sábado","Domingo"))</f>
        <v/>
      </c>
      <c r="Q1199" s="29">
        <f>IF(B1199="","",IF(B1199&lt;TIME(12,0,0),"Manhã",IF(B1199&lt;TIME(18,0,0),"Tarde","Noite")))</f>
        <v/>
      </c>
      <c r="R1199" s="45">
        <f>IF(AND(H1199="Realizado",L1199&lt;&gt;""),L1199/60,0)</f>
        <v>0</v>
      </c>
    </row>
    <row r="1200">
      <c r="A1200" s="42" t="n"/>
      <c r="B1200" s="43" t="n"/>
      <c r="C1200" s="37" t="n"/>
      <c r="D1200" s="37" t="n"/>
      <c r="E1200" s="36" t="n"/>
      <c r="F1200" s="37" t="n"/>
      <c r="G1200" s="37" t="n"/>
      <c r="H1200" s="37" t="n"/>
      <c r="I1200" s="37" t="n"/>
      <c r="J1200" s="37" t="n"/>
      <c r="K1200" s="36" t="n"/>
      <c r="L1200" s="44">
        <f>IF(G1200="","",IFERROR(INDEX(Config!$K$5:$K$16,MATCH(G1200,Config!$J$5:$J$16,0)),""))</f>
        <v/>
      </c>
      <c r="M1200" s="30">
        <f>IF(OR(G1200="",F1200=""),"",IFERROR(INDEX(Config!$M$5:$R$16,MATCH(G1200,Config!$J$5:$J$16,0),MATCH(F1200,Config!$H$5:$H$10,0)),""))</f>
        <v/>
      </c>
      <c r="N1200" s="29">
        <f>IF(A1200="","",MONTH(A1200))</f>
        <v/>
      </c>
      <c r="O1200" s="29">
        <f>IF(A1200="","",YEAR(A1200))</f>
        <v/>
      </c>
      <c r="P1200" s="29">
        <f>IF(A1200="","",CHOOSE(WEEKDAY(A1200,2),"Segunda","Terça","Quarta","Quinta","Sexta","Sábado","Domingo"))</f>
        <v/>
      </c>
      <c r="Q1200" s="29">
        <f>IF(B1200="","",IF(B1200&lt;TIME(12,0,0),"Manhã",IF(B1200&lt;TIME(18,0,0),"Tarde","Noite")))</f>
        <v/>
      </c>
      <c r="R1200" s="45">
        <f>IF(AND(H1200="Realizado",L1200&lt;&gt;""),L1200/60,0)</f>
        <v>0</v>
      </c>
    </row>
    <row r="1201">
      <c r="A1201" s="42" t="n"/>
      <c r="B1201" s="43" t="n"/>
      <c r="C1201" s="37" t="n"/>
      <c r="D1201" s="37" t="n"/>
      <c r="E1201" s="36" t="n"/>
      <c r="F1201" s="37" t="n"/>
      <c r="G1201" s="37" t="n"/>
      <c r="H1201" s="37" t="n"/>
      <c r="I1201" s="37" t="n"/>
      <c r="J1201" s="37" t="n"/>
      <c r="K1201" s="36" t="n"/>
      <c r="L1201" s="44">
        <f>IF(G1201="","",IFERROR(INDEX(Config!$K$5:$K$16,MATCH(G1201,Config!$J$5:$J$16,0)),""))</f>
        <v/>
      </c>
      <c r="M1201" s="30">
        <f>IF(OR(G1201="",F1201=""),"",IFERROR(INDEX(Config!$M$5:$R$16,MATCH(G1201,Config!$J$5:$J$16,0),MATCH(F1201,Config!$H$5:$H$10,0)),""))</f>
        <v/>
      </c>
      <c r="N1201" s="29">
        <f>IF(A1201="","",MONTH(A1201))</f>
        <v/>
      </c>
      <c r="O1201" s="29">
        <f>IF(A1201="","",YEAR(A1201))</f>
        <v/>
      </c>
      <c r="P1201" s="29">
        <f>IF(A1201="","",CHOOSE(WEEKDAY(A1201,2),"Segunda","Terça","Quarta","Quinta","Sexta","Sábado","Domingo"))</f>
        <v/>
      </c>
      <c r="Q1201" s="29">
        <f>IF(B1201="","",IF(B1201&lt;TIME(12,0,0),"Manhã",IF(B1201&lt;TIME(18,0,0),"Tarde","Noite")))</f>
        <v/>
      </c>
      <c r="R1201" s="45">
        <f>IF(AND(H1201="Realizado",L1201&lt;&gt;""),L1201/60,0)</f>
        <v>0</v>
      </c>
    </row>
    <row r="1202">
      <c r="A1202" s="42" t="n"/>
      <c r="B1202" s="43" t="n"/>
      <c r="C1202" s="37" t="n"/>
      <c r="D1202" s="37" t="n"/>
      <c r="E1202" s="36" t="n"/>
      <c r="F1202" s="37" t="n"/>
      <c r="G1202" s="37" t="n"/>
      <c r="H1202" s="37" t="n"/>
      <c r="I1202" s="37" t="n"/>
      <c r="J1202" s="37" t="n"/>
      <c r="K1202" s="36" t="n"/>
      <c r="L1202" s="44">
        <f>IF(G1202="","",IFERROR(INDEX(Config!$K$5:$K$16,MATCH(G1202,Config!$J$5:$J$16,0)),""))</f>
        <v/>
      </c>
      <c r="M1202" s="30">
        <f>IF(OR(G1202="",F1202=""),"",IFERROR(INDEX(Config!$M$5:$R$16,MATCH(G1202,Config!$J$5:$J$16,0),MATCH(F1202,Config!$H$5:$H$10,0)),""))</f>
        <v/>
      </c>
      <c r="N1202" s="29">
        <f>IF(A1202="","",MONTH(A1202))</f>
        <v/>
      </c>
      <c r="O1202" s="29">
        <f>IF(A1202="","",YEAR(A1202))</f>
        <v/>
      </c>
      <c r="P1202" s="29">
        <f>IF(A1202="","",CHOOSE(WEEKDAY(A1202,2),"Segunda","Terça","Quarta","Quinta","Sexta","Sábado","Domingo"))</f>
        <v/>
      </c>
      <c r="Q1202" s="29">
        <f>IF(B1202="","",IF(B1202&lt;TIME(12,0,0),"Manhã",IF(B1202&lt;TIME(18,0,0),"Tarde","Noite")))</f>
        <v/>
      </c>
      <c r="R1202" s="45">
        <f>IF(AND(H1202="Realizado",L1202&lt;&gt;""),L1202/60,0)</f>
        <v>0</v>
      </c>
    </row>
    <row r="1203">
      <c r="A1203" s="42" t="n"/>
      <c r="B1203" s="43" t="n"/>
      <c r="C1203" s="37" t="n"/>
      <c r="D1203" s="37" t="n"/>
      <c r="E1203" s="36" t="n"/>
      <c r="F1203" s="37" t="n"/>
      <c r="G1203" s="37" t="n"/>
      <c r="H1203" s="37" t="n"/>
      <c r="I1203" s="37" t="n"/>
      <c r="J1203" s="37" t="n"/>
      <c r="K1203" s="36" t="n"/>
      <c r="L1203" s="44">
        <f>IF(G1203="","",IFERROR(INDEX(Config!$K$5:$K$16,MATCH(G1203,Config!$J$5:$J$16,0)),""))</f>
        <v/>
      </c>
      <c r="M1203" s="30">
        <f>IF(OR(G1203="",F1203=""),"",IFERROR(INDEX(Config!$M$5:$R$16,MATCH(G1203,Config!$J$5:$J$16,0),MATCH(F1203,Config!$H$5:$H$10,0)),""))</f>
        <v/>
      </c>
      <c r="N1203" s="29">
        <f>IF(A1203="","",MONTH(A1203))</f>
        <v/>
      </c>
      <c r="O1203" s="29">
        <f>IF(A1203="","",YEAR(A1203))</f>
        <v/>
      </c>
      <c r="P1203" s="29">
        <f>IF(A1203="","",CHOOSE(WEEKDAY(A1203,2),"Segunda","Terça","Quarta","Quinta","Sexta","Sábado","Domingo"))</f>
        <v/>
      </c>
      <c r="Q1203" s="29">
        <f>IF(B1203="","",IF(B1203&lt;TIME(12,0,0),"Manhã",IF(B1203&lt;TIME(18,0,0),"Tarde","Noite")))</f>
        <v/>
      </c>
      <c r="R1203" s="45">
        <f>IF(AND(H1203="Realizado",L1203&lt;&gt;""),L1203/60,0)</f>
        <v>0</v>
      </c>
    </row>
    <row r="1204">
      <c r="A1204" s="42" t="n"/>
      <c r="B1204" s="43" t="n"/>
      <c r="C1204" s="37" t="n"/>
      <c r="D1204" s="37" t="n"/>
      <c r="E1204" s="36" t="n"/>
      <c r="F1204" s="37" t="n"/>
      <c r="G1204" s="37" t="n"/>
      <c r="H1204" s="37" t="n"/>
      <c r="I1204" s="37" t="n"/>
      <c r="J1204" s="37" t="n"/>
      <c r="K1204" s="36" t="n"/>
      <c r="L1204" s="44">
        <f>IF(G1204="","",IFERROR(INDEX(Config!$K$5:$K$16,MATCH(G1204,Config!$J$5:$J$16,0)),""))</f>
        <v/>
      </c>
      <c r="M1204" s="30">
        <f>IF(OR(G1204="",F1204=""),"",IFERROR(INDEX(Config!$M$5:$R$16,MATCH(G1204,Config!$J$5:$J$16,0),MATCH(F1204,Config!$H$5:$H$10,0)),""))</f>
        <v/>
      </c>
      <c r="N1204" s="29">
        <f>IF(A1204="","",MONTH(A1204))</f>
        <v/>
      </c>
      <c r="O1204" s="29">
        <f>IF(A1204="","",YEAR(A1204))</f>
        <v/>
      </c>
      <c r="P1204" s="29">
        <f>IF(A1204="","",CHOOSE(WEEKDAY(A1204,2),"Segunda","Terça","Quarta","Quinta","Sexta","Sábado","Domingo"))</f>
        <v/>
      </c>
      <c r="Q1204" s="29">
        <f>IF(B1204="","",IF(B1204&lt;TIME(12,0,0),"Manhã",IF(B1204&lt;TIME(18,0,0),"Tarde","Noite")))</f>
        <v/>
      </c>
      <c r="R1204" s="45">
        <f>IF(AND(H1204="Realizado",L1204&lt;&gt;""),L1204/60,0)</f>
        <v>0</v>
      </c>
    </row>
    <row r="1206">
      <c r="A1206" s="34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1207">
      <c r="A1207" s="34" t="inlineStr">
        <is>
          <t>No exemplo, a agenda na planilha começou em 01/07/2026 (antes, a recepção só fechava o caixa do dia). Datas até 11/09/2026 são fixas; de hoje em diante são relativas a hoje (=HOJE()+n).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1204"/>
  <mergeCells count="2">
    <mergeCell ref="A2:R2"/>
    <mergeCell ref="A1:R1"/>
  </mergeCells>
  <conditionalFormatting sqref="A5:R1204">
    <cfRule type="expression" priority="1" dxfId="3">
      <formula>$H5="Realizado"</formula>
    </cfRule>
    <cfRule type="expression" priority="2" dxfId="4">
      <formula>$H5="Falta"</formula>
    </cfRule>
    <cfRule type="expression" priority="3" dxfId="5">
      <formula>OR($H5="Cancelado",$H5="Remarcado")</formula>
    </cfRule>
    <cfRule type="expression" priority="4" dxfId="6">
      <formula>OR($H5="Agendado",$H5="Confirmado")</formula>
    </cfRule>
  </conditionalFormatting>
  <conditionalFormatting sqref="I5:I1204">
    <cfRule type="expression" priority="5" dxfId="7">
      <formula>AND($H5="Realizado",$M5&gt;0,$I5="")</formula>
    </cfRule>
  </conditionalFormatting>
  <dataValidations count="9">
    <dataValidation sqref="C5:C1204" showDropDown="0" showInputMessage="0" showErrorMessage="1" allowBlank="1" type="list">
      <formula1>=OFFSET(Config!$D$5,0,0,MAX(1,COUNTA(Config!$D$5:$D$12)),1)</formula1>
    </dataValidation>
    <dataValidation sqref="D5:D1204" showDropDown="0" showInputMessage="0" showErrorMessage="1" allowBlank="1" type="list">
      <formula1>=OFFSET(Config!$F$5,0,0,MAX(1,COUNTA(Config!$F$5:$F$10)),1)</formula1>
    </dataValidation>
    <dataValidation sqref="E5:E1204" showDropDown="0" showInputMessage="0" showErrorMessage="0" allowBlank="1" type="list">
      <formula1>=OFFSET(Pacientes!$A$5,0,0,MAX(1,COUNTA(Pacientes!$A$5:$A$404)),1)</formula1>
    </dataValidation>
    <dataValidation sqref="F5:F1204" showDropDown="0" showInputMessage="0" showErrorMessage="1" allowBlank="1" type="list">
      <formula1>=OFFSET(Config!$H$5,0,0,MAX(1,COUNTA(Config!$H$5:$H$10)),1)</formula1>
    </dataValidation>
    <dataValidation sqref="G5:G1204" showDropDown="0" showInputMessage="0" showErrorMessage="1" allowBlank="1" type="list">
      <formula1>=OFFSET(Config!$J$5,0,0,MAX(1,COUNTA(Config!$J$5:$J$16)),1)</formula1>
    </dataValidation>
    <dataValidation sqref="H5:H1204" showDropDown="0" showInputMessage="0" showErrorMessage="1" allowBlank="1" type="list">
      <formula1>"Agendado,Confirmado,Realizado,Falta,Cancelado,Remarcado"</formula1>
    </dataValidation>
    <dataValidation sqref="I5:I1204" showDropDown="0" showInputMessage="0" showErrorMessage="1" allowBlank="1" type="list">
      <formula1>"Pix,Dinheiro,Cartão de débito,Cartão de crédito,A prazo,Convênio,Sem cobrança"</formula1>
    </dataValidation>
    <dataValidation sqref="J5:J1204" showDropDown="0" showInputMessage="0" showErrorMessage="0" allowBlank="1" type="whole" operator="between">
      <formula1>1</formula1>
      <formula2>12</formula2>
    </dataValidation>
    <dataValidation sqref="A5:A12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2026-09-14T21:29:01Z</dcterms:created>
  <dcterms:modified xmlns:dcterms="http://purl.org/dc/terms/" xmlns:xsi="http://www.w3.org/2001/XMLSchema-instance" xsi:type="dcterms:W3CDTF">2026-09-14T21:29:04Z</dcterms:modified>
</cp:coreProperties>
</file>